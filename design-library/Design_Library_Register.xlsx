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7.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6.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sign_Selector" sheetId="2" state="visible" r:id="rId4"/>
    <sheet name="Tender_Pack" sheetId="3" state="visible" r:id="rId5"/>
    <sheet name="CAD_Export" sheetId="4" state="visible" r:id="rId6"/>
    <sheet name="Coverage" sheetId="5" state="visible" r:id="rId7"/>
    <sheet name="CAD_Standard" sheetId="6" state="visible" r:id="rId8"/>
    <sheet name="SG_Criteria" sheetId="7" state="visible" r:id="rId9"/>
    <sheet name="Lists" sheetId="8" state="visible" r:id="rId10"/>
    <sheet name="Drain_Register" sheetId="9" state="visible" r:id="rId11"/>
    <sheet name="RW_Register" sheetId="10" state="visible" r:id="rId12"/>
    <sheet name="Embedded_Wall_Register" sheetId="11" state="visible" r:id="rId13"/>
    <sheet name="Manhole_Register" sheetId="12" state="visible" r:id="rId14"/>
    <sheet name="ERSS_Pit_Register" sheetId="13" state="visible" r:id="rId15"/>
    <sheet name="Linkway_Register" sheetId="14" state="visible" r:id="rId16"/>
    <sheet name="Other_Register"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<sst xmlns="http://schemas.openxmlformats.org/spreadsheetml/2006/main" count="2134" uniqueCount="909">
  <si>
    <t xml:space="preserve">Standard Design Library: Register (Singapore)</t>
  </si>
  <si>
    <t xml:space="preserve">Purpose</t>
  </si>
  <si>
    <t xml:space="preserve">Call out approved standard designs that meet Singapore requirements (PUB, LTA, BCA) for tender drawings: pick the design, get its CAD, STAAD.Pro, Excel and PDF files, drop the details into the title block, and get preliminary quantities.</t>
  </si>
  <si>
    <t xml:space="preserve">WORKFLOW</t>
  </si>
  <si>
    <t xml:space="preserve">1. Select</t>
  </si>
  <si>
    <t xml:space="preserve">Design_Selector: drain / culvert / sump, RC wall, embedded wall, sewer manhole. Returns the nearest approved, SG-compliant design and its files.</t>
  </si>
  <si>
    <t xml:space="preserve">2. Tender pack</t>
  </si>
  <si>
    <t xml:space="preserve">Tender_Pack: Design IDs from any register, lengths / numbers, CAD sheet number. Preliminary quantities.</t>
  </si>
  <si>
    <t xml:space="preserve">3. Export</t>
  </si>
  <si>
    <t xml:space="preserve">CAD_Export: save that sheet as Text (Tab delimited).</t>
  </si>
  <si>
    <t xml:space="preserve">4. CAD</t>
  </si>
  <si>
    <t xml:space="preserve">AutoCAD: new drawing from the title-block template, APPLOAD TenderSheets.lsp, TPSHEETS, pick the .txt.</t>
  </si>
  <si>
    <t xml:space="preserve">REGISTERS (how each is tabulated)</t>
  </si>
  <si>
    <t xml:space="preserve">Drain_Register</t>
  </si>
  <si>
    <t xml:space="preserve">Drains, culverts, sumps, chambers. Key: type, internal W x D, cells, loading. Checks: PUB roadside / common drain minimums, railing depth, grade, cover. Flow capacity by Manning.</t>
  </si>
  <si>
    <t xml:space="preserve">RW_Register</t>
  </si>
  <si>
    <t xml:space="preserve">RC and gravity walls. Key: wall type (cantilever with toe &amp; heel / L-wall heel only / reverse L toe only / counterfort / gravity / block / gabion / MSE), retained height, surcharge, GWT. Checks: grade, cover, sliding, toe/heel vs type, LTA surcharge; BCA ERSS route.</t>
  </si>
  <si>
    <t xml:space="preserve">Embedded_Wall_Register</t>
  </si>
  <si>
    <t xml:space="preserve">CBP, secant, sheet pile, diaphragm wall, soldier pile, king post. Key: wall type, excavation depth, support system, soil profile (Kallang, FCBB, Jurong, Old Alluvium, Bukit Timah), temporary / permanent. Checks: deflection, CBP below GWT in marine clay, permanent sheet pile corrosion; BCA ERSS route.</t>
  </si>
  <si>
    <t xml:space="preserve">Manhole_Register</t>
  </si>
  <si>
    <t xml:space="preserve">Permanent sewer manholes per PUB COP SSW 3rd Ed and PUB/WRN/STD 001C / 003B / 004C / 006C. Key: type, internal size, depth range, max incoming pipe. Checks: min depth, 001C depth limit, 004C pipe size, uplift FOS. Links its typical temporary ERSS.</t>
  </si>
  <si>
    <t xml:space="preserve">ERSS_Pit_Register</t>
  </si>
  <si>
    <t xml:space="preserve">Temporary ERSS for manholes, jacking / receiving pits and trenches (sheet pile cofferdam, shoring box, caisson, secant / CBP shaft, open cut). Key: type, pit plan size, depth, soil. Checks: base stability, BCA route.</t>
  </si>
  <si>
    <t xml:space="preserve">Linkway_Register</t>
  </si>
  <si>
    <t xml:space="preserve">Covered linkways per LTA SDRE Rev I (Mar 2026) Ch.22 (CLW1-CLW5). Key: type, roof width, headroom, bay. Checks: headroom 2.4 / 5.7 m, width 2.4 / 3.6 m, wind 22 m/s, fixing pull-out 4.0 kN, C25/30.</t>
  </si>
  <si>
    <t xml:space="preserve">Other_Register</t>
  </si>
  <si>
    <t xml:space="preserve">Railing, staircase, POB, USD, bus shelter, others.</t>
  </si>
  <si>
    <t xml:space="preserve">SG_Criteria</t>
  </si>
  <si>
    <t xml:space="preserve">All Singapore criteria and folder paths used by the checks. Rows marked VERIFY must be confirmed against the current documents before go-live.</t>
  </si>
  <si>
    <t xml:space="preserve">COLOUR LEGEND</t>
  </si>
  <si>
    <t xml:space="preserve">Yellow cell, blue text</t>
  </si>
  <si>
    <t xml:space="preserve">Input.</t>
  </si>
  <si>
    <t xml:space="preserve">Grey cell</t>
  </si>
  <si>
    <t xml:space="preserve">Formula: do not overwrite.</t>
  </si>
  <si>
    <t xml:space="preserve">Purple header</t>
  </si>
  <si>
    <t xml:space="preserve">File set for the design.</t>
  </si>
  <si>
    <t xml:space="preserve">Green header</t>
  </si>
  <si>
    <t xml:space="preserve">Tender quantity per unit.</t>
  </si>
  <si>
    <t xml:space="preserve">Green-shaded rows</t>
  </si>
  <si>
    <t xml:space="preserve">EXAMPLE data to show the format. Values are illustrative, not designs.</t>
  </si>
  <si>
    <t xml:space="preserve">Compliance cell</t>
  </si>
  <si>
    <t xml:space="preserve">Green OK, amber NOTE (allowed, check), red FAIL (hidden from the Selector).</t>
  </si>
  <si>
    <t xml:space="preserve">SHAREPOINT</t>
  </si>
  <si>
    <t xml:space="preserve">Tables</t>
  </si>
  <si>
    <t xml:space="preserve">Each register is an Excel Table (tblDrain, tblRW, tblEmbedded, tblManhole, tblERSSPit, tblLinkway, tblOther) for import to SharePoint Lists / Power Apps.</t>
  </si>
  <si>
    <t xml:space="preserve">Sync</t>
  </si>
  <si>
    <t xml:space="preserve">Sync the SharePoint library to each user's PC and set SG_Criteria 'Library root folder' to the synced path.</t>
  </si>
  <si>
    <t xml:space="preserve">DISCLAIMER</t>
  </si>
  <si>
    <t xml:space="preserve">Standard designs are valid only within their stated assumptions. The QP must verify site conditions, loading, soil and authority requirements for every project. ERSS and embedded walls always need site-specific design and BCA submission where required. SG criteria here must be checked against current PUB / LTA / BCA documents. Quantities are preliminary.</t>
  </si>
  <si>
    <t xml:space="preserve">Design Selector: nearest APPROVED, SG-compliant standard design</t>
  </si>
  <si>
    <t xml:space="preserve">Type into the yellow cells. Each block returns the smallest design at or above the requirement whose Status is Approved and whose SG compliance check has no FAIL. Linkways and others: filter the register directly (few variants).</t>
  </si>
  <si>
    <t xml:space="preserve">DRAIN / CULVERT / SUMP</t>
  </si>
  <si>
    <t xml:space="preserve">RC / GRAVITY RETAINING WALL</t>
  </si>
  <si>
    <t xml:space="preserve">EMBEDDED WALL (CBP / SECANT / SHEET PILE / D-WALL)</t>
  </si>
  <si>
    <t xml:space="preserve">SEWER MANHOLE</t>
  </si>
  <si>
    <t xml:space="preserve">Drain type</t>
  </si>
  <si>
    <t xml:space="preserve">Precast U-Drain</t>
  </si>
  <si>
    <t xml:space="preserve">Wall type</t>
  </si>
  <si>
    <t xml:space="preserve">Cantilever RC (toe &amp; heel)</t>
  </si>
  <si>
    <t xml:space="preserve">Contiguous Bored Pile (CBP)</t>
  </si>
  <si>
    <t xml:space="preserve">Manhole type</t>
  </si>
  <si>
    <t xml:space="preserve">Standard Manhole (PUB 001C)</t>
  </si>
  <si>
    <t xml:space="preserve">Min. internal width (mm)</t>
  </si>
  <si>
    <t xml:space="preserve">Retained height (m)</t>
  </si>
  <si>
    <t xml:space="preserve">Excavation depth (m)</t>
  </si>
  <si>
    <t xml:space="preserve">Depth to invert (m)</t>
  </si>
  <si>
    <t xml:space="preserve">Min. internal depth (mm)</t>
  </si>
  <si>
    <t xml:space="preserve">Surcharge (kPa)</t>
  </si>
  <si>
    <t xml:space="preserve">Support system</t>
  </si>
  <si>
    <t xml:space="preserve">1 level strut</t>
  </si>
  <si>
    <t xml:space="preserve">Largest incoming pipe dia (mm)</t>
  </si>
  <si>
    <t xml:space="preserve">Loading</t>
  </si>
  <si>
    <t xml:space="preserve">Drain surcharge 12 kPa (SDRE)</t>
  </si>
  <si>
    <t xml:space="preserve">GWT behind wall? (Y/N)</t>
  </si>
  <si>
    <t xml:space="preserve">N</t>
  </si>
  <si>
    <t xml:space="preserve">Soil profile</t>
  </si>
  <si>
    <t xml:space="preserve">Old Alluvium</t>
  </si>
  <si>
    <t xml:space="preserve">Design flow Q (m3/s), blank = ignore</t>
  </si>
  <si>
    <t xml:space="preserve">Temporary / Permanent</t>
  </si>
  <si>
    <t xml:space="preserve">Permanent</t>
  </si>
  <si>
    <t xml:space="preserve">Capacity uses Manning n and freeboard from SG_Criteria.</t>
  </si>
  <si>
    <t xml:space="preserve">Drain gradient 1 : S  (S =)</t>
  </si>
  <si>
    <t xml:space="preserve">Selected width (mm)</t>
  </si>
  <si>
    <t xml:space="preserve">Selected height (m)</t>
  </si>
  <si>
    <t xml:space="preserve">Selected depth (m)</t>
  </si>
  <si>
    <t xml:space="preserve">Selected max depth (m)</t>
  </si>
  <si>
    <t xml:space="preserve">Selected depth (mm)</t>
  </si>
  <si>
    <t xml:space="preserve">Selected surcharge (kPa)</t>
  </si>
  <si>
    <t xml:space="preserve">Selected internal length (mm)</t>
  </si>
  <si>
    <t xml:space="preserve">Row in register</t>
  </si>
  <si>
    <t xml:space="preserve">Selected GWT case</t>
  </si>
  <si>
    <t xml:space="preserve">Result</t>
  </si>
  <si>
    <t xml:space="preserve">Design ID</t>
  </si>
  <si>
    <t xml:space="preserve">Description</t>
  </si>
  <si>
    <t xml:space="preserve">Rev / Drawing No.</t>
  </si>
  <si>
    <t xml:space="preserve">Capacity Q / V at capacity</t>
  </si>
  <si>
    <t xml:space="preserve">Stem / base bars</t>
  </si>
  <si>
    <t xml:space="preserve">Pile / length / toe</t>
  </si>
  <si>
    <t xml:space="preserve">PUB standard drawing</t>
  </si>
  <si>
    <t xml:space="preserve">Velocity check</t>
  </si>
  <si>
    <t xml:space="preserve">BCA ERSS submission</t>
  </si>
  <si>
    <t xml:space="preserve">Typical temporary ERSS</t>
  </si>
  <si>
    <t xml:space="preserve">SG compliance</t>
  </si>
  <si>
    <t xml:space="preserve">Detail scale 1:</t>
  </si>
  <si>
    <t xml:space="preserve">Design folder</t>
  </si>
  <si>
    <t xml:space="preserve">CAD detail</t>
  </si>
  <si>
    <t xml:space="preserve">STAAD.Pro</t>
  </si>
  <si>
    <t xml:space="preserve">Calc sheet / report</t>
  </si>
  <si>
    <t xml:space="preserve">Concrete / Rebar per unit</t>
  </si>
  <si>
    <t xml:space="preserve">Limitations</t>
  </si>
  <si>
    <t xml:space="preserve">Loading matched exactly. A wall designed with groundwater is offered for a no-groundwater search, not the reverse. Velocity is at full capacity. BCA submission route is indicative only; the QP confirms. Copy the Design ID into Tender_Pack.</t>
  </si>
  <si>
    <t xml:space="preserve">Tender Pack: designs used in this tender, quantities, and CAD sheet layout</t>
  </si>
  <si>
    <t xml:space="preserve">Type Design IDs from any register, length / number, and the CAD sheet each detail goes on. Then save CAD_Export for AutoCAD. One copy of this workbook per tender.</t>
  </si>
  <si>
    <t xml:space="preserve">Tender / Project:</t>
  </si>
  <si>
    <t xml:space="preserve">EXAMPLE - Tender T-2026-01 Road and Sewer Upgrading at Jalan Contoh</t>
  </si>
  <si>
    <t xml:space="preserve">Item</t>
  </si>
  <si>
    <t xml:space="preserve">Location / Remarks</t>
  </si>
  <si>
    <t xml:space="preserve">Length / Qty</t>
  </si>
  <si>
    <t xml:space="preserve">CAD Sheet No.</t>
  </si>
  <si>
    <t xml:space="preserve">Unit</t>
  </si>
  <si>
    <t xml:space="preserve">Register</t>
  </si>
  <si>
    <t xml:space="preserve">Rev</t>
  </si>
  <si>
    <t xml:space="preserve">Status</t>
  </si>
  <si>
    <t xml:space="preserve">Drawing No.</t>
  </si>
  <si>
    <t xml:space="preserve">Detail Scale 1:</t>
  </si>
  <si>
    <t xml:space="preserve">CAD Detail File (full path)</t>
  </si>
  <si>
    <t xml:space="preserve">Concrete (m3)</t>
  </si>
  <si>
    <t xml:space="preserve">Rebar (t)</t>
  </si>
  <si>
    <t xml:space="preserve">Steel (t)</t>
  </si>
  <si>
    <t xml:space="preserve">Formwork (m2)</t>
  </si>
  <si>
    <t xml:space="preserve">Excavation (m3)</t>
  </si>
  <si>
    <t xml:space="preserve">Check</t>
  </si>
  <si>
    <t xml:space="preserve">DRN-PUD-0600x0600-S12-A</t>
  </si>
  <si>
    <t xml:space="preserve">Roadside drain, Ch 0-250 both sides</t>
  </si>
  <si>
    <t xml:space="preserve">DRN-SUD-0600x0750-FWY-A</t>
  </si>
  <si>
    <t xml:space="preserve">Under new footway</t>
  </si>
  <si>
    <t xml:space="preserve">DRN-BC-1500x1200-VEH-A</t>
  </si>
  <si>
    <t xml:space="preserve">Road crossing at Ch 180</t>
  </si>
  <si>
    <t xml:space="preserve">DRN-SP-0900x1200-S12-A</t>
  </si>
  <si>
    <t xml:space="preserve">Drain sumps</t>
  </si>
  <si>
    <t xml:space="preserve">RW-CANT-H3000-S25-A</t>
  </si>
  <si>
    <t xml:space="preserve">Slope at carpark, grid A-D</t>
  </si>
  <si>
    <t xml:space="preserve">EW-CBP-D5000-S1-OA-P-A</t>
  </si>
  <si>
    <t xml:space="preserve">Basement edge to adjacent road</t>
  </si>
  <si>
    <t xml:space="preserve">MH-SM-1500x1200-D6000-C-A</t>
  </si>
  <si>
    <t xml:space="preserve">Sewer MH1-MH4</t>
  </si>
  <si>
    <t xml:space="preserve">ERSS-SSP-4000x3500-D6000-KF-A</t>
  </si>
  <si>
    <t xml:space="preserve">Temporary ERSS for MH1-MH4</t>
  </si>
  <si>
    <t xml:space="preserve">LKW-LCL-W3600-H2400-B6000-A</t>
  </si>
  <si>
    <t xml:space="preserve">Linkway to MRT exit</t>
  </si>
  <si>
    <t xml:space="preserve">DRN-OD-2000x1800-S12-A</t>
  </si>
  <si>
    <t xml:space="preserve">Outlet drain to canal</t>
  </si>
  <si>
    <t xml:space="preserve">TOTAL</t>
  </si>
  <si>
    <t xml:space="preserve">Quantities are PRELIMINARY (standard section x length or per nr) for tender estimation only. QS to verify.</t>
  </si>
  <si>
    <t xml:space="preserve">PROJECT</t>
  </si>
  <si>
    <t xml:space="preserve">HOW TO USE: (1) fill Tender_Pack incl. CAD Sheet No.  (2) with THIS sheet active: File &gt; Save As &gt; Text (Tab delimited) (*.txt)</t>
  </si>
  <si>
    <t xml:space="preserve">DWGPREFIX</t>
  </si>
  <si>
    <t xml:space="preserve">T2026-01-STD</t>
  </si>
  <si>
    <t xml:space="preserve">(3) AutoCAD: new drawing from your title-block template, APPLOAD TenderSheets.lsp, run TPSHEETS, pick the .txt</t>
  </si>
  <si>
    <t xml:space="preserve">LIBROOT</t>
  </si>
  <si>
    <t xml:space="preserve">Only Approved rows are placed. Keep rows 1-5 and the column order: the AutoCAD routine reads them.</t>
  </si>
  <si>
    <t xml:space="preserve">SHEET</t>
  </si>
  <si>
    <t xml:space="preserve">DETAIL</t>
  </si>
  <si>
    <t xml:space="preserve">CADFILE</t>
  </si>
  <si>
    <t xml:space="preserve">SCALE</t>
  </si>
  <si>
    <t xml:space="preserve">TITLE</t>
  </si>
  <si>
    <t xml:space="preserve">DESIGNID</t>
  </si>
  <si>
    <t xml:space="preserve">REV</t>
  </si>
  <si>
    <t xml:space="preserve">STATUS</t>
  </si>
  <si>
    <t xml:space="preserve">Coverage Matrix: number of SELECTABLE designs (Approved, no FAIL). Red 0 = gap</t>
  </si>
  <si>
    <t xml:space="preserve">Drains &amp; culverts: type vs internal width (mm)</t>
  </si>
  <si>
    <t xml:space="preserve">Slabbed-over U-Drain</t>
  </si>
  <si>
    <t xml:space="preserve">Cast-in-situ Open Drain</t>
  </si>
  <si>
    <t xml:space="preserve">Box Culvert</t>
  </si>
  <si>
    <t xml:space="preserve">Precast Box Culvert</t>
  </si>
  <si>
    <t xml:space="preserve">Entrance Culvert</t>
  </si>
  <si>
    <t xml:space="preserve">Pipe Culvert</t>
  </si>
  <si>
    <t xml:space="preserve">Common Drain</t>
  </si>
  <si>
    <t xml:space="preserve">Drop Inlet Chamber</t>
  </si>
  <si>
    <t xml:space="preserve">Sump</t>
  </si>
  <si>
    <t xml:space="preserve">Silt Trap</t>
  </si>
  <si>
    <t xml:space="preserve">Subsoil Drain</t>
  </si>
  <si>
    <t xml:space="preserve">Cascade Drain</t>
  </si>
  <si>
    <t xml:space="preserve">RC / gravity retaining walls: type vs retained height band (m)</t>
  </si>
  <si>
    <t xml:space="preserve">0-1</t>
  </si>
  <si>
    <t xml:space="preserve">1-1.5</t>
  </si>
  <si>
    <t xml:space="preserve">1.5-2</t>
  </si>
  <si>
    <t xml:space="preserve">2-2.5</t>
  </si>
  <si>
    <t xml:space="preserve">2.5-3</t>
  </si>
  <si>
    <t xml:space="preserve">3-3.5</t>
  </si>
  <si>
    <t xml:space="preserve">3.5-4</t>
  </si>
  <si>
    <t xml:space="preserve">4-4.5</t>
  </si>
  <si>
    <t xml:space="preserve">4.5-5</t>
  </si>
  <si>
    <t xml:space="preserve">5-6</t>
  </si>
  <si>
    <t xml:space="preserve">6-8</t>
  </si>
  <si>
    <t xml:space="preserve">L-Wall (heel only)</t>
  </si>
  <si>
    <t xml:space="preserve">Reverse L-Wall (toe only, at boundary)</t>
  </si>
  <si>
    <t xml:space="preserve">Counterfort RC</t>
  </si>
  <si>
    <t xml:space="preserve">Gravity (mass concrete)</t>
  </si>
  <si>
    <t xml:space="preserve">Block / Segmental</t>
  </si>
  <si>
    <t xml:space="preserve">Gabion</t>
  </si>
  <si>
    <t xml:space="preserve">Reinforced Earth (MSE)</t>
  </si>
  <si>
    <t xml:space="preserve">Embedded walls: type vs excavation depth band (m)</t>
  </si>
  <si>
    <t xml:space="preserve">0-3</t>
  </si>
  <si>
    <t xml:space="preserve">3-4.5</t>
  </si>
  <si>
    <t xml:space="preserve">4.5-6</t>
  </si>
  <si>
    <t xml:space="preserve">6-9</t>
  </si>
  <si>
    <t xml:space="preserve">9-12</t>
  </si>
  <si>
    <t xml:space="preserve">12-15</t>
  </si>
  <si>
    <t xml:space="preserve">15-20</t>
  </si>
  <si>
    <t xml:space="preserve">20-30</t>
  </si>
  <si>
    <t xml:space="preserve">Secant Pile (hard-firm)</t>
  </si>
  <si>
    <t xml:space="preserve">Secant Pile (hard-soft)</t>
  </si>
  <si>
    <t xml:space="preserve">Steel Sheet Pile</t>
  </si>
  <si>
    <t xml:space="preserve">Diaphragm Wall</t>
  </si>
  <si>
    <t xml:space="preserve">Soldier Pile &amp; Timber Lagging</t>
  </si>
  <si>
    <t xml:space="preserve">King Post &amp; Lagging</t>
  </si>
  <si>
    <t xml:space="preserve">Pipe Pile Wall</t>
  </si>
  <si>
    <t xml:space="preserve">Sewer manholes: type vs max depth band (m)</t>
  </si>
  <si>
    <t xml:space="preserve">8-10</t>
  </si>
  <si>
    <t xml:space="preserve">10-15</t>
  </si>
  <si>
    <t xml:space="preserve">Rectangular Manhole, sewer &gt;= 1000 dia (PUB 004C)</t>
  </si>
  <si>
    <t xml:space="preserve">Precast Manhole &gt; 6 m (PUB 006C)</t>
  </si>
  <si>
    <t xml:space="preserve">Drop Manhole</t>
  </si>
  <si>
    <t xml:space="preserve">Inspection Chamber</t>
  </si>
  <si>
    <t xml:space="preserve">Valve / Pumping Main Chamber</t>
  </si>
  <si>
    <t xml:space="preserve">Temporary ERSS pits: type vs excavation depth band (m)</t>
  </si>
  <si>
    <t xml:space="preserve">ERSS type</t>
  </si>
  <si>
    <t xml:space="preserve">0-1.5</t>
  </si>
  <si>
    <t xml:space="preserve">1.5-3</t>
  </si>
  <si>
    <t xml:space="preserve">3-4</t>
  </si>
  <si>
    <t xml:space="preserve">4-6</t>
  </si>
  <si>
    <t xml:space="preserve">Steel Sheet Pile Cofferdam</t>
  </si>
  <si>
    <t xml:space="preserve">Trench Shoring Box</t>
  </si>
  <si>
    <t xml:space="preserve">Steel Caisson / Liner Plate</t>
  </si>
  <si>
    <t xml:space="preserve">Secant Pile Shaft</t>
  </si>
  <si>
    <t xml:space="preserve">CBP Shaft</t>
  </si>
  <si>
    <t xml:space="preserve">Open Cut (battered)</t>
  </si>
  <si>
    <t xml:space="preserve">Covered linkways: type vs roof width (m)</t>
  </si>
  <si>
    <t xml:space="preserve">Linkway type</t>
  </si>
  <si>
    <t xml:space="preserve">Low Covered Linkway</t>
  </si>
  <si>
    <t xml:space="preserve">High Covered Linkway</t>
  </si>
  <si>
    <t xml:space="preserve">Modular Covered Linkway (SDRE Rev I)</t>
  </si>
  <si>
    <t xml:space="preserve">Library status by register</t>
  </si>
  <si>
    <t xml:space="preserve">Approved</t>
  </si>
  <si>
    <t xml:space="preserve">Checked</t>
  </si>
  <si>
    <t xml:space="preserve">WIP</t>
  </si>
  <si>
    <t xml:space="preserve">Superseded</t>
  </si>
  <si>
    <t xml:space="preserve">Approved but FAIL</t>
  </si>
  <si>
    <t xml:space="preserve">Files not checked</t>
  </si>
  <si>
    <t xml:space="preserve">Drain</t>
  </si>
  <si>
    <t xml:space="preserve">Ret. Wall</t>
  </si>
  <si>
    <t xml:space="preserve">Embedded Wall</t>
  </si>
  <si>
    <t xml:space="preserve">Manhole</t>
  </si>
  <si>
    <t xml:space="preserve">ERSS Pit</t>
  </si>
  <si>
    <t xml:space="preserve">Linkway</t>
  </si>
  <si>
    <t xml:space="preserve">Others</t>
  </si>
  <si>
    <t xml:space="preserve">CAD Detail Standard: rules every library detail DWG must follow</t>
  </si>
  <si>
    <t xml:space="preserve">The TPSHEETS AutoCAD routine relies on these rules to drop details into the title block without manual fixing.</t>
  </si>
  <si>
    <t xml:space="preserve">FILE SET PER DESIGN</t>
  </si>
  <si>
    <t xml:space="preserve">Folder</t>
  </si>
  <si>
    <t xml:space="preserve">&lt;Library root&gt;\&lt;register folder&gt;\&lt;Design ID&gt;\    e.g. ...\04_Sewer_Manhole\MH-SM-1500x1200-D6000-C-A\ </t>
  </si>
  <si>
    <t xml:space="preserve">Files</t>
  </si>
  <si>
    <t xml:space="preserve">&lt;ID&gt;_CAD.dwg (tender detail), &lt;ID&gt;_DWG.pdf (plotted detail), &lt;ID&gt;_STAAD.std (STAAD.Pro input, if used), &lt;ID&gt;_CALC.xlsx (live calc), &lt;ID&gt;_CALC.pdf (signed calc report)</t>
  </si>
  <si>
    <t xml:space="preserve">STAAD</t>
  </si>
  <si>
    <t xml:space="preserve">Keep the .std input. Put the STAAD output summary into the calc report PDF and state the STAAD.Pro version. Output files (.anl etc.) optional.</t>
  </si>
  <si>
    <t xml:space="preserve">Move old revisions to ...\99_Superseded\&lt;old ID&gt;\. Never delete.</t>
  </si>
  <si>
    <t xml:space="preserve">DRAWING THE DETAIL (&lt;ID&gt;_CAD.dwg)</t>
  </si>
  <si>
    <t xml:space="preserve">Units / scale</t>
  </si>
  <si>
    <t xml:space="preserve">Model space, 1 unit = 1 mm, drawn full size.</t>
  </si>
  <si>
    <t xml:space="preserve">Origin</t>
  </si>
  <si>
    <t xml:space="preserve">Bottom-left of the detail frame at 0,0. Nothing at negative coordinates.</t>
  </si>
  <si>
    <t xml:space="preserve">Detail frame</t>
  </si>
  <si>
    <t xml:space="preserve">Fit inside one SLOT of the tender sheet at the detail scale. Default A1 slot = 190 x 252 mm paper, minus 20 mm title band: at 1:20 the model frame is 3800 x 4640 mm; 1:25 = 4750 x 5800; 1:50 = 9500 x 11600; 1:100 = 19000 x 23200.</t>
  </si>
  <si>
    <t xml:space="preserve">Text &amp; dims</t>
  </si>
  <si>
    <t xml:space="preserve">Size text, dims and hatch for the detail's own scale (2.5 mm text at 1:20 = 50 mm high; DIMSCALE 20). The routine scales the block by 1/n.</t>
  </si>
  <si>
    <t xml:space="preserve">No title</t>
  </si>
  <si>
    <t xml:space="preserve">Do not draw the detail title, scale or ID in the DWG. The routine writes them from the register.</t>
  </si>
  <si>
    <t xml:space="preserve">Clean file</t>
  </si>
  <si>
    <t xml:space="preserve">Bind or remove xrefs (eTransmit), no images, PURGE and AUDIT before saving. Layers per company CAD standard.</t>
  </si>
  <si>
    <t xml:space="preserve">SDRE / PUB based details</t>
  </si>
  <si>
    <t xml:space="preserve">Where a detail follows an LTA SDRE or PUB standard drawing, note the standard drawing number in the detail notes and in the register.</t>
  </si>
  <si>
    <t xml:space="preserve">TITLE BLOCK TEMPLATE</t>
  </si>
  <si>
    <t xml:space="preserve">Template</t>
  </si>
  <si>
    <t xml:space="preserve">Company A1 title block DWT, title block as a block with attributes on a paper-space layout named TEMPLATE, inserted at 0,0.</t>
  </si>
  <si>
    <t xml:space="preserve">Attributes</t>
  </si>
  <si>
    <t xml:space="preserve">Default tags: PROJECT, DWG_TITLE, DWG_NO, SCALE, SHEET, DATE. Change the tag names at the top of TenderSheets.lsp to match yours.</t>
  </si>
  <si>
    <t xml:space="preserve">Drawing area</t>
  </si>
  <si>
    <t xml:space="preserve">Default x 25 to 645, y 25 to 569 mm (title block on the right). 3 columns x 2 rows = 6 details per A1 sheet. Change in TenderSheets.lsp.</t>
  </si>
  <si>
    <t xml:space="preserve">Singapore Design Criteria &amp; Library Settings</t>
  </si>
  <si>
    <t xml:space="preserve">Compliance checks in every register read these cells. Rows marked VERIFY came from older editions or secondary sources: confirm against the current document before go-live and fill 'Verified by'.</t>
  </si>
  <si>
    <t xml:space="preserve">Parameter</t>
  </si>
  <si>
    <t xml:space="preserve">Value</t>
  </si>
  <si>
    <t xml:space="preserve">Source / clause</t>
  </si>
  <si>
    <t xml:space="preserve">Verified by</t>
  </si>
  <si>
    <t xml:space="preserve">Date</t>
  </si>
  <si>
    <t xml:space="preserve">LIBRARY FOLDERS (SharePoint document library synced to PC)</t>
  </si>
  <si>
    <t xml:space="preserve">Library root folder</t>
  </si>
  <si>
    <t xml:space="preserve">C:\Users\yourname\YourCompany\Design Library - Documents</t>
  </si>
  <si>
    <t xml:space="preserve">Path of the synced SharePoint library on your PC</t>
  </si>
  <si>
    <t xml:space="preserve">SET</t>
  </si>
  <si>
    <t xml:space="preserve">Library root (normalised)</t>
  </si>
  <si>
    <t xml:space="preserve">Automatic</t>
  </si>
  <si>
    <t xml:space="preserve">calc</t>
  </si>
  <si>
    <t xml:space="preserve">Drainage folder</t>
  </si>
  <si>
    <t xml:space="preserve">01_Drainage</t>
  </si>
  <si>
    <t xml:space="preserve">Retaining wall folder</t>
  </si>
  <si>
    <t xml:space="preserve">02_Retaining_Wall</t>
  </si>
  <si>
    <t xml:space="preserve">Embedded wall / ERSS folder</t>
  </si>
  <si>
    <t xml:space="preserve">03_Embedded_Wall</t>
  </si>
  <si>
    <t xml:space="preserve">Sewer manhole folder</t>
  </si>
  <si>
    <t xml:space="preserve">04_Sewer_Manhole</t>
  </si>
  <si>
    <t xml:space="preserve">Temporary ERSS pit folder</t>
  </si>
  <si>
    <t xml:space="preserve">05_ERSS_Pit</t>
  </si>
  <si>
    <t xml:space="preserve">Linkway folder</t>
  </si>
  <si>
    <t xml:space="preserve">06_Linkway</t>
  </si>
  <si>
    <t xml:space="preserve">Other structures folder</t>
  </si>
  <si>
    <t xml:space="preserve">07_Other_Structures</t>
  </si>
  <si>
    <t xml:space="preserve">DRAINAGE: PUB COP on Surface Water Drainage / LTA SDRE Ch.2</t>
  </si>
  <si>
    <t xml:space="preserve">Roadside drain: min internal width</t>
  </si>
  <si>
    <t xml:space="preserve">mm</t>
  </si>
  <si>
    <t xml:space="preserve">PUB COP SWD (roadside drain incl. entrance culvert)</t>
  </si>
  <si>
    <t xml:space="preserve">VERIFY</t>
  </si>
  <si>
    <t xml:space="preserve">Roadside drain: min clear depth</t>
  </si>
  <si>
    <t xml:space="preserve">Common drain: min internal width</t>
  </si>
  <si>
    <t xml:space="preserve">PUB COP SWD cl. 4.5.1</t>
  </si>
  <si>
    <t xml:space="preserve">Open drain depth above which safety railing is required</t>
  </si>
  <si>
    <t xml:space="preserve">PUB COP SWD safety railings clause</t>
  </si>
  <si>
    <t xml:space="preserve">Min concrete grade, drains / walls (fck)</t>
  </si>
  <si>
    <t xml:space="preserve">MPa</t>
  </si>
  <si>
    <t xml:space="preserve">LTA SDRE Ch.2 general notes (C28/35)</t>
  </si>
  <si>
    <t xml:space="preserve">Min clear cover, drains / walls</t>
  </si>
  <si>
    <t xml:space="preserve">LTA SDRE Ch.2 general notes</t>
  </si>
  <si>
    <t xml:space="preserve">Design surcharge on drain walls</t>
  </si>
  <si>
    <t xml:space="preserve">kPa</t>
  </si>
  <si>
    <t xml:space="preserve">LTA SDRE Ch.2 precast U-drain notes</t>
  </si>
  <si>
    <t xml:space="preserve">Load on top slab of slabbed-over drain (footway)</t>
  </si>
  <si>
    <t xml:space="preserve">LTA SDRE Ch.2</t>
  </si>
  <si>
    <t xml:space="preserve">Min self-cleansing velocity</t>
  </si>
  <si>
    <t xml:space="preserve">m/s</t>
  </si>
  <si>
    <t xml:space="preserve">PUB COP SWD</t>
  </si>
  <si>
    <t xml:space="preserve">Max velocity, concrete-lined drain</t>
  </si>
  <si>
    <t xml:space="preserve">Freeboard used for capacity (fraction of depth)</t>
  </si>
  <si>
    <t xml:space="preserve">Company assumption. Check PUB COP SWD cl. 7.3.4</t>
  </si>
  <si>
    <t xml:space="preserve">Manning's n, concrete</t>
  </si>
  <si>
    <t xml:space="preserve">Company assumption</t>
  </si>
  <si>
    <t xml:space="preserve">Return period, catchment &lt; 100 ha</t>
  </si>
  <si>
    <t xml:space="preserve">years</t>
  </si>
  <si>
    <t xml:space="preserve">Return period, catchment 100 - 1000 ha</t>
  </si>
  <si>
    <t xml:space="preserve">Return period, catchment &gt; 1000 ha</t>
  </si>
  <si>
    <t xml:space="preserve">RETAINING STRUCTURES &amp; ERSS: LTA CDC / BCA ERSS submission requirements (Mar 2024)</t>
  </si>
  <si>
    <t xml:space="preserve">Min surcharge, permanent earth-retaining structure (LTA works)</t>
  </si>
  <si>
    <t xml:space="preserve">Older LTA CDC value. Confirm vs CDC C&amp;S Rev A3 (Dec 2025)</t>
  </si>
  <si>
    <t xml:space="preserve">Design service life, permanent structures (LTA)</t>
  </si>
  <si>
    <t xml:space="preserve">LTA CDC durability clause</t>
  </si>
  <si>
    <t xml:space="preserve">ERSS: no BCA submission up to (RC / steel wall)</t>
  </si>
  <si>
    <t xml:space="preserve">m</t>
  </si>
  <si>
    <t xml:space="preserve">BCA ERSS submission requirements, Mar 2024</t>
  </si>
  <si>
    <t xml:space="preserve">ERSS: no BCA submission up to (other wall types)</t>
  </si>
  <si>
    <t xml:space="preserve">ERSS: QP(ST) only up to</t>
  </si>
  <si>
    <t xml:space="preserve">BCA: 1.5-4 m QP(ST), no AC</t>
  </si>
  <si>
    <t xml:space="preserve">ERSS: QP(ST) + AC up to</t>
  </si>
  <si>
    <t xml:space="preserve">BCA: 4-6 m QP(ST) + AC; &gt; 6 m geotechnical building works</t>
  </si>
  <si>
    <t xml:space="preserve">Min base stability FOS used for library ERSS pits</t>
  </si>
  <si>
    <t xml:space="preserve">Company criterion</t>
  </si>
  <si>
    <t xml:space="preserve">SEWERAGE: PUB COP on Sewerage &amp; Sanitary Works 3rd Ed (Mar 2025) &amp; standard drawings</t>
  </si>
  <si>
    <t xml:space="preserve">Min depth of sewers and manholes</t>
  </si>
  <si>
    <t xml:space="preserve">PUB COP SSW (2nd Ed wording; confirm in 3rd Ed)</t>
  </si>
  <si>
    <t xml:space="preserve">Min public sewer diameter</t>
  </si>
  <si>
    <t xml:space="preserve">PUB COP SSW</t>
  </si>
  <si>
    <t xml:space="preserve">Max distance between manholes (project check)</t>
  </si>
  <si>
    <t xml:space="preserve">PUB COP SSW (2nd Ed; confirm in 3rd Ed)</t>
  </si>
  <si>
    <t xml:space="preserve">Max depth for standard manhole drawing PUB/WRN/STD/001C</t>
  </si>
  <si>
    <t xml:space="preserve">PUB standard drawings list (001C &lt;= 6 m; 006C precast &gt; 6 m)</t>
  </si>
  <si>
    <t xml:space="preserve">Pipe dia from which rectangular manhole 004C applies</t>
  </si>
  <si>
    <t xml:space="preserve">PUB/WRN/STD/004C</t>
  </si>
  <si>
    <t xml:space="preserve">Min uplift (flotation) FOS for manholes</t>
  </si>
  <si>
    <t xml:space="preserve">Company criterion; check vs SS EN 1997-1 UPL</t>
  </si>
  <si>
    <t xml:space="preserve">COVERED LINKWAY: LTA SDRE Ch.22 (Rev I, Mar 2026) / LTA Architectural Design Criteria</t>
  </si>
  <si>
    <t xml:space="preserve">Low covered linkway: min clear headroom</t>
  </si>
  <si>
    <t xml:space="preserve">LTA covered linkway guide / ADC s4.8</t>
  </si>
  <si>
    <t xml:space="preserve">High covered linkway: min clear headroom</t>
  </si>
  <si>
    <t xml:space="preserve">LTA covered linkway guide</t>
  </si>
  <si>
    <t xml:space="preserve">Min roof width (eave to eave)</t>
  </si>
  <si>
    <t xml:space="preserve">LTA ADC s4.8</t>
  </si>
  <si>
    <t xml:space="preserve">Min roof width to MRT/LRT or high-traffic routes</t>
  </si>
  <si>
    <t xml:space="preserve">Basic wind speed for linkway and fixings</t>
  </si>
  <si>
    <t xml:space="preserve">LTA SDRE Ch.22 notes; SS EN 1991-1-4</t>
  </si>
  <si>
    <t xml:space="preserve">Roof fixing ultimate pull-out capacity</t>
  </si>
  <si>
    <t xml:space="preserve">kN</t>
  </si>
  <si>
    <t xml:space="preserve">LTA SDRE Ch.22 notes</t>
  </si>
  <si>
    <t xml:space="preserve">Min RC grade for linkway stumps / footings</t>
  </si>
  <si>
    <t xml:space="preserve">LTA SDRE Ch.22 notes (C25/30)</t>
  </si>
  <si>
    <t xml:space="preserve">REFERENCE DOCUMENTS (edition the library is built on)</t>
  </si>
  <si>
    <t xml:space="preserve">Document</t>
  </si>
  <si>
    <t xml:space="preserve">Edition / revision</t>
  </si>
  <si>
    <t xml:space="preserve">Applies to</t>
  </si>
  <si>
    <t xml:space="preserve">PUB Code of Practice on Surface Water Drainage</t>
  </si>
  <si>
    <t xml:space="preserve">7th Ed. Dec 2018, Addendum No. 3 (Apr 2025)</t>
  </si>
  <si>
    <t xml:space="preserve">Drains, culverts, sumps</t>
  </si>
  <si>
    <t xml:space="preserve">PUB Code of Practice on Sewerage and Sanitary Works</t>
  </si>
  <si>
    <t xml:space="preserve">3rd Ed. (Mar 2025)</t>
  </si>
  <si>
    <t xml:space="preserve">Sewers, manholes</t>
  </si>
  <si>
    <t xml:space="preserve">PUB Standard Drawings for Sewerage Works</t>
  </si>
  <si>
    <t xml:space="preserve">PUB/WRN/STD/001C, 003B, 004C, 006C</t>
  </si>
  <si>
    <t xml:space="preserve">Manholes &lt;= 6 m, precast parts, rectangular, &gt; 6 m</t>
  </si>
  <si>
    <t xml:space="preserve">LTA Standard Details of Road Elements (SDRE)</t>
  </si>
  <si>
    <t xml:space="preserve">Apr 2014 Ed., Revision I (Mar 2026)</t>
  </si>
  <si>
    <t xml:space="preserve">Ch.2 Drains &amp; Culverts; Ch.22 Covered Linkway (CLW1-CLW5)</t>
  </si>
  <si>
    <t xml:space="preserve">LTA Architectural Design Criteria s4.8 / Covered linkway guide</t>
  </si>
  <si>
    <t xml:space="preserve">Current</t>
  </si>
  <si>
    <t xml:space="preserve">Linkway headroom, width</t>
  </si>
  <si>
    <t xml:space="preserve">LTA Civil Design Criteria for Civil &amp; Structural Works</t>
  </si>
  <si>
    <t xml:space="preserve">Revision A3 (Dec 2025)</t>
  </si>
  <si>
    <t xml:space="preserve">Loads, surcharge, durability for LTA works</t>
  </si>
  <si>
    <t xml:space="preserve">BCA ERSS submission requirements</t>
  </si>
  <si>
    <t xml:space="preserve">Mar 2024</t>
  </si>
  <si>
    <t xml:space="preserve">Submission thresholds, QP / AC</t>
  </si>
  <si>
    <t xml:space="preserve">BCA guideline on integrity of sheet pile walls</t>
  </si>
  <si>
    <t xml:space="preserve">Nov 2025</t>
  </si>
  <si>
    <t xml:space="preserve">Sheet pile ERSS</t>
  </si>
  <si>
    <t xml:space="preserve">SS EN 1992-1-1, SS EN 1991-2, SS EN 1991-1-4, SS EN 1997-1 + Singapore NAs</t>
  </si>
  <si>
    <t xml:space="preserve">RC, traffic, wind, geotechnical</t>
  </si>
  <si>
    <t xml:space="preserve">Dropdown lists. Add new items in the blank rows under a list; codes feed the Design IDs.</t>
  </si>
  <si>
    <t xml:space="preserve">DrainType</t>
  </si>
  <si>
    <t xml:space="preserve">Code</t>
  </si>
  <si>
    <t xml:space="preserve">Category</t>
  </si>
  <si>
    <t xml:space="preserve">Cover</t>
  </si>
  <si>
    <t xml:space="preserve">WallType</t>
  </si>
  <si>
    <t xml:space="preserve">EmbType</t>
  </si>
  <si>
    <t xml:space="preserve">Support</t>
  </si>
  <si>
    <t xml:space="preserve">TempPerm</t>
  </si>
  <si>
    <t xml:space="preserve">Soil</t>
  </si>
  <si>
    <t xml:space="preserve">MHType</t>
  </si>
  <si>
    <t xml:space="preserve">Construct</t>
  </si>
  <si>
    <t xml:space="preserve">Shape</t>
  </si>
  <si>
    <t xml:space="preserve">ERSSType</t>
  </si>
  <si>
    <t xml:space="preserve">LkType</t>
  </si>
  <si>
    <t xml:space="preserve">LkDwg</t>
  </si>
  <si>
    <t xml:space="preserve">LkCols</t>
  </si>
  <si>
    <t xml:space="preserve">Roof</t>
  </si>
  <si>
    <t xml:space="preserve">YN</t>
  </si>
  <si>
    <t xml:space="preserve">Family</t>
  </si>
  <si>
    <t xml:space="preserve">Grade</t>
  </si>
  <si>
    <t xml:space="preserve">Scale</t>
  </si>
  <si>
    <t xml:space="preserve">PUD</t>
  </si>
  <si>
    <t xml:space="preserve">Roadside drain</t>
  </si>
  <si>
    <t xml:space="preserve">Open</t>
  </si>
  <si>
    <t xml:space="preserve">Nil / landscape</t>
  </si>
  <si>
    <t xml:space="preserve">NIL</t>
  </si>
  <si>
    <t xml:space="preserve">CANT</t>
  </si>
  <si>
    <t xml:space="preserve">CBP</t>
  </si>
  <si>
    <t xml:space="preserve">Cantilever (no support)</t>
  </si>
  <si>
    <t xml:space="preserve">CL</t>
  </si>
  <si>
    <t xml:space="preserve">Temporary</t>
  </si>
  <si>
    <t xml:space="preserve">T</t>
  </si>
  <si>
    <t xml:space="preserve">Kallang Formation (marine clay)</t>
  </si>
  <si>
    <t xml:space="preserve">KF</t>
  </si>
  <si>
    <t xml:space="preserve">SM</t>
  </si>
  <si>
    <t xml:space="preserve">Cast-in-situ</t>
  </si>
  <si>
    <t xml:space="preserve">C</t>
  </si>
  <si>
    <t xml:space="preserve">Rectangular</t>
  </si>
  <si>
    <t xml:space="preserve">SSP</t>
  </si>
  <si>
    <t xml:space="preserve">LCL</t>
  </si>
  <si>
    <t xml:space="preserve">LTA/SDRE25/22/CLW1</t>
  </si>
  <si>
    <t xml:space="preserve">Single column, central</t>
  </si>
  <si>
    <t xml:space="preserve">Aluminium sheet</t>
  </si>
  <si>
    <t xml:space="preserve">Y</t>
  </si>
  <si>
    <t xml:space="preserve">Railing</t>
  </si>
  <si>
    <t xml:space="preserve">RLG</t>
  </si>
  <si>
    <t xml:space="preserve">C25/30</t>
  </si>
  <si>
    <t xml:space="preserve">SUD</t>
  </si>
  <si>
    <t xml:space="preserve">Common drain</t>
  </si>
  <si>
    <t xml:space="preserve">Covered - RC slab</t>
  </si>
  <si>
    <t xml:space="preserve">Footway 5 kPa (SDRE)</t>
  </si>
  <si>
    <t xml:space="preserve">FWY</t>
  </si>
  <si>
    <t xml:space="preserve">LW</t>
  </si>
  <si>
    <t xml:space="preserve">SPW</t>
  </si>
  <si>
    <t xml:space="preserve">S1</t>
  </si>
  <si>
    <t xml:space="preserve">P</t>
  </si>
  <si>
    <t xml:space="preserve">Fort Canning Boulder Bed</t>
  </si>
  <si>
    <t xml:space="preserve">FCBB</t>
  </si>
  <si>
    <t xml:space="preserve">RM</t>
  </si>
  <si>
    <t xml:space="preserve">Precast</t>
  </si>
  <si>
    <t xml:space="preserve">Circular</t>
  </si>
  <si>
    <t xml:space="preserve">TSB</t>
  </si>
  <si>
    <t xml:space="preserve">Jacking pit</t>
  </si>
  <si>
    <t xml:space="preserve">HCL</t>
  </si>
  <si>
    <t xml:space="preserve">LTA/SDRE25/22/CLW2</t>
  </si>
  <si>
    <t xml:space="preserve">Single column, side (cantilever)</t>
  </si>
  <si>
    <t xml:space="preserve">Metal deck</t>
  </si>
  <si>
    <t xml:space="preserve">Staircase</t>
  </si>
  <si>
    <t xml:space="preserve">STR</t>
  </si>
  <si>
    <t xml:space="preserve">nr</t>
  </si>
  <si>
    <t xml:space="preserve">C28/35</t>
  </si>
  <si>
    <t xml:space="preserve">OD</t>
  </si>
  <si>
    <t xml:space="preserve">Outlet / main drain</t>
  </si>
  <si>
    <t xml:space="preserve">Covered - grating</t>
  </si>
  <si>
    <t xml:space="preserve">S12</t>
  </si>
  <si>
    <t xml:space="preserve">RLW</t>
  </si>
  <si>
    <t xml:space="preserve">SPS</t>
  </si>
  <si>
    <t xml:space="preserve">2 levels strut</t>
  </si>
  <si>
    <t xml:space="preserve">S2</t>
  </si>
  <si>
    <t xml:space="preserve">Jurong Formation</t>
  </si>
  <si>
    <t xml:space="preserve">JF</t>
  </si>
  <si>
    <t xml:space="preserve">PM</t>
  </si>
  <si>
    <t xml:space="preserve">SC</t>
  </si>
  <si>
    <t xml:space="preserve">Receiving pit</t>
  </si>
  <si>
    <t xml:space="preserve">MCL</t>
  </si>
  <si>
    <t xml:space="preserve">LTA/SDRE25/22/CLW3</t>
  </si>
  <si>
    <t xml:space="preserve">Double column</t>
  </si>
  <si>
    <t xml:space="preserve">Polycarbonate</t>
  </si>
  <si>
    <t xml:space="preserve">POB</t>
  </si>
  <si>
    <t xml:space="preserve">bay</t>
  </si>
  <si>
    <t xml:space="preserve">C30/37</t>
  </si>
  <si>
    <t xml:space="preserve">BC</t>
  </si>
  <si>
    <t xml:space="preserve">Road crossing culvert</t>
  </si>
  <si>
    <t xml:space="preserve">Closed (culvert)</t>
  </si>
  <si>
    <t xml:space="preserve">Vehicular LM1 (SS EN 1991-2)</t>
  </si>
  <si>
    <t xml:space="preserve">VEH</t>
  </si>
  <si>
    <t xml:space="preserve">CF</t>
  </si>
  <si>
    <t xml:space="preserve">3 levels strut</t>
  </si>
  <si>
    <t xml:space="preserve">S3</t>
  </si>
  <si>
    <t xml:space="preserve">OA</t>
  </si>
  <si>
    <t xml:space="preserve">DM</t>
  </si>
  <si>
    <t xml:space="preserve">SPL</t>
  </si>
  <si>
    <t xml:space="preserve">Sewer trench</t>
  </si>
  <si>
    <t xml:space="preserve">LTA/SDRE25/22/CLW4</t>
  </si>
  <si>
    <t xml:space="preserve">Aluminium + polycarbonate</t>
  </si>
  <si>
    <t xml:space="preserve">USD</t>
  </si>
  <si>
    <t xml:space="preserve">span</t>
  </si>
  <si>
    <t xml:space="preserve">C32/40</t>
  </si>
  <si>
    <t xml:space="preserve">PBC</t>
  </si>
  <si>
    <t xml:space="preserve">Entrance culvert</t>
  </si>
  <si>
    <t xml:space="preserve">Fire engine access (SCDF)</t>
  </si>
  <si>
    <t xml:space="preserve">FEA</t>
  </si>
  <si>
    <t xml:space="preserve">GRAV</t>
  </si>
  <si>
    <t xml:space="preserve">DW</t>
  </si>
  <si>
    <t xml:space="preserve">Ground anchors</t>
  </si>
  <si>
    <t xml:space="preserve">GA</t>
  </si>
  <si>
    <t xml:space="preserve">Bukit Timah Granite</t>
  </si>
  <si>
    <t xml:space="preserve">BTG</t>
  </si>
  <si>
    <t xml:space="preserve">IC</t>
  </si>
  <si>
    <t xml:space="preserve">Sump / chamber</t>
  </si>
  <si>
    <t xml:space="preserve">LTA/SDRE25/22/CLW5</t>
  </si>
  <si>
    <t xml:space="preserve">Bus Shelter</t>
  </si>
  <si>
    <t xml:space="preserve">BS</t>
  </si>
  <si>
    <t xml:space="preserve">m2</t>
  </si>
  <si>
    <t xml:space="preserve">C35/45</t>
  </si>
  <si>
    <t xml:space="preserve">EC</t>
  </si>
  <si>
    <t xml:space="preserve">Within development</t>
  </si>
  <si>
    <t xml:space="preserve">BLK</t>
  </si>
  <si>
    <t xml:space="preserve">Raking strut</t>
  </si>
  <si>
    <t xml:space="preserve">RS</t>
  </si>
  <si>
    <t xml:space="preserve">Fill / reclaimed</t>
  </si>
  <si>
    <t xml:space="preserve">FILL</t>
  </si>
  <si>
    <t xml:space="preserve">VC</t>
  </si>
  <si>
    <t xml:space="preserve">CBS</t>
  </si>
  <si>
    <t xml:space="preserve">Pile cap / footing</t>
  </si>
  <si>
    <t xml:space="preserve">Non-standard (project design)</t>
  </si>
  <si>
    <t xml:space="preserve">OTH</t>
  </si>
  <si>
    <t xml:space="preserve">C40/50</t>
  </si>
  <si>
    <t xml:space="preserve">PC</t>
  </si>
  <si>
    <t xml:space="preserve">Expressway</t>
  </si>
  <si>
    <t xml:space="preserve">GAB</t>
  </si>
  <si>
    <t xml:space="preserve">KPL</t>
  </si>
  <si>
    <t xml:space="preserve">Permanent slabs (top-down)</t>
  </si>
  <si>
    <t xml:space="preserve">TD</t>
  </si>
  <si>
    <t xml:space="preserve">Firm/stiff clay (general)</t>
  </si>
  <si>
    <t xml:space="preserve">FSC</t>
  </si>
  <si>
    <t xml:space="preserve">OC</t>
  </si>
  <si>
    <t xml:space="preserve">CMD</t>
  </si>
  <si>
    <t xml:space="preserve">MSE</t>
  </si>
  <si>
    <t xml:space="preserve">PPW</t>
  </si>
  <si>
    <t xml:space="preserve">DIC</t>
  </si>
  <si>
    <t xml:space="preserve">SP</t>
  </si>
  <si>
    <t xml:space="preserve">ST</t>
  </si>
  <si>
    <t xml:space="preserve">SSD</t>
  </si>
  <si>
    <t xml:space="preserve">CSD</t>
  </si>
  <si>
    <t xml:space="preserve">Drainage Standard Design Register (Singapore)</t>
  </si>
  <si>
    <t xml:space="preserve">Drains, culverts, sumps, chambers. Compliance uses SG_Criteria (PUB COP SWD, LTA SDRE). Quantities per Qty Unit.</t>
  </si>
  <si>
    <t xml:space="preserve">Yellow = type / pick.  Grey = automatic.  Purple = the design's file set (built from the Design ID).  Green = tender quantities per unit.  Green-shaded rows = EXAMPLE data, values illustrative: delete or overwrite.</t>
  </si>
  <si>
    <t xml:space="preserve">Drain Type</t>
  </si>
  <si>
    <t xml:space="preserve">Open / Covered</t>
  </si>
  <si>
    <t xml:space="preserve">Internal Width (mm)</t>
  </si>
  <si>
    <t xml:space="preserve">Internal Depth / Clear Height (mm)</t>
  </si>
  <si>
    <t xml:space="preserve">No. of Cells</t>
  </si>
  <si>
    <t xml:space="preserve">Wall Thk (mm)</t>
  </si>
  <si>
    <t xml:space="preserve">Base Thk (mm)</t>
  </si>
  <si>
    <t xml:space="preserve">Top Slab Thk (mm)</t>
  </si>
  <si>
    <t xml:space="preserve">Fill over Top / Surcharge</t>
  </si>
  <si>
    <t xml:space="preserve">Concrete Grade</t>
  </si>
  <si>
    <t xml:space="preserve">Cover (mm)</t>
  </si>
  <si>
    <t xml:space="preserve">Wall Main Bar</t>
  </si>
  <si>
    <t xml:space="preserve">Base Main Bar</t>
  </si>
  <si>
    <t xml:space="preserve">Top Slab Bar</t>
  </si>
  <si>
    <t xml:space="preserve">Distribution Bar</t>
  </si>
  <si>
    <t xml:space="preserve">Code Basis</t>
  </si>
  <si>
    <t xml:space="preserve">Detail Scale (1:n)</t>
  </si>
  <si>
    <t xml:space="preserve">STAAD.Pro Model? (Y/N)</t>
  </si>
  <si>
    <t xml:space="preserve">Design Folder</t>
  </si>
  <si>
    <t xml:space="preserve">CAD Detail (.dwg)</t>
  </si>
  <si>
    <t xml:space="preserve">Drawing (.pdf)</t>
  </si>
  <si>
    <t xml:space="preserve">STAAD.Pro (.std)</t>
  </si>
  <si>
    <t xml:space="preserve">Calc Sheet (.xlsx)</t>
  </si>
  <si>
    <t xml:space="preserve">Calc Report (.pdf)</t>
  </si>
  <si>
    <t xml:space="preserve">Files Checked in Folder (Y/N)</t>
  </si>
  <si>
    <t xml:space="preserve">Qty Unit</t>
  </si>
  <si>
    <t xml:space="preserve">Concrete (m3/unit)</t>
  </si>
  <si>
    <t xml:space="preserve">Rebar (kg/unit)</t>
  </si>
  <si>
    <t xml:space="preserve">Steel (kg/unit)</t>
  </si>
  <si>
    <t xml:space="preserve">Formwork (m2/unit)</t>
  </si>
  <si>
    <t xml:space="preserve">Excavation (m3/unit)</t>
  </si>
  <si>
    <t xml:space="preserve">Flow Capacity Q (m3/s)</t>
  </si>
  <si>
    <t xml:space="preserve">Velocity at Capacity (m/s)</t>
  </si>
  <si>
    <t xml:space="preserve">SG Compliance Check</t>
  </si>
  <si>
    <t xml:space="preserve">Limitations / Notes</t>
  </si>
  <si>
    <t xml:space="preserve">Projects / Tenders Used</t>
  </si>
  <si>
    <t xml:space="preserve">Designer</t>
  </si>
  <si>
    <t xml:space="preserve">Checker</t>
  </si>
  <si>
    <t xml:space="preserve">Approved By (QP)</t>
  </si>
  <si>
    <t xml:space="preserve">Approval Date</t>
  </si>
  <si>
    <t xml:space="preserve">Selectable</t>
  </si>
  <si>
    <t xml:space="preserve">Selector Key</t>
  </si>
  <si>
    <t xml:space="preserve">12 kPa</t>
  </si>
  <si>
    <t xml:space="preserve">B10 mesh</t>
  </si>
  <si>
    <t xml:space="preserve">-</t>
  </si>
  <si>
    <t xml:space="preserve">PUB COP SWD 7th Ed + Add.3; LTA SDRE Rev I Ch.2; SS EN 1992-1-1</t>
  </si>
  <si>
    <t xml:space="preserve">A</t>
  </si>
  <si>
    <t xml:space="preserve">STD-DR-001</t>
  </si>
  <si>
    <t xml:space="preserve">EXAMPLE. Per LTA SDRE precast U-drain; confirm supplier unit.</t>
  </si>
  <si>
    <t xml:space="preserve">EXAMPLE</t>
  </si>
  <si>
    <t xml:space="preserve">B12 mesh</t>
  </si>
  <si>
    <t xml:space="preserve">STD-DR-002</t>
  </si>
  <si>
    <t xml:space="preserve">EXAMPLE. </t>
  </si>
  <si>
    <t xml:space="preserve">Footway 5 kPa</t>
  </si>
  <si>
    <t xml:space="preserve">T10@150</t>
  </si>
  <si>
    <t xml:space="preserve">T10@200</t>
  </si>
  <si>
    <t xml:space="preserve">STD-DR-003</t>
  </si>
  <si>
    <t xml:space="preserve">EXAMPLE. Under footway only.</t>
  </si>
  <si>
    <t xml:space="preserve">T13@150</t>
  </si>
  <si>
    <t xml:space="preserve">STD-DR-004</t>
  </si>
  <si>
    <t xml:space="preserve">EXAMPLE. D &gt; 1.0 m: add railing STD-RLG-001.</t>
  </si>
  <si>
    <t xml:space="preserve">T16@150</t>
  </si>
  <si>
    <t xml:space="preserve">T13@200</t>
  </si>
  <si>
    <t xml:space="preserve">STD-DR-005</t>
  </si>
  <si>
    <t xml:space="preserve">EXAMPLE. Awaiting QP approval.</t>
  </si>
  <si>
    <t xml:space="preserve">0.5 - 2.0 m fill</t>
  </si>
  <si>
    <t xml:space="preserve">PUB COP SWD; LTA CDC C&amp;S A3; SS EN 1991-2 LM1; SS EN 1992-1-1</t>
  </si>
  <si>
    <t xml:space="preserve">STD-BC-001</t>
  </si>
  <si>
    <t xml:space="preserve">EXAMPLE. STAAD frame: LM1 + earth pressure.</t>
  </si>
  <si>
    <t xml:space="preserve">EXAMPLE Tender T-2026-01</t>
  </si>
  <si>
    <t xml:space="preserve">T20@150</t>
  </si>
  <si>
    <t xml:space="preserve">STD-BC-002</t>
  </si>
  <si>
    <t xml:space="preserve">EXAMPLE. Twin cell.</t>
  </si>
  <si>
    <t xml:space="preserve">Heavy duty grating</t>
  </si>
  <si>
    <t xml:space="preserve">STD-EC-001</t>
  </si>
  <si>
    <t xml:space="preserve">EXAMPLE. Hinged heavy-duty grating.</t>
  </si>
  <si>
    <t xml:space="preserve">T10@250</t>
  </si>
  <si>
    <t xml:space="preserve">STD-CMD-001</t>
  </si>
  <si>
    <t xml:space="preserve">EXAMPLE. Within development only.</t>
  </si>
  <si>
    <t xml:space="preserve">STD-DR-099</t>
  </si>
  <si>
    <t xml:space="preserve">EXAMPLE. Shows a design the SG check rejects.</t>
  </si>
  <si>
    <t xml:space="preserve">STD-DIC-001</t>
  </si>
  <si>
    <t xml:space="preserve">EXAMPLE. 250 dia uPVC outlet.</t>
  </si>
  <si>
    <t xml:space="preserve">STD-SP-001</t>
  </si>
  <si>
    <t xml:space="preserve">RC &amp; Gravity Retaining Wall Register (Singapore)</t>
  </si>
  <si>
    <t xml:space="preserve">Cantilever (toe &amp; heel), L-wall (heel only), reverse L-wall (toe only), counterfort, gravity, block, gabion, MSE. Embedded walls (CBP, secant, sheet pile, D-wall) go in Embedded_Wall_Register.</t>
  </si>
  <si>
    <t xml:space="preserve">Wall Type</t>
  </si>
  <si>
    <t xml:space="preserve">Retained Height (m)</t>
  </si>
  <si>
    <t xml:space="preserve">GWT Behind Wall (Y/N)</t>
  </si>
  <si>
    <t xml:space="preserve">Backfill Slope (deg)</t>
  </si>
  <si>
    <t xml:space="preserve">Founding Soil</t>
  </si>
  <si>
    <t xml:space="preserve">phi' (deg)</t>
  </si>
  <si>
    <t xml:space="preserve">gamma (kN/m3)</t>
  </si>
  <si>
    <t xml:space="preserve">Stem Top Thk (mm)</t>
  </si>
  <si>
    <t xml:space="preserve">Stem Bottom Thk (mm)</t>
  </si>
  <si>
    <t xml:space="preserve">Base Width (mm)</t>
  </si>
  <si>
    <t xml:space="preserve">Toe (mm)</t>
  </si>
  <si>
    <t xml:space="preserve">Heel (mm)</t>
  </si>
  <si>
    <t xml:space="preserve">Shear Key (mm)</t>
  </si>
  <si>
    <t xml:space="preserve">Stem Main Bar</t>
  </si>
  <si>
    <t xml:space="preserve">Drainage (weepholes / filter)</t>
  </si>
  <si>
    <t xml:space="preserve">FOS Sliding</t>
  </si>
  <si>
    <t xml:space="preserve">FOS Overturning</t>
  </si>
  <si>
    <t xml:space="preserve">Max Bearing (kPa)</t>
  </si>
  <si>
    <t xml:space="preserve">BCA ERSS Submission (indicative)</t>
  </si>
  <si>
    <t xml:space="preserve">75 dia @ 1.5 m c/c + geotextile</t>
  </si>
  <si>
    <t xml:space="preserve">SS EN 1997-1 DA1 + NA; SS EN 1992-1-1; LTA CDC C&amp;S A3</t>
  </si>
  <si>
    <t xml:space="preserve">STD-RW-001</t>
  </si>
  <si>
    <t xml:space="preserve">STD-RW-011</t>
  </si>
  <si>
    <t xml:space="preserve">STD-RW-012</t>
  </si>
  <si>
    <t xml:space="preserve">EXAMPLE. For walls on the site boundary (no heel).</t>
  </si>
  <si>
    <t xml:space="preserve">STD-RW-002</t>
  </si>
  <si>
    <t xml:space="preserve">STD-RW-003</t>
  </si>
  <si>
    <t xml:space="preserve">STD-RW-004</t>
  </si>
  <si>
    <t xml:space="preserve">T16@125</t>
  </si>
  <si>
    <t xml:space="preserve">STD-RW-005</t>
  </si>
  <si>
    <t xml:space="preserve">STD-RW-006</t>
  </si>
  <si>
    <t xml:space="preserve">STD-RW-007</t>
  </si>
  <si>
    <t xml:space="preserve">EXAMPLE. GWT at 1/2 H behind wall.</t>
  </si>
  <si>
    <t xml:space="preserve">T25@150</t>
  </si>
  <si>
    <t xml:space="preserve">T20@125</t>
  </si>
  <si>
    <t xml:space="preserve">STD-RW-008</t>
  </si>
  <si>
    <t xml:space="preserve">STD-RW-013</t>
  </si>
  <si>
    <t xml:space="preserve">EXAMPLE. Counterforts at 3.0 m c/c.</t>
  </si>
  <si>
    <t xml:space="preserve">STD-RW-009</t>
  </si>
  <si>
    <t xml:space="preserve">EXAMPLE. Mass concrete, no rebar.</t>
  </si>
  <si>
    <t xml:space="preserve">Embedded Retaining Wall / ERSS Register (Singapore)</t>
  </si>
  <si>
    <t xml:space="preserve">CBP, secant, sheet pile, diaphragm wall, soldier pile. Tabulated by excavation depth, support system and soil profile. Standard designs are tender-stage typicals for a soil profile class; site-specific design always required.</t>
  </si>
  <si>
    <t xml:space="preserve">Excavation Depth (m)</t>
  </si>
  <si>
    <t xml:space="preserve">Support System</t>
  </si>
  <si>
    <t xml:space="preserve">Soil Profile</t>
  </si>
  <si>
    <t xml:space="preserve">GWT (m below ground)</t>
  </si>
  <si>
    <t xml:space="preserve">Pile Dia / Section</t>
  </si>
  <si>
    <t xml:space="preserve">Spacing / Overlap (mm)</t>
  </si>
  <si>
    <t xml:space="preserve">Toe Embedment (m)</t>
  </si>
  <si>
    <t xml:space="preserve">Pile / Wall Length (m)</t>
  </si>
  <si>
    <t xml:space="preserve">Main Bar / Cage</t>
  </si>
  <si>
    <t xml:space="preserve">Capping Beam (W x D mm)</t>
  </si>
  <si>
    <t xml:space="preserve">Waler Section</t>
  </si>
  <si>
    <t xml:space="preserve">Strut Section &amp; Spacing</t>
  </si>
  <si>
    <t xml:space="preserve">Max Wall Deflection (mm)</t>
  </si>
  <si>
    <t xml:space="preserve">Allowable Deflection (mm)</t>
  </si>
  <si>
    <t xml:space="preserve">Instrumentation</t>
  </si>
  <si>
    <t xml:space="preserve">600 dia</t>
  </si>
  <si>
    <t xml:space="preserve">750 c/c</t>
  </si>
  <si>
    <t xml:space="preserve">12T25, R10@200</t>
  </si>
  <si>
    <t xml:space="preserve">900 x 800</t>
  </si>
  <si>
    <t xml:space="preserve">Inclinometer @ 20 m</t>
  </si>
  <si>
    <t xml:space="preserve">SS EN 1997-1 DA1 + NA; SS EN 1992-1-1; BCA ERSS requirements</t>
  </si>
  <si>
    <t xml:space="preserve">STD-EW-001</t>
  </si>
  <si>
    <t xml:space="preserve">EXAMPLE. Plus lagging / shotcrete between piles.</t>
  </si>
  <si>
    <t xml:space="preserve">800 dia</t>
  </si>
  <si>
    <t xml:space="preserve">950 c/c</t>
  </si>
  <si>
    <t xml:space="preserve">16T32, R12@150</t>
  </si>
  <si>
    <t xml:space="preserve">1100 x 900</t>
  </si>
  <si>
    <t xml:space="preserve">UB 610x229</t>
  </si>
  <si>
    <t xml:space="preserve">CHS 508x12.5 @ 6 m</t>
  </si>
  <si>
    <t xml:space="preserve">Inclinometer, strain gauges</t>
  </si>
  <si>
    <t xml:space="preserve">STD-EW-002</t>
  </si>
  <si>
    <t xml:space="preserve">1000 dia</t>
  </si>
  <si>
    <t xml:space="preserve">200 overlap</t>
  </si>
  <si>
    <t xml:space="preserve">Primary 20T32</t>
  </si>
  <si>
    <t xml:space="preserve">1300 x 1000</t>
  </si>
  <si>
    <t xml:space="preserve">UB 762x267</t>
  </si>
  <si>
    <t xml:space="preserve">CHS 610x16 @ 6 m</t>
  </si>
  <si>
    <t xml:space="preserve">Inclinometer, piezometer, settlement markers</t>
  </si>
  <si>
    <t xml:space="preserve">STD-EW-003</t>
  </si>
  <si>
    <t xml:space="preserve">EXAMPLE. Watertight; toe into Old Alluvium.</t>
  </si>
  <si>
    <t xml:space="preserve">FSP IV</t>
  </si>
  <si>
    <t xml:space="preserve">UB 457x191</t>
  </si>
  <si>
    <t xml:space="preserve">CHS 406x12.5 @ 5 m</t>
  </si>
  <si>
    <t xml:space="preserve">Inclinometer, piezometer</t>
  </si>
  <si>
    <t xml:space="preserve">STD-EW-004</t>
  </si>
  <si>
    <t xml:space="preserve">EXAMPLE. Per BCA sheet pile integrity guideline (Nov 2025).</t>
  </si>
  <si>
    <t xml:space="preserve">Panels 6 m</t>
  </si>
  <si>
    <t xml:space="preserve">T40@150 both faces</t>
  </si>
  <si>
    <t xml:space="preserve">1200 x 1200</t>
  </si>
  <si>
    <t xml:space="preserve">Twin UB 914</t>
  </si>
  <si>
    <t xml:space="preserve">Twin H400 @ 8 m</t>
  </si>
  <si>
    <t xml:space="preserve">Full instrumentation plan</t>
  </si>
  <si>
    <t xml:space="preserve">STD-EW-005</t>
  </si>
  <si>
    <t xml:space="preserve">EXAMPLE. Indicative only; project-specific design.</t>
  </si>
  <si>
    <t xml:space="preserve">Sewer Manhole Register (Singapore, permanent)</t>
  </si>
  <si>
    <t xml:space="preserve">Permanent manholes per PUB COP SSW 3rd Ed and PUB/WRN/STD drawings. One row per size and depth range. Link the typical temporary ERSS pit design.</t>
  </si>
  <si>
    <t xml:space="preserve">Manhole Type</t>
  </si>
  <si>
    <t xml:space="preserve">Construction</t>
  </si>
  <si>
    <t xml:space="preserve">Internal Length / Dia (mm)</t>
  </si>
  <si>
    <t xml:space="preserve">Min Depth (m)</t>
  </si>
  <si>
    <t xml:space="preserve">Max Depth (m)</t>
  </si>
  <si>
    <t xml:space="preserve">Max Incoming Pipe Dia (mm)</t>
  </si>
  <si>
    <t xml:space="preserve">Roof Slab Thk (mm)</t>
  </si>
  <si>
    <t xml:space="preserve">Cover &amp; Frame</t>
  </si>
  <si>
    <t xml:space="preserve">Access (step irons / ladder)</t>
  </si>
  <si>
    <t xml:space="preserve">Benching / Channel</t>
  </si>
  <si>
    <t xml:space="preserve">Uplift FOS</t>
  </si>
  <si>
    <t xml:space="preserve">Wall Bar</t>
  </si>
  <si>
    <t xml:space="preserve">Base Bar</t>
  </si>
  <si>
    <t xml:space="preserve">Roof Slab Bar</t>
  </si>
  <si>
    <t xml:space="preserve">PUB Std Drawing Ref</t>
  </si>
  <si>
    <t xml:space="preserve">Typical Temporary ERSS (Design ID)</t>
  </si>
  <si>
    <t xml:space="preserve">Heavy duty DI, per PUB std</t>
  </si>
  <si>
    <t xml:space="preserve">Step irons @ 300</t>
  </si>
  <si>
    <t xml:space="preserve">Per PUB std</t>
  </si>
  <si>
    <t xml:space="preserve">PUB/WRN/STD/001C</t>
  </si>
  <si>
    <t xml:space="preserve">ERSS-TSB-3000x2500-D3000-FSC-A</t>
  </si>
  <si>
    <t xml:space="preserve">PUB COP SSW 3rd Ed (Mar 2025); PUB/WRN/STD drawings; SS EN 1992-1-1</t>
  </si>
  <si>
    <t xml:space="preserve">STD-MH-001</t>
  </si>
  <si>
    <t xml:space="preserve">EXAMPLE. Quantities at max depth.</t>
  </si>
  <si>
    <t xml:space="preserve">T16@200</t>
  </si>
  <si>
    <t xml:space="preserve">STD-MH-002</t>
  </si>
  <si>
    <t xml:space="preserve">STD-MH-003</t>
  </si>
  <si>
    <t xml:space="preserve">Precast rings</t>
  </si>
  <si>
    <t xml:space="preserve">PUB/WRN/STD/006C + 003B</t>
  </si>
  <si>
    <t xml:space="preserve">ERSS-SC-3000x3000-D10000-OA-A</t>
  </si>
  <si>
    <t xml:space="preserve">STD-MH-004</t>
  </si>
  <si>
    <t xml:space="preserve">STD-MH-099</t>
  </si>
  <si>
    <t xml:space="preserve">EXAMPLE. Shows the 001C depth check.</t>
  </si>
  <si>
    <t xml:space="preserve">Temporary ERSS Pit Register (manholes, jacking / receiving pits, trenches)</t>
  </si>
  <si>
    <t xml:space="preserve">Temporary works for sewer manholes and pits, per nr. BCA submission route shown is indicative: QP to confirm per project.</t>
  </si>
  <si>
    <t xml:space="preserve">ERSS Type</t>
  </si>
  <si>
    <t xml:space="preserve">Pit Plan Length (mm)</t>
  </si>
  <si>
    <t xml:space="preserve">Pit Plan Width (mm)</t>
  </si>
  <si>
    <t xml:space="preserve">Sheet Pile / Wall Section</t>
  </si>
  <si>
    <t xml:space="preserve">Pile Length (m)</t>
  </si>
  <si>
    <t xml:space="preserve">Strut Levels</t>
  </si>
  <si>
    <t xml:space="preserve">Strut / Corner Brace</t>
  </si>
  <si>
    <t xml:space="preserve">Base Stability FOS</t>
  </si>
  <si>
    <t xml:space="preserve">Dewatering / Grouting</t>
  </si>
  <si>
    <t xml:space="preserve">Steel shoring box</t>
  </si>
  <si>
    <t xml:space="preserve">Box frame</t>
  </si>
  <si>
    <t xml:space="preserve">Sump pump</t>
  </si>
  <si>
    <t xml:space="preserve">SS EN 1997-1 DA1 + NA; BCA ERSS requirements (Mar 2024); BCA sheet pile guideline (Nov 2025)</t>
  </si>
  <si>
    <t xml:space="preserve">STD-EP-001</t>
  </si>
  <si>
    <t xml:space="preserve">EXAMPLE. Hired box; quantities exclude hire.</t>
  </si>
  <si>
    <t xml:space="preserve">FSP III</t>
  </si>
  <si>
    <t xml:space="preserve">Corner brace UB 406</t>
  </si>
  <si>
    <t xml:space="preserve">Well points</t>
  </si>
  <si>
    <t xml:space="preserve">STD-EP-002</t>
  </si>
  <si>
    <t xml:space="preserve">EXAMPLE. Steel = sheet piles + walers + struts.</t>
  </si>
  <si>
    <t xml:space="preserve">CHS 508 + thrust wall</t>
  </si>
  <si>
    <t xml:space="preserve">Well points + JGP base</t>
  </si>
  <si>
    <t xml:space="preserve">STD-EP-003</t>
  </si>
  <si>
    <t xml:space="preserve">EXAMPLE. Includes RC thrust wall.</t>
  </si>
  <si>
    <t xml:space="preserve">Liner plate rings</t>
  </si>
  <si>
    <t xml:space="preserve">Ring stiffeners</t>
  </si>
  <si>
    <t xml:space="preserve">Grouting as needed</t>
  </si>
  <si>
    <t xml:space="preserve">STD-EP-004</t>
  </si>
  <si>
    <t xml:space="preserve">Covered Linkway Register (LTA SDRE Ch.22)</t>
  </si>
  <si>
    <t xml:space="preserve">Follows LTA SDRE Rev I (Mar 2026) Chapter 22 Covered Linkway (CLW1 layout/elevations, CLW2 high linkway, CLW3-CLW5 modular). Quantities per bay.</t>
  </si>
  <si>
    <t xml:space="preserve">Linkway Type</t>
  </si>
  <si>
    <t xml:space="preserve">SDRE Drawing Ref</t>
  </si>
  <si>
    <t xml:space="preserve">Roof Width, eave to eave (m)</t>
  </si>
  <si>
    <t xml:space="preserve">Clear Headroom (m)</t>
  </si>
  <si>
    <t xml:space="preserve">Bay / Column Spacing (m)</t>
  </si>
  <si>
    <t xml:space="preserve">Column Arrangement</t>
  </si>
  <si>
    <t xml:space="preserve">Column Section</t>
  </si>
  <si>
    <t xml:space="preserve">Roof Material</t>
  </si>
  <si>
    <t xml:space="preserve">Roof Profile / Fall</t>
  </si>
  <si>
    <t xml:space="preserve">Gutter &amp; Downpipe</t>
  </si>
  <si>
    <t xml:space="preserve">Footing Type</t>
  </si>
  <si>
    <t xml:space="preserve">Footing Size (L x B x D mm)</t>
  </si>
  <si>
    <t xml:space="preserve">RC Stump (dia x H mm)</t>
  </si>
  <si>
    <t xml:space="preserve">Basic Wind Speed (m/s)</t>
  </si>
  <si>
    <t xml:space="preserve">Roof Fixing Pull-out (kN)</t>
  </si>
  <si>
    <t xml:space="preserve">Demountable / Bolted (Y/N)</t>
  </si>
  <si>
    <t xml:space="preserve">Lighting Provision</t>
  </si>
  <si>
    <t xml:space="preserve">Roof Sheeting (m2/unit)</t>
  </si>
  <si>
    <t xml:space="preserve">CHS 168.3x6.3</t>
  </si>
  <si>
    <t xml:space="preserve">Curved</t>
  </si>
  <si>
    <t xml:space="preserve">Aluminium gutter, 100 dia DP</t>
  </si>
  <si>
    <t xml:space="preserve">Pad footing</t>
  </si>
  <si>
    <t xml:space="preserve">1200 x 1200 x 600</t>
  </si>
  <si>
    <t xml:space="preserve">400 x 600</t>
  </si>
  <si>
    <t xml:space="preserve">Conduit only</t>
  </si>
  <si>
    <t xml:space="preserve">LTA SDRE Rev I (Mar 2026) Ch.22; LTA ADC s4.8; SS EN 1991-1-4; SS EN 1993-1-1</t>
  </si>
  <si>
    <t xml:space="preserve">STD-LKW-001</t>
  </si>
  <si>
    <t xml:space="preserve">EXAMPLE. Per bay incl. 1 footing. Confirm against SDRE CLW sheets.</t>
  </si>
  <si>
    <t xml:space="preserve">CHS 139.7x5.0</t>
  </si>
  <si>
    <t xml:space="preserve">1000 x 1000 x 600</t>
  </si>
  <si>
    <t xml:space="preserve">STD-LKW-002</t>
  </si>
  <si>
    <t xml:space="preserve">EXAMPLE. For MRT/LRT and high-traffic routes.</t>
  </si>
  <si>
    <t xml:space="preserve">CHS 219.1x8.0</t>
  </si>
  <si>
    <t xml:space="preserve">Flat, 2% fall</t>
  </si>
  <si>
    <t xml:space="preserve">1500 x 1500 x 800</t>
  </si>
  <si>
    <t xml:space="preserve">500 x 600</t>
  </si>
  <si>
    <t xml:space="preserve">STD-LKW-003</t>
  </si>
  <si>
    <t xml:space="preserve">EXAMPLE. Over vehicular access. Awaiting QP approval.</t>
  </si>
  <si>
    <t xml:space="preserve">Per SDRE CLW3</t>
  </si>
  <si>
    <t xml:space="preserve">Per SDRE</t>
  </si>
  <si>
    <t xml:space="preserve">STD-LKW-004</t>
  </si>
  <si>
    <t xml:space="preserve">EXAMPLE. Populate from SDRE Rev I modular sheets (CLW3-CLW5).</t>
  </si>
  <si>
    <t xml:space="preserve">Other Structures Register</t>
  </si>
  <si>
    <t xml:space="preserve">Railing, staircase, POB, USD, bus shelter and others.</t>
  </si>
  <si>
    <t xml:space="preserve">Type (short)</t>
  </si>
  <si>
    <t xml:space="preserve">Span / Length (m)</t>
  </si>
  <si>
    <t xml:space="preserve">Height / Rise (m)</t>
  </si>
  <si>
    <t xml:space="preserve">Width (m)</t>
  </si>
  <si>
    <t xml:space="preserve">Design Load</t>
  </si>
  <si>
    <t xml:space="preserve">Foundation</t>
  </si>
  <si>
    <t xml:space="preserve">Material</t>
  </si>
  <si>
    <t xml:space="preserve">Key Members / Reinforcement</t>
  </si>
  <si>
    <t xml:space="preserve">Drain Safety</t>
  </si>
  <si>
    <t xml:space="preserve">Line load per SS EN 1991-1-1</t>
  </si>
  <si>
    <t xml:space="preserve">Cast-in plate</t>
  </si>
  <si>
    <t xml:space="preserve">Galv. steel</t>
  </si>
  <si>
    <t xml:space="preserve">50x50 SHS posts @1.5 m</t>
  </si>
  <si>
    <t xml:space="preserve">LTA CDC C&amp;S A3; LTA SDRE Rev I; SS EN 1990/1991/1993</t>
  </si>
  <si>
    <t xml:space="preserve">STD-RLG-001</t>
  </si>
  <si>
    <t xml:space="preserve">EXAMPLE. For open drains deeper than 1.0 m.</t>
  </si>
  <si>
    <t xml:space="preserve">Parapet</t>
  </si>
  <si>
    <t xml:space="preserve">Bolted to RC kerb</t>
  </si>
  <si>
    <t xml:space="preserve">100x50 RHS posts @1.2 m</t>
  </si>
  <si>
    <t xml:space="preserve">STD-RLG-002</t>
  </si>
  <si>
    <t xml:space="preserve">RC Straight Flight</t>
  </si>
  <si>
    <t xml:space="preserve">Imposed per SS EN 1991-1-1</t>
  </si>
  <si>
    <t xml:space="preserve">Ground beam</t>
  </si>
  <si>
    <t xml:space="preserve">RC C32/40</t>
  </si>
  <si>
    <t xml:space="preserve">Waist 175, T13@150</t>
  </si>
  <si>
    <t xml:space="preserve">STD-STR-001</t>
  </si>
  <si>
    <t xml:space="preserve">EXAMPLE. Per flight.</t>
  </si>
  <si>
    <t xml:space="preserve">Steel Truss with Lift</t>
  </si>
  <si>
    <t xml:space="preserve">Crowd load; SS EN 1991-2</t>
  </si>
  <si>
    <t xml:space="preserve">Bored piles</t>
  </si>
  <si>
    <t xml:space="preserve">Steel truss</t>
  </si>
  <si>
    <t xml:space="preserve">Warren truss, CHS chords</t>
  </si>
  <si>
    <t xml:space="preserve">STD-POB-001</t>
  </si>
  <si>
    <t xml:space="preserve">EXAMPLE. Indicative only.</t>
  </si>
</sst>
</file>

<file path=xl/styles.xml><?xml version="1.0" encoding="utf-8"?>
<styleSheet xmlns="http://schemas.openxmlformats.org/spreadsheetml/2006/main">
  <numFmts count="9">
    <numFmt numFmtId="164" formatCode="General"/>
    <numFmt numFmtId="165" formatCode="General"/>
    <numFmt numFmtId="166" formatCode="0.00"/>
    <numFmt numFmtId="167" formatCode="0.0"/>
    <numFmt numFmtId="168" formatCode="#,##0.0"/>
    <numFmt numFmtId="169" formatCode="#,##0.00"/>
    <numFmt numFmtId="170" formatCode="dd\-mmm\-yy"/>
    <numFmt numFmtId="171" formatCode="0"/>
    <numFmt numFmtId="172" formatCode="0.00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1"/>
      <color rgb="FF1F3864"/>
      <name val="Arial"/>
      <family val="0"/>
      <charset val="1"/>
    </font>
    <font>
      <i val="true"/>
      <sz val="9"/>
      <color rgb="FF595959"/>
      <name val="Arial"/>
      <family val="0"/>
      <charset val="1"/>
    </font>
    <font>
      <b val="true"/>
      <sz val="9"/>
      <color rgb="FFFFFFFF"/>
      <name val="Arial"/>
      <family val="0"/>
      <charset val="1"/>
    </font>
    <font>
      <sz val="9"/>
      <color rgb="FF0000FF"/>
      <name val="Arial"/>
      <family val="0"/>
      <charset val="1"/>
    </font>
    <font>
      <sz val="9"/>
      <color rgb="FF000000"/>
      <name val="Arial"/>
      <family val="0"/>
      <charset val="1"/>
    </font>
  </fonts>
  <fills count="10">
    <fill>
      <patternFill patternType="none"/>
    </fill>
    <fill>
      <patternFill patternType="gray125"/>
    </fill>
    <fill>
      <patternFill patternType="solid">
        <fgColor rgb="FF1F3864"/>
        <bgColor rgb="FF333399"/>
      </patternFill>
    </fill>
    <fill>
      <patternFill patternType="solid">
        <fgColor rgb="FFFFF2CC"/>
        <bgColor rgb="FFF2F2F2"/>
      </patternFill>
    </fill>
    <fill>
      <patternFill patternType="solid">
        <fgColor rgb="FFF2F2F2"/>
        <bgColor rgb="FFE2EFDA"/>
      </patternFill>
    </fill>
    <fill>
      <patternFill patternType="solid">
        <fgColor rgb="FF7F7F7F"/>
        <bgColor rgb="FF969696"/>
      </patternFill>
    </fill>
    <fill>
      <patternFill patternType="solid">
        <fgColor rgb="FF375623"/>
        <bgColor rgb="FF595959"/>
      </patternFill>
    </fill>
    <fill>
      <patternFill patternType="solid">
        <fgColor rgb="FFE2EFDA"/>
        <bgColor rgb="FFF2F2F2"/>
      </patternFill>
    </fill>
    <fill>
      <patternFill patternType="solid">
        <fgColor rgb="FFFFE699"/>
        <bgColor rgb="FFFFF2CC"/>
      </patternFill>
    </fill>
    <fill>
      <patternFill patternType="solid">
        <fgColor rgb="FF7030A0"/>
        <bgColor rgb="FF99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center" vertical="center" textRotation="0" wrapText="true" indent="0" shrinkToFit="false"/>
      <protection locked="true" hidden="false"/>
    </xf>
    <xf numFmtId="171" fontId="10" fillId="7" borderId="1" xfId="0" applyFont="tru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false" applyProtection="false">
      <alignment horizontal="general" vertical="bottom" textRotation="0" wrapText="false" indent="0" shrinkToFit="false"/>
      <protection locked="true" hidden="false"/>
    </xf>
    <xf numFmtId="172"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70" fontId="10" fillId="7"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8CBAD"/>
        </patternFill>
      </fill>
    </dxf>
    <dxf>
      <fill>
        <patternFill>
          <bgColor rgb="FFC6EFCE"/>
        </patternFill>
      </fill>
    </dxf>
    <dxf>
      <fill>
        <patternFill patternType="solid">
          <fgColor rgb="FF7F7F7F"/>
          <bgColor rgb="FF000000"/>
        </patternFill>
      </fill>
    </dxf>
    <dxf>
      <fill>
        <patternFill patternType="solid">
          <fgColor rgb="FFF2F2F2"/>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7030A0"/>
          <bgColor rgb="FF000000"/>
        </patternFill>
      </fill>
    </dxf>
    <dxf>
      <fill>
        <patternFill patternType="solid">
          <fgColor rgb="FF375623"/>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699"/>
          <bgColor rgb="FF000000"/>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699"/>
      <rgbColor rgb="FF99CCFF"/>
      <rgbColor rgb="FFFF99CC"/>
      <rgbColor rgb="FFCC99FF"/>
      <rgbColor rgb="FFF8CBAD"/>
      <rgbColor rgb="FF3366FF"/>
      <rgbColor rgb="FF33CCCC"/>
      <rgbColor rgb="FF99CC00"/>
      <rgbColor rgb="FFFFCC00"/>
      <rgbColor rgb="FFBF8F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ables/table1.xml><?xml version="1.0" encoding="utf-8"?>
<table xmlns="http://schemas.openxmlformats.org/spreadsheetml/2006/main" id="1" name="tblDrain" displayName="tblDrain" ref="A4:AW304" headerRowCount="1" totalsRowCount="0" totalsRowShown="0">
  <autoFilter ref="A4:AW304"/>
  <tableColumns count="49">
    <tableColumn id="1" name="Design ID"/>
    <tableColumn id="2" name="Description"/>
    <tableColumn id="3" name="Drain Type"/>
    <tableColumn id="4" name="Category"/>
    <tableColumn id="5" name="Open / Covered"/>
    <tableColumn id="6" name="Internal Width (mm)"/>
    <tableColumn id="7" name="Internal Depth / Clear Height (mm)"/>
    <tableColumn id="8" name="No. of Cells"/>
    <tableColumn id="9" name="Wall Thk (mm)"/>
    <tableColumn id="10" name="Base Thk (mm)"/>
    <tableColumn id="11" name="Top Slab Thk (mm)"/>
    <tableColumn id="12" name="Loading"/>
    <tableColumn id="13" name="Fill over Top / Surcharge"/>
    <tableColumn id="14" name="Concrete Grade"/>
    <tableColumn id="15" name="Cover (mm)"/>
    <tableColumn id="16" name="Wall Main Bar"/>
    <tableColumn id="17" name="Base Main Bar"/>
    <tableColumn id="18" name="Top Slab Bar"/>
    <tableColumn id="19" name="Distribution Bar"/>
    <tableColumn id="20" name="Code Basis"/>
    <tableColumn id="21" name="Rev"/>
    <tableColumn id="22" name="Status"/>
    <tableColumn id="23" name="Drawing No."/>
    <tableColumn id="24" name="Detail Scale (1:n)"/>
    <tableColumn id="25" name="STAAD.Pro Model? (Y/N)"/>
    <tableColumn id="26" name="Design Folder"/>
    <tableColumn id="27" name="CAD Detail (.dwg)"/>
    <tableColumn id="28" name="Drawing (.pdf)"/>
    <tableColumn id="29" name="STAAD.Pro (.std)"/>
    <tableColumn id="30" name="Calc Sheet (.xlsx)"/>
    <tableColumn id="31" name="Calc Report (.pdf)"/>
    <tableColumn id="32" name="Files Checked in Folder (Y/N)"/>
    <tableColumn id="33" name="Qty Unit"/>
    <tableColumn id="34" name="Concrete (m3/unit)"/>
    <tableColumn id="35" name="Rebar (kg/unit)"/>
    <tableColumn id="36" name="Steel (kg/unit)"/>
    <tableColumn id="37" name="Formwork (m2/unit)"/>
    <tableColumn id="38" name="Excavation (m3/unit)"/>
    <tableColumn id="39" name="Flow Capacity Q (m3/s)"/>
    <tableColumn id="40" name="Velocity at Capacity (m/s)"/>
    <tableColumn id="41" name="SG Compliance Check"/>
    <tableColumn id="42" name="Limitations / Notes"/>
    <tableColumn id="43" name="Projects / Tenders Used"/>
    <tableColumn id="44" name="Designer"/>
    <tableColumn id="45" name="Checker"/>
    <tableColumn id="46" name="Approved By (QP)"/>
    <tableColumn id="47" name="Approval Date"/>
    <tableColumn id="48" name="Selectable"/>
    <tableColumn id="49" name="Selector Key"/>
  </tableColumns>
</table>
</file>

<file path=xl/tables/table2.xml><?xml version="1.0" encoding="utf-8"?>
<table xmlns="http://schemas.openxmlformats.org/spreadsheetml/2006/main" id="2" name="tblEmbedded" displayName="tblEmbedded" ref="A4:AY304" headerRowCount="1" totalsRowCount="0" totalsRowShown="0">
  <autoFilter ref="A4:AY304"/>
  <tableColumns count="51">
    <tableColumn id="1" name="Design ID"/>
    <tableColumn id="2" name="Description"/>
    <tableColumn id="3" name="Wall Type"/>
    <tableColumn id="4" name="Temporary / Permanent"/>
    <tableColumn id="5" name="Excavation Depth (m)"/>
    <tableColumn id="6" name="Support System"/>
    <tableColumn id="7" name="Soil Profile"/>
    <tableColumn id="8" name="GWT (m below ground)"/>
    <tableColumn id="9" name="Surcharge (kPa)"/>
    <tableColumn id="10" name="Pile Dia / Section"/>
    <tableColumn id="11" name="Spacing / Overlap (mm)"/>
    <tableColumn id="12" name="Wall Thk (mm)"/>
    <tableColumn id="13" name="Toe Embedment (m)"/>
    <tableColumn id="14" name="Pile / Wall Length (m)"/>
    <tableColumn id="15" name="Main Bar / Cage"/>
    <tableColumn id="16" name="Capping Beam (W x D mm)"/>
    <tableColumn id="17" name="Waler Section"/>
    <tableColumn id="18" name="Strut Section &amp; Spacing"/>
    <tableColumn id="19" name="Max Wall Deflection (mm)"/>
    <tableColumn id="20" name="Allowable Deflection (mm)"/>
    <tableColumn id="21" name="Concrete Grade"/>
    <tableColumn id="22" name="Instrumentation"/>
    <tableColumn id="23" name="Code Basis"/>
    <tableColumn id="24" name="Rev"/>
    <tableColumn id="25" name="Status"/>
    <tableColumn id="26" name="Drawing No."/>
    <tableColumn id="27" name="Detail Scale (1:n)"/>
    <tableColumn id="28" name="STAAD.Pro Model? (Y/N)"/>
    <tableColumn id="29" name="Design Folder"/>
    <tableColumn id="30" name="CAD Detail (.dwg)"/>
    <tableColumn id="31" name="Drawing (.pdf)"/>
    <tableColumn id="32" name="STAAD.Pro (.std)"/>
    <tableColumn id="33" name="Calc Sheet (.xlsx)"/>
    <tableColumn id="34" name="Calc Report (.pdf)"/>
    <tableColumn id="35" name="Files Checked in Folder (Y/N)"/>
    <tableColumn id="36" name="Qty Unit"/>
    <tableColumn id="37" name="Concrete (m3/unit)"/>
    <tableColumn id="38" name="Rebar (kg/unit)"/>
    <tableColumn id="39" name="Steel (kg/unit)"/>
    <tableColumn id="40" name="Formwork (m2/unit)"/>
    <tableColumn id="41" name="Excavation (m3/unit)"/>
    <tableColumn id="42" name="BCA ERSS Submission (indicative)"/>
    <tableColumn id="43" name="SG Compliance Check"/>
    <tableColumn id="44" name="Limitations / Notes"/>
    <tableColumn id="45" name="Projects / Tenders Used"/>
    <tableColumn id="46" name="Designer"/>
    <tableColumn id="47" name="Checker"/>
    <tableColumn id="48" name="Approved By (QP)"/>
    <tableColumn id="49" name="Approval Date"/>
    <tableColumn id="50" name="Selectable"/>
    <tableColumn id="51" name="Selector Key"/>
  </tableColumns>
</table>
</file>

<file path=xl/tables/table3.xml><?xml version="1.0" encoding="utf-8"?>
<table xmlns="http://schemas.openxmlformats.org/spreadsheetml/2006/main" id="3" name="tblERSSPit" displayName="tblERSSPit" ref="A4:AV304" headerRowCount="1" totalsRowCount="0" totalsRowShown="0">
  <autoFilter ref="A4:AV304"/>
  <tableColumns count="48">
    <tableColumn id="1" name="Design ID"/>
    <tableColumn id="2" name="Description"/>
    <tableColumn id="3" name="ERSS Type"/>
    <tableColumn id="4" name="Purpose"/>
    <tableColumn id="5" name="Pit Plan Length (mm)"/>
    <tableColumn id="6" name="Pit Plan Width (mm)"/>
    <tableColumn id="7" name="Excavation Depth (m)"/>
    <tableColumn id="8" name="Soil Profile"/>
    <tableColumn id="9" name="GWT (m below ground)"/>
    <tableColumn id="10" name="Surcharge (kPa)"/>
    <tableColumn id="11" name="Sheet Pile / Wall Section"/>
    <tableColumn id="12" name="Pile Length (m)"/>
    <tableColumn id="13" name="Toe Embedment (m)"/>
    <tableColumn id="14" name="Strut Levels"/>
    <tableColumn id="15" name="Waler Section"/>
    <tableColumn id="16" name="Strut / Corner Brace"/>
    <tableColumn id="17" name="Base Stability FOS"/>
    <tableColumn id="18" name="Dewatering / Grouting"/>
    <tableColumn id="19" name="Max Wall Deflection (mm)"/>
    <tableColumn id="20" name="Code Basis"/>
    <tableColumn id="21" name="Rev"/>
    <tableColumn id="22" name="Status"/>
    <tableColumn id="23" name="Drawing No."/>
    <tableColumn id="24" name="Detail Scale (1:n)"/>
    <tableColumn id="25" name="STAAD.Pro Model? (Y/N)"/>
    <tableColumn id="26" name="Design Folder"/>
    <tableColumn id="27" name="CAD Detail (.dwg)"/>
    <tableColumn id="28" name="Drawing (.pdf)"/>
    <tableColumn id="29" name="STAAD.Pro (.std)"/>
    <tableColumn id="30" name="Calc Sheet (.xlsx)"/>
    <tableColumn id="31" name="Calc Report (.pdf)"/>
    <tableColumn id="32" name="Files Checked in Folder (Y/N)"/>
    <tableColumn id="33" name="Qty Unit"/>
    <tableColumn id="34" name="Concrete (m3/unit)"/>
    <tableColumn id="35" name="Rebar (kg/unit)"/>
    <tableColumn id="36" name="Steel (kg/unit)"/>
    <tableColumn id="37" name="Formwork (m2/unit)"/>
    <tableColumn id="38" name="Excavation (m3/unit)"/>
    <tableColumn id="39" name="BCA ERSS Submission (indicative)"/>
    <tableColumn id="40" name="SG Compliance Check"/>
    <tableColumn id="41" name="Limitations / Notes"/>
    <tableColumn id="42" name="Projects / Tenders Used"/>
    <tableColumn id="43" name="Designer"/>
    <tableColumn id="44" name="Checker"/>
    <tableColumn id="45" name="Approved By (QP)"/>
    <tableColumn id="46" name="Approval Date"/>
    <tableColumn id="47" name="Selectable"/>
    <tableColumn id="48" name="Selector Key"/>
  </tableColumns>
</table>
</file>

<file path=xl/tables/table4.xml><?xml version="1.0" encoding="utf-8"?>
<table xmlns="http://schemas.openxmlformats.org/spreadsheetml/2006/main" id="4" name="tblLinkway" displayName="tblLinkway" ref="A4:AW304" headerRowCount="1" totalsRowCount="0" totalsRowShown="0">
  <autoFilter ref="A4:AW304"/>
  <tableColumns count="49">
    <tableColumn id="1" name="Design ID"/>
    <tableColumn id="2" name="Description"/>
    <tableColumn id="3" name="Linkway Type"/>
    <tableColumn id="4" name="SDRE Drawing Ref"/>
    <tableColumn id="5" name="Roof Width, eave to eave (m)"/>
    <tableColumn id="6" name="Clear Headroom (m)"/>
    <tableColumn id="7" name="Bay / Column Spacing (m)"/>
    <tableColumn id="8" name="Column Arrangement"/>
    <tableColumn id="9" name="Column Section"/>
    <tableColumn id="10" name="Roof Material"/>
    <tableColumn id="11" name="Roof Profile / Fall"/>
    <tableColumn id="12" name="Gutter &amp; Downpipe"/>
    <tableColumn id="13" name="Footing Type"/>
    <tableColumn id="14" name="Footing Size (L x B x D mm)"/>
    <tableColumn id="15" name="RC Stump (dia x H mm)"/>
    <tableColumn id="16" name="Basic Wind Speed (m/s)"/>
    <tableColumn id="17" name="Roof Fixing Pull-out (kN)"/>
    <tableColumn id="18" name="Concrete Grade"/>
    <tableColumn id="19" name="Demountable / Bolted (Y/N)"/>
    <tableColumn id="20" name="Lighting Provision"/>
    <tableColumn id="21" name="Roof Sheeting (m2/unit)"/>
    <tableColumn id="22" name="Code Basis"/>
    <tableColumn id="23" name="Rev"/>
    <tableColumn id="24" name="Status"/>
    <tableColumn id="25" name="Drawing No."/>
    <tableColumn id="26" name="Detail Scale (1:n)"/>
    <tableColumn id="27" name="STAAD.Pro Model? (Y/N)"/>
    <tableColumn id="28" name="Design Folder"/>
    <tableColumn id="29" name="CAD Detail (.dwg)"/>
    <tableColumn id="30" name="Drawing (.pdf)"/>
    <tableColumn id="31" name="STAAD.Pro (.std)"/>
    <tableColumn id="32" name="Calc Sheet (.xlsx)"/>
    <tableColumn id="33" name="Calc Report (.pdf)"/>
    <tableColumn id="34" name="Files Checked in Folder (Y/N)"/>
    <tableColumn id="35" name="Qty Unit"/>
    <tableColumn id="36" name="Concrete (m3/unit)"/>
    <tableColumn id="37" name="Rebar (kg/unit)"/>
    <tableColumn id="38" name="Steel (kg/unit)"/>
    <tableColumn id="39" name="Formwork (m2/unit)"/>
    <tableColumn id="40" name="Excavation (m3/unit)"/>
    <tableColumn id="41" name="SG Compliance Check"/>
    <tableColumn id="42" name="Limitations / Notes"/>
    <tableColumn id="43" name="Projects / Tenders Used"/>
    <tableColumn id="44" name="Designer"/>
    <tableColumn id="45" name="Checker"/>
    <tableColumn id="46" name="Approved By (QP)"/>
    <tableColumn id="47" name="Approval Date"/>
    <tableColumn id="48" name="Selectable"/>
    <tableColumn id="49" name="Selector Key"/>
  </tableColumns>
</table>
</file>

<file path=xl/tables/table5.xml><?xml version="1.0" encoding="utf-8"?>
<table xmlns="http://schemas.openxmlformats.org/spreadsheetml/2006/main" id="5" name="tblManhole" displayName="tblManhole" ref="A4:BA304" headerRowCount="1" totalsRowCount="0" totalsRowShown="0">
  <autoFilter ref="A4:BA304"/>
  <tableColumns count="53">
    <tableColumn id="1" name="Design ID"/>
    <tableColumn id="2" name="Description"/>
    <tableColumn id="3" name="Manhole Type"/>
    <tableColumn id="4" name="Construction"/>
    <tableColumn id="5" name="Shape"/>
    <tableColumn id="6" name="Internal Length / Dia (mm)"/>
    <tableColumn id="7" name="Internal Width (mm)"/>
    <tableColumn id="8" name="Min Depth (m)"/>
    <tableColumn id="9" name="Max Depth (m)"/>
    <tableColumn id="10" name="Max Incoming Pipe Dia (mm)"/>
    <tableColumn id="11" name="Wall Thk (mm)"/>
    <tableColumn id="12" name="Base Thk (mm)"/>
    <tableColumn id="13" name="Roof Slab Thk (mm)"/>
    <tableColumn id="14" name="Cover &amp; Frame"/>
    <tableColumn id="15" name="Access (step irons / ladder)"/>
    <tableColumn id="16" name="Benching / Channel"/>
    <tableColumn id="17" name="Loading"/>
    <tableColumn id="18" name="Uplift FOS"/>
    <tableColumn id="19" name="Concrete Grade"/>
    <tableColumn id="20" name="Cover (mm)"/>
    <tableColumn id="21" name="Wall Bar"/>
    <tableColumn id="22" name="Base Bar"/>
    <tableColumn id="23" name="Roof Slab Bar"/>
    <tableColumn id="24" name="PUB Std Drawing Ref"/>
    <tableColumn id="25" name="Typical Temporary ERSS (Design ID)"/>
    <tableColumn id="26" name="Code Basis"/>
    <tableColumn id="27" name="Rev"/>
    <tableColumn id="28" name="Status"/>
    <tableColumn id="29" name="Drawing No."/>
    <tableColumn id="30" name="Detail Scale (1:n)"/>
    <tableColumn id="31" name="STAAD.Pro Model? (Y/N)"/>
    <tableColumn id="32" name="Design Folder"/>
    <tableColumn id="33" name="CAD Detail (.dwg)"/>
    <tableColumn id="34" name="Drawing (.pdf)"/>
    <tableColumn id="35" name="STAAD.Pro (.std)"/>
    <tableColumn id="36" name="Calc Sheet (.xlsx)"/>
    <tableColumn id="37" name="Calc Report (.pdf)"/>
    <tableColumn id="38" name="Files Checked in Folder (Y/N)"/>
    <tableColumn id="39" name="Qty Unit"/>
    <tableColumn id="40" name="Concrete (m3/unit)"/>
    <tableColumn id="41" name="Rebar (kg/unit)"/>
    <tableColumn id="42" name="Steel (kg/unit)"/>
    <tableColumn id="43" name="Formwork (m2/unit)"/>
    <tableColumn id="44" name="Excavation (m3/unit)"/>
    <tableColumn id="45" name="SG Compliance Check"/>
    <tableColumn id="46" name="Limitations / Notes"/>
    <tableColumn id="47" name="Projects / Tenders Used"/>
    <tableColumn id="48" name="Designer"/>
    <tableColumn id="49" name="Checker"/>
    <tableColumn id="50" name="Approved By (QP)"/>
    <tableColumn id="51" name="Approval Date"/>
    <tableColumn id="52" name="Selectable"/>
    <tableColumn id="53" name="Selector Key"/>
  </tableColumns>
</table>
</file>

<file path=xl/tables/table6.xml><?xml version="1.0" encoding="utf-8"?>
<table xmlns="http://schemas.openxmlformats.org/spreadsheetml/2006/main" id="6" name="tblOther" displayName="tblOther" ref="A4:AL304" headerRowCount="1" totalsRowCount="0" totalsRowShown="0">
  <autoFilter ref="A4:AL304"/>
  <tableColumns count="38">
    <tableColumn id="1" name="Design ID"/>
    <tableColumn id="2" name="Description"/>
    <tableColumn id="3" name="Family"/>
    <tableColumn id="4" name="Type (short)"/>
    <tableColumn id="5" name="Span / Length (m)"/>
    <tableColumn id="6" name="Height / Rise (m)"/>
    <tableColumn id="7" name="Width (m)"/>
    <tableColumn id="8" name="Design Load"/>
    <tableColumn id="9" name="Foundation"/>
    <tableColumn id="10" name="Material"/>
    <tableColumn id="11" name="Key Members / Reinforcement"/>
    <tableColumn id="12" name="Code Basis"/>
    <tableColumn id="13" name="Rev"/>
    <tableColumn id="14" name="Status"/>
    <tableColumn id="15" name="Drawing No."/>
    <tableColumn id="16" name="Detail Scale (1:n)"/>
    <tableColumn id="17" name="STAAD.Pro Model? (Y/N)"/>
    <tableColumn id="18" name="Design Folder"/>
    <tableColumn id="19" name="CAD Detail (.dwg)"/>
    <tableColumn id="20" name="Drawing (.pdf)"/>
    <tableColumn id="21" name="STAAD.Pro (.std)"/>
    <tableColumn id="22" name="Calc Sheet (.xlsx)"/>
    <tableColumn id="23" name="Calc Report (.pdf)"/>
    <tableColumn id="24" name="Files Checked in Folder (Y/N)"/>
    <tableColumn id="25" name="Qty Unit"/>
    <tableColumn id="26" name="Concrete (m3/unit)"/>
    <tableColumn id="27" name="Rebar (kg/unit)"/>
    <tableColumn id="28" name="Steel (kg/unit)"/>
    <tableColumn id="29" name="Formwork (m2/unit)"/>
    <tableColumn id="30" name="Excavation (m3/unit)"/>
    <tableColumn id="31" name="SG Compliance Check"/>
    <tableColumn id="32" name="Limitations / Notes"/>
    <tableColumn id="33" name="Projects / Tenders Used"/>
    <tableColumn id="34" name="Designer"/>
    <tableColumn id="35" name="Checker"/>
    <tableColumn id="36" name="Approved By (QP)"/>
    <tableColumn id="37" name="Approval Date"/>
    <tableColumn id="38" name="Selectable"/>
  </tableColumns>
</table>
</file>

<file path=xl/tables/table7.xml><?xml version="1.0" encoding="utf-8"?>
<table xmlns="http://schemas.openxmlformats.org/spreadsheetml/2006/main" id="7" name="tblRW" displayName="tblRW" ref="A4:BB304" headerRowCount="1" totalsRowCount="0" totalsRowShown="0">
  <autoFilter ref="A4:BB304"/>
  <tableColumns count="54">
    <tableColumn id="1" name="Design ID"/>
    <tableColumn id="2" name="Description"/>
    <tableColumn id="3" name="Wall Type"/>
    <tableColumn id="4" name="Retained Height (m)"/>
    <tableColumn id="5" name="Surcharge (kPa)"/>
    <tableColumn id="6" name="GWT Behind Wall (Y/N)"/>
    <tableColumn id="7" name="Backfill Slope (deg)"/>
    <tableColumn id="8" name="Founding Soil"/>
    <tableColumn id="9" name="phi' (deg)"/>
    <tableColumn id="10" name="gamma (kN/m3)"/>
    <tableColumn id="11" name="Stem Top Thk (mm)"/>
    <tableColumn id="12" name="Stem Bottom Thk (mm)"/>
    <tableColumn id="13" name="Base Width (mm)"/>
    <tableColumn id="14" name="Toe (mm)"/>
    <tableColumn id="15" name="Heel (mm)"/>
    <tableColumn id="16" name="Base Thk (mm)"/>
    <tableColumn id="17" name="Shear Key (mm)"/>
    <tableColumn id="18" name="Concrete Grade"/>
    <tableColumn id="19" name="Cover (mm)"/>
    <tableColumn id="20" name="Stem Main Bar"/>
    <tableColumn id="21" name="Base Main Bar"/>
    <tableColumn id="22" name="Drainage (weepholes / filter)"/>
    <tableColumn id="23" name="FOS Sliding"/>
    <tableColumn id="24" name="FOS Overturning"/>
    <tableColumn id="25" name="Max Bearing (kPa)"/>
    <tableColumn id="26" name="Code Basis"/>
    <tableColumn id="27" name="Rev"/>
    <tableColumn id="28" name="Status"/>
    <tableColumn id="29" name="Drawing No."/>
    <tableColumn id="30" name="Detail Scale (1:n)"/>
    <tableColumn id="31" name="STAAD.Pro Model? (Y/N)"/>
    <tableColumn id="32" name="Design Folder"/>
    <tableColumn id="33" name="CAD Detail (.dwg)"/>
    <tableColumn id="34" name="Drawing (.pdf)"/>
    <tableColumn id="35" name="STAAD.Pro (.std)"/>
    <tableColumn id="36" name="Calc Sheet (.xlsx)"/>
    <tableColumn id="37" name="Calc Report (.pdf)"/>
    <tableColumn id="38" name="Files Checked in Folder (Y/N)"/>
    <tableColumn id="39" name="Qty Unit"/>
    <tableColumn id="40" name="Concrete (m3/unit)"/>
    <tableColumn id="41" name="Rebar (kg/unit)"/>
    <tableColumn id="42" name="Steel (kg/unit)"/>
    <tableColumn id="43" name="Formwork (m2/unit)"/>
    <tableColumn id="44" name="Excavation (m3/unit)"/>
    <tableColumn id="45" name="BCA ERSS Submission (indicative)"/>
    <tableColumn id="46" name="SG Compliance Check"/>
    <tableColumn id="47" name="Limitations / Notes"/>
    <tableColumn id="48" name="Projects / Tenders Used"/>
    <tableColumn id="49" name="Designer"/>
    <tableColumn id="50" name="Checker"/>
    <tableColumn id="51" name="Approved By (QP)"/>
    <tableColumn id="52" name="Approval Date"/>
    <tableColumn id="53" name="Selectable"/>
    <tableColumn id="54" name="Selector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1.xml.rels><?xml version="1.0" encoding="UTF-8"?>
<Relationships xmlns="http://schemas.openxmlformats.org/package/2006/relationships"><Relationship Id="rId1" Type="http://schemas.openxmlformats.org/officeDocument/2006/relationships/table" Target="../tables/table2.xml"/>
</Relationships>
</file>

<file path=xl/worksheets/_rels/sheet12.xml.rels><?xml version="1.0" encoding="UTF-8"?>
<Relationships xmlns="http://schemas.openxmlformats.org/package/2006/relationships"><Relationship Id="rId1" Type="http://schemas.openxmlformats.org/officeDocument/2006/relationships/table" Target="../tables/table5.xml"/>
</Relationships>
</file>

<file path=xl/worksheets/_rels/sheet13.xml.rels><?xml version="1.0" encoding="UTF-8"?>
<Relationships xmlns="http://schemas.openxmlformats.org/package/2006/relationships"><Relationship Id="rId1" Type="http://schemas.openxmlformats.org/officeDocument/2006/relationships/table" Target="../tables/table3.xml"/>
</Relationships>
</file>

<file path=xl/worksheets/_rels/sheet14.xml.rels><?xml version="1.0" encoding="UTF-8"?>
<Relationships xmlns="http://schemas.openxmlformats.org/package/2006/relationships"><Relationship Id="rId1" Type="http://schemas.openxmlformats.org/officeDocument/2006/relationships/table" Target="../tables/table4.xml"/>
</Relationships>
</file>

<file path=xl/worksheets/_rels/sheet15.xml.rels><?xml version="1.0" encoding="UTF-8"?>
<Relationships xmlns="http://schemas.openxmlformats.org/package/2006/relationships"><Relationship Id="rId1" Type="http://schemas.openxmlformats.org/officeDocument/2006/relationships/table" Target="../tables/table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false" outlineLevel="0" collapsed="false">
      <c r="A1" s="1" t="s">
        <v>0</v>
      </c>
    </row>
    <row r="2" customFormat="false" ht="23.85" hidden="false" customHeight="false" outlineLevel="0" collapsed="false">
      <c r="A2" s="2" t="s">
        <v>1</v>
      </c>
      <c r="B2" s="3" t="s">
        <v>2</v>
      </c>
    </row>
    <row r="3" customFormat="false" ht="15" hidden="false" customHeight="false" outlineLevel="0" collapsed="false">
      <c r="A3" s="2"/>
      <c r="B3" s="3"/>
    </row>
    <row r="4" customFormat="false" ht="15" hidden="false" customHeight="false" outlineLevel="0" collapsed="false">
      <c r="A4" s="4" t="s">
        <v>3</v>
      </c>
    </row>
    <row r="5" customFormat="false" ht="23.85" hidden="false" customHeight="false" outlineLevel="0" collapsed="false">
      <c r="A5" s="2" t="s">
        <v>4</v>
      </c>
      <c r="B5" s="3" t="s">
        <v>5</v>
      </c>
    </row>
    <row r="6" customFormat="false" ht="15" hidden="false" customHeight="false" outlineLevel="0" collapsed="false">
      <c r="A6" s="2" t="s">
        <v>6</v>
      </c>
      <c r="B6" s="3" t="s">
        <v>7</v>
      </c>
    </row>
    <row r="7" customFormat="false" ht="15" hidden="false" customHeight="false" outlineLevel="0" collapsed="false">
      <c r="A7" s="2" t="s">
        <v>8</v>
      </c>
      <c r="B7" s="3" t="s">
        <v>9</v>
      </c>
    </row>
    <row r="8" customFormat="false" ht="15" hidden="false" customHeight="false" outlineLevel="0" collapsed="false">
      <c r="A8" s="2" t="s">
        <v>10</v>
      </c>
      <c r="B8" s="3" t="s">
        <v>11</v>
      </c>
    </row>
    <row r="9" customFormat="false" ht="15" hidden="false" customHeight="false" outlineLevel="0" collapsed="false">
      <c r="A9" s="2"/>
      <c r="B9" s="3"/>
    </row>
    <row r="10" customFormat="false" ht="15" hidden="false" customHeight="false" outlineLevel="0" collapsed="false">
      <c r="A10" s="4" t="s">
        <v>12</v>
      </c>
    </row>
    <row r="11" customFormat="false" ht="23.85" hidden="false" customHeight="false" outlineLevel="0" collapsed="false">
      <c r="A11" s="2" t="s">
        <v>13</v>
      </c>
      <c r="B11" s="3" t="s">
        <v>14</v>
      </c>
    </row>
    <row r="12" customFormat="false" ht="23.85" hidden="false" customHeight="false" outlineLevel="0" collapsed="false">
      <c r="A12" s="2" t="s">
        <v>15</v>
      </c>
      <c r="B12" s="3" t="s">
        <v>16</v>
      </c>
    </row>
    <row r="13" customFormat="false" ht="35.05" hidden="false" customHeight="false" outlineLevel="0" collapsed="false">
      <c r="A13" s="2" t="s">
        <v>17</v>
      </c>
      <c r="B13" s="3" t="s">
        <v>18</v>
      </c>
    </row>
    <row r="14" customFormat="false" ht="23.85" hidden="false" customHeight="false" outlineLevel="0" collapsed="false">
      <c r="A14" s="2" t="s">
        <v>19</v>
      </c>
      <c r="B14" s="3" t="s">
        <v>20</v>
      </c>
    </row>
    <row r="15" customFormat="false" ht="23.85" hidden="false" customHeight="false" outlineLevel="0" collapsed="false">
      <c r="A15" s="2" t="s">
        <v>21</v>
      </c>
      <c r="B15" s="3" t="s">
        <v>22</v>
      </c>
    </row>
    <row r="16" customFormat="false" ht="23.85" hidden="false" customHeight="false" outlineLevel="0" collapsed="false">
      <c r="A16" s="2" t="s">
        <v>23</v>
      </c>
      <c r="B16" s="3" t="s">
        <v>24</v>
      </c>
    </row>
    <row r="17" customFormat="false" ht="15" hidden="false" customHeight="false" outlineLevel="0" collapsed="false">
      <c r="A17" s="2" t="s">
        <v>25</v>
      </c>
      <c r="B17" s="3" t="s">
        <v>26</v>
      </c>
    </row>
    <row r="18" customFormat="false" ht="23.85" hidden="false" customHeight="false" outlineLevel="0" collapsed="false">
      <c r="A18" s="2" t="s">
        <v>27</v>
      </c>
      <c r="B18" s="3" t="s">
        <v>28</v>
      </c>
    </row>
    <row r="19" customFormat="false" ht="15" hidden="false" customHeight="false" outlineLevel="0" collapsed="false">
      <c r="A19" s="2"/>
      <c r="B19" s="3"/>
    </row>
    <row r="20" customFormat="false" ht="15" hidden="false" customHeight="false" outlineLevel="0" collapsed="false">
      <c r="A20" s="4" t="s">
        <v>29</v>
      </c>
    </row>
    <row r="21" customFormat="false" ht="15" hidden="false" customHeight="false" outlineLevel="0" collapsed="false">
      <c r="A21" s="2" t="s">
        <v>30</v>
      </c>
      <c r="B21" s="3" t="s">
        <v>31</v>
      </c>
    </row>
    <row r="22" customFormat="false" ht="15" hidden="false" customHeight="false" outlineLevel="0" collapsed="false">
      <c r="A22" s="2" t="s">
        <v>32</v>
      </c>
      <c r="B22" s="3" t="s">
        <v>33</v>
      </c>
    </row>
    <row r="23" customFormat="false" ht="15" hidden="false" customHeight="false" outlineLevel="0" collapsed="false">
      <c r="A23" s="2" t="s">
        <v>34</v>
      </c>
      <c r="B23" s="3" t="s">
        <v>35</v>
      </c>
    </row>
    <row r="24" customFormat="false" ht="15" hidden="false" customHeight="false" outlineLevel="0" collapsed="false">
      <c r="A24" s="2" t="s">
        <v>36</v>
      </c>
      <c r="B24" s="3" t="s">
        <v>37</v>
      </c>
    </row>
    <row r="25" customFormat="false" ht="15" hidden="false" customHeight="false" outlineLevel="0" collapsed="false">
      <c r="A25" s="2" t="s">
        <v>38</v>
      </c>
      <c r="B25" s="3" t="s">
        <v>39</v>
      </c>
    </row>
    <row r="26" customFormat="false" ht="15" hidden="false" customHeight="false" outlineLevel="0" collapsed="false">
      <c r="A26" s="2" t="s">
        <v>40</v>
      </c>
      <c r="B26" s="3" t="s">
        <v>41</v>
      </c>
    </row>
    <row r="27" customFormat="false" ht="15" hidden="false" customHeight="false" outlineLevel="0" collapsed="false">
      <c r="A27" s="2"/>
      <c r="B27" s="3"/>
    </row>
    <row r="28" customFormat="false" ht="15" hidden="false" customHeight="false" outlineLevel="0" collapsed="false">
      <c r="A28" s="4" t="s">
        <v>42</v>
      </c>
    </row>
    <row r="29" customFormat="false" ht="23.85" hidden="false" customHeight="false" outlineLevel="0" collapsed="false">
      <c r="A29" s="2" t="s">
        <v>43</v>
      </c>
      <c r="B29" s="3" t="s">
        <v>44</v>
      </c>
    </row>
    <row r="30" customFormat="false" ht="15" hidden="false" customHeight="false" outlineLevel="0" collapsed="false">
      <c r="A30" s="2" t="s">
        <v>45</v>
      </c>
      <c r="B30" s="3" t="s">
        <v>46</v>
      </c>
    </row>
    <row r="31" customFormat="false" ht="15" hidden="false" customHeight="false" outlineLevel="0" collapsed="false">
      <c r="A31" s="2"/>
      <c r="B31" s="3"/>
    </row>
    <row r="32" customFormat="false" ht="35.05" hidden="false" customHeight="false" outlineLevel="0" collapsed="false">
      <c r="A32" s="2" t="s">
        <v>47</v>
      </c>
      <c r="B32" s="3"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6"/>
    <col collapsed="false" customWidth="true" hidden="false" outlineLevel="0" max="3" min="3" style="0" width="2"/>
    <col collapsed="false" customWidth="true" hidden="false" outlineLevel="0" max="4" min="4" style="0" width="32"/>
    <col collapsed="false" customWidth="true" hidden="false" outlineLevel="0" max="5" min="5" style="0" width="46"/>
    <col collapsed="false" customWidth="true" hidden="false" outlineLevel="0" max="6" min="6" style="0" width="2"/>
    <col collapsed="false" customWidth="true" hidden="false" outlineLevel="0" max="7" min="7" style="0" width="32"/>
    <col collapsed="false" customWidth="true" hidden="false" outlineLevel="0" max="8" min="8" style="0" width="46"/>
    <col collapsed="false" customWidth="true" hidden="false" outlineLevel="0" max="9" min="9" style="0" width="2"/>
    <col collapsed="false" customWidth="true" hidden="false" outlineLevel="0" max="10" min="10" style="0" width="32"/>
    <col collapsed="false" customWidth="true" hidden="false" outlineLevel="0" max="11" min="11" style="0" width="46"/>
  </cols>
  <sheetData>
    <row r="1" customFormat="false" ht="17.35" hidden="false" customHeight="false" outlineLevel="0" collapsed="false">
      <c r="A1" s="5" t="s">
        <v>49</v>
      </c>
    </row>
    <row r="2" customFormat="false" ht="15" hidden="false" customHeight="false" outlineLevel="0" collapsed="false">
      <c r="A2" s="6" t="s">
        <v>50</v>
      </c>
    </row>
    <row r="4" customFormat="false" ht="15" hidden="false" customHeight="false" outlineLevel="0" collapsed="false">
      <c r="A4" s="7" t="s">
        <v>51</v>
      </c>
      <c r="B4" s="7"/>
      <c r="D4" s="7" t="s">
        <v>52</v>
      </c>
      <c r="E4" s="7"/>
      <c r="G4" s="7" t="s">
        <v>53</v>
      </c>
      <c r="H4" s="7"/>
      <c r="J4" s="7" t="s">
        <v>54</v>
      </c>
      <c r="K4" s="7"/>
    </row>
    <row r="5" customFormat="false" ht="15" hidden="false" customHeight="false" outlineLevel="0" collapsed="false">
      <c r="A5" s="8" t="s">
        <v>55</v>
      </c>
      <c r="B5" s="9" t="s">
        <v>56</v>
      </c>
      <c r="D5" s="8" t="s">
        <v>57</v>
      </c>
      <c r="E5" s="9" t="s">
        <v>58</v>
      </c>
      <c r="G5" s="8" t="s">
        <v>57</v>
      </c>
      <c r="H5" s="9" t="s">
        <v>59</v>
      </c>
      <c r="J5" s="8" t="s">
        <v>60</v>
      </c>
      <c r="K5" s="9" t="s">
        <v>61</v>
      </c>
    </row>
    <row r="6" customFormat="false" ht="15" hidden="false" customHeight="false" outlineLevel="0" collapsed="false">
      <c r="A6" s="8" t="s">
        <v>62</v>
      </c>
      <c r="B6" s="9" t="n">
        <v>600</v>
      </c>
      <c r="D6" s="8" t="s">
        <v>63</v>
      </c>
      <c r="E6" s="9" t="n">
        <v>2.8</v>
      </c>
      <c r="G6" s="8" t="s">
        <v>64</v>
      </c>
      <c r="H6" s="9" t="n">
        <v>4.5</v>
      </c>
      <c r="J6" s="8" t="s">
        <v>65</v>
      </c>
      <c r="K6" s="9" t="n">
        <v>4.2</v>
      </c>
    </row>
    <row r="7" customFormat="false" ht="15" hidden="false" customHeight="false" outlineLevel="0" collapsed="false">
      <c r="A7" s="8" t="s">
        <v>66</v>
      </c>
      <c r="B7" s="9" t="n">
        <v>600</v>
      </c>
      <c r="D7" s="8" t="s">
        <v>67</v>
      </c>
      <c r="E7" s="9" t="n">
        <v>25</v>
      </c>
      <c r="G7" s="8" t="s">
        <v>68</v>
      </c>
      <c r="H7" s="9" t="s">
        <v>69</v>
      </c>
      <c r="J7" s="8" t="s">
        <v>70</v>
      </c>
      <c r="K7" s="9" t="n">
        <v>450</v>
      </c>
    </row>
    <row r="8" customFormat="false" ht="15" hidden="false" customHeight="false" outlineLevel="0" collapsed="false">
      <c r="A8" s="8" t="s">
        <v>71</v>
      </c>
      <c r="B8" s="9" t="s">
        <v>72</v>
      </c>
      <c r="D8" s="8" t="s">
        <v>73</v>
      </c>
      <c r="E8" s="9" t="s">
        <v>74</v>
      </c>
      <c r="G8" s="8" t="s">
        <v>75</v>
      </c>
      <c r="H8" s="9" t="s">
        <v>76</v>
      </c>
    </row>
    <row r="9" customFormat="false" ht="15" hidden="false" customHeight="false" outlineLevel="0" collapsed="false">
      <c r="A9" s="8" t="s">
        <v>77</v>
      </c>
      <c r="B9" s="9" t="n">
        <v>0.35</v>
      </c>
      <c r="G9" s="8" t="s">
        <v>78</v>
      </c>
      <c r="H9" s="9" t="s">
        <v>79</v>
      </c>
    </row>
    <row r="10" customFormat="false" ht="15" hidden="false" customHeight="false" outlineLevel="0" collapsed="false">
      <c r="A10" s="6" t="s">
        <v>80</v>
      </c>
    </row>
    <row r="11" customFormat="false" ht="15" hidden="false" customHeight="false" outlineLevel="0" collapsed="false">
      <c r="A11" s="8" t="s">
        <v>81</v>
      </c>
      <c r="B11" s="9" t="n">
        <v>500</v>
      </c>
    </row>
    <row r="13" customFormat="false" ht="15" hidden="false" customHeight="false" outlineLevel="0" collapsed="false">
      <c r="A13" s="8" t="s">
        <v>82</v>
      </c>
      <c r="B13" s="10" t="n">
        <f aca="false">_xlfn.MINIFS(Drain_Register!$F$5:$F$304,Drain_Register!$C$5:$C$304,B5,Drain_Register!$L$5:$L$304,B8,Drain_Register!$AV$5:$AV$304,"Y",Drain_Register!$F$5:$F$304,"&gt;="&amp;B6,Drain_Register!$G$5:$G$304,"&gt;="&amp;B7,Drain_Register!$AM$5:$AM$304,IF(N(B9)&gt;0,"&gt;="&amp;B9,"&lt;&gt;#"))</f>
        <v>900</v>
      </c>
      <c r="D13" s="8" t="s">
        <v>83</v>
      </c>
      <c r="E13" s="11" t="n">
        <f aca="false">_xlfn.MINIFS(RW_Register!$D$5:$D$304,RW_Register!$C$5:$C$304,E5,RW_Register!$BA$5:$BA$304,"Y",RW_Register!$D$5:$D$304,"&gt;="&amp;E6,RW_Register!$E$5:$E$304,"&gt;="&amp;E7,RW_Register!$F$5:$F$304,IF(E8="Y","Y","&lt;&gt;#"))</f>
        <v>3</v>
      </c>
      <c r="G13" s="8" t="s">
        <v>84</v>
      </c>
      <c r="H13" s="12" t="n">
        <f aca="false">_xlfn.MINIFS(Embedded_Wall_Register!$E$5:$E$304,Embedded_Wall_Register!$C$5:$C$304,H5,Embedded_Wall_Register!$F$5:$F$304,H7,Embedded_Wall_Register!$G$5:$G$304,H8,Embedded_Wall_Register!$D$5:$D$304,H9,Embedded_Wall_Register!$AX$5:$AX$304,"Y",Embedded_Wall_Register!$E$5:$E$304,"&gt;="&amp;H6)</f>
        <v>5</v>
      </c>
      <c r="J13" s="8" t="s">
        <v>85</v>
      </c>
      <c r="K13" s="12" t="n">
        <f aca="false">_xlfn.MINIFS(Manhole_Register!$I$5:$I$304,Manhole_Register!$C$5:$C$304,K5,Manhole_Register!$AZ$5:$AZ$304,"Y",Manhole_Register!$I$5:$I$304,"&gt;="&amp;K6,Manhole_Register!$H$5:$H$304,"&lt;="&amp;K6,Manhole_Register!$J$5:$J$304,"&gt;="&amp;K7)</f>
        <v>6</v>
      </c>
    </row>
    <row r="14" customFormat="false" ht="15" hidden="false" customHeight="false" outlineLevel="0" collapsed="false">
      <c r="A14" s="8" t="s">
        <v>86</v>
      </c>
      <c r="B14" s="10" t="n">
        <f aca="false">IF(B13=0,0,_xlfn.MINIFS(Drain_Register!$G$5:$G$304,Drain_Register!$C$5:$C$304,B5,Drain_Register!$L$5:$L$304,B8,Drain_Register!$AV$5:$AV$304,"Y",Drain_Register!$F$5:$F$304,B13,Drain_Register!$G$5:$G$304,"&gt;="&amp;B7,Drain_Register!$AM$5:$AM$304,IF(N(B9)&gt;0,"&gt;="&amp;B9,"&lt;&gt;#")))</f>
        <v>900</v>
      </c>
      <c r="D14" s="8" t="s">
        <v>87</v>
      </c>
      <c r="E14" s="10" t="n">
        <f aca="false">IF(E13=0,0,_xlfn.MINIFS(RW_Register!$E$5:$E$304,RW_Register!$C$5:$C$304,E5,RW_Register!$BA$5:$BA$304,"Y",RW_Register!$D$5:$D$304,E13,RW_Register!$E$5:$E$304,"&gt;="&amp;E7,RW_Register!$F$5:$F$304,IF(E8="Y","Y","&lt;&gt;#")))</f>
        <v>25</v>
      </c>
      <c r="J14" s="8" t="s">
        <v>88</v>
      </c>
      <c r="K14" s="10" t="n">
        <f aca="false">IF(K13=0,0,_xlfn.MINIFS(Manhole_Register!$F$5:$F$304,Manhole_Register!$C$5:$C$304,K5,Manhole_Register!$AZ$5:$AZ$304,"Y",Manhole_Register!$I$5:$I$304,K13,Manhole_Register!$H$5:$H$304,"&lt;="&amp;K6,Manhole_Register!$J$5:$J$304,"&gt;="&amp;K7))</f>
        <v>1500</v>
      </c>
    </row>
    <row r="15" customFormat="false" ht="15" hidden="false" customHeight="false" outlineLevel="0" collapsed="false">
      <c r="A15" s="8" t="s">
        <v>89</v>
      </c>
      <c r="B15" s="10" t="n">
        <f aca="false">IFERROR(MATCH(B5&amp;"|"&amp;B13&amp;"|"&amp;B14&amp;"|"&amp;B8&amp;"|Y",Drain_Register!$AW$5:$AW$304,0),0)</f>
        <v>2</v>
      </c>
      <c r="D15" s="8" t="s">
        <v>90</v>
      </c>
      <c r="E15" s="10" t="str">
        <f aca="false">IF(E13=0,"",IF(E8="Y","Y",IF(COUNTIFS(RW_Register!$C$5:$C$304,E5,RW_Register!$BA$5:$BA$304,"Y",RW_Register!$D$5:$D$304,E13,RW_Register!$E$5:$E$304,E14,RW_Register!$F$5:$F$304,"N")&gt;0,"N","Y")))</f>
        <v>N</v>
      </c>
      <c r="G15" s="8" t="s">
        <v>89</v>
      </c>
      <c r="H15" s="10" t="n">
        <f aca="false">IFERROR(MATCH(H5&amp;"|"&amp;H13&amp;"|"&amp;H7&amp;"|"&amp;H8&amp;"|"&amp;H9&amp;"|Y",Embedded_Wall_Register!$AY$5:$AY$304,0),0)</f>
        <v>2</v>
      </c>
      <c r="J15" s="8" t="s">
        <v>89</v>
      </c>
      <c r="K15" s="10" t="n">
        <f aca="false">IFERROR(MATCH(K5&amp;"|"&amp;K13&amp;"|"&amp;K14&amp;"|Y",Manhole_Register!$BA$5:$BA$304,0),0)</f>
        <v>2</v>
      </c>
    </row>
    <row r="16" customFormat="false" ht="15" hidden="false" customHeight="false" outlineLevel="0" collapsed="false">
      <c r="D16" s="8" t="s">
        <v>89</v>
      </c>
      <c r="E16" s="10" t="n">
        <f aca="false">IFERROR(MATCH(E5&amp;"|"&amp;E13&amp;"|"&amp;E14&amp;"|"&amp;E15&amp;"|Y",RW_Register!$BB$5:$BB$304,0),0)</f>
        <v>7</v>
      </c>
    </row>
    <row r="18" customFormat="false" ht="15" hidden="false" customHeight="false" outlineLevel="0" collapsed="false">
      <c r="A18" s="8" t="s">
        <v>91</v>
      </c>
      <c r="B18" s="13" t="str">
        <f aca="false">IF(B15=0,"NO STANDARD DESIGN: bespoke design needed",IF(OR(B13&gt;B6,B14&gt;B7),"Match (conservative: larger than required)","Exact match"))</f>
        <v>Match (conservative: larger than required)</v>
      </c>
      <c r="D18" s="8" t="s">
        <v>91</v>
      </c>
      <c r="E18" s="13" t="str">
        <f aca="false">IF(E16=0,"NO STANDARD DESIGN: bespoke design needed",IF(OR(E13&gt;E6,E14&gt;E7,E15&lt;&gt;E8),"Match (conservative: covers a worse case)","Exact match"))</f>
        <v>Match (conservative: covers a worse case)</v>
      </c>
      <c r="G18" s="8" t="s">
        <v>91</v>
      </c>
      <c r="H18" s="13" t="str">
        <f aca="false">IF(H15=0,"NO STANDARD DESIGN: bespoke design needed",IF(H13&gt;H6,"Match (conservative: deeper than required)","Exact match"))</f>
        <v>Match (conservative: deeper than required)</v>
      </c>
      <c r="J18" s="8" t="s">
        <v>91</v>
      </c>
      <c r="K18" s="13" t="str">
        <f aca="false">IF(K15=0,"NO STANDARD DESIGN: bespoke design needed","Match: depth range "&amp;INDEX(Manhole_Register!$H$5:$H$304,K15)&amp;" - "&amp;INDEX(Manhole_Register!$I$5:$I$304,K15)&amp;" m")</f>
        <v>Match: depth range 3 - 6 m</v>
      </c>
    </row>
    <row r="19" customFormat="false" ht="15" hidden="false" customHeight="false" outlineLevel="0" collapsed="false">
      <c r="A19" s="8" t="s">
        <v>92</v>
      </c>
      <c r="B19" s="13" t="str">
        <f aca="false">IF($B$15=0,"",INDEX(Drain_Register!$A$5:$A$304,$B$15))</f>
        <v>DRN-PUD-0900x0900-S12-A</v>
      </c>
      <c r="D19" s="8" t="s">
        <v>92</v>
      </c>
      <c r="E19" s="13" t="str">
        <f aca="false">IF($E$16=0,"",INDEX(RW_Register!$A$5:$A$304,$E$16))</f>
        <v>RW-CANT-H3000-S25-A</v>
      </c>
      <c r="G19" s="8" t="s">
        <v>92</v>
      </c>
      <c r="H19" s="13" t="str">
        <f aca="false">IF($H$15=0,"",INDEX(Embedded_Wall_Register!$A$5:$A$304,$H$15))</f>
        <v>EW-CBP-D5000-S1-OA-P-A</v>
      </c>
      <c r="J19" s="8" t="s">
        <v>92</v>
      </c>
      <c r="K19" s="13" t="str">
        <f aca="false">IF($K$15=0,"",INDEX(Manhole_Register!$A$5:$A$304,$K$15))</f>
        <v>MH-SM-1500x1200-D6000-C-A</v>
      </c>
    </row>
    <row r="20" customFormat="false" ht="23.85" hidden="false" customHeight="false" outlineLevel="0" collapsed="false">
      <c r="A20" s="8" t="s">
        <v>93</v>
      </c>
      <c r="B20" s="14" t="str">
        <f aca="false">IF($B$15=0,"",INDEX(Drain_Register!$B$5:$B$304,$B$15))</f>
        <v>Precast U-Drain 900W x 900D, Roadside drain, Drain surcharge 12 kPa (SDRE), Open</v>
      </c>
      <c r="D20" s="8" t="s">
        <v>93</v>
      </c>
      <c r="E20" s="14" t="str">
        <f aca="false">IF($E$16=0,"",INDEX(RW_Register!$B$5:$B$304,$E$16))</f>
        <v>Cantilever RC (toe &amp; heel), H = 3.0 m, q = 25 kPa, Firm/stiff clay (general)</v>
      </c>
      <c r="G20" s="8" t="s">
        <v>93</v>
      </c>
      <c r="H20" s="14" t="str">
        <f aca="false">IF($H$15=0,"",INDEX(Embedded_Wall_Register!$B$5:$B$304,$H$15))</f>
        <v>Permanent Contiguous Bored Pile (CBP), excavation 5.0 m, 1 level strut, Old Alluvium, 800 dia</v>
      </c>
      <c r="J20" s="8" t="s">
        <v>93</v>
      </c>
      <c r="K20" s="14" t="str">
        <f aca="false">IF($K$15=0,"",INDEX(Manhole_Register!$B$5:$B$304,$K$15))</f>
        <v>Standard Manhole (PUB 001C), Cast-in-situ, 1500 x 1200, depth 3.0-6.0 m, pipe up to 600 dia</v>
      </c>
    </row>
    <row r="21" customFormat="false" ht="15" hidden="false" customHeight="false" outlineLevel="0" collapsed="false">
      <c r="A21" s="8" t="s">
        <v>94</v>
      </c>
      <c r="B21" s="14" t="str">
        <f aca="false">IF($B$15=0,"",INDEX(Drain_Register!$U$5:$U$304,$B$15)&amp;" / "&amp;INDEX(Drain_Register!$W$5:$W$304,$B$15))</f>
        <v>A / STD-DR-002</v>
      </c>
      <c r="D21" s="8" t="s">
        <v>94</v>
      </c>
      <c r="E21" s="14" t="str">
        <f aca="false">IF($E$16=0,"",INDEX(RW_Register!$AA$5:$AA$304,$E$16)&amp;" / "&amp;INDEX(RW_Register!$AC$5:$AC$304,$E$16))</f>
        <v>A / STD-RW-005</v>
      </c>
      <c r="G21" s="8" t="s">
        <v>94</v>
      </c>
      <c r="H21" s="14" t="str">
        <f aca="false">IF($H$15=0,"",INDEX(Embedded_Wall_Register!$X$5:$X$304,$H$15)&amp;" / "&amp;INDEX(Embedded_Wall_Register!$Z$5:$Z$304,$H$15))</f>
        <v>A / STD-EW-002</v>
      </c>
      <c r="J21" s="8" t="s">
        <v>94</v>
      </c>
      <c r="K21" s="14" t="str">
        <f aca="false">IF($K$15=0,"",INDEX(Manhole_Register!$AA$5:$AA$304,$K$15)&amp;" / "&amp;INDEX(Manhole_Register!$AC$5:$AC$304,$K$15))</f>
        <v>A / STD-MH-002</v>
      </c>
    </row>
    <row r="22" customFormat="false" ht="15" hidden="false" customHeight="false" outlineLevel="0" collapsed="false">
      <c r="A22" s="8" t="s">
        <v>95</v>
      </c>
      <c r="B22" s="14" t="str">
        <f aca="false">IF($B$15=0,"",INDEX(Drain_Register!$AM$5:$AM$304,$B$15)&amp;" m3/s / "&amp;INDEX(Drain_Register!$AN$5:$AN$304,$B$15)&amp;" m/s")</f>
        <v>0.886 m3/s / 1.29 m/s</v>
      </c>
      <c r="D22" s="8" t="s">
        <v>96</v>
      </c>
      <c r="E22" s="14" t="str">
        <f aca="false">IF($E$16=0,"",INDEX(RW_Register!$T$5:$T$304,$E$16)&amp;" / "&amp;INDEX(RW_Register!$U$5:$U$304,$E$16))</f>
        <v>T16@125 / T16@150</v>
      </c>
      <c r="G22" s="8" t="s">
        <v>97</v>
      </c>
      <c r="H22" s="14" t="str">
        <f aca="false">IF($H$15=0,"",INDEX(Embedded_Wall_Register!$J$5:$J$304,$H$15)&amp;", L = "&amp;INDEX(Embedded_Wall_Register!$N$5:$N$304,$H$15)&amp;" m, toe "&amp;INDEX(Embedded_Wall_Register!$M$5:$M$304,$H$15)&amp;" m")</f>
        <v>800 dia, L = 12 m, toe 7 m</v>
      </c>
      <c r="J22" s="8" t="s">
        <v>98</v>
      </c>
      <c r="K22" s="14" t="str">
        <f aca="false">IF($K$15=0,"",INDEX(Manhole_Register!$X$5:$X$304,$K$15))</f>
        <v>PUB/WRN/STD/001C</v>
      </c>
    </row>
    <row r="23" customFormat="false" ht="15" hidden="false" customHeight="false" outlineLevel="0" collapsed="false">
      <c r="A23" s="8" t="s">
        <v>99</v>
      </c>
      <c r="B23" s="14" t="str">
        <f aca="false">IF($B$15=0,"",IF(INDEX(Drain_Register!$AN$5:$AN$304,$B$15)="","n/a",IF(INDEX(Drain_Register!$AN$5:$AN$304,$B$15)&gt;SG_Criteria!$B$24,"NOTE: V &gt; "&amp;SG_Criteria!$B$24&amp;" m/s, check scour",IF(INDEX(Drain_Register!$AN$5:$AN$304,$B$15)&lt;SG_Criteria!$B$23,"NOTE: V &lt; "&amp;SG_Criteria!$B$23&amp;" m/s","OK"))))</f>
        <v>OK</v>
      </c>
      <c r="D23" s="8" t="s">
        <v>100</v>
      </c>
      <c r="E23" s="14" t="str">
        <f aca="false">IF($E$16=0,"",INDEX(RW_Register!$AS$5:$AS$304,$E$16))</f>
        <v>QP(ST)</v>
      </c>
      <c r="G23" s="8" t="s">
        <v>100</v>
      </c>
      <c r="H23" s="14" t="str">
        <f aca="false">IF($H$15=0,"",INDEX(Embedded_Wall_Register!$AP$5:$AP$304,$H$15))</f>
        <v>QP(ST) + AC</v>
      </c>
      <c r="J23" s="8" t="s">
        <v>101</v>
      </c>
      <c r="K23" s="14" t="str">
        <f aca="false">IF($K$15=0,"",INDEX(Manhole_Register!$Y$5:$Y$304,$K$15))</f>
        <v>ERSS-SSP-4000x3500-D6000-KF-A</v>
      </c>
    </row>
    <row r="24" customFormat="false" ht="15" hidden="false" customHeight="false" outlineLevel="0" collapsed="false">
      <c r="A24" s="8" t="s">
        <v>102</v>
      </c>
      <c r="B24" s="14" t="str">
        <f aca="false">IF($B$15=0,"",INDEX(Drain_Register!$AO$5:$AO$304,$B$15))</f>
        <v>OK</v>
      </c>
      <c r="D24" s="8" t="s">
        <v>102</v>
      </c>
      <c r="E24" s="14" t="str">
        <f aca="false">IF($E$16=0,"",INDEX(RW_Register!$AT$5:$AT$304,$E$16))</f>
        <v>OK</v>
      </c>
      <c r="G24" s="8" t="s">
        <v>102</v>
      </c>
      <c r="H24" s="14" t="str">
        <f aca="false">IF($H$15=0,"",INDEX(Embedded_Wall_Register!$AQ$5:$AQ$304,$H$15))</f>
        <v>OK</v>
      </c>
      <c r="J24" s="8" t="s">
        <v>102</v>
      </c>
      <c r="K24" s="14" t="str">
        <f aca="false">IF($K$15=0,"",INDEX(Manhole_Register!$AS$5:$AS$304,$K$15))</f>
        <v>OK</v>
      </c>
    </row>
    <row r="25" customFormat="false" ht="15" hidden="false" customHeight="false" outlineLevel="0" collapsed="false">
      <c r="A25" s="8" t="s">
        <v>103</v>
      </c>
      <c r="B25" s="14" t="n">
        <f aca="false">IF($B$15=0,"",INDEX(Drain_Register!$X$5:$X$304,$B$15))</f>
        <v>20</v>
      </c>
      <c r="D25" s="8" t="s">
        <v>103</v>
      </c>
      <c r="E25" s="14" t="n">
        <f aca="false">IF($E$16=0,"",INDEX(RW_Register!$AD$5:$AD$304,$E$16))</f>
        <v>25</v>
      </c>
      <c r="G25" s="8" t="s">
        <v>103</v>
      </c>
      <c r="H25" s="14" t="n">
        <f aca="false">IF($H$15=0,"",INDEX(Embedded_Wall_Register!$AA$5:$AA$304,$H$15))</f>
        <v>50</v>
      </c>
      <c r="J25" s="8" t="s">
        <v>103</v>
      </c>
      <c r="K25" s="14" t="n">
        <f aca="false">IF($K$15=0,"",INDEX(Manhole_Register!$AD$5:$AD$304,$K$15))</f>
        <v>25</v>
      </c>
    </row>
    <row r="26" customFormat="false" ht="35.05" hidden="false" customHeight="false" outlineLevel="0" collapsed="false">
      <c r="A26" s="8" t="s">
        <v>104</v>
      </c>
      <c r="B26" s="14" t="str">
        <f aca="false">IF($B$15=0,"",INDEX(Drain_Register!$Z$5:$Z$304,$B$15))</f>
        <v>C:\Users\yourname\YourCompany\Design Library - Documents\01_Drainage\DRN-PUD-0900x0900-S12-A\</v>
      </c>
      <c r="D26" s="8" t="s">
        <v>104</v>
      </c>
      <c r="E26" s="14" t="str">
        <f aca="false">IF($E$16=0,"",INDEX(RW_Register!$AF$5:$AF$304,$E$16))</f>
        <v>C:\Users\yourname\YourCompany\Design Library - Documents\02_Retaining_Wall\RW-CANT-H3000-S25-A\</v>
      </c>
      <c r="G26" s="8" t="s">
        <v>104</v>
      </c>
      <c r="H26" s="14" t="str">
        <f aca="false">IF($H$15=0,"",INDEX(Embedded_Wall_Register!$AC$5:$AC$304,$H$15))</f>
        <v>C:\Users\yourname\YourCompany\Design Library - Documents\03_Embedded_Wall\EW-CBP-D5000-S1-OA-P-A\</v>
      </c>
      <c r="J26" s="8" t="s">
        <v>104</v>
      </c>
      <c r="K26" s="14" t="str">
        <f aca="false">IF($K$15=0,"",INDEX(Manhole_Register!$AF$5:$AF$304,$K$15))</f>
        <v>C:\Users\yourname\YourCompany\Design Library - Documents\04_Sewer_Manhole\MH-SM-1500x1200-D6000-C-A\</v>
      </c>
    </row>
    <row r="27" customFormat="false" ht="35.05" hidden="false" customHeight="false" outlineLevel="0" collapsed="false">
      <c r="A27" s="8" t="s">
        <v>105</v>
      </c>
      <c r="B27" s="14" t="str">
        <f aca="false">IF($B$15=0,"",INDEX(Drain_Register!$Z$5:$Z$304,$B$15)&amp;INDEX(Drain_Register!$AA$5:$AA$304,$B$15))</f>
        <v>C:\Users\yourname\YourCompany\Design Library - Documents\01_Drainage\DRN-PUD-0900x0900-S12-A\DRN-PUD-0900x0900-S12-A_CAD.dwg</v>
      </c>
      <c r="D27" s="8" t="s">
        <v>105</v>
      </c>
      <c r="E27" s="14" t="str">
        <f aca="false">IF($E$16=0,"",INDEX(RW_Register!$AF$5:$AF$304,$E$16)&amp;INDEX(RW_Register!$AG$5:$AG$304,$E$16))</f>
        <v>C:\Users\yourname\YourCompany\Design Library - Documents\02_Retaining_Wall\RW-CANT-H3000-S25-A\RW-CANT-H3000-S25-A_CAD.dwg</v>
      </c>
      <c r="G27" s="8" t="s">
        <v>105</v>
      </c>
      <c r="H27" s="14" t="str">
        <f aca="false">IF($H$15=0,"",INDEX(Embedded_Wall_Register!$AC$5:$AC$304,$H$15)&amp;INDEX(Embedded_Wall_Register!$AD$5:$AD$304,$H$15))</f>
        <v>C:\Users\yourname\YourCompany\Design Library - Documents\03_Embedded_Wall\EW-CBP-D5000-S1-OA-P-A\EW-CBP-D5000-S1-OA-P-A_CAD.dwg</v>
      </c>
      <c r="J27" s="8" t="s">
        <v>105</v>
      </c>
      <c r="K27" s="14" t="str">
        <f aca="false">IF($K$15=0,"",INDEX(Manhole_Register!$AF$5:$AF$304,$K$15)&amp;INDEX(Manhole_Register!$AG$5:$AG$304,$K$15))</f>
        <v>C:\Users\yourname\YourCompany\Design Library - Documents\04_Sewer_Manhole\MH-SM-1500x1200-D6000-C-A\MH-SM-1500x1200-D6000-C-A_CAD.dwg</v>
      </c>
    </row>
    <row r="28" customFormat="false" ht="15" hidden="false" customHeight="false" outlineLevel="0" collapsed="false">
      <c r="A28" s="8" t="s">
        <v>106</v>
      </c>
      <c r="B28" s="14" t="str">
        <f aca="false">IF($B$15=0,"",INDEX(Drain_Register!$AC$5:$AC$304,$B$15))</f>
        <v>n/a</v>
      </c>
      <c r="D28" s="8" t="s">
        <v>106</v>
      </c>
      <c r="E28" s="14" t="str">
        <f aca="false">IF($E$16=0,"",INDEX(RW_Register!$AI$5:$AI$304,$E$16))</f>
        <v>n/a</v>
      </c>
      <c r="G28" s="8" t="s">
        <v>106</v>
      </c>
      <c r="H28" s="14" t="str">
        <f aca="false">IF($H$15=0,"",INDEX(Embedded_Wall_Register!$AF$5:$AF$304,$H$15))</f>
        <v>EW-CBP-D5000-S1-OA-P-A_STAAD.std</v>
      </c>
      <c r="J28" s="8" t="s">
        <v>106</v>
      </c>
      <c r="K28" s="14" t="str">
        <f aca="false">IF($K$15=0,"",INDEX(Manhole_Register!$AI$5:$AI$304,$K$15))</f>
        <v>MH-SM-1500x1200-D6000-C-A_STAAD.std</v>
      </c>
    </row>
    <row r="29" customFormat="false" ht="23.85" hidden="false" customHeight="false" outlineLevel="0" collapsed="false">
      <c r="A29" s="8" t="s">
        <v>107</v>
      </c>
      <c r="B29" s="14" t="str">
        <f aca="false">IF($B$15=0,"",INDEX(Drain_Register!$AD$5:$AD$304,$B$15)&amp;" / "&amp;INDEX(Drain_Register!$AE$5:$AE$304,$B$15))</f>
        <v>DRN-PUD-0900x0900-S12-A_CALC.xlsx / DRN-PUD-0900x0900-S12-A_CALC.pdf</v>
      </c>
      <c r="D29" s="8" t="s">
        <v>107</v>
      </c>
      <c r="E29" s="14" t="str">
        <f aca="false">IF($E$16=0,"",INDEX(RW_Register!$AJ$5:$AJ$304,$E$16)&amp;" / "&amp;INDEX(RW_Register!$AK$5:$AK$304,$E$16))</f>
        <v>RW-CANT-H3000-S25-A_CALC.xlsx / RW-CANT-H3000-S25-A_CALC.pdf</v>
      </c>
      <c r="G29" s="8" t="s">
        <v>107</v>
      </c>
      <c r="H29" s="14" t="str">
        <f aca="false">IF($H$15=0,"",INDEX(Embedded_Wall_Register!$AG$5:$AG$304,$H$15)&amp;" / "&amp;INDEX(Embedded_Wall_Register!$AH$5:$AH$304,$H$15))</f>
        <v>EW-CBP-D5000-S1-OA-P-A_CALC.xlsx / EW-CBP-D5000-S1-OA-P-A_CALC.pdf</v>
      </c>
      <c r="J29" s="8" t="s">
        <v>107</v>
      </c>
      <c r="K29" s="14" t="str">
        <f aca="false">IF($K$15=0,"",INDEX(Manhole_Register!$AJ$5:$AJ$304,$K$15)&amp;" / "&amp;INDEX(Manhole_Register!$AK$5:$AK$304,$K$15))</f>
        <v>MH-SM-1500x1200-D6000-C-A_CALC.xlsx / MH-SM-1500x1200-D6000-C-A_CALC.pdf</v>
      </c>
    </row>
    <row r="30" customFormat="false" ht="15" hidden="false" customHeight="false" outlineLevel="0" collapsed="false">
      <c r="A30" s="8" t="s">
        <v>108</v>
      </c>
      <c r="B30" s="14" t="str">
        <f aca="false">IF($B$15=0,"",INDEX(Drain_Register!$AH$5:$AH$304,$B$15)&amp;" / "&amp;INDEX(Drain_Register!$AI$5:$AI$304,$B$15))</f>
        <v>0.34 / 24</v>
      </c>
      <c r="D30" s="8" t="s">
        <v>108</v>
      </c>
      <c r="E30" s="14" t="str">
        <f aca="false">IF($E$16=0,"",INDEX(RW_Register!$AN$5:$AN$304,$E$16)&amp;" / "&amp;INDEX(RW_Register!$AO$5:$AO$304,$E$16))</f>
        <v>2.2 / 170</v>
      </c>
      <c r="G30" s="8" t="s">
        <v>108</v>
      </c>
      <c r="H30" s="14" t="str">
        <f aca="false">IF($H$15=0,"",INDEX(Embedded_Wall_Register!$AK$5:$AK$304,$H$15)&amp;" / "&amp;INDEX(Embedded_Wall_Register!$AL$5:$AL$304,$H$15))</f>
        <v>6.4 / 720</v>
      </c>
      <c r="J30" s="8" t="s">
        <v>108</v>
      </c>
      <c r="K30" s="14" t="str">
        <f aca="false">IF($K$15=0,"",INDEX(Manhole_Register!$AN$5:$AN$304,$K$15)&amp;" / "&amp;INDEX(Manhole_Register!$AO$5:$AO$304,$K$15))</f>
        <v>9.8 / 820</v>
      </c>
    </row>
    <row r="31" customFormat="false" ht="15" hidden="false" customHeight="false" outlineLevel="0" collapsed="false">
      <c r="A31" s="8" t="s">
        <v>109</v>
      </c>
      <c r="B31" s="14" t="str">
        <f aca="false">IF($B$15=0,"",INDEX(Drain_Register!$AP$5:$AP$304,$B$15))</f>
        <v>EXAMPLE. </v>
      </c>
      <c r="D31" s="8" t="s">
        <v>109</v>
      </c>
      <c r="E31" s="14" t="str">
        <f aca="false">IF($E$16=0,"",INDEX(RW_Register!$AU$5:$AU$304,$E$16))</f>
        <v>EXAMPLE. </v>
      </c>
      <c r="G31" s="8" t="s">
        <v>109</v>
      </c>
      <c r="H31" s="14" t="str">
        <f aca="false">IF($H$15=0,"",INDEX(Embedded_Wall_Register!$AR$5:$AR$304,$H$15))</f>
        <v>EXAMPLE. </v>
      </c>
      <c r="J31" s="8" t="s">
        <v>109</v>
      </c>
      <c r="K31" s="14" t="str">
        <f aca="false">IF($K$15=0,"",INDEX(Manhole_Register!$AT$5:$AT$304,$K$15))</f>
        <v>EXAMPLE. Quantities at max depth.</v>
      </c>
    </row>
    <row r="36" customFormat="false" ht="15" hidden="false" customHeight="false" outlineLevel="0" collapsed="false">
      <c r="A36" s="6" t="s">
        <v>110</v>
      </c>
    </row>
  </sheetData>
  <dataValidations count="9">
    <dataValidation allowBlank="true" error="Pick a value from the list (add new values on the Lists sheet)." errorStyle="stop" errorTitle="Not in list" operator="between" showDropDown="false" showErrorMessage="false" showInputMessage="false" sqref="B5" type="list">
      <formula1>Lists!$A$4:$A$27</formula1>
      <formula2>0</formula2>
    </dataValidation>
    <dataValidation allowBlank="true" error="Pick a value from the list (add new values on the Lists sheet)." errorStyle="stop" errorTitle="Not in list" operator="between" showDropDown="false" showErrorMessage="false" showInputMessage="false" sqref="B8"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E5" type="list">
      <formula1>Lists!$M$4:$M$22</formula1>
      <formula2>0</formula2>
    </dataValidation>
    <dataValidation allowBlank="true" error="Pick a value from the list (add new values on the Lists sheet)." errorStyle="stop" errorTitle="Not in list" operator="between" showDropDown="false" showErrorMessage="false" showInputMessage="false" sqref="E8"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H5" type="list">
      <formula1>Lists!$P$4:$P$22</formula1>
      <formula2>0</formula2>
    </dataValidation>
    <dataValidation allowBlank="true" error="Pick a value from the list (add new values on the Lists sheet)." errorStyle="stop" errorTitle="Not in list" operator="between" showDropDown="false" showErrorMessage="false" showInputMessage="false" sqref="H7" type="list">
      <formula1>Lists!$S$4:$S$21</formula1>
      <formula2>0</formula2>
    </dataValidation>
    <dataValidation allowBlank="true" error="Pick a value from the list (add new values on the Lists sheet)." errorStyle="stop" errorTitle="Not in list" operator="between" showDropDown="false" showErrorMessage="false" showInputMessage="false" sqref="H8"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H9" type="list">
      <formula1>Lists!$V$4:$V$16</formula1>
      <formula2>0</formula2>
    </dataValidation>
    <dataValidation allowBlank="true" error="Pick a value from the list (add new values on the Lists sheet)." errorStyle="stop" errorTitle="Not in list" operator="between" showDropDown="false" showErrorMessage="false" showInputMessage="false" sqref="K5" type="list">
      <formula1>Lists!$AB$4:$AB$20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S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24"/>
    <col collapsed="false" customWidth="true" hidden="false" outlineLevel="0" max="4" min="4" style="0" width="8"/>
    <col collapsed="false" customWidth="true" hidden="false" outlineLevel="0" max="5" min="5" style="0" width="7"/>
    <col collapsed="false" customWidth="true" hidden="false" outlineLevel="0" max="6" min="6" style="0" width="5"/>
    <col collapsed="false" customWidth="true" hidden="false" outlineLevel="0" max="7" min="7" style="0" width="11"/>
    <col collapsed="false" customWidth="true" hidden="false" outlineLevel="0" max="8" min="8" style="0" width="48"/>
    <col collapsed="false" customWidth="true" hidden="false" outlineLevel="0" max="9" min="9" style="0" width="5"/>
    <col collapsed="false" customWidth="true" hidden="false" outlineLevel="0" max="10" min="10" style="0" width="9"/>
    <col collapsed="false" customWidth="true" hidden="false" outlineLevel="0" max="11" min="11" style="0" width="12"/>
    <col collapsed="false" customWidth="true" hidden="false" outlineLevel="0" max="12" min="12" style="0" width="7"/>
    <col collapsed="false" customWidth="true" hidden="false" outlineLevel="0" max="13" min="13" style="0" width="60"/>
    <col collapsed="false" customWidth="true" hidden="false" outlineLevel="0" max="14" min="14" style="0" width="9"/>
    <col collapsed="false" customWidth="true" hidden="false" outlineLevel="0" max="16" min="15" style="0" width="8"/>
    <col collapsed="false" customWidth="true" hidden="false" outlineLevel="0" max="18" min="17" style="0" width="9"/>
    <col collapsed="false" customWidth="true" hidden="false" outlineLevel="0" max="19" min="19" style="0" width="34"/>
  </cols>
  <sheetData>
    <row r="1" customFormat="false" ht="17.35" hidden="false" customHeight="false" outlineLevel="0" collapsed="false">
      <c r="A1" s="5" t="s">
        <v>111</v>
      </c>
    </row>
    <row r="2" customFormat="false" ht="15" hidden="false" customHeight="false" outlineLevel="0" collapsed="false">
      <c r="A2" s="6" t="s">
        <v>112</v>
      </c>
    </row>
    <row r="3" customFormat="false" ht="15" hidden="false" customHeight="false" outlineLevel="0" collapsed="false">
      <c r="A3" s="8" t="s">
        <v>113</v>
      </c>
      <c r="B3" s="9" t="s">
        <v>114</v>
      </c>
      <c r="C3" s="9"/>
      <c r="D3" s="9"/>
    </row>
    <row r="5" customFormat="false" ht="39.75" hidden="false" customHeight="true" outlineLevel="0" collapsed="false">
      <c r="A5" s="15" t="s">
        <v>115</v>
      </c>
      <c r="B5" s="15" t="s">
        <v>92</v>
      </c>
      <c r="C5" s="15" t="s">
        <v>116</v>
      </c>
      <c r="D5" s="15" t="s">
        <v>117</v>
      </c>
      <c r="E5" s="15" t="s">
        <v>118</v>
      </c>
      <c r="F5" s="16" t="s">
        <v>119</v>
      </c>
      <c r="G5" s="16" t="s">
        <v>120</v>
      </c>
      <c r="H5" s="16" t="s">
        <v>93</v>
      </c>
      <c r="I5" s="16" t="s">
        <v>121</v>
      </c>
      <c r="J5" s="16" t="s">
        <v>122</v>
      </c>
      <c r="K5" s="16" t="s">
        <v>123</v>
      </c>
      <c r="L5" s="16" t="s">
        <v>124</v>
      </c>
      <c r="M5" s="16" t="s">
        <v>125</v>
      </c>
      <c r="N5" s="17" t="s">
        <v>126</v>
      </c>
      <c r="O5" s="17" t="s">
        <v>127</v>
      </c>
      <c r="P5" s="17" t="s">
        <v>128</v>
      </c>
      <c r="Q5" s="17" t="s">
        <v>129</v>
      </c>
      <c r="R5" s="17" t="s">
        <v>130</v>
      </c>
      <c r="S5" s="16" t="s">
        <v>131</v>
      </c>
    </row>
    <row r="6" customFormat="false" ht="15" hidden="false" customHeight="false" outlineLevel="0" collapsed="false">
      <c r="A6" s="18" t="n">
        <v>1</v>
      </c>
      <c r="B6" s="18" t="s">
        <v>132</v>
      </c>
      <c r="C6" s="18" t="s">
        <v>133</v>
      </c>
      <c r="D6" s="18" t="n">
        <v>500</v>
      </c>
      <c r="E6" s="18" t="n">
        <v>1</v>
      </c>
      <c r="F6" s="10" t="str">
        <f aca="false">IF($B6="","",IFERROR(INDEX(Drain_Register!$AG$5:$AG$304,MATCH($B6,Drain_Register!$A$5:$A$304,0)),IFERROR(INDEX(RW_Register!$AM$5:$AM$304,MATCH($B6,RW_Register!$A$5:$A$304,0)),IFERROR(INDEX(Embedded_Wall_Register!$AJ$5:$AJ$304,MATCH($B6,Embedded_Wall_Register!$A$5:$A$304,0)),IFERROR(INDEX(Manhole_Register!$AM$5:$AM$304,MATCH($B6,Manhole_Register!$A$5:$A$304,0)),IFERROR(INDEX(ERSS_Pit_Register!$AG$5:$AG$304,MATCH($B6,ERSS_Pit_Register!$A$5:$A$304,0)),IFERROR(INDEX(Linkway_Register!$AI$5:$AI$304,MATCH($B6,Linkway_Register!$A$5:$A$304,0)),IFERROR(INDEX(Other_Register!$Y$5:$Y$304,MATCH($B6,Other_Register!$A$5:$A$304,0)),""))))))))</f>
        <v>m</v>
      </c>
      <c r="G6" s="10" t="str">
        <f aca="false">IF($B6="","",IF(ISNUMBER(MATCH($B6,Drain_Register!$A$5:$A$304,0)),"Drain",IF(ISNUMBER(MATCH($B6,RW_Register!$A$5:$A$304,0)),"Ret. Wall",IF(ISNUMBER(MATCH($B6,Embedded_Wall_Register!$A$5:$A$304,0)),"Embedded Wall",IF(ISNUMBER(MATCH($B6,Manhole_Register!$A$5:$A$304,0)),"Manhole",IF(ISNUMBER(MATCH($B6,ERSS_Pit_Register!$A$5:$A$304,0)),"ERSS Pit",IF(ISNUMBER(MATCH($B6,Linkway_Register!$A$5:$A$304,0)),"Linkway",IF(ISNUMBER(MATCH($B6,Other_Register!$A$5:$A$304,0)),"Others",""))))))))</f>
        <v>Drain</v>
      </c>
      <c r="H6" s="10" t="str">
        <f aca="false">IF($B6="","",IFERROR(INDEX(Drain_Register!$B$5:$B$304,MATCH($B6,Drain_Register!$A$5:$A$304,0)),IFERROR(INDEX(RW_Register!$B$5:$B$304,MATCH($B6,RW_Register!$A$5:$A$304,0)),IFERROR(INDEX(Embedded_Wall_Register!$B$5:$B$304,MATCH($B6,Embedded_Wall_Register!$A$5:$A$304,0)),IFERROR(INDEX(Manhole_Register!$B$5:$B$304,MATCH($B6,Manhole_Register!$A$5:$A$304,0)),IFERROR(INDEX(ERSS_Pit_Register!$B$5:$B$304,MATCH($B6,ERSS_Pit_Register!$A$5:$A$304,0)),IFERROR(INDEX(Linkway_Register!$B$5:$B$304,MATCH($B6,Linkway_Register!$A$5:$A$304,0)),IFERROR(INDEX(Other_Register!$B$5:$B$304,MATCH($B6,Other_Register!$A$5:$A$304,0)),"ID not found - check spelling"))))))))</f>
        <v>Precast U-Drain 600W x 600D, Roadside drain, Drain surcharge 12 kPa (SDRE), Open</v>
      </c>
      <c r="I6" s="10" t="str">
        <f aca="false">IF($B6="","",IFERROR(INDEX(Drain_Register!$U$5:$U$304,MATCH($B6,Drain_Register!$A$5:$A$304,0)),IFERROR(INDEX(RW_Register!$AA$5:$AA$304,MATCH($B6,RW_Register!$A$5:$A$304,0)),IFERROR(INDEX(Embedded_Wall_Register!$X$5:$X$304,MATCH($B6,Embedded_Wall_Register!$A$5:$A$304,0)),IFERROR(INDEX(Manhole_Register!$AA$5:$AA$304,MATCH($B6,Manhole_Register!$A$5:$A$304,0)),IFERROR(INDEX(ERSS_Pit_Register!$U$5:$U$304,MATCH($B6,ERSS_Pit_Register!$A$5:$A$304,0)),IFERROR(INDEX(Linkway_Register!$W$5:$W$304,MATCH($B6,Linkway_Register!$A$5:$A$304,0)),IFERROR(INDEX(Other_Register!$M$5:$M$304,MATCH($B6,Other_Register!$A$5:$A$304,0)),""))))))))</f>
        <v>A</v>
      </c>
      <c r="J6" s="10" t="str">
        <f aca="false">IF($B6="","",IFERROR(INDEX(Drain_Register!$V$5:$V$304,MATCH($B6,Drain_Register!$A$5:$A$304,0)),IFERROR(INDEX(RW_Register!$AB$5:$AB$304,MATCH($B6,RW_Register!$A$5:$A$304,0)),IFERROR(INDEX(Embedded_Wall_Register!$Y$5:$Y$304,MATCH($B6,Embedded_Wall_Register!$A$5:$A$304,0)),IFERROR(INDEX(Manhole_Register!$AB$5:$AB$304,MATCH($B6,Manhole_Register!$A$5:$A$304,0)),IFERROR(INDEX(ERSS_Pit_Register!$V$5:$V$304,MATCH($B6,ERSS_Pit_Register!$A$5:$A$304,0)),IFERROR(INDEX(Linkway_Register!$X$5:$X$304,MATCH($B6,Linkway_Register!$A$5:$A$304,0)),IFERROR(INDEX(Other_Register!$N$5:$N$304,MATCH($B6,Other_Register!$A$5:$A$304,0)),""))))))))</f>
        <v>Approved</v>
      </c>
      <c r="K6" s="10" t="str">
        <f aca="false">IF($B6="","",IFERROR(INDEX(Drain_Register!$W$5:$W$304,MATCH($B6,Drain_Register!$A$5:$A$304,0)),IFERROR(INDEX(RW_Register!$AC$5:$AC$304,MATCH($B6,RW_Register!$A$5:$A$304,0)),IFERROR(INDEX(Embedded_Wall_Register!$Z$5:$Z$304,MATCH($B6,Embedded_Wall_Register!$A$5:$A$304,0)),IFERROR(INDEX(Manhole_Register!$AC$5:$AC$304,MATCH($B6,Manhole_Register!$A$5:$A$304,0)),IFERROR(INDEX(ERSS_Pit_Register!$W$5:$W$304,MATCH($B6,ERSS_Pit_Register!$A$5:$A$304,0)),IFERROR(INDEX(Linkway_Register!$Y$5:$Y$304,MATCH($B6,Linkway_Register!$A$5:$A$304,0)),IFERROR(INDEX(Other_Register!$O$5:$O$304,MATCH($B6,Other_Register!$A$5:$A$304,0)),""))))))))</f>
        <v>STD-DR-001</v>
      </c>
      <c r="L6" s="10" t="n">
        <f aca="false">IF($B6="","",IFERROR(INDEX(Drain_Register!$X$5:$X$304,MATCH($B6,Drain_Register!$A$5:$A$304,0)),IFERROR(INDEX(RW_Register!$AD$5:$AD$304,MATCH($B6,RW_Register!$A$5:$A$304,0)),IFERROR(INDEX(Embedded_Wall_Register!$AA$5:$AA$304,MATCH($B6,Embedded_Wall_Register!$A$5:$A$304,0)),IFERROR(INDEX(Manhole_Register!$AD$5:$AD$304,MATCH($B6,Manhole_Register!$A$5:$A$304,0)),IFERROR(INDEX(ERSS_Pit_Register!$X$5:$X$304,MATCH($B6,ERSS_Pit_Register!$A$5:$A$304,0)),IFERROR(INDEX(Linkway_Register!$Z$5:$Z$304,MATCH($B6,Linkway_Register!$A$5:$A$304,0)),IFERROR(INDEX(Other_Register!$P$5:$P$304,MATCH($B6,Other_Register!$A$5:$A$304,0)),""))))))))</f>
        <v>20</v>
      </c>
      <c r="M6" s="10" t="str">
        <f aca="false">IF($B6="","",IFERROR(INDEX(Drain_Register!$Z$5:$Z$304,MATCH($B6,Drain_Register!$A$5:$A$304,0)),IFERROR(INDEX(RW_Register!$AF$5:$AF$304,MATCH($B6,RW_Register!$A$5:$A$304,0)),IFERROR(INDEX(Embedded_Wall_Register!$AC$5:$AC$304,MATCH($B6,Embedded_Wall_Register!$A$5:$A$304,0)),IFERROR(INDEX(Manhole_Register!$AF$5:$AF$304,MATCH($B6,Manhole_Register!$A$5:$A$304,0)),IFERROR(INDEX(ERSS_Pit_Register!$Z$5:$Z$304,MATCH($B6,ERSS_Pit_Register!$A$5:$A$304,0)),IFERROR(INDEX(Linkway_Register!$AB$5:$AB$304,MATCH($B6,Linkway_Register!$A$5:$A$304,0)),IFERROR(INDEX(Other_Register!$R$5:$R$304,MATCH($B6,Other_Register!$A$5:$A$304,0)),"")))))))&amp;IFERROR(INDEX(Drain_Register!$AA$5:$AA$304,MATCH($B6,Drain_Register!$A$5:$A$304,0)),IFERROR(INDEX(RW_Register!$AG$5:$AG$304,MATCH($B6,RW_Register!$A$5:$A$304,0)),IFERROR(INDEX(Embedded_Wall_Register!$AD$5:$AD$304,MATCH($B6,Embedded_Wall_Register!$A$5:$A$304,0)),IFERROR(INDEX(Manhole_Register!$AG$5:$AG$304,MATCH($B6,Manhole_Register!$A$5:$A$304,0)),IFERROR(INDEX(ERSS_Pit_Register!$AA$5:$AA$304,MATCH($B6,ERSS_Pit_Register!$A$5:$A$304,0)),IFERROR(INDEX(Linkway_Register!$AC$5:$AC$304,MATCH($B6,Linkway_Register!$A$5:$A$304,0)),IFERROR(INDEX(Other_Register!$S$5:$S$304,MATCH($B6,Other_Register!$A$5:$A$304,0)),""))))))))</f>
        <v>C:\Users\yourname\YourCompany\Design Library - Documents\01_Drainage\DRN-PUD-0600x0600-S12-A\DRN-PUD-0600x0600-S12-A_CAD.dwg</v>
      </c>
      <c r="N6" s="19" t="n">
        <f aca="false">IF(OR($B6="",$D6=""),"",$D6*N(IFERROR(INDEX(Drain_Register!$AH$5:$AH$304,MATCH($B6,Drain_Register!$A$5:$A$304,0)),IFERROR(INDEX(RW_Register!$AN$5:$AN$304,MATCH($B6,RW_Register!$A$5:$A$304,0)),IFERROR(INDEX(Embedded_Wall_Register!$AK$5:$AK$304,MATCH($B6,Embedded_Wall_Register!$A$5:$A$304,0)),IFERROR(INDEX(Manhole_Register!$AN$5:$AN$304,MATCH($B6,Manhole_Register!$A$5:$A$304,0)),IFERROR(INDEX(ERSS_Pit_Register!$AH$5:$AH$304,MATCH($B6,ERSS_Pit_Register!$A$5:$A$304,0)),IFERROR(INDEX(Linkway_Register!$AJ$5:$AJ$304,MATCH($B6,Linkway_Register!$A$5:$A$304,0)),IFERROR(INDEX(Other_Register!$Z$5:$Z$304,MATCH($B6,Other_Register!$A$5:$A$304,0)),0)))))))))</f>
        <v>90</v>
      </c>
      <c r="O6" s="20" t="n">
        <f aca="false">IF(OR($B6="",$D6=""),"",$D6*N(IFERROR(INDEX(Drain_Register!$AI$5:$AI$304,MATCH($B6,Drain_Register!$A$5:$A$304,0)),IFERROR(INDEX(RW_Register!$AO$5:$AO$304,MATCH($B6,RW_Register!$A$5:$A$304,0)),IFERROR(INDEX(Embedded_Wall_Register!$AL$5:$AL$304,MATCH($B6,Embedded_Wall_Register!$A$5:$A$304,0)),IFERROR(INDEX(Manhole_Register!$AO$5:$AO$304,MATCH($B6,Manhole_Register!$A$5:$A$304,0)),IFERROR(INDEX(ERSS_Pit_Register!$AI$5:$AI$304,MATCH($B6,ERSS_Pit_Register!$A$5:$A$304,0)),IFERROR(INDEX(Linkway_Register!$AK$5:$AK$304,MATCH($B6,Linkway_Register!$A$5:$A$304,0)),IFERROR(INDEX(Other_Register!$AA$5:$AA$304,MATCH($B6,Other_Register!$A$5:$A$304,0)),0))))))))/1000)</f>
        <v>7</v>
      </c>
      <c r="P6" s="20" t="n">
        <f aca="false">IF(OR($B6="",$D6=""),"",$D6*N(IFERROR(INDEX(Drain_Register!$AJ$5:$AJ$304,MATCH($B6,Drain_Register!$A$5:$A$304,0)),IFERROR(INDEX(RW_Register!$AP$5:$AP$304,MATCH($B6,RW_Register!$A$5:$A$304,0)),IFERROR(INDEX(Embedded_Wall_Register!$AM$5:$AM$304,MATCH($B6,Embedded_Wall_Register!$A$5:$A$304,0)),IFERROR(INDEX(Manhole_Register!$AP$5:$AP$304,MATCH($B6,Manhole_Register!$A$5:$A$304,0)),IFERROR(INDEX(ERSS_Pit_Register!$AJ$5:$AJ$304,MATCH($B6,ERSS_Pit_Register!$A$5:$A$304,0)),IFERROR(INDEX(Linkway_Register!$AL$5:$AL$304,MATCH($B6,Linkway_Register!$A$5:$A$304,0)),IFERROR(INDEX(Other_Register!$AB$5:$AB$304,MATCH($B6,Other_Register!$A$5:$A$304,0)),0))))))))/1000)</f>
        <v>0</v>
      </c>
      <c r="Q6" s="19" t="n">
        <f aca="false">IF(OR($B6="",$D6=""),"",$D6*N(IFERROR(INDEX(Drain_Register!$AK$5:$AK$304,MATCH($B6,Drain_Register!$A$5:$A$304,0)),IFERROR(INDEX(RW_Register!$AQ$5:$AQ$304,MATCH($B6,RW_Register!$A$5:$A$304,0)),IFERROR(INDEX(Embedded_Wall_Register!$AN$5:$AN$304,MATCH($B6,Embedded_Wall_Register!$A$5:$A$304,0)),IFERROR(INDEX(Manhole_Register!$AQ$5:$AQ$304,MATCH($B6,Manhole_Register!$A$5:$A$304,0)),IFERROR(INDEX(ERSS_Pit_Register!$AK$5:$AK$304,MATCH($B6,ERSS_Pit_Register!$A$5:$A$304,0)),IFERROR(INDEX(Linkway_Register!$AM$5:$AM$304,MATCH($B6,Linkway_Register!$A$5:$A$304,0)),IFERROR(INDEX(Other_Register!$AC$5:$AC$304,MATCH($B6,Other_Register!$A$5:$A$304,0)),0)))))))))</f>
        <v>0</v>
      </c>
      <c r="R6" s="19" t="n">
        <f aca="false">IF(OR($B6="",$D6=""),"",$D6*N(IFERROR(INDEX(Drain_Register!$AL$5:$AL$304,MATCH($B6,Drain_Register!$A$5:$A$304,0)),IFERROR(INDEX(RW_Register!$AR$5:$AR$304,MATCH($B6,RW_Register!$A$5:$A$304,0)),IFERROR(INDEX(Embedded_Wall_Register!$AO$5:$AO$304,MATCH($B6,Embedded_Wall_Register!$A$5:$A$304,0)),IFERROR(INDEX(Manhole_Register!$AR$5:$AR$304,MATCH($B6,Manhole_Register!$A$5:$A$304,0)),IFERROR(INDEX(ERSS_Pit_Register!$AL$5:$AL$304,MATCH($B6,ERSS_Pit_Register!$A$5:$A$304,0)),IFERROR(INDEX(Linkway_Register!$AN$5:$AN$304,MATCH($B6,Linkway_Register!$A$5:$A$304,0)),IFERROR(INDEX(Other_Register!$AD$5:$AD$304,MATCH($B6,Other_Register!$A$5:$A$304,0)),0)))))))))</f>
        <v>650</v>
      </c>
      <c r="S6" s="10" t="str">
        <f aca="false">IF($B6="","",IF(G6="","ID not found",IF(J6&lt;&gt;"Approved","WARNING: status is "&amp;J6,IF(IFERROR(INDEX(Drain_Register!$AV$5:$AV$304,MATCH($B6,Drain_Register!$A$5:$A$304,0)),IFERROR(INDEX(RW_Register!$BA$5:$BA$304,MATCH($B6,RW_Register!$A$5:$A$304,0)),IFERROR(INDEX(Embedded_Wall_Register!$AX$5:$AX$304,MATCH($B6,Embedded_Wall_Register!$A$5:$A$304,0)),IFERROR(INDEX(Manhole_Register!$AZ$5:$AZ$304,MATCH($B6,Manhole_Register!$A$5:$A$304,0)),IFERROR(INDEX(ERSS_Pit_Register!$AU$5:$AU$304,MATCH($B6,ERSS_Pit_Register!$A$5:$A$304,0)),IFERROR(INDEX(Linkway_Register!$AV$5:$AV$304,MATCH($B6,Linkway_Register!$A$5:$A$304,0)),IFERROR(INDEX(Other_Register!$AL$5:$AL$304,MATCH($B6,Other_Register!$A$5:$A$304,0)),"")))))))="N","WARNING: fails SG compliance check",IF(D6="","Enter length / qty",IF(E6="","Enter CAD sheet no.","OK"))))))</f>
        <v>OK</v>
      </c>
    </row>
    <row r="7" customFormat="false" ht="15" hidden="false" customHeight="false" outlineLevel="0" collapsed="false">
      <c r="A7" s="18" t="n">
        <v>2</v>
      </c>
      <c r="B7" s="18" t="s">
        <v>134</v>
      </c>
      <c r="C7" s="18" t="s">
        <v>135</v>
      </c>
      <c r="D7" s="18" t="n">
        <v>120</v>
      </c>
      <c r="E7" s="18" t="n">
        <v>1</v>
      </c>
      <c r="F7" s="10" t="str">
        <f aca="false">IF($B7="","",IFERROR(INDEX(Drain_Register!$AG$5:$AG$304,MATCH($B7,Drain_Register!$A$5:$A$304,0)),IFERROR(INDEX(RW_Register!$AM$5:$AM$304,MATCH($B7,RW_Register!$A$5:$A$304,0)),IFERROR(INDEX(Embedded_Wall_Register!$AJ$5:$AJ$304,MATCH($B7,Embedded_Wall_Register!$A$5:$A$304,0)),IFERROR(INDEX(Manhole_Register!$AM$5:$AM$304,MATCH($B7,Manhole_Register!$A$5:$A$304,0)),IFERROR(INDEX(ERSS_Pit_Register!$AG$5:$AG$304,MATCH($B7,ERSS_Pit_Register!$A$5:$A$304,0)),IFERROR(INDEX(Linkway_Register!$AI$5:$AI$304,MATCH($B7,Linkway_Register!$A$5:$A$304,0)),IFERROR(INDEX(Other_Register!$Y$5:$Y$304,MATCH($B7,Other_Register!$A$5:$A$304,0)),""))))))))</f>
        <v>m</v>
      </c>
      <c r="G7" s="10" t="str">
        <f aca="false">IF($B7="","",IF(ISNUMBER(MATCH($B7,Drain_Register!$A$5:$A$304,0)),"Drain",IF(ISNUMBER(MATCH($B7,RW_Register!$A$5:$A$304,0)),"Ret. Wall",IF(ISNUMBER(MATCH($B7,Embedded_Wall_Register!$A$5:$A$304,0)),"Embedded Wall",IF(ISNUMBER(MATCH($B7,Manhole_Register!$A$5:$A$304,0)),"Manhole",IF(ISNUMBER(MATCH($B7,ERSS_Pit_Register!$A$5:$A$304,0)),"ERSS Pit",IF(ISNUMBER(MATCH($B7,Linkway_Register!$A$5:$A$304,0)),"Linkway",IF(ISNUMBER(MATCH($B7,Other_Register!$A$5:$A$304,0)),"Others",""))))))))</f>
        <v>Drain</v>
      </c>
      <c r="H7" s="10" t="str">
        <f aca="false">IF($B7="","",IFERROR(INDEX(Drain_Register!$B$5:$B$304,MATCH($B7,Drain_Register!$A$5:$A$304,0)),IFERROR(INDEX(RW_Register!$B$5:$B$304,MATCH($B7,RW_Register!$A$5:$A$304,0)),IFERROR(INDEX(Embedded_Wall_Register!$B$5:$B$304,MATCH($B7,Embedded_Wall_Register!$A$5:$A$304,0)),IFERROR(INDEX(Manhole_Register!$B$5:$B$304,MATCH($B7,Manhole_Register!$A$5:$A$304,0)),IFERROR(INDEX(ERSS_Pit_Register!$B$5:$B$304,MATCH($B7,ERSS_Pit_Register!$A$5:$A$304,0)),IFERROR(INDEX(Linkway_Register!$B$5:$B$304,MATCH($B7,Linkway_Register!$A$5:$A$304,0)),IFERROR(INDEX(Other_Register!$B$5:$B$304,MATCH($B7,Other_Register!$A$5:$A$304,0)),"ID not found - check spelling"))))))))</f>
        <v>Slabbed-over U-Drain 600W x 750D, Roadside drain, Footway 5 kPa (SDRE), Covered - RC slab</v>
      </c>
      <c r="I7" s="10" t="str">
        <f aca="false">IF($B7="","",IFERROR(INDEX(Drain_Register!$U$5:$U$304,MATCH($B7,Drain_Register!$A$5:$A$304,0)),IFERROR(INDEX(RW_Register!$AA$5:$AA$304,MATCH($B7,RW_Register!$A$5:$A$304,0)),IFERROR(INDEX(Embedded_Wall_Register!$X$5:$X$304,MATCH($B7,Embedded_Wall_Register!$A$5:$A$304,0)),IFERROR(INDEX(Manhole_Register!$AA$5:$AA$304,MATCH($B7,Manhole_Register!$A$5:$A$304,0)),IFERROR(INDEX(ERSS_Pit_Register!$U$5:$U$304,MATCH($B7,ERSS_Pit_Register!$A$5:$A$304,0)),IFERROR(INDEX(Linkway_Register!$W$5:$W$304,MATCH($B7,Linkway_Register!$A$5:$A$304,0)),IFERROR(INDEX(Other_Register!$M$5:$M$304,MATCH($B7,Other_Register!$A$5:$A$304,0)),""))))))))</f>
        <v>A</v>
      </c>
      <c r="J7" s="10" t="str">
        <f aca="false">IF($B7="","",IFERROR(INDEX(Drain_Register!$V$5:$V$304,MATCH($B7,Drain_Register!$A$5:$A$304,0)),IFERROR(INDEX(RW_Register!$AB$5:$AB$304,MATCH($B7,RW_Register!$A$5:$A$304,0)),IFERROR(INDEX(Embedded_Wall_Register!$Y$5:$Y$304,MATCH($B7,Embedded_Wall_Register!$A$5:$A$304,0)),IFERROR(INDEX(Manhole_Register!$AB$5:$AB$304,MATCH($B7,Manhole_Register!$A$5:$A$304,0)),IFERROR(INDEX(ERSS_Pit_Register!$V$5:$V$304,MATCH($B7,ERSS_Pit_Register!$A$5:$A$304,0)),IFERROR(INDEX(Linkway_Register!$X$5:$X$304,MATCH($B7,Linkway_Register!$A$5:$A$304,0)),IFERROR(INDEX(Other_Register!$N$5:$N$304,MATCH($B7,Other_Register!$A$5:$A$304,0)),""))))))))</f>
        <v>Approved</v>
      </c>
      <c r="K7" s="10" t="str">
        <f aca="false">IF($B7="","",IFERROR(INDEX(Drain_Register!$W$5:$W$304,MATCH($B7,Drain_Register!$A$5:$A$304,0)),IFERROR(INDEX(RW_Register!$AC$5:$AC$304,MATCH($B7,RW_Register!$A$5:$A$304,0)),IFERROR(INDEX(Embedded_Wall_Register!$Z$5:$Z$304,MATCH($B7,Embedded_Wall_Register!$A$5:$A$304,0)),IFERROR(INDEX(Manhole_Register!$AC$5:$AC$304,MATCH($B7,Manhole_Register!$A$5:$A$304,0)),IFERROR(INDEX(ERSS_Pit_Register!$W$5:$W$304,MATCH($B7,ERSS_Pit_Register!$A$5:$A$304,0)),IFERROR(INDEX(Linkway_Register!$Y$5:$Y$304,MATCH($B7,Linkway_Register!$A$5:$A$304,0)),IFERROR(INDEX(Other_Register!$O$5:$O$304,MATCH($B7,Other_Register!$A$5:$A$304,0)),""))))))))</f>
        <v>STD-DR-003</v>
      </c>
      <c r="L7" s="10" t="n">
        <f aca="false">IF($B7="","",IFERROR(INDEX(Drain_Register!$X$5:$X$304,MATCH($B7,Drain_Register!$A$5:$A$304,0)),IFERROR(INDEX(RW_Register!$AD$5:$AD$304,MATCH($B7,RW_Register!$A$5:$A$304,0)),IFERROR(INDEX(Embedded_Wall_Register!$AA$5:$AA$304,MATCH($B7,Embedded_Wall_Register!$A$5:$A$304,0)),IFERROR(INDEX(Manhole_Register!$AD$5:$AD$304,MATCH($B7,Manhole_Register!$A$5:$A$304,0)),IFERROR(INDEX(ERSS_Pit_Register!$X$5:$X$304,MATCH($B7,ERSS_Pit_Register!$A$5:$A$304,0)),IFERROR(INDEX(Linkway_Register!$Z$5:$Z$304,MATCH($B7,Linkway_Register!$A$5:$A$304,0)),IFERROR(INDEX(Other_Register!$P$5:$P$304,MATCH($B7,Other_Register!$A$5:$A$304,0)),""))))))))</f>
        <v>20</v>
      </c>
      <c r="M7" s="10" t="str">
        <f aca="false">IF($B7="","",IFERROR(INDEX(Drain_Register!$Z$5:$Z$304,MATCH($B7,Drain_Register!$A$5:$A$304,0)),IFERROR(INDEX(RW_Register!$AF$5:$AF$304,MATCH($B7,RW_Register!$A$5:$A$304,0)),IFERROR(INDEX(Embedded_Wall_Register!$AC$5:$AC$304,MATCH($B7,Embedded_Wall_Register!$A$5:$A$304,0)),IFERROR(INDEX(Manhole_Register!$AF$5:$AF$304,MATCH($B7,Manhole_Register!$A$5:$A$304,0)),IFERROR(INDEX(ERSS_Pit_Register!$Z$5:$Z$304,MATCH($B7,ERSS_Pit_Register!$A$5:$A$304,0)),IFERROR(INDEX(Linkway_Register!$AB$5:$AB$304,MATCH($B7,Linkway_Register!$A$5:$A$304,0)),IFERROR(INDEX(Other_Register!$R$5:$R$304,MATCH($B7,Other_Register!$A$5:$A$304,0)),"")))))))&amp;IFERROR(INDEX(Drain_Register!$AA$5:$AA$304,MATCH($B7,Drain_Register!$A$5:$A$304,0)),IFERROR(INDEX(RW_Register!$AG$5:$AG$304,MATCH($B7,RW_Register!$A$5:$A$304,0)),IFERROR(INDEX(Embedded_Wall_Register!$AD$5:$AD$304,MATCH($B7,Embedded_Wall_Register!$A$5:$A$304,0)),IFERROR(INDEX(Manhole_Register!$AG$5:$AG$304,MATCH($B7,Manhole_Register!$A$5:$A$304,0)),IFERROR(INDEX(ERSS_Pit_Register!$AA$5:$AA$304,MATCH($B7,ERSS_Pit_Register!$A$5:$A$304,0)),IFERROR(INDEX(Linkway_Register!$AC$5:$AC$304,MATCH($B7,Linkway_Register!$A$5:$A$304,0)),IFERROR(INDEX(Other_Register!$S$5:$S$304,MATCH($B7,Other_Register!$A$5:$A$304,0)),""))))))))</f>
        <v>C:\Users\yourname\YourCompany\Design Library - Documents\01_Drainage\DRN-SUD-0600x0750-FWY-A\DRN-SUD-0600x0750-FWY-A_CAD.dwg</v>
      </c>
      <c r="N7" s="19" t="n">
        <f aca="false">IF(OR($B7="",$D7=""),"",$D7*N(IFERROR(INDEX(Drain_Register!$AH$5:$AH$304,MATCH($B7,Drain_Register!$A$5:$A$304,0)),IFERROR(INDEX(RW_Register!$AN$5:$AN$304,MATCH($B7,RW_Register!$A$5:$A$304,0)),IFERROR(INDEX(Embedded_Wall_Register!$AK$5:$AK$304,MATCH($B7,Embedded_Wall_Register!$A$5:$A$304,0)),IFERROR(INDEX(Manhole_Register!$AN$5:$AN$304,MATCH($B7,Manhole_Register!$A$5:$A$304,0)),IFERROR(INDEX(ERSS_Pit_Register!$AH$5:$AH$304,MATCH($B7,ERSS_Pit_Register!$A$5:$A$304,0)),IFERROR(INDEX(Linkway_Register!$AJ$5:$AJ$304,MATCH($B7,Linkway_Register!$A$5:$A$304,0)),IFERROR(INDEX(Other_Register!$Z$5:$Z$304,MATCH($B7,Other_Register!$A$5:$A$304,0)),0)))))))))</f>
        <v>51.6</v>
      </c>
      <c r="O7" s="20" t="n">
        <f aca="false">IF(OR($B7="",$D7=""),"",$D7*N(IFERROR(INDEX(Drain_Register!$AI$5:$AI$304,MATCH($B7,Drain_Register!$A$5:$A$304,0)),IFERROR(INDEX(RW_Register!$AO$5:$AO$304,MATCH($B7,RW_Register!$A$5:$A$304,0)),IFERROR(INDEX(Embedded_Wall_Register!$AL$5:$AL$304,MATCH($B7,Embedded_Wall_Register!$A$5:$A$304,0)),IFERROR(INDEX(Manhole_Register!$AO$5:$AO$304,MATCH($B7,Manhole_Register!$A$5:$A$304,0)),IFERROR(INDEX(ERSS_Pit_Register!$AI$5:$AI$304,MATCH($B7,ERSS_Pit_Register!$A$5:$A$304,0)),IFERROR(INDEX(Linkway_Register!$AK$5:$AK$304,MATCH($B7,Linkway_Register!$A$5:$A$304,0)),IFERROR(INDEX(Other_Register!$AA$5:$AA$304,MATCH($B7,Other_Register!$A$5:$A$304,0)),0))))))))/1000)</f>
        <v>4.56</v>
      </c>
      <c r="P7" s="20" t="n">
        <f aca="false">IF(OR($B7="",$D7=""),"",$D7*N(IFERROR(INDEX(Drain_Register!$AJ$5:$AJ$304,MATCH($B7,Drain_Register!$A$5:$A$304,0)),IFERROR(INDEX(RW_Register!$AP$5:$AP$304,MATCH($B7,RW_Register!$A$5:$A$304,0)),IFERROR(INDEX(Embedded_Wall_Register!$AM$5:$AM$304,MATCH($B7,Embedded_Wall_Register!$A$5:$A$304,0)),IFERROR(INDEX(Manhole_Register!$AP$5:$AP$304,MATCH($B7,Manhole_Register!$A$5:$A$304,0)),IFERROR(INDEX(ERSS_Pit_Register!$AJ$5:$AJ$304,MATCH($B7,ERSS_Pit_Register!$A$5:$A$304,0)),IFERROR(INDEX(Linkway_Register!$AL$5:$AL$304,MATCH($B7,Linkway_Register!$A$5:$A$304,0)),IFERROR(INDEX(Other_Register!$AB$5:$AB$304,MATCH($B7,Other_Register!$A$5:$A$304,0)),0))))))))/1000)</f>
        <v>0</v>
      </c>
      <c r="Q7" s="19" t="n">
        <f aca="false">IF(OR($B7="",$D7=""),"",$D7*N(IFERROR(INDEX(Drain_Register!$AK$5:$AK$304,MATCH($B7,Drain_Register!$A$5:$A$304,0)),IFERROR(INDEX(RW_Register!$AQ$5:$AQ$304,MATCH($B7,RW_Register!$A$5:$A$304,0)),IFERROR(INDEX(Embedded_Wall_Register!$AN$5:$AN$304,MATCH($B7,Embedded_Wall_Register!$A$5:$A$304,0)),IFERROR(INDEX(Manhole_Register!$AQ$5:$AQ$304,MATCH($B7,Manhole_Register!$A$5:$A$304,0)),IFERROR(INDEX(ERSS_Pit_Register!$AK$5:$AK$304,MATCH($B7,ERSS_Pit_Register!$A$5:$A$304,0)),IFERROR(INDEX(Linkway_Register!$AM$5:$AM$304,MATCH($B7,Linkway_Register!$A$5:$A$304,0)),IFERROR(INDEX(Other_Register!$AC$5:$AC$304,MATCH($B7,Other_Register!$A$5:$A$304,0)),0)))))))))</f>
        <v>312</v>
      </c>
      <c r="R7" s="19" t="n">
        <f aca="false">IF(OR($B7="",$D7=""),"",$D7*N(IFERROR(INDEX(Drain_Register!$AL$5:$AL$304,MATCH($B7,Drain_Register!$A$5:$A$304,0)),IFERROR(INDEX(RW_Register!$AR$5:$AR$304,MATCH($B7,RW_Register!$A$5:$A$304,0)),IFERROR(INDEX(Embedded_Wall_Register!$AO$5:$AO$304,MATCH($B7,Embedded_Wall_Register!$A$5:$A$304,0)),IFERROR(INDEX(Manhole_Register!$AR$5:$AR$304,MATCH($B7,Manhole_Register!$A$5:$A$304,0)),IFERROR(INDEX(ERSS_Pit_Register!$AL$5:$AL$304,MATCH($B7,ERSS_Pit_Register!$A$5:$A$304,0)),IFERROR(INDEX(Linkway_Register!$AN$5:$AN$304,MATCH($B7,Linkway_Register!$A$5:$A$304,0)),IFERROR(INDEX(Other_Register!$AD$5:$AD$304,MATCH($B7,Other_Register!$A$5:$A$304,0)),0)))))))))</f>
        <v>216</v>
      </c>
      <c r="S7" s="10" t="str">
        <f aca="false">IF($B7="","",IF(G7="","ID not found",IF(J7&lt;&gt;"Approved","WARNING: status is "&amp;J7,IF(IFERROR(INDEX(Drain_Register!$AV$5:$AV$304,MATCH($B7,Drain_Register!$A$5:$A$304,0)),IFERROR(INDEX(RW_Register!$BA$5:$BA$304,MATCH($B7,RW_Register!$A$5:$A$304,0)),IFERROR(INDEX(Embedded_Wall_Register!$AX$5:$AX$304,MATCH($B7,Embedded_Wall_Register!$A$5:$A$304,0)),IFERROR(INDEX(Manhole_Register!$AZ$5:$AZ$304,MATCH($B7,Manhole_Register!$A$5:$A$304,0)),IFERROR(INDEX(ERSS_Pit_Register!$AU$5:$AU$304,MATCH($B7,ERSS_Pit_Register!$A$5:$A$304,0)),IFERROR(INDEX(Linkway_Register!$AV$5:$AV$304,MATCH($B7,Linkway_Register!$A$5:$A$304,0)),IFERROR(INDEX(Other_Register!$AL$5:$AL$304,MATCH($B7,Other_Register!$A$5:$A$304,0)),"")))))))="N","WARNING: fails SG compliance check",IF(D7="","Enter length / qty",IF(E7="","Enter CAD sheet no.","OK"))))))</f>
        <v>OK</v>
      </c>
    </row>
    <row r="8" customFormat="false" ht="15" hidden="false" customHeight="false" outlineLevel="0" collapsed="false">
      <c r="A8" s="18" t="n">
        <v>3</v>
      </c>
      <c r="B8" s="18" t="s">
        <v>136</v>
      </c>
      <c r="C8" s="18" t="s">
        <v>137</v>
      </c>
      <c r="D8" s="18" t="n">
        <v>18</v>
      </c>
      <c r="E8" s="18" t="n">
        <v>2</v>
      </c>
      <c r="F8" s="10" t="str">
        <f aca="false">IF($B8="","",IFERROR(INDEX(Drain_Register!$AG$5:$AG$304,MATCH($B8,Drain_Register!$A$5:$A$304,0)),IFERROR(INDEX(RW_Register!$AM$5:$AM$304,MATCH($B8,RW_Register!$A$5:$A$304,0)),IFERROR(INDEX(Embedded_Wall_Register!$AJ$5:$AJ$304,MATCH($B8,Embedded_Wall_Register!$A$5:$A$304,0)),IFERROR(INDEX(Manhole_Register!$AM$5:$AM$304,MATCH($B8,Manhole_Register!$A$5:$A$304,0)),IFERROR(INDEX(ERSS_Pit_Register!$AG$5:$AG$304,MATCH($B8,ERSS_Pit_Register!$A$5:$A$304,0)),IFERROR(INDEX(Linkway_Register!$AI$5:$AI$304,MATCH($B8,Linkway_Register!$A$5:$A$304,0)),IFERROR(INDEX(Other_Register!$Y$5:$Y$304,MATCH($B8,Other_Register!$A$5:$A$304,0)),""))))))))</f>
        <v>m</v>
      </c>
      <c r="G8" s="10" t="str">
        <f aca="false">IF($B8="","",IF(ISNUMBER(MATCH($B8,Drain_Register!$A$5:$A$304,0)),"Drain",IF(ISNUMBER(MATCH($B8,RW_Register!$A$5:$A$304,0)),"Ret. Wall",IF(ISNUMBER(MATCH($B8,Embedded_Wall_Register!$A$5:$A$304,0)),"Embedded Wall",IF(ISNUMBER(MATCH($B8,Manhole_Register!$A$5:$A$304,0)),"Manhole",IF(ISNUMBER(MATCH($B8,ERSS_Pit_Register!$A$5:$A$304,0)),"ERSS Pit",IF(ISNUMBER(MATCH($B8,Linkway_Register!$A$5:$A$304,0)),"Linkway",IF(ISNUMBER(MATCH($B8,Other_Register!$A$5:$A$304,0)),"Others",""))))))))</f>
        <v>Drain</v>
      </c>
      <c r="H8" s="10" t="str">
        <f aca="false">IF($B8="","",IFERROR(INDEX(Drain_Register!$B$5:$B$304,MATCH($B8,Drain_Register!$A$5:$A$304,0)),IFERROR(INDEX(RW_Register!$B$5:$B$304,MATCH($B8,RW_Register!$A$5:$A$304,0)),IFERROR(INDEX(Embedded_Wall_Register!$B$5:$B$304,MATCH($B8,Embedded_Wall_Register!$A$5:$A$304,0)),IFERROR(INDEX(Manhole_Register!$B$5:$B$304,MATCH($B8,Manhole_Register!$A$5:$A$304,0)),IFERROR(INDEX(ERSS_Pit_Register!$B$5:$B$304,MATCH($B8,ERSS_Pit_Register!$A$5:$A$304,0)),IFERROR(INDEX(Linkway_Register!$B$5:$B$304,MATCH($B8,Linkway_Register!$A$5:$A$304,0)),IFERROR(INDEX(Other_Register!$B$5:$B$304,MATCH($B8,Other_Register!$A$5:$A$304,0)),"ID not found - check spelling"))))))))</f>
        <v>Box Culvert 1500W x 1200D, Road crossing culvert, Vehicular LM1 (SS EN 1991-2), Closed (culvert)</v>
      </c>
      <c r="I8" s="10" t="str">
        <f aca="false">IF($B8="","",IFERROR(INDEX(Drain_Register!$U$5:$U$304,MATCH($B8,Drain_Register!$A$5:$A$304,0)),IFERROR(INDEX(RW_Register!$AA$5:$AA$304,MATCH($B8,RW_Register!$A$5:$A$304,0)),IFERROR(INDEX(Embedded_Wall_Register!$X$5:$X$304,MATCH($B8,Embedded_Wall_Register!$A$5:$A$304,0)),IFERROR(INDEX(Manhole_Register!$AA$5:$AA$304,MATCH($B8,Manhole_Register!$A$5:$A$304,0)),IFERROR(INDEX(ERSS_Pit_Register!$U$5:$U$304,MATCH($B8,ERSS_Pit_Register!$A$5:$A$304,0)),IFERROR(INDEX(Linkway_Register!$W$5:$W$304,MATCH($B8,Linkway_Register!$A$5:$A$304,0)),IFERROR(INDEX(Other_Register!$M$5:$M$304,MATCH($B8,Other_Register!$A$5:$A$304,0)),""))))))))</f>
        <v>A</v>
      </c>
      <c r="J8" s="10" t="str">
        <f aca="false">IF($B8="","",IFERROR(INDEX(Drain_Register!$V$5:$V$304,MATCH($B8,Drain_Register!$A$5:$A$304,0)),IFERROR(INDEX(RW_Register!$AB$5:$AB$304,MATCH($B8,RW_Register!$A$5:$A$304,0)),IFERROR(INDEX(Embedded_Wall_Register!$Y$5:$Y$304,MATCH($B8,Embedded_Wall_Register!$A$5:$A$304,0)),IFERROR(INDEX(Manhole_Register!$AB$5:$AB$304,MATCH($B8,Manhole_Register!$A$5:$A$304,0)),IFERROR(INDEX(ERSS_Pit_Register!$V$5:$V$304,MATCH($B8,ERSS_Pit_Register!$A$5:$A$304,0)),IFERROR(INDEX(Linkway_Register!$X$5:$X$304,MATCH($B8,Linkway_Register!$A$5:$A$304,0)),IFERROR(INDEX(Other_Register!$N$5:$N$304,MATCH($B8,Other_Register!$A$5:$A$304,0)),""))))))))</f>
        <v>Approved</v>
      </c>
      <c r="K8" s="10" t="str">
        <f aca="false">IF($B8="","",IFERROR(INDEX(Drain_Register!$W$5:$W$304,MATCH($B8,Drain_Register!$A$5:$A$304,0)),IFERROR(INDEX(RW_Register!$AC$5:$AC$304,MATCH($B8,RW_Register!$A$5:$A$304,0)),IFERROR(INDEX(Embedded_Wall_Register!$Z$5:$Z$304,MATCH($B8,Embedded_Wall_Register!$A$5:$A$304,0)),IFERROR(INDEX(Manhole_Register!$AC$5:$AC$304,MATCH($B8,Manhole_Register!$A$5:$A$304,0)),IFERROR(INDEX(ERSS_Pit_Register!$W$5:$W$304,MATCH($B8,ERSS_Pit_Register!$A$5:$A$304,0)),IFERROR(INDEX(Linkway_Register!$Y$5:$Y$304,MATCH($B8,Linkway_Register!$A$5:$A$304,0)),IFERROR(INDEX(Other_Register!$O$5:$O$304,MATCH($B8,Other_Register!$A$5:$A$304,0)),""))))))))</f>
        <v>STD-BC-001</v>
      </c>
      <c r="L8" s="10" t="n">
        <f aca="false">IF($B8="","",IFERROR(INDEX(Drain_Register!$X$5:$X$304,MATCH($B8,Drain_Register!$A$5:$A$304,0)),IFERROR(INDEX(RW_Register!$AD$5:$AD$304,MATCH($B8,RW_Register!$A$5:$A$304,0)),IFERROR(INDEX(Embedded_Wall_Register!$AA$5:$AA$304,MATCH($B8,Embedded_Wall_Register!$A$5:$A$304,0)),IFERROR(INDEX(Manhole_Register!$AD$5:$AD$304,MATCH($B8,Manhole_Register!$A$5:$A$304,0)),IFERROR(INDEX(ERSS_Pit_Register!$X$5:$X$304,MATCH($B8,ERSS_Pit_Register!$A$5:$A$304,0)),IFERROR(INDEX(Linkway_Register!$Z$5:$Z$304,MATCH($B8,Linkway_Register!$A$5:$A$304,0)),IFERROR(INDEX(Other_Register!$P$5:$P$304,MATCH($B8,Other_Register!$A$5:$A$304,0)),""))))))))</f>
        <v>25</v>
      </c>
      <c r="M8" s="10" t="str">
        <f aca="false">IF($B8="","",IFERROR(INDEX(Drain_Register!$Z$5:$Z$304,MATCH($B8,Drain_Register!$A$5:$A$304,0)),IFERROR(INDEX(RW_Register!$AF$5:$AF$304,MATCH($B8,RW_Register!$A$5:$A$304,0)),IFERROR(INDEX(Embedded_Wall_Register!$AC$5:$AC$304,MATCH($B8,Embedded_Wall_Register!$A$5:$A$304,0)),IFERROR(INDEX(Manhole_Register!$AF$5:$AF$304,MATCH($B8,Manhole_Register!$A$5:$A$304,0)),IFERROR(INDEX(ERSS_Pit_Register!$Z$5:$Z$304,MATCH($B8,ERSS_Pit_Register!$A$5:$A$304,0)),IFERROR(INDEX(Linkway_Register!$AB$5:$AB$304,MATCH($B8,Linkway_Register!$A$5:$A$304,0)),IFERROR(INDEX(Other_Register!$R$5:$R$304,MATCH($B8,Other_Register!$A$5:$A$304,0)),"")))))))&amp;IFERROR(INDEX(Drain_Register!$AA$5:$AA$304,MATCH($B8,Drain_Register!$A$5:$A$304,0)),IFERROR(INDEX(RW_Register!$AG$5:$AG$304,MATCH($B8,RW_Register!$A$5:$A$304,0)),IFERROR(INDEX(Embedded_Wall_Register!$AD$5:$AD$304,MATCH($B8,Embedded_Wall_Register!$A$5:$A$304,0)),IFERROR(INDEX(Manhole_Register!$AG$5:$AG$304,MATCH($B8,Manhole_Register!$A$5:$A$304,0)),IFERROR(INDEX(ERSS_Pit_Register!$AA$5:$AA$304,MATCH($B8,ERSS_Pit_Register!$A$5:$A$304,0)),IFERROR(INDEX(Linkway_Register!$AC$5:$AC$304,MATCH($B8,Linkway_Register!$A$5:$A$304,0)),IFERROR(INDEX(Other_Register!$S$5:$S$304,MATCH($B8,Other_Register!$A$5:$A$304,0)),""))))))))</f>
        <v>C:\Users\yourname\YourCompany\Design Library - Documents\01_Drainage\DRN-BC-1500x1200-VEH-A\DRN-BC-1500x1200-VEH-A_CAD.dwg</v>
      </c>
      <c r="N8" s="19" t="n">
        <f aca="false">IF(OR($B8="",$D8=""),"",$D8*N(IFERROR(INDEX(Drain_Register!$AH$5:$AH$304,MATCH($B8,Drain_Register!$A$5:$A$304,0)),IFERROR(INDEX(RW_Register!$AN$5:$AN$304,MATCH($B8,RW_Register!$A$5:$A$304,0)),IFERROR(INDEX(Embedded_Wall_Register!$AK$5:$AK$304,MATCH($B8,Embedded_Wall_Register!$A$5:$A$304,0)),IFERROR(INDEX(Manhole_Register!$AN$5:$AN$304,MATCH($B8,Manhole_Register!$A$5:$A$304,0)),IFERROR(INDEX(ERSS_Pit_Register!$AH$5:$AH$304,MATCH($B8,ERSS_Pit_Register!$A$5:$A$304,0)),IFERROR(INDEX(Linkway_Register!$AJ$5:$AJ$304,MATCH($B8,Linkway_Register!$A$5:$A$304,0)),IFERROR(INDEX(Other_Register!$Z$5:$Z$304,MATCH($B8,Other_Register!$A$5:$A$304,0)),0)))))))))</f>
        <v>33.84</v>
      </c>
      <c r="O8" s="20" t="n">
        <f aca="false">IF(OR($B8="",$D8=""),"",$D8*N(IFERROR(INDEX(Drain_Register!$AI$5:$AI$304,MATCH($B8,Drain_Register!$A$5:$A$304,0)),IFERROR(INDEX(RW_Register!$AO$5:$AO$304,MATCH($B8,RW_Register!$A$5:$A$304,0)),IFERROR(INDEX(Embedded_Wall_Register!$AL$5:$AL$304,MATCH($B8,Embedded_Wall_Register!$A$5:$A$304,0)),IFERROR(INDEX(Manhole_Register!$AO$5:$AO$304,MATCH($B8,Manhole_Register!$A$5:$A$304,0)),IFERROR(INDEX(ERSS_Pit_Register!$AI$5:$AI$304,MATCH($B8,ERSS_Pit_Register!$A$5:$A$304,0)),IFERROR(INDEX(Linkway_Register!$AK$5:$AK$304,MATCH($B8,Linkway_Register!$A$5:$A$304,0)),IFERROR(INDEX(Other_Register!$AA$5:$AA$304,MATCH($B8,Other_Register!$A$5:$A$304,0)),0))))))))/1000)</f>
        <v>3.78</v>
      </c>
      <c r="P8" s="20" t="n">
        <f aca="false">IF(OR($B8="",$D8=""),"",$D8*N(IFERROR(INDEX(Drain_Register!$AJ$5:$AJ$304,MATCH($B8,Drain_Register!$A$5:$A$304,0)),IFERROR(INDEX(RW_Register!$AP$5:$AP$304,MATCH($B8,RW_Register!$A$5:$A$304,0)),IFERROR(INDEX(Embedded_Wall_Register!$AM$5:$AM$304,MATCH($B8,Embedded_Wall_Register!$A$5:$A$304,0)),IFERROR(INDEX(Manhole_Register!$AP$5:$AP$304,MATCH($B8,Manhole_Register!$A$5:$A$304,0)),IFERROR(INDEX(ERSS_Pit_Register!$AJ$5:$AJ$304,MATCH($B8,ERSS_Pit_Register!$A$5:$A$304,0)),IFERROR(INDEX(Linkway_Register!$AL$5:$AL$304,MATCH($B8,Linkway_Register!$A$5:$A$304,0)),IFERROR(INDEX(Other_Register!$AB$5:$AB$304,MATCH($B8,Other_Register!$A$5:$A$304,0)),0))))))))/1000)</f>
        <v>0</v>
      </c>
      <c r="Q8" s="19" t="n">
        <f aca="false">IF(OR($B8="",$D8=""),"",$D8*N(IFERROR(INDEX(Drain_Register!$AK$5:$AK$304,MATCH($B8,Drain_Register!$A$5:$A$304,0)),IFERROR(INDEX(RW_Register!$AQ$5:$AQ$304,MATCH($B8,RW_Register!$A$5:$A$304,0)),IFERROR(INDEX(Embedded_Wall_Register!$AN$5:$AN$304,MATCH($B8,Embedded_Wall_Register!$A$5:$A$304,0)),IFERROR(INDEX(Manhole_Register!$AQ$5:$AQ$304,MATCH($B8,Manhole_Register!$A$5:$A$304,0)),IFERROR(INDEX(ERSS_Pit_Register!$AK$5:$AK$304,MATCH($B8,ERSS_Pit_Register!$A$5:$A$304,0)),IFERROR(INDEX(Linkway_Register!$AM$5:$AM$304,MATCH($B8,Linkway_Register!$A$5:$A$304,0)),IFERROR(INDEX(Other_Register!$AC$5:$AC$304,MATCH($B8,Other_Register!$A$5:$A$304,0)),0)))))))))</f>
        <v>133.2</v>
      </c>
      <c r="R8" s="19" t="n">
        <f aca="false">IF(OR($B8="",$D8=""),"",$D8*N(IFERROR(INDEX(Drain_Register!$AL$5:$AL$304,MATCH($B8,Drain_Register!$A$5:$A$304,0)),IFERROR(INDEX(RW_Register!$AR$5:$AR$304,MATCH($B8,RW_Register!$A$5:$A$304,0)),IFERROR(INDEX(Embedded_Wall_Register!$AO$5:$AO$304,MATCH($B8,Embedded_Wall_Register!$A$5:$A$304,0)),IFERROR(INDEX(Manhole_Register!$AR$5:$AR$304,MATCH($B8,Manhole_Register!$A$5:$A$304,0)),IFERROR(INDEX(ERSS_Pit_Register!$AL$5:$AL$304,MATCH($B8,ERSS_Pit_Register!$A$5:$A$304,0)),IFERROR(INDEX(Linkway_Register!$AN$5:$AN$304,MATCH($B8,Linkway_Register!$A$5:$A$304,0)),IFERROR(INDEX(Other_Register!$AD$5:$AD$304,MATCH($B8,Other_Register!$A$5:$A$304,0)),0)))))))))</f>
        <v>117</v>
      </c>
      <c r="S8" s="10" t="str">
        <f aca="false">IF($B8="","",IF(G8="","ID not found",IF(J8&lt;&gt;"Approved","WARNING: status is "&amp;J8,IF(IFERROR(INDEX(Drain_Register!$AV$5:$AV$304,MATCH($B8,Drain_Register!$A$5:$A$304,0)),IFERROR(INDEX(RW_Register!$BA$5:$BA$304,MATCH($B8,RW_Register!$A$5:$A$304,0)),IFERROR(INDEX(Embedded_Wall_Register!$AX$5:$AX$304,MATCH($B8,Embedded_Wall_Register!$A$5:$A$304,0)),IFERROR(INDEX(Manhole_Register!$AZ$5:$AZ$304,MATCH($B8,Manhole_Register!$A$5:$A$304,0)),IFERROR(INDEX(ERSS_Pit_Register!$AU$5:$AU$304,MATCH($B8,ERSS_Pit_Register!$A$5:$A$304,0)),IFERROR(INDEX(Linkway_Register!$AV$5:$AV$304,MATCH($B8,Linkway_Register!$A$5:$A$304,0)),IFERROR(INDEX(Other_Register!$AL$5:$AL$304,MATCH($B8,Other_Register!$A$5:$A$304,0)),"")))))))="N","WARNING: fails SG compliance check",IF(D8="","Enter length / qty",IF(E8="","Enter CAD sheet no.","OK"))))))</f>
        <v>OK</v>
      </c>
    </row>
    <row r="9" customFormat="false" ht="15" hidden="false" customHeight="false" outlineLevel="0" collapsed="false">
      <c r="A9" s="18" t="n">
        <v>4</v>
      </c>
      <c r="B9" s="18" t="s">
        <v>138</v>
      </c>
      <c r="C9" s="18" t="s">
        <v>139</v>
      </c>
      <c r="D9" s="18" t="n">
        <v>13</v>
      </c>
      <c r="E9" s="18" t="n">
        <v>2</v>
      </c>
      <c r="F9" s="10" t="str">
        <f aca="false">IF($B9="","",IFERROR(INDEX(Drain_Register!$AG$5:$AG$304,MATCH($B9,Drain_Register!$A$5:$A$304,0)),IFERROR(INDEX(RW_Register!$AM$5:$AM$304,MATCH($B9,RW_Register!$A$5:$A$304,0)),IFERROR(INDEX(Embedded_Wall_Register!$AJ$5:$AJ$304,MATCH($B9,Embedded_Wall_Register!$A$5:$A$304,0)),IFERROR(INDEX(Manhole_Register!$AM$5:$AM$304,MATCH($B9,Manhole_Register!$A$5:$A$304,0)),IFERROR(INDEX(ERSS_Pit_Register!$AG$5:$AG$304,MATCH($B9,ERSS_Pit_Register!$A$5:$A$304,0)),IFERROR(INDEX(Linkway_Register!$AI$5:$AI$304,MATCH($B9,Linkway_Register!$A$5:$A$304,0)),IFERROR(INDEX(Other_Register!$Y$5:$Y$304,MATCH($B9,Other_Register!$A$5:$A$304,0)),""))))))))</f>
        <v>nr</v>
      </c>
      <c r="G9" s="10" t="str">
        <f aca="false">IF($B9="","",IF(ISNUMBER(MATCH($B9,Drain_Register!$A$5:$A$304,0)),"Drain",IF(ISNUMBER(MATCH($B9,RW_Register!$A$5:$A$304,0)),"Ret. Wall",IF(ISNUMBER(MATCH($B9,Embedded_Wall_Register!$A$5:$A$304,0)),"Embedded Wall",IF(ISNUMBER(MATCH($B9,Manhole_Register!$A$5:$A$304,0)),"Manhole",IF(ISNUMBER(MATCH($B9,ERSS_Pit_Register!$A$5:$A$304,0)),"ERSS Pit",IF(ISNUMBER(MATCH($B9,Linkway_Register!$A$5:$A$304,0)),"Linkway",IF(ISNUMBER(MATCH($B9,Other_Register!$A$5:$A$304,0)),"Others",""))))))))</f>
        <v>Drain</v>
      </c>
      <c r="H9" s="10" t="str">
        <f aca="false">IF($B9="","",IFERROR(INDEX(Drain_Register!$B$5:$B$304,MATCH($B9,Drain_Register!$A$5:$A$304,0)),IFERROR(INDEX(RW_Register!$B$5:$B$304,MATCH($B9,RW_Register!$A$5:$A$304,0)),IFERROR(INDEX(Embedded_Wall_Register!$B$5:$B$304,MATCH($B9,Embedded_Wall_Register!$A$5:$A$304,0)),IFERROR(INDEX(Manhole_Register!$B$5:$B$304,MATCH($B9,Manhole_Register!$A$5:$A$304,0)),IFERROR(INDEX(ERSS_Pit_Register!$B$5:$B$304,MATCH($B9,ERSS_Pit_Register!$A$5:$A$304,0)),IFERROR(INDEX(Linkway_Register!$B$5:$B$304,MATCH($B9,Linkway_Register!$A$5:$A$304,0)),IFERROR(INDEX(Other_Register!$B$5:$B$304,MATCH($B9,Other_Register!$A$5:$A$304,0)),"ID not found - check spelling"))))))))</f>
        <v>Sump 900W x 1200D, Roadside drain, Drain surcharge 12 kPa (SDRE), Covered - grating</v>
      </c>
      <c r="I9" s="10" t="str">
        <f aca="false">IF($B9="","",IFERROR(INDEX(Drain_Register!$U$5:$U$304,MATCH($B9,Drain_Register!$A$5:$A$304,0)),IFERROR(INDEX(RW_Register!$AA$5:$AA$304,MATCH($B9,RW_Register!$A$5:$A$304,0)),IFERROR(INDEX(Embedded_Wall_Register!$X$5:$X$304,MATCH($B9,Embedded_Wall_Register!$A$5:$A$304,0)),IFERROR(INDEX(Manhole_Register!$AA$5:$AA$304,MATCH($B9,Manhole_Register!$A$5:$A$304,0)),IFERROR(INDEX(ERSS_Pit_Register!$U$5:$U$304,MATCH($B9,ERSS_Pit_Register!$A$5:$A$304,0)),IFERROR(INDEX(Linkway_Register!$W$5:$W$304,MATCH($B9,Linkway_Register!$A$5:$A$304,0)),IFERROR(INDEX(Other_Register!$M$5:$M$304,MATCH($B9,Other_Register!$A$5:$A$304,0)),""))))))))</f>
        <v>A</v>
      </c>
      <c r="J9" s="10" t="str">
        <f aca="false">IF($B9="","",IFERROR(INDEX(Drain_Register!$V$5:$V$304,MATCH($B9,Drain_Register!$A$5:$A$304,0)),IFERROR(INDEX(RW_Register!$AB$5:$AB$304,MATCH($B9,RW_Register!$A$5:$A$304,0)),IFERROR(INDEX(Embedded_Wall_Register!$Y$5:$Y$304,MATCH($B9,Embedded_Wall_Register!$A$5:$A$304,0)),IFERROR(INDEX(Manhole_Register!$AB$5:$AB$304,MATCH($B9,Manhole_Register!$A$5:$A$304,0)),IFERROR(INDEX(ERSS_Pit_Register!$V$5:$V$304,MATCH($B9,ERSS_Pit_Register!$A$5:$A$304,0)),IFERROR(INDEX(Linkway_Register!$X$5:$X$304,MATCH($B9,Linkway_Register!$A$5:$A$304,0)),IFERROR(INDEX(Other_Register!$N$5:$N$304,MATCH($B9,Other_Register!$A$5:$A$304,0)),""))))))))</f>
        <v>Approved</v>
      </c>
      <c r="K9" s="10" t="str">
        <f aca="false">IF($B9="","",IFERROR(INDEX(Drain_Register!$W$5:$W$304,MATCH($B9,Drain_Register!$A$5:$A$304,0)),IFERROR(INDEX(RW_Register!$AC$5:$AC$304,MATCH($B9,RW_Register!$A$5:$A$304,0)),IFERROR(INDEX(Embedded_Wall_Register!$Z$5:$Z$304,MATCH($B9,Embedded_Wall_Register!$A$5:$A$304,0)),IFERROR(INDEX(Manhole_Register!$AC$5:$AC$304,MATCH($B9,Manhole_Register!$A$5:$A$304,0)),IFERROR(INDEX(ERSS_Pit_Register!$W$5:$W$304,MATCH($B9,ERSS_Pit_Register!$A$5:$A$304,0)),IFERROR(INDEX(Linkway_Register!$Y$5:$Y$304,MATCH($B9,Linkway_Register!$A$5:$A$304,0)),IFERROR(INDEX(Other_Register!$O$5:$O$304,MATCH($B9,Other_Register!$A$5:$A$304,0)),""))))))))</f>
        <v>STD-SP-001</v>
      </c>
      <c r="L9" s="10" t="n">
        <f aca="false">IF($B9="","",IFERROR(INDEX(Drain_Register!$X$5:$X$304,MATCH($B9,Drain_Register!$A$5:$A$304,0)),IFERROR(INDEX(RW_Register!$AD$5:$AD$304,MATCH($B9,RW_Register!$A$5:$A$304,0)),IFERROR(INDEX(Embedded_Wall_Register!$AA$5:$AA$304,MATCH($B9,Embedded_Wall_Register!$A$5:$A$304,0)),IFERROR(INDEX(Manhole_Register!$AD$5:$AD$304,MATCH($B9,Manhole_Register!$A$5:$A$304,0)),IFERROR(INDEX(ERSS_Pit_Register!$X$5:$X$304,MATCH($B9,ERSS_Pit_Register!$A$5:$A$304,0)),IFERROR(INDEX(Linkway_Register!$Z$5:$Z$304,MATCH($B9,Linkway_Register!$A$5:$A$304,0)),IFERROR(INDEX(Other_Register!$P$5:$P$304,MATCH($B9,Other_Register!$A$5:$A$304,0)),""))))))))</f>
        <v>20</v>
      </c>
      <c r="M9" s="10" t="str">
        <f aca="false">IF($B9="","",IFERROR(INDEX(Drain_Register!$Z$5:$Z$304,MATCH($B9,Drain_Register!$A$5:$A$304,0)),IFERROR(INDEX(RW_Register!$AF$5:$AF$304,MATCH($B9,RW_Register!$A$5:$A$304,0)),IFERROR(INDEX(Embedded_Wall_Register!$AC$5:$AC$304,MATCH($B9,Embedded_Wall_Register!$A$5:$A$304,0)),IFERROR(INDEX(Manhole_Register!$AF$5:$AF$304,MATCH($B9,Manhole_Register!$A$5:$A$304,0)),IFERROR(INDEX(ERSS_Pit_Register!$Z$5:$Z$304,MATCH($B9,ERSS_Pit_Register!$A$5:$A$304,0)),IFERROR(INDEX(Linkway_Register!$AB$5:$AB$304,MATCH($B9,Linkway_Register!$A$5:$A$304,0)),IFERROR(INDEX(Other_Register!$R$5:$R$304,MATCH($B9,Other_Register!$A$5:$A$304,0)),"")))))))&amp;IFERROR(INDEX(Drain_Register!$AA$5:$AA$304,MATCH($B9,Drain_Register!$A$5:$A$304,0)),IFERROR(INDEX(RW_Register!$AG$5:$AG$304,MATCH($B9,RW_Register!$A$5:$A$304,0)),IFERROR(INDEX(Embedded_Wall_Register!$AD$5:$AD$304,MATCH($B9,Embedded_Wall_Register!$A$5:$A$304,0)),IFERROR(INDEX(Manhole_Register!$AG$5:$AG$304,MATCH($B9,Manhole_Register!$A$5:$A$304,0)),IFERROR(INDEX(ERSS_Pit_Register!$AA$5:$AA$304,MATCH($B9,ERSS_Pit_Register!$A$5:$A$304,0)),IFERROR(INDEX(Linkway_Register!$AC$5:$AC$304,MATCH($B9,Linkway_Register!$A$5:$A$304,0)),IFERROR(INDEX(Other_Register!$S$5:$S$304,MATCH($B9,Other_Register!$A$5:$A$304,0)),""))))))))</f>
        <v>C:\Users\yourname\YourCompany\Design Library - Documents\01_Drainage\DRN-SP-0900x1200-S12-A\DRN-SP-0900x1200-S12-A_CAD.dwg</v>
      </c>
      <c r="N9" s="19" t="n">
        <f aca="false">IF(OR($B9="",$D9=""),"",$D9*N(IFERROR(INDEX(Drain_Register!$AH$5:$AH$304,MATCH($B9,Drain_Register!$A$5:$A$304,0)),IFERROR(INDEX(RW_Register!$AN$5:$AN$304,MATCH($B9,RW_Register!$A$5:$A$304,0)),IFERROR(INDEX(Embedded_Wall_Register!$AK$5:$AK$304,MATCH($B9,Embedded_Wall_Register!$A$5:$A$304,0)),IFERROR(INDEX(Manhole_Register!$AN$5:$AN$304,MATCH($B9,Manhole_Register!$A$5:$A$304,0)),IFERROR(INDEX(ERSS_Pit_Register!$AH$5:$AH$304,MATCH($B9,ERSS_Pit_Register!$A$5:$A$304,0)),IFERROR(INDEX(Linkway_Register!$AJ$5:$AJ$304,MATCH($B9,Linkway_Register!$A$5:$A$304,0)),IFERROR(INDEX(Other_Register!$Z$5:$Z$304,MATCH($B9,Other_Register!$A$5:$A$304,0)),0)))))))))</f>
        <v>16.25</v>
      </c>
      <c r="O9" s="20" t="n">
        <f aca="false">IF(OR($B9="",$D9=""),"",$D9*N(IFERROR(INDEX(Drain_Register!$AI$5:$AI$304,MATCH($B9,Drain_Register!$A$5:$A$304,0)),IFERROR(INDEX(RW_Register!$AO$5:$AO$304,MATCH($B9,RW_Register!$A$5:$A$304,0)),IFERROR(INDEX(Embedded_Wall_Register!$AL$5:$AL$304,MATCH($B9,Embedded_Wall_Register!$A$5:$A$304,0)),IFERROR(INDEX(Manhole_Register!$AO$5:$AO$304,MATCH($B9,Manhole_Register!$A$5:$A$304,0)),IFERROR(INDEX(ERSS_Pit_Register!$AI$5:$AI$304,MATCH($B9,ERSS_Pit_Register!$A$5:$A$304,0)),IFERROR(INDEX(Linkway_Register!$AK$5:$AK$304,MATCH($B9,Linkway_Register!$A$5:$A$304,0)),IFERROR(INDEX(Other_Register!$AA$5:$AA$304,MATCH($B9,Other_Register!$A$5:$A$304,0)),0))))))))/1000)</f>
        <v>1.43</v>
      </c>
      <c r="P9" s="20" t="n">
        <f aca="false">IF(OR($B9="",$D9=""),"",$D9*N(IFERROR(INDEX(Drain_Register!$AJ$5:$AJ$304,MATCH($B9,Drain_Register!$A$5:$A$304,0)),IFERROR(INDEX(RW_Register!$AP$5:$AP$304,MATCH($B9,RW_Register!$A$5:$A$304,0)),IFERROR(INDEX(Embedded_Wall_Register!$AM$5:$AM$304,MATCH($B9,Embedded_Wall_Register!$A$5:$A$304,0)),IFERROR(INDEX(Manhole_Register!$AP$5:$AP$304,MATCH($B9,Manhole_Register!$A$5:$A$304,0)),IFERROR(INDEX(ERSS_Pit_Register!$AJ$5:$AJ$304,MATCH($B9,ERSS_Pit_Register!$A$5:$A$304,0)),IFERROR(INDEX(Linkway_Register!$AL$5:$AL$304,MATCH($B9,Linkway_Register!$A$5:$A$304,0)),IFERROR(INDEX(Other_Register!$AB$5:$AB$304,MATCH($B9,Other_Register!$A$5:$A$304,0)),0))))))))/1000)</f>
        <v>0</v>
      </c>
      <c r="Q9" s="19" t="n">
        <f aca="false">IF(OR($B9="",$D9=""),"",$D9*N(IFERROR(INDEX(Drain_Register!$AK$5:$AK$304,MATCH($B9,Drain_Register!$A$5:$A$304,0)),IFERROR(INDEX(RW_Register!$AQ$5:$AQ$304,MATCH($B9,RW_Register!$A$5:$A$304,0)),IFERROR(INDEX(Embedded_Wall_Register!$AN$5:$AN$304,MATCH($B9,Embedded_Wall_Register!$A$5:$A$304,0)),IFERROR(INDEX(Manhole_Register!$AQ$5:$AQ$304,MATCH($B9,Manhole_Register!$A$5:$A$304,0)),IFERROR(INDEX(ERSS_Pit_Register!$AK$5:$AK$304,MATCH($B9,ERSS_Pit_Register!$A$5:$A$304,0)),IFERROR(INDEX(Linkway_Register!$AM$5:$AM$304,MATCH($B9,Linkway_Register!$A$5:$A$304,0)),IFERROR(INDEX(Other_Register!$AC$5:$AC$304,MATCH($B9,Other_Register!$A$5:$A$304,0)),0)))))))))</f>
        <v>127.4</v>
      </c>
      <c r="R9" s="19" t="n">
        <f aca="false">IF(OR($B9="",$D9=""),"",$D9*N(IFERROR(INDEX(Drain_Register!$AL$5:$AL$304,MATCH($B9,Drain_Register!$A$5:$A$304,0)),IFERROR(INDEX(RW_Register!$AR$5:$AR$304,MATCH($B9,RW_Register!$A$5:$A$304,0)),IFERROR(INDEX(Embedded_Wall_Register!$AO$5:$AO$304,MATCH($B9,Embedded_Wall_Register!$A$5:$A$304,0)),IFERROR(INDEX(Manhole_Register!$AR$5:$AR$304,MATCH($B9,Manhole_Register!$A$5:$A$304,0)),IFERROR(INDEX(ERSS_Pit_Register!$AL$5:$AL$304,MATCH($B9,ERSS_Pit_Register!$A$5:$A$304,0)),IFERROR(INDEX(Linkway_Register!$AN$5:$AN$304,MATCH($B9,Linkway_Register!$A$5:$A$304,0)),IFERROR(INDEX(Other_Register!$AD$5:$AD$304,MATCH($B9,Other_Register!$A$5:$A$304,0)),0)))))))))</f>
        <v>41.6</v>
      </c>
      <c r="S9" s="10" t="str">
        <f aca="false">IF($B9="","",IF(G9="","ID not found",IF(J9&lt;&gt;"Approved","WARNING: status is "&amp;J9,IF(IFERROR(INDEX(Drain_Register!$AV$5:$AV$304,MATCH($B9,Drain_Register!$A$5:$A$304,0)),IFERROR(INDEX(RW_Register!$BA$5:$BA$304,MATCH($B9,RW_Register!$A$5:$A$304,0)),IFERROR(INDEX(Embedded_Wall_Register!$AX$5:$AX$304,MATCH($B9,Embedded_Wall_Register!$A$5:$A$304,0)),IFERROR(INDEX(Manhole_Register!$AZ$5:$AZ$304,MATCH($B9,Manhole_Register!$A$5:$A$304,0)),IFERROR(INDEX(ERSS_Pit_Register!$AU$5:$AU$304,MATCH($B9,ERSS_Pit_Register!$A$5:$A$304,0)),IFERROR(INDEX(Linkway_Register!$AV$5:$AV$304,MATCH($B9,Linkway_Register!$A$5:$A$304,0)),IFERROR(INDEX(Other_Register!$AL$5:$AL$304,MATCH($B9,Other_Register!$A$5:$A$304,0)),"")))))))="N","WARNING: fails SG compliance check",IF(D9="","Enter length / qty",IF(E9="","Enter CAD sheet no.","OK"))))))</f>
        <v>OK</v>
      </c>
    </row>
    <row r="10" customFormat="false" ht="15" hidden="false" customHeight="false" outlineLevel="0" collapsed="false">
      <c r="A10" s="18" t="n">
        <v>5</v>
      </c>
      <c r="B10" s="18" t="s">
        <v>140</v>
      </c>
      <c r="C10" s="18" t="s">
        <v>141</v>
      </c>
      <c r="D10" s="18" t="n">
        <v>42</v>
      </c>
      <c r="E10" s="18" t="n">
        <v>3</v>
      </c>
      <c r="F10" s="10" t="str">
        <f aca="false">IF($B10="","",IFERROR(INDEX(Drain_Register!$AG$5:$AG$304,MATCH($B10,Drain_Register!$A$5:$A$304,0)),IFERROR(INDEX(RW_Register!$AM$5:$AM$304,MATCH($B10,RW_Register!$A$5:$A$304,0)),IFERROR(INDEX(Embedded_Wall_Register!$AJ$5:$AJ$304,MATCH($B10,Embedded_Wall_Register!$A$5:$A$304,0)),IFERROR(INDEX(Manhole_Register!$AM$5:$AM$304,MATCH($B10,Manhole_Register!$A$5:$A$304,0)),IFERROR(INDEX(ERSS_Pit_Register!$AG$5:$AG$304,MATCH($B10,ERSS_Pit_Register!$A$5:$A$304,0)),IFERROR(INDEX(Linkway_Register!$AI$5:$AI$304,MATCH($B10,Linkway_Register!$A$5:$A$304,0)),IFERROR(INDEX(Other_Register!$Y$5:$Y$304,MATCH($B10,Other_Register!$A$5:$A$304,0)),""))))))))</f>
        <v>m</v>
      </c>
      <c r="G10" s="10" t="str">
        <f aca="false">IF($B10="","",IF(ISNUMBER(MATCH($B10,Drain_Register!$A$5:$A$304,0)),"Drain",IF(ISNUMBER(MATCH($B10,RW_Register!$A$5:$A$304,0)),"Ret. Wall",IF(ISNUMBER(MATCH($B10,Embedded_Wall_Register!$A$5:$A$304,0)),"Embedded Wall",IF(ISNUMBER(MATCH($B10,Manhole_Register!$A$5:$A$304,0)),"Manhole",IF(ISNUMBER(MATCH($B10,ERSS_Pit_Register!$A$5:$A$304,0)),"ERSS Pit",IF(ISNUMBER(MATCH($B10,Linkway_Register!$A$5:$A$304,0)),"Linkway",IF(ISNUMBER(MATCH($B10,Other_Register!$A$5:$A$304,0)),"Others",""))))))))</f>
        <v>Ret. Wall</v>
      </c>
      <c r="H10" s="10" t="str">
        <f aca="false">IF($B10="","",IFERROR(INDEX(Drain_Register!$B$5:$B$304,MATCH($B10,Drain_Register!$A$5:$A$304,0)),IFERROR(INDEX(RW_Register!$B$5:$B$304,MATCH($B10,RW_Register!$A$5:$A$304,0)),IFERROR(INDEX(Embedded_Wall_Register!$B$5:$B$304,MATCH($B10,Embedded_Wall_Register!$A$5:$A$304,0)),IFERROR(INDEX(Manhole_Register!$B$5:$B$304,MATCH($B10,Manhole_Register!$A$5:$A$304,0)),IFERROR(INDEX(ERSS_Pit_Register!$B$5:$B$304,MATCH($B10,ERSS_Pit_Register!$A$5:$A$304,0)),IFERROR(INDEX(Linkway_Register!$B$5:$B$304,MATCH($B10,Linkway_Register!$A$5:$A$304,0)),IFERROR(INDEX(Other_Register!$B$5:$B$304,MATCH($B10,Other_Register!$A$5:$A$304,0)),"ID not found - check spelling"))))))))</f>
        <v>Cantilever RC (toe &amp; heel), H = 3.0 m, q = 25 kPa, Firm/stiff clay (general)</v>
      </c>
      <c r="I10" s="10" t="str">
        <f aca="false">IF($B10="","",IFERROR(INDEX(Drain_Register!$U$5:$U$304,MATCH($B10,Drain_Register!$A$5:$A$304,0)),IFERROR(INDEX(RW_Register!$AA$5:$AA$304,MATCH($B10,RW_Register!$A$5:$A$304,0)),IFERROR(INDEX(Embedded_Wall_Register!$X$5:$X$304,MATCH($B10,Embedded_Wall_Register!$A$5:$A$304,0)),IFERROR(INDEX(Manhole_Register!$AA$5:$AA$304,MATCH($B10,Manhole_Register!$A$5:$A$304,0)),IFERROR(INDEX(ERSS_Pit_Register!$U$5:$U$304,MATCH($B10,ERSS_Pit_Register!$A$5:$A$304,0)),IFERROR(INDEX(Linkway_Register!$W$5:$W$304,MATCH($B10,Linkway_Register!$A$5:$A$304,0)),IFERROR(INDEX(Other_Register!$M$5:$M$304,MATCH($B10,Other_Register!$A$5:$A$304,0)),""))))))))</f>
        <v>A</v>
      </c>
      <c r="J10" s="10" t="str">
        <f aca="false">IF($B10="","",IFERROR(INDEX(Drain_Register!$V$5:$V$304,MATCH($B10,Drain_Register!$A$5:$A$304,0)),IFERROR(INDEX(RW_Register!$AB$5:$AB$304,MATCH($B10,RW_Register!$A$5:$A$304,0)),IFERROR(INDEX(Embedded_Wall_Register!$Y$5:$Y$304,MATCH($B10,Embedded_Wall_Register!$A$5:$A$304,0)),IFERROR(INDEX(Manhole_Register!$AB$5:$AB$304,MATCH($B10,Manhole_Register!$A$5:$A$304,0)),IFERROR(INDEX(ERSS_Pit_Register!$V$5:$V$304,MATCH($B10,ERSS_Pit_Register!$A$5:$A$304,0)),IFERROR(INDEX(Linkway_Register!$X$5:$X$304,MATCH($B10,Linkway_Register!$A$5:$A$304,0)),IFERROR(INDEX(Other_Register!$N$5:$N$304,MATCH($B10,Other_Register!$A$5:$A$304,0)),""))))))))</f>
        <v>Approved</v>
      </c>
      <c r="K10" s="10" t="str">
        <f aca="false">IF($B10="","",IFERROR(INDEX(Drain_Register!$W$5:$W$304,MATCH($B10,Drain_Register!$A$5:$A$304,0)),IFERROR(INDEX(RW_Register!$AC$5:$AC$304,MATCH($B10,RW_Register!$A$5:$A$304,0)),IFERROR(INDEX(Embedded_Wall_Register!$Z$5:$Z$304,MATCH($B10,Embedded_Wall_Register!$A$5:$A$304,0)),IFERROR(INDEX(Manhole_Register!$AC$5:$AC$304,MATCH($B10,Manhole_Register!$A$5:$A$304,0)),IFERROR(INDEX(ERSS_Pit_Register!$W$5:$W$304,MATCH($B10,ERSS_Pit_Register!$A$5:$A$304,0)),IFERROR(INDEX(Linkway_Register!$Y$5:$Y$304,MATCH($B10,Linkway_Register!$A$5:$A$304,0)),IFERROR(INDEX(Other_Register!$O$5:$O$304,MATCH($B10,Other_Register!$A$5:$A$304,0)),""))))))))</f>
        <v>STD-RW-005</v>
      </c>
      <c r="L10" s="10" t="n">
        <f aca="false">IF($B10="","",IFERROR(INDEX(Drain_Register!$X$5:$X$304,MATCH($B10,Drain_Register!$A$5:$A$304,0)),IFERROR(INDEX(RW_Register!$AD$5:$AD$304,MATCH($B10,RW_Register!$A$5:$A$304,0)),IFERROR(INDEX(Embedded_Wall_Register!$AA$5:$AA$304,MATCH($B10,Embedded_Wall_Register!$A$5:$A$304,0)),IFERROR(INDEX(Manhole_Register!$AD$5:$AD$304,MATCH($B10,Manhole_Register!$A$5:$A$304,0)),IFERROR(INDEX(ERSS_Pit_Register!$X$5:$X$304,MATCH($B10,ERSS_Pit_Register!$A$5:$A$304,0)),IFERROR(INDEX(Linkway_Register!$Z$5:$Z$304,MATCH($B10,Linkway_Register!$A$5:$A$304,0)),IFERROR(INDEX(Other_Register!$P$5:$P$304,MATCH($B10,Other_Register!$A$5:$A$304,0)),""))))))))</f>
        <v>25</v>
      </c>
      <c r="M10" s="10" t="str">
        <f aca="false">IF($B10="","",IFERROR(INDEX(Drain_Register!$Z$5:$Z$304,MATCH($B10,Drain_Register!$A$5:$A$304,0)),IFERROR(INDEX(RW_Register!$AF$5:$AF$304,MATCH($B10,RW_Register!$A$5:$A$304,0)),IFERROR(INDEX(Embedded_Wall_Register!$AC$5:$AC$304,MATCH($B10,Embedded_Wall_Register!$A$5:$A$304,0)),IFERROR(INDEX(Manhole_Register!$AF$5:$AF$304,MATCH($B10,Manhole_Register!$A$5:$A$304,0)),IFERROR(INDEX(ERSS_Pit_Register!$Z$5:$Z$304,MATCH($B10,ERSS_Pit_Register!$A$5:$A$304,0)),IFERROR(INDEX(Linkway_Register!$AB$5:$AB$304,MATCH($B10,Linkway_Register!$A$5:$A$304,0)),IFERROR(INDEX(Other_Register!$R$5:$R$304,MATCH($B10,Other_Register!$A$5:$A$304,0)),"")))))))&amp;IFERROR(INDEX(Drain_Register!$AA$5:$AA$304,MATCH($B10,Drain_Register!$A$5:$A$304,0)),IFERROR(INDEX(RW_Register!$AG$5:$AG$304,MATCH($B10,RW_Register!$A$5:$A$304,0)),IFERROR(INDEX(Embedded_Wall_Register!$AD$5:$AD$304,MATCH($B10,Embedded_Wall_Register!$A$5:$A$304,0)),IFERROR(INDEX(Manhole_Register!$AG$5:$AG$304,MATCH($B10,Manhole_Register!$A$5:$A$304,0)),IFERROR(INDEX(ERSS_Pit_Register!$AA$5:$AA$304,MATCH($B10,ERSS_Pit_Register!$A$5:$A$304,0)),IFERROR(INDEX(Linkway_Register!$AC$5:$AC$304,MATCH($B10,Linkway_Register!$A$5:$A$304,0)),IFERROR(INDEX(Other_Register!$S$5:$S$304,MATCH($B10,Other_Register!$A$5:$A$304,0)),""))))))))</f>
        <v>C:\Users\yourname\YourCompany\Design Library - Documents\02_Retaining_Wall\RW-CANT-H3000-S25-A\RW-CANT-H3000-S25-A_CAD.dwg</v>
      </c>
      <c r="N10" s="19" t="n">
        <f aca="false">IF(OR($B10="",$D10=""),"",$D10*N(IFERROR(INDEX(Drain_Register!$AH$5:$AH$304,MATCH($B10,Drain_Register!$A$5:$A$304,0)),IFERROR(INDEX(RW_Register!$AN$5:$AN$304,MATCH($B10,RW_Register!$A$5:$A$304,0)),IFERROR(INDEX(Embedded_Wall_Register!$AK$5:$AK$304,MATCH($B10,Embedded_Wall_Register!$A$5:$A$304,0)),IFERROR(INDEX(Manhole_Register!$AN$5:$AN$304,MATCH($B10,Manhole_Register!$A$5:$A$304,0)),IFERROR(INDEX(ERSS_Pit_Register!$AH$5:$AH$304,MATCH($B10,ERSS_Pit_Register!$A$5:$A$304,0)),IFERROR(INDEX(Linkway_Register!$AJ$5:$AJ$304,MATCH($B10,Linkway_Register!$A$5:$A$304,0)),IFERROR(INDEX(Other_Register!$Z$5:$Z$304,MATCH($B10,Other_Register!$A$5:$A$304,0)),0)))))))))</f>
        <v>92.4</v>
      </c>
      <c r="O10" s="20" t="n">
        <f aca="false">IF(OR($B10="",$D10=""),"",$D10*N(IFERROR(INDEX(Drain_Register!$AI$5:$AI$304,MATCH($B10,Drain_Register!$A$5:$A$304,0)),IFERROR(INDEX(RW_Register!$AO$5:$AO$304,MATCH($B10,RW_Register!$A$5:$A$304,0)),IFERROR(INDEX(Embedded_Wall_Register!$AL$5:$AL$304,MATCH($B10,Embedded_Wall_Register!$A$5:$A$304,0)),IFERROR(INDEX(Manhole_Register!$AO$5:$AO$304,MATCH($B10,Manhole_Register!$A$5:$A$304,0)),IFERROR(INDEX(ERSS_Pit_Register!$AI$5:$AI$304,MATCH($B10,ERSS_Pit_Register!$A$5:$A$304,0)),IFERROR(INDEX(Linkway_Register!$AK$5:$AK$304,MATCH($B10,Linkway_Register!$A$5:$A$304,0)),IFERROR(INDEX(Other_Register!$AA$5:$AA$304,MATCH($B10,Other_Register!$A$5:$A$304,0)),0))))))))/1000)</f>
        <v>7.14</v>
      </c>
      <c r="P10" s="20" t="n">
        <f aca="false">IF(OR($B10="",$D10=""),"",$D10*N(IFERROR(INDEX(Drain_Register!$AJ$5:$AJ$304,MATCH($B10,Drain_Register!$A$5:$A$304,0)),IFERROR(INDEX(RW_Register!$AP$5:$AP$304,MATCH($B10,RW_Register!$A$5:$A$304,0)),IFERROR(INDEX(Embedded_Wall_Register!$AM$5:$AM$304,MATCH($B10,Embedded_Wall_Register!$A$5:$A$304,0)),IFERROR(INDEX(Manhole_Register!$AP$5:$AP$304,MATCH($B10,Manhole_Register!$A$5:$A$304,0)),IFERROR(INDEX(ERSS_Pit_Register!$AJ$5:$AJ$304,MATCH($B10,ERSS_Pit_Register!$A$5:$A$304,0)),IFERROR(INDEX(Linkway_Register!$AL$5:$AL$304,MATCH($B10,Linkway_Register!$A$5:$A$304,0)),IFERROR(INDEX(Other_Register!$AB$5:$AB$304,MATCH($B10,Other_Register!$A$5:$A$304,0)),0))))))))/1000)</f>
        <v>0</v>
      </c>
      <c r="Q10" s="19" t="n">
        <f aca="false">IF(OR($B10="",$D10=""),"",$D10*N(IFERROR(INDEX(Drain_Register!$AK$5:$AK$304,MATCH($B10,Drain_Register!$A$5:$A$304,0)),IFERROR(INDEX(RW_Register!$AQ$5:$AQ$304,MATCH($B10,RW_Register!$A$5:$A$304,0)),IFERROR(INDEX(Embedded_Wall_Register!$AN$5:$AN$304,MATCH($B10,Embedded_Wall_Register!$A$5:$A$304,0)),IFERROR(INDEX(Manhole_Register!$AQ$5:$AQ$304,MATCH($B10,Manhole_Register!$A$5:$A$304,0)),IFERROR(INDEX(ERSS_Pit_Register!$AK$5:$AK$304,MATCH($B10,ERSS_Pit_Register!$A$5:$A$304,0)),IFERROR(INDEX(Linkway_Register!$AM$5:$AM$304,MATCH($B10,Linkway_Register!$A$5:$A$304,0)),IFERROR(INDEX(Other_Register!$AC$5:$AC$304,MATCH($B10,Other_Register!$A$5:$A$304,0)),0)))))))))</f>
        <v>289.8</v>
      </c>
      <c r="R10" s="19" t="n">
        <f aca="false">IF(OR($B10="",$D10=""),"",$D10*N(IFERROR(INDEX(Drain_Register!$AL$5:$AL$304,MATCH($B10,Drain_Register!$A$5:$A$304,0)),IFERROR(INDEX(RW_Register!$AR$5:$AR$304,MATCH($B10,RW_Register!$A$5:$A$304,0)),IFERROR(INDEX(Embedded_Wall_Register!$AO$5:$AO$304,MATCH($B10,Embedded_Wall_Register!$A$5:$A$304,0)),IFERROR(INDEX(Manhole_Register!$AR$5:$AR$304,MATCH($B10,Manhole_Register!$A$5:$A$304,0)),IFERROR(INDEX(ERSS_Pit_Register!$AL$5:$AL$304,MATCH($B10,ERSS_Pit_Register!$A$5:$A$304,0)),IFERROR(INDEX(Linkway_Register!$AN$5:$AN$304,MATCH($B10,Linkway_Register!$A$5:$A$304,0)),IFERROR(INDEX(Other_Register!$AD$5:$AD$304,MATCH($B10,Other_Register!$A$5:$A$304,0)),0)))))))))</f>
        <v>239.4</v>
      </c>
      <c r="S10" s="10" t="str">
        <f aca="false">IF($B10="","",IF(G10="","ID not found",IF(J10&lt;&gt;"Approved","WARNING: status is "&amp;J10,IF(IFERROR(INDEX(Drain_Register!$AV$5:$AV$304,MATCH($B10,Drain_Register!$A$5:$A$304,0)),IFERROR(INDEX(RW_Register!$BA$5:$BA$304,MATCH($B10,RW_Register!$A$5:$A$304,0)),IFERROR(INDEX(Embedded_Wall_Register!$AX$5:$AX$304,MATCH($B10,Embedded_Wall_Register!$A$5:$A$304,0)),IFERROR(INDEX(Manhole_Register!$AZ$5:$AZ$304,MATCH($B10,Manhole_Register!$A$5:$A$304,0)),IFERROR(INDEX(ERSS_Pit_Register!$AU$5:$AU$304,MATCH($B10,ERSS_Pit_Register!$A$5:$A$304,0)),IFERROR(INDEX(Linkway_Register!$AV$5:$AV$304,MATCH($B10,Linkway_Register!$A$5:$A$304,0)),IFERROR(INDEX(Other_Register!$AL$5:$AL$304,MATCH($B10,Other_Register!$A$5:$A$304,0)),"")))))))="N","WARNING: fails SG compliance check",IF(D10="","Enter length / qty",IF(E10="","Enter CAD sheet no.","OK"))))))</f>
        <v>OK</v>
      </c>
    </row>
    <row r="11" customFormat="false" ht="15" hidden="false" customHeight="false" outlineLevel="0" collapsed="false">
      <c r="A11" s="18" t="n">
        <v>6</v>
      </c>
      <c r="B11" s="18" t="s">
        <v>142</v>
      </c>
      <c r="C11" s="18" t="s">
        <v>143</v>
      </c>
      <c r="D11" s="18" t="n">
        <v>35</v>
      </c>
      <c r="E11" s="18" t="n">
        <v>3</v>
      </c>
      <c r="F11" s="10" t="str">
        <f aca="false">IF($B11="","",IFERROR(INDEX(Drain_Register!$AG$5:$AG$304,MATCH($B11,Drain_Register!$A$5:$A$304,0)),IFERROR(INDEX(RW_Register!$AM$5:$AM$304,MATCH($B11,RW_Register!$A$5:$A$304,0)),IFERROR(INDEX(Embedded_Wall_Register!$AJ$5:$AJ$304,MATCH($B11,Embedded_Wall_Register!$A$5:$A$304,0)),IFERROR(INDEX(Manhole_Register!$AM$5:$AM$304,MATCH($B11,Manhole_Register!$A$5:$A$304,0)),IFERROR(INDEX(ERSS_Pit_Register!$AG$5:$AG$304,MATCH($B11,ERSS_Pit_Register!$A$5:$A$304,0)),IFERROR(INDEX(Linkway_Register!$AI$5:$AI$304,MATCH($B11,Linkway_Register!$A$5:$A$304,0)),IFERROR(INDEX(Other_Register!$Y$5:$Y$304,MATCH($B11,Other_Register!$A$5:$A$304,0)),""))))))))</f>
        <v>m</v>
      </c>
      <c r="G11" s="10" t="str">
        <f aca="false">IF($B11="","",IF(ISNUMBER(MATCH($B11,Drain_Register!$A$5:$A$304,0)),"Drain",IF(ISNUMBER(MATCH($B11,RW_Register!$A$5:$A$304,0)),"Ret. Wall",IF(ISNUMBER(MATCH($B11,Embedded_Wall_Register!$A$5:$A$304,0)),"Embedded Wall",IF(ISNUMBER(MATCH($B11,Manhole_Register!$A$5:$A$304,0)),"Manhole",IF(ISNUMBER(MATCH($B11,ERSS_Pit_Register!$A$5:$A$304,0)),"ERSS Pit",IF(ISNUMBER(MATCH($B11,Linkway_Register!$A$5:$A$304,0)),"Linkway",IF(ISNUMBER(MATCH($B11,Other_Register!$A$5:$A$304,0)),"Others",""))))))))</f>
        <v>Embedded Wall</v>
      </c>
      <c r="H11" s="10" t="str">
        <f aca="false">IF($B11="","",IFERROR(INDEX(Drain_Register!$B$5:$B$304,MATCH($B11,Drain_Register!$A$5:$A$304,0)),IFERROR(INDEX(RW_Register!$B$5:$B$304,MATCH($B11,RW_Register!$A$5:$A$304,0)),IFERROR(INDEX(Embedded_Wall_Register!$B$5:$B$304,MATCH($B11,Embedded_Wall_Register!$A$5:$A$304,0)),IFERROR(INDEX(Manhole_Register!$B$5:$B$304,MATCH($B11,Manhole_Register!$A$5:$A$304,0)),IFERROR(INDEX(ERSS_Pit_Register!$B$5:$B$304,MATCH($B11,ERSS_Pit_Register!$A$5:$A$304,0)),IFERROR(INDEX(Linkway_Register!$B$5:$B$304,MATCH($B11,Linkway_Register!$A$5:$A$304,0)),IFERROR(INDEX(Other_Register!$B$5:$B$304,MATCH($B11,Other_Register!$A$5:$A$304,0)),"ID not found - check spelling"))))))))</f>
        <v>Permanent Contiguous Bored Pile (CBP), excavation 5.0 m, 1 level strut, Old Alluvium, 800 dia</v>
      </c>
      <c r="I11" s="10" t="str">
        <f aca="false">IF($B11="","",IFERROR(INDEX(Drain_Register!$U$5:$U$304,MATCH($B11,Drain_Register!$A$5:$A$304,0)),IFERROR(INDEX(RW_Register!$AA$5:$AA$304,MATCH($B11,RW_Register!$A$5:$A$304,0)),IFERROR(INDEX(Embedded_Wall_Register!$X$5:$X$304,MATCH($B11,Embedded_Wall_Register!$A$5:$A$304,0)),IFERROR(INDEX(Manhole_Register!$AA$5:$AA$304,MATCH($B11,Manhole_Register!$A$5:$A$304,0)),IFERROR(INDEX(ERSS_Pit_Register!$U$5:$U$304,MATCH($B11,ERSS_Pit_Register!$A$5:$A$304,0)),IFERROR(INDEX(Linkway_Register!$W$5:$W$304,MATCH($B11,Linkway_Register!$A$5:$A$304,0)),IFERROR(INDEX(Other_Register!$M$5:$M$304,MATCH($B11,Other_Register!$A$5:$A$304,0)),""))))))))</f>
        <v>A</v>
      </c>
      <c r="J11" s="10" t="str">
        <f aca="false">IF($B11="","",IFERROR(INDEX(Drain_Register!$V$5:$V$304,MATCH($B11,Drain_Register!$A$5:$A$304,0)),IFERROR(INDEX(RW_Register!$AB$5:$AB$304,MATCH($B11,RW_Register!$A$5:$A$304,0)),IFERROR(INDEX(Embedded_Wall_Register!$Y$5:$Y$304,MATCH($B11,Embedded_Wall_Register!$A$5:$A$304,0)),IFERROR(INDEX(Manhole_Register!$AB$5:$AB$304,MATCH($B11,Manhole_Register!$A$5:$A$304,0)),IFERROR(INDEX(ERSS_Pit_Register!$V$5:$V$304,MATCH($B11,ERSS_Pit_Register!$A$5:$A$304,0)),IFERROR(INDEX(Linkway_Register!$X$5:$X$304,MATCH($B11,Linkway_Register!$A$5:$A$304,0)),IFERROR(INDEX(Other_Register!$N$5:$N$304,MATCH($B11,Other_Register!$A$5:$A$304,0)),""))))))))</f>
        <v>Approved</v>
      </c>
      <c r="K11" s="10" t="str">
        <f aca="false">IF($B11="","",IFERROR(INDEX(Drain_Register!$W$5:$W$304,MATCH($B11,Drain_Register!$A$5:$A$304,0)),IFERROR(INDEX(RW_Register!$AC$5:$AC$304,MATCH($B11,RW_Register!$A$5:$A$304,0)),IFERROR(INDEX(Embedded_Wall_Register!$Z$5:$Z$304,MATCH($B11,Embedded_Wall_Register!$A$5:$A$304,0)),IFERROR(INDEX(Manhole_Register!$AC$5:$AC$304,MATCH($B11,Manhole_Register!$A$5:$A$304,0)),IFERROR(INDEX(ERSS_Pit_Register!$W$5:$W$304,MATCH($B11,ERSS_Pit_Register!$A$5:$A$304,0)),IFERROR(INDEX(Linkway_Register!$Y$5:$Y$304,MATCH($B11,Linkway_Register!$A$5:$A$304,0)),IFERROR(INDEX(Other_Register!$O$5:$O$304,MATCH($B11,Other_Register!$A$5:$A$304,0)),""))))))))</f>
        <v>STD-EW-002</v>
      </c>
      <c r="L11" s="10" t="n">
        <f aca="false">IF($B11="","",IFERROR(INDEX(Drain_Register!$X$5:$X$304,MATCH($B11,Drain_Register!$A$5:$A$304,0)),IFERROR(INDEX(RW_Register!$AD$5:$AD$304,MATCH($B11,RW_Register!$A$5:$A$304,0)),IFERROR(INDEX(Embedded_Wall_Register!$AA$5:$AA$304,MATCH($B11,Embedded_Wall_Register!$A$5:$A$304,0)),IFERROR(INDEX(Manhole_Register!$AD$5:$AD$304,MATCH($B11,Manhole_Register!$A$5:$A$304,0)),IFERROR(INDEX(ERSS_Pit_Register!$X$5:$X$304,MATCH($B11,ERSS_Pit_Register!$A$5:$A$304,0)),IFERROR(INDEX(Linkway_Register!$Z$5:$Z$304,MATCH($B11,Linkway_Register!$A$5:$A$304,0)),IFERROR(INDEX(Other_Register!$P$5:$P$304,MATCH($B11,Other_Register!$A$5:$A$304,0)),""))))))))</f>
        <v>50</v>
      </c>
      <c r="M11" s="10" t="str">
        <f aca="false">IF($B11="","",IFERROR(INDEX(Drain_Register!$Z$5:$Z$304,MATCH($B11,Drain_Register!$A$5:$A$304,0)),IFERROR(INDEX(RW_Register!$AF$5:$AF$304,MATCH($B11,RW_Register!$A$5:$A$304,0)),IFERROR(INDEX(Embedded_Wall_Register!$AC$5:$AC$304,MATCH($B11,Embedded_Wall_Register!$A$5:$A$304,0)),IFERROR(INDEX(Manhole_Register!$AF$5:$AF$304,MATCH($B11,Manhole_Register!$A$5:$A$304,0)),IFERROR(INDEX(ERSS_Pit_Register!$Z$5:$Z$304,MATCH($B11,ERSS_Pit_Register!$A$5:$A$304,0)),IFERROR(INDEX(Linkway_Register!$AB$5:$AB$304,MATCH($B11,Linkway_Register!$A$5:$A$304,0)),IFERROR(INDEX(Other_Register!$R$5:$R$304,MATCH($B11,Other_Register!$A$5:$A$304,0)),"")))))))&amp;IFERROR(INDEX(Drain_Register!$AA$5:$AA$304,MATCH($B11,Drain_Register!$A$5:$A$304,0)),IFERROR(INDEX(RW_Register!$AG$5:$AG$304,MATCH($B11,RW_Register!$A$5:$A$304,0)),IFERROR(INDEX(Embedded_Wall_Register!$AD$5:$AD$304,MATCH($B11,Embedded_Wall_Register!$A$5:$A$304,0)),IFERROR(INDEX(Manhole_Register!$AG$5:$AG$304,MATCH($B11,Manhole_Register!$A$5:$A$304,0)),IFERROR(INDEX(ERSS_Pit_Register!$AA$5:$AA$304,MATCH($B11,ERSS_Pit_Register!$A$5:$A$304,0)),IFERROR(INDEX(Linkway_Register!$AC$5:$AC$304,MATCH($B11,Linkway_Register!$A$5:$A$304,0)),IFERROR(INDEX(Other_Register!$S$5:$S$304,MATCH($B11,Other_Register!$A$5:$A$304,0)),""))))))))</f>
        <v>C:\Users\yourname\YourCompany\Design Library - Documents\03_Embedded_Wall\EW-CBP-D5000-S1-OA-P-A\EW-CBP-D5000-S1-OA-P-A_CAD.dwg</v>
      </c>
      <c r="N11" s="19" t="n">
        <f aca="false">IF(OR($B11="",$D11=""),"",$D11*N(IFERROR(INDEX(Drain_Register!$AH$5:$AH$304,MATCH($B11,Drain_Register!$A$5:$A$304,0)),IFERROR(INDEX(RW_Register!$AN$5:$AN$304,MATCH($B11,RW_Register!$A$5:$A$304,0)),IFERROR(INDEX(Embedded_Wall_Register!$AK$5:$AK$304,MATCH($B11,Embedded_Wall_Register!$A$5:$A$304,0)),IFERROR(INDEX(Manhole_Register!$AN$5:$AN$304,MATCH($B11,Manhole_Register!$A$5:$A$304,0)),IFERROR(INDEX(ERSS_Pit_Register!$AH$5:$AH$304,MATCH($B11,ERSS_Pit_Register!$A$5:$A$304,0)),IFERROR(INDEX(Linkway_Register!$AJ$5:$AJ$304,MATCH($B11,Linkway_Register!$A$5:$A$304,0)),IFERROR(INDEX(Other_Register!$Z$5:$Z$304,MATCH($B11,Other_Register!$A$5:$A$304,0)),0)))))))))</f>
        <v>224</v>
      </c>
      <c r="O11" s="20" t="n">
        <f aca="false">IF(OR($B11="",$D11=""),"",$D11*N(IFERROR(INDEX(Drain_Register!$AI$5:$AI$304,MATCH($B11,Drain_Register!$A$5:$A$304,0)),IFERROR(INDEX(RW_Register!$AO$5:$AO$304,MATCH($B11,RW_Register!$A$5:$A$304,0)),IFERROR(INDEX(Embedded_Wall_Register!$AL$5:$AL$304,MATCH($B11,Embedded_Wall_Register!$A$5:$A$304,0)),IFERROR(INDEX(Manhole_Register!$AO$5:$AO$304,MATCH($B11,Manhole_Register!$A$5:$A$304,0)),IFERROR(INDEX(ERSS_Pit_Register!$AI$5:$AI$304,MATCH($B11,ERSS_Pit_Register!$A$5:$A$304,0)),IFERROR(INDEX(Linkway_Register!$AK$5:$AK$304,MATCH($B11,Linkway_Register!$A$5:$A$304,0)),IFERROR(INDEX(Other_Register!$AA$5:$AA$304,MATCH($B11,Other_Register!$A$5:$A$304,0)),0))))))))/1000)</f>
        <v>25.2</v>
      </c>
      <c r="P11" s="20" t="n">
        <f aca="false">IF(OR($B11="",$D11=""),"",$D11*N(IFERROR(INDEX(Drain_Register!$AJ$5:$AJ$304,MATCH($B11,Drain_Register!$A$5:$A$304,0)),IFERROR(INDEX(RW_Register!$AP$5:$AP$304,MATCH($B11,RW_Register!$A$5:$A$304,0)),IFERROR(INDEX(Embedded_Wall_Register!$AM$5:$AM$304,MATCH($B11,Embedded_Wall_Register!$A$5:$A$304,0)),IFERROR(INDEX(Manhole_Register!$AP$5:$AP$304,MATCH($B11,Manhole_Register!$A$5:$A$304,0)),IFERROR(INDEX(ERSS_Pit_Register!$AJ$5:$AJ$304,MATCH($B11,ERSS_Pit_Register!$A$5:$A$304,0)),IFERROR(INDEX(Linkway_Register!$AL$5:$AL$304,MATCH($B11,Linkway_Register!$A$5:$A$304,0)),IFERROR(INDEX(Other_Register!$AB$5:$AB$304,MATCH($B11,Other_Register!$A$5:$A$304,0)),0))))))))/1000)</f>
        <v>6.3</v>
      </c>
      <c r="Q11" s="19" t="n">
        <f aca="false">IF(OR($B11="",$D11=""),"",$D11*N(IFERROR(INDEX(Drain_Register!$AK$5:$AK$304,MATCH($B11,Drain_Register!$A$5:$A$304,0)),IFERROR(INDEX(RW_Register!$AQ$5:$AQ$304,MATCH($B11,RW_Register!$A$5:$A$304,0)),IFERROR(INDEX(Embedded_Wall_Register!$AN$5:$AN$304,MATCH($B11,Embedded_Wall_Register!$A$5:$A$304,0)),IFERROR(INDEX(Manhole_Register!$AQ$5:$AQ$304,MATCH($B11,Manhole_Register!$A$5:$A$304,0)),IFERROR(INDEX(ERSS_Pit_Register!$AK$5:$AK$304,MATCH($B11,ERSS_Pit_Register!$A$5:$A$304,0)),IFERROR(INDEX(Linkway_Register!$AM$5:$AM$304,MATCH($B11,Linkway_Register!$A$5:$A$304,0)),IFERROR(INDEX(Other_Register!$AC$5:$AC$304,MATCH($B11,Other_Register!$A$5:$A$304,0)),0)))))))))</f>
        <v>63</v>
      </c>
      <c r="R11" s="19" t="n">
        <f aca="false">IF(OR($B11="",$D11=""),"",$D11*N(IFERROR(INDEX(Drain_Register!$AL$5:$AL$304,MATCH($B11,Drain_Register!$A$5:$A$304,0)),IFERROR(INDEX(RW_Register!$AR$5:$AR$304,MATCH($B11,RW_Register!$A$5:$A$304,0)),IFERROR(INDEX(Embedded_Wall_Register!$AO$5:$AO$304,MATCH($B11,Embedded_Wall_Register!$A$5:$A$304,0)),IFERROR(INDEX(Manhole_Register!$AR$5:$AR$304,MATCH($B11,Manhole_Register!$A$5:$A$304,0)),IFERROR(INDEX(ERSS_Pit_Register!$AL$5:$AL$304,MATCH($B11,ERSS_Pit_Register!$A$5:$A$304,0)),IFERROR(INDEX(Linkway_Register!$AN$5:$AN$304,MATCH($B11,Linkway_Register!$A$5:$A$304,0)),IFERROR(INDEX(Other_Register!$AD$5:$AD$304,MATCH($B11,Other_Register!$A$5:$A$304,0)),0)))))))))</f>
        <v>31.5</v>
      </c>
      <c r="S11" s="10" t="str">
        <f aca="false">IF($B11="","",IF(G11="","ID not found",IF(J11&lt;&gt;"Approved","WARNING: status is "&amp;J11,IF(IFERROR(INDEX(Drain_Register!$AV$5:$AV$304,MATCH($B11,Drain_Register!$A$5:$A$304,0)),IFERROR(INDEX(RW_Register!$BA$5:$BA$304,MATCH($B11,RW_Register!$A$5:$A$304,0)),IFERROR(INDEX(Embedded_Wall_Register!$AX$5:$AX$304,MATCH($B11,Embedded_Wall_Register!$A$5:$A$304,0)),IFERROR(INDEX(Manhole_Register!$AZ$5:$AZ$304,MATCH($B11,Manhole_Register!$A$5:$A$304,0)),IFERROR(INDEX(ERSS_Pit_Register!$AU$5:$AU$304,MATCH($B11,ERSS_Pit_Register!$A$5:$A$304,0)),IFERROR(INDEX(Linkway_Register!$AV$5:$AV$304,MATCH($B11,Linkway_Register!$A$5:$A$304,0)),IFERROR(INDEX(Other_Register!$AL$5:$AL$304,MATCH($B11,Other_Register!$A$5:$A$304,0)),"")))))))="N","WARNING: fails SG compliance check",IF(D11="","Enter length / qty",IF(E11="","Enter CAD sheet no.","OK"))))))</f>
        <v>OK</v>
      </c>
    </row>
    <row r="12" customFormat="false" ht="15" hidden="false" customHeight="false" outlineLevel="0" collapsed="false">
      <c r="A12" s="18" t="n">
        <v>7</v>
      </c>
      <c r="B12" s="18" t="s">
        <v>144</v>
      </c>
      <c r="C12" s="18" t="s">
        <v>145</v>
      </c>
      <c r="D12" s="18" t="n">
        <v>4</v>
      </c>
      <c r="E12" s="18" t="n">
        <v>4</v>
      </c>
      <c r="F12" s="10" t="str">
        <f aca="false">IF($B12="","",IFERROR(INDEX(Drain_Register!$AG$5:$AG$304,MATCH($B12,Drain_Register!$A$5:$A$304,0)),IFERROR(INDEX(RW_Register!$AM$5:$AM$304,MATCH($B12,RW_Register!$A$5:$A$304,0)),IFERROR(INDEX(Embedded_Wall_Register!$AJ$5:$AJ$304,MATCH($B12,Embedded_Wall_Register!$A$5:$A$304,0)),IFERROR(INDEX(Manhole_Register!$AM$5:$AM$304,MATCH($B12,Manhole_Register!$A$5:$A$304,0)),IFERROR(INDEX(ERSS_Pit_Register!$AG$5:$AG$304,MATCH($B12,ERSS_Pit_Register!$A$5:$A$304,0)),IFERROR(INDEX(Linkway_Register!$AI$5:$AI$304,MATCH($B12,Linkway_Register!$A$5:$A$304,0)),IFERROR(INDEX(Other_Register!$Y$5:$Y$304,MATCH($B12,Other_Register!$A$5:$A$304,0)),""))))))))</f>
        <v>nr</v>
      </c>
      <c r="G12" s="10" t="str">
        <f aca="false">IF($B12="","",IF(ISNUMBER(MATCH($B12,Drain_Register!$A$5:$A$304,0)),"Drain",IF(ISNUMBER(MATCH($B12,RW_Register!$A$5:$A$304,0)),"Ret. Wall",IF(ISNUMBER(MATCH($B12,Embedded_Wall_Register!$A$5:$A$304,0)),"Embedded Wall",IF(ISNUMBER(MATCH($B12,Manhole_Register!$A$5:$A$304,0)),"Manhole",IF(ISNUMBER(MATCH($B12,ERSS_Pit_Register!$A$5:$A$304,0)),"ERSS Pit",IF(ISNUMBER(MATCH($B12,Linkway_Register!$A$5:$A$304,0)),"Linkway",IF(ISNUMBER(MATCH($B12,Other_Register!$A$5:$A$304,0)),"Others",""))))))))</f>
        <v>Manhole</v>
      </c>
      <c r="H12" s="10" t="str">
        <f aca="false">IF($B12="","",IFERROR(INDEX(Drain_Register!$B$5:$B$304,MATCH($B12,Drain_Register!$A$5:$A$304,0)),IFERROR(INDEX(RW_Register!$B$5:$B$304,MATCH($B12,RW_Register!$A$5:$A$304,0)),IFERROR(INDEX(Embedded_Wall_Register!$B$5:$B$304,MATCH($B12,Embedded_Wall_Register!$A$5:$A$304,0)),IFERROR(INDEX(Manhole_Register!$B$5:$B$304,MATCH($B12,Manhole_Register!$A$5:$A$304,0)),IFERROR(INDEX(ERSS_Pit_Register!$B$5:$B$304,MATCH($B12,ERSS_Pit_Register!$A$5:$A$304,0)),IFERROR(INDEX(Linkway_Register!$B$5:$B$304,MATCH($B12,Linkway_Register!$A$5:$A$304,0)),IFERROR(INDEX(Other_Register!$B$5:$B$304,MATCH($B12,Other_Register!$A$5:$A$304,0)),"ID not found - check spelling"))))))))</f>
        <v>Standard Manhole (PUB 001C), Cast-in-situ, 1500 x 1200, depth 3.0-6.0 m, pipe up to 600 dia</v>
      </c>
      <c r="I12" s="10" t="str">
        <f aca="false">IF($B12="","",IFERROR(INDEX(Drain_Register!$U$5:$U$304,MATCH($B12,Drain_Register!$A$5:$A$304,0)),IFERROR(INDEX(RW_Register!$AA$5:$AA$304,MATCH($B12,RW_Register!$A$5:$A$304,0)),IFERROR(INDEX(Embedded_Wall_Register!$X$5:$X$304,MATCH($B12,Embedded_Wall_Register!$A$5:$A$304,0)),IFERROR(INDEX(Manhole_Register!$AA$5:$AA$304,MATCH($B12,Manhole_Register!$A$5:$A$304,0)),IFERROR(INDEX(ERSS_Pit_Register!$U$5:$U$304,MATCH($B12,ERSS_Pit_Register!$A$5:$A$304,0)),IFERROR(INDEX(Linkway_Register!$W$5:$W$304,MATCH($B12,Linkway_Register!$A$5:$A$304,0)),IFERROR(INDEX(Other_Register!$M$5:$M$304,MATCH($B12,Other_Register!$A$5:$A$304,0)),""))))))))</f>
        <v>A</v>
      </c>
      <c r="J12" s="10" t="str">
        <f aca="false">IF($B12="","",IFERROR(INDEX(Drain_Register!$V$5:$V$304,MATCH($B12,Drain_Register!$A$5:$A$304,0)),IFERROR(INDEX(RW_Register!$AB$5:$AB$304,MATCH($B12,RW_Register!$A$5:$A$304,0)),IFERROR(INDEX(Embedded_Wall_Register!$Y$5:$Y$304,MATCH($B12,Embedded_Wall_Register!$A$5:$A$304,0)),IFERROR(INDEX(Manhole_Register!$AB$5:$AB$304,MATCH($B12,Manhole_Register!$A$5:$A$304,0)),IFERROR(INDEX(ERSS_Pit_Register!$V$5:$V$304,MATCH($B12,ERSS_Pit_Register!$A$5:$A$304,0)),IFERROR(INDEX(Linkway_Register!$X$5:$X$304,MATCH($B12,Linkway_Register!$A$5:$A$304,0)),IFERROR(INDEX(Other_Register!$N$5:$N$304,MATCH($B12,Other_Register!$A$5:$A$304,0)),""))))))))</f>
        <v>Approved</v>
      </c>
      <c r="K12" s="10" t="str">
        <f aca="false">IF($B12="","",IFERROR(INDEX(Drain_Register!$W$5:$W$304,MATCH($B12,Drain_Register!$A$5:$A$304,0)),IFERROR(INDEX(RW_Register!$AC$5:$AC$304,MATCH($B12,RW_Register!$A$5:$A$304,0)),IFERROR(INDEX(Embedded_Wall_Register!$Z$5:$Z$304,MATCH($B12,Embedded_Wall_Register!$A$5:$A$304,0)),IFERROR(INDEX(Manhole_Register!$AC$5:$AC$304,MATCH($B12,Manhole_Register!$A$5:$A$304,0)),IFERROR(INDEX(ERSS_Pit_Register!$W$5:$W$304,MATCH($B12,ERSS_Pit_Register!$A$5:$A$304,0)),IFERROR(INDEX(Linkway_Register!$Y$5:$Y$304,MATCH($B12,Linkway_Register!$A$5:$A$304,0)),IFERROR(INDEX(Other_Register!$O$5:$O$304,MATCH($B12,Other_Register!$A$5:$A$304,0)),""))))))))</f>
        <v>STD-MH-002</v>
      </c>
      <c r="L12" s="10" t="n">
        <f aca="false">IF($B12="","",IFERROR(INDEX(Drain_Register!$X$5:$X$304,MATCH($B12,Drain_Register!$A$5:$A$304,0)),IFERROR(INDEX(RW_Register!$AD$5:$AD$304,MATCH($B12,RW_Register!$A$5:$A$304,0)),IFERROR(INDEX(Embedded_Wall_Register!$AA$5:$AA$304,MATCH($B12,Embedded_Wall_Register!$A$5:$A$304,0)),IFERROR(INDEX(Manhole_Register!$AD$5:$AD$304,MATCH($B12,Manhole_Register!$A$5:$A$304,0)),IFERROR(INDEX(ERSS_Pit_Register!$X$5:$X$304,MATCH($B12,ERSS_Pit_Register!$A$5:$A$304,0)),IFERROR(INDEX(Linkway_Register!$Z$5:$Z$304,MATCH($B12,Linkway_Register!$A$5:$A$304,0)),IFERROR(INDEX(Other_Register!$P$5:$P$304,MATCH($B12,Other_Register!$A$5:$A$304,0)),""))))))))</f>
        <v>25</v>
      </c>
      <c r="M12" s="10" t="str">
        <f aca="false">IF($B12="","",IFERROR(INDEX(Drain_Register!$Z$5:$Z$304,MATCH($B12,Drain_Register!$A$5:$A$304,0)),IFERROR(INDEX(RW_Register!$AF$5:$AF$304,MATCH($B12,RW_Register!$A$5:$A$304,0)),IFERROR(INDEX(Embedded_Wall_Register!$AC$5:$AC$304,MATCH($B12,Embedded_Wall_Register!$A$5:$A$304,0)),IFERROR(INDEX(Manhole_Register!$AF$5:$AF$304,MATCH($B12,Manhole_Register!$A$5:$A$304,0)),IFERROR(INDEX(ERSS_Pit_Register!$Z$5:$Z$304,MATCH($B12,ERSS_Pit_Register!$A$5:$A$304,0)),IFERROR(INDEX(Linkway_Register!$AB$5:$AB$304,MATCH($B12,Linkway_Register!$A$5:$A$304,0)),IFERROR(INDEX(Other_Register!$R$5:$R$304,MATCH($B12,Other_Register!$A$5:$A$304,0)),"")))))))&amp;IFERROR(INDEX(Drain_Register!$AA$5:$AA$304,MATCH($B12,Drain_Register!$A$5:$A$304,0)),IFERROR(INDEX(RW_Register!$AG$5:$AG$304,MATCH($B12,RW_Register!$A$5:$A$304,0)),IFERROR(INDEX(Embedded_Wall_Register!$AD$5:$AD$304,MATCH($B12,Embedded_Wall_Register!$A$5:$A$304,0)),IFERROR(INDEX(Manhole_Register!$AG$5:$AG$304,MATCH($B12,Manhole_Register!$A$5:$A$304,0)),IFERROR(INDEX(ERSS_Pit_Register!$AA$5:$AA$304,MATCH($B12,ERSS_Pit_Register!$A$5:$A$304,0)),IFERROR(INDEX(Linkway_Register!$AC$5:$AC$304,MATCH($B12,Linkway_Register!$A$5:$A$304,0)),IFERROR(INDEX(Other_Register!$S$5:$S$304,MATCH($B12,Other_Register!$A$5:$A$304,0)),""))))))))</f>
        <v>C:\Users\yourname\YourCompany\Design Library - Documents\04_Sewer_Manhole\MH-SM-1500x1200-D6000-C-A\MH-SM-1500x1200-D6000-C-A_CAD.dwg</v>
      </c>
      <c r="N12" s="19" t="n">
        <f aca="false">IF(OR($B12="",$D12=""),"",$D12*N(IFERROR(INDEX(Drain_Register!$AH$5:$AH$304,MATCH($B12,Drain_Register!$A$5:$A$304,0)),IFERROR(INDEX(RW_Register!$AN$5:$AN$304,MATCH($B12,RW_Register!$A$5:$A$304,0)),IFERROR(INDEX(Embedded_Wall_Register!$AK$5:$AK$304,MATCH($B12,Embedded_Wall_Register!$A$5:$A$304,0)),IFERROR(INDEX(Manhole_Register!$AN$5:$AN$304,MATCH($B12,Manhole_Register!$A$5:$A$304,0)),IFERROR(INDEX(ERSS_Pit_Register!$AH$5:$AH$304,MATCH($B12,ERSS_Pit_Register!$A$5:$A$304,0)),IFERROR(INDEX(Linkway_Register!$AJ$5:$AJ$304,MATCH($B12,Linkway_Register!$A$5:$A$304,0)),IFERROR(INDEX(Other_Register!$Z$5:$Z$304,MATCH($B12,Other_Register!$A$5:$A$304,0)),0)))))))))</f>
        <v>39.2</v>
      </c>
      <c r="O12" s="20" t="n">
        <f aca="false">IF(OR($B12="",$D12=""),"",$D12*N(IFERROR(INDEX(Drain_Register!$AI$5:$AI$304,MATCH($B12,Drain_Register!$A$5:$A$304,0)),IFERROR(INDEX(RW_Register!$AO$5:$AO$304,MATCH($B12,RW_Register!$A$5:$A$304,0)),IFERROR(INDEX(Embedded_Wall_Register!$AL$5:$AL$304,MATCH($B12,Embedded_Wall_Register!$A$5:$A$304,0)),IFERROR(INDEX(Manhole_Register!$AO$5:$AO$304,MATCH($B12,Manhole_Register!$A$5:$A$304,0)),IFERROR(INDEX(ERSS_Pit_Register!$AI$5:$AI$304,MATCH($B12,ERSS_Pit_Register!$A$5:$A$304,0)),IFERROR(INDEX(Linkway_Register!$AK$5:$AK$304,MATCH($B12,Linkway_Register!$A$5:$A$304,0)),IFERROR(INDEX(Other_Register!$AA$5:$AA$304,MATCH($B12,Other_Register!$A$5:$A$304,0)),0))))))))/1000)</f>
        <v>3.28</v>
      </c>
      <c r="P12" s="20" t="n">
        <f aca="false">IF(OR($B12="",$D12=""),"",$D12*N(IFERROR(INDEX(Drain_Register!$AJ$5:$AJ$304,MATCH($B12,Drain_Register!$A$5:$A$304,0)),IFERROR(INDEX(RW_Register!$AP$5:$AP$304,MATCH($B12,RW_Register!$A$5:$A$304,0)),IFERROR(INDEX(Embedded_Wall_Register!$AM$5:$AM$304,MATCH($B12,Embedded_Wall_Register!$A$5:$A$304,0)),IFERROR(INDEX(Manhole_Register!$AP$5:$AP$304,MATCH($B12,Manhole_Register!$A$5:$A$304,0)),IFERROR(INDEX(ERSS_Pit_Register!$AJ$5:$AJ$304,MATCH($B12,ERSS_Pit_Register!$A$5:$A$304,0)),IFERROR(INDEX(Linkway_Register!$AL$5:$AL$304,MATCH($B12,Linkway_Register!$A$5:$A$304,0)),IFERROR(INDEX(Other_Register!$AB$5:$AB$304,MATCH($B12,Other_Register!$A$5:$A$304,0)),0))))))))/1000)</f>
        <v>0</v>
      </c>
      <c r="Q12" s="19" t="n">
        <f aca="false">IF(OR($B12="",$D12=""),"",$D12*N(IFERROR(INDEX(Drain_Register!$AK$5:$AK$304,MATCH($B12,Drain_Register!$A$5:$A$304,0)),IFERROR(INDEX(RW_Register!$AQ$5:$AQ$304,MATCH($B12,RW_Register!$A$5:$A$304,0)),IFERROR(INDEX(Embedded_Wall_Register!$AN$5:$AN$304,MATCH($B12,Embedded_Wall_Register!$A$5:$A$304,0)),IFERROR(INDEX(Manhole_Register!$AQ$5:$AQ$304,MATCH($B12,Manhole_Register!$A$5:$A$304,0)),IFERROR(INDEX(ERSS_Pit_Register!$AK$5:$AK$304,MATCH($B12,ERSS_Pit_Register!$A$5:$A$304,0)),IFERROR(INDEX(Linkway_Register!$AM$5:$AM$304,MATCH($B12,Linkway_Register!$A$5:$A$304,0)),IFERROR(INDEX(Other_Register!$AC$5:$AC$304,MATCH($B12,Other_Register!$A$5:$A$304,0)),0)))))))))</f>
        <v>248</v>
      </c>
      <c r="R12" s="19" t="n">
        <f aca="false">IF(OR($B12="",$D12=""),"",$D12*N(IFERROR(INDEX(Drain_Register!$AL$5:$AL$304,MATCH($B12,Drain_Register!$A$5:$A$304,0)),IFERROR(INDEX(RW_Register!$AR$5:$AR$304,MATCH($B12,RW_Register!$A$5:$A$304,0)),IFERROR(INDEX(Embedded_Wall_Register!$AO$5:$AO$304,MATCH($B12,Embedded_Wall_Register!$A$5:$A$304,0)),IFERROR(INDEX(Manhole_Register!$AR$5:$AR$304,MATCH($B12,Manhole_Register!$A$5:$A$304,0)),IFERROR(INDEX(ERSS_Pit_Register!$AL$5:$AL$304,MATCH($B12,ERSS_Pit_Register!$A$5:$A$304,0)),IFERROR(INDEX(Linkway_Register!$AN$5:$AN$304,MATCH($B12,Linkway_Register!$A$5:$A$304,0)),IFERROR(INDEX(Other_Register!$AD$5:$AD$304,MATCH($B12,Other_Register!$A$5:$A$304,0)),0)))))))))</f>
        <v>368</v>
      </c>
      <c r="S12" s="10" t="str">
        <f aca="false">IF($B12="","",IF(G12="","ID not found",IF(J12&lt;&gt;"Approved","WARNING: status is "&amp;J12,IF(IFERROR(INDEX(Drain_Register!$AV$5:$AV$304,MATCH($B12,Drain_Register!$A$5:$A$304,0)),IFERROR(INDEX(RW_Register!$BA$5:$BA$304,MATCH($B12,RW_Register!$A$5:$A$304,0)),IFERROR(INDEX(Embedded_Wall_Register!$AX$5:$AX$304,MATCH($B12,Embedded_Wall_Register!$A$5:$A$304,0)),IFERROR(INDEX(Manhole_Register!$AZ$5:$AZ$304,MATCH($B12,Manhole_Register!$A$5:$A$304,0)),IFERROR(INDEX(ERSS_Pit_Register!$AU$5:$AU$304,MATCH($B12,ERSS_Pit_Register!$A$5:$A$304,0)),IFERROR(INDEX(Linkway_Register!$AV$5:$AV$304,MATCH($B12,Linkway_Register!$A$5:$A$304,0)),IFERROR(INDEX(Other_Register!$AL$5:$AL$304,MATCH($B12,Other_Register!$A$5:$A$304,0)),"")))))))="N","WARNING: fails SG compliance check",IF(D12="","Enter length / qty",IF(E12="","Enter CAD sheet no.","OK"))))))</f>
        <v>OK</v>
      </c>
    </row>
    <row r="13" customFormat="false" ht="15" hidden="false" customHeight="false" outlineLevel="0" collapsed="false">
      <c r="A13" s="18" t="n">
        <v>8</v>
      </c>
      <c r="B13" s="18" t="s">
        <v>146</v>
      </c>
      <c r="C13" s="18" t="s">
        <v>147</v>
      </c>
      <c r="D13" s="18" t="n">
        <v>4</v>
      </c>
      <c r="E13" s="18" t="n">
        <v>4</v>
      </c>
      <c r="F13" s="10" t="str">
        <f aca="false">IF($B13="","",IFERROR(INDEX(Drain_Register!$AG$5:$AG$304,MATCH($B13,Drain_Register!$A$5:$A$304,0)),IFERROR(INDEX(RW_Register!$AM$5:$AM$304,MATCH($B13,RW_Register!$A$5:$A$304,0)),IFERROR(INDEX(Embedded_Wall_Register!$AJ$5:$AJ$304,MATCH($B13,Embedded_Wall_Register!$A$5:$A$304,0)),IFERROR(INDEX(Manhole_Register!$AM$5:$AM$304,MATCH($B13,Manhole_Register!$A$5:$A$304,0)),IFERROR(INDEX(ERSS_Pit_Register!$AG$5:$AG$304,MATCH($B13,ERSS_Pit_Register!$A$5:$A$304,0)),IFERROR(INDEX(Linkway_Register!$AI$5:$AI$304,MATCH($B13,Linkway_Register!$A$5:$A$304,0)),IFERROR(INDEX(Other_Register!$Y$5:$Y$304,MATCH($B13,Other_Register!$A$5:$A$304,0)),""))))))))</f>
        <v>nr</v>
      </c>
      <c r="G13" s="10" t="str">
        <f aca="false">IF($B13="","",IF(ISNUMBER(MATCH($B13,Drain_Register!$A$5:$A$304,0)),"Drain",IF(ISNUMBER(MATCH($B13,RW_Register!$A$5:$A$304,0)),"Ret. Wall",IF(ISNUMBER(MATCH($B13,Embedded_Wall_Register!$A$5:$A$304,0)),"Embedded Wall",IF(ISNUMBER(MATCH($B13,Manhole_Register!$A$5:$A$304,0)),"Manhole",IF(ISNUMBER(MATCH($B13,ERSS_Pit_Register!$A$5:$A$304,0)),"ERSS Pit",IF(ISNUMBER(MATCH($B13,Linkway_Register!$A$5:$A$304,0)),"Linkway",IF(ISNUMBER(MATCH($B13,Other_Register!$A$5:$A$304,0)),"Others",""))))))))</f>
        <v>ERSS Pit</v>
      </c>
      <c r="H13" s="10" t="str">
        <f aca="false">IF($B13="","",IFERROR(INDEX(Drain_Register!$B$5:$B$304,MATCH($B13,Drain_Register!$A$5:$A$304,0)),IFERROR(INDEX(RW_Register!$B$5:$B$304,MATCH($B13,RW_Register!$A$5:$A$304,0)),IFERROR(INDEX(Embedded_Wall_Register!$B$5:$B$304,MATCH($B13,Embedded_Wall_Register!$A$5:$A$304,0)),IFERROR(INDEX(Manhole_Register!$B$5:$B$304,MATCH($B13,Manhole_Register!$A$5:$A$304,0)),IFERROR(INDEX(ERSS_Pit_Register!$B$5:$B$304,MATCH($B13,ERSS_Pit_Register!$A$5:$A$304,0)),IFERROR(INDEX(Linkway_Register!$B$5:$B$304,MATCH($B13,Linkway_Register!$A$5:$A$304,0)),IFERROR(INDEX(Other_Register!$B$5:$B$304,MATCH($B13,Other_Register!$A$5:$A$304,0)),"ID not found - check spelling"))))))))</f>
        <v>Steel Sheet Pile Cofferdam for Manhole, 4000 x 3500 pit, 6.0 m deep, Kallang Formation (marine clay)</v>
      </c>
      <c r="I13" s="10" t="str">
        <f aca="false">IF($B13="","",IFERROR(INDEX(Drain_Register!$U$5:$U$304,MATCH($B13,Drain_Register!$A$5:$A$304,0)),IFERROR(INDEX(RW_Register!$AA$5:$AA$304,MATCH($B13,RW_Register!$A$5:$A$304,0)),IFERROR(INDEX(Embedded_Wall_Register!$X$5:$X$304,MATCH($B13,Embedded_Wall_Register!$A$5:$A$304,0)),IFERROR(INDEX(Manhole_Register!$AA$5:$AA$304,MATCH($B13,Manhole_Register!$A$5:$A$304,0)),IFERROR(INDEX(ERSS_Pit_Register!$U$5:$U$304,MATCH($B13,ERSS_Pit_Register!$A$5:$A$304,0)),IFERROR(INDEX(Linkway_Register!$W$5:$W$304,MATCH($B13,Linkway_Register!$A$5:$A$304,0)),IFERROR(INDEX(Other_Register!$M$5:$M$304,MATCH($B13,Other_Register!$A$5:$A$304,0)),""))))))))</f>
        <v>A</v>
      </c>
      <c r="J13" s="10" t="str">
        <f aca="false">IF($B13="","",IFERROR(INDEX(Drain_Register!$V$5:$V$304,MATCH($B13,Drain_Register!$A$5:$A$304,0)),IFERROR(INDEX(RW_Register!$AB$5:$AB$304,MATCH($B13,RW_Register!$A$5:$A$304,0)),IFERROR(INDEX(Embedded_Wall_Register!$Y$5:$Y$304,MATCH($B13,Embedded_Wall_Register!$A$5:$A$304,0)),IFERROR(INDEX(Manhole_Register!$AB$5:$AB$304,MATCH($B13,Manhole_Register!$A$5:$A$304,0)),IFERROR(INDEX(ERSS_Pit_Register!$V$5:$V$304,MATCH($B13,ERSS_Pit_Register!$A$5:$A$304,0)),IFERROR(INDEX(Linkway_Register!$X$5:$X$304,MATCH($B13,Linkway_Register!$A$5:$A$304,0)),IFERROR(INDEX(Other_Register!$N$5:$N$304,MATCH($B13,Other_Register!$A$5:$A$304,0)),""))))))))</f>
        <v>Approved</v>
      </c>
      <c r="K13" s="10" t="str">
        <f aca="false">IF($B13="","",IFERROR(INDEX(Drain_Register!$W$5:$W$304,MATCH($B13,Drain_Register!$A$5:$A$304,0)),IFERROR(INDEX(RW_Register!$AC$5:$AC$304,MATCH($B13,RW_Register!$A$5:$A$304,0)),IFERROR(INDEX(Embedded_Wall_Register!$Z$5:$Z$304,MATCH($B13,Embedded_Wall_Register!$A$5:$A$304,0)),IFERROR(INDEX(Manhole_Register!$AC$5:$AC$304,MATCH($B13,Manhole_Register!$A$5:$A$304,0)),IFERROR(INDEX(ERSS_Pit_Register!$W$5:$W$304,MATCH($B13,ERSS_Pit_Register!$A$5:$A$304,0)),IFERROR(INDEX(Linkway_Register!$Y$5:$Y$304,MATCH($B13,Linkway_Register!$A$5:$A$304,0)),IFERROR(INDEX(Other_Register!$O$5:$O$304,MATCH($B13,Other_Register!$A$5:$A$304,0)),""))))))))</f>
        <v>STD-EP-002</v>
      </c>
      <c r="L13" s="10" t="n">
        <f aca="false">IF($B13="","",IFERROR(INDEX(Drain_Register!$X$5:$X$304,MATCH($B13,Drain_Register!$A$5:$A$304,0)),IFERROR(INDEX(RW_Register!$AD$5:$AD$304,MATCH($B13,RW_Register!$A$5:$A$304,0)),IFERROR(INDEX(Embedded_Wall_Register!$AA$5:$AA$304,MATCH($B13,Embedded_Wall_Register!$A$5:$A$304,0)),IFERROR(INDEX(Manhole_Register!$AD$5:$AD$304,MATCH($B13,Manhole_Register!$A$5:$A$304,0)),IFERROR(INDEX(ERSS_Pit_Register!$X$5:$X$304,MATCH($B13,ERSS_Pit_Register!$A$5:$A$304,0)),IFERROR(INDEX(Linkway_Register!$Z$5:$Z$304,MATCH($B13,Linkway_Register!$A$5:$A$304,0)),IFERROR(INDEX(Other_Register!$P$5:$P$304,MATCH($B13,Other_Register!$A$5:$A$304,0)),""))))))))</f>
        <v>50</v>
      </c>
      <c r="M13" s="10" t="str">
        <f aca="false">IF($B13="","",IFERROR(INDEX(Drain_Register!$Z$5:$Z$304,MATCH($B13,Drain_Register!$A$5:$A$304,0)),IFERROR(INDEX(RW_Register!$AF$5:$AF$304,MATCH($B13,RW_Register!$A$5:$A$304,0)),IFERROR(INDEX(Embedded_Wall_Register!$AC$5:$AC$304,MATCH($B13,Embedded_Wall_Register!$A$5:$A$304,0)),IFERROR(INDEX(Manhole_Register!$AF$5:$AF$304,MATCH($B13,Manhole_Register!$A$5:$A$304,0)),IFERROR(INDEX(ERSS_Pit_Register!$Z$5:$Z$304,MATCH($B13,ERSS_Pit_Register!$A$5:$A$304,0)),IFERROR(INDEX(Linkway_Register!$AB$5:$AB$304,MATCH($B13,Linkway_Register!$A$5:$A$304,0)),IFERROR(INDEX(Other_Register!$R$5:$R$304,MATCH($B13,Other_Register!$A$5:$A$304,0)),"")))))))&amp;IFERROR(INDEX(Drain_Register!$AA$5:$AA$304,MATCH($B13,Drain_Register!$A$5:$A$304,0)),IFERROR(INDEX(RW_Register!$AG$5:$AG$304,MATCH($B13,RW_Register!$A$5:$A$304,0)),IFERROR(INDEX(Embedded_Wall_Register!$AD$5:$AD$304,MATCH($B13,Embedded_Wall_Register!$A$5:$A$304,0)),IFERROR(INDEX(Manhole_Register!$AG$5:$AG$304,MATCH($B13,Manhole_Register!$A$5:$A$304,0)),IFERROR(INDEX(ERSS_Pit_Register!$AA$5:$AA$304,MATCH($B13,ERSS_Pit_Register!$A$5:$A$304,0)),IFERROR(INDEX(Linkway_Register!$AC$5:$AC$304,MATCH($B13,Linkway_Register!$A$5:$A$304,0)),IFERROR(INDEX(Other_Register!$S$5:$S$304,MATCH($B13,Other_Register!$A$5:$A$304,0)),""))))))))</f>
        <v>C:\Users\yourname\YourCompany\Design Library - Documents\05_ERSS_Pit\ERSS-SSP-4000x3500-D6000-KF-A\ERSS-SSP-4000x3500-D6000-KF-A_CAD.dwg</v>
      </c>
      <c r="N13" s="19" t="n">
        <f aca="false">IF(OR($B13="",$D13=""),"",$D13*N(IFERROR(INDEX(Drain_Register!$AH$5:$AH$304,MATCH($B13,Drain_Register!$A$5:$A$304,0)),IFERROR(INDEX(RW_Register!$AN$5:$AN$304,MATCH($B13,RW_Register!$A$5:$A$304,0)),IFERROR(INDEX(Embedded_Wall_Register!$AK$5:$AK$304,MATCH($B13,Embedded_Wall_Register!$A$5:$A$304,0)),IFERROR(INDEX(Manhole_Register!$AN$5:$AN$304,MATCH($B13,Manhole_Register!$A$5:$A$304,0)),IFERROR(INDEX(ERSS_Pit_Register!$AH$5:$AH$304,MATCH($B13,ERSS_Pit_Register!$A$5:$A$304,0)),IFERROR(INDEX(Linkway_Register!$AJ$5:$AJ$304,MATCH($B13,Linkway_Register!$A$5:$A$304,0)),IFERROR(INDEX(Other_Register!$Z$5:$Z$304,MATCH($B13,Other_Register!$A$5:$A$304,0)),0)))))))))</f>
        <v>6</v>
      </c>
      <c r="O13" s="20" t="n">
        <f aca="false">IF(OR($B13="",$D13=""),"",$D13*N(IFERROR(INDEX(Drain_Register!$AI$5:$AI$304,MATCH($B13,Drain_Register!$A$5:$A$304,0)),IFERROR(INDEX(RW_Register!$AO$5:$AO$304,MATCH($B13,RW_Register!$A$5:$A$304,0)),IFERROR(INDEX(Embedded_Wall_Register!$AL$5:$AL$304,MATCH($B13,Embedded_Wall_Register!$A$5:$A$304,0)),IFERROR(INDEX(Manhole_Register!$AO$5:$AO$304,MATCH($B13,Manhole_Register!$A$5:$A$304,0)),IFERROR(INDEX(ERSS_Pit_Register!$AI$5:$AI$304,MATCH($B13,ERSS_Pit_Register!$A$5:$A$304,0)),IFERROR(INDEX(Linkway_Register!$AK$5:$AK$304,MATCH($B13,Linkway_Register!$A$5:$A$304,0)),IFERROR(INDEX(Other_Register!$AA$5:$AA$304,MATCH($B13,Other_Register!$A$5:$A$304,0)),0))))))))/1000)</f>
        <v>0</v>
      </c>
      <c r="P13" s="20" t="n">
        <f aca="false">IF(OR($B13="",$D13=""),"",$D13*N(IFERROR(INDEX(Drain_Register!$AJ$5:$AJ$304,MATCH($B13,Drain_Register!$A$5:$A$304,0)),IFERROR(INDEX(RW_Register!$AP$5:$AP$304,MATCH($B13,RW_Register!$A$5:$A$304,0)),IFERROR(INDEX(Embedded_Wall_Register!$AM$5:$AM$304,MATCH($B13,Embedded_Wall_Register!$A$5:$A$304,0)),IFERROR(INDEX(Manhole_Register!$AP$5:$AP$304,MATCH($B13,Manhole_Register!$A$5:$A$304,0)),IFERROR(INDEX(ERSS_Pit_Register!$AJ$5:$AJ$304,MATCH($B13,ERSS_Pit_Register!$A$5:$A$304,0)),IFERROR(INDEX(Linkway_Register!$AL$5:$AL$304,MATCH($B13,Linkway_Register!$A$5:$A$304,0)),IFERROR(INDEX(Other_Register!$AB$5:$AB$304,MATCH($B13,Other_Register!$A$5:$A$304,0)),0))))))))/1000)</f>
        <v>39.2</v>
      </c>
      <c r="Q13" s="19" t="n">
        <f aca="false">IF(OR($B13="",$D13=""),"",$D13*N(IFERROR(INDEX(Drain_Register!$AK$5:$AK$304,MATCH($B13,Drain_Register!$A$5:$A$304,0)),IFERROR(INDEX(RW_Register!$AQ$5:$AQ$304,MATCH($B13,RW_Register!$A$5:$A$304,0)),IFERROR(INDEX(Embedded_Wall_Register!$AN$5:$AN$304,MATCH($B13,Embedded_Wall_Register!$A$5:$A$304,0)),IFERROR(INDEX(Manhole_Register!$AQ$5:$AQ$304,MATCH($B13,Manhole_Register!$A$5:$A$304,0)),IFERROR(INDEX(ERSS_Pit_Register!$AK$5:$AK$304,MATCH($B13,ERSS_Pit_Register!$A$5:$A$304,0)),IFERROR(INDEX(Linkway_Register!$AM$5:$AM$304,MATCH($B13,Linkway_Register!$A$5:$A$304,0)),IFERROR(INDEX(Other_Register!$AC$5:$AC$304,MATCH($B13,Other_Register!$A$5:$A$304,0)),0)))))))))</f>
        <v>0</v>
      </c>
      <c r="R13" s="19" t="n">
        <f aca="false">IF(OR($B13="",$D13=""),"",$D13*N(IFERROR(INDEX(Drain_Register!$AL$5:$AL$304,MATCH($B13,Drain_Register!$A$5:$A$304,0)),IFERROR(INDEX(RW_Register!$AR$5:$AR$304,MATCH($B13,RW_Register!$A$5:$A$304,0)),IFERROR(INDEX(Embedded_Wall_Register!$AO$5:$AO$304,MATCH($B13,Embedded_Wall_Register!$A$5:$A$304,0)),IFERROR(INDEX(Manhole_Register!$AR$5:$AR$304,MATCH($B13,Manhole_Register!$A$5:$A$304,0)),IFERROR(INDEX(ERSS_Pit_Register!$AL$5:$AL$304,MATCH($B13,ERSS_Pit_Register!$A$5:$A$304,0)),IFERROR(INDEX(Linkway_Register!$AN$5:$AN$304,MATCH($B13,Linkway_Register!$A$5:$A$304,0)),IFERROR(INDEX(Other_Register!$AD$5:$AD$304,MATCH($B13,Other_Register!$A$5:$A$304,0)),0)))))))))</f>
        <v>360</v>
      </c>
      <c r="S13" s="10" t="str">
        <f aca="false">IF($B13="","",IF(G13="","ID not found",IF(J13&lt;&gt;"Approved","WARNING: status is "&amp;J13,IF(IFERROR(INDEX(Drain_Register!$AV$5:$AV$304,MATCH($B13,Drain_Register!$A$5:$A$304,0)),IFERROR(INDEX(RW_Register!$BA$5:$BA$304,MATCH($B13,RW_Register!$A$5:$A$304,0)),IFERROR(INDEX(Embedded_Wall_Register!$AX$5:$AX$304,MATCH($B13,Embedded_Wall_Register!$A$5:$A$304,0)),IFERROR(INDEX(Manhole_Register!$AZ$5:$AZ$304,MATCH($B13,Manhole_Register!$A$5:$A$304,0)),IFERROR(INDEX(ERSS_Pit_Register!$AU$5:$AU$304,MATCH($B13,ERSS_Pit_Register!$A$5:$A$304,0)),IFERROR(INDEX(Linkway_Register!$AV$5:$AV$304,MATCH($B13,Linkway_Register!$A$5:$A$304,0)),IFERROR(INDEX(Other_Register!$AL$5:$AL$304,MATCH($B13,Other_Register!$A$5:$A$304,0)),"")))))))="N","WARNING: fails SG compliance check",IF(D13="","Enter length / qty",IF(E13="","Enter CAD sheet no.","OK"))))))</f>
        <v>OK</v>
      </c>
    </row>
    <row r="14" customFormat="false" ht="15" hidden="false" customHeight="false" outlineLevel="0" collapsed="false">
      <c r="A14" s="18" t="n">
        <v>9</v>
      </c>
      <c r="B14" s="18" t="s">
        <v>148</v>
      </c>
      <c r="C14" s="18" t="s">
        <v>149</v>
      </c>
      <c r="D14" s="18" t="n">
        <v>12</v>
      </c>
      <c r="E14" s="18" t="n">
        <v>5</v>
      </c>
      <c r="F14" s="10" t="str">
        <f aca="false">IF($B14="","",IFERROR(INDEX(Drain_Register!$AG$5:$AG$304,MATCH($B14,Drain_Register!$A$5:$A$304,0)),IFERROR(INDEX(RW_Register!$AM$5:$AM$304,MATCH($B14,RW_Register!$A$5:$A$304,0)),IFERROR(INDEX(Embedded_Wall_Register!$AJ$5:$AJ$304,MATCH($B14,Embedded_Wall_Register!$A$5:$A$304,0)),IFERROR(INDEX(Manhole_Register!$AM$5:$AM$304,MATCH($B14,Manhole_Register!$A$5:$A$304,0)),IFERROR(INDEX(ERSS_Pit_Register!$AG$5:$AG$304,MATCH($B14,ERSS_Pit_Register!$A$5:$A$304,0)),IFERROR(INDEX(Linkway_Register!$AI$5:$AI$304,MATCH($B14,Linkway_Register!$A$5:$A$304,0)),IFERROR(INDEX(Other_Register!$Y$5:$Y$304,MATCH($B14,Other_Register!$A$5:$A$304,0)),""))))))))</f>
        <v>bay</v>
      </c>
      <c r="G14" s="10" t="str">
        <f aca="false">IF($B14="","",IF(ISNUMBER(MATCH($B14,Drain_Register!$A$5:$A$304,0)),"Drain",IF(ISNUMBER(MATCH($B14,RW_Register!$A$5:$A$304,0)),"Ret. Wall",IF(ISNUMBER(MATCH($B14,Embedded_Wall_Register!$A$5:$A$304,0)),"Embedded Wall",IF(ISNUMBER(MATCH($B14,Manhole_Register!$A$5:$A$304,0)),"Manhole",IF(ISNUMBER(MATCH($B14,ERSS_Pit_Register!$A$5:$A$304,0)),"ERSS Pit",IF(ISNUMBER(MATCH($B14,Linkway_Register!$A$5:$A$304,0)),"Linkway",IF(ISNUMBER(MATCH($B14,Other_Register!$A$5:$A$304,0)),"Others",""))))))))</f>
        <v>Linkway</v>
      </c>
      <c r="H14" s="10" t="str">
        <f aca="false">IF($B14="","",IFERROR(INDEX(Drain_Register!$B$5:$B$304,MATCH($B14,Drain_Register!$A$5:$A$304,0)),IFERROR(INDEX(RW_Register!$B$5:$B$304,MATCH($B14,RW_Register!$A$5:$A$304,0)),IFERROR(INDEX(Embedded_Wall_Register!$B$5:$B$304,MATCH($B14,Embedded_Wall_Register!$A$5:$A$304,0)),IFERROR(INDEX(Manhole_Register!$B$5:$B$304,MATCH($B14,Manhole_Register!$A$5:$A$304,0)),IFERROR(INDEX(ERSS_Pit_Register!$B$5:$B$304,MATCH($B14,ERSS_Pit_Register!$A$5:$A$304,0)),IFERROR(INDEX(Linkway_Register!$B$5:$B$304,MATCH($B14,Linkway_Register!$A$5:$A$304,0)),IFERROR(INDEX(Other_Register!$B$5:$B$304,MATCH($B14,Other_Register!$A$5:$A$304,0)),"ID not found - check spelling"))))))))</f>
        <v>Low Covered Linkway, 3.6 m wide, 2.4 m headroom, 6 m bays, Double column (LTA/SDRE25/22/CLW1)</v>
      </c>
      <c r="I14" s="10" t="str">
        <f aca="false">IF($B14="","",IFERROR(INDEX(Drain_Register!$U$5:$U$304,MATCH($B14,Drain_Register!$A$5:$A$304,0)),IFERROR(INDEX(RW_Register!$AA$5:$AA$304,MATCH($B14,RW_Register!$A$5:$A$304,0)),IFERROR(INDEX(Embedded_Wall_Register!$X$5:$X$304,MATCH($B14,Embedded_Wall_Register!$A$5:$A$304,0)),IFERROR(INDEX(Manhole_Register!$AA$5:$AA$304,MATCH($B14,Manhole_Register!$A$5:$A$304,0)),IFERROR(INDEX(ERSS_Pit_Register!$U$5:$U$304,MATCH($B14,ERSS_Pit_Register!$A$5:$A$304,0)),IFERROR(INDEX(Linkway_Register!$W$5:$W$304,MATCH($B14,Linkway_Register!$A$5:$A$304,0)),IFERROR(INDEX(Other_Register!$M$5:$M$304,MATCH($B14,Other_Register!$A$5:$A$304,0)),""))))))))</f>
        <v>A</v>
      </c>
      <c r="J14" s="10" t="str">
        <f aca="false">IF($B14="","",IFERROR(INDEX(Drain_Register!$V$5:$V$304,MATCH($B14,Drain_Register!$A$5:$A$304,0)),IFERROR(INDEX(RW_Register!$AB$5:$AB$304,MATCH($B14,RW_Register!$A$5:$A$304,0)),IFERROR(INDEX(Embedded_Wall_Register!$Y$5:$Y$304,MATCH($B14,Embedded_Wall_Register!$A$5:$A$304,0)),IFERROR(INDEX(Manhole_Register!$AB$5:$AB$304,MATCH($B14,Manhole_Register!$A$5:$A$304,0)),IFERROR(INDEX(ERSS_Pit_Register!$V$5:$V$304,MATCH($B14,ERSS_Pit_Register!$A$5:$A$304,0)),IFERROR(INDEX(Linkway_Register!$X$5:$X$304,MATCH($B14,Linkway_Register!$A$5:$A$304,0)),IFERROR(INDEX(Other_Register!$N$5:$N$304,MATCH($B14,Other_Register!$A$5:$A$304,0)),""))))))))</f>
        <v>Approved</v>
      </c>
      <c r="K14" s="10" t="str">
        <f aca="false">IF($B14="","",IFERROR(INDEX(Drain_Register!$W$5:$W$304,MATCH($B14,Drain_Register!$A$5:$A$304,0)),IFERROR(INDEX(RW_Register!$AC$5:$AC$304,MATCH($B14,RW_Register!$A$5:$A$304,0)),IFERROR(INDEX(Embedded_Wall_Register!$Z$5:$Z$304,MATCH($B14,Embedded_Wall_Register!$A$5:$A$304,0)),IFERROR(INDEX(Manhole_Register!$AC$5:$AC$304,MATCH($B14,Manhole_Register!$A$5:$A$304,0)),IFERROR(INDEX(ERSS_Pit_Register!$W$5:$W$304,MATCH($B14,ERSS_Pit_Register!$A$5:$A$304,0)),IFERROR(INDEX(Linkway_Register!$Y$5:$Y$304,MATCH($B14,Linkway_Register!$A$5:$A$304,0)),IFERROR(INDEX(Other_Register!$O$5:$O$304,MATCH($B14,Other_Register!$A$5:$A$304,0)),""))))))))</f>
        <v>STD-LKW-002</v>
      </c>
      <c r="L14" s="10" t="n">
        <f aca="false">IF($B14="","",IFERROR(INDEX(Drain_Register!$X$5:$X$304,MATCH($B14,Drain_Register!$A$5:$A$304,0)),IFERROR(INDEX(RW_Register!$AD$5:$AD$304,MATCH($B14,RW_Register!$A$5:$A$304,0)),IFERROR(INDEX(Embedded_Wall_Register!$AA$5:$AA$304,MATCH($B14,Embedded_Wall_Register!$A$5:$A$304,0)),IFERROR(INDEX(Manhole_Register!$AD$5:$AD$304,MATCH($B14,Manhole_Register!$A$5:$A$304,0)),IFERROR(INDEX(ERSS_Pit_Register!$X$5:$X$304,MATCH($B14,ERSS_Pit_Register!$A$5:$A$304,0)),IFERROR(INDEX(Linkway_Register!$Z$5:$Z$304,MATCH($B14,Linkway_Register!$A$5:$A$304,0)),IFERROR(INDEX(Other_Register!$P$5:$P$304,MATCH($B14,Other_Register!$A$5:$A$304,0)),""))))))))</f>
        <v>50</v>
      </c>
      <c r="M14" s="10" t="str">
        <f aca="false">IF($B14="","",IFERROR(INDEX(Drain_Register!$Z$5:$Z$304,MATCH($B14,Drain_Register!$A$5:$A$304,0)),IFERROR(INDEX(RW_Register!$AF$5:$AF$304,MATCH($B14,RW_Register!$A$5:$A$304,0)),IFERROR(INDEX(Embedded_Wall_Register!$AC$5:$AC$304,MATCH($B14,Embedded_Wall_Register!$A$5:$A$304,0)),IFERROR(INDEX(Manhole_Register!$AF$5:$AF$304,MATCH($B14,Manhole_Register!$A$5:$A$304,0)),IFERROR(INDEX(ERSS_Pit_Register!$Z$5:$Z$304,MATCH($B14,ERSS_Pit_Register!$A$5:$A$304,0)),IFERROR(INDEX(Linkway_Register!$AB$5:$AB$304,MATCH($B14,Linkway_Register!$A$5:$A$304,0)),IFERROR(INDEX(Other_Register!$R$5:$R$304,MATCH($B14,Other_Register!$A$5:$A$304,0)),"")))))))&amp;IFERROR(INDEX(Drain_Register!$AA$5:$AA$304,MATCH($B14,Drain_Register!$A$5:$A$304,0)),IFERROR(INDEX(RW_Register!$AG$5:$AG$304,MATCH($B14,RW_Register!$A$5:$A$304,0)),IFERROR(INDEX(Embedded_Wall_Register!$AD$5:$AD$304,MATCH($B14,Embedded_Wall_Register!$A$5:$A$304,0)),IFERROR(INDEX(Manhole_Register!$AG$5:$AG$304,MATCH($B14,Manhole_Register!$A$5:$A$304,0)),IFERROR(INDEX(ERSS_Pit_Register!$AA$5:$AA$304,MATCH($B14,ERSS_Pit_Register!$A$5:$A$304,0)),IFERROR(INDEX(Linkway_Register!$AC$5:$AC$304,MATCH($B14,Linkway_Register!$A$5:$A$304,0)),IFERROR(INDEX(Other_Register!$S$5:$S$304,MATCH($B14,Other_Register!$A$5:$A$304,0)),""))))))))</f>
        <v>C:\Users\yourname\YourCompany\Design Library - Documents\06_Linkway\LKW-LCL-W3600-H2400-B6000-A\LKW-LCL-W3600-H2400-B6000-A_CAD.dwg</v>
      </c>
      <c r="N14" s="19" t="n">
        <f aca="false">IF(OR($B14="",$D14=""),"",$D14*N(IFERROR(INDEX(Drain_Register!$AH$5:$AH$304,MATCH($B14,Drain_Register!$A$5:$A$304,0)),IFERROR(INDEX(RW_Register!$AN$5:$AN$304,MATCH($B14,RW_Register!$A$5:$A$304,0)),IFERROR(INDEX(Embedded_Wall_Register!$AK$5:$AK$304,MATCH($B14,Embedded_Wall_Register!$A$5:$A$304,0)),IFERROR(INDEX(Manhole_Register!$AN$5:$AN$304,MATCH($B14,Manhole_Register!$A$5:$A$304,0)),IFERROR(INDEX(ERSS_Pit_Register!$AH$5:$AH$304,MATCH($B14,ERSS_Pit_Register!$A$5:$A$304,0)),IFERROR(INDEX(Linkway_Register!$AJ$5:$AJ$304,MATCH($B14,Linkway_Register!$A$5:$A$304,0)),IFERROR(INDEX(Other_Register!$Z$5:$Z$304,MATCH($B14,Other_Register!$A$5:$A$304,0)),0)))))))))</f>
        <v>16.8</v>
      </c>
      <c r="O14" s="20" t="n">
        <f aca="false">IF(OR($B14="",$D14=""),"",$D14*N(IFERROR(INDEX(Drain_Register!$AI$5:$AI$304,MATCH($B14,Drain_Register!$A$5:$A$304,0)),IFERROR(INDEX(RW_Register!$AO$5:$AO$304,MATCH($B14,RW_Register!$A$5:$A$304,0)),IFERROR(INDEX(Embedded_Wall_Register!$AL$5:$AL$304,MATCH($B14,Embedded_Wall_Register!$A$5:$A$304,0)),IFERROR(INDEX(Manhole_Register!$AO$5:$AO$304,MATCH($B14,Manhole_Register!$A$5:$A$304,0)),IFERROR(INDEX(ERSS_Pit_Register!$AI$5:$AI$304,MATCH($B14,ERSS_Pit_Register!$A$5:$A$304,0)),IFERROR(INDEX(Linkway_Register!$AK$5:$AK$304,MATCH($B14,Linkway_Register!$A$5:$A$304,0)),IFERROR(INDEX(Other_Register!$AA$5:$AA$304,MATCH($B14,Other_Register!$A$5:$A$304,0)),0))))))))/1000)</f>
        <v>0.72</v>
      </c>
      <c r="P14" s="20" t="n">
        <f aca="false">IF(OR($B14="",$D14=""),"",$D14*N(IFERROR(INDEX(Drain_Register!$AJ$5:$AJ$304,MATCH($B14,Drain_Register!$A$5:$A$304,0)),IFERROR(INDEX(RW_Register!$AP$5:$AP$304,MATCH($B14,RW_Register!$A$5:$A$304,0)),IFERROR(INDEX(Embedded_Wall_Register!$AM$5:$AM$304,MATCH($B14,Embedded_Wall_Register!$A$5:$A$304,0)),IFERROR(INDEX(Manhole_Register!$AP$5:$AP$304,MATCH($B14,Manhole_Register!$A$5:$A$304,0)),IFERROR(INDEX(ERSS_Pit_Register!$AJ$5:$AJ$304,MATCH($B14,ERSS_Pit_Register!$A$5:$A$304,0)),IFERROR(INDEX(Linkway_Register!$AL$5:$AL$304,MATCH($B14,Linkway_Register!$A$5:$A$304,0)),IFERROR(INDEX(Other_Register!$AB$5:$AB$304,MATCH($B14,Other_Register!$A$5:$A$304,0)),0))))))))/1000)</f>
        <v>6.24</v>
      </c>
      <c r="Q14" s="19" t="n">
        <f aca="false">IF(OR($B14="",$D14=""),"",$D14*N(IFERROR(INDEX(Drain_Register!$AK$5:$AK$304,MATCH($B14,Drain_Register!$A$5:$A$304,0)),IFERROR(INDEX(RW_Register!$AQ$5:$AQ$304,MATCH($B14,RW_Register!$A$5:$A$304,0)),IFERROR(INDEX(Embedded_Wall_Register!$AN$5:$AN$304,MATCH($B14,Embedded_Wall_Register!$A$5:$A$304,0)),IFERROR(INDEX(Manhole_Register!$AQ$5:$AQ$304,MATCH($B14,Manhole_Register!$A$5:$A$304,0)),IFERROR(INDEX(ERSS_Pit_Register!$AK$5:$AK$304,MATCH($B14,ERSS_Pit_Register!$A$5:$A$304,0)),IFERROR(INDEX(Linkway_Register!$AM$5:$AM$304,MATCH($B14,Linkway_Register!$A$5:$A$304,0)),IFERROR(INDEX(Other_Register!$AC$5:$AC$304,MATCH($B14,Other_Register!$A$5:$A$304,0)),0)))))))))</f>
        <v>48</v>
      </c>
      <c r="R14" s="19" t="n">
        <f aca="false">IF(OR($B14="",$D14=""),"",$D14*N(IFERROR(INDEX(Drain_Register!$AL$5:$AL$304,MATCH($B14,Drain_Register!$A$5:$A$304,0)),IFERROR(INDEX(RW_Register!$AR$5:$AR$304,MATCH($B14,RW_Register!$A$5:$A$304,0)),IFERROR(INDEX(Embedded_Wall_Register!$AO$5:$AO$304,MATCH($B14,Embedded_Wall_Register!$A$5:$A$304,0)),IFERROR(INDEX(Manhole_Register!$AR$5:$AR$304,MATCH($B14,Manhole_Register!$A$5:$A$304,0)),IFERROR(INDEX(ERSS_Pit_Register!$AL$5:$AL$304,MATCH($B14,ERSS_Pit_Register!$A$5:$A$304,0)),IFERROR(INDEX(Linkway_Register!$AN$5:$AN$304,MATCH($B14,Linkway_Register!$A$5:$A$304,0)),IFERROR(INDEX(Other_Register!$AD$5:$AD$304,MATCH($B14,Other_Register!$A$5:$A$304,0)),0)))))))))</f>
        <v>24</v>
      </c>
      <c r="S14" s="10" t="str">
        <f aca="false">IF($B14="","",IF(G14="","ID not found",IF(J14&lt;&gt;"Approved","WARNING: status is "&amp;J14,IF(IFERROR(INDEX(Drain_Register!$AV$5:$AV$304,MATCH($B14,Drain_Register!$A$5:$A$304,0)),IFERROR(INDEX(RW_Register!$BA$5:$BA$304,MATCH($B14,RW_Register!$A$5:$A$304,0)),IFERROR(INDEX(Embedded_Wall_Register!$AX$5:$AX$304,MATCH($B14,Embedded_Wall_Register!$A$5:$A$304,0)),IFERROR(INDEX(Manhole_Register!$AZ$5:$AZ$304,MATCH($B14,Manhole_Register!$A$5:$A$304,0)),IFERROR(INDEX(ERSS_Pit_Register!$AU$5:$AU$304,MATCH($B14,ERSS_Pit_Register!$A$5:$A$304,0)),IFERROR(INDEX(Linkway_Register!$AV$5:$AV$304,MATCH($B14,Linkway_Register!$A$5:$A$304,0)),IFERROR(INDEX(Other_Register!$AL$5:$AL$304,MATCH($B14,Other_Register!$A$5:$A$304,0)),"")))))))="N","WARNING: fails SG compliance check",IF(D14="","Enter length / qty",IF(E14="","Enter CAD sheet no.","OK"))))))</f>
        <v>OK</v>
      </c>
    </row>
    <row r="15" customFormat="false" ht="15" hidden="false" customHeight="false" outlineLevel="0" collapsed="false">
      <c r="A15" s="18" t="n">
        <v>10</v>
      </c>
      <c r="B15" s="18" t="s">
        <v>150</v>
      </c>
      <c r="C15" s="18" t="s">
        <v>151</v>
      </c>
      <c r="D15" s="18" t="n">
        <v>60</v>
      </c>
      <c r="E15" s="18" t="n">
        <v>2</v>
      </c>
      <c r="F15" s="10" t="str">
        <f aca="false">IF($B15="","",IFERROR(INDEX(Drain_Register!$AG$5:$AG$304,MATCH($B15,Drain_Register!$A$5:$A$304,0)),IFERROR(INDEX(RW_Register!$AM$5:$AM$304,MATCH($B15,RW_Register!$A$5:$A$304,0)),IFERROR(INDEX(Embedded_Wall_Register!$AJ$5:$AJ$304,MATCH($B15,Embedded_Wall_Register!$A$5:$A$304,0)),IFERROR(INDEX(Manhole_Register!$AM$5:$AM$304,MATCH($B15,Manhole_Register!$A$5:$A$304,0)),IFERROR(INDEX(ERSS_Pit_Register!$AG$5:$AG$304,MATCH($B15,ERSS_Pit_Register!$A$5:$A$304,0)),IFERROR(INDEX(Linkway_Register!$AI$5:$AI$304,MATCH($B15,Linkway_Register!$A$5:$A$304,0)),IFERROR(INDEX(Other_Register!$Y$5:$Y$304,MATCH($B15,Other_Register!$A$5:$A$304,0)),""))))))))</f>
        <v>m</v>
      </c>
      <c r="G15" s="10" t="str">
        <f aca="false">IF($B15="","",IF(ISNUMBER(MATCH($B15,Drain_Register!$A$5:$A$304,0)),"Drain",IF(ISNUMBER(MATCH($B15,RW_Register!$A$5:$A$304,0)),"Ret. Wall",IF(ISNUMBER(MATCH($B15,Embedded_Wall_Register!$A$5:$A$304,0)),"Embedded Wall",IF(ISNUMBER(MATCH($B15,Manhole_Register!$A$5:$A$304,0)),"Manhole",IF(ISNUMBER(MATCH($B15,ERSS_Pit_Register!$A$5:$A$304,0)),"ERSS Pit",IF(ISNUMBER(MATCH($B15,Linkway_Register!$A$5:$A$304,0)),"Linkway",IF(ISNUMBER(MATCH($B15,Other_Register!$A$5:$A$304,0)),"Others",""))))))))</f>
        <v>Drain</v>
      </c>
      <c r="H15" s="10" t="str">
        <f aca="false">IF($B15="","",IFERROR(INDEX(Drain_Register!$B$5:$B$304,MATCH($B15,Drain_Register!$A$5:$A$304,0)),IFERROR(INDEX(RW_Register!$B$5:$B$304,MATCH($B15,RW_Register!$A$5:$A$304,0)),IFERROR(INDEX(Embedded_Wall_Register!$B$5:$B$304,MATCH($B15,Embedded_Wall_Register!$A$5:$A$304,0)),IFERROR(INDEX(Manhole_Register!$B$5:$B$304,MATCH($B15,Manhole_Register!$A$5:$A$304,0)),IFERROR(INDEX(ERSS_Pit_Register!$B$5:$B$304,MATCH($B15,ERSS_Pit_Register!$A$5:$A$304,0)),IFERROR(INDEX(Linkway_Register!$B$5:$B$304,MATCH($B15,Linkway_Register!$A$5:$A$304,0)),IFERROR(INDEX(Other_Register!$B$5:$B$304,MATCH($B15,Other_Register!$A$5:$A$304,0)),"ID not found - check spelling"))))))))</f>
        <v>Cast-in-situ Open Drain 2000W x 1800D, Outlet / main drain, Drain surcharge 12 kPa (SDRE), Open</v>
      </c>
      <c r="I15" s="10" t="str">
        <f aca="false">IF($B15="","",IFERROR(INDEX(Drain_Register!$U$5:$U$304,MATCH($B15,Drain_Register!$A$5:$A$304,0)),IFERROR(INDEX(RW_Register!$AA$5:$AA$304,MATCH($B15,RW_Register!$A$5:$A$304,0)),IFERROR(INDEX(Embedded_Wall_Register!$X$5:$X$304,MATCH($B15,Embedded_Wall_Register!$A$5:$A$304,0)),IFERROR(INDEX(Manhole_Register!$AA$5:$AA$304,MATCH($B15,Manhole_Register!$A$5:$A$304,0)),IFERROR(INDEX(ERSS_Pit_Register!$U$5:$U$304,MATCH($B15,ERSS_Pit_Register!$A$5:$A$304,0)),IFERROR(INDEX(Linkway_Register!$W$5:$W$304,MATCH($B15,Linkway_Register!$A$5:$A$304,0)),IFERROR(INDEX(Other_Register!$M$5:$M$304,MATCH($B15,Other_Register!$A$5:$A$304,0)),""))))))))</f>
        <v>A</v>
      </c>
      <c r="J15" s="10" t="str">
        <f aca="false">IF($B15="","",IFERROR(INDEX(Drain_Register!$V$5:$V$304,MATCH($B15,Drain_Register!$A$5:$A$304,0)),IFERROR(INDEX(RW_Register!$AB$5:$AB$304,MATCH($B15,RW_Register!$A$5:$A$304,0)),IFERROR(INDEX(Embedded_Wall_Register!$Y$5:$Y$304,MATCH($B15,Embedded_Wall_Register!$A$5:$A$304,0)),IFERROR(INDEX(Manhole_Register!$AB$5:$AB$304,MATCH($B15,Manhole_Register!$A$5:$A$304,0)),IFERROR(INDEX(ERSS_Pit_Register!$V$5:$V$304,MATCH($B15,ERSS_Pit_Register!$A$5:$A$304,0)),IFERROR(INDEX(Linkway_Register!$X$5:$X$304,MATCH($B15,Linkway_Register!$A$5:$A$304,0)),IFERROR(INDEX(Other_Register!$N$5:$N$304,MATCH($B15,Other_Register!$A$5:$A$304,0)),""))))))))</f>
        <v>Checked</v>
      </c>
      <c r="K15" s="10" t="str">
        <f aca="false">IF($B15="","",IFERROR(INDEX(Drain_Register!$W$5:$W$304,MATCH($B15,Drain_Register!$A$5:$A$304,0)),IFERROR(INDEX(RW_Register!$AC$5:$AC$304,MATCH($B15,RW_Register!$A$5:$A$304,0)),IFERROR(INDEX(Embedded_Wall_Register!$Z$5:$Z$304,MATCH($B15,Embedded_Wall_Register!$A$5:$A$304,0)),IFERROR(INDEX(Manhole_Register!$AC$5:$AC$304,MATCH($B15,Manhole_Register!$A$5:$A$304,0)),IFERROR(INDEX(ERSS_Pit_Register!$W$5:$W$304,MATCH($B15,ERSS_Pit_Register!$A$5:$A$304,0)),IFERROR(INDEX(Linkway_Register!$Y$5:$Y$304,MATCH($B15,Linkway_Register!$A$5:$A$304,0)),IFERROR(INDEX(Other_Register!$O$5:$O$304,MATCH($B15,Other_Register!$A$5:$A$304,0)),""))))))))</f>
        <v>STD-DR-005</v>
      </c>
      <c r="L15" s="10" t="n">
        <f aca="false">IF($B15="","",IFERROR(INDEX(Drain_Register!$X$5:$X$304,MATCH($B15,Drain_Register!$A$5:$A$304,0)),IFERROR(INDEX(RW_Register!$AD$5:$AD$304,MATCH($B15,RW_Register!$A$5:$A$304,0)),IFERROR(INDEX(Embedded_Wall_Register!$AA$5:$AA$304,MATCH($B15,Embedded_Wall_Register!$A$5:$A$304,0)),IFERROR(INDEX(Manhole_Register!$AD$5:$AD$304,MATCH($B15,Manhole_Register!$A$5:$A$304,0)),IFERROR(INDEX(ERSS_Pit_Register!$X$5:$X$304,MATCH($B15,ERSS_Pit_Register!$A$5:$A$304,0)),IFERROR(INDEX(Linkway_Register!$Z$5:$Z$304,MATCH($B15,Linkway_Register!$A$5:$A$304,0)),IFERROR(INDEX(Other_Register!$P$5:$P$304,MATCH($B15,Other_Register!$A$5:$A$304,0)),""))))))))</f>
        <v>25</v>
      </c>
      <c r="M15" s="10" t="str">
        <f aca="false">IF($B15="","",IFERROR(INDEX(Drain_Register!$Z$5:$Z$304,MATCH($B15,Drain_Register!$A$5:$A$304,0)),IFERROR(INDEX(RW_Register!$AF$5:$AF$304,MATCH($B15,RW_Register!$A$5:$A$304,0)),IFERROR(INDEX(Embedded_Wall_Register!$AC$5:$AC$304,MATCH($B15,Embedded_Wall_Register!$A$5:$A$304,0)),IFERROR(INDEX(Manhole_Register!$AF$5:$AF$304,MATCH($B15,Manhole_Register!$A$5:$A$304,0)),IFERROR(INDEX(ERSS_Pit_Register!$Z$5:$Z$304,MATCH($B15,ERSS_Pit_Register!$A$5:$A$304,0)),IFERROR(INDEX(Linkway_Register!$AB$5:$AB$304,MATCH($B15,Linkway_Register!$A$5:$A$304,0)),IFERROR(INDEX(Other_Register!$R$5:$R$304,MATCH($B15,Other_Register!$A$5:$A$304,0)),"")))))))&amp;IFERROR(INDEX(Drain_Register!$AA$5:$AA$304,MATCH($B15,Drain_Register!$A$5:$A$304,0)),IFERROR(INDEX(RW_Register!$AG$5:$AG$304,MATCH($B15,RW_Register!$A$5:$A$304,0)),IFERROR(INDEX(Embedded_Wall_Register!$AD$5:$AD$304,MATCH($B15,Embedded_Wall_Register!$A$5:$A$304,0)),IFERROR(INDEX(Manhole_Register!$AG$5:$AG$304,MATCH($B15,Manhole_Register!$A$5:$A$304,0)),IFERROR(INDEX(ERSS_Pit_Register!$AA$5:$AA$304,MATCH($B15,ERSS_Pit_Register!$A$5:$A$304,0)),IFERROR(INDEX(Linkway_Register!$AC$5:$AC$304,MATCH($B15,Linkway_Register!$A$5:$A$304,0)),IFERROR(INDEX(Other_Register!$S$5:$S$304,MATCH($B15,Other_Register!$A$5:$A$304,0)),""))))))))</f>
        <v>C:\Users\yourname\YourCompany\Design Library - Documents\01_Drainage\DRN-OD-2000x1800-S12-A\DRN-OD-2000x1800-S12-A_CAD.dwg</v>
      </c>
      <c r="N15" s="19" t="n">
        <f aca="false">IF(OR($B15="",$D15=""),"",$D15*N(IFERROR(INDEX(Drain_Register!$AH$5:$AH$304,MATCH($B15,Drain_Register!$A$5:$A$304,0)),IFERROR(INDEX(RW_Register!$AN$5:$AN$304,MATCH($B15,RW_Register!$A$5:$A$304,0)),IFERROR(INDEX(Embedded_Wall_Register!$AK$5:$AK$304,MATCH($B15,Embedded_Wall_Register!$A$5:$A$304,0)),IFERROR(INDEX(Manhole_Register!$AN$5:$AN$304,MATCH($B15,Manhole_Register!$A$5:$A$304,0)),IFERROR(INDEX(ERSS_Pit_Register!$AH$5:$AH$304,MATCH($B15,ERSS_Pit_Register!$A$5:$A$304,0)),IFERROR(INDEX(Linkway_Register!$AJ$5:$AJ$304,MATCH($B15,Linkway_Register!$A$5:$A$304,0)),IFERROR(INDEX(Other_Register!$Z$5:$Z$304,MATCH($B15,Other_Register!$A$5:$A$304,0)),0)))))))))</f>
        <v>99</v>
      </c>
      <c r="O15" s="20" t="n">
        <f aca="false">IF(OR($B15="",$D15=""),"",$D15*N(IFERROR(INDEX(Drain_Register!$AI$5:$AI$304,MATCH($B15,Drain_Register!$A$5:$A$304,0)),IFERROR(INDEX(RW_Register!$AO$5:$AO$304,MATCH($B15,RW_Register!$A$5:$A$304,0)),IFERROR(INDEX(Embedded_Wall_Register!$AL$5:$AL$304,MATCH($B15,Embedded_Wall_Register!$A$5:$A$304,0)),IFERROR(INDEX(Manhole_Register!$AO$5:$AO$304,MATCH($B15,Manhole_Register!$A$5:$A$304,0)),IFERROR(INDEX(ERSS_Pit_Register!$AI$5:$AI$304,MATCH($B15,ERSS_Pit_Register!$A$5:$A$304,0)),IFERROR(INDEX(Linkway_Register!$AK$5:$AK$304,MATCH($B15,Linkway_Register!$A$5:$A$304,0)),IFERROR(INDEX(Other_Register!$AA$5:$AA$304,MATCH($B15,Other_Register!$A$5:$A$304,0)),0))))))))/1000)</f>
        <v>9</v>
      </c>
      <c r="P15" s="20" t="n">
        <f aca="false">IF(OR($B15="",$D15=""),"",$D15*N(IFERROR(INDEX(Drain_Register!$AJ$5:$AJ$304,MATCH($B15,Drain_Register!$A$5:$A$304,0)),IFERROR(INDEX(RW_Register!$AP$5:$AP$304,MATCH($B15,RW_Register!$A$5:$A$304,0)),IFERROR(INDEX(Embedded_Wall_Register!$AM$5:$AM$304,MATCH($B15,Embedded_Wall_Register!$A$5:$A$304,0)),IFERROR(INDEX(Manhole_Register!$AP$5:$AP$304,MATCH($B15,Manhole_Register!$A$5:$A$304,0)),IFERROR(INDEX(ERSS_Pit_Register!$AJ$5:$AJ$304,MATCH($B15,ERSS_Pit_Register!$A$5:$A$304,0)),IFERROR(INDEX(Linkway_Register!$AL$5:$AL$304,MATCH($B15,Linkway_Register!$A$5:$A$304,0)),IFERROR(INDEX(Other_Register!$AB$5:$AB$304,MATCH($B15,Other_Register!$A$5:$A$304,0)),0))))))))/1000)</f>
        <v>0</v>
      </c>
      <c r="Q15" s="19" t="n">
        <f aca="false">IF(OR($B15="",$D15=""),"",$D15*N(IFERROR(INDEX(Drain_Register!$AK$5:$AK$304,MATCH($B15,Drain_Register!$A$5:$A$304,0)),IFERROR(INDEX(RW_Register!$AQ$5:$AQ$304,MATCH($B15,RW_Register!$A$5:$A$304,0)),IFERROR(INDEX(Embedded_Wall_Register!$AN$5:$AN$304,MATCH($B15,Embedded_Wall_Register!$A$5:$A$304,0)),IFERROR(INDEX(Manhole_Register!$AQ$5:$AQ$304,MATCH($B15,Manhole_Register!$A$5:$A$304,0)),IFERROR(INDEX(ERSS_Pit_Register!$AK$5:$AK$304,MATCH($B15,ERSS_Pit_Register!$A$5:$A$304,0)),IFERROR(INDEX(Linkway_Register!$AM$5:$AM$304,MATCH($B15,Linkway_Register!$A$5:$A$304,0)),IFERROR(INDEX(Other_Register!$AC$5:$AC$304,MATCH($B15,Other_Register!$A$5:$A$304,0)),0)))))))))</f>
        <v>432</v>
      </c>
      <c r="R15" s="19" t="n">
        <f aca="false">IF(OR($B15="",$D15=""),"",$D15*N(IFERROR(INDEX(Drain_Register!$AL$5:$AL$304,MATCH($B15,Drain_Register!$A$5:$A$304,0)),IFERROR(INDEX(RW_Register!$AR$5:$AR$304,MATCH($B15,RW_Register!$A$5:$A$304,0)),IFERROR(INDEX(Embedded_Wall_Register!$AO$5:$AO$304,MATCH($B15,Embedded_Wall_Register!$A$5:$A$304,0)),IFERROR(INDEX(Manhole_Register!$AR$5:$AR$304,MATCH($B15,Manhole_Register!$A$5:$A$304,0)),IFERROR(INDEX(ERSS_Pit_Register!$AL$5:$AL$304,MATCH($B15,ERSS_Pit_Register!$A$5:$A$304,0)),IFERROR(INDEX(Linkway_Register!$AN$5:$AN$304,MATCH($B15,Linkway_Register!$A$5:$A$304,0)),IFERROR(INDEX(Other_Register!$AD$5:$AD$304,MATCH($B15,Other_Register!$A$5:$A$304,0)),0)))))))))</f>
        <v>420</v>
      </c>
      <c r="S15" s="10" t="str">
        <f aca="false">IF($B15="","",IF(G15="","ID not found",IF(J15&lt;&gt;"Approved","WARNING: status is "&amp;J15,IF(IFERROR(INDEX(Drain_Register!$AV$5:$AV$304,MATCH($B15,Drain_Register!$A$5:$A$304,0)),IFERROR(INDEX(RW_Register!$BA$5:$BA$304,MATCH($B15,RW_Register!$A$5:$A$304,0)),IFERROR(INDEX(Embedded_Wall_Register!$AX$5:$AX$304,MATCH($B15,Embedded_Wall_Register!$A$5:$A$304,0)),IFERROR(INDEX(Manhole_Register!$AZ$5:$AZ$304,MATCH($B15,Manhole_Register!$A$5:$A$304,0)),IFERROR(INDEX(ERSS_Pit_Register!$AU$5:$AU$304,MATCH($B15,ERSS_Pit_Register!$A$5:$A$304,0)),IFERROR(INDEX(Linkway_Register!$AV$5:$AV$304,MATCH($B15,Linkway_Register!$A$5:$A$304,0)),IFERROR(INDEX(Other_Register!$AL$5:$AL$304,MATCH($B15,Other_Register!$A$5:$A$304,0)),"")))))))="N","WARNING: fails SG compliance check",IF(D15="","Enter length / qty",IF(E15="","Enter CAD sheet no.","OK"))))))</f>
        <v>WARNING: status is Checked</v>
      </c>
    </row>
    <row r="16" customFormat="false" ht="15" hidden="false" customHeight="false" outlineLevel="0" collapsed="false">
      <c r="A16" s="9"/>
      <c r="B16" s="9"/>
      <c r="C16" s="9"/>
      <c r="D16" s="9"/>
      <c r="E16" s="9"/>
      <c r="F16" s="10" t="str">
        <f aca="false">IF($B16="","",IFERROR(INDEX(Drain_Register!$AG$5:$AG$304,MATCH($B16,Drain_Register!$A$5:$A$304,0)),IFERROR(INDEX(RW_Register!$AM$5:$AM$304,MATCH($B16,RW_Register!$A$5:$A$304,0)),IFERROR(INDEX(Embedded_Wall_Register!$AJ$5:$AJ$304,MATCH($B16,Embedded_Wall_Register!$A$5:$A$304,0)),IFERROR(INDEX(Manhole_Register!$AM$5:$AM$304,MATCH($B16,Manhole_Register!$A$5:$A$304,0)),IFERROR(INDEX(ERSS_Pit_Register!$AG$5:$AG$304,MATCH($B16,ERSS_Pit_Register!$A$5:$A$304,0)),IFERROR(INDEX(Linkway_Register!$AI$5:$AI$304,MATCH($B16,Linkway_Register!$A$5:$A$304,0)),IFERROR(INDEX(Other_Register!$Y$5:$Y$304,MATCH($B16,Other_Register!$A$5:$A$304,0)),""))))))))</f>
        <v/>
      </c>
      <c r="G16" s="10" t="str">
        <f aca="false">IF($B16="","",IF(ISNUMBER(MATCH($B16,Drain_Register!$A$5:$A$304,0)),"Drain",IF(ISNUMBER(MATCH($B16,RW_Register!$A$5:$A$304,0)),"Ret. Wall",IF(ISNUMBER(MATCH($B16,Embedded_Wall_Register!$A$5:$A$304,0)),"Embedded Wall",IF(ISNUMBER(MATCH($B16,Manhole_Register!$A$5:$A$304,0)),"Manhole",IF(ISNUMBER(MATCH($B16,ERSS_Pit_Register!$A$5:$A$304,0)),"ERSS Pit",IF(ISNUMBER(MATCH($B16,Linkway_Register!$A$5:$A$304,0)),"Linkway",IF(ISNUMBER(MATCH($B16,Other_Register!$A$5:$A$304,0)),"Others",""))))))))</f>
        <v/>
      </c>
      <c r="H16" s="10" t="str">
        <f aca="false">IF($B16="","",IFERROR(INDEX(Drain_Register!$B$5:$B$304,MATCH($B16,Drain_Register!$A$5:$A$304,0)),IFERROR(INDEX(RW_Register!$B$5:$B$304,MATCH($B16,RW_Register!$A$5:$A$304,0)),IFERROR(INDEX(Embedded_Wall_Register!$B$5:$B$304,MATCH($B16,Embedded_Wall_Register!$A$5:$A$304,0)),IFERROR(INDEX(Manhole_Register!$B$5:$B$304,MATCH($B16,Manhole_Register!$A$5:$A$304,0)),IFERROR(INDEX(ERSS_Pit_Register!$B$5:$B$304,MATCH($B16,ERSS_Pit_Register!$A$5:$A$304,0)),IFERROR(INDEX(Linkway_Register!$B$5:$B$304,MATCH($B16,Linkway_Register!$A$5:$A$304,0)),IFERROR(INDEX(Other_Register!$B$5:$B$304,MATCH($B16,Other_Register!$A$5:$A$304,0)),"ID not found - check spelling"))))))))</f>
        <v/>
      </c>
      <c r="I16" s="10" t="str">
        <f aca="false">IF($B16="","",IFERROR(INDEX(Drain_Register!$U$5:$U$304,MATCH($B16,Drain_Register!$A$5:$A$304,0)),IFERROR(INDEX(RW_Register!$AA$5:$AA$304,MATCH($B16,RW_Register!$A$5:$A$304,0)),IFERROR(INDEX(Embedded_Wall_Register!$X$5:$X$304,MATCH($B16,Embedded_Wall_Register!$A$5:$A$304,0)),IFERROR(INDEX(Manhole_Register!$AA$5:$AA$304,MATCH($B16,Manhole_Register!$A$5:$A$304,0)),IFERROR(INDEX(ERSS_Pit_Register!$U$5:$U$304,MATCH($B16,ERSS_Pit_Register!$A$5:$A$304,0)),IFERROR(INDEX(Linkway_Register!$W$5:$W$304,MATCH($B16,Linkway_Register!$A$5:$A$304,0)),IFERROR(INDEX(Other_Register!$M$5:$M$304,MATCH($B16,Other_Register!$A$5:$A$304,0)),""))))))))</f>
        <v/>
      </c>
      <c r="J16" s="10" t="str">
        <f aca="false">IF($B16="","",IFERROR(INDEX(Drain_Register!$V$5:$V$304,MATCH($B16,Drain_Register!$A$5:$A$304,0)),IFERROR(INDEX(RW_Register!$AB$5:$AB$304,MATCH($B16,RW_Register!$A$5:$A$304,0)),IFERROR(INDEX(Embedded_Wall_Register!$Y$5:$Y$304,MATCH($B16,Embedded_Wall_Register!$A$5:$A$304,0)),IFERROR(INDEX(Manhole_Register!$AB$5:$AB$304,MATCH($B16,Manhole_Register!$A$5:$A$304,0)),IFERROR(INDEX(ERSS_Pit_Register!$V$5:$V$304,MATCH($B16,ERSS_Pit_Register!$A$5:$A$304,0)),IFERROR(INDEX(Linkway_Register!$X$5:$X$304,MATCH($B16,Linkway_Register!$A$5:$A$304,0)),IFERROR(INDEX(Other_Register!$N$5:$N$304,MATCH($B16,Other_Register!$A$5:$A$304,0)),""))))))))</f>
        <v/>
      </c>
      <c r="K16" s="10" t="str">
        <f aca="false">IF($B16="","",IFERROR(INDEX(Drain_Register!$W$5:$W$304,MATCH($B16,Drain_Register!$A$5:$A$304,0)),IFERROR(INDEX(RW_Register!$AC$5:$AC$304,MATCH($B16,RW_Register!$A$5:$A$304,0)),IFERROR(INDEX(Embedded_Wall_Register!$Z$5:$Z$304,MATCH($B16,Embedded_Wall_Register!$A$5:$A$304,0)),IFERROR(INDEX(Manhole_Register!$AC$5:$AC$304,MATCH($B16,Manhole_Register!$A$5:$A$304,0)),IFERROR(INDEX(ERSS_Pit_Register!$W$5:$W$304,MATCH($B16,ERSS_Pit_Register!$A$5:$A$304,0)),IFERROR(INDEX(Linkway_Register!$Y$5:$Y$304,MATCH($B16,Linkway_Register!$A$5:$A$304,0)),IFERROR(INDEX(Other_Register!$O$5:$O$304,MATCH($B16,Other_Register!$A$5:$A$304,0)),""))))))))</f>
        <v/>
      </c>
      <c r="L16" s="10" t="str">
        <f aca="false">IF($B16="","",IFERROR(INDEX(Drain_Register!$X$5:$X$304,MATCH($B16,Drain_Register!$A$5:$A$304,0)),IFERROR(INDEX(RW_Register!$AD$5:$AD$304,MATCH($B16,RW_Register!$A$5:$A$304,0)),IFERROR(INDEX(Embedded_Wall_Register!$AA$5:$AA$304,MATCH($B16,Embedded_Wall_Register!$A$5:$A$304,0)),IFERROR(INDEX(Manhole_Register!$AD$5:$AD$304,MATCH($B16,Manhole_Register!$A$5:$A$304,0)),IFERROR(INDEX(ERSS_Pit_Register!$X$5:$X$304,MATCH($B16,ERSS_Pit_Register!$A$5:$A$304,0)),IFERROR(INDEX(Linkway_Register!$Z$5:$Z$304,MATCH($B16,Linkway_Register!$A$5:$A$304,0)),IFERROR(INDEX(Other_Register!$P$5:$P$304,MATCH($B16,Other_Register!$A$5:$A$304,0)),""))))))))</f>
        <v/>
      </c>
      <c r="M16" s="10" t="str">
        <f aca="false">IF($B16="","",IFERROR(INDEX(Drain_Register!$Z$5:$Z$304,MATCH($B16,Drain_Register!$A$5:$A$304,0)),IFERROR(INDEX(RW_Register!$AF$5:$AF$304,MATCH($B16,RW_Register!$A$5:$A$304,0)),IFERROR(INDEX(Embedded_Wall_Register!$AC$5:$AC$304,MATCH($B16,Embedded_Wall_Register!$A$5:$A$304,0)),IFERROR(INDEX(Manhole_Register!$AF$5:$AF$304,MATCH($B16,Manhole_Register!$A$5:$A$304,0)),IFERROR(INDEX(ERSS_Pit_Register!$Z$5:$Z$304,MATCH($B16,ERSS_Pit_Register!$A$5:$A$304,0)),IFERROR(INDEX(Linkway_Register!$AB$5:$AB$304,MATCH($B16,Linkway_Register!$A$5:$A$304,0)),IFERROR(INDEX(Other_Register!$R$5:$R$304,MATCH($B16,Other_Register!$A$5:$A$304,0)),"")))))))&amp;IFERROR(INDEX(Drain_Register!$AA$5:$AA$304,MATCH($B16,Drain_Register!$A$5:$A$304,0)),IFERROR(INDEX(RW_Register!$AG$5:$AG$304,MATCH($B16,RW_Register!$A$5:$A$304,0)),IFERROR(INDEX(Embedded_Wall_Register!$AD$5:$AD$304,MATCH($B16,Embedded_Wall_Register!$A$5:$A$304,0)),IFERROR(INDEX(Manhole_Register!$AG$5:$AG$304,MATCH($B16,Manhole_Register!$A$5:$A$304,0)),IFERROR(INDEX(ERSS_Pit_Register!$AA$5:$AA$304,MATCH($B16,ERSS_Pit_Register!$A$5:$A$304,0)),IFERROR(INDEX(Linkway_Register!$AC$5:$AC$304,MATCH($B16,Linkway_Register!$A$5:$A$304,0)),IFERROR(INDEX(Other_Register!$S$5:$S$304,MATCH($B16,Other_Register!$A$5:$A$304,0)),""))))))))</f>
        <v/>
      </c>
      <c r="N16" s="19" t="str">
        <f aca="false">IF(OR($B16="",$D16=""),"",$D16*N(IFERROR(INDEX(Drain_Register!$AH$5:$AH$304,MATCH($B16,Drain_Register!$A$5:$A$304,0)),IFERROR(INDEX(RW_Register!$AN$5:$AN$304,MATCH($B16,RW_Register!$A$5:$A$304,0)),IFERROR(INDEX(Embedded_Wall_Register!$AK$5:$AK$304,MATCH($B16,Embedded_Wall_Register!$A$5:$A$304,0)),IFERROR(INDEX(Manhole_Register!$AN$5:$AN$304,MATCH($B16,Manhole_Register!$A$5:$A$304,0)),IFERROR(INDEX(ERSS_Pit_Register!$AH$5:$AH$304,MATCH($B16,ERSS_Pit_Register!$A$5:$A$304,0)),IFERROR(INDEX(Linkway_Register!$AJ$5:$AJ$304,MATCH($B16,Linkway_Register!$A$5:$A$304,0)),IFERROR(INDEX(Other_Register!$Z$5:$Z$304,MATCH($B16,Other_Register!$A$5:$A$304,0)),0)))))))))</f>
        <v/>
      </c>
      <c r="O16" s="20" t="str">
        <f aca="false">IF(OR($B16="",$D16=""),"",$D16*N(IFERROR(INDEX(Drain_Register!$AI$5:$AI$304,MATCH($B16,Drain_Register!$A$5:$A$304,0)),IFERROR(INDEX(RW_Register!$AO$5:$AO$304,MATCH($B16,RW_Register!$A$5:$A$304,0)),IFERROR(INDEX(Embedded_Wall_Register!$AL$5:$AL$304,MATCH($B16,Embedded_Wall_Register!$A$5:$A$304,0)),IFERROR(INDEX(Manhole_Register!$AO$5:$AO$304,MATCH($B16,Manhole_Register!$A$5:$A$304,0)),IFERROR(INDEX(ERSS_Pit_Register!$AI$5:$AI$304,MATCH($B16,ERSS_Pit_Register!$A$5:$A$304,0)),IFERROR(INDEX(Linkway_Register!$AK$5:$AK$304,MATCH($B16,Linkway_Register!$A$5:$A$304,0)),IFERROR(INDEX(Other_Register!$AA$5:$AA$304,MATCH($B16,Other_Register!$A$5:$A$304,0)),0))))))))/1000)</f>
        <v/>
      </c>
      <c r="P16" s="20" t="str">
        <f aca="false">IF(OR($B16="",$D16=""),"",$D16*N(IFERROR(INDEX(Drain_Register!$AJ$5:$AJ$304,MATCH($B16,Drain_Register!$A$5:$A$304,0)),IFERROR(INDEX(RW_Register!$AP$5:$AP$304,MATCH($B16,RW_Register!$A$5:$A$304,0)),IFERROR(INDEX(Embedded_Wall_Register!$AM$5:$AM$304,MATCH($B16,Embedded_Wall_Register!$A$5:$A$304,0)),IFERROR(INDEX(Manhole_Register!$AP$5:$AP$304,MATCH($B16,Manhole_Register!$A$5:$A$304,0)),IFERROR(INDEX(ERSS_Pit_Register!$AJ$5:$AJ$304,MATCH($B16,ERSS_Pit_Register!$A$5:$A$304,0)),IFERROR(INDEX(Linkway_Register!$AL$5:$AL$304,MATCH($B16,Linkway_Register!$A$5:$A$304,0)),IFERROR(INDEX(Other_Register!$AB$5:$AB$304,MATCH($B16,Other_Register!$A$5:$A$304,0)),0))))))))/1000)</f>
        <v/>
      </c>
      <c r="Q16" s="19" t="str">
        <f aca="false">IF(OR($B16="",$D16=""),"",$D16*N(IFERROR(INDEX(Drain_Register!$AK$5:$AK$304,MATCH($B16,Drain_Register!$A$5:$A$304,0)),IFERROR(INDEX(RW_Register!$AQ$5:$AQ$304,MATCH($B16,RW_Register!$A$5:$A$304,0)),IFERROR(INDEX(Embedded_Wall_Register!$AN$5:$AN$304,MATCH($B16,Embedded_Wall_Register!$A$5:$A$304,0)),IFERROR(INDEX(Manhole_Register!$AQ$5:$AQ$304,MATCH($B16,Manhole_Register!$A$5:$A$304,0)),IFERROR(INDEX(ERSS_Pit_Register!$AK$5:$AK$304,MATCH($B16,ERSS_Pit_Register!$A$5:$A$304,0)),IFERROR(INDEX(Linkway_Register!$AM$5:$AM$304,MATCH($B16,Linkway_Register!$A$5:$A$304,0)),IFERROR(INDEX(Other_Register!$AC$5:$AC$304,MATCH($B16,Other_Register!$A$5:$A$304,0)),0)))))))))</f>
        <v/>
      </c>
      <c r="R16" s="19" t="str">
        <f aca="false">IF(OR($B16="",$D16=""),"",$D16*N(IFERROR(INDEX(Drain_Register!$AL$5:$AL$304,MATCH($B16,Drain_Register!$A$5:$A$304,0)),IFERROR(INDEX(RW_Register!$AR$5:$AR$304,MATCH($B16,RW_Register!$A$5:$A$304,0)),IFERROR(INDEX(Embedded_Wall_Register!$AO$5:$AO$304,MATCH($B16,Embedded_Wall_Register!$A$5:$A$304,0)),IFERROR(INDEX(Manhole_Register!$AR$5:$AR$304,MATCH($B16,Manhole_Register!$A$5:$A$304,0)),IFERROR(INDEX(ERSS_Pit_Register!$AL$5:$AL$304,MATCH($B16,ERSS_Pit_Register!$A$5:$A$304,0)),IFERROR(INDEX(Linkway_Register!$AN$5:$AN$304,MATCH($B16,Linkway_Register!$A$5:$A$304,0)),IFERROR(INDEX(Other_Register!$AD$5:$AD$304,MATCH($B16,Other_Register!$A$5:$A$304,0)),0)))))))))</f>
        <v/>
      </c>
      <c r="S16" s="10" t="str">
        <f aca="false">IF($B16="","",IF(G16="","ID not found",IF(J16&lt;&gt;"Approved","WARNING: status is "&amp;J16,IF(IFERROR(INDEX(Drain_Register!$AV$5:$AV$304,MATCH($B16,Drain_Register!$A$5:$A$304,0)),IFERROR(INDEX(RW_Register!$BA$5:$BA$304,MATCH($B16,RW_Register!$A$5:$A$304,0)),IFERROR(INDEX(Embedded_Wall_Register!$AX$5:$AX$304,MATCH($B16,Embedded_Wall_Register!$A$5:$A$304,0)),IFERROR(INDEX(Manhole_Register!$AZ$5:$AZ$304,MATCH($B16,Manhole_Register!$A$5:$A$304,0)),IFERROR(INDEX(ERSS_Pit_Register!$AU$5:$AU$304,MATCH($B16,ERSS_Pit_Register!$A$5:$A$304,0)),IFERROR(INDEX(Linkway_Register!$AV$5:$AV$304,MATCH($B16,Linkway_Register!$A$5:$A$304,0)),IFERROR(INDEX(Other_Register!$AL$5:$AL$304,MATCH($B16,Other_Register!$A$5:$A$304,0)),"")))))))="N","WARNING: fails SG compliance check",IF(D16="","Enter length / qty",IF(E16="","Enter CAD sheet no.","OK"))))))</f>
        <v/>
      </c>
    </row>
    <row r="17" customFormat="false" ht="15" hidden="false" customHeight="false" outlineLevel="0" collapsed="false">
      <c r="A17" s="9"/>
      <c r="B17" s="9"/>
      <c r="C17" s="9"/>
      <c r="D17" s="9"/>
      <c r="E17" s="9"/>
      <c r="F17" s="10" t="str">
        <f aca="false">IF($B17="","",IFERROR(INDEX(Drain_Register!$AG$5:$AG$304,MATCH($B17,Drain_Register!$A$5:$A$304,0)),IFERROR(INDEX(RW_Register!$AM$5:$AM$304,MATCH($B17,RW_Register!$A$5:$A$304,0)),IFERROR(INDEX(Embedded_Wall_Register!$AJ$5:$AJ$304,MATCH($B17,Embedded_Wall_Register!$A$5:$A$304,0)),IFERROR(INDEX(Manhole_Register!$AM$5:$AM$304,MATCH($B17,Manhole_Register!$A$5:$A$304,0)),IFERROR(INDEX(ERSS_Pit_Register!$AG$5:$AG$304,MATCH($B17,ERSS_Pit_Register!$A$5:$A$304,0)),IFERROR(INDEX(Linkway_Register!$AI$5:$AI$304,MATCH($B17,Linkway_Register!$A$5:$A$304,0)),IFERROR(INDEX(Other_Register!$Y$5:$Y$304,MATCH($B17,Other_Register!$A$5:$A$304,0)),""))))))))</f>
        <v/>
      </c>
      <c r="G17" s="10" t="str">
        <f aca="false">IF($B17="","",IF(ISNUMBER(MATCH($B17,Drain_Register!$A$5:$A$304,0)),"Drain",IF(ISNUMBER(MATCH($B17,RW_Register!$A$5:$A$304,0)),"Ret. Wall",IF(ISNUMBER(MATCH($B17,Embedded_Wall_Register!$A$5:$A$304,0)),"Embedded Wall",IF(ISNUMBER(MATCH($B17,Manhole_Register!$A$5:$A$304,0)),"Manhole",IF(ISNUMBER(MATCH($B17,ERSS_Pit_Register!$A$5:$A$304,0)),"ERSS Pit",IF(ISNUMBER(MATCH($B17,Linkway_Register!$A$5:$A$304,0)),"Linkway",IF(ISNUMBER(MATCH($B17,Other_Register!$A$5:$A$304,0)),"Others",""))))))))</f>
        <v/>
      </c>
      <c r="H17" s="10" t="str">
        <f aca="false">IF($B17="","",IFERROR(INDEX(Drain_Register!$B$5:$B$304,MATCH($B17,Drain_Register!$A$5:$A$304,0)),IFERROR(INDEX(RW_Register!$B$5:$B$304,MATCH($B17,RW_Register!$A$5:$A$304,0)),IFERROR(INDEX(Embedded_Wall_Register!$B$5:$B$304,MATCH($B17,Embedded_Wall_Register!$A$5:$A$304,0)),IFERROR(INDEX(Manhole_Register!$B$5:$B$304,MATCH($B17,Manhole_Register!$A$5:$A$304,0)),IFERROR(INDEX(ERSS_Pit_Register!$B$5:$B$304,MATCH($B17,ERSS_Pit_Register!$A$5:$A$304,0)),IFERROR(INDEX(Linkway_Register!$B$5:$B$304,MATCH($B17,Linkway_Register!$A$5:$A$304,0)),IFERROR(INDEX(Other_Register!$B$5:$B$304,MATCH($B17,Other_Register!$A$5:$A$304,0)),"ID not found - check spelling"))))))))</f>
        <v/>
      </c>
      <c r="I17" s="10" t="str">
        <f aca="false">IF($B17="","",IFERROR(INDEX(Drain_Register!$U$5:$U$304,MATCH($B17,Drain_Register!$A$5:$A$304,0)),IFERROR(INDEX(RW_Register!$AA$5:$AA$304,MATCH($B17,RW_Register!$A$5:$A$304,0)),IFERROR(INDEX(Embedded_Wall_Register!$X$5:$X$304,MATCH($B17,Embedded_Wall_Register!$A$5:$A$304,0)),IFERROR(INDEX(Manhole_Register!$AA$5:$AA$304,MATCH($B17,Manhole_Register!$A$5:$A$304,0)),IFERROR(INDEX(ERSS_Pit_Register!$U$5:$U$304,MATCH($B17,ERSS_Pit_Register!$A$5:$A$304,0)),IFERROR(INDEX(Linkway_Register!$W$5:$W$304,MATCH($B17,Linkway_Register!$A$5:$A$304,0)),IFERROR(INDEX(Other_Register!$M$5:$M$304,MATCH($B17,Other_Register!$A$5:$A$304,0)),""))))))))</f>
        <v/>
      </c>
      <c r="J17" s="10" t="str">
        <f aca="false">IF($B17="","",IFERROR(INDEX(Drain_Register!$V$5:$V$304,MATCH($B17,Drain_Register!$A$5:$A$304,0)),IFERROR(INDEX(RW_Register!$AB$5:$AB$304,MATCH($B17,RW_Register!$A$5:$A$304,0)),IFERROR(INDEX(Embedded_Wall_Register!$Y$5:$Y$304,MATCH($B17,Embedded_Wall_Register!$A$5:$A$304,0)),IFERROR(INDEX(Manhole_Register!$AB$5:$AB$304,MATCH($B17,Manhole_Register!$A$5:$A$304,0)),IFERROR(INDEX(ERSS_Pit_Register!$V$5:$V$304,MATCH($B17,ERSS_Pit_Register!$A$5:$A$304,0)),IFERROR(INDEX(Linkway_Register!$X$5:$X$304,MATCH($B17,Linkway_Register!$A$5:$A$304,0)),IFERROR(INDEX(Other_Register!$N$5:$N$304,MATCH($B17,Other_Register!$A$5:$A$304,0)),""))))))))</f>
        <v/>
      </c>
      <c r="K17" s="10" t="str">
        <f aca="false">IF($B17="","",IFERROR(INDEX(Drain_Register!$W$5:$W$304,MATCH($B17,Drain_Register!$A$5:$A$304,0)),IFERROR(INDEX(RW_Register!$AC$5:$AC$304,MATCH($B17,RW_Register!$A$5:$A$304,0)),IFERROR(INDEX(Embedded_Wall_Register!$Z$5:$Z$304,MATCH($B17,Embedded_Wall_Register!$A$5:$A$304,0)),IFERROR(INDEX(Manhole_Register!$AC$5:$AC$304,MATCH($B17,Manhole_Register!$A$5:$A$304,0)),IFERROR(INDEX(ERSS_Pit_Register!$W$5:$W$304,MATCH($B17,ERSS_Pit_Register!$A$5:$A$304,0)),IFERROR(INDEX(Linkway_Register!$Y$5:$Y$304,MATCH($B17,Linkway_Register!$A$5:$A$304,0)),IFERROR(INDEX(Other_Register!$O$5:$O$304,MATCH($B17,Other_Register!$A$5:$A$304,0)),""))))))))</f>
        <v/>
      </c>
      <c r="L17" s="10" t="str">
        <f aca="false">IF($B17="","",IFERROR(INDEX(Drain_Register!$X$5:$X$304,MATCH($B17,Drain_Register!$A$5:$A$304,0)),IFERROR(INDEX(RW_Register!$AD$5:$AD$304,MATCH($B17,RW_Register!$A$5:$A$304,0)),IFERROR(INDEX(Embedded_Wall_Register!$AA$5:$AA$304,MATCH($B17,Embedded_Wall_Register!$A$5:$A$304,0)),IFERROR(INDEX(Manhole_Register!$AD$5:$AD$304,MATCH($B17,Manhole_Register!$A$5:$A$304,0)),IFERROR(INDEX(ERSS_Pit_Register!$X$5:$X$304,MATCH($B17,ERSS_Pit_Register!$A$5:$A$304,0)),IFERROR(INDEX(Linkway_Register!$Z$5:$Z$304,MATCH($B17,Linkway_Register!$A$5:$A$304,0)),IFERROR(INDEX(Other_Register!$P$5:$P$304,MATCH($B17,Other_Register!$A$5:$A$304,0)),""))))))))</f>
        <v/>
      </c>
      <c r="M17" s="10" t="str">
        <f aca="false">IF($B17="","",IFERROR(INDEX(Drain_Register!$Z$5:$Z$304,MATCH($B17,Drain_Register!$A$5:$A$304,0)),IFERROR(INDEX(RW_Register!$AF$5:$AF$304,MATCH($B17,RW_Register!$A$5:$A$304,0)),IFERROR(INDEX(Embedded_Wall_Register!$AC$5:$AC$304,MATCH($B17,Embedded_Wall_Register!$A$5:$A$304,0)),IFERROR(INDEX(Manhole_Register!$AF$5:$AF$304,MATCH($B17,Manhole_Register!$A$5:$A$304,0)),IFERROR(INDEX(ERSS_Pit_Register!$Z$5:$Z$304,MATCH($B17,ERSS_Pit_Register!$A$5:$A$304,0)),IFERROR(INDEX(Linkway_Register!$AB$5:$AB$304,MATCH($B17,Linkway_Register!$A$5:$A$304,0)),IFERROR(INDEX(Other_Register!$R$5:$R$304,MATCH($B17,Other_Register!$A$5:$A$304,0)),"")))))))&amp;IFERROR(INDEX(Drain_Register!$AA$5:$AA$304,MATCH($B17,Drain_Register!$A$5:$A$304,0)),IFERROR(INDEX(RW_Register!$AG$5:$AG$304,MATCH($B17,RW_Register!$A$5:$A$304,0)),IFERROR(INDEX(Embedded_Wall_Register!$AD$5:$AD$304,MATCH($B17,Embedded_Wall_Register!$A$5:$A$304,0)),IFERROR(INDEX(Manhole_Register!$AG$5:$AG$304,MATCH($B17,Manhole_Register!$A$5:$A$304,0)),IFERROR(INDEX(ERSS_Pit_Register!$AA$5:$AA$304,MATCH($B17,ERSS_Pit_Register!$A$5:$A$304,0)),IFERROR(INDEX(Linkway_Register!$AC$5:$AC$304,MATCH($B17,Linkway_Register!$A$5:$A$304,0)),IFERROR(INDEX(Other_Register!$S$5:$S$304,MATCH($B17,Other_Register!$A$5:$A$304,0)),""))))))))</f>
        <v/>
      </c>
      <c r="N17" s="19" t="str">
        <f aca="false">IF(OR($B17="",$D17=""),"",$D17*N(IFERROR(INDEX(Drain_Register!$AH$5:$AH$304,MATCH($B17,Drain_Register!$A$5:$A$304,0)),IFERROR(INDEX(RW_Register!$AN$5:$AN$304,MATCH($B17,RW_Register!$A$5:$A$304,0)),IFERROR(INDEX(Embedded_Wall_Register!$AK$5:$AK$304,MATCH($B17,Embedded_Wall_Register!$A$5:$A$304,0)),IFERROR(INDEX(Manhole_Register!$AN$5:$AN$304,MATCH($B17,Manhole_Register!$A$5:$A$304,0)),IFERROR(INDEX(ERSS_Pit_Register!$AH$5:$AH$304,MATCH($B17,ERSS_Pit_Register!$A$5:$A$304,0)),IFERROR(INDEX(Linkway_Register!$AJ$5:$AJ$304,MATCH($B17,Linkway_Register!$A$5:$A$304,0)),IFERROR(INDEX(Other_Register!$Z$5:$Z$304,MATCH($B17,Other_Register!$A$5:$A$304,0)),0)))))))))</f>
        <v/>
      </c>
      <c r="O17" s="20" t="str">
        <f aca="false">IF(OR($B17="",$D17=""),"",$D17*N(IFERROR(INDEX(Drain_Register!$AI$5:$AI$304,MATCH($B17,Drain_Register!$A$5:$A$304,0)),IFERROR(INDEX(RW_Register!$AO$5:$AO$304,MATCH($B17,RW_Register!$A$5:$A$304,0)),IFERROR(INDEX(Embedded_Wall_Register!$AL$5:$AL$304,MATCH($B17,Embedded_Wall_Register!$A$5:$A$304,0)),IFERROR(INDEX(Manhole_Register!$AO$5:$AO$304,MATCH($B17,Manhole_Register!$A$5:$A$304,0)),IFERROR(INDEX(ERSS_Pit_Register!$AI$5:$AI$304,MATCH($B17,ERSS_Pit_Register!$A$5:$A$304,0)),IFERROR(INDEX(Linkway_Register!$AK$5:$AK$304,MATCH($B17,Linkway_Register!$A$5:$A$304,0)),IFERROR(INDEX(Other_Register!$AA$5:$AA$304,MATCH($B17,Other_Register!$A$5:$A$304,0)),0))))))))/1000)</f>
        <v/>
      </c>
      <c r="P17" s="20" t="str">
        <f aca="false">IF(OR($B17="",$D17=""),"",$D17*N(IFERROR(INDEX(Drain_Register!$AJ$5:$AJ$304,MATCH($B17,Drain_Register!$A$5:$A$304,0)),IFERROR(INDEX(RW_Register!$AP$5:$AP$304,MATCH($B17,RW_Register!$A$5:$A$304,0)),IFERROR(INDEX(Embedded_Wall_Register!$AM$5:$AM$304,MATCH($B17,Embedded_Wall_Register!$A$5:$A$304,0)),IFERROR(INDEX(Manhole_Register!$AP$5:$AP$304,MATCH($B17,Manhole_Register!$A$5:$A$304,0)),IFERROR(INDEX(ERSS_Pit_Register!$AJ$5:$AJ$304,MATCH($B17,ERSS_Pit_Register!$A$5:$A$304,0)),IFERROR(INDEX(Linkway_Register!$AL$5:$AL$304,MATCH($B17,Linkway_Register!$A$5:$A$304,0)),IFERROR(INDEX(Other_Register!$AB$5:$AB$304,MATCH($B17,Other_Register!$A$5:$A$304,0)),0))))))))/1000)</f>
        <v/>
      </c>
      <c r="Q17" s="19" t="str">
        <f aca="false">IF(OR($B17="",$D17=""),"",$D17*N(IFERROR(INDEX(Drain_Register!$AK$5:$AK$304,MATCH($B17,Drain_Register!$A$5:$A$304,0)),IFERROR(INDEX(RW_Register!$AQ$5:$AQ$304,MATCH($B17,RW_Register!$A$5:$A$304,0)),IFERROR(INDEX(Embedded_Wall_Register!$AN$5:$AN$304,MATCH($B17,Embedded_Wall_Register!$A$5:$A$304,0)),IFERROR(INDEX(Manhole_Register!$AQ$5:$AQ$304,MATCH($B17,Manhole_Register!$A$5:$A$304,0)),IFERROR(INDEX(ERSS_Pit_Register!$AK$5:$AK$304,MATCH($B17,ERSS_Pit_Register!$A$5:$A$304,0)),IFERROR(INDEX(Linkway_Register!$AM$5:$AM$304,MATCH($B17,Linkway_Register!$A$5:$A$304,0)),IFERROR(INDEX(Other_Register!$AC$5:$AC$304,MATCH($B17,Other_Register!$A$5:$A$304,0)),0)))))))))</f>
        <v/>
      </c>
      <c r="R17" s="19" t="str">
        <f aca="false">IF(OR($B17="",$D17=""),"",$D17*N(IFERROR(INDEX(Drain_Register!$AL$5:$AL$304,MATCH($B17,Drain_Register!$A$5:$A$304,0)),IFERROR(INDEX(RW_Register!$AR$5:$AR$304,MATCH($B17,RW_Register!$A$5:$A$304,0)),IFERROR(INDEX(Embedded_Wall_Register!$AO$5:$AO$304,MATCH($B17,Embedded_Wall_Register!$A$5:$A$304,0)),IFERROR(INDEX(Manhole_Register!$AR$5:$AR$304,MATCH($B17,Manhole_Register!$A$5:$A$304,0)),IFERROR(INDEX(ERSS_Pit_Register!$AL$5:$AL$304,MATCH($B17,ERSS_Pit_Register!$A$5:$A$304,0)),IFERROR(INDEX(Linkway_Register!$AN$5:$AN$304,MATCH($B17,Linkway_Register!$A$5:$A$304,0)),IFERROR(INDEX(Other_Register!$AD$5:$AD$304,MATCH($B17,Other_Register!$A$5:$A$304,0)),0)))))))))</f>
        <v/>
      </c>
      <c r="S17" s="10" t="str">
        <f aca="false">IF($B17="","",IF(G17="","ID not found",IF(J17&lt;&gt;"Approved","WARNING: status is "&amp;J17,IF(IFERROR(INDEX(Drain_Register!$AV$5:$AV$304,MATCH($B17,Drain_Register!$A$5:$A$304,0)),IFERROR(INDEX(RW_Register!$BA$5:$BA$304,MATCH($B17,RW_Register!$A$5:$A$304,0)),IFERROR(INDEX(Embedded_Wall_Register!$AX$5:$AX$304,MATCH($B17,Embedded_Wall_Register!$A$5:$A$304,0)),IFERROR(INDEX(Manhole_Register!$AZ$5:$AZ$304,MATCH($B17,Manhole_Register!$A$5:$A$304,0)),IFERROR(INDEX(ERSS_Pit_Register!$AU$5:$AU$304,MATCH($B17,ERSS_Pit_Register!$A$5:$A$304,0)),IFERROR(INDEX(Linkway_Register!$AV$5:$AV$304,MATCH($B17,Linkway_Register!$A$5:$A$304,0)),IFERROR(INDEX(Other_Register!$AL$5:$AL$304,MATCH($B17,Other_Register!$A$5:$A$304,0)),"")))))))="N","WARNING: fails SG compliance check",IF(D17="","Enter length / qty",IF(E17="","Enter CAD sheet no.","OK"))))))</f>
        <v/>
      </c>
    </row>
    <row r="18" customFormat="false" ht="15" hidden="false" customHeight="false" outlineLevel="0" collapsed="false">
      <c r="A18" s="9"/>
      <c r="B18" s="9"/>
      <c r="C18" s="9"/>
      <c r="D18" s="9"/>
      <c r="E18" s="9"/>
      <c r="F18" s="10" t="str">
        <f aca="false">IF($B18="","",IFERROR(INDEX(Drain_Register!$AG$5:$AG$304,MATCH($B18,Drain_Register!$A$5:$A$304,0)),IFERROR(INDEX(RW_Register!$AM$5:$AM$304,MATCH($B18,RW_Register!$A$5:$A$304,0)),IFERROR(INDEX(Embedded_Wall_Register!$AJ$5:$AJ$304,MATCH($B18,Embedded_Wall_Register!$A$5:$A$304,0)),IFERROR(INDEX(Manhole_Register!$AM$5:$AM$304,MATCH($B18,Manhole_Register!$A$5:$A$304,0)),IFERROR(INDEX(ERSS_Pit_Register!$AG$5:$AG$304,MATCH($B18,ERSS_Pit_Register!$A$5:$A$304,0)),IFERROR(INDEX(Linkway_Register!$AI$5:$AI$304,MATCH($B18,Linkway_Register!$A$5:$A$304,0)),IFERROR(INDEX(Other_Register!$Y$5:$Y$304,MATCH($B18,Other_Register!$A$5:$A$304,0)),""))))))))</f>
        <v/>
      </c>
      <c r="G18" s="10" t="str">
        <f aca="false">IF($B18="","",IF(ISNUMBER(MATCH($B18,Drain_Register!$A$5:$A$304,0)),"Drain",IF(ISNUMBER(MATCH($B18,RW_Register!$A$5:$A$304,0)),"Ret. Wall",IF(ISNUMBER(MATCH($B18,Embedded_Wall_Register!$A$5:$A$304,0)),"Embedded Wall",IF(ISNUMBER(MATCH($B18,Manhole_Register!$A$5:$A$304,0)),"Manhole",IF(ISNUMBER(MATCH($B18,ERSS_Pit_Register!$A$5:$A$304,0)),"ERSS Pit",IF(ISNUMBER(MATCH($B18,Linkway_Register!$A$5:$A$304,0)),"Linkway",IF(ISNUMBER(MATCH($B18,Other_Register!$A$5:$A$304,0)),"Others",""))))))))</f>
        <v/>
      </c>
      <c r="H18" s="10" t="str">
        <f aca="false">IF($B18="","",IFERROR(INDEX(Drain_Register!$B$5:$B$304,MATCH($B18,Drain_Register!$A$5:$A$304,0)),IFERROR(INDEX(RW_Register!$B$5:$B$304,MATCH($B18,RW_Register!$A$5:$A$304,0)),IFERROR(INDEX(Embedded_Wall_Register!$B$5:$B$304,MATCH($B18,Embedded_Wall_Register!$A$5:$A$304,0)),IFERROR(INDEX(Manhole_Register!$B$5:$B$304,MATCH($B18,Manhole_Register!$A$5:$A$304,0)),IFERROR(INDEX(ERSS_Pit_Register!$B$5:$B$304,MATCH($B18,ERSS_Pit_Register!$A$5:$A$304,0)),IFERROR(INDEX(Linkway_Register!$B$5:$B$304,MATCH($B18,Linkway_Register!$A$5:$A$304,0)),IFERROR(INDEX(Other_Register!$B$5:$B$304,MATCH($B18,Other_Register!$A$5:$A$304,0)),"ID not found - check spelling"))))))))</f>
        <v/>
      </c>
      <c r="I18" s="10" t="str">
        <f aca="false">IF($B18="","",IFERROR(INDEX(Drain_Register!$U$5:$U$304,MATCH($B18,Drain_Register!$A$5:$A$304,0)),IFERROR(INDEX(RW_Register!$AA$5:$AA$304,MATCH($B18,RW_Register!$A$5:$A$304,0)),IFERROR(INDEX(Embedded_Wall_Register!$X$5:$X$304,MATCH($B18,Embedded_Wall_Register!$A$5:$A$304,0)),IFERROR(INDEX(Manhole_Register!$AA$5:$AA$304,MATCH($B18,Manhole_Register!$A$5:$A$304,0)),IFERROR(INDEX(ERSS_Pit_Register!$U$5:$U$304,MATCH($B18,ERSS_Pit_Register!$A$5:$A$304,0)),IFERROR(INDEX(Linkway_Register!$W$5:$W$304,MATCH($B18,Linkway_Register!$A$5:$A$304,0)),IFERROR(INDEX(Other_Register!$M$5:$M$304,MATCH($B18,Other_Register!$A$5:$A$304,0)),""))))))))</f>
        <v/>
      </c>
      <c r="J18" s="10" t="str">
        <f aca="false">IF($B18="","",IFERROR(INDEX(Drain_Register!$V$5:$V$304,MATCH($B18,Drain_Register!$A$5:$A$304,0)),IFERROR(INDEX(RW_Register!$AB$5:$AB$304,MATCH($B18,RW_Register!$A$5:$A$304,0)),IFERROR(INDEX(Embedded_Wall_Register!$Y$5:$Y$304,MATCH($B18,Embedded_Wall_Register!$A$5:$A$304,0)),IFERROR(INDEX(Manhole_Register!$AB$5:$AB$304,MATCH($B18,Manhole_Register!$A$5:$A$304,0)),IFERROR(INDEX(ERSS_Pit_Register!$V$5:$V$304,MATCH($B18,ERSS_Pit_Register!$A$5:$A$304,0)),IFERROR(INDEX(Linkway_Register!$X$5:$X$304,MATCH($B18,Linkway_Register!$A$5:$A$304,0)),IFERROR(INDEX(Other_Register!$N$5:$N$304,MATCH($B18,Other_Register!$A$5:$A$304,0)),""))))))))</f>
        <v/>
      </c>
      <c r="K18" s="10" t="str">
        <f aca="false">IF($B18="","",IFERROR(INDEX(Drain_Register!$W$5:$W$304,MATCH($B18,Drain_Register!$A$5:$A$304,0)),IFERROR(INDEX(RW_Register!$AC$5:$AC$304,MATCH($B18,RW_Register!$A$5:$A$304,0)),IFERROR(INDEX(Embedded_Wall_Register!$Z$5:$Z$304,MATCH($B18,Embedded_Wall_Register!$A$5:$A$304,0)),IFERROR(INDEX(Manhole_Register!$AC$5:$AC$304,MATCH($B18,Manhole_Register!$A$5:$A$304,0)),IFERROR(INDEX(ERSS_Pit_Register!$W$5:$W$304,MATCH($B18,ERSS_Pit_Register!$A$5:$A$304,0)),IFERROR(INDEX(Linkway_Register!$Y$5:$Y$304,MATCH($B18,Linkway_Register!$A$5:$A$304,0)),IFERROR(INDEX(Other_Register!$O$5:$O$304,MATCH($B18,Other_Register!$A$5:$A$304,0)),""))))))))</f>
        <v/>
      </c>
      <c r="L18" s="10" t="str">
        <f aca="false">IF($B18="","",IFERROR(INDEX(Drain_Register!$X$5:$X$304,MATCH($B18,Drain_Register!$A$5:$A$304,0)),IFERROR(INDEX(RW_Register!$AD$5:$AD$304,MATCH($B18,RW_Register!$A$5:$A$304,0)),IFERROR(INDEX(Embedded_Wall_Register!$AA$5:$AA$304,MATCH($B18,Embedded_Wall_Register!$A$5:$A$304,0)),IFERROR(INDEX(Manhole_Register!$AD$5:$AD$304,MATCH($B18,Manhole_Register!$A$5:$A$304,0)),IFERROR(INDEX(ERSS_Pit_Register!$X$5:$X$304,MATCH($B18,ERSS_Pit_Register!$A$5:$A$304,0)),IFERROR(INDEX(Linkway_Register!$Z$5:$Z$304,MATCH($B18,Linkway_Register!$A$5:$A$304,0)),IFERROR(INDEX(Other_Register!$P$5:$P$304,MATCH($B18,Other_Register!$A$5:$A$304,0)),""))))))))</f>
        <v/>
      </c>
      <c r="M18" s="10" t="str">
        <f aca="false">IF($B18="","",IFERROR(INDEX(Drain_Register!$Z$5:$Z$304,MATCH($B18,Drain_Register!$A$5:$A$304,0)),IFERROR(INDEX(RW_Register!$AF$5:$AF$304,MATCH($B18,RW_Register!$A$5:$A$304,0)),IFERROR(INDEX(Embedded_Wall_Register!$AC$5:$AC$304,MATCH($B18,Embedded_Wall_Register!$A$5:$A$304,0)),IFERROR(INDEX(Manhole_Register!$AF$5:$AF$304,MATCH($B18,Manhole_Register!$A$5:$A$304,0)),IFERROR(INDEX(ERSS_Pit_Register!$Z$5:$Z$304,MATCH($B18,ERSS_Pit_Register!$A$5:$A$304,0)),IFERROR(INDEX(Linkway_Register!$AB$5:$AB$304,MATCH($B18,Linkway_Register!$A$5:$A$304,0)),IFERROR(INDEX(Other_Register!$R$5:$R$304,MATCH($B18,Other_Register!$A$5:$A$304,0)),"")))))))&amp;IFERROR(INDEX(Drain_Register!$AA$5:$AA$304,MATCH($B18,Drain_Register!$A$5:$A$304,0)),IFERROR(INDEX(RW_Register!$AG$5:$AG$304,MATCH($B18,RW_Register!$A$5:$A$304,0)),IFERROR(INDEX(Embedded_Wall_Register!$AD$5:$AD$304,MATCH($B18,Embedded_Wall_Register!$A$5:$A$304,0)),IFERROR(INDEX(Manhole_Register!$AG$5:$AG$304,MATCH($B18,Manhole_Register!$A$5:$A$304,0)),IFERROR(INDEX(ERSS_Pit_Register!$AA$5:$AA$304,MATCH($B18,ERSS_Pit_Register!$A$5:$A$304,0)),IFERROR(INDEX(Linkway_Register!$AC$5:$AC$304,MATCH($B18,Linkway_Register!$A$5:$A$304,0)),IFERROR(INDEX(Other_Register!$S$5:$S$304,MATCH($B18,Other_Register!$A$5:$A$304,0)),""))))))))</f>
        <v/>
      </c>
      <c r="N18" s="19" t="str">
        <f aca="false">IF(OR($B18="",$D18=""),"",$D18*N(IFERROR(INDEX(Drain_Register!$AH$5:$AH$304,MATCH($B18,Drain_Register!$A$5:$A$304,0)),IFERROR(INDEX(RW_Register!$AN$5:$AN$304,MATCH($B18,RW_Register!$A$5:$A$304,0)),IFERROR(INDEX(Embedded_Wall_Register!$AK$5:$AK$304,MATCH($B18,Embedded_Wall_Register!$A$5:$A$304,0)),IFERROR(INDEX(Manhole_Register!$AN$5:$AN$304,MATCH($B18,Manhole_Register!$A$5:$A$304,0)),IFERROR(INDEX(ERSS_Pit_Register!$AH$5:$AH$304,MATCH($B18,ERSS_Pit_Register!$A$5:$A$304,0)),IFERROR(INDEX(Linkway_Register!$AJ$5:$AJ$304,MATCH($B18,Linkway_Register!$A$5:$A$304,0)),IFERROR(INDEX(Other_Register!$Z$5:$Z$304,MATCH($B18,Other_Register!$A$5:$A$304,0)),0)))))))))</f>
        <v/>
      </c>
      <c r="O18" s="20" t="str">
        <f aca="false">IF(OR($B18="",$D18=""),"",$D18*N(IFERROR(INDEX(Drain_Register!$AI$5:$AI$304,MATCH($B18,Drain_Register!$A$5:$A$304,0)),IFERROR(INDEX(RW_Register!$AO$5:$AO$304,MATCH($B18,RW_Register!$A$5:$A$304,0)),IFERROR(INDEX(Embedded_Wall_Register!$AL$5:$AL$304,MATCH($B18,Embedded_Wall_Register!$A$5:$A$304,0)),IFERROR(INDEX(Manhole_Register!$AO$5:$AO$304,MATCH($B18,Manhole_Register!$A$5:$A$304,0)),IFERROR(INDEX(ERSS_Pit_Register!$AI$5:$AI$304,MATCH($B18,ERSS_Pit_Register!$A$5:$A$304,0)),IFERROR(INDEX(Linkway_Register!$AK$5:$AK$304,MATCH($B18,Linkway_Register!$A$5:$A$304,0)),IFERROR(INDEX(Other_Register!$AA$5:$AA$304,MATCH($B18,Other_Register!$A$5:$A$304,0)),0))))))))/1000)</f>
        <v/>
      </c>
      <c r="P18" s="20" t="str">
        <f aca="false">IF(OR($B18="",$D18=""),"",$D18*N(IFERROR(INDEX(Drain_Register!$AJ$5:$AJ$304,MATCH($B18,Drain_Register!$A$5:$A$304,0)),IFERROR(INDEX(RW_Register!$AP$5:$AP$304,MATCH($B18,RW_Register!$A$5:$A$304,0)),IFERROR(INDEX(Embedded_Wall_Register!$AM$5:$AM$304,MATCH($B18,Embedded_Wall_Register!$A$5:$A$304,0)),IFERROR(INDEX(Manhole_Register!$AP$5:$AP$304,MATCH($B18,Manhole_Register!$A$5:$A$304,0)),IFERROR(INDEX(ERSS_Pit_Register!$AJ$5:$AJ$304,MATCH($B18,ERSS_Pit_Register!$A$5:$A$304,0)),IFERROR(INDEX(Linkway_Register!$AL$5:$AL$304,MATCH($B18,Linkway_Register!$A$5:$A$304,0)),IFERROR(INDEX(Other_Register!$AB$5:$AB$304,MATCH($B18,Other_Register!$A$5:$A$304,0)),0))))))))/1000)</f>
        <v/>
      </c>
      <c r="Q18" s="19" t="str">
        <f aca="false">IF(OR($B18="",$D18=""),"",$D18*N(IFERROR(INDEX(Drain_Register!$AK$5:$AK$304,MATCH($B18,Drain_Register!$A$5:$A$304,0)),IFERROR(INDEX(RW_Register!$AQ$5:$AQ$304,MATCH($B18,RW_Register!$A$5:$A$304,0)),IFERROR(INDEX(Embedded_Wall_Register!$AN$5:$AN$304,MATCH($B18,Embedded_Wall_Register!$A$5:$A$304,0)),IFERROR(INDEX(Manhole_Register!$AQ$5:$AQ$304,MATCH($B18,Manhole_Register!$A$5:$A$304,0)),IFERROR(INDEX(ERSS_Pit_Register!$AK$5:$AK$304,MATCH($B18,ERSS_Pit_Register!$A$5:$A$304,0)),IFERROR(INDEX(Linkway_Register!$AM$5:$AM$304,MATCH($B18,Linkway_Register!$A$5:$A$304,0)),IFERROR(INDEX(Other_Register!$AC$5:$AC$304,MATCH($B18,Other_Register!$A$5:$A$304,0)),0)))))))))</f>
        <v/>
      </c>
      <c r="R18" s="19" t="str">
        <f aca="false">IF(OR($B18="",$D18=""),"",$D18*N(IFERROR(INDEX(Drain_Register!$AL$5:$AL$304,MATCH($B18,Drain_Register!$A$5:$A$304,0)),IFERROR(INDEX(RW_Register!$AR$5:$AR$304,MATCH($B18,RW_Register!$A$5:$A$304,0)),IFERROR(INDEX(Embedded_Wall_Register!$AO$5:$AO$304,MATCH($B18,Embedded_Wall_Register!$A$5:$A$304,0)),IFERROR(INDEX(Manhole_Register!$AR$5:$AR$304,MATCH($B18,Manhole_Register!$A$5:$A$304,0)),IFERROR(INDEX(ERSS_Pit_Register!$AL$5:$AL$304,MATCH($B18,ERSS_Pit_Register!$A$5:$A$304,0)),IFERROR(INDEX(Linkway_Register!$AN$5:$AN$304,MATCH($B18,Linkway_Register!$A$5:$A$304,0)),IFERROR(INDEX(Other_Register!$AD$5:$AD$304,MATCH($B18,Other_Register!$A$5:$A$304,0)),0)))))))))</f>
        <v/>
      </c>
      <c r="S18" s="10" t="str">
        <f aca="false">IF($B18="","",IF(G18="","ID not found",IF(J18&lt;&gt;"Approved","WARNING: status is "&amp;J18,IF(IFERROR(INDEX(Drain_Register!$AV$5:$AV$304,MATCH($B18,Drain_Register!$A$5:$A$304,0)),IFERROR(INDEX(RW_Register!$BA$5:$BA$304,MATCH($B18,RW_Register!$A$5:$A$304,0)),IFERROR(INDEX(Embedded_Wall_Register!$AX$5:$AX$304,MATCH($B18,Embedded_Wall_Register!$A$5:$A$304,0)),IFERROR(INDEX(Manhole_Register!$AZ$5:$AZ$304,MATCH($B18,Manhole_Register!$A$5:$A$304,0)),IFERROR(INDEX(ERSS_Pit_Register!$AU$5:$AU$304,MATCH($B18,ERSS_Pit_Register!$A$5:$A$304,0)),IFERROR(INDEX(Linkway_Register!$AV$5:$AV$304,MATCH($B18,Linkway_Register!$A$5:$A$304,0)),IFERROR(INDEX(Other_Register!$AL$5:$AL$304,MATCH($B18,Other_Register!$A$5:$A$304,0)),"")))))))="N","WARNING: fails SG compliance check",IF(D18="","Enter length / qty",IF(E18="","Enter CAD sheet no.","OK"))))))</f>
        <v/>
      </c>
    </row>
    <row r="19" customFormat="false" ht="15" hidden="false" customHeight="false" outlineLevel="0" collapsed="false">
      <c r="A19" s="9"/>
      <c r="B19" s="9"/>
      <c r="C19" s="9"/>
      <c r="D19" s="9"/>
      <c r="E19" s="9"/>
      <c r="F19" s="10" t="str">
        <f aca="false">IF($B19="","",IFERROR(INDEX(Drain_Register!$AG$5:$AG$304,MATCH($B19,Drain_Register!$A$5:$A$304,0)),IFERROR(INDEX(RW_Register!$AM$5:$AM$304,MATCH($B19,RW_Register!$A$5:$A$304,0)),IFERROR(INDEX(Embedded_Wall_Register!$AJ$5:$AJ$304,MATCH($B19,Embedded_Wall_Register!$A$5:$A$304,0)),IFERROR(INDEX(Manhole_Register!$AM$5:$AM$304,MATCH($B19,Manhole_Register!$A$5:$A$304,0)),IFERROR(INDEX(ERSS_Pit_Register!$AG$5:$AG$304,MATCH($B19,ERSS_Pit_Register!$A$5:$A$304,0)),IFERROR(INDEX(Linkway_Register!$AI$5:$AI$304,MATCH($B19,Linkway_Register!$A$5:$A$304,0)),IFERROR(INDEX(Other_Register!$Y$5:$Y$304,MATCH($B19,Other_Register!$A$5:$A$304,0)),""))))))))</f>
        <v/>
      </c>
      <c r="G19" s="10" t="str">
        <f aca="false">IF($B19="","",IF(ISNUMBER(MATCH($B19,Drain_Register!$A$5:$A$304,0)),"Drain",IF(ISNUMBER(MATCH($B19,RW_Register!$A$5:$A$304,0)),"Ret. Wall",IF(ISNUMBER(MATCH($B19,Embedded_Wall_Register!$A$5:$A$304,0)),"Embedded Wall",IF(ISNUMBER(MATCH($B19,Manhole_Register!$A$5:$A$304,0)),"Manhole",IF(ISNUMBER(MATCH($B19,ERSS_Pit_Register!$A$5:$A$304,0)),"ERSS Pit",IF(ISNUMBER(MATCH($B19,Linkway_Register!$A$5:$A$304,0)),"Linkway",IF(ISNUMBER(MATCH($B19,Other_Register!$A$5:$A$304,0)),"Others",""))))))))</f>
        <v/>
      </c>
      <c r="H19" s="10" t="str">
        <f aca="false">IF($B19="","",IFERROR(INDEX(Drain_Register!$B$5:$B$304,MATCH($B19,Drain_Register!$A$5:$A$304,0)),IFERROR(INDEX(RW_Register!$B$5:$B$304,MATCH($B19,RW_Register!$A$5:$A$304,0)),IFERROR(INDEX(Embedded_Wall_Register!$B$5:$B$304,MATCH($B19,Embedded_Wall_Register!$A$5:$A$304,0)),IFERROR(INDEX(Manhole_Register!$B$5:$B$304,MATCH($B19,Manhole_Register!$A$5:$A$304,0)),IFERROR(INDEX(ERSS_Pit_Register!$B$5:$B$304,MATCH($B19,ERSS_Pit_Register!$A$5:$A$304,0)),IFERROR(INDEX(Linkway_Register!$B$5:$B$304,MATCH($B19,Linkway_Register!$A$5:$A$304,0)),IFERROR(INDEX(Other_Register!$B$5:$B$304,MATCH($B19,Other_Register!$A$5:$A$304,0)),"ID not found - check spelling"))))))))</f>
        <v/>
      </c>
      <c r="I19" s="10" t="str">
        <f aca="false">IF($B19="","",IFERROR(INDEX(Drain_Register!$U$5:$U$304,MATCH($B19,Drain_Register!$A$5:$A$304,0)),IFERROR(INDEX(RW_Register!$AA$5:$AA$304,MATCH($B19,RW_Register!$A$5:$A$304,0)),IFERROR(INDEX(Embedded_Wall_Register!$X$5:$X$304,MATCH($B19,Embedded_Wall_Register!$A$5:$A$304,0)),IFERROR(INDEX(Manhole_Register!$AA$5:$AA$304,MATCH($B19,Manhole_Register!$A$5:$A$304,0)),IFERROR(INDEX(ERSS_Pit_Register!$U$5:$U$304,MATCH($B19,ERSS_Pit_Register!$A$5:$A$304,0)),IFERROR(INDEX(Linkway_Register!$W$5:$W$304,MATCH($B19,Linkway_Register!$A$5:$A$304,0)),IFERROR(INDEX(Other_Register!$M$5:$M$304,MATCH($B19,Other_Register!$A$5:$A$304,0)),""))))))))</f>
        <v/>
      </c>
      <c r="J19" s="10" t="str">
        <f aca="false">IF($B19="","",IFERROR(INDEX(Drain_Register!$V$5:$V$304,MATCH($B19,Drain_Register!$A$5:$A$304,0)),IFERROR(INDEX(RW_Register!$AB$5:$AB$304,MATCH($B19,RW_Register!$A$5:$A$304,0)),IFERROR(INDEX(Embedded_Wall_Register!$Y$5:$Y$304,MATCH($B19,Embedded_Wall_Register!$A$5:$A$304,0)),IFERROR(INDEX(Manhole_Register!$AB$5:$AB$304,MATCH($B19,Manhole_Register!$A$5:$A$304,0)),IFERROR(INDEX(ERSS_Pit_Register!$V$5:$V$304,MATCH($B19,ERSS_Pit_Register!$A$5:$A$304,0)),IFERROR(INDEX(Linkway_Register!$X$5:$X$304,MATCH($B19,Linkway_Register!$A$5:$A$304,0)),IFERROR(INDEX(Other_Register!$N$5:$N$304,MATCH($B19,Other_Register!$A$5:$A$304,0)),""))))))))</f>
        <v/>
      </c>
      <c r="K19" s="10" t="str">
        <f aca="false">IF($B19="","",IFERROR(INDEX(Drain_Register!$W$5:$W$304,MATCH($B19,Drain_Register!$A$5:$A$304,0)),IFERROR(INDEX(RW_Register!$AC$5:$AC$304,MATCH($B19,RW_Register!$A$5:$A$304,0)),IFERROR(INDEX(Embedded_Wall_Register!$Z$5:$Z$304,MATCH($B19,Embedded_Wall_Register!$A$5:$A$304,0)),IFERROR(INDEX(Manhole_Register!$AC$5:$AC$304,MATCH($B19,Manhole_Register!$A$5:$A$304,0)),IFERROR(INDEX(ERSS_Pit_Register!$W$5:$W$304,MATCH($B19,ERSS_Pit_Register!$A$5:$A$304,0)),IFERROR(INDEX(Linkway_Register!$Y$5:$Y$304,MATCH($B19,Linkway_Register!$A$5:$A$304,0)),IFERROR(INDEX(Other_Register!$O$5:$O$304,MATCH($B19,Other_Register!$A$5:$A$304,0)),""))))))))</f>
        <v/>
      </c>
      <c r="L19" s="10" t="str">
        <f aca="false">IF($B19="","",IFERROR(INDEX(Drain_Register!$X$5:$X$304,MATCH($B19,Drain_Register!$A$5:$A$304,0)),IFERROR(INDEX(RW_Register!$AD$5:$AD$304,MATCH($B19,RW_Register!$A$5:$A$304,0)),IFERROR(INDEX(Embedded_Wall_Register!$AA$5:$AA$304,MATCH($B19,Embedded_Wall_Register!$A$5:$A$304,0)),IFERROR(INDEX(Manhole_Register!$AD$5:$AD$304,MATCH($B19,Manhole_Register!$A$5:$A$304,0)),IFERROR(INDEX(ERSS_Pit_Register!$X$5:$X$304,MATCH($B19,ERSS_Pit_Register!$A$5:$A$304,0)),IFERROR(INDEX(Linkway_Register!$Z$5:$Z$304,MATCH($B19,Linkway_Register!$A$5:$A$304,0)),IFERROR(INDEX(Other_Register!$P$5:$P$304,MATCH($B19,Other_Register!$A$5:$A$304,0)),""))))))))</f>
        <v/>
      </c>
      <c r="M19" s="10" t="str">
        <f aca="false">IF($B19="","",IFERROR(INDEX(Drain_Register!$Z$5:$Z$304,MATCH($B19,Drain_Register!$A$5:$A$304,0)),IFERROR(INDEX(RW_Register!$AF$5:$AF$304,MATCH($B19,RW_Register!$A$5:$A$304,0)),IFERROR(INDEX(Embedded_Wall_Register!$AC$5:$AC$304,MATCH($B19,Embedded_Wall_Register!$A$5:$A$304,0)),IFERROR(INDEX(Manhole_Register!$AF$5:$AF$304,MATCH($B19,Manhole_Register!$A$5:$A$304,0)),IFERROR(INDEX(ERSS_Pit_Register!$Z$5:$Z$304,MATCH($B19,ERSS_Pit_Register!$A$5:$A$304,0)),IFERROR(INDEX(Linkway_Register!$AB$5:$AB$304,MATCH($B19,Linkway_Register!$A$5:$A$304,0)),IFERROR(INDEX(Other_Register!$R$5:$R$304,MATCH($B19,Other_Register!$A$5:$A$304,0)),"")))))))&amp;IFERROR(INDEX(Drain_Register!$AA$5:$AA$304,MATCH($B19,Drain_Register!$A$5:$A$304,0)),IFERROR(INDEX(RW_Register!$AG$5:$AG$304,MATCH($B19,RW_Register!$A$5:$A$304,0)),IFERROR(INDEX(Embedded_Wall_Register!$AD$5:$AD$304,MATCH($B19,Embedded_Wall_Register!$A$5:$A$304,0)),IFERROR(INDEX(Manhole_Register!$AG$5:$AG$304,MATCH($B19,Manhole_Register!$A$5:$A$304,0)),IFERROR(INDEX(ERSS_Pit_Register!$AA$5:$AA$304,MATCH($B19,ERSS_Pit_Register!$A$5:$A$304,0)),IFERROR(INDEX(Linkway_Register!$AC$5:$AC$304,MATCH($B19,Linkway_Register!$A$5:$A$304,0)),IFERROR(INDEX(Other_Register!$S$5:$S$304,MATCH($B19,Other_Register!$A$5:$A$304,0)),""))))))))</f>
        <v/>
      </c>
      <c r="N19" s="19" t="str">
        <f aca="false">IF(OR($B19="",$D19=""),"",$D19*N(IFERROR(INDEX(Drain_Register!$AH$5:$AH$304,MATCH($B19,Drain_Register!$A$5:$A$304,0)),IFERROR(INDEX(RW_Register!$AN$5:$AN$304,MATCH($B19,RW_Register!$A$5:$A$304,0)),IFERROR(INDEX(Embedded_Wall_Register!$AK$5:$AK$304,MATCH($B19,Embedded_Wall_Register!$A$5:$A$304,0)),IFERROR(INDEX(Manhole_Register!$AN$5:$AN$304,MATCH($B19,Manhole_Register!$A$5:$A$304,0)),IFERROR(INDEX(ERSS_Pit_Register!$AH$5:$AH$304,MATCH($B19,ERSS_Pit_Register!$A$5:$A$304,0)),IFERROR(INDEX(Linkway_Register!$AJ$5:$AJ$304,MATCH($B19,Linkway_Register!$A$5:$A$304,0)),IFERROR(INDEX(Other_Register!$Z$5:$Z$304,MATCH($B19,Other_Register!$A$5:$A$304,0)),0)))))))))</f>
        <v/>
      </c>
      <c r="O19" s="20" t="str">
        <f aca="false">IF(OR($B19="",$D19=""),"",$D19*N(IFERROR(INDEX(Drain_Register!$AI$5:$AI$304,MATCH($B19,Drain_Register!$A$5:$A$304,0)),IFERROR(INDEX(RW_Register!$AO$5:$AO$304,MATCH($B19,RW_Register!$A$5:$A$304,0)),IFERROR(INDEX(Embedded_Wall_Register!$AL$5:$AL$304,MATCH($B19,Embedded_Wall_Register!$A$5:$A$304,0)),IFERROR(INDEX(Manhole_Register!$AO$5:$AO$304,MATCH($B19,Manhole_Register!$A$5:$A$304,0)),IFERROR(INDEX(ERSS_Pit_Register!$AI$5:$AI$304,MATCH($B19,ERSS_Pit_Register!$A$5:$A$304,0)),IFERROR(INDEX(Linkway_Register!$AK$5:$AK$304,MATCH($B19,Linkway_Register!$A$5:$A$304,0)),IFERROR(INDEX(Other_Register!$AA$5:$AA$304,MATCH($B19,Other_Register!$A$5:$A$304,0)),0))))))))/1000)</f>
        <v/>
      </c>
      <c r="P19" s="20" t="str">
        <f aca="false">IF(OR($B19="",$D19=""),"",$D19*N(IFERROR(INDEX(Drain_Register!$AJ$5:$AJ$304,MATCH($B19,Drain_Register!$A$5:$A$304,0)),IFERROR(INDEX(RW_Register!$AP$5:$AP$304,MATCH($B19,RW_Register!$A$5:$A$304,0)),IFERROR(INDEX(Embedded_Wall_Register!$AM$5:$AM$304,MATCH($B19,Embedded_Wall_Register!$A$5:$A$304,0)),IFERROR(INDEX(Manhole_Register!$AP$5:$AP$304,MATCH($B19,Manhole_Register!$A$5:$A$304,0)),IFERROR(INDEX(ERSS_Pit_Register!$AJ$5:$AJ$304,MATCH($B19,ERSS_Pit_Register!$A$5:$A$304,0)),IFERROR(INDEX(Linkway_Register!$AL$5:$AL$304,MATCH($B19,Linkway_Register!$A$5:$A$304,0)),IFERROR(INDEX(Other_Register!$AB$5:$AB$304,MATCH($B19,Other_Register!$A$5:$A$304,0)),0))))))))/1000)</f>
        <v/>
      </c>
      <c r="Q19" s="19" t="str">
        <f aca="false">IF(OR($B19="",$D19=""),"",$D19*N(IFERROR(INDEX(Drain_Register!$AK$5:$AK$304,MATCH($B19,Drain_Register!$A$5:$A$304,0)),IFERROR(INDEX(RW_Register!$AQ$5:$AQ$304,MATCH($B19,RW_Register!$A$5:$A$304,0)),IFERROR(INDEX(Embedded_Wall_Register!$AN$5:$AN$304,MATCH($B19,Embedded_Wall_Register!$A$5:$A$304,0)),IFERROR(INDEX(Manhole_Register!$AQ$5:$AQ$304,MATCH($B19,Manhole_Register!$A$5:$A$304,0)),IFERROR(INDEX(ERSS_Pit_Register!$AK$5:$AK$304,MATCH($B19,ERSS_Pit_Register!$A$5:$A$304,0)),IFERROR(INDEX(Linkway_Register!$AM$5:$AM$304,MATCH($B19,Linkway_Register!$A$5:$A$304,0)),IFERROR(INDEX(Other_Register!$AC$5:$AC$304,MATCH($B19,Other_Register!$A$5:$A$304,0)),0)))))))))</f>
        <v/>
      </c>
      <c r="R19" s="19" t="str">
        <f aca="false">IF(OR($B19="",$D19=""),"",$D19*N(IFERROR(INDEX(Drain_Register!$AL$5:$AL$304,MATCH($B19,Drain_Register!$A$5:$A$304,0)),IFERROR(INDEX(RW_Register!$AR$5:$AR$304,MATCH($B19,RW_Register!$A$5:$A$304,0)),IFERROR(INDEX(Embedded_Wall_Register!$AO$5:$AO$304,MATCH($B19,Embedded_Wall_Register!$A$5:$A$304,0)),IFERROR(INDEX(Manhole_Register!$AR$5:$AR$304,MATCH($B19,Manhole_Register!$A$5:$A$304,0)),IFERROR(INDEX(ERSS_Pit_Register!$AL$5:$AL$304,MATCH($B19,ERSS_Pit_Register!$A$5:$A$304,0)),IFERROR(INDEX(Linkway_Register!$AN$5:$AN$304,MATCH($B19,Linkway_Register!$A$5:$A$304,0)),IFERROR(INDEX(Other_Register!$AD$5:$AD$304,MATCH($B19,Other_Register!$A$5:$A$304,0)),0)))))))))</f>
        <v/>
      </c>
      <c r="S19" s="10" t="str">
        <f aca="false">IF($B19="","",IF(G19="","ID not found",IF(J19&lt;&gt;"Approved","WARNING: status is "&amp;J19,IF(IFERROR(INDEX(Drain_Register!$AV$5:$AV$304,MATCH($B19,Drain_Register!$A$5:$A$304,0)),IFERROR(INDEX(RW_Register!$BA$5:$BA$304,MATCH($B19,RW_Register!$A$5:$A$304,0)),IFERROR(INDEX(Embedded_Wall_Register!$AX$5:$AX$304,MATCH($B19,Embedded_Wall_Register!$A$5:$A$304,0)),IFERROR(INDEX(Manhole_Register!$AZ$5:$AZ$304,MATCH($B19,Manhole_Register!$A$5:$A$304,0)),IFERROR(INDEX(ERSS_Pit_Register!$AU$5:$AU$304,MATCH($B19,ERSS_Pit_Register!$A$5:$A$304,0)),IFERROR(INDEX(Linkway_Register!$AV$5:$AV$304,MATCH($B19,Linkway_Register!$A$5:$A$304,0)),IFERROR(INDEX(Other_Register!$AL$5:$AL$304,MATCH($B19,Other_Register!$A$5:$A$304,0)),"")))))))="N","WARNING: fails SG compliance check",IF(D19="","Enter length / qty",IF(E19="","Enter CAD sheet no.","OK"))))))</f>
        <v/>
      </c>
    </row>
    <row r="20" customFormat="false" ht="15" hidden="false" customHeight="false" outlineLevel="0" collapsed="false">
      <c r="A20" s="9"/>
      <c r="B20" s="9"/>
      <c r="C20" s="9"/>
      <c r="D20" s="9"/>
      <c r="E20" s="9"/>
      <c r="F20" s="10" t="str">
        <f aca="false">IF($B20="","",IFERROR(INDEX(Drain_Register!$AG$5:$AG$304,MATCH($B20,Drain_Register!$A$5:$A$304,0)),IFERROR(INDEX(RW_Register!$AM$5:$AM$304,MATCH($B20,RW_Register!$A$5:$A$304,0)),IFERROR(INDEX(Embedded_Wall_Register!$AJ$5:$AJ$304,MATCH($B20,Embedded_Wall_Register!$A$5:$A$304,0)),IFERROR(INDEX(Manhole_Register!$AM$5:$AM$304,MATCH($B20,Manhole_Register!$A$5:$A$304,0)),IFERROR(INDEX(ERSS_Pit_Register!$AG$5:$AG$304,MATCH($B20,ERSS_Pit_Register!$A$5:$A$304,0)),IFERROR(INDEX(Linkway_Register!$AI$5:$AI$304,MATCH($B20,Linkway_Register!$A$5:$A$304,0)),IFERROR(INDEX(Other_Register!$Y$5:$Y$304,MATCH($B20,Other_Register!$A$5:$A$304,0)),""))))))))</f>
        <v/>
      </c>
      <c r="G20" s="10" t="str">
        <f aca="false">IF($B20="","",IF(ISNUMBER(MATCH($B20,Drain_Register!$A$5:$A$304,0)),"Drain",IF(ISNUMBER(MATCH($B20,RW_Register!$A$5:$A$304,0)),"Ret. Wall",IF(ISNUMBER(MATCH($B20,Embedded_Wall_Register!$A$5:$A$304,0)),"Embedded Wall",IF(ISNUMBER(MATCH($B20,Manhole_Register!$A$5:$A$304,0)),"Manhole",IF(ISNUMBER(MATCH($B20,ERSS_Pit_Register!$A$5:$A$304,0)),"ERSS Pit",IF(ISNUMBER(MATCH($B20,Linkway_Register!$A$5:$A$304,0)),"Linkway",IF(ISNUMBER(MATCH($B20,Other_Register!$A$5:$A$304,0)),"Others",""))))))))</f>
        <v/>
      </c>
      <c r="H20" s="10" t="str">
        <f aca="false">IF($B20="","",IFERROR(INDEX(Drain_Register!$B$5:$B$304,MATCH($B20,Drain_Register!$A$5:$A$304,0)),IFERROR(INDEX(RW_Register!$B$5:$B$304,MATCH($B20,RW_Register!$A$5:$A$304,0)),IFERROR(INDEX(Embedded_Wall_Register!$B$5:$B$304,MATCH($B20,Embedded_Wall_Register!$A$5:$A$304,0)),IFERROR(INDEX(Manhole_Register!$B$5:$B$304,MATCH($B20,Manhole_Register!$A$5:$A$304,0)),IFERROR(INDEX(ERSS_Pit_Register!$B$5:$B$304,MATCH($B20,ERSS_Pit_Register!$A$5:$A$304,0)),IFERROR(INDEX(Linkway_Register!$B$5:$B$304,MATCH($B20,Linkway_Register!$A$5:$A$304,0)),IFERROR(INDEX(Other_Register!$B$5:$B$304,MATCH($B20,Other_Register!$A$5:$A$304,0)),"ID not found - check spelling"))))))))</f>
        <v/>
      </c>
      <c r="I20" s="10" t="str">
        <f aca="false">IF($B20="","",IFERROR(INDEX(Drain_Register!$U$5:$U$304,MATCH($B20,Drain_Register!$A$5:$A$304,0)),IFERROR(INDEX(RW_Register!$AA$5:$AA$304,MATCH($B20,RW_Register!$A$5:$A$304,0)),IFERROR(INDEX(Embedded_Wall_Register!$X$5:$X$304,MATCH($B20,Embedded_Wall_Register!$A$5:$A$304,0)),IFERROR(INDEX(Manhole_Register!$AA$5:$AA$304,MATCH($B20,Manhole_Register!$A$5:$A$304,0)),IFERROR(INDEX(ERSS_Pit_Register!$U$5:$U$304,MATCH($B20,ERSS_Pit_Register!$A$5:$A$304,0)),IFERROR(INDEX(Linkway_Register!$W$5:$W$304,MATCH($B20,Linkway_Register!$A$5:$A$304,0)),IFERROR(INDEX(Other_Register!$M$5:$M$304,MATCH($B20,Other_Register!$A$5:$A$304,0)),""))))))))</f>
        <v/>
      </c>
      <c r="J20" s="10" t="str">
        <f aca="false">IF($B20="","",IFERROR(INDEX(Drain_Register!$V$5:$V$304,MATCH($B20,Drain_Register!$A$5:$A$304,0)),IFERROR(INDEX(RW_Register!$AB$5:$AB$304,MATCH($B20,RW_Register!$A$5:$A$304,0)),IFERROR(INDEX(Embedded_Wall_Register!$Y$5:$Y$304,MATCH($B20,Embedded_Wall_Register!$A$5:$A$304,0)),IFERROR(INDEX(Manhole_Register!$AB$5:$AB$304,MATCH($B20,Manhole_Register!$A$5:$A$304,0)),IFERROR(INDEX(ERSS_Pit_Register!$V$5:$V$304,MATCH($B20,ERSS_Pit_Register!$A$5:$A$304,0)),IFERROR(INDEX(Linkway_Register!$X$5:$X$304,MATCH($B20,Linkway_Register!$A$5:$A$304,0)),IFERROR(INDEX(Other_Register!$N$5:$N$304,MATCH($B20,Other_Register!$A$5:$A$304,0)),""))))))))</f>
        <v/>
      </c>
      <c r="K20" s="10" t="str">
        <f aca="false">IF($B20="","",IFERROR(INDEX(Drain_Register!$W$5:$W$304,MATCH($B20,Drain_Register!$A$5:$A$304,0)),IFERROR(INDEX(RW_Register!$AC$5:$AC$304,MATCH($B20,RW_Register!$A$5:$A$304,0)),IFERROR(INDEX(Embedded_Wall_Register!$Z$5:$Z$304,MATCH($B20,Embedded_Wall_Register!$A$5:$A$304,0)),IFERROR(INDEX(Manhole_Register!$AC$5:$AC$304,MATCH($B20,Manhole_Register!$A$5:$A$304,0)),IFERROR(INDEX(ERSS_Pit_Register!$W$5:$W$304,MATCH($B20,ERSS_Pit_Register!$A$5:$A$304,0)),IFERROR(INDEX(Linkway_Register!$Y$5:$Y$304,MATCH($B20,Linkway_Register!$A$5:$A$304,0)),IFERROR(INDEX(Other_Register!$O$5:$O$304,MATCH($B20,Other_Register!$A$5:$A$304,0)),""))))))))</f>
        <v/>
      </c>
      <c r="L20" s="10" t="str">
        <f aca="false">IF($B20="","",IFERROR(INDEX(Drain_Register!$X$5:$X$304,MATCH($B20,Drain_Register!$A$5:$A$304,0)),IFERROR(INDEX(RW_Register!$AD$5:$AD$304,MATCH($B20,RW_Register!$A$5:$A$304,0)),IFERROR(INDEX(Embedded_Wall_Register!$AA$5:$AA$304,MATCH($B20,Embedded_Wall_Register!$A$5:$A$304,0)),IFERROR(INDEX(Manhole_Register!$AD$5:$AD$304,MATCH($B20,Manhole_Register!$A$5:$A$304,0)),IFERROR(INDEX(ERSS_Pit_Register!$X$5:$X$304,MATCH($B20,ERSS_Pit_Register!$A$5:$A$304,0)),IFERROR(INDEX(Linkway_Register!$Z$5:$Z$304,MATCH($B20,Linkway_Register!$A$5:$A$304,0)),IFERROR(INDEX(Other_Register!$P$5:$P$304,MATCH($B20,Other_Register!$A$5:$A$304,0)),""))))))))</f>
        <v/>
      </c>
      <c r="M20" s="10" t="str">
        <f aca="false">IF($B20="","",IFERROR(INDEX(Drain_Register!$Z$5:$Z$304,MATCH($B20,Drain_Register!$A$5:$A$304,0)),IFERROR(INDEX(RW_Register!$AF$5:$AF$304,MATCH($B20,RW_Register!$A$5:$A$304,0)),IFERROR(INDEX(Embedded_Wall_Register!$AC$5:$AC$304,MATCH($B20,Embedded_Wall_Register!$A$5:$A$304,0)),IFERROR(INDEX(Manhole_Register!$AF$5:$AF$304,MATCH($B20,Manhole_Register!$A$5:$A$304,0)),IFERROR(INDEX(ERSS_Pit_Register!$Z$5:$Z$304,MATCH($B20,ERSS_Pit_Register!$A$5:$A$304,0)),IFERROR(INDEX(Linkway_Register!$AB$5:$AB$304,MATCH($B20,Linkway_Register!$A$5:$A$304,0)),IFERROR(INDEX(Other_Register!$R$5:$R$304,MATCH($B20,Other_Register!$A$5:$A$304,0)),"")))))))&amp;IFERROR(INDEX(Drain_Register!$AA$5:$AA$304,MATCH($B20,Drain_Register!$A$5:$A$304,0)),IFERROR(INDEX(RW_Register!$AG$5:$AG$304,MATCH($B20,RW_Register!$A$5:$A$304,0)),IFERROR(INDEX(Embedded_Wall_Register!$AD$5:$AD$304,MATCH($B20,Embedded_Wall_Register!$A$5:$A$304,0)),IFERROR(INDEX(Manhole_Register!$AG$5:$AG$304,MATCH($B20,Manhole_Register!$A$5:$A$304,0)),IFERROR(INDEX(ERSS_Pit_Register!$AA$5:$AA$304,MATCH($B20,ERSS_Pit_Register!$A$5:$A$304,0)),IFERROR(INDEX(Linkway_Register!$AC$5:$AC$304,MATCH($B20,Linkway_Register!$A$5:$A$304,0)),IFERROR(INDEX(Other_Register!$S$5:$S$304,MATCH($B20,Other_Register!$A$5:$A$304,0)),""))))))))</f>
        <v/>
      </c>
      <c r="N20" s="19" t="str">
        <f aca="false">IF(OR($B20="",$D20=""),"",$D20*N(IFERROR(INDEX(Drain_Register!$AH$5:$AH$304,MATCH($B20,Drain_Register!$A$5:$A$304,0)),IFERROR(INDEX(RW_Register!$AN$5:$AN$304,MATCH($B20,RW_Register!$A$5:$A$304,0)),IFERROR(INDEX(Embedded_Wall_Register!$AK$5:$AK$304,MATCH($B20,Embedded_Wall_Register!$A$5:$A$304,0)),IFERROR(INDEX(Manhole_Register!$AN$5:$AN$304,MATCH($B20,Manhole_Register!$A$5:$A$304,0)),IFERROR(INDEX(ERSS_Pit_Register!$AH$5:$AH$304,MATCH($B20,ERSS_Pit_Register!$A$5:$A$304,0)),IFERROR(INDEX(Linkway_Register!$AJ$5:$AJ$304,MATCH($B20,Linkway_Register!$A$5:$A$304,0)),IFERROR(INDEX(Other_Register!$Z$5:$Z$304,MATCH($B20,Other_Register!$A$5:$A$304,0)),0)))))))))</f>
        <v/>
      </c>
      <c r="O20" s="20" t="str">
        <f aca="false">IF(OR($B20="",$D20=""),"",$D20*N(IFERROR(INDEX(Drain_Register!$AI$5:$AI$304,MATCH($B20,Drain_Register!$A$5:$A$304,0)),IFERROR(INDEX(RW_Register!$AO$5:$AO$304,MATCH($B20,RW_Register!$A$5:$A$304,0)),IFERROR(INDEX(Embedded_Wall_Register!$AL$5:$AL$304,MATCH($B20,Embedded_Wall_Register!$A$5:$A$304,0)),IFERROR(INDEX(Manhole_Register!$AO$5:$AO$304,MATCH($B20,Manhole_Register!$A$5:$A$304,0)),IFERROR(INDEX(ERSS_Pit_Register!$AI$5:$AI$304,MATCH($B20,ERSS_Pit_Register!$A$5:$A$304,0)),IFERROR(INDEX(Linkway_Register!$AK$5:$AK$304,MATCH($B20,Linkway_Register!$A$5:$A$304,0)),IFERROR(INDEX(Other_Register!$AA$5:$AA$304,MATCH($B20,Other_Register!$A$5:$A$304,0)),0))))))))/1000)</f>
        <v/>
      </c>
      <c r="P20" s="20" t="str">
        <f aca="false">IF(OR($B20="",$D20=""),"",$D20*N(IFERROR(INDEX(Drain_Register!$AJ$5:$AJ$304,MATCH($B20,Drain_Register!$A$5:$A$304,0)),IFERROR(INDEX(RW_Register!$AP$5:$AP$304,MATCH($B20,RW_Register!$A$5:$A$304,0)),IFERROR(INDEX(Embedded_Wall_Register!$AM$5:$AM$304,MATCH($B20,Embedded_Wall_Register!$A$5:$A$304,0)),IFERROR(INDEX(Manhole_Register!$AP$5:$AP$304,MATCH($B20,Manhole_Register!$A$5:$A$304,0)),IFERROR(INDEX(ERSS_Pit_Register!$AJ$5:$AJ$304,MATCH($B20,ERSS_Pit_Register!$A$5:$A$304,0)),IFERROR(INDEX(Linkway_Register!$AL$5:$AL$304,MATCH($B20,Linkway_Register!$A$5:$A$304,0)),IFERROR(INDEX(Other_Register!$AB$5:$AB$304,MATCH($B20,Other_Register!$A$5:$A$304,0)),0))))))))/1000)</f>
        <v/>
      </c>
      <c r="Q20" s="19" t="str">
        <f aca="false">IF(OR($B20="",$D20=""),"",$D20*N(IFERROR(INDEX(Drain_Register!$AK$5:$AK$304,MATCH($B20,Drain_Register!$A$5:$A$304,0)),IFERROR(INDEX(RW_Register!$AQ$5:$AQ$304,MATCH($B20,RW_Register!$A$5:$A$304,0)),IFERROR(INDEX(Embedded_Wall_Register!$AN$5:$AN$304,MATCH($B20,Embedded_Wall_Register!$A$5:$A$304,0)),IFERROR(INDEX(Manhole_Register!$AQ$5:$AQ$304,MATCH($B20,Manhole_Register!$A$5:$A$304,0)),IFERROR(INDEX(ERSS_Pit_Register!$AK$5:$AK$304,MATCH($B20,ERSS_Pit_Register!$A$5:$A$304,0)),IFERROR(INDEX(Linkway_Register!$AM$5:$AM$304,MATCH($B20,Linkway_Register!$A$5:$A$304,0)),IFERROR(INDEX(Other_Register!$AC$5:$AC$304,MATCH($B20,Other_Register!$A$5:$A$304,0)),0)))))))))</f>
        <v/>
      </c>
      <c r="R20" s="19" t="str">
        <f aca="false">IF(OR($B20="",$D20=""),"",$D20*N(IFERROR(INDEX(Drain_Register!$AL$5:$AL$304,MATCH($B20,Drain_Register!$A$5:$A$304,0)),IFERROR(INDEX(RW_Register!$AR$5:$AR$304,MATCH($B20,RW_Register!$A$5:$A$304,0)),IFERROR(INDEX(Embedded_Wall_Register!$AO$5:$AO$304,MATCH($B20,Embedded_Wall_Register!$A$5:$A$304,0)),IFERROR(INDEX(Manhole_Register!$AR$5:$AR$304,MATCH($B20,Manhole_Register!$A$5:$A$304,0)),IFERROR(INDEX(ERSS_Pit_Register!$AL$5:$AL$304,MATCH($B20,ERSS_Pit_Register!$A$5:$A$304,0)),IFERROR(INDEX(Linkway_Register!$AN$5:$AN$304,MATCH($B20,Linkway_Register!$A$5:$A$304,0)),IFERROR(INDEX(Other_Register!$AD$5:$AD$304,MATCH($B20,Other_Register!$A$5:$A$304,0)),0)))))))))</f>
        <v/>
      </c>
      <c r="S20" s="10" t="str">
        <f aca="false">IF($B20="","",IF(G20="","ID not found",IF(J20&lt;&gt;"Approved","WARNING: status is "&amp;J20,IF(IFERROR(INDEX(Drain_Register!$AV$5:$AV$304,MATCH($B20,Drain_Register!$A$5:$A$304,0)),IFERROR(INDEX(RW_Register!$BA$5:$BA$304,MATCH($B20,RW_Register!$A$5:$A$304,0)),IFERROR(INDEX(Embedded_Wall_Register!$AX$5:$AX$304,MATCH($B20,Embedded_Wall_Register!$A$5:$A$304,0)),IFERROR(INDEX(Manhole_Register!$AZ$5:$AZ$304,MATCH($B20,Manhole_Register!$A$5:$A$304,0)),IFERROR(INDEX(ERSS_Pit_Register!$AU$5:$AU$304,MATCH($B20,ERSS_Pit_Register!$A$5:$A$304,0)),IFERROR(INDEX(Linkway_Register!$AV$5:$AV$304,MATCH($B20,Linkway_Register!$A$5:$A$304,0)),IFERROR(INDEX(Other_Register!$AL$5:$AL$304,MATCH($B20,Other_Register!$A$5:$A$304,0)),"")))))))="N","WARNING: fails SG compliance check",IF(D20="","Enter length / qty",IF(E20="","Enter CAD sheet no.","OK"))))))</f>
        <v/>
      </c>
    </row>
    <row r="21" customFormat="false" ht="15" hidden="false" customHeight="false" outlineLevel="0" collapsed="false">
      <c r="A21" s="9"/>
      <c r="B21" s="9"/>
      <c r="C21" s="9"/>
      <c r="D21" s="9"/>
      <c r="E21" s="9"/>
      <c r="F21" s="10" t="str">
        <f aca="false">IF($B21="","",IFERROR(INDEX(Drain_Register!$AG$5:$AG$304,MATCH($B21,Drain_Register!$A$5:$A$304,0)),IFERROR(INDEX(RW_Register!$AM$5:$AM$304,MATCH($B21,RW_Register!$A$5:$A$304,0)),IFERROR(INDEX(Embedded_Wall_Register!$AJ$5:$AJ$304,MATCH($B21,Embedded_Wall_Register!$A$5:$A$304,0)),IFERROR(INDEX(Manhole_Register!$AM$5:$AM$304,MATCH($B21,Manhole_Register!$A$5:$A$304,0)),IFERROR(INDEX(ERSS_Pit_Register!$AG$5:$AG$304,MATCH($B21,ERSS_Pit_Register!$A$5:$A$304,0)),IFERROR(INDEX(Linkway_Register!$AI$5:$AI$304,MATCH($B21,Linkway_Register!$A$5:$A$304,0)),IFERROR(INDEX(Other_Register!$Y$5:$Y$304,MATCH($B21,Other_Register!$A$5:$A$304,0)),""))))))))</f>
        <v/>
      </c>
      <c r="G21" s="10" t="str">
        <f aca="false">IF($B21="","",IF(ISNUMBER(MATCH($B21,Drain_Register!$A$5:$A$304,0)),"Drain",IF(ISNUMBER(MATCH($B21,RW_Register!$A$5:$A$304,0)),"Ret. Wall",IF(ISNUMBER(MATCH($B21,Embedded_Wall_Register!$A$5:$A$304,0)),"Embedded Wall",IF(ISNUMBER(MATCH($B21,Manhole_Register!$A$5:$A$304,0)),"Manhole",IF(ISNUMBER(MATCH($B21,ERSS_Pit_Register!$A$5:$A$304,0)),"ERSS Pit",IF(ISNUMBER(MATCH($B21,Linkway_Register!$A$5:$A$304,0)),"Linkway",IF(ISNUMBER(MATCH($B21,Other_Register!$A$5:$A$304,0)),"Others",""))))))))</f>
        <v/>
      </c>
      <c r="H21" s="10" t="str">
        <f aca="false">IF($B21="","",IFERROR(INDEX(Drain_Register!$B$5:$B$304,MATCH($B21,Drain_Register!$A$5:$A$304,0)),IFERROR(INDEX(RW_Register!$B$5:$B$304,MATCH($B21,RW_Register!$A$5:$A$304,0)),IFERROR(INDEX(Embedded_Wall_Register!$B$5:$B$304,MATCH($B21,Embedded_Wall_Register!$A$5:$A$304,0)),IFERROR(INDEX(Manhole_Register!$B$5:$B$304,MATCH($B21,Manhole_Register!$A$5:$A$304,0)),IFERROR(INDEX(ERSS_Pit_Register!$B$5:$B$304,MATCH($B21,ERSS_Pit_Register!$A$5:$A$304,0)),IFERROR(INDEX(Linkway_Register!$B$5:$B$304,MATCH($B21,Linkway_Register!$A$5:$A$304,0)),IFERROR(INDEX(Other_Register!$B$5:$B$304,MATCH($B21,Other_Register!$A$5:$A$304,0)),"ID not found - check spelling"))))))))</f>
        <v/>
      </c>
      <c r="I21" s="10" t="str">
        <f aca="false">IF($B21="","",IFERROR(INDEX(Drain_Register!$U$5:$U$304,MATCH($B21,Drain_Register!$A$5:$A$304,0)),IFERROR(INDEX(RW_Register!$AA$5:$AA$304,MATCH($B21,RW_Register!$A$5:$A$304,0)),IFERROR(INDEX(Embedded_Wall_Register!$X$5:$X$304,MATCH($B21,Embedded_Wall_Register!$A$5:$A$304,0)),IFERROR(INDEX(Manhole_Register!$AA$5:$AA$304,MATCH($B21,Manhole_Register!$A$5:$A$304,0)),IFERROR(INDEX(ERSS_Pit_Register!$U$5:$U$304,MATCH($B21,ERSS_Pit_Register!$A$5:$A$304,0)),IFERROR(INDEX(Linkway_Register!$W$5:$W$304,MATCH($B21,Linkway_Register!$A$5:$A$304,0)),IFERROR(INDEX(Other_Register!$M$5:$M$304,MATCH($B21,Other_Register!$A$5:$A$304,0)),""))))))))</f>
        <v/>
      </c>
      <c r="J21" s="10" t="str">
        <f aca="false">IF($B21="","",IFERROR(INDEX(Drain_Register!$V$5:$V$304,MATCH($B21,Drain_Register!$A$5:$A$304,0)),IFERROR(INDEX(RW_Register!$AB$5:$AB$304,MATCH($B21,RW_Register!$A$5:$A$304,0)),IFERROR(INDEX(Embedded_Wall_Register!$Y$5:$Y$304,MATCH($B21,Embedded_Wall_Register!$A$5:$A$304,0)),IFERROR(INDEX(Manhole_Register!$AB$5:$AB$304,MATCH($B21,Manhole_Register!$A$5:$A$304,0)),IFERROR(INDEX(ERSS_Pit_Register!$V$5:$V$304,MATCH($B21,ERSS_Pit_Register!$A$5:$A$304,0)),IFERROR(INDEX(Linkway_Register!$X$5:$X$304,MATCH($B21,Linkway_Register!$A$5:$A$304,0)),IFERROR(INDEX(Other_Register!$N$5:$N$304,MATCH($B21,Other_Register!$A$5:$A$304,0)),""))))))))</f>
        <v/>
      </c>
      <c r="K21" s="10" t="str">
        <f aca="false">IF($B21="","",IFERROR(INDEX(Drain_Register!$W$5:$W$304,MATCH($B21,Drain_Register!$A$5:$A$304,0)),IFERROR(INDEX(RW_Register!$AC$5:$AC$304,MATCH($B21,RW_Register!$A$5:$A$304,0)),IFERROR(INDEX(Embedded_Wall_Register!$Z$5:$Z$304,MATCH($B21,Embedded_Wall_Register!$A$5:$A$304,0)),IFERROR(INDEX(Manhole_Register!$AC$5:$AC$304,MATCH($B21,Manhole_Register!$A$5:$A$304,0)),IFERROR(INDEX(ERSS_Pit_Register!$W$5:$W$304,MATCH($B21,ERSS_Pit_Register!$A$5:$A$304,0)),IFERROR(INDEX(Linkway_Register!$Y$5:$Y$304,MATCH($B21,Linkway_Register!$A$5:$A$304,0)),IFERROR(INDEX(Other_Register!$O$5:$O$304,MATCH($B21,Other_Register!$A$5:$A$304,0)),""))))))))</f>
        <v/>
      </c>
      <c r="L21" s="10" t="str">
        <f aca="false">IF($B21="","",IFERROR(INDEX(Drain_Register!$X$5:$X$304,MATCH($B21,Drain_Register!$A$5:$A$304,0)),IFERROR(INDEX(RW_Register!$AD$5:$AD$304,MATCH($B21,RW_Register!$A$5:$A$304,0)),IFERROR(INDEX(Embedded_Wall_Register!$AA$5:$AA$304,MATCH($B21,Embedded_Wall_Register!$A$5:$A$304,0)),IFERROR(INDEX(Manhole_Register!$AD$5:$AD$304,MATCH($B21,Manhole_Register!$A$5:$A$304,0)),IFERROR(INDEX(ERSS_Pit_Register!$X$5:$X$304,MATCH($B21,ERSS_Pit_Register!$A$5:$A$304,0)),IFERROR(INDEX(Linkway_Register!$Z$5:$Z$304,MATCH($B21,Linkway_Register!$A$5:$A$304,0)),IFERROR(INDEX(Other_Register!$P$5:$P$304,MATCH($B21,Other_Register!$A$5:$A$304,0)),""))))))))</f>
        <v/>
      </c>
      <c r="M21" s="10" t="str">
        <f aca="false">IF($B21="","",IFERROR(INDEX(Drain_Register!$Z$5:$Z$304,MATCH($B21,Drain_Register!$A$5:$A$304,0)),IFERROR(INDEX(RW_Register!$AF$5:$AF$304,MATCH($B21,RW_Register!$A$5:$A$304,0)),IFERROR(INDEX(Embedded_Wall_Register!$AC$5:$AC$304,MATCH($B21,Embedded_Wall_Register!$A$5:$A$304,0)),IFERROR(INDEX(Manhole_Register!$AF$5:$AF$304,MATCH($B21,Manhole_Register!$A$5:$A$304,0)),IFERROR(INDEX(ERSS_Pit_Register!$Z$5:$Z$304,MATCH($B21,ERSS_Pit_Register!$A$5:$A$304,0)),IFERROR(INDEX(Linkway_Register!$AB$5:$AB$304,MATCH($B21,Linkway_Register!$A$5:$A$304,0)),IFERROR(INDEX(Other_Register!$R$5:$R$304,MATCH($B21,Other_Register!$A$5:$A$304,0)),"")))))))&amp;IFERROR(INDEX(Drain_Register!$AA$5:$AA$304,MATCH($B21,Drain_Register!$A$5:$A$304,0)),IFERROR(INDEX(RW_Register!$AG$5:$AG$304,MATCH($B21,RW_Register!$A$5:$A$304,0)),IFERROR(INDEX(Embedded_Wall_Register!$AD$5:$AD$304,MATCH($B21,Embedded_Wall_Register!$A$5:$A$304,0)),IFERROR(INDEX(Manhole_Register!$AG$5:$AG$304,MATCH($B21,Manhole_Register!$A$5:$A$304,0)),IFERROR(INDEX(ERSS_Pit_Register!$AA$5:$AA$304,MATCH($B21,ERSS_Pit_Register!$A$5:$A$304,0)),IFERROR(INDEX(Linkway_Register!$AC$5:$AC$304,MATCH($B21,Linkway_Register!$A$5:$A$304,0)),IFERROR(INDEX(Other_Register!$S$5:$S$304,MATCH($B21,Other_Register!$A$5:$A$304,0)),""))))))))</f>
        <v/>
      </c>
      <c r="N21" s="19" t="str">
        <f aca="false">IF(OR($B21="",$D21=""),"",$D21*N(IFERROR(INDEX(Drain_Register!$AH$5:$AH$304,MATCH($B21,Drain_Register!$A$5:$A$304,0)),IFERROR(INDEX(RW_Register!$AN$5:$AN$304,MATCH($B21,RW_Register!$A$5:$A$304,0)),IFERROR(INDEX(Embedded_Wall_Register!$AK$5:$AK$304,MATCH($B21,Embedded_Wall_Register!$A$5:$A$304,0)),IFERROR(INDEX(Manhole_Register!$AN$5:$AN$304,MATCH($B21,Manhole_Register!$A$5:$A$304,0)),IFERROR(INDEX(ERSS_Pit_Register!$AH$5:$AH$304,MATCH($B21,ERSS_Pit_Register!$A$5:$A$304,0)),IFERROR(INDEX(Linkway_Register!$AJ$5:$AJ$304,MATCH($B21,Linkway_Register!$A$5:$A$304,0)),IFERROR(INDEX(Other_Register!$Z$5:$Z$304,MATCH($B21,Other_Register!$A$5:$A$304,0)),0)))))))))</f>
        <v/>
      </c>
      <c r="O21" s="20" t="str">
        <f aca="false">IF(OR($B21="",$D21=""),"",$D21*N(IFERROR(INDEX(Drain_Register!$AI$5:$AI$304,MATCH($B21,Drain_Register!$A$5:$A$304,0)),IFERROR(INDEX(RW_Register!$AO$5:$AO$304,MATCH($B21,RW_Register!$A$5:$A$304,0)),IFERROR(INDEX(Embedded_Wall_Register!$AL$5:$AL$304,MATCH($B21,Embedded_Wall_Register!$A$5:$A$304,0)),IFERROR(INDEX(Manhole_Register!$AO$5:$AO$304,MATCH($B21,Manhole_Register!$A$5:$A$304,0)),IFERROR(INDEX(ERSS_Pit_Register!$AI$5:$AI$304,MATCH($B21,ERSS_Pit_Register!$A$5:$A$304,0)),IFERROR(INDEX(Linkway_Register!$AK$5:$AK$304,MATCH($B21,Linkway_Register!$A$5:$A$304,0)),IFERROR(INDEX(Other_Register!$AA$5:$AA$304,MATCH($B21,Other_Register!$A$5:$A$304,0)),0))))))))/1000)</f>
        <v/>
      </c>
      <c r="P21" s="20" t="str">
        <f aca="false">IF(OR($B21="",$D21=""),"",$D21*N(IFERROR(INDEX(Drain_Register!$AJ$5:$AJ$304,MATCH($B21,Drain_Register!$A$5:$A$304,0)),IFERROR(INDEX(RW_Register!$AP$5:$AP$304,MATCH($B21,RW_Register!$A$5:$A$304,0)),IFERROR(INDEX(Embedded_Wall_Register!$AM$5:$AM$304,MATCH($B21,Embedded_Wall_Register!$A$5:$A$304,0)),IFERROR(INDEX(Manhole_Register!$AP$5:$AP$304,MATCH($B21,Manhole_Register!$A$5:$A$304,0)),IFERROR(INDEX(ERSS_Pit_Register!$AJ$5:$AJ$304,MATCH($B21,ERSS_Pit_Register!$A$5:$A$304,0)),IFERROR(INDEX(Linkway_Register!$AL$5:$AL$304,MATCH($B21,Linkway_Register!$A$5:$A$304,0)),IFERROR(INDEX(Other_Register!$AB$5:$AB$304,MATCH($B21,Other_Register!$A$5:$A$304,0)),0))))))))/1000)</f>
        <v/>
      </c>
      <c r="Q21" s="19" t="str">
        <f aca="false">IF(OR($B21="",$D21=""),"",$D21*N(IFERROR(INDEX(Drain_Register!$AK$5:$AK$304,MATCH($B21,Drain_Register!$A$5:$A$304,0)),IFERROR(INDEX(RW_Register!$AQ$5:$AQ$304,MATCH($B21,RW_Register!$A$5:$A$304,0)),IFERROR(INDEX(Embedded_Wall_Register!$AN$5:$AN$304,MATCH($B21,Embedded_Wall_Register!$A$5:$A$304,0)),IFERROR(INDEX(Manhole_Register!$AQ$5:$AQ$304,MATCH($B21,Manhole_Register!$A$5:$A$304,0)),IFERROR(INDEX(ERSS_Pit_Register!$AK$5:$AK$304,MATCH($B21,ERSS_Pit_Register!$A$5:$A$304,0)),IFERROR(INDEX(Linkway_Register!$AM$5:$AM$304,MATCH($B21,Linkway_Register!$A$5:$A$304,0)),IFERROR(INDEX(Other_Register!$AC$5:$AC$304,MATCH($B21,Other_Register!$A$5:$A$304,0)),0)))))))))</f>
        <v/>
      </c>
      <c r="R21" s="19" t="str">
        <f aca="false">IF(OR($B21="",$D21=""),"",$D21*N(IFERROR(INDEX(Drain_Register!$AL$5:$AL$304,MATCH($B21,Drain_Register!$A$5:$A$304,0)),IFERROR(INDEX(RW_Register!$AR$5:$AR$304,MATCH($B21,RW_Register!$A$5:$A$304,0)),IFERROR(INDEX(Embedded_Wall_Register!$AO$5:$AO$304,MATCH($B21,Embedded_Wall_Register!$A$5:$A$304,0)),IFERROR(INDEX(Manhole_Register!$AR$5:$AR$304,MATCH($B21,Manhole_Register!$A$5:$A$304,0)),IFERROR(INDEX(ERSS_Pit_Register!$AL$5:$AL$304,MATCH($B21,ERSS_Pit_Register!$A$5:$A$304,0)),IFERROR(INDEX(Linkway_Register!$AN$5:$AN$304,MATCH($B21,Linkway_Register!$A$5:$A$304,0)),IFERROR(INDEX(Other_Register!$AD$5:$AD$304,MATCH($B21,Other_Register!$A$5:$A$304,0)),0)))))))))</f>
        <v/>
      </c>
      <c r="S21" s="10" t="str">
        <f aca="false">IF($B21="","",IF(G21="","ID not found",IF(J21&lt;&gt;"Approved","WARNING: status is "&amp;J21,IF(IFERROR(INDEX(Drain_Register!$AV$5:$AV$304,MATCH($B21,Drain_Register!$A$5:$A$304,0)),IFERROR(INDEX(RW_Register!$BA$5:$BA$304,MATCH($B21,RW_Register!$A$5:$A$304,0)),IFERROR(INDEX(Embedded_Wall_Register!$AX$5:$AX$304,MATCH($B21,Embedded_Wall_Register!$A$5:$A$304,0)),IFERROR(INDEX(Manhole_Register!$AZ$5:$AZ$304,MATCH($B21,Manhole_Register!$A$5:$A$304,0)),IFERROR(INDEX(ERSS_Pit_Register!$AU$5:$AU$304,MATCH($B21,ERSS_Pit_Register!$A$5:$A$304,0)),IFERROR(INDEX(Linkway_Register!$AV$5:$AV$304,MATCH($B21,Linkway_Register!$A$5:$A$304,0)),IFERROR(INDEX(Other_Register!$AL$5:$AL$304,MATCH($B21,Other_Register!$A$5:$A$304,0)),"")))))))="N","WARNING: fails SG compliance check",IF(D21="","Enter length / qty",IF(E21="","Enter CAD sheet no.","OK"))))))</f>
        <v/>
      </c>
    </row>
    <row r="22" customFormat="false" ht="15" hidden="false" customHeight="false" outlineLevel="0" collapsed="false">
      <c r="A22" s="9"/>
      <c r="B22" s="9"/>
      <c r="C22" s="9"/>
      <c r="D22" s="9"/>
      <c r="E22" s="9"/>
      <c r="F22" s="10" t="str">
        <f aca="false">IF($B22="","",IFERROR(INDEX(Drain_Register!$AG$5:$AG$304,MATCH($B22,Drain_Register!$A$5:$A$304,0)),IFERROR(INDEX(RW_Register!$AM$5:$AM$304,MATCH($B22,RW_Register!$A$5:$A$304,0)),IFERROR(INDEX(Embedded_Wall_Register!$AJ$5:$AJ$304,MATCH($B22,Embedded_Wall_Register!$A$5:$A$304,0)),IFERROR(INDEX(Manhole_Register!$AM$5:$AM$304,MATCH($B22,Manhole_Register!$A$5:$A$304,0)),IFERROR(INDEX(ERSS_Pit_Register!$AG$5:$AG$304,MATCH($B22,ERSS_Pit_Register!$A$5:$A$304,0)),IFERROR(INDEX(Linkway_Register!$AI$5:$AI$304,MATCH($B22,Linkway_Register!$A$5:$A$304,0)),IFERROR(INDEX(Other_Register!$Y$5:$Y$304,MATCH($B22,Other_Register!$A$5:$A$304,0)),""))))))))</f>
        <v/>
      </c>
      <c r="G22" s="10" t="str">
        <f aca="false">IF($B22="","",IF(ISNUMBER(MATCH($B22,Drain_Register!$A$5:$A$304,0)),"Drain",IF(ISNUMBER(MATCH($B22,RW_Register!$A$5:$A$304,0)),"Ret. Wall",IF(ISNUMBER(MATCH($B22,Embedded_Wall_Register!$A$5:$A$304,0)),"Embedded Wall",IF(ISNUMBER(MATCH($B22,Manhole_Register!$A$5:$A$304,0)),"Manhole",IF(ISNUMBER(MATCH($B22,ERSS_Pit_Register!$A$5:$A$304,0)),"ERSS Pit",IF(ISNUMBER(MATCH($B22,Linkway_Register!$A$5:$A$304,0)),"Linkway",IF(ISNUMBER(MATCH($B22,Other_Register!$A$5:$A$304,0)),"Others",""))))))))</f>
        <v/>
      </c>
      <c r="H22" s="10" t="str">
        <f aca="false">IF($B22="","",IFERROR(INDEX(Drain_Register!$B$5:$B$304,MATCH($B22,Drain_Register!$A$5:$A$304,0)),IFERROR(INDEX(RW_Register!$B$5:$B$304,MATCH($B22,RW_Register!$A$5:$A$304,0)),IFERROR(INDEX(Embedded_Wall_Register!$B$5:$B$304,MATCH($B22,Embedded_Wall_Register!$A$5:$A$304,0)),IFERROR(INDEX(Manhole_Register!$B$5:$B$304,MATCH($B22,Manhole_Register!$A$5:$A$304,0)),IFERROR(INDEX(ERSS_Pit_Register!$B$5:$B$304,MATCH($B22,ERSS_Pit_Register!$A$5:$A$304,0)),IFERROR(INDEX(Linkway_Register!$B$5:$B$304,MATCH($B22,Linkway_Register!$A$5:$A$304,0)),IFERROR(INDEX(Other_Register!$B$5:$B$304,MATCH($B22,Other_Register!$A$5:$A$304,0)),"ID not found - check spelling"))))))))</f>
        <v/>
      </c>
      <c r="I22" s="10" t="str">
        <f aca="false">IF($B22="","",IFERROR(INDEX(Drain_Register!$U$5:$U$304,MATCH($B22,Drain_Register!$A$5:$A$304,0)),IFERROR(INDEX(RW_Register!$AA$5:$AA$304,MATCH($B22,RW_Register!$A$5:$A$304,0)),IFERROR(INDEX(Embedded_Wall_Register!$X$5:$X$304,MATCH($B22,Embedded_Wall_Register!$A$5:$A$304,0)),IFERROR(INDEX(Manhole_Register!$AA$5:$AA$304,MATCH($B22,Manhole_Register!$A$5:$A$304,0)),IFERROR(INDEX(ERSS_Pit_Register!$U$5:$U$304,MATCH($B22,ERSS_Pit_Register!$A$5:$A$304,0)),IFERROR(INDEX(Linkway_Register!$W$5:$W$304,MATCH($B22,Linkway_Register!$A$5:$A$304,0)),IFERROR(INDEX(Other_Register!$M$5:$M$304,MATCH($B22,Other_Register!$A$5:$A$304,0)),""))))))))</f>
        <v/>
      </c>
      <c r="J22" s="10" t="str">
        <f aca="false">IF($B22="","",IFERROR(INDEX(Drain_Register!$V$5:$V$304,MATCH($B22,Drain_Register!$A$5:$A$304,0)),IFERROR(INDEX(RW_Register!$AB$5:$AB$304,MATCH($B22,RW_Register!$A$5:$A$304,0)),IFERROR(INDEX(Embedded_Wall_Register!$Y$5:$Y$304,MATCH($B22,Embedded_Wall_Register!$A$5:$A$304,0)),IFERROR(INDEX(Manhole_Register!$AB$5:$AB$304,MATCH($B22,Manhole_Register!$A$5:$A$304,0)),IFERROR(INDEX(ERSS_Pit_Register!$V$5:$V$304,MATCH($B22,ERSS_Pit_Register!$A$5:$A$304,0)),IFERROR(INDEX(Linkway_Register!$X$5:$X$304,MATCH($B22,Linkway_Register!$A$5:$A$304,0)),IFERROR(INDEX(Other_Register!$N$5:$N$304,MATCH($B22,Other_Register!$A$5:$A$304,0)),""))))))))</f>
        <v/>
      </c>
      <c r="K22" s="10" t="str">
        <f aca="false">IF($B22="","",IFERROR(INDEX(Drain_Register!$W$5:$W$304,MATCH($B22,Drain_Register!$A$5:$A$304,0)),IFERROR(INDEX(RW_Register!$AC$5:$AC$304,MATCH($B22,RW_Register!$A$5:$A$304,0)),IFERROR(INDEX(Embedded_Wall_Register!$Z$5:$Z$304,MATCH($B22,Embedded_Wall_Register!$A$5:$A$304,0)),IFERROR(INDEX(Manhole_Register!$AC$5:$AC$304,MATCH($B22,Manhole_Register!$A$5:$A$304,0)),IFERROR(INDEX(ERSS_Pit_Register!$W$5:$W$304,MATCH($B22,ERSS_Pit_Register!$A$5:$A$304,0)),IFERROR(INDEX(Linkway_Register!$Y$5:$Y$304,MATCH($B22,Linkway_Register!$A$5:$A$304,0)),IFERROR(INDEX(Other_Register!$O$5:$O$304,MATCH($B22,Other_Register!$A$5:$A$304,0)),""))))))))</f>
        <v/>
      </c>
      <c r="L22" s="10" t="str">
        <f aca="false">IF($B22="","",IFERROR(INDEX(Drain_Register!$X$5:$X$304,MATCH($B22,Drain_Register!$A$5:$A$304,0)),IFERROR(INDEX(RW_Register!$AD$5:$AD$304,MATCH($B22,RW_Register!$A$5:$A$304,0)),IFERROR(INDEX(Embedded_Wall_Register!$AA$5:$AA$304,MATCH($B22,Embedded_Wall_Register!$A$5:$A$304,0)),IFERROR(INDEX(Manhole_Register!$AD$5:$AD$304,MATCH($B22,Manhole_Register!$A$5:$A$304,0)),IFERROR(INDEX(ERSS_Pit_Register!$X$5:$X$304,MATCH($B22,ERSS_Pit_Register!$A$5:$A$304,0)),IFERROR(INDEX(Linkway_Register!$Z$5:$Z$304,MATCH($B22,Linkway_Register!$A$5:$A$304,0)),IFERROR(INDEX(Other_Register!$P$5:$P$304,MATCH($B22,Other_Register!$A$5:$A$304,0)),""))))))))</f>
        <v/>
      </c>
      <c r="M22" s="10" t="str">
        <f aca="false">IF($B22="","",IFERROR(INDEX(Drain_Register!$Z$5:$Z$304,MATCH($B22,Drain_Register!$A$5:$A$304,0)),IFERROR(INDEX(RW_Register!$AF$5:$AF$304,MATCH($B22,RW_Register!$A$5:$A$304,0)),IFERROR(INDEX(Embedded_Wall_Register!$AC$5:$AC$304,MATCH($B22,Embedded_Wall_Register!$A$5:$A$304,0)),IFERROR(INDEX(Manhole_Register!$AF$5:$AF$304,MATCH($B22,Manhole_Register!$A$5:$A$304,0)),IFERROR(INDEX(ERSS_Pit_Register!$Z$5:$Z$304,MATCH($B22,ERSS_Pit_Register!$A$5:$A$304,0)),IFERROR(INDEX(Linkway_Register!$AB$5:$AB$304,MATCH($B22,Linkway_Register!$A$5:$A$304,0)),IFERROR(INDEX(Other_Register!$R$5:$R$304,MATCH($B22,Other_Register!$A$5:$A$304,0)),"")))))))&amp;IFERROR(INDEX(Drain_Register!$AA$5:$AA$304,MATCH($B22,Drain_Register!$A$5:$A$304,0)),IFERROR(INDEX(RW_Register!$AG$5:$AG$304,MATCH($B22,RW_Register!$A$5:$A$304,0)),IFERROR(INDEX(Embedded_Wall_Register!$AD$5:$AD$304,MATCH($B22,Embedded_Wall_Register!$A$5:$A$304,0)),IFERROR(INDEX(Manhole_Register!$AG$5:$AG$304,MATCH($B22,Manhole_Register!$A$5:$A$304,0)),IFERROR(INDEX(ERSS_Pit_Register!$AA$5:$AA$304,MATCH($B22,ERSS_Pit_Register!$A$5:$A$304,0)),IFERROR(INDEX(Linkway_Register!$AC$5:$AC$304,MATCH($B22,Linkway_Register!$A$5:$A$304,0)),IFERROR(INDEX(Other_Register!$S$5:$S$304,MATCH($B22,Other_Register!$A$5:$A$304,0)),""))))))))</f>
        <v/>
      </c>
      <c r="N22" s="19" t="str">
        <f aca="false">IF(OR($B22="",$D22=""),"",$D22*N(IFERROR(INDEX(Drain_Register!$AH$5:$AH$304,MATCH($B22,Drain_Register!$A$5:$A$304,0)),IFERROR(INDEX(RW_Register!$AN$5:$AN$304,MATCH($B22,RW_Register!$A$5:$A$304,0)),IFERROR(INDEX(Embedded_Wall_Register!$AK$5:$AK$304,MATCH($B22,Embedded_Wall_Register!$A$5:$A$304,0)),IFERROR(INDEX(Manhole_Register!$AN$5:$AN$304,MATCH($B22,Manhole_Register!$A$5:$A$304,0)),IFERROR(INDEX(ERSS_Pit_Register!$AH$5:$AH$304,MATCH($B22,ERSS_Pit_Register!$A$5:$A$304,0)),IFERROR(INDEX(Linkway_Register!$AJ$5:$AJ$304,MATCH($B22,Linkway_Register!$A$5:$A$304,0)),IFERROR(INDEX(Other_Register!$Z$5:$Z$304,MATCH($B22,Other_Register!$A$5:$A$304,0)),0)))))))))</f>
        <v/>
      </c>
      <c r="O22" s="20" t="str">
        <f aca="false">IF(OR($B22="",$D22=""),"",$D22*N(IFERROR(INDEX(Drain_Register!$AI$5:$AI$304,MATCH($B22,Drain_Register!$A$5:$A$304,0)),IFERROR(INDEX(RW_Register!$AO$5:$AO$304,MATCH($B22,RW_Register!$A$5:$A$304,0)),IFERROR(INDEX(Embedded_Wall_Register!$AL$5:$AL$304,MATCH($B22,Embedded_Wall_Register!$A$5:$A$304,0)),IFERROR(INDEX(Manhole_Register!$AO$5:$AO$304,MATCH($B22,Manhole_Register!$A$5:$A$304,0)),IFERROR(INDEX(ERSS_Pit_Register!$AI$5:$AI$304,MATCH($B22,ERSS_Pit_Register!$A$5:$A$304,0)),IFERROR(INDEX(Linkway_Register!$AK$5:$AK$304,MATCH($B22,Linkway_Register!$A$5:$A$304,0)),IFERROR(INDEX(Other_Register!$AA$5:$AA$304,MATCH($B22,Other_Register!$A$5:$A$304,0)),0))))))))/1000)</f>
        <v/>
      </c>
      <c r="P22" s="20" t="str">
        <f aca="false">IF(OR($B22="",$D22=""),"",$D22*N(IFERROR(INDEX(Drain_Register!$AJ$5:$AJ$304,MATCH($B22,Drain_Register!$A$5:$A$304,0)),IFERROR(INDEX(RW_Register!$AP$5:$AP$304,MATCH($B22,RW_Register!$A$5:$A$304,0)),IFERROR(INDEX(Embedded_Wall_Register!$AM$5:$AM$304,MATCH($B22,Embedded_Wall_Register!$A$5:$A$304,0)),IFERROR(INDEX(Manhole_Register!$AP$5:$AP$304,MATCH($B22,Manhole_Register!$A$5:$A$304,0)),IFERROR(INDEX(ERSS_Pit_Register!$AJ$5:$AJ$304,MATCH($B22,ERSS_Pit_Register!$A$5:$A$304,0)),IFERROR(INDEX(Linkway_Register!$AL$5:$AL$304,MATCH($B22,Linkway_Register!$A$5:$A$304,0)),IFERROR(INDEX(Other_Register!$AB$5:$AB$304,MATCH($B22,Other_Register!$A$5:$A$304,0)),0))))))))/1000)</f>
        <v/>
      </c>
      <c r="Q22" s="19" t="str">
        <f aca="false">IF(OR($B22="",$D22=""),"",$D22*N(IFERROR(INDEX(Drain_Register!$AK$5:$AK$304,MATCH($B22,Drain_Register!$A$5:$A$304,0)),IFERROR(INDEX(RW_Register!$AQ$5:$AQ$304,MATCH($B22,RW_Register!$A$5:$A$304,0)),IFERROR(INDEX(Embedded_Wall_Register!$AN$5:$AN$304,MATCH($B22,Embedded_Wall_Register!$A$5:$A$304,0)),IFERROR(INDEX(Manhole_Register!$AQ$5:$AQ$304,MATCH($B22,Manhole_Register!$A$5:$A$304,0)),IFERROR(INDEX(ERSS_Pit_Register!$AK$5:$AK$304,MATCH($B22,ERSS_Pit_Register!$A$5:$A$304,0)),IFERROR(INDEX(Linkway_Register!$AM$5:$AM$304,MATCH($B22,Linkway_Register!$A$5:$A$304,0)),IFERROR(INDEX(Other_Register!$AC$5:$AC$304,MATCH($B22,Other_Register!$A$5:$A$304,0)),0)))))))))</f>
        <v/>
      </c>
      <c r="R22" s="19" t="str">
        <f aca="false">IF(OR($B22="",$D22=""),"",$D22*N(IFERROR(INDEX(Drain_Register!$AL$5:$AL$304,MATCH($B22,Drain_Register!$A$5:$A$304,0)),IFERROR(INDEX(RW_Register!$AR$5:$AR$304,MATCH($B22,RW_Register!$A$5:$A$304,0)),IFERROR(INDEX(Embedded_Wall_Register!$AO$5:$AO$304,MATCH($B22,Embedded_Wall_Register!$A$5:$A$304,0)),IFERROR(INDEX(Manhole_Register!$AR$5:$AR$304,MATCH($B22,Manhole_Register!$A$5:$A$304,0)),IFERROR(INDEX(ERSS_Pit_Register!$AL$5:$AL$304,MATCH($B22,ERSS_Pit_Register!$A$5:$A$304,0)),IFERROR(INDEX(Linkway_Register!$AN$5:$AN$304,MATCH($B22,Linkway_Register!$A$5:$A$304,0)),IFERROR(INDEX(Other_Register!$AD$5:$AD$304,MATCH($B22,Other_Register!$A$5:$A$304,0)),0)))))))))</f>
        <v/>
      </c>
      <c r="S22" s="10" t="str">
        <f aca="false">IF($B22="","",IF(G22="","ID not found",IF(J22&lt;&gt;"Approved","WARNING: status is "&amp;J22,IF(IFERROR(INDEX(Drain_Register!$AV$5:$AV$304,MATCH($B22,Drain_Register!$A$5:$A$304,0)),IFERROR(INDEX(RW_Register!$BA$5:$BA$304,MATCH($B22,RW_Register!$A$5:$A$304,0)),IFERROR(INDEX(Embedded_Wall_Register!$AX$5:$AX$304,MATCH($B22,Embedded_Wall_Register!$A$5:$A$304,0)),IFERROR(INDEX(Manhole_Register!$AZ$5:$AZ$304,MATCH($B22,Manhole_Register!$A$5:$A$304,0)),IFERROR(INDEX(ERSS_Pit_Register!$AU$5:$AU$304,MATCH($B22,ERSS_Pit_Register!$A$5:$A$304,0)),IFERROR(INDEX(Linkway_Register!$AV$5:$AV$304,MATCH($B22,Linkway_Register!$A$5:$A$304,0)),IFERROR(INDEX(Other_Register!$AL$5:$AL$304,MATCH($B22,Other_Register!$A$5:$A$304,0)),"")))))))="N","WARNING: fails SG compliance check",IF(D22="","Enter length / qty",IF(E22="","Enter CAD sheet no.","OK"))))))</f>
        <v/>
      </c>
    </row>
    <row r="23" customFormat="false" ht="15" hidden="false" customHeight="false" outlineLevel="0" collapsed="false">
      <c r="A23" s="9"/>
      <c r="B23" s="9"/>
      <c r="C23" s="9"/>
      <c r="D23" s="9"/>
      <c r="E23" s="9"/>
      <c r="F23" s="10" t="str">
        <f aca="false">IF($B23="","",IFERROR(INDEX(Drain_Register!$AG$5:$AG$304,MATCH($B23,Drain_Register!$A$5:$A$304,0)),IFERROR(INDEX(RW_Register!$AM$5:$AM$304,MATCH($B23,RW_Register!$A$5:$A$304,0)),IFERROR(INDEX(Embedded_Wall_Register!$AJ$5:$AJ$304,MATCH($B23,Embedded_Wall_Register!$A$5:$A$304,0)),IFERROR(INDEX(Manhole_Register!$AM$5:$AM$304,MATCH($B23,Manhole_Register!$A$5:$A$304,0)),IFERROR(INDEX(ERSS_Pit_Register!$AG$5:$AG$304,MATCH($B23,ERSS_Pit_Register!$A$5:$A$304,0)),IFERROR(INDEX(Linkway_Register!$AI$5:$AI$304,MATCH($B23,Linkway_Register!$A$5:$A$304,0)),IFERROR(INDEX(Other_Register!$Y$5:$Y$304,MATCH($B23,Other_Register!$A$5:$A$304,0)),""))))))))</f>
        <v/>
      </c>
      <c r="G23" s="10" t="str">
        <f aca="false">IF($B23="","",IF(ISNUMBER(MATCH($B23,Drain_Register!$A$5:$A$304,0)),"Drain",IF(ISNUMBER(MATCH($B23,RW_Register!$A$5:$A$304,0)),"Ret. Wall",IF(ISNUMBER(MATCH($B23,Embedded_Wall_Register!$A$5:$A$304,0)),"Embedded Wall",IF(ISNUMBER(MATCH($B23,Manhole_Register!$A$5:$A$304,0)),"Manhole",IF(ISNUMBER(MATCH($B23,ERSS_Pit_Register!$A$5:$A$304,0)),"ERSS Pit",IF(ISNUMBER(MATCH($B23,Linkway_Register!$A$5:$A$304,0)),"Linkway",IF(ISNUMBER(MATCH($B23,Other_Register!$A$5:$A$304,0)),"Others",""))))))))</f>
        <v/>
      </c>
      <c r="H23" s="10" t="str">
        <f aca="false">IF($B23="","",IFERROR(INDEX(Drain_Register!$B$5:$B$304,MATCH($B23,Drain_Register!$A$5:$A$304,0)),IFERROR(INDEX(RW_Register!$B$5:$B$304,MATCH($B23,RW_Register!$A$5:$A$304,0)),IFERROR(INDEX(Embedded_Wall_Register!$B$5:$B$304,MATCH($B23,Embedded_Wall_Register!$A$5:$A$304,0)),IFERROR(INDEX(Manhole_Register!$B$5:$B$304,MATCH($B23,Manhole_Register!$A$5:$A$304,0)),IFERROR(INDEX(ERSS_Pit_Register!$B$5:$B$304,MATCH($B23,ERSS_Pit_Register!$A$5:$A$304,0)),IFERROR(INDEX(Linkway_Register!$B$5:$B$304,MATCH($B23,Linkway_Register!$A$5:$A$304,0)),IFERROR(INDEX(Other_Register!$B$5:$B$304,MATCH($B23,Other_Register!$A$5:$A$304,0)),"ID not found - check spelling"))))))))</f>
        <v/>
      </c>
      <c r="I23" s="10" t="str">
        <f aca="false">IF($B23="","",IFERROR(INDEX(Drain_Register!$U$5:$U$304,MATCH($B23,Drain_Register!$A$5:$A$304,0)),IFERROR(INDEX(RW_Register!$AA$5:$AA$304,MATCH($B23,RW_Register!$A$5:$A$304,0)),IFERROR(INDEX(Embedded_Wall_Register!$X$5:$X$304,MATCH($B23,Embedded_Wall_Register!$A$5:$A$304,0)),IFERROR(INDEX(Manhole_Register!$AA$5:$AA$304,MATCH($B23,Manhole_Register!$A$5:$A$304,0)),IFERROR(INDEX(ERSS_Pit_Register!$U$5:$U$304,MATCH($B23,ERSS_Pit_Register!$A$5:$A$304,0)),IFERROR(INDEX(Linkway_Register!$W$5:$W$304,MATCH($B23,Linkway_Register!$A$5:$A$304,0)),IFERROR(INDEX(Other_Register!$M$5:$M$304,MATCH($B23,Other_Register!$A$5:$A$304,0)),""))))))))</f>
        <v/>
      </c>
      <c r="J23" s="10" t="str">
        <f aca="false">IF($B23="","",IFERROR(INDEX(Drain_Register!$V$5:$V$304,MATCH($B23,Drain_Register!$A$5:$A$304,0)),IFERROR(INDEX(RW_Register!$AB$5:$AB$304,MATCH($B23,RW_Register!$A$5:$A$304,0)),IFERROR(INDEX(Embedded_Wall_Register!$Y$5:$Y$304,MATCH($B23,Embedded_Wall_Register!$A$5:$A$304,0)),IFERROR(INDEX(Manhole_Register!$AB$5:$AB$304,MATCH($B23,Manhole_Register!$A$5:$A$304,0)),IFERROR(INDEX(ERSS_Pit_Register!$V$5:$V$304,MATCH($B23,ERSS_Pit_Register!$A$5:$A$304,0)),IFERROR(INDEX(Linkway_Register!$X$5:$X$304,MATCH($B23,Linkway_Register!$A$5:$A$304,0)),IFERROR(INDEX(Other_Register!$N$5:$N$304,MATCH($B23,Other_Register!$A$5:$A$304,0)),""))))))))</f>
        <v/>
      </c>
      <c r="K23" s="10" t="str">
        <f aca="false">IF($B23="","",IFERROR(INDEX(Drain_Register!$W$5:$W$304,MATCH($B23,Drain_Register!$A$5:$A$304,0)),IFERROR(INDEX(RW_Register!$AC$5:$AC$304,MATCH($B23,RW_Register!$A$5:$A$304,0)),IFERROR(INDEX(Embedded_Wall_Register!$Z$5:$Z$304,MATCH($B23,Embedded_Wall_Register!$A$5:$A$304,0)),IFERROR(INDEX(Manhole_Register!$AC$5:$AC$304,MATCH($B23,Manhole_Register!$A$5:$A$304,0)),IFERROR(INDEX(ERSS_Pit_Register!$W$5:$W$304,MATCH($B23,ERSS_Pit_Register!$A$5:$A$304,0)),IFERROR(INDEX(Linkway_Register!$Y$5:$Y$304,MATCH($B23,Linkway_Register!$A$5:$A$304,0)),IFERROR(INDEX(Other_Register!$O$5:$O$304,MATCH($B23,Other_Register!$A$5:$A$304,0)),""))))))))</f>
        <v/>
      </c>
      <c r="L23" s="10" t="str">
        <f aca="false">IF($B23="","",IFERROR(INDEX(Drain_Register!$X$5:$X$304,MATCH($B23,Drain_Register!$A$5:$A$304,0)),IFERROR(INDEX(RW_Register!$AD$5:$AD$304,MATCH($B23,RW_Register!$A$5:$A$304,0)),IFERROR(INDEX(Embedded_Wall_Register!$AA$5:$AA$304,MATCH($B23,Embedded_Wall_Register!$A$5:$A$304,0)),IFERROR(INDEX(Manhole_Register!$AD$5:$AD$304,MATCH($B23,Manhole_Register!$A$5:$A$304,0)),IFERROR(INDEX(ERSS_Pit_Register!$X$5:$X$304,MATCH($B23,ERSS_Pit_Register!$A$5:$A$304,0)),IFERROR(INDEX(Linkway_Register!$Z$5:$Z$304,MATCH($B23,Linkway_Register!$A$5:$A$304,0)),IFERROR(INDEX(Other_Register!$P$5:$P$304,MATCH($B23,Other_Register!$A$5:$A$304,0)),""))))))))</f>
        <v/>
      </c>
      <c r="M23" s="10" t="str">
        <f aca="false">IF($B23="","",IFERROR(INDEX(Drain_Register!$Z$5:$Z$304,MATCH($B23,Drain_Register!$A$5:$A$304,0)),IFERROR(INDEX(RW_Register!$AF$5:$AF$304,MATCH($B23,RW_Register!$A$5:$A$304,0)),IFERROR(INDEX(Embedded_Wall_Register!$AC$5:$AC$304,MATCH($B23,Embedded_Wall_Register!$A$5:$A$304,0)),IFERROR(INDEX(Manhole_Register!$AF$5:$AF$304,MATCH($B23,Manhole_Register!$A$5:$A$304,0)),IFERROR(INDEX(ERSS_Pit_Register!$Z$5:$Z$304,MATCH($B23,ERSS_Pit_Register!$A$5:$A$304,0)),IFERROR(INDEX(Linkway_Register!$AB$5:$AB$304,MATCH($B23,Linkway_Register!$A$5:$A$304,0)),IFERROR(INDEX(Other_Register!$R$5:$R$304,MATCH($B23,Other_Register!$A$5:$A$304,0)),"")))))))&amp;IFERROR(INDEX(Drain_Register!$AA$5:$AA$304,MATCH($B23,Drain_Register!$A$5:$A$304,0)),IFERROR(INDEX(RW_Register!$AG$5:$AG$304,MATCH($B23,RW_Register!$A$5:$A$304,0)),IFERROR(INDEX(Embedded_Wall_Register!$AD$5:$AD$304,MATCH($B23,Embedded_Wall_Register!$A$5:$A$304,0)),IFERROR(INDEX(Manhole_Register!$AG$5:$AG$304,MATCH($B23,Manhole_Register!$A$5:$A$304,0)),IFERROR(INDEX(ERSS_Pit_Register!$AA$5:$AA$304,MATCH($B23,ERSS_Pit_Register!$A$5:$A$304,0)),IFERROR(INDEX(Linkway_Register!$AC$5:$AC$304,MATCH($B23,Linkway_Register!$A$5:$A$304,0)),IFERROR(INDEX(Other_Register!$S$5:$S$304,MATCH($B23,Other_Register!$A$5:$A$304,0)),""))))))))</f>
        <v/>
      </c>
      <c r="N23" s="19" t="str">
        <f aca="false">IF(OR($B23="",$D23=""),"",$D23*N(IFERROR(INDEX(Drain_Register!$AH$5:$AH$304,MATCH($B23,Drain_Register!$A$5:$A$304,0)),IFERROR(INDEX(RW_Register!$AN$5:$AN$304,MATCH($B23,RW_Register!$A$5:$A$304,0)),IFERROR(INDEX(Embedded_Wall_Register!$AK$5:$AK$304,MATCH($B23,Embedded_Wall_Register!$A$5:$A$304,0)),IFERROR(INDEX(Manhole_Register!$AN$5:$AN$304,MATCH($B23,Manhole_Register!$A$5:$A$304,0)),IFERROR(INDEX(ERSS_Pit_Register!$AH$5:$AH$304,MATCH($B23,ERSS_Pit_Register!$A$5:$A$304,0)),IFERROR(INDEX(Linkway_Register!$AJ$5:$AJ$304,MATCH($B23,Linkway_Register!$A$5:$A$304,0)),IFERROR(INDEX(Other_Register!$Z$5:$Z$304,MATCH($B23,Other_Register!$A$5:$A$304,0)),0)))))))))</f>
        <v/>
      </c>
      <c r="O23" s="20" t="str">
        <f aca="false">IF(OR($B23="",$D23=""),"",$D23*N(IFERROR(INDEX(Drain_Register!$AI$5:$AI$304,MATCH($B23,Drain_Register!$A$5:$A$304,0)),IFERROR(INDEX(RW_Register!$AO$5:$AO$304,MATCH($B23,RW_Register!$A$5:$A$304,0)),IFERROR(INDEX(Embedded_Wall_Register!$AL$5:$AL$304,MATCH($B23,Embedded_Wall_Register!$A$5:$A$304,0)),IFERROR(INDEX(Manhole_Register!$AO$5:$AO$304,MATCH($B23,Manhole_Register!$A$5:$A$304,0)),IFERROR(INDEX(ERSS_Pit_Register!$AI$5:$AI$304,MATCH($B23,ERSS_Pit_Register!$A$5:$A$304,0)),IFERROR(INDEX(Linkway_Register!$AK$5:$AK$304,MATCH($B23,Linkway_Register!$A$5:$A$304,0)),IFERROR(INDEX(Other_Register!$AA$5:$AA$304,MATCH($B23,Other_Register!$A$5:$A$304,0)),0))))))))/1000)</f>
        <v/>
      </c>
      <c r="P23" s="20" t="str">
        <f aca="false">IF(OR($B23="",$D23=""),"",$D23*N(IFERROR(INDEX(Drain_Register!$AJ$5:$AJ$304,MATCH($B23,Drain_Register!$A$5:$A$304,0)),IFERROR(INDEX(RW_Register!$AP$5:$AP$304,MATCH($B23,RW_Register!$A$5:$A$304,0)),IFERROR(INDEX(Embedded_Wall_Register!$AM$5:$AM$304,MATCH($B23,Embedded_Wall_Register!$A$5:$A$304,0)),IFERROR(INDEX(Manhole_Register!$AP$5:$AP$304,MATCH($B23,Manhole_Register!$A$5:$A$304,0)),IFERROR(INDEX(ERSS_Pit_Register!$AJ$5:$AJ$304,MATCH($B23,ERSS_Pit_Register!$A$5:$A$304,0)),IFERROR(INDEX(Linkway_Register!$AL$5:$AL$304,MATCH($B23,Linkway_Register!$A$5:$A$304,0)),IFERROR(INDEX(Other_Register!$AB$5:$AB$304,MATCH($B23,Other_Register!$A$5:$A$304,0)),0))))))))/1000)</f>
        <v/>
      </c>
      <c r="Q23" s="19" t="str">
        <f aca="false">IF(OR($B23="",$D23=""),"",$D23*N(IFERROR(INDEX(Drain_Register!$AK$5:$AK$304,MATCH($B23,Drain_Register!$A$5:$A$304,0)),IFERROR(INDEX(RW_Register!$AQ$5:$AQ$304,MATCH($B23,RW_Register!$A$5:$A$304,0)),IFERROR(INDEX(Embedded_Wall_Register!$AN$5:$AN$304,MATCH($B23,Embedded_Wall_Register!$A$5:$A$304,0)),IFERROR(INDEX(Manhole_Register!$AQ$5:$AQ$304,MATCH($B23,Manhole_Register!$A$5:$A$304,0)),IFERROR(INDEX(ERSS_Pit_Register!$AK$5:$AK$304,MATCH($B23,ERSS_Pit_Register!$A$5:$A$304,0)),IFERROR(INDEX(Linkway_Register!$AM$5:$AM$304,MATCH($B23,Linkway_Register!$A$5:$A$304,0)),IFERROR(INDEX(Other_Register!$AC$5:$AC$304,MATCH($B23,Other_Register!$A$5:$A$304,0)),0)))))))))</f>
        <v/>
      </c>
      <c r="R23" s="19" t="str">
        <f aca="false">IF(OR($B23="",$D23=""),"",$D23*N(IFERROR(INDEX(Drain_Register!$AL$5:$AL$304,MATCH($B23,Drain_Register!$A$5:$A$304,0)),IFERROR(INDEX(RW_Register!$AR$5:$AR$304,MATCH($B23,RW_Register!$A$5:$A$304,0)),IFERROR(INDEX(Embedded_Wall_Register!$AO$5:$AO$304,MATCH($B23,Embedded_Wall_Register!$A$5:$A$304,0)),IFERROR(INDEX(Manhole_Register!$AR$5:$AR$304,MATCH($B23,Manhole_Register!$A$5:$A$304,0)),IFERROR(INDEX(ERSS_Pit_Register!$AL$5:$AL$304,MATCH($B23,ERSS_Pit_Register!$A$5:$A$304,0)),IFERROR(INDEX(Linkway_Register!$AN$5:$AN$304,MATCH($B23,Linkway_Register!$A$5:$A$304,0)),IFERROR(INDEX(Other_Register!$AD$5:$AD$304,MATCH($B23,Other_Register!$A$5:$A$304,0)),0)))))))))</f>
        <v/>
      </c>
      <c r="S23" s="10" t="str">
        <f aca="false">IF($B23="","",IF(G23="","ID not found",IF(J23&lt;&gt;"Approved","WARNING: status is "&amp;J23,IF(IFERROR(INDEX(Drain_Register!$AV$5:$AV$304,MATCH($B23,Drain_Register!$A$5:$A$304,0)),IFERROR(INDEX(RW_Register!$BA$5:$BA$304,MATCH($B23,RW_Register!$A$5:$A$304,0)),IFERROR(INDEX(Embedded_Wall_Register!$AX$5:$AX$304,MATCH($B23,Embedded_Wall_Register!$A$5:$A$304,0)),IFERROR(INDEX(Manhole_Register!$AZ$5:$AZ$304,MATCH($B23,Manhole_Register!$A$5:$A$304,0)),IFERROR(INDEX(ERSS_Pit_Register!$AU$5:$AU$304,MATCH($B23,ERSS_Pit_Register!$A$5:$A$304,0)),IFERROR(INDEX(Linkway_Register!$AV$5:$AV$304,MATCH($B23,Linkway_Register!$A$5:$A$304,0)),IFERROR(INDEX(Other_Register!$AL$5:$AL$304,MATCH($B23,Other_Register!$A$5:$A$304,0)),"")))))))="N","WARNING: fails SG compliance check",IF(D23="","Enter length / qty",IF(E23="","Enter CAD sheet no.","OK"))))))</f>
        <v/>
      </c>
    </row>
    <row r="24" customFormat="false" ht="15" hidden="false" customHeight="false" outlineLevel="0" collapsed="false">
      <c r="A24" s="9"/>
      <c r="B24" s="9"/>
      <c r="C24" s="9"/>
      <c r="D24" s="9"/>
      <c r="E24" s="9"/>
      <c r="F24" s="10" t="str">
        <f aca="false">IF($B24="","",IFERROR(INDEX(Drain_Register!$AG$5:$AG$304,MATCH($B24,Drain_Register!$A$5:$A$304,0)),IFERROR(INDEX(RW_Register!$AM$5:$AM$304,MATCH($B24,RW_Register!$A$5:$A$304,0)),IFERROR(INDEX(Embedded_Wall_Register!$AJ$5:$AJ$304,MATCH($B24,Embedded_Wall_Register!$A$5:$A$304,0)),IFERROR(INDEX(Manhole_Register!$AM$5:$AM$304,MATCH($B24,Manhole_Register!$A$5:$A$304,0)),IFERROR(INDEX(ERSS_Pit_Register!$AG$5:$AG$304,MATCH($B24,ERSS_Pit_Register!$A$5:$A$304,0)),IFERROR(INDEX(Linkway_Register!$AI$5:$AI$304,MATCH($B24,Linkway_Register!$A$5:$A$304,0)),IFERROR(INDEX(Other_Register!$Y$5:$Y$304,MATCH($B24,Other_Register!$A$5:$A$304,0)),""))))))))</f>
        <v/>
      </c>
      <c r="G24" s="10" t="str">
        <f aca="false">IF($B24="","",IF(ISNUMBER(MATCH($B24,Drain_Register!$A$5:$A$304,0)),"Drain",IF(ISNUMBER(MATCH($B24,RW_Register!$A$5:$A$304,0)),"Ret. Wall",IF(ISNUMBER(MATCH($B24,Embedded_Wall_Register!$A$5:$A$304,0)),"Embedded Wall",IF(ISNUMBER(MATCH($B24,Manhole_Register!$A$5:$A$304,0)),"Manhole",IF(ISNUMBER(MATCH($B24,ERSS_Pit_Register!$A$5:$A$304,0)),"ERSS Pit",IF(ISNUMBER(MATCH($B24,Linkway_Register!$A$5:$A$304,0)),"Linkway",IF(ISNUMBER(MATCH($B24,Other_Register!$A$5:$A$304,0)),"Others",""))))))))</f>
        <v/>
      </c>
      <c r="H24" s="10" t="str">
        <f aca="false">IF($B24="","",IFERROR(INDEX(Drain_Register!$B$5:$B$304,MATCH($B24,Drain_Register!$A$5:$A$304,0)),IFERROR(INDEX(RW_Register!$B$5:$B$304,MATCH($B24,RW_Register!$A$5:$A$304,0)),IFERROR(INDEX(Embedded_Wall_Register!$B$5:$B$304,MATCH($B24,Embedded_Wall_Register!$A$5:$A$304,0)),IFERROR(INDEX(Manhole_Register!$B$5:$B$304,MATCH($B24,Manhole_Register!$A$5:$A$304,0)),IFERROR(INDEX(ERSS_Pit_Register!$B$5:$B$304,MATCH($B24,ERSS_Pit_Register!$A$5:$A$304,0)),IFERROR(INDEX(Linkway_Register!$B$5:$B$304,MATCH($B24,Linkway_Register!$A$5:$A$304,0)),IFERROR(INDEX(Other_Register!$B$5:$B$304,MATCH($B24,Other_Register!$A$5:$A$304,0)),"ID not found - check spelling"))))))))</f>
        <v/>
      </c>
      <c r="I24" s="10" t="str">
        <f aca="false">IF($B24="","",IFERROR(INDEX(Drain_Register!$U$5:$U$304,MATCH($B24,Drain_Register!$A$5:$A$304,0)),IFERROR(INDEX(RW_Register!$AA$5:$AA$304,MATCH($B24,RW_Register!$A$5:$A$304,0)),IFERROR(INDEX(Embedded_Wall_Register!$X$5:$X$304,MATCH($B24,Embedded_Wall_Register!$A$5:$A$304,0)),IFERROR(INDEX(Manhole_Register!$AA$5:$AA$304,MATCH($B24,Manhole_Register!$A$5:$A$304,0)),IFERROR(INDEX(ERSS_Pit_Register!$U$5:$U$304,MATCH($B24,ERSS_Pit_Register!$A$5:$A$304,0)),IFERROR(INDEX(Linkway_Register!$W$5:$W$304,MATCH($B24,Linkway_Register!$A$5:$A$304,0)),IFERROR(INDEX(Other_Register!$M$5:$M$304,MATCH($B24,Other_Register!$A$5:$A$304,0)),""))))))))</f>
        <v/>
      </c>
      <c r="J24" s="10" t="str">
        <f aca="false">IF($B24="","",IFERROR(INDEX(Drain_Register!$V$5:$V$304,MATCH($B24,Drain_Register!$A$5:$A$304,0)),IFERROR(INDEX(RW_Register!$AB$5:$AB$304,MATCH($B24,RW_Register!$A$5:$A$304,0)),IFERROR(INDEX(Embedded_Wall_Register!$Y$5:$Y$304,MATCH($B24,Embedded_Wall_Register!$A$5:$A$304,0)),IFERROR(INDEX(Manhole_Register!$AB$5:$AB$304,MATCH($B24,Manhole_Register!$A$5:$A$304,0)),IFERROR(INDEX(ERSS_Pit_Register!$V$5:$V$304,MATCH($B24,ERSS_Pit_Register!$A$5:$A$304,0)),IFERROR(INDEX(Linkway_Register!$X$5:$X$304,MATCH($B24,Linkway_Register!$A$5:$A$304,0)),IFERROR(INDEX(Other_Register!$N$5:$N$304,MATCH($B24,Other_Register!$A$5:$A$304,0)),""))))))))</f>
        <v/>
      </c>
      <c r="K24" s="10" t="str">
        <f aca="false">IF($B24="","",IFERROR(INDEX(Drain_Register!$W$5:$W$304,MATCH($B24,Drain_Register!$A$5:$A$304,0)),IFERROR(INDEX(RW_Register!$AC$5:$AC$304,MATCH($B24,RW_Register!$A$5:$A$304,0)),IFERROR(INDEX(Embedded_Wall_Register!$Z$5:$Z$304,MATCH($B24,Embedded_Wall_Register!$A$5:$A$304,0)),IFERROR(INDEX(Manhole_Register!$AC$5:$AC$304,MATCH($B24,Manhole_Register!$A$5:$A$304,0)),IFERROR(INDEX(ERSS_Pit_Register!$W$5:$W$304,MATCH($B24,ERSS_Pit_Register!$A$5:$A$304,0)),IFERROR(INDEX(Linkway_Register!$Y$5:$Y$304,MATCH($B24,Linkway_Register!$A$5:$A$304,0)),IFERROR(INDEX(Other_Register!$O$5:$O$304,MATCH($B24,Other_Register!$A$5:$A$304,0)),""))))))))</f>
        <v/>
      </c>
      <c r="L24" s="10" t="str">
        <f aca="false">IF($B24="","",IFERROR(INDEX(Drain_Register!$X$5:$X$304,MATCH($B24,Drain_Register!$A$5:$A$304,0)),IFERROR(INDEX(RW_Register!$AD$5:$AD$304,MATCH($B24,RW_Register!$A$5:$A$304,0)),IFERROR(INDEX(Embedded_Wall_Register!$AA$5:$AA$304,MATCH($B24,Embedded_Wall_Register!$A$5:$A$304,0)),IFERROR(INDEX(Manhole_Register!$AD$5:$AD$304,MATCH($B24,Manhole_Register!$A$5:$A$304,0)),IFERROR(INDEX(ERSS_Pit_Register!$X$5:$X$304,MATCH($B24,ERSS_Pit_Register!$A$5:$A$304,0)),IFERROR(INDEX(Linkway_Register!$Z$5:$Z$304,MATCH($B24,Linkway_Register!$A$5:$A$304,0)),IFERROR(INDEX(Other_Register!$P$5:$P$304,MATCH($B24,Other_Register!$A$5:$A$304,0)),""))))))))</f>
        <v/>
      </c>
      <c r="M24" s="10" t="str">
        <f aca="false">IF($B24="","",IFERROR(INDEX(Drain_Register!$Z$5:$Z$304,MATCH($B24,Drain_Register!$A$5:$A$304,0)),IFERROR(INDEX(RW_Register!$AF$5:$AF$304,MATCH($B24,RW_Register!$A$5:$A$304,0)),IFERROR(INDEX(Embedded_Wall_Register!$AC$5:$AC$304,MATCH($B24,Embedded_Wall_Register!$A$5:$A$304,0)),IFERROR(INDEX(Manhole_Register!$AF$5:$AF$304,MATCH($B24,Manhole_Register!$A$5:$A$304,0)),IFERROR(INDEX(ERSS_Pit_Register!$Z$5:$Z$304,MATCH($B24,ERSS_Pit_Register!$A$5:$A$304,0)),IFERROR(INDEX(Linkway_Register!$AB$5:$AB$304,MATCH($B24,Linkway_Register!$A$5:$A$304,0)),IFERROR(INDEX(Other_Register!$R$5:$R$304,MATCH($B24,Other_Register!$A$5:$A$304,0)),"")))))))&amp;IFERROR(INDEX(Drain_Register!$AA$5:$AA$304,MATCH($B24,Drain_Register!$A$5:$A$304,0)),IFERROR(INDEX(RW_Register!$AG$5:$AG$304,MATCH($B24,RW_Register!$A$5:$A$304,0)),IFERROR(INDEX(Embedded_Wall_Register!$AD$5:$AD$304,MATCH($B24,Embedded_Wall_Register!$A$5:$A$304,0)),IFERROR(INDEX(Manhole_Register!$AG$5:$AG$304,MATCH($B24,Manhole_Register!$A$5:$A$304,0)),IFERROR(INDEX(ERSS_Pit_Register!$AA$5:$AA$304,MATCH($B24,ERSS_Pit_Register!$A$5:$A$304,0)),IFERROR(INDEX(Linkway_Register!$AC$5:$AC$304,MATCH($B24,Linkway_Register!$A$5:$A$304,0)),IFERROR(INDEX(Other_Register!$S$5:$S$304,MATCH($B24,Other_Register!$A$5:$A$304,0)),""))))))))</f>
        <v/>
      </c>
      <c r="N24" s="19" t="str">
        <f aca="false">IF(OR($B24="",$D24=""),"",$D24*N(IFERROR(INDEX(Drain_Register!$AH$5:$AH$304,MATCH($B24,Drain_Register!$A$5:$A$304,0)),IFERROR(INDEX(RW_Register!$AN$5:$AN$304,MATCH($B24,RW_Register!$A$5:$A$304,0)),IFERROR(INDEX(Embedded_Wall_Register!$AK$5:$AK$304,MATCH($B24,Embedded_Wall_Register!$A$5:$A$304,0)),IFERROR(INDEX(Manhole_Register!$AN$5:$AN$304,MATCH($B24,Manhole_Register!$A$5:$A$304,0)),IFERROR(INDEX(ERSS_Pit_Register!$AH$5:$AH$304,MATCH($B24,ERSS_Pit_Register!$A$5:$A$304,0)),IFERROR(INDEX(Linkway_Register!$AJ$5:$AJ$304,MATCH($B24,Linkway_Register!$A$5:$A$304,0)),IFERROR(INDEX(Other_Register!$Z$5:$Z$304,MATCH($B24,Other_Register!$A$5:$A$304,0)),0)))))))))</f>
        <v/>
      </c>
      <c r="O24" s="20" t="str">
        <f aca="false">IF(OR($B24="",$D24=""),"",$D24*N(IFERROR(INDEX(Drain_Register!$AI$5:$AI$304,MATCH($B24,Drain_Register!$A$5:$A$304,0)),IFERROR(INDEX(RW_Register!$AO$5:$AO$304,MATCH($B24,RW_Register!$A$5:$A$304,0)),IFERROR(INDEX(Embedded_Wall_Register!$AL$5:$AL$304,MATCH($B24,Embedded_Wall_Register!$A$5:$A$304,0)),IFERROR(INDEX(Manhole_Register!$AO$5:$AO$304,MATCH($B24,Manhole_Register!$A$5:$A$304,0)),IFERROR(INDEX(ERSS_Pit_Register!$AI$5:$AI$304,MATCH($B24,ERSS_Pit_Register!$A$5:$A$304,0)),IFERROR(INDEX(Linkway_Register!$AK$5:$AK$304,MATCH($B24,Linkway_Register!$A$5:$A$304,0)),IFERROR(INDEX(Other_Register!$AA$5:$AA$304,MATCH($B24,Other_Register!$A$5:$A$304,0)),0))))))))/1000)</f>
        <v/>
      </c>
      <c r="P24" s="20" t="str">
        <f aca="false">IF(OR($B24="",$D24=""),"",$D24*N(IFERROR(INDEX(Drain_Register!$AJ$5:$AJ$304,MATCH($B24,Drain_Register!$A$5:$A$304,0)),IFERROR(INDEX(RW_Register!$AP$5:$AP$304,MATCH($B24,RW_Register!$A$5:$A$304,0)),IFERROR(INDEX(Embedded_Wall_Register!$AM$5:$AM$304,MATCH($B24,Embedded_Wall_Register!$A$5:$A$304,0)),IFERROR(INDEX(Manhole_Register!$AP$5:$AP$304,MATCH($B24,Manhole_Register!$A$5:$A$304,0)),IFERROR(INDEX(ERSS_Pit_Register!$AJ$5:$AJ$304,MATCH($B24,ERSS_Pit_Register!$A$5:$A$304,0)),IFERROR(INDEX(Linkway_Register!$AL$5:$AL$304,MATCH($B24,Linkway_Register!$A$5:$A$304,0)),IFERROR(INDEX(Other_Register!$AB$5:$AB$304,MATCH($B24,Other_Register!$A$5:$A$304,0)),0))))))))/1000)</f>
        <v/>
      </c>
      <c r="Q24" s="19" t="str">
        <f aca="false">IF(OR($B24="",$D24=""),"",$D24*N(IFERROR(INDEX(Drain_Register!$AK$5:$AK$304,MATCH($B24,Drain_Register!$A$5:$A$304,0)),IFERROR(INDEX(RW_Register!$AQ$5:$AQ$304,MATCH($B24,RW_Register!$A$5:$A$304,0)),IFERROR(INDEX(Embedded_Wall_Register!$AN$5:$AN$304,MATCH($B24,Embedded_Wall_Register!$A$5:$A$304,0)),IFERROR(INDEX(Manhole_Register!$AQ$5:$AQ$304,MATCH($B24,Manhole_Register!$A$5:$A$304,0)),IFERROR(INDEX(ERSS_Pit_Register!$AK$5:$AK$304,MATCH($B24,ERSS_Pit_Register!$A$5:$A$304,0)),IFERROR(INDEX(Linkway_Register!$AM$5:$AM$304,MATCH($B24,Linkway_Register!$A$5:$A$304,0)),IFERROR(INDEX(Other_Register!$AC$5:$AC$304,MATCH($B24,Other_Register!$A$5:$A$304,0)),0)))))))))</f>
        <v/>
      </c>
      <c r="R24" s="19" t="str">
        <f aca="false">IF(OR($B24="",$D24=""),"",$D24*N(IFERROR(INDEX(Drain_Register!$AL$5:$AL$304,MATCH($B24,Drain_Register!$A$5:$A$304,0)),IFERROR(INDEX(RW_Register!$AR$5:$AR$304,MATCH($B24,RW_Register!$A$5:$A$304,0)),IFERROR(INDEX(Embedded_Wall_Register!$AO$5:$AO$304,MATCH($B24,Embedded_Wall_Register!$A$5:$A$304,0)),IFERROR(INDEX(Manhole_Register!$AR$5:$AR$304,MATCH($B24,Manhole_Register!$A$5:$A$304,0)),IFERROR(INDEX(ERSS_Pit_Register!$AL$5:$AL$304,MATCH($B24,ERSS_Pit_Register!$A$5:$A$304,0)),IFERROR(INDEX(Linkway_Register!$AN$5:$AN$304,MATCH($B24,Linkway_Register!$A$5:$A$304,0)),IFERROR(INDEX(Other_Register!$AD$5:$AD$304,MATCH($B24,Other_Register!$A$5:$A$304,0)),0)))))))))</f>
        <v/>
      </c>
      <c r="S24" s="10" t="str">
        <f aca="false">IF($B24="","",IF(G24="","ID not found",IF(J24&lt;&gt;"Approved","WARNING: status is "&amp;J24,IF(IFERROR(INDEX(Drain_Register!$AV$5:$AV$304,MATCH($B24,Drain_Register!$A$5:$A$304,0)),IFERROR(INDEX(RW_Register!$BA$5:$BA$304,MATCH($B24,RW_Register!$A$5:$A$304,0)),IFERROR(INDEX(Embedded_Wall_Register!$AX$5:$AX$304,MATCH($B24,Embedded_Wall_Register!$A$5:$A$304,0)),IFERROR(INDEX(Manhole_Register!$AZ$5:$AZ$304,MATCH($B24,Manhole_Register!$A$5:$A$304,0)),IFERROR(INDEX(ERSS_Pit_Register!$AU$5:$AU$304,MATCH($B24,ERSS_Pit_Register!$A$5:$A$304,0)),IFERROR(INDEX(Linkway_Register!$AV$5:$AV$304,MATCH($B24,Linkway_Register!$A$5:$A$304,0)),IFERROR(INDEX(Other_Register!$AL$5:$AL$304,MATCH($B24,Other_Register!$A$5:$A$304,0)),"")))))))="N","WARNING: fails SG compliance check",IF(D24="","Enter length / qty",IF(E24="","Enter CAD sheet no.","OK"))))))</f>
        <v/>
      </c>
    </row>
    <row r="25" customFormat="false" ht="15" hidden="false" customHeight="false" outlineLevel="0" collapsed="false">
      <c r="A25" s="9"/>
      <c r="B25" s="9"/>
      <c r="C25" s="9"/>
      <c r="D25" s="9"/>
      <c r="E25" s="9"/>
      <c r="F25" s="10" t="str">
        <f aca="false">IF($B25="","",IFERROR(INDEX(Drain_Register!$AG$5:$AG$304,MATCH($B25,Drain_Register!$A$5:$A$304,0)),IFERROR(INDEX(RW_Register!$AM$5:$AM$304,MATCH($B25,RW_Register!$A$5:$A$304,0)),IFERROR(INDEX(Embedded_Wall_Register!$AJ$5:$AJ$304,MATCH($B25,Embedded_Wall_Register!$A$5:$A$304,0)),IFERROR(INDEX(Manhole_Register!$AM$5:$AM$304,MATCH($B25,Manhole_Register!$A$5:$A$304,0)),IFERROR(INDEX(ERSS_Pit_Register!$AG$5:$AG$304,MATCH($B25,ERSS_Pit_Register!$A$5:$A$304,0)),IFERROR(INDEX(Linkway_Register!$AI$5:$AI$304,MATCH($B25,Linkway_Register!$A$5:$A$304,0)),IFERROR(INDEX(Other_Register!$Y$5:$Y$304,MATCH($B25,Other_Register!$A$5:$A$304,0)),""))))))))</f>
        <v/>
      </c>
      <c r="G25" s="10" t="str">
        <f aca="false">IF($B25="","",IF(ISNUMBER(MATCH($B25,Drain_Register!$A$5:$A$304,0)),"Drain",IF(ISNUMBER(MATCH($B25,RW_Register!$A$5:$A$304,0)),"Ret. Wall",IF(ISNUMBER(MATCH($B25,Embedded_Wall_Register!$A$5:$A$304,0)),"Embedded Wall",IF(ISNUMBER(MATCH($B25,Manhole_Register!$A$5:$A$304,0)),"Manhole",IF(ISNUMBER(MATCH($B25,ERSS_Pit_Register!$A$5:$A$304,0)),"ERSS Pit",IF(ISNUMBER(MATCH($B25,Linkway_Register!$A$5:$A$304,0)),"Linkway",IF(ISNUMBER(MATCH($B25,Other_Register!$A$5:$A$304,0)),"Others",""))))))))</f>
        <v/>
      </c>
      <c r="H25" s="10" t="str">
        <f aca="false">IF($B25="","",IFERROR(INDEX(Drain_Register!$B$5:$B$304,MATCH($B25,Drain_Register!$A$5:$A$304,0)),IFERROR(INDEX(RW_Register!$B$5:$B$304,MATCH($B25,RW_Register!$A$5:$A$304,0)),IFERROR(INDEX(Embedded_Wall_Register!$B$5:$B$304,MATCH($B25,Embedded_Wall_Register!$A$5:$A$304,0)),IFERROR(INDEX(Manhole_Register!$B$5:$B$304,MATCH($B25,Manhole_Register!$A$5:$A$304,0)),IFERROR(INDEX(ERSS_Pit_Register!$B$5:$B$304,MATCH($B25,ERSS_Pit_Register!$A$5:$A$304,0)),IFERROR(INDEX(Linkway_Register!$B$5:$B$304,MATCH($B25,Linkway_Register!$A$5:$A$304,0)),IFERROR(INDEX(Other_Register!$B$5:$B$304,MATCH($B25,Other_Register!$A$5:$A$304,0)),"ID not found - check spelling"))))))))</f>
        <v/>
      </c>
      <c r="I25" s="10" t="str">
        <f aca="false">IF($B25="","",IFERROR(INDEX(Drain_Register!$U$5:$U$304,MATCH($B25,Drain_Register!$A$5:$A$304,0)),IFERROR(INDEX(RW_Register!$AA$5:$AA$304,MATCH($B25,RW_Register!$A$5:$A$304,0)),IFERROR(INDEX(Embedded_Wall_Register!$X$5:$X$304,MATCH($B25,Embedded_Wall_Register!$A$5:$A$304,0)),IFERROR(INDEX(Manhole_Register!$AA$5:$AA$304,MATCH($B25,Manhole_Register!$A$5:$A$304,0)),IFERROR(INDEX(ERSS_Pit_Register!$U$5:$U$304,MATCH($B25,ERSS_Pit_Register!$A$5:$A$304,0)),IFERROR(INDEX(Linkway_Register!$W$5:$W$304,MATCH($B25,Linkway_Register!$A$5:$A$304,0)),IFERROR(INDEX(Other_Register!$M$5:$M$304,MATCH($B25,Other_Register!$A$5:$A$304,0)),""))))))))</f>
        <v/>
      </c>
      <c r="J25" s="10" t="str">
        <f aca="false">IF($B25="","",IFERROR(INDEX(Drain_Register!$V$5:$V$304,MATCH($B25,Drain_Register!$A$5:$A$304,0)),IFERROR(INDEX(RW_Register!$AB$5:$AB$304,MATCH($B25,RW_Register!$A$5:$A$304,0)),IFERROR(INDEX(Embedded_Wall_Register!$Y$5:$Y$304,MATCH($B25,Embedded_Wall_Register!$A$5:$A$304,0)),IFERROR(INDEX(Manhole_Register!$AB$5:$AB$304,MATCH($B25,Manhole_Register!$A$5:$A$304,0)),IFERROR(INDEX(ERSS_Pit_Register!$V$5:$V$304,MATCH($B25,ERSS_Pit_Register!$A$5:$A$304,0)),IFERROR(INDEX(Linkway_Register!$X$5:$X$304,MATCH($B25,Linkway_Register!$A$5:$A$304,0)),IFERROR(INDEX(Other_Register!$N$5:$N$304,MATCH($B25,Other_Register!$A$5:$A$304,0)),""))))))))</f>
        <v/>
      </c>
      <c r="K25" s="10" t="str">
        <f aca="false">IF($B25="","",IFERROR(INDEX(Drain_Register!$W$5:$W$304,MATCH($B25,Drain_Register!$A$5:$A$304,0)),IFERROR(INDEX(RW_Register!$AC$5:$AC$304,MATCH($B25,RW_Register!$A$5:$A$304,0)),IFERROR(INDEX(Embedded_Wall_Register!$Z$5:$Z$304,MATCH($B25,Embedded_Wall_Register!$A$5:$A$304,0)),IFERROR(INDEX(Manhole_Register!$AC$5:$AC$304,MATCH($B25,Manhole_Register!$A$5:$A$304,0)),IFERROR(INDEX(ERSS_Pit_Register!$W$5:$W$304,MATCH($B25,ERSS_Pit_Register!$A$5:$A$304,0)),IFERROR(INDEX(Linkway_Register!$Y$5:$Y$304,MATCH($B25,Linkway_Register!$A$5:$A$304,0)),IFERROR(INDEX(Other_Register!$O$5:$O$304,MATCH($B25,Other_Register!$A$5:$A$304,0)),""))))))))</f>
        <v/>
      </c>
      <c r="L25" s="10" t="str">
        <f aca="false">IF($B25="","",IFERROR(INDEX(Drain_Register!$X$5:$X$304,MATCH($B25,Drain_Register!$A$5:$A$304,0)),IFERROR(INDEX(RW_Register!$AD$5:$AD$304,MATCH($B25,RW_Register!$A$5:$A$304,0)),IFERROR(INDEX(Embedded_Wall_Register!$AA$5:$AA$304,MATCH($B25,Embedded_Wall_Register!$A$5:$A$304,0)),IFERROR(INDEX(Manhole_Register!$AD$5:$AD$304,MATCH($B25,Manhole_Register!$A$5:$A$304,0)),IFERROR(INDEX(ERSS_Pit_Register!$X$5:$X$304,MATCH($B25,ERSS_Pit_Register!$A$5:$A$304,0)),IFERROR(INDEX(Linkway_Register!$Z$5:$Z$304,MATCH($B25,Linkway_Register!$A$5:$A$304,0)),IFERROR(INDEX(Other_Register!$P$5:$P$304,MATCH($B25,Other_Register!$A$5:$A$304,0)),""))))))))</f>
        <v/>
      </c>
      <c r="M25" s="10" t="str">
        <f aca="false">IF($B25="","",IFERROR(INDEX(Drain_Register!$Z$5:$Z$304,MATCH($B25,Drain_Register!$A$5:$A$304,0)),IFERROR(INDEX(RW_Register!$AF$5:$AF$304,MATCH($B25,RW_Register!$A$5:$A$304,0)),IFERROR(INDEX(Embedded_Wall_Register!$AC$5:$AC$304,MATCH($B25,Embedded_Wall_Register!$A$5:$A$304,0)),IFERROR(INDEX(Manhole_Register!$AF$5:$AF$304,MATCH($B25,Manhole_Register!$A$5:$A$304,0)),IFERROR(INDEX(ERSS_Pit_Register!$Z$5:$Z$304,MATCH($B25,ERSS_Pit_Register!$A$5:$A$304,0)),IFERROR(INDEX(Linkway_Register!$AB$5:$AB$304,MATCH($B25,Linkway_Register!$A$5:$A$304,0)),IFERROR(INDEX(Other_Register!$R$5:$R$304,MATCH($B25,Other_Register!$A$5:$A$304,0)),"")))))))&amp;IFERROR(INDEX(Drain_Register!$AA$5:$AA$304,MATCH($B25,Drain_Register!$A$5:$A$304,0)),IFERROR(INDEX(RW_Register!$AG$5:$AG$304,MATCH($B25,RW_Register!$A$5:$A$304,0)),IFERROR(INDEX(Embedded_Wall_Register!$AD$5:$AD$304,MATCH($B25,Embedded_Wall_Register!$A$5:$A$304,0)),IFERROR(INDEX(Manhole_Register!$AG$5:$AG$304,MATCH($B25,Manhole_Register!$A$5:$A$304,0)),IFERROR(INDEX(ERSS_Pit_Register!$AA$5:$AA$304,MATCH($B25,ERSS_Pit_Register!$A$5:$A$304,0)),IFERROR(INDEX(Linkway_Register!$AC$5:$AC$304,MATCH($B25,Linkway_Register!$A$5:$A$304,0)),IFERROR(INDEX(Other_Register!$S$5:$S$304,MATCH($B25,Other_Register!$A$5:$A$304,0)),""))))))))</f>
        <v/>
      </c>
      <c r="N25" s="19" t="str">
        <f aca="false">IF(OR($B25="",$D25=""),"",$D25*N(IFERROR(INDEX(Drain_Register!$AH$5:$AH$304,MATCH($B25,Drain_Register!$A$5:$A$304,0)),IFERROR(INDEX(RW_Register!$AN$5:$AN$304,MATCH($B25,RW_Register!$A$5:$A$304,0)),IFERROR(INDEX(Embedded_Wall_Register!$AK$5:$AK$304,MATCH($B25,Embedded_Wall_Register!$A$5:$A$304,0)),IFERROR(INDEX(Manhole_Register!$AN$5:$AN$304,MATCH($B25,Manhole_Register!$A$5:$A$304,0)),IFERROR(INDEX(ERSS_Pit_Register!$AH$5:$AH$304,MATCH($B25,ERSS_Pit_Register!$A$5:$A$304,0)),IFERROR(INDEX(Linkway_Register!$AJ$5:$AJ$304,MATCH($B25,Linkway_Register!$A$5:$A$304,0)),IFERROR(INDEX(Other_Register!$Z$5:$Z$304,MATCH($B25,Other_Register!$A$5:$A$304,0)),0)))))))))</f>
        <v/>
      </c>
      <c r="O25" s="20" t="str">
        <f aca="false">IF(OR($B25="",$D25=""),"",$D25*N(IFERROR(INDEX(Drain_Register!$AI$5:$AI$304,MATCH($B25,Drain_Register!$A$5:$A$304,0)),IFERROR(INDEX(RW_Register!$AO$5:$AO$304,MATCH($B25,RW_Register!$A$5:$A$304,0)),IFERROR(INDEX(Embedded_Wall_Register!$AL$5:$AL$304,MATCH($B25,Embedded_Wall_Register!$A$5:$A$304,0)),IFERROR(INDEX(Manhole_Register!$AO$5:$AO$304,MATCH($B25,Manhole_Register!$A$5:$A$304,0)),IFERROR(INDEX(ERSS_Pit_Register!$AI$5:$AI$304,MATCH($B25,ERSS_Pit_Register!$A$5:$A$304,0)),IFERROR(INDEX(Linkway_Register!$AK$5:$AK$304,MATCH($B25,Linkway_Register!$A$5:$A$304,0)),IFERROR(INDEX(Other_Register!$AA$5:$AA$304,MATCH($B25,Other_Register!$A$5:$A$304,0)),0))))))))/1000)</f>
        <v/>
      </c>
      <c r="P25" s="20" t="str">
        <f aca="false">IF(OR($B25="",$D25=""),"",$D25*N(IFERROR(INDEX(Drain_Register!$AJ$5:$AJ$304,MATCH($B25,Drain_Register!$A$5:$A$304,0)),IFERROR(INDEX(RW_Register!$AP$5:$AP$304,MATCH($B25,RW_Register!$A$5:$A$304,0)),IFERROR(INDEX(Embedded_Wall_Register!$AM$5:$AM$304,MATCH($B25,Embedded_Wall_Register!$A$5:$A$304,0)),IFERROR(INDEX(Manhole_Register!$AP$5:$AP$304,MATCH($B25,Manhole_Register!$A$5:$A$304,0)),IFERROR(INDEX(ERSS_Pit_Register!$AJ$5:$AJ$304,MATCH($B25,ERSS_Pit_Register!$A$5:$A$304,0)),IFERROR(INDEX(Linkway_Register!$AL$5:$AL$304,MATCH($B25,Linkway_Register!$A$5:$A$304,0)),IFERROR(INDEX(Other_Register!$AB$5:$AB$304,MATCH($B25,Other_Register!$A$5:$A$304,0)),0))))))))/1000)</f>
        <v/>
      </c>
      <c r="Q25" s="19" t="str">
        <f aca="false">IF(OR($B25="",$D25=""),"",$D25*N(IFERROR(INDEX(Drain_Register!$AK$5:$AK$304,MATCH($B25,Drain_Register!$A$5:$A$304,0)),IFERROR(INDEX(RW_Register!$AQ$5:$AQ$304,MATCH($B25,RW_Register!$A$5:$A$304,0)),IFERROR(INDEX(Embedded_Wall_Register!$AN$5:$AN$304,MATCH($B25,Embedded_Wall_Register!$A$5:$A$304,0)),IFERROR(INDEX(Manhole_Register!$AQ$5:$AQ$304,MATCH($B25,Manhole_Register!$A$5:$A$304,0)),IFERROR(INDEX(ERSS_Pit_Register!$AK$5:$AK$304,MATCH($B25,ERSS_Pit_Register!$A$5:$A$304,0)),IFERROR(INDEX(Linkway_Register!$AM$5:$AM$304,MATCH($B25,Linkway_Register!$A$5:$A$304,0)),IFERROR(INDEX(Other_Register!$AC$5:$AC$304,MATCH($B25,Other_Register!$A$5:$A$304,0)),0)))))))))</f>
        <v/>
      </c>
      <c r="R25" s="19" t="str">
        <f aca="false">IF(OR($B25="",$D25=""),"",$D25*N(IFERROR(INDEX(Drain_Register!$AL$5:$AL$304,MATCH($B25,Drain_Register!$A$5:$A$304,0)),IFERROR(INDEX(RW_Register!$AR$5:$AR$304,MATCH($B25,RW_Register!$A$5:$A$304,0)),IFERROR(INDEX(Embedded_Wall_Register!$AO$5:$AO$304,MATCH($B25,Embedded_Wall_Register!$A$5:$A$304,0)),IFERROR(INDEX(Manhole_Register!$AR$5:$AR$304,MATCH($B25,Manhole_Register!$A$5:$A$304,0)),IFERROR(INDEX(ERSS_Pit_Register!$AL$5:$AL$304,MATCH($B25,ERSS_Pit_Register!$A$5:$A$304,0)),IFERROR(INDEX(Linkway_Register!$AN$5:$AN$304,MATCH($B25,Linkway_Register!$A$5:$A$304,0)),IFERROR(INDEX(Other_Register!$AD$5:$AD$304,MATCH($B25,Other_Register!$A$5:$A$304,0)),0)))))))))</f>
        <v/>
      </c>
      <c r="S25" s="10" t="str">
        <f aca="false">IF($B25="","",IF(G25="","ID not found",IF(J25&lt;&gt;"Approved","WARNING: status is "&amp;J25,IF(IFERROR(INDEX(Drain_Register!$AV$5:$AV$304,MATCH($B25,Drain_Register!$A$5:$A$304,0)),IFERROR(INDEX(RW_Register!$BA$5:$BA$304,MATCH($B25,RW_Register!$A$5:$A$304,0)),IFERROR(INDEX(Embedded_Wall_Register!$AX$5:$AX$304,MATCH($B25,Embedded_Wall_Register!$A$5:$A$304,0)),IFERROR(INDEX(Manhole_Register!$AZ$5:$AZ$304,MATCH($B25,Manhole_Register!$A$5:$A$304,0)),IFERROR(INDEX(ERSS_Pit_Register!$AU$5:$AU$304,MATCH($B25,ERSS_Pit_Register!$A$5:$A$304,0)),IFERROR(INDEX(Linkway_Register!$AV$5:$AV$304,MATCH($B25,Linkway_Register!$A$5:$A$304,0)),IFERROR(INDEX(Other_Register!$AL$5:$AL$304,MATCH($B25,Other_Register!$A$5:$A$304,0)),"")))))))="N","WARNING: fails SG compliance check",IF(D25="","Enter length / qty",IF(E25="","Enter CAD sheet no.","OK"))))))</f>
        <v/>
      </c>
    </row>
    <row r="26" customFormat="false" ht="15" hidden="false" customHeight="false" outlineLevel="0" collapsed="false">
      <c r="A26" s="9"/>
      <c r="B26" s="9"/>
      <c r="C26" s="9"/>
      <c r="D26" s="9"/>
      <c r="E26" s="9"/>
      <c r="F26" s="10" t="str">
        <f aca="false">IF($B26="","",IFERROR(INDEX(Drain_Register!$AG$5:$AG$304,MATCH($B26,Drain_Register!$A$5:$A$304,0)),IFERROR(INDEX(RW_Register!$AM$5:$AM$304,MATCH($B26,RW_Register!$A$5:$A$304,0)),IFERROR(INDEX(Embedded_Wall_Register!$AJ$5:$AJ$304,MATCH($B26,Embedded_Wall_Register!$A$5:$A$304,0)),IFERROR(INDEX(Manhole_Register!$AM$5:$AM$304,MATCH($B26,Manhole_Register!$A$5:$A$304,0)),IFERROR(INDEX(ERSS_Pit_Register!$AG$5:$AG$304,MATCH($B26,ERSS_Pit_Register!$A$5:$A$304,0)),IFERROR(INDEX(Linkway_Register!$AI$5:$AI$304,MATCH($B26,Linkway_Register!$A$5:$A$304,0)),IFERROR(INDEX(Other_Register!$Y$5:$Y$304,MATCH($B26,Other_Register!$A$5:$A$304,0)),""))))))))</f>
        <v/>
      </c>
      <c r="G26" s="10" t="str">
        <f aca="false">IF($B26="","",IF(ISNUMBER(MATCH($B26,Drain_Register!$A$5:$A$304,0)),"Drain",IF(ISNUMBER(MATCH($B26,RW_Register!$A$5:$A$304,0)),"Ret. Wall",IF(ISNUMBER(MATCH($B26,Embedded_Wall_Register!$A$5:$A$304,0)),"Embedded Wall",IF(ISNUMBER(MATCH($B26,Manhole_Register!$A$5:$A$304,0)),"Manhole",IF(ISNUMBER(MATCH($B26,ERSS_Pit_Register!$A$5:$A$304,0)),"ERSS Pit",IF(ISNUMBER(MATCH($B26,Linkway_Register!$A$5:$A$304,0)),"Linkway",IF(ISNUMBER(MATCH($B26,Other_Register!$A$5:$A$304,0)),"Others",""))))))))</f>
        <v/>
      </c>
      <c r="H26" s="10" t="str">
        <f aca="false">IF($B26="","",IFERROR(INDEX(Drain_Register!$B$5:$B$304,MATCH($B26,Drain_Register!$A$5:$A$304,0)),IFERROR(INDEX(RW_Register!$B$5:$B$304,MATCH($B26,RW_Register!$A$5:$A$304,0)),IFERROR(INDEX(Embedded_Wall_Register!$B$5:$B$304,MATCH($B26,Embedded_Wall_Register!$A$5:$A$304,0)),IFERROR(INDEX(Manhole_Register!$B$5:$B$304,MATCH($B26,Manhole_Register!$A$5:$A$304,0)),IFERROR(INDEX(ERSS_Pit_Register!$B$5:$B$304,MATCH($B26,ERSS_Pit_Register!$A$5:$A$304,0)),IFERROR(INDEX(Linkway_Register!$B$5:$B$304,MATCH($B26,Linkway_Register!$A$5:$A$304,0)),IFERROR(INDEX(Other_Register!$B$5:$B$304,MATCH($B26,Other_Register!$A$5:$A$304,0)),"ID not found - check spelling"))))))))</f>
        <v/>
      </c>
      <c r="I26" s="10" t="str">
        <f aca="false">IF($B26="","",IFERROR(INDEX(Drain_Register!$U$5:$U$304,MATCH($B26,Drain_Register!$A$5:$A$304,0)),IFERROR(INDEX(RW_Register!$AA$5:$AA$304,MATCH($B26,RW_Register!$A$5:$A$304,0)),IFERROR(INDEX(Embedded_Wall_Register!$X$5:$X$304,MATCH($B26,Embedded_Wall_Register!$A$5:$A$304,0)),IFERROR(INDEX(Manhole_Register!$AA$5:$AA$304,MATCH($B26,Manhole_Register!$A$5:$A$304,0)),IFERROR(INDEX(ERSS_Pit_Register!$U$5:$U$304,MATCH($B26,ERSS_Pit_Register!$A$5:$A$304,0)),IFERROR(INDEX(Linkway_Register!$W$5:$W$304,MATCH($B26,Linkway_Register!$A$5:$A$304,0)),IFERROR(INDEX(Other_Register!$M$5:$M$304,MATCH($B26,Other_Register!$A$5:$A$304,0)),""))))))))</f>
        <v/>
      </c>
      <c r="J26" s="10" t="str">
        <f aca="false">IF($B26="","",IFERROR(INDEX(Drain_Register!$V$5:$V$304,MATCH($B26,Drain_Register!$A$5:$A$304,0)),IFERROR(INDEX(RW_Register!$AB$5:$AB$304,MATCH($B26,RW_Register!$A$5:$A$304,0)),IFERROR(INDEX(Embedded_Wall_Register!$Y$5:$Y$304,MATCH($B26,Embedded_Wall_Register!$A$5:$A$304,0)),IFERROR(INDEX(Manhole_Register!$AB$5:$AB$304,MATCH($B26,Manhole_Register!$A$5:$A$304,0)),IFERROR(INDEX(ERSS_Pit_Register!$V$5:$V$304,MATCH($B26,ERSS_Pit_Register!$A$5:$A$304,0)),IFERROR(INDEX(Linkway_Register!$X$5:$X$304,MATCH($B26,Linkway_Register!$A$5:$A$304,0)),IFERROR(INDEX(Other_Register!$N$5:$N$304,MATCH($B26,Other_Register!$A$5:$A$304,0)),""))))))))</f>
        <v/>
      </c>
      <c r="K26" s="10" t="str">
        <f aca="false">IF($B26="","",IFERROR(INDEX(Drain_Register!$W$5:$W$304,MATCH($B26,Drain_Register!$A$5:$A$304,0)),IFERROR(INDEX(RW_Register!$AC$5:$AC$304,MATCH($B26,RW_Register!$A$5:$A$304,0)),IFERROR(INDEX(Embedded_Wall_Register!$Z$5:$Z$304,MATCH($B26,Embedded_Wall_Register!$A$5:$A$304,0)),IFERROR(INDEX(Manhole_Register!$AC$5:$AC$304,MATCH($B26,Manhole_Register!$A$5:$A$304,0)),IFERROR(INDEX(ERSS_Pit_Register!$W$5:$W$304,MATCH($B26,ERSS_Pit_Register!$A$5:$A$304,0)),IFERROR(INDEX(Linkway_Register!$Y$5:$Y$304,MATCH($B26,Linkway_Register!$A$5:$A$304,0)),IFERROR(INDEX(Other_Register!$O$5:$O$304,MATCH($B26,Other_Register!$A$5:$A$304,0)),""))))))))</f>
        <v/>
      </c>
      <c r="L26" s="10" t="str">
        <f aca="false">IF($B26="","",IFERROR(INDEX(Drain_Register!$X$5:$X$304,MATCH($B26,Drain_Register!$A$5:$A$304,0)),IFERROR(INDEX(RW_Register!$AD$5:$AD$304,MATCH($B26,RW_Register!$A$5:$A$304,0)),IFERROR(INDEX(Embedded_Wall_Register!$AA$5:$AA$304,MATCH($B26,Embedded_Wall_Register!$A$5:$A$304,0)),IFERROR(INDEX(Manhole_Register!$AD$5:$AD$304,MATCH($B26,Manhole_Register!$A$5:$A$304,0)),IFERROR(INDEX(ERSS_Pit_Register!$X$5:$X$304,MATCH($B26,ERSS_Pit_Register!$A$5:$A$304,0)),IFERROR(INDEX(Linkway_Register!$Z$5:$Z$304,MATCH($B26,Linkway_Register!$A$5:$A$304,0)),IFERROR(INDEX(Other_Register!$P$5:$P$304,MATCH($B26,Other_Register!$A$5:$A$304,0)),""))))))))</f>
        <v/>
      </c>
      <c r="M26" s="10" t="str">
        <f aca="false">IF($B26="","",IFERROR(INDEX(Drain_Register!$Z$5:$Z$304,MATCH($B26,Drain_Register!$A$5:$A$304,0)),IFERROR(INDEX(RW_Register!$AF$5:$AF$304,MATCH($B26,RW_Register!$A$5:$A$304,0)),IFERROR(INDEX(Embedded_Wall_Register!$AC$5:$AC$304,MATCH($B26,Embedded_Wall_Register!$A$5:$A$304,0)),IFERROR(INDEX(Manhole_Register!$AF$5:$AF$304,MATCH($B26,Manhole_Register!$A$5:$A$304,0)),IFERROR(INDEX(ERSS_Pit_Register!$Z$5:$Z$304,MATCH($B26,ERSS_Pit_Register!$A$5:$A$304,0)),IFERROR(INDEX(Linkway_Register!$AB$5:$AB$304,MATCH($B26,Linkway_Register!$A$5:$A$304,0)),IFERROR(INDEX(Other_Register!$R$5:$R$304,MATCH($B26,Other_Register!$A$5:$A$304,0)),"")))))))&amp;IFERROR(INDEX(Drain_Register!$AA$5:$AA$304,MATCH($B26,Drain_Register!$A$5:$A$304,0)),IFERROR(INDEX(RW_Register!$AG$5:$AG$304,MATCH($B26,RW_Register!$A$5:$A$304,0)),IFERROR(INDEX(Embedded_Wall_Register!$AD$5:$AD$304,MATCH($B26,Embedded_Wall_Register!$A$5:$A$304,0)),IFERROR(INDEX(Manhole_Register!$AG$5:$AG$304,MATCH($B26,Manhole_Register!$A$5:$A$304,0)),IFERROR(INDEX(ERSS_Pit_Register!$AA$5:$AA$304,MATCH($B26,ERSS_Pit_Register!$A$5:$A$304,0)),IFERROR(INDEX(Linkway_Register!$AC$5:$AC$304,MATCH($B26,Linkway_Register!$A$5:$A$304,0)),IFERROR(INDEX(Other_Register!$S$5:$S$304,MATCH($B26,Other_Register!$A$5:$A$304,0)),""))))))))</f>
        <v/>
      </c>
      <c r="N26" s="19" t="str">
        <f aca="false">IF(OR($B26="",$D26=""),"",$D26*N(IFERROR(INDEX(Drain_Register!$AH$5:$AH$304,MATCH($B26,Drain_Register!$A$5:$A$304,0)),IFERROR(INDEX(RW_Register!$AN$5:$AN$304,MATCH($B26,RW_Register!$A$5:$A$304,0)),IFERROR(INDEX(Embedded_Wall_Register!$AK$5:$AK$304,MATCH($B26,Embedded_Wall_Register!$A$5:$A$304,0)),IFERROR(INDEX(Manhole_Register!$AN$5:$AN$304,MATCH($B26,Manhole_Register!$A$5:$A$304,0)),IFERROR(INDEX(ERSS_Pit_Register!$AH$5:$AH$304,MATCH($B26,ERSS_Pit_Register!$A$5:$A$304,0)),IFERROR(INDEX(Linkway_Register!$AJ$5:$AJ$304,MATCH($B26,Linkway_Register!$A$5:$A$304,0)),IFERROR(INDEX(Other_Register!$Z$5:$Z$304,MATCH($B26,Other_Register!$A$5:$A$304,0)),0)))))))))</f>
        <v/>
      </c>
      <c r="O26" s="20" t="str">
        <f aca="false">IF(OR($B26="",$D26=""),"",$D26*N(IFERROR(INDEX(Drain_Register!$AI$5:$AI$304,MATCH($B26,Drain_Register!$A$5:$A$304,0)),IFERROR(INDEX(RW_Register!$AO$5:$AO$304,MATCH($B26,RW_Register!$A$5:$A$304,0)),IFERROR(INDEX(Embedded_Wall_Register!$AL$5:$AL$304,MATCH($B26,Embedded_Wall_Register!$A$5:$A$304,0)),IFERROR(INDEX(Manhole_Register!$AO$5:$AO$304,MATCH($B26,Manhole_Register!$A$5:$A$304,0)),IFERROR(INDEX(ERSS_Pit_Register!$AI$5:$AI$304,MATCH($B26,ERSS_Pit_Register!$A$5:$A$304,0)),IFERROR(INDEX(Linkway_Register!$AK$5:$AK$304,MATCH($B26,Linkway_Register!$A$5:$A$304,0)),IFERROR(INDEX(Other_Register!$AA$5:$AA$304,MATCH($B26,Other_Register!$A$5:$A$304,0)),0))))))))/1000)</f>
        <v/>
      </c>
      <c r="P26" s="20" t="str">
        <f aca="false">IF(OR($B26="",$D26=""),"",$D26*N(IFERROR(INDEX(Drain_Register!$AJ$5:$AJ$304,MATCH($B26,Drain_Register!$A$5:$A$304,0)),IFERROR(INDEX(RW_Register!$AP$5:$AP$304,MATCH($B26,RW_Register!$A$5:$A$304,0)),IFERROR(INDEX(Embedded_Wall_Register!$AM$5:$AM$304,MATCH($B26,Embedded_Wall_Register!$A$5:$A$304,0)),IFERROR(INDEX(Manhole_Register!$AP$5:$AP$304,MATCH($B26,Manhole_Register!$A$5:$A$304,0)),IFERROR(INDEX(ERSS_Pit_Register!$AJ$5:$AJ$304,MATCH($B26,ERSS_Pit_Register!$A$5:$A$304,0)),IFERROR(INDEX(Linkway_Register!$AL$5:$AL$304,MATCH($B26,Linkway_Register!$A$5:$A$304,0)),IFERROR(INDEX(Other_Register!$AB$5:$AB$304,MATCH($B26,Other_Register!$A$5:$A$304,0)),0))))))))/1000)</f>
        <v/>
      </c>
      <c r="Q26" s="19" t="str">
        <f aca="false">IF(OR($B26="",$D26=""),"",$D26*N(IFERROR(INDEX(Drain_Register!$AK$5:$AK$304,MATCH($B26,Drain_Register!$A$5:$A$304,0)),IFERROR(INDEX(RW_Register!$AQ$5:$AQ$304,MATCH($B26,RW_Register!$A$5:$A$304,0)),IFERROR(INDEX(Embedded_Wall_Register!$AN$5:$AN$304,MATCH($B26,Embedded_Wall_Register!$A$5:$A$304,0)),IFERROR(INDEX(Manhole_Register!$AQ$5:$AQ$304,MATCH($B26,Manhole_Register!$A$5:$A$304,0)),IFERROR(INDEX(ERSS_Pit_Register!$AK$5:$AK$304,MATCH($B26,ERSS_Pit_Register!$A$5:$A$304,0)),IFERROR(INDEX(Linkway_Register!$AM$5:$AM$304,MATCH($B26,Linkway_Register!$A$5:$A$304,0)),IFERROR(INDEX(Other_Register!$AC$5:$AC$304,MATCH($B26,Other_Register!$A$5:$A$304,0)),0)))))))))</f>
        <v/>
      </c>
      <c r="R26" s="19" t="str">
        <f aca="false">IF(OR($B26="",$D26=""),"",$D26*N(IFERROR(INDEX(Drain_Register!$AL$5:$AL$304,MATCH($B26,Drain_Register!$A$5:$A$304,0)),IFERROR(INDEX(RW_Register!$AR$5:$AR$304,MATCH($B26,RW_Register!$A$5:$A$304,0)),IFERROR(INDEX(Embedded_Wall_Register!$AO$5:$AO$304,MATCH($B26,Embedded_Wall_Register!$A$5:$A$304,0)),IFERROR(INDEX(Manhole_Register!$AR$5:$AR$304,MATCH($B26,Manhole_Register!$A$5:$A$304,0)),IFERROR(INDEX(ERSS_Pit_Register!$AL$5:$AL$304,MATCH($B26,ERSS_Pit_Register!$A$5:$A$304,0)),IFERROR(INDEX(Linkway_Register!$AN$5:$AN$304,MATCH($B26,Linkway_Register!$A$5:$A$304,0)),IFERROR(INDEX(Other_Register!$AD$5:$AD$304,MATCH($B26,Other_Register!$A$5:$A$304,0)),0)))))))))</f>
        <v/>
      </c>
      <c r="S26" s="10" t="str">
        <f aca="false">IF($B26="","",IF(G26="","ID not found",IF(J26&lt;&gt;"Approved","WARNING: status is "&amp;J26,IF(IFERROR(INDEX(Drain_Register!$AV$5:$AV$304,MATCH($B26,Drain_Register!$A$5:$A$304,0)),IFERROR(INDEX(RW_Register!$BA$5:$BA$304,MATCH($B26,RW_Register!$A$5:$A$304,0)),IFERROR(INDEX(Embedded_Wall_Register!$AX$5:$AX$304,MATCH($B26,Embedded_Wall_Register!$A$5:$A$304,0)),IFERROR(INDEX(Manhole_Register!$AZ$5:$AZ$304,MATCH($B26,Manhole_Register!$A$5:$A$304,0)),IFERROR(INDEX(ERSS_Pit_Register!$AU$5:$AU$304,MATCH($B26,ERSS_Pit_Register!$A$5:$A$304,0)),IFERROR(INDEX(Linkway_Register!$AV$5:$AV$304,MATCH($B26,Linkway_Register!$A$5:$A$304,0)),IFERROR(INDEX(Other_Register!$AL$5:$AL$304,MATCH($B26,Other_Register!$A$5:$A$304,0)),"")))))))="N","WARNING: fails SG compliance check",IF(D26="","Enter length / qty",IF(E26="","Enter CAD sheet no.","OK"))))))</f>
        <v/>
      </c>
    </row>
    <row r="27" customFormat="false" ht="15" hidden="false" customHeight="false" outlineLevel="0" collapsed="false">
      <c r="A27" s="9"/>
      <c r="B27" s="9"/>
      <c r="C27" s="9"/>
      <c r="D27" s="9"/>
      <c r="E27" s="9"/>
      <c r="F27" s="10" t="str">
        <f aca="false">IF($B27="","",IFERROR(INDEX(Drain_Register!$AG$5:$AG$304,MATCH($B27,Drain_Register!$A$5:$A$304,0)),IFERROR(INDEX(RW_Register!$AM$5:$AM$304,MATCH($B27,RW_Register!$A$5:$A$304,0)),IFERROR(INDEX(Embedded_Wall_Register!$AJ$5:$AJ$304,MATCH($B27,Embedded_Wall_Register!$A$5:$A$304,0)),IFERROR(INDEX(Manhole_Register!$AM$5:$AM$304,MATCH($B27,Manhole_Register!$A$5:$A$304,0)),IFERROR(INDEX(ERSS_Pit_Register!$AG$5:$AG$304,MATCH($B27,ERSS_Pit_Register!$A$5:$A$304,0)),IFERROR(INDEX(Linkway_Register!$AI$5:$AI$304,MATCH($B27,Linkway_Register!$A$5:$A$304,0)),IFERROR(INDEX(Other_Register!$Y$5:$Y$304,MATCH($B27,Other_Register!$A$5:$A$304,0)),""))))))))</f>
        <v/>
      </c>
      <c r="G27" s="10" t="str">
        <f aca="false">IF($B27="","",IF(ISNUMBER(MATCH($B27,Drain_Register!$A$5:$A$304,0)),"Drain",IF(ISNUMBER(MATCH($B27,RW_Register!$A$5:$A$304,0)),"Ret. Wall",IF(ISNUMBER(MATCH($B27,Embedded_Wall_Register!$A$5:$A$304,0)),"Embedded Wall",IF(ISNUMBER(MATCH($B27,Manhole_Register!$A$5:$A$304,0)),"Manhole",IF(ISNUMBER(MATCH($B27,ERSS_Pit_Register!$A$5:$A$304,0)),"ERSS Pit",IF(ISNUMBER(MATCH($B27,Linkway_Register!$A$5:$A$304,0)),"Linkway",IF(ISNUMBER(MATCH($B27,Other_Register!$A$5:$A$304,0)),"Others",""))))))))</f>
        <v/>
      </c>
      <c r="H27" s="10" t="str">
        <f aca="false">IF($B27="","",IFERROR(INDEX(Drain_Register!$B$5:$B$304,MATCH($B27,Drain_Register!$A$5:$A$304,0)),IFERROR(INDEX(RW_Register!$B$5:$B$304,MATCH($B27,RW_Register!$A$5:$A$304,0)),IFERROR(INDEX(Embedded_Wall_Register!$B$5:$B$304,MATCH($B27,Embedded_Wall_Register!$A$5:$A$304,0)),IFERROR(INDEX(Manhole_Register!$B$5:$B$304,MATCH($B27,Manhole_Register!$A$5:$A$304,0)),IFERROR(INDEX(ERSS_Pit_Register!$B$5:$B$304,MATCH($B27,ERSS_Pit_Register!$A$5:$A$304,0)),IFERROR(INDEX(Linkway_Register!$B$5:$B$304,MATCH($B27,Linkway_Register!$A$5:$A$304,0)),IFERROR(INDEX(Other_Register!$B$5:$B$304,MATCH($B27,Other_Register!$A$5:$A$304,0)),"ID not found - check spelling"))))))))</f>
        <v/>
      </c>
      <c r="I27" s="10" t="str">
        <f aca="false">IF($B27="","",IFERROR(INDEX(Drain_Register!$U$5:$U$304,MATCH($B27,Drain_Register!$A$5:$A$304,0)),IFERROR(INDEX(RW_Register!$AA$5:$AA$304,MATCH($B27,RW_Register!$A$5:$A$304,0)),IFERROR(INDEX(Embedded_Wall_Register!$X$5:$X$304,MATCH($B27,Embedded_Wall_Register!$A$5:$A$304,0)),IFERROR(INDEX(Manhole_Register!$AA$5:$AA$304,MATCH($B27,Manhole_Register!$A$5:$A$304,0)),IFERROR(INDEX(ERSS_Pit_Register!$U$5:$U$304,MATCH($B27,ERSS_Pit_Register!$A$5:$A$304,0)),IFERROR(INDEX(Linkway_Register!$W$5:$W$304,MATCH($B27,Linkway_Register!$A$5:$A$304,0)),IFERROR(INDEX(Other_Register!$M$5:$M$304,MATCH($B27,Other_Register!$A$5:$A$304,0)),""))))))))</f>
        <v/>
      </c>
      <c r="J27" s="10" t="str">
        <f aca="false">IF($B27="","",IFERROR(INDEX(Drain_Register!$V$5:$V$304,MATCH($B27,Drain_Register!$A$5:$A$304,0)),IFERROR(INDEX(RW_Register!$AB$5:$AB$304,MATCH($B27,RW_Register!$A$5:$A$304,0)),IFERROR(INDEX(Embedded_Wall_Register!$Y$5:$Y$304,MATCH($B27,Embedded_Wall_Register!$A$5:$A$304,0)),IFERROR(INDEX(Manhole_Register!$AB$5:$AB$304,MATCH($B27,Manhole_Register!$A$5:$A$304,0)),IFERROR(INDEX(ERSS_Pit_Register!$V$5:$V$304,MATCH($B27,ERSS_Pit_Register!$A$5:$A$304,0)),IFERROR(INDEX(Linkway_Register!$X$5:$X$304,MATCH($B27,Linkway_Register!$A$5:$A$304,0)),IFERROR(INDEX(Other_Register!$N$5:$N$304,MATCH($B27,Other_Register!$A$5:$A$304,0)),""))))))))</f>
        <v/>
      </c>
      <c r="K27" s="10" t="str">
        <f aca="false">IF($B27="","",IFERROR(INDEX(Drain_Register!$W$5:$W$304,MATCH($B27,Drain_Register!$A$5:$A$304,0)),IFERROR(INDEX(RW_Register!$AC$5:$AC$304,MATCH($B27,RW_Register!$A$5:$A$304,0)),IFERROR(INDEX(Embedded_Wall_Register!$Z$5:$Z$304,MATCH($B27,Embedded_Wall_Register!$A$5:$A$304,0)),IFERROR(INDEX(Manhole_Register!$AC$5:$AC$304,MATCH($B27,Manhole_Register!$A$5:$A$304,0)),IFERROR(INDEX(ERSS_Pit_Register!$W$5:$W$304,MATCH($B27,ERSS_Pit_Register!$A$5:$A$304,0)),IFERROR(INDEX(Linkway_Register!$Y$5:$Y$304,MATCH($B27,Linkway_Register!$A$5:$A$304,0)),IFERROR(INDEX(Other_Register!$O$5:$O$304,MATCH($B27,Other_Register!$A$5:$A$304,0)),""))))))))</f>
        <v/>
      </c>
      <c r="L27" s="10" t="str">
        <f aca="false">IF($B27="","",IFERROR(INDEX(Drain_Register!$X$5:$X$304,MATCH($B27,Drain_Register!$A$5:$A$304,0)),IFERROR(INDEX(RW_Register!$AD$5:$AD$304,MATCH($B27,RW_Register!$A$5:$A$304,0)),IFERROR(INDEX(Embedded_Wall_Register!$AA$5:$AA$304,MATCH($B27,Embedded_Wall_Register!$A$5:$A$304,0)),IFERROR(INDEX(Manhole_Register!$AD$5:$AD$304,MATCH($B27,Manhole_Register!$A$5:$A$304,0)),IFERROR(INDEX(ERSS_Pit_Register!$X$5:$X$304,MATCH($B27,ERSS_Pit_Register!$A$5:$A$304,0)),IFERROR(INDEX(Linkway_Register!$Z$5:$Z$304,MATCH($B27,Linkway_Register!$A$5:$A$304,0)),IFERROR(INDEX(Other_Register!$P$5:$P$304,MATCH($B27,Other_Register!$A$5:$A$304,0)),""))))))))</f>
        <v/>
      </c>
      <c r="M27" s="10" t="str">
        <f aca="false">IF($B27="","",IFERROR(INDEX(Drain_Register!$Z$5:$Z$304,MATCH($B27,Drain_Register!$A$5:$A$304,0)),IFERROR(INDEX(RW_Register!$AF$5:$AF$304,MATCH($B27,RW_Register!$A$5:$A$304,0)),IFERROR(INDEX(Embedded_Wall_Register!$AC$5:$AC$304,MATCH($B27,Embedded_Wall_Register!$A$5:$A$304,0)),IFERROR(INDEX(Manhole_Register!$AF$5:$AF$304,MATCH($B27,Manhole_Register!$A$5:$A$304,0)),IFERROR(INDEX(ERSS_Pit_Register!$Z$5:$Z$304,MATCH($B27,ERSS_Pit_Register!$A$5:$A$304,0)),IFERROR(INDEX(Linkway_Register!$AB$5:$AB$304,MATCH($B27,Linkway_Register!$A$5:$A$304,0)),IFERROR(INDEX(Other_Register!$R$5:$R$304,MATCH($B27,Other_Register!$A$5:$A$304,0)),"")))))))&amp;IFERROR(INDEX(Drain_Register!$AA$5:$AA$304,MATCH($B27,Drain_Register!$A$5:$A$304,0)),IFERROR(INDEX(RW_Register!$AG$5:$AG$304,MATCH($B27,RW_Register!$A$5:$A$304,0)),IFERROR(INDEX(Embedded_Wall_Register!$AD$5:$AD$304,MATCH($B27,Embedded_Wall_Register!$A$5:$A$304,0)),IFERROR(INDEX(Manhole_Register!$AG$5:$AG$304,MATCH($B27,Manhole_Register!$A$5:$A$304,0)),IFERROR(INDEX(ERSS_Pit_Register!$AA$5:$AA$304,MATCH($B27,ERSS_Pit_Register!$A$5:$A$304,0)),IFERROR(INDEX(Linkway_Register!$AC$5:$AC$304,MATCH($B27,Linkway_Register!$A$5:$A$304,0)),IFERROR(INDEX(Other_Register!$S$5:$S$304,MATCH($B27,Other_Register!$A$5:$A$304,0)),""))))))))</f>
        <v/>
      </c>
      <c r="N27" s="19" t="str">
        <f aca="false">IF(OR($B27="",$D27=""),"",$D27*N(IFERROR(INDEX(Drain_Register!$AH$5:$AH$304,MATCH($B27,Drain_Register!$A$5:$A$304,0)),IFERROR(INDEX(RW_Register!$AN$5:$AN$304,MATCH($B27,RW_Register!$A$5:$A$304,0)),IFERROR(INDEX(Embedded_Wall_Register!$AK$5:$AK$304,MATCH($B27,Embedded_Wall_Register!$A$5:$A$304,0)),IFERROR(INDEX(Manhole_Register!$AN$5:$AN$304,MATCH($B27,Manhole_Register!$A$5:$A$304,0)),IFERROR(INDEX(ERSS_Pit_Register!$AH$5:$AH$304,MATCH($B27,ERSS_Pit_Register!$A$5:$A$304,0)),IFERROR(INDEX(Linkway_Register!$AJ$5:$AJ$304,MATCH($B27,Linkway_Register!$A$5:$A$304,0)),IFERROR(INDEX(Other_Register!$Z$5:$Z$304,MATCH($B27,Other_Register!$A$5:$A$304,0)),0)))))))))</f>
        <v/>
      </c>
      <c r="O27" s="20" t="str">
        <f aca="false">IF(OR($B27="",$D27=""),"",$D27*N(IFERROR(INDEX(Drain_Register!$AI$5:$AI$304,MATCH($B27,Drain_Register!$A$5:$A$304,0)),IFERROR(INDEX(RW_Register!$AO$5:$AO$304,MATCH($B27,RW_Register!$A$5:$A$304,0)),IFERROR(INDEX(Embedded_Wall_Register!$AL$5:$AL$304,MATCH($B27,Embedded_Wall_Register!$A$5:$A$304,0)),IFERROR(INDEX(Manhole_Register!$AO$5:$AO$304,MATCH($B27,Manhole_Register!$A$5:$A$304,0)),IFERROR(INDEX(ERSS_Pit_Register!$AI$5:$AI$304,MATCH($B27,ERSS_Pit_Register!$A$5:$A$304,0)),IFERROR(INDEX(Linkway_Register!$AK$5:$AK$304,MATCH($B27,Linkway_Register!$A$5:$A$304,0)),IFERROR(INDEX(Other_Register!$AA$5:$AA$304,MATCH($B27,Other_Register!$A$5:$A$304,0)),0))))))))/1000)</f>
        <v/>
      </c>
      <c r="P27" s="20" t="str">
        <f aca="false">IF(OR($B27="",$D27=""),"",$D27*N(IFERROR(INDEX(Drain_Register!$AJ$5:$AJ$304,MATCH($B27,Drain_Register!$A$5:$A$304,0)),IFERROR(INDEX(RW_Register!$AP$5:$AP$304,MATCH($B27,RW_Register!$A$5:$A$304,0)),IFERROR(INDEX(Embedded_Wall_Register!$AM$5:$AM$304,MATCH($B27,Embedded_Wall_Register!$A$5:$A$304,0)),IFERROR(INDEX(Manhole_Register!$AP$5:$AP$304,MATCH($B27,Manhole_Register!$A$5:$A$304,0)),IFERROR(INDEX(ERSS_Pit_Register!$AJ$5:$AJ$304,MATCH($B27,ERSS_Pit_Register!$A$5:$A$304,0)),IFERROR(INDEX(Linkway_Register!$AL$5:$AL$304,MATCH($B27,Linkway_Register!$A$5:$A$304,0)),IFERROR(INDEX(Other_Register!$AB$5:$AB$304,MATCH($B27,Other_Register!$A$5:$A$304,0)),0))))))))/1000)</f>
        <v/>
      </c>
      <c r="Q27" s="19" t="str">
        <f aca="false">IF(OR($B27="",$D27=""),"",$D27*N(IFERROR(INDEX(Drain_Register!$AK$5:$AK$304,MATCH($B27,Drain_Register!$A$5:$A$304,0)),IFERROR(INDEX(RW_Register!$AQ$5:$AQ$304,MATCH($B27,RW_Register!$A$5:$A$304,0)),IFERROR(INDEX(Embedded_Wall_Register!$AN$5:$AN$304,MATCH($B27,Embedded_Wall_Register!$A$5:$A$304,0)),IFERROR(INDEX(Manhole_Register!$AQ$5:$AQ$304,MATCH($B27,Manhole_Register!$A$5:$A$304,0)),IFERROR(INDEX(ERSS_Pit_Register!$AK$5:$AK$304,MATCH($B27,ERSS_Pit_Register!$A$5:$A$304,0)),IFERROR(INDEX(Linkway_Register!$AM$5:$AM$304,MATCH($B27,Linkway_Register!$A$5:$A$304,0)),IFERROR(INDEX(Other_Register!$AC$5:$AC$304,MATCH($B27,Other_Register!$A$5:$A$304,0)),0)))))))))</f>
        <v/>
      </c>
      <c r="R27" s="19" t="str">
        <f aca="false">IF(OR($B27="",$D27=""),"",$D27*N(IFERROR(INDEX(Drain_Register!$AL$5:$AL$304,MATCH($B27,Drain_Register!$A$5:$A$304,0)),IFERROR(INDEX(RW_Register!$AR$5:$AR$304,MATCH($B27,RW_Register!$A$5:$A$304,0)),IFERROR(INDEX(Embedded_Wall_Register!$AO$5:$AO$304,MATCH($B27,Embedded_Wall_Register!$A$5:$A$304,0)),IFERROR(INDEX(Manhole_Register!$AR$5:$AR$304,MATCH($B27,Manhole_Register!$A$5:$A$304,0)),IFERROR(INDEX(ERSS_Pit_Register!$AL$5:$AL$304,MATCH($B27,ERSS_Pit_Register!$A$5:$A$304,0)),IFERROR(INDEX(Linkway_Register!$AN$5:$AN$304,MATCH($B27,Linkway_Register!$A$5:$A$304,0)),IFERROR(INDEX(Other_Register!$AD$5:$AD$304,MATCH($B27,Other_Register!$A$5:$A$304,0)),0)))))))))</f>
        <v/>
      </c>
      <c r="S27" s="10" t="str">
        <f aca="false">IF($B27="","",IF(G27="","ID not found",IF(J27&lt;&gt;"Approved","WARNING: status is "&amp;J27,IF(IFERROR(INDEX(Drain_Register!$AV$5:$AV$304,MATCH($B27,Drain_Register!$A$5:$A$304,0)),IFERROR(INDEX(RW_Register!$BA$5:$BA$304,MATCH($B27,RW_Register!$A$5:$A$304,0)),IFERROR(INDEX(Embedded_Wall_Register!$AX$5:$AX$304,MATCH($B27,Embedded_Wall_Register!$A$5:$A$304,0)),IFERROR(INDEX(Manhole_Register!$AZ$5:$AZ$304,MATCH($B27,Manhole_Register!$A$5:$A$304,0)),IFERROR(INDEX(ERSS_Pit_Register!$AU$5:$AU$304,MATCH($B27,ERSS_Pit_Register!$A$5:$A$304,0)),IFERROR(INDEX(Linkway_Register!$AV$5:$AV$304,MATCH($B27,Linkway_Register!$A$5:$A$304,0)),IFERROR(INDEX(Other_Register!$AL$5:$AL$304,MATCH($B27,Other_Register!$A$5:$A$304,0)),"")))))))="N","WARNING: fails SG compliance check",IF(D27="","Enter length / qty",IF(E27="","Enter CAD sheet no.","OK"))))))</f>
        <v/>
      </c>
    </row>
    <row r="28" customFormat="false" ht="15" hidden="false" customHeight="false" outlineLevel="0" collapsed="false">
      <c r="A28" s="9"/>
      <c r="B28" s="9"/>
      <c r="C28" s="9"/>
      <c r="D28" s="9"/>
      <c r="E28" s="9"/>
      <c r="F28" s="10" t="str">
        <f aca="false">IF($B28="","",IFERROR(INDEX(Drain_Register!$AG$5:$AG$304,MATCH($B28,Drain_Register!$A$5:$A$304,0)),IFERROR(INDEX(RW_Register!$AM$5:$AM$304,MATCH($B28,RW_Register!$A$5:$A$304,0)),IFERROR(INDEX(Embedded_Wall_Register!$AJ$5:$AJ$304,MATCH($B28,Embedded_Wall_Register!$A$5:$A$304,0)),IFERROR(INDEX(Manhole_Register!$AM$5:$AM$304,MATCH($B28,Manhole_Register!$A$5:$A$304,0)),IFERROR(INDEX(ERSS_Pit_Register!$AG$5:$AG$304,MATCH($B28,ERSS_Pit_Register!$A$5:$A$304,0)),IFERROR(INDEX(Linkway_Register!$AI$5:$AI$304,MATCH($B28,Linkway_Register!$A$5:$A$304,0)),IFERROR(INDEX(Other_Register!$Y$5:$Y$304,MATCH($B28,Other_Register!$A$5:$A$304,0)),""))))))))</f>
        <v/>
      </c>
      <c r="G28" s="10" t="str">
        <f aca="false">IF($B28="","",IF(ISNUMBER(MATCH($B28,Drain_Register!$A$5:$A$304,0)),"Drain",IF(ISNUMBER(MATCH($B28,RW_Register!$A$5:$A$304,0)),"Ret. Wall",IF(ISNUMBER(MATCH($B28,Embedded_Wall_Register!$A$5:$A$304,0)),"Embedded Wall",IF(ISNUMBER(MATCH($B28,Manhole_Register!$A$5:$A$304,0)),"Manhole",IF(ISNUMBER(MATCH($B28,ERSS_Pit_Register!$A$5:$A$304,0)),"ERSS Pit",IF(ISNUMBER(MATCH($B28,Linkway_Register!$A$5:$A$304,0)),"Linkway",IF(ISNUMBER(MATCH($B28,Other_Register!$A$5:$A$304,0)),"Others",""))))))))</f>
        <v/>
      </c>
      <c r="H28" s="10" t="str">
        <f aca="false">IF($B28="","",IFERROR(INDEX(Drain_Register!$B$5:$B$304,MATCH($B28,Drain_Register!$A$5:$A$304,0)),IFERROR(INDEX(RW_Register!$B$5:$B$304,MATCH($B28,RW_Register!$A$5:$A$304,0)),IFERROR(INDEX(Embedded_Wall_Register!$B$5:$B$304,MATCH($B28,Embedded_Wall_Register!$A$5:$A$304,0)),IFERROR(INDEX(Manhole_Register!$B$5:$B$304,MATCH($B28,Manhole_Register!$A$5:$A$304,0)),IFERROR(INDEX(ERSS_Pit_Register!$B$5:$B$304,MATCH($B28,ERSS_Pit_Register!$A$5:$A$304,0)),IFERROR(INDEX(Linkway_Register!$B$5:$B$304,MATCH($B28,Linkway_Register!$A$5:$A$304,0)),IFERROR(INDEX(Other_Register!$B$5:$B$304,MATCH($B28,Other_Register!$A$5:$A$304,0)),"ID not found - check spelling"))))))))</f>
        <v/>
      </c>
      <c r="I28" s="10" t="str">
        <f aca="false">IF($B28="","",IFERROR(INDEX(Drain_Register!$U$5:$U$304,MATCH($B28,Drain_Register!$A$5:$A$304,0)),IFERROR(INDEX(RW_Register!$AA$5:$AA$304,MATCH($B28,RW_Register!$A$5:$A$304,0)),IFERROR(INDEX(Embedded_Wall_Register!$X$5:$X$304,MATCH($B28,Embedded_Wall_Register!$A$5:$A$304,0)),IFERROR(INDEX(Manhole_Register!$AA$5:$AA$304,MATCH($B28,Manhole_Register!$A$5:$A$304,0)),IFERROR(INDEX(ERSS_Pit_Register!$U$5:$U$304,MATCH($B28,ERSS_Pit_Register!$A$5:$A$304,0)),IFERROR(INDEX(Linkway_Register!$W$5:$W$304,MATCH($B28,Linkway_Register!$A$5:$A$304,0)),IFERROR(INDEX(Other_Register!$M$5:$M$304,MATCH($B28,Other_Register!$A$5:$A$304,0)),""))))))))</f>
        <v/>
      </c>
      <c r="J28" s="10" t="str">
        <f aca="false">IF($B28="","",IFERROR(INDEX(Drain_Register!$V$5:$V$304,MATCH($B28,Drain_Register!$A$5:$A$304,0)),IFERROR(INDEX(RW_Register!$AB$5:$AB$304,MATCH($B28,RW_Register!$A$5:$A$304,0)),IFERROR(INDEX(Embedded_Wall_Register!$Y$5:$Y$304,MATCH($B28,Embedded_Wall_Register!$A$5:$A$304,0)),IFERROR(INDEX(Manhole_Register!$AB$5:$AB$304,MATCH($B28,Manhole_Register!$A$5:$A$304,0)),IFERROR(INDEX(ERSS_Pit_Register!$V$5:$V$304,MATCH($B28,ERSS_Pit_Register!$A$5:$A$304,0)),IFERROR(INDEX(Linkway_Register!$X$5:$X$304,MATCH($B28,Linkway_Register!$A$5:$A$304,0)),IFERROR(INDEX(Other_Register!$N$5:$N$304,MATCH($B28,Other_Register!$A$5:$A$304,0)),""))))))))</f>
        <v/>
      </c>
      <c r="K28" s="10" t="str">
        <f aca="false">IF($B28="","",IFERROR(INDEX(Drain_Register!$W$5:$W$304,MATCH($B28,Drain_Register!$A$5:$A$304,0)),IFERROR(INDEX(RW_Register!$AC$5:$AC$304,MATCH($B28,RW_Register!$A$5:$A$304,0)),IFERROR(INDEX(Embedded_Wall_Register!$Z$5:$Z$304,MATCH($B28,Embedded_Wall_Register!$A$5:$A$304,0)),IFERROR(INDEX(Manhole_Register!$AC$5:$AC$304,MATCH($B28,Manhole_Register!$A$5:$A$304,0)),IFERROR(INDEX(ERSS_Pit_Register!$W$5:$W$304,MATCH($B28,ERSS_Pit_Register!$A$5:$A$304,0)),IFERROR(INDEX(Linkway_Register!$Y$5:$Y$304,MATCH($B28,Linkway_Register!$A$5:$A$304,0)),IFERROR(INDEX(Other_Register!$O$5:$O$304,MATCH($B28,Other_Register!$A$5:$A$304,0)),""))))))))</f>
        <v/>
      </c>
      <c r="L28" s="10" t="str">
        <f aca="false">IF($B28="","",IFERROR(INDEX(Drain_Register!$X$5:$X$304,MATCH($B28,Drain_Register!$A$5:$A$304,0)),IFERROR(INDEX(RW_Register!$AD$5:$AD$304,MATCH($B28,RW_Register!$A$5:$A$304,0)),IFERROR(INDEX(Embedded_Wall_Register!$AA$5:$AA$304,MATCH($B28,Embedded_Wall_Register!$A$5:$A$304,0)),IFERROR(INDEX(Manhole_Register!$AD$5:$AD$304,MATCH($B28,Manhole_Register!$A$5:$A$304,0)),IFERROR(INDEX(ERSS_Pit_Register!$X$5:$X$304,MATCH($B28,ERSS_Pit_Register!$A$5:$A$304,0)),IFERROR(INDEX(Linkway_Register!$Z$5:$Z$304,MATCH($B28,Linkway_Register!$A$5:$A$304,0)),IFERROR(INDEX(Other_Register!$P$5:$P$304,MATCH($B28,Other_Register!$A$5:$A$304,0)),""))))))))</f>
        <v/>
      </c>
      <c r="M28" s="10" t="str">
        <f aca="false">IF($B28="","",IFERROR(INDEX(Drain_Register!$Z$5:$Z$304,MATCH($B28,Drain_Register!$A$5:$A$304,0)),IFERROR(INDEX(RW_Register!$AF$5:$AF$304,MATCH($B28,RW_Register!$A$5:$A$304,0)),IFERROR(INDEX(Embedded_Wall_Register!$AC$5:$AC$304,MATCH($B28,Embedded_Wall_Register!$A$5:$A$304,0)),IFERROR(INDEX(Manhole_Register!$AF$5:$AF$304,MATCH($B28,Manhole_Register!$A$5:$A$304,0)),IFERROR(INDEX(ERSS_Pit_Register!$Z$5:$Z$304,MATCH($B28,ERSS_Pit_Register!$A$5:$A$304,0)),IFERROR(INDEX(Linkway_Register!$AB$5:$AB$304,MATCH($B28,Linkway_Register!$A$5:$A$304,0)),IFERROR(INDEX(Other_Register!$R$5:$R$304,MATCH($B28,Other_Register!$A$5:$A$304,0)),"")))))))&amp;IFERROR(INDEX(Drain_Register!$AA$5:$AA$304,MATCH($B28,Drain_Register!$A$5:$A$304,0)),IFERROR(INDEX(RW_Register!$AG$5:$AG$304,MATCH($B28,RW_Register!$A$5:$A$304,0)),IFERROR(INDEX(Embedded_Wall_Register!$AD$5:$AD$304,MATCH($B28,Embedded_Wall_Register!$A$5:$A$304,0)),IFERROR(INDEX(Manhole_Register!$AG$5:$AG$304,MATCH($B28,Manhole_Register!$A$5:$A$304,0)),IFERROR(INDEX(ERSS_Pit_Register!$AA$5:$AA$304,MATCH($B28,ERSS_Pit_Register!$A$5:$A$304,0)),IFERROR(INDEX(Linkway_Register!$AC$5:$AC$304,MATCH($B28,Linkway_Register!$A$5:$A$304,0)),IFERROR(INDEX(Other_Register!$S$5:$S$304,MATCH($B28,Other_Register!$A$5:$A$304,0)),""))))))))</f>
        <v/>
      </c>
      <c r="N28" s="19" t="str">
        <f aca="false">IF(OR($B28="",$D28=""),"",$D28*N(IFERROR(INDEX(Drain_Register!$AH$5:$AH$304,MATCH($B28,Drain_Register!$A$5:$A$304,0)),IFERROR(INDEX(RW_Register!$AN$5:$AN$304,MATCH($B28,RW_Register!$A$5:$A$304,0)),IFERROR(INDEX(Embedded_Wall_Register!$AK$5:$AK$304,MATCH($B28,Embedded_Wall_Register!$A$5:$A$304,0)),IFERROR(INDEX(Manhole_Register!$AN$5:$AN$304,MATCH($B28,Manhole_Register!$A$5:$A$304,0)),IFERROR(INDEX(ERSS_Pit_Register!$AH$5:$AH$304,MATCH($B28,ERSS_Pit_Register!$A$5:$A$304,0)),IFERROR(INDEX(Linkway_Register!$AJ$5:$AJ$304,MATCH($B28,Linkway_Register!$A$5:$A$304,0)),IFERROR(INDEX(Other_Register!$Z$5:$Z$304,MATCH($B28,Other_Register!$A$5:$A$304,0)),0)))))))))</f>
        <v/>
      </c>
      <c r="O28" s="20" t="str">
        <f aca="false">IF(OR($B28="",$D28=""),"",$D28*N(IFERROR(INDEX(Drain_Register!$AI$5:$AI$304,MATCH($B28,Drain_Register!$A$5:$A$304,0)),IFERROR(INDEX(RW_Register!$AO$5:$AO$304,MATCH($B28,RW_Register!$A$5:$A$304,0)),IFERROR(INDEX(Embedded_Wall_Register!$AL$5:$AL$304,MATCH($B28,Embedded_Wall_Register!$A$5:$A$304,0)),IFERROR(INDEX(Manhole_Register!$AO$5:$AO$304,MATCH($B28,Manhole_Register!$A$5:$A$304,0)),IFERROR(INDEX(ERSS_Pit_Register!$AI$5:$AI$304,MATCH($B28,ERSS_Pit_Register!$A$5:$A$304,0)),IFERROR(INDEX(Linkway_Register!$AK$5:$AK$304,MATCH($B28,Linkway_Register!$A$5:$A$304,0)),IFERROR(INDEX(Other_Register!$AA$5:$AA$304,MATCH($B28,Other_Register!$A$5:$A$304,0)),0))))))))/1000)</f>
        <v/>
      </c>
      <c r="P28" s="20" t="str">
        <f aca="false">IF(OR($B28="",$D28=""),"",$D28*N(IFERROR(INDEX(Drain_Register!$AJ$5:$AJ$304,MATCH($B28,Drain_Register!$A$5:$A$304,0)),IFERROR(INDEX(RW_Register!$AP$5:$AP$304,MATCH($B28,RW_Register!$A$5:$A$304,0)),IFERROR(INDEX(Embedded_Wall_Register!$AM$5:$AM$304,MATCH($B28,Embedded_Wall_Register!$A$5:$A$304,0)),IFERROR(INDEX(Manhole_Register!$AP$5:$AP$304,MATCH($B28,Manhole_Register!$A$5:$A$304,0)),IFERROR(INDEX(ERSS_Pit_Register!$AJ$5:$AJ$304,MATCH($B28,ERSS_Pit_Register!$A$5:$A$304,0)),IFERROR(INDEX(Linkway_Register!$AL$5:$AL$304,MATCH($B28,Linkway_Register!$A$5:$A$304,0)),IFERROR(INDEX(Other_Register!$AB$5:$AB$304,MATCH($B28,Other_Register!$A$5:$A$304,0)),0))))))))/1000)</f>
        <v/>
      </c>
      <c r="Q28" s="19" t="str">
        <f aca="false">IF(OR($B28="",$D28=""),"",$D28*N(IFERROR(INDEX(Drain_Register!$AK$5:$AK$304,MATCH($B28,Drain_Register!$A$5:$A$304,0)),IFERROR(INDEX(RW_Register!$AQ$5:$AQ$304,MATCH($B28,RW_Register!$A$5:$A$304,0)),IFERROR(INDEX(Embedded_Wall_Register!$AN$5:$AN$304,MATCH($B28,Embedded_Wall_Register!$A$5:$A$304,0)),IFERROR(INDEX(Manhole_Register!$AQ$5:$AQ$304,MATCH($B28,Manhole_Register!$A$5:$A$304,0)),IFERROR(INDEX(ERSS_Pit_Register!$AK$5:$AK$304,MATCH($B28,ERSS_Pit_Register!$A$5:$A$304,0)),IFERROR(INDEX(Linkway_Register!$AM$5:$AM$304,MATCH($B28,Linkway_Register!$A$5:$A$304,0)),IFERROR(INDEX(Other_Register!$AC$5:$AC$304,MATCH($B28,Other_Register!$A$5:$A$304,0)),0)))))))))</f>
        <v/>
      </c>
      <c r="R28" s="19" t="str">
        <f aca="false">IF(OR($B28="",$D28=""),"",$D28*N(IFERROR(INDEX(Drain_Register!$AL$5:$AL$304,MATCH($B28,Drain_Register!$A$5:$A$304,0)),IFERROR(INDEX(RW_Register!$AR$5:$AR$304,MATCH($B28,RW_Register!$A$5:$A$304,0)),IFERROR(INDEX(Embedded_Wall_Register!$AO$5:$AO$304,MATCH($B28,Embedded_Wall_Register!$A$5:$A$304,0)),IFERROR(INDEX(Manhole_Register!$AR$5:$AR$304,MATCH($B28,Manhole_Register!$A$5:$A$304,0)),IFERROR(INDEX(ERSS_Pit_Register!$AL$5:$AL$304,MATCH($B28,ERSS_Pit_Register!$A$5:$A$304,0)),IFERROR(INDEX(Linkway_Register!$AN$5:$AN$304,MATCH($B28,Linkway_Register!$A$5:$A$304,0)),IFERROR(INDEX(Other_Register!$AD$5:$AD$304,MATCH($B28,Other_Register!$A$5:$A$304,0)),0)))))))))</f>
        <v/>
      </c>
      <c r="S28" s="10" t="str">
        <f aca="false">IF($B28="","",IF(G28="","ID not found",IF(J28&lt;&gt;"Approved","WARNING: status is "&amp;J28,IF(IFERROR(INDEX(Drain_Register!$AV$5:$AV$304,MATCH($B28,Drain_Register!$A$5:$A$304,0)),IFERROR(INDEX(RW_Register!$BA$5:$BA$304,MATCH($B28,RW_Register!$A$5:$A$304,0)),IFERROR(INDEX(Embedded_Wall_Register!$AX$5:$AX$304,MATCH($B28,Embedded_Wall_Register!$A$5:$A$304,0)),IFERROR(INDEX(Manhole_Register!$AZ$5:$AZ$304,MATCH($B28,Manhole_Register!$A$5:$A$304,0)),IFERROR(INDEX(ERSS_Pit_Register!$AU$5:$AU$304,MATCH($B28,ERSS_Pit_Register!$A$5:$A$304,0)),IFERROR(INDEX(Linkway_Register!$AV$5:$AV$304,MATCH($B28,Linkway_Register!$A$5:$A$304,0)),IFERROR(INDEX(Other_Register!$AL$5:$AL$304,MATCH($B28,Other_Register!$A$5:$A$304,0)),"")))))))="N","WARNING: fails SG compliance check",IF(D28="","Enter length / qty",IF(E28="","Enter CAD sheet no.","OK"))))))</f>
        <v/>
      </c>
    </row>
    <row r="29" customFormat="false" ht="15" hidden="false" customHeight="false" outlineLevel="0" collapsed="false">
      <c r="A29" s="9"/>
      <c r="B29" s="9"/>
      <c r="C29" s="9"/>
      <c r="D29" s="9"/>
      <c r="E29" s="9"/>
      <c r="F29" s="10" t="str">
        <f aca="false">IF($B29="","",IFERROR(INDEX(Drain_Register!$AG$5:$AG$304,MATCH($B29,Drain_Register!$A$5:$A$304,0)),IFERROR(INDEX(RW_Register!$AM$5:$AM$304,MATCH($B29,RW_Register!$A$5:$A$304,0)),IFERROR(INDEX(Embedded_Wall_Register!$AJ$5:$AJ$304,MATCH($B29,Embedded_Wall_Register!$A$5:$A$304,0)),IFERROR(INDEX(Manhole_Register!$AM$5:$AM$304,MATCH($B29,Manhole_Register!$A$5:$A$304,0)),IFERROR(INDEX(ERSS_Pit_Register!$AG$5:$AG$304,MATCH($B29,ERSS_Pit_Register!$A$5:$A$304,0)),IFERROR(INDEX(Linkway_Register!$AI$5:$AI$304,MATCH($B29,Linkway_Register!$A$5:$A$304,0)),IFERROR(INDEX(Other_Register!$Y$5:$Y$304,MATCH($B29,Other_Register!$A$5:$A$304,0)),""))))))))</f>
        <v/>
      </c>
      <c r="G29" s="10" t="str">
        <f aca="false">IF($B29="","",IF(ISNUMBER(MATCH($B29,Drain_Register!$A$5:$A$304,0)),"Drain",IF(ISNUMBER(MATCH($B29,RW_Register!$A$5:$A$304,0)),"Ret. Wall",IF(ISNUMBER(MATCH($B29,Embedded_Wall_Register!$A$5:$A$304,0)),"Embedded Wall",IF(ISNUMBER(MATCH($B29,Manhole_Register!$A$5:$A$304,0)),"Manhole",IF(ISNUMBER(MATCH($B29,ERSS_Pit_Register!$A$5:$A$304,0)),"ERSS Pit",IF(ISNUMBER(MATCH($B29,Linkway_Register!$A$5:$A$304,0)),"Linkway",IF(ISNUMBER(MATCH($B29,Other_Register!$A$5:$A$304,0)),"Others",""))))))))</f>
        <v/>
      </c>
      <c r="H29" s="10" t="str">
        <f aca="false">IF($B29="","",IFERROR(INDEX(Drain_Register!$B$5:$B$304,MATCH($B29,Drain_Register!$A$5:$A$304,0)),IFERROR(INDEX(RW_Register!$B$5:$B$304,MATCH($B29,RW_Register!$A$5:$A$304,0)),IFERROR(INDEX(Embedded_Wall_Register!$B$5:$B$304,MATCH($B29,Embedded_Wall_Register!$A$5:$A$304,0)),IFERROR(INDEX(Manhole_Register!$B$5:$B$304,MATCH($B29,Manhole_Register!$A$5:$A$304,0)),IFERROR(INDEX(ERSS_Pit_Register!$B$5:$B$304,MATCH($B29,ERSS_Pit_Register!$A$5:$A$304,0)),IFERROR(INDEX(Linkway_Register!$B$5:$B$304,MATCH($B29,Linkway_Register!$A$5:$A$304,0)),IFERROR(INDEX(Other_Register!$B$5:$B$304,MATCH($B29,Other_Register!$A$5:$A$304,0)),"ID not found - check spelling"))))))))</f>
        <v/>
      </c>
      <c r="I29" s="10" t="str">
        <f aca="false">IF($B29="","",IFERROR(INDEX(Drain_Register!$U$5:$U$304,MATCH($B29,Drain_Register!$A$5:$A$304,0)),IFERROR(INDEX(RW_Register!$AA$5:$AA$304,MATCH($B29,RW_Register!$A$5:$A$304,0)),IFERROR(INDEX(Embedded_Wall_Register!$X$5:$X$304,MATCH($B29,Embedded_Wall_Register!$A$5:$A$304,0)),IFERROR(INDEX(Manhole_Register!$AA$5:$AA$304,MATCH($B29,Manhole_Register!$A$5:$A$304,0)),IFERROR(INDEX(ERSS_Pit_Register!$U$5:$U$304,MATCH($B29,ERSS_Pit_Register!$A$5:$A$304,0)),IFERROR(INDEX(Linkway_Register!$W$5:$W$304,MATCH($B29,Linkway_Register!$A$5:$A$304,0)),IFERROR(INDEX(Other_Register!$M$5:$M$304,MATCH($B29,Other_Register!$A$5:$A$304,0)),""))))))))</f>
        <v/>
      </c>
      <c r="J29" s="10" t="str">
        <f aca="false">IF($B29="","",IFERROR(INDEX(Drain_Register!$V$5:$V$304,MATCH($B29,Drain_Register!$A$5:$A$304,0)),IFERROR(INDEX(RW_Register!$AB$5:$AB$304,MATCH($B29,RW_Register!$A$5:$A$304,0)),IFERROR(INDEX(Embedded_Wall_Register!$Y$5:$Y$304,MATCH($B29,Embedded_Wall_Register!$A$5:$A$304,0)),IFERROR(INDEX(Manhole_Register!$AB$5:$AB$304,MATCH($B29,Manhole_Register!$A$5:$A$304,0)),IFERROR(INDEX(ERSS_Pit_Register!$V$5:$V$304,MATCH($B29,ERSS_Pit_Register!$A$5:$A$304,0)),IFERROR(INDEX(Linkway_Register!$X$5:$X$304,MATCH($B29,Linkway_Register!$A$5:$A$304,0)),IFERROR(INDEX(Other_Register!$N$5:$N$304,MATCH($B29,Other_Register!$A$5:$A$304,0)),""))))))))</f>
        <v/>
      </c>
      <c r="K29" s="10" t="str">
        <f aca="false">IF($B29="","",IFERROR(INDEX(Drain_Register!$W$5:$W$304,MATCH($B29,Drain_Register!$A$5:$A$304,0)),IFERROR(INDEX(RW_Register!$AC$5:$AC$304,MATCH($B29,RW_Register!$A$5:$A$304,0)),IFERROR(INDEX(Embedded_Wall_Register!$Z$5:$Z$304,MATCH($B29,Embedded_Wall_Register!$A$5:$A$304,0)),IFERROR(INDEX(Manhole_Register!$AC$5:$AC$304,MATCH($B29,Manhole_Register!$A$5:$A$304,0)),IFERROR(INDEX(ERSS_Pit_Register!$W$5:$W$304,MATCH($B29,ERSS_Pit_Register!$A$5:$A$304,0)),IFERROR(INDEX(Linkway_Register!$Y$5:$Y$304,MATCH($B29,Linkway_Register!$A$5:$A$304,0)),IFERROR(INDEX(Other_Register!$O$5:$O$304,MATCH($B29,Other_Register!$A$5:$A$304,0)),""))))))))</f>
        <v/>
      </c>
      <c r="L29" s="10" t="str">
        <f aca="false">IF($B29="","",IFERROR(INDEX(Drain_Register!$X$5:$X$304,MATCH($B29,Drain_Register!$A$5:$A$304,0)),IFERROR(INDEX(RW_Register!$AD$5:$AD$304,MATCH($B29,RW_Register!$A$5:$A$304,0)),IFERROR(INDEX(Embedded_Wall_Register!$AA$5:$AA$304,MATCH($B29,Embedded_Wall_Register!$A$5:$A$304,0)),IFERROR(INDEX(Manhole_Register!$AD$5:$AD$304,MATCH($B29,Manhole_Register!$A$5:$A$304,0)),IFERROR(INDEX(ERSS_Pit_Register!$X$5:$X$304,MATCH($B29,ERSS_Pit_Register!$A$5:$A$304,0)),IFERROR(INDEX(Linkway_Register!$Z$5:$Z$304,MATCH($B29,Linkway_Register!$A$5:$A$304,0)),IFERROR(INDEX(Other_Register!$P$5:$P$304,MATCH($B29,Other_Register!$A$5:$A$304,0)),""))))))))</f>
        <v/>
      </c>
      <c r="M29" s="10" t="str">
        <f aca="false">IF($B29="","",IFERROR(INDEX(Drain_Register!$Z$5:$Z$304,MATCH($B29,Drain_Register!$A$5:$A$304,0)),IFERROR(INDEX(RW_Register!$AF$5:$AF$304,MATCH($B29,RW_Register!$A$5:$A$304,0)),IFERROR(INDEX(Embedded_Wall_Register!$AC$5:$AC$304,MATCH($B29,Embedded_Wall_Register!$A$5:$A$304,0)),IFERROR(INDEX(Manhole_Register!$AF$5:$AF$304,MATCH($B29,Manhole_Register!$A$5:$A$304,0)),IFERROR(INDEX(ERSS_Pit_Register!$Z$5:$Z$304,MATCH($B29,ERSS_Pit_Register!$A$5:$A$304,0)),IFERROR(INDEX(Linkway_Register!$AB$5:$AB$304,MATCH($B29,Linkway_Register!$A$5:$A$304,0)),IFERROR(INDEX(Other_Register!$R$5:$R$304,MATCH($B29,Other_Register!$A$5:$A$304,0)),"")))))))&amp;IFERROR(INDEX(Drain_Register!$AA$5:$AA$304,MATCH($B29,Drain_Register!$A$5:$A$304,0)),IFERROR(INDEX(RW_Register!$AG$5:$AG$304,MATCH($B29,RW_Register!$A$5:$A$304,0)),IFERROR(INDEX(Embedded_Wall_Register!$AD$5:$AD$304,MATCH($B29,Embedded_Wall_Register!$A$5:$A$304,0)),IFERROR(INDEX(Manhole_Register!$AG$5:$AG$304,MATCH($B29,Manhole_Register!$A$5:$A$304,0)),IFERROR(INDEX(ERSS_Pit_Register!$AA$5:$AA$304,MATCH($B29,ERSS_Pit_Register!$A$5:$A$304,0)),IFERROR(INDEX(Linkway_Register!$AC$5:$AC$304,MATCH($B29,Linkway_Register!$A$5:$A$304,0)),IFERROR(INDEX(Other_Register!$S$5:$S$304,MATCH($B29,Other_Register!$A$5:$A$304,0)),""))))))))</f>
        <v/>
      </c>
      <c r="N29" s="19" t="str">
        <f aca="false">IF(OR($B29="",$D29=""),"",$D29*N(IFERROR(INDEX(Drain_Register!$AH$5:$AH$304,MATCH($B29,Drain_Register!$A$5:$A$304,0)),IFERROR(INDEX(RW_Register!$AN$5:$AN$304,MATCH($B29,RW_Register!$A$5:$A$304,0)),IFERROR(INDEX(Embedded_Wall_Register!$AK$5:$AK$304,MATCH($B29,Embedded_Wall_Register!$A$5:$A$304,0)),IFERROR(INDEX(Manhole_Register!$AN$5:$AN$304,MATCH($B29,Manhole_Register!$A$5:$A$304,0)),IFERROR(INDEX(ERSS_Pit_Register!$AH$5:$AH$304,MATCH($B29,ERSS_Pit_Register!$A$5:$A$304,0)),IFERROR(INDEX(Linkway_Register!$AJ$5:$AJ$304,MATCH($B29,Linkway_Register!$A$5:$A$304,0)),IFERROR(INDEX(Other_Register!$Z$5:$Z$304,MATCH($B29,Other_Register!$A$5:$A$304,0)),0)))))))))</f>
        <v/>
      </c>
      <c r="O29" s="20" t="str">
        <f aca="false">IF(OR($B29="",$D29=""),"",$D29*N(IFERROR(INDEX(Drain_Register!$AI$5:$AI$304,MATCH($B29,Drain_Register!$A$5:$A$304,0)),IFERROR(INDEX(RW_Register!$AO$5:$AO$304,MATCH($B29,RW_Register!$A$5:$A$304,0)),IFERROR(INDEX(Embedded_Wall_Register!$AL$5:$AL$304,MATCH($B29,Embedded_Wall_Register!$A$5:$A$304,0)),IFERROR(INDEX(Manhole_Register!$AO$5:$AO$304,MATCH($B29,Manhole_Register!$A$5:$A$304,0)),IFERROR(INDEX(ERSS_Pit_Register!$AI$5:$AI$304,MATCH($B29,ERSS_Pit_Register!$A$5:$A$304,0)),IFERROR(INDEX(Linkway_Register!$AK$5:$AK$304,MATCH($B29,Linkway_Register!$A$5:$A$304,0)),IFERROR(INDEX(Other_Register!$AA$5:$AA$304,MATCH($B29,Other_Register!$A$5:$A$304,0)),0))))))))/1000)</f>
        <v/>
      </c>
      <c r="P29" s="20" t="str">
        <f aca="false">IF(OR($B29="",$D29=""),"",$D29*N(IFERROR(INDEX(Drain_Register!$AJ$5:$AJ$304,MATCH($B29,Drain_Register!$A$5:$A$304,0)),IFERROR(INDEX(RW_Register!$AP$5:$AP$304,MATCH($B29,RW_Register!$A$5:$A$304,0)),IFERROR(INDEX(Embedded_Wall_Register!$AM$5:$AM$304,MATCH($B29,Embedded_Wall_Register!$A$5:$A$304,0)),IFERROR(INDEX(Manhole_Register!$AP$5:$AP$304,MATCH($B29,Manhole_Register!$A$5:$A$304,0)),IFERROR(INDEX(ERSS_Pit_Register!$AJ$5:$AJ$304,MATCH($B29,ERSS_Pit_Register!$A$5:$A$304,0)),IFERROR(INDEX(Linkway_Register!$AL$5:$AL$304,MATCH($B29,Linkway_Register!$A$5:$A$304,0)),IFERROR(INDEX(Other_Register!$AB$5:$AB$304,MATCH($B29,Other_Register!$A$5:$A$304,0)),0))))))))/1000)</f>
        <v/>
      </c>
      <c r="Q29" s="19" t="str">
        <f aca="false">IF(OR($B29="",$D29=""),"",$D29*N(IFERROR(INDEX(Drain_Register!$AK$5:$AK$304,MATCH($B29,Drain_Register!$A$5:$A$304,0)),IFERROR(INDEX(RW_Register!$AQ$5:$AQ$304,MATCH($B29,RW_Register!$A$5:$A$304,0)),IFERROR(INDEX(Embedded_Wall_Register!$AN$5:$AN$304,MATCH($B29,Embedded_Wall_Register!$A$5:$A$304,0)),IFERROR(INDEX(Manhole_Register!$AQ$5:$AQ$304,MATCH($B29,Manhole_Register!$A$5:$A$304,0)),IFERROR(INDEX(ERSS_Pit_Register!$AK$5:$AK$304,MATCH($B29,ERSS_Pit_Register!$A$5:$A$304,0)),IFERROR(INDEX(Linkway_Register!$AM$5:$AM$304,MATCH($B29,Linkway_Register!$A$5:$A$304,0)),IFERROR(INDEX(Other_Register!$AC$5:$AC$304,MATCH($B29,Other_Register!$A$5:$A$304,0)),0)))))))))</f>
        <v/>
      </c>
      <c r="R29" s="19" t="str">
        <f aca="false">IF(OR($B29="",$D29=""),"",$D29*N(IFERROR(INDEX(Drain_Register!$AL$5:$AL$304,MATCH($B29,Drain_Register!$A$5:$A$304,0)),IFERROR(INDEX(RW_Register!$AR$5:$AR$304,MATCH($B29,RW_Register!$A$5:$A$304,0)),IFERROR(INDEX(Embedded_Wall_Register!$AO$5:$AO$304,MATCH($B29,Embedded_Wall_Register!$A$5:$A$304,0)),IFERROR(INDEX(Manhole_Register!$AR$5:$AR$304,MATCH($B29,Manhole_Register!$A$5:$A$304,0)),IFERROR(INDEX(ERSS_Pit_Register!$AL$5:$AL$304,MATCH($B29,ERSS_Pit_Register!$A$5:$A$304,0)),IFERROR(INDEX(Linkway_Register!$AN$5:$AN$304,MATCH($B29,Linkway_Register!$A$5:$A$304,0)),IFERROR(INDEX(Other_Register!$AD$5:$AD$304,MATCH($B29,Other_Register!$A$5:$A$304,0)),0)))))))))</f>
        <v/>
      </c>
      <c r="S29" s="10" t="str">
        <f aca="false">IF($B29="","",IF(G29="","ID not found",IF(J29&lt;&gt;"Approved","WARNING: status is "&amp;J29,IF(IFERROR(INDEX(Drain_Register!$AV$5:$AV$304,MATCH($B29,Drain_Register!$A$5:$A$304,0)),IFERROR(INDEX(RW_Register!$BA$5:$BA$304,MATCH($B29,RW_Register!$A$5:$A$304,0)),IFERROR(INDEX(Embedded_Wall_Register!$AX$5:$AX$304,MATCH($B29,Embedded_Wall_Register!$A$5:$A$304,0)),IFERROR(INDEX(Manhole_Register!$AZ$5:$AZ$304,MATCH($B29,Manhole_Register!$A$5:$A$304,0)),IFERROR(INDEX(ERSS_Pit_Register!$AU$5:$AU$304,MATCH($B29,ERSS_Pit_Register!$A$5:$A$304,0)),IFERROR(INDEX(Linkway_Register!$AV$5:$AV$304,MATCH($B29,Linkway_Register!$A$5:$A$304,0)),IFERROR(INDEX(Other_Register!$AL$5:$AL$304,MATCH($B29,Other_Register!$A$5:$A$304,0)),"")))))))="N","WARNING: fails SG compliance check",IF(D29="","Enter length / qty",IF(E29="","Enter CAD sheet no.","OK"))))))</f>
        <v/>
      </c>
    </row>
    <row r="30" customFormat="false" ht="15" hidden="false" customHeight="false" outlineLevel="0" collapsed="false">
      <c r="A30" s="9"/>
      <c r="B30" s="9"/>
      <c r="C30" s="9"/>
      <c r="D30" s="9"/>
      <c r="E30" s="9"/>
      <c r="F30" s="10" t="str">
        <f aca="false">IF($B30="","",IFERROR(INDEX(Drain_Register!$AG$5:$AG$304,MATCH($B30,Drain_Register!$A$5:$A$304,0)),IFERROR(INDEX(RW_Register!$AM$5:$AM$304,MATCH($B30,RW_Register!$A$5:$A$304,0)),IFERROR(INDEX(Embedded_Wall_Register!$AJ$5:$AJ$304,MATCH($B30,Embedded_Wall_Register!$A$5:$A$304,0)),IFERROR(INDEX(Manhole_Register!$AM$5:$AM$304,MATCH($B30,Manhole_Register!$A$5:$A$304,0)),IFERROR(INDEX(ERSS_Pit_Register!$AG$5:$AG$304,MATCH($B30,ERSS_Pit_Register!$A$5:$A$304,0)),IFERROR(INDEX(Linkway_Register!$AI$5:$AI$304,MATCH($B30,Linkway_Register!$A$5:$A$304,0)),IFERROR(INDEX(Other_Register!$Y$5:$Y$304,MATCH($B30,Other_Register!$A$5:$A$304,0)),""))))))))</f>
        <v/>
      </c>
      <c r="G30" s="10" t="str">
        <f aca="false">IF($B30="","",IF(ISNUMBER(MATCH($B30,Drain_Register!$A$5:$A$304,0)),"Drain",IF(ISNUMBER(MATCH($B30,RW_Register!$A$5:$A$304,0)),"Ret. Wall",IF(ISNUMBER(MATCH($B30,Embedded_Wall_Register!$A$5:$A$304,0)),"Embedded Wall",IF(ISNUMBER(MATCH($B30,Manhole_Register!$A$5:$A$304,0)),"Manhole",IF(ISNUMBER(MATCH($B30,ERSS_Pit_Register!$A$5:$A$304,0)),"ERSS Pit",IF(ISNUMBER(MATCH($B30,Linkway_Register!$A$5:$A$304,0)),"Linkway",IF(ISNUMBER(MATCH($B30,Other_Register!$A$5:$A$304,0)),"Others",""))))))))</f>
        <v/>
      </c>
      <c r="H30" s="10" t="str">
        <f aca="false">IF($B30="","",IFERROR(INDEX(Drain_Register!$B$5:$B$304,MATCH($B30,Drain_Register!$A$5:$A$304,0)),IFERROR(INDEX(RW_Register!$B$5:$B$304,MATCH($B30,RW_Register!$A$5:$A$304,0)),IFERROR(INDEX(Embedded_Wall_Register!$B$5:$B$304,MATCH($B30,Embedded_Wall_Register!$A$5:$A$304,0)),IFERROR(INDEX(Manhole_Register!$B$5:$B$304,MATCH($B30,Manhole_Register!$A$5:$A$304,0)),IFERROR(INDEX(ERSS_Pit_Register!$B$5:$B$304,MATCH($B30,ERSS_Pit_Register!$A$5:$A$304,0)),IFERROR(INDEX(Linkway_Register!$B$5:$B$304,MATCH($B30,Linkway_Register!$A$5:$A$304,0)),IFERROR(INDEX(Other_Register!$B$5:$B$304,MATCH($B30,Other_Register!$A$5:$A$304,0)),"ID not found - check spelling"))))))))</f>
        <v/>
      </c>
      <c r="I30" s="10" t="str">
        <f aca="false">IF($B30="","",IFERROR(INDEX(Drain_Register!$U$5:$U$304,MATCH($B30,Drain_Register!$A$5:$A$304,0)),IFERROR(INDEX(RW_Register!$AA$5:$AA$304,MATCH($B30,RW_Register!$A$5:$A$304,0)),IFERROR(INDEX(Embedded_Wall_Register!$X$5:$X$304,MATCH($B30,Embedded_Wall_Register!$A$5:$A$304,0)),IFERROR(INDEX(Manhole_Register!$AA$5:$AA$304,MATCH($B30,Manhole_Register!$A$5:$A$304,0)),IFERROR(INDEX(ERSS_Pit_Register!$U$5:$U$304,MATCH($B30,ERSS_Pit_Register!$A$5:$A$304,0)),IFERROR(INDEX(Linkway_Register!$W$5:$W$304,MATCH($B30,Linkway_Register!$A$5:$A$304,0)),IFERROR(INDEX(Other_Register!$M$5:$M$304,MATCH($B30,Other_Register!$A$5:$A$304,0)),""))))))))</f>
        <v/>
      </c>
      <c r="J30" s="10" t="str">
        <f aca="false">IF($B30="","",IFERROR(INDEX(Drain_Register!$V$5:$V$304,MATCH($B30,Drain_Register!$A$5:$A$304,0)),IFERROR(INDEX(RW_Register!$AB$5:$AB$304,MATCH($B30,RW_Register!$A$5:$A$304,0)),IFERROR(INDEX(Embedded_Wall_Register!$Y$5:$Y$304,MATCH($B30,Embedded_Wall_Register!$A$5:$A$304,0)),IFERROR(INDEX(Manhole_Register!$AB$5:$AB$304,MATCH($B30,Manhole_Register!$A$5:$A$304,0)),IFERROR(INDEX(ERSS_Pit_Register!$V$5:$V$304,MATCH($B30,ERSS_Pit_Register!$A$5:$A$304,0)),IFERROR(INDEX(Linkway_Register!$X$5:$X$304,MATCH($B30,Linkway_Register!$A$5:$A$304,0)),IFERROR(INDEX(Other_Register!$N$5:$N$304,MATCH($B30,Other_Register!$A$5:$A$304,0)),""))))))))</f>
        <v/>
      </c>
      <c r="K30" s="10" t="str">
        <f aca="false">IF($B30="","",IFERROR(INDEX(Drain_Register!$W$5:$W$304,MATCH($B30,Drain_Register!$A$5:$A$304,0)),IFERROR(INDEX(RW_Register!$AC$5:$AC$304,MATCH($B30,RW_Register!$A$5:$A$304,0)),IFERROR(INDEX(Embedded_Wall_Register!$Z$5:$Z$304,MATCH($B30,Embedded_Wall_Register!$A$5:$A$304,0)),IFERROR(INDEX(Manhole_Register!$AC$5:$AC$304,MATCH($B30,Manhole_Register!$A$5:$A$304,0)),IFERROR(INDEX(ERSS_Pit_Register!$W$5:$W$304,MATCH($B30,ERSS_Pit_Register!$A$5:$A$304,0)),IFERROR(INDEX(Linkway_Register!$Y$5:$Y$304,MATCH($B30,Linkway_Register!$A$5:$A$304,0)),IFERROR(INDEX(Other_Register!$O$5:$O$304,MATCH($B30,Other_Register!$A$5:$A$304,0)),""))))))))</f>
        <v/>
      </c>
      <c r="L30" s="10" t="str">
        <f aca="false">IF($B30="","",IFERROR(INDEX(Drain_Register!$X$5:$X$304,MATCH($B30,Drain_Register!$A$5:$A$304,0)),IFERROR(INDEX(RW_Register!$AD$5:$AD$304,MATCH($B30,RW_Register!$A$5:$A$304,0)),IFERROR(INDEX(Embedded_Wall_Register!$AA$5:$AA$304,MATCH($B30,Embedded_Wall_Register!$A$5:$A$304,0)),IFERROR(INDEX(Manhole_Register!$AD$5:$AD$304,MATCH($B30,Manhole_Register!$A$5:$A$304,0)),IFERROR(INDEX(ERSS_Pit_Register!$X$5:$X$304,MATCH($B30,ERSS_Pit_Register!$A$5:$A$304,0)),IFERROR(INDEX(Linkway_Register!$Z$5:$Z$304,MATCH($B30,Linkway_Register!$A$5:$A$304,0)),IFERROR(INDEX(Other_Register!$P$5:$P$304,MATCH($B30,Other_Register!$A$5:$A$304,0)),""))))))))</f>
        <v/>
      </c>
      <c r="M30" s="10" t="str">
        <f aca="false">IF($B30="","",IFERROR(INDEX(Drain_Register!$Z$5:$Z$304,MATCH($B30,Drain_Register!$A$5:$A$304,0)),IFERROR(INDEX(RW_Register!$AF$5:$AF$304,MATCH($B30,RW_Register!$A$5:$A$304,0)),IFERROR(INDEX(Embedded_Wall_Register!$AC$5:$AC$304,MATCH($B30,Embedded_Wall_Register!$A$5:$A$304,0)),IFERROR(INDEX(Manhole_Register!$AF$5:$AF$304,MATCH($B30,Manhole_Register!$A$5:$A$304,0)),IFERROR(INDEX(ERSS_Pit_Register!$Z$5:$Z$304,MATCH($B30,ERSS_Pit_Register!$A$5:$A$304,0)),IFERROR(INDEX(Linkway_Register!$AB$5:$AB$304,MATCH($B30,Linkway_Register!$A$5:$A$304,0)),IFERROR(INDEX(Other_Register!$R$5:$R$304,MATCH($B30,Other_Register!$A$5:$A$304,0)),"")))))))&amp;IFERROR(INDEX(Drain_Register!$AA$5:$AA$304,MATCH($B30,Drain_Register!$A$5:$A$304,0)),IFERROR(INDEX(RW_Register!$AG$5:$AG$304,MATCH($B30,RW_Register!$A$5:$A$304,0)),IFERROR(INDEX(Embedded_Wall_Register!$AD$5:$AD$304,MATCH($B30,Embedded_Wall_Register!$A$5:$A$304,0)),IFERROR(INDEX(Manhole_Register!$AG$5:$AG$304,MATCH($B30,Manhole_Register!$A$5:$A$304,0)),IFERROR(INDEX(ERSS_Pit_Register!$AA$5:$AA$304,MATCH($B30,ERSS_Pit_Register!$A$5:$A$304,0)),IFERROR(INDEX(Linkway_Register!$AC$5:$AC$304,MATCH($B30,Linkway_Register!$A$5:$A$304,0)),IFERROR(INDEX(Other_Register!$S$5:$S$304,MATCH($B30,Other_Register!$A$5:$A$304,0)),""))))))))</f>
        <v/>
      </c>
      <c r="N30" s="19" t="str">
        <f aca="false">IF(OR($B30="",$D30=""),"",$D30*N(IFERROR(INDEX(Drain_Register!$AH$5:$AH$304,MATCH($B30,Drain_Register!$A$5:$A$304,0)),IFERROR(INDEX(RW_Register!$AN$5:$AN$304,MATCH($B30,RW_Register!$A$5:$A$304,0)),IFERROR(INDEX(Embedded_Wall_Register!$AK$5:$AK$304,MATCH($B30,Embedded_Wall_Register!$A$5:$A$304,0)),IFERROR(INDEX(Manhole_Register!$AN$5:$AN$304,MATCH($B30,Manhole_Register!$A$5:$A$304,0)),IFERROR(INDEX(ERSS_Pit_Register!$AH$5:$AH$304,MATCH($B30,ERSS_Pit_Register!$A$5:$A$304,0)),IFERROR(INDEX(Linkway_Register!$AJ$5:$AJ$304,MATCH($B30,Linkway_Register!$A$5:$A$304,0)),IFERROR(INDEX(Other_Register!$Z$5:$Z$304,MATCH($B30,Other_Register!$A$5:$A$304,0)),0)))))))))</f>
        <v/>
      </c>
      <c r="O30" s="20" t="str">
        <f aca="false">IF(OR($B30="",$D30=""),"",$D30*N(IFERROR(INDEX(Drain_Register!$AI$5:$AI$304,MATCH($B30,Drain_Register!$A$5:$A$304,0)),IFERROR(INDEX(RW_Register!$AO$5:$AO$304,MATCH($B30,RW_Register!$A$5:$A$304,0)),IFERROR(INDEX(Embedded_Wall_Register!$AL$5:$AL$304,MATCH($B30,Embedded_Wall_Register!$A$5:$A$304,0)),IFERROR(INDEX(Manhole_Register!$AO$5:$AO$304,MATCH($B30,Manhole_Register!$A$5:$A$304,0)),IFERROR(INDEX(ERSS_Pit_Register!$AI$5:$AI$304,MATCH($B30,ERSS_Pit_Register!$A$5:$A$304,0)),IFERROR(INDEX(Linkway_Register!$AK$5:$AK$304,MATCH($B30,Linkway_Register!$A$5:$A$304,0)),IFERROR(INDEX(Other_Register!$AA$5:$AA$304,MATCH($B30,Other_Register!$A$5:$A$304,0)),0))))))))/1000)</f>
        <v/>
      </c>
      <c r="P30" s="20" t="str">
        <f aca="false">IF(OR($B30="",$D30=""),"",$D30*N(IFERROR(INDEX(Drain_Register!$AJ$5:$AJ$304,MATCH($B30,Drain_Register!$A$5:$A$304,0)),IFERROR(INDEX(RW_Register!$AP$5:$AP$304,MATCH($B30,RW_Register!$A$5:$A$304,0)),IFERROR(INDEX(Embedded_Wall_Register!$AM$5:$AM$304,MATCH($B30,Embedded_Wall_Register!$A$5:$A$304,0)),IFERROR(INDEX(Manhole_Register!$AP$5:$AP$304,MATCH($B30,Manhole_Register!$A$5:$A$304,0)),IFERROR(INDEX(ERSS_Pit_Register!$AJ$5:$AJ$304,MATCH($B30,ERSS_Pit_Register!$A$5:$A$304,0)),IFERROR(INDEX(Linkway_Register!$AL$5:$AL$304,MATCH($B30,Linkway_Register!$A$5:$A$304,0)),IFERROR(INDEX(Other_Register!$AB$5:$AB$304,MATCH($B30,Other_Register!$A$5:$A$304,0)),0))))))))/1000)</f>
        <v/>
      </c>
      <c r="Q30" s="19" t="str">
        <f aca="false">IF(OR($B30="",$D30=""),"",$D30*N(IFERROR(INDEX(Drain_Register!$AK$5:$AK$304,MATCH($B30,Drain_Register!$A$5:$A$304,0)),IFERROR(INDEX(RW_Register!$AQ$5:$AQ$304,MATCH($B30,RW_Register!$A$5:$A$304,0)),IFERROR(INDEX(Embedded_Wall_Register!$AN$5:$AN$304,MATCH($B30,Embedded_Wall_Register!$A$5:$A$304,0)),IFERROR(INDEX(Manhole_Register!$AQ$5:$AQ$304,MATCH($B30,Manhole_Register!$A$5:$A$304,0)),IFERROR(INDEX(ERSS_Pit_Register!$AK$5:$AK$304,MATCH($B30,ERSS_Pit_Register!$A$5:$A$304,0)),IFERROR(INDEX(Linkway_Register!$AM$5:$AM$304,MATCH($B30,Linkway_Register!$A$5:$A$304,0)),IFERROR(INDEX(Other_Register!$AC$5:$AC$304,MATCH($B30,Other_Register!$A$5:$A$304,0)),0)))))))))</f>
        <v/>
      </c>
      <c r="R30" s="19" t="str">
        <f aca="false">IF(OR($B30="",$D30=""),"",$D30*N(IFERROR(INDEX(Drain_Register!$AL$5:$AL$304,MATCH($B30,Drain_Register!$A$5:$A$304,0)),IFERROR(INDEX(RW_Register!$AR$5:$AR$304,MATCH($B30,RW_Register!$A$5:$A$304,0)),IFERROR(INDEX(Embedded_Wall_Register!$AO$5:$AO$304,MATCH($B30,Embedded_Wall_Register!$A$5:$A$304,0)),IFERROR(INDEX(Manhole_Register!$AR$5:$AR$304,MATCH($B30,Manhole_Register!$A$5:$A$304,0)),IFERROR(INDEX(ERSS_Pit_Register!$AL$5:$AL$304,MATCH($B30,ERSS_Pit_Register!$A$5:$A$304,0)),IFERROR(INDEX(Linkway_Register!$AN$5:$AN$304,MATCH($B30,Linkway_Register!$A$5:$A$304,0)),IFERROR(INDEX(Other_Register!$AD$5:$AD$304,MATCH($B30,Other_Register!$A$5:$A$304,0)),0)))))))))</f>
        <v/>
      </c>
      <c r="S30" s="10" t="str">
        <f aca="false">IF($B30="","",IF(G30="","ID not found",IF(J30&lt;&gt;"Approved","WARNING: status is "&amp;J30,IF(IFERROR(INDEX(Drain_Register!$AV$5:$AV$304,MATCH($B30,Drain_Register!$A$5:$A$304,0)),IFERROR(INDEX(RW_Register!$BA$5:$BA$304,MATCH($B30,RW_Register!$A$5:$A$304,0)),IFERROR(INDEX(Embedded_Wall_Register!$AX$5:$AX$304,MATCH($B30,Embedded_Wall_Register!$A$5:$A$304,0)),IFERROR(INDEX(Manhole_Register!$AZ$5:$AZ$304,MATCH($B30,Manhole_Register!$A$5:$A$304,0)),IFERROR(INDEX(ERSS_Pit_Register!$AU$5:$AU$304,MATCH($B30,ERSS_Pit_Register!$A$5:$A$304,0)),IFERROR(INDEX(Linkway_Register!$AV$5:$AV$304,MATCH($B30,Linkway_Register!$A$5:$A$304,0)),IFERROR(INDEX(Other_Register!$AL$5:$AL$304,MATCH($B30,Other_Register!$A$5:$A$304,0)),"")))))))="N","WARNING: fails SG compliance check",IF(D30="","Enter length / qty",IF(E30="","Enter CAD sheet no.","OK"))))))</f>
        <v/>
      </c>
    </row>
    <row r="31" customFormat="false" ht="15" hidden="false" customHeight="false" outlineLevel="0" collapsed="false">
      <c r="A31" s="9"/>
      <c r="B31" s="9"/>
      <c r="C31" s="9"/>
      <c r="D31" s="9"/>
      <c r="E31" s="9"/>
      <c r="F31" s="10" t="str">
        <f aca="false">IF($B31="","",IFERROR(INDEX(Drain_Register!$AG$5:$AG$304,MATCH($B31,Drain_Register!$A$5:$A$304,0)),IFERROR(INDEX(RW_Register!$AM$5:$AM$304,MATCH($B31,RW_Register!$A$5:$A$304,0)),IFERROR(INDEX(Embedded_Wall_Register!$AJ$5:$AJ$304,MATCH($B31,Embedded_Wall_Register!$A$5:$A$304,0)),IFERROR(INDEX(Manhole_Register!$AM$5:$AM$304,MATCH($B31,Manhole_Register!$A$5:$A$304,0)),IFERROR(INDEX(ERSS_Pit_Register!$AG$5:$AG$304,MATCH($B31,ERSS_Pit_Register!$A$5:$A$304,0)),IFERROR(INDEX(Linkway_Register!$AI$5:$AI$304,MATCH($B31,Linkway_Register!$A$5:$A$304,0)),IFERROR(INDEX(Other_Register!$Y$5:$Y$304,MATCH($B31,Other_Register!$A$5:$A$304,0)),""))))))))</f>
        <v/>
      </c>
      <c r="G31" s="10" t="str">
        <f aca="false">IF($B31="","",IF(ISNUMBER(MATCH($B31,Drain_Register!$A$5:$A$304,0)),"Drain",IF(ISNUMBER(MATCH($B31,RW_Register!$A$5:$A$304,0)),"Ret. Wall",IF(ISNUMBER(MATCH($B31,Embedded_Wall_Register!$A$5:$A$304,0)),"Embedded Wall",IF(ISNUMBER(MATCH($B31,Manhole_Register!$A$5:$A$304,0)),"Manhole",IF(ISNUMBER(MATCH($B31,ERSS_Pit_Register!$A$5:$A$304,0)),"ERSS Pit",IF(ISNUMBER(MATCH($B31,Linkway_Register!$A$5:$A$304,0)),"Linkway",IF(ISNUMBER(MATCH($B31,Other_Register!$A$5:$A$304,0)),"Others",""))))))))</f>
        <v/>
      </c>
      <c r="H31" s="10" t="str">
        <f aca="false">IF($B31="","",IFERROR(INDEX(Drain_Register!$B$5:$B$304,MATCH($B31,Drain_Register!$A$5:$A$304,0)),IFERROR(INDEX(RW_Register!$B$5:$B$304,MATCH($B31,RW_Register!$A$5:$A$304,0)),IFERROR(INDEX(Embedded_Wall_Register!$B$5:$B$304,MATCH($B31,Embedded_Wall_Register!$A$5:$A$304,0)),IFERROR(INDEX(Manhole_Register!$B$5:$B$304,MATCH($B31,Manhole_Register!$A$5:$A$304,0)),IFERROR(INDEX(ERSS_Pit_Register!$B$5:$B$304,MATCH($B31,ERSS_Pit_Register!$A$5:$A$304,0)),IFERROR(INDEX(Linkway_Register!$B$5:$B$304,MATCH($B31,Linkway_Register!$A$5:$A$304,0)),IFERROR(INDEX(Other_Register!$B$5:$B$304,MATCH($B31,Other_Register!$A$5:$A$304,0)),"ID not found - check spelling"))))))))</f>
        <v/>
      </c>
      <c r="I31" s="10" t="str">
        <f aca="false">IF($B31="","",IFERROR(INDEX(Drain_Register!$U$5:$U$304,MATCH($B31,Drain_Register!$A$5:$A$304,0)),IFERROR(INDEX(RW_Register!$AA$5:$AA$304,MATCH($B31,RW_Register!$A$5:$A$304,0)),IFERROR(INDEX(Embedded_Wall_Register!$X$5:$X$304,MATCH($B31,Embedded_Wall_Register!$A$5:$A$304,0)),IFERROR(INDEX(Manhole_Register!$AA$5:$AA$304,MATCH($B31,Manhole_Register!$A$5:$A$304,0)),IFERROR(INDEX(ERSS_Pit_Register!$U$5:$U$304,MATCH($B31,ERSS_Pit_Register!$A$5:$A$304,0)),IFERROR(INDEX(Linkway_Register!$W$5:$W$304,MATCH($B31,Linkway_Register!$A$5:$A$304,0)),IFERROR(INDEX(Other_Register!$M$5:$M$304,MATCH($B31,Other_Register!$A$5:$A$304,0)),""))))))))</f>
        <v/>
      </c>
      <c r="J31" s="10" t="str">
        <f aca="false">IF($B31="","",IFERROR(INDEX(Drain_Register!$V$5:$V$304,MATCH($B31,Drain_Register!$A$5:$A$304,0)),IFERROR(INDEX(RW_Register!$AB$5:$AB$304,MATCH($B31,RW_Register!$A$5:$A$304,0)),IFERROR(INDEX(Embedded_Wall_Register!$Y$5:$Y$304,MATCH($B31,Embedded_Wall_Register!$A$5:$A$304,0)),IFERROR(INDEX(Manhole_Register!$AB$5:$AB$304,MATCH($B31,Manhole_Register!$A$5:$A$304,0)),IFERROR(INDEX(ERSS_Pit_Register!$V$5:$V$304,MATCH($B31,ERSS_Pit_Register!$A$5:$A$304,0)),IFERROR(INDEX(Linkway_Register!$X$5:$X$304,MATCH($B31,Linkway_Register!$A$5:$A$304,0)),IFERROR(INDEX(Other_Register!$N$5:$N$304,MATCH($B31,Other_Register!$A$5:$A$304,0)),""))))))))</f>
        <v/>
      </c>
      <c r="K31" s="10" t="str">
        <f aca="false">IF($B31="","",IFERROR(INDEX(Drain_Register!$W$5:$W$304,MATCH($B31,Drain_Register!$A$5:$A$304,0)),IFERROR(INDEX(RW_Register!$AC$5:$AC$304,MATCH($B31,RW_Register!$A$5:$A$304,0)),IFERROR(INDEX(Embedded_Wall_Register!$Z$5:$Z$304,MATCH($B31,Embedded_Wall_Register!$A$5:$A$304,0)),IFERROR(INDEX(Manhole_Register!$AC$5:$AC$304,MATCH($B31,Manhole_Register!$A$5:$A$304,0)),IFERROR(INDEX(ERSS_Pit_Register!$W$5:$W$304,MATCH($B31,ERSS_Pit_Register!$A$5:$A$304,0)),IFERROR(INDEX(Linkway_Register!$Y$5:$Y$304,MATCH($B31,Linkway_Register!$A$5:$A$304,0)),IFERROR(INDEX(Other_Register!$O$5:$O$304,MATCH($B31,Other_Register!$A$5:$A$304,0)),""))))))))</f>
        <v/>
      </c>
      <c r="L31" s="10" t="str">
        <f aca="false">IF($B31="","",IFERROR(INDEX(Drain_Register!$X$5:$X$304,MATCH($B31,Drain_Register!$A$5:$A$304,0)),IFERROR(INDEX(RW_Register!$AD$5:$AD$304,MATCH($B31,RW_Register!$A$5:$A$304,0)),IFERROR(INDEX(Embedded_Wall_Register!$AA$5:$AA$304,MATCH($B31,Embedded_Wall_Register!$A$5:$A$304,0)),IFERROR(INDEX(Manhole_Register!$AD$5:$AD$304,MATCH($B31,Manhole_Register!$A$5:$A$304,0)),IFERROR(INDEX(ERSS_Pit_Register!$X$5:$X$304,MATCH($B31,ERSS_Pit_Register!$A$5:$A$304,0)),IFERROR(INDEX(Linkway_Register!$Z$5:$Z$304,MATCH($B31,Linkway_Register!$A$5:$A$304,0)),IFERROR(INDEX(Other_Register!$P$5:$P$304,MATCH($B31,Other_Register!$A$5:$A$304,0)),""))))))))</f>
        <v/>
      </c>
      <c r="M31" s="10" t="str">
        <f aca="false">IF($B31="","",IFERROR(INDEX(Drain_Register!$Z$5:$Z$304,MATCH($B31,Drain_Register!$A$5:$A$304,0)),IFERROR(INDEX(RW_Register!$AF$5:$AF$304,MATCH($B31,RW_Register!$A$5:$A$304,0)),IFERROR(INDEX(Embedded_Wall_Register!$AC$5:$AC$304,MATCH($B31,Embedded_Wall_Register!$A$5:$A$304,0)),IFERROR(INDEX(Manhole_Register!$AF$5:$AF$304,MATCH($B31,Manhole_Register!$A$5:$A$304,0)),IFERROR(INDEX(ERSS_Pit_Register!$Z$5:$Z$304,MATCH($B31,ERSS_Pit_Register!$A$5:$A$304,0)),IFERROR(INDEX(Linkway_Register!$AB$5:$AB$304,MATCH($B31,Linkway_Register!$A$5:$A$304,0)),IFERROR(INDEX(Other_Register!$R$5:$R$304,MATCH($B31,Other_Register!$A$5:$A$304,0)),"")))))))&amp;IFERROR(INDEX(Drain_Register!$AA$5:$AA$304,MATCH($B31,Drain_Register!$A$5:$A$304,0)),IFERROR(INDEX(RW_Register!$AG$5:$AG$304,MATCH($B31,RW_Register!$A$5:$A$304,0)),IFERROR(INDEX(Embedded_Wall_Register!$AD$5:$AD$304,MATCH($B31,Embedded_Wall_Register!$A$5:$A$304,0)),IFERROR(INDEX(Manhole_Register!$AG$5:$AG$304,MATCH($B31,Manhole_Register!$A$5:$A$304,0)),IFERROR(INDEX(ERSS_Pit_Register!$AA$5:$AA$304,MATCH($B31,ERSS_Pit_Register!$A$5:$A$304,0)),IFERROR(INDEX(Linkway_Register!$AC$5:$AC$304,MATCH($B31,Linkway_Register!$A$5:$A$304,0)),IFERROR(INDEX(Other_Register!$S$5:$S$304,MATCH($B31,Other_Register!$A$5:$A$304,0)),""))))))))</f>
        <v/>
      </c>
      <c r="N31" s="19" t="str">
        <f aca="false">IF(OR($B31="",$D31=""),"",$D31*N(IFERROR(INDEX(Drain_Register!$AH$5:$AH$304,MATCH($B31,Drain_Register!$A$5:$A$304,0)),IFERROR(INDEX(RW_Register!$AN$5:$AN$304,MATCH($B31,RW_Register!$A$5:$A$304,0)),IFERROR(INDEX(Embedded_Wall_Register!$AK$5:$AK$304,MATCH($B31,Embedded_Wall_Register!$A$5:$A$304,0)),IFERROR(INDEX(Manhole_Register!$AN$5:$AN$304,MATCH($B31,Manhole_Register!$A$5:$A$304,0)),IFERROR(INDEX(ERSS_Pit_Register!$AH$5:$AH$304,MATCH($B31,ERSS_Pit_Register!$A$5:$A$304,0)),IFERROR(INDEX(Linkway_Register!$AJ$5:$AJ$304,MATCH($B31,Linkway_Register!$A$5:$A$304,0)),IFERROR(INDEX(Other_Register!$Z$5:$Z$304,MATCH($B31,Other_Register!$A$5:$A$304,0)),0)))))))))</f>
        <v/>
      </c>
      <c r="O31" s="20" t="str">
        <f aca="false">IF(OR($B31="",$D31=""),"",$D31*N(IFERROR(INDEX(Drain_Register!$AI$5:$AI$304,MATCH($B31,Drain_Register!$A$5:$A$304,0)),IFERROR(INDEX(RW_Register!$AO$5:$AO$304,MATCH($B31,RW_Register!$A$5:$A$304,0)),IFERROR(INDEX(Embedded_Wall_Register!$AL$5:$AL$304,MATCH($B31,Embedded_Wall_Register!$A$5:$A$304,0)),IFERROR(INDEX(Manhole_Register!$AO$5:$AO$304,MATCH($B31,Manhole_Register!$A$5:$A$304,0)),IFERROR(INDEX(ERSS_Pit_Register!$AI$5:$AI$304,MATCH($B31,ERSS_Pit_Register!$A$5:$A$304,0)),IFERROR(INDEX(Linkway_Register!$AK$5:$AK$304,MATCH($B31,Linkway_Register!$A$5:$A$304,0)),IFERROR(INDEX(Other_Register!$AA$5:$AA$304,MATCH($B31,Other_Register!$A$5:$A$304,0)),0))))))))/1000)</f>
        <v/>
      </c>
      <c r="P31" s="20" t="str">
        <f aca="false">IF(OR($B31="",$D31=""),"",$D31*N(IFERROR(INDEX(Drain_Register!$AJ$5:$AJ$304,MATCH($B31,Drain_Register!$A$5:$A$304,0)),IFERROR(INDEX(RW_Register!$AP$5:$AP$304,MATCH($B31,RW_Register!$A$5:$A$304,0)),IFERROR(INDEX(Embedded_Wall_Register!$AM$5:$AM$304,MATCH($B31,Embedded_Wall_Register!$A$5:$A$304,0)),IFERROR(INDEX(Manhole_Register!$AP$5:$AP$304,MATCH($B31,Manhole_Register!$A$5:$A$304,0)),IFERROR(INDEX(ERSS_Pit_Register!$AJ$5:$AJ$304,MATCH($B31,ERSS_Pit_Register!$A$5:$A$304,0)),IFERROR(INDEX(Linkway_Register!$AL$5:$AL$304,MATCH($B31,Linkway_Register!$A$5:$A$304,0)),IFERROR(INDEX(Other_Register!$AB$5:$AB$304,MATCH($B31,Other_Register!$A$5:$A$304,0)),0))))))))/1000)</f>
        <v/>
      </c>
      <c r="Q31" s="19" t="str">
        <f aca="false">IF(OR($B31="",$D31=""),"",$D31*N(IFERROR(INDEX(Drain_Register!$AK$5:$AK$304,MATCH($B31,Drain_Register!$A$5:$A$304,0)),IFERROR(INDEX(RW_Register!$AQ$5:$AQ$304,MATCH($B31,RW_Register!$A$5:$A$304,0)),IFERROR(INDEX(Embedded_Wall_Register!$AN$5:$AN$304,MATCH($B31,Embedded_Wall_Register!$A$5:$A$304,0)),IFERROR(INDEX(Manhole_Register!$AQ$5:$AQ$304,MATCH($B31,Manhole_Register!$A$5:$A$304,0)),IFERROR(INDEX(ERSS_Pit_Register!$AK$5:$AK$304,MATCH($B31,ERSS_Pit_Register!$A$5:$A$304,0)),IFERROR(INDEX(Linkway_Register!$AM$5:$AM$304,MATCH($B31,Linkway_Register!$A$5:$A$304,0)),IFERROR(INDEX(Other_Register!$AC$5:$AC$304,MATCH($B31,Other_Register!$A$5:$A$304,0)),0)))))))))</f>
        <v/>
      </c>
      <c r="R31" s="19" t="str">
        <f aca="false">IF(OR($B31="",$D31=""),"",$D31*N(IFERROR(INDEX(Drain_Register!$AL$5:$AL$304,MATCH($B31,Drain_Register!$A$5:$A$304,0)),IFERROR(INDEX(RW_Register!$AR$5:$AR$304,MATCH($B31,RW_Register!$A$5:$A$304,0)),IFERROR(INDEX(Embedded_Wall_Register!$AO$5:$AO$304,MATCH($B31,Embedded_Wall_Register!$A$5:$A$304,0)),IFERROR(INDEX(Manhole_Register!$AR$5:$AR$304,MATCH($B31,Manhole_Register!$A$5:$A$304,0)),IFERROR(INDEX(ERSS_Pit_Register!$AL$5:$AL$304,MATCH($B31,ERSS_Pit_Register!$A$5:$A$304,0)),IFERROR(INDEX(Linkway_Register!$AN$5:$AN$304,MATCH($B31,Linkway_Register!$A$5:$A$304,0)),IFERROR(INDEX(Other_Register!$AD$5:$AD$304,MATCH($B31,Other_Register!$A$5:$A$304,0)),0)))))))))</f>
        <v/>
      </c>
      <c r="S31" s="10" t="str">
        <f aca="false">IF($B31="","",IF(G31="","ID not found",IF(J31&lt;&gt;"Approved","WARNING: status is "&amp;J31,IF(IFERROR(INDEX(Drain_Register!$AV$5:$AV$304,MATCH($B31,Drain_Register!$A$5:$A$304,0)),IFERROR(INDEX(RW_Register!$BA$5:$BA$304,MATCH($B31,RW_Register!$A$5:$A$304,0)),IFERROR(INDEX(Embedded_Wall_Register!$AX$5:$AX$304,MATCH($B31,Embedded_Wall_Register!$A$5:$A$304,0)),IFERROR(INDEX(Manhole_Register!$AZ$5:$AZ$304,MATCH($B31,Manhole_Register!$A$5:$A$304,0)),IFERROR(INDEX(ERSS_Pit_Register!$AU$5:$AU$304,MATCH($B31,ERSS_Pit_Register!$A$5:$A$304,0)),IFERROR(INDEX(Linkway_Register!$AV$5:$AV$304,MATCH($B31,Linkway_Register!$A$5:$A$304,0)),IFERROR(INDEX(Other_Register!$AL$5:$AL$304,MATCH($B31,Other_Register!$A$5:$A$304,0)),"")))))))="N","WARNING: fails SG compliance check",IF(D31="","Enter length / qty",IF(E31="","Enter CAD sheet no.","OK"))))))</f>
        <v/>
      </c>
    </row>
    <row r="32" customFormat="false" ht="15" hidden="false" customHeight="false" outlineLevel="0" collapsed="false">
      <c r="A32" s="9"/>
      <c r="B32" s="9"/>
      <c r="C32" s="9"/>
      <c r="D32" s="9"/>
      <c r="E32" s="9"/>
      <c r="F32" s="10" t="str">
        <f aca="false">IF($B32="","",IFERROR(INDEX(Drain_Register!$AG$5:$AG$304,MATCH($B32,Drain_Register!$A$5:$A$304,0)),IFERROR(INDEX(RW_Register!$AM$5:$AM$304,MATCH($B32,RW_Register!$A$5:$A$304,0)),IFERROR(INDEX(Embedded_Wall_Register!$AJ$5:$AJ$304,MATCH($B32,Embedded_Wall_Register!$A$5:$A$304,0)),IFERROR(INDEX(Manhole_Register!$AM$5:$AM$304,MATCH($B32,Manhole_Register!$A$5:$A$304,0)),IFERROR(INDEX(ERSS_Pit_Register!$AG$5:$AG$304,MATCH($B32,ERSS_Pit_Register!$A$5:$A$304,0)),IFERROR(INDEX(Linkway_Register!$AI$5:$AI$304,MATCH($B32,Linkway_Register!$A$5:$A$304,0)),IFERROR(INDEX(Other_Register!$Y$5:$Y$304,MATCH($B32,Other_Register!$A$5:$A$304,0)),""))))))))</f>
        <v/>
      </c>
      <c r="G32" s="10" t="str">
        <f aca="false">IF($B32="","",IF(ISNUMBER(MATCH($B32,Drain_Register!$A$5:$A$304,0)),"Drain",IF(ISNUMBER(MATCH($B32,RW_Register!$A$5:$A$304,0)),"Ret. Wall",IF(ISNUMBER(MATCH($B32,Embedded_Wall_Register!$A$5:$A$304,0)),"Embedded Wall",IF(ISNUMBER(MATCH($B32,Manhole_Register!$A$5:$A$304,0)),"Manhole",IF(ISNUMBER(MATCH($B32,ERSS_Pit_Register!$A$5:$A$304,0)),"ERSS Pit",IF(ISNUMBER(MATCH($B32,Linkway_Register!$A$5:$A$304,0)),"Linkway",IF(ISNUMBER(MATCH($B32,Other_Register!$A$5:$A$304,0)),"Others",""))))))))</f>
        <v/>
      </c>
      <c r="H32" s="10" t="str">
        <f aca="false">IF($B32="","",IFERROR(INDEX(Drain_Register!$B$5:$B$304,MATCH($B32,Drain_Register!$A$5:$A$304,0)),IFERROR(INDEX(RW_Register!$B$5:$B$304,MATCH($B32,RW_Register!$A$5:$A$304,0)),IFERROR(INDEX(Embedded_Wall_Register!$B$5:$B$304,MATCH($B32,Embedded_Wall_Register!$A$5:$A$304,0)),IFERROR(INDEX(Manhole_Register!$B$5:$B$304,MATCH($B32,Manhole_Register!$A$5:$A$304,0)),IFERROR(INDEX(ERSS_Pit_Register!$B$5:$B$304,MATCH($B32,ERSS_Pit_Register!$A$5:$A$304,0)),IFERROR(INDEX(Linkway_Register!$B$5:$B$304,MATCH($B32,Linkway_Register!$A$5:$A$304,0)),IFERROR(INDEX(Other_Register!$B$5:$B$304,MATCH($B32,Other_Register!$A$5:$A$304,0)),"ID not found - check spelling"))))))))</f>
        <v/>
      </c>
      <c r="I32" s="10" t="str">
        <f aca="false">IF($B32="","",IFERROR(INDEX(Drain_Register!$U$5:$U$304,MATCH($B32,Drain_Register!$A$5:$A$304,0)),IFERROR(INDEX(RW_Register!$AA$5:$AA$304,MATCH($B32,RW_Register!$A$5:$A$304,0)),IFERROR(INDEX(Embedded_Wall_Register!$X$5:$X$304,MATCH($B32,Embedded_Wall_Register!$A$5:$A$304,0)),IFERROR(INDEX(Manhole_Register!$AA$5:$AA$304,MATCH($B32,Manhole_Register!$A$5:$A$304,0)),IFERROR(INDEX(ERSS_Pit_Register!$U$5:$U$304,MATCH($B32,ERSS_Pit_Register!$A$5:$A$304,0)),IFERROR(INDEX(Linkway_Register!$W$5:$W$304,MATCH($B32,Linkway_Register!$A$5:$A$304,0)),IFERROR(INDEX(Other_Register!$M$5:$M$304,MATCH($B32,Other_Register!$A$5:$A$304,0)),""))))))))</f>
        <v/>
      </c>
      <c r="J32" s="10" t="str">
        <f aca="false">IF($B32="","",IFERROR(INDEX(Drain_Register!$V$5:$V$304,MATCH($B32,Drain_Register!$A$5:$A$304,0)),IFERROR(INDEX(RW_Register!$AB$5:$AB$304,MATCH($B32,RW_Register!$A$5:$A$304,0)),IFERROR(INDEX(Embedded_Wall_Register!$Y$5:$Y$304,MATCH($B32,Embedded_Wall_Register!$A$5:$A$304,0)),IFERROR(INDEX(Manhole_Register!$AB$5:$AB$304,MATCH($B32,Manhole_Register!$A$5:$A$304,0)),IFERROR(INDEX(ERSS_Pit_Register!$V$5:$V$304,MATCH($B32,ERSS_Pit_Register!$A$5:$A$304,0)),IFERROR(INDEX(Linkway_Register!$X$5:$X$304,MATCH($B32,Linkway_Register!$A$5:$A$304,0)),IFERROR(INDEX(Other_Register!$N$5:$N$304,MATCH($B32,Other_Register!$A$5:$A$304,0)),""))))))))</f>
        <v/>
      </c>
      <c r="K32" s="10" t="str">
        <f aca="false">IF($B32="","",IFERROR(INDEX(Drain_Register!$W$5:$W$304,MATCH($B32,Drain_Register!$A$5:$A$304,0)),IFERROR(INDEX(RW_Register!$AC$5:$AC$304,MATCH($B32,RW_Register!$A$5:$A$304,0)),IFERROR(INDEX(Embedded_Wall_Register!$Z$5:$Z$304,MATCH($B32,Embedded_Wall_Register!$A$5:$A$304,0)),IFERROR(INDEX(Manhole_Register!$AC$5:$AC$304,MATCH($B32,Manhole_Register!$A$5:$A$304,0)),IFERROR(INDEX(ERSS_Pit_Register!$W$5:$W$304,MATCH($B32,ERSS_Pit_Register!$A$5:$A$304,0)),IFERROR(INDEX(Linkway_Register!$Y$5:$Y$304,MATCH($B32,Linkway_Register!$A$5:$A$304,0)),IFERROR(INDEX(Other_Register!$O$5:$O$304,MATCH($B32,Other_Register!$A$5:$A$304,0)),""))))))))</f>
        <v/>
      </c>
      <c r="L32" s="10" t="str">
        <f aca="false">IF($B32="","",IFERROR(INDEX(Drain_Register!$X$5:$X$304,MATCH($B32,Drain_Register!$A$5:$A$304,0)),IFERROR(INDEX(RW_Register!$AD$5:$AD$304,MATCH($B32,RW_Register!$A$5:$A$304,0)),IFERROR(INDEX(Embedded_Wall_Register!$AA$5:$AA$304,MATCH($B32,Embedded_Wall_Register!$A$5:$A$304,0)),IFERROR(INDEX(Manhole_Register!$AD$5:$AD$304,MATCH($B32,Manhole_Register!$A$5:$A$304,0)),IFERROR(INDEX(ERSS_Pit_Register!$X$5:$X$304,MATCH($B32,ERSS_Pit_Register!$A$5:$A$304,0)),IFERROR(INDEX(Linkway_Register!$Z$5:$Z$304,MATCH($B32,Linkway_Register!$A$5:$A$304,0)),IFERROR(INDEX(Other_Register!$P$5:$P$304,MATCH($B32,Other_Register!$A$5:$A$304,0)),""))))))))</f>
        <v/>
      </c>
      <c r="M32" s="10" t="str">
        <f aca="false">IF($B32="","",IFERROR(INDEX(Drain_Register!$Z$5:$Z$304,MATCH($B32,Drain_Register!$A$5:$A$304,0)),IFERROR(INDEX(RW_Register!$AF$5:$AF$304,MATCH($B32,RW_Register!$A$5:$A$304,0)),IFERROR(INDEX(Embedded_Wall_Register!$AC$5:$AC$304,MATCH($B32,Embedded_Wall_Register!$A$5:$A$304,0)),IFERROR(INDEX(Manhole_Register!$AF$5:$AF$304,MATCH($B32,Manhole_Register!$A$5:$A$304,0)),IFERROR(INDEX(ERSS_Pit_Register!$Z$5:$Z$304,MATCH($B32,ERSS_Pit_Register!$A$5:$A$304,0)),IFERROR(INDEX(Linkway_Register!$AB$5:$AB$304,MATCH($B32,Linkway_Register!$A$5:$A$304,0)),IFERROR(INDEX(Other_Register!$R$5:$R$304,MATCH($B32,Other_Register!$A$5:$A$304,0)),"")))))))&amp;IFERROR(INDEX(Drain_Register!$AA$5:$AA$304,MATCH($B32,Drain_Register!$A$5:$A$304,0)),IFERROR(INDEX(RW_Register!$AG$5:$AG$304,MATCH($B32,RW_Register!$A$5:$A$304,0)),IFERROR(INDEX(Embedded_Wall_Register!$AD$5:$AD$304,MATCH($B32,Embedded_Wall_Register!$A$5:$A$304,0)),IFERROR(INDEX(Manhole_Register!$AG$5:$AG$304,MATCH($B32,Manhole_Register!$A$5:$A$304,0)),IFERROR(INDEX(ERSS_Pit_Register!$AA$5:$AA$304,MATCH($B32,ERSS_Pit_Register!$A$5:$A$304,0)),IFERROR(INDEX(Linkway_Register!$AC$5:$AC$304,MATCH($B32,Linkway_Register!$A$5:$A$304,0)),IFERROR(INDEX(Other_Register!$S$5:$S$304,MATCH($B32,Other_Register!$A$5:$A$304,0)),""))))))))</f>
        <v/>
      </c>
      <c r="N32" s="19" t="str">
        <f aca="false">IF(OR($B32="",$D32=""),"",$D32*N(IFERROR(INDEX(Drain_Register!$AH$5:$AH$304,MATCH($B32,Drain_Register!$A$5:$A$304,0)),IFERROR(INDEX(RW_Register!$AN$5:$AN$304,MATCH($B32,RW_Register!$A$5:$A$304,0)),IFERROR(INDEX(Embedded_Wall_Register!$AK$5:$AK$304,MATCH($B32,Embedded_Wall_Register!$A$5:$A$304,0)),IFERROR(INDEX(Manhole_Register!$AN$5:$AN$304,MATCH($B32,Manhole_Register!$A$5:$A$304,0)),IFERROR(INDEX(ERSS_Pit_Register!$AH$5:$AH$304,MATCH($B32,ERSS_Pit_Register!$A$5:$A$304,0)),IFERROR(INDEX(Linkway_Register!$AJ$5:$AJ$304,MATCH($B32,Linkway_Register!$A$5:$A$304,0)),IFERROR(INDEX(Other_Register!$Z$5:$Z$304,MATCH($B32,Other_Register!$A$5:$A$304,0)),0)))))))))</f>
        <v/>
      </c>
      <c r="O32" s="20" t="str">
        <f aca="false">IF(OR($B32="",$D32=""),"",$D32*N(IFERROR(INDEX(Drain_Register!$AI$5:$AI$304,MATCH($B32,Drain_Register!$A$5:$A$304,0)),IFERROR(INDEX(RW_Register!$AO$5:$AO$304,MATCH($B32,RW_Register!$A$5:$A$304,0)),IFERROR(INDEX(Embedded_Wall_Register!$AL$5:$AL$304,MATCH($B32,Embedded_Wall_Register!$A$5:$A$304,0)),IFERROR(INDEX(Manhole_Register!$AO$5:$AO$304,MATCH($B32,Manhole_Register!$A$5:$A$304,0)),IFERROR(INDEX(ERSS_Pit_Register!$AI$5:$AI$304,MATCH($B32,ERSS_Pit_Register!$A$5:$A$304,0)),IFERROR(INDEX(Linkway_Register!$AK$5:$AK$304,MATCH($B32,Linkway_Register!$A$5:$A$304,0)),IFERROR(INDEX(Other_Register!$AA$5:$AA$304,MATCH($B32,Other_Register!$A$5:$A$304,0)),0))))))))/1000)</f>
        <v/>
      </c>
      <c r="P32" s="20" t="str">
        <f aca="false">IF(OR($B32="",$D32=""),"",$D32*N(IFERROR(INDEX(Drain_Register!$AJ$5:$AJ$304,MATCH($B32,Drain_Register!$A$5:$A$304,0)),IFERROR(INDEX(RW_Register!$AP$5:$AP$304,MATCH($B32,RW_Register!$A$5:$A$304,0)),IFERROR(INDEX(Embedded_Wall_Register!$AM$5:$AM$304,MATCH($B32,Embedded_Wall_Register!$A$5:$A$304,0)),IFERROR(INDEX(Manhole_Register!$AP$5:$AP$304,MATCH($B32,Manhole_Register!$A$5:$A$304,0)),IFERROR(INDEX(ERSS_Pit_Register!$AJ$5:$AJ$304,MATCH($B32,ERSS_Pit_Register!$A$5:$A$304,0)),IFERROR(INDEX(Linkway_Register!$AL$5:$AL$304,MATCH($B32,Linkway_Register!$A$5:$A$304,0)),IFERROR(INDEX(Other_Register!$AB$5:$AB$304,MATCH($B32,Other_Register!$A$5:$A$304,0)),0))))))))/1000)</f>
        <v/>
      </c>
      <c r="Q32" s="19" t="str">
        <f aca="false">IF(OR($B32="",$D32=""),"",$D32*N(IFERROR(INDEX(Drain_Register!$AK$5:$AK$304,MATCH($B32,Drain_Register!$A$5:$A$304,0)),IFERROR(INDEX(RW_Register!$AQ$5:$AQ$304,MATCH($B32,RW_Register!$A$5:$A$304,0)),IFERROR(INDEX(Embedded_Wall_Register!$AN$5:$AN$304,MATCH($B32,Embedded_Wall_Register!$A$5:$A$304,0)),IFERROR(INDEX(Manhole_Register!$AQ$5:$AQ$304,MATCH($B32,Manhole_Register!$A$5:$A$304,0)),IFERROR(INDEX(ERSS_Pit_Register!$AK$5:$AK$304,MATCH($B32,ERSS_Pit_Register!$A$5:$A$304,0)),IFERROR(INDEX(Linkway_Register!$AM$5:$AM$304,MATCH($B32,Linkway_Register!$A$5:$A$304,0)),IFERROR(INDEX(Other_Register!$AC$5:$AC$304,MATCH($B32,Other_Register!$A$5:$A$304,0)),0)))))))))</f>
        <v/>
      </c>
      <c r="R32" s="19" t="str">
        <f aca="false">IF(OR($B32="",$D32=""),"",$D32*N(IFERROR(INDEX(Drain_Register!$AL$5:$AL$304,MATCH($B32,Drain_Register!$A$5:$A$304,0)),IFERROR(INDEX(RW_Register!$AR$5:$AR$304,MATCH($B32,RW_Register!$A$5:$A$304,0)),IFERROR(INDEX(Embedded_Wall_Register!$AO$5:$AO$304,MATCH($B32,Embedded_Wall_Register!$A$5:$A$304,0)),IFERROR(INDEX(Manhole_Register!$AR$5:$AR$304,MATCH($B32,Manhole_Register!$A$5:$A$304,0)),IFERROR(INDEX(ERSS_Pit_Register!$AL$5:$AL$304,MATCH($B32,ERSS_Pit_Register!$A$5:$A$304,0)),IFERROR(INDEX(Linkway_Register!$AN$5:$AN$304,MATCH($B32,Linkway_Register!$A$5:$A$304,0)),IFERROR(INDEX(Other_Register!$AD$5:$AD$304,MATCH($B32,Other_Register!$A$5:$A$304,0)),0)))))))))</f>
        <v/>
      </c>
      <c r="S32" s="10" t="str">
        <f aca="false">IF($B32="","",IF(G32="","ID not found",IF(J32&lt;&gt;"Approved","WARNING: status is "&amp;J32,IF(IFERROR(INDEX(Drain_Register!$AV$5:$AV$304,MATCH($B32,Drain_Register!$A$5:$A$304,0)),IFERROR(INDEX(RW_Register!$BA$5:$BA$304,MATCH($B32,RW_Register!$A$5:$A$304,0)),IFERROR(INDEX(Embedded_Wall_Register!$AX$5:$AX$304,MATCH($B32,Embedded_Wall_Register!$A$5:$A$304,0)),IFERROR(INDEX(Manhole_Register!$AZ$5:$AZ$304,MATCH($B32,Manhole_Register!$A$5:$A$304,0)),IFERROR(INDEX(ERSS_Pit_Register!$AU$5:$AU$304,MATCH($B32,ERSS_Pit_Register!$A$5:$A$304,0)),IFERROR(INDEX(Linkway_Register!$AV$5:$AV$304,MATCH($B32,Linkway_Register!$A$5:$A$304,0)),IFERROR(INDEX(Other_Register!$AL$5:$AL$304,MATCH($B32,Other_Register!$A$5:$A$304,0)),"")))))))="N","WARNING: fails SG compliance check",IF(D32="","Enter length / qty",IF(E32="","Enter CAD sheet no.","OK"))))))</f>
        <v/>
      </c>
    </row>
    <row r="33" customFormat="false" ht="15" hidden="false" customHeight="false" outlineLevel="0" collapsed="false">
      <c r="A33" s="9"/>
      <c r="B33" s="9"/>
      <c r="C33" s="9"/>
      <c r="D33" s="9"/>
      <c r="E33" s="9"/>
      <c r="F33" s="10" t="str">
        <f aca="false">IF($B33="","",IFERROR(INDEX(Drain_Register!$AG$5:$AG$304,MATCH($B33,Drain_Register!$A$5:$A$304,0)),IFERROR(INDEX(RW_Register!$AM$5:$AM$304,MATCH($B33,RW_Register!$A$5:$A$304,0)),IFERROR(INDEX(Embedded_Wall_Register!$AJ$5:$AJ$304,MATCH($B33,Embedded_Wall_Register!$A$5:$A$304,0)),IFERROR(INDEX(Manhole_Register!$AM$5:$AM$304,MATCH($B33,Manhole_Register!$A$5:$A$304,0)),IFERROR(INDEX(ERSS_Pit_Register!$AG$5:$AG$304,MATCH($B33,ERSS_Pit_Register!$A$5:$A$304,0)),IFERROR(INDEX(Linkway_Register!$AI$5:$AI$304,MATCH($B33,Linkway_Register!$A$5:$A$304,0)),IFERROR(INDEX(Other_Register!$Y$5:$Y$304,MATCH($B33,Other_Register!$A$5:$A$304,0)),""))))))))</f>
        <v/>
      </c>
      <c r="G33" s="10" t="str">
        <f aca="false">IF($B33="","",IF(ISNUMBER(MATCH($B33,Drain_Register!$A$5:$A$304,0)),"Drain",IF(ISNUMBER(MATCH($B33,RW_Register!$A$5:$A$304,0)),"Ret. Wall",IF(ISNUMBER(MATCH($B33,Embedded_Wall_Register!$A$5:$A$304,0)),"Embedded Wall",IF(ISNUMBER(MATCH($B33,Manhole_Register!$A$5:$A$304,0)),"Manhole",IF(ISNUMBER(MATCH($B33,ERSS_Pit_Register!$A$5:$A$304,0)),"ERSS Pit",IF(ISNUMBER(MATCH($B33,Linkway_Register!$A$5:$A$304,0)),"Linkway",IF(ISNUMBER(MATCH($B33,Other_Register!$A$5:$A$304,0)),"Others",""))))))))</f>
        <v/>
      </c>
      <c r="H33" s="10" t="str">
        <f aca="false">IF($B33="","",IFERROR(INDEX(Drain_Register!$B$5:$B$304,MATCH($B33,Drain_Register!$A$5:$A$304,0)),IFERROR(INDEX(RW_Register!$B$5:$B$304,MATCH($B33,RW_Register!$A$5:$A$304,0)),IFERROR(INDEX(Embedded_Wall_Register!$B$5:$B$304,MATCH($B33,Embedded_Wall_Register!$A$5:$A$304,0)),IFERROR(INDEX(Manhole_Register!$B$5:$B$304,MATCH($B33,Manhole_Register!$A$5:$A$304,0)),IFERROR(INDEX(ERSS_Pit_Register!$B$5:$B$304,MATCH($B33,ERSS_Pit_Register!$A$5:$A$304,0)),IFERROR(INDEX(Linkway_Register!$B$5:$B$304,MATCH($B33,Linkway_Register!$A$5:$A$304,0)),IFERROR(INDEX(Other_Register!$B$5:$B$304,MATCH($B33,Other_Register!$A$5:$A$304,0)),"ID not found - check spelling"))))))))</f>
        <v/>
      </c>
      <c r="I33" s="10" t="str">
        <f aca="false">IF($B33="","",IFERROR(INDEX(Drain_Register!$U$5:$U$304,MATCH($B33,Drain_Register!$A$5:$A$304,0)),IFERROR(INDEX(RW_Register!$AA$5:$AA$304,MATCH($B33,RW_Register!$A$5:$A$304,0)),IFERROR(INDEX(Embedded_Wall_Register!$X$5:$X$304,MATCH($B33,Embedded_Wall_Register!$A$5:$A$304,0)),IFERROR(INDEX(Manhole_Register!$AA$5:$AA$304,MATCH($B33,Manhole_Register!$A$5:$A$304,0)),IFERROR(INDEX(ERSS_Pit_Register!$U$5:$U$304,MATCH($B33,ERSS_Pit_Register!$A$5:$A$304,0)),IFERROR(INDEX(Linkway_Register!$W$5:$W$304,MATCH($B33,Linkway_Register!$A$5:$A$304,0)),IFERROR(INDEX(Other_Register!$M$5:$M$304,MATCH($B33,Other_Register!$A$5:$A$304,0)),""))))))))</f>
        <v/>
      </c>
      <c r="J33" s="10" t="str">
        <f aca="false">IF($B33="","",IFERROR(INDEX(Drain_Register!$V$5:$V$304,MATCH($B33,Drain_Register!$A$5:$A$304,0)),IFERROR(INDEX(RW_Register!$AB$5:$AB$304,MATCH($B33,RW_Register!$A$5:$A$304,0)),IFERROR(INDEX(Embedded_Wall_Register!$Y$5:$Y$304,MATCH($B33,Embedded_Wall_Register!$A$5:$A$304,0)),IFERROR(INDEX(Manhole_Register!$AB$5:$AB$304,MATCH($B33,Manhole_Register!$A$5:$A$304,0)),IFERROR(INDEX(ERSS_Pit_Register!$V$5:$V$304,MATCH($B33,ERSS_Pit_Register!$A$5:$A$304,0)),IFERROR(INDEX(Linkway_Register!$X$5:$X$304,MATCH($B33,Linkway_Register!$A$5:$A$304,0)),IFERROR(INDEX(Other_Register!$N$5:$N$304,MATCH($B33,Other_Register!$A$5:$A$304,0)),""))))))))</f>
        <v/>
      </c>
      <c r="K33" s="10" t="str">
        <f aca="false">IF($B33="","",IFERROR(INDEX(Drain_Register!$W$5:$W$304,MATCH($B33,Drain_Register!$A$5:$A$304,0)),IFERROR(INDEX(RW_Register!$AC$5:$AC$304,MATCH($B33,RW_Register!$A$5:$A$304,0)),IFERROR(INDEX(Embedded_Wall_Register!$Z$5:$Z$304,MATCH($B33,Embedded_Wall_Register!$A$5:$A$304,0)),IFERROR(INDEX(Manhole_Register!$AC$5:$AC$304,MATCH($B33,Manhole_Register!$A$5:$A$304,0)),IFERROR(INDEX(ERSS_Pit_Register!$W$5:$W$304,MATCH($B33,ERSS_Pit_Register!$A$5:$A$304,0)),IFERROR(INDEX(Linkway_Register!$Y$5:$Y$304,MATCH($B33,Linkway_Register!$A$5:$A$304,0)),IFERROR(INDEX(Other_Register!$O$5:$O$304,MATCH($B33,Other_Register!$A$5:$A$304,0)),""))))))))</f>
        <v/>
      </c>
      <c r="L33" s="10" t="str">
        <f aca="false">IF($B33="","",IFERROR(INDEX(Drain_Register!$X$5:$X$304,MATCH($B33,Drain_Register!$A$5:$A$304,0)),IFERROR(INDEX(RW_Register!$AD$5:$AD$304,MATCH($B33,RW_Register!$A$5:$A$304,0)),IFERROR(INDEX(Embedded_Wall_Register!$AA$5:$AA$304,MATCH($B33,Embedded_Wall_Register!$A$5:$A$304,0)),IFERROR(INDEX(Manhole_Register!$AD$5:$AD$304,MATCH($B33,Manhole_Register!$A$5:$A$304,0)),IFERROR(INDEX(ERSS_Pit_Register!$X$5:$X$304,MATCH($B33,ERSS_Pit_Register!$A$5:$A$304,0)),IFERROR(INDEX(Linkway_Register!$Z$5:$Z$304,MATCH($B33,Linkway_Register!$A$5:$A$304,0)),IFERROR(INDEX(Other_Register!$P$5:$P$304,MATCH($B33,Other_Register!$A$5:$A$304,0)),""))))))))</f>
        <v/>
      </c>
      <c r="M33" s="10" t="str">
        <f aca="false">IF($B33="","",IFERROR(INDEX(Drain_Register!$Z$5:$Z$304,MATCH($B33,Drain_Register!$A$5:$A$304,0)),IFERROR(INDEX(RW_Register!$AF$5:$AF$304,MATCH($B33,RW_Register!$A$5:$A$304,0)),IFERROR(INDEX(Embedded_Wall_Register!$AC$5:$AC$304,MATCH($B33,Embedded_Wall_Register!$A$5:$A$304,0)),IFERROR(INDEX(Manhole_Register!$AF$5:$AF$304,MATCH($B33,Manhole_Register!$A$5:$A$304,0)),IFERROR(INDEX(ERSS_Pit_Register!$Z$5:$Z$304,MATCH($B33,ERSS_Pit_Register!$A$5:$A$304,0)),IFERROR(INDEX(Linkway_Register!$AB$5:$AB$304,MATCH($B33,Linkway_Register!$A$5:$A$304,0)),IFERROR(INDEX(Other_Register!$R$5:$R$304,MATCH($B33,Other_Register!$A$5:$A$304,0)),"")))))))&amp;IFERROR(INDEX(Drain_Register!$AA$5:$AA$304,MATCH($B33,Drain_Register!$A$5:$A$304,0)),IFERROR(INDEX(RW_Register!$AG$5:$AG$304,MATCH($B33,RW_Register!$A$5:$A$304,0)),IFERROR(INDEX(Embedded_Wall_Register!$AD$5:$AD$304,MATCH($B33,Embedded_Wall_Register!$A$5:$A$304,0)),IFERROR(INDEX(Manhole_Register!$AG$5:$AG$304,MATCH($B33,Manhole_Register!$A$5:$A$304,0)),IFERROR(INDEX(ERSS_Pit_Register!$AA$5:$AA$304,MATCH($B33,ERSS_Pit_Register!$A$5:$A$304,0)),IFERROR(INDEX(Linkway_Register!$AC$5:$AC$304,MATCH($B33,Linkway_Register!$A$5:$A$304,0)),IFERROR(INDEX(Other_Register!$S$5:$S$304,MATCH($B33,Other_Register!$A$5:$A$304,0)),""))))))))</f>
        <v/>
      </c>
      <c r="N33" s="19" t="str">
        <f aca="false">IF(OR($B33="",$D33=""),"",$D33*N(IFERROR(INDEX(Drain_Register!$AH$5:$AH$304,MATCH($B33,Drain_Register!$A$5:$A$304,0)),IFERROR(INDEX(RW_Register!$AN$5:$AN$304,MATCH($B33,RW_Register!$A$5:$A$304,0)),IFERROR(INDEX(Embedded_Wall_Register!$AK$5:$AK$304,MATCH($B33,Embedded_Wall_Register!$A$5:$A$304,0)),IFERROR(INDEX(Manhole_Register!$AN$5:$AN$304,MATCH($B33,Manhole_Register!$A$5:$A$304,0)),IFERROR(INDEX(ERSS_Pit_Register!$AH$5:$AH$304,MATCH($B33,ERSS_Pit_Register!$A$5:$A$304,0)),IFERROR(INDEX(Linkway_Register!$AJ$5:$AJ$304,MATCH($B33,Linkway_Register!$A$5:$A$304,0)),IFERROR(INDEX(Other_Register!$Z$5:$Z$304,MATCH($B33,Other_Register!$A$5:$A$304,0)),0)))))))))</f>
        <v/>
      </c>
      <c r="O33" s="20" t="str">
        <f aca="false">IF(OR($B33="",$D33=""),"",$D33*N(IFERROR(INDEX(Drain_Register!$AI$5:$AI$304,MATCH($B33,Drain_Register!$A$5:$A$304,0)),IFERROR(INDEX(RW_Register!$AO$5:$AO$304,MATCH($B33,RW_Register!$A$5:$A$304,0)),IFERROR(INDEX(Embedded_Wall_Register!$AL$5:$AL$304,MATCH($B33,Embedded_Wall_Register!$A$5:$A$304,0)),IFERROR(INDEX(Manhole_Register!$AO$5:$AO$304,MATCH($B33,Manhole_Register!$A$5:$A$304,0)),IFERROR(INDEX(ERSS_Pit_Register!$AI$5:$AI$304,MATCH($B33,ERSS_Pit_Register!$A$5:$A$304,0)),IFERROR(INDEX(Linkway_Register!$AK$5:$AK$304,MATCH($B33,Linkway_Register!$A$5:$A$304,0)),IFERROR(INDEX(Other_Register!$AA$5:$AA$304,MATCH($B33,Other_Register!$A$5:$A$304,0)),0))))))))/1000)</f>
        <v/>
      </c>
      <c r="P33" s="20" t="str">
        <f aca="false">IF(OR($B33="",$D33=""),"",$D33*N(IFERROR(INDEX(Drain_Register!$AJ$5:$AJ$304,MATCH($B33,Drain_Register!$A$5:$A$304,0)),IFERROR(INDEX(RW_Register!$AP$5:$AP$304,MATCH($B33,RW_Register!$A$5:$A$304,0)),IFERROR(INDEX(Embedded_Wall_Register!$AM$5:$AM$304,MATCH($B33,Embedded_Wall_Register!$A$5:$A$304,0)),IFERROR(INDEX(Manhole_Register!$AP$5:$AP$304,MATCH($B33,Manhole_Register!$A$5:$A$304,0)),IFERROR(INDEX(ERSS_Pit_Register!$AJ$5:$AJ$304,MATCH($B33,ERSS_Pit_Register!$A$5:$A$304,0)),IFERROR(INDEX(Linkway_Register!$AL$5:$AL$304,MATCH($B33,Linkway_Register!$A$5:$A$304,0)),IFERROR(INDEX(Other_Register!$AB$5:$AB$304,MATCH($B33,Other_Register!$A$5:$A$304,0)),0))))))))/1000)</f>
        <v/>
      </c>
      <c r="Q33" s="19" t="str">
        <f aca="false">IF(OR($B33="",$D33=""),"",$D33*N(IFERROR(INDEX(Drain_Register!$AK$5:$AK$304,MATCH($B33,Drain_Register!$A$5:$A$304,0)),IFERROR(INDEX(RW_Register!$AQ$5:$AQ$304,MATCH($B33,RW_Register!$A$5:$A$304,0)),IFERROR(INDEX(Embedded_Wall_Register!$AN$5:$AN$304,MATCH($B33,Embedded_Wall_Register!$A$5:$A$304,0)),IFERROR(INDEX(Manhole_Register!$AQ$5:$AQ$304,MATCH($B33,Manhole_Register!$A$5:$A$304,0)),IFERROR(INDEX(ERSS_Pit_Register!$AK$5:$AK$304,MATCH($B33,ERSS_Pit_Register!$A$5:$A$304,0)),IFERROR(INDEX(Linkway_Register!$AM$5:$AM$304,MATCH($B33,Linkway_Register!$A$5:$A$304,0)),IFERROR(INDEX(Other_Register!$AC$5:$AC$304,MATCH($B33,Other_Register!$A$5:$A$304,0)),0)))))))))</f>
        <v/>
      </c>
      <c r="R33" s="19" t="str">
        <f aca="false">IF(OR($B33="",$D33=""),"",$D33*N(IFERROR(INDEX(Drain_Register!$AL$5:$AL$304,MATCH($B33,Drain_Register!$A$5:$A$304,0)),IFERROR(INDEX(RW_Register!$AR$5:$AR$304,MATCH($B33,RW_Register!$A$5:$A$304,0)),IFERROR(INDEX(Embedded_Wall_Register!$AO$5:$AO$304,MATCH($B33,Embedded_Wall_Register!$A$5:$A$304,0)),IFERROR(INDEX(Manhole_Register!$AR$5:$AR$304,MATCH($B33,Manhole_Register!$A$5:$A$304,0)),IFERROR(INDEX(ERSS_Pit_Register!$AL$5:$AL$304,MATCH($B33,ERSS_Pit_Register!$A$5:$A$304,0)),IFERROR(INDEX(Linkway_Register!$AN$5:$AN$304,MATCH($B33,Linkway_Register!$A$5:$A$304,0)),IFERROR(INDEX(Other_Register!$AD$5:$AD$304,MATCH($B33,Other_Register!$A$5:$A$304,0)),0)))))))))</f>
        <v/>
      </c>
      <c r="S33" s="10" t="str">
        <f aca="false">IF($B33="","",IF(G33="","ID not found",IF(J33&lt;&gt;"Approved","WARNING: status is "&amp;J33,IF(IFERROR(INDEX(Drain_Register!$AV$5:$AV$304,MATCH($B33,Drain_Register!$A$5:$A$304,0)),IFERROR(INDEX(RW_Register!$BA$5:$BA$304,MATCH($B33,RW_Register!$A$5:$A$304,0)),IFERROR(INDEX(Embedded_Wall_Register!$AX$5:$AX$304,MATCH($B33,Embedded_Wall_Register!$A$5:$A$304,0)),IFERROR(INDEX(Manhole_Register!$AZ$5:$AZ$304,MATCH($B33,Manhole_Register!$A$5:$A$304,0)),IFERROR(INDEX(ERSS_Pit_Register!$AU$5:$AU$304,MATCH($B33,ERSS_Pit_Register!$A$5:$A$304,0)),IFERROR(INDEX(Linkway_Register!$AV$5:$AV$304,MATCH($B33,Linkway_Register!$A$5:$A$304,0)),IFERROR(INDEX(Other_Register!$AL$5:$AL$304,MATCH($B33,Other_Register!$A$5:$A$304,0)),"")))))))="N","WARNING: fails SG compliance check",IF(D33="","Enter length / qty",IF(E33="","Enter CAD sheet no.","OK"))))))</f>
        <v/>
      </c>
    </row>
    <row r="34" customFormat="false" ht="15" hidden="false" customHeight="false" outlineLevel="0" collapsed="false">
      <c r="A34" s="9"/>
      <c r="B34" s="9"/>
      <c r="C34" s="9"/>
      <c r="D34" s="9"/>
      <c r="E34" s="9"/>
      <c r="F34" s="10" t="str">
        <f aca="false">IF($B34="","",IFERROR(INDEX(Drain_Register!$AG$5:$AG$304,MATCH($B34,Drain_Register!$A$5:$A$304,0)),IFERROR(INDEX(RW_Register!$AM$5:$AM$304,MATCH($B34,RW_Register!$A$5:$A$304,0)),IFERROR(INDEX(Embedded_Wall_Register!$AJ$5:$AJ$304,MATCH($B34,Embedded_Wall_Register!$A$5:$A$304,0)),IFERROR(INDEX(Manhole_Register!$AM$5:$AM$304,MATCH($B34,Manhole_Register!$A$5:$A$304,0)),IFERROR(INDEX(ERSS_Pit_Register!$AG$5:$AG$304,MATCH($B34,ERSS_Pit_Register!$A$5:$A$304,0)),IFERROR(INDEX(Linkway_Register!$AI$5:$AI$304,MATCH($B34,Linkway_Register!$A$5:$A$304,0)),IFERROR(INDEX(Other_Register!$Y$5:$Y$304,MATCH($B34,Other_Register!$A$5:$A$304,0)),""))))))))</f>
        <v/>
      </c>
      <c r="G34" s="10" t="str">
        <f aca="false">IF($B34="","",IF(ISNUMBER(MATCH($B34,Drain_Register!$A$5:$A$304,0)),"Drain",IF(ISNUMBER(MATCH($B34,RW_Register!$A$5:$A$304,0)),"Ret. Wall",IF(ISNUMBER(MATCH($B34,Embedded_Wall_Register!$A$5:$A$304,0)),"Embedded Wall",IF(ISNUMBER(MATCH($B34,Manhole_Register!$A$5:$A$304,0)),"Manhole",IF(ISNUMBER(MATCH($B34,ERSS_Pit_Register!$A$5:$A$304,0)),"ERSS Pit",IF(ISNUMBER(MATCH($B34,Linkway_Register!$A$5:$A$304,0)),"Linkway",IF(ISNUMBER(MATCH($B34,Other_Register!$A$5:$A$304,0)),"Others",""))))))))</f>
        <v/>
      </c>
      <c r="H34" s="10" t="str">
        <f aca="false">IF($B34="","",IFERROR(INDEX(Drain_Register!$B$5:$B$304,MATCH($B34,Drain_Register!$A$5:$A$304,0)),IFERROR(INDEX(RW_Register!$B$5:$B$304,MATCH($B34,RW_Register!$A$5:$A$304,0)),IFERROR(INDEX(Embedded_Wall_Register!$B$5:$B$304,MATCH($B34,Embedded_Wall_Register!$A$5:$A$304,0)),IFERROR(INDEX(Manhole_Register!$B$5:$B$304,MATCH($B34,Manhole_Register!$A$5:$A$304,0)),IFERROR(INDEX(ERSS_Pit_Register!$B$5:$B$304,MATCH($B34,ERSS_Pit_Register!$A$5:$A$304,0)),IFERROR(INDEX(Linkway_Register!$B$5:$B$304,MATCH($B34,Linkway_Register!$A$5:$A$304,0)),IFERROR(INDEX(Other_Register!$B$5:$B$304,MATCH($B34,Other_Register!$A$5:$A$304,0)),"ID not found - check spelling"))))))))</f>
        <v/>
      </c>
      <c r="I34" s="10" t="str">
        <f aca="false">IF($B34="","",IFERROR(INDEX(Drain_Register!$U$5:$U$304,MATCH($B34,Drain_Register!$A$5:$A$304,0)),IFERROR(INDEX(RW_Register!$AA$5:$AA$304,MATCH($B34,RW_Register!$A$5:$A$304,0)),IFERROR(INDEX(Embedded_Wall_Register!$X$5:$X$304,MATCH($B34,Embedded_Wall_Register!$A$5:$A$304,0)),IFERROR(INDEX(Manhole_Register!$AA$5:$AA$304,MATCH($B34,Manhole_Register!$A$5:$A$304,0)),IFERROR(INDEX(ERSS_Pit_Register!$U$5:$U$304,MATCH($B34,ERSS_Pit_Register!$A$5:$A$304,0)),IFERROR(INDEX(Linkway_Register!$W$5:$W$304,MATCH($B34,Linkway_Register!$A$5:$A$304,0)),IFERROR(INDEX(Other_Register!$M$5:$M$304,MATCH($B34,Other_Register!$A$5:$A$304,0)),""))))))))</f>
        <v/>
      </c>
      <c r="J34" s="10" t="str">
        <f aca="false">IF($B34="","",IFERROR(INDEX(Drain_Register!$V$5:$V$304,MATCH($B34,Drain_Register!$A$5:$A$304,0)),IFERROR(INDEX(RW_Register!$AB$5:$AB$304,MATCH($B34,RW_Register!$A$5:$A$304,0)),IFERROR(INDEX(Embedded_Wall_Register!$Y$5:$Y$304,MATCH($B34,Embedded_Wall_Register!$A$5:$A$304,0)),IFERROR(INDEX(Manhole_Register!$AB$5:$AB$304,MATCH($B34,Manhole_Register!$A$5:$A$304,0)),IFERROR(INDEX(ERSS_Pit_Register!$V$5:$V$304,MATCH($B34,ERSS_Pit_Register!$A$5:$A$304,0)),IFERROR(INDEX(Linkway_Register!$X$5:$X$304,MATCH($B34,Linkway_Register!$A$5:$A$304,0)),IFERROR(INDEX(Other_Register!$N$5:$N$304,MATCH($B34,Other_Register!$A$5:$A$304,0)),""))))))))</f>
        <v/>
      </c>
      <c r="K34" s="10" t="str">
        <f aca="false">IF($B34="","",IFERROR(INDEX(Drain_Register!$W$5:$W$304,MATCH($B34,Drain_Register!$A$5:$A$304,0)),IFERROR(INDEX(RW_Register!$AC$5:$AC$304,MATCH($B34,RW_Register!$A$5:$A$304,0)),IFERROR(INDEX(Embedded_Wall_Register!$Z$5:$Z$304,MATCH($B34,Embedded_Wall_Register!$A$5:$A$304,0)),IFERROR(INDEX(Manhole_Register!$AC$5:$AC$304,MATCH($B34,Manhole_Register!$A$5:$A$304,0)),IFERROR(INDEX(ERSS_Pit_Register!$W$5:$W$304,MATCH($B34,ERSS_Pit_Register!$A$5:$A$304,0)),IFERROR(INDEX(Linkway_Register!$Y$5:$Y$304,MATCH($B34,Linkway_Register!$A$5:$A$304,0)),IFERROR(INDEX(Other_Register!$O$5:$O$304,MATCH($B34,Other_Register!$A$5:$A$304,0)),""))))))))</f>
        <v/>
      </c>
      <c r="L34" s="10" t="str">
        <f aca="false">IF($B34="","",IFERROR(INDEX(Drain_Register!$X$5:$X$304,MATCH($B34,Drain_Register!$A$5:$A$304,0)),IFERROR(INDEX(RW_Register!$AD$5:$AD$304,MATCH($B34,RW_Register!$A$5:$A$304,0)),IFERROR(INDEX(Embedded_Wall_Register!$AA$5:$AA$304,MATCH($B34,Embedded_Wall_Register!$A$5:$A$304,0)),IFERROR(INDEX(Manhole_Register!$AD$5:$AD$304,MATCH($B34,Manhole_Register!$A$5:$A$304,0)),IFERROR(INDEX(ERSS_Pit_Register!$X$5:$X$304,MATCH($B34,ERSS_Pit_Register!$A$5:$A$304,0)),IFERROR(INDEX(Linkway_Register!$Z$5:$Z$304,MATCH($B34,Linkway_Register!$A$5:$A$304,0)),IFERROR(INDEX(Other_Register!$P$5:$P$304,MATCH($B34,Other_Register!$A$5:$A$304,0)),""))))))))</f>
        <v/>
      </c>
      <c r="M34" s="10" t="str">
        <f aca="false">IF($B34="","",IFERROR(INDEX(Drain_Register!$Z$5:$Z$304,MATCH($B34,Drain_Register!$A$5:$A$304,0)),IFERROR(INDEX(RW_Register!$AF$5:$AF$304,MATCH($B34,RW_Register!$A$5:$A$304,0)),IFERROR(INDEX(Embedded_Wall_Register!$AC$5:$AC$304,MATCH($B34,Embedded_Wall_Register!$A$5:$A$304,0)),IFERROR(INDEX(Manhole_Register!$AF$5:$AF$304,MATCH($B34,Manhole_Register!$A$5:$A$304,0)),IFERROR(INDEX(ERSS_Pit_Register!$Z$5:$Z$304,MATCH($B34,ERSS_Pit_Register!$A$5:$A$304,0)),IFERROR(INDEX(Linkway_Register!$AB$5:$AB$304,MATCH($B34,Linkway_Register!$A$5:$A$304,0)),IFERROR(INDEX(Other_Register!$R$5:$R$304,MATCH($B34,Other_Register!$A$5:$A$304,0)),"")))))))&amp;IFERROR(INDEX(Drain_Register!$AA$5:$AA$304,MATCH($B34,Drain_Register!$A$5:$A$304,0)),IFERROR(INDEX(RW_Register!$AG$5:$AG$304,MATCH($B34,RW_Register!$A$5:$A$304,0)),IFERROR(INDEX(Embedded_Wall_Register!$AD$5:$AD$304,MATCH($B34,Embedded_Wall_Register!$A$5:$A$304,0)),IFERROR(INDEX(Manhole_Register!$AG$5:$AG$304,MATCH($B34,Manhole_Register!$A$5:$A$304,0)),IFERROR(INDEX(ERSS_Pit_Register!$AA$5:$AA$304,MATCH($B34,ERSS_Pit_Register!$A$5:$A$304,0)),IFERROR(INDEX(Linkway_Register!$AC$5:$AC$304,MATCH($B34,Linkway_Register!$A$5:$A$304,0)),IFERROR(INDEX(Other_Register!$S$5:$S$304,MATCH($B34,Other_Register!$A$5:$A$304,0)),""))))))))</f>
        <v/>
      </c>
      <c r="N34" s="19" t="str">
        <f aca="false">IF(OR($B34="",$D34=""),"",$D34*N(IFERROR(INDEX(Drain_Register!$AH$5:$AH$304,MATCH($B34,Drain_Register!$A$5:$A$304,0)),IFERROR(INDEX(RW_Register!$AN$5:$AN$304,MATCH($B34,RW_Register!$A$5:$A$304,0)),IFERROR(INDEX(Embedded_Wall_Register!$AK$5:$AK$304,MATCH($B34,Embedded_Wall_Register!$A$5:$A$304,0)),IFERROR(INDEX(Manhole_Register!$AN$5:$AN$304,MATCH($B34,Manhole_Register!$A$5:$A$304,0)),IFERROR(INDEX(ERSS_Pit_Register!$AH$5:$AH$304,MATCH($B34,ERSS_Pit_Register!$A$5:$A$304,0)),IFERROR(INDEX(Linkway_Register!$AJ$5:$AJ$304,MATCH($B34,Linkway_Register!$A$5:$A$304,0)),IFERROR(INDEX(Other_Register!$Z$5:$Z$304,MATCH($B34,Other_Register!$A$5:$A$304,0)),0)))))))))</f>
        <v/>
      </c>
      <c r="O34" s="20" t="str">
        <f aca="false">IF(OR($B34="",$D34=""),"",$D34*N(IFERROR(INDEX(Drain_Register!$AI$5:$AI$304,MATCH($B34,Drain_Register!$A$5:$A$304,0)),IFERROR(INDEX(RW_Register!$AO$5:$AO$304,MATCH($B34,RW_Register!$A$5:$A$304,0)),IFERROR(INDEX(Embedded_Wall_Register!$AL$5:$AL$304,MATCH($B34,Embedded_Wall_Register!$A$5:$A$304,0)),IFERROR(INDEX(Manhole_Register!$AO$5:$AO$304,MATCH($B34,Manhole_Register!$A$5:$A$304,0)),IFERROR(INDEX(ERSS_Pit_Register!$AI$5:$AI$304,MATCH($B34,ERSS_Pit_Register!$A$5:$A$304,0)),IFERROR(INDEX(Linkway_Register!$AK$5:$AK$304,MATCH($B34,Linkway_Register!$A$5:$A$304,0)),IFERROR(INDEX(Other_Register!$AA$5:$AA$304,MATCH($B34,Other_Register!$A$5:$A$304,0)),0))))))))/1000)</f>
        <v/>
      </c>
      <c r="P34" s="20" t="str">
        <f aca="false">IF(OR($B34="",$D34=""),"",$D34*N(IFERROR(INDEX(Drain_Register!$AJ$5:$AJ$304,MATCH($B34,Drain_Register!$A$5:$A$304,0)),IFERROR(INDEX(RW_Register!$AP$5:$AP$304,MATCH($B34,RW_Register!$A$5:$A$304,0)),IFERROR(INDEX(Embedded_Wall_Register!$AM$5:$AM$304,MATCH($B34,Embedded_Wall_Register!$A$5:$A$304,0)),IFERROR(INDEX(Manhole_Register!$AP$5:$AP$304,MATCH($B34,Manhole_Register!$A$5:$A$304,0)),IFERROR(INDEX(ERSS_Pit_Register!$AJ$5:$AJ$304,MATCH($B34,ERSS_Pit_Register!$A$5:$A$304,0)),IFERROR(INDEX(Linkway_Register!$AL$5:$AL$304,MATCH($B34,Linkway_Register!$A$5:$A$304,0)),IFERROR(INDEX(Other_Register!$AB$5:$AB$304,MATCH($B34,Other_Register!$A$5:$A$304,0)),0))))))))/1000)</f>
        <v/>
      </c>
      <c r="Q34" s="19" t="str">
        <f aca="false">IF(OR($B34="",$D34=""),"",$D34*N(IFERROR(INDEX(Drain_Register!$AK$5:$AK$304,MATCH($B34,Drain_Register!$A$5:$A$304,0)),IFERROR(INDEX(RW_Register!$AQ$5:$AQ$304,MATCH($B34,RW_Register!$A$5:$A$304,0)),IFERROR(INDEX(Embedded_Wall_Register!$AN$5:$AN$304,MATCH($B34,Embedded_Wall_Register!$A$5:$A$304,0)),IFERROR(INDEX(Manhole_Register!$AQ$5:$AQ$304,MATCH($B34,Manhole_Register!$A$5:$A$304,0)),IFERROR(INDEX(ERSS_Pit_Register!$AK$5:$AK$304,MATCH($B34,ERSS_Pit_Register!$A$5:$A$304,0)),IFERROR(INDEX(Linkway_Register!$AM$5:$AM$304,MATCH($B34,Linkway_Register!$A$5:$A$304,0)),IFERROR(INDEX(Other_Register!$AC$5:$AC$304,MATCH($B34,Other_Register!$A$5:$A$304,0)),0)))))))))</f>
        <v/>
      </c>
      <c r="R34" s="19" t="str">
        <f aca="false">IF(OR($B34="",$D34=""),"",$D34*N(IFERROR(INDEX(Drain_Register!$AL$5:$AL$304,MATCH($B34,Drain_Register!$A$5:$A$304,0)),IFERROR(INDEX(RW_Register!$AR$5:$AR$304,MATCH($B34,RW_Register!$A$5:$A$304,0)),IFERROR(INDEX(Embedded_Wall_Register!$AO$5:$AO$304,MATCH($B34,Embedded_Wall_Register!$A$5:$A$304,0)),IFERROR(INDEX(Manhole_Register!$AR$5:$AR$304,MATCH($B34,Manhole_Register!$A$5:$A$304,0)),IFERROR(INDEX(ERSS_Pit_Register!$AL$5:$AL$304,MATCH($B34,ERSS_Pit_Register!$A$5:$A$304,0)),IFERROR(INDEX(Linkway_Register!$AN$5:$AN$304,MATCH($B34,Linkway_Register!$A$5:$A$304,0)),IFERROR(INDEX(Other_Register!$AD$5:$AD$304,MATCH($B34,Other_Register!$A$5:$A$304,0)),0)))))))))</f>
        <v/>
      </c>
      <c r="S34" s="10" t="str">
        <f aca="false">IF($B34="","",IF(G34="","ID not found",IF(J34&lt;&gt;"Approved","WARNING: status is "&amp;J34,IF(IFERROR(INDEX(Drain_Register!$AV$5:$AV$304,MATCH($B34,Drain_Register!$A$5:$A$304,0)),IFERROR(INDEX(RW_Register!$BA$5:$BA$304,MATCH($B34,RW_Register!$A$5:$A$304,0)),IFERROR(INDEX(Embedded_Wall_Register!$AX$5:$AX$304,MATCH($B34,Embedded_Wall_Register!$A$5:$A$304,0)),IFERROR(INDEX(Manhole_Register!$AZ$5:$AZ$304,MATCH($B34,Manhole_Register!$A$5:$A$304,0)),IFERROR(INDEX(ERSS_Pit_Register!$AU$5:$AU$304,MATCH($B34,ERSS_Pit_Register!$A$5:$A$304,0)),IFERROR(INDEX(Linkway_Register!$AV$5:$AV$304,MATCH($B34,Linkway_Register!$A$5:$A$304,0)),IFERROR(INDEX(Other_Register!$AL$5:$AL$304,MATCH($B34,Other_Register!$A$5:$A$304,0)),"")))))))="N","WARNING: fails SG compliance check",IF(D34="","Enter length / qty",IF(E34="","Enter CAD sheet no.","OK"))))))</f>
        <v/>
      </c>
    </row>
    <row r="35" customFormat="false" ht="15" hidden="false" customHeight="false" outlineLevel="0" collapsed="false">
      <c r="A35" s="9"/>
      <c r="B35" s="9"/>
      <c r="C35" s="9"/>
      <c r="D35" s="9"/>
      <c r="E35" s="9"/>
      <c r="F35" s="10" t="str">
        <f aca="false">IF($B35="","",IFERROR(INDEX(Drain_Register!$AG$5:$AG$304,MATCH($B35,Drain_Register!$A$5:$A$304,0)),IFERROR(INDEX(RW_Register!$AM$5:$AM$304,MATCH($B35,RW_Register!$A$5:$A$304,0)),IFERROR(INDEX(Embedded_Wall_Register!$AJ$5:$AJ$304,MATCH($B35,Embedded_Wall_Register!$A$5:$A$304,0)),IFERROR(INDEX(Manhole_Register!$AM$5:$AM$304,MATCH($B35,Manhole_Register!$A$5:$A$304,0)),IFERROR(INDEX(ERSS_Pit_Register!$AG$5:$AG$304,MATCH($B35,ERSS_Pit_Register!$A$5:$A$304,0)),IFERROR(INDEX(Linkway_Register!$AI$5:$AI$304,MATCH($B35,Linkway_Register!$A$5:$A$304,0)),IFERROR(INDEX(Other_Register!$Y$5:$Y$304,MATCH($B35,Other_Register!$A$5:$A$304,0)),""))))))))</f>
        <v/>
      </c>
      <c r="G35" s="10" t="str">
        <f aca="false">IF($B35="","",IF(ISNUMBER(MATCH($B35,Drain_Register!$A$5:$A$304,0)),"Drain",IF(ISNUMBER(MATCH($B35,RW_Register!$A$5:$A$304,0)),"Ret. Wall",IF(ISNUMBER(MATCH($B35,Embedded_Wall_Register!$A$5:$A$304,0)),"Embedded Wall",IF(ISNUMBER(MATCH($B35,Manhole_Register!$A$5:$A$304,0)),"Manhole",IF(ISNUMBER(MATCH($B35,ERSS_Pit_Register!$A$5:$A$304,0)),"ERSS Pit",IF(ISNUMBER(MATCH($B35,Linkway_Register!$A$5:$A$304,0)),"Linkway",IF(ISNUMBER(MATCH($B35,Other_Register!$A$5:$A$304,0)),"Others",""))))))))</f>
        <v/>
      </c>
      <c r="H35" s="10" t="str">
        <f aca="false">IF($B35="","",IFERROR(INDEX(Drain_Register!$B$5:$B$304,MATCH($B35,Drain_Register!$A$5:$A$304,0)),IFERROR(INDEX(RW_Register!$B$5:$B$304,MATCH($B35,RW_Register!$A$5:$A$304,0)),IFERROR(INDEX(Embedded_Wall_Register!$B$5:$B$304,MATCH($B35,Embedded_Wall_Register!$A$5:$A$304,0)),IFERROR(INDEX(Manhole_Register!$B$5:$B$304,MATCH($B35,Manhole_Register!$A$5:$A$304,0)),IFERROR(INDEX(ERSS_Pit_Register!$B$5:$B$304,MATCH($B35,ERSS_Pit_Register!$A$5:$A$304,0)),IFERROR(INDEX(Linkway_Register!$B$5:$B$304,MATCH($B35,Linkway_Register!$A$5:$A$304,0)),IFERROR(INDEX(Other_Register!$B$5:$B$304,MATCH($B35,Other_Register!$A$5:$A$304,0)),"ID not found - check spelling"))))))))</f>
        <v/>
      </c>
      <c r="I35" s="10" t="str">
        <f aca="false">IF($B35="","",IFERROR(INDEX(Drain_Register!$U$5:$U$304,MATCH($B35,Drain_Register!$A$5:$A$304,0)),IFERROR(INDEX(RW_Register!$AA$5:$AA$304,MATCH($B35,RW_Register!$A$5:$A$304,0)),IFERROR(INDEX(Embedded_Wall_Register!$X$5:$X$304,MATCH($B35,Embedded_Wall_Register!$A$5:$A$304,0)),IFERROR(INDEX(Manhole_Register!$AA$5:$AA$304,MATCH($B35,Manhole_Register!$A$5:$A$304,0)),IFERROR(INDEX(ERSS_Pit_Register!$U$5:$U$304,MATCH($B35,ERSS_Pit_Register!$A$5:$A$304,0)),IFERROR(INDEX(Linkway_Register!$W$5:$W$304,MATCH($B35,Linkway_Register!$A$5:$A$304,0)),IFERROR(INDEX(Other_Register!$M$5:$M$304,MATCH($B35,Other_Register!$A$5:$A$304,0)),""))))))))</f>
        <v/>
      </c>
      <c r="J35" s="10" t="str">
        <f aca="false">IF($B35="","",IFERROR(INDEX(Drain_Register!$V$5:$V$304,MATCH($B35,Drain_Register!$A$5:$A$304,0)),IFERROR(INDEX(RW_Register!$AB$5:$AB$304,MATCH($B35,RW_Register!$A$5:$A$304,0)),IFERROR(INDEX(Embedded_Wall_Register!$Y$5:$Y$304,MATCH($B35,Embedded_Wall_Register!$A$5:$A$304,0)),IFERROR(INDEX(Manhole_Register!$AB$5:$AB$304,MATCH($B35,Manhole_Register!$A$5:$A$304,0)),IFERROR(INDEX(ERSS_Pit_Register!$V$5:$V$304,MATCH($B35,ERSS_Pit_Register!$A$5:$A$304,0)),IFERROR(INDEX(Linkway_Register!$X$5:$X$304,MATCH($B35,Linkway_Register!$A$5:$A$304,0)),IFERROR(INDEX(Other_Register!$N$5:$N$304,MATCH($B35,Other_Register!$A$5:$A$304,0)),""))))))))</f>
        <v/>
      </c>
      <c r="K35" s="10" t="str">
        <f aca="false">IF($B35="","",IFERROR(INDEX(Drain_Register!$W$5:$W$304,MATCH($B35,Drain_Register!$A$5:$A$304,0)),IFERROR(INDEX(RW_Register!$AC$5:$AC$304,MATCH($B35,RW_Register!$A$5:$A$304,0)),IFERROR(INDEX(Embedded_Wall_Register!$Z$5:$Z$304,MATCH($B35,Embedded_Wall_Register!$A$5:$A$304,0)),IFERROR(INDEX(Manhole_Register!$AC$5:$AC$304,MATCH($B35,Manhole_Register!$A$5:$A$304,0)),IFERROR(INDEX(ERSS_Pit_Register!$W$5:$W$304,MATCH($B35,ERSS_Pit_Register!$A$5:$A$304,0)),IFERROR(INDEX(Linkway_Register!$Y$5:$Y$304,MATCH($B35,Linkway_Register!$A$5:$A$304,0)),IFERROR(INDEX(Other_Register!$O$5:$O$304,MATCH($B35,Other_Register!$A$5:$A$304,0)),""))))))))</f>
        <v/>
      </c>
      <c r="L35" s="10" t="str">
        <f aca="false">IF($B35="","",IFERROR(INDEX(Drain_Register!$X$5:$X$304,MATCH($B35,Drain_Register!$A$5:$A$304,0)),IFERROR(INDEX(RW_Register!$AD$5:$AD$304,MATCH($B35,RW_Register!$A$5:$A$304,0)),IFERROR(INDEX(Embedded_Wall_Register!$AA$5:$AA$304,MATCH($B35,Embedded_Wall_Register!$A$5:$A$304,0)),IFERROR(INDEX(Manhole_Register!$AD$5:$AD$304,MATCH($B35,Manhole_Register!$A$5:$A$304,0)),IFERROR(INDEX(ERSS_Pit_Register!$X$5:$X$304,MATCH($B35,ERSS_Pit_Register!$A$5:$A$304,0)),IFERROR(INDEX(Linkway_Register!$Z$5:$Z$304,MATCH($B35,Linkway_Register!$A$5:$A$304,0)),IFERROR(INDEX(Other_Register!$P$5:$P$304,MATCH($B35,Other_Register!$A$5:$A$304,0)),""))))))))</f>
        <v/>
      </c>
      <c r="M35" s="10" t="str">
        <f aca="false">IF($B35="","",IFERROR(INDEX(Drain_Register!$Z$5:$Z$304,MATCH($B35,Drain_Register!$A$5:$A$304,0)),IFERROR(INDEX(RW_Register!$AF$5:$AF$304,MATCH($B35,RW_Register!$A$5:$A$304,0)),IFERROR(INDEX(Embedded_Wall_Register!$AC$5:$AC$304,MATCH($B35,Embedded_Wall_Register!$A$5:$A$304,0)),IFERROR(INDEX(Manhole_Register!$AF$5:$AF$304,MATCH($B35,Manhole_Register!$A$5:$A$304,0)),IFERROR(INDEX(ERSS_Pit_Register!$Z$5:$Z$304,MATCH($B35,ERSS_Pit_Register!$A$5:$A$304,0)),IFERROR(INDEX(Linkway_Register!$AB$5:$AB$304,MATCH($B35,Linkway_Register!$A$5:$A$304,0)),IFERROR(INDEX(Other_Register!$R$5:$R$304,MATCH($B35,Other_Register!$A$5:$A$304,0)),"")))))))&amp;IFERROR(INDEX(Drain_Register!$AA$5:$AA$304,MATCH($B35,Drain_Register!$A$5:$A$304,0)),IFERROR(INDEX(RW_Register!$AG$5:$AG$304,MATCH($B35,RW_Register!$A$5:$A$304,0)),IFERROR(INDEX(Embedded_Wall_Register!$AD$5:$AD$304,MATCH($B35,Embedded_Wall_Register!$A$5:$A$304,0)),IFERROR(INDEX(Manhole_Register!$AG$5:$AG$304,MATCH($B35,Manhole_Register!$A$5:$A$304,0)),IFERROR(INDEX(ERSS_Pit_Register!$AA$5:$AA$304,MATCH($B35,ERSS_Pit_Register!$A$5:$A$304,0)),IFERROR(INDEX(Linkway_Register!$AC$5:$AC$304,MATCH($B35,Linkway_Register!$A$5:$A$304,0)),IFERROR(INDEX(Other_Register!$S$5:$S$304,MATCH($B35,Other_Register!$A$5:$A$304,0)),""))))))))</f>
        <v/>
      </c>
      <c r="N35" s="19" t="str">
        <f aca="false">IF(OR($B35="",$D35=""),"",$D35*N(IFERROR(INDEX(Drain_Register!$AH$5:$AH$304,MATCH($B35,Drain_Register!$A$5:$A$304,0)),IFERROR(INDEX(RW_Register!$AN$5:$AN$304,MATCH($B35,RW_Register!$A$5:$A$304,0)),IFERROR(INDEX(Embedded_Wall_Register!$AK$5:$AK$304,MATCH($B35,Embedded_Wall_Register!$A$5:$A$304,0)),IFERROR(INDEX(Manhole_Register!$AN$5:$AN$304,MATCH($B35,Manhole_Register!$A$5:$A$304,0)),IFERROR(INDEX(ERSS_Pit_Register!$AH$5:$AH$304,MATCH($B35,ERSS_Pit_Register!$A$5:$A$304,0)),IFERROR(INDEX(Linkway_Register!$AJ$5:$AJ$304,MATCH($B35,Linkway_Register!$A$5:$A$304,0)),IFERROR(INDEX(Other_Register!$Z$5:$Z$304,MATCH($B35,Other_Register!$A$5:$A$304,0)),0)))))))))</f>
        <v/>
      </c>
      <c r="O35" s="20" t="str">
        <f aca="false">IF(OR($B35="",$D35=""),"",$D35*N(IFERROR(INDEX(Drain_Register!$AI$5:$AI$304,MATCH($B35,Drain_Register!$A$5:$A$304,0)),IFERROR(INDEX(RW_Register!$AO$5:$AO$304,MATCH($B35,RW_Register!$A$5:$A$304,0)),IFERROR(INDEX(Embedded_Wall_Register!$AL$5:$AL$304,MATCH($B35,Embedded_Wall_Register!$A$5:$A$304,0)),IFERROR(INDEX(Manhole_Register!$AO$5:$AO$304,MATCH($B35,Manhole_Register!$A$5:$A$304,0)),IFERROR(INDEX(ERSS_Pit_Register!$AI$5:$AI$304,MATCH($B35,ERSS_Pit_Register!$A$5:$A$304,0)),IFERROR(INDEX(Linkway_Register!$AK$5:$AK$304,MATCH($B35,Linkway_Register!$A$5:$A$304,0)),IFERROR(INDEX(Other_Register!$AA$5:$AA$304,MATCH($B35,Other_Register!$A$5:$A$304,0)),0))))))))/1000)</f>
        <v/>
      </c>
      <c r="P35" s="20" t="str">
        <f aca="false">IF(OR($B35="",$D35=""),"",$D35*N(IFERROR(INDEX(Drain_Register!$AJ$5:$AJ$304,MATCH($B35,Drain_Register!$A$5:$A$304,0)),IFERROR(INDEX(RW_Register!$AP$5:$AP$304,MATCH($B35,RW_Register!$A$5:$A$304,0)),IFERROR(INDEX(Embedded_Wall_Register!$AM$5:$AM$304,MATCH($B35,Embedded_Wall_Register!$A$5:$A$304,0)),IFERROR(INDEX(Manhole_Register!$AP$5:$AP$304,MATCH($B35,Manhole_Register!$A$5:$A$304,0)),IFERROR(INDEX(ERSS_Pit_Register!$AJ$5:$AJ$304,MATCH($B35,ERSS_Pit_Register!$A$5:$A$304,0)),IFERROR(INDEX(Linkway_Register!$AL$5:$AL$304,MATCH($B35,Linkway_Register!$A$5:$A$304,0)),IFERROR(INDEX(Other_Register!$AB$5:$AB$304,MATCH($B35,Other_Register!$A$5:$A$304,0)),0))))))))/1000)</f>
        <v/>
      </c>
      <c r="Q35" s="19" t="str">
        <f aca="false">IF(OR($B35="",$D35=""),"",$D35*N(IFERROR(INDEX(Drain_Register!$AK$5:$AK$304,MATCH($B35,Drain_Register!$A$5:$A$304,0)),IFERROR(INDEX(RW_Register!$AQ$5:$AQ$304,MATCH($B35,RW_Register!$A$5:$A$304,0)),IFERROR(INDEX(Embedded_Wall_Register!$AN$5:$AN$304,MATCH($B35,Embedded_Wall_Register!$A$5:$A$304,0)),IFERROR(INDEX(Manhole_Register!$AQ$5:$AQ$304,MATCH($B35,Manhole_Register!$A$5:$A$304,0)),IFERROR(INDEX(ERSS_Pit_Register!$AK$5:$AK$304,MATCH($B35,ERSS_Pit_Register!$A$5:$A$304,0)),IFERROR(INDEX(Linkway_Register!$AM$5:$AM$304,MATCH($B35,Linkway_Register!$A$5:$A$304,0)),IFERROR(INDEX(Other_Register!$AC$5:$AC$304,MATCH($B35,Other_Register!$A$5:$A$304,0)),0)))))))))</f>
        <v/>
      </c>
      <c r="R35" s="19" t="str">
        <f aca="false">IF(OR($B35="",$D35=""),"",$D35*N(IFERROR(INDEX(Drain_Register!$AL$5:$AL$304,MATCH($B35,Drain_Register!$A$5:$A$304,0)),IFERROR(INDEX(RW_Register!$AR$5:$AR$304,MATCH($B35,RW_Register!$A$5:$A$304,0)),IFERROR(INDEX(Embedded_Wall_Register!$AO$5:$AO$304,MATCH($B35,Embedded_Wall_Register!$A$5:$A$304,0)),IFERROR(INDEX(Manhole_Register!$AR$5:$AR$304,MATCH($B35,Manhole_Register!$A$5:$A$304,0)),IFERROR(INDEX(ERSS_Pit_Register!$AL$5:$AL$304,MATCH($B35,ERSS_Pit_Register!$A$5:$A$304,0)),IFERROR(INDEX(Linkway_Register!$AN$5:$AN$304,MATCH($B35,Linkway_Register!$A$5:$A$304,0)),IFERROR(INDEX(Other_Register!$AD$5:$AD$304,MATCH($B35,Other_Register!$A$5:$A$304,0)),0)))))))))</f>
        <v/>
      </c>
      <c r="S35" s="10" t="str">
        <f aca="false">IF($B35="","",IF(G35="","ID not found",IF(J35&lt;&gt;"Approved","WARNING: status is "&amp;J35,IF(IFERROR(INDEX(Drain_Register!$AV$5:$AV$304,MATCH($B35,Drain_Register!$A$5:$A$304,0)),IFERROR(INDEX(RW_Register!$BA$5:$BA$304,MATCH($B35,RW_Register!$A$5:$A$304,0)),IFERROR(INDEX(Embedded_Wall_Register!$AX$5:$AX$304,MATCH($B35,Embedded_Wall_Register!$A$5:$A$304,0)),IFERROR(INDEX(Manhole_Register!$AZ$5:$AZ$304,MATCH($B35,Manhole_Register!$A$5:$A$304,0)),IFERROR(INDEX(ERSS_Pit_Register!$AU$5:$AU$304,MATCH($B35,ERSS_Pit_Register!$A$5:$A$304,0)),IFERROR(INDEX(Linkway_Register!$AV$5:$AV$304,MATCH($B35,Linkway_Register!$A$5:$A$304,0)),IFERROR(INDEX(Other_Register!$AL$5:$AL$304,MATCH($B35,Other_Register!$A$5:$A$304,0)),"")))))))="N","WARNING: fails SG compliance check",IF(D35="","Enter length / qty",IF(E35="","Enter CAD sheet no.","OK"))))))</f>
        <v/>
      </c>
    </row>
    <row r="36" customFormat="false" ht="15" hidden="false" customHeight="false" outlineLevel="0" collapsed="false">
      <c r="A36" s="9"/>
      <c r="B36" s="9"/>
      <c r="C36" s="9"/>
      <c r="D36" s="9"/>
      <c r="E36" s="9"/>
      <c r="F36" s="10" t="str">
        <f aca="false">IF($B36="","",IFERROR(INDEX(Drain_Register!$AG$5:$AG$304,MATCH($B36,Drain_Register!$A$5:$A$304,0)),IFERROR(INDEX(RW_Register!$AM$5:$AM$304,MATCH($B36,RW_Register!$A$5:$A$304,0)),IFERROR(INDEX(Embedded_Wall_Register!$AJ$5:$AJ$304,MATCH($B36,Embedded_Wall_Register!$A$5:$A$304,0)),IFERROR(INDEX(Manhole_Register!$AM$5:$AM$304,MATCH($B36,Manhole_Register!$A$5:$A$304,0)),IFERROR(INDEX(ERSS_Pit_Register!$AG$5:$AG$304,MATCH($B36,ERSS_Pit_Register!$A$5:$A$304,0)),IFERROR(INDEX(Linkway_Register!$AI$5:$AI$304,MATCH($B36,Linkway_Register!$A$5:$A$304,0)),IFERROR(INDEX(Other_Register!$Y$5:$Y$304,MATCH($B36,Other_Register!$A$5:$A$304,0)),""))))))))</f>
        <v/>
      </c>
      <c r="G36" s="10" t="str">
        <f aca="false">IF($B36="","",IF(ISNUMBER(MATCH($B36,Drain_Register!$A$5:$A$304,0)),"Drain",IF(ISNUMBER(MATCH($B36,RW_Register!$A$5:$A$304,0)),"Ret. Wall",IF(ISNUMBER(MATCH($B36,Embedded_Wall_Register!$A$5:$A$304,0)),"Embedded Wall",IF(ISNUMBER(MATCH($B36,Manhole_Register!$A$5:$A$304,0)),"Manhole",IF(ISNUMBER(MATCH($B36,ERSS_Pit_Register!$A$5:$A$304,0)),"ERSS Pit",IF(ISNUMBER(MATCH($B36,Linkway_Register!$A$5:$A$304,0)),"Linkway",IF(ISNUMBER(MATCH($B36,Other_Register!$A$5:$A$304,0)),"Others",""))))))))</f>
        <v/>
      </c>
      <c r="H36" s="10" t="str">
        <f aca="false">IF($B36="","",IFERROR(INDEX(Drain_Register!$B$5:$B$304,MATCH($B36,Drain_Register!$A$5:$A$304,0)),IFERROR(INDEX(RW_Register!$B$5:$B$304,MATCH($B36,RW_Register!$A$5:$A$304,0)),IFERROR(INDEX(Embedded_Wall_Register!$B$5:$B$304,MATCH($B36,Embedded_Wall_Register!$A$5:$A$304,0)),IFERROR(INDEX(Manhole_Register!$B$5:$B$304,MATCH($B36,Manhole_Register!$A$5:$A$304,0)),IFERROR(INDEX(ERSS_Pit_Register!$B$5:$B$304,MATCH($B36,ERSS_Pit_Register!$A$5:$A$304,0)),IFERROR(INDEX(Linkway_Register!$B$5:$B$304,MATCH($B36,Linkway_Register!$A$5:$A$304,0)),IFERROR(INDEX(Other_Register!$B$5:$B$304,MATCH($B36,Other_Register!$A$5:$A$304,0)),"ID not found - check spelling"))))))))</f>
        <v/>
      </c>
      <c r="I36" s="10" t="str">
        <f aca="false">IF($B36="","",IFERROR(INDEX(Drain_Register!$U$5:$U$304,MATCH($B36,Drain_Register!$A$5:$A$304,0)),IFERROR(INDEX(RW_Register!$AA$5:$AA$304,MATCH($B36,RW_Register!$A$5:$A$304,0)),IFERROR(INDEX(Embedded_Wall_Register!$X$5:$X$304,MATCH($B36,Embedded_Wall_Register!$A$5:$A$304,0)),IFERROR(INDEX(Manhole_Register!$AA$5:$AA$304,MATCH($B36,Manhole_Register!$A$5:$A$304,0)),IFERROR(INDEX(ERSS_Pit_Register!$U$5:$U$304,MATCH($B36,ERSS_Pit_Register!$A$5:$A$304,0)),IFERROR(INDEX(Linkway_Register!$W$5:$W$304,MATCH($B36,Linkway_Register!$A$5:$A$304,0)),IFERROR(INDEX(Other_Register!$M$5:$M$304,MATCH($B36,Other_Register!$A$5:$A$304,0)),""))))))))</f>
        <v/>
      </c>
      <c r="J36" s="10" t="str">
        <f aca="false">IF($B36="","",IFERROR(INDEX(Drain_Register!$V$5:$V$304,MATCH($B36,Drain_Register!$A$5:$A$304,0)),IFERROR(INDEX(RW_Register!$AB$5:$AB$304,MATCH($B36,RW_Register!$A$5:$A$304,0)),IFERROR(INDEX(Embedded_Wall_Register!$Y$5:$Y$304,MATCH($B36,Embedded_Wall_Register!$A$5:$A$304,0)),IFERROR(INDEX(Manhole_Register!$AB$5:$AB$304,MATCH($B36,Manhole_Register!$A$5:$A$304,0)),IFERROR(INDEX(ERSS_Pit_Register!$V$5:$V$304,MATCH($B36,ERSS_Pit_Register!$A$5:$A$304,0)),IFERROR(INDEX(Linkway_Register!$X$5:$X$304,MATCH($B36,Linkway_Register!$A$5:$A$304,0)),IFERROR(INDEX(Other_Register!$N$5:$N$304,MATCH($B36,Other_Register!$A$5:$A$304,0)),""))))))))</f>
        <v/>
      </c>
      <c r="K36" s="10" t="str">
        <f aca="false">IF($B36="","",IFERROR(INDEX(Drain_Register!$W$5:$W$304,MATCH($B36,Drain_Register!$A$5:$A$304,0)),IFERROR(INDEX(RW_Register!$AC$5:$AC$304,MATCH($B36,RW_Register!$A$5:$A$304,0)),IFERROR(INDEX(Embedded_Wall_Register!$Z$5:$Z$304,MATCH($B36,Embedded_Wall_Register!$A$5:$A$304,0)),IFERROR(INDEX(Manhole_Register!$AC$5:$AC$304,MATCH($B36,Manhole_Register!$A$5:$A$304,0)),IFERROR(INDEX(ERSS_Pit_Register!$W$5:$W$304,MATCH($B36,ERSS_Pit_Register!$A$5:$A$304,0)),IFERROR(INDEX(Linkway_Register!$Y$5:$Y$304,MATCH($B36,Linkway_Register!$A$5:$A$304,0)),IFERROR(INDEX(Other_Register!$O$5:$O$304,MATCH($B36,Other_Register!$A$5:$A$304,0)),""))))))))</f>
        <v/>
      </c>
      <c r="L36" s="10" t="str">
        <f aca="false">IF($B36="","",IFERROR(INDEX(Drain_Register!$X$5:$X$304,MATCH($B36,Drain_Register!$A$5:$A$304,0)),IFERROR(INDEX(RW_Register!$AD$5:$AD$304,MATCH($B36,RW_Register!$A$5:$A$304,0)),IFERROR(INDEX(Embedded_Wall_Register!$AA$5:$AA$304,MATCH($B36,Embedded_Wall_Register!$A$5:$A$304,0)),IFERROR(INDEX(Manhole_Register!$AD$5:$AD$304,MATCH($B36,Manhole_Register!$A$5:$A$304,0)),IFERROR(INDEX(ERSS_Pit_Register!$X$5:$X$304,MATCH($B36,ERSS_Pit_Register!$A$5:$A$304,0)),IFERROR(INDEX(Linkway_Register!$Z$5:$Z$304,MATCH($B36,Linkway_Register!$A$5:$A$304,0)),IFERROR(INDEX(Other_Register!$P$5:$P$304,MATCH($B36,Other_Register!$A$5:$A$304,0)),""))))))))</f>
        <v/>
      </c>
      <c r="M36" s="10" t="str">
        <f aca="false">IF($B36="","",IFERROR(INDEX(Drain_Register!$Z$5:$Z$304,MATCH($B36,Drain_Register!$A$5:$A$304,0)),IFERROR(INDEX(RW_Register!$AF$5:$AF$304,MATCH($B36,RW_Register!$A$5:$A$304,0)),IFERROR(INDEX(Embedded_Wall_Register!$AC$5:$AC$304,MATCH($B36,Embedded_Wall_Register!$A$5:$A$304,0)),IFERROR(INDEX(Manhole_Register!$AF$5:$AF$304,MATCH($B36,Manhole_Register!$A$5:$A$304,0)),IFERROR(INDEX(ERSS_Pit_Register!$Z$5:$Z$304,MATCH($B36,ERSS_Pit_Register!$A$5:$A$304,0)),IFERROR(INDEX(Linkway_Register!$AB$5:$AB$304,MATCH($B36,Linkway_Register!$A$5:$A$304,0)),IFERROR(INDEX(Other_Register!$R$5:$R$304,MATCH($B36,Other_Register!$A$5:$A$304,0)),"")))))))&amp;IFERROR(INDEX(Drain_Register!$AA$5:$AA$304,MATCH($B36,Drain_Register!$A$5:$A$304,0)),IFERROR(INDEX(RW_Register!$AG$5:$AG$304,MATCH($B36,RW_Register!$A$5:$A$304,0)),IFERROR(INDEX(Embedded_Wall_Register!$AD$5:$AD$304,MATCH($B36,Embedded_Wall_Register!$A$5:$A$304,0)),IFERROR(INDEX(Manhole_Register!$AG$5:$AG$304,MATCH($B36,Manhole_Register!$A$5:$A$304,0)),IFERROR(INDEX(ERSS_Pit_Register!$AA$5:$AA$304,MATCH($B36,ERSS_Pit_Register!$A$5:$A$304,0)),IFERROR(INDEX(Linkway_Register!$AC$5:$AC$304,MATCH($B36,Linkway_Register!$A$5:$A$304,0)),IFERROR(INDEX(Other_Register!$S$5:$S$304,MATCH($B36,Other_Register!$A$5:$A$304,0)),""))))))))</f>
        <v/>
      </c>
      <c r="N36" s="19" t="str">
        <f aca="false">IF(OR($B36="",$D36=""),"",$D36*N(IFERROR(INDEX(Drain_Register!$AH$5:$AH$304,MATCH($B36,Drain_Register!$A$5:$A$304,0)),IFERROR(INDEX(RW_Register!$AN$5:$AN$304,MATCH($B36,RW_Register!$A$5:$A$304,0)),IFERROR(INDEX(Embedded_Wall_Register!$AK$5:$AK$304,MATCH($B36,Embedded_Wall_Register!$A$5:$A$304,0)),IFERROR(INDEX(Manhole_Register!$AN$5:$AN$304,MATCH($B36,Manhole_Register!$A$5:$A$304,0)),IFERROR(INDEX(ERSS_Pit_Register!$AH$5:$AH$304,MATCH($B36,ERSS_Pit_Register!$A$5:$A$304,0)),IFERROR(INDEX(Linkway_Register!$AJ$5:$AJ$304,MATCH($B36,Linkway_Register!$A$5:$A$304,0)),IFERROR(INDEX(Other_Register!$Z$5:$Z$304,MATCH($B36,Other_Register!$A$5:$A$304,0)),0)))))))))</f>
        <v/>
      </c>
      <c r="O36" s="20" t="str">
        <f aca="false">IF(OR($B36="",$D36=""),"",$D36*N(IFERROR(INDEX(Drain_Register!$AI$5:$AI$304,MATCH($B36,Drain_Register!$A$5:$A$304,0)),IFERROR(INDEX(RW_Register!$AO$5:$AO$304,MATCH($B36,RW_Register!$A$5:$A$304,0)),IFERROR(INDEX(Embedded_Wall_Register!$AL$5:$AL$304,MATCH($B36,Embedded_Wall_Register!$A$5:$A$304,0)),IFERROR(INDEX(Manhole_Register!$AO$5:$AO$304,MATCH($B36,Manhole_Register!$A$5:$A$304,0)),IFERROR(INDEX(ERSS_Pit_Register!$AI$5:$AI$304,MATCH($B36,ERSS_Pit_Register!$A$5:$A$304,0)),IFERROR(INDEX(Linkway_Register!$AK$5:$AK$304,MATCH($B36,Linkway_Register!$A$5:$A$304,0)),IFERROR(INDEX(Other_Register!$AA$5:$AA$304,MATCH($B36,Other_Register!$A$5:$A$304,0)),0))))))))/1000)</f>
        <v/>
      </c>
      <c r="P36" s="20" t="str">
        <f aca="false">IF(OR($B36="",$D36=""),"",$D36*N(IFERROR(INDEX(Drain_Register!$AJ$5:$AJ$304,MATCH($B36,Drain_Register!$A$5:$A$304,0)),IFERROR(INDEX(RW_Register!$AP$5:$AP$304,MATCH($B36,RW_Register!$A$5:$A$304,0)),IFERROR(INDEX(Embedded_Wall_Register!$AM$5:$AM$304,MATCH($B36,Embedded_Wall_Register!$A$5:$A$304,0)),IFERROR(INDEX(Manhole_Register!$AP$5:$AP$304,MATCH($B36,Manhole_Register!$A$5:$A$304,0)),IFERROR(INDEX(ERSS_Pit_Register!$AJ$5:$AJ$304,MATCH($B36,ERSS_Pit_Register!$A$5:$A$304,0)),IFERROR(INDEX(Linkway_Register!$AL$5:$AL$304,MATCH($B36,Linkway_Register!$A$5:$A$304,0)),IFERROR(INDEX(Other_Register!$AB$5:$AB$304,MATCH($B36,Other_Register!$A$5:$A$304,0)),0))))))))/1000)</f>
        <v/>
      </c>
      <c r="Q36" s="19" t="str">
        <f aca="false">IF(OR($B36="",$D36=""),"",$D36*N(IFERROR(INDEX(Drain_Register!$AK$5:$AK$304,MATCH($B36,Drain_Register!$A$5:$A$304,0)),IFERROR(INDEX(RW_Register!$AQ$5:$AQ$304,MATCH($B36,RW_Register!$A$5:$A$304,0)),IFERROR(INDEX(Embedded_Wall_Register!$AN$5:$AN$304,MATCH($B36,Embedded_Wall_Register!$A$5:$A$304,0)),IFERROR(INDEX(Manhole_Register!$AQ$5:$AQ$304,MATCH($B36,Manhole_Register!$A$5:$A$304,0)),IFERROR(INDEX(ERSS_Pit_Register!$AK$5:$AK$304,MATCH($B36,ERSS_Pit_Register!$A$5:$A$304,0)),IFERROR(INDEX(Linkway_Register!$AM$5:$AM$304,MATCH($B36,Linkway_Register!$A$5:$A$304,0)),IFERROR(INDEX(Other_Register!$AC$5:$AC$304,MATCH($B36,Other_Register!$A$5:$A$304,0)),0)))))))))</f>
        <v/>
      </c>
      <c r="R36" s="19" t="str">
        <f aca="false">IF(OR($B36="",$D36=""),"",$D36*N(IFERROR(INDEX(Drain_Register!$AL$5:$AL$304,MATCH($B36,Drain_Register!$A$5:$A$304,0)),IFERROR(INDEX(RW_Register!$AR$5:$AR$304,MATCH($B36,RW_Register!$A$5:$A$304,0)),IFERROR(INDEX(Embedded_Wall_Register!$AO$5:$AO$304,MATCH($B36,Embedded_Wall_Register!$A$5:$A$304,0)),IFERROR(INDEX(Manhole_Register!$AR$5:$AR$304,MATCH($B36,Manhole_Register!$A$5:$A$304,0)),IFERROR(INDEX(ERSS_Pit_Register!$AL$5:$AL$304,MATCH($B36,ERSS_Pit_Register!$A$5:$A$304,0)),IFERROR(INDEX(Linkway_Register!$AN$5:$AN$304,MATCH($B36,Linkway_Register!$A$5:$A$304,0)),IFERROR(INDEX(Other_Register!$AD$5:$AD$304,MATCH($B36,Other_Register!$A$5:$A$304,0)),0)))))))))</f>
        <v/>
      </c>
      <c r="S36" s="10" t="str">
        <f aca="false">IF($B36="","",IF(G36="","ID not found",IF(J36&lt;&gt;"Approved","WARNING: status is "&amp;J36,IF(IFERROR(INDEX(Drain_Register!$AV$5:$AV$304,MATCH($B36,Drain_Register!$A$5:$A$304,0)),IFERROR(INDEX(RW_Register!$BA$5:$BA$304,MATCH($B36,RW_Register!$A$5:$A$304,0)),IFERROR(INDEX(Embedded_Wall_Register!$AX$5:$AX$304,MATCH($B36,Embedded_Wall_Register!$A$5:$A$304,0)),IFERROR(INDEX(Manhole_Register!$AZ$5:$AZ$304,MATCH($B36,Manhole_Register!$A$5:$A$304,0)),IFERROR(INDEX(ERSS_Pit_Register!$AU$5:$AU$304,MATCH($B36,ERSS_Pit_Register!$A$5:$A$304,0)),IFERROR(INDEX(Linkway_Register!$AV$5:$AV$304,MATCH($B36,Linkway_Register!$A$5:$A$304,0)),IFERROR(INDEX(Other_Register!$AL$5:$AL$304,MATCH($B36,Other_Register!$A$5:$A$304,0)),"")))))))="N","WARNING: fails SG compliance check",IF(D36="","Enter length / qty",IF(E36="","Enter CAD sheet no.","OK"))))))</f>
        <v/>
      </c>
    </row>
    <row r="37" customFormat="false" ht="15" hidden="false" customHeight="false" outlineLevel="0" collapsed="false">
      <c r="A37" s="9"/>
      <c r="B37" s="9"/>
      <c r="C37" s="9"/>
      <c r="D37" s="9"/>
      <c r="E37" s="9"/>
      <c r="F37" s="10" t="str">
        <f aca="false">IF($B37="","",IFERROR(INDEX(Drain_Register!$AG$5:$AG$304,MATCH($B37,Drain_Register!$A$5:$A$304,0)),IFERROR(INDEX(RW_Register!$AM$5:$AM$304,MATCH($B37,RW_Register!$A$5:$A$304,0)),IFERROR(INDEX(Embedded_Wall_Register!$AJ$5:$AJ$304,MATCH($B37,Embedded_Wall_Register!$A$5:$A$304,0)),IFERROR(INDEX(Manhole_Register!$AM$5:$AM$304,MATCH($B37,Manhole_Register!$A$5:$A$304,0)),IFERROR(INDEX(ERSS_Pit_Register!$AG$5:$AG$304,MATCH($B37,ERSS_Pit_Register!$A$5:$A$304,0)),IFERROR(INDEX(Linkway_Register!$AI$5:$AI$304,MATCH($B37,Linkway_Register!$A$5:$A$304,0)),IFERROR(INDEX(Other_Register!$Y$5:$Y$304,MATCH($B37,Other_Register!$A$5:$A$304,0)),""))))))))</f>
        <v/>
      </c>
      <c r="G37" s="10" t="str">
        <f aca="false">IF($B37="","",IF(ISNUMBER(MATCH($B37,Drain_Register!$A$5:$A$304,0)),"Drain",IF(ISNUMBER(MATCH($B37,RW_Register!$A$5:$A$304,0)),"Ret. Wall",IF(ISNUMBER(MATCH($B37,Embedded_Wall_Register!$A$5:$A$304,0)),"Embedded Wall",IF(ISNUMBER(MATCH($B37,Manhole_Register!$A$5:$A$304,0)),"Manhole",IF(ISNUMBER(MATCH($B37,ERSS_Pit_Register!$A$5:$A$304,0)),"ERSS Pit",IF(ISNUMBER(MATCH($B37,Linkway_Register!$A$5:$A$304,0)),"Linkway",IF(ISNUMBER(MATCH($B37,Other_Register!$A$5:$A$304,0)),"Others",""))))))))</f>
        <v/>
      </c>
      <c r="H37" s="10" t="str">
        <f aca="false">IF($B37="","",IFERROR(INDEX(Drain_Register!$B$5:$B$304,MATCH($B37,Drain_Register!$A$5:$A$304,0)),IFERROR(INDEX(RW_Register!$B$5:$B$304,MATCH($B37,RW_Register!$A$5:$A$304,0)),IFERROR(INDEX(Embedded_Wall_Register!$B$5:$B$304,MATCH($B37,Embedded_Wall_Register!$A$5:$A$304,0)),IFERROR(INDEX(Manhole_Register!$B$5:$B$304,MATCH($B37,Manhole_Register!$A$5:$A$304,0)),IFERROR(INDEX(ERSS_Pit_Register!$B$5:$B$304,MATCH($B37,ERSS_Pit_Register!$A$5:$A$304,0)),IFERROR(INDEX(Linkway_Register!$B$5:$B$304,MATCH($B37,Linkway_Register!$A$5:$A$304,0)),IFERROR(INDEX(Other_Register!$B$5:$B$304,MATCH($B37,Other_Register!$A$5:$A$304,0)),"ID not found - check spelling"))))))))</f>
        <v/>
      </c>
      <c r="I37" s="10" t="str">
        <f aca="false">IF($B37="","",IFERROR(INDEX(Drain_Register!$U$5:$U$304,MATCH($B37,Drain_Register!$A$5:$A$304,0)),IFERROR(INDEX(RW_Register!$AA$5:$AA$304,MATCH($B37,RW_Register!$A$5:$A$304,0)),IFERROR(INDEX(Embedded_Wall_Register!$X$5:$X$304,MATCH($B37,Embedded_Wall_Register!$A$5:$A$304,0)),IFERROR(INDEX(Manhole_Register!$AA$5:$AA$304,MATCH($B37,Manhole_Register!$A$5:$A$304,0)),IFERROR(INDEX(ERSS_Pit_Register!$U$5:$U$304,MATCH($B37,ERSS_Pit_Register!$A$5:$A$304,0)),IFERROR(INDEX(Linkway_Register!$W$5:$W$304,MATCH($B37,Linkway_Register!$A$5:$A$304,0)),IFERROR(INDEX(Other_Register!$M$5:$M$304,MATCH($B37,Other_Register!$A$5:$A$304,0)),""))))))))</f>
        <v/>
      </c>
      <c r="J37" s="10" t="str">
        <f aca="false">IF($B37="","",IFERROR(INDEX(Drain_Register!$V$5:$V$304,MATCH($B37,Drain_Register!$A$5:$A$304,0)),IFERROR(INDEX(RW_Register!$AB$5:$AB$304,MATCH($B37,RW_Register!$A$5:$A$304,0)),IFERROR(INDEX(Embedded_Wall_Register!$Y$5:$Y$304,MATCH($B37,Embedded_Wall_Register!$A$5:$A$304,0)),IFERROR(INDEX(Manhole_Register!$AB$5:$AB$304,MATCH($B37,Manhole_Register!$A$5:$A$304,0)),IFERROR(INDEX(ERSS_Pit_Register!$V$5:$V$304,MATCH($B37,ERSS_Pit_Register!$A$5:$A$304,0)),IFERROR(INDEX(Linkway_Register!$X$5:$X$304,MATCH($B37,Linkway_Register!$A$5:$A$304,0)),IFERROR(INDEX(Other_Register!$N$5:$N$304,MATCH($B37,Other_Register!$A$5:$A$304,0)),""))))))))</f>
        <v/>
      </c>
      <c r="K37" s="10" t="str">
        <f aca="false">IF($B37="","",IFERROR(INDEX(Drain_Register!$W$5:$W$304,MATCH($B37,Drain_Register!$A$5:$A$304,0)),IFERROR(INDEX(RW_Register!$AC$5:$AC$304,MATCH($B37,RW_Register!$A$5:$A$304,0)),IFERROR(INDEX(Embedded_Wall_Register!$Z$5:$Z$304,MATCH($B37,Embedded_Wall_Register!$A$5:$A$304,0)),IFERROR(INDEX(Manhole_Register!$AC$5:$AC$304,MATCH($B37,Manhole_Register!$A$5:$A$304,0)),IFERROR(INDEX(ERSS_Pit_Register!$W$5:$W$304,MATCH($B37,ERSS_Pit_Register!$A$5:$A$304,0)),IFERROR(INDEX(Linkway_Register!$Y$5:$Y$304,MATCH($B37,Linkway_Register!$A$5:$A$304,0)),IFERROR(INDEX(Other_Register!$O$5:$O$304,MATCH($B37,Other_Register!$A$5:$A$304,0)),""))))))))</f>
        <v/>
      </c>
      <c r="L37" s="10" t="str">
        <f aca="false">IF($B37="","",IFERROR(INDEX(Drain_Register!$X$5:$X$304,MATCH($B37,Drain_Register!$A$5:$A$304,0)),IFERROR(INDEX(RW_Register!$AD$5:$AD$304,MATCH($B37,RW_Register!$A$5:$A$304,0)),IFERROR(INDEX(Embedded_Wall_Register!$AA$5:$AA$304,MATCH($B37,Embedded_Wall_Register!$A$5:$A$304,0)),IFERROR(INDEX(Manhole_Register!$AD$5:$AD$304,MATCH($B37,Manhole_Register!$A$5:$A$304,0)),IFERROR(INDEX(ERSS_Pit_Register!$X$5:$X$304,MATCH($B37,ERSS_Pit_Register!$A$5:$A$304,0)),IFERROR(INDEX(Linkway_Register!$Z$5:$Z$304,MATCH($B37,Linkway_Register!$A$5:$A$304,0)),IFERROR(INDEX(Other_Register!$P$5:$P$304,MATCH($B37,Other_Register!$A$5:$A$304,0)),""))))))))</f>
        <v/>
      </c>
      <c r="M37" s="10" t="str">
        <f aca="false">IF($B37="","",IFERROR(INDEX(Drain_Register!$Z$5:$Z$304,MATCH($B37,Drain_Register!$A$5:$A$304,0)),IFERROR(INDEX(RW_Register!$AF$5:$AF$304,MATCH($B37,RW_Register!$A$5:$A$304,0)),IFERROR(INDEX(Embedded_Wall_Register!$AC$5:$AC$304,MATCH($B37,Embedded_Wall_Register!$A$5:$A$304,0)),IFERROR(INDEX(Manhole_Register!$AF$5:$AF$304,MATCH($B37,Manhole_Register!$A$5:$A$304,0)),IFERROR(INDEX(ERSS_Pit_Register!$Z$5:$Z$304,MATCH($B37,ERSS_Pit_Register!$A$5:$A$304,0)),IFERROR(INDEX(Linkway_Register!$AB$5:$AB$304,MATCH($B37,Linkway_Register!$A$5:$A$304,0)),IFERROR(INDEX(Other_Register!$R$5:$R$304,MATCH($B37,Other_Register!$A$5:$A$304,0)),"")))))))&amp;IFERROR(INDEX(Drain_Register!$AA$5:$AA$304,MATCH($B37,Drain_Register!$A$5:$A$304,0)),IFERROR(INDEX(RW_Register!$AG$5:$AG$304,MATCH($B37,RW_Register!$A$5:$A$304,0)),IFERROR(INDEX(Embedded_Wall_Register!$AD$5:$AD$304,MATCH($B37,Embedded_Wall_Register!$A$5:$A$304,0)),IFERROR(INDEX(Manhole_Register!$AG$5:$AG$304,MATCH($B37,Manhole_Register!$A$5:$A$304,0)),IFERROR(INDEX(ERSS_Pit_Register!$AA$5:$AA$304,MATCH($B37,ERSS_Pit_Register!$A$5:$A$304,0)),IFERROR(INDEX(Linkway_Register!$AC$5:$AC$304,MATCH($B37,Linkway_Register!$A$5:$A$304,0)),IFERROR(INDEX(Other_Register!$S$5:$S$304,MATCH($B37,Other_Register!$A$5:$A$304,0)),""))))))))</f>
        <v/>
      </c>
      <c r="N37" s="19" t="str">
        <f aca="false">IF(OR($B37="",$D37=""),"",$D37*N(IFERROR(INDEX(Drain_Register!$AH$5:$AH$304,MATCH($B37,Drain_Register!$A$5:$A$304,0)),IFERROR(INDEX(RW_Register!$AN$5:$AN$304,MATCH($B37,RW_Register!$A$5:$A$304,0)),IFERROR(INDEX(Embedded_Wall_Register!$AK$5:$AK$304,MATCH($B37,Embedded_Wall_Register!$A$5:$A$304,0)),IFERROR(INDEX(Manhole_Register!$AN$5:$AN$304,MATCH($B37,Manhole_Register!$A$5:$A$304,0)),IFERROR(INDEX(ERSS_Pit_Register!$AH$5:$AH$304,MATCH($B37,ERSS_Pit_Register!$A$5:$A$304,0)),IFERROR(INDEX(Linkway_Register!$AJ$5:$AJ$304,MATCH($B37,Linkway_Register!$A$5:$A$304,0)),IFERROR(INDEX(Other_Register!$Z$5:$Z$304,MATCH($B37,Other_Register!$A$5:$A$304,0)),0)))))))))</f>
        <v/>
      </c>
      <c r="O37" s="20" t="str">
        <f aca="false">IF(OR($B37="",$D37=""),"",$D37*N(IFERROR(INDEX(Drain_Register!$AI$5:$AI$304,MATCH($B37,Drain_Register!$A$5:$A$304,0)),IFERROR(INDEX(RW_Register!$AO$5:$AO$304,MATCH($B37,RW_Register!$A$5:$A$304,0)),IFERROR(INDEX(Embedded_Wall_Register!$AL$5:$AL$304,MATCH($B37,Embedded_Wall_Register!$A$5:$A$304,0)),IFERROR(INDEX(Manhole_Register!$AO$5:$AO$304,MATCH($B37,Manhole_Register!$A$5:$A$304,0)),IFERROR(INDEX(ERSS_Pit_Register!$AI$5:$AI$304,MATCH($B37,ERSS_Pit_Register!$A$5:$A$304,0)),IFERROR(INDEX(Linkway_Register!$AK$5:$AK$304,MATCH($B37,Linkway_Register!$A$5:$A$304,0)),IFERROR(INDEX(Other_Register!$AA$5:$AA$304,MATCH($B37,Other_Register!$A$5:$A$304,0)),0))))))))/1000)</f>
        <v/>
      </c>
      <c r="P37" s="20" t="str">
        <f aca="false">IF(OR($B37="",$D37=""),"",$D37*N(IFERROR(INDEX(Drain_Register!$AJ$5:$AJ$304,MATCH($B37,Drain_Register!$A$5:$A$304,0)),IFERROR(INDEX(RW_Register!$AP$5:$AP$304,MATCH($B37,RW_Register!$A$5:$A$304,0)),IFERROR(INDEX(Embedded_Wall_Register!$AM$5:$AM$304,MATCH($B37,Embedded_Wall_Register!$A$5:$A$304,0)),IFERROR(INDEX(Manhole_Register!$AP$5:$AP$304,MATCH($B37,Manhole_Register!$A$5:$A$304,0)),IFERROR(INDEX(ERSS_Pit_Register!$AJ$5:$AJ$304,MATCH($B37,ERSS_Pit_Register!$A$5:$A$304,0)),IFERROR(INDEX(Linkway_Register!$AL$5:$AL$304,MATCH($B37,Linkway_Register!$A$5:$A$304,0)),IFERROR(INDEX(Other_Register!$AB$5:$AB$304,MATCH($B37,Other_Register!$A$5:$A$304,0)),0))))))))/1000)</f>
        <v/>
      </c>
      <c r="Q37" s="19" t="str">
        <f aca="false">IF(OR($B37="",$D37=""),"",$D37*N(IFERROR(INDEX(Drain_Register!$AK$5:$AK$304,MATCH($B37,Drain_Register!$A$5:$A$304,0)),IFERROR(INDEX(RW_Register!$AQ$5:$AQ$304,MATCH($B37,RW_Register!$A$5:$A$304,0)),IFERROR(INDEX(Embedded_Wall_Register!$AN$5:$AN$304,MATCH($B37,Embedded_Wall_Register!$A$5:$A$304,0)),IFERROR(INDEX(Manhole_Register!$AQ$5:$AQ$304,MATCH($B37,Manhole_Register!$A$5:$A$304,0)),IFERROR(INDEX(ERSS_Pit_Register!$AK$5:$AK$304,MATCH($B37,ERSS_Pit_Register!$A$5:$A$304,0)),IFERROR(INDEX(Linkway_Register!$AM$5:$AM$304,MATCH($B37,Linkway_Register!$A$5:$A$304,0)),IFERROR(INDEX(Other_Register!$AC$5:$AC$304,MATCH($B37,Other_Register!$A$5:$A$304,0)),0)))))))))</f>
        <v/>
      </c>
      <c r="R37" s="19" t="str">
        <f aca="false">IF(OR($B37="",$D37=""),"",$D37*N(IFERROR(INDEX(Drain_Register!$AL$5:$AL$304,MATCH($B37,Drain_Register!$A$5:$A$304,0)),IFERROR(INDEX(RW_Register!$AR$5:$AR$304,MATCH($B37,RW_Register!$A$5:$A$304,0)),IFERROR(INDEX(Embedded_Wall_Register!$AO$5:$AO$304,MATCH($B37,Embedded_Wall_Register!$A$5:$A$304,0)),IFERROR(INDEX(Manhole_Register!$AR$5:$AR$304,MATCH($B37,Manhole_Register!$A$5:$A$304,0)),IFERROR(INDEX(ERSS_Pit_Register!$AL$5:$AL$304,MATCH($B37,ERSS_Pit_Register!$A$5:$A$304,0)),IFERROR(INDEX(Linkway_Register!$AN$5:$AN$304,MATCH($B37,Linkway_Register!$A$5:$A$304,0)),IFERROR(INDEX(Other_Register!$AD$5:$AD$304,MATCH($B37,Other_Register!$A$5:$A$304,0)),0)))))))))</f>
        <v/>
      </c>
      <c r="S37" s="10" t="str">
        <f aca="false">IF($B37="","",IF(G37="","ID not found",IF(J37&lt;&gt;"Approved","WARNING: status is "&amp;J37,IF(IFERROR(INDEX(Drain_Register!$AV$5:$AV$304,MATCH($B37,Drain_Register!$A$5:$A$304,0)),IFERROR(INDEX(RW_Register!$BA$5:$BA$304,MATCH($B37,RW_Register!$A$5:$A$304,0)),IFERROR(INDEX(Embedded_Wall_Register!$AX$5:$AX$304,MATCH($B37,Embedded_Wall_Register!$A$5:$A$304,0)),IFERROR(INDEX(Manhole_Register!$AZ$5:$AZ$304,MATCH($B37,Manhole_Register!$A$5:$A$304,0)),IFERROR(INDEX(ERSS_Pit_Register!$AU$5:$AU$304,MATCH($B37,ERSS_Pit_Register!$A$5:$A$304,0)),IFERROR(INDEX(Linkway_Register!$AV$5:$AV$304,MATCH($B37,Linkway_Register!$A$5:$A$304,0)),IFERROR(INDEX(Other_Register!$AL$5:$AL$304,MATCH($B37,Other_Register!$A$5:$A$304,0)),"")))))))="N","WARNING: fails SG compliance check",IF(D37="","Enter length / qty",IF(E37="","Enter CAD sheet no.","OK"))))))</f>
        <v/>
      </c>
    </row>
    <row r="38" customFormat="false" ht="15" hidden="false" customHeight="false" outlineLevel="0" collapsed="false">
      <c r="A38" s="9"/>
      <c r="B38" s="9"/>
      <c r="C38" s="9"/>
      <c r="D38" s="9"/>
      <c r="E38" s="9"/>
      <c r="F38" s="10" t="str">
        <f aca="false">IF($B38="","",IFERROR(INDEX(Drain_Register!$AG$5:$AG$304,MATCH($B38,Drain_Register!$A$5:$A$304,0)),IFERROR(INDEX(RW_Register!$AM$5:$AM$304,MATCH($B38,RW_Register!$A$5:$A$304,0)),IFERROR(INDEX(Embedded_Wall_Register!$AJ$5:$AJ$304,MATCH($B38,Embedded_Wall_Register!$A$5:$A$304,0)),IFERROR(INDEX(Manhole_Register!$AM$5:$AM$304,MATCH($B38,Manhole_Register!$A$5:$A$304,0)),IFERROR(INDEX(ERSS_Pit_Register!$AG$5:$AG$304,MATCH($B38,ERSS_Pit_Register!$A$5:$A$304,0)),IFERROR(INDEX(Linkway_Register!$AI$5:$AI$304,MATCH($B38,Linkway_Register!$A$5:$A$304,0)),IFERROR(INDEX(Other_Register!$Y$5:$Y$304,MATCH($B38,Other_Register!$A$5:$A$304,0)),""))))))))</f>
        <v/>
      </c>
      <c r="G38" s="10" t="str">
        <f aca="false">IF($B38="","",IF(ISNUMBER(MATCH($B38,Drain_Register!$A$5:$A$304,0)),"Drain",IF(ISNUMBER(MATCH($B38,RW_Register!$A$5:$A$304,0)),"Ret. Wall",IF(ISNUMBER(MATCH($B38,Embedded_Wall_Register!$A$5:$A$304,0)),"Embedded Wall",IF(ISNUMBER(MATCH($B38,Manhole_Register!$A$5:$A$304,0)),"Manhole",IF(ISNUMBER(MATCH($B38,ERSS_Pit_Register!$A$5:$A$304,0)),"ERSS Pit",IF(ISNUMBER(MATCH($B38,Linkway_Register!$A$5:$A$304,0)),"Linkway",IF(ISNUMBER(MATCH($B38,Other_Register!$A$5:$A$304,0)),"Others",""))))))))</f>
        <v/>
      </c>
      <c r="H38" s="10" t="str">
        <f aca="false">IF($B38="","",IFERROR(INDEX(Drain_Register!$B$5:$B$304,MATCH($B38,Drain_Register!$A$5:$A$304,0)),IFERROR(INDEX(RW_Register!$B$5:$B$304,MATCH($B38,RW_Register!$A$5:$A$304,0)),IFERROR(INDEX(Embedded_Wall_Register!$B$5:$B$304,MATCH($B38,Embedded_Wall_Register!$A$5:$A$304,0)),IFERROR(INDEX(Manhole_Register!$B$5:$B$304,MATCH($B38,Manhole_Register!$A$5:$A$304,0)),IFERROR(INDEX(ERSS_Pit_Register!$B$5:$B$304,MATCH($B38,ERSS_Pit_Register!$A$5:$A$304,0)),IFERROR(INDEX(Linkway_Register!$B$5:$B$304,MATCH($B38,Linkway_Register!$A$5:$A$304,0)),IFERROR(INDEX(Other_Register!$B$5:$B$304,MATCH($B38,Other_Register!$A$5:$A$304,0)),"ID not found - check spelling"))))))))</f>
        <v/>
      </c>
      <c r="I38" s="10" t="str">
        <f aca="false">IF($B38="","",IFERROR(INDEX(Drain_Register!$U$5:$U$304,MATCH($B38,Drain_Register!$A$5:$A$304,0)),IFERROR(INDEX(RW_Register!$AA$5:$AA$304,MATCH($B38,RW_Register!$A$5:$A$304,0)),IFERROR(INDEX(Embedded_Wall_Register!$X$5:$X$304,MATCH($B38,Embedded_Wall_Register!$A$5:$A$304,0)),IFERROR(INDEX(Manhole_Register!$AA$5:$AA$304,MATCH($B38,Manhole_Register!$A$5:$A$304,0)),IFERROR(INDEX(ERSS_Pit_Register!$U$5:$U$304,MATCH($B38,ERSS_Pit_Register!$A$5:$A$304,0)),IFERROR(INDEX(Linkway_Register!$W$5:$W$304,MATCH($B38,Linkway_Register!$A$5:$A$304,0)),IFERROR(INDEX(Other_Register!$M$5:$M$304,MATCH($B38,Other_Register!$A$5:$A$304,0)),""))))))))</f>
        <v/>
      </c>
      <c r="J38" s="10" t="str">
        <f aca="false">IF($B38="","",IFERROR(INDEX(Drain_Register!$V$5:$V$304,MATCH($B38,Drain_Register!$A$5:$A$304,0)),IFERROR(INDEX(RW_Register!$AB$5:$AB$304,MATCH($B38,RW_Register!$A$5:$A$304,0)),IFERROR(INDEX(Embedded_Wall_Register!$Y$5:$Y$304,MATCH($B38,Embedded_Wall_Register!$A$5:$A$304,0)),IFERROR(INDEX(Manhole_Register!$AB$5:$AB$304,MATCH($B38,Manhole_Register!$A$5:$A$304,0)),IFERROR(INDEX(ERSS_Pit_Register!$V$5:$V$304,MATCH($B38,ERSS_Pit_Register!$A$5:$A$304,0)),IFERROR(INDEX(Linkway_Register!$X$5:$X$304,MATCH($B38,Linkway_Register!$A$5:$A$304,0)),IFERROR(INDEX(Other_Register!$N$5:$N$304,MATCH($B38,Other_Register!$A$5:$A$304,0)),""))))))))</f>
        <v/>
      </c>
      <c r="K38" s="10" t="str">
        <f aca="false">IF($B38="","",IFERROR(INDEX(Drain_Register!$W$5:$W$304,MATCH($B38,Drain_Register!$A$5:$A$304,0)),IFERROR(INDEX(RW_Register!$AC$5:$AC$304,MATCH($B38,RW_Register!$A$5:$A$304,0)),IFERROR(INDEX(Embedded_Wall_Register!$Z$5:$Z$304,MATCH($B38,Embedded_Wall_Register!$A$5:$A$304,0)),IFERROR(INDEX(Manhole_Register!$AC$5:$AC$304,MATCH($B38,Manhole_Register!$A$5:$A$304,0)),IFERROR(INDEX(ERSS_Pit_Register!$W$5:$W$304,MATCH($B38,ERSS_Pit_Register!$A$5:$A$304,0)),IFERROR(INDEX(Linkway_Register!$Y$5:$Y$304,MATCH($B38,Linkway_Register!$A$5:$A$304,0)),IFERROR(INDEX(Other_Register!$O$5:$O$304,MATCH($B38,Other_Register!$A$5:$A$304,0)),""))))))))</f>
        <v/>
      </c>
      <c r="L38" s="10" t="str">
        <f aca="false">IF($B38="","",IFERROR(INDEX(Drain_Register!$X$5:$X$304,MATCH($B38,Drain_Register!$A$5:$A$304,0)),IFERROR(INDEX(RW_Register!$AD$5:$AD$304,MATCH($B38,RW_Register!$A$5:$A$304,0)),IFERROR(INDEX(Embedded_Wall_Register!$AA$5:$AA$304,MATCH($B38,Embedded_Wall_Register!$A$5:$A$304,0)),IFERROR(INDEX(Manhole_Register!$AD$5:$AD$304,MATCH($B38,Manhole_Register!$A$5:$A$304,0)),IFERROR(INDEX(ERSS_Pit_Register!$X$5:$X$304,MATCH($B38,ERSS_Pit_Register!$A$5:$A$304,0)),IFERROR(INDEX(Linkway_Register!$Z$5:$Z$304,MATCH($B38,Linkway_Register!$A$5:$A$304,0)),IFERROR(INDEX(Other_Register!$P$5:$P$304,MATCH($B38,Other_Register!$A$5:$A$304,0)),""))))))))</f>
        <v/>
      </c>
      <c r="M38" s="10" t="str">
        <f aca="false">IF($B38="","",IFERROR(INDEX(Drain_Register!$Z$5:$Z$304,MATCH($B38,Drain_Register!$A$5:$A$304,0)),IFERROR(INDEX(RW_Register!$AF$5:$AF$304,MATCH($B38,RW_Register!$A$5:$A$304,0)),IFERROR(INDEX(Embedded_Wall_Register!$AC$5:$AC$304,MATCH($B38,Embedded_Wall_Register!$A$5:$A$304,0)),IFERROR(INDEX(Manhole_Register!$AF$5:$AF$304,MATCH($B38,Manhole_Register!$A$5:$A$304,0)),IFERROR(INDEX(ERSS_Pit_Register!$Z$5:$Z$304,MATCH($B38,ERSS_Pit_Register!$A$5:$A$304,0)),IFERROR(INDEX(Linkway_Register!$AB$5:$AB$304,MATCH($B38,Linkway_Register!$A$5:$A$304,0)),IFERROR(INDEX(Other_Register!$R$5:$R$304,MATCH($B38,Other_Register!$A$5:$A$304,0)),"")))))))&amp;IFERROR(INDEX(Drain_Register!$AA$5:$AA$304,MATCH($B38,Drain_Register!$A$5:$A$304,0)),IFERROR(INDEX(RW_Register!$AG$5:$AG$304,MATCH($B38,RW_Register!$A$5:$A$304,0)),IFERROR(INDEX(Embedded_Wall_Register!$AD$5:$AD$304,MATCH($B38,Embedded_Wall_Register!$A$5:$A$304,0)),IFERROR(INDEX(Manhole_Register!$AG$5:$AG$304,MATCH($B38,Manhole_Register!$A$5:$A$304,0)),IFERROR(INDEX(ERSS_Pit_Register!$AA$5:$AA$304,MATCH($B38,ERSS_Pit_Register!$A$5:$A$304,0)),IFERROR(INDEX(Linkway_Register!$AC$5:$AC$304,MATCH($B38,Linkway_Register!$A$5:$A$304,0)),IFERROR(INDEX(Other_Register!$S$5:$S$304,MATCH($B38,Other_Register!$A$5:$A$304,0)),""))))))))</f>
        <v/>
      </c>
      <c r="N38" s="19" t="str">
        <f aca="false">IF(OR($B38="",$D38=""),"",$D38*N(IFERROR(INDEX(Drain_Register!$AH$5:$AH$304,MATCH($B38,Drain_Register!$A$5:$A$304,0)),IFERROR(INDEX(RW_Register!$AN$5:$AN$304,MATCH($B38,RW_Register!$A$5:$A$304,0)),IFERROR(INDEX(Embedded_Wall_Register!$AK$5:$AK$304,MATCH($B38,Embedded_Wall_Register!$A$5:$A$304,0)),IFERROR(INDEX(Manhole_Register!$AN$5:$AN$304,MATCH($B38,Manhole_Register!$A$5:$A$304,0)),IFERROR(INDEX(ERSS_Pit_Register!$AH$5:$AH$304,MATCH($B38,ERSS_Pit_Register!$A$5:$A$304,0)),IFERROR(INDEX(Linkway_Register!$AJ$5:$AJ$304,MATCH($B38,Linkway_Register!$A$5:$A$304,0)),IFERROR(INDEX(Other_Register!$Z$5:$Z$304,MATCH($B38,Other_Register!$A$5:$A$304,0)),0)))))))))</f>
        <v/>
      </c>
      <c r="O38" s="20" t="str">
        <f aca="false">IF(OR($B38="",$D38=""),"",$D38*N(IFERROR(INDEX(Drain_Register!$AI$5:$AI$304,MATCH($B38,Drain_Register!$A$5:$A$304,0)),IFERROR(INDEX(RW_Register!$AO$5:$AO$304,MATCH($B38,RW_Register!$A$5:$A$304,0)),IFERROR(INDEX(Embedded_Wall_Register!$AL$5:$AL$304,MATCH($B38,Embedded_Wall_Register!$A$5:$A$304,0)),IFERROR(INDEX(Manhole_Register!$AO$5:$AO$304,MATCH($B38,Manhole_Register!$A$5:$A$304,0)),IFERROR(INDEX(ERSS_Pit_Register!$AI$5:$AI$304,MATCH($B38,ERSS_Pit_Register!$A$5:$A$304,0)),IFERROR(INDEX(Linkway_Register!$AK$5:$AK$304,MATCH($B38,Linkway_Register!$A$5:$A$304,0)),IFERROR(INDEX(Other_Register!$AA$5:$AA$304,MATCH($B38,Other_Register!$A$5:$A$304,0)),0))))))))/1000)</f>
        <v/>
      </c>
      <c r="P38" s="20" t="str">
        <f aca="false">IF(OR($B38="",$D38=""),"",$D38*N(IFERROR(INDEX(Drain_Register!$AJ$5:$AJ$304,MATCH($B38,Drain_Register!$A$5:$A$304,0)),IFERROR(INDEX(RW_Register!$AP$5:$AP$304,MATCH($B38,RW_Register!$A$5:$A$304,0)),IFERROR(INDEX(Embedded_Wall_Register!$AM$5:$AM$304,MATCH($B38,Embedded_Wall_Register!$A$5:$A$304,0)),IFERROR(INDEX(Manhole_Register!$AP$5:$AP$304,MATCH($B38,Manhole_Register!$A$5:$A$304,0)),IFERROR(INDEX(ERSS_Pit_Register!$AJ$5:$AJ$304,MATCH($B38,ERSS_Pit_Register!$A$5:$A$304,0)),IFERROR(INDEX(Linkway_Register!$AL$5:$AL$304,MATCH($B38,Linkway_Register!$A$5:$A$304,0)),IFERROR(INDEX(Other_Register!$AB$5:$AB$304,MATCH($B38,Other_Register!$A$5:$A$304,0)),0))))))))/1000)</f>
        <v/>
      </c>
      <c r="Q38" s="19" t="str">
        <f aca="false">IF(OR($B38="",$D38=""),"",$D38*N(IFERROR(INDEX(Drain_Register!$AK$5:$AK$304,MATCH($B38,Drain_Register!$A$5:$A$304,0)),IFERROR(INDEX(RW_Register!$AQ$5:$AQ$304,MATCH($B38,RW_Register!$A$5:$A$304,0)),IFERROR(INDEX(Embedded_Wall_Register!$AN$5:$AN$304,MATCH($B38,Embedded_Wall_Register!$A$5:$A$304,0)),IFERROR(INDEX(Manhole_Register!$AQ$5:$AQ$304,MATCH($B38,Manhole_Register!$A$5:$A$304,0)),IFERROR(INDEX(ERSS_Pit_Register!$AK$5:$AK$304,MATCH($B38,ERSS_Pit_Register!$A$5:$A$304,0)),IFERROR(INDEX(Linkway_Register!$AM$5:$AM$304,MATCH($B38,Linkway_Register!$A$5:$A$304,0)),IFERROR(INDEX(Other_Register!$AC$5:$AC$304,MATCH($B38,Other_Register!$A$5:$A$304,0)),0)))))))))</f>
        <v/>
      </c>
      <c r="R38" s="19" t="str">
        <f aca="false">IF(OR($B38="",$D38=""),"",$D38*N(IFERROR(INDEX(Drain_Register!$AL$5:$AL$304,MATCH($B38,Drain_Register!$A$5:$A$304,0)),IFERROR(INDEX(RW_Register!$AR$5:$AR$304,MATCH($B38,RW_Register!$A$5:$A$304,0)),IFERROR(INDEX(Embedded_Wall_Register!$AO$5:$AO$304,MATCH($B38,Embedded_Wall_Register!$A$5:$A$304,0)),IFERROR(INDEX(Manhole_Register!$AR$5:$AR$304,MATCH($B38,Manhole_Register!$A$5:$A$304,0)),IFERROR(INDEX(ERSS_Pit_Register!$AL$5:$AL$304,MATCH($B38,ERSS_Pit_Register!$A$5:$A$304,0)),IFERROR(INDEX(Linkway_Register!$AN$5:$AN$304,MATCH($B38,Linkway_Register!$A$5:$A$304,0)),IFERROR(INDEX(Other_Register!$AD$5:$AD$304,MATCH($B38,Other_Register!$A$5:$A$304,0)),0)))))))))</f>
        <v/>
      </c>
      <c r="S38" s="10" t="str">
        <f aca="false">IF($B38="","",IF(G38="","ID not found",IF(J38&lt;&gt;"Approved","WARNING: status is "&amp;J38,IF(IFERROR(INDEX(Drain_Register!$AV$5:$AV$304,MATCH($B38,Drain_Register!$A$5:$A$304,0)),IFERROR(INDEX(RW_Register!$BA$5:$BA$304,MATCH($B38,RW_Register!$A$5:$A$304,0)),IFERROR(INDEX(Embedded_Wall_Register!$AX$5:$AX$304,MATCH($B38,Embedded_Wall_Register!$A$5:$A$304,0)),IFERROR(INDEX(Manhole_Register!$AZ$5:$AZ$304,MATCH($B38,Manhole_Register!$A$5:$A$304,0)),IFERROR(INDEX(ERSS_Pit_Register!$AU$5:$AU$304,MATCH($B38,ERSS_Pit_Register!$A$5:$A$304,0)),IFERROR(INDEX(Linkway_Register!$AV$5:$AV$304,MATCH($B38,Linkway_Register!$A$5:$A$304,0)),IFERROR(INDEX(Other_Register!$AL$5:$AL$304,MATCH($B38,Other_Register!$A$5:$A$304,0)),"")))))))="N","WARNING: fails SG compliance check",IF(D38="","Enter length / qty",IF(E38="","Enter CAD sheet no.","OK"))))))</f>
        <v/>
      </c>
    </row>
    <row r="39" customFormat="false" ht="15" hidden="false" customHeight="false" outlineLevel="0" collapsed="false">
      <c r="A39" s="9"/>
      <c r="B39" s="9"/>
      <c r="C39" s="9"/>
      <c r="D39" s="9"/>
      <c r="E39" s="9"/>
      <c r="F39" s="10" t="str">
        <f aca="false">IF($B39="","",IFERROR(INDEX(Drain_Register!$AG$5:$AG$304,MATCH($B39,Drain_Register!$A$5:$A$304,0)),IFERROR(INDEX(RW_Register!$AM$5:$AM$304,MATCH($B39,RW_Register!$A$5:$A$304,0)),IFERROR(INDEX(Embedded_Wall_Register!$AJ$5:$AJ$304,MATCH($B39,Embedded_Wall_Register!$A$5:$A$304,0)),IFERROR(INDEX(Manhole_Register!$AM$5:$AM$304,MATCH($B39,Manhole_Register!$A$5:$A$304,0)),IFERROR(INDEX(ERSS_Pit_Register!$AG$5:$AG$304,MATCH($B39,ERSS_Pit_Register!$A$5:$A$304,0)),IFERROR(INDEX(Linkway_Register!$AI$5:$AI$304,MATCH($B39,Linkway_Register!$A$5:$A$304,0)),IFERROR(INDEX(Other_Register!$Y$5:$Y$304,MATCH($B39,Other_Register!$A$5:$A$304,0)),""))))))))</f>
        <v/>
      </c>
      <c r="G39" s="10" t="str">
        <f aca="false">IF($B39="","",IF(ISNUMBER(MATCH($B39,Drain_Register!$A$5:$A$304,0)),"Drain",IF(ISNUMBER(MATCH($B39,RW_Register!$A$5:$A$304,0)),"Ret. Wall",IF(ISNUMBER(MATCH($B39,Embedded_Wall_Register!$A$5:$A$304,0)),"Embedded Wall",IF(ISNUMBER(MATCH($B39,Manhole_Register!$A$5:$A$304,0)),"Manhole",IF(ISNUMBER(MATCH($B39,ERSS_Pit_Register!$A$5:$A$304,0)),"ERSS Pit",IF(ISNUMBER(MATCH($B39,Linkway_Register!$A$5:$A$304,0)),"Linkway",IF(ISNUMBER(MATCH($B39,Other_Register!$A$5:$A$304,0)),"Others",""))))))))</f>
        <v/>
      </c>
      <c r="H39" s="10" t="str">
        <f aca="false">IF($B39="","",IFERROR(INDEX(Drain_Register!$B$5:$B$304,MATCH($B39,Drain_Register!$A$5:$A$304,0)),IFERROR(INDEX(RW_Register!$B$5:$B$304,MATCH($B39,RW_Register!$A$5:$A$304,0)),IFERROR(INDEX(Embedded_Wall_Register!$B$5:$B$304,MATCH($B39,Embedded_Wall_Register!$A$5:$A$304,0)),IFERROR(INDEX(Manhole_Register!$B$5:$B$304,MATCH($B39,Manhole_Register!$A$5:$A$304,0)),IFERROR(INDEX(ERSS_Pit_Register!$B$5:$B$304,MATCH($B39,ERSS_Pit_Register!$A$5:$A$304,0)),IFERROR(INDEX(Linkway_Register!$B$5:$B$304,MATCH($B39,Linkway_Register!$A$5:$A$304,0)),IFERROR(INDEX(Other_Register!$B$5:$B$304,MATCH($B39,Other_Register!$A$5:$A$304,0)),"ID not found - check spelling"))))))))</f>
        <v/>
      </c>
      <c r="I39" s="10" t="str">
        <f aca="false">IF($B39="","",IFERROR(INDEX(Drain_Register!$U$5:$U$304,MATCH($B39,Drain_Register!$A$5:$A$304,0)),IFERROR(INDEX(RW_Register!$AA$5:$AA$304,MATCH($B39,RW_Register!$A$5:$A$304,0)),IFERROR(INDEX(Embedded_Wall_Register!$X$5:$X$304,MATCH($B39,Embedded_Wall_Register!$A$5:$A$304,0)),IFERROR(INDEX(Manhole_Register!$AA$5:$AA$304,MATCH($B39,Manhole_Register!$A$5:$A$304,0)),IFERROR(INDEX(ERSS_Pit_Register!$U$5:$U$304,MATCH($B39,ERSS_Pit_Register!$A$5:$A$304,0)),IFERROR(INDEX(Linkway_Register!$W$5:$W$304,MATCH($B39,Linkway_Register!$A$5:$A$304,0)),IFERROR(INDEX(Other_Register!$M$5:$M$304,MATCH($B39,Other_Register!$A$5:$A$304,0)),""))))))))</f>
        <v/>
      </c>
      <c r="J39" s="10" t="str">
        <f aca="false">IF($B39="","",IFERROR(INDEX(Drain_Register!$V$5:$V$304,MATCH($B39,Drain_Register!$A$5:$A$304,0)),IFERROR(INDEX(RW_Register!$AB$5:$AB$304,MATCH($B39,RW_Register!$A$5:$A$304,0)),IFERROR(INDEX(Embedded_Wall_Register!$Y$5:$Y$304,MATCH($B39,Embedded_Wall_Register!$A$5:$A$304,0)),IFERROR(INDEX(Manhole_Register!$AB$5:$AB$304,MATCH($B39,Manhole_Register!$A$5:$A$304,0)),IFERROR(INDEX(ERSS_Pit_Register!$V$5:$V$304,MATCH($B39,ERSS_Pit_Register!$A$5:$A$304,0)),IFERROR(INDEX(Linkway_Register!$X$5:$X$304,MATCH($B39,Linkway_Register!$A$5:$A$304,0)),IFERROR(INDEX(Other_Register!$N$5:$N$304,MATCH($B39,Other_Register!$A$5:$A$304,0)),""))))))))</f>
        <v/>
      </c>
      <c r="K39" s="10" t="str">
        <f aca="false">IF($B39="","",IFERROR(INDEX(Drain_Register!$W$5:$W$304,MATCH($B39,Drain_Register!$A$5:$A$304,0)),IFERROR(INDEX(RW_Register!$AC$5:$AC$304,MATCH($B39,RW_Register!$A$5:$A$304,0)),IFERROR(INDEX(Embedded_Wall_Register!$Z$5:$Z$304,MATCH($B39,Embedded_Wall_Register!$A$5:$A$304,0)),IFERROR(INDEX(Manhole_Register!$AC$5:$AC$304,MATCH($B39,Manhole_Register!$A$5:$A$304,0)),IFERROR(INDEX(ERSS_Pit_Register!$W$5:$W$304,MATCH($B39,ERSS_Pit_Register!$A$5:$A$304,0)),IFERROR(INDEX(Linkway_Register!$Y$5:$Y$304,MATCH($B39,Linkway_Register!$A$5:$A$304,0)),IFERROR(INDEX(Other_Register!$O$5:$O$304,MATCH($B39,Other_Register!$A$5:$A$304,0)),""))))))))</f>
        <v/>
      </c>
      <c r="L39" s="10" t="str">
        <f aca="false">IF($B39="","",IFERROR(INDEX(Drain_Register!$X$5:$X$304,MATCH($B39,Drain_Register!$A$5:$A$304,0)),IFERROR(INDEX(RW_Register!$AD$5:$AD$304,MATCH($B39,RW_Register!$A$5:$A$304,0)),IFERROR(INDEX(Embedded_Wall_Register!$AA$5:$AA$304,MATCH($B39,Embedded_Wall_Register!$A$5:$A$304,0)),IFERROR(INDEX(Manhole_Register!$AD$5:$AD$304,MATCH($B39,Manhole_Register!$A$5:$A$304,0)),IFERROR(INDEX(ERSS_Pit_Register!$X$5:$X$304,MATCH($B39,ERSS_Pit_Register!$A$5:$A$304,0)),IFERROR(INDEX(Linkway_Register!$Z$5:$Z$304,MATCH($B39,Linkway_Register!$A$5:$A$304,0)),IFERROR(INDEX(Other_Register!$P$5:$P$304,MATCH($B39,Other_Register!$A$5:$A$304,0)),""))))))))</f>
        <v/>
      </c>
      <c r="M39" s="10" t="str">
        <f aca="false">IF($B39="","",IFERROR(INDEX(Drain_Register!$Z$5:$Z$304,MATCH($B39,Drain_Register!$A$5:$A$304,0)),IFERROR(INDEX(RW_Register!$AF$5:$AF$304,MATCH($B39,RW_Register!$A$5:$A$304,0)),IFERROR(INDEX(Embedded_Wall_Register!$AC$5:$AC$304,MATCH($B39,Embedded_Wall_Register!$A$5:$A$304,0)),IFERROR(INDEX(Manhole_Register!$AF$5:$AF$304,MATCH($B39,Manhole_Register!$A$5:$A$304,0)),IFERROR(INDEX(ERSS_Pit_Register!$Z$5:$Z$304,MATCH($B39,ERSS_Pit_Register!$A$5:$A$304,0)),IFERROR(INDEX(Linkway_Register!$AB$5:$AB$304,MATCH($B39,Linkway_Register!$A$5:$A$304,0)),IFERROR(INDEX(Other_Register!$R$5:$R$304,MATCH($B39,Other_Register!$A$5:$A$304,0)),"")))))))&amp;IFERROR(INDEX(Drain_Register!$AA$5:$AA$304,MATCH($B39,Drain_Register!$A$5:$A$304,0)),IFERROR(INDEX(RW_Register!$AG$5:$AG$304,MATCH($B39,RW_Register!$A$5:$A$304,0)),IFERROR(INDEX(Embedded_Wall_Register!$AD$5:$AD$304,MATCH($B39,Embedded_Wall_Register!$A$5:$A$304,0)),IFERROR(INDEX(Manhole_Register!$AG$5:$AG$304,MATCH($B39,Manhole_Register!$A$5:$A$304,0)),IFERROR(INDEX(ERSS_Pit_Register!$AA$5:$AA$304,MATCH($B39,ERSS_Pit_Register!$A$5:$A$304,0)),IFERROR(INDEX(Linkway_Register!$AC$5:$AC$304,MATCH($B39,Linkway_Register!$A$5:$A$304,0)),IFERROR(INDEX(Other_Register!$S$5:$S$304,MATCH($B39,Other_Register!$A$5:$A$304,0)),""))))))))</f>
        <v/>
      </c>
      <c r="N39" s="19" t="str">
        <f aca="false">IF(OR($B39="",$D39=""),"",$D39*N(IFERROR(INDEX(Drain_Register!$AH$5:$AH$304,MATCH($B39,Drain_Register!$A$5:$A$304,0)),IFERROR(INDEX(RW_Register!$AN$5:$AN$304,MATCH($B39,RW_Register!$A$5:$A$304,0)),IFERROR(INDEX(Embedded_Wall_Register!$AK$5:$AK$304,MATCH($B39,Embedded_Wall_Register!$A$5:$A$304,0)),IFERROR(INDEX(Manhole_Register!$AN$5:$AN$304,MATCH($B39,Manhole_Register!$A$5:$A$304,0)),IFERROR(INDEX(ERSS_Pit_Register!$AH$5:$AH$304,MATCH($B39,ERSS_Pit_Register!$A$5:$A$304,0)),IFERROR(INDEX(Linkway_Register!$AJ$5:$AJ$304,MATCH($B39,Linkway_Register!$A$5:$A$304,0)),IFERROR(INDEX(Other_Register!$Z$5:$Z$304,MATCH($B39,Other_Register!$A$5:$A$304,0)),0)))))))))</f>
        <v/>
      </c>
      <c r="O39" s="20" t="str">
        <f aca="false">IF(OR($B39="",$D39=""),"",$D39*N(IFERROR(INDEX(Drain_Register!$AI$5:$AI$304,MATCH($B39,Drain_Register!$A$5:$A$304,0)),IFERROR(INDEX(RW_Register!$AO$5:$AO$304,MATCH($B39,RW_Register!$A$5:$A$304,0)),IFERROR(INDEX(Embedded_Wall_Register!$AL$5:$AL$304,MATCH($B39,Embedded_Wall_Register!$A$5:$A$304,0)),IFERROR(INDEX(Manhole_Register!$AO$5:$AO$304,MATCH($B39,Manhole_Register!$A$5:$A$304,0)),IFERROR(INDEX(ERSS_Pit_Register!$AI$5:$AI$304,MATCH($B39,ERSS_Pit_Register!$A$5:$A$304,0)),IFERROR(INDEX(Linkway_Register!$AK$5:$AK$304,MATCH($B39,Linkway_Register!$A$5:$A$304,0)),IFERROR(INDEX(Other_Register!$AA$5:$AA$304,MATCH($B39,Other_Register!$A$5:$A$304,0)),0))))))))/1000)</f>
        <v/>
      </c>
      <c r="P39" s="20" t="str">
        <f aca="false">IF(OR($B39="",$D39=""),"",$D39*N(IFERROR(INDEX(Drain_Register!$AJ$5:$AJ$304,MATCH($B39,Drain_Register!$A$5:$A$304,0)),IFERROR(INDEX(RW_Register!$AP$5:$AP$304,MATCH($B39,RW_Register!$A$5:$A$304,0)),IFERROR(INDEX(Embedded_Wall_Register!$AM$5:$AM$304,MATCH($B39,Embedded_Wall_Register!$A$5:$A$304,0)),IFERROR(INDEX(Manhole_Register!$AP$5:$AP$304,MATCH($B39,Manhole_Register!$A$5:$A$304,0)),IFERROR(INDEX(ERSS_Pit_Register!$AJ$5:$AJ$304,MATCH($B39,ERSS_Pit_Register!$A$5:$A$304,0)),IFERROR(INDEX(Linkway_Register!$AL$5:$AL$304,MATCH($B39,Linkway_Register!$A$5:$A$304,0)),IFERROR(INDEX(Other_Register!$AB$5:$AB$304,MATCH($B39,Other_Register!$A$5:$A$304,0)),0))))))))/1000)</f>
        <v/>
      </c>
      <c r="Q39" s="19" t="str">
        <f aca="false">IF(OR($B39="",$D39=""),"",$D39*N(IFERROR(INDEX(Drain_Register!$AK$5:$AK$304,MATCH($B39,Drain_Register!$A$5:$A$304,0)),IFERROR(INDEX(RW_Register!$AQ$5:$AQ$304,MATCH($B39,RW_Register!$A$5:$A$304,0)),IFERROR(INDEX(Embedded_Wall_Register!$AN$5:$AN$304,MATCH($B39,Embedded_Wall_Register!$A$5:$A$304,0)),IFERROR(INDEX(Manhole_Register!$AQ$5:$AQ$304,MATCH($B39,Manhole_Register!$A$5:$A$304,0)),IFERROR(INDEX(ERSS_Pit_Register!$AK$5:$AK$304,MATCH($B39,ERSS_Pit_Register!$A$5:$A$304,0)),IFERROR(INDEX(Linkway_Register!$AM$5:$AM$304,MATCH($B39,Linkway_Register!$A$5:$A$304,0)),IFERROR(INDEX(Other_Register!$AC$5:$AC$304,MATCH($B39,Other_Register!$A$5:$A$304,0)),0)))))))))</f>
        <v/>
      </c>
      <c r="R39" s="19" t="str">
        <f aca="false">IF(OR($B39="",$D39=""),"",$D39*N(IFERROR(INDEX(Drain_Register!$AL$5:$AL$304,MATCH($B39,Drain_Register!$A$5:$A$304,0)),IFERROR(INDEX(RW_Register!$AR$5:$AR$304,MATCH($B39,RW_Register!$A$5:$A$304,0)),IFERROR(INDEX(Embedded_Wall_Register!$AO$5:$AO$304,MATCH($B39,Embedded_Wall_Register!$A$5:$A$304,0)),IFERROR(INDEX(Manhole_Register!$AR$5:$AR$304,MATCH($B39,Manhole_Register!$A$5:$A$304,0)),IFERROR(INDEX(ERSS_Pit_Register!$AL$5:$AL$304,MATCH($B39,ERSS_Pit_Register!$A$5:$A$304,0)),IFERROR(INDEX(Linkway_Register!$AN$5:$AN$304,MATCH($B39,Linkway_Register!$A$5:$A$304,0)),IFERROR(INDEX(Other_Register!$AD$5:$AD$304,MATCH($B39,Other_Register!$A$5:$A$304,0)),0)))))))))</f>
        <v/>
      </c>
      <c r="S39" s="10" t="str">
        <f aca="false">IF($B39="","",IF(G39="","ID not found",IF(J39&lt;&gt;"Approved","WARNING: status is "&amp;J39,IF(IFERROR(INDEX(Drain_Register!$AV$5:$AV$304,MATCH($B39,Drain_Register!$A$5:$A$304,0)),IFERROR(INDEX(RW_Register!$BA$5:$BA$304,MATCH($B39,RW_Register!$A$5:$A$304,0)),IFERROR(INDEX(Embedded_Wall_Register!$AX$5:$AX$304,MATCH($B39,Embedded_Wall_Register!$A$5:$A$304,0)),IFERROR(INDEX(Manhole_Register!$AZ$5:$AZ$304,MATCH($B39,Manhole_Register!$A$5:$A$304,0)),IFERROR(INDEX(ERSS_Pit_Register!$AU$5:$AU$304,MATCH($B39,ERSS_Pit_Register!$A$5:$A$304,0)),IFERROR(INDEX(Linkway_Register!$AV$5:$AV$304,MATCH($B39,Linkway_Register!$A$5:$A$304,0)),IFERROR(INDEX(Other_Register!$AL$5:$AL$304,MATCH($B39,Other_Register!$A$5:$A$304,0)),"")))))))="N","WARNING: fails SG compliance check",IF(D39="","Enter length / qty",IF(E39="","Enter CAD sheet no.","OK"))))))</f>
        <v/>
      </c>
    </row>
    <row r="40" customFormat="false" ht="15" hidden="false" customHeight="false" outlineLevel="0" collapsed="false">
      <c r="A40" s="9"/>
      <c r="B40" s="9"/>
      <c r="C40" s="9"/>
      <c r="D40" s="9"/>
      <c r="E40" s="9"/>
      <c r="F40" s="10" t="str">
        <f aca="false">IF($B40="","",IFERROR(INDEX(Drain_Register!$AG$5:$AG$304,MATCH($B40,Drain_Register!$A$5:$A$304,0)),IFERROR(INDEX(RW_Register!$AM$5:$AM$304,MATCH($B40,RW_Register!$A$5:$A$304,0)),IFERROR(INDEX(Embedded_Wall_Register!$AJ$5:$AJ$304,MATCH($B40,Embedded_Wall_Register!$A$5:$A$304,0)),IFERROR(INDEX(Manhole_Register!$AM$5:$AM$304,MATCH($B40,Manhole_Register!$A$5:$A$304,0)),IFERROR(INDEX(ERSS_Pit_Register!$AG$5:$AG$304,MATCH($B40,ERSS_Pit_Register!$A$5:$A$304,0)),IFERROR(INDEX(Linkway_Register!$AI$5:$AI$304,MATCH($B40,Linkway_Register!$A$5:$A$304,0)),IFERROR(INDEX(Other_Register!$Y$5:$Y$304,MATCH($B40,Other_Register!$A$5:$A$304,0)),""))))))))</f>
        <v/>
      </c>
      <c r="G40" s="10" t="str">
        <f aca="false">IF($B40="","",IF(ISNUMBER(MATCH($B40,Drain_Register!$A$5:$A$304,0)),"Drain",IF(ISNUMBER(MATCH($B40,RW_Register!$A$5:$A$304,0)),"Ret. Wall",IF(ISNUMBER(MATCH($B40,Embedded_Wall_Register!$A$5:$A$304,0)),"Embedded Wall",IF(ISNUMBER(MATCH($B40,Manhole_Register!$A$5:$A$304,0)),"Manhole",IF(ISNUMBER(MATCH($B40,ERSS_Pit_Register!$A$5:$A$304,0)),"ERSS Pit",IF(ISNUMBER(MATCH($B40,Linkway_Register!$A$5:$A$304,0)),"Linkway",IF(ISNUMBER(MATCH($B40,Other_Register!$A$5:$A$304,0)),"Others",""))))))))</f>
        <v/>
      </c>
      <c r="H40" s="10" t="str">
        <f aca="false">IF($B40="","",IFERROR(INDEX(Drain_Register!$B$5:$B$304,MATCH($B40,Drain_Register!$A$5:$A$304,0)),IFERROR(INDEX(RW_Register!$B$5:$B$304,MATCH($B40,RW_Register!$A$5:$A$304,0)),IFERROR(INDEX(Embedded_Wall_Register!$B$5:$B$304,MATCH($B40,Embedded_Wall_Register!$A$5:$A$304,0)),IFERROR(INDEX(Manhole_Register!$B$5:$B$304,MATCH($B40,Manhole_Register!$A$5:$A$304,0)),IFERROR(INDEX(ERSS_Pit_Register!$B$5:$B$304,MATCH($B40,ERSS_Pit_Register!$A$5:$A$304,0)),IFERROR(INDEX(Linkway_Register!$B$5:$B$304,MATCH($B40,Linkway_Register!$A$5:$A$304,0)),IFERROR(INDEX(Other_Register!$B$5:$B$304,MATCH($B40,Other_Register!$A$5:$A$304,0)),"ID not found - check spelling"))))))))</f>
        <v/>
      </c>
      <c r="I40" s="10" t="str">
        <f aca="false">IF($B40="","",IFERROR(INDEX(Drain_Register!$U$5:$U$304,MATCH($B40,Drain_Register!$A$5:$A$304,0)),IFERROR(INDEX(RW_Register!$AA$5:$AA$304,MATCH($B40,RW_Register!$A$5:$A$304,0)),IFERROR(INDEX(Embedded_Wall_Register!$X$5:$X$304,MATCH($B40,Embedded_Wall_Register!$A$5:$A$304,0)),IFERROR(INDEX(Manhole_Register!$AA$5:$AA$304,MATCH($B40,Manhole_Register!$A$5:$A$304,0)),IFERROR(INDEX(ERSS_Pit_Register!$U$5:$U$304,MATCH($B40,ERSS_Pit_Register!$A$5:$A$304,0)),IFERROR(INDEX(Linkway_Register!$W$5:$W$304,MATCH($B40,Linkway_Register!$A$5:$A$304,0)),IFERROR(INDEX(Other_Register!$M$5:$M$304,MATCH($B40,Other_Register!$A$5:$A$304,0)),""))))))))</f>
        <v/>
      </c>
      <c r="J40" s="10" t="str">
        <f aca="false">IF($B40="","",IFERROR(INDEX(Drain_Register!$V$5:$V$304,MATCH($B40,Drain_Register!$A$5:$A$304,0)),IFERROR(INDEX(RW_Register!$AB$5:$AB$304,MATCH($B40,RW_Register!$A$5:$A$304,0)),IFERROR(INDEX(Embedded_Wall_Register!$Y$5:$Y$304,MATCH($B40,Embedded_Wall_Register!$A$5:$A$304,0)),IFERROR(INDEX(Manhole_Register!$AB$5:$AB$304,MATCH($B40,Manhole_Register!$A$5:$A$304,0)),IFERROR(INDEX(ERSS_Pit_Register!$V$5:$V$304,MATCH($B40,ERSS_Pit_Register!$A$5:$A$304,0)),IFERROR(INDEX(Linkway_Register!$X$5:$X$304,MATCH($B40,Linkway_Register!$A$5:$A$304,0)),IFERROR(INDEX(Other_Register!$N$5:$N$304,MATCH($B40,Other_Register!$A$5:$A$304,0)),""))))))))</f>
        <v/>
      </c>
      <c r="K40" s="10" t="str">
        <f aca="false">IF($B40="","",IFERROR(INDEX(Drain_Register!$W$5:$W$304,MATCH($B40,Drain_Register!$A$5:$A$304,0)),IFERROR(INDEX(RW_Register!$AC$5:$AC$304,MATCH($B40,RW_Register!$A$5:$A$304,0)),IFERROR(INDEX(Embedded_Wall_Register!$Z$5:$Z$304,MATCH($B40,Embedded_Wall_Register!$A$5:$A$304,0)),IFERROR(INDEX(Manhole_Register!$AC$5:$AC$304,MATCH($B40,Manhole_Register!$A$5:$A$304,0)),IFERROR(INDEX(ERSS_Pit_Register!$W$5:$W$304,MATCH($B40,ERSS_Pit_Register!$A$5:$A$304,0)),IFERROR(INDEX(Linkway_Register!$Y$5:$Y$304,MATCH($B40,Linkway_Register!$A$5:$A$304,0)),IFERROR(INDEX(Other_Register!$O$5:$O$304,MATCH($B40,Other_Register!$A$5:$A$304,0)),""))))))))</f>
        <v/>
      </c>
      <c r="L40" s="10" t="str">
        <f aca="false">IF($B40="","",IFERROR(INDEX(Drain_Register!$X$5:$X$304,MATCH($B40,Drain_Register!$A$5:$A$304,0)),IFERROR(INDEX(RW_Register!$AD$5:$AD$304,MATCH($B40,RW_Register!$A$5:$A$304,0)),IFERROR(INDEX(Embedded_Wall_Register!$AA$5:$AA$304,MATCH($B40,Embedded_Wall_Register!$A$5:$A$304,0)),IFERROR(INDEX(Manhole_Register!$AD$5:$AD$304,MATCH($B40,Manhole_Register!$A$5:$A$304,0)),IFERROR(INDEX(ERSS_Pit_Register!$X$5:$X$304,MATCH($B40,ERSS_Pit_Register!$A$5:$A$304,0)),IFERROR(INDEX(Linkway_Register!$Z$5:$Z$304,MATCH($B40,Linkway_Register!$A$5:$A$304,0)),IFERROR(INDEX(Other_Register!$P$5:$P$304,MATCH($B40,Other_Register!$A$5:$A$304,0)),""))))))))</f>
        <v/>
      </c>
      <c r="M40" s="10" t="str">
        <f aca="false">IF($B40="","",IFERROR(INDEX(Drain_Register!$Z$5:$Z$304,MATCH($B40,Drain_Register!$A$5:$A$304,0)),IFERROR(INDEX(RW_Register!$AF$5:$AF$304,MATCH($B40,RW_Register!$A$5:$A$304,0)),IFERROR(INDEX(Embedded_Wall_Register!$AC$5:$AC$304,MATCH($B40,Embedded_Wall_Register!$A$5:$A$304,0)),IFERROR(INDEX(Manhole_Register!$AF$5:$AF$304,MATCH($B40,Manhole_Register!$A$5:$A$304,0)),IFERROR(INDEX(ERSS_Pit_Register!$Z$5:$Z$304,MATCH($B40,ERSS_Pit_Register!$A$5:$A$304,0)),IFERROR(INDEX(Linkway_Register!$AB$5:$AB$304,MATCH($B40,Linkway_Register!$A$5:$A$304,0)),IFERROR(INDEX(Other_Register!$R$5:$R$304,MATCH($B40,Other_Register!$A$5:$A$304,0)),"")))))))&amp;IFERROR(INDEX(Drain_Register!$AA$5:$AA$304,MATCH($B40,Drain_Register!$A$5:$A$304,0)),IFERROR(INDEX(RW_Register!$AG$5:$AG$304,MATCH($B40,RW_Register!$A$5:$A$304,0)),IFERROR(INDEX(Embedded_Wall_Register!$AD$5:$AD$304,MATCH($B40,Embedded_Wall_Register!$A$5:$A$304,0)),IFERROR(INDEX(Manhole_Register!$AG$5:$AG$304,MATCH($B40,Manhole_Register!$A$5:$A$304,0)),IFERROR(INDEX(ERSS_Pit_Register!$AA$5:$AA$304,MATCH($B40,ERSS_Pit_Register!$A$5:$A$304,0)),IFERROR(INDEX(Linkway_Register!$AC$5:$AC$304,MATCH($B40,Linkway_Register!$A$5:$A$304,0)),IFERROR(INDEX(Other_Register!$S$5:$S$304,MATCH($B40,Other_Register!$A$5:$A$304,0)),""))))))))</f>
        <v/>
      </c>
      <c r="N40" s="19" t="str">
        <f aca="false">IF(OR($B40="",$D40=""),"",$D40*N(IFERROR(INDEX(Drain_Register!$AH$5:$AH$304,MATCH($B40,Drain_Register!$A$5:$A$304,0)),IFERROR(INDEX(RW_Register!$AN$5:$AN$304,MATCH($B40,RW_Register!$A$5:$A$304,0)),IFERROR(INDEX(Embedded_Wall_Register!$AK$5:$AK$304,MATCH($B40,Embedded_Wall_Register!$A$5:$A$304,0)),IFERROR(INDEX(Manhole_Register!$AN$5:$AN$304,MATCH($B40,Manhole_Register!$A$5:$A$304,0)),IFERROR(INDEX(ERSS_Pit_Register!$AH$5:$AH$304,MATCH($B40,ERSS_Pit_Register!$A$5:$A$304,0)),IFERROR(INDEX(Linkway_Register!$AJ$5:$AJ$304,MATCH($B40,Linkway_Register!$A$5:$A$304,0)),IFERROR(INDEX(Other_Register!$Z$5:$Z$304,MATCH($B40,Other_Register!$A$5:$A$304,0)),0)))))))))</f>
        <v/>
      </c>
      <c r="O40" s="20" t="str">
        <f aca="false">IF(OR($B40="",$D40=""),"",$D40*N(IFERROR(INDEX(Drain_Register!$AI$5:$AI$304,MATCH($B40,Drain_Register!$A$5:$A$304,0)),IFERROR(INDEX(RW_Register!$AO$5:$AO$304,MATCH($B40,RW_Register!$A$5:$A$304,0)),IFERROR(INDEX(Embedded_Wall_Register!$AL$5:$AL$304,MATCH($B40,Embedded_Wall_Register!$A$5:$A$304,0)),IFERROR(INDEX(Manhole_Register!$AO$5:$AO$304,MATCH($B40,Manhole_Register!$A$5:$A$304,0)),IFERROR(INDEX(ERSS_Pit_Register!$AI$5:$AI$304,MATCH($B40,ERSS_Pit_Register!$A$5:$A$304,0)),IFERROR(INDEX(Linkway_Register!$AK$5:$AK$304,MATCH($B40,Linkway_Register!$A$5:$A$304,0)),IFERROR(INDEX(Other_Register!$AA$5:$AA$304,MATCH($B40,Other_Register!$A$5:$A$304,0)),0))))))))/1000)</f>
        <v/>
      </c>
      <c r="P40" s="20" t="str">
        <f aca="false">IF(OR($B40="",$D40=""),"",$D40*N(IFERROR(INDEX(Drain_Register!$AJ$5:$AJ$304,MATCH($B40,Drain_Register!$A$5:$A$304,0)),IFERROR(INDEX(RW_Register!$AP$5:$AP$304,MATCH($B40,RW_Register!$A$5:$A$304,0)),IFERROR(INDEX(Embedded_Wall_Register!$AM$5:$AM$304,MATCH($B40,Embedded_Wall_Register!$A$5:$A$304,0)),IFERROR(INDEX(Manhole_Register!$AP$5:$AP$304,MATCH($B40,Manhole_Register!$A$5:$A$304,0)),IFERROR(INDEX(ERSS_Pit_Register!$AJ$5:$AJ$304,MATCH($B40,ERSS_Pit_Register!$A$5:$A$304,0)),IFERROR(INDEX(Linkway_Register!$AL$5:$AL$304,MATCH($B40,Linkway_Register!$A$5:$A$304,0)),IFERROR(INDEX(Other_Register!$AB$5:$AB$304,MATCH($B40,Other_Register!$A$5:$A$304,0)),0))))))))/1000)</f>
        <v/>
      </c>
      <c r="Q40" s="19" t="str">
        <f aca="false">IF(OR($B40="",$D40=""),"",$D40*N(IFERROR(INDEX(Drain_Register!$AK$5:$AK$304,MATCH($B40,Drain_Register!$A$5:$A$304,0)),IFERROR(INDEX(RW_Register!$AQ$5:$AQ$304,MATCH($B40,RW_Register!$A$5:$A$304,0)),IFERROR(INDEX(Embedded_Wall_Register!$AN$5:$AN$304,MATCH($B40,Embedded_Wall_Register!$A$5:$A$304,0)),IFERROR(INDEX(Manhole_Register!$AQ$5:$AQ$304,MATCH($B40,Manhole_Register!$A$5:$A$304,0)),IFERROR(INDEX(ERSS_Pit_Register!$AK$5:$AK$304,MATCH($B40,ERSS_Pit_Register!$A$5:$A$304,0)),IFERROR(INDEX(Linkway_Register!$AM$5:$AM$304,MATCH($B40,Linkway_Register!$A$5:$A$304,0)),IFERROR(INDEX(Other_Register!$AC$5:$AC$304,MATCH($B40,Other_Register!$A$5:$A$304,0)),0)))))))))</f>
        <v/>
      </c>
      <c r="R40" s="19" t="str">
        <f aca="false">IF(OR($B40="",$D40=""),"",$D40*N(IFERROR(INDEX(Drain_Register!$AL$5:$AL$304,MATCH($B40,Drain_Register!$A$5:$A$304,0)),IFERROR(INDEX(RW_Register!$AR$5:$AR$304,MATCH($B40,RW_Register!$A$5:$A$304,0)),IFERROR(INDEX(Embedded_Wall_Register!$AO$5:$AO$304,MATCH($B40,Embedded_Wall_Register!$A$5:$A$304,0)),IFERROR(INDEX(Manhole_Register!$AR$5:$AR$304,MATCH($B40,Manhole_Register!$A$5:$A$304,0)),IFERROR(INDEX(ERSS_Pit_Register!$AL$5:$AL$304,MATCH($B40,ERSS_Pit_Register!$A$5:$A$304,0)),IFERROR(INDEX(Linkway_Register!$AN$5:$AN$304,MATCH($B40,Linkway_Register!$A$5:$A$304,0)),IFERROR(INDEX(Other_Register!$AD$5:$AD$304,MATCH($B40,Other_Register!$A$5:$A$304,0)),0)))))))))</f>
        <v/>
      </c>
      <c r="S40" s="10" t="str">
        <f aca="false">IF($B40="","",IF(G40="","ID not found",IF(J40&lt;&gt;"Approved","WARNING: status is "&amp;J40,IF(IFERROR(INDEX(Drain_Register!$AV$5:$AV$304,MATCH($B40,Drain_Register!$A$5:$A$304,0)),IFERROR(INDEX(RW_Register!$BA$5:$BA$304,MATCH($B40,RW_Register!$A$5:$A$304,0)),IFERROR(INDEX(Embedded_Wall_Register!$AX$5:$AX$304,MATCH($B40,Embedded_Wall_Register!$A$5:$A$304,0)),IFERROR(INDEX(Manhole_Register!$AZ$5:$AZ$304,MATCH($B40,Manhole_Register!$A$5:$A$304,0)),IFERROR(INDEX(ERSS_Pit_Register!$AU$5:$AU$304,MATCH($B40,ERSS_Pit_Register!$A$5:$A$304,0)),IFERROR(INDEX(Linkway_Register!$AV$5:$AV$304,MATCH($B40,Linkway_Register!$A$5:$A$304,0)),IFERROR(INDEX(Other_Register!$AL$5:$AL$304,MATCH($B40,Other_Register!$A$5:$A$304,0)),"")))))))="N","WARNING: fails SG compliance check",IF(D40="","Enter length / qty",IF(E40="","Enter CAD sheet no.","OK"))))))</f>
        <v/>
      </c>
    </row>
    <row r="41" customFormat="false" ht="15" hidden="false" customHeight="false" outlineLevel="0" collapsed="false">
      <c r="A41" s="9"/>
      <c r="B41" s="9"/>
      <c r="C41" s="9"/>
      <c r="D41" s="9"/>
      <c r="E41" s="9"/>
      <c r="F41" s="10" t="str">
        <f aca="false">IF($B41="","",IFERROR(INDEX(Drain_Register!$AG$5:$AG$304,MATCH($B41,Drain_Register!$A$5:$A$304,0)),IFERROR(INDEX(RW_Register!$AM$5:$AM$304,MATCH($B41,RW_Register!$A$5:$A$304,0)),IFERROR(INDEX(Embedded_Wall_Register!$AJ$5:$AJ$304,MATCH($B41,Embedded_Wall_Register!$A$5:$A$304,0)),IFERROR(INDEX(Manhole_Register!$AM$5:$AM$304,MATCH($B41,Manhole_Register!$A$5:$A$304,0)),IFERROR(INDEX(ERSS_Pit_Register!$AG$5:$AG$304,MATCH($B41,ERSS_Pit_Register!$A$5:$A$304,0)),IFERROR(INDEX(Linkway_Register!$AI$5:$AI$304,MATCH($B41,Linkway_Register!$A$5:$A$304,0)),IFERROR(INDEX(Other_Register!$Y$5:$Y$304,MATCH($B41,Other_Register!$A$5:$A$304,0)),""))))))))</f>
        <v/>
      </c>
      <c r="G41" s="10" t="str">
        <f aca="false">IF($B41="","",IF(ISNUMBER(MATCH($B41,Drain_Register!$A$5:$A$304,0)),"Drain",IF(ISNUMBER(MATCH($B41,RW_Register!$A$5:$A$304,0)),"Ret. Wall",IF(ISNUMBER(MATCH($B41,Embedded_Wall_Register!$A$5:$A$304,0)),"Embedded Wall",IF(ISNUMBER(MATCH($B41,Manhole_Register!$A$5:$A$304,0)),"Manhole",IF(ISNUMBER(MATCH($B41,ERSS_Pit_Register!$A$5:$A$304,0)),"ERSS Pit",IF(ISNUMBER(MATCH($B41,Linkway_Register!$A$5:$A$304,0)),"Linkway",IF(ISNUMBER(MATCH($B41,Other_Register!$A$5:$A$304,0)),"Others",""))))))))</f>
        <v/>
      </c>
      <c r="H41" s="10" t="str">
        <f aca="false">IF($B41="","",IFERROR(INDEX(Drain_Register!$B$5:$B$304,MATCH($B41,Drain_Register!$A$5:$A$304,0)),IFERROR(INDEX(RW_Register!$B$5:$B$304,MATCH($B41,RW_Register!$A$5:$A$304,0)),IFERROR(INDEX(Embedded_Wall_Register!$B$5:$B$304,MATCH($B41,Embedded_Wall_Register!$A$5:$A$304,0)),IFERROR(INDEX(Manhole_Register!$B$5:$B$304,MATCH($B41,Manhole_Register!$A$5:$A$304,0)),IFERROR(INDEX(ERSS_Pit_Register!$B$5:$B$304,MATCH($B41,ERSS_Pit_Register!$A$5:$A$304,0)),IFERROR(INDEX(Linkway_Register!$B$5:$B$304,MATCH($B41,Linkway_Register!$A$5:$A$304,0)),IFERROR(INDEX(Other_Register!$B$5:$B$304,MATCH($B41,Other_Register!$A$5:$A$304,0)),"ID not found - check spelling"))))))))</f>
        <v/>
      </c>
      <c r="I41" s="10" t="str">
        <f aca="false">IF($B41="","",IFERROR(INDEX(Drain_Register!$U$5:$U$304,MATCH($B41,Drain_Register!$A$5:$A$304,0)),IFERROR(INDEX(RW_Register!$AA$5:$AA$304,MATCH($B41,RW_Register!$A$5:$A$304,0)),IFERROR(INDEX(Embedded_Wall_Register!$X$5:$X$304,MATCH($B41,Embedded_Wall_Register!$A$5:$A$304,0)),IFERROR(INDEX(Manhole_Register!$AA$5:$AA$304,MATCH($B41,Manhole_Register!$A$5:$A$304,0)),IFERROR(INDEX(ERSS_Pit_Register!$U$5:$U$304,MATCH($B41,ERSS_Pit_Register!$A$5:$A$304,0)),IFERROR(INDEX(Linkway_Register!$W$5:$W$304,MATCH($B41,Linkway_Register!$A$5:$A$304,0)),IFERROR(INDEX(Other_Register!$M$5:$M$304,MATCH($B41,Other_Register!$A$5:$A$304,0)),""))))))))</f>
        <v/>
      </c>
      <c r="J41" s="10" t="str">
        <f aca="false">IF($B41="","",IFERROR(INDEX(Drain_Register!$V$5:$V$304,MATCH($B41,Drain_Register!$A$5:$A$304,0)),IFERROR(INDEX(RW_Register!$AB$5:$AB$304,MATCH($B41,RW_Register!$A$5:$A$304,0)),IFERROR(INDEX(Embedded_Wall_Register!$Y$5:$Y$304,MATCH($B41,Embedded_Wall_Register!$A$5:$A$304,0)),IFERROR(INDEX(Manhole_Register!$AB$5:$AB$304,MATCH($B41,Manhole_Register!$A$5:$A$304,0)),IFERROR(INDEX(ERSS_Pit_Register!$V$5:$V$304,MATCH($B41,ERSS_Pit_Register!$A$5:$A$304,0)),IFERROR(INDEX(Linkway_Register!$X$5:$X$304,MATCH($B41,Linkway_Register!$A$5:$A$304,0)),IFERROR(INDEX(Other_Register!$N$5:$N$304,MATCH($B41,Other_Register!$A$5:$A$304,0)),""))))))))</f>
        <v/>
      </c>
      <c r="K41" s="10" t="str">
        <f aca="false">IF($B41="","",IFERROR(INDEX(Drain_Register!$W$5:$W$304,MATCH($B41,Drain_Register!$A$5:$A$304,0)),IFERROR(INDEX(RW_Register!$AC$5:$AC$304,MATCH($B41,RW_Register!$A$5:$A$304,0)),IFERROR(INDEX(Embedded_Wall_Register!$Z$5:$Z$304,MATCH($B41,Embedded_Wall_Register!$A$5:$A$304,0)),IFERROR(INDEX(Manhole_Register!$AC$5:$AC$304,MATCH($B41,Manhole_Register!$A$5:$A$304,0)),IFERROR(INDEX(ERSS_Pit_Register!$W$5:$W$304,MATCH($B41,ERSS_Pit_Register!$A$5:$A$304,0)),IFERROR(INDEX(Linkway_Register!$Y$5:$Y$304,MATCH($B41,Linkway_Register!$A$5:$A$304,0)),IFERROR(INDEX(Other_Register!$O$5:$O$304,MATCH($B41,Other_Register!$A$5:$A$304,0)),""))))))))</f>
        <v/>
      </c>
      <c r="L41" s="10" t="str">
        <f aca="false">IF($B41="","",IFERROR(INDEX(Drain_Register!$X$5:$X$304,MATCH($B41,Drain_Register!$A$5:$A$304,0)),IFERROR(INDEX(RW_Register!$AD$5:$AD$304,MATCH($B41,RW_Register!$A$5:$A$304,0)),IFERROR(INDEX(Embedded_Wall_Register!$AA$5:$AA$304,MATCH($B41,Embedded_Wall_Register!$A$5:$A$304,0)),IFERROR(INDEX(Manhole_Register!$AD$5:$AD$304,MATCH($B41,Manhole_Register!$A$5:$A$304,0)),IFERROR(INDEX(ERSS_Pit_Register!$X$5:$X$304,MATCH($B41,ERSS_Pit_Register!$A$5:$A$304,0)),IFERROR(INDEX(Linkway_Register!$Z$5:$Z$304,MATCH($B41,Linkway_Register!$A$5:$A$304,0)),IFERROR(INDEX(Other_Register!$P$5:$P$304,MATCH($B41,Other_Register!$A$5:$A$304,0)),""))))))))</f>
        <v/>
      </c>
      <c r="M41" s="10" t="str">
        <f aca="false">IF($B41="","",IFERROR(INDEX(Drain_Register!$Z$5:$Z$304,MATCH($B41,Drain_Register!$A$5:$A$304,0)),IFERROR(INDEX(RW_Register!$AF$5:$AF$304,MATCH($B41,RW_Register!$A$5:$A$304,0)),IFERROR(INDEX(Embedded_Wall_Register!$AC$5:$AC$304,MATCH($B41,Embedded_Wall_Register!$A$5:$A$304,0)),IFERROR(INDEX(Manhole_Register!$AF$5:$AF$304,MATCH($B41,Manhole_Register!$A$5:$A$304,0)),IFERROR(INDEX(ERSS_Pit_Register!$Z$5:$Z$304,MATCH($B41,ERSS_Pit_Register!$A$5:$A$304,0)),IFERROR(INDEX(Linkway_Register!$AB$5:$AB$304,MATCH($B41,Linkway_Register!$A$5:$A$304,0)),IFERROR(INDEX(Other_Register!$R$5:$R$304,MATCH($B41,Other_Register!$A$5:$A$304,0)),"")))))))&amp;IFERROR(INDEX(Drain_Register!$AA$5:$AA$304,MATCH($B41,Drain_Register!$A$5:$A$304,0)),IFERROR(INDEX(RW_Register!$AG$5:$AG$304,MATCH($B41,RW_Register!$A$5:$A$304,0)),IFERROR(INDEX(Embedded_Wall_Register!$AD$5:$AD$304,MATCH($B41,Embedded_Wall_Register!$A$5:$A$304,0)),IFERROR(INDEX(Manhole_Register!$AG$5:$AG$304,MATCH($B41,Manhole_Register!$A$5:$A$304,0)),IFERROR(INDEX(ERSS_Pit_Register!$AA$5:$AA$304,MATCH($B41,ERSS_Pit_Register!$A$5:$A$304,0)),IFERROR(INDEX(Linkway_Register!$AC$5:$AC$304,MATCH($B41,Linkway_Register!$A$5:$A$304,0)),IFERROR(INDEX(Other_Register!$S$5:$S$304,MATCH($B41,Other_Register!$A$5:$A$304,0)),""))))))))</f>
        <v/>
      </c>
      <c r="N41" s="19" t="str">
        <f aca="false">IF(OR($B41="",$D41=""),"",$D41*N(IFERROR(INDEX(Drain_Register!$AH$5:$AH$304,MATCH($B41,Drain_Register!$A$5:$A$304,0)),IFERROR(INDEX(RW_Register!$AN$5:$AN$304,MATCH($B41,RW_Register!$A$5:$A$304,0)),IFERROR(INDEX(Embedded_Wall_Register!$AK$5:$AK$304,MATCH($B41,Embedded_Wall_Register!$A$5:$A$304,0)),IFERROR(INDEX(Manhole_Register!$AN$5:$AN$304,MATCH($B41,Manhole_Register!$A$5:$A$304,0)),IFERROR(INDEX(ERSS_Pit_Register!$AH$5:$AH$304,MATCH($B41,ERSS_Pit_Register!$A$5:$A$304,0)),IFERROR(INDEX(Linkway_Register!$AJ$5:$AJ$304,MATCH($B41,Linkway_Register!$A$5:$A$304,0)),IFERROR(INDEX(Other_Register!$Z$5:$Z$304,MATCH($B41,Other_Register!$A$5:$A$304,0)),0)))))))))</f>
        <v/>
      </c>
      <c r="O41" s="20" t="str">
        <f aca="false">IF(OR($B41="",$D41=""),"",$D41*N(IFERROR(INDEX(Drain_Register!$AI$5:$AI$304,MATCH($B41,Drain_Register!$A$5:$A$304,0)),IFERROR(INDEX(RW_Register!$AO$5:$AO$304,MATCH($B41,RW_Register!$A$5:$A$304,0)),IFERROR(INDEX(Embedded_Wall_Register!$AL$5:$AL$304,MATCH($B41,Embedded_Wall_Register!$A$5:$A$304,0)),IFERROR(INDEX(Manhole_Register!$AO$5:$AO$304,MATCH($B41,Manhole_Register!$A$5:$A$304,0)),IFERROR(INDEX(ERSS_Pit_Register!$AI$5:$AI$304,MATCH($B41,ERSS_Pit_Register!$A$5:$A$304,0)),IFERROR(INDEX(Linkway_Register!$AK$5:$AK$304,MATCH($B41,Linkway_Register!$A$5:$A$304,0)),IFERROR(INDEX(Other_Register!$AA$5:$AA$304,MATCH($B41,Other_Register!$A$5:$A$304,0)),0))))))))/1000)</f>
        <v/>
      </c>
      <c r="P41" s="20" t="str">
        <f aca="false">IF(OR($B41="",$D41=""),"",$D41*N(IFERROR(INDEX(Drain_Register!$AJ$5:$AJ$304,MATCH($B41,Drain_Register!$A$5:$A$304,0)),IFERROR(INDEX(RW_Register!$AP$5:$AP$304,MATCH($B41,RW_Register!$A$5:$A$304,0)),IFERROR(INDEX(Embedded_Wall_Register!$AM$5:$AM$304,MATCH($B41,Embedded_Wall_Register!$A$5:$A$304,0)),IFERROR(INDEX(Manhole_Register!$AP$5:$AP$304,MATCH($B41,Manhole_Register!$A$5:$A$304,0)),IFERROR(INDEX(ERSS_Pit_Register!$AJ$5:$AJ$304,MATCH($B41,ERSS_Pit_Register!$A$5:$A$304,0)),IFERROR(INDEX(Linkway_Register!$AL$5:$AL$304,MATCH($B41,Linkway_Register!$A$5:$A$304,0)),IFERROR(INDEX(Other_Register!$AB$5:$AB$304,MATCH($B41,Other_Register!$A$5:$A$304,0)),0))))))))/1000)</f>
        <v/>
      </c>
      <c r="Q41" s="19" t="str">
        <f aca="false">IF(OR($B41="",$D41=""),"",$D41*N(IFERROR(INDEX(Drain_Register!$AK$5:$AK$304,MATCH($B41,Drain_Register!$A$5:$A$304,0)),IFERROR(INDEX(RW_Register!$AQ$5:$AQ$304,MATCH($B41,RW_Register!$A$5:$A$304,0)),IFERROR(INDEX(Embedded_Wall_Register!$AN$5:$AN$304,MATCH($B41,Embedded_Wall_Register!$A$5:$A$304,0)),IFERROR(INDEX(Manhole_Register!$AQ$5:$AQ$304,MATCH($B41,Manhole_Register!$A$5:$A$304,0)),IFERROR(INDEX(ERSS_Pit_Register!$AK$5:$AK$304,MATCH($B41,ERSS_Pit_Register!$A$5:$A$304,0)),IFERROR(INDEX(Linkway_Register!$AM$5:$AM$304,MATCH($B41,Linkway_Register!$A$5:$A$304,0)),IFERROR(INDEX(Other_Register!$AC$5:$AC$304,MATCH($B41,Other_Register!$A$5:$A$304,0)),0)))))))))</f>
        <v/>
      </c>
      <c r="R41" s="19" t="str">
        <f aca="false">IF(OR($B41="",$D41=""),"",$D41*N(IFERROR(INDEX(Drain_Register!$AL$5:$AL$304,MATCH($B41,Drain_Register!$A$5:$A$304,0)),IFERROR(INDEX(RW_Register!$AR$5:$AR$304,MATCH($B41,RW_Register!$A$5:$A$304,0)),IFERROR(INDEX(Embedded_Wall_Register!$AO$5:$AO$304,MATCH($B41,Embedded_Wall_Register!$A$5:$A$304,0)),IFERROR(INDEX(Manhole_Register!$AR$5:$AR$304,MATCH($B41,Manhole_Register!$A$5:$A$304,0)),IFERROR(INDEX(ERSS_Pit_Register!$AL$5:$AL$304,MATCH($B41,ERSS_Pit_Register!$A$5:$A$304,0)),IFERROR(INDEX(Linkway_Register!$AN$5:$AN$304,MATCH($B41,Linkway_Register!$A$5:$A$304,0)),IFERROR(INDEX(Other_Register!$AD$5:$AD$304,MATCH($B41,Other_Register!$A$5:$A$304,0)),0)))))))))</f>
        <v/>
      </c>
      <c r="S41" s="10" t="str">
        <f aca="false">IF($B41="","",IF(G41="","ID not found",IF(J41&lt;&gt;"Approved","WARNING: status is "&amp;J41,IF(IFERROR(INDEX(Drain_Register!$AV$5:$AV$304,MATCH($B41,Drain_Register!$A$5:$A$304,0)),IFERROR(INDEX(RW_Register!$BA$5:$BA$304,MATCH($B41,RW_Register!$A$5:$A$304,0)),IFERROR(INDEX(Embedded_Wall_Register!$AX$5:$AX$304,MATCH($B41,Embedded_Wall_Register!$A$5:$A$304,0)),IFERROR(INDEX(Manhole_Register!$AZ$5:$AZ$304,MATCH($B41,Manhole_Register!$A$5:$A$304,0)),IFERROR(INDEX(ERSS_Pit_Register!$AU$5:$AU$304,MATCH($B41,ERSS_Pit_Register!$A$5:$A$304,0)),IFERROR(INDEX(Linkway_Register!$AV$5:$AV$304,MATCH($B41,Linkway_Register!$A$5:$A$304,0)),IFERROR(INDEX(Other_Register!$AL$5:$AL$304,MATCH($B41,Other_Register!$A$5:$A$304,0)),"")))))))="N","WARNING: fails SG compliance check",IF(D41="","Enter length / qty",IF(E41="","Enter CAD sheet no.","OK"))))))</f>
        <v/>
      </c>
    </row>
    <row r="42" customFormat="false" ht="15" hidden="false" customHeight="false" outlineLevel="0" collapsed="false">
      <c r="A42" s="9"/>
      <c r="B42" s="9"/>
      <c r="C42" s="9"/>
      <c r="D42" s="9"/>
      <c r="E42" s="9"/>
      <c r="F42" s="10" t="str">
        <f aca="false">IF($B42="","",IFERROR(INDEX(Drain_Register!$AG$5:$AG$304,MATCH($B42,Drain_Register!$A$5:$A$304,0)),IFERROR(INDEX(RW_Register!$AM$5:$AM$304,MATCH($B42,RW_Register!$A$5:$A$304,0)),IFERROR(INDEX(Embedded_Wall_Register!$AJ$5:$AJ$304,MATCH($B42,Embedded_Wall_Register!$A$5:$A$304,0)),IFERROR(INDEX(Manhole_Register!$AM$5:$AM$304,MATCH($B42,Manhole_Register!$A$5:$A$304,0)),IFERROR(INDEX(ERSS_Pit_Register!$AG$5:$AG$304,MATCH($B42,ERSS_Pit_Register!$A$5:$A$304,0)),IFERROR(INDEX(Linkway_Register!$AI$5:$AI$304,MATCH($B42,Linkway_Register!$A$5:$A$304,0)),IFERROR(INDEX(Other_Register!$Y$5:$Y$304,MATCH($B42,Other_Register!$A$5:$A$304,0)),""))))))))</f>
        <v/>
      </c>
      <c r="G42" s="10" t="str">
        <f aca="false">IF($B42="","",IF(ISNUMBER(MATCH($B42,Drain_Register!$A$5:$A$304,0)),"Drain",IF(ISNUMBER(MATCH($B42,RW_Register!$A$5:$A$304,0)),"Ret. Wall",IF(ISNUMBER(MATCH($B42,Embedded_Wall_Register!$A$5:$A$304,0)),"Embedded Wall",IF(ISNUMBER(MATCH($B42,Manhole_Register!$A$5:$A$304,0)),"Manhole",IF(ISNUMBER(MATCH($B42,ERSS_Pit_Register!$A$5:$A$304,0)),"ERSS Pit",IF(ISNUMBER(MATCH($B42,Linkway_Register!$A$5:$A$304,0)),"Linkway",IF(ISNUMBER(MATCH($B42,Other_Register!$A$5:$A$304,0)),"Others",""))))))))</f>
        <v/>
      </c>
      <c r="H42" s="10" t="str">
        <f aca="false">IF($B42="","",IFERROR(INDEX(Drain_Register!$B$5:$B$304,MATCH($B42,Drain_Register!$A$5:$A$304,0)),IFERROR(INDEX(RW_Register!$B$5:$B$304,MATCH($B42,RW_Register!$A$5:$A$304,0)),IFERROR(INDEX(Embedded_Wall_Register!$B$5:$B$304,MATCH($B42,Embedded_Wall_Register!$A$5:$A$304,0)),IFERROR(INDEX(Manhole_Register!$B$5:$B$304,MATCH($B42,Manhole_Register!$A$5:$A$304,0)),IFERROR(INDEX(ERSS_Pit_Register!$B$5:$B$304,MATCH($B42,ERSS_Pit_Register!$A$5:$A$304,0)),IFERROR(INDEX(Linkway_Register!$B$5:$B$304,MATCH($B42,Linkway_Register!$A$5:$A$304,0)),IFERROR(INDEX(Other_Register!$B$5:$B$304,MATCH($B42,Other_Register!$A$5:$A$304,0)),"ID not found - check spelling"))))))))</f>
        <v/>
      </c>
      <c r="I42" s="10" t="str">
        <f aca="false">IF($B42="","",IFERROR(INDEX(Drain_Register!$U$5:$U$304,MATCH($B42,Drain_Register!$A$5:$A$304,0)),IFERROR(INDEX(RW_Register!$AA$5:$AA$304,MATCH($B42,RW_Register!$A$5:$A$304,0)),IFERROR(INDEX(Embedded_Wall_Register!$X$5:$X$304,MATCH($B42,Embedded_Wall_Register!$A$5:$A$304,0)),IFERROR(INDEX(Manhole_Register!$AA$5:$AA$304,MATCH($B42,Manhole_Register!$A$5:$A$304,0)),IFERROR(INDEX(ERSS_Pit_Register!$U$5:$U$304,MATCH($B42,ERSS_Pit_Register!$A$5:$A$304,0)),IFERROR(INDEX(Linkway_Register!$W$5:$W$304,MATCH($B42,Linkway_Register!$A$5:$A$304,0)),IFERROR(INDEX(Other_Register!$M$5:$M$304,MATCH($B42,Other_Register!$A$5:$A$304,0)),""))))))))</f>
        <v/>
      </c>
      <c r="J42" s="10" t="str">
        <f aca="false">IF($B42="","",IFERROR(INDEX(Drain_Register!$V$5:$V$304,MATCH($B42,Drain_Register!$A$5:$A$304,0)),IFERROR(INDEX(RW_Register!$AB$5:$AB$304,MATCH($B42,RW_Register!$A$5:$A$304,0)),IFERROR(INDEX(Embedded_Wall_Register!$Y$5:$Y$304,MATCH($B42,Embedded_Wall_Register!$A$5:$A$304,0)),IFERROR(INDEX(Manhole_Register!$AB$5:$AB$304,MATCH($B42,Manhole_Register!$A$5:$A$304,0)),IFERROR(INDEX(ERSS_Pit_Register!$V$5:$V$304,MATCH($B42,ERSS_Pit_Register!$A$5:$A$304,0)),IFERROR(INDEX(Linkway_Register!$X$5:$X$304,MATCH($B42,Linkway_Register!$A$5:$A$304,0)),IFERROR(INDEX(Other_Register!$N$5:$N$304,MATCH($B42,Other_Register!$A$5:$A$304,0)),""))))))))</f>
        <v/>
      </c>
      <c r="K42" s="10" t="str">
        <f aca="false">IF($B42="","",IFERROR(INDEX(Drain_Register!$W$5:$W$304,MATCH($B42,Drain_Register!$A$5:$A$304,0)),IFERROR(INDEX(RW_Register!$AC$5:$AC$304,MATCH($B42,RW_Register!$A$5:$A$304,0)),IFERROR(INDEX(Embedded_Wall_Register!$Z$5:$Z$304,MATCH($B42,Embedded_Wall_Register!$A$5:$A$304,0)),IFERROR(INDEX(Manhole_Register!$AC$5:$AC$304,MATCH($B42,Manhole_Register!$A$5:$A$304,0)),IFERROR(INDEX(ERSS_Pit_Register!$W$5:$W$304,MATCH($B42,ERSS_Pit_Register!$A$5:$A$304,0)),IFERROR(INDEX(Linkway_Register!$Y$5:$Y$304,MATCH($B42,Linkway_Register!$A$5:$A$304,0)),IFERROR(INDEX(Other_Register!$O$5:$O$304,MATCH($B42,Other_Register!$A$5:$A$304,0)),""))))))))</f>
        <v/>
      </c>
      <c r="L42" s="10" t="str">
        <f aca="false">IF($B42="","",IFERROR(INDEX(Drain_Register!$X$5:$X$304,MATCH($B42,Drain_Register!$A$5:$A$304,0)),IFERROR(INDEX(RW_Register!$AD$5:$AD$304,MATCH($B42,RW_Register!$A$5:$A$304,0)),IFERROR(INDEX(Embedded_Wall_Register!$AA$5:$AA$304,MATCH($B42,Embedded_Wall_Register!$A$5:$A$304,0)),IFERROR(INDEX(Manhole_Register!$AD$5:$AD$304,MATCH($B42,Manhole_Register!$A$5:$A$304,0)),IFERROR(INDEX(ERSS_Pit_Register!$X$5:$X$304,MATCH($B42,ERSS_Pit_Register!$A$5:$A$304,0)),IFERROR(INDEX(Linkway_Register!$Z$5:$Z$304,MATCH($B42,Linkway_Register!$A$5:$A$304,0)),IFERROR(INDEX(Other_Register!$P$5:$P$304,MATCH($B42,Other_Register!$A$5:$A$304,0)),""))))))))</f>
        <v/>
      </c>
      <c r="M42" s="10" t="str">
        <f aca="false">IF($B42="","",IFERROR(INDEX(Drain_Register!$Z$5:$Z$304,MATCH($B42,Drain_Register!$A$5:$A$304,0)),IFERROR(INDEX(RW_Register!$AF$5:$AF$304,MATCH($B42,RW_Register!$A$5:$A$304,0)),IFERROR(INDEX(Embedded_Wall_Register!$AC$5:$AC$304,MATCH($B42,Embedded_Wall_Register!$A$5:$A$304,0)),IFERROR(INDEX(Manhole_Register!$AF$5:$AF$304,MATCH($B42,Manhole_Register!$A$5:$A$304,0)),IFERROR(INDEX(ERSS_Pit_Register!$Z$5:$Z$304,MATCH($B42,ERSS_Pit_Register!$A$5:$A$304,0)),IFERROR(INDEX(Linkway_Register!$AB$5:$AB$304,MATCH($B42,Linkway_Register!$A$5:$A$304,0)),IFERROR(INDEX(Other_Register!$R$5:$R$304,MATCH($B42,Other_Register!$A$5:$A$304,0)),"")))))))&amp;IFERROR(INDEX(Drain_Register!$AA$5:$AA$304,MATCH($B42,Drain_Register!$A$5:$A$304,0)),IFERROR(INDEX(RW_Register!$AG$5:$AG$304,MATCH($B42,RW_Register!$A$5:$A$304,0)),IFERROR(INDEX(Embedded_Wall_Register!$AD$5:$AD$304,MATCH($B42,Embedded_Wall_Register!$A$5:$A$304,0)),IFERROR(INDEX(Manhole_Register!$AG$5:$AG$304,MATCH($B42,Manhole_Register!$A$5:$A$304,0)),IFERROR(INDEX(ERSS_Pit_Register!$AA$5:$AA$304,MATCH($B42,ERSS_Pit_Register!$A$5:$A$304,0)),IFERROR(INDEX(Linkway_Register!$AC$5:$AC$304,MATCH($B42,Linkway_Register!$A$5:$A$304,0)),IFERROR(INDEX(Other_Register!$S$5:$S$304,MATCH($B42,Other_Register!$A$5:$A$304,0)),""))))))))</f>
        <v/>
      </c>
      <c r="N42" s="19" t="str">
        <f aca="false">IF(OR($B42="",$D42=""),"",$D42*N(IFERROR(INDEX(Drain_Register!$AH$5:$AH$304,MATCH($B42,Drain_Register!$A$5:$A$304,0)),IFERROR(INDEX(RW_Register!$AN$5:$AN$304,MATCH($B42,RW_Register!$A$5:$A$304,0)),IFERROR(INDEX(Embedded_Wall_Register!$AK$5:$AK$304,MATCH($B42,Embedded_Wall_Register!$A$5:$A$304,0)),IFERROR(INDEX(Manhole_Register!$AN$5:$AN$304,MATCH($B42,Manhole_Register!$A$5:$A$304,0)),IFERROR(INDEX(ERSS_Pit_Register!$AH$5:$AH$304,MATCH($B42,ERSS_Pit_Register!$A$5:$A$304,0)),IFERROR(INDEX(Linkway_Register!$AJ$5:$AJ$304,MATCH($B42,Linkway_Register!$A$5:$A$304,0)),IFERROR(INDEX(Other_Register!$Z$5:$Z$304,MATCH($B42,Other_Register!$A$5:$A$304,0)),0)))))))))</f>
        <v/>
      </c>
      <c r="O42" s="20" t="str">
        <f aca="false">IF(OR($B42="",$D42=""),"",$D42*N(IFERROR(INDEX(Drain_Register!$AI$5:$AI$304,MATCH($B42,Drain_Register!$A$5:$A$304,0)),IFERROR(INDEX(RW_Register!$AO$5:$AO$304,MATCH($B42,RW_Register!$A$5:$A$304,0)),IFERROR(INDEX(Embedded_Wall_Register!$AL$5:$AL$304,MATCH($B42,Embedded_Wall_Register!$A$5:$A$304,0)),IFERROR(INDEX(Manhole_Register!$AO$5:$AO$304,MATCH($B42,Manhole_Register!$A$5:$A$304,0)),IFERROR(INDEX(ERSS_Pit_Register!$AI$5:$AI$304,MATCH($B42,ERSS_Pit_Register!$A$5:$A$304,0)),IFERROR(INDEX(Linkway_Register!$AK$5:$AK$304,MATCH($B42,Linkway_Register!$A$5:$A$304,0)),IFERROR(INDEX(Other_Register!$AA$5:$AA$304,MATCH($B42,Other_Register!$A$5:$A$304,0)),0))))))))/1000)</f>
        <v/>
      </c>
      <c r="P42" s="20" t="str">
        <f aca="false">IF(OR($B42="",$D42=""),"",$D42*N(IFERROR(INDEX(Drain_Register!$AJ$5:$AJ$304,MATCH($B42,Drain_Register!$A$5:$A$304,0)),IFERROR(INDEX(RW_Register!$AP$5:$AP$304,MATCH($B42,RW_Register!$A$5:$A$304,0)),IFERROR(INDEX(Embedded_Wall_Register!$AM$5:$AM$304,MATCH($B42,Embedded_Wall_Register!$A$5:$A$304,0)),IFERROR(INDEX(Manhole_Register!$AP$5:$AP$304,MATCH($B42,Manhole_Register!$A$5:$A$304,0)),IFERROR(INDEX(ERSS_Pit_Register!$AJ$5:$AJ$304,MATCH($B42,ERSS_Pit_Register!$A$5:$A$304,0)),IFERROR(INDEX(Linkway_Register!$AL$5:$AL$304,MATCH($B42,Linkway_Register!$A$5:$A$304,0)),IFERROR(INDEX(Other_Register!$AB$5:$AB$304,MATCH($B42,Other_Register!$A$5:$A$304,0)),0))))))))/1000)</f>
        <v/>
      </c>
      <c r="Q42" s="19" t="str">
        <f aca="false">IF(OR($B42="",$D42=""),"",$D42*N(IFERROR(INDEX(Drain_Register!$AK$5:$AK$304,MATCH($B42,Drain_Register!$A$5:$A$304,0)),IFERROR(INDEX(RW_Register!$AQ$5:$AQ$304,MATCH($B42,RW_Register!$A$5:$A$304,0)),IFERROR(INDEX(Embedded_Wall_Register!$AN$5:$AN$304,MATCH($B42,Embedded_Wall_Register!$A$5:$A$304,0)),IFERROR(INDEX(Manhole_Register!$AQ$5:$AQ$304,MATCH($B42,Manhole_Register!$A$5:$A$304,0)),IFERROR(INDEX(ERSS_Pit_Register!$AK$5:$AK$304,MATCH($B42,ERSS_Pit_Register!$A$5:$A$304,0)),IFERROR(INDEX(Linkway_Register!$AM$5:$AM$304,MATCH($B42,Linkway_Register!$A$5:$A$304,0)),IFERROR(INDEX(Other_Register!$AC$5:$AC$304,MATCH($B42,Other_Register!$A$5:$A$304,0)),0)))))))))</f>
        <v/>
      </c>
      <c r="R42" s="19" t="str">
        <f aca="false">IF(OR($B42="",$D42=""),"",$D42*N(IFERROR(INDEX(Drain_Register!$AL$5:$AL$304,MATCH($B42,Drain_Register!$A$5:$A$304,0)),IFERROR(INDEX(RW_Register!$AR$5:$AR$304,MATCH($B42,RW_Register!$A$5:$A$304,0)),IFERROR(INDEX(Embedded_Wall_Register!$AO$5:$AO$304,MATCH($B42,Embedded_Wall_Register!$A$5:$A$304,0)),IFERROR(INDEX(Manhole_Register!$AR$5:$AR$304,MATCH($B42,Manhole_Register!$A$5:$A$304,0)),IFERROR(INDEX(ERSS_Pit_Register!$AL$5:$AL$304,MATCH($B42,ERSS_Pit_Register!$A$5:$A$304,0)),IFERROR(INDEX(Linkway_Register!$AN$5:$AN$304,MATCH($B42,Linkway_Register!$A$5:$A$304,0)),IFERROR(INDEX(Other_Register!$AD$5:$AD$304,MATCH($B42,Other_Register!$A$5:$A$304,0)),0)))))))))</f>
        <v/>
      </c>
      <c r="S42" s="10" t="str">
        <f aca="false">IF($B42="","",IF(G42="","ID not found",IF(J42&lt;&gt;"Approved","WARNING: status is "&amp;J42,IF(IFERROR(INDEX(Drain_Register!$AV$5:$AV$304,MATCH($B42,Drain_Register!$A$5:$A$304,0)),IFERROR(INDEX(RW_Register!$BA$5:$BA$304,MATCH($B42,RW_Register!$A$5:$A$304,0)),IFERROR(INDEX(Embedded_Wall_Register!$AX$5:$AX$304,MATCH($B42,Embedded_Wall_Register!$A$5:$A$304,0)),IFERROR(INDEX(Manhole_Register!$AZ$5:$AZ$304,MATCH($B42,Manhole_Register!$A$5:$A$304,0)),IFERROR(INDEX(ERSS_Pit_Register!$AU$5:$AU$304,MATCH($B42,ERSS_Pit_Register!$A$5:$A$304,0)),IFERROR(INDEX(Linkway_Register!$AV$5:$AV$304,MATCH($B42,Linkway_Register!$A$5:$A$304,0)),IFERROR(INDEX(Other_Register!$AL$5:$AL$304,MATCH($B42,Other_Register!$A$5:$A$304,0)),"")))))))="N","WARNING: fails SG compliance check",IF(D42="","Enter length / qty",IF(E42="","Enter CAD sheet no.","OK"))))))</f>
        <v/>
      </c>
    </row>
    <row r="43" customFormat="false" ht="15" hidden="false" customHeight="false" outlineLevel="0" collapsed="false">
      <c r="A43" s="9"/>
      <c r="B43" s="9"/>
      <c r="C43" s="9"/>
      <c r="D43" s="9"/>
      <c r="E43" s="9"/>
      <c r="F43" s="10" t="str">
        <f aca="false">IF($B43="","",IFERROR(INDEX(Drain_Register!$AG$5:$AG$304,MATCH($B43,Drain_Register!$A$5:$A$304,0)),IFERROR(INDEX(RW_Register!$AM$5:$AM$304,MATCH($B43,RW_Register!$A$5:$A$304,0)),IFERROR(INDEX(Embedded_Wall_Register!$AJ$5:$AJ$304,MATCH($B43,Embedded_Wall_Register!$A$5:$A$304,0)),IFERROR(INDEX(Manhole_Register!$AM$5:$AM$304,MATCH($B43,Manhole_Register!$A$5:$A$304,0)),IFERROR(INDEX(ERSS_Pit_Register!$AG$5:$AG$304,MATCH($B43,ERSS_Pit_Register!$A$5:$A$304,0)),IFERROR(INDEX(Linkway_Register!$AI$5:$AI$304,MATCH($B43,Linkway_Register!$A$5:$A$304,0)),IFERROR(INDEX(Other_Register!$Y$5:$Y$304,MATCH($B43,Other_Register!$A$5:$A$304,0)),""))))))))</f>
        <v/>
      </c>
      <c r="G43" s="10" t="str">
        <f aca="false">IF($B43="","",IF(ISNUMBER(MATCH($B43,Drain_Register!$A$5:$A$304,0)),"Drain",IF(ISNUMBER(MATCH($B43,RW_Register!$A$5:$A$304,0)),"Ret. Wall",IF(ISNUMBER(MATCH($B43,Embedded_Wall_Register!$A$5:$A$304,0)),"Embedded Wall",IF(ISNUMBER(MATCH($B43,Manhole_Register!$A$5:$A$304,0)),"Manhole",IF(ISNUMBER(MATCH($B43,ERSS_Pit_Register!$A$5:$A$304,0)),"ERSS Pit",IF(ISNUMBER(MATCH($B43,Linkway_Register!$A$5:$A$304,0)),"Linkway",IF(ISNUMBER(MATCH($B43,Other_Register!$A$5:$A$304,0)),"Others",""))))))))</f>
        <v/>
      </c>
      <c r="H43" s="10" t="str">
        <f aca="false">IF($B43="","",IFERROR(INDEX(Drain_Register!$B$5:$B$304,MATCH($B43,Drain_Register!$A$5:$A$304,0)),IFERROR(INDEX(RW_Register!$B$5:$B$304,MATCH($B43,RW_Register!$A$5:$A$304,0)),IFERROR(INDEX(Embedded_Wall_Register!$B$5:$B$304,MATCH($B43,Embedded_Wall_Register!$A$5:$A$304,0)),IFERROR(INDEX(Manhole_Register!$B$5:$B$304,MATCH($B43,Manhole_Register!$A$5:$A$304,0)),IFERROR(INDEX(ERSS_Pit_Register!$B$5:$B$304,MATCH($B43,ERSS_Pit_Register!$A$5:$A$304,0)),IFERROR(INDEX(Linkway_Register!$B$5:$B$304,MATCH($B43,Linkway_Register!$A$5:$A$304,0)),IFERROR(INDEX(Other_Register!$B$5:$B$304,MATCH($B43,Other_Register!$A$5:$A$304,0)),"ID not found - check spelling"))))))))</f>
        <v/>
      </c>
      <c r="I43" s="10" t="str">
        <f aca="false">IF($B43="","",IFERROR(INDEX(Drain_Register!$U$5:$U$304,MATCH($B43,Drain_Register!$A$5:$A$304,0)),IFERROR(INDEX(RW_Register!$AA$5:$AA$304,MATCH($B43,RW_Register!$A$5:$A$304,0)),IFERROR(INDEX(Embedded_Wall_Register!$X$5:$X$304,MATCH($B43,Embedded_Wall_Register!$A$5:$A$304,0)),IFERROR(INDEX(Manhole_Register!$AA$5:$AA$304,MATCH($B43,Manhole_Register!$A$5:$A$304,0)),IFERROR(INDEX(ERSS_Pit_Register!$U$5:$U$304,MATCH($B43,ERSS_Pit_Register!$A$5:$A$304,0)),IFERROR(INDEX(Linkway_Register!$W$5:$W$304,MATCH($B43,Linkway_Register!$A$5:$A$304,0)),IFERROR(INDEX(Other_Register!$M$5:$M$304,MATCH($B43,Other_Register!$A$5:$A$304,0)),""))))))))</f>
        <v/>
      </c>
      <c r="J43" s="10" t="str">
        <f aca="false">IF($B43="","",IFERROR(INDEX(Drain_Register!$V$5:$V$304,MATCH($B43,Drain_Register!$A$5:$A$304,0)),IFERROR(INDEX(RW_Register!$AB$5:$AB$304,MATCH($B43,RW_Register!$A$5:$A$304,0)),IFERROR(INDEX(Embedded_Wall_Register!$Y$5:$Y$304,MATCH($B43,Embedded_Wall_Register!$A$5:$A$304,0)),IFERROR(INDEX(Manhole_Register!$AB$5:$AB$304,MATCH($B43,Manhole_Register!$A$5:$A$304,0)),IFERROR(INDEX(ERSS_Pit_Register!$V$5:$V$304,MATCH($B43,ERSS_Pit_Register!$A$5:$A$304,0)),IFERROR(INDEX(Linkway_Register!$X$5:$X$304,MATCH($B43,Linkway_Register!$A$5:$A$304,0)),IFERROR(INDEX(Other_Register!$N$5:$N$304,MATCH($B43,Other_Register!$A$5:$A$304,0)),""))))))))</f>
        <v/>
      </c>
      <c r="K43" s="10" t="str">
        <f aca="false">IF($B43="","",IFERROR(INDEX(Drain_Register!$W$5:$W$304,MATCH($B43,Drain_Register!$A$5:$A$304,0)),IFERROR(INDEX(RW_Register!$AC$5:$AC$304,MATCH($B43,RW_Register!$A$5:$A$304,0)),IFERROR(INDEX(Embedded_Wall_Register!$Z$5:$Z$304,MATCH($B43,Embedded_Wall_Register!$A$5:$A$304,0)),IFERROR(INDEX(Manhole_Register!$AC$5:$AC$304,MATCH($B43,Manhole_Register!$A$5:$A$304,0)),IFERROR(INDEX(ERSS_Pit_Register!$W$5:$W$304,MATCH($B43,ERSS_Pit_Register!$A$5:$A$304,0)),IFERROR(INDEX(Linkway_Register!$Y$5:$Y$304,MATCH($B43,Linkway_Register!$A$5:$A$304,0)),IFERROR(INDEX(Other_Register!$O$5:$O$304,MATCH($B43,Other_Register!$A$5:$A$304,0)),""))))))))</f>
        <v/>
      </c>
      <c r="L43" s="10" t="str">
        <f aca="false">IF($B43="","",IFERROR(INDEX(Drain_Register!$X$5:$X$304,MATCH($B43,Drain_Register!$A$5:$A$304,0)),IFERROR(INDEX(RW_Register!$AD$5:$AD$304,MATCH($B43,RW_Register!$A$5:$A$304,0)),IFERROR(INDEX(Embedded_Wall_Register!$AA$5:$AA$304,MATCH($B43,Embedded_Wall_Register!$A$5:$A$304,0)),IFERROR(INDEX(Manhole_Register!$AD$5:$AD$304,MATCH($B43,Manhole_Register!$A$5:$A$304,0)),IFERROR(INDEX(ERSS_Pit_Register!$X$5:$X$304,MATCH($B43,ERSS_Pit_Register!$A$5:$A$304,0)),IFERROR(INDEX(Linkway_Register!$Z$5:$Z$304,MATCH($B43,Linkway_Register!$A$5:$A$304,0)),IFERROR(INDEX(Other_Register!$P$5:$P$304,MATCH($B43,Other_Register!$A$5:$A$304,0)),""))))))))</f>
        <v/>
      </c>
      <c r="M43" s="10" t="str">
        <f aca="false">IF($B43="","",IFERROR(INDEX(Drain_Register!$Z$5:$Z$304,MATCH($B43,Drain_Register!$A$5:$A$304,0)),IFERROR(INDEX(RW_Register!$AF$5:$AF$304,MATCH($B43,RW_Register!$A$5:$A$304,0)),IFERROR(INDEX(Embedded_Wall_Register!$AC$5:$AC$304,MATCH($B43,Embedded_Wall_Register!$A$5:$A$304,0)),IFERROR(INDEX(Manhole_Register!$AF$5:$AF$304,MATCH($B43,Manhole_Register!$A$5:$A$304,0)),IFERROR(INDEX(ERSS_Pit_Register!$Z$5:$Z$304,MATCH($B43,ERSS_Pit_Register!$A$5:$A$304,0)),IFERROR(INDEX(Linkway_Register!$AB$5:$AB$304,MATCH($B43,Linkway_Register!$A$5:$A$304,0)),IFERROR(INDEX(Other_Register!$R$5:$R$304,MATCH($B43,Other_Register!$A$5:$A$304,0)),"")))))))&amp;IFERROR(INDEX(Drain_Register!$AA$5:$AA$304,MATCH($B43,Drain_Register!$A$5:$A$304,0)),IFERROR(INDEX(RW_Register!$AG$5:$AG$304,MATCH($B43,RW_Register!$A$5:$A$304,0)),IFERROR(INDEX(Embedded_Wall_Register!$AD$5:$AD$304,MATCH($B43,Embedded_Wall_Register!$A$5:$A$304,0)),IFERROR(INDEX(Manhole_Register!$AG$5:$AG$304,MATCH($B43,Manhole_Register!$A$5:$A$304,0)),IFERROR(INDEX(ERSS_Pit_Register!$AA$5:$AA$304,MATCH($B43,ERSS_Pit_Register!$A$5:$A$304,0)),IFERROR(INDEX(Linkway_Register!$AC$5:$AC$304,MATCH($B43,Linkway_Register!$A$5:$A$304,0)),IFERROR(INDEX(Other_Register!$S$5:$S$304,MATCH($B43,Other_Register!$A$5:$A$304,0)),""))))))))</f>
        <v/>
      </c>
      <c r="N43" s="19" t="str">
        <f aca="false">IF(OR($B43="",$D43=""),"",$D43*N(IFERROR(INDEX(Drain_Register!$AH$5:$AH$304,MATCH($B43,Drain_Register!$A$5:$A$304,0)),IFERROR(INDEX(RW_Register!$AN$5:$AN$304,MATCH($B43,RW_Register!$A$5:$A$304,0)),IFERROR(INDEX(Embedded_Wall_Register!$AK$5:$AK$304,MATCH($B43,Embedded_Wall_Register!$A$5:$A$304,0)),IFERROR(INDEX(Manhole_Register!$AN$5:$AN$304,MATCH($B43,Manhole_Register!$A$5:$A$304,0)),IFERROR(INDEX(ERSS_Pit_Register!$AH$5:$AH$304,MATCH($B43,ERSS_Pit_Register!$A$5:$A$304,0)),IFERROR(INDEX(Linkway_Register!$AJ$5:$AJ$304,MATCH($B43,Linkway_Register!$A$5:$A$304,0)),IFERROR(INDEX(Other_Register!$Z$5:$Z$304,MATCH($B43,Other_Register!$A$5:$A$304,0)),0)))))))))</f>
        <v/>
      </c>
      <c r="O43" s="20" t="str">
        <f aca="false">IF(OR($B43="",$D43=""),"",$D43*N(IFERROR(INDEX(Drain_Register!$AI$5:$AI$304,MATCH($B43,Drain_Register!$A$5:$A$304,0)),IFERROR(INDEX(RW_Register!$AO$5:$AO$304,MATCH($B43,RW_Register!$A$5:$A$304,0)),IFERROR(INDEX(Embedded_Wall_Register!$AL$5:$AL$304,MATCH($B43,Embedded_Wall_Register!$A$5:$A$304,0)),IFERROR(INDEX(Manhole_Register!$AO$5:$AO$304,MATCH($B43,Manhole_Register!$A$5:$A$304,0)),IFERROR(INDEX(ERSS_Pit_Register!$AI$5:$AI$304,MATCH($B43,ERSS_Pit_Register!$A$5:$A$304,0)),IFERROR(INDEX(Linkway_Register!$AK$5:$AK$304,MATCH($B43,Linkway_Register!$A$5:$A$304,0)),IFERROR(INDEX(Other_Register!$AA$5:$AA$304,MATCH($B43,Other_Register!$A$5:$A$304,0)),0))))))))/1000)</f>
        <v/>
      </c>
      <c r="P43" s="20" t="str">
        <f aca="false">IF(OR($B43="",$D43=""),"",$D43*N(IFERROR(INDEX(Drain_Register!$AJ$5:$AJ$304,MATCH($B43,Drain_Register!$A$5:$A$304,0)),IFERROR(INDEX(RW_Register!$AP$5:$AP$304,MATCH($B43,RW_Register!$A$5:$A$304,0)),IFERROR(INDEX(Embedded_Wall_Register!$AM$5:$AM$304,MATCH($B43,Embedded_Wall_Register!$A$5:$A$304,0)),IFERROR(INDEX(Manhole_Register!$AP$5:$AP$304,MATCH($B43,Manhole_Register!$A$5:$A$304,0)),IFERROR(INDEX(ERSS_Pit_Register!$AJ$5:$AJ$304,MATCH($B43,ERSS_Pit_Register!$A$5:$A$304,0)),IFERROR(INDEX(Linkway_Register!$AL$5:$AL$304,MATCH($B43,Linkway_Register!$A$5:$A$304,0)),IFERROR(INDEX(Other_Register!$AB$5:$AB$304,MATCH($B43,Other_Register!$A$5:$A$304,0)),0))))))))/1000)</f>
        <v/>
      </c>
      <c r="Q43" s="19" t="str">
        <f aca="false">IF(OR($B43="",$D43=""),"",$D43*N(IFERROR(INDEX(Drain_Register!$AK$5:$AK$304,MATCH($B43,Drain_Register!$A$5:$A$304,0)),IFERROR(INDEX(RW_Register!$AQ$5:$AQ$304,MATCH($B43,RW_Register!$A$5:$A$304,0)),IFERROR(INDEX(Embedded_Wall_Register!$AN$5:$AN$304,MATCH($B43,Embedded_Wall_Register!$A$5:$A$304,0)),IFERROR(INDEX(Manhole_Register!$AQ$5:$AQ$304,MATCH($B43,Manhole_Register!$A$5:$A$304,0)),IFERROR(INDEX(ERSS_Pit_Register!$AK$5:$AK$304,MATCH($B43,ERSS_Pit_Register!$A$5:$A$304,0)),IFERROR(INDEX(Linkway_Register!$AM$5:$AM$304,MATCH($B43,Linkway_Register!$A$5:$A$304,0)),IFERROR(INDEX(Other_Register!$AC$5:$AC$304,MATCH($B43,Other_Register!$A$5:$A$304,0)),0)))))))))</f>
        <v/>
      </c>
      <c r="R43" s="19" t="str">
        <f aca="false">IF(OR($B43="",$D43=""),"",$D43*N(IFERROR(INDEX(Drain_Register!$AL$5:$AL$304,MATCH($B43,Drain_Register!$A$5:$A$304,0)),IFERROR(INDEX(RW_Register!$AR$5:$AR$304,MATCH($B43,RW_Register!$A$5:$A$304,0)),IFERROR(INDEX(Embedded_Wall_Register!$AO$5:$AO$304,MATCH($B43,Embedded_Wall_Register!$A$5:$A$304,0)),IFERROR(INDEX(Manhole_Register!$AR$5:$AR$304,MATCH($B43,Manhole_Register!$A$5:$A$304,0)),IFERROR(INDEX(ERSS_Pit_Register!$AL$5:$AL$304,MATCH($B43,ERSS_Pit_Register!$A$5:$A$304,0)),IFERROR(INDEX(Linkway_Register!$AN$5:$AN$304,MATCH($B43,Linkway_Register!$A$5:$A$304,0)),IFERROR(INDEX(Other_Register!$AD$5:$AD$304,MATCH($B43,Other_Register!$A$5:$A$304,0)),0)))))))))</f>
        <v/>
      </c>
      <c r="S43" s="10" t="str">
        <f aca="false">IF($B43="","",IF(G43="","ID not found",IF(J43&lt;&gt;"Approved","WARNING: status is "&amp;J43,IF(IFERROR(INDEX(Drain_Register!$AV$5:$AV$304,MATCH($B43,Drain_Register!$A$5:$A$304,0)),IFERROR(INDEX(RW_Register!$BA$5:$BA$304,MATCH($B43,RW_Register!$A$5:$A$304,0)),IFERROR(INDEX(Embedded_Wall_Register!$AX$5:$AX$304,MATCH($B43,Embedded_Wall_Register!$A$5:$A$304,0)),IFERROR(INDEX(Manhole_Register!$AZ$5:$AZ$304,MATCH($B43,Manhole_Register!$A$5:$A$304,0)),IFERROR(INDEX(ERSS_Pit_Register!$AU$5:$AU$304,MATCH($B43,ERSS_Pit_Register!$A$5:$A$304,0)),IFERROR(INDEX(Linkway_Register!$AV$5:$AV$304,MATCH($B43,Linkway_Register!$A$5:$A$304,0)),IFERROR(INDEX(Other_Register!$AL$5:$AL$304,MATCH($B43,Other_Register!$A$5:$A$304,0)),"")))))))="N","WARNING: fails SG compliance check",IF(D43="","Enter length / qty",IF(E43="","Enter CAD sheet no.","OK"))))))</f>
        <v/>
      </c>
    </row>
    <row r="44" customFormat="false" ht="15" hidden="false" customHeight="false" outlineLevel="0" collapsed="false">
      <c r="A44" s="9"/>
      <c r="B44" s="9"/>
      <c r="C44" s="9"/>
      <c r="D44" s="9"/>
      <c r="E44" s="9"/>
      <c r="F44" s="10" t="str">
        <f aca="false">IF($B44="","",IFERROR(INDEX(Drain_Register!$AG$5:$AG$304,MATCH($B44,Drain_Register!$A$5:$A$304,0)),IFERROR(INDEX(RW_Register!$AM$5:$AM$304,MATCH($B44,RW_Register!$A$5:$A$304,0)),IFERROR(INDEX(Embedded_Wall_Register!$AJ$5:$AJ$304,MATCH($B44,Embedded_Wall_Register!$A$5:$A$304,0)),IFERROR(INDEX(Manhole_Register!$AM$5:$AM$304,MATCH($B44,Manhole_Register!$A$5:$A$304,0)),IFERROR(INDEX(ERSS_Pit_Register!$AG$5:$AG$304,MATCH($B44,ERSS_Pit_Register!$A$5:$A$304,0)),IFERROR(INDEX(Linkway_Register!$AI$5:$AI$304,MATCH($B44,Linkway_Register!$A$5:$A$304,0)),IFERROR(INDEX(Other_Register!$Y$5:$Y$304,MATCH($B44,Other_Register!$A$5:$A$304,0)),""))))))))</f>
        <v/>
      </c>
      <c r="G44" s="10" t="str">
        <f aca="false">IF($B44="","",IF(ISNUMBER(MATCH($B44,Drain_Register!$A$5:$A$304,0)),"Drain",IF(ISNUMBER(MATCH($B44,RW_Register!$A$5:$A$304,0)),"Ret. Wall",IF(ISNUMBER(MATCH($B44,Embedded_Wall_Register!$A$5:$A$304,0)),"Embedded Wall",IF(ISNUMBER(MATCH($B44,Manhole_Register!$A$5:$A$304,0)),"Manhole",IF(ISNUMBER(MATCH($B44,ERSS_Pit_Register!$A$5:$A$304,0)),"ERSS Pit",IF(ISNUMBER(MATCH($B44,Linkway_Register!$A$5:$A$304,0)),"Linkway",IF(ISNUMBER(MATCH($B44,Other_Register!$A$5:$A$304,0)),"Others",""))))))))</f>
        <v/>
      </c>
      <c r="H44" s="10" t="str">
        <f aca="false">IF($B44="","",IFERROR(INDEX(Drain_Register!$B$5:$B$304,MATCH($B44,Drain_Register!$A$5:$A$304,0)),IFERROR(INDEX(RW_Register!$B$5:$B$304,MATCH($B44,RW_Register!$A$5:$A$304,0)),IFERROR(INDEX(Embedded_Wall_Register!$B$5:$B$304,MATCH($B44,Embedded_Wall_Register!$A$5:$A$304,0)),IFERROR(INDEX(Manhole_Register!$B$5:$B$304,MATCH($B44,Manhole_Register!$A$5:$A$304,0)),IFERROR(INDEX(ERSS_Pit_Register!$B$5:$B$304,MATCH($B44,ERSS_Pit_Register!$A$5:$A$304,0)),IFERROR(INDEX(Linkway_Register!$B$5:$B$304,MATCH($B44,Linkway_Register!$A$5:$A$304,0)),IFERROR(INDEX(Other_Register!$B$5:$B$304,MATCH($B44,Other_Register!$A$5:$A$304,0)),"ID not found - check spelling"))))))))</f>
        <v/>
      </c>
      <c r="I44" s="10" t="str">
        <f aca="false">IF($B44="","",IFERROR(INDEX(Drain_Register!$U$5:$U$304,MATCH($B44,Drain_Register!$A$5:$A$304,0)),IFERROR(INDEX(RW_Register!$AA$5:$AA$304,MATCH($B44,RW_Register!$A$5:$A$304,0)),IFERROR(INDEX(Embedded_Wall_Register!$X$5:$X$304,MATCH($B44,Embedded_Wall_Register!$A$5:$A$304,0)),IFERROR(INDEX(Manhole_Register!$AA$5:$AA$304,MATCH($B44,Manhole_Register!$A$5:$A$304,0)),IFERROR(INDEX(ERSS_Pit_Register!$U$5:$U$304,MATCH($B44,ERSS_Pit_Register!$A$5:$A$304,0)),IFERROR(INDEX(Linkway_Register!$W$5:$W$304,MATCH($B44,Linkway_Register!$A$5:$A$304,0)),IFERROR(INDEX(Other_Register!$M$5:$M$304,MATCH($B44,Other_Register!$A$5:$A$304,0)),""))))))))</f>
        <v/>
      </c>
      <c r="J44" s="10" t="str">
        <f aca="false">IF($B44="","",IFERROR(INDEX(Drain_Register!$V$5:$V$304,MATCH($B44,Drain_Register!$A$5:$A$304,0)),IFERROR(INDEX(RW_Register!$AB$5:$AB$304,MATCH($B44,RW_Register!$A$5:$A$304,0)),IFERROR(INDEX(Embedded_Wall_Register!$Y$5:$Y$304,MATCH($B44,Embedded_Wall_Register!$A$5:$A$304,0)),IFERROR(INDEX(Manhole_Register!$AB$5:$AB$304,MATCH($B44,Manhole_Register!$A$5:$A$304,0)),IFERROR(INDEX(ERSS_Pit_Register!$V$5:$V$304,MATCH($B44,ERSS_Pit_Register!$A$5:$A$304,0)),IFERROR(INDEX(Linkway_Register!$X$5:$X$304,MATCH($B44,Linkway_Register!$A$5:$A$304,0)),IFERROR(INDEX(Other_Register!$N$5:$N$304,MATCH($B44,Other_Register!$A$5:$A$304,0)),""))))))))</f>
        <v/>
      </c>
      <c r="K44" s="10" t="str">
        <f aca="false">IF($B44="","",IFERROR(INDEX(Drain_Register!$W$5:$W$304,MATCH($B44,Drain_Register!$A$5:$A$304,0)),IFERROR(INDEX(RW_Register!$AC$5:$AC$304,MATCH($B44,RW_Register!$A$5:$A$304,0)),IFERROR(INDEX(Embedded_Wall_Register!$Z$5:$Z$304,MATCH($B44,Embedded_Wall_Register!$A$5:$A$304,0)),IFERROR(INDEX(Manhole_Register!$AC$5:$AC$304,MATCH($B44,Manhole_Register!$A$5:$A$304,0)),IFERROR(INDEX(ERSS_Pit_Register!$W$5:$W$304,MATCH($B44,ERSS_Pit_Register!$A$5:$A$304,0)),IFERROR(INDEX(Linkway_Register!$Y$5:$Y$304,MATCH($B44,Linkway_Register!$A$5:$A$304,0)),IFERROR(INDEX(Other_Register!$O$5:$O$304,MATCH($B44,Other_Register!$A$5:$A$304,0)),""))))))))</f>
        <v/>
      </c>
      <c r="L44" s="10" t="str">
        <f aca="false">IF($B44="","",IFERROR(INDEX(Drain_Register!$X$5:$X$304,MATCH($B44,Drain_Register!$A$5:$A$304,0)),IFERROR(INDEX(RW_Register!$AD$5:$AD$304,MATCH($B44,RW_Register!$A$5:$A$304,0)),IFERROR(INDEX(Embedded_Wall_Register!$AA$5:$AA$304,MATCH($B44,Embedded_Wall_Register!$A$5:$A$304,0)),IFERROR(INDEX(Manhole_Register!$AD$5:$AD$304,MATCH($B44,Manhole_Register!$A$5:$A$304,0)),IFERROR(INDEX(ERSS_Pit_Register!$X$5:$X$304,MATCH($B44,ERSS_Pit_Register!$A$5:$A$304,0)),IFERROR(INDEX(Linkway_Register!$Z$5:$Z$304,MATCH($B44,Linkway_Register!$A$5:$A$304,0)),IFERROR(INDEX(Other_Register!$P$5:$P$304,MATCH($B44,Other_Register!$A$5:$A$304,0)),""))))))))</f>
        <v/>
      </c>
      <c r="M44" s="10" t="str">
        <f aca="false">IF($B44="","",IFERROR(INDEX(Drain_Register!$Z$5:$Z$304,MATCH($B44,Drain_Register!$A$5:$A$304,0)),IFERROR(INDEX(RW_Register!$AF$5:$AF$304,MATCH($B44,RW_Register!$A$5:$A$304,0)),IFERROR(INDEX(Embedded_Wall_Register!$AC$5:$AC$304,MATCH($B44,Embedded_Wall_Register!$A$5:$A$304,0)),IFERROR(INDEX(Manhole_Register!$AF$5:$AF$304,MATCH($B44,Manhole_Register!$A$5:$A$304,0)),IFERROR(INDEX(ERSS_Pit_Register!$Z$5:$Z$304,MATCH($B44,ERSS_Pit_Register!$A$5:$A$304,0)),IFERROR(INDEX(Linkway_Register!$AB$5:$AB$304,MATCH($B44,Linkway_Register!$A$5:$A$304,0)),IFERROR(INDEX(Other_Register!$R$5:$R$304,MATCH($B44,Other_Register!$A$5:$A$304,0)),"")))))))&amp;IFERROR(INDEX(Drain_Register!$AA$5:$AA$304,MATCH($B44,Drain_Register!$A$5:$A$304,0)),IFERROR(INDEX(RW_Register!$AG$5:$AG$304,MATCH($B44,RW_Register!$A$5:$A$304,0)),IFERROR(INDEX(Embedded_Wall_Register!$AD$5:$AD$304,MATCH($B44,Embedded_Wall_Register!$A$5:$A$304,0)),IFERROR(INDEX(Manhole_Register!$AG$5:$AG$304,MATCH($B44,Manhole_Register!$A$5:$A$304,0)),IFERROR(INDEX(ERSS_Pit_Register!$AA$5:$AA$304,MATCH($B44,ERSS_Pit_Register!$A$5:$A$304,0)),IFERROR(INDEX(Linkway_Register!$AC$5:$AC$304,MATCH($B44,Linkway_Register!$A$5:$A$304,0)),IFERROR(INDEX(Other_Register!$S$5:$S$304,MATCH($B44,Other_Register!$A$5:$A$304,0)),""))))))))</f>
        <v/>
      </c>
      <c r="N44" s="19" t="str">
        <f aca="false">IF(OR($B44="",$D44=""),"",$D44*N(IFERROR(INDEX(Drain_Register!$AH$5:$AH$304,MATCH($B44,Drain_Register!$A$5:$A$304,0)),IFERROR(INDEX(RW_Register!$AN$5:$AN$304,MATCH($B44,RW_Register!$A$5:$A$304,0)),IFERROR(INDEX(Embedded_Wall_Register!$AK$5:$AK$304,MATCH($B44,Embedded_Wall_Register!$A$5:$A$304,0)),IFERROR(INDEX(Manhole_Register!$AN$5:$AN$304,MATCH($B44,Manhole_Register!$A$5:$A$304,0)),IFERROR(INDEX(ERSS_Pit_Register!$AH$5:$AH$304,MATCH($B44,ERSS_Pit_Register!$A$5:$A$304,0)),IFERROR(INDEX(Linkway_Register!$AJ$5:$AJ$304,MATCH($B44,Linkway_Register!$A$5:$A$304,0)),IFERROR(INDEX(Other_Register!$Z$5:$Z$304,MATCH($B44,Other_Register!$A$5:$A$304,0)),0)))))))))</f>
        <v/>
      </c>
      <c r="O44" s="20" t="str">
        <f aca="false">IF(OR($B44="",$D44=""),"",$D44*N(IFERROR(INDEX(Drain_Register!$AI$5:$AI$304,MATCH($B44,Drain_Register!$A$5:$A$304,0)),IFERROR(INDEX(RW_Register!$AO$5:$AO$304,MATCH($B44,RW_Register!$A$5:$A$304,0)),IFERROR(INDEX(Embedded_Wall_Register!$AL$5:$AL$304,MATCH($B44,Embedded_Wall_Register!$A$5:$A$304,0)),IFERROR(INDEX(Manhole_Register!$AO$5:$AO$304,MATCH($B44,Manhole_Register!$A$5:$A$304,0)),IFERROR(INDEX(ERSS_Pit_Register!$AI$5:$AI$304,MATCH($B44,ERSS_Pit_Register!$A$5:$A$304,0)),IFERROR(INDEX(Linkway_Register!$AK$5:$AK$304,MATCH($B44,Linkway_Register!$A$5:$A$304,0)),IFERROR(INDEX(Other_Register!$AA$5:$AA$304,MATCH($B44,Other_Register!$A$5:$A$304,0)),0))))))))/1000)</f>
        <v/>
      </c>
      <c r="P44" s="20" t="str">
        <f aca="false">IF(OR($B44="",$D44=""),"",$D44*N(IFERROR(INDEX(Drain_Register!$AJ$5:$AJ$304,MATCH($B44,Drain_Register!$A$5:$A$304,0)),IFERROR(INDEX(RW_Register!$AP$5:$AP$304,MATCH($B44,RW_Register!$A$5:$A$304,0)),IFERROR(INDEX(Embedded_Wall_Register!$AM$5:$AM$304,MATCH($B44,Embedded_Wall_Register!$A$5:$A$304,0)),IFERROR(INDEX(Manhole_Register!$AP$5:$AP$304,MATCH($B44,Manhole_Register!$A$5:$A$304,0)),IFERROR(INDEX(ERSS_Pit_Register!$AJ$5:$AJ$304,MATCH($B44,ERSS_Pit_Register!$A$5:$A$304,0)),IFERROR(INDEX(Linkway_Register!$AL$5:$AL$304,MATCH($B44,Linkway_Register!$A$5:$A$304,0)),IFERROR(INDEX(Other_Register!$AB$5:$AB$304,MATCH($B44,Other_Register!$A$5:$A$304,0)),0))))))))/1000)</f>
        <v/>
      </c>
      <c r="Q44" s="19" t="str">
        <f aca="false">IF(OR($B44="",$D44=""),"",$D44*N(IFERROR(INDEX(Drain_Register!$AK$5:$AK$304,MATCH($B44,Drain_Register!$A$5:$A$304,0)),IFERROR(INDEX(RW_Register!$AQ$5:$AQ$304,MATCH($B44,RW_Register!$A$5:$A$304,0)),IFERROR(INDEX(Embedded_Wall_Register!$AN$5:$AN$304,MATCH($B44,Embedded_Wall_Register!$A$5:$A$304,0)),IFERROR(INDEX(Manhole_Register!$AQ$5:$AQ$304,MATCH($B44,Manhole_Register!$A$5:$A$304,0)),IFERROR(INDEX(ERSS_Pit_Register!$AK$5:$AK$304,MATCH($B44,ERSS_Pit_Register!$A$5:$A$304,0)),IFERROR(INDEX(Linkway_Register!$AM$5:$AM$304,MATCH($B44,Linkway_Register!$A$5:$A$304,0)),IFERROR(INDEX(Other_Register!$AC$5:$AC$304,MATCH($B44,Other_Register!$A$5:$A$304,0)),0)))))))))</f>
        <v/>
      </c>
      <c r="R44" s="19" t="str">
        <f aca="false">IF(OR($B44="",$D44=""),"",$D44*N(IFERROR(INDEX(Drain_Register!$AL$5:$AL$304,MATCH($B44,Drain_Register!$A$5:$A$304,0)),IFERROR(INDEX(RW_Register!$AR$5:$AR$304,MATCH($B44,RW_Register!$A$5:$A$304,0)),IFERROR(INDEX(Embedded_Wall_Register!$AO$5:$AO$304,MATCH($B44,Embedded_Wall_Register!$A$5:$A$304,0)),IFERROR(INDEX(Manhole_Register!$AR$5:$AR$304,MATCH($B44,Manhole_Register!$A$5:$A$304,0)),IFERROR(INDEX(ERSS_Pit_Register!$AL$5:$AL$304,MATCH($B44,ERSS_Pit_Register!$A$5:$A$304,0)),IFERROR(INDEX(Linkway_Register!$AN$5:$AN$304,MATCH($B44,Linkway_Register!$A$5:$A$304,0)),IFERROR(INDEX(Other_Register!$AD$5:$AD$304,MATCH($B44,Other_Register!$A$5:$A$304,0)),0)))))))))</f>
        <v/>
      </c>
      <c r="S44" s="10" t="str">
        <f aca="false">IF($B44="","",IF(G44="","ID not found",IF(J44&lt;&gt;"Approved","WARNING: status is "&amp;J44,IF(IFERROR(INDEX(Drain_Register!$AV$5:$AV$304,MATCH($B44,Drain_Register!$A$5:$A$304,0)),IFERROR(INDEX(RW_Register!$BA$5:$BA$304,MATCH($B44,RW_Register!$A$5:$A$304,0)),IFERROR(INDEX(Embedded_Wall_Register!$AX$5:$AX$304,MATCH($B44,Embedded_Wall_Register!$A$5:$A$304,0)),IFERROR(INDEX(Manhole_Register!$AZ$5:$AZ$304,MATCH($B44,Manhole_Register!$A$5:$A$304,0)),IFERROR(INDEX(ERSS_Pit_Register!$AU$5:$AU$304,MATCH($B44,ERSS_Pit_Register!$A$5:$A$304,0)),IFERROR(INDEX(Linkway_Register!$AV$5:$AV$304,MATCH($B44,Linkway_Register!$A$5:$A$304,0)),IFERROR(INDEX(Other_Register!$AL$5:$AL$304,MATCH($B44,Other_Register!$A$5:$A$304,0)),"")))))))="N","WARNING: fails SG compliance check",IF(D44="","Enter length / qty",IF(E44="","Enter CAD sheet no.","OK"))))))</f>
        <v/>
      </c>
    </row>
    <row r="45" customFormat="false" ht="15" hidden="false" customHeight="false" outlineLevel="0" collapsed="false">
      <c r="A45" s="9"/>
      <c r="B45" s="9"/>
      <c r="C45" s="9"/>
      <c r="D45" s="9"/>
      <c r="E45" s="9"/>
      <c r="F45" s="10" t="str">
        <f aca="false">IF($B45="","",IFERROR(INDEX(Drain_Register!$AG$5:$AG$304,MATCH($B45,Drain_Register!$A$5:$A$304,0)),IFERROR(INDEX(RW_Register!$AM$5:$AM$304,MATCH($B45,RW_Register!$A$5:$A$304,0)),IFERROR(INDEX(Embedded_Wall_Register!$AJ$5:$AJ$304,MATCH($B45,Embedded_Wall_Register!$A$5:$A$304,0)),IFERROR(INDEX(Manhole_Register!$AM$5:$AM$304,MATCH($B45,Manhole_Register!$A$5:$A$304,0)),IFERROR(INDEX(ERSS_Pit_Register!$AG$5:$AG$304,MATCH($B45,ERSS_Pit_Register!$A$5:$A$304,0)),IFERROR(INDEX(Linkway_Register!$AI$5:$AI$304,MATCH($B45,Linkway_Register!$A$5:$A$304,0)),IFERROR(INDEX(Other_Register!$Y$5:$Y$304,MATCH($B45,Other_Register!$A$5:$A$304,0)),""))))))))</f>
        <v/>
      </c>
      <c r="G45" s="10" t="str">
        <f aca="false">IF($B45="","",IF(ISNUMBER(MATCH($B45,Drain_Register!$A$5:$A$304,0)),"Drain",IF(ISNUMBER(MATCH($B45,RW_Register!$A$5:$A$304,0)),"Ret. Wall",IF(ISNUMBER(MATCH($B45,Embedded_Wall_Register!$A$5:$A$304,0)),"Embedded Wall",IF(ISNUMBER(MATCH($B45,Manhole_Register!$A$5:$A$304,0)),"Manhole",IF(ISNUMBER(MATCH($B45,ERSS_Pit_Register!$A$5:$A$304,0)),"ERSS Pit",IF(ISNUMBER(MATCH($B45,Linkway_Register!$A$5:$A$304,0)),"Linkway",IF(ISNUMBER(MATCH($B45,Other_Register!$A$5:$A$304,0)),"Others",""))))))))</f>
        <v/>
      </c>
      <c r="H45" s="10" t="str">
        <f aca="false">IF($B45="","",IFERROR(INDEX(Drain_Register!$B$5:$B$304,MATCH($B45,Drain_Register!$A$5:$A$304,0)),IFERROR(INDEX(RW_Register!$B$5:$B$304,MATCH($B45,RW_Register!$A$5:$A$304,0)),IFERROR(INDEX(Embedded_Wall_Register!$B$5:$B$304,MATCH($B45,Embedded_Wall_Register!$A$5:$A$304,0)),IFERROR(INDEX(Manhole_Register!$B$5:$B$304,MATCH($B45,Manhole_Register!$A$5:$A$304,0)),IFERROR(INDEX(ERSS_Pit_Register!$B$5:$B$304,MATCH($B45,ERSS_Pit_Register!$A$5:$A$304,0)),IFERROR(INDEX(Linkway_Register!$B$5:$B$304,MATCH($B45,Linkway_Register!$A$5:$A$304,0)),IFERROR(INDEX(Other_Register!$B$5:$B$304,MATCH($B45,Other_Register!$A$5:$A$304,0)),"ID not found - check spelling"))))))))</f>
        <v/>
      </c>
      <c r="I45" s="10" t="str">
        <f aca="false">IF($B45="","",IFERROR(INDEX(Drain_Register!$U$5:$U$304,MATCH($B45,Drain_Register!$A$5:$A$304,0)),IFERROR(INDEX(RW_Register!$AA$5:$AA$304,MATCH($B45,RW_Register!$A$5:$A$304,0)),IFERROR(INDEX(Embedded_Wall_Register!$X$5:$X$304,MATCH($B45,Embedded_Wall_Register!$A$5:$A$304,0)),IFERROR(INDEX(Manhole_Register!$AA$5:$AA$304,MATCH($B45,Manhole_Register!$A$5:$A$304,0)),IFERROR(INDEX(ERSS_Pit_Register!$U$5:$U$304,MATCH($B45,ERSS_Pit_Register!$A$5:$A$304,0)),IFERROR(INDEX(Linkway_Register!$W$5:$W$304,MATCH($B45,Linkway_Register!$A$5:$A$304,0)),IFERROR(INDEX(Other_Register!$M$5:$M$304,MATCH($B45,Other_Register!$A$5:$A$304,0)),""))))))))</f>
        <v/>
      </c>
      <c r="J45" s="10" t="str">
        <f aca="false">IF($B45="","",IFERROR(INDEX(Drain_Register!$V$5:$V$304,MATCH($B45,Drain_Register!$A$5:$A$304,0)),IFERROR(INDEX(RW_Register!$AB$5:$AB$304,MATCH($B45,RW_Register!$A$5:$A$304,0)),IFERROR(INDEX(Embedded_Wall_Register!$Y$5:$Y$304,MATCH($B45,Embedded_Wall_Register!$A$5:$A$304,0)),IFERROR(INDEX(Manhole_Register!$AB$5:$AB$304,MATCH($B45,Manhole_Register!$A$5:$A$304,0)),IFERROR(INDEX(ERSS_Pit_Register!$V$5:$V$304,MATCH($B45,ERSS_Pit_Register!$A$5:$A$304,0)),IFERROR(INDEX(Linkway_Register!$X$5:$X$304,MATCH($B45,Linkway_Register!$A$5:$A$304,0)),IFERROR(INDEX(Other_Register!$N$5:$N$304,MATCH($B45,Other_Register!$A$5:$A$304,0)),""))))))))</f>
        <v/>
      </c>
      <c r="K45" s="10" t="str">
        <f aca="false">IF($B45="","",IFERROR(INDEX(Drain_Register!$W$5:$W$304,MATCH($B45,Drain_Register!$A$5:$A$304,0)),IFERROR(INDEX(RW_Register!$AC$5:$AC$304,MATCH($B45,RW_Register!$A$5:$A$304,0)),IFERROR(INDEX(Embedded_Wall_Register!$Z$5:$Z$304,MATCH($B45,Embedded_Wall_Register!$A$5:$A$304,0)),IFERROR(INDEX(Manhole_Register!$AC$5:$AC$304,MATCH($B45,Manhole_Register!$A$5:$A$304,0)),IFERROR(INDEX(ERSS_Pit_Register!$W$5:$W$304,MATCH($B45,ERSS_Pit_Register!$A$5:$A$304,0)),IFERROR(INDEX(Linkway_Register!$Y$5:$Y$304,MATCH($B45,Linkway_Register!$A$5:$A$304,0)),IFERROR(INDEX(Other_Register!$O$5:$O$304,MATCH($B45,Other_Register!$A$5:$A$304,0)),""))))))))</f>
        <v/>
      </c>
      <c r="L45" s="10" t="str">
        <f aca="false">IF($B45="","",IFERROR(INDEX(Drain_Register!$X$5:$X$304,MATCH($B45,Drain_Register!$A$5:$A$304,0)),IFERROR(INDEX(RW_Register!$AD$5:$AD$304,MATCH($B45,RW_Register!$A$5:$A$304,0)),IFERROR(INDEX(Embedded_Wall_Register!$AA$5:$AA$304,MATCH($B45,Embedded_Wall_Register!$A$5:$A$304,0)),IFERROR(INDEX(Manhole_Register!$AD$5:$AD$304,MATCH($B45,Manhole_Register!$A$5:$A$304,0)),IFERROR(INDEX(ERSS_Pit_Register!$X$5:$X$304,MATCH($B45,ERSS_Pit_Register!$A$5:$A$304,0)),IFERROR(INDEX(Linkway_Register!$Z$5:$Z$304,MATCH($B45,Linkway_Register!$A$5:$A$304,0)),IFERROR(INDEX(Other_Register!$P$5:$P$304,MATCH($B45,Other_Register!$A$5:$A$304,0)),""))))))))</f>
        <v/>
      </c>
      <c r="M45" s="10" t="str">
        <f aca="false">IF($B45="","",IFERROR(INDEX(Drain_Register!$Z$5:$Z$304,MATCH($B45,Drain_Register!$A$5:$A$304,0)),IFERROR(INDEX(RW_Register!$AF$5:$AF$304,MATCH($B45,RW_Register!$A$5:$A$304,0)),IFERROR(INDEX(Embedded_Wall_Register!$AC$5:$AC$304,MATCH($B45,Embedded_Wall_Register!$A$5:$A$304,0)),IFERROR(INDEX(Manhole_Register!$AF$5:$AF$304,MATCH($B45,Manhole_Register!$A$5:$A$304,0)),IFERROR(INDEX(ERSS_Pit_Register!$Z$5:$Z$304,MATCH($B45,ERSS_Pit_Register!$A$5:$A$304,0)),IFERROR(INDEX(Linkway_Register!$AB$5:$AB$304,MATCH($B45,Linkway_Register!$A$5:$A$304,0)),IFERROR(INDEX(Other_Register!$R$5:$R$304,MATCH($B45,Other_Register!$A$5:$A$304,0)),"")))))))&amp;IFERROR(INDEX(Drain_Register!$AA$5:$AA$304,MATCH($B45,Drain_Register!$A$5:$A$304,0)),IFERROR(INDEX(RW_Register!$AG$5:$AG$304,MATCH($B45,RW_Register!$A$5:$A$304,0)),IFERROR(INDEX(Embedded_Wall_Register!$AD$5:$AD$304,MATCH($B45,Embedded_Wall_Register!$A$5:$A$304,0)),IFERROR(INDEX(Manhole_Register!$AG$5:$AG$304,MATCH($B45,Manhole_Register!$A$5:$A$304,0)),IFERROR(INDEX(ERSS_Pit_Register!$AA$5:$AA$304,MATCH($B45,ERSS_Pit_Register!$A$5:$A$304,0)),IFERROR(INDEX(Linkway_Register!$AC$5:$AC$304,MATCH($B45,Linkway_Register!$A$5:$A$304,0)),IFERROR(INDEX(Other_Register!$S$5:$S$304,MATCH($B45,Other_Register!$A$5:$A$304,0)),""))))))))</f>
        <v/>
      </c>
      <c r="N45" s="19" t="str">
        <f aca="false">IF(OR($B45="",$D45=""),"",$D45*N(IFERROR(INDEX(Drain_Register!$AH$5:$AH$304,MATCH($B45,Drain_Register!$A$5:$A$304,0)),IFERROR(INDEX(RW_Register!$AN$5:$AN$304,MATCH($B45,RW_Register!$A$5:$A$304,0)),IFERROR(INDEX(Embedded_Wall_Register!$AK$5:$AK$304,MATCH($B45,Embedded_Wall_Register!$A$5:$A$304,0)),IFERROR(INDEX(Manhole_Register!$AN$5:$AN$304,MATCH($B45,Manhole_Register!$A$5:$A$304,0)),IFERROR(INDEX(ERSS_Pit_Register!$AH$5:$AH$304,MATCH($B45,ERSS_Pit_Register!$A$5:$A$304,0)),IFERROR(INDEX(Linkway_Register!$AJ$5:$AJ$304,MATCH($B45,Linkway_Register!$A$5:$A$304,0)),IFERROR(INDEX(Other_Register!$Z$5:$Z$304,MATCH($B45,Other_Register!$A$5:$A$304,0)),0)))))))))</f>
        <v/>
      </c>
      <c r="O45" s="20" t="str">
        <f aca="false">IF(OR($B45="",$D45=""),"",$D45*N(IFERROR(INDEX(Drain_Register!$AI$5:$AI$304,MATCH($B45,Drain_Register!$A$5:$A$304,0)),IFERROR(INDEX(RW_Register!$AO$5:$AO$304,MATCH($B45,RW_Register!$A$5:$A$304,0)),IFERROR(INDEX(Embedded_Wall_Register!$AL$5:$AL$304,MATCH($B45,Embedded_Wall_Register!$A$5:$A$304,0)),IFERROR(INDEX(Manhole_Register!$AO$5:$AO$304,MATCH($B45,Manhole_Register!$A$5:$A$304,0)),IFERROR(INDEX(ERSS_Pit_Register!$AI$5:$AI$304,MATCH($B45,ERSS_Pit_Register!$A$5:$A$304,0)),IFERROR(INDEX(Linkway_Register!$AK$5:$AK$304,MATCH($B45,Linkway_Register!$A$5:$A$304,0)),IFERROR(INDEX(Other_Register!$AA$5:$AA$304,MATCH($B45,Other_Register!$A$5:$A$304,0)),0))))))))/1000)</f>
        <v/>
      </c>
      <c r="P45" s="20" t="str">
        <f aca="false">IF(OR($B45="",$D45=""),"",$D45*N(IFERROR(INDEX(Drain_Register!$AJ$5:$AJ$304,MATCH($B45,Drain_Register!$A$5:$A$304,0)),IFERROR(INDEX(RW_Register!$AP$5:$AP$304,MATCH($B45,RW_Register!$A$5:$A$304,0)),IFERROR(INDEX(Embedded_Wall_Register!$AM$5:$AM$304,MATCH($B45,Embedded_Wall_Register!$A$5:$A$304,0)),IFERROR(INDEX(Manhole_Register!$AP$5:$AP$304,MATCH($B45,Manhole_Register!$A$5:$A$304,0)),IFERROR(INDEX(ERSS_Pit_Register!$AJ$5:$AJ$304,MATCH($B45,ERSS_Pit_Register!$A$5:$A$304,0)),IFERROR(INDEX(Linkway_Register!$AL$5:$AL$304,MATCH($B45,Linkway_Register!$A$5:$A$304,0)),IFERROR(INDEX(Other_Register!$AB$5:$AB$304,MATCH($B45,Other_Register!$A$5:$A$304,0)),0))))))))/1000)</f>
        <v/>
      </c>
      <c r="Q45" s="19" t="str">
        <f aca="false">IF(OR($B45="",$D45=""),"",$D45*N(IFERROR(INDEX(Drain_Register!$AK$5:$AK$304,MATCH($B45,Drain_Register!$A$5:$A$304,0)),IFERROR(INDEX(RW_Register!$AQ$5:$AQ$304,MATCH($B45,RW_Register!$A$5:$A$304,0)),IFERROR(INDEX(Embedded_Wall_Register!$AN$5:$AN$304,MATCH($B45,Embedded_Wall_Register!$A$5:$A$304,0)),IFERROR(INDEX(Manhole_Register!$AQ$5:$AQ$304,MATCH($B45,Manhole_Register!$A$5:$A$304,0)),IFERROR(INDEX(ERSS_Pit_Register!$AK$5:$AK$304,MATCH($B45,ERSS_Pit_Register!$A$5:$A$304,0)),IFERROR(INDEX(Linkway_Register!$AM$5:$AM$304,MATCH($B45,Linkway_Register!$A$5:$A$304,0)),IFERROR(INDEX(Other_Register!$AC$5:$AC$304,MATCH($B45,Other_Register!$A$5:$A$304,0)),0)))))))))</f>
        <v/>
      </c>
      <c r="R45" s="19" t="str">
        <f aca="false">IF(OR($B45="",$D45=""),"",$D45*N(IFERROR(INDEX(Drain_Register!$AL$5:$AL$304,MATCH($B45,Drain_Register!$A$5:$A$304,0)),IFERROR(INDEX(RW_Register!$AR$5:$AR$304,MATCH($B45,RW_Register!$A$5:$A$304,0)),IFERROR(INDEX(Embedded_Wall_Register!$AO$5:$AO$304,MATCH($B45,Embedded_Wall_Register!$A$5:$A$304,0)),IFERROR(INDEX(Manhole_Register!$AR$5:$AR$304,MATCH($B45,Manhole_Register!$A$5:$A$304,0)),IFERROR(INDEX(ERSS_Pit_Register!$AL$5:$AL$304,MATCH($B45,ERSS_Pit_Register!$A$5:$A$304,0)),IFERROR(INDEX(Linkway_Register!$AN$5:$AN$304,MATCH($B45,Linkway_Register!$A$5:$A$304,0)),IFERROR(INDEX(Other_Register!$AD$5:$AD$304,MATCH($B45,Other_Register!$A$5:$A$304,0)),0)))))))))</f>
        <v/>
      </c>
      <c r="S45" s="10" t="str">
        <f aca="false">IF($B45="","",IF(G45="","ID not found",IF(J45&lt;&gt;"Approved","WARNING: status is "&amp;J45,IF(IFERROR(INDEX(Drain_Register!$AV$5:$AV$304,MATCH($B45,Drain_Register!$A$5:$A$304,0)),IFERROR(INDEX(RW_Register!$BA$5:$BA$304,MATCH($B45,RW_Register!$A$5:$A$304,0)),IFERROR(INDEX(Embedded_Wall_Register!$AX$5:$AX$304,MATCH($B45,Embedded_Wall_Register!$A$5:$A$304,0)),IFERROR(INDEX(Manhole_Register!$AZ$5:$AZ$304,MATCH($B45,Manhole_Register!$A$5:$A$304,0)),IFERROR(INDEX(ERSS_Pit_Register!$AU$5:$AU$304,MATCH($B45,ERSS_Pit_Register!$A$5:$A$304,0)),IFERROR(INDEX(Linkway_Register!$AV$5:$AV$304,MATCH($B45,Linkway_Register!$A$5:$A$304,0)),IFERROR(INDEX(Other_Register!$AL$5:$AL$304,MATCH($B45,Other_Register!$A$5:$A$304,0)),"")))))))="N","WARNING: fails SG compliance check",IF(D45="","Enter length / qty",IF(E45="","Enter CAD sheet no.","OK"))))))</f>
        <v/>
      </c>
    </row>
    <row r="46" customFormat="false" ht="15" hidden="false" customHeight="false" outlineLevel="0" collapsed="false">
      <c r="A46" s="9"/>
      <c r="B46" s="9"/>
      <c r="C46" s="9"/>
      <c r="D46" s="9"/>
      <c r="E46" s="9"/>
      <c r="F46" s="10" t="str">
        <f aca="false">IF($B46="","",IFERROR(INDEX(Drain_Register!$AG$5:$AG$304,MATCH($B46,Drain_Register!$A$5:$A$304,0)),IFERROR(INDEX(RW_Register!$AM$5:$AM$304,MATCH($B46,RW_Register!$A$5:$A$304,0)),IFERROR(INDEX(Embedded_Wall_Register!$AJ$5:$AJ$304,MATCH($B46,Embedded_Wall_Register!$A$5:$A$304,0)),IFERROR(INDEX(Manhole_Register!$AM$5:$AM$304,MATCH($B46,Manhole_Register!$A$5:$A$304,0)),IFERROR(INDEX(ERSS_Pit_Register!$AG$5:$AG$304,MATCH($B46,ERSS_Pit_Register!$A$5:$A$304,0)),IFERROR(INDEX(Linkway_Register!$AI$5:$AI$304,MATCH($B46,Linkway_Register!$A$5:$A$304,0)),IFERROR(INDEX(Other_Register!$Y$5:$Y$304,MATCH($B46,Other_Register!$A$5:$A$304,0)),""))))))))</f>
        <v/>
      </c>
      <c r="G46" s="10" t="str">
        <f aca="false">IF($B46="","",IF(ISNUMBER(MATCH($B46,Drain_Register!$A$5:$A$304,0)),"Drain",IF(ISNUMBER(MATCH($B46,RW_Register!$A$5:$A$304,0)),"Ret. Wall",IF(ISNUMBER(MATCH($B46,Embedded_Wall_Register!$A$5:$A$304,0)),"Embedded Wall",IF(ISNUMBER(MATCH($B46,Manhole_Register!$A$5:$A$304,0)),"Manhole",IF(ISNUMBER(MATCH($B46,ERSS_Pit_Register!$A$5:$A$304,0)),"ERSS Pit",IF(ISNUMBER(MATCH($B46,Linkway_Register!$A$5:$A$304,0)),"Linkway",IF(ISNUMBER(MATCH($B46,Other_Register!$A$5:$A$304,0)),"Others",""))))))))</f>
        <v/>
      </c>
      <c r="H46" s="10" t="str">
        <f aca="false">IF($B46="","",IFERROR(INDEX(Drain_Register!$B$5:$B$304,MATCH($B46,Drain_Register!$A$5:$A$304,0)),IFERROR(INDEX(RW_Register!$B$5:$B$304,MATCH($B46,RW_Register!$A$5:$A$304,0)),IFERROR(INDEX(Embedded_Wall_Register!$B$5:$B$304,MATCH($B46,Embedded_Wall_Register!$A$5:$A$304,0)),IFERROR(INDEX(Manhole_Register!$B$5:$B$304,MATCH($B46,Manhole_Register!$A$5:$A$304,0)),IFERROR(INDEX(ERSS_Pit_Register!$B$5:$B$304,MATCH($B46,ERSS_Pit_Register!$A$5:$A$304,0)),IFERROR(INDEX(Linkway_Register!$B$5:$B$304,MATCH($B46,Linkway_Register!$A$5:$A$304,0)),IFERROR(INDEX(Other_Register!$B$5:$B$304,MATCH($B46,Other_Register!$A$5:$A$304,0)),"ID not found - check spelling"))))))))</f>
        <v/>
      </c>
      <c r="I46" s="10" t="str">
        <f aca="false">IF($B46="","",IFERROR(INDEX(Drain_Register!$U$5:$U$304,MATCH($B46,Drain_Register!$A$5:$A$304,0)),IFERROR(INDEX(RW_Register!$AA$5:$AA$304,MATCH($B46,RW_Register!$A$5:$A$304,0)),IFERROR(INDEX(Embedded_Wall_Register!$X$5:$X$304,MATCH($B46,Embedded_Wall_Register!$A$5:$A$304,0)),IFERROR(INDEX(Manhole_Register!$AA$5:$AA$304,MATCH($B46,Manhole_Register!$A$5:$A$304,0)),IFERROR(INDEX(ERSS_Pit_Register!$U$5:$U$304,MATCH($B46,ERSS_Pit_Register!$A$5:$A$304,0)),IFERROR(INDEX(Linkway_Register!$W$5:$W$304,MATCH($B46,Linkway_Register!$A$5:$A$304,0)),IFERROR(INDEX(Other_Register!$M$5:$M$304,MATCH($B46,Other_Register!$A$5:$A$304,0)),""))))))))</f>
        <v/>
      </c>
      <c r="J46" s="10" t="str">
        <f aca="false">IF($B46="","",IFERROR(INDEX(Drain_Register!$V$5:$V$304,MATCH($B46,Drain_Register!$A$5:$A$304,0)),IFERROR(INDEX(RW_Register!$AB$5:$AB$304,MATCH($B46,RW_Register!$A$5:$A$304,0)),IFERROR(INDEX(Embedded_Wall_Register!$Y$5:$Y$304,MATCH($B46,Embedded_Wall_Register!$A$5:$A$304,0)),IFERROR(INDEX(Manhole_Register!$AB$5:$AB$304,MATCH($B46,Manhole_Register!$A$5:$A$304,0)),IFERROR(INDEX(ERSS_Pit_Register!$V$5:$V$304,MATCH($B46,ERSS_Pit_Register!$A$5:$A$304,0)),IFERROR(INDEX(Linkway_Register!$X$5:$X$304,MATCH($B46,Linkway_Register!$A$5:$A$304,0)),IFERROR(INDEX(Other_Register!$N$5:$N$304,MATCH($B46,Other_Register!$A$5:$A$304,0)),""))))))))</f>
        <v/>
      </c>
      <c r="K46" s="10" t="str">
        <f aca="false">IF($B46="","",IFERROR(INDEX(Drain_Register!$W$5:$W$304,MATCH($B46,Drain_Register!$A$5:$A$304,0)),IFERROR(INDEX(RW_Register!$AC$5:$AC$304,MATCH($B46,RW_Register!$A$5:$A$304,0)),IFERROR(INDEX(Embedded_Wall_Register!$Z$5:$Z$304,MATCH($B46,Embedded_Wall_Register!$A$5:$A$304,0)),IFERROR(INDEX(Manhole_Register!$AC$5:$AC$304,MATCH($B46,Manhole_Register!$A$5:$A$304,0)),IFERROR(INDEX(ERSS_Pit_Register!$W$5:$W$304,MATCH($B46,ERSS_Pit_Register!$A$5:$A$304,0)),IFERROR(INDEX(Linkway_Register!$Y$5:$Y$304,MATCH($B46,Linkway_Register!$A$5:$A$304,0)),IFERROR(INDEX(Other_Register!$O$5:$O$304,MATCH($B46,Other_Register!$A$5:$A$304,0)),""))))))))</f>
        <v/>
      </c>
      <c r="L46" s="10" t="str">
        <f aca="false">IF($B46="","",IFERROR(INDEX(Drain_Register!$X$5:$X$304,MATCH($B46,Drain_Register!$A$5:$A$304,0)),IFERROR(INDEX(RW_Register!$AD$5:$AD$304,MATCH($B46,RW_Register!$A$5:$A$304,0)),IFERROR(INDEX(Embedded_Wall_Register!$AA$5:$AA$304,MATCH($B46,Embedded_Wall_Register!$A$5:$A$304,0)),IFERROR(INDEX(Manhole_Register!$AD$5:$AD$304,MATCH($B46,Manhole_Register!$A$5:$A$304,0)),IFERROR(INDEX(ERSS_Pit_Register!$X$5:$X$304,MATCH($B46,ERSS_Pit_Register!$A$5:$A$304,0)),IFERROR(INDEX(Linkway_Register!$Z$5:$Z$304,MATCH($B46,Linkway_Register!$A$5:$A$304,0)),IFERROR(INDEX(Other_Register!$P$5:$P$304,MATCH($B46,Other_Register!$A$5:$A$304,0)),""))))))))</f>
        <v/>
      </c>
      <c r="M46" s="10" t="str">
        <f aca="false">IF($B46="","",IFERROR(INDEX(Drain_Register!$Z$5:$Z$304,MATCH($B46,Drain_Register!$A$5:$A$304,0)),IFERROR(INDEX(RW_Register!$AF$5:$AF$304,MATCH($B46,RW_Register!$A$5:$A$304,0)),IFERROR(INDEX(Embedded_Wall_Register!$AC$5:$AC$304,MATCH($B46,Embedded_Wall_Register!$A$5:$A$304,0)),IFERROR(INDEX(Manhole_Register!$AF$5:$AF$304,MATCH($B46,Manhole_Register!$A$5:$A$304,0)),IFERROR(INDEX(ERSS_Pit_Register!$Z$5:$Z$304,MATCH($B46,ERSS_Pit_Register!$A$5:$A$304,0)),IFERROR(INDEX(Linkway_Register!$AB$5:$AB$304,MATCH($B46,Linkway_Register!$A$5:$A$304,0)),IFERROR(INDEX(Other_Register!$R$5:$R$304,MATCH($B46,Other_Register!$A$5:$A$304,0)),"")))))))&amp;IFERROR(INDEX(Drain_Register!$AA$5:$AA$304,MATCH($B46,Drain_Register!$A$5:$A$304,0)),IFERROR(INDEX(RW_Register!$AG$5:$AG$304,MATCH($B46,RW_Register!$A$5:$A$304,0)),IFERROR(INDEX(Embedded_Wall_Register!$AD$5:$AD$304,MATCH($B46,Embedded_Wall_Register!$A$5:$A$304,0)),IFERROR(INDEX(Manhole_Register!$AG$5:$AG$304,MATCH($B46,Manhole_Register!$A$5:$A$304,0)),IFERROR(INDEX(ERSS_Pit_Register!$AA$5:$AA$304,MATCH($B46,ERSS_Pit_Register!$A$5:$A$304,0)),IFERROR(INDEX(Linkway_Register!$AC$5:$AC$304,MATCH($B46,Linkway_Register!$A$5:$A$304,0)),IFERROR(INDEX(Other_Register!$S$5:$S$304,MATCH($B46,Other_Register!$A$5:$A$304,0)),""))))))))</f>
        <v/>
      </c>
      <c r="N46" s="19" t="str">
        <f aca="false">IF(OR($B46="",$D46=""),"",$D46*N(IFERROR(INDEX(Drain_Register!$AH$5:$AH$304,MATCH($B46,Drain_Register!$A$5:$A$304,0)),IFERROR(INDEX(RW_Register!$AN$5:$AN$304,MATCH($B46,RW_Register!$A$5:$A$304,0)),IFERROR(INDEX(Embedded_Wall_Register!$AK$5:$AK$304,MATCH($B46,Embedded_Wall_Register!$A$5:$A$304,0)),IFERROR(INDEX(Manhole_Register!$AN$5:$AN$304,MATCH($B46,Manhole_Register!$A$5:$A$304,0)),IFERROR(INDEX(ERSS_Pit_Register!$AH$5:$AH$304,MATCH($B46,ERSS_Pit_Register!$A$5:$A$304,0)),IFERROR(INDEX(Linkway_Register!$AJ$5:$AJ$304,MATCH($B46,Linkway_Register!$A$5:$A$304,0)),IFERROR(INDEX(Other_Register!$Z$5:$Z$304,MATCH($B46,Other_Register!$A$5:$A$304,0)),0)))))))))</f>
        <v/>
      </c>
      <c r="O46" s="20" t="str">
        <f aca="false">IF(OR($B46="",$D46=""),"",$D46*N(IFERROR(INDEX(Drain_Register!$AI$5:$AI$304,MATCH($B46,Drain_Register!$A$5:$A$304,0)),IFERROR(INDEX(RW_Register!$AO$5:$AO$304,MATCH($B46,RW_Register!$A$5:$A$304,0)),IFERROR(INDEX(Embedded_Wall_Register!$AL$5:$AL$304,MATCH($B46,Embedded_Wall_Register!$A$5:$A$304,0)),IFERROR(INDEX(Manhole_Register!$AO$5:$AO$304,MATCH($B46,Manhole_Register!$A$5:$A$304,0)),IFERROR(INDEX(ERSS_Pit_Register!$AI$5:$AI$304,MATCH($B46,ERSS_Pit_Register!$A$5:$A$304,0)),IFERROR(INDEX(Linkway_Register!$AK$5:$AK$304,MATCH($B46,Linkway_Register!$A$5:$A$304,0)),IFERROR(INDEX(Other_Register!$AA$5:$AA$304,MATCH($B46,Other_Register!$A$5:$A$304,0)),0))))))))/1000)</f>
        <v/>
      </c>
      <c r="P46" s="20" t="str">
        <f aca="false">IF(OR($B46="",$D46=""),"",$D46*N(IFERROR(INDEX(Drain_Register!$AJ$5:$AJ$304,MATCH($B46,Drain_Register!$A$5:$A$304,0)),IFERROR(INDEX(RW_Register!$AP$5:$AP$304,MATCH($B46,RW_Register!$A$5:$A$304,0)),IFERROR(INDEX(Embedded_Wall_Register!$AM$5:$AM$304,MATCH($B46,Embedded_Wall_Register!$A$5:$A$304,0)),IFERROR(INDEX(Manhole_Register!$AP$5:$AP$304,MATCH($B46,Manhole_Register!$A$5:$A$304,0)),IFERROR(INDEX(ERSS_Pit_Register!$AJ$5:$AJ$304,MATCH($B46,ERSS_Pit_Register!$A$5:$A$304,0)),IFERROR(INDEX(Linkway_Register!$AL$5:$AL$304,MATCH($B46,Linkway_Register!$A$5:$A$304,0)),IFERROR(INDEX(Other_Register!$AB$5:$AB$304,MATCH($B46,Other_Register!$A$5:$A$304,0)),0))))))))/1000)</f>
        <v/>
      </c>
      <c r="Q46" s="19" t="str">
        <f aca="false">IF(OR($B46="",$D46=""),"",$D46*N(IFERROR(INDEX(Drain_Register!$AK$5:$AK$304,MATCH($B46,Drain_Register!$A$5:$A$304,0)),IFERROR(INDEX(RW_Register!$AQ$5:$AQ$304,MATCH($B46,RW_Register!$A$5:$A$304,0)),IFERROR(INDEX(Embedded_Wall_Register!$AN$5:$AN$304,MATCH($B46,Embedded_Wall_Register!$A$5:$A$304,0)),IFERROR(INDEX(Manhole_Register!$AQ$5:$AQ$304,MATCH($B46,Manhole_Register!$A$5:$A$304,0)),IFERROR(INDEX(ERSS_Pit_Register!$AK$5:$AK$304,MATCH($B46,ERSS_Pit_Register!$A$5:$A$304,0)),IFERROR(INDEX(Linkway_Register!$AM$5:$AM$304,MATCH($B46,Linkway_Register!$A$5:$A$304,0)),IFERROR(INDEX(Other_Register!$AC$5:$AC$304,MATCH($B46,Other_Register!$A$5:$A$304,0)),0)))))))))</f>
        <v/>
      </c>
      <c r="R46" s="19" t="str">
        <f aca="false">IF(OR($B46="",$D46=""),"",$D46*N(IFERROR(INDEX(Drain_Register!$AL$5:$AL$304,MATCH($B46,Drain_Register!$A$5:$A$304,0)),IFERROR(INDEX(RW_Register!$AR$5:$AR$304,MATCH($B46,RW_Register!$A$5:$A$304,0)),IFERROR(INDEX(Embedded_Wall_Register!$AO$5:$AO$304,MATCH($B46,Embedded_Wall_Register!$A$5:$A$304,0)),IFERROR(INDEX(Manhole_Register!$AR$5:$AR$304,MATCH($B46,Manhole_Register!$A$5:$A$304,0)),IFERROR(INDEX(ERSS_Pit_Register!$AL$5:$AL$304,MATCH($B46,ERSS_Pit_Register!$A$5:$A$304,0)),IFERROR(INDEX(Linkway_Register!$AN$5:$AN$304,MATCH($B46,Linkway_Register!$A$5:$A$304,0)),IFERROR(INDEX(Other_Register!$AD$5:$AD$304,MATCH($B46,Other_Register!$A$5:$A$304,0)),0)))))))))</f>
        <v/>
      </c>
      <c r="S46" s="10" t="str">
        <f aca="false">IF($B46="","",IF(G46="","ID not found",IF(J46&lt;&gt;"Approved","WARNING: status is "&amp;J46,IF(IFERROR(INDEX(Drain_Register!$AV$5:$AV$304,MATCH($B46,Drain_Register!$A$5:$A$304,0)),IFERROR(INDEX(RW_Register!$BA$5:$BA$304,MATCH($B46,RW_Register!$A$5:$A$304,0)),IFERROR(INDEX(Embedded_Wall_Register!$AX$5:$AX$304,MATCH($B46,Embedded_Wall_Register!$A$5:$A$304,0)),IFERROR(INDEX(Manhole_Register!$AZ$5:$AZ$304,MATCH($B46,Manhole_Register!$A$5:$A$304,0)),IFERROR(INDEX(ERSS_Pit_Register!$AU$5:$AU$304,MATCH($B46,ERSS_Pit_Register!$A$5:$A$304,0)),IFERROR(INDEX(Linkway_Register!$AV$5:$AV$304,MATCH($B46,Linkway_Register!$A$5:$A$304,0)),IFERROR(INDEX(Other_Register!$AL$5:$AL$304,MATCH($B46,Other_Register!$A$5:$A$304,0)),"")))))))="N","WARNING: fails SG compliance check",IF(D46="","Enter length / qty",IF(E46="","Enter CAD sheet no.","OK"))))))</f>
        <v/>
      </c>
    </row>
    <row r="47" customFormat="false" ht="15" hidden="false" customHeight="false" outlineLevel="0" collapsed="false">
      <c r="A47" s="9"/>
      <c r="B47" s="9"/>
      <c r="C47" s="9"/>
      <c r="D47" s="9"/>
      <c r="E47" s="9"/>
      <c r="F47" s="10" t="str">
        <f aca="false">IF($B47="","",IFERROR(INDEX(Drain_Register!$AG$5:$AG$304,MATCH($B47,Drain_Register!$A$5:$A$304,0)),IFERROR(INDEX(RW_Register!$AM$5:$AM$304,MATCH($B47,RW_Register!$A$5:$A$304,0)),IFERROR(INDEX(Embedded_Wall_Register!$AJ$5:$AJ$304,MATCH($B47,Embedded_Wall_Register!$A$5:$A$304,0)),IFERROR(INDEX(Manhole_Register!$AM$5:$AM$304,MATCH($B47,Manhole_Register!$A$5:$A$304,0)),IFERROR(INDEX(ERSS_Pit_Register!$AG$5:$AG$304,MATCH($B47,ERSS_Pit_Register!$A$5:$A$304,0)),IFERROR(INDEX(Linkway_Register!$AI$5:$AI$304,MATCH($B47,Linkway_Register!$A$5:$A$304,0)),IFERROR(INDEX(Other_Register!$Y$5:$Y$304,MATCH($B47,Other_Register!$A$5:$A$304,0)),""))))))))</f>
        <v/>
      </c>
      <c r="G47" s="10" t="str">
        <f aca="false">IF($B47="","",IF(ISNUMBER(MATCH($B47,Drain_Register!$A$5:$A$304,0)),"Drain",IF(ISNUMBER(MATCH($B47,RW_Register!$A$5:$A$304,0)),"Ret. Wall",IF(ISNUMBER(MATCH($B47,Embedded_Wall_Register!$A$5:$A$304,0)),"Embedded Wall",IF(ISNUMBER(MATCH($B47,Manhole_Register!$A$5:$A$304,0)),"Manhole",IF(ISNUMBER(MATCH($B47,ERSS_Pit_Register!$A$5:$A$304,0)),"ERSS Pit",IF(ISNUMBER(MATCH($B47,Linkway_Register!$A$5:$A$304,0)),"Linkway",IF(ISNUMBER(MATCH($B47,Other_Register!$A$5:$A$304,0)),"Others",""))))))))</f>
        <v/>
      </c>
      <c r="H47" s="10" t="str">
        <f aca="false">IF($B47="","",IFERROR(INDEX(Drain_Register!$B$5:$B$304,MATCH($B47,Drain_Register!$A$5:$A$304,0)),IFERROR(INDEX(RW_Register!$B$5:$B$304,MATCH($B47,RW_Register!$A$5:$A$304,0)),IFERROR(INDEX(Embedded_Wall_Register!$B$5:$B$304,MATCH($B47,Embedded_Wall_Register!$A$5:$A$304,0)),IFERROR(INDEX(Manhole_Register!$B$5:$B$304,MATCH($B47,Manhole_Register!$A$5:$A$304,0)),IFERROR(INDEX(ERSS_Pit_Register!$B$5:$B$304,MATCH($B47,ERSS_Pit_Register!$A$5:$A$304,0)),IFERROR(INDEX(Linkway_Register!$B$5:$B$304,MATCH($B47,Linkway_Register!$A$5:$A$304,0)),IFERROR(INDEX(Other_Register!$B$5:$B$304,MATCH($B47,Other_Register!$A$5:$A$304,0)),"ID not found - check spelling"))))))))</f>
        <v/>
      </c>
      <c r="I47" s="10" t="str">
        <f aca="false">IF($B47="","",IFERROR(INDEX(Drain_Register!$U$5:$U$304,MATCH($B47,Drain_Register!$A$5:$A$304,0)),IFERROR(INDEX(RW_Register!$AA$5:$AA$304,MATCH($B47,RW_Register!$A$5:$A$304,0)),IFERROR(INDEX(Embedded_Wall_Register!$X$5:$X$304,MATCH($B47,Embedded_Wall_Register!$A$5:$A$304,0)),IFERROR(INDEX(Manhole_Register!$AA$5:$AA$304,MATCH($B47,Manhole_Register!$A$5:$A$304,0)),IFERROR(INDEX(ERSS_Pit_Register!$U$5:$U$304,MATCH($B47,ERSS_Pit_Register!$A$5:$A$304,0)),IFERROR(INDEX(Linkway_Register!$W$5:$W$304,MATCH($B47,Linkway_Register!$A$5:$A$304,0)),IFERROR(INDEX(Other_Register!$M$5:$M$304,MATCH($B47,Other_Register!$A$5:$A$304,0)),""))))))))</f>
        <v/>
      </c>
      <c r="J47" s="10" t="str">
        <f aca="false">IF($B47="","",IFERROR(INDEX(Drain_Register!$V$5:$V$304,MATCH($B47,Drain_Register!$A$5:$A$304,0)),IFERROR(INDEX(RW_Register!$AB$5:$AB$304,MATCH($B47,RW_Register!$A$5:$A$304,0)),IFERROR(INDEX(Embedded_Wall_Register!$Y$5:$Y$304,MATCH($B47,Embedded_Wall_Register!$A$5:$A$304,0)),IFERROR(INDEX(Manhole_Register!$AB$5:$AB$304,MATCH($B47,Manhole_Register!$A$5:$A$304,0)),IFERROR(INDEX(ERSS_Pit_Register!$V$5:$V$304,MATCH($B47,ERSS_Pit_Register!$A$5:$A$304,0)),IFERROR(INDEX(Linkway_Register!$X$5:$X$304,MATCH($B47,Linkway_Register!$A$5:$A$304,0)),IFERROR(INDEX(Other_Register!$N$5:$N$304,MATCH($B47,Other_Register!$A$5:$A$304,0)),""))))))))</f>
        <v/>
      </c>
      <c r="K47" s="10" t="str">
        <f aca="false">IF($B47="","",IFERROR(INDEX(Drain_Register!$W$5:$W$304,MATCH($B47,Drain_Register!$A$5:$A$304,0)),IFERROR(INDEX(RW_Register!$AC$5:$AC$304,MATCH($B47,RW_Register!$A$5:$A$304,0)),IFERROR(INDEX(Embedded_Wall_Register!$Z$5:$Z$304,MATCH($B47,Embedded_Wall_Register!$A$5:$A$304,0)),IFERROR(INDEX(Manhole_Register!$AC$5:$AC$304,MATCH($B47,Manhole_Register!$A$5:$A$304,0)),IFERROR(INDEX(ERSS_Pit_Register!$W$5:$W$304,MATCH($B47,ERSS_Pit_Register!$A$5:$A$304,0)),IFERROR(INDEX(Linkway_Register!$Y$5:$Y$304,MATCH($B47,Linkway_Register!$A$5:$A$304,0)),IFERROR(INDEX(Other_Register!$O$5:$O$304,MATCH($B47,Other_Register!$A$5:$A$304,0)),""))))))))</f>
        <v/>
      </c>
      <c r="L47" s="10" t="str">
        <f aca="false">IF($B47="","",IFERROR(INDEX(Drain_Register!$X$5:$X$304,MATCH($B47,Drain_Register!$A$5:$A$304,0)),IFERROR(INDEX(RW_Register!$AD$5:$AD$304,MATCH($B47,RW_Register!$A$5:$A$304,0)),IFERROR(INDEX(Embedded_Wall_Register!$AA$5:$AA$304,MATCH($B47,Embedded_Wall_Register!$A$5:$A$304,0)),IFERROR(INDEX(Manhole_Register!$AD$5:$AD$304,MATCH($B47,Manhole_Register!$A$5:$A$304,0)),IFERROR(INDEX(ERSS_Pit_Register!$X$5:$X$304,MATCH($B47,ERSS_Pit_Register!$A$5:$A$304,0)),IFERROR(INDEX(Linkway_Register!$Z$5:$Z$304,MATCH($B47,Linkway_Register!$A$5:$A$304,0)),IFERROR(INDEX(Other_Register!$P$5:$P$304,MATCH($B47,Other_Register!$A$5:$A$304,0)),""))))))))</f>
        <v/>
      </c>
      <c r="M47" s="10" t="str">
        <f aca="false">IF($B47="","",IFERROR(INDEX(Drain_Register!$Z$5:$Z$304,MATCH($B47,Drain_Register!$A$5:$A$304,0)),IFERROR(INDEX(RW_Register!$AF$5:$AF$304,MATCH($B47,RW_Register!$A$5:$A$304,0)),IFERROR(INDEX(Embedded_Wall_Register!$AC$5:$AC$304,MATCH($B47,Embedded_Wall_Register!$A$5:$A$304,0)),IFERROR(INDEX(Manhole_Register!$AF$5:$AF$304,MATCH($B47,Manhole_Register!$A$5:$A$304,0)),IFERROR(INDEX(ERSS_Pit_Register!$Z$5:$Z$304,MATCH($B47,ERSS_Pit_Register!$A$5:$A$304,0)),IFERROR(INDEX(Linkway_Register!$AB$5:$AB$304,MATCH($B47,Linkway_Register!$A$5:$A$304,0)),IFERROR(INDEX(Other_Register!$R$5:$R$304,MATCH($B47,Other_Register!$A$5:$A$304,0)),"")))))))&amp;IFERROR(INDEX(Drain_Register!$AA$5:$AA$304,MATCH($B47,Drain_Register!$A$5:$A$304,0)),IFERROR(INDEX(RW_Register!$AG$5:$AG$304,MATCH($B47,RW_Register!$A$5:$A$304,0)),IFERROR(INDEX(Embedded_Wall_Register!$AD$5:$AD$304,MATCH($B47,Embedded_Wall_Register!$A$5:$A$304,0)),IFERROR(INDEX(Manhole_Register!$AG$5:$AG$304,MATCH($B47,Manhole_Register!$A$5:$A$304,0)),IFERROR(INDEX(ERSS_Pit_Register!$AA$5:$AA$304,MATCH($B47,ERSS_Pit_Register!$A$5:$A$304,0)),IFERROR(INDEX(Linkway_Register!$AC$5:$AC$304,MATCH($B47,Linkway_Register!$A$5:$A$304,0)),IFERROR(INDEX(Other_Register!$S$5:$S$304,MATCH($B47,Other_Register!$A$5:$A$304,0)),""))))))))</f>
        <v/>
      </c>
      <c r="N47" s="19" t="str">
        <f aca="false">IF(OR($B47="",$D47=""),"",$D47*N(IFERROR(INDEX(Drain_Register!$AH$5:$AH$304,MATCH($B47,Drain_Register!$A$5:$A$304,0)),IFERROR(INDEX(RW_Register!$AN$5:$AN$304,MATCH($B47,RW_Register!$A$5:$A$304,0)),IFERROR(INDEX(Embedded_Wall_Register!$AK$5:$AK$304,MATCH($B47,Embedded_Wall_Register!$A$5:$A$304,0)),IFERROR(INDEX(Manhole_Register!$AN$5:$AN$304,MATCH($B47,Manhole_Register!$A$5:$A$304,0)),IFERROR(INDEX(ERSS_Pit_Register!$AH$5:$AH$304,MATCH($B47,ERSS_Pit_Register!$A$5:$A$304,0)),IFERROR(INDEX(Linkway_Register!$AJ$5:$AJ$304,MATCH($B47,Linkway_Register!$A$5:$A$304,0)),IFERROR(INDEX(Other_Register!$Z$5:$Z$304,MATCH($B47,Other_Register!$A$5:$A$304,0)),0)))))))))</f>
        <v/>
      </c>
      <c r="O47" s="20" t="str">
        <f aca="false">IF(OR($B47="",$D47=""),"",$D47*N(IFERROR(INDEX(Drain_Register!$AI$5:$AI$304,MATCH($B47,Drain_Register!$A$5:$A$304,0)),IFERROR(INDEX(RW_Register!$AO$5:$AO$304,MATCH($B47,RW_Register!$A$5:$A$304,0)),IFERROR(INDEX(Embedded_Wall_Register!$AL$5:$AL$304,MATCH($B47,Embedded_Wall_Register!$A$5:$A$304,0)),IFERROR(INDEX(Manhole_Register!$AO$5:$AO$304,MATCH($B47,Manhole_Register!$A$5:$A$304,0)),IFERROR(INDEX(ERSS_Pit_Register!$AI$5:$AI$304,MATCH($B47,ERSS_Pit_Register!$A$5:$A$304,0)),IFERROR(INDEX(Linkway_Register!$AK$5:$AK$304,MATCH($B47,Linkway_Register!$A$5:$A$304,0)),IFERROR(INDEX(Other_Register!$AA$5:$AA$304,MATCH($B47,Other_Register!$A$5:$A$304,0)),0))))))))/1000)</f>
        <v/>
      </c>
      <c r="P47" s="20" t="str">
        <f aca="false">IF(OR($B47="",$D47=""),"",$D47*N(IFERROR(INDEX(Drain_Register!$AJ$5:$AJ$304,MATCH($B47,Drain_Register!$A$5:$A$304,0)),IFERROR(INDEX(RW_Register!$AP$5:$AP$304,MATCH($B47,RW_Register!$A$5:$A$304,0)),IFERROR(INDEX(Embedded_Wall_Register!$AM$5:$AM$304,MATCH($B47,Embedded_Wall_Register!$A$5:$A$304,0)),IFERROR(INDEX(Manhole_Register!$AP$5:$AP$304,MATCH($B47,Manhole_Register!$A$5:$A$304,0)),IFERROR(INDEX(ERSS_Pit_Register!$AJ$5:$AJ$304,MATCH($B47,ERSS_Pit_Register!$A$5:$A$304,0)),IFERROR(INDEX(Linkway_Register!$AL$5:$AL$304,MATCH($B47,Linkway_Register!$A$5:$A$304,0)),IFERROR(INDEX(Other_Register!$AB$5:$AB$304,MATCH($B47,Other_Register!$A$5:$A$304,0)),0))))))))/1000)</f>
        <v/>
      </c>
      <c r="Q47" s="19" t="str">
        <f aca="false">IF(OR($B47="",$D47=""),"",$D47*N(IFERROR(INDEX(Drain_Register!$AK$5:$AK$304,MATCH($B47,Drain_Register!$A$5:$A$304,0)),IFERROR(INDEX(RW_Register!$AQ$5:$AQ$304,MATCH($B47,RW_Register!$A$5:$A$304,0)),IFERROR(INDEX(Embedded_Wall_Register!$AN$5:$AN$304,MATCH($B47,Embedded_Wall_Register!$A$5:$A$304,0)),IFERROR(INDEX(Manhole_Register!$AQ$5:$AQ$304,MATCH($B47,Manhole_Register!$A$5:$A$304,0)),IFERROR(INDEX(ERSS_Pit_Register!$AK$5:$AK$304,MATCH($B47,ERSS_Pit_Register!$A$5:$A$304,0)),IFERROR(INDEX(Linkway_Register!$AM$5:$AM$304,MATCH($B47,Linkway_Register!$A$5:$A$304,0)),IFERROR(INDEX(Other_Register!$AC$5:$AC$304,MATCH($B47,Other_Register!$A$5:$A$304,0)),0)))))))))</f>
        <v/>
      </c>
      <c r="R47" s="19" t="str">
        <f aca="false">IF(OR($B47="",$D47=""),"",$D47*N(IFERROR(INDEX(Drain_Register!$AL$5:$AL$304,MATCH($B47,Drain_Register!$A$5:$A$304,0)),IFERROR(INDEX(RW_Register!$AR$5:$AR$304,MATCH($B47,RW_Register!$A$5:$A$304,0)),IFERROR(INDEX(Embedded_Wall_Register!$AO$5:$AO$304,MATCH($B47,Embedded_Wall_Register!$A$5:$A$304,0)),IFERROR(INDEX(Manhole_Register!$AR$5:$AR$304,MATCH($B47,Manhole_Register!$A$5:$A$304,0)),IFERROR(INDEX(ERSS_Pit_Register!$AL$5:$AL$304,MATCH($B47,ERSS_Pit_Register!$A$5:$A$304,0)),IFERROR(INDEX(Linkway_Register!$AN$5:$AN$304,MATCH($B47,Linkway_Register!$A$5:$A$304,0)),IFERROR(INDEX(Other_Register!$AD$5:$AD$304,MATCH($B47,Other_Register!$A$5:$A$304,0)),0)))))))))</f>
        <v/>
      </c>
      <c r="S47" s="10" t="str">
        <f aca="false">IF($B47="","",IF(G47="","ID not found",IF(J47&lt;&gt;"Approved","WARNING: status is "&amp;J47,IF(IFERROR(INDEX(Drain_Register!$AV$5:$AV$304,MATCH($B47,Drain_Register!$A$5:$A$304,0)),IFERROR(INDEX(RW_Register!$BA$5:$BA$304,MATCH($B47,RW_Register!$A$5:$A$304,0)),IFERROR(INDEX(Embedded_Wall_Register!$AX$5:$AX$304,MATCH($B47,Embedded_Wall_Register!$A$5:$A$304,0)),IFERROR(INDEX(Manhole_Register!$AZ$5:$AZ$304,MATCH($B47,Manhole_Register!$A$5:$A$304,0)),IFERROR(INDEX(ERSS_Pit_Register!$AU$5:$AU$304,MATCH($B47,ERSS_Pit_Register!$A$5:$A$304,0)),IFERROR(INDEX(Linkway_Register!$AV$5:$AV$304,MATCH($B47,Linkway_Register!$A$5:$A$304,0)),IFERROR(INDEX(Other_Register!$AL$5:$AL$304,MATCH($B47,Other_Register!$A$5:$A$304,0)),"")))))))="N","WARNING: fails SG compliance check",IF(D47="","Enter length / qty",IF(E47="","Enter CAD sheet no.","OK"))))))</f>
        <v/>
      </c>
    </row>
    <row r="48" customFormat="false" ht="15" hidden="false" customHeight="false" outlineLevel="0" collapsed="false">
      <c r="A48" s="9"/>
      <c r="B48" s="9"/>
      <c r="C48" s="9"/>
      <c r="D48" s="9"/>
      <c r="E48" s="9"/>
      <c r="F48" s="10" t="str">
        <f aca="false">IF($B48="","",IFERROR(INDEX(Drain_Register!$AG$5:$AG$304,MATCH($B48,Drain_Register!$A$5:$A$304,0)),IFERROR(INDEX(RW_Register!$AM$5:$AM$304,MATCH($B48,RW_Register!$A$5:$A$304,0)),IFERROR(INDEX(Embedded_Wall_Register!$AJ$5:$AJ$304,MATCH($B48,Embedded_Wall_Register!$A$5:$A$304,0)),IFERROR(INDEX(Manhole_Register!$AM$5:$AM$304,MATCH($B48,Manhole_Register!$A$5:$A$304,0)),IFERROR(INDEX(ERSS_Pit_Register!$AG$5:$AG$304,MATCH($B48,ERSS_Pit_Register!$A$5:$A$304,0)),IFERROR(INDEX(Linkway_Register!$AI$5:$AI$304,MATCH($B48,Linkway_Register!$A$5:$A$304,0)),IFERROR(INDEX(Other_Register!$Y$5:$Y$304,MATCH($B48,Other_Register!$A$5:$A$304,0)),""))))))))</f>
        <v/>
      </c>
      <c r="G48" s="10" t="str">
        <f aca="false">IF($B48="","",IF(ISNUMBER(MATCH($B48,Drain_Register!$A$5:$A$304,0)),"Drain",IF(ISNUMBER(MATCH($B48,RW_Register!$A$5:$A$304,0)),"Ret. Wall",IF(ISNUMBER(MATCH($B48,Embedded_Wall_Register!$A$5:$A$304,0)),"Embedded Wall",IF(ISNUMBER(MATCH($B48,Manhole_Register!$A$5:$A$304,0)),"Manhole",IF(ISNUMBER(MATCH($B48,ERSS_Pit_Register!$A$5:$A$304,0)),"ERSS Pit",IF(ISNUMBER(MATCH($B48,Linkway_Register!$A$5:$A$304,0)),"Linkway",IF(ISNUMBER(MATCH($B48,Other_Register!$A$5:$A$304,0)),"Others",""))))))))</f>
        <v/>
      </c>
      <c r="H48" s="10" t="str">
        <f aca="false">IF($B48="","",IFERROR(INDEX(Drain_Register!$B$5:$B$304,MATCH($B48,Drain_Register!$A$5:$A$304,0)),IFERROR(INDEX(RW_Register!$B$5:$B$304,MATCH($B48,RW_Register!$A$5:$A$304,0)),IFERROR(INDEX(Embedded_Wall_Register!$B$5:$B$304,MATCH($B48,Embedded_Wall_Register!$A$5:$A$304,0)),IFERROR(INDEX(Manhole_Register!$B$5:$B$304,MATCH($B48,Manhole_Register!$A$5:$A$304,0)),IFERROR(INDEX(ERSS_Pit_Register!$B$5:$B$304,MATCH($B48,ERSS_Pit_Register!$A$5:$A$304,0)),IFERROR(INDEX(Linkway_Register!$B$5:$B$304,MATCH($B48,Linkway_Register!$A$5:$A$304,0)),IFERROR(INDEX(Other_Register!$B$5:$B$304,MATCH($B48,Other_Register!$A$5:$A$304,0)),"ID not found - check spelling"))))))))</f>
        <v/>
      </c>
      <c r="I48" s="10" t="str">
        <f aca="false">IF($B48="","",IFERROR(INDEX(Drain_Register!$U$5:$U$304,MATCH($B48,Drain_Register!$A$5:$A$304,0)),IFERROR(INDEX(RW_Register!$AA$5:$AA$304,MATCH($B48,RW_Register!$A$5:$A$304,0)),IFERROR(INDEX(Embedded_Wall_Register!$X$5:$X$304,MATCH($B48,Embedded_Wall_Register!$A$5:$A$304,0)),IFERROR(INDEX(Manhole_Register!$AA$5:$AA$304,MATCH($B48,Manhole_Register!$A$5:$A$304,0)),IFERROR(INDEX(ERSS_Pit_Register!$U$5:$U$304,MATCH($B48,ERSS_Pit_Register!$A$5:$A$304,0)),IFERROR(INDEX(Linkway_Register!$W$5:$W$304,MATCH($B48,Linkway_Register!$A$5:$A$304,0)),IFERROR(INDEX(Other_Register!$M$5:$M$304,MATCH($B48,Other_Register!$A$5:$A$304,0)),""))))))))</f>
        <v/>
      </c>
      <c r="J48" s="10" t="str">
        <f aca="false">IF($B48="","",IFERROR(INDEX(Drain_Register!$V$5:$V$304,MATCH($B48,Drain_Register!$A$5:$A$304,0)),IFERROR(INDEX(RW_Register!$AB$5:$AB$304,MATCH($B48,RW_Register!$A$5:$A$304,0)),IFERROR(INDEX(Embedded_Wall_Register!$Y$5:$Y$304,MATCH($B48,Embedded_Wall_Register!$A$5:$A$304,0)),IFERROR(INDEX(Manhole_Register!$AB$5:$AB$304,MATCH($B48,Manhole_Register!$A$5:$A$304,0)),IFERROR(INDEX(ERSS_Pit_Register!$V$5:$V$304,MATCH($B48,ERSS_Pit_Register!$A$5:$A$304,0)),IFERROR(INDEX(Linkway_Register!$X$5:$X$304,MATCH($B48,Linkway_Register!$A$5:$A$304,0)),IFERROR(INDEX(Other_Register!$N$5:$N$304,MATCH($B48,Other_Register!$A$5:$A$304,0)),""))))))))</f>
        <v/>
      </c>
      <c r="K48" s="10" t="str">
        <f aca="false">IF($B48="","",IFERROR(INDEX(Drain_Register!$W$5:$W$304,MATCH($B48,Drain_Register!$A$5:$A$304,0)),IFERROR(INDEX(RW_Register!$AC$5:$AC$304,MATCH($B48,RW_Register!$A$5:$A$304,0)),IFERROR(INDEX(Embedded_Wall_Register!$Z$5:$Z$304,MATCH($B48,Embedded_Wall_Register!$A$5:$A$304,0)),IFERROR(INDEX(Manhole_Register!$AC$5:$AC$304,MATCH($B48,Manhole_Register!$A$5:$A$304,0)),IFERROR(INDEX(ERSS_Pit_Register!$W$5:$W$304,MATCH($B48,ERSS_Pit_Register!$A$5:$A$304,0)),IFERROR(INDEX(Linkway_Register!$Y$5:$Y$304,MATCH($B48,Linkway_Register!$A$5:$A$304,0)),IFERROR(INDEX(Other_Register!$O$5:$O$304,MATCH($B48,Other_Register!$A$5:$A$304,0)),""))))))))</f>
        <v/>
      </c>
      <c r="L48" s="10" t="str">
        <f aca="false">IF($B48="","",IFERROR(INDEX(Drain_Register!$X$5:$X$304,MATCH($B48,Drain_Register!$A$5:$A$304,0)),IFERROR(INDEX(RW_Register!$AD$5:$AD$304,MATCH($B48,RW_Register!$A$5:$A$304,0)),IFERROR(INDEX(Embedded_Wall_Register!$AA$5:$AA$304,MATCH($B48,Embedded_Wall_Register!$A$5:$A$304,0)),IFERROR(INDEX(Manhole_Register!$AD$5:$AD$304,MATCH($B48,Manhole_Register!$A$5:$A$304,0)),IFERROR(INDEX(ERSS_Pit_Register!$X$5:$X$304,MATCH($B48,ERSS_Pit_Register!$A$5:$A$304,0)),IFERROR(INDEX(Linkway_Register!$Z$5:$Z$304,MATCH($B48,Linkway_Register!$A$5:$A$304,0)),IFERROR(INDEX(Other_Register!$P$5:$P$304,MATCH($B48,Other_Register!$A$5:$A$304,0)),""))))))))</f>
        <v/>
      </c>
      <c r="M48" s="10" t="str">
        <f aca="false">IF($B48="","",IFERROR(INDEX(Drain_Register!$Z$5:$Z$304,MATCH($B48,Drain_Register!$A$5:$A$304,0)),IFERROR(INDEX(RW_Register!$AF$5:$AF$304,MATCH($B48,RW_Register!$A$5:$A$304,0)),IFERROR(INDEX(Embedded_Wall_Register!$AC$5:$AC$304,MATCH($B48,Embedded_Wall_Register!$A$5:$A$304,0)),IFERROR(INDEX(Manhole_Register!$AF$5:$AF$304,MATCH($B48,Manhole_Register!$A$5:$A$304,0)),IFERROR(INDEX(ERSS_Pit_Register!$Z$5:$Z$304,MATCH($B48,ERSS_Pit_Register!$A$5:$A$304,0)),IFERROR(INDEX(Linkway_Register!$AB$5:$AB$304,MATCH($B48,Linkway_Register!$A$5:$A$304,0)),IFERROR(INDEX(Other_Register!$R$5:$R$304,MATCH($B48,Other_Register!$A$5:$A$304,0)),"")))))))&amp;IFERROR(INDEX(Drain_Register!$AA$5:$AA$304,MATCH($B48,Drain_Register!$A$5:$A$304,0)),IFERROR(INDEX(RW_Register!$AG$5:$AG$304,MATCH($B48,RW_Register!$A$5:$A$304,0)),IFERROR(INDEX(Embedded_Wall_Register!$AD$5:$AD$304,MATCH($B48,Embedded_Wall_Register!$A$5:$A$304,0)),IFERROR(INDEX(Manhole_Register!$AG$5:$AG$304,MATCH($B48,Manhole_Register!$A$5:$A$304,0)),IFERROR(INDEX(ERSS_Pit_Register!$AA$5:$AA$304,MATCH($B48,ERSS_Pit_Register!$A$5:$A$304,0)),IFERROR(INDEX(Linkway_Register!$AC$5:$AC$304,MATCH($B48,Linkway_Register!$A$5:$A$304,0)),IFERROR(INDEX(Other_Register!$S$5:$S$304,MATCH($B48,Other_Register!$A$5:$A$304,0)),""))))))))</f>
        <v/>
      </c>
      <c r="N48" s="19" t="str">
        <f aca="false">IF(OR($B48="",$D48=""),"",$D48*N(IFERROR(INDEX(Drain_Register!$AH$5:$AH$304,MATCH($B48,Drain_Register!$A$5:$A$304,0)),IFERROR(INDEX(RW_Register!$AN$5:$AN$304,MATCH($B48,RW_Register!$A$5:$A$304,0)),IFERROR(INDEX(Embedded_Wall_Register!$AK$5:$AK$304,MATCH($B48,Embedded_Wall_Register!$A$5:$A$304,0)),IFERROR(INDEX(Manhole_Register!$AN$5:$AN$304,MATCH($B48,Manhole_Register!$A$5:$A$304,0)),IFERROR(INDEX(ERSS_Pit_Register!$AH$5:$AH$304,MATCH($B48,ERSS_Pit_Register!$A$5:$A$304,0)),IFERROR(INDEX(Linkway_Register!$AJ$5:$AJ$304,MATCH($B48,Linkway_Register!$A$5:$A$304,0)),IFERROR(INDEX(Other_Register!$Z$5:$Z$304,MATCH($B48,Other_Register!$A$5:$A$304,0)),0)))))))))</f>
        <v/>
      </c>
      <c r="O48" s="20" t="str">
        <f aca="false">IF(OR($B48="",$D48=""),"",$D48*N(IFERROR(INDEX(Drain_Register!$AI$5:$AI$304,MATCH($B48,Drain_Register!$A$5:$A$304,0)),IFERROR(INDEX(RW_Register!$AO$5:$AO$304,MATCH($B48,RW_Register!$A$5:$A$304,0)),IFERROR(INDEX(Embedded_Wall_Register!$AL$5:$AL$304,MATCH($B48,Embedded_Wall_Register!$A$5:$A$304,0)),IFERROR(INDEX(Manhole_Register!$AO$5:$AO$304,MATCH($B48,Manhole_Register!$A$5:$A$304,0)),IFERROR(INDEX(ERSS_Pit_Register!$AI$5:$AI$304,MATCH($B48,ERSS_Pit_Register!$A$5:$A$304,0)),IFERROR(INDEX(Linkway_Register!$AK$5:$AK$304,MATCH($B48,Linkway_Register!$A$5:$A$304,0)),IFERROR(INDEX(Other_Register!$AA$5:$AA$304,MATCH($B48,Other_Register!$A$5:$A$304,0)),0))))))))/1000)</f>
        <v/>
      </c>
      <c r="P48" s="20" t="str">
        <f aca="false">IF(OR($B48="",$D48=""),"",$D48*N(IFERROR(INDEX(Drain_Register!$AJ$5:$AJ$304,MATCH($B48,Drain_Register!$A$5:$A$304,0)),IFERROR(INDEX(RW_Register!$AP$5:$AP$304,MATCH($B48,RW_Register!$A$5:$A$304,0)),IFERROR(INDEX(Embedded_Wall_Register!$AM$5:$AM$304,MATCH($B48,Embedded_Wall_Register!$A$5:$A$304,0)),IFERROR(INDEX(Manhole_Register!$AP$5:$AP$304,MATCH($B48,Manhole_Register!$A$5:$A$304,0)),IFERROR(INDEX(ERSS_Pit_Register!$AJ$5:$AJ$304,MATCH($B48,ERSS_Pit_Register!$A$5:$A$304,0)),IFERROR(INDEX(Linkway_Register!$AL$5:$AL$304,MATCH($B48,Linkway_Register!$A$5:$A$304,0)),IFERROR(INDEX(Other_Register!$AB$5:$AB$304,MATCH($B48,Other_Register!$A$5:$A$304,0)),0))))))))/1000)</f>
        <v/>
      </c>
      <c r="Q48" s="19" t="str">
        <f aca="false">IF(OR($B48="",$D48=""),"",$D48*N(IFERROR(INDEX(Drain_Register!$AK$5:$AK$304,MATCH($B48,Drain_Register!$A$5:$A$304,0)),IFERROR(INDEX(RW_Register!$AQ$5:$AQ$304,MATCH($B48,RW_Register!$A$5:$A$304,0)),IFERROR(INDEX(Embedded_Wall_Register!$AN$5:$AN$304,MATCH($B48,Embedded_Wall_Register!$A$5:$A$304,0)),IFERROR(INDEX(Manhole_Register!$AQ$5:$AQ$304,MATCH($B48,Manhole_Register!$A$5:$A$304,0)),IFERROR(INDEX(ERSS_Pit_Register!$AK$5:$AK$304,MATCH($B48,ERSS_Pit_Register!$A$5:$A$304,0)),IFERROR(INDEX(Linkway_Register!$AM$5:$AM$304,MATCH($B48,Linkway_Register!$A$5:$A$304,0)),IFERROR(INDEX(Other_Register!$AC$5:$AC$304,MATCH($B48,Other_Register!$A$5:$A$304,0)),0)))))))))</f>
        <v/>
      </c>
      <c r="R48" s="19" t="str">
        <f aca="false">IF(OR($B48="",$D48=""),"",$D48*N(IFERROR(INDEX(Drain_Register!$AL$5:$AL$304,MATCH($B48,Drain_Register!$A$5:$A$304,0)),IFERROR(INDEX(RW_Register!$AR$5:$AR$304,MATCH($B48,RW_Register!$A$5:$A$304,0)),IFERROR(INDEX(Embedded_Wall_Register!$AO$5:$AO$304,MATCH($B48,Embedded_Wall_Register!$A$5:$A$304,0)),IFERROR(INDEX(Manhole_Register!$AR$5:$AR$304,MATCH($B48,Manhole_Register!$A$5:$A$304,0)),IFERROR(INDEX(ERSS_Pit_Register!$AL$5:$AL$304,MATCH($B48,ERSS_Pit_Register!$A$5:$A$304,0)),IFERROR(INDEX(Linkway_Register!$AN$5:$AN$304,MATCH($B48,Linkway_Register!$A$5:$A$304,0)),IFERROR(INDEX(Other_Register!$AD$5:$AD$304,MATCH($B48,Other_Register!$A$5:$A$304,0)),0)))))))))</f>
        <v/>
      </c>
      <c r="S48" s="10" t="str">
        <f aca="false">IF($B48="","",IF(G48="","ID not found",IF(J48&lt;&gt;"Approved","WARNING: status is "&amp;J48,IF(IFERROR(INDEX(Drain_Register!$AV$5:$AV$304,MATCH($B48,Drain_Register!$A$5:$A$304,0)),IFERROR(INDEX(RW_Register!$BA$5:$BA$304,MATCH($B48,RW_Register!$A$5:$A$304,0)),IFERROR(INDEX(Embedded_Wall_Register!$AX$5:$AX$304,MATCH($B48,Embedded_Wall_Register!$A$5:$A$304,0)),IFERROR(INDEX(Manhole_Register!$AZ$5:$AZ$304,MATCH($B48,Manhole_Register!$A$5:$A$304,0)),IFERROR(INDEX(ERSS_Pit_Register!$AU$5:$AU$304,MATCH($B48,ERSS_Pit_Register!$A$5:$A$304,0)),IFERROR(INDEX(Linkway_Register!$AV$5:$AV$304,MATCH($B48,Linkway_Register!$A$5:$A$304,0)),IFERROR(INDEX(Other_Register!$AL$5:$AL$304,MATCH($B48,Other_Register!$A$5:$A$304,0)),"")))))))="N","WARNING: fails SG compliance check",IF(D48="","Enter length / qty",IF(E48="","Enter CAD sheet no.","OK"))))))</f>
        <v/>
      </c>
    </row>
    <row r="49" customFormat="false" ht="15" hidden="false" customHeight="false" outlineLevel="0" collapsed="false">
      <c r="A49" s="9"/>
      <c r="B49" s="9"/>
      <c r="C49" s="9"/>
      <c r="D49" s="9"/>
      <c r="E49" s="9"/>
      <c r="F49" s="10" t="str">
        <f aca="false">IF($B49="","",IFERROR(INDEX(Drain_Register!$AG$5:$AG$304,MATCH($B49,Drain_Register!$A$5:$A$304,0)),IFERROR(INDEX(RW_Register!$AM$5:$AM$304,MATCH($B49,RW_Register!$A$5:$A$304,0)),IFERROR(INDEX(Embedded_Wall_Register!$AJ$5:$AJ$304,MATCH($B49,Embedded_Wall_Register!$A$5:$A$304,0)),IFERROR(INDEX(Manhole_Register!$AM$5:$AM$304,MATCH($B49,Manhole_Register!$A$5:$A$304,0)),IFERROR(INDEX(ERSS_Pit_Register!$AG$5:$AG$304,MATCH($B49,ERSS_Pit_Register!$A$5:$A$304,0)),IFERROR(INDEX(Linkway_Register!$AI$5:$AI$304,MATCH($B49,Linkway_Register!$A$5:$A$304,0)),IFERROR(INDEX(Other_Register!$Y$5:$Y$304,MATCH($B49,Other_Register!$A$5:$A$304,0)),""))))))))</f>
        <v/>
      </c>
      <c r="G49" s="10" t="str">
        <f aca="false">IF($B49="","",IF(ISNUMBER(MATCH($B49,Drain_Register!$A$5:$A$304,0)),"Drain",IF(ISNUMBER(MATCH($B49,RW_Register!$A$5:$A$304,0)),"Ret. Wall",IF(ISNUMBER(MATCH($B49,Embedded_Wall_Register!$A$5:$A$304,0)),"Embedded Wall",IF(ISNUMBER(MATCH($B49,Manhole_Register!$A$5:$A$304,0)),"Manhole",IF(ISNUMBER(MATCH($B49,ERSS_Pit_Register!$A$5:$A$304,0)),"ERSS Pit",IF(ISNUMBER(MATCH($B49,Linkway_Register!$A$5:$A$304,0)),"Linkway",IF(ISNUMBER(MATCH($B49,Other_Register!$A$5:$A$304,0)),"Others",""))))))))</f>
        <v/>
      </c>
      <c r="H49" s="10" t="str">
        <f aca="false">IF($B49="","",IFERROR(INDEX(Drain_Register!$B$5:$B$304,MATCH($B49,Drain_Register!$A$5:$A$304,0)),IFERROR(INDEX(RW_Register!$B$5:$B$304,MATCH($B49,RW_Register!$A$5:$A$304,0)),IFERROR(INDEX(Embedded_Wall_Register!$B$5:$B$304,MATCH($B49,Embedded_Wall_Register!$A$5:$A$304,0)),IFERROR(INDEX(Manhole_Register!$B$5:$B$304,MATCH($B49,Manhole_Register!$A$5:$A$304,0)),IFERROR(INDEX(ERSS_Pit_Register!$B$5:$B$304,MATCH($B49,ERSS_Pit_Register!$A$5:$A$304,0)),IFERROR(INDEX(Linkway_Register!$B$5:$B$304,MATCH($B49,Linkway_Register!$A$5:$A$304,0)),IFERROR(INDEX(Other_Register!$B$5:$B$304,MATCH($B49,Other_Register!$A$5:$A$304,0)),"ID not found - check spelling"))))))))</f>
        <v/>
      </c>
      <c r="I49" s="10" t="str">
        <f aca="false">IF($B49="","",IFERROR(INDEX(Drain_Register!$U$5:$U$304,MATCH($B49,Drain_Register!$A$5:$A$304,0)),IFERROR(INDEX(RW_Register!$AA$5:$AA$304,MATCH($B49,RW_Register!$A$5:$A$304,0)),IFERROR(INDEX(Embedded_Wall_Register!$X$5:$X$304,MATCH($B49,Embedded_Wall_Register!$A$5:$A$304,0)),IFERROR(INDEX(Manhole_Register!$AA$5:$AA$304,MATCH($B49,Manhole_Register!$A$5:$A$304,0)),IFERROR(INDEX(ERSS_Pit_Register!$U$5:$U$304,MATCH($B49,ERSS_Pit_Register!$A$5:$A$304,0)),IFERROR(INDEX(Linkway_Register!$W$5:$W$304,MATCH($B49,Linkway_Register!$A$5:$A$304,0)),IFERROR(INDEX(Other_Register!$M$5:$M$304,MATCH($B49,Other_Register!$A$5:$A$304,0)),""))))))))</f>
        <v/>
      </c>
      <c r="J49" s="10" t="str">
        <f aca="false">IF($B49="","",IFERROR(INDEX(Drain_Register!$V$5:$V$304,MATCH($B49,Drain_Register!$A$5:$A$304,0)),IFERROR(INDEX(RW_Register!$AB$5:$AB$304,MATCH($B49,RW_Register!$A$5:$A$304,0)),IFERROR(INDEX(Embedded_Wall_Register!$Y$5:$Y$304,MATCH($B49,Embedded_Wall_Register!$A$5:$A$304,0)),IFERROR(INDEX(Manhole_Register!$AB$5:$AB$304,MATCH($B49,Manhole_Register!$A$5:$A$304,0)),IFERROR(INDEX(ERSS_Pit_Register!$V$5:$V$304,MATCH($B49,ERSS_Pit_Register!$A$5:$A$304,0)),IFERROR(INDEX(Linkway_Register!$X$5:$X$304,MATCH($B49,Linkway_Register!$A$5:$A$304,0)),IFERROR(INDEX(Other_Register!$N$5:$N$304,MATCH($B49,Other_Register!$A$5:$A$304,0)),""))))))))</f>
        <v/>
      </c>
      <c r="K49" s="10" t="str">
        <f aca="false">IF($B49="","",IFERROR(INDEX(Drain_Register!$W$5:$W$304,MATCH($B49,Drain_Register!$A$5:$A$304,0)),IFERROR(INDEX(RW_Register!$AC$5:$AC$304,MATCH($B49,RW_Register!$A$5:$A$304,0)),IFERROR(INDEX(Embedded_Wall_Register!$Z$5:$Z$304,MATCH($B49,Embedded_Wall_Register!$A$5:$A$304,0)),IFERROR(INDEX(Manhole_Register!$AC$5:$AC$304,MATCH($B49,Manhole_Register!$A$5:$A$304,0)),IFERROR(INDEX(ERSS_Pit_Register!$W$5:$W$304,MATCH($B49,ERSS_Pit_Register!$A$5:$A$304,0)),IFERROR(INDEX(Linkway_Register!$Y$5:$Y$304,MATCH($B49,Linkway_Register!$A$5:$A$304,0)),IFERROR(INDEX(Other_Register!$O$5:$O$304,MATCH($B49,Other_Register!$A$5:$A$304,0)),""))))))))</f>
        <v/>
      </c>
      <c r="L49" s="10" t="str">
        <f aca="false">IF($B49="","",IFERROR(INDEX(Drain_Register!$X$5:$X$304,MATCH($B49,Drain_Register!$A$5:$A$304,0)),IFERROR(INDEX(RW_Register!$AD$5:$AD$304,MATCH($B49,RW_Register!$A$5:$A$304,0)),IFERROR(INDEX(Embedded_Wall_Register!$AA$5:$AA$304,MATCH($B49,Embedded_Wall_Register!$A$5:$A$304,0)),IFERROR(INDEX(Manhole_Register!$AD$5:$AD$304,MATCH($B49,Manhole_Register!$A$5:$A$304,0)),IFERROR(INDEX(ERSS_Pit_Register!$X$5:$X$304,MATCH($B49,ERSS_Pit_Register!$A$5:$A$304,0)),IFERROR(INDEX(Linkway_Register!$Z$5:$Z$304,MATCH($B49,Linkway_Register!$A$5:$A$304,0)),IFERROR(INDEX(Other_Register!$P$5:$P$304,MATCH($B49,Other_Register!$A$5:$A$304,0)),""))))))))</f>
        <v/>
      </c>
      <c r="M49" s="10" t="str">
        <f aca="false">IF($B49="","",IFERROR(INDEX(Drain_Register!$Z$5:$Z$304,MATCH($B49,Drain_Register!$A$5:$A$304,0)),IFERROR(INDEX(RW_Register!$AF$5:$AF$304,MATCH($B49,RW_Register!$A$5:$A$304,0)),IFERROR(INDEX(Embedded_Wall_Register!$AC$5:$AC$304,MATCH($B49,Embedded_Wall_Register!$A$5:$A$304,0)),IFERROR(INDEX(Manhole_Register!$AF$5:$AF$304,MATCH($B49,Manhole_Register!$A$5:$A$304,0)),IFERROR(INDEX(ERSS_Pit_Register!$Z$5:$Z$304,MATCH($B49,ERSS_Pit_Register!$A$5:$A$304,0)),IFERROR(INDEX(Linkway_Register!$AB$5:$AB$304,MATCH($B49,Linkway_Register!$A$5:$A$304,0)),IFERROR(INDEX(Other_Register!$R$5:$R$304,MATCH($B49,Other_Register!$A$5:$A$304,0)),"")))))))&amp;IFERROR(INDEX(Drain_Register!$AA$5:$AA$304,MATCH($B49,Drain_Register!$A$5:$A$304,0)),IFERROR(INDEX(RW_Register!$AG$5:$AG$304,MATCH($B49,RW_Register!$A$5:$A$304,0)),IFERROR(INDEX(Embedded_Wall_Register!$AD$5:$AD$304,MATCH($B49,Embedded_Wall_Register!$A$5:$A$304,0)),IFERROR(INDEX(Manhole_Register!$AG$5:$AG$304,MATCH($B49,Manhole_Register!$A$5:$A$304,0)),IFERROR(INDEX(ERSS_Pit_Register!$AA$5:$AA$304,MATCH($B49,ERSS_Pit_Register!$A$5:$A$304,0)),IFERROR(INDEX(Linkway_Register!$AC$5:$AC$304,MATCH($B49,Linkway_Register!$A$5:$A$304,0)),IFERROR(INDEX(Other_Register!$S$5:$S$304,MATCH($B49,Other_Register!$A$5:$A$304,0)),""))))))))</f>
        <v/>
      </c>
      <c r="N49" s="19" t="str">
        <f aca="false">IF(OR($B49="",$D49=""),"",$D49*N(IFERROR(INDEX(Drain_Register!$AH$5:$AH$304,MATCH($B49,Drain_Register!$A$5:$A$304,0)),IFERROR(INDEX(RW_Register!$AN$5:$AN$304,MATCH($B49,RW_Register!$A$5:$A$304,0)),IFERROR(INDEX(Embedded_Wall_Register!$AK$5:$AK$304,MATCH($B49,Embedded_Wall_Register!$A$5:$A$304,0)),IFERROR(INDEX(Manhole_Register!$AN$5:$AN$304,MATCH($B49,Manhole_Register!$A$5:$A$304,0)),IFERROR(INDEX(ERSS_Pit_Register!$AH$5:$AH$304,MATCH($B49,ERSS_Pit_Register!$A$5:$A$304,0)),IFERROR(INDEX(Linkway_Register!$AJ$5:$AJ$304,MATCH($B49,Linkway_Register!$A$5:$A$304,0)),IFERROR(INDEX(Other_Register!$Z$5:$Z$304,MATCH($B49,Other_Register!$A$5:$A$304,0)),0)))))))))</f>
        <v/>
      </c>
      <c r="O49" s="20" t="str">
        <f aca="false">IF(OR($B49="",$D49=""),"",$D49*N(IFERROR(INDEX(Drain_Register!$AI$5:$AI$304,MATCH($B49,Drain_Register!$A$5:$A$304,0)),IFERROR(INDEX(RW_Register!$AO$5:$AO$304,MATCH($B49,RW_Register!$A$5:$A$304,0)),IFERROR(INDEX(Embedded_Wall_Register!$AL$5:$AL$304,MATCH($B49,Embedded_Wall_Register!$A$5:$A$304,0)),IFERROR(INDEX(Manhole_Register!$AO$5:$AO$304,MATCH($B49,Manhole_Register!$A$5:$A$304,0)),IFERROR(INDEX(ERSS_Pit_Register!$AI$5:$AI$304,MATCH($B49,ERSS_Pit_Register!$A$5:$A$304,0)),IFERROR(INDEX(Linkway_Register!$AK$5:$AK$304,MATCH($B49,Linkway_Register!$A$5:$A$304,0)),IFERROR(INDEX(Other_Register!$AA$5:$AA$304,MATCH($B49,Other_Register!$A$5:$A$304,0)),0))))))))/1000)</f>
        <v/>
      </c>
      <c r="P49" s="20" t="str">
        <f aca="false">IF(OR($B49="",$D49=""),"",$D49*N(IFERROR(INDEX(Drain_Register!$AJ$5:$AJ$304,MATCH($B49,Drain_Register!$A$5:$A$304,0)),IFERROR(INDEX(RW_Register!$AP$5:$AP$304,MATCH($B49,RW_Register!$A$5:$A$304,0)),IFERROR(INDEX(Embedded_Wall_Register!$AM$5:$AM$304,MATCH($B49,Embedded_Wall_Register!$A$5:$A$304,0)),IFERROR(INDEX(Manhole_Register!$AP$5:$AP$304,MATCH($B49,Manhole_Register!$A$5:$A$304,0)),IFERROR(INDEX(ERSS_Pit_Register!$AJ$5:$AJ$304,MATCH($B49,ERSS_Pit_Register!$A$5:$A$304,0)),IFERROR(INDEX(Linkway_Register!$AL$5:$AL$304,MATCH($B49,Linkway_Register!$A$5:$A$304,0)),IFERROR(INDEX(Other_Register!$AB$5:$AB$304,MATCH($B49,Other_Register!$A$5:$A$304,0)),0))))))))/1000)</f>
        <v/>
      </c>
      <c r="Q49" s="19" t="str">
        <f aca="false">IF(OR($B49="",$D49=""),"",$D49*N(IFERROR(INDEX(Drain_Register!$AK$5:$AK$304,MATCH($B49,Drain_Register!$A$5:$A$304,0)),IFERROR(INDEX(RW_Register!$AQ$5:$AQ$304,MATCH($B49,RW_Register!$A$5:$A$304,0)),IFERROR(INDEX(Embedded_Wall_Register!$AN$5:$AN$304,MATCH($B49,Embedded_Wall_Register!$A$5:$A$304,0)),IFERROR(INDEX(Manhole_Register!$AQ$5:$AQ$304,MATCH($B49,Manhole_Register!$A$5:$A$304,0)),IFERROR(INDEX(ERSS_Pit_Register!$AK$5:$AK$304,MATCH($B49,ERSS_Pit_Register!$A$5:$A$304,0)),IFERROR(INDEX(Linkway_Register!$AM$5:$AM$304,MATCH($B49,Linkway_Register!$A$5:$A$304,0)),IFERROR(INDEX(Other_Register!$AC$5:$AC$304,MATCH($B49,Other_Register!$A$5:$A$304,0)),0)))))))))</f>
        <v/>
      </c>
      <c r="R49" s="19" t="str">
        <f aca="false">IF(OR($B49="",$D49=""),"",$D49*N(IFERROR(INDEX(Drain_Register!$AL$5:$AL$304,MATCH($B49,Drain_Register!$A$5:$A$304,0)),IFERROR(INDEX(RW_Register!$AR$5:$AR$304,MATCH($B49,RW_Register!$A$5:$A$304,0)),IFERROR(INDEX(Embedded_Wall_Register!$AO$5:$AO$304,MATCH($B49,Embedded_Wall_Register!$A$5:$A$304,0)),IFERROR(INDEX(Manhole_Register!$AR$5:$AR$304,MATCH($B49,Manhole_Register!$A$5:$A$304,0)),IFERROR(INDEX(ERSS_Pit_Register!$AL$5:$AL$304,MATCH($B49,ERSS_Pit_Register!$A$5:$A$304,0)),IFERROR(INDEX(Linkway_Register!$AN$5:$AN$304,MATCH($B49,Linkway_Register!$A$5:$A$304,0)),IFERROR(INDEX(Other_Register!$AD$5:$AD$304,MATCH($B49,Other_Register!$A$5:$A$304,0)),0)))))))))</f>
        <v/>
      </c>
      <c r="S49" s="10" t="str">
        <f aca="false">IF($B49="","",IF(G49="","ID not found",IF(J49&lt;&gt;"Approved","WARNING: status is "&amp;J49,IF(IFERROR(INDEX(Drain_Register!$AV$5:$AV$304,MATCH($B49,Drain_Register!$A$5:$A$304,0)),IFERROR(INDEX(RW_Register!$BA$5:$BA$304,MATCH($B49,RW_Register!$A$5:$A$304,0)),IFERROR(INDEX(Embedded_Wall_Register!$AX$5:$AX$304,MATCH($B49,Embedded_Wall_Register!$A$5:$A$304,0)),IFERROR(INDEX(Manhole_Register!$AZ$5:$AZ$304,MATCH($B49,Manhole_Register!$A$5:$A$304,0)),IFERROR(INDEX(ERSS_Pit_Register!$AU$5:$AU$304,MATCH($B49,ERSS_Pit_Register!$A$5:$A$304,0)),IFERROR(INDEX(Linkway_Register!$AV$5:$AV$304,MATCH($B49,Linkway_Register!$A$5:$A$304,0)),IFERROR(INDEX(Other_Register!$AL$5:$AL$304,MATCH($B49,Other_Register!$A$5:$A$304,0)),"")))))))="N","WARNING: fails SG compliance check",IF(D49="","Enter length / qty",IF(E49="","Enter CAD sheet no.","OK"))))))</f>
        <v/>
      </c>
    </row>
    <row r="50" customFormat="false" ht="15" hidden="false" customHeight="false" outlineLevel="0" collapsed="false">
      <c r="A50" s="9"/>
      <c r="B50" s="9"/>
      <c r="C50" s="9"/>
      <c r="D50" s="9"/>
      <c r="E50" s="9"/>
      <c r="F50" s="10" t="str">
        <f aca="false">IF($B50="","",IFERROR(INDEX(Drain_Register!$AG$5:$AG$304,MATCH($B50,Drain_Register!$A$5:$A$304,0)),IFERROR(INDEX(RW_Register!$AM$5:$AM$304,MATCH($B50,RW_Register!$A$5:$A$304,0)),IFERROR(INDEX(Embedded_Wall_Register!$AJ$5:$AJ$304,MATCH($B50,Embedded_Wall_Register!$A$5:$A$304,0)),IFERROR(INDEX(Manhole_Register!$AM$5:$AM$304,MATCH($B50,Manhole_Register!$A$5:$A$304,0)),IFERROR(INDEX(ERSS_Pit_Register!$AG$5:$AG$304,MATCH($B50,ERSS_Pit_Register!$A$5:$A$304,0)),IFERROR(INDEX(Linkway_Register!$AI$5:$AI$304,MATCH($B50,Linkway_Register!$A$5:$A$304,0)),IFERROR(INDEX(Other_Register!$Y$5:$Y$304,MATCH($B50,Other_Register!$A$5:$A$304,0)),""))))))))</f>
        <v/>
      </c>
      <c r="G50" s="10" t="str">
        <f aca="false">IF($B50="","",IF(ISNUMBER(MATCH($B50,Drain_Register!$A$5:$A$304,0)),"Drain",IF(ISNUMBER(MATCH($B50,RW_Register!$A$5:$A$304,0)),"Ret. Wall",IF(ISNUMBER(MATCH($B50,Embedded_Wall_Register!$A$5:$A$304,0)),"Embedded Wall",IF(ISNUMBER(MATCH($B50,Manhole_Register!$A$5:$A$304,0)),"Manhole",IF(ISNUMBER(MATCH($B50,ERSS_Pit_Register!$A$5:$A$304,0)),"ERSS Pit",IF(ISNUMBER(MATCH($B50,Linkway_Register!$A$5:$A$304,0)),"Linkway",IF(ISNUMBER(MATCH($B50,Other_Register!$A$5:$A$304,0)),"Others",""))))))))</f>
        <v/>
      </c>
      <c r="H50" s="10" t="str">
        <f aca="false">IF($B50="","",IFERROR(INDEX(Drain_Register!$B$5:$B$304,MATCH($B50,Drain_Register!$A$5:$A$304,0)),IFERROR(INDEX(RW_Register!$B$5:$B$304,MATCH($B50,RW_Register!$A$5:$A$304,0)),IFERROR(INDEX(Embedded_Wall_Register!$B$5:$B$304,MATCH($B50,Embedded_Wall_Register!$A$5:$A$304,0)),IFERROR(INDEX(Manhole_Register!$B$5:$B$304,MATCH($B50,Manhole_Register!$A$5:$A$304,0)),IFERROR(INDEX(ERSS_Pit_Register!$B$5:$B$304,MATCH($B50,ERSS_Pit_Register!$A$5:$A$304,0)),IFERROR(INDEX(Linkway_Register!$B$5:$B$304,MATCH($B50,Linkway_Register!$A$5:$A$304,0)),IFERROR(INDEX(Other_Register!$B$5:$B$304,MATCH($B50,Other_Register!$A$5:$A$304,0)),"ID not found - check spelling"))))))))</f>
        <v/>
      </c>
      <c r="I50" s="10" t="str">
        <f aca="false">IF($B50="","",IFERROR(INDEX(Drain_Register!$U$5:$U$304,MATCH($B50,Drain_Register!$A$5:$A$304,0)),IFERROR(INDEX(RW_Register!$AA$5:$AA$304,MATCH($B50,RW_Register!$A$5:$A$304,0)),IFERROR(INDEX(Embedded_Wall_Register!$X$5:$X$304,MATCH($B50,Embedded_Wall_Register!$A$5:$A$304,0)),IFERROR(INDEX(Manhole_Register!$AA$5:$AA$304,MATCH($B50,Manhole_Register!$A$5:$A$304,0)),IFERROR(INDEX(ERSS_Pit_Register!$U$5:$U$304,MATCH($B50,ERSS_Pit_Register!$A$5:$A$304,0)),IFERROR(INDEX(Linkway_Register!$W$5:$W$304,MATCH($B50,Linkway_Register!$A$5:$A$304,0)),IFERROR(INDEX(Other_Register!$M$5:$M$304,MATCH($B50,Other_Register!$A$5:$A$304,0)),""))))))))</f>
        <v/>
      </c>
      <c r="J50" s="10" t="str">
        <f aca="false">IF($B50="","",IFERROR(INDEX(Drain_Register!$V$5:$V$304,MATCH($B50,Drain_Register!$A$5:$A$304,0)),IFERROR(INDEX(RW_Register!$AB$5:$AB$304,MATCH($B50,RW_Register!$A$5:$A$304,0)),IFERROR(INDEX(Embedded_Wall_Register!$Y$5:$Y$304,MATCH($B50,Embedded_Wall_Register!$A$5:$A$304,0)),IFERROR(INDEX(Manhole_Register!$AB$5:$AB$304,MATCH($B50,Manhole_Register!$A$5:$A$304,0)),IFERROR(INDEX(ERSS_Pit_Register!$V$5:$V$304,MATCH($B50,ERSS_Pit_Register!$A$5:$A$304,0)),IFERROR(INDEX(Linkway_Register!$X$5:$X$304,MATCH($B50,Linkway_Register!$A$5:$A$304,0)),IFERROR(INDEX(Other_Register!$N$5:$N$304,MATCH($B50,Other_Register!$A$5:$A$304,0)),""))))))))</f>
        <v/>
      </c>
      <c r="K50" s="10" t="str">
        <f aca="false">IF($B50="","",IFERROR(INDEX(Drain_Register!$W$5:$W$304,MATCH($B50,Drain_Register!$A$5:$A$304,0)),IFERROR(INDEX(RW_Register!$AC$5:$AC$304,MATCH($B50,RW_Register!$A$5:$A$304,0)),IFERROR(INDEX(Embedded_Wall_Register!$Z$5:$Z$304,MATCH($B50,Embedded_Wall_Register!$A$5:$A$304,0)),IFERROR(INDEX(Manhole_Register!$AC$5:$AC$304,MATCH($B50,Manhole_Register!$A$5:$A$304,0)),IFERROR(INDEX(ERSS_Pit_Register!$W$5:$W$304,MATCH($B50,ERSS_Pit_Register!$A$5:$A$304,0)),IFERROR(INDEX(Linkway_Register!$Y$5:$Y$304,MATCH($B50,Linkway_Register!$A$5:$A$304,0)),IFERROR(INDEX(Other_Register!$O$5:$O$304,MATCH($B50,Other_Register!$A$5:$A$304,0)),""))))))))</f>
        <v/>
      </c>
      <c r="L50" s="10" t="str">
        <f aca="false">IF($B50="","",IFERROR(INDEX(Drain_Register!$X$5:$X$304,MATCH($B50,Drain_Register!$A$5:$A$304,0)),IFERROR(INDEX(RW_Register!$AD$5:$AD$304,MATCH($B50,RW_Register!$A$5:$A$304,0)),IFERROR(INDEX(Embedded_Wall_Register!$AA$5:$AA$304,MATCH($B50,Embedded_Wall_Register!$A$5:$A$304,0)),IFERROR(INDEX(Manhole_Register!$AD$5:$AD$304,MATCH($B50,Manhole_Register!$A$5:$A$304,0)),IFERROR(INDEX(ERSS_Pit_Register!$X$5:$X$304,MATCH($B50,ERSS_Pit_Register!$A$5:$A$304,0)),IFERROR(INDEX(Linkway_Register!$Z$5:$Z$304,MATCH($B50,Linkway_Register!$A$5:$A$304,0)),IFERROR(INDEX(Other_Register!$P$5:$P$304,MATCH($B50,Other_Register!$A$5:$A$304,0)),""))))))))</f>
        <v/>
      </c>
      <c r="M50" s="10" t="str">
        <f aca="false">IF($B50="","",IFERROR(INDEX(Drain_Register!$Z$5:$Z$304,MATCH($B50,Drain_Register!$A$5:$A$304,0)),IFERROR(INDEX(RW_Register!$AF$5:$AF$304,MATCH($B50,RW_Register!$A$5:$A$304,0)),IFERROR(INDEX(Embedded_Wall_Register!$AC$5:$AC$304,MATCH($B50,Embedded_Wall_Register!$A$5:$A$304,0)),IFERROR(INDEX(Manhole_Register!$AF$5:$AF$304,MATCH($B50,Manhole_Register!$A$5:$A$304,0)),IFERROR(INDEX(ERSS_Pit_Register!$Z$5:$Z$304,MATCH($B50,ERSS_Pit_Register!$A$5:$A$304,0)),IFERROR(INDEX(Linkway_Register!$AB$5:$AB$304,MATCH($B50,Linkway_Register!$A$5:$A$304,0)),IFERROR(INDEX(Other_Register!$R$5:$R$304,MATCH($B50,Other_Register!$A$5:$A$304,0)),"")))))))&amp;IFERROR(INDEX(Drain_Register!$AA$5:$AA$304,MATCH($B50,Drain_Register!$A$5:$A$304,0)),IFERROR(INDEX(RW_Register!$AG$5:$AG$304,MATCH($B50,RW_Register!$A$5:$A$304,0)),IFERROR(INDEX(Embedded_Wall_Register!$AD$5:$AD$304,MATCH($B50,Embedded_Wall_Register!$A$5:$A$304,0)),IFERROR(INDEX(Manhole_Register!$AG$5:$AG$304,MATCH($B50,Manhole_Register!$A$5:$A$304,0)),IFERROR(INDEX(ERSS_Pit_Register!$AA$5:$AA$304,MATCH($B50,ERSS_Pit_Register!$A$5:$A$304,0)),IFERROR(INDEX(Linkway_Register!$AC$5:$AC$304,MATCH($B50,Linkway_Register!$A$5:$A$304,0)),IFERROR(INDEX(Other_Register!$S$5:$S$304,MATCH($B50,Other_Register!$A$5:$A$304,0)),""))))))))</f>
        <v/>
      </c>
      <c r="N50" s="19" t="str">
        <f aca="false">IF(OR($B50="",$D50=""),"",$D50*N(IFERROR(INDEX(Drain_Register!$AH$5:$AH$304,MATCH($B50,Drain_Register!$A$5:$A$304,0)),IFERROR(INDEX(RW_Register!$AN$5:$AN$304,MATCH($B50,RW_Register!$A$5:$A$304,0)),IFERROR(INDEX(Embedded_Wall_Register!$AK$5:$AK$304,MATCH($B50,Embedded_Wall_Register!$A$5:$A$304,0)),IFERROR(INDEX(Manhole_Register!$AN$5:$AN$304,MATCH($B50,Manhole_Register!$A$5:$A$304,0)),IFERROR(INDEX(ERSS_Pit_Register!$AH$5:$AH$304,MATCH($B50,ERSS_Pit_Register!$A$5:$A$304,0)),IFERROR(INDEX(Linkway_Register!$AJ$5:$AJ$304,MATCH($B50,Linkway_Register!$A$5:$A$304,0)),IFERROR(INDEX(Other_Register!$Z$5:$Z$304,MATCH($B50,Other_Register!$A$5:$A$304,0)),0)))))))))</f>
        <v/>
      </c>
      <c r="O50" s="20" t="str">
        <f aca="false">IF(OR($B50="",$D50=""),"",$D50*N(IFERROR(INDEX(Drain_Register!$AI$5:$AI$304,MATCH($B50,Drain_Register!$A$5:$A$304,0)),IFERROR(INDEX(RW_Register!$AO$5:$AO$304,MATCH($B50,RW_Register!$A$5:$A$304,0)),IFERROR(INDEX(Embedded_Wall_Register!$AL$5:$AL$304,MATCH($B50,Embedded_Wall_Register!$A$5:$A$304,0)),IFERROR(INDEX(Manhole_Register!$AO$5:$AO$304,MATCH($B50,Manhole_Register!$A$5:$A$304,0)),IFERROR(INDEX(ERSS_Pit_Register!$AI$5:$AI$304,MATCH($B50,ERSS_Pit_Register!$A$5:$A$304,0)),IFERROR(INDEX(Linkway_Register!$AK$5:$AK$304,MATCH($B50,Linkway_Register!$A$5:$A$304,0)),IFERROR(INDEX(Other_Register!$AA$5:$AA$304,MATCH($B50,Other_Register!$A$5:$A$304,0)),0))))))))/1000)</f>
        <v/>
      </c>
      <c r="P50" s="20" t="str">
        <f aca="false">IF(OR($B50="",$D50=""),"",$D50*N(IFERROR(INDEX(Drain_Register!$AJ$5:$AJ$304,MATCH($B50,Drain_Register!$A$5:$A$304,0)),IFERROR(INDEX(RW_Register!$AP$5:$AP$304,MATCH($B50,RW_Register!$A$5:$A$304,0)),IFERROR(INDEX(Embedded_Wall_Register!$AM$5:$AM$304,MATCH($B50,Embedded_Wall_Register!$A$5:$A$304,0)),IFERROR(INDEX(Manhole_Register!$AP$5:$AP$304,MATCH($B50,Manhole_Register!$A$5:$A$304,0)),IFERROR(INDEX(ERSS_Pit_Register!$AJ$5:$AJ$304,MATCH($B50,ERSS_Pit_Register!$A$5:$A$304,0)),IFERROR(INDEX(Linkway_Register!$AL$5:$AL$304,MATCH($B50,Linkway_Register!$A$5:$A$304,0)),IFERROR(INDEX(Other_Register!$AB$5:$AB$304,MATCH($B50,Other_Register!$A$5:$A$304,0)),0))))))))/1000)</f>
        <v/>
      </c>
      <c r="Q50" s="19" t="str">
        <f aca="false">IF(OR($B50="",$D50=""),"",$D50*N(IFERROR(INDEX(Drain_Register!$AK$5:$AK$304,MATCH($B50,Drain_Register!$A$5:$A$304,0)),IFERROR(INDEX(RW_Register!$AQ$5:$AQ$304,MATCH($B50,RW_Register!$A$5:$A$304,0)),IFERROR(INDEX(Embedded_Wall_Register!$AN$5:$AN$304,MATCH($B50,Embedded_Wall_Register!$A$5:$A$304,0)),IFERROR(INDEX(Manhole_Register!$AQ$5:$AQ$304,MATCH($B50,Manhole_Register!$A$5:$A$304,0)),IFERROR(INDEX(ERSS_Pit_Register!$AK$5:$AK$304,MATCH($B50,ERSS_Pit_Register!$A$5:$A$304,0)),IFERROR(INDEX(Linkway_Register!$AM$5:$AM$304,MATCH($B50,Linkway_Register!$A$5:$A$304,0)),IFERROR(INDEX(Other_Register!$AC$5:$AC$304,MATCH($B50,Other_Register!$A$5:$A$304,0)),0)))))))))</f>
        <v/>
      </c>
      <c r="R50" s="19" t="str">
        <f aca="false">IF(OR($B50="",$D50=""),"",$D50*N(IFERROR(INDEX(Drain_Register!$AL$5:$AL$304,MATCH($B50,Drain_Register!$A$5:$A$304,0)),IFERROR(INDEX(RW_Register!$AR$5:$AR$304,MATCH($B50,RW_Register!$A$5:$A$304,0)),IFERROR(INDEX(Embedded_Wall_Register!$AO$5:$AO$304,MATCH($B50,Embedded_Wall_Register!$A$5:$A$304,0)),IFERROR(INDEX(Manhole_Register!$AR$5:$AR$304,MATCH($B50,Manhole_Register!$A$5:$A$304,0)),IFERROR(INDEX(ERSS_Pit_Register!$AL$5:$AL$304,MATCH($B50,ERSS_Pit_Register!$A$5:$A$304,0)),IFERROR(INDEX(Linkway_Register!$AN$5:$AN$304,MATCH($B50,Linkway_Register!$A$5:$A$304,0)),IFERROR(INDEX(Other_Register!$AD$5:$AD$304,MATCH($B50,Other_Register!$A$5:$A$304,0)),0)))))))))</f>
        <v/>
      </c>
      <c r="S50" s="10" t="str">
        <f aca="false">IF($B50="","",IF(G50="","ID not found",IF(J50&lt;&gt;"Approved","WARNING: status is "&amp;J50,IF(IFERROR(INDEX(Drain_Register!$AV$5:$AV$304,MATCH($B50,Drain_Register!$A$5:$A$304,0)),IFERROR(INDEX(RW_Register!$BA$5:$BA$304,MATCH($B50,RW_Register!$A$5:$A$304,0)),IFERROR(INDEX(Embedded_Wall_Register!$AX$5:$AX$304,MATCH($B50,Embedded_Wall_Register!$A$5:$A$304,0)),IFERROR(INDEX(Manhole_Register!$AZ$5:$AZ$304,MATCH($B50,Manhole_Register!$A$5:$A$304,0)),IFERROR(INDEX(ERSS_Pit_Register!$AU$5:$AU$304,MATCH($B50,ERSS_Pit_Register!$A$5:$A$304,0)),IFERROR(INDEX(Linkway_Register!$AV$5:$AV$304,MATCH($B50,Linkway_Register!$A$5:$A$304,0)),IFERROR(INDEX(Other_Register!$AL$5:$AL$304,MATCH($B50,Other_Register!$A$5:$A$304,0)),"")))))))="N","WARNING: fails SG compliance check",IF(D50="","Enter length / qty",IF(E50="","Enter CAD sheet no.","OK"))))))</f>
        <v/>
      </c>
    </row>
    <row r="51" customFormat="false" ht="15" hidden="false" customHeight="false" outlineLevel="0" collapsed="false">
      <c r="A51" s="9"/>
      <c r="B51" s="9"/>
      <c r="C51" s="9"/>
      <c r="D51" s="9"/>
      <c r="E51" s="9"/>
      <c r="F51" s="10" t="str">
        <f aca="false">IF($B51="","",IFERROR(INDEX(Drain_Register!$AG$5:$AG$304,MATCH($B51,Drain_Register!$A$5:$A$304,0)),IFERROR(INDEX(RW_Register!$AM$5:$AM$304,MATCH($B51,RW_Register!$A$5:$A$304,0)),IFERROR(INDEX(Embedded_Wall_Register!$AJ$5:$AJ$304,MATCH($B51,Embedded_Wall_Register!$A$5:$A$304,0)),IFERROR(INDEX(Manhole_Register!$AM$5:$AM$304,MATCH($B51,Manhole_Register!$A$5:$A$304,0)),IFERROR(INDEX(ERSS_Pit_Register!$AG$5:$AG$304,MATCH($B51,ERSS_Pit_Register!$A$5:$A$304,0)),IFERROR(INDEX(Linkway_Register!$AI$5:$AI$304,MATCH($B51,Linkway_Register!$A$5:$A$304,0)),IFERROR(INDEX(Other_Register!$Y$5:$Y$304,MATCH($B51,Other_Register!$A$5:$A$304,0)),""))))))))</f>
        <v/>
      </c>
      <c r="G51" s="10" t="str">
        <f aca="false">IF($B51="","",IF(ISNUMBER(MATCH($B51,Drain_Register!$A$5:$A$304,0)),"Drain",IF(ISNUMBER(MATCH($B51,RW_Register!$A$5:$A$304,0)),"Ret. Wall",IF(ISNUMBER(MATCH($B51,Embedded_Wall_Register!$A$5:$A$304,0)),"Embedded Wall",IF(ISNUMBER(MATCH($B51,Manhole_Register!$A$5:$A$304,0)),"Manhole",IF(ISNUMBER(MATCH($B51,ERSS_Pit_Register!$A$5:$A$304,0)),"ERSS Pit",IF(ISNUMBER(MATCH($B51,Linkway_Register!$A$5:$A$304,0)),"Linkway",IF(ISNUMBER(MATCH($B51,Other_Register!$A$5:$A$304,0)),"Others",""))))))))</f>
        <v/>
      </c>
      <c r="H51" s="10" t="str">
        <f aca="false">IF($B51="","",IFERROR(INDEX(Drain_Register!$B$5:$B$304,MATCH($B51,Drain_Register!$A$5:$A$304,0)),IFERROR(INDEX(RW_Register!$B$5:$B$304,MATCH($B51,RW_Register!$A$5:$A$304,0)),IFERROR(INDEX(Embedded_Wall_Register!$B$5:$B$304,MATCH($B51,Embedded_Wall_Register!$A$5:$A$304,0)),IFERROR(INDEX(Manhole_Register!$B$5:$B$304,MATCH($B51,Manhole_Register!$A$5:$A$304,0)),IFERROR(INDEX(ERSS_Pit_Register!$B$5:$B$304,MATCH($B51,ERSS_Pit_Register!$A$5:$A$304,0)),IFERROR(INDEX(Linkway_Register!$B$5:$B$304,MATCH($B51,Linkway_Register!$A$5:$A$304,0)),IFERROR(INDEX(Other_Register!$B$5:$B$304,MATCH($B51,Other_Register!$A$5:$A$304,0)),"ID not found - check spelling"))))))))</f>
        <v/>
      </c>
      <c r="I51" s="10" t="str">
        <f aca="false">IF($B51="","",IFERROR(INDEX(Drain_Register!$U$5:$U$304,MATCH($B51,Drain_Register!$A$5:$A$304,0)),IFERROR(INDEX(RW_Register!$AA$5:$AA$304,MATCH($B51,RW_Register!$A$5:$A$304,0)),IFERROR(INDEX(Embedded_Wall_Register!$X$5:$X$304,MATCH($B51,Embedded_Wall_Register!$A$5:$A$304,0)),IFERROR(INDEX(Manhole_Register!$AA$5:$AA$304,MATCH($B51,Manhole_Register!$A$5:$A$304,0)),IFERROR(INDEX(ERSS_Pit_Register!$U$5:$U$304,MATCH($B51,ERSS_Pit_Register!$A$5:$A$304,0)),IFERROR(INDEX(Linkway_Register!$W$5:$W$304,MATCH($B51,Linkway_Register!$A$5:$A$304,0)),IFERROR(INDEX(Other_Register!$M$5:$M$304,MATCH($B51,Other_Register!$A$5:$A$304,0)),""))))))))</f>
        <v/>
      </c>
      <c r="J51" s="10" t="str">
        <f aca="false">IF($B51="","",IFERROR(INDEX(Drain_Register!$V$5:$V$304,MATCH($B51,Drain_Register!$A$5:$A$304,0)),IFERROR(INDEX(RW_Register!$AB$5:$AB$304,MATCH($B51,RW_Register!$A$5:$A$304,0)),IFERROR(INDEX(Embedded_Wall_Register!$Y$5:$Y$304,MATCH($B51,Embedded_Wall_Register!$A$5:$A$304,0)),IFERROR(INDEX(Manhole_Register!$AB$5:$AB$304,MATCH($B51,Manhole_Register!$A$5:$A$304,0)),IFERROR(INDEX(ERSS_Pit_Register!$V$5:$V$304,MATCH($B51,ERSS_Pit_Register!$A$5:$A$304,0)),IFERROR(INDEX(Linkway_Register!$X$5:$X$304,MATCH($B51,Linkway_Register!$A$5:$A$304,0)),IFERROR(INDEX(Other_Register!$N$5:$N$304,MATCH($B51,Other_Register!$A$5:$A$304,0)),""))))))))</f>
        <v/>
      </c>
      <c r="K51" s="10" t="str">
        <f aca="false">IF($B51="","",IFERROR(INDEX(Drain_Register!$W$5:$W$304,MATCH($B51,Drain_Register!$A$5:$A$304,0)),IFERROR(INDEX(RW_Register!$AC$5:$AC$304,MATCH($B51,RW_Register!$A$5:$A$304,0)),IFERROR(INDEX(Embedded_Wall_Register!$Z$5:$Z$304,MATCH($B51,Embedded_Wall_Register!$A$5:$A$304,0)),IFERROR(INDEX(Manhole_Register!$AC$5:$AC$304,MATCH($B51,Manhole_Register!$A$5:$A$304,0)),IFERROR(INDEX(ERSS_Pit_Register!$W$5:$W$304,MATCH($B51,ERSS_Pit_Register!$A$5:$A$304,0)),IFERROR(INDEX(Linkway_Register!$Y$5:$Y$304,MATCH($B51,Linkway_Register!$A$5:$A$304,0)),IFERROR(INDEX(Other_Register!$O$5:$O$304,MATCH($B51,Other_Register!$A$5:$A$304,0)),""))))))))</f>
        <v/>
      </c>
      <c r="L51" s="10" t="str">
        <f aca="false">IF($B51="","",IFERROR(INDEX(Drain_Register!$X$5:$X$304,MATCH($B51,Drain_Register!$A$5:$A$304,0)),IFERROR(INDEX(RW_Register!$AD$5:$AD$304,MATCH($B51,RW_Register!$A$5:$A$304,0)),IFERROR(INDEX(Embedded_Wall_Register!$AA$5:$AA$304,MATCH($B51,Embedded_Wall_Register!$A$5:$A$304,0)),IFERROR(INDEX(Manhole_Register!$AD$5:$AD$304,MATCH($B51,Manhole_Register!$A$5:$A$304,0)),IFERROR(INDEX(ERSS_Pit_Register!$X$5:$X$304,MATCH($B51,ERSS_Pit_Register!$A$5:$A$304,0)),IFERROR(INDEX(Linkway_Register!$Z$5:$Z$304,MATCH($B51,Linkway_Register!$A$5:$A$304,0)),IFERROR(INDEX(Other_Register!$P$5:$P$304,MATCH($B51,Other_Register!$A$5:$A$304,0)),""))))))))</f>
        <v/>
      </c>
      <c r="M51" s="10" t="str">
        <f aca="false">IF($B51="","",IFERROR(INDEX(Drain_Register!$Z$5:$Z$304,MATCH($B51,Drain_Register!$A$5:$A$304,0)),IFERROR(INDEX(RW_Register!$AF$5:$AF$304,MATCH($B51,RW_Register!$A$5:$A$304,0)),IFERROR(INDEX(Embedded_Wall_Register!$AC$5:$AC$304,MATCH($B51,Embedded_Wall_Register!$A$5:$A$304,0)),IFERROR(INDEX(Manhole_Register!$AF$5:$AF$304,MATCH($B51,Manhole_Register!$A$5:$A$304,0)),IFERROR(INDEX(ERSS_Pit_Register!$Z$5:$Z$304,MATCH($B51,ERSS_Pit_Register!$A$5:$A$304,0)),IFERROR(INDEX(Linkway_Register!$AB$5:$AB$304,MATCH($B51,Linkway_Register!$A$5:$A$304,0)),IFERROR(INDEX(Other_Register!$R$5:$R$304,MATCH($B51,Other_Register!$A$5:$A$304,0)),"")))))))&amp;IFERROR(INDEX(Drain_Register!$AA$5:$AA$304,MATCH($B51,Drain_Register!$A$5:$A$304,0)),IFERROR(INDEX(RW_Register!$AG$5:$AG$304,MATCH($B51,RW_Register!$A$5:$A$304,0)),IFERROR(INDEX(Embedded_Wall_Register!$AD$5:$AD$304,MATCH($B51,Embedded_Wall_Register!$A$5:$A$304,0)),IFERROR(INDEX(Manhole_Register!$AG$5:$AG$304,MATCH($B51,Manhole_Register!$A$5:$A$304,0)),IFERROR(INDEX(ERSS_Pit_Register!$AA$5:$AA$304,MATCH($B51,ERSS_Pit_Register!$A$5:$A$304,0)),IFERROR(INDEX(Linkway_Register!$AC$5:$AC$304,MATCH($B51,Linkway_Register!$A$5:$A$304,0)),IFERROR(INDEX(Other_Register!$S$5:$S$304,MATCH($B51,Other_Register!$A$5:$A$304,0)),""))))))))</f>
        <v/>
      </c>
      <c r="N51" s="19" t="str">
        <f aca="false">IF(OR($B51="",$D51=""),"",$D51*N(IFERROR(INDEX(Drain_Register!$AH$5:$AH$304,MATCH($B51,Drain_Register!$A$5:$A$304,0)),IFERROR(INDEX(RW_Register!$AN$5:$AN$304,MATCH($B51,RW_Register!$A$5:$A$304,0)),IFERROR(INDEX(Embedded_Wall_Register!$AK$5:$AK$304,MATCH($B51,Embedded_Wall_Register!$A$5:$A$304,0)),IFERROR(INDEX(Manhole_Register!$AN$5:$AN$304,MATCH($B51,Manhole_Register!$A$5:$A$304,0)),IFERROR(INDEX(ERSS_Pit_Register!$AH$5:$AH$304,MATCH($B51,ERSS_Pit_Register!$A$5:$A$304,0)),IFERROR(INDEX(Linkway_Register!$AJ$5:$AJ$304,MATCH($B51,Linkway_Register!$A$5:$A$304,0)),IFERROR(INDEX(Other_Register!$Z$5:$Z$304,MATCH($B51,Other_Register!$A$5:$A$304,0)),0)))))))))</f>
        <v/>
      </c>
      <c r="O51" s="20" t="str">
        <f aca="false">IF(OR($B51="",$D51=""),"",$D51*N(IFERROR(INDEX(Drain_Register!$AI$5:$AI$304,MATCH($B51,Drain_Register!$A$5:$A$304,0)),IFERROR(INDEX(RW_Register!$AO$5:$AO$304,MATCH($B51,RW_Register!$A$5:$A$304,0)),IFERROR(INDEX(Embedded_Wall_Register!$AL$5:$AL$304,MATCH($B51,Embedded_Wall_Register!$A$5:$A$304,0)),IFERROR(INDEX(Manhole_Register!$AO$5:$AO$304,MATCH($B51,Manhole_Register!$A$5:$A$304,0)),IFERROR(INDEX(ERSS_Pit_Register!$AI$5:$AI$304,MATCH($B51,ERSS_Pit_Register!$A$5:$A$304,0)),IFERROR(INDEX(Linkway_Register!$AK$5:$AK$304,MATCH($B51,Linkway_Register!$A$5:$A$304,0)),IFERROR(INDEX(Other_Register!$AA$5:$AA$304,MATCH($B51,Other_Register!$A$5:$A$304,0)),0))))))))/1000)</f>
        <v/>
      </c>
      <c r="P51" s="20" t="str">
        <f aca="false">IF(OR($B51="",$D51=""),"",$D51*N(IFERROR(INDEX(Drain_Register!$AJ$5:$AJ$304,MATCH($B51,Drain_Register!$A$5:$A$304,0)),IFERROR(INDEX(RW_Register!$AP$5:$AP$304,MATCH($B51,RW_Register!$A$5:$A$304,0)),IFERROR(INDEX(Embedded_Wall_Register!$AM$5:$AM$304,MATCH($B51,Embedded_Wall_Register!$A$5:$A$304,0)),IFERROR(INDEX(Manhole_Register!$AP$5:$AP$304,MATCH($B51,Manhole_Register!$A$5:$A$304,0)),IFERROR(INDEX(ERSS_Pit_Register!$AJ$5:$AJ$304,MATCH($B51,ERSS_Pit_Register!$A$5:$A$304,0)),IFERROR(INDEX(Linkway_Register!$AL$5:$AL$304,MATCH($B51,Linkway_Register!$A$5:$A$304,0)),IFERROR(INDEX(Other_Register!$AB$5:$AB$304,MATCH($B51,Other_Register!$A$5:$A$304,0)),0))))))))/1000)</f>
        <v/>
      </c>
      <c r="Q51" s="19" t="str">
        <f aca="false">IF(OR($B51="",$D51=""),"",$D51*N(IFERROR(INDEX(Drain_Register!$AK$5:$AK$304,MATCH($B51,Drain_Register!$A$5:$A$304,0)),IFERROR(INDEX(RW_Register!$AQ$5:$AQ$304,MATCH($B51,RW_Register!$A$5:$A$304,0)),IFERROR(INDEX(Embedded_Wall_Register!$AN$5:$AN$304,MATCH($B51,Embedded_Wall_Register!$A$5:$A$304,0)),IFERROR(INDEX(Manhole_Register!$AQ$5:$AQ$304,MATCH($B51,Manhole_Register!$A$5:$A$304,0)),IFERROR(INDEX(ERSS_Pit_Register!$AK$5:$AK$304,MATCH($B51,ERSS_Pit_Register!$A$5:$A$304,0)),IFERROR(INDEX(Linkway_Register!$AM$5:$AM$304,MATCH($B51,Linkway_Register!$A$5:$A$304,0)),IFERROR(INDEX(Other_Register!$AC$5:$AC$304,MATCH($B51,Other_Register!$A$5:$A$304,0)),0)))))))))</f>
        <v/>
      </c>
      <c r="R51" s="19" t="str">
        <f aca="false">IF(OR($B51="",$D51=""),"",$D51*N(IFERROR(INDEX(Drain_Register!$AL$5:$AL$304,MATCH($B51,Drain_Register!$A$5:$A$304,0)),IFERROR(INDEX(RW_Register!$AR$5:$AR$304,MATCH($B51,RW_Register!$A$5:$A$304,0)),IFERROR(INDEX(Embedded_Wall_Register!$AO$5:$AO$304,MATCH($B51,Embedded_Wall_Register!$A$5:$A$304,0)),IFERROR(INDEX(Manhole_Register!$AR$5:$AR$304,MATCH($B51,Manhole_Register!$A$5:$A$304,0)),IFERROR(INDEX(ERSS_Pit_Register!$AL$5:$AL$304,MATCH($B51,ERSS_Pit_Register!$A$5:$A$304,0)),IFERROR(INDEX(Linkway_Register!$AN$5:$AN$304,MATCH($B51,Linkway_Register!$A$5:$A$304,0)),IFERROR(INDEX(Other_Register!$AD$5:$AD$304,MATCH($B51,Other_Register!$A$5:$A$304,0)),0)))))))))</f>
        <v/>
      </c>
      <c r="S51" s="10" t="str">
        <f aca="false">IF($B51="","",IF(G51="","ID not found",IF(J51&lt;&gt;"Approved","WARNING: status is "&amp;J51,IF(IFERROR(INDEX(Drain_Register!$AV$5:$AV$304,MATCH($B51,Drain_Register!$A$5:$A$304,0)),IFERROR(INDEX(RW_Register!$BA$5:$BA$304,MATCH($B51,RW_Register!$A$5:$A$304,0)),IFERROR(INDEX(Embedded_Wall_Register!$AX$5:$AX$304,MATCH($B51,Embedded_Wall_Register!$A$5:$A$304,0)),IFERROR(INDEX(Manhole_Register!$AZ$5:$AZ$304,MATCH($B51,Manhole_Register!$A$5:$A$304,0)),IFERROR(INDEX(ERSS_Pit_Register!$AU$5:$AU$304,MATCH($B51,ERSS_Pit_Register!$A$5:$A$304,0)),IFERROR(INDEX(Linkway_Register!$AV$5:$AV$304,MATCH($B51,Linkway_Register!$A$5:$A$304,0)),IFERROR(INDEX(Other_Register!$AL$5:$AL$304,MATCH($B51,Other_Register!$A$5:$A$304,0)),"")))))))="N","WARNING: fails SG compliance check",IF(D51="","Enter length / qty",IF(E51="","Enter CAD sheet no.","OK"))))))</f>
        <v/>
      </c>
    </row>
    <row r="52" customFormat="false" ht="15" hidden="false" customHeight="false" outlineLevel="0" collapsed="false">
      <c r="A52" s="9"/>
      <c r="B52" s="9"/>
      <c r="C52" s="9"/>
      <c r="D52" s="9"/>
      <c r="E52" s="9"/>
      <c r="F52" s="10" t="str">
        <f aca="false">IF($B52="","",IFERROR(INDEX(Drain_Register!$AG$5:$AG$304,MATCH($B52,Drain_Register!$A$5:$A$304,0)),IFERROR(INDEX(RW_Register!$AM$5:$AM$304,MATCH($B52,RW_Register!$A$5:$A$304,0)),IFERROR(INDEX(Embedded_Wall_Register!$AJ$5:$AJ$304,MATCH($B52,Embedded_Wall_Register!$A$5:$A$304,0)),IFERROR(INDEX(Manhole_Register!$AM$5:$AM$304,MATCH($B52,Manhole_Register!$A$5:$A$304,0)),IFERROR(INDEX(ERSS_Pit_Register!$AG$5:$AG$304,MATCH($B52,ERSS_Pit_Register!$A$5:$A$304,0)),IFERROR(INDEX(Linkway_Register!$AI$5:$AI$304,MATCH($B52,Linkway_Register!$A$5:$A$304,0)),IFERROR(INDEX(Other_Register!$Y$5:$Y$304,MATCH($B52,Other_Register!$A$5:$A$304,0)),""))))))))</f>
        <v/>
      </c>
      <c r="G52" s="10" t="str">
        <f aca="false">IF($B52="","",IF(ISNUMBER(MATCH($B52,Drain_Register!$A$5:$A$304,0)),"Drain",IF(ISNUMBER(MATCH($B52,RW_Register!$A$5:$A$304,0)),"Ret. Wall",IF(ISNUMBER(MATCH($B52,Embedded_Wall_Register!$A$5:$A$304,0)),"Embedded Wall",IF(ISNUMBER(MATCH($B52,Manhole_Register!$A$5:$A$304,0)),"Manhole",IF(ISNUMBER(MATCH($B52,ERSS_Pit_Register!$A$5:$A$304,0)),"ERSS Pit",IF(ISNUMBER(MATCH($B52,Linkway_Register!$A$5:$A$304,0)),"Linkway",IF(ISNUMBER(MATCH($B52,Other_Register!$A$5:$A$304,0)),"Others",""))))))))</f>
        <v/>
      </c>
      <c r="H52" s="10" t="str">
        <f aca="false">IF($B52="","",IFERROR(INDEX(Drain_Register!$B$5:$B$304,MATCH($B52,Drain_Register!$A$5:$A$304,0)),IFERROR(INDEX(RW_Register!$B$5:$B$304,MATCH($B52,RW_Register!$A$5:$A$304,0)),IFERROR(INDEX(Embedded_Wall_Register!$B$5:$B$304,MATCH($B52,Embedded_Wall_Register!$A$5:$A$304,0)),IFERROR(INDEX(Manhole_Register!$B$5:$B$304,MATCH($B52,Manhole_Register!$A$5:$A$304,0)),IFERROR(INDEX(ERSS_Pit_Register!$B$5:$B$304,MATCH($B52,ERSS_Pit_Register!$A$5:$A$304,0)),IFERROR(INDEX(Linkway_Register!$B$5:$B$304,MATCH($B52,Linkway_Register!$A$5:$A$304,0)),IFERROR(INDEX(Other_Register!$B$5:$B$304,MATCH($B52,Other_Register!$A$5:$A$304,0)),"ID not found - check spelling"))))))))</f>
        <v/>
      </c>
      <c r="I52" s="10" t="str">
        <f aca="false">IF($B52="","",IFERROR(INDEX(Drain_Register!$U$5:$U$304,MATCH($B52,Drain_Register!$A$5:$A$304,0)),IFERROR(INDEX(RW_Register!$AA$5:$AA$304,MATCH($B52,RW_Register!$A$5:$A$304,0)),IFERROR(INDEX(Embedded_Wall_Register!$X$5:$X$304,MATCH($B52,Embedded_Wall_Register!$A$5:$A$304,0)),IFERROR(INDEX(Manhole_Register!$AA$5:$AA$304,MATCH($B52,Manhole_Register!$A$5:$A$304,0)),IFERROR(INDEX(ERSS_Pit_Register!$U$5:$U$304,MATCH($B52,ERSS_Pit_Register!$A$5:$A$304,0)),IFERROR(INDEX(Linkway_Register!$W$5:$W$304,MATCH($B52,Linkway_Register!$A$5:$A$304,0)),IFERROR(INDEX(Other_Register!$M$5:$M$304,MATCH($B52,Other_Register!$A$5:$A$304,0)),""))))))))</f>
        <v/>
      </c>
      <c r="J52" s="10" t="str">
        <f aca="false">IF($B52="","",IFERROR(INDEX(Drain_Register!$V$5:$V$304,MATCH($B52,Drain_Register!$A$5:$A$304,0)),IFERROR(INDEX(RW_Register!$AB$5:$AB$304,MATCH($B52,RW_Register!$A$5:$A$304,0)),IFERROR(INDEX(Embedded_Wall_Register!$Y$5:$Y$304,MATCH($B52,Embedded_Wall_Register!$A$5:$A$304,0)),IFERROR(INDEX(Manhole_Register!$AB$5:$AB$304,MATCH($B52,Manhole_Register!$A$5:$A$304,0)),IFERROR(INDEX(ERSS_Pit_Register!$V$5:$V$304,MATCH($B52,ERSS_Pit_Register!$A$5:$A$304,0)),IFERROR(INDEX(Linkway_Register!$X$5:$X$304,MATCH($B52,Linkway_Register!$A$5:$A$304,0)),IFERROR(INDEX(Other_Register!$N$5:$N$304,MATCH($B52,Other_Register!$A$5:$A$304,0)),""))))))))</f>
        <v/>
      </c>
      <c r="K52" s="10" t="str">
        <f aca="false">IF($B52="","",IFERROR(INDEX(Drain_Register!$W$5:$W$304,MATCH($B52,Drain_Register!$A$5:$A$304,0)),IFERROR(INDEX(RW_Register!$AC$5:$AC$304,MATCH($B52,RW_Register!$A$5:$A$304,0)),IFERROR(INDEX(Embedded_Wall_Register!$Z$5:$Z$304,MATCH($B52,Embedded_Wall_Register!$A$5:$A$304,0)),IFERROR(INDEX(Manhole_Register!$AC$5:$AC$304,MATCH($B52,Manhole_Register!$A$5:$A$304,0)),IFERROR(INDEX(ERSS_Pit_Register!$W$5:$W$304,MATCH($B52,ERSS_Pit_Register!$A$5:$A$304,0)),IFERROR(INDEX(Linkway_Register!$Y$5:$Y$304,MATCH($B52,Linkway_Register!$A$5:$A$304,0)),IFERROR(INDEX(Other_Register!$O$5:$O$304,MATCH($B52,Other_Register!$A$5:$A$304,0)),""))))))))</f>
        <v/>
      </c>
      <c r="L52" s="10" t="str">
        <f aca="false">IF($B52="","",IFERROR(INDEX(Drain_Register!$X$5:$X$304,MATCH($B52,Drain_Register!$A$5:$A$304,0)),IFERROR(INDEX(RW_Register!$AD$5:$AD$304,MATCH($B52,RW_Register!$A$5:$A$304,0)),IFERROR(INDEX(Embedded_Wall_Register!$AA$5:$AA$304,MATCH($B52,Embedded_Wall_Register!$A$5:$A$304,0)),IFERROR(INDEX(Manhole_Register!$AD$5:$AD$304,MATCH($B52,Manhole_Register!$A$5:$A$304,0)),IFERROR(INDEX(ERSS_Pit_Register!$X$5:$X$304,MATCH($B52,ERSS_Pit_Register!$A$5:$A$304,0)),IFERROR(INDEX(Linkway_Register!$Z$5:$Z$304,MATCH($B52,Linkway_Register!$A$5:$A$304,0)),IFERROR(INDEX(Other_Register!$P$5:$P$304,MATCH($B52,Other_Register!$A$5:$A$304,0)),""))))))))</f>
        <v/>
      </c>
      <c r="M52" s="10" t="str">
        <f aca="false">IF($B52="","",IFERROR(INDEX(Drain_Register!$Z$5:$Z$304,MATCH($B52,Drain_Register!$A$5:$A$304,0)),IFERROR(INDEX(RW_Register!$AF$5:$AF$304,MATCH($B52,RW_Register!$A$5:$A$304,0)),IFERROR(INDEX(Embedded_Wall_Register!$AC$5:$AC$304,MATCH($B52,Embedded_Wall_Register!$A$5:$A$304,0)),IFERROR(INDEX(Manhole_Register!$AF$5:$AF$304,MATCH($B52,Manhole_Register!$A$5:$A$304,0)),IFERROR(INDEX(ERSS_Pit_Register!$Z$5:$Z$304,MATCH($B52,ERSS_Pit_Register!$A$5:$A$304,0)),IFERROR(INDEX(Linkway_Register!$AB$5:$AB$304,MATCH($B52,Linkway_Register!$A$5:$A$304,0)),IFERROR(INDEX(Other_Register!$R$5:$R$304,MATCH($B52,Other_Register!$A$5:$A$304,0)),"")))))))&amp;IFERROR(INDEX(Drain_Register!$AA$5:$AA$304,MATCH($B52,Drain_Register!$A$5:$A$304,0)),IFERROR(INDEX(RW_Register!$AG$5:$AG$304,MATCH($B52,RW_Register!$A$5:$A$304,0)),IFERROR(INDEX(Embedded_Wall_Register!$AD$5:$AD$304,MATCH($B52,Embedded_Wall_Register!$A$5:$A$304,0)),IFERROR(INDEX(Manhole_Register!$AG$5:$AG$304,MATCH($B52,Manhole_Register!$A$5:$A$304,0)),IFERROR(INDEX(ERSS_Pit_Register!$AA$5:$AA$304,MATCH($B52,ERSS_Pit_Register!$A$5:$A$304,0)),IFERROR(INDEX(Linkway_Register!$AC$5:$AC$304,MATCH($B52,Linkway_Register!$A$5:$A$304,0)),IFERROR(INDEX(Other_Register!$S$5:$S$304,MATCH($B52,Other_Register!$A$5:$A$304,0)),""))))))))</f>
        <v/>
      </c>
      <c r="N52" s="19" t="str">
        <f aca="false">IF(OR($B52="",$D52=""),"",$D52*N(IFERROR(INDEX(Drain_Register!$AH$5:$AH$304,MATCH($B52,Drain_Register!$A$5:$A$304,0)),IFERROR(INDEX(RW_Register!$AN$5:$AN$304,MATCH($B52,RW_Register!$A$5:$A$304,0)),IFERROR(INDEX(Embedded_Wall_Register!$AK$5:$AK$304,MATCH($B52,Embedded_Wall_Register!$A$5:$A$304,0)),IFERROR(INDEX(Manhole_Register!$AN$5:$AN$304,MATCH($B52,Manhole_Register!$A$5:$A$304,0)),IFERROR(INDEX(ERSS_Pit_Register!$AH$5:$AH$304,MATCH($B52,ERSS_Pit_Register!$A$5:$A$304,0)),IFERROR(INDEX(Linkway_Register!$AJ$5:$AJ$304,MATCH($B52,Linkway_Register!$A$5:$A$304,0)),IFERROR(INDEX(Other_Register!$Z$5:$Z$304,MATCH($B52,Other_Register!$A$5:$A$304,0)),0)))))))))</f>
        <v/>
      </c>
      <c r="O52" s="20" t="str">
        <f aca="false">IF(OR($B52="",$D52=""),"",$D52*N(IFERROR(INDEX(Drain_Register!$AI$5:$AI$304,MATCH($B52,Drain_Register!$A$5:$A$304,0)),IFERROR(INDEX(RW_Register!$AO$5:$AO$304,MATCH($B52,RW_Register!$A$5:$A$304,0)),IFERROR(INDEX(Embedded_Wall_Register!$AL$5:$AL$304,MATCH($B52,Embedded_Wall_Register!$A$5:$A$304,0)),IFERROR(INDEX(Manhole_Register!$AO$5:$AO$304,MATCH($B52,Manhole_Register!$A$5:$A$304,0)),IFERROR(INDEX(ERSS_Pit_Register!$AI$5:$AI$304,MATCH($B52,ERSS_Pit_Register!$A$5:$A$304,0)),IFERROR(INDEX(Linkway_Register!$AK$5:$AK$304,MATCH($B52,Linkway_Register!$A$5:$A$304,0)),IFERROR(INDEX(Other_Register!$AA$5:$AA$304,MATCH($B52,Other_Register!$A$5:$A$304,0)),0))))))))/1000)</f>
        <v/>
      </c>
      <c r="P52" s="20" t="str">
        <f aca="false">IF(OR($B52="",$D52=""),"",$D52*N(IFERROR(INDEX(Drain_Register!$AJ$5:$AJ$304,MATCH($B52,Drain_Register!$A$5:$A$304,0)),IFERROR(INDEX(RW_Register!$AP$5:$AP$304,MATCH($B52,RW_Register!$A$5:$A$304,0)),IFERROR(INDEX(Embedded_Wall_Register!$AM$5:$AM$304,MATCH($B52,Embedded_Wall_Register!$A$5:$A$304,0)),IFERROR(INDEX(Manhole_Register!$AP$5:$AP$304,MATCH($B52,Manhole_Register!$A$5:$A$304,0)),IFERROR(INDEX(ERSS_Pit_Register!$AJ$5:$AJ$304,MATCH($B52,ERSS_Pit_Register!$A$5:$A$304,0)),IFERROR(INDEX(Linkway_Register!$AL$5:$AL$304,MATCH($B52,Linkway_Register!$A$5:$A$304,0)),IFERROR(INDEX(Other_Register!$AB$5:$AB$304,MATCH($B52,Other_Register!$A$5:$A$304,0)),0))))))))/1000)</f>
        <v/>
      </c>
      <c r="Q52" s="19" t="str">
        <f aca="false">IF(OR($B52="",$D52=""),"",$D52*N(IFERROR(INDEX(Drain_Register!$AK$5:$AK$304,MATCH($B52,Drain_Register!$A$5:$A$304,0)),IFERROR(INDEX(RW_Register!$AQ$5:$AQ$304,MATCH($B52,RW_Register!$A$5:$A$304,0)),IFERROR(INDEX(Embedded_Wall_Register!$AN$5:$AN$304,MATCH($B52,Embedded_Wall_Register!$A$5:$A$304,0)),IFERROR(INDEX(Manhole_Register!$AQ$5:$AQ$304,MATCH($B52,Manhole_Register!$A$5:$A$304,0)),IFERROR(INDEX(ERSS_Pit_Register!$AK$5:$AK$304,MATCH($B52,ERSS_Pit_Register!$A$5:$A$304,0)),IFERROR(INDEX(Linkway_Register!$AM$5:$AM$304,MATCH($B52,Linkway_Register!$A$5:$A$304,0)),IFERROR(INDEX(Other_Register!$AC$5:$AC$304,MATCH($B52,Other_Register!$A$5:$A$304,0)),0)))))))))</f>
        <v/>
      </c>
      <c r="R52" s="19" t="str">
        <f aca="false">IF(OR($B52="",$D52=""),"",$D52*N(IFERROR(INDEX(Drain_Register!$AL$5:$AL$304,MATCH($B52,Drain_Register!$A$5:$A$304,0)),IFERROR(INDEX(RW_Register!$AR$5:$AR$304,MATCH($B52,RW_Register!$A$5:$A$304,0)),IFERROR(INDEX(Embedded_Wall_Register!$AO$5:$AO$304,MATCH($B52,Embedded_Wall_Register!$A$5:$A$304,0)),IFERROR(INDEX(Manhole_Register!$AR$5:$AR$304,MATCH($B52,Manhole_Register!$A$5:$A$304,0)),IFERROR(INDEX(ERSS_Pit_Register!$AL$5:$AL$304,MATCH($B52,ERSS_Pit_Register!$A$5:$A$304,0)),IFERROR(INDEX(Linkway_Register!$AN$5:$AN$304,MATCH($B52,Linkway_Register!$A$5:$A$304,0)),IFERROR(INDEX(Other_Register!$AD$5:$AD$304,MATCH($B52,Other_Register!$A$5:$A$304,0)),0)))))))))</f>
        <v/>
      </c>
      <c r="S52" s="10" t="str">
        <f aca="false">IF($B52="","",IF(G52="","ID not found",IF(J52&lt;&gt;"Approved","WARNING: status is "&amp;J52,IF(IFERROR(INDEX(Drain_Register!$AV$5:$AV$304,MATCH($B52,Drain_Register!$A$5:$A$304,0)),IFERROR(INDEX(RW_Register!$BA$5:$BA$304,MATCH($B52,RW_Register!$A$5:$A$304,0)),IFERROR(INDEX(Embedded_Wall_Register!$AX$5:$AX$304,MATCH($B52,Embedded_Wall_Register!$A$5:$A$304,0)),IFERROR(INDEX(Manhole_Register!$AZ$5:$AZ$304,MATCH($B52,Manhole_Register!$A$5:$A$304,0)),IFERROR(INDEX(ERSS_Pit_Register!$AU$5:$AU$304,MATCH($B52,ERSS_Pit_Register!$A$5:$A$304,0)),IFERROR(INDEX(Linkway_Register!$AV$5:$AV$304,MATCH($B52,Linkway_Register!$A$5:$A$304,0)),IFERROR(INDEX(Other_Register!$AL$5:$AL$304,MATCH($B52,Other_Register!$A$5:$A$304,0)),"")))))))="N","WARNING: fails SG compliance check",IF(D52="","Enter length / qty",IF(E52="","Enter CAD sheet no.","OK"))))))</f>
        <v/>
      </c>
    </row>
    <row r="53" customFormat="false" ht="15" hidden="false" customHeight="false" outlineLevel="0" collapsed="false">
      <c r="A53" s="9"/>
      <c r="B53" s="9"/>
      <c r="C53" s="9"/>
      <c r="D53" s="9"/>
      <c r="E53" s="9"/>
      <c r="F53" s="10" t="str">
        <f aca="false">IF($B53="","",IFERROR(INDEX(Drain_Register!$AG$5:$AG$304,MATCH($B53,Drain_Register!$A$5:$A$304,0)),IFERROR(INDEX(RW_Register!$AM$5:$AM$304,MATCH($B53,RW_Register!$A$5:$A$304,0)),IFERROR(INDEX(Embedded_Wall_Register!$AJ$5:$AJ$304,MATCH($B53,Embedded_Wall_Register!$A$5:$A$304,0)),IFERROR(INDEX(Manhole_Register!$AM$5:$AM$304,MATCH($B53,Manhole_Register!$A$5:$A$304,0)),IFERROR(INDEX(ERSS_Pit_Register!$AG$5:$AG$304,MATCH($B53,ERSS_Pit_Register!$A$5:$A$304,0)),IFERROR(INDEX(Linkway_Register!$AI$5:$AI$304,MATCH($B53,Linkway_Register!$A$5:$A$304,0)),IFERROR(INDEX(Other_Register!$Y$5:$Y$304,MATCH($B53,Other_Register!$A$5:$A$304,0)),""))))))))</f>
        <v/>
      </c>
      <c r="G53" s="10" t="str">
        <f aca="false">IF($B53="","",IF(ISNUMBER(MATCH($B53,Drain_Register!$A$5:$A$304,0)),"Drain",IF(ISNUMBER(MATCH($B53,RW_Register!$A$5:$A$304,0)),"Ret. Wall",IF(ISNUMBER(MATCH($B53,Embedded_Wall_Register!$A$5:$A$304,0)),"Embedded Wall",IF(ISNUMBER(MATCH($B53,Manhole_Register!$A$5:$A$304,0)),"Manhole",IF(ISNUMBER(MATCH($B53,ERSS_Pit_Register!$A$5:$A$304,0)),"ERSS Pit",IF(ISNUMBER(MATCH($B53,Linkway_Register!$A$5:$A$304,0)),"Linkway",IF(ISNUMBER(MATCH($B53,Other_Register!$A$5:$A$304,0)),"Others",""))))))))</f>
        <v/>
      </c>
      <c r="H53" s="10" t="str">
        <f aca="false">IF($B53="","",IFERROR(INDEX(Drain_Register!$B$5:$B$304,MATCH($B53,Drain_Register!$A$5:$A$304,0)),IFERROR(INDEX(RW_Register!$B$5:$B$304,MATCH($B53,RW_Register!$A$5:$A$304,0)),IFERROR(INDEX(Embedded_Wall_Register!$B$5:$B$304,MATCH($B53,Embedded_Wall_Register!$A$5:$A$304,0)),IFERROR(INDEX(Manhole_Register!$B$5:$B$304,MATCH($B53,Manhole_Register!$A$5:$A$304,0)),IFERROR(INDEX(ERSS_Pit_Register!$B$5:$B$304,MATCH($B53,ERSS_Pit_Register!$A$5:$A$304,0)),IFERROR(INDEX(Linkway_Register!$B$5:$B$304,MATCH($B53,Linkway_Register!$A$5:$A$304,0)),IFERROR(INDEX(Other_Register!$B$5:$B$304,MATCH($B53,Other_Register!$A$5:$A$304,0)),"ID not found - check spelling"))))))))</f>
        <v/>
      </c>
      <c r="I53" s="10" t="str">
        <f aca="false">IF($B53="","",IFERROR(INDEX(Drain_Register!$U$5:$U$304,MATCH($B53,Drain_Register!$A$5:$A$304,0)),IFERROR(INDEX(RW_Register!$AA$5:$AA$304,MATCH($B53,RW_Register!$A$5:$A$304,0)),IFERROR(INDEX(Embedded_Wall_Register!$X$5:$X$304,MATCH($B53,Embedded_Wall_Register!$A$5:$A$304,0)),IFERROR(INDEX(Manhole_Register!$AA$5:$AA$304,MATCH($B53,Manhole_Register!$A$5:$A$304,0)),IFERROR(INDEX(ERSS_Pit_Register!$U$5:$U$304,MATCH($B53,ERSS_Pit_Register!$A$5:$A$304,0)),IFERROR(INDEX(Linkway_Register!$W$5:$W$304,MATCH($B53,Linkway_Register!$A$5:$A$304,0)),IFERROR(INDEX(Other_Register!$M$5:$M$304,MATCH($B53,Other_Register!$A$5:$A$304,0)),""))))))))</f>
        <v/>
      </c>
      <c r="J53" s="10" t="str">
        <f aca="false">IF($B53="","",IFERROR(INDEX(Drain_Register!$V$5:$V$304,MATCH($B53,Drain_Register!$A$5:$A$304,0)),IFERROR(INDEX(RW_Register!$AB$5:$AB$304,MATCH($B53,RW_Register!$A$5:$A$304,0)),IFERROR(INDEX(Embedded_Wall_Register!$Y$5:$Y$304,MATCH($B53,Embedded_Wall_Register!$A$5:$A$304,0)),IFERROR(INDEX(Manhole_Register!$AB$5:$AB$304,MATCH($B53,Manhole_Register!$A$5:$A$304,0)),IFERROR(INDEX(ERSS_Pit_Register!$V$5:$V$304,MATCH($B53,ERSS_Pit_Register!$A$5:$A$304,0)),IFERROR(INDEX(Linkway_Register!$X$5:$X$304,MATCH($B53,Linkway_Register!$A$5:$A$304,0)),IFERROR(INDEX(Other_Register!$N$5:$N$304,MATCH($B53,Other_Register!$A$5:$A$304,0)),""))))))))</f>
        <v/>
      </c>
      <c r="K53" s="10" t="str">
        <f aca="false">IF($B53="","",IFERROR(INDEX(Drain_Register!$W$5:$W$304,MATCH($B53,Drain_Register!$A$5:$A$304,0)),IFERROR(INDEX(RW_Register!$AC$5:$AC$304,MATCH($B53,RW_Register!$A$5:$A$304,0)),IFERROR(INDEX(Embedded_Wall_Register!$Z$5:$Z$304,MATCH($B53,Embedded_Wall_Register!$A$5:$A$304,0)),IFERROR(INDEX(Manhole_Register!$AC$5:$AC$304,MATCH($B53,Manhole_Register!$A$5:$A$304,0)),IFERROR(INDEX(ERSS_Pit_Register!$W$5:$W$304,MATCH($B53,ERSS_Pit_Register!$A$5:$A$304,0)),IFERROR(INDEX(Linkway_Register!$Y$5:$Y$304,MATCH($B53,Linkway_Register!$A$5:$A$304,0)),IFERROR(INDEX(Other_Register!$O$5:$O$304,MATCH($B53,Other_Register!$A$5:$A$304,0)),""))))))))</f>
        <v/>
      </c>
      <c r="L53" s="10" t="str">
        <f aca="false">IF($B53="","",IFERROR(INDEX(Drain_Register!$X$5:$X$304,MATCH($B53,Drain_Register!$A$5:$A$304,0)),IFERROR(INDEX(RW_Register!$AD$5:$AD$304,MATCH($B53,RW_Register!$A$5:$A$304,0)),IFERROR(INDEX(Embedded_Wall_Register!$AA$5:$AA$304,MATCH($B53,Embedded_Wall_Register!$A$5:$A$304,0)),IFERROR(INDEX(Manhole_Register!$AD$5:$AD$304,MATCH($B53,Manhole_Register!$A$5:$A$304,0)),IFERROR(INDEX(ERSS_Pit_Register!$X$5:$X$304,MATCH($B53,ERSS_Pit_Register!$A$5:$A$304,0)),IFERROR(INDEX(Linkway_Register!$Z$5:$Z$304,MATCH($B53,Linkway_Register!$A$5:$A$304,0)),IFERROR(INDEX(Other_Register!$P$5:$P$304,MATCH($B53,Other_Register!$A$5:$A$304,0)),""))))))))</f>
        <v/>
      </c>
      <c r="M53" s="10" t="str">
        <f aca="false">IF($B53="","",IFERROR(INDEX(Drain_Register!$Z$5:$Z$304,MATCH($B53,Drain_Register!$A$5:$A$304,0)),IFERROR(INDEX(RW_Register!$AF$5:$AF$304,MATCH($B53,RW_Register!$A$5:$A$304,0)),IFERROR(INDEX(Embedded_Wall_Register!$AC$5:$AC$304,MATCH($B53,Embedded_Wall_Register!$A$5:$A$304,0)),IFERROR(INDEX(Manhole_Register!$AF$5:$AF$304,MATCH($B53,Manhole_Register!$A$5:$A$304,0)),IFERROR(INDEX(ERSS_Pit_Register!$Z$5:$Z$304,MATCH($B53,ERSS_Pit_Register!$A$5:$A$304,0)),IFERROR(INDEX(Linkway_Register!$AB$5:$AB$304,MATCH($B53,Linkway_Register!$A$5:$A$304,0)),IFERROR(INDEX(Other_Register!$R$5:$R$304,MATCH($B53,Other_Register!$A$5:$A$304,0)),"")))))))&amp;IFERROR(INDEX(Drain_Register!$AA$5:$AA$304,MATCH($B53,Drain_Register!$A$5:$A$304,0)),IFERROR(INDEX(RW_Register!$AG$5:$AG$304,MATCH($B53,RW_Register!$A$5:$A$304,0)),IFERROR(INDEX(Embedded_Wall_Register!$AD$5:$AD$304,MATCH($B53,Embedded_Wall_Register!$A$5:$A$304,0)),IFERROR(INDEX(Manhole_Register!$AG$5:$AG$304,MATCH($B53,Manhole_Register!$A$5:$A$304,0)),IFERROR(INDEX(ERSS_Pit_Register!$AA$5:$AA$304,MATCH($B53,ERSS_Pit_Register!$A$5:$A$304,0)),IFERROR(INDEX(Linkway_Register!$AC$5:$AC$304,MATCH($B53,Linkway_Register!$A$5:$A$304,0)),IFERROR(INDEX(Other_Register!$S$5:$S$304,MATCH($B53,Other_Register!$A$5:$A$304,0)),""))))))))</f>
        <v/>
      </c>
      <c r="N53" s="19" t="str">
        <f aca="false">IF(OR($B53="",$D53=""),"",$D53*N(IFERROR(INDEX(Drain_Register!$AH$5:$AH$304,MATCH($B53,Drain_Register!$A$5:$A$304,0)),IFERROR(INDEX(RW_Register!$AN$5:$AN$304,MATCH($B53,RW_Register!$A$5:$A$304,0)),IFERROR(INDEX(Embedded_Wall_Register!$AK$5:$AK$304,MATCH($B53,Embedded_Wall_Register!$A$5:$A$304,0)),IFERROR(INDEX(Manhole_Register!$AN$5:$AN$304,MATCH($B53,Manhole_Register!$A$5:$A$304,0)),IFERROR(INDEX(ERSS_Pit_Register!$AH$5:$AH$304,MATCH($B53,ERSS_Pit_Register!$A$5:$A$304,0)),IFERROR(INDEX(Linkway_Register!$AJ$5:$AJ$304,MATCH($B53,Linkway_Register!$A$5:$A$304,0)),IFERROR(INDEX(Other_Register!$Z$5:$Z$304,MATCH($B53,Other_Register!$A$5:$A$304,0)),0)))))))))</f>
        <v/>
      </c>
      <c r="O53" s="20" t="str">
        <f aca="false">IF(OR($B53="",$D53=""),"",$D53*N(IFERROR(INDEX(Drain_Register!$AI$5:$AI$304,MATCH($B53,Drain_Register!$A$5:$A$304,0)),IFERROR(INDEX(RW_Register!$AO$5:$AO$304,MATCH($B53,RW_Register!$A$5:$A$304,0)),IFERROR(INDEX(Embedded_Wall_Register!$AL$5:$AL$304,MATCH($B53,Embedded_Wall_Register!$A$5:$A$304,0)),IFERROR(INDEX(Manhole_Register!$AO$5:$AO$304,MATCH($B53,Manhole_Register!$A$5:$A$304,0)),IFERROR(INDEX(ERSS_Pit_Register!$AI$5:$AI$304,MATCH($B53,ERSS_Pit_Register!$A$5:$A$304,0)),IFERROR(INDEX(Linkway_Register!$AK$5:$AK$304,MATCH($B53,Linkway_Register!$A$5:$A$304,0)),IFERROR(INDEX(Other_Register!$AA$5:$AA$304,MATCH($B53,Other_Register!$A$5:$A$304,0)),0))))))))/1000)</f>
        <v/>
      </c>
      <c r="P53" s="20" t="str">
        <f aca="false">IF(OR($B53="",$D53=""),"",$D53*N(IFERROR(INDEX(Drain_Register!$AJ$5:$AJ$304,MATCH($B53,Drain_Register!$A$5:$A$304,0)),IFERROR(INDEX(RW_Register!$AP$5:$AP$304,MATCH($B53,RW_Register!$A$5:$A$304,0)),IFERROR(INDEX(Embedded_Wall_Register!$AM$5:$AM$304,MATCH($B53,Embedded_Wall_Register!$A$5:$A$304,0)),IFERROR(INDEX(Manhole_Register!$AP$5:$AP$304,MATCH($B53,Manhole_Register!$A$5:$A$304,0)),IFERROR(INDEX(ERSS_Pit_Register!$AJ$5:$AJ$304,MATCH($B53,ERSS_Pit_Register!$A$5:$A$304,0)),IFERROR(INDEX(Linkway_Register!$AL$5:$AL$304,MATCH($B53,Linkway_Register!$A$5:$A$304,0)),IFERROR(INDEX(Other_Register!$AB$5:$AB$304,MATCH($B53,Other_Register!$A$5:$A$304,0)),0))))))))/1000)</f>
        <v/>
      </c>
      <c r="Q53" s="19" t="str">
        <f aca="false">IF(OR($B53="",$D53=""),"",$D53*N(IFERROR(INDEX(Drain_Register!$AK$5:$AK$304,MATCH($B53,Drain_Register!$A$5:$A$304,0)),IFERROR(INDEX(RW_Register!$AQ$5:$AQ$304,MATCH($B53,RW_Register!$A$5:$A$304,0)),IFERROR(INDEX(Embedded_Wall_Register!$AN$5:$AN$304,MATCH($B53,Embedded_Wall_Register!$A$5:$A$304,0)),IFERROR(INDEX(Manhole_Register!$AQ$5:$AQ$304,MATCH($B53,Manhole_Register!$A$5:$A$304,0)),IFERROR(INDEX(ERSS_Pit_Register!$AK$5:$AK$304,MATCH($B53,ERSS_Pit_Register!$A$5:$A$304,0)),IFERROR(INDEX(Linkway_Register!$AM$5:$AM$304,MATCH($B53,Linkway_Register!$A$5:$A$304,0)),IFERROR(INDEX(Other_Register!$AC$5:$AC$304,MATCH($B53,Other_Register!$A$5:$A$304,0)),0)))))))))</f>
        <v/>
      </c>
      <c r="R53" s="19" t="str">
        <f aca="false">IF(OR($B53="",$D53=""),"",$D53*N(IFERROR(INDEX(Drain_Register!$AL$5:$AL$304,MATCH($B53,Drain_Register!$A$5:$A$304,0)),IFERROR(INDEX(RW_Register!$AR$5:$AR$304,MATCH($B53,RW_Register!$A$5:$A$304,0)),IFERROR(INDEX(Embedded_Wall_Register!$AO$5:$AO$304,MATCH($B53,Embedded_Wall_Register!$A$5:$A$304,0)),IFERROR(INDEX(Manhole_Register!$AR$5:$AR$304,MATCH($B53,Manhole_Register!$A$5:$A$304,0)),IFERROR(INDEX(ERSS_Pit_Register!$AL$5:$AL$304,MATCH($B53,ERSS_Pit_Register!$A$5:$A$304,0)),IFERROR(INDEX(Linkway_Register!$AN$5:$AN$304,MATCH($B53,Linkway_Register!$A$5:$A$304,0)),IFERROR(INDEX(Other_Register!$AD$5:$AD$304,MATCH($B53,Other_Register!$A$5:$A$304,0)),0)))))))))</f>
        <v/>
      </c>
      <c r="S53" s="10" t="str">
        <f aca="false">IF($B53="","",IF(G53="","ID not found",IF(J53&lt;&gt;"Approved","WARNING: status is "&amp;J53,IF(IFERROR(INDEX(Drain_Register!$AV$5:$AV$304,MATCH($B53,Drain_Register!$A$5:$A$304,0)),IFERROR(INDEX(RW_Register!$BA$5:$BA$304,MATCH($B53,RW_Register!$A$5:$A$304,0)),IFERROR(INDEX(Embedded_Wall_Register!$AX$5:$AX$304,MATCH($B53,Embedded_Wall_Register!$A$5:$A$304,0)),IFERROR(INDEX(Manhole_Register!$AZ$5:$AZ$304,MATCH($B53,Manhole_Register!$A$5:$A$304,0)),IFERROR(INDEX(ERSS_Pit_Register!$AU$5:$AU$304,MATCH($B53,ERSS_Pit_Register!$A$5:$A$304,0)),IFERROR(INDEX(Linkway_Register!$AV$5:$AV$304,MATCH($B53,Linkway_Register!$A$5:$A$304,0)),IFERROR(INDEX(Other_Register!$AL$5:$AL$304,MATCH($B53,Other_Register!$A$5:$A$304,0)),"")))))))="N","WARNING: fails SG compliance check",IF(D53="","Enter length / qty",IF(E53="","Enter CAD sheet no.","OK"))))))</f>
        <v/>
      </c>
    </row>
    <row r="54" customFormat="false" ht="15" hidden="false" customHeight="false" outlineLevel="0" collapsed="false">
      <c r="A54" s="9"/>
      <c r="B54" s="9"/>
      <c r="C54" s="9"/>
      <c r="D54" s="9"/>
      <c r="E54" s="9"/>
      <c r="F54" s="10" t="str">
        <f aca="false">IF($B54="","",IFERROR(INDEX(Drain_Register!$AG$5:$AG$304,MATCH($B54,Drain_Register!$A$5:$A$304,0)),IFERROR(INDEX(RW_Register!$AM$5:$AM$304,MATCH($B54,RW_Register!$A$5:$A$304,0)),IFERROR(INDEX(Embedded_Wall_Register!$AJ$5:$AJ$304,MATCH($B54,Embedded_Wall_Register!$A$5:$A$304,0)),IFERROR(INDEX(Manhole_Register!$AM$5:$AM$304,MATCH($B54,Manhole_Register!$A$5:$A$304,0)),IFERROR(INDEX(ERSS_Pit_Register!$AG$5:$AG$304,MATCH($B54,ERSS_Pit_Register!$A$5:$A$304,0)),IFERROR(INDEX(Linkway_Register!$AI$5:$AI$304,MATCH($B54,Linkway_Register!$A$5:$A$304,0)),IFERROR(INDEX(Other_Register!$Y$5:$Y$304,MATCH($B54,Other_Register!$A$5:$A$304,0)),""))))))))</f>
        <v/>
      </c>
      <c r="G54" s="10" t="str">
        <f aca="false">IF($B54="","",IF(ISNUMBER(MATCH($B54,Drain_Register!$A$5:$A$304,0)),"Drain",IF(ISNUMBER(MATCH($B54,RW_Register!$A$5:$A$304,0)),"Ret. Wall",IF(ISNUMBER(MATCH($B54,Embedded_Wall_Register!$A$5:$A$304,0)),"Embedded Wall",IF(ISNUMBER(MATCH($B54,Manhole_Register!$A$5:$A$304,0)),"Manhole",IF(ISNUMBER(MATCH($B54,ERSS_Pit_Register!$A$5:$A$304,0)),"ERSS Pit",IF(ISNUMBER(MATCH($B54,Linkway_Register!$A$5:$A$304,0)),"Linkway",IF(ISNUMBER(MATCH($B54,Other_Register!$A$5:$A$304,0)),"Others",""))))))))</f>
        <v/>
      </c>
      <c r="H54" s="10" t="str">
        <f aca="false">IF($B54="","",IFERROR(INDEX(Drain_Register!$B$5:$B$304,MATCH($B54,Drain_Register!$A$5:$A$304,0)),IFERROR(INDEX(RW_Register!$B$5:$B$304,MATCH($B54,RW_Register!$A$5:$A$304,0)),IFERROR(INDEX(Embedded_Wall_Register!$B$5:$B$304,MATCH($B54,Embedded_Wall_Register!$A$5:$A$304,0)),IFERROR(INDEX(Manhole_Register!$B$5:$B$304,MATCH($B54,Manhole_Register!$A$5:$A$304,0)),IFERROR(INDEX(ERSS_Pit_Register!$B$5:$B$304,MATCH($B54,ERSS_Pit_Register!$A$5:$A$304,0)),IFERROR(INDEX(Linkway_Register!$B$5:$B$304,MATCH($B54,Linkway_Register!$A$5:$A$304,0)),IFERROR(INDEX(Other_Register!$B$5:$B$304,MATCH($B54,Other_Register!$A$5:$A$304,0)),"ID not found - check spelling"))))))))</f>
        <v/>
      </c>
      <c r="I54" s="10" t="str">
        <f aca="false">IF($B54="","",IFERROR(INDEX(Drain_Register!$U$5:$U$304,MATCH($B54,Drain_Register!$A$5:$A$304,0)),IFERROR(INDEX(RW_Register!$AA$5:$AA$304,MATCH($B54,RW_Register!$A$5:$A$304,0)),IFERROR(INDEX(Embedded_Wall_Register!$X$5:$X$304,MATCH($B54,Embedded_Wall_Register!$A$5:$A$304,0)),IFERROR(INDEX(Manhole_Register!$AA$5:$AA$304,MATCH($B54,Manhole_Register!$A$5:$A$304,0)),IFERROR(INDEX(ERSS_Pit_Register!$U$5:$U$304,MATCH($B54,ERSS_Pit_Register!$A$5:$A$304,0)),IFERROR(INDEX(Linkway_Register!$W$5:$W$304,MATCH($B54,Linkway_Register!$A$5:$A$304,0)),IFERROR(INDEX(Other_Register!$M$5:$M$304,MATCH($B54,Other_Register!$A$5:$A$304,0)),""))))))))</f>
        <v/>
      </c>
      <c r="J54" s="10" t="str">
        <f aca="false">IF($B54="","",IFERROR(INDEX(Drain_Register!$V$5:$V$304,MATCH($B54,Drain_Register!$A$5:$A$304,0)),IFERROR(INDEX(RW_Register!$AB$5:$AB$304,MATCH($B54,RW_Register!$A$5:$A$304,0)),IFERROR(INDEX(Embedded_Wall_Register!$Y$5:$Y$304,MATCH($B54,Embedded_Wall_Register!$A$5:$A$304,0)),IFERROR(INDEX(Manhole_Register!$AB$5:$AB$304,MATCH($B54,Manhole_Register!$A$5:$A$304,0)),IFERROR(INDEX(ERSS_Pit_Register!$V$5:$V$304,MATCH($B54,ERSS_Pit_Register!$A$5:$A$304,0)),IFERROR(INDEX(Linkway_Register!$X$5:$X$304,MATCH($B54,Linkway_Register!$A$5:$A$304,0)),IFERROR(INDEX(Other_Register!$N$5:$N$304,MATCH($B54,Other_Register!$A$5:$A$304,0)),""))))))))</f>
        <v/>
      </c>
      <c r="K54" s="10" t="str">
        <f aca="false">IF($B54="","",IFERROR(INDEX(Drain_Register!$W$5:$W$304,MATCH($B54,Drain_Register!$A$5:$A$304,0)),IFERROR(INDEX(RW_Register!$AC$5:$AC$304,MATCH($B54,RW_Register!$A$5:$A$304,0)),IFERROR(INDEX(Embedded_Wall_Register!$Z$5:$Z$304,MATCH($B54,Embedded_Wall_Register!$A$5:$A$304,0)),IFERROR(INDEX(Manhole_Register!$AC$5:$AC$304,MATCH($B54,Manhole_Register!$A$5:$A$304,0)),IFERROR(INDEX(ERSS_Pit_Register!$W$5:$W$304,MATCH($B54,ERSS_Pit_Register!$A$5:$A$304,0)),IFERROR(INDEX(Linkway_Register!$Y$5:$Y$304,MATCH($B54,Linkway_Register!$A$5:$A$304,0)),IFERROR(INDEX(Other_Register!$O$5:$O$304,MATCH($B54,Other_Register!$A$5:$A$304,0)),""))))))))</f>
        <v/>
      </c>
      <c r="L54" s="10" t="str">
        <f aca="false">IF($B54="","",IFERROR(INDEX(Drain_Register!$X$5:$X$304,MATCH($B54,Drain_Register!$A$5:$A$304,0)),IFERROR(INDEX(RW_Register!$AD$5:$AD$304,MATCH($B54,RW_Register!$A$5:$A$304,0)),IFERROR(INDEX(Embedded_Wall_Register!$AA$5:$AA$304,MATCH($B54,Embedded_Wall_Register!$A$5:$A$304,0)),IFERROR(INDEX(Manhole_Register!$AD$5:$AD$304,MATCH($B54,Manhole_Register!$A$5:$A$304,0)),IFERROR(INDEX(ERSS_Pit_Register!$X$5:$X$304,MATCH($B54,ERSS_Pit_Register!$A$5:$A$304,0)),IFERROR(INDEX(Linkway_Register!$Z$5:$Z$304,MATCH($B54,Linkway_Register!$A$5:$A$304,0)),IFERROR(INDEX(Other_Register!$P$5:$P$304,MATCH($B54,Other_Register!$A$5:$A$304,0)),""))))))))</f>
        <v/>
      </c>
      <c r="M54" s="10" t="str">
        <f aca="false">IF($B54="","",IFERROR(INDEX(Drain_Register!$Z$5:$Z$304,MATCH($B54,Drain_Register!$A$5:$A$304,0)),IFERROR(INDEX(RW_Register!$AF$5:$AF$304,MATCH($B54,RW_Register!$A$5:$A$304,0)),IFERROR(INDEX(Embedded_Wall_Register!$AC$5:$AC$304,MATCH($B54,Embedded_Wall_Register!$A$5:$A$304,0)),IFERROR(INDEX(Manhole_Register!$AF$5:$AF$304,MATCH($B54,Manhole_Register!$A$5:$A$304,0)),IFERROR(INDEX(ERSS_Pit_Register!$Z$5:$Z$304,MATCH($B54,ERSS_Pit_Register!$A$5:$A$304,0)),IFERROR(INDEX(Linkway_Register!$AB$5:$AB$304,MATCH($B54,Linkway_Register!$A$5:$A$304,0)),IFERROR(INDEX(Other_Register!$R$5:$R$304,MATCH($B54,Other_Register!$A$5:$A$304,0)),"")))))))&amp;IFERROR(INDEX(Drain_Register!$AA$5:$AA$304,MATCH($B54,Drain_Register!$A$5:$A$304,0)),IFERROR(INDEX(RW_Register!$AG$5:$AG$304,MATCH($B54,RW_Register!$A$5:$A$304,0)),IFERROR(INDEX(Embedded_Wall_Register!$AD$5:$AD$304,MATCH($B54,Embedded_Wall_Register!$A$5:$A$304,0)),IFERROR(INDEX(Manhole_Register!$AG$5:$AG$304,MATCH($B54,Manhole_Register!$A$5:$A$304,0)),IFERROR(INDEX(ERSS_Pit_Register!$AA$5:$AA$304,MATCH($B54,ERSS_Pit_Register!$A$5:$A$304,0)),IFERROR(INDEX(Linkway_Register!$AC$5:$AC$304,MATCH($B54,Linkway_Register!$A$5:$A$304,0)),IFERROR(INDEX(Other_Register!$S$5:$S$304,MATCH($B54,Other_Register!$A$5:$A$304,0)),""))))))))</f>
        <v/>
      </c>
      <c r="N54" s="19" t="str">
        <f aca="false">IF(OR($B54="",$D54=""),"",$D54*N(IFERROR(INDEX(Drain_Register!$AH$5:$AH$304,MATCH($B54,Drain_Register!$A$5:$A$304,0)),IFERROR(INDEX(RW_Register!$AN$5:$AN$304,MATCH($B54,RW_Register!$A$5:$A$304,0)),IFERROR(INDEX(Embedded_Wall_Register!$AK$5:$AK$304,MATCH($B54,Embedded_Wall_Register!$A$5:$A$304,0)),IFERROR(INDEX(Manhole_Register!$AN$5:$AN$304,MATCH($B54,Manhole_Register!$A$5:$A$304,0)),IFERROR(INDEX(ERSS_Pit_Register!$AH$5:$AH$304,MATCH($B54,ERSS_Pit_Register!$A$5:$A$304,0)),IFERROR(INDEX(Linkway_Register!$AJ$5:$AJ$304,MATCH($B54,Linkway_Register!$A$5:$A$304,0)),IFERROR(INDEX(Other_Register!$Z$5:$Z$304,MATCH($B54,Other_Register!$A$5:$A$304,0)),0)))))))))</f>
        <v/>
      </c>
      <c r="O54" s="20" t="str">
        <f aca="false">IF(OR($B54="",$D54=""),"",$D54*N(IFERROR(INDEX(Drain_Register!$AI$5:$AI$304,MATCH($B54,Drain_Register!$A$5:$A$304,0)),IFERROR(INDEX(RW_Register!$AO$5:$AO$304,MATCH($B54,RW_Register!$A$5:$A$304,0)),IFERROR(INDEX(Embedded_Wall_Register!$AL$5:$AL$304,MATCH($B54,Embedded_Wall_Register!$A$5:$A$304,0)),IFERROR(INDEX(Manhole_Register!$AO$5:$AO$304,MATCH($B54,Manhole_Register!$A$5:$A$304,0)),IFERROR(INDEX(ERSS_Pit_Register!$AI$5:$AI$304,MATCH($B54,ERSS_Pit_Register!$A$5:$A$304,0)),IFERROR(INDEX(Linkway_Register!$AK$5:$AK$304,MATCH($B54,Linkway_Register!$A$5:$A$304,0)),IFERROR(INDEX(Other_Register!$AA$5:$AA$304,MATCH($B54,Other_Register!$A$5:$A$304,0)),0))))))))/1000)</f>
        <v/>
      </c>
      <c r="P54" s="20" t="str">
        <f aca="false">IF(OR($B54="",$D54=""),"",$D54*N(IFERROR(INDEX(Drain_Register!$AJ$5:$AJ$304,MATCH($B54,Drain_Register!$A$5:$A$304,0)),IFERROR(INDEX(RW_Register!$AP$5:$AP$304,MATCH($B54,RW_Register!$A$5:$A$304,0)),IFERROR(INDEX(Embedded_Wall_Register!$AM$5:$AM$304,MATCH($B54,Embedded_Wall_Register!$A$5:$A$304,0)),IFERROR(INDEX(Manhole_Register!$AP$5:$AP$304,MATCH($B54,Manhole_Register!$A$5:$A$304,0)),IFERROR(INDEX(ERSS_Pit_Register!$AJ$5:$AJ$304,MATCH($B54,ERSS_Pit_Register!$A$5:$A$304,0)),IFERROR(INDEX(Linkway_Register!$AL$5:$AL$304,MATCH($B54,Linkway_Register!$A$5:$A$304,0)),IFERROR(INDEX(Other_Register!$AB$5:$AB$304,MATCH($B54,Other_Register!$A$5:$A$304,0)),0))))))))/1000)</f>
        <v/>
      </c>
      <c r="Q54" s="19" t="str">
        <f aca="false">IF(OR($B54="",$D54=""),"",$D54*N(IFERROR(INDEX(Drain_Register!$AK$5:$AK$304,MATCH($B54,Drain_Register!$A$5:$A$304,0)),IFERROR(INDEX(RW_Register!$AQ$5:$AQ$304,MATCH($B54,RW_Register!$A$5:$A$304,0)),IFERROR(INDEX(Embedded_Wall_Register!$AN$5:$AN$304,MATCH($B54,Embedded_Wall_Register!$A$5:$A$304,0)),IFERROR(INDEX(Manhole_Register!$AQ$5:$AQ$304,MATCH($B54,Manhole_Register!$A$5:$A$304,0)),IFERROR(INDEX(ERSS_Pit_Register!$AK$5:$AK$304,MATCH($B54,ERSS_Pit_Register!$A$5:$A$304,0)),IFERROR(INDEX(Linkway_Register!$AM$5:$AM$304,MATCH($B54,Linkway_Register!$A$5:$A$304,0)),IFERROR(INDEX(Other_Register!$AC$5:$AC$304,MATCH($B54,Other_Register!$A$5:$A$304,0)),0)))))))))</f>
        <v/>
      </c>
      <c r="R54" s="19" t="str">
        <f aca="false">IF(OR($B54="",$D54=""),"",$D54*N(IFERROR(INDEX(Drain_Register!$AL$5:$AL$304,MATCH($B54,Drain_Register!$A$5:$A$304,0)),IFERROR(INDEX(RW_Register!$AR$5:$AR$304,MATCH($B54,RW_Register!$A$5:$A$304,0)),IFERROR(INDEX(Embedded_Wall_Register!$AO$5:$AO$304,MATCH($B54,Embedded_Wall_Register!$A$5:$A$304,0)),IFERROR(INDEX(Manhole_Register!$AR$5:$AR$304,MATCH($B54,Manhole_Register!$A$5:$A$304,0)),IFERROR(INDEX(ERSS_Pit_Register!$AL$5:$AL$304,MATCH($B54,ERSS_Pit_Register!$A$5:$A$304,0)),IFERROR(INDEX(Linkway_Register!$AN$5:$AN$304,MATCH($B54,Linkway_Register!$A$5:$A$304,0)),IFERROR(INDEX(Other_Register!$AD$5:$AD$304,MATCH($B54,Other_Register!$A$5:$A$304,0)),0)))))))))</f>
        <v/>
      </c>
      <c r="S54" s="10" t="str">
        <f aca="false">IF($B54="","",IF(G54="","ID not found",IF(J54&lt;&gt;"Approved","WARNING: status is "&amp;J54,IF(IFERROR(INDEX(Drain_Register!$AV$5:$AV$304,MATCH($B54,Drain_Register!$A$5:$A$304,0)),IFERROR(INDEX(RW_Register!$BA$5:$BA$304,MATCH($B54,RW_Register!$A$5:$A$304,0)),IFERROR(INDEX(Embedded_Wall_Register!$AX$5:$AX$304,MATCH($B54,Embedded_Wall_Register!$A$5:$A$304,0)),IFERROR(INDEX(Manhole_Register!$AZ$5:$AZ$304,MATCH($B54,Manhole_Register!$A$5:$A$304,0)),IFERROR(INDEX(ERSS_Pit_Register!$AU$5:$AU$304,MATCH($B54,ERSS_Pit_Register!$A$5:$A$304,0)),IFERROR(INDEX(Linkway_Register!$AV$5:$AV$304,MATCH($B54,Linkway_Register!$A$5:$A$304,0)),IFERROR(INDEX(Other_Register!$AL$5:$AL$304,MATCH($B54,Other_Register!$A$5:$A$304,0)),"")))))))="N","WARNING: fails SG compliance check",IF(D54="","Enter length / qty",IF(E54="","Enter CAD sheet no.","OK"))))))</f>
        <v/>
      </c>
    </row>
    <row r="55" customFormat="false" ht="15" hidden="false" customHeight="false" outlineLevel="0" collapsed="false">
      <c r="A55" s="9"/>
      <c r="B55" s="9"/>
      <c r="C55" s="9"/>
      <c r="D55" s="9"/>
      <c r="E55" s="9"/>
      <c r="F55" s="10" t="str">
        <f aca="false">IF($B55="","",IFERROR(INDEX(Drain_Register!$AG$5:$AG$304,MATCH($B55,Drain_Register!$A$5:$A$304,0)),IFERROR(INDEX(RW_Register!$AM$5:$AM$304,MATCH($B55,RW_Register!$A$5:$A$304,0)),IFERROR(INDEX(Embedded_Wall_Register!$AJ$5:$AJ$304,MATCH($B55,Embedded_Wall_Register!$A$5:$A$304,0)),IFERROR(INDEX(Manhole_Register!$AM$5:$AM$304,MATCH($B55,Manhole_Register!$A$5:$A$304,0)),IFERROR(INDEX(ERSS_Pit_Register!$AG$5:$AG$304,MATCH($B55,ERSS_Pit_Register!$A$5:$A$304,0)),IFERROR(INDEX(Linkway_Register!$AI$5:$AI$304,MATCH($B55,Linkway_Register!$A$5:$A$304,0)),IFERROR(INDEX(Other_Register!$Y$5:$Y$304,MATCH($B55,Other_Register!$A$5:$A$304,0)),""))))))))</f>
        <v/>
      </c>
      <c r="G55" s="10" t="str">
        <f aca="false">IF($B55="","",IF(ISNUMBER(MATCH($B55,Drain_Register!$A$5:$A$304,0)),"Drain",IF(ISNUMBER(MATCH($B55,RW_Register!$A$5:$A$304,0)),"Ret. Wall",IF(ISNUMBER(MATCH($B55,Embedded_Wall_Register!$A$5:$A$304,0)),"Embedded Wall",IF(ISNUMBER(MATCH($B55,Manhole_Register!$A$5:$A$304,0)),"Manhole",IF(ISNUMBER(MATCH($B55,ERSS_Pit_Register!$A$5:$A$304,0)),"ERSS Pit",IF(ISNUMBER(MATCH($B55,Linkway_Register!$A$5:$A$304,0)),"Linkway",IF(ISNUMBER(MATCH($B55,Other_Register!$A$5:$A$304,0)),"Others",""))))))))</f>
        <v/>
      </c>
      <c r="H55" s="10" t="str">
        <f aca="false">IF($B55="","",IFERROR(INDEX(Drain_Register!$B$5:$B$304,MATCH($B55,Drain_Register!$A$5:$A$304,0)),IFERROR(INDEX(RW_Register!$B$5:$B$304,MATCH($B55,RW_Register!$A$5:$A$304,0)),IFERROR(INDEX(Embedded_Wall_Register!$B$5:$B$304,MATCH($B55,Embedded_Wall_Register!$A$5:$A$304,0)),IFERROR(INDEX(Manhole_Register!$B$5:$B$304,MATCH($B55,Manhole_Register!$A$5:$A$304,0)),IFERROR(INDEX(ERSS_Pit_Register!$B$5:$B$304,MATCH($B55,ERSS_Pit_Register!$A$5:$A$304,0)),IFERROR(INDEX(Linkway_Register!$B$5:$B$304,MATCH($B55,Linkway_Register!$A$5:$A$304,0)),IFERROR(INDEX(Other_Register!$B$5:$B$304,MATCH($B55,Other_Register!$A$5:$A$304,0)),"ID not found - check spelling"))))))))</f>
        <v/>
      </c>
      <c r="I55" s="10" t="str">
        <f aca="false">IF($B55="","",IFERROR(INDEX(Drain_Register!$U$5:$U$304,MATCH($B55,Drain_Register!$A$5:$A$304,0)),IFERROR(INDEX(RW_Register!$AA$5:$AA$304,MATCH($B55,RW_Register!$A$5:$A$304,0)),IFERROR(INDEX(Embedded_Wall_Register!$X$5:$X$304,MATCH($B55,Embedded_Wall_Register!$A$5:$A$304,0)),IFERROR(INDEX(Manhole_Register!$AA$5:$AA$304,MATCH($B55,Manhole_Register!$A$5:$A$304,0)),IFERROR(INDEX(ERSS_Pit_Register!$U$5:$U$304,MATCH($B55,ERSS_Pit_Register!$A$5:$A$304,0)),IFERROR(INDEX(Linkway_Register!$W$5:$W$304,MATCH($B55,Linkway_Register!$A$5:$A$304,0)),IFERROR(INDEX(Other_Register!$M$5:$M$304,MATCH($B55,Other_Register!$A$5:$A$304,0)),""))))))))</f>
        <v/>
      </c>
      <c r="J55" s="10" t="str">
        <f aca="false">IF($B55="","",IFERROR(INDEX(Drain_Register!$V$5:$V$304,MATCH($B55,Drain_Register!$A$5:$A$304,0)),IFERROR(INDEX(RW_Register!$AB$5:$AB$304,MATCH($B55,RW_Register!$A$5:$A$304,0)),IFERROR(INDEX(Embedded_Wall_Register!$Y$5:$Y$304,MATCH($B55,Embedded_Wall_Register!$A$5:$A$304,0)),IFERROR(INDEX(Manhole_Register!$AB$5:$AB$304,MATCH($B55,Manhole_Register!$A$5:$A$304,0)),IFERROR(INDEX(ERSS_Pit_Register!$V$5:$V$304,MATCH($B55,ERSS_Pit_Register!$A$5:$A$304,0)),IFERROR(INDEX(Linkway_Register!$X$5:$X$304,MATCH($B55,Linkway_Register!$A$5:$A$304,0)),IFERROR(INDEX(Other_Register!$N$5:$N$304,MATCH($B55,Other_Register!$A$5:$A$304,0)),""))))))))</f>
        <v/>
      </c>
      <c r="K55" s="10" t="str">
        <f aca="false">IF($B55="","",IFERROR(INDEX(Drain_Register!$W$5:$W$304,MATCH($B55,Drain_Register!$A$5:$A$304,0)),IFERROR(INDEX(RW_Register!$AC$5:$AC$304,MATCH($B55,RW_Register!$A$5:$A$304,0)),IFERROR(INDEX(Embedded_Wall_Register!$Z$5:$Z$304,MATCH($B55,Embedded_Wall_Register!$A$5:$A$304,0)),IFERROR(INDEX(Manhole_Register!$AC$5:$AC$304,MATCH($B55,Manhole_Register!$A$5:$A$304,0)),IFERROR(INDEX(ERSS_Pit_Register!$W$5:$W$304,MATCH($B55,ERSS_Pit_Register!$A$5:$A$304,0)),IFERROR(INDEX(Linkway_Register!$Y$5:$Y$304,MATCH($B55,Linkway_Register!$A$5:$A$304,0)),IFERROR(INDEX(Other_Register!$O$5:$O$304,MATCH($B55,Other_Register!$A$5:$A$304,0)),""))))))))</f>
        <v/>
      </c>
      <c r="L55" s="10" t="str">
        <f aca="false">IF($B55="","",IFERROR(INDEX(Drain_Register!$X$5:$X$304,MATCH($B55,Drain_Register!$A$5:$A$304,0)),IFERROR(INDEX(RW_Register!$AD$5:$AD$304,MATCH($B55,RW_Register!$A$5:$A$304,0)),IFERROR(INDEX(Embedded_Wall_Register!$AA$5:$AA$304,MATCH($B55,Embedded_Wall_Register!$A$5:$A$304,0)),IFERROR(INDEX(Manhole_Register!$AD$5:$AD$304,MATCH($B55,Manhole_Register!$A$5:$A$304,0)),IFERROR(INDEX(ERSS_Pit_Register!$X$5:$X$304,MATCH($B55,ERSS_Pit_Register!$A$5:$A$304,0)),IFERROR(INDEX(Linkway_Register!$Z$5:$Z$304,MATCH($B55,Linkway_Register!$A$5:$A$304,0)),IFERROR(INDEX(Other_Register!$P$5:$P$304,MATCH($B55,Other_Register!$A$5:$A$304,0)),""))))))))</f>
        <v/>
      </c>
      <c r="M55" s="10" t="str">
        <f aca="false">IF($B55="","",IFERROR(INDEX(Drain_Register!$Z$5:$Z$304,MATCH($B55,Drain_Register!$A$5:$A$304,0)),IFERROR(INDEX(RW_Register!$AF$5:$AF$304,MATCH($B55,RW_Register!$A$5:$A$304,0)),IFERROR(INDEX(Embedded_Wall_Register!$AC$5:$AC$304,MATCH($B55,Embedded_Wall_Register!$A$5:$A$304,0)),IFERROR(INDEX(Manhole_Register!$AF$5:$AF$304,MATCH($B55,Manhole_Register!$A$5:$A$304,0)),IFERROR(INDEX(ERSS_Pit_Register!$Z$5:$Z$304,MATCH($B55,ERSS_Pit_Register!$A$5:$A$304,0)),IFERROR(INDEX(Linkway_Register!$AB$5:$AB$304,MATCH($B55,Linkway_Register!$A$5:$A$304,0)),IFERROR(INDEX(Other_Register!$R$5:$R$304,MATCH($B55,Other_Register!$A$5:$A$304,0)),"")))))))&amp;IFERROR(INDEX(Drain_Register!$AA$5:$AA$304,MATCH($B55,Drain_Register!$A$5:$A$304,0)),IFERROR(INDEX(RW_Register!$AG$5:$AG$304,MATCH($B55,RW_Register!$A$5:$A$304,0)),IFERROR(INDEX(Embedded_Wall_Register!$AD$5:$AD$304,MATCH($B55,Embedded_Wall_Register!$A$5:$A$304,0)),IFERROR(INDEX(Manhole_Register!$AG$5:$AG$304,MATCH($B55,Manhole_Register!$A$5:$A$304,0)),IFERROR(INDEX(ERSS_Pit_Register!$AA$5:$AA$304,MATCH($B55,ERSS_Pit_Register!$A$5:$A$304,0)),IFERROR(INDEX(Linkway_Register!$AC$5:$AC$304,MATCH($B55,Linkway_Register!$A$5:$A$304,0)),IFERROR(INDEX(Other_Register!$S$5:$S$304,MATCH($B55,Other_Register!$A$5:$A$304,0)),""))))))))</f>
        <v/>
      </c>
      <c r="N55" s="19" t="str">
        <f aca="false">IF(OR($B55="",$D55=""),"",$D55*N(IFERROR(INDEX(Drain_Register!$AH$5:$AH$304,MATCH($B55,Drain_Register!$A$5:$A$304,0)),IFERROR(INDEX(RW_Register!$AN$5:$AN$304,MATCH($B55,RW_Register!$A$5:$A$304,0)),IFERROR(INDEX(Embedded_Wall_Register!$AK$5:$AK$304,MATCH($B55,Embedded_Wall_Register!$A$5:$A$304,0)),IFERROR(INDEX(Manhole_Register!$AN$5:$AN$304,MATCH($B55,Manhole_Register!$A$5:$A$304,0)),IFERROR(INDEX(ERSS_Pit_Register!$AH$5:$AH$304,MATCH($B55,ERSS_Pit_Register!$A$5:$A$304,0)),IFERROR(INDEX(Linkway_Register!$AJ$5:$AJ$304,MATCH($B55,Linkway_Register!$A$5:$A$304,0)),IFERROR(INDEX(Other_Register!$Z$5:$Z$304,MATCH($B55,Other_Register!$A$5:$A$304,0)),0)))))))))</f>
        <v/>
      </c>
      <c r="O55" s="20" t="str">
        <f aca="false">IF(OR($B55="",$D55=""),"",$D55*N(IFERROR(INDEX(Drain_Register!$AI$5:$AI$304,MATCH($B55,Drain_Register!$A$5:$A$304,0)),IFERROR(INDEX(RW_Register!$AO$5:$AO$304,MATCH($B55,RW_Register!$A$5:$A$304,0)),IFERROR(INDEX(Embedded_Wall_Register!$AL$5:$AL$304,MATCH($B55,Embedded_Wall_Register!$A$5:$A$304,0)),IFERROR(INDEX(Manhole_Register!$AO$5:$AO$304,MATCH($B55,Manhole_Register!$A$5:$A$304,0)),IFERROR(INDEX(ERSS_Pit_Register!$AI$5:$AI$304,MATCH($B55,ERSS_Pit_Register!$A$5:$A$304,0)),IFERROR(INDEX(Linkway_Register!$AK$5:$AK$304,MATCH($B55,Linkway_Register!$A$5:$A$304,0)),IFERROR(INDEX(Other_Register!$AA$5:$AA$304,MATCH($B55,Other_Register!$A$5:$A$304,0)),0))))))))/1000)</f>
        <v/>
      </c>
      <c r="P55" s="20" t="str">
        <f aca="false">IF(OR($B55="",$D55=""),"",$D55*N(IFERROR(INDEX(Drain_Register!$AJ$5:$AJ$304,MATCH($B55,Drain_Register!$A$5:$A$304,0)),IFERROR(INDEX(RW_Register!$AP$5:$AP$304,MATCH($B55,RW_Register!$A$5:$A$304,0)),IFERROR(INDEX(Embedded_Wall_Register!$AM$5:$AM$304,MATCH($B55,Embedded_Wall_Register!$A$5:$A$304,0)),IFERROR(INDEX(Manhole_Register!$AP$5:$AP$304,MATCH($B55,Manhole_Register!$A$5:$A$304,0)),IFERROR(INDEX(ERSS_Pit_Register!$AJ$5:$AJ$304,MATCH($B55,ERSS_Pit_Register!$A$5:$A$304,0)),IFERROR(INDEX(Linkway_Register!$AL$5:$AL$304,MATCH($B55,Linkway_Register!$A$5:$A$304,0)),IFERROR(INDEX(Other_Register!$AB$5:$AB$304,MATCH($B55,Other_Register!$A$5:$A$304,0)),0))))))))/1000)</f>
        <v/>
      </c>
      <c r="Q55" s="19" t="str">
        <f aca="false">IF(OR($B55="",$D55=""),"",$D55*N(IFERROR(INDEX(Drain_Register!$AK$5:$AK$304,MATCH($B55,Drain_Register!$A$5:$A$304,0)),IFERROR(INDEX(RW_Register!$AQ$5:$AQ$304,MATCH($B55,RW_Register!$A$5:$A$304,0)),IFERROR(INDEX(Embedded_Wall_Register!$AN$5:$AN$304,MATCH($B55,Embedded_Wall_Register!$A$5:$A$304,0)),IFERROR(INDEX(Manhole_Register!$AQ$5:$AQ$304,MATCH($B55,Manhole_Register!$A$5:$A$304,0)),IFERROR(INDEX(ERSS_Pit_Register!$AK$5:$AK$304,MATCH($B55,ERSS_Pit_Register!$A$5:$A$304,0)),IFERROR(INDEX(Linkway_Register!$AM$5:$AM$304,MATCH($B55,Linkway_Register!$A$5:$A$304,0)),IFERROR(INDEX(Other_Register!$AC$5:$AC$304,MATCH($B55,Other_Register!$A$5:$A$304,0)),0)))))))))</f>
        <v/>
      </c>
      <c r="R55" s="19" t="str">
        <f aca="false">IF(OR($B55="",$D55=""),"",$D55*N(IFERROR(INDEX(Drain_Register!$AL$5:$AL$304,MATCH($B55,Drain_Register!$A$5:$A$304,0)),IFERROR(INDEX(RW_Register!$AR$5:$AR$304,MATCH($B55,RW_Register!$A$5:$A$304,0)),IFERROR(INDEX(Embedded_Wall_Register!$AO$5:$AO$304,MATCH($B55,Embedded_Wall_Register!$A$5:$A$304,0)),IFERROR(INDEX(Manhole_Register!$AR$5:$AR$304,MATCH($B55,Manhole_Register!$A$5:$A$304,0)),IFERROR(INDEX(ERSS_Pit_Register!$AL$5:$AL$304,MATCH($B55,ERSS_Pit_Register!$A$5:$A$304,0)),IFERROR(INDEX(Linkway_Register!$AN$5:$AN$304,MATCH($B55,Linkway_Register!$A$5:$A$304,0)),IFERROR(INDEX(Other_Register!$AD$5:$AD$304,MATCH($B55,Other_Register!$A$5:$A$304,0)),0)))))))))</f>
        <v/>
      </c>
      <c r="S55" s="10" t="str">
        <f aca="false">IF($B55="","",IF(G55="","ID not found",IF(J55&lt;&gt;"Approved","WARNING: status is "&amp;J55,IF(IFERROR(INDEX(Drain_Register!$AV$5:$AV$304,MATCH($B55,Drain_Register!$A$5:$A$304,0)),IFERROR(INDEX(RW_Register!$BA$5:$BA$304,MATCH($B55,RW_Register!$A$5:$A$304,0)),IFERROR(INDEX(Embedded_Wall_Register!$AX$5:$AX$304,MATCH($B55,Embedded_Wall_Register!$A$5:$A$304,0)),IFERROR(INDEX(Manhole_Register!$AZ$5:$AZ$304,MATCH($B55,Manhole_Register!$A$5:$A$304,0)),IFERROR(INDEX(ERSS_Pit_Register!$AU$5:$AU$304,MATCH($B55,ERSS_Pit_Register!$A$5:$A$304,0)),IFERROR(INDEX(Linkway_Register!$AV$5:$AV$304,MATCH($B55,Linkway_Register!$A$5:$A$304,0)),IFERROR(INDEX(Other_Register!$AL$5:$AL$304,MATCH($B55,Other_Register!$A$5:$A$304,0)),"")))))))="N","WARNING: fails SG compliance check",IF(D55="","Enter length / qty",IF(E55="","Enter CAD sheet no.","OK"))))))</f>
        <v/>
      </c>
    </row>
    <row r="56" customFormat="false" ht="15" hidden="false" customHeight="false" outlineLevel="0" collapsed="false">
      <c r="A56" s="9"/>
      <c r="B56" s="9"/>
      <c r="C56" s="9"/>
      <c r="D56" s="9"/>
      <c r="E56" s="9"/>
      <c r="F56" s="10" t="str">
        <f aca="false">IF($B56="","",IFERROR(INDEX(Drain_Register!$AG$5:$AG$304,MATCH($B56,Drain_Register!$A$5:$A$304,0)),IFERROR(INDEX(RW_Register!$AM$5:$AM$304,MATCH($B56,RW_Register!$A$5:$A$304,0)),IFERROR(INDEX(Embedded_Wall_Register!$AJ$5:$AJ$304,MATCH($B56,Embedded_Wall_Register!$A$5:$A$304,0)),IFERROR(INDEX(Manhole_Register!$AM$5:$AM$304,MATCH($B56,Manhole_Register!$A$5:$A$304,0)),IFERROR(INDEX(ERSS_Pit_Register!$AG$5:$AG$304,MATCH($B56,ERSS_Pit_Register!$A$5:$A$304,0)),IFERROR(INDEX(Linkway_Register!$AI$5:$AI$304,MATCH($B56,Linkway_Register!$A$5:$A$304,0)),IFERROR(INDEX(Other_Register!$Y$5:$Y$304,MATCH($B56,Other_Register!$A$5:$A$304,0)),""))))))))</f>
        <v/>
      </c>
      <c r="G56" s="10" t="str">
        <f aca="false">IF($B56="","",IF(ISNUMBER(MATCH($B56,Drain_Register!$A$5:$A$304,0)),"Drain",IF(ISNUMBER(MATCH($B56,RW_Register!$A$5:$A$304,0)),"Ret. Wall",IF(ISNUMBER(MATCH($B56,Embedded_Wall_Register!$A$5:$A$304,0)),"Embedded Wall",IF(ISNUMBER(MATCH($B56,Manhole_Register!$A$5:$A$304,0)),"Manhole",IF(ISNUMBER(MATCH($B56,ERSS_Pit_Register!$A$5:$A$304,0)),"ERSS Pit",IF(ISNUMBER(MATCH($B56,Linkway_Register!$A$5:$A$304,0)),"Linkway",IF(ISNUMBER(MATCH($B56,Other_Register!$A$5:$A$304,0)),"Others",""))))))))</f>
        <v/>
      </c>
      <c r="H56" s="10" t="str">
        <f aca="false">IF($B56="","",IFERROR(INDEX(Drain_Register!$B$5:$B$304,MATCH($B56,Drain_Register!$A$5:$A$304,0)),IFERROR(INDEX(RW_Register!$B$5:$B$304,MATCH($B56,RW_Register!$A$5:$A$304,0)),IFERROR(INDEX(Embedded_Wall_Register!$B$5:$B$304,MATCH($B56,Embedded_Wall_Register!$A$5:$A$304,0)),IFERROR(INDEX(Manhole_Register!$B$5:$B$304,MATCH($B56,Manhole_Register!$A$5:$A$304,0)),IFERROR(INDEX(ERSS_Pit_Register!$B$5:$B$304,MATCH($B56,ERSS_Pit_Register!$A$5:$A$304,0)),IFERROR(INDEX(Linkway_Register!$B$5:$B$304,MATCH($B56,Linkway_Register!$A$5:$A$304,0)),IFERROR(INDEX(Other_Register!$B$5:$B$304,MATCH($B56,Other_Register!$A$5:$A$304,0)),"ID not found - check spelling"))))))))</f>
        <v/>
      </c>
      <c r="I56" s="10" t="str">
        <f aca="false">IF($B56="","",IFERROR(INDEX(Drain_Register!$U$5:$U$304,MATCH($B56,Drain_Register!$A$5:$A$304,0)),IFERROR(INDEX(RW_Register!$AA$5:$AA$304,MATCH($B56,RW_Register!$A$5:$A$304,0)),IFERROR(INDEX(Embedded_Wall_Register!$X$5:$X$304,MATCH($B56,Embedded_Wall_Register!$A$5:$A$304,0)),IFERROR(INDEX(Manhole_Register!$AA$5:$AA$304,MATCH($B56,Manhole_Register!$A$5:$A$304,0)),IFERROR(INDEX(ERSS_Pit_Register!$U$5:$U$304,MATCH($B56,ERSS_Pit_Register!$A$5:$A$304,0)),IFERROR(INDEX(Linkway_Register!$W$5:$W$304,MATCH($B56,Linkway_Register!$A$5:$A$304,0)),IFERROR(INDEX(Other_Register!$M$5:$M$304,MATCH($B56,Other_Register!$A$5:$A$304,0)),""))))))))</f>
        <v/>
      </c>
      <c r="J56" s="10" t="str">
        <f aca="false">IF($B56="","",IFERROR(INDEX(Drain_Register!$V$5:$V$304,MATCH($B56,Drain_Register!$A$5:$A$304,0)),IFERROR(INDEX(RW_Register!$AB$5:$AB$304,MATCH($B56,RW_Register!$A$5:$A$304,0)),IFERROR(INDEX(Embedded_Wall_Register!$Y$5:$Y$304,MATCH($B56,Embedded_Wall_Register!$A$5:$A$304,0)),IFERROR(INDEX(Manhole_Register!$AB$5:$AB$304,MATCH($B56,Manhole_Register!$A$5:$A$304,0)),IFERROR(INDEX(ERSS_Pit_Register!$V$5:$V$304,MATCH($B56,ERSS_Pit_Register!$A$5:$A$304,0)),IFERROR(INDEX(Linkway_Register!$X$5:$X$304,MATCH($B56,Linkway_Register!$A$5:$A$304,0)),IFERROR(INDEX(Other_Register!$N$5:$N$304,MATCH($B56,Other_Register!$A$5:$A$304,0)),""))))))))</f>
        <v/>
      </c>
      <c r="K56" s="10" t="str">
        <f aca="false">IF($B56="","",IFERROR(INDEX(Drain_Register!$W$5:$W$304,MATCH($B56,Drain_Register!$A$5:$A$304,0)),IFERROR(INDEX(RW_Register!$AC$5:$AC$304,MATCH($B56,RW_Register!$A$5:$A$304,0)),IFERROR(INDEX(Embedded_Wall_Register!$Z$5:$Z$304,MATCH($B56,Embedded_Wall_Register!$A$5:$A$304,0)),IFERROR(INDEX(Manhole_Register!$AC$5:$AC$304,MATCH($B56,Manhole_Register!$A$5:$A$304,0)),IFERROR(INDEX(ERSS_Pit_Register!$W$5:$W$304,MATCH($B56,ERSS_Pit_Register!$A$5:$A$304,0)),IFERROR(INDEX(Linkway_Register!$Y$5:$Y$304,MATCH($B56,Linkway_Register!$A$5:$A$304,0)),IFERROR(INDEX(Other_Register!$O$5:$O$304,MATCH($B56,Other_Register!$A$5:$A$304,0)),""))))))))</f>
        <v/>
      </c>
      <c r="L56" s="10" t="str">
        <f aca="false">IF($B56="","",IFERROR(INDEX(Drain_Register!$X$5:$X$304,MATCH($B56,Drain_Register!$A$5:$A$304,0)),IFERROR(INDEX(RW_Register!$AD$5:$AD$304,MATCH($B56,RW_Register!$A$5:$A$304,0)),IFERROR(INDEX(Embedded_Wall_Register!$AA$5:$AA$304,MATCH($B56,Embedded_Wall_Register!$A$5:$A$304,0)),IFERROR(INDEX(Manhole_Register!$AD$5:$AD$304,MATCH($B56,Manhole_Register!$A$5:$A$304,0)),IFERROR(INDEX(ERSS_Pit_Register!$X$5:$X$304,MATCH($B56,ERSS_Pit_Register!$A$5:$A$304,0)),IFERROR(INDEX(Linkway_Register!$Z$5:$Z$304,MATCH($B56,Linkway_Register!$A$5:$A$304,0)),IFERROR(INDEX(Other_Register!$P$5:$P$304,MATCH($B56,Other_Register!$A$5:$A$304,0)),""))))))))</f>
        <v/>
      </c>
      <c r="M56" s="10" t="str">
        <f aca="false">IF($B56="","",IFERROR(INDEX(Drain_Register!$Z$5:$Z$304,MATCH($B56,Drain_Register!$A$5:$A$304,0)),IFERROR(INDEX(RW_Register!$AF$5:$AF$304,MATCH($B56,RW_Register!$A$5:$A$304,0)),IFERROR(INDEX(Embedded_Wall_Register!$AC$5:$AC$304,MATCH($B56,Embedded_Wall_Register!$A$5:$A$304,0)),IFERROR(INDEX(Manhole_Register!$AF$5:$AF$304,MATCH($B56,Manhole_Register!$A$5:$A$304,0)),IFERROR(INDEX(ERSS_Pit_Register!$Z$5:$Z$304,MATCH($B56,ERSS_Pit_Register!$A$5:$A$304,0)),IFERROR(INDEX(Linkway_Register!$AB$5:$AB$304,MATCH($B56,Linkway_Register!$A$5:$A$304,0)),IFERROR(INDEX(Other_Register!$R$5:$R$304,MATCH($B56,Other_Register!$A$5:$A$304,0)),"")))))))&amp;IFERROR(INDEX(Drain_Register!$AA$5:$AA$304,MATCH($B56,Drain_Register!$A$5:$A$304,0)),IFERROR(INDEX(RW_Register!$AG$5:$AG$304,MATCH($B56,RW_Register!$A$5:$A$304,0)),IFERROR(INDEX(Embedded_Wall_Register!$AD$5:$AD$304,MATCH($B56,Embedded_Wall_Register!$A$5:$A$304,0)),IFERROR(INDEX(Manhole_Register!$AG$5:$AG$304,MATCH($B56,Manhole_Register!$A$5:$A$304,0)),IFERROR(INDEX(ERSS_Pit_Register!$AA$5:$AA$304,MATCH($B56,ERSS_Pit_Register!$A$5:$A$304,0)),IFERROR(INDEX(Linkway_Register!$AC$5:$AC$304,MATCH($B56,Linkway_Register!$A$5:$A$304,0)),IFERROR(INDEX(Other_Register!$S$5:$S$304,MATCH($B56,Other_Register!$A$5:$A$304,0)),""))))))))</f>
        <v/>
      </c>
      <c r="N56" s="19" t="str">
        <f aca="false">IF(OR($B56="",$D56=""),"",$D56*N(IFERROR(INDEX(Drain_Register!$AH$5:$AH$304,MATCH($B56,Drain_Register!$A$5:$A$304,0)),IFERROR(INDEX(RW_Register!$AN$5:$AN$304,MATCH($B56,RW_Register!$A$5:$A$304,0)),IFERROR(INDEX(Embedded_Wall_Register!$AK$5:$AK$304,MATCH($B56,Embedded_Wall_Register!$A$5:$A$304,0)),IFERROR(INDEX(Manhole_Register!$AN$5:$AN$304,MATCH($B56,Manhole_Register!$A$5:$A$304,0)),IFERROR(INDEX(ERSS_Pit_Register!$AH$5:$AH$304,MATCH($B56,ERSS_Pit_Register!$A$5:$A$304,0)),IFERROR(INDEX(Linkway_Register!$AJ$5:$AJ$304,MATCH($B56,Linkway_Register!$A$5:$A$304,0)),IFERROR(INDEX(Other_Register!$Z$5:$Z$304,MATCH($B56,Other_Register!$A$5:$A$304,0)),0)))))))))</f>
        <v/>
      </c>
      <c r="O56" s="20" t="str">
        <f aca="false">IF(OR($B56="",$D56=""),"",$D56*N(IFERROR(INDEX(Drain_Register!$AI$5:$AI$304,MATCH($B56,Drain_Register!$A$5:$A$304,0)),IFERROR(INDEX(RW_Register!$AO$5:$AO$304,MATCH($B56,RW_Register!$A$5:$A$304,0)),IFERROR(INDEX(Embedded_Wall_Register!$AL$5:$AL$304,MATCH($B56,Embedded_Wall_Register!$A$5:$A$304,0)),IFERROR(INDEX(Manhole_Register!$AO$5:$AO$304,MATCH($B56,Manhole_Register!$A$5:$A$304,0)),IFERROR(INDEX(ERSS_Pit_Register!$AI$5:$AI$304,MATCH($B56,ERSS_Pit_Register!$A$5:$A$304,0)),IFERROR(INDEX(Linkway_Register!$AK$5:$AK$304,MATCH($B56,Linkway_Register!$A$5:$A$304,0)),IFERROR(INDEX(Other_Register!$AA$5:$AA$304,MATCH($B56,Other_Register!$A$5:$A$304,0)),0))))))))/1000)</f>
        <v/>
      </c>
      <c r="P56" s="20" t="str">
        <f aca="false">IF(OR($B56="",$D56=""),"",$D56*N(IFERROR(INDEX(Drain_Register!$AJ$5:$AJ$304,MATCH($B56,Drain_Register!$A$5:$A$304,0)),IFERROR(INDEX(RW_Register!$AP$5:$AP$304,MATCH($B56,RW_Register!$A$5:$A$304,0)),IFERROR(INDEX(Embedded_Wall_Register!$AM$5:$AM$304,MATCH($B56,Embedded_Wall_Register!$A$5:$A$304,0)),IFERROR(INDEX(Manhole_Register!$AP$5:$AP$304,MATCH($B56,Manhole_Register!$A$5:$A$304,0)),IFERROR(INDEX(ERSS_Pit_Register!$AJ$5:$AJ$304,MATCH($B56,ERSS_Pit_Register!$A$5:$A$304,0)),IFERROR(INDEX(Linkway_Register!$AL$5:$AL$304,MATCH($B56,Linkway_Register!$A$5:$A$304,0)),IFERROR(INDEX(Other_Register!$AB$5:$AB$304,MATCH($B56,Other_Register!$A$5:$A$304,0)),0))))))))/1000)</f>
        <v/>
      </c>
      <c r="Q56" s="19" t="str">
        <f aca="false">IF(OR($B56="",$D56=""),"",$D56*N(IFERROR(INDEX(Drain_Register!$AK$5:$AK$304,MATCH($B56,Drain_Register!$A$5:$A$304,0)),IFERROR(INDEX(RW_Register!$AQ$5:$AQ$304,MATCH($B56,RW_Register!$A$5:$A$304,0)),IFERROR(INDEX(Embedded_Wall_Register!$AN$5:$AN$304,MATCH($B56,Embedded_Wall_Register!$A$5:$A$304,0)),IFERROR(INDEX(Manhole_Register!$AQ$5:$AQ$304,MATCH($B56,Manhole_Register!$A$5:$A$304,0)),IFERROR(INDEX(ERSS_Pit_Register!$AK$5:$AK$304,MATCH($B56,ERSS_Pit_Register!$A$5:$A$304,0)),IFERROR(INDEX(Linkway_Register!$AM$5:$AM$304,MATCH($B56,Linkway_Register!$A$5:$A$304,0)),IFERROR(INDEX(Other_Register!$AC$5:$AC$304,MATCH($B56,Other_Register!$A$5:$A$304,0)),0)))))))))</f>
        <v/>
      </c>
      <c r="R56" s="19" t="str">
        <f aca="false">IF(OR($B56="",$D56=""),"",$D56*N(IFERROR(INDEX(Drain_Register!$AL$5:$AL$304,MATCH($B56,Drain_Register!$A$5:$A$304,0)),IFERROR(INDEX(RW_Register!$AR$5:$AR$304,MATCH($B56,RW_Register!$A$5:$A$304,0)),IFERROR(INDEX(Embedded_Wall_Register!$AO$5:$AO$304,MATCH($B56,Embedded_Wall_Register!$A$5:$A$304,0)),IFERROR(INDEX(Manhole_Register!$AR$5:$AR$304,MATCH($B56,Manhole_Register!$A$5:$A$304,0)),IFERROR(INDEX(ERSS_Pit_Register!$AL$5:$AL$304,MATCH($B56,ERSS_Pit_Register!$A$5:$A$304,0)),IFERROR(INDEX(Linkway_Register!$AN$5:$AN$304,MATCH($B56,Linkway_Register!$A$5:$A$304,0)),IFERROR(INDEX(Other_Register!$AD$5:$AD$304,MATCH($B56,Other_Register!$A$5:$A$304,0)),0)))))))))</f>
        <v/>
      </c>
      <c r="S56" s="10" t="str">
        <f aca="false">IF($B56="","",IF(G56="","ID not found",IF(J56&lt;&gt;"Approved","WARNING: status is "&amp;J56,IF(IFERROR(INDEX(Drain_Register!$AV$5:$AV$304,MATCH($B56,Drain_Register!$A$5:$A$304,0)),IFERROR(INDEX(RW_Register!$BA$5:$BA$304,MATCH($B56,RW_Register!$A$5:$A$304,0)),IFERROR(INDEX(Embedded_Wall_Register!$AX$5:$AX$304,MATCH($B56,Embedded_Wall_Register!$A$5:$A$304,0)),IFERROR(INDEX(Manhole_Register!$AZ$5:$AZ$304,MATCH($B56,Manhole_Register!$A$5:$A$304,0)),IFERROR(INDEX(ERSS_Pit_Register!$AU$5:$AU$304,MATCH($B56,ERSS_Pit_Register!$A$5:$A$304,0)),IFERROR(INDEX(Linkway_Register!$AV$5:$AV$304,MATCH($B56,Linkway_Register!$A$5:$A$304,0)),IFERROR(INDEX(Other_Register!$AL$5:$AL$304,MATCH($B56,Other_Register!$A$5:$A$304,0)),"")))))))="N","WARNING: fails SG compliance check",IF(D56="","Enter length / qty",IF(E56="","Enter CAD sheet no.","OK"))))))</f>
        <v/>
      </c>
    </row>
    <row r="57" customFormat="false" ht="15" hidden="false" customHeight="false" outlineLevel="0" collapsed="false">
      <c r="A57" s="9"/>
      <c r="B57" s="9"/>
      <c r="C57" s="9"/>
      <c r="D57" s="9"/>
      <c r="E57" s="9"/>
      <c r="F57" s="10" t="str">
        <f aca="false">IF($B57="","",IFERROR(INDEX(Drain_Register!$AG$5:$AG$304,MATCH($B57,Drain_Register!$A$5:$A$304,0)),IFERROR(INDEX(RW_Register!$AM$5:$AM$304,MATCH($B57,RW_Register!$A$5:$A$304,0)),IFERROR(INDEX(Embedded_Wall_Register!$AJ$5:$AJ$304,MATCH($B57,Embedded_Wall_Register!$A$5:$A$304,0)),IFERROR(INDEX(Manhole_Register!$AM$5:$AM$304,MATCH($B57,Manhole_Register!$A$5:$A$304,0)),IFERROR(INDEX(ERSS_Pit_Register!$AG$5:$AG$304,MATCH($B57,ERSS_Pit_Register!$A$5:$A$304,0)),IFERROR(INDEX(Linkway_Register!$AI$5:$AI$304,MATCH($B57,Linkway_Register!$A$5:$A$304,0)),IFERROR(INDEX(Other_Register!$Y$5:$Y$304,MATCH($B57,Other_Register!$A$5:$A$304,0)),""))))))))</f>
        <v/>
      </c>
      <c r="G57" s="10" t="str">
        <f aca="false">IF($B57="","",IF(ISNUMBER(MATCH($B57,Drain_Register!$A$5:$A$304,0)),"Drain",IF(ISNUMBER(MATCH($B57,RW_Register!$A$5:$A$304,0)),"Ret. Wall",IF(ISNUMBER(MATCH($B57,Embedded_Wall_Register!$A$5:$A$304,0)),"Embedded Wall",IF(ISNUMBER(MATCH($B57,Manhole_Register!$A$5:$A$304,0)),"Manhole",IF(ISNUMBER(MATCH($B57,ERSS_Pit_Register!$A$5:$A$304,0)),"ERSS Pit",IF(ISNUMBER(MATCH($B57,Linkway_Register!$A$5:$A$304,0)),"Linkway",IF(ISNUMBER(MATCH($B57,Other_Register!$A$5:$A$304,0)),"Others",""))))))))</f>
        <v/>
      </c>
      <c r="H57" s="10" t="str">
        <f aca="false">IF($B57="","",IFERROR(INDEX(Drain_Register!$B$5:$B$304,MATCH($B57,Drain_Register!$A$5:$A$304,0)),IFERROR(INDEX(RW_Register!$B$5:$B$304,MATCH($B57,RW_Register!$A$5:$A$304,0)),IFERROR(INDEX(Embedded_Wall_Register!$B$5:$B$304,MATCH($B57,Embedded_Wall_Register!$A$5:$A$304,0)),IFERROR(INDEX(Manhole_Register!$B$5:$B$304,MATCH($B57,Manhole_Register!$A$5:$A$304,0)),IFERROR(INDEX(ERSS_Pit_Register!$B$5:$B$304,MATCH($B57,ERSS_Pit_Register!$A$5:$A$304,0)),IFERROR(INDEX(Linkway_Register!$B$5:$B$304,MATCH($B57,Linkway_Register!$A$5:$A$304,0)),IFERROR(INDEX(Other_Register!$B$5:$B$304,MATCH($B57,Other_Register!$A$5:$A$304,0)),"ID not found - check spelling"))))))))</f>
        <v/>
      </c>
      <c r="I57" s="10" t="str">
        <f aca="false">IF($B57="","",IFERROR(INDEX(Drain_Register!$U$5:$U$304,MATCH($B57,Drain_Register!$A$5:$A$304,0)),IFERROR(INDEX(RW_Register!$AA$5:$AA$304,MATCH($B57,RW_Register!$A$5:$A$304,0)),IFERROR(INDEX(Embedded_Wall_Register!$X$5:$X$304,MATCH($B57,Embedded_Wall_Register!$A$5:$A$304,0)),IFERROR(INDEX(Manhole_Register!$AA$5:$AA$304,MATCH($B57,Manhole_Register!$A$5:$A$304,0)),IFERROR(INDEX(ERSS_Pit_Register!$U$5:$U$304,MATCH($B57,ERSS_Pit_Register!$A$5:$A$304,0)),IFERROR(INDEX(Linkway_Register!$W$5:$W$304,MATCH($B57,Linkway_Register!$A$5:$A$304,0)),IFERROR(INDEX(Other_Register!$M$5:$M$304,MATCH($B57,Other_Register!$A$5:$A$304,0)),""))))))))</f>
        <v/>
      </c>
      <c r="J57" s="10" t="str">
        <f aca="false">IF($B57="","",IFERROR(INDEX(Drain_Register!$V$5:$V$304,MATCH($B57,Drain_Register!$A$5:$A$304,0)),IFERROR(INDEX(RW_Register!$AB$5:$AB$304,MATCH($B57,RW_Register!$A$5:$A$304,0)),IFERROR(INDEX(Embedded_Wall_Register!$Y$5:$Y$304,MATCH($B57,Embedded_Wall_Register!$A$5:$A$304,0)),IFERROR(INDEX(Manhole_Register!$AB$5:$AB$304,MATCH($B57,Manhole_Register!$A$5:$A$304,0)),IFERROR(INDEX(ERSS_Pit_Register!$V$5:$V$304,MATCH($B57,ERSS_Pit_Register!$A$5:$A$304,0)),IFERROR(INDEX(Linkway_Register!$X$5:$X$304,MATCH($B57,Linkway_Register!$A$5:$A$304,0)),IFERROR(INDEX(Other_Register!$N$5:$N$304,MATCH($B57,Other_Register!$A$5:$A$304,0)),""))))))))</f>
        <v/>
      </c>
      <c r="K57" s="10" t="str">
        <f aca="false">IF($B57="","",IFERROR(INDEX(Drain_Register!$W$5:$W$304,MATCH($B57,Drain_Register!$A$5:$A$304,0)),IFERROR(INDEX(RW_Register!$AC$5:$AC$304,MATCH($B57,RW_Register!$A$5:$A$304,0)),IFERROR(INDEX(Embedded_Wall_Register!$Z$5:$Z$304,MATCH($B57,Embedded_Wall_Register!$A$5:$A$304,0)),IFERROR(INDEX(Manhole_Register!$AC$5:$AC$304,MATCH($B57,Manhole_Register!$A$5:$A$304,0)),IFERROR(INDEX(ERSS_Pit_Register!$W$5:$W$304,MATCH($B57,ERSS_Pit_Register!$A$5:$A$304,0)),IFERROR(INDEX(Linkway_Register!$Y$5:$Y$304,MATCH($B57,Linkway_Register!$A$5:$A$304,0)),IFERROR(INDEX(Other_Register!$O$5:$O$304,MATCH($B57,Other_Register!$A$5:$A$304,0)),""))))))))</f>
        <v/>
      </c>
      <c r="L57" s="10" t="str">
        <f aca="false">IF($B57="","",IFERROR(INDEX(Drain_Register!$X$5:$X$304,MATCH($B57,Drain_Register!$A$5:$A$304,0)),IFERROR(INDEX(RW_Register!$AD$5:$AD$304,MATCH($B57,RW_Register!$A$5:$A$304,0)),IFERROR(INDEX(Embedded_Wall_Register!$AA$5:$AA$304,MATCH($B57,Embedded_Wall_Register!$A$5:$A$304,0)),IFERROR(INDEX(Manhole_Register!$AD$5:$AD$304,MATCH($B57,Manhole_Register!$A$5:$A$304,0)),IFERROR(INDEX(ERSS_Pit_Register!$X$5:$X$304,MATCH($B57,ERSS_Pit_Register!$A$5:$A$304,0)),IFERROR(INDEX(Linkway_Register!$Z$5:$Z$304,MATCH($B57,Linkway_Register!$A$5:$A$304,0)),IFERROR(INDEX(Other_Register!$P$5:$P$304,MATCH($B57,Other_Register!$A$5:$A$304,0)),""))))))))</f>
        <v/>
      </c>
      <c r="M57" s="10" t="str">
        <f aca="false">IF($B57="","",IFERROR(INDEX(Drain_Register!$Z$5:$Z$304,MATCH($B57,Drain_Register!$A$5:$A$304,0)),IFERROR(INDEX(RW_Register!$AF$5:$AF$304,MATCH($B57,RW_Register!$A$5:$A$304,0)),IFERROR(INDEX(Embedded_Wall_Register!$AC$5:$AC$304,MATCH($B57,Embedded_Wall_Register!$A$5:$A$304,0)),IFERROR(INDEX(Manhole_Register!$AF$5:$AF$304,MATCH($B57,Manhole_Register!$A$5:$A$304,0)),IFERROR(INDEX(ERSS_Pit_Register!$Z$5:$Z$304,MATCH($B57,ERSS_Pit_Register!$A$5:$A$304,0)),IFERROR(INDEX(Linkway_Register!$AB$5:$AB$304,MATCH($B57,Linkway_Register!$A$5:$A$304,0)),IFERROR(INDEX(Other_Register!$R$5:$R$304,MATCH($B57,Other_Register!$A$5:$A$304,0)),"")))))))&amp;IFERROR(INDEX(Drain_Register!$AA$5:$AA$304,MATCH($B57,Drain_Register!$A$5:$A$304,0)),IFERROR(INDEX(RW_Register!$AG$5:$AG$304,MATCH($B57,RW_Register!$A$5:$A$304,0)),IFERROR(INDEX(Embedded_Wall_Register!$AD$5:$AD$304,MATCH($B57,Embedded_Wall_Register!$A$5:$A$304,0)),IFERROR(INDEX(Manhole_Register!$AG$5:$AG$304,MATCH($B57,Manhole_Register!$A$5:$A$304,0)),IFERROR(INDEX(ERSS_Pit_Register!$AA$5:$AA$304,MATCH($B57,ERSS_Pit_Register!$A$5:$A$304,0)),IFERROR(INDEX(Linkway_Register!$AC$5:$AC$304,MATCH($B57,Linkway_Register!$A$5:$A$304,0)),IFERROR(INDEX(Other_Register!$S$5:$S$304,MATCH($B57,Other_Register!$A$5:$A$304,0)),""))))))))</f>
        <v/>
      </c>
      <c r="N57" s="19" t="str">
        <f aca="false">IF(OR($B57="",$D57=""),"",$D57*N(IFERROR(INDEX(Drain_Register!$AH$5:$AH$304,MATCH($B57,Drain_Register!$A$5:$A$304,0)),IFERROR(INDEX(RW_Register!$AN$5:$AN$304,MATCH($B57,RW_Register!$A$5:$A$304,0)),IFERROR(INDEX(Embedded_Wall_Register!$AK$5:$AK$304,MATCH($B57,Embedded_Wall_Register!$A$5:$A$304,0)),IFERROR(INDEX(Manhole_Register!$AN$5:$AN$304,MATCH($B57,Manhole_Register!$A$5:$A$304,0)),IFERROR(INDEX(ERSS_Pit_Register!$AH$5:$AH$304,MATCH($B57,ERSS_Pit_Register!$A$5:$A$304,0)),IFERROR(INDEX(Linkway_Register!$AJ$5:$AJ$304,MATCH($B57,Linkway_Register!$A$5:$A$304,0)),IFERROR(INDEX(Other_Register!$Z$5:$Z$304,MATCH($B57,Other_Register!$A$5:$A$304,0)),0)))))))))</f>
        <v/>
      </c>
      <c r="O57" s="20" t="str">
        <f aca="false">IF(OR($B57="",$D57=""),"",$D57*N(IFERROR(INDEX(Drain_Register!$AI$5:$AI$304,MATCH($B57,Drain_Register!$A$5:$A$304,0)),IFERROR(INDEX(RW_Register!$AO$5:$AO$304,MATCH($B57,RW_Register!$A$5:$A$304,0)),IFERROR(INDEX(Embedded_Wall_Register!$AL$5:$AL$304,MATCH($B57,Embedded_Wall_Register!$A$5:$A$304,0)),IFERROR(INDEX(Manhole_Register!$AO$5:$AO$304,MATCH($B57,Manhole_Register!$A$5:$A$304,0)),IFERROR(INDEX(ERSS_Pit_Register!$AI$5:$AI$304,MATCH($B57,ERSS_Pit_Register!$A$5:$A$304,0)),IFERROR(INDEX(Linkway_Register!$AK$5:$AK$304,MATCH($B57,Linkway_Register!$A$5:$A$304,0)),IFERROR(INDEX(Other_Register!$AA$5:$AA$304,MATCH($B57,Other_Register!$A$5:$A$304,0)),0))))))))/1000)</f>
        <v/>
      </c>
      <c r="P57" s="20" t="str">
        <f aca="false">IF(OR($B57="",$D57=""),"",$D57*N(IFERROR(INDEX(Drain_Register!$AJ$5:$AJ$304,MATCH($B57,Drain_Register!$A$5:$A$304,0)),IFERROR(INDEX(RW_Register!$AP$5:$AP$304,MATCH($B57,RW_Register!$A$5:$A$304,0)),IFERROR(INDEX(Embedded_Wall_Register!$AM$5:$AM$304,MATCH($B57,Embedded_Wall_Register!$A$5:$A$304,0)),IFERROR(INDEX(Manhole_Register!$AP$5:$AP$304,MATCH($B57,Manhole_Register!$A$5:$A$304,0)),IFERROR(INDEX(ERSS_Pit_Register!$AJ$5:$AJ$304,MATCH($B57,ERSS_Pit_Register!$A$5:$A$304,0)),IFERROR(INDEX(Linkway_Register!$AL$5:$AL$304,MATCH($B57,Linkway_Register!$A$5:$A$304,0)),IFERROR(INDEX(Other_Register!$AB$5:$AB$304,MATCH($B57,Other_Register!$A$5:$A$304,0)),0))))))))/1000)</f>
        <v/>
      </c>
      <c r="Q57" s="19" t="str">
        <f aca="false">IF(OR($B57="",$D57=""),"",$D57*N(IFERROR(INDEX(Drain_Register!$AK$5:$AK$304,MATCH($B57,Drain_Register!$A$5:$A$304,0)),IFERROR(INDEX(RW_Register!$AQ$5:$AQ$304,MATCH($B57,RW_Register!$A$5:$A$304,0)),IFERROR(INDEX(Embedded_Wall_Register!$AN$5:$AN$304,MATCH($B57,Embedded_Wall_Register!$A$5:$A$304,0)),IFERROR(INDEX(Manhole_Register!$AQ$5:$AQ$304,MATCH($B57,Manhole_Register!$A$5:$A$304,0)),IFERROR(INDEX(ERSS_Pit_Register!$AK$5:$AK$304,MATCH($B57,ERSS_Pit_Register!$A$5:$A$304,0)),IFERROR(INDEX(Linkway_Register!$AM$5:$AM$304,MATCH($B57,Linkway_Register!$A$5:$A$304,0)),IFERROR(INDEX(Other_Register!$AC$5:$AC$304,MATCH($B57,Other_Register!$A$5:$A$304,0)),0)))))))))</f>
        <v/>
      </c>
      <c r="R57" s="19" t="str">
        <f aca="false">IF(OR($B57="",$D57=""),"",$D57*N(IFERROR(INDEX(Drain_Register!$AL$5:$AL$304,MATCH($B57,Drain_Register!$A$5:$A$304,0)),IFERROR(INDEX(RW_Register!$AR$5:$AR$304,MATCH($B57,RW_Register!$A$5:$A$304,0)),IFERROR(INDEX(Embedded_Wall_Register!$AO$5:$AO$304,MATCH($B57,Embedded_Wall_Register!$A$5:$A$304,0)),IFERROR(INDEX(Manhole_Register!$AR$5:$AR$304,MATCH($B57,Manhole_Register!$A$5:$A$304,0)),IFERROR(INDEX(ERSS_Pit_Register!$AL$5:$AL$304,MATCH($B57,ERSS_Pit_Register!$A$5:$A$304,0)),IFERROR(INDEX(Linkway_Register!$AN$5:$AN$304,MATCH($B57,Linkway_Register!$A$5:$A$304,0)),IFERROR(INDEX(Other_Register!$AD$5:$AD$304,MATCH($B57,Other_Register!$A$5:$A$304,0)),0)))))))))</f>
        <v/>
      </c>
      <c r="S57" s="10" t="str">
        <f aca="false">IF($B57="","",IF(G57="","ID not found",IF(J57&lt;&gt;"Approved","WARNING: status is "&amp;J57,IF(IFERROR(INDEX(Drain_Register!$AV$5:$AV$304,MATCH($B57,Drain_Register!$A$5:$A$304,0)),IFERROR(INDEX(RW_Register!$BA$5:$BA$304,MATCH($B57,RW_Register!$A$5:$A$304,0)),IFERROR(INDEX(Embedded_Wall_Register!$AX$5:$AX$304,MATCH($B57,Embedded_Wall_Register!$A$5:$A$304,0)),IFERROR(INDEX(Manhole_Register!$AZ$5:$AZ$304,MATCH($B57,Manhole_Register!$A$5:$A$304,0)),IFERROR(INDEX(ERSS_Pit_Register!$AU$5:$AU$304,MATCH($B57,ERSS_Pit_Register!$A$5:$A$304,0)),IFERROR(INDEX(Linkway_Register!$AV$5:$AV$304,MATCH($B57,Linkway_Register!$A$5:$A$304,0)),IFERROR(INDEX(Other_Register!$AL$5:$AL$304,MATCH($B57,Other_Register!$A$5:$A$304,0)),"")))))))="N","WARNING: fails SG compliance check",IF(D57="","Enter length / qty",IF(E57="","Enter CAD sheet no.","OK"))))))</f>
        <v/>
      </c>
    </row>
    <row r="58" customFormat="false" ht="15" hidden="false" customHeight="false" outlineLevel="0" collapsed="false">
      <c r="A58" s="9"/>
      <c r="B58" s="9"/>
      <c r="C58" s="9"/>
      <c r="D58" s="9"/>
      <c r="E58" s="9"/>
      <c r="F58" s="10" t="str">
        <f aca="false">IF($B58="","",IFERROR(INDEX(Drain_Register!$AG$5:$AG$304,MATCH($B58,Drain_Register!$A$5:$A$304,0)),IFERROR(INDEX(RW_Register!$AM$5:$AM$304,MATCH($B58,RW_Register!$A$5:$A$304,0)),IFERROR(INDEX(Embedded_Wall_Register!$AJ$5:$AJ$304,MATCH($B58,Embedded_Wall_Register!$A$5:$A$304,0)),IFERROR(INDEX(Manhole_Register!$AM$5:$AM$304,MATCH($B58,Manhole_Register!$A$5:$A$304,0)),IFERROR(INDEX(ERSS_Pit_Register!$AG$5:$AG$304,MATCH($B58,ERSS_Pit_Register!$A$5:$A$304,0)),IFERROR(INDEX(Linkway_Register!$AI$5:$AI$304,MATCH($B58,Linkway_Register!$A$5:$A$304,0)),IFERROR(INDEX(Other_Register!$Y$5:$Y$304,MATCH($B58,Other_Register!$A$5:$A$304,0)),""))))))))</f>
        <v/>
      </c>
      <c r="G58" s="10" t="str">
        <f aca="false">IF($B58="","",IF(ISNUMBER(MATCH($B58,Drain_Register!$A$5:$A$304,0)),"Drain",IF(ISNUMBER(MATCH($B58,RW_Register!$A$5:$A$304,0)),"Ret. Wall",IF(ISNUMBER(MATCH($B58,Embedded_Wall_Register!$A$5:$A$304,0)),"Embedded Wall",IF(ISNUMBER(MATCH($B58,Manhole_Register!$A$5:$A$304,0)),"Manhole",IF(ISNUMBER(MATCH($B58,ERSS_Pit_Register!$A$5:$A$304,0)),"ERSS Pit",IF(ISNUMBER(MATCH($B58,Linkway_Register!$A$5:$A$304,0)),"Linkway",IF(ISNUMBER(MATCH($B58,Other_Register!$A$5:$A$304,0)),"Others",""))))))))</f>
        <v/>
      </c>
      <c r="H58" s="10" t="str">
        <f aca="false">IF($B58="","",IFERROR(INDEX(Drain_Register!$B$5:$B$304,MATCH($B58,Drain_Register!$A$5:$A$304,0)),IFERROR(INDEX(RW_Register!$B$5:$B$304,MATCH($B58,RW_Register!$A$5:$A$304,0)),IFERROR(INDEX(Embedded_Wall_Register!$B$5:$B$304,MATCH($B58,Embedded_Wall_Register!$A$5:$A$304,0)),IFERROR(INDEX(Manhole_Register!$B$5:$B$304,MATCH($B58,Manhole_Register!$A$5:$A$304,0)),IFERROR(INDEX(ERSS_Pit_Register!$B$5:$B$304,MATCH($B58,ERSS_Pit_Register!$A$5:$A$304,0)),IFERROR(INDEX(Linkway_Register!$B$5:$B$304,MATCH($B58,Linkway_Register!$A$5:$A$304,0)),IFERROR(INDEX(Other_Register!$B$5:$B$304,MATCH($B58,Other_Register!$A$5:$A$304,0)),"ID not found - check spelling"))))))))</f>
        <v/>
      </c>
      <c r="I58" s="10" t="str">
        <f aca="false">IF($B58="","",IFERROR(INDEX(Drain_Register!$U$5:$U$304,MATCH($B58,Drain_Register!$A$5:$A$304,0)),IFERROR(INDEX(RW_Register!$AA$5:$AA$304,MATCH($B58,RW_Register!$A$5:$A$304,0)),IFERROR(INDEX(Embedded_Wall_Register!$X$5:$X$304,MATCH($B58,Embedded_Wall_Register!$A$5:$A$304,0)),IFERROR(INDEX(Manhole_Register!$AA$5:$AA$304,MATCH($B58,Manhole_Register!$A$5:$A$304,0)),IFERROR(INDEX(ERSS_Pit_Register!$U$5:$U$304,MATCH($B58,ERSS_Pit_Register!$A$5:$A$304,0)),IFERROR(INDEX(Linkway_Register!$W$5:$W$304,MATCH($B58,Linkway_Register!$A$5:$A$304,0)),IFERROR(INDEX(Other_Register!$M$5:$M$304,MATCH($B58,Other_Register!$A$5:$A$304,0)),""))))))))</f>
        <v/>
      </c>
      <c r="J58" s="10" t="str">
        <f aca="false">IF($B58="","",IFERROR(INDEX(Drain_Register!$V$5:$V$304,MATCH($B58,Drain_Register!$A$5:$A$304,0)),IFERROR(INDEX(RW_Register!$AB$5:$AB$304,MATCH($B58,RW_Register!$A$5:$A$304,0)),IFERROR(INDEX(Embedded_Wall_Register!$Y$5:$Y$304,MATCH($B58,Embedded_Wall_Register!$A$5:$A$304,0)),IFERROR(INDEX(Manhole_Register!$AB$5:$AB$304,MATCH($B58,Manhole_Register!$A$5:$A$304,0)),IFERROR(INDEX(ERSS_Pit_Register!$V$5:$V$304,MATCH($B58,ERSS_Pit_Register!$A$5:$A$304,0)),IFERROR(INDEX(Linkway_Register!$X$5:$X$304,MATCH($B58,Linkway_Register!$A$5:$A$304,0)),IFERROR(INDEX(Other_Register!$N$5:$N$304,MATCH($B58,Other_Register!$A$5:$A$304,0)),""))))))))</f>
        <v/>
      </c>
      <c r="K58" s="10" t="str">
        <f aca="false">IF($B58="","",IFERROR(INDEX(Drain_Register!$W$5:$W$304,MATCH($B58,Drain_Register!$A$5:$A$304,0)),IFERROR(INDEX(RW_Register!$AC$5:$AC$304,MATCH($B58,RW_Register!$A$5:$A$304,0)),IFERROR(INDEX(Embedded_Wall_Register!$Z$5:$Z$304,MATCH($B58,Embedded_Wall_Register!$A$5:$A$304,0)),IFERROR(INDEX(Manhole_Register!$AC$5:$AC$304,MATCH($B58,Manhole_Register!$A$5:$A$304,0)),IFERROR(INDEX(ERSS_Pit_Register!$W$5:$W$304,MATCH($B58,ERSS_Pit_Register!$A$5:$A$304,0)),IFERROR(INDEX(Linkway_Register!$Y$5:$Y$304,MATCH($B58,Linkway_Register!$A$5:$A$304,0)),IFERROR(INDEX(Other_Register!$O$5:$O$304,MATCH($B58,Other_Register!$A$5:$A$304,0)),""))))))))</f>
        <v/>
      </c>
      <c r="L58" s="10" t="str">
        <f aca="false">IF($B58="","",IFERROR(INDEX(Drain_Register!$X$5:$X$304,MATCH($B58,Drain_Register!$A$5:$A$304,0)),IFERROR(INDEX(RW_Register!$AD$5:$AD$304,MATCH($B58,RW_Register!$A$5:$A$304,0)),IFERROR(INDEX(Embedded_Wall_Register!$AA$5:$AA$304,MATCH($B58,Embedded_Wall_Register!$A$5:$A$304,0)),IFERROR(INDEX(Manhole_Register!$AD$5:$AD$304,MATCH($B58,Manhole_Register!$A$5:$A$304,0)),IFERROR(INDEX(ERSS_Pit_Register!$X$5:$X$304,MATCH($B58,ERSS_Pit_Register!$A$5:$A$304,0)),IFERROR(INDEX(Linkway_Register!$Z$5:$Z$304,MATCH($B58,Linkway_Register!$A$5:$A$304,0)),IFERROR(INDEX(Other_Register!$P$5:$P$304,MATCH($B58,Other_Register!$A$5:$A$304,0)),""))))))))</f>
        <v/>
      </c>
      <c r="M58" s="10" t="str">
        <f aca="false">IF($B58="","",IFERROR(INDEX(Drain_Register!$Z$5:$Z$304,MATCH($B58,Drain_Register!$A$5:$A$304,0)),IFERROR(INDEX(RW_Register!$AF$5:$AF$304,MATCH($B58,RW_Register!$A$5:$A$304,0)),IFERROR(INDEX(Embedded_Wall_Register!$AC$5:$AC$304,MATCH($B58,Embedded_Wall_Register!$A$5:$A$304,0)),IFERROR(INDEX(Manhole_Register!$AF$5:$AF$304,MATCH($B58,Manhole_Register!$A$5:$A$304,0)),IFERROR(INDEX(ERSS_Pit_Register!$Z$5:$Z$304,MATCH($B58,ERSS_Pit_Register!$A$5:$A$304,0)),IFERROR(INDEX(Linkway_Register!$AB$5:$AB$304,MATCH($B58,Linkway_Register!$A$5:$A$304,0)),IFERROR(INDEX(Other_Register!$R$5:$R$304,MATCH($B58,Other_Register!$A$5:$A$304,0)),"")))))))&amp;IFERROR(INDEX(Drain_Register!$AA$5:$AA$304,MATCH($B58,Drain_Register!$A$5:$A$304,0)),IFERROR(INDEX(RW_Register!$AG$5:$AG$304,MATCH($B58,RW_Register!$A$5:$A$304,0)),IFERROR(INDEX(Embedded_Wall_Register!$AD$5:$AD$304,MATCH($B58,Embedded_Wall_Register!$A$5:$A$304,0)),IFERROR(INDEX(Manhole_Register!$AG$5:$AG$304,MATCH($B58,Manhole_Register!$A$5:$A$304,0)),IFERROR(INDEX(ERSS_Pit_Register!$AA$5:$AA$304,MATCH($B58,ERSS_Pit_Register!$A$5:$A$304,0)),IFERROR(INDEX(Linkway_Register!$AC$5:$AC$304,MATCH($B58,Linkway_Register!$A$5:$A$304,0)),IFERROR(INDEX(Other_Register!$S$5:$S$304,MATCH($B58,Other_Register!$A$5:$A$304,0)),""))))))))</f>
        <v/>
      </c>
      <c r="N58" s="19" t="str">
        <f aca="false">IF(OR($B58="",$D58=""),"",$D58*N(IFERROR(INDEX(Drain_Register!$AH$5:$AH$304,MATCH($B58,Drain_Register!$A$5:$A$304,0)),IFERROR(INDEX(RW_Register!$AN$5:$AN$304,MATCH($B58,RW_Register!$A$5:$A$304,0)),IFERROR(INDEX(Embedded_Wall_Register!$AK$5:$AK$304,MATCH($B58,Embedded_Wall_Register!$A$5:$A$304,0)),IFERROR(INDEX(Manhole_Register!$AN$5:$AN$304,MATCH($B58,Manhole_Register!$A$5:$A$304,0)),IFERROR(INDEX(ERSS_Pit_Register!$AH$5:$AH$304,MATCH($B58,ERSS_Pit_Register!$A$5:$A$304,0)),IFERROR(INDEX(Linkway_Register!$AJ$5:$AJ$304,MATCH($B58,Linkway_Register!$A$5:$A$304,0)),IFERROR(INDEX(Other_Register!$Z$5:$Z$304,MATCH($B58,Other_Register!$A$5:$A$304,0)),0)))))))))</f>
        <v/>
      </c>
      <c r="O58" s="20" t="str">
        <f aca="false">IF(OR($B58="",$D58=""),"",$D58*N(IFERROR(INDEX(Drain_Register!$AI$5:$AI$304,MATCH($B58,Drain_Register!$A$5:$A$304,0)),IFERROR(INDEX(RW_Register!$AO$5:$AO$304,MATCH($B58,RW_Register!$A$5:$A$304,0)),IFERROR(INDEX(Embedded_Wall_Register!$AL$5:$AL$304,MATCH($B58,Embedded_Wall_Register!$A$5:$A$304,0)),IFERROR(INDEX(Manhole_Register!$AO$5:$AO$304,MATCH($B58,Manhole_Register!$A$5:$A$304,0)),IFERROR(INDEX(ERSS_Pit_Register!$AI$5:$AI$304,MATCH($B58,ERSS_Pit_Register!$A$5:$A$304,0)),IFERROR(INDEX(Linkway_Register!$AK$5:$AK$304,MATCH($B58,Linkway_Register!$A$5:$A$304,0)),IFERROR(INDEX(Other_Register!$AA$5:$AA$304,MATCH($B58,Other_Register!$A$5:$A$304,0)),0))))))))/1000)</f>
        <v/>
      </c>
      <c r="P58" s="20" t="str">
        <f aca="false">IF(OR($B58="",$D58=""),"",$D58*N(IFERROR(INDEX(Drain_Register!$AJ$5:$AJ$304,MATCH($B58,Drain_Register!$A$5:$A$304,0)),IFERROR(INDEX(RW_Register!$AP$5:$AP$304,MATCH($B58,RW_Register!$A$5:$A$304,0)),IFERROR(INDEX(Embedded_Wall_Register!$AM$5:$AM$304,MATCH($B58,Embedded_Wall_Register!$A$5:$A$304,0)),IFERROR(INDEX(Manhole_Register!$AP$5:$AP$304,MATCH($B58,Manhole_Register!$A$5:$A$304,0)),IFERROR(INDEX(ERSS_Pit_Register!$AJ$5:$AJ$304,MATCH($B58,ERSS_Pit_Register!$A$5:$A$304,0)),IFERROR(INDEX(Linkway_Register!$AL$5:$AL$304,MATCH($B58,Linkway_Register!$A$5:$A$304,0)),IFERROR(INDEX(Other_Register!$AB$5:$AB$304,MATCH($B58,Other_Register!$A$5:$A$304,0)),0))))))))/1000)</f>
        <v/>
      </c>
      <c r="Q58" s="19" t="str">
        <f aca="false">IF(OR($B58="",$D58=""),"",$D58*N(IFERROR(INDEX(Drain_Register!$AK$5:$AK$304,MATCH($B58,Drain_Register!$A$5:$A$304,0)),IFERROR(INDEX(RW_Register!$AQ$5:$AQ$304,MATCH($B58,RW_Register!$A$5:$A$304,0)),IFERROR(INDEX(Embedded_Wall_Register!$AN$5:$AN$304,MATCH($B58,Embedded_Wall_Register!$A$5:$A$304,0)),IFERROR(INDEX(Manhole_Register!$AQ$5:$AQ$304,MATCH($B58,Manhole_Register!$A$5:$A$304,0)),IFERROR(INDEX(ERSS_Pit_Register!$AK$5:$AK$304,MATCH($B58,ERSS_Pit_Register!$A$5:$A$304,0)),IFERROR(INDEX(Linkway_Register!$AM$5:$AM$304,MATCH($B58,Linkway_Register!$A$5:$A$304,0)),IFERROR(INDEX(Other_Register!$AC$5:$AC$304,MATCH($B58,Other_Register!$A$5:$A$304,0)),0)))))))))</f>
        <v/>
      </c>
      <c r="R58" s="19" t="str">
        <f aca="false">IF(OR($B58="",$D58=""),"",$D58*N(IFERROR(INDEX(Drain_Register!$AL$5:$AL$304,MATCH($B58,Drain_Register!$A$5:$A$304,0)),IFERROR(INDEX(RW_Register!$AR$5:$AR$304,MATCH($B58,RW_Register!$A$5:$A$304,0)),IFERROR(INDEX(Embedded_Wall_Register!$AO$5:$AO$304,MATCH($B58,Embedded_Wall_Register!$A$5:$A$304,0)),IFERROR(INDEX(Manhole_Register!$AR$5:$AR$304,MATCH($B58,Manhole_Register!$A$5:$A$304,0)),IFERROR(INDEX(ERSS_Pit_Register!$AL$5:$AL$304,MATCH($B58,ERSS_Pit_Register!$A$5:$A$304,0)),IFERROR(INDEX(Linkway_Register!$AN$5:$AN$304,MATCH($B58,Linkway_Register!$A$5:$A$304,0)),IFERROR(INDEX(Other_Register!$AD$5:$AD$304,MATCH($B58,Other_Register!$A$5:$A$304,0)),0)))))))))</f>
        <v/>
      </c>
      <c r="S58" s="10" t="str">
        <f aca="false">IF($B58="","",IF(G58="","ID not found",IF(J58&lt;&gt;"Approved","WARNING: status is "&amp;J58,IF(IFERROR(INDEX(Drain_Register!$AV$5:$AV$304,MATCH($B58,Drain_Register!$A$5:$A$304,0)),IFERROR(INDEX(RW_Register!$BA$5:$BA$304,MATCH($B58,RW_Register!$A$5:$A$304,0)),IFERROR(INDEX(Embedded_Wall_Register!$AX$5:$AX$304,MATCH($B58,Embedded_Wall_Register!$A$5:$A$304,0)),IFERROR(INDEX(Manhole_Register!$AZ$5:$AZ$304,MATCH($B58,Manhole_Register!$A$5:$A$304,0)),IFERROR(INDEX(ERSS_Pit_Register!$AU$5:$AU$304,MATCH($B58,ERSS_Pit_Register!$A$5:$A$304,0)),IFERROR(INDEX(Linkway_Register!$AV$5:$AV$304,MATCH($B58,Linkway_Register!$A$5:$A$304,0)),IFERROR(INDEX(Other_Register!$AL$5:$AL$304,MATCH($B58,Other_Register!$A$5:$A$304,0)),"")))))))="N","WARNING: fails SG compliance check",IF(D58="","Enter length / qty",IF(E58="","Enter CAD sheet no.","OK"))))))</f>
        <v/>
      </c>
    </row>
    <row r="59" customFormat="false" ht="15" hidden="false" customHeight="false" outlineLevel="0" collapsed="false">
      <c r="A59" s="9"/>
      <c r="B59" s="9"/>
      <c r="C59" s="9"/>
      <c r="D59" s="9"/>
      <c r="E59" s="9"/>
      <c r="F59" s="10" t="str">
        <f aca="false">IF($B59="","",IFERROR(INDEX(Drain_Register!$AG$5:$AG$304,MATCH($B59,Drain_Register!$A$5:$A$304,0)),IFERROR(INDEX(RW_Register!$AM$5:$AM$304,MATCH($B59,RW_Register!$A$5:$A$304,0)),IFERROR(INDEX(Embedded_Wall_Register!$AJ$5:$AJ$304,MATCH($B59,Embedded_Wall_Register!$A$5:$A$304,0)),IFERROR(INDEX(Manhole_Register!$AM$5:$AM$304,MATCH($B59,Manhole_Register!$A$5:$A$304,0)),IFERROR(INDEX(ERSS_Pit_Register!$AG$5:$AG$304,MATCH($B59,ERSS_Pit_Register!$A$5:$A$304,0)),IFERROR(INDEX(Linkway_Register!$AI$5:$AI$304,MATCH($B59,Linkway_Register!$A$5:$A$304,0)),IFERROR(INDEX(Other_Register!$Y$5:$Y$304,MATCH($B59,Other_Register!$A$5:$A$304,0)),""))))))))</f>
        <v/>
      </c>
      <c r="G59" s="10" t="str">
        <f aca="false">IF($B59="","",IF(ISNUMBER(MATCH($B59,Drain_Register!$A$5:$A$304,0)),"Drain",IF(ISNUMBER(MATCH($B59,RW_Register!$A$5:$A$304,0)),"Ret. Wall",IF(ISNUMBER(MATCH($B59,Embedded_Wall_Register!$A$5:$A$304,0)),"Embedded Wall",IF(ISNUMBER(MATCH($B59,Manhole_Register!$A$5:$A$304,0)),"Manhole",IF(ISNUMBER(MATCH($B59,ERSS_Pit_Register!$A$5:$A$304,0)),"ERSS Pit",IF(ISNUMBER(MATCH($B59,Linkway_Register!$A$5:$A$304,0)),"Linkway",IF(ISNUMBER(MATCH($B59,Other_Register!$A$5:$A$304,0)),"Others",""))))))))</f>
        <v/>
      </c>
      <c r="H59" s="10" t="str">
        <f aca="false">IF($B59="","",IFERROR(INDEX(Drain_Register!$B$5:$B$304,MATCH($B59,Drain_Register!$A$5:$A$304,0)),IFERROR(INDEX(RW_Register!$B$5:$B$304,MATCH($B59,RW_Register!$A$5:$A$304,0)),IFERROR(INDEX(Embedded_Wall_Register!$B$5:$B$304,MATCH($B59,Embedded_Wall_Register!$A$5:$A$304,0)),IFERROR(INDEX(Manhole_Register!$B$5:$B$304,MATCH($B59,Manhole_Register!$A$5:$A$304,0)),IFERROR(INDEX(ERSS_Pit_Register!$B$5:$B$304,MATCH($B59,ERSS_Pit_Register!$A$5:$A$304,0)),IFERROR(INDEX(Linkway_Register!$B$5:$B$304,MATCH($B59,Linkway_Register!$A$5:$A$304,0)),IFERROR(INDEX(Other_Register!$B$5:$B$304,MATCH($B59,Other_Register!$A$5:$A$304,0)),"ID not found - check spelling"))))))))</f>
        <v/>
      </c>
      <c r="I59" s="10" t="str">
        <f aca="false">IF($B59="","",IFERROR(INDEX(Drain_Register!$U$5:$U$304,MATCH($B59,Drain_Register!$A$5:$A$304,0)),IFERROR(INDEX(RW_Register!$AA$5:$AA$304,MATCH($B59,RW_Register!$A$5:$A$304,0)),IFERROR(INDEX(Embedded_Wall_Register!$X$5:$X$304,MATCH($B59,Embedded_Wall_Register!$A$5:$A$304,0)),IFERROR(INDEX(Manhole_Register!$AA$5:$AA$304,MATCH($B59,Manhole_Register!$A$5:$A$304,0)),IFERROR(INDEX(ERSS_Pit_Register!$U$5:$U$304,MATCH($B59,ERSS_Pit_Register!$A$5:$A$304,0)),IFERROR(INDEX(Linkway_Register!$W$5:$W$304,MATCH($B59,Linkway_Register!$A$5:$A$304,0)),IFERROR(INDEX(Other_Register!$M$5:$M$304,MATCH($B59,Other_Register!$A$5:$A$304,0)),""))))))))</f>
        <v/>
      </c>
      <c r="J59" s="10" t="str">
        <f aca="false">IF($B59="","",IFERROR(INDEX(Drain_Register!$V$5:$V$304,MATCH($B59,Drain_Register!$A$5:$A$304,0)),IFERROR(INDEX(RW_Register!$AB$5:$AB$304,MATCH($B59,RW_Register!$A$5:$A$304,0)),IFERROR(INDEX(Embedded_Wall_Register!$Y$5:$Y$304,MATCH($B59,Embedded_Wall_Register!$A$5:$A$304,0)),IFERROR(INDEX(Manhole_Register!$AB$5:$AB$304,MATCH($B59,Manhole_Register!$A$5:$A$304,0)),IFERROR(INDEX(ERSS_Pit_Register!$V$5:$V$304,MATCH($B59,ERSS_Pit_Register!$A$5:$A$304,0)),IFERROR(INDEX(Linkway_Register!$X$5:$X$304,MATCH($B59,Linkway_Register!$A$5:$A$304,0)),IFERROR(INDEX(Other_Register!$N$5:$N$304,MATCH($B59,Other_Register!$A$5:$A$304,0)),""))))))))</f>
        <v/>
      </c>
      <c r="K59" s="10" t="str">
        <f aca="false">IF($B59="","",IFERROR(INDEX(Drain_Register!$W$5:$W$304,MATCH($B59,Drain_Register!$A$5:$A$304,0)),IFERROR(INDEX(RW_Register!$AC$5:$AC$304,MATCH($B59,RW_Register!$A$5:$A$304,0)),IFERROR(INDEX(Embedded_Wall_Register!$Z$5:$Z$304,MATCH($B59,Embedded_Wall_Register!$A$5:$A$304,0)),IFERROR(INDEX(Manhole_Register!$AC$5:$AC$304,MATCH($B59,Manhole_Register!$A$5:$A$304,0)),IFERROR(INDEX(ERSS_Pit_Register!$W$5:$W$304,MATCH($B59,ERSS_Pit_Register!$A$5:$A$304,0)),IFERROR(INDEX(Linkway_Register!$Y$5:$Y$304,MATCH($B59,Linkway_Register!$A$5:$A$304,0)),IFERROR(INDEX(Other_Register!$O$5:$O$304,MATCH($B59,Other_Register!$A$5:$A$304,0)),""))))))))</f>
        <v/>
      </c>
      <c r="L59" s="10" t="str">
        <f aca="false">IF($B59="","",IFERROR(INDEX(Drain_Register!$X$5:$X$304,MATCH($B59,Drain_Register!$A$5:$A$304,0)),IFERROR(INDEX(RW_Register!$AD$5:$AD$304,MATCH($B59,RW_Register!$A$5:$A$304,0)),IFERROR(INDEX(Embedded_Wall_Register!$AA$5:$AA$304,MATCH($B59,Embedded_Wall_Register!$A$5:$A$304,0)),IFERROR(INDEX(Manhole_Register!$AD$5:$AD$304,MATCH($B59,Manhole_Register!$A$5:$A$304,0)),IFERROR(INDEX(ERSS_Pit_Register!$X$5:$X$304,MATCH($B59,ERSS_Pit_Register!$A$5:$A$304,0)),IFERROR(INDEX(Linkway_Register!$Z$5:$Z$304,MATCH($B59,Linkway_Register!$A$5:$A$304,0)),IFERROR(INDEX(Other_Register!$P$5:$P$304,MATCH($B59,Other_Register!$A$5:$A$304,0)),""))))))))</f>
        <v/>
      </c>
      <c r="M59" s="10" t="str">
        <f aca="false">IF($B59="","",IFERROR(INDEX(Drain_Register!$Z$5:$Z$304,MATCH($B59,Drain_Register!$A$5:$A$304,0)),IFERROR(INDEX(RW_Register!$AF$5:$AF$304,MATCH($B59,RW_Register!$A$5:$A$304,0)),IFERROR(INDEX(Embedded_Wall_Register!$AC$5:$AC$304,MATCH($B59,Embedded_Wall_Register!$A$5:$A$304,0)),IFERROR(INDEX(Manhole_Register!$AF$5:$AF$304,MATCH($B59,Manhole_Register!$A$5:$A$304,0)),IFERROR(INDEX(ERSS_Pit_Register!$Z$5:$Z$304,MATCH($B59,ERSS_Pit_Register!$A$5:$A$304,0)),IFERROR(INDEX(Linkway_Register!$AB$5:$AB$304,MATCH($B59,Linkway_Register!$A$5:$A$304,0)),IFERROR(INDEX(Other_Register!$R$5:$R$304,MATCH($B59,Other_Register!$A$5:$A$304,0)),"")))))))&amp;IFERROR(INDEX(Drain_Register!$AA$5:$AA$304,MATCH($B59,Drain_Register!$A$5:$A$304,0)),IFERROR(INDEX(RW_Register!$AG$5:$AG$304,MATCH($B59,RW_Register!$A$5:$A$304,0)),IFERROR(INDEX(Embedded_Wall_Register!$AD$5:$AD$304,MATCH($B59,Embedded_Wall_Register!$A$5:$A$304,0)),IFERROR(INDEX(Manhole_Register!$AG$5:$AG$304,MATCH($B59,Manhole_Register!$A$5:$A$304,0)),IFERROR(INDEX(ERSS_Pit_Register!$AA$5:$AA$304,MATCH($B59,ERSS_Pit_Register!$A$5:$A$304,0)),IFERROR(INDEX(Linkway_Register!$AC$5:$AC$304,MATCH($B59,Linkway_Register!$A$5:$A$304,0)),IFERROR(INDEX(Other_Register!$S$5:$S$304,MATCH($B59,Other_Register!$A$5:$A$304,0)),""))))))))</f>
        <v/>
      </c>
      <c r="N59" s="19" t="str">
        <f aca="false">IF(OR($B59="",$D59=""),"",$D59*N(IFERROR(INDEX(Drain_Register!$AH$5:$AH$304,MATCH($B59,Drain_Register!$A$5:$A$304,0)),IFERROR(INDEX(RW_Register!$AN$5:$AN$304,MATCH($B59,RW_Register!$A$5:$A$304,0)),IFERROR(INDEX(Embedded_Wall_Register!$AK$5:$AK$304,MATCH($B59,Embedded_Wall_Register!$A$5:$A$304,0)),IFERROR(INDEX(Manhole_Register!$AN$5:$AN$304,MATCH($B59,Manhole_Register!$A$5:$A$304,0)),IFERROR(INDEX(ERSS_Pit_Register!$AH$5:$AH$304,MATCH($B59,ERSS_Pit_Register!$A$5:$A$304,0)),IFERROR(INDEX(Linkway_Register!$AJ$5:$AJ$304,MATCH($B59,Linkway_Register!$A$5:$A$304,0)),IFERROR(INDEX(Other_Register!$Z$5:$Z$304,MATCH($B59,Other_Register!$A$5:$A$304,0)),0)))))))))</f>
        <v/>
      </c>
      <c r="O59" s="20" t="str">
        <f aca="false">IF(OR($B59="",$D59=""),"",$D59*N(IFERROR(INDEX(Drain_Register!$AI$5:$AI$304,MATCH($B59,Drain_Register!$A$5:$A$304,0)),IFERROR(INDEX(RW_Register!$AO$5:$AO$304,MATCH($B59,RW_Register!$A$5:$A$304,0)),IFERROR(INDEX(Embedded_Wall_Register!$AL$5:$AL$304,MATCH($B59,Embedded_Wall_Register!$A$5:$A$304,0)),IFERROR(INDEX(Manhole_Register!$AO$5:$AO$304,MATCH($B59,Manhole_Register!$A$5:$A$304,0)),IFERROR(INDEX(ERSS_Pit_Register!$AI$5:$AI$304,MATCH($B59,ERSS_Pit_Register!$A$5:$A$304,0)),IFERROR(INDEX(Linkway_Register!$AK$5:$AK$304,MATCH($B59,Linkway_Register!$A$5:$A$304,0)),IFERROR(INDEX(Other_Register!$AA$5:$AA$304,MATCH($B59,Other_Register!$A$5:$A$304,0)),0))))))))/1000)</f>
        <v/>
      </c>
      <c r="P59" s="20" t="str">
        <f aca="false">IF(OR($B59="",$D59=""),"",$D59*N(IFERROR(INDEX(Drain_Register!$AJ$5:$AJ$304,MATCH($B59,Drain_Register!$A$5:$A$304,0)),IFERROR(INDEX(RW_Register!$AP$5:$AP$304,MATCH($B59,RW_Register!$A$5:$A$304,0)),IFERROR(INDEX(Embedded_Wall_Register!$AM$5:$AM$304,MATCH($B59,Embedded_Wall_Register!$A$5:$A$304,0)),IFERROR(INDEX(Manhole_Register!$AP$5:$AP$304,MATCH($B59,Manhole_Register!$A$5:$A$304,0)),IFERROR(INDEX(ERSS_Pit_Register!$AJ$5:$AJ$304,MATCH($B59,ERSS_Pit_Register!$A$5:$A$304,0)),IFERROR(INDEX(Linkway_Register!$AL$5:$AL$304,MATCH($B59,Linkway_Register!$A$5:$A$304,0)),IFERROR(INDEX(Other_Register!$AB$5:$AB$304,MATCH($B59,Other_Register!$A$5:$A$304,0)),0))))))))/1000)</f>
        <v/>
      </c>
      <c r="Q59" s="19" t="str">
        <f aca="false">IF(OR($B59="",$D59=""),"",$D59*N(IFERROR(INDEX(Drain_Register!$AK$5:$AK$304,MATCH($B59,Drain_Register!$A$5:$A$304,0)),IFERROR(INDEX(RW_Register!$AQ$5:$AQ$304,MATCH($B59,RW_Register!$A$5:$A$304,0)),IFERROR(INDEX(Embedded_Wall_Register!$AN$5:$AN$304,MATCH($B59,Embedded_Wall_Register!$A$5:$A$304,0)),IFERROR(INDEX(Manhole_Register!$AQ$5:$AQ$304,MATCH($B59,Manhole_Register!$A$5:$A$304,0)),IFERROR(INDEX(ERSS_Pit_Register!$AK$5:$AK$304,MATCH($B59,ERSS_Pit_Register!$A$5:$A$304,0)),IFERROR(INDEX(Linkway_Register!$AM$5:$AM$304,MATCH($B59,Linkway_Register!$A$5:$A$304,0)),IFERROR(INDEX(Other_Register!$AC$5:$AC$304,MATCH($B59,Other_Register!$A$5:$A$304,0)),0)))))))))</f>
        <v/>
      </c>
      <c r="R59" s="19" t="str">
        <f aca="false">IF(OR($B59="",$D59=""),"",$D59*N(IFERROR(INDEX(Drain_Register!$AL$5:$AL$304,MATCH($B59,Drain_Register!$A$5:$A$304,0)),IFERROR(INDEX(RW_Register!$AR$5:$AR$304,MATCH($B59,RW_Register!$A$5:$A$304,0)),IFERROR(INDEX(Embedded_Wall_Register!$AO$5:$AO$304,MATCH($B59,Embedded_Wall_Register!$A$5:$A$304,0)),IFERROR(INDEX(Manhole_Register!$AR$5:$AR$304,MATCH($B59,Manhole_Register!$A$5:$A$304,0)),IFERROR(INDEX(ERSS_Pit_Register!$AL$5:$AL$304,MATCH($B59,ERSS_Pit_Register!$A$5:$A$304,0)),IFERROR(INDEX(Linkway_Register!$AN$5:$AN$304,MATCH($B59,Linkway_Register!$A$5:$A$304,0)),IFERROR(INDEX(Other_Register!$AD$5:$AD$304,MATCH($B59,Other_Register!$A$5:$A$304,0)),0)))))))))</f>
        <v/>
      </c>
      <c r="S59" s="10" t="str">
        <f aca="false">IF($B59="","",IF(G59="","ID not found",IF(J59&lt;&gt;"Approved","WARNING: status is "&amp;J59,IF(IFERROR(INDEX(Drain_Register!$AV$5:$AV$304,MATCH($B59,Drain_Register!$A$5:$A$304,0)),IFERROR(INDEX(RW_Register!$BA$5:$BA$304,MATCH($B59,RW_Register!$A$5:$A$304,0)),IFERROR(INDEX(Embedded_Wall_Register!$AX$5:$AX$304,MATCH($B59,Embedded_Wall_Register!$A$5:$A$304,0)),IFERROR(INDEX(Manhole_Register!$AZ$5:$AZ$304,MATCH($B59,Manhole_Register!$A$5:$A$304,0)),IFERROR(INDEX(ERSS_Pit_Register!$AU$5:$AU$304,MATCH($B59,ERSS_Pit_Register!$A$5:$A$304,0)),IFERROR(INDEX(Linkway_Register!$AV$5:$AV$304,MATCH($B59,Linkway_Register!$A$5:$A$304,0)),IFERROR(INDEX(Other_Register!$AL$5:$AL$304,MATCH($B59,Other_Register!$A$5:$A$304,0)),"")))))))="N","WARNING: fails SG compliance check",IF(D59="","Enter length / qty",IF(E59="","Enter CAD sheet no.","OK"))))))</f>
        <v/>
      </c>
    </row>
    <row r="60" customFormat="false" ht="15" hidden="false" customHeight="false" outlineLevel="0" collapsed="false">
      <c r="A60" s="9"/>
      <c r="B60" s="9"/>
      <c r="C60" s="9"/>
      <c r="D60" s="9"/>
      <c r="E60" s="9"/>
      <c r="F60" s="10" t="str">
        <f aca="false">IF($B60="","",IFERROR(INDEX(Drain_Register!$AG$5:$AG$304,MATCH($B60,Drain_Register!$A$5:$A$304,0)),IFERROR(INDEX(RW_Register!$AM$5:$AM$304,MATCH($B60,RW_Register!$A$5:$A$304,0)),IFERROR(INDEX(Embedded_Wall_Register!$AJ$5:$AJ$304,MATCH($B60,Embedded_Wall_Register!$A$5:$A$304,0)),IFERROR(INDEX(Manhole_Register!$AM$5:$AM$304,MATCH($B60,Manhole_Register!$A$5:$A$304,0)),IFERROR(INDEX(ERSS_Pit_Register!$AG$5:$AG$304,MATCH($B60,ERSS_Pit_Register!$A$5:$A$304,0)),IFERROR(INDEX(Linkway_Register!$AI$5:$AI$304,MATCH($B60,Linkway_Register!$A$5:$A$304,0)),IFERROR(INDEX(Other_Register!$Y$5:$Y$304,MATCH($B60,Other_Register!$A$5:$A$304,0)),""))))))))</f>
        <v/>
      </c>
      <c r="G60" s="10" t="str">
        <f aca="false">IF($B60="","",IF(ISNUMBER(MATCH($B60,Drain_Register!$A$5:$A$304,0)),"Drain",IF(ISNUMBER(MATCH($B60,RW_Register!$A$5:$A$304,0)),"Ret. Wall",IF(ISNUMBER(MATCH($B60,Embedded_Wall_Register!$A$5:$A$304,0)),"Embedded Wall",IF(ISNUMBER(MATCH($B60,Manhole_Register!$A$5:$A$304,0)),"Manhole",IF(ISNUMBER(MATCH($B60,ERSS_Pit_Register!$A$5:$A$304,0)),"ERSS Pit",IF(ISNUMBER(MATCH($B60,Linkway_Register!$A$5:$A$304,0)),"Linkway",IF(ISNUMBER(MATCH($B60,Other_Register!$A$5:$A$304,0)),"Others",""))))))))</f>
        <v/>
      </c>
      <c r="H60" s="10" t="str">
        <f aca="false">IF($B60="","",IFERROR(INDEX(Drain_Register!$B$5:$B$304,MATCH($B60,Drain_Register!$A$5:$A$304,0)),IFERROR(INDEX(RW_Register!$B$5:$B$304,MATCH($B60,RW_Register!$A$5:$A$304,0)),IFERROR(INDEX(Embedded_Wall_Register!$B$5:$B$304,MATCH($B60,Embedded_Wall_Register!$A$5:$A$304,0)),IFERROR(INDEX(Manhole_Register!$B$5:$B$304,MATCH($B60,Manhole_Register!$A$5:$A$304,0)),IFERROR(INDEX(ERSS_Pit_Register!$B$5:$B$304,MATCH($B60,ERSS_Pit_Register!$A$5:$A$304,0)),IFERROR(INDEX(Linkway_Register!$B$5:$B$304,MATCH($B60,Linkway_Register!$A$5:$A$304,0)),IFERROR(INDEX(Other_Register!$B$5:$B$304,MATCH($B60,Other_Register!$A$5:$A$304,0)),"ID not found - check spelling"))))))))</f>
        <v/>
      </c>
      <c r="I60" s="10" t="str">
        <f aca="false">IF($B60="","",IFERROR(INDEX(Drain_Register!$U$5:$U$304,MATCH($B60,Drain_Register!$A$5:$A$304,0)),IFERROR(INDEX(RW_Register!$AA$5:$AA$304,MATCH($B60,RW_Register!$A$5:$A$304,0)),IFERROR(INDEX(Embedded_Wall_Register!$X$5:$X$304,MATCH($B60,Embedded_Wall_Register!$A$5:$A$304,0)),IFERROR(INDEX(Manhole_Register!$AA$5:$AA$304,MATCH($B60,Manhole_Register!$A$5:$A$304,0)),IFERROR(INDEX(ERSS_Pit_Register!$U$5:$U$304,MATCH($B60,ERSS_Pit_Register!$A$5:$A$304,0)),IFERROR(INDEX(Linkway_Register!$W$5:$W$304,MATCH($B60,Linkway_Register!$A$5:$A$304,0)),IFERROR(INDEX(Other_Register!$M$5:$M$304,MATCH($B60,Other_Register!$A$5:$A$304,0)),""))))))))</f>
        <v/>
      </c>
      <c r="J60" s="10" t="str">
        <f aca="false">IF($B60="","",IFERROR(INDEX(Drain_Register!$V$5:$V$304,MATCH($B60,Drain_Register!$A$5:$A$304,0)),IFERROR(INDEX(RW_Register!$AB$5:$AB$304,MATCH($B60,RW_Register!$A$5:$A$304,0)),IFERROR(INDEX(Embedded_Wall_Register!$Y$5:$Y$304,MATCH($B60,Embedded_Wall_Register!$A$5:$A$304,0)),IFERROR(INDEX(Manhole_Register!$AB$5:$AB$304,MATCH($B60,Manhole_Register!$A$5:$A$304,0)),IFERROR(INDEX(ERSS_Pit_Register!$V$5:$V$304,MATCH($B60,ERSS_Pit_Register!$A$5:$A$304,0)),IFERROR(INDEX(Linkway_Register!$X$5:$X$304,MATCH($B60,Linkway_Register!$A$5:$A$304,0)),IFERROR(INDEX(Other_Register!$N$5:$N$304,MATCH($B60,Other_Register!$A$5:$A$304,0)),""))))))))</f>
        <v/>
      </c>
      <c r="K60" s="10" t="str">
        <f aca="false">IF($B60="","",IFERROR(INDEX(Drain_Register!$W$5:$W$304,MATCH($B60,Drain_Register!$A$5:$A$304,0)),IFERROR(INDEX(RW_Register!$AC$5:$AC$304,MATCH($B60,RW_Register!$A$5:$A$304,0)),IFERROR(INDEX(Embedded_Wall_Register!$Z$5:$Z$304,MATCH($B60,Embedded_Wall_Register!$A$5:$A$304,0)),IFERROR(INDEX(Manhole_Register!$AC$5:$AC$304,MATCH($B60,Manhole_Register!$A$5:$A$304,0)),IFERROR(INDEX(ERSS_Pit_Register!$W$5:$W$304,MATCH($B60,ERSS_Pit_Register!$A$5:$A$304,0)),IFERROR(INDEX(Linkway_Register!$Y$5:$Y$304,MATCH($B60,Linkway_Register!$A$5:$A$304,0)),IFERROR(INDEX(Other_Register!$O$5:$O$304,MATCH($B60,Other_Register!$A$5:$A$304,0)),""))))))))</f>
        <v/>
      </c>
      <c r="L60" s="10" t="str">
        <f aca="false">IF($B60="","",IFERROR(INDEX(Drain_Register!$X$5:$X$304,MATCH($B60,Drain_Register!$A$5:$A$304,0)),IFERROR(INDEX(RW_Register!$AD$5:$AD$304,MATCH($B60,RW_Register!$A$5:$A$304,0)),IFERROR(INDEX(Embedded_Wall_Register!$AA$5:$AA$304,MATCH($B60,Embedded_Wall_Register!$A$5:$A$304,0)),IFERROR(INDEX(Manhole_Register!$AD$5:$AD$304,MATCH($B60,Manhole_Register!$A$5:$A$304,0)),IFERROR(INDEX(ERSS_Pit_Register!$X$5:$X$304,MATCH($B60,ERSS_Pit_Register!$A$5:$A$304,0)),IFERROR(INDEX(Linkway_Register!$Z$5:$Z$304,MATCH($B60,Linkway_Register!$A$5:$A$304,0)),IFERROR(INDEX(Other_Register!$P$5:$P$304,MATCH($B60,Other_Register!$A$5:$A$304,0)),""))))))))</f>
        <v/>
      </c>
      <c r="M60" s="10" t="str">
        <f aca="false">IF($B60="","",IFERROR(INDEX(Drain_Register!$Z$5:$Z$304,MATCH($B60,Drain_Register!$A$5:$A$304,0)),IFERROR(INDEX(RW_Register!$AF$5:$AF$304,MATCH($B60,RW_Register!$A$5:$A$304,0)),IFERROR(INDEX(Embedded_Wall_Register!$AC$5:$AC$304,MATCH($B60,Embedded_Wall_Register!$A$5:$A$304,0)),IFERROR(INDEX(Manhole_Register!$AF$5:$AF$304,MATCH($B60,Manhole_Register!$A$5:$A$304,0)),IFERROR(INDEX(ERSS_Pit_Register!$Z$5:$Z$304,MATCH($B60,ERSS_Pit_Register!$A$5:$A$304,0)),IFERROR(INDEX(Linkway_Register!$AB$5:$AB$304,MATCH($B60,Linkway_Register!$A$5:$A$304,0)),IFERROR(INDEX(Other_Register!$R$5:$R$304,MATCH($B60,Other_Register!$A$5:$A$304,0)),"")))))))&amp;IFERROR(INDEX(Drain_Register!$AA$5:$AA$304,MATCH($B60,Drain_Register!$A$5:$A$304,0)),IFERROR(INDEX(RW_Register!$AG$5:$AG$304,MATCH($B60,RW_Register!$A$5:$A$304,0)),IFERROR(INDEX(Embedded_Wall_Register!$AD$5:$AD$304,MATCH($B60,Embedded_Wall_Register!$A$5:$A$304,0)),IFERROR(INDEX(Manhole_Register!$AG$5:$AG$304,MATCH($B60,Manhole_Register!$A$5:$A$304,0)),IFERROR(INDEX(ERSS_Pit_Register!$AA$5:$AA$304,MATCH($B60,ERSS_Pit_Register!$A$5:$A$304,0)),IFERROR(INDEX(Linkway_Register!$AC$5:$AC$304,MATCH($B60,Linkway_Register!$A$5:$A$304,0)),IFERROR(INDEX(Other_Register!$S$5:$S$304,MATCH($B60,Other_Register!$A$5:$A$304,0)),""))))))))</f>
        <v/>
      </c>
      <c r="N60" s="19" t="str">
        <f aca="false">IF(OR($B60="",$D60=""),"",$D60*N(IFERROR(INDEX(Drain_Register!$AH$5:$AH$304,MATCH($B60,Drain_Register!$A$5:$A$304,0)),IFERROR(INDEX(RW_Register!$AN$5:$AN$304,MATCH($B60,RW_Register!$A$5:$A$304,0)),IFERROR(INDEX(Embedded_Wall_Register!$AK$5:$AK$304,MATCH($B60,Embedded_Wall_Register!$A$5:$A$304,0)),IFERROR(INDEX(Manhole_Register!$AN$5:$AN$304,MATCH($B60,Manhole_Register!$A$5:$A$304,0)),IFERROR(INDEX(ERSS_Pit_Register!$AH$5:$AH$304,MATCH($B60,ERSS_Pit_Register!$A$5:$A$304,0)),IFERROR(INDEX(Linkway_Register!$AJ$5:$AJ$304,MATCH($B60,Linkway_Register!$A$5:$A$304,0)),IFERROR(INDEX(Other_Register!$Z$5:$Z$304,MATCH($B60,Other_Register!$A$5:$A$304,0)),0)))))))))</f>
        <v/>
      </c>
      <c r="O60" s="20" t="str">
        <f aca="false">IF(OR($B60="",$D60=""),"",$D60*N(IFERROR(INDEX(Drain_Register!$AI$5:$AI$304,MATCH($B60,Drain_Register!$A$5:$A$304,0)),IFERROR(INDEX(RW_Register!$AO$5:$AO$304,MATCH($B60,RW_Register!$A$5:$A$304,0)),IFERROR(INDEX(Embedded_Wall_Register!$AL$5:$AL$304,MATCH($B60,Embedded_Wall_Register!$A$5:$A$304,0)),IFERROR(INDEX(Manhole_Register!$AO$5:$AO$304,MATCH($B60,Manhole_Register!$A$5:$A$304,0)),IFERROR(INDEX(ERSS_Pit_Register!$AI$5:$AI$304,MATCH($B60,ERSS_Pit_Register!$A$5:$A$304,0)),IFERROR(INDEX(Linkway_Register!$AK$5:$AK$304,MATCH($B60,Linkway_Register!$A$5:$A$304,0)),IFERROR(INDEX(Other_Register!$AA$5:$AA$304,MATCH($B60,Other_Register!$A$5:$A$304,0)),0))))))))/1000)</f>
        <v/>
      </c>
      <c r="P60" s="20" t="str">
        <f aca="false">IF(OR($B60="",$D60=""),"",$D60*N(IFERROR(INDEX(Drain_Register!$AJ$5:$AJ$304,MATCH($B60,Drain_Register!$A$5:$A$304,0)),IFERROR(INDEX(RW_Register!$AP$5:$AP$304,MATCH($B60,RW_Register!$A$5:$A$304,0)),IFERROR(INDEX(Embedded_Wall_Register!$AM$5:$AM$304,MATCH($B60,Embedded_Wall_Register!$A$5:$A$304,0)),IFERROR(INDEX(Manhole_Register!$AP$5:$AP$304,MATCH($B60,Manhole_Register!$A$5:$A$304,0)),IFERROR(INDEX(ERSS_Pit_Register!$AJ$5:$AJ$304,MATCH($B60,ERSS_Pit_Register!$A$5:$A$304,0)),IFERROR(INDEX(Linkway_Register!$AL$5:$AL$304,MATCH($B60,Linkway_Register!$A$5:$A$304,0)),IFERROR(INDEX(Other_Register!$AB$5:$AB$304,MATCH($B60,Other_Register!$A$5:$A$304,0)),0))))))))/1000)</f>
        <v/>
      </c>
      <c r="Q60" s="19" t="str">
        <f aca="false">IF(OR($B60="",$D60=""),"",$D60*N(IFERROR(INDEX(Drain_Register!$AK$5:$AK$304,MATCH($B60,Drain_Register!$A$5:$A$304,0)),IFERROR(INDEX(RW_Register!$AQ$5:$AQ$304,MATCH($B60,RW_Register!$A$5:$A$304,0)),IFERROR(INDEX(Embedded_Wall_Register!$AN$5:$AN$304,MATCH($B60,Embedded_Wall_Register!$A$5:$A$304,0)),IFERROR(INDEX(Manhole_Register!$AQ$5:$AQ$304,MATCH($B60,Manhole_Register!$A$5:$A$304,0)),IFERROR(INDEX(ERSS_Pit_Register!$AK$5:$AK$304,MATCH($B60,ERSS_Pit_Register!$A$5:$A$304,0)),IFERROR(INDEX(Linkway_Register!$AM$5:$AM$304,MATCH($B60,Linkway_Register!$A$5:$A$304,0)),IFERROR(INDEX(Other_Register!$AC$5:$AC$304,MATCH($B60,Other_Register!$A$5:$A$304,0)),0)))))))))</f>
        <v/>
      </c>
      <c r="R60" s="19" t="str">
        <f aca="false">IF(OR($B60="",$D60=""),"",$D60*N(IFERROR(INDEX(Drain_Register!$AL$5:$AL$304,MATCH($B60,Drain_Register!$A$5:$A$304,0)),IFERROR(INDEX(RW_Register!$AR$5:$AR$304,MATCH($B60,RW_Register!$A$5:$A$304,0)),IFERROR(INDEX(Embedded_Wall_Register!$AO$5:$AO$304,MATCH($B60,Embedded_Wall_Register!$A$5:$A$304,0)),IFERROR(INDEX(Manhole_Register!$AR$5:$AR$304,MATCH($B60,Manhole_Register!$A$5:$A$304,0)),IFERROR(INDEX(ERSS_Pit_Register!$AL$5:$AL$304,MATCH($B60,ERSS_Pit_Register!$A$5:$A$304,0)),IFERROR(INDEX(Linkway_Register!$AN$5:$AN$304,MATCH($B60,Linkway_Register!$A$5:$A$304,0)),IFERROR(INDEX(Other_Register!$AD$5:$AD$304,MATCH($B60,Other_Register!$A$5:$A$304,0)),0)))))))))</f>
        <v/>
      </c>
      <c r="S60" s="10" t="str">
        <f aca="false">IF($B60="","",IF(G60="","ID not found",IF(J60&lt;&gt;"Approved","WARNING: status is "&amp;J60,IF(IFERROR(INDEX(Drain_Register!$AV$5:$AV$304,MATCH($B60,Drain_Register!$A$5:$A$304,0)),IFERROR(INDEX(RW_Register!$BA$5:$BA$304,MATCH($B60,RW_Register!$A$5:$A$304,0)),IFERROR(INDEX(Embedded_Wall_Register!$AX$5:$AX$304,MATCH($B60,Embedded_Wall_Register!$A$5:$A$304,0)),IFERROR(INDEX(Manhole_Register!$AZ$5:$AZ$304,MATCH($B60,Manhole_Register!$A$5:$A$304,0)),IFERROR(INDEX(ERSS_Pit_Register!$AU$5:$AU$304,MATCH($B60,ERSS_Pit_Register!$A$5:$A$304,0)),IFERROR(INDEX(Linkway_Register!$AV$5:$AV$304,MATCH($B60,Linkway_Register!$A$5:$A$304,0)),IFERROR(INDEX(Other_Register!$AL$5:$AL$304,MATCH($B60,Other_Register!$A$5:$A$304,0)),"")))))))="N","WARNING: fails SG compliance check",IF(D60="","Enter length / qty",IF(E60="","Enter CAD sheet no.","OK"))))))</f>
        <v/>
      </c>
    </row>
    <row r="61" customFormat="false" ht="15" hidden="false" customHeight="false" outlineLevel="0" collapsed="false">
      <c r="M61" s="8" t="s">
        <v>152</v>
      </c>
      <c r="N61" s="21" t="n">
        <f aca="false">SUM(N6:N60)</f>
        <v>669.09</v>
      </c>
      <c r="O61" s="21" t="n">
        <f aca="false">SUM(O6:O60)</f>
        <v>62.11</v>
      </c>
      <c r="P61" s="21" t="n">
        <f aca="false">SUM(P6:P60)</f>
        <v>51.74</v>
      </c>
      <c r="Q61" s="21" t="n">
        <f aca="false">SUM(Q6:Q60)</f>
        <v>1653.4</v>
      </c>
      <c r="R61" s="21" t="n">
        <f aca="false">SUM(R6:R60)</f>
        <v>2467.5</v>
      </c>
    </row>
    <row r="63" customFormat="false" ht="15" hidden="false" customHeight="false" outlineLevel="0" collapsed="false">
      <c r="A63" s="6" t="s">
        <v>153</v>
      </c>
    </row>
  </sheetData>
  <mergeCells count="1">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70"/>
    <col collapsed="false" customWidth="true" hidden="false" outlineLevel="0" max="4" min="4" style="0" width="7"/>
    <col collapsed="false" customWidth="true" hidden="false" outlineLevel="0" max="5" min="5" style="0" width="60"/>
    <col collapsed="false" customWidth="true" hidden="false" outlineLevel="0" max="6" min="6" style="0" width="34"/>
    <col collapsed="false" customWidth="true" hidden="false" outlineLevel="0" max="7" min="7" style="0" width="5"/>
    <col collapsed="false" customWidth="true" hidden="false" outlineLevel="0" max="8" min="8" style="0" width="10"/>
  </cols>
  <sheetData>
    <row r="1" customFormat="false" ht="15" hidden="false" customHeight="false" outlineLevel="0" collapsed="false">
      <c r="A1" s="22" t="s">
        <v>154</v>
      </c>
      <c r="B1" s="23" t="str">
        <f aca="false">Tender_Pack!B3</f>
        <v>EXAMPLE - Tender T-2026-01 Road and Sewer Upgrading at Jalan Contoh</v>
      </c>
      <c r="D1" s="6" t="s">
        <v>155</v>
      </c>
    </row>
    <row r="2" customFormat="false" ht="15" hidden="false" customHeight="false" outlineLevel="0" collapsed="false">
      <c r="A2" s="22" t="s">
        <v>156</v>
      </c>
      <c r="B2" s="24" t="s">
        <v>157</v>
      </c>
      <c r="D2" s="6" t="s">
        <v>158</v>
      </c>
    </row>
    <row r="3" customFormat="false" ht="15" hidden="false" customHeight="false" outlineLevel="0" collapsed="false">
      <c r="A3" s="22" t="s">
        <v>159</v>
      </c>
      <c r="B3" s="23" t="str">
        <f aca="false">SG_Criteria!$B$6</f>
        <v>C:\Users\yourname\YourCompany\Design Library - Documents\</v>
      </c>
      <c r="D3" s="6" t="s">
        <v>160</v>
      </c>
    </row>
    <row r="5" customFormat="false" ht="15" hidden="false" customHeight="false" outlineLevel="0" collapsed="false">
      <c r="A5" s="25" t="s">
        <v>161</v>
      </c>
      <c r="B5" s="25" t="s">
        <v>162</v>
      </c>
      <c r="C5" s="25" t="s">
        <v>163</v>
      </c>
      <c r="D5" s="25" t="s">
        <v>164</v>
      </c>
      <c r="E5" s="25" t="s">
        <v>165</v>
      </c>
      <c r="F5" s="25" t="s">
        <v>166</v>
      </c>
      <c r="G5" s="25" t="s">
        <v>167</v>
      </c>
      <c r="H5" s="25" t="s">
        <v>168</v>
      </c>
    </row>
    <row r="6" customFormat="false" ht="15" hidden="false" customHeight="false" outlineLevel="0" collapsed="false">
      <c r="A6" s="23" t="n">
        <f aca="false">IF(Tender_Pack!$B$6="","",IF(Tender_Pack!$E$6="",1,Tender_Pack!$E$6))</f>
        <v>1</v>
      </c>
      <c r="B6" s="23" t="n">
        <f aca="false">IF(OR(A6="",H6&lt;&gt;"Approved"),"",COUNTIFS($A$6:A6,A6,$H$6:H6,"Approved"))</f>
        <v>1</v>
      </c>
      <c r="C6" s="23" t="str">
        <f aca="false">IF(A6="","",Tender_Pack!$M$6)</f>
        <v>C:\Users\yourname\YourCompany\Design Library - Documents\01_Drainage\DRN-PUD-0600x0600-S12-A\DRN-PUD-0600x0600-S12-A_CAD.dwg</v>
      </c>
      <c r="D6" s="23" t="n">
        <f aca="false">IF(A6="","",Tender_Pack!$L$6)</f>
        <v>20</v>
      </c>
      <c r="E6" s="23" t="str">
        <f aca="false">IF(A6="","",UPPER(Tender_Pack!$H$6))</f>
        <v>PRECAST U-DRAIN 600W X 600D, ROADSIDE DRAIN, DRAIN SURCHARGE 12 KPA (SDRE), OPEN</v>
      </c>
      <c r="F6" s="23" t="str">
        <f aca="false">IF(A6="","",Tender_Pack!$B$6)</f>
        <v>DRN-PUD-0600x0600-S12-A</v>
      </c>
      <c r="G6" s="23" t="str">
        <f aca="false">IF(A6="","",Tender_Pack!$I$6)</f>
        <v>A</v>
      </c>
      <c r="H6" s="23" t="str">
        <f aca="false">IF(A6="","",Tender_Pack!$J$6)</f>
        <v>Approved</v>
      </c>
    </row>
    <row r="7" customFormat="false" ht="15" hidden="false" customHeight="false" outlineLevel="0" collapsed="false">
      <c r="A7" s="23" t="n">
        <f aca="false">IF(Tender_Pack!$B$7="","",IF(Tender_Pack!$E$7="",1,Tender_Pack!$E$7))</f>
        <v>1</v>
      </c>
      <c r="B7" s="23" t="n">
        <f aca="false">IF(OR(A7="",H7&lt;&gt;"Approved"),"",COUNTIFS($A$6:A7,A7,$H$6:H7,"Approved"))</f>
        <v>2</v>
      </c>
      <c r="C7" s="23" t="str">
        <f aca="false">IF(A7="","",Tender_Pack!$M$7)</f>
        <v>C:\Users\yourname\YourCompany\Design Library - Documents\01_Drainage\DRN-SUD-0600x0750-FWY-A\DRN-SUD-0600x0750-FWY-A_CAD.dwg</v>
      </c>
      <c r="D7" s="23" t="n">
        <f aca="false">IF(A7="","",Tender_Pack!$L$7)</f>
        <v>20</v>
      </c>
      <c r="E7" s="23" t="str">
        <f aca="false">IF(A7="","",UPPER(Tender_Pack!$H$7))</f>
        <v>SLABBED-OVER U-DRAIN 600W X 750D, ROADSIDE DRAIN, FOOTWAY 5 KPA (SDRE), COVERED - RC SLAB</v>
      </c>
      <c r="F7" s="23" t="str">
        <f aca="false">IF(A7="","",Tender_Pack!$B$7)</f>
        <v>DRN-SUD-0600x0750-FWY-A</v>
      </c>
      <c r="G7" s="23" t="str">
        <f aca="false">IF(A7="","",Tender_Pack!$I$7)</f>
        <v>A</v>
      </c>
      <c r="H7" s="23" t="str">
        <f aca="false">IF(A7="","",Tender_Pack!$J$7)</f>
        <v>Approved</v>
      </c>
    </row>
    <row r="8" customFormat="false" ht="15" hidden="false" customHeight="false" outlineLevel="0" collapsed="false">
      <c r="A8" s="23" t="n">
        <f aca="false">IF(Tender_Pack!$B$8="","",IF(Tender_Pack!$E$8="",1,Tender_Pack!$E$8))</f>
        <v>2</v>
      </c>
      <c r="B8" s="23" t="n">
        <f aca="false">IF(OR(A8="",H8&lt;&gt;"Approved"),"",COUNTIFS($A$6:A8,A8,$H$6:H8,"Approved"))</f>
        <v>1</v>
      </c>
      <c r="C8" s="23" t="str">
        <f aca="false">IF(A8="","",Tender_Pack!$M$8)</f>
        <v>C:\Users\yourname\YourCompany\Design Library - Documents\01_Drainage\DRN-BC-1500x1200-VEH-A\DRN-BC-1500x1200-VEH-A_CAD.dwg</v>
      </c>
      <c r="D8" s="23" t="n">
        <f aca="false">IF(A8="","",Tender_Pack!$L$8)</f>
        <v>25</v>
      </c>
      <c r="E8" s="23" t="str">
        <f aca="false">IF(A8="","",UPPER(Tender_Pack!$H$8))</f>
        <v>BOX CULVERT 1500W X 1200D, ROAD CROSSING CULVERT, VEHICULAR LM1 (SS EN 1991-2), CLOSED (CULVERT)</v>
      </c>
      <c r="F8" s="23" t="str">
        <f aca="false">IF(A8="","",Tender_Pack!$B$8)</f>
        <v>DRN-BC-1500x1200-VEH-A</v>
      </c>
      <c r="G8" s="23" t="str">
        <f aca="false">IF(A8="","",Tender_Pack!$I$8)</f>
        <v>A</v>
      </c>
      <c r="H8" s="23" t="str">
        <f aca="false">IF(A8="","",Tender_Pack!$J$8)</f>
        <v>Approved</v>
      </c>
    </row>
    <row r="9" customFormat="false" ht="15" hidden="false" customHeight="false" outlineLevel="0" collapsed="false">
      <c r="A9" s="23" t="n">
        <f aca="false">IF(Tender_Pack!$B$9="","",IF(Tender_Pack!$E$9="",1,Tender_Pack!$E$9))</f>
        <v>2</v>
      </c>
      <c r="B9" s="23" t="n">
        <f aca="false">IF(OR(A9="",H9&lt;&gt;"Approved"),"",COUNTIFS($A$6:A9,A9,$H$6:H9,"Approved"))</f>
        <v>2</v>
      </c>
      <c r="C9" s="23" t="str">
        <f aca="false">IF(A9="","",Tender_Pack!$M$9)</f>
        <v>C:\Users\yourname\YourCompany\Design Library - Documents\01_Drainage\DRN-SP-0900x1200-S12-A\DRN-SP-0900x1200-S12-A_CAD.dwg</v>
      </c>
      <c r="D9" s="23" t="n">
        <f aca="false">IF(A9="","",Tender_Pack!$L$9)</f>
        <v>20</v>
      </c>
      <c r="E9" s="23" t="str">
        <f aca="false">IF(A9="","",UPPER(Tender_Pack!$H$9))</f>
        <v>SUMP 900W X 1200D, ROADSIDE DRAIN, DRAIN SURCHARGE 12 KPA (SDRE), COVERED - GRATING</v>
      </c>
      <c r="F9" s="23" t="str">
        <f aca="false">IF(A9="","",Tender_Pack!$B$9)</f>
        <v>DRN-SP-0900x1200-S12-A</v>
      </c>
      <c r="G9" s="23" t="str">
        <f aca="false">IF(A9="","",Tender_Pack!$I$9)</f>
        <v>A</v>
      </c>
      <c r="H9" s="23" t="str">
        <f aca="false">IF(A9="","",Tender_Pack!$J$9)</f>
        <v>Approved</v>
      </c>
    </row>
    <row r="10" customFormat="false" ht="15" hidden="false" customHeight="false" outlineLevel="0" collapsed="false">
      <c r="A10" s="23" t="n">
        <f aca="false">IF(Tender_Pack!$B$10="","",IF(Tender_Pack!$E$10="",1,Tender_Pack!$E$10))</f>
        <v>3</v>
      </c>
      <c r="B10" s="23" t="n">
        <f aca="false">IF(OR(A10="",H10&lt;&gt;"Approved"),"",COUNTIFS($A$6:A10,A10,$H$6:H10,"Approved"))</f>
        <v>1</v>
      </c>
      <c r="C10" s="23" t="str">
        <f aca="false">IF(A10="","",Tender_Pack!$M$10)</f>
        <v>C:\Users\yourname\YourCompany\Design Library - Documents\02_Retaining_Wall\RW-CANT-H3000-S25-A\RW-CANT-H3000-S25-A_CAD.dwg</v>
      </c>
      <c r="D10" s="23" t="n">
        <f aca="false">IF(A10="","",Tender_Pack!$L$10)</f>
        <v>25</v>
      </c>
      <c r="E10" s="23" t="str">
        <f aca="false">IF(A10="","",UPPER(Tender_Pack!$H$10))</f>
        <v>CANTILEVER RC (TOE &amp; HEEL), H = 3.0 M, Q = 25 KPA, FIRM/STIFF CLAY (GENERAL)</v>
      </c>
      <c r="F10" s="23" t="str">
        <f aca="false">IF(A10="","",Tender_Pack!$B$10)</f>
        <v>RW-CANT-H3000-S25-A</v>
      </c>
      <c r="G10" s="23" t="str">
        <f aca="false">IF(A10="","",Tender_Pack!$I$10)</f>
        <v>A</v>
      </c>
      <c r="H10" s="23" t="str">
        <f aca="false">IF(A10="","",Tender_Pack!$J$10)</f>
        <v>Approved</v>
      </c>
    </row>
    <row r="11" customFormat="false" ht="15" hidden="false" customHeight="false" outlineLevel="0" collapsed="false">
      <c r="A11" s="23" t="n">
        <f aca="false">IF(Tender_Pack!$B$11="","",IF(Tender_Pack!$E$11="",1,Tender_Pack!$E$11))</f>
        <v>3</v>
      </c>
      <c r="B11" s="23" t="n">
        <f aca="false">IF(OR(A11="",H11&lt;&gt;"Approved"),"",COUNTIFS($A$6:A11,A11,$H$6:H11,"Approved"))</f>
        <v>2</v>
      </c>
      <c r="C11" s="23" t="str">
        <f aca="false">IF(A11="","",Tender_Pack!$M$11)</f>
        <v>C:\Users\yourname\YourCompany\Design Library - Documents\03_Embedded_Wall\EW-CBP-D5000-S1-OA-P-A\EW-CBP-D5000-S1-OA-P-A_CAD.dwg</v>
      </c>
      <c r="D11" s="23" t="n">
        <f aca="false">IF(A11="","",Tender_Pack!$L$11)</f>
        <v>50</v>
      </c>
      <c r="E11" s="23" t="str">
        <f aca="false">IF(A11="","",UPPER(Tender_Pack!$H$11))</f>
        <v>PERMANENT CONTIGUOUS BORED PILE (CBP), EXCAVATION 5.0 M, 1 LEVEL STRUT, OLD ALLUVIUM, 800 DIA</v>
      </c>
      <c r="F11" s="23" t="str">
        <f aca="false">IF(A11="","",Tender_Pack!$B$11)</f>
        <v>EW-CBP-D5000-S1-OA-P-A</v>
      </c>
      <c r="G11" s="23" t="str">
        <f aca="false">IF(A11="","",Tender_Pack!$I$11)</f>
        <v>A</v>
      </c>
      <c r="H11" s="23" t="str">
        <f aca="false">IF(A11="","",Tender_Pack!$J$11)</f>
        <v>Approved</v>
      </c>
    </row>
    <row r="12" customFormat="false" ht="15" hidden="false" customHeight="false" outlineLevel="0" collapsed="false">
      <c r="A12" s="23" t="n">
        <f aca="false">IF(Tender_Pack!$B$12="","",IF(Tender_Pack!$E$12="",1,Tender_Pack!$E$12))</f>
        <v>4</v>
      </c>
      <c r="B12" s="23" t="n">
        <f aca="false">IF(OR(A12="",H12&lt;&gt;"Approved"),"",COUNTIFS($A$6:A12,A12,$H$6:H12,"Approved"))</f>
        <v>1</v>
      </c>
      <c r="C12" s="23" t="str">
        <f aca="false">IF(A12="","",Tender_Pack!$M$12)</f>
        <v>C:\Users\yourname\YourCompany\Design Library - Documents\04_Sewer_Manhole\MH-SM-1500x1200-D6000-C-A\MH-SM-1500x1200-D6000-C-A_CAD.dwg</v>
      </c>
      <c r="D12" s="23" t="n">
        <f aca="false">IF(A12="","",Tender_Pack!$L$12)</f>
        <v>25</v>
      </c>
      <c r="E12" s="23" t="str">
        <f aca="false">IF(A12="","",UPPER(Tender_Pack!$H$12))</f>
        <v>STANDARD MANHOLE (PUB 001C), CAST-IN-SITU, 1500 X 1200, DEPTH 3.0-6.0 M, PIPE UP TO 600 DIA</v>
      </c>
      <c r="F12" s="23" t="str">
        <f aca="false">IF(A12="","",Tender_Pack!$B$12)</f>
        <v>MH-SM-1500x1200-D6000-C-A</v>
      </c>
      <c r="G12" s="23" t="str">
        <f aca="false">IF(A12="","",Tender_Pack!$I$12)</f>
        <v>A</v>
      </c>
      <c r="H12" s="23" t="str">
        <f aca="false">IF(A12="","",Tender_Pack!$J$12)</f>
        <v>Approved</v>
      </c>
    </row>
    <row r="13" customFormat="false" ht="15" hidden="false" customHeight="false" outlineLevel="0" collapsed="false">
      <c r="A13" s="23" t="n">
        <f aca="false">IF(Tender_Pack!$B$13="","",IF(Tender_Pack!$E$13="",1,Tender_Pack!$E$13))</f>
        <v>4</v>
      </c>
      <c r="B13" s="23" t="n">
        <f aca="false">IF(OR(A13="",H13&lt;&gt;"Approved"),"",COUNTIFS($A$6:A13,A13,$H$6:H13,"Approved"))</f>
        <v>2</v>
      </c>
      <c r="C13" s="23" t="str">
        <f aca="false">IF(A13="","",Tender_Pack!$M$13)</f>
        <v>C:\Users\yourname\YourCompany\Design Library - Documents\05_ERSS_Pit\ERSS-SSP-4000x3500-D6000-KF-A\ERSS-SSP-4000x3500-D6000-KF-A_CAD.dwg</v>
      </c>
      <c r="D13" s="23" t="n">
        <f aca="false">IF(A13="","",Tender_Pack!$L$13)</f>
        <v>50</v>
      </c>
      <c r="E13" s="23" t="str">
        <f aca="false">IF(A13="","",UPPER(Tender_Pack!$H$13))</f>
        <v>STEEL SHEET PILE COFFERDAM FOR MANHOLE, 4000 X 3500 PIT, 6.0 M DEEP, KALLANG FORMATION (MARINE CLAY)</v>
      </c>
      <c r="F13" s="23" t="str">
        <f aca="false">IF(A13="","",Tender_Pack!$B$13)</f>
        <v>ERSS-SSP-4000x3500-D6000-KF-A</v>
      </c>
      <c r="G13" s="23" t="str">
        <f aca="false">IF(A13="","",Tender_Pack!$I$13)</f>
        <v>A</v>
      </c>
      <c r="H13" s="23" t="str">
        <f aca="false">IF(A13="","",Tender_Pack!$J$13)</f>
        <v>Approved</v>
      </c>
    </row>
    <row r="14" customFormat="false" ht="15" hidden="false" customHeight="false" outlineLevel="0" collapsed="false">
      <c r="A14" s="23" t="n">
        <f aca="false">IF(Tender_Pack!$B$14="","",IF(Tender_Pack!$E$14="",1,Tender_Pack!$E$14))</f>
        <v>5</v>
      </c>
      <c r="B14" s="23" t="n">
        <f aca="false">IF(OR(A14="",H14&lt;&gt;"Approved"),"",COUNTIFS($A$6:A14,A14,$H$6:H14,"Approved"))</f>
        <v>1</v>
      </c>
      <c r="C14" s="23" t="str">
        <f aca="false">IF(A14="","",Tender_Pack!$M$14)</f>
        <v>C:\Users\yourname\YourCompany\Design Library - Documents\06_Linkway\LKW-LCL-W3600-H2400-B6000-A\LKW-LCL-W3600-H2400-B6000-A_CAD.dwg</v>
      </c>
      <c r="D14" s="23" t="n">
        <f aca="false">IF(A14="","",Tender_Pack!$L$14)</f>
        <v>50</v>
      </c>
      <c r="E14" s="23" t="str">
        <f aca="false">IF(A14="","",UPPER(Tender_Pack!$H$14))</f>
        <v>LOW COVERED LINKWAY, 3.6 M WIDE, 2.4 M HEADROOM, 6 M BAYS, DOUBLE COLUMN (LTA/SDRE25/22/CLW1)</v>
      </c>
      <c r="F14" s="23" t="str">
        <f aca="false">IF(A14="","",Tender_Pack!$B$14)</f>
        <v>LKW-LCL-W3600-H2400-B6000-A</v>
      </c>
      <c r="G14" s="23" t="str">
        <f aca="false">IF(A14="","",Tender_Pack!$I$14)</f>
        <v>A</v>
      </c>
      <c r="H14" s="23" t="str">
        <f aca="false">IF(A14="","",Tender_Pack!$J$14)</f>
        <v>Approved</v>
      </c>
    </row>
    <row r="15" customFormat="false" ht="15" hidden="false" customHeight="false" outlineLevel="0" collapsed="false">
      <c r="A15" s="23" t="n">
        <f aca="false">IF(Tender_Pack!$B$15="","",IF(Tender_Pack!$E$15="",1,Tender_Pack!$E$15))</f>
        <v>2</v>
      </c>
      <c r="B15" s="23" t="str">
        <f aca="false">IF(OR(A15="",H15&lt;&gt;"Approved"),"",COUNTIFS($A$6:A15,A15,$H$6:H15,"Approved"))</f>
        <v/>
      </c>
      <c r="C15" s="23" t="str">
        <f aca="false">IF(A15="","",Tender_Pack!$M$15)</f>
        <v>C:\Users\yourname\YourCompany\Design Library - Documents\01_Drainage\DRN-OD-2000x1800-S12-A\DRN-OD-2000x1800-S12-A_CAD.dwg</v>
      </c>
      <c r="D15" s="23" t="n">
        <f aca="false">IF(A15="","",Tender_Pack!$L$15)</f>
        <v>25</v>
      </c>
      <c r="E15" s="23" t="str">
        <f aca="false">IF(A15="","",UPPER(Tender_Pack!$H$15))</f>
        <v>CAST-IN-SITU OPEN DRAIN 2000W X 1800D, OUTLET / MAIN DRAIN, DRAIN SURCHARGE 12 KPA (SDRE), OPEN</v>
      </c>
      <c r="F15" s="23" t="str">
        <f aca="false">IF(A15="","",Tender_Pack!$B$15)</f>
        <v>DRN-OD-2000x1800-S12-A</v>
      </c>
      <c r="G15" s="23" t="str">
        <f aca="false">IF(A15="","",Tender_Pack!$I$15)</f>
        <v>A</v>
      </c>
      <c r="H15" s="23" t="str">
        <f aca="false">IF(A15="","",Tender_Pack!$J$15)</f>
        <v>Checked</v>
      </c>
    </row>
    <row r="16" customFormat="false" ht="15" hidden="false" customHeight="false" outlineLevel="0" collapsed="false">
      <c r="A16" s="23" t="str">
        <f aca="false">IF(Tender_Pack!$B$16="","",IF(Tender_Pack!$E$16="",1,Tender_Pack!$E$16))</f>
        <v/>
      </c>
      <c r="B16" s="23" t="str">
        <f aca="false">IF(OR(A16="",H16&lt;&gt;"Approved"),"",COUNTIFS($A$6:A16,A16,$H$6:H16,"Approved"))</f>
        <v/>
      </c>
      <c r="C16" s="23" t="str">
        <f aca="false">IF(A16="","",Tender_Pack!$M$16)</f>
        <v/>
      </c>
      <c r="D16" s="23" t="str">
        <f aca="false">IF(A16="","",Tender_Pack!$L$16)</f>
        <v/>
      </c>
      <c r="E16" s="23" t="str">
        <f aca="false">IF(A16="","",UPPER(Tender_Pack!$H$16))</f>
        <v/>
      </c>
      <c r="F16" s="23" t="str">
        <f aca="false">IF(A16="","",Tender_Pack!$B$16)</f>
        <v/>
      </c>
      <c r="G16" s="23" t="str">
        <f aca="false">IF(A16="","",Tender_Pack!$I$16)</f>
        <v/>
      </c>
      <c r="H16" s="23" t="str">
        <f aca="false">IF(A16="","",Tender_Pack!$J$16)</f>
        <v/>
      </c>
    </row>
    <row r="17" customFormat="false" ht="15" hidden="false" customHeight="false" outlineLevel="0" collapsed="false">
      <c r="A17" s="23" t="str">
        <f aca="false">IF(Tender_Pack!$B$17="","",IF(Tender_Pack!$E$17="",1,Tender_Pack!$E$17))</f>
        <v/>
      </c>
      <c r="B17" s="23" t="str">
        <f aca="false">IF(OR(A17="",H17&lt;&gt;"Approved"),"",COUNTIFS($A$6:A17,A17,$H$6:H17,"Approved"))</f>
        <v/>
      </c>
      <c r="C17" s="23" t="str">
        <f aca="false">IF(A17="","",Tender_Pack!$M$17)</f>
        <v/>
      </c>
      <c r="D17" s="23" t="str">
        <f aca="false">IF(A17="","",Tender_Pack!$L$17)</f>
        <v/>
      </c>
      <c r="E17" s="23" t="str">
        <f aca="false">IF(A17="","",UPPER(Tender_Pack!$H$17))</f>
        <v/>
      </c>
      <c r="F17" s="23" t="str">
        <f aca="false">IF(A17="","",Tender_Pack!$B$17)</f>
        <v/>
      </c>
      <c r="G17" s="23" t="str">
        <f aca="false">IF(A17="","",Tender_Pack!$I$17)</f>
        <v/>
      </c>
      <c r="H17" s="23" t="str">
        <f aca="false">IF(A17="","",Tender_Pack!$J$17)</f>
        <v/>
      </c>
    </row>
    <row r="18" customFormat="false" ht="15" hidden="false" customHeight="false" outlineLevel="0" collapsed="false">
      <c r="A18" s="23" t="str">
        <f aca="false">IF(Tender_Pack!$B$18="","",IF(Tender_Pack!$E$18="",1,Tender_Pack!$E$18))</f>
        <v/>
      </c>
      <c r="B18" s="23" t="str">
        <f aca="false">IF(OR(A18="",H18&lt;&gt;"Approved"),"",COUNTIFS($A$6:A18,A18,$H$6:H18,"Approved"))</f>
        <v/>
      </c>
      <c r="C18" s="23" t="str">
        <f aca="false">IF(A18="","",Tender_Pack!$M$18)</f>
        <v/>
      </c>
      <c r="D18" s="23" t="str">
        <f aca="false">IF(A18="","",Tender_Pack!$L$18)</f>
        <v/>
      </c>
      <c r="E18" s="23" t="str">
        <f aca="false">IF(A18="","",UPPER(Tender_Pack!$H$18))</f>
        <v/>
      </c>
      <c r="F18" s="23" t="str">
        <f aca="false">IF(A18="","",Tender_Pack!$B$18)</f>
        <v/>
      </c>
      <c r="G18" s="23" t="str">
        <f aca="false">IF(A18="","",Tender_Pack!$I$18)</f>
        <v/>
      </c>
      <c r="H18" s="23" t="str">
        <f aca="false">IF(A18="","",Tender_Pack!$J$18)</f>
        <v/>
      </c>
    </row>
    <row r="19" customFormat="false" ht="15" hidden="false" customHeight="false" outlineLevel="0" collapsed="false">
      <c r="A19" s="23" t="str">
        <f aca="false">IF(Tender_Pack!$B$19="","",IF(Tender_Pack!$E$19="",1,Tender_Pack!$E$19))</f>
        <v/>
      </c>
      <c r="B19" s="23" t="str">
        <f aca="false">IF(OR(A19="",H19&lt;&gt;"Approved"),"",COUNTIFS($A$6:A19,A19,$H$6:H19,"Approved"))</f>
        <v/>
      </c>
      <c r="C19" s="23" t="str">
        <f aca="false">IF(A19="","",Tender_Pack!$M$19)</f>
        <v/>
      </c>
      <c r="D19" s="23" t="str">
        <f aca="false">IF(A19="","",Tender_Pack!$L$19)</f>
        <v/>
      </c>
      <c r="E19" s="23" t="str">
        <f aca="false">IF(A19="","",UPPER(Tender_Pack!$H$19))</f>
        <v/>
      </c>
      <c r="F19" s="23" t="str">
        <f aca="false">IF(A19="","",Tender_Pack!$B$19)</f>
        <v/>
      </c>
      <c r="G19" s="23" t="str">
        <f aca="false">IF(A19="","",Tender_Pack!$I$19)</f>
        <v/>
      </c>
      <c r="H19" s="23" t="str">
        <f aca="false">IF(A19="","",Tender_Pack!$J$19)</f>
        <v/>
      </c>
    </row>
    <row r="20" customFormat="false" ht="15" hidden="false" customHeight="false" outlineLevel="0" collapsed="false">
      <c r="A20" s="23" t="str">
        <f aca="false">IF(Tender_Pack!$B$20="","",IF(Tender_Pack!$E$20="",1,Tender_Pack!$E$20))</f>
        <v/>
      </c>
      <c r="B20" s="23" t="str">
        <f aca="false">IF(OR(A20="",H20&lt;&gt;"Approved"),"",COUNTIFS($A$6:A20,A20,$H$6:H20,"Approved"))</f>
        <v/>
      </c>
      <c r="C20" s="23" t="str">
        <f aca="false">IF(A20="","",Tender_Pack!$M$20)</f>
        <v/>
      </c>
      <c r="D20" s="23" t="str">
        <f aca="false">IF(A20="","",Tender_Pack!$L$20)</f>
        <v/>
      </c>
      <c r="E20" s="23" t="str">
        <f aca="false">IF(A20="","",UPPER(Tender_Pack!$H$20))</f>
        <v/>
      </c>
      <c r="F20" s="23" t="str">
        <f aca="false">IF(A20="","",Tender_Pack!$B$20)</f>
        <v/>
      </c>
      <c r="G20" s="23" t="str">
        <f aca="false">IF(A20="","",Tender_Pack!$I$20)</f>
        <v/>
      </c>
      <c r="H20" s="23" t="str">
        <f aca="false">IF(A20="","",Tender_Pack!$J$20)</f>
        <v/>
      </c>
    </row>
    <row r="21" customFormat="false" ht="15" hidden="false" customHeight="false" outlineLevel="0" collapsed="false">
      <c r="A21" s="23" t="str">
        <f aca="false">IF(Tender_Pack!$B$21="","",IF(Tender_Pack!$E$21="",1,Tender_Pack!$E$21))</f>
        <v/>
      </c>
      <c r="B21" s="23" t="str">
        <f aca="false">IF(OR(A21="",H21&lt;&gt;"Approved"),"",COUNTIFS($A$6:A21,A21,$H$6:H21,"Approved"))</f>
        <v/>
      </c>
      <c r="C21" s="23" t="str">
        <f aca="false">IF(A21="","",Tender_Pack!$M$21)</f>
        <v/>
      </c>
      <c r="D21" s="23" t="str">
        <f aca="false">IF(A21="","",Tender_Pack!$L$21)</f>
        <v/>
      </c>
      <c r="E21" s="23" t="str">
        <f aca="false">IF(A21="","",UPPER(Tender_Pack!$H$21))</f>
        <v/>
      </c>
      <c r="F21" s="23" t="str">
        <f aca="false">IF(A21="","",Tender_Pack!$B$21)</f>
        <v/>
      </c>
      <c r="G21" s="23" t="str">
        <f aca="false">IF(A21="","",Tender_Pack!$I$21)</f>
        <v/>
      </c>
      <c r="H21" s="23" t="str">
        <f aca="false">IF(A21="","",Tender_Pack!$J$21)</f>
        <v/>
      </c>
    </row>
    <row r="22" customFormat="false" ht="15" hidden="false" customHeight="false" outlineLevel="0" collapsed="false">
      <c r="A22" s="23" t="str">
        <f aca="false">IF(Tender_Pack!$B$22="","",IF(Tender_Pack!$E$22="",1,Tender_Pack!$E$22))</f>
        <v/>
      </c>
      <c r="B22" s="23" t="str">
        <f aca="false">IF(OR(A22="",H22&lt;&gt;"Approved"),"",COUNTIFS($A$6:A22,A22,$H$6:H22,"Approved"))</f>
        <v/>
      </c>
      <c r="C22" s="23" t="str">
        <f aca="false">IF(A22="","",Tender_Pack!$M$22)</f>
        <v/>
      </c>
      <c r="D22" s="23" t="str">
        <f aca="false">IF(A22="","",Tender_Pack!$L$22)</f>
        <v/>
      </c>
      <c r="E22" s="23" t="str">
        <f aca="false">IF(A22="","",UPPER(Tender_Pack!$H$22))</f>
        <v/>
      </c>
      <c r="F22" s="23" t="str">
        <f aca="false">IF(A22="","",Tender_Pack!$B$22)</f>
        <v/>
      </c>
      <c r="G22" s="23" t="str">
        <f aca="false">IF(A22="","",Tender_Pack!$I$22)</f>
        <v/>
      </c>
      <c r="H22" s="23" t="str">
        <f aca="false">IF(A22="","",Tender_Pack!$J$22)</f>
        <v/>
      </c>
    </row>
    <row r="23" customFormat="false" ht="15" hidden="false" customHeight="false" outlineLevel="0" collapsed="false">
      <c r="A23" s="23" t="str">
        <f aca="false">IF(Tender_Pack!$B$23="","",IF(Tender_Pack!$E$23="",1,Tender_Pack!$E$23))</f>
        <v/>
      </c>
      <c r="B23" s="23" t="str">
        <f aca="false">IF(OR(A23="",H23&lt;&gt;"Approved"),"",COUNTIFS($A$6:A23,A23,$H$6:H23,"Approved"))</f>
        <v/>
      </c>
      <c r="C23" s="23" t="str">
        <f aca="false">IF(A23="","",Tender_Pack!$M$23)</f>
        <v/>
      </c>
      <c r="D23" s="23" t="str">
        <f aca="false">IF(A23="","",Tender_Pack!$L$23)</f>
        <v/>
      </c>
      <c r="E23" s="23" t="str">
        <f aca="false">IF(A23="","",UPPER(Tender_Pack!$H$23))</f>
        <v/>
      </c>
      <c r="F23" s="23" t="str">
        <f aca="false">IF(A23="","",Tender_Pack!$B$23)</f>
        <v/>
      </c>
      <c r="G23" s="23" t="str">
        <f aca="false">IF(A23="","",Tender_Pack!$I$23)</f>
        <v/>
      </c>
      <c r="H23" s="23" t="str">
        <f aca="false">IF(A23="","",Tender_Pack!$J$23)</f>
        <v/>
      </c>
    </row>
    <row r="24" customFormat="false" ht="15" hidden="false" customHeight="false" outlineLevel="0" collapsed="false">
      <c r="A24" s="23" t="str">
        <f aca="false">IF(Tender_Pack!$B$24="","",IF(Tender_Pack!$E$24="",1,Tender_Pack!$E$24))</f>
        <v/>
      </c>
      <c r="B24" s="23" t="str">
        <f aca="false">IF(OR(A24="",H24&lt;&gt;"Approved"),"",COUNTIFS($A$6:A24,A24,$H$6:H24,"Approved"))</f>
        <v/>
      </c>
      <c r="C24" s="23" t="str">
        <f aca="false">IF(A24="","",Tender_Pack!$M$24)</f>
        <v/>
      </c>
      <c r="D24" s="23" t="str">
        <f aca="false">IF(A24="","",Tender_Pack!$L$24)</f>
        <v/>
      </c>
      <c r="E24" s="23" t="str">
        <f aca="false">IF(A24="","",UPPER(Tender_Pack!$H$24))</f>
        <v/>
      </c>
      <c r="F24" s="23" t="str">
        <f aca="false">IF(A24="","",Tender_Pack!$B$24)</f>
        <v/>
      </c>
      <c r="G24" s="23" t="str">
        <f aca="false">IF(A24="","",Tender_Pack!$I$24)</f>
        <v/>
      </c>
      <c r="H24" s="23" t="str">
        <f aca="false">IF(A24="","",Tender_Pack!$J$24)</f>
        <v/>
      </c>
    </row>
    <row r="25" customFormat="false" ht="15" hidden="false" customHeight="false" outlineLevel="0" collapsed="false">
      <c r="A25" s="23" t="str">
        <f aca="false">IF(Tender_Pack!$B$25="","",IF(Tender_Pack!$E$25="",1,Tender_Pack!$E$25))</f>
        <v/>
      </c>
      <c r="B25" s="23" t="str">
        <f aca="false">IF(OR(A25="",H25&lt;&gt;"Approved"),"",COUNTIFS($A$6:A25,A25,$H$6:H25,"Approved"))</f>
        <v/>
      </c>
      <c r="C25" s="23" t="str">
        <f aca="false">IF(A25="","",Tender_Pack!$M$25)</f>
        <v/>
      </c>
      <c r="D25" s="23" t="str">
        <f aca="false">IF(A25="","",Tender_Pack!$L$25)</f>
        <v/>
      </c>
      <c r="E25" s="23" t="str">
        <f aca="false">IF(A25="","",UPPER(Tender_Pack!$H$25))</f>
        <v/>
      </c>
      <c r="F25" s="23" t="str">
        <f aca="false">IF(A25="","",Tender_Pack!$B$25)</f>
        <v/>
      </c>
      <c r="G25" s="23" t="str">
        <f aca="false">IF(A25="","",Tender_Pack!$I$25)</f>
        <v/>
      </c>
      <c r="H25" s="23" t="str">
        <f aca="false">IF(A25="","",Tender_Pack!$J$25)</f>
        <v/>
      </c>
    </row>
    <row r="26" customFormat="false" ht="15" hidden="false" customHeight="false" outlineLevel="0" collapsed="false">
      <c r="A26" s="23" t="str">
        <f aca="false">IF(Tender_Pack!$B$26="","",IF(Tender_Pack!$E$26="",1,Tender_Pack!$E$26))</f>
        <v/>
      </c>
      <c r="B26" s="23" t="str">
        <f aca="false">IF(OR(A26="",H26&lt;&gt;"Approved"),"",COUNTIFS($A$6:A26,A26,$H$6:H26,"Approved"))</f>
        <v/>
      </c>
      <c r="C26" s="23" t="str">
        <f aca="false">IF(A26="","",Tender_Pack!$M$26)</f>
        <v/>
      </c>
      <c r="D26" s="23" t="str">
        <f aca="false">IF(A26="","",Tender_Pack!$L$26)</f>
        <v/>
      </c>
      <c r="E26" s="23" t="str">
        <f aca="false">IF(A26="","",UPPER(Tender_Pack!$H$26))</f>
        <v/>
      </c>
      <c r="F26" s="23" t="str">
        <f aca="false">IF(A26="","",Tender_Pack!$B$26)</f>
        <v/>
      </c>
      <c r="G26" s="23" t="str">
        <f aca="false">IF(A26="","",Tender_Pack!$I$26)</f>
        <v/>
      </c>
      <c r="H26" s="23" t="str">
        <f aca="false">IF(A26="","",Tender_Pack!$J$26)</f>
        <v/>
      </c>
    </row>
    <row r="27" customFormat="false" ht="15" hidden="false" customHeight="false" outlineLevel="0" collapsed="false">
      <c r="A27" s="23" t="str">
        <f aca="false">IF(Tender_Pack!$B$27="","",IF(Tender_Pack!$E$27="",1,Tender_Pack!$E$27))</f>
        <v/>
      </c>
      <c r="B27" s="23" t="str">
        <f aca="false">IF(OR(A27="",H27&lt;&gt;"Approved"),"",COUNTIFS($A$6:A27,A27,$H$6:H27,"Approved"))</f>
        <v/>
      </c>
      <c r="C27" s="23" t="str">
        <f aca="false">IF(A27="","",Tender_Pack!$M$27)</f>
        <v/>
      </c>
      <c r="D27" s="23" t="str">
        <f aca="false">IF(A27="","",Tender_Pack!$L$27)</f>
        <v/>
      </c>
      <c r="E27" s="23" t="str">
        <f aca="false">IF(A27="","",UPPER(Tender_Pack!$H$27))</f>
        <v/>
      </c>
      <c r="F27" s="23" t="str">
        <f aca="false">IF(A27="","",Tender_Pack!$B$27)</f>
        <v/>
      </c>
      <c r="G27" s="23" t="str">
        <f aca="false">IF(A27="","",Tender_Pack!$I$27)</f>
        <v/>
      </c>
      <c r="H27" s="23" t="str">
        <f aca="false">IF(A27="","",Tender_Pack!$J$27)</f>
        <v/>
      </c>
    </row>
    <row r="28" customFormat="false" ht="15" hidden="false" customHeight="false" outlineLevel="0" collapsed="false">
      <c r="A28" s="23" t="str">
        <f aca="false">IF(Tender_Pack!$B$28="","",IF(Tender_Pack!$E$28="",1,Tender_Pack!$E$28))</f>
        <v/>
      </c>
      <c r="B28" s="23" t="str">
        <f aca="false">IF(OR(A28="",H28&lt;&gt;"Approved"),"",COUNTIFS($A$6:A28,A28,$H$6:H28,"Approved"))</f>
        <v/>
      </c>
      <c r="C28" s="23" t="str">
        <f aca="false">IF(A28="","",Tender_Pack!$M$28)</f>
        <v/>
      </c>
      <c r="D28" s="23" t="str">
        <f aca="false">IF(A28="","",Tender_Pack!$L$28)</f>
        <v/>
      </c>
      <c r="E28" s="23" t="str">
        <f aca="false">IF(A28="","",UPPER(Tender_Pack!$H$28))</f>
        <v/>
      </c>
      <c r="F28" s="23" t="str">
        <f aca="false">IF(A28="","",Tender_Pack!$B$28)</f>
        <v/>
      </c>
      <c r="G28" s="23" t="str">
        <f aca="false">IF(A28="","",Tender_Pack!$I$28)</f>
        <v/>
      </c>
      <c r="H28" s="23" t="str">
        <f aca="false">IF(A28="","",Tender_Pack!$J$28)</f>
        <v/>
      </c>
    </row>
    <row r="29" customFormat="false" ht="15" hidden="false" customHeight="false" outlineLevel="0" collapsed="false">
      <c r="A29" s="23" t="str">
        <f aca="false">IF(Tender_Pack!$B$29="","",IF(Tender_Pack!$E$29="",1,Tender_Pack!$E$29))</f>
        <v/>
      </c>
      <c r="B29" s="23" t="str">
        <f aca="false">IF(OR(A29="",H29&lt;&gt;"Approved"),"",COUNTIFS($A$6:A29,A29,$H$6:H29,"Approved"))</f>
        <v/>
      </c>
      <c r="C29" s="23" t="str">
        <f aca="false">IF(A29="","",Tender_Pack!$M$29)</f>
        <v/>
      </c>
      <c r="D29" s="23" t="str">
        <f aca="false">IF(A29="","",Tender_Pack!$L$29)</f>
        <v/>
      </c>
      <c r="E29" s="23" t="str">
        <f aca="false">IF(A29="","",UPPER(Tender_Pack!$H$29))</f>
        <v/>
      </c>
      <c r="F29" s="23" t="str">
        <f aca="false">IF(A29="","",Tender_Pack!$B$29)</f>
        <v/>
      </c>
      <c r="G29" s="23" t="str">
        <f aca="false">IF(A29="","",Tender_Pack!$I$29)</f>
        <v/>
      </c>
      <c r="H29" s="23" t="str">
        <f aca="false">IF(A29="","",Tender_Pack!$J$29)</f>
        <v/>
      </c>
    </row>
    <row r="30" customFormat="false" ht="15" hidden="false" customHeight="false" outlineLevel="0" collapsed="false">
      <c r="A30" s="23" t="str">
        <f aca="false">IF(Tender_Pack!$B$30="","",IF(Tender_Pack!$E$30="",1,Tender_Pack!$E$30))</f>
        <v/>
      </c>
      <c r="B30" s="23" t="str">
        <f aca="false">IF(OR(A30="",H30&lt;&gt;"Approved"),"",COUNTIFS($A$6:A30,A30,$H$6:H30,"Approved"))</f>
        <v/>
      </c>
      <c r="C30" s="23" t="str">
        <f aca="false">IF(A30="","",Tender_Pack!$M$30)</f>
        <v/>
      </c>
      <c r="D30" s="23" t="str">
        <f aca="false">IF(A30="","",Tender_Pack!$L$30)</f>
        <v/>
      </c>
      <c r="E30" s="23" t="str">
        <f aca="false">IF(A30="","",UPPER(Tender_Pack!$H$30))</f>
        <v/>
      </c>
      <c r="F30" s="23" t="str">
        <f aca="false">IF(A30="","",Tender_Pack!$B$30)</f>
        <v/>
      </c>
      <c r="G30" s="23" t="str">
        <f aca="false">IF(A30="","",Tender_Pack!$I$30)</f>
        <v/>
      </c>
      <c r="H30" s="23" t="str">
        <f aca="false">IF(A30="","",Tender_Pack!$J$30)</f>
        <v/>
      </c>
    </row>
    <row r="31" customFormat="false" ht="15" hidden="false" customHeight="false" outlineLevel="0" collapsed="false">
      <c r="A31" s="23" t="str">
        <f aca="false">IF(Tender_Pack!$B$31="","",IF(Tender_Pack!$E$31="",1,Tender_Pack!$E$31))</f>
        <v/>
      </c>
      <c r="B31" s="23" t="str">
        <f aca="false">IF(OR(A31="",H31&lt;&gt;"Approved"),"",COUNTIFS($A$6:A31,A31,$H$6:H31,"Approved"))</f>
        <v/>
      </c>
      <c r="C31" s="23" t="str">
        <f aca="false">IF(A31="","",Tender_Pack!$M$31)</f>
        <v/>
      </c>
      <c r="D31" s="23" t="str">
        <f aca="false">IF(A31="","",Tender_Pack!$L$31)</f>
        <v/>
      </c>
      <c r="E31" s="23" t="str">
        <f aca="false">IF(A31="","",UPPER(Tender_Pack!$H$31))</f>
        <v/>
      </c>
      <c r="F31" s="23" t="str">
        <f aca="false">IF(A31="","",Tender_Pack!$B$31)</f>
        <v/>
      </c>
      <c r="G31" s="23" t="str">
        <f aca="false">IF(A31="","",Tender_Pack!$I$31)</f>
        <v/>
      </c>
      <c r="H31" s="23" t="str">
        <f aca="false">IF(A31="","",Tender_Pack!$J$31)</f>
        <v/>
      </c>
    </row>
    <row r="32" customFormat="false" ht="15" hidden="false" customHeight="false" outlineLevel="0" collapsed="false">
      <c r="A32" s="23" t="str">
        <f aca="false">IF(Tender_Pack!$B$32="","",IF(Tender_Pack!$E$32="",1,Tender_Pack!$E$32))</f>
        <v/>
      </c>
      <c r="B32" s="23" t="str">
        <f aca="false">IF(OR(A32="",H32&lt;&gt;"Approved"),"",COUNTIFS($A$6:A32,A32,$H$6:H32,"Approved"))</f>
        <v/>
      </c>
      <c r="C32" s="23" t="str">
        <f aca="false">IF(A32="","",Tender_Pack!$M$32)</f>
        <v/>
      </c>
      <c r="D32" s="23" t="str">
        <f aca="false">IF(A32="","",Tender_Pack!$L$32)</f>
        <v/>
      </c>
      <c r="E32" s="23" t="str">
        <f aca="false">IF(A32="","",UPPER(Tender_Pack!$H$32))</f>
        <v/>
      </c>
      <c r="F32" s="23" t="str">
        <f aca="false">IF(A32="","",Tender_Pack!$B$32)</f>
        <v/>
      </c>
      <c r="G32" s="23" t="str">
        <f aca="false">IF(A32="","",Tender_Pack!$I$32)</f>
        <v/>
      </c>
      <c r="H32" s="23" t="str">
        <f aca="false">IF(A32="","",Tender_Pack!$J$32)</f>
        <v/>
      </c>
    </row>
    <row r="33" customFormat="false" ht="15" hidden="false" customHeight="false" outlineLevel="0" collapsed="false">
      <c r="A33" s="23" t="str">
        <f aca="false">IF(Tender_Pack!$B$33="","",IF(Tender_Pack!$E$33="",1,Tender_Pack!$E$33))</f>
        <v/>
      </c>
      <c r="B33" s="23" t="str">
        <f aca="false">IF(OR(A33="",H33&lt;&gt;"Approved"),"",COUNTIFS($A$6:A33,A33,$H$6:H33,"Approved"))</f>
        <v/>
      </c>
      <c r="C33" s="23" t="str">
        <f aca="false">IF(A33="","",Tender_Pack!$M$33)</f>
        <v/>
      </c>
      <c r="D33" s="23" t="str">
        <f aca="false">IF(A33="","",Tender_Pack!$L$33)</f>
        <v/>
      </c>
      <c r="E33" s="23" t="str">
        <f aca="false">IF(A33="","",UPPER(Tender_Pack!$H$33))</f>
        <v/>
      </c>
      <c r="F33" s="23" t="str">
        <f aca="false">IF(A33="","",Tender_Pack!$B$33)</f>
        <v/>
      </c>
      <c r="G33" s="23" t="str">
        <f aca="false">IF(A33="","",Tender_Pack!$I$33)</f>
        <v/>
      </c>
      <c r="H33" s="23" t="str">
        <f aca="false">IF(A33="","",Tender_Pack!$J$33)</f>
        <v/>
      </c>
    </row>
    <row r="34" customFormat="false" ht="15" hidden="false" customHeight="false" outlineLevel="0" collapsed="false">
      <c r="A34" s="23" t="str">
        <f aca="false">IF(Tender_Pack!$B$34="","",IF(Tender_Pack!$E$34="",1,Tender_Pack!$E$34))</f>
        <v/>
      </c>
      <c r="B34" s="23" t="str">
        <f aca="false">IF(OR(A34="",H34&lt;&gt;"Approved"),"",COUNTIFS($A$6:A34,A34,$H$6:H34,"Approved"))</f>
        <v/>
      </c>
      <c r="C34" s="23" t="str">
        <f aca="false">IF(A34="","",Tender_Pack!$M$34)</f>
        <v/>
      </c>
      <c r="D34" s="23" t="str">
        <f aca="false">IF(A34="","",Tender_Pack!$L$34)</f>
        <v/>
      </c>
      <c r="E34" s="23" t="str">
        <f aca="false">IF(A34="","",UPPER(Tender_Pack!$H$34))</f>
        <v/>
      </c>
      <c r="F34" s="23" t="str">
        <f aca="false">IF(A34="","",Tender_Pack!$B$34)</f>
        <v/>
      </c>
      <c r="G34" s="23" t="str">
        <f aca="false">IF(A34="","",Tender_Pack!$I$34)</f>
        <v/>
      </c>
      <c r="H34" s="23" t="str">
        <f aca="false">IF(A34="","",Tender_Pack!$J$34)</f>
        <v/>
      </c>
    </row>
    <row r="35" customFormat="false" ht="15" hidden="false" customHeight="false" outlineLevel="0" collapsed="false">
      <c r="A35" s="23" t="str">
        <f aca="false">IF(Tender_Pack!$B$35="","",IF(Tender_Pack!$E$35="",1,Tender_Pack!$E$35))</f>
        <v/>
      </c>
      <c r="B35" s="23" t="str">
        <f aca="false">IF(OR(A35="",H35&lt;&gt;"Approved"),"",COUNTIFS($A$6:A35,A35,$H$6:H35,"Approved"))</f>
        <v/>
      </c>
      <c r="C35" s="23" t="str">
        <f aca="false">IF(A35="","",Tender_Pack!$M$35)</f>
        <v/>
      </c>
      <c r="D35" s="23" t="str">
        <f aca="false">IF(A35="","",Tender_Pack!$L$35)</f>
        <v/>
      </c>
      <c r="E35" s="23" t="str">
        <f aca="false">IF(A35="","",UPPER(Tender_Pack!$H$35))</f>
        <v/>
      </c>
      <c r="F35" s="23" t="str">
        <f aca="false">IF(A35="","",Tender_Pack!$B$35)</f>
        <v/>
      </c>
      <c r="G35" s="23" t="str">
        <f aca="false">IF(A35="","",Tender_Pack!$I$35)</f>
        <v/>
      </c>
      <c r="H35" s="23" t="str">
        <f aca="false">IF(A35="","",Tender_Pack!$J$35)</f>
        <v/>
      </c>
    </row>
    <row r="36" customFormat="false" ht="15" hidden="false" customHeight="false" outlineLevel="0" collapsed="false">
      <c r="A36" s="23" t="str">
        <f aca="false">IF(Tender_Pack!$B$36="","",IF(Tender_Pack!$E$36="",1,Tender_Pack!$E$36))</f>
        <v/>
      </c>
      <c r="B36" s="23" t="str">
        <f aca="false">IF(OR(A36="",H36&lt;&gt;"Approved"),"",COUNTIFS($A$6:A36,A36,$H$6:H36,"Approved"))</f>
        <v/>
      </c>
      <c r="C36" s="23" t="str">
        <f aca="false">IF(A36="","",Tender_Pack!$M$36)</f>
        <v/>
      </c>
      <c r="D36" s="23" t="str">
        <f aca="false">IF(A36="","",Tender_Pack!$L$36)</f>
        <v/>
      </c>
      <c r="E36" s="23" t="str">
        <f aca="false">IF(A36="","",UPPER(Tender_Pack!$H$36))</f>
        <v/>
      </c>
      <c r="F36" s="23" t="str">
        <f aca="false">IF(A36="","",Tender_Pack!$B$36)</f>
        <v/>
      </c>
      <c r="G36" s="23" t="str">
        <f aca="false">IF(A36="","",Tender_Pack!$I$36)</f>
        <v/>
      </c>
      <c r="H36" s="23" t="str">
        <f aca="false">IF(A36="","",Tender_Pack!$J$36)</f>
        <v/>
      </c>
    </row>
    <row r="37" customFormat="false" ht="15" hidden="false" customHeight="false" outlineLevel="0" collapsed="false">
      <c r="A37" s="23" t="str">
        <f aca="false">IF(Tender_Pack!$B$37="","",IF(Tender_Pack!$E$37="",1,Tender_Pack!$E$37))</f>
        <v/>
      </c>
      <c r="B37" s="23" t="str">
        <f aca="false">IF(OR(A37="",H37&lt;&gt;"Approved"),"",COUNTIFS($A$6:A37,A37,$H$6:H37,"Approved"))</f>
        <v/>
      </c>
      <c r="C37" s="23" t="str">
        <f aca="false">IF(A37="","",Tender_Pack!$M$37)</f>
        <v/>
      </c>
      <c r="D37" s="23" t="str">
        <f aca="false">IF(A37="","",Tender_Pack!$L$37)</f>
        <v/>
      </c>
      <c r="E37" s="23" t="str">
        <f aca="false">IF(A37="","",UPPER(Tender_Pack!$H$37))</f>
        <v/>
      </c>
      <c r="F37" s="23" t="str">
        <f aca="false">IF(A37="","",Tender_Pack!$B$37)</f>
        <v/>
      </c>
      <c r="G37" s="23" t="str">
        <f aca="false">IF(A37="","",Tender_Pack!$I$37)</f>
        <v/>
      </c>
      <c r="H37" s="23" t="str">
        <f aca="false">IF(A37="","",Tender_Pack!$J$37)</f>
        <v/>
      </c>
    </row>
    <row r="38" customFormat="false" ht="15" hidden="false" customHeight="false" outlineLevel="0" collapsed="false">
      <c r="A38" s="23" t="str">
        <f aca="false">IF(Tender_Pack!$B$38="","",IF(Tender_Pack!$E$38="",1,Tender_Pack!$E$38))</f>
        <v/>
      </c>
      <c r="B38" s="23" t="str">
        <f aca="false">IF(OR(A38="",H38&lt;&gt;"Approved"),"",COUNTIFS($A$6:A38,A38,$H$6:H38,"Approved"))</f>
        <v/>
      </c>
      <c r="C38" s="23" t="str">
        <f aca="false">IF(A38="","",Tender_Pack!$M$38)</f>
        <v/>
      </c>
      <c r="D38" s="23" t="str">
        <f aca="false">IF(A38="","",Tender_Pack!$L$38)</f>
        <v/>
      </c>
      <c r="E38" s="23" t="str">
        <f aca="false">IF(A38="","",UPPER(Tender_Pack!$H$38))</f>
        <v/>
      </c>
      <c r="F38" s="23" t="str">
        <f aca="false">IF(A38="","",Tender_Pack!$B$38)</f>
        <v/>
      </c>
      <c r="G38" s="23" t="str">
        <f aca="false">IF(A38="","",Tender_Pack!$I$38)</f>
        <v/>
      </c>
      <c r="H38" s="23" t="str">
        <f aca="false">IF(A38="","",Tender_Pack!$J$38)</f>
        <v/>
      </c>
    </row>
    <row r="39" customFormat="false" ht="15" hidden="false" customHeight="false" outlineLevel="0" collapsed="false">
      <c r="A39" s="23" t="str">
        <f aca="false">IF(Tender_Pack!$B$39="","",IF(Tender_Pack!$E$39="",1,Tender_Pack!$E$39))</f>
        <v/>
      </c>
      <c r="B39" s="23" t="str">
        <f aca="false">IF(OR(A39="",H39&lt;&gt;"Approved"),"",COUNTIFS($A$6:A39,A39,$H$6:H39,"Approved"))</f>
        <v/>
      </c>
      <c r="C39" s="23" t="str">
        <f aca="false">IF(A39="","",Tender_Pack!$M$39)</f>
        <v/>
      </c>
      <c r="D39" s="23" t="str">
        <f aca="false">IF(A39="","",Tender_Pack!$L$39)</f>
        <v/>
      </c>
      <c r="E39" s="23" t="str">
        <f aca="false">IF(A39="","",UPPER(Tender_Pack!$H$39))</f>
        <v/>
      </c>
      <c r="F39" s="23" t="str">
        <f aca="false">IF(A39="","",Tender_Pack!$B$39)</f>
        <v/>
      </c>
      <c r="G39" s="23" t="str">
        <f aca="false">IF(A39="","",Tender_Pack!$I$39)</f>
        <v/>
      </c>
      <c r="H39" s="23" t="str">
        <f aca="false">IF(A39="","",Tender_Pack!$J$39)</f>
        <v/>
      </c>
    </row>
    <row r="40" customFormat="false" ht="15" hidden="false" customHeight="false" outlineLevel="0" collapsed="false">
      <c r="A40" s="23" t="str">
        <f aca="false">IF(Tender_Pack!$B$40="","",IF(Tender_Pack!$E$40="",1,Tender_Pack!$E$40))</f>
        <v/>
      </c>
      <c r="B40" s="23" t="str">
        <f aca="false">IF(OR(A40="",H40&lt;&gt;"Approved"),"",COUNTIFS($A$6:A40,A40,$H$6:H40,"Approved"))</f>
        <v/>
      </c>
      <c r="C40" s="23" t="str">
        <f aca="false">IF(A40="","",Tender_Pack!$M$40)</f>
        <v/>
      </c>
      <c r="D40" s="23" t="str">
        <f aca="false">IF(A40="","",Tender_Pack!$L$40)</f>
        <v/>
      </c>
      <c r="E40" s="23" t="str">
        <f aca="false">IF(A40="","",UPPER(Tender_Pack!$H$40))</f>
        <v/>
      </c>
      <c r="F40" s="23" t="str">
        <f aca="false">IF(A40="","",Tender_Pack!$B$40)</f>
        <v/>
      </c>
      <c r="G40" s="23" t="str">
        <f aca="false">IF(A40="","",Tender_Pack!$I$40)</f>
        <v/>
      </c>
      <c r="H40" s="23" t="str">
        <f aca="false">IF(A40="","",Tender_Pack!$J$40)</f>
        <v/>
      </c>
    </row>
    <row r="41" customFormat="false" ht="15" hidden="false" customHeight="false" outlineLevel="0" collapsed="false">
      <c r="A41" s="23" t="str">
        <f aca="false">IF(Tender_Pack!$B$41="","",IF(Tender_Pack!$E$41="",1,Tender_Pack!$E$41))</f>
        <v/>
      </c>
      <c r="B41" s="23" t="str">
        <f aca="false">IF(OR(A41="",H41&lt;&gt;"Approved"),"",COUNTIFS($A$6:A41,A41,$H$6:H41,"Approved"))</f>
        <v/>
      </c>
      <c r="C41" s="23" t="str">
        <f aca="false">IF(A41="","",Tender_Pack!$M$41)</f>
        <v/>
      </c>
      <c r="D41" s="23" t="str">
        <f aca="false">IF(A41="","",Tender_Pack!$L$41)</f>
        <v/>
      </c>
      <c r="E41" s="23" t="str">
        <f aca="false">IF(A41="","",UPPER(Tender_Pack!$H$41))</f>
        <v/>
      </c>
      <c r="F41" s="23" t="str">
        <f aca="false">IF(A41="","",Tender_Pack!$B$41)</f>
        <v/>
      </c>
      <c r="G41" s="23" t="str">
        <f aca="false">IF(A41="","",Tender_Pack!$I$41)</f>
        <v/>
      </c>
      <c r="H41" s="23" t="str">
        <f aca="false">IF(A41="","",Tender_Pack!$J$41)</f>
        <v/>
      </c>
    </row>
    <row r="42" customFormat="false" ht="15" hidden="false" customHeight="false" outlineLevel="0" collapsed="false">
      <c r="A42" s="23" t="str">
        <f aca="false">IF(Tender_Pack!$B$42="","",IF(Tender_Pack!$E$42="",1,Tender_Pack!$E$42))</f>
        <v/>
      </c>
      <c r="B42" s="23" t="str">
        <f aca="false">IF(OR(A42="",H42&lt;&gt;"Approved"),"",COUNTIFS($A$6:A42,A42,$H$6:H42,"Approved"))</f>
        <v/>
      </c>
      <c r="C42" s="23" t="str">
        <f aca="false">IF(A42="","",Tender_Pack!$M$42)</f>
        <v/>
      </c>
      <c r="D42" s="23" t="str">
        <f aca="false">IF(A42="","",Tender_Pack!$L$42)</f>
        <v/>
      </c>
      <c r="E42" s="23" t="str">
        <f aca="false">IF(A42="","",UPPER(Tender_Pack!$H$42))</f>
        <v/>
      </c>
      <c r="F42" s="23" t="str">
        <f aca="false">IF(A42="","",Tender_Pack!$B$42)</f>
        <v/>
      </c>
      <c r="G42" s="23" t="str">
        <f aca="false">IF(A42="","",Tender_Pack!$I$42)</f>
        <v/>
      </c>
      <c r="H42" s="23" t="str">
        <f aca="false">IF(A42="","",Tender_Pack!$J$42)</f>
        <v/>
      </c>
    </row>
    <row r="43" customFormat="false" ht="15" hidden="false" customHeight="false" outlineLevel="0" collapsed="false">
      <c r="A43" s="23" t="str">
        <f aca="false">IF(Tender_Pack!$B$43="","",IF(Tender_Pack!$E$43="",1,Tender_Pack!$E$43))</f>
        <v/>
      </c>
      <c r="B43" s="23" t="str">
        <f aca="false">IF(OR(A43="",H43&lt;&gt;"Approved"),"",COUNTIFS($A$6:A43,A43,$H$6:H43,"Approved"))</f>
        <v/>
      </c>
      <c r="C43" s="23" t="str">
        <f aca="false">IF(A43="","",Tender_Pack!$M$43)</f>
        <v/>
      </c>
      <c r="D43" s="23" t="str">
        <f aca="false">IF(A43="","",Tender_Pack!$L$43)</f>
        <v/>
      </c>
      <c r="E43" s="23" t="str">
        <f aca="false">IF(A43="","",UPPER(Tender_Pack!$H$43))</f>
        <v/>
      </c>
      <c r="F43" s="23" t="str">
        <f aca="false">IF(A43="","",Tender_Pack!$B$43)</f>
        <v/>
      </c>
      <c r="G43" s="23" t="str">
        <f aca="false">IF(A43="","",Tender_Pack!$I$43)</f>
        <v/>
      </c>
      <c r="H43" s="23" t="str">
        <f aca="false">IF(A43="","",Tender_Pack!$J$43)</f>
        <v/>
      </c>
    </row>
    <row r="44" customFormat="false" ht="15" hidden="false" customHeight="false" outlineLevel="0" collapsed="false">
      <c r="A44" s="23" t="str">
        <f aca="false">IF(Tender_Pack!$B$44="","",IF(Tender_Pack!$E$44="",1,Tender_Pack!$E$44))</f>
        <v/>
      </c>
      <c r="B44" s="23" t="str">
        <f aca="false">IF(OR(A44="",H44&lt;&gt;"Approved"),"",COUNTIFS($A$6:A44,A44,$H$6:H44,"Approved"))</f>
        <v/>
      </c>
      <c r="C44" s="23" t="str">
        <f aca="false">IF(A44="","",Tender_Pack!$M$44)</f>
        <v/>
      </c>
      <c r="D44" s="23" t="str">
        <f aca="false">IF(A44="","",Tender_Pack!$L$44)</f>
        <v/>
      </c>
      <c r="E44" s="23" t="str">
        <f aca="false">IF(A44="","",UPPER(Tender_Pack!$H$44))</f>
        <v/>
      </c>
      <c r="F44" s="23" t="str">
        <f aca="false">IF(A44="","",Tender_Pack!$B$44)</f>
        <v/>
      </c>
      <c r="G44" s="23" t="str">
        <f aca="false">IF(A44="","",Tender_Pack!$I$44)</f>
        <v/>
      </c>
      <c r="H44" s="23" t="str">
        <f aca="false">IF(A44="","",Tender_Pack!$J$44)</f>
        <v/>
      </c>
    </row>
    <row r="45" customFormat="false" ht="15" hidden="false" customHeight="false" outlineLevel="0" collapsed="false">
      <c r="A45" s="23" t="str">
        <f aca="false">IF(Tender_Pack!$B$45="","",IF(Tender_Pack!$E$45="",1,Tender_Pack!$E$45))</f>
        <v/>
      </c>
      <c r="B45" s="23" t="str">
        <f aca="false">IF(OR(A45="",H45&lt;&gt;"Approved"),"",COUNTIFS($A$6:A45,A45,$H$6:H45,"Approved"))</f>
        <v/>
      </c>
      <c r="C45" s="23" t="str">
        <f aca="false">IF(A45="","",Tender_Pack!$M$45)</f>
        <v/>
      </c>
      <c r="D45" s="23" t="str">
        <f aca="false">IF(A45="","",Tender_Pack!$L$45)</f>
        <v/>
      </c>
      <c r="E45" s="23" t="str">
        <f aca="false">IF(A45="","",UPPER(Tender_Pack!$H$45))</f>
        <v/>
      </c>
      <c r="F45" s="23" t="str">
        <f aca="false">IF(A45="","",Tender_Pack!$B$45)</f>
        <v/>
      </c>
      <c r="G45" s="23" t="str">
        <f aca="false">IF(A45="","",Tender_Pack!$I$45)</f>
        <v/>
      </c>
      <c r="H45" s="23" t="str">
        <f aca="false">IF(A45="","",Tender_Pack!$J$45)</f>
        <v/>
      </c>
    </row>
    <row r="46" customFormat="false" ht="15" hidden="false" customHeight="false" outlineLevel="0" collapsed="false">
      <c r="A46" s="23" t="str">
        <f aca="false">IF(Tender_Pack!$B$46="","",IF(Tender_Pack!$E$46="",1,Tender_Pack!$E$46))</f>
        <v/>
      </c>
      <c r="B46" s="23" t="str">
        <f aca="false">IF(OR(A46="",H46&lt;&gt;"Approved"),"",COUNTIFS($A$6:A46,A46,$H$6:H46,"Approved"))</f>
        <v/>
      </c>
      <c r="C46" s="23" t="str">
        <f aca="false">IF(A46="","",Tender_Pack!$M$46)</f>
        <v/>
      </c>
      <c r="D46" s="23" t="str">
        <f aca="false">IF(A46="","",Tender_Pack!$L$46)</f>
        <v/>
      </c>
      <c r="E46" s="23" t="str">
        <f aca="false">IF(A46="","",UPPER(Tender_Pack!$H$46))</f>
        <v/>
      </c>
      <c r="F46" s="23" t="str">
        <f aca="false">IF(A46="","",Tender_Pack!$B$46)</f>
        <v/>
      </c>
      <c r="G46" s="23" t="str">
        <f aca="false">IF(A46="","",Tender_Pack!$I$46)</f>
        <v/>
      </c>
      <c r="H46" s="23" t="str">
        <f aca="false">IF(A46="","",Tender_Pack!$J$46)</f>
        <v/>
      </c>
    </row>
    <row r="47" customFormat="false" ht="15" hidden="false" customHeight="false" outlineLevel="0" collapsed="false">
      <c r="A47" s="23" t="str">
        <f aca="false">IF(Tender_Pack!$B$47="","",IF(Tender_Pack!$E$47="",1,Tender_Pack!$E$47))</f>
        <v/>
      </c>
      <c r="B47" s="23" t="str">
        <f aca="false">IF(OR(A47="",H47&lt;&gt;"Approved"),"",COUNTIFS($A$6:A47,A47,$H$6:H47,"Approved"))</f>
        <v/>
      </c>
      <c r="C47" s="23" t="str">
        <f aca="false">IF(A47="","",Tender_Pack!$M$47)</f>
        <v/>
      </c>
      <c r="D47" s="23" t="str">
        <f aca="false">IF(A47="","",Tender_Pack!$L$47)</f>
        <v/>
      </c>
      <c r="E47" s="23" t="str">
        <f aca="false">IF(A47="","",UPPER(Tender_Pack!$H$47))</f>
        <v/>
      </c>
      <c r="F47" s="23" t="str">
        <f aca="false">IF(A47="","",Tender_Pack!$B$47)</f>
        <v/>
      </c>
      <c r="G47" s="23" t="str">
        <f aca="false">IF(A47="","",Tender_Pack!$I$47)</f>
        <v/>
      </c>
      <c r="H47" s="23" t="str">
        <f aca="false">IF(A47="","",Tender_Pack!$J$47)</f>
        <v/>
      </c>
    </row>
    <row r="48" customFormat="false" ht="15" hidden="false" customHeight="false" outlineLevel="0" collapsed="false">
      <c r="A48" s="23" t="str">
        <f aca="false">IF(Tender_Pack!$B$48="","",IF(Tender_Pack!$E$48="",1,Tender_Pack!$E$48))</f>
        <v/>
      </c>
      <c r="B48" s="23" t="str">
        <f aca="false">IF(OR(A48="",H48&lt;&gt;"Approved"),"",COUNTIFS($A$6:A48,A48,$H$6:H48,"Approved"))</f>
        <v/>
      </c>
      <c r="C48" s="23" t="str">
        <f aca="false">IF(A48="","",Tender_Pack!$M$48)</f>
        <v/>
      </c>
      <c r="D48" s="23" t="str">
        <f aca="false">IF(A48="","",Tender_Pack!$L$48)</f>
        <v/>
      </c>
      <c r="E48" s="23" t="str">
        <f aca="false">IF(A48="","",UPPER(Tender_Pack!$H$48))</f>
        <v/>
      </c>
      <c r="F48" s="23" t="str">
        <f aca="false">IF(A48="","",Tender_Pack!$B$48)</f>
        <v/>
      </c>
      <c r="G48" s="23" t="str">
        <f aca="false">IF(A48="","",Tender_Pack!$I$48)</f>
        <v/>
      </c>
      <c r="H48" s="23" t="str">
        <f aca="false">IF(A48="","",Tender_Pack!$J$48)</f>
        <v/>
      </c>
    </row>
    <row r="49" customFormat="false" ht="15" hidden="false" customHeight="false" outlineLevel="0" collapsed="false">
      <c r="A49" s="23" t="str">
        <f aca="false">IF(Tender_Pack!$B$49="","",IF(Tender_Pack!$E$49="",1,Tender_Pack!$E$49))</f>
        <v/>
      </c>
      <c r="B49" s="23" t="str">
        <f aca="false">IF(OR(A49="",H49&lt;&gt;"Approved"),"",COUNTIFS($A$6:A49,A49,$H$6:H49,"Approved"))</f>
        <v/>
      </c>
      <c r="C49" s="23" t="str">
        <f aca="false">IF(A49="","",Tender_Pack!$M$49)</f>
        <v/>
      </c>
      <c r="D49" s="23" t="str">
        <f aca="false">IF(A49="","",Tender_Pack!$L$49)</f>
        <v/>
      </c>
      <c r="E49" s="23" t="str">
        <f aca="false">IF(A49="","",UPPER(Tender_Pack!$H$49))</f>
        <v/>
      </c>
      <c r="F49" s="23" t="str">
        <f aca="false">IF(A49="","",Tender_Pack!$B$49)</f>
        <v/>
      </c>
      <c r="G49" s="23" t="str">
        <f aca="false">IF(A49="","",Tender_Pack!$I$49)</f>
        <v/>
      </c>
      <c r="H49" s="23" t="str">
        <f aca="false">IF(A49="","",Tender_Pack!$J$49)</f>
        <v/>
      </c>
    </row>
    <row r="50" customFormat="false" ht="15" hidden="false" customHeight="false" outlineLevel="0" collapsed="false">
      <c r="A50" s="23" t="str">
        <f aca="false">IF(Tender_Pack!$B$50="","",IF(Tender_Pack!$E$50="",1,Tender_Pack!$E$50))</f>
        <v/>
      </c>
      <c r="B50" s="23" t="str">
        <f aca="false">IF(OR(A50="",H50&lt;&gt;"Approved"),"",COUNTIFS($A$6:A50,A50,$H$6:H50,"Approved"))</f>
        <v/>
      </c>
      <c r="C50" s="23" t="str">
        <f aca="false">IF(A50="","",Tender_Pack!$M$50)</f>
        <v/>
      </c>
      <c r="D50" s="23" t="str">
        <f aca="false">IF(A50="","",Tender_Pack!$L$50)</f>
        <v/>
      </c>
      <c r="E50" s="23" t="str">
        <f aca="false">IF(A50="","",UPPER(Tender_Pack!$H$50))</f>
        <v/>
      </c>
      <c r="F50" s="23" t="str">
        <f aca="false">IF(A50="","",Tender_Pack!$B$50)</f>
        <v/>
      </c>
      <c r="G50" s="23" t="str">
        <f aca="false">IF(A50="","",Tender_Pack!$I$50)</f>
        <v/>
      </c>
      <c r="H50" s="23" t="str">
        <f aca="false">IF(A50="","",Tender_Pack!$J$50)</f>
        <v/>
      </c>
    </row>
    <row r="51" customFormat="false" ht="15" hidden="false" customHeight="false" outlineLevel="0" collapsed="false">
      <c r="A51" s="23" t="str">
        <f aca="false">IF(Tender_Pack!$B$51="","",IF(Tender_Pack!$E$51="",1,Tender_Pack!$E$51))</f>
        <v/>
      </c>
      <c r="B51" s="23" t="str">
        <f aca="false">IF(OR(A51="",H51&lt;&gt;"Approved"),"",COUNTIFS($A$6:A51,A51,$H$6:H51,"Approved"))</f>
        <v/>
      </c>
      <c r="C51" s="23" t="str">
        <f aca="false">IF(A51="","",Tender_Pack!$M$51)</f>
        <v/>
      </c>
      <c r="D51" s="23" t="str">
        <f aca="false">IF(A51="","",Tender_Pack!$L$51)</f>
        <v/>
      </c>
      <c r="E51" s="23" t="str">
        <f aca="false">IF(A51="","",UPPER(Tender_Pack!$H$51))</f>
        <v/>
      </c>
      <c r="F51" s="23" t="str">
        <f aca="false">IF(A51="","",Tender_Pack!$B$51)</f>
        <v/>
      </c>
      <c r="G51" s="23" t="str">
        <f aca="false">IF(A51="","",Tender_Pack!$I$51)</f>
        <v/>
      </c>
      <c r="H51" s="23" t="str">
        <f aca="false">IF(A51="","",Tender_Pack!$J$51)</f>
        <v/>
      </c>
    </row>
    <row r="52" customFormat="false" ht="15" hidden="false" customHeight="false" outlineLevel="0" collapsed="false">
      <c r="A52" s="23" t="str">
        <f aca="false">IF(Tender_Pack!$B$52="","",IF(Tender_Pack!$E$52="",1,Tender_Pack!$E$52))</f>
        <v/>
      </c>
      <c r="B52" s="23" t="str">
        <f aca="false">IF(OR(A52="",H52&lt;&gt;"Approved"),"",COUNTIFS($A$6:A52,A52,$H$6:H52,"Approved"))</f>
        <v/>
      </c>
      <c r="C52" s="23" t="str">
        <f aca="false">IF(A52="","",Tender_Pack!$M$52)</f>
        <v/>
      </c>
      <c r="D52" s="23" t="str">
        <f aca="false">IF(A52="","",Tender_Pack!$L$52)</f>
        <v/>
      </c>
      <c r="E52" s="23" t="str">
        <f aca="false">IF(A52="","",UPPER(Tender_Pack!$H$52))</f>
        <v/>
      </c>
      <c r="F52" s="23" t="str">
        <f aca="false">IF(A52="","",Tender_Pack!$B$52)</f>
        <v/>
      </c>
      <c r="G52" s="23" t="str">
        <f aca="false">IF(A52="","",Tender_Pack!$I$52)</f>
        <v/>
      </c>
      <c r="H52" s="23" t="str">
        <f aca="false">IF(A52="","",Tender_Pack!$J$52)</f>
        <v/>
      </c>
    </row>
    <row r="53" customFormat="false" ht="15" hidden="false" customHeight="false" outlineLevel="0" collapsed="false">
      <c r="A53" s="23" t="str">
        <f aca="false">IF(Tender_Pack!$B$53="","",IF(Tender_Pack!$E$53="",1,Tender_Pack!$E$53))</f>
        <v/>
      </c>
      <c r="B53" s="23" t="str">
        <f aca="false">IF(OR(A53="",H53&lt;&gt;"Approved"),"",COUNTIFS($A$6:A53,A53,$H$6:H53,"Approved"))</f>
        <v/>
      </c>
      <c r="C53" s="23" t="str">
        <f aca="false">IF(A53="","",Tender_Pack!$M$53)</f>
        <v/>
      </c>
      <c r="D53" s="23" t="str">
        <f aca="false">IF(A53="","",Tender_Pack!$L$53)</f>
        <v/>
      </c>
      <c r="E53" s="23" t="str">
        <f aca="false">IF(A53="","",UPPER(Tender_Pack!$H$53))</f>
        <v/>
      </c>
      <c r="F53" s="23" t="str">
        <f aca="false">IF(A53="","",Tender_Pack!$B$53)</f>
        <v/>
      </c>
      <c r="G53" s="23" t="str">
        <f aca="false">IF(A53="","",Tender_Pack!$I$53)</f>
        <v/>
      </c>
      <c r="H53" s="23" t="str">
        <f aca="false">IF(A53="","",Tender_Pack!$J$53)</f>
        <v/>
      </c>
    </row>
    <row r="54" customFormat="false" ht="15" hidden="false" customHeight="false" outlineLevel="0" collapsed="false">
      <c r="A54" s="23" t="str">
        <f aca="false">IF(Tender_Pack!$B$54="","",IF(Tender_Pack!$E$54="",1,Tender_Pack!$E$54))</f>
        <v/>
      </c>
      <c r="B54" s="23" t="str">
        <f aca="false">IF(OR(A54="",H54&lt;&gt;"Approved"),"",COUNTIFS($A$6:A54,A54,$H$6:H54,"Approved"))</f>
        <v/>
      </c>
      <c r="C54" s="23" t="str">
        <f aca="false">IF(A54="","",Tender_Pack!$M$54)</f>
        <v/>
      </c>
      <c r="D54" s="23" t="str">
        <f aca="false">IF(A54="","",Tender_Pack!$L$54)</f>
        <v/>
      </c>
      <c r="E54" s="23" t="str">
        <f aca="false">IF(A54="","",UPPER(Tender_Pack!$H$54))</f>
        <v/>
      </c>
      <c r="F54" s="23" t="str">
        <f aca="false">IF(A54="","",Tender_Pack!$B$54)</f>
        <v/>
      </c>
      <c r="G54" s="23" t="str">
        <f aca="false">IF(A54="","",Tender_Pack!$I$54)</f>
        <v/>
      </c>
      <c r="H54" s="23" t="str">
        <f aca="false">IF(A54="","",Tender_Pack!$J$54)</f>
        <v/>
      </c>
    </row>
    <row r="55" customFormat="false" ht="15" hidden="false" customHeight="false" outlineLevel="0" collapsed="false">
      <c r="A55" s="23" t="str">
        <f aca="false">IF(Tender_Pack!$B$55="","",IF(Tender_Pack!$E$55="",1,Tender_Pack!$E$55))</f>
        <v/>
      </c>
      <c r="B55" s="23" t="str">
        <f aca="false">IF(OR(A55="",H55&lt;&gt;"Approved"),"",COUNTIFS($A$6:A55,A55,$H$6:H55,"Approved"))</f>
        <v/>
      </c>
      <c r="C55" s="23" t="str">
        <f aca="false">IF(A55="","",Tender_Pack!$M$55)</f>
        <v/>
      </c>
      <c r="D55" s="23" t="str">
        <f aca="false">IF(A55="","",Tender_Pack!$L$55)</f>
        <v/>
      </c>
      <c r="E55" s="23" t="str">
        <f aca="false">IF(A55="","",UPPER(Tender_Pack!$H$55))</f>
        <v/>
      </c>
      <c r="F55" s="23" t="str">
        <f aca="false">IF(A55="","",Tender_Pack!$B$55)</f>
        <v/>
      </c>
      <c r="G55" s="23" t="str">
        <f aca="false">IF(A55="","",Tender_Pack!$I$55)</f>
        <v/>
      </c>
      <c r="H55" s="23" t="str">
        <f aca="false">IF(A55="","",Tender_Pack!$J$55)</f>
        <v/>
      </c>
    </row>
    <row r="56" customFormat="false" ht="15" hidden="false" customHeight="false" outlineLevel="0" collapsed="false">
      <c r="A56" s="23" t="str">
        <f aca="false">IF(Tender_Pack!$B$56="","",IF(Tender_Pack!$E$56="",1,Tender_Pack!$E$56))</f>
        <v/>
      </c>
      <c r="B56" s="23" t="str">
        <f aca="false">IF(OR(A56="",H56&lt;&gt;"Approved"),"",COUNTIFS($A$6:A56,A56,$H$6:H56,"Approved"))</f>
        <v/>
      </c>
      <c r="C56" s="23" t="str">
        <f aca="false">IF(A56="","",Tender_Pack!$M$56)</f>
        <v/>
      </c>
      <c r="D56" s="23" t="str">
        <f aca="false">IF(A56="","",Tender_Pack!$L$56)</f>
        <v/>
      </c>
      <c r="E56" s="23" t="str">
        <f aca="false">IF(A56="","",UPPER(Tender_Pack!$H$56))</f>
        <v/>
      </c>
      <c r="F56" s="23" t="str">
        <f aca="false">IF(A56="","",Tender_Pack!$B$56)</f>
        <v/>
      </c>
      <c r="G56" s="23" t="str">
        <f aca="false">IF(A56="","",Tender_Pack!$I$56)</f>
        <v/>
      </c>
      <c r="H56" s="23" t="str">
        <f aca="false">IF(A56="","",Tender_Pack!$J$56)</f>
        <v/>
      </c>
    </row>
    <row r="57" customFormat="false" ht="15" hidden="false" customHeight="false" outlineLevel="0" collapsed="false">
      <c r="A57" s="23" t="str">
        <f aca="false">IF(Tender_Pack!$B$57="","",IF(Tender_Pack!$E$57="",1,Tender_Pack!$E$57))</f>
        <v/>
      </c>
      <c r="B57" s="23" t="str">
        <f aca="false">IF(OR(A57="",H57&lt;&gt;"Approved"),"",COUNTIFS($A$6:A57,A57,$H$6:H57,"Approved"))</f>
        <v/>
      </c>
      <c r="C57" s="23" t="str">
        <f aca="false">IF(A57="","",Tender_Pack!$M$57)</f>
        <v/>
      </c>
      <c r="D57" s="23" t="str">
        <f aca="false">IF(A57="","",Tender_Pack!$L$57)</f>
        <v/>
      </c>
      <c r="E57" s="23" t="str">
        <f aca="false">IF(A57="","",UPPER(Tender_Pack!$H$57))</f>
        <v/>
      </c>
      <c r="F57" s="23" t="str">
        <f aca="false">IF(A57="","",Tender_Pack!$B$57)</f>
        <v/>
      </c>
      <c r="G57" s="23" t="str">
        <f aca="false">IF(A57="","",Tender_Pack!$I$57)</f>
        <v/>
      </c>
      <c r="H57" s="23" t="str">
        <f aca="false">IF(A57="","",Tender_Pack!$J$57)</f>
        <v/>
      </c>
    </row>
    <row r="58" customFormat="false" ht="15" hidden="false" customHeight="false" outlineLevel="0" collapsed="false">
      <c r="A58" s="23" t="str">
        <f aca="false">IF(Tender_Pack!$B$58="","",IF(Tender_Pack!$E$58="",1,Tender_Pack!$E$58))</f>
        <v/>
      </c>
      <c r="B58" s="23" t="str">
        <f aca="false">IF(OR(A58="",H58&lt;&gt;"Approved"),"",COUNTIFS($A$6:A58,A58,$H$6:H58,"Approved"))</f>
        <v/>
      </c>
      <c r="C58" s="23" t="str">
        <f aca="false">IF(A58="","",Tender_Pack!$M$58)</f>
        <v/>
      </c>
      <c r="D58" s="23" t="str">
        <f aca="false">IF(A58="","",Tender_Pack!$L$58)</f>
        <v/>
      </c>
      <c r="E58" s="23" t="str">
        <f aca="false">IF(A58="","",UPPER(Tender_Pack!$H$58))</f>
        <v/>
      </c>
      <c r="F58" s="23" t="str">
        <f aca="false">IF(A58="","",Tender_Pack!$B$58)</f>
        <v/>
      </c>
      <c r="G58" s="23" t="str">
        <f aca="false">IF(A58="","",Tender_Pack!$I$58)</f>
        <v/>
      </c>
      <c r="H58" s="23" t="str">
        <f aca="false">IF(A58="","",Tender_Pack!$J$58)</f>
        <v/>
      </c>
    </row>
    <row r="59" customFormat="false" ht="15" hidden="false" customHeight="false" outlineLevel="0" collapsed="false">
      <c r="A59" s="23" t="str">
        <f aca="false">IF(Tender_Pack!$B$59="","",IF(Tender_Pack!$E$59="",1,Tender_Pack!$E$59))</f>
        <v/>
      </c>
      <c r="B59" s="23" t="str">
        <f aca="false">IF(OR(A59="",H59&lt;&gt;"Approved"),"",COUNTIFS($A$6:A59,A59,$H$6:H59,"Approved"))</f>
        <v/>
      </c>
      <c r="C59" s="23" t="str">
        <f aca="false">IF(A59="","",Tender_Pack!$M$59)</f>
        <v/>
      </c>
      <c r="D59" s="23" t="str">
        <f aca="false">IF(A59="","",Tender_Pack!$L$59)</f>
        <v/>
      </c>
      <c r="E59" s="23" t="str">
        <f aca="false">IF(A59="","",UPPER(Tender_Pack!$H$59))</f>
        <v/>
      </c>
      <c r="F59" s="23" t="str">
        <f aca="false">IF(A59="","",Tender_Pack!$B$59)</f>
        <v/>
      </c>
      <c r="G59" s="23" t="str">
        <f aca="false">IF(A59="","",Tender_Pack!$I$59)</f>
        <v/>
      </c>
      <c r="H59" s="23" t="str">
        <f aca="false">IF(A59="","",Tender_Pack!$J$59)</f>
        <v/>
      </c>
    </row>
    <row r="60" customFormat="false" ht="15" hidden="false" customHeight="false" outlineLevel="0" collapsed="false">
      <c r="A60" s="23" t="str">
        <f aca="false">IF(Tender_Pack!$B$60="","",IF(Tender_Pack!$E$60="",1,Tender_Pack!$E$60))</f>
        <v/>
      </c>
      <c r="B60" s="23" t="str">
        <f aca="false">IF(OR(A60="",H60&lt;&gt;"Approved"),"",COUNTIFS($A$6:A60,A60,$H$6:H60,"Approved"))</f>
        <v/>
      </c>
      <c r="C60" s="23" t="str">
        <f aca="false">IF(A60="","",Tender_Pack!$M$60)</f>
        <v/>
      </c>
      <c r="D60" s="23" t="str">
        <f aca="false">IF(A60="","",Tender_Pack!$L$60)</f>
        <v/>
      </c>
      <c r="E60" s="23" t="str">
        <f aca="false">IF(A60="","",UPPER(Tender_Pack!$H$60))</f>
        <v/>
      </c>
      <c r="F60" s="23" t="str">
        <f aca="false">IF(A60="","",Tender_Pack!$B$60)</f>
        <v/>
      </c>
      <c r="G60" s="23" t="str">
        <f aca="false">IF(A60="","",Tender_Pack!$I$60)</f>
        <v/>
      </c>
      <c r="H60" s="23" t="str">
        <f aca="false">IF(A60="","",Tender_Pack!$J$60)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L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12" min="2" style="0" width="9"/>
  </cols>
  <sheetData>
    <row r="1" customFormat="false" ht="17.35" hidden="false" customHeight="false" outlineLevel="0" collapsed="false">
      <c r="A1" s="5" t="s">
        <v>169</v>
      </c>
    </row>
    <row r="3" customFormat="false" ht="15" hidden="false" customHeight="false" outlineLevel="0" collapsed="false">
      <c r="A3" s="22" t="s">
        <v>170</v>
      </c>
    </row>
    <row r="4" customFormat="false" ht="15" hidden="false" customHeight="false" outlineLevel="0" collapsed="false">
      <c r="A4" s="7" t="s">
        <v>55</v>
      </c>
      <c r="B4" s="15" t="n">
        <v>450</v>
      </c>
      <c r="C4" s="15" t="n">
        <v>600</v>
      </c>
      <c r="D4" s="15" t="n">
        <v>750</v>
      </c>
      <c r="E4" s="15" t="n">
        <v>900</v>
      </c>
      <c r="F4" s="15" t="n">
        <v>1050</v>
      </c>
      <c r="G4" s="15" t="n">
        <v>1200</v>
      </c>
      <c r="H4" s="15" t="n">
        <v>1500</v>
      </c>
      <c r="I4" s="15" t="n">
        <v>1800</v>
      </c>
      <c r="J4" s="15" t="n">
        <v>2000</v>
      </c>
      <c r="K4" s="15" t="n">
        <v>2400</v>
      </c>
      <c r="L4" s="15" t="n">
        <v>3000</v>
      </c>
    </row>
    <row r="5" customFormat="false" ht="15" hidden="false" customHeight="false" outlineLevel="0" collapsed="false">
      <c r="A5" s="26" t="s">
        <v>56</v>
      </c>
      <c r="B5" s="27" t="n">
        <f aca="false">COUNTIFS(Drain_Register!$C$5:$C$304,$A5,Drain_Register!$AV$5:$AV$304,"Y",Drain_Register!$F$5:$F$304,B$4)</f>
        <v>0</v>
      </c>
      <c r="C5" s="27" t="n">
        <f aca="false">COUNTIFS(Drain_Register!$C$5:$C$304,$A5,Drain_Register!$AV$5:$AV$304,"Y",Drain_Register!$F$5:$F$304,C$4)</f>
        <v>1</v>
      </c>
      <c r="D5" s="27" t="n">
        <f aca="false">COUNTIFS(Drain_Register!$C$5:$C$304,$A5,Drain_Register!$AV$5:$AV$304,"Y",Drain_Register!$F$5:$F$304,D$4)</f>
        <v>0</v>
      </c>
      <c r="E5" s="27" t="n">
        <f aca="false">COUNTIFS(Drain_Register!$C$5:$C$304,$A5,Drain_Register!$AV$5:$AV$304,"Y",Drain_Register!$F$5:$F$304,E$4)</f>
        <v>1</v>
      </c>
      <c r="F5" s="27" t="n">
        <f aca="false">COUNTIFS(Drain_Register!$C$5:$C$304,$A5,Drain_Register!$AV$5:$AV$304,"Y",Drain_Register!$F$5:$F$304,F$4)</f>
        <v>0</v>
      </c>
      <c r="G5" s="27" t="n">
        <f aca="false">COUNTIFS(Drain_Register!$C$5:$C$304,$A5,Drain_Register!$AV$5:$AV$304,"Y",Drain_Register!$F$5:$F$304,G$4)</f>
        <v>0</v>
      </c>
      <c r="H5" s="27" t="n">
        <f aca="false">COUNTIFS(Drain_Register!$C$5:$C$304,$A5,Drain_Register!$AV$5:$AV$304,"Y",Drain_Register!$F$5:$F$304,H$4)</f>
        <v>0</v>
      </c>
      <c r="I5" s="27" t="n">
        <f aca="false">COUNTIFS(Drain_Register!$C$5:$C$304,$A5,Drain_Register!$AV$5:$AV$304,"Y",Drain_Register!$F$5:$F$304,I$4)</f>
        <v>0</v>
      </c>
      <c r="J5" s="27" t="n">
        <f aca="false">COUNTIFS(Drain_Register!$C$5:$C$304,$A5,Drain_Register!$AV$5:$AV$304,"Y",Drain_Register!$F$5:$F$304,J$4)</f>
        <v>0</v>
      </c>
      <c r="K5" s="27" t="n">
        <f aca="false">COUNTIFS(Drain_Register!$C$5:$C$304,$A5,Drain_Register!$AV$5:$AV$304,"Y",Drain_Register!$F$5:$F$304,K$4)</f>
        <v>0</v>
      </c>
      <c r="L5" s="27" t="n">
        <f aca="false">COUNTIFS(Drain_Register!$C$5:$C$304,$A5,Drain_Register!$AV$5:$AV$304,"Y",Drain_Register!$F$5:$F$304,L$4)</f>
        <v>0</v>
      </c>
    </row>
    <row r="6" customFormat="false" ht="15" hidden="false" customHeight="false" outlineLevel="0" collapsed="false">
      <c r="A6" s="26" t="s">
        <v>171</v>
      </c>
      <c r="B6" s="27" t="n">
        <f aca="false">COUNTIFS(Drain_Register!$C$5:$C$304,$A6,Drain_Register!$AV$5:$AV$304,"Y",Drain_Register!$F$5:$F$304,B$4)</f>
        <v>0</v>
      </c>
      <c r="C6" s="27" t="n">
        <f aca="false">COUNTIFS(Drain_Register!$C$5:$C$304,$A6,Drain_Register!$AV$5:$AV$304,"Y",Drain_Register!$F$5:$F$304,C$4)</f>
        <v>1</v>
      </c>
      <c r="D6" s="27" t="n">
        <f aca="false">COUNTIFS(Drain_Register!$C$5:$C$304,$A6,Drain_Register!$AV$5:$AV$304,"Y",Drain_Register!$F$5:$F$304,D$4)</f>
        <v>0</v>
      </c>
      <c r="E6" s="27" t="n">
        <f aca="false">COUNTIFS(Drain_Register!$C$5:$C$304,$A6,Drain_Register!$AV$5:$AV$304,"Y",Drain_Register!$F$5:$F$304,E$4)</f>
        <v>0</v>
      </c>
      <c r="F6" s="27" t="n">
        <f aca="false">COUNTIFS(Drain_Register!$C$5:$C$304,$A6,Drain_Register!$AV$5:$AV$304,"Y",Drain_Register!$F$5:$F$304,F$4)</f>
        <v>0</v>
      </c>
      <c r="G6" s="27" t="n">
        <f aca="false">COUNTIFS(Drain_Register!$C$5:$C$304,$A6,Drain_Register!$AV$5:$AV$304,"Y",Drain_Register!$F$5:$F$304,G$4)</f>
        <v>0</v>
      </c>
      <c r="H6" s="27" t="n">
        <f aca="false">COUNTIFS(Drain_Register!$C$5:$C$304,$A6,Drain_Register!$AV$5:$AV$304,"Y",Drain_Register!$F$5:$F$304,H$4)</f>
        <v>0</v>
      </c>
      <c r="I6" s="27" t="n">
        <f aca="false">COUNTIFS(Drain_Register!$C$5:$C$304,$A6,Drain_Register!$AV$5:$AV$304,"Y",Drain_Register!$F$5:$F$304,I$4)</f>
        <v>0</v>
      </c>
      <c r="J6" s="27" t="n">
        <f aca="false">COUNTIFS(Drain_Register!$C$5:$C$304,$A6,Drain_Register!$AV$5:$AV$304,"Y",Drain_Register!$F$5:$F$304,J$4)</f>
        <v>0</v>
      </c>
      <c r="K6" s="27" t="n">
        <f aca="false">COUNTIFS(Drain_Register!$C$5:$C$304,$A6,Drain_Register!$AV$5:$AV$304,"Y",Drain_Register!$F$5:$F$304,K$4)</f>
        <v>0</v>
      </c>
      <c r="L6" s="27" t="n">
        <f aca="false">COUNTIFS(Drain_Register!$C$5:$C$304,$A6,Drain_Register!$AV$5:$AV$304,"Y",Drain_Register!$F$5:$F$304,L$4)</f>
        <v>0</v>
      </c>
    </row>
    <row r="7" customFormat="false" ht="15" hidden="false" customHeight="false" outlineLevel="0" collapsed="false">
      <c r="A7" s="26" t="s">
        <v>172</v>
      </c>
      <c r="B7" s="27" t="n">
        <f aca="false">COUNTIFS(Drain_Register!$C$5:$C$304,$A7,Drain_Register!$AV$5:$AV$304,"Y",Drain_Register!$F$5:$F$304,B$4)</f>
        <v>0</v>
      </c>
      <c r="C7" s="27" t="n">
        <f aca="false">COUNTIFS(Drain_Register!$C$5:$C$304,$A7,Drain_Register!$AV$5:$AV$304,"Y",Drain_Register!$F$5:$F$304,C$4)</f>
        <v>0</v>
      </c>
      <c r="D7" s="27" t="n">
        <f aca="false">COUNTIFS(Drain_Register!$C$5:$C$304,$A7,Drain_Register!$AV$5:$AV$304,"Y",Drain_Register!$F$5:$F$304,D$4)</f>
        <v>0</v>
      </c>
      <c r="E7" s="27" t="n">
        <f aca="false">COUNTIFS(Drain_Register!$C$5:$C$304,$A7,Drain_Register!$AV$5:$AV$304,"Y",Drain_Register!$F$5:$F$304,E$4)</f>
        <v>0</v>
      </c>
      <c r="F7" s="27" t="n">
        <f aca="false">COUNTIFS(Drain_Register!$C$5:$C$304,$A7,Drain_Register!$AV$5:$AV$304,"Y",Drain_Register!$F$5:$F$304,F$4)</f>
        <v>0</v>
      </c>
      <c r="G7" s="27" t="n">
        <f aca="false">COUNTIFS(Drain_Register!$C$5:$C$304,$A7,Drain_Register!$AV$5:$AV$304,"Y",Drain_Register!$F$5:$F$304,G$4)</f>
        <v>1</v>
      </c>
      <c r="H7" s="27" t="n">
        <f aca="false">COUNTIFS(Drain_Register!$C$5:$C$304,$A7,Drain_Register!$AV$5:$AV$304,"Y",Drain_Register!$F$5:$F$304,H$4)</f>
        <v>0</v>
      </c>
      <c r="I7" s="27" t="n">
        <f aca="false">COUNTIFS(Drain_Register!$C$5:$C$304,$A7,Drain_Register!$AV$5:$AV$304,"Y",Drain_Register!$F$5:$F$304,I$4)</f>
        <v>0</v>
      </c>
      <c r="J7" s="27" t="n">
        <f aca="false">COUNTIFS(Drain_Register!$C$5:$C$304,$A7,Drain_Register!$AV$5:$AV$304,"Y",Drain_Register!$F$5:$F$304,J$4)</f>
        <v>0</v>
      </c>
      <c r="K7" s="27" t="n">
        <f aca="false">COUNTIFS(Drain_Register!$C$5:$C$304,$A7,Drain_Register!$AV$5:$AV$304,"Y",Drain_Register!$F$5:$F$304,K$4)</f>
        <v>0</v>
      </c>
      <c r="L7" s="27" t="n">
        <f aca="false">COUNTIFS(Drain_Register!$C$5:$C$304,$A7,Drain_Register!$AV$5:$AV$304,"Y",Drain_Register!$F$5:$F$304,L$4)</f>
        <v>0</v>
      </c>
    </row>
    <row r="8" customFormat="false" ht="15" hidden="false" customHeight="false" outlineLevel="0" collapsed="false">
      <c r="A8" s="26" t="s">
        <v>173</v>
      </c>
      <c r="B8" s="27" t="n">
        <f aca="false">COUNTIFS(Drain_Register!$C$5:$C$304,$A8,Drain_Register!$AV$5:$AV$304,"Y",Drain_Register!$F$5:$F$304,B$4)</f>
        <v>0</v>
      </c>
      <c r="C8" s="27" t="n">
        <f aca="false">COUNTIFS(Drain_Register!$C$5:$C$304,$A8,Drain_Register!$AV$5:$AV$304,"Y",Drain_Register!$F$5:$F$304,C$4)</f>
        <v>0</v>
      </c>
      <c r="D8" s="27" t="n">
        <f aca="false">COUNTIFS(Drain_Register!$C$5:$C$304,$A8,Drain_Register!$AV$5:$AV$304,"Y",Drain_Register!$F$5:$F$304,D$4)</f>
        <v>0</v>
      </c>
      <c r="E8" s="27" t="n">
        <f aca="false">COUNTIFS(Drain_Register!$C$5:$C$304,$A8,Drain_Register!$AV$5:$AV$304,"Y",Drain_Register!$F$5:$F$304,E$4)</f>
        <v>0</v>
      </c>
      <c r="F8" s="27" t="n">
        <f aca="false">COUNTIFS(Drain_Register!$C$5:$C$304,$A8,Drain_Register!$AV$5:$AV$304,"Y",Drain_Register!$F$5:$F$304,F$4)</f>
        <v>0</v>
      </c>
      <c r="G8" s="27" t="n">
        <f aca="false">COUNTIFS(Drain_Register!$C$5:$C$304,$A8,Drain_Register!$AV$5:$AV$304,"Y",Drain_Register!$F$5:$F$304,G$4)</f>
        <v>0</v>
      </c>
      <c r="H8" s="27" t="n">
        <f aca="false">COUNTIFS(Drain_Register!$C$5:$C$304,$A8,Drain_Register!$AV$5:$AV$304,"Y",Drain_Register!$F$5:$F$304,H$4)</f>
        <v>1</v>
      </c>
      <c r="I8" s="27" t="n">
        <f aca="false">COUNTIFS(Drain_Register!$C$5:$C$304,$A8,Drain_Register!$AV$5:$AV$304,"Y",Drain_Register!$F$5:$F$304,I$4)</f>
        <v>0</v>
      </c>
      <c r="J8" s="27" t="n">
        <f aca="false">COUNTIFS(Drain_Register!$C$5:$C$304,$A8,Drain_Register!$AV$5:$AV$304,"Y",Drain_Register!$F$5:$F$304,J$4)</f>
        <v>0</v>
      </c>
      <c r="K8" s="27" t="n">
        <f aca="false">COUNTIFS(Drain_Register!$C$5:$C$304,$A8,Drain_Register!$AV$5:$AV$304,"Y",Drain_Register!$F$5:$F$304,K$4)</f>
        <v>1</v>
      </c>
      <c r="L8" s="27" t="n">
        <f aca="false">COUNTIFS(Drain_Register!$C$5:$C$304,$A8,Drain_Register!$AV$5:$AV$304,"Y",Drain_Register!$F$5:$F$304,L$4)</f>
        <v>0</v>
      </c>
    </row>
    <row r="9" customFormat="false" ht="15" hidden="false" customHeight="false" outlineLevel="0" collapsed="false">
      <c r="A9" s="26" t="s">
        <v>174</v>
      </c>
      <c r="B9" s="27" t="n">
        <f aca="false">COUNTIFS(Drain_Register!$C$5:$C$304,$A9,Drain_Register!$AV$5:$AV$304,"Y",Drain_Register!$F$5:$F$304,B$4)</f>
        <v>0</v>
      </c>
      <c r="C9" s="27" t="n">
        <f aca="false">COUNTIFS(Drain_Register!$C$5:$C$304,$A9,Drain_Register!$AV$5:$AV$304,"Y",Drain_Register!$F$5:$F$304,C$4)</f>
        <v>0</v>
      </c>
      <c r="D9" s="27" t="n">
        <f aca="false">COUNTIFS(Drain_Register!$C$5:$C$304,$A9,Drain_Register!$AV$5:$AV$304,"Y",Drain_Register!$F$5:$F$304,D$4)</f>
        <v>0</v>
      </c>
      <c r="E9" s="27" t="n">
        <f aca="false">COUNTIFS(Drain_Register!$C$5:$C$304,$A9,Drain_Register!$AV$5:$AV$304,"Y",Drain_Register!$F$5:$F$304,E$4)</f>
        <v>0</v>
      </c>
      <c r="F9" s="27" t="n">
        <f aca="false">COUNTIFS(Drain_Register!$C$5:$C$304,$A9,Drain_Register!$AV$5:$AV$304,"Y",Drain_Register!$F$5:$F$304,F$4)</f>
        <v>0</v>
      </c>
      <c r="G9" s="27" t="n">
        <f aca="false">COUNTIFS(Drain_Register!$C$5:$C$304,$A9,Drain_Register!$AV$5:$AV$304,"Y",Drain_Register!$F$5:$F$304,G$4)</f>
        <v>0</v>
      </c>
      <c r="H9" s="27" t="n">
        <f aca="false">COUNTIFS(Drain_Register!$C$5:$C$304,$A9,Drain_Register!$AV$5:$AV$304,"Y",Drain_Register!$F$5:$F$304,H$4)</f>
        <v>0</v>
      </c>
      <c r="I9" s="27" t="n">
        <f aca="false">COUNTIFS(Drain_Register!$C$5:$C$304,$A9,Drain_Register!$AV$5:$AV$304,"Y",Drain_Register!$F$5:$F$304,I$4)</f>
        <v>0</v>
      </c>
      <c r="J9" s="27" t="n">
        <f aca="false">COUNTIFS(Drain_Register!$C$5:$C$304,$A9,Drain_Register!$AV$5:$AV$304,"Y",Drain_Register!$F$5:$F$304,J$4)</f>
        <v>0</v>
      </c>
      <c r="K9" s="27" t="n">
        <f aca="false">COUNTIFS(Drain_Register!$C$5:$C$304,$A9,Drain_Register!$AV$5:$AV$304,"Y",Drain_Register!$F$5:$F$304,K$4)</f>
        <v>0</v>
      </c>
      <c r="L9" s="27" t="n">
        <f aca="false">COUNTIFS(Drain_Register!$C$5:$C$304,$A9,Drain_Register!$AV$5:$AV$304,"Y",Drain_Register!$F$5:$F$304,L$4)</f>
        <v>0</v>
      </c>
    </row>
    <row r="10" customFormat="false" ht="15" hidden="false" customHeight="false" outlineLevel="0" collapsed="false">
      <c r="A10" s="26" t="s">
        <v>175</v>
      </c>
      <c r="B10" s="27" t="n">
        <f aca="false">COUNTIFS(Drain_Register!$C$5:$C$304,$A10,Drain_Register!$AV$5:$AV$304,"Y",Drain_Register!$F$5:$F$304,B$4)</f>
        <v>0</v>
      </c>
      <c r="C10" s="27" t="n">
        <f aca="false">COUNTIFS(Drain_Register!$C$5:$C$304,$A10,Drain_Register!$AV$5:$AV$304,"Y",Drain_Register!$F$5:$F$304,C$4)</f>
        <v>1</v>
      </c>
      <c r="D10" s="27" t="n">
        <f aca="false">COUNTIFS(Drain_Register!$C$5:$C$304,$A10,Drain_Register!$AV$5:$AV$304,"Y",Drain_Register!$F$5:$F$304,D$4)</f>
        <v>0</v>
      </c>
      <c r="E10" s="27" t="n">
        <f aca="false">COUNTIFS(Drain_Register!$C$5:$C$304,$A10,Drain_Register!$AV$5:$AV$304,"Y",Drain_Register!$F$5:$F$304,E$4)</f>
        <v>0</v>
      </c>
      <c r="F10" s="27" t="n">
        <f aca="false">COUNTIFS(Drain_Register!$C$5:$C$304,$A10,Drain_Register!$AV$5:$AV$304,"Y",Drain_Register!$F$5:$F$304,F$4)</f>
        <v>0</v>
      </c>
      <c r="G10" s="27" t="n">
        <f aca="false">COUNTIFS(Drain_Register!$C$5:$C$304,$A10,Drain_Register!$AV$5:$AV$304,"Y",Drain_Register!$F$5:$F$304,G$4)</f>
        <v>0</v>
      </c>
      <c r="H10" s="27" t="n">
        <f aca="false">COUNTIFS(Drain_Register!$C$5:$C$304,$A10,Drain_Register!$AV$5:$AV$304,"Y",Drain_Register!$F$5:$F$304,H$4)</f>
        <v>0</v>
      </c>
      <c r="I10" s="27" t="n">
        <f aca="false">COUNTIFS(Drain_Register!$C$5:$C$304,$A10,Drain_Register!$AV$5:$AV$304,"Y",Drain_Register!$F$5:$F$304,I$4)</f>
        <v>0</v>
      </c>
      <c r="J10" s="27" t="n">
        <f aca="false">COUNTIFS(Drain_Register!$C$5:$C$304,$A10,Drain_Register!$AV$5:$AV$304,"Y",Drain_Register!$F$5:$F$304,J$4)</f>
        <v>0</v>
      </c>
      <c r="K10" s="27" t="n">
        <f aca="false">COUNTIFS(Drain_Register!$C$5:$C$304,$A10,Drain_Register!$AV$5:$AV$304,"Y",Drain_Register!$F$5:$F$304,K$4)</f>
        <v>0</v>
      </c>
      <c r="L10" s="27" t="n">
        <f aca="false">COUNTIFS(Drain_Register!$C$5:$C$304,$A10,Drain_Register!$AV$5:$AV$304,"Y",Drain_Register!$F$5:$F$304,L$4)</f>
        <v>0</v>
      </c>
    </row>
    <row r="11" customFormat="false" ht="15" hidden="false" customHeight="false" outlineLevel="0" collapsed="false">
      <c r="A11" s="26" t="s">
        <v>176</v>
      </c>
      <c r="B11" s="27" t="n">
        <f aca="false">COUNTIFS(Drain_Register!$C$5:$C$304,$A11,Drain_Register!$AV$5:$AV$304,"Y",Drain_Register!$F$5:$F$304,B$4)</f>
        <v>0</v>
      </c>
      <c r="C11" s="27" t="n">
        <f aca="false">COUNTIFS(Drain_Register!$C$5:$C$304,$A11,Drain_Register!$AV$5:$AV$304,"Y",Drain_Register!$F$5:$F$304,C$4)</f>
        <v>0</v>
      </c>
      <c r="D11" s="27" t="n">
        <f aca="false">COUNTIFS(Drain_Register!$C$5:$C$304,$A11,Drain_Register!$AV$5:$AV$304,"Y",Drain_Register!$F$5:$F$304,D$4)</f>
        <v>0</v>
      </c>
      <c r="E11" s="27" t="n">
        <f aca="false">COUNTIFS(Drain_Register!$C$5:$C$304,$A11,Drain_Register!$AV$5:$AV$304,"Y",Drain_Register!$F$5:$F$304,E$4)</f>
        <v>0</v>
      </c>
      <c r="F11" s="27" t="n">
        <f aca="false">COUNTIFS(Drain_Register!$C$5:$C$304,$A11,Drain_Register!$AV$5:$AV$304,"Y",Drain_Register!$F$5:$F$304,F$4)</f>
        <v>0</v>
      </c>
      <c r="G11" s="27" t="n">
        <f aca="false">COUNTIFS(Drain_Register!$C$5:$C$304,$A11,Drain_Register!$AV$5:$AV$304,"Y",Drain_Register!$F$5:$F$304,G$4)</f>
        <v>0</v>
      </c>
      <c r="H11" s="27" t="n">
        <f aca="false">COUNTIFS(Drain_Register!$C$5:$C$304,$A11,Drain_Register!$AV$5:$AV$304,"Y",Drain_Register!$F$5:$F$304,H$4)</f>
        <v>0</v>
      </c>
      <c r="I11" s="27" t="n">
        <f aca="false">COUNTIFS(Drain_Register!$C$5:$C$304,$A11,Drain_Register!$AV$5:$AV$304,"Y",Drain_Register!$F$5:$F$304,I$4)</f>
        <v>0</v>
      </c>
      <c r="J11" s="27" t="n">
        <f aca="false">COUNTIFS(Drain_Register!$C$5:$C$304,$A11,Drain_Register!$AV$5:$AV$304,"Y",Drain_Register!$F$5:$F$304,J$4)</f>
        <v>0</v>
      </c>
      <c r="K11" s="27" t="n">
        <f aca="false">COUNTIFS(Drain_Register!$C$5:$C$304,$A11,Drain_Register!$AV$5:$AV$304,"Y",Drain_Register!$F$5:$F$304,K$4)</f>
        <v>0</v>
      </c>
      <c r="L11" s="27" t="n">
        <f aca="false">COUNTIFS(Drain_Register!$C$5:$C$304,$A11,Drain_Register!$AV$5:$AV$304,"Y",Drain_Register!$F$5:$F$304,L$4)</f>
        <v>0</v>
      </c>
    </row>
    <row r="12" customFormat="false" ht="15" hidden="false" customHeight="false" outlineLevel="0" collapsed="false">
      <c r="A12" s="26" t="s">
        <v>177</v>
      </c>
      <c r="B12" s="27" t="n">
        <f aca="false">COUNTIFS(Drain_Register!$C$5:$C$304,$A12,Drain_Register!$AV$5:$AV$304,"Y",Drain_Register!$F$5:$F$304,B$4)</f>
        <v>1</v>
      </c>
      <c r="C12" s="27" t="n">
        <f aca="false">COUNTIFS(Drain_Register!$C$5:$C$304,$A12,Drain_Register!$AV$5:$AV$304,"Y",Drain_Register!$F$5:$F$304,C$4)</f>
        <v>0</v>
      </c>
      <c r="D12" s="27" t="n">
        <f aca="false">COUNTIFS(Drain_Register!$C$5:$C$304,$A12,Drain_Register!$AV$5:$AV$304,"Y",Drain_Register!$F$5:$F$304,D$4)</f>
        <v>0</v>
      </c>
      <c r="E12" s="27" t="n">
        <f aca="false">COUNTIFS(Drain_Register!$C$5:$C$304,$A12,Drain_Register!$AV$5:$AV$304,"Y",Drain_Register!$F$5:$F$304,E$4)</f>
        <v>0</v>
      </c>
      <c r="F12" s="27" t="n">
        <f aca="false">COUNTIFS(Drain_Register!$C$5:$C$304,$A12,Drain_Register!$AV$5:$AV$304,"Y",Drain_Register!$F$5:$F$304,F$4)</f>
        <v>0</v>
      </c>
      <c r="G12" s="27" t="n">
        <f aca="false">COUNTIFS(Drain_Register!$C$5:$C$304,$A12,Drain_Register!$AV$5:$AV$304,"Y",Drain_Register!$F$5:$F$304,G$4)</f>
        <v>0</v>
      </c>
      <c r="H12" s="27" t="n">
        <f aca="false">COUNTIFS(Drain_Register!$C$5:$C$304,$A12,Drain_Register!$AV$5:$AV$304,"Y",Drain_Register!$F$5:$F$304,H$4)</f>
        <v>0</v>
      </c>
      <c r="I12" s="27" t="n">
        <f aca="false">COUNTIFS(Drain_Register!$C$5:$C$304,$A12,Drain_Register!$AV$5:$AV$304,"Y",Drain_Register!$F$5:$F$304,I$4)</f>
        <v>0</v>
      </c>
      <c r="J12" s="27" t="n">
        <f aca="false">COUNTIFS(Drain_Register!$C$5:$C$304,$A12,Drain_Register!$AV$5:$AV$304,"Y",Drain_Register!$F$5:$F$304,J$4)</f>
        <v>0</v>
      </c>
      <c r="K12" s="27" t="n">
        <f aca="false">COUNTIFS(Drain_Register!$C$5:$C$304,$A12,Drain_Register!$AV$5:$AV$304,"Y",Drain_Register!$F$5:$F$304,K$4)</f>
        <v>0</v>
      </c>
      <c r="L12" s="27" t="n">
        <f aca="false">COUNTIFS(Drain_Register!$C$5:$C$304,$A12,Drain_Register!$AV$5:$AV$304,"Y",Drain_Register!$F$5:$F$304,L$4)</f>
        <v>0</v>
      </c>
    </row>
    <row r="13" customFormat="false" ht="15" hidden="false" customHeight="false" outlineLevel="0" collapsed="false">
      <c r="A13" s="26" t="s">
        <v>178</v>
      </c>
      <c r="B13" s="27" t="n">
        <f aca="false">COUNTIFS(Drain_Register!$C$5:$C$304,$A13,Drain_Register!$AV$5:$AV$304,"Y",Drain_Register!$F$5:$F$304,B$4)</f>
        <v>0</v>
      </c>
      <c r="C13" s="27" t="n">
        <f aca="false">COUNTIFS(Drain_Register!$C$5:$C$304,$A13,Drain_Register!$AV$5:$AV$304,"Y",Drain_Register!$F$5:$F$304,C$4)</f>
        <v>1</v>
      </c>
      <c r="D13" s="27" t="n">
        <f aca="false">COUNTIFS(Drain_Register!$C$5:$C$304,$A13,Drain_Register!$AV$5:$AV$304,"Y",Drain_Register!$F$5:$F$304,D$4)</f>
        <v>0</v>
      </c>
      <c r="E13" s="27" t="n">
        <f aca="false">COUNTIFS(Drain_Register!$C$5:$C$304,$A13,Drain_Register!$AV$5:$AV$304,"Y",Drain_Register!$F$5:$F$304,E$4)</f>
        <v>0</v>
      </c>
      <c r="F13" s="27" t="n">
        <f aca="false">COUNTIFS(Drain_Register!$C$5:$C$304,$A13,Drain_Register!$AV$5:$AV$304,"Y",Drain_Register!$F$5:$F$304,F$4)</f>
        <v>0</v>
      </c>
      <c r="G13" s="27" t="n">
        <f aca="false">COUNTIFS(Drain_Register!$C$5:$C$304,$A13,Drain_Register!$AV$5:$AV$304,"Y",Drain_Register!$F$5:$F$304,G$4)</f>
        <v>0</v>
      </c>
      <c r="H13" s="27" t="n">
        <f aca="false">COUNTIFS(Drain_Register!$C$5:$C$304,$A13,Drain_Register!$AV$5:$AV$304,"Y",Drain_Register!$F$5:$F$304,H$4)</f>
        <v>0</v>
      </c>
      <c r="I13" s="27" t="n">
        <f aca="false">COUNTIFS(Drain_Register!$C$5:$C$304,$A13,Drain_Register!$AV$5:$AV$304,"Y",Drain_Register!$F$5:$F$304,I$4)</f>
        <v>0</v>
      </c>
      <c r="J13" s="27" t="n">
        <f aca="false">COUNTIFS(Drain_Register!$C$5:$C$304,$A13,Drain_Register!$AV$5:$AV$304,"Y",Drain_Register!$F$5:$F$304,J$4)</f>
        <v>0</v>
      </c>
      <c r="K13" s="27" t="n">
        <f aca="false">COUNTIFS(Drain_Register!$C$5:$C$304,$A13,Drain_Register!$AV$5:$AV$304,"Y",Drain_Register!$F$5:$F$304,K$4)</f>
        <v>0</v>
      </c>
      <c r="L13" s="27" t="n">
        <f aca="false">COUNTIFS(Drain_Register!$C$5:$C$304,$A13,Drain_Register!$AV$5:$AV$304,"Y",Drain_Register!$F$5:$F$304,L$4)</f>
        <v>0</v>
      </c>
    </row>
    <row r="14" customFormat="false" ht="15" hidden="false" customHeight="false" outlineLevel="0" collapsed="false">
      <c r="A14" s="26" t="s">
        <v>179</v>
      </c>
      <c r="B14" s="27" t="n">
        <f aca="false">COUNTIFS(Drain_Register!$C$5:$C$304,$A14,Drain_Register!$AV$5:$AV$304,"Y",Drain_Register!$F$5:$F$304,B$4)</f>
        <v>0</v>
      </c>
      <c r="C14" s="27" t="n">
        <f aca="false">COUNTIFS(Drain_Register!$C$5:$C$304,$A14,Drain_Register!$AV$5:$AV$304,"Y",Drain_Register!$F$5:$F$304,C$4)</f>
        <v>0</v>
      </c>
      <c r="D14" s="27" t="n">
        <f aca="false">COUNTIFS(Drain_Register!$C$5:$C$304,$A14,Drain_Register!$AV$5:$AV$304,"Y",Drain_Register!$F$5:$F$304,D$4)</f>
        <v>0</v>
      </c>
      <c r="E14" s="27" t="n">
        <f aca="false">COUNTIFS(Drain_Register!$C$5:$C$304,$A14,Drain_Register!$AV$5:$AV$304,"Y",Drain_Register!$F$5:$F$304,E$4)</f>
        <v>1</v>
      </c>
      <c r="F14" s="27" t="n">
        <f aca="false">COUNTIFS(Drain_Register!$C$5:$C$304,$A14,Drain_Register!$AV$5:$AV$304,"Y",Drain_Register!$F$5:$F$304,F$4)</f>
        <v>0</v>
      </c>
      <c r="G14" s="27" t="n">
        <f aca="false">COUNTIFS(Drain_Register!$C$5:$C$304,$A14,Drain_Register!$AV$5:$AV$304,"Y",Drain_Register!$F$5:$F$304,G$4)</f>
        <v>0</v>
      </c>
      <c r="H14" s="27" t="n">
        <f aca="false">COUNTIFS(Drain_Register!$C$5:$C$304,$A14,Drain_Register!$AV$5:$AV$304,"Y",Drain_Register!$F$5:$F$304,H$4)</f>
        <v>0</v>
      </c>
      <c r="I14" s="27" t="n">
        <f aca="false">COUNTIFS(Drain_Register!$C$5:$C$304,$A14,Drain_Register!$AV$5:$AV$304,"Y",Drain_Register!$F$5:$F$304,I$4)</f>
        <v>0</v>
      </c>
      <c r="J14" s="27" t="n">
        <f aca="false">COUNTIFS(Drain_Register!$C$5:$C$304,$A14,Drain_Register!$AV$5:$AV$304,"Y",Drain_Register!$F$5:$F$304,J$4)</f>
        <v>0</v>
      </c>
      <c r="K14" s="27" t="n">
        <f aca="false">COUNTIFS(Drain_Register!$C$5:$C$304,$A14,Drain_Register!$AV$5:$AV$304,"Y",Drain_Register!$F$5:$F$304,K$4)</f>
        <v>0</v>
      </c>
      <c r="L14" s="27" t="n">
        <f aca="false">COUNTIFS(Drain_Register!$C$5:$C$304,$A14,Drain_Register!$AV$5:$AV$304,"Y",Drain_Register!$F$5:$F$304,L$4)</f>
        <v>0</v>
      </c>
    </row>
    <row r="15" customFormat="false" ht="15" hidden="false" customHeight="false" outlineLevel="0" collapsed="false">
      <c r="A15" s="26" t="s">
        <v>180</v>
      </c>
      <c r="B15" s="27" t="n">
        <f aca="false">COUNTIFS(Drain_Register!$C$5:$C$304,$A15,Drain_Register!$AV$5:$AV$304,"Y",Drain_Register!$F$5:$F$304,B$4)</f>
        <v>0</v>
      </c>
      <c r="C15" s="27" t="n">
        <f aca="false">COUNTIFS(Drain_Register!$C$5:$C$304,$A15,Drain_Register!$AV$5:$AV$304,"Y",Drain_Register!$F$5:$F$304,C$4)</f>
        <v>0</v>
      </c>
      <c r="D15" s="27" t="n">
        <f aca="false">COUNTIFS(Drain_Register!$C$5:$C$304,$A15,Drain_Register!$AV$5:$AV$304,"Y",Drain_Register!$F$5:$F$304,D$4)</f>
        <v>0</v>
      </c>
      <c r="E15" s="27" t="n">
        <f aca="false">COUNTIFS(Drain_Register!$C$5:$C$304,$A15,Drain_Register!$AV$5:$AV$304,"Y",Drain_Register!$F$5:$F$304,E$4)</f>
        <v>0</v>
      </c>
      <c r="F15" s="27" t="n">
        <f aca="false">COUNTIFS(Drain_Register!$C$5:$C$304,$A15,Drain_Register!$AV$5:$AV$304,"Y",Drain_Register!$F$5:$F$304,F$4)</f>
        <v>0</v>
      </c>
      <c r="G15" s="27" t="n">
        <f aca="false">COUNTIFS(Drain_Register!$C$5:$C$304,$A15,Drain_Register!$AV$5:$AV$304,"Y",Drain_Register!$F$5:$F$304,G$4)</f>
        <v>0</v>
      </c>
      <c r="H15" s="27" t="n">
        <f aca="false">COUNTIFS(Drain_Register!$C$5:$C$304,$A15,Drain_Register!$AV$5:$AV$304,"Y",Drain_Register!$F$5:$F$304,H$4)</f>
        <v>0</v>
      </c>
      <c r="I15" s="27" t="n">
        <f aca="false">COUNTIFS(Drain_Register!$C$5:$C$304,$A15,Drain_Register!$AV$5:$AV$304,"Y",Drain_Register!$F$5:$F$304,I$4)</f>
        <v>0</v>
      </c>
      <c r="J15" s="27" t="n">
        <f aca="false">COUNTIFS(Drain_Register!$C$5:$C$304,$A15,Drain_Register!$AV$5:$AV$304,"Y",Drain_Register!$F$5:$F$304,J$4)</f>
        <v>0</v>
      </c>
      <c r="K15" s="27" t="n">
        <f aca="false">COUNTIFS(Drain_Register!$C$5:$C$304,$A15,Drain_Register!$AV$5:$AV$304,"Y",Drain_Register!$F$5:$F$304,K$4)</f>
        <v>0</v>
      </c>
      <c r="L15" s="27" t="n">
        <f aca="false">COUNTIFS(Drain_Register!$C$5:$C$304,$A15,Drain_Register!$AV$5:$AV$304,"Y",Drain_Register!$F$5:$F$304,L$4)</f>
        <v>0</v>
      </c>
    </row>
    <row r="16" customFormat="false" ht="15" hidden="false" customHeight="false" outlineLevel="0" collapsed="false">
      <c r="A16" s="26" t="s">
        <v>181</v>
      </c>
      <c r="B16" s="27" t="n">
        <f aca="false">COUNTIFS(Drain_Register!$C$5:$C$304,$A16,Drain_Register!$AV$5:$AV$304,"Y",Drain_Register!$F$5:$F$304,B$4)</f>
        <v>0</v>
      </c>
      <c r="C16" s="27" t="n">
        <f aca="false">COUNTIFS(Drain_Register!$C$5:$C$304,$A16,Drain_Register!$AV$5:$AV$304,"Y",Drain_Register!$F$5:$F$304,C$4)</f>
        <v>0</v>
      </c>
      <c r="D16" s="27" t="n">
        <f aca="false">COUNTIFS(Drain_Register!$C$5:$C$304,$A16,Drain_Register!$AV$5:$AV$304,"Y",Drain_Register!$F$5:$F$304,D$4)</f>
        <v>0</v>
      </c>
      <c r="E16" s="27" t="n">
        <f aca="false">COUNTIFS(Drain_Register!$C$5:$C$304,$A16,Drain_Register!$AV$5:$AV$304,"Y",Drain_Register!$F$5:$F$304,E$4)</f>
        <v>0</v>
      </c>
      <c r="F16" s="27" t="n">
        <f aca="false">COUNTIFS(Drain_Register!$C$5:$C$304,$A16,Drain_Register!$AV$5:$AV$304,"Y",Drain_Register!$F$5:$F$304,F$4)</f>
        <v>0</v>
      </c>
      <c r="G16" s="27" t="n">
        <f aca="false">COUNTIFS(Drain_Register!$C$5:$C$304,$A16,Drain_Register!$AV$5:$AV$304,"Y",Drain_Register!$F$5:$F$304,G$4)</f>
        <v>0</v>
      </c>
      <c r="H16" s="27" t="n">
        <f aca="false">COUNTIFS(Drain_Register!$C$5:$C$304,$A16,Drain_Register!$AV$5:$AV$304,"Y",Drain_Register!$F$5:$F$304,H$4)</f>
        <v>0</v>
      </c>
      <c r="I16" s="27" t="n">
        <f aca="false">COUNTIFS(Drain_Register!$C$5:$C$304,$A16,Drain_Register!$AV$5:$AV$304,"Y",Drain_Register!$F$5:$F$304,I$4)</f>
        <v>0</v>
      </c>
      <c r="J16" s="27" t="n">
        <f aca="false">COUNTIFS(Drain_Register!$C$5:$C$304,$A16,Drain_Register!$AV$5:$AV$304,"Y",Drain_Register!$F$5:$F$304,J$4)</f>
        <v>0</v>
      </c>
      <c r="K16" s="27" t="n">
        <f aca="false">COUNTIFS(Drain_Register!$C$5:$C$304,$A16,Drain_Register!$AV$5:$AV$304,"Y",Drain_Register!$F$5:$F$304,K$4)</f>
        <v>0</v>
      </c>
      <c r="L16" s="27" t="n">
        <f aca="false">COUNTIFS(Drain_Register!$C$5:$C$304,$A16,Drain_Register!$AV$5:$AV$304,"Y",Drain_Register!$F$5:$F$304,L$4)</f>
        <v>0</v>
      </c>
    </row>
    <row r="17" customFormat="false" ht="15" hidden="false" customHeight="false" outlineLevel="0" collapsed="false">
      <c r="A17" s="26" t="s">
        <v>182</v>
      </c>
      <c r="B17" s="27" t="n">
        <f aca="false">COUNTIFS(Drain_Register!$C$5:$C$304,$A17,Drain_Register!$AV$5:$AV$304,"Y",Drain_Register!$F$5:$F$304,B$4)</f>
        <v>0</v>
      </c>
      <c r="C17" s="27" t="n">
        <f aca="false">COUNTIFS(Drain_Register!$C$5:$C$304,$A17,Drain_Register!$AV$5:$AV$304,"Y",Drain_Register!$F$5:$F$304,C$4)</f>
        <v>0</v>
      </c>
      <c r="D17" s="27" t="n">
        <f aca="false">COUNTIFS(Drain_Register!$C$5:$C$304,$A17,Drain_Register!$AV$5:$AV$304,"Y",Drain_Register!$F$5:$F$304,D$4)</f>
        <v>0</v>
      </c>
      <c r="E17" s="27" t="n">
        <f aca="false">COUNTIFS(Drain_Register!$C$5:$C$304,$A17,Drain_Register!$AV$5:$AV$304,"Y",Drain_Register!$F$5:$F$304,E$4)</f>
        <v>0</v>
      </c>
      <c r="F17" s="27" t="n">
        <f aca="false">COUNTIFS(Drain_Register!$C$5:$C$304,$A17,Drain_Register!$AV$5:$AV$304,"Y",Drain_Register!$F$5:$F$304,F$4)</f>
        <v>0</v>
      </c>
      <c r="G17" s="27" t="n">
        <f aca="false">COUNTIFS(Drain_Register!$C$5:$C$304,$A17,Drain_Register!$AV$5:$AV$304,"Y",Drain_Register!$F$5:$F$304,G$4)</f>
        <v>0</v>
      </c>
      <c r="H17" s="27" t="n">
        <f aca="false">COUNTIFS(Drain_Register!$C$5:$C$304,$A17,Drain_Register!$AV$5:$AV$304,"Y",Drain_Register!$F$5:$F$304,H$4)</f>
        <v>0</v>
      </c>
      <c r="I17" s="27" t="n">
        <f aca="false">COUNTIFS(Drain_Register!$C$5:$C$304,$A17,Drain_Register!$AV$5:$AV$304,"Y",Drain_Register!$F$5:$F$304,I$4)</f>
        <v>0</v>
      </c>
      <c r="J17" s="27" t="n">
        <f aca="false">COUNTIFS(Drain_Register!$C$5:$C$304,$A17,Drain_Register!$AV$5:$AV$304,"Y",Drain_Register!$F$5:$F$304,J$4)</f>
        <v>0</v>
      </c>
      <c r="K17" s="27" t="n">
        <f aca="false">COUNTIFS(Drain_Register!$C$5:$C$304,$A17,Drain_Register!$AV$5:$AV$304,"Y",Drain_Register!$F$5:$F$304,K$4)</f>
        <v>0</v>
      </c>
      <c r="L17" s="27" t="n">
        <f aca="false">COUNTIFS(Drain_Register!$C$5:$C$304,$A17,Drain_Register!$AV$5:$AV$304,"Y",Drain_Register!$F$5:$F$304,L$4)</f>
        <v>0</v>
      </c>
    </row>
    <row r="19" customFormat="false" ht="15" hidden="false" customHeight="false" outlineLevel="0" collapsed="false">
      <c r="A19" s="22" t="s">
        <v>183</v>
      </c>
    </row>
    <row r="20" customFormat="false" ht="15" hidden="false" customHeight="false" outlineLevel="0" collapsed="false">
      <c r="A20" s="7" t="s">
        <v>57</v>
      </c>
      <c r="B20" s="15" t="s">
        <v>184</v>
      </c>
      <c r="C20" s="15" t="s">
        <v>185</v>
      </c>
      <c r="D20" s="15" t="s">
        <v>186</v>
      </c>
      <c r="E20" s="15" t="s">
        <v>187</v>
      </c>
      <c r="F20" s="15" t="s">
        <v>188</v>
      </c>
      <c r="G20" s="15" t="s">
        <v>189</v>
      </c>
      <c r="H20" s="15" t="s">
        <v>190</v>
      </c>
      <c r="I20" s="15" t="s">
        <v>191</v>
      </c>
      <c r="J20" s="15" t="s">
        <v>192</v>
      </c>
      <c r="K20" s="15" t="s">
        <v>193</v>
      </c>
      <c r="L20" s="15" t="s">
        <v>194</v>
      </c>
    </row>
    <row r="21" customFormat="false" ht="15" hidden="false" customHeight="false" outlineLevel="0" collapsed="false">
      <c r="A21" s="26" t="s">
        <v>58</v>
      </c>
      <c r="B21" s="27" t="n">
        <f aca="false">COUNTIFS(RW_Register!$C$5:$C$304,$A21,RW_Register!$BA$5:$BA$304,"Y",RW_Register!$D$5:$D$304,"&gt;0",RW_Register!$D$5:$D$304,"&lt;=1")</f>
        <v>0</v>
      </c>
      <c r="C21" s="27" t="n">
        <f aca="false">COUNTIFS(RW_Register!$C$5:$C$304,$A21,RW_Register!$BA$5:$BA$304,"Y",RW_Register!$D$5:$D$304,"&gt;1",RW_Register!$D$5:$D$304,"&lt;=1.5")</f>
        <v>1</v>
      </c>
      <c r="D21" s="27" t="n">
        <f aca="false">COUNTIFS(RW_Register!$C$5:$C$304,$A21,RW_Register!$BA$5:$BA$304,"Y",RW_Register!$D$5:$D$304,"&gt;1.5",RW_Register!$D$5:$D$304,"&lt;=2")</f>
        <v>1</v>
      </c>
      <c r="E21" s="27" t="n">
        <f aca="false">COUNTIFS(RW_Register!$C$5:$C$304,$A21,RW_Register!$BA$5:$BA$304,"Y",RW_Register!$D$5:$D$304,"&gt;2",RW_Register!$D$5:$D$304,"&lt;=2.5")</f>
        <v>1</v>
      </c>
      <c r="F21" s="27" t="n">
        <f aca="false">COUNTIFS(RW_Register!$C$5:$C$304,$A21,RW_Register!$BA$5:$BA$304,"Y",RW_Register!$D$5:$D$304,"&gt;2.5",RW_Register!$D$5:$D$304,"&lt;=3")</f>
        <v>2</v>
      </c>
      <c r="G21" s="27" t="n">
        <f aca="false">COUNTIFS(RW_Register!$C$5:$C$304,$A21,RW_Register!$BA$5:$BA$304,"Y",RW_Register!$D$5:$D$304,"&gt;3",RW_Register!$D$5:$D$304,"&lt;=3.5")</f>
        <v>1</v>
      </c>
      <c r="H21" s="27" t="n">
        <f aca="false">COUNTIFS(RW_Register!$C$5:$C$304,$A21,RW_Register!$BA$5:$BA$304,"Y",RW_Register!$D$5:$D$304,"&gt;3.5",RW_Register!$D$5:$D$304,"&lt;=4")</f>
        <v>0</v>
      </c>
      <c r="I21" s="27" t="n">
        <f aca="false">COUNTIFS(RW_Register!$C$5:$C$304,$A21,RW_Register!$BA$5:$BA$304,"Y",RW_Register!$D$5:$D$304,"&gt;4",RW_Register!$D$5:$D$304,"&lt;=4.5")</f>
        <v>0</v>
      </c>
      <c r="J21" s="27" t="n">
        <f aca="false">COUNTIFS(RW_Register!$C$5:$C$304,$A21,RW_Register!$BA$5:$BA$304,"Y",RW_Register!$D$5:$D$304,"&gt;4.5",RW_Register!$D$5:$D$304,"&lt;=5")</f>
        <v>0</v>
      </c>
      <c r="K21" s="27" t="n">
        <f aca="false">COUNTIFS(RW_Register!$C$5:$C$304,$A21,RW_Register!$BA$5:$BA$304,"Y",RW_Register!$D$5:$D$304,"&gt;5",RW_Register!$D$5:$D$304,"&lt;=6")</f>
        <v>0</v>
      </c>
      <c r="L21" s="27" t="n">
        <f aca="false">COUNTIFS(RW_Register!$C$5:$C$304,$A21,RW_Register!$BA$5:$BA$304,"Y",RW_Register!$D$5:$D$304,"&gt;6",RW_Register!$D$5:$D$304,"&lt;=8")</f>
        <v>0</v>
      </c>
    </row>
    <row r="22" customFormat="false" ht="15" hidden="false" customHeight="false" outlineLevel="0" collapsed="false">
      <c r="A22" s="26" t="s">
        <v>195</v>
      </c>
      <c r="B22" s="27" t="n">
        <f aca="false">COUNTIFS(RW_Register!$C$5:$C$304,$A22,RW_Register!$BA$5:$BA$304,"Y",RW_Register!$D$5:$D$304,"&gt;0",RW_Register!$D$5:$D$304,"&lt;=1")</f>
        <v>1</v>
      </c>
      <c r="C22" s="27" t="n">
        <f aca="false">COUNTIFS(RW_Register!$C$5:$C$304,$A22,RW_Register!$BA$5:$BA$304,"Y",RW_Register!$D$5:$D$304,"&gt;1",RW_Register!$D$5:$D$304,"&lt;=1.5")</f>
        <v>0</v>
      </c>
      <c r="D22" s="27" t="n">
        <f aca="false">COUNTIFS(RW_Register!$C$5:$C$304,$A22,RW_Register!$BA$5:$BA$304,"Y",RW_Register!$D$5:$D$304,"&gt;1.5",RW_Register!$D$5:$D$304,"&lt;=2")</f>
        <v>1</v>
      </c>
      <c r="E22" s="27" t="n">
        <f aca="false">COUNTIFS(RW_Register!$C$5:$C$304,$A22,RW_Register!$BA$5:$BA$304,"Y",RW_Register!$D$5:$D$304,"&gt;2",RW_Register!$D$5:$D$304,"&lt;=2.5")</f>
        <v>0</v>
      </c>
      <c r="F22" s="27" t="n">
        <f aca="false">COUNTIFS(RW_Register!$C$5:$C$304,$A22,RW_Register!$BA$5:$BA$304,"Y",RW_Register!$D$5:$D$304,"&gt;2.5",RW_Register!$D$5:$D$304,"&lt;=3")</f>
        <v>0</v>
      </c>
      <c r="G22" s="27" t="n">
        <f aca="false">COUNTIFS(RW_Register!$C$5:$C$304,$A22,RW_Register!$BA$5:$BA$304,"Y",RW_Register!$D$5:$D$304,"&gt;3",RW_Register!$D$5:$D$304,"&lt;=3.5")</f>
        <v>0</v>
      </c>
      <c r="H22" s="27" t="n">
        <f aca="false">COUNTIFS(RW_Register!$C$5:$C$304,$A22,RW_Register!$BA$5:$BA$304,"Y",RW_Register!$D$5:$D$304,"&gt;3.5",RW_Register!$D$5:$D$304,"&lt;=4")</f>
        <v>0</v>
      </c>
      <c r="I22" s="27" t="n">
        <f aca="false">COUNTIFS(RW_Register!$C$5:$C$304,$A22,RW_Register!$BA$5:$BA$304,"Y",RW_Register!$D$5:$D$304,"&gt;4",RW_Register!$D$5:$D$304,"&lt;=4.5")</f>
        <v>0</v>
      </c>
      <c r="J22" s="27" t="n">
        <f aca="false">COUNTIFS(RW_Register!$C$5:$C$304,$A22,RW_Register!$BA$5:$BA$304,"Y",RW_Register!$D$5:$D$304,"&gt;4.5",RW_Register!$D$5:$D$304,"&lt;=5")</f>
        <v>0</v>
      </c>
      <c r="K22" s="27" t="n">
        <f aca="false">COUNTIFS(RW_Register!$C$5:$C$304,$A22,RW_Register!$BA$5:$BA$304,"Y",RW_Register!$D$5:$D$304,"&gt;5",RW_Register!$D$5:$D$304,"&lt;=6")</f>
        <v>0</v>
      </c>
      <c r="L22" s="27" t="n">
        <f aca="false">COUNTIFS(RW_Register!$C$5:$C$304,$A22,RW_Register!$BA$5:$BA$304,"Y",RW_Register!$D$5:$D$304,"&gt;6",RW_Register!$D$5:$D$304,"&lt;=8")</f>
        <v>0</v>
      </c>
    </row>
    <row r="23" customFormat="false" ht="15" hidden="false" customHeight="false" outlineLevel="0" collapsed="false">
      <c r="A23" s="26" t="s">
        <v>196</v>
      </c>
      <c r="B23" s="27" t="n">
        <f aca="false">COUNTIFS(RW_Register!$C$5:$C$304,$A23,RW_Register!$BA$5:$BA$304,"Y",RW_Register!$D$5:$D$304,"&gt;0",RW_Register!$D$5:$D$304,"&lt;=1")</f>
        <v>0</v>
      </c>
      <c r="C23" s="27" t="n">
        <f aca="false">COUNTIFS(RW_Register!$C$5:$C$304,$A23,RW_Register!$BA$5:$BA$304,"Y",RW_Register!$D$5:$D$304,"&gt;1",RW_Register!$D$5:$D$304,"&lt;=1.5")</f>
        <v>1</v>
      </c>
      <c r="D23" s="27" t="n">
        <f aca="false">COUNTIFS(RW_Register!$C$5:$C$304,$A23,RW_Register!$BA$5:$BA$304,"Y",RW_Register!$D$5:$D$304,"&gt;1.5",RW_Register!$D$5:$D$304,"&lt;=2")</f>
        <v>0</v>
      </c>
      <c r="E23" s="27" t="n">
        <f aca="false">COUNTIFS(RW_Register!$C$5:$C$304,$A23,RW_Register!$BA$5:$BA$304,"Y",RW_Register!$D$5:$D$304,"&gt;2",RW_Register!$D$5:$D$304,"&lt;=2.5")</f>
        <v>0</v>
      </c>
      <c r="F23" s="27" t="n">
        <f aca="false">COUNTIFS(RW_Register!$C$5:$C$304,$A23,RW_Register!$BA$5:$BA$304,"Y",RW_Register!$D$5:$D$304,"&gt;2.5",RW_Register!$D$5:$D$304,"&lt;=3")</f>
        <v>0</v>
      </c>
      <c r="G23" s="27" t="n">
        <f aca="false">COUNTIFS(RW_Register!$C$5:$C$304,$A23,RW_Register!$BA$5:$BA$304,"Y",RW_Register!$D$5:$D$304,"&gt;3",RW_Register!$D$5:$D$304,"&lt;=3.5")</f>
        <v>0</v>
      </c>
      <c r="H23" s="27" t="n">
        <f aca="false">COUNTIFS(RW_Register!$C$5:$C$304,$A23,RW_Register!$BA$5:$BA$304,"Y",RW_Register!$D$5:$D$304,"&gt;3.5",RW_Register!$D$5:$D$304,"&lt;=4")</f>
        <v>0</v>
      </c>
      <c r="I23" s="27" t="n">
        <f aca="false">COUNTIFS(RW_Register!$C$5:$C$304,$A23,RW_Register!$BA$5:$BA$304,"Y",RW_Register!$D$5:$D$304,"&gt;4",RW_Register!$D$5:$D$304,"&lt;=4.5")</f>
        <v>0</v>
      </c>
      <c r="J23" s="27" t="n">
        <f aca="false">COUNTIFS(RW_Register!$C$5:$C$304,$A23,RW_Register!$BA$5:$BA$304,"Y",RW_Register!$D$5:$D$304,"&gt;4.5",RW_Register!$D$5:$D$304,"&lt;=5")</f>
        <v>0</v>
      </c>
      <c r="K23" s="27" t="n">
        <f aca="false">COUNTIFS(RW_Register!$C$5:$C$304,$A23,RW_Register!$BA$5:$BA$304,"Y",RW_Register!$D$5:$D$304,"&gt;5",RW_Register!$D$5:$D$304,"&lt;=6")</f>
        <v>0</v>
      </c>
      <c r="L23" s="27" t="n">
        <f aca="false">COUNTIFS(RW_Register!$C$5:$C$304,$A23,RW_Register!$BA$5:$BA$304,"Y",RW_Register!$D$5:$D$304,"&gt;6",RW_Register!$D$5:$D$304,"&lt;=8")</f>
        <v>0</v>
      </c>
    </row>
    <row r="24" customFormat="false" ht="15" hidden="false" customHeight="false" outlineLevel="0" collapsed="false">
      <c r="A24" s="26" t="s">
        <v>197</v>
      </c>
      <c r="B24" s="27" t="n">
        <f aca="false">COUNTIFS(RW_Register!$C$5:$C$304,$A24,RW_Register!$BA$5:$BA$304,"Y",RW_Register!$D$5:$D$304,"&gt;0",RW_Register!$D$5:$D$304,"&lt;=1")</f>
        <v>0</v>
      </c>
      <c r="C24" s="27" t="n">
        <f aca="false">COUNTIFS(RW_Register!$C$5:$C$304,$A24,RW_Register!$BA$5:$BA$304,"Y",RW_Register!$D$5:$D$304,"&gt;1",RW_Register!$D$5:$D$304,"&lt;=1.5")</f>
        <v>0</v>
      </c>
      <c r="D24" s="27" t="n">
        <f aca="false">COUNTIFS(RW_Register!$C$5:$C$304,$A24,RW_Register!$BA$5:$BA$304,"Y",RW_Register!$D$5:$D$304,"&gt;1.5",RW_Register!$D$5:$D$304,"&lt;=2")</f>
        <v>0</v>
      </c>
      <c r="E24" s="27" t="n">
        <f aca="false">COUNTIFS(RW_Register!$C$5:$C$304,$A24,RW_Register!$BA$5:$BA$304,"Y",RW_Register!$D$5:$D$304,"&gt;2",RW_Register!$D$5:$D$304,"&lt;=2.5")</f>
        <v>0</v>
      </c>
      <c r="F24" s="27" t="n">
        <f aca="false">COUNTIFS(RW_Register!$C$5:$C$304,$A24,RW_Register!$BA$5:$BA$304,"Y",RW_Register!$D$5:$D$304,"&gt;2.5",RW_Register!$D$5:$D$304,"&lt;=3")</f>
        <v>0</v>
      </c>
      <c r="G24" s="27" t="n">
        <f aca="false">COUNTIFS(RW_Register!$C$5:$C$304,$A24,RW_Register!$BA$5:$BA$304,"Y",RW_Register!$D$5:$D$304,"&gt;3",RW_Register!$D$5:$D$304,"&lt;=3.5")</f>
        <v>0</v>
      </c>
      <c r="H24" s="27" t="n">
        <f aca="false">COUNTIFS(RW_Register!$C$5:$C$304,$A24,RW_Register!$BA$5:$BA$304,"Y",RW_Register!$D$5:$D$304,"&gt;3.5",RW_Register!$D$5:$D$304,"&lt;=4")</f>
        <v>0</v>
      </c>
      <c r="I24" s="27" t="n">
        <f aca="false">COUNTIFS(RW_Register!$C$5:$C$304,$A24,RW_Register!$BA$5:$BA$304,"Y",RW_Register!$D$5:$D$304,"&gt;4",RW_Register!$D$5:$D$304,"&lt;=4.5")</f>
        <v>0</v>
      </c>
      <c r="J24" s="27" t="n">
        <f aca="false">COUNTIFS(RW_Register!$C$5:$C$304,$A24,RW_Register!$BA$5:$BA$304,"Y",RW_Register!$D$5:$D$304,"&gt;4.5",RW_Register!$D$5:$D$304,"&lt;=5")</f>
        <v>0</v>
      </c>
      <c r="K24" s="27" t="n">
        <f aca="false">COUNTIFS(RW_Register!$C$5:$C$304,$A24,RW_Register!$BA$5:$BA$304,"Y",RW_Register!$D$5:$D$304,"&gt;5",RW_Register!$D$5:$D$304,"&lt;=6")</f>
        <v>0</v>
      </c>
      <c r="L24" s="27" t="n">
        <f aca="false">COUNTIFS(RW_Register!$C$5:$C$304,$A24,RW_Register!$BA$5:$BA$304,"Y",RW_Register!$D$5:$D$304,"&gt;6",RW_Register!$D$5:$D$304,"&lt;=8")</f>
        <v>0</v>
      </c>
    </row>
    <row r="25" customFormat="false" ht="15" hidden="false" customHeight="false" outlineLevel="0" collapsed="false">
      <c r="A25" s="26" t="s">
        <v>198</v>
      </c>
      <c r="B25" s="27" t="n">
        <f aca="false">COUNTIFS(RW_Register!$C$5:$C$304,$A25,RW_Register!$BA$5:$BA$304,"Y",RW_Register!$D$5:$D$304,"&gt;0",RW_Register!$D$5:$D$304,"&lt;=1")</f>
        <v>0</v>
      </c>
      <c r="C25" s="27" t="n">
        <f aca="false">COUNTIFS(RW_Register!$C$5:$C$304,$A25,RW_Register!$BA$5:$BA$304,"Y",RW_Register!$D$5:$D$304,"&gt;1",RW_Register!$D$5:$D$304,"&lt;=1.5")</f>
        <v>1</v>
      </c>
      <c r="D25" s="27" t="n">
        <f aca="false">COUNTIFS(RW_Register!$C$5:$C$304,$A25,RW_Register!$BA$5:$BA$304,"Y",RW_Register!$D$5:$D$304,"&gt;1.5",RW_Register!$D$5:$D$304,"&lt;=2")</f>
        <v>0</v>
      </c>
      <c r="E25" s="27" t="n">
        <f aca="false">COUNTIFS(RW_Register!$C$5:$C$304,$A25,RW_Register!$BA$5:$BA$304,"Y",RW_Register!$D$5:$D$304,"&gt;2",RW_Register!$D$5:$D$304,"&lt;=2.5")</f>
        <v>0</v>
      </c>
      <c r="F25" s="27" t="n">
        <f aca="false">COUNTIFS(RW_Register!$C$5:$C$304,$A25,RW_Register!$BA$5:$BA$304,"Y",RW_Register!$D$5:$D$304,"&gt;2.5",RW_Register!$D$5:$D$304,"&lt;=3")</f>
        <v>0</v>
      </c>
      <c r="G25" s="27" t="n">
        <f aca="false">COUNTIFS(RW_Register!$C$5:$C$304,$A25,RW_Register!$BA$5:$BA$304,"Y",RW_Register!$D$5:$D$304,"&gt;3",RW_Register!$D$5:$D$304,"&lt;=3.5")</f>
        <v>0</v>
      </c>
      <c r="H25" s="27" t="n">
        <f aca="false">COUNTIFS(RW_Register!$C$5:$C$304,$A25,RW_Register!$BA$5:$BA$304,"Y",RW_Register!$D$5:$D$304,"&gt;3.5",RW_Register!$D$5:$D$304,"&lt;=4")</f>
        <v>0</v>
      </c>
      <c r="I25" s="27" t="n">
        <f aca="false">COUNTIFS(RW_Register!$C$5:$C$304,$A25,RW_Register!$BA$5:$BA$304,"Y",RW_Register!$D$5:$D$304,"&gt;4",RW_Register!$D$5:$D$304,"&lt;=4.5")</f>
        <v>0</v>
      </c>
      <c r="J25" s="27" t="n">
        <f aca="false">COUNTIFS(RW_Register!$C$5:$C$304,$A25,RW_Register!$BA$5:$BA$304,"Y",RW_Register!$D$5:$D$304,"&gt;4.5",RW_Register!$D$5:$D$304,"&lt;=5")</f>
        <v>0</v>
      </c>
      <c r="K25" s="27" t="n">
        <f aca="false">COUNTIFS(RW_Register!$C$5:$C$304,$A25,RW_Register!$BA$5:$BA$304,"Y",RW_Register!$D$5:$D$304,"&gt;5",RW_Register!$D$5:$D$304,"&lt;=6")</f>
        <v>0</v>
      </c>
      <c r="L25" s="27" t="n">
        <f aca="false">COUNTIFS(RW_Register!$C$5:$C$304,$A25,RW_Register!$BA$5:$BA$304,"Y",RW_Register!$D$5:$D$304,"&gt;6",RW_Register!$D$5:$D$304,"&lt;=8")</f>
        <v>0</v>
      </c>
    </row>
    <row r="26" customFormat="false" ht="15" hidden="false" customHeight="false" outlineLevel="0" collapsed="false">
      <c r="A26" s="26" t="s">
        <v>199</v>
      </c>
      <c r="B26" s="27" t="n">
        <f aca="false">COUNTIFS(RW_Register!$C$5:$C$304,$A26,RW_Register!$BA$5:$BA$304,"Y",RW_Register!$D$5:$D$304,"&gt;0",RW_Register!$D$5:$D$304,"&lt;=1")</f>
        <v>0</v>
      </c>
      <c r="C26" s="27" t="n">
        <f aca="false">COUNTIFS(RW_Register!$C$5:$C$304,$A26,RW_Register!$BA$5:$BA$304,"Y",RW_Register!$D$5:$D$304,"&gt;1",RW_Register!$D$5:$D$304,"&lt;=1.5")</f>
        <v>0</v>
      </c>
      <c r="D26" s="27" t="n">
        <f aca="false">COUNTIFS(RW_Register!$C$5:$C$304,$A26,RW_Register!$BA$5:$BA$304,"Y",RW_Register!$D$5:$D$304,"&gt;1.5",RW_Register!$D$5:$D$304,"&lt;=2")</f>
        <v>0</v>
      </c>
      <c r="E26" s="27" t="n">
        <f aca="false">COUNTIFS(RW_Register!$C$5:$C$304,$A26,RW_Register!$BA$5:$BA$304,"Y",RW_Register!$D$5:$D$304,"&gt;2",RW_Register!$D$5:$D$304,"&lt;=2.5")</f>
        <v>0</v>
      </c>
      <c r="F26" s="27" t="n">
        <f aca="false">COUNTIFS(RW_Register!$C$5:$C$304,$A26,RW_Register!$BA$5:$BA$304,"Y",RW_Register!$D$5:$D$304,"&gt;2.5",RW_Register!$D$5:$D$304,"&lt;=3")</f>
        <v>0</v>
      </c>
      <c r="G26" s="27" t="n">
        <f aca="false">COUNTIFS(RW_Register!$C$5:$C$304,$A26,RW_Register!$BA$5:$BA$304,"Y",RW_Register!$D$5:$D$304,"&gt;3",RW_Register!$D$5:$D$304,"&lt;=3.5")</f>
        <v>0</v>
      </c>
      <c r="H26" s="27" t="n">
        <f aca="false">COUNTIFS(RW_Register!$C$5:$C$304,$A26,RW_Register!$BA$5:$BA$304,"Y",RW_Register!$D$5:$D$304,"&gt;3.5",RW_Register!$D$5:$D$304,"&lt;=4")</f>
        <v>0</v>
      </c>
      <c r="I26" s="27" t="n">
        <f aca="false">COUNTIFS(RW_Register!$C$5:$C$304,$A26,RW_Register!$BA$5:$BA$304,"Y",RW_Register!$D$5:$D$304,"&gt;4",RW_Register!$D$5:$D$304,"&lt;=4.5")</f>
        <v>0</v>
      </c>
      <c r="J26" s="27" t="n">
        <f aca="false">COUNTIFS(RW_Register!$C$5:$C$304,$A26,RW_Register!$BA$5:$BA$304,"Y",RW_Register!$D$5:$D$304,"&gt;4.5",RW_Register!$D$5:$D$304,"&lt;=5")</f>
        <v>0</v>
      </c>
      <c r="K26" s="27" t="n">
        <f aca="false">COUNTIFS(RW_Register!$C$5:$C$304,$A26,RW_Register!$BA$5:$BA$304,"Y",RW_Register!$D$5:$D$304,"&gt;5",RW_Register!$D$5:$D$304,"&lt;=6")</f>
        <v>0</v>
      </c>
      <c r="L26" s="27" t="n">
        <f aca="false">COUNTIFS(RW_Register!$C$5:$C$304,$A26,RW_Register!$BA$5:$BA$304,"Y",RW_Register!$D$5:$D$304,"&gt;6",RW_Register!$D$5:$D$304,"&lt;=8")</f>
        <v>0</v>
      </c>
    </row>
    <row r="27" customFormat="false" ht="15" hidden="false" customHeight="false" outlineLevel="0" collapsed="false">
      <c r="A27" s="26" t="s">
        <v>200</v>
      </c>
      <c r="B27" s="27" t="n">
        <f aca="false">COUNTIFS(RW_Register!$C$5:$C$304,$A27,RW_Register!$BA$5:$BA$304,"Y",RW_Register!$D$5:$D$304,"&gt;0",RW_Register!$D$5:$D$304,"&lt;=1")</f>
        <v>0</v>
      </c>
      <c r="C27" s="27" t="n">
        <f aca="false">COUNTIFS(RW_Register!$C$5:$C$304,$A27,RW_Register!$BA$5:$BA$304,"Y",RW_Register!$D$5:$D$304,"&gt;1",RW_Register!$D$5:$D$304,"&lt;=1.5")</f>
        <v>0</v>
      </c>
      <c r="D27" s="27" t="n">
        <f aca="false">COUNTIFS(RW_Register!$C$5:$C$304,$A27,RW_Register!$BA$5:$BA$304,"Y",RW_Register!$D$5:$D$304,"&gt;1.5",RW_Register!$D$5:$D$304,"&lt;=2")</f>
        <v>0</v>
      </c>
      <c r="E27" s="27" t="n">
        <f aca="false">COUNTIFS(RW_Register!$C$5:$C$304,$A27,RW_Register!$BA$5:$BA$304,"Y",RW_Register!$D$5:$D$304,"&gt;2",RW_Register!$D$5:$D$304,"&lt;=2.5")</f>
        <v>0</v>
      </c>
      <c r="F27" s="27" t="n">
        <f aca="false">COUNTIFS(RW_Register!$C$5:$C$304,$A27,RW_Register!$BA$5:$BA$304,"Y",RW_Register!$D$5:$D$304,"&gt;2.5",RW_Register!$D$5:$D$304,"&lt;=3")</f>
        <v>0</v>
      </c>
      <c r="G27" s="27" t="n">
        <f aca="false">COUNTIFS(RW_Register!$C$5:$C$304,$A27,RW_Register!$BA$5:$BA$304,"Y",RW_Register!$D$5:$D$304,"&gt;3",RW_Register!$D$5:$D$304,"&lt;=3.5")</f>
        <v>0</v>
      </c>
      <c r="H27" s="27" t="n">
        <f aca="false">COUNTIFS(RW_Register!$C$5:$C$304,$A27,RW_Register!$BA$5:$BA$304,"Y",RW_Register!$D$5:$D$304,"&gt;3.5",RW_Register!$D$5:$D$304,"&lt;=4")</f>
        <v>0</v>
      </c>
      <c r="I27" s="27" t="n">
        <f aca="false">COUNTIFS(RW_Register!$C$5:$C$304,$A27,RW_Register!$BA$5:$BA$304,"Y",RW_Register!$D$5:$D$304,"&gt;4",RW_Register!$D$5:$D$304,"&lt;=4.5")</f>
        <v>0</v>
      </c>
      <c r="J27" s="27" t="n">
        <f aca="false">COUNTIFS(RW_Register!$C$5:$C$304,$A27,RW_Register!$BA$5:$BA$304,"Y",RW_Register!$D$5:$D$304,"&gt;4.5",RW_Register!$D$5:$D$304,"&lt;=5")</f>
        <v>0</v>
      </c>
      <c r="K27" s="27" t="n">
        <f aca="false">COUNTIFS(RW_Register!$C$5:$C$304,$A27,RW_Register!$BA$5:$BA$304,"Y",RW_Register!$D$5:$D$304,"&gt;5",RW_Register!$D$5:$D$304,"&lt;=6")</f>
        <v>0</v>
      </c>
      <c r="L27" s="27" t="n">
        <f aca="false">COUNTIFS(RW_Register!$C$5:$C$304,$A27,RW_Register!$BA$5:$BA$304,"Y",RW_Register!$D$5:$D$304,"&gt;6",RW_Register!$D$5:$D$304,"&lt;=8")</f>
        <v>0</v>
      </c>
    </row>
    <row r="28" customFormat="false" ht="15" hidden="false" customHeight="false" outlineLevel="0" collapsed="false">
      <c r="A28" s="26" t="s">
        <v>201</v>
      </c>
      <c r="B28" s="27" t="n">
        <f aca="false">COUNTIFS(RW_Register!$C$5:$C$304,$A28,RW_Register!$BA$5:$BA$304,"Y",RW_Register!$D$5:$D$304,"&gt;0",RW_Register!$D$5:$D$304,"&lt;=1")</f>
        <v>0</v>
      </c>
      <c r="C28" s="27" t="n">
        <f aca="false">COUNTIFS(RW_Register!$C$5:$C$304,$A28,RW_Register!$BA$5:$BA$304,"Y",RW_Register!$D$5:$D$304,"&gt;1",RW_Register!$D$5:$D$304,"&lt;=1.5")</f>
        <v>0</v>
      </c>
      <c r="D28" s="27" t="n">
        <f aca="false">COUNTIFS(RW_Register!$C$5:$C$304,$A28,RW_Register!$BA$5:$BA$304,"Y",RW_Register!$D$5:$D$304,"&gt;1.5",RW_Register!$D$5:$D$304,"&lt;=2")</f>
        <v>0</v>
      </c>
      <c r="E28" s="27" t="n">
        <f aca="false">COUNTIFS(RW_Register!$C$5:$C$304,$A28,RW_Register!$BA$5:$BA$304,"Y",RW_Register!$D$5:$D$304,"&gt;2",RW_Register!$D$5:$D$304,"&lt;=2.5")</f>
        <v>0</v>
      </c>
      <c r="F28" s="27" t="n">
        <f aca="false">COUNTIFS(RW_Register!$C$5:$C$304,$A28,RW_Register!$BA$5:$BA$304,"Y",RW_Register!$D$5:$D$304,"&gt;2.5",RW_Register!$D$5:$D$304,"&lt;=3")</f>
        <v>0</v>
      </c>
      <c r="G28" s="27" t="n">
        <f aca="false">COUNTIFS(RW_Register!$C$5:$C$304,$A28,RW_Register!$BA$5:$BA$304,"Y",RW_Register!$D$5:$D$304,"&gt;3",RW_Register!$D$5:$D$304,"&lt;=3.5")</f>
        <v>0</v>
      </c>
      <c r="H28" s="27" t="n">
        <f aca="false">COUNTIFS(RW_Register!$C$5:$C$304,$A28,RW_Register!$BA$5:$BA$304,"Y",RW_Register!$D$5:$D$304,"&gt;3.5",RW_Register!$D$5:$D$304,"&lt;=4")</f>
        <v>0</v>
      </c>
      <c r="I28" s="27" t="n">
        <f aca="false">COUNTIFS(RW_Register!$C$5:$C$304,$A28,RW_Register!$BA$5:$BA$304,"Y",RW_Register!$D$5:$D$304,"&gt;4",RW_Register!$D$5:$D$304,"&lt;=4.5")</f>
        <v>0</v>
      </c>
      <c r="J28" s="27" t="n">
        <f aca="false">COUNTIFS(RW_Register!$C$5:$C$304,$A28,RW_Register!$BA$5:$BA$304,"Y",RW_Register!$D$5:$D$304,"&gt;4.5",RW_Register!$D$5:$D$304,"&lt;=5")</f>
        <v>0</v>
      </c>
      <c r="K28" s="27" t="n">
        <f aca="false">COUNTIFS(RW_Register!$C$5:$C$304,$A28,RW_Register!$BA$5:$BA$304,"Y",RW_Register!$D$5:$D$304,"&gt;5",RW_Register!$D$5:$D$304,"&lt;=6")</f>
        <v>0</v>
      </c>
      <c r="L28" s="27" t="n">
        <f aca="false">COUNTIFS(RW_Register!$C$5:$C$304,$A28,RW_Register!$BA$5:$BA$304,"Y",RW_Register!$D$5:$D$304,"&gt;6",RW_Register!$D$5:$D$304,"&lt;=8")</f>
        <v>0</v>
      </c>
    </row>
    <row r="30" customFormat="false" ht="15" hidden="false" customHeight="false" outlineLevel="0" collapsed="false">
      <c r="A30" s="22" t="s">
        <v>202</v>
      </c>
    </row>
    <row r="31" customFormat="false" ht="15" hidden="false" customHeight="false" outlineLevel="0" collapsed="false">
      <c r="A31" s="7" t="s">
        <v>57</v>
      </c>
      <c r="B31" s="15" t="s">
        <v>203</v>
      </c>
      <c r="C31" s="15" t="s">
        <v>204</v>
      </c>
      <c r="D31" s="15" t="s">
        <v>205</v>
      </c>
      <c r="E31" s="15" t="s">
        <v>206</v>
      </c>
      <c r="F31" s="15" t="s">
        <v>207</v>
      </c>
      <c r="G31" s="15" t="s">
        <v>208</v>
      </c>
      <c r="H31" s="15" t="s">
        <v>209</v>
      </c>
      <c r="I31" s="15" t="s">
        <v>210</v>
      </c>
    </row>
    <row r="32" customFormat="false" ht="15" hidden="false" customHeight="false" outlineLevel="0" collapsed="false">
      <c r="A32" s="26" t="s">
        <v>59</v>
      </c>
      <c r="B32" s="27" t="n">
        <f aca="false">COUNTIFS(Embedded_Wall_Register!$C$5:$C$304,$A32,Embedded_Wall_Register!$AX$5:$AX$304,"Y",Embedded_Wall_Register!$E$5:$E$304,"&gt;0",Embedded_Wall_Register!$E$5:$E$304,"&lt;=3")</f>
        <v>1</v>
      </c>
      <c r="C32" s="27" t="n">
        <f aca="false">COUNTIFS(Embedded_Wall_Register!$C$5:$C$304,$A32,Embedded_Wall_Register!$AX$5:$AX$304,"Y",Embedded_Wall_Register!$E$5:$E$304,"&gt;3",Embedded_Wall_Register!$E$5:$E$304,"&lt;=4.5")</f>
        <v>0</v>
      </c>
      <c r="D32" s="27" t="n">
        <f aca="false">COUNTIFS(Embedded_Wall_Register!$C$5:$C$304,$A32,Embedded_Wall_Register!$AX$5:$AX$304,"Y",Embedded_Wall_Register!$E$5:$E$304,"&gt;4.5",Embedded_Wall_Register!$E$5:$E$304,"&lt;=6")</f>
        <v>1</v>
      </c>
      <c r="E32" s="27" t="n">
        <f aca="false">COUNTIFS(Embedded_Wall_Register!$C$5:$C$304,$A32,Embedded_Wall_Register!$AX$5:$AX$304,"Y",Embedded_Wall_Register!$E$5:$E$304,"&gt;6",Embedded_Wall_Register!$E$5:$E$304,"&lt;=9")</f>
        <v>0</v>
      </c>
      <c r="F32" s="27" t="n">
        <f aca="false">COUNTIFS(Embedded_Wall_Register!$C$5:$C$304,$A32,Embedded_Wall_Register!$AX$5:$AX$304,"Y",Embedded_Wall_Register!$E$5:$E$304,"&gt;9",Embedded_Wall_Register!$E$5:$E$304,"&lt;=12")</f>
        <v>0</v>
      </c>
      <c r="G32" s="27" t="n">
        <f aca="false">COUNTIFS(Embedded_Wall_Register!$C$5:$C$304,$A32,Embedded_Wall_Register!$AX$5:$AX$304,"Y",Embedded_Wall_Register!$E$5:$E$304,"&gt;12",Embedded_Wall_Register!$E$5:$E$304,"&lt;=15")</f>
        <v>0</v>
      </c>
      <c r="H32" s="27" t="n">
        <f aca="false">COUNTIFS(Embedded_Wall_Register!$C$5:$C$304,$A32,Embedded_Wall_Register!$AX$5:$AX$304,"Y",Embedded_Wall_Register!$E$5:$E$304,"&gt;15",Embedded_Wall_Register!$E$5:$E$304,"&lt;=20")</f>
        <v>0</v>
      </c>
      <c r="I32" s="27" t="n">
        <f aca="false">COUNTIFS(Embedded_Wall_Register!$C$5:$C$304,$A32,Embedded_Wall_Register!$AX$5:$AX$304,"Y",Embedded_Wall_Register!$E$5:$E$304,"&gt;20",Embedded_Wall_Register!$E$5:$E$304,"&lt;=30")</f>
        <v>0</v>
      </c>
    </row>
    <row r="33" customFormat="false" ht="15" hidden="false" customHeight="false" outlineLevel="0" collapsed="false">
      <c r="A33" s="26" t="s">
        <v>211</v>
      </c>
      <c r="B33" s="27" t="n">
        <f aca="false">COUNTIFS(Embedded_Wall_Register!$C$5:$C$304,$A33,Embedded_Wall_Register!$AX$5:$AX$304,"Y",Embedded_Wall_Register!$E$5:$E$304,"&gt;0",Embedded_Wall_Register!$E$5:$E$304,"&lt;=3")</f>
        <v>0</v>
      </c>
      <c r="C33" s="27" t="n">
        <f aca="false">COUNTIFS(Embedded_Wall_Register!$C$5:$C$304,$A33,Embedded_Wall_Register!$AX$5:$AX$304,"Y",Embedded_Wall_Register!$E$5:$E$304,"&gt;3",Embedded_Wall_Register!$E$5:$E$304,"&lt;=4.5")</f>
        <v>0</v>
      </c>
      <c r="D33" s="27" t="n">
        <f aca="false">COUNTIFS(Embedded_Wall_Register!$C$5:$C$304,$A33,Embedded_Wall_Register!$AX$5:$AX$304,"Y",Embedded_Wall_Register!$E$5:$E$304,"&gt;4.5",Embedded_Wall_Register!$E$5:$E$304,"&lt;=6")</f>
        <v>1</v>
      </c>
      <c r="E33" s="27" t="n">
        <f aca="false">COUNTIFS(Embedded_Wall_Register!$C$5:$C$304,$A33,Embedded_Wall_Register!$AX$5:$AX$304,"Y",Embedded_Wall_Register!$E$5:$E$304,"&gt;6",Embedded_Wall_Register!$E$5:$E$304,"&lt;=9")</f>
        <v>0</v>
      </c>
      <c r="F33" s="27" t="n">
        <f aca="false">COUNTIFS(Embedded_Wall_Register!$C$5:$C$304,$A33,Embedded_Wall_Register!$AX$5:$AX$304,"Y",Embedded_Wall_Register!$E$5:$E$304,"&gt;9",Embedded_Wall_Register!$E$5:$E$304,"&lt;=12")</f>
        <v>0</v>
      </c>
      <c r="G33" s="27" t="n">
        <f aca="false">COUNTIFS(Embedded_Wall_Register!$C$5:$C$304,$A33,Embedded_Wall_Register!$AX$5:$AX$304,"Y",Embedded_Wall_Register!$E$5:$E$304,"&gt;12",Embedded_Wall_Register!$E$5:$E$304,"&lt;=15")</f>
        <v>0</v>
      </c>
      <c r="H33" s="27" t="n">
        <f aca="false">COUNTIFS(Embedded_Wall_Register!$C$5:$C$304,$A33,Embedded_Wall_Register!$AX$5:$AX$304,"Y",Embedded_Wall_Register!$E$5:$E$304,"&gt;15",Embedded_Wall_Register!$E$5:$E$304,"&lt;=20")</f>
        <v>0</v>
      </c>
      <c r="I33" s="27" t="n">
        <f aca="false">COUNTIFS(Embedded_Wall_Register!$C$5:$C$304,$A33,Embedded_Wall_Register!$AX$5:$AX$304,"Y",Embedded_Wall_Register!$E$5:$E$304,"&gt;20",Embedded_Wall_Register!$E$5:$E$304,"&lt;=30")</f>
        <v>0</v>
      </c>
    </row>
    <row r="34" customFormat="false" ht="15" hidden="false" customHeight="false" outlineLevel="0" collapsed="false">
      <c r="A34" s="26" t="s">
        <v>212</v>
      </c>
      <c r="B34" s="27" t="n">
        <f aca="false">COUNTIFS(Embedded_Wall_Register!$C$5:$C$304,$A34,Embedded_Wall_Register!$AX$5:$AX$304,"Y",Embedded_Wall_Register!$E$5:$E$304,"&gt;0",Embedded_Wall_Register!$E$5:$E$304,"&lt;=3")</f>
        <v>0</v>
      </c>
      <c r="C34" s="27" t="n">
        <f aca="false">COUNTIFS(Embedded_Wall_Register!$C$5:$C$304,$A34,Embedded_Wall_Register!$AX$5:$AX$304,"Y",Embedded_Wall_Register!$E$5:$E$304,"&gt;3",Embedded_Wall_Register!$E$5:$E$304,"&lt;=4.5")</f>
        <v>0</v>
      </c>
      <c r="D34" s="27" t="n">
        <f aca="false">COUNTIFS(Embedded_Wall_Register!$C$5:$C$304,$A34,Embedded_Wall_Register!$AX$5:$AX$304,"Y",Embedded_Wall_Register!$E$5:$E$304,"&gt;4.5",Embedded_Wall_Register!$E$5:$E$304,"&lt;=6")</f>
        <v>0</v>
      </c>
      <c r="E34" s="27" t="n">
        <f aca="false">COUNTIFS(Embedded_Wall_Register!$C$5:$C$304,$A34,Embedded_Wall_Register!$AX$5:$AX$304,"Y",Embedded_Wall_Register!$E$5:$E$304,"&gt;6",Embedded_Wall_Register!$E$5:$E$304,"&lt;=9")</f>
        <v>0</v>
      </c>
      <c r="F34" s="27" t="n">
        <f aca="false">COUNTIFS(Embedded_Wall_Register!$C$5:$C$304,$A34,Embedded_Wall_Register!$AX$5:$AX$304,"Y",Embedded_Wall_Register!$E$5:$E$304,"&gt;9",Embedded_Wall_Register!$E$5:$E$304,"&lt;=12")</f>
        <v>0</v>
      </c>
      <c r="G34" s="27" t="n">
        <f aca="false">COUNTIFS(Embedded_Wall_Register!$C$5:$C$304,$A34,Embedded_Wall_Register!$AX$5:$AX$304,"Y",Embedded_Wall_Register!$E$5:$E$304,"&gt;12",Embedded_Wall_Register!$E$5:$E$304,"&lt;=15")</f>
        <v>0</v>
      </c>
      <c r="H34" s="27" t="n">
        <f aca="false">COUNTIFS(Embedded_Wall_Register!$C$5:$C$304,$A34,Embedded_Wall_Register!$AX$5:$AX$304,"Y",Embedded_Wall_Register!$E$5:$E$304,"&gt;15",Embedded_Wall_Register!$E$5:$E$304,"&lt;=20")</f>
        <v>0</v>
      </c>
      <c r="I34" s="27" t="n">
        <f aca="false">COUNTIFS(Embedded_Wall_Register!$C$5:$C$304,$A34,Embedded_Wall_Register!$AX$5:$AX$304,"Y",Embedded_Wall_Register!$E$5:$E$304,"&gt;20",Embedded_Wall_Register!$E$5:$E$304,"&lt;=30")</f>
        <v>0</v>
      </c>
    </row>
    <row r="35" customFormat="false" ht="15" hidden="false" customHeight="false" outlineLevel="0" collapsed="false">
      <c r="A35" s="26" t="s">
        <v>213</v>
      </c>
      <c r="B35" s="27" t="n">
        <f aca="false">COUNTIFS(Embedded_Wall_Register!$C$5:$C$304,$A35,Embedded_Wall_Register!$AX$5:$AX$304,"Y",Embedded_Wall_Register!$E$5:$E$304,"&gt;0",Embedded_Wall_Register!$E$5:$E$304,"&lt;=3")</f>
        <v>0</v>
      </c>
      <c r="C35" s="27" t="n">
        <f aca="false">COUNTIFS(Embedded_Wall_Register!$C$5:$C$304,$A35,Embedded_Wall_Register!$AX$5:$AX$304,"Y",Embedded_Wall_Register!$E$5:$E$304,"&gt;3",Embedded_Wall_Register!$E$5:$E$304,"&lt;=4.5")</f>
        <v>1</v>
      </c>
      <c r="D35" s="27" t="n">
        <f aca="false">COUNTIFS(Embedded_Wall_Register!$C$5:$C$304,$A35,Embedded_Wall_Register!$AX$5:$AX$304,"Y",Embedded_Wall_Register!$E$5:$E$304,"&gt;4.5",Embedded_Wall_Register!$E$5:$E$304,"&lt;=6")</f>
        <v>0</v>
      </c>
      <c r="E35" s="27" t="n">
        <f aca="false">COUNTIFS(Embedded_Wall_Register!$C$5:$C$304,$A35,Embedded_Wall_Register!$AX$5:$AX$304,"Y",Embedded_Wall_Register!$E$5:$E$304,"&gt;6",Embedded_Wall_Register!$E$5:$E$304,"&lt;=9")</f>
        <v>0</v>
      </c>
      <c r="F35" s="27" t="n">
        <f aca="false">COUNTIFS(Embedded_Wall_Register!$C$5:$C$304,$A35,Embedded_Wall_Register!$AX$5:$AX$304,"Y",Embedded_Wall_Register!$E$5:$E$304,"&gt;9",Embedded_Wall_Register!$E$5:$E$304,"&lt;=12")</f>
        <v>0</v>
      </c>
      <c r="G35" s="27" t="n">
        <f aca="false">COUNTIFS(Embedded_Wall_Register!$C$5:$C$304,$A35,Embedded_Wall_Register!$AX$5:$AX$304,"Y",Embedded_Wall_Register!$E$5:$E$304,"&gt;12",Embedded_Wall_Register!$E$5:$E$304,"&lt;=15")</f>
        <v>0</v>
      </c>
      <c r="H35" s="27" t="n">
        <f aca="false">COUNTIFS(Embedded_Wall_Register!$C$5:$C$304,$A35,Embedded_Wall_Register!$AX$5:$AX$304,"Y",Embedded_Wall_Register!$E$5:$E$304,"&gt;15",Embedded_Wall_Register!$E$5:$E$304,"&lt;=20")</f>
        <v>0</v>
      </c>
      <c r="I35" s="27" t="n">
        <f aca="false">COUNTIFS(Embedded_Wall_Register!$C$5:$C$304,$A35,Embedded_Wall_Register!$AX$5:$AX$304,"Y",Embedded_Wall_Register!$E$5:$E$304,"&gt;20",Embedded_Wall_Register!$E$5:$E$304,"&lt;=30")</f>
        <v>0</v>
      </c>
    </row>
    <row r="36" customFormat="false" ht="15" hidden="false" customHeight="false" outlineLevel="0" collapsed="false">
      <c r="A36" s="26" t="s">
        <v>214</v>
      </c>
      <c r="B36" s="27" t="n">
        <f aca="false">COUNTIFS(Embedded_Wall_Register!$C$5:$C$304,$A36,Embedded_Wall_Register!$AX$5:$AX$304,"Y",Embedded_Wall_Register!$E$5:$E$304,"&gt;0",Embedded_Wall_Register!$E$5:$E$304,"&lt;=3")</f>
        <v>0</v>
      </c>
      <c r="C36" s="27" t="n">
        <f aca="false">COUNTIFS(Embedded_Wall_Register!$C$5:$C$304,$A36,Embedded_Wall_Register!$AX$5:$AX$304,"Y",Embedded_Wall_Register!$E$5:$E$304,"&gt;3",Embedded_Wall_Register!$E$5:$E$304,"&lt;=4.5")</f>
        <v>0</v>
      </c>
      <c r="D36" s="27" t="n">
        <f aca="false">COUNTIFS(Embedded_Wall_Register!$C$5:$C$304,$A36,Embedded_Wall_Register!$AX$5:$AX$304,"Y",Embedded_Wall_Register!$E$5:$E$304,"&gt;4.5",Embedded_Wall_Register!$E$5:$E$304,"&lt;=6")</f>
        <v>0</v>
      </c>
      <c r="E36" s="27" t="n">
        <f aca="false">COUNTIFS(Embedded_Wall_Register!$C$5:$C$304,$A36,Embedded_Wall_Register!$AX$5:$AX$304,"Y",Embedded_Wall_Register!$E$5:$E$304,"&gt;6",Embedded_Wall_Register!$E$5:$E$304,"&lt;=9")</f>
        <v>0</v>
      </c>
      <c r="F36" s="27" t="n">
        <f aca="false">COUNTIFS(Embedded_Wall_Register!$C$5:$C$304,$A36,Embedded_Wall_Register!$AX$5:$AX$304,"Y",Embedded_Wall_Register!$E$5:$E$304,"&gt;9",Embedded_Wall_Register!$E$5:$E$304,"&lt;=12")</f>
        <v>0</v>
      </c>
      <c r="G36" s="27" t="n">
        <f aca="false">COUNTIFS(Embedded_Wall_Register!$C$5:$C$304,$A36,Embedded_Wall_Register!$AX$5:$AX$304,"Y",Embedded_Wall_Register!$E$5:$E$304,"&gt;12",Embedded_Wall_Register!$E$5:$E$304,"&lt;=15")</f>
        <v>0</v>
      </c>
      <c r="H36" s="27" t="n">
        <f aca="false">COUNTIFS(Embedded_Wall_Register!$C$5:$C$304,$A36,Embedded_Wall_Register!$AX$5:$AX$304,"Y",Embedded_Wall_Register!$E$5:$E$304,"&gt;15",Embedded_Wall_Register!$E$5:$E$304,"&lt;=20")</f>
        <v>0</v>
      </c>
      <c r="I36" s="27" t="n">
        <f aca="false">COUNTIFS(Embedded_Wall_Register!$C$5:$C$304,$A36,Embedded_Wall_Register!$AX$5:$AX$304,"Y",Embedded_Wall_Register!$E$5:$E$304,"&gt;20",Embedded_Wall_Register!$E$5:$E$304,"&lt;=30")</f>
        <v>0</v>
      </c>
    </row>
    <row r="37" customFormat="false" ht="15" hidden="false" customHeight="false" outlineLevel="0" collapsed="false">
      <c r="A37" s="26" t="s">
        <v>215</v>
      </c>
      <c r="B37" s="27" t="n">
        <f aca="false">COUNTIFS(Embedded_Wall_Register!$C$5:$C$304,$A37,Embedded_Wall_Register!$AX$5:$AX$304,"Y",Embedded_Wall_Register!$E$5:$E$304,"&gt;0",Embedded_Wall_Register!$E$5:$E$304,"&lt;=3")</f>
        <v>0</v>
      </c>
      <c r="C37" s="27" t="n">
        <f aca="false">COUNTIFS(Embedded_Wall_Register!$C$5:$C$304,$A37,Embedded_Wall_Register!$AX$5:$AX$304,"Y",Embedded_Wall_Register!$E$5:$E$304,"&gt;3",Embedded_Wall_Register!$E$5:$E$304,"&lt;=4.5")</f>
        <v>0</v>
      </c>
      <c r="D37" s="27" t="n">
        <f aca="false">COUNTIFS(Embedded_Wall_Register!$C$5:$C$304,$A37,Embedded_Wall_Register!$AX$5:$AX$304,"Y",Embedded_Wall_Register!$E$5:$E$304,"&gt;4.5",Embedded_Wall_Register!$E$5:$E$304,"&lt;=6")</f>
        <v>0</v>
      </c>
      <c r="E37" s="27" t="n">
        <f aca="false">COUNTIFS(Embedded_Wall_Register!$C$5:$C$304,$A37,Embedded_Wall_Register!$AX$5:$AX$304,"Y",Embedded_Wall_Register!$E$5:$E$304,"&gt;6",Embedded_Wall_Register!$E$5:$E$304,"&lt;=9")</f>
        <v>0</v>
      </c>
      <c r="F37" s="27" t="n">
        <f aca="false">COUNTIFS(Embedded_Wall_Register!$C$5:$C$304,$A37,Embedded_Wall_Register!$AX$5:$AX$304,"Y",Embedded_Wall_Register!$E$5:$E$304,"&gt;9",Embedded_Wall_Register!$E$5:$E$304,"&lt;=12")</f>
        <v>0</v>
      </c>
      <c r="G37" s="27" t="n">
        <f aca="false">COUNTIFS(Embedded_Wall_Register!$C$5:$C$304,$A37,Embedded_Wall_Register!$AX$5:$AX$304,"Y",Embedded_Wall_Register!$E$5:$E$304,"&gt;12",Embedded_Wall_Register!$E$5:$E$304,"&lt;=15")</f>
        <v>0</v>
      </c>
      <c r="H37" s="27" t="n">
        <f aca="false">COUNTIFS(Embedded_Wall_Register!$C$5:$C$304,$A37,Embedded_Wall_Register!$AX$5:$AX$304,"Y",Embedded_Wall_Register!$E$5:$E$304,"&gt;15",Embedded_Wall_Register!$E$5:$E$304,"&lt;=20")</f>
        <v>0</v>
      </c>
      <c r="I37" s="27" t="n">
        <f aca="false">COUNTIFS(Embedded_Wall_Register!$C$5:$C$304,$A37,Embedded_Wall_Register!$AX$5:$AX$304,"Y",Embedded_Wall_Register!$E$5:$E$304,"&gt;20",Embedded_Wall_Register!$E$5:$E$304,"&lt;=30")</f>
        <v>0</v>
      </c>
    </row>
    <row r="38" customFormat="false" ht="15" hidden="false" customHeight="false" outlineLevel="0" collapsed="false">
      <c r="A38" s="26" t="s">
        <v>216</v>
      </c>
      <c r="B38" s="27" t="n">
        <f aca="false">COUNTIFS(Embedded_Wall_Register!$C$5:$C$304,$A38,Embedded_Wall_Register!$AX$5:$AX$304,"Y",Embedded_Wall_Register!$E$5:$E$304,"&gt;0",Embedded_Wall_Register!$E$5:$E$304,"&lt;=3")</f>
        <v>0</v>
      </c>
      <c r="C38" s="27" t="n">
        <f aca="false">COUNTIFS(Embedded_Wall_Register!$C$5:$C$304,$A38,Embedded_Wall_Register!$AX$5:$AX$304,"Y",Embedded_Wall_Register!$E$5:$E$304,"&gt;3",Embedded_Wall_Register!$E$5:$E$304,"&lt;=4.5")</f>
        <v>0</v>
      </c>
      <c r="D38" s="27" t="n">
        <f aca="false">COUNTIFS(Embedded_Wall_Register!$C$5:$C$304,$A38,Embedded_Wall_Register!$AX$5:$AX$304,"Y",Embedded_Wall_Register!$E$5:$E$304,"&gt;4.5",Embedded_Wall_Register!$E$5:$E$304,"&lt;=6")</f>
        <v>0</v>
      </c>
      <c r="E38" s="27" t="n">
        <f aca="false">COUNTIFS(Embedded_Wall_Register!$C$5:$C$304,$A38,Embedded_Wall_Register!$AX$5:$AX$304,"Y",Embedded_Wall_Register!$E$5:$E$304,"&gt;6",Embedded_Wall_Register!$E$5:$E$304,"&lt;=9")</f>
        <v>0</v>
      </c>
      <c r="F38" s="27" t="n">
        <f aca="false">COUNTIFS(Embedded_Wall_Register!$C$5:$C$304,$A38,Embedded_Wall_Register!$AX$5:$AX$304,"Y",Embedded_Wall_Register!$E$5:$E$304,"&gt;9",Embedded_Wall_Register!$E$5:$E$304,"&lt;=12")</f>
        <v>0</v>
      </c>
      <c r="G38" s="27" t="n">
        <f aca="false">COUNTIFS(Embedded_Wall_Register!$C$5:$C$304,$A38,Embedded_Wall_Register!$AX$5:$AX$304,"Y",Embedded_Wall_Register!$E$5:$E$304,"&gt;12",Embedded_Wall_Register!$E$5:$E$304,"&lt;=15")</f>
        <v>0</v>
      </c>
      <c r="H38" s="27" t="n">
        <f aca="false">COUNTIFS(Embedded_Wall_Register!$C$5:$C$304,$A38,Embedded_Wall_Register!$AX$5:$AX$304,"Y",Embedded_Wall_Register!$E$5:$E$304,"&gt;15",Embedded_Wall_Register!$E$5:$E$304,"&lt;=20")</f>
        <v>0</v>
      </c>
      <c r="I38" s="27" t="n">
        <f aca="false">COUNTIFS(Embedded_Wall_Register!$C$5:$C$304,$A38,Embedded_Wall_Register!$AX$5:$AX$304,"Y",Embedded_Wall_Register!$E$5:$E$304,"&gt;20",Embedded_Wall_Register!$E$5:$E$304,"&lt;=30")</f>
        <v>0</v>
      </c>
    </row>
    <row r="39" customFormat="false" ht="15" hidden="false" customHeight="false" outlineLevel="0" collapsed="false">
      <c r="A39" s="26" t="s">
        <v>217</v>
      </c>
      <c r="B39" s="27" t="n">
        <f aca="false">COUNTIFS(Embedded_Wall_Register!$C$5:$C$304,$A39,Embedded_Wall_Register!$AX$5:$AX$304,"Y",Embedded_Wall_Register!$E$5:$E$304,"&gt;0",Embedded_Wall_Register!$E$5:$E$304,"&lt;=3")</f>
        <v>0</v>
      </c>
      <c r="C39" s="27" t="n">
        <f aca="false">COUNTIFS(Embedded_Wall_Register!$C$5:$C$304,$A39,Embedded_Wall_Register!$AX$5:$AX$304,"Y",Embedded_Wall_Register!$E$5:$E$304,"&gt;3",Embedded_Wall_Register!$E$5:$E$304,"&lt;=4.5")</f>
        <v>0</v>
      </c>
      <c r="D39" s="27" t="n">
        <f aca="false">COUNTIFS(Embedded_Wall_Register!$C$5:$C$304,$A39,Embedded_Wall_Register!$AX$5:$AX$304,"Y",Embedded_Wall_Register!$E$5:$E$304,"&gt;4.5",Embedded_Wall_Register!$E$5:$E$304,"&lt;=6")</f>
        <v>0</v>
      </c>
      <c r="E39" s="27" t="n">
        <f aca="false">COUNTIFS(Embedded_Wall_Register!$C$5:$C$304,$A39,Embedded_Wall_Register!$AX$5:$AX$304,"Y",Embedded_Wall_Register!$E$5:$E$304,"&gt;6",Embedded_Wall_Register!$E$5:$E$304,"&lt;=9")</f>
        <v>0</v>
      </c>
      <c r="F39" s="27" t="n">
        <f aca="false">COUNTIFS(Embedded_Wall_Register!$C$5:$C$304,$A39,Embedded_Wall_Register!$AX$5:$AX$304,"Y",Embedded_Wall_Register!$E$5:$E$304,"&gt;9",Embedded_Wall_Register!$E$5:$E$304,"&lt;=12")</f>
        <v>0</v>
      </c>
      <c r="G39" s="27" t="n">
        <f aca="false">COUNTIFS(Embedded_Wall_Register!$C$5:$C$304,$A39,Embedded_Wall_Register!$AX$5:$AX$304,"Y",Embedded_Wall_Register!$E$5:$E$304,"&gt;12",Embedded_Wall_Register!$E$5:$E$304,"&lt;=15")</f>
        <v>0</v>
      </c>
      <c r="H39" s="27" t="n">
        <f aca="false">COUNTIFS(Embedded_Wall_Register!$C$5:$C$304,$A39,Embedded_Wall_Register!$AX$5:$AX$304,"Y",Embedded_Wall_Register!$E$5:$E$304,"&gt;15",Embedded_Wall_Register!$E$5:$E$304,"&lt;=20")</f>
        <v>0</v>
      </c>
      <c r="I39" s="27" t="n">
        <f aca="false">COUNTIFS(Embedded_Wall_Register!$C$5:$C$304,$A39,Embedded_Wall_Register!$AX$5:$AX$304,"Y",Embedded_Wall_Register!$E$5:$E$304,"&gt;20",Embedded_Wall_Register!$E$5:$E$304,"&lt;=30")</f>
        <v>0</v>
      </c>
    </row>
    <row r="41" customFormat="false" ht="15" hidden="false" customHeight="false" outlineLevel="0" collapsed="false">
      <c r="A41" s="22" t="s">
        <v>218</v>
      </c>
    </row>
    <row r="42" customFormat="false" ht="15" hidden="false" customHeight="false" outlineLevel="0" collapsed="false">
      <c r="A42" s="7" t="s">
        <v>60</v>
      </c>
      <c r="B42" s="15" t="s">
        <v>203</v>
      </c>
      <c r="C42" s="15" t="s">
        <v>204</v>
      </c>
      <c r="D42" s="15" t="s">
        <v>205</v>
      </c>
      <c r="E42" s="15" t="s">
        <v>194</v>
      </c>
      <c r="F42" s="15" t="s">
        <v>219</v>
      </c>
      <c r="G42" s="15" t="s">
        <v>220</v>
      </c>
    </row>
    <row r="43" customFormat="false" ht="15" hidden="false" customHeight="false" outlineLevel="0" collapsed="false">
      <c r="A43" s="26" t="s">
        <v>61</v>
      </c>
      <c r="B43" s="27" t="n">
        <f aca="false">COUNTIFS(Manhole_Register!$C$5:$C$304,$A43,Manhole_Register!$AZ$5:$AZ$304,"Y",Manhole_Register!$I$5:$I$304,"&gt;0",Manhole_Register!$I$5:$I$304,"&lt;=3")</f>
        <v>1</v>
      </c>
      <c r="C43" s="27" t="n">
        <f aca="false">COUNTIFS(Manhole_Register!$C$5:$C$304,$A43,Manhole_Register!$AZ$5:$AZ$304,"Y",Manhole_Register!$I$5:$I$304,"&gt;3",Manhole_Register!$I$5:$I$304,"&lt;=4.5")</f>
        <v>0</v>
      </c>
      <c r="D43" s="27" t="n">
        <f aca="false">COUNTIFS(Manhole_Register!$C$5:$C$304,$A43,Manhole_Register!$AZ$5:$AZ$304,"Y",Manhole_Register!$I$5:$I$304,"&gt;4.5",Manhole_Register!$I$5:$I$304,"&lt;=6")</f>
        <v>1</v>
      </c>
      <c r="E43" s="27" t="n">
        <f aca="false">COUNTIFS(Manhole_Register!$C$5:$C$304,$A43,Manhole_Register!$AZ$5:$AZ$304,"Y",Manhole_Register!$I$5:$I$304,"&gt;6",Manhole_Register!$I$5:$I$304,"&lt;=8")</f>
        <v>0</v>
      </c>
      <c r="F43" s="27" t="n">
        <f aca="false">COUNTIFS(Manhole_Register!$C$5:$C$304,$A43,Manhole_Register!$AZ$5:$AZ$304,"Y",Manhole_Register!$I$5:$I$304,"&gt;8",Manhole_Register!$I$5:$I$304,"&lt;=10")</f>
        <v>0</v>
      </c>
      <c r="G43" s="27" t="n">
        <f aca="false">COUNTIFS(Manhole_Register!$C$5:$C$304,$A43,Manhole_Register!$AZ$5:$AZ$304,"Y",Manhole_Register!$I$5:$I$304,"&gt;10",Manhole_Register!$I$5:$I$304,"&lt;=15")</f>
        <v>0</v>
      </c>
    </row>
    <row r="44" customFormat="false" ht="15" hidden="false" customHeight="false" outlineLevel="0" collapsed="false">
      <c r="A44" s="26" t="s">
        <v>221</v>
      </c>
      <c r="B44" s="27" t="n">
        <f aca="false">COUNTIFS(Manhole_Register!$C$5:$C$304,$A44,Manhole_Register!$AZ$5:$AZ$304,"Y",Manhole_Register!$I$5:$I$304,"&gt;0",Manhole_Register!$I$5:$I$304,"&lt;=3")</f>
        <v>0</v>
      </c>
      <c r="C44" s="27" t="n">
        <f aca="false">COUNTIFS(Manhole_Register!$C$5:$C$304,$A44,Manhole_Register!$AZ$5:$AZ$304,"Y",Manhole_Register!$I$5:$I$304,"&gt;3",Manhole_Register!$I$5:$I$304,"&lt;=4.5")</f>
        <v>0</v>
      </c>
      <c r="D44" s="27" t="n">
        <f aca="false">COUNTIFS(Manhole_Register!$C$5:$C$304,$A44,Manhole_Register!$AZ$5:$AZ$304,"Y",Manhole_Register!$I$5:$I$304,"&gt;4.5",Manhole_Register!$I$5:$I$304,"&lt;=6")</f>
        <v>1</v>
      </c>
      <c r="E44" s="27" t="n">
        <f aca="false">COUNTIFS(Manhole_Register!$C$5:$C$304,$A44,Manhole_Register!$AZ$5:$AZ$304,"Y",Manhole_Register!$I$5:$I$304,"&gt;6",Manhole_Register!$I$5:$I$304,"&lt;=8")</f>
        <v>0</v>
      </c>
      <c r="F44" s="27" t="n">
        <f aca="false">COUNTIFS(Manhole_Register!$C$5:$C$304,$A44,Manhole_Register!$AZ$5:$AZ$304,"Y",Manhole_Register!$I$5:$I$304,"&gt;8",Manhole_Register!$I$5:$I$304,"&lt;=10")</f>
        <v>0</v>
      </c>
      <c r="G44" s="27" t="n">
        <f aca="false">COUNTIFS(Manhole_Register!$C$5:$C$304,$A44,Manhole_Register!$AZ$5:$AZ$304,"Y",Manhole_Register!$I$5:$I$304,"&gt;10",Manhole_Register!$I$5:$I$304,"&lt;=15")</f>
        <v>0</v>
      </c>
    </row>
    <row r="45" customFormat="false" ht="15" hidden="false" customHeight="false" outlineLevel="0" collapsed="false">
      <c r="A45" s="26" t="s">
        <v>222</v>
      </c>
      <c r="B45" s="27" t="n">
        <f aca="false">COUNTIFS(Manhole_Register!$C$5:$C$304,$A45,Manhole_Register!$AZ$5:$AZ$304,"Y",Manhole_Register!$I$5:$I$304,"&gt;0",Manhole_Register!$I$5:$I$304,"&lt;=3")</f>
        <v>0</v>
      </c>
      <c r="C45" s="27" t="n">
        <f aca="false">COUNTIFS(Manhole_Register!$C$5:$C$304,$A45,Manhole_Register!$AZ$5:$AZ$304,"Y",Manhole_Register!$I$5:$I$304,"&gt;3",Manhole_Register!$I$5:$I$304,"&lt;=4.5")</f>
        <v>0</v>
      </c>
      <c r="D45" s="27" t="n">
        <f aca="false">COUNTIFS(Manhole_Register!$C$5:$C$304,$A45,Manhole_Register!$AZ$5:$AZ$304,"Y",Manhole_Register!$I$5:$I$304,"&gt;4.5",Manhole_Register!$I$5:$I$304,"&lt;=6")</f>
        <v>0</v>
      </c>
      <c r="E45" s="27" t="n">
        <f aca="false">COUNTIFS(Manhole_Register!$C$5:$C$304,$A45,Manhole_Register!$AZ$5:$AZ$304,"Y",Manhole_Register!$I$5:$I$304,"&gt;6",Manhole_Register!$I$5:$I$304,"&lt;=8")</f>
        <v>0</v>
      </c>
      <c r="F45" s="27" t="n">
        <f aca="false">COUNTIFS(Manhole_Register!$C$5:$C$304,$A45,Manhole_Register!$AZ$5:$AZ$304,"Y",Manhole_Register!$I$5:$I$304,"&gt;8",Manhole_Register!$I$5:$I$304,"&lt;=10")</f>
        <v>0</v>
      </c>
      <c r="G45" s="27" t="n">
        <f aca="false">COUNTIFS(Manhole_Register!$C$5:$C$304,$A45,Manhole_Register!$AZ$5:$AZ$304,"Y",Manhole_Register!$I$5:$I$304,"&gt;10",Manhole_Register!$I$5:$I$304,"&lt;=15")</f>
        <v>0</v>
      </c>
    </row>
    <row r="46" customFormat="false" ht="15" hidden="false" customHeight="false" outlineLevel="0" collapsed="false">
      <c r="A46" s="26" t="s">
        <v>223</v>
      </c>
      <c r="B46" s="27" t="n">
        <f aca="false">COUNTIFS(Manhole_Register!$C$5:$C$304,$A46,Manhole_Register!$AZ$5:$AZ$304,"Y",Manhole_Register!$I$5:$I$304,"&gt;0",Manhole_Register!$I$5:$I$304,"&lt;=3")</f>
        <v>0</v>
      </c>
      <c r="C46" s="27" t="n">
        <f aca="false">COUNTIFS(Manhole_Register!$C$5:$C$304,$A46,Manhole_Register!$AZ$5:$AZ$304,"Y",Manhole_Register!$I$5:$I$304,"&gt;3",Manhole_Register!$I$5:$I$304,"&lt;=4.5")</f>
        <v>0</v>
      </c>
      <c r="D46" s="27" t="n">
        <f aca="false">COUNTIFS(Manhole_Register!$C$5:$C$304,$A46,Manhole_Register!$AZ$5:$AZ$304,"Y",Manhole_Register!$I$5:$I$304,"&gt;4.5",Manhole_Register!$I$5:$I$304,"&lt;=6")</f>
        <v>0</v>
      </c>
      <c r="E46" s="27" t="n">
        <f aca="false">COUNTIFS(Manhole_Register!$C$5:$C$304,$A46,Manhole_Register!$AZ$5:$AZ$304,"Y",Manhole_Register!$I$5:$I$304,"&gt;6",Manhole_Register!$I$5:$I$304,"&lt;=8")</f>
        <v>0</v>
      </c>
      <c r="F46" s="27" t="n">
        <f aca="false">COUNTIFS(Manhole_Register!$C$5:$C$304,$A46,Manhole_Register!$AZ$5:$AZ$304,"Y",Manhole_Register!$I$5:$I$304,"&gt;8",Manhole_Register!$I$5:$I$304,"&lt;=10")</f>
        <v>0</v>
      </c>
      <c r="G46" s="27" t="n">
        <f aca="false">COUNTIFS(Manhole_Register!$C$5:$C$304,$A46,Manhole_Register!$AZ$5:$AZ$304,"Y",Manhole_Register!$I$5:$I$304,"&gt;10",Manhole_Register!$I$5:$I$304,"&lt;=15")</f>
        <v>0</v>
      </c>
    </row>
    <row r="47" customFormat="false" ht="15" hidden="false" customHeight="false" outlineLevel="0" collapsed="false">
      <c r="A47" s="26" t="s">
        <v>224</v>
      </c>
      <c r="B47" s="27" t="n">
        <f aca="false">COUNTIFS(Manhole_Register!$C$5:$C$304,$A47,Manhole_Register!$AZ$5:$AZ$304,"Y",Manhole_Register!$I$5:$I$304,"&gt;0",Manhole_Register!$I$5:$I$304,"&lt;=3")</f>
        <v>0</v>
      </c>
      <c r="C47" s="27" t="n">
        <f aca="false">COUNTIFS(Manhole_Register!$C$5:$C$304,$A47,Manhole_Register!$AZ$5:$AZ$304,"Y",Manhole_Register!$I$5:$I$304,"&gt;3",Manhole_Register!$I$5:$I$304,"&lt;=4.5")</f>
        <v>0</v>
      </c>
      <c r="D47" s="27" t="n">
        <f aca="false">COUNTIFS(Manhole_Register!$C$5:$C$304,$A47,Manhole_Register!$AZ$5:$AZ$304,"Y",Manhole_Register!$I$5:$I$304,"&gt;4.5",Manhole_Register!$I$5:$I$304,"&lt;=6")</f>
        <v>0</v>
      </c>
      <c r="E47" s="27" t="n">
        <f aca="false">COUNTIFS(Manhole_Register!$C$5:$C$304,$A47,Manhole_Register!$AZ$5:$AZ$304,"Y",Manhole_Register!$I$5:$I$304,"&gt;6",Manhole_Register!$I$5:$I$304,"&lt;=8")</f>
        <v>0</v>
      </c>
      <c r="F47" s="27" t="n">
        <f aca="false">COUNTIFS(Manhole_Register!$C$5:$C$304,$A47,Manhole_Register!$AZ$5:$AZ$304,"Y",Manhole_Register!$I$5:$I$304,"&gt;8",Manhole_Register!$I$5:$I$304,"&lt;=10")</f>
        <v>0</v>
      </c>
      <c r="G47" s="27" t="n">
        <f aca="false">COUNTIFS(Manhole_Register!$C$5:$C$304,$A47,Manhole_Register!$AZ$5:$AZ$304,"Y",Manhole_Register!$I$5:$I$304,"&gt;10",Manhole_Register!$I$5:$I$304,"&lt;=15")</f>
        <v>0</v>
      </c>
    </row>
    <row r="48" customFormat="false" ht="15" hidden="false" customHeight="false" outlineLevel="0" collapsed="false">
      <c r="A48" s="26" t="s">
        <v>225</v>
      </c>
      <c r="B48" s="27" t="n">
        <f aca="false">COUNTIFS(Manhole_Register!$C$5:$C$304,$A48,Manhole_Register!$AZ$5:$AZ$304,"Y",Manhole_Register!$I$5:$I$304,"&gt;0",Manhole_Register!$I$5:$I$304,"&lt;=3")</f>
        <v>0</v>
      </c>
      <c r="C48" s="27" t="n">
        <f aca="false">COUNTIFS(Manhole_Register!$C$5:$C$304,$A48,Manhole_Register!$AZ$5:$AZ$304,"Y",Manhole_Register!$I$5:$I$304,"&gt;3",Manhole_Register!$I$5:$I$304,"&lt;=4.5")</f>
        <v>0</v>
      </c>
      <c r="D48" s="27" t="n">
        <f aca="false">COUNTIFS(Manhole_Register!$C$5:$C$304,$A48,Manhole_Register!$AZ$5:$AZ$304,"Y",Manhole_Register!$I$5:$I$304,"&gt;4.5",Manhole_Register!$I$5:$I$304,"&lt;=6")</f>
        <v>0</v>
      </c>
      <c r="E48" s="27" t="n">
        <f aca="false">COUNTIFS(Manhole_Register!$C$5:$C$304,$A48,Manhole_Register!$AZ$5:$AZ$304,"Y",Manhole_Register!$I$5:$I$304,"&gt;6",Manhole_Register!$I$5:$I$304,"&lt;=8")</f>
        <v>0</v>
      </c>
      <c r="F48" s="27" t="n">
        <f aca="false">COUNTIFS(Manhole_Register!$C$5:$C$304,$A48,Manhole_Register!$AZ$5:$AZ$304,"Y",Manhole_Register!$I$5:$I$304,"&gt;8",Manhole_Register!$I$5:$I$304,"&lt;=10")</f>
        <v>0</v>
      </c>
      <c r="G48" s="27" t="n">
        <f aca="false">COUNTIFS(Manhole_Register!$C$5:$C$304,$A48,Manhole_Register!$AZ$5:$AZ$304,"Y",Manhole_Register!$I$5:$I$304,"&gt;10",Manhole_Register!$I$5:$I$304,"&lt;=15")</f>
        <v>0</v>
      </c>
    </row>
    <row r="50" customFormat="false" ht="15" hidden="false" customHeight="false" outlineLevel="0" collapsed="false">
      <c r="A50" s="22" t="s">
        <v>226</v>
      </c>
    </row>
    <row r="51" customFormat="false" ht="15" hidden="false" customHeight="false" outlineLevel="0" collapsed="false">
      <c r="A51" s="7" t="s">
        <v>227</v>
      </c>
      <c r="B51" s="15" t="s">
        <v>228</v>
      </c>
      <c r="C51" s="15" t="s">
        <v>229</v>
      </c>
      <c r="D51" s="15" t="s">
        <v>230</v>
      </c>
      <c r="E51" s="15" t="s">
        <v>231</v>
      </c>
      <c r="F51" s="15" t="s">
        <v>194</v>
      </c>
      <c r="G51" s="15" t="s">
        <v>219</v>
      </c>
      <c r="H51" s="15" t="s">
        <v>220</v>
      </c>
    </row>
    <row r="52" customFormat="false" ht="15" hidden="false" customHeight="false" outlineLevel="0" collapsed="false">
      <c r="A52" s="26" t="s">
        <v>232</v>
      </c>
      <c r="B52" s="27" t="n">
        <f aca="false">COUNTIFS(ERSS_Pit_Register!$C$5:$C$304,$A52,ERSS_Pit_Register!$AU$5:$AU$304,"Y",ERSS_Pit_Register!$G$5:$G$304,"&gt;0",ERSS_Pit_Register!$G$5:$G$304,"&lt;=1.5")</f>
        <v>0</v>
      </c>
      <c r="C52" s="27" t="n">
        <f aca="false">COUNTIFS(ERSS_Pit_Register!$C$5:$C$304,$A52,ERSS_Pit_Register!$AU$5:$AU$304,"Y",ERSS_Pit_Register!$G$5:$G$304,"&gt;1.5",ERSS_Pit_Register!$G$5:$G$304,"&lt;=3")</f>
        <v>0</v>
      </c>
      <c r="D52" s="27" t="n">
        <f aca="false">COUNTIFS(ERSS_Pit_Register!$C$5:$C$304,$A52,ERSS_Pit_Register!$AU$5:$AU$304,"Y",ERSS_Pit_Register!$G$5:$G$304,"&gt;3",ERSS_Pit_Register!$G$5:$G$304,"&lt;=4")</f>
        <v>0</v>
      </c>
      <c r="E52" s="27" t="n">
        <f aca="false">COUNTIFS(ERSS_Pit_Register!$C$5:$C$304,$A52,ERSS_Pit_Register!$AU$5:$AU$304,"Y",ERSS_Pit_Register!$G$5:$G$304,"&gt;4",ERSS_Pit_Register!$G$5:$G$304,"&lt;=6")</f>
        <v>1</v>
      </c>
      <c r="F52" s="27" t="n">
        <f aca="false">COUNTIFS(ERSS_Pit_Register!$C$5:$C$304,$A52,ERSS_Pit_Register!$AU$5:$AU$304,"Y",ERSS_Pit_Register!$G$5:$G$304,"&gt;6",ERSS_Pit_Register!$G$5:$G$304,"&lt;=8")</f>
        <v>1</v>
      </c>
      <c r="G52" s="27" t="n">
        <f aca="false">COUNTIFS(ERSS_Pit_Register!$C$5:$C$304,$A52,ERSS_Pit_Register!$AU$5:$AU$304,"Y",ERSS_Pit_Register!$G$5:$G$304,"&gt;8",ERSS_Pit_Register!$G$5:$G$304,"&lt;=10")</f>
        <v>0</v>
      </c>
      <c r="H52" s="27" t="n">
        <f aca="false">COUNTIFS(ERSS_Pit_Register!$C$5:$C$304,$A52,ERSS_Pit_Register!$AU$5:$AU$304,"Y",ERSS_Pit_Register!$G$5:$G$304,"&gt;10",ERSS_Pit_Register!$G$5:$G$304,"&lt;=15")</f>
        <v>0</v>
      </c>
    </row>
    <row r="53" customFormat="false" ht="15" hidden="false" customHeight="false" outlineLevel="0" collapsed="false">
      <c r="A53" s="26" t="s">
        <v>233</v>
      </c>
      <c r="B53" s="27" t="n">
        <f aca="false">COUNTIFS(ERSS_Pit_Register!$C$5:$C$304,$A53,ERSS_Pit_Register!$AU$5:$AU$304,"Y",ERSS_Pit_Register!$G$5:$G$304,"&gt;0",ERSS_Pit_Register!$G$5:$G$304,"&lt;=1.5")</f>
        <v>0</v>
      </c>
      <c r="C53" s="27" t="n">
        <f aca="false">COUNTIFS(ERSS_Pit_Register!$C$5:$C$304,$A53,ERSS_Pit_Register!$AU$5:$AU$304,"Y",ERSS_Pit_Register!$G$5:$G$304,"&gt;1.5",ERSS_Pit_Register!$G$5:$G$304,"&lt;=3")</f>
        <v>1</v>
      </c>
      <c r="D53" s="27" t="n">
        <f aca="false">COUNTIFS(ERSS_Pit_Register!$C$5:$C$304,$A53,ERSS_Pit_Register!$AU$5:$AU$304,"Y",ERSS_Pit_Register!$G$5:$G$304,"&gt;3",ERSS_Pit_Register!$G$5:$G$304,"&lt;=4")</f>
        <v>0</v>
      </c>
      <c r="E53" s="27" t="n">
        <f aca="false">COUNTIFS(ERSS_Pit_Register!$C$5:$C$304,$A53,ERSS_Pit_Register!$AU$5:$AU$304,"Y",ERSS_Pit_Register!$G$5:$G$304,"&gt;4",ERSS_Pit_Register!$G$5:$G$304,"&lt;=6")</f>
        <v>0</v>
      </c>
      <c r="F53" s="27" t="n">
        <f aca="false">COUNTIFS(ERSS_Pit_Register!$C$5:$C$304,$A53,ERSS_Pit_Register!$AU$5:$AU$304,"Y",ERSS_Pit_Register!$G$5:$G$304,"&gt;6",ERSS_Pit_Register!$G$5:$G$304,"&lt;=8")</f>
        <v>0</v>
      </c>
      <c r="G53" s="27" t="n">
        <f aca="false">COUNTIFS(ERSS_Pit_Register!$C$5:$C$304,$A53,ERSS_Pit_Register!$AU$5:$AU$304,"Y",ERSS_Pit_Register!$G$5:$G$304,"&gt;8",ERSS_Pit_Register!$G$5:$G$304,"&lt;=10")</f>
        <v>0</v>
      </c>
      <c r="H53" s="27" t="n">
        <f aca="false">COUNTIFS(ERSS_Pit_Register!$C$5:$C$304,$A53,ERSS_Pit_Register!$AU$5:$AU$304,"Y",ERSS_Pit_Register!$G$5:$G$304,"&gt;10",ERSS_Pit_Register!$G$5:$G$304,"&lt;=15")</f>
        <v>0</v>
      </c>
    </row>
    <row r="54" customFormat="false" ht="15" hidden="false" customHeight="false" outlineLevel="0" collapsed="false">
      <c r="A54" s="26" t="s">
        <v>234</v>
      </c>
      <c r="B54" s="27" t="n">
        <f aca="false">COUNTIFS(ERSS_Pit_Register!$C$5:$C$304,$A54,ERSS_Pit_Register!$AU$5:$AU$304,"Y",ERSS_Pit_Register!$G$5:$G$304,"&gt;0",ERSS_Pit_Register!$G$5:$G$304,"&lt;=1.5")</f>
        <v>0</v>
      </c>
      <c r="C54" s="27" t="n">
        <f aca="false">COUNTIFS(ERSS_Pit_Register!$C$5:$C$304,$A54,ERSS_Pit_Register!$AU$5:$AU$304,"Y",ERSS_Pit_Register!$G$5:$G$304,"&gt;1.5",ERSS_Pit_Register!$G$5:$G$304,"&lt;=3")</f>
        <v>0</v>
      </c>
      <c r="D54" s="27" t="n">
        <f aca="false">COUNTIFS(ERSS_Pit_Register!$C$5:$C$304,$A54,ERSS_Pit_Register!$AU$5:$AU$304,"Y",ERSS_Pit_Register!$G$5:$G$304,"&gt;3",ERSS_Pit_Register!$G$5:$G$304,"&lt;=4")</f>
        <v>0</v>
      </c>
      <c r="E54" s="27" t="n">
        <f aca="false">COUNTIFS(ERSS_Pit_Register!$C$5:$C$304,$A54,ERSS_Pit_Register!$AU$5:$AU$304,"Y",ERSS_Pit_Register!$G$5:$G$304,"&gt;4",ERSS_Pit_Register!$G$5:$G$304,"&lt;=6")</f>
        <v>0</v>
      </c>
      <c r="F54" s="27" t="n">
        <f aca="false">COUNTIFS(ERSS_Pit_Register!$C$5:$C$304,$A54,ERSS_Pit_Register!$AU$5:$AU$304,"Y",ERSS_Pit_Register!$G$5:$G$304,"&gt;6",ERSS_Pit_Register!$G$5:$G$304,"&lt;=8")</f>
        <v>0</v>
      </c>
      <c r="G54" s="27" t="n">
        <f aca="false">COUNTIFS(ERSS_Pit_Register!$C$5:$C$304,$A54,ERSS_Pit_Register!$AU$5:$AU$304,"Y",ERSS_Pit_Register!$G$5:$G$304,"&gt;8",ERSS_Pit_Register!$G$5:$G$304,"&lt;=10")</f>
        <v>0</v>
      </c>
      <c r="H54" s="27" t="n">
        <f aca="false">COUNTIFS(ERSS_Pit_Register!$C$5:$C$304,$A54,ERSS_Pit_Register!$AU$5:$AU$304,"Y",ERSS_Pit_Register!$G$5:$G$304,"&gt;10",ERSS_Pit_Register!$G$5:$G$304,"&lt;=15")</f>
        <v>0</v>
      </c>
    </row>
    <row r="55" customFormat="false" ht="15" hidden="false" customHeight="false" outlineLevel="0" collapsed="false">
      <c r="A55" s="26" t="s">
        <v>215</v>
      </c>
      <c r="B55" s="27" t="n">
        <f aca="false">COUNTIFS(ERSS_Pit_Register!$C$5:$C$304,$A55,ERSS_Pit_Register!$AU$5:$AU$304,"Y",ERSS_Pit_Register!$G$5:$G$304,"&gt;0",ERSS_Pit_Register!$G$5:$G$304,"&lt;=1.5")</f>
        <v>0</v>
      </c>
      <c r="C55" s="27" t="n">
        <f aca="false">COUNTIFS(ERSS_Pit_Register!$C$5:$C$304,$A55,ERSS_Pit_Register!$AU$5:$AU$304,"Y",ERSS_Pit_Register!$G$5:$G$304,"&gt;1.5",ERSS_Pit_Register!$G$5:$G$304,"&lt;=3")</f>
        <v>0</v>
      </c>
      <c r="D55" s="27" t="n">
        <f aca="false">COUNTIFS(ERSS_Pit_Register!$C$5:$C$304,$A55,ERSS_Pit_Register!$AU$5:$AU$304,"Y",ERSS_Pit_Register!$G$5:$G$304,"&gt;3",ERSS_Pit_Register!$G$5:$G$304,"&lt;=4")</f>
        <v>0</v>
      </c>
      <c r="E55" s="27" t="n">
        <f aca="false">COUNTIFS(ERSS_Pit_Register!$C$5:$C$304,$A55,ERSS_Pit_Register!$AU$5:$AU$304,"Y",ERSS_Pit_Register!$G$5:$G$304,"&gt;4",ERSS_Pit_Register!$G$5:$G$304,"&lt;=6")</f>
        <v>0</v>
      </c>
      <c r="F55" s="27" t="n">
        <f aca="false">COUNTIFS(ERSS_Pit_Register!$C$5:$C$304,$A55,ERSS_Pit_Register!$AU$5:$AU$304,"Y",ERSS_Pit_Register!$G$5:$G$304,"&gt;6",ERSS_Pit_Register!$G$5:$G$304,"&lt;=8")</f>
        <v>0</v>
      </c>
      <c r="G55" s="27" t="n">
        <f aca="false">COUNTIFS(ERSS_Pit_Register!$C$5:$C$304,$A55,ERSS_Pit_Register!$AU$5:$AU$304,"Y",ERSS_Pit_Register!$G$5:$G$304,"&gt;8",ERSS_Pit_Register!$G$5:$G$304,"&lt;=10")</f>
        <v>0</v>
      </c>
      <c r="H55" s="27" t="n">
        <f aca="false">COUNTIFS(ERSS_Pit_Register!$C$5:$C$304,$A55,ERSS_Pit_Register!$AU$5:$AU$304,"Y",ERSS_Pit_Register!$G$5:$G$304,"&gt;10",ERSS_Pit_Register!$G$5:$G$304,"&lt;=15")</f>
        <v>0</v>
      </c>
    </row>
    <row r="56" customFormat="false" ht="15" hidden="false" customHeight="false" outlineLevel="0" collapsed="false">
      <c r="A56" s="26" t="s">
        <v>235</v>
      </c>
      <c r="B56" s="27" t="n">
        <f aca="false">COUNTIFS(ERSS_Pit_Register!$C$5:$C$304,$A56,ERSS_Pit_Register!$AU$5:$AU$304,"Y",ERSS_Pit_Register!$G$5:$G$304,"&gt;0",ERSS_Pit_Register!$G$5:$G$304,"&lt;=1.5")</f>
        <v>0</v>
      </c>
      <c r="C56" s="27" t="n">
        <f aca="false">COUNTIFS(ERSS_Pit_Register!$C$5:$C$304,$A56,ERSS_Pit_Register!$AU$5:$AU$304,"Y",ERSS_Pit_Register!$G$5:$G$304,"&gt;1.5",ERSS_Pit_Register!$G$5:$G$304,"&lt;=3")</f>
        <v>0</v>
      </c>
      <c r="D56" s="27" t="n">
        <f aca="false">COUNTIFS(ERSS_Pit_Register!$C$5:$C$304,$A56,ERSS_Pit_Register!$AU$5:$AU$304,"Y",ERSS_Pit_Register!$G$5:$G$304,"&gt;3",ERSS_Pit_Register!$G$5:$G$304,"&lt;=4")</f>
        <v>0</v>
      </c>
      <c r="E56" s="27" t="n">
        <f aca="false">COUNTIFS(ERSS_Pit_Register!$C$5:$C$304,$A56,ERSS_Pit_Register!$AU$5:$AU$304,"Y",ERSS_Pit_Register!$G$5:$G$304,"&gt;4",ERSS_Pit_Register!$G$5:$G$304,"&lt;=6")</f>
        <v>0</v>
      </c>
      <c r="F56" s="27" t="n">
        <f aca="false">COUNTIFS(ERSS_Pit_Register!$C$5:$C$304,$A56,ERSS_Pit_Register!$AU$5:$AU$304,"Y",ERSS_Pit_Register!$G$5:$G$304,"&gt;6",ERSS_Pit_Register!$G$5:$G$304,"&lt;=8")</f>
        <v>0</v>
      </c>
      <c r="G56" s="27" t="n">
        <f aca="false">COUNTIFS(ERSS_Pit_Register!$C$5:$C$304,$A56,ERSS_Pit_Register!$AU$5:$AU$304,"Y",ERSS_Pit_Register!$G$5:$G$304,"&gt;8",ERSS_Pit_Register!$G$5:$G$304,"&lt;=10")</f>
        <v>0</v>
      </c>
      <c r="H56" s="27" t="n">
        <f aca="false">COUNTIFS(ERSS_Pit_Register!$C$5:$C$304,$A56,ERSS_Pit_Register!$AU$5:$AU$304,"Y",ERSS_Pit_Register!$G$5:$G$304,"&gt;10",ERSS_Pit_Register!$G$5:$G$304,"&lt;=15")</f>
        <v>0</v>
      </c>
    </row>
    <row r="57" customFormat="false" ht="15" hidden="false" customHeight="false" outlineLevel="0" collapsed="false">
      <c r="A57" s="26" t="s">
        <v>236</v>
      </c>
      <c r="B57" s="27" t="n">
        <f aca="false">COUNTIFS(ERSS_Pit_Register!$C$5:$C$304,$A57,ERSS_Pit_Register!$AU$5:$AU$304,"Y",ERSS_Pit_Register!$G$5:$G$304,"&gt;0",ERSS_Pit_Register!$G$5:$G$304,"&lt;=1.5")</f>
        <v>0</v>
      </c>
      <c r="C57" s="27" t="n">
        <f aca="false">COUNTIFS(ERSS_Pit_Register!$C$5:$C$304,$A57,ERSS_Pit_Register!$AU$5:$AU$304,"Y",ERSS_Pit_Register!$G$5:$G$304,"&gt;1.5",ERSS_Pit_Register!$G$5:$G$304,"&lt;=3")</f>
        <v>0</v>
      </c>
      <c r="D57" s="27" t="n">
        <f aca="false">COUNTIFS(ERSS_Pit_Register!$C$5:$C$304,$A57,ERSS_Pit_Register!$AU$5:$AU$304,"Y",ERSS_Pit_Register!$G$5:$G$304,"&gt;3",ERSS_Pit_Register!$G$5:$G$304,"&lt;=4")</f>
        <v>0</v>
      </c>
      <c r="E57" s="27" t="n">
        <f aca="false">COUNTIFS(ERSS_Pit_Register!$C$5:$C$304,$A57,ERSS_Pit_Register!$AU$5:$AU$304,"Y",ERSS_Pit_Register!$G$5:$G$304,"&gt;4",ERSS_Pit_Register!$G$5:$G$304,"&lt;=6")</f>
        <v>0</v>
      </c>
      <c r="F57" s="27" t="n">
        <f aca="false">COUNTIFS(ERSS_Pit_Register!$C$5:$C$304,$A57,ERSS_Pit_Register!$AU$5:$AU$304,"Y",ERSS_Pit_Register!$G$5:$G$304,"&gt;6",ERSS_Pit_Register!$G$5:$G$304,"&lt;=8")</f>
        <v>0</v>
      </c>
      <c r="G57" s="27" t="n">
        <f aca="false">COUNTIFS(ERSS_Pit_Register!$C$5:$C$304,$A57,ERSS_Pit_Register!$AU$5:$AU$304,"Y",ERSS_Pit_Register!$G$5:$G$304,"&gt;8",ERSS_Pit_Register!$G$5:$G$304,"&lt;=10")</f>
        <v>0</v>
      </c>
      <c r="H57" s="27" t="n">
        <f aca="false">COUNTIFS(ERSS_Pit_Register!$C$5:$C$304,$A57,ERSS_Pit_Register!$AU$5:$AU$304,"Y",ERSS_Pit_Register!$G$5:$G$304,"&gt;10",ERSS_Pit_Register!$G$5:$G$304,"&lt;=15")</f>
        <v>0</v>
      </c>
    </row>
    <row r="58" customFormat="false" ht="15" hidden="false" customHeight="false" outlineLevel="0" collapsed="false">
      <c r="A58" s="26" t="s">
        <v>237</v>
      </c>
      <c r="B58" s="27" t="n">
        <f aca="false">COUNTIFS(ERSS_Pit_Register!$C$5:$C$304,$A58,ERSS_Pit_Register!$AU$5:$AU$304,"Y",ERSS_Pit_Register!$G$5:$G$304,"&gt;0",ERSS_Pit_Register!$G$5:$G$304,"&lt;=1.5")</f>
        <v>0</v>
      </c>
      <c r="C58" s="27" t="n">
        <f aca="false">COUNTIFS(ERSS_Pit_Register!$C$5:$C$304,$A58,ERSS_Pit_Register!$AU$5:$AU$304,"Y",ERSS_Pit_Register!$G$5:$G$304,"&gt;1.5",ERSS_Pit_Register!$G$5:$G$304,"&lt;=3")</f>
        <v>0</v>
      </c>
      <c r="D58" s="27" t="n">
        <f aca="false">COUNTIFS(ERSS_Pit_Register!$C$5:$C$304,$A58,ERSS_Pit_Register!$AU$5:$AU$304,"Y",ERSS_Pit_Register!$G$5:$G$304,"&gt;3",ERSS_Pit_Register!$G$5:$G$304,"&lt;=4")</f>
        <v>0</v>
      </c>
      <c r="E58" s="27" t="n">
        <f aca="false">COUNTIFS(ERSS_Pit_Register!$C$5:$C$304,$A58,ERSS_Pit_Register!$AU$5:$AU$304,"Y",ERSS_Pit_Register!$G$5:$G$304,"&gt;4",ERSS_Pit_Register!$G$5:$G$304,"&lt;=6")</f>
        <v>0</v>
      </c>
      <c r="F58" s="27" t="n">
        <f aca="false">COUNTIFS(ERSS_Pit_Register!$C$5:$C$304,$A58,ERSS_Pit_Register!$AU$5:$AU$304,"Y",ERSS_Pit_Register!$G$5:$G$304,"&gt;6",ERSS_Pit_Register!$G$5:$G$304,"&lt;=8")</f>
        <v>0</v>
      </c>
      <c r="G58" s="27" t="n">
        <f aca="false">COUNTIFS(ERSS_Pit_Register!$C$5:$C$304,$A58,ERSS_Pit_Register!$AU$5:$AU$304,"Y",ERSS_Pit_Register!$G$5:$G$304,"&gt;8",ERSS_Pit_Register!$G$5:$G$304,"&lt;=10")</f>
        <v>0</v>
      </c>
      <c r="H58" s="27" t="n">
        <f aca="false">COUNTIFS(ERSS_Pit_Register!$C$5:$C$304,$A58,ERSS_Pit_Register!$AU$5:$AU$304,"Y",ERSS_Pit_Register!$G$5:$G$304,"&gt;10",ERSS_Pit_Register!$G$5:$G$304,"&lt;=15")</f>
        <v>0</v>
      </c>
    </row>
    <row r="60" customFormat="false" ht="15" hidden="false" customHeight="false" outlineLevel="0" collapsed="false">
      <c r="A60" s="22" t="s">
        <v>238</v>
      </c>
    </row>
    <row r="61" customFormat="false" ht="15" hidden="false" customHeight="false" outlineLevel="0" collapsed="false">
      <c r="A61" s="7" t="s">
        <v>239</v>
      </c>
      <c r="B61" s="15" t="n">
        <v>2.4</v>
      </c>
      <c r="C61" s="15" t="n">
        <v>3</v>
      </c>
      <c r="D61" s="15" t="n">
        <v>3.6</v>
      </c>
      <c r="E61" s="15" t="n">
        <v>4.8</v>
      </c>
    </row>
    <row r="62" customFormat="false" ht="15" hidden="false" customHeight="false" outlineLevel="0" collapsed="false">
      <c r="A62" s="26" t="s">
        <v>240</v>
      </c>
      <c r="B62" s="27" t="n">
        <f aca="false">COUNTIFS(Linkway_Register!$C$5:$C$304,$A62,Linkway_Register!$AV$5:$AV$304,"Y",Linkway_Register!$E$5:$E$304,B$61)</f>
        <v>1</v>
      </c>
      <c r="C62" s="27" t="n">
        <f aca="false">COUNTIFS(Linkway_Register!$C$5:$C$304,$A62,Linkway_Register!$AV$5:$AV$304,"Y",Linkway_Register!$E$5:$E$304,C$61)</f>
        <v>0</v>
      </c>
      <c r="D62" s="27" t="n">
        <f aca="false">COUNTIFS(Linkway_Register!$C$5:$C$304,$A62,Linkway_Register!$AV$5:$AV$304,"Y",Linkway_Register!$E$5:$E$304,D$61)</f>
        <v>1</v>
      </c>
      <c r="E62" s="27" t="n">
        <f aca="false">COUNTIFS(Linkway_Register!$C$5:$C$304,$A62,Linkway_Register!$AV$5:$AV$304,"Y",Linkway_Register!$E$5:$E$304,E$61)</f>
        <v>0</v>
      </c>
    </row>
    <row r="63" customFormat="false" ht="15" hidden="false" customHeight="false" outlineLevel="0" collapsed="false">
      <c r="A63" s="26" t="s">
        <v>241</v>
      </c>
      <c r="B63" s="27" t="n">
        <f aca="false">COUNTIFS(Linkway_Register!$C$5:$C$304,$A63,Linkway_Register!$AV$5:$AV$304,"Y",Linkway_Register!$E$5:$E$304,B$61)</f>
        <v>0</v>
      </c>
      <c r="C63" s="27" t="n">
        <f aca="false">COUNTIFS(Linkway_Register!$C$5:$C$304,$A63,Linkway_Register!$AV$5:$AV$304,"Y",Linkway_Register!$E$5:$E$304,C$61)</f>
        <v>0</v>
      </c>
      <c r="D63" s="27" t="n">
        <f aca="false">COUNTIFS(Linkway_Register!$C$5:$C$304,$A63,Linkway_Register!$AV$5:$AV$304,"Y",Linkway_Register!$E$5:$E$304,D$61)</f>
        <v>0</v>
      </c>
      <c r="E63" s="27" t="n">
        <f aca="false">COUNTIFS(Linkway_Register!$C$5:$C$304,$A63,Linkway_Register!$AV$5:$AV$304,"Y",Linkway_Register!$E$5:$E$304,E$61)</f>
        <v>0</v>
      </c>
    </row>
    <row r="64" customFormat="false" ht="15" hidden="false" customHeight="false" outlineLevel="0" collapsed="false">
      <c r="A64" s="26" t="s">
        <v>242</v>
      </c>
      <c r="B64" s="27" t="n">
        <f aca="false">COUNTIFS(Linkway_Register!$C$5:$C$304,$A64,Linkway_Register!$AV$5:$AV$304,"Y",Linkway_Register!$E$5:$E$304,B$61)</f>
        <v>0</v>
      </c>
      <c r="C64" s="27" t="n">
        <f aca="false">COUNTIFS(Linkway_Register!$C$5:$C$304,$A64,Linkway_Register!$AV$5:$AV$304,"Y",Linkway_Register!$E$5:$E$304,C$61)</f>
        <v>0</v>
      </c>
      <c r="D64" s="27" t="n">
        <f aca="false">COUNTIFS(Linkway_Register!$C$5:$C$304,$A64,Linkway_Register!$AV$5:$AV$304,"Y",Linkway_Register!$E$5:$E$304,D$61)</f>
        <v>0</v>
      </c>
      <c r="E64" s="27" t="n">
        <f aca="false">COUNTIFS(Linkway_Register!$C$5:$C$304,$A64,Linkway_Register!$AV$5:$AV$304,"Y",Linkway_Register!$E$5:$E$304,E$61)</f>
        <v>0</v>
      </c>
    </row>
    <row r="66" customFormat="false" ht="15" hidden="false" customHeight="false" outlineLevel="0" collapsed="false">
      <c r="A66" s="22" t="s">
        <v>243</v>
      </c>
    </row>
    <row r="67" customFormat="false" ht="22.35" hidden="false" customHeight="false" outlineLevel="0" collapsed="false">
      <c r="A67" s="7" t="s">
        <v>120</v>
      </c>
      <c r="B67" s="15" t="s">
        <v>244</v>
      </c>
      <c r="C67" s="15" t="s">
        <v>245</v>
      </c>
      <c r="D67" s="15" t="s">
        <v>246</v>
      </c>
      <c r="E67" s="15" t="s">
        <v>247</v>
      </c>
      <c r="F67" s="15" t="s">
        <v>248</v>
      </c>
      <c r="G67" s="15" t="s">
        <v>249</v>
      </c>
    </row>
    <row r="68" customFormat="false" ht="15" hidden="false" customHeight="false" outlineLevel="0" collapsed="false">
      <c r="A68" s="26" t="s">
        <v>250</v>
      </c>
      <c r="B68" s="28" t="n">
        <f aca="false">COUNTIF(Drain_Register!$V$5:$V$304,"Approved")</f>
        <v>10</v>
      </c>
      <c r="C68" s="28" t="n">
        <f aca="false">COUNTIF(Drain_Register!$V$5:$V$304,"Checked")</f>
        <v>1</v>
      </c>
      <c r="D68" s="28" t="n">
        <f aca="false">COUNTIF(Drain_Register!$V$5:$V$304,"WIP")</f>
        <v>1</v>
      </c>
      <c r="E68" s="28" t="n">
        <f aca="false">COUNTIF(Drain_Register!$V$5:$V$304,"Superseded")</f>
        <v>0</v>
      </c>
      <c r="F68" s="28" t="n">
        <f aca="false">COUNTIFS(Drain_Register!$V$5:$V$304,"Approved",Drain_Register!$AV$5:$AV$304,"N")</f>
        <v>0</v>
      </c>
      <c r="G68" s="28" t="n">
        <f aca="false">COUNTIFS(Drain_Register!$A$5:$A$304,"?*",Drain_Register!$AF$5:$AF$304,"&lt;&gt;Y")</f>
        <v>12</v>
      </c>
    </row>
    <row r="69" customFormat="false" ht="15" hidden="false" customHeight="false" outlineLevel="0" collapsed="false">
      <c r="A69" s="26" t="s">
        <v>251</v>
      </c>
      <c r="B69" s="28" t="n">
        <f aca="false">COUNTIF(RW_Register!$AB$5:$AB$304,"Approved")</f>
        <v>10</v>
      </c>
      <c r="C69" s="28" t="n">
        <f aca="false">COUNTIF(RW_Register!$AB$5:$AB$304,"Checked")</f>
        <v>1</v>
      </c>
      <c r="D69" s="28" t="n">
        <f aca="false">COUNTIF(RW_Register!$AB$5:$AB$304,"WIP")</f>
        <v>1</v>
      </c>
      <c r="E69" s="28" t="n">
        <f aca="false">COUNTIF(RW_Register!$AB$5:$AB$304,"Superseded")</f>
        <v>0</v>
      </c>
      <c r="F69" s="28" t="n">
        <f aca="false">COUNTIFS(RW_Register!$AB$5:$AB$304,"Approved",RW_Register!$BA$5:$BA$304,"N")</f>
        <v>0</v>
      </c>
      <c r="G69" s="28" t="n">
        <f aca="false">COUNTIFS(RW_Register!$A$5:$A$304,"?*",RW_Register!$AL$5:$AL$304,"&lt;&gt;Y")</f>
        <v>12</v>
      </c>
    </row>
    <row r="70" customFormat="false" ht="15" hidden="false" customHeight="false" outlineLevel="0" collapsed="false">
      <c r="A70" s="26" t="s">
        <v>252</v>
      </c>
      <c r="B70" s="28" t="n">
        <f aca="false">COUNTIF(Embedded_Wall_Register!$Y$5:$Y$304,"Approved")</f>
        <v>4</v>
      </c>
      <c r="C70" s="28" t="n">
        <f aca="false">COUNTIF(Embedded_Wall_Register!$Y$5:$Y$304,"Checked")</f>
        <v>0</v>
      </c>
      <c r="D70" s="28" t="n">
        <f aca="false">COUNTIF(Embedded_Wall_Register!$Y$5:$Y$304,"WIP")</f>
        <v>1</v>
      </c>
      <c r="E70" s="28" t="n">
        <f aca="false">COUNTIF(Embedded_Wall_Register!$Y$5:$Y$304,"Superseded")</f>
        <v>0</v>
      </c>
      <c r="F70" s="28" t="n">
        <f aca="false">COUNTIFS(Embedded_Wall_Register!$Y$5:$Y$304,"Approved",Embedded_Wall_Register!$AX$5:$AX$304,"N")</f>
        <v>0</v>
      </c>
      <c r="G70" s="28" t="n">
        <f aca="false">COUNTIFS(Embedded_Wall_Register!$A$5:$A$304,"?*",Embedded_Wall_Register!$AI$5:$AI$304,"&lt;&gt;Y")</f>
        <v>5</v>
      </c>
    </row>
    <row r="71" customFormat="false" ht="15" hidden="false" customHeight="false" outlineLevel="0" collapsed="false">
      <c r="A71" s="26" t="s">
        <v>253</v>
      </c>
      <c r="B71" s="28" t="n">
        <f aca="false">COUNTIF(Manhole_Register!$AB$5:$AB$304,"Approved")</f>
        <v>3</v>
      </c>
      <c r="C71" s="28" t="n">
        <f aca="false">COUNTIF(Manhole_Register!$AB$5:$AB$304,"Checked")</f>
        <v>1</v>
      </c>
      <c r="D71" s="28" t="n">
        <f aca="false">COUNTIF(Manhole_Register!$AB$5:$AB$304,"WIP")</f>
        <v>1</v>
      </c>
      <c r="E71" s="28" t="n">
        <f aca="false">COUNTIF(Manhole_Register!$AB$5:$AB$304,"Superseded")</f>
        <v>0</v>
      </c>
      <c r="F71" s="28" t="n">
        <f aca="false">COUNTIFS(Manhole_Register!$AB$5:$AB$304,"Approved",Manhole_Register!$AZ$5:$AZ$304,"N")</f>
        <v>0</v>
      </c>
      <c r="G71" s="28" t="n">
        <f aca="false">COUNTIFS(Manhole_Register!$A$5:$A$304,"?*",Manhole_Register!$AL$5:$AL$304,"&lt;&gt;Y")</f>
        <v>5</v>
      </c>
    </row>
    <row r="72" customFormat="false" ht="15" hidden="false" customHeight="false" outlineLevel="0" collapsed="false">
      <c r="A72" s="26" t="s">
        <v>254</v>
      </c>
      <c r="B72" s="28" t="n">
        <f aca="false">COUNTIF(ERSS_Pit_Register!$V$5:$V$304,"Approved")</f>
        <v>3</v>
      </c>
      <c r="C72" s="28" t="n">
        <f aca="false">COUNTIF(ERSS_Pit_Register!$V$5:$V$304,"Checked")</f>
        <v>1</v>
      </c>
      <c r="D72" s="28" t="n">
        <f aca="false">COUNTIF(ERSS_Pit_Register!$V$5:$V$304,"WIP")</f>
        <v>0</v>
      </c>
      <c r="E72" s="28" t="n">
        <f aca="false">COUNTIF(ERSS_Pit_Register!$V$5:$V$304,"Superseded")</f>
        <v>0</v>
      </c>
      <c r="F72" s="28" t="n">
        <f aca="false">COUNTIFS(ERSS_Pit_Register!$V$5:$V$304,"Approved",ERSS_Pit_Register!$AU$5:$AU$304,"N")</f>
        <v>0</v>
      </c>
      <c r="G72" s="28" t="n">
        <f aca="false">COUNTIFS(ERSS_Pit_Register!$A$5:$A$304,"?*",ERSS_Pit_Register!$AF$5:$AF$304,"&lt;&gt;Y")</f>
        <v>4</v>
      </c>
    </row>
    <row r="73" customFormat="false" ht="15" hidden="false" customHeight="false" outlineLevel="0" collapsed="false">
      <c r="A73" s="26" t="s">
        <v>255</v>
      </c>
      <c r="B73" s="28" t="n">
        <f aca="false">COUNTIF(Linkway_Register!$X$5:$X$304,"Approved")</f>
        <v>2</v>
      </c>
      <c r="C73" s="28" t="n">
        <f aca="false">COUNTIF(Linkway_Register!$X$5:$X$304,"Checked")</f>
        <v>1</v>
      </c>
      <c r="D73" s="28" t="n">
        <f aca="false">COUNTIF(Linkway_Register!$X$5:$X$304,"WIP")</f>
        <v>1</v>
      </c>
      <c r="E73" s="28" t="n">
        <f aca="false">COUNTIF(Linkway_Register!$X$5:$X$304,"Superseded")</f>
        <v>0</v>
      </c>
      <c r="F73" s="28" t="n">
        <f aca="false">COUNTIFS(Linkway_Register!$X$5:$X$304,"Approved",Linkway_Register!$AV$5:$AV$304,"N")</f>
        <v>0</v>
      </c>
      <c r="G73" s="28" t="n">
        <f aca="false">COUNTIFS(Linkway_Register!$A$5:$A$304,"?*",Linkway_Register!$AH$5:$AH$304,"&lt;&gt;Y")</f>
        <v>4</v>
      </c>
    </row>
    <row r="74" customFormat="false" ht="15" hidden="false" customHeight="false" outlineLevel="0" collapsed="false">
      <c r="A74" s="26" t="s">
        <v>256</v>
      </c>
      <c r="B74" s="28" t="n">
        <f aca="false">COUNTIF(Other_Register!$N$5:$N$304,"Approved")</f>
        <v>2</v>
      </c>
      <c r="C74" s="28" t="n">
        <f aca="false">COUNTIF(Other_Register!$N$5:$N$304,"Checked")</f>
        <v>1</v>
      </c>
      <c r="D74" s="28" t="n">
        <f aca="false">COUNTIF(Other_Register!$N$5:$N$304,"WIP")</f>
        <v>1</v>
      </c>
      <c r="E74" s="28" t="n">
        <f aca="false">COUNTIF(Other_Register!$N$5:$N$304,"Superseded")</f>
        <v>0</v>
      </c>
      <c r="F74" s="28" t="n">
        <f aca="false">COUNTIFS(Other_Register!$N$5:$N$304,"Approved",Other_Register!$AL$5:$AL$304,"N")</f>
        <v>0</v>
      </c>
      <c r="G74" s="28" t="n">
        <f aca="false">COUNTIFS(Other_Register!$A$5:$A$304,"?*",Other_Register!$X$5:$X$304,"&lt;&gt;Y")</f>
        <v>4</v>
      </c>
    </row>
  </sheetData>
  <conditionalFormatting sqref="B5:L17">
    <cfRule type="cellIs" priority="2" operator="equal" aboveAverage="0" equalAverage="0" bottom="0" percent="0" rank="0" text="" dxfId="0">
      <formula>0</formula>
    </cfRule>
    <cfRule type="cellIs" priority="3" operator="greaterThan" aboveAverage="0" equalAverage="0" bottom="0" percent="0" rank="0" text="" dxfId="1">
      <formula>0</formula>
    </cfRule>
  </conditionalFormatting>
  <conditionalFormatting sqref="B21:L28">
    <cfRule type="cellIs" priority="4" operator="equal" aboveAverage="0" equalAverage="0" bottom="0" percent="0" rank="0" text="" dxfId="0">
      <formula>0</formula>
    </cfRule>
    <cfRule type="cellIs" priority="5" operator="greaterThan" aboveAverage="0" equalAverage="0" bottom="0" percent="0" rank="0" text="" dxfId="1">
      <formula>0</formula>
    </cfRule>
  </conditionalFormatting>
  <conditionalFormatting sqref="B32:I39">
    <cfRule type="cellIs" priority="6" operator="equal" aboveAverage="0" equalAverage="0" bottom="0" percent="0" rank="0" text="" dxfId="0">
      <formula>0</formula>
    </cfRule>
    <cfRule type="cellIs" priority="7" operator="greaterThan" aboveAverage="0" equalAverage="0" bottom="0" percent="0" rank="0" text="" dxfId="1">
      <formula>0</formula>
    </cfRule>
  </conditionalFormatting>
  <conditionalFormatting sqref="B43:G48">
    <cfRule type="cellIs" priority="8" operator="equal" aboveAverage="0" equalAverage="0" bottom="0" percent="0" rank="0" text="" dxfId="0">
      <formula>0</formula>
    </cfRule>
    <cfRule type="cellIs" priority="9" operator="greaterThan" aboveAverage="0" equalAverage="0" bottom="0" percent="0" rank="0" text="" dxfId="1">
      <formula>0</formula>
    </cfRule>
  </conditionalFormatting>
  <conditionalFormatting sqref="B52:H58">
    <cfRule type="cellIs" priority="10" operator="equal" aboveAverage="0" equalAverage="0" bottom="0" percent="0" rank="0" text="" dxfId="0">
      <formula>0</formula>
    </cfRule>
    <cfRule type="cellIs" priority="11" operator="greaterThan" aboveAverage="0" equalAverage="0" bottom="0" percent="0" rank="0" text="" dxfId="1">
      <formula>0</formula>
    </cfRule>
  </conditionalFormatting>
  <conditionalFormatting sqref="B62:E64">
    <cfRule type="cellIs" priority="12" operator="equal" aboveAverage="0" equalAverage="0" bottom="0" percent="0" rank="0" text="" dxfId="0">
      <formula>0</formula>
    </cfRule>
    <cfRule type="cellIs" priority="1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0"/>
  </cols>
  <sheetData>
    <row r="1" customFormat="false" ht="17.35" hidden="false" customHeight="false" outlineLevel="0" collapsed="false">
      <c r="A1" s="5" t="s">
        <v>257</v>
      </c>
    </row>
    <row r="2" customFormat="false" ht="15" hidden="false" customHeight="false" outlineLevel="0" collapsed="false">
      <c r="A2" s="6" t="s">
        <v>258</v>
      </c>
    </row>
    <row r="4" customFormat="false" ht="15" hidden="false" customHeight="false" outlineLevel="0" collapsed="false">
      <c r="A4" s="29" t="s">
        <v>259</v>
      </c>
    </row>
    <row r="5" customFormat="false" ht="15" hidden="false" customHeight="false" outlineLevel="0" collapsed="false">
      <c r="A5" s="22" t="s">
        <v>260</v>
      </c>
      <c r="B5" s="3" t="s">
        <v>261</v>
      </c>
    </row>
    <row r="6" customFormat="false" ht="23.85" hidden="false" customHeight="false" outlineLevel="0" collapsed="false">
      <c r="A6" s="22" t="s">
        <v>262</v>
      </c>
      <c r="B6" s="3" t="s">
        <v>263</v>
      </c>
    </row>
    <row r="7" customFormat="false" ht="15" hidden="false" customHeight="false" outlineLevel="0" collapsed="false">
      <c r="A7" s="22" t="s">
        <v>264</v>
      </c>
      <c r="B7" s="3" t="s">
        <v>265</v>
      </c>
    </row>
    <row r="8" customFormat="false" ht="15" hidden="false" customHeight="false" outlineLevel="0" collapsed="false">
      <c r="A8" s="22" t="s">
        <v>247</v>
      </c>
      <c r="B8" s="3" t="s">
        <v>266</v>
      </c>
    </row>
    <row r="9" customFormat="false" ht="15" hidden="false" customHeight="false" outlineLevel="0" collapsed="false">
      <c r="A9" s="29" t="s">
        <v>267</v>
      </c>
    </row>
    <row r="10" customFormat="false" ht="15" hidden="false" customHeight="false" outlineLevel="0" collapsed="false">
      <c r="A10" s="22" t="s">
        <v>268</v>
      </c>
      <c r="B10" s="3" t="s">
        <v>269</v>
      </c>
    </row>
    <row r="11" customFormat="false" ht="15" hidden="false" customHeight="false" outlineLevel="0" collapsed="false">
      <c r="A11" s="22" t="s">
        <v>270</v>
      </c>
      <c r="B11" s="3" t="s">
        <v>271</v>
      </c>
    </row>
    <row r="12" customFormat="false" ht="23.85" hidden="false" customHeight="false" outlineLevel="0" collapsed="false">
      <c r="A12" s="22" t="s">
        <v>272</v>
      </c>
      <c r="B12" s="3" t="s">
        <v>273</v>
      </c>
    </row>
    <row r="13" customFormat="false" ht="15" hidden="false" customHeight="false" outlineLevel="0" collapsed="false">
      <c r="A13" s="22" t="s">
        <v>274</v>
      </c>
      <c r="B13" s="3" t="s">
        <v>275</v>
      </c>
    </row>
    <row r="14" customFormat="false" ht="15" hidden="false" customHeight="false" outlineLevel="0" collapsed="false">
      <c r="A14" s="22" t="s">
        <v>276</v>
      </c>
      <c r="B14" s="3" t="s">
        <v>277</v>
      </c>
    </row>
    <row r="15" customFormat="false" ht="15" hidden="false" customHeight="false" outlineLevel="0" collapsed="false">
      <c r="A15" s="22" t="s">
        <v>278</v>
      </c>
      <c r="B15" s="3" t="s">
        <v>279</v>
      </c>
    </row>
    <row r="16" customFormat="false" ht="15" hidden="false" customHeight="false" outlineLevel="0" collapsed="false">
      <c r="A16" s="22" t="s">
        <v>280</v>
      </c>
      <c r="B16" s="3" t="s">
        <v>281</v>
      </c>
    </row>
    <row r="17" customFormat="false" ht="15" hidden="false" customHeight="false" outlineLevel="0" collapsed="false">
      <c r="A17" s="29" t="s">
        <v>282</v>
      </c>
    </row>
    <row r="18" customFormat="false" ht="15" hidden="false" customHeight="false" outlineLevel="0" collapsed="false">
      <c r="A18" s="22" t="s">
        <v>283</v>
      </c>
      <c r="B18" s="3" t="s">
        <v>284</v>
      </c>
    </row>
    <row r="19" customFormat="false" ht="15" hidden="false" customHeight="false" outlineLevel="0" collapsed="false">
      <c r="A19" s="22" t="s">
        <v>285</v>
      </c>
      <c r="B19" s="3" t="s">
        <v>286</v>
      </c>
    </row>
    <row r="20" customFormat="false" ht="15" hidden="false" customHeight="false" outlineLevel="0" collapsed="false">
      <c r="A20" s="22" t="s">
        <v>287</v>
      </c>
      <c r="B20" s="3" t="s">
        <v>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G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44"/>
    <col collapsed="false" customWidth="true" hidden="false" outlineLevel="0" max="3" min="3" style="0" width="8"/>
    <col collapsed="false" customWidth="true" hidden="false" outlineLevel="0" max="4" min="4" style="0" width="60"/>
    <col collapsed="false" customWidth="true" hidden="false" outlineLevel="0" max="5" min="5" style="0" width="10"/>
    <col collapsed="false" customWidth="true" hidden="false" outlineLevel="0" max="6" min="6" style="0" width="14"/>
    <col collapsed="false" customWidth="true" hidden="false" outlineLevel="0" max="7" min="7" style="0" width="11"/>
  </cols>
  <sheetData>
    <row r="1" customFormat="false" ht="17.35" hidden="false" customHeight="false" outlineLevel="0" collapsed="false">
      <c r="A1" s="5" t="s">
        <v>289</v>
      </c>
    </row>
    <row r="2" customFormat="false" ht="15" hidden="false" customHeight="false" outlineLevel="0" collapsed="false">
      <c r="A2" s="6" t="s">
        <v>290</v>
      </c>
    </row>
    <row r="3" customFormat="false" ht="15" hidden="false" customHeight="false" outlineLevel="0" collapsed="false">
      <c r="A3" s="15" t="s">
        <v>291</v>
      </c>
      <c r="B3" s="15" t="s">
        <v>292</v>
      </c>
      <c r="C3" s="15" t="s">
        <v>119</v>
      </c>
      <c r="D3" s="15" t="s">
        <v>293</v>
      </c>
      <c r="E3" s="15" t="s">
        <v>122</v>
      </c>
      <c r="F3" s="15" t="s">
        <v>294</v>
      </c>
      <c r="G3" s="15" t="s">
        <v>295</v>
      </c>
    </row>
    <row r="4" customFormat="false" ht="15" hidden="false" customHeight="false" outlineLevel="0" collapsed="false">
      <c r="A4" s="29" t="s">
        <v>296</v>
      </c>
    </row>
    <row r="5" customFormat="false" ht="15" hidden="false" customHeight="false" outlineLevel="0" collapsed="false">
      <c r="A5" s="8" t="s">
        <v>297</v>
      </c>
      <c r="B5" s="9" t="s">
        <v>298</v>
      </c>
      <c r="C5" s="26"/>
      <c r="D5" s="30" t="s">
        <v>299</v>
      </c>
      <c r="E5" s="8" t="s">
        <v>300</v>
      </c>
      <c r="F5" s="9"/>
      <c r="G5" s="31"/>
    </row>
    <row r="6" customFormat="false" ht="15" hidden="false" customHeight="false" outlineLevel="0" collapsed="false">
      <c r="A6" s="8" t="s">
        <v>301</v>
      </c>
      <c r="B6" s="10" t="str">
        <f aca="false">IF(RIGHT(B5,1)="\",B5,B5&amp;"\")</f>
        <v>C:\Users\yourname\YourCompany\Design Library - Documents\</v>
      </c>
      <c r="C6" s="26"/>
      <c r="D6" s="30" t="s">
        <v>302</v>
      </c>
      <c r="E6" s="8" t="s">
        <v>303</v>
      </c>
      <c r="F6" s="9"/>
      <c r="G6" s="31"/>
    </row>
    <row r="7" customFormat="false" ht="15" hidden="false" customHeight="false" outlineLevel="0" collapsed="false">
      <c r="A7" s="8" t="s">
        <v>304</v>
      </c>
      <c r="B7" s="9" t="s">
        <v>305</v>
      </c>
      <c r="C7" s="26"/>
      <c r="D7" s="30"/>
      <c r="E7" s="8" t="s">
        <v>300</v>
      </c>
      <c r="F7" s="9"/>
      <c r="G7" s="31"/>
    </row>
    <row r="8" customFormat="false" ht="15" hidden="false" customHeight="false" outlineLevel="0" collapsed="false">
      <c r="A8" s="8" t="s">
        <v>306</v>
      </c>
      <c r="B8" s="9" t="s">
        <v>307</v>
      </c>
      <c r="C8" s="26"/>
      <c r="D8" s="30"/>
      <c r="E8" s="8" t="s">
        <v>300</v>
      </c>
      <c r="F8" s="9"/>
      <c r="G8" s="31"/>
    </row>
    <row r="9" customFormat="false" ht="15" hidden="false" customHeight="false" outlineLevel="0" collapsed="false">
      <c r="A9" s="8" t="s">
        <v>308</v>
      </c>
      <c r="B9" s="9" t="s">
        <v>309</v>
      </c>
      <c r="C9" s="26"/>
      <c r="D9" s="30"/>
      <c r="E9" s="8" t="s">
        <v>300</v>
      </c>
      <c r="F9" s="9"/>
      <c r="G9" s="31"/>
    </row>
    <row r="10" customFormat="false" ht="15" hidden="false" customHeight="false" outlineLevel="0" collapsed="false">
      <c r="A10" s="8" t="s">
        <v>310</v>
      </c>
      <c r="B10" s="9" t="s">
        <v>311</v>
      </c>
      <c r="C10" s="26"/>
      <c r="D10" s="30"/>
      <c r="E10" s="8" t="s">
        <v>300</v>
      </c>
      <c r="F10" s="9"/>
      <c r="G10" s="31"/>
    </row>
    <row r="11" customFormat="false" ht="15" hidden="false" customHeight="false" outlineLevel="0" collapsed="false">
      <c r="A11" s="8" t="s">
        <v>312</v>
      </c>
      <c r="B11" s="9" t="s">
        <v>313</v>
      </c>
      <c r="C11" s="26"/>
      <c r="D11" s="30"/>
      <c r="E11" s="8" t="s">
        <v>300</v>
      </c>
      <c r="F11" s="9"/>
      <c r="G11" s="31"/>
    </row>
    <row r="12" customFormat="false" ht="15" hidden="false" customHeight="false" outlineLevel="0" collapsed="false">
      <c r="A12" s="8" t="s">
        <v>314</v>
      </c>
      <c r="B12" s="9" t="s">
        <v>315</v>
      </c>
      <c r="C12" s="26"/>
      <c r="D12" s="30"/>
      <c r="E12" s="8" t="s">
        <v>300</v>
      </c>
      <c r="F12" s="9"/>
      <c r="G12" s="31"/>
    </row>
    <row r="13" customFormat="false" ht="15" hidden="false" customHeight="false" outlineLevel="0" collapsed="false">
      <c r="A13" s="8" t="s">
        <v>316</v>
      </c>
      <c r="B13" s="9" t="s">
        <v>317</v>
      </c>
      <c r="C13" s="26"/>
      <c r="D13" s="30"/>
      <c r="E13" s="8" t="s">
        <v>300</v>
      </c>
      <c r="F13" s="9"/>
      <c r="G13" s="31"/>
    </row>
    <row r="14" customFormat="false" ht="15" hidden="false" customHeight="false" outlineLevel="0" collapsed="false">
      <c r="A14" s="29" t="s">
        <v>318</v>
      </c>
    </row>
    <row r="15" customFormat="false" ht="15" hidden="false" customHeight="false" outlineLevel="0" collapsed="false">
      <c r="A15" s="8" t="s">
        <v>319</v>
      </c>
      <c r="B15" s="9" t="n">
        <v>600</v>
      </c>
      <c r="C15" s="26" t="s">
        <v>320</v>
      </c>
      <c r="D15" s="30" t="s">
        <v>321</v>
      </c>
      <c r="E15" s="32" t="s">
        <v>322</v>
      </c>
      <c r="F15" s="9"/>
      <c r="G15" s="31"/>
    </row>
    <row r="16" customFormat="false" ht="15" hidden="false" customHeight="false" outlineLevel="0" collapsed="false">
      <c r="A16" s="8" t="s">
        <v>323</v>
      </c>
      <c r="B16" s="9" t="n">
        <v>600</v>
      </c>
      <c r="C16" s="26" t="s">
        <v>320</v>
      </c>
      <c r="D16" s="30" t="s">
        <v>321</v>
      </c>
      <c r="E16" s="32" t="s">
        <v>322</v>
      </c>
      <c r="F16" s="9"/>
      <c r="G16" s="31"/>
    </row>
    <row r="17" customFormat="false" ht="15" hidden="false" customHeight="false" outlineLevel="0" collapsed="false">
      <c r="A17" s="8" t="s">
        <v>324</v>
      </c>
      <c r="B17" s="9" t="n">
        <v>450</v>
      </c>
      <c r="C17" s="26" t="s">
        <v>320</v>
      </c>
      <c r="D17" s="30" t="s">
        <v>325</v>
      </c>
      <c r="E17" s="32" t="s">
        <v>322</v>
      </c>
      <c r="F17" s="9"/>
      <c r="G17" s="31"/>
    </row>
    <row r="18" customFormat="false" ht="15" hidden="false" customHeight="false" outlineLevel="0" collapsed="false">
      <c r="A18" s="8" t="s">
        <v>326</v>
      </c>
      <c r="B18" s="9" t="n">
        <v>1000</v>
      </c>
      <c r="C18" s="26" t="s">
        <v>320</v>
      </c>
      <c r="D18" s="30" t="s">
        <v>327</v>
      </c>
      <c r="E18" s="32" t="s">
        <v>322</v>
      </c>
      <c r="F18" s="9"/>
      <c r="G18" s="31"/>
    </row>
    <row r="19" customFormat="false" ht="15" hidden="false" customHeight="false" outlineLevel="0" collapsed="false">
      <c r="A19" s="8" t="s">
        <v>328</v>
      </c>
      <c r="B19" s="9" t="n">
        <v>28</v>
      </c>
      <c r="C19" s="26" t="s">
        <v>329</v>
      </c>
      <c r="D19" s="30" t="s">
        <v>330</v>
      </c>
      <c r="E19" s="32" t="s">
        <v>322</v>
      </c>
      <c r="F19" s="9"/>
      <c r="G19" s="31"/>
    </row>
    <row r="20" customFormat="false" ht="15" hidden="false" customHeight="false" outlineLevel="0" collapsed="false">
      <c r="A20" s="8" t="s">
        <v>331</v>
      </c>
      <c r="B20" s="9" t="n">
        <v>40</v>
      </c>
      <c r="C20" s="26" t="s">
        <v>320</v>
      </c>
      <c r="D20" s="30" t="s">
        <v>332</v>
      </c>
      <c r="E20" s="32" t="s">
        <v>322</v>
      </c>
      <c r="F20" s="9"/>
      <c r="G20" s="31"/>
    </row>
    <row r="21" customFormat="false" ht="15" hidden="false" customHeight="false" outlineLevel="0" collapsed="false">
      <c r="A21" s="8" t="s">
        <v>333</v>
      </c>
      <c r="B21" s="9" t="n">
        <v>12</v>
      </c>
      <c r="C21" s="26" t="s">
        <v>334</v>
      </c>
      <c r="D21" s="30" t="s">
        <v>335</v>
      </c>
      <c r="E21" s="32" t="s">
        <v>322</v>
      </c>
      <c r="F21" s="9"/>
      <c r="G21" s="31"/>
    </row>
    <row r="22" customFormat="false" ht="15" hidden="false" customHeight="false" outlineLevel="0" collapsed="false">
      <c r="A22" s="8" t="s">
        <v>336</v>
      </c>
      <c r="B22" s="9" t="n">
        <v>5</v>
      </c>
      <c r="C22" s="26" t="s">
        <v>334</v>
      </c>
      <c r="D22" s="30" t="s">
        <v>337</v>
      </c>
      <c r="E22" s="32" t="s">
        <v>322</v>
      </c>
      <c r="F22" s="9"/>
      <c r="G22" s="31"/>
    </row>
    <row r="23" customFormat="false" ht="15" hidden="false" customHeight="false" outlineLevel="0" collapsed="false">
      <c r="A23" s="8" t="s">
        <v>338</v>
      </c>
      <c r="B23" s="9" t="n">
        <v>1</v>
      </c>
      <c r="C23" s="26" t="s">
        <v>339</v>
      </c>
      <c r="D23" s="30" t="s">
        <v>340</v>
      </c>
      <c r="E23" s="32" t="s">
        <v>322</v>
      </c>
      <c r="F23" s="9"/>
      <c r="G23" s="31"/>
    </row>
    <row r="24" customFormat="false" ht="15" hidden="false" customHeight="false" outlineLevel="0" collapsed="false">
      <c r="A24" s="8" t="s">
        <v>341</v>
      </c>
      <c r="B24" s="9" t="n">
        <v>3</v>
      </c>
      <c r="C24" s="26" t="s">
        <v>339</v>
      </c>
      <c r="D24" s="30" t="s">
        <v>340</v>
      </c>
      <c r="E24" s="32" t="s">
        <v>322</v>
      </c>
      <c r="F24" s="9"/>
      <c r="G24" s="31"/>
    </row>
    <row r="25" customFormat="false" ht="15" hidden="false" customHeight="false" outlineLevel="0" collapsed="false">
      <c r="A25" s="8" t="s">
        <v>342</v>
      </c>
      <c r="B25" s="9" t="n">
        <v>0.15</v>
      </c>
      <c r="C25" s="26"/>
      <c r="D25" s="30" t="s">
        <v>343</v>
      </c>
      <c r="E25" s="32" t="s">
        <v>322</v>
      </c>
      <c r="F25" s="9"/>
      <c r="G25" s="31"/>
    </row>
    <row r="26" customFormat="false" ht="15" hidden="false" customHeight="false" outlineLevel="0" collapsed="false">
      <c r="A26" s="8" t="s">
        <v>344</v>
      </c>
      <c r="B26" s="9" t="n">
        <v>0.015</v>
      </c>
      <c r="C26" s="26"/>
      <c r="D26" s="30" t="s">
        <v>345</v>
      </c>
      <c r="E26" s="8" t="s">
        <v>300</v>
      </c>
      <c r="F26" s="9"/>
      <c r="G26" s="31"/>
    </row>
    <row r="27" customFormat="false" ht="15" hidden="false" customHeight="false" outlineLevel="0" collapsed="false">
      <c r="A27" s="8" t="s">
        <v>346</v>
      </c>
      <c r="B27" s="9" t="n">
        <v>10</v>
      </c>
      <c r="C27" s="26" t="s">
        <v>347</v>
      </c>
      <c r="D27" s="30" t="s">
        <v>340</v>
      </c>
      <c r="E27" s="32" t="s">
        <v>322</v>
      </c>
      <c r="F27" s="9"/>
      <c r="G27" s="31"/>
    </row>
    <row r="28" customFormat="false" ht="15" hidden="false" customHeight="false" outlineLevel="0" collapsed="false">
      <c r="A28" s="8" t="s">
        <v>348</v>
      </c>
      <c r="B28" s="9" t="n">
        <v>25</v>
      </c>
      <c r="C28" s="26" t="s">
        <v>347</v>
      </c>
      <c r="D28" s="30" t="s">
        <v>340</v>
      </c>
      <c r="E28" s="32" t="s">
        <v>322</v>
      </c>
      <c r="F28" s="9"/>
      <c r="G28" s="31"/>
    </row>
    <row r="29" customFormat="false" ht="15" hidden="false" customHeight="false" outlineLevel="0" collapsed="false">
      <c r="A29" s="8" t="s">
        <v>349</v>
      </c>
      <c r="B29" s="9" t="n">
        <v>50</v>
      </c>
      <c r="C29" s="26" t="s">
        <v>347</v>
      </c>
      <c r="D29" s="30" t="s">
        <v>340</v>
      </c>
      <c r="E29" s="32" t="s">
        <v>322</v>
      </c>
      <c r="F29" s="9"/>
      <c r="G29" s="31"/>
    </row>
    <row r="30" customFormat="false" ht="15" hidden="false" customHeight="false" outlineLevel="0" collapsed="false">
      <c r="A30" s="29" t="s">
        <v>350</v>
      </c>
    </row>
    <row r="31" customFormat="false" ht="15" hidden="false" customHeight="false" outlineLevel="0" collapsed="false">
      <c r="A31" s="8" t="s">
        <v>351</v>
      </c>
      <c r="B31" s="9" t="n">
        <v>25</v>
      </c>
      <c r="C31" s="26" t="s">
        <v>334</v>
      </c>
      <c r="D31" s="30" t="s">
        <v>352</v>
      </c>
      <c r="E31" s="32" t="s">
        <v>322</v>
      </c>
      <c r="F31" s="9"/>
      <c r="G31" s="31"/>
    </row>
    <row r="32" customFormat="false" ht="15" hidden="false" customHeight="false" outlineLevel="0" collapsed="false">
      <c r="A32" s="8" t="s">
        <v>353</v>
      </c>
      <c r="B32" s="9" t="n">
        <v>120</v>
      </c>
      <c r="C32" s="26" t="s">
        <v>347</v>
      </c>
      <c r="D32" s="30" t="s">
        <v>354</v>
      </c>
      <c r="E32" s="32" t="s">
        <v>322</v>
      </c>
      <c r="F32" s="9"/>
      <c r="G32" s="31"/>
    </row>
    <row r="33" customFormat="false" ht="15" hidden="false" customHeight="false" outlineLevel="0" collapsed="false">
      <c r="A33" s="8" t="s">
        <v>355</v>
      </c>
      <c r="B33" s="9" t="n">
        <v>1.5</v>
      </c>
      <c r="C33" s="26" t="s">
        <v>356</v>
      </c>
      <c r="D33" s="30" t="s">
        <v>357</v>
      </c>
      <c r="E33" s="32" t="s">
        <v>322</v>
      </c>
      <c r="F33" s="9"/>
      <c r="G33" s="31"/>
    </row>
    <row r="34" customFormat="false" ht="15" hidden="false" customHeight="false" outlineLevel="0" collapsed="false">
      <c r="A34" s="8" t="s">
        <v>358</v>
      </c>
      <c r="B34" s="9" t="n">
        <v>1</v>
      </c>
      <c r="C34" s="26" t="s">
        <v>356</v>
      </c>
      <c r="D34" s="30" t="s">
        <v>357</v>
      </c>
      <c r="E34" s="32" t="s">
        <v>322</v>
      </c>
      <c r="F34" s="9"/>
      <c r="G34" s="31"/>
    </row>
    <row r="35" customFormat="false" ht="15" hidden="false" customHeight="false" outlineLevel="0" collapsed="false">
      <c r="A35" s="8" t="s">
        <v>359</v>
      </c>
      <c r="B35" s="9" t="n">
        <v>4</v>
      </c>
      <c r="C35" s="26" t="s">
        <v>356</v>
      </c>
      <c r="D35" s="30" t="s">
        <v>360</v>
      </c>
      <c r="E35" s="32" t="s">
        <v>322</v>
      </c>
      <c r="F35" s="9"/>
      <c r="G35" s="31"/>
    </row>
    <row r="36" customFormat="false" ht="15" hidden="false" customHeight="false" outlineLevel="0" collapsed="false">
      <c r="A36" s="8" t="s">
        <v>361</v>
      </c>
      <c r="B36" s="9" t="n">
        <v>6</v>
      </c>
      <c r="C36" s="26" t="s">
        <v>356</v>
      </c>
      <c r="D36" s="30" t="s">
        <v>362</v>
      </c>
      <c r="E36" s="32" t="s">
        <v>322</v>
      </c>
      <c r="F36" s="9"/>
      <c r="G36" s="31"/>
    </row>
    <row r="37" customFormat="false" ht="15" hidden="false" customHeight="false" outlineLevel="0" collapsed="false">
      <c r="A37" s="8" t="s">
        <v>363</v>
      </c>
      <c r="B37" s="9" t="n">
        <v>1.5</v>
      </c>
      <c r="C37" s="26"/>
      <c r="D37" s="30" t="s">
        <v>364</v>
      </c>
      <c r="E37" s="8" t="s">
        <v>300</v>
      </c>
      <c r="F37" s="9"/>
      <c r="G37" s="31"/>
    </row>
    <row r="38" customFormat="false" ht="15" hidden="false" customHeight="false" outlineLevel="0" collapsed="false">
      <c r="A38" s="29" t="s">
        <v>365</v>
      </c>
    </row>
    <row r="39" customFormat="false" ht="15" hidden="false" customHeight="false" outlineLevel="0" collapsed="false">
      <c r="A39" s="8" t="s">
        <v>366</v>
      </c>
      <c r="B39" s="9" t="n">
        <v>1.5</v>
      </c>
      <c r="C39" s="26" t="s">
        <v>356</v>
      </c>
      <c r="D39" s="30" t="s">
        <v>367</v>
      </c>
      <c r="E39" s="32" t="s">
        <v>322</v>
      </c>
      <c r="F39" s="9"/>
      <c r="G39" s="31"/>
    </row>
    <row r="40" customFormat="false" ht="15" hidden="false" customHeight="false" outlineLevel="0" collapsed="false">
      <c r="A40" s="8" t="s">
        <v>368</v>
      </c>
      <c r="B40" s="9" t="n">
        <v>250</v>
      </c>
      <c r="C40" s="26" t="s">
        <v>320</v>
      </c>
      <c r="D40" s="30" t="s">
        <v>369</v>
      </c>
      <c r="E40" s="32" t="s">
        <v>322</v>
      </c>
      <c r="F40" s="9"/>
      <c r="G40" s="31"/>
    </row>
    <row r="41" customFormat="false" ht="15" hidden="false" customHeight="false" outlineLevel="0" collapsed="false">
      <c r="A41" s="8" t="s">
        <v>370</v>
      </c>
      <c r="B41" s="9" t="n">
        <v>120</v>
      </c>
      <c r="C41" s="26" t="s">
        <v>356</v>
      </c>
      <c r="D41" s="30" t="s">
        <v>371</v>
      </c>
      <c r="E41" s="32" t="s">
        <v>322</v>
      </c>
      <c r="F41" s="9"/>
      <c r="G41" s="31"/>
    </row>
    <row r="42" customFormat="false" ht="15" hidden="false" customHeight="false" outlineLevel="0" collapsed="false">
      <c r="A42" s="8" t="s">
        <v>372</v>
      </c>
      <c r="B42" s="9" t="n">
        <v>6</v>
      </c>
      <c r="C42" s="26" t="s">
        <v>356</v>
      </c>
      <c r="D42" s="30" t="s">
        <v>373</v>
      </c>
      <c r="E42" s="32" t="s">
        <v>322</v>
      </c>
      <c r="F42" s="9"/>
      <c r="G42" s="31"/>
    </row>
    <row r="43" customFormat="false" ht="15" hidden="false" customHeight="false" outlineLevel="0" collapsed="false">
      <c r="A43" s="8" t="s">
        <v>374</v>
      </c>
      <c r="B43" s="9" t="n">
        <v>1000</v>
      </c>
      <c r="C43" s="26" t="s">
        <v>320</v>
      </c>
      <c r="D43" s="30" t="s">
        <v>375</v>
      </c>
      <c r="E43" s="32" t="s">
        <v>322</v>
      </c>
      <c r="F43" s="9"/>
      <c r="G43" s="31"/>
    </row>
    <row r="44" customFormat="false" ht="15" hidden="false" customHeight="false" outlineLevel="0" collapsed="false">
      <c r="A44" s="8" t="s">
        <v>376</v>
      </c>
      <c r="B44" s="9" t="n">
        <v>1.1</v>
      </c>
      <c r="C44" s="26"/>
      <c r="D44" s="30" t="s">
        <v>377</v>
      </c>
      <c r="E44" s="8" t="s">
        <v>300</v>
      </c>
      <c r="F44" s="9"/>
      <c r="G44" s="31"/>
    </row>
    <row r="45" customFormat="false" ht="15" hidden="false" customHeight="false" outlineLevel="0" collapsed="false">
      <c r="A45" s="29" t="s">
        <v>378</v>
      </c>
    </row>
    <row r="46" customFormat="false" ht="15" hidden="false" customHeight="false" outlineLevel="0" collapsed="false">
      <c r="A46" s="8" t="s">
        <v>379</v>
      </c>
      <c r="B46" s="9" t="n">
        <v>2.4</v>
      </c>
      <c r="C46" s="26" t="s">
        <v>356</v>
      </c>
      <c r="D46" s="30" t="s">
        <v>380</v>
      </c>
      <c r="E46" s="32" t="s">
        <v>322</v>
      </c>
      <c r="F46" s="9"/>
      <c r="G46" s="31"/>
    </row>
    <row r="47" customFormat="false" ht="15" hidden="false" customHeight="false" outlineLevel="0" collapsed="false">
      <c r="A47" s="8" t="s">
        <v>381</v>
      </c>
      <c r="B47" s="9" t="n">
        <v>5.7</v>
      </c>
      <c r="C47" s="26" t="s">
        <v>356</v>
      </c>
      <c r="D47" s="30" t="s">
        <v>382</v>
      </c>
      <c r="E47" s="32" t="s">
        <v>322</v>
      </c>
      <c r="F47" s="9"/>
      <c r="G47" s="31"/>
    </row>
    <row r="48" customFormat="false" ht="15" hidden="false" customHeight="false" outlineLevel="0" collapsed="false">
      <c r="A48" s="8" t="s">
        <v>383</v>
      </c>
      <c r="B48" s="9" t="n">
        <v>2.4</v>
      </c>
      <c r="C48" s="26" t="s">
        <v>356</v>
      </c>
      <c r="D48" s="30" t="s">
        <v>384</v>
      </c>
      <c r="E48" s="32" t="s">
        <v>322</v>
      </c>
      <c r="F48" s="9"/>
      <c r="G48" s="31"/>
    </row>
    <row r="49" customFormat="false" ht="15" hidden="false" customHeight="false" outlineLevel="0" collapsed="false">
      <c r="A49" s="8" t="s">
        <v>385</v>
      </c>
      <c r="B49" s="9" t="n">
        <v>3.6</v>
      </c>
      <c r="C49" s="26" t="s">
        <v>356</v>
      </c>
      <c r="D49" s="30" t="s">
        <v>384</v>
      </c>
      <c r="E49" s="32" t="s">
        <v>322</v>
      </c>
      <c r="F49" s="9"/>
      <c r="G49" s="31"/>
    </row>
    <row r="50" customFormat="false" ht="15" hidden="false" customHeight="false" outlineLevel="0" collapsed="false">
      <c r="A50" s="8" t="s">
        <v>386</v>
      </c>
      <c r="B50" s="9" t="n">
        <v>22</v>
      </c>
      <c r="C50" s="26" t="s">
        <v>339</v>
      </c>
      <c r="D50" s="30" t="s">
        <v>387</v>
      </c>
      <c r="E50" s="32" t="s">
        <v>322</v>
      </c>
      <c r="F50" s="9"/>
      <c r="G50" s="31"/>
    </row>
    <row r="51" customFormat="false" ht="15" hidden="false" customHeight="false" outlineLevel="0" collapsed="false">
      <c r="A51" s="8" t="s">
        <v>388</v>
      </c>
      <c r="B51" s="9" t="n">
        <v>4</v>
      </c>
      <c r="C51" s="26" t="s">
        <v>389</v>
      </c>
      <c r="D51" s="30" t="s">
        <v>390</v>
      </c>
      <c r="E51" s="32" t="s">
        <v>322</v>
      </c>
      <c r="F51" s="9"/>
      <c r="G51" s="31"/>
    </row>
    <row r="52" customFormat="false" ht="15" hidden="false" customHeight="false" outlineLevel="0" collapsed="false">
      <c r="A52" s="8" t="s">
        <v>391</v>
      </c>
      <c r="B52" s="9" t="n">
        <v>25</v>
      </c>
      <c r="C52" s="26" t="s">
        <v>329</v>
      </c>
      <c r="D52" s="30" t="s">
        <v>392</v>
      </c>
      <c r="E52" s="32" t="s">
        <v>322</v>
      </c>
      <c r="F52" s="9"/>
      <c r="G52" s="31"/>
    </row>
    <row r="54" customFormat="false" ht="15" hidden="false" customHeight="false" outlineLevel="0" collapsed="false">
      <c r="A54" s="29" t="s">
        <v>393</v>
      </c>
    </row>
    <row r="55" customFormat="false" ht="15" hidden="false" customHeight="false" outlineLevel="0" collapsed="false">
      <c r="A55" s="7" t="s">
        <v>394</v>
      </c>
      <c r="B55" s="7" t="s">
        <v>395</v>
      </c>
      <c r="C55" s="7"/>
      <c r="D55" s="7" t="s">
        <v>396</v>
      </c>
      <c r="E55" s="7" t="s">
        <v>122</v>
      </c>
      <c r="F55" s="7" t="s">
        <v>294</v>
      </c>
      <c r="G55" s="7" t="s">
        <v>295</v>
      </c>
    </row>
    <row r="56" customFormat="false" ht="15" hidden="false" customHeight="false" outlineLevel="0" collapsed="false">
      <c r="A56" s="8" t="s">
        <v>397</v>
      </c>
      <c r="B56" s="9" t="s">
        <v>398</v>
      </c>
      <c r="D56" s="26" t="s">
        <v>399</v>
      </c>
      <c r="E56" s="32" t="s">
        <v>322</v>
      </c>
      <c r="F56" s="9"/>
      <c r="G56" s="9"/>
    </row>
    <row r="57" customFormat="false" ht="15" hidden="false" customHeight="false" outlineLevel="0" collapsed="false">
      <c r="A57" s="8" t="s">
        <v>400</v>
      </c>
      <c r="B57" s="9" t="s">
        <v>401</v>
      </c>
      <c r="D57" s="26" t="s">
        <v>402</v>
      </c>
      <c r="E57" s="32" t="s">
        <v>322</v>
      </c>
      <c r="F57" s="9"/>
      <c r="G57" s="9"/>
    </row>
    <row r="58" customFormat="false" ht="15" hidden="false" customHeight="false" outlineLevel="0" collapsed="false">
      <c r="A58" s="8" t="s">
        <v>403</v>
      </c>
      <c r="B58" s="9" t="s">
        <v>404</v>
      </c>
      <c r="D58" s="26" t="s">
        <v>405</v>
      </c>
      <c r="E58" s="32" t="s">
        <v>322</v>
      </c>
      <c r="F58" s="9"/>
      <c r="G58" s="9"/>
    </row>
    <row r="59" customFormat="false" ht="15" hidden="false" customHeight="false" outlineLevel="0" collapsed="false">
      <c r="A59" s="8" t="s">
        <v>406</v>
      </c>
      <c r="B59" s="9" t="s">
        <v>407</v>
      </c>
      <c r="D59" s="26" t="s">
        <v>408</v>
      </c>
      <c r="E59" s="32" t="s">
        <v>322</v>
      </c>
      <c r="F59" s="9"/>
      <c r="G59" s="9"/>
    </row>
    <row r="60" customFormat="false" ht="15" hidden="false" customHeight="false" outlineLevel="0" collapsed="false">
      <c r="A60" s="8" t="s">
        <v>409</v>
      </c>
      <c r="B60" s="9" t="s">
        <v>410</v>
      </c>
      <c r="D60" s="26" t="s">
        <v>411</v>
      </c>
      <c r="E60" s="32" t="s">
        <v>322</v>
      </c>
      <c r="F60" s="9"/>
      <c r="G60" s="9"/>
    </row>
    <row r="61" customFormat="false" ht="15" hidden="false" customHeight="false" outlineLevel="0" collapsed="false">
      <c r="A61" s="8" t="s">
        <v>412</v>
      </c>
      <c r="B61" s="9" t="s">
        <v>413</v>
      </c>
      <c r="D61" s="26" t="s">
        <v>414</v>
      </c>
      <c r="E61" s="32" t="s">
        <v>322</v>
      </c>
      <c r="F61" s="9"/>
      <c r="G61" s="9"/>
    </row>
    <row r="62" customFormat="false" ht="15" hidden="false" customHeight="false" outlineLevel="0" collapsed="false">
      <c r="A62" s="8" t="s">
        <v>415</v>
      </c>
      <c r="B62" s="9" t="s">
        <v>416</v>
      </c>
      <c r="D62" s="26" t="s">
        <v>417</v>
      </c>
      <c r="E62" s="32" t="s">
        <v>322</v>
      </c>
      <c r="F62" s="9"/>
      <c r="G62" s="9"/>
    </row>
    <row r="63" customFormat="false" ht="15" hidden="false" customHeight="false" outlineLevel="0" collapsed="false">
      <c r="A63" s="8" t="s">
        <v>418</v>
      </c>
      <c r="B63" s="9" t="s">
        <v>419</v>
      </c>
      <c r="D63" s="26" t="s">
        <v>420</v>
      </c>
      <c r="E63" s="32" t="s">
        <v>322</v>
      </c>
      <c r="F63" s="9"/>
      <c r="G63" s="9"/>
    </row>
    <row r="64" customFormat="false" ht="15" hidden="false" customHeight="false" outlineLevel="0" collapsed="false">
      <c r="A64" s="8" t="s">
        <v>421</v>
      </c>
      <c r="B64" s="9" t="s">
        <v>410</v>
      </c>
      <c r="D64" s="26" t="s">
        <v>422</v>
      </c>
      <c r="E64" s="32" t="s">
        <v>322</v>
      </c>
      <c r="F64" s="9"/>
      <c r="G64"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S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
    <col collapsed="false" customWidth="true" hidden="false" outlineLevel="0" max="4" min="4" style="0" width="34"/>
    <col collapsed="false" customWidth="true" hidden="false" outlineLevel="0" max="5" min="5" style="0" width="7"/>
    <col collapsed="false" customWidth="true" hidden="false" outlineLevel="0" max="7" min="7" style="0" width="34"/>
    <col collapsed="false" customWidth="true" hidden="false" outlineLevel="0" max="8" min="8" style="0" width="7"/>
    <col collapsed="false" customWidth="true" hidden="false" outlineLevel="0" max="10" min="10" style="0" width="34"/>
    <col collapsed="false" customWidth="true" hidden="false" outlineLevel="0" max="11" min="11" style="0" width="7"/>
    <col collapsed="false" customWidth="true" hidden="false" outlineLevel="0" max="13" min="13" style="0" width="34"/>
    <col collapsed="false" customWidth="true" hidden="false" outlineLevel="0" max="14" min="14" style="0" width="7"/>
    <col collapsed="false" customWidth="true" hidden="false" outlineLevel="0" max="16" min="16" style="0" width="34"/>
    <col collapsed="false" customWidth="true" hidden="false" outlineLevel="0" max="17" min="17" style="0" width="7"/>
    <col collapsed="false" customWidth="true" hidden="false" outlineLevel="0" max="19" min="19" style="0" width="34"/>
    <col collapsed="false" customWidth="true" hidden="false" outlineLevel="0" max="20" min="20" style="0" width="7"/>
    <col collapsed="false" customWidth="true" hidden="false" outlineLevel="0" max="22" min="22" style="0" width="34"/>
    <col collapsed="false" customWidth="true" hidden="false" outlineLevel="0" max="23" min="23" style="0" width="7"/>
    <col collapsed="false" customWidth="true" hidden="false" outlineLevel="0" max="25" min="25" style="0" width="34"/>
    <col collapsed="false" customWidth="true" hidden="false" outlineLevel="0" max="26" min="26" style="0" width="7"/>
    <col collapsed="false" customWidth="true" hidden="false" outlineLevel="0" max="28" min="28" style="0" width="34"/>
    <col collapsed="false" customWidth="true" hidden="false" outlineLevel="0" max="29" min="29" style="0" width="7"/>
    <col collapsed="false" customWidth="true" hidden="false" outlineLevel="0" max="31" min="31" style="0" width="34"/>
    <col collapsed="false" customWidth="true" hidden="false" outlineLevel="0" max="32" min="32" style="0" width="7"/>
    <col collapsed="false" customWidth="true" hidden="false" outlineLevel="0" max="34" min="34" style="0" width="34"/>
    <col collapsed="false" customWidth="true" hidden="false" outlineLevel="0" max="35" min="35" style="0" width="7"/>
    <col collapsed="false" customWidth="true" hidden="false" outlineLevel="0" max="37" min="37" style="0" width="34"/>
    <col collapsed="false" customWidth="true" hidden="false" outlineLevel="0" max="38" min="38" style="0" width="7"/>
    <col collapsed="false" customWidth="true" hidden="false" outlineLevel="0" max="40" min="40" style="0" width="34"/>
    <col collapsed="false" customWidth="true" hidden="false" outlineLevel="0" max="41" min="41" style="0" width="7"/>
    <col collapsed="false" customWidth="true" hidden="false" outlineLevel="0" max="43" min="43" style="0" width="34"/>
    <col collapsed="false" customWidth="true" hidden="false" outlineLevel="0" max="44" min="44" style="0" width="7"/>
    <col collapsed="false" customWidth="true" hidden="false" outlineLevel="0" max="46" min="46" style="0" width="34"/>
    <col collapsed="false" customWidth="true" hidden="false" outlineLevel="0" max="47" min="47" style="0" width="7"/>
    <col collapsed="false" customWidth="true" hidden="false" outlineLevel="0" max="49" min="49" style="0" width="34"/>
    <col collapsed="false" customWidth="true" hidden="false" outlineLevel="0" max="50" min="50" style="0" width="7"/>
    <col collapsed="false" customWidth="true" hidden="false" outlineLevel="0" max="52" min="52" style="0" width="34"/>
    <col collapsed="false" customWidth="true" hidden="false" outlineLevel="0" max="53" min="53" style="0" width="7"/>
    <col collapsed="false" customWidth="true" hidden="false" outlineLevel="0" max="55" min="55" style="0" width="34"/>
    <col collapsed="false" customWidth="true" hidden="false" outlineLevel="0" max="56" min="56" style="0" width="7"/>
    <col collapsed="false" customWidth="true" hidden="false" outlineLevel="0" max="58" min="58" style="0" width="34"/>
    <col collapsed="false" customWidth="true" hidden="false" outlineLevel="0" max="59" min="59" style="0" width="7"/>
    <col collapsed="false" customWidth="true" hidden="false" outlineLevel="0" max="61" min="61" style="0" width="34"/>
    <col collapsed="false" customWidth="true" hidden="false" outlineLevel="0" max="62" min="62" style="0" width="7"/>
    <col collapsed="false" customWidth="true" hidden="false" outlineLevel="0" max="64" min="64" style="0" width="34"/>
    <col collapsed="false" customWidth="true" hidden="false" outlineLevel="0" max="65" min="65" style="0" width="7"/>
    <col collapsed="false" customWidth="true" hidden="false" outlineLevel="0" max="67" min="67" style="0" width="34"/>
    <col collapsed="false" customWidth="true" hidden="false" outlineLevel="0" max="68" min="68" style="0" width="7"/>
    <col collapsed="false" customWidth="true" hidden="false" outlineLevel="0" max="70" min="70" style="0" width="34"/>
    <col collapsed="false" customWidth="true" hidden="false" outlineLevel="0" max="71" min="71" style="0" width="7"/>
  </cols>
  <sheetData>
    <row r="1" customFormat="false" ht="15" hidden="false" customHeight="false" outlineLevel="0" collapsed="false">
      <c r="A1" s="6" t="s">
        <v>423</v>
      </c>
    </row>
    <row r="3" customFormat="false" ht="15" hidden="false" customHeight="false" outlineLevel="0" collapsed="false">
      <c r="A3" s="22" t="s">
        <v>424</v>
      </c>
      <c r="B3" s="22" t="s">
        <v>425</v>
      </c>
      <c r="D3" s="22" t="s">
        <v>426</v>
      </c>
      <c r="E3" s="22" t="s">
        <v>425</v>
      </c>
      <c r="G3" s="22" t="s">
        <v>427</v>
      </c>
      <c r="H3" s="22" t="s">
        <v>425</v>
      </c>
      <c r="J3" s="22" t="s">
        <v>71</v>
      </c>
      <c r="K3" s="22" t="s">
        <v>425</v>
      </c>
      <c r="M3" s="22" t="s">
        <v>428</v>
      </c>
      <c r="N3" s="22" t="s">
        <v>425</v>
      </c>
      <c r="P3" s="22" t="s">
        <v>429</v>
      </c>
      <c r="Q3" s="22" t="s">
        <v>425</v>
      </c>
      <c r="S3" s="22" t="s">
        <v>430</v>
      </c>
      <c r="T3" s="22" t="s">
        <v>425</v>
      </c>
      <c r="V3" s="22" t="s">
        <v>431</v>
      </c>
      <c r="W3" s="22" t="s">
        <v>425</v>
      </c>
      <c r="Y3" s="22" t="s">
        <v>432</v>
      </c>
      <c r="Z3" s="22" t="s">
        <v>425</v>
      </c>
      <c r="AB3" s="22" t="s">
        <v>433</v>
      </c>
      <c r="AC3" s="22" t="s">
        <v>425</v>
      </c>
      <c r="AE3" s="22" t="s">
        <v>434</v>
      </c>
      <c r="AF3" s="22" t="s">
        <v>425</v>
      </c>
      <c r="AH3" s="22" t="s">
        <v>435</v>
      </c>
      <c r="AI3" s="22" t="s">
        <v>425</v>
      </c>
      <c r="AK3" s="22" t="s">
        <v>436</v>
      </c>
      <c r="AL3" s="22" t="s">
        <v>425</v>
      </c>
      <c r="AN3" s="22" t="s">
        <v>1</v>
      </c>
      <c r="AO3" s="22" t="s">
        <v>425</v>
      </c>
      <c r="AQ3" s="22" t="s">
        <v>437</v>
      </c>
      <c r="AR3" s="22" t="s">
        <v>425</v>
      </c>
      <c r="AT3" s="22" t="s">
        <v>438</v>
      </c>
      <c r="AU3" s="22" t="s">
        <v>425</v>
      </c>
      <c r="AW3" s="22" t="s">
        <v>439</v>
      </c>
      <c r="AX3" s="22" t="s">
        <v>425</v>
      </c>
      <c r="AZ3" s="22" t="s">
        <v>440</v>
      </c>
      <c r="BA3" s="22" t="s">
        <v>425</v>
      </c>
      <c r="BC3" s="22" t="s">
        <v>122</v>
      </c>
      <c r="BD3" s="22" t="s">
        <v>425</v>
      </c>
      <c r="BF3" s="22" t="s">
        <v>441</v>
      </c>
      <c r="BG3" s="22" t="s">
        <v>425</v>
      </c>
      <c r="BI3" s="22" t="s">
        <v>442</v>
      </c>
      <c r="BJ3" s="22" t="s">
        <v>425</v>
      </c>
      <c r="BL3" s="22" t="s">
        <v>119</v>
      </c>
      <c r="BM3" s="22" t="s">
        <v>425</v>
      </c>
      <c r="BO3" s="22" t="s">
        <v>443</v>
      </c>
      <c r="BP3" s="22" t="s">
        <v>425</v>
      </c>
      <c r="BR3" s="22" t="s">
        <v>444</v>
      </c>
      <c r="BS3" s="22" t="s">
        <v>425</v>
      </c>
    </row>
    <row r="4" customFormat="false" ht="15" hidden="false" customHeight="false" outlineLevel="0" collapsed="false">
      <c r="A4" s="33" t="s">
        <v>56</v>
      </c>
      <c r="B4" s="33" t="s">
        <v>445</v>
      </c>
      <c r="D4" s="33" t="s">
        <v>446</v>
      </c>
      <c r="G4" s="33" t="s">
        <v>447</v>
      </c>
      <c r="J4" s="33" t="s">
        <v>448</v>
      </c>
      <c r="K4" s="33" t="s">
        <v>449</v>
      </c>
      <c r="M4" s="33" t="s">
        <v>58</v>
      </c>
      <c r="N4" s="33" t="s">
        <v>450</v>
      </c>
      <c r="P4" s="33" t="s">
        <v>59</v>
      </c>
      <c r="Q4" s="33" t="s">
        <v>451</v>
      </c>
      <c r="S4" s="33" t="s">
        <v>452</v>
      </c>
      <c r="T4" s="33" t="s">
        <v>453</v>
      </c>
      <c r="V4" s="33" t="s">
        <v>454</v>
      </c>
      <c r="W4" s="33" t="s">
        <v>455</v>
      </c>
      <c r="Y4" s="33" t="s">
        <v>456</v>
      </c>
      <c r="Z4" s="33" t="s">
        <v>457</v>
      </c>
      <c r="AB4" s="33" t="s">
        <v>61</v>
      </c>
      <c r="AC4" s="33" t="s">
        <v>458</v>
      </c>
      <c r="AE4" s="33" t="s">
        <v>459</v>
      </c>
      <c r="AF4" s="33" t="s">
        <v>460</v>
      </c>
      <c r="AH4" s="33" t="s">
        <v>461</v>
      </c>
      <c r="AK4" s="33" t="s">
        <v>232</v>
      </c>
      <c r="AL4" s="33" t="s">
        <v>462</v>
      </c>
      <c r="AN4" s="33" t="s">
        <v>253</v>
      </c>
      <c r="AQ4" s="33" t="s">
        <v>240</v>
      </c>
      <c r="AR4" s="33" t="s">
        <v>463</v>
      </c>
      <c r="AT4" s="33" t="s">
        <v>464</v>
      </c>
      <c r="AW4" s="33" t="s">
        <v>465</v>
      </c>
      <c r="AZ4" s="33" t="s">
        <v>466</v>
      </c>
      <c r="BC4" s="33" t="s">
        <v>246</v>
      </c>
      <c r="BF4" s="33" t="s">
        <v>467</v>
      </c>
      <c r="BI4" s="33" t="s">
        <v>468</v>
      </c>
      <c r="BJ4" s="33" t="s">
        <v>469</v>
      </c>
      <c r="BL4" s="33" t="s">
        <v>356</v>
      </c>
      <c r="BO4" s="33" t="s">
        <v>470</v>
      </c>
      <c r="BR4" s="33" t="n">
        <v>10</v>
      </c>
    </row>
    <row r="5" customFormat="false" ht="15" hidden="false" customHeight="false" outlineLevel="0" collapsed="false">
      <c r="A5" s="33" t="s">
        <v>171</v>
      </c>
      <c r="B5" s="33" t="s">
        <v>471</v>
      </c>
      <c r="D5" s="33" t="s">
        <v>472</v>
      </c>
      <c r="G5" s="33" t="s">
        <v>473</v>
      </c>
      <c r="J5" s="33" t="s">
        <v>474</v>
      </c>
      <c r="K5" s="33" t="s">
        <v>475</v>
      </c>
      <c r="M5" s="33" t="s">
        <v>195</v>
      </c>
      <c r="N5" s="33" t="s">
        <v>476</v>
      </c>
      <c r="P5" s="33" t="s">
        <v>211</v>
      </c>
      <c r="Q5" s="33" t="s">
        <v>477</v>
      </c>
      <c r="S5" s="33" t="s">
        <v>69</v>
      </c>
      <c r="T5" s="33" t="s">
        <v>478</v>
      </c>
      <c r="V5" s="33" t="s">
        <v>79</v>
      </c>
      <c r="W5" s="33" t="s">
        <v>479</v>
      </c>
      <c r="Y5" s="33" t="s">
        <v>480</v>
      </c>
      <c r="Z5" s="33" t="s">
        <v>481</v>
      </c>
      <c r="AB5" s="33" t="s">
        <v>221</v>
      </c>
      <c r="AC5" s="33" t="s">
        <v>482</v>
      </c>
      <c r="AE5" s="33" t="s">
        <v>483</v>
      </c>
      <c r="AF5" s="33" t="s">
        <v>479</v>
      </c>
      <c r="AH5" s="33" t="s">
        <v>484</v>
      </c>
      <c r="AK5" s="33" t="s">
        <v>233</v>
      </c>
      <c r="AL5" s="33" t="s">
        <v>485</v>
      </c>
      <c r="AN5" s="33" t="s">
        <v>486</v>
      </c>
      <c r="AQ5" s="33" t="s">
        <v>241</v>
      </c>
      <c r="AR5" s="33" t="s">
        <v>487</v>
      </c>
      <c r="AT5" s="33" t="s">
        <v>488</v>
      </c>
      <c r="AW5" s="33" t="s">
        <v>489</v>
      </c>
      <c r="AZ5" s="33" t="s">
        <v>490</v>
      </c>
      <c r="BC5" s="33" t="s">
        <v>245</v>
      </c>
      <c r="BF5" s="33" t="s">
        <v>74</v>
      </c>
      <c r="BI5" s="33" t="s">
        <v>491</v>
      </c>
      <c r="BJ5" s="33" t="s">
        <v>492</v>
      </c>
      <c r="BL5" s="33" t="s">
        <v>493</v>
      </c>
      <c r="BO5" s="33" t="s">
        <v>494</v>
      </c>
      <c r="BR5" s="33" t="n">
        <v>20</v>
      </c>
    </row>
    <row r="6" customFormat="false" ht="15" hidden="false" customHeight="false" outlineLevel="0" collapsed="false">
      <c r="A6" s="33" t="s">
        <v>172</v>
      </c>
      <c r="B6" s="33" t="s">
        <v>495</v>
      </c>
      <c r="D6" s="33" t="s">
        <v>496</v>
      </c>
      <c r="G6" s="33" t="s">
        <v>497</v>
      </c>
      <c r="J6" s="33" t="s">
        <v>72</v>
      </c>
      <c r="K6" s="33" t="s">
        <v>498</v>
      </c>
      <c r="M6" s="33" t="s">
        <v>196</v>
      </c>
      <c r="N6" s="33" t="s">
        <v>499</v>
      </c>
      <c r="P6" s="33" t="s">
        <v>212</v>
      </c>
      <c r="Q6" s="33" t="s">
        <v>500</v>
      </c>
      <c r="S6" s="33" t="s">
        <v>501</v>
      </c>
      <c r="T6" s="33" t="s">
        <v>502</v>
      </c>
      <c r="Y6" s="33" t="s">
        <v>503</v>
      </c>
      <c r="Z6" s="33" t="s">
        <v>504</v>
      </c>
      <c r="AB6" s="33" t="s">
        <v>222</v>
      </c>
      <c r="AC6" s="33" t="s">
        <v>505</v>
      </c>
      <c r="AK6" s="33" t="s">
        <v>234</v>
      </c>
      <c r="AL6" s="33" t="s">
        <v>506</v>
      </c>
      <c r="AN6" s="33" t="s">
        <v>507</v>
      </c>
      <c r="AQ6" s="33" t="s">
        <v>242</v>
      </c>
      <c r="AR6" s="33" t="s">
        <v>508</v>
      </c>
      <c r="AT6" s="33" t="s">
        <v>509</v>
      </c>
      <c r="AW6" s="33" t="s">
        <v>510</v>
      </c>
      <c r="AZ6" s="33" t="s">
        <v>511</v>
      </c>
      <c r="BC6" s="33" t="s">
        <v>244</v>
      </c>
      <c r="BI6" s="33" t="s">
        <v>512</v>
      </c>
      <c r="BJ6" s="33" t="s">
        <v>512</v>
      </c>
      <c r="BL6" s="33" t="s">
        <v>513</v>
      </c>
      <c r="BO6" s="33" t="s">
        <v>514</v>
      </c>
      <c r="BR6" s="33" t="n">
        <v>25</v>
      </c>
    </row>
    <row r="7" customFormat="false" ht="15" hidden="false" customHeight="false" outlineLevel="0" collapsed="false">
      <c r="A7" s="33" t="s">
        <v>173</v>
      </c>
      <c r="B7" s="33" t="s">
        <v>515</v>
      </c>
      <c r="D7" s="33" t="s">
        <v>516</v>
      </c>
      <c r="G7" s="33" t="s">
        <v>517</v>
      </c>
      <c r="J7" s="33" t="s">
        <v>518</v>
      </c>
      <c r="K7" s="33" t="s">
        <v>519</v>
      </c>
      <c r="M7" s="33" t="s">
        <v>197</v>
      </c>
      <c r="N7" s="33" t="s">
        <v>520</v>
      </c>
      <c r="P7" s="33" t="s">
        <v>213</v>
      </c>
      <c r="Q7" s="33" t="s">
        <v>462</v>
      </c>
      <c r="S7" s="33" t="s">
        <v>521</v>
      </c>
      <c r="T7" s="33" t="s">
        <v>522</v>
      </c>
      <c r="Y7" s="33" t="s">
        <v>76</v>
      </c>
      <c r="Z7" s="33" t="s">
        <v>523</v>
      </c>
      <c r="AB7" s="33" t="s">
        <v>223</v>
      </c>
      <c r="AC7" s="33" t="s">
        <v>524</v>
      </c>
      <c r="AK7" s="33" t="s">
        <v>215</v>
      </c>
      <c r="AL7" s="33" t="s">
        <v>525</v>
      </c>
      <c r="AN7" s="33" t="s">
        <v>526</v>
      </c>
      <c r="AT7" s="33" t="s">
        <v>527</v>
      </c>
      <c r="AZ7" s="33" t="s">
        <v>528</v>
      </c>
      <c r="BC7" s="33" t="s">
        <v>247</v>
      </c>
      <c r="BI7" s="33" t="s">
        <v>529</v>
      </c>
      <c r="BJ7" s="33" t="s">
        <v>529</v>
      </c>
      <c r="BL7" s="33" t="s">
        <v>530</v>
      </c>
      <c r="BO7" s="33" t="s">
        <v>531</v>
      </c>
      <c r="BR7" s="33" t="n">
        <v>50</v>
      </c>
    </row>
    <row r="8" customFormat="false" ht="15" hidden="false" customHeight="false" outlineLevel="0" collapsed="false">
      <c r="A8" s="33" t="s">
        <v>174</v>
      </c>
      <c r="B8" s="33" t="s">
        <v>532</v>
      </c>
      <c r="D8" s="33" t="s">
        <v>533</v>
      </c>
      <c r="J8" s="33" t="s">
        <v>534</v>
      </c>
      <c r="K8" s="33" t="s">
        <v>535</v>
      </c>
      <c r="M8" s="33" t="s">
        <v>198</v>
      </c>
      <c r="N8" s="33" t="s">
        <v>536</v>
      </c>
      <c r="P8" s="33" t="s">
        <v>214</v>
      </c>
      <c r="Q8" s="33" t="s">
        <v>537</v>
      </c>
      <c r="S8" s="33" t="s">
        <v>538</v>
      </c>
      <c r="T8" s="33" t="s">
        <v>539</v>
      </c>
      <c r="Y8" s="33" t="s">
        <v>540</v>
      </c>
      <c r="Z8" s="33" t="s">
        <v>541</v>
      </c>
      <c r="AB8" s="33" t="s">
        <v>224</v>
      </c>
      <c r="AC8" s="33" t="s">
        <v>542</v>
      </c>
      <c r="AK8" s="33" t="s">
        <v>235</v>
      </c>
      <c r="AL8" s="33" t="s">
        <v>500</v>
      </c>
      <c r="AN8" s="33" t="s">
        <v>543</v>
      </c>
      <c r="AT8" s="33" t="s">
        <v>544</v>
      </c>
      <c r="BI8" s="33" t="s">
        <v>545</v>
      </c>
      <c r="BJ8" s="33" t="s">
        <v>546</v>
      </c>
      <c r="BL8" s="33" t="s">
        <v>547</v>
      </c>
      <c r="BO8" s="33" t="s">
        <v>548</v>
      </c>
      <c r="BR8" s="33" t="n">
        <v>100</v>
      </c>
    </row>
    <row r="9" customFormat="false" ht="15" hidden="false" customHeight="false" outlineLevel="0" collapsed="false">
      <c r="A9" s="33" t="s">
        <v>175</v>
      </c>
      <c r="B9" s="33" t="s">
        <v>549</v>
      </c>
      <c r="D9" s="33" t="s">
        <v>550</v>
      </c>
      <c r="M9" s="33" t="s">
        <v>199</v>
      </c>
      <c r="N9" s="33" t="s">
        <v>551</v>
      </c>
      <c r="P9" s="33" t="s">
        <v>215</v>
      </c>
      <c r="Q9" s="33" t="s">
        <v>525</v>
      </c>
      <c r="S9" s="33" t="s">
        <v>552</v>
      </c>
      <c r="T9" s="33" t="s">
        <v>553</v>
      </c>
      <c r="Y9" s="33" t="s">
        <v>554</v>
      </c>
      <c r="Z9" s="33" t="s">
        <v>555</v>
      </c>
      <c r="AB9" s="33" t="s">
        <v>225</v>
      </c>
      <c r="AC9" s="33" t="s">
        <v>556</v>
      </c>
      <c r="AK9" s="33" t="s">
        <v>236</v>
      </c>
      <c r="AL9" s="33" t="s">
        <v>557</v>
      </c>
      <c r="AN9" s="33" t="s">
        <v>558</v>
      </c>
      <c r="AT9" s="33" t="s">
        <v>559</v>
      </c>
      <c r="BI9" s="33" t="s">
        <v>256</v>
      </c>
      <c r="BJ9" s="33" t="s">
        <v>560</v>
      </c>
      <c r="BO9" s="33" t="s">
        <v>561</v>
      </c>
    </row>
    <row r="10" customFormat="false" ht="15" hidden="false" customHeight="false" outlineLevel="0" collapsed="false">
      <c r="A10" s="33" t="s">
        <v>176</v>
      </c>
      <c r="B10" s="33" t="s">
        <v>562</v>
      </c>
      <c r="D10" s="33" t="s">
        <v>563</v>
      </c>
      <c r="M10" s="33" t="s">
        <v>200</v>
      </c>
      <c r="N10" s="33" t="s">
        <v>564</v>
      </c>
      <c r="P10" s="33" t="s">
        <v>216</v>
      </c>
      <c r="Q10" s="33" t="s">
        <v>565</v>
      </c>
      <c r="S10" s="33" t="s">
        <v>566</v>
      </c>
      <c r="T10" s="33" t="s">
        <v>567</v>
      </c>
      <c r="Y10" s="33" t="s">
        <v>568</v>
      </c>
      <c r="Z10" s="33" t="s">
        <v>569</v>
      </c>
      <c r="AK10" s="33" t="s">
        <v>237</v>
      </c>
      <c r="AL10" s="33" t="s">
        <v>570</v>
      </c>
    </row>
    <row r="11" customFormat="false" ht="15" hidden="false" customHeight="false" outlineLevel="0" collapsed="false">
      <c r="A11" s="33" t="s">
        <v>177</v>
      </c>
      <c r="B11" s="33" t="s">
        <v>571</v>
      </c>
      <c r="M11" s="33" t="s">
        <v>201</v>
      </c>
      <c r="N11" s="33" t="s">
        <v>572</v>
      </c>
      <c r="P11" s="33" t="s">
        <v>217</v>
      </c>
      <c r="Q11" s="33" t="s">
        <v>573</v>
      </c>
    </row>
    <row r="12" customFormat="false" ht="15" hidden="false" customHeight="false" outlineLevel="0" collapsed="false">
      <c r="A12" s="33" t="s">
        <v>178</v>
      </c>
      <c r="B12" s="33" t="s">
        <v>574</v>
      </c>
    </row>
    <row r="13" customFormat="false" ht="15" hidden="false" customHeight="false" outlineLevel="0" collapsed="false">
      <c r="A13" s="33" t="s">
        <v>179</v>
      </c>
      <c r="B13" s="33" t="s">
        <v>575</v>
      </c>
    </row>
    <row r="14" customFormat="false" ht="15" hidden="false" customHeight="false" outlineLevel="0" collapsed="false">
      <c r="A14" s="33" t="s">
        <v>180</v>
      </c>
      <c r="B14" s="33" t="s">
        <v>576</v>
      </c>
    </row>
    <row r="15" customFormat="false" ht="15" hidden="false" customHeight="false" outlineLevel="0" collapsed="false">
      <c r="A15" s="33" t="s">
        <v>181</v>
      </c>
      <c r="B15" s="33" t="s">
        <v>577</v>
      </c>
    </row>
    <row r="16" customFormat="false" ht="15" hidden="false" customHeight="false" outlineLevel="0" collapsed="false">
      <c r="A16" s="33" t="s">
        <v>182</v>
      </c>
      <c r="B16" s="33" t="s">
        <v>578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W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44"/>
    <col collapsed="false" customWidth="true" hidden="false" outlineLevel="0" max="3" min="3" style="0" width="18"/>
    <col collapsed="false" customWidth="true" hidden="false" outlineLevel="0" max="4" min="4" style="0" width="17"/>
    <col collapsed="false" customWidth="true" hidden="false" outlineLevel="0" max="5" min="5" style="0" width="14"/>
    <col collapsed="false" customWidth="true" hidden="false" outlineLevel="0" max="6" min="6" style="0" width="9"/>
    <col collapsed="false" customWidth="true" hidden="false" outlineLevel="0" max="7" min="7" style="0" width="10"/>
    <col collapsed="false" customWidth="true" hidden="false" outlineLevel="0" max="8" min="8" style="0" width="6"/>
    <col collapsed="false" customWidth="true" hidden="false" outlineLevel="0" max="11" min="9" style="0" width="7"/>
    <col collapsed="false" customWidth="true" hidden="false" outlineLevel="0" max="12" min="12" style="0" width="20"/>
    <col collapsed="false" customWidth="true" hidden="false" outlineLevel="0" max="13" min="13" style="0" width="14"/>
    <col collapsed="false" customWidth="true" hidden="false" outlineLevel="0" max="14" min="14" style="0" width="8"/>
    <col collapsed="false" customWidth="true" hidden="false" outlineLevel="0" max="15" min="15" style="0" width="7"/>
    <col collapsed="false" customWidth="true" hidden="false" outlineLevel="0" max="19" min="16" style="0" width="10"/>
    <col collapsed="false" customWidth="true" hidden="false" outlineLevel="0" max="20" min="20" style="0" width="30"/>
    <col collapsed="false" customWidth="true" hidden="false" outlineLevel="0" max="21" min="21" style="0" width="5"/>
    <col collapsed="false" customWidth="true" hidden="false" outlineLevel="0" max="22" min="22" style="0" width="10"/>
    <col collapsed="false" customWidth="true" hidden="false" outlineLevel="0" max="23" min="23" style="0" width="14"/>
    <col collapsed="false" customWidth="true" hidden="false" outlineLevel="0" max="24" min="24" style="0" width="8"/>
    <col collapsed="false" customWidth="true" hidden="false" outlineLevel="0" max="25" min="25" style="0" width="9"/>
    <col collapsed="false" customWidth="true" hidden="false" outlineLevel="0" max="26" min="26" style="0" width="46"/>
    <col collapsed="false" customWidth="true" hidden="false" outlineLevel="0" max="31" min="27" style="0" width="30"/>
    <col collapsed="false" customWidth="true" hidden="false" outlineLevel="0" max="32" min="32" style="0" width="9"/>
    <col collapsed="false" customWidth="true" hidden="false" outlineLevel="0" max="33" min="33" style="0" width="6"/>
    <col collapsed="false" customWidth="true" hidden="false" outlineLevel="0" max="38" min="34" style="0" width="9"/>
    <col collapsed="false" customWidth="true" hidden="false" outlineLevel="0" max="39" min="39" style="0" width="10"/>
    <col collapsed="false" customWidth="true" hidden="false" outlineLevel="0" max="40" min="40" style="0" width="9"/>
    <col collapsed="false" customWidth="true" hidden="false" outlineLevel="0" max="41" min="41" style="0" width="44"/>
    <col collapsed="false" customWidth="true" hidden="false" outlineLevel="0" max="42" min="42" style="0" width="36"/>
    <col collapsed="false" customWidth="true" hidden="false" outlineLevel="0" max="43" min="43" style="0" width="22"/>
    <col collapsed="false" customWidth="true" hidden="false" outlineLevel="0" max="45" min="44" style="0" width="10"/>
    <col collapsed="false" customWidth="true" hidden="false" outlineLevel="0" max="47" min="46" style="0" width="11"/>
    <col collapsed="false" customWidth="true" hidden="false" outlineLevel="0" max="48" min="48" style="0" width="8"/>
    <col collapsed="false" customWidth="true" hidden="false" outlineLevel="0" max="49" min="49" style="0" width="34"/>
  </cols>
  <sheetData>
    <row r="1" customFormat="false" ht="17.35" hidden="false" customHeight="false" outlineLevel="0" collapsed="false">
      <c r="A1" s="5" t="s">
        <v>579</v>
      </c>
    </row>
    <row r="2" customFormat="false" ht="15" hidden="false" customHeight="false" outlineLevel="0" collapsed="false">
      <c r="A2" s="6" t="s">
        <v>580</v>
      </c>
    </row>
    <row r="3" customFormat="false" ht="15" hidden="false" customHeight="false" outlineLevel="0" collapsed="false">
      <c r="A3" s="6" t="s">
        <v>581</v>
      </c>
    </row>
    <row r="4" customFormat="false" ht="54" hidden="false" customHeight="true" outlineLevel="0" collapsed="false">
      <c r="A4" s="16" t="s">
        <v>92</v>
      </c>
      <c r="B4" s="16" t="s">
        <v>93</v>
      </c>
      <c r="C4" s="15" t="s">
        <v>582</v>
      </c>
      <c r="D4" s="15" t="s">
        <v>426</v>
      </c>
      <c r="E4" s="15" t="s">
        <v>583</v>
      </c>
      <c r="F4" s="15" t="s">
        <v>584</v>
      </c>
      <c r="G4" s="15" t="s">
        <v>585</v>
      </c>
      <c r="H4" s="15" t="s">
        <v>586</v>
      </c>
      <c r="I4" s="15" t="s">
        <v>587</v>
      </c>
      <c r="J4" s="15" t="s">
        <v>588</v>
      </c>
      <c r="K4" s="15" t="s">
        <v>589</v>
      </c>
      <c r="L4" s="15" t="s">
        <v>71</v>
      </c>
      <c r="M4" s="15" t="s">
        <v>590</v>
      </c>
      <c r="N4" s="15" t="s">
        <v>591</v>
      </c>
      <c r="O4" s="15" t="s">
        <v>592</v>
      </c>
      <c r="P4" s="15" t="s">
        <v>593</v>
      </c>
      <c r="Q4" s="15" t="s">
        <v>594</v>
      </c>
      <c r="R4" s="15" t="s">
        <v>595</v>
      </c>
      <c r="S4" s="15" t="s">
        <v>596</v>
      </c>
      <c r="T4" s="15" t="s">
        <v>597</v>
      </c>
      <c r="U4" s="15" t="s">
        <v>121</v>
      </c>
      <c r="V4" s="15" t="s">
        <v>122</v>
      </c>
      <c r="W4" s="15" t="s">
        <v>123</v>
      </c>
      <c r="X4" s="15" t="s">
        <v>598</v>
      </c>
      <c r="Y4" s="15" t="s">
        <v>599</v>
      </c>
      <c r="Z4" s="34" t="s">
        <v>600</v>
      </c>
      <c r="AA4" s="34" t="s">
        <v>601</v>
      </c>
      <c r="AB4" s="34" t="s">
        <v>602</v>
      </c>
      <c r="AC4" s="34" t="s">
        <v>603</v>
      </c>
      <c r="AD4" s="34" t="s">
        <v>604</v>
      </c>
      <c r="AE4" s="34" t="s">
        <v>605</v>
      </c>
      <c r="AF4" s="15" t="s">
        <v>606</v>
      </c>
      <c r="AG4" s="15" t="s">
        <v>607</v>
      </c>
      <c r="AH4" s="17" t="s">
        <v>608</v>
      </c>
      <c r="AI4" s="17" t="s">
        <v>609</v>
      </c>
      <c r="AJ4" s="17" t="s">
        <v>610</v>
      </c>
      <c r="AK4" s="17" t="s">
        <v>611</v>
      </c>
      <c r="AL4" s="17" t="s">
        <v>612</v>
      </c>
      <c r="AM4" s="16" t="s">
        <v>613</v>
      </c>
      <c r="AN4" s="16" t="s">
        <v>614</v>
      </c>
      <c r="AO4" s="16" t="s">
        <v>615</v>
      </c>
      <c r="AP4" s="15" t="s">
        <v>616</v>
      </c>
      <c r="AQ4" s="15" t="s">
        <v>617</v>
      </c>
      <c r="AR4" s="15" t="s">
        <v>618</v>
      </c>
      <c r="AS4" s="15" t="s">
        <v>619</v>
      </c>
      <c r="AT4" s="15" t="s">
        <v>620</v>
      </c>
      <c r="AU4" s="15" t="s">
        <v>621</v>
      </c>
      <c r="AV4" s="16" t="s">
        <v>622</v>
      </c>
      <c r="AW4" s="16" t="s">
        <v>623</v>
      </c>
    </row>
    <row r="5" customFormat="false" ht="15" hidden="false" customHeight="false" outlineLevel="0" collapsed="false">
      <c r="A5" s="10" t="str">
        <f aca="false">IF(C5="","","DRN-"&amp;IFERROR(VLOOKUP(C5,Lists!$A$4:$B$27,2,0),"??")&amp;"-"&amp;TEXT(F5,"0000")&amp;"x"&amp;TEXT(G5,"0000")&amp;IF(N(H5)&gt;1,"-"&amp;H5&amp;"C","")&amp;"-"&amp;IFERROR(VLOOKUP(L5,Lists!$J$4:$K$19,2,0),"??")&amp;"-"&amp;U5)</f>
        <v>DRN-PUD-0600x0600-S12-A</v>
      </c>
      <c r="B5" s="10" t="str">
        <f aca="false">IF(C5="","",C5&amp;" "&amp;F5&amp;"W x "&amp;G5&amp;"D"&amp;IF(N(H5)&gt;1," ("&amp;H5&amp;" cells)","")&amp;", "&amp;D5&amp;", "&amp;L5&amp;", "&amp;E5)</f>
        <v>Precast U-Drain 600W x 600D, Roadside drain, Drain surcharge 12 kPa (SDRE), Open</v>
      </c>
      <c r="C5" s="18" t="s">
        <v>56</v>
      </c>
      <c r="D5" s="18" t="s">
        <v>446</v>
      </c>
      <c r="E5" s="18" t="s">
        <v>447</v>
      </c>
      <c r="F5" s="35" t="n">
        <v>600</v>
      </c>
      <c r="G5" s="35" t="n">
        <v>600</v>
      </c>
      <c r="H5" s="35" t="n">
        <v>1</v>
      </c>
      <c r="I5" s="35" t="n">
        <v>100</v>
      </c>
      <c r="J5" s="35" t="n">
        <v>100</v>
      </c>
      <c r="K5" s="35"/>
      <c r="L5" s="18" t="s">
        <v>72</v>
      </c>
      <c r="M5" s="18" t="s">
        <v>624</v>
      </c>
      <c r="N5" s="18" t="s">
        <v>531</v>
      </c>
      <c r="O5" s="35" t="n">
        <v>40</v>
      </c>
      <c r="P5" s="18" t="s">
        <v>625</v>
      </c>
      <c r="Q5" s="18" t="s">
        <v>625</v>
      </c>
      <c r="R5" s="18" t="s">
        <v>626</v>
      </c>
      <c r="S5" s="18" t="s">
        <v>626</v>
      </c>
      <c r="T5" s="18" t="s">
        <v>627</v>
      </c>
      <c r="U5" s="18" t="s">
        <v>628</v>
      </c>
      <c r="V5" s="18" t="s">
        <v>244</v>
      </c>
      <c r="W5" s="18" t="s">
        <v>629</v>
      </c>
      <c r="X5" s="18" t="n">
        <v>20</v>
      </c>
      <c r="Y5" s="18" t="s">
        <v>74</v>
      </c>
      <c r="Z5" s="10" t="str">
        <f aca="false">IF(A5="","",SG_Criteria!$B$6&amp;SG_Criteria!$B$7&amp;"\"&amp;A5&amp;"\")</f>
        <v>C:\Users\yourname\YourCompany\Design Library - Documents\01_Drainage\DRN-PUD-0600x0600-S12-A\</v>
      </c>
      <c r="AA5" s="10" t="str">
        <f aca="false">IF(A5="","",A5&amp;"_CAD.dwg")</f>
        <v>DRN-PUD-0600x0600-S12-A_CAD.dwg</v>
      </c>
      <c r="AB5" s="10" t="str">
        <f aca="false">IF(A5="","",A5&amp;"_DWG.pdf")</f>
        <v>DRN-PUD-0600x0600-S12-A_DWG.pdf</v>
      </c>
      <c r="AC5" s="10" t="str">
        <f aca="false">IF(A5="","",IF(Y5="Y",A5&amp;"_STAAD.std","n/a"))</f>
        <v>n/a</v>
      </c>
      <c r="AD5" s="10" t="str">
        <f aca="false">IF(A5="","",A5&amp;"_CALC.xlsx")</f>
        <v>DRN-PUD-0600x0600-S12-A_CALC.xlsx</v>
      </c>
      <c r="AE5" s="10" t="str">
        <f aca="false">IF(A5="","",A5&amp;"_CALC.pdf")</f>
        <v>DRN-PUD-0600x0600-S12-A_CALC.pdf</v>
      </c>
      <c r="AF5" s="18" t="s">
        <v>74</v>
      </c>
      <c r="AG5" s="18" t="s">
        <v>356</v>
      </c>
      <c r="AH5" s="36" t="n">
        <v>0.18</v>
      </c>
      <c r="AI5" s="36" t="n">
        <v>14</v>
      </c>
      <c r="AJ5" s="36" t="n">
        <v>0</v>
      </c>
      <c r="AK5" s="36" t="n">
        <v>0</v>
      </c>
      <c r="AL5" s="36" t="n">
        <v>1.3</v>
      </c>
      <c r="AM5" s="37" t="n">
        <f aca="false">IF(OR(C5="",F5="",G5="",C5="Sump",C5="Drop Inlet Chamber",C5="Silt Trap",C5="Pipe Culvert",C5="Subsoil Drain"),"",ROUND(MAX(1,N(H5))*(1/SG_Criteria!$B$26)*((F5/1000)*(G5/1000*(1-SG_Criteria!$B$25)))*(((F5/1000)*(G5/1000*(1-SG_Criteria!$B$25)))/((F5/1000)+2*(G5/1000*(1-SG_Criteria!$B$25))))^(2/3)*(1/Design_Selector!$B$11)^0.5,3))</f>
        <v>0.3</v>
      </c>
      <c r="AN5" s="11" t="n">
        <f aca="false">IF(AM5="","",ROUND(AM5/(MAX(1,N(H5))*F5/1000*(G5/1000*(1-SG_Criteria!$B$25))),2))</f>
        <v>0.98</v>
      </c>
      <c r="AO5" s="38" t="str">
        <f aca="false">IF(C5="","",IF(LEN(IF(AND(OR(D5="Roadside drain",D5="Entrance culvert"),OR(F5&lt;SG_Criteria!$B$15,G5&lt;SG_Criteria!$B$16)),"FAIL: below PUB min "&amp;SG_Criteria!$B$15&amp;"x"&amp;SG_Criteria!$B$16&amp;" for roadside drain. ","")&amp;IF(AND(D5="Common drain",F5&lt;SG_Criteria!$B$17),"FAIL: common drain W &lt; "&amp;SG_Criteria!$B$17&amp;" mm. ","")&amp;IF(AND(N5&lt;&gt;"",IFERROR(VALUE(MID(N5,2,2)),0)&lt;SG_Criteria!$B$19),"FAIL: grade below C"&amp;SG_Criteria!$B$19&amp;". ","")&amp;IF(AND(O5&lt;&gt;"",O5&lt;SG_Criteria!$B$20),"FAIL: cover &lt; "&amp;SG_Criteria!$B$20&amp;" mm. ","")&amp;IF(AND(E5="Open",G5&gt;SG_Criteria!$B$18),"NOTE: safety railing required (D &gt; "&amp;SG_Criteria!$B$18&amp;" mm). ","")&amp;IF(AND(D5="Entrance culvert",G5&lt;600),"NOTE: check hinged grating rule for culverts &lt; 600 deep (PUB Add. 3). ",""))=0,"OK",IF(AND(OR(D5="Roadside drain",D5="Entrance culvert"),OR(F5&lt;SG_Criteria!$B$15,G5&lt;SG_Criteria!$B$16)),"FAIL: below PUB min "&amp;SG_Criteria!$B$15&amp;"x"&amp;SG_Criteria!$B$16&amp;" for roadside drain. ","")&amp;IF(AND(D5="Common drain",F5&lt;SG_Criteria!$B$17),"FAIL: common drain W &lt; "&amp;SG_Criteria!$B$17&amp;" mm. ","")&amp;IF(AND(N5&lt;&gt;"",IFERROR(VALUE(MID(N5,2,2)),0)&lt;SG_Criteria!$B$19),"FAIL: grade below C"&amp;SG_Criteria!$B$19&amp;". ","")&amp;IF(AND(O5&lt;&gt;"",O5&lt;SG_Criteria!$B$20),"FAIL: cover &lt; "&amp;SG_Criteria!$B$20&amp;" mm. ","")&amp;IF(AND(E5="Open",G5&gt;SG_Criteria!$B$18),"NOTE: safety railing required (D &gt; "&amp;SG_Criteria!$B$18&amp;" mm). ","")&amp;IF(AND(D5="Entrance culvert",G5&lt;600),"NOTE: check hinged grating rule for culverts &lt; 600 deep (PUB Add. 3). ","")))</f>
        <v>OK</v>
      </c>
      <c r="AP5" s="18" t="s">
        <v>630</v>
      </c>
      <c r="AQ5" s="18"/>
      <c r="AR5" s="18" t="s">
        <v>631</v>
      </c>
      <c r="AS5" s="18" t="s">
        <v>631</v>
      </c>
      <c r="AT5" s="18" t="s">
        <v>631</v>
      </c>
      <c r="AU5" s="39" t="n">
        <v>46309</v>
      </c>
      <c r="AV5" s="10" t="str">
        <f aca="false">IF(C5="","",IF(AND(V5="Approved",ISERROR(SEARCH("FAIL",AO5))),"Y","N"))</f>
        <v>Y</v>
      </c>
      <c r="AW5" s="10" t="str">
        <f aca="false">IF(C5="","",C5&amp;"|"&amp;F5&amp;"|"&amp;G5&amp;"|"&amp;L5&amp;"|"&amp;AV5)</f>
        <v>Precast U-Drain|600|600|Drain surcharge 12 kPa (SDRE)|Y</v>
      </c>
    </row>
    <row r="6" customFormat="false" ht="15" hidden="false" customHeight="false" outlineLevel="0" collapsed="false">
      <c r="A6" s="10" t="str">
        <f aca="false">IF(C6="","","DRN-"&amp;IFERROR(VLOOKUP(C6,Lists!$A$4:$B$27,2,0),"??")&amp;"-"&amp;TEXT(F6,"0000")&amp;"x"&amp;TEXT(G6,"0000")&amp;IF(N(H6)&gt;1,"-"&amp;H6&amp;"C","")&amp;"-"&amp;IFERROR(VLOOKUP(L6,Lists!$J$4:$K$19,2,0),"??")&amp;"-"&amp;U6)</f>
        <v>DRN-PUD-0900x0900-S12-A</v>
      </c>
      <c r="B6" s="10" t="str">
        <f aca="false">IF(C6="","",C6&amp;" "&amp;F6&amp;"W x "&amp;G6&amp;"D"&amp;IF(N(H6)&gt;1," ("&amp;H6&amp;" cells)","")&amp;", "&amp;D6&amp;", "&amp;L6&amp;", "&amp;E6)</f>
        <v>Precast U-Drain 900W x 900D, Roadside drain, Drain surcharge 12 kPa (SDRE), Open</v>
      </c>
      <c r="C6" s="18" t="s">
        <v>56</v>
      </c>
      <c r="D6" s="18" t="s">
        <v>446</v>
      </c>
      <c r="E6" s="18" t="s">
        <v>447</v>
      </c>
      <c r="F6" s="35" t="n">
        <v>900</v>
      </c>
      <c r="G6" s="35" t="n">
        <v>900</v>
      </c>
      <c r="H6" s="35" t="n">
        <v>1</v>
      </c>
      <c r="I6" s="35" t="n">
        <v>125</v>
      </c>
      <c r="J6" s="35" t="n">
        <v>125</v>
      </c>
      <c r="K6" s="35"/>
      <c r="L6" s="18" t="s">
        <v>72</v>
      </c>
      <c r="M6" s="18" t="s">
        <v>624</v>
      </c>
      <c r="N6" s="18" t="s">
        <v>531</v>
      </c>
      <c r="O6" s="35" t="n">
        <v>40</v>
      </c>
      <c r="P6" s="18" t="s">
        <v>632</v>
      </c>
      <c r="Q6" s="18" t="s">
        <v>632</v>
      </c>
      <c r="R6" s="18" t="s">
        <v>626</v>
      </c>
      <c r="S6" s="18" t="s">
        <v>626</v>
      </c>
      <c r="T6" s="18" t="s">
        <v>627</v>
      </c>
      <c r="U6" s="18" t="s">
        <v>628</v>
      </c>
      <c r="V6" s="18" t="s">
        <v>244</v>
      </c>
      <c r="W6" s="18" t="s">
        <v>633</v>
      </c>
      <c r="X6" s="18" t="n">
        <v>20</v>
      </c>
      <c r="Y6" s="18" t="s">
        <v>74</v>
      </c>
      <c r="Z6" s="10" t="str">
        <f aca="false">IF(A6="","",SG_Criteria!$B$6&amp;SG_Criteria!$B$7&amp;"\"&amp;A6&amp;"\")</f>
        <v>C:\Users\yourname\YourCompany\Design Library - Documents\01_Drainage\DRN-PUD-0900x0900-S12-A\</v>
      </c>
      <c r="AA6" s="10" t="str">
        <f aca="false">IF(A6="","",A6&amp;"_CAD.dwg")</f>
        <v>DRN-PUD-0900x0900-S12-A_CAD.dwg</v>
      </c>
      <c r="AB6" s="10" t="str">
        <f aca="false">IF(A6="","",A6&amp;"_DWG.pdf")</f>
        <v>DRN-PUD-0900x0900-S12-A_DWG.pdf</v>
      </c>
      <c r="AC6" s="10" t="str">
        <f aca="false">IF(A6="","",IF(Y6="Y",A6&amp;"_STAAD.std","n/a"))</f>
        <v>n/a</v>
      </c>
      <c r="AD6" s="10" t="str">
        <f aca="false">IF(A6="","",A6&amp;"_CALC.xlsx")</f>
        <v>DRN-PUD-0900x0900-S12-A_CALC.xlsx</v>
      </c>
      <c r="AE6" s="10" t="str">
        <f aca="false">IF(A6="","",A6&amp;"_CALC.pdf")</f>
        <v>DRN-PUD-0900x0900-S12-A_CALC.pdf</v>
      </c>
      <c r="AF6" s="18" t="s">
        <v>74</v>
      </c>
      <c r="AG6" s="18" t="s">
        <v>356</v>
      </c>
      <c r="AH6" s="36" t="n">
        <v>0.34</v>
      </c>
      <c r="AI6" s="36" t="n">
        <v>24</v>
      </c>
      <c r="AJ6" s="36" t="n">
        <v>0</v>
      </c>
      <c r="AK6" s="36" t="n">
        <v>0</v>
      </c>
      <c r="AL6" s="36" t="n">
        <v>2.2</v>
      </c>
      <c r="AM6" s="37" t="n">
        <f aca="false">IF(OR(C6="",F6="",G6="",C6="Sump",C6="Drop Inlet Chamber",C6="Silt Trap",C6="Pipe Culvert",C6="Subsoil Drain"),"",ROUND(MAX(1,N(H6))*(1/SG_Criteria!$B$26)*((F6/1000)*(G6/1000*(1-SG_Criteria!$B$25)))*(((F6/1000)*(G6/1000*(1-SG_Criteria!$B$25)))/((F6/1000)+2*(G6/1000*(1-SG_Criteria!$B$25))))^(2/3)*(1/Design_Selector!$B$11)^0.5,3))</f>
        <v>0.886</v>
      </c>
      <c r="AN6" s="11" t="n">
        <f aca="false">IF(AM6="","",ROUND(AM6/(MAX(1,N(H6))*F6/1000*(G6/1000*(1-SG_Criteria!$B$25))),2))</f>
        <v>1.29</v>
      </c>
      <c r="AO6" s="38" t="str">
        <f aca="false">IF(C6="","",IF(LEN(IF(AND(OR(D6="Roadside drain",D6="Entrance culvert"),OR(F6&lt;SG_Criteria!$B$15,G6&lt;SG_Criteria!$B$16)),"FAIL: below PUB min "&amp;SG_Criteria!$B$15&amp;"x"&amp;SG_Criteria!$B$16&amp;" for roadside drain. ","")&amp;IF(AND(D6="Common drain",F6&lt;SG_Criteria!$B$17),"FAIL: common drain W &lt; "&amp;SG_Criteria!$B$17&amp;" mm. ","")&amp;IF(AND(N6&lt;&gt;"",IFERROR(VALUE(MID(N6,2,2)),0)&lt;SG_Criteria!$B$19),"FAIL: grade below C"&amp;SG_Criteria!$B$19&amp;". ","")&amp;IF(AND(O6&lt;&gt;"",O6&lt;SG_Criteria!$B$20),"FAIL: cover &lt; "&amp;SG_Criteria!$B$20&amp;" mm. ","")&amp;IF(AND(E6="Open",G6&gt;SG_Criteria!$B$18),"NOTE: safety railing required (D &gt; "&amp;SG_Criteria!$B$18&amp;" mm). ","")&amp;IF(AND(D6="Entrance culvert",G6&lt;600),"NOTE: check hinged grating rule for culverts &lt; 600 deep (PUB Add. 3). ",""))=0,"OK",IF(AND(OR(D6="Roadside drain",D6="Entrance culvert"),OR(F6&lt;SG_Criteria!$B$15,G6&lt;SG_Criteria!$B$16)),"FAIL: below PUB min "&amp;SG_Criteria!$B$15&amp;"x"&amp;SG_Criteria!$B$16&amp;" for roadside drain. ","")&amp;IF(AND(D6="Common drain",F6&lt;SG_Criteria!$B$17),"FAIL: common drain W &lt; "&amp;SG_Criteria!$B$17&amp;" mm. ","")&amp;IF(AND(N6&lt;&gt;"",IFERROR(VALUE(MID(N6,2,2)),0)&lt;SG_Criteria!$B$19),"FAIL: grade below C"&amp;SG_Criteria!$B$19&amp;". ","")&amp;IF(AND(O6&lt;&gt;"",O6&lt;SG_Criteria!$B$20),"FAIL: cover &lt; "&amp;SG_Criteria!$B$20&amp;" mm. ","")&amp;IF(AND(E6="Open",G6&gt;SG_Criteria!$B$18),"NOTE: safety railing required (D &gt; "&amp;SG_Criteria!$B$18&amp;" mm). ","")&amp;IF(AND(D6="Entrance culvert",G6&lt;600),"NOTE: check hinged grating rule for culverts &lt; 600 deep (PUB Add. 3). ","")))</f>
        <v>OK</v>
      </c>
      <c r="AP6" s="18" t="s">
        <v>634</v>
      </c>
      <c r="AQ6" s="18"/>
      <c r="AR6" s="18" t="s">
        <v>631</v>
      </c>
      <c r="AS6" s="18" t="s">
        <v>631</v>
      </c>
      <c r="AT6" s="18" t="s">
        <v>631</v>
      </c>
      <c r="AU6" s="39" t="n">
        <v>46309</v>
      </c>
      <c r="AV6" s="10" t="str">
        <f aca="false">IF(C6="","",IF(AND(V6="Approved",ISERROR(SEARCH("FAIL",AO6))),"Y","N"))</f>
        <v>Y</v>
      </c>
      <c r="AW6" s="10" t="str">
        <f aca="false">IF(C6="","",C6&amp;"|"&amp;F6&amp;"|"&amp;G6&amp;"|"&amp;L6&amp;"|"&amp;AV6)</f>
        <v>Precast U-Drain|900|900|Drain surcharge 12 kPa (SDRE)|Y</v>
      </c>
    </row>
    <row r="7" customFormat="false" ht="15" hidden="false" customHeight="false" outlineLevel="0" collapsed="false">
      <c r="A7" s="10" t="str">
        <f aca="false">IF(C7="","","DRN-"&amp;IFERROR(VLOOKUP(C7,Lists!$A$4:$B$27,2,0),"??")&amp;"-"&amp;TEXT(F7,"0000")&amp;"x"&amp;TEXT(G7,"0000")&amp;IF(N(H7)&gt;1,"-"&amp;H7&amp;"C","")&amp;"-"&amp;IFERROR(VLOOKUP(L7,Lists!$J$4:$K$19,2,0),"??")&amp;"-"&amp;U7)</f>
        <v>DRN-SUD-0600x0750-FWY-A</v>
      </c>
      <c r="B7" s="10" t="str">
        <f aca="false">IF(C7="","",C7&amp;" "&amp;F7&amp;"W x "&amp;G7&amp;"D"&amp;IF(N(H7)&gt;1," ("&amp;H7&amp;" cells)","")&amp;", "&amp;D7&amp;", "&amp;L7&amp;", "&amp;E7)</f>
        <v>Slabbed-over U-Drain 600W x 750D, Roadside drain, Footway 5 kPa (SDRE), Covered - RC slab</v>
      </c>
      <c r="C7" s="18" t="s">
        <v>171</v>
      </c>
      <c r="D7" s="18" t="s">
        <v>446</v>
      </c>
      <c r="E7" s="18" t="s">
        <v>473</v>
      </c>
      <c r="F7" s="35" t="n">
        <v>600</v>
      </c>
      <c r="G7" s="35" t="n">
        <v>750</v>
      </c>
      <c r="H7" s="35" t="n">
        <v>1</v>
      </c>
      <c r="I7" s="35" t="n">
        <v>125</v>
      </c>
      <c r="J7" s="35" t="n">
        <v>125</v>
      </c>
      <c r="K7" s="35" t="n">
        <v>125</v>
      </c>
      <c r="L7" s="18" t="s">
        <v>474</v>
      </c>
      <c r="M7" s="18" t="s">
        <v>635</v>
      </c>
      <c r="N7" s="18" t="s">
        <v>531</v>
      </c>
      <c r="O7" s="35" t="n">
        <v>40</v>
      </c>
      <c r="P7" s="18" t="s">
        <v>636</v>
      </c>
      <c r="Q7" s="18" t="s">
        <v>636</v>
      </c>
      <c r="R7" s="18" t="s">
        <v>636</v>
      </c>
      <c r="S7" s="18" t="s">
        <v>637</v>
      </c>
      <c r="T7" s="18" t="s">
        <v>627</v>
      </c>
      <c r="U7" s="18" t="s">
        <v>628</v>
      </c>
      <c r="V7" s="18" t="s">
        <v>244</v>
      </c>
      <c r="W7" s="18" t="s">
        <v>638</v>
      </c>
      <c r="X7" s="18" t="n">
        <v>20</v>
      </c>
      <c r="Y7" s="18" t="s">
        <v>74</v>
      </c>
      <c r="Z7" s="10" t="str">
        <f aca="false">IF(A7="","",SG_Criteria!$B$6&amp;SG_Criteria!$B$7&amp;"\"&amp;A7&amp;"\")</f>
        <v>C:\Users\yourname\YourCompany\Design Library - Documents\01_Drainage\DRN-SUD-0600x0750-FWY-A\</v>
      </c>
      <c r="AA7" s="10" t="str">
        <f aca="false">IF(A7="","",A7&amp;"_CAD.dwg")</f>
        <v>DRN-SUD-0600x0750-FWY-A_CAD.dwg</v>
      </c>
      <c r="AB7" s="10" t="str">
        <f aca="false">IF(A7="","",A7&amp;"_DWG.pdf")</f>
        <v>DRN-SUD-0600x0750-FWY-A_DWG.pdf</v>
      </c>
      <c r="AC7" s="10" t="str">
        <f aca="false">IF(A7="","",IF(Y7="Y",A7&amp;"_STAAD.std","n/a"))</f>
        <v>n/a</v>
      </c>
      <c r="AD7" s="10" t="str">
        <f aca="false">IF(A7="","",A7&amp;"_CALC.xlsx")</f>
        <v>DRN-SUD-0600x0750-FWY-A_CALC.xlsx</v>
      </c>
      <c r="AE7" s="10" t="str">
        <f aca="false">IF(A7="","",A7&amp;"_CALC.pdf")</f>
        <v>DRN-SUD-0600x0750-FWY-A_CALC.pdf</v>
      </c>
      <c r="AF7" s="18" t="s">
        <v>74</v>
      </c>
      <c r="AG7" s="18" t="s">
        <v>356</v>
      </c>
      <c r="AH7" s="36" t="n">
        <v>0.43</v>
      </c>
      <c r="AI7" s="36" t="n">
        <v>38</v>
      </c>
      <c r="AJ7" s="36" t="n">
        <v>0</v>
      </c>
      <c r="AK7" s="36" t="n">
        <v>2.6</v>
      </c>
      <c r="AL7" s="36" t="n">
        <v>1.8</v>
      </c>
      <c r="AM7" s="37" t="n">
        <f aca="false">IF(OR(C7="",F7="",G7="",C7="Sump",C7="Drop Inlet Chamber",C7="Silt Trap",C7="Pipe Culvert",C7="Subsoil Drain"),"",ROUND(MAX(1,N(H7))*(1/SG_Criteria!$B$26)*((F7/1000)*(G7/1000*(1-SG_Criteria!$B$25)))*(((F7/1000)*(G7/1000*(1-SG_Criteria!$B$25)))/((F7/1000)+2*(G7/1000*(1-SG_Criteria!$B$25))))^(2/3)*(1/Design_Selector!$B$11)^0.5,3))</f>
        <v>0.395</v>
      </c>
      <c r="AN7" s="11" t="n">
        <f aca="false">IF(AM7="","",ROUND(AM7/(MAX(1,N(H7))*F7/1000*(G7/1000*(1-SG_Criteria!$B$25))),2))</f>
        <v>1.03</v>
      </c>
      <c r="AO7" s="38" t="str">
        <f aca="false">IF(C7="","",IF(LEN(IF(AND(OR(D7="Roadside drain",D7="Entrance culvert"),OR(F7&lt;SG_Criteria!$B$15,G7&lt;SG_Criteria!$B$16)),"FAIL: below PUB min "&amp;SG_Criteria!$B$15&amp;"x"&amp;SG_Criteria!$B$16&amp;" for roadside drain. ","")&amp;IF(AND(D7="Common drain",F7&lt;SG_Criteria!$B$17),"FAIL: common drain W &lt; "&amp;SG_Criteria!$B$17&amp;" mm. ","")&amp;IF(AND(N7&lt;&gt;"",IFERROR(VALUE(MID(N7,2,2)),0)&lt;SG_Criteria!$B$19),"FAIL: grade below C"&amp;SG_Criteria!$B$19&amp;". ","")&amp;IF(AND(O7&lt;&gt;"",O7&lt;SG_Criteria!$B$20),"FAIL: cover &lt; "&amp;SG_Criteria!$B$20&amp;" mm. ","")&amp;IF(AND(E7="Open",G7&gt;SG_Criteria!$B$18),"NOTE: safety railing required (D &gt; "&amp;SG_Criteria!$B$18&amp;" mm). ","")&amp;IF(AND(D7="Entrance culvert",G7&lt;600),"NOTE: check hinged grating rule for culverts &lt; 600 deep (PUB Add. 3). ",""))=0,"OK",IF(AND(OR(D7="Roadside drain",D7="Entrance culvert"),OR(F7&lt;SG_Criteria!$B$15,G7&lt;SG_Criteria!$B$16)),"FAIL: below PUB min "&amp;SG_Criteria!$B$15&amp;"x"&amp;SG_Criteria!$B$16&amp;" for roadside drain. ","")&amp;IF(AND(D7="Common drain",F7&lt;SG_Criteria!$B$17),"FAIL: common drain W &lt; "&amp;SG_Criteria!$B$17&amp;" mm. ","")&amp;IF(AND(N7&lt;&gt;"",IFERROR(VALUE(MID(N7,2,2)),0)&lt;SG_Criteria!$B$19),"FAIL: grade below C"&amp;SG_Criteria!$B$19&amp;". ","")&amp;IF(AND(O7&lt;&gt;"",O7&lt;SG_Criteria!$B$20),"FAIL: cover &lt; "&amp;SG_Criteria!$B$20&amp;" mm. ","")&amp;IF(AND(E7="Open",G7&gt;SG_Criteria!$B$18),"NOTE: safety railing required (D &gt; "&amp;SG_Criteria!$B$18&amp;" mm). ","")&amp;IF(AND(D7="Entrance culvert",G7&lt;600),"NOTE: check hinged grating rule for culverts &lt; 600 deep (PUB Add. 3). ","")))</f>
        <v>OK</v>
      </c>
      <c r="AP7" s="18" t="s">
        <v>639</v>
      </c>
      <c r="AQ7" s="18"/>
      <c r="AR7" s="18" t="s">
        <v>631</v>
      </c>
      <c r="AS7" s="18" t="s">
        <v>631</v>
      </c>
      <c r="AT7" s="18" t="s">
        <v>631</v>
      </c>
      <c r="AU7" s="39" t="n">
        <v>46309</v>
      </c>
      <c r="AV7" s="10" t="str">
        <f aca="false">IF(C7="","",IF(AND(V7="Approved",ISERROR(SEARCH("FAIL",AO7))),"Y","N"))</f>
        <v>Y</v>
      </c>
      <c r="AW7" s="10" t="str">
        <f aca="false">IF(C7="","",C7&amp;"|"&amp;F7&amp;"|"&amp;G7&amp;"|"&amp;L7&amp;"|"&amp;AV7)</f>
        <v>Slabbed-over U-Drain|600|750|Footway 5 kPa (SDRE)|Y</v>
      </c>
    </row>
    <row r="8" customFormat="false" ht="15" hidden="false" customHeight="false" outlineLevel="0" collapsed="false">
      <c r="A8" s="10" t="str">
        <f aca="false">IF(C8="","","DRN-"&amp;IFERROR(VLOOKUP(C8,Lists!$A$4:$B$27,2,0),"??")&amp;"-"&amp;TEXT(F8,"0000")&amp;"x"&amp;TEXT(G8,"0000")&amp;IF(N(H8)&gt;1,"-"&amp;H8&amp;"C","")&amp;"-"&amp;IFERROR(VLOOKUP(L8,Lists!$J$4:$K$19,2,0),"??")&amp;"-"&amp;U8)</f>
        <v>DRN-OD-1200x1200-S12-A</v>
      </c>
      <c r="B8" s="10" t="str">
        <f aca="false">IF(C8="","",C8&amp;" "&amp;F8&amp;"W x "&amp;G8&amp;"D"&amp;IF(N(H8)&gt;1," ("&amp;H8&amp;" cells)","")&amp;", "&amp;D8&amp;", "&amp;L8&amp;", "&amp;E8)</f>
        <v>Cast-in-situ Open Drain 1200W x 1200D, Outlet / main drain, Drain surcharge 12 kPa (SDRE), Open</v>
      </c>
      <c r="C8" s="18" t="s">
        <v>172</v>
      </c>
      <c r="D8" s="18" t="s">
        <v>496</v>
      </c>
      <c r="E8" s="18" t="s">
        <v>447</v>
      </c>
      <c r="F8" s="35" t="n">
        <v>1200</v>
      </c>
      <c r="G8" s="35" t="n">
        <v>1200</v>
      </c>
      <c r="H8" s="35" t="n">
        <v>1</v>
      </c>
      <c r="I8" s="35" t="n">
        <v>200</v>
      </c>
      <c r="J8" s="35" t="n">
        <v>200</v>
      </c>
      <c r="K8" s="35"/>
      <c r="L8" s="18" t="s">
        <v>72</v>
      </c>
      <c r="M8" s="18" t="s">
        <v>624</v>
      </c>
      <c r="N8" s="18" t="s">
        <v>531</v>
      </c>
      <c r="O8" s="35" t="n">
        <v>50</v>
      </c>
      <c r="P8" s="18" t="s">
        <v>640</v>
      </c>
      <c r="Q8" s="18" t="s">
        <v>640</v>
      </c>
      <c r="R8" s="18" t="s">
        <v>626</v>
      </c>
      <c r="S8" s="18" t="s">
        <v>637</v>
      </c>
      <c r="T8" s="18" t="s">
        <v>627</v>
      </c>
      <c r="U8" s="18" t="s">
        <v>628</v>
      </c>
      <c r="V8" s="18" t="s">
        <v>244</v>
      </c>
      <c r="W8" s="18" t="s">
        <v>641</v>
      </c>
      <c r="X8" s="18" t="n">
        <v>25</v>
      </c>
      <c r="Y8" s="18" t="s">
        <v>74</v>
      </c>
      <c r="Z8" s="10" t="str">
        <f aca="false">IF(A8="","",SG_Criteria!$B$6&amp;SG_Criteria!$B$7&amp;"\"&amp;A8&amp;"\")</f>
        <v>C:\Users\yourname\YourCompany\Design Library - Documents\01_Drainage\DRN-OD-1200x1200-S12-A\</v>
      </c>
      <c r="AA8" s="10" t="str">
        <f aca="false">IF(A8="","",A8&amp;"_CAD.dwg")</f>
        <v>DRN-OD-1200x1200-S12-A_CAD.dwg</v>
      </c>
      <c r="AB8" s="10" t="str">
        <f aca="false">IF(A8="","",A8&amp;"_DWG.pdf")</f>
        <v>DRN-OD-1200x1200-S12-A_DWG.pdf</v>
      </c>
      <c r="AC8" s="10" t="str">
        <f aca="false">IF(A8="","",IF(Y8="Y",A8&amp;"_STAAD.std","n/a"))</f>
        <v>n/a</v>
      </c>
      <c r="AD8" s="10" t="str">
        <f aca="false">IF(A8="","",A8&amp;"_CALC.xlsx")</f>
        <v>DRN-OD-1200x1200-S12-A_CALC.xlsx</v>
      </c>
      <c r="AE8" s="10" t="str">
        <f aca="false">IF(A8="","",A8&amp;"_CALC.pdf")</f>
        <v>DRN-OD-1200x1200-S12-A_CALC.pdf</v>
      </c>
      <c r="AF8" s="18" t="s">
        <v>74</v>
      </c>
      <c r="AG8" s="18" t="s">
        <v>356</v>
      </c>
      <c r="AH8" s="36" t="n">
        <v>0.72</v>
      </c>
      <c r="AI8" s="36" t="n">
        <v>72</v>
      </c>
      <c r="AJ8" s="36" t="n">
        <v>0</v>
      </c>
      <c r="AK8" s="36" t="n">
        <v>4.8</v>
      </c>
      <c r="AL8" s="36" t="n">
        <v>3.6</v>
      </c>
      <c r="AM8" s="37" t="n">
        <f aca="false">IF(OR(C8="",F8="",G8="",C8="Sump",C8="Drop Inlet Chamber",C8="Silt Trap",C8="Pipe Culvert",C8="Subsoil Drain"),"",ROUND(MAX(1,N(H8))*(1/SG_Criteria!$B$26)*((F8/1000)*(G8/1000*(1-SG_Criteria!$B$25)))*(((F8/1000)*(G8/1000*(1-SG_Criteria!$B$25)))/((F8/1000)+2*(G8/1000*(1-SG_Criteria!$B$25))))^(2/3)*(1/Design_Selector!$B$11)^0.5,3))</f>
        <v>1.907</v>
      </c>
      <c r="AN8" s="11" t="n">
        <f aca="false">IF(AM8="","",ROUND(AM8/(MAX(1,N(H8))*F8/1000*(G8/1000*(1-SG_Criteria!$B$25))),2))</f>
        <v>1.56</v>
      </c>
      <c r="AO8" s="38" t="str">
        <f aca="false">IF(C8="","",IF(LEN(IF(AND(OR(D8="Roadside drain",D8="Entrance culvert"),OR(F8&lt;SG_Criteria!$B$15,G8&lt;SG_Criteria!$B$16)),"FAIL: below PUB min "&amp;SG_Criteria!$B$15&amp;"x"&amp;SG_Criteria!$B$16&amp;" for roadside drain. ","")&amp;IF(AND(D8="Common drain",F8&lt;SG_Criteria!$B$17),"FAIL: common drain W &lt; "&amp;SG_Criteria!$B$17&amp;" mm. ","")&amp;IF(AND(N8&lt;&gt;"",IFERROR(VALUE(MID(N8,2,2)),0)&lt;SG_Criteria!$B$19),"FAIL: grade below C"&amp;SG_Criteria!$B$19&amp;". ","")&amp;IF(AND(O8&lt;&gt;"",O8&lt;SG_Criteria!$B$20),"FAIL: cover &lt; "&amp;SG_Criteria!$B$20&amp;" mm. ","")&amp;IF(AND(E8="Open",G8&gt;SG_Criteria!$B$18),"NOTE: safety railing required (D &gt; "&amp;SG_Criteria!$B$18&amp;" mm). ","")&amp;IF(AND(D8="Entrance culvert",G8&lt;600),"NOTE: check hinged grating rule for culverts &lt; 600 deep (PUB Add. 3). ",""))=0,"OK",IF(AND(OR(D8="Roadside drain",D8="Entrance culvert"),OR(F8&lt;SG_Criteria!$B$15,G8&lt;SG_Criteria!$B$16)),"FAIL: below PUB min "&amp;SG_Criteria!$B$15&amp;"x"&amp;SG_Criteria!$B$16&amp;" for roadside drain. ","")&amp;IF(AND(D8="Common drain",F8&lt;SG_Criteria!$B$17),"FAIL: common drain W &lt; "&amp;SG_Criteria!$B$17&amp;" mm. ","")&amp;IF(AND(N8&lt;&gt;"",IFERROR(VALUE(MID(N8,2,2)),0)&lt;SG_Criteria!$B$19),"FAIL: grade below C"&amp;SG_Criteria!$B$19&amp;". ","")&amp;IF(AND(O8&lt;&gt;"",O8&lt;SG_Criteria!$B$20),"FAIL: cover &lt; "&amp;SG_Criteria!$B$20&amp;" mm. ","")&amp;IF(AND(E8="Open",G8&gt;SG_Criteria!$B$18),"NOTE: safety railing required (D &gt; "&amp;SG_Criteria!$B$18&amp;" mm). ","")&amp;IF(AND(D8="Entrance culvert",G8&lt;600),"NOTE: check hinged grating rule for culverts &lt; 600 deep (PUB Add. 3). ","")))</f>
        <v>NOTE: safety railing required (D &gt; 1000 mm). </v>
      </c>
      <c r="AP8" s="18" t="s">
        <v>642</v>
      </c>
      <c r="AQ8" s="18"/>
      <c r="AR8" s="18" t="s">
        <v>631</v>
      </c>
      <c r="AS8" s="18" t="s">
        <v>631</v>
      </c>
      <c r="AT8" s="18" t="s">
        <v>631</v>
      </c>
      <c r="AU8" s="39" t="n">
        <v>46309</v>
      </c>
      <c r="AV8" s="10" t="str">
        <f aca="false">IF(C8="","",IF(AND(V8="Approved",ISERROR(SEARCH("FAIL",AO8))),"Y","N"))</f>
        <v>Y</v>
      </c>
      <c r="AW8" s="10" t="str">
        <f aca="false">IF(C8="","",C8&amp;"|"&amp;F8&amp;"|"&amp;G8&amp;"|"&amp;L8&amp;"|"&amp;AV8)</f>
        <v>Cast-in-situ Open Drain|1200|1200|Drain surcharge 12 kPa (SDRE)|Y</v>
      </c>
    </row>
    <row r="9" customFormat="false" ht="15" hidden="false" customHeight="false" outlineLevel="0" collapsed="false">
      <c r="A9" s="10" t="str">
        <f aca="false">IF(C9="","","DRN-"&amp;IFERROR(VLOOKUP(C9,Lists!$A$4:$B$27,2,0),"??")&amp;"-"&amp;TEXT(F9,"0000")&amp;"x"&amp;TEXT(G9,"0000")&amp;IF(N(H9)&gt;1,"-"&amp;H9&amp;"C","")&amp;"-"&amp;IFERROR(VLOOKUP(L9,Lists!$J$4:$K$19,2,0),"??")&amp;"-"&amp;U9)</f>
        <v>DRN-OD-2000x1800-S12-A</v>
      </c>
      <c r="B9" s="10" t="str">
        <f aca="false">IF(C9="","",C9&amp;" "&amp;F9&amp;"W x "&amp;G9&amp;"D"&amp;IF(N(H9)&gt;1," ("&amp;H9&amp;" cells)","")&amp;", "&amp;D9&amp;", "&amp;L9&amp;", "&amp;E9)</f>
        <v>Cast-in-situ Open Drain 2000W x 1800D, Outlet / main drain, Drain surcharge 12 kPa (SDRE), Open</v>
      </c>
      <c r="C9" s="18" t="s">
        <v>172</v>
      </c>
      <c r="D9" s="18" t="s">
        <v>496</v>
      </c>
      <c r="E9" s="18" t="s">
        <v>447</v>
      </c>
      <c r="F9" s="35" t="n">
        <v>2000</v>
      </c>
      <c r="G9" s="35" t="n">
        <v>1800</v>
      </c>
      <c r="H9" s="35" t="n">
        <v>1</v>
      </c>
      <c r="I9" s="35" t="n">
        <v>250</v>
      </c>
      <c r="J9" s="35" t="n">
        <v>300</v>
      </c>
      <c r="K9" s="35"/>
      <c r="L9" s="18" t="s">
        <v>72</v>
      </c>
      <c r="M9" s="18" t="s">
        <v>624</v>
      </c>
      <c r="N9" s="18" t="s">
        <v>531</v>
      </c>
      <c r="O9" s="35" t="n">
        <v>50</v>
      </c>
      <c r="P9" s="18" t="s">
        <v>643</v>
      </c>
      <c r="Q9" s="18" t="s">
        <v>643</v>
      </c>
      <c r="R9" s="18" t="s">
        <v>626</v>
      </c>
      <c r="S9" s="18" t="s">
        <v>644</v>
      </c>
      <c r="T9" s="18" t="s">
        <v>627</v>
      </c>
      <c r="U9" s="18" t="s">
        <v>628</v>
      </c>
      <c r="V9" s="18" t="s">
        <v>245</v>
      </c>
      <c r="W9" s="18" t="s">
        <v>645</v>
      </c>
      <c r="X9" s="18" t="n">
        <v>25</v>
      </c>
      <c r="Y9" s="18" t="s">
        <v>467</v>
      </c>
      <c r="Z9" s="10" t="str">
        <f aca="false">IF(A9="","",SG_Criteria!$B$6&amp;SG_Criteria!$B$7&amp;"\"&amp;A9&amp;"\")</f>
        <v>C:\Users\yourname\YourCompany\Design Library - Documents\01_Drainage\DRN-OD-2000x1800-S12-A\</v>
      </c>
      <c r="AA9" s="10" t="str">
        <f aca="false">IF(A9="","",A9&amp;"_CAD.dwg")</f>
        <v>DRN-OD-2000x1800-S12-A_CAD.dwg</v>
      </c>
      <c r="AB9" s="10" t="str">
        <f aca="false">IF(A9="","",A9&amp;"_DWG.pdf")</f>
        <v>DRN-OD-2000x1800-S12-A_DWG.pdf</v>
      </c>
      <c r="AC9" s="10" t="str">
        <f aca="false">IF(A9="","",IF(Y9="Y",A9&amp;"_STAAD.std","n/a"))</f>
        <v>DRN-OD-2000x1800-S12-A_STAAD.std</v>
      </c>
      <c r="AD9" s="10" t="str">
        <f aca="false">IF(A9="","",A9&amp;"_CALC.xlsx")</f>
        <v>DRN-OD-2000x1800-S12-A_CALC.xlsx</v>
      </c>
      <c r="AE9" s="10" t="str">
        <f aca="false">IF(A9="","",A9&amp;"_CALC.pdf")</f>
        <v>DRN-OD-2000x1800-S12-A_CALC.pdf</v>
      </c>
      <c r="AF9" s="18" t="s">
        <v>74</v>
      </c>
      <c r="AG9" s="18" t="s">
        <v>356</v>
      </c>
      <c r="AH9" s="36" t="n">
        <v>1.65</v>
      </c>
      <c r="AI9" s="36" t="n">
        <v>150</v>
      </c>
      <c r="AJ9" s="36" t="n">
        <v>0</v>
      </c>
      <c r="AK9" s="36" t="n">
        <v>7.2</v>
      </c>
      <c r="AL9" s="36" t="n">
        <v>7</v>
      </c>
      <c r="AM9" s="37" t="n">
        <f aca="false">IF(OR(C9="",F9="",G9="",C9="Sump",C9="Drop Inlet Chamber",C9="Silt Trap",C9="Pipe Culvert",C9="Subsoil Drain"),"",ROUND(MAX(1,N(H9))*(1/SG_Criteria!$B$26)*((F9/1000)*(G9/1000*(1-SG_Criteria!$B$25)))*(((F9/1000)*(G9/1000*(1-SG_Criteria!$B$25)))/((F9/1000)+2*(G9/1000*(1-SG_Criteria!$B$25))))^(2/3)*(1/Design_Selector!$B$11)^0.5,3))</f>
        <v>6.524</v>
      </c>
      <c r="AN9" s="11" t="n">
        <f aca="false">IF(AM9="","",ROUND(AM9/(MAX(1,N(H9))*F9/1000*(G9/1000*(1-SG_Criteria!$B$25))),2))</f>
        <v>2.13</v>
      </c>
      <c r="AO9" s="38" t="str">
        <f aca="false">IF(C9="","",IF(LEN(IF(AND(OR(D9="Roadside drain",D9="Entrance culvert"),OR(F9&lt;SG_Criteria!$B$15,G9&lt;SG_Criteria!$B$16)),"FAIL: below PUB min "&amp;SG_Criteria!$B$15&amp;"x"&amp;SG_Criteria!$B$16&amp;" for roadside drain. ","")&amp;IF(AND(D9="Common drain",F9&lt;SG_Criteria!$B$17),"FAIL: common drain W &lt; "&amp;SG_Criteria!$B$17&amp;" mm. ","")&amp;IF(AND(N9&lt;&gt;"",IFERROR(VALUE(MID(N9,2,2)),0)&lt;SG_Criteria!$B$19),"FAIL: grade below C"&amp;SG_Criteria!$B$19&amp;". ","")&amp;IF(AND(O9&lt;&gt;"",O9&lt;SG_Criteria!$B$20),"FAIL: cover &lt; "&amp;SG_Criteria!$B$20&amp;" mm. ","")&amp;IF(AND(E9="Open",G9&gt;SG_Criteria!$B$18),"NOTE: safety railing required (D &gt; "&amp;SG_Criteria!$B$18&amp;" mm). ","")&amp;IF(AND(D9="Entrance culvert",G9&lt;600),"NOTE: check hinged grating rule for culverts &lt; 600 deep (PUB Add. 3). ",""))=0,"OK",IF(AND(OR(D9="Roadside drain",D9="Entrance culvert"),OR(F9&lt;SG_Criteria!$B$15,G9&lt;SG_Criteria!$B$16)),"FAIL: below PUB min "&amp;SG_Criteria!$B$15&amp;"x"&amp;SG_Criteria!$B$16&amp;" for roadside drain. ","")&amp;IF(AND(D9="Common drain",F9&lt;SG_Criteria!$B$17),"FAIL: common drain W &lt; "&amp;SG_Criteria!$B$17&amp;" mm. ","")&amp;IF(AND(N9&lt;&gt;"",IFERROR(VALUE(MID(N9,2,2)),0)&lt;SG_Criteria!$B$19),"FAIL: grade below C"&amp;SG_Criteria!$B$19&amp;". ","")&amp;IF(AND(O9&lt;&gt;"",O9&lt;SG_Criteria!$B$20),"FAIL: cover &lt; "&amp;SG_Criteria!$B$20&amp;" mm. ","")&amp;IF(AND(E9="Open",G9&gt;SG_Criteria!$B$18),"NOTE: safety railing required (D &gt; "&amp;SG_Criteria!$B$18&amp;" mm). ","")&amp;IF(AND(D9="Entrance culvert",G9&lt;600),"NOTE: check hinged grating rule for culverts &lt; 600 deep (PUB Add. 3). ","")))</f>
        <v>NOTE: safety railing required (D &gt; 1000 mm). </v>
      </c>
      <c r="AP9" s="18" t="s">
        <v>646</v>
      </c>
      <c r="AQ9" s="18"/>
      <c r="AR9" s="18" t="s">
        <v>631</v>
      </c>
      <c r="AS9" s="18" t="s">
        <v>631</v>
      </c>
      <c r="AT9" s="18" t="s">
        <v>631</v>
      </c>
      <c r="AU9" s="39" t="n">
        <v>46309</v>
      </c>
      <c r="AV9" s="10" t="str">
        <f aca="false">IF(C9="","",IF(AND(V9="Approved",ISERROR(SEARCH("FAIL",AO9))),"Y","N"))</f>
        <v>N</v>
      </c>
      <c r="AW9" s="10" t="str">
        <f aca="false">IF(C9="","",C9&amp;"|"&amp;F9&amp;"|"&amp;G9&amp;"|"&amp;L9&amp;"|"&amp;AV9)</f>
        <v>Cast-in-situ Open Drain|2000|1800|Drain surcharge 12 kPa (SDRE)|N</v>
      </c>
    </row>
    <row r="10" customFormat="false" ht="15" hidden="false" customHeight="false" outlineLevel="0" collapsed="false">
      <c r="A10" s="10" t="str">
        <f aca="false">IF(C10="","","DRN-"&amp;IFERROR(VLOOKUP(C10,Lists!$A$4:$B$27,2,0),"??")&amp;"-"&amp;TEXT(F10,"0000")&amp;"x"&amp;TEXT(G10,"0000")&amp;IF(N(H10)&gt;1,"-"&amp;H10&amp;"C","")&amp;"-"&amp;IFERROR(VLOOKUP(L10,Lists!$J$4:$K$19,2,0),"??")&amp;"-"&amp;U10)</f>
        <v>DRN-BC-1500x1200-VEH-A</v>
      </c>
      <c r="B10" s="10" t="str">
        <f aca="false">IF(C10="","",C10&amp;" "&amp;F10&amp;"W x "&amp;G10&amp;"D"&amp;IF(N(H10)&gt;1," ("&amp;H10&amp;" cells)","")&amp;", "&amp;D10&amp;", "&amp;L10&amp;", "&amp;E10)</f>
        <v>Box Culvert 1500W x 1200D, Road crossing culvert, Vehicular LM1 (SS EN 1991-2), Closed (culvert)</v>
      </c>
      <c r="C10" s="18" t="s">
        <v>173</v>
      </c>
      <c r="D10" s="18" t="s">
        <v>516</v>
      </c>
      <c r="E10" s="18" t="s">
        <v>517</v>
      </c>
      <c r="F10" s="35" t="n">
        <v>1500</v>
      </c>
      <c r="G10" s="35" t="n">
        <v>1200</v>
      </c>
      <c r="H10" s="35" t="n">
        <v>1</v>
      </c>
      <c r="I10" s="35" t="n">
        <v>250</v>
      </c>
      <c r="J10" s="35" t="n">
        <v>250</v>
      </c>
      <c r="K10" s="35" t="n">
        <v>250</v>
      </c>
      <c r="L10" s="18" t="s">
        <v>518</v>
      </c>
      <c r="M10" s="18" t="s">
        <v>647</v>
      </c>
      <c r="N10" s="18" t="s">
        <v>531</v>
      </c>
      <c r="O10" s="35" t="n">
        <v>50</v>
      </c>
      <c r="P10" s="18" t="s">
        <v>643</v>
      </c>
      <c r="Q10" s="18" t="s">
        <v>643</v>
      </c>
      <c r="R10" s="18" t="s">
        <v>643</v>
      </c>
      <c r="S10" s="18" t="s">
        <v>644</v>
      </c>
      <c r="T10" s="18" t="s">
        <v>648</v>
      </c>
      <c r="U10" s="18" t="s">
        <v>628</v>
      </c>
      <c r="V10" s="18" t="s">
        <v>244</v>
      </c>
      <c r="W10" s="18" t="s">
        <v>649</v>
      </c>
      <c r="X10" s="18" t="n">
        <v>25</v>
      </c>
      <c r="Y10" s="18" t="s">
        <v>467</v>
      </c>
      <c r="Z10" s="10" t="str">
        <f aca="false">IF(A10="","",SG_Criteria!$B$6&amp;SG_Criteria!$B$7&amp;"\"&amp;A10&amp;"\")</f>
        <v>C:\Users\yourname\YourCompany\Design Library - Documents\01_Drainage\DRN-BC-1500x1200-VEH-A\</v>
      </c>
      <c r="AA10" s="10" t="str">
        <f aca="false">IF(A10="","",A10&amp;"_CAD.dwg")</f>
        <v>DRN-BC-1500x1200-VEH-A_CAD.dwg</v>
      </c>
      <c r="AB10" s="10" t="str">
        <f aca="false">IF(A10="","",A10&amp;"_DWG.pdf")</f>
        <v>DRN-BC-1500x1200-VEH-A_DWG.pdf</v>
      </c>
      <c r="AC10" s="10" t="str">
        <f aca="false">IF(A10="","",IF(Y10="Y",A10&amp;"_STAAD.std","n/a"))</f>
        <v>DRN-BC-1500x1200-VEH-A_STAAD.std</v>
      </c>
      <c r="AD10" s="10" t="str">
        <f aca="false">IF(A10="","",A10&amp;"_CALC.xlsx")</f>
        <v>DRN-BC-1500x1200-VEH-A_CALC.xlsx</v>
      </c>
      <c r="AE10" s="10" t="str">
        <f aca="false">IF(A10="","",A10&amp;"_CALC.pdf")</f>
        <v>DRN-BC-1500x1200-VEH-A_CALC.pdf</v>
      </c>
      <c r="AF10" s="18" t="s">
        <v>74</v>
      </c>
      <c r="AG10" s="18" t="s">
        <v>356</v>
      </c>
      <c r="AH10" s="36" t="n">
        <v>1.88</v>
      </c>
      <c r="AI10" s="36" t="n">
        <v>210</v>
      </c>
      <c r="AJ10" s="36" t="n">
        <v>0</v>
      </c>
      <c r="AK10" s="36" t="n">
        <v>7.4</v>
      </c>
      <c r="AL10" s="36" t="n">
        <v>6.5</v>
      </c>
      <c r="AM10" s="37" t="n">
        <f aca="false">IF(OR(C10="",F10="",G10="",C10="Sump",C10="Drop Inlet Chamber",C10="Silt Trap",C10="Pipe Culvert",C10="Subsoil Drain"),"",ROUND(MAX(1,N(H10))*(1/SG_Criteria!$B$26)*((F10/1000)*(G10/1000*(1-SG_Criteria!$B$25)))*(((F10/1000)*(G10/1000*(1-SG_Criteria!$B$25)))/((F10/1000)+2*(G10/1000*(1-SG_Criteria!$B$25))))^(2/3)*(1/Design_Selector!$B$11)^0.5,3))</f>
        <v>2.608</v>
      </c>
      <c r="AN10" s="11" t="n">
        <f aca="false">IF(AM10="","",ROUND(AM10/(MAX(1,N(H10))*F10/1000*(G10/1000*(1-SG_Criteria!$B$25))),2))</f>
        <v>1.7</v>
      </c>
      <c r="AO10" s="38" t="str">
        <f aca="false">IF(C10="","",IF(LEN(IF(AND(OR(D10="Roadside drain",D10="Entrance culvert"),OR(F10&lt;SG_Criteria!$B$15,G10&lt;SG_Criteria!$B$16)),"FAIL: below PUB min "&amp;SG_Criteria!$B$15&amp;"x"&amp;SG_Criteria!$B$16&amp;" for roadside drain. ","")&amp;IF(AND(D10="Common drain",F10&lt;SG_Criteria!$B$17),"FAIL: common drain W &lt; "&amp;SG_Criteria!$B$17&amp;" mm. ","")&amp;IF(AND(N10&lt;&gt;"",IFERROR(VALUE(MID(N10,2,2)),0)&lt;SG_Criteria!$B$19),"FAIL: grade below C"&amp;SG_Criteria!$B$19&amp;". ","")&amp;IF(AND(O10&lt;&gt;"",O10&lt;SG_Criteria!$B$20),"FAIL: cover &lt; "&amp;SG_Criteria!$B$20&amp;" mm. ","")&amp;IF(AND(E10="Open",G10&gt;SG_Criteria!$B$18),"NOTE: safety railing required (D &gt; "&amp;SG_Criteria!$B$18&amp;" mm). ","")&amp;IF(AND(D10="Entrance culvert",G10&lt;600),"NOTE: check hinged grating rule for culverts &lt; 600 deep (PUB Add. 3). ",""))=0,"OK",IF(AND(OR(D10="Roadside drain",D10="Entrance culvert"),OR(F10&lt;SG_Criteria!$B$15,G10&lt;SG_Criteria!$B$16)),"FAIL: below PUB min "&amp;SG_Criteria!$B$15&amp;"x"&amp;SG_Criteria!$B$16&amp;" for roadside drain. ","")&amp;IF(AND(D10="Common drain",F10&lt;SG_Criteria!$B$17),"FAIL: common drain W &lt; "&amp;SG_Criteria!$B$17&amp;" mm. ","")&amp;IF(AND(N10&lt;&gt;"",IFERROR(VALUE(MID(N10,2,2)),0)&lt;SG_Criteria!$B$19),"FAIL: grade below C"&amp;SG_Criteria!$B$19&amp;". ","")&amp;IF(AND(O10&lt;&gt;"",O10&lt;SG_Criteria!$B$20),"FAIL: cover &lt; "&amp;SG_Criteria!$B$20&amp;" mm. ","")&amp;IF(AND(E10="Open",G10&gt;SG_Criteria!$B$18),"NOTE: safety railing required (D &gt; "&amp;SG_Criteria!$B$18&amp;" mm). ","")&amp;IF(AND(D10="Entrance culvert",G10&lt;600),"NOTE: check hinged grating rule for culverts &lt; 600 deep (PUB Add. 3). ","")))</f>
        <v>OK</v>
      </c>
      <c r="AP10" s="18" t="s">
        <v>650</v>
      </c>
      <c r="AQ10" s="18" t="s">
        <v>651</v>
      </c>
      <c r="AR10" s="18" t="s">
        <v>631</v>
      </c>
      <c r="AS10" s="18" t="s">
        <v>631</v>
      </c>
      <c r="AT10" s="18" t="s">
        <v>631</v>
      </c>
      <c r="AU10" s="39" t="n">
        <v>46309</v>
      </c>
      <c r="AV10" s="10" t="str">
        <f aca="false">IF(C10="","",IF(AND(V10="Approved",ISERROR(SEARCH("FAIL",AO10))),"Y","N"))</f>
        <v>Y</v>
      </c>
      <c r="AW10" s="10" t="str">
        <f aca="false">IF(C10="","",C10&amp;"|"&amp;F10&amp;"|"&amp;G10&amp;"|"&amp;L10&amp;"|"&amp;AV10)</f>
        <v>Box Culvert|1500|1200|Vehicular LM1 (SS EN 1991-2)|Y</v>
      </c>
    </row>
    <row r="11" customFormat="false" ht="15" hidden="false" customHeight="false" outlineLevel="0" collapsed="false">
      <c r="A11" s="10" t="str">
        <f aca="false">IF(C11="","","DRN-"&amp;IFERROR(VLOOKUP(C11,Lists!$A$4:$B$27,2,0),"??")&amp;"-"&amp;TEXT(F11,"0000")&amp;"x"&amp;TEXT(G11,"0000")&amp;IF(N(H11)&gt;1,"-"&amp;H11&amp;"C","")&amp;"-"&amp;IFERROR(VLOOKUP(L11,Lists!$J$4:$K$19,2,0),"??")&amp;"-"&amp;U11)</f>
        <v>DRN-BC-2400x1800-2C-VEH-A</v>
      </c>
      <c r="B11" s="10" t="str">
        <f aca="false">IF(C11="","",C11&amp;" "&amp;F11&amp;"W x "&amp;G11&amp;"D"&amp;IF(N(H11)&gt;1," ("&amp;H11&amp;" cells)","")&amp;", "&amp;D11&amp;", "&amp;L11&amp;", "&amp;E11)</f>
        <v>Box Culvert 2400W x 1800D (2 cells), Road crossing culvert, Vehicular LM1 (SS EN 1991-2), Closed (culvert)</v>
      </c>
      <c r="C11" s="18" t="s">
        <v>173</v>
      </c>
      <c r="D11" s="18" t="s">
        <v>516</v>
      </c>
      <c r="E11" s="18" t="s">
        <v>517</v>
      </c>
      <c r="F11" s="35" t="n">
        <v>2400</v>
      </c>
      <c r="G11" s="35" t="n">
        <v>1800</v>
      </c>
      <c r="H11" s="35" t="n">
        <v>2</v>
      </c>
      <c r="I11" s="35" t="n">
        <v>300</v>
      </c>
      <c r="J11" s="35" t="n">
        <v>300</v>
      </c>
      <c r="K11" s="35" t="n">
        <v>300</v>
      </c>
      <c r="L11" s="18" t="s">
        <v>518</v>
      </c>
      <c r="M11" s="18" t="s">
        <v>647</v>
      </c>
      <c r="N11" s="18" t="s">
        <v>531</v>
      </c>
      <c r="O11" s="35" t="n">
        <v>50</v>
      </c>
      <c r="P11" s="18" t="s">
        <v>652</v>
      </c>
      <c r="Q11" s="18" t="s">
        <v>652</v>
      </c>
      <c r="R11" s="18" t="s">
        <v>652</v>
      </c>
      <c r="S11" s="18" t="s">
        <v>644</v>
      </c>
      <c r="T11" s="18" t="s">
        <v>648</v>
      </c>
      <c r="U11" s="18" t="s">
        <v>628</v>
      </c>
      <c r="V11" s="18" t="s">
        <v>244</v>
      </c>
      <c r="W11" s="18" t="s">
        <v>653</v>
      </c>
      <c r="X11" s="18" t="n">
        <v>50</v>
      </c>
      <c r="Y11" s="18" t="s">
        <v>467</v>
      </c>
      <c r="Z11" s="10" t="str">
        <f aca="false">IF(A11="","",SG_Criteria!$B$6&amp;SG_Criteria!$B$7&amp;"\"&amp;A11&amp;"\")</f>
        <v>C:\Users\yourname\YourCompany\Design Library - Documents\01_Drainage\DRN-BC-2400x1800-2C-VEH-A\</v>
      </c>
      <c r="AA11" s="10" t="str">
        <f aca="false">IF(A11="","",A11&amp;"_CAD.dwg")</f>
        <v>DRN-BC-2400x1800-2C-VEH-A_CAD.dwg</v>
      </c>
      <c r="AB11" s="10" t="str">
        <f aca="false">IF(A11="","",A11&amp;"_DWG.pdf")</f>
        <v>DRN-BC-2400x1800-2C-VEH-A_DWG.pdf</v>
      </c>
      <c r="AC11" s="10" t="str">
        <f aca="false">IF(A11="","",IF(Y11="Y",A11&amp;"_STAAD.std","n/a"))</f>
        <v>DRN-BC-2400x1800-2C-VEH-A_STAAD.std</v>
      </c>
      <c r="AD11" s="10" t="str">
        <f aca="false">IF(A11="","",A11&amp;"_CALC.xlsx")</f>
        <v>DRN-BC-2400x1800-2C-VEH-A_CALC.xlsx</v>
      </c>
      <c r="AE11" s="10" t="str">
        <f aca="false">IF(A11="","",A11&amp;"_CALC.pdf")</f>
        <v>DRN-BC-2400x1800-2C-VEH-A_CALC.pdf</v>
      </c>
      <c r="AF11" s="18" t="s">
        <v>74</v>
      </c>
      <c r="AG11" s="18" t="s">
        <v>356</v>
      </c>
      <c r="AH11" s="36" t="n">
        <v>5.2</v>
      </c>
      <c r="AI11" s="36" t="n">
        <v>610</v>
      </c>
      <c r="AJ11" s="36" t="n">
        <v>0</v>
      </c>
      <c r="AK11" s="36" t="n">
        <v>20.5</v>
      </c>
      <c r="AL11" s="36" t="n">
        <v>16</v>
      </c>
      <c r="AM11" s="37" t="n">
        <f aca="false">IF(OR(C11="",F11="",G11="",C11="Sump",C11="Drop Inlet Chamber",C11="Silt Trap",C11="Pipe Culvert",C11="Subsoil Drain"),"",ROUND(MAX(1,N(H11))*(1/SG_Criteria!$B$26)*((F11/1000)*(G11/1000*(1-SG_Criteria!$B$25)))*(((F11/1000)*(G11/1000*(1-SG_Criteria!$B$25)))/((F11/1000)+2*(G11/1000*(1-SG_Criteria!$B$25))))^(2/3)*(1/Design_Selector!$B$11)^0.5,3))</f>
        <v>16.807</v>
      </c>
      <c r="AN11" s="11" t="n">
        <f aca="false">IF(AM11="","",ROUND(AM11/(MAX(1,N(H11))*F11/1000*(G11/1000*(1-SG_Criteria!$B$25))),2))</f>
        <v>2.29</v>
      </c>
      <c r="AO11" s="38" t="str">
        <f aca="false">IF(C11="","",IF(LEN(IF(AND(OR(D11="Roadside drain",D11="Entrance culvert"),OR(F11&lt;SG_Criteria!$B$15,G11&lt;SG_Criteria!$B$16)),"FAIL: below PUB min "&amp;SG_Criteria!$B$15&amp;"x"&amp;SG_Criteria!$B$16&amp;" for roadside drain. ","")&amp;IF(AND(D11="Common drain",F11&lt;SG_Criteria!$B$17),"FAIL: common drain W &lt; "&amp;SG_Criteria!$B$17&amp;" mm. ","")&amp;IF(AND(N11&lt;&gt;"",IFERROR(VALUE(MID(N11,2,2)),0)&lt;SG_Criteria!$B$19),"FAIL: grade below C"&amp;SG_Criteria!$B$19&amp;". ","")&amp;IF(AND(O11&lt;&gt;"",O11&lt;SG_Criteria!$B$20),"FAIL: cover &lt; "&amp;SG_Criteria!$B$20&amp;" mm. ","")&amp;IF(AND(E11="Open",G11&gt;SG_Criteria!$B$18),"NOTE: safety railing required (D &gt; "&amp;SG_Criteria!$B$18&amp;" mm). ","")&amp;IF(AND(D11="Entrance culvert",G11&lt;600),"NOTE: check hinged grating rule for culverts &lt; 600 deep (PUB Add. 3). ",""))=0,"OK",IF(AND(OR(D11="Roadside drain",D11="Entrance culvert"),OR(F11&lt;SG_Criteria!$B$15,G11&lt;SG_Criteria!$B$16)),"FAIL: below PUB min "&amp;SG_Criteria!$B$15&amp;"x"&amp;SG_Criteria!$B$16&amp;" for roadside drain. ","")&amp;IF(AND(D11="Common drain",F11&lt;SG_Criteria!$B$17),"FAIL: common drain W &lt; "&amp;SG_Criteria!$B$17&amp;" mm. ","")&amp;IF(AND(N11&lt;&gt;"",IFERROR(VALUE(MID(N11,2,2)),0)&lt;SG_Criteria!$B$19),"FAIL: grade below C"&amp;SG_Criteria!$B$19&amp;". ","")&amp;IF(AND(O11&lt;&gt;"",O11&lt;SG_Criteria!$B$20),"FAIL: cover &lt; "&amp;SG_Criteria!$B$20&amp;" mm. ","")&amp;IF(AND(E11="Open",G11&gt;SG_Criteria!$B$18),"NOTE: safety railing required (D &gt; "&amp;SG_Criteria!$B$18&amp;" mm). ","")&amp;IF(AND(D11="Entrance culvert",G11&lt;600),"NOTE: check hinged grating rule for culverts &lt; 600 deep (PUB Add. 3). ","")))</f>
        <v>OK</v>
      </c>
      <c r="AP11" s="18" t="s">
        <v>654</v>
      </c>
      <c r="AQ11" s="18"/>
      <c r="AR11" s="18" t="s">
        <v>631</v>
      </c>
      <c r="AS11" s="18" t="s">
        <v>631</v>
      </c>
      <c r="AT11" s="18" t="s">
        <v>631</v>
      </c>
      <c r="AU11" s="39" t="n">
        <v>46309</v>
      </c>
      <c r="AV11" s="10" t="str">
        <f aca="false">IF(C11="","",IF(AND(V11="Approved",ISERROR(SEARCH("FAIL",AO11))),"Y","N"))</f>
        <v>Y</v>
      </c>
      <c r="AW11" s="10" t="str">
        <f aca="false">IF(C11="","",C11&amp;"|"&amp;F11&amp;"|"&amp;G11&amp;"|"&amp;L11&amp;"|"&amp;AV11)</f>
        <v>Box Culvert|2400|1800|Vehicular LM1 (SS EN 1991-2)|Y</v>
      </c>
    </row>
    <row r="12" customFormat="false" ht="15" hidden="false" customHeight="false" outlineLevel="0" collapsed="false">
      <c r="A12" s="10" t="str">
        <f aca="false">IF(C12="","","DRN-"&amp;IFERROR(VLOOKUP(C12,Lists!$A$4:$B$27,2,0),"??")&amp;"-"&amp;TEXT(F12,"0000")&amp;"x"&amp;TEXT(G12,"0000")&amp;IF(N(H12)&gt;1,"-"&amp;H12&amp;"C","")&amp;"-"&amp;IFERROR(VLOOKUP(L12,Lists!$J$4:$K$19,2,0),"??")&amp;"-"&amp;U12)</f>
        <v>DRN-EC-0600x0600-VEH-A</v>
      </c>
      <c r="B12" s="10" t="str">
        <f aca="false">IF(C12="","",C12&amp;" "&amp;F12&amp;"W x "&amp;G12&amp;"D"&amp;IF(N(H12)&gt;1," ("&amp;H12&amp;" cells)","")&amp;", "&amp;D12&amp;", "&amp;L12&amp;", "&amp;E12)</f>
        <v>Entrance Culvert 600W x 600D, Entrance culvert, Vehicular LM1 (SS EN 1991-2), Covered - grating</v>
      </c>
      <c r="C12" s="18" t="s">
        <v>175</v>
      </c>
      <c r="D12" s="18" t="s">
        <v>533</v>
      </c>
      <c r="E12" s="18" t="s">
        <v>497</v>
      </c>
      <c r="F12" s="35" t="n">
        <v>600</v>
      </c>
      <c r="G12" s="35" t="n">
        <v>600</v>
      </c>
      <c r="H12" s="35" t="n">
        <v>1</v>
      </c>
      <c r="I12" s="35" t="n">
        <v>150</v>
      </c>
      <c r="J12" s="35" t="n">
        <v>150</v>
      </c>
      <c r="K12" s="35"/>
      <c r="L12" s="18" t="s">
        <v>518</v>
      </c>
      <c r="M12" s="18" t="s">
        <v>655</v>
      </c>
      <c r="N12" s="18" t="s">
        <v>531</v>
      </c>
      <c r="O12" s="35" t="n">
        <v>40</v>
      </c>
      <c r="P12" s="18" t="s">
        <v>640</v>
      </c>
      <c r="Q12" s="18" t="s">
        <v>640</v>
      </c>
      <c r="R12" s="18" t="s">
        <v>626</v>
      </c>
      <c r="S12" s="18" t="s">
        <v>637</v>
      </c>
      <c r="T12" s="18" t="s">
        <v>627</v>
      </c>
      <c r="U12" s="18" t="s">
        <v>628</v>
      </c>
      <c r="V12" s="18" t="s">
        <v>244</v>
      </c>
      <c r="W12" s="18" t="s">
        <v>656</v>
      </c>
      <c r="X12" s="18" t="n">
        <v>20</v>
      </c>
      <c r="Y12" s="18" t="s">
        <v>74</v>
      </c>
      <c r="Z12" s="10" t="str">
        <f aca="false">IF(A12="","",SG_Criteria!$B$6&amp;SG_Criteria!$B$7&amp;"\"&amp;A12&amp;"\")</f>
        <v>C:\Users\yourname\YourCompany\Design Library - Documents\01_Drainage\DRN-EC-0600x0600-VEH-A\</v>
      </c>
      <c r="AA12" s="10" t="str">
        <f aca="false">IF(A12="","",A12&amp;"_CAD.dwg")</f>
        <v>DRN-EC-0600x0600-VEH-A_CAD.dwg</v>
      </c>
      <c r="AB12" s="10" t="str">
        <f aca="false">IF(A12="","",A12&amp;"_DWG.pdf")</f>
        <v>DRN-EC-0600x0600-VEH-A_DWG.pdf</v>
      </c>
      <c r="AC12" s="10" t="str">
        <f aca="false">IF(A12="","",IF(Y12="Y",A12&amp;"_STAAD.std","n/a"))</f>
        <v>n/a</v>
      </c>
      <c r="AD12" s="10" t="str">
        <f aca="false">IF(A12="","",A12&amp;"_CALC.xlsx")</f>
        <v>DRN-EC-0600x0600-VEH-A_CALC.xlsx</v>
      </c>
      <c r="AE12" s="10" t="str">
        <f aca="false">IF(A12="","",A12&amp;"_CALC.pdf")</f>
        <v>DRN-EC-0600x0600-VEH-A_CALC.pdf</v>
      </c>
      <c r="AF12" s="18" t="s">
        <v>74</v>
      </c>
      <c r="AG12" s="18" t="s">
        <v>356</v>
      </c>
      <c r="AH12" s="36" t="n">
        <v>0.41</v>
      </c>
      <c r="AI12" s="36" t="n">
        <v>45</v>
      </c>
      <c r="AJ12" s="36" t="n">
        <v>0</v>
      </c>
      <c r="AK12" s="36" t="n">
        <v>2.9</v>
      </c>
      <c r="AL12" s="36" t="n">
        <v>1.9</v>
      </c>
      <c r="AM12" s="37" t="n">
        <f aca="false">IF(OR(C12="",F12="",G12="",C12="Sump",C12="Drop Inlet Chamber",C12="Silt Trap",C12="Pipe Culvert",C12="Subsoil Drain"),"",ROUND(MAX(1,N(H12))*(1/SG_Criteria!$B$26)*((F12/1000)*(G12/1000*(1-SG_Criteria!$B$25)))*(((F12/1000)*(G12/1000*(1-SG_Criteria!$B$25)))/((F12/1000)+2*(G12/1000*(1-SG_Criteria!$B$25))))^(2/3)*(1/Design_Selector!$B$11)^0.5,3))</f>
        <v>0.3</v>
      </c>
      <c r="AN12" s="11" t="n">
        <f aca="false">IF(AM12="","",ROUND(AM12/(MAX(1,N(H12))*F12/1000*(G12/1000*(1-SG_Criteria!$B$25))),2))</f>
        <v>0.98</v>
      </c>
      <c r="AO12" s="38" t="str">
        <f aca="false">IF(C12="","",IF(LEN(IF(AND(OR(D12="Roadside drain",D12="Entrance culvert"),OR(F12&lt;SG_Criteria!$B$15,G12&lt;SG_Criteria!$B$16)),"FAIL: below PUB min "&amp;SG_Criteria!$B$15&amp;"x"&amp;SG_Criteria!$B$16&amp;" for roadside drain. ","")&amp;IF(AND(D12="Common drain",F12&lt;SG_Criteria!$B$17),"FAIL: common drain W &lt; "&amp;SG_Criteria!$B$17&amp;" mm. ","")&amp;IF(AND(N12&lt;&gt;"",IFERROR(VALUE(MID(N12,2,2)),0)&lt;SG_Criteria!$B$19),"FAIL: grade below C"&amp;SG_Criteria!$B$19&amp;". ","")&amp;IF(AND(O12&lt;&gt;"",O12&lt;SG_Criteria!$B$20),"FAIL: cover &lt; "&amp;SG_Criteria!$B$20&amp;" mm. ","")&amp;IF(AND(E12="Open",G12&gt;SG_Criteria!$B$18),"NOTE: safety railing required (D &gt; "&amp;SG_Criteria!$B$18&amp;" mm). ","")&amp;IF(AND(D12="Entrance culvert",G12&lt;600),"NOTE: check hinged grating rule for culverts &lt; 600 deep (PUB Add. 3). ",""))=0,"OK",IF(AND(OR(D12="Roadside drain",D12="Entrance culvert"),OR(F12&lt;SG_Criteria!$B$15,G12&lt;SG_Criteria!$B$16)),"FAIL: below PUB min "&amp;SG_Criteria!$B$15&amp;"x"&amp;SG_Criteria!$B$16&amp;" for roadside drain. ","")&amp;IF(AND(D12="Common drain",F12&lt;SG_Criteria!$B$17),"FAIL: common drain W &lt; "&amp;SG_Criteria!$B$17&amp;" mm. ","")&amp;IF(AND(N12&lt;&gt;"",IFERROR(VALUE(MID(N12,2,2)),0)&lt;SG_Criteria!$B$19),"FAIL: grade below C"&amp;SG_Criteria!$B$19&amp;". ","")&amp;IF(AND(O12&lt;&gt;"",O12&lt;SG_Criteria!$B$20),"FAIL: cover &lt; "&amp;SG_Criteria!$B$20&amp;" mm. ","")&amp;IF(AND(E12="Open",G12&gt;SG_Criteria!$B$18),"NOTE: safety railing required (D &gt; "&amp;SG_Criteria!$B$18&amp;" mm). ","")&amp;IF(AND(D12="Entrance culvert",G12&lt;600),"NOTE: check hinged grating rule for culverts &lt; 600 deep (PUB Add. 3). ","")))</f>
        <v>OK</v>
      </c>
      <c r="AP12" s="18" t="s">
        <v>657</v>
      </c>
      <c r="AQ12" s="18"/>
      <c r="AR12" s="18" t="s">
        <v>631</v>
      </c>
      <c r="AS12" s="18" t="s">
        <v>631</v>
      </c>
      <c r="AT12" s="18" t="s">
        <v>631</v>
      </c>
      <c r="AU12" s="39" t="n">
        <v>46309</v>
      </c>
      <c r="AV12" s="10" t="str">
        <f aca="false">IF(C12="","",IF(AND(V12="Approved",ISERROR(SEARCH("FAIL",AO12))),"Y","N"))</f>
        <v>Y</v>
      </c>
      <c r="AW12" s="10" t="str">
        <f aca="false">IF(C12="","",C12&amp;"|"&amp;F12&amp;"|"&amp;G12&amp;"|"&amp;L12&amp;"|"&amp;AV12)</f>
        <v>Entrance Culvert|600|600|Vehicular LM1 (SS EN 1991-2)|Y</v>
      </c>
    </row>
    <row r="13" customFormat="false" ht="15" hidden="false" customHeight="false" outlineLevel="0" collapsed="false">
      <c r="A13" s="10" t="str">
        <f aca="false">IF(C13="","","DRN-"&amp;IFERROR(VLOOKUP(C13,Lists!$A$4:$B$27,2,0),"??")&amp;"-"&amp;TEXT(F13,"0000")&amp;"x"&amp;TEXT(G13,"0000")&amp;IF(N(H13)&gt;1,"-"&amp;H13&amp;"C","")&amp;"-"&amp;IFERROR(VLOOKUP(L13,Lists!$J$4:$K$19,2,0),"??")&amp;"-"&amp;U13)</f>
        <v>DRN-CMD-0450x0450-FWY-A</v>
      </c>
      <c r="B13" s="10" t="str">
        <f aca="false">IF(C13="","",C13&amp;" "&amp;F13&amp;"W x "&amp;G13&amp;"D"&amp;IF(N(H13)&gt;1," ("&amp;H13&amp;" cells)","")&amp;", "&amp;D13&amp;", "&amp;L13&amp;", "&amp;E13)</f>
        <v>Common Drain 450W x 450D, Common drain, Footway 5 kPa (SDRE), Covered - grating</v>
      </c>
      <c r="C13" s="18" t="s">
        <v>177</v>
      </c>
      <c r="D13" s="18" t="s">
        <v>472</v>
      </c>
      <c r="E13" s="18" t="s">
        <v>497</v>
      </c>
      <c r="F13" s="35" t="n">
        <v>450</v>
      </c>
      <c r="G13" s="35" t="n">
        <v>450</v>
      </c>
      <c r="H13" s="35" t="n">
        <v>1</v>
      </c>
      <c r="I13" s="35" t="n">
        <v>100</v>
      </c>
      <c r="J13" s="35" t="n">
        <v>100</v>
      </c>
      <c r="K13" s="35"/>
      <c r="L13" s="18" t="s">
        <v>474</v>
      </c>
      <c r="M13" s="18" t="s">
        <v>626</v>
      </c>
      <c r="N13" s="18" t="s">
        <v>531</v>
      </c>
      <c r="O13" s="35" t="n">
        <v>40</v>
      </c>
      <c r="P13" s="18" t="s">
        <v>637</v>
      </c>
      <c r="Q13" s="18" t="s">
        <v>637</v>
      </c>
      <c r="R13" s="18" t="s">
        <v>626</v>
      </c>
      <c r="S13" s="18" t="s">
        <v>658</v>
      </c>
      <c r="T13" s="18" t="s">
        <v>627</v>
      </c>
      <c r="U13" s="18" t="s">
        <v>628</v>
      </c>
      <c r="V13" s="18" t="s">
        <v>244</v>
      </c>
      <c r="W13" s="18" t="s">
        <v>659</v>
      </c>
      <c r="X13" s="18" t="n">
        <v>20</v>
      </c>
      <c r="Y13" s="18" t="s">
        <v>74</v>
      </c>
      <c r="Z13" s="10" t="str">
        <f aca="false">IF(A13="","",SG_Criteria!$B$6&amp;SG_Criteria!$B$7&amp;"\"&amp;A13&amp;"\")</f>
        <v>C:\Users\yourname\YourCompany\Design Library - Documents\01_Drainage\DRN-CMD-0450x0450-FWY-A\</v>
      </c>
      <c r="AA13" s="10" t="str">
        <f aca="false">IF(A13="","",A13&amp;"_CAD.dwg")</f>
        <v>DRN-CMD-0450x0450-FWY-A_CAD.dwg</v>
      </c>
      <c r="AB13" s="10" t="str">
        <f aca="false">IF(A13="","",A13&amp;"_DWG.pdf")</f>
        <v>DRN-CMD-0450x0450-FWY-A_DWG.pdf</v>
      </c>
      <c r="AC13" s="10" t="str">
        <f aca="false">IF(A13="","",IF(Y13="Y",A13&amp;"_STAAD.std","n/a"))</f>
        <v>n/a</v>
      </c>
      <c r="AD13" s="10" t="str">
        <f aca="false">IF(A13="","",A13&amp;"_CALC.xlsx")</f>
        <v>DRN-CMD-0450x0450-FWY-A_CALC.xlsx</v>
      </c>
      <c r="AE13" s="10" t="str">
        <f aca="false">IF(A13="","",A13&amp;"_CALC.pdf")</f>
        <v>DRN-CMD-0450x0450-FWY-A_CALC.pdf</v>
      </c>
      <c r="AF13" s="18" t="s">
        <v>74</v>
      </c>
      <c r="AG13" s="18" t="s">
        <v>356</v>
      </c>
      <c r="AH13" s="36" t="n">
        <v>0.15</v>
      </c>
      <c r="AI13" s="36" t="n">
        <v>12</v>
      </c>
      <c r="AJ13" s="36" t="n">
        <v>0</v>
      </c>
      <c r="AK13" s="36" t="n">
        <v>1.9</v>
      </c>
      <c r="AL13" s="36" t="n">
        <v>0.9</v>
      </c>
      <c r="AM13" s="37" t="n">
        <f aca="false">IF(OR(C13="",F13="",G13="",C13="Sump",C13="Drop Inlet Chamber",C13="Silt Trap",C13="Pipe Culvert",C13="Subsoil Drain"),"",ROUND(MAX(1,N(H13))*(1/SG_Criteria!$B$26)*((F13/1000)*(G13/1000*(1-SG_Criteria!$B$25)))*(((F13/1000)*(G13/1000*(1-SG_Criteria!$B$25)))/((F13/1000)+2*(G13/1000*(1-SG_Criteria!$B$25))))^(2/3)*(1/Design_Selector!$B$11)^0.5,3))</f>
        <v>0.139</v>
      </c>
      <c r="AN13" s="11" t="n">
        <f aca="false">IF(AM13="","",ROUND(AM13/(MAX(1,N(H13))*F13/1000*(G13/1000*(1-SG_Criteria!$B$25))),2))</f>
        <v>0.81</v>
      </c>
      <c r="AO13" s="38" t="str">
        <f aca="false">IF(C13="","",IF(LEN(IF(AND(OR(D13="Roadside drain",D13="Entrance culvert"),OR(F13&lt;SG_Criteria!$B$15,G13&lt;SG_Criteria!$B$16)),"FAIL: below PUB min "&amp;SG_Criteria!$B$15&amp;"x"&amp;SG_Criteria!$B$16&amp;" for roadside drain. ","")&amp;IF(AND(D13="Common drain",F13&lt;SG_Criteria!$B$17),"FAIL: common drain W &lt; "&amp;SG_Criteria!$B$17&amp;" mm. ","")&amp;IF(AND(N13&lt;&gt;"",IFERROR(VALUE(MID(N13,2,2)),0)&lt;SG_Criteria!$B$19),"FAIL: grade below C"&amp;SG_Criteria!$B$19&amp;". ","")&amp;IF(AND(O13&lt;&gt;"",O13&lt;SG_Criteria!$B$20),"FAIL: cover &lt; "&amp;SG_Criteria!$B$20&amp;" mm. ","")&amp;IF(AND(E13="Open",G13&gt;SG_Criteria!$B$18),"NOTE: safety railing required (D &gt; "&amp;SG_Criteria!$B$18&amp;" mm). ","")&amp;IF(AND(D13="Entrance culvert",G13&lt;600),"NOTE: check hinged grating rule for culverts &lt; 600 deep (PUB Add. 3). ",""))=0,"OK",IF(AND(OR(D13="Roadside drain",D13="Entrance culvert"),OR(F13&lt;SG_Criteria!$B$15,G13&lt;SG_Criteria!$B$16)),"FAIL: below PUB min "&amp;SG_Criteria!$B$15&amp;"x"&amp;SG_Criteria!$B$16&amp;" for roadside drain. ","")&amp;IF(AND(D13="Common drain",F13&lt;SG_Criteria!$B$17),"FAIL: common drain W &lt; "&amp;SG_Criteria!$B$17&amp;" mm. ","")&amp;IF(AND(N13&lt;&gt;"",IFERROR(VALUE(MID(N13,2,2)),0)&lt;SG_Criteria!$B$19),"FAIL: grade below C"&amp;SG_Criteria!$B$19&amp;". ","")&amp;IF(AND(O13&lt;&gt;"",O13&lt;SG_Criteria!$B$20),"FAIL: cover &lt; "&amp;SG_Criteria!$B$20&amp;" mm. ","")&amp;IF(AND(E13="Open",G13&gt;SG_Criteria!$B$18),"NOTE: safety railing required (D &gt; "&amp;SG_Criteria!$B$18&amp;" mm). ","")&amp;IF(AND(D13="Entrance culvert",G13&lt;600),"NOTE: check hinged grating rule for culverts &lt; 600 deep (PUB Add. 3). ","")))</f>
        <v>OK</v>
      </c>
      <c r="AP13" s="18" t="s">
        <v>660</v>
      </c>
      <c r="AQ13" s="18"/>
      <c r="AR13" s="18" t="s">
        <v>631</v>
      </c>
      <c r="AS13" s="18" t="s">
        <v>631</v>
      </c>
      <c r="AT13" s="18" t="s">
        <v>631</v>
      </c>
      <c r="AU13" s="39" t="n">
        <v>46309</v>
      </c>
      <c r="AV13" s="10" t="str">
        <f aca="false">IF(C13="","",IF(AND(V13="Approved",ISERROR(SEARCH("FAIL",AO13))),"Y","N"))</f>
        <v>Y</v>
      </c>
      <c r="AW13" s="10" t="str">
        <f aca="false">IF(C13="","",C13&amp;"|"&amp;F13&amp;"|"&amp;G13&amp;"|"&amp;L13&amp;"|"&amp;AV13)</f>
        <v>Common Drain|450|450|Footway 5 kPa (SDRE)|Y</v>
      </c>
    </row>
    <row r="14" customFormat="false" ht="15" hidden="false" customHeight="false" outlineLevel="0" collapsed="false">
      <c r="A14" s="10" t="str">
        <f aca="false">IF(C14="","","DRN-"&amp;IFERROR(VLOOKUP(C14,Lists!$A$4:$B$27,2,0),"??")&amp;"-"&amp;TEXT(F14,"0000")&amp;"x"&amp;TEXT(G14,"0000")&amp;IF(N(H14)&gt;1,"-"&amp;H14&amp;"C","")&amp;"-"&amp;IFERROR(VLOOKUP(L14,Lists!$J$4:$K$19,2,0),"??")&amp;"-"&amp;U14)</f>
        <v>DRN-PUD-0450x0450-S12-A</v>
      </c>
      <c r="B14" s="10" t="str">
        <f aca="false">IF(C14="","",C14&amp;" "&amp;F14&amp;"W x "&amp;G14&amp;"D"&amp;IF(N(H14)&gt;1," ("&amp;H14&amp;" cells)","")&amp;", "&amp;D14&amp;", "&amp;L14&amp;", "&amp;E14)</f>
        <v>Precast U-Drain 450W x 450D, Roadside drain, Drain surcharge 12 kPa (SDRE), Open</v>
      </c>
      <c r="C14" s="18" t="s">
        <v>56</v>
      </c>
      <c r="D14" s="18" t="s">
        <v>446</v>
      </c>
      <c r="E14" s="18" t="s">
        <v>447</v>
      </c>
      <c r="F14" s="35" t="n">
        <v>450</v>
      </c>
      <c r="G14" s="35" t="n">
        <v>450</v>
      </c>
      <c r="H14" s="35" t="n">
        <v>1</v>
      </c>
      <c r="I14" s="35" t="n">
        <v>100</v>
      </c>
      <c r="J14" s="35" t="n">
        <v>100</v>
      </c>
      <c r="K14" s="35"/>
      <c r="L14" s="18" t="s">
        <v>72</v>
      </c>
      <c r="M14" s="18" t="s">
        <v>624</v>
      </c>
      <c r="N14" s="18" t="s">
        <v>470</v>
      </c>
      <c r="O14" s="35" t="n">
        <v>40</v>
      </c>
      <c r="P14" s="18" t="s">
        <v>625</v>
      </c>
      <c r="Q14" s="18" t="s">
        <v>625</v>
      </c>
      <c r="R14" s="18" t="s">
        <v>626</v>
      </c>
      <c r="S14" s="18" t="s">
        <v>626</v>
      </c>
      <c r="T14" s="18" t="s">
        <v>627</v>
      </c>
      <c r="U14" s="18" t="s">
        <v>628</v>
      </c>
      <c r="V14" s="18" t="s">
        <v>246</v>
      </c>
      <c r="W14" s="18" t="s">
        <v>661</v>
      </c>
      <c r="X14" s="18" t="n">
        <v>20</v>
      </c>
      <c r="Y14" s="18" t="s">
        <v>74</v>
      </c>
      <c r="Z14" s="10" t="str">
        <f aca="false">IF(A14="","",SG_Criteria!$B$6&amp;SG_Criteria!$B$7&amp;"\"&amp;A14&amp;"\")</f>
        <v>C:\Users\yourname\YourCompany\Design Library - Documents\01_Drainage\DRN-PUD-0450x0450-S12-A\</v>
      </c>
      <c r="AA14" s="10" t="str">
        <f aca="false">IF(A14="","",A14&amp;"_CAD.dwg")</f>
        <v>DRN-PUD-0450x0450-S12-A_CAD.dwg</v>
      </c>
      <c r="AB14" s="10" t="str">
        <f aca="false">IF(A14="","",A14&amp;"_DWG.pdf")</f>
        <v>DRN-PUD-0450x0450-S12-A_DWG.pdf</v>
      </c>
      <c r="AC14" s="10" t="str">
        <f aca="false">IF(A14="","",IF(Y14="Y",A14&amp;"_STAAD.std","n/a"))</f>
        <v>n/a</v>
      </c>
      <c r="AD14" s="10" t="str">
        <f aca="false">IF(A14="","",A14&amp;"_CALC.xlsx")</f>
        <v>DRN-PUD-0450x0450-S12-A_CALC.xlsx</v>
      </c>
      <c r="AE14" s="10" t="str">
        <f aca="false">IF(A14="","",A14&amp;"_CALC.pdf")</f>
        <v>DRN-PUD-0450x0450-S12-A_CALC.pdf</v>
      </c>
      <c r="AF14" s="18" t="s">
        <v>74</v>
      </c>
      <c r="AG14" s="18" t="s">
        <v>356</v>
      </c>
      <c r="AH14" s="36" t="n">
        <v>0.14</v>
      </c>
      <c r="AI14" s="36" t="n">
        <v>11</v>
      </c>
      <c r="AJ14" s="36" t="n">
        <v>0</v>
      </c>
      <c r="AK14" s="36" t="n">
        <v>0</v>
      </c>
      <c r="AL14" s="36" t="n">
        <v>1</v>
      </c>
      <c r="AM14" s="37" t="n">
        <f aca="false">IF(OR(C14="",F14="",G14="",C14="Sump",C14="Drop Inlet Chamber",C14="Silt Trap",C14="Pipe Culvert",C14="Subsoil Drain"),"",ROUND(MAX(1,N(H14))*(1/SG_Criteria!$B$26)*((F14/1000)*(G14/1000*(1-SG_Criteria!$B$25)))*(((F14/1000)*(G14/1000*(1-SG_Criteria!$B$25)))/((F14/1000)+2*(G14/1000*(1-SG_Criteria!$B$25))))^(2/3)*(1/Design_Selector!$B$11)^0.5,3))</f>
        <v>0.139</v>
      </c>
      <c r="AN14" s="11" t="n">
        <f aca="false">IF(AM14="","",ROUND(AM14/(MAX(1,N(H14))*F14/1000*(G14/1000*(1-SG_Criteria!$B$25))),2))</f>
        <v>0.81</v>
      </c>
      <c r="AO14" s="38" t="str">
        <f aca="false">IF(C14="","",IF(LEN(IF(AND(OR(D14="Roadside drain",D14="Entrance culvert"),OR(F14&lt;SG_Criteria!$B$15,G14&lt;SG_Criteria!$B$16)),"FAIL: below PUB min "&amp;SG_Criteria!$B$15&amp;"x"&amp;SG_Criteria!$B$16&amp;" for roadside drain. ","")&amp;IF(AND(D14="Common drain",F14&lt;SG_Criteria!$B$17),"FAIL: common drain W &lt; "&amp;SG_Criteria!$B$17&amp;" mm. ","")&amp;IF(AND(N14&lt;&gt;"",IFERROR(VALUE(MID(N14,2,2)),0)&lt;SG_Criteria!$B$19),"FAIL: grade below C"&amp;SG_Criteria!$B$19&amp;". ","")&amp;IF(AND(O14&lt;&gt;"",O14&lt;SG_Criteria!$B$20),"FAIL: cover &lt; "&amp;SG_Criteria!$B$20&amp;" mm. ","")&amp;IF(AND(E14="Open",G14&gt;SG_Criteria!$B$18),"NOTE: safety railing required (D &gt; "&amp;SG_Criteria!$B$18&amp;" mm). ","")&amp;IF(AND(D14="Entrance culvert",G14&lt;600),"NOTE: check hinged grating rule for culverts &lt; 600 deep (PUB Add. 3). ",""))=0,"OK",IF(AND(OR(D14="Roadside drain",D14="Entrance culvert"),OR(F14&lt;SG_Criteria!$B$15,G14&lt;SG_Criteria!$B$16)),"FAIL: below PUB min "&amp;SG_Criteria!$B$15&amp;"x"&amp;SG_Criteria!$B$16&amp;" for roadside drain. ","")&amp;IF(AND(D14="Common drain",F14&lt;SG_Criteria!$B$17),"FAIL: common drain W &lt; "&amp;SG_Criteria!$B$17&amp;" mm. ","")&amp;IF(AND(N14&lt;&gt;"",IFERROR(VALUE(MID(N14,2,2)),0)&lt;SG_Criteria!$B$19),"FAIL: grade below C"&amp;SG_Criteria!$B$19&amp;". ","")&amp;IF(AND(O14&lt;&gt;"",O14&lt;SG_Criteria!$B$20),"FAIL: cover &lt; "&amp;SG_Criteria!$B$20&amp;" mm. ","")&amp;IF(AND(E14="Open",G14&gt;SG_Criteria!$B$18),"NOTE: safety railing required (D &gt; "&amp;SG_Criteria!$B$18&amp;" mm). ","")&amp;IF(AND(D14="Entrance culvert",G14&lt;600),"NOTE: check hinged grating rule for culverts &lt; 600 deep (PUB Add. 3). ","")))</f>
        <v>FAIL: below PUB min 600x600 for roadside drain. FAIL: grade below C28. </v>
      </c>
      <c r="AP14" s="18" t="s">
        <v>662</v>
      </c>
      <c r="AQ14" s="18"/>
      <c r="AR14" s="18" t="s">
        <v>631</v>
      </c>
      <c r="AS14" s="18" t="s">
        <v>631</v>
      </c>
      <c r="AT14" s="18" t="s">
        <v>631</v>
      </c>
      <c r="AU14" s="39" t="n">
        <v>46309</v>
      </c>
      <c r="AV14" s="10" t="str">
        <f aca="false">IF(C14="","",IF(AND(V14="Approved",ISERROR(SEARCH("FAIL",AO14))),"Y","N"))</f>
        <v>N</v>
      </c>
      <c r="AW14" s="10" t="str">
        <f aca="false">IF(C14="","",C14&amp;"|"&amp;F14&amp;"|"&amp;G14&amp;"|"&amp;L14&amp;"|"&amp;AV14)</f>
        <v>Precast U-Drain|450|450|Drain surcharge 12 kPa (SDRE)|N</v>
      </c>
    </row>
    <row r="15" customFormat="false" ht="15" hidden="false" customHeight="false" outlineLevel="0" collapsed="false">
      <c r="A15" s="10" t="str">
        <f aca="false">IF(C15="","","DRN-"&amp;IFERROR(VLOOKUP(C15,Lists!$A$4:$B$27,2,0),"??")&amp;"-"&amp;TEXT(F15,"0000")&amp;"x"&amp;TEXT(G15,"0000")&amp;IF(N(H15)&gt;1,"-"&amp;H15&amp;"C","")&amp;"-"&amp;IFERROR(VLOOKUP(L15,Lists!$J$4:$K$19,2,0),"??")&amp;"-"&amp;U15)</f>
        <v>DRN-DIC-0600x0900-S12-A</v>
      </c>
      <c r="B15" s="10" t="str">
        <f aca="false">IF(C15="","",C15&amp;" "&amp;F15&amp;"W x "&amp;G15&amp;"D"&amp;IF(N(H15)&gt;1," ("&amp;H15&amp;" cells)","")&amp;", "&amp;D15&amp;", "&amp;L15&amp;", "&amp;E15)</f>
        <v>Drop Inlet Chamber 600W x 900D, Roadside drain, Drain surcharge 12 kPa (SDRE), Covered - grating</v>
      </c>
      <c r="C15" s="18" t="s">
        <v>178</v>
      </c>
      <c r="D15" s="18" t="s">
        <v>446</v>
      </c>
      <c r="E15" s="18" t="s">
        <v>497</v>
      </c>
      <c r="F15" s="35" t="n">
        <v>600</v>
      </c>
      <c r="G15" s="35" t="n">
        <v>900</v>
      </c>
      <c r="H15" s="35" t="n">
        <v>1</v>
      </c>
      <c r="I15" s="35" t="n">
        <v>150</v>
      </c>
      <c r="J15" s="35" t="n">
        <v>150</v>
      </c>
      <c r="K15" s="35"/>
      <c r="L15" s="18" t="s">
        <v>72</v>
      </c>
      <c r="M15" s="18" t="s">
        <v>626</v>
      </c>
      <c r="N15" s="18" t="s">
        <v>531</v>
      </c>
      <c r="O15" s="35" t="n">
        <v>40</v>
      </c>
      <c r="P15" s="18" t="s">
        <v>636</v>
      </c>
      <c r="Q15" s="18" t="s">
        <v>636</v>
      </c>
      <c r="R15" s="18" t="s">
        <v>626</v>
      </c>
      <c r="S15" s="18" t="s">
        <v>626</v>
      </c>
      <c r="T15" s="18" t="s">
        <v>627</v>
      </c>
      <c r="U15" s="18" t="s">
        <v>628</v>
      </c>
      <c r="V15" s="18" t="s">
        <v>244</v>
      </c>
      <c r="W15" s="18" t="s">
        <v>663</v>
      </c>
      <c r="X15" s="18" t="n">
        <v>20</v>
      </c>
      <c r="Y15" s="18" t="s">
        <v>74</v>
      </c>
      <c r="Z15" s="10" t="str">
        <f aca="false">IF(A15="","",SG_Criteria!$B$6&amp;SG_Criteria!$B$7&amp;"\"&amp;A15&amp;"\")</f>
        <v>C:\Users\yourname\YourCompany\Design Library - Documents\01_Drainage\DRN-DIC-0600x0900-S12-A\</v>
      </c>
      <c r="AA15" s="10" t="str">
        <f aca="false">IF(A15="","",A15&amp;"_CAD.dwg")</f>
        <v>DRN-DIC-0600x0900-S12-A_CAD.dwg</v>
      </c>
      <c r="AB15" s="10" t="str">
        <f aca="false">IF(A15="","",A15&amp;"_DWG.pdf")</f>
        <v>DRN-DIC-0600x0900-S12-A_DWG.pdf</v>
      </c>
      <c r="AC15" s="10" t="str">
        <f aca="false">IF(A15="","",IF(Y15="Y",A15&amp;"_STAAD.std","n/a"))</f>
        <v>n/a</v>
      </c>
      <c r="AD15" s="10" t="str">
        <f aca="false">IF(A15="","",A15&amp;"_CALC.xlsx")</f>
        <v>DRN-DIC-0600x0900-S12-A_CALC.xlsx</v>
      </c>
      <c r="AE15" s="10" t="str">
        <f aca="false">IF(A15="","",A15&amp;"_CALC.pdf")</f>
        <v>DRN-DIC-0600x0900-S12-A_CALC.pdf</v>
      </c>
      <c r="AF15" s="18" t="s">
        <v>74</v>
      </c>
      <c r="AG15" s="18" t="s">
        <v>493</v>
      </c>
      <c r="AH15" s="36" t="n">
        <v>0.55</v>
      </c>
      <c r="AI15" s="36" t="n">
        <v>42</v>
      </c>
      <c r="AJ15" s="36" t="n">
        <v>0</v>
      </c>
      <c r="AK15" s="36" t="n">
        <v>4.2</v>
      </c>
      <c r="AL15" s="36" t="n">
        <v>1.6</v>
      </c>
      <c r="AM15" s="37" t="str">
        <f aca="false">IF(OR(C15="",F15="",G15="",C15="Sump",C15="Drop Inlet Chamber",C15="Silt Trap",C15="Pipe Culvert",C15="Subsoil Drain"),"",ROUND(MAX(1,N(H15))*(1/SG_Criteria!$B$26)*((F15/1000)*(G15/1000*(1-SG_Criteria!$B$25)))*(((F15/1000)*(G15/1000*(1-SG_Criteria!$B$25)))/((F15/1000)+2*(G15/1000*(1-SG_Criteria!$B$25))))^(2/3)*(1/Design_Selector!$B$11)^0.5,3))</f>
        <v/>
      </c>
      <c r="AN15" s="11" t="str">
        <f aca="false">IF(AM15="","",ROUND(AM15/(MAX(1,N(H15))*F15/1000*(G15/1000*(1-SG_Criteria!$B$25))),2))</f>
        <v/>
      </c>
      <c r="AO15" s="38" t="str">
        <f aca="false">IF(C15="","",IF(LEN(IF(AND(OR(D15="Roadside drain",D15="Entrance culvert"),OR(F15&lt;SG_Criteria!$B$15,G15&lt;SG_Criteria!$B$16)),"FAIL: below PUB min "&amp;SG_Criteria!$B$15&amp;"x"&amp;SG_Criteria!$B$16&amp;" for roadside drain. ","")&amp;IF(AND(D15="Common drain",F15&lt;SG_Criteria!$B$17),"FAIL: common drain W &lt; "&amp;SG_Criteria!$B$17&amp;" mm. ","")&amp;IF(AND(N15&lt;&gt;"",IFERROR(VALUE(MID(N15,2,2)),0)&lt;SG_Criteria!$B$19),"FAIL: grade below C"&amp;SG_Criteria!$B$19&amp;". ","")&amp;IF(AND(O15&lt;&gt;"",O15&lt;SG_Criteria!$B$20),"FAIL: cover &lt; "&amp;SG_Criteria!$B$20&amp;" mm. ","")&amp;IF(AND(E15="Open",G15&gt;SG_Criteria!$B$18),"NOTE: safety railing required (D &gt; "&amp;SG_Criteria!$B$18&amp;" mm). ","")&amp;IF(AND(D15="Entrance culvert",G15&lt;600),"NOTE: check hinged grating rule for culverts &lt; 600 deep (PUB Add. 3). ",""))=0,"OK",IF(AND(OR(D15="Roadside drain",D15="Entrance culvert"),OR(F15&lt;SG_Criteria!$B$15,G15&lt;SG_Criteria!$B$16)),"FAIL: below PUB min "&amp;SG_Criteria!$B$15&amp;"x"&amp;SG_Criteria!$B$16&amp;" for roadside drain. ","")&amp;IF(AND(D15="Common drain",F15&lt;SG_Criteria!$B$17),"FAIL: common drain W &lt; "&amp;SG_Criteria!$B$17&amp;" mm. ","")&amp;IF(AND(N15&lt;&gt;"",IFERROR(VALUE(MID(N15,2,2)),0)&lt;SG_Criteria!$B$19),"FAIL: grade below C"&amp;SG_Criteria!$B$19&amp;". ","")&amp;IF(AND(O15&lt;&gt;"",O15&lt;SG_Criteria!$B$20),"FAIL: cover &lt; "&amp;SG_Criteria!$B$20&amp;" mm. ","")&amp;IF(AND(E15="Open",G15&gt;SG_Criteria!$B$18),"NOTE: safety railing required (D &gt; "&amp;SG_Criteria!$B$18&amp;" mm). ","")&amp;IF(AND(D15="Entrance culvert",G15&lt;600),"NOTE: check hinged grating rule for culverts &lt; 600 deep (PUB Add. 3). ","")))</f>
        <v>OK</v>
      </c>
      <c r="AP15" s="18" t="s">
        <v>664</v>
      </c>
      <c r="AQ15" s="18"/>
      <c r="AR15" s="18" t="s">
        <v>631</v>
      </c>
      <c r="AS15" s="18" t="s">
        <v>631</v>
      </c>
      <c r="AT15" s="18" t="s">
        <v>631</v>
      </c>
      <c r="AU15" s="39" t="n">
        <v>46309</v>
      </c>
      <c r="AV15" s="10" t="str">
        <f aca="false">IF(C15="","",IF(AND(V15="Approved",ISERROR(SEARCH("FAIL",AO15))),"Y","N"))</f>
        <v>Y</v>
      </c>
      <c r="AW15" s="10" t="str">
        <f aca="false">IF(C15="","",C15&amp;"|"&amp;F15&amp;"|"&amp;G15&amp;"|"&amp;L15&amp;"|"&amp;AV15)</f>
        <v>Drop Inlet Chamber|600|900|Drain surcharge 12 kPa (SDRE)|Y</v>
      </c>
    </row>
    <row r="16" customFormat="false" ht="15" hidden="false" customHeight="false" outlineLevel="0" collapsed="false">
      <c r="A16" s="10" t="str">
        <f aca="false">IF(C16="","","DRN-"&amp;IFERROR(VLOOKUP(C16,Lists!$A$4:$B$27,2,0),"??")&amp;"-"&amp;TEXT(F16,"0000")&amp;"x"&amp;TEXT(G16,"0000")&amp;IF(N(H16)&gt;1,"-"&amp;H16&amp;"C","")&amp;"-"&amp;IFERROR(VLOOKUP(L16,Lists!$J$4:$K$19,2,0),"??")&amp;"-"&amp;U16)</f>
        <v>DRN-SP-0900x1200-S12-A</v>
      </c>
      <c r="B16" s="10" t="str">
        <f aca="false">IF(C16="","",C16&amp;" "&amp;F16&amp;"W x "&amp;G16&amp;"D"&amp;IF(N(H16)&gt;1," ("&amp;H16&amp;" cells)","")&amp;", "&amp;D16&amp;", "&amp;L16&amp;", "&amp;E16)</f>
        <v>Sump 900W x 1200D, Roadside drain, Drain surcharge 12 kPa (SDRE), Covered - grating</v>
      </c>
      <c r="C16" s="18" t="s">
        <v>179</v>
      </c>
      <c r="D16" s="18" t="s">
        <v>446</v>
      </c>
      <c r="E16" s="18" t="s">
        <v>497</v>
      </c>
      <c r="F16" s="35" t="n">
        <v>900</v>
      </c>
      <c r="G16" s="35" t="n">
        <v>1200</v>
      </c>
      <c r="H16" s="35" t="n">
        <v>1</v>
      </c>
      <c r="I16" s="35" t="n">
        <v>200</v>
      </c>
      <c r="J16" s="35" t="n">
        <v>200</v>
      </c>
      <c r="K16" s="35"/>
      <c r="L16" s="18" t="s">
        <v>72</v>
      </c>
      <c r="M16" s="18" t="s">
        <v>626</v>
      </c>
      <c r="N16" s="18" t="s">
        <v>531</v>
      </c>
      <c r="O16" s="35" t="n">
        <v>40</v>
      </c>
      <c r="P16" s="18" t="s">
        <v>640</v>
      </c>
      <c r="Q16" s="18" t="s">
        <v>640</v>
      </c>
      <c r="R16" s="18" t="s">
        <v>626</v>
      </c>
      <c r="S16" s="18" t="s">
        <v>637</v>
      </c>
      <c r="T16" s="18" t="s">
        <v>627</v>
      </c>
      <c r="U16" s="18" t="s">
        <v>628</v>
      </c>
      <c r="V16" s="18" t="s">
        <v>244</v>
      </c>
      <c r="W16" s="18" t="s">
        <v>665</v>
      </c>
      <c r="X16" s="18" t="n">
        <v>20</v>
      </c>
      <c r="Y16" s="18" t="s">
        <v>74</v>
      </c>
      <c r="Z16" s="10" t="str">
        <f aca="false">IF(A16="","",SG_Criteria!$B$6&amp;SG_Criteria!$B$7&amp;"\"&amp;A16&amp;"\")</f>
        <v>C:\Users\yourname\YourCompany\Design Library - Documents\01_Drainage\DRN-SP-0900x1200-S12-A\</v>
      </c>
      <c r="AA16" s="10" t="str">
        <f aca="false">IF(A16="","",A16&amp;"_CAD.dwg")</f>
        <v>DRN-SP-0900x1200-S12-A_CAD.dwg</v>
      </c>
      <c r="AB16" s="10" t="str">
        <f aca="false">IF(A16="","",A16&amp;"_DWG.pdf")</f>
        <v>DRN-SP-0900x1200-S12-A_DWG.pdf</v>
      </c>
      <c r="AC16" s="10" t="str">
        <f aca="false">IF(A16="","",IF(Y16="Y",A16&amp;"_STAAD.std","n/a"))</f>
        <v>n/a</v>
      </c>
      <c r="AD16" s="10" t="str">
        <f aca="false">IF(A16="","",A16&amp;"_CALC.xlsx")</f>
        <v>DRN-SP-0900x1200-S12-A_CALC.xlsx</v>
      </c>
      <c r="AE16" s="10" t="str">
        <f aca="false">IF(A16="","",A16&amp;"_CALC.pdf")</f>
        <v>DRN-SP-0900x1200-S12-A_CALC.pdf</v>
      </c>
      <c r="AF16" s="18" t="s">
        <v>74</v>
      </c>
      <c r="AG16" s="18" t="s">
        <v>493</v>
      </c>
      <c r="AH16" s="36" t="n">
        <v>1.25</v>
      </c>
      <c r="AI16" s="36" t="n">
        <v>110</v>
      </c>
      <c r="AJ16" s="36" t="n">
        <v>0</v>
      </c>
      <c r="AK16" s="36" t="n">
        <v>9.8</v>
      </c>
      <c r="AL16" s="36" t="n">
        <v>3.2</v>
      </c>
      <c r="AM16" s="37" t="str">
        <f aca="false">IF(OR(C16="",F16="",G16="",C16="Sump",C16="Drop Inlet Chamber",C16="Silt Trap",C16="Pipe Culvert",C16="Subsoil Drain"),"",ROUND(MAX(1,N(H16))*(1/SG_Criteria!$B$26)*((F16/1000)*(G16/1000*(1-SG_Criteria!$B$25)))*(((F16/1000)*(G16/1000*(1-SG_Criteria!$B$25)))/((F16/1000)+2*(G16/1000*(1-SG_Criteria!$B$25))))^(2/3)*(1/Design_Selector!$B$11)^0.5,3))</f>
        <v/>
      </c>
      <c r="AN16" s="11" t="str">
        <f aca="false">IF(AM16="","",ROUND(AM16/(MAX(1,N(H16))*F16/1000*(G16/1000*(1-SG_Criteria!$B$25))),2))</f>
        <v/>
      </c>
      <c r="AO16" s="38" t="str">
        <f aca="false">IF(C16="","",IF(LEN(IF(AND(OR(D16="Roadside drain",D16="Entrance culvert"),OR(F16&lt;SG_Criteria!$B$15,G16&lt;SG_Criteria!$B$16)),"FAIL: below PUB min "&amp;SG_Criteria!$B$15&amp;"x"&amp;SG_Criteria!$B$16&amp;" for roadside drain. ","")&amp;IF(AND(D16="Common drain",F16&lt;SG_Criteria!$B$17),"FAIL: common drain W &lt; "&amp;SG_Criteria!$B$17&amp;" mm. ","")&amp;IF(AND(N16&lt;&gt;"",IFERROR(VALUE(MID(N16,2,2)),0)&lt;SG_Criteria!$B$19),"FAIL: grade below C"&amp;SG_Criteria!$B$19&amp;". ","")&amp;IF(AND(O16&lt;&gt;"",O16&lt;SG_Criteria!$B$20),"FAIL: cover &lt; "&amp;SG_Criteria!$B$20&amp;" mm. ","")&amp;IF(AND(E16="Open",G16&gt;SG_Criteria!$B$18),"NOTE: safety railing required (D &gt; "&amp;SG_Criteria!$B$18&amp;" mm). ","")&amp;IF(AND(D16="Entrance culvert",G16&lt;600),"NOTE: check hinged grating rule for culverts &lt; 600 deep (PUB Add. 3). ",""))=0,"OK",IF(AND(OR(D16="Roadside drain",D16="Entrance culvert"),OR(F16&lt;SG_Criteria!$B$15,G16&lt;SG_Criteria!$B$16)),"FAIL: below PUB min "&amp;SG_Criteria!$B$15&amp;"x"&amp;SG_Criteria!$B$16&amp;" for roadside drain. ","")&amp;IF(AND(D16="Common drain",F16&lt;SG_Criteria!$B$17),"FAIL: common drain W &lt; "&amp;SG_Criteria!$B$17&amp;" mm. ","")&amp;IF(AND(N16&lt;&gt;"",IFERROR(VALUE(MID(N16,2,2)),0)&lt;SG_Criteria!$B$19),"FAIL: grade below C"&amp;SG_Criteria!$B$19&amp;". ","")&amp;IF(AND(O16&lt;&gt;"",O16&lt;SG_Criteria!$B$20),"FAIL: cover &lt; "&amp;SG_Criteria!$B$20&amp;" mm. ","")&amp;IF(AND(E16="Open",G16&gt;SG_Criteria!$B$18),"NOTE: safety railing required (D &gt; "&amp;SG_Criteria!$B$18&amp;" mm). ","")&amp;IF(AND(D16="Entrance culvert",G16&lt;600),"NOTE: check hinged grating rule for culverts &lt; 600 deep (PUB Add. 3). ","")))</f>
        <v>OK</v>
      </c>
      <c r="AP16" s="18" t="s">
        <v>634</v>
      </c>
      <c r="AQ16" s="18"/>
      <c r="AR16" s="18" t="s">
        <v>631</v>
      </c>
      <c r="AS16" s="18" t="s">
        <v>631</v>
      </c>
      <c r="AT16" s="18" t="s">
        <v>631</v>
      </c>
      <c r="AU16" s="39" t="n">
        <v>46309</v>
      </c>
      <c r="AV16" s="10" t="str">
        <f aca="false">IF(C16="","",IF(AND(V16="Approved",ISERROR(SEARCH("FAIL",AO16))),"Y","N"))</f>
        <v>Y</v>
      </c>
      <c r="AW16" s="10" t="str">
        <f aca="false">IF(C16="","",C16&amp;"|"&amp;F16&amp;"|"&amp;G16&amp;"|"&amp;L16&amp;"|"&amp;AV16)</f>
        <v>Sump|900|1200|Drain surcharge 12 kPa (SDRE)|Y</v>
      </c>
    </row>
    <row r="17" customFormat="false" ht="15" hidden="false" customHeight="false" outlineLevel="0" collapsed="false">
      <c r="A17" s="10" t="str">
        <f aca="false">IF(C17="","","DRN-"&amp;IFERROR(VLOOKUP(C17,Lists!$A$4:$B$27,2,0),"??")&amp;"-"&amp;TEXT(F17,"0000")&amp;"x"&amp;TEXT(G17,"0000")&amp;IF(N(H17)&gt;1,"-"&amp;H17&amp;"C","")&amp;"-"&amp;IFERROR(VLOOKUP(L17,Lists!$J$4:$K$19,2,0),"??")&amp;"-"&amp;U17)</f>
        <v/>
      </c>
      <c r="B17" s="10" t="str">
        <f aca="false">IF(C17="","",C17&amp;" "&amp;F17&amp;"W x "&amp;G17&amp;"D"&amp;IF(N(H17)&gt;1," ("&amp;H17&amp;" cells)","")&amp;", "&amp;D17&amp;", "&amp;L17&amp;", "&amp;E17)</f>
        <v/>
      </c>
      <c r="C17" s="9"/>
      <c r="D17" s="9"/>
      <c r="E17" s="9"/>
      <c r="F17" s="40"/>
      <c r="G17" s="40"/>
      <c r="H17" s="40"/>
      <c r="I17" s="40"/>
      <c r="J17" s="40"/>
      <c r="K17" s="40"/>
      <c r="L17" s="9"/>
      <c r="M17" s="9"/>
      <c r="N17" s="9"/>
      <c r="O17" s="40"/>
      <c r="P17" s="9"/>
      <c r="Q17" s="9"/>
      <c r="R17" s="9"/>
      <c r="S17" s="9"/>
      <c r="T17" s="9"/>
      <c r="U17" s="9"/>
      <c r="V17" s="9"/>
      <c r="W17" s="9"/>
      <c r="X17" s="9"/>
      <c r="Y17" s="9"/>
      <c r="Z17" s="10" t="str">
        <f aca="false">IF(A17="","",SG_Criteria!$B$6&amp;SG_Criteria!$B$7&amp;"\"&amp;A17&amp;"\")</f>
        <v/>
      </c>
      <c r="AA17" s="10" t="str">
        <f aca="false">IF(A17="","",A17&amp;"_CAD.dwg")</f>
        <v/>
      </c>
      <c r="AB17" s="10" t="str">
        <f aca="false">IF(A17="","",A17&amp;"_DWG.pdf")</f>
        <v/>
      </c>
      <c r="AC17" s="10" t="str">
        <f aca="false">IF(A17="","",IF(Y17="Y",A17&amp;"_STAAD.std","n/a"))</f>
        <v/>
      </c>
      <c r="AD17" s="10" t="str">
        <f aca="false">IF(A17="","",A17&amp;"_CALC.xlsx")</f>
        <v/>
      </c>
      <c r="AE17" s="10" t="str">
        <f aca="false">IF(A17="","",A17&amp;"_CALC.pdf")</f>
        <v/>
      </c>
      <c r="AF17" s="9"/>
      <c r="AG17" s="9"/>
      <c r="AH17" s="41"/>
      <c r="AI17" s="41"/>
      <c r="AJ17" s="41"/>
      <c r="AK17" s="41"/>
      <c r="AL17" s="41"/>
      <c r="AM17" s="37" t="str">
        <f aca="false">IF(OR(C17="",F17="",G17="",C17="Sump",C17="Drop Inlet Chamber",C17="Silt Trap",C17="Pipe Culvert",C17="Subsoil Drain"),"",ROUND(MAX(1,N(H17))*(1/SG_Criteria!$B$26)*((F17/1000)*(G17/1000*(1-SG_Criteria!$B$25)))*(((F17/1000)*(G17/1000*(1-SG_Criteria!$B$25)))/((F17/1000)+2*(G17/1000*(1-SG_Criteria!$B$25))))^(2/3)*(1/Design_Selector!$B$11)^0.5,3))</f>
        <v/>
      </c>
      <c r="AN17" s="11" t="str">
        <f aca="false">IF(AM17="","",ROUND(AM17/(MAX(1,N(H17))*F17/1000*(G17/1000*(1-SG_Criteria!$B$25))),2))</f>
        <v/>
      </c>
      <c r="AO17" s="38" t="str">
        <f aca="false">IF(C17="","",IF(LEN(IF(AND(OR(D17="Roadside drain",D17="Entrance culvert"),OR(F17&lt;SG_Criteria!$B$15,G17&lt;SG_Criteria!$B$16)),"FAIL: below PUB min "&amp;SG_Criteria!$B$15&amp;"x"&amp;SG_Criteria!$B$16&amp;" for roadside drain. ","")&amp;IF(AND(D17="Common drain",F17&lt;SG_Criteria!$B$17),"FAIL: common drain W &lt; "&amp;SG_Criteria!$B$17&amp;" mm. ","")&amp;IF(AND(N17&lt;&gt;"",IFERROR(VALUE(MID(N17,2,2)),0)&lt;SG_Criteria!$B$19),"FAIL: grade below C"&amp;SG_Criteria!$B$19&amp;". ","")&amp;IF(AND(O17&lt;&gt;"",O17&lt;SG_Criteria!$B$20),"FAIL: cover &lt; "&amp;SG_Criteria!$B$20&amp;" mm. ","")&amp;IF(AND(E17="Open",G17&gt;SG_Criteria!$B$18),"NOTE: safety railing required (D &gt; "&amp;SG_Criteria!$B$18&amp;" mm). ","")&amp;IF(AND(D17="Entrance culvert",G17&lt;600),"NOTE: check hinged grating rule for culverts &lt; 600 deep (PUB Add. 3). ",""))=0,"OK",IF(AND(OR(D17="Roadside drain",D17="Entrance culvert"),OR(F17&lt;SG_Criteria!$B$15,G17&lt;SG_Criteria!$B$16)),"FAIL: below PUB min "&amp;SG_Criteria!$B$15&amp;"x"&amp;SG_Criteria!$B$16&amp;" for roadside drain. ","")&amp;IF(AND(D17="Common drain",F17&lt;SG_Criteria!$B$17),"FAIL: common drain W &lt; "&amp;SG_Criteria!$B$17&amp;" mm. ","")&amp;IF(AND(N17&lt;&gt;"",IFERROR(VALUE(MID(N17,2,2)),0)&lt;SG_Criteria!$B$19),"FAIL: grade below C"&amp;SG_Criteria!$B$19&amp;". ","")&amp;IF(AND(O17&lt;&gt;"",O17&lt;SG_Criteria!$B$20),"FAIL: cover &lt; "&amp;SG_Criteria!$B$20&amp;" mm. ","")&amp;IF(AND(E17="Open",G17&gt;SG_Criteria!$B$18),"NOTE: safety railing required (D &gt; "&amp;SG_Criteria!$B$18&amp;" mm). ","")&amp;IF(AND(D17="Entrance culvert",G17&lt;600),"NOTE: check hinged grating rule for culverts &lt; 600 deep (PUB Add. 3). ","")))</f>
        <v/>
      </c>
      <c r="AP17" s="9"/>
      <c r="AQ17" s="9"/>
      <c r="AR17" s="9"/>
      <c r="AS17" s="9"/>
      <c r="AT17" s="9"/>
      <c r="AU17" s="31"/>
      <c r="AV17" s="10" t="str">
        <f aca="false">IF(C17="","",IF(AND(V17="Approved",ISERROR(SEARCH("FAIL",AO17))),"Y","N"))</f>
        <v/>
      </c>
      <c r="AW17" s="10" t="str">
        <f aca="false">IF(C17="","",C17&amp;"|"&amp;F17&amp;"|"&amp;G17&amp;"|"&amp;L17&amp;"|"&amp;AV17)</f>
        <v/>
      </c>
    </row>
    <row r="18" customFormat="false" ht="15" hidden="false" customHeight="false" outlineLevel="0" collapsed="false">
      <c r="A18" s="10" t="str">
        <f aca="false">IF(C18="","","DRN-"&amp;IFERROR(VLOOKUP(C18,Lists!$A$4:$B$27,2,0),"??")&amp;"-"&amp;TEXT(F18,"0000")&amp;"x"&amp;TEXT(G18,"0000")&amp;IF(N(H18)&gt;1,"-"&amp;H18&amp;"C","")&amp;"-"&amp;IFERROR(VLOOKUP(L18,Lists!$J$4:$K$19,2,0),"??")&amp;"-"&amp;U18)</f>
        <v/>
      </c>
      <c r="B18" s="10" t="str">
        <f aca="false">IF(C18="","",C18&amp;" "&amp;F18&amp;"W x "&amp;G18&amp;"D"&amp;IF(N(H18)&gt;1," ("&amp;H18&amp;" cells)","")&amp;", "&amp;D18&amp;", "&amp;L18&amp;", "&amp;E18)</f>
        <v/>
      </c>
      <c r="C18" s="9"/>
      <c r="D18" s="9"/>
      <c r="E18" s="9"/>
      <c r="F18" s="40"/>
      <c r="G18" s="40"/>
      <c r="H18" s="40"/>
      <c r="I18" s="40"/>
      <c r="J18" s="40"/>
      <c r="K18" s="40"/>
      <c r="L18" s="9"/>
      <c r="M18" s="9"/>
      <c r="N18" s="9"/>
      <c r="O18" s="40"/>
      <c r="P18" s="9"/>
      <c r="Q18" s="9"/>
      <c r="R18" s="9"/>
      <c r="S18" s="9"/>
      <c r="T18" s="9"/>
      <c r="U18" s="9"/>
      <c r="V18" s="9"/>
      <c r="W18" s="9"/>
      <c r="X18" s="9"/>
      <c r="Y18" s="9"/>
      <c r="Z18" s="10" t="str">
        <f aca="false">IF(A18="","",SG_Criteria!$B$6&amp;SG_Criteria!$B$7&amp;"\"&amp;A18&amp;"\")</f>
        <v/>
      </c>
      <c r="AA18" s="10" t="str">
        <f aca="false">IF(A18="","",A18&amp;"_CAD.dwg")</f>
        <v/>
      </c>
      <c r="AB18" s="10" t="str">
        <f aca="false">IF(A18="","",A18&amp;"_DWG.pdf")</f>
        <v/>
      </c>
      <c r="AC18" s="10" t="str">
        <f aca="false">IF(A18="","",IF(Y18="Y",A18&amp;"_STAAD.std","n/a"))</f>
        <v/>
      </c>
      <c r="AD18" s="10" t="str">
        <f aca="false">IF(A18="","",A18&amp;"_CALC.xlsx")</f>
        <v/>
      </c>
      <c r="AE18" s="10" t="str">
        <f aca="false">IF(A18="","",A18&amp;"_CALC.pdf")</f>
        <v/>
      </c>
      <c r="AF18" s="9"/>
      <c r="AG18" s="9"/>
      <c r="AH18" s="41"/>
      <c r="AI18" s="41"/>
      <c r="AJ18" s="41"/>
      <c r="AK18" s="41"/>
      <c r="AL18" s="41"/>
      <c r="AM18" s="37" t="str">
        <f aca="false">IF(OR(C18="",F18="",G18="",C18="Sump",C18="Drop Inlet Chamber",C18="Silt Trap",C18="Pipe Culvert",C18="Subsoil Drain"),"",ROUND(MAX(1,N(H18))*(1/SG_Criteria!$B$26)*((F18/1000)*(G18/1000*(1-SG_Criteria!$B$25)))*(((F18/1000)*(G18/1000*(1-SG_Criteria!$B$25)))/((F18/1000)+2*(G18/1000*(1-SG_Criteria!$B$25))))^(2/3)*(1/Design_Selector!$B$11)^0.5,3))</f>
        <v/>
      </c>
      <c r="AN18" s="11" t="str">
        <f aca="false">IF(AM18="","",ROUND(AM18/(MAX(1,N(H18))*F18/1000*(G18/1000*(1-SG_Criteria!$B$25))),2))</f>
        <v/>
      </c>
      <c r="AO18" s="38" t="str">
        <f aca="false">IF(C18="","",IF(LEN(IF(AND(OR(D18="Roadside drain",D18="Entrance culvert"),OR(F18&lt;SG_Criteria!$B$15,G18&lt;SG_Criteria!$B$16)),"FAIL: below PUB min "&amp;SG_Criteria!$B$15&amp;"x"&amp;SG_Criteria!$B$16&amp;" for roadside drain. ","")&amp;IF(AND(D18="Common drain",F18&lt;SG_Criteria!$B$17),"FAIL: common drain W &lt; "&amp;SG_Criteria!$B$17&amp;" mm. ","")&amp;IF(AND(N18&lt;&gt;"",IFERROR(VALUE(MID(N18,2,2)),0)&lt;SG_Criteria!$B$19),"FAIL: grade below C"&amp;SG_Criteria!$B$19&amp;". ","")&amp;IF(AND(O18&lt;&gt;"",O18&lt;SG_Criteria!$B$20),"FAIL: cover &lt; "&amp;SG_Criteria!$B$20&amp;" mm. ","")&amp;IF(AND(E18="Open",G18&gt;SG_Criteria!$B$18),"NOTE: safety railing required (D &gt; "&amp;SG_Criteria!$B$18&amp;" mm). ","")&amp;IF(AND(D18="Entrance culvert",G18&lt;600),"NOTE: check hinged grating rule for culverts &lt; 600 deep (PUB Add. 3). ",""))=0,"OK",IF(AND(OR(D18="Roadside drain",D18="Entrance culvert"),OR(F18&lt;SG_Criteria!$B$15,G18&lt;SG_Criteria!$B$16)),"FAIL: below PUB min "&amp;SG_Criteria!$B$15&amp;"x"&amp;SG_Criteria!$B$16&amp;" for roadside drain. ","")&amp;IF(AND(D18="Common drain",F18&lt;SG_Criteria!$B$17),"FAIL: common drain W &lt; "&amp;SG_Criteria!$B$17&amp;" mm. ","")&amp;IF(AND(N18&lt;&gt;"",IFERROR(VALUE(MID(N18,2,2)),0)&lt;SG_Criteria!$B$19),"FAIL: grade below C"&amp;SG_Criteria!$B$19&amp;". ","")&amp;IF(AND(O18&lt;&gt;"",O18&lt;SG_Criteria!$B$20),"FAIL: cover &lt; "&amp;SG_Criteria!$B$20&amp;" mm. ","")&amp;IF(AND(E18="Open",G18&gt;SG_Criteria!$B$18),"NOTE: safety railing required (D &gt; "&amp;SG_Criteria!$B$18&amp;" mm). ","")&amp;IF(AND(D18="Entrance culvert",G18&lt;600),"NOTE: check hinged grating rule for culverts &lt; 600 deep (PUB Add. 3). ","")))</f>
        <v/>
      </c>
      <c r="AP18" s="9"/>
      <c r="AQ18" s="9"/>
      <c r="AR18" s="9"/>
      <c r="AS18" s="9"/>
      <c r="AT18" s="9"/>
      <c r="AU18" s="31"/>
      <c r="AV18" s="10" t="str">
        <f aca="false">IF(C18="","",IF(AND(V18="Approved",ISERROR(SEARCH("FAIL",AO18))),"Y","N"))</f>
        <v/>
      </c>
      <c r="AW18" s="10" t="str">
        <f aca="false">IF(C18="","",C18&amp;"|"&amp;F18&amp;"|"&amp;G18&amp;"|"&amp;L18&amp;"|"&amp;AV18)</f>
        <v/>
      </c>
    </row>
    <row r="19" customFormat="false" ht="15" hidden="false" customHeight="false" outlineLevel="0" collapsed="false">
      <c r="A19" s="10" t="str">
        <f aca="false">IF(C19="","","DRN-"&amp;IFERROR(VLOOKUP(C19,Lists!$A$4:$B$27,2,0),"??")&amp;"-"&amp;TEXT(F19,"0000")&amp;"x"&amp;TEXT(G19,"0000")&amp;IF(N(H19)&gt;1,"-"&amp;H19&amp;"C","")&amp;"-"&amp;IFERROR(VLOOKUP(L19,Lists!$J$4:$K$19,2,0),"??")&amp;"-"&amp;U19)</f>
        <v/>
      </c>
      <c r="B19" s="10" t="str">
        <f aca="false">IF(C19="","",C19&amp;" "&amp;F19&amp;"W x "&amp;G19&amp;"D"&amp;IF(N(H19)&gt;1," ("&amp;H19&amp;" cells)","")&amp;", "&amp;D19&amp;", "&amp;L19&amp;", "&amp;E19)</f>
        <v/>
      </c>
      <c r="C19" s="9"/>
      <c r="D19" s="9"/>
      <c r="E19" s="9"/>
      <c r="F19" s="40"/>
      <c r="G19" s="40"/>
      <c r="H19" s="40"/>
      <c r="I19" s="40"/>
      <c r="J19" s="40"/>
      <c r="K19" s="40"/>
      <c r="L19" s="9"/>
      <c r="M19" s="9"/>
      <c r="N19" s="9"/>
      <c r="O19" s="40"/>
      <c r="P19" s="9"/>
      <c r="Q19" s="9"/>
      <c r="R19" s="9"/>
      <c r="S19" s="9"/>
      <c r="T19" s="9"/>
      <c r="U19" s="9"/>
      <c r="V19" s="9"/>
      <c r="W19" s="9"/>
      <c r="X19" s="9"/>
      <c r="Y19" s="9"/>
      <c r="Z19" s="10" t="str">
        <f aca="false">IF(A19="","",SG_Criteria!$B$6&amp;SG_Criteria!$B$7&amp;"\"&amp;A19&amp;"\")</f>
        <v/>
      </c>
      <c r="AA19" s="10" t="str">
        <f aca="false">IF(A19="","",A19&amp;"_CAD.dwg")</f>
        <v/>
      </c>
      <c r="AB19" s="10" t="str">
        <f aca="false">IF(A19="","",A19&amp;"_DWG.pdf")</f>
        <v/>
      </c>
      <c r="AC19" s="10" t="str">
        <f aca="false">IF(A19="","",IF(Y19="Y",A19&amp;"_STAAD.std","n/a"))</f>
        <v/>
      </c>
      <c r="AD19" s="10" t="str">
        <f aca="false">IF(A19="","",A19&amp;"_CALC.xlsx")</f>
        <v/>
      </c>
      <c r="AE19" s="10" t="str">
        <f aca="false">IF(A19="","",A19&amp;"_CALC.pdf")</f>
        <v/>
      </c>
      <c r="AF19" s="9"/>
      <c r="AG19" s="9"/>
      <c r="AH19" s="41"/>
      <c r="AI19" s="41"/>
      <c r="AJ19" s="41"/>
      <c r="AK19" s="41"/>
      <c r="AL19" s="41"/>
      <c r="AM19" s="37" t="str">
        <f aca="false">IF(OR(C19="",F19="",G19="",C19="Sump",C19="Drop Inlet Chamber",C19="Silt Trap",C19="Pipe Culvert",C19="Subsoil Drain"),"",ROUND(MAX(1,N(H19))*(1/SG_Criteria!$B$26)*((F19/1000)*(G19/1000*(1-SG_Criteria!$B$25)))*(((F19/1000)*(G19/1000*(1-SG_Criteria!$B$25)))/((F19/1000)+2*(G19/1000*(1-SG_Criteria!$B$25))))^(2/3)*(1/Design_Selector!$B$11)^0.5,3))</f>
        <v/>
      </c>
      <c r="AN19" s="11" t="str">
        <f aca="false">IF(AM19="","",ROUND(AM19/(MAX(1,N(H19))*F19/1000*(G19/1000*(1-SG_Criteria!$B$25))),2))</f>
        <v/>
      </c>
      <c r="AO19" s="38" t="str">
        <f aca="false">IF(C19="","",IF(LEN(IF(AND(OR(D19="Roadside drain",D19="Entrance culvert"),OR(F19&lt;SG_Criteria!$B$15,G19&lt;SG_Criteria!$B$16)),"FAIL: below PUB min "&amp;SG_Criteria!$B$15&amp;"x"&amp;SG_Criteria!$B$16&amp;" for roadside drain. ","")&amp;IF(AND(D19="Common drain",F19&lt;SG_Criteria!$B$17),"FAIL: common drain W &lt; "&amp;SG_Criteria!$B$17&amp;" mm. ","")&amp;IF(AND(N19&lt;&gt;"",IFERROR(VALUE(MID(N19,2,2)),0)&lt;SG_Criteria!$B$19),"FAIL: grade below C"&amp;SG_Criteria!$B$19&amp;". ","")&amp;IF(AND(O19&lt;&gt;"",O19&lt;SG_Criteria!$B$20),"FAIL: cover &lt; "&amp;SG_Criteria!$B$20&amp;" mm. ","")&amp;IF(AND(E19="Open",G19&gt;SG_Criteria!$B$18),"NOTE: safety railing required (D &gt; "&amp;SG_Criteria!$B$18&amp;" mm). ","")&amp;IF(AND(D19="Entrance culvert",G19&lt;600),"NOTE: check hinged grating rule for culverts &lt; 600 deep (PUB Add. 3). ",""))=0,"OK",IF(AND(OR(D19="Roadside drain",D19="Entrance culvert"),OR(F19&lt;SG_Criteria!$B$15,G19&lt;SG_Criteria!$B$16)),"FAIL: below PUB min "&amp;SG_Criteria!$B$15&amp;"x"&amp;SG_Criteria!$B$16&amp;" for roadside drain. ","")&amp;IF(AND(D19="Common drain",F19&lt;SG_Criteria!$B$17),"FAIL: common drain W &lt; "&amp;SG_Criteria!$B$17&amp;" mm. ","")&amp;IF(AND(N19&lt;&gt;"",IFERROR(VALUE(MID(N19,2,2)),0)&lt;SG_Criteria!$B$19),"FAIL: grade below C"&amp;SG_Criteria!$B$19&amp;". ","")&amp;IF(AND(O19&lt;&gt;"",O19&lt;SG_Criteria!$B$20),"FAIL: cover &lt; "&amp;SG_Criteria!$B$20&amp;" mm. ","")&amp;IF(AND(E19="Open",G19&gt;SG_Criteria!$B$18),"NOTE: safety railing required (D &gt; "&amp;SG_Criteria!$B$18&amp;" mm). ","")&amp;IF(AND(D19="Entrance culvert",G19&lt;600),"NOTE: check hinged grating rule for culverts &lt; 600 deep (PUB Add. 3). ","")))</f>
        <v/>
      </c>
      <c r="AP19" s="9"/>
      <c r="AQ19" s="9"/>
      <c r="AR19" s="9"/>
      <c r="AS19" s="9"/>
      <c r="AT19" s="9"/>
      <c r="AU19" s="31"/>
      <c r="AV19" s="10" t="str">
        <f aca="false">IF(C19="","",IF(AND(V19="Approved",ISERROR(SEARCH("FAIL",AO19))),"Y","N"))</f>
        <v/>
      </c>
      <c r="AW19" s="10" t="str">
        <f aca="false">IF(C19="","",C19&amp;"|"&amp;F19&amp;"|"&amp;G19&amp;"|"&amp;L19&amp;"|"&amp;AV19)</f>
        <v/>
      </c>
    </row>
    <row r="20" customFormat="false" ht="15" hidden="false" customHeight="false" outlineLevel="0" collapsed="false">
      <c r="A20" s="10" t="str">
        <f aca="false">IF(C20="","","DRN-"&amp;IFERROR(VLOOKUP(C20,Lists!$A$4:$B$27,2,0),"??")&amp;"-"&amp;TEXT(F20,"0000")&amp;"x"&amp;TEXT(G20,"0000")&amp;IF(N(H20)&gt;1,"-"&amp;H20&amp;"C","")&amp;"-"&amp;IFERROR(VLOOKUP(L20,Lists!$J$4:$K$19,2,0),"??")&amp;"-"&amp;U20)</f>
        <v/>
      </c>
      <c r="B20" s="10" t="str">
        <f aca="false">IF(C20="","",C20&amp;" "&amp;F20&amp;"W x "&amp;G20&amp;"D"&amp;IF(N(H20)&gt;1," ("&amp;H20&amp;" cells)","")&amp;", "&amp;D20&amp;", "&amp;L20&amp;", "&amp;E20)</f>
        <v/>
      </c>
      <c r="C20" s="9"/>
      <c r="D20" s="9"/>
      <c r="E20" s="9"/>
      <c r="F20" s="40"/>
      <c r="G20" s="40"/>
      <c r="H20" s="40"/>
      <c r="I20" s="40"/>
      <c r="J20" s="40"/>
      <c r="K20" s="40"/>
      <c r="L20" s="9"/>
      <c r="M20" s="9"/>
      <c r="N20" s="9"/>
      <c r="O20" s="40"/>
      <c r="P20" s="9"/>
      <c r="Q20" s="9"/>
      <c r="R20" s="9"/>
      <c r="S20" s="9"/>
      <c r="T20" s="9"/>
      <c r="U20" s="9"/>
      <c r="V20" s="9"/>
      <c r="W20" s="9"/>
      <c r="X20" s="9"/>
      <c r="Y20" s="9"/>
      <c r="Z20" s="10" t="str">
        <f aca="false">IF(A20="","",SG_Criteria!$B$6&amp;SG_Criteria!$B$7&amp;"\"&amp;A20&amp;"\")</f>
        <v/>
      </c>
      <c r="AA20" s="10" t="str">
        <f aca="false">IF(A20="","",A20&amp;"_CAD.dwg")</f>
        <v/>
      </c>
      <c r="AB20" s="10" t="str">
        <f aca="false">IF(A20="","",A20&amp;"_DWG.pdf")</f>
        <v/>
      </c>
      <c r="AC20" s="10" t="str">
        <f aca="false">IF(A20="","",IF(Y20="Y",A20&amp;"_STAAD.std","n/a"))</f>
        <v/>
      </c>
      <c r="AD20" s="10" t="str">
        <f aca="false">IF(A20="","",A20&amp;"_CALC.xlsx")</f>
        <v/>
      </c>
      <c r="AE20" s="10" t="str">
        <f aca="false">IF(A20="","",A20&amp;"_CALC.pdf")</f>
        <v/>
      </c>
      <c r="AF20" s="9"/>
      <c r="AG20" s="9"/>
      <c r="AH20" s="41"/>
      <c r="AI20" s="41"/>
      <c r="AJ20" s="41"/>
      <c r="AK20" s="41"/>
      <c r="AL20" s="41"/>
      <c r="AM20" s="37" t="str">
        <f aca="false">IF(OR(C20="",F20="",G20="",C20="Sump",C20="Drop Inlet Chamber",C20="Silt Trap",C20="Pipe Culvert",C20="Subsoil Drain"),"",ROUND(MAX(1,N(H20))*(1/SG_Criteria!$B$26)*((F20/1000)*(G20/1000*(1-SG_Criteria!$B$25)))*(((F20/1000)*(G20/1000*(1-SG_Criteria!$B$25)))/((F20/1000)+2*(G20/1000*(1-SG_Criteria!$B$25))))^(2/3)*(1/Design_Selector!$B$11)^0.5,3))</f>
        <v/>
      </c>
      <c r="AN20" s="11" t="str">
        <f aca="false">IF(AM20="","",ROUND(AM20/(MAX(1,N(H20))*F20/1000*(G20/1000*(1-SG_Criteria!$B$25))),2))</f>
        <v/>
      </c>
      <c r="AO20" s="38" t="str">
        <f aca="false">IF(C20="","",IF(LEN(IF(AND(OR(D20="Roadside drain",D20="Entrance culvert"),OR(F20&lt;SG_Criteria!$B$15,G20&lt;SG_Criteria!$B$16)),"FAIL: below PUB min "&amp;SG_Criteria!$B$15&amp;"x"&amp;SG_Criteria!$B$16&amp;" for roadside drain. ","")&amp;IF(AND(D20="Common drain",F20&lt;SG_Criteria!$B$17),"FAIL: common drain W &lt; "&amp;SG_Criteria!$B$17&amp;" mm. ","")&amp;IF(AND(N20&lt;&gt;"",IFERROR(VALUE(MID(N20,2,2)),0)&lt;SG_Criteria!$B$19),"FAIL: grade below C"&amp;SG_Criteria!$B$19&amp;". ","")&amp;IF(AND(O20&lt;&gt;"",O20&lt;SG_Criteria!$B$20),"FAIL: cover &lt; "&amp;SG_Criteria!$B$20&amp;" mm. ","")&amp;IF(AND(E20="Open",G20&gt;SG_Criteria!$B$18),"NOTE: safety railing required (D &gt; "&amp;SG_Criteria!$B$18&amp;" mm). ","")&amp;IF(AND(D20="Entrance culvert",G20&lt;600),"NOTE: check hinged grating rule for culverts &lt; 600 deep (PUB Add. 3). ",""))=0,"OK",IF(AND(OR(D20="Roadside drain",D20="Entrance culvert"),OR(F20&lt;SG_Criteria!$B$15,G20&lt;SG_Criteria!$B$16)),"FAIL: below PUB min "&amp;SG_Criteria!$B$15&amp;"x"&amp;SG_Criteria!$B$16&amp;" for roadside drain. ","")&amp;IF(AND(D20="Common drain",F20&lt;SG_Criteria!$B$17),"FAIL: common drain W &lt; "&amp;SG_Criteria!$B$17&amp;" mm. ","")&amp;IF(AND(N20&lt;&gt;"",IFERROR(VALUE(MID(N20,2,2)),0)&lt;SG_Criteria!$B$19),"FAIL: grade below C"&amp;SG_Criteria!$B$19&amp;". ","")&amp;IF(AND(O20&lt;&gt;"",O20&lt;SG_Criteria!$B$20),"FAIL: cover &lt; "&amp;SG_Criteria!$B$20&amp;" mm. ","")&amp;IF(AND(E20="Open",G20&gt;SG_Criteria!$B$18),"NOTE: safety railing required (D &gt; "&amp;SG_Criteria!$B$18&amp;" mm). ","")&amp;IF(AND(D20="Entrance culvert",G20&lt;600),"NOTE: check hinged grating rule for culverts &lt; 600 deep (PUB Add. 3). ","")))</f>
        <v/>
      </c>
      <c r="AP20" s="9"/>
      <c r="AQ20" s="9"/>
      <c r="AR20" s="9"/>
      <c r="AS20" s="9"/>
      <c r="AT20" s="9"/>
      <c r="AU20" s="31"/>
      <c r="AV20" s="10" t="str">
        <f aca="false">IF(C20="","",IF(AND(V20="Approved",ISERROR(SEARCH("FAIL",AO20))),"Y","N"))</f>
        <v/>
      </c>
      <c r="AW20" s="10" t="str">
        <f aca="false">IF(C20="","",C20&amp;"|"&amp;F20&amp;"|"&amp;G20&amp;"|"&amp;L20&amp;"|"&amp;AV20)</f>
        <v/>
      </c>
    </row>
    <row r="21" customFormat="false" ht="15" hidden="false" customHeight="false" outlineLevel="0" collapsed="false">
      <c r="A21" s="10" t="str">
        <f aca="false">IF(C21="","","DRN-"&amp;IFERROR(VLOOKUP(C21,Lists!$A$4:$B$27,2,0),"??")&amp;"-"&amp;TEXT(F21,"0000")&amp;"x"&amp;TEXT(G21,"0000")&amp;IF(N(H21)&gt;1,"-"&amp;H21&amp;"C","")&amp;"-"&amp;IFERROR(VLOOKUP(L21,Lists!$J$4:$K$19,2,0),"??")&amp;"-"&amp;U21)</f>
        <v/>
      </c>
      <c r="B21" s="10" t="str">
        <f aca="false">IF(C21="","",C21&amp;" "&amp;F21&amp;"W x "&amp;G21&amp;"D"&amp;IF(N(H21)&gt;1," ("&amp;H21&amp;" cells)","")&amp;", "&amp;D21&amp;", "&amp;L21&amp;", "&amp;E21)</f>
        <v/>
      </c>
      <c r="C21" s="9"/>
      <c r="D21" s="9"/>
      <c r="E21" s="9"/>
      <c r="F21" s="40"/>
      <c r="G21" s="40"/>
      <c r="H21" s="40"/>
      <c r="I21" s="40"/>
      <c r="J21" s="40"/>
      <c r="K21" s="40"/>
      <c r="L21" s="9"/>
      <c r="M21" s="9"/>
      <c r="N21" s="9"/>
      <c r="O21" s="40"/>
      <c r="P21" s="9"/>
      <c r="Q21" s="9"/>
      <c r="R21" s="9"/>
      <c r="S21" s="9"/>
      <c r="T21" s="9"/>
      <c r="U21" s="9"/>
      <c r="V21" s="9"/>
      <c r="W21" s="9"/>
      <c r="X21" s="9"/>
      <c r="Y21" s="9"/>
      <c r="Z21" s="10" t="str">
        <f aca="false">IF(A21="","",SG_Criteria!$B$6&amp;SG_Criteria!$B$7&amp;"\"&amp;A21&amp;"\")</f>
        <v/>
      </c>
      <c r="AA21" s="10" t="str">
        <f aca="false">IF(A21="","",A21&amp;"_CAD.dwg")</f>
        <v/>
      </c>
      <c r="AB21" s="10" t="str">
        <f aca="false">IF(A21="","",A21&amp;"_DWG.pdf")</f>
        <v/>
      </c>
      <c r="AC21" s="10" t="str">
        <f aca="false">IF(A21="","",IF(Y21="Y",A21&amp;"_STAAD.std","n/a"))</f>
        <v/>
      </c>
      <c r="AD21" s="10" t="str">
        <f aca="false">IF(A21="","",A21&amp;"_CALC.xlsx")</f>
        <v/>
      </c>
      <c r="AE21" s="10" t="str">
        <f aca="false">IF(A21="","",A21&amp;"_CALC.pdf")</f>
        <v/>
      </c>
      <c r="AF21" s="9"/>
      <c r="AG21" s="9"/>
      <c r="AH21" s="41"/>
      <c r="AI21" s="41"/>
      <c r="AJ21" s="41"/>
      <c r="AK21" s="41"/>
      <c r="AL21" s="41"/>
      <c r="AM21" s="37" t="str">
        <f aca="false">IF(OR(C21="",F21="",G21="",C21="Sump",C21="Drop Inlet Chamber",C21="Silt Trap",C21="Pipe Culvert",C21="Subsoil Drain"),"",ROUND(MAX(1,N(H21))*(1/SG_Criteria!$B$26)*((F21/1000)*(G21/1000*(1-SG_Criteria!$B$25)))*(((F21/1000)*(G21/1000*(1-SG_Criteria!$B$25)))/((F21/1000)+2*(G21/1000*(1-SG_Criteria!$B$25))))^(2/3)*(1/Design_Selector!$B$11)^0.5,3))</f>
        <v/>
      </c>
      <c r="AN21" s="11" t="str">
        <f aca="false">IF(AM21="","",ROUND(AM21/(MAX(1,N(H21))*F21/1000*(G21/1000*(1-SG_Criteria!$B$25))),2))</f>
        <v/>
      </c>
      <c r="AO21" s="38" t="str">
        <f aca="false">IF(C21="","",IF(LEN(IF(AND(OR(D21="Roadside drain",D21="Entrance culvert"),OR(F21&lt;SG_Criteria!$B$15,G21&lt;SG_Criteria!$B$16)),"FAIL: below PUB min "&amp;SG_Criteria!$B$15&amp;"x"&amp;SG_Criteria!$B$16&amp;" for roadside drain. ","")&amp;IF(AND(D21="Common drain",F21&lt;SG_Criteria!$B$17),"FAIL: common drain W &lt; "&amp;SG_Criteria!$B$17&amp;" mm. ","")&amp;IF(AND(N21&lt;&gt;"",IFERROR(VALUE(MID(N21,2,2)),0)&lt;SG_Criteria!$B$19),"FAIL: grade below C"&amp;SG_Criteria!$B$19&amp;". ","")&amp;IF(AND(O21&lt;&gt;"",O21&lt;SG_Criteria!$B$20),"FAIL: cover &lt; "&amp;SG_Criteria!$B$20&amp;" mm. ","")&amp;IF(AND(E21="Open",G21&gt;SG_Criteria!$B$18),"NOTE: safety railing required (D &gt; "&amp;SG_Criteria!$B$18&amp;" mm). ","")&amp;IF(AND(D21="Entrance culvert",G21&lt;600),"NOTE: check hinged grating rule for culverts &lt; 600 deep (PUB Add. 3). ",""))=0,"OK",IF(AND(OR(D21="Roadside drain",D21="Entrance culvert"),OR(F21&lt;SG_Criteria!$B$15,G21&lt;SG_Criteria!$B$16)),"FAIL: below PUB min "&amp;SG_Criteria!$B$15&amp;"x"&amp;SG_Criteria!$B$16&amp;" for roadside drain. ","")&amp;IF(AND(D21="Common drain",F21&lt;SG_Criteria!$B$17),"FAIL: common drain W &lt; "&amp;SG_Criteria!$B$17&amp;" mm. ","")&amp;IF(AND(N21&lt;&gt;"",IFERROR(VALUE(MID(N21,2,2)),0)&lt;SG_Criteria!$B$19),"FAIL: grade below C"&amp;SG_Criteria!$B$19&amp;". ","")&amp;IF(AND(O21&lt;&gt;"",O21&lt;SG_Criteria!$B$20),"FAIL: cover &lt; "&amp;SG_Criteria!$B$20&amp;" mm. ","")&amp;IF(AND(E21="Open",G21&gt;SG_Criteria!$B$18),"NOTE: safety railing required (D &gt; "&amp;SG_Criteria!$B$18&amp;" mm). ","")&amp;IF(AND(D21="Entrance culvert",G21&lt;600),"NOTE: check hinged grating rule for culverts &lt; 600 deep (PUB Add. 3). ","")))</f>
        <v/>
      </c>
      <c r="AP21" s="9"/>
      <c r="AQ21" s="9"/>
      <c r="AR21" s="9"/>
      <c r="AS21" s="9"/>
      <c r="AT21" s="9"/>
      <c r="AU21" s="31"/>
      <c r="AV21" s="10" t="str">
        <f aca="false">IF(C21="","",IF(AND(V21="Approved",ISERROR(SEARCH("FAIL",AO21))),"Y","N"))</f>
        <v/>
      </c>
      <c r="AW21" s="10" t="str">
        <f aca="false">IF(C21="","",C21&amp;"|"&amp;F21&amp;"|"&amp;G21&amp;"|"&amp;L21&amp;"|"&amp;AV21)</f>
        <v/>
      </c>
    </row>
    <row r="22" customFormat="false" ht="15" hidden="false" customHeight="false" outlineLevel="0" collapsed="false">
      <c r="A22" s="10" t="str">
        <f aca="false">IF(C22="","","DRN-"&amp;IFERROR(VLOOKUP(C22,Lists!$A$4:$B$27,2,0),"??")&amp;"-"&amp;TEXT(F22,"0000")&amp;"x"&amp;TEXT(G22,"0000")&amp;IF(N(H22)&gt;1,"-"&amp;H22&amp;"C","")&amp;"-"&amp;IFERROR(VLOOKUP(L22,Lists!$J$4:$K$19,2,0),"??")&amp;"-"&amp;U22)</f>
        <v/>
      </c>
      <c r="B22" s="10" t="str">
        <f aca="false">IF(C22="","",C22&amp;" "&amp;F22&amp;"W x "&amp;G22&amp;"D"&amp;IF(N(H22)&gt;1," ("&amp;H22&amp;" cells)","")&amp;", "&amp;D22&amp;", "&amp;L22&amp;", "&amp;E22)</f>
        <v/>
      </c>
      <c r="C22" s="9"/>
      <c r="D22" s="9"/>
      <c r="E22" s="9"/>
      <c r="F22" s="40"/>
      <c r="G22" s="40"/>
      <c r="H22" s="40"/>
      <c r="I22" s="40"/>
      <c r="J22" s="40"/>
      <c r="K22" s="40"/>
      <c r="L22" s="9"/>
      <c r="M22" s="9"/>
      <c r="N22" s="9"/>
      <c r="O22" s="40"/>
      <c r="P22" s="9"/>
      <c r="Q22" s="9"/>
      <c r="R22" s="9"/>
      <c r="S22" s="9"/>
      <c r="T22" s="9"/>
      <c r="U22" s="9"/>
      <c r="V22" s="9"/>
      <c r="W22" s="9"/>
      <c r="X22" s="9"/>
      <c r="Y22" s="9"/>
      <c r="Z22" s="10" t="str">
        <f aca="false">IF(A22="","",SG_Criteria!$B$6&amp;SG_Criteria!$B$7&amp;"\"&amp;A22&amp;"\")</f>
        <v/>
      </c>
      <c r="AA22" s="10" t="str">
        <f aca="false">IF(A22="","",A22&amp;"_CAD.dwg")</f>
        <v/>
      </c>
      <c r="AB22" s="10" t="str">
        <f aca="false">IF(A22="","",A22&amp;"_DWG.pdf")</f>
        <v/>
      </c>
      <c r="AC22" s="10" t="str">
        <f aca="false">IF(A22="","",IF(Y22="Y",A22&amp;"_STAAD.std","n/a"))</f>
        <v/>
      </c>
      <c r="AD22" s="10" t="str">
        <f aca="false">IF(A22="","",A22&amp;"_CALC.xlsx")</f>
        <v/>
      </c>
      <c r="AE22" s="10" t="str">
        <f aca="false">IF(A22="","",A22&amp;"_CALC.pdf")</f>
        <v/>
      </c>
      <c r="AF22" s="9"/>
      <c r="AG22" s="9"/>
      <c r="AH22" s="41"/>
      <c r="AI22" s="41"/>
      <c r="AJ22" s="41"/>
      <c r="AK22" s="41"/>
      <c r="AL22" s="41"/>
      <c r="AM22" s="37" t="str">
        <f aca="false">IF(OR(C22="",F22="",G22="",C22="Sump",C22="Drop Inlet Chamber",C22="Silt Trap",C22="Pipe Culvert",C22="Subsoil Drain"),"",ROUND(MAX(1,N(H22))*(1/SG_Criteria!$B$26)*((F22/1000)*(G22/1000*(1-SG_Criteria!$B$25)))*(((F22/1000)*(G22/1000*(1-SG_Criteria!$B$25)))/((F22/1000)+2*(G22/1000*(1-SG_Criteria!$B$25))))^(2/3)*(1/Design_Selector!$B$11)^0.5,3))</f>
        <v/>
      </c>
      <c r="AN22" s="11" t="str">
        <f aca="false">IF(AM22="","",ROUND(AM22/(MAX(1,N(H22))*F22/1000*(G22/1000*(1-SG_Criteria!$B$25))),2))</f>
        <v/>
      </c>
      <c r="AO22" s="38" t="str">
        <f aca="false">IF(C22="","",IF(LEN(IF(AND(OR(D22="Roadside drain",D22="Entrance culvert"),OR(F22&lt;SG_Criteria!$B$15,G22&lt;SG_Criteria!$B$16)),"FAIL: below PUB min "&amp;SG_Criteria!$B$15&amp;"x"&amp;SG_Criteria!$B$16&amp;" for roadside drain. ","")&amp;IF(AND(D22="Common drain",F22&lt;SG_Criteria!$B$17),"FAIL: common drain W &lt; "&amp;SG_Criteria!$B$17&amp;" mm. ","")&amp;IF(AND(N22&lt;&gt;"",IFERROR(VALUE(MID(N22,2,2)),0)&lt;SG_Criteria!$B$19),"FAIL: grade below C"&amp;SG_Criteria!$B$19&amp;". ","")&amp;IF(AND(O22&lt;&gt;"",O22&lt;SG_Criteria!$B$20),"FAIL: cover &lt; "&amp;SG_Criteria!$B$20&amp;" mm. ","")&amp;IF(AND(E22="Open",G22&gt;SG_Criteria!$B$18),"NOTE: safety railing required (D &gt; "&amp;SG_Criteria!$B$18&amp;" mm). ","")&amp;IF(AND(D22="Entrance culvert",G22&lt;600),"NOTE: check hinged grating rule for culverts &lt; 600 deep (PUB Add. 3). ",""))=0,"OK",IF(AND(OR(D22="Roadside drain",D22="Entrance culvert"),OR(F22&lt;SG_Criteria!$B$15,G22&lt;SG_Criteria!$B$16)),"FAIL: below PUB min "&amp;SG_Criteria!$B$15&amp;"x"&amp;SG_Criteria!$B$16&amp;" for roadside drain. ","")&amp;IF(AND(D22="Common drain",F22&lt;SG_Criteria!$B$17),"FAIL: common drain W &lt; "&amp;SG_Criteria!$B$17&amp;" mm. ","")&amp;IF(AND(N22&lt;&gt;"",IFERROR(VALUE(MID(N22,2,2)),0)&lt;SG_Criteria!$B$19),"FAIL: grade below C"&amp;SG_Criteria!$B$19&amp;". ","")&amp;IF(AND(O22&lt;&gt;"",O22&lt;SG_Criteria!$B$20),"FAIL: cover &lt; "&amp;SG_Criteria!$B$20&amp;" mm. ","")&amp;IF(AND(E22="Open",G22&gt;SG_Criteria!$B$18),"NOTE: safety railing required (D &gt; "&amp;SG_Criteria!$B$18&amp;" mm). ","")&amp;IF(AND(D22="Entrance culvert",G22&lt;600),"NOTE: check hinged grating rule for culverts &lt; 600 deep (PUB Add. 3). ","")))</f>
        <v/>
      </c>
      <c r="AP22" s="9"/>
      <c r="AQ22" s="9"/>
      <c r="AR22" s="9"/>
      <c r="AS22" s="9"/>
      <c r="AT22" s="9"/>
      <c r="AU22" s="31"/>
      <c r="AV22" s="10" t="str">
        <f aca="false">IF(C22="","",IF(AND(V22="Approved",ISERROR(SEARCH("FAIL",AO22))),"Y","N"))</f>
        <v/>
      </c>
      <c r="AW22" s="10" t="str">
        <f aca="false">IF(C22="","",C22&amp;"|"&amp;F22&amp;"|"&amp;G22&amp;"|"&amp;L22&amp;"|"&amp;AV22)</f>
        <v/>
      </c>
    </row>
    <row r="23" customFormat="false" ht="15" hidden="false" customHeight="false" outlineLevel="0" collapsed="false">
      <c r="A23" s="10" t="str">
        <f aca="false">IF(C23="","","DRN-"&amp;IFERROR(VLOOKUP(C23,Lists!$A$4:$B$27,2,0),"??")&amp;"-"&amp;TEXT(F23,"0000")&amp;"x"&amp;TEXT(G23,"0000")&amp;IF(N(H23)&gt;1,"-"&amp;H23&amp;"C","")&amp;"-"&amp;IFERROR(VLOOKUP(L23,Lists!$J$4:$K$19,2,0),"??")&amp;"-"&amp;U23)</f>
        <v/>
      </c>
      <c r="B23" s="10" t="str">
        <f aca="false">IF(C23="","",C23&amp;" "&amp;F23&amp;"W x "&amp;G23&amp;"D"&amp;IF(N(H23)&gt;1," ("&amp;H23&amp;" cells)","")&amp;", "&amp;D23&amp;", "&amp;L23&amp;", "&amp;E23)</f>
        <v/>
      </c>
      <c r="C23" s="9"/>
      <c r="D23" s="9"/>
      <c r="E23" s="9"/>
      <c r="F23" s="40"/>
      <c r="G23" s="40"/>
      <c r="H23" s="40"/>
      <c r="I23" s="40"/>
      <c r="J23" s="40"/>
      <c r="K23" s="40"/>
      <c r="L23" s="9"/>
      <c r="M23" s="9"/>
      <c r="N23" s="9"/>
      <c r="O23" s="40"/>
      <c r="P23" s="9"/>
      <c r="Q23" s="9"/>
      <c r="R23" s="9"/>
      <c r="S23" s="9"/>
      <c r="T23" s="9"/>
      <c r="U23" s="9"/>
      <c r="V23" s="9"/>
      <c r="W23" s="9"/>
      <c r="X23" s="9"/>
      <c r="Y23" s="9"/>
      <c r="Z23" s="10" t="str">
        <f aca="false">IF(A23="","",SG_Criteria!$B$6&amp;SG_Criteria!$B$7&amp;"\"&amp;A23&amp;"\")</f>
        <v/>
      </c>
      <c r="AA23" s="10" t="str">
        <f aca="false">IF(A23="","",A23&amp;"_CAD.dwg")</f>
        <v/>
      </c>
      <c r="AB23" s="10" t="str">
        <f aca="false">IF(A23="","",A23&amp;"_DWG.pdf")</f>
        <v/>
      </c>
      <c r="AC23" s="10" t="str">
        <f aca="false">IF(A23="","",IF(Y23="Y",A23&amp;"_STAAD.std","n/a"))</f>
        <v/>
      </c>
      <c r="AD23" s="10" t="str">
        <f aca="false">IF(A23="","",A23&amp;"_CALC.xlsx")</f>
        <v/>
      </c>
      <c r="AE23" s="10" t="str">
        <f aca="false">IF(A23="","",A23&amp;"_CALC.pdf")</f>
        <v/>
      </c>
      <c r="AF23" s="9"/>
      <c r="AG23" s="9"/>
      <c r="AH23" s="41"/>
      <c r="AI23" s="41"/>
      <c r="AJ23" s="41"/>
      <c r="AK23" s="41"/>
      <c r="AL23" s="41"/>
      <c r="AM23" s="37" t="str">
        <f aca="false">IF(OR(C23="",F23="",G23="",C23="Sump",C23="Drop Inlet Chamber",C23="Silt Trap",C23="Pipe Culvert",C23="Subsoil Drain"),"",ROUND(MAX(1,N(H23))*(1/SG_Criteria!$B$26)*((F23/1000)*(G23/1000*(1-SG_Criteria!$B$25)))*(((F23/1000)*(G23/1000*(1-SG_Criteria!$B$25)))/((F23/1000)+2*(G23/1000*(1-SG_Criteria!$B$25))))^(2/3)*(1/Design_Selector!$B$11)^0.5,3))</f>
        <v/>
      </c>
      <c r="AN23" s="11" t="str">
        <f aca="false">IF(AM23="","",ROUND(AM23/(MAX(1,N(H23))*F23/1000*(G23/1000*(1-SG_Criteria!$B$25))),2))</f>
        <v/>
      </c>
      <c r="AO23" s="38" t="str">
        <f aca="false">IF(C23="","",IF(LEN(IF(AND(OR(D23="Roadside drain",D23="Entrance culvert"),OR(F23&lt;SG_Criteria!$B$15,G23&lt;SG_Criteria!$B$16)),"FAIL: below PUB min "&amp;SG_Criteria!$B$15&amp;"x"&amp;SG_Criteria!$B$16&amp;" for roadside drain. ","")&amp;IF(AND(D23="Common drain",F23&lt;SG_Criteria!$B$17),"FAIL: common drain W &lt; "&amp;SG_Criteria!$B$17&amp;" mm. ","")&amp;IF(AND(N23&lt;&gt;"",IFERROR(VALUE(MID(N23,2,2)),0)&lt;SG_Criteria!$B$19),"FAIL: grade below C"&amp;SG_Criteria!$B$19&amp;". ","")&amp;IF(AND(O23&lt;&gt;"",O23&lt;SG_Criteria!$B$20),"FAIL: cover &lt; "&amp;SG_Criteria!$B$20&amp;" mm. ","")&amp;IF(AND(E23="Open",G23&gt;SG_Criteria!$B$18),"NOTE: safety railing required (D &gt; "&amp;SG_Criteria!$B$18&amp;" mm). ","")&amp;IF(AND(D23="Entrance culvert",G23&lt;600),"NOTE: check hinged grating rule for culverts &lt; 600 deep (PUB Add. 3). ",""))=0,"OK",IF(AND(OR(D23="Roadside drain",D23="Entrance culvert"),OR(F23&lt;SG_Criteria!$B$15,G23&lt;SG_Criteria!$B$16)),"FAIL: below PUB min "&amp;SG_Criteria!$B$15&amp;"x"&amp;SG_Criteria!$B$16&amp;" for roadside drain. ","")&amp;IF(AND(D23="Common drain",F23&lt;SG_Criteria!$B$17),"FAIL: common drain W &lt; "&amp;SG_Criteria!$B$17&amp;" mm. ","")&amp;IF(AND(N23&lt;&gt;"",IFERROR(VALUE(MID(N23,2,2)),0)&lt;SG_Criteria!$B$19),"FAIL: grade below C"&amp;SG_Criteria!$B$19&amp;". ","")&amp;IF(AND(O23&lt;&gt;"",O23&lt;SG_Criteria!$B$20),"FAIL: cover &lt; "&amp;SG_Criteria!$B$20&amp;" mm. ","")&amp;IF(AND(E23="Open",G23&gt;SG_Criteria!$B$18),"NOTE: safety railing required (D &gt; "&amp;SG_Criteria!$B$18&amp;" mm). ","")&amp;IF(AND(D23="Entrance culvert",G23&lt;600),"NOTE: check hinged grating rule for culverts &lt; 600 deep (PUB Add. 3). ","")))</f>
        <v/>
      </c>
      <c r="AP23" s="9"/>
      <c r="AQ23" s="9"/>
      <c r="AR23" s="9"/>
      <c r="AS23" s="9"/>
      <c r="AT23" s="9"/>
      <c r="AU23" s="31"/>
      <c r="AV23" s="10" t="str">
        <f aca="false">IF(C23="","",IF(AND(V23="Approved",ISERROR(SEARCH("FAIL",AO23))),"Y","N"))</f>
        <v/>
      </c>
      <c r="AW23" s="10" t="str">
        <f aca="false">IF(C23="","",C23&amp;"|"&amp;F23&amp;"|"&amp;G23&amp;"|"&amp;L23&amp;"|"&amp;AV23)</f>
        <v/>
      </c>
    </row>
    <row r="24" customFormat="false" ht="15" hidden="false" customHeight="false" outlineLevel="0" collapsed="false">
      <c r="A24" s="10" t="str">
        <f aca="false">IF(C24="","","DRN-"&amp;IFERROR(VLOOKUP(C24,Lists!$A$4:$B$27,2,0),"??")&amp;"-"&amp;TEXT(F24,"0000")&amp;"x"&amp;TEXT(G24,"0000")&amp;IF(N(H24)&gt;1,"-"&amp;H24&amp;"C","")&amp;"-"&amp;IFERROR(VLOOKUP(L24,Lists!$J$4:$K$19,2,0),"??")&amp;"-"&amp;U24)</f>
        <v/>
      </c>
      <c r="B24" s="10" t="str">
        <f aca="false">IF(C24="","",C24&amp;" "&amp;F24&amp;"W x "&amp;G24&amp;"D"&amp;IF(N(H24)&gt;1," ("&amp;H24&amp;" cells)","")&amp;", "&amp;D24&amp;", "&amp;L24&amp;", "&amp;E24)</f>
        <v/>
      </c>
      <c r="C24" s="9"/>
      <c r="D24" s="9"/>
      <c r="E24" s="9"/>
      <c r="F24" s="40"/>
      <c r="G24" s="40"/>
      <c r="H24" s="40"/>
      <c r="I24" s="40"/>
      <c r="J24" s="40"/>
      <c r="K24" s="40"/>
      <c r="L24" s="9"/>
      <c r="M24" s="9"/>
      <c r="N24" s="9"/>
      <c r="O24" s="40"/>
      <c r="P24" s="9"/>
      <c r="Q24" s="9"/>
      <c r="R24" s="9"/>
      <c r="S24" s="9"/>
      <c r="T24" s="9"/>
      <c r="U24" s="9"/>
      <c r="V24" s="9"/>
      <c r="W24" s="9"/>
      <c r="X24" s="9"/>
      <c r="Y24" s="9"/>
      <c r="Z24" s="10" t="str">
        <f aca="false">IF(A24="","",SG_Criteria!$B$6&amp;SG_Criteria!$B$7&amp;"\"&amp;A24&amp;"\")</f>
        <v/>
      </c>
      <c r="AA24" s="10" t="str">
        <f aca="false">IF(A24="","",A24&amp;"_CAD.dwg")</f>
        <v/>
      </c>
      <c r="AB24" s="10" t="str">
        <f aca="false">IF(A24="","",A24&amp;"_DWG.pdf")</f>
        <v/>
      </c>
      <c r="AC24" s="10" t="str">
        <f aca="false">IF(A24="","",IF(Y24="Y",A24&amp;"_STAAD.std","n/a"))</f>
        <v/>
      </c>
      <c r="AD24" s="10" t="str">
        <f aca="false">IF(A24="","",A24&amp;"_CALC.xlsx")</f>
        <v/>
      </c>
      <c r="AE24" s="10" t="str">
        <f aca="false">IF(A24="","",A24&amp;"_CALC.pdf")</f>
        <v/>
      </c>
      <c r="AF24" s="9"/>
      <c r="AG24" s="9"/>
      <c r="AH24" s="41"/>
      <c r="AI24" s="41"/>
      <c r="AJ24" s="41"/>
      <c r="AK24" s="41"/>
      <c r="AL24" s="41"/>
      <c r="AM24" s="37" t="str">
        <f aca="false">IF(OR(C24="",F24="",G24="",C24="Sump",C24="Drop Inlet Chamber",C24="Silt Trap",C24="Pipe Culvert",C24="Subsoil Drain"),"",ROUND(MAX(1,N(H24))*(1/SG_Criteria!$B$26)*((F24/1000)*(G24/1000*(1-SG_Criteria!$B$25)))*(((F24/1000)*(G24/1000*(1-SG_Criteria!$B$25)))/((F24/1000)+2*(G24/1000*(1-SG_Criteria!$B$25))))^(2/3)*(1/Design_Selector!$B$11)^0.5,3))</f>
        <v/>
      </c>
      <c r="AN24" s="11" t="str">
        <f aca="false">IF(AM24="","",ROUND(AM24/(MAX(1,N(H24))*F24/1000*(G24/1000*(1-SG_Criteria!$B$25))),2))</f>
        <v/>
      </c>
      <c r="AO24" s="38" t="str">
        <f aca="false">IF(C24="","",IF(LEN(IF(AND(OR(D24="Roadside drain",D24="Entrance culvert"),OR(F24&lt;SG_Criteria!$B$15,G24&lt;SG_Criteria!$B$16)),"FAIL: below PUB min "&amp;SG_Criteria!$B$15&amp;"x"&amp;SG_Criteria!$B$16&amp;" for roadside drain. ","")&amp;IF(AND(D24="Common drain",F24&lt;SG_Criteria!$B$17),"FAIL: common drain W &lt; "&amp;SG_Criteria!$B$17&amp;" mm. ","")&amp;IF(AND(N24&lt;&gt;"",IFERROR(VALUE(MID(N24,2,2)),0)&lt;SG_Criteria!$B$19),"FAIL: grade below C"&amp;SG_Criteria!$B$19&amp;". ","")&amp;IF(AND(O24&lt;&gt;"",O24&lt;SG_Criteria!$B$20),"FAIL: cover &lt; "&amp;SG_Criteria!$B$20&amp;" mm. ","")&amp;IF(AND(E24="Open",G24&gt;SG_Criteria!$B$18),"NOTE: safety railing required (D &gt; "&amp;SG_Criteria!$B$18&amp;" mm). ","")&amp;IF(AND(D24="Entrance culvert",G24&lt;600),"NOTE: check hinged grating rule for culverts &lt; 600 deep (PUB Add. 3). ",""))=0,"OK",IF(AND(OR(D24="Roadside drain",D24="Entrance culvert"),OR(F24&lt;SG_Criteria!$B$15,G24&lt;SG_Criteria!$B$16)),"FAIL: below PUB min "&amp;SG_Criteria!$B$15&amp;"x"&amp;SG_Criteria!$B$16&amp;" for roadside drain. ","")&amp;IF(AND(D24="Common drain",F24&lt;SG_Criteria!$B$17),"FAIL: common drain W &lt; "&amp;SG_Criteria!$B$17&amp;" mm. ","")&amp;IF(AND(N24&lt;&gt;"",IFERROR(VALUE(MID(N24,2,2)),0)&lt;SG_Criteria!$B$19),"FAIL: grade below C"&amp;SG_Criteria!$B$19&amp;". ","")&amp;IF(AND(O24&lt;&gt;"",O24&lt;SG_Criteria!$B$20),"FAIL: cover &lt; "&amp;SG_Criteria!$B$20&amp;" mm. ","")&amp;IF(AND(E24="Open",G24&gt;SG_Criteria!$B$18),"NOTE: safety railing required (D &gt; "&amp;SG_Criteria!$B$18&amp;" mm). ","")&amp;IF(AND(D24="Entrance culvert",G24&lt;600),"NOTE: check hinged grating rule for culverts &lt; 600 deep (PUB Add. 3). ","")))</f>
        <v/>
      </c>
      <c r="AP24" s="9"/>
      <c r="AQ24" s="9"/>
      <c r="AR24" s="9"/>
      <c r="AS24" s="9"/>
      <c r="AT24" s="9"/>
      <c r="AU24" s="31"/>
      <c r="AV24" s="10" t="str">
        <f aca="false">IF(C24="","",IF(AND(V24="Approved",ISERROR(SEARCH("FAIL",AO24))),"Y","N"))</f>
        <v/>
      </c>
      <c r="AW24" s="10" t="str">
        <f aca="false">IF(C24="","",C24&amp;"|"&amp;F24&amp;"|"&amp;G24&amp;"|"&amp;L24&amp;"|"&amp;AV24)</f>
        <v/>
      </c>
    </row>
    <row r="25" customFormat="false" ht="15" hidden="false" customHeight="false" outlineLevel="0" collapsed="false">
      <c r="A25" s="10" t="str">
        <f aca="false">IF(C25="","","DRN-"&amp;IFERROR(VLOOKUP(C25,Lists!$A$4:$B$27,2,0),"??")&amp;"-"&amp;TEXT(F25,"0000")&amp;"x"&amp;TEXT(G25,"0000")&amp;IF(N(H25)&gt;1,"-"&amp;H25&amp;"C","")&amp;"-"&amp;IFERROR(VLOOKUP(L25,Lists!$J$4:$K$19,2,0),"??")&amp;"-"&amp;U25)</f>
        <v/>
      </c>
      <c r="B25" s="10" t="str">
        <f aca="false">IF(C25="","",C25&amp;" "&amp;F25&amp;"W x "&amp;G25&amp;"D"&amp;IF(N(H25)&gt;1," ("&amp;H25&amp;" cells)","")&amp;", "&amp;D25&amp;", "&amp;L25&amp;", "&amp;E25)</f>
        <v/>
      </c>
      <c r="C25" s="9"/>
      <c r="D25" s="9"/>
      <c r="E25" s="9"/>
      <c r="F25" s="40"/>
      <c r="G25" s="40"/>
      <c r="H25" s="40"/>
      <c r="I25" s="40"/>
      <c r="J25" s="40"/>
      <c r="K25" s="40"/>
      <c r="L25" s="9"/>
      <c r="M25" s="9"/>
      <c r="N25" s="9"/>
      <c r="O25" s="40"/>
      <c r="P25" s="9"/>
      <c r="Q25" s="9"/>
      <c r="R25" s="9"/>
      <c r="S25" s="9"/>
      <c r="T25" s="9"/>
      <c r="U25" s="9"/>
      <c r="V25" s="9"/>
      <c r="W25" s="9"/>
      <c r="X25" s="9"/>
      <c r="Y25" s="9"/>
      <c r="Z25" s="10" t="str">
        <f aca="false">IF(A25="","",SG_Criteria!$B$6&amp;SG_Criteria!$B$7&amp;"\"&amp;A25&amp;"\")</f>
        <v/>
      </c>
      <c r="AA25" s="10" t="str">
        <f aca="false">IF(A25="","",A25&amp;"_CAD.dwg")</f>
        <v/>
      </c>
      <c r="AB25" s="10" t="str">
        <f aca="false">IF(A25="","",A25&amp;"_DWG.pdf")</f>
        <v/>
      </c>
      <c r="AC25" s="10" t="str">
        <f aca="false">IF(A25="","",IF(Y25="Y",A25&amp;"_STAAD.std","n/a"))</f>
        <v/>
      </c>
      <c r="AD25" s="10" t="str">
        <f aca="false">IF(A25="","",A25&amp;"_CALC.xlsx")</f>
        <v/>
      </c>
      <c r="AE25" s="10" t="str">
        <f aca="false">IF(A25="","",A25&amp;"_CALC.pdf")</f>
        <v/>
      </c>
      <c r="AF25" s="9"/>
      <c r="AG25" s="9"/>
      <c r="AH25" s="41"/>
      <c r="AI25" s="41"/>
      <c r="AJ25" s="41"/>
      <c r="AK25" s="41"/>
      <c r="AL25" s="41"/>
      <c r="AM25" s="37" t="str">
        <f aca="false">IF(OR(C25="",F25="",G25="",C25="Sump",C25="Drop Inlet Chamber",C25="Silt Trap",C25="Pipe Culvert",C25="Subsoil Drain"),"",ROUND(MAX(1,N(H25))*(1/SG_Criteria!$B$26)*((F25/1000)*(G25/1000*(1-SG_Criteria!$B$25)))*(((F25/1000)*(G25/1000*(1-SG_Criteria!$B$25)))/((F25/1000)+2*(G25/1000*(1-SG_Criteria!$B$25))))^(2/3)*(1/Design_Selector!$B$11)^0.5,3))</f>
        <v/>
      </c>
      <c r="AN25" s="11" t="str">
        <f aca="false">IF(AM25="","",ROUND(AM25/(MAX(1,N(H25))*F25/1000*(G25/1000*(1-SG_Criteria!$B$25))),2))</f>
        <v/>
      </c>
      <c r="AO25" s="38" t="str">
        <f aca="false">IF(C25="","",IF(LEN(IF(AND(OR(D25="Roadside drain",D25="Entrance culvert"),OR(F25&lt;SG_Criteria!$B$15,G25&lt;SG_Criteria!$B$16)),"FAIL: below PUB min "&amp;SG_Criteria!$B$15&amp;"x"&amp;SG_Criteria!$B$16&amp;" for roadside drain. ","")&amp;IF(AND(D25="Common drain",F25&lt;SG_Criteria!$B$17),"FAIL: common drain W &lt; "&amp;SG_Criteria!$B$17&amp;" mm. ","")&amp;IF(AND(N25&lt;&gt;"",IFERROR(VALUE(MID(N25,2,2)),0)&lt;SG_Criteria!$B$19),"FAIL: grade below C"&amp;SG_Criteria!$B$19&amp;". ","")&amp;IF(AND(O25&lt;&gt;"",O25&lt;SG_Criteria!$B$20),"FAIL: cover &lt; "&amp;SG_Criteria!$B$20&amp;" mm. ","")&amp;IF(AND(E25="Open",G25&gt;SG_Criteria!$B$18),"NOTE: safety railing required (D &gt; "&amp;SG_Criteria!$B$18&amp;" mm). ","")&amp;IF(AND(D25="Entrance culvert",G25&lt;600),"NOTE: check hinged grating rule for culverts &lt; 600 deep (PUB Add. 3). ",""))=0,"OK",IF(AND(OR(D25="Roadside drain",D25="Entrance culvert"),OR(F25&lt;SG_Criteria!$B$15,G25&lt;SG_Criteria!$B$16)),"FAIL: below PUB min "&amp;SG_Criteria!$B$15&amp;"x"&amp;SG_Criteria!$B$16&amp;" for roadside drain. ","")&amp;IF(AND(D25="Common drain",F25&lt;SG_Criteria!$B$17),"FAIL: common drain W &lt; "&amp;SG_Criteria!$B$17&amp;" mm. ","")&amp;IF(AND(N25&lt;&gt;"",IFERROR(VALUE(MID(N25,2,2)),0)&lt;SG_Criteria!$B$19),"FAIL: grade below C"&amp;SG_Criteria!$B$19&amp;". ","")&amp;IF(AND(O25&lt;&gt;"",O25&lt;SG_Criteria!$B$20),"FAIL: cover &lt; "&amp;SG_Criteria!$B$20&amp;" mm. ","")&amp;IF(AND(E25="Open",G25&gt;SG_Criteria!$B$18),"NOTE: safety railing required (D &gt; "&amp;SG_Criteria!$B$18&amp;" mm). ","")&amp;IF(AND(D25="Entrance culvert",G25&lt;600),"NOTE: check hinged grating rule for culverts &lt; 600 deep (PUB Add. 3). ","")))</f>
        <v/>
      </c>
      <c r="AP25" s="9"/>
      <c r="AQ25" s="9"/>
      <c r="AR25" s="9"/>
      <c r="AS25" s="9"/>
      <c r="AT25" s="9"/>
      <c r="AU25" s="31"/>
      <c r="AV25" s="10" t="str">
        <f aca="false">IF(C25="","",IF(AND(V25="Approved",ISERROR(SEARCH("FAIL",AO25))),"Y","N"))</f>
        <v/>
      </c>
      <c r="AW25" s="10" t="str">
        <f aca="false">IF(C25="","",C25&amp;"|"&amp;F25&amp;"|"&amp;G25&amp;"|"&amp;L25&amp;"|"&amp;AV25)</f>
        <v/>
      </c>
    </row>
    <row r="26" customFormat="false" ht="15" hidden="false" customHeight="false" outlineLevel="0" collapsed="false">
      <c r="A26" s="10" t="str">
        <f aca="false">IF(C26="","","DRN-"&amp;IFERROR(VLOOKUP(C26,Lists!$A$4:$B$27,2,0),"??")&amp;"-"&amp;TEXT(F26,"0000")&amp;"x"&amp;TEXT(G26,"0000")&amp;IF(N(H26)&gt;1,"-"&amp;H26&amp;"C","")&amp;"-"&amp;IFERROR(VLOOKUP(L26,Lists!$J$4:$K$19,2,0),"??")&amp;"-"&amp;U26)</f>
        <v/>
      </c>
      <c r="B26" s="10" t="str">
        <f aca="false">IF(C26="","",C26&amp;" "&amp;F26&amp;"W x "&amp;G26&amp;"D"&amp;IF(N(H26)&gt;1," ("&amp;H26&amp;" cells)","")&amp;", "&amp;D26&amp;", "&amp;L26&amp;", "&amp;E26)</f>
        <v/>
      </c>
      <c r="C26" s="9"/>
      <c r="D26" s="9"/>
      <c r="E26" s="9"/>
      <c r="F26" s="40"/>
      <c r="G26" s="40"/>
      <c r="H26" s="40"/>
      <c r="I26" s="40"/>
      <c r="J26" s="40"/>
      <c r="K26" s="40"/>
      <c r="L26" s="9"/>
      <c r="M26" s="9"/>
      <c r="N26" s="9"/>
      <c r="O26" s="40"/>
      <c r="P26" s="9"/>
      <c r="Q26" s="9"/>
      <c r="R26" s="9"/>
      <c r="S26" s="9"/>
      <c r="T26" s="9"/>
      <c r="U26" s="9"/>
      <c r="V26" s="9"/>
      <c r="W26" s="9"/>
      <c r="X26" s="9"/>
      <c r="Y26" s="9"/>
      <c r="Z26" s="10" t="str">
        <f aca="false">IF(A26="","",SG_Criteria!$B$6&amp;SG_Criteria!$B$7&amp;"\"&amp;A26&amp;"\")</f>
        <v/>
      </c>
      <c r="AA26" s="10" t="str">
        <f aca="false">IF(A26="","",A26&amp;"_CAD.dwg")</f>
        <v/>
      </c>
      <c r="AB26" s="10" t="str">
        <f aca="false">IF(A26="","",A26&amp;"_DWG.pdf")</f>
        <v/>
      </c>
      <c r="AC26" s="10" t="str">
        <f aca="false">IF(A26="","",IF(Y26="Y",A26&amp;"_STAAD.std","n/a"))</f>
        <v/>
      </c>
      <c r="AD26" s="10" t="str">
        <f aca="false">IF(A26="","",A26&amp;"_CALC.xlsx")</f>
        <v/>
      </c>
      <c r="AE26" s="10" t="str">
        <f aca="false">IF(A26="","",A26&amp;"_CALC.pdf")</f>
        <v/>
      </c>
      <c r="AF26" s="9"/>
      <c r="AG26" s="9"/>
      <c r="AH26" s="41"/>
      <c r="AI26" s="41"/>
      <c r="AJ26" s="41"/>
      <c r="AK26" s="41"/>
      <c r="AL26" s="41"/>
      <c r="AM26" s="37" t="str">
        <f aca="false">IF(OR(C26="",F26="",G26="",C26="Sump",C26="Drop Inlet Chamber",C26="Silt Trap",C26="Pipe Culvert",C26="Subsoil Drain"),"",ROUND(MAX(1,N(H26))*(1/SG_Criteria!$B$26)*((F26/1000)*(G26/1000*(1-SG_Criteria!$B$25)))*(((F26/1000)*(G26/1000*(1-SG_Criteria!$B$25)))/((F26/1000)+2*(G26/1000*(1-SG_Criteria!$B$25))))^(2/3)*(1/Design_Selector!$B$11)^0.5,3))</f>
        <v/>
      </c>
      <c r="AN26" s="11" t="str">
        <f aca="false">IF(AM26="","",ROUND(AM26/(MAX(1,N(H26))*F26/1000*(G26/1000*(1-SG_Criteria!$B$25))),2))</f>
        <v/>
      </c>
      <c r="AO26" s="38" t="str">
        <f aca="false">IF(C26="","",IF(LEN(IF(AND(OR(D26="Roadside drain",D26="Entrance culvert"),OR(F26&lt;SG_Criteria!$B$15,G26&lt;SG_Criteria!$B$16)),"FAIL: below PUB min "&amp;SG_Criteria!$B$15&amp;"x"&amp;SG_Criteria!$B$16&amp;" for roadside drain. ","")&amp;IF(AND(D26="Common drain",F26&lt;SG_Criteria!$B$17),"FAIL: common drain W &lt; "&amp;SG_Criteria!$B$17&amp;" mm. ","")&amp;IF(AND(N26&lt;&gt;"",IFERROR(VALUE(MID(N26,2,2)),0)&lt;SG_Criteria!$B$19),"FAIL: grade below C"&amp;SG_Criteria!$B$19&amp;". ","")&amp;IF(AND(O26&lt;&gt;"",O26&lt;SG_Criteria!$B$20),"FAIL: cover &lt; "&amp;SG_Criteria!$B$20&amp;" mm. ","")&amp;IF(AND(E26="Open",G26&gt;SG_Criteria!$B$18),"NOTE: safety railing required (D &gt; "&amp;SG_Criteria!$B$18&amp;" mm). ","")&amp;IF(AND(D26="Entrance culvert",G26&lt;600),"NOTE: check hinged grating rule for culverts &lt; 600 deep (PUB Add. 3). ",""))=0,"OK",IF(AND(OR(D26="Roadside drain",D26="Entrance culvert"),OR(F26&lt;SG_Criteria!$B$15,G26&lt;SG_Criteria!$B$16)),"FAIL: below PUB min "&amp;SG_Criteria!$B$15&amp;"x"&amp;SG_Criteria!$B$16&amp;" for roadside drain. ","")&amp;IF(AND(D26="Common drain",F26&lt;SG_Criteria!$B$17),"FAIL: common drain W &lt; "&amp;SG_Criteria!$B$17&amp;" mm. ","")&amp;IF(AND(N26&lt;&gt;"",IFERROR(VALUE(MID(N26,2,2)),0)&lt;SG_Criteria!$B$19),"FAIL: grade below C"&amp;SG_Criteria!$B$19&amp;". ","")&amp;IF(AND(O26&lt;&gt;"",O26&lt;SG_Criteria!$B$20),"FAIL: cover &lt; "&amp;SG_Criteria!$B$20&amp;" mm. ","")&amp;IF(AND(E26="Open",G26&gt;SG_Criteria!$B$18),"NOTE: safety railing required (D &gt; "&amp;SG_Criteria!$B$18&amp;" mm). ","")&amp;IF(AND(D26="Entrance culvert",G26&lt;600),"NOTE: check hinged grating rule for culverts &lt; 600 deep (PUB Add. 3). ","")))</f>
        <v/>
      </c>
      <c r="AP26" s="9"/>
      <c r="AQ26" s="9"/>
      <c r="AR26" s="9"/>
      <c r="AS26" s="9"/>
      <c r="AT26" s="9"/>
      <c r="AU26" s="31"/>
      <c r="AV26" s="10" t="str">
        <f aca="false">IF(C26="","",IF(AND(V26="Approved",ISERROR(SEARCH("FAIL",AO26))),"Y","N"))</f>
        <v/>
      </c>
      <c r="AW26" s="10" t="str">
        <f aca="false">IF(C26="","",C26&amp;"|"&amp;F26&amp;"|"&amp;G26&amp;"|"&amp;L26&amp;"|"&amp;AV26)</f>
        <v/>
      </c>
    </row>
    <row r="27" customFormat="false" ht="15" hidden="false" customHeight="false" outlineLevel="0" collapsed="false">
      <c r="A27" s="10" t="str">
        <f aca="false">IF(C27="","","DRN-"&amp;IFERROR(VLOOKUP(C27,Lists!$A$4:$B$27,2,0),"??")&amp;"-"&amp;TEXT(F27,"0000")&amp;"x"&amp;TEXT(G27,"0000")&amp;IF(N(H27)&gt;1,"-"&amp;H27&amp;"C","")&amp;"-"&amp;IFERROR(VLOOKUP(L27,Lists!$J$4:$K$19,2,0),"??")&amp;"-"&amp;U27)</f>
        <v/>
      </c>
      <c r="B27" s="10" t="str">
        <f aca="false">IF(C27="","",C27&amp;" "&amp;F27&amp;"W x "&amp;G27&amp;"D"&amp;IF(N(H27)&gt;1," ("&amp;H27&amp;" cells)","")&amp;", "&amp;D27&amp;", "&amp;L27&amp;", "&amp;E27)</f>
        <v/>
      </c>
      <c r="C27" s="9"/>
      <c r="D27" s="9"/>
      <c r="E27" s="9"/>
      <c r="F27" s="40"/>
      <c r="G27" s="40"/>
      <c r="H27" s="40"/>
      <c r="I27" s="40"/>
      <c r="J27" s="40"/>
      <c r="K27" s="40"/>
      <c r="L27" s="9"/>
      <c r="M27" s="9"/>
      <c r="N27" s="9"/>
      <c r="O27" s="40"/>
      <c r="P27" s="9"/>
      <c r="Q27" s="9"/>
      <c r="R27" s="9"/>
      <c r="S27" s="9"/>
      <c r="T27" s="9"/>
      <c r="U27" s="9"/>
      <c r="V27" s="9"/>
      <c r="W27" s="9"/>
      <c r="X27" s="9"/>
      <c r="Y27" s="9"/>
      <c r="Z27" s="10" t="str">
        <f aca="false">IF(A27="","",SG_Criteria!$B$6&amp;SG_Criteria!$B$7&amp;"\"&amp;A27&amp;"\")</f>
        <v/>
      </c>
      <c r="AA27" s="10" t="str">
        <f aca="false">IF(A27="","",A27&amp;"_CAD.dwg")</f>
        <v/>
      </c>
      <c r="AB27" s="10" t="str">
        <f aca="false">IF(A27="","",A27&amp;"_DWG.pdf")</f>
        <v/>
      </c>
      <c r="AC27" s="10" t="str">
        <f aca="false">IF(A27="","",IF(Y27="Y",A27&amp;"_STAAD.std","n/a"))</f>
        <v/>
      </c>
      <c r="AD27" s="10" t="str">
        <f aca="false">IF(A27="","",A27&amp;"_CALC.xlsx")</f>
        <v/>
      </c>
      <c r="AE27" s="10" t="str">
        <f aca="false">IF(A27="","",A27&amp;"_CALC.pdf")</f>
        <v/>
      </c>
      <c r="AF27" s="9"/>
      <c r="AG27" s="9"/>
      <c r="AH27" s="41"/>
      <c r="AI27" s="41"/>
      <c r="AJ27" s="41"/>
      <c r="AK27" s="41"/>
      <c r="AL27" s="41"/>
      <c r="AM27" s="37" t="str">
        <f aca="false">IF(OR(C27="",F27="",G27="",C27="Sump",C27="Drop Inlet Chamber",C27="Silt Trap",C27="Pipe Culvert",C27="Subsoil Drain"),"",ROUND(MAX(1,N(H27))*(1/SG_Criteria!$B$26)*((F27/1000)*(G27/1000*(1-SG_Criteria!$B$25)))*(((F27/1000)*(G27/1000*(1-SG_Criteria!$B$25)))/((F27/1000)+2*(G27/1000*(1-SG_Criteria!$B$25))))^(2/3)*(1/Design_Selector!$B$11)^0.5,3))</f>
        <v/>
      </c>
      <c r="AN27" s="11" t="str">
        <f aca="false">IF(AM27="","",ROUND(AM27/(MAX(1,N(H27))*F27/1000*(G27/1000*(1-SG_Criteria!$B$25))),2))</f>
        <v/>
      </c>
      <c r="AO27" s="38" t="str">
        <f aca="false">IF(C27="","",IF(LEN(IF(AND(OR(D27="Roadside drain",D27="Entrance culvert"),OR(F27&lt;SG_Criteria!$B$15,G27&lt;SG_Criteria!$B$16)),"FAIL: below PUB min "&amp;SG_Criteria!$B$15&amp;"x"&amp;SG_Criteria!$B$16&amp;" for roadside drain. ","")&amp;IF(AND(D27="Common drain",F27&lt;SG_Criteria!$B$17),"FAIL: common drain W &lt; "&amp;SG_Criteria!$B$17&amp;" mm. ","")&amp;IF(AND(N27&lt;&gt;"",IFERROR(VALUE(MID(N27,2,2)),0)&lt;SG_Criteria!$B$19),"FAIL: grade below C"&amp;SG_Criteria!$B$19&amp;". ","")&amp;IF(AND(O27&lt;&gt;"",O27&lt;SG_Criteria!$B$20),"FAIL: cover &lt; "&amp;SG_Criteria!$B$20&amp;" mm. ","")&amp;IF(AND(E27="Open",G27&gt;SG_Criteria!$B$18),"NOTE: safety railing required (D &gt; "&amp;SG_Criteria!$B$18&amp;" mm). ","")&amp;IF(AND(D27="Entrance culvert",G27&lt;600),"NOTE: check hinged grating rule for culverts &lt; 600 deep (PUB Add. 3). ",""))=0,"OK",IF(AND(OR(D27="Roadside drain",D27="Entrance culvert"),OR(F27&lt;SG_Criteria!$B$15,G27&lt;SG_Criteria!$B$16)),"FAIL: below PUB min "&amp;SG_Criteria!$B$15&amp;"x"&amp;SG_Criteria!$B$16&amp;" for roadside drain. ","")&amp;IF(AND(D27="Common drain",F27&lt;SG_Criteria!$B$17),"FAIL: common drain W &lt; "&amp;SG_Criteria!$B$17&amp;" mm. ","")&amp;IF(AND(N27&lt;&gt;"",IFERROR(VALUE(MID(N27,2,2)),0)&lt;SG_Criteria!$B$19),"FAIL: grade below C"&amp;SG_Criteria!$B$19&amp;". ","")&amp;IF(AND(O27&lt;&gt;"",O27&lt;SG_Criteria!$B$20),"FAIL: cover &lt; "&amp;SG_Criteria!$B$20&amp;" mm. ","")&amp;IF(AND(E27="Open",G27&gt;SG_Criteria!$B$18),"NOTE: safety railing required (D &gt; "&amp;SG_Criteria!$B$18&amp;" mm). ","")&amp;IF(AND(D27="Entrance culvert",G27&lt;600),"NOTE: check hinged grating rule for culverts &lt; 600 deep (PUB Add. 3). ","")))</f>
        <v/>
      </c>
      <c r="AP27" s="9"/>
      <c r="AQ27" s="9"/>
      <c r="AR27" s="9"/>
      <c r="AS27" s="9"/>
      <c r="AT27" s="9"/>
      <c r="AU27" s="31"/>
      <c r="AV27" s="10" t="str">
        <f aca="false">IF(C27="","",IF(AND(V27="Approved",ISERROR(SEARCH("FAIL",AO27))),"Y","N"))</f>
        <v/>
      </c>
      <c r="AW27" s="10" t="str">
        <f aca="false">IF(C27="","",C27&amp;"|"&amp;F27&amp;"|"&amp;G27&amp;"|"&amp;L27&amp;"|"&amp;AV27)</f>
        <v/>
      </c>
    </row>
    <row r="28" customFormat="false" ht="15" hidden="false" customHeight="false" outlineLevel="0" collapsed="false">
      <c r="A28" s="10" t="str">
        <f aca="false">IF(C28="","","DRN-"&amp;IFERROR(VLOOKUP(C28,Lists!$A$4:$B$27,2,0),"??")&amp;"-"&amp;TEXT(F28,"0000")&amp;"x"&amp;TEXT(G28,"0000")&amp;IF(N(H28)&gt;1,"-"&amp;H28&amp;"C","")&amp;"-"&amp;IFERROR(VLOOKUP(L28,Lists!$J$4:$K$19,2,0),"??")&amp;"-"&amp;U28)</f>
        <v/>
      </c>
      <c r="B28" s="10" t="str">
        <f aca="false">IF(C28="","",C28&amp;" "&amp;F28&amp;"W x "&amp;G28&amp;"D"&amp;IF(N(H28)&gt;1," ("&amp;H28&amp;" cells)","")&amp;", "&amp;D28&amp;", "&amp;L28&amp;", "&amp;E28)</f>
        <v/>
      </c>
      <c r="C28" s="9"/>
      <c r="D28" s="9"/>
      <c r="E28" s="9"/>
      <c r="F28" s="40"/>
      <c r="G28" s="40"/>
      <c r="H28" s="40"/>
      <c r="I28" s="40"/>
      <c r="J28" s="40"/>
      <c r="K28" s="40"/>
      <c r="L28" s="9"/>
      <c r="M28" s="9"/>
      <c r="N28" s="9"/>
      <c r="O28" s="40"/>
      <c r="P28" s="9"/>
      <c r="Q28" s="9"/>
      <c r="R28" s="9"/>
      <c r="S28" s="9"/>
      <c r="T28" s="9"/>
      <c r="U28" s="9"/>
      <c r="V28" s="9"/>
      <c r="W28" s="9"/>
      <c r="X28" s="9"/>
      <c r="Y28" s="9"/>
      <c r="Z28" s="10" t="str">
        <f aca="false">IF(A28="","",SG_Criteria!$B$6&amp;SG_Criteria!$B$7&amp;"\"&amp;A28&amp;"\")</f>
        <v/>
      </c>
      <c r="AA28" s="10" t="str">
        <f aca="false">IF(A28="","",A28&amp;"_CAD.dwg")</f>
        <v/>
      </c>
      <c r="AB28" s="10" t="str">
        <f aca="false">IF(A28="","",A28&amp;"_DWG.pdf")</f>
        <v/>
      </c>
      <c r="AC28" s="10" t="str">
        <f aca="false">IF(A28="","",IF(Y28="Y",A28&amp;"_STAAD.std","n/a"))</f>
        <v/>
      </c>
      <c r="AD28" s="10" t="str">
        <f aca="false">IF(A28="","",A28&amp;"_CALC.xlsx")</f>
        <v/>
      </c>
      <c r="AE28" s="10" t="str">
        <f aca="false">IF(A28="","",A28&amp;"_CALC.pdf")</f>
        <v/>
      </c>
      <c r="AF28" s="9"/>
      <c r="AG28" s="9"/>
      <c r="AH28" s="41"/>
      <c r="AI28" s="41"/>
      <c r="AJ28" s="41"/>
      <c r="AK28" s="41"/>
      <c r="AL28" s="41"/>
      <c r="AM28" s="37" t="str">
        <f aca="false">IF(OR(C28="",F28="",G28="",C28="Sump",C28="Drop Inlet Chamber",C28="Silt Trap",C28="Pipe Culvert",C28="Subsoil Drain"),"",ROUND(MAX(1,N(H28))*(1/SG_Criteria!$B$26)*((F28/1000)*(G28/1000*(1-SG_Criteria!$B$25)))*(((F28/1000)*(G28/1000*(1-SG_Criteria!$B$25)))/((F28/1000)+2*(G28/1000*(1-SG_Criteria!$B$25))))^(2/3)*(1/Design_Selector!$B$11)^0.5,3))</f>
        <v/>
      </c>
      <c r="AN28" s="11" t="str">
        <f aca="false">IF(AM28="","",ROUND(AM28/(MAX(1,N(H28))*F28/1000*(G28/1000*(1-SG_Criteria!$B$25))),2))</f>
        <v/>
      </c>
      <c r="AO28" s="38" t="str">
        <f aca="false">IF(C28="","",IF(LEN(IF(AND(OR(D28="Roadside drain",D28="Entrance culvert"),OR(F28&lt;SG_Criteria!$B$15,G28&lt;SG_Criteria!$B$16)),"FAIL: below PUB min "&amp;SG_Criteria!$B$15&amp;"x"&amp;SG_Criteria!$B$16&amp;" for roadside drain. ","")&amp;IF(AND(D28="Common drain",F28&lt;SG_Criteria!$B$17),"FAIL: common drain W &lt; "&amp;SG_Criteria!$B$17&amp;" mm. ","")&amp;IF(AND(N28&lt;&gt;"",IFERROR(VALUE(MID(N28,2,2)),0)&lt;SG_Criteria!$B$19),"FAIL: grade below C"&amp;SG_Criteria!$B$19&amp;". ","")&amp;IF(AND(O28&lt;&gt;"",O28&lt;SG_Criteria!$B$20),"FAIL: cover &lt; "&amp;SG_Criteria!$B$20&amp;" mm. ","")&amp;IF(AND(E28="Open",G28&gt;SG_Criteria!$B$18),"NOTE: safety railing required (D &gt; "&amp;SG_Criteria!$B$18&amp;" mm). ","")&amp;IF(AND(D28="Entrance culvert",G28&lt;600),"NOTE: check hinged grating rule for culverts &lt; 600 deep (PUB Add. 3). ",""))=0,"OK",IF(AND(OR(D28="Roadside drain",D28="Entrance culvert"),OR(F28&lt;SG_Criteria!$B$15,G28&lt;SG_Criteria!$B$16)),"FAIL: below PUB min "&amp;SG_Criteria!$B$15&amp;"x"&amp;SG_Criteria!$B$16&amp;" for roadside drain. ","")&amp;IF(AND(D28="Common drain",F28&lt;SG_Criteria!$B$17),"FAIL: common drain W &lt; "&amp;SG_Criteria!$B$17&amp;" mm. ","")&amp;IF(AND(N28&lt;&gt;"",IFERROR(VALUE(MID(N28,2,2)),0)&lt;SG_Criteria!$B$19),"FAIL: grade below C"&amp;SG_Criteria!$B$19&amp;". ","")&amp;IF(AND(O28&lt;&gt;"",O28&lt;SG_Criteria!$B$20),"FAIL: cover &lt; "&amp;SG_Criteria!$B$20&amp;" mm. ","")&amp;IF(AND(E28="Open",G28&gt;SG_Criteria!$B$18),"NOTE: safety railing required (D &gt; "&amp;SG_Criteria!$B$18&amp;" mm). ","")&amp;IF(AND(D28="Entrance culvert",G28&lt;600),"NOTE: check hinged grating rule for culverts &lt; 600 deep (PUB Add. 3). ","")))</f>
        <v/>
      </c>
      <c r="AP28" s="9"/>
      <c r="AQ28" s="9"/>
      <c r="AR28" s="9"/>
      <c r="AS28" s="9"/>
      <c r="AT28" s="9"/>
      <c r="AU28" s="31"/>
      <c r="AV28" s="10" t="str">
        <f aca="false">IF(C28="","",IF(AND(V28="Approved",ISERROR(SEARCH("FAIL",AO28))),"Y","N"))</f>
        <v/>
      </c>
      <c r="AW28" s="10" t="str">
        <f aca="false">IF(C28="","",C28&amp;"|"&amp;F28&amp;"|"&amp;G28&amp;"|"&amp;L28&amp;"|"&amp;AV28)</f>
        <v/>
      </c>
    </row>
    <row r="29" customFormat="false" ht="15" hidden="false" customHeight="false" outlineLevel="0" collapsed="false">
      <c r="A29" s="10" t="str">
        <f aca="false">IF(C29="","","DRN-"&amp;IFERROR(VLOOKUP(C29,Lists!$A$4:$B$27,2,0),"??")&amp;"-"&amp;TEXT(F29,"0000")&amp;"x"&amp;TEXT(G29,"0000")&amp;IF(N(H29)&gt;1,"-"&amp;H29&amp;"C","")&amp;"-"&amp;IFERROR(VLOOKUP(L29,Lists!$J$4:$K$19,2,0),"??")&amp;"-"&amp;U29)</f>
        <v/>
      </c>
      <c r="B29" s="10" t="str">
        <f aca="false">IF(C29="","",C29&amp;" "&amp;F29&amp;"W x "&amp;G29&amp;"D"&amp;IF(N(H29)&gt;1," ("&amp;H29&amp;" cells)","")&amp;", "&amp;D29&amp;", "&amp;L29&amp;", "&amp;E29)</f>
        <v/>
      </c>
      <c r="C29" s="9"/>
      <c r="D29" s="9"/>
      <c r="E29" s="9"/>
      <c r="F29" s="40"/>
      <c r="G29" s="40"/>
      <c r="H29" s="40"/>
      <c r="I29" s="40"/>
      <c r="J29" s="40"/>
      <c r="K29" s="40"/>
      <c r="L29" s="9"/>
      <c r="M29" s="9"/>
      <c r="N29" s="9"/>
      <c r="O29" s="40"/>
      <c r="P29" s="9"/>
      <c r="Q29" s="9"/>
      <c r="R29" s="9"/>
      <c r="S29" s="9"/>
      <c r="T29" s="9"/>
      <c r="U29" s="9"/>
      <c r="V29" s="9"/>
      <c r="W29" s="9"/>
      <c r="X29" s="9"/>
      <c r="Y29" s="9"/>
      <c r="Z29" s="10" t="str">
        <f aca="false">IF(A29="","",SG_Criteria!$B$6&amp;SG_Criteria!$B$7&amp;"\"&amp;A29&amp;"\")</f>
        <v/>
      </c>
      <c r="AA29" s="10" t="str">
        <f aca="false">IF(A29="","",A29&amp;"_CAD.dwg")</f>
        <v/>
      </c>
      <c r="AB29" s="10" t="str">
        <f aca="false">IF(A29="","",A29&amp;"_DWG.pdf")</f>
        <v/>
      </c>
      <c r="AC29" s="10" t="str">
        <f aca="false">IF(A29="","",IF(Y29="Y",A29&amp;"_STAAD.std","n/a"))</f>
        <v/>
      </c>
      <c r="AD29" s="10" t="str">
        <f aca="false">IF(A29="","",A29&amp;"_CALC.xlsx")</f>
        <v/>
      </c>
      <c r="AE29" s="10" t="str">
        <f aca="false">IF(A29="","",A29&amp;"_CALC.pdf")</f>
        <v/>
      </c>
      <c r="AF29" s="9"/>
      <c r="AG29" s="9"/>
      <c r="AH29" s="41"/>
      <c r="AI29" s="41"/>
      <c r="AJ29" s="41"/>
      <c r="AK29" s="41"/>
      <c r="AL29" s="41"/>
      <c r="AM29" s="37" t="str">
        <f aca="false">IF(OR(C29="",F29="",G29="",C29="Sump",C29="Drop Inlet Chamber",C29="Silt Trap",C29="Pipe Culvert",C29="Subsoil Drain"),"",ROUND(MAX(1,N(H29))*(1/SG_Criteria!$B$26)*((F29/1000)*(G29/1000*(1-SG_Criteria!$B$25)))*(((F29/1000)*(G29/1000*(1-SG_Criteria!$B$25)))/((F29/1000)+2*(G29/1000*(1-SG_Criteria!$B$25))))^(2/3)*(1/Design_Selector!$B$11)^0.5,3))</f>
        <v/>
      </c>
      <c r="AN29" s="11" t="str">
        <f aca="false">IF(AM29="","",ROUND(AM29/(MAX(1,N(H29))*F29/1000*(G29/1000*(1-SG_Criteria!$B$25))),2))</f>
        <v/>
      </c>
      <c r="AO29" s="38" t="str">
        <f aca="false">IF(C29="","",IF(LEN(IF(AND(OR(D29="Roadside drain",D29="Entrance culvert"),OR(F29&lt;SG_Criteria!$B$15,G29&lt;SG_Criteria!$B$16)),"FAIL: below PUB min "&amp;SG_Criteria!$B$15&amp;"x"&amp;SG_Criteria!$B$16&amp;" for roadside drain. ","")&amp;IF(AND(D29="Common drain",F29&lt;SG_Criteria!$B$17),"FAIL: common drain W &lt; "&amp;SG_Criteria!$B$17&amp;" mm. ","")&amp;IF(AND(N29&lt;&gt;"",IFERROR(VALUE(MID(N29,2,2)),0)&lt;SG_Criteria!$B$19),"FAIL: grade below C"&amp;SG_Criteria!$B$19&amp;". ","")&amp;IF(AND(O29&lt;&gt;"",O29&lt;SG_Criteria!$B$20),"FAIL: cover &lt; "&amp;SG_Criteria!$B$20&amp;" mm. ","")&amp;IF(AND(E29="Open",G29&gt;SG_Criteria!$B$18),"NOTE: safety railing required (D &gt; "&amp;SG_Criteria!$B$18&amp;" mm). ","")&amp;IF(AND(D29="Entrance culvert",G29&lt;600),"NOTE: check hinged grating rule for culverts &lt; 600 deep (PUB Add. 3). ",""))=0,"OK",IF(AND(OR(D29="Roadside drain",D29="Entrance culvert"),OR(F29&lt;SG_Criteria!$B$15,G29&lt;SG_Criteria!$B$16)),"FAIL: below PUB min "&amp;SG_Criteria!$B$15&amp;"x"&amp;SG_Criteria!$B$16&amp;" for roadside drain. ","")&amp;IF(AND(D29="Common drain",F29&lt;SG_Criteria!$B$17),"FAIL: common drain W &lt; "&amp;SG_Criteria!$B$17&amp;" mm. ","")&amp;IF(AND(N29&lt;&gt;"",IFERROR(VALUE(MID(N29,2,2)),0)&lt;SG_Criteria!$B$19),"FAIL: grade below C"&amp;SG_Criteria!$B$19&amp;". ","")&amp;IF(AND(O29&lt;&gt;"",O29&lt;SG_Criteria!$B$20),"FAIL: cover &lt; "&amp;SG_Criteria!$B$20&amp;" mm. ","")&amp;IF(AND(E29="Open",G29&gt;SG_Criteria!$B$18),"NOTE: safety railing required (D &gt; "&amp;SG_Criteria!$B$18&amp;" mm). ","")&amp;IF(AND(D29="Entrance culvert",G29&lt;600),"NOTE: check hinged grating rule for culverts &lt; 600 deep (PUB Add. 3). ","")))</f>
        <v/>
      </c>
      <c r="AP29" s="9"/>
      <c r="AQ29" s="9"/>
      <c r="AR29" s="9"/>
      <c r="AS29" s="9"/>
      <c r="AT29" s="9"/>
      <c r="AU29" s="31"/>
      <c r="AV29" s="10" t="str">
        <f aca="false">IF(C29="","",IF(AND(V29="Approved",ISERROR(SEARCH("FAIL",AO29))),"Y","N"))</f>
        <v/>
      </c>
      <c r="AW29" s="10" t="str">
        <f aca="false">IF(C29="","",C29&amp;"|"&amp;F29&amp;"|"&amp;G29&amp;"|"&amp;L29&amp;"|"&amp;AV29)</f>
        <v/>
      </c>
    </row>
    <row r="30" customFormat="false" ht="15" hidden="false" customHeight="false" outlineLevel="0" collapsed="false">
      <c r="A30" s="10" t="str">
        <f aca="false">IF(C30="","","DRN-"&amp;IFERROR(VLOOKUP(C30,Lists!$A$4:$B$27,2,0),"??")&amp;"-"&amp;TEXT(F30,"0000")&amp;"x"&amp;TEXT(G30,"0000")&amp;IF(N(H30)&gt;1,"-"&amp;H30&amp;"C","")&amp;"-"&amp;IFERROR(VLOOKUP(L30,Lists!$J$4:$K$19,2,0),"??")&amp;"-"&amp;U30)</f>
        <v/>
      </c>
      <c r="B30" s="10" t="str">
        <f aca="false">IF(C30="","",C30&amp;" "&amp;F30&amp;"W x "&amp;G30&amp;"D"&amp;IF(N(H30)&gt;1," ("&amp;H30&amp;" cells)","")&amp;", "&amp;D30&amp;", "&amp;L30&amp;", "&amp;E30)</f>
        <v/>
      </c>
      <c r="C30" s="9"/>
      <c r="D30" s="9"/>
      <c r="E30" s="9"/>
      <c r="F30" s="40"/>
      <c r="G30" s="40"/>
      <c r="H30" s="40"/>
      <c r="I30" s="40"/>
      <c r="J30" s="40"/>
      <c r="K30" s="40"/>
      <c r="L30" s="9"/>
      <c r="M30" s="9"/>
      <c r="N30" s="9"/>
      <c r="O30" s="40"/>
      <c r="P30" s="9"/>
      <c r="Q30" s="9"/>
      <c r="R30" s="9"/>
      <c r="S30" s="9"/>
      <c r="T30" s="9"/>
      <c r="U30" s="9"/>
      <c r="V30" s="9"/>
      <c r="W30" s="9"/>
      <c r="X30" s="9"/>
      <c r="Y30" s="9"/>
      <c r="Z30" s="10" t="str">
        <f aca="false">IF(A30="","",SG_Criteria!$B$6&amp;SG_Criteria!$B$7&amp;"\"&amp;A30&amp;"\")</f>
        <v/>
      </c>
      <c r="AA30" s="10" t="str">
        <f aca="false">IF(A30="","",A30&amp;"_CAD.dwg")</f>
        <v/>
      </c>
      <c r="AB30" s="10" t="str">
        <f aca="false">IF(A30="","",A30&amp;"_DWG.pdf")</f>
        <v/>
      </c>
      <c r="AC30" s="10" t="str">
        <f aca="false">IF(A30="","",IF(Y30="Y",A30&amp;"_STAAD.std","n/a"))</f>
        <v/>
      </c>
      <c r="AD30" s="10" t="str">
        <f aca="false">IF(A30="","",A30&amp;"_CALC.xlsx")</f>
        <v/>
      </c>
      <c r="AE30" s="10" t="str">
        <f aca="false">IF(A30="","",A30&amp;"_CALC.pdf")</f>
        <v/>
      </c>
      <c r="AF30" s="9"/>
      <c r="AG30" s="9"/>
      <c r="AH30" s="41"/>
      <c r="AI30" s="41"/>
      <c r="AJ30" s="41"/>
      <c r="AK30" s="41"/>
      <c r="AL30" s="41"/>
      <c r="AM30" s="37" t="str">
        <f aca="false">IF(OR(C30="",F30="",G30="",C30="Sump",C30="Drop Inlet Chamber",C30="Silt Trap",C30="Pipe Culvert",C30="Subsoil Drain"),"",ROUND(MAX(1,N(H30))*(1/SG_Criteria!$B$26)*((F30/1000)*(G30/1000*(1-SG_Criteria!$B$25)))*(((F30/1000)*(G30/1000*(1-SG_Criteria!$B$25)))/((F30/1000)+2*(G30/1000*(1-SG_Criteria!$B$25))))^(2/3)*(1/Design_Selector!$B$11)^0.5,3))</f>
        <v/>
      </c>
      <c r="AN30" s="11" t="str">
        <f aca="false">IF(AM30="","",ROUND(AM30/(MAX(1,N(H30))*F30/1000*(G30/1000*(1-SG_Criteria!$B$25))),2))</f>
        <v/>
      </c>
      <c r="AO30" s="38" t="str">
        <f aca="false">IF(C30="","",IF(LEN(IF(AND(OR(D30="Roadside drain",D30="Entrance culvert"),OR(F30&lt;SG_Criteria!$B$15,G30&lt;SG_Criteria!$B$16)),"FAIL: below PUB min "&amp;SG_Criteria!$B$15&amp;"x"&amp;SG_Criteria!$B$16&amp;" for roadside drain. ","")&amp;IF(AND(D30="Common drain",F30&lt;SG_Criteria!$B$17),"FAIL: common drain W &lt; "&amp;SG_Criteria!$B$17&amp;" mm. ","")&amp;IF(AND(N30&lt;&gt;"",IFERROR(VALUE(MID(N30,2,2)),0)&lt;SG_Criteria!$B$19),"FAIL: grade below C"&amp;SG_Criteria!$B$19&amp;". ","")&amp;IF(AND(O30&lt;&gt;"",O30&lt;SG_Criteria!$B$20),"FAIL: cover &lt; "&amp;SG_Criteria!$B$20&amp;" mm. ","")&amp;IF(AND(E30="Open",G30&gt;SG_Criteria!$B$18),"NOTE: safety railing required (D &gt; "&amp;SG_Criteria!$B$18&amp;" mm). ","")&amp;IF(AND(D30="Entrance culvert",G30&lt;600),"NOTE: check hinged grating rule for culverts &lt; 600 deep (PUB Add. 3). ",""))=0,"OK",IF(AND(OR(D30="Roadside drain",D30="Entrance culvert"),OR(F30&lt;SG_Criteria!$B$15,G30&lt;SG_Criteria!$B$16)),"FAIL: below PUB min "&amp;SG_Criteria!$B$15&amp;"x"&amp;SG_Criteria!$B$16&amp;" for roadside drain. ","")&amp;IF(AND(D30="Common drain",F30&lt;SG_Criteria!$B$17),"FAIL: common drain W &lt; "&amp;SG_Criteria!$B$17&amp;" mm. ","")&amp;IF(AND(N30&lt;&gt;"",IFERROR(VALUE(MID(N30,2,2)),0)&lt;SG_Criteria!$B$19),"FAIL: grade below C"&amp;SG_Criteria!$B$19&amp;". ","")&amp;IF(AND(O30&lt;&gt;"",O30&lt;SG_Criteria!$B$20),"FAIL: cover &lt; "&amp;SG_Criteria!$B$20&amp;" mm. ","")&amp;IF(AND(E30="Open",G30&gt;SG_Criteria!$B$18),"NOTE: safety railing required (D &gt; "&amp;SG_Criteria!$B$18&amp;" mm). ","")&amp;IF(AND(D30="Entrance culvert",G30&lt;600),"NOTE: check hinged grating rule for culverts &lt; 600 deep (PUB Add. 3). ","")))</f>
        <v/>
      </c>
      <c r="AP30" s="9"/>
      <c r="AQ30" s="9"/>
      <c r="AR30" s="9"/>
      <c r="AS30" s="9"/>
      <c r="AT30" s="9"/>
      <c r="AU30" s="31"/>
      <c r="AV30" s="10" t="str">
        <f aca="false">IF(C30="","",IF(AND(V30="Approved",ISERROR(SEARCH("FAIL",AO30))),"Y","N"))</f>
        <v/>
      </c>
      <c r="AW30" s="10" t="str">
        <f aca="false">IF(C30="","",C30&amp;"|"&amp;F30&amp;"|"&amp;G30&amp;"|"&amp;L30&amp;"|"&amp;AV30)</f>
        <v/>
      </c>
    </row>
    <row r="31" customFormat="false" ht="15" hidden="false" customHeight="false" outlineLevel="0" collapsed="false">
      <c r="A31" s="10" t="str">
        <f aca="false">IF(C31="","","DRN-"&amp;IFERROR(VLOOKUP(C31,Lists!$A$4:$B$27,2,0),"??")&amp;"-"&amp;TEXT(F31,"0000")&amp;"x"&amp;TEXT(G31,"0000")&amp;IF(N(H31)&gt;1,"-"&amp;H31&amp;"C","")&amp;"-"&amp;IFERROR(VLOOKUP(L31,Lists!$J$4:$K$19,2,0),"??")&amp;"-"&amp;U31)</f>
        <v/>
      </c>
      <c r="B31" s="10" t="str">
        <f aca="false">IF(C31="","",C31&amp;" "&amp;F31&amp;"W x "&amp;G31&amp;"D"&amp;IF(N(H31)&gt;1," ("&amp;H31&amp;" cells)","")&amp;", "&amp;D31&amp;", "&amp;L31&amp;", "&amp;E31)</f>
        <v/>
      </c>
      <c r="C31" s="9"/>
      <c r="D31" s="9"/>
      <c r="E31" s="9"/>
      <c r="F31" s="40"/>
      <c r="G31" s="40"/>
      <c r="H31" s="40"/>
      <c r="I31" s="40"/>
      <c r="J31" s="40"/>
      <c r="K31" s="40"/>
      <c r="L31" s="9"/>
      <c r="M31" s="9"/>
      <c r="N31" s="9"/>
      <c r="O31" s="40"/>
      <c r="P31" s="9"/>
      <c r="Q31" s="9"/>
      <c r="R31" s="9"/>
      <c r="S31" s="9"/>
      <c r="T31" s="9"/>
      <c r="U31" s="9"/>
      <c r="V31" s="9"/>
      <c r="W31" s="9"/>
      <c r="X31" s="9"/>
      <c r="Y31" s="9"/>
      <c r="Z31" s="10" t="str">
        <f aca="false">IF(A31="","",SG_Criteria!$B$6&amp;SG_Criteria!$B$7&amp;"\"&amp;A31&amp;"\")</f>
        <v/>
      </c>
      <c r="AA31" s="10" t="str">
        <f aca="false">IF(A31="","",A31&amp;"_CAD.dwg")</f>
        <v/>
      </c>
      <c r="AB31" s="10" t="str">
        <f aca="false">IF(A31="","",A31&amp;"_DWG.pdf")</f>
        <v/>
      </c>
      <c r="AC31" s="10" t="str">
        <f aca="false">IF(A31="","",IF(Y31="Y",A31&amp;"_STAAD.std","n/a"))</f>
        <v/>
      </c>
      <c r="AD31" s="10" t="str">
        <f aca="false">IF(A31="","",A31&amp;"_CALC.xlsx")</f>
        <v/>
      </c>
      <c r="AE31" s="10" t="str">
        <f aca="false">IF(A31="","",A31&amp;"_CALC.pdf")</f>
        <v/>
      </c>
      <c r="AF31" s="9"/>
      <c r="AG31" s="9"/>
      <c r="AH31" s="41"/>
      <c r="AI31" s="41"/>
      <c r="AJ31" s="41"/>
      <c r="AK31" s="41"/>
      <c r="AL31" s="41"/>
      <c r="AM31" s="37" t="str">
        <f aca="false">IF(OR(C31="",F31="",G31="",C31="Sump",C31="Drop Inlet Chamber",C31="Silt Trap",C31="Pipe Culvert",C31="Subsoil Drain"),"",ROUND(MAX(1,N(H31))*(1/SG_Criteria!$B$26)*((F31/1000)*(G31/1000*(1-SG_Criteria!$B$25)))*(((F31/1000)*(G31/1000*(1-SG_Criteria!$B$25)))/((F31/1000)+2*(G31/1000*(1-SG_Criteria!$B$25))))^(2/3)*(1/Design_Selector!$B$11)^0.5,3))</f>
        <v/>
      </c>
      <c r="AN31" s="11" t="str">
        <f aca="false">IF(AM31="","",ROUND(AM31/(MAX(1,N(H31))*F31/1000*(G31/1000*(1-SG_Criteria!$B$25))),2))</f>
        <v/>
      </c>
      <c r="AO31" s="38" t="str">
        <f aca="false">IF(C31="","",IF(LEN(IF(AND(OR(D31="Roadside drain",D31="Entrance culvert"),OR(F31&lt;SG_Criteria!$B$15,G31&lt;SG_Criteria!$B$16)),"FAIL: below PUB min "&amp;SG_Criteria!$B$15&amp;"x"&amp;SG_Criteria!$B$16&amp;" for roadside drain. ","")&amp;IF(AND(D31="Common drain",F31&lt;SG_Criteria!$B$17),"FAIL: common drain W &lt; "&amp;SG_Criteria!$B$17&amp;" mm. ","")&amp;IF(AND(N31&lt;&gt;"",IFERROR(VALUE(MID(N31,2,2)),0)&lt;SG_Criteria!$B$19),"FAIL: grade below C"&amp;SG_Criteria!$B$19&amp;". ","")&amp;IF(AND(O31&lt;&gt;"",O31&lt;SG_Criteria!$B$20),"FAIL: cover &lt; "&amp;SG_Criteria!$B$20&amp;" mm. ","")&amp;IF(AND(E31="Open",G31&gt;SG_Criteria!$B$18),"NOTE: safety railing required (D &gt; "&amp;SG_Criteria!$B$18&amp;" mm). ","")&amp;IF(AND(D31="Entrance culvert",G31&lt;600),"NOTE: check hinged grating rule for culverts &lt; 600 deep (PUB Add. 3). ",""))=0,"OK",IF(AND(OR(D31="Roadside drain",D31="Entrance culvert"),OR(F31&lt;SG_Criteria!$B$15,G31&lt;SG_Criteria!$B$16)),"FAIL: below PUB min "&amp;SG_Criteria!$B$15&amp;"x"&amp;SG_Criteria!$B$16&amp;" for roadside drain. ","")&amp;IF(AND(D31="Common drain",F31&lt;SG_Criteria!$B$17),"FAIL: common drain W &lt; "&amp;SG_Criteria!$B$17&amp;" mm. ","")&amp;IF(AND(N31&lt;&gt;"",IFERROR(VALUE(MID(N31,2,2)),0)&lt;SG_Criteria!$B$19),"FAIL: grade below C"&amp;SG_Criteria!$B$19&amp;". ","")&amp;IF(AND(O31&lt;&gt;"",O31&lt;SG_Criteria!$B$20),"FAIL: cover &lt; "&amp;SG_Criteria!$B$20&amp;" mm. ","")&amp;IF(AND(E31="Open",G31&gt;SG_Criteria!$B$18),"NOTE: safety railing required (D &gt; "&amp;SG_Criteria!$B$18&amp;" mm). ","")&amp;IF(AND(D31="Entrance culvert",G31&lt;600),"NOTE: check hinged grating rule for culverts &lt; 600 deep (PUB Add. 3). ","")))</f>
        <v/>
      </c>
      <c r="AP31" s="9"/>
      <c r="AQ31" s="9"/>
      <c r="AR31" s="9"/>
      <c r="AS31" s="9"/>
      <c r="AT31" s="9"/>
      <c r="AU31" s="31"/>
      <c r="AV31" s="10" t="str">
        <f aca="false">IF(C31="","",IF(AND(V31="Approved",ISERROR(SEARCH("FAIL",AO31))),"Y","N"))</f>
        <v/>
      </c>
      <c r="AW31" s="10" t="str">
        <f aca="false">IF(C31="","",C31&amp;"|"&amp;F31&amp;"|"&amp;G31&amp;"|"&amp;L31&amp;"|"&amp;AV31)</f>
        <v/>
      </c>
    </row>
    <row r="32" customFormat="false" ht="15" hidden="false" customHeight="false" outlineLevel="0" collapsed="false">
      <c r="A32" s="10" t="str">
        <f aca="false">IF(C32="","","DRN-"&amp;IFERROR(VLOOKUP(C32,Lists!$A$4:$B$27,2,0),"??")&amp;"-"&amp;TEXT(F32,"0000")&amp;"x"&amp;TEXT(G32,"0000")&amp;IF(N(H32)&gt;1,"-"&amp;H32&amp;"C","")&amp;"-"&amp;IFERROR(VLOOKUP(L32,Lists!$J$4:$K$19,2,0),"??")&amp;"-"&amp;U32)</f>
        <v/>
      </c>
      <c r="B32" s="10" t="str">
        <f aca="false">IF(C32="","",C32&amp;" "&amp;F32&amp;"W x "&amp;G32&amp;"D"&amp;IF(N(H32)&gt;1," ("&amp;H32&amp;" cells)","")&amp;", "&amp;D32&amp;", "&amp;L32&amp;", "&amp;E32)</f>
        <v/>
      </c>
      <c r="C32" s="9"/>
      <c r="D32" s="9"/>
      <c r="E32" s="9"/>
      <c r="F32" s="40"/>
      <c r="G32" s="40"/>
      <c r="H32" s="40"/>
      <c r="I32" s="40"/>
      <c r="J32" s="40"/>
      <c r="K32" s="40"/>
      <c r="L32" s="9"/>
      <c r="M32" s="9"/>
      <c r="N32" s="9"/>
      <c r="O32" s="40"/>
      <c r="P32" s="9"/>
      <c r="Q32" s="9"/>
      <c r="R32" s="9"/>
      <c r="S32" s="9"/>
      <c r="T32" s="9"/>
      <c r="U32" s="9"/>
      <c r="V32" s="9"/>
      <c r="W32" s="9"/>
      <c r="X32" s="9"/>
      <c r="Y32" s="9"/>
      <c r="Z32" s="10" t="str">
        <f aca="false">IF(A32="","",SG_Criteria!$B$6&amp;SG_Criteria!$B$7&amp;"\"&amp;A32&amp;"\")</f>
        <v/>
      </c>
      <c r="AA32" s="10" t="str">
        <f aca="false">IF(A32="","",A32&amp;"_CAD.dwg")</f>
        <v/>
      </c>
      <c r="AB32" s="10" t="str">
        <f aca="false">IF(A32="","",A32&amp;"_DWG.pdf")</f>
        <v/>
      </c>
      <c r="AC32" s="10" t="str">
        <f aca="false">IF(A32="","",IF(Y32="Y",A32&amp;"_STAAD.std","n/a"))</f>
        <v/>
      </c>
      <c r="AD32" s="10" t="str">
        <f aca="false">IF(A32="","",A32&amp;"_CALC.xlsx")</f>
        <v/>
      </c>
      <c r="AE32" s="10" t="str">
        <f aca="false">IF(A32="","",A32&amp;"_CALC.pdf")</f>
        <v/>
      </c>
      <c r="AF32" s="9"/>
      <c r="AG32" s="9"/>
      <c r="AH32" s="41"/>
      <c r="AI32" s="41"/>
      <c r="AJ32" s="41"/>
      <c r="AK32" s="41"/>
      <c r="AL32" s="41"/>
      <c r="AM32" s="37" t="str">
        <f aca="false">IF(OR(C32="",F32="",G32="",C32="Sump",C32="Drop Inlet Chamber",C32="Silt Trap",C32="Pipe Culvert",C32="Subsoil Drain"),"",ROUND(MAX(1,N(H32))*(1/SG_Criteria!$B$26)*((F32/1000)*(G32/1000*(1-SG_Criteria!$B$25)))*(((F32/1000)*(G32/1000*(1-SG_Criteria!$B$25)))/((F32/1000)+2*(G32/1000*(1-SG_Criteria!$B$25))))^(2/3)*(1/Design_Selector!$B$11)^0.5,3))</f>
        <v/>
      </c>
      <c r="AN32" s="11" t="str">
        <f aca="false">IF(AM32="","",ROUND(AM32/(MAX(1,N(H32))*F32/1000*(G32/1000*(1-SG_Criteria!$B$25))),2))</f>
        <v/>
      </c>
      <c r="AO32" s="38" t="str">
        <f aca="false">IF(C32="","",IF(LEN(IF(AND(OR(D32="Roadside drain",D32="Entrance culvert"),OR(F32&lt;SG_Criteria!$B$15,G32&lt;SG_Criteria!$B$16)),"FAIL: below PUB min "&amp;SG_Criteria!$B$15&amp;"x"&amp;SG_Criteria!$B$16&amp;" for roadside drain. ","")&amp;IF(AND(D32="Common drain",F32&lt;SG_Criteria!$B$17),"FAIL: common drain W &lt; "&amp;SG_Criteria!$B$17&amp;" mm. ","")&amp;IF(AND(N32&lt;&gt;"",IFERROR(VALUE(MID(N32,2,2)),0)&lt;SG_Criteria!$B$19),"FAIL: grade below C"&amp;SG_Criteria!$B$19&amp;". ","")&amp;IF(AND(O32&lt;&gt;"",O32&lt;SG_Criteria!$B$20),"FAIL: cover &lt; "&amp;SG_Criteria!$B$20&amp;" mm. ","")&amp;IF(AND(E32="Open",G32&gt;SG_Criteria!$B$18),"NOTE: safety railing required (D &gt; "&amp;SG_Criteria!$B$18&amp;" mm). ","")&amp;IF(AND(D32="Entrance culvert",G32&lt;600),"NOTE: check hinged grating rule for culverts &lt; 600 deep (PUB Add. 3). ",""))=0,"OK",IF(AND(OR(D32="Roadside drain",D32="Entrance culvert"),OR(F32&lt;SG_Criteria!$B$15,G32&lt;SG_Criteria!$B$16)),"FAIL: below PUB min "&amp;SG_Criteria!$B$15&amp;"x"&amp;SG_Criteria!$B$16&amp;" for roadside drain. ","")&amp;IF(AND(D32="Common drain",F32&lt;SG_Criteria!$B$17),"FAIL: common drain W &lt; "&amp;SG_Criteria!$B$17&amp;" mm. ","")&amp;IF(AND(N32&lt;&gt;"",IFERROR(VALUE(MID(N32,2,2)),0)&lt;SG_Criteria!$B$19),"FAIL: grade below C"&amp;SG_Criteria!$B$19&amp;". ","")&amp;IF(AND(O32&lt;&gt;"",O32&lt;SG_Criteria!$B$20),"FAIL: cover &lt; "&amp;SG_Criteria!$B$20&amp;" mm. ","")&amp;IF(AND(E32="Open",G32&gt;SG_Criteria!$B$18),"NOTE: safety railing required (D &gt; "&amp;SG_Criteria!$B$18&amp;" mm). ","")&amp;IF(AND(D32="Entrance culvert",G32&lt;600),"NOTE: check hinged grating rule for culverts &lt; 600 deep (PUB Add. 3). ","")))</f>
        <v/>
      </c>
      <c r="AP32" s="9"/>
      <c r="AQ32" s="9"/>
      <c r="AR32" s="9"/>
      <c r="AS32" s="9"/>
      <c r="AT32" s="9"/>
      <c r="AU32" s="31"/>
      <c r="AV32" s="10" t="str">
        <f aca="false">IF(C32="","",IF(AND(V32="Approved",ISERROR(SEARCH("FAIL",AO32))),"Y","N"))</f>
        <v/>
      </c>
      <c r="AW32" s="10" t="str">
        <f aca="false">IF(C32="","",C32&amp;"|"&amp;F32&amp;"|"&amp;G32&amp;"|"&amp;L32&amp;"|"&amp;AV32)</f>
        <v/>
      </c>
    </row>
    <row r="33" customFormat="false" ht="15" hidden="false" customHeight="false" outlineLevel="0" collapsed="false">
      <c r="A33" s="10" t="str">
        <f aca="false">IF(C33="","","DRN-"&amp;IFERROR(VLOOKUP(C33,Lists!$A$4:$B$27,2,0),"??")&amp;"-"&amp;TEXT(F33,"0000")&amp;"x"&amp;TEXT(G33,"0000")&amp;IF(N(H33)&gt;1,"-"&amp;H33&amp;"C","")&amp;"-"&amp;IFERROR(VLOOKUP(L33,Lists!$J$4:$K$19,2,0),"??")&amp;"-"&amp;U33)</f>
        <v/>
      </c>
      <c r="B33" s="10" t="str">
        <f aca="false">IF(C33="","",C33&amp;" "&amp;F33&amp;"W x "&amp;G33&amp;"D"&amp;IF(N(H33)&gt;1," ("&amp;H33&amp;" cells)","")&amp;", "&amp;D33&amp;", "&amp;L33&amp;", "&amp;E33)</f>
        <v/>
      </c>
      <c r="C33" s="9"/>
      <c r="D33" s="9"/>
      <c r="E33" s="9"/>
      <c r="F33" s="40"/>
      <c r="G33" s="40"/>
      <c r="H33" s="40"/>
      <c r="I33" s="40"/>
      <c r="J33" s="40"/>
      <c r="K33" s="40"/>
      <c r="L33" s="9"/>
      <c r="M33" s="9"/>
      <c r="N33" s="9"/>
      <c r="O33" s="40"/>
      <c r="P33" s="9"/>
      <c r="Q33" s="9"/>
      <c r="R33" s="9"/>
      <c r="S33" s="9"/>
      <c r="T33" s="9"/>
      <c r="U33" s="9"/>
      <c r="V33" s="9"/>
      <c r="W33" s="9"/>
      <c r="X33" s="9"/>
      <c r="Y33" s="9"/>
      <c r="Z33" s="10" t="str">
        <f aca="false">IF(A33="","",SG_Criteria!$B$6&amp;SG_Criteria!$B$7&amp;"\"&amp;A33&amp;"\")</f>
        <v/>
      </c>
      <c r="AA33" s="10" t="str">
        <f aca="false">IF(A33="","",A33&amp;"_CAD.dwg")</f>
        <v/>
      </c>
      <c r="AB33" s="10" t="str">
        <f aca="false">IF(A33="","",A33&amp;"_DWG.pdf")</f>
        <v/>
      </c>
      <c r="AC33" s="10" t="str">
        <f aca="false">IF(A33="","",IF(Y33="Y",A33&amp;"_STAAD.std","n/a"))</f>
        <v/>
      </c>
      <c r="AD33" s="10" t="str">
        <f aca="false">IF(A33="","",A33&amp;"_CALC.xlsx")</f>
        <v/>
      </c>
      <c r="AE33" s="10" t="str">
        <f aca="false">IF(A33="","",A33&amp;"_CALC.pdf")</f>
        <v/>
      </c>
      <c r="AF33" s="9"/>
      <c r="AG33" s="9"/>
      <c r="AH33" s="41"/>
      <c r="AI33" s="41"/>
      <c r="AJ33" s="41"/>
      <c r="AK33" s="41"/>
      <c r="AL33" s="41"/>
      <c r="AM33" s="37" t="str">
        <f aca="false">IF(OR(C33="",F33="",G33="",C33="Sump",C33="Drop Inlet Chamber",C33="Silt Trap",C33="Pipe Culvert",C33="Subsoil Drain"),"",ROUND(MAX(1,N(H33))*(1/SG_Criteria!$B$26)*((F33/1000)*(G33/1000*(1-SG_Criteria!$B$25)))*(((F33/1000)*(G33/1000*(1-SG_Criteria!$B$25)))/((F33/1000)+2*(G33/1000*(1-SG_Criteria!$B$25))))^(2/3)*(1/Design_Selector!$B$11)^0.5,3))</f>
        <v/>
      </c>
      <c r="AN33" s="11" t="str">
        <f aca="false">IF(AM33="","",ROUND(AM33/(MAX(1,N(H33))*F33/1000*(G33/1000*(1-SG_Criteria!$B$25))),2))</f>
        <v/>
      </c>
      <c r="AO33" s="38" t="str">
        <f aca="false">IF(C33="","",IF(LEN(IF(AND(OR(D33="Roadside drain",D33="Entrance culvert"),OR(F33&lt;SG_Criteria!$B$15,G33&lt;SG_Criteria!$B$16)),"FAIL: below PUB min "&amp;SG_Criteria!$B$15&amp;"x"&amp;SG_Criteria!$B$16&amp;" for roadside drain. ","")&amp;IF(AND(D33="Common drain",F33&lt;SG_Criteria!$B$17),"FAIL: common drain W &lt; "&amp;SG_Criteria!$B$17&amp;" mm. ","")&amp;IF(AND(N33&lt;&gt;"",IFERROR(VALUE(MID(N33,2,2)),0)&lt;SG_Criteria!$B$19),"FAIL: grade below C"&amp;SG_Criteria!$B$19&amp;". ","")&amp;IF(AND(O33&lt;&gt;"",O33&lt;SG_Criteria!$B$20),"FAIL: cover &lt; "&amp;SG_Criteria!$B$20&amp;" mm. ","")&amp;IF(AND(E33="Open",G33&gt;SG_Criteria!$B$18),"NOTE: safety railing required (D &gt; "&amp;SG_Criteria!$B$18&amp;" mm). ","")&amp;IF(AND(D33="Entrance culvert",G33&lt;600),"NOTE: check hinged grating rule for culverts &lt; 600 deep (PUB Add. 3). ",""))=0,"OK",IF(AND(OR(D33="Roadside drain",D33="Entrance culvert"),OR(F33&lt;SG_Criteria!$B$15,G33&lt;SG_Criteria!$B$16)),"FAIL: below PUB min "&amp;SG_Criteria!$B$15&amp;"x"&amp;SG_Criteria!$B$16&amp;" for roadside drain. ","")&amp;IF(AND(D33="Common drain",F33&lt;SG_Criteria!$B$17),"FAIL: common drain W &lt; "&amp;SG_Criteria!$B$17&amp;" mm. ","")&amp;IF(AND(N33&lt;&gt;"",IFERROR(VALUE(MID(N33,2,2)),0)&lt;SG_Criteria!$B$19),"FAIL: grade below C"&amp;SG_Criteria!$B$19&amp;". ","")&amp;IF(AND(O33&lt;&gt;"",O33&lt;SG_Criteria!$B$20),"FAIL: cover &lt; "&amp;SG_Criteria!$B$20&amp;" mm. ","")&amp;IF(AND(E33="Open",G33&gt;SG_Criteria!$B$18),"NOTE: safety railing required (D &gt; "&amp;SG_Criteria!$B$18&amp;" mm). ","")&amp;IF(AND(D33="Entrance culvert",G33&lt;600),"NOTE: check hinged grating rule for culverts &lt; 600 deep (PUB Add. 3). ","")))</f>
        <v/>
      </c>
      <c r="AP33" s="9"/>
      <c r="AQ33" s="9"/>
      <c r="AR33" s="9"/>
      <c r="AS33" s="9"/>
      <c r="AT33" s="9"/>
      <c r="AU33" s="31"/>
      <c r="AV33" s="10" t="str">
        <f aca="false">IF(C33="","",IF(AND(V33="Approved",ISERROR(SEARCH("FAIL",AO33))),"Y","N"))</f>
        <v/>
      </c>
      <c r="AW33" s="10" t="str">
        <f aca="false">IF(C33="","",C33&amp;"|"&amp;F33&amp;"|"&amp;G33&amp;"|"&amp;L33&amp;"|"&amp;AV33)</f>
        <v/>
      </c>
    </row>
    <row r="34" customFormat="false" ht="15" hidden="false" customHeight="false" outlineLevel="0" collapsed="false">
      <c r="A34" s="10" t="str">
        <f aca="false">IF(C34="","","DRN-"&amp;IFERROR(VLOOKUP(C34,Lists!$A$4:$B$27,2,0),"??")&amp;"-"&amp;TEXT(F34,"0000")&amp;"x"&amp;TEXT(G34,"0000")&amp;IF(N(H34)&gt;1,"-"&amp;H34&amp;"C","")&amp;"-"&amp;IFERROR(VLOOKUP(L34,Lists!$J$4:$K$19,2,0),"??")&amp;"-"&amp;U34)</f>
        <v/>
      </c>
      <c r="B34" s="10" t="str">
        <f aca="false">IF(C34="","",C34&amp;" "&amp;F34&amp;"W x "&amp;G34&amp;"D"&amp;IF(N(H34)&gt;1," ("&amp;H34&amp;" cells)","")&amp;", "&amp;D34&amp;", "&amp;L34&amp;", "&amp;E34)</f>
        <v/>
      </c>
      <c r="C34" s="9"/>
      <c r="D34" s="9"/>
      <c r="E34" s="9"/>
      <c r="F34" s="40"/>
      <c r="G34" s="40"/>
      <c r="H34" s="40"/>
      <c r="I34" s="40"/>
      <c r="J34" s="40"/>
      <c r="K34" s="40"/>
      <c r="L34" s="9"/>
      <c r="M34" s="9"/>
      <c r="N34" s="9"/>
      <c r="O34" s="40"/>
      <c r="P34" s="9"/>
      <c r="Q34" s="9"/>
      <c r="R34" s="9"/>
      <c r="S34" s="9"/>
      <c r="T34" s="9"/>
      <c r="U34" s="9"/>
      <c r="V34" s="9"/>
      <c r="W34" s="9"/>
      <c r="X34" s="9"/>
      <c r="Y34" s="9"/>
      <c r="Z34" s="10" t="str">
        <f aca="false">IF(A34="","",SG_Criteria!$B$6&amp;SG_Criteria!$B$7&amp;"\"&amp;A34&amp;"\")</f>
        <v/>
      </c>
      <c r="AA34" s="10" t="str">
        <f aca="false">IF(A34="","",A34&amp;"_CAD.dwg")</f>
        <v/>
      </c>
      <c r="AB34" s="10" t="str">
        <f aca="false">IF(A34="","",A34&amp;"_DWG.pdf")</f>
        <v/>
      </c>
      <c r="AC34" s="10" t="str">
        <f aca="false">IF(A34="","",IF(Y34="Y",A34&amp;"_STAAD.std","n/a"))</f>
        <v/>
      </c>
      <c r="AD34" s="10" t="str">
        <f aca="false">IF(A34="","",A34&amp;"_CALC.xlsx")</f>
        <v/>
      </c>
      <c r="AE34" s="10" t="str">
        <f aca="false">IF(A34="","",A34&amp;"_CALC.pdf")</f>
        <v/>
      </c>
      <c r="AF34" s="9"/>
      <c r="AG34" s="9"/>
      <c r="AH34" s="41"/>
      <c r="AI34" s="41"/>
      <c r="AJ34" s="41"/>
      <c r="AK34" s="41"/>
      <c r="AL34" s="41"/>
      <c r="AM34" s="37" t="str">
        <f aca="false">IF(OR(C34="",F34="",G34="",C34="Sump",C34="Drop Inlet Chamber",C34="Silt Trap",C34="Pipe Culvert",C34="Subsoil Drain"),"",ROUND(MAX(1,N(H34))*(1/SG_Criteria!$B$26)*((F34/1000)*(G34/1000*(1-SG_Criteria!$B$25)))*(((F34/1000)*(G34/1000*(1-SG_Criteria!$B$25)))/((F34/1000)+2*(G34/1000*(1-SG_Criteria!$B$25))))^(2/3)*(1/Design_Selector!$B$11)^0.5,3))</f>
        <v/>
      </c>
      <c r="AN34" s="11" t="str">
        <f aca="false">IF(AM34="","",ROUND(AM34/(MAX(1,N(H34))*F34/1000*(G34/1000*(1-SG_Criteria!$B$25))),2))</f>
        <v/>
      </c>
      <c r="AO34" s="38" t="str">
        <f aca="false">IF(C34="","",IF(LEN(IF(AND(OR(D34="Roadside drain",D34="Entrance culvert"),OR(F34&lt;SG_Criteria!$B$15,G34&lt;SG_Criteria!$B$16)),"FAIL: below PUB min "&amp;SG_Criteria!$B$15&amp;"x"&amp;SG_Criteria!$B$16&amp;" for roadside drain. ","")&amp;IF(AND(D34="Common drain",F34&lt;SG_Criteria!$B$17),"FAIL: common drain W &lt; "&amp;SG_Criteria!$B$17&amp;" mm. ","")&amp;IF(AND(N34&lt;&gt;"",IFERROR(VALUE(MID(N34,2,2)),0)&lt;SG_Criteria!$B$19),"FAIL: grade below C"&amp;SG_Criteria!$B$19&amp;". ","")&amp;IF(AND(O34&lt;&gt;"",O34&lt;SG_Criteria!$B$20),"FAIL: cover &lt; "&amp;SG_Criteria!$B$20&amp;" mm. ","")&amp;IF(AND(E34="Open",G34&gt;SG_Criteria!$B$18),"NOTE: safety railing required (D &gt; "&amp;SG_Criteria!$B$18&amp;" mm). ","")&amp;IF(AND(D34="Entrance culvert",G34&lt;600),"NOTE: check hinged grating rule for culverts &lt; 600 deep (PUB Add. 3). ",""))=0,"OK",IF(AND(OR(D34="Roadside drain",D34="Entrance culvert"),OR(F34&lt;SG_Criteria!$B$15,G34&lt;SG_Criteria!$B$16)),"FAIL: below PUB min "&amp;SG_Criteria!$B$15&amp;"x"&amp;SG_Criteria!$B$16&amp;" for roadside drain. ","")&amp;IF(AND(D34="Common drain",F34&lt;SG_Criteria!$B$17),"FAIL: common drain W &lt; "&amp;SG_Criteria!$B$17&amp;" mm. ","")&amp;IF(AND(N34&lt;&gt;"",IFERROR(VALUE(MID(N34,2,2)),0)&lt;SG_Criteria!$B$19),"FAIL: grade below C"&amp;SG_Criteria!$B$19&amp;". ","")&amp;IF(AND(O34&lt;&gt;"",O34&lt;SG_Criteria!$B$20),"FAIL: cover &lt; "&amp;SG_Criteria!$B$20&amp;" mm. ","")&amp;IF(AND(E34="Open",G34&gt;SG_Criteria!$B$18),"NOTE: safety railing required (D &gt; "&amp;SG_Criteria!$B$18&amp;" mm). ","")&amp;IF(AND(D34="Entrance culvert",G34&lt;600),"NOTE: check hinged grating rule for culverts &lt; 600 deep (PUB Add. 3). ","")))</f>
        <v/>
      </c>
      <c r="AP34" s="9"/>
      <c r="AQ34" s="9"/>
      <c r="AR34" s="9"/>
      <c r="AS34" s="9"/>
      <c r="AT34" s="9"/>
      <c r="AU34" s="31"/>
      <c r="AV34" s="10" t="str">
        <f aca="false">IF(C34="","",IF(AND(V34="Approved",ISERROR(SEARCH("FAIL",AO34))),"Y","N"))</f>
        <v/>
      </c>
      <c r="AW34" s="10" t="str">
        <f aca="false">IF(C34="","",C34&amp;"|"&amp;F34&amp;"|"&amp;G34&amp;"|"&amp;L34&amp;"|"&amp;AV34)</f>
        <v/>
      </c>
    </row>
    <row r="35" customFormat="false" ht="15" hidden="false" customHeight="false" outlineLevel="0" collapsed="false">
      <c r="A35" s="10" t="str">
        <f aca="false">IF(C35="","","DRN-"&amp;IFERROR(VLOOKUP(C35,Lists!$A$4:$B$27,2,0),"??")&amp;"-"&amp;TEXT(F35,"0000")&amp;"x"&amp;TEXT(G35,"0000")&amp;IF(N(H35)&gt;1,"-"&amp;H35&amp;"C","")&amp;"-"&amp;IFERROR(VLOOKUP(L35,Lists!$J$4:$K$19,2,0),"??")&amp;"-"&amp;U35)</f>
        <v/>
      </c>
      <c r="B35" s="10" t="str">
        <f aca="false">IF(C35="","",C35&amp;" "&amp;F35&amp;"W x "&amp;G35&amp;"D"&amp;IF(N(H35)&gt;1," ("&amp;H35&amp;" cells)","")&amp;", "&amp;D35&amp;", "&amp;L35&amp;", "&amp;E35)</f>
        <v/>
      </c>
      <c r="C35" s="9"/>
      <c r="D35" s="9"/>
      <c r="E35" s="9"/>
      <c r="F35" s="40"/>
      <c r="G35" s="40"/>
      <c r="H35" s="40"/>
      <c r="I35" s="40"/>
      <c r="J35" s="40"/>
      <c r="K35" s="40"/>
      <c r="L35" s="9"/>
      <c r="M35" s="9"/>
      <c r="N35" s="9"/>
      <c r="O35" s="40"/>
      <c r="P35" s="9"/>
      <c r="Q35" s="9"/>
      <c r="R35" s="9"/>
      <c r="S35" s="9"/>
      <c r="T35" s="9"/>
      <c r="U35" s="9"/>
      <c r="V35" s="9"/>
      <c r="W35" s="9"/>
      <c r="X35" s="9"/>
      <c r="Y35" s="9"/>
      <c r="Z35" s="10" t="str">
        <f aca="false">IF(A35="","",SG_Criteria!$B$6&amp;SG_Criteria!$B$7&amp;"\"&amp;A35&amp;"\")</f>
        <v/>
      </c>
      <c r="AA35" s="10" t="str">
        <f aca="false">IF(A35="","",A35&amp;"_CAD.dwg")</f>
        <v/>
      </c>
      <c r="AB35" s="10" t="str">
        <f aca="false">IF(A35="","",A35&amp;"_DWG.pdf")</f>
        <v/>
      </c>
      <c r="AC35" s="10" t="str">
        <f aca="false">IF(A35="","",IF(Y35="Y",A35&amp;"_STAAD.std","n/a"))</f>
        <v/>
      </c>
      <c r="AD35" s="10" t="str">
        <f aca="false">IF(A35="","",A35&amp;"_CALC.xlsx")</f>
        <v/>
      </c>
      <c r="AE35" s="10" t="str">
        <f aca="false">IF(A35="","",A35&amp;"_CALC.pdf")</f>
        <v/>
      </c>
      <c r="AF35" s="9"/>
      <c r="AG35" s="9"/>
      <c r="AH35" s="41"/>
      <c r="AI35" s="41"/>
      <c r="AJ35" s="41"/>
      <c r="AK35" s="41"/>
      <c r="AL35" s="41"/>
      <c r="AM35" s="37" t="str">
        <f aca="false">IF(OR(C35="",F35="",G35="",C35="Sump",C35="Drop Inlet Chamber",C35="Silt Trap",C35="Pipe Culvert",C35="Subsoil Drain"),"",ROUND(MAX(1,N(H35))*(1/SG_Criteria!$B$26)*((F35/1000)*(G35/1000*(1-SG_Criteria!$B$25)))*(((F35/1000)*(G35/1000*(1-SG_Criteria!$B$25)))/((F35/1000)+2*(G35/1000*(1-SG_Criteria!$B$25))))^(2/3)*(1/Design_Selector!$B$11)^0.5,3))</f>
        <v/>
      </c>
      <c r="AN35" s="11" t="str">
        <f aca="false">IF(AM35="","",ROUND(AM35/(MAX(1,N(H35))*F35/1000*(G35/1000*(1-SG_Criteria!$B$25))),2))</f>
        <v/>
      </c>
      <c r="AO35" s="38" t="str">
        <f aca="false">IF(C35="","",IF(LEN(IF(AND(OR(D35="Roadside drain",D35="Entrance culvert"),OR(F35&lt;SG_Criteria!$B$15,G35&lt;SG_Criteria!$B$16)),"FAIL: below PUB min "&amp;SG_Criteria!$B$15&amp;"x"&amp;SG_Criteria!$B$16&amp;" for roadside drain. ","")&amp;IF(AND(D35="Common drain",F35&lt;SG_Criteria!$B$17),"FAIL: common drain W &lt; "&amp;SG_Criteria!$B$17&amp;" mm. ","")&amp;IF(AND(N35&lt;&gt;"",IFERROR(VALUE(MID(N35,2,2)),0)&lt;SG_Criteria!$B$19),"FAIL: grade below C"&amp;SG_Criteria!$B$19&amp;". ","")&amp;IF(AND(O35&lt;&gt;"",O35&lt;SG_Criteria!$B$20),"FAIL: cover &lt; "&amp;SG_Criteria!$B$20&amp;" mm. ","")&amp;IF(AND(E35="Open",G35&gt;SG_Criteria!$B$18),"NOTE: safety railing required (D &gt; "&amp;SG_Criteria!$B$18&amp;" mm). ","")&amp;IF(AND(D35="Entrance culvert",G35&lt;600),"NOTE: check hinged grating rule for culverts &lt; 600 deep (PUB Add. 3). ",""))=0,"OK",IF(AND(OR(D35="Roadside drain",D35="Entrance culvert"),OR(F35&lt;SG_Criteria!$B$15,G35&lt;SG_Criteria!$B$16)),"FAIL: below PUB min "&amp;SG_Criteria!$B$15&amp;"x"&amp;SG_Criteria!$B$16&amp;" for roadside drain. ","")&amp;IF(AND(D35="Common drain",F35&lt;SG_Criteria!$B$17),"FAIL: common drain W &lt; "&amp;SG_Criteria!$B$17&amp;" mm. ","")&amp;IF(AND(N35&lt;&gt;"",IFERROR(VALUE(MID(N35,2,2)),0)&lt;SG_Criteria!$B$19),"FAIL: grade below C"&amp;SG_Criteria!$B$19&amp;". ","")&amp;IF(AND(O35&lt;&gt;"",O35&lt;SG_Criteria!$B$20),"FAIL: cover &lt; "&amp;SG_Criteria!$B$20&amp;" mm. ","")&amp;IF(AND(E35="Open",G35&gt;SG_Criteria!$B$18),"NOTE: safety railing required (D &gt; "&amp;SG_Criteria!$B$18&amp;" mm). ","")&amp;IF(AND(D35="Entrance culvert",G35&lt;600),"NOTE: check hinged grating rule for culverts &lt; 600 deep (PUB Add. 3). ","")))</f>
        <v/>
      </c>
      <c r="AP35" s="9"/>
      <c r="AQ35" s="9"/>
      <c r="AR35" s="9"/>
      <c r="AS35" s="9"/>
      <c r="AT35" s="9"/>
      <c r="AU35" s="31"/>
      <c r="AV35" s="10" t="str">
        <f aca="false">IF(C35="","",IF(AND(V35="Approved",ISERROR(SEARCH("FAIL",AO35))),"Y","N"))</f>
        <v/>
      </c>
      <c r="AW35" s="10" t="str">
        <f aca="false">IF(C35="","",C35&amp;"|"&amp;F35&amp;"|"&amp;G35&amp;"|"&amp;L35&amp;"|"&amp;AV35)</f>
        <v/>
      </c>
    </row>
    <row r="36" customFormat="false" ht="15" hidden="false" customHeight="false" outlineLevel="0" collapsed="false">
      <c r="A36" s="10" t="str">
        <f aca="false">IF(C36="","","DRN-"&amp;IFERROR(VLOOKUP(C36,Lists!$A$4:$B$27,2,0),"??")&amp;"-"&amp;TEXT(F36,"0000")&amp;"x"&amp;TEXT(G36,"0000")&amp;IF(N(H36)&gt;1,"-"&amp;H36&amp;"C","")&amp;"-"&amp;IFERROR(VLOOKUP(L36,Lists!$J$4:$K$19,2,0),"??")&amp;"-"&amp;U36)</f>
        <v/>
      </c>
      <c r="B36" s="10" t="str">
        <f aca="false">IF(C36="","",C36&amp;" "&amp;F36&amp;"W x "&amp;G36&amp;"D"&amp;IF(N(H36)&gt;1," ("&amp;H36&amp;" cells)","")&amp;", "&amp;D36&amp;", "&amp;L36&amp;", "&amp;E36)</f>
        <v/>
      </c>
      <c r="C36" s="9"/>
      <c r="D36" s="9"/>
      <c r="E36" s="9"/>
      <c r="F36" s="40"/>
      <c r="G36" s="40"/>
      <c r="H36" s="40"/>
      <c r="I36" s="40"/>
      <c r="J36" s="40"/>
      <c r="K36" s="40"/>
      <c r="L36" s="9"/>
      <c r="M36" s="9"/>
      <c r="N36" s="9"/>
      <c r="O36" s="40"/>
      <c r="P36" s="9"/>
      <c r="Q36" s="9"/>
      <c r="R36" s="9"/>
      <c r="S36" s="9"/>
      <c r="T36" s="9"/>
      <c r="U36" s="9"/>
      <c r="V36" s="9"/>
      <c r="W36" s="9"/>
      <c r="X36" s="9"/>
      <c r="Y36" s="9"/>
      <c r="Z36" s="10" t="str">
        <f aca="false">IF(A36="","",SG_Criteria!$B$6&amp;SG_Criteria!$B$7&amp;"\"&amp;A36&amp;"\")</f>
        <v/>
      </c>
      <c r="AA36" s="10" t="str">
        <f aca="false">IF(A36="","",A36&amp;"_CAD.dwg")</f>
        <v/>
      </c>
      <c r="AB36" s="10" t="str">
        <f aca="false">IF(A36="","",A36&amp;"_DWG.pdf")</f>
        <v/>
      </c>
      <c r="AC36" s="10" t="str">
        <f aca="false">IF(A36="","",IF(Y36="Y",A36&amp;"_STAAD.std","n/a"))</f>
        <v/>
      </c>
      <c r="AD36" s="10" t="str">
        <f aca="false">IF(A36="","",A36&amp;"_CALC.xlsx")</f>
        <v/>
      </c>
      <c r="AE36" s="10" t="str">
        <f aca="false">IF(A36="","",A36&amp;"_CALC.pdf")</f>
        <v/>
      </c>
      <c r="AF36" s="9"/>
      <c r="AG36" s="9"/>
      <c r="AH36" s="41"/>
      <c r="AI36" s="41"/>
      <c r="AJ36" s="41"/>
      <c r="AK36" s="41"/>
      <c r="AL36" s="41"/>
      <c r="AM36" s="37" t="str">
        <f aca="false">IF(OR(C36="",F36="",G36="",C36="Sump",C36="Drop Inlet Chamber",C36="Silt Trap",C36="Pipe Culvert",C36="Subsoil Drain"),"",ROUND(MAX(1,N(H36))*(1/SG_Criteria!$B$26)*((F36/1000)*(G36/1000*(1-SG_Criteria!$B$25)))*(((F36/1000)*(G36/1000*(1-SG_Criteria!$B$25)))/((F36/1000)+2*(G36/1000*(1-SG_Criteria!$B$25))))^(2/3)*(1/Design_Selector!$B$11)^0.5,3))</f>
        <v/>
      </c>
      <c r="AN36" s="11" t="str">
        <f aca="false">IF(AM36="","",ROUND(AM36/(MAX(1,N(H36))*F36/1000*(G36/1000*(1-SG_Criteria!$B$25))),2))</f>
        <v/>
      </c>
      <c r="AO36" s="38" t="str">
        <f aca="false">IF(C36="","",IF(LEN(IF(AND(OR(D36="Roadside drain",D36="Entrance culvert"),OR(F36&lt;SG_Criteria!$B$15,G36&lt;SG_Criteria!$B$16)),"FAIL: below PUB min "&amp;SG_Criteria!$B$15&amp;"x"&amp;SG_Criteria!$B$16&amp;" for roadside drain. ","")&amp;IF(AND(D36="Common drain",F36&lt;SG_Criteria!$B$17),"FAIL: common drain W &lt; "&amp;SG_Criteria!$B$17&amp;" mm. ","")&amp;IF(AND(N36&lt;&gt;"",IFERROR(VALUE(MID(N36,2,2)),0)&lt;SG_Criteria!$B$19),"FAIL: grade below C"&amp;SG_Criteria!$B$19&amp;". ","")&amp;IF(AND(O36&lt;&gt;"",O36&lt;SG_Criteria!$B$20),"FAIL: cover &lt; "&amp;SG_Criteria!$B$20&amp;" mm. ","")&amp;IF(AND(E36="Open",G36&gt;SG_Criteria!$B$18),"NOTE: safety railing required (D &gt; "&amp;SG_Criteria!$B$18&amp;" mm). ","")&amp;IF(AND(D36="Entrance culvert",G36&lt;600),"NOTE: check hinged grating rule for culverts &lt; 600 deep (PUB Add. 3). ",""))=0,"OK",IF(AND(OR(D36="Roadside drain",D36="Entrance culvert"),OR(F36&lt;SG_Criteria!$B$15,G36&lt;SG_Criteria!$B$16)),"FAIL: below PUB min "&amp;SG_Criteria!$B$15&amp;"x"&amp;SG_Criteria!$B$16&amp;" for roadside drain. ","")&amp;IF(AND(D36="Common drain",F36&lt;SG_Criteria!$B$17),"FAIL: common drain W &lt; "&amp;SG_Criteria!$B$17&amp;" mm. ","")&amp;IF(AND(N36&lt;&gt;"",IFERROR(VALUE(MID(N36,2,2)),0)&lt;SG_Criteria!$B$19),"FAIL: grade below C"&amp;SG_Criteria!$B$19&amp;". ","")&amp;IF(AND(O36&lt;&gt;"",O36&lt;SG_Criteria!$B$20),"FAIL: cover &lt; "&amp;SG_Criteria!$B$20&amp;" mm. ","")&amp;IF(AND(E36="Open",G36&gt;SG_Criteria!$B$18),"NOTE: safety railing required (D &gt; "&amp;SG_Criteria!$B$18&amp;" mm). ","")&amp;IF(AND(D36="Entrance culvert",G36&lt;600),"NOTE: check hinged grating rule for culverts &lt; 600 deep (PUB Add. 3). ","")))</f>
        <v/>
      </c>
      <c r="AP36" s="9"/>
      <c r="AQ36" s="9"/>
      <c r="AR36" s="9"/>
      <c r="AS36" s="9"/>
      <c r="AT36" s="9"/>
      <c r="AU36" s="31"/>
      <c r="AV36" s="10" t="str">
        <f aca="false">IF(C36="","",IF(AND(V36="Approved",ISERROR(SEARCH("FAIL",AO36))),"Y","N"))</f>
        <v/>
      </c>
      <c r="AW36" s="10" t="str">
        <f aca="false">IF(C36="","",C36&amp;"|"&amp;F36&amp;"|"&amp;G36&amp;"|"&amp;L36&amp;"|"&amp;AV36)</f>
        <v/>
      </c>
    </row>
    <row r="37" customFormat="false" ht="15" hidden="false" customHeight="false" outlineLevel="0" collapsed="false">
      <c r="A37" s="10" t="str">
        <f aca="false">IF(C37="","","DRN-"&amp;IFERROR(VLOOKUP(C37,Lists!$A$4:$B$27,2,0),"??")&amp;"-"&amp;TEXT(F37,"0000")&amp;"x"&amp;TEXT(G37,"0000")&amp;IF(N(H37)&gt;1,"-"&amp;H37&amp;"C","")&amp;"-"&amp;IFERROR(VLOOKUP(L37,Lists!$J$4:$K$19,2,0),"??")&amp;"-"&amp;U37)</f>
        <v/>
      </c>
      <c r="B37" s="10" t="str">
        <f aca="false">IF(C37="","",C37&amp;" "&amp;F37&amp;"W x "&amp;G37&amp;"D"&amp;IF(N(H37)&gt;1," ("&amp;H37&amp;" cells)","")&amp;", "&amp;D37&amp;", "&amp;L37&amp;", "&amp;E37)</f>
        <v/>
      </c>
      <c r="C37" s="9"/>
      <c r="D37" s="9"/>
      <c r="E37" s="9"/>
      <c r="F37" s="40"/>
      <c r="G37" s="40"/>
      <c r="H37" s="40"/>
      <c r="I37" s="40"/>
      <c r="J37" s="40"/>
      <c r="K37" s="40"/>
      <c r="L37" s="9"/>
      <c r="M37" s="9"/>
      <c r="N37" s="9"/>
      <c r="O37" s="40"/>
      <c r="P37" s="9"/>
      <c r="Q37" s="9"/>
      <c r="R37" s="9"/>
      <c r="S37" s="9"/>
      <c r="T37" s="9"/>
      <c r="U37" s="9"/>
      <c r="V37" s="9"/>
      <c r="W37" s="9"/>
      <c r="X37" s="9"/>
      <c r="Y37" s="9"/>
      <c r="Z37" s="10" t="str">
        <f aca="false">IF(A37="","",SG_Criteria!$B$6&amp;SG_Criteria!$B$7&amp;"\"&amp;A37&amp;"\")</f>
        <v/>
      </c>
      <c r="AA37" s="10" t="str">
        <f aca="false">IF(A37="","",A37&amp;"_CAD.dwg")</f>
        <v/>
      </c>
      <c r="AB37" s="10" t="str">
        <f aca="false">IF(A37="","",A37&amp;"_DWG.pdf")</f>
        <v/>
      </c>
      <c r="AC37" s="10" t="str">
        <f aca="false">IF(A37="","",IF(Y37="Y",A37&amp;"_STAAD.std","n/a"))</f>
        <v/>
      </c>
      <c r="AD37" s="10" t="str">
        <f aca="false">IF(A37="","",A37&amp;"_CALC.xlsx")</f>
        <v/>
      </c>
      <c r="AE37" s="10" t="str">
        <f aca="false">IF(A37="","",A37&amp;"_CALC.pdf")</f>
        <v/>
      </c>
      <c r="AF37" s="9"/>
      <c r="AG37" s="9"/>
      <c r="AH37" s="41"/>
      <c r="AI37" s="41"/>
      <c r="AJ37" s="41"/>
      <c r="AK37" s="41"/>
      <c r="AL37" s="41"/>
      <c r="AM37" s="37" t="str">
        <f aca="false">IF(OR(C37="",F37="",G37="",C37="Sump",C37="Drop Inlet Chamber",C37="Silt Trap",C37="Pipe Culvert",C37="Subsoil Drain"),"",ROUND(MAX(1,N(H37))*(1/SG_Criteria!$B$26)*((F37/1000)*(G37/1000*(1-SG_Criteria!$B$25)))*(((F37/1000)*(G37/1000*(1-SG_Criteria!$B$25)))/((F37/1000)+2*(G37/1000*(1-SG_Criteria!$B$25))))^(2/3)*(1/Design_Selector!$B$11)^0.5,3))</f>
        <v/>
      </c>
      <c r="AN37" s="11" t="str">
        <f aca="false">IF(AM37="","",ROUND(AM37/(MAX(1,N(H37))*F37/1000*(G37/1000*(1-SG_Criteria!$B$25))),2))</f>
        <v/>
      </c>
      <c r="AO37" s="38" t="str">
        <f aca="false">IF(C37="","",IF(LEN(IF(AND(OR(D37="Roadside drain",D37="Entrance culvert"),OR(F37&lt;SG_Criteria!$B$15,G37&lt;SG_Criteria!$B$16)),"FAIL: below PUB min "&amp;SG_Criteria!$B$15&amp;"x"&amp;SG_Criteria!$B$16&amp;" for roadside drain. ","")&amp;IF(AND(D37="Common drain",F37&lt;SG_Criteria!$B$17),"FAIL: common drain W &lt; "&amp;SG_Criteria!$B$17&amp;" mm. ","")&amp;IF(AND(N37&lt;&gt;"",IFERROR(VALUE(MID(N37,2,2)),0)&lt;SG_Criteria!$B$19),"FAIL: grade below C"&amp;SG_Criteria!$B$19&amp;". ","")&amp;IF(AND(O37&lt;&gt;"",O37&lt;SG_Criteria!$B$20),"FAIL: cover &lt; "&amp;SG_Criteria!$B$20&amp;" mm. ","")&amp;IF(AND(E37="Open",G37&gt;SG_Criteria!$B$18),"NOTE: safety railing required (D &gt; "&amp;SG_Criteria!$B$18&amp;" mm). ","")&amp;IF(AND(D37="Entrance culvert",G37&lt;600),"NOTE: check hinged grating rule for culverts &lt; 600 deep (PUB Add. 3). ",""))=0,"OK",IF(AND(OR(D37="Roadside drain",D37="Entrance culvert"),OR(F37&lt;SG_Criteria!$B$15,G37&lt;SG_Criteria!$B$16)),"FAIL: below PUB min "&amp;SG_Criteria!$B$15&amp;"x"&amp;SG_Criteria!$B$16&amp;" for roadside drain. ","")&amp;IF(AND(D37="Common drain",F37&lt;SG_Criteria!$B$17),"FAIL: common drain W &lt; "&amp;SG_Criteria!$B$17&amp;" mm. ","")&amp;IF(AND(N37&lt;&gt;"",IFERROR(VALUE(MID(N37,2,2)),0)&lt;SG_Criteria!$B$19),"FAIL: grade below C"&amp;SG_Criteria!$B$19&amp;". ","")&amp;IF(AND(O37&lt;&gt;"",O37&lt;SG_Criteria!$B$20),"FAIL: cover &lt; "&amp;SG_Criteria!$B$20&amp;" mm. ","")&amp;IF(AND(E37="Open",G37&gt;SG_Criteria!$B$18),"NOTE: safety railing required (D &gt; "&amp;SG_Criteria!$B$18&amp;" mm). ","")&amp;IF(AND(D37="Entrance culvert",G37&lt;600),"NOTE: check hinged grating rule for culverts &lt; 600 deep (PUB Add. 3). ","")))</f>
        <v/>
      </c>
      <c r="AP37" s="9"/>
      <c r="AQ37" s="9"/>
      <c r="AR37" s="9"/>
      <c r="AS37" s="9"/>
      <c r="AT37" s="9"/>
      <c r="AU37" s="31"/>
      <c r="AV37" s="10" t="str">
        <f aca="false">IF(C37="","",IF(AND(V37="Approved",ISERROR(SEARCH("FAIL",AO37))),"Y","N"))</f>
        <v/>
      </c>
      <c r="AW37" s="10" t="str">
        <f aca="false">IF(C37="","",C37&amp;"|"&amp;F37&amp;"|"&amp;G37&amp;"|"&amp;L37&amp;"|"&amp;AV37)</f>
        <v/>
      </c>
    </row>
    <row r="38" customFormat="false" ht="15" hidden="false" customHeight="false" outlineLevel="0" collapsed="false">
      <c r="A38" s="10" t="str">
        <f aca="false">IF(C38="","","DRN-"&amp;IFERROR(VLOOKUP(C38,Lists!$A$4:$B$27,2,0),"??")&amp;"-"&amp;TEXT(F38,"0000")&amp;"x"&amp;TEXT(G38,"0000")&amp;IF(N(H38)&gt;1,"-"&amp;H38&amp;"C","")&amp;"-"&amp;IFERROR(VLOOKUP(L38,Lists!$J$4:$K$19,2,0),"??")&amp;"-"&amp;U38)</f>
        <v/>
      </c>
      <c r="B38" s="10" t="str">
        <f aca="false">IF(C38="","",C38&amp;" "&amp;F38&amp;"W x "&amp;G38&amp;"D"&amp;IF(N(H38)&gt;1," ("&amp;H38&amp;" cells)","")&amp;", "&amp;D38&amp;", "&amp;L38&amp;", "&amp;E38)</f>
        <v/>
      </c>
      <c r="C38" s="9"/>
      <c r="D38" s="9"/>
      <c r="E38" s="9"/>
      <c r="F38" s="40"/>
      <c r="G38" s="40"/>
      <c r="H38" s="40"/>
      <c r="I38" s="40"/>
      <c r="J38" s="40"/>
      <c r="K38" s="40"/>
      <c r="L38" s="9"/>
      <c r="M38" s="9"/>
      <c r="N38" s="9"/>
      <c r="O38" s="40"/>
      <c r="P38" s="9"/>
      <c r="Q38" s="9"/>
      <c r="R38" s="9"/>
      <c r="S38" s="9"/>
      <c r="T38" s="9"/>
      <c r="U38" s="9"/>
      <c r="V38" s="9"/>
      <c r="W38" s="9"/>
      <c r="X38" s="9"/>
      <c r="Y38" s="9"/>
      <c r="Z38" s="10" t="str">
        <f aca="false">IF(A38="","",SG_Criteria!$B$6&amp;SG_Criteria!$B$7&amp;"\"&amp;A38&amp;"\")</f>
        <v/>
      </c>
      <c r="AA38" s="10" t="str">
        <f aca="false">IF(A38="","",A38&amp;"_CAD.dwg")</f>
        <v/>
      </c>
      <c r="AB38" s="10" t="str">
        <f aca="false">IF(A38="","",A38&amp;"_DWG.pdf")</f>
        <v/>
      </c>
      <c r="AC38" s="10" t="str">
        <f aca="false">IF(A38="","",IF(Y38="Y",A38&amp;"_STAAD.std","n/a"))</f>
        <v/>
      </c>
      <c r="AD38" s="10" t="str">
        <f aca="false">IF(A38="","",A38&amp;"_CALC.xlsx")</f>
        <v/>
      </c>
      <c r="AE38" s="10" t="str">
        <f aca="false">IF(A38="","",A38&amp;"_CALC.pdf")</f>
        <v/>
      </c>
      <c r="AF38" s="9"/>
      <c r="AG38" s="9"/>
      <c r="AH38" s="41"/>
      <c r="AI38" s="41"/>
      <c r="AJ38" s="41"/>
      <c r="AK38" s="41"/>
      <c r="AL38" s="41"/>
      <c r="AM38" s="37" t="str">
        <f aca="false">IF(OR(C38="",F38="",G38="",C38="Sump",C38="Drop Inlet Chamber",C38="Silt Trap",C38="Pipe Culvert",C38="Subsoil Drain"),"",ROUND(MAX(1,N(H38))*(1/SG_Criteria!$B$26)*((F38/1000)*(G38/1000*(1-SG_Criteria!$B$25)))*(((F38/1000)*(G38/1000*(1-SG_Criteria!$B$25)))/((F38/1000)+2*(G38/1000*(1-SG_Criteria!$B$25))))^(2/3)*(1/Design_Selector!$B$11)^0.5,3))</f>
        <v/>
      </c>
      <c r="AN38" s="11" t="str">
        <f aca="false">IF(AM38="","",ROUND(AM38/(MAX(1,N(H38))*F38/1000*(G38/1000*(1-SG_Criteria!$B$25))),2))</f>
        <v/>
      </c>
      <c r="AO38" s="38" t="str">
        <f aca="false">IF(C38="","",IF(LEN(IF(AND(OR(D38="Roadside drain",D38="Entrance culvert"),OR(F38&lt;SG_Criteria!$B$15,G38&lt;SG_Criteria!$B$16)),"FAIL: below PUB min "&amp;SG_Criteria!$B$15&amp;"x"&amp;SG_Criteria!$B$16&amp;" for roadside drain. ","")&amp;IF(AND(D38="Common drain",F38&lt;SG_Criteria!$B$17),"FAIL: common drain W &lt; "&amp;SG_Criteria!$B$17&amp;" mm. ","")&amp;IF(AND(N38&lt;&gt;"",IFERROR(VALUE(MID(N38,2,2)),0)&lt;SG_Criteria!$B$19),"FAIL: grade below C"&amp;SG_Criteria!$B$19&amp;". ","")&amp;IF(AND(O38&lt;&gt;"",O38&lt;SG_Criteria!$B$20),"FAIL: cover &lt; "&amp;SG_Criteria!$B$20&amp;" mm. ","")&amp;IF(AND(E38="Open",G38&gt;SG_Criteria!$B$18),"NOTE: safety railing required (D &gt; "&amp;SG_Criteria!$B$18&amp;" mm). ","")&amp;IF(AND(D38="Entrance culvert",G38&lt;600),"NOTE: check hinged grating rule for culverts &lt; 600 deep (PUB Add. 3). ",""))=0,"OK",IF(AND(OR(D38="Roadside drain",D38="Entrance culvert"),OR(F38&lt;SG_Criteria!$B$15,G38&lt;SG_Criteria!$B$16)),"FAIL: below PUB min "&amp;SG_Criteria!$B$15&amp;"x"&amp;SG_Criteria!$B$16&amp;" for roadside drain. ","")&amp;IF(AND(D38="Common drain",F38&lt;SG_Criteria!$B$17),"FAIL: common drain W &lt; "&amp;SG_Criteria!$B$17&amp;" mm. ","")&amp;IF(AND(N38&lt;&gt;"",IFERROR(VALUE(MID(N38,2,2)),0)&lt;SG_Criteria!$B$19),"FAIL: grade below C"&amp;SG_Criteria!$B$19&amp;". ","")&amp;IF(AND(O38&lt;&gt;"",O38&lt;SG_Criteria!$B$20),"FAIL: cover &lt; "&amp;SG_Criteria!$B$20&amp;" mm. ","")&amp;IF(AND(E38="Open",G38&gt;SG_Criteria!$B$18),"NOTE: safety railing required (D &gt; "&amp;SG_Criteria!$B$18&amp;" mm). ","")&amp;IF(AND(D38="Entrance culvert",G38&lt;600),"NOTE: check hinged grating rule for culverts &lt; 600 deep (PUB Add. 3). ","")))</f>
        <v/>
      </c>
      <c r="AP38" s="9"/>
      <c r="AQ38" s="9"/>
      <c r="AR38" s="9"/>
      <c r="AS38" s="9"/>
      <c r="AT38" s="9"/>
      <c r="AU38" s="31"/>
      <c r="AV38" s="10" t="str">
        <f aca="false">IF(C38="","",IF(AND(V38="Approved",ISERROR(SEARCH("FAIL",AO38))),"Y","N"))</f>
        <v/>
      </c>
      <c r="AW38" s="10" t="str">
        <f aca="false">IF(C38="","",C38&amp;"|"&amp;F38&amp;"|"&amp;G38&amp;"|"&amp;L38&amp;"|"&amp;AV38)</f>
        <v/>
      </c>
    </row>
    <row r="39" customFormat="false" ht="15" hidden="false" customHeight="false" outlineLevel="0" collapsed="false">
      <c r="A39" s="10" t="str">
        <f aca="false">IF(C39="","","DRN-"&amp;IFERROR(VLOOKUP(C39,Lists!$A$4:$B$27,2,0),"??")&amp;"-"&amp;TEXT(F39,"0000")&amp;"x"&amp;TEXT(G39,"0000")&amp;IF(N(H39)&gt;1,"-"&amp;H39&amp;"C","")&amp;"-"&amp;IFERROR(VLOOKUP(L39,Lists!$J$4:$K$19,2,0),"??")&amp;"-"&amp;U39)</f>
        <v/>
      </c>
      <c r="B39" s="10" t="str">
        <f aca="false">IF(C39="","",C39&amp;" "&amp;F39&amp;"W x "&amp;G39&amp;"D"&amp;IF(N(H39)&gt;1," ("&amp;H39&amp;" cells)","")&amp;", "&amp;D39&amp;", "&amp;L39&amp;", "&amp;E39)</f>
        <v/>
      </c>
      <c r="C39" s="9"/>
      <c r="D39" s="9"/>
      <c r="E39" s="9"/>
      <c r="F39" s="40"/>
      <c r="G39" s="40"/>
      <c r="H39" s="40"/>
      <c r="I39" s="40"/>
      <c r="J39" s="40"/>
      <c r="K39" s="40"/>
      <c r="L39" s="9"/>
      <c r="M39" s="9"/>
      <c r="N39" s="9"/>
      <c r="O39" s="40"/>
      <c r="P39" s="9"/>
      <c r="Q39" s="9"/>
      <c r="R39" s="9"/>
      <c r="S39" s="9"/>
      <c r="T39" s="9"/>
      <c r="U39" s="9"/>
      <c r="V39" s="9"/>
      <c r="W39" s="9"/>
      <c r="X39" s="9"/>
      <c r="Y39" s="9"/>
      <c r="Z39" s="10" t="str">
        <f aca="false">IF(A39="","",SG_Criteria!$B$6&amp;SG_Criteria!$B$7&amp;"\"&amp;A39&amp;"\")</f>
        <v/>
      </c>
      <c r="AA39" s="10" t="str">
        <f aca="false">IF(A39="","",A39&amp;"_CAD.dwg")</f>
        <v/>
      </c>
      <c r="AB39" s="10" t="str">
        <f aca="false">IF(A39="","",A39&amp;"_DWG.pdf")</f>
        <v/>
      </c>
      <c r="AC39" s="10" t="str">
        <f aca="false">IF(A39="","",IF(Y39="Y",A39&amp;"_STAAD.std","n/a"))</f>
        <v/>
      </c>
      <c r="AD39" s="10" t="str">
        <f aca="false">IF(A39="","",A39&amp;"_CALC.xlsx")</f>
        <v/>
      </c>
      <c r="AE39" s="10" t="str">
        <f aca="false">IF(A39="","",A39&amp;"_CALC.pdf")</f>
        <v/>
      </c>
      <c r="AF39" s="9"/>
      <c r="AG39" s="9"/>
      <c r="AH39" s="41"/>
      <c r="AI39" s="41"/>
      <c r="AJ39" s="41"/>
      <c r="AK39" s="41"/>
      <c r="AL39" s="41"/>
      <c r="AM39" s="37" t="str">
        <f aca="false">IF(OR(C39="",F39="",G39="",C39="Sump",C39="Drop Inlet Chamber",C39="Silt Trap",C39="Pipe Culvert",C39="Subsoil Drain"),"",ROUND(MAX(1,N(H39))*(1/SG_Criteria!$B$26)*((F39/1000)*(G39/1000*(1-SG_Criteria!$B$25)))*(((F39/1000)*(G39/1000*(1-SG_Criteria!$B$25)))/((F39/1000)+2*(G39/1000*(1-SG_Criteria!$B$25))))^(2/3)*(1/Design_Selector!$B$11)^0.5,3))</f>
        <v/>
      </c>
      <c r="AN39" s="11" t="str">
        <f aca="false">IF(AM39="","",ROUND(AM39/(MAX(1,N(H39))*F39/1000*(G39/1000*(1-SG_Criteria!$B$25))),2))</f>
        <v/>
      </c>
      <c r="AO39" s="38" t="str">
        <f aca="false">IF(C39="","",IF(LEN(IF(AND(OR(D39="Roadside drain",D39="Entrance culvert"),OR(F39&lt;SG_Criteria!$B$15,G39&lt;SG_Criteria!$B$16)),"FAIL: below PUB min "&amp;SG_Criteria!$B$15&amp;"x"&amp;SG_Criteria!$B$16&amp;" for roadside drain. ","")&amp;IF(AND(D39="Common drain",F39&lt;SG_Criteria!$B$17),"FAIL: common drain W &lt; "&amp;SG_Criteria!$B$17&amp;" mm. ","")&amp;IF(AND(N39&lt;&gt;"",IFERROR(VALUE(MID(N39,2,2)),0)&lt;SG_Criteria!$B$19),"FAIL: grade below C"&amp;SG_Criteria!$B$19&amp;". ","")&amp;IF(AND(O39&lt;&gt;"",O39&lt;SG_Criteria!$B$20),"FAIL: cover &lt; "&amp;SG_Criteria!$B$20&amp;" mm. ","")&amp;IF(AND(E39="Open",G39&gt;SG_Criteria!$B$18),"NOTE: safety railing required (D &gt; "&amp;SG_Criteria!$B$18&amp;" mm). ","")&amp;IF(AND(D39="Entrance culvert",G39&lt;600),"NOTE: check hinged grating rule for culverts &lt; 600 deep (PUB Add. 3). ",""))=0,"OK",IF(AND(OR(D39="Roadside drain",D39="Entrance culvert"),OR(F39&lt;SG_Criteria!$B$15,G39&lt;SG_Criteria!$B$16)),"FAIL: below PUB min "&amp;SG_Criteria!$B$15&amp;"x"&amp;SG_Criteria!$B$16&amp;" for roadside drain. ","")&amp;IF(AND(D39="Common drain",F39&lt;SG_Criteria!$B$17),"FAIL: common drain W &lt; "&amp;SG_Criteria!$B$17&amp;" mm. ","")&amp;IF(AND(N39&lt;&gt;"",IFERROR(VALUE(MID(N39,2,2)),0)&lt;SG_Criteria!$B$19),"FAIL: grade below C"&amp;SG_Criteria!$B$19&amp;". ","")&amp;IF(AND(O39&lt;&gt;"",O39&lt;SG_Criteria!$B$20),"FAIL: cover &lt; "&amp;SG_Criteria!$B$20&amp;" mm. ","")&amp;IF(AND(E39="Open",G39&gt;SG_Criteria!$B$18),"NOTE: safety railing required (D &gt; "&amp;SG_Criteria!$B$18&amp;" mm). ","")&amp;IF(AND(D39="Entrance culvert",G39&lt;600),"NOTE: check hinged grating rule for culverts &lt; 600 deep (PUB Add. 3). ","")))</f>
        <v/>
      </c>
      <c r="AP39" s="9"/>
      <c r="AQ39" s="9"/>
      <c r="AR39" s="9"/>
      <c r="AS39" s="9"/>
      <c r="AT39" s="9"/>
      <c r="AU39" s="31"/>
      <c r="AV39" s="10" t="str">
        <f aca="false">IF(C39="","",IF(AND(V39="Approved",ISERROR(SEARCH("FAIL",AO39))),"Y","N"))</f>
        <v/>
      </c>
      <c r="AW39" s="10" t="str">
        <f aca="false">IF(C39="","",C39&amp;"|"&amp;F39&amp;"|"&amp;G39&amp;"|"&amp;L39&amp;"|"&amp;AV39)</f>
        <v/>
      </c>
    </row>
    <row r="40" customFormat="false" ht="15" hidden="false" customHeight="false" outlineLevel="0" collapsed="false">
      <c r="A40" s="10" t="str">
        <f aca="false">IF(C40="","","DRN-"&amp;IFERROR(VLOOKUP(C40,Lists!$A$4:$B$27,2,0),"??")&amp;"-"&amp;TEXT(F40,"0000")&amp;"x"&amp;TEXT(G40,"0000")&amp;IF(N(H40)&gt;1,"-"&amp;H40&amp;"C","")&amp;"-"&amp;IFERROR(VLOOKUP(L40,Lists!$J$4:$K$19,2,0),"??")&amp;"-"&amp;U40)</f>
        <v/>
      </c>
      <c r="B40" s="10" t="str">
        <f aca="false">IF(C40="","",C40&amp;" "&amp;F40&amp;"W x "&amp;G40&amp;"D"&amp;IF(N(H40)&gt;1," ("&amp;H40&amp;" cells)","")&amp;", "&amp;D40&amp;", "&amp;L40&amp;", "&amp;E40)</f>
        <v/>
      </c>
      <c r="C40" s="9"/>
      <c r="D40" s="9"/>
      <c r="E40" s="9"/>
      <c r="F40" s="40"/>
      <c r="G40" s="40"/>
      <c r="H40" s="40"/>
      <c r="I40" s="40"/>
      <c r="J40" s="40"/>
      <c r="K40" s="40"/>
      <c r="L40" s="9"/>
      <c r="M40" s="9"/>
      <c r="N40" s="9"/>
      <c r="O40" s="40"/>
      <c r="P40" s="9"/>
      <c r="Q40" s="9"/>
      <c r="R40" s="9"/>
      <c r="S40" s="9"/>
      <c r="T40" s="9"/>
      <c r="U40" s="9"/>
      <c r="V40" s="9"/>
      <c r="W40" s="9"/>
      <c r="X40" s="9"/>
      <c r="Y40" s="9"/>
      <c r="Z40" s="10" t="str">
        <f aca="false">IF(A40="","",SG_Criteria!$B$6&amp;SG_Criteria!$B$7&amp;"\"&amp;A40&amp;"\")</f>
        <v/>
      </c>
      <c r="AA40" s="10" t="str">
        <f aca="false">IF(A40="","",A40&amp;"_CAD.dwg")</f>
        <v/>
      </c>
      <c r="AB40" s="10" t="str">
        <f aca="false">IF(A40="","",A40&amp;"_DWG.pdf")</f>
        <v/>
      </c>
      <c r="AC40" s="10" t="str">
        <f aca="false">IF(A40="","",IF(Y40="Y",A40&amp;"_STAAD.std","n/a"))</f>
        <v/>
      </c>
      <c r="AD40" s="10" t="str">
        <f aca="false">IF(A40="","",A40&amp;"_CALC.xlsx")</f>
        <v/>
      </c>
      <c r="AE40" s="10" t="str">
        <f aca="false">IF(A40="","",A40&amp;"_CALC.pdf")</f>
        <v/>
      </c>
      <c r="AF40" s="9"/>
      <c r="AG40" s="9"/>
      <c r="AH40" s="41"/>
      <c r="AI40" s="41"/>
      <c r="AJ40" s="41"/>
      <c r="AK40" s="41"/>
      <c r="AL40" s="41"/>
      <c r="AM40" s="37" t="str">
        <f aca="false">IF(OR(C40="",F40="",G40="",C40="Sump",C40="Drop Inlet Chamber",C40="Silt Trap",C40="Pipe Culvert",C40="Subsoil Drain"),"",ROUND(MAX(1,N(H40))*(1/SG_Criteria!$B$26)*((F40/1000)*(G40/1000*(1-SG_Criteria!$B$25)))*(((F40/1000)*(G40/1000*(1-SG_Criteria!$B$25)))/((F40/1000)+2*(G40/1000*(1-SG_Criteria!$B$25))))^(2/3)*(1/Design_Selector!$B$11)^0.5,3))</f>
        <v/>
      </c>
      <c r="AN40" s="11" t="str">
        <f aca="false">IF(AM40="","",ROUND(AM40/(MAX(1,N(H40))*F40/1000*(G40/1000*(1-SG_Criteria!$B$25))),2))</f>
        <v/>
      </c>
      <c r="AO40" s="38" t="str">
        <f aca="false">IF(C40="","",IF(LEN(IF(AND(OR(D40="Roadside drain",D40="Entrance culvert"),OR(F40&lt;SG_Criteria!$B$15,G40&lt;SG_Criteria!$B$16)),"FAIL: below PUB min "&amp;SG_Criteria!$B$15&amp;"x"&amp;SG_Criteria!$B$16&amp;" for roadside drain. ","")&amp;IF(AND(D40="Common drain",F40&lt;SG_Criteria!$B$17),"FAIL: common drain W &lt; "&amp;SG_Criteria!$B$17&amp;" mm. ","")&amp;IF(AND(N40&lt;&gt;"",IFERROR(VALUE(MID(N40,2,2)),0)&lt;SG_Criteria!$B$19),"FAIL: grade below C"&amp;SG_Criteria!$B$19&amp;". ","")&amp;IF(AND(O40&lt;&gt;"",O40&lt;SG_Criteria!$B$20),"FAIL: cover &lt; "&amp;SG_Criteria!$B$20&amp;" mm. ","")&amp;IF(AND(E40="Open",G40&gt;SG_Criteria!$B$18),"NOTE: safety railing required (D &gt; "&amp;SG_Criteria!$B$18&amp;" mm). ","")&amp;IF(AND(D40="Entrance culvert",G40&lt;600),"NOTE: check hinged grating rule for culverts &lt; 600 deep (PUB Add. 3). ",""))=0,"OK",IF(AND(OR(D40="Roadside drain",D40="Entrance culvert"),OR(F40&lt;SG_Criteria!$B$15,G40&lt;SG_Criteria!$B$16)),"FAIL: below PUB min "&amp;SG_Criteria!$B$15&amp;"x"&amp;SG_Criteria!$B$16&amp;" for roadside drain. ","")&amp;IF(AND(D40="Common drain",F40&lt;SG_Criteria!$B$17),"FAIL: common drain W &lt; "&amp;SG_Criteria!$B$17&amp;" mm. ","")&amp;IF(AND(N40&lt;&gt;"",IFERROR(VALUE(MID(N40,2,2)),0)&lt;SG_Criteria!$B$19),"FAIL: grade below C"&amp;SG_Criteria!$B$19&amp;". ","")&amp;IF(AND(O40&lt;&gt;"",O40&lt;SG_Criteria!$B$20),"FAIL: cover &lt; "&amp;SG_Criteria!$B$20&amp;" mm. ","")&amp;IF(AND(E40="Open",G40&gt;SG_Criteria!$B$18),"NOTE: safety railing required (D &gt; "&amp;SG_Criteria!$B$18&amp;" mm). ","")&amp;IF(AND(D40="Entrance culvert",G40&lt;600),"NOTE: check hinged grating rule for culverts &lt; 600 deep (PUB Add. 3). ","")))</f>
        <v/>
      </c>
      <c r="AP40" s="9"/>
      <c r="AQ40" s="9"/>
      <c r="AR40" s="9"/>
      <c r="AS40" s="9"/>
      <c r="AT40" s="9"/>
      <c r="AU40" s="31"/>
      <c r="AV40" s="10" t="str">
        <f aca="false">IF(C40="","",IF(AND(V40="Approved",ISERROR(SEARCH("FAIL",AO40))),"Y","N"))</f>
        <v/>
      </c>
      <c r="AW40" s="10" t="str">
        <f aca="false">IF(C40="","",C40&amp;"|"&amp;F40&amp;"|"&amp;G40&amp;"|"&amp;L40&amp;"|"&amp;AV40)</f>
        <v/>
      </c>
    </row>
    <row r="41" customFormat="false" ht="15" hidden="false" customHeight="false" outlineLevel="0" collapsed="false">
      <c r="A41" s="10" t="str">
        <f aca="false">IF(C41="","","DRN-"&amp;IFERROR(VLOOKUP(C41,Lists!$A$4:$B$27,2,0),"??")&amp;"-"&amp;TEXT(F41,"0000")&amp;"x"&amp;TEXT(G41,"0000")&amp;IF(N(H41)&gt;1,"-"&amp;H41&amp;"C","")&amp;"-"&amp;IFERROR(VLOOKUP(L41,Lists!$J$4:$K$19,2,0),"??")&amp;"-"&amp;U41)</f>
        <v/>
      </c>
      <c r="B41" s="10" t="str">
        <f aca="false">IF(C41="","",C41&amp;" "&amp;F41&amp;"W x "&amp;G41&amp;"D"&amp;IF(N(H41)&gt;1," ("&amp;H41&amp;" cells)","")&amp;", "&amp;D41&amp;", "&amp;L41&amp;", "&amp;E41)</f>
        <v/>
      </c>
      <c r="C41" s="9"/>
      <c r="D41" s="9"/>
      <c r="E41" s="9"/>
      <c r="F41" s="40"/>
      <c r="G41" s="40"/>
      <c r="H41" s="40"/>
      <c r="I41" s="40"/>
      <c r="J41" s="40"/>
      <c r="K41" s="40"/>
      <c r="L41" s="9"/>
      <c r="M41" s="9"/>
      <c r="N41" s="9"/>
      <c r="O41" s="40"/>
      <c r="P41" s="9"/>
      <c r="Q41" s="9"/>
      <c r="R41" s="9"/>
      <c r="S41" s="9"/>
      <c r="T41" s="9"/>
      <c r="U41" s="9"/>
      <c r="V41" s="9"/>
      <c r="W41" s="9"/>
      <c r="X41" s="9"/>
      <c r="Y41" s="9"/>
      <c r="Z41" s="10" t="str">
        <f aca="false">IF(A41="","",SG_Criteria!$B$6&amp;SG_Criteria!$B$7&amp;"\"&amp;A41&amp;"\")</f>
        <v/>
      </c>
      <c r="AA41" s="10" t="str">
        <f aca="false">IF(A41="","",A41&amp;"_CAD.dwg")</f>
        <v/>
      </c>
      <c r="AB41" s="10" t="str">
        <f aca="false">IF(A41="","",A41&amp;"_DWG.pdf")</f>
        <v/>
      </c>
      <c r="AC41" s="10" t="str">
        <f aca="false">IF(A41="","",IF(Y41="Y",A41&amp;"_STAAD.std","n/a"))</f>
        <v/>
      </c>
      <c r="AD41" s="10" t="str">
        <f aca="false">IF(A41="","",A41&amp;"_CALC.xlsx")</f>
        <v/>
      </c>
      <c r="AE41" s="10" t="str">
        <f aca="false">IF(A41="","",A41&amp;"_CALC.pdf")</f>
        <v/>
      </c>
      <c r="AF41" s="9"/>
      <c r="AG41" s="9"/>
      <c r="AH41" s="41"/>
      <c r="AI41" s="41"/>
      <c r="AJ41" s="41"/>
      <c r="AK41" s="41"/>
      <c r="AL41" s="41"/>
      <c r="AM41" s="37" t="str">
        <f aca="false">IF(OR(C41="",F41="",G41="",C41="Sump",C41="Drop Inlet Chamber",C41="Silt Trap",C41="Pipe Culvert",C41="Subsoil Drain"),"",ROUND(MAX(1,N(H41))*(1/SG_Criteria!$B$26)*((F41/1000)*(G41/1000*(1-SG_Criteria!$B$25)))*(((F41/1000)*(G41/1000*(1-SG_Criteria!$B$25)))/((F41/1000)+2*(G41/1000*(1-SG_Criteria!$B$25))))^(2/3)*(1/Design_Selector!$B$11)^0.5,3))</f>
        <v/>
      </c>
      <c r="AN41" s="11" t="str">
        <f aca="false">IF(AM41="","",ROUND(AM41/(MAX(1,N(H41))*F41/1000*(G41/1000*(1-SG_Criteria!$B$25))),2))</f>
        <v/>
      </c>
      <c r="AO41" s="38" t="str">
        <f aca="false">IF(C41="","",IF(LEN(IF(AND(OR(D41="Roadside drain",D41="Entrance culvert"),OR(F41&lt;SG_Criteria!$B$15,G41&lt;SG_Criteria!$B$16)),"FAIL: below PUB min "&amp;SG_Criteria!$B$15&amp;"x"&amp;SG_Criteria!$B$16&amp;" for roadside drain. ","")&amp;IF(AND(D41="Common drain",F41&lt;SG_Criteria!$B$17),"FAIL: common drain W &lt; "&amp;SG_Criteria!$B$17&amp;" mm. ","")&amp;IF(AND(N41&lt;&gt;"",IFERROR(VALUE(MID(N41,2,2)),0)&lt;SG_Criteria!$B$19),"FAIL: grade below C"&amp;SG_Criteria!$B$19&amp;". ","")&amp;IF(AND(O41&lt;&gt;"",O41&lt;SG_Criteria!$B$20),"FAIL: cover &lt; "&amp;SG_Criteria!$B$20&amp;" mm. ","")&amp;IF(AND(E41="Open",G41&gt;SG_Criteria!$B$18),"NOTE: safety railing required (D &gt; "&amp;SG_Criteria!$B$18&amp;" mm). ","")&amp;IF(AND(D41="Entrance culvert",G41&lt;600),"NOTE: check hinged grating rule for culverts &lt; 600 deep (PUB Add. 3). ",""))=0,"OK",IF(AND(OR(D41="Roadside drain",D41="Entrance culvert"),OR(F41&lt;SG_Criteria!$B$15,G41&lt;SG_Criteria!$B$16)),"FAIL: below PUB min "&amp;SG_Criteria!$B$15&amp;"x"&amp;SG_Criteria!$B$16&amp;" for roadside drain. ","")&amp;IF(AND(D41="Common drain",F41&lt;SG_Criteria!$B$17),"FAIL: common drain W &lt; "&amp;SG_Criteria!$B$17&amp;" mm. ","")&amp;IF(AND(N41&lt;&gt;"",IFERROR(VALUE(MID(N41,2,2)),0)&lt;SG_Criteria!$B$19),"FAIL: grade below C"&amp;SG_Criteria!$B$19&amp;". ","")&amp;IF(AND(O41&lt;&gt;"",O41&lt;SG_Criteria!$B$20),"FAIL: cover &lt; "&amp;SG_Criteria!$B$20&amp;" mm. ","")&amp;IF(AND(E41="Open",G41&gt;SG_Criteria!$B$18),"NOTE: safety railing required (D &gt; "&amp;SG_Criteria!$B$18&amp;" mm). ","")&amp;IF(AND(D41="Entrance culvert",G41&lt;600),"NOTE: check hinged grating rule for culverts &lt; 600 deep (PUB Add. 3). ","")))</f>
        <v/>
      </c>
      <c r="AP41" s="9"/>
      <c r="AQ41" s="9"/>
      <c r="AR41" s="9"/>
      <c r="AS41" s="9"/>
      <c r="AT41" s="9"/>
      <c r="AU41" s="31"/>
      <c r="AV41" s="10" t="str">
        <f aca="false">IF(C41="","",IF(AND(V41="Approved",ISERROR(SEARCH("FAIL",AO41))),"Y","N"))</f>
        <v/>
      </c>
      <c r="AW41" s="10" t="str">
        <f aca="false">IF(C41="","",C41&amp;"|"&amp;F41&amp;"|"&amp;G41&amp;"|"&amp;L41&amp;"|"&amp;AV41)</f>
        <v/>
      </c>
    </row>
    <row r="42" customFormat="false" ht="15" hidden="false" customHeight="false" outlineLevel="0" collapsed="false">
      <c r="A42" s="10" t="str">
        <f aca="false">IF(C42="","","DRN-"&amp;IFERROR(VLOOKUP(C42,Lists!$A$4:$B$27,2,0),"??")&amp;"-"&amp;TEXT(F42,"0000")&amp;"x"&amp;TEXT(G42,"0000")&amp;IF(N(H42)&gt;1,"-"&amp;H42&amp;"C","")&amp;"-"&amp;IFERROR(VLOOKUP(L42,Lists!$J$4:$K$19,2,0),"??")&amp;"-"&amp;U42)</f>
        <v/>
      </c>
      <c r="B42" s="10" t="str">
        <f aca="false">IF(C42="","",C42&amp;" "&amp;F42&amp;"W x "&amp;G42&amp;"D"&amp;IF(N(H42)&gt;1," ("&amp;H42&amp;" cells)","")&amp;", "&amp;D42&amp;", "&amp;L42&amp;", "&amp;E42)</f>
        <v/>
      </c>
      <c r="C42" s="9"/>
      <c r="D42" s="9"/>
      <c r="E42" s="9"/>
      <c r="F42" s="40"/>
      <c r="G42" s="40"/>
      <c r="H42" s="40"/>
      <c r="I42" s="40"/>
      <c r="J42" s="40"/>
      <c r="K42" s="40"/>
      <c r="L42" s="9"/>
      <c r="M42" s="9"/>
      <c r="N42" s="9"/>
      <c r="O42" s="40"/>
      <c r="P42" s="9"/>
      <c r="Q42" s="9"/>
      <c r="R42" s="9"/>
      <c r="S42" s="9"/>
      <c r="T42" s="9"/>
      <c r="U42" s="9"/>
      <c r="V42" s="9"/>
      <c r="W42" s="9"/>
      <c r="X42" s="9"/>
      <c r="Y42" s="9"/>
      <c r="Z42" s="10" t="str">
        <f aca="false">IF(A42="","",SG_Criteria!$B$6&amp;SG_Criteria!$B$7&amp;"\"&amp;A42&amp;"\")</f>
        <v/>
      </c>
      <c r="AA42" s="10" t="str">
        <f aca="false">IF(A42="","",A42&amp;"_CAD.dwg")</f>
        <v/>
      </c>
      <c r="AB42" s="10" t="str">
        <f aca="false">IF(A42="","",A42&amp;"_DWG.pdf")</f>
        <v/>
      </c>
      <c r="AC42" s="10" t="str">
        <f aca="false">IF(A42="","",IF(Y42="Y",A42&amp;"_STAAD.std","n/a"))</f>
        <v/>
      </c>
      <c r="AD42" s="10" t="str">
        <f aca="false">IF(A42="","",A42&amp;"_CALC.xlsx")</f>
        <v/>
      </c>
      <c r="AE42" s="10" t="str">
        <f aca="false">IF(A42="","",A42&amp;"_CALC.pdf")</f>
        <v/>
      </c>
      <c r="AF42" s="9"/>
      <c r="AG42" s="9"/>
      <c r="AH42" s="41"/>
      <c r="AI42" s="41"/>
      <c r="AJ42" s="41"/>
      <c r="AK42" s="41"/>
      <c r="AL42" s="41"/>
      <c r="AM42" s="37" t="str">
        <f aca="false">IF(OR(C42="",F42="",G42="",C42="Sump",C42="Drop Inlet Chamber",C42="Silt Trap",C42="Pipe Culvert",C42="Subsoil Drain"),"",ROUND(MAX(1,N(H42))*(1/SG_Criteria!$B$26)*((F42/1000)*(G42/1000*(1-SG_Criteria!$B$25)))*(((F42/1000)*(G42/1000*(1-SG_Criteria!$B$25)))/((F42/1000)+2*(G42/1000*(1-SG_Criteria!$B$25))))^(2/3)*(1/Design_Selector!$B$11)^0.5,3))</f>
        <v/>
      </c>
      <c r="AN42" s="11" t="str">
        <f aca="false">IF(AM42="","",ROUND(AM42/(MAX(1,N(H42))*F42/1000*(G42/1000*(1-SG_Criteria!$B$25))),2))</f>
        <v/>
      </c>
      <c r="AO42" s="38" t="str">
        <f aca="false">IF(C42="","",IF(LEN(IF(AND(OR(D42="Roadside drain",D42="Entrance culvert"),OR(F42&lt;SG_Criteria!$B$15,G42&lt;SG_Criteria!$B$16)),"FAIL: below PUB min "&amp;SG_Criteria!$B$15&amp;"x"&amp;SG_Criteria!$B$16&amp;" for roadside drain. ","")&amp;IF(AND(D42="Common drain",F42&lt;SG_Criteria!$B$17),"FAIL: common drain W &lt; "&amp;SG_Criteria!$B$17&amp;" mm. ","")&amp;IF(AND(N42&lt;&gt;"",IFERROR(VALUE(MID(N42,2,2)),0)&lt;SG_Criteria!$B$19),"FAIL: grade below C"&amp;SG_Criteria!$B$19&amp;". ","")&amp;IF(AND(O42&lt;&gt;"",O42&lt;SG_Criteria!$B$20),"FAIL: cover &lt; "&amp;SG_Criteria!$B$20&amp;" mm. ","")&amp;IF(AND(E42="Open",G42&gt;SG_Criteria!$B$18),"NOTE: safety railing required (D &gt; "&amp;SG_Criteria!$B$18&amp;" mm). ","")&amp;IF(AND(D42="Entrance culvert",G42&lt;600),"NOTE: check hinged grating rule for culverts &lt; 600 deep (PUB Add. 3). ",""))=0,"OK",IF(AND(OR(D42="Roadside drain",D42="Entrance culvert"),OR(F42&lt;SG_Criteria!$B$15,G42&lt;SG_Criteria!$B$16)),"FAIL: below PUB min "&amp;SG_Criteria!$B$15&amp;"x"&amp;SG_Criteria!$B$16&amp;" for roadside drain. ","")&amp;IF(AND(D42="Common drain",F42&lt;SG_Criteria!$B$17),"FAIL: common drain W &lt; "&amp;SG_Criteria!$B$17&amp;" mm. ","")&amp;IF(AND(N42&lt;&gt;"",IFERROR(VALUE(MID(N42,2,2)),0)&lt;SG_Criteria!$B$19),"FAIL: grade below C"&amp;SG_Criteria!$B$19&amp;". ","")&amp;IF(AND(O42&lt;&gt;"",O42&lt;SG_Criteria!$B$20),"FAIL: cover &lt; "&amp;SG_Criteria!$B$20&amp;" mm. ","")&amp;IF(AND(E42="Open",G42&gt;SG_Criteria!$B$18),"NOTE: safety railing required (D &gt; "&amp;SG_Criteria!$B$18&amp;" mm). ","")&amp;IF(AND(D42="Entrance culvert",G42&lt;600),"NOTE: check hinged grating rule for culverts &lt; 600 deep (PUB Add. 3). ","")))</f>
        <v/>
      </c>
      <c r="AP42" s="9"/>
      <c r="AQ42" s="9"/>
      <c r="AR42" s="9"/>
      <c r="AS42" s="9"/>
      <c r="AT42" s="9"/>
      <c r="AU42" s="31"/>
      <c r="AV42" s="10" t="str">
        <f aca="false">IF(C42="","",IF(AND(V42="Approved",ISERROR(SEARCH("FAIL",AO42))),"Y","N"))</f>
        <v/>
      </c>
      <c r="AW42" s="10" t="str">
        <f aca="false">IF(C42="","",C42&amp;"|"&amp;F42&amp;"|"&amp;G42&amp;"|"&amp;L42&amp;"|"&amp;AV42)</f>
        <v/>
      </c>
    </row>
    <row r="43" customFormat="false" ht="15" hidden="false" customHeight="false" outlineLevel="0" collapsed="false">
      <c r="A43" s="10" t="str">
        <f aca="false">IF(C43="","","DRN-"&amp;IFERROR(VLOOKUP(C43,Lists!$A$4:$B$27,2,0),"??")&amp;"-"&amp;TEXT(F43,"0000")&amp;"x"&amp;TEXT(G43,"0000")&amp;IF(N(H43)&gt;1,"-"&amp;H43&amp;"C","")&amp;"-"&amp;IFERROR(VLOOKUP(L43,Lists!$J$4:$K$19,2,0),"??")&amp;"-"&amp;U43)</f>
        <v/>
      </c>
      <c r="B43" s="10" t="str">
        <f aca="false">IF(C43="","",C43&amp;" "&amp;F43&amp;"W x "&amp;G43&amp;"D"&amp;IF(N(H43)&gt;1," ("&amp;H43&amp;" cells)","")&amp;", "&amp;D43&amp;", "&amp;L43&amp;", "&amp;E43)</f>
        <v/>
      </c>
      <c r="C43" s="9"/>
      <c r="D43" s="9"/>
      <c r="E43" s="9"/>
      <c r="F43" s="40"/>
      <c r="G43" s="40"/>
      <c r="H43" s="40"/>
      <c r="I43" s="40"/>
      <c r="J43" s="40"/>
      <c r="K43" s="40"/>
      <c r="L43" s="9"/>
      <c r="M43" s="9"/>
      <c r="N43" s="9"/>
      <c r="O43" s="40"/>
      <c r="P43" s="9"/>
      <c r="Q43" s="9"/>
      <c r="R43" s="9"/>
      <c r="S43" s="9"/>
      <c r="T43" s="9"/>
      <c r="U43" s="9"/>
      <c r="V43" s="9"/>
      <c r="W43" s="9"/>
      <c r="X43" s="9"/>
      <c r="Y43" s="9"/>
      <c r="Z43" s="10" t="str">
        <f aca="false">IF(A43="","",SG_Criteria!$B$6&amp;SG_Criteria!$B$7&amp;"\"&amp;A43&amp;"\")</f>
        <v/>
      </c>
      <c r="AA43" s="10" t="str">
        <f aca="false">IF(A43="","",A43&amp;"_CAD.dwg")</f>
        <v/>
      </c>
      <c r="AB43" s="10" t="str">
        <f aca="false">IF(A43="","",A43&amp;"_DWG.pdf")</f>
        <v/>
      </c>
      <c r="AC43" s="10" t="str">
        <f aca="false">IF(A43="","",IF(Y43="Y",A43&amp;"_STAAD.std","n/a"))</f>
        <v/>
      </c>
      <c r="AD43" s="10" t="str">
        <f aca="false">IF(A43="","",A43&amp;"_CALC.xlsx")</f>
        <v/>
      </c>
      <c r="AE43" s="10" t="str">
        <f aca="false">IF(A43="","",A43&amp;"_CALC.pdf")</f>
        <v/>
      </c>
      <c r="AF43" s="9"/>
      <c r="AG43" s="9"/>
      <c r="AH43" s="41"/>
      <c r="AI43" s="41"/>
      <c r="AJ43" s="41"/>
      <c r="AK43" s="41"/>
      <c r="AL43" s="41"/>
      <c r="AM43" s="37" t="str">
        <f aca="false">IF(OR(C43="",F43="",G43="",C43="Sump",C43="Drop Inlet Chamber",C43="Silt Trap",C43="Pipe Culvert",C43="Subsoil Drain"),"",ROUND(MAX(1,N(H43))*(1/SG_Criteria!$B$26)*((F43/1000)*(G43/1000*(1-SG_Criteria!$B$25)))*(((F43/1000)*(G43/1000*(1-SG_Criteria!$B$25)))/((F43/1000)+2*(G43/1000*(1-SG_Criteria!$B$25))))^(2/3)*(1/Design_Selector!$B$11)^0.5,3))</f>
        <v/>
      </c>
      <c r="AN43" s="11" t="str">
        <f aca="false">IF(AM43="","",ROUND(AM43/(MAX(1,N(H43))*F43/1000*(G43/1000*(1-SG_Criteria!$B$25))),2))</f>
        <v/>
      </c>
      <c r="AO43" s="38" t="str">
        <f aca="false">IF(C43="","",IF(LEN(IF(AND(OR(D43="Roadside drain",D43="Entrance culvert"),OR(F43&lt;SG_Criteria!$B$15,G43&lt;SG_Criteria!$B$16)),"FAIL: below PUB min "&amp;SG_Criteria!$B$15&amp;"x"&amp;SG_Criteria!$B$16&amp;" for roadside drain. ","")&amp;IF(AND(D43="Common drain",F43&lt;SG_Criteria!$B$17),"FAIL: common drain W &lt; "&amp;SG_Criteria!$B$17&amp;" mm. ","")&amp;IF(AND(N43&lt;&gt;"",IFERROR(VALUE(MID(N43,2,2)),0)&lt;SG_Criteria!$B$19),"FAIL: grade below C"&amp;SG_Criteria!$B$19&amp;". ","")&amp;IF(AND(O43&lt;&gt;"",O43&lt;SG_Criteria!$B$20),"FAIL: cover &lt; "&amp;SG_Criteria!$B$20&amp;" mm. ","")&amp;IF(AND(E43="Open",G43&gt;SG_Criteria!$B$18),"NOTE: safety railing required (D &gt; "&amp;SG_Criteria!$B$18&amp;" mm). ","")&amp;IF(AND(D43="Entrance culvert",G43&lt;600),"NOTE: check hinged grating rule for culverts &lt; 600 deep (PUB Add. 3). ",""))=0,"OK",IF(AND(OR(D43="Roadside drain",D43="Entrance culvert"),OR(F43&lt;SG_Criteria!$B$15,G43&lt;SG_Criteria!$B$16)),"FAIL: below PUB min "&amp;SG_Criteria!$B$15&amp;"x"&amp;SG_Criteria!$B$16&amp;" for roadside drain. ","")&amp;IF(AND(D43="Common drain",F43&lt;SG_Criteria!$B$17),"FAIL: common drain W &lt; "&amp;SG_Criteria!$B$17&amp;" mm. ","")&amp;IF(AND(N43&lt;&gt;"",IFERROR(VALUE(MID(N43,2,2)),0)&lt;SG_Criteria!$B$19),"FAIL: grade below C"&amp;SG_Criteria!$B$19&amp;". ","")&amp;IF(AND(O43&lt;&gt;"",O43&lt;SG_Criteria!$B$20),"FAIL: cover &lt; "&amp;SG_Criteria!$B$20&amp;" mm. ","")&amp;IF(AND(E43="Open",G43&gt;SG_Criteria!$B$18),"NOTE: safety railing required (D &gt; "&amp;SG_Criteria!$B$18&amp;" mm). ","")&amp;IF(AND(D43="Entrance culvert",G43&lt;600),"NOTE: check hinged grating rule for culverts &lt; 600 deep (PUB Add. 3). ","")))</f>
        <v/>
      </c>
      <c r="AP43" s="9"/>
      <c r="AQ43" s="9"/>
      <c r="AR43" s="9"/>
      <c r="AS43" s="9"/>
      <c r="AT43" s="9"/>
      <c r="AU43" s="31"/>
      <c r="AV43" s="10" t="str">
        <f aca="false">IF(C43="","",IF(AND(V43="Approved",ISERROR(SEARCH("FAIL",AO43))),"Y","N"))</f>
        <v/>
      </c>
      <c r="AW43" s="10" t="str">
        <f aca="false">IF(C43="","",C43&amp;"|"&amp;F43&amp;"|"&amp;G43&amp;"|"&amp;L43&amp;"|"&amp;AV43)</f>
        <v/>
      </c>
    </row>
    <row r="44" customFormat="false" ht="15" hidden="false" customHeight="false" outlineLevel="0" collapsed="false">
      <c r="A44" s="10" t="str">
        <f aca="false">IF(C44="","","DRN-"&amp;IFERROR(VLOOKUP(C44,Lists!$A$4:$B$27,2,0),"??")&amp;"-"&amp;TEXT(F44,"0000")&amp;"x"&amp;TEXT(G44,"0000")&amp;IF(N(H44)&gt;1,"-"&amp;H44&amp;"C","")&amp;"-"&amp;IFERROR(VLOOKUP(L44,Lists!$J$4:$K$19,2,0),"??")&amp;"-"&amp;U44)</f>
        <v/>
      </c>
      <c r="B44" s="10" t="str">
        <f aca="false">IF(C44="","",C44&amp;" "&amp;F44&amp;"W x "&amp;G44&amp;"D"&amp;IF(N(H44)&gt;1," ("&amp;H44&amp;" cells)","")&amp;", "&amp;D44&amp;", "&amp;L44&amp;", "&amp;E44)</f>
        <v/>
      </c>
      <c r="C44" s="9"/>
      <c r="D44" s="9"/>
      <c r="E44" s="9"/>
      <c r="F44" s="40"/>
      <c r="G44" s="40"/>
      <c r="H44" s="40"/>
      <c r="I44" s="40"/>
      <c r="J44" s="40"/>
      <c r="K44" s="40"/>
      <c r="L44" s="9"/>
      <c r="M44" s="9"/>
      <c r="N44" s="9"/>
      <c r="O44" s="40"/>
      <c r="P44" s="9"/>
      <c r="Q44" s="9"/>
      <c r="R44" s="9"/>
      <c r="S44" s="9"/>
      <c r="T44" s="9"/>
      <c r="U44" s="9"/>
      <c r="V44" s="9"/>
      <c r="W44" s="9"/>
      <c r="X44" s="9"/>
      <c r="Y44" s="9"/>
      <c r="Z44" s="10" t="str">
        <f aca="false">IF(A44="","",SG_Criteria!$B$6&amp;SG_Criteria!$B$7&amp;"\"&amp;A44&amp;"\")</f>
        <v/>
      </c>
      <c r="AA44" s="10" t="str">
        <f aca="false">IF(A44="","",A44&amp;"_CAD.dwg")</f>
        <v/>
      </c>
      <c r="AB44" s="10" t="str">
        <f aca="false">IF(A44="","",A44&amp;"_DWG.pdf")</f>
        <v/>
      </c>
      <c r="AC44" s="10" t="str">
        <f aca="false">IF(A44="","",IF(Y44="Y",A44&amp;"_STAAD.std","n/a"))</f>
        <v/>
      </c>
      <c r="AD44" s="10" t="str">
        <f aca="false">IF(A44="","",A44&amp;"_CALC.xlsx")</f>
        <v/>
      </c>
      <c r="AE44" s="10" t="str">
        <f aca="false">IF(A44="","",A44&amp;"_CALC.pdf")</f>
        <v/>
      </c>
      <c r="AF44" s="9"/>
      <c r="AG44" s="9"/>
      <c r="AH44" s="41"/>
      <c r="AI44" s="41"/>
      <c r="AJ44" s="41"/>
      <c r="AK44" s="41"/>
      <c r="AL44" s="41"/>
      <c r="AM44" s="37" t="str">
        <f aca="false">IF(OR(C44="",F44="",G44="",C44="Sump",C44="Drop Inlet Chamber",C44="Silt Trap",C44="Pipe Culvert",C44="Subsoil Drain"),"",ROUND(MAX(1,N(H44))*(1/SG_Criteria!$B$26)*((F44/1000)*(G44/1000*(1-SG_Criteria!$B$25)))*(((F44/1000)*(G44/1000*(1-SG_Criteria!$B$25)))/((F44/1000)+2*(G44/1000*(1-SG_Criteria!$B$25))))^(2/3)*(1/Design_Selector!$B$11)^0.5,3))</f>
        <v/>
      </c>
      <c r="AN44" s="11" t="str">
        <f aca="false">IF(AM44="","",ROUND(AM44/(MAX(1,N(H44))*F44/1000*(G44/1000*(1-SG_Criteria!$B$25))),2))</f>
        <v/>
      </c>
      <c r="AO44" s="38" t="str">
        <f aca="false">IF(C44="","",IF(LEN(IF(AND(OR(D44="Roadside drain",D44="Entrance culvert"),OR(F44&lt;SG_Criteria!$B$15,G44&lt;SG_Criteria!$B$16)),"FAIL: below PUB min "&amp;SG_Criteria!$B$15&amp;"x"&amp;SG_Criteria!$B$16&amp;" for roadside drain. ","")&amp;IF(AND(D44="Common drain",F44&lt;SG_Criteria!$B$17),"FAIL: common drain W &lt; "&amp;SG_Criteria!$B$17&amp;" mm. ","")&amp;IF(AND(N44&lt;&gt;"",IFERROR(VALUE(MID(N44,2,2)),0)&lt;SG_Criteria!$B$19),"FAIL: grade below C"&amp;SG_Criteria!$B$19&amp;". ","")&amp;IF(AND(O44&lt;&gt;"",O44&lt;SG_Criteria!$B$20),"FAIL: cover &lt; "&amp;SG_Criteria!$B$20&amp;" mm. ","")&amp;IF(AND(E44="Open",G44&gt;SG_Criteria!$B$18),"NOTE: safety railing required (D &gt; "&amp;SG_Criteria!$B$18&amp;" mm). ","")&amp;IF(AND(D44="Entrance culvert",G44&lt;600),"NOTE: check hinged grating rule for culverts &lt; 600 deep (PUB Add. 3). ",""))=0,"OK",IF(AND(OR(D44="Roadside drain",D44="Entrance culvert"),OR(F44&lt;SG_Criteria!$B$15,G44&lt;SG_Criteria!$B$16)),"FAIL: below PUB min "&amp;SG_Criteria!$B$15&amp;"x"&amp;SG_Criteria!$B$16&amp;" for roadside drain. ","")&amp;IF(AND(D44="Common drain",F44&lt;SG_Criteria!$B$17),"FAIL: common drain W &lt; "&amp;SG_Criteria!$B$17&amp;" mm. ","")&amp;IF(AND(N44&lt;&gt;"",IFERROR(VALUE(MID(N44,2,2)),0)&lt;SG_Criteria!$B$19),"FAIL: grade below C"&amp;SG_Criteria!$B$19&amp;". ","")&amp;IF(AND(O44&lt;&gt;"",O44&lt;SG_Criteria!$B$20),"FAIL: cover &lt; "&amp;SG_Criteria!$B$20&amp;" mm. ","")&amp;IF(AND(E44="Open",G44&gt;SG_Criteria!$B$18),"NOTE: safety railing required (D &gt; "&amp;SG_Criteria!$B$18&amp;" mm). ","")&amp;IF(AND(D44="Entrance culvert",G44&lt;600),"NOTE: check hinged grating rule for culverts &lt; 600 deep (PUB Add. 3). ","")))</f>
        <v/>
      </c>
      <c r="AP44" s="9"/>
      <c r="AQ44" s="9"/>
      <c r="AR44" s="9"/>
      <c r="AS44" s="9"/>
      <c r="AT44" s="9"/>
      <c r="AU44" s="31"/>
      <c r="AV44" s="10" t="str">
        <f aca="false">IF(C44="","",IF(AND(V44="Approved",ISERROR(SEARCH("FAIL",AO44))),"Y","N"))</f>
        <v/>
      </c>
      <c r="AW44" s="10" t="str">
        <f aca="false">IF(C44="","",C44&amp;"|"&amp;F44&amp;"|"&amp;G44&amp;"|"&amp;L44&amp;"|"&amp;AV44)</f>
        <v/>
      </c>
    </row>
    <row r="45" customFormat="false" ht="15" hidden="false" customHeight="false" outlineLevel="0" collapsed="false">
      <c r="A45" s="10" t="str">
        <f aca="false">IF(C45="","","DRN-"&amp;IFERROR(VLOOKUP(C45,Lists!$A$4:$B$27,2,0),"??")&amp;"-"&amp;TEXT(F45,"0000")&amp;"x"&amp;TEXT(G45,"0000")&amp;IF(N(H45)&gt;1,"-"&amp;H45&amp;"C","")&amp;"-"&amp;IFERROR(VLOOKUP(L45,Lists!$J$4:$K$19,2,0),"??")&amp;"-"&amp;U45)</f>
        <v/>
      </c>
      <c r="B45" s="10" t="str">
        <f aca="false">IF(C45="","",C45&amp;" "&amp;F45&amp;"W x "&amp;G45&amp;"D"&amp;IF(N(H45)&gt;1," ("&amp;H45&amp;" cells)","")&amp;", "&amp;D45&amp;", "&amp;L45&amp;", "&amp;E45)</f>
        <v/>
      </c>
      <c r="C45" s="9"/>
      <c r="D45" s="9"/>
      <c r="E45" s="9"/>
      <c r="F45" s="40"/>
      <c r="G45" s="40"/>
      <c r="H45" s="40"/>
      <c r="I45" s="40"/>
      <c r="J45" s="40"/>
      <c r="K45" s="40"/>
      <c r="L45" s="9"/>
      <c r="M45" s="9"/>
      <c r="N45" s="9"/>
      <c r="O45" s="40"/>
      <c r="P45" s="9"/>
      <c r="Q45" s="9"/>
      <c r="R45" s="9"/>
      <c r="S45" s="9"/>
      <c r="T45" s="9"/>
      <c r="U45" s="9"/>
      <c r="V45" s="9"/>
      <c r="W45" s="9"/>
      <c r="X45" s="9"/>
      <c r="Y45" s="9"/>
      <c r="Z45" s="10" t="str">
        <f aca="false">IF(A45="","",SG_Criteria!$B$6&amp;SG_Criteria!$B$7&amp;"\"&amp;A45&amp;"\")</f>
        <v/>
      </c>
      <c r="AA45" s="10" t="str">
        <f aca="false">IF(A45="","",A45&amp;"_CAD.dwg")</f>
        <v/>
      </c>
      <c r="AB45" s="10" t="str">
        <f aca="false">IF(A45="","",A45&amp;"_DWG.pdf")</f>
        <v/>
      </c>
      <c r="AC45" s="10" t="str">
        <f aca="false">IF(A45="","",IF(Y45="Y",A45&amp;"_STAAD.std","n/a"))</f>
        <v/>
      </c>
      <c r="AD45" s="10" t="str">
        <f aca="false">IF(A45="","",A45&amp;"_CALC.xlsx")</f>
        <v/>
      </c>
      <c r="AE45" s="10" t="str">
        <f aca="false">IF(A45="","",A45&amp;"_CALC.pdf")</f>
        <v/>
      </c>
      <c r="AF45" s="9"/>
      <c r="AG45" s="9"/>
      <c r="AH45" s="41"/>
      <c r="AI45" s="41"/>
      <c r="AJ45" s="41"/>
      <c r="AK45" s="41"/>
      <c r="AL45" s="41"/>
      <c r="AM45" s="37" t="str">
        <f aca="false">IF(OR(C45="",F45="",G45="",C45="Sump",C45="Drop Inlet Chamber",C45="Silt Trap",C45="Pipe Culvert",C45="Subsoil Drain"),"",ROUND(MAX(1,N(H45))*(1/SG_Criteria!$B$26)*((F45/1000)*(G45/1000*(1-SG_Criteria!$B$25)))*(((F45/1000)*(G45/1000*(1-SG_Criteria!$B$25)))/((F45/1000)+2*(G45/1000*(1-SG_Criteria!$B$25))))^(2/3)*(1/Design_Selector!$B$11)^0.5,3))</f>
        <v/>
      </c>
      <c r="AN45" s="11" t="str">
        <f aca="false">IF(AM45="","",ROUND(AM45/(MAX(1,N(H45))*F45/1000*(G45/1000*(1-SG_Criteria!$B$25))),2))</f>
        <v/>
      </c>
      <c r="AO45" s="38" t="str">
        <f aca="false">IF(C45="","",IF(LEN(IF(AND(OR(D45="Roadside drain",D45="Entrance culvert"),OR(F45&lt;SG_Criteria!$B$15,G45&lt;SG_Criteria!$B$16)),"FAIL: below PUB min "&amp;SG_Criteria!$B$15&amp;"x"&amp;SG_Criteria!$B$16&amp;" for roadside drain. ","")&amp;IF(AND(D45="Common drain",F45&lt;SG_Criteria!$B$17),"FAIL: common drain W &lt; "&amp;SG_Criteria!$B$17&amp;" mm. ","")&amp;IF(AND(N45&lt;&gt;"",IFERROR(VALUE(MID(N45,2,2)),0)&lt;SG_Criteria!$B$19),"FAIL: grade below C"&amp;SG_Criteria!$B$19&amp;". ","")&amp;IF(AND(O45&lt;&gt;"",O45&lt;SG_Criteria!$B$20),"FAIL: cover &lt; "&amp;SG_Criteria!$B$20&amp;" mm. ","")&amp;IF(AND(E45="Open",G45&gt;SG_Criteria!$B$18),"NOTE: safety railing required (D &gt; "&amp;SG_Criteria!$B$18&amp;" mm). ","")&amp;IF(AND(D45="Entrance culvert",G45&lt;600),"NOTE: check hinged grating rule for culverts &lt; 600 deep (PUB Add. 3). ",""))=0,"OK",IF(AND(OR(D45="Roadside drain",D45="Entrance culvert"),OR(F45&lt;SG_Criteria!$B$15,G45&lt;SG_Criteria!$B$16)),"FAIL: below PUB min "&amp;SG_Criteria!$B$15&amp;"x"&amp;SG_Criteria!$B$16&amp;" for roadside drain. ","")&amp;IF(AND(D45="Common drain",F45&lt;SG_Criteria!$B$17),"FAIL: common drain W &lt; "&amp;SG_Criteria!$B$17&amp;" mm. ","")&amp;IF(AND(N45&lt;&gt;"",IFERROR(VALUE(MID(N45,2,2)),0)&lt;SG_Criteria!$B$19),"FAIL: grade below C"&amp;SG_Criteria!$B$19&amp;". ","")&amp;IF(AND(O45&lt;&gt;"",O45&lt;SG_Criteria!$B$20),"FAIL: cover &lt; "&amp;SG_Criteria!$B$20&amp;" mm. ","")&amp;IF(AND(E45="Open",G45&gt;SG_Criteria!$B$18),"NOTE: safety railing required (D &gt; "&amp;SG_Criteria!$B$18&amp;" mm). ","")&amp;IF(AND(D45="Entrance culvert",G45&lt;600),"NOTE: check hinged grating rule for culverts &lt; 600 deep (PUB Add. 3). ","")))</f>
        <v/>
      </c>
      <c r="AP45" s="9"/>
      <c r="AQ45" s="9"/>
      <c r="AR45" s="9"/>
      <c r="AS45" s="9"/>
      <c r="AT45" s="9"/>
      <c r="AU45" s="31"/>
      <c r="AV45" s="10" t="str">
        <f aca="false">IF(C45="","",IF(AND(V45="Approved",ISERROR(SEARCH("FAIL",AO45))),"Y","N"))</f>
        <v/>
      </c>
      <c r="AW45" s="10" t="str">
        <f aca="false">IF(C45="","",C45&amp;"|"&amp;F45&amp;"|"&amp;G45&amp;"|"&amp;L45&amp;"|"&amp;AV45)</f>
        <v/>
      </c>
    </row>
    <row r="46" customFormat="false" ht="15" hidden="false" customHeight="false" outlineLevel="0" collapsed="false">
      <c r="A46" s="10" t="str">
        <f aca="false">IF(C46="","","DRN-"&amp;IFERROR(VLOOKUP(C46,Lists!$A$4:$B$27,2,0),"??")&amp;"-"&amp;TEXT(F46,"0000")&amp;"x"&amp;TEXT(G46,"0000")&amp;IF(N(H46)&gt;1,"-"&amp;H46&amp;"C","")&amp;"-"&amp;IFERROR(VLOOKUP(L46,Lists!$J$4:$K$19,2,0),"??")&amp;"-"&amp;U46)</f>
        <v/>
      </c>
      <c r="B46" s="10" t="str">
        <f aca="false">IF(C46="","",C46&amp;" "&amp;F46&amp;"W x "&amp;G46&amp;"D"&amp;IF(N(H46)&gt;1," ("&amp;H46&amp;" cells)","")&amp;", "&amp;D46&amp;", "&amp;L46&amp;", "&amp;E46)</f>
        <v/>
      </c>
      <c r="C46" s="9"/>
      <c r="D46" s="9"/>
      <c r="E46" s="9"/>
      <c r="F46" s="40"/>
      <c r="G46" s="40"/>
      <c r="H46" s="40"/>
      <c r="I46" s="40"/>
      <c r="J46" s="40"/>
      <c r="K46" s="40"/>
      <c r="L46" s="9"/>
      <c r="M46" s="9"/>
      <c r="N46" s="9"/>
      <c r="O46" s="40"/>
      <c r="P46" s="9"/>
      <c r="Q46" s="9"/>
      <c r="R46" s="9"/>
      <c r="S46" s="9"/>
      <c r="T46" s="9"/>
      <c r="U46" s="9"/>
      <c r="V46" s="9"/>
      <c r="W46" s="9"/>
      <c r="X46" s="9"/>
      <c r="Y46" s="9"/>
      <c r="Z46" s="10" t="str">
        <f aca="false">IF(A46="","",SG_Criteria!$B$6&amp;SG_Criteria!$B$7&amp;"\"&amp;A46&amp;"\")</f>
        <v/>
      </c>
      <c r="AA46" s="10" t="str">
        <f aca="false">IF(A46="","",A46&amp;"_CAD.dwg")</f>
        <v/>
      </c>
      <c r="AB46" s="10" t="str">
        <f aca="false">IF(A46="","",A46&amp;"_DWG.pdf")</f>
        <v/>
      </c>
      <c r="AC46" s="10" t="str">
        <f aca="false">IF(A46="","",IF(Y46="Y",A46&amp;"_STAAD.std","n/a"))</f>
        <v/>
      </c>
      <c r="AD46" s="10" t="str">
        <f aca="false">IF(A46="","",A46&amp;"_CALC.xlsx")</f>
        <v/>
      </c>
      <c r="AE46" s="10" t="str">
        <f aca="false">IF(A46="","",A46&amp;"_CALC.pdf")</f>
        <v/>
      </c>
      <c r="AF46" s="9"/>
      <c r="AG46" s="9"/>
      <c r="AH46" s="41"/>
      <c r="AI46" s="41"/>
      <c r="AJ46" s="41"/>
      <c r="AK46" s="41"/>
      <c r="AL46" s="41"/>
      <c r="AM46" s="37" t="str">
        <f aca="false">IF(OR(C46="",F46="",G46="",C46="Sump",C46="Drop Inlet Chamber",C46="Silt Trap",C46="Pipe Culvert",C46="Subsoil Drain"),"",ROUND(MAX(1,N(H46))*(1/SG_Criteria!$B$26)*((F46/1000)*(G46/1000*(1-SG_Criteria!$B$25)))*(((F46/1000)*(G46/1000*(1-SG_Criteria!$B$25)))/((F46/1000)+2*(G46/1000*(1-SG_Criteria!$B$25))))^(2/3)*(1/Design_Selector!$B$11)^0.5,3))</f>
        <v/>
      </c>
      <c r="AN46" s="11" t="str">
        <f aca="false">IF(AM46="","",ROUND(AM46/(MAX(1,N(H46))*F46/1000*(G46/1000*(1-SG_Criteria!$B$25))),2))</f>
        <v/>
      </c>
      <c r="AO46" s="38" t="str">
        <f aca="false">IF(C46="","",IF(LEN(IF(AND(OR(D46="Roadside drain",D46="Entrance culvert"),OR(F46&lt;SG_Criteria!$B$15,G46&lt;SG_Criteria!$B$16)),"FAIL: below PUB min "&amp;SG_Criteria!$B$15&amp;"x"&amp;SG_Criteria!$B$16&amp;" for roadside drain. ","")&amp;IF(AND(D46="Common drain",F46&lt;SG_Criteria!$B$17),"FAIL: common drain W &lt; "&amp;SG_Criteria!$B$17&amp;" mm. ","")&amp;IF(AND(N46&lt;&gt;"",IFERROR(VALUE(MID(N46,2,2)),0)&lt;SG_Criteria!$B$19),"FAIL: grade below C"&amp;SG_Criteria!$B$19&amp;". ","")&amp;IF(AND(O46&lt;&gt;"",O46&lt;SG_Criteria!$B$20),"FAIL: cover &lt; "&amp;SG_Criteria!$B$20&amp;" mm. ","")&amp;IF(AND(E46="Open",G46&gt;SG_Criteria!$B$18),"NOTE: safety railing required (D &gt; "&amp;SG_Criteria!$B$18&amp;" mm). ","")&amp;IF(AND(D46="Entrance culvert",G46&lt;600),"NOTE: check hinged grating rule for culverts &lt; 600 deep (PUB Add. 3). ",""))=0,"OK",IF(AND(OR(D46="Roadside drain",D46="Entrance culvert"),OR(F46&lt;SG_Criteria!$B$15,G46&lt;SG_Criteria!$B$16)),"FAIL: below PUB min "&amp;SG_Criteria!$B$15&amp;"x"&amp;SG_Criteria!$B$16&amp;" for roadside drain. ","")&amp;IF(AND(D46="Common drain",F46&lt;SG_Criteria!$B$17),"FAIL: common drain W &lt; "&amp;SG_Criteria!$B$17&amp;" mm. ","")&amp;IF(AND(N46&lt;&gt;"",IFERROR(VALUE(MID(N46,2,2)),0)&lt;SG_Criteria!$B$19),"FAIL: grade below C"&amp;SG_Criteria!$B$19&amp;". ","")&amp;IF(AND(O46&lt;&gt;"",O46&lt;SG_Criteria!$B$20),"FAIL: cover &lt; "&amp;SG_Criteria!$B$20&amp;" mm. ","")&amp;IF(AND(E46="Open",G46&gt;SG_Criteria!$B$18),"NOTE: safety railing required (D &gt; "&amp;SG_Criteria!$B$18&amp;" mm). ","")&amp;IF(AND(D46="Entrance culvert",G46&lt;600),"NOTE: check hinged grating rule for culverts &lt; 600 deep (PUB Add. 3). ","")))</f>
        <v/>
      </c>
      <c r="AP46" s="9"/>
      <c r="AQ46" s="9"/>
      <c r="AR46" s="9"/>
      <c r="AS46" s="9"/>
      <c r="AT46" s="9"/>
      <c r="AU46" s="31"/>
      <c r="AV46" s="10" t="str">
        <f aca="false">IF(C46="","",IF(AND(V46="Approved",ISERROR(SEARCH("FAIL",AO46))),"Y","N"))</f>
        <v/>
      </c>
      <c r="AW46" s="10" t="str">
        <f aca="false">IF(C46="","",C46&amp;"|"&amp;F46&amp;"|"&amp;G46&amp;"|"&amp;L46&amp;"|"&amp;AV46)</f>
        <v/>
      </c>
    </row>
    <row r="47" customFormat="false" ht="15" hidden="false" customHeight="false" outlineLevel="0" collapsed="false">
      <c r="A47" s="10" t="str">
        <f aca="false">IF(C47="","","DRN-"&amp;IFERROR(VLOOKUP(C47,Lists!$A$4:$B$27,2,0),"??")&amp;"-"&amp;TEXT(F47,"0000")&amp;"x"&amp;TEXT(G47,"0000")&amp;IF(N(H47)&gt;1,"-"&amp;H47&amp;"C","")&amp;"-"&amp;IFERROR(VLOOKUP(L47,Lists!$J$4:$K$19,2,0),"??")&amp;"-"&amp;U47)</f>
        <v/>
      </c>
      <c r="B47" s="10" t="str">
        <f aca="false">IF(C47="","",C47&amp;" "&amp;F47&amp;"W x "&amp;G47&amp;"D"&amp;IF(N(H47)&gt;1," ("&amp;H47&amp;" cells)","")&amp;", "&amp;D47&amp;", "&amp;L47&amp;", "&amp;E47)</f>
        <v/>
      </c>
      <c r="C47" s="9"/>
      <c r="D47" s="9"/>
      <c r="E47" s="9"/>
      <c r="F47" s="40"/>
      <c r="G47" s="40"/>
      <c r="H47" s="40"/>
      <c r="I47" s="40"/>
      <c r="J47" s="40"/>
      <c r="K47" s="40"/>
      <c r="L47" s="9"/>
      <c r="M47" s="9"/>
      <c r="N47" s="9"/>
      <c r="O47" s="40"/>
      <c r="P47" s="9"/>
      <c r="Q47" s="9"/>
      <c r="R47" s="9"/>
      <c r="S47" s="9"/>
      <c r="T47" s="9"/>
      <c r="U47" s="9"/>
      <c r="V47" s="9"/>
      <c r="W47" s="9"/>
      <c r="X47" s="9"/>
      <c r="Y47" s="9"/>
      <c r="Z47" s="10" t="str">
        <f aca="false">IF(A47="","",SG_Criteria!$B$6&amp;SG_Criteria!$B$7&amp;"\"&amp;A47&amp;"\")</f>
        <v/>
      </c>
      <c r="AA47" s="10" t="str">
        <f aca="false">IF(A47="","",A47&amp;"_CAD.dwg")</f>
        <v/>
      </c>
      <c r="AB47" s="10" t="str">
        <f aca="false">IF(A47="","",A47&amp;"_DWG.pdf")</f>
        <v/>
      </c>
      <c r="AC47" s="10" t="str">
        <f aca="false">IF(A47="","",IF(Y47="Y",A47&amp;"_STAAD.std","n/a"))</f>
        <v/>
      </c>
      <c r="AD47" s="10" t="str">
        <f aca="false">IF(A47="","",A47&amp;"_CALC.xlsx")</f>
        <v/>
      </c>
      <c r="AE47" s="10" t="str">
        <f aca="false">IF(A47="","",A47&amp;"_CALC.pdf")</f>
        <v/>
      </c>
      <c r="AF47" s="9"/>
      <c r="AG47" s="9"/>
      <c r="AH47" s="41"/>
      <c r="AI47" s="41"/>
      <c r="AJ47" s="41"/>
      <c r="AK47" s="41"/>
      <c r="AL47" s="41"/>
      <c r="AM47" s="37" t="str">
        <f aca="false">IF(OR(C47="",F47="",G47="",C47="Sump",C47="Drop Inlet Chamber",C47="Silt Trap",C47="Pipe Culvert",C47="Subsoil Drain"),"",ROUND(MAX(1,N(H47))*(1/SG_Criteria!$B$26)*((F47/1000)*(G47/1000*(1-SG_Criteria!$B$25)))*(((F47/1000)*(G47/1000*(1-SG_Criteria!$B$25)))/((F47/1000)+2*(G47/1000*(1-SG_Criteria!$B$25))))^(2/3)*(1/Design_Selector!$B$11)^0.5,3))</f>
        <v/>
      </c>
      <c r="AN47" s="11" t="str">
        <f aca="false">IF(AM47="","",ROUND(AM47/(MAX(1,N(H47))*F47/1000*(G47/1000*(1-SG_Criteria!$B$25))),2))</f>
        <v/>
      </c>
      <c r="AO47" s="38" t="str">
        <f aca="false">IF(C47="","",IF(LEN(IF(AND(OR(D47="Roadside drain",D47="Entrance culvert"),OR(F47&lt;SG_Criteria!$B$15,G47&lt;SG_Criteria!$B$16)),"FAIL: below PUB min "&amp;SG_Criteria!$B$15&amp;"x"&amp;SG_Criteria!$B$16&amp;" for roadside drain. ","")&amp;IF(AND(D47="Common drain",F47&lt;SG_Criteria!$B$17),"FAIL: common drain W &lt; "&amp;SG_Criteria!$B$17&amp;" mm. ","")&amp;IF(AND(N47&lt;&gt;"",IFERROR(VALUE(MID(N47,2,2)),0)&lt;SG_Criteria!$B$19),"FAIL: grade below C"&amp;SG_Criteria!$B$19&amp;". ","")&amp;IF(AND(O47&lt;&gt;"",O47&lt;SG_Criteria!$B$20),"FAIL: cover &lt; "&amp;SG_Criteria!$B$20&amp;" mm. ","")&amp;IF(AND(E47="Open",G47&gt;SG_Criteria!$B$18),"NOTE: safety railing required (D &gt; "&amp;SG_Criteria!$B$18&amp;" mm). ","")&amp;IF(AND(D47="Entrance culvert",G47&lt;600),"NOTE: check hinged grating rule for culverts &lt; 600 deep (PUB Add. 3). ",""))=0,"OK",IF(AND(OR(D47="Roadside drain",D47="Entrance culvert"),OR(F47&lt;SG_Criteria!$B$15,G47&lt;SG_Criteria!$B$16)),"FAIL: below PUB min "&amp;SG_Criteria!$B$15&amp;"x"&amp;SG_Criteria!$B$16&amp;" for roadside drain. ","")&amp;IF(AND(D47="Common drain",F47&lt;SG_Criteria!$B$17),"FAIL: common drain W &lt; "&amp;SG_Criteria!$B$17&amp;" mm. ","")&amp;IF(AND(N47&lt;&gt;"",IFERROR(VALUE(MID(N47,2,2)),0)&lt;SG_Criteria!$B$19),"FAIL: grade below C"&amp;SG_Criteria!$B$19&amp;". ","")&amp;IF(AND(O47&lt;&gt;"",O47&lt;SG_Criteria!$B$20),"FAIL: cover &lt; "&amp;SG_Criteria!$B$20&amp;" mm. ","")&amp;IF(AND(E47="Open",G47&gt;SG_Criteria!$B$18),"NOTE: safety railing required (D &gt; "&amp;SG_Criteria!$B$18&amp;" mm). ","")&amp;IF(AND(D47="Entrance culvert",G47&lt;600),"NOTE: check hinged grating rule for culverts &lt; 600 deep (PUB Add. 3). ","")))</f>
        <v/>
      </c>
      <c r="AP47" s="9"/>
      <c r="AQ47" s="9"/>
      <c r="AR47" s="9"/>
      <c r="AS47" s="9"/>
      <c r="AT47" s="9"/>
      <c r="AU47" s="31"/>
      <c r="AV47" s="10" t="str">
        <f aca="false">IF(C47="","",IF(AND(V47="Approved",ISERROR(SEARCH("FAIL",AO47))),"Y","N"))</f>
        <v/>
      </c>
      <c r="AW47" s="10" t="str">
        <f aca="false">IF(C47="","",C47&amp;"|"&amp;F47&amp;"|"&amp;G47&amp;"|"&amp;L47&amp;"|"&amp;AV47)</f>
        <v/>
      </c>
    </row>
    <row r="48" customFormat="false" ht="15" hidden="false" customHeight="false" outlineLevel="0" collapsed="false">
      <c r="A48" s="10" t="str">
        <f aca="false">IF(C48="","","DRN-"&amp;IFERROR(VLOOKUP(C48,Lists!$A$4:$B$27,2,0),"??")&amp;"-"&amp;TEXT(F48,"0000")&amp;"x"&amp;TEXT(G48,"0000")&amp;IF(N(H48)&gt;1,"-"&amp;H48&amp;"C","")&amp;"-"&amp;IFERROR(VLOOKUP(L48,Lists!$J$4:$K$19,2,0),"??")&amp;"-"&amp;U48)</f>
        <v/>
      </c>
      <c r="B48" s="10" t="str">
        <f aca="false">IF(C48="","",C48&amp;" "&amp;F48&amp;"W x "&amp;G48&amp;"D"&amp;IF(N(H48)&gt;1," ("&amp;H48&amp;" cells)","")&amp;", "&amp;D48&amp;", "&amp;L48&amp;", "&amp;E48)</f>
        <v/>
      </c>
      <c r="C48" s="9"/>
      <c r="D48" s="9"/>
      <c r="E48" s="9"/>
      <c r="F48" s="40"/>
      <c r="G48" s="40"/>
      <c r="H48" s="40"/>
      <c r="I48" s="40"/>
      <c r="J48" s="40"/>
      <c r="K48" s="40"/>
      <c r="L48" s="9"/>
      <c r="M48" s="9"/>
      <c r="N48" s="9"/>
      <c r="O48" s="40"/>
      <c r="P48" s="9"/>
      <c r="Q48" s="9"/>
      <c r="R48" s="9"/>
      <c r="S48" s="9"/>
      <c r="T48" s="9"/>
      <c r="U48" s="9"/>
      <c r="V48" s="9"/>
      <c r="W48" s="9"/>
      <c r="X48" s="9"/>
      <c r="Y48" s="9"/>
      <c r="Z48" s="10" t="str">
        <f aca="false">IF(A48="","",SG_Criteria!$B$6&amp;SG_Criteria!$B$7&amp;"\"&amp;A48&amp;"\")</f>
        <v/>
      </c>
      <c r="AA48" s="10" t="str">
        <f aca="false">IF(A48="","",A48&amp;"_CAD.dwg")</f>
        <v/>
      </c>
      <c r="AB48" s="10" t="str">
        <f aca="false">IF(A48="","",A48&amp;"_DWG.pdf")</f>
        <v/>
      </c>
      <c r="AC48" s="10" t="str">
        <f aca="false">IF(A48="","",IF(Y48="Y",A48&amp;"_STAAD.std","n/a"))</f>
        <v/>
      </c>
      <c r="AD48" s="10" t="str">
        <f aca="false">IF(A48="","",A48&amp;"_CALC.xlsx")</f>
        <v/>
      </c>
      <c r="AE48" s="10" t="str">
        <f aca="false">IF(A48="","",A48&amp;"_CALC.pdf")</f>
        <v/>
      </c>
      <c r="AF48" s="9"/>
      <c r="AG48" s="9"/>
      <c r="AH48" s="41"/>
      <c r="AI48" s="41"/>
      <c r="AJ48" s="41"/>
      <c r="AK48" s="41"/>
      <c r="AL48" s="41"/>
      <c r="AM48" s="37" t="str">
        <f aca="false">IF(OR(C48="",F48="",G48="",C48="Sump",C48="Drop Inlet Chamber",C48="Silt Trap",C48="Pipe Culvert",C48="Subsoil Drain"),"",ROUND(MAX(1,N(H48))*(1/SG_Criteria!$B$26)*((F48/1000)*(G48/1000*(1-SG_Criteria!$B$25)))*(((F48/1000)*(G48/1000*(1-SG_Criteria!$B$25)))/((F48/1000)+2*(G48/1000*(1-SG_Criteria!$B$25))))^(2/3)*(1/Design_Selector!$B$11)^0.5,3))</f>
        <v/>
      </c>
      <c r="AN48" s="11" t="str">
        <f aca="false">IF(AM48="","",ROUND(AM48/(MAX(1,N(H48))*F48/1000*(G48/1000*(1-SG_Criteria!$B$25))),2))</f>
        <v/>
      </c>
      <c r="AO48" s="38" t="str">
        <f aca="false">IF(C48="","",IF(LEN(IF(AND(OR(D48="Roadside drain",D48="Entrance culvert"),OR(F48&lt;SG_Criteria!$B$15,G48&lt;SG_Criteria!$B$16)),"FAIL: below PUB min "&amp;SG_Criteria!$B$15&amp;"x"&amp;SG_Criteria!$B$16&amp;" for roadside drain. ","")&amp;IF(AND(D48="Common drain",F48&lt;SG_Criteria!$B$17),"FAIL: common drain W &lt; "&amp;SG_Criteria!$B$17&amp;" mm. ","")&amp;IF(AND(N48&lt;&gt;"",IFERROR(VALUE(MID(N48,2,2)),0)&lt;SG_Criteria!$B$19),"FAIL: grade below C"&amp;SG_Criteria!$B$19&amp;". ","")&amp;IF(AND(O48&lt;&gt;"",O48&lt;SG_Criteria!$B$20),"FAIL: cover &lt; "&amp;SG_Criteria!$B$20&amp;" mm. ","")&amp;IF(AND(E48="Open",G48&gt;SG_Criteria!$B$18),"NOTE: safety railing required (D &gt; "&amp;SG_Criteria!$B$18&amp;" mm). ","")&amp;IF(AND(D48="Entrance culvert",G48&lt;600),"NOTE: check hinged grating rule for culverts &lt; 600 deep (PUB Add. 3). ",""))=0,"OK",IF(AND(OR(D48="Roadside drain",D48="Entrance culvert"),OR(F48&lt;SG_Criteria!$B$15,G48&lt;SG_Criteria!$B$16)),"FAIL: below PUB min "&amp;SG_Criteria!$B$15&amp;"x"&amp;SG_Criteria!$B$16&amp;" for roadside drain. ","")&amp;IF(AND(D48="Common drain",F48&lt;SG_Criteria!$B$17),"FAIL: common drain W &lt; "&amp;SG_Criteria!$B$17&amp;" mm. ","")&amp;IF(AND(N48&lt;&gt;"",IFERROR(VALUE(MID(N48,2,2)),0)&lt;SG_Criteria!$B$19),"FAIL: grade below C"&amp;SG_Criteria!$B$19&amp;". ","")&amp;IF(AND(O48&lt;&gt;"",O48&lt;SG_Criteria!$B$20),"FAIL: cover &lt; "&amp;SG_Criteria!$B$20&amp;" mm. ","")&amp;IF(AND(E48="Open",G48&gt;SG_Criteria!$B$18),"NOTE: safety railing required (D &gt; "&amp;SG_Criteria!$B$18&amp;" mm). ","")&amp;IF(AND(D48="Entrance culvert",G48&lt;600),"NOTE: check hinged grating rule for culverts &lt; 600 deep (PUB Add. 3). ","")))</f>
        <v/>
      </c>
      <c r="AP48" s="9"/>
      <c r="AQ48" s="9"/>
      <c r="AR48" s="9"/>
      <c r="AS48" s="9"/>
      <c r="AT48" s="9"/>
      <c r="AU48" s="31"/>
      <c r="AV48" s="10" t="str">
        <f aca="false">IF(C48="","",IF(AND(V48="Approved",ISERROR(SEARCH("FAIL",AO48))),"Y","N"))</f>
        <v/>
      </c>
      <c r="AW48" s="10" t="str">
        <f aca="false">IF(C48="","",C48&amp;"|"&amp;F48&amp;"|"&amp;G48&amp;"|"&amp;L48&amp;"|"&amp;AV48)</f>
        <v/>
      </c>
    </row>
    <row r="49" customFormat="false" ht="15" hidden="false" customHeight="false" outlineLevel="0" collapsed="false">
      <c r="A49" s="10" t="str">
        <f aca="false">IF(C49="","","DRN-"&amp;IFERROR(VLOOKUP(C49,Lists!$A$4:$B$27,2,0),"??")&amp;"-"&amp;TEXT(F49,"0000")&amp;"x"&amp;TEXT(G49,"0000")&amp;IF(N(H49)&gt;1,"-"&amp;H49&amp;"C","")&amp;"-"&amp;IFERROR(VLOOKUP(L49,Lists!$J$4:$K$19,2,0),"??")&amp;"-"&amp;U49)</f>
        <v/>
      </c>
      <c r="B49" s="10" t="str">
        <f aca="false">IF(C49="","",C49&amp;" "&amp;F49&amp;"W x "&amp;G49&amp;"D"&amp;IF(N(H49)&gt;1," ("&amp;H49&amp;" cells)","")&amp;", "&amp;D49&amp;", "&amp;L49&amp;", "&amp;E49)</f>
        <v/>
      </c>
      <c r="C49" s="9"/>
      <c r="D49" s="9"/>
      <c r="E49" s="9"/>
      <c r="F49" s="40"/>
      <c r="G49" s="40"/>
      <c r="H49" s="40"/>
      <c r="I49" s="40"/>
      <c r="J49" s="40"/>
      <c r="K49" s="40"/>
      <c r="L49" s="9"/>
      <c r="M49" s="9"/>
      <c r="N49" s="9"/>
      <c r="O49" s="40"/>
      <c r="P49" s="9"/>
      <c r="Q49" s="9"/>
      <c r="R49" s="9"/>
      <c r="S49" s="9"/>
      <c r="T49" s="9"/>
      <c r="U49" s="9"/>
      <c r="V49" s="9"/>
      <c r="W49" s="9"/>
      <c r="X49" s="9"/>
      <c r="Y49" s="9"/>
      <c r="Z49" s="10" t="str">
        <f aca="false">IF(A49="","",SG_Criteria!$B$6&amp;SG_Criteria!$B$7&amp;"\"&amp;A49&amp;"\")</f>
        <v/>
      </c>
      <c r="AA49" s="10" t="str">
        <f aca="false">IF(A49="","",A49&amp;"_CAD.dwg")</f>
        <v/>
      </c>
      <c r="AB49" s="10" t="str">
        <f aca="false">IF(A49="","",A49&amp;"_DWG.pdf")</f>
        <v/>
      </c>
      <c r="AC49" s="10" t="str">
        <f aca="false">IF(A49="","",IF(Y49="Y",A49&amp;"_STAAD.std","n/a"))</f>
        <v/>
      </c>
      <c r="AD49" s="10" t="str">
        <f aca="false">IF(A49="","",A49&amp;"_CALC.xlsx")</f>
        <v/>
      </c>
      <c r="AE49" s="10" t="str">
        <f aca="false">IF(A49="","",A49&amp;"_CALC.pdf")</f>
        <v/>
      </c>
      <c r="AF49" s="9"/>
      <c r="AG49" s="9"/>
      <c r="AH49" s="41"/>
      <c r="AI49" s="41"/>
      <c r="AJ49" s="41"/>
      <c r="AK49" s="41"/>
      <c r="AL49" s="41"/>
      <c r="AM49" s="37" t="str">
        <f aca="false">IF(OR(C49="",F49="",G49="",C49="Sump",C49="Drop Inlet Chamber",C49="Silt Trap",C49="Pipe Culvert",C49="Subsoil Drain"),"",ROUND(MAX(1,N(H49))*(1/SG_Criteria!$B$26)*((F49/1000)*(G49/1000*(1-SG_Criteria!$B$25)))*(((F49/1000)*(G49/1000*(1-SG_Criteria!$B$25)))/((F49/1000)+2*(G49/1000*(1-SG_Criteria!$B$25))))^(2/3)*(1/Design_Selector!$B$11)^0.5,3))</f>
        <v/>
      </c>
      <c r="AN49" s="11" t="str">
        <f aca="false">IF(AM49="","",ROUND(AM49/(MAX(1,N(H49))*F49/1000*(G49/1000*(1-SG_Criteria!$B$25))),2))</f>
        <v/>
      </c>
      <c r="AO49" s="38" t="str">
        <f aca="false">IF(C49="","",IF(LEN(IF(AND(OR(D49="Roadside drain",D49="Entrance culvert"),OR(F49&lt;SG_Criteria!$B$15,G49&lt;SG_Criteria!$B$16)),"FAIL: below PUB min "&amp;SG_Criteria!$B$15&amp;"x"&amp;SG_Criteria!$B$16&amp;" for roadside drain. ","")&amp;IF(AND(D49="Common drain",F49&lt;SG_Criteria!$B$17),"FAIL: common drain W &lt; "&amp;SG_Criteria!$B$17&amp;" mm. ","")&amp;IF(AND(N49&lt;&gt;"",IFERROR(VALUE(MID(N49,2,2)),0)&lt;SG_Criteria!$B$19),"FAIL: grade below C"&amp;SG_Criteria!$B$19&amp;". ","")&amp;IF(AND(O49&lt;&gt;"",O49&lt;SG_Criteria!$B$20),"FAIL: cover &lt; "&amp;SG_Criteria!$B$20&amp;" mm. ","")&amp;IF(AND(E49="Open",G49&gt;SG_Criteria!$B$18),"NOTE: safety railing required (D &gt; "&amp;SG_Criteria!$B$18&amp;" mm). ","")&amp;IF(AND(D49="Entrance culvert",G49&lt;600),"NOTE: check hinged grating rule for culverts &lt; 600 deep (PUB Add. 3). ",""))=0,"OK",IF(AND(OR(D49="Roadside drain",D49="Entrance culvert"),OR(F49&lt;SG_Criteria!$B$15,G49&lt;SG_Criteria!$B$16)),"FAIL: below PUB min "&amp;SG_Criteria!$B$15&amp;"x"&amp;SG_Criteria!$B$16&amp;" for roadside drain. ","")&amp;IF(AND(D49="Common drain",F49&lt;SG_Criteria!$B$17),"FAIL: common drain W &lt; "&amp;SG_Criteria!$B$17&amp;" mm. ","")&amp;IF(AND(N49&lt;&gt;"",IFERROR(VALUE(MID(N49,2,2)),0)&lt;SG_Criteria!$B$19),"FAIL: grade below C"&amp;SG_Criteria!$B$19&amp;". ","")&amp;IF(AND(O49&lt;&gt;"",O49&lt;SG_Criteria!$B$20),"FAIL: cover &lt; "&amp;SG_Criteria!$B$20&amp;" mm. ","")&amp;IF(AND(E49="Open",G49&gt;SG_Criteria!$B$18),"NOTE: safety railing required (D &gt; "&amp;SG_Criteria!$B$18&amp;" mm). ","")&amp;IF(AND(D49="Entrance culvert",G49&lt;600),"NOTE: check hinged grating rule for culverts &lt; 600 deep (PUB Add. 3). ","")))</f>
        <v/>
      </c>
      <c r="AP49" s="9"/>
      <c r="AQ49" s="9"/>
      <c r="AR49" s="9"/>
      <c r="AS49" s="9"/>
      <c r="AT49" s="9"/>
      <c r="AU49" s="31"/>
      <c r="AV49" s="10" t="str">
        <f aca="false">IF(C49="","",IF(AND(V49="Approved",ISERROR(SEARCH("FAIL",AO49))),"Y","N"))</f>
        <v/>
      </c>
      <c r="AW49" s="10" t="str">
        <f aca="false">IF(C49="","",C49&amp;"|"&amp;F49&amp;"|"&amp;G49&amp;"|"&amp;L49&amp;"|"&amp;AV49)</f>
        <v/>
      </c>
    </row>
    <row r="50" customFormat="false" ht="15" hidden="false" customHeight="false" outlineLevel="0" collapsed="false">
      <c r="A50" s="10" t="str">
        <f aca="false">IF(C50="","","DRN-"&amp;IFERROR(VLOOKUP(C50,Lists!$A$4:$B$27,2,0),"??")&amp;"-"&amp;TEXT(F50,"0000")&amp;"x"&amp;TEXT(G50,"0000")&amp;IF(N(H50)&gt;1,"-"&amp;H50&amp;"C","")&amp;"-"&amp;IFERROR(VLOOKUP(L50,Lists!$J$4:$K$19,2,0),"??")&amp;"-"&amp;U50)</f>
        <v/>
      </c>
      <c r="B50" s="10" t="str">
        <f aca="false">IF(C50="","",C50&amp;" "&amp;F50&amp;"W x "&amp;G50&amp;"D"&amp;IF(N(H50)&gt;1," ("&amp;H50&amp;" cells)","")&amp;", "&amp;D50&amp;", "&amp;L50&amp;", "&amp;E50)</f>
        <v/>
      </c>
      <c r="C50" s="9"/>
      <c r="D50" s="9"/>
      <c r="E50" s="9"/>
      <c r="F50" s="40"/>
      <c r="G50" s="40"/>
      <c r="H50" s="40"/>
      <c r="I50" s="40"/>
      <c r="J50" s="40"/>
      <c r="K50" s="40"/>
      <c r="L50" s="9"/>
      <c r="M50" s="9"/>
      <c r="N50" s="9"/>
      <c r="O50" s="40"/>
      <c r="P50" s="9"/>
      <c r="Q50" s="9"/>
      <c r="R50" s="9"/>
      <c r="S50" s="9"/>
      <c r="T50" s="9"/>
      <c r="U50" s="9"/>
      <c r="V50" s="9"/>
      <c r="W50" s="9"/>
      <c r="X50" s="9"/>
      <c r="Y50" s="9"/>
      <c r="Z50" s="10" t="str">
        <f aca="false">IF(A50="","",SG_Criteria!$B$6&amp;SG_Criteria!$B$7&amp;"\"&amp;A50&amp;"\")</f>
        <v/>
      </c>
      <c r="AA50" s="10" t="str">
        <f aca="false">IF(A50="","",A50&amp;"_CAD.dwg")</f>
        <v/>
      </c>
      <c r="AB50" s="10" t="str">
        <f aca="false">IF(A50="","",A50&amp;"_DWG.pdf")</f>
        <v/>
      </c>
      <c r="AC50" s="10" t="str">
        <f aca="false">IF(A50="","",IF(Y50="Y",A50&amp;"_STAAD.std","n/a"))</f>
        <v/>
      </c>
      <c r="AD50" s="10" t="str">
        <f aca="false">IF(A50="","",A50&amp;"_CALC.xlsx")</f>
        <v/>
      </c>
      <c r="AE50" s="10" t="str">
        <f aca="false">IF(A50="","",A50&amp;"_CALC.pdf")</f>
        <v/>
      </c>
      <c r="AF50" s="9"/>
      <c r="AG50" s="9"/>
      <c r="AH50" s="41"/>
      <c r="AI50" s="41"/>
      <c r="AJ50" s="41"/>
      <c r="AK50" s="41"/>
      <c r="AL50" s="41"/>
      <c r="AM50" s="37" t="str">
        <f aca="false">IF(OR(C50="",F50="",G50="",C50="Sump",C50="Drop Inlet Chamber",C50="Silt Trap",C50="Pipe Culvert",C50="Subsoil Drain"),"",ROUND(MAX(1,N(H50))*(1/SG_Criteria!$B$26)*((F50/1000)*(G50/1000*(1-SG_Criteria!$B$25)))*(((F50/1000)*(G50/1000*(1-SG_Criteria!$B$25)))/((F50/1000)+2*(G50/1000*(1-SG_Criteria!$B$25))))^(2/3)*(1/Design_Selector!$B$11)^0.5,3))</f>
        <v/>
      </c>
      <c r="AN50" s="11" t="str">
        <f aca="false">IF(AM50="","",ROUND(AM50/(MAX(1,N(H50))*F50/1000*(G50/1000*(1-SG_Criteria!$B$25))),2))</f>
        <v/>
      </c>
      <c r="AO50" s="38" t="str">
        <f aca="false">IF(C50="","",IF(LEN(IF(AND(OR(D50="Roadside drain",D50="Entrance culvert"),OR(F50&lt;SG_Criteria!$B$15,G50&lt;SG_Criteria!$B$16)),"FAIL: below PUB min "&amp;SG_Criteria!$B$15&amp;"x"&amp;SG_Criteria!$B$16&amp;" for roadside drain. ","")&amp;IF(AND(D50="Common drain",F50&lt;SG_Criteria!$B$17),"FAIL: common drain W &lt; "&amp;SG_Criteria!$B$17&amp;" mm. ","")&amp;IF(AND(N50&lt;&gt;"",IFERROR(VALUE(MID(N50,2,2)),0)&lt;SG_Criteria!$B$19),"FAIL: grade below C"&amp;SG_Criteria!$B$19&amp;". ","")&amp;IF(AND(O50&lt;&gt;"",O50&lt;SG_Criteria!$B$20),"FAIL: cover &lt; "&amp;SG_Criteria!$B$20&amp;" mm. ","")&amp;IF(AND(E50="Open",G50&gt;SG_Criteria!$B$18),"NOTE: safety railing required (D &gt; "&amp;SG_Criteria!$B$18&amp;" mm). ","")&amp;IF(AND(D50="Entrance culvert",G50&lt;600),"NOTE: check hinged grating rule for culverts &lt; 600 deep (PUB Add. 3). ",""))=0,"OK",IF(AND(OR(D50="Roadside drain",D50="Entrance culvert"),OR(F50&lt;SG_Criteria!$B$15,G50&lt;SG_Criteria!$B$16)),"FAIL: below PUB min "&amp;SG_Criteria!$B$15&amp;"x"&amp;SG_Criteria!$B$16&amp;" for roadside drain. ","")&amp;IF(AND(D50="Common drain",F50&lt;SG_Criteria!$B$17),"FAIL: common drain W &lt; "&amp;SG_Criteria!$B$17&amp;" mm. ","")&amp;IF(AND(N50&lt;&gt;"",IFERROR(VALUE(MID(N50,2,2)),0)&lt;SG_Criteria!$B$19),"FAIL: grade below C"&amp;SG_Criteria!$B$19&amp;". ","")&amp;IF(AND(O50&lt;&gt;"",O50&lt;SG_Criteria!$B$20),"FAIL: cover &lt; "&amp;SG_Criteria!$B$20&amp;" mm. ","")&amp;IF(AND(E50="Open",G50&gt;SG_Criteria!$B$18),"NOTE: safety railing required (D &gt; "&amp;SG_Criteria!$B$18&amp;" mm). ","")&amp;IF(AND(D50="Entrance culvert",G50&lt;600),"NOTE: check hinged grating rule for culverts &lt; 600 deep (PUB Add. 3). ","")))</f>
        <v/>
      </c>
      <c r="AP50" s="9"/>
      <c r="AQ50" s="9"/>
      <c r="AR50" s="9"/>
      <c r="AS50" s="9"/>
      <c r="AT50" s="9"/>
      <c r="AU50" s="31"/>
      <c r="AV50" s="10" t="str">
        <f aca="false">IF(C50="","",IF(AND(V50="Approved",ISERROR(SEARCH("FAIL",AO50))),"Y","N"))</f>
        <v/>
      </c>
      <c r="AW50" s="10" t="str">
        <f aca="false">IF(C50="","",C50&amp;"|"&amp;F50&amp;"|"&amp;G50&amp;"|"&amp;L50&amp;"|"&amp;AV50)</f>
        <v/>
      </c>
    </row>
    <row r="51" customFormat="false" ht="15" hidden="false" customHeight="false" outlineLevel="0" collapsed="false">
      <c r="A51" s="10" t="str">
        <f aca="false">IF(C51="","","DRN-"&amp;IFERROR(VLOOKUP(C51,Lists!$A$4:$B$27,2,0),"??")&amp;"-"&amp;TEXT(F51,"0000")&amp;"x"&amp;TEXT(G51,"0000")&amp;IF(N(H51)&gt;1,"-"&amp;H51&amp;"C","")&amp;"-"&amp;IFERROR(VLOOKUP(L51,Lists!$J$4:$K$19,2,0),"??")&amp;"-"&amp;U51)</f>
        <v/>
      </c>
      <c r="B51" s="10" t="str">
        <f aca="false">IF(C51="","",C51&amp;" "&amp;F51&amp;"W x "&amp;G51&amp;"D"&amp;IF(N(H51)&gt;1," ("&amp;H51&amp;" cells)","")&amp;", "&amp;D51&amp;", "&amp;L51&amp;", "&amp;E51)</f>
        <v/>
      </c>
      <c r="C51" s="9"/>
      <c r="D51" s="9"/>
      <c r="E51" s="9"/>
      <c r="F51" s="40"/>
      <c r="G51" s="40"/>
      <c r="H51" s="40"/>
      <c r="I51" s="40"/>
      <c r="J51" s="40"/>
      <c r="K51" s="40"/>
      <c r="L51" s="9"/>
      <c r="M51" s="9"/>
      <c r="N51" s="9"/>
      <c r="O51" s="40"/>
      <c r="P51" s="9"/>
      <c r="Q51" s="9"/>
      <c r="R51" s="9"/>
      <c r="S51" s="9"/>
      <c r="T51" s="9"/>
      <c r="U51" s="9"/>
      <c r="V51" s="9"/>
      <c r="W51" s="9"/>
      <c r="X51" s="9"/>
      <c r="Y51" s="9"/>
      <c r="Z51" s="10" t="str">
        <f aca="false">IF(A51="","",SG_Criteria!$B$6&amp;SG_Criteria!$B$7&amp;"\"&amp;A51&amp;"\")</f>
        <v/>
      </c>
      <c r="AA51" s="10" t="str">
        <f aca="false">IF(A51="","",A51&amp;"_CAD.dwg")</f>
        <v/>
      </c>
      <c r="AB51" s="10" t="str">
        <f aca="false">IF(A51="","",A51&amp;"_DWG.pdf")</f>
        <v/>
      </c>
      <c r="AC51" s="10" t="str">
        <f aca="false">IF(A51="","",IF(Y51="Y",A51&amp;"_STAAD.std","n/a"))</f>
        <v/>
      </c>
      <c r="AD51" s="10" t="str">
        <f aca="false">IF(A51="","",A51&amp;"_CALC.xlsx")</f>
        <v/>
      </c>
      <c r="AE51" s="10" t="str">
        <f aca="false">IF(A51="","",A51&amp;"_CALC.pdf")</f>
        <v/>
      </c>
      <c r="AF51" s="9"/>
      <c r="AG51" s="9"/>
      <c r="AH51" s="41"/>
      <c r="AI51" s="41"/>
      <c r="AJ51" s="41"/>
      <c r="AK51" s="41"/>
      <c r="AL51" s="41"/>
      <c r="AM51" s="37" t="str">
        <f aca="false">IF(OR(C51="",F51="",G51="",C51="Sump",C51="Drop Inlet Chamber",C51="Silt Trap",C51="Pipe Culvert",C51="Subsoil Drain"),"",ROUND(MAX(1,N(H51))*(1/SG_Criteria!$B$26)*((F51/1000)*(G51/1000*(1-SG_Criteria!$B$25)))*(((F51/1000)*(G51/1000*(1-SG_Criteria!$B$25)))/((F51/1000)+2*(G51/1000*(1-SG_Criteria!$B$25))))^(2/3)*(1/Design_Selector!$B$11)^0.5,3))</f>
        <v/>
      </c>
      <c r="AN51" s="11" t="str">
        <f aca="false">IF(AM51="","",ROUND(AM51/(MAX(1,N(H51))*F51/1000*(G51/1000*(1-SG_Criteria!$B$25))),2))</f>
        <v/>
      </c>
      <c r="AO51" s="38" t="str">
        <f aca="false">IF(C51="","",IF(LEN(IF(AND(OR(D51="Roadside drain",D51="Entrance culvert"),OR(F51&lt;SG_Criteria!$B$15,G51&lt;SG_Criteria!$B$16)),"FAIL: below PUB min "&amp;SG_Criteria!$B$15&amp;"x"&amp;SG_Criteria!$B$16&amp;" for roadside drain. ","")&amp;IF(AND(D51="Common drain",F51&lt;SG_Criteria!$B$17),"FAIL: common drain W &lt; "&amp;SG_Criteria!$B$17&amp;" mm. ","")&amp;IF(AND(N51&lt;&gt;"",IFERROR(VALUE(MID(N51,2,2)),0)&lt;SG_Criteria!$B$19),"FAIL: grade below C"&amp;SG_Criteria!$B$19&amp;". ","")&amp;IF(AND(O51&lt;&gt;"",O51&lt;SG_Criteria!$B$20),"FAIL: cover &lt; "&amp;SG_Criteria!$B$20&amp;" mm. ","")&amp;IF(AND(E51="Open",G51&gt;SG_Criteria!$B$18),"NOTE: safety railing required (D &gt; "&amp;SG_Criteria!$B$18&amp;" mm). ","")&amp;IF(AND(D51="Entrance culvert",G51&lt;600),"NOTE: check hinged grating rule for culverts &lt; 600 deep (PUB Add. 3). ",""))=0,"OK",IF(AND(OR(D51="Roadside drain",D51="Entrance culvert"),OR(F51&lt;SG_Criteria!$B$15,G51&lt;SG_Criteria!$B$16)),"FAIL: below PUB min "&amp;SG_Criteria!$B$15&amp;"x"&amp;SG_Criteria!$B$16&amp;" for roadside drain. ","")&amp;IF(AND(D51="Common drain",F51&lt;SG_Criteria!$B$17),"FAIL: common drain W &lt; "&amp;SG_Criteria!$B$17&amp;" mm. ","")&amp;IF(AND(N51&lt;&gt;"",IFERROR(VALUE(MID(N51,2,2)),0)&lt;SG_Criteria!$B$19),"FAIL: grade below C"&amp;SG_Criteria!$B$19&amp;". ","")&amp;IF(AND(O51&lt;&gt;"",O51&lt;SG_Criteria!$B$20),"FAIL: cover &lt; "&amp;SG_Criteria!$B$20&amp;" mm. ","")&amp;IF(AND(E51="Open",G51&gt;SG_Criteria!$B$18),"NOTE: safety railing required (D &gt; "&amp;SG_Criteria!$B$18&amp;" mm). ","")&amp;IF(AND(D51="Entrance culvert",G51&lt;600),"NOTE: check hinged grating rule for culverts &lt; 600 deep (PUB Add. 3). ","")))</f>
        <v/>
      </c>
      <c r="AP51" s="9"/>
      <c r="AQ51" s="9"/>
      <c r="AR51" s="9"/>
      <c r="AS51" s="9"/>
      <c r="AT51" s="9"/>
      <c r="AU51" s="31"/>
      <c r="AV51" s="10" t="str">
        <f aca="false">IF(C51="","",IF(AND(V51="Approved",ISERROR(SEARCH("FAIL",AO51))),"Y","N"))</f>
        <v/>
      </c>
      <c r="AW51" s="10" t="str">
        <f aca="false">IF(C51="","",C51&amp;"|"&amp;F51&amp;"|"&amp;G51&amp;"|"&amp;L51&amp;"|"&amp;AV51)</f>
        <v/>
      </c>
    </row>
    <row r="52" customFormat="false" ht="15" hidden="false" customHeight="false" outlineLevel="0" collapsed="false">
      <c r="A52" s="10" t="str">
        <f aca="false">IF(C52="","","DRN-"&amp;IFERROR(VLOOKUP(C52,Lists!$A$4:$B$27,2,0),"??")&amp;"-"&amp;TEXT(F52,"0000")&amp;"x"&amp;TEXT(G52,"0000")&amp;IF(N(H52)&gt;1,"-"&amp;H52&amp;"C","")&amp;"-"&amp;IFERROR(VLOOKUP(L52,Lists!$J$4:$K$19,2,0),"??")&amp;"-"&amp;U52)</f>
        <v/>
      </c>
      <c r="B52" s="10" t="str">
        <f aca="false">IF(C52="","",C52&amp;" "&amp;F52&amp;"W x "&amp;G52&amp;"D"&amp;IF(N(H52)&gt;1," ("&amp;H52&amp;" cells)","")&amp;", "&amp;D52&amp;", "&amp;L52&amp;", "&amp;E52)</f>
        <v/>
      </c>
      <c r="C52" s="9"/>
      <c r="D52" s="9"/>
      <c r="E52" s="9"/>
      <c r="F52" s="40"/>
      <c r="G52" s="40"/>
      <c r="H52" s="40"/>
      <c r="I52" s="40"/>
      <c r="J52" s="40"/>
      <c r="K52" s="40"/>
      <c r="L52" s="9"/>
      <c r="M52" s="9"/>
      <c r="N52" s="9"/>
      <c r="O52" s="40"/>
      <c r="P52" s="9"/>
      <c r="Q52" s="9"/>
      <c r="R52" s="9"/>
      <c r="S52" s="9"/>
      <c r="T52" s="9"/>
      <c r="U52" s="9"/>
      <c r="V52" s="9"/>
      <c r="W52" s="9"/>
      <c r="X52" s="9"/>
      <c r="Y52" s="9"/>
      <c r="Z52" s="10" t="str">
        <f aca="false">IF(A52="","",SG_Criteria!$B$6&amp;SG_Criteria!$B$7&amp;"\"&amp;A52&amp;"\")</f>
        <v/>
      </c>
      <c r="AA52" s="10" t="str">
        <f aca="false">IF(A52="","",A52&amp;"_CAD.dwg")</f>
        <v/>
      </c>
      <c r="AB52" s="10" t="str">
        <f aca="false">IF(A52="","",A52&amp;"_DWG.pdf")</f>
        <v/>
      </c>
      <c r="AC52" s="10" t="str">
        <f aca="false">IF(A52="","",IF(Y52="Y",A52&amp;"_STAAD.std","n/a"))</f>
        <v/>
      </c>
      <c r="AD52" s="10" t="str">
        <f aca="false">IF(A52="","",A52&amp;"_CALC.xlsx")</f>
        <v/>
      </c>
      <c r="AE52" s="10" t="str">
        <f aca="false">IF(A52="","",A52&amp;"_CALC.pdf")</f>
        <v/>
      </c>
      <c r="AF52" s="9"/>
      <c r="AG52" s="9"/>
      <c r="AH52" s="41"/>
      <c r="AI52" s="41"/>
      <c r="AJ52" s="41"/>
      <c r="AK52" s="41"/>
      <c r="AL52" s="41"/>
      <c r="AM52" s="37" t="str">
        <f aca="false">IF(OR(C52="",F52="",G52="",C52="Sump",C52="Drop Inlet Chamber",C52="Silt Trap",C52="Pipe Culvert",C52="Subsoil Drain"),"",ROUND(MAX(1,N(H52))*(1/SG_Criteria!$B$26)*((F52/1000)*(G52/1000*(1-SG_Criteria!$B$25)))*(((F52/1000)*(G52/1000*(1-SG_Criteria!$B$25)))/((F52/1000)+2*(G52/1000*(1-SG_Criteria!$B$25))))^(2/3)*(1/Design_Selector!$B$11)^0.5,3))</f>
        <v/>
      </c>
      <c r="AN52" s="11" t="str">
        <f aca="false">IF(AM52="","",ROUND(AM52/(MAX(1,N(H52))*F52/1000*(G52/1000*(1-SG_Criteria!$B$25))),2))</f>
        <v/>
      </c>
      <c r="AO52" s="38" t="str">
        <f aca="false">IF(C52="","",IF(LEN(IF(AND(OR(D52="Roadside drain",D52="Entrance culvert"),OR(F52&lt;SG_Criteria!$B$15,G52&lt;SG_Criteria!$B$16)),"FAIL: below PUB min "&amp;SG_Criteria!$B$15&amp;"x"&amp;SG_Criteria!$B$16&amp;" for roadside drain. ","")&amp;IF(AND(D52="Common drain",F52&lt;SG_Criteria!$B$17),"FAIL: common drain W &lt; "&amp;SG_Criteria!$B$17&amp;" mm. ","")&amp;IF(AND(N52&lt;&gt;"",IFERROR(VALUE(MID(N52,2,2)),0)&lt;SG_Criteria!$B$19),"FAIL: grade below C"&amp;SG_Criteria!$B$19&amp;". ","")&amp;IF(AND(O52&lt;&gt;"",O52&lt;SG_Criteria!$B$20),"FAIL: cover &lt; "&amp;SG_Criteria!$B$20&amp;" mm. ","")&amp;IF(AND(E52="Open",G52&gt;SG_Criteria!$B$18),"NOTE: safety railing required (D &gt; "&amp;SG_Criteria!$B$18&amp;" mm). ","")&amp;IF(AND(D52="Entrance culvert",G52&lt;600),"NOTE: check hinged grating rule for culverts &lt; 600 deep (PUB Add. 3). ",""))=0,"OK",IF(AND(OR(D52="Roadside drain",D52="Entrance culvert"),OR(F52&lt;SG_Criteria!$B$15,G52&lt;SG_Criteria!$B$16)),"FAIL: below PUB min "&amp;SG_Criteria!$B$15&amp;"x"&amp;SG_Criteria!$B$16&amp;" for roadside drain. ","")&amp;IF(AND(D52="Common drain",F52&lt;SG_Criteria!$B$17),"FAIL: common drain W &lt; "&amp;SG_Criteria!$B$17&amp;" mm. ","")&amp;IF(AND(N52&lt;&gt;"",IFERROR(VALUE(MID(N52,2,2)),0)&lt;SG_Criteria!$B$19),"FAIL: grade below C"&amp;SG_Criteria!$B$19&amp;". ","")&amp;IF(AND(O52&lt;&gt;"",O52&lt;SG_Criteria!$B$20),"FAIL: cover &lt; "&amp;SG_Criteria!$B$20&amp;" mm. ","")&amp;IF(AND(E52="Open",G52&gt;SG_Criteria!$B$18),"NOTE: safety railing required (D &gt; "&amp;SG_Criteria!$B$18&amp;" mm). ","")&amp;IF(AND(D52="Entrance culvert",G52&lt;600),"NOTE: check hinged grating rule for culverts &lt; 600 deep (PUB Add. 3). ","")))</f>
        <v/>
      </c>
      <c r="AP52" s="9"/>
      <c r="AQ52" s="9"/>
      <c r="AR52" s="9"/>
      <c r="AS52" s="9"/>
      <c r="AT52" s="9"/>
      <c r="AU52" s="31"/>
      <c r="AV52" s="10" t="str">
        <f aca="false">IF(C52="","",IF(AND(V52="Approved",ISERROR(SEARCH("FAIL",AO52))),"Y","N"))</f>
        <v/>
      </c>
      <c r="AW52" s="10" t="str">
        <f aca="false">IF(C52="","",C52&amp;"|"&amp;F52&amp;"|"&amp;G52&amp;"|"&amp;L52&amp;"|"&amp;AV52)</f>
        <v/>
      </c>
    </row>
    <row r="53" customFormat="false" ht="15" hidden="false" customHeight="false" outlineLevel="0" collapsed="false">
      <c r="A53" s="10" t="str">
        <f aca="false">IF(C53="","","DRN-"&amp;IFERROR(VLOOKUP(C53,Lists!$A$4:$B$27,2,0),"??")&amp;"-"&amp;TEXT(F53,"0000")&amp;"x"&amp;TEXT(G53,"0000")&amp;IF(N(H53)&gt;1,"-"&amp;H53&amp;"C","")&amp;"-"&amp;IFERROR(VLOOKUP(L53,Lists!$J$4:$K$19,2,0),"??")&amp;"-"&amp;U53)</f>
        <v/>
      </c>
      <c r="B53" s="10" t="str">
        <f aca="false">IF(C53="","",C53&amp;" "&amp;F53&amp;"W x "&amp;G53&amp;"D"&amp;IF(N(H53)&gt;1," ("&amp;H53&amp;" cells)","")&amp;", "&amp;D53&amp;", "&amp;L53&amp;", "&amp;E53)</f>
        <v/>
      </c>
      <c r="C53" s="9"/>
      <c r="D53" s="9"/>
      <c r="E53" s="9"/>
      <c r="F53" s="40"/>
      <c r="G53" s="40"/>
      <c r="H53" s="40"/>
      <c r="I53" s="40"/>
      <c r="J53" s="40"/>
      <c r="K53" s="40"/>
      <c r="L53" s="9"/>
      <c r="M53" s="9"/>
      <c r="N53" s="9"/>
      <c r="O53" s="40"/>
      <c r="P53" s="9"/>
      <c r="Q53" s="9"/>
      <c r="R53" s="9"/>
      <c r="S53" s="9"/>
      <c r="T53" s="9"/>
      <c r="U53" s="9"/>
      <c r="V53" s="9"/>
      <c r="W53" s="9"/>
      <c r="X53" s="9"/>
      <c r="Y53" s="9"/>
      <c r="Z53" s="10" t="str">
        <f aca="false">IF(A53="","",SG_Criteria!$B$6&amp;SG_Criteria!$B$7&amp;"\"&amp;A53&amp;"\")</f>
        <v/>
      </c>
      <c r="AA53" s="10" t="str">
        <f aca="false">IF(A53="","",A53&amp;"_CAD.dwg")</f>
        <v/>
      </c>
      <c r="AB53" s="10" t="str">
        <f aca="false">IF(A53="","",A53&amp;"_DWG.pdf")</f>
        <v/>
      </c>
      <c r="AC53" s="10" t="str">
        <f aca="false">IF(A53="","",IF(Y53="Y",A53&amp;"_STAAD.std","n/a"))</f>
        <v/>
      </c>
      <c r="AD53" s="10" t="str">
        <f aca="false">IF(A53="","",A53&amp;"_CALC.xlsx")</f>
        <v/>
      </c>
      <c r="AE53" s="10" t="str">
        <f aca="false">IF(A53="","",A53&amp;"_CALC.pdf")</f>
        <v/>
      </c>
      <c r="AF53" s="9"/>
      <c r="AG53" s="9"/>
      <c r="AH53" s="41"/>
      <c r="AI53" s="41"/>
      <c r="AJ53" s="41"/>
      <c r="AK53" s="41"/>
      <c r="AL53" s="41"/>
      <c r="AM53" s="37" t="str">
        <f aca="false">IF(OR(C53="",F53="",G53="",C53="Sump",C53="Drop Inlet Chamber",C53="Silt Trap",C53="Pipe Culvert",C53="Subsoil Drain"),"",ROUND(MAX(1,N(H53))*(1/SG_Criteria!$B$26)*((F53/1000)*(G53/1000*(1-SG_Criteria!$B$25)))*(((F53/1000)*(G53/1000*(1-SG_Criteria!$B$25)))/((F53/1000)+2*(G53/1000*(1-SG_Criteria!$B$25))))^(2/3)*(1/Design_Selector!$B$11)^0.5,3))</f>
        <v/>
      </c>
      <c r="AN53" s="11" t="str">
        <f aca="false">IF(AM53="","",ROUND(AM53/(MAX(1,N(H53))*F53/1000*(G53/1000*(1-SG_Criteria!$B$25))),2))</f>
        <v/>
      </c>
      <c r="AO53" s="38" t="str">
        <f aca="false">IF(C53="","",IF(LEN(IF(AND(OR(D53="Roadside drain",D53="Entrance culvert"),OR(F53&lt;SG_Criteria!$B$15,G53&lt;SG_Criteria!$B$16)),"FAIL: below PUB min "&amp;SG_Criteria!$B$15&amp;"x"&amp;SG_Criteria!$B$16&amp;" for roadside drain. ","")&amp;IF(AND(D53="Common drain",F53&lt;SG_Criteria!$B$17),"FAIL: common drain W &lt; "&amp;SG_Criteria!$B$17&amp;" mm. ","")&amp;IF(AND(N53&lt;&gt;"",IFERROR(VALUE(MID(N53,2,2)),0)&lt;SG_Criteria!$B$19),"FAIL: grade below C"&amp;SG_Criteria!$B$19&amp;". ","")&amp;IF(AND(O53&lt;&gt;"",O53&lt;SG_Criteria!$B$20),"FAIL: cover &lt; "&amp;SG_Criteria!$B$20&amp;" mm. ","")&amp;IF(AND(E53="Open",G53&gt;SG_Criteria!$B$18),"NOTE: safety railing required (D &gt; "&amp;SG_Criteria!$B$18&amp;" mm). ","")&amp;IF(AND(D53="Entrance culvert",G53&lt;600),"NOTE: check hinged grating rule for culverts &lt; 600 deep (PUB Add. 3). ",""))=0,"OK",IF(AND(OR(D53="Roadside drain",D53="Entrance culvert"),OR(F53&lt;SG_Criteria!$B$15,G53&lt;SG_Criteria!$B$16)),"FAIL: below PUB min "&amp;SG_Criteria!$B$15&amp;"x"&amp;SG_Criteria!$B$16&amp;" for roadside drain. ","")&amp;IF(AND(D53="Common drain",F53&lt;SG_Criteria!$B$17),"FAIL: common drain W &lt; "&amp;SG_Criteria!$B$17&amp;" mm. ","")&amp;IF(AND(N53&lt;&gt;"",IFERROR(VALUE(MID(N53,2,2)),0)&lt;SG_Criteria!$B$19),"FAIL: grade below C"&amp;SG_Criteria!$B$19&amp;". ","")&amp;IF(AND(O53&lt;&gt;"",O53&lt;SG_Criteria!$B$20),"FAIL: cover &lt; "&amp;SG_Criteria!$B$20&amp;" mm. ","")&amp;IF(AND(E53="Open",G53&gt;SG_Criteria!$B$18),"NOTE: safety railing required (D &gt; "&amp;SG_Criteria!$B$18&amp;" mm). ","")&amp;IF(AND(D53="Entrance culvert",G53&lt;600),"NOTE: check hinged grating rule for culverts &lt; 600 deep (PUB Add. 3). ","")))</f>
        <v/>
      </c>
      <c r="AP53" s="9"/>
      <c r="AQ53" s="9"/>
      <c r="AR53" s="9"/>
      <c r="AS53" s="9"/>
      <c r="AT53" s="9"/>
      <c r="AU53" s="31"/>
      <c r="AV53" s="10" t="str">
        <f aca="false">IF(C53="","",IF(AND(V53="Approved",ISERROR(SEARCH("FAIL",AO53))),"Y","N"))</f>
        <v/>
      </c>
      <c r="AW53" s="10" t="str">
        <f aca="false">IF(C53="","",C53&amp;"|"&amp;F53&amp;"|"&amp;G53&amp;"|"&amp;L53&amp;"|"&amp;AV53)</f>
        <v/>
      </c>
    </row>
    <row r="54" customFormat="false" ht="15" hidden="false" customHeight="false" outlineLevel="0" collapsed="false">
      <c r="A54" s="10" t="str">
        <f aca="false">IF(C54="","","DRN-"&amp;IFERROR(VLOOKUP(C54,Lists!$A$4:$B$27,2,0),"??")&amp;"-"&amp;TEXT(F54,"0000")&amp;"x"&amp;TEXT(G54,"0000")&amp;IF(N(H54)&gt;1,"-"&amp;H54&amp;"C","")&amp;"-"&amp;IFERROR(VLOOKUP(L54,Lists!$J$4:$K$19,2,0),"??")&amp;"-"&amp;U54)</f>
        <v/>
      </c>
      <c r="B54" s="10" t="str">
        <f aca="false">IF(C54="","",C54&amp;" "&amp;F54&amp;"W x "&amp;G54&amp;"D"&amp;IF(N(H54)&gt;1," ("&amp;H54&amp;" cells)","")&amp;", "&amp;D54&amp;", "&amp;L54&amp;", "&amp;E54)</f>
        <v/>
      </c>
      <c r="C54" s="9"/>
      <c r="D54" s="9"/>
      <c r="E54" s="9"/>
      <c r="F54" s="40"/>
      <c r="G54" s="40"/>
      <c r="H54" s="40"/>
      <c r="I54" s="40"/>
      <c r="J54" s="40"/>
      <c r="K54" s="40"/>
      <c r="L54" s="9"/>
      <c r="M54" s="9"/>
      <c r="N54" s="9"/>
      <c r="O54" s="40"/>
      <c r="P54" s="9"/>
      <c r="Q54" s="9"/>
      <c r="R54" s="9"/>
      <c r="S54" s="9"/>
      <c r="T54" s="9"/>
      <c r="U54" s="9"/>
      <c r="V54" s="9"/>
      <c r="W54" s="9"/>
      <c r="X54" s="9"/>
      <c r="Y54" s="9"/>
      <c r="Z54" s="10" t="str">
        <f aca="false">IF(A54="","",SG_Criteria!$B$6&amp;SG_Criteria!$B$7&amp;"\"&amp;A54&amp;"\")</f>
        <v/>
      </c>
      <c r="AA54" s="10" t="str">
        <f aca="false">IF(A54="","",A54&amp;"_CAD.dwg")</f>
        <v/>
      </c>
      <c r="AB54" s="10" t="str">
        <f aca="false">IF(A54="","",A54&amp;"_DWG.pdf")</f>
        <v/>
      </c>
      <c r="AC54" s="10" t="str">
        <f aca="false">IF(A54="","",IF(Y54="Y",A54&amp;"_STAAD.std","n/a"))</f>
        <v/>
      </c>
      <c r="AD54" s="10" t="str">
        <f aca="false">IF(A54="","",A54&amp;"_CALC.xlsx")</f>
        <v/>
      </c>
      <c r="AE54" s="10" t="str">
        <f aca="false">IF(A54="","",A54&amp;"_CALC.pdf")</f>
        <v/>
      </c>
      <c r="AF54" s="9"/>
      <c r="AG54" s="9"/>
      <c r="AH54" s="41"/>
      <c r="AI54" s="41"/>
      <c r="AJ54" s="41"/>
      <c r="AK54" s="41"/>
      <c r="AL54" s="41"/>
      <c r="AM54" s="37" t="str">
        <f aca="false">IF(OR(C54="",F54="",G54="",C54="Sump",C54="Drop Inlet Chamber",C54="Silt Trap",C54="Pipe Culvert",C54="Subsoil Drain"),"",ROUND(MAX(1,N(H54))*(1/SG_Criteria!$B$26)*((F54/1000)*(G54/1000*(1-SG_Criteria!$B$25)))*(((F54/1000)*(G54/1000*(1-SG_Criteria!$B$25)))/((F54/1000)+2*(G54/1000*(1-SG_Criteria!$B$25))))^(2/3)*(1/Design_Selector!$B$11)^0.5,3))</f>
        <v/>
      </c>
      <c r="AN54" s="11" t="str">
        <f aca="false">IF(AM54="","",ROUND(AM54/(MAX(1,N(H54))*F54/1000*(G54/1000*(1-SG_Criteria!$B$25))),2))</f>
        <v/>
      </c>
      <c r="AO54" s="38" t="str">
        <f aca="false">IF(C54="","",IF(LEN(IF(AND(OR(D54="Roadside drain",D54="Entrance culvert"),OR(F54&lt;SG_Criteria!$B$15,G54&lt;SG_Criteria!$B$16)),"FAIL: below PUB min "&amp;SG_Criteria!$B$15&amp;"x"&amp;SG_Criteria!$B$16&amp;" for roadside drain. ","")&amp;IF(AND(D54="Common drain",F54&lt;SG_Criteria!$B$17),"FAIL: common drain W &lt; "&amp;SG_Criteria!$B$17&amp;" mm. ","")&amp;IF(AND(N54&lt;&gt;"",IFERROR(VALUE(MID(N54,2,2)),0)&lt;SG_Criteria!$B$19),"FAIL: grade below C"&amp;SG_Criteria!$B$19&amp;". ","")&amp;IF(AND(O54&lt;&gt;"",O54&lt;SG_Criteria!$B$20),"FAIL: cover &lt; "&amp;SG_Criteria!$B$20&amp;" mm. ","")&amp;IF(AND(E54="Open",G54&gt;SG_Criteria!$B$18),"NOTE: safety railing required (D &gt; "&amp;SG_Criteria!$B$18&amp;" mm). ","")&amp;IF(AND(D54="Entrance culvert",G54&lt;600),"NOTE: check hinged grating rule for culverts &lt; 600 deep (PUB Add. 3). ",""))=0,"OK",IF(AND(OR(D54="Roadside drain",D54="Entrance culvert"),OR(F54&lt;SG_Criteria!$B$15,G54&lt;SG_Criteria!$B$16)),"FAIL: below PUB min "&amp;SG_Criteria!$B$15&amp;"x"&amp;SG_Criteria!$B$16&amp;" for roadside drain. ","")&amp;IF(AND(D54="Common drain",F54&lt;SG_Criteria!$B$17),"FAIL: common drain W &lt; "&amp;SG_Criteria!$B$17&amp;" mm. ","")&amp;IF(AND(N54&lt;&gt;"",IFERROR(VALUE(MID(N54,2,2)),0)&lt;SG_Criteria!$B$19),"FAIL: grade below C"&amp;SG_Criteria!$B$19&amp;". ","")&amp;IF(AND(O54&lt;&gt;"",O54&lt;SG_Criteria!$B$20),"FAIL: cover &lt; "&amp;SG_Criteria!$B$20&amp;" mm. ","")&amp;IF(AND(E54="Open",G54&gt;SG_Criteria!$B$18),"NOTE: safety railing required (D &gt; "&amp;SG_Criteria!$B$18&amp;" mm). ","")&amp;IF(AND(D54="Entrance culvert",G54&lt;600),"NOTE: check hinged grating rule for culverts &lt; 600 deep (PUB Add. 3). ","")))</f>
        <v/>
      </c>
      <c r="AP54" s="9"/>
      <c r="AQ54" s="9"/>
      <c r="AR54" s="9"/>
      <c r="AS54" s="9"/>
      <c r="AT54" s="9"/>
      <c r="AU54" s="31"/>
      <c r="AV54" s="10" t="str">
        <f aca="false">IF(C54="","",IF(AND(V54="Approved",ISERROR(SEARCH("FAIL",AO54))),"Y","N"))</f>
        <v/>
      </c>
      <c r="AW54" s="10" t="str">
        <f aca="false">IF(C54="","",C54&amp;"|"&amp;F54&amp;"|"&amp;G54&amp;"|"&amp;L54&amp;"|"&amp;AV54)</f>
        <v/>
      </c>
    </row>
    <row r="55" customFormat="false" ht="15" hidden="false" customHeight="false" outlineLevel="0" collapsed="false">
      <c r="A55" s="10" t="str">
        <f aca="false">IF(C55="","","DRN-"&amp;IFERROR(VLOOKUP(C55,Lists!$A$4:$B$27,2,0),"??")&amp;"-"&amp;TEXT(F55,"0000")&amp;"x"&amp;TEXT(G55,"0000")&amp;IF(N(H55)&gt;1,"-"&amp;H55&amp;"C","")&amp;"-"&amp;IFERROR(VLOOKUP(L55,Lists!$J$4:$K$19,2,0),"??")&amp;"-"&amp;U55)</f>
        <v/>
      </c>
      <c r="B55" s="10" t="str">
        <f aca="false">IF(C55="","",C55&amp;" "&amp;F55&amp;"W x "&amp;G55&amp;"D"&amp;IF(N(H55)&gt;1," ("&amp;H55&amp;" cells)","")&amp;", "&amp;D55&amp;", "&amp;L55&amp;", "&amp;E55)</f>
        <v/>
      </c>
      <c r="C55" s="9"/>
      <c r="D55" s="9"/>
      <c r="E55" s="9"/>
      <c r="F55" s="40"/>
      <c r="G55" s="40"/>
      <c r="H55" s="40"/>
      <c r="I55" s="40"/>
      <c r="J55" s="40"/>
      <c r="K55" s="40"/>
      <c r="L55" s="9"/>
      <c r="M55" s="9"/>
      <c r="N55" s="9"/>
      <c r="O55" s="40"/>
      <c r="P55" s="9"/>
      <c r="Q55" s="9"/>
      <c r="R55" s="9"/>
      <c r="S55" s="9"/>
      <c r="T55" s="9"/>
      <c r="U55" s="9"/>
      <c r="V55" s="9"/>
      <c r="W55" s="9"/>
      <c r="X55" s="9"/>
      <c r="Y55" s="9"/>
      <c r="Z55" s="10" t="str">
        <f aca="false">IF(A55="","",SG_Criteria!$B$6&amp;SG_Criteria!$B$7&amp;"\"&amp;A55&amp;"\")</f>
        <v/>
      </c>
      <c r="AA55" s="10" t="str">
        <f aca="false">IF(A55="","",A55&amp;"_CAD.dwg")</f>
        <v/>
      </c>
      <c r="AB55" s="10" t="str">
        <f aca="false">IF(A55="","",A55&amp;"_DWG.pdf")</f>
        <v/>
      </c>
      <c r="AC55" s="10" t="str">
        <f aca="false">IF(A55="","",IF(Y55="Y",A55&amp;"_STAAD.std","n/a"))</f>
        <v/>
      </c>
      <c r="AD55" s="10" t="str">
        <f aca="false">IF(A55="","",A55&amp;"_CALC.xlsx")</f>
        <v/>
      </c>
      <c r="AE55" s="10" t="str">
        <f aca="false">IF(A55="","",A55&amp;"_CALC.pdf")</f>
        <v/>
      </c>
      <c r="AF55" s="9"/>
      <c r="AG55" s="9"/>
      <c r="AH55" s="41"/>
      <c r="AI55" s="41"/>
      <c r="AJ55" s="41"/>
      <c r="AK55" s="41"/>
      <c r="AL55" s="41"/>
      <c r="AM55" s="37" t="str">
        <f aca="false">IF(OR(C55="",F55="",G55="",C55="Sump",C55="Drop Inlet Chamber",C55="Silt Trap",C55="Pipe Culvert",C55="Subsoil Drain"),"",ROUND(MAX(1,N(H55))*(1/SG_Criteria!$B$26)*((F55/1000)*(G55/1000*(1-SG_Criteria!$B$25)))*(((F55/1000)*(G55/1000*(1-SG_Criteria!$B$25)))/((F55/1000)+2*(G55/1000*(1-SG_Criteria!$B$25))))^(2/3)*(1/Design_Selector!$B$11)^0.5,3))</f>
        <v/>
      </c>
      <c r="AN55" s="11" t="str">
        <f aca="false">IF(AM55="","",ROUND(AM55/(MAX(1,N(H55))*F55/1000*(G55/1000*(1-SG_Criteria!$B$25))),2))</f>
        <v/>
      </c>
      <c r="AO55" s="38" t="str">
        <f aca="false">IF(C55="","",IF(LEN(IF(AND(OR(D55="Roadside drain",D55="Entrance culvert"),OR(F55&lt;SG_Criteria!$B$15,G55&lt;SG_Criteria!$B$16)),"FAIL: below PUB min "&amp;SG_Criteria!$B$15&amp;"x"&amp;SG_Criteria!$B$16&amp;" for roadside drain. ","")&amp;IF(AND(D55="Common drain",F55&lt;SG_Criteria!$B$17),"FAIL: common drain W &lt; "&amp;SG_Criteria!$B$17&amp;" mm. ","")&amp;IF(AND(N55&lt;&gt;"",IFERROR(VALUE(MID(N55,2,2)),0)&lt;SG_Criteria!$B$19),"FAIL: grade below C"&amp;SG_Criteria!$B$19&amp;". ","")&amp;IF(AND(O55&lt;&gt;"",O55&lt;SG_Criteria!$B$20),"FAIL: cover &lt; "&amp;SG_Criteria!$B$20&amp;" mm. ","")&amp;IF(AND(E55="Open",G55&gt;SG_Criteria!$B$18),"NOTE: safety railing required (D &gt; "&amp;SG_Criteria!$B$18&amp;" mm). ","")&amp;IF(AND(D55="Entrance culvert",G55&lt;600),"NOTE: check hinged grating rule for culverts &lt; 600 deep (PUB Add. 3). ",""))=0,"OK",IF(AND(OR(D55="Roadside drain",D55="Entrance culvert"),OR(F55&lt;SG_Criteria!$B$15,G55&lt;SG_Criteria!$B$16)),"FAIL: below PUB min "&amp;SG_Criteria!$B$15&amp;"x"&amp;SG_Criteria!$B$16&amp;" for roadside drain. ","")&amp;IF(AND(D55="Common drain",F55&lt;SG_Criteria!$B$17),"FAIL: common drain W &lt; "&amp;SG_Criteria!$B$17&amp;" mm. ","")&amp;IF(AND(N55&lt;&gt;"",IFERROR(VALUE(MID(N55,2,2)),0)&lt;SG_Criteria!$B$19),"FAIL: grade below C"&amp;SG_Criteria!$B$19&amp;". ","")&amp;IF(AND(O55&lt;&gt;"",O55&lt;SG_Criteria!$B$20),"FAIL: cover &lt; "&amp;SG_Criteria!$B$20&amp;" mm. ","")&amp;IF(AND(E55="Open",G55&gt;SG_Criteria!$B$18),"NOTE: safety railing required (D &gt; "&amp;SG_Criteria!$B$18&amp;" mm). ","")&amp;IF(AND(D55="Entrance culvert",G55&lt;600),"NOTE: check hinged grating rule for culverts &lt; 600 deep (PUB Add. 3). ","")))</f>
        <v/>
      </c>
      <c r="AP55" s="9"/>
      <c r="AQ55" s="9"/>
      <c r="AR55" s="9"/>
      <c r="AS55" s="9"/>
      <c r="AT55" s="9"/>
      <c r="AU55" s="31"/>
      <c r="AV55" s="10" t="str">
        <f aca="false">IF(C55="","",IF(AND(V55="Approved",ISERROR(SEARCH("FAIL",AO55))),"Y","N"))</f>
        <v/>
      </c>
      <c r="AW55" s="10" t="str">
        <f aca="false">IF(C55="","",C55&amp;"|"&amp;F55&amp;"|"&amp;G55&amp;"|"&amp;L55&amp;"|"&amp;AV55)</f>
        <v/>
      </c>
    </row>
    <row r="56" customFormat="false" ht="15" hidden="false" customHeight="false" outlineLevel="0" collapsed="false">
      <c r="A56" s="10" t="str">
        <f aca="false">IF(C56="","","DRN-"&amp;IFERROR(VLOOKUP(C56,Lists!$A$4:$B$27,2,0),"??")&amp;"-"&amp;TEXT(F56,"0000")&amp;"x"&amp;TEXT(G56,"0000")&amp;IF(N(H56)&gt;1,"-"&amp;H56&amp;"C","")&amp;"-"&amp;IFERROR(VLOOKUP(L56,Lists!$J$4:$K$19,2,0),"??")&amp;"-"&amp;U56)</f>
        <v/>
      </c>
      <c r="B56" s="10" t="str">
        <f aca="false">IF(C56="","",C56&amp;" "&amp;F56&amp;"W x "&amp;G56&amp;"D"&amp;IF(N(H56)&gt;1," ("&amp;H56&amp;" cells)","")&amp;", "&amp;D56&amp;", "&amp;L56&amp;", "&amp;E56)</f>
        <v/>
      </c>
      <c r="C56" s="9"/>
      <c r="D56" s="9"/>
      <c r="E56" s="9"/>
      <c r="F56" s="40"/>
      <c r="G56" s="40"/>
      <c r="H56" s="40"/>
      <c r="I56" s="40"/>
      <c r="J56" s="40"/>
      <c r="K56" s="40"/>
      <c r="L56" s="9"/>
      <c r="M56" s="9"/>
      <c r="N56" s="9"/>
      <c r="O56" s="40"/>
      <c r="P56" s="9"/>
      <c r="Q56" s="9"/>
      <c r="R56" s="9"/>
      <c r="S56" s="9"/>
      <c r="T56" s="9"/>
      <c r="U56" s="9"/>
      <c r="V56" s="9"/>
      <c r="W56" s="9"/>
      <c r="X56" s="9"/>
      <c r="Y56" s="9"/>
      <c r="Z56" s="10" t="str">
        <f aca="false">IF(A56="","",SG_Criteria!$B$6&amp;SG_Criteria!$B$7&amp;"\"&amp;A56&amp;"\")</f>
        <v/>
      </c>
      <c r="AA56" s="10" t="str">
        <f aca="false">IF(A56="","",A56&amp;"_CAD.dwg")</f>
        <v/>
      </c>
      <c r="AB56" s="10" t="str">
        <f aca="false">IF(A56="","",A56&amp;"_DWG.pdf")</f>
        <v/>
      </c>
      <c r="AC56" s="10" t="str">
        <f aca="false">IF(A56="","",IF(Y56="Y",A56&amp;"_STAAD.std","n/a"))</f>
        <v/>
      </c>
      <c r="AD56" s="10" t="str">
        <f aca="false">IF(A56="","",A56&amp;"_CALC.xlsx")</f>
        <v/>
      </c>
      <c r="AE56" s="10" t="str">
        <f aca="false">IF(A56="","",A56&amp;"_CALC.pdf")</f>
        <v/>
      </c>
      <c r="AF56" s="9"/>
      <c r="AG56" s="9"/>
      <c r="AH56" s="41"/>
      <c r="AI56" s="41"/>
      <c r="AJ56" s="41"/>
      <c r="AK56" s="41"/>
      <c r="AL56" s="41"/>
      <c r="AM56" s="37" t="str">
        <f aca="false">IF(OR(C56="",F56="",G56="",C56="Sump",C56="Drop Inlet Chamber",C56="Silt Trap",C56="Pipe Culvert",C56="Subsoil Drain"),"",ROUND(MAX(1,N(H56))*(1/SG_Criteria!$B$26)*((F56/1000)*(G56/1000*(1-SG_Criteria!$B$25)))*(((F56/1000)*(G56/1000*(1-SG_Criteria!$B$25)))/((F56/1000)+2*(G56/1000*(1-SG_Criteria!$B$25))))^(2/3)*(1/Design_Selector!$B$11)^0.5,3))</f>
        <v/>
      </c>
      <c r="AN56" s="11" t="str">
        <f aca="false">IF(AM56="","",ROUND(AM56/(MAX(1,N(H56))*F56/1000*(G56/1000*(1-SG_Criteria!$B$25))),2))</f>
        <v/>
      </c>
      <c r="AO56" s="38" t="str">
        <f aca="false">IF(C56="","",IF(LEN(IF(AND(OR(D56="Roadside drain",D56="Entrance culvert"),OR(F56&lt;SG_Criteria!$B$15,G56&lt;SG_Criteria!$B$16)),"FAIL: below PUB min "&amp;SG_Criteria!$B$15&amp;"x"&amp;SG_Criteria!$B$16&amp;" for roadside drain. ","")&amp;IF(AND(D56="Common drain",F56&lt;SG_Criteria!$B$17),"FAIL: common drain W &lt; "&amp;SG_Criteria!$B$17&amp;" mm. ","")&amp;IF(AND(N56&lt;&gt;"",IFERROR(VALUE(MID(N56,2,2)),0)&lt;SG_Criteria!$B$19),"FAIL: grade below C"&amp;SG_Criteria!$B$19&amp;". ","")&amp;IF(AND(O56&lt;&gt;"",O56&lt;SG_Criteria!$B$20),"FAIL: cover &lt; "&amp;SG_Criteria!$B$20&amp;" mm. ","")&amp;IF(AND(E56="Open",G56&gt;SG_Criteria!$B$18),"NOTE: safety railing required (D &gt; "&amp;SG_Criteria!$B$18&amp;" mm). ","")&amp;IF(AND(D56="Entrance culvert",G56&lt;600),"NOTE: check hinged grating rule for culverts &lt; 600 deep (PUB Add. 3). ",""))=0,"OK",IF(AND(OR(D56="Roadside drain",D56="Entrance culvert"),OR(F56&lt;SG_Criteria!$B$15,G56&lt;SG_Criteria!$B$16)),"FAIL: below PUB min "&amp;SG_Criteria!$B$15&amp;"x"&amp;SG_Criteria!$B$16&amp;" for roadside drain. ","")&amp;IF(AND(D56="Common drain",F56&lt;SG_Criteria!$B$17),"FAIL: common drain W &lt; "&amp;SG_Criteria!$B$17&amp;" mm. ","")&amp;IF(AND(N56&lt;&gt;"",IFERROR(VALUE(MID(N56,2,2)),0)&lt;SG_Criteria!$B$19),"FAIL: grade below C"&amp;SG_Criteria!$B$19&amp;". ","")&amp;IF(AND(O56&lt;&gt;"",O56&lt;SG_Criteria!$B$20),"FAIL: cover &lt; "&amp;SG_Criteria!$B$20&amp;" mm. ","")&amp;IF(AND(E56="Open",G56&gt;SG_Criteria!$B$18),"NOTE: safety railing required (D &gt; "&amp;SG_Criteria!$B$18&amp;" mm). ","")&amp;IF(AND(D56="Entrance culvert",G56&lt;600),"NOTE: check hinged grating rule for culverts &lt; 600 deep (PUB Add. 3). ","")))</f>
        <v/>
      </c>
      <c r="AP56" s="9"/>
      <c r="AQ56" s="9"/>
      <c r="AR56" s="9"/>
      <c r="AS56" s="9"/>
      <c r="AT56" s="9"/>
      <c r="AU56" s="31"/>
      <c r="AV56" s="10" t="str">
        <f aca="false">IF(C56="","",IF(AND(V56="Approved",ISERROR(SEARCH("FAIL",AO56))),"Y","N"))</f>
        <v/>
      </c>
      <c r="AW56" s="10" t="str">
        <f aca="false">IF(C56="","",C56&amp;"|"&amp;F56&amp;"|"&amp;G56&amp;"|"&amp;L56&amp;"|"&amp;AV56)</f>
        <v/>
      </c>
    </row>
    <row r="57" customFormat="false" ht="15" hidden="false" customHeight="false" outlineLevel="0" collapsed="false">
      <c r="A57" s="10" t="str">
        <f aca="false">IF(C57="","","DRN-"&amp;IFERROR(VLOOKUP(C57,Lists!$A$4:$B$27,2,0),"??")&amp;"-"&amp;TEXT(F57,"0000")&amp;"x"&amp;TEXT(G57,"0000")&amp;IF(N(H57)&gt;1,"-"&amp;H57&amp;"C","")&amp;"-"&amp;IFERROR(VLOOKUP(L57,Lists!$J$4:$K$19,2,0),"??")&amp;"-"&amp;U57)</f>
        <v/>
      </c>
      <c r="B57" s="10" t="str">
        <f aca="false">IF(C57="","",C57&amp;" "&amp;F57&amp;"W x "&amp;G57&amp;"D"&amp;IF(N(H57)&gt;1," ("&amp;H57&amp;" cells)","")&amp;", "&amp;D57&amp;", "&amp;L57&amp;", "&amp;E57)</f>
        <v/>
      </c>
      <c r="C57" s="9"/>
      <c r="D57" s="9"/>
      <c r="E57" s="9"/>
      <c r="F57" s="40"/>
      <c r="G57" s="40"/>
      <c r="H57" s="40"/>
      <c r="I57" s="40"/>
      <c r="J57" s="40"/>
      <c r="K57" s="40"/>
      <c r="L57" s="9"/>
      <c r="M57" s="9"/>
      <c r="N57" s="9"/>
      <c r="O57" s="40"/>
      <c r="P57" s="9"/>
      <c r="Q57" s="9"/>
      <c r="R57" s="9"/>
      <c r="S57" s="9"/>
      <c r="T57" s="9"/>
      <c r="U57" s="9"/>
      <c r="V57" s="9"/>
      <c r="W57" s="9"/>
      <c r="X57" s="9"/>
      <c r="Y57" s="9"/>
      <c r="Z57" s="10" t="str">
        <f aca="false">IF(A57="","",SG_Criteria!$B$6&amp;SG_Criteria!$B$7&amp;"\"&amp;A57&amp;"\")</f>
        <v/>
      </c>
      <c r="AA57" s="10" t="str">
        <f aca="false">IF(A57="","",A57&amp;"_CAD.dwg")</f>
        <v/>
      </c>
      <c r="AB57" s="10" t="str">
        <f aca="false">IF(A57="","",A57&amp;"_DWG.pdf")</f>
        <v/>
      </c>
      <c r="AC57" s="10" t="str">
        <f aca="false">IF(A57="","",IF(Y57="Y",A57&amp;"_STAAD.std","n/a"))</f>
        <v/>
      </c>
      <c r="AD57" s="10" t="str">
        <f aca="false">IF(A57="","",A57&amp;"_CALC.xlsx")</f>
        <v/>
      </c>
      <c r="AE57" s="10" t="str">
        <f aca="false">IF(A57="","",A57&amp;"_CALC.pdf")</f>
        <v/>
      </c>
      <c r="AF57" s="9"/>
      <c r="AG57" s="9"/>
      <c r="AH57" s="41"/>
      <c r="AI57" s="41"/>
      <c r="AJ57" s="41"/>
      <c r="AK57" s="41"/>
      <c r="AL57" s="41"/>
      <c r="AM57" s="37" t="str">
        <f aca="false">IF(OR(C57="",F57="",G57="",C57="Sump",C57="Drop Inlet Chamber",C57="Silt Trap",C57="Pipe Culvert",C57="Subsoil Drain"),"",ROUND(MAX(1,N(H57))*(1/SG_Criteria!$B$26)*((F57/1000)*(G57/1000*(1-SG_Criteria!$B$25)))*(((F57/1000)*(G57/1000*(1-SG_Criteria!$B$25)))/((F57/1000)+2*(G57/1000*(1-SG_Criteria!$B$25))))^(2/3)*(1/Design_Selector!$B$11)^0.5,3))</f>
        <v/>
      </c>
      <c r="AN57" s="11" t="str">
        <f aca="false">IF(AM57="","",ROUND(AM57/(MAX(1,N(H57))*F57/1000*(G57/1000*(1-SG_Criteria!$B$25))),2))</f>
        <v/>
      </c>
      <c r="AO57" s="38" t="str">
        <f aca="false">IF(C57="","",IF(LEN(IF(AND(OR(D57="Roadside drain",D57="Entrance culvert"),OR(F57&lt;SG_Criteria!$B$15,G57&lt;SG_Criteria!$B$16)),"FAIL: below PUB min "&amp;SG_Criteria!$B$15&amp;"x"&amp;SG_Criteria!$B$16&amp;" for roadside drain. ","")&amp;IF(AND(D57="Common drain",F57&lt;SG_Criteria!$B$17),"FAIL: common drain W &lt; "&amp;SG_Criteria!$B$17&amp;" mm. ","")&amp;IF(AND(N57&lt;&gt;"",IFERROR(VALUE(MID(N57,2,2)),0)&lt;SG_Criteria!$B$19),"FAIL: grade below C"&amp;SG_Criteria!$B$19&amp;". ","")&amp;IF(AND(O57&lt;&gt;"",O57&lt;SG_Criteria!$B$20),"FAIL: cover &lt; "&amp;SG_Criteria!$B$20&amp;" mm. ","")&amp;IF(AND(E57="Open",G57&gt;SG_Criteria!$B$18),"NOTE: safety railing required (D &gt; "&amp;SG_Criteria!$B$18&amp;" mm). ","")&amp;IF(AND(D57="Entrance culvert",G57&lt;600),"NOTE: check hinged grating rule for culverts &lt; 600 deep (PUB Add. 3). ",""))=0,"OK",IF(AND(OR(D57="Roadside drain",D57="Entrance culvert"),OR(F57&lt;SG_Criteria!$B$15,G57&lt;SG_Criteria!$B$16)),"FAIL: below PUB min "&amp;SG_Criteria!$B$15&amp;"x"&amp;SG_Criteria!$B$16&amp;" for roadside drain. ","")&amp;IF(AND(D57="Common drain",F57&lt;SG_Criteria!$B$17),"FAIL: common drain W &lt; "&amp;SG_Criteria!$B$17&amp;" mm. ","")&amp;IF(AND(N57&lt;&gt;"",IFERROR(VALUE(MID(N57,2,2)),0)&lt;SG_Criteria!$B$19),"FAIL: grade below C"&amp;SG_Criteria!$B$19&amp;". ","")&amp;IF(AND(O57&lt;&gt;"",O57&lt;SG_Criteria!$B$20),"FAIL: cover &lt; "&amp;SG_Criteria!$B$20&amp;" mm. ","")&amp;IF(AND(E57="Open",G57&gt;SG_Criteria!$B$18),"NOTE: safety railing required (D &gt; "&amp;SG_Criteria!$B$18&amp;" mm). ","")&amp;IF(AND(D57="Entrance culvert",G57&lt;600),"NOTE: check hinged grating rule for culverts &lt; 600 deep (PUB Add. 3). ","")))</f>
        <v/>
      </c>
      <c r="AP57" s="9"/>
      <c r="AQ57" s="9"/>
      <c r="AR57" s="9"/>
      <c r="AS57" s="9"/>
      <c r="AT57" s="9"/>
      <c r="AU57" s="31"/>
      <c r="AV57" s="10" t="str">
        <f aca="false">IF(C57="","",IF(AND(V57="Approved",ISERROR(SEARCH("FAIL",AO57))),"Y","N"))</f>
        <v/>
      </c>
      <c r="AW57" s="10" t="str">
        <f aca="false">IF(C57="","",C57&amp;"|"&amp;F57&amp;"|"&amp;G57&amp;"|"&amp;L57&amp;"|"&amp;AV57)</f>
        <v/>
      </c>
    </row>
    <row r="58" customFormat="false" ht="15" hidden="false" customHeight="false" outlineLevel="0" collapsed="false">
      <c r="A58" s="10" t="str">
        <f aca="false">IF(C58="","","DRN-"&amp;IFERROR(VLOOKUP(C58,Lists!$A$4:$B$27,2,0),"??")&amp;"-"&amp;TEXT(F58,"0000")&amp;"x"&amp;TEXT(G58,"0000")&amp;IF(N(H58)&gt;1,"-"&amp;H58&amp;"C","")&amp;"-"&amp;IFERROR(VLOOKUP(L58,Lists!$J$4:$K$19,2,0),"??")&amp;"-"&amp;U58)</f>
        <v/>
      </c>
      <c r="B58" s="10" t="str">
        <f aca="false">IF(C58="","",C58&amp;" "&amp;F58&amp;"W x "&amp;G58&amp;"D"&amp;IF(N(H58)&gt;1," ("&amp;H58&amp;" cells)","")&amp;", "&amp;D58&amp;", "&amp;L58&amp;", "&amp;E58)</f>
        <v/>
      </c>
      <c r="C58" s="9"/>
      <c r="D58" s="9"/>
      <c r="E58" s="9"/>
      <c r="F58" s="40"/>
      <c r="G58" s="40"/>
      <c r="H58" s="40"/>
      <c r="I58" s="40"/>
      <c r="J58" s="40"/>
      <c r="K58" s="40"/>
      <c r="L58" s="9"/>
      <c r="M58" s="9"/>
      <c r="N58" s="9"/>
      <c r="O58" s="40"/>
      <c r="P58" s="9"/>
      <c r="Q58" s="9"/>
      <c r="R58" s="9"/>
      <c r="S58" s="9"/>
      <c r="T58" s="9"/>
      <c r="U58" s="9"/>
      <c r="V58" s="9"/>
      <c r="W58" s="9"/>
      <c r="X58" s="9"/>
      <c r="Y58" s="9"/>
      <c r="Z58" s="10" t="str">
        <f aca="false">IF(A58="","",SG_Criteria!$B$6&amp;SG_Criteria!$B$7&amp;"\"&amp;A58&amp;"\")</f>
        <v/>
      </c>
      <c r="AA58" s="10" t="str">
        <f aca="false">IF(A58="","",A58&amp;"_CAD.dwg")</f>
        <v/>
      </c>
      <c r="AB58" s="10" t="str">
        <f aca="false">IF(A58="","",A58&amp;"_DWG.pdf")</f>
        <v/>
      </c>
      <c r="AC58" s="10" t="str">
        <f aca="false">IF(A58="","",IF(Y58="Y",A58&amp;"_STAAD.std","n/a"))</f>
        <v/>
      </c>
      <c r="AD58" s="10" t="str">
        <f aca="false">IF(A58="","",A58&amp;"_CALC.xlsx")</f>
        <v/>
      </c>
      <c r="AE58" s="10" t="str">
        <f aca="false">IF(A58="","",A58&amp;"_CALC.pdf")</f>
        <v/>
      </c>
      <c r="AF58" s="9"/>
      <c r="AG58" s="9"/>
      <c r="AH58" s="41"/>
      <c r="AI58" s="41"/>
      <c r="AJ58" s="41"/>
      <c r="AK58" s="41"/>
      <c r="AL58" s="41"/>
      <c r="AM58" s="37" t="str">
        <f aca="false">IF(OR(C58="",F58="",G58="",C58="Sump",C58="Drop Inlet Chamber",C58="Silt Trap",C58="Pipe Culvert",C58="Subsoil Drain"),"",ROUND(MAX(1,N(H58))*(1/SG_Criteria!$B$26)*((F58/1000)*(G58/1000*(1-SG_Criteria!$B$25)))*(((F58/1000)*(G58/1000*(1-SG_Criteria!$B$25)))/((F58/1000)+2*(G58/1000*(1-SG_Criteria!$B$25))))^(2/3)*(1/Design_Selector!$B$11)^0.5,3))</f>
        <v/>
      </c>
      <c r="AN58" s="11" t="str">
        <f aca="false">IF(AM58="","",ROUND(AM58/(MAX(1,N(H58))*F58/1000*(G58/1000*(1-SG_Criteria!$B$25))),2))</f>
        <v/>
      </c>
      <c r="AO58" s="38" t="str">
        <f aca="false">IF(C58="","",IF(LEN(IF(AND(OR(D58="Roadside drain",D58="Entrance culvert"),OR(F58&lt;SG_Criteria!$B$15,G58&lt;SG_Criteria!$B$16)),"FAIL: below PUB min "&amp;SG_Criteria!$B$15&amp;"x"&amp;SG_Criteria!$B$16&amp;" for roadside drain. ","")&amp;IF(AND(D58="Common drain",F58&lt;SG_Criteria!$B$17),"FAIL: common drain W &lt; "&amp;SG_Criteria!$B$17&amp;" mm. ","")&amp;IF(AND(N58&lt;&gt;"",IFERROR(VALUE(MID(N58,2,2)),0)&lt;SG_Criteria!$B$19),"FAIL: grade below C"&amp;SG_Criteria!$B$19&amp;". ","")&amp;IF(AND(O58&lt;&gt;"",O58&lt;SG_Criteria!$B$20),"FAIL: cover &lt; "&amp;SG_Criteria!$B$20&amp;" mm. ","")&amp;IF(AND(E58="Open",G58&gt;SG_Criteria!$B$18),"NOTE: safety railing required (D &gt; "&amp;SG_Criteria!$B$18&amp;" mm). ","")&amp;IF(AND(D58="Entrance culvert",G58&lt;600),"NOTE: check hinged grating rule for culverts &lt; 600 deep (PUB Add. 3). ",""))=0,"OK",IF(AND(OR(D58="Roadside drain",D58="Entrance culvert"),OR(F58&lt;SG_Criteria!$B$15,G58&lt;SG_Criteria!$B$16)),"FAIL: below PUB min "&amp;SG_Criteria!$B$15&amp;"x"&amp;SG_Criteria!$B$16&amp;" for roadside drain. ","")&amp;IF(AND(D58="Common drain",F58&lt;SG_Criteria!$B$17),"FAIL: common drain W &lt; "&amp;SG_Criteria!$B$17&amp;" mm. ","")&amp;IF(AND(N58&lt;&gt;"",IFERROR(VALUE(MID(N58,2,2)),0)&lt;SG_Criteria!$B$19),"FAIL: grade below C"&amp;SG_Criteria!$B$19&amp;". ","")&amp;IF(AND(O58&lt;&gt;"",O58&lt;SG_Criteria!$B$20),"FAIL: cover &lt; "&amp;SG_Criteria!$B$20&amp;" mm. ","")&amp;IF(AND(E58="Open",G58&gt;SG_Criteria!$B$18),"NOTE: safety railing required (D &gt; "&amp;SG_Criteria!$B$18&amp;" mm). ","")&amp;IF(AND(D58="Entrance culvert",G58&lt;600),"NOTE: check hinged grating rule for culverts &lt; 600 deep (PUB Add. 3). ","")))</f>
        <v/>
      </c>
      <c r="AP58" s="9"/>
      <c r="AQ58" s="9"/>
      <c r="AR58" s="9"/>
      <c r="AS58" s="9"/>
      <c r="AT58" s="9"/>
      <c r="AU58" s="31"/>
      <c r="AV58" s="10" t="str">
        <f aca="false">IF(C58="","",IF(AND(V58="Approved",ISERROR(SEARCH("FAIL",AO58))),"Y","N"))</f>
        <v/>
      </c>
      <c r="AW58" s="10" t="str">
        <f aca="false">IF(C58="","",C58&amp;"|"&amp;F58&amp;"|"&amp;G58&amp;"|"&amp;L58&amp;"|"&amp;AV58)</f>
        <v/>
      </c>
    </row>
    <row r="59" customFormat="false" ht="15" hidden="false" customHeight="false" outlineLevel="0" collapsed="false">
      <c r="A59" s="10" t="str">
        <f aca="false">IF(C59="","","DRN-"&amp;IFERROR(VLOOKUP(C59,Lists!$A$4:$B$27,2,0),"??")&amp;"-"&amp;TEXT(F59,"0000")&amp;"x"&amp;TEXT(G59,"0000")&amp;IF(N(H59)&gt;1,"-"&amp;H59&amp;"C","")&amp;"-"&amp;IFERROR(VLOOKUP(L59,Lists!$J$4:$K$19,2,0),"??")&amp;"-"&amp;U59)</f>
        <v/>
      </c>
      <c r="B59" s="10" t="str">
        <f aca="false">IF(C59="","",C59&amp;" "&amp;F59&amp;"W x "&amp;G59&amp;"D"&amp;IF(N(H59)&gt;1," ("&amp;H59&amp;" cells)","")&amp;", "&amp;D59&amp;", "&amp;L59&amp;", "&amp;E59)</f>
        <v/>
      </c>
      <c r="C59" s="9"/>
      <c r="D59" s="9"/>
      <c r="E59" s="9"/>
      <c r="F59" s="40"/>
      <c r="G59" s="40"/>
      <c r="H59" s="40"/>
      <c r="I59" s="40"/>
      <c r="J59" s="40"/>
      <c r="K59" s="40"/>
      <c r="L59" s="9"/>
      <c r="M59" s="9"/>
      <c r="N59" s="9"/>
      <c r="O59" s="40"/>
      <c r="P59" s="9"/>
      <c r="Q59" s="9"/>
      <c r="R59" s="9"/>
      <c r="S59" s="9"/>
      <c r="T59" s="9"/>
      <c r="U59" s="9"/>
      <c r="V59" s="9"/>
      <c r="W59" s="9"/>
      <c r="X59" s="9"/>
      <c r="Y59" s="9"/>
      <c r="Z59" s="10" t="str">
        <f aca="false">IF(A59="","",SG_Criteria!$B$6&amp;SG_Criteria!$B$7&amp;"\"&amp;A59&amp;"\")</f>
        <v/>
      </c>
      <c r="AA59" s="10" t="str">
        <f aca="false">IF(A59="","",A59&amp;"_CAD.dwg")</f>
        <v/>
      </c>
      <c r="AB59" s="10" t="str">
        <f aca="false">IF(A59="","",A59&amp;"_DWG.pdf")</f>
        <v/>
      </c>
      <c r="AC59" s="10" t="str">
        <f aca="false">IF(A59="","",IF(Y59="Y",A59&amp;"_STAAD.std","n/a"))</f>
        <v/>
      </c>
      <c r="AD59" s="10" t="str">
        <f aca="false">IF(A59="","",A59&amp;"_CALC.xlsx")</f>
        <v/>
      </c>
      <c r="AE59" s="10" t="str">
        <f aca="false">IF(A59="","",A59&amp;"_CALC.pdf")</f>
        <v/>
      </c>
      <c r="AF59" s="9"/>
      <c r="AG59" s="9"/>
      <c r="AH59" s="41"/>
      <c r="AI59" s="41"/>
      <c r="AJ59" s="41"/>
      <c r="AK59" s="41"/>
      <c r="AL59" s="41"/>
      <c r="AM59" s="37" t="str">
        <f aca="false">IF(OR(C59="",F59="",G59="",C59="Sump",C59="Drop Inlet Chamber",C59="Silt Trap",C59="Pipe Culvert",C59="Subsoil Drain"),"",ROUND(MAX(1,N(H59))*(1/SG_Criteria!$B$26)*((F59/1000)*(G59/1000*(1-SG_Criteria!$B$25)))*(((F59/1000)*(G59/1000*(1-SG_Criteria!$B$25)))/((F59/1000)+2*(G59/1000*(1-SG_Criteria!$B$25))))^(2/3)*(1/Design_Selector!$B$11)^0.5,3))</f>
        <v/>
      </c>
      <c r="AN59" s="11" t="str">
        <f aca="false">IF(AM59="","",ROUND(AM59/(MAX(1,N(H59))*F59/1000*(G59/1000*(1-SG_Criteria!$B$25))),2))</f>
        <v/>
      </c>
      <c r="AO59" s="38" t="str">
        <f aca="false">IF(C59="","",IF(LEN(IF(AND(OR(D59="Roadside drain",D59="Entrance culvert"),OR(F59&lt;SG_Criteria!$B$15,G59&lt;SG_Criteria!$B$16)),"FAIL: below PUB min "&amp;SG_Criteria!$B$15&amp;"x"&amp;SG_Criteria!$B$16&amp;" for roadside drain. ","")&amp;IF(AND(D59="Common drain",F59&lt;SG_Criteria!$B$17),"FAIL: common drain W &lt; "&amp;SG_Criteria!$B$17&amp;" mm. ","")&amp;IF(AND(N59&lt;&gt;"",IFERROR(VALUE(MID(N59,2,2)),0)&lt;SG_Criteria!$B$19),"FAIL: grade below C"&amp;SG_Criteria!$B$19&amp;". ","")&amp;IF(AND(O59&lt;&gt;"",O59&lt;SG_Criteria!$B$20),"FAIL: cover &lt; "&amp;SG_Criteria!$B$20&amp;" mm. ","")&amp;IF(AND(E59="Open",G59&gt;SG_Criteria!$B$18),"NOTE: safety railing required (D &gt; "&amp;SG_Criteria!$B$18&amp;" mm). ","")&amp;IF(AND(D59="Entrance culvert",G59&lt;600),"NOTE: check hinged grating rule for culverts &lt; 600 deep (PUB Add. 3). ",""))=0,"OK",IF(AND(OR(D59="Roadside drain",D59="Entrance culvert"),OR(F59&lt;SG_Criteria!$B$15,G59&lt;SG_Criteria!$B$16)),"FAIL: below PUB min "&amp;SG_Criteria!$B$15&amp;"x"&amp;SG_Criteria!$B$16&amp;" for roadside drain. ","")&amp;IF(AND(D59="Common drain",F59&lt;SG_Criteria!$B$17),"FAIL: common drain W &lt; "&amp;SG_Criteria!$B$17&amp;" mm. ","")&amp;IF(AND(N59&lt;&gt;"",IFERROR(VALUE(MID(N59,2,2)),0)&lt;SG_Criteria!$B$19),"FAIL: grade below C"&amp;SG_Criteria!$B$19&amp;". ","")&amp;IF(AND(O59&lt;&gt;"",O59&lt;SG_Criteria!$B$20),"FAIL: cover &lt; "&amp;SG_Criteria!$B$20&amp;" mm. ","")&amp;IF(AND(E59="Open",G59&gt;SG_Criteria!$B$18),"NOTE: safety railing required (D &gt; "&amp;SG_Criteria!$B$18&amp;" mm). ","")&amp;IF(AND(D59="Entrance culvert",G59&lt;600),"NOTE: check hinged grating rule for culverts &lt; 600 deep (PUB Add. 3). ","")))</f>
        <v/>
      </c>
      <c r="AP59" s="9"/>
      <c r="AQ59" s="9"/>
      <c r="AR59" s="9"/>
      <c r="AS59" s="9"/>
      <c r="AT59" s="9"/>
      <c r="AU59" s="31"/>
      <c r="AV59" s="10" t="str">
        <f aca="false">IF(C59="","",IF(AND(V59="Approved",ISERROR(SEARCH("FAIL",AO59))),"Y","N"))</f>
        <v/>
      </c>
      <c r="AW59" s="10" t="str">
        <f aca="false">IF(C59="","",C59&amp;"|"&amp;F59&amp;"|"&amp;G59&amp;"|"&amp;L59&amp;"|"&amp;AV59)</f>
        <v/>
      </c>
    </row>
    <row r="60" customFormat="false" ht="15" hidden="false" customHeight="false" outlineLevel="0" collapsed="false">
      <c r="A60" s="10" t="str">
        <f aca="false">IF(C60="","","DRN-"&amp;IFERROR(VLOOKUP(C60,Lists!$A$4:$B$27,2,0),"??")&amp;"-"&amp;TEXT(F60,"0000")&amp;"x"&amp;TEXT(G60,"0000")&amp;IF(N(H60)&gt;1,"-"&amp;H60&amp;"C","")&amp;"-"&amp;IFERROR(VLOOKUP(L60,Lists!$J$4:$K$19,2,0),"??")&amp;"-"&amp;U60)</f>
        <v/>
      </c>
      <c r="B60" s="10" t="str">
        <f aca="false">IF(C60="","",C60&amp;" "&amp;F60&amp;"W x "&amp;G60&amp;"D"&amp;IF(N(H60)&gt;1," ("&amp;H60&amp;" cells)","")&amp;", "&amp;D60&amp;", "&amp;L60&amp;", "&amp;E60)</f>
        <v/>
      </c>
      <c r="C60" s="9"/>
      <c r="D60" s="9"/>
      <c r="E60" s="9"/>
      <c r="F60" s="40"/>
      <c r="G60" s="40"/>
      <c r="H60" s="40"/>
      <c r="I60" s="40"/>
      <c r="J60" s="40"/>
      <c r="K60" s="40"/>
      <c r="L60" s="9"/>
      <c r="M60" s="9"/>
      <c r="N60" s="9"/>
      <c r="O60" s="40"/>
      <c r="P60" s="9"/>
      <c r="Q60" s="9"/>
      <c r="R60" s="9"/>
      <c r="S60" s="9"/>
      <c r="T60" s="9"/>
      <c r="U60" s="9"/>
      <c r="V60" s="9"/>
      <c r="W60" s="9"/>
      <c r="X60" s="9"/>
      <c r="Y60" s="9"/>
      <c r="Z60" s="10" t="str">
        <f aca="false">IF(A60="","",SG_Criteria!$B$6&amp;SG_Criteria!$B$7&amp;"\"&amp;A60&amp;"\")</f>
        <v/>
      </c>
      <c r="AA60" s="10" t="str">
        <f aca="false">IF(A60="","",A60&amp;"_CAD.dwg")</f>
        <v/>
      </c>
      <c r="AB60" s="10" t="str">
        <f aca="false">IF(A60="","",A60&amp;"_DWG.pdf")</f>
        <v/>
      </c>
      <c r="AC60" s="10" t="str">
        <f aca="false">IF(A60="","",IF(Y60="Y",A60&amp;"_STAAD.std","n/a"))</f>
        <v/>
      </c>
      <c r="AD60" s="10" t="str">
        <f aca="false">IF(A60="","",A60&amp;"_CALC.xlsx")</f>
        <v/>
      </c>
      <c r="AE60" s="10" t="str">
        <f aca="false">IF(A60="","",A60&amp;"_CALC.pdf")</f>
        <v/>
      </c>
      <c r="AF60" s="9"/>
      <c r="AG60" s="9"/>
      <c r="AH60" s="41"/>
      <c r="AI60" s="41"/>
      <c r="AJ60" s="41"/>
      <c r="AK60" s="41"/>
      <c r="AL60" s="41"/>
      <c r="AM60" s="37" t="str">
        <f aca="false">IF(OR(C60="",F60="",G60="",C60="Sump",C60="Drop Inlet Chamber",C60="Silt Trap",C60="Pipe Culvert",C60="Subsoil Drain"),"",ROUND(MAX(1,N(H60))*(1/SG_Criteria!$B$26)*((F60/1000)*(G60/1000*(1-SG_Criteria!$B$25)))*(((F60/1000)*(G60/1000*(1-SG_Criteria!$B$25)))/((F60/1000)+2*(G60/1000*(1-SG_Criteria!$B$25))))^(2/3)*(1/Design_Selector!$B$11)^0.5,3))</f>
        <v/>
      </c>
      <c r="AN60" s="11" t="str">
        <f aca="false">IF(AM60="","",ROUND(AM60/(MAX(1,N(H60))*F60/1000*(G60/1000*(1-SG_Criteria!$B$25))),2))</f>
        <v/>
      </c>
      <c r="AO60" s="38" t="str">
        <f aca="false">IF(C60="","",IF(LEN(IF(AND(OR(D60="Roadside drain",D60="Entrance culvert"),OR(F60&lt;SG_Criteria!$B$15,G60&lt;SG_Criteria!$B$16)),"FAIL: below PUB min "&amp;SG_Criteria!$B$15&amp;"x"&amp;SG_Criteria!$B$16&amp;" for roadside drain. ","")&amp;IF(AND(D60="Common drain",F60&lt;SG_Criteria!$B$17),"FAIL: common drain W &lt; "&amp;SG_Criteria!$B$17&amp;" mm. ","")&amp;IF(AND(N60&lt;&gt;"",IFERROR(VALUE(MID(N60,2,2)),0)&lt;SG_Criteria!$B$19),"FAIL: grade below C"&amp;SG_Criteria!$B$19&amp;". ","")&amp;IF(AND(O60&lt;&gt;"",O60&lt;SG_Criteria!$B$20),"FAIL: cover &lt; "&amp;SG_Criteria!$B$20&amp;" mm. ","")&amp;IF(AND(E60="Open",G60&gt;SG_Criteria!$B$18),"NOTE: safety railing required (D &gt; "&amp;SG_Criteria!$B$18&amp;" mm). ","")&amp;IF(AND(D60="Entrance culvert",G60&lt;600),"NOTE: check hinged grating rule for culverts &lt; 600 deep (PUB Add. 3). ",""))=0,"OK",IF(AND(OR(D60="Roadside drain",D60="Entrance culvert"),OR(F60&lt;SG_Criteria!$B$15,G60&lt;SG_Criteria!$B$16)),"FAIL: below PUB min "&amp;SG_Criteria!$B$15&amp;"x"&amp;SG_Criteria!$B$16&amp;" for roadside drain. ","")&amp;IF(AND(D60="Common drain",F60&lt;SG_Criteria!$B$17),"FAIL: common drain W &lt; "&amp;SG_Criteria!$B$17&amp;" mm. ","")&amp;IF(AND(N60&lt;&gt;"",IFERROR(VALUE(MID(N60,2,2)),0)&lt;SG_Criteria!$B$19),"FAIL: grade below C"&amp;SG_Criteria!$B$19&amp;". ","")&amp;IF(AND(O60&lt;&gt;"",O60&lt;SG_Criteria!$B$20),"FAIL: cover &lt; "&amp;SG_Criteria!$B$20&amp;" mm. ","")&amp;IF(AND(E60="Open",G60&gt;SG_Criteria!$B$18),"NOTE: safety railing required (D &gt; "&amp;SG_Criteria!$B$18&amp;" mm). ","")&amp;IF(AND(D60="Entrance culvert",G60&lt;600),"NOTE: check hinged grating rule for culverts &lt; 600 deep (PUB Add. 3). ","")))</f>
        <v/>
      </c>
      <c r="AP60" s="9"/>
      <c r="AQ60" s="9"/>
      <c r="AR60" s="9"/>
      <c r="AS60" s="9"/>
      <c r="AT60" s="9"/>
      <c r="AU60" s="31"/>
      <c r="AV60" s="10" t="str">
        <f aca="false">IF(C60="","",IF(AND(V60="Approved",ISERROR(SEARCH("FAIL",AO60))),"Y","N"))</f>
        <v/>
      </c>
      <c r="AW60" s="10" t="str">
        <f aca="false">IF(C60="","",C60&amp;"|"&amp;F60&amp;"|"&amp;G60&amp;"|"&amp;L60&amp;"|"&amp;AV60)</f>
        <v/>
      </c>
    </row>
    <row r="61" customFormat="false" ht="15" hidden="false" customHeight="false" outlineLevel="0" collapsed="false">
      <c r="A61" s="10" t="str">
        <f aca="false">IF(C61="","","DRN-"&amp;IFERROR(VLOOKUP(C61,Lists!$A$4:$B$27,2,0),"??")&amp;"-"&amp;TEXT(F61,"0000")&amp;"x"&amp;TEXT(G61,"0000")&amp;IF(N(H61)&gt;1,"-"&amp;H61&amp;"C","")&amp;"-"&amp;IFERROR(VLOOKUP(L61,Lists!$J$4:$K$19,2,0),"??")&amp;"-"&amp;U61)</f>
        <v/>
      </c>
      <c r="B61" s="10" t="str">
        <f aca="false">IF(C61="","",C61&amp;" "&amp;F61&amp;"W x "&amp;G61&amp;"D"&amp;IF(N(H61)&gt;1," ("&amp;H61&amp;" cells)","")&amp;", "&amp;D61&amp;", "&amp;L61&amp;", "&amp;E61)</f>
        <v/>
      </c>
      <c r="C61" s="9"/>
      <c r="D61" s="9"/>
      <c r="E61" s="9"/>
      <c r="F61" s="40"/>
      <c r="G61" s="40"/>
      <c r="H61" s="40"/>
      <c r="I61" s="40"/>
      <c r="J61" s="40"/>
      <c r="K61" s="40"/>
      <c r="L61" s="9"/>
      <c r="M61" s="9"/>
      <c r="N61" s="9"/>
      <c r="O61" s="40"/>
      <c r="P61" s="9"/>
      <c r="Q61" s="9"/>
      <c r="R61" s="9"/>
      <c r="S61" s="9"/>
      <c r="T61" s="9"/>
      <c r="U61" s="9"/>
      <c r="V61" s="9"/>
      <c r="W61" s="9"/>
      <c r="X61" s="9"/>
      <c r="Y61" s="9"/>
      <c r="Z61" s="10" t="str">
        <f aca="false">IF(A61="","",SG_Criteria!$B$6&amp;SG_Criteria!$B$7&amp;"\"&amp;A61&amp;"\")</f>
        <v/>
      </c>
      <c r="AA61" s="10" t="str">
        <f aca="false">IF(A61="","",A61&amp;"_CAD.dwg")</f>
        <v/>
      </c>
      <c r="AB61" s="10" t="str">
        <f aca="false">IF(A61="","",A61&amp;"_DWG.pdf")</f>
        <v/>
      </c>
      <c r="AC61" s="10" t="str">
        <f aca="false">IF(A61="","",IF(Y61="Y",A61&amp;"_STAAD.std","n/a"))</f>
        <v/>
      </c>
      <c r="AD61" s="10" t="str">
        <f aca="false">IF(A61="","",A61&amp;"_CALC.xlsx")</f>
        <v/>
      </c>
      <c r="AE61" s="10" t="str">
        <f aca="false">IF(A61="","",A61&amp;"_CALC.pdf")</f>
        <v/>
      </c>
      <c r="AF61" s="9"/>
      <c r="AG61" s="9"/>
      <c r="AH61" s="41"/>
      <c r="AI61" s="41"/>
      <c r="AJ61" s="41"/>
      <c r="AK61" s="41"/>
      <c r="AL61" s="41"/>
      <c r="AM61" s="37" t="str">
        <f aca="false">IF(OR(C61="",F61="",G61="",C61="Sump",C61="Drop Inlet Chamber",C61="Silt Trap",C61="Pipe Culvert",C61="Subsoil Drain"),"",ROUND(MAX(1,N(H61))*(1/SG_Criteria!$B$26)*((F61/1000)*(G61/1000*(1-SG_Criteria!$B$25)))*(((F61/1000)*(G61/1000*(1-SG_Criteria!$B$25)))/((F61/1000)+2*(G61/1000*(1-SG_Criteria!$B$25))))^(2/3)*(1/Design_Selector!$B$11)^0.5,3))</f>
        <v/>
      </c>
      <c r="AN61" s="11" t="str">
        <f aca="false">IF(AM61="","",ROUND(AM61/(MAX(1,N(H61))*F61/1000*(G61/1000*(1-SG_Criteria!$B$25))),2))</f>
        <v/>
      </c>
      <c r="AO61" s="38" t="str">
        <f aca="false">IF(C61="","",IF(LEN(IF(AND(OR(D61="Roadside drain",D61="Entrance culvert"),OR(F61&lt;SG_Criteria!$B$15,G61&lt;SG_Criteria!$B$16)),"FAIL: below PUB min "&amp;SG_Criteria!$B$15&amp;"x"&amp;SG_Criteria!$B$16&amp;" for roadside drain. ","")&amp;IF(AND(D61="Common drain",F61&lt;SG_Criteria!$B$17),"FAIL: common drain W &lt; "&amp;SG_Criteria!$B$17&amp;" mm. ","")&amp;IF(AND(N61&lt;&gt;"",IFERROR(VALUE(MID(N61,2,2)),0)&lt;SG_Criteria!$B$19),"FAIL: grade below C"&amp;SG_Criteria!$B$19&amp;". ","")&amp;IF(AND(O61&lt;&gt;"",O61&lt;SG_Criteria!$B$20),"FAIL: cover &lt; "&amp;SG_Criteria!$B$20&amp;" mm. ","")&amp;IF(AND(E61="Open",G61&gt;SG_Criteria!$B$18),"NOTE: safety railing required (D &gt; "&amp;SG_Criteria!$B$18&amp;" mm). ","")&amp;IF(AND(D61="Entrance culvert",G61&lt;600),"NOTE: check hinged grating rule for culverts &lt; 600 deep (PUB Add. 3). ",""))=0,"OK",IF(AND(OR(D61="Roadside drain",D61="Entrance culvert"),OR(F61&lt;SG_Criteria!$B$15,G61&lt;SG_Criteria!$B$16)),"FAIL: below PUB min "&amp;SG_Criteria!$B$15&amp;"x"&amp;SG_Criteria!$B$16&amp;" for roadside drain. ","")&amp;IF(AND(D61="Common drain",F61&lt;SG_Criteria!$B$17),"FAIL: common drain W &lt; "&amp;SG_Criteria!$B$17&amp;" mm. ","")&amp;IF(AND(N61&lt;&gt;"",IFERROR(VALUE(MID(N61,2,2)),0)&lt;SG_Criteria!$B$19),"FAIL: grade below C"&amp;SG_Criteria!$B$19&amp;". ","")&amp;IF(AND(O61&lt;&gt;"",O61&lt;SG_Criteria!$B$20),"FAIL: cover &lt; "&amp;SG_Criteria!$B$20&amp;" mm. ","")&amp;IF(AND(E61="Open",G61&gt;SG_Criteria!$B$18),"NOTE: safety railing required (D &gt; "&amp;SG_Criteria!$B$18&amp;" mm). ","")&amp;IF(AND(D61="Entrance culvert",G61&lt;600),"NOTE: check hinged grating rule for culverts &lt; 600 deep (PUB Add. 3). ","")))</f>
        <v/>
      </c>
      <c r="AP61" s="9"/>
      <c r="AQ61" s="9"/>
      <c r="AR61" s="9"/>
      <c r="AS61" s="9"/>
      <c r="AT61" s="9"/>
      <c r="AU61" s="31"/>
      <c r="AV61" s="10" t="str">
        <f aca="false">IF(C61="","",IF(AND(V61="Approved",ISERROR(SEARCH("FAIL",AO61))),"Y","N"))</f>
        <v/>
      </c>
      <c r="AW61" s="10" t="str">
        <f aca="false">IF(C61="","",C61&amp;"|"&amp;F61&amp;"|"&amp;G61&amp;"|"&amp;L61&amp;"|"&amp;AV61)</f>
        <v/>
      </c>
    </row>
    <row r="62" customFormat="false" ht="15" hidden="false" customHeight="false" outlineLevel="0" collapsed="false">
      <c r="A62" s="10" t="str">
        <f aca="false">IF(C62="","","DRN-"&amp;IFERROR(VLOOKUP(C62,Lists!$A$4:$B$27,2,0),"??")&amp;"-"&amp;TEXT(F62,"0000")&amp;"x"&amp;TEXT(G62,"0000")&amp;IF(N(H62)&gt;1,"-"&amp;H62&amp;"C","")&amp;"-"&amp;IFERROR(VLOOKUP(L62,Lists!$J$4:$K$19,2,0),"??")&amp;"-"&amp;U62)</f>
        <v/>
      </c>
      <c r="B62" s="10" t="str">
        <f aca="false">IF(C62="","",C62&amp;" "&amp;F62&amp;"W x "&amp;G62&amp;"D"&amp;IF(N(H62)&gt;1," ("&amp;H62&amp;" cells)","")&amp;", "&amp;D62&amp;", "&amp;L62&amp;", "&amp;E62)</f>
        <v/>
      </c>
      <c r="C62" s="9"/>
      <c r="D62" s="9"/>
      <c r="E62" s="9"/>
      <c r="F62" s="40"/>
      <c r="G62" s="40"/>
      <c r="H62" s="40"/>
      <c r="I62" s="40"/>
      <c r="J62" s="40"/>
      <c r="K62" s="40"/>
      <c r="L62" s="9"/>
      <c r="M62" s="9"/>
      <c r="N62" s="9"/>
      <c r="O62" s="40"/>
      <c r="P62" s="9"/>
      <c r="Q62" s="9"/>
      <c r="R62" s="9"/>
      <c r="S62" s="9"/>
      <c r="T62" s="9"/>
      <c r="U62" s="9"/>
      <c r="V62" s="9"/>
      <c r="W62" s="9"/>
      <c r="X62" s="9"/>
      <c r="Y62" s="9"/>
      <c r="Z62" s="10" t="str">
        <f aca="false">IF(A62="","",SG_Criteria!$B$6&amp;SG_Criteria!$B$7&amp;"\"&amp;A62&amp;"\")</f>
        <v/>
      </c>
      <c r="AA62" s="10" t="str">
        <f aca="false">IF(A62="","",A62&amp;"_CAD.dwg")</f>
        <v/>
      </c>
      <c r="AB62" s="10" t="str">
        <f aca="false">IF(A62="","",A62&amp;"_DWG.pdf")</f>
        <v/>
      </c>
      <c r="AC62" s="10" t="str">
        <f aca="false">IF(A62="","",IF(Y62="Y",A62&amp;"_STAAD.std","n/a"))</f>
        <v/>
      </c>
      <c r="AD62" s="10" t="str">
        <f aca="false">IF(A62="","",A62&amp;"_CALC.xlsx")</f>
        <v/>
      </c>
      <c r="AE62" s="10" t="str">
        <f aca="false">IF(A62="","",A62&amp;"_CALC.pdf")</f>
        <v/>
      </c>
      <c r="AF62" s="9"/>
      <c r="AG62" s="9"/>
      <c r="AH62" s="41"/>
      <c r="AI62" s="41"/>
      <c r="AJ62" s="41"/>
      <c r="AK62" s="41"/>
      <c r="AL62" s="41"/>
      <c r="AM62" s="37" t="str">
        <f aca="false">IF(OR(C62="",F62="",G62="",C62="Sump",C62="Drop Inlet Chamber",C62="Silt Trap",C62="Pipe Culvert",C62="Subsoil Drain"),"",ROUND(MAX(1,N(H62))*(1/SG_Criteria!$B$26)*((F62/1000)*(G62/1000*(1-SG_Criteria!$B$25)))*(((F62/1000)*(G62/1000*(1-SG_Criteria!$B$25)))/((F62/1000)+2*(G62/1000*(1-SG_Criteria!$B$25))))^(2/3)*(1/Design_Selector!$B$11)^0.5,3))</f>
        <v/>
      </c>
      <c r="AN62" s="11" t="str">
        <f aca="false">IF(AM62="","",ROUND(AM62/(MAX(1,N(H62))*F62/1000*(G62/1000*(1-SG_Criteria!$B$25))),2))</f>
        <v/>
      </c>
      <c r="AO62" s="38" t="str">
        <f aca="false">IF(C62="","",IF(LEN(IF(AND(OR(D62="Roadside drain",D62="Entrance culvert"),OR(F62&lt;SG_Criteria!$B$15,G62&lt;SG_Criteria!$B$16)),"FAIL: below PUB min "&amp;SG_Criteria!$B$15&amp;"x"&amp;SG_Criteria!$B$16&amp;" for roadside drain. ","")&amp;IF(AND(D62="Common drain",F62&lt;SG_Criteria!$B$17),"FAIL: common drain W &lt; "&amp;SG_Criteria!$B$17&amp;" mm. ","")&amp;IF(AND(N62&lt;&gt;"",IFERROR(VALUE(MID(N62,2,2)),0)&lt;SG_Criteria!$B$19),"FAIL: grade below C"&amp;SG_Criteria!$B$19&amp;". ","")&amp;IF(AND(O62&lt;&gt;"",O62&lt;SG_Criteria!$B$20),"FAIL: cover &lt; "&amp;SG_Criteria!$B$20&amp;" mm. ","")&amp;IF(AND(E62="Open",G62&gt;SG_Criteria!$B$18),"NOTE: safety railing required (D &gt; "&amp;SG_Criteria!$B$18&amp;" mm). ","")&amp;IF(AND(D62="Entrance culvert",G62&lt;600),"NOTE: check hinged grating rule for culverts &lt; 600 deep (PUB Add. 3). ",""))=0,"OK",IF(AND(OR(D62="Roadside drain",D62="Entrance culvert"),OR(F62&lt;SG_Criteria!$B$15,G62&lt;SG_Criteria!$B$16)),"FAIL: below PUB min "&amp;SG_Criteria!$B$15&amp;"x"&amp;SG_Criteria!$B$16&amp;" for roadside drain. ","")&amp;IF(AND(D62="Common drain",F62&lt;SG_Criteria!$B$17),"FAIL: common drain W &lt; "&amp;SG_Criteria!$B$17&amp;" mm. ","")&amp;IF(AND(N62&lt;&gt;"",IFERROR(VALUE(MID(N62,2,2)),0)&lt;SG_Criteria!$B$19),"FAIL: grade below C"&amp;SG_Criteria!$B$19&amp;". ","")&amp;IF(AND(O62&lt;&gt;"",O62&lt;SG_Criteria!$B$20),"FAIL: cover &lt; "&amp;SG_Criteria!$B$20&amp;" mm. ","")&amp;IF(AND(E62="Open",G62&gt;SG_Criteria!$B$18),"NOTE: safety railing required (D &gt; "&amp;SG_Criteria!$B$18&amp;" mm). ","")&amp;IF(AND(D62="Entrance culvert",G62&lt;600),"NOTE: check hinged grating rule for culverts &lt; 600 deep (PUB Add. 3). ","")))</f>
        <v/>
      </c>
      <c r="AP62" s="9"/>
      <c r="AQ62" s="9"/>
      <c r="AR62" s="9"/>
      <c r="AS62" s="9"/>
      <c r="AT62" s="9"/>
      <c r="AU62" s="31"/>
      <c r="AV62" s="10" t="str">
        <f aca="false">IF(C62="","",IF(AND(V62="Approved",ISERROR(SEARCH("FAIL",AO62))),"Y","N"))</f>
        <v/>
      </c>
      <c r="AW62" s="10" t="str">
        <f aca="false">IF(C62="","",C62&amp;"|"&amp;F62&amp;"|"&amp;G62&amp;"|"&amp;L62&amp;"|"&amp;AV62)</f>
        <v/>
      </c>
    </row>
    <row r="63" customFormat="false" ht="15" hidden="false" customHeight="false" outlineLevel="0" collapsed="false">
      <c r="A63" s="10" t="str">
        <f aca="false">IF(C63="","","DRN-"&amp;IFERROR(VLOOKUP(C63,Lists!$A$4:$B$27,2,0),"??")&amp;"-"&amp;TEXT(F63,"0000")&amp;"x"&amp;TEXT(G63,"0000")&amp;IF(N(H63)&gt;1,"-"&amp;H63&amp;"C","")&amp;"-"&amp;IFERROR(VLOOKUP(L63,Lists!$J$4:$K$19,2,0),"??")&amp;"-"&amp;U63)</f>
        <v/>
      </c>
      <c r="B63" s="10" t="str">
        <f aca="false">IF(C63="","",C63&amp;" "&amp;F63&amp;"W x "&amp;G63&amp;"D"&amp;IF(N(H63)&gt;1," ("&amp;H63&amp;" cells)","")&amp;", "&amp;D63&amp;", "&amp;L63&amp;", "&amp;E63)</f>
        <v/>
      </c>
      <c r="C63" s="9"/>
      <c r="D63" s="9"/>
      <c r="E63" s="9"/>
      <c r="F63" s="40"/>
      <c r="G63" s="40"/>
      <c r="H63" s="40"/>
      <c r="I63" s="40"/>
      <c r="J63" s="40"/>
      <c r="K63" s="40"/>
      <c r="L63" s="9"/>
      <c r="M63" s="9"/>
      <c r="N63" s="9"/>
      <c r="O63" s="40"/>
      <c r="P63" s="9"/>
      <c r="Q63" s="9"/>
      <c r="R63" s="9"/>
      <c r="S63" s="9"/>
      <c r="T63" s="9"/>
      <c r="U63" s="9"/>
      <c r="V63" s="9"/>
      <c r="W63" s="9"/>
      <c r="X63" s="9"/>
      <c r="Y63" s="9"/>
      <c r="Z63" s="10" t="str">
        <f aca="false">IF(A63="","",SG_Criteria!$B$6&amp;SG_Criteria!$B$7&amp;"\"&amp;A63&amp;"\")</f>
        <v/>
      </c>
      <c r="AA63" s="10" t="str">
        <f aca="false">IF(A63="","",A63&amp;"_CAD.dwg")</f>
        <v/>
      </c>
      <c r="AB63" s="10" t="str">
        <f aca="false">IF(A63="","",A63&amp;"_DWG.pdf")</f>
        <v/>
      </c>
      <c r="AC63" s="10" t="str">
        <f aca="false">IF(A63="","",IF(Y63="Y",A63&amp;"_STAAD.std","n/a"))</f>
        <v/>
      </c>
      <c r="AD63" s="10" t="str">
        <f aca="false">IF(A63="","",A63&amp;"_CALC.xlsx")</f>
        <v/>
      </c>
      <c r="AE63" s="10" t="str">
        <f aca="false">IF(A63="","",A63&amp;"_CALC.pdf")</f>
        <v/>
      </c>
      <c r="AF63" s="9"/>
      <c r="AG63" s="9"/>
      <c r="AH63" s="41"/>
      <c r="AI63" s="41"/>
      <c r="AJ63" s="41"/>
      <c r="AK63" s="41"/>
      <c r="AL63" s="41"/>
      <c r="AM63" s="37" t="str">
        <f aca="false">IF(OR(C63="",F63="",G63="",C63="Sump",C63="Drop Inlet Chamber",C63="Silt Trap",C63="Pipe Culvert",C63="Subsoil Drain"),"",ROUND(MAX(1,N(H63))*(1/SG_Criteria!$B$26)*((F63/1000)*(G63/1000*(1-SG_Criteria!$B$25)))*(((F63/1000)*(G63/1000*(1-SG_Criteria!$B$25)))/((F63/1000)+2*(G63/1000*(1-SG_Criteria!$B$25))))^(2/3)*(1/Design_Selector!$B$11)^0.5,3))</f>
        <v/>
      </c>
      <c r="AN63" s="11" t="str">
        <f aca="false">IF(AM63="","",ROUND(AM63/(MAX(1,N(H63))*F63/1000*(G63/1000*(1-SG_Criteria!$B$25))),2))</f>
        <v/>
      </c>
      <c r="AO63" s="38" t="str">
        <f aca="false">IF(C63="","",IF(LEN(IF(AND(OR(D63="Roadside drain",D63="Entrance culvert"),OR(F63&lt;SG_Criteria!$B$15,G63&lt;SG_Criteria!$B$16)),"FAIL: below PUB min "&amp;SG_Criteria!$B$15&amp;"x"&amp;SG_Criteria!$B$16&amp;" for roadside drain. ","")&amp;IF(AND(D63="Common drain",F63&lt;SG_Criteria!$B$17),"FAIL: common drain W &lt; "&amp;SG_Criteria!$B$17&amp;" mm. ","")&amp;IF(AND(N63&lt;&gt;"",IFERROR(VALUE(MID(N63,2,2)),0)&lt;SG_Criteria!$B$19),"FAIL: grade below C"&amp;SG_Criteria!$B$19&amp;". ","")&amp;IF(AND(O63&lt;&gt;"",O63&lt;SG_Criteria!$B$20),"FAIL: cover &lt; "&amp;SG_Criteria!$B$20&amp;" mm. ","")&amp;IF(AND(E63="Open",G63&gt;SG_Criteria!$B$18),"NOTE: safety railing required (D &gt; "&amp;SG_Criteria!$B$18&amp;" mm). ","")&amp;IF(AND(D63="Entrance culvert",G63&lt;600),"NOTE: check hinged grating rule for culverts &lt; 600 deep (PUB Add. 3). ",""))=0,"OK",IF(AND(OR(D63="Roadside drain",D63="Entrance culvert"),OR(F63&lt;SG_Criteria!$B$15,G63&lt;SG_Criteria!$B$16)),"FAIL: below PUB min "&amp;SG_Criteria!$B$15&amp;"x"&amp;SG_Criteria!$B$16&amp;" for roadside drain. ","")&amp;IF(AND(D63="Common drain",F63&lt;SG_Criteria!$B$17),"FAIL: common drain W &lt; "&amp;SG_Criteria!$B$17&amp;" mm. ","")&amp;IF(AND(N63&lt;&gt;"",IFERROR(VALUE(MID(N63,2,2)),0)&lt;SG_Criteria!$B$19),"FAIL: grade below C"&amp;SG_Criteria!$B$19&amp;". ","")&amp;IF(AND(O63&lt;&gt;"",O63&lt;SG_Criteria!$B$20),"FAIL: cover &lt; "&amp;SG_Criteria!$B$20&amp;" mm. ","")&amp;IF(AND(E63="Open",G63&gt;SG_Criteria!$B$18),"NOTE: safety railing required (D &gt; "&amp;SG_Criteria!$B$18&amp;" mm). ","")&amp;IF(AND(D63="Entrance culvert",G63&lt;600),"NOTE: check hinged grating rule for culverts &lt; 600 deep (PUB Add. 3). ","")))</f>
        <v/>
      </c>
      <c r="AP63" s="9"/>
      <c r="AQ63" s="9"/>
      <c r="AR63" s="9"/>
      <c r="AS63" s="9"/>
      <c r="AT63" s="9"/>
      <c r="AU63" s="31"/>
      <c r="AV63" s="10" t="str">
        <f aca="false">IF(C63="","",IF(AND(V63="Approved",ISERROR(SEARCH("FAIL",AO63))),"Y","N"))</f>
        <v/>
      </c>
      <c r="AW63" s="10" t="str">
        <f aca="false">IF(C63="","",C63&amp;"|"&amp;F63&amp;"|"&amp;G63&amp;"|"&amp;L63&amp;"|"&amp;AV63)</f>
        <v/>
      </c>
    </row>
    <row r="64" customFormat="false" ht="15" hidden="false" customHeight="false" outlineLevel="0" collapsed="false">
      <c r="A64" s="10" t="str">
        <f aca="false">IF(C64="","","DRN-"&amp;IFERROR(VLOOKUP(C64,Lists!$A$4:$B$27,2,0),"??")&amp;"-"&amp;TEXT(F64,"0000")&amp;"x"&amp;TEXT(G64,"0000")&amp;IF(N(H64)&gt;1,"-"&amp;H64&amp;"C","")&amp;"-"&amp;IFERROR(VLOOKUP(L64,Lists!$J$4:$K$19,2,0),"??")&amp;"-"&amp;U64)</f>
        <v/>
      </c>
      <c r="B64" s="10" t="str">
        <f aca="false">IF(C64="","",C64&amp;" "&amp;F64&amp;"W x "&amp;G64&amp;"D"&amp;IF(N(H64)&gt;1," ("&amp;H64&amp;" cells)","")&amp;", "&amp;D64&amp;", "&amp;L64&amp;", "&amp;E64)</f>
        <v/>
      </c>
      <c r="C64" s="9"/>
      <c r="D64" s="9"/>
      <c r="E64" s="9"/>
      <c r="F64" s="40"/>
      <c r="G64" s="40"/>
      <c r="H64" s="40"/>
      <c r="I64" s="40"/>
      <c r="J64" s="40"/>
      <c r="K64" s="40"/>
      <c r="L64" s="9"/>
      <c r="M64" s="9"/>
      <c r="N64" s="9"/>
      <c r="O64" s="40"/>
      <c r="P64" s="9"/>
      <c r="Q64" s="9"/>
      <c r="R64" s="9"/>
      <c r="S64" s="9"/>
      <c r="T64" s="9"/>
      <c r="U64" s="9"/>
      <c r="V64" s="9"/>
      <c r="W64" s="9"/>
      <c r="X64" s="9"/>
      <c r="Y64" s="9"/>
      <c r="Z64" s="10" t="str">
        <f aca="false">IF(A64="","",SG_Criteria!$B$6&amp;SG_Criteria!$B$7&amp;"\"&amp;A64&amp;"\")</f>
        <v/>
      </c>
      <c r="AA64" s="10" t="str">
        <f aca="false">IF(A64="","",A64&amp;"_CAD.dwg")</f>
        <v/>
      </c>
      <c r="AB64" s="10" t="str">
        <f aca="false">IF(A64="","",A64&amp;"_DWG.pdf")</f>
        <v/>
      </c>
      <c r="AC64" s="10" t="str">
        <f aca="false">IF(A64="","",IF(Y64="Y",A64&amp;"_STAAD.std","n/a"))</f>
        <v/>
      </c>
      <c r="AD64" s="10" t="str">
        <f aca="false">IF(A64="","",A64&amp;"_CALC.xlsx")</f>
        <v/>
      </c>
      <c r="AE64" s="10" t="str">
        <f aca="false">IF(A64="","",A64&amp;"_CALC.pdf")</f>
        <v/>
      </c>
      <c r="AF64" s="9"/>
      <c r="AG64" s="9"/>
      <c r="AH64" s="41"/>
      <c r="AI64" s="41"/>
      <c r="AJ64" s="41"/>
      <c r="AK64" s="41"/>
      <c r="AL64" s="41"/>
      <c r="AM64" s="37" t="str">
        <f aca="false">IF(OR(C64="",F64="",G64="",C64="Sump",C64="Drop Inlet Chamber",C64="Silt Trap",C64="Pipe Culvert",C64="Subsoil Drain"),"",ROUND(MAX(1,N(H64))*(1/SG_Criteria!$B$26)*((F64/1000)*(G64/1000*(1-SG_Criteria!$B$25)))*(((F64/1000)*(G64/1000*(1-SG_Criteria!$B$25)))/((F64/1000)+2*(G64/1000*(1-SG_Criteria!$B$25))))^(2/3)*(1/Design_Selector!$B$11)^0.5,3))</f>
        <v/>
      </c>
      <c r="AN64" s="11" t="str">
        <f aca="false">IF(AM64="","",ROUND(AM64/(MAX(1,N(H64))*F64/1000*(G64/1000*(1-SG_Criteria!$B$25))),2))</f>
        <v/>
      </c>
      <c r="AO64" s="38" t="str">
        <f aca="false">IF(C64="","",IF(LEN(IF(AND(OR(D64="Roadside drain",D64="Entrance culvert"),OR(F64&lt;SG_Criteria!$B$15,G64&lt;SG_Criteria!$B$16)),"FAIL: below PUB min "&amp;SG_Criteria!$B$15&amp;"x"&amp;SG_Criteria!$B$16&amp;" for roadside drain. ","")&amp;IF(AND(D64="Common drain",F64&lt;SG_Criteria!$B$17),"FAIL: common drain W &lt; "&amp;SG_Criteria!$B$17&amp;" mm. ","")&amp;IF(AND(N64&lt;&gt;"",IFERROR(VALUE(MID(N64,2,2)),0)&lt;SG_Criteria!$B$19),"FAIL: grade below C"&amp;SG_Criteria!$B$19&amp;". ","")&amp;IF(AND(O64&lt;&gt;"",O64&lt;SG_Criteria!$B$20),"FAIL: cover &lt; "&amp;SG_Criteria!$B$20&amp;" mm. ","")&amp;IF(AND(E64="Open",G64&gt;SG_Criteria!$B$18),"NOTE: safety railing required (D &gt; "&amp;SG_Criteria!$B$18&amp;" mm). ","")&amp;IF(AND(D64="Entrance culvert",G64&lt;600),"NOTE: check hinged grating rule for culverts &lt; 600 deep (PUB Add. 3). ",""))=0,"OK",IF(AND(OR(D64="Roadside drain",D64="Entrance culvert"),OR(F64&lt;SG_Criteria!$B$15,G64&lt;SG_Criteria!$B$16)),"FAIL: below PUB min "&amp;SG_Criteria!$B$15&amp;"x"&amp;SG_Criteria!$B$16&amp;" for roadside drain. ","")&amp;IF(AND(D64="Common drain",F64&lt;SG_Criteria!$B$17),"FAIL: common drain W &lt; "&amp;SG_Criteria!$B$17&amp;" mm. ","")&amp;IF(AND(N64&lt;&gt;"",IFERROR(VALUE(MID(N64,2,2)),0)&lt;SG_Criteria!$B$19),"FAIL: grade below C"&amp;SG_Criteria!$B$19&amp;". ","")&amp;IF(AND(O64&lt;&gt;"",O64&lt;SG_Criteria!$B$20),"FAIL: cover &lt; "&amp;SG_Criteria!$B$20&amp;" mm. ","")&amp;IF(AND(E64="Open",G64&gt;SG_Criteria!$B$18),"NOTE: safety railing required (D &gt; "&amp;SG_Criteria!$B$18&amp;" mm). ","")&amp;IF(AND(D64="Entrance culvert",G64&lt;600),"NOTE: check hinged grating rule for culverts &lt; 600 deep (PUB Add. 3). ","")))</f>
        <v/>
      </c>
      <c r="AP64" s="9"/>
      <c r="AQ64" s="9"/>
      <c r="AR64" s="9"/>
      <c r="AS64" s="9"/>
      <c r="AT64" s="9"/>
      <c r="AU64" s="31"/>
      <c r="AV64" s="10" t="str">
        <f aca="false">IF(C64="","",IF(AND(V64="Approved",ISERROR(SEARCH("FAIL",AO64))),"Y","N"))</f>
        <v/>
      </c>
      <c r="AW64" s="10" t="str">
        <f aca="false">IF(C64="","",C64&amp;"|"&amp;F64&amp;"|"&amp;G64&amp;"|"&amp;L64&amp;"|"&amp;AV64)</f>
        <v/>
      </c>
    </row>
    <row r="65" customFormat="false" ht="15" hidden="false" customHeight="false" outlineLevel="0" collapsed="false">
      <c r="A65" s="10" t="str">
        <f aca="false">IF(C65="","","DRN-"&amp;IFERROR(VLOOKUP(C65,Lists!$A$4:$B$27,2,0),"??")&amp;"-"&amp;TEXT(F65,"0000")&amp;"x"&amp;TEXT(G65,"0000")&amp;IF(N(H65)&gt;1,"-"&amp;H65&amp;"C","")&amp;"-"&amp;IFERROR(VLOOKUP(L65,Lists!$J$4:$K$19,2,0),"??")&amp;"-"&amp;U65)</f>
        <v/>
      </c>
      <c r="B65" s="10" t="str">
        <f aca="false">IF(C65="","",C65&amp;" "&amp;F65&amp;"W x "&amp;G65&amp;"D"&amp;IF(N(H65)&gt;1," ("&amp;H65&amp;" cells)","")&amp;", "&amp;D65&amp;", "&amp;L65&amp;", "&amp;E65)</f>
        <v/>
      </c>
      <c r="C65" s="9"/>
      <c r="D65" s="9"/>
      <c r="E65" s="9"/>
      <c r="F65" s="40"/>
      <c r="G65" s="40"/>
      <c r="H65" s="40"/>
      <c r="I65" s="40"/>
      <c r="J65" s="40"/>
      <c r="K65" s="40"/>
      <c r="L65" s="9"/>
      <c r="M65" s="9"/>
      <c r="N65" s="9"/>
      <c r="O65" s="40"/>
      <c r="P65" s="9"/>
      <c r="Q65" s="9"/>
      <c r="R65" s="9"/>
      <c r="S65" s="9"/>
      <c r="T65" s="9"/>
      <c r="U65" s="9"/>
      <c r="V65" s="9"/>
      <c r="W65" s="9"/>
      <c r="X65" s="9"/>
      <c r="Y65" s="9"/>
      <c r="Z65" s="10" t="str">
        <f aca="false">IF(A65="","",SG_Criteria!$B$6&amp;SG_Criteria!$B$7&amp;"\"&amp;A65&amp;"\")</f>
        <v/>
      </c>
      <c r="AA65" s="10" t="str">
        <f aca="false">IF(A65="","",A65&amp;"_CAD.dwg")</f>
        <v/>
      </c>
      <c r="AB65" s="10" t="str">
        <f aca="false">IF(A65="","",A65&amp;"_DWG.pdf")</f>
        <v/>
      </c>
      <c r="AC65" s="10" t="str">
        <f aca="false">IF(A65="","",IF(Y65="Y",A65&amp;"_STAAD.std","n/a"))</f>
        <v/>
      </c>
      <c r="AD65" s="10" t="str">
        <f aca="false">IF(A65="","",A65&amp;"_CALC.xlsx")</f>
        <v/>
      </c>
      <c r="AE65" s="10" t="str">
        <f aca="false">IF(A65="","",A65&amp;"_CALC.pdf")</f>
        <v/>
      </c>
      <c r="AF65" s="9"/>
      <c r="AG65" s="9"/>
      <c r="AH65" s="41"/>
      <c r="AI65" s="41"/>
      <c r="AJ65" s="41"/>
      <c r="AK65" s="41"/>
      <c r="AL65" s="41"/>
      <c r="AM65" s="37" t="str">
        <f aca="false">IF(OR(C65="",F65="",G65="",C65="Sump",C65="Drop Inlet Chamber",C65="Silt Trap",C65="Pipe Culvert",C65="Subsoil Drain"),"",ROUND(MAX(1,N(H65))*(1/SG_Criteria!$B$26)*((F65/1000)*(G65/1000*(1-SG_Criteria!$B$25)))*(((F65/1000)*(G65/1000*(1-SG_Criteria!$B$25)))/((F65/1000)+2*(G65/1000*(1-SG_Criteria!$B$25))))^(2/3)*(1/Design_Selector!$B$11)^0.5,3))</f>
        <v/>
      </c>
      <c r="AN65" s="11" t="str">
        <f aca="false">IF(AM65="","",ROUND(AM65/(MAX(1,N(H65))*F65/1000*(G65/1000*(1-SG_Criteria!$B$25))),2))</f>
        <v/>
      </c>
      <c r="AO65" s="38" t="str">
        <f aca="false">IF(C65="","",IF(LEN(IF(AND(OR(D65="Roadside drain",D65="Entrance culvert"),OR(F65&lt;SG_Criteria!$B$15,G65&lt;SG_Criteria!$B$16)),"FAIL: below PUB min "&amp;SG_Criteria!$B$15&amp;"x"&amp;SG_Criteria!$B$16&amp;" for roadside drain. ","")&amp;IF(AND(D65="Common drain",F65&lt;SG_Criteria!$B$17),"FAIL: common drain W &lt; "&amp;SG_Criteria!$B$17&amp;" mm. ","")&amp;IF(AND(N65&lt;&gt;"",IFERROR(VALUE(MID(N65,2,2)),0)&lt;SG_Criteria!$B$19),"FAIL: grade below C"&amp;SG_Criteria!$B$19&amp;". ","")&amp;IF(AND(O65&lt;&gt;"",O65&lt;SG_Criteria!$B$20),"FAIL: cover &lt; "&amp;SG_Criteria!$B$20&amp;" mm. ","")&amp;IF(AND(E65="Open",G65&gt;SG_Criteria!$B$18),"NOTE: safety railing required (D &gt; "&amp;SG_Criteria!$B$18&amp;" mm). ","")&amp;IF(AND(D65="Entrance culvert",G65&lt;600),"NOTE: check hinged grating rule for culverts &lt; 600 deep (PUB Add. 3). ",""))=0,"OK",IF(AND(OR(D65="Roadside drain",D65="Entrance culvert"),OR(F65&lt;SG_Criteria!$B$15,G65&lt;SG_Criteria!$B$16)),"FAIL: below PUB min "&amp;SG_Criteria!$B$15&amp;"x"&amp;SG_Criteria!$B$16&amp;" for roadside drain. ","")&amp;IF(AND(D65="Common drain",F65&lt;SG_Criteria!$B$17),"FAIL: common drain W &lt; "&amp;SG_Criteria!$B$17&amp;" mm. ","")&amp;IF(AND(N65&lt;&gt;"",IFERROR(VALUE(MID(N65,2,2)),0)&lt;SG_Criteria!$B$19),"FAIL: grade below C"&amp;SG_Criteria!$B$19&amp;". ","")&amp;IF(AND(O65&lt;&gt;"",O65&lt;SG_Criteria!$B$20),"FAIL: cover &lt; "&amp;SG_Criteria!$B$20&amp;" mm. ","")&amp;IF(AND(E65="Open",G65&gt;SG_Criteria!$B$18),"NOTE: safety railing required (D &gt; "&amp;SG_Criteria!$B$18&amp;" mm). ","")&amp;IF(AND(D65="Entrance culvert",G65&lt;600),"NOTE: check hinged grating rule for culverts &lt; 600 deep (PUB Add. 3). ","")))</f>
        <v/>
      </c>
      <c r="AP65" s="9"/>
      <c r="AQ65" s="9"/>
      <c r="AR65" s="9"/>
      <c r="AS65" s="9"/>
      <c r="AT65" s="9"/>
      <c r="AU65" s="31"/>
      <c r="AV65" s="10" t="str">
        <f aca="false">IF(C65="","",IF(AND(V65="Approved",ISERROR(SEARCH("FAIL",AO65))),"Y","N"))</f>
        <v/>
      </c>
      <c r="AW65" s="10" t="str">
        <f aca="false">IF(C65="","",C65&amp;"|"&amp;F65&amp;"|"&amp;G65&amp;"|"&amp;L65&amp;"|"&amp;AV65)</f>
        <v/>
      </c>
    </row>
    <row r="66" customFormat="false" ht="15" hidden="false" customHeight="false" outlineLevel="0" collapsed="false">
      <c r="A66" s="10" t="str">
        <f aca="false">IF(C66="","","DRN-"&amp;IFERROR(VLOOKUP(C66,Lists!$A$4:$B$27,2,0),"??")&amp;"-"&amp;TEXT(F66,"0000")&amp;"x"&amp;TEXT(G66,"0000")&amp;IF(N(H66)&gt;1,"-"&amp;H66&amp;"C","")&amp;"-"&amp;IFERROR(VLOOKUP(L66,Lists!$J$4:$K$19,2,0),"??")&amp;"-"&amp;U66)</f>
        <v/>
      </c>
      <c r="B66" s="10" t="str">
        <f aca="false">IF(C66="","",C66&amp;" "&amp;F66&amp;"W x "&amp;G66&amp;"D"&amp;IF(N(H66)&gt;1," ("&amp;H66&amp;" cells)","")&amp;", "&amp;D66&amp;", "&amp;L66&amp;", "&amp;E66)</f>
        <v/>
      </c>
      <c r="C66" s="9"/>
      <c r="D66" s="9"/>
      <c r="E66" s="9"/>
      <c r="F66" s="40"/>
      <c r="G66" s="40"/>
      <c r="H66" s="40"/>
      <c r="I66" s="40"/>
      <c r="J66" s="40"/>
      <c r="K66" s="40"/>
      <c r="L66" s="9"/>
      <c r="M66" s="9"/>
      <c r="N66" s="9"/>
      <c r="O66" s="40"/>
      <c r="P66" s="9"/>
      <c r="Q66" s="9"/>
      <c r="R66" s="9"/>
      <c r="S66" s="9"/>
      <c r="T66" s="9"/>
      <c r="U66" s="9"/>
      <c r="V66" s="9"/>
      <c r="W66" s="9"/>
      <c r="X66" s="9"/>
      <c r="Y66" s="9"/>
      <c r="Z66" s="10" t="str">
        <f aca="false">IF(A66="","",SG_Criteria!$B$6&amp;SG_Criteria!$B$7&amp;"\"&amp;A66&amp;"\")</f>
        <v/>
      </c>
      <c r="AA66" s="10" t="str">
        <f aca="false">IF(A66="","",A66&amp;"_CAD.dwg")</f>
        <v/>
      </c>
      <c r="AB66" s="10" t="str">
        <f aca="false">IF(A66="","",A66&amp;"_DWG.pdf")</f>
        <v/>
      </c>
      <c r="AC66" s="10" t="str">
        <f aca="false">IF(A66="","",IF(Y66="Y",A66&amp;"_STAAD.std","n/a"))</f>
        <v/>
      </c>
      <c r="AD66" s="10" t="str">
        <f aca="false">IF(A66="","",A66&amp;"_CALC.xlsx")</f>
        <v/>
      </c>
      <c r="AE66" s="10" t="str">
        <f aca="false">IF(A66="","",A66&amp;"_CALC.pdf")</f>
        <v/>
      </c>
      <c r="AF66" s="9"/>
      <c r="AG66" s="9"/>
      <c r="AH66" s="41"/>
      <c r="AI66" s="41"/>
      <c r="AJ66" s="41"/>
      <c r="AK66" s="41"/>
      <c r="AL66" s="41"/>
      <c r="AM66" s="37" t="str">
        <f aca="false">IF(OR(C66="",F66="",G66="",C66="Sump",C66="Drop Inlet Chamber",C66="Silt Trap",C66="Pipe Culvert",C66="Subsoil Drain"),"",ROUND(MAX(1,N(H66))*(1/SG_Criteria!$B$26)*((F66/1000)*(G66/1000*(1-SG_Criteria!$B$25)))*(((F66/1000)*(G66/1000*(1-SG_Criteria!$B$25)))/((F66/1000)+2*(G66/1000*(1-SG_Criteria!$B$25))))^(2/3)*(1/Design_Selector!$B$11)^0.5,3))</f>
        <v/>
      </c>
      <c r="AN66" s="11" t="str">
        <f aca="false">IF(AM66="","",ROUND(AM66/(MAX(1,N(H66))*F66/1000*(G66/1000*(1-SG_Criteria!$B$25))),2))</f>
        <v/>
      </c>
      <c r="AO66" s="38" t="str">
        <f aca="false">IF(C66="","",IF(LEN(IF(AND(OR(D66="Roadside drain",D66="Entrance culvert"),OR(F66&lt;SG_Criteria!$B$15,G66&lt;SG_Criteria!$B$16)),"FAIL: below PUB min "&amp;SG_Criteria!$B$15&amp;"x"&amp;SG_Criteria!$B$16&amp;" for roadside drain. ","")&amp;IF(AND(D66="Common drain",F66&lt;SG_Criteria!$B$17),"FAIL: common drain W &lt; "&amp;SG_Criteria!$B$17&amp;" mm. ","")&amp;IF(AND(N66&lt;&gt;"",IFERROR(VALUE(MID(N66,2,2)),0)&lt;SG_Criteria!$B$19),"FAIL: grade below C"&amp;SG_Criteria!$B$19&amp;". ","")&amp;IF(AND(O66&lt;&gt;"",O66&lt;SG_Criteria!$B$20),"FAIL: cover &lt; "&amp;SG_Criteria!$B$20&amp;" mm. ","")&amp;IF(AND(E66="Open",G66&gt;SG_Criteria!$B$18),"NOTE: safety railing required (D &gt; "&amp;SG_Criteria!$B$18&amp;" mm). ","")&amp;IF(AND(D66="Entrance culvert",G66&lt;600),"NOTE: check hinged grating rule for culverts &lt; 600 deep (PUB Add. 3). ",""))=0,"OK",IF(AND(OR(D66="Roadside drain",D66="Entrance culvert"),OR(F66&lt;SG_Criteria!$B$15,G66&lt;SG_Criteria!$B$16)),"FAIL: below PUB min "&amp;SG_Criteria!$B$15&amp;"x"&amp;SG_Criteria!$B$16&amp;" for roadside drain. ","")&amp;IF(AND(D66="Common drain",F66&lt;SG_Criteria!$B$17),"FAIL: common drain W &lt; "&amp;SG_Criteria!$B$17&amp;" mm. ","")&amp;IF(AND(N66&lt;&gt;"",IFERROR(VALUE(MID(N66,2,2)),0)&lt;SG_Criteria!$B$19),"FAIL: grade below C"&amp;SG_Criteria!$B$19&amp;". ","")&amp;IF(AND(O66&lt;&gt;"",O66&lt;SG_Criteria!$B$20),"FAIL: cover &lt; "&amp;SG_Criteria!$B$20&amp;" mm. ","")&amp;IF(AND(E66="Open",G66&gt;SG_Criteria!$B$18),"NOTE: safety railing required (D &gt; "&amp;SG_Criteria!$B$18&amp;" mm). ","")&amp;IF(AND(D66="Entrance culvert",G66&lt;600),"NOTE: check hinged grating rule for culverts &lt; 600 deep (PUB Add. 3). ","")))</f>
        <v/>
      </c>
      <c r="AP66" s="9"/>
      <c r="AQ66" s="9"/>
      <c r="AR66" s="9"/>
      <c r="AS66" s="9"/>
      <c r="AT66" s="9"/>
      <c r="AU66" s="31"/>
      <c r="AV66" s="10" t="str">
        <f aca="false">IF(C66="","",IF(AND(V66="Approved",ISERROR(SEARCH("FAIL",AO66))),"Y","N"))</f>
        <v/>
      </c>
      <c r="AW66" s="10" t="str">
        <f aca="false">IF(C66="","",C66&amp;"|"&amp;F66&amp;"|"&amp;G66&amp;"|"&amp;L66&amp;"|"&amp;AV66)</f>
        <v/>
      </c>
    </row>
    <row r="67" customFormat="false" ht="15" hidden="false" customHeight="false" outlineLevel="0" collapsed="false">
      <c r="A67" s="10" t="str">
        <f aca="false">IF(C67="","","DRN-"&amp;IFERROR(VLOOKUP(C67,Lists!$A$4:$B$27,2,0),"??")&amp;"-"&amp;TEXT(F67,"0000")&amp;"x"&amp;TEXT(G67,"0000")&amp;IF(N(H67)&gt;1,"-"&amp;H67&amp;"C","")&amp;"-"&amp;IFERROR(VLOOKUP(L67,Lists!$J$4:$K$19,2,0),"??")&amp;"-"&amp;U67)</f>
        <v/>
      </c>
      <c r="B67" s="10" t="str">
        <f aca="false">IF(C67="","",C67&amp;" "&amp;F67&amp;"W x "&amp;G67&amp;"D"&amp;IF(N(H67)&gt;1," ("&amp;H67&amp;" cells)","")&amp;", "&amp;D67&amp;", "&amp;L67&amp;", "&amp;E67)</f>
        <v/>
      </c>
      <c r="C67" s="9"/>
      <c r="D67" s="9"/>
      <c r="E67" s="9"/>
      <c r="F67" s="40"/>
      <c r="G67" s="40"/>
      <c r="H67" s="40"/>
      <c r="I67" s="40"/>
      <c r="J67" s="40"/>
      <c r="K67" s="40"/>
      <c r="L67" s="9"/>
      <c r="M67" s="9"/>
      <c r="N67" s="9"/>
      <c r="O67" s="40"/>
      <c r="P67" s="9"/>
      <c r="Q67" s="9"/>
      <c r="R67" s="9"/>
      <c r="S67" s="9"/>
      <c r="T67" s="9"/>
      <c r="U67" s="9"/>
      <c r="V67" s="9"/>
      <c r="W67" s="9"/>
      <c r="X67" s="9"/>
      <c r="Y67" s="9"/>
      <c r="Z67" s="10" t="str">
        <f aca="false">IF(A67="","",SG_Criteria!$B$6&amp;SG_Criteria!$B$7&amp;"\"&amp;A67&amp;"\")</f>
        <v/>
      </c>
      <c r="AA67" s="10" t="str">
        <f aca="false">IF(A67="","",A67&amp;"_CAD.dwg")</f>
        <v/>
      </c>
      <c r="AB67" s="10" t="str">
        <f aca="false">IF(A67="","",A67&amp;"_DWG.pdf")</f>
        <v/>
      </c>
      <c r="AC67" s="10" t="str">
        <f aca="false">IF(A67="","",IF(Y67="Y",A67&amp;"_STAAD.std","n/a"))</f>
        <v/>
      </c>
      <c r="AD67" s="10" t="str">
        <f aca="false">IF(A67="","",A67&amp;"_CALC.xlsx")</f>
        <v/>
      </c>
      <c r="AE67" s="10" t="str">
        <f aca="false">IF(A67="","",A67&amp;"_CALC.pdf")</f>
        <v/>
      </c>
      <c r="AF67" s="9"/>
      <c r="AG67" s="9"/>
      <c r="AH67" s="41"/>
      <c r="AI67" s="41"/>
      <c r="AJ67" s="41"/>
      <c r="AK67" s="41"/>
      <c r="AL67" s="41"/>
      <c r="AM67" s="37" t="str">
        <f aca="false">IF(OR(C67="",F67="",G67="",C67="Sump",C67="Drop Inlet Chamber",C67="Silt Trap",C67="Pipe Culvert",C67="Subsoil Drain"),"",ROUND(MAX(1,N(H67))*(1/SG_Criteria!$B$26)*((F67/1000)*(G67/1000*(1-SG_Criteria!$B$25)))*(((F67/1000)*(G67/1000*(1-SG_Criteria!$B$25)))/((F67/1000)+2*(G67/1000*(1-SG_Criteria!$B$25))))^(2/3)*(1/Design_Selector!$B$11)^0.5,3))</f>
        <v/>
      </c>
      <c r="AN67" s="11" t="str">
        <f aca="false">IF(AM67="","",ROUND(AM67/(MAX(1,N(H67))*F67/1000*(G67/1000*(1-SG_Criteria!$B$25))),2))</f>
        <v/>
      </c>
      <c r="AO67" s="38" t="str">
        <f aca="false">IF(C67="","",IF(LEN(IF(AND(OR(D67="Roadside drain",D67="Entrance culvert"),OR(F67&lt;SG_Criteria!$B$15,G67&lt;SG_Criteria!$B$16)),"FAIL: below PUB min "&amp;SG_Criteria!$B$15&amp;"x"&amp;SG_Criteria!$B$16&amp;" for roadside drain. ","")&amp;IF(AND(D67="Common drain",F67&lt;SG_Criteria!$B$17),"FAIL: common drain W &lt; "&amp;SG_Criteria!$B$17&amp;" mm. ","")&amp;IF(AND(N67&lt;&gt;"",IFERROR(VALUE(MID(N67,2,2)),0)&lt;SG_Criteria!$B$19),"FAIL: grade below C"&amp;SG_Criteria!$B$19&amp;". ","")&amp;IF(AND(O67&lt;&gt;"",O67&lt;SG_Criteria!$B$20),"FAIL: cover &lt; "&amp;SG_Criteria!$B$20&amp;" mm. ","")&amp;IF(AND(E67="Open",G67&gt;SG_Criteria!$B$18),"NOTE: safety railing required (D &gt; "&amp;SG_Criteria!$B$18&amp;" mm). ","")&amp;IF(AND(D67="Entrance culvert",G67&lt;600),"NOTE: check hinged grating rule for culverts &lt; 600 deep (PUB Add. 3). ",""))=0,"OK",IF(AND(OR(D67="Roadside drain",D67="Entrance culvert"),OR(F67&lt;SG_Criteria!$B$15,G67&lt;SG_Criteria!$B$16)),"FAIL: below PUB min "&amp;SG_Criteria!$B$15&amp;"x"&amp;SG_Criteria!$B$16&amp;" for roadside drain. ","")&amp;IF(AND(D67="Common drain",F67&lt;SG_Criteria!$B$17),"FAIL: common drain W &lt; "&amp;SG_Criteria!$B$17&amp;" mm. ","")&amp;IF(AND(N67&lt;&gt;"",IFERROR(VALUE(MID(N67,2,2)),0)&lt;SG_Criteria!$B$19),"FAIL: grade below C"&amp;SG_Criteria!$B$19&amp;". ","")&amp;IF(AND(O67&lt;&gt;"",O67&lt;SG_Criteria!$B$20),"FAIL: cover &lt; "&amp;SG_Criteria!$B$20&amp;" mm. ","")&amp;IF(AND(E67="Open",G67&gt;SG_Criteria!$B$18),"NOTE: safety railing required (D &gt; "&amp;SG_Criteria!$B$18&amp;" mm). ","")&amp;IF(AND(D67="Entrance culvert",G67&lt;600),"NOTE: check hinged grating rule for culverts &lt; 600 deep (PUB Add. 3). ","")))</f>
        <v/>
      </c>
      <c r="AP67" s="9"/>
      <c r="AQ67" s="9"/>
      <c r="AR67" s="9"/>
      <c r="AS67" s="9"/>
      <c r="AT67" s="9"/>
      <c r="AU67" s="31"/>
      <c r="AV67" s="10" t="str">
        <f aca="false">IF(C67="","",IF(AND(V67="Approved",ISERROR(SEARCH("FAIL",AO67))),"Y","N"))</f>
        <v/>
      </c>
      <c r="AW67" s="10" t="str">
        <f aca="false">IF(C67="","",C67&amp;"|"&amp;F67&amp;"|"&amp;G67&amp;"|"&amp;L67&amp;"|"&amp;AV67)</f>
        <v/>
      </c>
    </row>
    <row r="68" customFormat="false" ht="15" hidden="false" customHeight="false" outlineLevel="0" collapsed="false">
      <c r="A68" s="10" t="str">
        <f aca="false">IF(C68="","","DRN-"&amp;IFERROR(VLOOKUP(C68,Lists!$A$4:$B$27,2,0),"??")&amp;"-"&amp;TEXT(F68,"0000")&amp;"x"&amp;TEXT(G68,"0000")&amp;IF(N(H68)&gt;1,"-"&amp;H68&amp;"C","")&amp;"-"&amp;IFERROR(VLOOKUP(L68,Lists!$J$4:$K$19,2,0),"??")&amp;"-"&amp;U68)</f>
        <v/>
      </c>
      <c r="B68" s="10" t="str">
        <f aca="false">IF(C68="","",C68&amp;" "&amp;F68&amp;"W x "&amp;G68&amp;"D"&amp;IF(N(H68)&gt;1," ("&amp;H68&amp;" cells)","")&amp;", "&amp;D68&amp;", "&amp;L68&amp;", "&amp;E68)</f>
        <v/>
      </c>
      <c r="C68" s="9"/>
      <c r="D68" s="9"/>
      <c r="E68" s="9"/>
      <c r="F68" s="40"/>
      <c r="G68" s="40"/>
      <c r="H68" s="40"/>
      <c r="I68" s="40"/>
      <c r="J68" s="40"/>
      <c r="K68" s="40"/>
      <c r="L68" s="9"/>
      <c r="M68" s="9"/>
      <c r="N68" s="9"/>
      <c r="O68" s="40"/>
      <c r="P68" s="9"/>
      <c r="Q68" s="9"/>
      <c r="R68" s="9"/>
      <c r="S68" s="9"/>
      <c r="T68" s="9"/>
      <c r="U68" s="9"/>
      <c r="V68" s="9"/>
      <c r="W68" s="9"/>
      <c r="X68" s="9"/>
      <c r="Y68" s="9"/>
      <c r="Z68" s="10" t="str">
        <f aca="false">IF(A68="","",SG_Criteria!$B$6&amp;SG_Criteria!$B$7&amp;"\"&amp;A68&amp;"\")</f>
        <v/>
      </c>
      <c r="AA68" s="10" t="str">
        <f aca="false">IF(A68="","",A68&amp;"_CAD.dwg")</f>
        <v/>
      </c>
      <c r="AB68" s="10" t="str">
        <f aca="false">IF(A68="","",A68&amp;"_DWG.pdf")</f>
        <v/>
      </c>
      <c r="AC68" s="10" t="str">
        <f aca="false">IF(A68="","",IF(Y68="Y",A68&amp;"_STAAD.std","n/a"))</f>
        <v/>
      </c>
      <c r="AD68" s="10" t="str">
        <f aca="false">IF(A68="","",A68&amp;"_CALC.xlsx")</f>
        <v/>
      </c>
      <c r="AE68" s="10" t="str">
        <f aca="false">IF(A68="","",A68&amp;"_CALC.pdf")</f>
        <v/>
      </c>
      <c r="AF68" s="9"/>
      <c r="AG68" s="9"/>
      <c r="AH68" s="41"/>
      <c r="AI68" s="41"/>
      <c r="AJ68" s="41"/>
      <c r="AK68" s="41"/>
      <c r="AL68" s="41"/>
      <c r="AM68" s="37" t="str">
        <f aca="false">IF(OR(C68="",F68="",G68="",C68="Sump",C68="Drop Inlet Chamber",C68="Silt Trap",C68="Pipe Culvert",C68="Subsoil Drain"),"",ROUND(MAX(1,N(H68))*(1/SG_Criteria!$B$26)*((F68/1000)*(G68/1000*(1-SG_Criteria!$B$25)))*(((F68/1000)*(G68/1000*(1-SG_Criteria!$B$25)))/((F68/1000)+2*(G68/1000*(1-SG_Criteria!$B$25))))^(2/3)*(1/Design_Selector!$B$11)^0.5,3))</f>
        <v/>
      </c>
      <c r="AN68" s="11" t="str">
        <f aca="false">IF(AM68="","",ROUND(AM68/(MAX(1,N(H68))*F68/1000*(G68/1000*(1-SG_Criteria!$B$25))),2))</f>
        <v/>
      </c>
      <c r="AO68" s="38" t="str">
        <f aca="false">IF(C68="","",IF(LEN(IF(AND(OR(D68="Roadside drain",D68="Entrance culvert"),OR(F68&lt;SG_Criteria!$B$15,G68&lt;SG_Criteria!$B$16)),"FAIL: below PUB min "&amp;SG_Criteria!$B$15&amp;"x"&amp;SG_Criteria!$B$16&amp;" for roadside drain. ","")&amp;IF(AND(D68="Common drain",F68&lt;SG_Criteria!$B$17),"FAIL: common drain W &lt; "&amp;SG_Criteria!$B$17&amp;" mm. ","")&amp;IF(AND(N68&lt;&gt;"",IFERROR(VALUE(MID(N68,2,2)),0)&lt;SG_Criteria!$B$19),"FAIL: grade below C"&amp;SG_Criteria!$B$19&amp;". ","")&amp;IF(AND(O68&lt;&gt;"",O68&lt;SG_Criteria!$B$20),"FAIL: cover &lt; "&amp;SG_Criteria!$B$20&amp;" mm. ","")&amp;IF(AND(E68="Open",G68&gt;SG_Criteria!$B$18),"NOTE: safety railing required (D &gt; "&amp;SG_Criteria!$B$18&amp;" mm). ","")&amp;IF(AND(D68="Entrance culvert",G68&lt;600),"NOTE: check hinged grating rule for culverts &lt; 600 deep (PUB Add. 3). ",""))=0,"OK",IF(AND(OR(D68="Roadside drain",D68="Entrance culvert"),OR(F68&lt;SG_Criteria!$B$15,G68&lt;SG_Criteria!$B$16)),"FAIL: below PUB min "&amp;SG_Criteria!$B$15&amp;"x"&amp;SG_Criteria!$B$16&amp;" for roadside drain. ","")&amp;IF(AND(D68="Common drain",F68&lt;SG_Criteria!$B$17),"FAIL: common drain W &lt; "&amp;SG_Criteria!$B$17&amp;" mm. ","")&amp;IF(AND(N68&lt;&gt;"",IFERROR(VALUE(MID(N68,2,2)),0)&lt;SG_Criteria!$B$19),"FAIL: grade below C"&amp;SG_Criteria!$B$19&amp;". ","")&amp;IF(AND(O68&lt;&gt;"",O68&lt;SG_Criteria!$B$20),"FAIL: cover &lt; "&amp;SG_Criteria!$B$20&amp;" mm. ","")&amp;IF(AND(E68="Open",G68&gt;SG_Criteria!$B$18),"NOTE: safety railing required (D &gt; "&amp;SG_Criteria!$B$18&amp;" mm). ","")&amp;IF(AND(D68="Entrance culvert",G68&lt;600),"NOTE: check hinged grating rule for culverts &lt; 600 deep (PUB Add. 3). ","")))</f>
        <v/>
      </c>
      <c r="AP68" s="9"/>
      <c r="AQ68" s="9"/>
      <c r="AR68" s="9"/>
      <c r="AS68" s="9"/>
      <c r="AT68" s="9"/>
      <c r="AU68" s="31"/>
      <c r="AV68" s="10" t="str">
        <f aca="false">IF(C68="","",IF(AND(V68="Approved",ISERROR(SEARCH("FAIL",AO68))),"Y","N"))</f>
        <v/>
      </c>
      <c r="AW68" s="10" t="str">
        <f aca="false">IF(C68="","",C68&amp;"|"&amp;F68&amp;"|"&amp;G68&amp;"|"&amp;L68&amp;"|"&amp;AV68)</f>
        <v/>
      </c>
    </row>
    <row r="69" customFormat="false" ht="15" hidden="false" customHeight="false" outlineLevel="0" collapsed="false">
      <c r="A69" s="10" t="str">
        <f aca="false">IF(C69="","","DRN-"&amp;IFERROR(VLOOKUP(C69,Lists!$A$4:$B$27,2,0),"??")&amp;"-"&amp;TEXT(F69,"0000")&amp;"x"&amp;TEXT(G69,"0000")&amp;IF(N(H69)&gt;1,"-"&amp;H69&amp;"C","")&amp;"-"&amp;IFERROR(VLOOKUP(L69,Lists!$J$4:$K$19,2,0),"??")&amp;"-"&amp;U69)</f>
        <v/>
      </c>
      <c r="B69" s="10" t="str">
        <f aca="false">IF(C69="","",C69&amp;" "&amp;F69&amp;"W x "&amp;G69&amp;"D"&amp;IF(N(H69)&gt;1," ("&amp;H69&amp;" cells)","")&amp;", "&amp;D69&amp;", "&amp;L69&amp;", "&amp;E69)</f>
        <v/>
      </c>
      <c r="C69" s="9"/>
      <c r="D69" s="9"/>
      <c r="E69" s="9"/>
      <c r="F69" s="40"/>
      <c r="G69" s="40"/>
      <c r="H69" s="40"/>
      <c r="I69" s="40"/>
      <c r="J69" s="40"/>
      <c r="K69" s="40"/>
      <c r="L69" s="9"/>
      <c r="M69" s="9"/>
      <c r="N69" s="9"/>
      <c r="O69" s="40"/>
      <c r="P69" s="9"/>
      <c r="Q69" s="9"/>
      <c r="R69" s="9"/>
      <c r="S69" s="9"/>
      <c r="T69" s="9"/>
      <c r="U69" s="9"/>
      <c r="V69" s="9"/>
      <c r="W69" s="9"/>
      <c r="X69" s="9"/>
      <c r="Y69" s="9"/>
      <c r="Z69" s="10" t="str">
        <f aca="false">IF(A69="","",SG_Criteria!$B$6&amp;SG_Criteria!$B$7&amp;"\"&amp;A69&amp;"\")</f>
        <v/>
      </c>
      <c r="AA69" s="10" t="str">
        <f aca="false">IF(A69="","",A69&amp;"_CAD.dwg")</f>
        <v/>
      </c>
      <c r="AB69" s="10" t="str">
        <f aca="false">IF(A69="","",A69&amp;"_DWG.pdf")</f>
        <v/>
      </c>
      <c r="AC69" s="10" t="str">
        <f aca="false">IF(A69="","",IF(Y69="Y",A69&amp;"_STAAD.std","n/a"))</f>
        <v/>
      </c>
      <c r="AD69" s="10" t="str">
        <f aca="false">IF(A69="","",A69&amp;"_CALC.xlsx")</f>
        <v/>
      </c>
      <c r="AE69" s="10" t="str">
        <f aca="false">IF(A69="","",A69&amp;"_CALC.pdf")</f>
        <v/>
      </c>
      <c r="AF69" s="9"/>
      <c r="AG69" s="9"/>
      <c r="AH69" s="41"/>
      <c r="AI69" s="41"/>
      <c r="AJ69" s="41"/>
      <c r="AK69" s="41"/>
      <c r="AL69" s="41"/>
      <c r="AM69" s="37" t="str">
        <f aca="false">IF(OR(C69="",F69="",G69="",C69="Sump",C69="Drop Inlet Chamber",C69="Silt Trap",C69="Pipe Culvert",C69="Subsoil Drain"),"",ROUND(MAX(1,N(H69))*(1/SG_Criteria!$B$26)*((F69/1000)*(G69/1000*(1-SG_Criteria!$B$25)))*(((F69/1000)*(G69/1000*(1-SG_Criteria!$B$25)))/((F69/1000)+2*(G69/1000*(1-SG_Criteria!$B$25))))^(2/3)*(1/Design_Selector!$B$11)^0.5,3))</f>
        <v/>
      </c>
      <c r="AN69" s="11" t="str">
        <f aca="false">IF(AM69="","",ROUND(AM69/(MAX(1,N(H69))*F69/1000*(G69/1000*(1-SG_Criteria!$B$25))),2))</f>
        <v/>
      </c>
      <c r="AO69" s="38" t="str">
        <f aca="false">IF(C69="","",IF(LEN(IF(AND(OR(D69="Roadside drain",D69="Entrance culvert"),OR(F69&lt;SG_Criteria!$B$15,G69&lt;SG_Criteria!$B$16)),"FAIL: below PUB min "&amp;SG_Criteria!$B$15&amp;"x"&amp;SG_Criteria!$B$16&amp;" for roadside drain. ","")&amp;IF(AND(D69="Common drain",F69&lt;SG_Criteria!$B$17),"FAIL: common drain W &lt; "&amp;SG_Criteria!$B$17&amp;" mm. ","")&amp;IF(AND(N69&lt;&gt;"",IFERROR(VALUE(MID(N69,2,2)),0)&lt;SG_Criteria!$B$19),"FAIL: grade below C"&amp;SG_Criteria!$B$19&amp;". ","")&amp;IF(AND(O69&lt;&gt;"",O69&lt;SG_Criteria!$B$20),"FAIL: cover &lt; "&amp;SG_Criteria!$B$20&amp;" mm. ","")&amp;IF(AND(E69="Open",G69&gt;SG_Criteria!$B$18),"NOTE: safety railing required (D &gt; "&amp;SG_Criteria!$B$18&amp;" mm). ","")&amp;IF(AND(D69="Entrance culvert",G69&lt;600),"NOTE: check hinged grating rule for culverts &lt; 600 deep (PUB Add. 3). ",""))=0,"OK",IF(AND(OR(D69="Roadside drain",D69="Entrance culvert"),OR(F69&lt;SG_Criteria!$B$15,G69&lt;SG_Criteria!$B$16)),"FAIL: below PUB min "&amp;SG_Criteria!$B$15&amp;"x"&amp;SG_Criteria!$B$16&amp;" for roadside drain. ","")&amp;IF(AND(D69="Common drain",F69&lt;SG_Criteria!$B$17),"FAIL: common drain W &lt; "&amp;SG_Criteria!$B$17&amp;" mm. ","")&amp;IF(AND(N69&lt;&gt;"",IFERROR(VALUE(MID(N69,2,2)),0)&lt;SG_Criteria!$B$19),"FAIL: grade below C"&amp;SG_Criteria!$B$19&amp;". ","")&amp;IF(AND(O69&lt;&gt;"",O69&lt;SG_Criteria!$B$20),"FAIL: cover &lt; "&amp;SG_Criteria!$B$20&amp;" mm. ","")&amp;IF(AND(E69="Open",G69&gt;SG_Criteria!$B$18),"NOTE: safety railing required (D &gt; "&amp;SG_Criteria!$B$18&amp;" mm). ","")&amp;IF(AND(D69="Entrance culvert",G69&lt;600),"NOTE: check hinged grating rule for culverts &lt; 600 deep (PUB Add. 3). ","")))</f>
        <v/>
      </c>
      <c r="AP69" s="9"/>
      <c r="AQ69" s="9"/>
      <c r="AR69" s="9"/>
      <c r="AS69" s="9"/>
      <c r="AT69" s="9"/>
      <c r="AU69" s="31"/>
      <c r="AV69" s="10" t="str">
        <f aca="false">IF(C69="","",IF(AND(V69="Approved",ISERROR(SEARCH("FAIL",AO69))),"Y","N"))</f>
        <v/>
      </c>
      <c r="AW69" s="10" t="str">
        <f aca="false">IF(C69="","",C69&amp;"|"&amp;F69&amp;"|"&amp;G69&amp;"|"&amp;L69&amp;"|"&amp;AV69)</f>
        <v/>
      </c>
    </row>
    <row r="70" customFormat="false" ht="15" hidden="false" customHeight="false" outlineLevel="0" collapsed="false">
      <c r="A70" s="10" t="str">
        <f aca="false">IF(C70="","","DRN-"&amp;IFERROR(VLOOKUP(C70,Lists!$A$4:$B$27,2,0),"??")&amp;"-"&amp;TEXT(F70,"0000")&amp;"x"&amp;TEXT(G70,"0000")&amp;IF(N(H70)&gt;1,"-"&amp;H70&amp;"C","")&amp;"-"&amp;IFERROR(VLOOKUP(L70,Lists!$J$4:$K$19,2,0),"??")&amp;"-"&amp;U70)</f>
        <v/>
      </c>
      <c r="B70" s="10" t="str">
        <f aca="false">IF(C70="","",C70&amp;" "&amp;F70&amp;"W x "&amp;G70&amp;"D"&amp;IF(N(H70)&gt;1," ("&amp;H70&amp;" cells)","")&amp;", "&amp;D70&amp;", "&amp;L70&amp;", "&amp;E70)</f>
        <v/>
      </c>
      <c r="C70" s="9"/>
      <c r="D70" s="9"/>
      <c r="E70" s="9"/>
      <c r="F70" s="40"/>
      <c r="G70" s="40"/>
      <c r="H70" s="40"/>
      <c r="I70" s="40"/>
      <c r="J70" s="40"/>
      <c r="K70" s="40"/>
      <c r="L70" s="9"/>
      <c r="M70" s="9"/>
      <c r="N70" s="9"/>
      <c r="O70" s="40"/>
      <c r="P70" s="9"/>
      <c r="Q70" s="9"/>
      <c r="R70" s="9"/>
      <c r="S70" s="9"/>
      <c r="T70" s="9"/>
      <c r="U70" s="9"/>
      <c r="V70" s="9"/>
      <c r="W70" s="9"/>
      <c r="X70" s="9"/>
      <c r="Y70" s="9"/>
      <c r="Z70" s="10" t="str">
        <f aca="false">IF(A70="","",SG_Criteria!$B$6&amp;SG_Criteria!$B$7&amp;"\"&amp;A70&amp;"\")</f>
        <v/>
      </c>
      <c r="AA70" s="10" t="str">
        <f aca="false">IF(A70="","",A70&amp;"_CAD.dwg")</f>
        <v/>
      </c>
      <c r="AB70" s="10" t="str">
        <f aca="false">IF(A70="","",A70&amp;"_DWG.pdf")</f>
        <v/>
      </c>
      <c r="AC70" s="10" t="str">
        <f aca="false">IF(A70="","",IF(Y70="Y",A70&amp;"_STAAD.std","n/a"))</f>
        <v/>
      </c>
      <c r="AD70" s="10" t="str">
        <f aca="false">IF(A70="","",A70&amp;"_CALC.xlsx")</f>
        <v/>
      </c>
      <c r="AE70" s="10" t="str">
        <f aca="false">IF(A70="","",A70&amp;"_CALC.pdf")</f>
        <v/>
      </c>
      <c r="AF70" s="9"/>
      <c r="AG70" s="9"/>
      <c r="AH70" s="41"/>
      <c r="AI70" s="41"/>
      <c r="AJ70" s="41"/>
      <c r="AK70" s="41"/>
      <c r="AL70" s="41"/>
      <c r="AM70" s="37" t="str">
        <f aca="false">IF(OR(C70="",F70="",G70="",C70="Sump",C70="Drop Inlet Chamber",C70="Silt Trap",C70="Pipe Culvert",C70="Subsoil Drain"),"",ROUND(MAX(1,N(H70))*(1/SG_Criteria!$B$26)*((F70/1000)*(G70/1000*(1-SG_Criteria!$B$25)))*(((F70/1000)*(G70/1000*(1-SG_Criteria!$B$25)))/((F70/1000)+2*(G70/1000*(1-SG_Criteria!$B$25))))^(2/3)*(1/Design_Selector!$B$11)^0.5,3))</f>
        <v/>
      </c>
      <c r="AN70" s="11" t="str">
        <f aca="false">IF(AM70="","",ROUND(AM70/(MAX(1,N(H70))*F70/1000*(G70/1000*(1-SG_Criteria!$B$25))),2))</f>
        <v/>
      </c>
      <c r="AO70" s="38" t="str">
        <f aca="false">IF(C70="","",IF(LEN(IF(AND(OR(D70="Roadside drain",D70="Entrance culvert"),OR(F70&lt;SG_Criteria!$B$15,G70&lt;SG_Criteria!$B$16)),"FAIL: below PUB min "&amp;SG_Criteria!$B$15&amp;"x"&amp;SG_Criteria!$B$16&amp;" for roadside drain. ","")&amp;IF(AND(D70="Common drain",F70&lt;SG_Criteria!$B$17),"FAIL: common drain W &lt; "&amp;SG_Criteria!$B$17&amp;" mm. ","")&amp;IF(AND(N70&lt;&gt;"",IFERROR(VALUE(MID(N70,2,2)),0)&lt;SG_Criteria!$B$19),"FAIL: grade below C"&amp;SG_Criteria!$B$19&amp;". ","")&amp;IF(AND(O70&lt;&gt;"",O70&lt;SG_Criteria!$B$20),"FAIL: cover &lt; "&amp;SG_Criteria!$B$20&amp;" mm. ","")&amp;IF(AND(E70="Open",G70&gt;SG_Criteria!$B$18),"NOTE: safety railing required (D &gt; "&amp;SG_Criteria!$B$18&amp;" mm). ","")&amp;IF(AND(D70="Entrance culvert",G70&lt;600),"NOTE: check hinged grating rule for culverts &lt; 600 deep (PUB Add. 3). ",""))=0,"OK",IF(AND(OR(D70="Roadside drain",D70="Entrance culvert"),OR(F70&lt;SG_Criteria!$B$15,G70&lt;SG_Criteria!$B$16)),"FAIL: below PUB min "&amp;SG_Criteria!$B$15&amp;"x"&amp;SG_Criteria!$B$16&amp;" for roadside drain. ","")&amp;IF(AND(D70="Common drain",F70&lt;SG_Criteria!$B$17),"FAIL: common drain W &lt; "&amp;SG_Criteria!$B$17&amp;" mm. ","")&amp;IF(AND(N70&lt;&gt;"",IFERROR(VALUE(MID(N70,2,2)),0)&lt;SG_Criteria!$B$19),"FAIL: grade below C"&amp;SG_Criteria!$B$19&amp;". ","")&amp;IF(AND(O70&lt;&gt;"",O70&lt;SG_Criteria!$B$20),"FAIL: cover &lt; "&amp;SG_Criteria!$B$20&amp;" mm. ","")&amp;IF(AND(E70="Open",G70&gt;SG_Criteria!$B$18),"NOTE: safety railing required (D &gt; "&amp;SG_Criteria!$B$18&amp;" mm). ","")&amp;IF(AND(D70="Entrance culvert",G70&lt;600),"NOTE: check hinged grating rule for culverts &lt; 600 deep (PUB Add. 3). ","")))</f>
        <v/>
      </c>
      <c r="AP70" s="9"/>
      <c r="AQ70" s="9"/>
      <c r="AR70" s="9"/>
      <c r="AS70" s="9"/>
      <c r="AT70" s="9"/>
      <c r="AU70" s="31"/>
      <c r="AV70" s="10" t="str">
        <f aca="false">IF(C70="","",IF(AND(V70="Approved",ISERROR(SEARCH("FAIL",AO70))),"Y","N"))</f>
        <v/>
      </c>
      <c r="AW70" s="10" t="str">
        <f aca="false">IF(C70="","",C70&amp;"|"&amp;F70&amp;"|"&amp;G70&amp;"|"&amp;L70&amp;"|"&amp;AV70)</f>
        <v/>
      </c>
    </row>
    <row r="71" customFormat="false" ht="15" hidden="false" customHeight="false" outlineLevel="0" collapsed="false">
      <c r="A71" s="10" t="str">
        <f aca="false">IF(C71="","","DRN-"&amp;IFERROR(VLOOKUP(C71,Lists!$A$4:$B$27,2,0),"??")&amp;"-"&amp;TEXT(F71,"0000")&amp;"x"&amp;TEXT(G71,"0000")&amp;IF(N(H71)&gt;1,"-"&amp;H71&amp;"C","")&amp;"-"&amp;IFERROR(VLOOKUP(L71,Lists!$J$4:$K$19,2,0),"??")&amp;"-"&amp;U71)</f>
        <v/>
      </c>
      <c r="B71" s="10" t="str">
        <f aca="false">IF(C71="","",C71&amp;" "&amp;F71&amp;"W x "&amp;G71&amp;"D"&amp;IF(N(H71)&gt;1," ("&amp;H71&amp;" cells)","")&amp;", "&amp;D71&amp;", "&amp;L71&amp;", "&amp;E71)</f>
        <v/>
      </c>
      <c r="C71" s="9"/>
      <c r="D71" s="9"/>
      <c r="E71" s="9"/>
      <c r="F71" s="40"/>
      <c r="G71" s="40"/>
      <c r="H71" s="40"/>
      <c r="I71" s="40"/>
      <c r="J71" s="40"/>
      <c r="K71" s="40"/>
      <c r="L71" s="9"/>
      <c r="M71" s="9"/>
      <c r="N71" s="9"/>
      <c r="O71" s="40"/>
      <c r="P71" s="9"/>
      <c r="Q71" s="9"/>
      <c r="R71" s="9"/>
      <c r="S71" s="9"/>
      <c r="T71" s="9"/>
      <c r="U71" s="9"/>
      <c r="V71" s="9"/>
      <c r="W71" s="9"/>
      <c r="X71" s="9"/>
      <c r="Y71" s="9"/>
      <c r="Z71" s="10" t="str">
        <f aca="false">IF(A71="","",SG_Criteria!$B$6&amp;SG_Criteria!$B$7&amp;"\"&amp;A71&amp;"\")</f>
        <v/>
      </c>
      <c r="AA71" s="10" t="str">
        <f aca="false">IF(A71="","",A71&amp;"_CAD.dwg")</f>
        <v/>
      </c>
      <c r="AB71" s="10" t="str">
        <f aca="false">IF(A71="","",A71&amp;"_DWG.pdf")</f>
        <v/>
      </c>
      <c r="AC71" s="10" t="str">
        <f aca="false">IF(A71="","",IF(Y71="Y",A71&amp;"_STAAD.std","n/a"))</f>
        <v/>
      </c>
      <c r="AD71" s="10" t="str">
        <f aca="false">IF(A71="","",A71&amp;"_CALC.xlsx")</f>
        <v/>
      </c>
      <c r="AE71" s="10" t="str">
        <f aca="false">IF(A71="","",A71&amp;"_CALC.pdf")</f>
        <v/>
      </c>
      <c r="AF71" s="9"/>
      <c r="AG71" s="9"/>
      <c r="AH71" s="41"/>
      <c r="AI71" s="41"/>
      <c r="AJ71" s="41"/>
      <c r="AK71" s="41"/>
      <c r="AL71" s="41"/>
      <c r="AM71" s="37" t="str">
        <f aca="false">IF(OR(C71="",F71="",G71="",C71="Sump",C71="Drop Inlet Chamber",C71="Silt Trap",C71="Pipe Culvert",C71="Subsoil Drain"),"",ROUND(MAX(1,N(H71))*(1/SG_Criteria!$B$26)*((F71/1000)*(G71/1000*(1-SG_Criteria!$B$25)))*(((F71/1000)*(G71/1000*(1-SG_Criteria!$B$25)))/((F71/1000)+2*(G71/1000*(1-SG_Criteria!$B$25))))^(2/3)*(1/Design_Selector!$B$11)^0.5,3))</f>
        <v/>
      </c>
      <c r="AN71" s="11" t="str">
        <f aca="false">IF(AM71="","",ROUND(AM71/(MAX(1,N(H71))*F71/1000*(G71/1000*(1-SG_Criteria!$B$25))),2))</f>
        <v/>
      </c>
      <c r="AO71" s="38" t="str">
        <f aca="false">IF(C71="","",IF(LEN(IF(AND(OR(D71="Roadside drain",D71="Entrance culvert"),OR(F71&lt;SG_Criteria!$B$15,G71&lt;SG_Criteria!$B$16)),"FAIL: below PUB min "&amp;SG_Criteria!$B$15&amp;"x"&amp;SG_Criteria!$B$16&amp;" for roadside drain. ","")&amp;IF(AND(D71="Common drain",F71&lt;SG_Criteria!$B$17),"FAIL: common drain W &lt; "&amp;SG_Criteria!$B$17&amp;" mm. ","")&amp;IF(AND(N71&lt;&gt;"",IFERROR(VALUE(MID(N71,2,2)),0)&lt;SG_Criteria!$B$19),"FAIL: grade below C"&amp;SG_Criteria!$B$19&amp;". ","")&amp;IF(AND(O71&lt;&gt;"",O71&lt;SG_Criteria!$B$20),"FAIL: cover &lt; "&amp;SG_Criteria!$B$20&amp;" mm. ","")&amp;IF(AND(E71="Open",G71&gt;SG_Criteria!$B$18),"NOTE: safety railing required (D &gt; "&amp;SG_Criteria!$B$18&amp;" mm). ","")&amp;IF(AND(D71="Entrance culvert",G71&lt;600),"NOTE: check hinged grating rule for culverts &lt; 600 deep (PUB Add. 3). ",""))=0,"OK",IF(AND(OR(D71="Roadside drain",D71="Entrance culvert"),OR(F71&lt;SG_Criteria!$B$15,G71&lt;SG_Criteria!$B$16)),"FAIL: below PUB min "&amp;SG_Criteria!$B$15&amp;"x"&amp;SG_Criteria!$B$16&amp;" for roadside drain. ","")&amp;IF(AND(D71="Common drain",F71&lt;SG_Criteria!$B$17),"FAIL: common drain W &lt; "&amp;SG_Criteria!$B$17&amp;" mm. ","")&amp;IF(AND(N71&lt;&gt;"",IFERROR(VALUE(MID(N71,2,2)),0)&lt;SG_Criteria!$B$19),"FAIL: grade below C"&amp;SG_Criteria!$B$19&amp;". ","")&amp;IF(AND(O71&lt;&gt;"",O71&lt;SG_Criteria!$B$20),"FAIL: cover &lt; "&amp;SG_Criteria!$B$20&amp;" mm. ","")&amp;IF(AND(E71="Open",G71&gt;SG_Criteria!$B$18),"NOTE: safety railing required (D &gt; "&amp;SG_Criteria!$B$18&amp;" mm). ","")&amp;IF(AND(D71="Entrance culvert",G71&lt;600),"NOTE: check hinged grating rule for culverts &lt; 600 deep (PUB Add. 3). ","")))</f>
        <v/>
      </c>
      <c r="AP71" s="9"/>
      <c r="AQ71" s="9"/>
      <c r="AR71" s="9"/>
      <c r="AS71" s="9"/>
      <c r="AT71" s="9"/>
      <c r="AU71" s="31"/>
      <c r="AV71" s="10" t="str">
        <f aca="false">IF(C71="","",IF(AND(V71="Approved",ISERROR(SEARCH("FAIL",AO71))),"Y","N"))</f>
        <v/>
      </c>
      <c r="AW71" s="10" t="str">
        <f aca="false">IF(C71="","",C71&amp;"|"&amp;F71&amp;"|"&amp;G71&amp;"|"&amp;L71&amp;"|"&amp;AV71)</f>
        <v/>
      </c>
    </row>
    <row r="72" customFormat="false" ht="15" hidden="false" customHeight="false" outlineLevel="0" collapsed="false">
      <c r="A72" s="10" t="str">
        <f aca="false">IF(C72="","","DRN-"&amp;IFERROR(VLOOKUP(C72,Lists!$A$4:$B$27,2,0),"??")&amp;"-"&amp;TEXT(F72,"0000")&amp;"x"&amp;TEXT(G72,"0000")&amp;IF(N(H72)&gt;1,"-"&amp;H72&amp;"C","")&amp;"-"&amp;IFERROR(VLOOKUP(L72,Lists!$J$4:$K$19,2,0),"??")&amp;"-"&amp;U72)</f>
        <v/>
      </c>
      <c r="B72" s="10" t="str">
        <f aca="false">IF(C72="","",C72&amp;" "&amp;F72&amp;"W x "&amp;G72&amp;"D"&amp;IF(N(H72)&gt;1," ("&amp;H72&amp;" cells)","")&amp;", "&amp;D72&amp;", "&amp;L72&amp;", "&amp;E72)</f>
        <v/>
      </c>
      <c r="C72" s="9"/>
      <c r="D72" s="9"/>
      <c r="E72" s="9"/>
      <c r="F72" s="40"/>
      <c r="G72" s="40"/>
      <c r="H72" s="40"/>
      <c r="I72" s="40"/>
      <c r="J72" s="40"/>
      <c r="K72" s="40"/>
      <c r="L72" s="9"/>
      <c r="M72" s="9"/>
      <c r="N72" s="9"/>
      <c r="O72" s="40"/>
      <c r="P72" s="9"/>
      <c r="Q72" s="9"/>
      <c r="R72" s="9"/>
      <c r="S72" s="9"/>
      <c r="T72" s="9"/>
      <c r="U72" s="9"/>
      <c r="V72" s="9"/>
      <c r="W72" s="9"/>
      <c r="X72" s="9"/>
      <c r="Y72" s="9"/>
      <c r="Z72" s="10" t="str">
        <f aca="false">IF(A72="","",SG_Criteria!$B$6&amp;SG_Criteria!$B$7&amp;"\"&amp;A72&amp;"\")</f>
        <v/>
      </c>
      <c r="AA72" s="10" t="str">
        <f aca="false">IF(A72="","",A72&amp;"_CAD.dwg")</f>
        <v/>
      </c>
      <c r="AB72" s="10" t="str">
        <f aca="false">IF(A72="","",A72&amp;"_DWG.pdf")</f>
        <v/>
      </c>
      <c r="AC72" s="10" t="str">
        <f aca="false">IF(A72="","",IF(Y72="Y",A72&amp;"_STAAD.std","n/a"))</f>
        <v/>
      </c>
      <c r="AD72" s="10" t="str">
        <f aca="false">IF(A72="","",A72&amp;"_CALC.xlsx")</f>
        <v/>
      </c>
      <c r="AE72" s="10" t="str">
        <f aca="false">IF(A72="","",A72&amp;"_CALC.pdf")</f>
        <v/>
      </c>
      <c r="AF72" s="9"/>
      <c r="AG72" s="9"/>
      <c r="AH72" s="41"/>
      <c r="AI72" s="41"/>
      <c r="AJ72" s="41"/>
      <c r="AK72" s="41"/>
      <c r="AL72" s="41"/>
      <c r="AM72" s="37" t="str">
        <f aca="false">IF(OR(C72="",F72="",G72="",C72="Sump",C72="Drop Inlet Chamber",C72="Silt Trap",C72="Pipe Culvert",C72="Subsoil Drain"),"",ROUND(MAX(1,N(H72))*(1/SG_Criteria!$B$26)*((F72/1000)*(G72/1000*(1-SG_Criteria!$B$25)))*(((F72/1000)*(G72/1000*(1-SG_Criteria!$B$25)))/((F72/1000)+2*(G72/1000*(1-SG_Criteria!$B$25))))^(2/3)*(1/Design_Selector!$B$11)^0.5,3))</f>
        <v/>
      </c>
      <c r="AN72" s="11" t="str">
        <f aca="false">IF(AM72="","",ROUND(AM72/(MAX(1,N(H72))*F72/1000*(G72/1000*(1-SG_Criteria!$B$25))),2))</f>
        <v/>
      </c>
      <c r="AO72" s="38" t="str">
        <f aca="false">IF(C72="","",IF(LEN(IF(AND(OR(D72="Roadside drain",D72="Entrance culvert"),OR(F72&lt;SG_Criteria!$B$15,G72&lt;SG_Criteria!$B$16)),"FAIL: below PUB min "&amp;SG_Criteria!$B$15&amp;"x"&amp;SG_Criteria!$B$16&amp;" for roadside drain. ","")&amp;IF(AND(D72="Common drain",F72&lt;SG_Criteria!$B$17),"FAIL: common drain W &lt; "&amp;SG_Criteria!$B$17&amp;" mm. ","")&amp;IF(AND(N72&lt;&gt;"",IFERROR(VALUE(MID(N72,2,2)),0)&lt;SG_Criteria!$B$19),"FAIL: grade below C"&amp;SG_Criteria!$B$19&amp;". ","")&amp;IF(AND(O72&lt;&gt;"",O72&lt;SG_Criteria!$B$20),"FAIL: cover &lt; "&amp;SG_Criteria!$B$20&amp;" mm. ","")&amp;IF(AND(E72="Open",G72&gt;SG_Criteria!$B$18),"NOTE: safety railing required (D &gt; "&amp;SG_Criteria!$B$18&amp;" mm). ","")&amp;IF(AND(D72="Entrance culvert",G72&lt;600),"NOTE: check hinged grating rule for culverts &lt; 600 deep (PUB Add. 3). ",""))=0,"OK",IF(AND(OR(D72="Roadside drain",D72="Entrance culvert"),OR(F72&lt;SG_Criteria!$B$15,G72&lt;SG_Criteria!$B$16)),"FAIL: below PUB min "&amp;SG_Criteria!$B$15&amp;"x"&amp;SG_Criteria!$B$16&amp;" for roadside drain. ","")&amp;IF(AND(D72="Common drain",F72&lt;SG_Criteria!$B$17),"FAIL: common drain W &lt; "&amp;SG_Criteria!$B$17&amp;" mm. ","")&amp;IF(AND(N72&lt;&gt;"",IFERROR(VALUE(MID(N72,2,2)),0)&lt;SG_Criteria!$B$19),"FAIL: grade below C"&amp;SG_Criteria!$B$19&amp;". ","")&amp;IF(AND(O72&lt;&gt;"",O72&lt;SG_Criteria!$B$20),"FAIL: cover &lt; "&amp;SG_Criteria!$B$20&amp;" mm. ","")&amp;IF(AND(E72="Open",G72&gt;SG_Criteria!$B$18),"NOTE: safety railing required (D &gt; "&amp;SG_Criteria!$B$18&amp;" mm). ","")&amp;IF(AND(D72="Entrance culvert",G72&lt;600),"NOTE: check hinged grating rule for culverts &lt; 600 deep (PUB Add. 3). ","")))</f>
        <v/>
      </c>
      <c r="AP72" s="9"/>
      <c r="AQ72" s="9"/>
      <c r="AR72" s="9"/>
      <c r="AS72" s="9"/>
      <c r="AT72" s="9"/>
      <c r="AU72" s="31"/>
      <c r="AV72" s="10" t="str">
        <f aca="false">IF(C72="","",IF(AND(V72="Approved",ISERROR(SEARCH("FAIL",AO72))),"Y","N"))</f>
        <v/>
      </c>
      <c r="AW72" s="10" t="str">
        <f aca="false">IF(C72="","",C72&amp;"|"&amp;F72&amp;"|"&amp;G72&amp;"|"&amp;L72&amp;"|"&amp;AV72)</f>
        <v/>
      </c>
    </row>
    <row r="73" customFormat="false" ht="15" hidden="false" customHeight="false" outlineLevel="0" collapsed="false">
      <c r="A73" s="10" t="str">
        <f aca="false">IF(C73="","","DRN-"&amp;IFERROR(VLOOKUP(C73,Lists!$A$4:$B$27,2,0),"??")&amp;"-"&amp;TEXT(F73,"0000")&amp;"x"&amp;TEXT(G73,"0000")&amp;IF(N(H73)&gt;1,"-"&amp;H73&amp;"C","")&amp;"-"&amp;IFERROR(VLOOKUP(L73,Lists!$J$4:$K$19,2,0),"??")&amp;"-"&amp;U73)</f>
        <v/>
      </c>
      <c r="B73" s="10" t="str">
        <f aca="false">IF(C73="","",C73&amp;" "&amp;F73&amp;"W x "&amp;G73&amp;"D"&amp;IF(N(H73)&gt;1," ("&amp;H73&amp;" cells)","")&amp;", "&amp;D73&amp;", "&amp;L73&amp;", "&amp;E73)</f>
        <v/>
      </c>
      <c r="C73" s="9"/>
      <c r="D73" s="9"/>
      <c r="E73" s="9"/>
      <c r="F73" s="40"/>
      <c r="G73" s="40"/>
      <c r="H73" s="40"/>
      <c r="I73" s="40"/>
      <c r="J73" s="40"/>
      <c r="K73" s="40"/>
      <c r="L73" s="9"/>
      <c r="M73" s="9"/>
      <c r="N73" s="9"/>
      <c r="O73" s="40"/>
      <c r="P73" s="9"/>
      <c r="Q73" s="9"/>
      <c r="R73" s="9"/>
      <c r="S73" s="9"/>
      <c r="T73" s="9"/>
      <c r="U73" s="9"/>
      <c r="V73" s="9"/>
      <c r="W73" s="9"/>
      <c r="X73" s="9"/>
      <c r="Y73" s="9"/>
      <c r="Z73" s="10" t="str">
        <f aca="false">IF(A73="","",SG_Criteria!$B$6&amp;SG_Criteria!$B$7&amp;"\"&amp;A73&amp;"\")</f>
        <v/>
      </c>
      <c r="AA73" s="10" t="str">
        <f aca="false">IF(A73="","",A73&amp;"_CAD.dwg")</f>
        <v/>
      </c>
      <c r="AB73" s="10" t="str">
        <f aca="false">IF(A73="","",A73&amp;"_DWG.pdf")</f>
        <v/>
      </c>
      <c r="AC73" s="10" t="str">
        <f aca="false">IF(A73="","",IF(Y73="Y",A73&amp;"_STAAD.std","n/a"))</f>
        <v/>
      </c>
      <c r="AD73" s="10" t="str">
        <f aca="false">IF(A73="","",A73&amp;"_CALC.xlsx")</f>
        <v/>
      </c>
      <c r="AE73" s="10" t="str">
        <f aca="false">IF(A73="","",A73&amp;"_CALC.pdf")</f>
        <v/>
      </c>
      <c r="AF73" s="9"/>
      <c r="AG73" s="9"/>
      <c r="AH73" s="41"/>
      <c r="AI73" s="41"/>
      <c r="AJ73" s="41"/>
      <c r="AK73" s="41"/>
      <c r="AL73" s="41"/>
      <c r="AM73" s="37" t="str">
        <f aca="false">IF(OR(C73="",F73="",G73="",C73="Sump",C73="Drop Inlet Chamber",C73="Silt Trap",C73="Pipe Culvert",C73="Subsoil Drain"),"",ROUND(MAX(1,N(H73))*(1/SG_Criteria!$B$26)*((F73/1000)*(G73/1000*(1-SG_Criteria!$B$25)))*(((F73/1000)*(G73/1000*(1-SG_Criteria!$B$25)))/((F73/1000)+2*(G73/1000*(1-SG_Criteria!$B$25))))^(2/3)*(1/Design_Selector!$B$11)^0.5,3))</f>
        <v/>
      </c>
      <c r="AN73" s="11" t="str">
        <f aca="false">IF(AM73="","",ROUND(AM73/(MAX(1,N(H73))*F73/1000*(G73/1000*(1-SG_Criteria!$B$25))),2))</f>
        <v/>
      </c>
      <c r="AO73" s="38" t="str">
        <f aca="false">IF(C73="","",IF(LEN(IF(AND(OR(D73="Roadside drain",D73="Entrance culvert"),OR(F73&lt;SG_Criteria!$B$15,G73&lt;SG_Criteria!$B$16)),"FAIL: below PUB min "&amp;SG_Criteria!$B$15&amp;"x"&amp;SG_Criteria!$B$16&amp;" for roadside drain. ","")&amp;IF(AND(D73="Common drain",F73&lt;SG_Criteria!$B$17),"FAIL: common drain W &lt; "&amp;SG_Criteria!$B$17&amp;" mm. ","")&amp;IF(AND(N73&lt;&gt;"",IFERROR(VALUE(MID(N73,2,2)),0)&lt;SG_Criteria!$B$19),"FAIL: grade below C"&amp;SG_Criteria!$B$19&amp;". ","")&amp;IF(AND(O73&lt;&gt;"",O73&lt;SG_Criteria!$B$20),"FAIL: cover &lt; "&amp;SG_Criteria!$B$20&amp;" mm. ","")&amp;IF(AND(E73="Open",G73&gt;SG_Criteria!$B$18),"NOTE: safety railing required (D &gt; "&amp;SG_Criteria!$B$18&amp;" mm). ","")&amp;IF(AND(D73="Entrance culvert",G73&lt;600),"NOTE: check hinged grating rule for culverts &lt; 600 deep (PUB Add. 3). ",""))=0,"OK",IF(AND(OR(D73="Roadside drain",D73="Entrance culvert"),OR(F73&lt;SG_Criteria!$B$15,G73&lt;SG_Criteria!$B$16)),"FAIL: below PUB min "&amp;SG_Criteria!$B$15&amp;"x"&amp;SG_Criteria!$B$16&amp;" for roadside drain. ","")&amp;IF(AND(D73="Common drain",F73&lt;SG_Criteria!$B$17),"FAIL: common drain W &lt; "&amp;SG_Criteria!$B$17&amp;" mm. ","")&amp;IF(AND(N73&lt;&gt;"",IFERROR(VALUE(MID(N73,2,2)),0)&lt;SG_Criteria!$B$19),"FAIL: grade below C"&amp;SG_Criteria!$B$19&amp;". ","")&amp;IF(AND(O73&lt;&gt;"",O73&lt;SG_Criteria!$B$20),"FAIL: cover &lt; "&amp;SG_Criteria!$B$20&amp;" mm. ","")&amp;IF(AND(E73="Open",G73&gt;SG_Criteria!$B$18),"NOTE: safety railing required (D &gt; "&amp;SG_Criteria!$B$18&amp;" mm). ","")&amp;IF(AND(D73="Entrance culvert",G73&lt;600),"NOTE: check hinged grating rule for culverts &lt; 600 deep (PUB Add. 3). ","")))</f>
        <v/>
      </c>
      <c r="AP73" s="9"/>
      <c r="AQ73" s="9"/>
      <c r="AR73" s="9"/>
      <c r="AS73" s="9"/>
      <c r="AT73" s="9"/>
      <c r="AU73" s="31"/>
      <c r="AV73" s="10" t="str">
        <f aca="false">IF(C73="","",IF(AND(V73="Approved",ISERROR(SEARCH("FAIL",AO73))),"Y","N"))</f>
        <v/>
      </c>
      <c r="AW73" s="10" t="str">
        <f aca="false">IF(C73="","",C73&amp;"|"&amp;F73&amp;"|"&amp;G73&amp;"|"&amp;L73&amp;"|"&amp;AV73)</f>
        <v/>
      </c>
    </row>
    <row r="74" customFormat="false" ht="15" hidden="false" customHeight="false" outlineLevel="0" collapsed="false">
      <c r="A74" s="10" t="str">
        <f aca="false">IF(C74="","","DRN-"&amp;IFERROR(VLOOKUP(C74,Lists!$A$4:$B$27,2,0),"??")&amp;"-"&amp;TEXT(F74,"0000")&amp;"x"&amp;TEXT(G74,"0000")&amp;IF(N(H74)&gt;1,"-"&amp;H74&amp;"C","")&amp;"-"&amp;IFERROR(VLOOKUP(L74,Lists!$J$4:$K$19,2,0),"??")&amp;"-"&amp;U74)</f>
        <v/>
      </c>
      <c r="B74" s="10" t="str">
        <f aca="false">IF(C74="","",C74&amp;" "&amp;F74&amp;"W x "&amp;G74&amp;"D"&amp;IF(N(H74)&gt;1," ("&amp;H74&amp;" cells)","")&amp;", "&amp;D74&amp;", "&amp;L74&amp;", "&amp;E74)</f>
        <v/>
      </c>
      <c r="C74" s="9"/>
      <c r="D74" s="9"/>
      <c r="E74" s="9"/>
      <c r="F74" s="40"/>
      <c r="G74" s="40"/>
      <c r="H74" s="40"/>
      <c r="I74" s="40"/>
      <c r="J74" s="40"/>
      <c r="K74" s="40"/>
      <c r="L74" s="9"/>
      <c r="M74" s="9"/>
      <c r="N74" s="9"/>
      <c r="O74" s="40"/>
      <c r="P74" s="9"/>
      <c r="Q74" s="9"/>
      <c r="R74" s="9"/>
      <c r="S74" s="9"/>
      <c r="T74" s="9"/>
      <c r="U74" s="9"/>
      <c r="V74" s="9"/>
      <c r="W74" s="9"/>
      <c r="X74" s="9"/>
      <c r="Y74" s="9"/>
      <c r="Z74" s="10" t="str">
        <f aca="false">IF(A74="","",SG_Criteria!$B$6&amp;SG_Criteria!$B$7&amp;"\"&amp;A74&amp;"\")</f>
        <v/>
      </c>
      <c r="AA74" s="10" t="str">
        <f aca="false">IF(A74="","",A74&amp;"_CAD.dwg")</f>
        <v/>
      </c>
      <c r="AB74" s="10" t="str">
        <f aca="false">IF(A74="","",A74&amp;"_DWG.pdf")</f>
        <v/>
      </c>
      <c r="AC74" s="10" t="str">
        <f aca="false">IF(A74="","",IF(Y74="Y",A74&amp;"_STAAD.std","n/a"))</f>
        <v/>
      </c>
      <c r="AD74" s="10" t="str">
        <f aca="false">IF(A74="","",A74&amp;"_CALC.xlsx")</f>
        <v/>
      </c>
      <c r="AE74" s="10" t="str">
        <f aca="false">IF(A74="","",A74&amp;"_CALC.pdf")</f>
        <v/>
      </c>
      <c r="AF74" s="9"/>
      <c r="AG74" s="9"/>
      <c r="AH74" s="41"/>
      <c r="AI74" s="41"/>
      <c r="AJ74" s="41"/>
      <c r="AK74" s="41"/>
      <c r="AL74" s="41"/>
      <c r="AM74" s="37" t="str">
        <f aca="false">IF(OR(C74="",F74="",G74="",C74="Sump",C74="Drop Inlet Chamber",C74="Silt Trap",C74="Pipe Culvert",C74="Subsoil Drain"),"",ROUND(MAX(1,N(H74))*(1/SG_Criteria!$B$26)*((F74/1000)*(G74/1000*(1-SG_Criteria!$B$25)))*(((F74/1000)*(G74/1000*(1-SG_Criteria!$B$25)))/((F74/1000)+2*(G74/1000*(1-SG_Criteria!$B$25))))^(2/3)*(1/Design_Selector!$B$11)^0.5,3))</f>
        <v/>
      </c>
      <c r="AN74" s="11" t="str">
        <f aca="false">IF(AM74="","",ROUND(AM74/(MAX(1,N(H74))*F74/1000*(G74/1000*(1-SG_Criteria!$B$25))),2))</f>
        <v/>
      </c>
      <c r="AO74" s="38" t="str">
        <f aca="false">IF(C74="","",IF(LEN(IF(AND(OR(D74="Roadside drain",D74="Entrance culvert"),OR(F74&lt;SG_Criteria!$B$15,G74&lt;SG_Criteria!$B$16)),"FAIL: below PUB min "&amp;SG_Criteria!$B$15&amp;"x"&amp;SG_Criteria!$B$16&amp;" for roadside drain. ","")&amp;IF(AND(D74="Common drain",F74&lt;SG_Criteria!$B$17),"FAIL: common drain W &lt; "&amp;SG_Criteria!$B$17&amp;" mm. ","")&amp;IF(AND(N74&lt;&gt;"",IFERROR(VALUE(MID(N74,2,2)),0)&lt;SG_Criteria!$B$19),"FAIL: grade below C"&amp;SG_Criteria!$B$19&amp;". ","")&amp;IF(AND(O74&lt;&gt;"",O74&lt;SG_Criteria!$B$20),"FAIL: cover &lt; "&amp;SG_Criteria!$B$20&amp;" mm. ","")&amp;IF(AND(E74="Open",G74&gt;SG_Criteria!$B$18),"NOTE: safety railing required (D &gt; "&amp;SG_Criteria!$B$18&amp;" mm). ","")&amp;IF(AND(D74="Entrance culvert",G74&lt;600),"NOTE: check hinged grating rule for culverts &lt; 600 deep (PUB Add. 3). ",""))=0,"OK",IF(AND(OR(D74="Roadside drain",D74="Entrance culvert"),OR(F74&lt;SG_Criteria!$B$15,G74&lt;SG_Criteria!$B$16)),"FAIL: below PUB min "&amp;SG_Criteria!$B$15&amp;"x"&amp;SG_Criteria!$B$16&amp;" for roadside drain. ","")&amp;IF(AND(D74="Common drain",F74&lt;SG_Criteria!$B$17),"FAIL: common drain W &lt; "&amp;SG_Criteria!$B$17&amp;" mm. ","")&amp;IF(AND(N74&lt;&gt;"",IFERROR(VALUE(MID(N74,2,2)),0)&lt;SG_Criteria!$B$19),"FAIL: grade below C"&amp;SG_Criteria!$B$19&amp;". ","")&amp;IF(AND(O74&lt;&gt;"",O74&lt;SG_Criteria!$B$20),"FAIL: cover &lt; "&amp;SG_Criteria!$B$20&amp;" mm. ","")&amp;IF(AND(E74="Open",G74&gt;SG_Criteria!$B$18),"NOTE: safety railing required (D &gt; "&amp;SG_Criteria!$B$18&amp;" mm). ","")&amp;IF(AND(D74="Entrance culvert",G74&lt;600),"NOTE: check hinged grating rule for culverts &lt; 600 deep (PUB Add. 3). ","")))</f>
        <v/>
      </c>
      <c r="AP74" s="9"/>
      <c r="AQ74" s="9"/>
      <c r="AR74" s="9"/>
      <c r="AS74" s="9"/>
      <c r="AT74" s="9"/>
      <c r="AU74" s="31"/>
      <c r="AV74" s="10" t="str">
        <f aca="false">IF(C74="","",IF(AND(V74="Approved",ISERROR(SEARCH("FAIL",AO74))),"Y","N"))</f>
        <v/>
      </c>
      <c r="AW74" s="10" t="str">
        <f aca="false">IF(C74="","",C74&amp;"|"&amp;F74&amp;"|"&amp;G74&amp;"|"&amp;L74&amp;"|"&amp;AV74)</f>
        <v/>
      </c>
    </row>
    <row r="75" customFormat="false" ht="15" hidden="false" customHeight="false" outlineLevel="0" collapsed="false">
      <c r="A75" s="10" t="str">
        <f aca="false">IF(C75="","","DRN-"&amp;IFERROR(VLOOKUP(C75,Lists!$A$4:$B$27,2,0),"??")&amp;"-"&amp;TEXT(F75,"0000")&amp;"x"&amp;TEXT(G75,"0000")&amp;IF(N(H75)&gt;1,"-"&amp;H75&amp;"C","")&amp;"-"&amp;IFERROR(VLOOKUP(L75,Lists!$J$4:$K$19,2,0),"??")&amp;"-"&amp;U75)</f>
        <v/>
      </c>
      <c r="B75" s="10" t="str">
        <f aca="false">IF(C75="","",C75&amp;" "&amp;F75&amp;"W x "&amp;G75&amp;"D"&amp;IF(N(H75)&gt;1," ("&amp;H75&amp;" cells)","")&amp;", "&amp;D75&amp;", "&amp;L75&amp;", "&amp;E75)</f>
        <v/>
      </c>
      <c r="C75" s="9"/>
      <c r="D75" s="9"/>
      <c r="E75" s="9"/>
      <c r="F75" s="40"/>
      <c r="G75" s="40"/>
      <c r="H75" s="40"/>
      <c r="I75" s="40"/>
      <c r="J75" s="40"/>
      <c r="K75" s="40"/>
      <c r="L75" s="9"/>
      <c r="M75" s="9"/>
      <c r="N75" s="9"/>
      <c r="O75" s="40"/>
      <c r="P75" s="9"/>
      <c r="Q75" s="9"/>
      <c r="R75" s="9"/>
      <c r="S75" s="9"/>
      <c r="T75" s="9"/>
      <c r="U75" s="9"/>
      <c r="V75" s="9"/>
      <c r="W75" s="9"/>
      <c r="X75" s="9"/>
      <c r="Y75" s="9"/>
      <c r="Z75" s="10" t="str">
        <f aca="false">IF(A75="","",SG_Criteria!$B$6&amp;SG_Criteria!$B$7&amp;"\"&amp;A75&amp;"\")</f>
        <v/>
      </c>
      <c r="AA75" s="10" t="str">
        <f aca="false">IF(A75="","",A75&amp;"_CAD.dwg")</f>
        <v/>
      </c>
      <c r="AB75" s="10" t="str">
        <f aca="false">IF(A75="","",A75&amp;"_DWG.pdf")</f>
        <v/>
      </c>
      <c r="AC75" s="10" t="str">
        <f aca="false">IF(A75="","",IF(Y75="Y",A75&amp;"_STAAD.std","n/a"))</f>
        <v/>
      </c>
      <c r="AD75" s="10" t="str">
        <f aca="false">IF(A75="","",A75&amp;"_CALC.xlsx")</f>
        <v/>
      </c>
      <c r="AE75" s="10" t="str">
        <f aca="false">IF(A75="","",A75&amp;"_CALC.pdf")</f>
        <v/>
      </c>
      <c r="AF75" s="9"/>
      <c r="AG75" s="9"/>
      <c r="AH75" s="41"/>
      <c r="AI75" s="41"/>
      <c r="AJ75" s="41"/>
      <c r="AK75" s="41"/>
      <c r="AL75" s="41"/>
      <c r="AM75" s="37" t="str">
        <f aca="false">IF(OR(C75="",F75="",G75="",C75="Sump",C75="Drop Inlet Chamber",C75="Silt Trap",C75="Pipe Culvert",C75="Subsoil Drain"),"",ROUND(MAX(1,N(H75))*(1/SG_Criteria!$B$26)*((F75/1000)*(G75/1000*(1-SG_Criteria!$B$25)))*(((F75/1000)*(G75/1000*(1-SG_Criteria!$B$25)))/((F75/1000)+2*(G75/1000*(1-SG_Criteria!$B$25))))^(2/3)*(1/Design_Selector!$B$11)^0.5,3))</f>
        <v/>
      </c>
      <c r="AN75" s="11" t="str">
        <f aca="false">IF(AM75="","",ROUND(AM75/(MAX(1,N(H75))*F75/1000*(G75/1000*(1-SG_Criteria!$B$25))),2))</f>
        <v/>
      </c>
      <c r="AO75" s="38" t="str">
        <f aca="false">IF(C75="","",IF(LEN(IF(AND(OR(D75="Roadside drain",D75="Entrance culvert"),OR(F75&lt;SG_Criteria!$B$15,G75&lt;SG_Criteria!$B$16)),"FAIL: below PUB min "&amp;SG_Criteria!$B$15&amp;"x"&amp;SG_Criteria!$B$16&amp;" for roadside drain. ","")&amp;IF(AND(D75="Common drain",F75&lt;SG_Criteria!$B$17),"FAIL: common drain W &lt; "&amp;SG_Criteria!$B$17&amp;" mm. ","")&amp;IF(AND(N75&lt;&gt;"",IFERROR(VALUE(MID(N75,2,2)),0)&lt;SG_Criteria!$B$19),"FAIL: grade below C"&amp;SG_Criteria!$B$19&amp;". ","")&amp;IF(AND(O75&lt;&gt;"",O75&lt;SG_Criteria!$B$20),"FAIL: cover &lt; "&amp;SG_Criteria!$B$20&amp;" mm. ","")&amp;IF(AND(E75="Open",G75&gt;SG_Criteria!$B$18),"NOTE: safety railing required (D &gt; "&amp;SG_Criteria!$B$18&amp;" mm). ","")&amp;IF(AND(D75="Entrance culvert",G75&lt;600),"NOTE: check hinged grating rule for culverts &lt; 600 deep (PUB Add. 3). ",""))=0,"OK",IF(AND(OR(D75="Roadside drain",D75="Entrance culvert"),OR(F75&lt;SG_Criteria!$B$15,G75&lt;SG_Criteria!$B$16)),"FAIL: below PUB min "&amp;SG_Criteria!$B$15&amp;"x"&amp;SG_Criteria!$B$16&amp;" for roadside drain. ","")&amp;IF(AND(D75="Common drain",F75&lt;SG_Criteria!$B$17),"FAIL: common drain W &lt; "&amp;SG_Criteria!$B$17&amp;" mm. ","")&amp;IF(AND(N75&lt;&gt;"",IFERROR(VALUE(MID(N75,2,2)),0)&lt;SG_Criteria!$B$19),"FAIL: grade below C"&amp;SG_Criteria!$B$19&amp;". ","")&amp;IF(AND(O75&lt;&gt;"",O75&lt;SG_Criteria!$B$20),"FAIL: cover &lt; "&amp;SG_Criteria!$B$20&amp;" mm. ","")&amp;IF(AND(E75="Open",G75&gt;SG_Criteria!$B$18),"NOTE: safety railing required (D &gt; "&amp;SG_Criteria!$B$18&amp;" mm). ","")&amp;IF(AND(D75="Entrance culvert",G75&lt;600),"NOTE: check hinged grating rule for culverts &lt; 600 deep (PUB Add. 3). ","")))</f>
        <v/>
      </c>
      <c r="AP75" s="9"/>
      <c r="AQ75" s="9"/>
      <c r="AR75" s="9"/>
      <c r="AS75" s="9"/>
      <c r="AT75" s="9"/>
      <c r="AU75" s="31"/>
      <c r="AV75" s="10" t="str">
        <f aca="false">IF(C75="","",IF(AND(V75="Approved",ISERROR(SEARCH("FAIL",AO75))),"Y","N"))</f>
        <v/>
      </c>
      <c r="AW75" s="10" t="str">
        <f aca="false">IF(C75="","",C75&amp;"|"&amp;F75&amp;"|"&amp;G75&amp;"|"&amp;L75&amp;"|"&amp;AV75)</f>
        <v/>
      </c>
    </row>
    <row r="76" customFormat="false" ht="15" hidden="false" customHeight="false" outlineLevel="0" collapsed="false">
      <c r="A76" s="10" t="str">
        <f aca="false">IF(C76="","","DRN-"&amp;IFERROR(VLOOKUP(C76,Lists!$A$4:$B$27,2,0),"??")&amp;"-"&amp;TEXT(F76,"0000")&amp;"x"&amp;TEXT(G76,"0000")&amp;IF(N(H76)&gt;1,"-"&amp;H76&amp;"C","")&amp;"-"&amp;IFERROR(VLOOKUP(L76,Lists!$J$4:$K$19,2,0),"??")&amp;"-"&amp;U76)</f>
        <v/>
      </c>
      <c r="B76" s="10" t="str">
        <f aca="false">IF(C76="","",C76&amp;" "&amp;F76&amp;"W x "&amp;G76&amp;"D"&amp;IF(N(H76)&gt;1," ("&amp;H76&amp;" cells)","")&amp;", "&amp;D76&amp;", "&amp;L76&amp;", "&amp;E76)</f>
        <v/>
      </c>
      <c r="C76" s="9"/>
      <c r="D76" s="9"/>
      <c r="E76" s="9"/>
      <c r="F76" s="40"/>
      <c r="G76" s="40"/>
      <c r="H76" s="40"/>
      <c r="I76" s="40"/>
      <c r="J76" s="40"/>
      <c r="K76" s="40"/>
      <c r="L76" s="9"/>
      <c r="M76" s="9"/>
      <c r="N76" s="9"/>
      <c r="O76" s="40"/>
      <c r="P76" s="9"/>
      <c r="Q76" s="9"/>
      <c r="R76" s="9"/>
      <c r="S76" s="9"/>
      <c r="T76" s="9"/>
      <c r="U76" s="9"/>
      <c r="V76" s="9"/>
      <c r="W76" s="9"/>
      <c r="X76" s="9"/>
      <c r="Y76" s="9"/>
      <c r="Z76" s="10" t="str">
        <f aca="false">IF(A76="","",SG_Criteria!$B$6&amp;SG_Criteria!$B$7&amp;"\"&amp;A76&amp;"\")</f>
        <v/>
      </c>
      <c r="AA76" s="10" t="str">
        <f aca="false">IF(A76="","",A76&amp;"_CAD.dwg")</f>
        <v/>
      </c>
      <c r="AB76" s="10" t="str">
        <f aca="false">IF(A76="","",A76&amp;"_DWG.pdf")</f>
        <v/>
      </c>
      <c r="AC76" s="10" t="str">
        <f aca="false">IF(A76="","",IF(Y76="Y",A76&amp;"_STAAD.std","n/a"))</f>
        <v/>
      </c>
      <c r="AD76" s="10" t="str">
        <f aca="false">IF(A76="","",A76&amp;"_CALC.xlsx")</f>
        <v/>
      </c>
      <c r="AE76" s="10" t="str">
        <f aca="false">IF(A76="","",A76&amp;"_CALC.pdf")</f>
        <v/>
      </c>
      <c r="AF76" s="9"/>
      <c r="AG76" s="9"/>
      <c r="AH76" s="41"/>
      <c r="AI76" s="41"/>
      <c r="AJ76" s="41"/>
      <c r="AK76" s="41"/>
      <c r="AL76" s="41"/>
      <c r="AM76" s="37" t="str">
        <f aca="false">IF(OR(C76="",F76="",G76="",C76="Sump",C76="Drop Inlet Chamber",C76="Silt Trap",C76="Pipe Culvert",C76="Subsoil Drain"),"",ROUND(MAX(1,N(H76))*(1/SG_Criteria!$B$26)*((F76/1000)*(G76/1000*(1-SG_Criteria!$B$25)))*(((F76/1000)*(G76/1000*(1-SG_Criteria!$B$25)))/((F76/1000)+2*(G76/1000*(1-SG_Criteria!$B$25))))^(2/3)*(1/Design_Selector!$B$11)^0.5,3))</f>
        <v/>
      </c>
      <c r="AN76" s="11" t="str">
        <f aca="false">IF(AM76="","",ROUND(AM76/(MAX(1,N(H76))*F76/1000*(G76/1000*(1-SG_Criteria!$B$25))),2))</f>
        <v/>
      </c>
      <c r="AO76" s="38" t="str">
        <f aca="false">IF(C76="","",IF(LEN(IF(AND(OR(D76="Roadside drain",D76="Entrance culvert"),OR(F76&lt;SG_Criteria!$B$15,G76&lt;SG_Criteria!$B$16)),"FAIL: below PUB min "&amp;SG_Criteria!$B$15&amp;"x"&amp;SG_Criteria!$B$16&amp;" for roadside drain. ","")&amp;IF(AND(D76="Common drain",F76&lt;SG_Criteria!$B$17),"FAIL: common drain W &lt; "&amp;SG_Criteria!$B$17&amp;" mm. ","")&amp;IF(AND(N76&lt;&gt;"",IFERROR(VALUE(MID(N76,2,2)),0)&lt;SG_Criteria!$B$19),"FAIL: grade below C"&amp;SG_Criteria!$B$19&amp;". ","")&amp;IF(AND(O76&lt;&gt;"",O76&lt;SG_Criteria!$B$20),"FAIL: cover &lt; "&amp;SG_Criteria!$B$20&amp;" mm. ","")&amp;IF(AND(E76="Open",G76&gt;SG_Criteria!$B$18),"NOTE: safety railing required (D &gt; "&amp;SG_Criteria!$B$18&amp;" mm). ","")&amp;IF(AND(D76="Entrance culvert",G76&lt;600),"NOTE: check hinged grating rule for culverts &lt; 600 deep (PUB Add. 3). ",""))=0,"OK",IF(AND(OR(D76="Roadside drain",D76="Entrance culvert"),OR(F76&lt;SG_Criteria!$B$15,G76&lt;SG_Criteria!$B$16)),"FAIL: below PUB min "&amp;SG_Criteria!$B$15&amp;"x"&amp;SG_Criteria!$B$16&amp;" for roadside drain. ","")&amp;IF(AND(D76="Common drain",F76&lt;SG_Criteria!$B$17),"FAIL: common drain W &lt; "&amp;SG_Criteria!$B$17&amp;" mm. ","")&amp;IF(AND(N76&lt;&gt;"",IFERROR(VALUE(MID(N76,2,2)),0)&lt;SG_Criteria!$B$19),"FAIL: grade below C"&amp;SG_Criteria!$B$19&amp;". ","")&amp;IF(AND(O76&lt;&gt;"",O76&lt;SG_Criteria!$B$20),"FAIL: cover &lt; "&amp;SG_Criteria!$B$20&amp;" mm. ","")&amp;IF(AND(E76="Open",G76&gt;SG_Criteria!$B$18),"NOTE: safety railing required (D &gt; "&amp;SG_Criteria!$B$18&amp;" mm). ","")&amp;IF(AND(D76="Entrance culvert",G76&lt;600),"NOTE: check hinged grating rule for culverts &lt; 600 deep (PUB Add. 3). ","")))</f>
        <v/>
      </c>
      <c r="AP76" s="9"/>
      <c r="AQ76" s="9"/>
      <c r="AR76" s="9"/>
      <c r="AS76" s="9"/>
      <c r="AT76" s="9"/>
      <c r="AU76" s="31"/>
      <c r="AV76" s="10" t="str">
        <f aca="false">IF(C76="","",IF(AND(V76="Approved",ISERROR(SEARCH("FAIL",AO76))),"Y","N"))</f>
        <v/>
      </c>
      <c r="AW76" s="10" t="str">
        <f aca="false">IF(C76="","",C76&amp;"|"&amp;F76&amp;"|"&amp;G76&amp;"|"&amp;L76&amp;"|"&amp;AV76)</f>
        <v/>
      </c>
    </row>
    <row r="77" customFormat="false" ht="15" hidden="false" customHeight="false" outlineLevel="0" collapsed="false">
      <c r="A77" s="10" t="str">
        <f aca="false">IF(C77="","","DRN-"&amp;IFERROR(VLOOKUP(C77,Lists!$A$4:$B$27,2,0),"??")&amp;"-"&amp;TEXT(F77,"0000")&amp;"x"&amp;TEXT(G77,"0000")&amp;IF(N(H77)&gt;1,"-"&amp;H77&amp;"C","")&amp;"-"&amp;IFERROR(VLOOKUP(L77,Lists!$J$4:$K$19,2,0),"??")&amp;"-"&amp;U77)</f>
        <v/>
      </c>
      <c r="B77" s="10" t="str">
        <f aca="false">IF(C77="","",C77&amp;" "&amp;F77&amp;"W x "&amp;G77&amp;"D"&amp;IF(N(H77)&gt;1," ("&amp;H77&amp;" cells)","")&amp;", "&amp;D77&amp;", "&amp;L77&amp;", "&amp;E77)</f>
        <v/>
      </c>
      <c r="C77" s="9"/>
      <c r="D77" s="9"/>
      <c r="E77" s="9"/>
      <c r="F77" s="40"/>
      <c r="G77" s="40"/>
      <c r="H77" s="40"/>
      <c r="I77" s="40"/>
      <c r="J77" s="40"/>
      <c r="K77" s="40"/>
      <c r="L77" s="9"/>
      <c r="M77" s="9"/>
      <c r="N77" s="9"/>
      <c r="O77" s="40"/>
      <c r="P77" s="9"/>
      <c r="Q77" s="9"/>
      <c r="R77" s="9"/>
      <c r="S77" s="9"/>
      <c r="T77" s="9"/>
      <c r="U77" s="9"/>
      <c r="V77" s="9"/>
      <c r="W77" s="9"/>
      <c r="X77" s="9"/>
      <c r="Y77" s="9"/>
      <c r="Z77" s="10" t="str">
        <f aca="false">IF(A77="","",SG_Criteria!$B$6&amp;SG_Criteria!$B$7&amp;"\"&amp;A77&amp;"\")</f>
        <v/>
      </c>
      <c r="AA77" s="10" t="str">
        <f aca="false">IF(A77="","",A77&amp;"_CAD.dwg")</f>
        <v/>
      </c>
      <c r="AB77" s="10" t="str">
        <f aca="false">IF(A77="","",A77&amp;"_DWG.pdf")</f>
        <v/>
      </c>
      <c r="AC77" s="10" t="str">
        <f aca="false">IF(A77="","",IF(Y77="Y",A77&amp;"_STAAD.std","n/a"))</f>
        <v/>
      </c>
      <c r="AD77" s="10" t="str">
        <f aca="false">IF(A77="","",A77&amp;"_CALC.xlsx")</f>
        <v/>
      </c>
      <c r="AE77" s="10" t="str">
        <f aca="false">IF(A77="","",A77&amp;"_CALC.pdf")</f>
        <v/>
      </c>
      <c r="AF77" s="9"/>
      <c r="AG77" s="9"/>
      <c r="AH77" s="41"/>
      <c r="AI77" s="41"/>
      <c r="AJ77" s="41"/>
      <c r="AK77" s="41"/>
      <c r="AL77" s="41"/>
      <c r="AM77" s="37" t="str">
        <f aca="false">IF(OR(C77="",F77="",G77="",C77="Sump",C77="Drop Inlet Chamber",C77="Silt Trap",C77="Pipe Culvert",C77="Subsoil Drain"),"",ROUND(MAX(1,N(H77))*(1/SG_Criteria!$B$26)*((F77/1000)*(G77/1000*(1-SG_Criteria!$B$25)))*(((F77/1000)*(G77/1000*(1-SG_Criteria!$B$25)))/((F77/1000)+2*(G77/1000*(1-SG_Criteria!$B$25))))^(2/3)*(1/Design_Selector!$B$11)^0.5,3))</f>
        <v/>
      </c>
      <c r="AN77" s="11" t="str">
        <f aca="false">IF(AM77="","",ROUND(AM77/(MAX(1,N(H77))*F77/1000*(G77/1000*(1-SG_Criteria!$B$25))),2))</f>
        <v/>
      </c>
      <c r="AO77" s="38" t="str">
        <f aca="false">IF(C77="","",IF(LEN(IF(AND(OR(D77="Roadside drain",D77="Entrance culvert"),OR(F77&lt;SG_Criteria!$B$15,G77&lt;SG_Criteria!$B$16)),"FAIL: below PUB min "&amp;SG_Criteria!$B$15&amp;"x"&amp;SG_Criteria!$B$16&amp;" for roadside drain. ","")&amp;IF(AND(D77="Common drain",F77&lt;SG_Criteria!$B$17),"FAIL: common drain W &lt; "&amp;SG_Criteria!$B$17&amp;" mm. ","")&amp;IF(AND(N77&lt;&gt;"",IFERROR(VALUE(MID(N77,2,2)),0)&lt;SG_Criteria!$B$19),"FAIL: grade below C"&amp;SG_Criteria!$B$19&amp;". ","")&amp;IF(AND(O77&lt;&gt;"",O77&lt;SG_Criteria!$B$20),"FAIL: cover &lt; "&amp;SG_Criteria!$B$20&amp;" mm. ","")&amp;IF(AND(E77="Open",G77&gt;SG_Criteria!$B$18),"NOTE: safety railing required (D &gt; "&amp;SG_Criteria!$B$18&amp;" mm). ","")&amp;IF(AND(D77="Entrance culvert",G77&lt;600),"NOTE: check hinged grating rule for culverts &lt; 600 deep (PUB Add. 3). ",""))=0,"OK",IF(AND(OR(D77="Roadside drain",D77="Entrance culvert"),OR(F77&lt;SG_Criteria!$B$15,G77&lt;SG_Criteria!$B$16)),"FAIL: below PUB min "&amp;SG_Criteria!$B$15&amp;"x"&amp;SG_Criteria!$B$16&amp;" for roadside drain. ","")&amp;IF(AND(D77="Common drain",F77&lt;SG_Criteria!$B$17),"FAIL: common drain W &lt; "&amp;SG_Criteria!$B$17&amp;" mm. ","")&amp;IF(AND(N77&lt;&gt;"",IFERROR(VALUE(MID(N77,2,2)),0)&lt;SG_Criteria!$B$19),"FAIL: grade below C"&amp;SG_Criteria!$B$19&amp;". ","")&amp;IF(AND(O77&lt;&gt;"",O77&lt;SG_Criteria!$B$20),"FAIL: cover &lt; "&amp;SG_Criteria!$B$20&amp;" mm. ","")&amp;IF(AND(E77="Open",G77&gt;SG_Criteria!$B$18),"NOTE: safety railing required (D &gt; "&amp;SG_Criteria!$B$18&amp;" mm). ","")&amp;IF(AND(D77="Entrance culvert",G77&lt;600),"NOTE: check hinged grating rule for culverts &lt; 600 deep (PUB Add. 3). ","")))</f>
        <v/>
      </c>
      <c r="AP77" s="9"/>
      <c r="AQ77" s="9"/>
      <c r="AR77" s="9"/>
      <c r="AS77" s="9"/>
      <c r="AT77" s="9"/>
      <c r="AU77" s="31"/>
      <c r="AV77" s="10" t="str">
        <f aca="false">IF(C77="","",IF(AND(V77="Approved",ISERROR(SEARCH("FAIL",AO77))),"Y","N"))</f>
        <v/>
      </c>
      <c r="AW77" s="10" t="str">
        <f aca="false">IF(C77="","",C77&amp;"|"&amp;F77&amp;"|"&amp;G77&amp;"|"&amp;L77&amp;"|"&amp;AV77)</f>
        <v/>
      </c>
    </row>
    <row r="78" customFormat="false" ht="15" hidden="false" customHeight="false" outlineLevel="0" collapsed="false">
      <c r="A78" s="10" t="str">
        <f aca="false">IF(C78="","","DRN-"&amp;IFERROR(VLOOKUP(C78,Lists!$A$4:$B$27,2,0),"??")&amp;"-"&amp;TEXT(F78,"0000")&amp;"x"&amp;TEXT(G78,"0000")&amp;IF(N(H78)&gt;1,"-"&amp;H78&amp;"C","")&amp;"-"&amp;IFERROR(VLOOKUP(L78,Lists!$J$4:$K$19,2,0),"??")&amp;"-"&amp;U78)</f>
        <v/>
      </c>
      <c r="B78" s="10" t="str">
        <f aca="false">IF(C78="","",C78&amp;" "&amp;F78&amp;"W x "&amp;G78&amp;"D"&amp;IF(N(H78)&gt;1," ("&amp;H78&amp;" cells)","")&amp;", "&amp;D78&amp;", "&amp;L78&amp;", "&amp;E78)</f>
        <v/>
      </c>
      <c r="C78" s="9"/>
      <c r="D78" s="9"/>
      <c r="E78" s="9"/>
      <c r="F78" s="40"/>
      <c r="G78" s="40"/>
      <c r="H78" s="40"/>
      <c r="I78" s="40"/>
      <c r="J78" s="40"/>
      <c r="K78" s="40"/>
      <c r="L78" s="9"/>
      <c r="M78" s="9"/>
      <c r="N78" s="9"/>
      <c r="O78" s="40"/>
      <c r="P78" s="9"/>
      <c r="Q78" s="9"/>
      <c r="R78" s="9"/>
      <c r="S78" s="9"/>
      <c r="T78" s="9"/>
      <c r="U78" s="9"/>
      <c r="V78" s="9"/>
      <c r="W78" s="9"/>
      <c r="X78" s="9"/>
      <c r="Y78" s="9"/>
      <c r="Z78" s="10" t="str">
        <f aca="false">IF(A78="","",SG_Criteria!$B$6&amp;SG_Criteria!$B$7&amp;"\"&amp;A78&amp;"\")</f>
        <v/>
      </c>
      <c r="AA78" s="10" t="str">
        <f aca="false">IF(A78="","",A78&amp;"_CAD.dwg")</f>
        <v/>
      </c>
      <c r="AB78" s="10" t="str">
        <f aca="false">IF(A78="","",A78&amp;"_DWG.pdf")</f>
        <v/>
      </c>
      <c r="AC78" s="10" t="str">
        <f aca="false">IF(A78="","",IF(Y78="Y",A78&amp;"_STAAD.std","n/a"))</f>
        <v/>
      </c>
      <c r="AD78" s="10" t="str">
        <f aca="false">IF(A78="","",A78&amp;"_CALC.xlsx")</f>
        <v/>
      </c>
      <c r="AE78" s="10" t="str">
        <f aca="false">IF(A78="","",A78&amp;"_CALC.pdf")</f>
        <v/>
      </c>
      <c r="AF78" s="9"/>
      <c r="AG78" s="9"/>
      <c r="AH78" s="41"/>
      <c r="AI78" s="41"/>
      <c r="AJ78" s="41"/>
      <c r="AK78" s="41"/>
      <c r="AL78" s="41"/>
      <c r="AM78" s="37" t="str">
        <f aca="false">IF(OR(C78="",F78="",G78="",C78="Sump",C78="Drop Inlet Chamber",C78="Silt Trap",C78="Pipe Culvert",C78="Subsoil Drain"),"",ROUND(MAX(1,N(H78))*(1/SG_Criteria!$B$26)*((F78/1000)*(G78/1000*(1-SG_Criteria!$B$25)))*(((F78/1000)*(G78/1000*(1-SG_Criteria!$B$25)))/((F78/1000)+2*(G78/1000*(1-SG_Criteria!$B$25))))^(2/3)*(1/Design_Selector!$B$11)^0.5,3))</f>
        <v/>
      </c>
      <c r="AN78" s="11" t="str">
        <f aca="false">IF(AM78="","",ROUND(AM78/(MAX(1,N(H78))*F78/1000*(G78/1000*(1-SG_Criteria!$B$25))),2))</f>
        <v/>
      </c>
      <c r="AO78" s="38" t="str">
        <f aca="false">IF(C78="","",IF(LEN(IF(AND(OR(D78="Roadside drain",D78="Entrance culvert"),OR(F78&lt;SG_Criteria!$B$15,G78&lt;SG_Criteria!$B$16)),"FAIL: below PUB min "&amp;SG_Criteria!$B$15&amp;"x"&amp;SG_Criteria!$B$16&amp;" for roadside drain. ","")&amp;IF(AND(D78="Common drain",F78&lt;SG_Criteria!$B$17),"FAIL: common drain W &lt; "&amp;SG_Criteria!$B$17&amp;" mm. ","")&amp;IF(AND(N78&lt;&gt;"",IFERROR(VALUE(MID(N78,2,2)),0)&lt;SG_Criteria!$B$19),"FAIL: grade below C"&amp;SG_Criteria!$B$19&amp;". ","")&amp;IF(AND(O78&lt;&gt;"",O78&lt;SG_Criteria!$B$20),"FAIL: cover &lt; "&amp;SG_Criteria!$B$20&amp;" mm. ","")&amp;IF(AND(E78="Open",G78&gt;SG_Criteria!$B$18),"NOTE: safety railing required (D &gt; "&amp;SG_Criteria!$B$18&amp;" mm). ","")&amp;IF(AND(D78="Entrance culvert",G78&lt;600),"NOTE: check hinged grating rule for culverts &lt; 600 deep (PUB Add. 3). ",""))=0,"OK",IF(AND(OR(D78="Roadside drain",D78="Entrance culvert"),OR(F78&lt;SG_Criteria!$B$15,G78&lt;SG_Criteria!$B$16)),"FAIL: below PUB min "&amp;SG_Criteria!$B$15&amp;"x"&amp;SG_Criteria!$B$16&amp;" for roadside drain. ","")&amp;IF(AND(D78="Common drain",F78&lt;SG_Criteria!$B$17),"FAIL: common drain W &lt; "&amp;SG_Criteria!$B$17&amp;" mm. ","")&amp;IF(AND(N78&lt;&gt;"",IFERROR(VALUE(MID(N78,2,2)),0)&lt;SG_Criteria!$B$19),"FAIL: grade below C"&amp;SG_Criteria!$B$19&amp;". ","")&amp;IF(AND(O78&lt;&gt;"",O78&lt;SG_Criteria!$B$20),"FAIL: cover &lt; "&amp;SG_Criteria!$B$20&amp;" mm. ","")&amp;IF(AND(E78="Open",G78&gt;SG_Criteria!$B$18),"NOTE: safety railing required (D &gt; "&amp;SG_Criteria!$B$18&amp;" mm). ","")&amp;IF(AND(D78="Entrance culvert",G78&lt;600),"NOTE: check hinged grating rule for culverts &lt; 600 deep (PUB Add. 3). ","")))</f>
        <v/>
      </c>
      <c r="AP78" s="9"/>
      <c r="AQ78" s="9"/>
      <c r="AR78" s="9"/>
      <c r="AS78" s="9"/>
      <c r="AT78" s="9"/>
      <c r="AU78" s="31"/>
      <c r="AV78" s="10" t="str">
        <f aca="false">IF(C78="","",IF(AND(V78="Approved",ISERROR(SEARCH("FAIL",AO78))),"Y","N"))</f>
        <v/>
      </c>
      <c r="AW78" s="10" t="str">
        <f aca="false">IF(C78="","",C78&amp;"|"&amp;F78&amp;"|"&amp;G78&amp;"|"&amp;L78&amp;"|"&amp;AV78)</f>
        <v/>
      </c>
    </row>
    <row r="79" customFormat="false" ht="15" hidden="false" customHeight="false" outlineLevel="0" collapsed="false">
      <c r="A79" s="10" t="str">
        <f aca="false">IF(C79="","","DRN-"&amp;IFERROR(VLOOKUP(C79,Lists!$A$4:$B$27,2,0),"??")&amp;"-"&amp;TEXT(F79,"0000")&amp;"x"&amp;TEXT(G79,"0000")&amp;IF(N(H79)&gt;1,"-"&amp;H79&amp;"C","")&amp;"-"&amp;IFERROR(VLOOKUP(L79,Lists!$J$4:$K$19,2,0),"??")&amp;"-"&amp;U79)</f>
        <v/>
      </c>
      <c r="B79" s="10" t="str">
        <f aca="false">IF(C79="","",C79&amp;" "&amp;F79&amp;"W x "&amp;G79&amp;"D"&amp;IF(N(H79)&gt;1," ("&amp;H79&amp;" cells)","")&amp;", "&amp;D79&amp;", "&amp;L79&amp;", "&amp;E79)</f>
        <v/>
      </c>
      <c r="C79" s="9"/>
      <c r="D79" s="9"/>
      <c r="E79" s="9"/>
      <c r="F79" s="40"/>
      <c r="G79" s="40"/>
      <c r="H79" s="40"/>
      <c r="I79" s="40"/>
      <c r="J79" s="40"/>
      <c r="K79" s="40"/>
      <c r="L79" s="9"/>
      <c r="M79" s="9"/>
      <c r="N79" s="9"/>
      <c r="O79" s="40"/>
      <c r="P79" s="9"/>
      <c r="Q79" s="9"/>
      <c r="R79" s="9"/>
      <c r="S79" s="9"/>
      <c r="T79" s="9"/>
      <c r="U79" s="9"/>
      <c r="V79" s="9"/>
      <c r="W79" s="9"/>
      <c r="X79" s="9"/>
      <c r="Y79" s="9"/>
      <c r="Z79" s="10" t="str">
        <f aca="false">IF(A79="","",SG_Criteria!$B$6&amp;SG_Criteria!$B$7&amp;"\"&amp;A79&amp;"\")</f>
        <v/>
      </c>
      <c r="AA79" s="10" t="str">
        <f aca="false">IF(A79="","",A79&amp;"_CAD.dwg")</f>
        <v/>
      </c>
      <c r="AB79" s="10" t="str">
        <f aca="false">IF(A79="","",A79&amp;"_DWG.pdf")</f>
        <v/>
      </c>
      <c r="AC79" s="10" t="str">
        <f aca="false">IF(A79="","",IF(Y79="Y",A79&amp;"_STAAD.std","n/a"))</f>
        <v/>
      </c>
      <c r="AD79" s="10" t="str">
        <f aca="false">IF(A79="","",A79&amp;"_CALC.xlsx")</f>
        <v/>
      </c>
      <c r="AE79" s="10" t="str">
        <f aca="false">IF(A79="","",A79&amp;"_CALC.pdf")</f>
        <v/>
      </c>
      <c r="AF79" s="9"/>
      <c r="AG79" s="9"/>
      <c r="AH79" s="41"/>
      <c r="AI79" s="41"/>
      <c r="AJ79" s="41"/>
      <c r="AK79" s="41"/>
      <c r="AL79" s="41"/>
      <c r="AM79" s="37" t="str">
        <f aca="false">IF(OR(C79="",F79="",G79="",C79="Sump",C79="Drop Inlet Chamber",C79="Silt Trap",C79="Pipe Culvert",C79="Subsoil Drain"),"",ROUND(MAX(1,N(H79))*(1/SG_Criteria!$B$26)*((F79/1000)*(G79/1000*(1-SG_Criteria!$B$25)))*(((F79/1000)*(G79/1000*(1-SG_Criteria!$B$25)))/((F79/1000)+2*(G79/1000*(1-SG_Criteria!$B$25))))^(2/3)*(1/Design_Selector!$B$11)^0.5,3))</f>
        <v/>
      </c>
      <c r="AN79" s="11" t="str">
        <f aca="false">IF(AM79="","",ROUND(AM79/(MAX(1,N(H79))*F79/1000*(G79/1000*(1-SG_Criteria!$B$25))),2))</f>
        <v/>
      </c>
      <c r="AO79" s="38" t="str">
        <f aca="false">IF(C79="","",IF(LEN(IF(AND(OR(D79="Roadside drain",D79="Entrance culvert"),OR(F79&lt;SG_Criteria!$B$15,G79&lt;SG_Criteria!$B$16)),"FAIL: below PUB min "&amp;SG_Criteria!$B$15&amp;"x"&amp;SG_Criteria!$B$16&amp;" for roadside drain. ","")&amp;IF(AND(D79="Common drain",F79&lt;SG_Criteria!$B$17),"FAIL: common drain W &lt; "&amp;SG_Criteria!$B$17&amp;" mm. ","")&amp;IF(AND(N79&lt;&gt;"",IFERROR(VALUE(MID(N79,2,2)),0)&lt;SG_Criteria!$B$19),"FAIL: grade below C"&amp;SG_Criteria!$B$19&amp;". ","")&amp;IF(AND(O79&lt;&gt;"",O79&lt;SG_Criteria!$B$20),"FAIL: cover &lt; "&amp;SG_Criteria!$B$20&amp;" mm. ","")&amp;IF(AND(E79="Open",G79&gt;SG_Criteria!$B$18),"NOTE: safety railing required (D &gt; "&amp;SG_Criteria!$B$18&amp;" mm). ","")&amp;IF(AND(D79="Entrance culvert",G79&lt;600),"NOTE: check hinged grating rule for culverts &lt; 600 deep (PUB Add. 3). ",""))=0,"OK",IF(AND(OR(D79="Roadside drain",D79="Entrance culvert"),OR(F79&lt;SG_Criteria!$B$15,G79&lt;SG_Criteria!$B$16)),"FAIL: below PUB min "&amp;SG_Criteria!$B$15&amp;"x"&amp;SG_Criteria!$B$16&amp;" for roadside drain. ","")&amp;IF(AND(D79="Common drain",F79&lt;SG_Criteria!$B$17),"FAIL: common drain W &lt; "&amp;SG_Criteria!$B$17&amp;" mm. ","")&amp;IF(AND(N79&lt;&gt;"",IFERROR(VALUE(MID(N79,2,2)),0)&lt;SG_Criteria!$B$19),"FAIL: grade below C"&amp;SG_Criteria!$B$19&amp;". ","")&amp;IF(AND(O79&lt;&gt;"",O79&lt;SG_Criteria!$B$20),"FAIL: cover &lt; "&amp;SG_Criteria!$B$20&amp;" mm. ","")&amp;IF(AND(E79="Open",G79&gt;SG_Criteria!$B$18),"NOTE: safety railing required (D &gt; "&amp;SG_Criteria!$B$18&amp;" mm). ","")&amp;IF(AND(D79="Entrance culvert",G79&lt;600),"NOTE: check hinged grating rule for culverts &lt; 600 deep (PUB Add. 3). ","")))</f>
        <v/>
      </c>
      <c r="AP79" s="9"/>
      <c r="AQ79" s="9"/>
      <c r="AR79" s="9"/>
      <c r="AS79" s="9"/>
      <c r="AT79" s="9"/>
      <c r="AU79" s="31"/>
      <c r="AV79" s="10" t="str">
        <f aca="false">IF(C79="","",IF(AND(V79="Approved",ISERROR(SEARCH("FAIL",AO79))),"Y","N"))</f>
        <v/>
      </c>
      <c r="AW79" s="10" t="str">
        <f aca="false">IF(C79="","",C79&amp;"|"&amp;F79&amp;"|"&amp;G79&amp;"|"&amp;L79&amp;"|"&amp;AV79)</f>
        <v/>
      </c>
    </row>
    <row r="80" customFormat="false" ht="15" hidden="false" customHeight="false" outlineLevel="0" collapsed="false">
      <c r="A80" s="10" t="str">
        <f aca="false">IF(C80="","","DRN-"&amp;IFERROR(VLOOKUP(C80,Lists!$A$4:$B$27,2,0),"??")&amp;"-"&amp;TEXT(F80,"0000")&amp;"x"&amp;TEXT(G80,"0000")&amp;IF(N(H80)&gt;1,"-"&amp;H80&amp;"C","")&amp;"-"&amp;IFERROR(VLOOKUP(L80,Lists!$J$4:$K$19,2,0),"??")&amp;"-"&amp;U80)</f>
        <v/>
      </c>
      <c r="B80" s="10" t="str">
        <f aca="false">IF(C80="","",C80&amp;" "&amp;F80&amp;"W x "&amp;G80&amp;"D"&amp;IF(N(H80)&gt;1," ("&amp;H80&amp;" cells)","")&amp;", "&amp;D80&amp;", "&amp;L80&amp;", "&amp;E80)</f>
        <v/>
      </c>
      <c r="C80" s="9"/>
      <c r="D80" s="9"/>
      <c r="E80" s="9"/>
      <c r="F80" s="40"/>
      <c r="G80" s="40"/>
      <c r="H80" s="40"/>
      <c r="I80" s="40"/>
      <c r="J80" s="40"/>
      <c r="K80" s="40"/>
      <c r="L80" s="9"/>
      <c r="M80" s="9"/>
      <c r="N80" s="9"/>
      <c r="O80" s="40"/>
      <c r="P80" s="9"/>
      <c r="Q80" s="9"/>
      <c r="R80" s="9"/>
      <c r="S80" s="9"/>
      <c r="T80" s="9"/>
      <c r="U80" s="9"/>
      <c r="V80" s="9"/>
      <c r="W80" s="9"/>
      <c r="X80" s="9"/>
      <c r="Y80" s="9"/>
      <c r="Z80" s="10" t="str">
        <f aca="false">IF(A80="","",SG_Criteria!$B$6&amp;SG_Criteria!$B$7&amp;"\"&amp;A80&amp;"\")</f>
        <v/>
      </c>
      <c r="AA80" s="10" t="str">
        <f aca="false">IF(A80="","",A80&amp;"_CAD.dwg")</f>
        <v/>
      </c>
      <c r="AB80" s="10" t="str">
        <f aca="false">IF(A80="","",A80&amp;"_DWG.pdf")</f>
        <v/>
      </c>
      <c r="AC80" s="10" t="str">
        <f aca="false">IF(A80="","",IF(Y80="Y",A80&amp;"_STAAD.std","n/a"))</f>
        <v/>
      </c>
      <c r="AD80" s="10" t="str">
        <f aca="false">IF(A80="","",A80&amp;"_CALC.xlsx")</f>
        <v/>
      </c>
      <c r="AE80" s="10" t="str">
        <f aca="false">IF(A80="","",A80&amp;"_CALC.pdf")</f>
        <v/>
      </c>
      <c r="AF80" s="9"/>
      <c r="AG80" s="9"/>
      <c r="AH80" s="41"/>
      <c r="AI80" s="41"/>
      <c r="AJ80" s="41"/>
      <c r="AK80" s="41"/>
      <c r="AL80" s="41"/>
      <c r="AM80" s="37" t="str">
        <f aca="false">IF(OR(C80="",F80="",G80="",C80="Sump",C80="Drop Inlet Chamber",C80="Silt Trap",C80="Pipe Culvert",C80="Subsoil Drain"),"",ROUND(MAX(1,N(H80))*(1/SG_Criteria!$B$26)*((F80/1000)*(G80/1000*(1-SG_Criteria!$B$25)))*(((F80/1000)*(G80/1000*(1-SG_Criteria!$B$25)))/((F80/1000)+2*(G80/1000*(1-SG_Criteria!$B$25))))^(2/3)*(1/Design_Selector!$B$11)^0.5,3))</f>
        <v/>
      </c>
      <c r="AN80" s="11" t="str">
        <f aca="false">IF(AM80="","",ROUND(AM80/(MAX(1,N(H80))*F80/1000*(G80/1000*(1-SG_Criteria!$B$25))),2))</f>
        <v/>
      </c>
      <c r="AO80" s="38" t="str">
        <f aca="false">IF(C80="","",IF(LEN(IF(AND(OR(D80="Roadside drain",D80="Entrance culvert"),OR(F80&lt;SG_Criteria!$B$15,G80&lt;SG_Criteria!$B$16)),"FAIL: below PUB min "&amp;SG_Criteria!$B$15&amp;"x"&amp;SG_Criteria!$B$16&amp;" for roadside drain. ","")&amp;IF(AND(D80="Common drain",F80&lt;SG_Criteria!$B$17),"FAIL: common drain W &lt; "&amp;SG_Criteria!$B$17&amp;" mm. ","")&amp;IF(AND(N80&lt;&gt;"",IFERROR(VALUE(MID(N80,2,2)),0)&lt;SG_Criteria!$B$19),"FAIL: grade below C"&amp;SG_Criteria!$B$19&amp;". ","")&amp;IF(AND(O80&lt;&gt;"",O80&lt;SG_Criteria!$B$20),"FAIL: cover &lt; "&amp;SG_Criteria!$B$20&amp;" mm. ","")&amp;IF(AND(E80="Open",G80&gt;SG_Criteria!$B$18),"NOTE: safety railing required (D &gt; "&amp;SG_Criteria!$B$18&amp;" mm). ","")&amp;IF(AND(D80="Entrance culvert",G80&lt;600),"NOTE: check hinged grating rule for culverts &lt; 600 deep (PUB Add. 3). ",""))=0,"OK",IF(AND(OR(D80="Roadside drain",D80="Entrance culvert"),OR(F80&lt;SG_Criteria!$B$15,G80&lt;SG_Criteria!$B$16)),"FAIL: below PUB min "&amp;SG_Criteria!$B$15&amp;"x"&amp;SG_Criteria!$B$16&amp;" for roadside drain. ","")&amp;IF(AND(D80="Common drain",F80&lt;SG_Criteria!$B$17),"FAIL: common drain W &lt; "&amp;SG_Criteria!$B$17&amp;" mm. ","")&amp;IF(AND(N80&lt;&gt;"",IFERROR(VALUE(MID(N80,2,2)),0)&lt;SG_Criteria!$B$19),"FAIL: grade below C"&amp;SG_Criteria!$B$19&amp;". ","")&amp;IF(AND(O80&lt;&gt;"",O80&lt;SG_Criteria!$B$20),"FAIL: cover &lt; "&amp;SG_Criteria!$B$20&amp;" mm. ","")&amp;IF(AND(E80="Open",G80&gt;SG_Criteria!$B$18),"NOTE: safety railing required (D &gt; "&amp;SG_Criteria!$B$18&amp;" mm). ","")&amp;IF(AND(D80="Entrance culvert",G80&lt;600),"NOTE: check hinged grating rule for culverts &lt; 600 deep (PUB Add. 3). ","")))</f>
        <v/>
      </c>
      <c r="AP80" s="9"/>
      <c r="AQ80" s="9"/>
      <c r="AR80" s="9"/>
      <c r="AS80" s="9"/>
      <c r="AT80" s="9"/>
      <c r="AU80" s="31"/>
      <c r="AV80" s="10" t="str">
        <f aca="false">IF(C80="","",IF(AND(V80="Approved",ISERROR(SEARCH("FAIL",AO80))),"Y","N"))</f>
        <v/>
      </c>
      <c r="AW80" s="10" t="str">
        <f aca="false">IF(C80="","",C80&amp;"|"&amp;F80&amp;"|"&amp;G80&amp;"|"&amp;L80&amp;"|"&amp;AV80)</f>
        <v/>
      </c>
    </row>
    <row r="81" customFormat="false" ht="15" hidden="false" customHeight="false" outlineLevel="0" collapsed="false">
      <c r="A81" s="10" t="str">
        <f aca="false">IF(C81="","","DRN-"&amp;IFERROR(VLOOKUP(C81,Lists!$A$4:$B$27,2,0),"??")&amp;"-"&amp;TEXT(F81,"0000")&amp;"x"&amp;TEXT(G81,"0000")&amp;IF(N(H81)&gt;1,"-"&amp;H81&amp;"C","")&amp;"-"&amp;IFERROR(VLOOKUP(L81,Lists!$J$4:$K$19,2,0),"??")&amp;"-"&amp;U81)</f>
        <v/>
      </c>
      <c r="B81" s="10" t="str">
        <f aca="false">IF(C81="","",C81&amp;" "&amp;F81&amp;"W x "&amp;G81&amp;"D"&amp;IF(N(H81)&gt;1," ("&amp;H81&amp;" cells)","")&amp;", "&amp;D81&amp;", "&amp;L81&amp;", "&amp;E81)</f>
        <v/>
      </c>
      <c r="C81" s="9"/>
      <c r="D81" s="9"/>
      <c r="E81" s="9"/>
      <c r="F81" s="40"/>
      <c r="G81" s="40"/>
      <c r="H81" s="40"/>
      <c r="I81" s="40"/>
      <c r="J81" s="40"/>
      <c r="K81" s="40"/>
      <c r="L81" s="9"/>
      <c r="M81" s="9"/>
      <c r="N81" s="9"/>
      <c r="O81" s="40"/>
      <c r="P81" s="9"/>
      <c r="Q81" s="9"/>
      <c r="R81" s="9"/>
      <c r="S81" s="9"/>
      <c r="T81" s="9"/>
      <c r="U81" s="9"/>
      <c r="V81" s="9"/>
      <c r="W81" s="9"/>
      <c r="X81" s="9"/>
      <c r="Y81" s="9"/>
      <c r="Z81" s="10" t="str">
        <f aca="false">IF(A81="","",SG_Criteria!$B$6&amp;SG_Criteria!$B$7&amp;"\"&amp;A81&amp;"\")</f>
        <v/>
      </c>
      <c r="AA81" s="10" t="str">
        <f aca="false">IF(A81="","",A81&amp;"_CAD.dwg")</f>
        <v/>
      </c>
      <c r="AB81" s="10" t="str">
        <f aca="false">IF(A81="","",A81&amp;"_DWG.pdf")</f>
        <v/>
      </c>
      <c r="AC81" s="10" t="str">
        <f aca="false">IF(A81="","",IF(Y81="Y",A81&amp;"_STAAD.std","n/a"))</f>
        <v/>
      </c>
      <c r="AD81" s="10" t="str">
        <f aca="false">IF(A81="","",A81&amp;"_CALC.xlsx")</f>
        <v/>
      </c>
      <c r="AE81" s="10" t="str">
        <f aca="false">IF(A81="","",A81&amp;"_CALC.pdf")</f>
        <v/>
      </c>
      <c r="AF81" s="9"/>
      <c r="AG81" s="9"/>
      <c r="AH81" s="41"/>
      <c r="AI81" s="41"/>
      <c r="AJ81" s="41"/>
      <c r="AK81" s="41"/>
      <c r="AL81" s="41"/>
      <c r="AM81" s="37" t="str">
        <f aca="false">IF(OR(C81="",F81="",G81="",C81="Sump",C81="Drop Inlet Chamber",C81="Silt Trap",C81="Pipe Culvert",C81="Subsoil Drain"),"",ROUND(MAX(1,N(H81))*(1/SG_Criteria!$B$26)*((F81/1000)*(G81/1000*(1-SG_Criteria!$B$25)))*(((F81/1000)*(G81/1000*(1-SG_Criteria!$B$25)))/((F81/1000)+2*(G81/1000*(1-SG_Criteria!$B$25))))^(2/3)*(1/Design_Selector!$B$11)^0.5,3))</f>
        <v/>
      </c>
      <c r="AN81" s="11" t="str">
        <f aca="false">IF(AM81="","",ROUND(AM81/(MAX(1,N(H81))*F81/1000*(G81/1000*(1-SG_Criteria!$B$25))),2))</f>
        <v/>
      </c>
      <c r="AO81" s="38" t="str">
        <f aca="false">IF(C81="","",IF(LEN(IF(AND(OR(D81="Roadside drain",D81="Entrance culvert"),OR(F81&lt;SG_Criteria!$B$15,G81&lt;SG_Criteria!$B$16)),"FAIL: below PUB min "&amp;SG_Criteria!$B$15&amp;"x"&amp;SG_Criteria!$B$16&amp;" for roadside drain. ","")&amp;IF(AND(D81="Common drain",F81&lt;SG_Criteria!$B$17),"FAIL: common drain W &lt; "&amp;SG_Criteria!$B$17&amp;" mm. ","")&amp;IF(AND(N81&lt;&gt;"",IFERROR(VALUE(MID(N81,2,2)),0)&lt;SG_Criteria!$B$19),"FAIL: grade below C"&amp;SG_Criteria!$B$19&amp;". ","")&amp;IF(AND(O81&lt;&gt;"",O81&lt;SG_Criteria!$B$20),"FAIL: cover &lt; "&amp;SG_Criteria!$B$20&amp;" mm. ","")&amp;IF(AND(E81="Open",G81&gt;SG_Criteria!$B$18),"NOTE: safety railing required (D &gt; "&amp;SG_Criteria!$B$18&amp;" mm). ","")&amp;IF(AND(D81="Entrance culvert",G81&lt;600),"NOTE: check hinged grating rule for culverts &lt; 600 deep (PUB Add. 3). ",""))=0,"OK",IF(AND(OR(D81="Roadside drain",D81="Entrance culvert"),OR(F81&lt;SG_Criteria!$B$15,G81&lt;SG_Criteria!$B$16)),"FAIL: below PUB min "&amp;SG_Criteria!$B$15&amp;"x"&amp;SG_Criteria!$B$16&amp;" for roadside drain. ","")&amp;IF(AND(D81="Common drain",F81&lt;SG_Criteria!$B$17),"FAIL: common drain W &lt; "&amp;SG_Criteria!$B$17&amp;" mm. ","")&amp;IF(AND(N81&lt;&gt;"",IFERROR(VALUE(MID(N81,2,2)),0)&lt;SG_Criteria!$B$19),"FAIL: grade below C"&amp;SG_Criteria!$B$19&amp;". ","")&amp;IF(AND(O81&lt;&gt;"",O81&lt;SG_Criteria!$B$20),"FAIL: cover &lt; "&amp;SG_Criteria!$B$20&amp;" mm. ","")&amp;IF(AND(E81="Open",G81&gt;SG_Criteria!$B$18),"NOTE: safety railing required (D &gt; "&amp;SG_Criteria!$B$18&amp;" mm). ","")&amp;IF(AND(D81="Entrance culvert",G81&lt;600),"NOTE: check hinged grating rule for culverts &lt; 600 deep (PUB Add. 3). ","")))</f>
        <v/>
      </c>
      <c r="AP81" s="9"/>
      <c r="AQ81" s="9"/>
      <c r="AR81" s="9"/>
      <c r="AS81" s="9"/>
      <c r="AT81" s="9"/>
      <c r="AU81" s="31"/>
      <c r="AV81" s="10" t="str">
        <f aca="false">IF(C81="","",IF(AND(V81="Approved",ISERROR(SEARCH("FAIL",AO81))),"Y","N"))</f>
        <v/>
      </c>
      <c r="AW81" s="10" t="str">
        <f aca="false">IF(C81="","",C81&amp;"|"&amp;F81&amp;"|"&amp;G81&amp;"|"&amp;L81&amp;"|"&amp;AV81)</f>
        <v/>
      </c>
    </row>
    <row r="82" customFormat="false" ht="15" hidden="false" customHeight="false" outlineLevel="0" collapsed="false">
      <c r="A82" s="10" t="str">
        <f aca="false">IF(C82="","","DRN-"&amp;IFERROR(VLOOKUP(C82,Lists!$A$4:$B$27,2,0),"??")&amp;"-"&amp;TEXT(F82,"0000")&amp;"x"&amp;TEXT(G82,"0000")&amp;IF(N(H82)&gt;1,"-"&amp;H82&amp;"C","")&amp;"-"&amp;IFERROR(VLOOKUP(L82,Lists!$J$4:$K$19,2,0),"??")&amp;"-"&amp;U82)</f>
        <v/>
      </c>
      <c r="B82" s="10" t="str">
        <f aca="false">IF(C82="","",C82&amp;" "&amp;F82&amp;"W x "&amp;G82&amp;"D"&amp;IF(N(H82)&gt;1," ("&amp;H82&amp;" cells)","")&amp;", "&amp;D82&amp;", "&amp;L82&amp;", "&amp;E82)</f>
        <v/>
      </c>
      <c r="C82" s="9"/>
      <c r="D82" s="9"/>
      <c r="E82" s="9"/>
      <c r="F82" s="40"/>
      <c r="G82" s="40"/>
      <c r="H82" s="40"/>
      <c r="I82" s="40"/>
      <c r="J82" s="40"/>
      <c r="K82" s="40"/>
      <c r="L82" s="9"/>
      <c r="M82" s="9"/>
      <c r="N82" s="9"/>
      <c r="O82" s="40"/>
      <c r="P82" s="9"/>
      <c r="Q82" s="9"/>
      <c r="R82" s="9"/>
      <c r="S82" s="9"/>
      <c r="T82" s="9"/>
      <c r="U82" s="9"/>
      <c r="V82" s="9"/>
      <c r="W82" s="9"/>
      <c r="X82" s="9"/>
      <c r="Y82" s="9"/>
      <c r="Z82" s="10" t="str">
        <f aca="false">IF(A82="","",SG_Criteria!$B$6&amp;SG_Criteria!$B$7&amp;"\"&amp;A82&amp;"\")</f>
        <v/>
      </c>
      <c r="AA82" s="10" t="str">
        <f aca="false">IF(A82="","",A82&amp;"_CAD.dwg")</f>
        <v/>
      </c>
      <c r="AB82" s="10" t="str">
        <f aca="false">IF(A82="","",A82&amp;"_DWG.pdf")</f>
        <v/>
      </c>
      <c r="AC82" s="10" t="str">
        <f aca="false">IF(A82="","",IF(Y82="Y",A82&amp;"_STAAD.std","n/a"))</f>
        <v/>
      </c>
      <c r="AD82" s="10" t="str">
        <f aca="false">IF(A82="","",A82&amp;"_CALC.xlsx")</f>
        <v/>
      </c>
      <c r="AE82" s="10" t="str">
        <f aca="false">IF(A82="","",A82&amp;"_CALC.pdf")</f>
        <v/>
      </c>
      <c r="AF82" s="9"/>
      <c r="AG82" s="9"/>
      <c r="AH82" s="41"/>
      <c r="AI82" s="41"/>
      <c r="AJ82" s="41"/>
      <c r="AK82" s="41"/>
      <c r="AL82" s="41"/>
      <c r="AM82" s="37" t="str">
        <f aca="false">IF(OR(C82="",F82="",G82="",C82="Sump",C82="Drop Inlet Chamber",C82="Silt Trap",C82="Pipe Culvert",C82="Subsoil Drain"),"",ROUND(MAX(1,N(H82))*(1/SG_Criteria!$B$26)*((F82/1000)*(G82/1000*(1-SG_Criteria!$B$25)))*(((F82/1000)*(G82/1000*(1-SG_Criteria!$B$25)))/((F82/1000)+2*(G82/1000*(1-SG_Criteria!$B$25))))^(2/3)*(1/Design_Selector!$B$11)^0.5,3))</f>
        <v/>
      </c>
      <c r="AN82" s="11" t="str">
        <f aca="false">IF(AM82="","",ROUND(AM82/(MAX(1,N(H82))*F82/1000*(G82/1000*(1-SG_Criteria!$B$25))),2))</f>
        <v/>
      </c>
      <c r="AO82" s="38" t="str">
        <f aca="false">IF(C82="","",IF(LEN(IF(AND(OR(D82="Roadside drain",D82="Entrance culvert"),OR(F82&lt;SG_Criteria!$B$15,G82&lt;SG_Criteria!$B$16)),"FAIL: below PUB min "&amp;SG_Criteria!$B$15&amp;"x"&amp;SG_Criteria!$B$16&amp;" for roadside drain. ","")&amp;IF(AND(D82="Common drain",F82&lt;SG_Criteria!$B$17),"FAIL: common drain W &lt; "&amp;SG_Criteria!$B$17&amp;" mm. ","")&amp;IF(AND(N82&lt;&gt;"",IFERROR(VALUE(MID(N82,2,2)),0)&lt;SG_Criteria!$B$19),"FAIL: grade below C"&amp;SG_Criteria!$B$19&amp;". ","")&amp;IF(AND(O82&lt;&gt;"",O82&lt;SG_Criteria!$B$20),"FAIL: cover &lt; "&amp;SG_Criteria!$B$20&amp;" mm. ","")&amp;IF(AND(E82="Open",G82&gt;SG_Criteria!$B$18),"NOTE: safety railing required (D &gt; "&amp;SG_Criteria!$B$18&amp;" mm). ","")&amp;IF(AND(D82="Entrance culvert",G82&lt;600),"NOTE: check hinged grating rule for culverts &lt; 600 deep (PUB Add. 3). ",""))=0,"OK",IF(AND(OR(D82="Roadside drain",D82="Entrance culvert"),OR(F82&lt;SG_Criteria!$B$15,G82&lt;SG_Criteria!$B$16)),"FAIL: below PUB min "&amp;SG_Criteria!$B$15&amp;"x"&amp;SG_Criteria!$B$16&amp;" for roadside drain. ","")&amp;IF(AND(D82="Common drain",F82&lt;SG_Criteria!$B$17),"FAIL: common drain W &lt; "&amp;SG_Criteria!$B$17&amp;" mm. ","")&amp;IF(AND(N82&lt;&gt;"",IFERROR(VALUE(MID(N82,2,2)),0)&lt;SG_Criteria!$B$19),"FAIL: grade below C"&amp;SG_Criteria!$B$19&amp;". ","")&amp;IF(AND(O82&lt;&gt;"",O82&lt;SG_Criteria!$B$20),"FAIL: cover &lt; "&amp;SG_Criteria!$B$20&amp;" mm. ","")&amp;IF(AND(E82="Open",G82&gt;SG_Criteria!$B$18),"NOTE: safety railing required (D &gt; "&amp;SG_Criteria!$B$18&amp;" mm). ","")&amp;IF(AND(D82="Entrance culvert",G82&lt;600),"NOTE: check hinged grating rule for culverts &lt; 600 deep (PUB Add. 3). ","")))</f>
        <v/>
      </c>
      <c r="AP82" s="9"/>
      <c r="AQ82" s="9"/>
      <c r="AR82" s="9"/>
      <c r="AS82" s="9"/>
      <c r="AT82" s="9"/>
      <c r="AU82" s="31"/>
      <c r="AV82" s="10" t="str">
        <f aca="false">IF(C82="","",IF(AND(V82="Approved",ISERROR(SEARCH("FAIL",AO82))),"Y","N"))</f>
        <v/>
      </c>
      <c r="AW82" s="10" t="str">
        <f aca="false">IF(C82="","",C82&amp;"|"&amp;F82&amp;"|"&amp;G82&amp;"|"&amp;L82&amp;"|"&amp;AV82)</f>
        <v/>
      </c>
    </row>
    <row r="83" customFormat="false" ht="15" hidden="false" customHeight="false" outlineLevel="0" collapsed="false">
      <c r="A83" s="10" t="str">
        <f aca="false">IF(C83="","","DRN-"&amp;IFERROR(VLOOKUP(C83,Lists!$A$4:$B$27,2,0),"??")&amp;"-"&amp;TEXT(F83,"0000")&amp;"x"&amp;TEXT(G83,"0000")&amp;IF(N(H83)&gt;1,"-"&amp;H83&amp;"C","")&amp;"-"&amp;IFERROR(VLOOKUP(L83,Lists!$J$4:$K$19,2,0),"??")&amp;"-"&amp;U83)</f>
        <v/>
      </c>
      <c r="B83" s="10" t="str">
        <f aca="false">IF(C83="","",C83&amp;" "&amp;F83&amp;"W x "&amp;G83&amp;"D"&amp;IF(N(H83)&gt;1," ("&amp;H83&amp;" cells)","")&amp;", "&amp;D83&amp;", "&amp;L83&amp;", "&amp;E83)</f>
        <v/>
      </c>
      <c r="C83" s="9"/>
      <c r="D83" s="9"/>
      <c r="E83" s="9"/>
      <c r="F83" s="40"/>
      <c r="G83" s="40"/>
      <c r="H83" s="40"/>
      <c r="I83" s="40"/>
      <c r="J83" s="40"/>
      <c r="K83" s="40"/>
      <c r="L83" s="9"/>
      <c r="M83" s="9"/>
      <c r="N83" s="9"/>
      <c r="O83" s="40"/>
      <c r="P83" s="9"/>
      <c r="Q83" s="9"/>
      <c r="R83" s="9"/>
      <c r="S83" s="9"/>
      <c r="T83" s="9"/>
      <c r="U83" s="9"/>
      <c r="V83" s="9"/>
      <c r="W83" s="9"/>
      <c r="X83" s="9"/>
      <c r="Y83" s="9"/>
      <c r="Z83" s="10" t="str">
        <f aca="false">IF(A83="","",SG_Criteria!$B$6&amp;SG_Criteria!$B$7&amp;"\"&amp;A83&amp;"\")</f>
        <v/>
      </c>
      <c r="AA83" s="10" t="str">
        <f aca="false">IF(A83="","",A83&amp;"_CAD.dwg")</f>
        <v/>
      </c>
      <c r="AB83" s="10" t="str">
        <f aca="false">IF(A83="","",A83&amp;"_DWG.pdf")</f>
        <v/>
      </c>
      <c r="AC83" s="10" t="str">
        <f aca="false">IF(A83="","",IF(Y83="Y",A83&amp;"_STAAD.std","n/a"))</f>
        <v/>
      </c>
      <c r="AD83" s="10" t="str">
        <f aca="false">IF(A83="","",A83&amp;"_CALC.xlsx")</f>
        <v/>
      </c>
      <c r="AE83" s="10" t="str">
        <f aca="false">IF(A83="","",A83&amp;"_CALC.pdf")</f>
        <v/>
      </c>
      <c r="AF83" s="9"/>
      <c r="AG83" s="9"/>
      <c r="AH83" s="41"/>
      <c r="AI83" s="41"/>
      <c r="AJ83" s="41"/>
      <c r="AK83" s="41"/>
      <c r="AL83" s="41"/>
      <c r="AM83" s="37" t="str">
        <f aca="false">IF(OR(C83="",F83="",G83="",C83="Sump",C83="Drop Inlet Chamber",C83="Silt Trap",C83="Pipe Culvert",C83="Subsoil Drain"),"",ROUND(MAX(1,N(H83))*(1/SG_Criteria!$B$26)*((F83/1000)*(G83/1000*(1-SG_Criteria!$B$25)))*(((F83/1000)*(G83/1000*(1-SG_Criteria!$B$25)))/((F83/1000)+2*(G83/1000*(1-SG_Criteria!$B$25))))^(2/3)*(1/Design_Selector!$B$11)^0.5,3))</f>
        <v/>
      </c>
      <c r="AN83" s="11" t="str">
        <f aca="false">IF(AM83="","",ROUND(AM83/(MAX(1,N(H83))*F83/1000*(G83/1000*(1-SG_Criteria!$B$25))),2))</f>
        <v/>
      </c>
      <c r="AO83" s="38" t="str">
        <f aca="false">IF(C83="","",IF(LEN(IF(AND(OR(D83="Roadside drain",D83="Entrance culvert"),OR(F83&lt;SG_Criteria!$B$15,G83&lt;SG_Criteria!$B$16)),"FAIL: below PUB min "&amp;SG_Criteria!$B$15&amp;"x"&amp;SG_Criteria!$B$16&amp;" for roadside drain. ","")&amp;IF(AND(D83="Common drain",F83&lt;SG_Criteria!$B$17),"FAIL: common drain W &lt; "&amp;SG_Criteria!$B$17&amp;" mm. ","")&amp;IF(AND(N83&lt;&gt;"",IFERROR(VALUE(MID(N83,2,2)),0)&lt;SG_Criteria!$B$19),"FAIL: grade below C"&amp;SG_Criteria!$B$19&amp;". ","")&amp;IF(AND(O83&lt;&gt;"",O83&lt;SG_Criteria!$B$20),"FAIL: cover &lt; "&amp;SG_Criteria!$B$20&amp;" mm. ","")&amp;IF(AND(E83="Open",G83&gt;SG_Criteria!$B$18),"NOTE: safety railing required (D &gt; "&amp;SG_Criteria!$B$18&amp;" mm). ","")&amp;IF(AND(D83="Entrance culvert",G83&lt;600),"NOTE: check hinged grating rule for culverts &lt; 600 deep (PUB Add. 3). ",""))=0,"OK",IF(AND(OR(D83="Roadside drain",D83="Entrance culvert"),OR(F83&lt;SG_Criteria!$B$15,G83&lt;SG_Criteria!$B$16)),"FAIL: below PUB min "&amp;SG_Criteria!$B$15&amp;"x"&amp;SG_Criteria!$B$16&amp;" for roadside drain. ","")&amp;IF(AND(D83="Common drain",F83&lt;SG_Criteria!$B$17),"FAIL: common drain W &lt; "&amp;SG_Criteria!$B$17&amp;" mm. ","")&amp;IF(AND(N83&lt;&gt;"",IFERROR(VALUE(MID(N83,2,2)),0)&lt;SG_Criteria!$B$19),"FAIL: grade below C"&amp;SG_Criteria!$B$19&amp;". ","")&amp;IF(AND(O83&lt;&gt;"",O83&lt;SG_Criteria!$B$20),"FAIL: cover &lt; "&amp;SG_Criteria!$B$20&amp;" mm. ","")&amp;IF(AND(E83="Open",G83&gt;SG_Criteria!$B$18),"NOTE: safety railing required (D &gt; "&amp;SG_Criteria!$B$18&amp;" mm). ","")&amp;IF(AND(D83="Entrance culvert",G83&lt;600),"NOTE: check hinged grating rule for culverts &lt; 600 deep (PUB Add. 3). ","")))</f>
        <v/>
      </c>
      <c r="AP83" s="9"/>
      <c r="AQ83" s="9"/>
      <c r="AR83" s="9"/>
      <c r="AS83" s="9"/>
      <c r="AT83" s="9"/>
      <c r="AU83" s="31"/>
      <c r="AV83" s="10" t="str">
        <f aca="false">IF(C83="","",IF(AND(V83="Approved",ISERROR(SEARCH("FAIL",AO83))),"Y","N"))</f>
        <v/>
      </c>
      <c r="AW83" s="10" t="str">
        <f aca="false">IF(C83="","",C83&amp;"|"&amp;F83&amp;"|"&amp;G83&amp;"|"&amp;L83&amp;"|"&amp;AV83)</f>
        <v/>
      </c>
    </row>
    <row r="84" customFormat="false" ht="15" hidden="false" customHeight="false" outlineLevel="0" collapsed="false">
      <c r="A84" s="10" t="str">
        <f aca="false">IF(C84="","","DRN-"&amp;IFERROR(VLOOKUP(C84,Lists!$A$4:$B$27,2,0),"??")&amp;"-"&amp;TEXT(F84,"0000")&amp;"x"&amp;TEXT(G84,"0000")&amp;IF(N(H84)&gt;1,"-"&amp;H84&amp;"C","")&amp;"-"&amp;IFERROR(VLOOKUP(L84,Lists!$J$4:$K$19,2,0),"??")&amp;"-"&amp;U84)</f>
        <v/>
      </c>
      <c r="B84" s="10" t="str">
        <f aca="false">IF(C84="","",C84&amp;" "&amp;F84&amp;"W x "&amp;G84&amp;"D"&amp;IF(N(H84)&gt;1," ("&amp;H84&amp;" cells)","")&amp;", "&amp;D84&amp;", "&amp;L84&amp;", "&amp;E84)</f>
        <v/>
      </c>
      <c r="C84" s="9"/>
      <c r="D84" s="9"/>
      <c r="E84" s="9"/>
      <c r="F84" s="40"/>
      <c r="G84" s="40"/>
      <c r="H84" s="40"/>
      <c r="I84" s="40"/>
      <c r="J84" s="40"/>
      <c r="K84" s="40"/>
      <c r="L84" s="9"/>
      <c r="M84" s="9"/>
      <c r="N84" s="9"/>
      <c r="O84" s="40"/>
      <c r="P84" s="9"/>
      <c r="Q84" s="9"/>
      <c r="R84" s="9"/>
      <c r="S84" s="9"/>
      <c r="T84" s="9"/>
      <c r="U84" s="9"/>
      <c r="V84" s="9"/>
      <c r="W84" s="9"/>
      <c r="X84" s="9"/>
      <c r="Y84" s="9"/>
      <c r="Z84" s="10" t="str">
        <f aca="false">IF(A84="","",SG_Criteria!$B$6&amp;SG_Criteria!$B$7&amp;"\"&amp;A84&amp;"\")</f>
        <v/>
      </c>
      <c r="AA84" s="10" t="str">
        <f aca="false">IF(A84="","",A84&amp;"_CAD.dwg")</f>
        <v/>
      </c>
      <c r="AB84" s="10" t="str">
        <f aca="false">IF(A84="","",A84&amp;"_DWG.pdf")</f>
        <v/>
      </c>
      <c r="AC84" s="10" t="str">
        <f aca="false">IF(A84="","",IF(Y84="Y",A84&amp;"_STAAD.std","n/a"))</f>
        <v/>
      </c>
      <c r="AD84" s="10" t="str">
        <f aca="false">IF(A84="","",A84&amp;"_CALC.xlsx")</f>
        <v/>
      </c>
      <c r="AE84" s="10" t="str">
        <f aca="false">IF(A84="","",A84&amp;"_CALC.pdf")</f>
        <v/>
      </c>
      <c r="AF84" s="9"/>
      <c r="AG84" s="9"/>
      <c r="AH84" s="41"/>
      <c r="AI84" s="41"/>
      <c r="AJ84" s="41"/>
      <c r="AK84" s="41"/>
      <c r="AL84" s="41"/>
      <c r="AM84" s="37" t="str">
        <f aca="false">IF(OR(C84="",F84="",G84="",C84="Sump",C84="Drop Inlet Chamber",C84="Silt Trap",C84="Pipe Culvert",C84="Subsoil Drain"),"",ROUND(MAX(1,N(H84))*(1/SG_Criteria!$B$26)*((F84/1000)*(G84/1000*(1-SG_Criteria!$B$25)))*(((F84/1000)*(G84/1000*(1-SG_Criteria!$B$25)))/((F84/1000)+2*(G84/1000*(1-SG_Criteria!$B$25))))^(2/3)*(1/Design_Selector!$B$11)^0.5,3))</f>
        <v/>
      </c>
      <c r="AN84" s="11" t="str">
        <f aca="false">IF(AM84="","",ROUND(AM84/(MAX(1,N(H84))*F84/1000*(G84/1000*(1-SG_Criteria!$B$25))),2))</f>
        <v/>
      </c>
      <c r="AO84" s="38" t="str">
        <f aca="false">IF(C84="","",IF(LEN(IF(AND(OR(D84="Roadside drain",D84="Entrance culvert"),OR(F84&lt;SG_Criteria!$B$15,G84&lt;SG_Criteria!$B$16)),"FAIL: below PUB min "&amp;SG_Criteria!$B$15&amp;"x"&amp;SG_Criteria!$B$16&amp;" for roadside drain. ","")&amp;IF(AND(D84="Common drain",F84&lt;SG_Criteria!$B$17),"FAIL: common drain W &lt; "&amp;SG_Criteria!$B$17&amp;" mm. ","")&amp;IF(AND(N84&lt;&gt;"",IFERROR(VALUE(MID(N84,2,2)),0)&lt;SG_Criteria!$B$19),"FAIL: grade below C"&amp;SG_Criteria!$B$19&amp;". ","")&amp;IF(AND(O84&lt;&gt;"",O84&lt;SG_Criteria!$B$20),"FAIL: cover &lt; "&amp;SG_Criteria!$B$20&amp;" mm. ","")&amp;IF(AND(E84="Open",G84&gt;SG_Criteria!$B$18),"NOTE: safety railing required (D &gt; "&amp;SG_Criteria!$B$18&amp;" mm). ","")&amp;IF(AND(D84="Entrance culvert",G84&lt;600),"NOTE: check hinged grating rule for culverts &lt; 600 deep (PUB Add. 3). ",""))=0,"OK",IF(AND(OR(D84="Roadside drain",D84="Entrance culvert"),OR(F84&lt;SG_Criteria!$B$15,G84&lt;SG_Criteria!$B$16)),"FAIL: below PUB min "&amp;SG_Criteria!$B$15&amp;"x"&amp;SG_Criteria!$B$16&amp;" for roadside drain. ","")&amp;IF(AND(D84="Common drain",F84&lt;SG_Criteria!$B$17),"FAIL: common drain W &lt; "&amp;SG_Criteria!$B$17&amp;" mm. ","")&amp;IF(AND(N84&lt;&gt;"",IFERROR(VALUE(MID(N84,2,2)),0)&lt;SG_Criteria!$B$19),"FAIL: grade below C"&amp;SG_Criteria!$B$19&amp;". ","")&amp;IF(AND(O84&lt;&gt;"",O84&lt;SG_Criteria!$B$20),"FAIL: cover &lt; "&amp;SG_Criteria!$B$20&amp;" mm. ","")&amp;IF(AND(E84="Open",G84&gt;SG_Criteria!$B$18),"NOTE: safety railing required (D &gt; "&amp;SG_Criteria!$B$18&amp;" mm). ","")&amp;IF(AND(D84="Entrance culvert",G84&lt;600),"NOTE: check hinged grating rule for culverts &lt; 600 deep (PUB Add. 3). ","")))</f>
        <v/>
      </c>
      <c r="AP84" s="9"/>
      <c r="AQ84" s="9"/>
      <c r="AR84" s="9"/>
      <c r="AS84" s="9"/>
      <c r="AT84" s="9"/>
      <c r="AU84" s="31"/>
      <c r="AV84" s="10" t="str">
        <f aca="false">IF(C84="","",IF(AND(V84="Approved",ISERROR(SEARCH("FAIL",AO84))),"Y","N"))</f>
        <v/>
      </c>
      <c r="AW84" s="10" t="str">
        <f aca="false">IF(C84="","",C84&amp;"|"&amp;F84&amp;"|"&amp;G84&amp;"|"&amp;L84&amp;"|"&amp;AV84)</f>
        <v/>
      </c>
    </row>
    <row r="85" customFormat="false" ht="15" hidden="false" customHeight="false" outlineLevel="0" collapsed="false">
      <c r="A85" s="10" t="str">
        <f aca="false">IF(C85="","","DRN-"&amp;IFERROR(VLOOKUP(C85,Lists!$A$4:$B$27,2,0),"??")&amp;"-"&amp;TEXT(F85,"0000")&amp;"x"&amp;TEXT(G85,"0000")&amp;IF(N(H85)&gt;1,"-"&amp;H85&amp;"C","")&amp;"-"&amp;IFERROR(VLOOKUP(L85,Lists!$J$4:$K$19,2,0),"??")&amp;"-"&amp;U85)</f>
        <v/>
      </c>
      <c r="B85" s="10" t="str">
        <f aca="false">IF(C85="","",C85&amp;" "&amp;F85&amp;"W x "&amp;G85&amp;"D"&amp;IF(N(H85)&gt;1," ("&amp;H85&amp;" cells)","")&amp;", "&amp;D85&amp;", "&amp;L85&amp;", "&amp;E85)</f>
        <v/>
      </c>
      <c r="C85" s="9"/>
      <c r="D85" s="9"/>
      <c r="E85" s="9"/>
      <c r="F85" s="40"/>
      <c r="G85" s="40"/>
      <c r="H85" s="40"/>
      <c r="I85" s="40"/>
      <c r="J85" s="40"/>
      <c r="K85" s="40"/>
      <c r="L85" s="9"/>
      <c r="M85" s="9"/>
      <c r="N85" s="9"/>
      <c r="O85" s="40"/>
      <c r="P85" s="9"/>
      <c r="Q85" s="9"/>
      <c r="R85" s="9"/>
      <c r="S85" s="9"/>
      <c r="T85" s="9"/>
      <c r="U85" s="9"/>
      <c r="V85" s="9"/>
      <c r="W85" s="9"/>
      <c r="X85" s="9"/>
      <c r="Y85" s="9"/>
      <c r="Z85" s="10" t="str">
        <f aca="false">IF(A85="","",SG_Criteria!$B$6&amp;SG_Criteria!$B$7&amp;"\"&amp;A85&amp;"\")</f>
        <v/>
      </c>
      <c r="AA85" s="10" t="str">
        <f aca="false">IF(A85="","",A85&amp;"_CAD.dwg")</f>
        <v/>
      </c>
      <c r="AB85" s="10" t="str">
        <f aca="false">IF(A85="","",A85&amp;"_DWG.pdf")</f>
        <v/>
      </c>
      <c r="AC85" s="10" t="str">
        <f aca="false">IF(A85="","",IF(Y85="Y",A85&amp;"_STAAD.std","n/a"))</f>
        <v/>
      </c>
      <c r="AD85" s="10" t="str">
        <f aca="false">IF(A85="","",A85&amp;"_CALC.xlsx")</f>
        <v/>
      </c>
      <c r="AE85" s="10" t="str">
        <f aca="false">IF(A85="","",A85&amp;"_CALC.pdf")</f>
        <v/>
      </c>
      <c r="AF85" s="9"/>
      <c r="AG85" s="9"/>
      <c r="AH85" s="41"/>
      <c r="AI85" s="41"/>
      <c r="AJ85" s="41"/>
      <c r="AK85" s="41"/>
      <c r="AL85" s="41"/>
      <c r="AM85" s="37" t="str">
        <f aca="false">IF(OR(C85="",F85="",G85="",C85="Sump",C85="Drop Inlet Chamber",C85="Silt Trap",C85="Pipe Culvert",C85="Subsoil Drain"),"",ROUND(MAX(1,N(H85))*(1/SG_Criteria!$B$26)*((F85/1000)*(G85/1000*(1-SG_Criteria!$B$25)))*(((F85/1000)*(G85/1000*(1-SG_Criteria!$B$25)))/((F85/1000)+2*(G85/1000*(1-SG_Criteria!$B$25))))^(2/3)*(1/Design_Selector!$B$11)^0.5,3))</f>
        <v/>
      </c>
      <c r="AN85" s="11" t="str">
        <f aca="false">IF(AM85="","",ROUND(AM85/(MAX(1,N(H85))*F85/1000*(G85/1000*(1-SG_Criteria!$B$25))),2))</f>
        <v/>
      </c>
      <c r="AO85" s="38" t="str">
        <f aca="false">IF(C85="","",IF(LEN(IF(AND(OR(D85="Roadside drain",D85="Entrance culvert"),OR(F85&lt;SG_Criteria!$B$15,G85&lt;SG_Criteria!$B$16)),"FAIL: below PUB min "&amp;SG_Criteria!$B$15&amp;"x"&amp;SG_Criteria!$B$16&amp;" for roadside drain. ","")&amp;IF(AND(D85="Common drain",F85&lt;SG_Criteria!$B$17),"FAIL: common drain W &lt; "&amp;SG_Criteria!$B$17&amp;" mm. ","")&amp;IF(AND(N85&lt;&gt;"",IFERROR(VALUE(MID(N85,2,2)),0)&lt;SG_Criteria!$B$19),"FAIL: grade below C"&amp;SG_Criteria!$B$19&amp;". ","")&amp;IF(AND(O85&lt;&gt;"",O85&lt;SG_Criteria!$B$20),"FAIL: cover &lt; "&amp;SG_Criteria!$B$20&amp;" mm. ","")&amp;IF(AND(E85="Open",G85&gt;SG_Criteria!$B$18),"NOTE: safety railing required (D &gt; "&amp;SG_Criteria!$B$18&amp;" mm). ","")&amp;IF(AND(D85="Entrance culvert",G85&lt;600),"NOTE: check hinged grating rule for culverts &lt; 600 deep (PUB Add. 3). ",""))=0,"OK",IF(AND(OR(D85="Roadside drain",D85="Entrance culvert"),OR(F85&lt;SG_Criteria!$B$15,G85&lt;SG_Criteria!$B$16)),"FAIL: below PUB min "&amp;SG_Criteria!$B$15&amp;"x"&amp;SG_Criteria!$B$16&amp;" for roadside drain. ","")&amp;IF(AND(D85="Common drain",F85&lt;SG_Criteria!$B$17),"FAIL: common drain W &lt; "&amp;SG_Criteria!$B$17&amp;" mm. ","")&amp;IF(AND(N85&lt;&gt;"",IFERROR(VALUE(MID(N85,2,2)),0)&lt;SG_Criteria!$B$19),"FAIL: grade below C"&amp;SG_Criteria!$B$19&amp;". ","")&amp;IF(AND(O85&lt;&gt;"",O85&lt;SG_Criteria!$B$20),"FAIL: cover &lt; "&amp;SG_Criteria!$B$20&amp;" mm. ","")&amp;IF(AND(E85="Open",G85&gt;SG_Criteria!$B$18),"NOTE: safety railing required (D &gt; "&amp;SG_Criteria!$B$18&amp;" mm). ","")&amp;IF(AND(D85="Entrance culvert",G85&lt;600),"NOTE: check hinged grating rule for culverts &lt; 600 deep (PUB Add. 3). ","")))</f>
        <v/>
      </c>
      <c r="AP85" s="9"/>
      <c r="AQ85" s="9"/>
      <c r="AR85" s="9"/>
      <c r="AS85" s="9"/>
      <c r="AT85" s="9"/>
      <c r="AU85" s="31"/>
      <c r="AV85" s="10" t="str">
        <f aca="false">IF(C85="","",IF(AND(V85="Approved",ISERROR(SEARCH("FAIL",AO85))),"Y","N"))</f>
        <v/>
      </c>
      <c r="AW85" s="10" t="str">
        <f aca="false">IF(C85="","",C85&amp;"|"&amp;F85&amp;"|"&amp;G85&amp;"|"&amp;L85&amp;"|"&amp;AV85)</f>
        <v/>
      </c>
    </row>
    <row r="86" customFormat="false" ht="15" hidden="false" customHeight="false" outlineLevel="0" collapsed="false">
      <c r="A86" s="10" t="str">
        <f aca="false">IF(C86="","","DRN-"&amp;IFERROR(VLOOKUP(C86,Lists!$A$4:$B$27,2,0),"??")&amp;"-"&amp;TEXT(F86,"0000")&amp;"x"&amp;TEXT(G86,"0000")&amp;IF(N(H86)&gt;1,"-"&amp;H86&amp;"C","")&amp;"-"&amp;IFERROR(VLOOKUP(L86,Lists!$J$4:$K$19,2,0),"??")&amp;"-"&amp;U86)</f>
        <v/>
      </c>
      <c r="B86" s="10" t="str">
        <f aca="false">IF(C86="","",C86&amp;" "&amp;F86&amp;"W x "&amp;G86&amp;"D"&amp;IF(N(H86)&gt;1," ("&amp;H86&amp;" cells)","")&amp;", "&amp;D86&amp;", "&amp;L86&amp;", "&amp;E86)</f>
        <v/>
      </c>
      <c r="C86" s="9"/>
      <c r="D86" s="9"/>
      <c r="E86" s="9"/>
      <c r="F86" s="40"/>
      <c r="G86" s="40"/>
      <c r="H86" s="40"/>
      <c r="I86" s="40"/>
      <c r="J86" s="40"/>
      <c r="K86" s="40"/>
      <c r="L86" s="9"/>
      <c r="M86" s="9"/>
      <c r="N86" s="9"/>
      <c r="O86" s="40"/>
      <c r="P86" s="9"/>
      <c r="Q86" s="9"/>
      <c r="R86" s="9"/>
      <c r="S86" s="9"/>
      <c r="T86" s="9"/>
      <c r="U86" s="9"/>
      <c r="V86" s="9"/>
      <c r="W86" s="9"/>
      <c r="X86" s="9"/>
      <c r="Y86" s="9"/>
      <c r="Z86" s="10" t="str">
        <f aca="false">IF(A86="","",SG_Criteria!$B$6&amp;SG_Criteria!$B$7&amp;"\"&amp;A86&amp;"\")</f>
        <v/>
      </c>
      <c r="AA86" s="10" t="str">
        <f aca="false">IF(A86="","",A86&amp;"_CAD.dwg")</f>
        <v/>
      </c>
      <c r="AB86" s="10" t="str">
        <f aca="false">IF(A86="","",A86&amp;"_DWG.pdf")</f>
        <v/>
      </c>
      <c r="AC86" s="10" t="str">
        <f aca="false">IF(A86="","",IF(Y86="Y",A86&amp;"_STAAD.std","n/a"))</f>
        <v/>
      </c>
      <c r="AD86" s="10" t="str">
        <f aca="false">IF(A86="","",A86&amp;"_CALC.xlsx")</f>
        <v/>
      </c>
      <c r="AE86" s="10" t="str">
        <f aca="false">IF(A86="","",A86&amp;"_CALC.pdf")</f>
        <v/>
      </c>
      <c r="AF86" s="9"/>
      <c r="AG86" s="9"/>
      <c r="AH86" s="41"/>
      <c r="AI86" s="41"/>
      <c r="AJ86" s="41"/>
      <c r="AK86" s="41"/>
      <c r="AL86" s="41"/>
      <c r="AM86" s="37" t="str">
        <f aca="false">IF(OR(C86="",F86="",G86="",C86="Sump",C86="Drop Inlet Chamber",C86="Silt Trap",C86="Pipe Culvert",C86="Subsoil Drain"),"",ROUND(MAX(1,N(H86))*(1/SG_Criteria!$B$26)*((F86/1000)*(G86/1000*(1-SG_Criteria!$B$25)))*(((F86/1000)*(G86/1000*(1-SG_Criteria!$B$25)))/((F86/1000)+2*(G86/1000*(1-SG_Criteria!$B$25))))^(2/3)*(1/Design_Selector!$B$11)^0.5,3))</f>
        <v/>
      </c>
      <c r="AN86" s="11" t="str">
        <f aca="false">IF(AM86="","",ROUND(AM86/(MAX(1,N(H86))*F86/1000*(G86/1000*(1-SG_Criteria!$B$25))),2))</f>
        <v/>
      </c>
      <c r="AO86" s="38" t="str">
        <f aca="false">IF(C86="","",IF(LEN(IF(AND(OR(D86="Roadside drain",D86="Entrance culvert"),OR(F86&lt;SG_Criteria!$B$15,G86&lt;SG_Criteria!$B$16)),"FAIL: below PUB min "&amp;SG_Criteria!$B$15&amp;"x"&amp;SG_Criteria!$B$16&amp;" for roadside drain. ","")&amp;IF(AND(D86="Common drain",F86&lt;SG_Criteria!$B$17),"FAIL: common drain W &lt; "&amp;SG_Criteria!$B$17&amp;" mm. ","")&amp;IF(AND(N86&lt;&gt;"",IFERROR(VALUE(MID(N86,2,2)),0)&lt;SG_Criteria!$B$19),"FAIL: grade below C"&amp;SG_Criteria!$B$19&amp;". ","")&amp;IF(AND(O86&lt;&gt;"",O86&lt;SG_Criteria!$B$20),"FAIL: cover &lt; "&amp;SG_Criteria!$B$20&amp;" mm. ","")&amp;IF(AND(E86="Open",G86&gt;SG_Criteria!$B$18),"NOTE: safety railing required (D &gt; "&amp;SG_Criteria!$B$18&amp;" mm). ","")&amp;IF(AND(D86="Entrance culvert",G86&lt;600),"NOTE: check hinged grating rule for culverts &lt; 600 deep (PUB Add. 3). ",""))=0,"OK",IF(AND(OR(D86="Roadside drain",D86="Entrance culvert"),OR(F86&lt;SG_Criteria!$B$15,G86&lt;SG_Criteria!$B$16)),"FAIL: below PUB min "&amp;SG_Criteria!$B$15&amp;"x"&amp;SG_Criteria!$B$16&amp;" for roadside drain. ","")&amp;IF(AND(D86="Common drain",F86&lt;SG_Criteria!$B$17),"FAIL: common drain W &lt; "&amp;SG_Criteria!$B$17&amp;" mm. ","")&amp;IF(AND(N86&lt;&gt;"",IFERROR(VALUE(MID(N86,2,2)),0)&lt;SG_Criteria!$B$19),"FAIL: grade below C"&amp;SG_Criteria!$B$19&amp;". ","")&amp;IF(AND(O86&lt;&gt;"",O86&lt;SG_Criteria!$B$20),"FAIL: cover &lt; "&amp;SG_Criteria!$B$20&amp;" mm. ","")&amp;IF(AND(E86="Open",G86&gt;SG_Criteria!$B$18),"NOTE: safety railing required (D &gt; "&amp;SG_Criteria!$B$18&amp;" mm). ","")&amp;IF(AND(D86="Entrance culvert",G86&lt;600),"NOTE: check hinged grating rule for culverts &lt; 600 deep (PUB Add. 3). ","")))</f>
        <v/>
      </c>
      <c r="AP86" s="9"/>
      <c r="AQ86" s="9"/>
      <c r="AR86" s="9"/>
      <c r="AS86" s="9"/>
      <c r="AT86" s="9"/>
      <c r="AU86" s="31"/>
      <c r="AV86" s="10" t="str">
        <f aca="false">IF(C86="","",IF(AND(V86="Approved",ISERROR(SEARCH("FAIL",AO86))),"Y","N"))</f>
        <v/>
      </c>
      <c r="AW86" s="10" t="str">
        <f aca="false">IF(C86="","",C86&amp;"|"&amp;F86&amp;"|"&amp;G86&amp;"|"&amp;L86&amp;"|"&amp;AV86)</f>
        <v/>
      </c>
    </row>
    <row r="87" customFormat="false" ht="15" hidden="false" customHeight="false" outlineLevel="0" collapsed="false">
      <c r="A87" s="10" t="str">
        <f aca="false">IF(C87="","","DRN-"&amp;IFERROR(VLOOKUP(C87,Lists!$A$4:$B$27,2,0),"??")&amp;"-"&amp;TEXT(F87,"0000")&amp;"x"&amp;TEXT(G87,"0000")&amp;IF(N(H87)&gt;1,"-"&amp;H87&amp;"C","")&amp;"-"&amp;IFERROR(VLOOKUP(L87,Lists!$J$4:$K$19,2,0),"??")&amp;"-"&amp;U87)</f>
        <v/>
      </c>
      <c r="B87" s="10" t="str">
        <f aca="false">IF(C87="","",C87&amp;" "&amp;F87&amp;"W x "&amp;G87&amp;"D"&amp;IF(N(H87)&gt;1," ("&amp;H87&amp;" cells)","")&amp;", "&amp;D87&amp;", "&amp;L87&amp;", "&amp;E87)</f>
        <v/>
      </c>
      <c r="C87" s="9"/>
      <c r="D87" s="9"/>
      <c r="E87" s="9"/>
      <c r="F87" s="40"/>
      <c r="G87" s="40"/>
      <c r="H87" s="40"/>
      <c r="I87" s="40"/>
      <c r="J87" s="40"/>
      <c r="K87" s="40"/>
      <c r="L87" s="9"/>
      <c r="M87" s="9"/>
      <c r="N87" s="9"/>
      <c r="O87" s="40"/>
      <c r="P87" s="9"/>
      <c r="Q87" s="9"/>
      <c r="R87" s="9"/>
      <c r="S87" s="9"/>
      <c r="T87" s="9"/>
      <c r="U87" s="9"/>
      <c r="V87" s="9"/>
      <c r="W87" s="9"/>
      <c r="X87" s="9"/>
      <c r="Y87" s="9"/>
      <c r="Z87" s="10" t="str">
        <f aca="false">IF(A87="","",SG_Criteria!$B$6&amp;SG_Criteria!$B$7&amp;"\"&amp;A87&amp;"\")</f>
        <v/>
      </c>
      <c r="AA87" s="10" t="str">
        <f aca="false">IF(A87="","",A87&amp;"_CAD.dwg")</f>
        <v/>
      </c>
      <c r="AB87" s="10" t="str">
        <f aca="false">IF(A87="","",A87&amp;"_DWG.pdf")</f>
        <v/>
      </c>
      <c r="AC87" s="10" t="str">
        <f aca="false">IF(A87="","",IF(Y87="Y",A87&amp;"_STAAD.std","n/a"))</f>
        <v/>
      </c>
      <c r="AD87" s="10" t="str">
        <f aca="false">IF(A87="","",A87&amp;"_CALC.xlsx")</f>
        <v/>
      </c>
      <c r="AE87" s="10" t="str">
        <f aca="false">IF(A87="","",A87&amp;"_CALC.pdf")</f>
        <v/>
      </c>
      <c r="AF87" s="9"/>
      <c r="AG87" s="9"/>
      <c r="AH87" s="41"/>
      <c r="AI87" s="41"/>
      <c r="AJ87" s="41"/>
      <c r="AK87" s="41"/>
      <c r="AL87" s="41"/>
      <c r="AM87" s="37" t="str">
        <f aca="false">IF(OR(C87="",F87="",G87="",C87="Sump",C87="Drop Inlet Chamber",C87="Silt Trap",C87="Pipe Culvert",C87="Subsoil Drain"),"",ROUND(MAX(1,N(H87))*(1/SG_Criteria!$B$26)*((F87/1000)*(G87/1000*(1-SG_Criteria!$B$25)))*(((F87/1000)*(G87/1000*(1-SG_Criteria!$B$25)))/((F87/1000)+2*(G87/1000*(1-SG_Criteria!$B$25))))^(2/3)*(1/Design_Selector!$B$11)^0.5,3))</f>
        <v/>
      </c>
      <c r="AN87" s="11" t="str">
        <f aca="false">IF(AM87="","",ROUND(AM87/(MAX(1,N(H87))*F87/1000*(G87/1000*(1-SG_Criteria!$B$25))),2))</f>
        <v/>
      </c>
      <c r="AO87" s="38" t="str">
        <f aca="false">IF(C87="","",IF(LEN(IF(AND(OR(D87="Roadside drain",D87="Entrance culvert"),OR(F87&lt;SG_Criteria!$B$15,G87&lt;SG_Criteria!$B$16)),"FAIL: below PUB min "&amp;SG_Criteria!$B$15&amp;"x"&amp;SG_Criteria!$B$16&amp;" for roadside drain. ","")&amp;IF(AND(D87="Common drain",F87&lt;SG_Criteria!$B$17),"FAIL: common drain W &lt; "&amp;SG_Criteria!$B$17&amp;" mm. ","")&amp;IF(AND(N87&lt;&gt;"",IFERROR(VALUE(MID(N87,2,2)),0)&lt;SG_Criteria!$B$19),"FAIL: grade below C"&amp;SG_Criteria!$B$19&amp;". ","")&amp;IF(AND(O87&lt;&gt;"",O87&lt;SG_Criteria!$B$20),"FAIL: cover &lt; "&amp;SG_Criteria!$B$20&amp;" mm. ","")&amp;IF(AND(E87="Open",G87&gt;SG_Criteria!$B$18),"NOTE: safety railing required (D &gt; "&amp;SG_Criteria!$B$18&amp;" mm). ","")&amp;IF(AND(D87="Entrance culvert",G87&lt;600),"NOTE: check hinged grating rule for culverts &lt; 600 deep (PUB Add. 3). ",""))=0,"OK",IF(AND(OR(D87="Roadside drain",D87="Entrance culvert"),OR(F87&lt;SG_Criteria!$B$15,G87&lt;SG_Criteria!$B$16)),"FAIL: below PUB min "&amp;SG_Criteria!$B$15&amp;"x"&amp;SG_Criteria!$B$16&amp;" for roadside drain. ","")&amp;IF(AND(D87="Common drain",F87&lt;SG_Criteria!$B$17),"FAIL: common drain W &lt; "&amp;SG_Criteria!$B$17&amp;" mm. ","")&amp;IF(AND(N87&lt;&gt;"",IFERROR(VALUE(MID(N87,2,2)),0)&lt;SG_Criteria!$B$19),"FAIL: grade below C"&amp;SG_Criteria!$B$19&amp;". ","")&amp;IF(AND(O87&lt;&gt;"",O87&lt;SG_Criteria!$B$20),"FAIL: cover &lt; "&amp;SG_Criteria!$B$20&amp;" mm. ","")&amp;IF(AND(E87="Open",G87&gt;SG_Criteria!$B$18),"NOTE: safety railing required (D &gt; "&amp;SG_Criteria!$B$18&amp;" mm). ","")&amp;IF(AND(D87="Entrance culvert",G87&lt;600),"NOTE: check hinged grating rule for culverts &lt; 600 deep (PUB Add. 3). ","")))</f>
        <v/>
      </c>
      <c r="AP87" s="9"/>
      <c r="AQ87" s="9"/>
      <c r="AR87" s="9"/>
      <c r="AS87" s="9"/>
      <c r="AT87" s="9"/>
      <c r="AU87" s="31"/>
      <c r="AV87" s="10" t="str">
        <f aca="false">IF(C87="","",IF(AND(V87="Approved",ISERROR(SEARCH("FAIL",AO87))),"Y","N"))</f>
        <v/>
      </c>
      <c r="AW87" s="10" t="str">
        <f aca="false">IF(C87="","",C87&amp;"|"&amp;F87&amp;"|"&amp;G87&amp;"|"&amp;L87&amp;"|"&amp;AV87)</f>
        <v/>
      </c>
    </row>
    <row r="88" customFormat="false" ht="15" hidden="false" customHeight="false" outlineLevel="0" collapsed="false">
      <c r="A88" s="10" t="str">
        <f aca="false">IF(C88="","","DRN-"&amp;IFERROR(VLOOKUP(C88,Lists!$A$4:$B$27,2,0),"??")&amp;"-"&amp;TEXT(F88,"0000")&amp;"x"&amp;TEXT(G88,"0000")&amp;IF(N(H88)&gt;1,"-"&amp;H88&amp;"C","")&amp;"-"&amp;IFERROR(VLOOKUP(L88,Lists!$J$4:$K$19,2,0),"??")&amp;"-"&amp;U88)</f>
        <v/>
      </c>
      <c r="B88" s="10" t="str">
        <f aca="false">IF(C88="","",C88&amp;" "&amp;F88&amp;"W x "&amp;G88&amp;"D"&amp;IF(N(H88)&gt;1," ("&amp;H88&amp;" cells)","")&amp;", "&amp;D88&amp;", "&amp;L88&amp;", "&amp;E88)</f>
        <v/>
      </c>
      <c r="C88" s="9"/>
      <c r="D88" s="9"/>
      <c r="E88" s="9"/>
      <c r="F88" s="40"/>
      <c r="G88" s="40"/>
      <c r="H88" s="40"/>
      <c r="I88" s="40"/>
      <c r="J88" s="40"/>
      <c r="K88" s="40"/>
      <c r="L88" s="9"/>
      <c r="M88" s="9"/>
      <c r="N88" s="9"/>
      <c r="O88" s="40"/>
      <c r="P88" s="9"/>
      <c r="Q88" s="9"/>
      <c r="R88" s="9"/>
      <c r="S88" s="9"/>
      <c r="T88" s="9"/>
      <c r="U88" s="9"/>
      <c r="V88" s="9"/>
      <c r="W88" s="9"/>
      <c r="X88" s="9"/>
      <c r="Y88" s="9"/>
      <c r="Z88" s="10" t="str">
        <f aca="false">IF(A88="","",SG_Criteria!$B$6&amp;SG_Criteria!$B$7&amp;"\"&amp;A88&amp;"\")</f>
        <v/>
      </c>
      <c r="AA88" s="10" t="str">
        <f aca="false">IF(A88="","",A88&amp;"_CAD.dwg")</f>
        <v/>
      </c>
      <c r="AB88" s="10" t="str">
        <f aca="false">IF(A88="","",A88&amp;"_DWG.pdf")</f>
        <v/>
      </c>
      <c r="AC88" s="10" t="str">
        <f aca="false">IF(A88="","",IF(Y88="Y",A88&amp;"_STAAD.std","n/a"))</f>
        <v/>
      </c>
      <c r="AD88" s="10" t="str">
        <f aca="false">IF(A88="","",A88&amp;"_CALC.xlsx")</f>
        <v/>
      </c>
      <c r="AE88" s="10" t="str">
        <f aca="false">IF(A88="","",A88&amp;"_CALC.pdf")</f>
        <v/>
      </c>
      <c r="AF88" s="9"/>
      <c r="AG88" s="9"/>
      <c r="AH88" s="41"/>
      <c r="AI88" s="41"/>
      <c r="AJ88" s="41"/>
      <c r="AK88" s="41"/>
      <c r="AL88" s="41"/>
      <c r="AM88" s="37" t="str">
        <f aca="false">IF(OR(C88="",F88="",G88="",C88="Sump",C88="Drop Inlet Chamber",C88="Silt Trap",C88="Pipe Culvert",C88="Subsoil Drain"),"",ROUND(MAX(1,N(H88))*(1/SG_Criteria!$B$26)*((F88/1000)*(G88/1000*(1-SG_Criteria!$B$25)))*(((F88/1000)*(G88/1000*(1-SG_Criteria!$B$25)))/((F88/1000)+2*(G88/1000*(1-SG_Criteria!$B$25))))^(2/3)*(1/Design_Selector!$B$11)^0.5,3))</f>
        <v/>
      </c>
      <c r="AN88" s="11" t="str">
        <f aca="false">IF(AM88="","",ROUND(AM88/(MAX(1,N(H88))*F88/1000*(G88/1000*(1-SG_Criteria!$B$25))),2))</f>
        <v/>
      </c>
      <c r="AO88" s="38" t="str">
        <f aca="false">IF(C88="","",IF(LEN(IF(AND(OR(D88="Roadside drain",D88="Entrance culvert"),OR(F88&lt;SG_Criteria!$B$15,G88&lt;SG_Criteria!$B$16)),"FAIL: below PUB min "&amp;SG_Criteria!$B$15&amp;"x"&amp;SG_Criteria!$B$16&amp;" for roadside drain. ","")&amp;IF(AND(D88="Common drain",F88&lt;SG_Criteria!$B$17),"FAIL: common drain W &lt; "&amp;SG_Criteria!$B$17&amp;" mm. ","")&amp;IF(AND(N88&lt;&gt;"",IFERROR(VALUE(MID(N88,2,2)),0)&lt;SG_Criteria!$B$19),"FAIL: grade below C"&amp;SG_Criteria!$B$19&amp;". ","")&amp;IF(AND(O88&lt;&gt;"",O88&lt;SG_Criteria!$B$20),"FAIL: cover &lt; "&amp;SG_Criteria!$B$20&amp;" mm. ","")&amp;IF(AND(E88="Open",G88&gt;SG_Criteria!$B$18),"NOTE: safety railing required (D &gt; "&amp;SG_Criteria!$B$18&amp;" mm). ","")&amp;IF(AND(D88="Entrance culvert",G88&lt;600),"NOTE: check hinged grating rule for culverts &lt; 600 deep (PUB Add. 3). ",""))=0,"OK",IF(AND(OR(D88="Roadside drain",D88="Entrance culvert"),OR(F88&lt;SG_Criteria!$B$15,G88&lt;SG_Criteria!$B$16)),"FAIL: below PUB min "&amp;SG_Criteria!$B$15&amp;"x"&amp;SG_Criteria!$B$16&amp;" for roadside drain. ","")&amp;IF(AND(D88="Common drain",F88&lt;SG_Criteria!$B$17),"FAIL: common drain W &lt; "&amp;SG_Criteria!$B$17&amp;" mm. ","")&amp;IF(AND(N88&lt;&gt;"",IFERROR(VALUE(MID(N88,2,2)),0)&lt;SG_Criteria!$B$19),"FAIL: grade below C"&amp;SG_Criteria!$B$19&amp;". ","")&amp;IF(AND(O88&lt;&gt;"",O88&lt;SG_Criteria!$B$20),"FAIL: cover &lt; "&amp;SG_Criteria!$B$20&amp;" mm. ","")&amp;IF(AND(E88="Open",G88&gt;SG_Criteria!$B$18),"NOTE: safety railing required (D &gt; "&amp;SG_Criteria!$B$18&amp;" mm). ","")&amp;IF(AND(D88="Entrance culvert",G88&lt;600),"NOTE: check hinged grating rule for culverts &lt; 600 deep (PUB Add. 3). ","")))</f>
        <v/>
      </c>
      <c r="AP88" s="9"/>
      <c r="AQ88" s="9"/>
      <c r="AR88" s="9"/>
      <c r="AS88" s="9"/>
      <c r="AT88" s="9"/>
      <c r="AU88" s="31"/>
      <c r="AV88" s="10" t="str">
        <f aca="false">IF(C88="","",IF(AND(V88="Approved",ISERROR(SEARCH("FAIL",AO88))),"Y","N"))</f>
        <v/>
      </c>
      <c r="AW88" s="10" t="str">
        <f aca="false">IF(C88="","",C88&amp;"|"&amp;F88&amp;"|"&amp;G88&amp;"|"&amp;L88&amp;"|"&amp;AV88)</f>
        <v/>
      </c>
    </row>
    <row r="89" customFormat="false" ht="15" hidden="false" customHeight="false" outlineLevel="0" collapsed="false">
      <c r="A89" s="10" t="str">
        <f aca="false">IF(C89="","","DRN-"&amp;IFERROR(VLOOKUP(C89,Lists!$A$4:$B$27,2,0),"??")&amp;"-"&amp;TEXT(F89,"0000")&amp;"x"&amp;TEXT(G89,"0000")&amp;IF(N(H89)&gt;1,"-"&amp;H89&amp;"C","")&amp;"-"&amp;IFERROR(VLOOKUP(L89,Lists!$J$4:$K$19,2,0),"??")&amp;"-"&amp;U89)</f>
        <v/>
      </c>
      <c r="B89" s="10" t="str">
        <f aca="false">IF(C89="","",C89&amp;" "&amp;F89&amp;"W x "&amp;G89&amp;"D"&amp;IF(N(H89)&gt;1," ("&amp;H89&amp;" cells)","")&amp;", "&amp;D89&amp;", "&amp;L89&amp;", "&amp;E89)</f>
        <v/>
      </c>
      <c r="C89" s="9"/>
      <c r="D89" s="9"/>
      <c r="E89" s="9"/>
      <c r="F89" s="40"/>
      <c r="G89" s="40"/>
      <c r="H89" s="40"/>
      <c r="I89" s="40"/>
      <c r="J89" s="40"/>
      <c r="K89" s="40"/>
      <c r="L89" s="9"/>
      <c r="M89" s="9"/>
      <c r="N89" s="9"/>
      <c r="O89" s="40"/>
      <c r="P89" s="9"/>
      <c r="Q89" s="9"/>
      <c r="R89" s="9"/>
      <c r="S89" s="9"/>
      <c r="T89" s="9"/>
      <c r="U89" s="9"/>
      <c r="V89" s="9"/>
      <c r="W89" s="9"/>
      <c r="X89" s="9"/>
      <c r="Y89" s="9"/>
      <c r="Z89" s="10" t="str">
        <f aca="false">IF(A89="","",SG_Criteria!$B$6&amp;SG_Criteria!$B$7&amp;"\"&amp;A89&amp;"\")</f>
        <v/>
      </c>
      <c r="AA89" s="10" t="str">
        <f aca="false">IF(A89="","",A89&amp;"_CAD.dwg")</f>
        <v/>
      </c>
      <c r="AB89" s="10" t="str">
        <f aca="false">IF(A89="","",A89&amp;"_DWG.pdf")</f>
        <v/>
      </c>
      <c r="AC89" s="10" t="str">
        <f aca="false">IF(A89="","",IF(Y89="Y",A89&amp;"_STAAD.std","n/a"))</f>
        <v/>
      </c>
      <c r="AD89" s="10" t="str">
        <f aca="false">IF(A89="","",A89&amp;"_CALC.xlsx")</f>
        <v/>
      </c>
      <c r="AE89" s="10" t="str">
        <f aca="false">IF(A89="","",A89&amp;"_CALC.pdf")</f>
        <v/>
      </c>
      <c r="AF89" s="9"/>
      <c r="AG89" s="9"/>
      <c r="AH89" s="41"/>
      <c r="AI89" s="41"/>
      <c r="AJ89" s="41"/>
      <c r="AK89" s="41"/>
      <c r="AL89" s="41"/>
      <c r="AM89" s="37" t="str">
        <f aca="false">IF(OR(C89="",F89="",G89="",C89="Sump",C89="Drop Inlet Chamber",C89="Silt Trap",C89="Pipe Culvert",C89="Subsoil Drain"),"",ROUND(MAX(1,N(H89))*(1/SG_Criteria!$B$26)*((F89/1000)*(G89/1000*(1-SG_Criteria!$B$25)))*(((F89/1000)*(G89/1000*(1-SG_Criteria!$B$25)))/((F89/1000)+2*(G89/1000*(1-SG_Criteria!$B$25))))^(2/3)*(1/Design_Selector!$B$11)^0.5,3))</f>
        <v/>
      </c>
      <c r="AN89" s="11" t="str">
        <f aca="false">IF(AM89="","",ROUND(AM89/(MAX(1,N(H89))*F89/1000*(G89/1000*(1-SG_Criteria!$B$25))),2))</f>
        <v/>
      </c>
      <c r="AO89" s="38" t="str">
        <f aca="false">IF(C89="","",IF(LEN(IF(AND(OR(D89="Roadside drain",D89="Entrance culvert"),OR(F89&lt;SG_Criteria!$B$15,G89&lt;SG_Criteria!$B$16)),"FAIL: below PUB min "&amp;SG_Criteria!$B$15&amp;"x"&amp;SG_Criteria!$B$16&amp;" for roadside drain. ","")&amp;IF(AND(D89="Common drain",F89&lt;SG_Criteria!$B$17),"FAIL: common drain W &lt; "&amp;SG_Criteria!$B$17&amp;" mm. ","")&amp;IF(AND(N89&lt;&gt;"",IFERROR(VALUE(MID(N89,2,2)),0)&lt;SG_Criteria!$B$19),"FAIL: grade below C"&amp;SG_Criteria!$B$19&amp;". ","")&amp;IF(AND(O89&lt;&gt;"",O89&lt;SG_Criteria!$B$20),"FAIL: cover &lt; "&amp;SG_Criteria!$B$20&amp;" mm. ","")&amp;IF(AND(E89="Open",G89&gt;SG_Criteria!$B$18),"NOTE: safety railing required (D &gt; "&amp;SG_Criteria!$B$18&amp;" mm). ","")&amp;IF(AND(D89="Entrance culvert",G89&lt;600),"NOTE: check hinged grating rule for culverts &lt; 600 deep (PUB Add. 3). ",""))=0,"OK",IF(AND(OR(D89="Roadside drain",D89="Entrance culvert"),OR(F89&lt;SG_Criteria!$B$15,G89&lt;SG_Criteria!$B$16)),"FAIL: below PUB min "&amp;SG_Criteria!$B$15&amp;"x"&amp;SG_Criteria!$B$16&amp;" for roadside drain. ","")&amp;IF(AND(D89="Common drain",F89&lt;SG_Criteria!$B$17),"FAIL: common drain W &lt; "&amp;SG_Criteria!$B$17&amp;" mm. ","")&amp;IF(AND(N89&lt;&gt;"",IFERROR(VALUE(MID(N89,2,2)),0)&lt;SG_Criteria!$B$19),"FAIL: grade below C"&amp;SG_Criteria!$B$19&amp;". ","")&amp;IF(AND(O89&lt;&gt;"",O89&lt;SG_Criteria!$B$20),"FAIL: cover &lt; "&amp;SG_Criteria!$B$20&amp;" mm. ","")&amp;IF(AND(E89="Open",G89&gt;SG_Criteria!$B$18),"NOTE: safety railing required (D &gt; "&amp;SG_Criteria!$B$18&amp;" mm). ","")&amp;IF(AND(D89="Entrance culvert",G89&lt;600),"NOTE: check hinged grating rule for culverts &lt; 600 deep (PUB Add. 3). ","")))</f>
        <v/>
      </c>
      <c r="AP89" s="9"/>
      <c r="AQ89" s="9"/>
      <c r="AR89" s="9"/>
      <c r="AS89" s="9"/>
      <c r="AT89" s="9"/>
      <c r="AU89" s="31"/>
      <c r="AV89" s="10" t="str">
        <f aca="false">IF(C89="","",IF(AND(V89="Approved",ISERROR(SEARCH("FAIL",AO89))),"Y","N"))</f>
        <v/>
      </c>
      <c r="AW89" s="10" t="str">
        <f aca="false">IF(C89="","",C89&amp;"|"&amp;F89&amp;"|"&amp;G89&amp;"|"&amp;L89&amp;"|"&amp;AV89)</f>
        <v/>
      </c>
    </row>
    <row r="90" customFormat="false" ht="15" hidden="false" customHeight="false" outlineLevel="0" collapsed="false">
      <c r="A90" s="10" t="str">
        <f aca="false">IF(C90="","","DRN-"&amp;IFERROR(VLOOKUP(C90,Lists!$A$4:$B$27,2,0),"??")&amp;"-"&amp;TEXT(F90,"0000")&amp;"x"&amp;TEXT(G90,"0000")&amp;IF(N(H90)&gt;1,"-"&amp;H90&amp;"C","")&amp;"-"&amp;IFERROR(VLOOKUP(L90,Lists!$J$4:$K$19,2,0),"??")&amp;"-"&amp;U90)</f>
        <v/>
      </c>
      <c r="B90" s="10" t="str">
        <f aca="false">IF(C90="","",C90&amp;" "&amp;F90&amp;"W x "&amp;G90&amp;"D"&amp;IF(N(H90)&gt;1," ("&amp;H90&amp;" cells)","")&amp;", "&amp;D90&amp;", "&amp;L90&amp;", "&amp;E90)</f>
        <v/>
      </c>
      <c r="C90" s="9"/>
      <c r="D90" s="9"/>
      <c r="E90" s="9"/>
      <c r="F90" s="40"/>
      <c r="G90" s="40"/>
      <c r="H90" s="40"/>
      <c r="I90" s="40"/>
      <c r="J90" s="40"/>
      <c r="K90" s="40"/>
      <c r="L90" s="9"/>
      <c r="M90" s="9"/>
      <c r="N90" s="9"/>
      <c r="O90" s="40"/>
      <c r="P90" s="9"/>
      <c r="Q90" s="9"/>
      <c r="R90" s="9"/>
      <c r="S90" s="9"/>
      <c r="T90" s="9"/>
      <c r="U90" s="9"/>
      <c r="V90" s="9"/>
      <c r="W90" s="9"/>
      <c r="X90" s="9"/>
      <c r="Y90" s="9"/>
      <c r="Z90" s="10" t="str">
        <f aca="false">IF(A90="","",SG_Criteria!$B$6&amp;SG_Criteria!$B$7&amp;"\"&amp;A90&amp;"\")</f>
        <v/>
      </c>
      <c r="AA90" s="10" t="str">
        <f aca="false">IF(A90="","",A90&amp;"_CAD.dwg")</f>
        <v/>
      </c>
      <c r="AB90" s="10" t="str">
        <f aca="false">IF(A90="","",A90&amp;"_DWG.pdf")</f>
        <v/>
      </c>
      <c r="AC90" s="10" t="str">
        <f aca="false">IF(A90="","",IF(Y90="Y",A90&amp;"_STAAD.std","n/a"))</f>
        <v/>
      </c>
      <c r="AD90" s="10" t="str">
        <f aca="false">IF(A90="","",A90&amp;"_CALC.xlsx")</f>
        <v/>
      </c>
      <c r="AE90" s="10" t="str">
        <f aca="false">IF(A90="","",A90&amp;"_CALC.pdf")</f>
        <v/>
      </c>
      <c r="AF90" s="9"/>
      <c r="AG90" s="9"/>
      <c r="AH90" s="41"/>
      <c r="AI90" s="41"/>
      <c r="AJ90" s="41"/>
      <c r="AK90" s="41"/>
      <c r="AL90" s="41"/>
      <c r="AM90" s="37" t="str">
        <f aca="false">IF(OR(C90="",F90="",G90="",C90="Sump",C90="Drop Inlet Chamber",C90="Silt Trap",C90="Pipe Culvert",C90="Subsoil Drain"),"",ROUND(MAX(1,N(H90))*(1/SG_Criteria!$B$26)*((F90/1000)*(G90/1000*(1-SG_Criteria!$B$25)))*(((F90/1000)*(G90/1000*(1-SG_Criteria!$B$25)))/((F90/1000)+2*(G90/1000*(1-SG_Criteria!$B$25))))^(2/3)*(1/Design_Selector!$B$11)^0.5,3))</f>
        <v/>
      </c>
      <c r="AN90" s="11" t="str">
        <f aca="false">IF(AM90="","",ROUND(AM90/(MAX(1,N(H90))*F90/1000*(G90/1000*(1-SG_Criteria!$B$25))),2))</f>
        <v/>
      </c>
      <c r="AO90" s="38" t="str">
        <f aca="false">IF(C90="","",IF(LEN(IF(AND(OR(D90="Roadside drain",D90="Entrance culvert"),OR(F90&lt;SG_Criteria!$B$15,G90&lt;SG_Criteria!$B$16)),"FAIL: below PUB min "&amp;SG_Criteria!$B$15&amp;"x"&amp;SG_Criteria!$B$16&amp;" for roadside drain. ","")&amp;IF(AND(D90="Common drain",F90&lt;SG_Criteria!$B$17),"FAIL: common drain W &lt; "&amp;SG_Criteria!$B$17&amp;" mm. ","")&amp;IF(AND(N90&lt;&gt;"",IFERROR(VALUE(MID(N90,2,2)),0)&lt;SG_Criteria!$B$19),"FAIL: grade below C"&amp;SG_Criteria!$B$19&amp;". ","")&amp;IF(AND(O90&lt;&gt;"",O90&lt;SG_Criteria!$B$20),"FAIL: cover &lt; "&amp;SG_Criteria!$B$20&amp;" mm. ","")&amp;IF(AND(E90="Open",G90&gt;SG_Criteria!$B$18),"NOTE: safety railing required (D &gt; "&amp;SG_Criteria!$B$18&amp;" mm). ","")&amp;IF(AND(D90="Entrance culvert",G90&lt;600),"NOTE: check hinged grating rule for culverts &lt; 600 deep (PUB Add. 3). ",""))=0,"OK",IF(AND(OR(D90="Roadside drain",D90="Entrance culvert"),OR(F90&lt;SG_Criteria!$B$15,G90&lt;SG_Criteria!$B$16)),"FAIL: below PUB min "&amp;SG_Criteria!$B$15&amp;"x"&amp;SG_Criteria!$B$16&amp;" for roadside drain. ","")&amp;IF(AND(D90="Common drain",F90&lt;SG_Criteria!$B$17),"FAIL: common drain W &lt; "&amp;SG_Criteria!$B$17&amp;" mm. ","")&amp;IF(AND(N90&lt;&gt;"",IFERROR(VALUE(MID(N90,2,2)),0)&lt;SG_Criteria!$B$19),"FAIL: grade below C"&amp;SG_Criteria!$B$19&amp;". ","")&amp;IF(AND(O90&lt;&gt;"",O90&lt;SG_Criteria!$B$20),"FAIL: cover &lt; "&amp;SG_Criteria!$B$20&amp;" mm. ","")&amp;IF(AND(E90="Open",G90&gt;SG_Criteria!$B$18),"NOTE: safety railing required (D &gt; "&amp;SG_Criteria!$B$18&amp;" mm). ","")&amp;IF(AND(D90="Entrance culvert",G90&lt;600),"NOTE: check hinged grating rule for culverts &lt; 600 deep (PUB Add. 3). ","")))</f>
        <v/>
      </c>
      <c r="AP90" s="9"/>
      <c r="AQ90" s="9"/>
      <c r="AR90" s="9"/>
      <c r="AS90" s="9"/>
      <c r="AT90" s="9"/>
      <c r="AU90" s="31"/>
      <c r="AV90" s="10" t="str">
        <f aca="false">IF(C90="","",IF(AND(V90="Approved",ISERROR(SEARCH("FAIL",AO90))),"Y","N"))</f>
        <v/>
      </c>
      <c r="AW90" s="10" t="str">
        <f aca="false">IF(C90="","",C90&amp;"|"&amp;F90&amp;"|"&amp;G90&amp;"|"&amp;L90&amp;"|"&amp;AV90)</f>
        <v/>
      </c>
    </row>
    <row r="91" customFormat="false" ht="15" hidden="false" customHeight="false" outlineLevel="0" collapsed="false">
      <c r="A91" s="10" t="str">
        <f aca="false">IF(C91="","","DRN-"&amp;IFERROR(VLOOKUP(C91,Lists!$A$4:$B$27,2,0),"??")&amp;"-"&amp;TEXT(F91,"0000")&amp;"x"&amp;TEXT(G91,"0000")&amp;IF(N(H91)&gt;1,"-"&amp;H91&amp;"C","")&amp;"-"&amp;IFERROR(VLOOKUP(L91,Lists!$J$4:$K$19,2,0),"??")&amp;"-"&amp;U91)</f>
        <v/>
      </c>
      <c r="B91" s="10" t="str">
        <f aca="false">IF(C91="","",C91&amp;" "&amp;F91&amp;"W x "&amp;G91&amp;"D"&amp;IF(N(H91)&gt;1," ("&amp;H91&amp;" cells)","")&amp;", "&amp;D91&amp;", "&amp;L91&amp;", "&amp;E91)</f>
        <v/>
      </c>
      <c r="C91" s="9"/>
      <c r="D91" s="9"/>
      <c r="E91" s="9"/>
      <c r="F91" s="40"/>
      <c r="G91" s="40"/>
      <c r="H91" s="40"/>
      <c r="I91" s="40"/>
      <c r="J91" s="40"/>
      <c r="K91" s="40"/>
      <c r="L91" s="9"/>
      <c r="M91" s="9"/>
      <c r="N91" s="9"/>
      <c r="O91" s="40"/>
      <c r="P91" s="9"/>
      <c r="Q91" s="9"/>
      <c r="R91" s="9"/>
      <c r="S91" s="9"/>
      <c r="T91" s="9"/>
      <c r="U91" s="9"/>
      <c r="V91" s="9"/>
      <c r="W91" s="9"/>
      <c r="X91" s="9"/>
      <c r="Y91" s="9"/>
      <c r="Z91" s="10" t="str">
        <f aca="false">IF(A91="","",SG_Criteria!$B$6&amp;SG_Criteria!$B$7&amp;"\"&amp;A91&amp;"\")</f>
        <v/>
      </c>
      <c r="AA91" s="10" t="str">
        <f aca="false">IF(A91="","",A91&amp;"_CAD.dwg")</f>
        <v/>
      </c>
      <c r="AB91" s="10" t="str">
        <f aca="false">IF(A91="","",A91&amp;"_DWG.pdf")</f>
        <v/>
      </c>
      <c r="AC91" s="10" t="str">
        <f aca="false">IF(A91="","",IF(Y91="Y",A91&amp;"_STAAD.std","n/a"))</f>
        <v/>
      </c>
      <c r="AD91" s="10" t="str">
        <f aca="false">IF(A91="","",A91&amp;"_CALC.xlsx")</f>
        <v/>
      </c>
      <c r="AE91" s="10" t="str">
        <f aca="false">IF(A91="","",A91&amp;"_CALC.pdf")</f>
        <v/>
      </c>
      <c r="AF91" s="9"/>
      <c r="AG91" s="9"/>
      <c r="AH91" s="41"/>
      <c r="AI91" s="41"/>
      <c r="AJ91" s="41"/>
      <c r="AK91" s="41"/>
      <c r="AL91" s="41"/>
      <c r="AM91" s="37" t="str">
        <f aca="false">IF(OR(C91="",F91="",G91="",C91="Sump",C91="Drop Inlet Chamber",C91="Silt Trap",C91="Pipe Culvert",C91="Subsoil Drain"),"",ROUND(MAX(1,N(H91))*(1/SG_Criteria!$B$26)*((F91/1000)*(G91/1000*(1-SG_Criteria!$B$25)))*(((F91/1000)*(G91/1000*(1-SG_Criteria!$B$25)))/((F91/1000)+2*(G91/1000*(1-SG_Criteria!$B$25))))^(2/3)*(1/Design_Selector!$B$11)^0.5,3))</f>
        <v/>
      </c>
      <c r="AN91" s="11" t="str">
        <f aca="false">IF(AM91="","",ROUND(AM91/(MAX(1,N(H91))*F91/1000*(G91/1000*(1-SG_Criteria!$B$25))),2))</f>
        <v/>
      </c>
      <c r="AO91" s="38" t="str">
        <f aca="false">IF(C91="","",IF(LEN(IF(AND(OR(D91="Roadside drain",D91="Entrance culvert"),OR(F91&lt;SG_Criteria!$B$15,G91&lt;SG_Criteria!$B$16)),"FAIL: below PUB min "&amp;SG_Criteria!$B$15&amp;"x"&amp;SG_Criteria!$B$16&amp;" for roadside drain. ","")&amp;IF(AND(D91="Common drain",F91&lt;SG_Criteria!$B$17),"FAIL: common drain W &lt; "&amp;SG_Criteria!$B$17&amp;" mm. ","")&amp;IF(AND(N91&lt;&gt;"",IFERROR(VALUE(MID(N91,2,2)),0)&lt;SG_Criteria!$B$19),"FAIL: grade below C"&amp;SG_Criteria!$B$19&amp;". ","")&amp;IF(AND(O91&lt;&gt;"",O91&lt;SG_Criteria!$B$20),"FAIL: cover &lt; "&amp;SG_Criteria!$B$20&amp;" mm. ","")&amp;IF(AND(E91="Open",G91&gt;SG_Criteria!$B$18),"NOTE: safety railing required (D &gt; "&amp;SG_Criteria!$B$18&amp;" mm). ","")&amp;IF(AND(D91="Entrance culvert",G91&lt;600),"NOTE: check hinged grating rule for culverts &lt; 600 deep (PUB Add. 3). ",""))=0,"OK",IF(AND(OR(D91="Roadside drain",D91="Entrance culvert"),OR(F91&lt;SG_Criteria!$B$15,G91&lt;SG_Criteria!$B$16)),"FAIL: below PUB min "&amp;SG_Criteria!$B$15&amp;"x"&amp;SG_Criteria!$B$16&amp;" for roadside drain. ","")&amp;IF(AND(D91="Common drain",F91&lt;SG_Criteria!$B$17),"FAIL: common drain W &lt; "&amp;SG_Criteria!$B$17&amp;" mm. ","")&amp;IF(AND(N91&lt;&gt;"",IFERROR(VALUE(MID(N91,2,2)),0)&lt;SG_Criteria!$B$19),"FAIL: grade below C"&amp;SG_Criteria!$B$19&amp;". ","")&amp;IF(AND(O91&lt;&gt;"",O91&lt;SG_Criteria!$B$20),"FAIL: cover &lt; "&amp;SG_Criteria!$B$20&amp;" mm. ","")&amp;IF(AND(E91="Open",G91&gt;SG_Criteria!$B$18),"NOTE: safety railing required (D &gt; "&amp;SG_Criteria!$B$18&amp;" mm). ","")&amp;IF(AND(D91="Entrance culvert",G91&lt;600),"NOTE: check hinged grating rule for culverts &lt; 600 deep (PUB Add. 3). ","")))</f>
        <v/>
      </c>
      <c r="AP91" s="9"/>
      <c r="AQ91" s="9"/>
      <c r="AR91" s="9"/>
      <c r="AS91" s="9"/>
      <c r="AT91" s="9"/>
      <c r="AU91" s="31"/>
      <c r="AV91" s="10" t="str">
        <f aca="false">IF(C91="","",IF(AND(V91="Approved",ISERROR(SEARCH("FAIL",AO91))),"Y","N"))</f>
        <v/>
      </c>
      <c r="AW91" s="10" t="str">
        <f aca="false">IF(C91="","",C91&amp;"|"&amp;F91&amp;"|"&amp;G91&amp;"|"&amp;L91&amp;"|"&amp;AV91)</f>
        <v/>
      </c>
    </row>
    <row r="92" customFormat="false" ht="15" hidden="false" customHeight="false" outlineLevel="0" collapsed="false">
      <c r="A92" s="10" t="str">
        <f aca="false">IF(C92="","","DRN-"&amp;IFERROR(VLOOKUP(C92,Lists!$A$4:$B$27,2,0),"??")&amp;"-"&amp;TEXT(F92,"0000")&amp;"x"&amp;TEXT(G92,"0000")&amp;IF(N(H92)&gt;1,"-"&amp;H92&amp;"C","")&amp;"-"&amp;IFERROR(VLOOKUP(L92,Lists!$J$4:$K$19,2,0),"??")&amp;"-"&amp;U92)</f>
        <v/>
      </c>
      <c r="B92" s="10" t="str">
        <f aca="false">IF(C92="","",C92&amp;" "&amp;F92&amp;"W x "&amp;G92&amp;"D"&amp;IF(N(H92)&gt;1," ("&amp;H92&amp;" cells)","")&amp;", "&amp;D92&amp;", "&amp;L92&amp;", "&amp;E92)</f>
        <v/>
      </c>
      <c r="C92" s="9"/>
      <c r="D92" s="9"/>
      <c r="E92" s="9"/>
      <c r="F92" s="40"/>
      <c r="G92" s="40"/>
      <c r="H92" s="40"/>
      <c r="I92" s="40"/>
      <c r="J92" s="40"/>
      <c r="K92" s="40"/>
      <c r="L92" s="9"/>
      <c r="M92" s="9"/>
      <c r="N92" s="9"/>
      <c r="O92" s="40"/>
      <c r="P92" s="9"/>
      <c r="Q92" s="9"/>
      <c r="R92" s="9"/>
      <c r="S92" s="9"/>
      <c r="T92" s="9"/>
      <c r="U92" s="9"/>
      <c r="V92" s="9"/>
      <c r="W92" s="9"/>
      <c r="X92" s="9"/>
      <c r="Y92" s="9"/>
      <c r="Z92" s="10" t="str">
        <f aca="false">IF(A92="","",SG_Criteria!$B$6&amp;SG_Criteria!$B$7&amp;"\"&amp;A92&amp;"\")</f>
        <v/>
      </c>
      <c r="AA92" s="10" t="str">
        <f aca="false">IF(A92="","",A92&amp;"_CAD.dwg")</f>
        <v/>
      </c>
      <c r="AB92" s="10" t="str">
        <f aca="false">IF(A92="","",A92&amp;"_DWG.pdf")</f>
        <v/>
      </c>
      <c r="AC92" s="10" t="str">
        <f aca="false">IF(A92="","",IF(Y92="Y",A92&amp;"_STAAD.std","n/a"))</f>
        <v/>
      </c>
      <c r="AD92" s="10" t="str">
        <f aca="false">IF(A92="","",A92&amp;"_CALC.xlsx")</f>
        <v/>
      </c>
      <c r="AE92" s="10" t="str">
        <f aca="false">IF(A92="","",A92&amp;"_CALC.pdf")</f>
        <v/>
      </c>
      <c r="AF92" s="9"/>
      <c r="AG92" s="9"/>
      <c r="AH92" s="41"/>
      <c r="AI92" s="41"/>
      <c r="AJ92" s="41"/>
      <c r="AK92" s="41"/>
      <c r="AL92" s="41"/>
      <c r="AM92" s="37" t="str">
        <f aca="false">IF(OR(C92="",F92="",G92="",C92="Sump",C92="Drop Inlet Chamber",C92="Silt Trap",C92="Pipe Culvert",C92="Subsoil Drain"),"",ROUND(MAX(1,N(H92))*(1/SG_Criteria!$B$26)*((F92/1000)*(G92/1000*(1-SG_Criteria!$B$25)))*(((F92/1000)*(G92/1000*(1-SG_Criteria!$B$25)))/((F92/1000)+2*(G92/1000*(1-SG_Criteria!$B$25))))^(2/3)*(1/Design_Selector!$B$11)^0.5,3))</f>
        <v/>
      </c>
      <c r="AN92" s="11" t="str">
        <f aca="false">IF(AM92="","",ROUND(AM92/(MAX(1,N(H92))*F92/1000*(G92/1000*(1-SG_Criteria!$B$25))),2))</f>
        <v/>
      </c>
      <c r="AO92" s="38" t="str">
        <f aca="false">IF(C92="","",IF(LEN(IF(AND(OR(D92="Roadside drain",D92="Entrance culvert"),OR(F92&lt;SG_Criteria!$B$15,G92&lt;SG_Criteria!$B$16)),"FAIL: below PUB min "&amp;SG_Criteria!$B$15&amp;"x"&amp;SG_Criteria!$B$16&amp;" for roadside drain. ","")&amp;IF(AND(D92="Common drain",F92&lt;SG_Criteria!$B$17),"FAIL: common drain W &lt; "&amp;SG_Criteria!$B$17&amp;" mm. ","")&amp;IF(AND(N92&lt;&gt;"",IFERROR(VALUE(MID(N92,2,2)),0)&lt;SG_Criteria!$B$19),"FAIL: grade below C"&amp;SG_Criteria!$B$19&amp;". ","")&amp;IF(AND(O92&lt;&gt;"",O92&lt;SG_Criteria!$B$20),"FAIL: cover &lt; "&amp;SG_Criteria!$B$20&amp;" mm. ","")&amp;IF(AND(E92="Open",G92&gt;SG_Criteria!$B$18),"NOTE: safety railing required (D &gt; "&amp;SG_Criteria!$B$18&amp;" mm). ","")&amp;IF(AND(D92="Entrance culvert",G92&lt;600),"NOTE: check hinged grating rule for culverts &lt; 600 deep (PUB Add. 3). ",""))=0,"OK",IF(AND(OR(D92="Roadside drain",D92="Entrance culvert"),OR(F92&lt;SG_Criteria!$B$15,G92&lt;SG_Criteria!$B$16)),"FAIL: below PUB min "&amp;SG_Criteria!$B$15&amp;"x"&amp;SG_Criteria!$B$16&amp;" for roadside drain. ","")&amp;IF(AND(D92="Common drain",F92&lt;SG_Criteria!$B$17),"FAIL: common drain W &lt; "&amp;SG_Criteria!$B$17&amp;" mm. ","")&amp;IF(AND(N92&lt;&gt;"",IFERROR(VALUE(MID(N92,2,2)),0)&lt;SG_Criteria!$B$19),"FAIL: grade below C"&amp;SG_Criteria!$B$19&amp;". ","")&amp;IF(AND(O92&lt;&gt;"",O92&lt;SG_Criteria!$B$20),"FAIL: cover &lt; "&amp;SG_Criteria!$B$20&amp;" mm. ","")&amp;IF(AND(E92="Open",G92&gt;SG_Criteria!$B$18),"NOTE: safety railing required (D &gt; "&amp;SG_Criteria!$B$18&amp;" mm). ","")&amp;IF(AND(D92="Entrance culvert",G92&lt;600),"NOTE: check hinged grating rule for culverts &lt; 600 deep (PUB Add. 3). ","")))</f>
        <v/>
      </c>
      <c r="AP92" s="9"/>
      <c r="AQ92" s="9"/>
      <c r="AR92" s="9"/>
      <c r="AS92" s="9"/>
      <c r="AT92" s="9"/>
      <c r="AU92" s="31"/>
      <c r="AV92" s="10" t="str">
        <f aca="false">IF(C92="","",IF(AND(V92="Approved",ISERROR(SEARCH("FAIL",AO92))),"Y","N"))</f>
        <v/>
      </c>
      <c r="AW92" s="10" t="str">
        <f aca="false">IF(C92="","",C92&amp;"|"&amp;F92&amp;"|"&amp;G92&amp;"|"&amp;L92&amp;"|"&amp;AV92)</f>
        <v/>
      </c>
    </row>
    <row r="93" customFormat="false" ht="15" hidden="false" customHeight="false" outlineLevel="0" collapsed="false">
      <c r="A93" s="10" t="str">
        <f aca="false">IF(C93="","","DRN-"&amp;IFERROR(VLOOKUP(C93,Lists!$A$4:$B$27,2,0),"??")&amp;"-"&amp;TEXT(F93,"0000")&amp;"x"&amp;TEXT(G93,"0000")&amp;IF(N(H93)&gt;1,"-"&amp;H93&amp;"C","")&amp;"-"&amp;IFERROR(VLOOKUP(L93,Lists!$J$4:$K$19,2,0),"??")&amp;"-"&amp;U93)</f>
        <v/>
      </c>
      <c r="B93" s="10" t="str">
        <f aca="false">IF(C93="","",C93&amp;" "&amp;F93&amp;"W x "&amp;G93&amp;"D"&amp;IF(N(H93)&gt;1," ("&amp;H93&amp;" cells)","")&amp;", "&amp;D93&amp;", "&amp;L93&amp;", "&amp;E93)</f>
        <v/>
      </c>
      <c r="C93" s="9"/>
      <c r="D93" s="9"/>
      <c r="E93" s="9"/>
      <c r="F93" s="40"/>
      <c r="G93" s="40"/>
      <c r="H93" s="40"/>
      <c r="I93" s="40"/>
      <c r="J93" s="40"/>
      <c r="K93" s="40"/>
      <c r="L93" s="9"/>
      <c r="M93" s="9"/>
      <c r="N93" s="9"/>
      <c r="O93" s="40"/>
      <c r="P93" s="9"/>
      <c r="Q93" s="9"/>
      <c r="R93" s="9"/>
      <c r="S93" s="9"/>
      <c r="T93" s="9"/>
      <c r="U93" s="9"/>
      <c r="V93" s="9"/>
      <c r="W93" s="9"/>
      <c r="X93" s="9"/>
      <c r="Y93" s="9"/>
      <c r="Z93" s="10" t="str">
        <f aca="false">IF(A93="","",SG_Criteria!$B$6&amp;SG_Criteria!$B$7&amp;"\"&amp;A93&amp;"\")</f>
        <v/>
      </c>
      <c r="AA93" s="10" t="str">
        <f aca="false">IF(A93="","",A93&amp;"_CAD.dwg")</f>
        <v/>
      </c>
      <c r="AB93" s="10" t="str">
        <f aca="false">IF(A93="","",A93&amp;"_DWG.pdf")</f>
        <v/>
      </c>
      <c r="AC93" s="10" t="str">
        <f aca="false">IF(A93="","",IF(Y93="Y",A93&amp;"_STAAD.std","n/a"))</f>
        <v/>
      </c>
      <c r="AD93" s="10" t="str">
        <f aca="false">IF(A93="","",A93&amp;"_CALC.xlsx")</f>
        <v/>
      </c>
      <c r="AE93" s="10" t="str">
        <f aca="false">IF(A93="","",A93&amp;"_CALC.pdf")</f>
        <v/>
      </c>
      <c r="AF93" s="9"/>
      <c r="AG93" s="9"/>
      <c r="AH93" s="41"/>
      <c r="AI93" s="41"/>
      <c r="AJ93" s="41"/>
      <c r="AK93" s="41"/>
      <c r="AL93" s="41"/>
      <c r="AM93" s="37" t="str">
        <f aca="false">IF(OR(C93="",F93="",G93="",C93="Sump",C93="Drop Inlet Chamber",C93="Silt Trap",C93="Pipe Culvert",C93="Subsoil Drain"),"",ROUND(MAX(1,N(H93))*(1/SG_Criteria!$B$26)*((F93/1000)*(G93/1000*(1-SG_Criteria!$B$25)))*(((F93/1000)*(G93/1000*(1-SG_Criteria!$B$25)))/((F93/1000)+2*(G93/1000*(1-SG_Criteria!$B$25))))^(2/3)*(1/Design_Selector!$B$11)^0.5,3))</f>
        <v/>
      </c>
      <c r="AN93" s="11" t="str">
        <f aca="false">IF(AM93="","",ROUND(AM93/(MAX(1,N(H93))*F93/1000*(G93/1000*(1-SG_Criteria!$B$25))),2))</f>
        <v/>
      </c>
      <c r="AO93" s="38" t="str">
        <f aca="false">IF(C93="","",IF(LEN(IF(AND(OR(D93="Roadside drain",D93="Entrance culvert"),OR(F93&lt;SG_Criteria!$B$15,G93&lt;SG_Criteria!$B$16)),"FAIL: below PUB min "&amp;SG_Criteria!$B$15&amp;"x"&amp;SG_Criteria!$B$16&amp;" for roadside drain. ","")&amp;IF(AND(D93="Common drain",F93&lt;SG_Criteria!$B$17),"FAIL: common drain W &lt; "&amp;SG_Criteria!$B$17&amp;" mm. ","")&amp;IF(AND(N93&lt;&gt;"",IFERROR(VALUE(MID(N93,2,2)),0)&lt;SG_Criteria!$B$19),"FAIL: grade below C"&amp;SG_Criteria!$B$19&amp;". ","")&amp;IF(AND(O93&lt;&gt;"",O93&lt;SG_Criteria!$B$20),"FAIL: cover &lt; "&amp;SG_Criteria!$B$20&amp;" mm. ","")&amp;IF(AND(E93="Open",G93&gt;SG_Criteria!$B$18),"NOTE: safety railing required (D &gt; "&amp;SG_Criteria!$B$18&amp;" mm). ","")&amp;IF(AND(D93="Entrance culvert",G93&lt;600),"NOTE: check hinged grating rule for culverts &lt; 600 deep (PUB Add. 3). ",""))=0,"OK",IF(AND(OR(D93="Roadside drain",D93="Entrance culvert"),OR(F93&lt;SG_Criteria!$B$15,G93&lt;SG_Criteria!$B$16)),"FAIL: below PUB min "&amp;SG_Criteria!$B$15&amp;"x"&amp;SG_Criteria!$B$16&amp;" for roadside drain. ","")&amp;IF(AND(D93="Common drain",F93&lt;SG_Criteria!$B$17),"FAIL: common drain W &lt; "&amp;SG_Criteria!$B$17&amp;" mm. ","")&amp;IF(AND(N93&lt;&gt;"",IFERROR(VALUE(MID(N93,2,2)),0)&lt;SG_Criteria!$B$19),"FAIL: grade below C"&amp;SG_Criteria!$B$19&amp;". ","")&amp;IF(AND(O93&lt;&gt;"",O93&lt;SG_Criteria!$B$20),"FAIL: cover &lt; "&amp;SG_Criteria!$B$20&amp;" mm. ","")&amp;IF(AND(E93="Open",G93&gt;SG_Criteria!$B$18),"NOTE: safety railing required (D &gt; "&amp;SG_Criteria!$B$18&amp;" mm). ","")&amp;IF(AND(D93="Entrance culvert",G93&lt;600),"NOTE: check hinged grating rule for culverts &lt; 600 deep (PUB Add. 3). ","")))</f>
        <v/>
      </c>
      <c r="AP93" s="9"/>
      <c r="AQ93" s="9"/>
      <c r="AR93" s="9"/>
      <c r="AS93" s="9"/>
      <c r="AT93" s="9"/>
      <c r="AU93" s="31"/>
      <c r="AV93" s="10" t="str">
        <f aca="false">IF(C93="","",IF(AND(V93="Approved",ISERROR(SEARCH("FAIL",AO93))),"Y","N"))</f>
        <v/>
      </c>
      <c r="AW93" s="10" t="str">
        <f aca="false">IF(C93="","",C93&amp;"|"&amp;F93&amp;"|"&amp;G93&amp;"|"&amp;L93&amp;"|"&amp;AV93)</f>
        <v/>
      </c>
    </row>
    <row r="94" customFormat="false" ht="15" hidden="false" customHeight="false" outlineLevel="0" collapsed="false">
      <c r="A94" s="10" t="str">
        <f aca="false">IF(C94="","","DRN-"&amp;IFERROR(VLOOKUP(C94,Lists!$A$4:$B$27,2,0),"??")&amp;"-"&amp;TEXT(F94,"0000")&amp;"x"&amp;TEXT(G94,"0000")&amp;IF(N(H94)&gt;1,"-"&amp;H94&amp;"C","")&amp;"-"&amp;IFERROR(VLOOKUP(L94,Lists!$J$4:$K$19,2,0),"??")&amp;"-"&amp;U94)</f>
        <v/>
      </c>
      <c r="B94" s="10" t="str">
        <f aca="false">IF(C94="","",C94&amp;" "&amp;F94&amp;"W x "&amp;G94&amp;"D"&amp;IF(N(H94)&gt;1," ("&amp;H94&amp;" cells)","")&amp;", "&amp;D94&amp;", "&amp;L94&amp;", "&amp;E94)</f>
        <v/>
      </c>
      <c r="C94" s="9"/>
      <c r="D94" s="9"/>
      <c r="E94" s="9"/>
      <c r="F94" s="40"/>
      <c r="G94" s="40"/>
      <c r="H94" s="40"/>
      <c r="I94" s="40"/>
      <c r="J94" s="40"/>
      <c r="K94" s="40"/>
      <c r="L94" s="9"/>
      <c r="M94" s="9"/>
      <c r="N94" s="9"/>
      <c r="O94" s="40"/>
      <c r="P94" s="9"/>
      <c r="Q94" s="9"/>
      <c r="R94" s="9"/>
      <c r="S94" s="9"/>
      <c r="T94" s="9"/>
      <c r="U94" s="9"/>
      <c r="V94" s="9"/>
      <c r="W94" s="9"/>
      <c r="X94" s="9"/>
      <c r="Y94" s="9"/>
      <c r="Z94" s="10" t="str">
        <f aca="false">IF(A94="","",SG_Criteria!$B$6&amp;SG_Criteria!$B$7&amp;"\"&amp;A94&amp;"\")</f>
        <v/>
      </c>
      <c r="AA94" s="10" t="str">
        <f aca="false">IF(A94="","",A94&amp;"_CAD.dwg")</f>
        <v/>
      </c>
      <c r="AB94" s="10" t="str">
        <f aca="false">IF(A94="","",A94&amp;"_DWG.pdf")</f>
        <v/>
      </c>
      <c r="AC94" s="10" t="str">
        <f aca="false">IF(A94="","",IF(Y94="Y",A94&amp;"_STAAD.std","n/a"))</f>
        <v/>
      </c>
      <c r="AD94" s="10" t="str">
        <f aca="false">IF(A94="","",A94&amp;"_CALC.xlsx")</f>
        <v/>
      </c>
      <c r="AE94" s="10" t="str">
        <f aca="false">IF(A94="","",A94&amp;"_CALC.pdf")</f>
        <v/>
      </c>
      <c r="AF94" s="9"/>
      <c r="AG94" s="9"/>
      <c r="AH94" s="41"/>
      <c r="AI94" s="41"/>
      <c r="AJ94" s="41"/>
      <c r="AK94" s="41"/>
      <c r="AL94" s="41"/>
      <c r="AM94" s="37" t="str">
        <f aca="false">IF(OR(C94="",F94="",G94="",C94="Sump",C94="Drop Inlet Chamber",C94="Silt Trap",C94="Pipe Culvert",C94="Subsoil Drain"),"",ROUND(MAX(1,N(H94))*(1/SG_Criteria!$B$26)*((F94/1000)*(G94/1000*(1-SG_Criteria!$B$25)))*(((F94/1000)*(G94/1000*(1-SG_Criteria!$B$25)))/((F94/1000)+2*(G94/1000*(1-SG_Criteria!$B$25))))^(2/3)*(1/Design_Selector!$B$11)^0.5,3))</f>
        <v/>
      </c>
      <c r="AN94" s="11" t="str">
        <f aca="false">IF(AM94="","",ROUND(AM94/(MAX(1,N(H94))*F94/1000*(G94/1000*(1-SG_Criteria!$B$25))),2))</f>
        <v/>
      </c>
      <c r="AO94" s="38" t="str">
        <f aca="false">IF(C94="","",IF(LEN(IF(AND(OR(D94="Roadside drain",D94="Entrance culvert"),OR(F94&lt;SG_Criteria!$B$15,G94&lt;SG_Criteria!$B$16)),"FAIL: below PUB min "&amp;SG_Criteria!$B$15&amp;"x"&amp;SG_Criteria!$B$16&amp;" for roadside drain. ","")&amp;IF(AND(D94="Common drain",F94&lt;SG_Criteria!$B$17),"FAIL: common drain W &lt; "&amp;SG_Criteria!$B$17&amp;" mm. ","")&amp;IF(AND(N94&lt;&gt;"",IFERROR(VALUE(MID(N94,2,2)),0)&lt;SG_Criteria!$B$19),"FAIL: grade below C"&amp;SG_Criteria!$B$19&amp;". ","")&amp;IF(AND(O94&lt;&gt;"",O94&lt;SG_Criteria!$B$20),"FAIL: cover &lt; "&amp;SG_Criteria!$B$20&amp;" mm. ","")&amp;IF(AND(E94="Open",G94&gt;SG_Criteria!$B$18),"NOTE: safety railing required (D &gt; "&amp;SG_Criteria!$B$18&amp;" mm). ","")&amp;IF(AND(D94="Entrance culvert",G94&lt;600),"NOTE: check hinged grating rule for culverts &lt; 600 deep (PUB Add. 3). ",""))=0,"OK",IF(AND(OR(D94="Roadside drain",D94="Entrance culvert"),OR(F94&lt;SG_Criteria!$B$15,G94&lt;SG_Criteria!$B$16)),"FAIL: below PUB min "&amp;SG_Criteria!$B$15&amp;"x"&amp;SG_Criteria!$B$16&amp;" for roadside drain. ","")&amp;IF(AND(D94="Common drain",F94&lt;SG_Criteria!$B$17),"FAIL: common drain W &lt; "&amp;SG_Criteria!$B$17&amp;" mm. ","")&amp;IF(AND(N94&lt;&gt;"",IFERROR(VALUE(MID(N94,2,2)),0)&lt;SG_Criteria!$B$19),"FAIL: grade below C"&amp;SG_Criteria!$B$19&amp;". ","")&amp;IF(AND(O94&lt;&gt;"",O94&lt;SG_Criteria!$B$20),"FAIL: cover &lt; "&amp;SG_Criteria!$B$20&amp;" mm. ","")&amp;IF(AND(E94="Open",G94&gt;SG_Criteria!$B$18),"NOTE: safety railing required (D &gt; "&amp;SG_Criteria!$B$18&amp;" mm). ","")&amp;IF(AND(D94="Entrance culvert",G94&lt;600),"NOTE: check hinged grating rule for culverts &lt; 600 deep (PUB Add. 3). ","")))</f>
        <v/>
      </c>
      <c r="AP94" s="9"/>
      <c r="AQ94" s="9"/>
      <c r="AR94" s="9"/>
      <c r="AS94" s="9"/>
      <c r="AT94" s="9"/>
      <c r="AU94" s="31"/>
      <c r="AV94" s="10" t="str">
        <f aca="false">IF(C94="","",IF(AND(V94="Approved",ISERROR(SEARCH("FAIL",AO94))),"Y","N"))</f>
        <v/>
      </c>
      <c r="AW94" s="10" t="str">
        <f aca="false">IF(C94="","",C94&amp;"|"&amp;F94&amp;"|"&amp;G94&amp;"|"&amp;L94&amp;"|"&amp;AV94)</f>
        <v/>
      </c>
    </row>
    <row r="95" customFormat="false" ht="15" hidden="false" customHeight="false" outlineLevel="0" collapsed="false">
      <c r="A95" s="10" t="str">
        <f aca="false">IF(C95="","","DRN-"&amp;IFERROR(VLOOKUP(C95,Lists!$A$4:$B$27,2,0),"??")&amp;"-"&amp;TEXT(F95,"0000")&amp;"x"&amp;TEXT(G95,"0000")&amp;IF(N(H95)&gt;1,"-"&amp;H95&amp;"C","")&amp;"-"&amp;IFERROR(VLOOKUP(L95,Lists!$J$4:$K$19,2,0),"??")&amp;"-"&amp;U95)</f>
        <v/>
      </c>
      <c r="B95" s="10" t="str">
        <f aca="false">IF(C95="","",C95&amp;" "&amp;F95&amp;"W x "&amp;G95&amp;"D"&amp;IF(N(H95)&gt;1," ("&amp;H95&amp;" cells)","")&amp;", "&amp;D95&amp;", "&amp;L95&amp;", "&amp;E95)</f>
        <v/>
      </c>
      <c r="C95" s="9"/>
      <c r="D95" s="9"/>
      <c r="E95" s="9"/>
      <c r="F95" s="40"/>
      <c r="G95" s="40"/>
      <c r="H95" s="40"/>
      <c r="I95" s="40"/>
      <c r="J95" s="40"/>
      <c r="K95" s="40"/>
      <c r="L95" s="9"/>
      <c r="M95" s="9"/>
      <c r="N95" s="9"/>
      <c r="O95" s="40"/>
      <c r="P95" s="9"/>
      <c r="Q95" s="9"/>
      <c r="R95" s="9"/>
      <c r="S95" s="9"/>
      <c r="T95" s="9"/>
      <c r="U95" s="9"/>
      <c r="V95" s="9"/>
      <c r="W95" s="9"/>
      <c r="X95" s="9"/>
      <c r="Y95" s="9"/>
      <c r="Z95" s="10" t="str">
        <f aca="false">IF(A95="","",SG_Criteria!$B$6&amp;SG_Criteria!$B$7&amp;"\"&amp;A95&amp;"\")</f>
        <v/>
      </c>
      <c r="AA95" s="10" t="str">
        <f aca="false">IF(A95="","",A95&amp;"_CAD.dwg")</f>
        <v/>
      </c>
      <c r="AB95" s="10" t="str">
        <f aca="false">IF(A95="","",A95&amp;"_DWG.pdf")</f>
        <v/>
      </c>
      <c r="AC95" s="10" t="str">
        <f aca="false">IF(A95="","",IF(Y95="Y",A95&amp;"_STAAD.std","n/a"))</f>
        <v/>
      </c>
      <c r="AD95" s="10" t="str">
        <f aca="false">IF(A95="","",A95&amp;"_CALC.xlsx")</f>
        <v/>
      </c>
      <c r="AE95" s="10" t="str">
        <f aca="false">IF(A95="","",A95&amp;"_CALC.pdf")</f>
        <v/>
      </c>
      <c r="AF95" s="9"/>
      <c r="AG95" s="9"/>
      <c r="AH95" s="41"/>
      <c r="AI95" s="41"/>
      <c r="AJ95" s="41"/>
      <c r="AK95" s="41"/>
      <c r="AL95" s="41"/>
      <c r="AM95" s="37" t="str">
        <f aca="false">IF(OR(C95="",F95="",G95="",C95="Sump",C95="Drop Inlet Chamber",C95="Silt Trap",C95="Pipe Culvert",C95="Subsoil Drain"),"",ROUND(MAX(1,N(H95))*(1/SG_Criteria!$B$26)*((F95/1000)*(G95/1000*(1-SG_Criteria!$B$25)))*(((F95/1000)*(G95/1000*(1-SG_Criteria!$B$25)))/((F95/1000)+2*(G95/1000*(1-SG_Criteria!$B$25))))^(2/3)*(1/Design_Selector!$B$11)^0.5,3))</f>
        <v/>
      </c>
      <c r="AN95" s="11" t="str">
        <f aca="false">IF(AM95="","",ROUND(AM95/(MAX(1,N(H95))*F95/1000*(G95/1000*(1-SG_Criteria!$B$25))),2))</f>
        <v/>
      </c>
      <c r="AO95" s="38" t="str">
        <f aca="false">IF(C95="","",IF(LEN(IF(AND(OR(D95="Roadside drain",D95="Entrance culvert"),OR(F95&lt;SG_Criteria!$B$15,G95&lt;SG_Criteria!$B$16)),"FAIL: below PUB min "&amp;SG_Criteria!$B$15&amp;"x"&amp;SG_Criteria!$B$16&amp;" for roadside drain. ","")&amp;IF(AND(D95="Common drain",F95&lt;SG_Criteria!$B$17),"FAIL: common drain W &lt; "&amp;SG_Criteria!$B$17&amp;" mm. ","")&amp;IF(AND(N95&lt;&gt;"",IFERROR(VALUE(MID(N95,2,2)),0)&lt;SG_Criteria!$B$19),"FAIL: grade below C"&amp;SG_Criteria!$B$19&amp;". ","")&amp;IF(AND(O95&lt;&gt;"",O95&lt;SG_Criteria!$B$20),"FAIL: cover &lt; "&amp;SG_Criteria!$B$20&amp;" mm. ","")&amp;IF(AND(E95="Open",G95&gt;SG_Criteria!$B$18),"NOTE: safety railing required (D &gt; "&amp;SG_Criteria!$B$18&amp;" mm). ","")&amp;IF(AND(D95="Entrance culvert",G95&lt;600),"NOTE: check hinged grating rule for culverts &lt; 600 deep (PUB Add. 3). ",""))=0,"OK",IF(AND(OR(D95="Roadside drain",D95="Entrance culvert"),OR(F95&lt;SG_Criteria!$B$15,G95&lt;SG_Criteria!$B$16)),"FAIL: below PUB min "&amp;SG_Criteria!$B$15&amp;"x"&amp;SG_Criteria!$B$16&amp;" for roadside drain. ","")&amp;IF(AND(D95="Common drain",F95&lt;SG_Criteria!$B$17),"FAIL: common drain W &lt; "&amp;SG_Criteria!$B$17&amp;" mm. ","")&amp;IF(AND(N95&lt;&gt;"",IFERROR(VALUE(MID(N95,2,2)),0)&lt;SG_Criteria!$B$19),"FAIL: grade below C"&amp;SG_Criteria!$B$19&amp;". ","")&amp;IF(AND(O95&lt;&gt;"",O95&lt;SG_Criteria!$B$20),"FAIL: cover &lt; "&amp;SG_Criteria!$B$20&amp;" mm. ","")&amp;IF(AND(E95="Open",G95&gt;SG_Criteria!$B$18),"NOTE: safety railing required (D &gt; "&amp;SG_Criteria!$B$18&amp;" mm). ","")&amp;IF(AND(D95="Entrance culvert",G95&lt;600),"NOTE: check hinged grating rule for culverts &lt; 600 deep (PUB Add. 3). ","")))</f>
        <v/>
      </c>
      <c r="AP95" s="9"/>
      <c r="AQ95" s="9"/>
      <c r="AR95" s="9"/>
      <c r="AS95" s="9"/>
      <c r="AT95" s="9"/>
      <c r="AU95" s="31"/>
      <c r="AV95" s="10" t="str">
        <f aca="false">IF(C95="","",IF(AND(V95="Approved",ISERROR(SEARCH("FAIL",AO95))),"Y","N"))</f>
        <v/>
      </c>
      <c r="AW95" s="10" t="str">
        <f aca="false">IF(C95="","",C95&amp;"|"&amp;F95&amp;"|"&amp;G95&amp;"|"&amp;L95&amp;"|"&amp;AV95)</f>
        <v/>
      </c>
    </row>
    <row r="96" customFormat="false" ht="15" hidden="false" customHeight="false" outlineLevel="0" collapsed="false">
      <c r="A96" s="10" t="str">
        <f aca="false">IF(C96="","","DRN-"&amp;IFERROR(VLOOKUP(C96,Lists!$A$4:$B$27,2,0),"??")&amp;"-"&amp;TEXT(F96,"0000")&amp;"x"&amp;TEXT(G96,"0000")&amp;IF(N(H96)&gt;1,"-"&amp;H96&amp;"C","")&amp;"-"&amp;IFERROR(VLOOKUP(L96,Lists!$J$4:$K$19,2,0),"??")&amp;"-"&amp;U96)</f>
        <v/>
      </c>
      <c r="B96" s="10" t="str">
        <f aca="false">IF(C96="","",C96&amp;" "&amp;F96&amp;"W x "&amp;G96&amp;"D"&amp;IF(N(H96)&gt;1," ("&amp;H96&amp;" cells)","")&amp;", "&amp;D96&amp;", "&amp;L96&amp;", "&amp;E96)</f>
        <v/>
      </c>
      <c r="C96" s="9"/>
      <c r="D96" s="9"/>
      <c r="E96" s="9"/>
      <c r="F96" s="40"/>
      <c r="G96" s="40"/>
      <c r="H96" s="40"/>
      <c r="I96" s="40"/>
      <c r="J96" s="40"/>
      <c r="K96" s="40"/>
      <c r="L96" s="9"/>
      <c r="M96" s="9"/>
      <c r="N96" s="9"/>
      <c r="O96" s="40"/>
      <c r="P96" s="9"/>
      <c r="Q96" s="9"/>
      <c r="R96" s="9"/>
      <c r="S96" s="9"/>
      <c r="T96" s="9"/>
      <c r="U96" s="9"/>
      <c r="V96" s="9"/>
      <c r="W96" s="9"/>
      <c r="X96" s="9"/>
      <c r="Y96" s="9"/>
      <c r="Z96" s="10" t="str">
        <f aca="false">IF(A96="","",SG_Criteria!$B$6&amp;SG_Criteria!$B$7&amp;"\"&amp;A96&amp;"\")</f>
        <v/>
      </c>
      <c r="AA96" s="10" t="str">
        <f aca="false">IF(A96="","",A96&amp;"_CAD.dwg")</f>
        <v/>
      </c>
      <c r="AB96" s="10" t="str">
        <f aca="false">IF(A96="","",A96&amp;"_DWG.pdf")</f>
        <v/>
      </c>
      <c r="AC96" s="10" t="str">
        <f aca="false">IF(A96="","",IF(Y96="Y",A96&amp;"_STAAD.std","n/a"))</f>
        <v/>
      </c>
      <c r="AD96" s="10" t="str">
        <f aca="false">IF(A96="","",A96&amp;"_CALC.xlsx")</f>
        <v/>
      </c>
      <c r="AE96" s="10" t="str">
        <f aca="false">IF(A96="","",A96&amp;"_CALC.pdf")</f>
        <v/>
      </c>
      <c r="AF96" s="9"/>
      <c r="AG96" s="9"/>
      <c r="AH96" s="41"/>
      <c r="AI96" s="41"/>
      <c r="AJ96" s="41"/>
      <c r="AK96" s="41"/>
      <c r="AL96" s="41"/>
      <c r="AM96" s="37" t="str">
        <f aca="false">IF(OR(C96="",F96="",G96="",C96="Sump",C96="Drop Inlet Chamber",C96="Silt Trap",C96="Pipe Culvert",C96="Subsoil Drain"),"",ROUND(MAX(1,N(H96))*(1/SG_Criteria!$B$26)*((F96/1000)*(G96/1000*(1-SG_Criteria!$B$25)))*(((F96/1000)*(G96/1000*(1-SG_Criteria!$B$25)))/((F96/1000)+2*(G96/1000*(1-SG_Criteria!$B$25))))^(2/3)*(1/Design_Selector!$B$11)^0.5,3))</f>
        <v/>
      </c>
      <c r="AN96" s="11" t="str">
        <f aca="false">IF(AM96="","",ROUND(AM96/(MAX(1,N(H96))*F96/1000*(G96/1000*(1-SG_Criteria!$B$25))),2))</f>
        <v/>
      </c>
      <c r="AO96" s="38" t="str">
        <f aca="false">IF(C96="","",IF(LEN(IF(AND(OR(D96="Roadside drain",D96="Entrance culvert"),OR(F96&lt;SG_Criteria!$B$15,G96&lt;SG_Criteria!$B$16)),"FAIL: below PUB min "&amp;SG_Criteria!$B$15&amp;"x"&amp;SG_Criteria!$B$16&amp;" for roadside drain. ","")&amp;IF(AND(D96="Common drain",F96&lt;SG_Criteria!$B$17),"FAIL: common drain W &lt; "&amp;SG_Criteria!$B$17&amp;" mm. ","")&amp;IF(AND(N96&lt;&gt;"",IFERROR(VALUE(MID(N96,2,2)),0)&lt;SG_Criteria!$B$19),"FAIL: grade below C"&amp;SG_Criteria!$B$19&amp;". ","")&amp;IF(AND(O96&lt;&gt;"",O96&lt;SG_Criteria!$B$20),"FAIL: cover &lt; "&amp;SG_Criteria!$B$20&amp;" mm. ","")&amp;IF(AND(E96="Open",G96&gt;SG_Criteria!$B$18),"NOTE: safety railing required (D &gt; "&amp;SG_Criteria!$B$18&amp;" mm). ","")&amp;IF(AND(D96="Entrance culvert",G96&lt;600),"NOTE: check hinged grating rule for culverts &lt; 600 deep (PUB Add. 3). ",""))=0,"OK",IF(AND(OR(D96="Roadside drain",D96="Entrance culvert"),OR(F96&lt;SG_Criteria!$B$15,G96&lt;SG_Criteria!$B$16)),"FAIL: below PUB min "&amp;SG_Criteria!$B$15&amp;"x"&amp;SG_Criteria!$B$16&amp;" for roadside drain. ","")&amp;IF(AND(D96="Common drain",F96&lt;SG_Criteria!$B$17),"FAIL: common drain W &lt; "&amp;SG_Criteria!$B$17&amp;" mm. ","")&amp;IF(AND(N96&lt;&gt;"",IFERROR(VALUE(MID(N96,2,2)),0)&lt;SG_Criteria!$B$19),"FAIL: grade below C"&amp;SG_Criteria!$B$19&amp;". ","")&amp;IF(AND(O96&lt;&gt;"",O96&lt;SG_Criteria!$B$20),"FAIL: cover &lt; "&amp;SG_Criteria!$B$20&amp;" mm. ","")&amp;IF(AND(E96="Open",G96&gt;SG_Criteria!$B$18),"NOTE: safety railing required (D &gt; "&amp;SG_Criteria!$B$18&amp;" mm). ","")&amp;IF(AND(D96="Entrance culvert",G96&lt;600),"NOTE: check hinged grating rule for culverts &lt; 600 deep (PUB Add. 3). ","")))</f>
        <v/>
      </c>
      <c r="AP96" s="9"/>
      <c r="AQ96" s="9"/>
      <c r="AR96" s="9"/>
      <c r="AS96" s="9"/>
      <c r="AT96" s="9"/>
      <c r="AU96" s="31"/>
      <c r="AV96" s="10" t="str">
        <f aca="false">IF(C96="","",IF(AND(V96="Approved",ISERROR(SEARCH("FAIL",AO96))),"Y","N"))</f>
        <v/>
      </c>
      <c r="AW96" s="10" t="str">
        <f aca="false">IF(C96="","",C96&amp;"|"&amp;F96&amp;"|"&amp;G96&amp;"|"&amp;L96&amp;"|"&amp;AV96)</f>
        <v/>
      </c>
    </row>
    <row r="97" customFormat="false" ht="15" hidden="false" customHeight="false" outlineLevel="0" collapsed="false">
      <c r="A97" s="10" t="str">
        <f aca="false">IF(C97="","","DRN-"&amp;IFERROR(VLOOKUP(C97,Lists!$A$4:$B$27,2,0),"??")&amp;"-"&amp;TEXT(F97,"0000")&amp;"x"&amp;TEXT(G97,"0000")&amp;IF(N(H97)&gt;1,"-"&amp;H97&amp;"C","")&amp;"-"&amp;IFERROR(VLOOKUP(L97,Lists!$J$4:$K$19,2,0),"??")&amp;"-"&amp;U97)</f>
        <v/>
      </c>
      <c r="B97" s="10" t="str">
        <f aca="false">IF(C97="","",C97&amp;" "&amp;F97&amp;"W x "&amp;G97&amp;"D"&amp;IF(N(H97)&gt;1," ("&amp;H97&amp;" cells)","")&amp;", "&amp;D97&amp;", "&amp;L97&amp;", "&amp;E97)</f>
        <v/>
      </c>
      <c r="C97" s="9"/>
      <c r="D97" s="9"/>
      <c r="E97" s="9"/>
      <c r="F97" s="40"/>
      <c r="G97" s="40"/>
      <c r="H97" s="40"/>
      <c r="I97" s="40"/>
      <c r="J97" s="40"/>
      <c r="K97" s="40"/>
      <c r="L97" s="9"/>
      <c r="M97" s="9"/>
      <c r="N97" s="9"/>
      <c r="O97" s="40"/>
      <c r="P97" s="9"/>
      <c r="Q97" s="9"/>
      <c r="R97" s="9"/>
      <c r="S97" s="9"/>
      <c r="T97" s="9"/>
      <c r="U97" s="9"/>
      <c r="V97" s="9"/>
      <c r="W97" s="9"/>
      <c r="X97" s="9"/>
      <c r="Y97" s="9"/>
      <c r="Z97" s="10" t="str">
        <f aca="false">IF(A97="","",SG_Criteria!$B$6&amp;SG_Criteria!$B$7&amp;"\"&amp;A97&amp;"\")</f>
        <v/>
      </c>
      <c r="AA97" s="10" t="str">
        <f aca="false">IF(A97="","",A97&amp;"_CAD.dwg")</f>
        <v/>
      </c>
      <c r="AB97" s="10" t="str">
        <f aca="false">IF(A97="","",A97&amp;"_DWG.pdf")</f>
        <v/>
      </c>
      <c r="AC97" s="10" t="str">
        <f aca="false">IF(A97="","",IF(Y97="Y",A97&amp;"_STAAD.std","n/a"))</f>
        <v/>
      </c>
      <c r="AD97" s="10" t="str">
        <f aca="false">IF(A97="","",A97&amp;"_CALC.xlsx")</f>
        <v/>
      </c>
      <c r="AE97" s="10" t="str">
        <f aca="false">IF(A97="","",A97&amp;"_CALC.pdf")</f>
        <v/>
      </c>
      <c r="AF97" s="9"/>
      <c r="AG97" s="9"/>
      <c r="AH97" s="41"/>
      <c r="AI97" s="41"/>
      <c r="AJ97" s="41"/>
      <c r="AK97" s="41"/>
      <c r="AL97" s="41"/>
      <c r="AM97" s="37" t="str">
        <f aca="false">IF(OR(C97="",F97="",G97="",C97="Sump",C97="Drop Inlet Chamber",C97="Silt Trap",C97="Pipe Culvert",C97="Subsoil Drain"),"",ROUND(MAX(1,N(H97))*(1/SG_Criteria!$B$26)*((F97/1000)*(G97/1000*(1-SG_Criteria!$B$25)))*(((F97/1000)*(G97/1000*(1-SG_Criteria!$B$25)))/((F97/1000)+2*(G97/1000*(1-SG_Criteria!$B$25))))^(2/3)*(1/Design_Selector!$B$11)^0.5,3))</f>
        <v/>
      </c>
      <c r="AN97" s="11" t="str">
        <f aca="false">IF(AM97="","",ROUND(AM97/(MAX(1,N(H97))*F97/1000*(G97/1000*(1-SG_Criteria!$B$25))),2))</f>
        <v/>
      </c>
      <c r="AO97" s="38" t="str">
        <f aca="false">IF(C97="","",IF(LEN(IF(AND(OR(D97="Roadside drain",D97="Entrance culvert"),OR(F97&lt;SG_Criteria!$B$15,G97&lt;SG_Criteria!$B$16)),"FAIL: below PUB min "&amp;SG_Criteria!$B$15&amp;"x"&amp;SG_Criteria!$B$16&amp;" for roadside drain. ","")&amp;IF(AND(D97="Common drain",F97&lt;SG_Criteria!$B$17),"FAIL: common drain W &lt; "&amp;SG_Criteria!$B$17&amp;" mm. ","")&amp;IF(AND(N97&lt;&gt;"",IFERROR(VALUE(MID(N97,2,2)),0)&lt;SG_Criteria!$B$19),"FAIL: grade below C"&amp;SG_Criteria!$B$19&amp;". ","")&amp;IF(AND(O97&lt;&gt;"",O97&lt;SG_Criteria!$B$20),"FAIL: cover &lt; "&amp;SG_Criteria!$B$20&amp;" mm. ","")&amp;IF(AND(E97="Open",G97&gt;SG_Criteria!$B$18),"NOTE: safety railing required (D &gt; "&amp;SG_Criteria!$B$18&amp;" mm). ","")&amp;IF(AND(D97="Entrance culvert",G97&lt;600),"NOTE: check hinged grating rule for culverts &lt; 600 deep (PUB Add. 3). ",""))=0,"OK",IF(AND(OR(D97="Roadside drain",D97="Entrance culvert"),OR(F97&lt;SG_Criteria!$B$15,G97&lt;SG_Criteria!$B$16)),"FAIL: below PUB min "&amp;SG_Criteria!$B$15&amp;"x"&amp;SG_Criteria!$B$16&amp;" for roadside drain. ","")&amp;IF(AND(D97="Common drain",F97&lt;SG_Criteria!$B$17),"FAIL: common drain W &lt; "&amp;SG_Criteria!$B$17&amp;" mm. ","")&amp;IF(AND(N97&lt;&gt;"",IFERROR(VALUE(MID(N97,2,2)),0)&lt;SG_Criteria!$B$19),"FAIL: grade below C"&amp;SG_Criteria!$B$19&amp;". ","")&amp;IF(AND(O97&lt;&gt;"",O97&lt;SG_Criteria!$B$20),"FAIL: cover &lt; "&amp;SG_Criteria!$B$20&amp;" mm. ","")&amp;IF(AND(E97="Open",G97&gt;SG_Criteria!$B$18),"NOTE: safety railing required (D &gt; "&amp;SG_Criteria!$B$18&amp;" mm). ","")&amp;IF(AND(D97="Entrance culvert",G97&lt;600),"NOTE: check hinged grating rule for culverts &lt; 600 deep (PUB Add. 3). ","")))</f>
        <v/>
      </c>
      <c r="AP97" s="9"/>
      <c r="AQ97" s="9"/>
      <c r="AR97" s="9"/>
      <c r="AS97" s="9"/>
      <c r="AT97" s="9"/>
      <c r="AU97" s="31"/>
      <c r="AV97" s="10" t="str">
        <f aca="false">IF(C97="","",IF(AND(V97="Approved",ISERROR(SEARCH("FAIL",AO97))),"Y","N"))</f>
        <v/>
      </c>
      <c r="AW97" s="10" t="str">
        <f aca="false">IF(C97="","",C97&amp;"|"&amp;F97&amp;"|"&amp;G97&amp;"|"&amp;L97&amp;"|"&amp;AV97)</f>
        <v/>
      </c>
    </row>
    <row r="98" customFormat="false" ht="15" hidden="false" customHeight="false" outlineLevel="0" collapsed="false">
      <c r="A98" s="10" t="str">
        <f aca="false">IF(C98="","","DRN-"&amp;IFERROR(VLOOKUP(C98,Lists!$A$4:$B$27,2,0),"??")&amp;"-"&amp;TEXT(F98,"0000")&amp;"x"&amp;TEXT(G98,"0000")&amp;IF(N(H98)&gt;1,"-"&amp;H98&amp;"C","")&amp;"-"&amp;IFERROR(VLOOKUP(L98,Lists!$J$4:$K$19,2,0),"??")&amp;"-"&amp;U98)</f>
        <v/>
      </c>
      <c r="B98" s="10" t="str">
        <f aca="false">IF(C98="","",C98&amp;" "&amp;F98&amp;"W x "&amp;G98&amp;"D"&amp;IF(N(H98)&gt;1," ("&amp;H98&amp;" cells)","")&amp;", "&amp;D98&amp;", "&amp;L98&amp;", "&amp;E98)</f>
        <v/>
      </c>
      <c r="C98" s="9"/>
      <c r="D98" s="9"/>
      <c r="E98" s="9"/>
      <c r="F98" s="40"/>
      <c r="G98" s="40"/>
      <c r="H98" s="40"/>
      <c r="I98" s="40"/>
      <c r="J98" s="40"/>
      <c r="K98" s="40"/>
      <c r="L98" s="9"/>
      <c r="M98" s="9"/>
      <c r="N98" s="9"/>
      <c r="O98" s="40"/>
      <c r="P98" s="9"/>
      <c r="Q98" s="9"/>
      <c r="R98" s="9"/>
      <c r="S98" s="9"/>
      <c r="T98" s="9"/>
      <c r="U98" s="9"/>
      <c r="V98" s="9"/>
      <c r="W98" s="9"/>
      <c r="X98" s="9"/>
      <c r="Y98" s="9"/>
      <c r="Z98" s="10" t="str">
        <f aca="false">IF(A98="","",SG_Criteria!$B$6&amp;SG_Criteria!$B$7&amp;"\"&amp;A98&amp;"\")</f>
        <v/>
      </c>
      <c r="AA98" s="10" t="str">
        <f aca="false">IF(A98="","",A98&amp;"_CAD.dwg")</f>
        <v/>
      </c>
      <c r="AB98" s="10" t="str">
        <f aca="false">IF(A98="","",A98&amp;"_DWG.pdf")</f>
        <v/>
      </c>
      <c r="AC98" s="10" t="str">
        <f aca="false">IF(A98="","",IF(Y98="Y",A98&amp;"_STAAD.std","n/a"))</f>
        <v/>
      </c>
      <c r="AD98" s="10" t="str">
        <f aca="false">IF(A98="","",A98&amp;"_CALC.xlsx")</f>
        <v/>
      </c>
      <c r="AE98" s="10" t="str">
        <f aca="false">IF(A98="","",A98&amp;"_CALC.pdf")</f>
        <v/>
      </c>
      <c r="AF98" s="9"/>
      <c r="AG98" s="9"/>
      <c r="AH98" s="41"/>
      <c r="AI98" s="41"/>
      <c r="AJ98" s="41"/>
      <c r="AK98" s="41"/>
      <c r="AL98" s="41"/>
      <c r="AM98" s="37" t="str">
        <f aca="false">IF(OR(C98="",F98="",G98="",C98="Sump",C98="Drop Inlet Chamber",C98="Silt Trap",C98="Pipe Culvert",C98="Subsoil Drain"),"",ROUND(MAX(1,N(H98))*(1/SG_Criteria!$B$26)*((F98/1000)*(G98/1000*(1-SG_Criteria!$B$25)))*(((F98/1000)*(G98/1000*(1-SG_Criteria!$B$25)))/((F98/1000)+2*(G98/1000*(1-SG_Criteria!$B$25))))^(2/3)*(1/Design_Selector!$B$11)^0.5,3))</f>
        <v/>
      </c>
      <c r="AN98" s="11" t="str">
        <f aca="false">IF(AM98="","",ROUND(AM98/(MAX(1,N(H98))*F98/1000*(G98/1000*(1-SG_Criteria!$B$25))),2))</f>
        <v/>
      </c>
      <c r="AO98" s="38" t="str">
        <f aca="false">IF(C98="","",IF(LEN(IF(AND(OR(D98="Roadside drain",D98="Entrance culvert"),OR(F98&lt;SG_Criteria!$B$15,G98&lt;SG_Criteria!$B$16)),"FAIL: below PUB min "&amp;SG_Criteria!$B$15&amp;"x"&amp;SG_Criteria!$B$16&amp;" for roadside drain. ","")&amp;IF(AND(D98="Common drain",F98&lt;SG_Criteria!$B$17),"FAIL: common drain W &lt; "&amp;SG_Criteria!$B$17&amp;" mm. ","")&amp;IF(AND(N98&lt;&gt;"",IFERROR(VALUE(MID(N98,2,2)),0)&lt;SG_Criteria!$B$19),"FAIL: grade below C"&amp;SG_Criteria!$B$19&amp;". ","")&amp;IF(AND(O98&lt;&gt;"",O98&lt;SG_Criteria!$B$20),"FAIL: cover &lt; "&amp;SG_Criteria!$B$20&amp;" mm. ","")&amp;IF(AND(E98="Open",G98&gt;SG_Criteria!$B$18),"NOTE: safety railing required (D &gt; "&amp;SG_Criteria!$B$18&amp;" mm). ","")&amp;IF(AND(D98="Entrance culvert",G98&lt;600),"NOTE: check hinged grating rule for culverts &lt; 600 deep (PUB Add. 3). ",""))=0,"OK",IF(AND(OR(D98="Roadside drain",D98="Entrance culvert"),OR(F98&lt;SG_Criteria!$B$15,G98&lt;SG_Criteria!$B$16)),"FAIL: below PUB min "&amp;SG_Criteria!$B$15&amp;"x"&amp;SG_Criteria!$B$16&amp;" for roadside drain. ","")&amp;IF(AND(D98="Common drain",F98&lt;SG_Criteria!$B$17),"FAIL: common drain W &lt; "&amp;SG_Criteria!$B$17&amp;" mm. ","")&amp;IF(AND(N98&lt;&gt;"",IFERROR(VALUE(MID(N98,2,2)),0)&lt;SG_Criteria!$B$19),"FAIL: grade below C"&amp;SG_Criteria!$B$19&amp;". ","")&amp;IF(AND(O98&lt;&gt;"",O98&lt;SG_Criteria!$B$20),"FAIL: cover &lt; "&amp;SG_Criteria!$B$20&amp;" mm. ","")&amp;IF(AND(E98="Open",G98&gt;SG_Criteria!$B$18),"NOTE: safety railing required (D &gt; "&amp;SG_Criteria!$B$18&amp;" mm). ","")&amp;IF(AND(D98="Entrance culvert",G98&lt;600),"NOTE: check hinged grating rule for culverts &lt; 600 deep (PUB Add. 3). ","")))</f>
        <v/>
      </c>
      <c r="AP98" s="9"/>
      <c r="AQ98" s="9"/>
      <c r="AR98" s="9"/>
      <c r="AS98" s="9"/>
      <c r="AT98" s="9"/>
      <c r="AU98" s="31"/>
      <c r="AV98" s="10" t="str">
        <f aca="false">IF(C98="","",IF(AND(V98="Approved",ISERROR(SEARCH("FAIL",AO98))),"Y","N"))</f>
        <v/>
      </c>
      <c r="AW98" s="10" t="str">
        <f aca="false">IF(C98="","",C98&amp;"|"&amp;F98&amp;"|"&amp;G98&amp;"|"&amp;L98&amp;"|"&amp;AV98)</f>
        <v/>
      </c>
    </row>
    <row r="99" customFormat="false" ht="15" hidden="false" customHeight="false" outlineLevel="0" collapsed="false">
      <c r="A99" s="10" t="str">
        <f aca="false">IF(C99="","","DRN-"&amp;IFERROR(VLOOKUP(C99,Lists!$A$4:$B$27,2,0),"??")&amp;"-"&amp;TEXT(F99,"0000")&amp;"x"&amp;TEXT(G99,"0000")&amp;IF(N(H99)&gt;1,"-"&amp;H99&amp;"C","")&amp;"-"&amp;IFERROR(VLOOKUP(L99,Lists!$J$4:$K$19,2,0),"??")&amp;"-"&amp;U99)</f>
        <v/>
      </c>
      <c r="B99" s="10" t="str">
        <f aca="false">IF(C99="","",C99&amp;" "&amp;F99&amp;"W x "&amp;G99&amp;"D"&amp;IF(N(H99)&gt;1," ("&amp;H99&amp;" cells)","")&amp;", "&amp;D99&amp;", "&amp;L99&amp;", "&amp;E99)</f>
        <v/>
      </c>
      <c r="C99" s="9"/>
      <c r="D99" s="9"/>
      <c r="E99" s="9"/>
      <c r="F99" s="40"/>
      <c r="G99" s="40"/>
      <c r="H99" s="40"/>
      <c r="I99" s="40"/>
      <c r="J99" s="40"/>
      <c r="K99" s="40"/>
      <c r="L99" s="9"/>
      <c r="M99" s="9"/>
      <c r="N99" s="9"/>
      <c r="O99" s="40"/>
      <c r="P99" s="9"/>
      <c r="Q99" s="9"/>
      <c r="R99" s="9"/>
      <c r="S99" s="9"/>
      <c r="T99" s="9"/>
      <c r="U99" s="9"/>
      <c r="V99" s="9"/>
      <c r="W99" s="9"/>
      <c r="X99" s="9"/>
      <c r="Y99" s="9"/>
      <c r="Z99" s="10" t="str">
        <f aca="false">IF(A99="","",SG_Criteria!$B$6&amp;SG_Criteria!$B$7&amp;"\"&amp;A99&amp;"\")</f>
        <v/>
      </c>
      <c r="AA99" s="10" t="str">
        <f aca="false">IF(A99="","",A99&amp;"_CAD.dwg")</f>
        <v/>
      </c>
      <c r="AB99" s="10" t="str">
        <f aca="false">IF(A99="","",A99&amp;"_DWG.pdf")</f>
        <v/>
      </c>
      <c r="AC99" s="10" t="str">
        <f aca="false">IF(A99="","",IF(Y99="Y",A99&amp;"_STAAD.std","n/a"))</f>
        <v/>
      </c>
      <c r="AD99" s="10" t="str">
        <f aca="false">IF(A99="","",A99&amp;"_CALC.xlsx")</f>
        <v/>
      </c>
      <c r="AE99" s="10" t="str">
        <f aca="false">IF(A99="","",A99&amp;"_CALC.pdf")</f>
        <v/>
      </c>
      <c r="AF99" s="9"/>
      <c r="AG99" s="9"/>
      <c r="AH99" s="41"/>
      <c r="AI99" s="41"/>
      <c r="AJ99" s="41"/>
      <c r="AK99" s="41"/>
      <c r="AL99" s="41"/>
      <c r="AM99" s="37" t="str">
        <f aca="false">IF(OR(C99="",F99="",G99="",C99="Sump",C99="Drop Inlet Chamber",C99="Silt Trap",C99="Pipe Culvert",C99="Subsoil Drain"),"",ROUND(MAX(1,N(H99))*(1/SG_Criteria!$B$26)*((F99/1000)*(G99/1000*(1-SG_Criteria!$B$25)))*(((F99/1000)*(G99/1000*(1-SG_Criteria!$B$25)))/((F99/1000)+2*(G99/1000*(1-SG_Criteria!$B$25))))^(2/3)*(1/Design_Selector!$B$11)^0.5,3))</f>
        <v/>
      </c>
      <c r="AN99" s="11" t="str">
        <f aca="false">IF(AM99="","",ROUND(AM99/(MAX(1,N(H99))*F99/1000*(G99/1000*(1-SG_Criteria!$B$25))),2))</f>
        <v/>
      </c>
      <c r="AO99" s="38" t="str">
        <f aca="false">IF(C99="","",IF(LEN(IF(AND(OR(D99="Roadside drain",D99="Entrance culvert"),OR(F99&lt;SG_Criteria!$B$15,G99&lt;SG_Criteria!$B$16)),"FAIL: below PUB min "&amp;SG_Criteria!$B$15&amp;"x"&amp;SG_Criteria!$B$16&amp;" for roadside drain. ","")&amp;IF(AND(D99="Common drain",F99&lt;SG_Criteria!$B$17),"FAIL: common drain W &lt; "&amp;SG_Criteria!$B$17&amp;" mm. ","")&amp;IF(AND(N99&lt;&gt;"",IFERROR(VALUE(MID(N99,2,2)),0)&lt;SG_Criteria!$B$19),"FAIL: grade below C"&amp;SG_Criteria!$B$19&amp;". ","")&amp;IF(AND(O99&lt;&gt;"",O99&lt;SG_Criteria!$B$20),"FAIL: cover &lt; "&amp;SG_Criteria!$B$20&amp;" mm. ","")&amp;IF(AND(E99="Open",G99&gt;SG_Criteria!$B$18),"NOTE: safety railing required (D &gt; "&amp;SG_Criteria!$B$18&amp;" mm). ","")&amp;IF(AND(D99="Entrance culvert",G99&lt;600),"NOTE: check hinged grating rule for culverts &lt; 600 deep (PUB Add. 3). ",""))=0,"OK",IF(AND(OR(D99="Roadside drain",D99="Entrance culvert"),OR(F99&lt;SG_Criteria!$B$15,G99&lt;SG_Criteria!$B$16)),"FAIL: below PUB min "&amp;SG_Criteria!$B$15&amp;"x"&amp;SG_Criteria!$B$16&amp;" for roadside drain. ","")&amp;IF(AND(D99="Common drain",F99&lt;SG_Criteria!$B$17),"FAIL: common drain W &lt; "&amp;SG_Criteria!$B$17&amp;" mm. ","")&amp;IF(AND(N99&lt;&gt;"",IFERROR(VALUE(MID(N99,2,2)),0)&lt;SG_Criteria!$B$19),"FAIL: grade below C"&amp;SG_Criteria!$B$19&amp;". ","")&amp;IF(AND(O99&lt;&gt;"",O99&lt;SG_Criteria!$B$20),"FAIL: cover &lt; "&amp;SG_Criteria!$B$20&amp;" mm. ","")&amp;IF(AND(E99="Open",G99&gt;SG_Criteria!$B$18),"NOTE: safety railing required (D &gt; "&amp;SG_Criteria!$B$18&amp;" mm). ","")&amp;IF(AND(D99="Entrance culvert",G99&lt;600),"NOTE: check hinged grating rule for culverts &lt; 600 deep (PUB Add. 3). ","")))</f>
        <v/>
      </c>
      <c r="AP99" s="9"/>
      <c r="AQ99" s="9"/>
      <c r="AR99" s="9"/>
      <c r="AS99" s="9"/>
      <c r="AT99" s="9"/>
      <c r="AU99" s="31"/>
      <c r="AV99" s="10" t="str">
        <f aca="false">IF(C99="","",IF(AND(V99="Approved",ISERROR(SEARCH("FAIL",AO99))),"Y","N"))</f>
        <v/>
      </c>
      <c r="AW99" s="10" t="str">
        <f aca="false">IF(C99="","",C99&amp;"|"&amp;F99&amp;"|"&amp;G99&amp;"|"&amp;L99&amp;"|"&amp;AV99)</f>
        <v/>
      </c>
    </row>
    <row r="100" customFormat="false" ht="15" hidden="false" customHeight="false" outlineLevel="0" collapsed="false">
      <c r="A100" s="10" t="str">
        <f aca="false">IF(C100="","","DRN-"&amp;IFERROR(VLOOKUP(C100,Lists!$A$4:$B$27,2,0),"??")&amp;"-"&amp;TEXT(F100,"0000")&amp;"x"&amp;TEXT(G100,"0000")&amp;IF(N(H100)&gt;1,"-"&amp;H100&amp;"C","")&amp;"-"&amp;IFERROR(VLOOKUP(L100,Lists!$J$4:$K$19,2,0),"??")&amp;"-"&amp;U100)</f>
        <v/>
      </c>
      <c r="B100" s="10" t="str">
        <f aca="false">IF(C100="","",C100&amp;" "&amp;F100&amp;"W x "&amp;G100&amp;"D"&amp;IF(N(H100)&gt;1," ("&amp;H100&amp;" cells)","")&amp;", "&amp;D100&amp;", "&amp;L100&amp;", "&amp;E100)</f>
        <v/>
      </c>
      <c r="C100" s="9"/>
      <c r="D100" s="9"/>
      <c r="E100" s="9"/>
      <c r="F100" s="40"/>
      <c r="G100" s="40"/>
      <c r="H100" s="40"/>
      <c r="I100" s="40"/>
      <c r="J100" s="40"/>
      <c r="K100" s="40"/>
      <c r="L100" s="9"/>
      <c r="M100" s="9"/>
      <c r="N100" s="9"/>
      <c r="O100" s="40"/>
      <c r="P100" s="9"/>
      <c r="Q100" s="9"/>
      <c r="R100" s="9"/>
      <c r="S100" s="9"/>
      <c r="T100" s="9"/>
      <c r="U100" s="9"/>
      <c r="V100" s="9"/>
      <c r="W100" s="9"/>
      <c r="X100" s="9"/>
      <c r="Y100" s="9"/>
      <c r="Z100" s="10" t="str">
        <f aca="false">IF(A100="","",SG_Criteria!$B$6&amp;SG_Criteria!$B$7&amp;"\"&amp;A100&amp;"\")</f>
        <v/>
      </c>
      <c r="AA100" s="10" t="str">
        <f aca="false">IF(A100="","",A100&amp;"_CAD.dwg")</f>
        <v/>
      </c>
      <c r="AB100" s="10" t="str">
        <f aca="false">IF(A100="","",A100&amp;"_DWG.pdf")</f>
        <v/>
      </c>
      <c r="AC100" s="10" t="str">
        <f aca="false">IF(A100="","",IF(Y100="Y",A100&amp;"_STAAD.std","n/a"))</f>
        <v/>
      </c>
      <c r="AD100" s="10" t="str">
        <f aca="false">IF(A100="","",A100&amp;"_CALC.xlsx")</f>
        <v/>
      </c>
      <c r="AE100" s="10" t="str">
        <f aca="false">IF(A100="","",A100&amp;"_CALC.pdf")</f>
        <v/>
      </c>
      <c r="AF100" s="9"/>
      <c r="AG100" s="9"/>
      <c r="AH100" s="41"/>
      <c r="AI100" s="41"/>
      <c r="AJ100" s="41"/>
      <c r="AK100" s="41"/>
      <c r="AL100" s="41"/>
      <c r="AM100" s="37" t="str">
        <f aca="false">IF(OR(C100="",F100="",G100="",C100="Sump",C100="Drop Inlet Chamber",C100="Silt Trap",C100="Pipe Culvert",C100="Subsoil Drain"),"",ROUND(MAX(1,N(H100))*(1/SG_Criteria!$B$26)*((F100/1000)*(G100/1000*(1-SG_Criteria!$B$25)))*(((F100/1000)*(G100/1000*(1-SG_Criteria!$B$25)))/((F100/1000)+2*(G100/1000*(1-SG_Criteria!$B$25))))^(2/3)*(1/Design_Selector!$B$11)^0.5,3))</f>
        <v/>
      </c>
      <c r="AN100" s="11" t="str">
        <f aca="false">IF(AM100="","",ROUND(AM100/(MAX(1,N(H100))*F100/1000*(G100/1000*(1-SG_Criteria!$B$25))),2))</f>
        <v/>
      </c>
      <c r="AO100" s="38" t="str">
        <f aca="false">IF(C100="","",IF(LEN(IF(AND(OR(D100="Roadside drain",D100="Entrance culvert"),OR(F100&lt;SG_Criteria!$B$15,G100&lt;SG_Criteria!$B$16)),"FAIL: below PUB min "&amp;SG_Criteria!$B$15&amp;"x"&amp;SG_Criteria!$B$16&amp;" for roadside drain. ","")&amp;IF(AND(D100="Common drain",F100&lt;SG_Criteria!$B$17),"FAIL: common drain W &lt; "&amp;SG_Criteria!$B$17&amp;" mm. ","")&amp;IF(AND(N100&lt;&gt;"",IFERROR(VALUE(MID(N100,2,2)),0)&lt;SG_Criteria!$B$19),"FAIL: grade below C"&amp;SG_Criteria!$B$19&amp;". ","")&amp;IF(AND(O100&lt;&gt;"",O100&lt;SG_Criteria!$B$20),"FAIL: cover &lt; "&amp;SG_Criteria!$B$20&amp;" mm. ","")&amp;IF(AND(E100="Open",G100&gt;SG_Criteria!$B$18),"NOTE: safety railing required (D &gt; "&amp;SG_Criteria!$B$18&amp;" mm). ","")&amp;IF(AND(D100="Entrance culvert",G100&lt;600),"NOTE: check hinged grating rule for culverts &lt; 600 deep (PUB Add. 3). ",""))=0,"OK",IF(AND(OR(D100="Roadside drain",D100="Entrance culvert"),OR(F100&lt;SG_Criteria!$B$15,G100&lt;SG_Criteria!$B$16)),"FAIL: below PUB min "&amp;SG_Criteria!$B$15&amp;"x"&amp;SG_Criteria!$B$16&amp;" for roadside drain. ","")&amp;IF(AND(D100="Common drain",F100&lt;SG_Criteria!$B$17),"FAIL: common drain W &lt; "&amp;SG_Criteria!$B$17&amp;" mm. ","")&amp;IF(AND(N100&lt;&gt;"",IFERROR(VALUE(MID(N100,2,2)),0)&lt;SG_Criteria!$B$19),"FAIL: grade below C"&amp;SG_Criteria!$B$19&amp;". ","")&amp;IF(AND(O100&lt;&gt;"",O100&lt;SG_Criteria!$B$20),"FAIL: cover &lt; "&amp;SG_Criteria!$B$20&amp;" mm. ","")&amp;IF(AND(E100="Open",G100&gt;SG_Criteria!$B$18),"NOTE: safety railing required (D &gt; "&amp;SG_Criteria!$B$18&amp;" mm). ","")&amp;IF(AND(D100="Entrance culvert",G100&lt;600),"NOTE: check hinged grating rule for culverts &lt; 600 deep (PUB Add. 3). ","")))</f>
        <v/>
      </c>
      <c r="AP100" s="9"/>
      <c r="AQ100" s="9"/>
      <c r="AR100" s="9"/>
      <c r="AS100" s="9"/>
      <c r="AT100" s="9"/>
      <c r="AU100" s="31"/>
      <c r="AV100" s="10" t="str">
        <f aca="false">IF(C100="","",IF(AND(V100="Approved",ISERROR(SEARCH("FAIL",AO100))),"Y","N"))</f>
        <v/>
      </c>
      <c r="AW100" s="10" t="str">
        <f aca="false">IF(C100="","",C100&amp;"|"&amp;F100&amp;"|"&amp;G100&amp;"|"&amp;L100&amp;"|"&amp;AV100)</f>
        <v/>
      </c>
    </row>
    <row r="101" customFormat="false" ht="15" hidden="false" customHeight="false" outlineLevel="0" collapsed="false">
      <c r="A101" s="10" t="str">
        <f aca="false">IF(C101="","","DRN-"&amp;IFERROR(VLOOKUP(C101,Lists!$A$4:$B$27,2,0),"??")&amp;"-"&amp;TEXT(F101,"0000")&amp;"x"&amp;TEXT(G101,"0000")&amp;IF(N(H101)&gt;1,"-"&amp;H101&amp;"C","")&amp;"-"&amp;IFERROR(VLOOKUP(L101,Lists!$J$4:$K$19,2,0),"??")&amp;"-"&amp;U101)</f>
        <v/>
      </c>
      <c r="B101" s="10" t="str">
        <f aca="false">IF(C101="","",C101&amp;" "&amp;F101&amp;"W x "&amp;G101&amp;"D"&amp;IF(N(H101)&gt;1," ("&amp;H101&amp;" cells)","")&amp;", "&amp;D101&amp;", "&amp;L101&amp;", "&amp;E101)</f>
        <v/>
      </c>
      <c r="C101" s="9"/>
      <c r="D101" s="9"/>
      <c r="E101" s="9"/>
      <c r="F101" s="40"/>
      <c r="G101" s="40"/>
      <c r="H101" s="40"/>
      <c r="I101" s="40"/>
      <c r="J101" s="40"/>
      <c r="K101" s="40"/>
      <c r="L101" s="9"/>
      <c r="M101" s="9"/>
      <c r="N101" s="9"/>
      <c r="O101" s="40"/>
      <c r="P101" s="9"/>
      <c r="Q101" s="9"/>
      <c r="R101" s="9"/>
      <c r="S101" s="9"/>
      <c r="T101" s="9"/>
      <c r="U101" s="9"/>
      <c r="V101" s="9"/>
      <c r="W101" s="9"/>
      <c r="X101" s="9"/>
      <c r="Y101" s="9"/>
      <c r="Z101" s="10" t="str">
        <f aca="false">IF(A101="","",SG_Criteria!$B$6&amp;SG_Criteria!$B$7&amp;"\"&amp;A101&amp;"\")</f>
        <v/>
      </c>
      <c r="AA101" s="10" t="str">
        <f aca="false">IF(A101="","",A101&amp;"_CAD.dwg")</f>
        <v/>
      </c>
      <c r="AB101" s="10" t="str">
        <f aca="false">IF(A101="","",A101&amp;"_DWG.pdf")</f>
        <v/>
      </c>
      <c r="AC101" s="10" t="str">
        <f aca="false">IF(A101="","",IF(Y101="Y",A101&amp;"_STAAD.std","n/a"))</f>
        <v/>
      </c>
      <c r="AD101" s="10" t="str">
        <f aca="false">IF(A101="","",A101&amp;"_CALC.xlsx")</f>
        <v/>
      </c>
      <c r="AE101" s="10" t="str">
        <f aca="false">IF(A101="","",A101&amp;"_CALC.pdf")</f>
        <v/>
      </c>
      <c r="AF101" s="9"/>
      <c r="AG101" s="9"/>
      <c r="AH101" s="41"/>
      <c r="AI101" s="41"/>
      <c r="AJ101" s="41"/>
      <c r="AK101" s="41"/>
      <c r="AL101" s="41"/>
      <c r="AM101" s="37" t="str">
        <f aca="false">IF(OR(C101="",F101="",G101="",C101="Sump",C101="Drop Inlet Chamber",C101="Silt Trap",C101="Pipe Culvert",C101="Subsoil Drain"),"",ROUND(MAX(1,N(H101))*(1/SG_Criteria!$B$26)*((F101/1000)*(G101/1000*(1-SG_Criteria!$B$25)))*(((F101/1000)*(G101/1000*(1-SG_Criteria!$B$25)))/((F101/1000)+2*(G101/1000*(1-SG_Criteria!$B$25))))^(2/3)*(1/Design_Selector!$B$11)^0.5,3))</f>
        <v/>
      </c>
      <c r="AN101" s="11" t="str">
        <f aca="false">IF(AM101="","",ROUND(AM101/(MAX(1,N(H101))*F101/1000*(G101/1000*(1-SG_Criteria!$B$25))),2))</f>
        <v/>
      </c>
      <c r="AO101" s="38" t="str">
        <f aca="false">IF(C101="","",IF(LEN(IF(AND(OR(D101="Roadside drain",D101="Entrance culvert"),OR(F101&lt;SG_Criteria!$B$15,G101&lt;SG_Criteria!$B$16)),"FAIL: below PUB min "&amp;SG_Criteria!$B$15&amp;"x"&amp;SG_Criteria!$B$16&amp;" for roadside drain. ","")&amp;IF(AND(D101="Common drain",F101&lt;SG_Criteria!$B$17),"FAIL: common drain W &lt; "&amp;SG_Criteria!$B$17&amp;" mm. ","")&amp;IF(AND(N101&lt;&gt;"",IFERROR(VALUE(MID(N101,2,2)),0)&lt;SG_Criteria!$B$19),"FAIL: grade below C"&amp;SG_Criteria!$B$19&amp;". ","")&amp;IF(AND(O101&lt;&gt;"",O101&lt;SG_Criteria!$B$20),"FAIL: cover &lt; "&amp;SG_Criteria!$B$20&amp;" mm. ","")&amp;IF(AND(E101="Open",G101&gt;SG_Criteria!$B$18),"NOTE: safety railing required (D &gt; "&amp;SG_Criteria!$B$18&amp;" mm). ","")&amp;IF(AND(D101="Entrance culvert",G101&lt;600),"NOTE: check hinged grating rule for culverts &lt; 600 deep (PUB Add. 3). ",""))=0,"OK",IF(AND(OR(D101="Roadside drain",D101="Entrance culvert"),OR(F101&lt;SG_Criteria!$B$15,G101&lt;SG_Criteria!$B$16)),"FAIL: below PUB min "&amp;SG_Criteria!$B$15&amp;"x"&amp;SG_Criteria!$B$16&amp;" for roadside drain. ","")&amp;IF(AND(D101="Common drain",F101&lt;SG_Criteria!$B$17),"FAIL: common drain W &lt; "&amp;SG_Criteria!$B$17&amp;" mm. ","")&amp;IF(AND(N101&lt;&gt;"",IFERROR(VALUE(MID(N101,2,2)),0)&lt;SG_Criteria!$B$19),"FAIL: grade below C"&amp;SG_Criteria!$B$19&amp;". ","")&amp;IF(AND(O101&lt;&gt;"",O101&lt;SG_Criteria!$B$20),"FAIL: cover &lt; "&amp;SG_Criteria!$B$20&amp;" mm. ","")&amp;IF(AND(E101="Open",G101&gt;SG_Criteria!$B$18),"NOTE: safety railing required (D &gt; "&amp;SG_Criteria!$B$18&amp;" mm). ","")&amp;IF(AND(D101="Entrance culvert",G101&lt;600),"NOTE: check hinged grating rule for culverts &lt; 600 deep (PUB Add. 3). ","")))</f>
        <v/>
      </c>
      <c r="AP101" s="9"/>
      <c r="AQ101" s="9"/>
      <c r="AR101" s="9"/>
      <c r="AS101" s="9"/>
      <c r="AT101" s="9"/>
      <c r="AU101" s="31"/>
      <c r="AV101" s="10" t="str">
        <f aca="false">IF(C101="","",IF(AND(V101="Approved",ISERROR(SEARCH("FAIL",AO101))),"Y","N"))</f>
        <v/>
      </c>
      <c r="AW101" s="10" t="str">
        <f aca="false">IF(C101="","",C101&amp;"|"&amp;F101&amp;"|"&amp;G101&amp;"|"&amp;L101&amp;"|"&amp;AV101)</f>
        <v/>
      </c>
    </row>
    <row r="102" customFormat="false" ht="15" hidden="false" customHeight="false" outlineLevel="0" collapsed="false">
      <c r="A102" s="10" t="str">
        <f aca="false">IF(C102="","","DRN-"&amp;IFERROR(VLOOKUP(C102,Lists!$A$4:$B$27,2,0),"??")&amp;"-"&amp;TEXT(F102,"0000")&amp;"x"&amp;TEXT(G102,"0000")&amp;IF(N(H102)&gt;1,"-"&amp;H102&amp;"C","")&amp;"-"&amp;IFERROR(VLOOKUP(L102,Lists!$J$4:$K$19,2,0),"??")&amp;"-"&amp;U102)</f>
        <v/>
      </c>
      <c r="B102" s="10" t="str">
        <f aca="false">IF(C102="","",C102&amp;" "&amp;F102&amp;"W x "&amp;G102&amp;"D"&amp;IF(N(H102)&gt;1," ("&amp;H102&amp;" cells)","")&amp;", "&amp;D102&amp;", "&amp;L102&amp;", "&amp;E102)</f>
        <v/>
      </c>
      <c r="C102" s="9"/>
      <c r="D102" s="9"/>
      <c r="E102" s="9"/>
      <c r="F102" s="40"/>
      <c r="G102" s="40"/>
      <c r="H102" s="40"/>
      <c r="I102" s="40"/>
      <c r="J102" s="40"/>
      <c r="K102" s="40"/>
      <c r="L102" s="9"/>
      <c r="M102" s="9"/>
      <c r="N102" s="9"/>
      <c r="O102" s="40"/>
      <c r="P102" s="9"/>
      <c r="Q102" s="9"/>
      <c r="R102" s="9"/>
      <c r="S102" s="9"/>
      <c r="T102" s="9"/>
      <c r="U102" s="9"/>
      <c r="V102" s="9"/>
      <c r="W102" s="9"/>
      <c r="X102" s="9"/>
      <c r="Y102" s="9"/>
      <c r="Z102" s="10" t="str">
        <f aca="false">IF(A102="","",SG_Criteria!$B$6&amp;SG_Criteria!$B$7&amp;"\"&amp;A102&amp;"\")</f>
        <v/>
      </c>
      <c r="AA102" s="10" t="str">
        <f aca="false">IF(A102="","",A102&amp;"_CAD.dwg")</f>
        <v/>
      </c>
      <c r="AB102" s="10" t="str">
        <f aca="false">IF(A102="","",A102&amp;"_DWG.pdf")</f>
        <v/>
      </c>
      <c r="AC102" s="10" t="str">
        <f aca="false">IF(A102="","",IF(Y102="Y",A102&amp;"_STAAD.std","n/a"))</f>
        <v/>
      </c>
      <c r="AD102" s="10" t="str">
        <f aca="false">IF(A102="","",A102&amp;"_CALC.xlsx")</f>
        <v/>
      </c>
      <c r="AE102" s="10" t="str">
        <f aca="false">IF(A102="","",A102&amp;"_CALC.pdf")</f>
        <v/>
      </c>
      <c r="AF102" s="9"/>
      <c r="AG102" s="9"/>
      <c r="AH102" s="41"/>
      <c r="AI102" s="41"/>
      <c r="AJ102" s="41"/>
      <c r="AK102" s="41"/>
      <c r="AL102" s="41"/>
      <c r="AM102" s="37" t="str">
        <f aca="false">IF(OR(C102="",F102="",G102="",C102="Sump",C102="Drop Inlet Chamber",C102="Silt Trap",C102="Pipe Culvert",C102="Subsoil Drain"),"",ROUND(MAX(1,N(H102))*(1/SG_Criteria!$B$26)*((F102/1000)*(G102/1000*(1-SG_Criteria!$B$25)))*(((F102/1000)*(G102/1000*(1-SG_Criteria!$B$25)))/((F102/1000)+2*(G102/1000*(1-SG_Criteria!$B$25))))^(2/3)*(1/Design_Selector!$B$11)^0.5,3))</f>
        <v/>
      </c>
      <c r="AN102" s="11" t="str">
        <f aca="false">IF(AM102="","",ROUND(AM102/(MAX(1,N(H102))*F102/1000*(G102/1000*(1-SG_Criteria!$B$25))),2))</f>
        <v/>
      </c>
      <c r="AO102" s="38" t="str">
        <f aca="false">IF(C102="","",IF(LEN(IF(AND(OR(D102="Roadside drain",D102="Entrance culvert"),OR(F102&lt;SG_Criteria!$B$15,G102&lt;SG_Criteria!$B$16)),"FAIL: below PUB min "&amp;SG_Criteria!$B$15&amp;"x"&amp;SG_Criteria!$B$16&amp;" for roadside drain. ","")&amp;IF(AND(D102="Common drain",F102&lt;SG_Criteria!$B$17),"FAIL: common drain W &lt; "&amp;SG_Criteria!$B$17&amp;" mm. ","")&amp;IF(AND(N102&lt;&gt;"",IFERROR(VALUE(MID(N102,2,2)),0)&lt;SG_Criteria!$B$19),"FAIL: grade below C"&amp;SG_Criteria!$B$19&amp;". ","")&amp;IF(AND(O102&lt;&gt;"",O102&lt;SG_Criteria!$B$20),"FAIL: cover &lt; "&amp;SG_Criteria!$B$20&amp;" mm. ","")&amp;IF(AND(E102="Open",G102&gt;SG_Criteria!$B$18),"NOTE: safety railing required (D &gt; "&amp;SG_Criteria!$B$18&amp;" mm). ","")&amp;IF(AND(D102="Entrance culvert",G102&lt;600),"NOTE: check hinged grating rule for culverts &lt; 600 deep (PUB Add. 3). ",""))=0,"OK",IF(AND(OR(D102="Roadside drain",D102="Entrance culvert"),OR(F102&lt;SG_Criteria!$B$15,G102&lt;SG_Criteria!$B$16)),"FAIL: below PUB min "&amp;SG_Criteria!$B$15&amp;"x"&amp;SG_Criteria!$B$16&amp;" for roadside drain. ","")&amp;IF(AND(D102="Common drain",F102&lt;SG_Criteria!$B$17),"FAIL: common drain W &lt; "&amp;SG_Criteria!$B$17&amp;" mm. ","")&amp;IF(AND(N102&lt;&gt;"",IFERROR(VALUE(MID(N102,2,2)),0)&lt;SG_Criteria!$B$19),"FAIL: grade below C"&amp;SG_Criteria!$B$19&amp;". ","")&amp;IF(AND(O102&lt;&gt;"",O102&lt;SG_Criteria!$B$20),"FAIL: cover &lt; "&amp;SG_Criteria!$B$20&amp;" mm. ","")&amp;IF(AND(E102="Open",G102&gt;SG_Criteria!$B$18),"NOTE: safety railing required (D &gt; "&amp;SG_Criteria!$B$18&amp;" mm). ","")&amp;IF(AND(D102="Entrance culvert",G102&lt;600),"NOTE: check hinged grating rule for culverts &lt; 600 deep (PUB Add. 3). ","")))</f>
        <v/>
      </c>
      <c r="AP102" s="9"/>
      <c r="AQ102" s="9"/>
      <c r="AR102" s="9"/>
      <c r="AS102" s="9"/>
      <c r="AT102" s="9"/>
      <c r="AU102" s="31"/>
      <c r="AV102" s="10" t="str">
        <f aca="false">IF(C102="","",IF(AND(V102="Approved",ISERROR(SEARCH("FAIL",AO102))),"Y","N"))</f>
        <v/>
      </c>
      <c r="AW102" s="10" t="str">
        <f aca="false">IF(C102="","",C102&amp;"|"&amp;F102&amp;"|"&amp;G102&amp;"|"&amp;L102&amp;"|"&amp;AV102)</f>
        <v/>
      </c>
    </row>
    <row r="103" customFormat="false" ht="15" hidden="false" customHeight="false" outlineLevel="0" collapsed="false">
      <c r="A103" s="10" t="str">
        <f aca="false">IF(C103="","","DRN-"&amp;IFERROR(VLOOKUP(C103,Lists!$A$4:$B$27,2,0),"??")&amp;"-"&amp;TEXT(F103,"0000")&amp;"x"&amp;TEXT(G103,"0000")&amp;IF(N(H103)&gt;1,"-"&amp;H103&amp;"C","")&amp;"-"&amp;IFERROR(VLOOKUP(L103,Lists!$J$4:$K$19,2,0),"??")&amp;"-"&amp;U103)</f>
        <v/>
      </c>
      <c r="B103" s="10" t="str">
        <f aca="false">IF(C103="","",C103&amp;" "&amp;F103&amp;"W x "&amp;G103&amp;"D"&amp;IF(N(H103)&gt;1," ("&amp;H103&amp;" cells)","")&amp;", "&amp;D103&amp;", "&amp;L103&amp;", "&amp;E103)</f>
        <v/>
      </c>
      <c r="C103" s="9"/>
      <c r="D103" s="9"/>
      <c r="E103" s="9"/>
      <c r="F103" s="40"/>
      <c r="G103" s="40"/>
      <c r="H103" s="40"/>
      <c r="I103" s="40"/>
      <c r="J103" s="40"/>
      <c r="K103" s="40"/>
      <c r="L103" s="9"/>
      <c r="M103" s="9"/>
      <c r="N103" s="9"/>
      <c r="O103" s="40"/>
      <c r="P103" s="9"/>
      <c r="Q103" s="9"/>
      <c r="R103" s="9"/>
      <c r="S103" s="9"/>
      <c r="T103" s="9"/>
      <c r="U103" s="9"/>
      <c r="V103" s="9"/>
      <c r="W103" s="9"/>
      <c r="X103" s="9"/>
      <c r="Y103" s="9"/>
      <c r="Z103" s="10" t="str">
        <f aca="false">IF(A103="","",SG_Criteria!$B$6&amp;SG_Criteria!$B$7&amp;"\"&amp;A103&amp;"\")</f>
        <v/>
      </c>
      <c r="AA103" s="10" t="str">
        <f aca="false">IF(A103="","",A103&amp;"_CAD.dwg")</f>
        <v/>
      </c>
      <c r="AB103" s="10" t="str">
        <f aca="false">IF(A103="","",A103&amp;"_DWG.pdf")</f>
        <v/>
      </c>
      <c r="AC103" s="10" t="str">
        <f aca="false">IF(A103="","",IF(Y103="Y",A103&amp;"_STAAD.std","n/a"))</f>
        <v/>
      </c>
      <c r="AD103" s="10" t="str">
        <f aca="false">IF(A103="","",A103&amp;"_CALC.xlsx")</f>
        <v/>
      </c>
      <c r="AE103" s="10" t="str">
        <f aca="false">IF(A103="","",A103&amp;"_CALC.pdf")</f>
        <v/>
      </c>
      <c r="AF103" s="9"/>
      <c r="AG103" s="9"/>
      <c r="AH103" s="41"/>
      <c r="AI103" s="41"/>
      <c r="AJ103" s="41"/>
      <c r="AK103" s="41"/>
      <c r="AL103" s="41"/>
      <c r="AM103" s="37" t="str">
        <f aca="false">IF(OR(C103="",F103="",G103="",C103="Sump",C103="Drop Inlet Chamber",C103="Silt Trap",C103="Pipe Culvert",C103="Subsoil Drain"),"",ROUND(MAX(1,N(H103))*(1/SG_Criteria!$B$26)*((F103/1000)*(G103/1000*(1-SG_Criteria!$B$25)))*(((F103/1000)*(G103/1000*(1-SG_Criteria!$B$25)))/((F103/1000)+2*(G103/1000*(1-SG_Criteria!$B$25))))^(2/3)*(1/Design_Selector!$B$11)^0.5,3))</f>
        <v/>
      </c>
      <c r="AN103" s="11" t="str">
        <f aca="false">IF(AM103="","",ROUND(AM103/(MAX(1,N(H103))*F103/1000*(G103/1000*(1-SG_Criteria!$B$25))),2))</f>
        <v/>
      </c>
      <c r="AO103" s="38" t="str">
        <f aca="false">IF(C103="","",IF(LEN(IF(AND(OR(D103="Roadside drain",D103="Entrance culvert"),OR(F103&lt;SG_Criteria!$B$15,G103&lt;SG_Criteria!$B$16)),"FAIL: below PUB min "&amp;SG_Criteria!$B$15&amp;"x"&amp;SG_Criteria!$B$16&amp;" for roadside drain. ","")&amp;IF(AND(D103="Common drain",F103&lt;SG_Criteria!$B$17),"FAIL: common drain W &lt; "&amp;SG_Criteria!$B$17&amp;" mm. ","")&amp;IF(AND(N103&lt;&gt;"",IFERROR(VALUE(MID(N103,2,2)),0)&lt;SG_Criteria!$B$19),"FAIL: grade below C"&amp;SG_Criteria!$B$19&amp;". ","")&amp;IF(AND(O103&lt;&gt;"",O103&lt;SG_Criteria!$B$20),"FAIL: cover &lt; "&amp;SG_Criteria!$B$20&amp;" mm. ","")&amp;IF(AND(E103="Open",G103&gt;SG_Criteria!$B$18),"NOTE: safety railing required (D &gt; "&amp;SG_Criteria!$B$18&amp;" mm). ","")&amp;IF(AND(D103="Entrance culvert",G103&lt;600),"NOTE: check hinged grating rule for culverts &lt; 600 deep (PUB Add. 3). ",""))=0,"OK",IF(AND(OR(D103="Roadside drain",D103="Entrance culvert"),OR(F103&lt;SG_Criteria!$B$15,G103&lt;SG_Criteria!$B$16)),"FAIL: below PUB min "&amp;SG_Criteria!$B$15&amp;"x"&amp;SG_Criteria!$B$16&amp;" for roadside drain. ","")&amp;IF(AND(D103="Common drain",F103&lt;SG_Criteria!$B$17),"FAIL: common drain W &lt; "&amp;SG_Criteria!$B$17&amp;" mm. ","")&amp;IF(AND(N103&lt;&gt;"",IFERROR(VALUE(MID(N103,2,2)),0)&lt;SG_Criteria!$B$19),"FAIL: grade below C"&amp;SG_Criteria!$B$19&amp;". ","")&amp;IF(AND(O103&lt;&gt;"",O103&lt;SG_Criteria!$B$20),"FAIL: cover &lt; "&amp;SG_Criteria!$B$20&amp;" mm. ","")&amp;IF(AND(E103="Open",G103&gt;SG_Criteria!$B$18),"NOTE: safety railing required (D &gt; "&amp;SG_Criteria!$B$18&amp;" mm). ","")&amp;IF(AND(D103="Entrance culvert",G103&lt;600),"NOTE: check hinged grating rule for culverts &lt; 600 deep (PUB Add. 3). ","")))</f>
        <v/>
      </c>
      <c r="AP103" s="9"/>
      <c r="AQ103" s="9"/>
      <c r="AR103" s="9"/>
      <c r="AS103" s="9"/>
      <c r="AT103" s="9"/>
      <c r="AU103" s="31"/>
      <c r="AV103" s="10" t="str">
        <f aca="false">IF(C103="","",IF(AND(V103="Approved",ISERROR(SEARCH("FAIL",AO103))),"Y","N"))</f>
        <v/>
      </c>
      <c r="AW103" s="10" t="str">
        <f aca="false">IF(C103="","",C103&amp;"|"&amp;F103&amp;"|"&amp;G103&amp;"|"&amp;L103&amp;"|"&amp;AV103)</f>
        <v/>
      </c>
    </row>
    <row r="104" customFormat="false" ht="15" hidden="false" customHeight="false" outlineLevel="0" collapsed="false">
      <c r="A104" s="10" t="str">
        <f aca="false">IF(C104="","","DRN-"&amp;IFERROR(VLOOKUP(C104,Lists!$A$4:$B$27,2,0),"??")&amp;"-"&amp;TEXT(F104,"0000")&amp;"x"&amp;TEXT(G104,"0000")&amp;IF(N(H104)&gt;1,"-"&amp;H104&amp;"C","")&amp;"-"&amp;IFERROR(VLOOKUP(L104,Lists!$J$4:$K$19,2,0),"??")&amp;"-"&amp;U104)</f>
        <v/>
      </c>
      <c r="B104" s="10" t="str">
        <f aca="false">IF(C104="","",C104&amp;" "&amp;F104&amp;"W x "&amp;G104&amp;"D"&amp;IF(N(H104)&gt;1," ("&amp;H104&amp;" cells)","")&amp;", "&amp;D104&amp;", "&amp;L104&amp;", "&amp;E104)</f>
        <v/>
      </c>
      <c r="C104" s="9"/>
      <c r="D104" s="9"/>
      <c r="E104" s="9"/>
      <c r="F104" s="40"/>
      <c r="G104" s="40"/>
      <c r="H104" s="40"/>
      <c r="I104" s="40"/>
      <c r="J104" s="40"/>
      <c r="K104" s="40"/>
      <c r="L104" s="9"/>
      <c r="M104" s="9"/>
      <c r="N104" s="9"/>
      <c r="O104" s="40"/>
      <c r="P104" s="9"/>
      <c r="Q104" s="9"/>
      <c r="R104" s="9"/>
      <c r="S104" s="9"/>
      <c r="T104" s="9"/>
      <c r="U104" s="9"/>
      <c r="V104" s="9"/>
      <c r="W104" s="9"/>
      <c r="X104" s="9"/>
      <c r="Y104" s="9"/>
      <c r="Z104" s="10" t="str">
        <f aca="false">IF(A104="","",SG_Criteria!$B$6&amp;SG_Criteria!$B$7&amp;"\"&amp;A104&amp;"\")</f>
        <v/>
      </c>
      <c r="AA104" s="10" t="str">
        <f aca="false">IF(A104="","",A104&amp;"_CAD.dwg")</f>
        <v/>
      </c>
      <c r="AB104" s="10" t="str">
        <f aca="false">IF(A104="","",A104&amp;"_DWG.pdf")</f>
        <v/>
      </c>
      <c r="AC104" s="10" t="str">
        <f aca="false">IF(A104="","",IF(Y104="Y",A104&amp;"_STAAD.std","n/a"))</f>
        <v/>
      </c>
      <c r="AD104" s="10" t="str">
        <f aca="false">IF(A104="","",A104&amp;"_CALC.xlsx")</f>
        <v/>
      </c>
      <c r="AE104" s="10" t="str">
        <f aca="false">IF(A104="","",A104&amp;"_CALC.pdf")</f>
        <v/>
      </c>
      <c r="AF104" s="9"/>
      <c r="AG104" s="9"/>
      <c r="AH104" s="41"/>
      <c r="AI104" s="41"/>
      <c r="AJ104" s="41"/>
      <c r="AK104" s="41"/>
      <c r="AL104" s="41"/>
      <c r="AM104" s="37" t="str">
        <f aca="false">IF(OR(C104="",F104="",G104="",C104="Sump",C104="Drop Inlet Chamber",C104="Silt Trap",C104="Pipe Culvert",C104="Subsoil Drain"),"",ROUND(MAX(1,N(H104))*(1/SG_Criteria!$B$26)*((F104/1000)*(G104/1000*(1-SG_Criteria!$B$25)))*(((F104/1000)*(G104/1000*(1-SG_Criteria!$B$25)))/((F104/1000)+2*(G104/1000*(1-SG_Criteria!$B$25))))^(2/3)*(1/Design_Selector!$B$11)^0.5,3))</f>
        <v/>
      </c>
      <c r="AN104" s="11" t="str">
        <f aca="false">IF(AM104="","",ROUND(AM104/(MAX(1,N(H104))*F104/1000*(G104/1000*(1-SG_Criteria!$B$25))),2))</f>
        <v/>
      </c>
      <c r="AO104" s="38" t="str">
        <f aca="false">IF(C104="","",IF(LEN(IF(AND(OR(D104="Roadside drain",D104="Entrance culvert"),OR(F104&lt;SG_Criteria!$B$15,G104&lt;SG_Criteria!$B$16)),"FAIL: below PUB min "&amp;SG_Criteria!$B$15&amp;"x"&amp;SG_Criteria!$B$16&amp;" for roadside drain. ","")&amp;IF(AND(D104="Common drain",F104&lt;SG_Criteria!$B$17),"FAIL: common drain W &lt; "&amp;SG_Criteria!$B$17&amp;" mm. ","")&amp;IF(AND(N104&lt;&gt;"",IFERROR(VALUE(MID(N104,2,2)),0)&lt;SG_Criteria!$B$19),"FAIL: grade below C"&amp;SG_Criteria!$B$19&amp;". ","")&amp;IF(AND(O104&lt;&gt;"",O104&lt;SG_Criteria!$B$20),"FAIL: cover &lt; "&amp;SG_Criteria!$B$20&amp;" mm. ","")&amp;IF(AND(E104="Open",G104&gt;SG_Criteria!$B$18),"NOTE: safety railing required (D &gt; "&amp;SG_Criteria!$B$18&amp;" mm). ","")&amp;IF(AND(D104="Entrance culvert",G104&lt;600),"NOTE: check hinged grating rule for culverts &lt; 600 deep (PUB Add. 3). ",""))=0,"OK",IF(AND(OR(D104="Roadside drain",D104="Entrance culvert"),OR(F104&lt;SG_Criteria!$B$15,G104&lt;SG_Criteria!$B$16)),"FAIL: below PUB min "&amp;SG_Criteria!$B$15&amp;"x"&amp;SG_Criteria!$B$16&amp;" for roadside drain. ","")&amp;IF(AND(D104="Common drain",F104&lt;SG_Criteria!$B$17),"FAIL: common drain W &lt; "&amp;SG_Criteria!$B$17&amp;" mm. ","")&amp;IF(AND(N104&lt;&gt;"",IFERROR(VALUE(MID(N104,2,2)),0)&lt;SG_Criteria!$B$19),"FAIL: grade below C"&amp;SG_Criteria!$B$19&amp;". ","")&amp;IF(AND(O104&lt;&gt;"",O104&lt;SG_Criteria!$B$20),"FAIL: cover &lt; "&amp;SG_Criteria!$B$20&amp;" mm. ","")&amp;IF(AND(E104="Open",G104&gt;SG_Criteria!$B$18),"NOTE: safety railing required (D &gt; "&amp;SG_Criteria!$B$18&amp;" mm). ","")&amp;IF(AND(D104="Entrance culvert",G104&lt;600),"NOTE: check hinged grating rule for culverts &lt; 600 deep (PUB Add. 3). ","")))</f>
        <v/>
      </c>
      <c r="AP104" s="9"/>
      <c r="AQ104" s="9"/>
      <c r="AR104" s="9"/>
      <c r="AS104" s="9"/>
      <c r="AT104" s="9"/>
      <c r="AU104" s="31"/>
      <c r="AV104" s="10" t="str">
        <f aca="false">IF(C104="","",IF(AND(V104="Approved",ISERROR(SEARCH("FAIL",AO104))),"Y","N"))</f>
        <v/>
      </c>
      <c r="AW104" s="10" t="str">
        <f aca="false">IF(C104="","",C104&amp;"|"&amp;F104&amp;"|"&amp;G104&amp;"|"&amp;L104&amp;"|"&amp;AV104)</f>
        <v/>
      </c>
    </row>
    <row r="105" customFormat="false" ht="15" hidden="false" customHeight="false" outlineLevel="0" collapsed="false">
      <c r="A105" s="10" t="str">
        <f aca="false">IF(C105="","","DRN-"&amp;IFERROR(VLOOKUP(C105,Lists!$A$4:$B$27,2,0),"??")&amp;"-"&amp;TEXT(F105,"0000")&amp;"x"&amp;TEXT(G105,"0000")&amp;IF(N(H105)&gt;1,"-"&amp;H105&amp;"C","")&amp;"-"&amp;IFERROR(VLOOKUP(L105,Lists!$J$4:$K$19,2,0),"??")&amp;"-"&amp;U105)</f>
        <v/>
      </c>
      <c r="B105" s="10" t="str">
        <f aca="false">IF(C105="","",C105&amp;" "&amp;F105&amp;"W x "&amp;G105&amp;"D"&amp;IF(N(H105)&gt;1," ("&amp;H105&amp;" cells)","")&amp;", "&amp;D105&amp;", "&amp;L105&amp;", "&amp;E105)</f>
        <v/>
      </c>
      <c r="C105" s="9"/>
      <c r="D105" s="9"/>
      <c r="E105" s="9"/>
      <c r="F105" s="40"/>
      <c r="G105" s="40"/>
      <c r="H105" s="40"/>
      <c r="I105" s="40"/>
      <c r="J105" s="40"/>
      <c r="K105" s="40"/>
      <c r="L105" s="9"/>
      <c r="M105" s="9"/>
      <c r="N105" s="9"/>
      <c r="O105" s="40"/>
      <c r="P105" s="9"/>
      <c r="Q105" s="9"/>
      <c r="R105" s="9"/>
      <c r="S105" s="9"/>
      <c r="T105" s="9"/>
      <c r="U105" s="9"/>
      <c r="V105" s="9"/>
      <c r="W105" s="9"/>
      <c r="X105" s="9"/>
      <c r="Y105" s="9"/>
      <c r="Z105" s="10" t="str">
        <f aca="false">IF(A105="","",SG_Criteria!$B$6&amp;SG_Criteria!$B$7&amp;"\"&amp;A105&amp;"\")</f>
        <v/>
      </c>
      <c r="AA105" s="10" t="str">
        <f aca="false">IF(A105="","",A105&amp;"_CAD.dwg")</f>
        <v/>
      </c>
      <c r="AB105" s="10" t="str">
        <f aca="false">IF(A105="","",A105&amp;"_DWG.pdf")</f>
        <v/>
      </c>
      <c r="AC105" s="10" t="str">
        <f aca="false">IF(A105="","",IF(Y105="Y",A105&amp;"_STAAD.std","n/a"))</f>
        <v/>
      </c>
      <c r="AD105" s="10" t="str">
        <f aca="false">IF(A105="","",A105&amp;"_CALC.xlsx")</f>
        <v/>
      </c>
      <c r="AE105" s="10" t="str">
        <f aca="false">IF(A105="","",A105&amp;"_CALC.pdf")</f>
        <v/>
      </c>
      <c r="AF105" s="9"/>
      <c r="AG105" s="9"/>
      <c r="AH105" s="41"/>
      <c r="AI105" s="41"/>
      <c r="AJ105" s="41"/>
      <c r="AK105" s="41"/>
      <c r="AL105" s="41"/>
      <c r="AM105" s="37" t="str">
        <f aca="false">IF(OR(C105="",F105="",G105="",C105="Sump",C105="Drop Inlet Chamber",C105="Silt Trap",C105="Pipe Culvert",C105="Subsoil Drain"),"",ROUND(MAX(1,N(H105))*(1/SG_Criteria!$B$26)*((F105/1000)*(G105/1000*(1-SG_Criteria!$B$25)))*(((F105/1000)*(G105/1000*(1-SG_Criteria!$B$25)))/((F105/1000)+2*(G105/1000*(1-SG_Criteria!$B$25))))^(2/3)*(1/Design_Selector!$B$11)^0.5,3))</f>
        <v/>
      </c>
      <c r="AN105" s="11" t="str">
        <f aca="false">IF(AM105="","",ROUND(AM105/(MAX(1,N(H105))*F105/1000*(G105/1000*(1-SG_Criteria!$B$25))),2))</f>
        <v/>
      </c>
      <c r="AO105" s="38" t="str">
        <f aca="false">IF(C105="","",IF(LEN(IF(AND(OR(D105="Roadside drain",D105="Entrance culvert"),OR(F105&lt;SG_Criteria!$B$15,G105&lt;SG_Criteria!$B$16)),"FAIL: below PUB min "&amp;SG_Criteria!$B$15&amp;"x"&amp;SG_Criteria!$B$16&amp;" for roadside drain. ","")&amp;IF(AND(D105="Common drain",F105&lt;SG_Criteria!$B$17),"FAIL: common drain W &lt; "&amp;SG_Criteria!$B$17&amp;" mm. ","")&amp;IF(AND(N105&lt;&gt;"",IFERROR(VALUE(MID(N105,2,2)),0)&lt;SG_Criteria!$B$19),"FAIL: grade below C"&amp;SG_Criteria!$B$19&amp;". ","")&amp;IF(AND(O105&lt;&gt;"",O105&lt;SG_Criteria!$B$20),"FAIL: cover &lt; "&amp;SG_Criteria!$B$20&amp;" mm. ","")&amp;IF(AND(E105="Open",G105&gt;SG_Criteria!$B$18),"NOTE: safety railing required (D &gt; "&amp;SG_Criteria!$B$18&amp;" mm). ","")&amp;IF(AND(D105="Entrance culvert",G105&lt;600),"NOTE: check hinged grating rule for culverts &lt; 600 deep (PUB Add. 3). ",""))=0,"OK",IF(AND(OR(D105="Roadside drain",D105="Entrance culvert"),OR(F105&lt;SG_Criteria!$B$15,G105&lt;SG_Criteria!$B$16)),"FAIL: below PUB min "&amp;SG_Criteria!$B$15&amp;"x"&amp;SG_Criteria!$B$16&amp;" for roadside drain. ","")&amp;IF(AND(D105="Common drain",F105&lt;SG_Criteria!$B$17),"FAIL: common drain W &lt; "&amp;SG_Criteria!$B$17&amp;" mm. ","")&amp;IF(AND(N105&lt;&gt;"",IFERROR(VALUE(MID(N105,2,2)),0)&lt;SG_Criteria!$B$19),"FAIL: grade below C"&amp;SG_Criteria!$B$19&amp;". ","")&amp;IF(AND(O105&lt;&gt;"",O105&lt;SG_Criteria!$B$20),"FAIL: cover &lt; "&amp;SG_Criteria!$B$20&amp;" mm. ","")&amp;IF(AND(E105="Open",G105&gt;SG_Criteria!$B$18),"NOTE: safety railing required (D &gt; "&amp;SG_Criteria!$B$18&amp;" mm). ","")&amp;IF(AND(D105="Entrance culvert",G105&lt;600),"NOTE: check hinged grating rule for culverts &lt; 600 deep (PUB Add. 3). ","")))</f>
        <v/>
      </c>
      <c r="AP105" s="9"/>
      <c r="AQ105" s="9"/>
      <c r="AR105" s="9"/>
      <c r="AS105" s="9"/>
      <c r="AT105" s="9"/>
      <c r="AU105" s="31"/>
      <c r="AV105" s="10" t="str">
        <f aca="false">IF(C105="","",IF(AND(V105="Approved",ISERROR(SEARCH("FAIL",AO105))),"Y","N"))</f>
        <v/>
      </c>
      <c r="AW105" s="10" t="str">
        <f aca="false">IF(C105="","",C105&amp;"|"&amp;F105&amp;"|"&amp;G105&amp;"|"&amp;L105&amp;"|"&amp;AV105)</f>
        <v/>
      </c>
    </row>
    <row r="106" customFormat="false" ht="15" hidden="false" customHeight="false" outlineLevel="0" collapsed="false">
      <c r="A106" s="10" t="str">
        <f aca="false">IF(C106="","","DRN-"&amp;IFERROR(VLOOKUP(C106,Lists!$A$4:$B$27,2,0),"??")&amp;"-"&amp;TEXT(F106,"0000")&amp;"x"&amp;TEXT(G106,"0000")&amp;IF(N(H106)&gt;1,"-"&amp;H106&amp;"C","")&amp;"-"&amp;IFERROR(VLOOKUP(L106,Lists!$J$4:$K$19,2,0),"??")&amp;"-"&amp;U106)</f>
        <v/>
      </c>
      <c r="B106" s="10" t="str">
        <f aca="false">IF(C106="","",C106&amp;" "&amp;F106&amp;"W x "&amp;G106&amp;"D"&amp;IF(N(H106)&gt;1," ("&amp;H106&amp;" cells)","")&amp;", "&amp;D106&amp;", "&amp;L106&amp;", "&amp;E106)</f>
        <v/>
      </c>
      <c r="C106" s="9"/>
      <c r="D106" s="9"/>
      <c r="E106" s="9"/>
      <c r="F106" s="40"/>
      <c r="G106" s="40"/>
      <c r="H106" s="40"/>
      <c r="I106" s="40"/>
      <c r="J106" s="40"/>
      <c r="K106" s="40"/>
      <c r="L106" s="9"/>
      <c r="M106" s="9"/>
      <c r="N106" s="9"/>
      <c r="O106" s="40"/>
      <c r="P106" s="9"/>
      <c r="Q106" s="9"/>
      <c r="R106" s="9"/>
      <c r="S106" s="9"/>
      <c r="T106" s="9"/>
      <c r="U106" s="9"/>
      <c r="V106" s="9"/>
      <c r="W106" s="9"/>
      <c r="X106" s="9"/>
      <c r="Y106" s="9"/>
      <c r="Z106" s="10" t="str">
        <f aca="false">IF(A106="","",SG_Criteria!$B$6&amp;SG_Criteria!$B$7&amp;"\"&amp;A106&amp;"\")</f>
        <v/>
      </c>
      <c r="AA106" s="10" t="str">
        <f aca="false">IF(A106="","",A106&amp;"_CAD.dwg")</f>
        <v/>
      </c>
      <c r="AB106" s="10" t="str">
        <f aca="false">IF(A106="","",A106&amp;"_DWG.pdf")</f>
        <v/>
      </c>
      <c r="AC106" s="10" t="str">
        <f aca="false">IF(A106="","",IF(Y106="Y",A106&amp;"_STAAD.std","n/a"))</f>
        <v/>
      </c>
      <c r="AD106" s="10" t="str">
        <f aca="false">IF(A106="","",A106&amp;"_CALC.xlsx")</f>
        <v/>
      </c>
      <c r="AE106" s="10" t="str">
        <f aca="false">IF(A106="","",A106&amp;"_CALC.pdf")</f>
        <v/>
      </c>
      <c r="AF106" s="9"/>
      <c r="AG106" s="9"/>
      <c r="AH106" s="41"/>
      <c r="AI106" s="41"/>
      <c r="AJ106" s="41"/>
      <c r="AK106" s="41"/>
      <c r="AL106" s="41"/>
      <c r="AM106" s="37" t="str">
        <f aca="false">IF(OR(C106="",F106="",G106="",C106="Sump",C106="Drop Inlet Chamber",C106="Silt Trap",C106="Pipe Culvert",C106="Subsoil Drain"),"",ROUND(MAX(1,N(H106))*(1/SG_Criteria!$B$26)*((F106/1000)*(G106/1000*(1-SG_Criteria!$B$25)))*(((F106/1000)*(G106/1000*(1-SG_Criteria!$B$25)))/((F106/1000)+2*(G106/1000*(1-SG_Criteria!$B$25))))^(2/3)*(1/Design_Selector!$B$11)^0.5,3))</f>
        <v/>
      </c>
      <c r="AN106" s="11" t="str">
        <f aca="false">IF(AM106="","",ROUND(AM106/(MAX(1,N(H106))*F106/1000*(G106/1000*(1-SG_Criteria!$B$25))),2))</f>
        <v/>
      </c>
      <c r="AO106" s="38" t="str">
        <f aca="false">IF(C106="","",IF(LEN(IF(AND(OR(D106="Roadside drain",D106="Entrance culvert"),OR(F106&lt;SG_Criteria!$B$15,G106&lt;SG_Criteria!$B$16)),"FAIL: below PUB min "&amp;SG_Criteria!$B$15&amp;"x"&amp;SG_Criteria!$B$16&amp;" for roadside drain. ","")&amp;IF(AND(D106="Common drain",F106&lt;SG_Criteria!$B$17),"FAIL: common drain W &lt; "&amp;SG_Criteria!$B$17&amp;" mm. ","")&amp;IF(AND(N106&lt;&gt;"",IFERROR(VALUE(MID(N106,2,2)),0)&lt;SG_Criteria!$B$19),"FAIL: grade below C"&amp;SG_Criteria!$B$19&amp;". ","")&amp;IF(AND(O106&lt;&gt;"",O106&lt;SG_Criteria!$B$20),"FAIL: cover &lt; "&amp;SG_Criteria!$B$20&amp;" mm. ","")&amp;IF(AND(E106="Open",G106&gt;SG_Criteria!$B$18),"NOTE: safety railing required (D &gt; "&amp;SG_Criteria!$B$18&amp;" mm). ","")&amp;IF(AND(D106="Entrance culvert",G106&lt;600),"NOTE: check hinged grating rule for culverts &lt; 600 deep (PUB Add. 3). ",""))=0,"OK",IF(AND(OR(D106="Roadside drain",D106="Entrance culvert"),OR(F106&lt;SG_Criteria!$B$15,G106&lt;SG_Criteria!$B$16)),"FAIL: below PUB min "&amp;SG_Criteria!$B$15&amp;"x"&amp;SG_Criteria!$B$16&amp;" for roadside drain. ","")&amp;IF(AND(D106="Common drain",F106&lt;SG_Criteria!$B$17),"FAIL: common drain W &lt; "&amp;SG_Criteria!$B$17&amp;" mm. ","")&amp;IF(AND(N106&lt;&gt;"",IFERROR(VALUE(MID(N106,2,2)),0)&lt;SG_Criteria!$B$19),"FAIL: grade below C"&amp;SG_Criteria!$B$19&amp;". ","")&amp;IF(AND(O106&lt;&gt;"",O106&lt;SG_Criteria!$B$20),"FAIL: cover &lt; "&amp;SG_Criteria!$B$20&amp;" mm. ","")&amp;IF(AND(E106="Open",G106&gt;SG_Criteria!$B$18),"NOTE: safety railing required (D &gt; "&amp;SG_Criteria!$B$18&amp;" mm). ","")&amp;IF(AND(D106="Entrance culvert",G106&lt;600),"NOTE: check hinged grating rule for culverts &lt; 600 deep (PUB Add. 3). ","")))</f>
        <v/>
      </c>
      <c r="AP106" s="9"/>
      <c r="AQ106" s="9"/>
      <c r="AR106" s="9"/>
      <c r="AS106" s="9"/>
      <c r="AT106" s="9"/>
      <c r="AU106" s="31"/>
      <c r="AV106" s="10" t="str">
        <f aca="false">IF(C106="","",IF(AND(V106="Approved",ISERROR(SEARCH("FAIL",AO106))),"Y","N"))</f>
        <v/>
      </c>
      <c r="AW106" s="10" t="str">
        <f aca="false">IF(C106="","",C106&amp;"|"&amp;F106&amp;"|"&amp;G106&amp;"|"&amp;L106&amp;"|"&amp;AV106)</f>
        <v/>
      </c>
    </row>
    <row r="107" customFormat="false" ht="15" hidden="false" customHeight="false" outlineLevel="0" collapsed="false">
      <c r="A107" s="10" t="str">
        <f aca="false">IF(C107="","","DRN-"&amp;IFERROR(VLOOKUP(C107,Lists!$A$4:$B$27,2,0),"??")&amp;"-"&amp;TEXT(F107,"0000")&amp;"x"&amp;TEXT(G107,"0000")&amp;IF(N(H107)&gt;1,"-"&amp;H107&amp;"C","")&amp;"-"&amp;IFERROR(VLOOKUP(L107,Lists!$J$4:$K$19,2,0),"??")&amp;"-"&amp;U107)</f>
        <v/>
      </c>
      <c r="B107" s="10" t="str">
        <f aca="false">IF(C107="","",C107&amp;" "&amp;F107&amp;"W x "&amp;G107&amp;"D"&amp;IF(N(H107)&gt;1," ("&amp;H107&amp;" cells)","")&amp;", "&amp;D107&amp;", "&amp;L107&amp;", "&amp;E107)</f>
        <v/>
      </c>
      <c r="C107" s="9"/>
      <c r="D107" s="9"/>
      <c r="E107" s="9"/>
      <c r="F107" s="40"/>
      <c r="G107" s="40"/>
      <c r="H107" s="40"/>
      <c r="I107" s="40"/>
      <c r="J107" s="40"/>
      <c r="K107" s="40"/>
      <c r="L107" s="9"/>
      <c r="M107" s="9"/>
      <c r="N107" s="9"/>
      <c r="O107" s="40"/>
      <c r="P107" s="9"/>
      <c r="Q107" s="9"/>
      <c r="R107" s="9"/>
      <c r="S107" s="9"/>
      <c r="T107" s="9"/>
      <c r="U107" s="9"/>
      <c r="V107" s="9"/>
      <c r="W107" s="9"/>
      <c r="X107" s="9"/>
      <c r="Y107" s="9"/>
      <c r="Z107" s="10" t="str">
        <f aca="false">IF(A107="","",SG_Criteria!$B$6&amp;SG_Criteria!$B$7&amp;"\"&amp;A107&amp;"\")</f>
        <v/>
      </c>
      <c r="AA107" s="10" t="str">
        <f aca="false">IF(A107="","",A107&amp;"_CAD.dwg")</f>
        <v/>
      </c>
      <c r="AB107" s="10" t="str">
        <f aca="false">IF(A107="","",A107&amp;"_DWG.pdf")</f>
        <v/>
      </c>
      <c r="AC107" s="10" t="str">
        <f aca="false">IF(A107="","",IF(Y107="Y",A107&amp;"_STAAD.std","n/a"))</f>
        <v/>
      </c>
      <c r="AD107" s="10" t="str">
        <f aca="false">IF(A107="","",A107&amp;"_CALC.xlsx")</f>
        <v/>
      </c>
      <c r="AE107" s="10" t="str">
        <f aca="false">IF(A107="","",A107&amp;"_CALC.pdf")</f>
        <v/>
      </c>
      <c r="AF107" s="9"/>
      <c r="AG107" s="9"/>
      <c r="AH107" s="41"/>
      <c r="AI107" s="41"/>
      <c r="AJ107" s="41"/>
      <c r="AK107" s="41"/>
      <c r="AL107" s="41"/>
      <c r="AM107" s="37" t="str">
        <f aca="false">IF(OR(C107="",F107="",G107="",C107="Sump",C107="Drop Inlet Chamber",C107="Silt Trap",C107="Pipe Culvert",C107="Subsoil Drain"),"",ROUND(MAX(1,N(H107))*(1/SG_Criteria!$B$26)*((F107/1000)*(G107/1000*(1-SG_Criteria!$B$25)))*(((F107/1000)*(G107/1000*(1-SG_Criteria!$B$25)))/((F107/1000)+2*(G107/1000*(1-SG_Criteria!$B$25))))^(2/3)*(1/Design_Selector!$B$11)^0.5,3))</f>
        <v/>
      </c>
      <c r="AN107" s="11" t="str">
        <f aca="false">IF(AM107="","",ROUND(AM107/(MAX(1,N(H107))*F107/1000*(G107/1000*(1-SG_Criteria!$B$25))),2))</f>
        <v/>
      </c>
      <c r="AO107" s="38" t="str">
        <f aca="false">IF(C107="","",IF(LEN(IF(AND(OR(D107="Roadside drain",D107="Entrance culvert"),OR(F107&lt;SG_Criteria!$B$15,G107&lt;SG_Criteria!$B$16)),"FAIL: below PUB min "&amp;SG_Criteria!$B$15&amp;"x"&amp;SG_Criteria!$B$16&amp;" for roadside drain. ","")&amp;IF(AND(D107="Common drain",F107&lt;SG_Criteria!$B$17),"FAIL: common drain W &lt; "&amp;SG_Criteria!$B$17&amp;" mm. ","")&amp;IF(AND(N107&lt;&gt;"",IFERROR(VALUE(MID(N107,2,2)),0)&lt;SG_Criteria!$B$19),"FAIL: grade below C"&amp;SG_Criteria!$B$19&amp;". ","")&amp;IF(AND(O107&lt;&gt;"",O107&lt;SG_Criteria!$B$20),"FAIL: cover &lt; "&amp;SG_Criteria!$B$20&amp;" mm. ","")&amp;IF(AND(E107="Open",G107&gt;SG_Criteria!$B$18),"NOTE: safety railing required (D &gt; "&amp;SG_Criteria!$B$18&amp;" mm). ","")&amp;IF(AND(D107="Entrance culvert",G107&lt;600),"NOTE: check hinged grating rule for culverts &lt; 600 deep (PUB Add. 3). ",""))=0,"OK",IF(AND(OR(D107="Roadside drain",D107="Entrance culvert"),OR(F107&lt;SG_Criteria!$B$15,G107&lt;SG_Criteria!$B$16)),"FAIL: below PUB min "&amp;SG_Criteria!$B$15&amp;"x"&amp;SG_Criteria!$B$16&amp;" for roadside drain. ","")&amp;IF(AND(D107="Common drain",F107&lt;SG_Criteria!$B$17),"FAIL: common drain W &lt; "&amp;SG_Criteria!$B$17&amp;" mm. ","")&amp;IF(AND(N107&lt;&gt;"",IFERROR(VALUE(MID(N107,2,2)),0)&lt;SG_Criteria!$B$19),"FAIL: grade below C"&amp;SG_Criteria!$B$19&amp;". ","")&amp;IF(AND(O107&lt;&gt;"",O107&lt;SG_Criteria!$B$20),"FAIL: cover &lt; "&amp;SG_Criteria!$B$20&amp;" mm. ","")&amp;IF(AND(E107="Open",G107&gt;SG_Criteria!$B$18),"NOTE: safety railing required (D &gt; "&amp;SG_Criteria!$B$18&amp;" mm). ","")&amp;IF(AND(D107="Entrance culvert",G107&lt;600),"NOTE: check hinged grating rule for culverts &lt; 600 deep (PUB Add. 3). ","")))</f>
        <v/>
      </c>
      <c r="AP107" s="9"/>
      <c r="AQ107" s="9"/>
      <c r="AR107" s="9"/>
      <c r="AS107" s="9"/>
      <c r="AT107" s="9"/>
      <c r="AU107" s="31"/>
      <c r="AV107" s="10" t="str">
        <f aca="false">IF(C107="","",IF(AND(V107="Approved",ISERROR(SEARCH("FAIL",AO107))),"Y","N"))</f>
        <v/>
      </c>
      <c r="AW107" s="10" t="str">
        <f aca="false">IF(C107="","",C107&amp;"|"&amp;F107&amp;"|"&amp;G107&amp;"|"&amp;L107&amp;"|"&amp;AV107)</f>
        <v/>
      </c>
    </row>
    <row r="108" customFormat="false" ht="15" hidden="false" customHeight="false" outlineLevel="0" collapsed="false">
      <c r="A108" s="10" t="str">
        <f aca="false">IF(C108="","","DRN-"&amp;IFERROR(VLOOKUP(C108,Lists!$A$4:$B$27,2,0),"??")&amp;"-"&amp;TEXT(F108,"0000")&amp;"x"&amp;TEXT(G108,"0000")&amp;IF(N(H108)&gt;1,"-"&amp;H108&amp;"C","")&amp;"-"&amp;IFERROR(VLOOKUP(L108,Lists!$J$4:$K$19,2,0),"??")&amp;"-"&amp;U108)</f>
        <v/>
      </c>
      <c r="B108" s="10" t="str">
        <f aca="false">IF(C108="","",C108&amp;" "&amp;F108&amp;"W x "&amp;G108&amp;"D"&amp;IF(N(H108)&gt;1," ("&amp;H108&amp;" cells)","")&amp;", "&amp;D108&amp;", "&amp;L108&amp;", "&amp;E108)</f>
        <v/>
      </c>
      <c r="C108" s="9"/>
      <c r="D108" s="9"/>
      <c r="E108" s="9"/>
      <c r="F108" s="40"/>
      <c r="G108" s="40"/>
      <c r="H108" s="40"/>
      <c r="I108" s="40"/>
      <c r="J108" s="40"/>
      <c r="K108" s="40"/>
      <c r="L108" s="9"/>
      <c r="M108" s="9"/>
      <c r="N108" s="9"/>
      <c r="O108" s="40"/>
      <c r="P108" s="9"/>
      <c r="Q108" s="9"/>
      <c r="R108" s="9"/>
      <c r="S108" s="9"/>
      <c r="T108" s="9"/>
      <c r="U108" s="9"/>
      <c r="V108" s="9"/>
      <c r="W108" s="9"/>
      <c r="X108" s="9"/>
      <c r="Y108" s="9"/>
      <c r="Z108" s="10" t="str">
        <f aca="false">IF(A108="","",SG_Criteria!$B$6&amp;SG_Criteria!$B$7&amp;"\"&amp;A108&amp;"\")</f>
        <v/>
      </c>
      <c r="AA108" s="10" t="str">
        <f aca="false">IF(A108="","",A108&amp;"_CAD.dwg")</f>
        <v/>
      </c>
      <c r="AB108" s="10" t="str">
        <f aca="false">IF(A108="","",A108&amp;"_DWG.pdf")</f>
        <v/>
      </c>
      <c r="AC108" s="10" t="str">
        <f aca="false">IF(A108="","",IF(Y108="Y",A108&amp;"_STAAD.std","n/a"))</f>
        <v/>
      </c>
      <c r="AD108" s="10" t="str">
        <f aca="false">IF(A108="","",A108&amp;"_CALC.xlsx")</f>
        <v/>
      </c>
      <c r="AE108" s="10" t="str">
        <f aca="false">IF(A108="","",A108&amp;"_CALC.pdf")</f>
        <v/>
      </c>
      <c r="AF108" s="9"/>
      <c r="AG108" s="9"/>
      <c r="AH108" s="41"/>
      <c r="AI108" s="41"/>
      <c r="AJ108" s="41"/>
      <c r="AK108" s="41"/>
      <c r="AL108" s="41"/>
      <c r="AM108" s="37" t="str">
        <f aca="false">IF(OR(C108="",F108="",G108="",C108="Sump",C108="Drop Inlet Chamber",C108="Silt Trap",C108="Pipe Culvert",C108="Subsoil Drain"),"",ROUND(MAX(1,N(H108))*(1/SG_Criteria!$B$26)*((F108/1000)*(G108/1000*(1-SG_Criteria!$B$25)))*(((F108/1000)*(G108/1000*(1-SG_Criteria!$B$25)))/((F108/1000)+2*(G108/1000*(1-SG_Criteria!$B$25))))^(2/3)*(1/Design_Selector!$B$11)^0.5,3))</f>
        <v/>
      </c>
      <c r="AN108" s="11" t="str">
        <f aca="false">IF(AM108="","",ROUND(AM108/(MAX(1,N(H108))*F108/1000*(G108/1000*(1-SG_Criteria!$B$25))),2))</f>
        <v/>
      </c>
      <c r="AO108" s="38" t="str">
        <f aca="false">IF(C108="","",IF(LEN(IF(AND(OR(D108="Roadside drain",D108="Entrance culvert"),OR(F108&lt;SG_Criteria!$B$15,G108&lt;SG_Criteria!$B$16)),"FAIL: below PUB min "&amp;SG_Criteria!$B$15&amp;"x"&amp;SG_Criteria!$B$16&amp;" for roadside drain. ","")&amp;IF(AND(D108="Common drain",F108&lt;SG_Criteria!$B$17),"FAIL: common drain W &lt; "&amp;SG_Criteria!$B$17&amp;" mm. ","")&amp;IF(AND(N108&lt;&gt;"",IFERROR(VALUE(MID(N108,2,2)),0)&lt;SG_Criteria!$B$19),"FAIL: grade below C"&amp;SG_Criteria!$B$19&amp;". ","")&amp;IF(AND(O108&lt;&gt;"",O108&lt;SG_Criteria!$B$20),"FAIL: cover &lt; "&amp;SG_Criteria!$B$20&amp;" mm. ","")&amp;IF(AND(E108="Open",G108&gt;SG_Criteria!$B$18),"NOTE: safety railing required (D &gt; "&amp;SG_Criteria!$B$18&amp;" mm). ","")&amp;IF(AND(D108="Entrance culvert",G108&lt;600),"NOTE: check hinged grating rule for culverts &lt; 600 deep (PUB Add. 3). ",""))=0,"OK",IF(AND(OR(D108="Roadside drain",D108="Entrance culvert"),OR(F108&lt;SG_Criteria!$B$15,G108&lt;SG_Criteria!$B$16)),"FAIL: below PUB min "&amp;SG_Criteria!$B$15&amp;"x"&amp;SG_Criteria!$B$16&amp;" for roadside drain. ","")&amp;IF(AND(D108="Common drain",F108&lt;SG_Criteria!$B$17),"FAIL: common drain W &lt; "&amp;SG_Criteria!$B$17&amp;" mm. ","")&amp;IF(AND(N108&lt;&gt;"",IFERROR(VALUE(MID(N108,2,2)),0)&lt;SG_Criteria!$B$19),"FAIL: grade below C"&amp;SG_Criteria!$B$19&amp;". ","")&amp;IF(AND(O108&lt;&gt;"",O108&lt;SG_Criteria!$B$20),"FAIL: cover &lt; "&amp;SG_Criteria!$B$20&amp;" mm. ","")&amp;IF(AND(E108="Open",G108&gt;SG_Criteria!$B$18),"NOTE: safety railing required (D &gt; "&amp;SG_Criteria!$B$18&amp;" mm). ","")&amp;IF(AND(D108="Entrance culvert",G108&lt;600),"NOTE: check hinged grating rule for culverts &lt; 600 deep (PUB Add. 3). ","")))</f>
        <v/>
      </c>
      <c r="AP108" s="9"/>
      <c r="AQ108" s="9"/>
      <c r="AR108" s="9"/>
      <c r="AS108" s="9"/>
      <c r="AT108" s="9"/>
      <c r="AU108" s="31"/>
      <c r="AV108" s="10" t="str">
        <f aca="false">IF(C108="","",IF(AND(V108="Approved",ISERROR(SEARCH("FAIL",AO108))),"Y","N"))</f>
        <v/>
      </c>
      <c r="AW108" s="10" t="str">
        <f aca="false">IF(C108="","",C108&amp;"|"&amp;F108&amp;"|"&amp;G108&amp;"|"&amp;L108&amp;"|"&amp;AV108)</f>
        <v/>
      </c>
    </row>
    <row r="109" customFormat="false" ht="15" hidden="false" customHeight="false" outlineLevel="0" collapsed="false">
      <c r="A109" s="10" t="str">
        <f aca="false">IF(C109="","","DRN-"&amp;IFERROR(VLOOKUP(C109,Lists!$A$4:$B$27,2,0),"??")&amp;"-"&amp;TEXT(F109,"0000")&amp;"x"&amp;TEXT(G109,"0000")&amp;IF(N(H109)&gt;1,"-"&amp;H109&amp;"C","")&amp;"-"&amp;IFERROR(VLOOKUP(L109,Lists!$J$4:$K$19,2,0),"??")&amp;"-"&amp;U109)</f>
        <v/>
      </c>
      <c r="B109" s="10" t="str">
        <f aca="false">IF(C109="","",C109&amp;" "&amp;F109&amp;"W x "&amp;G109&amp;"D"&amp;IF(N(H109)&gt;1," ("&amp;H109&amp;" cells)","")&amp;", "&amp;D109&amp;", "&amp;L109&amp;", "&amp;E109)</f>
        <v/>
      </c>
      <c r="C109" s="9"/>
      <c r="D109" s="9"/>
      <c r="E109" s="9"/>
      <c r="F109" s="40"/>
      <c r="G109" s="40"/>
      <c r="H109" s="40"/>
      <c r="I109" s="40"/>
      <c r="J109" s="40"/>
      <c r="K109" s="40"/>
      <c r="L109" s="9"/>
      <c r="M109" s="9"/>
      <c r="N109" s="9"/>
      <c r="O109" s="40"/>
      <c r="P109" s="9"/>
      <c r="Q109" s="9"/>
      <c r="R109" s="9"/>
      <c r="S109" s="9"/>
      <c r="T109" s="9"/>
      <c r="U109" s="9"/>
      <c r="V109" s="9"/>
      <c r="W109" s="9"/>
      <c r="X109" s="9"/>
      <c r="Y109" s="9"/>
      <c r="Z109" s="10" t="str">
        <f aca="false">IF(A109="","",SG_Criteria!$B$6&amp;SG_Criteria!$B$7&amp;"\"&amp;A109&amp;"\")</f>
        <v/>
      </c>
      <c r="AA109" s="10" t="str">
        <f aca="false">IF(A109="","",A109&amp;"_CAD.dwg")</f>
        <v/>
      </c>
      <c r="AB109" s="10" t="str">
        <f aca="false">IF(A109="","",A109&amp;"_DWG.pdf")</f>
        <v/>
      </c>
      <c r="AC109" s="10" t="str">
        <f aca="false">IF(A109="","",IF(Y109="Y",A109&amp;"_STAAD.std","n/a"))</f>
        <v/>
      </c>
      <c r="AD109" s="10" t="str">
        <f aca="false">IF(A109="","",A109&amp;"_CALC.xlsx")</f>
        <v/>
      </c>
      <c r="AE109" s="10" t="str">
        <f aca="false">IF(A109="","",A109&amp;"_CALC.pdf")</f>
        <v/>
      </c>
      <c r="AF109" s="9"/>
      <c r="AG109" s="9"/>
      <c r="AH109" s="41"/>
      <c r="AI109" s="41"/>
      <c r="AJ109" s="41"/>
      <c r="AK109" s="41"/>
      <c r="AL109" s="41"/>
      <c r="AM109" s="37" t="str">
        <f aca="false">IF(OR(C109="",F109="",G109="",C109="Sump",C109="Drop Inlet Chamber",C109="Silt Trap",C109="Pipe Culvert",C109="Subsoil Drain"),"",ROUND(MAX(1,N(H109))*(1/SG_Criteria!$B$26)*((F109/1000)*(G109/1000*(1-SG_Criteria!$B$25)))*(((F109/1000)*(G109/1000*(1-SG_Criteria!$B$25)))/((F109/1000)+2*(G109/1000*(1-SG_Criteria!$B$25))))^(2/3)*(1/Design_Selector!$B$11)^0.5,3))</f>
        <v/>
      </c>
      <c r="AN109" s="11" t="str">
        <f aca="false">IF(AM109="","",ROUND(AM109/(MAX(1,N(H109))*F109/1000*(G109/1000*(1-SG_Criteria!$B$25))),2))</f>
        <v/>
      </c>
      <c r="AO109" s="38" t="str">
        <f aca="false">IF(C109="","",IF(LEN(IF(AND(OR(D109="Roadside drain",D109="Entrance culvert"),OR(F109&lt;SG_Criteria!$B$15,G109&lt;SG_Criteria!$B$16)),"FAIL: below PUB min "&amp;SG_Criteria!$B$15&amp;"x"&amp;SG_Criteria!$B$16&amp;" for roadside drain. ","")&amp;IF(AND(D109="Common drain",F109&lt;SG_Criteria!$B$17),"FAIL: common drain W &lt; "&amp;SG_Criteria!$B$17&amp;" mm. ","")&amp;IF(AND(N109&lt;&gt;"",IFERROR(VALUE(MID(N109,2,2)),0)&lt;SG_Criteria!$B$19),"FAIL: grade below C"&amp;SG_Criteria!$B$19&amp;". ","")&amp;IF(AND(O109&lt;&gt;"",O109&lt;SG_Criteria!$B$20),"FAIL: cover &lt; "&amp;SG_Criteria!$B$20&amp;" mm. ","")&amp;IF(AND(E109="Open",G109&gt;SG_Criteria!$B$18),"NOTE: safety railing required (D &gt; "&amp;SG_Criteria!$B$18&amp;" mm). ","")&amp;IF(AND(D109="Entrance culvert",G109&lt;600),"NOTE: check hinged grating rule for culverts &lt; 600 deep (PUB Add. 3). ",""))=0,"OK",IF(AND(OR(D109="Roadside drain",D109="Entrance culvert"),OR(F109&lt;SG_Criteria!$B$15,G109&lt;SG_Criteria!$B$16)),"FAIL: below PUB min "&amp;SG_Criteria!$B$15&amp;"x"&amp;SG_Criteria!$B$16&amp;" for roadside drain. ","")&amp;IF(AND(D109="Common drain",F109&lt;SG_Criteria!$B$17),"FAIL: common drain W &lt; "&amp;SG_Criteria!$B$17&amp;" mm. ","")&amp;IF(AND(N109&lt;&gt;"",IFERROR(VALUE(MID(N109,2,2)),0)&lt;SG_Criteria!$B$19),"FAIL: grade below C"&amp;SG_Criteria!$B$19&amp;". ","")&amp;IF(AND(O109&lt;&gt;"",O109&lt;SG_Criteria!$B$20),"FAIL: cover &lt; "&amp;SG_Criteria!$B$20&amp;" mm. ","")&amp;IF(AND(E109="Open",G109&gt;SG_Criteria!$B$18),"NOTE: safety railing required (D &gt; "&amp;SG_Criteria!$B$18&amp;" mm). ","")&amp;IF(AND(D109="Entrance culvert",G109&lt;600),"NOTE: check hinged grating rule for culverts &lt; 600 deep (PUB Add. 3). ","")))</f>
        <v/>
      </c>
      <c r="AP109" s="9"/>
      <c r="AQ109" s="9"/>
      <c r="AR109" s="9"/>
      <c r="AS109" s="9"/>
      <c r="AT109" s="9"/>
      <c r="AU109" s="31"/>
      <c r="AV109" s="10" t="str">
        <f aca="false">IF(C109="","",IF(AND(V109="Approved",ISERROR(SEARCH("FAIL",AO109))),"Y","N"))</f>
        <v/>
      </c>
      <c r="AW109" s="10" t="str">
        <f aca="false">IF(C109="","",C109&amp;"|"&amp;F109&amp;"|"&amp;G109&amp;"|"&amp;L109&amp;"|"&amp;AV109)</f>
        <v/>
      </c>
    </row>
    <row r="110" customFormat="false" ht="15" hidden="false" customHeight="false" outlineLevel="0" collapsed="false">
      <c r="A110" s="10" t="str">
        <f aca="false">IF(C110="","","DRN-"&amp;IFERROR(VLOOKUP(C110,Lists!$A$4:$B$27,2,0),"??")&amp;"-"&amp;TEXT(F110,"0000")&amp;"x"&amp;TEXT(G110,"0000")&amp;IF(N(H110)&gt;1,"-"&amp;H110&amp;"C","")&amp;"-"&amp;IFERROR(VLOOKUP(L110,Lists!$J$4:$K$19,2,0),"??")&amp;"-"&amp;U110)</f>
        <v/>
      </c>
      <c r="B110" s="10" t="str">
        <f aca="false">IF(C110="","",C110&amp;" "&amp;F110&amp;"W x "&amp;G110&amp;"D"&amp;IF(N(H110)&gt;1," ("&amp;H110&amp;" cells)","")&amp;", "&amp;D110&amp;", "&amp;L110&amp;", "&amp;E110)</f>
        <v/>
      </c>
      <c r="C110" s="9"/>
      <c r="D110" s="9"/>
      <c r="E110" s="9"/>
      <c r="F110" s="40"/>
      <c r="G110" s="40"/>
      <c r="H110" s="40"/>
      <c r="I110" s="40"/>
      <c r="J110" s="40"/>
      <c r="K110" s="40"/>
      <c r="L110" s="9"/>
      <c r="M110" s="9"/>
      <c r="N110" s="9"/>
      <c r="O110" s="40"/>
      <c r="P110" s="9"/>
      <c r="Q110" s="9"/>
      <c r="R110" s="9"/>
      <c r="S110" s="9"/>
      <c r="T110" s="9"/>
      <c r="U110" s="9"/>
      <c r="V110" s="9"/>
      <c r="W110" s="9"/>
      <c r="X110" s="9"/>
      <c r="Y110" s="9"/>
      <c r="Z110" s="10" t="str">
        <f aca="false">IF(A110="","",SG_Criteria!$B$6&amp;SG_Criteria!$B$7&amp;"\"&amp;A110&amp;"\")</f>
        <v/>
      </c>
      <c r="AA110" s="10" t="str">
        <f aca="false">IF(A110="","",A110&amp;"_CAD.dwg")</f>
        <v/>
      </c>
      <c r="AB110" s="10" t="str">
        <f aca="false">IF(A110="","",A110&amp;"_DWG.pdf")</f>
        <v/>
      </c>
      <c r="AC110" s="10" t="str">
        <f aca="false">IF(A110="","",IF(Y110="Y",A110&amp;"_STAAD.std","n/a"))</f>
        <v/>
      </c>
      <c r="AD110" s="10" t="str">
        <f aca="false">IF(A110="","",A110&amp;"_CALC.xlsx")</f>
        <v/>
      </c>
      <c r="AE110" s="10" t="str">
        <f aca="false">IF(A110="","",A110&amp;"_CALC.pdf")</f>
        <v/>
      </c>
      <c r="AF110" s="9"/>
      <c r="AG110" s="9"/>
      <c r="AH110" s="41"/>
      <c r="AI110" s="41"/>
      <c r="AJ110" s="41"/>
      <c r="AK110" s="41"/>
      <c r="AL110" s="41"/>
      <c r="AM110" s="37" t="str">
        <f aca="false">IF(OR(C110="",F110="",G110="",C110="Sump",C110="Drop Inlet Chamber",C110="Silt Trap",C110="Pipe Culvert",C110="Subsoil Drain"),"",ROUND(MAX(1,N(H110))*(1/SG_Criteria!$B$26)*((F110/1000)*(G110/1000*(1-SG_Criteria!$B$25)))*(((F110/1000)*(G110/1000*(1-SG_Criteria!$B$25)))/((F110/1000)+2*(G110/1000*(1-SG_Criteria!$B$25))))^(2/3)*(1/Design_Selector!$B$11)^0.5,3))</f>
        <v/>
      </c>
      <c r="AN110" s="11" t="str">
        <f aca="false">IF(AM110="","",ROUND(AM110/(MAX(1,N(H110))*F110/1000*(G110/1000*(1-SG_Criteria!$B$25))),2))</f>
        <v/>
      </c>
      <c r="AO110" s="38" t="str">
        <f aca="false">IF(C110="","",IF(LEN(IF(AND(OR(D110="Roadside drain",D110="Entrance culvert"),OR(F110&lt;SG_Criteria!$B$15,G110&lt;SG_Criteria!$B$16)),"FAIL: below PUB min "&amp;SG_Criteria!$B$15&amp;"x"&amp;SG_Criteria!$B$16&amp;" for roadside drain. ","")&amp;IF(AND(D110="Common drain",F110&lt;SG_Criteria!$B$17),"FAIL: common drain W &lt; "&amp;SG_Criteria!$B$17&amp;" mm. ","")&amp;IF(AND(N110&lt;&gt;"",IFERROR(VALUE(MID(N110,2,2)),0)&lt;SG_Criteria!$B$19),"FAIL: grade below C"&amp;SG_Criteria!$B$19&amp;". ","")&amp;IF(AND(O110&lt;&gt;"",O110&lt;SG_Criteria!$B$20),"FAIL: cover &lt; "&amp;SG_Criteria!$B$20&amp;" mm. ","")&amp;IF(AND(E110="Open",G110&gt;SG_Criteria!$B$18),"NOTE: safety railing required (D &gt; "&amp;SG_Criteria!$B$18&amp;" mm). ","")&amp;IF(AND(D110="Entrance culvert",G110&lt;600),"NOTE: check hinged grating rule for culverts &lt; 600 deep (PUB Add. 3). ",""))=0,"OK",IF(AND(OR(D110="Roadside drain",D110="Entrance culvert"),OR(F110&lt;SG_Criteria!$B$15,G110&lt;SG_Criteria!$B$16)),"FAIL: below PUB min "&amp;SG_Criteria!$B$15&amp;"x"&amp;SG_Criteria!$B$16&amp;" for roadside drain. ","")&amp;IF(AND(D110="Common drain",F110&lt;SG_Criteria!$B$17),"FAIL: common drain W &lt; "&amp;SG_Criteria!$B$17&amp;" mm. ","")&amp;IF(AND(N110&lt;&gt;"",IFERROR(VALUE(MID(N110,2,2)),0)&lt;SG_Criteria!$B$19),"FAIL: grade below C"&amp;SG_Criteria!$B$19&amp;". ","")&amp;IF(AND(O110&lt;&gt;"",O110&lt;SG_Criteria!$B$20),"FAIL: cover &lt; "&amp;SG_Criteria!$B$20&amp;" mm. ","")&amp;IF(AND(E110="Open",G110&gt;SG_Criteria!$B$18),"NOTE: safety railing required (D &gt; "&amp;SG_Criteria!$B$18&amp;" mm). ","")&amp;IF(AND(D110="Entrance culvert",G110&lt;600),"NOTE: check hinged grating rule for culverts &lt; 600 deep (PUB Add. 3). ","")))</f>
        <v/>
      </c>
      <c r="AP110" s="9"/>
      <c r="AQ110" s="9"/>
      <c r="AR110" s="9"/>
      <c r="AS110" s="9"/>
      <c r="AT110" s="9"/>
      <c r="AU110" s="31"/>
      <c r="AV110" s="10" t="str">
        <f aca="false">IF(C110="","",IF(AND(V110="Approved",ISERROR(SEARCH("FAIL",AO110))),"Y","N"))</f>
        <v/>
      </c>
      <c r="AW110" s="10" t="str">
        <f aca="false">IF(C110="","",C110&amp;"|"&amp;F110&amp;"|"&amp;G110&amp;"|"&amp;L110&amp;"|"&amp;AV110)</f>
        <v/>
      </c>
    </row>
    <row r="111" customFormat="false" ht="15" hidden="false" customHeight="false" outlineLevel="0" collapsed="false">
      <c r="A111" s="10" t="str">
        <f aca="false">IF(C111="","","DRN-"&amp;IFERROR(VLOOKUP(C111,Lists!$A$4:$B$27,2,0),"??")&amp;"-"&amp;TEXT(F111,"0000")&amp;"x"&amp;TEXT(G111,"0000")&amp;IF(N(H111)&gt;1,"-"&amp;H111&amp;"C","")&amp;"-"&amp;IFERROR(VLOOKUP(L111,Lists!$J$4:$K$19,2,0),"??")&amp;"-"&amp;U111)</f>
        <v/>
      </c>
      <c r="B111" s="10" t="str">
        <f aca="false">IF(C111="","",C111&amp;" "&amp;F111&amp;"W x "&amp;G111&amp;"D"&amp;IF(N(H111)&gt;1," ("&amp;H111&amp;" cells)","")&amp;", "&amp;D111&amp;", "&amp;L111&amp;", "&amp;E111)</f>
        <v/>
      </c>
      <c r="C111" s="9"/>
      <c r="D111" s="9"/>
      <c r="E111" s="9"/>
      <c r="F111" s="40"/>
      <c r="G111" s="40"/>
      <c r="H111" s="40"/>
      <c r="I111" s="40"/>
      <c r="J111" s="40"/>
      <c r="K111" s="40"/>
      <c r="L111" s="9"/>
      <c r="M111" s="9"/>
      <c r="N111" s="9"/>
      <c r="O111" s="40"/>
      <c r="P111" s="9"/>
      <c r="Q111" s="9"/>
      <c r="R111" s="9"/>
      <c r="S111" s="9"/>
      <c r="T111" s="9"/>
      <c r="U111" s="9"/>
      <c r="V111" s="9"/>
      <c r="W111" s="9"/>
      <c r="X111" s="9"/>
      <c r="Y111" s="9"/>
      <c r="Z111" s="10" t="str">
        <f aca="false">IF(A111="","",SG_Criteria!$B$6&amp;SG_Criteria!$B$7&amp;"\"&amp;A111&amp;"\")</f>
        <v/>
      </c>
      <c r="AA111" s="10" t="str">
        <f aca="false">IF(A111="","",A111&amp;"_CAD.dwg")</f>
        <v/>
      </c>
      <c r="AB111" s="10" t="str">
        <f aca="false">IF(A111="","",A111&amp;"_DWG.pdf")</f>
        <v/>
      </c>
      <c r="AC111" s="10" t="str">
        <f aca="false">IF(A111="","",IF(Y111="Y",A111&amp;"_STAAD.std","n/a"))</f>
        <v/>
      </c>
      <c r="AD111" s="10" t="str">
        <f aca="false">IF(A111="","",A111&amp;"_CALC.xlsx")</f>
        <v/>
      </c>
      <c r="AE111" s="10" t="str">
        <f aca="false">IF(A111="","",A111&amp;"_CALC.pdf")</f>
        <v/>
      </c>
      <c r="AF111" s="9"/>
      <c r="AG111" s="9"/>
      <c r="AH111" s="41"/>
      <c r="AI111" s="41"/>
      <c r="AJ111" s="41"/>
      <c r="AK111" s="41"/>
      <c r="AL111" s="41"/>
      <c r="AM111" s="37" t="str">
        <f aca="false">IF(OR(C111="",F111="",G111="",C111="Sump",C111="Drop Inlet Chamber",C111="Silt Trap",C111="Pipe Culvert",C111="Subsoil Drain"),"",ROUND(MAX(1,N(H111))*(1/SG_Criteria!$B$26)*((F111/1000)*(G111/1000*(1-SG_Criteria!$B$25)))*(((F111/1000)*(G111/1000*(1-SG_Criteria!$B$25)))/((F111/1000)+2*(G111/1000*(1-SG_Criteria!$B$25))))^(2/3)*(1/Design_Selector!$B$11)^0.5,3))</f>
        <v/>
      </c>
      <c r="AN111" s="11" t="str">
        <f aca="false">IF(AM111="","",ROUND(AM111/(MAX(1,N(H111))*F111/1000*(G111/1000*(1-SG_Criteria!$B$25))),2))</f>
        <v/>
      </c>
      <c r="AO111" s="38" t="str">
        <f aca="false">IF(C111="","",IF(LEN(IF(AND(OR(D111="Roadside drain",D111="Entrance culvert"),OR(F111&lt;SG_Criteria!$B$15,G111&lt;SG_Criteria!$B$16)),"FAIL: below PUB min "&amp;SG_Criteria!$B$15&amp;"x"&amp;SG_Criteria!$B$16&amp;" for roadside drain. ","")&amp;IF(AND(D111="Common drain",F111&lt;SG_Criteria!$B$17),"FAIL: common drain W &lt; "&amp;SG_Criteria!$B$17&amp;" mm. ","")&amp;IF(AND(N111&lt;&gt;"",IFERROR(VALUE(MID(N111,2,2)),0)&lt;SG_Criteria!$B$19),"FAIL: grade below C"&amp;SG_Criteria!$B$19&amp;". ","")&amp;IF(AND(O111&lt;&gt;"",O111&lt;SG_Criteria!$B$20),"FAIL: cover &lt; "&amp;SG_Criteria!$B$20&amp;" mm. ","")&amp;IF(AND(E111="Open",G111&gt;SG_Criteria!$B$18),"NOTE: safety railing required (D &gt; "&amp;SG_Criteria!$B$18&amp;" mm). ","")&amp;IF(AND(D111="Entrance culvert",G111&lt;600),"NOTE: check hinged grating rule for culverts &lt; 600 deep (PUB Add. 3). ",""))=0,"OK",IF(AND(OR(D111="Roadside drain",D111="Entrance culvert"),OR(F111&lt;SG_Criteria!$B$15,G111&lt;SG_Criteria!$B$16)),"FAIL: below PUB min "&amp;SG_Criteria!$B$15&amp;"x"&amp;SG_Criteria!$B$16&amp;" for roadside drain. ","")&amp;IF(AND(D111="Common drain",F111&lt;SG_Criteria!$B$17),"FAIL: common drain W &lt; "&amp;SG_Criteria!$B$17&amp;" mm. ","")&amp;IF(AND(N111&lt;&gt;"",IFERROR(VALUE(MID(N111,2,2)),0)&lt;SG_Criteria!$B$19),"FAIL: grade below C"&amp;SG_Criteria!$B$19&amp;". ","")&amp;IF(AND(O111&lt;&gt;"",O111&lt;SG_Criteria!$B$20),"FAIL: cover &lt; "&amp;SG_Criteria!$B$20&amp;" mm. ","")&amp;IF(AND(E111="Open",G111&gt;SG_Criteria!$B$18),"NOTE: safety railing required (D &gt; "&amp;SG_Criteria!$B$18&amp;" mm). ","")&amp;IF(AND(D111="Entrance culvert",G111&lt;600),"NOTE: check hinged grating rule for culverts &lt; 600 deep (PUB Add. 3). ","")))</f>
        <v/>
      </c>
      <c r="AP111" s="9"/>
      <c r="AQ111" s="9"/>
      <c r="AR111" s="9"/>
      <c r="AS111" s="9"/>
      <c r="AT111" s="9"/>
      <c r="AU111" s="31"/>
      <c r="AV111" s="10" t="str">
        <f aca="false">IF(C111="","",IF(AND(V111="Approved",ISERROR(SEARCH("FAIL",AO111))),"Y","N"))</f>
        <v/>
      </c>
      <c r="AW111" s="10" t="str">
        <f aca="false">IF(C111="","",C111&amp;"|"&amp;F111&amp;"|"&amp;G111&amp;"|"&amp;L111&amp;"|"&amp;AV111)</f>
        <v/>
      </c>
    </row>
    <row r="112" customFormat="false" ht="15" hidden="false" customHeight="false" outlineLevel="0" collapsed="false">
      <c r="A112" s="10" t="str">
        <f aca="false">IF(C112="","","DRN-"&amp;IFERROR(VLOOKUP(C112,Lists!$A$4:$B$27,2,0),"??")&amp;"-"&amp;TEXT(F112,"0000")&amp;"x"&amp;TEXT(G112,"0000")&amp;IF(N(H112)&gt;1,"-"&amp;H112&amp;"C","")&amp;"-"&amp;IFERROR(VLOOKUP(L112,Lists!$J$4:$K$19,2,0),"??")&amp;"-"&amp;U112)</f>
        <v/>
      </c>
      <c r="B112" s="10" t="str">
        <f aca="false">IF(C112="","",C112&amp;" "&amp;F112&amp;"W x "&amp;G112&amp;"D"&amp;IF(N(H112)&gt;1," ("&amp;H112&amp;" cells)","")&amp;", "&amp;D112&amp;", "&amp;L112&amp;", "&amp;E112)</f>
        <v/>
      </c>
      <c r="C112" s="9"/>
      <c r="D112" s="9"/>
      <c r="E112" s="9"/>
      <c r="F112" s="40"/>
      <c r="G112" s="40"/>
      <c r="H112" s="40"/>
      <c r="I112" s="40"/>
      <c r="J112" s="40"/>
      <c r="K112" s="40"/>
      <c r="L112" s="9"/>
      <c r="M112" s="9"/>
      <c r="N112" s="9"/>
      <c r="O112" s="40"/>
      <c r="P112" s="9"/>
      <c r="Q112" s="9"/>
      <c r="R112" s="9"/>
      <c r="S112" s="9"/>
      <c r="T112" s="9"/>
      <c r="U112" s="9"/>
      <c r="V112" s="9"/>
      <c r="W112" s="9"/>
      <c r="X112" s="9"/>
      <c r="Y112" s="9"/>
      <c r="Z112" s="10" t="str">
        <f aca="false">IF(A112="","",SG_Criteria!$B$6&amp;SG_Criteria!$B$7&amp;"\"&amp;A112&amp;"\")</f>
        <v/>
      </c>
      <c r="AA112" s="10" t="str">
        <f aca="false">IF(A112="","",A112&amp;"_CAD.dwg")</f>
        <v/>
      </c>
      <c r="AB112" s="10" t="str">
        <f aca="false">IF(A112="","",A112&amp;"_DWG.pdf")</f>
        <v/>
      </c>
      <c r="AC112" s="10" t="str">
        <f aca="false">IF(A112="","",IF(Y112="Y",A112&amp;"_STAAD.std","n/a"))</f>
        <v/>
      </c>
      <c r="AD112" s="10" t="str">
        <f aca="false">IF(A112="","",A112&amp;"_CALC.xlsx")</f>
        <v/>
      </c>
      <c r="AE112" s="10" t="str">
        <f aca="false">IF(A112="","",A112&amp;"_CALC.pdf")</f>
        <v/>
      </c>
      <c r="AF112" s="9"/>
      <c r="AG112" s="9"/>
      <c r="AH112" s="41"/>
      <c r="AI112" s="41"/>
      <c r="AJ112" s="41"/>
      <c r="AK112" s="41"/>
      <c r="AL112" s="41"/>
      <c r="AM112" s="37" t="str">
        <f aca="false">IF(OR(C112="",F112="",G112="",C112="Sump",C112="Drop Inlet Chamber",C112="Silt Trap",C112="Pipe Culvert",C112="Subsoil Drain"),"",ROUND(MAX(1,N(H112))*(1/SG_Criteria!$B$26)*((F112/1000)*(G112/1000*(1-SG_Criteria!$B$25)))*(((F112/1000)*(G112/1000*(1-SG_Criteria!$B$25)))/((F112/1000)+2*(G112/1000*(1-SG_Criteria!$B$25))))^(2/3)*(1/Design_Selector!$B$11)^0.5,3))</f>
        <v/>
      </c>
      <c r="AN112" s="11" t="str">
        <f aca="false">IF(AM112="","",ROUND(AM112/(MAX(1,N(H112))*F112/1000*(G112/1000*(1-SG_Criteria!$B$25))),2))</f>
        <v/>
      </c>
      <c r="AO112" s="38" t="str">
        <f aca="false">IF(C112="","",IF(LEN(IF(AND(OR(D112="Roadside drain",D112="Entrance culvert"),OR(F112&lt;SG_Criteria!$B$15,G112&lt;SG_Criteria!$B$16)),"FAIL: below PUB min "&amp;SG_Criteria!$B$15&amp;"x"&amp;SG_Criteria!$B$16&amp;" for roadside drain. ","")&amp;IF(AND(D112="Common drain",F112&lt;SG_Criteria!$B$17),"FAIL: common drain W &lt; "&amp;SG_Criteria!$B$17&amp;" mm. ","")&amp;IF(AND(N112&lt;&gt;"",IFERROR(VALUE(MID(N112,2,2)),0)&lt;SG_Criteria!$B$19),"FAIL: grade below C"&amp;SG_Criteria!$B$19&amp;". ","")&amp;IF(AND(O112&lt;&gt;"",O112&lt;SG_Criteria!$B$20),"FAIL: cover &lt; "&amp;SG_Criteria!$B$20&amp;" mm. ","")&amp;IF(AND(E112="Open",G112&gt;SG_Criteria!$B$18),"NOTE: safety railing required (D &gt; "&amp;SG_Criteria!$B$18&amp;" mm). ","")&amp;IF(AND(D112="Entrance culvert",G112&lt;600),"NOTE: check hinged grating rule for culverts &lt; 600 deep (PUB Add. 3). ",""))=0,"OK",IF(AND(OR(D112="Roadside drain",D112="Entrance culvert"),OR(F112&lt;SG_Criteria!$B$15,G112&lt;SG_Criteria!$B$16)),"FAIL: below PUB min "&amp;SG_Criteria!$B$15&amp;"x"&amp;SG_Criteria!$B$16&amp;" for roadside drain. ","")&amp;IF(AND(D112="Common drain",F112&lt;SG_Criteria!$B$17),"FAIL: common drain W &lt; "&amp;SG_Criteria!$B$17&amp;" mm. ","")&amp;IF(AND(N112&lt;&gt;"",IFERROR(VALUE(MID(N112,2,2)),0)&lt;SG_Criteria!$B$19),"FAIL: grade below C"&amp;SG_Criteria!$B$19&amp;". ","")&amp;IF(AND(O112&lt;&gt;"",O112&lt;SG_Criteria!$B$20),"FAIL: cover &lt; "&amp;SG_Criteria!$B$20&amp;" mm. ","")&amp;IF(AND(E112="Open",G112&gt;SG_Criteria!$B$18),"NOTE: safety railing required (D &gt; "&amp;SG_Criteria!$B$18&amp;" mm). ","")&amp;IF(AND(D112="Entrance culvert",G112&lt;600),"NOTE: check hinged grating rule for culverts &lt; 600 deep (PUB Add. 3). ","")))</f>
        <v/>
      </c>
      <c r="AP112" s="9"/>
      <c r="AQ112" s="9"/>
      <c r="AR112" s="9"/>
      <c r="AS112" s="9"/>
      <c r="AT112" s="9"/>
      <c r="AU112" s="31"/>
      <c r="AV112" s="10" t="str">
        <f aca="false">IF(C112="","",IF(AND(V112="Approved",ISERROR(SEARCH("FAIL",AO112))),"Y","N"))</f>
        <v/>
      </c>
      <c r="AW112" s="10" t="str">
        <f aca="false">IF(C112="","",C112&amp;"|"&amp;F112&amp;"|"&amp;G112&amp;"|"&amp;L112&amp;"|"&amp;AV112)</f>
        <v/>
      </c>
    </row>
    <row r="113" customFormat="false" ht="15" hidden="false" customHeight="false" outlineLevel="0" collapsed="false">
      <c r="A113" s="10" t="str">
        <f aca="false">IF(C113="","","DRN-"&amp;IFERROR(VLOOKUP(C113,Lists!$A$4:$B$27,2,0),"??")&amp;"-"&amp;TEXT(F113,"0000")&amp;"x"&amp;TEXT(G113,"0000")&amp;IF(N(H113)&gt;1,"-"&amp;H113&amp;"C","")&amp;"-"&amp;IFERROR(VLOOKUP(L113,Lists!$J$4:$K$19,2,0),"??")&amp;"-"&amp;U113)</f>
        <v/>
      </c>
      <c r="B113" s="10" t="str">
        <f aca="false">IF(C113="","",C113&amp;" "&amp;F113&amp;"W x "&amp;G113&amp;"D"&amp;IF(N(H113)&gt;1," ("&amp;H113&amp;" cells)","")&amp;", "&amp;D113&amp;", "&amp;L113&amp;", "&amp;E113)</f>
        <v/>
      </c>
      <c r="C113" s="9"/>
      <c r="D113" s="9"/>
      <c r="E113" s="9"/>
      <c r="F113" s="40"/>
      <c r="G113" s="40"/>
      <c r="H113" s="40"/>
      <c r="I113" s="40"/>
      <c r="J113" s="40"/>
      <c r="K113" s="40"/>
      <c r="L113" s="9"/>
      <c r="M113" s="9"/>
      <c r="N113" s="9"/>
      <c r="O113" s="40"/>
      <c r="P113" s="9"/>
      <c r="Q113" s="9"/>
      <c r="R113" s="9"/>
      <c r="S113" s="9"/>
      <c r="T113" s="9"/>
      <c r="U113" s="9"/>
      <c r="V113" s="9"/>
      <c r="W113" s="9"/>
      <c r="X113" s="9"/>
      <c r="Y113" s="9"/>
      <c r="Z113" s="10" t="str">
        <f aca="false">IF(A113="","",SG_Criteria!$B$6&amp;SG_Criteria!$B$7&amp;"\"&amp;A113&amp;"\")</f>
        <v/>
      </c>
      <c r="AA113" s="10" t="str">
        <f aca="false">IF(A113="","",A113&amp;"_CAD.dwg")</f>
        <v/>
      </c>
      <c r="AB113" s="10" t="str">
        <f aca="false">IF(A113="","",A113&amp;"_DWG.pdf")</f>
        <v/>
      </c>
      <c r="AC113" s="10" t="str">
        <f aca="false">IF(A113="","",IF(Y113="Y",A113&amp;"_STAAD.std","n/a"))</f>
        <v/>
      </c>
      <c r="AD113" s="10" t="str">
        <f aca="false">IF(A113="","",A113&amp;"_CALC.xlsx")</f>
        <v/>
      </c>
      <c r="AE113" s="10" t="str">
        <f aca="false">IF(A113="","",A113&amp;"_CALC.pdf")</f>
        <v/>
      </c>
      <c r="AF113" s="9"/>
      <c r="AG113" s="9"/>
      <c r="AH113" s="41"/>
      <c r="AI113" s="41"/>
      <c r="AJ113" s="41"/>
      <c r="AK113" s="41"/>
      <c r="AL113" s="41"/>
      <c r="AM113" s="37" t="str">
        <f aca="false">IF(OR(C113="",F113="",G113="",C113="Sump",C113="Drop Inlet Chamber",C113="Silt Trap",C113="Pipe Culvert",C113="Subsoil Drain"),"",ROUND(MAX(1,N(H113))*(1/SG_Criteria!$B$26)*((F113/1000)*(G113/1000*(1-SG_Criteria!$B$25)))*(((F113/1000)*(G113/1000*(1-SG_Criteria!$B$25)))/((F113/1000)+2*(G113/1000*(1-SG_Criteria!$B$25))))^(2/3)*(1/Design_Selector!$B$11)^0.5,3))</f>
        <v/>
      </c>
      <c r="AN113" s="11" t="str">
        <f aca="false">IF(AM113="","",ROUND(AM113/(MAX(1,N(H113))*F113/1000*(G113/1000*(1-SG_Criteria!$B$25))),2))</f>
        <v/>
      </c>
      <c r="AO113" s="38" t="str">
        <f aca="false">IF(C113="","",IF(LEN(IF(AND(OR(D113="Roadside drain",D113="Entrance culvert"),OR(F113&lt;SG_Criteria!$B$15,G113&lt;SG_Criteria!$B$16)),"FAIL: below PUB min "&amp;SG_Criteria!$B$15&amp;"x"&amp;SG_Criteria!$B$16&amp;" for roadside drain. ","")&amp;IF(AND(D113="Common drain",F113&lt;SG_Criteria!$B$17),"FAIL: common drain W &lt; "&amp;SG_Criteria!$B$17&amp;" mm. ","")&amp;IF(AND(N113&lt;&gt;"",IFERROR(VALUE(MID(N113,2,2)),0)&lt;SG_Criteria!$B$19),"FAIL: grade below C"&amp;SG_Criteria!$B$19&amp;". ","")&amp;IF(AND(O113&lt;&gt;"",O113&lt;SG_Criteria!$B$20),"FAIL: cover &lt; "&amp;SG_Criteria!$B$20&amp;" mm. ","")&amp;IF(AND(E113="Open",G113&gt;SG_Criteria!$B$18),"NOTE: safety railing required (D &gt; "&amp;SG_Criteria!$B$18&amp;" mm). ","")&amp;IF(AND(D113="Entrance culvert",G113&lt;600),"NOTE: check hinged grating rule for culverts &lt; 600 deep (PUB Add. 3). ",""))=0,"OK",IF(AND(OR(D113="Roadside drain",D113="Entrance culvert"),OR(F113&lt;SG_Criteria!$B$15,G113&lt;SG_Criteria!$B$16)),"FAIL: below PUB min "&amp;SG_Criteria!$B$15&amp;"x"&amp;SG_Criteria!$B$16&amp;" for roadside drain. ","")&amp;IF(AND(D113="Common drain",F113&lt;SG_Criteria!$B$17),"FAIL: common drain W &lt; "&amp;SG_Criteria!$B$17&amp;" mm. ","")&amp;IF(AND(N113&lt;&gt;"",IFERROR(VALUE(MID(N113,2,2)),0)&lt;SG_Criteria!$B$19),"FAIL: grade below C"&amp;SG_Criteria!$B$19&amp;". ","")&amp;IF(AND(O113&lt;&gt;"",O113&lt;SG_Criteria!$B$20),"FAIL: cover &lt; "&amp;SG_Criteria!$B$20&amp;" mm. ","")&amp;IF(AND(E113="Open",G113&gt;SG_Criteria!$B$18),"NOTE: safety railing required (D &gt; "&amp;SG_Criteria!$B$18&amp;" mm). ","")&amp;IF(AND(D113="Entrance culvert",G113&lt;600),"NOTE: check hinged grating rule for culverts &lt; 600 deep (PUB Add. 3). ","")))</f>
        <v/>
      </c>
      <c r="AP113" s="9"/>
      <c r="AQ113" s="9"/>
      <c r="AR113" s="9"/>
      <c r="AS113" s="9"/>
      <c r="AT113" s="9"/>
      <c r="AU113" s="31"/>
      <c r="AV113" s="10" t="str">
        <f aca="false">IF(C113="","",IF(AND(V113="Approved",ISERROR(SEARCH("FAIL",AO113))),"Y","N"))</f>
        <v/>
      </c>
      <c r="AW113" s="10" t="str">
        <f aca="false">IF(C113="","",C113&amp;"|"&amp;F113&amp;"|"&amp;G113&amp;"|"&amp;L113&amp;"|"&amp;AV113)</f>
        <v/>
      </c>
    </row>
    <row r="114" customFormat="false" ht="15" hidden="false" customHeight="false" outlineLevel="0" collapsed="false">
      <c r="A114" s="10" t="str">
        <f aca="false">IF(C114="","","DRN-"&amp;IFERROR(VLOOKUP(C114,Lists!$A$4:$B$27,2,0),"??")&amp;"-"&amp;TEXT(F114,"0000")&amp;"x"&amp;TEXT(G114,"0000")&amp;IF(N(H114)&gt;1,"-"&amp;H114&amp;"C","")&amp;"-"&amp;IFERROR(VLOOKUP(L114,Lists!$J$4:$K$19,2,0),"??")&amp;"-"&amp;U114)</f>
        <v/>
      </c>
      <c r="B114" s="10" t="str">
        <f aca="false">IF(C114="","",C114&amp;" "&amp;F114&amp;"W x "&amp;G114&amp;"D"&amp;IF(N(H114)&gt;1," ("&amp;H114&amp;" cells)","")&amp;", "&amp;D114&amp;", "&amp;L114&amp;", "&amp;E114)</f>
        <v/>
      </c>
      <c r="C114" s="9"/>
      <c r="D114" s="9"/>
      <c r="E114" s="9"/>
      <c r="F114" s="40"/>
      <c r="G114" s="40"/>
      <c r="H114" s="40"/>
      <c r="I114" s="40"/>
      <c r="J114" s="40"/>
      <c r="K114" s="40"/>
      <c r="L114" s="9"/>
      <c r="M114" s="9"/>
      <c r="N114" s="9"/>
      <c r="O114" s="40"/>
      <c r="P114" s="9"/>
      <c r="Q114" s="9"/>
      <c r="R114" s="9"/>
      <c r="S114" s="9"/>
      <c r="T114" s="9"/>
      <c r="U114" s="9"/>
      <c r="V114" s="9"/>
      <c r="W114" s="9"/>
      <c r="X114" s="9"/>
      <c r="Y114" s="9"/>
      <c r="Z114" s="10" t="str">
        <f aca="false">IF(A114="","",SG_Criteria!$B$6&amp;SG_Criteria!$B$7&amp;"\"&amp;A114&amp;"\")</f>
        <v/>
      </c>
      <c r="AA114" s="10" t="str">
        <f aca="false">IF(A114="","",A114&amp;"_CAD.dwg")</f>
        <v/>
      </c>
      <c r="AB114" s="10" t="str">
        <f aca="false">IF(A114="","",A114&amp;"_DWG.pdf")</f>
        <v/>
      </c>
      <c r="AC114" s="10" t="str">
        <f aca="false">IF(A114="","",IF(Y114="Y",A114&amp;"_STAAD.std","n/a"))</f>
        <v/>
      </c>
      <c r="AD114" s="10" t="str">
        <f aca="false">IF(A114="","",A114&amp;"_CALC.xlsx")</f>
        <v/>
      </c>
      <c r="AE114" s="10" t="str">
        <f aca="false">IF(A114="","",A114&amp;"_CALC.pdf")</f>
        <v/>
      </c>
      <c r="AF114" s="9"/>
      <c r="AG114" s="9"/>
      <c r="AH114" s="41"/>
      <c r="AI114" s="41"/>
      <c r="AJ114" s="41"/>
      <c r="AK114" s="41"/>
      <c r="AL114" s="41"/>
      <c r="AM114" s="37" t="str">
        <f aca="false">IF(OR(C114="",F114="",G114="",C114="Sump",C114="Drop Inlet Chamber",C114="Silt Trap",C114="Pipe Culvert",C114="Subsoil Drain"),"",ROUND(MAX(1,N(H114))*(1/SG_Criteria!$B$26)*((F114/1000)*(G114/1000*(1-SG_Criteria!$B$25)))*(((F114/1000)*(G114/1000*(1-SG_Criteria!$B$25)))/((F114/1000)+2*(G114/1000*(1-SG_Criteria!$B$25))))^(2/3)*(1/Design_Selector!$B$11)^0.5,3))</f>
        <v/>
      </c>
      <c r="AN114" s="11" t="str">
        <f aca="false">IF(AM114="","",ROUND(AM114/(MAX(1,N(H114))*F114/1000*(G114/1000*(1-SG_Criteria!$B$25))),2))</f>
        <v/>
      </c>
      <c r="AO114" s="38" t="str">
        <f aca="false">IF(C114="","",IF(LEN(IF(AND(OR(D114="Roadside drain",D114="Entrance culvert"),OR(F114&lt;SG_Criteria!$B$15,G114&lt;SG_Criteria!$B$16)),"FAIL: below PUB min "&amp;SG_Criteria!$B$15&amp;"x"&amp;SG_Criteria!$B$16&amp;" for roadside drain. ","")&amp;IF(AND(D114="Common drain",F114&lt;SG_Criteria!$B$17),"FAIL: common drain W &lt; "&amp;SG_Criteria!$B$17&amp;" mm. ","")&amp;IF(AND(N114&lt;&gt;"",IFERROR(VALUE(MID(N114,2,2)),0)&lt;SG_Criteria!$B$19),"FAIL: grade below C"&amp;SG_Criteria!$B$19&amp;". ","")&amp;IF(AND(O114&lt;&gt;"",O114&lt;SG_Criteria!$B$20),"FAIL: cover &lt; "&amp;SG_Criteria!$B$20&amp;" mm. ","")&amp;IF(AND(E114="Open",G114&gt;SG_Criteria!$B$18),"NOTE: safety railing required (D &gt; "&amp;SG_Criteria!$B$18&amp;" mm). ","")&amp;IF(AND(D114="Entrance culvert",G114&lt;600),"NOTE: check hinged grating rule for culverts &lt; 600 deep (PUB Add. 3). ",""))=0,"OK",IF(AND(OR(D114="Roadside drain",D114="Entrance culvert"),OR(F114&lt;SG_Criteria!$B$15,G114&lt;SG_Criteria!$B$16)),"FAIL: below PUB min "&amp;SG_Criteria!$B$15&amp;"x"&amp;SG_Criteria!$B$16&amp;" for roadside drain. ","")&amp;IF(AND(D114="Common drain",F114&lt;SG_Criteria!$B$17),"FAIL: common drain W &lt; "&amp;SG_Criteria!$B$17&amp;" mm. ","")&amp;IF(AND(N114&lt;&gt;"",IFERROR(VALUE(MID(N114,2,2)),0)&lt;SG_Criteria!$B$19),"FAIL: grade below C"&amp;SG_Criteria!$B$19&amp;". ","")&amp;IF(AND(O114&lt;&gt;"",O114&lt;SG_Criteria!$B$20),"FAIL: cover &lt; "&amp;SG_Criteria!$B$20&amp;" mm. ","")&amp;IF(AND(E114="Open",G114&gt;SG_Criteria!$B$18),"NOTE: safety railing required (D &gt; "&amp;SG_Criteria!$B$18&amp;" mm). ","")&amp;IF(AND(D114="Entrance culvert",G114&lt;600),"NOTE: check hinged grating rule for culverts &lt; 600 deep (PUB Add. 3). ","")))</f>
        <v/>
      </c>
      <c r="AP114" s="9"/>
      <c r="AQ114" s="9"/>
      <c r="AR114" s="9"/>
      <c r="AS114" s="9"/>
      <c r="AT114" s="9"/>
      <c r="AU114" s="31"/>
      <c r="AV114" s="10" t="str">
        <f aca="false">IF(C114="","",IF(AND(V114="Approved",ISERROR(SEARCH("FAIL",AO114))),"Y","N"))</f>
        <v/>
      </c>
      <c r="AW114" s="10" t="str">
        <f aca="false">IF(C114="","",C114&amp;"|"&amp;F114&amp;"|"&amp;G114&amp;"|"&amp;L114&amp;"|"&amp;AV114)</f>
        <v/>
      </c>
    </row>
    <row r="115" customFormat="false" ht="15" hidden="false" customHeight="false" outlineLevel="0" collapsed="false">
      <c r="A115" s="10" t="str">
        <f aca="false">IF(C115="","","DRN-"&amp;IFERROR(VLOOKUP(C115,Lists!$A$4:$B$27,2,0),"??")&amp;"-"&amp;TEXT(F115,"0000")&amp;"x"&amp;TEXT(G115,"0000")&amp;IF(N(H115)&gt;1,"-"&amp;H115&amp;"C","")&amp;"-"&amp;IFERROR(VLOOKUP(L115,Lists!$J$4:$K$19,2,0),"??")&amp;"-"&amp;U115)</f>
        <v/>
      </c>
      <c r="B115" s="10" t="str">
        <f aca="false">IF(C115="","",C115&amp;" "&amp;F115&amp;"W x "&amp;G115&amp;"D"&amp;IF(N(H115)&gt;1," ("&amp;H115&amp;" cells)","")&amp;", "&amp;D115&amp;", "&amp;L115&amp;", "&amp;E115)</f>
        <v/>
      </c>
      <c r="C115" s="9"/>
      <c r="D115" s="9"/>
      <c r="E115" s="9"/>
      <c r="F115" s="40"/>
      <c r="G115" s="40"/>
      <c r="H115" s="40"/>
      <c r="I115" s="40"/>
      <c r="J115" s="40"/>
      <c r="K115" s="40"/>
      <c r="L115" s="9"/>
      <c r="M115" s="9"/>
      <c r="N115" s="9"/>
      <c r="O115" s="40"/>
      <c r="P115" s="9"/>
      <c r="Q115" s="9"/>
      <c r="R115" s="9"/>
      <c r="S115" s="9"/>
      <c r="T115" s="9"/>
      <c r="U115" s="9"/>
      <c r="V115" s="9"/>
      <c r="W115" s="9"/>
      <c r="X115" s="9"/>
      <c r="Y115" s="9"/>
      <c r="Z115" s="10" t="str">
        <f aca="false">IF(A115="","",SG_Criteria!$B$6&amp;SG_Criteria!$B$7&amp;"\"&amp;A115&amp;"\")</f>
        <v/>
      </c>
      <c r="AA115" s="10" t="str">
        <f aca="false">IF(A115="","",A115&amp;"_CAD.dwg")</f>
        <v/>
      </c>
      <c r="AB115" s="10" t="str">
        <f aca="false">IF(A115="","",A115&amp;"_DWG.pdf")</f>
        <v/>
      </c>
      <c r="AC115" s="10" t="str">
        <f aca="false">IF(A115="","",IF(Y115="Y",A115&amp;"_STAAD.std","n/a"))</f>
        <v/>
      </c>
      <c r="AD115" s="10" t="str">
        <f aca="false">IF(A115="","",A115&amp;"_CALC.xlsx")</f>
        <v/>
      </c>
      <c r="AE115" s="10" t="str">
        <f aca="false">IF(A115="","",A115&amp;"_CALC.pdf")</f>
        <v/>
      </c>
      <c r="AF115" s="9"/>
      <c r="AG115" s="9"/>
      <c r="AH115" s="41"/>
      <c r="AI115" s="41"/>
      <c r="AJ115" s="41"/>
      <c r="AK115" s="41"/>
      <c r="AL115" s="41"/>
      <c r="AM115" s="37" t="str">
        <f aca="false">IF(OR(C115="",F115="",G115="",C115="Sump",C115="Drop Inlet Chamber",C115="Silt Trap",C115="Pipe Culvert",C115="Subsoil Drain"),"",ROUND(MAX(1,N(H115))*(1/SG_Criteria!$B$26)*((F115/1000)*(G115/1000*(1-SG_Criteria!$B$25)))*(((F115/1000)*(G115/1000*(1-SG_Criteria!$B$25)))/((F115/1000)+2*(G115/1000*(1-SG_Criteria!$B$25))))^(2/3)*(1/Design_Selector!$B$11)^0.5,3))</f>
        <v/>
      </c>
      <c r="AN115" s="11" t="str">
        <f aca="false">IF(AM115="","",ROUND(AM115/(MAX(1,N(H115))*F115/1000*(G115/1000*(1-SG_Criteria!$B$25))),2))</f>
        <v/>
      </c>
      <c r="AO115" s="38" t="str">
        <f aca="false">IF(C115="","",IF(LEN(IF(AND(OR(D115="Roadside drain",D115="Entrance culvert"),OR(F115&lt;SG_Criteria!$B$15,G115&lt;SG_Criteria!$B$16)),"FAIL: below PUB min "&amp;SG_Criteria!$B$15&amp;"x"&amp;SG_Criteria!$B$16&amp;" for roadside drain. ","")&amp;IF(AND(D115="Common drain",F115&lt;SG_Criteria!$B$17),"FAIL: common drain W &lt; "&amp;SG_Criteria!$B$17&amp;" mm. ","")&amp;IF(AND(N115&lt;&gt;"",IFERROR(VALUE(MID(N115,2,2)),0)&lt;SG_Criteria!$B$19),"FAIL: grade below C"&amp;SG_Criteria!$B$19&amp;". ","")&amp;IF(AND(O115&lt;&gt;"",O115&lt;SG_Criteria!$B$20),"FAIL: cover &lt; "&amp;SG_Criteria!$B$20&amp;" mm. ","")&amp;IF(AND(E115="Open",G115&gt;SG_Criteria!$B$18),"NOTE: safety railing required (D &gt; "&amp;SG_Criteria!$B$18&amp;" mm). ","")&amp;IF(AND(D115="Entrance culvert",G115&lt;600),"NOTE: check hinged grating rule for culverts &lt; 600 deep (PUB Add. 3). ",""))=0,"OK",IF(AND(OR(D115="Roadside drain",D115="Entrance culvert"),OR(F115&lt;SG_Criteria!$B$15,G115&lt;SG_Criteria!$B$16)),"FAIL: below PUB min "&amp;SG_Criteria!$B$15&amp;"x"&amp;SG_Criteria!$B$16&amp;" for roadside drain. ","")&amp;IF(AND(D115="Common drain",F115&lt;SG_Criteria!$B$17),"FAIL: common drain W &lt; "&amp;SG_Criteria!$B$17&amp;" mm. ","")&amp;IF(AND(N115&lt;&gt;"",IFERROR(VALUE(MID(N115,2,2)),0)&lt;SG_Criteria!$B$19),"FAIL: grade below C"&amp;SG_Criteria!$B$19&amp;". ","")&amp;IF(AND(O115&lt;&gt;"",O115&lt;SG_Criteria!$B$20),"FAIL: cover &lt; "&amp;SG_Criteria!$B$20&amp;" mm. ","")&amp;IF(AND(E115="Open",G115&gt;SG_Criteria!$B$18),"NOTE: safety railing required (D &gt; "&amp;SG_Criteria!$B$18&amp;" mm). ","")&amp;IF(AND(D115="Entrance culvert",G115&lt;600),"NOTE: check hinged grating rule for culverts &lt; 600 deep (PUB Add. 3). ","")))</f>
        <v/>
      </c>
      <c r="AP115" s="9"/>
      <c r="AQ115" s="9"/>
      <c r="AR115" s="9"/>
      <c r="AS115" s="9"/>
      <c r="AT115" s="9"/>
      <c r="AU115" s="31"/>
      <c r="AV115" s="10" t="str">
        <f aca="false">IF(C115="","",IF(AND(V115="Approved",ISERROR(SEARCH("FAIL",AO115))),"Y","N"))</f>
        <v/>
      </c>
      <c r="AW115" s="10" t="str">
        <f aca="false">IF(C115="","",C115&amp;"|"&amp;F115&amp;"|"&amp;G115&amp;"|"&amp;L115&amp;"|"&amp;AV115)</f>
        <v/>
      </c>
    </row>
    <row r="116" customFormat="false" ht="15" hidden="false" customHeight="false" outlineLevel="0" collapsed="false">
      <c r="A116" s="10" t="str">
        <f aca="false">IF(C116="","","DRN-"&amp;IFERROR(VLOOKUP(C116,Lists!$A$4:$B$27,2,0),"??")&amp;"-"&amp;TEXT(F116,"0000")&amp;"x"&amp;TEXT(G116,"0000")&amp;IF(N(H116)&gt;1,"-"&amp;H116&amp;"C","")&amp;"-"&amp;IFERROR(VLOOKUP(L116,Lists!$J$4:$K$19,2,0),"??")&amp;"-"&amp;U116)</f>
        <v/>
      </c>
      <c r="B116" s="10" t="str">
        <f aca="false">IF(C116="","",C116&amp;" "&amp;F116&amp;"W x "&amp;G116&amp;"D"&amp;IF(N(H116)&gt;1," ("&amp;H116&amp;" cells)","")&amp;", "&amp;D116&amp;", "&amp;L116&amp;", "&amp;E116)</f>
        <v/>
      </c>
      <c r="C116" s="9"/>
      <c r="D116" s="9"/>
      <c r="E116" s="9"/>
      <c r="F116" s="40"/>
      <c r="G116" s="40"/>
      <c r="H116" s="40"/>
      <c r="I116" s="40"/>
      <c r="J116" s="40"/>
      <c r="K116" s="40"/>
      <c r="L116" s="9"/>
      <c r="M116" s="9"/>
      <c r="N116" s="9"/>
      <c r="O116" s="40"/>
      <c r="P116" s="9"/>
      <c r="Q116" s="9"/>
      <c r="R116" s="9"/>
      <c r="S116" s="9"/>
      <c r="T116" s="9"/>
      <c r="U116" s="9"/>
      <c r="V116" s="9"/>
      <c r="W116" s="9"/>
      <c r="X116" s="9"/>
      <c r="Y116" s="9"/>
      <c r="Z116" s="10" t="str">
        <f aca="false">IF(A116="","",SG_Criteria!$B$6&amp;SG_Criteria!$B$7&amp;"\"&amp;A116&amp;"\")</f>
        <v/>
      </c>
      <c r="AA116" s="10" t="str">
        <f aca="false">IF(A116="","",A116&amp;"_CAD.dwg")</f>
        <v/>
      </c>
      <c r="AB116" s="10" t="str">
        <f aca="false">IF(A116="","",A116&amp;"_DWG.pdf")</f>
        <v/>
      </c>
      <c r="AC116" s="10" t="str">
        <f aca="false">IF(A116="","",IF(Y116="Y",A116&amp;"_STAAD.std","n/a"))</f>
        <v/>
      </c>
      <c r="AD116" s="10" t="str">
        <f aca="false">IF(A116="","",A116&amp;"_CALC.xlsx")</f>
        <v/>
      </c>
      <c r="AE116" s="10" t="str">
        <f aca="false">IF(A116="","",A116&amp;"_CALC.pdf")</f>
        <v/>
      </c>
      <c r="AF116" s="9"/>
      <c r="AG116" s="9"/>
      <c r="AH116" s="41"/>
      <c r="AI116" s="41"/>
      <c r="AJ116" s="41"/>
      <c r="AK116" s="41"/>
      <c r="AL116" s="41"/>
      <c r="AM116" s="37" t="str">
        <f aca="false">IF(OR(C116="",F116="",G116="",C116="Sump",C116="Drop Inlet Chamber",C116="Silt Trap",C116="Pipe Culvert",C116="Subsoil Drain"),"",ROUND(MAX(1,N(H116))*(1/SG_Criteria!$B$26)*((F116/1000)*(G116/1000*(1-SG_Criteria!$B$25)))*(((F116/1000)*(G116/1000*(1-SG_Criteria!$B$25)))/((F116/1000)+2*(G116/1000*(1-SG_Criteria!$B$25))))^(2/3)*(1/Design_Selector!$B$11)^0.5,3))</f>
        <v/>
      </c>
      <c r="AN116" s="11" t="str">
        <f aca="false">IF(AM116="","",ROUND(AM116/(MAX(1,N(H116))*F116/1000*(G116/1000*(1-SG_Criteria!$B$25))),2))</f>
        <v/>
      </c>
      <c r="AO116" s="38" t="str">
        <f aca="false">IF(C116="","",IF(LEN(IF(AND(OR(D116="Roadside drain",D116="Entrance culvert"),OR(F116&lt;SG_Criteria!$B$15,G116&lt;SG_Criteria!$B$16)),"FAIL: below PUB min "&amp;SG_Criteria!$B$15&amp;"x"&amp;SG_Criteria!$B$16&amp;" for roadside drain. ","")&amp;IF(AND(D116="Common drain",F116&lt;SG_Criteria!$B$17),"FAIL: common drain W &lt; "&amp;SG_Criteria!$B$17&amp;" mm. ","")&amp;IF(AND(N116&lt;&gt;"",IFERROR(VALUE(MID(N116,2,2)),0)&lt;SG_Criteria!$B$19),"FAIL: grade below C"&amp;SG_Criteria!$B$19&amp;". ","")&amp;IF(AND(O116&lt;&gt;"",O116&lt;SG_Criteria!$B$20),"FAIL: cover &lt; "&amp;SG_Criteria!$B$20&amp;" mm. ","")&amp;IF(AND(E116="Open",G116&gt;SG_Criteria!$B$18),"NOTE: safety railing required (D &gt; "&amp;SG_Criteria!$B$18&amp;" mm). ","")&amp;IF(AND(D116="Entrance culvert",G116&lt;600),"NOTE: check hinged grating rule for culverts &lt; 600 deep (PUB Add. 3). ",""))=0,"OK",IF(AND(OR(D116="Roadside drain",D116="Entrance culvert"),OR(F116&lt;SG_Criteria!$B$15,G116&lt;SG_Criteria!$B$16)),"FAIL: below PUB min "&amp;SG_Criteria!$B$15&amp;"x"&amp;SG_Criteria!$B$16&amp;" for roadside drain. ","")&amp;IF(AND(D116="Common drain",F116&lt;SG_Criteria!$B$17),"FAIL: common drain W &lt; "&amp;SG_Criteria!$B$17&amp;" mm. ","")&amp;IF(AND(N116&lt;&gt;"",IFERROR(VALUE(MID(N116,2,2)),0)&lt;SG_Criteria!$B$19),"FAIL: grade below C"&amp;SG_Criteria!$B$19&amp;". ","")&amp;IF(AND(O116&lt;&gt;"",O116&lt;SG_Criteria!$B$20),"FAIL: cover &lt; "&amp;SG_Criteria!$B$20&amp;" mm. ","")&amp;IF(AND(E116="Open",G116&gt;SG_Criteria!$B$18),"NOTE: safety railing required (D &gt; "&amp;SG_Criteria!$B$18&amp;" mm). ","")&amp;IF(AND(D116="Entrance culvert",G116&lt;600),"NOTE: check hinged grating rule for culverts &lt; 600 deep (PUB Add. 3). ","")))</f>
        <v/>
      </c>
      <c r="AP116" s="9"/>
      <c r="AQ116" s="9"/>
      <c r="AR116" s="9"/>
      <c r="AS116" s="9"/>
      <c r="AT116" s="9"/>
      <c r="AU116" s="31"/>
      <c r="AV116" s="10" t="str">
        <f aca="false">IF(C116="","",IF(AND(V116="Approved",ISERROR(SEARCH("FAIL",AO116))),"Y","N"))</f>
        <v/>
      </c>
      <c r="AW116" s="10" t="str">
        <f aca="false">IF(C116="","",C116&amp;"|"&amp;F116&amp;"|"&amp;G116&amp;"|"&amp;L116&amp;"|"&amp;AV116)</f>
        <v/>
      </c>
    </row>
    <row r="117" customFormat="false" ht="15" hidden="false" customHeight="false" outlineLevel="0" collapsed="false">
      <c r="A117" s="10" t="str">
        <f aca="false">IF(C117="","","DRN-"&amp;IFERROR(VLOOKUP(C117,Lists!$A$4:$B$27,2,0),"??")&amp;"-"&amp;TEXT(F117,"0000")&amp;"x"&amp;TEXT(G117,"0000")&amp;IF(N(H117)&gt;1,"-"&amp;H117&amp;"C","")&amp;"-"&amp;IFERROR(VLOOKUP(L117,Lists!$J$4:$K$19,2,0),"??")&amp;"-"&amp;U117)</f>
        <v/>
      </c>
      <c r="B117" s="10" t="str">
        <f aca="false">IF(C117="","",C117&amp;" "&amp;F117&amp;"W x "&amp;G117&amp;"D"&amp;IF(N(H117)&gt;1," ("&amp;H117&amp;" cells)","")&amp;", "&amp;D117&amp;", "&amp;L117&amp;", "&amp;E117)</f>
        <v/>
      </c>
      <c r="C117" s="9"/>
      <c r="D117" s="9"/>
      <c r="E117" s="9"/>
      <c r="F117" s="40"/>
      <c r="G117" s="40"/>
      <c r="H117" s="40"/>
      <c r="I117" s="40"/>
      <c r="J117" s="40"/>
      <c r="K117" s="40"/>
      <c r="L117" s="9"/>
      <c r="M117" s="9"/>
      <c r="N117" s="9"/>
      <c r="O117" s="40"/>
      <c r="P117" s="9"/>
      <c r="Q117" s="9"/>
      <c r="R117" s="9"/>
      <c r="S117" s="9"/>
      <c r="T117" s="9"/>
      <c r="U117" s="9"/>
      <c r="V117" s="9"/>
      <c r="W117" s="9"/>
      <c r="X117" s="9"/>
      <c r="Y117" s="9"/>
      <c r="Z117" s="10" t="str">
        <f aca="false">IF(A117="","",SG_Criteria!$B$6&amp;SG_Criteria!$B$7&amp;"\"&amp;A117&amp;"\")</f>
        <v/>
      </c>
      <c r="AA117" s="10" t="str">
        <f aca="false">IF(A117="","",A117&amp;"_CAD.dwg")</f>
        <v/>
      </c>
      <c r="AB117" s="10" t="str">
        <f aca="false">IF(A117="","",A117&amp;"_DWG.pdf")</f>
        <v/>
      </c>
      <c r="AC117" s="10" t="str">
        <f aca="false">IF(A117="","",IF(Y117="Y",A117&amp;"_STAAD.std","n/a"))</f>
        <v/>
      </c>
      <c r="AD117" s="10" t="str">
        <f aca="false">IF(A117="","",A117&amp;"_CALC.xlsx")</f>
        <v/>
      </c>
      <c r="AE117" s="10" t="str">
        <f aca="false">IF(A117="","",A117&amp;"_CALC.pdf")</f>
        <v/>
      </c>
      <c r="AF117" s="9"/>
      <c r="AG117" s="9"/>
      <c r="AH117" s="41"/>
      <c r="AI117" s="41"/>
      <c r="AJ117" s="41"/>
      <c r="AK117" s="41"/>
      <c r="AL117" s="41"/>
      <c r="AM117" s="37" t="str">
        <f aca="false">IF(OR(C117="",F117="",G117="",C117="Sump",C117="Drop Inlet Chamber",C117="Silt Trap",C117="Pipe Culvert",C117="Subsoil Drain"),"",ROUND(MAX(1,N(H117))*(1/SG_Criteria!$B$26)*((F117/1000)*(G117/1000*(1-SG_Criteria!$B$25)))*(((F117/1000)*(G117/1000*(1-SG_Criteria!$B$25)))/((F117/1000)+2*(G117/1000*(1-SG_Criteria!$B$25))))^(2/3)*(1/Design_Selector!$B$11)^0.5,3))</f>
        <v/>
      </c>
      <c r="AN117" s="11" t="str">
        <f aca="false">IF(AM117="","",ROUND(AM117/(MAX(1,N(H117))*F117/1000*(G117/1000*(1-SG_Criteria!$B$25))),2))</f>
        <v/>
      </c>
      <c r="AO117" s="38" t="str">
        <f aca="false">IF(C117="","",IF(LEN(IF(AND(OR(D117="Roadside drain",D117="Entrance culvert"),OR(F117&lt;SG_Criteria!$B$15,G117&lt;SG_Criteria!$B$16)),"FAIL: below PUB min "&amp;SG_Criteria!$B$15&amp;"x"&amp;SG_Criteria!$B$16&amp;" for roadside drain. ","")&amp;IF(AND(D117="Common drain",F117&lt;SG_Criteria!$B$17),"FAIL: common drain W &lt; "&amp;SG_Criteria!$B$17&amp;" mm. ","")&amp;IF(AND(N117&lt;&gt;"",IFERROR(VALUE(MID(N117,2,2)),0)&lt;SG_Criteria!$B$19),"FAIL: grade below C"&amp;SG_Criteria!$B$19&amp;". ","")&amp;IF(AND(O117&lt;&gt;"",O117&lt;SG_Criteria!$B$20),"FAIL: cover &lt; "&amp;SG_Criteria!$B$20&amp;" mm. ","")&amp;IF(AND(E117="Open",G117&gt;SG_Criteria!$B$18),"NOTE: safety railing required (D &gt; "&amp;SG_Criteria!$B$18&amp;" mm). ","")&amp;IF(AND(D117="Entrance culvert",G117&lt;600),"NOTE: check hinged grating rule for culverts &lt; 600 deep (PUB Add. 3). ",""))=0,"OK",IF(AND(OR(D117="Roadside drain",D117="Entrance culvert"),OR(F117&lt;SG_Criteria!$B$15,G117&lt;SG_Criteria!$B$16)),"FAIL: below PUB min "&amp;SG_Criteria!$B$15&amp;"x"&amp;SG_Criteria!$B$16&amp;" for roadside drain. ","")&amp;IF(AND(D117="Common drain",F117&lt;SG_Criteria!$B$17),"FAIL: common drain W &lt; "&amp;SG_Criteria!$B$17&amp;" mm. ","")&amp;IF(AND(N117&lt;&gt;"",IFERROR(VALUE(MID(N117,2,2)),0)&lt;SG_Criteria!$B$19),"FAIL: grade below C"&amp;SG_Criteria!$B$19&amp;". ","")&amp;IF(AND(O117&lt;&gt;"",O117&lt;SG_Criteria!$B$20),"FAIL: cover &lt; "&amp;SG_Criteria!$B$20&amp;" mm. ","")&amp;IF(AND(E117="Open",G117&gt;SG_Criteria!$B$18),"NOTE: safety railing required (D &gt; "&amp;SG_Criteria!$B$18&amp;" mm). ","")&amp;IF(AND(D117="Entrance culvert",G117&lt;600),"NOTE: check hinged grating rule for culverts &lt; 600 deep (PUB Add. 3). ","")))</f>
        <v/>
      </c>
      <c r="AP117" s="9"/>
      <c r="AQ117" s="9"/>
      <c r="AR117" s="9"/>
      <c r="AS117" s="9"/>
      <c r="AT117" s="9"/>
      <c r="AU117" s="31"/>
      <c r="AV117" s="10" t="str">
        <f aca="false">IF(C117="","",IF(AND(V117="Approved",ISERROR(SEARCH("FAIL",AO117))),"Y","N"))</f>
        <v/>
      </c>
      <c r="AW117" s="10" t="str">
        <f aca="false">IF(C117="","",C117&amp;"|"&amp;F117&amp;"|"&amp;G117&amp;"|"&amp;L117&amp;"|"&amp;AV117)</f>
        <v/>
      </c>
    </row>
    <row r="118" customFormat="false" ht="15" hidden="false" customHeight="false" outlineLevel="0" collapsed="false">
      <c r="A118" s="10" t="str">
        <f aca="false">IF(C118="","","DRN-"&amp;IFERROR(VLOOKUP(C118,Lists!$A$4:$B$27,2,0),"??")&amp;"-"&amp;TEXT(F118,"0000")&amp;"x"&amp;TEXT(G118,"0000")&amp;IF(N(H118)&gt;1,"-"&amp;H118&amp;"C","")&amp;"-"&amp;IFERROR(VLOOKUP(L118,Lists!$J$4:$K$19,2,0),"??")&amp;"-"&amp;U118)</f>
        <v/>
      </c>
      <c r="B118" s="10" t="str">
        <f aca="false">IF(C118="","",C118&amp;" "&amp;F118&amp;"W x "&amp;G118&amp;"D"&amp;IF(N(H118)&gt;1," ("&amp;H118&amp;" cells)","")&amp;", "&amp;D118&amp;", "&amp;L118&amp;", "&amp;E118)</f>
        <v/>
      </c>
      <c r="C118" s="9"/>
      <c r="D118" s="9"/>
      <c r="E118" s="9"/>
      <c r="F118" s="40"/>
      <c r="G118" s="40"/>
      <c r="H118" s="40"/>
      <c r="I118" s="40"/>
      <c r="J118" s="40"/>
      <c r="K118" s="40"/>
      <c r="L118" s="9"/>
      <c r="M118" s="9"/>
      <c r="N118" s="9"/>
      <c r="O118" s="40"/>
      <c r="P118" s="9"/>
      <c r="Q118" s="9"/>
      <c r="R118" s="9"/>
      <c r="S118" s="9"/>
      <c r="T118" s="9"/>
      <c r="U118" s="9"/>
      <c r="V118" s="9"/>
      <c r="W118" s="9"/>
      <c r="X118" s="9"/>
      <c r="Y118" s="9"/>
      <c r="Z118" s="10" t="str">
        <f aca="false">IF(A118="","",SG_Criteria!$B$6&amp;SG_Criteria!$B$7&amp;"\"&amp;A118&amp;"\")</f>
        <v/>
      </c>
      <c r="AA118" s="10" t="str">
        <f aca="false">IF(A118="","",A118&amp;"_CAD.dwg")</f>
        <v/>
      </c>
      <c r="AB118" s="10" t="str">
        <f aca="false">IF(A118="","",A118&amp;"_DWG.pdf")</f>
        <v/>
      </c>
      <c r="AC118" s="10" t="str">
        <f aca="false">IF(A118="","",IF(Y118="Y",A118&amp;"_STAAD.std","n/a"))</f>
        <v/>
      </c>
      <c r="AD118" s="10" t="str">
        <f aca="false">IF(A118="","",A118&amp;"_CALC.xlsx")</f>
        <v/>
      </c>
      <c r="AE118" s="10" t="str">
        <f aca="false">IF(A118="","",A118&amp;"_CALC.pdf")</f>
        <v/>
      </c>
      <c r="AF118" s="9"/>
      <c r="AG118" s="9"/>
      <c r="AH118" s="41"/>
      <c r="AI118" s="41"/>
      <c r="AJ118" s="41"/>
      <c r="AK118" s="41"/>
      <c r="AL118" s="41"/>
      <c r="AM118" s="37" t="str">
        <f aca="false">IF(OR(C118="",F118="",G118="",C118="Sump",C118="Drop Inlet Chamber",C118="Silt Trap",C118="Pipe Culvert",C118="Subsoil Drain"),"",ROUND(MAX(1,N(H118))*(1/SG_Criteria!$B$26)*((F118/1000)*(G118/1000*(1-SG_Criteria!$B$25)))*(((F118/1000)*(G118/1000*(1-SG_Criteria!$B$25)))/((F118/1000)+2*(G118/1000*(1-SG_Criteria!$B$25))))^(2/3)*(1/Design_Selector!$B$11)^0.5,3))</f>
        <v/>
      </c>
      <c r="AN118" s="11" t="str">
        <f aca="false">IF(AM118="","",ROUND(AM118/(MAX(1,N(H118))*F118/1000*(G118/1000*(1-SG_Criteria!$B$25))),2))</f>
        <v/>
      </c>
      <c r="AO118" s="38" t="str">
        <f aca="false">IF(C118="","",IF(LEN(IF(AND(OR(D118="Roadside drain",D118="Entrance culvert"),OR(F118&lt;SG_Criteria!$B$15,G118&lt;SG_Criteria!$B$16)),"FAIL: below PUB min "&amp;SG_Criteria!$B$15&amp;"x"&amp;SG_Criteria!$B$16&amp;" for roadside drain. ","")&amp;IF(AND(D118="Common drain",F118&lt;SG_Criteria!$B$17),"FAIL: common drain W &lt; "&amp;SG_Criteria!$B$17&amp;" mm. ","")&amp;IF(AND(N118&lt;&gt;"",IFERROR(VALUE(MID(N118,2,2)),0)&lt;SG_Criteria!$B$19),"FAIL: grade below C"&amp;SG_Criteria!$B$19&amp;". ","")&amp;IF(AND(O118&lt;&gt;"",O118&lt;SG_Criteria!$B$20),"FAIL: cover &lt; "&amp;SG_Criteria!$B$20&amp;" mm. ","")&amp;IF(AND(E118="Open",G118&gt;SG_Criteria!$B$18),"NOTE: safety railing required (D &gt; "&amp;SG_Criteria!$B$18&amp;" mm). ","")&amp;IF(AND(D118="Entrance culvert",G118&lt;600),"NOTE: check hinged grating rule for culverts &lt; 600 deep (PUB Add. 3). ",""))=0,"OK",IF(AND(OR(D118="Roadside drain",D118="Entrance culvert"),OR(F118&lt;SG_Criteria!$B$15,G118&lt;SG_Criteria!$B$16)),"FAIL: below PUB min "&amp;SG_Criteria!$B$15&amp;"x"&amp;SG_Criteria!$B$16&amp;" for roadside drain. ","")&amp;IF(AND(D118="Common drain",F118&lt;SG_Criteria!$B$17),"FAIL: common drain W &lt; "&amp;SG_Criteria!$B$17&amp;" mm. ","")&amp;IF(AND(N118&lt;&gt;"",IFERROR(VALUE(MID(N118,2,2)),0)&lt;SG_Criteria!$B$19),"FAIL: grade below C"&amp;SG_Criteria!$B$19&amp;". ","")&amp;IF(AND(O118&lt;&gt;"",O118&lt;SG_Criteria!$B$20),"FAIL: cover &lt; "&amp;SG_Criteria!$B$20&amp;" mm. ","")&amp;IF(AND(E118="Open",G118&gt;SG_Criteria!$B$18),"NOTE: safety railing required (D &gt; "&amp;SG_Criteria!$B$18&amp;" mm). ","")&amp;IF(AND(D118="Entrance culvert",G118&lt;600),"NOTE: check hinged grating rule for culverts &lt; 600 deep (PUB Add. 3). ","")))</f>
        <v/>
      </c>
      <c r="AP118" s="9"/>
      <c r="AQ118" s="9"/>
      <c r="AR118" s="9"/>
      <c r="AS118" s="9"/>
      <c r="AT118" s="9"/>
      <c r="AU118" s="31"/>
      <c r="AV118" s="10" t="str">
        <f aca="false">IF(C118="","",IF(AND(V118="Approved",ISERROR(SEARCH("FAIL",AO118))),"Y","N"))</f>
        <v/>
      </c>
      <c r="AW118" s="10" t="str">
        <f aca="false">IF(C118="","",C118&amp;"|"&amp;F118&amp;"|"&amp;G118&amp;"|"&amp;L118&amp;"|"&amp;AV118)</f>
        <v/>
      </c>
    </row>
    <row r="119" customFormat="false" ht="15" hidden="false" customHeight="false" outlineLevel="0" collapsed="false">
      <c r="A119" s="10" t="str">
        <f aca="false">IF(C119="","","DRN-"&amp;IFERROR(VLOOKUP(C119,Lists!$A$4:$B$27,2,0),"??")&amp;"-"&amp;TEXT(F119,"0000")&amp;"x"&amp;TEXT(G119,"0000")&amp;IF(N(H119)&gt;1,"-"&amp;H119&amp;"C","")&amp;"-"&amp;IFERROR(VLOOKUP(L119,Lists!$J$4:$K$19,2,0),"??")&amp;"-"&amp;U119)</f>
        <v/>
      </c>
      <c r="B119" s="10" t="str">
        <f aca="false">IF(C119="","",C119&amp;" "&amp;F119&amp;"W x "&amp;G119&amp;"D"&amp;IF(N(H119)&gt;1," ("&amp;H119&amp;" cells)","")&amp;", "&amp;D119&amp;", "&amp;L119&amp;", "&amp;E119)</f>
        <v/>
      </c>
      <c r="C119" s="9"/>
      <c r="D119" s="9"/>
      <c r="E119" s="9"/>
      <c r="F119" s="40"/>
      <c r="G119" s="40"/>
      <c r="H119" s="40"/>
      <c r="I119" s="40"/>
      <c r="J119" s="40"/>
      <c r="K119" s="40"/>
      <c r="L119" s="9"/>
      <c r="M119" s="9"/>
      <c r="N119" s="9"/>
      <c r="O119" s="40"/>
      <c r="P119" s="9"/>
      <c r="Q119" s="9"/>
      <c r="R119" s="9"/>
      <c r="S119" s="9"/>
      <c r="T119" s="9"/>
      <c r="U119" s="9"/>
      <c r="V119" s="9"/>
      <c r="W119" s="9"/>
      <c r="X119" s="9"/>
      <c r="Y119" s="9"/>
      <c r="Z119" s="10" t="str">
        <f aca="false">IF(A119="","",SG_Criteria!$B$6&amp;SG_Criteria!$B$7&amp;"\"&amp;A119&amp;"\")</f>
        <v/>
      </c>
      <c r="AA119" s="10" t="str">
        <f aca="false">IF(A119="","",A119&amp;"_CAD.dwg")</f>
        <v/>
      </c>
      <c r="AB119" s="10" t="str">
        <f aca="false">IF(A119="","",A119&amp;"_DWG.pdf")</f>
        <v/>
      </c>
      <c r="AC119" s="10" t="str">
        <f aca="false">IF(A119="","",IF(Y119="Y",A119&amp;"_STAAD.std","n/a"))</f>
        <v/>
      </c>
      <c r="AD119" s="10" t="str">
        <f aca="false">IF(A119="","",A119&amp;"_CALC.xlsx")</f>
        <v/>
      </c>
      <c r="AE119" s="10" t="str">
        <f aca="false">IF(A119="","",A119&amp;"_CALC.pdf")</f>
        <v/>
      </c>
      <c r="AF119" s="9"/>
      <c r="AG119" s="9"/>
      <c r="AH119" s="41"/>
      <c r="AI119" s="41"/>
      <c r="AJ119" s="41"/>
      <c r="AK119" s="41"/>
      <c r="AL119" s="41"/>
      <c r="AM119" s="37" t="str">
        <f aca="false">IF(OR(C119="",F119="",G119="",C119="Sump",C119="Drop Inlet Chamber",C119="Silt Trap",C119="Pipe Culvert",C119="Subsoil Drain"),"",ROUND(MAX(1,N(H119))*(1/SG_Criteria!$B$26)*((F119/1000)*(G119/1000*(1-SG_Criteria!$B$25)))*(((F119/1000)*(G119/1000*(1-SG_Criteria!$B$25)))/((F119/1000)+2*(G119/1000*(1-SG_Criteria!$B$25))))^(2/3)*(1/Design_Selector!$B$11)^0.5,3))</f>
        <v/>
      </c>
      <c r="AN119" s="11" t="str">
        <f aca="false">IF(AM119="","",ROUND(AM119/(MAX(1,N(H119))*F119/1000*(G119/1000*(1-SG_Criteria!$B$25))),2))</f>
        <v/>
      </c>
      <c r="AO119" s="38" t="str">
        <f aca="false">IF(C119="","",IF(LEN(IF(AND(OR(D119="Roadside drain",D119="Entrance culvert"),OR(F119&lt;SG_Criteria!$B$15,G119&lt;SG_Criteria!$B$16)),"FAIL: below PUB min "&amp;SG_Criteria!$B$15&amp;"x"&amp;SG_Criteria!$B$16&amp;" for roadside drain. ","")&amp;IF(AND(D119="Common drain",F119&lt;SG_Criteria!$B$17),"FAIL: common drain W &lt; "&amp;SG_Criteria!$B$17&amp;" mm. ","")&amp;IF(AND(N119&lt;&gt;"",IFERROR(VALUE(MID(N119,2,2)),0)&lt;SG_Criteria!$B$19),"FAIL: grade below C"&amp;SG_Criteria!$B$19&amp;". ","")&amp;IF(AND(O119&lt;&gt;"",O119&lt;SG_Criteria!$B$20),"FAIL: cover &lt; "&amp;SG_Criteria!$B$20&amp;" mm. ","")&amp;IF(AND(E119="Open",G119&gt;SG_Criteria!$B$18),"NOTE: safety railing required (D &gt; "&amp;SG_Criteria!$B$18&amp;" mm). ","")&amp;IF(AND(D119="Entrance culvert",G119&lt;600),"NOTE: check hinged grating rule for culverts &lt; 600 deep (PUB Add. 3). ",""))=0,"OK",IF(AND(OR(D119="Roadside drain",D119="Entrance culvert"),OR(F119&lt;SG_Criteria!$B$15,G119&lt;SG_Criteria!$B$16)),"FAIL: below PUB min "&amp;SG_Criteria!$B$15&amp;"x"&amp;SG_Criteria!$B$16&amp;" for roadside drain. ","")&amp;IF(AND(D119="Common drain",F119&lt;SG_Criteria!$B$17),"FAIL: common drain W &lt; "&amp;SG_Criteria!$B$17&amp;" mm. ","")&amp;IF(AND(N119&lt;&gt;"",IFERROR(VALUE(MID(N119,2,2)),0)&lt;SG_Criteria!$B$19),"FAIL: grade below C"&amp;SG_Criteria!$B$19&amp;". ","")&amp;IF(AND(O119&lt;&gt;"",O119&lt;SG_Criteria!$B$20),"FAIL: cover &lt; "&amp;SG_Criteria!$B$20&amp;" mm. ","")&amp;IF(AND(E119="Open",G119&gt;SG_Criteria!$B$18),"NOTE: safety railing required (D &gt; "&amp;SG_Criteria!$B$18&amp;" mm). ","")&amp;IF(AND(D119="Entrance culvert",G119&lt;600),"NOTE: check hinged grating rule for culverts &lt; 600 deep (PUB Add. 3). ","")))</f>
        <v/>
      </c>
      <c r="AP119" s="9"/>
      <c r="AQ119" s="9"/>
      <c r="AR119" s="9"/>
      <c r="AS119" s="9"/>
      <c r="AT119" s="9"/>
      <c r="AU119" s="31"/>
      <c r="AV119" s="10" t="str">
        <f aca="false">IF(C119="","",IF(AND(V119="Approved",ISERROR(SEARCH("FAIL",AO119))),"Y","N"))</f>
        <v/>
      </c>
      <c r="AW119" s="10" t="str">
        <f aca="false">IF(C119="","",C119&amp;"|"&amp;F119&amp;"|"&amp;G119&amp;"|"&amp;L119&amp;"|"&amp;AV119)</f>
        <v/>
      </c>
    </row>
    <row r="120" customFormat="false" ht="15" hidden="false" customHeight="false" outlineLevel="0" collapsed="false">
      <c r="A120" s="10" t="str">
        <f aca="false">IF(C120="","","DRN-"&amp;IFERROR(VLOOKUP(C120,Lists!$A$4:$B$27,2,0),"??")&amp;"-"&amp;TEXT(F120,"0000")&amp;"x"&amp;TEXT(G120,"0000")&amp;IF(N(H120)&gt;1,"-"&amp;H120&amp;"C","")&amp;"-"&amp;IFERROR(VLOOKUP(L120,Lists!$J$4:$K$19,2,0),"??")&amp;"-"&amp;U120)</f>
        <v/>
      </c>
      <c r="B120" s="10" t="str">
        <f aca="false">IF(C120="","",C120&amp;" "&amp;F120&amp;"W x "&amp;G120&amp;"D"&amp;IF(N(H120)&gt;1," ("&amp;H120&amp;" cells)","")&amp;", "&amp;D120&amp;", "&amp;L120&amp;", "&amp;E120)</f>
        <v/>
      </c>
      <c r="C120" s="9"/>
      <c r="D120" s="9"/>
      <c r="E120" s="9"/>
      <c r="F120" s="40"/>
      <c r="G120" s="40"/>
      <c r="H120" s="40"/>
      <c r="I120" s="40"/>
      <c r="J120" s="40"/>
      <c r="K120" s="40"/>
      <c r="L120" s="9"/>
      <c r="M120" s="9"/>
      <c r="N120" s="9"/>
      <c r="O120" s="40"/>
      <c r="P120" s="9"/>
      <c r="Q120" s="9"/>
      <c r="R120" s="9"/>
      <c r="S120" s="9"/>
      <c r="T120" s="9"/>
      <c r="U120" s="9"/>
      <c r="V120" s="9"/>
      <c r="W120" s="9"/>
      <c r="X120" s="9"/>
      <c r="Y120" s="9"/>
      <c r="Z120" s="10" t="str">
        <f aca="false">IF(A120="","",SG_Criteria!$B$6&amp;SG_Criteria!$B$7&amp;"\"&amp;A120&amp;"\")</f>
        <v/>
      </c>
      <c r="AA120" s="10" t="str">
        <f aca="false">IF(A120="","",A120&amp;"_CAD.dwg")</f>
        <v/>
      </c>
      <c r="AB120" s="10" t="str">
        <f aca="false">IF(A120="","",A120&amp;"_DWG.pdf")</f>
        <v/>
      </c>
      <c r="AC120" s="10" t="str">
        <f aca="false">IF(A120="","",IF(Y120="Y",A120&amp;"_STAAD.std","n/a"))</f>
        <v/>
      </c>
      <c r="AD120" s="10" t="str">
        <f aca="false">IF(A120="","",A120&amp;"_CALC.xlsx")</f>
        <v/>
      </c>
      <c r="AE120" s="10" t="str">
        <f aca="false">IF(A120="","",A120&amp;"_CALC.pdf")</f>
        <v/>
      </c>
      <c r="AF120" s="9"/>
      <c r="AG120" s="9"/>
      <c r="AH120" s="41"/>
      <c r="AI120" s="41"/>
      <c r="AJ120" s="41"/>
      <c r="AK120" s="41"/>
      <c r="AL120" s="41"/>
      <c r="AM120" s="37" t="str">
        <f aca="false">IF(OR(C120="",F120="",G120="",C120="Sump",C120="Drop Inlet Chamber",C120="Silt Trap",C120="Pipe Culvert",C120="Subsoil Drain"),"",ROUND(MAX(1,N(H120))*(1/SG_Criteria!$B$26)*((F120/1000)*(G120/1000*(1-SG_Criteria!$B$25)))*(((F120/1000)*(G120/1000*(1-SG_Criteria!$B$25)))/((F120/1000)+2*(G120/1000*(1-SG_Criteria!$B$25))))^(2/3)*(1/Design_Selector!$B$11)^0.5,3))</f>
        <v/>
      </c>
      <c r="AN120" s="11" t="str">
        <f aca="false">IF(AM120="","",ROUND(AM120/(MAX(1,N(H120))*F120/1000*(G120/1000*(1-SG_Criteria!$B$25))),2))</f>
        <v/>
      </c>
      <c r="AO120" s="38" t="str">
        <f aca="false">IF(C120="","",IF(LEN(IF(AND(OR(D120="Roadside drain",D120="Entrance culvert"),OR(F120&lt;SG_Criteria!$B$15,G120&lt;SG_Criteria!$B$16)),"FAIL: below PUB min "&amp;SG_Criteria!$B$15&amp;"x"&amp;SG_Criteria!$B$16&amp;" for roadside drain. ","")&amp;IF(AND(D120="Common drain",F120&lt;SG_Criteria!$B$17),"FAIL: common drain W &lt; "&amp;SG_Criteria!$B$17&amp;" mm. ","")&amp;IF(AND(N120&lt;&gt;"",IFERROR(VALUE(MID(N120,2,2)),0)&lt;SG_Criteria!$B$19),"FAIL: grade below C"&amp;SG_Criteria!$B$19&amp;". ","")&amp;IF(AND(O120&lt;&gt;"",O120&lt;SG_Criteria!$B$20),"FAIL: cover &lt; "&amp;SG_Criteria!$B$20&amp;" mm. ","")&amp;IF(AND(E120="Open",G120&gt;SG_Criteria!$B$18),"NOTE: safety railing required (D &gt; "&amp;SG_Criteria!$B$18&amp;" mm). ","")&amp;IF(AND(D120="Entrance culvert",G120&lt;600),"NOTE: check hinged grating rule for culverts &lt; 600 deep (PUB Add. 3). ",""))=0,"OK",IF(AND(OR(D120="Roadside drain",D120="Entrance culvert"),OR(F120&lt;SG_Criteria!$B$15,G120&lt;SG_Criteria!$B$16)),"FAIL: below PUB min "&amp;SG_Criteria!$B$15&amp;"x"&amp;SG_Criteria!$B$16&amp;" for roadside drain. ","")&amp;IF(AND(D120="Common drain",F120&lt;SG_Criteria!$B$17),"FAIL: common drain W &lt; "&amp;SG_Criteria!$B$17&amp;" mm. ","")&amp;IF(AND(N120&lt;&gt;"",IFERROR(VALUE(MID(N120,2,2)),0)&lt;SG_Criteria!$B$19),"FAIL: grade below C"&amp;SG_Criteria!$B$19&amp;". ","")&amp;IF(AND(O120&lt;&gt;"",O120&lt;SG_Criteria!$B$20),"FAIL: cover &lt; "&amp;SG_Criteria!$B$20&amp;" mm. ","")&amp;IF(AND(E120="Open",G120&gt;SG_Criteria!$B$18),"NOTE: safety railing required (D &gt; "&amp;SG_Criteria!$B$18&amp;" mm). ","")&amp;IF(AND(D120="Entrance culvert",G120&lt;600),"NOTE: check hinged grating rule for culverts &lt; 600 deep (PUB Add. 3). ","")))</f>
        <v/>
      </c>
      <c r="AP120" s="9"/>
      <c r="AQ120" s="9"/>
      <c r="AR120" s="9"/>
      <c r="AS120" s="9"/>
      <c r="AT120" s="9"/>
      <c r="AU120" s="31"/>
      <c r="AV120" s="10" t="str">
        <f aca="false">IF(C120="","",IF(AND(V120="Approved",ISERROR(SEARCH("FAIL",AO120))),"Y","N"))</f>
        <v/>
      </c>
      <c r="AW120" s="10" t="str">
        <f aca="false">IF(C120="","",C120&amp;"|"&amp;F120&amp;"|"&amp;G120&amp;"|"&amp;L120&amp;"|"&amp;AV120)</f>
        <v/>
      </c>
    </row>
    <row r="121" customFormat="false" ht="15" hidden="false" customHeight="false" outlineLevel="0" collapsed="false">
      <c r="A121" s="10" t="str">
        <f aca="false">IF(C121="","","DRN-"&amp;IFERROR(VLOOKUP(C121,Lists!$A$4:$B$27,2,0),"??")&amp;"-"&amp;TEXT(F121,"0000")&amp;"x"&amp;TEXT(G121,"0000")&amp;IF(N(H121)&gt;1,"-"&amp;H121&amp;"C","")&amp;"-"&amp;IFERROR(VLOOKUP(L121,Lists!$J$4:$K$19,2,0),"??")&amp;"-"&amp;U121)</f>
        <v/>
      </c>
      <c r="B121" s="10" t="str">
        <f aca="false">IF(C121="","",C121&amp;" "&amp;F121&amp;"W x "&amp;G121&amp;"D"&amp;IF(N(H121)&gt;1," ("&amp;H121&amp;" cells)","")&amp;", "&amp;D121&amp;", "&amp;L121&amp;", "&amp;E121)</f>
        <v/>
      </c>
      <c r="C121" s="9"/>
      <c r="D121" s="9"/>
      <c r="E121" s="9"/>
      <c r="F121" s="40"/>
      <c r="G121" s="40"/>
      <c r="H121" s="40"/>
      <c r="I121" s="40"/>
      <c r="J121" s="40"/>
      <c r="K121" s="40"/>
      <c r="L121" s="9"/>
      <c r="M121" s="9"/>
      <c r="N121" s="9"/>
      <c r="O121" s="40"/>
      <c r="P121" s="9"/>
      <c r="Q121" s="9"/>
      <c r="R121" s="9"/>
      <c r="S121" s="9"/>
      <c r="T121" s="9"/>
      <c r="U121" s="9"/>
      <c r="V121" s="9"/>
      <c r="W121" s="9"/>
      <c r="X121" s="9"/>
      <c r="Y121" s="9"/>
      <c r="Z121" s="10" t="str">
        <f aca="false">IF(A121="","",SG_Criteria!$B$6&amp;SG_Criteria!$B$7&amp;"\"&amp;A121&amp;"\")</f>
        <v/>
      </c>
      <c r="AA121" s="10" t="str">
        <f aca="false">IF(A121="","",A121&amp;"_CAD.dwg")</f>
        <v/>
      </c>
      <c r="AB121" s="10" t="str">
        <f aca="false">IF(A121="","",A121&amp;"_DWG.pdf")</f>
        <v/>
      </c>
      <c r="AC121" s="10" t="str">
        <f aca="false">IF(A121="","",IF(Y121="Y",A121&amp;"_STAAD.std","n/a"))</f>
        <v/>
      </c>
      <c r="AD121" s="10" t="str">
        <f aca="false">IF(A121="","",A121&amp;"_CALC.xlsx")</f>
        <v/>
      </c>
      <c r="AE121" s="10" t="str">
        <f aca="false">IF(A121="","",A121&amp;"_CALC.pdf")</f>
        <v/>
      </c>
      <c r="AF121" s="9"/>
      <c r="AG121" s="9"/>
      <c r="AH121" s="41"/>
      <c r="AI121" s="41"/>
      <c r="AJ121" s="41"/>
      <c r="AK121" s="41"/>
      <c r="AL121" s="41"/>
      <c r="AM121" s="37" t="str">
        <f aca="false">IF(OR(C121="",F121="",G121="",C121="Sump",C121="Drop Inlet Chamber",C121="Silt Trap",C121="Pipe Culvert",C121="Subsoil Drain"),"",ROUND(MAX(1,N(H121))*(1/SG_Criteria!$B$26)*((F121/1000)*(G121/1000*(1-SG_Criteria!$B$25)))*(((F121/1000)*(G121/1000*(1-SG_Criteria!$B$25)))/((F121/1000)+2*(G121/1000*(1-SG_Criteria!$B$25))))^(2/3)*(1/Design_Selector!$B$11)^0.5,3))</f>
        <v/>
      </c>
      <c r="AN121" s="11" t="str">
        <f aca="false">IF(AM121="","",ROUND(AM121/(MAX(1,N(H121))*F121/1000*(G121/1000*(1-SG_Criteria!$B$25))),2))</f>
        <v/>
      </c>
      <c r="AO121" s="38" t="str">
        <f aca="false">IF(C121="","",IF(LEN(IF(AND(OR(D121="Roadside drain",D121="Entrance culvert"),OR(F121&lt;SG_Criteria!$B$15,G121&lt;SG_Criteria!$B$16)),"FAIL: below PUB min "&amp;SG_Criteria!$B$15&amp;"x"&amp;SG_Criteria!$B$16&amp;" for roadside drain. ","")&amp;IF(AND(D121="Common drain",F121&lt;SG_Criteria!$B$17),"FAIL: common drain W &lt; "&amp;SG_Criteria!$B$17&amp;" mm. ","")&amp;IF(AND(N121&lt;&gt;"",IFERROR(VALUE(MID(N121,2,2)),0)&lt;SG_Criteria!$B$19),"FAIL: grade below C"&amp;SG_Criteria!$B$19&amp;". ","")&amp;IF(AND(O121&lt;&gt;"",O121&lt;SG_Criteria!$B$20),"FAIL: cover &lt; "&amp;SG_Criteria!$B$20&amp;" mm. ","")&amp;IF(AND(E121="Open",G121&gt;SG_Criteria!$B$18),"NOTE: safety railing required (D &gt; "&amp;SG_Criteria!$B$18&amp;" mm). ","")&amp;IF(AND(D121="Entrance culvert",G121&lt;600),"NOTE: check hinged grating rule for culverts &lt; 600 deep (PUB Add. 3). ",""))=0,"OK",IF(AND(OR(D121="Roadside drain",D121="Entrance culvert"),OR(F121&lt;SG_Criteria!$B$15,G121&lt;SG_Criteria!$B$16)),"FAIL: below PUB min "&amp;SG_Criteria!$B$15&amp;"x"&amp;SG_Criteria!$B$16&amp;" for roadside drain. ","")&amp;IF(AND(D121="Common drain",F121&lt;SG_Criteria!$B$17),"FAIL: common drain W &lt; "&amp;SG_Criteria!$B$17&amp;" mm. ","")&amp;IF(AND(N121&lt;&gt;"",IFERROR(VALUE(MID(N121,2,2)),0)&lt;SG_Criteria!$B$19),"FAIL: grade below C"&amp;SG_Criteria!$B$19&amp;". ","")&amp;IF(AND(O121&lt;&gt;"",O121&lt;SG_Criteria!$B$20),"FAIL: cover &lt; "&amp;SG_Criteria!$B$20&amp;" mm. ","")&amp;IF(AND(E121="Open",G121&gt;SG_Criteria!$B$18),"NOTE: safety railing required (D &gt; "&amp;SG_Criteria!$B$18&amp;" mm). ","")&amp;IF(AND(D121="Entrance culvert",G121&lt;600),"NOTE: check hinged grating rule for culverts &lt; 600 deep (PUB Add. 3). ","")))</f>
        <v/>
      </c>
      <c r="AP121" s="9"/>
      <c r="AQ121" s="9"/>
      <c r="AR121" s="9"/>
      <c r="AS121" s="9"/>
      <c r="AT121" s="9"/>
      <c r="AU121" s="31"/>
      <c r="AV121" s="10" t="str">
        <f aca="false">IF(C121="","",IF(AND(V121="Approved",ISERROR(SEARCH("FAIL",AO121))),"Y","N"))</f>
        <v/>
      </c>
      <c r="AW121" s="10" t="str">
        <f aca="false">IF(C121="","",C121&amp;"|"&amp;F121&amp;"|"&amp;G121&amp;"|"&amp;L121&amp;"|"&amp;AV121)</f>
        <v/>
      </c>
    </row>
    <row r="122" customFormat="false" ht="15" hidden="false" customHeight="false" outlineLevel="0" collapsed="false">
      <c r="A122" s="10" t="str">
        <f aca="false">IF(C122="","","DRN-"&amp;IFERROR(VLOOKUP(C122,Lists!$A$4:$B$27,2,0),"??")&amp;"-"&amp;TEXT(F122,"0000")&amp;"x"&amp;TEXT(G122,"0000")&amp;IF(N(H122)&gt;1,"-"&amp;H122&amp;"C","")&amp;"-"&amp;IFERROR(VLOOKUP(L122,Lists!$J$4:$K$19,2,0),"??")&amp;"-"&amp;U122)</f>
        <v/>
      </c>
      <c r="B122" s="10" t="str">
        <f aca="false">IF(C122="","",C122&amp;" "&amp;F122&amp;"W x "&amp;G122&amp;"D"&amp;IF(N(H122)&gt;1," ("&amp;H122&amp;" cells)","")&amp;", "&amp;D122&amp;", "&amp;L122&amp;", "&amp;E122)</f>
        <v/>
      </c>
      <c r="C122" s="9"/>
      <c r="D122" s="9"/>
      <c r="E122" s="9"/>
      <c r="F122" s="40"/>
      <c r="G122" s="40"/>
      <c r="H122" s="40"/>
      <c r="I122" s="40"/>
      <c r="J122" s="40"/>
      <c r="K122" s="40"/>
      <c r="L122" s="9"/>
      <c r="M122" s="9"/>
      <c r="N122" s="9"/>
      <c r="O122" s="40"/>
      <c r="P122" s="9"/>
      <c r="Q122" s="9"/>
      <c r="R122" s="9"/>
      <c r="S122" s="9"/>
      <c r="T122" s="9"/>
      <c r="U122" s="9"/>
      <c r="V122" s="9"/>
      <c r="W122" s="9"/>
      <c r="X122" s="9"/>
      <c r="Y122" s="9"/>
      <c r="Z122" s="10" t="str">
        <f aca="false">IF(A122="","",SG_Criteria!$B$6&amp;SG_Criteria!$B$7&amp;"\"&amp;A122&amp;"\")</f>
        <v/>
      </c>
      <c r="AA122" s="10" t="str">
        <f aca="false">IF(A122="","",A122&amp;"_CAD.dwg")</f>
        <v/>
      </c>
      <c r="AB122" s="10" t="str">
        <f aca="false">IF(A122="","",A122&amp;"_DWG.pdf")</f>
        <v/>
      </c>
      <c r="AC122" s="10" t="str">
        <f aca="false">IF(A122="","",IF(Y122="Y",A122&amp;"_STAAD.std","n/a"))</f>
        <v/>
      </c>
      <c r="AD122" s="10" t="str">
        <f aca="false">IF(A122="","",A122&amp;"_CALC.xlsx")</f>
        <v/>
      </c>
      <c r="AE122" s="10" t="str">
        <f aca="false">IF(A122="","",A122&amp;"_CALC.pdf")</f>
        <v/>
      </c>
      <c r="AF122" s="9"/>
      <c r="AG122" s="9"/>
      <c r="AH122" s="41"/>
      <c r="AI122" s="41"/>
      <c r="AJ122" s="41"/>
      <c r="AK122" s="41"/>
      <c r="AL122" s="41"/>
      <c r="AM122" s="37" t="str">
        <f aca="false">IF(OR(C122="",F122="",G122="",C122="Sump",C122="Drop Inlet Chamber",C122="Silt Trap",C122="Pipe Culvert",C122="Subsoil Drain"),"",ROUND(MAX(1,N(H122))*(1/SG_Criteria!$B$26)*((F122/1000)*(G122/1000*(1-SG_Criteria!$B$25)))*(((F122/1000)*(G122/1000*(1-SG_Criteria!$B$25)))/((F122/1000)+2*(G122/1000*(1-SG_Criteria!$B$25))))^(2/3)*(1/Design_Selector!$B$11)^0.5,3))</f>
        <v/>
      </c>
      <c r="AN122" s="11" t="str">
        <f aca="false">IF(AM122="","",ROUND(AM122/(MAX(1,N(H122))*F122/1000*(G122/1000*(1-SG_Criteria!$B$25))),2))</f>
        <v/>
      </c>
      <c r="AO122" s="38" t="str">
        <f aca="false">IF(C122="","",IF(LEN(IF(AND(OR(D122="Roadside drain",D122="Entrance culvert"),OR(F122&lt;SG_Criteria!$B$15,G122&lt;SG_Criteria!$B$16)),"FAIL: below PUB min "&amp;SG_Criteria!$B$15&amp;"x"&amp;SG_Criteria!$B$16&amp;" for roadside drain. ","")&amp;IF(AND(D122="Common drain",F122&lt;SG_Criteria!$B$17),"FAIL: common drain W &lt; "&amp;SG_Criteria!$B$17&amp;" mm. ","")&amp;IF(AND(N122&lt;&gt;"",IFERROR(VALUE(MID(N122,2,2)),0)&lt;SG_Criteria!$B$19),"FAIL: grade below C"&amp;SG_Criteria!$B$19&amp;". ","")&amp;IF(AND(O122&lt;&gt;"",O122&lt;SG_Criteria!$B$20),"FAIL: cover &lt; "&amp;SG_Criteria!$B$20&amp;" mm. ","")&amp;IF(AND(E122="Open",G122&gt;SG_Criteria!$B$18),"NOTE: safety railing required (D &gt; "&amp;SG_Criteria!$B$18&amp;" mm). ","")&amp;IF(AND(D122="Entrance culvert",G122&lt;600),"NOTE: check hinged grating rule for culverts &lt; 600 deep (PUB Add. 3). ",""))=0,"OK",IF(AND(OR(D122="Roadside drain",D122="Entrance culvert"),OR(F122&lt;SG_Criteria!$B$15,G122&lt;SG_Criteria!$B$16)),"FAIL: below PUB min "&amp;SG_Criteria!$B$15&amp;"x"&amp;SG_Criteria!$B$16&amp;" for roadside drain. ","")&amp;IF(AND(D122="Common drain",F122&lt;SG_Criteria!$B$17),"FAIL: common drain W &lt; "&amp;SG_Criteria!$B$17&amp;" mm. ","")&amp;IF(AND(N122&lt;&gt;"",IFERROR(VALUE(MID(N122,2,2)),0)&lt;SG_Criteria!$B$19),"FAIL: grade below C"&amp;SG_Criteria!$B$19&amp;". ","")&amp;IF(AND(O122&lt;&gt;"",O122&lt;SG_Criteria!$B$20),"FAIL: cover &lt; "&amp;SG_Criteria!$B$20&amp;" mm. ","")&amp;IF(AND(E122="Open",G122&gt;SG_Criteria!$B$18),"NOTE: safety railing required (D &gt; "&amp;SG_Criteria!$B$18&amp;" mm). ","")&amp;IF(AND(D122="Entrance culvert",G122&lt;600),"NOTE: check hinged grating rule for culverts &lt; 600 deep (PUB Add. 3). ","")))</f>
        <v/>
      </c>
      <c r="AP122" s="9"/>
      <c r="AQ122" s="9"/>
      <c r="AR122" s="9"/>
      <c r="AS122" s="9"/>
      <c r="AT122" s="9"/>
      <c r="AU122" s="31"/>
      <c r="AV122" s="10" t="str">
        <f aca="false">IF(C122="","",IF(AND(V122="Approved",ISERROR(SEARCH("FAIL",AO122))),"Y","N"))</f>
        <v/>
      </c>
      <c r="AW122" s="10" t="str">
        <f aca="false">IF(C122="","",C122&amp;"|"&amp;F122&amp;"|"&amp;G122&amp;"|"&amp;L122&amp;"|"&amp;AV122)</f>
        <v/>
      </c>
    </row>
    <row r="123" customFormat="false" ht="15" hidden="false" customHeight="false" outlineLevel="0" collapsed="false">
      <c r="A123" s="10" t="str">
        <f aca="false">IF(C123="","","DRN-"&amp;IFERROR(VLOOKUP(C123,Lists!$A$4:$B$27,2,0),"??")&amp;"-"&amp;TEXT(F123,"0000")&amp;"x"&amp;TEXT(G123,"0000")&amp;IF(N(H123)&gt;1,"-"&amp;H123&amp;"C","")&amp;"-"&amp;IFERROR(VLOOKUP(L123,Lists!$J$4:$K$19,2,0),"??")&amp;"-"&amp;U123)</f>
        <v/>
      </c>
      <c r="B123" s="10" t="str">
        <f aca="false">IF(C123="","",C123&amp;" "&amp;F123&amp;"W x "&amp;G123&amp;"D"&amp;IF(N(H123)&gt;1," ("&amp;H123&amp;" cells)","")&amp;", "&amp;D123&amp;", "&amp;L123&amp;", "&amp;E123)</f>
        <v/>
      </c>
      <c r="C123" s="9"/>
      <c r="D123" s="9"/>
      <c r="E123" s="9"/>
      <c r="F123" s="40"/>
      <c r="G123" s="40"/>
      <c r="H123" s="40"/>
      <c r="I123" s="40"/>
      <c r="J123" s="40"/>
      <c r="K123" s="40"/>
      <c r="L123" s="9"/>
      <c r="M123" s="9"/>
      <c r="N123" s="9"/>
      <c r="O123" s="40"/>
      <c r="P123" s="9"/>
      <c r="Q123" s="9"/>
      <c r="R123" s="9"/>
      <c r="S123" s="9"/>
      <c r="T123" s="9"/>
      <c r="U123" s="9"/>
      <c r="V123" s="9"/>
      <c r="W123" s="9"/>
      <c r="X123" s="9"/>
      <c r="Y123" s="9"/>
      <c r="Z123" s="10" t="str">
        <f aca="false">IF(A123="","",SG_Criteria!$B$6&amp;SG_Criteria!$B$7&amp;"\"&amp;A123&amp;"\")</f>
        <v/>
      </c>
      <c r="AA123" s="10" t="str">
        <f aca="false">IF(A123="","",A123&amp;"_CAD.dwg")</f>
        <v/>
      </c>
      <c r="AB123" s="10" t="str">
        <f aca="false">IF(A123="","",A123&amp;"_DWG.pdf")</f>
        <v/>
      </c>
      <c r="AC123" s="10" t="str">
        <f aca="false">IF(A123="","",IF(Y123="Y",A123&amp;"_STAAD.std","n/a"))</f>
        <v/>
      </c>
      <c r="AD123" s="10" t="str">
        <f aca="false">IF(A123="","",A123&amp;"_CALC.xlsx")</f>
        <v/>
      </c>
      <c r="AE123" s="10" t="str">
        <f aca="false">IF(A123="","",A123&amp;"_CALC.pdf")</f>
        <v/>
      </c>
      <c r="AF123" s="9"/>
      <c r="AG123" s="9"/>
      <c r="AH123" s="41"/>
      <c r="AI123" s="41"/>
      <c r="AJ123" s="41"/>
      <c r="AK123" s="41"/>
      <c r="AL123" s="41"/>
      <c r="AM123" s="37" t="str">
        <f aca="false">IF(OR(C123="",F123="",G123="",C123="Sump",C123="Drop Inlet Chamber",C123="Silt Trap",C123="Pipe Culvert",C123="Subsoil Drain"),"",ROUND(MAX(1,N(H123))*(1/SG_Criteria!$B$26)*((F123/1000)*(G123/1000*(1-SG_Criteria!$B$25)))*(((F123/1000)*(G123/1000*(1-SG_Criteria!$B$25)))/((F123/1000)+2*(G123/1000*(1-SG_Criteria!$B$25))))^(2/3)*(1/Design_Selector!$B$11)^0.5,3))</f>
        <v/>
      </c>
      <c r="AN123" s="11" t="str">
        <f aca="false">IF(AM123="","",ROUND(AM123/(MAX(1,N(H123))*F123/1000*(G123/1000*(1-SG_Criteria!$B$25))),2))</f>
        <v/>
      </c>
      <c r="AO123" s="38" t="str">
        <f aca="false">IF(C123="","",IF(LEN(IF(AND(OR(D123="Roadside drain",D123="Entrance culvert"),OR(F123&lt;SG_Criteria!$B$15,G123&lt;SG_Criteria!$B$16)),"FAIL: below PUB min "&amp;SG_Criteria!$B$15&amp;"x"&amp;SG_Criteria!$B$16&amp;" for roadside drain. ","")&amp;IF(AND(D123="Common drain",F123&lt;SG_Criteria!$B$17),"FAIL: common drain W &lt; "&amp;SG_Criteria!$B$17&amp;" mm. ","")&amp;IF(AND(N123&lt;&gt;"",IFERROR(VALUE(MID(N123,2,2)),0)&lt;SG_Criteria!$B$19),"FAIL: grade below C"&amp;SG_Criteria!$B$19&amp;". ","")&amp;IF(AND(O123&lt;&gt;"",O123&lt;SG_Criteria!$B$20),"FAIL: cover &lt; "&amp;SG_Criteria!$B$20&amp;" mm. ","")&amp;IF(AND(E123="Open",G123&gt;SG_Criteria!$B$18),"NOTE: safety railing required (D &gt; "&amp;SG_Criteria!$B$18&amp;" mm). ","")&amp;IF(AND(D123="Entrance culvert",G123&lt;600),"NOTE: check hinged grating rule for culverts &lt; 600 deep (PUB Add. 3). ",""))=0,"OK",IF(AND(OR(D123="Roadside drain",D123="Entrance culvert"),OR(F123&lt;SG_Criteria!$B$15,G123&lt;SG_Criteria!$B$16)),"FAIL: below PUB min "&amp;SG_Criteria!$B$15&amp;"x"&amp;SG_Criteria!$B$16&amp;" for roadside drain. ","")&amp;IF(AND(D123="Common drain",F123&lt;SG_Criteria!$B$17),"FAIL: common drain W &lt; "&amp;SG_Criteria!$B$17&amp;" mm. ","")&amp;IF(AND(N123&lt;&gt;"",IFERROR(VALUE(MID(N123,2,2)),0)&lt;SG_Criteria!$B$19),"FAIL: grade below C"&amp;SG_Criteria!$B$19&amp;". ","")&amp;IF(AND(O123&lt;&gt;"",O123&lt;SG_Criteria!$B$20),"FAIL: cover &lt; "&amp;SG_Criteria!$B$20&amp;" mm. ","")&amp;IF(AND(E123="Open",G123&gt;SG_Criteria!$B$18),"NOTE: safety railing required (D &gt; "&amp;SG_Criteria!$B$18&amp;" mm). ","")&amp;IF(AND(D123="Entrance culvert",G123&lt;600),"NOTE: check hinged grating rule for culverts &lt; 600 deep (PUB Add. 3). ","")))</f>
        <v/>
      </c>
      <c r="AP123" s="9"/>
      <c r="AQ123" s="9"/>
      <c r="AR123" s="9"/>
      <c r="AS123" s="9"/>
      <c r="AT123" s="9"/>
      <c r="AU123" s="31"/>
      <c r="AV123" s="10" t="str">
        <f aca="false">IF(C123="","",IF(AND(V123="Approved",ISERROR(SEARCH("FAIL",AO123))),"Y","N"))</f>
        <v/>
      </c>
      <c r="AW123" s="10" t="str">
        <f aca="false">IF(C123="","",C123&amp;"|"&amp;F123&amp;"|"&amp;G123&amp;"|"&amp;L123&amp;"|"&amp;AV123)</f>
        <v/>
      </c>
    </row>
    <row r="124" customFormat="false" ht="15" hidden="false" customHeight="false" outlineLevel="0" collapsed="false">
      <c r="A124" s="10" t="str">
        <f aca="false">IF(C124="","","DRN-"&amp;IFERROR(VLOOKUP(C124,Lists!$A$4:$B$27,2,0),"??")&amp;"-"&amp;TEXT(F124,"0000")&amp;"x"&amp;TEXT(G124,"0000")&amp;IF(N(H124)&gt;1,"-"&amp;H124&amp;"C","")&amp;"-"&amp;IFERROR(VLOOKUP(L124,Lists!$J$4:$K$19,2,0),"??")&amp;"-"&amp;U124)</f>
        <v/>
      </c>
      <c r="B124" s="10" t="str">
        <f aca="false">IF(C124="","",C124&amp;" "&amp;F124&amp;"W x "&amp;G124&amp;"D"&amp;IF(N(H124)&gt;1," ("&amp;H124&amp;" cells)","")&amp;", "&amp;D124&amp;", "&amp;L124&amp;", "&amp;E124)</f>
        <v/>
      </c>
      <c r="C124" s="9"/>
      <c r="D124" s="9"/>
      <c r="E124" s="9"/>
      <c r="F124" s="40"/>
      <c r="G124" s="40"/>
      <c r="H124" s="40"/>
      <c r="I124" s="40"/>
      <c r="J124" s="40"/>
      <c r="K124" s="40"/>
      <c r="L124" s="9"/>
      <c r="M124" s="9"/>
      <c r="N124" s="9"/>
      <c r="O124" s="40"/>
      <c r="P124" s="9"/>
      <c r="Q124" s="9"/>
      <c r="R124" s="9"/>
      <c r="S124" s="9"/>
      <c r="T124" s="9"/>
      <c r="U124" s="9"/>
      <c r="V124" s="9"/>
      <c r="W124" s="9"/>
      <c r="X124" s="9"/>
      <c r="Y124" s="9"/>
      <c r="Z124" s="10" t="str">
        <f aca="false">IF(A124="","",SG_Criteria!$B$6&amp;SG_Criteria!$B$7&amp;"\"&amp;A124&amp;"\")</f>
        <v/>
      </c>
      <c r="AA124" s="10" t="str">
        <f aca="false">IF(A124="","",A124&amp;"_CAD.dwg")</f>
        <v/>
      </c>
      <c r="AB124" s="10" t="str">
        <f aca="false">IF(A124="","",A124&amp;"_DWG.pdf")</f>
        <v/>
      </c>
      <c r="AC124" s="10" t="str">
        <f aca="false">IF(A124="","",IF(Y124="Y",A124&amp;"_STAAD.std","n/a"))</f>
        <v/>
      </c>
      <c r="AD124" s="10" t="str">
        <f aca="false">IF(A124="","",A124&amp;"_CALC.xlsx")</f>
        <v/>
      </c>
      <c r="AE124" s="10" t="str">
        <f aca="false">IF(A124="","",A124&amp;"_CALC.pdf")</f>
        <v/>
      </c>
      <c r="AF124" s="9"/>
      <c r="AG124" s="9"/>
      <c r="AH124" s="41"/>
      <c r="AI124" s="41"/>
      <c r="AJ124" s="41"/>
      <c r="AK124" s="41"/>
      <c r="AL124" s="41"/>
      <c r="AM124" s="37" t="str">
        <f aca="false">IF(OR(C124="",F124="",G124="",C124="Sump",C124="Drop Inlet Chamber",C124="Silt Trap",C124="Pipe Culvert",C124="Subsoil Drain"),"",ROUND(MAX(1,N(H124))*(1/SG_Criteria!$B$26)*((F124/1000)*(G124/1000*(1-SG_Criteria!$B$25)))*(((F124/1000)*(G124/1000*(1-SG_Criteria!$B$25)))/((F124/1000)+2*(G124/1000*(1-SG_Criteria!$B$25))))^(2/3)*(1/Design_Selector!$B$11)^0.5,3))</f>
        <v/>
      </c>
      <c r="AN124" s="11" t="str">
        <f aca="false">IF(AM124="","",ROUND(AM124/(MAX(1,N(H124))*F124/1000*(G124/1000*(1-SG_Criteria!$B$25))),2))</f>
        <v/>
      </c>
      <c r="AO124" s="38" t="str">
        <f aca="false">IF(C124="","",IF(LEN(IF(AND(OR(D124="Roadside drain",D124="Entrance culvert"),OR(F124&lt;SG_Criteria!$B$15,G124&lt;SG_Criteria!$B$16)),"FAIL: below PUB min "&amp;SG_Criteria!$B$15&amp;"x"&amp;SG_Criteria!$B$16&amp;" for roadside drain. ","")&amp;IF(AND(D124="Common drain",F124&lt;SG_Criteria!$B$17),"FAIL: common drain W &lt; "&amp;SG_Criteria!$B$17&amp;" mm. ","")&amp;IF(AND(N124&lt;&gt;"",IFERROR(VALUE(MID(N124,2,2)),0)&lt;SG_Criteria!$B$19),"FAIL: grade below C"&amp;SG_Criteria!$B$19&amp;". ","")&amp;IF(AND(O124&lt;&gt;"",O124&lt;SG_Criteria!$B$20),"FAIL: cover &lt; "&amp;SG_Criteria!$B$20&amp;" mm. ","")&amp;IF(AND(E124="Open",G124&gt;SG_Criteria!$B$18),"NOTE: safety railing required (D &gt; "&amp;SG_Criteria!$B$18&amp;" mm). ","")&amp;IF(AND(D124="Entrance culvert",G124&lt;600),"NOTE: check hinged grating rule for culverts &lt; 600 deep (PUB Add. 3). ",""))=0,"OK",IF(AND(OR(D124="Roadside drain",D124="Entrance culvert"),OR(F124&lt;SG_Criteria!$B$15,G124&lt;SG_Criteria!$B$16)),"FAIL: below PUB min "&amp;SG_Criteria!$B$15&amp;"x"&amp;SG_Criteria!$B$16&amp;" for roadside drain. ","")&amp;IF(AND(D124="Common drain",F124&lt;SG_Criteria!$B$17),"FAIL: common drain W &lt; "&amp;SG_Criteria!$B$17&amp;" mm. ","")&amp;IF(AND(N124&lt;&gt;"",IFERROR(VALUE(MID(N124,2,2)),0)&lt;SG_Criteria!$B$19),"FAIL: grade below C"&amp;SG_Criteria!$B$19&amp;". ","")&amp;IF(AND(O124&lt;&gt;"",O124&lt;SG_Criteria!$B$20),"FAIL: cover &lt; "&amp;SG_Criteria!$B$20&amp;" mm. ","")&amp;IF(AND(E124="Open",G124&gt;SG_Criteria!$B$18),"NOTE: safety railing required (D &gt; "&amp;SG_Criteria!$B$18&amp;" mm). ","")&amp;IF(AND(D124="Entrance culvert",G124&lt;600),"NOTE: check hinged grating rule for culverts &lt; 600 deep (PUB Add. 3). ","")))</f>
        <v/>
      </c>
      <c r="AP124" s="9"/>
      <c r="AQ124" s="9"/>
      <c r="AR124" s="9"/>
      <c r="AS124" s="9"/>
      <c r="AT124" s="9"/>
      <c r="AU124" s="31"/>
      <c r="AV124" s="10" t="str">
        <f aca="false">IF(C124="","",IF(AND(V124="Approved",ISERROR(SEARCH("FAIL",AO124))),"Y","N"))</f>
        <v/>
      </c>
      <c r="AW124" s="10" t="str">
        <f aca="false">IF(C124="","",C124&amp;"|"&amp;F124&amp;"|"&amp;G124&amp;"|"&amp;L124&amp;"|"&amp;AV124)</f>
        <v/>
      </c>
    </row>
    <row r="125" customFormat="false" ht="15" hidden="false" customHeight="false" outlineLevel="0" collapsed="false">
      <c r="A125" s="10" t="str">
        <f aca="false">IF(C125="","","DRN-"&amp;IFERROR(VLOOKUP(C125,Lists!$A$4:$B$27,2,0),"??")&amp;"-"&amp;TEXT(F125,"0000")&amp;"x"&amp;TEXT(G125,"0000")&amp;IF(N(H125)&gt;1,"-"&amp;H125&amp;"C","")&amp;"-"&amp;IFERROR(VLOOKUP(L125,Lists!$J$4:$K$19,2,0),"??")&amp;"-"&amp;U125)</f>
        <v/>
      </c>
      <c r="B125" s="10" t="str">
        <f aca="false">IF(C125="","",C125&amp;" "&amp;F125&amp;"W x "&amp;G125&amp;"D"&amp;IF(N(H125)&gt;1," ("&amp;H125&amp;" cells)","")&amp;", "&amp;D125&amp;", "&amp;L125&amp;", "&amp;E125)</f>
        <v/>
      </c>
      <c r="C125" s="9"/>
      <c r="D125" s="9"/>
      <c r="E125" s="9"/>
      <c r="F125" s="40"/>
      <c r="G125" s="40"/>
      <c r="H125" s="40"/>
      <c r="I125" s="40"/>
      <c r="J125" s="40"/>
      <c r="K125" s="40"/>
      <c r="L125" s="9"/>
      <c r="M125" s="9"/>
      <c r="N125" s="9"/>
      <c r="O125" s="40"/>
      <c r="P125" s="9"/>
      <c r="Q125" s="9"/>
      <c r="R125" s="9"/>
      <c r="S125" s="9"/>
      <c r="T125" s="9"/>
      <c r="U125" s="9"/>
      <c r="V125" s="9"/>
      <c r="W125" s="9"/>
      <c r="X125" s="9"/>
      <c r="Y125" s="9"/>
      <c r="Z125" s="10" t="str">
        <f aca="false">IF(A125="","",SG_Criteria!$B$6&amp;SG_Criteria!$B$7&amp;"\"&amp;A125&amp;"\")</f>
        <v/>
      </c>
      <c r="AA125" s="10" t="str">
        <f aca="false">IF(A125="","",A125&amp;"_CAD.dwg")</f>
        <v/>
      </c>
      <c r="AB125" s="10" t="str">
        <f aca="false">IF(A125="","",A125&amp;"_DWG.pdf")</f>
        <v/>
      </c>
      <c r="AC125" s="10" t="str">
        <f aca="false">IF(A125="","",IF(Y125="Y",A125&amp;"_STAAD.std","n/a"))</f>
        <v/>
      </c>
      <c r="AD125" s="10" t="str">
        <f aca="false">IF(A125="","",A125&amp;"_CALC.xlsx")</f>
        <v/>
      </c>
      <c r="AE125" s="10" t="str">
        <f aca="false">IF(A125="","",A125&amp;"_CALC.pdf")</f>
        <v/>
      </c>
      <c r="AF125" s="9"/>
      <c r="AG125" s="9"/>
      <c r="AH125" s="41"/>
      <c r="AI125" s="41"/>
      <c r="AJ125" s="41"/>
      <c r="AK125" s="41"/>
      <c r="AL125" s="41"/>
      <c r="AM125" s="37" t="str">
        <f aca="false">IF(OR(C125="",F125="",G125="",C125="Sump",C125="Drop Inlet Chamber",C125="Silt Trap",C125="Pipe Culvert",C125="Subsoil Drain"),"",ROUND(MAX(1,N(H125))*(1/SG_Criteria!$B$26)*((F125/1000)*(G125/1000*(1-SG_Criteria!$B$25)))*(((F125/1000)*(G125/1000*(1-SG_Criteria!$B$25)))/((F125/1000)+2*(G125/1000*(1-SG_Criteria!$B$25))))^(2/3)*(1/Design_Selector!$B$11)^0.5,3))</f>
        <v/>
      </c>
      <c r="AN125" s="11" t="str">
        <f aca="false">IF(AM125="","",ROUND(AM125/(MAX(1,N(H125))*F125/1000*(G125/1000*(1-SG_Criteria!$B$25))),2))</f>
        <v/>
      </c>
      <c r="AO125" s="38" t="str">
        <f aca="false">IF(C125="","",IF(LEN(IF(AND(OR(D125="Roadside drain",D125="Entrance culvert"),OR(F125&lt;SG_Criteria!$B$15,G125&lt;SG_Criteria!$B$16)),"FAIL: below PUB min "&amp;SG_Criteria!$B$15&amp;"x"&amp;SG_Criteria!$B$16&amp;" for roadside drain. ","")&amp;IF(AND(D125="Common drain",F125&lt;SG_Criteria!$B$17),"FAIL: common drain W &lt; "&amp;SG_Criteria!$B$17&amp;" mm. ","")&amp;IF(AND(N125&lt;&gt;"",IFERROR(VALUE(MID(N125,2,2)),0)&lt;SG_Criteria!$B$19),"FAIL: grade below C"&amp;SG_Criteria!$B$19&amp;". ","")&amp;IF(AND(O125&lt;&gt;"",O125&lt;SG_Criteria!$B$20),"FAIL: cover &lt; "&amp;SG_Criteria!$B$20&amp;" mm. ","")&amp;IF(AND(E125="Open",G125&gt;SG_Criteria!$B$18),"NOTE: safety railing required (D &gt; "&amp;SG_Criteria!$B$18&amp;" mm). ","")&amp;IF(AND(D125="Entrance culvert",G125&lt;600),"NOTE: check hinged grating rule for culverts &lt; 600 deep (PUB Add. 3). ",""))=0,"OK",IF(AND(OR(D125="Roadside drain",D125="Entrance culvert"),OR(F125&lt;SG_Criteria!$B$15,G125&lt;SG_Criteria!$B$16)),"FAIL: below PUB min "&amp;SG_Criteria!$B$15&amp;"x"&amp;SG_Criteria!$B$16&amp;" for roadside drain. ","")&amp;IF(AND(D125="Common drain",F125&lt;SG_Criteria!$B$17),"FAIL: common drain W &lt; "&amp;SG_Criteria!$B$17&amp;" mm. ","")&amp;IF(AND(N125&lt;&gt;"",IFERROR(VALUE(MID(N125,2,2)),0)&lt;SG_Criteria!$B$19),"FAIL: grade below C"&amp;SG_Criteria!$B$19&amp;". ","")&amp;IF(AND(O125&lt;&gt;"",O125&lt;SG_Criteria!$B$20),"FAIL: cover &lt; "&amp;SG_Criteria!$B$20&amp;" mm. ","")&amp;IF(AND(E125="Open",G125&gt;SG_Criteria!$B$18),"NOTE: safety railing required (D &gt; "&amp;SG_Criteria!$B$18&amp;" mm). ","")&amp;IF(AND(D125="Entrance culvert",G125&lt;600),"NOTE: check hinged grating rule for culverts &lt; 600 deep (PUB Add. 3). ","")))</f>
        <v/>
      </c>
      <c r="AP125" s="9"/>
      <c r="AQ125" s="9"/>
      <c r="AR125" s="9"/>
      <c r="AS125" s="9"/>
      <c r="AT125" s="9"/>
      <c r="AU125" s="31"/>
      <c r="AV125" s="10" t="str">
        <f aca="false">IF(C125="","",IF(AND(V125="Approved",ISERROR(SEARCH("FAIL",AO125))),"Y","N"))</f>
        <v/>
      </c>
      <c r="AW125" s="10" t="str">
        <f aca="false">IF(C125="","",C125&amp;"|"&amp;F125&amp;"|"&amp;G125&amp;"|"&amp;L125&amp;"|"&amp;AV125)</f>
        <v/>
      </c>
    </row>
    <row r="126" customFormat="false" ht="15" hidden="false" customHeight="false" outlineLevel="0" collapsed="false">
      <c r="A126" s="10" t="str">
        <f aca="false">IF(C126="","","DRN-"&amp;IFERROR(VLOOKUP(C126,Lists!$A$4:$B$27,2,0),"??")&amp;"-"&amp;TEXT(F126,"0000")&amp;"x"&amp;TEXT(G126,"0000")&amp;IF(N(H126)&gt;1,"-"&amp;H126&amp;"C","")&amp;"-"&amp;IFERROR(VLOOKUP(L126,Lists!$J$4:$K$19,2,0),"??")&amp;"-"&amp;U126)</f>
        <v/>
      </c>
      <c r="B126" s="10" t="str">
        <f aca="false">IF(C126="","",C126&amp;" "&amp;F126&amp;"W x "&amp;G126&amp;"D"&amp;IF(N(H126)&gt;1," ("&amp;H126&amp;" cells)","")&amp;", "&amp;D126&amp;", "&amp;L126&amp;", "&amp;E126)</f>
        <v/>
      </c>
      <c r="C126" s="9"/>
      <c r="D126" s="9"/>
      <c r="E126" s="9"/>
      <c r="F126" s="40"/>
      <c r="G126" s="40"/>
      <c r="H126" s="40"/>
      <c r="I126" s="40"/>
      <c r="J126" s="40"/>
      <c r="K126" s="40"/>
      <c r="L126" s="9"/>
      <c r="M126" s="9"/>
      <c r="N126" s="9"/>
      <c r="O126" s="40"/>
      <c r="P126" s="9"/>
      <c r="Q126" s="9"/>
      <c r="R126" s="9"/>
      <c r="S126" s="9"/>
      <c r="T126" s="9"/>
      <c r="U126" s="9"/>
      <c r="V126" s="9"/>
      <c r="W126" s="9"/>
      <c r="X126" s="9"/>
      <c r="Y126" s="9"/>
      <c r="Z126" s="10" t="str">
        <f aca="false">IF(A126="","",SG_Criteria!$B$6&amp;SG_Criteria!$B$7&amp;"\"&amp;A126&amp;"\")</f>
        <v/>
      </c>
      <c r="AA126" s="10" t="str">
        <f aca="false">IF(A126="","",A126&amp;"_CAD.dwg")</f>
        <v/>
      </c>
      <c r="AB126" s="10" t="str">
        <f aca="false">IF(A126="","",A126&amp;"_DWG.pdf")</f>
        <v/>
      </c>
      <c r="AC126" s="10" t="str">
        <f aca="false">IF(A126="","",IF(Y126="Y",A126&amp;"_STAAD.std","n/a"))</f>
        <v/>
      </c>
      <c r="AD126" s="10" t="str">
        <f aca="false">IF(A126="","",A126&amp;"_CALC.xlsx")</f>
        <v/>
      </c>
      <c r="AE126" s="10" t="str">
        <f aca="false">IF(A126="","",A126&amp;"_CALC.pdf")</f>
        <v/>
      </c>
      <c r="AF126" s="9"/>
      <c r="AG126" s="9"/>
      <c r="AH126" s="41"/>
      <c r="AI126" s="41"/>
      <c r="AJ126" s="41"/>
      <c r="AK126" s="41"/>
      <c r="AL126" s="41"/>
      <c r="AM126" s="37" t="str">
        <f aca="false">IF(OR(C126="",F126="",G126="",C126="Sump",C126="Drop Inlet Chamber",C126="Silt Trap",C126="Pipe Culvert",C126="Subsoil Drain"),"",ROUND(MAX(1,N(H126))*(1/SG_Criteria!$B$26)*((F126/1000)*(G126/1000*(1-SG_Criteria!$B$25)))*(((F126/1000)*(G126/1000*(1-SG_Criteria!$B$25)))/((F126/1000)+2*(G126/1000*(1-SG_Criteria!$B$25))))^(2/3)*(1/Design_Selector!$B$11)^0.5,3))</f>
        <v/>
      </c>
      <c r="AN126" s="11" t="str">
        <f aca="false">IF(AM126="","",ROUND(AM126/(MAX(1,N(H126))*F126/1000*(G126/1000*(1-SG_Criteria!$B$25))),2))</f>
        <v/>
      </c>
      <c r="AO126" s="38" t="str">
        <f aca="false">IF(C126="","",IF(LEN(IF(AND(OR(D126="Roadside drain",D126="Entrance culvert"),OR(F126&lt;SG_Criteria!$B$15,G126&lt;SG_Criteria!$B$16)),"FAIL: below PUB min "&amp;SG_Criteria!$B$15&amp;"x"&amp;SG_Criteria!$B$16&amp;" for roadside drain. ","")&amp;IF(AND(D126="Common drain",F126&lt;SG_Criteria!$B$17),"FAIL: common drain W &lt; "&amp;SG_Criteria!$B$17&amp;" mm. ","")&amp;IF(AND(N126&lt;&gt;"",IFERROR(VALUE(MID(N126,2,2)),0)&lt;SG_Criteria!$B$19),"FAIL: grade below C"&amp;SG_Criteria!$B$19&amp;". ","")&amp;IF(AND(O126&lt;&gt;"",O126&lt;SG_Criteria!$B$20),"FAIL: cover &lt; "&amp;SG_Criteria!$B$20&amp;" mm. ","")&amp;IF(AND(E126="Open",G126&gt;SG_Criteria!$B$18),"NOTE: safety railing required (D &gt; "&amp;SG_Criteria!$B$18&amp;" mm). ","")&amp;IF(AND(D126="Entrance culvert",G126&lt;600),"NOTE: check hinged grating rule for culverts &lt; 600 deep (PUB Add. 3). ",""))=0,"OK",IF(AND(OR(D126="Roadside drain",D126="Entrance culvert"),OR(F126&lt;SG_Criteria!$B$15,G126&lt;SG_Criteria!$B$16)),"FAIL: below PUB min "&amp;SG_Criteria!$B$15&amp;"x"&amp;SG_Criteria!$B$16&amp;" for roadside drain. ","")&amp;IF(AND(D126="Common drain",F126&lt;SG_Criteria!$B$17),"FAIL: common drain W &lt; "&amp;SG_Criteria!$B$17&amp;" mm. ","")&amp;IF(AND(N126&lt;&gt;"",IFERROR(VALUE(MID(N126,2,2)),0)&lt;SG_Criteria!$B$19),"FAIL: grade below C"&amp;SG_Criteria!$B$19&amp;". ","")&amp;IF(AND(O126&lt;&gt;"",O126&lt;SG_Criteria!$B$20),"FAIL: cover &lt; "&amp;SG_Criteria!$B$20&amp;" mm. ","")&amp;IF(AND(E126="Open",G126&gt;SG_Criteria!$B$18),"NOTE: safety railing required (D &gt; "&amp;SG_Criteria!$B$18&amp;" mm). ","")&amp;IF(AND(D126="Entrance culvert",G126&lt;600),"NOTE: check hinged grating rule for culverts &lt; 600 deep (PUB Add. 3). ","")))</f>
        <v/>
      </c>
      <c r="AP126" s="9"/>
      <c r="AQ126" s="9"/>
      <c r="AR126" s="9"/>
      <c r="AS126" s="9"/>
      <c r="AT126" s="9"/>
      <c r="AU126" s="31"/>
      <c r="AV126" s="10" t="str">
        <f aca="false">IF(C126="","",IF(AND(V126="Approved",ISERROR(SEARCH("FAIL",AO126))),"Y","N"))</f>
        <v/>
      </c>
      <c r="AW126" s="10" t="str">
        <f aca="false">IF(C126="","",C126&amp;"|"&amp;F126&amp;"|"&amp;G126&amp;"|"&amp;L126&amp;"|"&amp;AV126)</f>
        <v/>
      </c>
    </row>
    <row r="127" customFormat="false" ht="15" hidden="false" customHeight="false" outlineLevel="0" collapsed="false">
      <c r="A127" s="10" t="str">
        <f aca="false">IF(C127="","","DRN-"&amp;IFERROR(VLOOKUP(C127,Lists!$A$4:$B$27,2,0),"??")&amp;"-"&amp;TEXT(F127,"0000")&amp;"x"&amp;TEXT(G127,"0000")&amp;IF(N(H127)&gt;1,"-"&amp;H127&amp;"C","")&amp;"-"&amp;IFERROR(VLOOKUP(L127,Lists!$J$4:$K$19,2,0),"??")&amp;"-"&amp;U127)</f>
        <v/>
      </c>
      <c r="B127" s="10" t="str">
        <f aca="false">IF(C127="","",C127&amp;" "&amp;F127&amp;"W x "&amp;G127&amp;"D"&amp;IF(N(H127)&gt;1," ("&amp;H127&amp;" cells)","")&amp;", "&amp;D127&amp;", "&amp;L127&amp;", "&amp;E127)</f>
        <v/>
      </c>
      <c r="C127" s="9"/>
      <c r="D127" s="9"/>
      <c r="E127" s="9"/>
      <c r="F127" s="40"/>
      <c r="G127" s="40"/>
      <c r="H127" s="40"/>
      <c r="I127" s="40"/>
      <c r="J127" s="40"/>
      <c r="K127" s="40"/>
      <c r="L127" s="9"/>
      <c r="M127" s="9"/>
      <c r="N127" s="9"/>
      <c r="O127" s="40"/>
      <c r="P127" s="9"/>
      <c r="Q127" s="9"/>
      <c r="R127" s="9"/>
      <c r="S127" s="9"/>
      <c r="T127" s="9"/>
      <c r="U127" s="9"/>
      <c r="V127" s="9"/>
      <c r="W127" s="9"/>
      <c r="X127" s="9"/>
      <c r="Y127" s="9"/>
      <c r="Z127" s="10" t="str">
        <f aca="false">IF(A127="","",SG_Criteria!$B$6&amp;SG_Criteria!$B$7&amp;"\"&amp;A127&amp;"\")</f>
        <v/>
      </c>
      <c r="AA127" s="10" t="str">
        <f aca="false">IF(A127="","",A127&amp;"_CAD.dwg")</f>
        <v/>
      </c>
      <c r="AB127" s="10" t="str">
        <f aca="false">IF(A127="","",A127&amp;"_DWG.pdf")</f>
        <v/>
      </c>
      <c r="AC127" s="10" t="str">
        <f aca="false">IF(A127="","",IF(Y127="Y",A127&amp;"_STAAD.std","n/a"))</f>
        <v/>
      </c>
      <c r="AD127" s="10" t="str">
        <f aca="false">IF(A127="","",A127&amp;"_CALC.xlsx")</f>
        <v/>
      </c>
      <c r="AE127" s="10" t="str">
        <f aca="false">IF(A127="","",A127&amp;"_CALC.pdf")</f>
        <v/>
      </c>
      <c r="AF127" s="9"/>
      <c r="AG127" s="9"/>
      <c r="AH127" s="41"/>
      <c r="AI127" s="41"/>
      <c r="AJ127" s="41"/>
      <c r="AK127" s="41"/>
      <c r="AL127" s="41"/>
      <c r="AM127" s="37" t="str">
        <f aca="false">IF(OR(C127="",F127="",G127="",C127="Sump",C127="Drop Inlet Chamber",C127="Silt Trap",C127="Pipe Culvert",C127="Subsoil Drain"),"",ROUND(MAX(1,N(H127))*(1/SG_Criteria!$B$26)*((F127/1000)*(G127/1000*(1-SG_Criteria!$B$25)))*(((F127/1000)*(G127/1000*(1-SG_Criteria!$B$25)))/((F127/1000)+2*(G127/1000*(1-SG_Criteria!$B$25))))^(2/3)*(1/Design_Selector!$B$11)^0.5,3))</f>
        <v/>
      </c>
      <c r="AN127" s="11" t="str">
        <f aca="false">IF(AM127="","",ROUND(AM127/(MAX(1,N(H127))*F127/1000*(G127/1000*(1-SG_Criteria!$B$25))),2))</f>
        <v/>
      </c>
      <c r="AO127" s="38" t="str">
        <f aca="false">IF(C127="","",IF(LEN(IF(AND(OR(D127="Roadside drain",D127="Entrance culvert"),OR(F127&lt;SG_Criteria!$B$15,G127&lt;SG_Criteria!$B$16)),"FAIL: below PUB min "&amp;SG_Criteria!$B$15&amp;"x"&amp;SG_Criteria!$B$16&amp;" for roadside drain. ","")&amp;IF(AND(D127="Common drain",F127&lt;SG_Criteria!$B$17),"FAIL: common drain W &lt; "&amp;SG_Criteria!$B$17&amp;" mm. ","")&amp;IF(AND(N127&lt;&gt;"",IFERROR(VALUE(MID(N127,2,2)),0)&lt;SG_Criteria!$B$19),"FAIL: grade below C"&amp;SG_Criteria!$B$19&amp;". ","")&amp;IF(AND(O127&lt;&gt;"",O127&lt;SG_Criteria!$B$20),"FAIL: cover &lt; "&amp;SG_Criteria!$B$20&amp;" mm. ","")&amp;IF(AND(E127="Open",G127&gt;SG_Criteria!$B$18),"NOTE: safety railing required (D &gt; "&amp;SG_Criteria!$B$18&amp;" mm). ","")&amp;IF(AND(D127="Entrance culvert",G127&lt;600),"NOTE: check hinged grating rule for culverts &lt; 600 deep (PUB Add. 3). ",""))=0,"OK",IF(AND(OR(D127="Roadside drain",D127="Entrance culvert"),OR(F127&lt;SG_Criteria!$B$15,G127&lt;SG_Criteria!$B$16)),"FAIL: below PUB min "&amp;SG_Criteria!$B$15&amp;"x"&amp;SG_Criteria!$B$16&amp;" for roadside drain. ","")&amp;IF(AND(D127="Common drain",F127&lt;SG_Criteria!$B$17),"FAIL: common drain W &lt; "&amp;SG_Criteria!$B$17&amp;" mm. ","")&amp;IF(AND(N127&lt;&gt;"",IFERROR(VALUE(MID(N127,2,2)),0)&lt;SG_Criteria!$B$19),"FAIL: grade below C"&amp;SG_Criteria!$B$19&amp;". ","")&amp;IF(AND(O127&lt;&gt;"",O127&lt;SG_Criteria!$B$20),"FAIL: cover &lt; "&amp;SG_Criteria!$B$20&amp;" mm. ","")&amp;IF(AND(E127="Open",G127&gt;SG_Criteria!$B$18),"NOTE: safety railing required (D &gt; "&amp;SG_Criteria!$B$18&amp;" mm). ","")&amp;IF(AND(D127="Entrance culvert",G127&lt;600),"NOTE: check hinged grating rule for culverts &lt; 600 deep (PUB Add. 3). ","")))</f>
        <v/>
      </c>
      <c r="AP127" s="9"/>
      <c r="AQ127" s="9"/>
      <c r="AR127" s="9"/>
      <c r="AS127" s="9"/>
      <c r="AT127" s="9"/>
      <c r="AU127" s="31"/>
      <c r="AV127" s="10" t="str">
        <f aca="false">IF(C127="","",IF(AND(V127="Approved",ISERROR(SEARCH("FAIL",AO127))),"Y","N"))</f>
        <v/>
      </c>
      <c r="AW127" s="10" t="str">
        <f aca="false">IF(C127="","",C127&amp;"|"&amp;F127&amp;"|"&amp;G127&amp;"|"&amp;L127&amp;"|"&amp;AV127)</f>
        <v/>
      </c>
    </row>
    <row r="128" customFormat="false" ht="15" hidden="false" customHeight="false" outlineLevel="0" collapsed="false">
      <c r="A128" s="10" t="str">
        <f aca="false">IF(C128="","","DRN-"&amp;IFERROR(VLOOKUP(C128,Lists!$A$4:$B$27,2,0),"??")&amp;"-"&amp;TEXT(F128,"0000")&amp;"x"&amp;TEXT(G128,"0000")&amp;IF(N(H128)&gt;1,"-"&amp;H128&amp;"C","")&amp;"-"&amp;IFERROR(VLOOKUP(L128,Lists!$J$4:$K$19,2,0),"??")&amp;"-"&amp;U128)</f>
        <v/>
      </c>
      <c r="B128" s="10" t="str">
        <f aca="false">IF(C128="","",C128&amp;" "&amp;F128&amp;"W x "&amp;G128&amp;"D"&amp;IF(N(H128)&gt;1," ("&amp;H128&amp;" cells)","")&amp;", "&amp;D128&amp;", "&amp;L128&amp;", "&amp;E128)</f>
        <v/>
      </c>
      <c r="C128" s="9"/>
      <c r="D128" s="9"/>
      <c r="E128" s="9"/>
      <c r="F128" s="40"/>
      <c r="G128" s="40"/>
      <c r="H128" s="40"/>
      <c r="I128" s="40"/>
      <c r="J128" s="40"/>
      <c r="K128" s="40"/>
      <c r="L128" s="9"/>
      <c r="M128" s="9"/>
      <c r="N128" s="9"/>
      <c r="O128" s="40"/>
      <c r="P128" s="9"/>
      <c r="Q128" s="9"/>
      <c r="R128" s="9"/>
      <c r="S128" s="9"/>
      <c r="T128" s="9"/>
      <c r="U128" s="9"/>
      <c r="V128" s="9"/>
      <c r="W128" s="9"/>
      <c r="X128" s="9"/>
      <c r="Y128" s="9"/>
      <c r="Z128" s="10" t="str">
        <f aca="false">IF(A128="","",SG_Criteria!$B$6&amp;SG_Criteria!$B$7&amp;"\"&amp;A128&amp;"\")</f>
        <v/>
      </c>
      <c r="AA128" s="10" t="str">
        <f aca="false">IF(A128="","",A128&amp;"_CAD.dwg")</f>
        <v/>
      </c>
      <c r="AB128" s="10" t="str">
        <f aca="false">IF(A128="","",A128&amp;"_DWG.pdf")</f>
        <v/>
      </c>
      <c r="AC128" s="10" t="str">
        <f aca="false">IF(A128="","",IF(Y128="Y",A128&amp;"_STAAD.std","n/a"))</f>
        <v/>
      </c>
      <c r="AD128" s="10" t="str">
        <f aca="false">IF(A128="","",A128&amp;"_CALC.xlsx")</f>
        <v/>
      </c>
      <c r="AE128" s="10" t="str">
        <f aca="false">IF(A128="","",A128&amp;"_CALC.pdf")</f>
        <v/>
      </c>
      <c r="AF128" s="9"/>
      <c r="AG128" s="9"/>
      <c r="AH128" s="41"/>
      <c r="AI128" s="41"/>
      <c r="AJ128" s="41"/>
      <c r="AK128" s="41"/>
      <c r="AL128" s="41"/>
      <c r="AM128" s="37" t="str">
        <f aca="false">IF(OR(C128="",F128="",G128="",C128="Sump",C128="Drop Inlet Chamber",C128="Silt Trap",C128="Pipe Culvert",C128="Subsoil Drain"),"",ROUND(MAX(1,N(H128))*(1/SG_Criteria!$B$26)*((F128/1000)*(G128/1000*(1-SG_Criteria!$B$25)))*(((F128/1000)*(G128/1000*(1-SG_Criteria!$B$25)))/((F128/1000)+2*(G128/1000*(1-SG_Criteria!$B$25))))^(2/3)*(1/Design_Selector!$B$11)^0.5,3))</f>
        <v/>
      </c>
      <c r="AN128" s="11" t="str">
        <f aca="false">IF(AM128="","",ROUND(AM128/(MAX(1,N(H128))*F128/1000*(G128/1000*(1-SG_Criteria!$B$25))),2))</f>
        <v/>
      </c>
      <c r="AO128" s="38" t="str">
        <f aca="false">IF(C128="","",IF(LEN(IF(AND(OR(D128="Roadside drain",D128="Entrance culvert"),OR(F128&lt;SG_Criteria!$B$15,G128&lt;SG_Criteria!$B$16)),"FAIL: below PUB min "&amp;SG_Criteria!$B$15&amp;"x"&amp;SG_Criteria!$B$16&amp;" for roadside drain. ","")&amp;IF(AND(D128="Common drain",F128&lt;SG_Criteria!$B$17),"FAIL: common drain W &lt; "&amp;SG_Criteria!$B$17&amp;" mm. ","")&amp;IF(AND(N128&lt;&gt;"",IFERROR(VALUE(MID(N128,2,2)),0)&lt;SG_Criteria!$B$19),"FAIL: grade below C"&amp;SG_Criteria!$B$19&amp;". ","")&amp;IF(AND(O128&lt;&gt;"",O128&lt;SG_Criteria!$B$20),"FAIL: cover &lt; "&amp;SG_Criteria!$B$20&amp;" mm. ","")&amp;IF(AND(E128="Open",G128&gt;SG_Criteria!$B$18),"NOTE: safety railing required (D &gt; "&amp;SG_Criteria!$B$18&amp;" mm). ","")&amp;IF(AND(D128="Entrance culvert",G128&lt;600),"NOTE: check hinged grating rule for culverts &lt; 600 deep (PUB Add. 3). ",""))=0,"OK",IF(AND(OR(D128="Roadside drain",D128="Entrance culvert"),OR(F128&lt;SG_Criteria!$B$15,G128&lt;SG_Criteria!$B$16)),"FAIL: below PUB min "&amp;SG_Criteria!$B$15&amp;"x"&amp;SG_Criteria!$B$16&amp;" for roadside drain. ","")&amp;IF(AND(D128="Common drain",F128&lt;SG_Criteria!$B$17),"FAIL: common drain W &lt; "&amp;SG_Criteria!$B$17&amp;" mm. ","")&amp;IF(AND(N128&lt;&gt;"",IFERROR(VALUE(MID(N128,2,2)),0)&lt;SG_Criteria!$B$19),"FAIL: grade below C"&amp;SG_Criteria!$B$19&amp;". ","")&amp;IF(AND(O128&lt;&gt;"",O128&lt;SG_Criteria!$B$20),"FAIL: cover &lt; "&amp;SG_Criteria!$B$20&amp;" mm. ","")&amp;IF(AND(E128="Open",G128&gt;SG_Criteria!$B$18),"NOTE: safety railing required (D &gt; "&amp;SG_Criteria!$B$18&amp;" mm). ","")&amp;IF(AND(D128="Entrance culvert",G128&lt;600),"NOTE: check hinged grating rule for culverts &lt; 600 deep (PUB Add. 3). ","")))</f>
        <v/>
      </c>
      <c r="AP128" s="9"/>
      <c r="AQ128" s="9"/>
      <c r="AR128" s="9"/>
      <c r="AS128" s="9"/>
      <c r="AT128" s="9"/>
      <c r="AU128" s="31"/>
      <c r="AV128" s="10" t="str">
        <f aca="false">IF(C128="","",IF(AND(V128="Approved",ISERROR(SEARCH("FAIL",AO128))),"Y","N"))</f>
        <v/>
      </c>
      <c r="AW128" s="10" t="str">
        <f aca="false">IF(C128="","",C128&amp;"|"&amp;F128&amp;"|"&amp;G128&amp;"|"&amp;L128&amp;"|"&amp;AV128)</f>
        <v/>
      </c>
    </row>
    <row r="129" customFormat="false" ht="15" hidden="false" customHeight="false" outlineLevel="0" collapsed="false">
      <c r="A129" s="10" t="str">
        <f aca="false">IF(C129="","","DRN-"&amp;IFERROR(VLOOKUP(C129,Lists!$A$4:$B$27,2,0),"??")&amp;"-"&amp;TEXT(F129,"0000")&amp;"x"&amp;TEXT(G129,"0000")&amp;IF(N(H129)&gt;1,"-"&amp;H129&amp;"C","")&amp;"-"&amp;IFERROR(VLOOKUP(L129,Lists!$J$4:$K$19,2,0),"??")&amp;"-"&amp;U129)</f>
        <v/>
      </c>
      <c r="B129" s="10" t="str">
        <f aca="false">IF(C129="","",C129&amp;" "&amp;F129&amp;"W x "&amp;G129&amp;"D"&amp;IF(N(H129)&gt;1," ("&amp;H129&amp;" cells)","")&amp;", "&amp;D129&amp;", "&amp;L129&amp;", "&amp;E129)</f>
        <v/>
      </c>
      <c r="C129" s="9"/>
      <c r="D129" s="9"/>
      <c r="E129" s="9"/>
      <c r="F129" s="40"/>
      <c r="G129" s="40"/>
      <c r="H129" s="40"/>
      <c r="I129" s="40"/>
      <c r="J129" s="40"/>
      <c r="K129" s="40"/>
      <c r="L129" s="9"/>
      <c r="M129" s="9"/>
      <c r="N129" s="9"/>
      <c r="O129" s="40"/>
      <c r="P129" s="9"/>
      <c r="Q129" s="9"/>
      <c r="R129" s="9"/>
      <c r="S129" s="9"/>
      <c r="T129" s="9"/>
      <c r="U129" s="9"/>
      <c r="V129" s="9"/>
      <c r="W129" s="9"/>
      <c r="X129" s="9"/>
      <c r="Y129" s="9"/>
      <c r="Z129" s="10" t="str">
        <f aca="false">IF(A129="","",SG_Criteria!$B$6&amp;SG_Criteria!$B$7&amp;"\"&amp;A129&amp;"\")</f>
        <v/>
      </c>
      <c r="AA129" s="10" t="str">
        <f aca="false">IF(A129="","",A129&amp;"_CAD.dwg")</f>
        <v/>
      </c>
      <c r="AB129" s="10" t="str">
        <f aca="false">IF(A129="","",A129&amp;"_DWG.pdf")</f>
        <v/>
      </c>
      <c r="AC129" s="10" t="str">
        <f aca="false">IF(A129="","",IF(Y129="Y",A129&amp;"_STAAD.std","n/a"))</f>
        <v/>
      </c>
      <c r="AD129" s="10" t="str">
        <f aca="false">IF(A129="","",A129&amp;"_CALC.xlsx")</f>
        <v/>
      </c>
      <c r="AE129" s="10" t="str">
        <f aca="false">IF(A129="","",A129&amp;"_CALC.pdf")</f>
        <v/>
      </c>
      <c r="AF129" s="9"/>
      <c r="AG129" s="9"/>
      <c r="AH129" s="41"/>
      <c r="AI129" s="41"/>
      <c r="AJ129" s="41"/>
      <c r="AK129" s="41"/>
      <c r="AL129" s="41"/>
      <c r="AM129" s="37" t="str">
        <f aca="false">IF(OR(C129="",F129="",G129="",C129="Sump",C129="Drop Inlet Chamber",C129="Silt Trap",C129="Pipe Culvert",C129="Subsoil Drain"),"",ROUND(MAX(1,N(H129))*(1/SG_Criteria!$B$26)*((F129/1000)*(G129/1000*(1-SG_Criteria!$B$25)))*(((F129/1000)*(G129/1000*(1-SG_Criteria!$B$25)))/((F129/1000)+2*(G129/1000*(1-SG_Criteria!$B$25))))^(2/3)*(1/Design_Selector!$B$11)^0.5,3))</f>
        <v/>
      </c>
      <c r="AN129" s="11" t="str">
        <f aca="false">IF(AM129="","",ROUND(AM129/(MAX(1,N(H129))*F129/1000*(G129/1000*(1-SG_Criteria!$B$25))),2))</f>
        <v/>
      </c>
      <c r="AO129" s="38" t="str">
        <f aca="false">IF(C129="","",IF(LEN(IF(AND(OR(D129="Roadside drain",D129="Entrance culvert"),OR(F129&lt;SG_Criteria!$B$15,G129&lt;SG_Criteria!$B$16)),"FAIL: below PUB min "&amp;SG_Criteria!$B$15&amp;"x"&amp;SG_Criteria!$B$16&amp;" for roadside drain. ","")&amp;IF(AND(D129="Common drain",F129&lt;SG_Criteria!$B$17),"FAIL: common drain W &lt; "&amp;SG_Criteria!$B$17&amp;" mm. ","")&amp;IF(AND(N129&lt;&gt;"",IFERROR(VALUE(MID(N129,2,2)),0)&lt;SG_Criteria!$B$19),"FAIL: grade below C"&amp;SG_Criteria!$B$19&amp;". ","")&amp;IF(AND(O129&lt;&gt;"",O129&lt;SG_Criteria!$B$20),"FAIL: cover &lt; "&amp;SG_Criteria!$B$20&amp;" mm. ","")&amp;IF(AND(E129="Open",G129&gt;SG_Criteria!$B$18),"NOTE: safety railing required (D &gt; "&amp;SG_Criteria!$B$18&amp;" mm). ","")&amp;IF(AND(D129="Entrance culvert",G129&lt;600),"NOTE: check hinged grating rule for culverts &lt; 600 deep (PUB Add. 3). ",""))=0,"OK",IF(AND(OR(D129="Roadside drain",D129="Entrance culvert"),OR(F129&lt;SG_Criteria!$B$15,G129&lt;SG_Criteria!$B$16)),"FAIL: below PUB min "&amp;SG_Criteria!$B$15&amp;"x"&amp;SG_Criteria!$B$16&amp;" for roadside drain. ","")&amp;IF(AND(D129="Common drain",F129&lt;SG_Criteria!$B$17),"FAIL: common drain W &lt; "&amp;SG_Criteria!$B$17&amp;" mm. ","")&amp;IF(AND(N129&lt;&gt;"",IFERROR(VALUE(MID(N129,2,2)),0)&lt;SG_Criteria!$B$19),"FAIL: grade below C"&amp;SG_Criteria!$B$19&amp;". ","")&amp;IF(AND(O129&lt;&gt;"",O129&lt;SG_Criteria!$B$20),"FAIL: cover &lt; "&amp;SG_Criteria!$B$20&amp;" mm. ","")&amp;IF(AND(E129="Open",G129&gt;SG_Criteria!$B$18),"NOTE: safety railing required (D &gt; "&amp;SG_Criteria!$B$18&amp;" mm). ","")&amp;IF(AND(D129="Entrance culvert",G129&lt;600),"NOTE: check hinged grating rule for culverts &lt; 600 deep (PUB Add. 3). ","")))</f>
        <v/>
      </c>
      <c r="AP129" s="9"/>
      <c r="AQ129" s="9"/>
      <c r="AR129" s="9"/>
      <c r="AS129" s="9"/>
      <c r="AT129" s="9"/>
      <c r="AU129" s="31"/>
      <c r="AV129" s="10" t="str">
        <f aca="false">IF(C129="","",IF(AND(V129="Approved",ISERROR(SEARCH("FAIL",AO129))),"Y","N"))</f>
        <v/>
      </c>
      <c r="AW129" s="10" t="str">
        <f aca="false">IF(C129="","",C129&amp;"|"&amp;F129&amp;"|"&amp;G129&amp;"|"&amp;L129&amp;"|"&amp;AV129)</f>
        <v/>
      </c>
    </row>
    <row r="130" customFormat="false" ht="15" hidden="false" customHeight="false" outlineLevel="0" collapsed="false">
      <c r="A130" s="10" t="str">
        <f aca="false">IF(C130="","","DRN-"&amp;IFERROR(VLOOKUP(C130,Lists!$A$4:$B$27,2,0),"??")&amp;"-"&amp;TEXT(F130,"0000")&amp;"x"&amp;TEXT(G130,"0000")&amp;IF(N(H130)&gt;1,"-"&amp;H130&amp;"C","")&amp;"-"&amp;IFERROR(VLOOKUP(L130,Lists!$J$4:$K$19,2,0),"??")&amp;"-"&amp;U130)</f>
        <v/>
      </c>
      <c r="B130" s="10" t="str">
        <f aca="false">IF(C130="","",C130&amp;" "&amp;F130&amp;"W x "&amp;G130&amp;"D"&amp;IF(N(H130)&gt;1," ("&amp;H130&amp;" cells)","")&amp;", "&amp;D130&amp;", "&amp;L130&amp;", "&amp;E130)</f>
        <v/>
      </c>
      <c r="C130" s="9"/>
      <c r="D130" s="9"/>
      <c r="E130" s="9"/>
      <c r="F130" s="40"/>
      <c r="G130" s="40"/>
      <c r="H130" s="40"/>
      <c r="I130" s="40"/>
      <c r="J130" s="40"/>
      <c r="K130" s="40"/>
      <c r="L130" s="9"/>
      <c r="M130" s="9"/>
      <c r="N130" s="9"/>
      <c r="O130" s="40"/>
      <c r="P130" s="9"/>
      <c r="Q130" s="9"/>
      <c r="R130" s="9"/>
      <c r="S130" s="9"/>
      <c r="T130" s="9"/>
      <c r="U130" s="9"/>
      <c r="V130" s="9"/>
      <c r="W130" s="9"/>
      <c r="X130" s="9"/>
      <c r="Y130" s="9"/>
      <c r="Z130" s="10" t="str">
        <f aca="false">IF(A130="","",SG_Criteria!$B$6&amp;SG_Criteria!$B$7&amp;"\"&amp;A130&amp;"\")</f>
        <v/>
      </c>
      <c r="AA130" s="10" t="str">
        <f aca="false">IF(A130="","",A130&amp;"_CAD.dwg")</f>
        <v/>
      </c>
      <c r="AB130" s="10" t="str">
        <f aca="false">IF(A130="","",A130&amp;"_DWG.pdf")</f>
        <v/>
      </c>
      <c r="AC130" s="10" t="str">
        <f aca="false">IF(A130="","",IF(Y130="Y",A130&amp;"_STAAD.std","n/a"))</f>
        <v/>
      </c>
      <c r="AD130" s="10" t="str">
        <f aca="false">IF(A130="","",A130&amp;"_CALC.xlsx")</f>
        <v/>
      </c>
      <c r="AE130" s="10" t="str">
        <f aca="false">IF(A130="","",A130&amp;"_CALC.pdf")</f>
        <v/>
      </c>
      <c r="AF130" s="9"/>
      <c r="AG130" s="9"/>
      <c r="AH130" s="41"/>
      <c r="AI130" s="41"/>
      <c r="AJ130" s="41"/>
      <c r="AK130" s="41"/>
      <c r="AL130" s="41"/>
      <c r="AM130" s="37" t="str">
        <f aca="false">IF(OR(C130="",F130="",G130="",C130="Sump",C130="Drop Inlet Chamber",C130="Silt Trap",C130="Pipe Culvert",C130="Subsoil Drain"),"",ROUND(MAX(1,N(H130))*(1/SG_Criteria!$B$26)*((F130/1000)*(G130/1000*(1-SG_Criteria!$B$25)))*(((F130/1000)*(G130/1000*(1-SG_Criteria!$B$25)))/((F130/1000)+2*(G130/1000*(1-SG_Criteria!$B$25))))^(2/3)*(1/Design_Selector!$B$11)^0.5,3))</f>
        <v/>
      </c>
      <c r="AN130" s="11" t="str">
        <f aca="false">IF(AM130="","",ROUND(AM130/(MAX(1,N(H130))*F130/1000*(G130/1000*(1-SG_Criteria!$B$25))),2))</f>
        <v/>
      </c>
      <c r="AO130" s="38" t="str">
        <f aca="false">IF(C130="","",IF(LEN(IF(AND(OR(D130="Roadside drain",D130="Entrance culvert"),OR(F130&lt;SG_Criteria!$B$15,G130&lt;SG_Criteria!$B$16)),"FAIL: below PUB min "&amp;SG_Criteria!$B$15&amp;"x"&amp;SG_Criteria!$B$16&amp;" for roadside drain. ","")&amp;IF(AND(D130="Common drain",F130&lt;SG_Criteria!$B$17),"FAIL: common drain W &lt; "&amp;SG_Criteria!$B$17&amp;" mm. ","")&amp;IF(AND(N130&lt;&gt;"",IFERROR(VALUE(MID(N130,2,2)),0)&lt;SG_Criteria!$B$19),"FAIL: grade below C"&amp;SG_Criteria!$B$19&amp;". ","")&amp;IF(AND(O130&lt;&gt;"",O130&lt;SG_Criteria!$B$20),"FAIL: cover &lt; "&amp;SG_Criteria!$B$20&amp;" mm. ","")&amp;IF(AND(E130="Open",G130&gt;SG_Criteria!$B$18),"NOTE: safety railing required (D &gt; "&amp;SG_Criteria!$B$18&amp;" mm). ","")&amp;IF(AND(D130="Entrance culvert",G130&lt;600),"NOTE: check hinged grating rule for culverts &lt; 600 deep (PUB Add. 3). ",""))=0,"OK",IF(AND(OR(D130="Roadside drain",D130="Entrance culvert"),OR(F130&lt;SG_Criteria!$B$15,G130&lt;SG_Criteria!$B$16)),"FAIL: below PUB min "&amp;SG_Criteria!$B$15&amp;"x"&amp;SG_Criteria!$B$16&amp;" for roadside drain. ","")&amp;IF(AND(D130="Common drain",F130&lt;SG_Criteria!$B$17),"FAIL: common drain W &lt; "&amp;SG_Criteria!$B$17&amp;" mm. ","")&amp;IF(AND(N130&lt;&gt;"",IFERROR(VALUE(MID(N130,2,2)),0)&lt;SG_Criteria!$B$19),"FAIL: grade below C"&amp;SG_Criteria!$B$19&amp;". ","")&amp;IF(AND(O130&lt;&gt;"",O130&lt;SG_Criteria!$B$20),"FAIL: cover &lt; "&amp;SG_Criteria!$B$20&amp;" mm. ","")&amp;IF(AND(E130="Open",G130&gt;SG_Criteria!$B$18),"NOTE: safety railing required (D &gt; "&amp;SG_Criteria!$B$18&amp;" mm). ","")&amp;IF(AND(D130="Entrance culvert",G130&lt;600),"NOTE: check hinged grating rule for culverts &lt; 600 deep (PUB Add. 3). ","")))</f>
        <v/>
      </c>
      <c r="AP130" s="9"/>
      <c r="AQ130" s="9"/>
      <c r="AR130" s="9"/>
      <c r="AS130" s="9"/>
      <c r="AT130" s="9"/>
      <c r="AU130" s="31"/>
      <c r="AV130" s="10" t="str">
        <f aca="false">IF(C130="","",IF(AND(V130="Approved",ISERROR(SEARCH("FAIL",AO130))),"Y","N"))</f>
        <v/>
      </c>
      <c r="AW130" s="10" t="str">
        <f aca="false">IF(C130="","",C130&amp;"|"&amp;F130&amp;"|"&amp;G130&amp;"|"&amp;L130&amp;"|"&amp;AV130)</f>
        <v/>
      </c>
    </row>
    <row r="131" customFormat="false" ht="15" hidden="false" customHeight="false" outlineLevel="0" collapsed="false">
      <c r="A131" s="10" t="str">
        <f aca="false">IF(C131="","","DRN-"&amp;IFERROR(VLOOKUP(C131,Lists!$A$4:$B$27,2,0),"??")&amp;"-"&amp;TEXT(F131,"0000")&amp;"x"&amp;TEXT(G131,"0000")&amp;IF(N(H131)&gt;1,"-"&amp;H131&amp;"C","")&amp;"-"&amp;IFERROR(VLOOKUP(L131,Lists!$J$4:$K$19,2,0),"??")&amp;"-"&amp;U131)</f>
        <v/>
      </c>
      <c r="B131" s="10" t="str">
        <f aca="false">IF(C131="","",C131&amp;" "&amp;F131&amp;"W x "&amp;G131&amp;"D"&amp;IF(N(H131)&gt;1," ("&amp;H131&amp;" cells)","")&amp;", "&amp;D131&amp;", "&amp;L131&amp;", "&amp;E131)</f>
        <v/>
      </c>
      <c r="C131" s="9"/>
      <c r="D131" s="9"/>
      <c r="E131" s="9"/>
      <c r="F131" s="40"/>
      <c r="G131" s="40"/>
      <c r="H131" s="40"/>
      <c r="I131" s="40"/>
      <c r="J131" s="40"/>
      <c r="K131" s="40"/>
      <c r="L131" s="9"/>
      <c r="M131" s="9"/>
      <c r="N131" s="9"/>
      <c r="O131" s="40"/>
      <c r="P131" s="9"/>
      <c r="Q131" s="9"/>
      <c r="R131" s="9"/>
      <c r="S131" s="9"/>
      <c r="T131" s="9"/>
      <c r="U131" s="9"/>
      <c r="V131" s="9"/>
      <c r="W131" s="9"/>
      <c r="X131" s="9"/>
      <c r="Y131" s="9"/>
      <c r="Z131" s="10" t="str">
        <f aca="false">IF(A131="","",SG_Criteria!$B$6&amp;SG_Criteria!$B$7&amp;"\"&amp;A131&amp;"\")</f>
        <v/>
      </c>
      <c r="AA131" s="10" t="str">
        <f aca="false">IF(A131="","",A131&amp;"_CAD.dwg")</f>
        <v/>
      </c>
      <c r="AB131" s="10" t="str">
        <f aca="false">IF(A131="","",A131&amp;"_DWG.pdf")</f>
        <v/>
      </c>
      <c r="AC131" s="10" t="str">
        <f aca="false">IF(A131="","",IF(Y131="Y",A131&amp;"_STAAD.std","n/a"))</f>
        <v/>
      </c>
      <c r="AD131" s="10" t="str">
        <f aca="false">IF(A131="","",A131&amp;"_CALC.xlsx")</f>
        <v/>
      </c>
      <c r="AE131" s="10" t="str">
        <f aca="false">IF(A131="","",A131&amp;"_CALC.pdf")</f>
        <v/>
      </c>
      <c r="AF131" s="9"/>
      <c r="AG131" s="9"/>
      <c r="AH131" s="41"/>
      <c r="AI131" s="41"/>
      <c r="AJ131" s="41"/>
      <c r="AK131" s="41"/>
      <c r="AL131" s="41"/>
      <c r="AM131" s="37" t="str">
        <f aca="false">IF(OR(C131="",F131="",G131="",C131="Sump",C131="Drop Inlet Chamber",C131="Silt Trap",C131="Pipe Culvert",C131="Subsoil Drain"),"",ROUND(MAX(1,N(H131))*(1/SG_Criteria!$B$26)*((F131/1000)*(G131/1000*(1-SG_Criteria!$B$25)))*(((F131/1000)*(G131/1000*(1-SG_Criteria!$B$25)))/((F131/1000)+2*(G131/1000*(1-SG_Criteria!$B$25))))^(2/3)*(1/Design_Selector!$B$11)^0.5,3))</f>
        <v/>
      </c>
      <c r="AN131" s="11" t="str">
        <f aca="false">IF(AM131="","",ROUND(AM131/(MAX(1,N(H131))*F131/1000*(G131/1000*(1-SG_Criteria!$B$25))),2))</f>
        <v/>
      </c>
      <c r="AO131" s="38" t="str">
        <f aca="false">IF(C131="","",IF(LEN(IF(AND(OR(D131="Roadside drain",D131="Entrance culvert"),OR(F131&lt;SG_Criteria!$B$15,G131&lt;SG_Criteria!$B$16)),"FAIL: below PUB min "&amp;SG_Criteria!$B$15&amp;"x"&amp;SG_Criteria!$B$16&amp;" for roadside drain. ","")&amp;IF(AND(D131="Common drain",F131&lt;SG_Criteria!$B$17),"FAIL: common drain W &lt; "&amp;SG_Criteria!$B$17&amp;" mm. ","")&amp;IF(AND(N131&lt;&gt;"",IFERROR(VALUE(MID(N131,2,2)),0)&lt;SG_Criteria!$B$19),"FAIL: grade below C"&amp;SG_Criteria!$B$19&amp;". ","")&amp;IF(AND(O131&lt;&gt;"",O131&lt;SG_Criteria!$B$20),"FAIL: cover &lt; "&amp;SG_Criteria!$B$20&amp;" mm. ","")&amp;IF(AND(E131="Open",G131&gt;SG_Criteria!$B$18),"NOTE: safety railing required (D &gt; "&amp;SG_Criteria!$B$18&amp;" mm). ","")&amp;IF(AND(D131="Entrance culvert",G131&lt;600),"NOTE: check hinged grating rule for culverts &lt; 600 deep (PUB Add. 3). ",""))=0,"OK",IF(AND(OR(D131="Roadside drain",D131="Entrance culvert"),OR(F131&lt;SG_Criteria!$B$15,G131&lt;SG_Criteria!$B$16)),"FAIL: below PUB min "&amp;SG_Criteria!$B$15&amp;"x"&amp;SG_Criteria!$B$16&amp;" for roadside drain. ","")&amp;IF(AND(D131="Common drain",F131&lt;SG_Criteria!$B$17),"FAIL: common drain W &lt; "&amp;SG_Criteria!$B$17&amp;" mm. ","")&amp;IF(AND(N131&lt;&gt;"",IFERROR(VALUE(MID(N131,2,2)),0)&lt;SG_Criteria!$B$19),"FAIL: grade below C"&amp;SG_Criteria!$B$19&amp;". ","")&amp;IF(AND(O131&lt;&gt;"",O131&lt;SG_Criteria!$B$20),"FAIL: cover &lt; "&amp;SG_Criteria!$B$20&amp;" mm. ","")&amp;IF(AND(E131="Open",G131&gt;SG_Criteria!$B$18),"NOTE: safety railing required (D &gt; "&amp;SG_Criteria!$B$18&amp;" mm). ","")&amp;IF(AND(D131="Entrance culvert",G131&lt;600),"NOTE: check hinged grating rule for culverts &lt; 600 deep (PUB Add. 3). ","")))</f>
        <v/>
      </c>
      <c r="AP131" s="9"/>
      <c r="AQ131" s="9"/>
      <c r="AR131" s="9"/>
      <c r="AS131" s="9"/>
      <c r="AT131" s="9"/>
      <c r="AU131" s="31"/>
      <c r="AV131" s="10" t="str">
        <f aca="false">IF(C131="","",IF(AND(V131="Approved",ISERROR(SEARCH("FAIL",AO131))),"Y","N"))</f>
        <v/>
      </c>
      <c r="AW131" s="10" t="str">
        <f aca="false">IF(C131="","",C131&amp;"|"&amp;F131&amp;"|"&amp;G131&amp;"|"&amp;L131&amp;"|"&amp;AV131)</f>
        <v/>
      </c>
    </row>
    <row r="132" customFormat="false" ht="15" hidden="false" customHeight="false" outlineLevel="0" collapsed="false">
      <c r="A132" s="10" t="str">
        <f aca="false">IF(C132="","","DRN-"&amp;IFERROR(VLOOKUP(C132,Lists!$A$4:$B$27,2,0),"??")&amp;"-"&amp;TEXT(F132,"0000")&amp;"x"&amp;TEXT(G132,"0000")&amp;IF(N(H132)&gt;1,"-"&amp;H132&amp;"C","")&amp;"-"&amp;IFERROR(VLOOKUP(L132,Lists!$J$4:$K$19,2,0),"??")&amp;"-"&amp;U132)</f>
        <v/>
      </c>
      <c r="B132" s="10" t="str">
        <f aca="false">IF(C132="","",C132&amp;" "&amp;F132&amp;"W x "&amp;G132&amp;"D"&amp;IF(N(H132)&gt;1," ("&amp;H132&amp;" cells)","")&amp;", "&amp;D132&amp;", "&amp;L132&amp;", "&amp;E132)</f>
        <v/>
      </c>
      <c r="C132" s="9"/>
      <c r="D132" s="9"/>
      <c r="E132" s="9"/>
      <c r="F132" s="40"/>
      <c r="G132" s="40"/>
      <c r="H132" s="40"/>
      <c r="I132" s="40"/>
      <c r="J132" s="40"/>
      <c r="K132" s="40"/>
      <c r="L132" s="9"/>
      <c r="M132" s="9"/>
      <c r="N132" s="9"/>
      <c r="O132" s="40"/>
      <c r="P132" s="9"/>
      <c r="Q132" s="9"/>
      <c r="R132" s="9"/>
      <c r="S132" s="9"/>
      <c r="T132" s="9"/>
      <c r="U132" s="9"/>
      <c r="V132" s="9"/>
      <c r="W132" s="9"/>
      <c r="X132" s="9"/>
      <c r="Y132" s="9"/>
      <c r="Z132" s="10" t="str">
        <f aca="false">IF(A132="","",SG_Criteria!$B$6&amp;SG_Criteria!$B$7&amp;"\"&amp;A132&amp;"\")</f>
        <v/>
      </c>
      <c r="AA132" s="10" t="str">
        <f aca="false">IF(A132="","",A132&amp;"_CAD.dwg")</f>
        <v/>
      </c>
      <c r="AB132" s="10" t="str">
        <f aca="false">IF(A132="","",A132&amp;"_DWG.pdf")</f>
        <v/>
      </c>
      <c r="AC132" s="10" t="str">
        <f aca="false">IF(A132="","",IF(Y132="Y",A132&amp;"_STAAD.std","n/a"))</f>
        <v/>
      </c>
      <c r="AD132" s="10" t="str">
        <f aca="false">IF(A132="","",A132&amp;"_CALC.xlsx")</f>
        <v/>
      </c>
      <c r="AE132" s="10" t="str">
        <f aca="false">IF(A132="","",A132&amp;"_CALC.pdf")</f>
        <v/>
      </c>
      <c r="AF132" s="9"/>
      <c r="AG132" s="9"/>
      <c r="AH132" s="41"/>
      <c r="AI132" s="41"/>
      <c r="AJ132" s="41"/>
      <c r="AK132" s="41"/>
      <c r="AL132" s="41"/>
      <c r="AM132" s="37" t="str">
        <f aca="false">IF(OR(C132="",F132="",G132="",C132="Sump",C132="Drop Inlet Chamber",C132="Silt Trap",C132="Pipe Culvert",C132="Subsoil Drain"),"",ROUND(MAX(1,N(H132))*(1/SG_Criteria!$B$26)*((F132/1000)*(G132/1000*(1-SG_Criteria!$B$25)))*(((F132/1000)*(G132/1000*(1-SG_Criteria!$B$25)))/((F132/1000)+2*(G132/1000*(1-SG_Criteria!$B$25))))^(2/3)*(1/Design_Selector!$B$11)^0.5,3))</f>
        <v/>
      </c>
      <c r="AN132" s="11" t="str">
        <f aca="false">IF(AM132="","",ROUND(AM132/(MAX(1,N(H132))*F132/1000*(G132/1000*(1-SG_Criteria!$B$25))),2))</f>
        <v/>
      </c>
      <c r="AO132" s="38" t="str">
        <f aca="false">IF(C132="","",IF(LEN(IF(AND(OR(D132="Roadside drain",D132="Entrance culvert"),OR(F132&lt;SG_Criteria!$B$15,G132&lt;SG_Criteria!$B$16)),"FAIL: below PUB min "&amp;SG_Criteria!$B$15&amp;"x"&amp;SG_Criteria!$B$16&amp;" for roadside drain. ","")&amp;IF(AND(D132="Common drain",F132&lt;SG_Criteria!$B$17),"FAIL: common drain W &lt; "&amp;SG_Criteria!$B$17&amp;" mm. ","")&amp;IF(AND(N132&lt;&gt;"",IFERROR(VALUE(MID(N132,2,2)),0)&lt;SG_Criteria!$B$19),"FAIL: grade below C"&amp;SG_Criteria!$B$19&amp;". ","")&amp;IF(AND(O132&lt;&gt;"",O132&lt;SG_Criteria!$B$20),"FAIL: cover &lt; "&amp;SG_Criteria!$B$20&amp;" mm. ","")&amp;IF(AND(E132="Open",G132&gt;SG_Criteria!$B$18),"NOTE: safety railing required (D &gt; "&amp;SG_Criteria!$B$18&amp;" mm). ","")&amp;IF(AND(D132="Entrance culvert",G132&lt;600),"NOTE: check hinged grating rule for culverts &lt; 600 deep (PUB Add. 3). ",""))=0,"OK",IF(AND(OR(D132="Roadside drain",D132="Entrance culvert"),OR(F132&lt;SG_Criteria!$B$15,G132&lt;SG_Criteria!$B$16)),"FAIL: below PUB min "&amp;SG_Criteria!$B$15&amp;"x"&amp;SG_Criteria!$B$16&amp;" for roadside drain. ","")&amp;IF(AND(D132="Common drain",F132&lt;SG_Criteria!$B$17),"FAIL: common drain W &lt; "&amp;SG_Criteria!$B$17&amp;" mm. ","")&amp;IF(AND(N132&lt;&gt;"",IFERROR(VALUE(MID(N132,2,2)),0)&lt;SG_Criteria!$B$19),"FAIL: grade below C"&amp;SG_Criteria!$B$19&amp;". ","")&amp;IF(AND(O132&lt;&gt;"",O132&lt;SG_Criteria!$B$20),"FAIL: cover &lt; "&amp;SG_Criteria!$B$20&amp;" mm. ","")&amp;IF(AND(E132="Open",G132&gt;SG_Criteria!$B$18),"NOTE: safety railing required (D &gt; "&amp;SG_Criteria!$B$18&amp;" mm). ","")&amp;IF(AND(D132="Entrance culvert",G132&lt;600),"NOTE: check hinged grating rule for culverts &lt; 600 deep (PUB Add. 3). ","")))</f>
        <v/>
      </c>
      <c r="AP132" s="9"/>
      <c r="AQ132" s="9"/>
      <c r="AR132" s="9"/>
      <c r="AS132" s="9"/>
      <c r="AT132" s="9"/>
      <c r="AU132" s="31"/>
      <c r="AV132" s="10" t="str">
        <f aca="false">IF(C132="","",IF(AND(V132="Approved",ISERROR(SEARCH("FAIL",AO132))),"Y","N"))</f>
        <v/>
      </c>
      <c r="AW132" s="10" t="str">
        <f aca="false">IF(C132="","",C132&amp;"|"&amp;F132&amp;"|"&amp;G132&amp;"|"&amp;L132&amp;"|"&amp;AV132)</f>
        <v/>
      </c>
    </row>
    <row r="133" customFormat="false" ht="15" hidden="false" customHeight="false" outlineLevel="0" collapsed="false">
      <c r="A133" s="10" t="str">
        <f aca="false">IF(C133="","","DRN-"&amp;IFERROR(VLOOKUP(C133,Lists!$A$4:$B$27,2,0),"??")&amp;"-"&amp;TEXT(F133,"0000")&amp;"x"&amp;TEXT(G133,"0000")&amp;IF(N(H133)&gt;1,"-"&amp;H133&amp;"C","")&amp;"-"&amp;IFERROR(VLOOKUP(L133,Lists!$J$4:$K$19,2,0),"??")&amp;"-"&amp;U133)</f>
        <v/>
      </c>
      <c r="B133" s="10" t="str">
        <f aca="false">IF(C133="","",C133&amp;" "&amp;F133&amp;"W x "&amp;G133&amp;"D"&amp;IF(N(H133)&gt;1," ("&amp;H133&amp;" cells)","")&amp;", "&amp;D133&amp;", "&amp;L133&amp;", "&amp;E133)</f>
        <v/>
      </c>
      <c r="C133" s="9"/>
      <c r="D133" s="9"/>
      <c r="E133" s="9"/>
      <c r="F133" s="40"/>
      <c r="G133" s="40"/>
      <c r="H133" s="40"/>
      <c r="I133" s="40"/>
      <c r="J133" s="40"/>
      <c r="K133" s="40"/>
      <c r="L133" s="9"/>
      <c r="M133" s="9"/>
      <c r="N133" s="9"/>
      <c r="O133" s="40"/>
      <c r="P133" s="9"/>
      <c r="Q133" s="9"/>
      <c r="R133" s="9"/>
      <c r="S133" s="9"/>
      <c r="T133" s="9"/>
      <c r="U133" s="9"/>
      <c r="V133" s="9"/>
      <c r="W133" s="9"/>
      <c r="X133" s="9"/>
      <c r="Y133" s="9"/>
      <c r="Z133" s="10" t="str">
        <f aca="false">IF(A133="","",SG_Criteria!$B$6&amp;SG_Criteria!$B$7&amp;"\"&amp;A133&amp;"\")</f>
        <v/>
      </c>
      <c r="AA133" s="10" t="str">
        <f aca="false">IF(A133="","",A133&amp;"_CAD.dwg")</f>
        <v/>
      </c>
      <c r="AB133" s="10" t="str">
        <f aca="false">IF(A133="","",A133&amp;"_DWG.pdf")</f>
        <v/>
      </c>
      <c r="AC133" s="10" t="str">
        <f aca="false">IF(A133="","",IF(Y133="Y",A133&amp;"_STAAD.std","n/a"))</f>
        <v/>
      </c>
      <c r="AD133" s="10" t="str">
        <f aca="false">IF(A133="","",A133&amp;"_CALC.xlsx")</f>
        <v/>
      </c>
      <c r="AE133" s="10" t="str">
        <f aca="false">IF(A133="","",A133&amp;"_CALC.pdf")</f>
        <v/>
      </c>
      <c r="AF133" s="9"/>
      <c r="AG133" s="9"/>
      <c r="AH133" s="41"/>
      <c r="AI133" s="41"/>
      <c r="AJ133" s="41"/>
      <c r="AK133" s="41"/>
      <c r="AL133" s="41"/>
      <c r="AM133" s="37" t="str">
        <f aca="false">IF(OR(C133="",F133="",G133="",C133="Sump",C133="Drop Inlet Chamber",C133="Silt Trap",C133="Pipe Culvert",C133="Subsoil Drain"),"",ROUND(MAX(1,N(H133))*(1/SG_Criteria!$B$26)*((F133/1000)*(G133/1000*(1-SG_Criteria!$B$25)))*(((F133/1000)*(G133/1000*(1-SG_Criteria!$B$25)))/((F133/1000)+2*(G133/1000*(1-SG_Criteria!$B$25))))^(2/3)*(1/Design_Selector!$B$11)^0.5,3))</f>
        <v/>
      </c>
      <c r="AN133" s="11" t="str">
        <f aca="false">IF(AM133="","",ROUND(AM133/(MAX(1,N(H133))*F133/1000*(G133/1000*(1-SG_Criteria!$B$25))),2))</f>
        <v/>
      </c>
      <c r="AO133" s="38" t="str">
        <f aca="false">IF(C133="","",IF(LEN(IF(AND(OR(D133="Roadside drain",D133="Entrance culvert"),OR(F133&lt;SG_Criteria!$B$15,G133&lt;SG_Criteria!$B$16)),"FAIL: below PUB min "&amp;SG_Criteria!$B$15&amp;"x"&amp;SG_Criteria!$B$16&amp;" for roadside drain. ","")&amp;IF(AND(D133="Common drain",F133&lt;SG_Criteria!$B$17),"FAIL: common drain W &lt; "&amp;SG_Criteria!$B$17&amp;" mm. ","")&amp;IF(AND(N133&lt;&gt;"",IFERROR(VALUE(MID(N133,2,2)),0)&lt;SG_Criteria!$B$19),"FAIL: grade below C"&amp;SG_Criteria!$B$19&amp;". ","")&amp;IF(AND(O133&lt;&gt;"",O133&lt;SG_Criteria!$B$20),"FAIL: cover &lt; "&amp;SG_Criteria!$B$20&amp;" mm. ","")&amp;IF(AND(E133="Open",G133&gt;SG_Criteria!$B$18),"NOTE: safety railing required (D &gt; "&amp;SG_Criteria!$B$18&amp;" mm). ","")&amp;IF(AND(D133="Entrance culvert",G133&lt;600),"NOTE: check hinged grating rule for culverts &lt; 600 deep (PUB Add. 3). ",""))=0,"OK",IF(AND(OR(D133="Roadside drain",D133="Entrance culvert"),OR(F133&lt;SG_Criteria!$B$15,G133&lt;SG_Criteria!$B$16)),"FAIL: below PUB min "&amp;SG_Criteria!$B$15&amp;"x"&amp;SG_Criteria!$B$16&amp;" for roadside drain. ","")&amp;IF(AND(D133="Common drain",F133&lt;SG_Criteria!$B$17),"FAIL: common drain W &lt; "&amp;SG_Criteria!$B$17&amp;" mm. ","")&amp;IF(AND(N133&lt;&gt;"",IFERROR(VALUE(MID(N133,2,2)),0)&lt;SG_Criteria!$B$19),"FAIL: grade below C"&amp;SG_Criteria!$B$19&amp;". ","")&amp;IF(AND(O133&lt;&gt;"",O133&lt;SG_Criteria!$B$20),"FAIL: cover &lt; "&amp;SG_Criteria!$B$20&amp;" mm. ","")&amp;IF(AND(E133="Open",G133&gt;SG_Criteria!$B$18),"NOTE: safety railing required (D &gt; "&amp;SG_Criteria!$B$18&amp;" mm). ","")&amp;IF(AND(D133="Entrance culvert",G133&lt;600),"NOTE: check hinged grating rule for culverts &lt; 600 deep (PUB Add. 3). ","")))</f>
        <v/>
      </c>
      <c r="AP133" s="9"/>
      <c r="AQ133" s="9"/>
      <c r="AR133" s="9"/>
      <c r="AS133" s="9"/>
      <c r="AT133" s="9"/>
      <c r="AU133" s="31"/>
      <c r="AV133" s="10" t="str">
        <f aca="false">IF(C133="","",IF(AND(V133="Approved",ISERROR(SEARCH("FAIL",AO133))),"Y","N"))</f>
        <v/>
      </c>
      <c r="AW133" s="10" t="str">
        <f aca="false">IF(C133="","",C133&amp;"|"&amp;F133&amp;"|"&amp;G133&amp;"|"&amp;L133&amp;"|"&amp;AV133)</f>
        <v/>
      </c>
    </row>
    <row r="134" customFormat="false" ht="15" hidden="false" customHeight="false" outlineLevel="0" collapsed="false">
      <c r="A134" s="10" t="str">
        <f aca="false">IF(C134="","","DRN-"&amp;IFERROR(VLOOKUP(C134,Lists!$A$4:$B$27,2,0),"??")&amp;"-"&amp;TEXT(F134,"0000")&amp;"x"&amp;TEXT(G134,"0000")&amp;IF(N(H134)&gt;1,"-"&amp;H134&amp;"C","")&amp;"-"&amp;IFERROR(VLOOKUP(L134,Lists!$J$4:$K$19,2,0),"??")&amp;"-"&amp;U134)</f>
        <v/>
      </c>
      <c r="B134" s="10" t="str">
        <f aca="false">IF(C134="","",C134&amp;" "&amp;F134&amp;"W x "&amp;G134&amp;"D"&amp;IF(N(H134)&gt;1," ("&amp;H134&amp;" cells)","")&amp;", "&amp;D134&amp;", "&amp;L134&amp;", "&amp;E134)</f>
        <v/>
      </c>
      <c r="C134" s="9"/>
      <c r="D134" s="9"/>
      <c r="E134" s="9"/>
      <c r="F134" s="40"/>
      <c r="G134" s="40"/>
      <c r="H134" s="40"/>
      <c r="I134" s="40"/>
      <c r="J134" s="40"/>
      <c r="K134" s="40"/>
      <c r="L134" s="9"/>
      <c r="M134" s="9"/>
      <c r="N134" s="9"/>
      <c r="O134" s="40"/>
      <c r="P134" s="9"/>
      <c r="Q134" s="9"/>
      <c r="R134" s="9"/>
      <c r="S134" s="9"/>
      <c r="T134" s="9"/>
      <c r="U134" s="9"/>
      <c r="V134" s="9"/>
      <c r="W134" s="9"/>
      <c r="X134" s="9"/>
      <c r="Y134" s="9"/>
      <c r="Z134" s="10" t="str">
        <f aca="false">IF(A134="","",SG_Criteria!$B$6&amp;SG_Criteria!$B$7&amp;"\"&amp;A134&amp;"\")</f>
        <v/>
      </c>
      <c r="AA134" s="10" t="str">
        <f aca="false">IF(A134="","",A134&amp;"_CAD.dwg")</f>
        <v/>
      </c>
      <c r="AB134" s="10" t="str">
        <f aca="false">IF(A134="","",A134&amp;"_DWG.pdf")</f>
        <v/>
      </c>
      <c r="AC134" s="10" t="str">
        <f aca="false">IF(A134="","",IF(Y134="Y",A134&amp;"_STAAD.std","n/a"))</f>
        <v/>
      </c>
      <c r="AD134" s="10" t="str">
        <f aca="false">IF(A134="","",A134&amp;"_CALC.xlsx")</f>
        <v/>
      </c>
      <c r="AE134" s="10" t="str">
        <f aca="false">IF(A134="","",A134&amp;"_CALC.pdf")</f>
        <v/>
      </c>
      <c r="AF134" s="9"/>
      <c r="AG134" s="9"/>
      <c r="AH134" s="41"/>
      <c r="AI134" s="41"/>
      <c r="AJ134" s="41"/>
      <c r="AK134" s="41"/>
      <c r="AL134" s="41"/>
      <c r="AM134" s="37" t="str">
        <f aca="false">IF(OR(C134="",F134="",G134="",C134="Sump",C134="Drop Inlet Chamber",C134="Silt Trap",C134="Pipe Culvert",C134="Subsoil Drain"),"",ROUND(MAX(1,N(H134))*(1/SG_Criteria!$B$26)*((F134/1000)*(G134/1000*(1-SG_Criteria!$B$25)))*(((F134/1000)*(G134/1000*(1-SG_Criteria!$B$25)))/((F134/1000)+2*(G134/1000*(1-SG_Criteria!$B$25))))^(2/3)*(1/Design_Selector!$B$11)^0.5,3))</f>
        <v/>
      </c>
      <c r="AN134" s="11" t="str">
        <f aca="false">IF(AM134="","",ROUND(AM134/(MAX(1,N(H134))*F134/1000*(G134/1000*(1-SG_Criteria!$B$25))),2))</f>
        <v/>
      </c>
      <c r="AO134" s="38" t="str">
        <f aca="false">IF(C134="","",IF(LEN(IF(AND(OR(D134="Roadside drain",D134="Entrance culvert"),OR(F134&lt;SG_Criteria!$B$15,G134&lt;SG_Criteria!$B$16)),"FAIL: below PUB min "&amp;SG_Criteria!$B$15&amp;"x"&amp;SG_Criteria!$B$16&amp;" for roadside drain. ","")&amp;IF(AND(D134="Common drain",F134&lt;SG_Criteria!$B$17),"FAIL: common drain W &lt; "&amp;SG_Criteria!$B$17&amp;" mm. ","")&amp;IF(AND(N134&lt;&gt;"",IFERROR(VALUE(MID(N134,2,2)),0)&lt;SG_Criteria!$B$19),"FAIL: grade below C"&amp;SG_Criteria!$B$19&amp;". ","")&amp;IF(AND(O134&lt;&gt;"",O134&lt;SG_Criteria!$B$20),"FAIL: cover &lt; "&amp;SG_Criteria!$B$20&amp;" mm. ","")&amp;IF(AND(E134="Open",G134&gt;SG_Criteria!$B$18),"NOTE: safety railing required (D &gt; "&amp;SG_Criteria!$B$18&amp;" mm). ","")&amp;IF(AND(D134="Entrance culvert",G134&lt;600),"NOTE: check hinged grating rule for culverts &lt; 600 deep (PUB Add. 3). ",""))=0,"OK",IF(AND(OR(D134="Roadside drain",D134="Entrance culvert"),OR(F134&lt;SG_Criteria!$B$15,G134&lt;SG_Criteria!$B$16)),"FAIL: below PUB min "&amp;SG_Criteria!$B$15&amp;"x"&amp;SG_Criteria!$B$16&amp;" for roadside drain. ","")&amp;IF(AND(D134="Common drain",F134&lt;SG_Criteria!$B$17),"FAIL: common drain W &lt; "&amp;SG_Criteria!$B$17&amp;" mm. ","")&amp;IF(AND(N134&lt;&gt;"",IFERROR(VALUE(MID(N134,2,2)),0)&lt;SG_Criteria!$B$19),"FAIL: grade below C"&amp;SG_Criteria!$B$19&amp;". ","")&amp;IF(AND(O134&lt;&gt;"",O134&lt;SG_Criteria!$B$20),"FAIL: cover &lt; "&amp;SG_Criteria!$B$20&amp;" mm. ","")&amp;IF(AND(E134="Open",G134&gt;SG_Criteria!$B$18),"NOTE: safety railing required (D &gt; "&amp;SG_Criteria!$B$18&amp;" mm). ","")&amp;IF(AND(D134="Entrance culvert",G134&lt;600),"NOTE: check hinged grating rule for culverts &lt; 600 deep (PUB Add. 3). ","")))</f>
        <v/>
      </c>
      <c r="AP134" s="9"/>
      <c r="AQ134" s="9"/>
      <c r="AR134" s="9"/>
      <c r="AS134" s="9"/>
      <c r="AT134" s="9"/>
      <c r="AU134" s="31"/>
      <c r="AV134" s="10" t="str">
        <f aca="false">IF(C134="","",IF(AND(V134="Approved",ISERROR(SEARCH("FAIL",AO134))),"Y","N"))</f>
        <v/>
      </c>
      <c r="AW134" s="10" t="str">
        <f aca="false">IF(C134="","",C134&amp;"|"&amp;F134&amp;"|"&amp;G134&amp;"|"&amp;L134&amp;"|"&amp;AV134)</f>
        <v/>
      </c>
    </row>
    <row r="135" customFormat="false" ht="15" hidden="false" customHeight="false" outlineLevel="0" collapsed="false">
      <c r="A135" s="10" t="str">
        <f aca="false">IF(C135="","","DRN-"&amp;IFERROR(VLOOKUP(C135,Lists!$A$4:$B$27,2,0),"??")&amp;"-"&amp;TEXT(F135,"0000")&amp;"x"&amp;TEXT(G135,"0000")&amp;IF(N(H135)&gt;1,"-"&amp;H135&amp;"C","")&amp;"-"&amp;IFERROR(VLOOKUP(L135,Lists!$J$4:$K$19,2,0),"??")&amp;"-"&amp;U135)</f>
        <v/>
      </c>
      <c r="B135" s="10" t="str">
        <f aca="false">IF(C135="","",C135&amp;" "&amp;F135&amp;"W x "&amp;G135&amp;"D"&amp;IF(N(H135)&gt;1," ("&amp;H135&amp;" cells)","")&amp;", "&amp;D135&amp;", "&amp;L135&amp;", "&amp;E135)</f>
        <v/>
      </c>
      <c r="C135" s="9"/>
      <c r="D135" s="9"/>
      <c r="E135" s="9"/>
      <c r="F135" s="40"/>
      <c r="G135" s="40"/>
      <c r="H135" s="40"/>
      <c r="I135" s="40"/>
      <c r="J135" s="40"/>
      <c r="K135" s="40"/>
      <c r="L135" s="9"/>
      <c r="M135" s="9"/>
      <c r="N135" s="9"/>
      <c r="O135" s="40"/>
      <c r="P135" s="9"/>
      <c r="Q135" s="9"/>
      <c r="R135" s="9"/>
      <c r="S135" s="9"/>
      <c r="T135" s="9"/>
      <c r="U135" s="9"/>
      <c r="V135" s="9"/>
      <c r="W135" s="9"/>
      <c r="X135" s="9"/>
      <c r="Y135" s="9"/>
      <c r="Z135" s="10" t="str">
        <f aca="false">IF(A135="","",SG_Criteria!$B$6&amp;SG_Criteria!$B$7&amp;"\"&amp;A135&amp;"\")</f>
        <v/>
      </c>
      <c r="AA135" s="10" t="str">
        <f aca="false">IF(A135="","",A135&amp;"_CAD.dwg")</f>
        <v/>
      </c>
      <c r="AB135" s="10" t="str">
        <f aca="false">IF(A135="","",A135&amp;"_DWG.pdf")</f>
        <v/>
      </c>
      <c r="AC135" s="10" t="str">
        <f aca="false">IF(A135="","",IF(Y135="Y",A135&amp;"_STAAD.std","n/a"))</f>
        <v/>
      </c>
      <c r="AD135" s="10" t="str">
        <f aca="false">IF(A135="","",A135&amp;"_CALC.xlsx")</f>
        <v/>
      </c>
      <c r="AE135" s="10" t="str">
        <f aca="false">IF(A135="","",A135&amp;"_CALC.pdf")</f>
        <v/>
      </c>
      <c r="AF135" s="9"/>
      <c r="AG135" s="9"/>
      <c r="AH135" s="41"/>
      <c r="AI135" s="41"/>
      <c r="AJ135" s="41"/>
      <c r="AK135" s="41"/>
      <c r="AL135" s="41"/>
      <c r="AM135" s="37" t="str">
        <f aca="false">IF(OR(C135="",F135="",G135="",C135="Sump",C135="Drop Inlet Chamber",C135="Silt Trap",C135="Pipe Culvert",C135="Subsoil Drain"),"",ROUND(MAX(1,N(H135))*(1/SG_Criteria!$B$26)*((F135/1000)*(G135/1000*(1-SG_Criteria!$B$25)))*(((F135/1000)*(G135/1000*(1-SG_Criteria!$B$25)))/((F135/1000)+2*(G135/1000*(1-SG_Criteria!$B$25))))^(2/3)*(1/Design_Selector!$B$11)^0.5,3))</f>
        <v/>
      </c>
      <c r="AN135" s="11" t="str">
        <f aca="false">IF(AM135="","",ROUND(AM135/(MAX(1,N(H135))*F135/1000*(G135/1000*(1-SG_Criteria!$B$25))),2))</f>
        <v/>
      </c>
      <c r="AO135" s="38" t="str">
        <f aca="false">IF(C135="","",IF(LEN(IF(AND(OR(D135="Roadside drain",D135="Entrance culvert"),OR(F135&lt;SG_Criteria!$B$15,G135&lt;SG_Criteria!$B$16)),"FAIL: below PUB min "&amp;SG_Criteria!$B$15&amp;"x"&amp;SG_Criteria!$B$16&amp;" for roadside drain. ","")&amp;IF(AND(D135="Common drain",F135&lt;SG_Criteria!$B$17),"FAIL: common drain W &lt; "&amp;SG_Criteria!$B$17&amp;" mm. ","")&amp;IF(AND(N135&lt;&gt;"",IFERROR(VALUE(MID(N135,2,2)),0)&lt;SG_Criteria!$B$19),"FAIL: grade below C"&amp;SG_Criteria!$B$19&amp;". ","")&amp;IF(AND(O135&lt;&gt;"",O135&lt;SG_Criteria!$B$20),"FAIL: cover &lt; "&amp;SG_Criteria!$B$20&amp;" mm. ","")&amp;IF(AND(E135="Open",G135&gt;SG_Criteria!$B$18),"NOTE: safety railing required (D &gt; "&amp;SG_Criteria!$B$18&amp;" mm). ","")&amp;IF(AND(D135="Entrance culvert",G135&lt;600),"NOTE: check hinged grating rule for culverts &lt; 600 deep (PUB Add. 3). ",""))=0,"OK",IF(AND(OR(D135="Roadside drain",D135="Entrance culvert"),OR(F135&lt;SG_Criteria!$B$15,G135&lt;SG_Criteria!$B$16)),"FAIL: below PUB min "&amp;SG_Criteria!$B$15&amp;"x"&amp;SG_Criteria!$B$16&amp;" for roadside drain. ","")&amp;IF(AND(D135="Common drain",F135&lt;SG_Criteria!$B$17),"FAIL: common drain W &lt; "&amp;SG_Criteria!$B$17&amp;" mm. ","")&amp;IF(AND(N135&lt;&gt;"",IFERROR(VALUE(MID(N135,2,2)),0)&lt;SG_Criteria!$B$19),"FAIL: grade below C"&amp;SG_Criteria!$B$19&amp;". ","")&amp;IF(AND(O135&lt;&gt;"",O135&lt;SG_Criteria!$B$20),"FAIL: cover &lt; "&amp;SG_Criteria!$B$20&amp;" mm. ","")&amp;IF(AND(E135="Open",G135&gt;SG_Criteria!$B$18),"NOTE: safety railing required (D &gt; "&amp;SG_Criteria!$B$18&amp;" mm). ","")&amp;IF(AND(D135="Entrance culvert",G135&lt;600),"NOTE: check hinged grating rule for culverts &lt; 600 deep (PUB Add. 3). ","")))</f>
        <v/>
      </c>
      <c r="AP135" s="9"/>
      <c r="AQ135" s="9"/>
      <c r="AR135" s="9"/>
      <c r="AS135" s="9"/>
      <c r="AT135" s="9"/>
      <c r="AU135" s="31"/>
      <c r="AV135" s="10" t="str">
        <f aca="false">IF(C135="","",IF(AND(V135="Approved",ISERROR(SEARCH("FAIL",AO135))),"Y","N"))</f>
        <v/>
      </c>
      <c r="AW135" s="10" t="str">
        <f aca="false">IF(C135="","",C135&amp;"|"&amp;F135&amp;"|"&amp;G135&amp;"|"&amp;L135&amp;"|"&amp;AV135)</f>
        <v/>
      </c>
    </row>
    <row r="136" customFormat="false" ht="15" hidden="false" customHeight="false" outlineLevel="0" collapsed="false">
      <c r="A136" s="10" t="str">
        <f aca="false">IF(C136="","","DRN-"&amp;IFERROR(VLOOKUP(C136,Lists!$A$4:$B$27,2,0),"??")&amp;"-"&amp;TEXT(F136,"0000")&amp;"x"&amp;TEXT(G136,"0000")&amp;IF(N(H136)&gt;1,"-"&amp;H136&amp;"C","")&amp;"-"&amp;IFERROR(VLOOKUP(L136,Lists!$J$4:$K$19,2,0),"??")&amp;"-"&amp;U136)</f>
        <v/>
      </c>
      <c r="B136" s="10" t="str">
        <f aca="false">IF(C136="","",C136&amp;" "&amp;F136&amp;"W x "&amp;G136&amp;"D"&amp;IF(N(H136)&gt;1," ("&amp;H136&amp;" cells)","")&amp;", "&amp;D136&amp;", "&amp;L136&amp;", "&amp;E136)</f>
        <v/>
      </c>
      <c r="C136" s="9"/>
      <c r="D136" s="9"/>
      <c r="E136" s="9"/>
      <c r="F136" s="40"/>
      <c r="G136" s="40"/>
      <c r="H136" s="40"/>
      <c r="I136" s="40"/>
      <c r="J136" s="40"/>
      <c r="K136" s="40"/>
      <c r="L136" s="9"/>
      <c r="M136" s="9"/>
      <c r="N136" s="9"/>
      <c r="O136" s="40"/>
      <c r="P136" s="9"/>
      <c r="Q136" s="9"/>
      <c r="R136" s="9"/>
      <c r="S136" s="9"/>
      <c r="T136" s="9"/>
      <c r="U136" s="9"/>
      <c r="V136" s="9"/>
      <c r="W136" s="9"/>
      <c r="X136" s="9"/>
      <c r="Y136" s="9"/>
      <c r="Z136" s="10" t="str">
        <f aca="false">IF(A136="","",SG_Criteria!$B$6&amp;SG_Criteria!$B$7&amp;"\"&amp;A136&amp;"\")</f>
        <v/>
      </c>
      <c r="AA136" s="10" t="str">
        <f aca="false">IF(A136="","",A136&amp;"_CAD.dwg")</f>
        <v/>
      </c>
      <c r="AB136" s="10" t="str">
        <f aca="false">IF(A136="","",A136&amp;"_DWG.pdf")</f>
        <v/>
      </c>
      <c r="AC136" s="10" t="str">
        <f aca="false">IF(A136="","",IF(Y136="Y",A136&amp;"_STAAD.std","n/a"))</f>
        <v/>
      </c>
      <c r="AD136" s="10" t="str">
        <f aca="false">IF(A136="","",A136&amp;"_CALC.xlsx")</f>
        <v/>
      </c>
      <c r="AE136" s="10" t="str">
        <f aca="false">IF(A136="","",A136&amp;"_CALC.pdf")</f>
        <v/>
      </c>
      <c r="AF136" s="9"/>
      <c r="AG136" s="9"/>
      <c r="AH136" s="41"/>
      <c r="AI136" s="41"/>
      <c r="AJ136" s="41"/>
      <c r="AK136" s="41"/>
      <c r="AL136" s="41"/>
      <c r="AM136" s="37" t="str">
        <f aca="false">IF(OR(C136="",F136="",G136="",C136="Sump",C136="Drop Inlet Chamber",C136="Silt Trap",C136="Pipe Culvert",C136="Subsoil Drain"),"",ROUND(MAX(1,N(H136))*(1/SG_Criteria!$B$26)*((F136/1000)*(G136/1000*(1-SG_Criteria!$B$25)))*(((F136/1000)*(G136/1000*(1-SG_Criteria!$B$25)))/((F136/1000)+2*(G136/1000*(1-SG_Criteria!$B$25))))^(2/3)*(1/Design_Selector!$B$11)^0.5,3))</f>
        <v/>
      </c>
      <c r="AN136" s="11" t="str">
        <f aca="false">IF(AM136="","",ROUND(AM136/(MAX(1,N(H136))*F136/1000*(G136/1000*(1-SG_Criteria!$B$25))),2))</f>
        <v/>
      </c>
      <c r="AO136" s="38" t="str">
        <f aca="false">IF(C136="","",IF(LEN(IF(AND(OR(D136="Roadside drain",D136="Entrance culvert"),OR(F136&lt;SG_Criteria!$B$15,G136&lt;SG_Criteria!$B$16)),"FAIL: below PUB min "&amp;SG_Criteria!$B$15&amp;"x"&amp;SG_Criteria!$B$16&amp;" for roadside drain. ","")&amp;IF(AND(D136="Common drain",F136&lt;SG_Criteria!$B$17),"FAIL: common drain W &lt; "&amp;SG_Criteria!$B$17&amp;" mm. ","")&amp;IF(AND(N136&lt;&gt;"",IFERROR(VALUE(MID(N136,2,2)),0)&lt;SG_Criteria!$B$19),"FAIL: grade below C"&amp;SG_Criteria!$B$19&amp;". ","")&amp;IF(AND(O136&lt;&gt;"",O136&lt;SG_Criteria!$B$20),"FAIL: cover &lt; "&amp;SG_Criteria!$B$20&amp;" mm. ","")&amp;IF(AND(E136="Open",G136&gt;SG_Criteria!$B$18),"NOTE: safety railing required (D &gt; "&amp;SG_Criteria!$B$18&amp;" mm). ","")&amp;IF(AND(D136="Entrance culvert",G136&lt;600),"NOTE: check hinged grating rule for culverts &lt; 600 deep (PUB Add. 3). ",""))=0,"OK",IF(AND(OR(D136="Roadside drain",D136="Entrance culvert"),OR(F136&lt;SG_Criteria!$B$15,G136&lt;SG_Criteria!$B$16)),"FAIL: below PUB min "&amp;SG_Criteria!$B$15&amp;"x"&amp;SG_Criteria!$B$16&amp;" for roadside drain. ","")&amp;IF(AND(D136="Common drain",F136&lt;SG_Criteria!$B$17),"FAIL: common drain W &lt; "&amp;SG_Criteria!$B$17&amp;" mm. ","")&amp;IF(AND(N136&lt;&gt;"",IFERROR(VALUE(MID(N136,2,2)),0)&lt;SG_Criteria!$B$19),"FAIL: grade below C"&amp;SG_Criteria!$B$19&amp;". ","")&amp;IF(AND(O136&lt;&gt;"",O136&lt;SG_Criteria!$B$20),"FAIL: cover &lt; "&amp;SG_Criteria!$B$20&amp;" mm. ","")&amp;IF(AND(E136="Open",G136&gt;SG_Criteria!$B$18),"NOTE: safety railing required (D &gt; "&amp;SG_Criteria!$B$18&amp;" mm). ","")&amp;IF(AND(D136="Entrance culvert",G136&lt;600),"NOTE: check hinged grating rule for culverts &lt; 600 deep (PUB Add. 3). ","")))</f>
        <v/>
      </c>
      <c r="AP136" s="9"/>
      <c r="AQ136" s="9"/>
      <c r="AR136" s="9"/>
      <c r="AS136" s="9"/>
      <c r="AT136" s="9"/>
      <c r="AU136" s="31"/>
      <c r="AV136" s="10" t="str">
        <f aca="false">IF(C136="","",IF(AND(V136="Approved",ISERROR(SEARCH("FAIL",AO136))),"Y","N"))</f>
        <v/>
      </c>
      <c r="AW136" s="10" t="str">
        <f aca="false">IF(C136="","",C136&amp;"|"&amp;F136&amp;"|"&amp;G136&amp;"|"&amp;L136&amp;"|"&amp;AV136)</f>
        <v/>
      </c>
    </row>
    <row r="137" customFormat="false" ht="15" hidden="false" customHeight="false" outlineLevel="0" collapsed="false">
      <c r="A137" s="10" t="str">
        <f aca="false">IF(C137="","","DRN-"&amp;IFERROR(VLOOKUP(C137,Lists!$A$4:$B$27,2,0),"??")&amp;"-"&amp;TEXT(F137,"0000")&amp;"x"&amp;TEXT(G137,"0000")&amp;IF(N(H137)&gt;1,"-"&amp;H137&amp;"C","")&amp;"-"&amp;IFERROR(VLOOKUP(L137,Lists!$J$4:$K$19,2,0),"??")&amp;"-"&amp;U137)</f>
        <v/>
      </c>
      <c r="B137" s="10" t="str">
        <f aca="false">IF(C137="","",C137&amp;" "&amp;F137&amp;"W x "&amp;G137&amp;"D"&amp;IF(N(H137)&gt;1," ("&amp;H137&amp;" cells)","")&amp;", "&amp;D137&amp;", "&amp;L137&amp;", "&amp;E137)</f>
        <v/>
      </c>
      <c r="C137" s="9"/>
      <c r="D137" s="9"/>
      <c r="E137" s="9"/>
      <c r="F137" s="40"/>
      <c r="G137" s="40"/>
      <c r="H137" s="40"/>
      <c r="I137" s="40"/>
      <c r="J137" s="40"/>
      <c r="K137" s="40"/>
      <c r="L137" s="9"/>
      <c r="M137" s="9"/>
      <c r="N137" s="9"/>
      <c r="O137" s="40"/>
      <c r="P137" s="9"/>
      <c r="Q137" s="9"/>
      <c r="R137" s="9"/>
      <c r="S137" s="9"/>
      <c r="T137" s="9"/>
      <c r="U137" s="9"/>
      <c r="V137" s="9"/>
      <c r="W137" s="9"/>
      <c r="X137" s="9"/>
      <c r="Y137" s="9"/>
      <c r="Z137" s="10" t="str">
        <f aca="false">IF(A137="","",SG_Criteria!$B$6&amp;SG_Criteria!$B$7&amp;"\"&amp;A137&amp;"\")</f>
        <v/>
      </c>
      <c r="AA137" s="10" t="str">
        <f aca="false">IF(A137="","",A137&amp;"_CAD.dwg")</f>
        <v/>
      </c>
      <c r="AB137" s="10" t="str">
        <f aca="false">IF(A137="","",A137&amp;"_DWG.pdf")</f>
        <v/>
      </c>
      <c r="AC137" s="10" t="str">
        <f aca="false">IF(A137="","",IF(Y137="Y",A137&amp;"_STAAD.std","n/a"))</f>
        <v/>
      </c>
      <c r="AD137" s="10" t="str">
        <f aca="false">IF(A137="","",A137&amp;"_CALC.xlsx")</f>
        <v/>
      </c>
      <c r="AE137" s="10" t="str">
        <f aca="false">IF(A137="","",A137&amp;"_CALC.pdf")</f>
        <v/>
      </c>
      <c r="AF137" s="9"/>
      <c r="AG137" s="9"/>
      <c r="AH137" s="41"/>
      <c r="AI137" s="41"/>
      <c r="AJ137" s="41"/>
      <c r="AK137" s="41"/>
      <c r="AL137" s="41"/>
      <c r="AM137" s="37" t="str">
        <f aca="false">IF(OR(C137="",F137="",G137="",C137="Sump",C137="Drop Inlet Chamber",C137="Silt Trap",C137="Pipe Culvert",C137="Subsoil Drain"),"",ROUND(MAX(1,N(H137))*(1/SG_Criteria!$B$26)*((F137/1000)*(G137/1000*(1-SG_Criteria!$B$25)))*(((F137/1000)*(G137/1000*(1-SG_Criteria!$B$25)))/((F137/1000)+2*(G137/1000*(1-SG_Criteria!$B$25))))^(2/3)*(1/Design_Selector!$B$11)^0.5,3))</f>
        <v/>
      </c>
      <c r="AN137" s="11" t="str">
        <f aca="false">IF(AM137="","",ROUND(AM137/(MAX(1,N(H137))*F137/1000*(G137/1000*(1-SG_Criteria!$B$25))),2))</f>
        <v/>
      </c>
      <c r="AO137" s="38" t="str">
        <f aca="false">IF(C137="","",IF(LEN(IF(AND(OR(D137="Roadside drain",D137="Entrance culvert"),OR(F137&lt;SG_Criteria!$B$15,G137&lt;SG_Criteria!$B$16)),"FAIL: below PUB min "&amp;SG_Criteria!$B$15&amp;"x"&amp;SG_Criteria!$B$16&amp;" for roadside drain. ","")&amp;IF(AND(D137="Common drain",F137&lt;SG_Criteria!$B$17),"FAIL: common drain W &lt; "&amp;SG_Criteria!$B$17&amp;" mm. ","")&amp;IF(AND(N137&lt;&gt;"",IFERROR(VALUE(MID(N137,2,2)),0)&lt;SG_Criteria!$B$19),"FAIL: grade below C"&amp;SG_Criteria!$B$19&amp;". ","")&amp;IF(AND(O137&lt;&gt;"",O137&lt;SG_Criteria!$B$20),"FAIL: cover &lt; "&amp;SG_Criteria!$B$20&amp;" mm. ","")&amp;IF(AND(E137="Open",G137&gt;SG_Criteria!$B$18),"NOTE: safety railing required (D &gt; "&amp;SG_Criteria!$B$18&amp;" mm). ","")&amp;IF(AND(D137="Entrance culvert",G137&lt;600),"NOTE: check hinged grating rule for culverts &lt; 600 deep (PUB Add. 3). ",""))=0,"OK",IF(AND(OR(D137="Roadside drain",D137="Entrance culvert"),OR(F137&lt;SG_Criteria!$B$15,G137&lt;SG_Criteria!$B$16)),"FAIL: below PUB min "&amp;SG_Criteria!$B$15&amp;"x"&amp;SG_Criteria!$B$16&amp;" for roadside drain. ","")&amp;IF(AND(D137="Common drain",F137&lt;SG_Criteria!$B$17),"FAIL: common drain W &lt; "&amp;SG_Criteria!$B$17&amp;" mm. ","")&amp;IF(AND(N137&lt;&gt;"",IFERROR(VALUE(MID(N137,2,2)),0)&lt;SG_Criteria!$B$19),"FAIL: grade below C"&amp;SG_Criteria!$B$19&amp;". ","")&amp;IF(AND(O137&lt;&gt;"",O137&lt;SG_Criteria!$B$20),"FAIL: cover &lt; "&amp;SG_Criteria!$B$20&amp;" mm. ","")&amp;IF(AND(E137="Open",G137&gt;SG_Criteria!$B$18),"NOTE: safety railing required (D &gt; "&amp;SG_Criteria!$B$18&amp;" mm). ","")&amp;IF(AND(D137="Entrance culvert",G137&lt;600),"NOTE: check hinged grating rule for culverts &lt; 600 deep (PUB Add. 3). ","")))</f>
        <v/>
      </c>
      <c r="AP137" s="9"/>
      <c r="AQ137" s="9"/>
      <c r="AR137" s="9"/>
      <c r="AS137" s="9"/>
      <c r="AT137" s="9"/>
      <c r="AU137" s="31"/>
      <c r="AV137" s="10" t="str">
        <f aca="false">IF(C137="","",IF(AND(V137="Approved",ISERROR(SEARCH("FAIL",AO137))),"Y","N"))</f>
        <v/>
      </c>
      <c r="AW137" s="10" t="str">
        <f aca="false">IF(C137="","",C137&amp;"|"&amp;F137&amp;"|"&amp;G137&amp;"|"&amp;L137&amp;"|"&amp;AV137)</f>
        <v/>
      </c>
    </row>
    <row r="138" customFormat="false" ht="15" hidden="false" customHeight="false" outlineLevel="0" collapsed="false">
      <c r="A138" s="10" t="str">
        <f aca="false">IF(C138="","","DRN-"&amp;IFERROR(VLOOKUP(C138,Lists!$A$4:$B$27,2,0),"??")&amp;"-"&amp;TEXT(F138,"0000")&amp;"x"&amp;TEXT(G138,"0000")&amp;IF(N(H138)&gt;1,"-"&amp;H138&amp;"C","")&amp;"-"&amp;IFERROR(VLOOKUP(L138,Lists!$J$4:$K$19,2,0),"??")&amp;"-"&amp;U138)</f>
        <v/>
      </c>
      <c r="B138" s="10" t="str">
        <f aca="false">IF(C138="","",C138&amp;" "&amp;F138&amp;"W x "&amp;G138&amp;"D"&amp;IF(N(H138)&gt;1," ("&amp;H138&amp;" cells)","")&amp;", "&amp;D138&amp;", "&amp;L138&amp;", "&amp;E138)</f>
        <v/>
      </c>
      <c r="C138" s="9"/>
      <c r="D138" s="9"/>
      <c r="E138" s="9"/>
      <c r="F138" s="40"/>
      <c r="G138" s="40"/>
      <c r="H138" s="40"/>
      <c r="I138" s="40"/>
      <c r="J138" s="40"/>
      <c r="K138" s="40"/>
      <c r="L138" s="9"/>
      <c r="M138" s="9"/>
      <c r="N138" s="9"/>
      <c r="O138" s="40"/>
      <c r="P138" s="9"/>
      <c r="Q138" s="9"/>
      <c r="R138" s="9"/>
      <c r="S138" s="9"/>
      <c r="T138" s="9"/>
      <c r="U138" s="9"/>
      <c r="V138" s="9"/>
      <c r="W138" s="9"/>
      <c r="X138" s="9"/>
      <c r="Y138" s="9"/>
      <c r="Z138" s="10" t="str">
        <f aca="false">IF(A138="","",SG_Criteria!$B$6&amp;SG_Criteria!$B$7&amp;"\"&amp;A138&amp;"\")</f>
        <v/>
      </c>
      <c r="AA138" s="10" t="str">
        <f aca="false">IF(A138="","",A138&amp;"_CAD.dwg")</f>
        <v/>
      </c>
      <c r="AB138" s="10" t="str">
        <f aca="false">IF(A138="","",A138&amp;"_DWG.pdf")</f>
        <v/>
      </c>
      <c r="AC138" s="10" t="str">
        <f aca="false">IF(A138="","",IF(Y138="Y",A138&amp;"_STAAD.std","n/a"))</f>
        <v/>
      </c>
      <c r="AD138" s="10" t="str">
        <f aca="false">IF(A138="","",A138&amp;"_CALC.xlsx")</f>
        <v/>
      </c>
      <c r="AE138" s="10" t="str">
        <f aca="false">IF(A138="","",A138&amp;"_CALC.pdf")</f>
        <v/>
      </c>
      <c r="AF138" s="9"/>
      <c r="AG138" s="9"/>
      <c r="AH138" s="41"/>
      <c r="AI138" s="41"/>
      <c r="AJ138" s="41"/>
      <c r="AK138" s="41"/>
      <c r="AL138" s="41"/>
      <c r="AM138" s="37" t="str">
        <f aca="false">IF(OR(C138="",F138="",G138="",C138="Sump",C138="Drop Inlet Chamber",C138="Silt Trap",C138="Pipe Culvert",C138="Subsoil Drain"),"",ROUND(MAX(1,N(H138))*(1/SG_Criteria!$B$26)*((F138/1000)*(G138/1000*(1-SG_Criteria!$B$25)))*(((F138/1000)*(G138/1000*(1-SG_Criteria!$B$25)))/((F138/1000)+2*(G138/1000*(1-SG_Criteria!$B$25))))^(2/3)*(1/Design_Selector!$B$11)^0.5,3))</f>
        <v/>
      </c>
      <c r="AN138" s="11" t="str">
        <f aca="false">IF(AM138="","",ROUND(AM138/(MAX(1,N(H138))*F138/1000*(G138/1000*(1-SG_Criteria!$B$25))),2))</f>
        <v/>
      </c>
      <c r="AO138" s="38" t="str">
        <f aca="false">IF(C138="","",IF(LEN(IF(AND(OR(D138="Roadside drain",D138="Entrance culvert"),OR(F138&lt;SG_Criteria!$B$15,G138&lt;SG_Criteria!$B$16)),"FAIL: below PUB min "&amp;SG_Criteria!$B$15&amp;"x"&amp;SG_Criteria!$B$16&amp;" for roadside drain. ","")&amp;IF(AND(D138="Common drain",F138&lt;SG_Criteria!$B$17),"FAIL: common drain W &lt; "&amp;SG_Criteria!$B$17&amp;" mm. ","")&amp;IF(AND(N138&lt;&gt;"",IFERROR(VALUE(MID(N138,2,2)),0)&lt;SG_Criteria!$B$19),"FAIL: grade below C"&amp;SG_Criteria!$B$19&amp;". ","")&amp;IF(AND(O138&lt;&gt;"",O138&lt;SG_Criteria!$B$20),"FAIL: cover &lt; "&amp;SG_Criteria!$B$20&amp;" mm. ","")&amp;IF(AND(E138="Open",G138&gt;SG_Criteria!$B$18),"NOTE: safety railing required (D &gt; "&amp;SG_Criteria!$B$18&amp;" mm). ","")&amp;IF(AND(D138="Entrance culvert",G138&lt;600),"NOTE: check hinged grating rule for culverts &lt; 600 deep (PUB Add. 3). ",""))=0,"OK",IF(AND(OR(D138="Roadside drain",D138="Entrance culvert"),OR(F138&lt;SG_Criteria!$B$15,G138&lt;SG_Criteria!$B$16)),"FAIL: below PUB min "&amp;SG_Criteria!$B$15&amp;"x"&amp;SG_Criteria!$B$16&amp;" for roadside drain. ","")&amp;IF(AND(D138="Common drain",F138&lt;SG_Criteria!$B$17),"FAIL: common drain W &lt; "&amp;SG_Criteria!$B$17&amp;" mm. ","")&amp;IF(AND(N138&lt;&gt;"",IFERROR(VALUE(MID(N138,2,2)),0)&lt;SG_Criteria!$B$19),"FAIL: grade below C"&amp;SG_Criteria!$B$19&amp;". ","")&amp;IF(AND(O138&lt;&gt;"",O138&lt;SG_Criteria!$B$20),"FAIL: cover &lt; "&amp;SG_Criteria!$B$20&amp;" mm. ","")&amp;IF(AND(E138="Open",G138&gt;SG_Criteria!$B$18),"NOTE: safety railing required (D &gt; "&amp;SG_Criteria!$B$18&amp;" mm). ","")&amp;IF(AND(D138="Entrance culvert",G138&lt;600),"NOTE: check hinged grating rule for culverts &lt; 600 deep (PUB Add. 3). ","")))</f>
        <v/>
      </c>
      <c r="AP138" s="9"/>
      <c r="AQ138" s="9"/>
      <c r="AR138" s="9"/>
      <c r="AS138" s="9"/>
      <c r="AT138" s="9"/>
      <c r="AU138" s="31"/>
      <c r="AV138" s="10" t="str">
        <f aca="false">IF(C138="","",IF(AND(V138="Approved",ISERROR(SEARCH("FAIL",AO138))),"Y","N"))</f>
        <v/>
      </c>
      <c r="AW138" s="10" t="str">
        <f aca="false">IF(C138="","",C138&amp;"|"&amp;F138&amp;"|"&amp;G138&amp;"|"&amp;L138&amp;"|"&amp;AV138)</f>
        <v/>
      </c>
    </row>
    <row r="139" customFormat="false" ht="15" hidden="false" customHeight="false" outlineLevel="0" collapsed="false">
      <c r="A139" s="10" t="str">
        <f aca="false">IF(C139="","","DRN-"&amp;IFERROR(VLOOKUP(C139,Lists!$A$4:$B$27,2,0),"??")&amp;"-"&amp;TEXT(F139,"0000")&amp;"x"&amp;TEXT(G139,"0000")&amp;IF(N(H139)&gt;1,"-"&amp;H139&amp;"C","")&amp;"-"&amp;IFERROR(VLOOKUP(L139,Lists!$J$4:$K$19,2,0),"??")&amp;"-"&amp;U139)</f>
        <v/>
      </c>
      <c r="B139" s="10" t="str">
        <f aca="false">IF(C139="","",C139&amp;" "&amp;F139&amp;"W x "&amp;G139&amp;"D"&amp;IF(N(H139)&gt;1," ("&amp;H139&amp;" cells)","")&amp;", "&amp;D139&amp;", "&amp;L139&amp;", "&amp;E139)</f>
        <v/>
      </c>
      <c r="C139" s="9"/>
      <c r="D139" s="9"/>
      <c r="E139" s="9"/>
      <c r="F139" s="40"/>
      <c r="G139" s="40"/>
      <c r="H139" s="40"/>
      <c r="I139" s="40"/>
      <c r="J139" s="40"/>
      <c r="K139" s="40"/>
      <c r="L139" s="9"/>
      <c r="M139" s="9"/>
      <c r="N139" s="9"/>
      <c r="O139" s="40"/>
      <c r="P139" s="9"/>
      <c r="Q139" s="9"/>
      <c r="R139" s="9"/>
      <c r="S139" s="9"/>
      <c r="T139" s="9"/>
      <c r="U139" s="9"/>
      <c r="V139" s="9"/>
      <c r="W139" s="9"/>
      <c r="X139" s="9"/>
      <c r="Y139" s="9"/>
      <c r="Z139" s="10" t="str">
        <f aca="false">IF(A139="","",SG_Criteria!$B$6&amp;SG_Criteria!$B$7&amp;"\"&amp;A139&amp;"\")</f>
        <v/>
      </c>
      <c r="AA139" s="10" t="str">
        <f aca="false">IF(A139="","",A139&amp;"_CAD.dwg")</f>
        <v/>
      </c>
      <c r="AB139" s="10" t="str">
        <f aca="false">IF(A139="","",A139&amp;"_DWG.pdf")</f>
        <v/>
      </c>
      <c r="AC139" s="10" t="str">
        <f aca="false">IF(A139="","",IF(Y139="Y",A139&amp;"_STAAD.std","n/a"))</f>
        <v/>
      </c>
      <c r="AD139" s="10" t="str">
        <f aca="false">IF(A139="","",A139&amp;"_CALC.xlsx")</f>
        <v/>
      </c>
      <c r="AE139" s="10" t="str">
        <f aca="false">IF(A139="","",A139&amp;"_CALC.pdf")</f>
        <v/>
      </c>
      <c r="AF139" s="9"/>
      <c r="AG139" s="9"/>
      <c r="AH139" s="41"/>
      <c r="AI139" s="41"/>
      <c r="AJ139" s="41"/>
      <c r="AK139" s="41"/>
      <c r="AL139" s="41"/>
      <c r="AM139" s="37" t="str">
        <f aca="false">IF(OR(C139="",F139="",G139="",C139="Sump",C139="Drop Inlet Chamber",C139="Silt Trap",C139="Pipe Culvert",C139="Subsoil Drain"),"",ROUND(MAX(1,N(H139))*(1/SG_Criteria!$B$26)*((F139/1000)*(G139/1000*(1-SG_Criteria!$B$25)))*(((F139/1000)*(G139/1000*(1-SG_Criteria!$B$25)))/((F139/1000)+2*(G139/1000*(1-SG_Criteria!$B$25))))^(2/3)*(1/Design_Selector!$B$11)^0.5,3))</f>
        <v/>
      </c>
      <c r="AN139" s="11" t="str">
        <f aca="false">IF(AM139="","",ROUND(AM139/(MAX(1,N(H139))*F139/1000*(G139/1000*(1-SG_Criteria!$B$25))),2))</f>
        <v/>
      </c>
      <c r="AO139" s="38" t="str">
        <f aca="false">IF(C139="","",IF(LEN(IF(AND(OR(D139="Roadside drain",D139="Entrance culvert"),OR(F139&lt;SG_Criteria!$B$15,G139&lt;SG_Criteria!$B$16)),"FAIL: below PUB min "&amp;SG_Criteria!$B$15&amp;"x"&amp;SG_Criteria!$B$16&amp;" for roadside drain. ","")&amp;IF(AND(D139="Common drain",F139&lt;SG_Criteria!$B$17),"FAIL: common drain W &lt; "&amp;SG_Criteria!$B$17&amp;" mm. ","")&amp;IF(AND(N139&lt;&gt;"",IFERROR(VALUE(MID(N139,2,2)),0)&lt;SG_Criteria!$B$19),"FAIL: grade below C"&amp;SG_Criteria!$B$19&amp;". ","")&amp;IF(AND(O139&lt;&gt;"",O139&lt;SG_Criteria!$B$20),"FAIL: cover &lt; "&amp;SG_Criteria!$B$20&amp;" mm. ","")&amp;IF(AND(E139="Open",G139&gt;SG_Criteria!$B$18),"NOTE: safety railing required (D &gt; "&amp;SG_Criteria!$B$18&amp;" mm). ","")&amp;IF(AND(D139="Entrance culvert",G139&lt;600),"NOTE: check hinged grating rule for culverts &lt; 600 deep (PUB Add. 3). ",""))=0,"OK",IF(AND(OR(D139="Roadside drain",D139="Entrance culvert"),OR(F139&lt;SG_Criteria!$B$15,G139&lt;SG_Criteria!$B$16)),"FAIL: below PUB min "&amp;SG_Criteria!$B$15&amp;"x"&amp;SG_Criteria!$B$16&amp;" for roadside drain. ","")&amp;IF(AND(D139="Common drain",F139&lt;SG_Criteria!$B$17),"FAIL: common drain W &lt; "&amp;SG_Criteria!$B$17&amp;" mm. ","")&amp;IF(AND(N139&lt;&gt;"",IFERROR(VALUE(MID(N139,2,2)),0)&lt;SG_Criteria!$B$19),"FAIL: grade below C"&amp;SG_Criteria!$B$19&amp;". ","")&amp;IF(AND(O139&lt;&gt;"",O139&lt;SG_Criteria!$B$20),"FAIL: cover &lt; "&amp;SG_Criteria!$B$20&amp;" mm. ","")&amp;IF(AND(E139="Open",G139&gt;SG_Criteria!$B$18),"NOTE: safety railing required (D &gt; "&amp;SG_Criteria!$B$18&amp;" mm). ","")&amp;IF(AND(D139="Entrance culvert",G139&lt;600),"NOTE: check hinged grating rule for culverts &lt; 600 deep (PUB Add. 3). ","")))</f>
        <v/>
      </c>
      <c r="AP139" s="9"/>
      <c r="AQ139" s="9"/>
      <c r="AR139" s="9"/>
      <c r="AS139" s="9"/>
      <c r="AT139" s="9"/>
      <c r="AU139" s="31"/>
      <c r="AV139" s="10" t="str">
        <f aca="false">IF(C139="","",IF(AND(V139="Approved",ISERROR(SEARCH("FAIL",AO139))),"Y","N"))</f>
        <v/>
      </c>
      <c r="AW139" s="10" t="str">
        <f aca="false">IF(C139="","",C139&amp;"|"&amp;F139&amp;"|"&amp;G139&amp;"|"&amp;L139&amp;"|"&amp;AV139)</f>
        <v/>
      </c>
    </row>
    <row r="140" customFormat="false" ht="15" hidden="false" customHeight="false" outlineLevel="0" collapsed="false">
      <c r="A140" s="10" t="str">
        <f aca="false">IF(C140="","","DRN-"&amp;IFERROR(VLOOKUP(C140,Lists!$A$4:$B$27,2,0),"??")&amp;"-"&amp;TEXT(F140,"0000")&amp;"x"&amp;TEXT(G140,"0000")&amp;IF(N(H140)&gt;1,"-"&amp;H140&amp;"C","")&amp;"-"&amp;IFERROR(VLOOKUP(L140,Lists!$J$4:$K$19,2,0),"??")&amp;"-"&amp;U140)</f>
        <v/>
      </c>
      <c r="B140" s="10" t="str">
        <f aca="false">IF(C140="","",C140&amp;" "&amp;F140&amp;"W x "&amp;G140&amp;"D"&amp;IF(N(H140)&gt;1," ("&amp;H140&amp;" cells)","")&amp;", "&amp;D140&amp;", "&amp;L140&amp;", "&amp;E140)</f>
        <v/>
      </c>
      <c r="C140" s="9"/>
      <c r="D140" s="9"/>
      <c r="E140" s="9"/>
      <c r="F140" s="40"/>
      <c r="G140" s="40"/>
      <c r="H140" s="40"/>
      <c r="I140" s="40"/>
      <c r="J140" s="40"/>
      <c r="K140" s="40"/>
      <c r="L140" s="9"/>
      <c r="M140" s="9"/>
      <c r="N140" s="9"/>
      <c r="O140" s="40"/>
      <c r="P140" s="9"/>
      <c r="Q140" s="9"/>
      <c r="R140" s="9"/>
      <c r="S140" s="9"/>
      <c r="T140" s="9"/>
      <c r="U140" s="9"/>
      <c r="V140" s="9"/>
      <c r="W140" s="9"/>
      <c r="X140" s="9"/>
      <c r="Y140" s="9"/>
      <c r="Z140" s="10" t="str">
        <f aca="false">IF(A140="","",SG_Criteria!$B$6&amp;SG_Criteria!$B$7&amp;"\"&amp;A140&amp;"\")</f>
        <v/>
      </c>
      <c r="AA140" s="10" t="str">
        <f aca="false">IF(A140="","",A140&amp;"_CAD.dwg")</f>
        <v/>
      </c>
      <c r="AB140" s="10" t="str">
        <f aca="false">IF(A140="","",A140&amp;"_DWG.pdf")</f>
        <v/>
      </c>
      <c r="AC140" s="10" t="str">
        <f aca="false">IF(A140="","",IF(Y140="Y",A140&amp;"_STAAD.std","n/a"))</f>
        <v/>
      </c>
      <c r="AD140" s="10" t="str">
        <f aca="false">IF(A140="","",A140&amp;"_CALC.xlsx")</f>
        <v/>
      </c>
      <c r="AE140" s="10" t="str">
        <f aca="false">IF(A140="","",A140&amp;"_CALC.pdf")</f>
        <v/>
      </c>
      <c r="AF140" s="9"/>
      <c r="AG140" s="9"/>
      <c r="AH140" s="41"/>
      <c r="AI140" s="41"/>
      <c r="AJ140" s="41"/>
      <c r="AK140" s="41"/>
      <c r="AL140" s="41"/>
      <c r="AM140" s="37" t="str">
        <f aca="false">IF(OR(C140="",F140="",G140="",C140="Sump",C140="Drop Inlet Chamber",C140="Silt Trap",C140="Pipe Culvert",C140="Subsoil Drain"),"",ROUND(MAX(1,N(H140))*(1/SG_Criteria!$B$26)*((F140/1000)*(G140/1000*(1-SG_Criteria!$B$25)))*(((F140/1000)*(G140/1000*(1-SG_Criteria!$B$25)))/((F140/1000)+2*(G140/1000*(1-SG_Criteria!$B$25))))^(2/3)*(1/Design_Selector!$B$11)^0.5,3))</f>
        <v/>
      </c>
      <c r="AN140" s="11" t="str">
        <f aca="false">IF(AM140="","",ROUND(AM140/(MAX(1,N(H140))*F140/1000*(G140/1000*(1-SG_Criteria!$B$25))),2))</f>
        <v/>
      </c>
      <c r="AO140" s="38" t="str">
        <f aca="false">IF(C140="","",IF(LEN(IF(AND(OR(D140="Roadside drain",D140="Entrance culvert"),OR(F140&lt;SG_Criteria!$B$15,G140&lt;SG_Criteria!$B$16)),"FAIL: below PUB min "&amp;SG_Criteria!$B$15&amp;"x"&amp;SG_Criteria!$B$16&amp;" for roadside drain. ","")&amp;IF(AND(D140="Common drain",F140&lt;SG_Criteria!$B$17),"FAIL: common drain W &lt; "&amp;SG_Criteria!$B$17&amp;" mm. ","")&amp;IF(AND(N140&lt;&gt;"",IFERROR(VALUE(MID(N140,2,2)),0)&lt;SG_Criteria!$B$19),"FAIL: grade below C"&amp;SG_Criteria!$B$19&amp;". ","")&amp;IF(AND(O140&lt;&gt;"",O140&lt;SG_Criteria!$B$20),"FAIL: cover &lt; "&amp;SG_Criteria!$B$20&amp;" mm. ","")&amp;IF(AND(E140="Open",G140&gt;SG_Criteria!$B$18),"NOTE: safety railing required (D &gt; "&amp;SG_Criteria!$B$18&amp;" mm). ","")&amp;IF(AND(D140="Entrance culvert",G140&lt;600),"NOTE: check hinged grating rule for culverts &lt; 600 deep (PUB Add. 3). ",""))=0,"OK",IF(AND(OR(D140="Roadside drain",D140="Entrance culvert"),OR(F140&lt;SG_Criteria!$B$15,G140&lt;SG_Criteria!$B$16)),"FAIL: below PUB min "&amp;SG_Criteria!$B$15&amp;"x"&amp;SG_Criteria!$B$16&amp;" for roadside drain. ","")&amp;IF(AND(D140="Common drain",F140&lt;SG_Criteria!$B$17),"FAIL: common drain W &lt; "&amp;SG_Criteria!$B$17&amp;" mm. ","")&amp;IF(AND(N140&lt;&gt;"",IFERROR(VALUE(MID(N140,2,2)),0)&lt;SG_Criteria!$B$19),"FAIL: grade below C"&amp;SG_Criteria!$B$19&amp;". ","")&amp;IF(AND(O140&lt;&gt;"",O140&lt;SG_Criteria!$B$20),"FAIL: cover &lt; "&amp;SG_Criteria!$B$20&amp;" mm. ","")&amp;IF(AND(E140="Open",G140&gt;SG_Criteria!$B$18),"NOTE: safety railing required (D &gt; "&amp;SG_Criteria!$B$18&amp;" mm). ","")&amp;IF(AND(D140="Entrance culvert",G140&lt;600),"NOTE: check hinged grating rule for culverts &lt; 600 deep (PUB Add. 3). ","")))</f>
        <v/>
      </c>
      <c r="AP140" s="9"/>
      <c r="AQ140" s="9"/>
      <c r="AR140" s="9"/>
      <c r="AS140" s="9"/>
      <c r="AT140" s="9"/>
      <c r="AU140" s="31"/>
      <c r="AV140" s="10" t="str">
        <f aca="false">IF(C140="","",IF(AND(V140="Approved",ISERROR(SEARCH("FAIL",AO140))),"Y","N"))</f>
        <v/>
      </c>
      <c r="AW140" s="10" t="str">
        <f aca="false">IF(C140="","",C140&amp;"|"&amp;F140&amp;"|"&amp;G140&amp;"|"&amp;L140&amp;"|"&amp;AV140)</f>
        <v/>
      </c>
    </row>
    <row r="141" customFormat="false" ht="15" hidden="false" customHeight="false" outlineLevel="0" collapsed="false">
      <c r="A141" s="10" t="str">
        <f aca="false">IF(C141="","","DRN-"&amp;IFERROR(VLOOKUP(C141,Lists!$A$4:$B$27,2,0),"??")&amp;"-"&amp;TEXT(F141,"0000")&amp;"x"&amp;TEXT(G141,"0000")&amp;IF(N(H141)&gt;1,"-"&amp;H141&amp;"C","")&amp;"-"&amp;IFERROR(VLOOKUP(L141,Lists!$J$4:$K$19,2,0),"??")&amp;"-"&amp;U141)</f>
        <v/>
      </c>
      <c r="B141" s="10" t="str">
        <f aca="false">IF(C141="","",C141&amp;" "&amp;F141&amp;"W x "&amp;G141&amp;"D"&amp;IF(N(H141)&gt;1," ("&amp;H141&amp;" cells)","")&amp;", "&amp;D141&amp;", "&amp;L141&amp;", "&amp;E141)</f>
        <v/>
      </c>
      <c r="C141" s="9"/>
      <c r="D141" s="9"/>
      <c r="E141" s="9"/>
      <c r="F141" s="40"/>
      <c r="G141" s="40"/>
      <c r="H141" s="40"/>
      <c r="I141" s="40"/>
      <c r="J141" s="40"/>
      <c r="K141" s="40"/>
      <c r="L141" s="9"/>
      <c r="M141" s="9"/>
      <c r="N141" s="9"/>
      <c r="O141" s="40"/>
      <c r="P141" s="9"/>
      <c r="Q141" s="9"/>
      <c r="R141" s="9"/>
      <c r="S141" s="9"/>
      <c r="T141" s="9"/>
      <c r="U141" s="9"/>
      <c r="V141" s="9"/>
      <c r="W141" s="9"/>
      <c r="X141" s="9"/>
      <c r="Y141" s="9"/>
      <c r="Z141" s="10" t="str">
        <f aca="false">IF(A141="","",SG_Criteria!$B$6&amp;SG_Criteria!$B$7&amp;"\"&amp;A141&amp;"\")</f>
        <v/>
      </c>
      <c r="AA141" s="10" t="str">
        <f aca="false">IF(A141="","",A141&amp;"_CAD.dwg")</f>
        <v/>
      </c>
      <c r="AB141" s="10" t="str">
        <f aca="false">IF(A141="","",A141&amp;"_DWG.pdf")</f>
        <v/>
      </c>
      <c r="AC141" s="10" t="str">
        <f aca="false">IF(A141="","",IF(Y141="Y",A141&amp;"_STAAD.std","n/a"))</f>
        <v/>
      </c>
      <c r="AD141" s="10" t="str">
        <f aca="false">IF(A141="","",A141&amp;"_CALC.xlsx")</f>
        <v/>
      </c>
      <c r="AE141" s="10" t="str">
        <f aca="false">IF(A141="","",A141&amp;"_CALC.pdf")</f>
        <v/>
      </c>
      <c r="AF141" s="9"/>
      <c r="AG141" s="9"/>
      <c r="AH141" s="41"/>
      <c r="AI141" s="41"/>
      <c r="AJ141" s="41"/>
      <c r="AK141" s="41"/>
      <c r="AL141" s="41"/>
      <c r="AM141" s="37" t="str">
        <f aca="false">IF(OR(C141="",F141="",G141="",C141="Sump",C141="Drop Inlet Chamber",C141="Silt Trap",C141="Pipe Culvert",C141="Subsoil Drain"),"",ROUND(MAX(1,N(H141))*(1/SG_Criteria!$B$26)*((F141/1000)*(G141/1000*(1-SG_Criteria!$B$25)))*(((F141/1000)*(G141/1000*(1-SG_Criteria!$B$25)))/((F141/1000)+2*(G141/1000*(1-SG_Criteria!$B$25))))^(2/3)*(1/Design_Selector!$B$11)^0.5,3))</f>
        <v/>
      </c>
      <c r="AN141" s="11" t="str">
        <f aca="false">IF(AM141="","",ROUND(AM141/(MAX(1,N(H141))*F141/1000*(G141/1000*(1-SG_Criteria!$B$25))),2))</f>
        <v/>
      </c>
      <c r="AO141" s="38" t="str">
        <f aca="false">IF(C141="","",IF(LEN(IF(AND(OR(D141="Roadside drain",D141="Entrance culvert"),OR(F141&lt;SG_Criteria!$B$15,G141&lt;SG_Criteria!$B$16)),"FAIL: below PUB min "&amp;SG_Criteria!$B$15&amp;"x"&amp;SG_Criteria!$B$16&amp;" for roadside drain. ","")&amp;IF(AND(D141="Common drain",F141&lt;SG_Criteria!$B$17),"FAIL: common drain W &lt; "&amp;SG_Criteria!$B$17&amp;" mm. ","")&amp;IF(AND(N141&lt;&gt;"",IFERROR(VALUE(MID(N141,2,2)),0)&lt;SG_Criteria!$B$19),"FAIL: grade below C"&amp;SG_Criteria!$B$19&amp;". ","")&amp;IF(AND(O141&lt;&gt;"",O141&lt;SG_Criteria!$B$20),"FAIL: cover &lt; "&amp;SG_Criteria!$B$20&amp;" mm. ","")&amp;IF(AND(E141="Open",G141&gt;SG_Criteria!$B$18),"NOTE: safety railing required (D &gt; "&amp;SG_Criteria!$B$18&amp;" mm). ","")&amp;IF(AND(D141="Entrance culvert",G141&lt;600),"NOTE: check hinged grating rule for culverts &lt; 600 deep (PUB Add. 3). ",""))=0,"OK",IF(AND(OR(D141="Roadside drain",D141="Entrance culvert"),OR(F141&lt;SG_Criteria!$B$15,G141&lt;SG_Criteria!$B$16)),"FAIL: below PUB min "&amp;SG_Criteria!$B$15&amp;"x"&amp;SG_Criteria!$B$16&amp;" for roadside drain. ","")&amp;IF(AND(D141="Common drain",F141&lt;SG_Criteria!$B$17),"FAIL: common drain W &lt; "&amp;SG_Criteria!$B$17&amp;" mm. ","")&amp;IF(AND(N141&lt;&gt;"",IFERROR(VALUE(MID(N141,2,2)),0)&lt;SG_Criteria!$B$19),"FAIL: grade below C"&amp;SG_Criteria!$B$19&amp;". ","")&amp;IF(AND(O141&lt;&gt;"",O141&lt;SG_Criteria!$B$20),"FAIL: cover &lt; "&amp;SG_Criteria!$B$20&amp;" mm. ","")&amp;IF(AND(E141="Open",G141&gt;SG_Criteria!$B$18),"NOTE: safety railing required (D &gt; "&amp;SG_Criteria!$B$18&amp;" mm). ","")&amp;IF(AND(D141="Entrance culvert",G141&lt;600),"NOTE: check hinged grating rule for culverts &lt; 600 deep (PUB Add. 3). ","")))</f>
        <v/>
      </c>
      <c r="AP141" s="9"/>
      <c r="AQ141" s="9"/>
      <c r="AR141" s="9"/>
      <c r="AS141" s="9"/>
      <c r="AT141" s="9"/>
      <c r="AU141" s="31"/>
      <c r="AV141" s="10" t="str">
        <f aca="false">IF(C141="","",IF(AND(V141="Approved",ISERROR(SEARCH("FAIL",AO141))),"Y","N"))</f>
        <v/>
      </c>
      <c r="AW141" s="10" t="str">
        <f aca="false">IF(C141="","",C141&amp;"|"&amp;F141&amp;"|"&amp;G141&amp;"|"&amp;L141&amp;"|"&amp;AV141)</f>
        <v/>
      </c>
    </row>
    <row r="142" customFormat="false" ht="15" hidden="false" customHeight="false" outlineLevel="0" collapsed="false">
      <c r="A142" s="10" t="str">
        <f aca="false">IF(C142="","","DRN-"&amp;IFERROR(VLOOKUP(C142,Lists!$A$4:$B$27,2,0),"??")&amp;"-"&amp;TEXT(F142,"0000")&amp;"x"&amp;TEXT(G142,"0000")&amp;IF(N(H142)&gt;1,"-"&amp;H142&amp;"C","")&amp;"-"&amp;IFERROR(VLOOKUP(L142,Lists!$J$4:$K$19,2,0),"??")&amp;"-"&amp;U142)</f>
        <v/>
      </c>
      <c r="B142" s="10" t="str">
        <f aca="false">IF(C142="","",C142&amp;" "&amp;F142&amp;"W x "&amp;G142&amp;"D"&amp;IF(N(H142)&gt;1," ("&amp;H142&amp;" cells)","")&amp;", "&amp;D142&amp;", "&amp;L142&amp;", "&amp;E142)</f>
        <v/>
      </c>
      <c r="C142" s="9"/>
      <c r="D142" s="9"/>
      <c r="E142" s="9"/>
      <c r="F142" s="40"/>
      <c r="G142" s="40"/>
      <c r="H142" s="40"/>
      <c r="I142" s="40"/>
      <c r="J142" s="40"/>
      <c r="K142" s="40"/>
      <c r="L142" s="9"/>
      <c r="M142" s="9"/>
      <c r="N142" s="9"/>
      <c r="O142" s="40"/>
      <c r="P142" s="9"/>
      <c r="Q142" s="9"/>
      <c r="R142" s="9"/>
      <c r="S142" s="9"/>
      <c r="T142" s="9"/>
      <c r="U142" s="9"/>
      <c r="V142" s="9"/>
      <c r="W142" s="9"/>
      <c r="X142" s="9"/>
      <c r="Y142" s="9"/>
      <c r="Z142" s="10" t="str">
        <f aca="false">IF(A142="","",SG_Criteria!$B$6&amp;SG_Criteria!$B$7&amp;"\"&amp;A142&amp;"\")</f>
        <v/>
      </c>
      <c r="AA142" s="10" t="str">
        <f aca="false">IF(A142="","",A142&amp;"_CAD.dwg")</f>
        <v/>
      </c>
      <c r="AB142" s="10" t="str">
        <f aca="false">IF(A142="","",A142&amp;"_DWG.pdf")</f>
        <v/>
      </c>
      <c r="AC142" s="10" t="str">
        <f aca="false">IF(A142="","",IF(Y142="Y",A142&amp;"_STAAD.std","n/a"))</f>
        <v/>
      </c>
      <c r="AD142" s="10" t="str">
        <f aca="false">IF(A142="","",A142&amp;"_CALC.xlsx")</f>
        <v/>
      </c>
      <c r="AE142" s="10" t="str">
        <f aca="false">IF(A142="","",A142&amp;"_CALC.pdf")</f>
        <v/>
      </c>
      <c r="AF142" s="9"/>
      <c r="AG142" s="9"/>
      <c r="AH142" s="41"/>
      <c r="AI142" s="41"/>
      <c r="AJ142" s="41"/>
      <c r="AK142" s="41"/>
      <c r="AL142" s="41"/>
      <c r="AM142" s="37" t="str">
        <f aca="false">IF(OR(C142="",F142="",G142="",C142="Sump",C142="Drop Inlet Chamber",C142="Silt Trap",C142="Pipe Culvert",C142="Subsoil Drain"),"",ROUND(MAX(1,N(H142))*(1/SG_Criteria!$B$26)*((F142/1000)*(G142/1000*(1-SG_Criteria!$B$25)))*(((F142/1000)*(G142/1000*(1-SG_Criteria!$B$25)))/((F142/1000)+2*(G142/1000*(1-SG_Criteria!$B$25))))^(2/3)*(1/Design_Selector!$B$11)^0.5,3))</f>
        <v/>
      </c>
      <c r="AN142" s="11" t="str">
        <f aca="false">IF(AM142="","",ROUND(AM142/(MAX(1,N(H142))*F142/1000*(G142/1000*(1-SG_Criteria!$B$25))),2))</f>
        <v/>
      </c>
      <c r="AO142" s="38" t="str">
        <f aca="false">IF(C142="","",IF(LEN(IF(AND(OR(D142="Roadside drain",D142="Entrance culvert"),OR(F142&lt;SG_Criteria!$B$15,G142&lt;SG_Criteria!$B$16)),"FAIL: below PUB min "&amp;SG_Criteria!$B$15&amp;"x"&amp;SG_Criteria!$B$16&amp;" for roadside drain. ","")&amp;IF(AND(D142="Common drain",F142&lt;SG_Criteria!$B$17),"FAIL: common drain W &lt; "&amp;SG_Criteria!$B$17&amp;" mm. ","")&amp;IF(AND(N142&lt;&gt;"",IFERROR(VALUE(MID(N142,2,2)),0)&lt;SG_Criteria!$B$19),"FAIL: grade below C"&amp;SG_Criteria!$B$19&amp;". ","")&amp;IF(AND(O142&lt;&gt;"",O142&lt;SG_Criteria!$B$20),"FAIL: cover &lt; "&amp;SG_Criteria!$B$20&amp;" mm. ","")&amp;IF(AND(E142="Open",G142&gt;SG_Criteria!$B$18),"NOTE: safety railing required (D &gt; "&amp;SG_Criteria!$B$18&amp;" mm). ","")&amp;IF(AND(D142="Entrance culvert",G142&lt;600),"NOTE: check hinged grating rule for culverts &lt; 600 deep (PUB Add. 3). ",""))=0,"OK",IF(AND(OR(D142="Roadside drain",D142="Entrance culvert"),OR(F142&lt;SG_Criteria!$B$15,G142&lt;SG_Criteria!$B$16)),"FAIL: below PUB min "&amp;SG_Criteria!$B$15&amp;"x"&amp;SG_Criteria!$B$16&amp;" for roadside drain. ","")&amp;IF(AND(D142="Common drain",F142&lt;SG_Criteria!$B$17),"FAIL: common drain W &lt; "&amp;SG_Criteria!$B$17&amp;" mm. ","")&amp;IF(AND(N142&lt;&gt;"",IFERROR(VALUE(MID(N142,2,2)),0)&lt;SG_Criteria!$B$19),"FAIL: grade below C"&amp;SG_Criteria!$B$19&amp;". ","")&amp;IF(AND(O142&lt;&gt;"",O142&lt;SG_Criteria!$B$20),"FAIL: cover &lt; "&amp;SG_Criteria!$B$20&amp;" mm. ","")&amp;IF(AND(E142="Open",G142&gt;SG_Criteria!$B$18),"NOTE: safety railing required (D &gt; "&amp;SG_Criteria!$B$18&amp;" mm). ","")&amp;IF(AND(D142="Entrance culvert",G142&lt;600),"NOTE: check hinged grating rule for culverts &lt; 600 deep (PUB Add. 3). ","")))</f>
        <v/>
      </c>
      <c r="AP142" s="9"/>
      <c r="AQ142" s="9"/>
      <c r="AR142" s="9"/>
      <c r="AS142" s="9"/>
      <c r="AT142" s="9"/>
      <c r="AU142" s="31"/>
      <c r="AV142" s="10" t="str">
        <f aca="false">IF(C142="","",IF(AND(V142="Approved",ISERROR(SEARCH("FAIL",AO142))),"Y","N"))</f>
        <v/>
      </c>
      <c r="AW142" s="10" t="str">
        <f aca="false">IF(C142="","",C142&amp;"|"&amp;F142&amp;"|"&amp;G142&amp;"|"&amp;L142&amp;"|"&amp;AV142)</f>
        <v/>
      </c>
    </row>
    <row r="143" customFormat="false" ht="15" hidden="false" customHeight="false" outlineLevel="0" collapsed="false">
      <c r="A143" s="10" t="str">
        <f aca="false">IF(C143="","","DRN-"&amp;IFERROR(VLOOKUP(C143,Lists!$A$4:$B$27,2,0),"??")&amp;"-"&amp;TEXT(F143,"0000")&amp;"x"&amp;TEXT(G143,"0000")&amp;IF(N(H143)&gt;1,"-"&amp;H143&amp;"C","")&amp;"-"&amp;IFERROR(VLOOKUP(L143,Lists!$J$4:$K$19,2,0),"??")&amp;"-"&amp;U143)</f>
        <v/>
      </c>
      <c r="B143" s="10" t="str">
        <f aca="false">IF(C143="","",C143&amp;" "&amp;F143&amp;"W x "&amp;G143&amp;"D"&amp;IF(N(H143)&gt;1," ("&amp;H143&amp;" cells)","")&amp;", "&amp;D143&amp;", "&amp;L143&amp;", "&amp;E143)</f>
        <v/>
      </c>
      <c r="C143" s="9"/>
      <c r="D143" s="9"/>
      <c r="E143" s="9"/>
      <c r="F143" s="40"/>
      <c r="G143" s="40"/>
      <c r="H143" s="40"/>
      <c r="I143" s="40"/>
      <c r="J143" s="40"/>
      <c r="K143" s="40"/>
      <c r="L143" s="9"/>
      <c r="M143" s="9"/>
      <c r="N143" s="9"/>
      <c r="O143" s="40"/>
      <c r="P143" s="9"/>
      <c r="Q143" s="9"/>
      <c r="R143" s="9"/>
      <c r="S143" s="9"/>
      <c r="T143" s="9"/>
      <c r="U143" s="9"/>
      <c r="V143" s="9"/>
      <c r="W143" s="9"/>
      <c r="X143" s="9"/>
      <c r="Y143" s="9"/>
      <c r="Z143" s="10" t="str">
        <f aca="false">IF(A143="","",SG_Criteria!$B$6&amp;SG_Criteria!$B$7&amp;"\"&amp;A143&amp;"\")</f>
        <v/>
      </c>
      <c r="AA143" s="10" t="str">
        <f aca="false">IF(A143="","",A143&amp;"_CAD.dwg")</f>
        <v/>
      </c>
      <c r="AB143" s="10" t="str">
        <f aca="false">IF(A143="","",A143&amp;"_DWG.pdf")</f>
        <v/>
      </c>
      <c r="AC143" s="10" t="str">
        <f aca="false">IF(A143="","",IF(Y143="Y",A143&amp;"_STAAD.std","n/a"))</f>
        <v/>
      </c>
      <c r="AD143" s="10" t="str">
        <f aca="false">IF(A143="","",A143&amp;"_CALC.xlsx")</f>
        <v/>
      </c>
      <c r="AE143" s="10" t="str">
        <f aca="false">IF(A143="","",A143&amp;"_CALC.pdf")</f>
        <v/>
      </c>
      <c r="AF143" s="9"/>
      <c r="AG143" s="9"/>
      <c r="AH143" s="41"/>
      <c r="AI143" s="41"/>
      <c r="AJ143" s="41"/>
      <c r="AK143" s="41"/>
      <c r="AL143" s="41"/>
      <c r="AM143" s="37" t="str">
        <f aca="false">IF(OR(C143="",F143="",G143="",C143="Sump",C143="Drop Inlet Chamber",C143="Silt Trap",C143="Pipe Culvert",C143="Subsoil Drain"),"",ROUND(MAX(1,N(H143))*(1/SG_Criteria!$B$26)*((F143/1000)*(G143/1000*(1-SG_Criteria!$B$25)))*(((F143/1000)*(G143/1000*(1-SG_Criteria!$B$25)))/((F143/1000)+2*(G143/1000*(1-SG_Criteria!$B$25))))^(2/3)*(1/Design_Selector!$B$11)^0.5,3))</f>
        <v/>
      </c>
      <c r="AN143" s="11" t="str">
        <f aca="false">IF(AM143="","",ROUND(AM143/(MAX(1,N(H143))*F143/1000*(G143/1000*(1-SG_Criteria!$B$25))),2))</f>
        <v/>
      </c>
      <c r="AO143" s="38" t="str">
        <f aca="false">IF(C143="","",IF(LEN(IF(AND(OR(D143="Roadside drain",D143="Entrance culvert"),OR(F143&lt;SG_Criteria!$B$15,G143&lt;SG_Criteria!$B$16)),"FAIL: below PUB min "&amp;SG_Criteria!$B$15&amp;"x"&amp;SG_Criteria!$B$16&amp;" for roadside drain. ","")&amp;IF(AND(D143="Common drain",F143&lt;SG_Criteria!$B$17),"FAIL: common drain W &lt; "&amp;SG_Criteria!$B$17&amp;" mm. ","")&amp;IF(AND(N143&lt;&gt;"",IFERROR(VALUE(MID(N143,2,2)),0)&lt;SG_Criteria!$B$19),"FAIL: grade below C"&amp;SG_Criteria!$B$19&amp;". ","")&amp;IF(AND(O143&lt;&gt;"",O143&lt;SG_Criteria!$B$20),"FAIL: cover &lt; "&amp;SG_Criteria!$B$20&amp;" mm. ","")&amp;IF(AND(E143="Open",G143&gt;SG_Criteria!$B$18),"NOTE: safety railing required (D &gt; "&amp;SG_Criteria!$B$18&amp;" mm). ","")&amp;IF(AND(D143="Entrance culvert",G143&lt;600),"NOTE: check hinged grating rule for culverts &lt; 600 deep (PUB Add. 3). ",""))=0,"OK",IF(AND(OR(D143="Roadside drain",D143="Entrance culvert"),OR(F143&lt;SG_Criteria!$B$15,G143&lt;SG_Criteria!$B$16)),"FAIL: below PUB min "&amp;SG_Criteria!$B$15&amp;"x"&amp;SG_Criteria!$B$16&amp;" for roadside drain. ","")&amp;IF(AND(D143="Common drain",F143&lt;SG_Criteria!$B$17),"FAIL: common drain W &lt; "&amp;SG_Criteria!$B$17&amp;" mm. ","")&amp;IF(AND(N143&lt;&gt;"",IFERROR(VALUE(MID(N143,2,2)),0)&lt;SG_Criteria!$B$19),"FAIL: grade below C"&amp;SG_Criteria!$B$19&amp;". ","")&amp;IF(AND(O143&lt;&gt;"",O143&lt;SG_Criteria!$B$20),"FAIL: cover &lt; "&amp;SG_Criteria!$B$20&amp;" mm. ","")&amp;IF(AND(E143="Open",G143&gt;SG_Criteria!$B$18),"NOTE: safety railing required (D &gt; "&amp;SG_Criteria!$B$18&amp;" mm). ","")&amp;IF(AND(D143="Entrance culvert",G143&lt;600),"NOTE: check hinged grating rule for culverts &lt; 600 deep (PUB Add. 3). ","")))</f>
        <v/>
      </c>
      <c r="AP143" s="9"/>
      <c r="AQ143" s="9"/>
      <c r="AR143" s="9"/>
      <c r="AS143" s="9"/>
      <c r="AT143" s="9"/>
      <c r="AU143" s="31"/>
      <c r="AV143" s="10" t="str">
        <f aca="false">IF(C143="","",IF(AND(V143="Approved",ISERROR(SEARCH("FAIL",AO143))),"Y","N"))</f>
        <v/>
      </c>
      <c r="AW143" s="10" t="str">
        <f aca="false">IF(C143="","",C143&amp;"|"&amp;F143&amp;"|"&amp;G143&amp;"|"&amp;L143&amp;"|"&amp;AV143)</f>
        <v/>
      </c>
    </row>
    <row r="144" customFormat="false" ht="15" hidden="false" customHeight="false" outlineLevel="0" collapsed="false">
      <c r="A144" s="10" t="str">
        <f aca="false">IF(C144="","","DRN-"&amp;IFERROR(VLOOKUP(C144,Lists!$A$4:$B$27,2,0),"??")&amp;"-"&amp;TEXT(F144,"0000")&amp;"x"&amp;TEXT(G144,"0000")&amp;IF(N(H144)&gt;1,"-"&amp;H144&amp;"C","")&amp;"-"&amp;IFERROR(VLOOKUP(L144,Lists!$J$4:$K$19,2,0),"??")&amp;"-"&amp;U144)</f>
        <v/>
      </c>
      <c r="B144" s="10" t="str">
        <f aca="false">IF(C144="","",C144&amp;" "&amp;F144&amp;"W x "&amp;G144&amp;"D"&amp;IF(N(H144)&gt;1," ("&amp;H144&amp;" cells)","")&amp;", "&amp;D144&amp;", "&amp;L144&amp;", "&amp;E144)</f>
        <v/>
      </c>
      <c r="C144" s="9"/>
      <c r="D144" s="9"/>
      <c r="E144" s="9"/>
      <c r="F144" s="40"/>
      <c r="G144" s="40"/>
      <c r="H144" s="40"/>
      <c r="I144" s="40"/>
      <c r="J144" s="40"/>
      <c r="K144" s="40"/>
      <c r="L144" s="9"/>
      <c r="M144" s="9"/>
      <c r="N144" s="9"/>
      <c r="O144" s="40"/>
      <c r="P144" s="9"/>
      <c r="Q144" s="9"/>
      <c r="R144" s="9"/>
      <c r="S144" s="9"/>
      <c r="T144" s="9"/>
      <c r="U144" s="9"/>
      <c r="V144" s="9"/>
      <c r="W144" s="9"/>
      <c r="X144" s="9"/>
      <c r="Y144" s="9"/>
      <c r="Z144" s="10" t="str">
        <f aca="false">IF(A144="","",SG_Criteria!$B$6&amp;SG_Criteria!$B$7&amp;"\"&amp;A144&amp;"\")</f>
        <v/>
      </c>
      <c r="AA144" s="10" t="str">
        <f aca="false">IF(A144="","",A144&amp;"_CAD.dwg")</f>
        <v/>
      </c>
      <c r="AB144" s="10" t="str">
        <f aca="false">IF(A144="","",A144&amp;"_DWG.pdf")</f>
        <v/>
      </c>
      <c r="AC144" s="10" t="str">
        <f aca="false">IF(A144="","",IF(Y144="Y",A144&amp;"_STAAD.std","n/a"))</f>
        <v/>
      </c>
      <c r="AD144" s="10" t="str">
        <f aca="false">IF(A144="","",A144&amp;"_CALC.xlsx")</f>
        <v/>
      </c>
      <c r="AE144" s="10" t="str">
        <f aca="false">IF(A144="","",A144&amp;"_CALC.pdf")</f>
        <v/>
      </c>
      <c r="AF144" s="9"/>
      <c r="AG144" s="9"/>
      <c r="AH144" s="41"/>
      <c r="AI144" s="41"/>
      <c r="AJ144" s="41"/>
      <c r="AK144" s="41"/>
      <c r="AL144" s="41"/>
      <c r="AM144" s="37" t="str">
        <f aca="false">IF(OR(C144="",F144="",G144="",C144="Sump",C144="Drop Inlet Chamber",C144="Silt Trap",C144="Pipe Culvert",C144="Subsoil Drain"),"",ROUND(MAX(1,N(H144))*(1/SG_Criteria!$B$26)*((F144/1000)*(G144/1000*(1-SG_Criteria!$B$25)))*(((F144/1000)*(G144/1000*(1-SG_Criteria!$B$25)))/((F144/1000)+2*(G144/1000*(1-SG_Criteria!$B$25))))^(2/3)*(1/Design_Selector!$B$11)^0.5,3))</f>
        <v/>
      </c>
      <c r="AN144" s="11" t="str">
        <f aca="false">IF(AM144="","",ROUND(AM144/(MAX(1,N(H144))*F144/1000*(G144/1000*(1-SG_Criteria!$B$25))),2))</f>
        <v/>
      </c>
      <c r="AO144" s="38" t="str">
        <f aca="false">IF(C144="","",IF(LEN(IF(AND(OR(D144="Roadside drain",D144="Entrance culvert"),OR(F144&lt;SG_Criteria!$B$15,G144&lt;SG_Criteria!$B$16)),"FAIL: below PUB min "&amp;SG_Criteria!$B$15&amp;"x"&amp;SG_Criteria!$B$16&amp;" for roadside drain. ","")&amp;IF(AND(D144="Common drain",F144&lt;SG_Criteria!$B$17),"FAIL: common drain W &lt; "&amp;SG_Criteria!$B$17&amp;" mm. ","")&amp;IF(AND(N144&lt;&gt;"",IFERROR(VALUE(MID(N144,2,2)),0)&lt;SG_Criteria!$B$19),"FAIL: grade below C"&amp;SG_Criteria!$B$19&amp;". ","")&amp;IF(AND(O144&lt;&gt;"",O144&lt;SG_Criteria!$B$20),"FAIL: cover &lt; "&amp;SG_Criteria!$B$20&amp;" mm. ","")&amp;IF(AND(E144="Open",G144&gt;SG_Criteria!$B$18),"NOTE: safety railing required (D &gt; "&amp;SG_Criteria!$B$18&amp;" mm). ","")&amp;IF(AND(D144="Entrance culvert",G144&lt;600),"NOTE: check hinged grating rule for culverts &lt; 600 deep (PUB Add. 3). ",""))=0,"OK",IF(AND(OR(D144="Roadside drain",D144="Entrance culvert"),OR(F144&lt;SG_Criteria!$B$15,G144&lt;SG_Criteria!$B$16)),"FAIL: below PUB min "&amp;SG_Criteria!$B$15&amp;"x"&amp;SG_Criteria!$B$16&amp;" for roadside drain. ","")&amp;IF(AND(D144="Common drain",F144&lt;SG_Criteria!$B$17),"FAIL: common drain W &lt; "&amp;SG_Criteria!$B$17&amp;" mm. ","")&amp;IF(AND(N144&lt;&gt;"",IFERROR(VALUE(MID(N144,2,2)),0)&lt;SG_Criteria!$B$19),"FAIL: grade below C"&amp;SG_Criteria!$B$19&amp;". ","")&amp;IF(AND(O144&lt;&gt;"",O144&lt;SG_Criteria!$B$20),"FAIL: cover &lt; "&amp;SG_Criteria!$B$20&amp;" mm. ","")&amp;IF(AND(E144="Open",G144&gt;SG_Criteria!$B$18),"NOTE: safety railing required (D &gt; "&amp;SG_Criteria!$B$18&amp;" mm). ","")&amp;IF(AND(D144="Entrance culvert",G144&lt;600),"NOTE: check hinged grating rule for culverts &lt; 600 deep (PUB Add. 3). ","")))</f>
        <v/>
      </c>
      <c r="AP144" s="9"/>
      <c r="AQ144" s="9"/>
      <c r="AR144" s="9"/>
      <c r="AS144" s="9"/>
      <c r="AT144" s="9"/>
      <c r="AU144" s="31"/>
      <c r="AV144" s="10" t="str">
        <f aca="false">IF(C144="","",IF(AND(V144="Approved",ISERROR(SEARCH("FAIL",AO144))),"Y","N"))</f>
        <v/>
      </c>
      <c r="AW144" s="10" t="str">
        <f aca="false">IF(C144="","",C144&amp;"|"&amp;F144&amp;"|"&amp;G144&amp;"|"&amp;L144&amp;"|"&amp;AV144)</f>
        <v/>
      </c>
    </row>
    <row r="145" customFormat="false" ht="15" hidden="false" customHeight="false" outlineLevel="0" collapsed="false">
      <c r="A145" s="10" t="str">
        <f aca="false">IF(C145="","","DRN-"&amp;IFERROR(VLOOKUP(C145,Lists!$A$4:$B$27,2,0),"??")&amp;"-"&amp;TEXT(F145,"0000")&amp;"x"&amp;TEXT(G145,"0000")&amp;IF(N(H145)&gt;1,"-"&amp;H145&amp;"C","")&amp;"-"&amp;IFERROR(VLOOKUP(L145,Lists!$J$4:$K$19,2,0),"??")&amp;"-"&amp;U145)</f>
        <v/>
      </c>
      <c r="B145" s="10" t="str">
        <f aca="false">IF(C145="","",C145&amp;" "&amp;F145&amp;"W x "&amp;G145&amp;"D"&amp;IF(N(H145)&gt;1," ("&amp;H145&amp;" cells)","")&amp;", "&amp;D145&amp;", "&amp;L145&amp;", "&amp;E145)</f>
        <v/>
      </c>
      <c r="C145" s="9"/>
      <c r="D145" s="9"/>
      <c r="E145" s="9"/>
      <c r="F145" s="40"/>
      <c r="G145" s="40"/>
      <c r="H145" s="40"/>
      <c r="I145" s="40"/>
      <c r="J145" s="40"/>
      <c r="K145" s="40"/>
      <c r="L145" s="9"/>
      <c r="M145" s="9"/>
      <c r="N145" s="9"/>
      <c r="O145" s="40"/>
      <c r="P145" s="9"/>
      <c r="Q145" s="9"/>
      <c r="R145" s="9"/>
      <c r="S145" s="9"/>
      <c r="T145" s="9"/>
      <c r="U145" s="9"/>
      <c r="V145" s="9"/>
      <c r="W145" s="9"/>
      <c r="X145" s="9"/>
      <c r="Y145" s="9"/>
      <c r="Z145" s="10" t="str">
        <f aca="false">IF(A145="","",SG_Criteria!$B$6&amp;SG_Criteria!$B$7&amp;"\"&amp;A145&amp;"\")</f>
        <v/>
      </c>
      <c r="AA145" s="10" t="str">
        <f aca="false">IF(A145="","",A145&amp;"_CAD.dwg")</f>
        <v/>
      </c>
      <c r="AB145" s="10" t="str">
        <f aca="false">IF(A145="","",A145&amp;"_DWG.pdf")</f>
        <v/>
      </c>
      <c r="AC145" s="10" t="str">
        <f aca="false">IF(A145="","",IF(Y145="Y",A145&amp;"_STAAD.std","n/a"))</f>
        <v/>
      </c>
      <c r="AD145" s="10" t="str">
        <f aca="false">IF(A145="","",A145&amp;"_CALC.xlsx")</f>
        <v/>
      </c>
      <c r="AE145" s="10" t="str">
        <f aca="false">IF(A145="","",A145&amp;"_CALC.pdf")</f>
        <v/>
      </c>
      <c r="AF145" s="9"/>
      <c r="AG145" s="9"/>
      <c r="AH145" s="41"/>
      <c r="AI145" s="41"/>
      <c r="AJ145" s="41"/>
      <c r="AK145" s="41"/>
      <c r="AL145" s="41"/>
      <c r="AM145" s="37" t="str">
        <f aca="false">IF(OR(C145="",F145="",G145="",C145="Sump",C145="Drop Inlet Chamber",C145="Silt Trap",C145="Pipe Culvert",C145="Subsoil Drain"),"",ROUND(MAX(1,N(H145))*(1/SG_Criteria!$B$26)*((F145/1000)*(G145/1000*(1-SG_Criteria!$B$25)))*(((F145/1000)*(G145/1000*(1-SG_Criteria!$B$25)))/((F145/1000)+2*(G145/1000*(1-SG_Criteria!$B$25))))^(2/3)*(1/Design_Selector!$B$11)^0.5,3))</f>
        <v/>
      </c>
      <c r="AN145" s="11" t="str">
        <f aca="false">IF(AM145="","",ROUND(AM145/(MAX(1,N(H145))*F145/1000*(G145/1000*(1-SG_Criteria!$B$25))),2))</f>
        <v/>
      </c>
      <c r="AO145" s="38" t="str">
        <f aca="false">IF(C145="","",IF(LEN(IF(AND(OR(D145="Roadside drain",D145="Entrance culvert"),OR(F145&lt;SG_Criteria!$B$15,G145&lt;SG_Criteria!$B$16)),"FAIL: below PUB min "&amp;SG_Criteria!$B$15&amp;"x"&amp;SG_Criteria!$B$16&amp;" for roadside drain. ","")&amp;IF(AND(D145="Common drain",F145&lt;SG_Criteria!$B$17),"FAIL: common drain W &lt; "&amp;SG_Criteria!$B$17&amp;" mm. ","")&amp;IF(AND(N145&lt;&gt;"",IFERROR(VALUE(MID(N145,2,2)),0)&lt;SG_Criteria!$B$19),"FAIL: grade below C"&amp;SG_Criteria!$B$19&amp;". ","")&amp;IF(AND(O145&lt;&gt;"",O145&lt;SG_Criteria!$B$20),"FAIL: cover &lt; "&amp;SG_Criteria!$B$20&amp;" mm. ","")&amp;IF(AND(E145="Open",G145&gt;SG_Criteria!$B$18),"NOTE: safety railing required (D &gt; "&amp;SG_Criteria!$B$18&amp;" mm). ","")&amp;IF(AND(D145="Entrance culvert",G145&lt;600),"NOTE: check hinged grating rule for culverts &lt; 600 deep (PUB Add. 3). ",""))=0,"OK",IF(AND(OR(D145="Roadside drain",D145="Entrance culvert"),OR(F145&lt;SG_Criteria!$B$15,G145&lt;SG_Criteria!$B$16)),"FAIL: below PUB min "&amp;SG_Criteria!$B$15&amp;"x"&amp;SG_Criteria!$B$16&amp;" for roadside drain. ","")&amp;IF(AND(D145="Common drain",F145&lt;SG_Criteria!$B$17),"FAIL: common drain W &lt; "&amp;SG_Criteria!$B$17&amp;" mm. ","")&amp;IF(AND(N145&lt;&gt;"",IFERROR(VALUE(MID(N145,2,2)),0)&lt;SG_Criteria!$B$19),"FAIL: grade below C"&amp;SG_Criteria!$B$19&amp;". ","")&amp;IF(AND(O145&lt;&gt;"",O145&lt;SG_Criteria!$B$20),"FAIL: cover &lt; "&amp;SG_Criteria!$B$20&amp;" mm. ","")&amp;IF(AND(E145="Open",G145&gt;SG_Criteria!$B$18),"NOTE: safety railing required (D &gt; "&amp;SG_Criteria!$B$18&amp;" mm). ","")&amp;IF(AND(D145="Entrance culvert",G145&lt;600),"NOTE: check hinged grating rule for culverts &lt; 600 deep (PUB Add. 3). ","")))</f>
        <v/>
      </c>
      <c r="AP145" s="9"/>
      <c r="AQ145" s="9"/>
      <c r="AR145" s="9"/>
      <c r="AS145" s="9"/>
      <c r="AT145" s="9"/>
      <c r="AU145" s="31"/>
      <c r="AV145" s="10" t="str">
        <f aca="false">IF(C145="","",IF(AND(V145="Approved",ISERROR(SEARCH("FAIL",AO145))),"Y","N"))</f>
        <v/>
      </c>
      <c r="AW145" s="10" t="str">
        <f aca="false">IF(C145="","",C145&amp;"|"&amp;F145&amp;"|"&amp;G145&amp;"|"&amp;L145&amp;"|"&amp;AV145)</f>
        <v/>
      </c>
    </row>
    <row r="146" customFormat="false" ht="15" hidden="false" customHeight="false" outlineLevel="0" collapsed="false">
      <c r="A146" s="10" t="str">
        <f aca="false">IF(C146="","","DRN-"&amp;IFERROR(VLOOKUP(C146,Lists!$A$4:$B$27,2,0),"??")&amp;"-"&amp;TEXT(F146,"0000")&amp;"x"&amp;TEXT(G146,"0000")&amp;IF(N(H146)&gt;1,"-"&amp;H146&amp;"C","")&amp;"-"&amp;IFERROR(VLOOKUP(L146,Lists!$J$4:$K$19,2,0),"??")&amp;"-"&amp;U146)</f>
        <v/>
      </c>
      <c r="B146" s="10" t="str">
        <f aca="false">IF(C146="","",C146&amp;" "&amp;F146&amp;"W x "&amp;G146&amp;"D"&amp;IF(N(H146)&gt;1," ("&amp;H146&amp;" cells)","")&amp;", "&amp;D146&amp;", "&amp;L146&amp;", "&amp;E146)</f>
        <v/>
      </c>
      <c r="C146" s="9"/>
      <c r="D146" s="9"/>
      <c r="E146" s="9"/>
      <c r="F146" s="40"/>
      <c r="G146" s="40"/>
      <c r="H146" s="40"/>
      <c r="I146" s="40"/>
      <c r="J146" s="40"/>
      <c r="K146" s="40"/>
      <c r="L146" s="9"/>
      <c r="M146" s="9"/>
      <c r="N146" s="9"/>
      <c r="O146" s="40"/>
      <c r="P146" s="9"/>
      <c r="Q146" s="9"/>
      <c r="R146" s="9"/>
      <c r="S146" s="9"/>
      <c r="T146" s="9"/>
      <c r="U146" s="9"/>
      <c r="V146" s="9"/>
      <c r="W146" s="9"/>
      <c r="X146" s="9"/>
      <c r="Y146" s="9"/>
      <c r="Z146" s="10" t="str">
        <f aca="false">IF(A146="","",SG_Criteria!$B$6&amp;SG_Criteria!$B$7&amp;"\"&amp;A146&amp;"\")</f>
        <v/>
      </c>
      <c r="AA146" s="10" t="str">
        <f aca="false">IF(A146="","",A146&amp;"_CAD.dwg")</f>
        <v/>
      </c>
      <c r="AB146" s="10" t="str">
        <f aca="false">IF(A146="","",A146&amp;"_DWG.pdf")</f>
        <v/>
      </c>
      <c r="AC146" s="10" t="str">
        <f aca="false">IF(A146="","",IF(Y146="Y",A146&amp;"_STAAD.std","n/a"))</f>
        <v/>
      </c>
      <c r="AD146" s="10" t="str">
        <f aca="false">IF(A146="","",A146&amp;"_CALC.xlsx")</f>
        <v/>
      </c>
      <c r="AE146" s="10" t="str">
        <f aca="false">IF(A146="","",A146&amp;"_CALC.pdf")</f>
        <v/>
      </c>
      <c r="AF146" s="9"/>
      <c r="AG146" s="9"/>
      <c r="AH146" s="41"/>
      <c r="AI146" s="41"/>
      <c r="AJ146" s="41"/>
      <c r="AK146" s="41"/>
      <c r="AL146" s="41"/>
      <c r="AM146" s="37" t="str">
        <f aca="false">IF(OR(C146="",F146="",G146="",C146="Sump",C146="Drop Inlet Chamber",C146="Silt Trap",C146="Pipe Culvert",C146="Subsoil Drain"),"",ROUND(MAX(1,N(H146))*(1/SG_Criteria!$B$26)*((F146/1000)*(G146/1000*(1-SG_Criteria!$B$25)))*(((F146/1000)*(G146/1000*(1-SG_Criteria!$B$25)))/((F146/1000)+2*(G146/1000*(1-SG_Criteria!$B$25))))^(2/3)*(1/Design_Selector!$B$11)^0.5,3))</f>
        <v/>
      </c>
      <c r="AN146" s="11" t="str">
        <f aca="false">IF(AM146="","",ROUND(AM146/(MAX(1,N(H146))*F146/1000*(G146/1000*(1-SG_Criteria!$B$25))),2))</f>
        <v/>
      </c>
      <c r="AO146" s="38" t="str">
        <f aca="false">IF(C146="","",IF(LEN(IF(AND(OR(D146="Roadside drain",D146="Entrance culvert"),OR(F146&lt;SG_Criteria!$B$15,G146&lt;SG_Criteria!$B$16)),"FAIL: below PUB min "&amp;SG_Criteria!$B$15&amp;"x"&amp;SG_Criteria!$B$16&amp;" for roadside drain. ","")&amp;IF(AND(D146="Common drain",F146&lt;SG_Criteria!$B$17),"FAIL: common drain W &lt; "&amp;SG_Criteria!$B$17&amp;" mm. ","")&amp;IF(AND(N146&lt;&gt;"",IFERROR(VALUE(MID(N146,2,2)),0)&lt;SG_Criteria!$B$19),"FAIL: grade below C"&amp;SG_Criteria!$B$19&amp;". ","")&amp;IF(AND(O146&lt;&gt;"",O146&lt;SG_Criteria!$B$20),"FAIL: cover &lt; "&amp;SG_Criteria!$B$20&amp;" mm. ","")&amp;IF(AND(E146="Open",G146&gt;SG_Criteria!$B$18),"NOTE: safety railing required (D &gt; "&amp;SG_Criteria!$B$18&amp;" mm). ","")&amp;IF(AND(D146="Entrance culvert",G146&lt;600),"NOTE: check hinged grating rule for culverts &lt; 600 deep (PUB Add. 3). ",""))=0,"OK",IF(AND(OR(D146="Roadside drain",D146="Entrance culvert"),OR(F146&lt;SG_Criteria!$B$15,G146&lt;SG_Criteria!$B$16)),"FAIL: below PUB min "&amp;SG_Criteria!$B$15&amp;"x"&amp;SG_Criteria!$B$16&amp;" for roadside drain. ","")&amp;IF(AND(D146="Common drain",F146&lt;SG_Criteria!$B$17),"FAIL: common drain W &lt; "&amp;SG_Criteria!$B$17&amp;" mm. ","")&amp;IF(AND(N146&lt;&gt;"",IFERROR(VALUE(MID(N146,2,2)),0)&lt;SG_Criteria!$B$19),"FAIL: grade below C"&amp;SG_Criteria!$B$19&amp;". ","")&amp;IF(AND(O146&lt;&gt;"",O146&lt;SG_Criteria!$B$20),"FAIL: cover &lt; "&amp;SG_Criteria!$B$20&amp;" mm. ","")&amp;IF(AND(E146="Open",G146&gt;SG_Criteria!$B$18),"NOTE: safety railing required (D &gt; "&amp;SG_Criteria!$B$18&amp;" mm). ","")&amp;IF(AND(D146="Entrance culvert",G146&lt;600),"NOTE: check hinged grating rule for culverts &lt; 600 deep (PUB Add. 3). ","")))</f>
        <v/>
      </c>
      <c r="AP146" s="9"/>
      <c r="AQ146" s="9"/>
      <c r="AR146" s="9"/>
      <c r="AS146" s="9"/>
      <c r="AT146" s="9"/>
      <c r="AU146" s="31"/>
      <c r="AV146" s="10" t="str">
        <f aca="false">IF(C146="","",IF(AND(V146="Approved",ISERROR(SEARCH("FAIL",AO146))),"Y","N"))</f>
        <v/>
      </c>
      <c r="AW146" s="10" t="str">
        <f aca="false">IF(C146="","",C146&amp;"|"&amp;F146&amp;"|"&amp;G146&amp;"|"&amp;L146&amp;"|"&amp;AV146)</f>
        <v/>
      </c>
    </row>
    <row r="147" customFormat="false" ht="15" hidden="false" customHeight="false" outlineLevel="0" collapsed="false">
      <c r="A147" s="10" t="str">
        <f aca="false">IF(C147="","","DRN-"&amp;IFERROR(VLOOKUP(C147,Lists!$A$4:$B$27,2,0),"??")&amp;"-"&amp;TEXT(F147,"0000")&amp;"x"&amp;TEXT(G147,"0000")&amp;IF(N(H147)&gt;1,"-"&amp;H147&amp;"C","")&amp;"-"&amp;IFERROR(VLOOKUP(L147,Lists!$J$4:$K$19,2,0),"??")&amp;"-"&amp;U147)</f>
        <v/>
      </c>
      <c r="B147" s="10" t="str">
        <f aca="false">IF(C147="","",C147&amp;" "&amp;F147&amp;"W x "&amp;G147&amp;"D"&amp;IF(N(H147)&gt;1," ("&amp;H147&amp;" cells)","")&amp;", "&amp;D147&amp;", "&amp;L147&amp;", "&amp;E147)</f>
        <v/>
      </c>
      <c r="C147" s="9"/>
      <c r="D147" s="9"/>
      <c r="E147" s="9"/>
      <c r="F147" s="40"/>
      <c r="G147" s="40"/>
      <c r="H147" s="40"/>
      <c r="I147" s="40"/>
      <c r="J147" s="40"/>
      <c r="K147" s="40"/>
      <c r="L147" s="9"/>
      <c r="M147" s="9"/>
      <c r="N147" s="9"/>
      <c r="O147" s="40"/>
      <c r="P147" s="9"/>
      <c r="Q147" s="9"/>
      <c r="R147" s="9"/>
      <c r="S147" s="9"/>
      <c r="T147" s="9"/>
      <c r="U147" s="9"/>
      <c r="V147" s="9"/>
      <c r="W147" s="9"/>
      <c r="X147" s="9"/>
      <c r="Y147" s="9"/>
      <c r="Z147" s="10" t="str">
        <f aca="false">IF(A147="","",SG_Criteria!$B$6&amp;SG_Criteria!$B$7&amp;"\"&amp;A147&amp;"\")</f>
        <v/>
      </c>
      <c r="AA147" s="10" t="str">
        <f aca="false">IF(A147="","",A147&amp;"_CAD.dwg")</f>
        <v/>
      </c>
      <c r="AB147" s="10" t="str">
        <f aca="false">IF(A147="","",A147&amp;"_DWG.pdf")</f>
        <v/>
      </c>
      <c r="AC147" s="10" t="str">
        <f aca="false">IF(A147="","",IF(Y147="Y",A147&amp;"_STAAD.std","n/a"))</f>
        <v/>
      </c>
      <c r="AD147" s="10" t="str">
        <f aca="false">IF(A147="","",A147&amp;"_CALC.xlsx")</f>
        <v/>
      </c>
      <c r="AE147" s="10" t="str">
        <f aca="false">IF(A147="","",A147&amp;"_CALC.pdf")</f>
        <v/>
      </c>
      <c r="AF147" s="9"/>
      <c r="AG147" s="9"/>
      <c r="AH147" s="41"/>
      <c r="AI147" s="41"/>
      <c r="AJ147" s="41"/>
      <c r="AK147" s="41"/>
      <c r="AL147" s="41"/>
      <c r="AM147" s="37" t="str">
        <f aca="false">IF(OR(C147="",F147="",G147="",C147="Sump",C147="Drop Inlet Chamber",C147="Silt Trap",C147="Pipe Culvert",C147="Subsoil Drain"),"",ROUND(MAX(1,N(H147))*(1/SG_Criteria!$B$26)*((F147/1000)*(G147/1000*(1-SG_Criteria!$B$25)))*(((F147/1000)*(G147/1000*(1-SG_Criteria!$B$25)))/((F147/1000)+2*(G147/1000*(1-SG_Criteria!$B$25))))^(2/3)*(1/Design_Selector!$B$11)^0.5,3))</f>
        <v/>
      </c>
      <c r="AN147" s="11" t="str">
        <f aca="false">IF(AM147="","",ROUND(AM147/(MAX(1,N(H147))*F147/1000*(G147/1000*(1-SG_Criteria!$B$25))),2))</f>
        <v/>
      </c>
      <c r="AO147" s="38" t="str">
        <f aca="false">IF(C147="","",IF(LEN(IF(AND(OR(D147="Roadside drain",D147="Entrance culvert"),OR(F147&lt;SG_Criteria!$B$15,G147&lt;SG_Criteria!$B$16)),"FAIL: below PUB min "&amp;SG_Criteria!$B$15&amp;"x"&amp;SG_Criteria!$B$16&amp;" for roadside drain. ","")&amp;IF(AND(D147="Common drain",F147&lt;SG_Criteria!$B$17),"FAIL: common drain W &lt; "&amp;SG_Criteria!$B$17&amp;" mm. ","")&amp;IF(AND(N147&lt;&gt;"",IFERROR(VALUE(MID(N147,2,2)),0)&lt;SG_Criteria!$B$19),"FAIL: grade below C"&amp;SG_Criteria!$B$19&amp;". ","")&amp;IF(AND(O147&lt;&gt;"",O147&lt;SG_Criteria!$B$20),"FAIL: cover &lt; "&amp;SG_Criteria!$B$20&amp;" mm. ","")&amp;IF(AND(E147="Open",G147&gt;SG_Criteria!$B$18),"NOTE: safety railing required (D &gt; "&amp;SG_Criteria!$B$18&amp;" mm). ","")&amp;IF(AND(D147="Entrance culvert",G147&lt;600),"NOTE: check hinged grating rule for culverts &lt; 600 deep (PUB Add. 3). ",""))=0,"OK",IF(AND(OR(D147="Roadside drain",D147="Entrance culvert"),OR(F147&lt;SG_Criteria!$B$15,G147&lt;SG_Criteria!$B$16)),"FAIL: below PUB min "&amp;SG_Criteria!$B$15&amp;"x"&amp;SG_Criteria!$B$16&amp;" for roadside drain. ","")&amp;IF(AND(D147="Common drain",F147&lt;SG_Criteria!$B$17),"FAIL: common drain W &lt; "&amp;SG_Criteria!$B$17&amp;" mm. ","")&amp;IF(AND(N147&lt;&gt;"",IFERROR(VALUE(MID(N147,2,2)),0)&lt;SG_Criteria!$B$19),"FAIL: grade below C"&amp;SG_Criteria!$B$19&amp;". ","")&amp;IF(AND(O147&lt;&gt;"",O147&lt;SG_Criteria!$B$20),"FAIL: cover &lt; "&amp;SG_Criteria!$B$20&amp;" mm. ","")&amp;IF(AND(E147="Open",G147&gt;SG_Criteria!$B$18),"NOTE: safety railing required (D &gt; "&amp;SG_Criteria!$B$18&amp;" mm). ","")&amp;IF(AND(D147="Entrance culvert",G147&lt;600),"NOTE: check hinged grating rule for culverts &lt; 600 deep (PUB Add. 3). ","")))</f>
        <v/>
      </c>
      <c r="AP147" s="9"/>
      <c r="AQ147" s="9"/>
      <c r="AR147" s="9"/>
      <c r="AS147" s="9"/>
      <c r="AT147" s="9"/>
      <c r="AU147" s="31"/>
      <c r="AV147" s="10" t="str">
        <f aca="false">IF(C147="","",IF(AND(V147="Approved",ISERROR(SEARCH("FAIL",AO147))),"Y","N"))</f>
        <v/>
      </c>
      <c r="AW147" s="10" t="str">
        <f aca="false">IF(C147="","",C147&amp;"|"&amp;F147&amp;"|"&amp;G147&amp;"|"&amp;L147&amp;"|"&amp;AV147)</f>
        <v/>
      </c>
    </row>
    <row r="148" customFormat="false" ht="15" hidden="false" customHeight="false" outlineLevel="0" collapsed="false">
      <c r="A148" s="10" t="str">
        <f aca="false">IF(C148="","","DRN-"&amp;IFERROR(VLOOKUP(C148,Lists!$A$4:$B$27,2,0),"??")&amp;"-"&amp;TEXT(F148,"0000")&amp;"x"&amp;TEXT(G148,"0000")&amp;IF(N(H148)&gt;1,"-"&amp;H148&amp;"C","")&amp;"-"&amp;IFERROR(VLOOKUP(L148,Lists!$J$4:$K$19,2,0),"??")&amp;"-"&amp;U148)</f>
        <v/>
      </c>
      <c r="B148" s="10" t="str">
        <f aca="false">IF(C148="","",C148&amp;" "&amp;F148&amp;"W x "&amp;G148&amp;"D"&amp;IF(N(H148)&gt;1," ("&amp;H148&amp;" cells)","")&amp;", "&amp;D148&amp;", "&amp;L148&amp;", "&amp;E148)</f>
        <v/>
      </c>
      <c r="C148" s="9"/>
      <c r="D148" s="9"/>
      <c r="E148" s="9"/>
      <c r="F148" s="40"/>
      <c r="G148" s="40"/>
      <c r="H148" s="40"/>
      <c r="I148" s="40"/>
      <c r="J148" s="40"/>
      <c r="K148" s="40"/>
      <c r="L148" s="9"/>
      <c r="M148" s="9"/>
      <c r="N148" s="9"/>
      <c r="O148" s="40"/>
      <c r="P148" s="9"/>
      <c r="Q148" s="9"/>
      <c r="R148" s="9"/>
      <c r="S148" s="9"/>
      <c r="T148" s="9"/>
      <c r="U148" s="9"/>
      <c r="V148" s="9"/>
      <c r="W148" s="9"/>
      <c r="X148" s="9"/>
      <c r="Y148" s="9"/>
      <c r="Z148" s="10" t="str">
        <f aca="false">IF(A148="","",SG_Criteria!$B$6&amp;SG_Criteria!$B$7&amp;"\"&amp;A148&amp;"\")</f>
        <v/>
      </c>
      <c r="AA148" s="10" t="str">
        <f aca="false">IF(A148="","",A148&amp;"_CAD.dwg")</f>
        <v/>
      </c>
      <c r="AB148" s="10" t="str">
        <f aca="false">IF(A148="","",A148&amp;"_DWG.pdf")</f>
        <v/>
      </c>
      <c r="AC148" s="10" t="str">
        <f aca="false">IF(A148="","",IF(Y148="Y",A148&amp;"_STAAD.std","n/a"))</f>
        <v/>
      </c>
      <c r="AD148" s="10" t="str">
        <f aca="false">IF(A148="","",A148&amp;"_CALC.xlsx")</f>
        <v/>
      </c>
      <c r="AE148" s="10" t="str">
        <f aca="false">IF(A148="","",A148&amp;"_CALC.pdf")</f>
        <v/>
      </c>
      <c r="AF148" s="9"/>
      <c r="AG148" s="9"/>
      <c r="AH148" s="41"/>
      <c r="AI148" s="41"/>
      <c r="AJ148" s="41"/>
      <c r="AK148" s="41"/>
      <c r="AL148" s="41"/>
      <c r="AM148" s="37" t="str">
        <f aca="false">IF(OR(C148="",F148="",G148="",C148="Sump",C148="Drop Inlet Chamber",C148="Silt Trap",C148="Pipe Culvert",C148="Subsoil Drain"),"",ROUND(MAX(1,N(H148))*(1/SG_Criteria!$B$26)*((F148/1000)*(G148/1000*(1-SG_Criteria!$B$25)))*(((F148/1000)*(G148/1000*(1-SG_Criteria!$B$25)))/((F148/1000)+2*(G148/1000*(1-SG_Criteria!$B$25))))^(2/3)*(1/Design_Selector!$B$11)^0.5,3))</f>
        <v/>
      </c>
      <c r="AN148" s="11" t="str">
        <f aca="false">IF(AM148="","",ROUND(AM148/(MAX(1,N(H148))*F148/1000*(G148/1000*(1-SG_Criteria!$B$25))),2))</f>
        <v/>
      </c>
      <c r="AO148" s="38" t="str">
        <f aca="false">IF(C148="","",IF(LEN(IF(AND(OR(D148="Roadside drain",D148="Entrance culvert"),OR(F148&lt;SG_Criteria!$B$15,G148&lt;SG_Criteria!$B$16)),"FAIL: below PUB min "&amp;SG_Criteria!$B$15&amp;"x"&amp;SG_Criteria!$B$16&amp;" for roadside drain. ","")&amp;IF(AND(D148="Common drain",F148&lt;SG_Criteria!$B$17),"FAIL: common drain W &lt; "&amp;SG_Criteria!$B$17&amp;" mm. ","")&amp;IF(AND(N148&lt;&gt;"",IFERROR(VALUE(MID(N148,2,2)),0)&lt;SG_Criteria!$B$19),"FAIL: grade below C"&amp;SG_Criteria!$B$19&amp;". ","")&amp;IF(AND(O148&lt;&gt;"",O148&lt;SG_Criteria!$B$20),"FAIL: cover &lt; "&amp;SG_Criteria!$B$20&amp;" mm. ","")&amp;IF(AND(E148="Open",G148&gt;SG_Criteria!$B$18),"NOTE: safety railing required (D &gt; "&amp;SG_Criteria!$B$18&amp;" mm). ","")&amp;IF(AND(D148="Entrance culvert",G148&lt;600),"NOTE: check hinged grating rule for culverts &lt; 600 deep (PUB Add. 3). ",""))=0,"OK",IF(AND(OR(D148="Roadside drain",D148="Entrance culvert"),OR(F148&lt;SG_Criteria!$B$15,G148&lt;SG_Criteria!$B$16)),"FAIL: below PUB min "&amp;SG_Criteria!$B$15&amp;"x"&amp;SG_Criteria!$B$16&amp;" for roadside drain. ","")&amp;IF(AND(D148="Common drain",F148&lt;SG_Criteria!$B$17),"FAIL: common drain W &lt; "&amp;SG_Criteria!$B$17&amp;" mm. ","")&amp;IF(AND(N148&lt;&gt;"",IFERROR(VALUE(MID(N148,2,2)),0)&lt;SG_Criteria!$B$19),"FAIL: grade below C"&amp;SG_Criteria!$B$19&amp;". ","")&amp;IF(AND(O148&lt;&gt;"",O148&lt;SG_Criteria!$B$20),"FAIL: cover &lt; "&amp;SG_Criteria!$B$20&amp;" mm. ","")&amp;IF(AND(E148="Open",G148&gt;SG_Criteria!$B$18),"NOTE: safety railing required (D &gt; "&amp;SG_Criteria!$B$18&amp;" mm). ","")&amp;IF(AND(D148="Entrance culvert",G148&lt;600),"NOTE: check hinged grating rule for culverts &lt; 600 deep (PUB Add. 3). ","")))</f>
        <v/>
      </c>
      <c r="AP148" s="9"/>
      <c r="AQ148" s="9"/>
      <c r="AR148" s="9"/>
      <c r="AS148" s="9"/>
      <c r="AT148" s="9"/>
      <c r="AU148" s="31"/>
      <c r="AV148" s="10" t="str">
        <f aca="false">IF(C148="","",IF(AND(V148="Approved",ISERROR(SEARCH("FAIL",AO148))),"Y","N"))</f>
        <v/>
      </c>
      <c r="AW148" s="10" t="str">
        <f aca="false">IF(C148="","",C148&amp;"|"&amp;F148&amp;"|"&amp;G148&amp;"|"&amp;L148&amp;"|"&amp;AV148)</f>
        <v/>
      </c>
    </row>
    <row r="149" customFormat="false" ht="15" hidden="false" customHeight="false" outlineLevel="0" collapsed="false">
      <c r="A149" s="10" t="str">
        <f aca="false">IF(C149="","","DRN-"&amp;IFERROR(VLOOKUP(C149,Lists!$A$4:$B$27,2,0),"??")&amp;"-"&amp;TEXT(F149,"0000")&amp;"x"&amp;TEXT(G149,"0000")&amp;IF(N(H149)&gt;1,"-"&amp;H149&amp;"C","")&amp;"-"&amp;IFERROR(VLOOKUP(L149,Lists!$J$4:$K$19,2,0),"??")&amp;"-"&amp;U149)</f>
        <v/>
      </c>
      <c r="B149" s="10" t="str">
        <f aca="false">IF(C149="","",C149&amp;" "&amp;F149&amp;"W x "&amp;G149&amp;"D"&amp;IF(N(H149)&gt;1," ("&amp;H149&amp;" cells)","")&amp;", "&amp;D149&amp;", "&amp;L149&amp;", "&amp;E149)</f>
        <v/>
      </c>
      <c r="C149" s="9"/>
      <c r="D149" s="9"/>
      <c r="E149" s="9"/>
      <c r="F149" s="40"/>
      <c r="G149" s="40"/>
      <c r="H149" s="40"/>
      <c r="I149" s="40"/>
      <c r="J149" s="40"/>
      <c r="K149" s="40"/>
      <c r="L149" s="9"/>
      <c r="M149" s="9"/>
      <c r="N149" s="9"/>
      <c r="O149" s="40"/>
      <c r="P149" s="9"/>
      <c r="Q149" s="9"/>
      <c r="R149" s="9"/>
      <c r="S149" s="9"/>
      <c r="T149" s="9"/>
      <c r="U149" s="9"/>
      <c r="V149" s="9"/>
      <c r="W149" s="9"/>
      <c r="X149" s="9"/>
      <c r="Y149" s="9"/>
      <c r="Z149" s="10" t="str">
        <f aca="false">IF(A149="","",SG_Criteria!$B$6&amp;SG_Criteria!$B$7&amp;"\"&amp;A149&amp;"\")</f>
        <v/>
      </c>
      <c r="AA149" s="10" t="str">
        <f aca="false">IF(A149="","",A149&amp;"_CAD.dwg")</f>
        <v/>
      </c>
      <c r="AB149" s="10" t="str">
        <f aca="false">IF(A149="","",A149&amp;"_DWG.pdf")</f>
        <v/>
      </c>
      <c r="AC149" s="10" t="str">
        <f aca="false">IF(A149="","",IF(Y149="Y",A149&amp;"_STAAD.std","n/a"))</f>
        <v/>
      </c>
      <c r="AD149" s="10" t="str">
        <f aca="false">IF(A149="","",A149&amp;"_CALC.xlsx")</f>
        <v/>
      </c>
      <c r="AE149" s="10" t="str">
        <f aca="false">IF(A149="","",A149&amp;"_CALC.pdf")</f>
        <v/>
      </c>
      <c r="AF149" s="9"/>
      <c r="AG149" s="9"/>
      <c r="AH149" s="41"/>
      <c r="AI149" s="41"/>
      <c r="AJ149" s="41"/>
      <c r="AK149" s="41"/>
      <c r="AL149" s="41"/>
      <c r="AM149" s="37" t="str">
        <f aca="false">IF(OR(C149="",F149="",G149="",C149="Sump",C149="Drop Inlet Chamber",C149="Silt Trap",C149="Pipe Culvert",C149="Subsoil Drain"),"",ROUND(MAX(1,N(H149))*(1/SG_Criteria!$B$26)*((F149/1000)*(G149/1000*(1-SG_Criteria!$B$25)))*(((F149/1000)*(G149/1000*(1-SG_Criteria!$B$25)))/((F149/1000)+2*(G149/1000*(1-SG_Criteria!$B$25))))^(2/3)*(1/Design_Selector!$B$11)^0.5,3))</f>
        <v/>
      </c>
      <c r="AN149" s="11" t="str">
        <f aca="false">IF(AM149="","",ROUND(AM149/(MAX(1,N(H149))*F149/1000*(G149/1000*(1-SG_Criteria!$B$25))),2))</f>
        <v/>
      </c>
      <c r="AO149" s="38" t="str">
        <f aca="false">IF(C149="","",IF(LEN(IF(AND(OR(D149="Roadside drain",D149="Entrance culvert"),OR(F149&lt;SG_Criteria!$B$15,G149&lt;SG_Criteria!$B$16)),"FAIL: below PUB min "&amp;SG_Criteria!$B$15&amp;"x"&amp;SG_Criteria!$B$16&amp;" for roadside drain. ","")&amp;IF(AND(D149="Common drain",F149&lt;SG_Criteria!$B$17),"FAIL: common drain W &lt; "&amp;SG_Criteria!$B$17&amp;" mm. ","")&amp;IF(AND(N149&lt;&gt;"",IFERROR(VALUE(MID(N149,2,2)),0)&lt;SG_Criteria!$B$19),"FAIL: grade below C"&amp;SG_Criteria!$B$19&amp;". ","")&amp;IF(AND(O149&lt;&gt;"",O149&lt;SG_Criteria!$B$20),"FAIL: cover &lt; "&amp;SG_Criteria!$B$20&amp;" mm. ","")&amp;IF(AND(E149="Open",G149&gt;SG_Criteria!$B$18),"NOTE: safety railing required (D &gt; "&amp;SG_Criteria!$B$18&amp;" mm). ","")&amp;IF(AND(D149="Entrance culvert",G149&lt;600),"NOTE: check hinged grating rule for culverts &lt; 600 deep (PUB Add. 3). ",""))=0,"OK",IF(AND(OR(D149="Roadside drain",D149="Entrance culvert"),OR(F149&lt;SG_Criteria!$B$15,G149&lt;SG_Criteria!$B$16)),"FAIL: below PUB min "&amp;SG_Criteria!$B$15&amp;"x"&amp;SG_Criteria!$B$16&amp;" for roadside drain. ","")&amp;IF(AND(D149="Common drain",F149&lt;SG_Criteria!$B$17),"FAIL: common drain W &lt; "&amp;SG_Criteria!$B$17&amp;" mm. ","")&amp;IF(AND(N149&lt;&gt;"",IFERROR(VALUE(MID(N149,2,2)),0)&lt;SG_Criteria!$B$19),"FAIL: grade below C"&amp;SG_Criteria!$B$19&amp;". ","")&amp;IF(AND(O149&lt;&gt;"",O149&lt;SG_Criteria!$B$20),"FAIL: cover &lt; "&amp;SG_Criteria!$B$20&amp;" mm. ","")&amp;IF(AND(E149="Open",G149&gt;SG_Criteria!$B$18),"NOTE: safety railing required (D &gt; "&amp;SG_Criteria!$B$18&amp;" mm). ","")&amp;IF(AND(D149="Entrance culvert",G149&lt;600),"NOTE: check hinged grating rule for culverts &lt; 600 deep (PUB Add. 3). ","")))</f>
        <v/>
      </c>
      <c r="AP149" s="9"/>
      <c r="AQ149" s="9"/>
      <c r="AR149" s="9"/>
      <c r="AS149" s="9"/>
      <c r="AT149" s="9"/>
      <c r="AU149" s="31"/>
      <c r="AV149" s="10" t="str">
        <f aca="false">IF(C149="","",IF(AND(V149="Approved",ISERROR(SEARCH("FAIL",AO149))),"Y","N"))</f>
        <v/>
      </c>
      <c r="AW149" s="10" t="str">
        <f aca="false">IF(C149="","",C149&amp;"|"&amp;F149&amp;"|"&amp;G149&amp;"|"&amp;L149&amp;"|"&amp;AV149)</f>
        <v/>
      </c>
    </row>
    <row r="150" customFormat="false" ht="15" hidden="false" customHeight="false" outlineLevel="0" collapsed="false">
      <c r="A150" s="10" t="str">
        <f aca="false">IF(C150="","","DRN-"&amp;IFERROR(VLOOKUP(C150,Lists!$A$4:$B$27,2,0),"??")&amp;"-"&amp;TEXT(F150,"0000")&amp;"x"&amp;TEXT(G150,"0000")&amp;IF(N(H150)&gt;1,"-"&amp;H150&amp;"C","")&amp;"-"&amp;IFERROR(VLOOKUP(L150,Lists!$J$4:$K$19,2,0),"??")&amp;"-"&amp;U150)</f>
        <v/>
      </c>
      <c r="B150" s="10" t="str">
        <f aca="false">IF(C150="","",C150&amp;" "&amp;F150&amp;"W x "&amp;G150&amp;"D"&amp;IF(N(H150)&gt;1," ("&amp;H150&amp;" cells)","")&amp;", "&amp;D150&amp;", "&amp;L150&amp;", "&amp;E150)</f>
        <v/>
      </c>
      <c r="C150" s="9"/>
      <c r="D150" s="9"/>
      <c r="E150" s="9"/>
      <c r="F150" s="40"/>
      <c r="G150" s="40"/>
      <c r="H150" s="40"/>
      <c r="I150" s="40"/>
      <c r="J150" s="40"/>
      <c r="K150" s="40"/>
      <c r="L150" s="9"/>
      <c r="M150" s="9"/>
      <c r="N150" s="9"/>
      <c r="O150" s="40"/>
      <c r="P150" s="9"/>
      <c r="Q150" s="9"/>
      <c r="R150" s="9"/>
      <c r="S150" s="9"/>
      <c r="T150" s="9"/>
      <c r="U150" s="9"/>
      <c r="V150" s="9"/>
      <c r="W150" s="9"/>
      <c r="X150" s="9"/>
      <c r="Y150" s="9"/>
      <c r="Z150" s="10" t="str">
        <f aca="false">IF(A150="","",SG_Criteria!$B$6&amp;SG_Criteria!$B$7&amp;"\"&amp;A150&amp;"\")</f>
        <v/>
      </c>
      <c r="AA150" s="10" t="str">
        <f aca="false">IF(A150="","",A150&amp;"_CAD.dwg")</f>
        <v/>
      </c>
      <c r="AB150" s="10" t="str">
        <f aca="false">IF(A150="","",A150&amp;"_DWG.pdf")</f>
        <v/>
      </c>
      <c r="AC150" s="10" t="str">
        <f aca="false">IF(A150="","",IF(Y150="Y",A150&amp;"_STAAD.std","n/a"))</f>
        <v/>
      </c>
      <c r="AD150" s="10" t="str">
        <f aca="false">IF(A150="","",A150&amp;"_CALC.xlsx")</f>
        <v/>
      </c>
      <c r="AE150" s="10" t="str">
        <f aca="false">IF(A150="","",A150&amp;"_CALC.pdf")</f>
        <v/>
      </c>
      <c r="AF150" s="9"/>
      <c r="AG150" s="9"/>
      <c r="AH150" s="41"/>
      <c r="AI150" s="41"/>
      <c r="AJ150" s="41"/>
      <c r="AK150" s="41"/>
      <c r="AL150" s="41"/>
      <c r="AM150" s="37" t="str">
        <f aca="false">IF(OR(C150="",F150="",G150="",C150="Sump",C150="Drop Inlet Chamber",C150="Silt Trap",C150="Pipe Culvert",C150="Subsoil Drain"),"",ROUND(MAX(1,N(H150))*(1/SG_Criteria!$B$26)*((F150/1000)*(G150/1000*(1-SG_Criteria!$B$25)))*(((F150/1000)*(G150/1000*(1-SG_Criteria!$B$25)))/((F150/1000)+2*(G150/1000*(1-SG_Criteria!$B$25))))^(2/3)*(1/Design_Selector!$B$11)^0.5,3))</f>
        <v/>
      </c>
      <c r="AN150" s="11" t="str">
        <f aca="false">IF(AM150="","",ROUND(AM150/(MAX(1,N(H150))*F150/1000*(G150/1000*(1-SG_Criteria!$B$25))),2))</f>
        <v/>
      </c>
      <c r="AO150" s="38" t="str">
        <f aca="false">IF(C150="","",IF(LEN(IF(AND(OR(D150="Roadside drain",D150="Entrance culvert"),OR(F150&lt;SG_Criteria!$B$15,G150&lt;SG_Criteria!$B$16)),"FAIL: below PUB min "&amp;SG_Criteria!$B$15&amp;"x"&amp;SG_Criteria!$B$16&amp;" for roadside drain. ","")&amp;IF(AND(D150="Common drain",F150&lt;SG_Criteria!$B$17),"FAIL: common drain W &lt; "&amp;SG_Criteria!$B$17&amp;" mm. ","")&amp;IF(AND(N150&lt;&gt;"",IFERROR(VALUE(MID(N150,2,2)),0)&lt;SG_Criteria!$B$19),"FAIL: grade below C"&amp;SG_Criteria!$B$19&amp;". ","")&amp;IF(AND(O150&lt;&gt;"",O150&lt;SG_Criteria!$B$20),"FAIL: cover &lt; "&amp;SG_Criteria!$B$20&amp;" mm. ","")&amp;IF(AND(E150="Open",G150&gt;SG_Criteria!$B$18),"NOTE: safety railing required (D &gt; "&amp;SG_Criteria!$B$18&amp;" mm). ","")&amp;IF(AND(D150="Entrance culvert",G150&lt;600),"NOTE: check hinged grating rule for culverts &lt; 600 deep (PUB Add. 3). ",""))=0,"OK",IF(AND(OR(D150="Roadside drain",D150="Entrance culvert"),OR(F150&lt;SG_Criteria!$B$15,G150&lt;SG_Criteria!$B$16)),"FAIL: below PUB min "&amp;SG_Criteria!$B$15&amp;"x"&amp;SG_Criteria!$B$16&amp;" for roadside drain. ","")&amp;IF(AND(D150="Common drain",F150&lt;SG_Criteria!$B$17),"FAIL: common drain W &lt; "&amp;SG_Criteria!$B$17&amp;" mm. ","")&amp;IF(AND(N150&lt;&gt;"",IFERROR(VALUE(MID(N150,2,2)),0)&lt;SG_Criteria!$B$19),"FAIL: grade below C"&amp;SG_Criteria!$B$19&amp;". ","")&amp;IF(AND(O150&lt;&gt;"",O150&lt;SG_Criteria!$B$20),"FAIL: cover &lt; "&amp;SG_Criteria!$B$20&amp;" mm. ","")&amp;IF(AND(E150="Open",G150&gt;SG_Criteria!$B$18),"NOTE: safety railing required (D &gt; "&amp;SG_Criteria!$B$18&amp;" mm). ","")&amp;IF(AND(D150="Entrance culvert",G150&lt;600),"NOTE: check hinged grating rule for culverts &lt; 600 deep (PUB Add. 3). ","")))</f>
        <v/>
      </c>
      <c r="AP150" s="9"/>
      <c r="AQ150" s="9"/>
      <c r="AR150" s="9"/>
      <c r="AS150" s="9"/>
      <c r="AT150" s="9"/>
      <c r="AU150" s="31"/>
      <c r="AV150" s="10" t="str">
        <f aca="false">IF(C150="","",IF(AND(V150="Approved",ISERROR(SEARCH("FAIL",AO150))),"Y","N"))</f>
        <v/>
      </c>
      <c r="AW150" s="10" t="str">
        <f aca="false">IF(C150="","",C150&amp;"|"&amp;F150&amp;"|"&amp;G150&amp;"|"&amp;L150&amp;"|"&amp;AV150)</f>
        <v/>
      </c>
    </row>
    <row r="151" customFormat="false" ht="15" hidden="false" customHeight="false" outlineLevel="0" collapsed="false">
      <c r="A151" s="10" t="str">
        <f aca="false">IF(C151="","","DRN-"&amp;IFERROR(VLOOKUP(C151,Lists!$A$4:$B$27,2,0),"??")&amp;"-"&amp;TEXT(F151,"0000")&amp;"x"&amp;TEXT(G151,"0000")&amp;IF(N(H151)&gt;1,"-"&amp;H151&amp;"C","")&amp;"-"&amp;IFERROR(VLOOKUP(L151,Lists!$J$4:$K$19,2,0),"??")&amp;"-"&amp;U151)</f>
        <v/>
      </c>
      <c r="B151" s="10" t="str">
        <f aca="false">IF(C151="","",C151&amp;" "&amp;F151&amp;"W x "&amp;G151&amp;"D"&amp;IF(N(H151)&gt;1," ("&amp;H151&amp;" cells)","")&amp;", "&amp;D151&amp;", "&amp;L151&amp;", "&amp;E151)</f>
        <v/>
      </c>
      <c r="C151" s="9"/>
      <c r="D151" s="9"/>
      <c r="E151" s="9"/>
      <c r="F151" s="40"/>
      <c r="G151" s="40"/>
      <c r="H151" s="40"/>
      <c r="I151" s="40"/>
      <c r="J151" s="40"/>
      <c r="K151" s="40"/>
      <c r="L151" s="9"/>
      <c r="M151" s="9"/>
      <c r="N151" s="9"/>
      <c r="O151" s="40"/>
      <c r="P151" s="9"/>
      <c r="Q151" s="9"/>
      <c r="R151" s="9"/>
      <c r="S151" s="9"/>
      <c r="T151" s="9"/>
      <c r="U151" s="9"/>
      <c r="V151" s="9"/>
      <c r="W151" s="9"/>
      <c r="X151" s="9"/>
      <c r="Y151" s="9"/>
      <c r="Z151" s="10" t="str">
        <f aca="false">IF(A151="","",SG_Criteria!$B$6&amp;SG_Criteria!$B$7&amp;"\"&amp;A151&amp;"\")</f>
        <v/>
      </c>
      <c r="AA151" s="10" t="str">
        <f aca="false">IF(A151="","",A151&amp;"_CAD.dwg")</f>
        <v/>
      </c>
      <c r="AB151" s="10" t="str">
        <f aca="false">IF(A151="","",A151&amp;"_DWG.pdf")</f>
        <v/>
      </c>
      <c r="AC151" s="10" t="str">
        <f aca="false">IF(A151="","",IF(Y151="Y",A151&amp;"_STAAD.std","n/a"))</f>
        <v/>
      </c>
      <c r="AD151" s="10" t="str">
        <f aca="false">IF(A151="","",A151&amp;"_CALC.xlsx")</f>
        <v/>
      </c>
      <c r="AE151" s="10" t="str">
        <f aca="false">IF(A151="","",A151&amp;"_CALC.pdf")</f>
        <v/>
      </c>
      <c r="AF151" s="9"/>
      <c r="AG151" s="9"/>
      <c r="AH151" s="41"/>
      <c r="AI151" s="41"/>
      <c r="AJ151" s="41"/>
      <c r="AK151" s="41"/>
      <c r="AL151" s="41"/>
      <c r="AM151" s="37" t="str">
        <f aca="false">IF(OR(C151="",F151="",G151="",C151="Sump",C151="Drop Inlet Chamber",C151="Silt Trap",C151="Pipe Culvert",C151="Subsoil Drain"),"",ROUND(MAX(1,N(H151))*(1/SG_Criteria!$B$26)*((F151/1000)*(G151/1000*(1-SG_Criteria!$B$25)))*(((F151/1000)*(G151/1000*(1-SG_Criteria!$B$25)))/((F151/1000)+2*(G151/1000*(1-SG_Criteria!$B$25))))^(2/3)*(1/Design_Selector!$B$11)^0.5,3))</f>
        <v/>
      </c>
      <c r="AN151" s="11" t="str">
        <f aca="false">IF(AM151="","",ROUND(AM151/(MAX(1,N(H151))*F151/1000*(G151/1000*(1-SG_Criteria!$B$25))),2))</f>
        <v/>
      </c>
      <c r="AO151" s="38" t="str">
        <f aca="false">IF(C151="","",IF(LEN(IF(AND(OR(D151="Roadside drain",D151="Entrance culvert"),OR(F151&lt;SG_Criteria!$B$15,G151&lt;SG_Criteria!$B$16)),"FAIL: below PUB min "&amp;SG_Criteria!$B$15&amp;"x"&amp;SG_Criteria!$B$16&amp;" for roadside drain. ","")&amp;IF(AND(D151="Common drain",F151&lt;SG_Criteria!$B$17),"FAIL: common drain W &lt; "&amp;SG_Criteria!$B$17&amp;" mm. ","")&amp;IF(AND(N151&lt;&gt;"",IFERROR(VALUE(MID(N151,2,2)),0)&lt;SG_Criteria!$B$19),"FAIL: grade below C"&amp;SG_Criteria!$B$19&amp;". ","")&amp;IF(AND(O151&lt;&gt;"",O151&lt;SG_Criteria!$B$20),"FAIL: cover &lt; "&amp;SG_Criteria!$B$20&amp;" mm. ","")&amp;IF(AND(E151="Open",G151&gt;SG_Criteria!$B$18),"NOTE: safety railing required (D &gt; "&amp;SG_Criteria!$B$18&amp;" mm). ","")&amp;IF(AND(D151="Entrance culvert",G151&lt;600),"NOTE: check hinged grating rule for culverts &lt; 600 deep (PUB Add. 3). ",""))=0,"OK",IF(AND(OR(D151="Roadside drain",D151="Entrance culvert"),OR(F151&lt;SG_Criteria!$B$15,G151&lt;SG_Criteria!$B$16)),"FAIL: below PUB min "&amp;SG_Criteria!$B$15&amp;"x"&amp;SG_Criteria!$B$16&amp;" for roadside drain. ","")&amp;IF(AND(D151="Common drain",F151&lt;SG_Criteria!$B$17),"FAIL: common drain W &lt; "&amp;SG_Criteria!$B$17&amp;" mm. ","")&amp;IF(AND(N151&lt;&gt;"",IFERROR(VALUE(MID(N151,2,2)),0)&lt;SG_Criteria!$B$19),"FAIL: grade below C"&amp;SG_Criteria!$B$19&amp;". ","")&amp;IF(AND(O151&lt;&gt;"",O151&lt;SG_Criteria!$B$20),"FAIL: cover &lt; "&amp;SG_Criteria!$B$20&amp;" mm. ","")&amp;IF(AND(E151="Open",G151&gt;SG_Criteria!$B$18),"NOTE: safety railing required (D &gt; "&amp;SG_Criteria!$B$18&amp;" mm). ","")&amp;IF(AND(D151="Entrance culvert",G151&lt;600),"NOTE: check hinged grating rule for culverts &lt; 600 deep (PUB Add. 3). ","")))</f>
        <v/>
      </c>
      <c r="AP151" s="9"/>
      <c r="AQ151" s="9"/>
      <c r="AR151" s="9"/>
      <c r="AS151" s="9"/>
      <c r="AT151" s="9"/>
      <c r="AU151" s="31"/>
      <c r="AV151" s="10" t="str">
        <f aca="false">IF(C151="","",IF(AND(V151="Approved",ISERROR(SEARCH("FAIL",AO151))),"Y","N"))</f>
        <v/>
      </c>
      <c r="AW151" s="10" t="str">
        <f aca="false">IF(C151="","",C151&amp;"|"&amp;F151&amp;"|"&amp;G151&amp;"|"&amp;L151&amp;"|"&amp;AV151)</f>
        <v/>
      </c>
    </row>
    <row r="152" customFormat="false" ht="15" hidden="false" customHeight="false" outlineLevel="0" collapsed="false">
      <c r="A152" s="10" t="str">
        <f aca="false">IF(C152="","","DRN-"&amp;IFERROR(VLOOKUP(C152,Lists!$A$4:$B$27,2,0),"??")&amp;"-"&amp;TEXT(F152,"0000")&amp;"x"&amp;TEXT(G152,"0000")&amp;IF(N(H152)&gt;1,"-"&amp;H152&amp;"C","")&amp;"-"&amp;IFERROR(VLOOKUP(L152,Lists!$J$4:$K$19,2,0),"??")&amp;"-"&amp;U152)</f>
        <v/>
      </c>
      <c r="B152" s="10" t="str">
        <f aca="false">IF(C152="","",C152&amp;" "&amp;F152&amp;"W x "&amp;G152&amp;"D"&amp;IF(N(H152)&gt;1," ("&amp;H152&amp;" cells)","")&amp;", "&amp;D152&amp;", "&amp;L152&amp;", "&amp;E152)</f>
        <v/>
      </c>
      <c r="C152" s="9"/>
      <c r="D152" s="9"/>
      <c r="E152" s="9"/>
      <c r="F152" s="40"/>
      <c r="G152" s="40"/>
      <c r="H152" s="40"/>
      <c r="I152" s="40"/>
      <c r="J152" s="40"/>
      <c r="K152" s="40"/>
      <c r="L152" s="9"/>
      <c r="M152" s="9"/>
      <c r="N152" s="9"/>
      <c r="O152" s="40"/>
      <c r="P152" s="9"/>
      <c r="Q152" s="9"/>
      <c r="R152" s="9"/>
      <c r="S152" s="9"/>
      <c r="T152" s="9"/>
      <c r="U152" s="9"/>
      <c r="V152" s="9"/>
      <c r="W152" s="9"/>
      <c r="X152" s="9"/>
      <c r="Y152" s="9"/>
      <c r="Z152" s="10" t="str">
        <f aca="false">IF(A152="","",SG_Criteria!$B$6&amp;SG_Criteria!$B$7&amp;"\"&amp;A152&amp;"\")</f>
        <v/>
      </c>
      <c r="AA152" s="10" t="str">
        <f aca="false">IF(A152="","",A152&amp;"_CAD.dwg")</f>
        <v/>
      </c>
      <c r="AB152" s="10" t="str">
        <f aca="false">IF(A152="","",A152&amp;"_DWG.pdf")</f>
        <v/>
      </c>
      <c r="AC152" s="10" t="str">
        <f aca="false">IF(A152="","",IF(Y152="Y",A152&amp;"_STAAD.std","n/a"))</f>
        <v/>
      </c>
      <c r="AD152" s="10" t="str">
        <f aca="false">IF(A152="","",A152&amp;"_CALC.xlsx")</f>
        <v/>
      </c>
      <c r="AE152" s="10" t="str">
        <f aca="false">IF(A152="","",A152&amp;"_CALC.pdf")</f>
        <v/>
      </c>
      <c r="AF152" s="9"/>
      <c r="AG152" s="9"/>
      <c r="AH152" s="41"/>
      <c r="AI152" s="41"/>
      <c r="AJ152" s="41"/>
      <c r="AK152" s="41"/>
      <c r="AL152" s="41"/>
      <c r="AM152" s="37" t="str">
        <f aca="false">IF(OR(C152="",F152="",G152="",C152="Sump",C152="Drop Inlet Chamber",C152="Silt Trap",C152="Pipe Culvert",C152="Subsoil Drain"),"",ROUND(MAX(1,N(H152))*(1/SG_Criteria!$B$26)*((F152/1000)*(G152/1000*(1-SG_Criteria!$B$25)))*(((F152/1000)*(G152/1000*(1-SG_Criteria!$B$25)))/((F152/1000)+2*(G152/1000*(1-SG_Criteria!$B$25))))^(2/3)*(1/Design_Selector!$B$11)^0.5,3))</f>
        <v/>
      </c>
      <c r="AN152" s="11" t="str">
        <f aca="false">IF(AM152="","",ROUND(AM152/(MAX(1,N(H152))*F152/1000*(G152/1000*(1-SG_Criteria!$B$25))),2))</f>
        <v/>
      </c>
      <c r="AO152" s="38" t="str">
        <f aca="false">IF(C152="","",IF(LEN(IF(AND(OR(D152="Roadside drain",D152="Entrance culvert"),OR(F152&lt;SG_Criteria!$B$15,G152&lt;SG_Criteria!$B$16)),"FAIL: below PUB min "&amp;SG_Criteria!$B$15&amp;"x"&amp;SG_Criteria!$B$16&amp;" for roadside drain. ","")&amp;IF(AND(D152="Common drain",F152&lt;SG_Criteria!$B$17),"FAIL: common drain W &lt; "&amp;SG_Criteria!$B$17&amp;" mm. ","")&amp;IF(AND(N152&lt;&gt;"",IFERROR(VALUE(MID(N152,2,2)),0)&lt;SG_Criteria!$B$19),"FAIL: grade below C"&amp;SG_Criteria!$B$19&amp;". ","")&amp;IF(AND(O152&lt;&gt;"",O152&lt;SG_Criteria!$B$20),"FAIL: cover &lt; "&amp;SG_Criteria!$B$20&amp;" mm. ","")&amp;IF(AND(E152="Open",G152&gt;SG_Criteria!$B$18),"NOTE: safety railing required (D &gt; "&amp;SG_Criteria!$B$18&amp;" mm). ","")&amp;IF(AND(D152="Entrance culvert",G152&lt;600),"NOTE: check hinged grating rule for culverts &lt; 600 deep (PUB Add. 3). ",""))=0,"OK",IF(AND(OR(D152="Roadside drain",D152="Entrance culvert"),OR(F152&lt;SG_Criteria!$B$15,G152&lt;SG_Criteria!$B$16)),"FAIL: below PUB min "&amp;SG_Criteria!$B$15&amp;"x"&amp;SG_Criteria!$B$16&amp;" for roadside drain. ","")&amp;IF(AND(D152="Common drain",F152&lt;SG_Criteria!$B$17),"FAIL: common drain W &lt; "&amp;SG_Criteria!$B$17&amp;" mm. ","")&amp;IF(AND(N152&lt;&gt;"",IFERROR(VALUE(MID(N152,2,2)),0)&lt;SG_Criteria!$B$19),"FAIL: grade below C"&amp;SG_Criteria!$B$19&amp;". ","")&amp;IF(AND(O152&lt;&gt;"",O152&lt;SG_Criteria!$B$20),"FAIL: cover &lt; "&amp;SG_Criteria!$B$20&amp;" mm. ","")&amp;IF(AND(E152="Open",G152&gt;SG_Criteria!$B$18),"NOTE: safety railing required (D &gt; "&amp;SG_Criteria!$B$18&amp;" mm). ","")&amp;IF(AND(D152="Entrance culvert",G152&lt;600),"NOTE: check hinged grating rule for culverts &lt; 600 deep (PUB Add. 3). ","")))</f>
        <v/>
      </c>
      <c r="AP152" s="9"/>
      <c r="AQ152" s="9"/>
      <c r="AR152" s="9"/>
      <c r="AS152" s="9"/>
      <c r="AT152" s="9"/>
      <c r="AU152" s="31"/>
      <c r="AV152" s="10" t="str">
        <f aca="false">IF(C152="","",IF(AND(V152="Approved",ISERROR(SEARCH("FAIL",AO152))),"Y","N"))</f>
        <v/>
      </c>
      <c r="AW152" s="10" t="str">
        <f aca="false">IF(C152="","",C152&amp;"|"&amp;F152&amp;"|"&amp;G152&amp;"|"&amp;L152&amp;"|"&amp;AV152)</f>
        <v/>
      </c>
    </row>
    <row r="153" customFormat="false" ht="15" hidden="false" customHeight="false" outlineLevel="0" collapsed="false">
      <c r="A153" s="10" t="str">
        <f aca="false">IF(C153="","","DRN-"&amp;IFERROR(VLOOKUP(C153,Lists!$A$4:$B$27,2,0),"??")&amp;"-"&amp;TEXT(F153,"0000")&amp;"x"&amp;TEXT(G153,"0000")&amp;IF(N(H153)&gt;1,"-"&amp;H153&amp;"C","")&amp;"-"&amp;IFERROR(VLOOKUP(L153,Lists!$J$4:$K$19,2,0),"??")&amp;"-"&amp;U153)</f>
        <v/>
      </c>
      <c r="B153" s="10" t="str">
        <f aca="false">IF(C153="","",C153&amp;" "&amp;F153&amp;"W x "&amp;G153&amp;"D"&amp;IF(N(H153)&gt;1," ("&amp;H153&amp;" cells)","")&amp;", "&amp;D153&amp;", "&amp;L153&amp;", "&amp;E153)</f>
        <v/>
      </c>
      <c r="C153" s="9"/>
      <c r="D153" s="9"/>
      <c r="E153" s="9"/>
      <c r="F153" s="40"/>
      <c r="G153" s="40"/>
      <c r="H153" s="40"/>
      <c r="I153" s="40"/>
      <c r="J153" s="40"/>
      <c r="K153" s="40"/>
      <c r="L153" s="9"/>
      <c r="M153" s="9"/>
      <c r="N153" s="9"/>
      <c r="O153" s="40"/>
      <c r="P153" s="9"/>
      <c r="Q153" s="9"/>
      <c r="R153" s="9"/>
      <c r="S153" s="9"/>
      <c r="T153" s="9"/>
      <c r="U153" s="9"/>
      <c r="V153" s="9"/>
      <c r="W153" s="9"/>
      <c r="X153" s="9"/>
      <c r="Y153" s="9"/>
      <c r="Z153" s="10" t="str">
        <f aca="false">IF(A153="","",SG_Criteria!$B$6&amp;SG_Criteria!$B$7&amp;"\"&amp;A153&amp;"\")</f>
        <v/>
      </c>
      <c r="AA153" s="10" t="str">
        <f aca="false">IF(A153="","",A153&amp;"_CAD.dwg")</f>
        <v/>
      </c>
      <c r="AB153" s="10" t="str">
        <f aca="false">IF(A153="","",A153&amp;"_DWG.pdf")</f>
        <v/>
      </c>
      <c r="AC153" s="10" t="str">
        <f aca="false">IF(A153="","",IF(Y153="Y",A153&amp;"_STAAD.std","n/a"))</f>
        <v/>
      </c>
      <c r="AD153" s="10" t="str">
        <f aca="false">IF(A153="","",A153&amp;"_CALC.xlsx")</f>
        <v/>
      </c>
      <c r="AE153" s="10" t="str">
        <f aca="false">IF(A153="","",A153&amp;"_CALC.pdf")</f>
        <v/>
      </c>
      <c r="AF153" s="9"/>
      <c r="AG153" s="9"/>
      <c r="AH153" s="41"/>
      <c r="AI153" s="41"/>
      <c r="AJ153" s="41"/>
      <c r="AK153" s="41"/>
      <c r="AL153" s="41"/>
      <c r="AM153" s="37" t="str">
        <f aca="false">IF(OR(C153="",F153="",G153="",C153="Sump",C153="Drop Inlet Chamber",C153="Silt Trap",C153="Pipe Culvert",C153="Subsoil Drain"),"",ROUND(MAX(1,N(H153))*(1/SG_Criteria!$B$26)*((F153/1000)*(G153/1000*(1-SG_Criteria!$B$25)))*(((F153/1000)*(G153/1000*(1-SG_Criteria!$B$25)))/((F153/1000)+2*(G153/1000*(1-SG_Criteria!$B$25))))^(2/3)*(1/Design_Selector!$B$11)^0.5,3))</f>
        <v/>
      </c>
      <c r="AN153" s="11" t="str">
        <f aca="false">IF(AM153="","",ROUND(AM153/(MAX(1,N(H153))*F153/1000*(G153/1000*(1-SG_Criteria!$B$25))),2))</f>
        <v/>
      </c>
      <c r="AO153" s="38" t="str">
        <f aca="false">IF(C153="","",IF(LEN(IF(AND(OR(D153="Roadside drain",D153="Entrance culvert"),OR(F153&lt;SG_Criteria!$B$15,G153&lt;SG_Criteria!$B$16)),"FAIL: below PUB min "&amp;SG_Criteria!$B$15&amp;"x"&amp;SG_Criteria!$B$16&amp;" for roadside drain. ","")&amp;IF(AND(D153="Common drain",F153&lt;SG_Criteria!$B$17),"FAIL: common drain W &lt; "&amp;SG_Criteria!$B$17&amp;" mm. ","")&amp;IF(AND(N153&lt;&gt;"",IFERROR(VALUE(MID(N153,2,2)),0)&lt;SG_Criteria!$B$19),"FAIL: grade below C"&amp;SG_Criteria!$B$19&amp;". ","")&amp;IF(AND(O153&lt;&gt;"",O153&lt;SG_Criteria!$B$20),"FAIL: cover &lt; "&amp;SG_Criteria!$B$20&amp;" mm. ","")&amp;IF(AND(E153="Open",G153&gt;SG_Criteria!$B$18),"NOTE: safety railing required (D &gt; "&amp;SG_Criteria!$B$18&amp;" mm). ","")&amp;IF(AND(D153="Entrance culvert",G153&lt;600),"NOTE: check hinged grating rule for culverts &lt; 600 deep (PUB Add. 3). ",""))=0,"OK",IF(AND(OR(D153="Roadside drain",D153="Entrance culvert"),OR(F153&lt;SG_Criteria!$B$15,G153&lt;SG_Criteria!$B$16)),"FAIL: below PUB min "&amp;SG_Criteria!$B$15&amp;"x"&amp;SG_Criteria!$B$16&amp;" for roadside drain. ","")&amp;IF(AND(D153="Common drain",F153&lt;SG_Criteria!$B$17),"FAIL: common drain W &lt; "&amp;SG_Criteria!$B$17&amp;" mm. ","")&amp;IF(AND(N153&lt;&gt;"",IFERROR(VALUE(MID(N153,2,2)),0)&lt;SG_Criteria!$B$19),"FAIL: grade below C"&amp;SG_Criteria!$B$19&amp;". ","")&amp;IF(AND(O153&lt;&gt;"",O153&lt;SG_Criteria!$B$20),"FAIL: cover &lt; "&amp;SG_Criteria!$B$20&amp;" mm. ","")&amp;IF(AND(E153="Open",G153&gt;SG_Criteria!$B$18),"NOTE: safety railing required (D &gt; "&amp;SG_Criteria!$B$18&amp;" mm). ","")&amp;IF(AND(D153="Entrance culvert",G153&lt;600),"NOTE: check hinged grating rule for culverts &lt; 600 deep (PUB Add. 3). ","")))</f>
        <v/>
      </c>
      <c r="AP153" s="9"/>
      <c r="AQ153" s="9"/>
      <c r="AR153" s="9"/>
      <c r="AS153" s="9"/>
      <c r="AT153" s="9"/>
      <c r="AU153" s="31"/>
      <c r="AV153" s="10" t="str">
        <f aca="false">IF(C153="","",IF(AND(V153="Approved",ISERROR(SEARCH("FAIL",AO153))),"Y","N"))</f>
        <v/>
      </c>
      <c r="AW153" s="10" t="str">
        <f aca="false">IF(C153="","",C153&amp;"|"&amp;F153&amp;"|"&amp;G153&amp;"|"&amp;L153&amp;"|"&amp;AV153)</f>
        <v/>
      </c>
    </row>
    <row r="154" customFormat="false" ht="15" hidden="false" customHeight="false" outlineLevel="0" collapsed="false">
      <c r="A154" s="10" t="str">
        <f aca="false">IF(C154="","","DRN-"&amp;IFERROR(VLOOKUP(C154,Lists!$A$4:$B$27,2,0),"??")&amp;"-"&amp;TEXT(F154,"0000")&amp;"x"&amp;TEXT(G154,"0000")&amp;IF(N(H154)&gt;1,"-"&amp;H154&amp;"C","")&amp;"-"&amp;IFERROR(VLOOKUP(L154,Lists!$J$4:$K$19,2,0),"??")&amp;"-"&amp;U154)</f>
        <v/>
      </c>
      <c r="B154" s="10" t="str">
        <f aca="false">IF(C154="","",C154&amp;" "&amp;F154&amp;"W x "&amp;G154&amp;"D"&amp;IF(N(H154)&gt;1," ("&amp;H154&amp;" cells)","")&amp;", "&amp;D154&amp;", "&amp;L154&amp;", "&amp;E154)</f>
        <v/>
      </c>
      <c r="C154" s="9"/>
      <c r="D154" s="9"/>
      <c r="E154" s="9"/>
      <c r="F154" s="40"/>
      <c r="G154" s="40"/>
      <c r="H154" s="40"/>
      <c r="I154" s="40"/>
      <c r="J154" s="40"/>
      <c r="K154" s="40"/>
      <c r="L154" s="9"/>
      <c r="M154" s="9"/>
      <c r="N154" s="9"/>
      <c r="O154" s="40"/>
      <c r="P154" s="9"/>
      <c r="Q154" s="9"/>
      <c r="R154" s="9"/>
      <c r="S154" s="9"/>
      <c r="T154" s="9"/>
      <c r="U154" s="9"/>
      <c r="V154" s="9"/>
      <c r="W154" s="9"/>
      <c r="X154" s="9"/>
      <c r="Y154" s="9"/>
      <c r="Z154" s="10" t="str">
        <f aca="false">IF(A154="","",SG_Criteria!$B$6&amp;SG_Criteria!$B$7&amp;"\"&amp;A154&amp;"\")</f>
        <v/>
      </c>
      <c r="AA154" s="10" t="str">
        <f aca="false">IF(A154="","",A154&amp;"_CAD.dwg")</f>
        <v/>
      </c>
      <c r="AB154" s="10" t="str">
        <f aca="false">IF(A154="","",A154&amp;"_DWG.pdf")</f>
        <v/>
      </c>
      <c r="AC154" s="10" t="str">
        <f aca="false">IF(A154="","",IF(Y154="Y",A154&amp;"_STAAD.std","n/a"))</f>
        <v/>
      </c>
      <c r="AD154" s="10" t="str">
        <f aca="false">IF(A154="","",A154&amp;"_CALC.xlsx")</f>
        <v/>
      </c>
      <c r="AE154" s="10" t="str">
        <f aca="false">IF(A154="","",A154&amp;"_CALC.pdf")</f>
        <v/>
      </c>
      <c r="AF154" s="9"/>
      <c r="AG154" s="9"/>
      <c r="AH154" s="41"/>
      <c r="AI154" s="41"/>
      <c r="AJ154" s="41"/>
      <c r="AK154" s="41"/>
      <c r="AL154" s="41"/>
      <c r="AM154" s="37" t="str">
        <f aca="false">IF(OR(C154="",F154="",G154="",C154="Sump",C154="Drop Inlet Chamber",C154="Silt Trap",C154="Pipe Culvert",C154="Subsoil Drain"),"",ROUND(MAX(1,N(H154))*(1/SG_Criteria!$B$26)*((F154/1000)*(G154/1000*(1-SG_Criteria!$B$25)))*(((F154/1000)*(G154/1000*(1-SG_Criteria!$B$25)))/((F154/1000)+2*(G154/1000*(1-SG_Criteria!$B$25))))^(2/3)*(1/Design_Selector!$B$11)^0.5,3))</f>
        <v/>
      </c>
      <c r="AN154" s="11" t="str">
        <f aca="false">IF(AM154="","",ROUND(AM154/(MAX(1,N(H154))*F154/1000*(G154/1000*(1-SG_Criteria!$B$25))),2))</f>
        <v/>
      </c>
      <c r="AO154" s="38" t="str">
        <f aca="false">IF(C154="","",IF(LEN(IF(AND(OR(D154="Roadside drain",D154="Entrance culvert"),OR(F154&lt;SG_Criteria!$B$15,G154&lt;SG_Criteria!$B$16)),"FAIL: below PUB min "&amp;SG_Criteria!$B$15&amp;"x"&amp;SG_Criteria!$B$16&amp;" for roadside drain. ","")&amp;IF(AND(D154="Common drain",F154&lt;SG_Criteria!$B$17),"FAIL: common drain W &lt; "&amp;SG_Criteria!$B$17&amp;" mm. ","")&amp;IF(AND(N154&lt;&gt;"",IFERROR(VALUE(MID(N154,2,2)),0)&lt;SG_Criteria!$B$19),"FAIL: grade below C"&amp;SG_Criteria!$B$19&amp;". ","")&amp;IF(AND(O154&lt;&gt;"",O154&lt;SG_Criteria!$B$20),"FAIL: cover &lt; "&amp;SG_Criteria!$B$20&amp;" mm. ","")&amp;IF(AND(E154="Open",G154&gt;SG_Criteria!$B$18),"NOTE: safety railing required (D &gt; "&amp;SG_Criteria!$B$18&amp;" mm). ","")&amp;IF(AND(D154="Entrance culvert",G154&lt;600),"NOTE: check hinged grating rule for culverts &lt; 600 deep (PUB Add. 3). ",""))=0,"OK",IF(AND(OR(D154="Roadside drain",D154="Entrance culvert"),OR(F154&lt;SG_Criteria!$B$15,G154&lt;SG_Criteria!$B$16)),"FAIL: below PUB min "&amp;SG_Criteria!$B$15&amp;"x"&amp;SG_Criteria!$B$16&amp;" for roadside drain. ","")&amp;IF(AND(D154="Common drain",F154&lt;SG_Criteria!$B$17),"FAIL: common drain W &lt; "&amp;SG_Criteria!$B$17&amp;" mm. ","")&amp;IF(AND(N154&lt;&gt;"",IFERROR(VALUE(MID(N154,2,2)),0)&lt;SG_Criteria!$B$19),"FAIL: grade below C"&amp;SG_Criteria!$B$19&amp;". ","")&amp;IF(AND(O154&lt;&gt;"",O154&lt;SG_Criteria!$B$20),"FAIL: cover &lt; "&amp;SG_Criteria!$B$20&amp;" mm. ","")&amp;IF(AND(E154="Open",G154&gt;SG_Criteria!$B$18),"NOTE: safety railing required (D &gt; "&amp;SG_Criteria!$B$18&amp;" mm). ","")&amp;IF(AND(D154="Entrance culvert",G154&lt;600),"NOTE: check hinged grating rule for culverts &lt; 600 deep (PUB Add. 3). ","")))</f>
        <v/>
      </c>
      <c r="AP154" s="9"/>
      <c r="AQ154" s="9"/>
      <c r="AR154" s="9"/>
      <c r="AS154" s="9"/>
      <c r="AT154" s="9"/>
      <c r="AU154" s="31"/>
      <c r="AV154" s="10" t="str">
        <f aca="false">IF(C154="","",IF(AND(V154="Approved",ISERROR(SEARCH("FAIL",AO154))),"Y","N"))</f>
        <v/>
      </c>
      <c r="AW154" s="10" t="str">
        <f aca="false">IF(C154="","",C154&amp;"|"&amp;F154&amp;"|"&amp;G154&amp;"|"&amp;L154&amp;"|"&amp;AV154)</f>
        <v/>
      </c>
    </row>
    <row r="155" customFormat="false" ht="15" hidden="false" customHeight="false" outlineLevel="0" collapsed="false">
      <c r="A155" s="10" t="str">
        <f aca="false">IF(C155="","","DRN-"&amp;IFERROR(VLOOKUP(C155,Lists!$A$4:$B$27,2,0),"??")&amp;"-"&amp;TEXT(F155,"0000")&amp;"x"&amp;TEXT(G155,"0000")&amp;IF(N(H155)&gt;1,"-"&amp;H155&amp;"C","")&amp;"-"&amp;IFERROR(VLOOKUP(L155,Lists!$J$4:$K$19,2,0),"??")&amp;"-"&amp;U155)</f>
        <v/>
      </c>
      <c r="B155" s="10" t="str">
        <f aca="false">IF(C155="","",C155&amp;" "&amp;F155&amp;"W x "&amp;G155&amp;"D"&amp;IF(N(H155)&gt;1," ("&amp;H155&amp;" cells)","")&amp;", "&amp;D155&amp;", "&amp;L155&amp;", "&amp;E155)</f>
        <v/>
      </c>
      <c r="C155" s="9"/>
      <c r="D155" s="9"/>
      <c r="E155" s="9"/>
      <c r="F155" s="40"/>
      <c r="G155" s="40"/>
      <c r="H155" s="40"/>
      <c r="I155" s="40"/>
      <c r="J155" s="40"/>
      <c r="K155" s="40"/>
      <c r="L155" s="9"/>
      <c r="M155" s="9"/>
      <c r="N155" s="9"/>
      <c r="O155" s="40"/>
      <c r="P155" s="9"/>
      <c r="Q155" s="9"/>
      <c r="R155" s="9"/>
      <c r="S155" s="9"/>
      <c r="T155" s="9"/>
      <c r="U155" s="9"/>
      <c r="V155" s="9"/>
      <c r="W155" s="9"/>
      <c r="X155" s="9"/>
      <c r="Y155" s="9"/>
      <c r="Z155" s="10" t="str">
        <f aca="false">IF(A155="","",SG_Criteria!$B$6&amp;SG_Criteria!$B$7&amp;"\"&amp;A155&amp;"\")</f>
        <v/>
      </c>
      <c r="AA155" s="10" t="str">
        <f aca="false">IF(A155="","",A155&amp;"_CAD.dwg")</f>
        <v/>
      </c>
      <c r="AB155" s="10" t="str">
        <f aca="false">IF(A155="","",A155&amp;"_DWG.pdf")</f>
        <v/>
      </c>
      <c r="AC155" s="10" t="str">
        <f aca="false">IF(A155="","",IF(Y155="Y",A155&amp;"_STAAD.std","n/a"))</f>
        <v/>
      </c>
      <c r="AD155" s="10" t="str">
        <f aca="false">IF(A155="","",A155&amp;"_CALC.xlsx")</f>
        <v/>
      </c>
      <c r="AE155" s="10" t="str">
        <f aca="false">IF(A155="","",A155&amp;"_CALC.pdf")</f>
        <v/>
      </c>
      <c r="AF155" s="9"/>
      <c r="AG155" s="9"/>
      <c r="AH155" s="41"/>
      <c r="AI155" s="41"/>
      <c r="AJ155" s="41"/>
      <c r="AK155" s="41"/>
      <c r="AL155" s="41"/>
      <c r="AM155" s="37" t="str">
        <f aca="false">IF(OR(C155="",F155="",G155="",C155="Sump",C155="Drop Inlet Chamber",C155="Silt Trap",C155="Pipe Culvert",C155="Subsoil Drain"),"",ROUND(MAX(1,N(H155))*(1/SG_Criteria!$B$26)*((F155/1000)*(G155/1000*(1-SG_Criteria!$B$25)))*(((F155/1000)*(G155/1000*(1-SG_Criteria!$B$25)))/((F155/1000)+2*(G155/1000*(1-SG_Criteria!$B$25))))^(2/3)*(1/Design_Selector!$B$11)^0.5,3))</f>
        <v/>
      </c>
      <c r="AN155" s="11" t="str">
        <f aca="false">IF(AM155="","",ROUND(AM155/(MAX(1,N(H155))*F155/1000*(G155/1000*(1-SG_Criteria!$B$25))),2))</f>
        <v/>
      </c>
      <c r="AO155" s="38" t="str">
        <f aca="false">IF(C155="","",IF(LEN(IF(AND(OR(D155="Roadside drain",D155="Entrance culvert"),OR(F155&lt;SG_Criteria!$B$15,G155&lt;SG_Criteria!$B$16)),"FAIL: below PUB min "&amp;SG_Criteria!$B$15&amp;"x"&amp;SG_Criteria!$B$16&amp;" for roadside drain. ","")&amp;IF(AND(D155="Common drain",F155&lt;SG_Criteria!$B$17),"FAIL: common drain W &lt; "&amp;SG_Criteria!$B$17&amp;" mm. ","")&amp;IF(AND(N155&lt;&gt;"",IFERROR(VALUE(MID(N155,2,2)),0)&lt;SG_Criteria!$B$19),"FAIL: grade below C"&amp;SG_Criteria!$B$19&amp;". ","")&amp;IF(AND(O155&lt;&gt;"",O155&lt;SG_Criteria!$B$20),"FAIL: cover &lt; "&amp;SG_Criteria!$B$20&amp;" mm. ","")&amp;IF(AND(E155="Open",G155&gt;SG_Criteria!$B$18),"NOTE: safety railing required (D &gt; "&amp;SG_Criteria!$B$18&amp;" mm). ","")&amp;IF(AND(D155="Entrance culvert",G155&lt;600),"NOTE: check hinged grating rule for culverts &lt; 600 deep (PUB Add. 3). ",""))=0,"OK",IF(AND(OR(D155="Roadside drain",D155="Entrance culvert"),OR(F155&lt;SG_Criteria!$B$15,G155&lt;SG_Criteria!$B$16)),"FAIL: below PUB min "&amp;SG_Criteria!$B$15&amp;"x"&amp;SG_Criteria!$B$16&amp;" for roadside drain. ","")&amp;IF(AND(D155="Common drain",F155&lt;SG_Criteria!$B$17),"FAIL: common drain W &lt; "&amp;SG_Criteria!$B$17&amp;" mm. ","")&amp;IF(AND(N155&lt;&gt;"",IFERROR(VALUE(MID(N155,2,2)),0)&lt;SG_Criteria!$B$19),"FAIL: grade below C"&amp;SG_Criteria!$B$19&amp;". ","")&amp;IF(AND(O155&lt;&gt;"",O155&lt;SG_Criteria!$B$20),"FAIL: cover &lt; "&amp;SG_Criteria!$B$20&amp;" mm. ","")&amp;IF(AND(E155="Open",G155&gt;SG_Criteria!$B$18),"NOTE: safety railing required (D &gt; "&amp;SG_Criteria!$B$18&amp;" mm). ","")&amp;IF(AND(D155="Entrance culvert",G155&lt;600),"NOTE: check hinged grating rule for culverts &lt; 600 deep (PUB Add. 3). ","")))</f>
        <v/>
      </c>
      <c r="AP155" s="9"/>
      <c r="AQ155" s="9"/>
      <c r="AR155" s="9"/>
      <c r="AS155" s="9"/>
      <c r="AT155" s="9"/>
      <c r="AU155" s="31"/>
      <c r="AV155" s="10" t="str">
        <f aca="false">IF(C155="","",IF(AND(V155="Approved",ISERROR(SEARCH("FAIL",AO155))),"Y","N"))</f>
        <v/>
      </c>
      <c r="AW155" s="10" t="str">
        <f aca="false">IF(C155="","",C155&amp;"|"&amp;F155&amp;"|"&amp;G155&amp;"|"&amp;L155&amp;"|"&amp;AV155)</f>
        <v/>
      </c>
    </row>
    <row r="156" customFormat="false" ht="15" hidden="false" customHeight="false" outlineLevel="0" collapsed="false">
      <c r="A156" s="10" t="str">
        <f aca="false">IF(C156="","","DRN-"&amp;IFERROR(VLOOKUP(C156,Lists!$A$4:$B$27,2,0),"??")&amp;"-"&amp;TEXT(F156,"0000")&amp;"x"&amp;TEXT(G156,"0000")&amp;IF(N(H156)&gt;1,"-"&amp;H156&amp;"C","")&amp;"-"&amp;IFERROR(VLOOKUP(L156,Lists!$J$4:$K$19,2,0),"??")&amp;"-"&amp;U156)</f>
        <v/>
      </c>
      <c r="B156" s="10" t="str">
        <f aca="false">IF(C156="","",C156&amp;" "&amp;F156&amp;"W x "&amp;G156&amp;"D"&amp;IF(N(H156)&gt;1," ("&amp;H156&amp;" cells)","")&amp;", "&amp;D156&amp;", "&amp;L156&amp;", "&amp;E156)</f>
        <v/>
      </c>
      <c r="C156" s="9"/>
      <c r="D156" s="9"/>
      <c r="E156" s="9"/>
      <c r="F156" s="40"/>
      <c r="G156" s="40"/>
      <c r="H156" s="40"/>
      <c r="I156" s="40"/>
      <c r="J156" s="40"/>
      <c r="K156" s="40"/>
      <c r="L156" s="9"/>
      <c r="M156" s="9"/>
      <c r="N156" s="9"/>
      <c r="O156" s="40"/>
      <c r="P156" s="9"/>
      <c r="Q156" s="9"/>
      <c r="R156" s="9"/>
      <c r="S156" s="9"/>
      <c r="T156" s="9"/>
      <c r="U156" s="9"/>
      <c r="V156" s="9"/>
      <c r="W156" s="9"/>
      <c r="X156" s="9"/>
      <c r="Y156" s="9"/>
      <c r="Z156" s="10" t="str">
        <f aca="false">IF(A156="","",SG_Criteria!$B$6&amp;SG_Criteria!$B$7&amp;"\"&amp;A156&amp;"\")</f>
        <v/>
      </c>
      <c r="AA156" s="10" t="str">
        <f aca="false">IF(A156="","",A156&amp;"_CAD.dwg")</f>
        <v/>
      </c>
      <c r="AB156" s="10" t="str">
        <f aca="false">IF(A156="","",A156&amp;"_DWG.pdf")</f>
        <v/>
      </c>
      <c r="AC156" s="10" t="str">
        <f aca="false">IF(A156="","",IF(Y156="Y",A156&amp;"_STAAD.std","n/a"))</f>
        <v/>
      </c>
      <c r="AD156" s="10" t="str">
        <f aca="false">IF(A156="","",A156&amp;"_CALC.xlsx")</f>
        <v/>
      </c>
      <c r="AE156" s="10" t="str">
        <f aca="false">IF(A156="","",A156&amp;"_CALC.pdf")</f>
        <v/>
      </c>
      <c r="AF156" s="9"/>
      <c r="AG156" s="9"/>
      <c r="AH156" s="41"/>
      <c r="AI156" s="41"/>
      <c r="AJ156" s="41"/>
      <c r="AK156" s="41"/>
      <c r="AL156" s="41"/>
      <c r="AM156" s="37" t="str">
        <f aca="false">IF(OR(C156="",F156="",G156="",C156="Sump",C156="Drop Inlet Chamber",C156="Silt Trap",C156="Pipe Culvert",C156="Subsoil Drain"),"",ROUND(MAX(1,N(H156))*(1/SG_Criteria!$B$26)*((F156/1000)*(G156/1000*(1-SG_Criteria!$B$25)))*(((F156/1000)*(G156/1000*(1-SG_Criteria!$B$25)))/((F156/1000)+2*(G156/1000*(1-SG_Criteria!$B$25))))^(2/3)*(1/Design_Selector!$B$11)^0.5,3))</f>
        <v/>
      </c>
      <c r="AN156" s="11" t="str">
        <f aca="false">IF(AM156="","",ROUND(AM156/(MAX(1,N(H156))*F156/1000*(G156/1000*(1-SG_Criteria!$B$25))),2))</f>
        <v/>
      </c>
      <c r="AO156" s="38" t="str">
        <f aca="false">IF(C156="","",IF(LEN(IF(AND(OR(D156="Roadside drain",D156="Entrance culvert"),OR(F156&lt;SG_Criteria!$B$15,G156&lt;SG_Criteria!$B$16)),"FAIL: below PUB min "&amp;SG_Criteria!$B$15&amp;"x"&amp;SG_Criteria!$B$16&amp;" for roadside drain. ","")&amp;IF(AND(D156="Common drain",F156&lt;SG_Criteria!$B$17),"FAIL: common drain W &lt; "&amp;SG_Criteria!$B$17&amp;" mm. ","")&amp;IF(AND(N156&lt;&gt;"",IFERROR(VALUE(MID(N156,2,2)),0)&lt;SG_Criteria!$B$19),"FAIL: grade below C"&amp;SG_Criteria!$B$19&amp;". ","")&amp;IF(AND(O156&lt;&gt;"",O156&lt;SG_Criteria!$B$20),"FAIL: cover &lt; "&amp;SG_Criteria!$B$20&amp;" mm. ","")&amp;IF(AND(E156="Open",G156&gt;SG_Criteria!$B$18),"NOTE: safety railing required (D &gt; "&amp;SG_Criteria!$B$18&amp;" mm). ","")&amp;IF(AND(D156="Entrance culvert",G156&lt;600),"NOTE: check hinged grating rule for culverts &lt; 600 deep (PUB Add. 3). ",""))=0,"OK",IF(AND(OR(D156="Roadside drain",D156="Entrance culvert"),OR(F156&lt;SG_Criteria!$B$15,G156&lt;SG_Criteria!$B$16)),"FAIL: below PUB min "&amp;SG_Criteria!$B$15&amp;"x"&amp;SG_Criteria!$B$16&amp;" for roadside drain. ","")&amp;IF(AND(D156="Common drain",F156&lt;SG_Criteria!$B$17),"FAIL: common drain W &lt; "&amp;SG_Criteria!$B$17&amp;" mm. ","")&amp;IF(AND(N156&lt;&gt;"",IFERROR(VALUE(MID(N156,2,2)),0)&lt;SG_Criteria!$B$19),"FAIL: grade below C"&amp;SG_Criteria!$B$19&amp;". ","")&amp;IF(AND(O156&lt;&gt;"",O156&lt;SG_Criteria!$B$20),"FAIL: cover &lt; "&amp;SG_Criteria!$B$20&amp;" mm. ","")&amp;IF(AND(E156="Open",G156&gt;SG_Criteria!$B$18),"NOTE: safety railing required (D &gt; "&amp;SG_Criteria!$B$18&amp;" mm). ","")&amp;IF(AND(D156="Entrance culvert",G156&lt;600),"NOTE: check hinged grating rule for culverts &lt; 600 deep (PUB Add. 3). ","")))</f>
        <v/>
      </c>
      <c r="AP156" s="9"/>
      <c r="AQ156" s="9"/>
      <c r="AR156" s="9"/>
      <c r="AS156" s="9"/>
      <c r="AT156" s="9"/>
      <c r="AU156" s="31"/>
      <c r="AV156" s="10" t="str">
        <f aca="false">IF(C156="","",IF(AND(V156="Approved",ISERROR(SEARCH("FAIL",AO156))),"Y","N"))</f>
        <v/>
      </c>
      <c r="AW156" s="10" t="str">
        <f aca="false">IF(C156="","",C156&amp;"|"&amp;F156&amp;"|"&amp;G156&amp;"|"&amp;L156&amp;"|"&amp;AV156)</f>
        <v/>
      </c>
    </row>
    <row r="157" customFormat="false" ht="15" hidden="false" customHeight="false" outlineLevel="0" collapsed="false">
      <c r="A157" s="10" t="str">
        <f aca="false">IF(C157="","","DRN-"&amp;IFERROR(VLOOKUP(C157,Lists!$A$4:$B$27,2,0),"??")&amp;"-"&amp;TEXT(F157,"0000")&amp;"x"&amp;TEXT(G157,"0000")&amp;IF(N(H157)&gt;1,"-"&amp;H157&amp;"C","")&amp;"-"&amp;IFERROR(VLOOKUP(L157,Lists!$J$4:$K$19,2,0),"??")&amp;"-"&amp;U157)</f>
        <v/>
      </c>
      <c r="B157" s="10" t="str">
        <f aca="false">IF(C157="","",C157&amp;" "&amp;F157&amp;"W x "&amp;G157&amp;"D"&amp;IF(N(H157)&gt;1," ("&amp;H157&amp;" cells)","")&amp;", "&amp;D157&amp;", "&amp;L157&amp;", "&amp;E157)</f>
        <v/>
      </c>
      <c r="C157" s="9"/>
      <c r="D157" s="9"/>
      <c r="E157" s="9"/>
      <c r="F157" s="40"/>
      <c r="G157" s="40"/>
      <c r="H157" s="40"/>
      <c r="I157" s="40"/>
      <c r="J157" s="40"/>
      <c r="K157" s="40"/>
      <c r="L157" s="9"/>
      <c r="M157" s="9"/>
      <c r="N157" s="9"/>
      <c r="O157" s="40"/>
      <c r="P157" s="9"/>
      <c r="Q157" s="9"/>
      <c r="R157" s="9"/>
      <c r="S157" s="9"/>
      <c r="T157" s="9"/>
      <c r="U157" s="9"/>
      <c r="V157" s="9"/>
      <c r="W157" s="9"/>
      <c r="X157" s="9"/>
      <c r="Y157" s="9"/>
      <c r="Z157" s="10" t="str">
        <f aca="false">IF(A157="","",SG_Criteria!$B$6&amp;SG_Criteria!$B$7&amp;"\"&amp;A157&amp;"\")</f>
        <v/>
      </c>
      <c r="AA157" s="10" t="str">
        <f aca="false">IF(A157="","",A157&amp;"_CAD.dwg")</f>
        <v/>
      </c>
      <c r="AB157" s="10" t="str">
        <f aca="false">IF(A157="","",A157&amp;"_DWG.pdf")</f>
        <v/>
      </c>
      <c r="AC157" s="10" t="str">
        <f aca="false">IF(A157="","",IF(Y157="Y",A157&amp;"_STAAD.std","n/a"))</f>
        <v/>
      </c>
      <c r="AD157" s="10" t="str">
        <f aca="false">IF(A157="","",A157&amp;"_CALC.xlsx")</f>
        <v/>
      </c>
      <c r="AE157" s="10" t="str">
        <f aca="false">IF(A157="","",A157&amp;"_CALC.pdf")</f>
        <v/>
      </c>
      <c r="AF157" s="9"/>
      <c r="AG157" s="9"/>
      <c r="AH157" s="41"/>
      <c r="AI157" s="41"/>
      <c r="AJ157" s="41"/>
      <c r="AK157" s="41"/>
      <c r="AL157" s="41"/>
      <c r="AM157" s="37" t="str">
        <f aca="false">IF(OR(C157="",F157="",G157="",C157="Sump",C157="Drop Inlet Chamber",C157="Silt Trap",C157="Pipe Culvert",C157="Subsoil Drain"),"",ROUND(MAX(1,N(H157))*(1/SG_Criteria!$B$26)*((F157/1000)*(G157/1000*(1-SG_Criteria!$B$25)))*(((F157/1000)*(G157/1000*(1-SG_Criteria!$B$25)))/((F157/1000)+2*(G157/1000*(1-SG_Criteria!$B$25))))^(2/3)*(1/Design_Selector!$B$11)^0.5,3))</f>
        <v/>
      </c>
      <c r="AN157" s="11" t="str">
        <f aca="false">IF(AM157="","",ROUND(AM157/(MAX(1,N(H157))*F157/1000*(G157/1000*(1-SG_Criteria!$B$25))),2))</f>
        <v/>
      </c>
      <c r="AO157" s="38" t="str">
        <f aca="false">IF(C157="","",IF(LEN(IF(AND(OR(D157="Roadside drain",D157="Entrance culvert"),OR(F157&lt;SG_Criteria!$B$15,G157&lt;SG_Criteria!$B$16)),"FAIL: below PUB min "&amp;SG_Criteria!$B$15&amp;"x"&amp;SG_Criteria!$B$16&amp;" for roadside drain. ","")&amp;IF(AND(D157="Common drain",F157&lt;SG_Criteria!$B$17),"FAIL: common drain W &lt; "&amp;SG_Criteria!$B$17&amp;" mm. ","")&amp;IF(AND(N157&lt;&gt;"",IFERROR(VALUE(MID(N157,2,2)),0)&lt;SG_Criteria!$B$19),"FAIL: grade below C"&amp;SG_Criteria!$B$19&amp;". ","")&amp;IF(AND(O157&lt;&gt;"",O157&lt;SG_Criteria!$B$20),"FAIL: cover &lt; "&amp;SG_Criteria!$B$20&amp;" mm. ","")&amp;IF(AND(E157="Open",G157&gt;SG_Criteria!$B$18),"NOTE: safety railing required (D &gt; "&amp;SG_Criteria!$B$18&amp;" mm). ","")&amp;IF(AND(D157="Entrance culvert",G157&lt;600),"NOTE: check hinged grating rule for culverts &lt; 600 deep (PUB Add. 3). ",""))=0,"OK",IF(AND(OR(D157="Roadside drain",D157="Entrance culvert"),OR(F157&lt;SG_Criteria!$B$15,G157&lt;SG_Criteria!$B$16)),"FAIL: below PUB min "&amp;SG_Criteria!$B$15&amp;"x"&amp;SG_Criteria!$B$16&amp;" for roadside drain. ","")&amp;IF(AND(D157="Common drain",F157&lt;SG_Criteria!$B$17),"FAIL: common drain W &lt; "&amp;SG_Criteria!$B$17&amp;" mm. ","")&amp;IF(AND(N157&lt;&gt;"",IFERROR(VALUE(MID(N157,2,2)),0)&lt;SG_Criteria!$B$19),"FAIL: grade below C"&amp;SG_Criteria!$B$19&amp;". ","")&amp;IF(AND(O157&lt;&gt;"",O157&lt;SG_Criteria!$B$20),"FAIL: cover &lt; "&amp;SG_Criteria!$B$20&amp;" mm. ","")&amp;IF(AND(E157="Open",G157&gt;SG_Criteria!$B$18),"NOTE: safety railing required (D &gt; "&amp;SG_Criteria!$B$18&amp;" mm). ","")&amp;IF(AND(D157="Entrance culvert",G157&lt;600),"NOTE: check hinged grating rule for culverts &lt; 600 deep (PUB Add. 3). ","")))</f>
        <v/>
      </c>
      <c r="AP157" s="9"/>
      <c r="AQ157" s="9"/>
      <c r="AR157" s="9"/>
      <c r="AS157" s="9"/>
      <c r="AT157" s="9"/>
      <c r="AU157" s="31"/>
      <c r="AV157" s="10" t="str">
        <f aca="false">IF(C157="","",IF(AND(V157="Approved",ISERROR(SEARCH("FAIL",AO157))),"Y","N"))</f>
        <v/>
      </c>
      <c r="AW157" s="10" t="str">
        <f aca="false">IF(C157="","",C157&amp;"|"&amp;F157&amp;"|"&amp;G157&amp;"|"&amp;L157&amp;"|"&amp;AV157)</f>
        <v/>
      </c>
    </row>
    <row r="158" customFormat="false" ht="15" hidden="false" customHeight="false" outlineLevel="0" collapsed="false">
      <c r="A158" s="10" t="str">
        <f aca="false">IF(C158="","","DRN-"&amp;IFERROR(VLOOKUP(C158,Lists!$A$4:$B$27,2,0),"??")&amp;"-"&amp;TEXT(F158,"0000")&amp;"x"&amp;TEXT(G158,"0000")&amp;IF(N(H158)&gt;1,"-"&amp;H158&amp;"C","")&amp;"-"&amp;IFERROR(VLOOKUP(L158,Lists!$J$4:$K$19,2,0),"??")&amp;"-"&amp;U158)</f>
        <v/>
      </c>
      <c r="B158" s="10" t="str">
        <f aca="false">IF(C158="","",C158&amp;" "&amp;F158&amp;"W x "&amp;G158&amp;"D"&amp;IF(N(H158)&gt;1," ("&amp;H158&amp;" cells)","")&amp;", "&amp;D158&amp;", "&amp;L158&amp;", "&amp;E158)</f>
        <v/>
      </c>
      <c r="C158" s="9"/>
      <c r="D158" s="9"/>
      <c r="E158" s="9"/>
      <c r="F158" s="40"/>
      <c r="G158" s="40"/>
      <c r="H158" s="40"/>
      <c r="I158" s="40"/>
      <c r="J158" s="40"/>
      <c r="K158" s="40"/>
      <c r="L158" s="9"/>
      <c r="M158" s="9"/>
      <c r="N158" s="9"/>
      <c r="O158" s="40"/>
      <c r="P158" s="9"/>
      <c r="Q158" s="9"/>
      <c r="R158" s="9"/>
      <c r="S158" s="9"/>
      <c r="T158" s="9"/>
      <c r="U158" s="9"/>
      <c r="V158" s="9"/>
      <c r="W158" s="9"/>
      <c r="X158" s="9"/>
      <c r="Y158" s="9"/>
      <c r="Z158" s="10" t="str">
        <f aca="false">IF(A158="","",SG_Criteria!$B$6&amp;SG_Criteria!$B$7&amp;"\"&amp;A158&amp;"\")</f>
        <v/>
      </c>
      <c r="AA158" s="10" t="str">
        <f aca="false">IF(A158="","",A158&amp;"_CAD.dwg")</f>
        <v/>
      </c>
      <c r="AB158" s="10" t="str">
        <f aca="false">IF(A158="","",A158&amp;"_DWG.pdf")</f>
        <v/>
      </c>
      <c r="AC158" s="10" t="str">
        <f aca="false">IF(A158="","",IF(Y158="Y",A158&amp;"_STAAD.std","n/a"))</f>
        <v/>
      </c>
      <c r="AD158" s="10" t="str">
        <f aca="false">IF(A158="","",A158&amp;"_CALC.xlsx")</f>
        <v/>
      </c>
      <c r="AE158" s="10" t="str">
        <f aca="false">IF(A158="","",A158&amp;"_CALC.pdf")</f>
        <v/>
      </c>
      <c r="AF158" s="9"/>
      <c r="AG158" s="9"/>
      <c r="AH158" s="41"/>
      <c r="AI158" s="41"/>
      <c r="AJ158" s="41"/>
      <c r="AK158" s="41"/>
      <c r="AL158" s="41"/>
      <c r="AM158" s="37" t="str">
        <f aca="false">IF(OR(C158="",F158="",G158="",C158="Sump",C158="Drop Inlet Chamber",C158="Silt Trap",C158="Pipe Culvert",C158="Subsoil Drain"),"",ROUND(MAX(1,N(H158))*(1/SG_Criteria!$B$26)*((F158/1000)*(G158/1000*(1-SG_Criteria!$B$25)))*(((F158/1000)*(G158/1000*(1-SG_Criteria!$B$25)))/((F158/1000)+2*(G158/1000*(1-SG_Criteria!$B$25))))^(2/3)*(1/Design_Selector!$B$11)^0.5,3))</f>
        <v/>
      </c>
      <c r="AN158" s="11" t="str">
        <f aca="false">IF(AM158="","",ROUND(AM158/(MAX(1,N(H158))*F158/1000*(G158/1000*(1-SG_Criteria!$B$25))),2))</f>
        <v/>
      </c>
      <c r="AO158" s="38" t="str">
        <f aca="false">IF(C158="","",IF(LEN(IF(AND(OR(D158="Roadside drain",D158="Entrance culvert"),OR(F158&lt;SG_Criteria!$B$15,G158&lt;SG_Criteria!$B$16)),"FAIL: below PUB min "&amp;SG_Criteria!$B$15&amp;"x"&amp;SG_Criteria!$B$16&amp;" for roadside drain. ","")&amp;IF(AND(D158="Common drain",F158&lt;SG_Criteria!$B$17),"FAIL: common drain W &lt; "&amp;SG_Criteria!$B$17&amp;" mm. ","")&amp;IF(AND(N158&lt;&gt;"",IFERROR(VALUE(MID(N158,2,2)),0)&lt;SG_Criteria!$B$19),"FAIL: grade below C"&amp;SG_Criteria!$B$19&amp;". ","")&amp;IF(AND(O158&lt;&gt;"",O158&lt;SG_Criteria!$B$20),"FAIL: cover &lt; "&amp;SG_Criteria!$B$20&amp;" mm. ","")&amp;IF(AND(E158="Open",G158&gt;SG_Criteria!$B$18),"NOTE: safety railing required (D &gt; "&amp;SG_Criteria!$B$18&amp;" mm). ","")&amp;IF(AND(D158="Entrance culvert",G158&lt;600),"NOTE: check hinged grating rule for culverts &lt; 600 deep (PUB Add. 3). ",""))=0,"OK",IF(AND(OR(D158="Roadside drain",D158="Entrance culvert"),OR(F158&lt;SG_Criteria!$B$15,G158&lt;SG_Criteria!$B$16)),"FAIL: below PUB min "&amp;SG_Criteria!$B$15&amp;"x"&amp;SG_Criteria!$B$16&amp;" for roadside drain. ","")&amp;IF(AND(D158="Common drain",F158&lt;SG_Criteria!$B$17),"FAIL: common drain W &lt; "&amp;SG_Criteria!$B$17&amp;" mm. ","")&amp;IF(AND(N158&lt;&gt;"",IFERROR(VALUE(MID(N158,2,2)),0)&lt;SG_Criteria!$B$19),"FAIL: grade below C"&amp;SG_Criteria!$B$19&amp;". ","")&amp;IF(AND(O158&lt;&gt;"",O158&lt;SG_Criteria!$B$20),"FAIL: cover &lt; "&amp;SG_Criteria!$B$20&amp;" mm. ","")&amp;IF(AND(E158="Open",G158&gt;SG_Criteria!$B$18),"NOTE: safety railing required (D &gt; "&amp;SG_Criteria!$B$18&amp;" mm). ","")&amp;IF(AND(D158="Entrance culvert",G158&lt;600),"NOTE: check hinged grating rule for culverts &lt; 600 deep (PUB Add. 3). ","")))</f>
        <v/>
      </c>
      <c r="AP158" s="9"/>
      <c r="AQ158" s="9"/>
      <c r="AR158" s="9"/>
      <c r="AS158" s="9"/>
      <c r="AT158" s="9"/>
      <c r="AU158" s="31"/>
      <c r="AV158" s="10" t="str">
        <f aca="false">IF(C158="","",IF(AND(V158="Approved",ISERROR(SEARCH("FAIL",AO158))),"Y","N"))</f>
        <v/>
      </c>
      <c r="AW158" s="10" t="str">
        <f aca="false">IF(C158="","",C158&amp;"|"&amp;F158&amp;"|"&amp;G158&amp;"|"&amp;L158&amp;"|"&amp;AV158)</f>
        <v/>
      </c>
    </row>
    <row r="159" customFormat="false" ht="15" hidden="false" customHeight="false" outlineLevel="0" collapsed="false">
      <c r="A159" s="10" t="str">
        <f aca="false">IF(C159="","","DRN-"&amp;IFERROR(VLOOKUP(C159,Lists!$A$4:$B$27,2,0),"??")&amp;"-"&amp;TEXT(F159,"0000")&amp;"x"&amp;TEXT(G159,"0000")&amp;IF(N(H159)&gt;1,"-"&amp;H159&amp;"C","")&amp;"-"&amp;IFERROR(VLOOKUP(L159,Lists!$J$4:$K$19,2,0),"??")&amp;"-"&amp;U159)</f>
        <v/>
      </c>
      <c r="B159" s="10" t="str">
        <f aca="false">IF(C159="","",C159&amp;" "&amp;F159&amp;"W x "&amp;G159&amp;"D"&amp;IF(N(H159)&gt;1," ("&amp;H159&amp;" cells)","")&amp;", "&amp;D159&amp;", "&amp;L159&amp;", "&amp;E159)</f>
        <v/>
      </c>
      <c r="C159" s="9"/>
      <c r="D159" s="9"/>
      <c r="E159" s="9"/>
      <c r="F159" s="40"/>
      <c r="G159" s="40"/>
      <c r="H159" s="40"/>
      <c r="I159" s="40"/>
      <c r="J159" s="40"/>
      <c r="K159" s="40"/>
      <c r="L159" s="9"/>
      <c r="M159" s="9"/>
      <c r="N159" s="9"/>
      <c r="O159" s="40"/>
      <c r="P159" s="9"/>
      <c r="Q159" s="9"/>
      <c r="R159" s="9"/>
      <c r="S159" s="9"/>
      <c r="T159" s="9"/>
      <c r="U159" s="9"/>
      <c r="V159" s="9"/>
      <c r="W159" s="9"/>
      <c r="X159" s="9"/>
      <c r="Y159" s="9"/>
      <c r="Z159" s="10" t="str">
        <f aca="false">IF(A159="","",SG_Criteria!$B$6&amp;SG_Criteria!$B$7&amp;"\"&amp;A159&amp;"\")</f>
        <v/>
      </c>
      <c r="AA159" s="10" t="str">
        <f aca="false">IF(A159="","",A159&amp;"_CAD.dwg")</f>
        <v/>
      </c>
      <c r="AB159" s="10" t="str">
        <f aca="false">IF(A159="","",A159&amp;"_DWG.pdf")</f>
        <v/>
      </c>
      <c r="AC159" s="10" t="str">
        <f aca="false">IF(A159="","",IF(Y159="Y",A159&amp;"_STAAD.std","n/a"))</f>
        <v/>
      </c>
      <c r="AD159" s="10" t="str">
        <f aca="false">IF(A159="","",A159&amp;"_CALC.xlsx")</f>
        <v/>
      </c>
      <c r="AE159" s="10" t="str">
        <f aca="false">IF(A159="","",A159&amp;"_CALC.pdf")</f>
        <v/>
      </c>
      <c r="AF159" s="9"/>
      <c r="AG159" s="9"/>
      <c r="AH159" s="41"/>
      <c r="AI159" s="41"/>
      <c r="AJ159" s="41"/>
      <c r="AK159" s="41"/>
      <c r="AL159" s="41"/>
      <c r="AM159" s="37" t="str">
        <f aca="false">IF(OR(C159="",F159="",G159="",C159="Sump",C159="Drop Inlet Chamber",C159="Silt Trap",C159="Pipe Culvert",C159="Subsoil Drain"),"",ROUND(MAX(1,N(H159))*(1/SG_Criteria!$B$26)*((F159/1000)*(G159/1000*(1-SG_Criteria!$B$25)))*(((F159/1000)*(G159/1000*(1-SG_Criteria!$B$25)))/((F159/1000)+2*(G159/1000*(1-SG_Criteria!$B$25))))^(2/3)*(1/Design_Selector!$B$11)^0.5,3))</f>
        <v/>
      </c>
      <c r="AN159" s="11" t="str">
        <f aca="false">IF(AM159="","",ROUND(AM159/(MAX(1,N(H159))*F159/1000*(G159/1000*(1-SG_Criteria!$B$25))),2))</f>
        <v/>
      </c>
      <c r="AO159" s="38" t="str">
        <f aca="false">IF(C159="","",IF(LEN(IF(AND(OR(D159="Roadside drain",D159="Entrance culvert"),OR(F159&lt;SG_Criteria!$B$15,G159&lt;SG_Criteria!$B$16)),"FAIL: below PUB min "&amp;SG_Criteria!$B$15&amp;"x"&amp;SG_Criteria!$B$16&amp;" for roadside drain. ","")&amp;IF(AND(D159="Common drain",F159&lt;SG_Criteria!$B$17),"FAIL: common drain W &lt; "&amp;SG_Criteria!$B$17&amp;" mm. ","")&amp;IF(AND(N159&lt;&gt;"",IFERROR(VALUE(MID(N159,2,2)),0)&lt;SG_Criteria!$B$19),"FAIL: grade below C"&amp;SG_Criteria!$B$19&amp;". ","")&amp;IF(AND(O159&lt;&gt;"",O159&lt;SG_Criteria!$B$20),"FAIL: cover &lt; "&amp;SG_Criteria!$B$20&amp;" mm. ","")&amp;IF(AND(E159="Open",G159&gt;SG_Criteria!$B$18),"NOTE: safety railing required (D &gt; "&amp;SG_Criteria!$B$18&amp;" mm). ","")&amp;IF(AND(D159="Entrance culvert",G159&lt;600),"NOTE: check hinged grating rule for culverts &lt; 600 deep (PUB Add. 3). ",""))=0,"OK",IF(AND(OR(D159="Roadside drain",D159="Entrance culvert"),OR(F159&lt;SG_Criteria!$B$15,G159&lt;SG_Criteria!$B$16)),"FAIL: below PUB min "&amp;SG_Criteria!$B$15&amp;"x"&amp;SG_Criteria!$B$16&amp;" for roadside drain. ","")&amp;IF(AND(D159="Common drain",F159&lt;SG_Criteria!$B$17),"FAIL: common drain W &lt; "&amp;SG_Criteria!$B$17&amp;" mm. ","")&amp;IF(AND(N159&lt;&gt;"",IFERROR(VALUE(MID(N159,2,2)),0)&lt;SG_Criteria!$B$19),"FAIL: grade below C"&amp;SG_Criteria!$B$19&amp;". ","")&amp;IF(AND(O159&lt;&gt;"",O159&lt;SG_Criteria!$B$20),"FAIL: cover &lt; "&amp;SG_Criteria!$B$20&amp;" mm. ","")&amp;IF(AND(E159="Open",G159&gt;SG_Criteria!$B$18),"NOTE: safety railing required (D &gt; "&amp;SG_Criteria!$B$18&amp;" mm). ","")&amp;IF(AND(D159="Entrance culvert",G159&lt;600),"NOTE: check hinged grating rule for culverts &lt; 600 deep (PUB Add. 3). ","")))</f>
        <v/>
      </c>
      <c r="AP159" s="9"/>
      <c r="AQ159" s="9"/>
      <c r="AR159" s="9"/>
      <c r="AS159" s="9"/>
      <c r="AT159" s="9"/>
      <c r="AU159" s="31"/>
      <c r="AV159" s="10" t="str">
        <f aca="false">IF(C159="","",IF(AND(V159="Approved",ISERROR(SEARCH("FAIL",AO159))),"Y","N"))</f>
        <v/>
      </c>
      <c r="AW159" s="10" t="str">
        <f aca="false">IF(C159="","",C159&amp;"|"&amp;F159&amp;"|"&amp;G159&amp;"|"&amp;L159&amp;"|"&amp;AV159)</f>
        <v/>
      </c>
    </row>
    <row r="160" customFormat="false" ht="15" hidden="false" customHeight="false" outlineLevel="0" collapsed="false">
      <c r="A160" s="10" t="str">
        <f aca="false">IF(C160="","","DRN-"&amp;IFERROR(VLOOKUP(C160,Lists!$A$4:$B$27,2,0),"??")&amp;"-"&amp;TEXT(F160,"0000")&amp;"x"&amp;TEXT(G160,"0000")&amp;IF(N(H160)&gt;1,"-"&amp;H160&amp;"C","")&amp;"-"&amp;IFERROR(VLOOKUP(L160,Lists!$J$4:$K$19,2,0),"??")&amp;"-"&amp;U160)</f>
        <v/>
      </c>
      <c r="B160" s="10" t="str">
        <f aca="false">IF(C160="","",C160&amp;" "&amp;F160&amp;"W x "&amp;G160&amp;"D"&amp;IF(N(H160)&gt;1," ("&amp;H160&amp;" cells)","")&amp;", "&amp;D160&amp;", "&amp;L160&amp;", "&amp;E160)</f>
        <v/>
      </c>
      <c r="C160" s="9"/>
      <c r="D160" s="9"/>
      <c r="E160" s="9"/>
      <c r="F160" s="40"/>
      <c r="G160" s="40"/>
      <c r="H160" s="40"/>
      <c r="I160" s="40"/>
      <c r="J160" s="40"/>
      <c r="K160" s="40"/>
      <c r="L160" s="9"/>
      <c r="M160" s="9"/>
      <c r="N160" s="9"/>
      <c r="O160" s="40"/>
      <c r="P160" s="9"/>
      <c r="Q160" s="9"/>
      <c r="R160" s="9"/>
      <c r="S160" s="9"/>
      <c r="T160" s="9"/>
      <c r="U160" s="9"/>
      <c r="V160" s="9"/>
      <c r="W160" s="9"/>
      <c r="X160" s="9"/>
      <c r="Y160" s="9"/>
      <c r="Z160" s="10" t="str">
        <f aca="false">IF(A160="","",SG_Criteria!$B$6&amp;SG_Criteria!$B$7&amp;"\"&amp;A160&amp;"\")</f>
        <v/>
      </c>
      <c r="AA160" s="10" t="str">
        <f aca="false">IF(A160="","",A160&amp;"_CAD.dwg")</f>
        <v/>
      </c>
      <c r="AB160" s="10" t="str">
        <f aca="false">IF(A160="","",A160&amp;"_DWG.pdf")</f>
        <v/>
      </c>
      <c r="AC160" s="10" t="str">
        <f aca="false">IF(A160="","",IF(Y160="Y",A160&amp;"_STAAD.std","n/a"))</f>
        <v/>
      </c>
      <c r="AD160" s="10" t="str">
        <f aca="false">IF(A160="","",A160&amp;"_CALC.xlsx")</f>
        <v/>
      </c>
      <c r="AE160" s="10" t="str">
        <f aca="false">IF(A160="","",A160&amp;"_CALC.pdf")</f>
        <v/>
      </c>
      <c r="AF160" s="9"/>
      <c r="AG160" s="9"/>
      <c r="AH160" s="41"/>
      <c r="AI160" s="41"/>
      <c r="AJ160" s="41"/>
      <c r="AK160" s="41"/>
      <c r="AL160" s="41"/>
      <c r="AM160" s="37" t="str">
        <f aca="false">IF(OR(C160="",F160="",G160="",C160="Sump",C160="Drop Inlet Chamber",C160="Silt Trap",C160="Pipe Culvert",C160="Subsoil Drain"),"",ROUND(MAX(1,N(H160))*(1/SG_Criteria!$B$26)*((F160/1000)*(G160/1000*(1-SG_Criteria!$B$25)))*(((F160/1000)*(G160/1000*(1-SG_Criteria!$B$25)))/((F160/1000)+2*(G160/1000*(1-SG_Criteria!$B$25))))^(2/3)*(1/Design_Selector!$B$11)^0.5,3))</f>
        <v/>
      </c>
      <c r="AN160" s="11" t="str">
        <f aca="false">IF(AM160="","",ROUND(AM160/(MAX(1,N(H160))*F160/1000*(G160/1000*(1-SG_Criteria!$B$25))),2))</f>
        <v/>
      </c>
      <c r="AO160" s="38" t="str">
        <f aca="false">IF(C160="","",IF(LEN(IF(AND(OR(D160="Roadside drain",D160="Entrance culvert"),OR(F160&lt;SG_Criteria!$B$15,G160&lt;SG_Criteria!$B$16)),"FAIL: below PUB min "&amp;SG_Criteria!$B$15&amp;"x"&amp;SG_Criteria!$B$16&amp;" for roadside drain. ","")&amp;IF(AND(D160="Common drain",F160&lt;SG_Criteria!$B$17),"FAIL: common drain W &lt; "&amp;SG_Criteria!$B$17&amp;" mm. ","")&amp;IF(AND(N160&lt;&gt;"",IFERROR(VALUE(MID(N160,2,2)),0)&lt;SG_Criteria!$B$19),"FAIL: grade below C"&amp;SG_Criteria!$B$19&amp;". ","")&amp;IF(AND(O160&lt;&gt;"",O160&lt;SG_Criteria!$B$20),"FAIL: cover &lt; "&amp;SG_Criteria!$B$20&amp;" mm. ","")&amp;IF(AND(E160="Open",G160&gt;SG_Criteria!$B$18),"NOTE: safety railing required (D &gt; "&amp;SG_Criteria!$B$18&amp;" mm). ","")&amp;IF(AND(D160="Entrance culvert",G160&lt;600),"NOTE: check hinged grating rule for culverts &lt; 600 deep (PUB Add. 3). ",""))=0,"OK",IF(AND(OR(D160="Roadside drain",D160="Entrance culvert"),OR(F160&lt;SG_Criteria!$B$15,G160&lt;SG_Criteria!$B$16)),"FAIL: below PUB min "&amp;SG_Criteria!$B$15&amp;"x"&amp;SG_Criteria!$B$16&amp;" for roadside drain. ","")&amp;IF(AND(D160="Common drain",F160&lt;SG_Criteria!$B$17),"FAIL: common drain W &lt; "&amp;SG_Criteria!$B$17&amp;" mm. ","")&amp;IF(AND(N160&lt;&gt;"",IFERROR(VALUE(MID(N160,2,2)),0)&lt;SG_Criteria!$B$19),"FAIL: grade below C"&amp;SG_Criteria!$B$19&amp;". ","")&amp;IF(AND(O160&lt;&gt;"",O160&lt;SG_Criteria!$B$20),"FAIL: cover &lt; "&amp;SG_Criteria!$B$20&amp;" mm. ","")&amp;IF(AND(E160="Open",G160&gt;SG_Criteria!$B$18),"NOTE: safety railing required (D &gt; "&amp;SG_Criteria!$B$18&amp;" mm). ","")&amp;IF(AND(D160="Entrance culvert",G160&lt;600),"NOTE: check hinged grating rule for culverts &lt; 600 deep (PUB Add. 3). ","")))</f>
        <v/>
      </c>
      <c r="AP160" s="9"/>
      <c r="AQ160" s="9"/>
      <c r="AR160" s="9"/>
      <c r="AS160" s="9"/>
      <c r="AT160" s="9"/>
      <c r="AU160" s="31"/>
      <c r="AV160" s="10" t="str">
        <f aca="false">IF(C160="","",IF(AND(V160="Approved",ISERROR(SEARCH("FAIL",AO160))),"Y","N"))</f>
        <v/>
      </c>
      <c r="AW160" s="10" t="str">
        <f aca="false">IF(C160="","",C160&amp;"|"&amp;F160&amp;"|"&amp;G160&amp;"|"&amp;L160&amp;"|"&amp;AV160)</f>
        <v/>
      </c>
    </row>
    <row r="161" customFormat="false" ht="15" hidden="false" customHeight="false" outlineLevel="0" collapsed="false">
      <c r="A161" s="10" t="str">
        <f aca="false">IF(C161="","","DRN-"&amp;IFERROR(VLOOKUP(C161,Lists!$A$4:$B$27,2,0),"??")&amp;"-"&amp;TEXT(F161,"0000")&amp;"x"&amp;TEXT(G161,"0000")&amp;IF(N(H161)&gt;1,"-"&amp;H161&amp;"C","")&amp;"-"&amp;IFERROR(VLOOKUP(L161,Lists!$J$4:$K$19,2,0),"??")&amp;"-"&amp;U161)</f>
        <v/>
      </c>
      <c r="B161" s="10" t="str">
        <f aca="false">IF(C161="","",C161&amp;" "&amp;F161&amp;"W x "&amp;G161&amp;"D"&amp;IF(N(H161)&gt;1," ("&amp;H161&amp;" cells)","")&amp;", "&amp;D161&amp;", "&amp;L161&amp;", "&amp;E161)</f>
        <v/>
      </c>
      <c r="C161" s="9"/>
      <c r="D161" s="9"/>
      <c r="E161" s="9"/>
      <c r="F161" s="40"/>
      <c r="G161" s="40"/>
      <c r="H161" s="40"/>
      <c r="I161" s="40"/>
      <c r="J161" s="40"/>
      <c r="K161" s="40"/>
      <c r="L161" s="9"/>
      <c r="M161" s="9"/>
      <c r="N161" s="9"/>
      <c r="O161" s="40"/>
      <c r="P161" s="9"/>
      <c r="Q161" s="9"/>
      <c r="R161" s="9"/>
      <c r="S161" s="9"/>
      <c r="T161" s="9"/>
      <c r="U161" s="9"/>
      <c r="V161" s="9"/>
      <c r="W161" s="9"/>
      <c r="X161" s="9"/>
      <c r="Y161" s="9"/>
      <c r="Z161" s="10" t="str">
        <f aca="false">IF(A161="","",SG_Criteria!$B$6&amp;SG_Criteria!$B$7&amp;"\"&amp;A161&amp;"\")</f>
        <v/>
      </c>
      <c r="AA161" s="10" t="str">
        <f aca="false">IF(A161="","",A161&amp;"_CAD.dwg")</f>
        <v/>
      </c>
      <c r="AB161" s="10" t="str">
        <f aca="false">IF(A161="","",A161&amp;"_DWG.pdf")</f>
        <v/>
      </c>
      <c r="AC161" s="10" t="str">
        <f aca="false">IF(A161="","",IF(Y161="Y",A161&amp;"_STAAD.std","n/a"))</f>
        <v/>
      </c>
      <c r="AD161" s="10" t="str">
        <f aca="false">IF(A161="","",A161&amp;"_CALC.xlsx")</f>
        <v/>
      </c>
      <c r="AE161" s="10" t="str">
        <f aca="false">IF(A161="","",A161&amp;"_CALC.pdf")</f>
        <v/>
      </c>
      <c r="AF161" s="9"/>
      <c r="AG161" s="9"/>
      <c r="AH161" s="41"/>
      <c r="AI161" s="41"/>
      <c r="AJ161" s="41"/>
      <c r="AK161" s="41"/>
      <c r="AL161" s="41"/>
      <c r="AM161" s="37" t="str">
        <f aca="false">IF(OR(C161="",F161="",G161="",C161="Sump",C161="Drop Inlet Chamber",C161="Silt Trap",C161="Pipe Culvert",C161="Subsoil Drain"),"",ROUND(MAX(1,N(H161))*(1/SG_Criteria!$B$26)*((F161/1000)*(G161/1000*(1-SG_Criteria!$B$25)))*(((F161/1000)*(G161/1000*(1-SG_Criteria!$B$25)))/((F161/1000)+2*(G161/1000*(1-SG_Criteria!$B$25))))^(2/3)*(1/Design_Selector!$B$11)^0.5,3))</f>
        <v/>
      </c>
      <c r="AN161" s="11" t="str">
        <f aca="false">IF(AM161="","",ROUND(AM161/(MAX(1,N(H161))*F161/1000*(G161/1000*(1-SG_Criteria!$B$25))),2))</f>
        <v/>
      </c>
      <c r="AO161" s="38" t="str">
        <f aca="false">IF(C161="","",IF(LEN(IF(AND(OR(D161="Roadside drain",D161="Entrance culvert"),OR(F161&lt;SG_Criteria!$B$15,G161&lt;SG_Criteria!$B$16)),"FAIL: below PUB min "&amp;SG_Criteria!$B$15&amp;"x"&amp;SG_Criteria!$B$16&amp;" for roadside drain. ","")&amp;IF(AND(D161="Common drain",F161&lt;SG_Criteria!$B$17),"FAIL: common drain W &lt; "&amp;SG_Criteria!$B$17&amp;" mm. ","")&amp;IF(AND(N161&lt;&gt;"",IFERROR(VALUE(MID(N161,2,2)),0)&lt;SG_Criteria!$B$19),"FAIL: grade below C"&amp;SG_Criteria!$B$19&amp;". ","")&amp;IF(AND(O161&lt;&gt;"",O161&lt;SG_Criteria!$B$20),"FAIL: cover &lt; "&amp;SG_Criteria!$B$20&amp;" mm. ","")&amp;IF(AND(E161="Open",G161&gt;SG_Criteria!$B$18),"NOTE: safety railing required (D &gt; "&amp;SG_Criteria!$B$18&amp;" mm). ","")&amp;IF(AND(D161="Entrance culvert",G161&lt;600),"NOTE: check hinged grating rule for culverts &lt; 600 deep (PUB Add. 3). ",""))=0,"OK",IF(AND(OR(D161="Roadside drain",D161="Entrance culvert"),OR(F161&lt;SG_Criteria!$B$15,G161&lt;SG_Criteria!$B$16)),"FAIL: below PUB min "&amp;SG_Criteria!$B$15&amp;"x"&amp;SG_Criteria!$B$16&amp;" for roadside drain. ","")&amp;IF(AND(D161="Common drain",F161&lt;SG_Criteria!$B$17),"FAIL: common drain W &lt; "&amp;SG_Criteria!$B$17&amp;" mm. ","")&amp;IF(AND(N161&lt;&gt;"",IFERROR(VALUE(MID(N161,2,2)),0)&lt;SG_Criteria!$B$19),"FAIL: grade below C"&amp;SG_Criteria!$B$19&amp;". ","")&amp;IF(AND(O161&lt;&gt;"",O161&lt;SG_Criteria!$B$20),"FAIL: cover &lt; "&amp;SG_Criteria!$B$20&amp;" mm. ","")&amp;IF(AND(E161="Open",G161&gt;SG_Criteria!$B$18),"NOTE: safety railing required (D &gt; "&amp;SG_Criteria!$B$18&amp;" mm). ","")&amp;IF(AND(D161="Entrance culvert",G161&lt;600),"NOTE: check hinged grating rule for culverts &lt; 600 deep (PUB Add. 3). ","")))</f>
        <v/>
      </c>
      <c r="AP161" s="9"/>
      <c r="AQ161" s="9"/>
      <c r="AR161" s="9"/>
      <c r="AS161" s="9"/>
      <c r="AT161" s="9"/>
      <c r="AU161" s="31"/>
      <c r="AV161" s="10" t="str">
        <f aca="false">IF(C161="","",IF(AND(V161="Approved",ISERROR(SEARCH("FAIL",AO161))),"Y","N"))</f>
        <v/>
      </c>
      <c r="AW161" s="10" t="str">
        <f aca="false">IF(C161="","",C161&amp;"|"&amp;F161&amp;"|"&amp;G161&amp;"|"&amp;L161&amp;"|"&amp;AV161)</f>
        <v/>
      </c>
    </row>
    <row r="162" customFormat="false" ht="15" hidden="false" customHeight="false" outlineLevel="0" collapsed="false">
      <c r="A162" s="10" t="str">
        <f aca="false">IF(C162="","","DRN-"&amp;IFERROR(VLOOKUP(C162,Lists!$A$4:$B$27,2,0),"??")&amp;"-"&amp;TEXT(F162,"0000")&amp;"x"&amp;TEXT(G162,"0000")&amp;IF(N(H162)&gt;1,"-"&amp;H162&amp;"C","")&amp;"-"&amp;IFERROR(VLOOKUP(L162,Lists!$J$4:$K$19,2,0),"??")&amp;"-"&amp;U162)</f>
        <v/>
      </c>
      <c r="B162" s="10" t="str">
        <f aca="false">IF(C162="","",C162&amp;" "&amp;F162&amp;"W x "&amp;G162&amp;"D"&amp;IF(N(H162)&gt;1," ("&amp;H162&amp;" cells)","")&amp;", "&amp;D162&amp;", "&amp;L162&amp;", "&amp;E162)</f>
        <v/>
      </c>
      <c r="C162" s="9"/>
      <c r="D162" s="9"/>
      <c r="E162" s="9"/>
      <c r="F162" s="40"/>
      <c r="G162" s="40"/>
      <c r="H162" s="40"/>
      <c r="I162" s="40"/>
      <c r="J162" s="40"/>
      <c r="K162" s="40"/>
      <c r="L162" s="9"/>
      <c r="M162" s="9"/>
      <c r="N162" s="9"/>
      <c r="O162" s="40"/>
      <c r="P162" s="9"/>
      <c r="Q162" s="9"/>
      <c r="R162" s="9"/>
      <c r="S162" s="9"/>
      <c r="T162" s="9"/>
      <c r="U162" s="9"/>
      <c r="V162" s="9"/>
      <c r="W162" s="9"/>
      <c r="X162" s="9"/>
      <c r="Y162" s="9"/>
      <c r="Z162" s="10" t="str">
        <f aca="false">IF(A162="","",SG_Criteria!$B$6&amp;SG_Criteria!$B$7&amp;"\"&amp;A162&amp;"\")</f>
        <v/>
      </c>
      <c r="AA162" s="10" t="str">
        <f aca="false">IF(A162="","",A162&amp;"_CAD.dwg")</f>
        <v/>
      </c>
      <c r="AB162" s="10" t="str">
        <f aca="false">IF(A162="","",A162&amp;"_DWG.pdf")</f>
        <v/>
      </c>
      <c r="AC162" s="10" t="str">
        <f aca="false">IF(A162="","",IF(Y162="Y",A162&amp;"_STAAD.std","n/a"))</f>
        <v/>
      </c>
      <c r="AD162" s="10" t="str">
        <f aca="false">IF(A162="","",A162&amp;"_CALC.xlsx")</f>
        <v/>
      </c>
      <c r="AE162" s="10" t="str">
        <f aca="false">IF(A162="","",A162&amp;"_CALC.pdf")</f>
        <v/>
      </c>
      <c r="AF162" s="9"/>
      <c r="AG162" s="9"/>
      <c r="AH162" s="41"/>
      <c r="AI162" s="41"/>
      <c r="AJ162" s="41"/>
      <c r="AK162" s="41"/>
      <c r="AL162" s="41"/>
      <c r="AM162" s="37" t="str">
        <f aca="false">IF(OR(C162="",F162="",G162="",C162="Sump",C162="Drop Inlet Chamber",C162="Silt Trap",C162="Pipe Culvert",C162="Subsoil Drain"),"",ROUND(MAX(1,N(H162))*(1/SG_Criteria!$B$26)*((F162/1000)*(G162/1000*(1-SG_Criteria!$B$25)))*(((F162/1000)*(G162/1000*(1-SG_Criteria!$B$25)))/((F162/1000)+2*(G162/1000*(1-SG_Criteria!$B$25))))^(2/3)*(1/Design_Selector!$B$11)^0.5,3))</f>
        <v/>
      </c>
      <c r="AN162" s="11" t="str">
        <f aca="false">IF(AM162="","",ROUND(AM162/(MAX(1,N(H162))*F162/1000*(G162/1000*(1-SG_Criteria!$B$25))),2))</f>
        <v/>
      </c>
      <c r="AO162" s="38" t="str">
        <f aca="false">IF(C162="","",IF(LEN(IF(AND(OR(D162="Roadside drain",D162="Entrance culvert"),OR(F162&lt;SG_Criteria!$B$15,G162&lt;SG_Criteria!$B$16)),"FAIL: below PUB min "&amp;SG_Criteria!$B$15&amp;"x"&amp;SG_Criteria!$B$16&amp;" for roadside drain. ","")&amp;IF(AND(D162="Common drain",F162&lt;SG_Criteria!$B$17),"FAIL: common drain W &lt; "&amp;SG_Criteria!$B$17&amp;" mm. ","")&amp;IF(AND(N162&lt;&gt;"",IFERROR(VALUE(MID(N162,2,2)),0)&lt;SG_Criteria!$B$19),"FAIL: grade below C"&amp;SG_Criteria!$B$19&amp;". ","")&amp;IF(AND(O162&lt;&gt;"",O162&lt;SG_Criteria!$B$20),"FAIL: cover &lt; "&amp;SG_Criteria!$B$20&amp;" mm. ","")&amp;IF(AND(E162="Open",G162&gt;SG_Criteria!$B$18),"NOTE: safety railing required (D &gt; "&amp;SG_Criteria!$B$18&amp;" mm). ","")&amp;IF(AND(D162="Entrance culvert",G162&lt;600),"NOTE: check hinged grating rule for culverts &lt; 600 deep (PUB Add. 3). ",""))=0,"OK",IF(AND(OR(D162="Roadside drain",D162="Entrance culvert"),OR(F162&lt;SG_Criteria!$B$15,G162&lt;SG_Criteria!$B$16)),"FAIL: below PUB min "&amp;SG_Criteria!$B$15&amp;"x"&amp;SG_Criteria!$B$16&amp;" for roadside drain. ","")&amp;IF(AND(D162="Common drain",F162&lt;SG_Criteria!$B$17),"FAIL: common drain W &lt; "&amp;SG_Criteria!$B$17&amp;" mm. ","")&amp;IF(AND(N162&lt;&gt;"",IFERROR(VALUE(MID(N162,2,2)),0)&lt;SG_Criteria!$B$19),"FAIL: grade below C"&amp;SG_Criteria!$B$19&amp;". ","")&amp;IF(AND(O162&lt;&gt;"",O162&lt;SG_Criteria!$B$20),"FAIL: cover &lt; "&amp;SG_Criteria!$B$20&amp;" mm. ","")&amp;IF(AND(E162="Open",G162&gt;SG_Criteria!$B$18),"NOTE: safety railing required (D &gt; "&amp;SG_Criteria!$B$18&amp;" mm). ","")&amp;IF(AND(D162="Entrance culvert",G162&lt;600),"NOTE: check hinged grating rule for culverts &lt; 600 deep (PUB Add. 3). ","")))</f>
        <v/>
      </c>
      <c r="AP162" s="9"/>
      <c r="AQ162" s="9"/>
      <c r="AR162" s="9"/>
      <c r="AS162" s="9"/>
      <c r="AT162" s="9"/>
      <c r="AU162" s="31"/>
      <c r="AV162" s="10" t="str">
        <f aca="false">IF(C162="","",IF(AND(V162="Approved",ISERROR(SEARCH("FAIL",AO162))),"Y","N"))</f>
        <v/>
      </c>
      <c r="AW162" s="10" t="str">
        <f aca="false">IF(C162="","",C162&amp;"|"&amp;F162&amp;"|"&amp;G162&amp;"|"&amp;L162&amp;"|"&amp;AV162)</f>
        <v/>
      </c>
    </row>
    <row r="163" customFormat="false" ht="15" hidden="false" customHeight="false" outlineLevel="0" collapsed="false">
      <c r="A163" s="10" t="str">
        <f aca="false">IF(C163="","","DRN-"&amp;IFERROR(VLOOKUP(C163,Lists!$A$4:$B$27,2,0),"??")&amp;"-"&amp;TEXT(F163,"0000")&amp;"x"&amp;TEXT(G163,"0000")&amp;IF(N(H163)&gt;1,"-"&amp;H163&amp;"C","")&amp;"-"&amp;IFERROR(VLOOKUP(L163,Lists!$J$4:$K$19,2,0),"??")&amp;"-"&amp;U163)</f>
        <v/>
      </c>
      <c r="B163" s="10" t="str">
        <f aca="false">IF(C163="","",C163&amp;" "&amp;F163&amp;"W x "&amp;G163&amp;"D"&amp;IF(N(H163)&gt;1," ("&amp;H163&amp;" cells)","")&amp;", "&amp;D163&amp;", "&amp;L163&amp;", "&amp;E163)</f>
        <v/>
      </c>
      <c r="C163" s="9"/>
      <c r="D163" s="9"/>
      <c r="E163" s="9"/>
      <c r="F163" s="40"/>
      <c r="G163" s="40"/>
      <c r="H163" s="40"/>
      <c r="I163" s="40"/>
      <c r="J163" s="40"/>
      <c r="K163" s="40"/>
      <c r="L163" s="9"/>
      <c r="M163" s="9"/>
      <c r="N163" s="9"/>
      <c r="O163" s="40"/>
      <c r="P163" s="9"/>
      <c r="Q163" s="9"/>
      <c r="R163" s="9"/>
      <c r="S163" s="9"/>
      <c r="T163" s="9"/>
      <c r="U163" s="9"/>
      <c r="V163" s="9"/>
      <c r="W163" s="9"/>
      <c r="X163" s="9"/>
      <c r="Y163" s="9"/>
      <c r="Z163" s="10" t="str">
        <f aca="false">IF(A163="","",SG_Criteria!$B$6&amp;SG_Criteria!$B$7&amp;"\"&amp;A163&amp;"\")</f>
        <v/>
      </c>
      <c r="AA163" s="10" t="str">
        <f aca="false">IF(A163="","",A163&amp;"_CAD.dwg")</f>
        <v/>
      </c>
      <c r="AB163" s="10" t="str">
        <f aca="false">IF(A163="","",A163&amp;"_DWG.pdf")</f>
        <v/>
      </c>
      <c r="AC163" s="10" t="str">
        <f aca="false">IF(A163="","",IF(Y163="Y",A163&amp;"_STAAD.std","n/a"))</f>
        <v/>
      </c>
      <c r="AD163" s="10" t="str">
        <f aca="false">IF(A163="","",A163&amp;"_CALC.xlsx")</f>
        <v/>
      </c>
      <c r="AE163" s="10" t="str">
        <f aca="false">IF(A163="","",A163&amp;"_CALC.pdf")</f>
        <v/>
      </c>
      <c r="AF163" s="9"/>
      <c r="AG163" s="9"/>
      <c r="AH163" s="41"/>
      <c r="AI163" s="41"/>
      <c r="AJ163" s="41"/>
      <c r="AK163" s="41"/>
      <c r="AL163" s="41"/>
      <c r="AM163" s="37" t="str">
        <f aca="false">IF(OR(C163="",F163="",G163="",C163="Sump",C163="Drop Inlet Chamber",C163="Silt Trap",C163="Pipe Culvert",C163="Subsoil Drain"),"",ROUND(MAX(1,N(H163))*(1/SG_Criteria!$B$26)*((F163/1000)*(G163/1000*(1-SG_Criteria!$B$25)))*(((F163/1000)*(G163/1000*(1-SG_Criteria!$B$25)))/((F163/1000)+2*(G163/1000*(1-SG_Criteria!$B$25))))^(2/3)*(1/Design_Selector!$B$11)^0.5,3))</f>
        <v/>
      </c>
      <c r="AN163" s="11" t="str">
        <f aca="false">IF(AM163="","",ROUND(AM163/(MAX(1,N(H163))*F163/1000*(G163/1000*(1-SG_Criteria!$B$25))),2))</f>
        <v/>
      </c>
      <c r="AO163" s="38" t="str">
        <f aca="false">IF(C163="","",IF(LEN(IF(AND(OR(D163="Roadside drain",D163="Entrance culvert"),OR(F163&lt;SG_Criteria!$B$15,G163&lt;SG_Criteria!$B$16)),"FAIL: below PUB min "&amp;SG_Criteria!$B$15&amp;"x"&amp;SG_Criteria!$B$16&amp;" for roadside drain. ","")&amp;IF(AND(D163="Common drain",F163&lt;SG_Criteria!$B$17),"FAIL: common drain W &lt; "&amp;SG_Criteria!$B$17&amp;" mm. ","")&amp;IF(AND(N163&lt;&gt;"",IFERROR(VALUE(MID(N163,2,2)),0)&lt;SG_Criteria!$B$19),"FAIL: grade below C"&amp;SG_Criteria!$B$19&amp;". ","")&amp;IF(AND(O163&lt;&gt;"",O163&lt;SG_Criteria!$B$20),"FAIL: cover &lt; "&amp;SG_Criteria!$B$20&amp;" mm. ","")&amp;IF(AND(E163="Open",G163&gt;SG_Criteria!$B$18),"NOTE: safety railing required (D &gt; "&amp;SG_Criteria!$B$18&amp;" mm). ","")&amp;IF(AND(D163="Entrance culvert",G163&lt;600),"NOTE: check hinged grating rule for culverts &lt; 600 deep (PUB Add. 3). ",""))=0,"OK",IF(AND(OR(D163="Roadside drain",D163="Entrance culvert"),OR(F163&lt;SG_Criteria!$B$15,G163&lt;SG_Criteria!$B$16)),"FAIL: below PUB min "&amp;SG_Criteria!$B$15&amp;"x"&amp;SG_Criteria!$B$16&amp;" for roadside drain. ","")&amp;IF(AND(D163="Common drain",F163&lt;SG_Criteria!$B$17),"FAIL: common drain W &lt; "&amp;SG_Criteria!$B$17&amp;" mm. ","")&amp;IF(AND(N163&lt;&gt;"",IFERROR(VALUE(MID(N163,2,2)),0)&lt;SG_Criteria!$B$19),"FAIL: grade below C"&amp;SG_Criteria!$B$19&amp;". ","")&amp;IF(AND(O163&lt;&gt;"",O163&lt;SG_Criteria!$B$20),"FAIL: cover &lt; "&amp;SG_Criteria!$B$20&amp;" mm. ","")&amp;IF(AND(E163="Open",G163&gt;SG_Criteria!$B$18),"NOTE: safety railing required (D &gt; "&amp;SG_Criteria!$B$18&amp;" mm). ","")&amp;IF(AND(D163="Entrance culvert",G163&lt;600),"NOTE: check hinged grating rule for culverts &lt; 600 deep (PUB Add. 3). ","")))</f>
        <v/>
      </c>
      <c r="AP163" s="9"/>
      <c r="AQ163" s="9"/>
      <c r="AR163" s="9"/>
      <c r="AS163" s="9"/>
      <c r="AT163" s="9"/>
      <c r="AU163" s="31"/>
      <c r="AV163" s="10" t="str">
        <f aca="false">IF(C163="","",IF(AND(V163="Approved",ISERROR(SEARCH("FAIL",AO163))),"Y","N"))</f>
        <v/>
      </c>
      <c r="AW163" s="10" t="str">
        <f aca="false">IF(C163="","",C163&amp;"|"&amp;F163&amp;"|"&amp;G163&amp;"|"&amp;L163&amp;"|"&amp;AV163)</f>
        <v/>
      </c>
    </row>
    <row r="164" customFormat="false" ht="15" hidden="false" customHeight="false" outlineLevel="0" collapsed="false">
      <c r="A164" s="10" t="str">
        <f aca="false">IF(C164="","","DRN-"&amp;IFERROR(VLOOKUP(C164,Lists!$A$4:$B$27,2,0),"??")&amp;"-"&amp;TEXT(F164,"0000")&amp;"x"&amp;TEXT(G164,"0000")&amp;IF(N(H164)&gt;1,"-"&amp;H164&amp;"C","")&amp;"-"&amp;IFERROR(VLOOKUP(L164,Lists!$J$4:$K$19,2,0),"??")&amp;"-"&amp;U164)</f>
        <v/>
      </c>
      <c r="B164" s="10" t="str">
        <f aca="false">IF(C164="","",C164&amp;" "&amp;F164&amp;"W x "&amp;G164&amp;"D"&amp;IF(N(H164)&gt;1," ("&amp;H164&amp;" cells)","")&amp;", "&amp;D164&amp;", "&amp;L164&amp;", "&amp;E164)</f>
        <v/>
      </c>
      <c r="C164" s="9"/>
      <c r="D164" s="9"/>
      <c r="E164" s="9"/>
      <c r="F164" s="40"/>
      <c r="G164" s="40"/>
      <c r="H164" s="40"/>
      <c r="I164" s="40"/>
      <c r="J164" s="40"/>
      <c r="K164" s="40"/>
      <c r="L164" s="9"/>
      <c r="M164" s="9"/>
      <c r="N164" s="9"/>
      <c r="O164" s="40"/>
      <c r="P164" s="9"/>
      <c r="Q164" s="9"/>
      <c r="R164" s="9"/>
      <c r="S164" s="9"/>
      <c r="T164" s="9"/>
      <c r="U164" s="9"/>
      <c r="V164" s="9"/>
      <c r="W164" s="9"/>
      <c r="X164" s="9"/>
      <c r="Y164" s="9"/>
      <c r="Z164" s="10" t="str">
        <f aca="false">IF(A164="","",SG_Criteria!$B$6&amp;SG_Criteria!$B$7&amp;"\"&amp;A164&amp;"\")</f>
        <v/>
      </c>
      <c r="AA164" s="10" t="str">
        <f aca="false">IF(A164="","",A164&amp;"_CAD.dwg")</f>
        <v/>
      </c>
      <c r="AB164" s="10" t="str">
        <f aca="false">IF(A164="","",A164&amp;"_DWG.pdf")</f>
        <v/>
      </c>
      <c r="AC164" s="10" t="str">
        <f aca="false">IF(A164="","",IF(Y164="Y",A164&amp;"_STAAD.std","n/a"))</f>
        <v/>
      </c>
      <c r="AD164" s="10" t="str">
        <f aca="false">IF(A164="","",A164&amp;"_CALC.xlsx")</f>
        <v/>
      </c>
      <c r="AE164" s="10" t="str">
        <f aca="false">IF(A164="","",A164&amp;"_CALC.pdf")</f>
        <v/>
      </c>
      <c r="AF164" s="9"/>
      <c r="AG164" s="9"/>
      <c r="AH164" s="41"/>
      <c r="AI164" s="41"/>
      <c r="AJ164" s="41"/>
      <c r="AK164" s="41"/>
      <c r="AL164" s="41"/>
      <c r="AM164" s="37" t="str">
        <f aca="false">IF(OR(C164="",F164="",G164="",C164="Sump",C164="Drop Inlet Chamber",C164="Silt Trap",C164="Pipe Culvert",C164="Subsoil Drain"),"",ROUND(MAX(1,N(H164))*(1/SG_Criteria!$B$26)*((F164/1000)*(G164/1000*(1-SG_Criteria!$B$25)))*(((F164/1000)*(G164/1000*(1-SG_Criteria!$B$25)))/((F164/1000)+2*(G164/1000*(1-SG_Criteria!$B$25))))^(2/3)*(1/Design_Selector!$B$11)^0.5,3))</f>
        <v/>
      </c>
      <c r="AN164" s="11" t="str">
        <f aca="false">IF(AM164="","",ROUND(AM164/(MAX(1,N(H164))*F164/1000*(G164/1000*(1-SG_Criteria!$B$25))),2))</f>
        <v/>
      </c>
      <c r="AO164" s="38" t="str">
        <f aca="false">IF(C164="","",IF(LEN(IF(AND(OR(D164="Roadside drain",D164="Entrance culvert"),OR(F164&lt;SG_Criteria!$B$15,G164&lt;SG_Criteria!$B$16)),"FAIL: below PUB min "&amp;SG_Criteria!$B$15&amp;"x"&amp;SG_Criteria!$B$16&amp;" for roadside drain. ","")&amp;IF(AND(D164="Common drain",F164&lt;SG_Criteria!$B$17),"FAIL: common drain W &lt; "&amp;SG_Criteria!$B$17&amp;" mm. ","")&amp;IF(AND(N164&lt;&gt;"",IFERROR(VALUE(MID(N164,2,2)),0)&lt;SG_Criteria!$B$19),"FAIL: grade below C"&amp;SG_Criteria!$B$19&amp;". ","")&amp;IF(AND(O164&lt;&gt;"",O164&lt;SG_Criteria!$B$20),"FAIL: cover &lt; "&amp;SG_Criteria!$B$20&amp;" mm. ","")&amp;IF(AND(E164="Open",G164&gt;SG_Criteria!$B$18),"NOTE: safety railing required (D &gt; "&amp;SG_Criteria!$B$18&amp;" mm). ","")&amp;IF(AND(D164="Entrance culvert",G164&lt;600),"NOTE: check hinged grating rule for culverts &lt; 600 deep (PUB Add. 3). ",""))=0,"OK",IF(AND(OR(D164="Roadside drain",D164="Entrance culvert"),OR(F164&lt;SG_Criteria!$B$15,G164&lt;SG_Criteria!$B$16)),"FAIL: below PUB min "&amp;SG_Criteria!$B$15&amp;"x"&amp;SG_Criteria!$B$16&amp;" for roadside drain. ","")&amp;IF(AND(D164="Common drain",F164&lt;SG_Criteria!$B$17),"FAIL: common drain W &lt; "&amp;SG_Criteria!$B$17&amp;" mm. ","")&amp;IF(AND(N164&lt;&gt;"",IFERROR(VALUE(MID(N164,2,2)),0)&lt;SG_Criteria!$B$19),"FAIL: grade below C"&amp;SG_Criteria!$B$19&amp;". ","")&amp;IF(AND(O164&lt;&gt;"",O164&lt;SG_Criteria!$B$20),"FAIL: cover &lt; "&amp;SG_Criteria!$B$20&amp;" mm. ","")&amp;IF(AND(E164="Open",G164&gt;SG_Criteria!$B$18),"NOTE: safety railing required (D &gt; "&amp;SG_Criteria!$B$18&amp;" mm). ","")&amp;IF(AND(D164="Entrance culvert",G164&lt;600),"NOTE: check hinged grating rule for culverts &lt; 600 deep (PUB Add. 3). ","")))</f>
        <v/>
      </c>
      <c r="AP164" s="9"/>
      <c r="AQ164" s="9"/>
      <c r="AR164" s="9"/>
      <c r="AS164" s="9"/>
      <c r="AT164" s="9"/>
      <c r="AU164" s="31"/>
      <c r="AV164" s="10" t="str">
        <f aca="false">IF(C164="","",IF(AND(V164="Approved",ISERROR(SEARCH("FAIL",AO164))),"Y","N"))</f>
        <v/>
      </c>
      <c r="AW164" s="10" t="str">
        <f aca="false">IF(C164="","",C164&amp;"|"&amp;F164&amp;"|"&amp;G164&amp;"|"&amp;L164&amp;"|"&amp;AV164)</f>
        <v/>
      </c>
    </row>
    <row r="165" customFormat="false" ht="15" hidden="false" customHeight="false" outlineLevel="0" collapsed="false">
      <c r="A165" s="10" t="str">
        <f aca="false">IF(C165="","","DRN-"&amp;IFERROR(VLOOKUP(C165,Lists!$A$4:$B$27,2,0),"??")&amp;"-"&amp;TEXT(F165,"0000")&amp;"x"&amp;TEXT(G165,"0000")&amp;IF(N(H165)&gt;1,"-"&amp;H165&amp;"C","")&amp;"-"&amp;IFERROR(VLOOKUP(L165,Lists!$J$4:$K$19,2,0),"??")&amp;"-"&amp;U165)</f>
        <v/>
      </c>
      <c r="B165" s="10" t="str">
        <f aca="false">IF(C165="","",C165&amp;" "&amp;F165&amp;"W x "&amp;G165&amp;"D"&amp;IF(N(H165)&gt;1," ("&amp;H165&amp;" cells)","")&amp;", "&amp;D165&amp;", "&amp;L165&amp;", "&amp;E165)</f>
        <v/>
      </c>
      <c r="C165" s="9"/>
      <c r="D165" s="9"/>
      <c r="E165" s="9"/>
      <c r="F165" s="40"/>
      <c r="G165" s="40"/>
      <c r="H165" s="40"/>
      <c r="I165" s="40"/>
      <c r="J165" s="40"/>
      <c r="K165" s="40"/>
      <c r="L165" s="9"/>
      <c r="M165" s="9"/>
      <c r="N165" s="9"/>
      <c r="O165" s="40"/>
      <c r="P165" s="9"/>
      <c r="Q165" s="9"/>
      <c r="R165" s="9"/>
      <c r="S165" s="9"/>
      <c r="T165" s="9"/>
      <c r="U165" s="9"/>
      <c r="V165" s="9"/>
      <c r="W165" s="9"/>
      <c r="X165" s="9"/>
      <c r="Y165" s="9"/>
      <c r="Z165" s="10" t="str">
        <f aca="false">IF(A165="","",SG_Criteria!$B$6&amp;SG_Criteria!$B$7&amp;"\"&amp;A165&amp;"\")</f>
        <v/>
      </c>
      <c r="AA165" s="10" t="str">
        <f aca="false">IF(A165="","",A165&amp;"_CAD.dwg")</f>
        <v/>
      </c>
      <c r="AB165" s="10" t="str">
        <f aca="false">IF(A165="","",A165&amp;"_DWG.pdf")</f>
        <v/>
      </c>
      <c r="AC165" s="10" t="str">
        <f aca="false">IF(A165="","",IF(Y165="Y",A165&amp;"_STAAD.std","n/a"))</f>
        <v/>
      </c>
      <c r="AD165" s="10" t="str">
        <f aca="false">IF(A165="","",A165&amp;"_CALC.xlsx")</f>
        <v/>
      </c>
      <c r="AE165" s="10" t="str">
        <f aca="false">IF(A165="","",A165&amp;"_CALC.pdf")</f>
        <v/>
      </c>
      <c r="AF165" s="9"/>
      <c r="AG165" s="9"/>
      <c r="AH165" s="41"/>
      <c r="AI165" s="41"/>
      <c r="AJ165" s="41"/>
      <c r="AK165" s="41"/>
      <c r="AL165" s="41"/>
      <c r="AM165" s="37" t="str">
        <f aca="false">IF(OR(C165="",F165="",G165="",C165="Sump",C165="Drop Inlet Chamber",C165="Silt Trap",C165="Pipe Culvert",C165="Subsoil Drain"),"",ROUND(MAX(1,N(H165))*(1/SG_Criteria!$B$26)*((F165/1000)*(G165/1000*(1-SG_Criteria!$B$25)))*(((F165/1000)*(G165/1000*(1-SG_Criteria!$B$25)))/((F165/1000)+2*(G165/1000*(1-SG_Criteria!$B$25))))^(2/3)*(1/Design_Selector!$B$11)^0.5,3))</f>
        <v/>
      </c>
      <c r="AN165" s="11" t="str">
        <f aca="false">IF(AM165="","",ROUND(AM165/(MAX(1,N(H165))*F165/1000*(G165/1000*(1-SG_Criteria!$B$25))),2))</f>
        <v/>
      </c>
      <c r="AO165" s="38" t="str">
        <f aca="false">IF(C165="","",IF(LEN(IF(AND(OR(D165="Roadside drain",D165="Entrance culvert"),OR(F165&lt;SG_Criteria!$B$15,G165&lt;SG_Criteria!$B$16)),"FAIL: below PUB min "&amp;SG_Criteria!$B$15&amp;"x"&amp;SG_Criteria!$B$16&amp;" for roadside drain. ","")&amp;IF(AND(D165="Common drain",F165&lt;SG_Criteria!$B$17),"FAIL: common drain W &lt; "&amp;SG_Criteria!$B$17&amp;" mm. ","")&amp;IF(AND(N165&lt;&gt;"",IFERROR(VALUE(MID(N165,2,2)),0)&lt;SG_Criteria!$B$19),"FAIL: grade below C"&amp;SG_Criteria!$B$19&amp;". ","")&amp;IF(AND(O165&lt;&gt;"",O165&lt;SG_Criteria!$B$20),"FAIL: cover &lt; "&amp;SG_Criteria!$B$20&amp;" mm. ","")&amp;IF(AND(E165="Open",G165&gt;SG_Criteria!$B$18),"NOTE: safety railing required (D &gt; "&amp;SG_Criteria!$B$18&amp;" mm). ","")&amp;IF(AND(D165="Entrance culvert",G165&lt;600),"NOTE: check hinged grating rule for culverts &lt; 600 deep (PUB Add. 3). ",""))=0,"OK",IF(AND(OR(D165="Roadside drain",D165="Entrance culvert"),OR(F165&lt;SG_Criteria!$B$15,G165&lt;SG_Criteria!$B$16)),"FAIL: below PUB min "&amp;SG_Criteria!$B$15&amp;"x"&amp;SG_Criteria!$B$16&amp;" for roadside drain. ","")&amp;IF(AND(D165="Common drain",F165&lt;SG_Criteria!$B$17),"FAIL: common drain W &lt; "&amp;SG_Criteria!$B$17&amp;" mm. ","")&amp;IF(AND(N165&lt;&gt;"",IFERROR(VALUE(MID(N165,2,2)),0)&lt;SG_Criteria!$B$19),"FAIL: grade below C"&amp;SG_Criteria!$B$19&amp;". ","")&amp;IF(AND(O165&lt;&gt;"",O165&lt;SG_Criteria!$B$20),"FAIL: cover &lt; "&amp;SG_Criteria!$B$20&amp;" mm. ","")&amp;IF(AND(E165="Open",G165&gt;SG_Criteria!$B$18),"NOTE: safety railing required (D &gt; "&amp;SG_Criteria!$B$18&amp;" mm). ","")&amp;IF(AND(D165="Entrance culvert",G165&lt;600),"NOTE: check hinged grating rule for culverts &lt; 600 deep (PUB Add. 3). ","")))</f>
        <v/>
      </c>
      <c r="AP165" s="9"/>
      <c r="AQ165" s="9"/>
      <c r="AR165" s="9"/>
      <c r="AS165" s="9"/>
      <c r="AT165" s="9"/>
      <c r="AU165" s="31"/>
      <c r="AV165" s="10" t="str">
        <f aca="false">IF(C165="","",IF(AND(V165="Approved",ISERROR(SEARCH("FAIL",AO165))),"Y","N"))</f>
        <v/>
      </c>
      <c r="AW165" s="10" t="str">
        <f aca="false">IF(C165="","",C165&amp;"|"&amp;F165&amp;"|"&amp;G165&amp;"|"&amp;L165&amp;"|"&amp;AV165)</f>
        <v/>
      </c>
    </row>
    <row r="166" customFormat="false" ht="15" hidden="false" customHeight="false" outlineLevel="0" collapsed="false">
      <c r="A166" s="10" t="str">
        <f aca="false">IF(C166="","","DRN-"&amp;IFERROR(VLOOKUP(C166,Lists!$A$4:$B$27,2,0),"??")&amp;"-"&amp;TEXT(F166,"0000")&amp;"x"&amp;TEXT(G166,"0000")&amp;IF(N(H166)&gt;1,"-"&amp;H166&amp;"C","")&amp;"-"&amp;IFERROR(VLOOKUP(L166,Lists!$J$4:$K$19,2,0),"??")&amp;"-"&amp;U166)</f>
        <v/>
      </c>
      <c r="B166" s="10" t="str">
        <f aca="false">IF(C166="","",C166&amp;" "&amp;F166&amp;"W x "&amp;G166&amp;"D"&amp;IF(N(H166)&gt;1," ("&amp;H166&amp;" cells)","")&amp;", "&amp;D166&amp;", "&amp;L166&amp;", "&amp;E166)</f>
        <v/>
      </c>
      <c r="C166" s="9"/>
      <c r="D166" s="9"/>
      <c r="E166" s="9"/>
      <c r="F166" s="40"/>
      <c r="G166" s="40"/>
      <c r="H166" s="40"/>
      <c r="I166" s="40"/>
      <c r="J166" s="40"/>
      <c r="K166" s="40"/>
      <c r="L166" s="9"/>
      <c r="M166" s="9"/>
      <c r="N166" s="9"/>
      <c r="O166" s="40"/>
      <c r="P166" s="9"/>
      <c r="Q166" s="9"/>
      <c r="R166" s="9"/>
      <c r="S166" s="9"/>
      <c r="T166" s="9"/>
      <c r="U166" s="9"/>
      <c r="V166" s="9"/>
      <c r="W166" s="9"/>
      <c r="X166" s="9"/>
      <c r="Y166" s="9"/>
      <c r="Z166" s="10" t="str">
        <f aca="false">IF(A166="","",SG_Criteria!$B$6&amp;SG_Criteria!$B$7&amp;"\"&amp;A166&amp;"\")</f>
        <v/>
      </c>
      <c r="AA166" s="10" t="str">
        <f aca="false">IF(A166="","",A166&amp;"_CAD.dwg")</f>
        <v/>
      </c>
      <c r="AB166" s="10" t="str">
        <f aca="false">IF(A166="","",A166&amp;"_DWG.pdf")</f>
        <v/>
      </c>
      <c r="AC166" s="10" t="str">
        <f aca="false">IF(A166="","",IF(Y166="Y",A166&amp;"_STAAD.std","n/a"))</f>
        <v/>
      </c>
      <c r="AD166" s="10" t="str">
        <f aca="false">IF(A166="","",A166&amp;"_CALC.xlsx")</f>
        <v/>
      </c>
      <c r="AE166" s="10" t="str">
        <f aca="false">IF(A166="","",A166&amp;"_CALC.pdf")</f>
        <v/>
      </c>
      <c r="AF166" s="9"/>
      <c r="AG166" s="9"/>
      <c r="AH166" s="41"/>
      <c r="AI166" s="41"/>
      <c r="AJ166" s="41"/>
      <c r="AK166" s="41"/>
      <c r="AL166" s="41"/>
      <c r="AM166" s="37" t="str">
        <f aca="false">IF(OR(C166="",F166="",G166="",C166="Sump",C166="Drop Inlet Chamber",C166="Silt Trap",C166="Pipe Culvert",C166="Subsoil Drain"),"",ROUND(MAX(1,N(H166))*(1/SG_Criteria!$B$26)*((F166/1000)*(G166/1000*(1-SG_Criteria!$B$25)))*(((F166/1000)*(G166/1000*(1-SG_Criteria!$B$25)))/((F166/1000)+2*(G166/1000*(1-SG_Criteria!$B$25))))^(2/3)*(1/Design_Selector!$B$11)^0.5,3))</f>
        <v/>
      </c>
      <c r="AN166" s="11" t="str">
        <f aca="false">IF(AM166="","",ROUND(AM166/(MAX(1,N(H166))*F166/1000*(G166/1000*(1-SG_Criteria!$B$25))),2))</f>
        <v/>
      </c>
      <c r="AO166" s="38" t="str">
        <f aca="false">IF(C166="","",IF(LEN(IF(AND(OR(D166="Roadside drain",D166="Entrance culvert"),OR(F166&lt;SG_Criteria!$B$15,G166&lt;SG_Criteria!$B$16)),"FAIL: below PUB min "&amp;SG_Criteria!$B$15&amp;"x"&amp;SG_Criteria!$B$16&amp;" for roadside drain. ","")&amp;IF(AND(D166="Common drain",F166&lt;SG_Criteria!$B$17),"FAIL: common drain W &lt; "&amp;SG_Criteria!$B$17&amp;" mm. ","")&amp;IF(AND(N166&lt;&gt;"",IFERROR(VALUE(MID(N166,2,2)),0)&lt;SG_Criteria!$B$19),"FAIL: grade below C"&amp;SG_Criteria!$B$19&amp;". ","")&amp;IF(AND(O166&lt;&gt;"",O166&lt;SG_Criteria!$B$20),"FAIL: cover &lt; "&amp;SG_Criteria!$B$20&amp;" mm. ","")&amp;IF(AND(E166="Open",G166&gt;SG_Criteria!$B$18),"NOTE: safety railing required (D &gt; "&amp;SG_Criteria!$B$18&amp;" mm). ","")&amp;IF(AND(D166="Entrance culvert",G166&lt;600),"NOTE: check hinged grating rule for culverts &lt; 600 deep (PUB Add. 3). ",""))=0,"OK",IF(AND(OR(D166="Roadside drain",D166="Entrance culvert"),OR(F166&lt;SG_Criteria!$B$15,G166&lt;SG_Criteria!$B$16)),"FAIL: below PUB min "&amp;SG_Criteria!$B$15&amp;"x"&amp;SG_Criteria!$B$16&amp;" for roadside drain. ","")&amp;IF(AND(D166="Common drain",F166&lt;SG_Criteria!$B$17),"FAIL: common drain W &lt; "&amp;SG_Criteria!$B$17&amp;" mm. ","")&amp;IF(AND(N166&lt;&gt;"",IFERROR(VALUE(MID(N166,2,2)),0)&lt;SG_Criteria!$B$19),"FAIL: grade below C"&amp;SG_Criteria!$B$19&amp;". ","")&amp;IF(AND(O166&lt;&gt;"",O166&lt;SG_Criteria!$B$20),"FAIL: cover &lt; "&amp;SG_Criteria!$B$20&amp;" mm. ","")&amp;IF(AND(E166="Open",G166&gt;SG_Criteria!$B$18),"NOTE: safety railing required (D &gt; "&amp;SG_Criteria!$B$18&amp;" mm). ","")&amp;IF(AND(D166="Entrance culvert",G166&lt;600),"NOTE: check hinged grating rule for culverts &lt; 600 deep (PUB Add. 3). ","")))</f>
        <v/>
      </c>
      <c r="AP166" s="9"/>
      <c r="AQ166" s="9"/>
      <c r="AR166" s="9"/>
      <c r="AS166" s="9"/>
      <c r="AT166" s="9"/>
      <c r="AU166" s="31"/>
      <c r="AV166" s="10" t="str">
        <f aca="false">IF(C166="","",IF(AND(V166="Approved",ISERROR(SEARCH("FAIL",AO166))),"Y","N"))</f>
        <v/>
      </c>
      <c r="AW166" s="10" t="str">
        <f aca="false">IF(C166="","",C166&amp;"|"&amp;F166&amp;"|"&amp;G166&amp;"|"&amp;L166&amp;"|"&amp;AV166)</f>
        <v/>
      </c>
    </row>
    <row r="167" customFormat="false" ht="15" hidden="false" customHeight="false" outlineLevel="0" collapsed="false">
      <c r="A167" s="10" t="str">
        <f aca="false">IF(C167="","","DRN-"&amp;IFERROR(VLOOKUP(C167,Lists!$A$4:$B$27,2,0),"??")&amp;"-"&amp;TEXT(F167,"0000")&amp;"x"&amp;TEXT(G167,"0000")&amp;IF(N(H167)&gt;1,"-"&amp;H167&amp;"C","")&amp;"-"&amp;IFERROR(VLOOKUP(L167,Lists!$J$4:$K$19,2,0),"??")&amp;"-"&amp;U167)</f>
        <v/>
      </c>
      <c r="B167" s="10" t="str">
        <f aca="false">IF(C167="","",C167&amp;" "&amp;F167&amp;"W x "&amp;G167&amp;"D"&amp;IF(N(H167)&gt;1," ("&amp;H167&amp;" cells)","")&amp;", "&amp;D167&amp;", "&amp;L167&amp;", "&amp;E167)</f>
        <v/>
      </c>
      <c r="C167" s="9"/>
      <c r="D167" s="9"/>
      <c r="E167" s="9"/>
      <c r="F167" s="40"/>
      <c r="G167" s="40"/>
      <c r="H167" s="40"/>
      <c r="I167" s="40"/>
      <c r="J167" s="40"/>
      <c r="K167" s="40"/>
      <c r="L167" s="9"/>
      <c r="M167" s="9"/>
      <c r="N167" s="9"/>
      <c r="O167" s="40"/>
      <c r="P167" s="9"/>
      <c r="Q167" s="9"/>
      <c r="R167" s="9"/>
      <c r="S167" s="9"/>
      <c r="T167" s="9"/>
      <c r="U167" s="9"/>
      <c r="V167" s="9"/>
      <c r="W167" s="9"/>
      <c r="X167" s="9"/>
      <c r="Y167" s="9"/>
      <c r="Z167" s="10" t="str">
        <f aca="false">IF(A167="","",SG_Criteria!$B$6&amp;SG_Criteria!$B$7&amp;"\"&amp;A167&amp;"\")</f>
        <v/>
      </c>
      <c r="AA167" s="10" t="str">
        <f aca="false">IF(A167="","",A167&amp;"_CAD.dwg")</f>
        <v/>
      </c>
      <c r="AB167" s="10" t="str">
        <f aca="false">IF(A167="","",A167&amp;"_DWG.pdf")</f>
        <v/>
      </c>
      <c r="AC167" s="10" t="str">
        <f aca="false">IF(A167="","",IF(Y167="Y",A167&amp;"_STAAD.std","n/a"))</f>
        <v/>
      </c>
      <c r="AD167" s="10" t="str">
        <f aca="false">IF(A167="","",A167&amp;"_CALC.xlsx")</f>
        <v/>
      </c>
      <c r="AE167" s="10" t="str">
        <f aca="false">IF(A167="","",A167&amp;"_CALC.pdf")</f>
        <v/>
      </c>
      <c r="AF167" s="9"/>
      <c r="AG167" s="9"/>
      <c r="AH167" s="41"/>
      <c r="AI167" s="41"/>
      <c r="AJ167" s="41"/>
      <c r="AK167" s="41"/>
      <c r="AL167" s="41"/>
      <c r="AM167" s="37" t="str">
        <f aca="false">IF(OR(C167="",F167="",G167="",C167="Sump",C167="Drop Inlet Chamber",C167="Silt Trap",C167="Pipe Culvert",C167="Subsoil Drain"),"",ROUND(MAX(1,N(H167))*(1/SG_Criteria!$B$26)*((F167/1000)*(G167/1000*(1-SG_Criteria!$B$25)))*(((F167/1000)*(G167/1000*(1-SG_Criteria!$B$25)))/((F167/1000)+2*(G167/1000*(1-SG_Criteria!$B$25))))^(2/3)*(1/Design_Selector!$B$11)^0.5,3))</f>
        <v/>
      </c>
      <c r="AN167" s="11" t="str">
        <f aca="false">IF(AM167="","",ROUND(AM167/(MAX(1,N(H167))*F167/1000*(G167/1000*(1-SG_Criteria!$B$25))),2))</f>
        <v/>
      </c>
      <c r="AO167" s="38" t="str">
        <f aca="false">IF(C167="","",IF(LEN(IF(AND(OR(D167="Roadside drain",D167="Entrance culvert"),OR(F167&lt;SG_Criteria!$B$15,G167&lt;SG_Criteria!$B$16)),"FAIL: below PUB min "&amp;SG_Criteria!$B$15&amp;"x"&amp;SG_Criteria!$B$16&amp;" for roadside drain. ","")&amp;IF(AND(D167="Common drain",F167&lt;SG_Criteria!$B$17),"FAIL: common drain W &lt; "&amp;SG_Criteria!$B$17&amp;" mm. ","")&amp;IF(AND(N167&lt;&gt;"",IFERROR(VALUE(MID(N167,2,2)),0)&lt;SG_Criteria!$B$19),"FAIL: grade below C"&amp;SG_Criteria!$B$19&amp;". ","")&amp;IF(AND(O167&lt;&gt;"",O167&lt;SG_Criteria!$B$20),"FAIL: cover &lt; "&amp;SG_Criteria!$B$20&amp;" mm. ","")&amp;IF(AND(E167="Open",G167&gt;SG_Criteria!$B$18),"NOTE: safety railing required (D &gt; "&amp;SG_Criteria!$B$18&amp;" mm). ","")&amp;IF(AND(D167="Entrance culvert",G167&lt;600),"NOTE: check hinged grating rule for culverts &lt; 600 deep (PUB Add. 3). ",""))=0,"OK",IF(AND(OR(D167="Roadside drain",D167="Entrance culvert"),OR(F167&lt;SG_Criteria!$B$15,G167&lt;SG_Criteria!$B$16)),"FAIL: below PUB min "&amp;SG_Criteria!$B$15&amp;"x"&amp;SG_Criteria!$B$16&amp;" for roadside drain. ","")&amp;IF(AND(D167="Common drain",F167&lt;SG_Criteria!$B$17),"FAIL: common drain W &lt; "&amp;SG_Criteria!$B$17&amp;" mm. ","")&amp;IF(AND(N167&lt;&gt;"",IFERROR(VALUE(MID(N167,2,2)),0)&lt;SG_Criteria!$B$19),"FAIL: grade below C"&amp;SG_Criteria!$B$19&amp;". ","")&amp;IF(AND(O167&lt;&gt;"",O167&lt;SG_Criteria!$B$20),"FAIL: cover &lt; "&amp;SG_Criteria!$B$20&amp;" mm. ","")&amp;IF(AND(E167="Open",G167&gt;SG_Criteria!$B$18),"NOTE: safety railing required (D &gt; "&amp;SG_Criteria!$B$18&amp;" mm). ","")&amp;IF(AND(D167="Entrance culvert",G167&lt;600),"NOTE: check hinged grating rule for culverts &lt; 600 deep (PUB Add. 3). ","")))</f>
        <v/>
      </c>
      <c r="AP167" s="9"/>
      <c r="AQ167" s="9"/>
      <c r="AR167" s="9"/>
      <c r="AS167" s="9"/>
      <c r="AT167" s="9"/>
      <c r="AU167" s="31"/>
      <c r="AV167" s="10" t="str">
        <f aca="false">IF(C167="","",IF(AND(V167="Approved",ISERROR(SEARCH("FAIL",AO167))),"Y","N"))</f>
        <v/>
      </c>
      <c r="AW167" s="10" t="str">
        <f aca="false">IF(C167="","",C167&amp;"|"&amp;F167&amp;"|"&amp;G167&amp;"|"&amp;L167&amp;"|"&amp;AV167)</f>
        <v/>
      </c>
    </row>
    <row r="168" customFormat="false" ht="15" hidden="false" customHeight="false" outlineLevel="0" collapsed="false">
      <c r="A168" s="10" t="str">
        <f aca="false">IF(C168="","","DRN-"&amp;IFERROR(VLOOKUP(C168,Lists!$A$4:$B$27,2,0),"??")&amp;"-"&amp;TEXT(F168,"0000")&amp;"x"&amp;TEXT(G168,"0000")&amp;IF(N(H168)&gt;1,"-"&amp;H168&amp;"C","")&amp;"-"&amp;IFERROR(VLOOKUP(L168,Lists!$J$4:$K$19,2,0),"??")&amp;"-"&amp;U168)</f>
        <v/>
      </c>
      <c r="B168" s="10" t="str">
        <f aca="false">IF(C168="","",C168&amp;" "&amp;F168&amp;"W x "&amp;G168&amp;"D"&amp;IF(N(H168)&gt;1," ("&amp;H168&amp;" cells)","")&amp;", "&amp;D168&amp;", "&amp;L168&amp;", "&amp;E168)</f>
        <v/>
      </c>
      <c r="C168" s="9"/>
      <c r="D168" s="9"/>
      <c r="E168" s="9"/>
      <c r="F168" s="40"/>
      <c r="G168" s="40"/>
      <c r="H168" s="40"/>
      <c r="I168" s="40"/>
      <c r="J168" s="40"/>
      <c r="K168" s="40"/>
      <c r="L168" s="9"/>
      <c r="M168" s="9"/>
      <c r="N168" s="9"/>
      <c r="O168" s="40"/>
      <c r="P168" s="9"/>
      <c r="Q168" s="9"/>
      <c r="R168" s="9"/>
      <c r="S168" s="9"/>
      <c r="T168" s="9"/>
      <c r="U168" s="9"/>
      <c r="V168" s="9"/>
      <c r="W168" s="9"/>
      <c r="X168" s="9"/>
      <c r="Y168" s="9"/>
      <c r="Z168" s="10" t="str">
        <f aca="false">IF(A168="","",SG_Criteria!$B$6&amp;SG_Criteria!$B$7&amp;"\"&amp;A168&amp;"\")</f>
        <v/>
      </c>
      <c r="AA168" s="10" t="str">
        <f aca="false">IF(A168="","",A168&amp;"_CAD.dwg")</f>
        <v/>
      </c>
      <c r="AB168" s="10" t="str">
        <f aca="false">IF(A168="","",A168&amp;"_DWG.pdf")</f>
        <v/>
      </c>
      <c r="AC168" s="10" t="str">
        <f aca="false">IF(A168="","",IF(Y168="Y",A168&amp;"_STAAD.std","n/a"))</f>
        <v/>
      </c>
      <c r="AD168" s="10" t="str">
        <f aca="false">IF(A168="","",A168&amp;"_CALC.xlsx")</f>
        <v/>
      </c>
      <c r="AE168" s="10" t="str">
        <f aca="false">IF(A168="","",A168&amp;"_CALC.pdf")</f>
        <v/>
      </c>
      <c r="AF168" s="9"/>
      <c r="AG168" s="9"/>
      <c r="AH168" s="41"/>
      <c r="AI168" s="41"/>
      <c r="AJ168" s="41"/>
      <c r="AK168" s="41"/>
      <c r="AL168" s="41"/>
      <c r="AM168" s="37" t="str">
        <f aca="false">IF(OR(C168="",F168="",G168="",C168="Sump",C168="Drop Inlet Chamber",C168="Silt Trap",C168="Pipe Culvert",C168="Subsoil Drain"),"",ROUND(MAX(1,N(H168))*(1/SG_Criteria!$B$26)*((F168/1000)*(G168/1000*(1-SG_Criteria!$B$25)))*(((F168/1000)*(G168/1000*(1-SG_Criteria!$B$25)))/((F168/1000)+2*(G168/1000*(1-SG_Criteria!$B$25))))^(2/3)*(1/Design_Selector!$B$11)^0.5,3))</f>
        <v/>
      </c>
      <c r="AN168" s="11" t="str">
        <f aca="false">IF(AM168="","",ROUND(AM168/(MAX(1,N(H168))*F168/1000*(G168/1000*(1-SG_Criteria!$B$25))),2))</f>
        <v/>
      </c>
      <c r="AO168" s="38" t="str">
        <f aca="false">IF(C168="","",IF(LEN(IF(AND(OR(D168="Roadside drain",D168="Entrance culvert"),OR(F168&lt;SG_Criteria!$B$15,G168&lt;SG_Criteria!$B$16)),"FAIL: below PUB min "&amp;SG_Criteria!$B$15&amp;"x"&amp;SG_Criteria!$B$16&amp;" for roadside drain. ","")&amp;IF(AND(D168="Common drain",F168&lt;SG_Criteria!$B$17),"FAIL: common drain W &lt; "&amp;SG_Criteria!$B$17&amp;" mm. ","")&amp;IF(AND(N168&lt;&gt;"",IFERROR(VALUE(MID(N168,2,2)),0)&lt;SG_Criteria!$B$19),"FAIL: grade below C"&amp;SG_Criteria!$B$19&amp;". ","")&amp;IF(AND(O168&lt;&gt;"",O168&lt;SG_Criteria!$B$20),"FAIL: cover &lt; "&amp;SG_Criteria!$B$20&amp;" mm. ","")&amp;IF(AND(E168="Open",G168&gt;SG_Criteria!$B$18),"NOTE: safety railing required (D &gt; "&amp;SG_Criteria!$B$18&amp;" mm). ","")&amp;IF(AND(D168="Entrance culvert",G168&lt;600),"NOTE: check hinged grating rule for culverts &lt; 600 deep (PUB Add. 3). ",""))=0,"OK",IF(AND(OR(D168="Roadside drain",D168="Entrance culvert"),OR(F168&lt;SG_Criteria!$B$15,G168&lt;SG_Criteria!$B$16)),"FAIL: below PUB min "&amp;SG_Criteria!$B$15&amp;"x"&amp;SG_Criteria!$B$16&amp;" for roadside drain. ","")&amp;IF(AND(D168="Common drain",F168&lt;SG_Criteria!$B$17),"FAIL: common drain W &lt; "&amp;SG_Criteria!$B$17&amp;" mm. ","")&amp;IF(AND(N168&lt;&gt;"",IFERROR(VALUE(MID(N168,2,2)),0)&lt;SG_Criteria!$B$19),"FAIL: grade below C"&amp;SG_Criteria!$B$19&amp;". ","")&amp;IF(AND(O168&lt;&gt;"",O168&lt;SG_Criteria!$B$20),"FAIL: cover &lt; "&amp;SG_Criteria!$B$20&amp;" mm. ","")&amp;IF(AND(E168="Open",G168&gt;SG_Criteria!$B$18),"NOTE: safety railing required (D &gt; "&amp;SG_Criteria!$B$18&amp;" mm). ","")&amp;IF(AND(D168="Entrance culvert",G168&lt;600),"NOTE: check hinged grating rule for culverts &lt; 600 deep (PUB Add. 3). ","")))</f>
        <v/>
      </c>
      <c r="AP168" s="9"/>
      <c r="AQ168" s="9"/>
      <c r="AR168" s="9"/>
      <c r="AS168" s="9"/>
      <c r="AT168" s="9"/>
      <c r="AU168" s="31"/>
      <c r="AV168" s="10" t="str">
        <f aca="false">IF(C168="","",IF(AND(V168="Approved",ISERROR(SEARCH("FAIL",AO168))),"Y","N"))</f>
        <v/>
      </c>
      <c r="AW168" s="10" t="str">
        <f aca="false">IF(C168="","",C168&amp;"|"&amp;F168&amp;"|"&amp;G168&amp;"|"&amp;L168&amp;"|"&amp;AV168)</f>
        <v/>
      </c>
    </row>
    <row r="169" customFormat="false" ht="15" hidden="false" customHeight="false" outlineLevel="0" collapsed="false">
      <c r="A169" s="10" t="str">
        <f aca="false">IF(C169="","","DRN-"&amp;IFERROR(VLOOKUP(C169,Lists!$A$4:$B$27,2,0),"??")&amp;"-"&amp;TEXT(F169,"0000")&amp;"x"&amp;TEXT(G169,"0000")&amp;IF(N(H169)&gt;1,"-"&amp;H169&amp;"C","")&amp;"-"&amp;IFERROR(VLOOKUP(L169,Lists!$J$4:$K$19,2,0),"??")&amp;"-"&amp;U169)</f>
        <v/>
      </c>
      <c r="B169" s="10" t="str">
        <f aca="false">IF(C169="","",C169&amp;" "&amp;F169&amp;"W x "&amp;G169&amp;"D"&amp;IF(N(H169)&gt;1," ("&amp;H169&amp;" cells)","")&amp;", "&amp;D169&amp;", "&amp;L169&amp;", "&amp;E169)</f>
        <v/>
      </c>
      <c r="C169" s="9"/>
      <c r="D169" s="9"/>
      <c r="E169" s="9"/>
      <c r="F169" s="40"/>
      <c r="G169" s="40"/>
      <c r="H169" s="40"/>
      <c r="I169" s="40"/>
      <c r="J169" s="40"/>
      <c r="K169" s="40"/>
      <c r="L169" s="9"/>
      <c r="M169" s="9"/>
      <c r="N169" s="9"/>
      <c r="O169" s="40"/>
      <c r="P169" s="9"/>
      <c r="Q169" s="9"/>
      <c r="R169" s="9"/>
      <c r="S169" s="9"/>
      <c r="T169" s="9"/>
      <c r="U169" s="9"/>
      <c r="V169" s="9"/>
      <c r="W169" s="9"/>
      <c r="X169" s="9"/>
      <c r="Y169" s="9"/>
      <c r="Z169" s="10" t="str">
        <f aca="false">IF(A169="","",SG_Criteria!$B$6&amp;SG_Criteria!$B$7&amp;"\"&amp;A169&amp;"\")</f>
        <v/>
      </c>
      <c r="AA169" s="10" t="str">
        <f aca="false">IF(A169="","",A169&amp;"_CAD.dwg")</f>
        <v/>
      </c>
      <c r="AB169" s="10" t="str">
        <f aca="false">IF(A169="","",A169&amp;"_DWG.pdf")</f>
        <v/>
      </c>
      <c r="AC169" s="10" t="str">
        <f aca="false">IF(A169="","",IF(Y169="Y",A169&amp;"_STAAD.std","n/a"))</f>
        <v/>
      </c>
      <c r="AD169" s="10" t="str">
        <f aca="false">IF(A169="","",A169&amp;"_CALC.xlsx")</f>
        <v/>
      </c>
      <c r="AE169" s="10" t="str">
        <f aca="false">IF(A169="","",A169&amp;"_CALC.pdf")</f>
        <v/>
      </c>
      <c r="AF169" s="9"/>
      <c r="AG169" s="9"/>
      <c r="AH169" s="41"/>
      <c r="AI169" s="41"/>
      <c r="AJ169" s="41"/>
      <c r="AK169" s="41"/>
      <c r="AL169" s="41"/>
      <c r="AM169" s="37" t="str">
        <f aca="false">IF(OR(C169="",F169="",G169="",C169="Sump",C169="Drop Inlet Chamber",C169="Silt Trap",C169="Pipe Culvert",C169="Subsoil Drain"),"",ROUND(MAX(1,N(H169))*(1/SG_Criteria!$B$26)*((F169/1000)*(G169/1000*(1-SG_Criteria!$B$25)))*(((F169/1000)*(G169/1000*(1-SG_Criteria!$B$25)))/((F169/1000)+2*(G169/1000*(1-SG_Criteria!$B$25))))^(2/3)*(1/Design_Selector!$B$11)^0.5,3))</f>
        <v/>
      </c>
      <c r="AN169" s="11" t="str">
        <f aca="false">IF(AM169="","",ROUND(AM169/(MAX(1,N(H169))*F169/1000*(G169/1000*(1-SG_Criteria!$B$25))),2))</f>
        <v/>
      </c>
      <c r="AO169" s="38" t="str">
        <f aca="false">IF(C169="","",IF(LEN(IF(AND(OR(D169="Roadside drain",D169="Entrance culvert"),OR(F169&lt;SG_Criteria!$B$15,G169&lt;SG_Criteria!$B$16)),"FAIL: below PUB min "&amp;SG_Criteria!$B$15&amp;"x"&amp;SG_Criteria!$B$16&amp;" for roadside drain. ","")&amp;IF(AND(D169="Common drain",F169&lt;SG_Criteria!$B$17),"FAIL: common drain W &lt; "&amp;SG_Criteria!$B$17&amp;" mm. ","")&amp;IF(AND(N169&lt;&gt;"",IFERROR(VALUE(MID(N169,2,2)),0)&lt;SG_Criteria!$B$19),"FAIL: grade below C"&amp;SG_Criteria!$B$19&amp;". ","")&amp;IF(AND(O169&lt;&gt;"",O169&lt;SG_Criteria!$B$20),"FAIL: cover &lt; "&amp;SG_Criteria!$B$20&amp;" mm. ","")&amp;IF(AND(E169="Open",G169&gt;SG_Criteria!$B$18),"NOTE: safety railing required (D &gt; "&amp;SG_Criteria!$B$18&amp;" mm). ","")&amp;IF(AND(D169="Entrance culvert",G169&lt;600),"NOTE: check hinged grating rule for culverts &lt; 600 deep (PUB Add. 3). ",""))=0,"OK",IF(AND(OR(D169="Roadside drain",D169="Entrance culvert"),OR(F169&lt;SG_Criteria!$B$15,G169&lt;SG_Criteria!$B$16)),"FAIL: below PUB min "&amp;SG_Criteria!$B$15&amp;"x"&amp;SG_Criteria!$B$16&amp;" for roadside drain. ","")&amp;IF(AND(D169="Common drain",F169&lt;SG_Criteria!$B$17),"FAIL: common drain W &lt; "&amp;SG_Criteria!$B$17&amp;" mm. ","")&amp;IF(AND(N169&lt;&gt;"",IFERROR(VALUE(MID(N169,2,2)),0)&lt;SG_Criteria!$B$19),"FAIL: grade below C"&amp;SG_Criteria!$B$19&amp;". ","")&amp;IF(AND(O169&lt;&gt;"",O169&lt;SG_Criteria!$B$20),"FAIL: cover &lt; "&amp;SG_Criteria!$B$20&amp;" mm. ","")&amp;IF(AND(E169="Open",G169&gt;SG_Criteria!$B$18),"NOTE: safety railing required (D &gt; "&amp;SG_Criteria!$B$18&amp;" mm). ","")&amp;IF(AND(D169="Entrance culvert",G169&lt;600),"NOTE: check hinged grating rule for culverts &lt; 600 deep (PUB Add. 3). ","")))</f>
        <v/>
      </c>
      <c r="AP169" s="9"/>
      <c r="AQ169" s="9"/>
      <c r="AR169" s="9"/>
      <c r="AS169" s="9"/>
      <c r="AT169" s="9"/>
      <c r="AU169" s="31"/>
      <c r="AV169" s="10" t="str">
        <f aca="false">IF(C169="","",IF(AND(V169="Approved",ISERROR(SEARCH("FAIL",AO169))),"Y","N"))</f>
        <v/>
      </c>
      <c r="AW169" s="10" t="str">
        <f aca="false">IF(C169="","",C169&amp;"|"&amp;F169&amp;"|"&amp;G169&amp;"|"&amp;L169&amp;"|"&amp;AV169)</f>
        <v/>
      </c>
    </row>
    <row r="170" customFormat="false" ht="15" hidden="false" customHeight="false" outlineLevel="0" collapsed="false">
      <c r="A170" s="10" t="str">
        <f aca="false">IF(C170="","","DRN-"&amp;IFERROR(VLOOKUP(C170,Lists!$A$4:$B$27,2,0),"??")&amp;"-"&amp;TEXT(F170,"0000")&amp;"x"&amp;TEXT(G170,"0000")&amp;IF(N(H170)&gt;1,"-"&amp;H170&amp;"C","")&amp;"-"&amp;IFERROR(VLOOKUP(L170,Lists!$J$4:$K$19,2,0),"??")&amp;"-"&amp;U170)</f>
        <v/>
      </c>
      <c r="B170" s="10" t="str">
        <f aca="false">IF(C170="","",C170&amp;" "&amp;F170&amp;"W x "&amp;G170&amp;"D"&amp;IF(N(H170)&gt;1," ("&amp;H170&amp;" cells)","")&amp;", "&amp;D170&amp;", "&amp;L170&amp;", "&amp;E170)</f>
        <v/>
      </c>
      <c r="C170" s="9"/>
      <c r="D170" s="9"/>
      <c r="E170" s="9"/>
      <c r="F170" s="40"/>
      <c r="G170" s="40"/>
      <c r="H170" s="40"/>
      <c r="I170" s="40"/>
      <c r="J170" s="40"/>
      <c r="K170" s="40"/>
      <c r="L170" s="9"/>
      <c r="M170" s="9"/>
      <c r="N170" s="9"/>
      <c r="O170" s="40"/>
      <c r="P170" s="9"/>
      <c r="Q170" s="9"/>
      <c r="R170" s="9"/>
      <c r="S170" s="9"/>
      <c r="T170" s="9"/>
      <c r="U170" s="9"/>
      <c r="V170" s="9"/>
      <c r="W170" s="9"/>
      <c r="X170" s="9"/>
      <c r="Y170" s="9"/>
      <c r="Z170" s="10" t="str">
        <f aca="false">IF(A170="","",SG_Criteria!$B$6&amp;SG_Criteria!$B$7&amp;"\"&amp;A170&amp;"\")</f>
        <v/>
      </c>
      <c r="AA170" s="10" t="str">
        <f aca="false">IF(A170="","",A170&amp;"_CAD.dwg")</f>
        <v/>
      </c>
      <c r="AB170" s="10" t="str">
        <f aca="false">IF(A170="","",A170&amp;"_DWG.pdf")</f>
        <v/>
      </c>
      <c r="AC170" s="10" t="str">
        <f aca="false">IF(A170="","",IF(Y170="Y",A170&amp;"_STAAD.std","n/a"))</f>
        <v/>
      </c>
      <c r="AD170" s="10" t="str">
        <f aca="false">IF(A170="","",A170&amp;"_CALC.xlsx")</f>
        <v/>
      </c>
      <c r="AE170" s="10" t="str">
        <f aca="false">IF(A170="","",A170&amp;"_CALC.pdf")</f>
        <v/>
      </c>
      <c r="AF170" s="9"/>
      <c r="AG170" s="9"/>
      <c r="AH170" s="41"/>
      <c r="AI170" s="41"/>
      <c r="AJ170" s="41"/>
      <c r="AK170" s="41"/>
      <c r="AL170" s="41"/>
      <c r="AM170" s="37" t="str">
        <f aca="false">IF(OR(C170="",F170="",G170="",C170="Sump",C170="Drop Inlet Chamber",C170="Silt Trap",C170="Pipe Culvert",C170="Subsoil Drain"),"",ROUND(MAX(1,N(H170))*(1/SG_Criteria!$B$26)*((F170/1000)*(G170/1000*(1-SG_Criteria!$B$25)))*(((F170/1000)*(G170/1000*(1-SG_Criteria!$B$25)))/((F170/1000)+2*(G170/1000*(1-SG_Criteria!$B$25))))^(2/3)*(1/Design_Selector!$B$11)^0.5,3))</f>
        <v/>
      </c>
      <c r="AN170" s="11" t="str">
        <f aca="false">IF(AM170="","",ROUND(AM170/(MAX(1,N(H170))*F170/1000*(G170/1000*(1-SG_Criteria!$B$25))),2))</f>
        <v/>
      </c>
      <c r="AO170" s="38" t="str">
        <f aca="false">IF(C170="","",IF(LEN(IF(AND(OR(D170="Roadside drain",D170="Entrance culvert"),OR(F170&lt;SG_Criteria!$B$15,G170&lt;SG_Criteria!$B$16)),"FAIL: below PUB min "&amp;SG_Criteria!$B$15&amp;"x"&amp;SG_Criteria!$B$16&amp;" for roadside drain. ","")&amp;IF(AND(D170="Common drain",F170&lt;SG_Criteria!$B$17),"FAIL: common drain W &lt; "&amp;SG_Criteria!$B$17&amp;" mm. ","")&amp;IF(AND(N170&lt;&gt;"",IFERROR(VALUE(MID(N170,2,2)),0)&lt;SG_Criteria!$B$19),"FAIL: grade below C"&amp;SG_Criteria!$B$19&amp;". ","")&amp;IF(AND(O170&lt;&gt;"",O170&lt;SG_Criteria!$B$20),"FAIL: cover &lt; "&amp;SG_Criteria!$B$20&amp;" mm. ","")&amp;IF(AND(E170="Open",G170&gt;SG_Criteria!$B$18),"NOTE: safety railing required (D &gt; "&amp;SG_Criteria!$B$18&amp;" mm). ","")&amp;IF(AND(D170="Entrance culvert",G170&lt;600),"NOTE: check hinged grating rule for culverts &lt; 600 deep (PUB Add. 3). ",""))=0,"OK",IF(AND(OR(D170="Roadside drain",D170="Entrance culvert"),OR(F170&lt;SG_Criteria!$B$15,G170&lt;SG_Criteria!$B$16)),"FAIL: below PUB min "&amp;SG_Criteria!$B$15&amp;"x"&amp;SG_Criteria!$B$16&amp;" for roadside drain. ","")&amp;IF(AND(D170="Common drain",F170&lt;SG_Criteria!$B$17),"FAIL: common drain W &lt; "&amp;SG_Criteria!$B$17&amp;" mm. ","")&amp;IF(AND(N170&lt;&gt;"",IFERROR(VALUE(MID(N170,2,2)),0)&lt;SG_Criteria!$B$19),"FAIL: grade below C"&amp;SG_Criteria!$B$19&amp;". ","")&amp;IF(AND(O170&lt;&gt;"",O170&lt;SG_Criteria!$B$20),"FAIL: cover &lt; "&amp;SG_Criteria!$B$20&amp;" mm. ","")&amp;IF(AND(E170="Open",G170&gt;SG_Criteria!$B$18),"NOTE: safety railing required (D &gt; "&amp;SG_Criteria!$B$18&amp;" mm). ","")&amp;IF(AND(D170="Entrance culvert",G170&lt;600),"NOTE: check hinged grating rule for culverts &lt; 600 deep (PUB Add. 3). ","")))</f>
        <v/>
      </c>
      <c r="AP170" s="9"/>
      <c r="AQ170" s="9"/>
      <c r="AR170" s="9"/>
      <c r="AS170" s="9"/>
      <c r="AT170" s="9"/>
      <c r="AU170" s="31"/>
      <c r="AV170" s="10" t="str">
        <f aca="false">IF(C170="","",IF(AND(V170="Approved",ISERROR(SEARCH("FAIL",AO170))),"Y","N"))</f>
        <v/>
      </c>
      <c r="AW170" s="10" t="str">
        <f aca="false">IF(C170="","",C170&amp;"|"&amp;F170&amp;"|"&amp;G170&amp;"|"&amp;L170&amp;"|"&amp;AV170)</f>
        <v/>
      </c>
    </row>
    <row r="171" customFormat="false" ht="15" hidden="false" customHeight="false" outlineLevel="0" collapsed="false">
      <c r="A171" s="10" t="str">
        <f aca="false">IF(C171="","","DRN-"&amp;IFERROR(VLOOKUP(C171,Lists!$A$4:$B$27,2,0),"??")&amp;"-"&amp;TEXT(F171,"0000")&amp;"x"&amp;TEXT(G171,"0000")&amp;IF(N(H171)&gt;1,"-"&amp;H171&amp;"C","")&amp;"-"&amp;IFERROR(VLOOKUP(L171,Lists!$J$4:$K$19,2,0),"??")&amp;"-"&amp;U171)</f>
        <v/>
      </c>
      <c r="B171" s="10" t="str">
        <f aca="false">IF(C171="","",C171&amp;" "&amp;F171&amp;"W x "&amp;G171&amp;"D"&amp;IF(N(H171)&gt;1," ("&amp;H171&amp;" cells)","")&amp;", "&amp;D171&amp;", "&amp;L171&amp;", "&amp;E171)</f>
        <v/>
      </c>
      <c r="C171" s="9"/>
      <c r="D171" s="9"/>
      <c r="E171" s="9"/>
      <c r="F171" s="40"/>
      <c r="G171" s="40"/>
      <c r="H171" s="40"/>
      <c r="I171" s="40"/>
      <c r="J171" s="40"/>
      <c r="K171" s="40"/>
      <c r="L171" s="9"/>
      <c r="M171" s="9"/>
      <c r="N171" s="9"/>
      <c r="O171" s="40"/>
      <c r="P171" s="9"/>
      <c r="Q171" s="9"/>
      <c r="R171" s="9"/>
      <c r="S171" s="9"/>
      <c r="T171" s="9"/>
      <c r="U171" s="9"/>
      <c r="V171" s="9"/>
      <c r="W171" s="9"/>
      <c r="X171" s="9"/>
      <c r="Y171" s="9"/>
      <c r="Z171" s="10" t="str">
        <f aca="false">IF(A171="","",SG_Criteria!$B$6&amp;SG_Criteria!$B$7&amp;"\"&amp;A171&amp;"\")</f>
        <v/>
      </c>
      <c r="AA171" s="10" t="str">
        <f aca="false">IF(A171="","",A171&amp;"_CAD.dwg")</f>
        <v/>
      </c>
      <c r="AB171" s="10" t="str">
        <f aca="false">IF(A171="","",A171&amp;"_DWG.pdf")</f>
        <v/>
      </c>
      <c r="AC171" s="10" t="str">
        <f aca="false">IF(A171="","",IF(Y171="Y",A171&amp;"_STAAD.std","n/a"))</f>
        <v/>
      </c>
      <c r="AD171" s="10" t="str">
        <f aca="false">IF(A171="","",A171&amp;"_CALC.xlsx")</f>
        <v/>
      </c>
      <c r="AE171" s="10" t="str">
        <f aca="false">IF(A171="","",A171&amp;"_CALC.pdf")</f>
        <v/>
      </c>
      <c r="AF171" s="9"/>
      <c r="AG171" s="9"/>
      <c r="AH171" s="41"/>
      <c r="AI171" s="41"/>
      <c r="AJ171" s="41"/>
      <c r="AK171" s="41"/>
      <c r="AL171" s="41"/>
      <c r="AM171" s="37" t="str">
        <f aca="false">IF(OR(C171="",F171="",G171="",C171="Sump",C171="Drop Inlet Chamber",C171="Silt Trap",C171="Pipe Culvert",C171="Subsoil Drain"),"",ROUND(MAX(1,N(H171))*(1/SG_Criteria!$B$26)*((F171/1000)*(G171/1000*(1-SG_Criteria!$B$25)))*(((F171/1000)*(G171/1000*(1-SG_Criteria!$B$25)))/((F171/1000)+2*(G171/1000*(1-SG_Criteria!$B$25))))^(2/3)*(1/Design_Selector!$B$11)^0.5,3))</f>
        <v/>
      </c>
      <c r="AN171" s="11" t="str">
        <f aca="false">IF(AM171="","",ROUND(AM171/(MAX(1,N(H171))*F171/1000*(G171/1000*(1-SG_Criteria!$B$25))),2))</f>
        <v/>
      </c>
      <c r="AO171" s="38" t="str">
        <f aca="false">IF(C171="","",IF(LEN(IF(AND(OR(D171="Roadside drain",D171="Entrance culvert"),OR(F171&lt;SG_Criteria!$B$15,G171&lt;SG_Criteria!$B$16)),"FAIL: below PUB min "&amp;SG_Criteria!$B$15&amp;"x"&amp;SG_Criteria!$B$16&amp;" for roadside drain. ","")&amp;IF(AND(D171="Common drain",F171&lt;SG_Criteria!$B$17),"FAIL: common drain W &lt; "&amp;SG_Criteria!$B$17&amp;" mm. ","")&amp;IF(AND(N171&lt;&gt;"",IFERROR(VALUE(MID(N171,2,2)),0)&lt;SG_Criteria!$B$19),"FAIL: grade below C"&amp;SG_Criteria!$B$19&amp;". ","")&amp;IF(AND(O171&lt;&gt;"",O171&lt;SG_Criteria!$B$20),"FAIL: cover &lt; "&amp;SG_Criteria!$B$20&amp;" mm. ","")&amp;IF(AND(E171="Open",G171&gt;SG_Criteria!$B$18),"NOTE: safety railing required (D &gt; "&amp;SG_Criteria!$B$18&amp;" mm). ","")&amp;IF(AND(D171="Entrance culvert",G171&lt;600),"NOTE: check hinged grating rule for culverts &lt; 600 deep (PUB Add. 3). ",""))=0,"OK",IF(AND(OR(D171="Roadside drain",D171="Entrance culvert"),OR(F171&lt;SG_Criteria!$B$15,G171&lt;SG_Criteria!$B$16)),"FAIL: below PUB min "&amp;SG_Criteria!$B$15&amp;"x"&amp;SG_Criteria!$B$16&amp;" for roadside drain. ","")&amp;IF(AND(D171="Common drain",F171&lt;SG_Criteria!$B$17),"FAIL: common drain W &lt; "&amp;SG_Criteria!$B$17&amp;" mm. ","")&amp;IF(AND(N171&lt;&gt;"",IFERROR(VALUE(MID(N171,2,2)),0)&lt;SG_Criteria!$B$19),"FAIL: grade below C"&amp;SG_Criteria!$B$19&amp;". ","")&amp;IF(AND(O171&lt;&gt;"",O171&lt;SG_Criteria!$B$20),"FAIL: cover &lt; "&amp;SG_Criteria!$B$20&amp;" mm. ","")&amp;IF(AND(E171="Open",G171&gt;SG_Criteria!$B$18),"NOTE: safety railing required (D &gt; "&amp;SG_Criteria!$B$18&amp;" mm). ","")&amp;IF(AND(D171="Entrance culvert",G171&lt;600),"NOTE: check hinged grating rule for culverts &lt; 600 deep (PUB Add. 3). ","")))</f>
        <v/>
      </c>
      <c r="AP171" s="9"/>
      <c r="AQ171" s="9"/>
      <c r="AR171" s="9"/>
      <c r="AS171" s="9"/>
      <c r="AT171" s="9"/>
      <c r="AU171" s="31"/>
      <c r="AV171" s="10" t="str">
        <f aca="false">IF(C171="","",IF(AND(V171="Approved",ISERROR(SEARCH("FAIL",AO171))),"Y","N"))</f>
        <v/>
      </c>
      <c r="AW171" s="10" t="str">
        <f aca="false">IF(C171="","",C171&amp;"|"&amp;F171&amp;"|"&amp;G171&amp;"|"&amp;L171&amp;"|"&amp;AV171)</f>
        <v/>
      </c>
    </row>
    <row r="172" customFormat="false" ht="15" hidden="false" customHeight="false" outlineLevel="0" collapsed="false">
      <c r="A172" s="10" t="str">
        <f aca="false">IF(C172="","","DRN-"&amp;IFERROR(VLOOKUP(C172,Lists!$A$4:$B$27,2,0),"??")&amp;"-"&amp;TEXT(F172,"0000")&amp;"x"&amp;TEXT(G172,"0000")&amp;IF(N(H172)&gt;1,"-"&amp;H172&amp;"C","")&amp;"-"&amp;IFERROR(VLOOKUP(L172,Lists!$J$4:$K$19,2,0),"??")&amp;"-"&amp;U172)</f>
        <v/>
      </c>
      <c r="B172" s="10" t="str">
        <f aca="false">IF(C172="","",C172&amp;" "&amp;F172&amp;"W x "&amp;G172&amp;"D"&amp;IF(N(H172)&gt;1," ("&amp;H172&amp;" cells)","")&amp;", "&amp;D172&amp;", "&amp;L172&amp;", "&amp;E172)</f>
        <v/>
      </c>
      <c r="C172" s="9"/>
      <c r="D172" s="9"/>
      <c r="E172" s="9"/>
      <c r="F172" s="40"/>
      <c r="G172" s="40"/>
      <c r="H172" s="40"/>
      <c r="I172" s="40"/>
      <c r="J172" s="40"/>
      <c r="K172" s="40"/>
      <c r="L172" s="9"/>
      <c r="M172" s="9"/>
      <c r="N172" s="9"/>
      <c r="O172" s="40"/>
      <c r="P172" s="9"/>
      <c r="Q172" s="9"/>
      <c r="R172" s="9"/>
      <c r="S172" s="9"/>
      <c r="T172" s="9"/>
      <c r="U172" s="9"/>
      <c r="V172" s="9"/>
      <c r="W172" s="9"/>
      <c r="X172" s="9"/>
      <c r="Y172" s="9"/>
      <c r="Z172" s="10" t="str">
        <f aca="false">IF(A172="","",SG_Criteria!$B$6&amp;SG_Criteria!$B$7&amp;"\"&amp;A172&amp;"\")</f>
        <v/>
      </c>
      <c r="AA172" s="10" t="str">
        <f aca="false">IF(A172="","",A172&amp;"_CAD.dwg")</f>
        <v/>
      </c>
      <c r="AB172" s="10" t="str">
        <f aca="false">IF(A172="","",A172&amp;"_DWG.pdf")</f>
        <v/>
      </c>
      <c r="AC172" s="10" t="str">
        <f aca="false">IF(A172="","",IF(Y172="Y",A172&amp;"_STAAD.std","n/a"))</f>
        <v/>
      </c>
      <c r="AD172" s="10" t="str">
        <f aca="false">IF(A172="","",A172&amp;"_CALC.xlsx")</f>
        <v/>
      </c>
      <c r="AE172" s="10" t="str">
        <f aca="false">IF(A172="","",A172&amp;"_CALC.pdf")</f>
        <v/>
      </c>
      <c r="AF172" s="9"/>
      <c r="AG172" s="9"/>
      <c r="AH172" s="41"/>
      <c r="AI172" s="41"/>
      <c r="AJ172" s="41"/>
      <c r="AK172" s="41"/>
      <c r="AL172" s="41"/>
      <c r="AM172" s="37" t="str">
        <f aca="false">IF(OR(C172="",F172="",G172="",C172="Sump",C172="Drop Inlet Chamber",C172="Silt Trap",C172="Pipe Culvert",C172="Subsoil Drain"),"",ROUND(MAX(1,N(H172))*(1/SG_Criteria!$B$26)*((F172/1000)*(G172/1000*(1-SG_Criteria!$B$25)))*(((F172/1000)*(G172/1000*(1-SG_Criteria!$B$25)))/((F172/1000)+2*(G172/1000*(1-SG_Criteria!$B$25))))^(2/3)*(1/Design_Selector!$B$11)^0.5,3))</f>
        <v/>
      </c>
      <c r="AN172" s="11" t="str">
        <f aca="false">IF(AM172="","",ROUND(AM172/(MAX(1,N(H172))*F172/1000*(G172/1000*(1-SG_Criteria!$B$25))),2))</f>
        <v/>
      </c>
      <c r="AO172" s="38" t="str">
        <f aca="false">IF(C172="","",IF(LEN(IF(AND(OR(D172="Roadside drain",D172="Entrance culvert"),OR(F172&lt;SG_Criteria!$B$15,G172&lt;SG_Criteria!$B$16)),"FAIL: below PUB min "&amp;SG_Criteria!$B$15&amp;"x"&amp;SG_Criteria!$B$16&amp;" for roadside drain. ","")&amp;IF(AND(D172="Common drain",F172&lt;SG_Criteria!$B$17),"FAIL: common drain W &lt; "&amp;SG_Criteria!$B$17&amp;" mm. ","")&amp;IF(AND(N172&lt;&gt;"",IFERROR(VALUE(MID(N172,2,2)),0)&lt;SG_Criteria!$B$19),"FAIL: grade below C"&amp;SG_Criteria!$B$19&amp;". ","")&amp;IF(AND(O172&lt;&gt;"",O172&lt;SG_Criteria!$B$20),"FAIL: cover &lt; "&amp;SG_Criteria!$B$20&amp;" mm. ","")&amp;IF(AND(E172="Open",G172&gt;SG_Criteria!$B$18),"NOTE: safety railing required (D &gt; "&amp;SG_Criteria!$B$18&amp;" mm). ","")&amp;IF(AND(D172="Entrance culvert",G172&lt;600),"NOTE: check hinged grating rule for culverts &lt; 600 deep (PUB Add. 3). ",""))=0,"OK",IF(AND(OR(D172="Roadside drain",D172="Entrance culvert"),OR(F172&lt;SG_Criteria!$B$15,G172&lt;SG_Criteria!$B$16)),"FAIL: below PUB min "&amp;SG_Criteria!$B$15&amp;"x"&amp;SG_Criteria!$B$16&amp;" for roadside drain. ","")&amp;IF(AND(D172="Common drain",F172&lt;SG_Criteria!$B$17),"FAIL: common drain W &lt; "&amp;SG_Criteria!$B$17&amp;" mm. ","")&amp;IF(AND(N172&lt;&gt;"",IFERROR(VALUE(MID(N172,2,2)),0)&lt;SG_Criteria!$B$19),"FAIL: grade below C"&amp;SG_Criteria!$B$19&amp;". ","")&amp;IF(AND(O172&lt;&gt;"",O172&lt;SG_Criteria!$B$20),"FAIL: cover &lt; "&amp;SG_Criteria!$B$20&amp;" mm. ","")&amp;IF(AND(E172="Open",G172&gt;SG_Criteria!$B$18),"NOTE: safety railing required (D &gt; "&amp;SG_Criteria!$B$18&amp;" mm). ","")&amp;IF(AND(D172="Entrance culvert",G172&lt;600),"NOTE: check hinged grating rule for culverts &lt; 600 deep (PUB Add. 3). ","")))</f>
        <v/>
      </c>
      <c r="AP172" s="9"/>
      <c r="AQ172" s="9"/>
      <c r="AR172" s="9"/>
      <c r="AS172" s="9"/>
      <c r="AT172" s="9"/>
      <c r="AU172" s="31"/>
      <c r="AV172" s="10" t="str">
        <f aca="false">IF(C172="","",IF(AND(V172="Approved",ISERROR(SEARCH("FAIL",AO172))),"Y","N"))</f>
        <v/>
      </c>
      <c r="AW172" s="10" t="str">
        <f aca="false">IF(C172="","",C172&amp;"|"&amp;F172&amp;"|"&amp;G172&amp;"|"&amp;L172&amp;"|"&amp;AV172)</f>
        <v/>
      </c>
    </row>
    <row r="173" customFormat="false" ht="15" hidden="false" customHeight="false" outlineLevel="0" collapsed="false">
      <c r="A173" s="10" t="str">
        <f aca="false">IF(C173="","","DRN-"&amp;IFERROR(VLOOKUP(C173,Lists!$A$4:$B$27,2,0),"??")&amp;"-"&amp;TEXT(F173,"0000")&amp;"x"&amp;TEXT(G173,"0000")&amp;IF(N(H173)&gt;1,"-"&amp;H173&amp;"C","")&amp;"-"&amp;IFERROR(VLOOKUP(L173,Lists!$J$4:$K$19,2,0),"??")&amp;"-"&amp;U173)</f>
        <v/>
      </c>
      <c r="B173" s="10" t="str">
        <f aca="false">IF(C173="","",C173&amp;" "&amp;F173&amp;"W x "&amp;G173&amp;"D"&amp;IF(N(H173)&gt;1," ("&amp;H173&amp;" cells)","")&amp;", "&amp;D173&amp;", "&amp;L173&amp;", "&amp;E173)</f>
        <v/>
      </c>
      <c r="C173" s="9"/>
      <c r="D173" s="9"/>
      <c r="E173" s="9"/>
      <c r="F173" s="40"/>
      <c r="G173" s="40"/>
      <c r="H173" s="40"/>
      <c r="I173" s="40"/>
      <c r="J173" s="40"/>
      <c r="K173" s="40"/>
      <c r="L173" s="9"/>
      <c r="M173" s="9"/>
      <c r="N173" s="9"/>
      <c r="O173" s="40"/>
      <c r="P173" s="9"/>
      <c r="Q173" s="9"/>
      <c r="R173" s="9"/>
      <c r="S173" s="9"/>
      <c r="T173" s="9"/>
      <c r="U173" s="9"/>
      <c r="V173" s="9"/>
      <c r="W173" s="9"/>
      <c r="X173" s="9"/>
      <c r="Y173" s="9"/>
      <c r="Z173" s="10" t="str">
        <f aca="false">IF(A173="","",SG_Criteria!$B$6&amp;SG_Criteria!$B$7&amp;"\"&amp;A173&amp;"\")</f>
        <v/>
      </c>
      <c r="AA173" s="10" t="str">
        <f aca="false">IF(A173="","",A173&amp;"_CAD.dwg")</f>
        <v/>
      </c>
      <c r="AB173" s="10" t="str">
        <f aca="false">IF(A173="","",A173&amp;"_DWG.pdf")</f>
        <v/>
      </c>
      <c r="AC173" s="10" t="str">
        <f aca="false">IF(A173="","",IF(Y173="Y",A173&amp;"_STAAD.std","n/a"))</f>
        <v/>
      </c>
      <c r="AD173" s="10" t="str">
        <f aca="false">IF(A173="","",A173&amp;"_CALC.xlsx")</f>
        <v/>
      </c>
      <c r="AE173" s="10" t="str">
        <f aca="false">IF(A173="","",A173&amp;"_CALC.pdf")</f>
        <v/>
      </c>
      <c r="AF173" s="9"/>
      <c r="AG173" s="9"/>
      <c r="AH173" s="41"/>
      <c r="AI173" s="41"/>
      <c r="AJ173" s="41"/>
      <c r="AK173" s="41"/>
      <c r="AL173" s="41"/>
      <c r="AM173" s="37" t="str">
        <f aca="false">IF(OR(C173="",F173="",G173="",C173="Sump",C173="Drop Inlet Chamber",C173="Silt Trap",C173="Pipe Culvert",C173="Subsoil Drain"),"",ROUND(MAX(1,N(H173))*(1/SG_Criteria!$B$26)*((F173/1000)*(G173/1000*(1-SG_Criteria!$B$25)))*(((F173/1000)*(G173/1000*(1-SG_Criteria!$B$25)))/((F173/1000)+2*(G173/1000*(1-SG_Criteria!$B$25))))^(2/3)*(1/Design_Selector!$B$11)^0.5,3))</f>
        <v/>
      </c>
      <c r="AN173" s="11" t="str">
        <f aca="false">IF(AM173="","",ROUND(AM173/(MAX(1,N(H173))*F173/1000*(G173/1000*(1-SG_Criteria!$B$25))),2))</f>
        <v/>
      </c>
      <c r="AO173" s="38" t="str">
        <f aca="false">IF(C173="","",IF(LEN(IF(AND(OR(D173="Roadside drain",D173="Entrance culvert"),OR(F173&lt;SG_Criteria!$B$15,G173&lt;SG_Criteria!$B$16)),"FAIL: below PUB min "&amp;SG_Criteria!$B$15&amp;"x"&amp;SG_Criteria!$B$16&amp;" for roadside drain. ","")&amp;IF(AND(D173="Common drain",F173&lt;SG_Criteria!$B$17),"FAIL: common drain W &lt; "&amp;SG_Criteria!$B$17&amp;" mm. ","")&amp;IF(AND(N173&lt;&gt;"",IFERROR(VALUE(MID(N173,2,2)),0)&lt;SG_Criteria!$B$19),"FAIL: grade below C"&amp;SG_Criteria!$B$19&amp;". ","")&amp;IF(AND(O173&lt;&gt;"",O173&lt;SG_Criteria!$B$20),"FAIL: cover &lt; "&amp;SG_Criteria!$B$20&amp;" mm. ","")&amp;IF(AND(E173="Open",G173&gt;SG_Criteria!$B$18),"NOTE: safety railing required (D &gt; "&amp;SG_Criteria!$B$18&amp;" mm). ","")&amp;IF(AND(D173="Entrance culvert",G173&lt;600),"NOTE: check hinged grating rule for culverts &lt; 600 deep (PUB Add. 3). ",""))=0,"OK",IF(AND(OR(D173="Roadside drain",D173="Entrance culvert"),OR(F173&lt;SG_Criteria!$B$15,G173&lt;SG_Criteria!$B$16)),"FAIL: below PUB min "&amp;SG_Criteria!$B$15&amp;"x"&amp;SG_Criteria!$B$16&amp;" for roadside drain. ","")&amp;IF(AND(D173="Common drain",F173&lt;SG_Criteria!$B$17),"FAIL: common drain W &lt; "&amp;SG_Criteria!$B$17&amp;" mm. ","")&amp;IF(AND(N173&lt;&gt;"",IFERROR(VALUE(MID(N173,2,2)),0)&lt;SG_Criteria!$B$19),"FAIL: grade below C"&amp;SG_Criteria!$B$19&amp;". ","")&amp;IF(AND(O173&lt;&gt;"",O173&lt;SG_Criteria!$B$20),"FAIL: cover &lt; "&amp;SG_Criteria!$B$20&amp;" mm. ","")&amp;IF(AND(E173="Open",G173&gt;SG_Criteria!$B$18),"NOTE: safety railing required (D &gt; "&amp;SG_Criteria!$B$18&amp;" mm). ","")&amp;IF(AND(D173="Entrance culvert",G173&lt;600),"NOTE: check hinged grating rule for culverts &lt; 600 deep (PUB Add. 3). ","")))</f>
        <v/>
      </c>
      <c r="AP173" s="9"/>
      <c r="AQ173" s="9"/>
      <c r="AR173" s="9"/>
      <c r="AS173" s="9"/>
      <c r="AT173" s="9"/>
      <c r="AU173" s="31"/>
      <c r="AV173" s="10" t="str">
        <f aca="false">IF(C173="","",IF(AND(V173="Approved",ISERROR(SEARCH("FAIL",AO173))),"Y","N"))</f>
        <v/>
      </c>
      <c r="AW173" s="10" t="str">
        <f aca="false">IF(C173="","",C173&amp;"|"&amp;F173&amp;"|"&amp;G173&amp;"|"&amp;L173&amp;"|"&amp;AV173)</f>
        <v/>
      </c>
    </row>
    <row r="174" customFormat="false" ht="15" hidden="false" customHeight="false" outlineLevel="0" collapsed="false">
      <c r="A174" s="10" t="str">
        <f aca="false">IF(C174="","","DRN-"&amp;IFERROR(VLOOKUP(C174,Lists!$A$4:$B$27,2,0),"??")&amp;"-"&amp;TEXT(F174,"0000")&amp;"x"&amp;TEXT(G174,"0000")&amp;IF(N(H174)&gt;1,"-"&amp;H174&amp;"C","")&amp;"-"&amp;IFERROR(VLOOKUP(L174,Lists!$J$4:$K$19,2,0),"??")&amp;"-"&amp;U174)</f>
        <v/>
      </c>
      <c r="B174" s="10" t="str">
        <f aca="false">IF(C174="","",C174&amp;" "&amp;F174&amp;"W x "&amp;G174&amp;"D"&amp;IF(N(H174)&gt;1," ("&amp;H174&amp;" cells)","")&amp;", "&amp;D174&amp;", "&amp;L174&amp;", "&amp;E174)</f>
        <v/>
      </c>
      <c r="C174" s="9"/>
      <c r="D174" s="9"/>
      <c r="E174" s="9"/>
      <c r="F174" s="40"/>
      <c r="G174" s="40"/>
      <c r="H174" s="40"/>
      <c r="I174" s="40"/>
      <c r="J174" s="40"/>
      <c r="K174" s="40"/>
      <c r="L174" s="9"/>
      <c r="M174" s="9"/>
      <c r="N174" s="9"/>
      <c r="O174" s="40"/>
      <c r="P174" s="9"/>
      <c r="Q174" s="9"/>
      <c r="R174" s="9"/>
      <c r="S174" s="9"/>
      <c r="T174" s="9"/>
      <c r="U174" s="9"/>
      <c r="V174" s="9"/>
      <c r="W174" s="9"/>
      <c r="X174" s="9"/>
      <c r="Y174" s="9"/>
      <c r="Z174" s="10" t="str">
        <f aca="false">IF(A174="","",SG_Criteria!$B$6&amp;SG_Criteria!$B$7&amp;"\"&amp;A174&amp;"\")</f>
        <v/>
      </c>
      <c r="AA174" s="10" t="str">
        <f aca="false">IF(A174="","",A174&amp;"_CAD.dwg")</f>
        <v/>
      </c>
      <c r="AB174" s="10" t="str">
        <f aca="false">IF(A174="","",A174&amp;"_DWG.pdf")</f>
        <v/>
      </c>
      <c r="AC174" s="10" t="str">
        <f aca="false">IF(A174="","",IF(Y174="Y",A174&amp;"_STAAD.std","n/a"))</f>
        <v/>
      </c>
      <c r="AD174" s="10" t="str">
        <f aca="false">IF(A174="","",A174&amp;"_CALC.xlsx")</f>
        <v/>
      </c>
      <c r="AE174" s="10" t="str">
        <f aca="false">IF(A174="","",A174&amp;"_CALC.pdf")</f>
        <v/>
      </c>
      <c r="AF174" s="9"/>
      <c r="AG174" s="9"/>
      <c r="AH174" s="41"/>
      <c r="AI174" s="41"/>
      <c r="AJ174" s="41"/>
      <c r="AK174" s="41"/>
      <c r="AL174" s="41"/>
      <c r="AM174" s="37" t="str">
        <f aca="false">IF(OR(C174="",F174="",G174="",C174="Sump",C174="Drop Inlet Chamber",C174="Silt Trap",C174="Pipe Culvert",C174="Subsoil Drain"),"",ROUND(MAX(1,N(H174))*(1/SG_Criteria!$B$26)*((F174/1000)*(G174/1000*(1-SG_Criteria!$B$25)))*(((F174/1000)*(G174/1000*(1-SG_Criteria!$B$25)))/((F174/1000)+2*(G174/1000*(1-SG_Criteria!$B$25))))^(2/3)*(1/Design_Selector!$B$11)^0.5,3))</f>
        <v/>
      </c>
      <c r="AN174" s="11" t="str">
        <f aca="false">IF(AM174="","",ROUND(AM174/(MAX(1,N(H174))*F174/1000*(G174/1000*(1-SG_Criteria!$B$25))),2))</f>
        <v/>
      </c>
      <c r="AO174" s="38" t="str">
        <f aca="false">IF(C174="","",IF(LEN(IF(AND(OR(D174="Roadside drain",D174="Entrance culvert"),OR(F174&lt;SG_Criteria!$B$15,G174&lt;SG_Criteria!$B$16)),"FAIL: below PUB min "&amp;SG_Criteria!$B$15&amp;"x"&amp;SG_Criteria!$B$16&amp;" for roadside drain. ","")&amp;IF(AND(D174="Common drain",F174&lt;SG_Criteria!$B$17),"FAIL: common drain W &lt; "&amp;SG_Criteria!$B$17&amp;" mm. ","")&amp;IF(AND(N174&lt;&gt;"",IFERROR(VALUE(MID(N174,2,2)),0)&lt;SG_Criteria!$B$19),"FAIL: grade below C"&amp;SG_Criteria!$B$19&amp;". ","")&amp;IF(AND(O174&lt;&gt;"",O174&lt;SG_Criteria!$B$20),"FAIL: cover &lt; "&amp;SG_Criteria!$B$20&amp;" mm. ","")&amp;IF(AND(E174="Open",G174&gt;SG_Criteria!$B$18),"NOTE: safety railing required (D &gt; "&amp;SG_Criteria!$B$18&amp;" mm). ","")&amp;IF(AND(D174="Entrance culvert",G174&lt;600),"NOTE: check hinged grating rule for culverts &lt; 600 deep (PUB Add. 3). ",""))=0,"OK",IF(AND(OR(D174="Roadside drain",D174="Entrance culvert"),OR(F174&lt;SG_Criteria!$B$15,G174&lt;SG_Criteria!$B$16)),"FAIL: below PUB min "&amp;SG_Criteria!$B$15&amp;"x"&amp;SG_Criteria!$B$16&amp;" for roadside drain. ","")&amp;IF(AND(D174="Common drain",F174&lt;SG_Criteria!$B$17),"FAIL: common drain W &lt; "&amp;SG_Criteria!$B$17&amp;" mm. ","")&amp;IF(AND(N174&lt;&gt;"",IFERROR(VALUE(MID(N174,2,2)),0)&lt;SG_Criteria!$B$19),"FAIL: grade below C"&amp;SG_Criteria!$B$19&amp;". ","")&amp;IF(AND(O174&lt;&gt;"",O174&lt;SG_Criteria!$B$20),"FAIL: cover &lt; "&amp;SG_Criteria!$B$20&amp;" mm. ","")&amp;IF(AND(E174="Open",G174&gt;SG_Criteria!$B$18),"NOTE: safety railing required (D &gt; "&amp;SG_Criteria!$B$18&amp;" mm). ","")&amp;IF(AND(D174="Entrance culvert",G174&lt;600),"NOTE: check hinged grating rule for culverts &lt; 600 deep (PUB Add. 3). ","")))</f>
        <v/>
      </c>
      <c r="AP174" s="9"/>
      <c r="AQ174" s="9"/>
      <c r="AR174" s="9"/>
      <c r="AS174" s="9"/>
      <c r="AT174" s="9"/>
      <c r="AU174" s="31"/>
      <c r="AV174" s="10" t="str">
        <f aca="false">IF(C174="","",IF(AND(V174="Approved",ISERROR(SEARCH("FAIL",AO174))),"Y","N"))</f>
        <v/>
      </c>
      <c r="AW174" s="10" t="str">
        <f aca="false">IF(C174="","",C174&amp;"|"&amp;F174&amp;"|"&amp;G174&amp;"|"&amp;L174&amp;"|"&amp;AV174)</f>
        <v/>
      </c>
    </row>
    <row r="175" customFormat="false" ht="15" hidden="false" customHeight="false" outlineLevel="0" collapsed="false">
      <c r="A175" s="10" t="str">
        <f aca="false">IF(C175="","","DRN-"&amp;IFERROR(VLOOKUP(C175,Lists!$A$4:$B$27,2,0),"??")&amp;"-"&amp;TEXT(F175,"0000")&amp;"x"&amp;TEXT(G175,"0000")&amp;IF(N(H175)&gt;1,"-"&amp;H175&amp;"C","")&amp;"-"&amp;IFERROR(VLOOKUP(L175,Lists!$J$4:$K$19,2,0),"??")&amp;"-"&amp;U175)</f>
        <v/>
      </c>
      <c r="B175" s="10" t="str">
        <f aca="false">IF(C175="","",C175&amp;" "&amp;F175&amp;"W x "&amp;G175&amp;"D"&amp;IF(N(H175)&gt;1," ("&amp;H175&amp;" cells)","")&amp;", "&amp;D175&amp;", "&amp;L175&amp;", "&amp;E175)</f>
        <v/>
      </c>
      <c r="C175" s="9"/>
      <c r="D175" s="9"/>
      <c r="E175" s="9"/>
      <c r="F175" s="40"/>
      <c r="G175" s="40"/>
      <c r="H175" s="40"/>
      <c r="I175" s="40"/>
      <c r="J175" s="40"/>
      <c r="K175" s="40"/>
      <c r="L175" s="9"/>
      <c r="M175" s="9"/>
      <c r="N175" s="9"/>
      <c r="O175" s="40"/>
      <c r="P175" s="9"/>
      <c r="Q175" s="9"/>
      <c r="R175" s="9"/>
      <c r="S175" s="9"/>
      <c r="T175" s="9"/>
      <c r="U175" s="9"/>
      <c r="V175" s="9"/>
      <c r="W175" s="9"/>
      <c r="X175" s="9"/>
      <c r="Y175" s="9"/>
      <c r="Z175" s="10" t="str">
        <f aca="false">IF(A175="","",SG_Criteria!$B$6&amp;SG_Criteria!$B$7&amp;"\"&amp;A175&amp;"\")</f>
        <v/>
      </c>
      <c r="AA175" s="10" t="str">
        <f aca="false">IF(A175="","",A175&amp;"_CAD.dwg")</f>
        <v/>
      </c>
      <c r="AB175" s="10" t="str">
        <f aca="false">IF(A175="","",A175&amp;"_DWG.pdf")</f>
        <v/>
      </c>
      <c r="AC175" s="10" t="str">
        <f aca="false">IF(A175="","",IF(Y175="Y",A175&amp;"_STAAD.std","n/a"))</f>
        <v/>
      </c>
      <c r="AD175" s="10" t="str">
        <f aca="false">IF(A175="","",A175&amp;"_CALC.xlsx")</f>
        <v/>
      </c>
      <c r="AE175" s="10" t="str">
        <f aca="false">IF(A175="","",A175&amp;"_CALC.pdf")</f>
        <v/>
      </c>
      <c r="AF175" s="9"/>
      <c r="AG175" s="9"/>
      <c r="AH175" s="41"/>
      <c r="AI175" s="41"/>
      <c r="AJ175" s="41"/>
      <c r="AK175" s="41"/>
      <c r="AL175" s="41"/>
      <c r="AM175" s="37" t="str">
        <f aca="false">IF(OR(C175="",F175="",G175="",C175="Sump",C175="Drop Inlet Chamber",C175="Silt Trap",C175="Pipe Culvert",C175="Subsoil Drain"),"",ROUND(MAX(1,N(H175))*(1/SG_Criteria!$B$26)*((F175/1000)*(G175/1000*(1-SG_Criteria!$B$25)))*(((F175/1000)*(G175/1000*(1-SG_Criteria!$B$25)))/((F175/1000)+2*(G175/1000*(1-SG_Criteria!$B$25))))^(2/3)*(1/Design_Selector!$B$11)^0.5,3))</f>
        <v/>
      </c>
      <c r="AN175" s="11" t="str">
        <f aca="false">IF(AM175="","",ROUND(AM175/(MAX(1,N(H175))*F175/1000*(G175/1000*(1-SG_Criteria!$B$25))),2))</f>
        <v/>
      </c>
      <c r="AO175" s="38" t="str">
        <f aca="false">IF(C175="","",IF(LEN(IF(AND(OR(D175="Roadside drain",D175="Entrance culvert"),OR(F175&lt;SG_Criteria!$B$15,G175&lt;SG_Criteria!$B$16)),"FAIL: below PUB min "&amp;SG_Criteria!$B$15&amp;"x"&amp;SG_Criteria!$B$16&amp;" for roadside drain. ","")&amp;IF(AND(D175="Common drain",F175&lt;SG_Criteria!$B$17),"FAIL: common drain W &lt; "&amp;SG_Criteria!$B$17&amp;" mm. ","")&amp;IF(AND(N175&lt;&gt;"",IFERROR(VALUE(MID(N175,2,2)),0)&lt;SG_Criteria!$B$19),"FAIL: grade below C"&amp;SG_Criteria!$B$19&amp;". ","")&amp;IF(AND(O175&lt;&gt;"",O175&lt;SG_Criteria!$B$20),"FAIL: cover &lt; "&amp;SG_Criteria!$B$20&amp;" mm. ","")&amp;IF(AND(E175="Open",G175&gt;SG_Criteria!$B$18),"NOTE: safety railing required (D &gt; "&amp;SG_Criteria!$B$18&amp;" mm). ","")&amp;IF(AND(D175="Entrance culvert",G175&lt;600),"NOTE: check hinged grating rule for culverts &lt; 600 deep (PUB Add. 3). ",""))=0,"OK",IF(AND(OR(D175="Roadside drain",D175="Entrance culvert"),OR(F175&lt;SG_Criteria!$B$15,G175&lt;SG_Criteria!$B$16)),"FAIL: below PUB min "&amp;SG_Criteria!$B$15&amp;"x"&amp;SG_Criteria!$B$16&amp;" for roadside drain. ","")&amp;IF(AND(D175="Common drain",F175&lt;SG_Criteria!$B$17),"FAIL: common drain W &lt; "&amp;SG_Criteria!$B$17&amp;" mm. ","")&amp;IF(AND(N175&lt;&gt;"",IFERROR(VALUE(MID(N175,2,2)),0)&lt;SG_Criteria!$B$19),"FAIL: grade below C"&amp;SG_Criteria!$B$19&amp;". ","")&amp;IF(AND(O175&lt;&gt;"",O175&lt;SG_Criteria!$B$20),"FAIL: cover &lt; "&amp;SG_Criteria!$B$20&amp;" mm. ","")&amp;IF(AND(E175="Open",G175&gt;SG_Criteria!$B$18),"NOTE: safety railing required (D &gt; "&amp;SG_Criteria!$B$18&amp;" mm). ","")&amp;IF(AND(D175="Entrance culvert",G175&lt;600),"NOTE: check hinged grating rule for culverts &lt; 600 deep (PUB Add. 3). ","")))</f>
        <v/>
      </c>
      <c r="AP175" s="9"/>
      <c r="AQ175" s="9"/>
      <c r="AR175" s="9"/>
      <c r="AS175" s="9"/>
      <c r="AT175" s="9"/>
      <c r="AU175" s="31"/>
      <c r="AV175" s="10" t="str">
        <f aca="false">IF(C175="","",IF(AND(V175="Approved",ISERROR(SEARCH("FAIL",AO175))),"Y","N"))</f>
        <v/>
      </c>
      <c r="AW175" s="10" t="str">
        <f aca="false">IF(C175="","",C175&amp;"|"&amp;F175&amp;"|"&amp;G175&amp;"|"&amp;L175&amp;"|"&amp;AV175)</f>
        <v/>
      </c>
    </row>
    <row r="176" customFormat="false" ht="15" hidden="false" customHeight="false" outlineLevel="0" collapsed="false">
      <c r="A176" s="10" t="str">
        <f aca="false">IF(C176="","","DRN-"&amp;IFERROR(VLOOKUP(C176,Lists!$A$4:$B$27,2,0),"??")&amp;"-"&amp;TEXT(F176,"0000")&amp;"x"&amp;TEXT(G176,"0000")&amp;IF(N(H176)&gt;1,"-"&amp;H176&amp;"C","")&amp;"-"&amp;IFERROR(VLOOKUP(L176,Lists!$J$4:$K$19,2,0),"??")&amp;"-"&amp;U176)</f>
        <v/>
      </c>
      <c r="B176" s="10" t="str">
        <f aca="false">IF(C176="","",C176&amp;" "&amp;F176&amp;"W x "&amp;G176&amp;"D"&amp;IF(N(H176)&gt;1," ("&amp;H176&amp;" cells)","")&amp;", "&amp;D176&amp;", "&amp;L176&amp;", "&amp;E176)</f>
        <v/>
      </c>
      <c r="C176" s="9"/>
      <c r="D176" s="9"/>
      <c r="E176" s="9"/>
      <c r="F176" s="40"/>
      <c r="G176" s="40"/>
      <c r="H176" s="40"/>
      <c r="I176" s="40"/>
      <c r="J176" s="40"/>
      <c r="K176" s="40"/>
      <c r="L176" s="9"/>
      <c r="M176" s="9"/>
      <c r="N176" s="9"/>
      <c r="O176" s="40"/>
      <c r="P176" s="9"/>
      <c r="Q176" s="9"/>
      <c r="R176" s="9"/>
      <c r="S176" s="9"/>
      <c r="T176" s="9"/>
      <c r="U176" s="9"/>
      <c r="V176" s="9"/>
      <c r="W176" s="9"/>
      <c r="X176" s="9"/>
      <c r="Y176" s="9"/>
      <c r="Z176" s="10" t="str">
        <f aca="false">IF(A176="","",SG_Criteria!$B$6&amp;SG_Criteria!$B$7&amp;"\"&amp;A176&amp;"\")</f>
        <v/>
      </c>
      <c r="AA176" s="10" t="str">
        <f aca="false">IF(A176="","",A176&amp;"_CAD.dwg")</f>
        <v/>
      </c>
      <c r="AB176" s="10" t="str">
        <f aca="false">IF(A176="","",A176&amp;"_DWG.pdf")</f>
        <v/>
      </c>
      <c r="AC176" s="10" t="str">
        <f aca="false">IF(A176="","",IF(Y176="Y",A176&amp;"_STAAD.std","n/a"))</f>
        <v/>
      </c>
      <c r="AD176" s="10" t="str">
        <f aca="false">IF(A176="","",A176&amp;"_CALC.xlsx")</f>
        <v/>
      </c>
      <c r="AE176" s="10" t="str">
        <f aca="false">IF(A176="","",A176&amp;"_CALC.pdf")</f>
        <v/>
      </c>
      <c r="AF176" s="9"/>
      <c r="AG176" s="9"/>
      <c r="AH176" s="41"/>
      <c r="AI176" s="41"/>
      <c r="AJ176" s="41"/>
      <c r="AK176" s="41"/>
      <c r="AL176" s="41"/>
      <c r="AM176" s="37" t="str">
        <f aca="false">IF(OR(C176="",F176="",G176="",C176="Sump",C176="Drop Inlet Chamber",C176="Silt Trap",C176="Pipe Culvert",C176="Subsoil Drain"),"",ROUND(MAX(1,N(H176))*(1/SG_Criteria!$B$26)*((F176/1000)*(G176/1000*(1-SG_Criteria!$B$25)))*(((F176/1000)*(G176/1000*(1-SG_Criteria!$B$25)))/((F176/1000)+2*(G176/1000*(1-SG_Criteria!$B$25))))^(2/3)*(1/Design_Selector!$B$11)^0.5,3))</f>
        <v/>
      </c>
      <c r="AN176" s="11" t="str">
        <f aca="false">IF(AM176="","",ROUND(AM176/(MAX(1,N(H176))*F176/1000*(G176/1000*(1-SG_Criteria!$B$25))),2))</f>
        <v/>
      </c>
      <c r="AO176" s="38" t="str">
        <f aca="false">IF(C176="","",IF(LEN(IF(AND(OR(D176="Roadside drain",D176="Entrance culvert"),OR(F176&lt;SG_Criteria!$B$15,G176&lt;SG_Criteria!$B$16)),"FAIL: below PUB min "&amp;SG_Criteria!$B$15&amp;"x"&amp;SG_Criteria!$B$16&amp;" for roadside drain. ","")&amp;IF(AND(D176="Common drain",F176&lt;SG_Criteria!$B$17),"FAIL: common drain W &lt; "&amp;SG_Criteria!$B$17&amp;" mm. ","")&amp;IF(AND(N176&lt;&gt;"",IFERROR(VALUE(MID(N176,2,2)),0)&lt;SG_Criteria!$B$19),"FAIL: grade below C"&amp;SG_Criteria!$B$19&amp;". ","")&amp;IF(AND(O176&lt;&gt;"",O176&lt;SG_Criteria!$B$20),"FAIL: cover &lt; "&amp;SG_Criteria!$B$20&amp;" mm. ","")&amp;IF(AND(E176="Open",G176&gt;SG_Criteria!$B$18),"NOTE: safety railing required (D &gt; "&amp;SG_Criteria!$B$18&amp;" mm). ","")&amp;IF(AND(D176="Entrance culvert",G176&lt;600),"NOTE: check hinged grating rule for culverts &lt; 600 deep (PUB Add. 3). ",""))=0,"OK",IF(AND(OR(D176="Roadside drain",D176="Entrance culvert"),OR(F176&lt;SG_Criteria!$B$15,G176&lt;SG_Criteria!$B$16)),"FAIL: below PUB min "&amp;SG_Criteria!$B$15&amp;"x"&amp;SG_Criteria!$B$16&amp;" for roadside drain. ","")&amp;IF(AND(D176="Common drain",F176&lt;SG_Criteria!$B$17),"FAIL: common drain W &lt; "&amp;SG_Criteria!$B$17&amp;" mm. ","")&amp;IF(AND(N176&lt;&gt;"",IFERROR(VALUE(MID(N176,2,2)),0)&lt;SG_Criteria!$B$19),"FAIL: grade below C"&amp;SG_Criteria!$B$19&amp;". ","")&amp;IF(AND(O176&lt;&gt;"",O176&lt;SG_Criteria!$B$20),"FAIL: cover &lt; "&amp;SG_Criteria!$B$20&amp;" mm. ","")&amp;IF(AND(E176="Open",G176&gt;SG_Criteria!$B$18),"NOTE: safety railing required (D &gt; "&amp;SG_Criteria!$B$18&amp;" mm). ","")&amp;IF(AND(D176="Entrance culvert",G176&lt;600),"NOTE: check hinged grating rule for culverts &lt; 600 deep (PUB Add. 3). ","")))</f>
        <v/>
      </c>
      <c r="AP176" s="9"/>
      <c r="AQ176" s="9"/>
      <c r="AR176" s="9"/>
      <c r="AS176" s="9"/>
      <c r="AT176" s="9"/>
      <c r="AU176" s="31"/>
      <c r="AV176" s="10" t="str">
        <f aca="false">IF(C176="","",IF(AND(V176="Approved",ISERROR(SEARCH("FAIL",AO176))),"Y","N"))</f>
        <v/>
      </c>
      <c r="AW176" s="10" t="str">
        <f aca="false">IF(C176="","",C176&amp;"|"&amp;F176&amp;"|"&amp;G176&amp;"|"&amp;L176&amp;"|"&amp;AV176)</f>
        <v/>
      </c>
    </row>
    <row r="177" customFormat="false" ht="15" hidden="false" customHeight="false" outlineLevel="0" collapsed="false">
      <c r="A177" s="10" t="str">
        <f aca="false">IF(C177="","","DRN-"&amp;IFERROR(VLOOKUP(C177,Lists!$A$4:$B$27,2,0),"??")&amp;"-"&amp;TEXT(F177,"0000")&amp;"x"&amp;TEXT(G177,"0000")&amp;IF(N(H177)&gt;1,"-"&amp;H177&amp;"C","")&amp;"-"&amp;IFERROR(VLOOKUP(L177,Lists!$J$4:$K$19,2,0),"??")&amp;"-"&amp;U177)</f>
        <v/>
      </c>
      <c r="B177" s="10" t="str">
        <f aca="false">IF(C177="","",C177&amp;" "&amp;F177&amp;"W x "&amp;G177&amp;"D"&amp;IF(N(H177)&gt;1," ("&amp;H177&amp;" cells)","")&amp;", "&amp;D177&amp;", "&amp;L177&amp;", "&amp;E177)</f>
        <v/>
      </c>
      <c r="C177" s="9"/>
      <c r="D177" s="9"/>
      <c r="E177" s="9"/>
      <c r="F177" s="40"/>
      <c r="G177" s="40"/>
      <c r="H177" s="40"/>
      <c r="I177" s="40"/>
      <c r="J177" s="40"/>
      <c r="K177" s="40"/>
      <c r="L177" s="9"/>
      <c r="M177" s="9"/>
      <c r="N177" s="9"/>
      <c r="O177" s="40"/>
      <c r="P177" s="9"/>
      <c r="Q177" s="9"/>
      <c r="R177" s="9"/>
      <c r="S177" s="9"/>
      <c r="T177" s="9"/>
      <c r="U177" s="9"/>
      <c r="V177" s="9"/>
      <c r="W177" s="9"/>
      <c r="X177" s="9"/>
      <c r="Y177" s="9"/>
      <c r="Z177" s="10" t="str">
        <f aca="false">IF(A177="","",SG_Criteria!$B$6&amp;SG_Criteria!$B$7&amp;"\"&amp;A177&amp;"\")</f>
        <v/>
      </c>
      <c r="AA177" s="10" t="str">
        <f aca="false">IF(A177="","",A177&amp;"_CAD.dwg")</f>
        <v/>
      </c>
      <c r="AB177" s="10" t="str">
        <f aca="false">IF(A177="","",A177&amp;"_DWG.pdf")</f>
        <v/>
      </c>
      <c r="AC177" s="10" t="str">
        <f aca="false">IF(A177="","",IF(Y177="Y",A177&amp;"_STAAD.std","n/a"))</f>
        <v/>
      </c>
      <c r="AD177" s="10" t="str">
        <f aca="false">IF(A177="","",A177&amp;"_CALC.xlsx")</f>
        <v/>
      </c>
      <c r="AE177" s="10" t="str">
        <f aca="false">IF(A177="","",A177&amp;"_CALC.pdf")</f>
        <v/>
      </c>
      <c r="AF177" s="9"/>
      <c r="AG177" s="9"/>
      <c r="AH177" s="41"/>
      <c r="AI177" s="41"/>
      <c r="AJ177" s="41"/>
      <c r="AK177" s="41"/>
      <c r="AL177" s="41"/>
      <c r="AM177" s="37" t="str">
        <f aca="false">IF(OR(C177="",F177="",G177="",C177="Sump",C177="Drop Inlet Chamber",C177="Silt Trap",C177="Pipe Culvert",C177="Subsoil Drain"),"",ROUND(MAX(1,N(H177))*(1/SG_Criteria!$B$26)*((F177/1000)*(G177/1000*(1-SG_Criteria!$B$25)))*(((F177/1000)*(G177/1000*(1-SG_Criteria!$B$25)))/((F177/1000)+2*(G177/1000*(1-SG_Criteria!$B$25))))^(2/3)*(1/Design_Selector!$B$11)^0.5,3))</f>
        <v/>
      </c>
      <c r="AN177" s="11" t="str">
        <f aca="false">IF(AM177="","",ROUND(AM177/(MAX(1,N(H177))*F177/1000*(G177/1000*(1-SG_Criteria!$B$25))),2))</f>
        <v/>
      </c>
      <c r="AO177" s="38" t="str">
        <f aca="false">IF(C177="","",IF(LEN(IF(AND(OR(D177="Roadside drain",D177="Entrance culvert"),OR(F177&lt;SG_Criteria!$B$15,G177&lt;SG_Criteria!$B$16)),"FAIL: below PUB min "&amp;SG_Criteria!$B$15&amp;"x"&amp;SG_Criteria!$B$16&amp;" for roadside drain. ","")&amp;IF(AND(D177="Common drain",F177&lt;SG_Criteria!$B$17),"FAIL: common drain W &lt; "&amp;SG_Criteria!$B$17&amp;" mm. ","")&amp;IF(AND(N177&lt;&gt;"",IFERROR(VALUE(MID(N177,2,2)),0)&lt;SG_Criteria!$B$19),"FAIL: grade below C"&amp;SG_Criteria!$B$19&amp;". ","")&amp;IF(AND(O177&lt;&gt;"",O177&lt;SG_Criteria!$B$20),"FAIL: cover &lt; "&amp;SG_Criteria!$B$20&amp;" mm. ","")&amp;IF(AND(E177="Open",G177&gt;SG_Criteria!$B$18),"NOTE: safety railing required (D &gt; "&amp;SG_Criteria!$B$18&amp;" mm). ","")&amp;IF(AND(D177="Entrance culvert",G177&lt;600),"NOTE: check hinged grating rule for culverts &lt; 600 deep (PUB Add. 3). ",""))=0,"OK",IF(AND(OR(D177="Roadside drain",D177="Entrance culvert"),OR(F177&lt;SG_Criteria!$B$15,G177&lt;SG_Criteria!$B$16)),"FAIL: below PUB min "&amp;SG_Criteria!$B$15&amp;"x"&amp;SG_Criteria!$B$16&amp;" for roadside drain. ","")&amp;IF(AND(D177="Common drain",F177&lt;SG_Criteria!$B$17),"FAIL: common drain W &lt; "&amp;SG_Criteria!$B$17&amp;" mm. ","")&amp;IF(AND(N177&lt;&gt;"",IFERROR(VALUE(MID(N177,2,2)),0)&lt;SG_Criteria!$B$19),"FAIL: grade below C"&amp;SG_Criteria!$B$19&amp;". ","")&amp;IF(AND(O177&lt;&gt;"",O177&lt;SG_Criteria!$B$20),"FAIL: cover &lt; "&amp;SG_Criteria!$B$20&amp;" mm. ","")&amp;IF(AND(E177="Open",G177&gt;SG_Criteria!$B$18),"NOTE: safety railing required (D &gt; "&amp;SG_Criteria!$B$18&amp;" mm). ","")&amp;IF(AND(D177="Entrance culvert",G177&lt;600),"NOTE: check hinged grating rule for culverts &lt; 600 deep (PUB Add. 3). ","")))</f>
        <v/>
      </c>
      <c r="AP177" s="9"/>
      <c r="AQ177" s="9"/>
      <c r="AR177" s="9"/>
      <c r="AS177" s="9"/>
      <c r="AT177" s="9"/>
      <c r="AU177" s="31"/>
      <c r="AV177" s="10" t="str">
        <f aca="false">IF(C177="","",IF(AND(V177="Approved",ISERROR(SEARCH("FAIL",AO177))),"Y","N"))</f>
        <v/>
      </c>
      <c r="AW177" s="10" t="str">
        <f aca="false">IF(C177="","",C177&amp;"|"&amp;F177&amp;"|"&amp;G177&amp;"|"&amp;L177&amp;"|"&amp;AV177)</f>
        <v/>
      </c>
    </row>
    <row r="178" customFormat="false" ht="15" hidden="false" customHeight="false" outlineLevel="0" collapsed="false">
      <c r="A178" s="10" t="str">
        <f aca="false">IF(C178="","","DRN-"&amp;IFERROR(VLOOKUP(C178,Lists!$A$4:$B$27,2,0),"??")&amp;"-"&amp;TEXT(F178,"0000")&amp;"x"&amp;TEXT(G178,"0000")&amp;IF(N(H178)&gt;1,"-"&amp;H178&amp;"C","")&amp;"-"&amp;IFERROR(VLOOKUP(L178,Lists!$J$4:$K$19,2,0),"??")&amp;"-"&amp;U178)</f>
        <v/>
      </c>
      <c r="B178" s="10" t="str">
        <f aca="false">IF(C178="","",C178&amp;" "&amp;F178&amp;"W x "&amp;G178&amp;"D"&amp;IF(N(H178)&gt;1," ("&amp;H178&amp;" cells)","")&amp;", "&amp;D178&amp;", "&amp;L178&amp;", "&amp;E178)</f>
        <v/>
      </c>
      <c r="C178" s="9"/>
      <c r="D178" s="9"/>
      <c r="E178" s="9"/>
      <c r="F178" s="40"/>
      <c r="G178" s="40"/>
      <c r="H178" s="40"/>
      <c r="I178" s="40"/>
      <c r="J178" s="40"/>
      <c r="K178" s="40"/>
      <c r="L178" s="9"/>
      <c r="M178" s="9"/>
      <c r="N178" s="9"/>
      <c r="O178" s="40"/>
      <c r="P178" s="9"/>
      <c r="Q178" s="9"/>
      <c r="R178" s="9"/>
      <c r="S178" s="9"/>
      <c r="T178" s="9"/>
      <c r="U178" s="9"/>
      <c r="V178" s="9"/>
      <c r="W178" s="9"/>
      <c r="X178" s="9"/>
      <c r="Y178" s="9"/>
      <c r="Z178" s="10" t="str">
        <f aca="false">IF(A178="","",SG_Criteria!$B$6&amp;SG_Criteria!$B$7&amp;"\"&amp;A178&amp;"\")</f>
        <v/>
      </c>
      <c r="AA178" s="10" t="str">
        <f aca="false">IF(A178="","",A178&amp;"_CAD.dwg")</f>
        <v/>
      </c>
      <c r="AB178" s="10" t="str">
        <f aca="false">IF(A178="","",A178&amp;"_DWG.pdf")</f>
        <v/>
      </c>
      <c r="AC178" s="10" t="str">
        <f aca="false">IF(A178="","",IF(Y178="Y",A178&amp;"_STAAD.std","n/a"))</f>
        <v/>
      </c>
      <c r="AD178" s="10" t="str">
        <f aca="false">IF(A178="","",A178&amp;"_CALC.xlsx")</f>
        <v/>
      </c>
      <c r="AE178" s="10" t="str">
        <f aca="false">IF(A178="","",A178&amp;"_CALC.pdf")</f>
        <v/>
      </c>
      <c r="AF178" s="9"/>
      <c r="AG178" s="9"/>
      <c r="AH178" s="41"/>
      <c r="AI178" s="41"/>
      <c r="AJ178" s="41"/>
      <c r="AK178" s="41"/>
      <c r="AL178" s="41"/>
      <c r="AM178" s="37" t="str">
        <f aca="false">IF(OR(C178="",F178="",G178="",C178="Sump",C178="Drop Inlet Chamber",C178="Silt Trap",C178="Pipe Culvert",C178="Subsoil Drain"),"",ROUND(MAX(1,N(H178))*(1/SG_Criteria!$B$26)*((F178/1000)*(G178/1000*(1-SG_Criteria!$B$25)))*(((F178/1000)*(G178/1000*(1-SG_Criteria!$B$25)))/((F178/1000)+2*(G178/1000*(1-SG_Criteria!$B$25))))^(2/3)*(1/Design_Selector!$B$11)^0.5,3))</f>
        <v/>
      </c>
      <c r="AN178" s="11" t="str">
        <f aca="false">IF(AM178="","",ROUND(AM178/(MAX(1,N(H178))*F178/1000*(G178/1000*(1-SG_Criteria!$B$25))),2))</f>
        <v/>
      </c>
      <c r="AO178" s="38" t="str">
        <f aca="false">IF(C178="","",IF(LEN(IF(AND(OR(D178="Roadside drain",D178="Entrance culvert"),OR(F178&lt;SG_Criteria!$B$15,G178&lt;SG_Criteria!$B$16)),"FAIL: below PUB min "&amp;SG_Criteria!$B$15&amp;"x"&amp;SG_Criteria!$B$16&amp;" for roadside drain. ","")&amp;IF(AND(D178="Common drain",F178&lt;SG_Criteria!$B$17),"FAIL: common drain W &lt; "&amp;SG_Criteria!$B$17&amp;" mm. ","")&amp;IF(AND(N178&lt;&gt;"",IFERROR(VALUE(MID(N178,2,2)),0)&lt;SG_Criteria!$B$19),"FAIL: grade below C"&amp;SG_Criteria!$B$19&amp;". ","")&amp;IF(AND(O178&lt;&gt;"",O178&lt;SG_Criteria!$B$20),"FAIL: cover &lt; "&amp;SG_Criteria!$B$20&amp;" mm. ","")&amp;IF(AND(E178="Open",G178&gt;SG_Criteria!$B$18),"NOTE: safety railing required (D &gt; "&amp;SG_Criteria!$B$18&amp;" mm). ","")&amp;IF(AND(D178="Entrance culvert",G178&lt;600),"NOTE: check hinged grating rule for culverts &lt; 600 deep (PUB Add. 3). ",""))=0,"OK",IF(AND(OR(D178="Roadside drain",D178="Entrance culvert"),OR(F178&lt;SG_Criteria!$B$15,G178&lt;SG_Criteria!$B$16)),"FAIL: below PUB min "&amp;SG_Criteria!$B$15&amp;"x"&amp;SG_Criteria!$B$16&amp;" for roadside drain. ","")&amp;IF(AND(D178="Common drain",F178&lt;SG_Criteria!$B$17),"FAIL: common drain W &lt; "&amp;SG_Criteria!$B$17&amp;" mm. ","")&amp;IF(AND(N178&lt;&gt;"",IFERROR(VALUE(MID(N178,2,2)),0)&lt;SG_Criteria!$B$19),"FAIL: grade below C"&amp;SG_Criteria!$B$19&amp;". ","")&amp;IF(AND(O178&lt;&gt;"",O178&lt;SG_Criteria!$B$20),"FAIL: cover &lt; "&amp;SG_Criteria!$B$20&amp;" mm. ","")&amp;IF(AND(E178="Open",G178&gt;SG_Criteria!$B$18),"NOTE: safety railing required (D &gt; "&amp;SG_Criteria!$B$18&amp;" mm). ","")&amp;IF(AND(D178="Entrance culvert",G178&lt;600),"NOTE: check hinged grating rule for culverts &lt; 600 deep (PUB Add. 3). ","")))</f>
        <v/>
      </c>
      <c r="AP178" s="9"/>
      <c r="AQ178" s="9"/>
      <c r="AR178" s="9"/>
      <c r="AS178" s="9"/>
      <c r="AT178" s="9"/>
      <c r="AU178" s="31"/>
      <c r="AV178" s="10" t="str">
        <f aca="false">IF(C178="","",IF(AND(V178="Approved",ISERROR(SEARCH("FAIL",AO178))),"Y","N"))</f>
        <v/>
      </c>
      <c r="AW178" s="10" t="str">
        <f aca="false">IF(C178="","",C178&amp;"|"&amp;F178&amp;"|"&amp;G178&amp;"|"&amp;L178&amp;"|"&amp;AV178)</f>
        <v/>
      </c>
    </row>
    <row r="179" customFormat="false" ht="15" hidden="false" customHeight="false" outlineLevel="0" collapsed="false">
      <c r="A179" s="10" t="str">
        <f aca="false">IF(C179="","","DRN-"&amp;IFERROR(VLOOKUP(C179,Lists!$A$4:$B$27,2,0),"??")&amp;"-"&amp;TEXT(F179,"0000")&amp;"x"&amp;TEXT(G179,"0000")&amp;IF(N(H179)&gt;1,"-"&amp;H179&amp;"C","")&amp;"-"&amp;IFERROR(VLOOKUP(L179,Lists!$J$4:$K$19,2,0),"??")&amp;"-"&amp;U179)</f>
        <v/>
      </c>
      <c r="B179" s="10" t="str">
        <f aca="false">IF(C179="","",C179&amp;" "&amp;F179&amp;"W x "&amp;G179&amp;"D"&amp;IF(N(H179)&gt;1," ("&amp;H179&amp;" cells)","")&amp;", "&amp;D179&amp;", "&amp;L179&amp;", "&amp;E179)</f>
        <v/>
      </c>
      <c r="C179" s="9"/>
      <c r="D179" s="9"/>
      <c r="E179" s="9"/>
      <c r="F179" s="40"/>
      <c r="G179" s="40"/>
      <c r="H179" s="40"/>
      <c r="I179" s="40"/>
      <c r="J179" s="40"/>
      <c r="K179" s="40"/>
      <c r="L179" s="9"/>
      <c r="M179" s="9"/>
      <c r="N179" s="9"/>
      <c r="O179" s="40"/>
      <c r="P179" s="9"/>
      <c r="Q179" s="9"/>
      <c r="R179" s="9"/>
      <c r="S179" s="9"/>
      <c r="T179" s="9"/>
      <c r="U179" s="9"/>
      <c r="V179" s="9"/>
      <c r="W179" s="9"/>
      <c r="X179" s="9"/>
      <c r="Y179" s="9"/>
      <c r="Z179" s="10" t="str">
        <f aca="false">IF(A179="","",SG_Criteria!$B$6&amp;SG_Criteria!$B$7&amp;"\"&amp;A179&amp;"\")</f>
        <v/>
      </c>
      <c r="AA179" s="10" t="str">
        <f aca="false">IF(A179="","",A179&amp;"_CAD.dwg")</f>
        <v/>
      </c>
      <c r="AB179" s="10" t="str">
        <f aca="false">IF(A179="","",A179&amp;"_DWG.pdf")</f>
        <v/>
      </c>
      <c r="AC179" s="10" t="str">
        <f aca="false">IF(A179="","",IF(Y179="Y",A179&amp;"_STAAD.std","n/a"))</f>
        <v/>
      </c>
      <c r="AD179" s="10" t="str">
        <f aca="false">IF(A179="","",A179&amp;"_CALC.xlsx")</f>
        <v/>
      </c>
      <c r="AE179" s="10" t="str">
        <f aca="false">IF(A179="","",A179&amp;"_CALC.pdf")</f>
        <v/>
      </c>
      <c r="AF179" s="9"/>
      <c r="AG179" s="9"/>
      <c r="AH179" s="41"/>
      <c r="AI179" s="41"/>
      <c r="AJ179" s="41"/>
      <c r="AK179" s="41"/>
      <c r="AL179" s="41"/>
      <c r="AM179" s="37" t="str">
        <f aca="false">IF(OR(C179="",F179="",G179="",C179="Sump",C179="Drop Inlet Chamber",C179="Silt Trap",C179="Pipe Culvert",C179="Subsoil Drain"),"",ROUND(MAX(1,N(H179))*(1/SG_Criteria!$B$26)*((F179/1000)*(G179/1000*(1-SG_Criteria!$B$25)))*(((F179/1000)*(G179/1000*(1-SG_Criteria!$B$25)))/((F179/1000)+2*(G179/1000*(1-SG_Criteria!$B$25))))^(2/3)*(1/Design_Selector!$B$11)^0.5,3))</f>
        <v/>
      </c>
      <c r="AN179" s="11" t="str">
        <f aca="false">IF(AM179="","",ROUND(AM179/(MAX(1,N(H179))*F179/1000*(G179/1000*(1-SG_Criteria!$B$25))),2))</f>
        <v/>
      </c>
      <c r="AO179" s="38" t="str">
        <f aca="false">IF(C179="","",IF(LEN(IF(AND(OR(D179="Roadside drain",D179="Entrance culvert"),OR(F179&lt;SG_Criteria!$B$15,G179&lt;SG_Criteria!$B$16)),"FAIL: below PUB min "&amp;SG_Criteria!$B$15&amp;"x"&amp;SG_Criteria!$B$16&amp;" for roadside drain. ","")&amp;IF(AND(D179="Common drain",F179&lt;SG_Criteria!$B$17),"FAIL: common drain W &lt; "&amp;SG_Criteria!$B$17&amp;" mm. ","")&amp;IF(AND(N179&lt;&gt;"",IFERROR(VALUE(MID(N179,2,2)),0)&lt;SG_Criteria!$B$19),"FAIL: grade below C"&amp;SG_Criteria!$B$19&amp;". ","")&amp;IF(AND(O179&lt;&gt;"",O179&lt;SG_Criteria!$B$20),"FAIL: cover &lt; "&amp;SG_Criteria!$B$20&amp;" mm. ","")&amp;IF(AND(E179="Open",G179&gt;SG_Criteria!$B$18),"NOTE: safety railing required (D &gt; "&amp;SG_Criteria!$B$18&amp;" mm). ","")&amp;IF(AND(D179="Entrance culvert",G179&lt;600),"NOTE: check hinged grating rule for culverts &lt; 600 deep (PUB Add. 3). ",""))=0,"OK",IF(AND(OR(D179="Roadside drain",D179="Entrance culvert"),OR(F179&lt;SG_Criteria!$B$15,G179&lt;SG_Criteria!$B$16)),"FAIL: below PUB min "&amp;SG_Criteria!$B$15&amp;"x"&amp;SG_Criteria!$B$16&amp;" for roadside drain. ","")&amp;IF(AND(D179="Common drain",F179&lt;SG_Criteria!$B$17),"FAIL: common drain W &lt; "&amp;SG_Criteria!$B$17&amp;" mm. ","")&amp;IF(AND(N179&lt;&gt;"",IFERROR(VALUE(MID(N179,2,2)),0)&lt;SG_Criteria!$B$19),"FAIL: grade below C"&amp;SG_Criteria!$B$19&amp;". ","")&amp;IF(AND(O179&lt;&gt;"",O179&lt;SG_Criteria!$B$20),"FAIL: cover &lt; "&amp;SG_Criteria!$B$20&amp;" mm. ","")&amp;IF(AND(E179="Open",G179&gt;SG_Criteria!$B$18),"NOTE: safety railing required (D &gt; "&amp;SG_Criteria!$B$18&amp;" mm). ","")&amp;IF(AND(D179="Entrance culvert",G179&lt;600),"NOTE: check hinged grating rule for culverts &lt; 600 deep (PUB Add. 3). ","")))</f>
        <v/>
      </c>
      <c r="AP179" s="9"/>
      <c r="AQ179" s="9"/>
      <c r="AR179" s="9"/>
      <c r="AS179" s="9"/>
      <c r="AT179" s="9"/>
      <c r="AU179" s="31"/>
      <c r="AV179" s="10" t="str">
        <f aca="false">IF(C179="","",IF(AND(V179="Approved",ISERROR(SEARCH("FAIL",AO179))),"Y","N"))</f>
        <v/>
      </c>
      <c r="AW179" s="10" t="str">
        <f aca="false">IF(C179="","",C179&amp;"|"&amp;F179&amp;"|"&amp;G179&amp;"|"&amp;L179&amp;"|"&amp;AV179)</f>
        <v/>
      </c>
    </row>
    <row r="180" customFormat="false" ht="15" hidden="false" customHeight="false" outlineLevel="0" collapsed="false">
      <c r="A180" s="10" t="str">
        <f aca="false">IF(C180="","","DRN-"&amp;IFERROR(VLOOKUP(C180,Lists!$A$4:$B$27,2,0),"??")&amp;"-"&amp;TEXT(F180,"0000")&amp;"x"&amp;TEXT(G180,"0000")&amp;IF(N(H180)&gt;1,"-"&amp;H180&amp;"C","")&amp;"-"&amp;IFERROR(VLOOKUP(L180,Lists!$J$4:$K$19,2,0),"??")&amp;"-"&amp;U180)</f>
        <v/>
      </c>
      <c r="B180" s="10" t="str">
        <f aca="false">IF(C180="","",C180&amp;" "&amp;F180&amp;"W x "&amp;G180&amp;"D"&amp;IF(N(H180)&gt;1," ("&amp;H180&amp;" cells)","")&amp;", "&amp;D180&amp;", "&amp;L180&amp;", "&amp;E180)</f>
        <v/>
      </c>
      <c r="C180" s="9"/>
      <c r="D180" s="9"/>
      <c r="E180" s="9"/>
      <c r="F180" s="40"/>
      <c r="G180" s="40"/>
      <c r="H180" s="40"/>
      <c r="I180" s="40"/>
      <c r="J180" s="40"/>
      <c r="K180" s="40"/>
      <c r="L180" s="9"/>
      <c r="M180" s="9"/>
      <c r="N180" s="9"/>
      <c r="O180" s="40"/>
      <c r="P180" s="9"/>
      <c r="Q180" s="9"/>
      <c r="R180" s="9"/>
      <c r="S180" s="9"/>
      <c r="T180" s="9"/>
      <c r="U180" s="9"/>
      <c r="V180" s="9"/>
      <c r="W180" s="9"/>
      <c r="X180" s="9"/>
      <c r="Y180" s="9"/>
      <c r="Z180" s="10" t="str">
        <f aca="false">IF(A180="","",SG_Criteria!$B$6&amp;SG_Criteria!$B$7&amp;"\"&amp;A180&amp;"\")</f>
        <v/>
      </c>
      <c r="AA180" s="10" t="str">
        <f aca="false">IF(A180="","",A180&amp;"_CAD.dwg")</f>
        <v/>
      </c>
      <c r="AB180" s="10" t="str">
        <f aca="false">IF(A180="","",A180&amp;"_DWG.pdf")</f>
        <v/>
      </c>
      <c r="AC180" s="10" t="str">
        <f aca="false">IF(A180="","",IF(Y180="Y",A180&amp;"_STAAD.std","n/a"))</f>
        <v/>
      </c>
      <c r="AD180" s="10" t="str">
        <f aca="false">IF(A180="","",A180&amp;"_CALC.xlsx")</f>
        <v/>
      </c>
      <c r="AE180" s="10" t="str">
        <f aca="false">IF(A180="","",A180&amp;"_CALC.pdf")</f>
        <v/>
      </c>
      <c r="AF180" s="9"/>
      <c r="AG180" s="9"/>
      <c r="AH180" s="41"/>
      <c r="AI180" s="41"/>
      <c r="AJ180" s="41"/>
      <c r="AK180" s="41"/>
      <c r="AL180" s="41"/>
      <c r="AM180" s="37" t="str">
        <f aca="false">IF(OR(C180="",F180="",G180="",C180="Sump",C180="Drop Inlet Chamber",C180="Silt Trap",C180="Pipe Culvert",C180="Subsoil Drain"),"",ROUND(MAX(1,N(H180))*(1/SG_Criteria!$B$26)*((F180/1000)*(G180/1000*(1-SG_Criteria!$B$25)))*(((F180/1000)*(G180/1000*(1-SG_Criteria!$B$25)))/((F180/1000)+2*(G180/1000*(1-SG_Criteria!$B$25))))^(2/3)*(1/Design_Selector!$B$11)^0.5,3))</f>
        <v/>
      </c>
      <c r="AN180" s="11" t="str">
        <f aca="false">IF(AM180="","",ROUND(AM180/(MAX(1,N(H180))*F180/1000*(G180/1000*(1-SG_Criteria!$B$25))),2))</f>
        <v/>
      </c>
      <c r="AO180" s="38" t="str">
        <f aca="false">IF(C180="","",IF(LEN(IF(AND(OR(D180="Roadside drain",D180="Entrance culvert"),OR(F180&lt;SG_Criteria!$B$15,G180&lt;SG_Criteria!$B$16)),"FAIL: below PUB min "&amp;SG_Criteria!$B$15&amp;"x"&amp;SG_Criteria!$B$16&amp;" for roadside drain. ","")&amp;IF(AND(D180="Common drain",F180&lt;SG_Criteria!$B$17),"FAIL: common drain W &lt; "&amp;SG_Criteria!$B$17&amp;" mm. ","")&amp;IF(AND(N180&lt;&gt;"",IFERROR(VALUE(MID(N180,2,2)),0)&lt;SG_Criteria!$B$19),"FAIL: grade below C"&amp;SG_Criteria!$B$19&amp;". ","")&amp;IF(AND(O180&lt;&gt;"",O180&lt;SG_Criteria!$B$20),"FAIL: cover &lt; "&amp;SG_Criteria!$B$20&amp;" mm. ","")&amp;IF(AND(E180="Open",G180&gt;SG_Criteria!$B$18),"NOTE: safety railing required (D &gt; "&amp;SG_Criteria!$B$18&amp;" mm). ","")&amp;IF(AND(D180="Entrance culvert",G180&lt;600),"NOTE: check hinged grating rule for culverts &lt; 600 deep (PUB Add. 3). ",""))=0,"OK",IF(AND(OR(D180="Roadside drain",D180="Entrance culvert"),OR(F180&lt;SG_Criteria!$B$15,G180&lt;SG_Criteria!$B$16)),"FAIL: below PUB min "&amp;SG_Criteria!$B$15&amp;"x"&amp;SG_Criteria!$B$16&amp;" for roadside drain. ","")&amp;IF(AND(D180="Common drain",F180&lt;SG_Criteria!$B$17),"FAIL: common drain W &lt; "&amp;SG_Criteria!$B$17&amp;" mm. ","")&amp;IF(AND(N180&lt;&gt;"",IFERROR(VALUE(MID(N180,2,2)),0)&lt;SG_Criteria!$B$19),"FAIL: grade below C"&amp;SG_Criteria!$B$19&amp;". ","")&amp;IF(AND(O180&lt;&gt;"",O180&lt;SG_Criteria!$B$20),"FAIL: cover &lt; "&amp;SG_Criteria!$B$20&amp;" mm. ","")&amp;IF(AND(E180="Open",G180&gt;SG_Criteria!$B$18),"NOTE: safety railing required (D &gt; "&amp;SG_Criteria!$B$18&amp;" mm). ","")&amp;IF(AND(D180="Entrance culvert",G180&lt;600),"NOTE: check hinged grating rule for culverts &lt; 600 deep (PUB Add. 3). ","")))</f>
        <v/>
      </c>
      <c r="AP180" s="9"/>
      <c r="AQ180" s="9"/>
      <c r="AR180" s="9"/>
      <c r="AS180" s="9"/>
      <c r="AT180" s="9"/>
      <c r="AU180" s="31"/>
      <c r="AV180" s="10" t="str">
        <f aca="false">IF(C180="","",IF(AND(V180="Approved",ISERROR(SEARCH("FAIL",AO180))),"Y","N"))</f>
        <v/>
      </c>
      <c r="AW180" s="10" t="str">
        <f aca="false">IF(C180="","",C180&amp;"|"&amp;F180&amp;"|"&amp;G180&amp;"|"&amp;L180&amp;"|"&amp;AV180)</f>
        <v/>
      </c>
    </row>
    <row r="181" customFormat="false" ht="15" hidden="false" customHeight="false" outlineLevel="0" collapsed="false">
      <c r="A181" s="10" t="str">
        <f aca="false">IF(C181="","","DRN-"&amp;IFERROR(VLOOKUP(C181,Lists!$A$4:$B$27,2,0),"??")&amp;"-"&amp;TEXT(F181,"0000")&amp;"x"&amp;TEXT(G181,"0000")&amp;IF(N(H181)&gt;1,"-"&amp;H181&amp;"C","")&amp;"-"&amp;IFERROR(VLOOKUP(L181,Lists!$J$4:$K$19,2,0),"??")&amp;"-"&amp;U181)</f>
        <v/>
      </c>
      <c r="B181" s="10" t="str">
        <f aca="false">IF(C181="","",C181&amp;" "&amp;F181&amp;"W x "&amp;G181&amp;"D"&amp;IF(N(H181)&gt;1," ("&amp;H181&amp;" cells)","")&amp;", "&amp;D181&amp;", "&amp;L181&amp;", "&amp;E181)</f>
        <v/>
      </c>
      <c r="C181" s="9"/>
      <c r="D181" s="9"/>
      <c r="E181" s="9"/>
      <c r="F181" s="40"/>
      <c r="G181" s="40"/>
      <c r="H181" s="40"/>
      <c r="I181" s="40"/>
      <c r="J181" s="40"/>
      <c r="K181" s="40"/>
      <c r="L181" s="9"/>
      <c r="M181" s="9"/>
      <c r="N181" s="9"/>
      <c r="O181" s="40"/>
      <c r="P181" s="9"/>
      <c r="Q181" s="9"/>
      <c r="R181" s="9"/>
      <c r="S181" s="9"/>
      <c r="T181" s="9"/>
      <c r="U181" s="9"/>
      <c r="V181" s="9"/>
      <c r="W181" s="9"/>
      <c r="X181" s="9"/>
      <c r="Y181" s="9"/>
      <c r="Z181" s="10" t="str">
        <f aca="false">IF(A181="","",SG_Criteria!$B$6&amp;SG_Criteria!$B$7&amp;"\"&amp;A181&amp;"\")</f>
        <v/>
      </c>
      <c r="AA181" s="10" t="str">
        <f aca="false">IF(A181="","",A181&amp;"_CAD.dwg")</f>
        <v/>
      </c>
      <c r="AB181" s="10" t="str">
        <f aca="false">IF(A181="","",A181&amp;"_DWG.pdf")</f>
        <v/>
      </c>
      <c r="AC181" s="10" t="str">
        <f aca="false">IF(A181="","",IF(Y181="Y",A181&amp;"_STAAD.std","n/a"))</f>
        <v/>
      </c>
      <c r="AD181" s="10" t="str">
        <f aca="false">IF(A181="","",A181&amp;"_CALC.xlsx")</f>
        <v/>
      </c>
      <c r="AE181" s="10" t="str">
        <f aca="false">IF(A181="","",A181&amp;"_CALC.pdf")</f>
        <v/>
      </c>
      <c r="AF181" s="9"/>
      <c r="AG181" s="9"/>
      <c r="AH181" s="41"/>
      <c r="AI181" s="41"/>
      <c r="AJ181" s="41"/>
      <c r="AK181" s="41"/>
      <c r="AL181" s="41"/>
      <c r="AM181" s="37" t="str">
        <f aca="false">IF(OR(C181="",F181="",G181="",C181="Sump",C181="Drop Inlet Chamber",C181="Silt Trap",C181="Pipe Culvert",C181="Subsoil Drain"),"",ROUND(MAX(1,N(H181))*(1/SG_Criteria!$B$26)*((F181/1000)*(G181/1000*(1-SG_Criteria!$B$25)))*(((F181/1000)*(G181/1000*(1-SG_Criteria!$B$25)))/((F181/1000)+2*(G181/1000*(1-SG_Criteria!$B$25))))^(2/3)*(1/Design_Selector!$B$11)^0.5,3))</f>
        <v/>
      </c>
      <c r="AN181" s="11" t="str">
        <f aca="false">IF(AM181="","",ROUND(AM181/(MAX(1,N(H181))*F181/1000*(G181/1000*(1-SG_Criteria!$B$25))),2))</f>
        <v/>
      </c>
      <c r="AO181" s="38" t="str">
        <f aca="false">IF(C181="","",IF(LEN(IF(AND(OR(D181="Roadside drain",D181="Entrance culvert"),OR(F181&lt;SG_Criteria!$B$15,G181&lt;SG_Criteria!$B$16)),"FAIL: below PUB min "&amp;SG_Criteria!$B$15&amp;"x"&amp;SG_Criteria!$B$16&amp;" for roadside drain. ","")&amp;IF(AND(D181="Common drain",F181&lt;SG_Criteria!$B$17),"FAIL: common drain W &lt; "&amp;SG_Criteria!$B$17&amp;" mm. ","")&amp;IF(AND(N181&lt;&gt;"",IFERROR(VALUE(MID(N181,2,2)),0)&lt;SG_Criteria!$B$19),"FAIL: grade below C"&amp;SG_Criteria!$B$19&amp;". ","")&amp;IF(AND(O181&lt;&gt;"",O181&lt;SG_Criteria!$B$20),"FAIL: cover &lt; "&amp;SG_Criteria!$B$20&amp;" mm. ","")&amp;IF(AND(E181="Open",G181&gt;SG_Criteria!$B$18),"NOTE: safety railing required (D &gt; "&amp;SG_Criteria!$B$18&amp;" mm). ","")&amp;IF(AND(D181="Entrance culvert",G181&lt;600),"NOTE: check hinged grating rule for culverts &lt; 600 deep (PUB Add. 3). ",""))=0,"OK",IF(AND(OR(D181="Roadside drain",D181="Entrance culvert"),OR(F181&lt;SG_Criteria!$B$15,G181&lt;SG_Criteria!$B$16)),"FAIL: below PUB min "&amp;SG_Criteria!$B$15&amp;"x"&amp;SG_Criteria!$B$16&amp;" for roadside drain. ","")&amp;IF(AND(D181="Common drain",F181&lt;SG_Criteria!$B$17),"FAIL: common drain W &lt; "&amp;SG_Criteria!$B$17&amp;" mm. ","")&amp;IF(AND(N181&lt;&gt;"",IFERROR(VALUE(MID(N181,2,2)),0)&lt;SG_Criteria!$B$19),"FAIL: grade below C"&amp;SG_Criteria!$B$19&amp;". ","")&amp;IF(AND(O181&lt;&gt;"",O181&lt;SG_Criteria!$B$20),"FAIL: cover &lt; "&amp;SG_Criteria!$B$20&amp;" mm. ","")&amp;IF(AND(E181="Open",G181&gt;SG_Criteria!$B$18),"NOTE: safety railing required (D &gt; "&amp;SG_Criteria!$B$18&amp;" mm). ","")&amp;IF(AND(D181="Entrance culvert",G181&lt;600),"NOTE: check hinged grating rule for culverts &lt; 600 deep (PUB Add. 3). ","")))</f>
        <v/>
      </c>
      <c r="AP181" s="9"/>
      <c r="AQ181" s="9"/>
      <c r="AR181" s="9"/>
      <c r="AS181" s="9"/>
      <c r="AT181" s="9"/>
      <c r="AU181" s="31"/>
      <c r="AV181" s="10" t="str">
        <f aca="false">IF(C181="","",IF(AND(V181="Approved",ISERROR(SEARCH("FAIL",AO181))),"Y","N"))</f>
        <v/>
      </c>
      <c r="AW181" s="10" t="str">
        <f aca="false">IF(C181="","",C181&amp;"|"&amp;F181&amp;"|"&amp;G181&amp;"|"&amp;L181&amp;"|"&amp;AV181)</f>
        <v/>
      </c>
    </row>
    <row r="182" customFormat="false" ht="15" hidden="false" customHeight="false" outlineLevel="0" collapsed="false">
      <c r="A182" s="10" t="str">
        <f aca="false">IF(C182="","","DRN-"&amp;IFERROR(VLOOKUP(C182,Lists!$A$4:$B$27,2,0),"??")&amp;"-"&amp;TEXT(F182,"0000")&amp;"x"&amp;TEXT(G182,"0000")&amp;IF(N(H182)&gt;1,"-"&amp;H182&amp;"C","")&amp;"-"&amp;IFERROR(VLOOKUP(L182,Lists!$J$4:$K$19,2,0),"??")&amp;"-"&amp;U182)</f>
        <v/>
      </c>
      <c r="B182" s="10" t="str">
        <f aca="false">IF(C182="","",C182&amp;" "&amp;F182&amp;"W x "&amp;G182&amp;"D"&amp;IF(N(H182)&gt;1," ("&amp;H182&amp;" cells)","")&amp;", "&amp;D182&amp;", "&amp;L182&amp;", "&amp;E182)</f>
        <v/>
      </c>
      <c r="C182" s="9"/>
      <c r="D182" s="9"/>
      <c r="E182" s="9"/>
      <c r="F182" s="40"/>
      <c r="G182" s="40"/>
      <c r="H182" s="40"/>
      <c r="I182" s="40"/>
      <c r="J182" s="40"/>
      <c r="K182" s="40"/>
      <c r="L182" s="9"/>
      <c r="M182" s="9"/>
      <c r="N182" s="9"/>
      <c r="O182" s="40"/>
      <c r="P182" s="9"/>
      <c r="Q182" s="9"/>
      <c r="R182" s="9"/>
      <c r="S182" s="9"/>
      <c r="T182" s="9"/>
      <c r="U182" s="9"/>
      <c r="V182" s="9"/>
      <c r="W182" s="9"/>
      <c r="X182" s="9"/>
      <c r="Y182" s="9"/>
      <c r="Z182" s="10" t="str">
        <f aca="false">IF(A182="","",SG_Criteria!$B$6&amp;SG_Criteria!$B$7&amp;"\"&amp;A182&amp;"\")</f>
        <v/>
      </c>
      <c r="AA182" s="10" t="str">
        <f aca="false">IF(A182="","",A182&amp;"_CAD.dwg")</f>
        <v/>
      </c>
      <c r="AB182" s="10" t="str">
        <f aca="false">IF(A182="","",A182&amp;"_DWG.pdf")</f>
        <v/>
      </c>
      <c r="AC182" s="10" t="str">
        <f aca="false">IF(A182="","",IF(Y182="Y",A182&amp;"_STAAD.std","n/a"))</f>
        <v/>
      </c>
      <c r="AD182" s="10" t="str">
        <f aca="false">IF(A182="","",A182&amp;"_CALC.xlsx")</f>
        <v/>
      </c>
      <c r="AE182" s="10" t="str">
        <f aca="false">IF(A182="","",A182&amp;"_CALC.pdf")</f>
        <v/>
      </c>
      <c r="AF182" s="9"/>
      <c r="AG182" s="9"/>
      <c r="AH182" s="41"/>
      <c r="AI182" s="41"/>
      <c r="AJ182" s="41"/>
      <c r="AK182" s="41"/>
      <c r="AL182" s="41"/>
      <c r="AM182" s="37" t="str">
        <f aca="false">IF(OR(C182="",F182="",G182="",C182="Sump",C182="Drop Inlet Chamber",C182="Silt Trap",C182="Pipe Culvert",C182="Subsoil Drain"),"",ROUND(MAX(1,N(H182))*(1/SG_Criteria!$B$26)*((F182/1000)*(G182/1000*(1-SG_Criteria!$B$25)))*(((F182/1000)*(G182/1000*(1-SG_Criteria!$B$25)))/((F182/1000)+2*(G182/1000*(1-SG_Criteria!$B$25))))^(2/3)*(1/Design_Selector!$B$11)^0.5,3))</f>
        <v/>
      </c>
      <c r="AN182" s="11" t="str">
        <f aca="false">IF(AM182="","",ROUND(AM182/(MAX(1,N(H182))*F182/1000*(G182/1000*(1-SG_Criteria!$B$25))),2))</f>
        <v/>
      </c>
      <c r="AO182" s="38" t="str">
        <f aca="false">IF(C182="","",IF(LEN(IF(AND(OR(D182="Roadside drain",D182="Entrance culvert"),OR(F182&lt;SG_Criteria!$B$15,G182&lt;SG_Criteria!$B$16)),"FAIL: below PUB min "&amp;SG_Criteria!$B$15&amp;"x"&amp;SG_Criteria!$B$16&amp;" for roadside drain. ","")&amp;IF(AND(D182="Common drain",F182&lt;SG_Criteria!$B$17),"FAIL: common drain W &lt; "&amp;SG_Criteria!$B$17&amp;" mm. ","")&amp;IF(AND(N182&lt;&gt;"",IFERROR(VALUE(MID(N182,2,2)),0)&lt;SG_Criteria!$B$19),"FAIL: grade below C"&amp;SG_Criteria!$B$19&amp;". ","")&amp;IF(AND(O182&lt;&gt;"",O182&lt;SG_Criteria!$B$20),"FAIL: cover &lt; "&amp;SG_Criteria!$B$20&amp;" mm. ","")&amp;IF(AND(E182="Open",G182&gt;SG_Criteria!$B$18),"NOTE: safety railing required (D &gt; "&amp;SG_Criteria!$B$18&amp;" mm). ","")&amp;IF(AND(D182="Entrance culvert",G182&lt;600),"NOTE: check hinged grating rule for culverts &lt; 600 deep (PUB Add. 3). ",""))=0,"OK",IF(AND(OR(D182="Roadside drain",D182="Entrance culvert"),OR(F182&lt;SG_Criteria!$B$15,G182&lt;SG_Criteria!$B$16)),"FAIL: below PUB min "&amp;SG_Criteria!$B$15&amp;"x"&amp;SG_Criteria!$B$16&amp;" for roadside drain. ","")&amp;IF(AND(D182="Common drain",F182&lt;SG_Criteria!$B$17),"FAIL: common drain W &lt; "&amp;SG_Criteria!$B$17&amp;" mm. ","")&amp;IF(AND(N182&lt;&gt;"",IFERROR(VALUE(MID(N182,2,2)),0)&lt;SG_Criteria!$B$19),"FAIL: grade below C"&amp;SG_Criteria!$B$19&amp;". ","")&amp;IF(AND(O182&lt;&gt;"",O182&lt;SG_Criteria!$B$20),"FAIL: cover &lt; "&amp;SG_Criteria!$B$20&amp;" mm. ","")&amp;IF(AND(E182="Open",G182&gt;SG_Criteria!$B$18),"NOTE: safety railing required (D &gt; "&amp;SG_Criteria!$B$18&amp;" mm). ","")&amp;IF(AND(D182="Entrance culvert",G182&lt;600),"NOTE: check hinged grating rule for culverts &lt; 600 deep (PUB Add. 3). ","")))</f>
        <v/>
      </c>
      <c r="AP182" s="9"/>
      <c r="AQ182" s="9"/>
      <c r="AR182" s="9"/>
      <c r="AS182" s="9"/>
      <c r="AT182" s="9"/>
      <c r="AU182" s="31"/>
      <c r="AV182" s="10" t="str">
        <f aca="false">IF(C182="","",IF(AND(V182="Approved",ISERROR(SEARCH("FAIL",AO182))),"Y","N"))</f>
        <v/>
      </c>
      <c r="AW182" s="10" t="str">
        <f aca="false">IF(C182="","",C182&amp;"|"&amp;F182&amp;"|"&amp;G182&amp;"|"&amp;L182&amp;"|"&amp;AV182)</f>
        <v/>
      </c>
    </row>
    <row r="183" customFormat="false" ht="15" hidden="false" customHeight="false" outlineLevel="0" collapsed="false">
      <c r="A183" s="10" t="str">
        <f aca="false">IF(C183="","","DRN-"&amp;IFERROR(VLOOKUP(C183,Lists!$A$4:$B$27,2,0),"??")&amp;"-"&amp;TEXT(F183,"0000")&amp;"x"&amp;TEXT(G183,"0000")&amp;IF(N(H183)&gt;1,"-"&amp;H183&amp;"C","")&amp;"-"&amp;IFERROR(VLOOKUP(L183,Lists!$J$4:$K$19,2,0),"??")&amp;"-"&amp;U183)</f>
        <v/>
      </c>
      <c r="B183" s="10" t="str">
        <f aca="false">IF(C183="","",C183&amp;" "&amp;F183&amp;"W x "&amp;G183&amp;"D"&amp;IF(N(H183)&gt;1," ("&amp;H183&amp;" cells)","")&amp;", "&amp;D183&amp;", "&amp;L183&amp;", "&amp;E183)</f>
        <v/>
      </c>
      <c r="C183" s="9"/>
      <c r="D183" s="9"/>
      <c r="E183" s="9"/>
      <c r="F183" s="40"/>
      <c r="G183" s="40"/>
      <c r="H183" s="40"/>
      <c r="I183" s="40"/>
      <c r="J183" s="40"/>
      <c r="K183" s="40"/>
      <c r="L183" s="9"/>
      <c r="M183" s="9"/>
      <c r="N183" s="9"/>
      <c r="O183" s="40"/>
      <c r="P183" s="9"/>
      <c r="Q183" s="9"/>
      <c r="R183" s="9"/>
      <c r="S183" s="9"/>
      <c r="T183" s="9"/>
      <c r="U183" s="9"/>
      <c r="V183" s="9"/>
      <c r="W183" s="9"/>
      <c r="X183" s="9"/>
      <c r="Y183" s="9"/>
      <c r="Z183" s="10" t="str">
        <f aca="false">IF(A183="","",SG_Criteria!$B$6&amp;SG_Criteria!$B$7&amp;"\"&amp;A183&amp;"\")</f>
        <v/>
      </c>
      <c r="AA183" s="10" t="str">
        <f aca="false">IF(A183="","",A183&amp;"_CAD.dwg")</f>
        <v/>
      </c>
      <c r="AB183" s="10" t="str">
        <f aca="false">IF(A183="","",A183&amp;"_DWG.pdf")</f>
        <v/>
      </c>
      <c r="AC183" s="10" t="str">
        <f aca="false">IF(A183="","",IF(Y183="Y",A183&amp;"_STAAD.std","n/a"))</f>
        <v/>
      </c>
      <c r="AD183" s="10" t="str">
        <f aca="false">IF(A183="","",A183&amp;"_CALC.xlsx")</f>
        <v/>
      </c>
      <c r="AE183" s="10" t="str">
        <f aca="false">IF(A183="","",A183&amp;"_CALC.pdf")</f>
        <v/>
      </c>
      <c r="AF183" s="9"/>
      <c r="AG183" s="9"/>
      <c r="AH183" s="41"/>
      <c r="AI183" s="41"/>
      <c r="AJ183" s="41"/>
      <c r="AK183" s="41"/>
      <c r="AL183" s="41"/>
      <c r="AM183" s="37" t="str">
        <f aca="false">IF(OR(C183="",F183="",G183="",C183="Sump",C183="Drop Inlet Chamber",C183="Silt Trap",C183="Pipe Culvert",C183="Subsoil Drain"),"",ROUND(MAX(1,N(H183))*(1/SG_Criteria!$B$26)*((F183/1000)*(G183/1000*(1-SG_Criteria!$B$25)))*(((F183/1000)*(G183/1000*(1-SG_Criteria!$B$25)))/((F183/1000)+2*(G183/1000*(1-SG_Criteria!$B$25))))^(2/3)*(1/Design_Selector!$B$11)^0.5,3))</f>
        <v/>
      </c>
      <c r="AN183" s="11" t="str">
        <f aca="false">IF(AM183="","",ROUND(AM183/(MAX(1,N(H183))*F183/1000*(G183/1000*(1-SG_Criteria!$B$25))),2))</f>
        <v/>
      </c>
      <c r="AO183" s="38" t="str">
        <f aca="false">IF(C183="","",IF(LEN(IF(AND(OR(D183="Roadside drain",D183="Entrance culvert"),OR(F183&lt;SG_Criteria!$B$15,G183&lt;SG_Criteria!$B$16)),"FAIL: below PUB min "&amp;SG_Criteria!$B$15&amp;"x"&amp;SG_Criteria!$B$16&amp;" for roadside drain. ","")&amp;IF(AND(D183="Common drain",F183&lt;SG_Criteria!$B$17),"FAIL: common drain W &lt; "&amp;SG_Criteria!$B$17&amp;" mm. ","")&amp;IF(AND(N183&lt;&gt;"",IFERROR(VALUE(MID(N183,2,2)),0)&lt;SG_Criteria!$B$19),"FAIL: grade below C"&amp;SG_Criteria!$B$19&amp;". ","")&amp;IF(AND(O183&lt;&gt;"",O183&lt;SG_Criteria!$B$20),"FAIL: cover &lt; "&amp;SG_Criteria!$B$20&amp;" mm. ","")&amp;IF(AND(E183="Open",G183&gt;SG_Criteria!$B$18),"NOTE: safety railing required (D &gt; "&amp;SG_Criteria!$B$18&amp;" mm). ","")&amp;IF(AND(D183="Entrance culvert",G183&lt;600),"NOTE: check hinged grating rule for culverts &lt; 600 deep (PUB Add. 3). ",""))=0,"OK",IF(AND(OR(D183="Roadside drain",D183="Entrance culvert"),OR(F183&lt;SG_Criteria!$B$15,G183&lt;SG_Criteria!$B$16)),"FAIL: below PUB min "&amp;SG_Criteria!$B$15&amp;"x"&amp;SG_Criteria!$B$16&amp;" for roadside drain. ","")&amp;IF(AND(D183="Common drain",F183&lt;SG_Criteria!$B$17),"FAIL: common drain W &lt; "&amp;SG_Criteria!$B$17&amp;" mm. ","")&amp;IF(AND(N183&lt;&gt;"",IFERROR(VALUE(MID(N183,2,2)),0)&lt;SG_Criteria!$B$19),"FAIL: grade below C"&amp;SG_Criteria!$B$19&amp;". ","")&amp;IF(AND(O183&lt;&gt;"",O183&lt;SG_Criteria!$B$20),"FAIL: cover &lt; "&amp;SG_Criteria!$B$20&amp;" mm. ","")&amp;IF(AND(E183="Open",G183&gt;SG_Criteria!$B$18),"NOTE: safety railing required (D &gt; "&amp;SG_Criteria!$B$18&amp;" mm). ","")&amp;IF(AND(D183="Entrance culvert",G183&lt;600),"NOTE: check hinged grating rule for culverts &lt; 600 deep (PUB Add. 3). ","")))</f>
        <v/>
      </c>
      <c r="AP183" s="9"/>
      <c r="AQ183" s="9"/>
      <c r="AR183" s="9"/>
      <c r="AS183" s="9"/>
      <c r="AT183" s="9"/>
      <c r="AU183" s="31"/>
      <c r="AV183" s="10" t="str">
        <f aca="false">IF(C183="","",IF(AND(V183="Approved",ISERROR(SEARCH("FAIL",AO183))),"Y","N"))</f>
        <v/>
      </c>
      <c r="AW183" s="10" t="str">
        <f aca="false">IF(C183="","",C183&amp;"|"&amp;F183&amp;"|"&amp;G183&amp;"|"&amp;L183&amp;"|"&amp;AV183)</f>
        <v/>
      </c>
    </row>
    <row r="184" customFormat="false" ht="15" hidden="false" customHeight="false" outlineLevel="0" collapsed="false">
      <c r="A184" s="10" t="str">
        <f aca="false">IF(C184="","","DRN-"&amp;IFERROR(VLOOKUP(C184,Lists!$A$4:$B$27,2,0),"??")&amp;"-"&amp;TEXT(F184,"0000")&amp;"x"&amp;TEXT(G184,"0000")&amp;IF(N(H184)&gt;1,"-"&amp;H184&amp;"C","")&amp;"-"&amp;IFERROR(VLOOKUP(L184,Lists!$J$4:$K$19,2,0),"??")&amp;"-"&amp;U184)</f>
        <v/>
      </c>
      <c r="B184" s="10" t="str">
        <f aca="false">IF(C184="","",C184&amp;" "&amp;F184&amp;"W x "&amp;G184&amp;"D"&amp;IF(N(H184)&gt;1," ("&amp;H184&amp;" cells)","")&amp;", "&amp;D184&amp;", "&amp;L184&amp;", "&amp;E184)</f>
        <v/>
      </c>
      <c r="C184" s="9"/>
      <c r="D184" s="9"/>
      <c r="E184" s="9"/>
      <c r="F184" s="40"/>
      <c r="G184" s="40"/>
      <c r="H184" s="40"/>
      <c r="I184" s="40"/>
      <c r="J184" s="40"/>
      <c r="K184" s="40"/>
      <c r="L184" s="9"/>
      <c r="M184" s="9"/>
      <c r="N184" s="9"/>
      <c r="O184" s="40"/>
      <c r="P184" s="9"/>
      <c r="Q184" s="9"/>
      <c r="R184" s="9"/>
      <c r="S184" s="9"/>
      <c r="T184" s="9"/>
      <c r="U184" s="9"/>
      <c r="V184" s="9"/>
      <c r="W184" s="9"/>
      <c r="X184" s="9"/>
      <c r="Y184" s="9"/>
      <c r="Z184" s="10" t="str">
        <f aca="false">IF(A184="","",SG_Criteria!$B$6&amp;SG_Criteria!$B$7&amp;"\"&amp;A184&amp;"\")</f>
        <v/>
      </c>
      <c r="AA184" s="10" t="str">
        <f aca="false">IF(A184="","",A184&amp;"_CAD.dwg")</f>
        <v/>
      </c>
      <c r="AB184" s="10" t="str">
        <f aca="false">IF(A184="","",A184&amp;"_DWG.pdf")</f>
        <v/>
      </c>
      <c r="AC184" s="10" t="str">
        <f aca="false">IF(A184="","",IF(Y184="Y",A184&amp;"_STAAD.std","n/a"))</f>
        <v/>
      </c>
      <c r="AD184" s="10" t="str">
        <f aca="false">IF(A184="","",A184&amp;"_CALC.xlsx")</f>
        <v/>
      </c>
      <c r="AE184" s="10" t="str">
        <f aca="false">IF(A184="","",A184&amp;"_CALC.pdf")</f>
        <v/>
      </c>
      <c r="AF184" s="9"/>
      <c r="AG184" s="9"/>
      <c r="AH184" s="41"/>
      <c r="AI184" s="41"/>
      <c r="AJ184" s="41"/>
      <c r="AK184" s="41"/>
      <c r="AL184" s="41"/>
      <c r="AM184" s="37" t="str">
        <f aca="false">IF(OR(C184="",F184="",G184="",C184="Sump",C184="Drop Inlet Chamber",C184="Silt Trap",C184="Pipe Culvert",C184="Subsoil Drain"),"",ROUND(MAX(1,N(H184))*(1/SG_Criteria!$B$26)*((F184/1000)*(G184/1000*(1-SG_Criteria!$B$25)))*(((F184/1000)*(G184/1000*(1-SG_Criteria!$B$25)))/((F184/1000)+2*(G184/1000*(1-SG_Criteria!$B$25))))^(2/3)*(1/Design_Selector!$B$11)^0.5,3))</f>
        <v/>
      </c>
      <c r="AN184" s="11" t="str">
        <f aca="false">IF(AM184="","",ROUND(AM184/(MAX(1,N(H184))*F184/1000*(G184/1000*(1-SG_Criteria!$B$25))),2))</f>
        <v/>
      </c>
      <c r="AO184" s="38" t="str">
        <f aca="false">IF(C184="","",IF(LEN(IF(AND(OR(D184="Roadside drain",D184="Entrance culvert"),OR(F184&lt;SG_Criteria!$B$15,G184&lt;SG_Criteria!$B$16)),"FAIL: below PUB min "&amp;SG_Criteria!$B$15&amp;"x"&amp;SG_Criteria!$B$16&amp;" for roadside drain. ","")&amp;IF(AND(D184="Common drain",F184&lt;SG_Criteria!$B$17),"FAIL: common drain W &lt; "&amp;SG_Criteria!$B$17&amp;" mm. ","")&amp;IF(AND(N184&lt;&gt;"",IFERROR(VALUE(MID(N184,2,2)),0)&lt;SG_Criteria!$B$19),"FAIL: grade below C"&amp;SG_Criteria!$B$19&amp;". ","")&amp;IF(AND(O184&lt;&gt;"",O184&lt;SG_Criteria!$B$20),"FAIL: cover &lt; "&amp;SG_Criteria!$B$20&amp;" mm. ","")&amp;IF(AND(E184="Open",G184&gt;SG_Criteria!$B$18),"NOTE: safety railing required (D &gt; "&amp;SG_Criteria!$B$18&amp;" mm). ","")&amp;IF(AND(D184="Entrance culvert",G184&lt;600),"NOTE: check hinged grating rule for culverts &lt; 600 deep (PUB Add. 3). ",""))=0,"OK",IF(AND(OR(D184="Roadside drain",D184="Entrance culvert"),OR(F184&lt;SG_Criteria!$B$15,G184&lt;SG_Criteria!$B$16)),"FAIL: below PUB min "&amp;SG_Criteria!$B$15&amp;"x"&amp;SG_Criteria!$B$16&amp;" for roadside drain. ","")&amp;IF(AND(D184="Common drain",F184&lt;SG_Criteria!$B$17),"FAIL: common drain W &lt; "&amp;SG_Criteria!$B$17&amp;" mm. ","")&amp;IF(AND(N184&lt;&gt;"",IFERROR(VALUE(MID(N184,2,2)),0)&lt;SG_Criteria!$B$19),"FAIL: grade below C"&amp;SG_Criteria!$B$19&amp;". ","")&amp;IF(AND(O184&lt;&gt;"",O184&lt;SG_Criteria!$B$20),"FAIL: cover &lt; "&amp;SG_Criteria!$B$20&amp;" mm. ","")&amp;IF(AND(E184="Open",G184&gt;SG_Criteria!$B$18),"NOTE: safety railing required (D &gt; "&amp;SG_Criteria!$B$18&amp;" mm). ","")&amp;IF(AND(D184="Entrance culvert",G184&lt;600),"NOTE: check hinged grating rule for culverts &lt; 600 deep (PUB Add. 3). ","")))</f>
        <v/>
      </c>
      <c r="AP184" s="9"/>
      <c r="AQ184" s="9"/>
      <c r="AR184" s="9"/>
      <c r="AS184" s="9"/>
      <c r="AT184" s="9"/>
      <c r="AU184" s="31"/>
      <c r="AV184" s="10" t="str">
        <f aca="false">IF(C184="","",IF(AND(V184="Approved",ISERROR(SEARCH("FAIL",AO184))),"Y","N"))</f>
        <v/>
      </c>
      <c r="AW184" s="10" t="str">
        <f aca="false">IF(C184="","",C184&amp;"|"&amp;F184&amp;"|"&amp;G184&amp;"|"&amp;L184&amp;"|"&amp;AV184)</f>
        <v/>
      </c>
    </row>
    <row r="185" customFormat="false" ht="15" hidden="false" customHeight="false" outlineLevel="0" collapsed="false">
      <c r="A185" s="10" t="str">
        <f aca="false">IF(C185="","","DRN-"&amp;IFERROR(VLOOKUP(C185,Lists!$A$4:$B$27,2,0),"??")&amp;"-"&amp;TEXT(F185,"0000")&amp;"x"&amp;TEXT(G185,"0000")&amp;IF(N(H185)&gt;1,"-"&amp;H185&amp;"C","")&amp;"-"&amp;IFERROR(VLOOKUP(L185,Lists!$J$4:$K$19,2,0),"??")&amp;"-"&amp;U185)</f>
        <v/>
      </c>
      <c r="B185" s="10" t="str">
        <f aca="false">IF(C185="","",C185&amp;" "&amp;F185&amp;"W x "&amp;G185&amp;"D"&amp;IF(N(H185)&gt;1," ("&amp;H185&amp;" cells)","")&amp;", "&amp;D185&amp;", "&amp;L185&amp;", "&amp;E185)</f>
        <v/>
      </c>
      <c r="C185" s="9"/>
      <c r="D185" s="9"/>
      <c r="E185" s="9"/>
      <c r="F185" s="40"/>
      <c r="G185" s="40"/>
      <c r="H185" s="40"/>
      <c r="I185" s="40"/>
      <c r="J185" s="40"/>
      <c r="K185" s="40"/>
      <c r="L185" s="9"/>
      <c r="M185" s="9"/>
      <c r="N185" s="9"/>
      <c r="O185" s="40"/>
      <c r="P185" s="9"/>
      <c r="Q185" s="9"/>
      <c r="R185" s="9"/>
      <c r="S185" s="9"/>
      <c r="T185" s="9"/>
      <c r="U185" s="9"/>
      <c r="V185" s="9"/>
      <c r="W185" s="9"/>
      <c r="X185" s="9"/>
      <c r="Y185" s="9"/>
      <c r="Z185" s="10" t="str">
        <f aca="false">IF(A185="","",SG_Criteria!$B$6&amp;SG_Criteria!$B$7&amp;"\"&amp;A185&amp;"\")</f>
        <v/>
      </c>
      <c r="AA185" s="10" t="str">
        <f aca="false">IF(A185="","",A185&amp;"_CAD.dwg")</f>
        <v/>
      </c>
      <c r="AB185" s="10" t="str">
        <f aca="false">IF(A185="","",A185&amp;"_DWG.pdf")</f>
        <v/>
      </c>
      <c r="AC185" s="10" t="str">
        <f aca="false">IF(A185="","",IF(Y185="Y",A185&amp;"_STAAD.std","n/a"))</f>
        <v/>
      </c>
      <c r="AD185" s="10" t="str">
        <f aca="false">IF(A185="","",A185&amp;"_CALC.xlsx")</f>
        <v/>
      </c>
      <c r="AE185" s="10" t="str">
        <f aca="false">IF(A185="","",A185&amp;"_CALC.pdf")</f>
        <v/>
      </c>
      <c r="AF185" s="9"/>
      <c r="AG185" s="9"/>
      <c r="AH185" s="41"/>
      <c r="AI185" s="41"/>
      <c r="AJ185" s="41"/>
      <c r="AK185" s="41"/>
      <c r="AL185" s="41"/>
      <c r="AM185" s="37" t="str">
        <f aca="false">IF(OR(C185="",F185="",G185="",C185="Sump",C185="Drop Inlet Chamber",C185="Silt Trap",C185="Pipe Culvert",C185="Subsoil Drain"),"",ROUND(MAX(1,N(H185))*(1/SG_Criteria!$B$26)*((F185/1000)*(G185/1000*(1-SG_Criteria!$B$25)))*(((F185/1000)*(G185/1000*(1-SG_Criteria!$B$25)))/((F185/1000)+2*(G185/1000*(1-SG_Criteria!$B$25))))^(2/3)*(1/Design_Selector!$B$11)^0.5,3))</f>
        <v/>
      </c>
      <c r="AN185" s="11" t="str">
        <f aca="false">IF(AM185="","",ROUND(AM185/(MAX(1,N(H185))*F185/1000*(G185/1000*(1-SG_Criteria!$B$25))),2))</f>
        <v/>
      </c>
      <c r="AO185" s="38" t="str">
        <f aca="false">IF(C185="","",IF(LEN(IF(AND(OR(D185="Roadside drain",D185="Entrance culvert"),OR(F185&lt;SG_Criteria!$B$15,G185&lt;SG_Criteria!$B$16)),"FAIL: below PUB min "&amp;SG_Criteria!$B$15&amp;"x"&amp;SG_Criteria!$B$16&amp;" for roadside drain. ","")&amp;IF(AND(D185="Common drain",F185&lt;SG_Criteria!$B$17),"FAIL: common drain W &lt; "&amp;SG_Criteria!$B$17&amp;" mm. ","")&amp;IF(AND(N185&lt;&gt;"",IFERROR(VALUE(MID(N185,2,2)),0)&lt;SG_Criteria!$B$19),"FAIL: grade below C"&amp;SG_Criteria!$B$19&amp;". ","")&amp;IF(AND(O185&lt;&gt;"",O185&lt;SG_Criteria!$B$20),"FAIL: cover &lt; "&amp;SG_Criteria!$B$20&amp;" mm. ","")&amp;IF(AND(E185="Open",G185&gt;SG_Criteria!$B$18),"NOTE: safety railing required (D &gt; "&amp;SG_Criteria!$B$18&amp;" mm). ","")&amp;IF(AND(D185="Entrance culvert",G185&lt;600),"NOTE: check hinged grating rule for culverts &lt; 600 deep (PUB Add. 3). ",""))=0,"OK",IF(AND(OR(D185="Roadside drain",D185="Entrance culvert"),OR(F185&lt;SG_Criteria!$B$15,G185&lt;SG_Criteria!$B$16)),"FAIL: below PUB min "&amp;SG_Criteria!$B$15&amp;"x"&amp;SG_Criteria!$B$16&amp;" for roadside drain. ","")&amp;IF(AND(D185="Common drain",F185&lt;SG_Criteria!$B$17),"FAIL: common drain W &lt; "&amp;SG_Criteria!$B$17&amp;" mm. ","")&amp;IF(AND(N185&lt;&gt;"",IFERROR(VALUE(MID(N185,2,2)),0)&lt;SG_Criteria!$B$19),"FAIL: grade below C"&amp;SG_Criteria!$B$19&amp;". ","")&amp;IF(AND(O185&lt;&gt;"",O185&lt;SG_Criteria!$B$20),"FAIL: cover &lt; "&amp;SG_Criteria!$B$20&amp;" mm. ","")&amp;IF(AND(E185="Open",G185&gt;SG_Criteria!$B$18),"NOTE: safety railing required (D &gt; "&amp;SG_Criteria!$B$18&amp;" mm). ","")&amp;IF(AND(D185="Entrance culvert",G185&lt;600),"NOTE: check hinged grating rule for culverts &lt; 600 deep (PUB Add. 3). ","")))</f>
        <v/>
      </c>
      <c r="AP185" s="9"/>
      <c r="AQ185" s="9"/>
      <c r="AR185" s="9"/>
      <c r="AS185" s="9"/>
      <c r="AT185" s="9"/>
      <c r="AU185" s="31"/>
      <c r="AV185" s="10" t="str">
        <f aca="false">IF(C185="","",IF(AND(V185="Approved",ISERROR(SEARCH("FAIL",AO185))),"Y","N"))</f>
        <v/>
      </c>
      <c r="AW185" s="10" t="str">
        <f aca="false">IF(C185="","",C185&amp;"|"&amp;F185&amp;"|"&amp;G185&amp;"|"&amp;L185&amp;"|"&amp;AV185)</f>
        <v/>
      </c>
    </row>
    <row r="186" customFormat="false" ht="15" hidden="false" customHeight="false" outlineLevel="0" collapsed="false">
      <c r="A186" s="10" t="str">
        <f aca="false">IF(C186="","","DRN-"&amp;IFERROR(VLOOKUP(C186,Lists!$A$4:$B$27,2,0),"??")&amp;"-"&amp;TEXT(F186,"0000")&amp;"x"&amp;TEXT(G186,"0000")&amp;IF(N(H186)&gt;1,"-"&amp;H186&amp;"C","")&amp;"-"&amp;IFERROR(VLOOKUP(L186,Lists!$J$4:$K$19,2,0),"??")&amp;"-"&amp;U186)</f>
        <v/>
      </c>
      <c r="B186" s="10" t="str">
        <f aca="false">IF(C186="","",C186&amp;" "&amp;F186&amp;"W x "&amp;G186&amp;"D"&amp;IF(N(H186)&gt;1," ("&amp;H186&amp;" cells)","")&amp;", "&amp;D186&amp;", "&amp;L186&amp;", "&amp;E186)</f>
        <v/>
      </c>
      <c r="C186" s="9"/>
      <c r="D186" s="9"/>
      <c r="E186" s="9"/>
      <c r="F186" s="40"/>
      <c r="G186" s="40"/>
      <c r="H186" s="40"/>
      <c r="I186" s="40"/>
      <c r="J186" s="40"/>
      <c r="K186" s="40"/>
      <c r="L186" s="9"/>
      <c r="M186" s="9"/>
      <c r="N186" s="9"/>
      <c r="O186" s="40"/>
      <c r="P186" s="9"/>
      <c r="Q186" s="9"/>
      <c r="R186" s="9"/>
      <c r="S186" s="9"/>
      <c r="T186" s="9"/>
      <c r="U186" s="9"/>
      <c r="V186" s="9"/>
      <c r="W186" s="9"/>
      <c r="X186" s="9"/>
      <c r="Y186" s="9"/>
      <c r="Z186" s="10" t="str">
        <f aca="false">IF(A186="","",SG_Criteria!$B$6&amp;SG_Criteria!$B$7&amp;"\"&amp;A186&amp;"\")</f>
        <v/>
      </c>
      <c r="AA186" s="10" t="str">
        <f aca="false">IF(A186="","",A186&amp;"_CAD.dwg")</f>
        <v/>
      </c>
      <c r="AB186" s="10" t="str">
        <f aca="false">IF(A186="","",A186&amp;"_DWG.pdf")</f>
        <v/>
      </c>
      <c r="AC186" s="10" t="str">
        <f aca="false">IF(A186="","",IF(Y186="Y",A186&amp;"_STAAD.std","n/a"))</f>
        <v/>
      </c>
      <c r="AD186" s="10" t="str">
        <f aca="false">IF(A186="","",A186&amp;"_CALC.xlsx")</f>
        <v/>
      </c>
      <c r="AE186" s="10" t="str">
        <f aca="false">IF(A186="","",A186&amp;"_CALC.pdf")</f>
        <v/>
      </c>
      <c r="AF186" s="9"/>
      <c r="AG186" s="9"/>
      <c r="AH186" s="41"/>
      <c r="AI186" s="41"/>
      <c r="AJ186" s="41"/>
      <c r="AK186" s="41"/>
      <c r="AL186" s="41"/>
      <c r="AM186" s="37" t="str">
        <f aca="false">IF(OR(C186="",F186="",G186="",C186="Sump",C186="Drop Inlet Chamber",C186="Silt Trap",C186="Pipe Culvert",C186="Subsoil Drain"),"",ROUND(MAX(1,N(H186))*(1/SG_Criteria!$B$26)*((F186/1000)*(G186/1000*(1-SG_Criteria!$B$25)))*(((F186/1000)*(G186/1000*(1-SG_Criteria!$B$25)))/((F186/1000)+2*(G186/1000*(1-SG_Criteria!$B$25))))^(2/3)*(1/Design_Selector!$B$11)^0.5,3))</f>
        <v/>
      </c>
      <c r="AN186" s="11" t="str">
        <f aca="false">IF(AM186="","",ROUND(AM186/(MAX(1,N(H186))*F186/1000*(G186/1000*(1-SG_Criteria!$B$25))),2))</f>
        <v/>
      </c>
      <c r="AO186" s="38" t="str">
        <f aca="false">IF(C186="","",IF(LEN(IF(AND(OR(D186="Roadside drain",D186="Entrance culvert"),OR(F186&lt;SG_Criteria!$B$15,G186&lt;SG_Criteria!$B$16)),"FAIL: below PUB min "&amp;SG_Criteria!$B$15&amp;"x"&amp;SG_Criteria!$B$16&amp;" for roadside drain. ","")&amp;IF(AND(D186="Common drain",F186&lt;SG_Criteria!$B$17),"FAIL: common drain W &lt; "&amp;SG_Criteria!$B$17&amp;" mm. ","")&amp;IF(AND(N186&lt;&gt;"",IFERROR(VALUE(MID(N186,2,2)),0)&lt;SG_Criteria!$B$19),"FAIL: grade below C"&amp;SG_Criteria!$B$19&amp;". ","")&amp;IF(AND(O186&lt;&gt;"",O186&lt;SG_Criteria!$B$20),"FAIL: cover &lt; "&amp;SG_Criteria!$B$20&amp;" mm. ","")&amp;IF(AND(E186="Open",G186&gt;SG_Criteria!$B$18),"NOTE: safety railing required (D &gt; "&amp;SG_Criteria!$B$18&amp;" mm). ","")&amp;IF(AND(D186="Entrance culvert",G186&lt;600),"NOTE: check hinged grating rule for culverts &lt; 600 deep (PUB Add. 3). ",""))=0,"OK",IF(AND(OR(D186="Roadside drain",D186="Entrance culvert"),OR(F186&lt;SG_Criteria!$B$15,G186&lt;SG_Criteria!$B$16)),"FAIL: below PUB min "&amp;SG_Criteria!$B$15&amp;"x"&amp;SG_Criteria!$B$16&amp;" for roadside drain. ","")&amp;IF(AND(D186="Common drain",F186&lt;SG_Criteria!$B$17),"FAIL: common drain W &lt; "&amp;SG_Criteria!$B$17&amp;" mm. ","")&amp;IF(AND(N186&lt;&gt;"",IFERROR(VALUE(MID(N186,2,2)),0)&lt;SG_Criteria!$B$19),"FAIL: grade below C"&amp;SG_Criteria!$B$19&amp;". ","")&amp;IF(AND(O186&lt;&gt;"",O186&lt;SG_Criteria!$B$20),"FAIL: cover &lt; "&amp;SG_Criteria!$B$20&amp;" mm. ","")&amp;IF(AND(E186="Open",G186&gt;SG_Criteria!$B$18),"NOTE: safety railing required (D &gt; "&amp;SG_Criteria!$B$18&amp;" mm). ","")&amp;IF(AND(D186="Entrance culvert",G186&lt;600),"NOTE: check hinged grating rule for culverts &lt; 600 deep (PUB Add. 3). ","")))</f>
        <v/>
      </c>
      <c r="AP186" s="9"/>
      <c r="AQ186" s="9"/>
      <c r="AR186" s="9"/>
      <c r="AS186" s="9"/>
      <c r="AT186" s="9"/>
      <c r="AU186" s="31"/>
      <c r="AV186" s="10" t="str">
        <f aca="false">IF(C186="","",IF(AND(V186="Approved",ISERROR(SEARCH("FAIL",AO186))),"Y","N"))</f>
        <v/>
      </c>
      <c r="AW186" s="10" t="str">
        <f aca="false">IF(C186="","",C186&amp;"|"&amp;F186&amp;"|"&amp;G186&amp;"|"&amp;L186&amp;"|"&amp;AV186)</f>
        <v/>
      </c>
    </row>
    <row r="187" customFormat="false" ht="15" hidden="false" customHeight="false" outlineLevel="0" collapsed="false">
      <c r="A187" s="10" t="str">
        <f aca="false">IF(C187="","","DRN-"&amp;IFERROR(VLOOKUP(C187,Lists!$A$4:$B$27,2,0),"??")&amp;"-"&amp;TEXT(F187,"0000")&amp;"x"&amp;TEXT(G187,"0000")&amp;IF(N(H187)&gt;1,"-"&amp;H187&amp;"C","")&amp;"-"&amp;IFERROR(VLOOKUP(L187,Lists!$J$4:$K$19,2,0),"??")&amp;"-"&amp;U187)</f>
        <v/>
      </c>
      <c r="B187" s="10" t="str">
        <f aca="false">IF(C187="","",C187&amp;" "&amp;F187&amp;"W x "&amp;G187&amp;"D"&amp;IF(N(H187)&gt;1," ("&amp;H187&amp;" cells)","")&amp;", "&amp;D187&amp;", "&amp;L187&amp;", "&amp;E187)</f>
        <v/>
      </c>
      <c r="C187" s="9"/>
      <c r="D187" s="9"/>
      <c r="E187" s="9"/>
      <c r="F187" s="40"/>
      <c r="G187" s="40"/>
      <c r="H187" s="40"/>
      <c r="I187" s="40"/>
      <c r="J187" s="40"/>
      <c r="K187" s="40"/>
      <c r="L187" s="9"/>
      <c r="M187" s="9"/>
      <c r="N187" s="9"/>
      <c r="O187" s="40"/>
      <c r="P187" s="9"/>
      <c r="Q187" s="9"/>
      <c r="R187" s="9"/>
      <c r="S187" s="9"/>
      <c r="T187" s="9"/>
      <c r="U187" s="9"/>
      <c r="V187" s="9"/>
      <c r="W187" s="9"/>
      <c r="X187" s="9"/>
      <c r="Y187" s="9"/>
      <c r="Z187" s="10" t="str">
        <f aca="false">IF(A187="","",SG_Criteria!$B$6&amp;SG_Criteria!$B$7&amp;"\"&amp;A187&amp;"\")</f>
        <v/>
      </c>
      <c r="AA187" s="10" t="str">
        <f aca="false">IF(A187="","",A187&amp;"_CAD.dwg")</f>
        <v/>
      </c>
      <c r="AB187" s="10" t="str">
        <f aca="false">IF(A187="","",A187&amp;"_DWG.pdf")</f>
        <v/>
      </c>
      <c r="AC187" s="10" t="str">
        <f aca="false">IF(A187="","",IF(Y187="Y",A187&amp;"_STAAD.std","n/a"))</f>
        <v/>
      </c>
      <c r="AD187" s="10" t="str">
        <f aca="false">IF(A187="","",A187&amp;"_CALC.xlsx")</f>
        <v/>
      </c>
      <c r="AE187" s="10" t="str">
        <f aca="false">IF(A187="","",A187&amp;"_CALC.pdf")</f>
        <v/>
      </c>
      <c r="AF187" s="9"/>
      <c r="AG187" s="9"/>
      <c r="AH187" s="41"/>
      <c r="AI187" s="41"/>
      <c r="AJ187" s="41"/>
      <c r="AK187" s="41"/>
      <c r="AL187" s="41"/>
      <c r="AM187" s="37" t="str">
        <f aca="false">IF(OR(C187="",F187="",G187="",C187="Sump",C187="Drop Inlet Chamber",C187="Silt Trap",C187="Pipe Culvert",C187="Subsoil Drain"),"",ROUND(MAX(1,N(H187))*(1/SG_Criteria!$B$26)*((F187/1000)*(G187/1000*(1-SG_Criteria!$B$25)))*(((F187/1000)*(G187/1000*(1-SG_Criteria!$B$25)))/((F187/1000)+2*(G187/1000*(1-SG_Criteria!$B$25))))^(2/3)*(1/Design_Selector!$B$11)^0.5,3))</f>
        <v/>
      </c>
      <c r="AN187" s="11" t="str">
        <f aca="false">IF(AM187="","",ROUND(AM187/(MAX(1,N(H187))*F187/1000*(G187/1000*(1-SG_Criteria!$B$25))),2))</f>
        <v/>
      </c>
      <c r="AO187" s="38" t="str">
        <f aca="false">IF(C187="","",IF(LEN(IF(AND(OR(D187="Roadside drain",D187="Entrance culvert"),OR(F187&lt;SG_Criteria!$B$15,G187&lt;SG_Criteria!$B$16)),"FAIL: below PUB min "&amp;SG_Criteria!$B$15&amp;"x"&amp;SG_Criteria!$B$16&amp;" for roadside drain. ","")&amp;IF(AND(D187="Common drain",F187&lt;SG_Criteria!$B$17),"FAIL: common drain W &lt; "&amp;SG_Criteria!$B$17&amp;" mm. ","")&amp;IF(AND(N187&lt;&gt;"",IFERROR(VALUE(MID(N187,2,2)),0)&lt;SG_Criteria!$B$19),"FAIL: grade below C"&amp;SG_Criteria!$B$19&amp;". ","")&amp;IF(AND(O187&lt;&gt;"",O187&lt;SG_Criteria!$B$20),"FAIL: cover &lt; "&amp;SG_Criteria!$B$20&amp;" mm. ","")&amp;IF(AND(E187="Open",G187&gt;SG_Criteria!$B$18),"NOTE: safety railing required (D &gt; "&amp;SG_Criteria!$B$18&amp;" mm). ","")&amp;IF(AND(D187="Entrance culvert",G187&lt;600),"NOTE: check hinged grating rule for culverts &lt; 600 deep (PUB Add. 3). ",""))=0,"OK",IF(AND(OR(D187="Roadside drain",D187="Entrance culvert"),OR(F187&lt;SG_Criteria!$B$15,G187&lt;SG_Criteria!$B$16)),"FAIL: below PUB min "&amp;SG_Criteria!$B$15&amp;"x"&amp;SG_Criteria!$B$16&amp;" for roadside drain. ","")&amp;IF(AND(D187="Common drain",F187&lt;SG_Criteria!$B$17),"FAIL: common drain W &lt; "&amp;SG_Criteria!$B$17&amp;" mm. ","")&amp;IF(AND(N187&lt;&gt;"",IFERROR(VALUE(MID(N187,2,2)),0)&lt;SG_Criteria!$B$19),"FAIL: grade below C"&amp;SG_Criteria!$B$19&amp;". ","")&amp;IF(AND(O187&lt;&gt;"",O187&lt;SG_Criteria!$B$20),"FAIL: cover &lt; "&amp;SG_Criteria!$B$20&amp;" mm. ","")&amp;IF(AND(E187="Open",G187&gt;SG_Criteria!$B$18),"NOTE: safety railing required (D &gt; "&amp;SG_Criteria!$B$18&amp;" mm). ","")&amp;IF(AND(D187="Entrance culvert",G187&lt;600),"NOTE: check hinged grating rule for culverts &lt; 600 deep (PUB Add. 3). ","")))</f>
        <v/>
      </c>
      <c r="AP187" s="9"/>
      <c r="AQ187" s="9"/>
      <c r="AR187" s="9"/>
      <c r="AS187" s="9"/>
      <c r="AT187" s="9"/>
      <c r="AU187" s="31"/>
      <c r="AV187" s="10" t="str">
        <f aca="false">IF(C187="","",IF(AND(V187="Approved",ISERROR(SEARCH("FAIL",AO187))),"Y","N"))</f>
        <v/>
      </c>
      <c r="AW187" s="10" t="str">
        <f aca="false">IF(C187="","",C187&amp;"|"&amp;F187&amp;"|"&amp;G187&amp;"|"&amp;L187&amp;"|"&amp;AV187)</f>
        <v/>
      </c>
    </row>
    <row r="188" customFormat="false" ht="15" hidden="false" customHeight="false" outlineLevel="0" collapsed="false">
      <c r="A188" s="10" t="str">
        <f aca="false">IF(C188="","","DRN-"&amp;IFERROR(VLOOKUP(C188,Lists!$A$4:$B$27,2,0),"??")&amp;"-"&amp;TEXT(F188,"0000")&amp;"x"&amp;TEXT(G188,"0000")&amp;IF(N(H188)&gt;1,"-"&amp;H188&amp;"C","")&amp;"-"&amp;IFERROR(VLOOKUP(L188,Lists!$J$4:$K$19,2,0),"??")&amp;"-"&amp;U188)</f>
        <v/>
      </c>
      <c r="B188" s="10" t="str">
        <f aca="false">IF(C188="","",C188&amp;" "&amp;F188&amp;"W x "&amp;G188&amp;"D"&amp;IF(N(H188)&gt;1," ("&amp;H188&amp;" cells)","")&amp;", "&amp;D188&amp;", "&amp;L188&amp;", "&amp;E188)</f>
        <v/>
      </c>
      <c r="C188" s="9"/>
      <c r="D188" s="9"/>
      <c r="E188" s="9"/>
      <c r="F188" s="40"/>
      <c r="G188" s="40"/>
      <c r="H188" s="40"/>
      <c r="I188" s="40"/>
      <c r="J188" s="40"/>
      <c r="K188" s="40"/>
      <c r="L188" s="9"/>
      <c r="M188" s="9"/>
      <c r="N188" s="9"/>
      <c r="O188" s="40"/>
      <c r="P188" s="9"/>
      <c r="Q188" s="9"/>
      <c r="R188" s="9"/>
      <c r="S188" s="9"/>
      <c r="T188" s="9"/>
      <c r="U188" s="9"/>
      <c r="V188" s="9"/>
      <c r="W188" s="9"/>
      <c r="X188" s="9"/>
      <c r="Y188" s="9"/>
      <c r="Z188" s="10" t="str">
        <f aca="false">IF(A188="","",SG_Criteria!$B$6&amp;SG_Criteria!$B$7&amp;"\"&amp;A188&amp;"\")</f>
        <v/>
      </c>
      <c r="AA188" s="10" t="str">
        <f aca="false">IF(A188="","",A188&amp;"_CAD.dwg")</f>
        <v/>
      </c>
      <c r="AB188" s="10" t="str">
        <f aca="false">IF(A188="","",A188&amp;"_DWG.pdf")</f>
        <v/>
      </c>
      <c r="AC188" s="10" t="str">
        <f aca="false">IF(A188="","",IF(Y188="Y",A188&amp;"_STAAD.std","n/a"))</f>
        <v/>
      </c>
      <c r="AD188" s="10" t="str">
        <f aca="false">IF(A188="","",A188&amp;"_CALC.xlsx")</f>
        <v/>
      </c>
      <c r="AE188" s="10" t="str">
        <f aca="false">IF(A188="","",A188&amp;"_CALC.pdf")</f>
        <v/>
      </c>
      <c r="AF188" s="9"/>
      <c r="AG188" s="9"/>
      <c r="AH188" s="41"/>
      <c r="AI188" s="41"/>
      <c r="AJ188" s="41"/>
      <c r="AK188" s="41"/>
      <c r="AL188" s="41"/>
      <c r="AM188" s="37" t="str">
        <f aca="false">IF(OR(C188="",F188="",G188="",C188="Sump",C188="Drop Inlet Chamber",C188="Silt Trap",C188="Pipe Culvert",C188="Subsoil Drain"),"",ROUND(MAX(1,N(H188))*(1/SG_Criteria!$B$26)*((F188/1000)*(G188/1000*(1-SG_Criteria!$B$25)))*(((F188/1000)*(G188/1000*(1-SG_Criteria!$B$25)))/((F188/1000)+2*(G188/1000*(1-SG_Criteria!$B$25))))^(2/3)*(1/Design_Selector!$B$11)^0.5,3))</f>
        <v/>
      </c>
      <c r="AN188" s="11" t="str">
        <f aca="false">IF(AM188="","",ROUND(AM188/(MAX(1,N(H188))*F188/1000*(G188/1000*(1-SG_Criteria!$B$25))),2))</f>
        <v/>
      </c>
      <c r="AO188" s="38" t="str">
        <f aca="false">IF(C188="","",IF(LEN(IF(AND(OR(D188="Roadside drain",D188="Entrance culvert"),OR(F188&lt;SG_Criteria!$B$15,G188&lt;SG_Criteria!$B$16)),"FAIL: below PUB min "&amp;SG_Criteria!$B$15&amp;"x"&amp;SG_Criteria!$B$16&amp;" for roadside drain. ","")&amp;IF(AND(D188="Common drain",F188&lt;SG_Criteria!$B$17),"FAIL: common drain W &lt; "&amp;SG_Criteria!$B$17&amp;" mm. ","")&amp;IF(AND(N188&lt;&gt;"",IFERROR(VALUE(MID(N188,2,2)),0)&lt;SG_Criteria!$B$19),"FAIL: grade below C"&amp;SG_Criteria!$B$19&amp;". ","")&amp;IF(AND(O188&lt;&gt;"",O188&lt;SG_Criteria!$B$20),"FAIL: cover &lt; "&amp;SG_Criteria!$B$20&amp;" mm. ","")&amp;IF(AND(E188="Open",G188&gt;SG_Criteria!$B$18),"NOTE: safety railing required (D &gt; "&amp;SG_Criteria!$B$18&amp;" mm). ","")&amp;IF(AND(D188="Entrance culvert",G188&lt;600),"NOTE: check hinged grating rule for culverts &lt; 600 deep (PUB Add. 3). ",""))=0,"OK",IF(AND(OR(D188="Roadside drain",D188="Entrance culvert"),OR(F188&lt;SG_Criteria!$B$15,G188&lt;SG_Criteria!$B$16)),"FAIL: below PUB min "&amp;SG_Criteria!$B$15&amp;"x"&amp;SG_Criteria!$B$16&amp;" for roadside drain. ","")&amp;IF(AND(D188="Common drain",F188&lt;SG_Criteria!$B$17),"FAIL: common drain W &lt; "&amp;SG_Criteria!$B$17&amp;" mm. ","")&amp;IF(AND(N188&lt;&gt;"",IFERROR(VALUE(MID(N188,2,2)),0)&lt;SG_Criteria!$B$19),"FAIL: grade below C"&amp;SG_Criteria!$B$19&amp;". ","")&amp;IF(AND(O188&lt;&gt;"",O188&lt;SG_Criteria!$B$20),"FAIL: cover &lt; "&amp;SG_Criteria!$B$20&amp;" mm. ","")&amp;IF(AND(E188="Open",G188&gt;SG_Criteria!$B$18),"NOTE: safety railing required (D &gt; "&amp;SG_Criteria!$B$18&amp;" mm). ","")&amp;IF(AND(D188="Entrance culvert",G188&lt;600),"NOTE: check hinged grating rule for culverts &lt; 600 deep (PUB Add. 3). ","")))</f>
        <v/>
      </c>
      <c r="AP188" s="9"/>
      <c r="AQ188" s="9"/>
      <c r="AR188" s="9"/>
      <c r="AS188" s="9"/>
      <c r="AT188" s="9"/>
      <c r="AU188" s="31"/>
      <c r="AV188" s="10" t="str">
        <f aca="false">IF(C188="","",IF(AND(V188="Approved",ISERROR(SEARCH("FAIL",AO188))),"Y","N"))</f>
        <v/>
      </c>
      <c r="AW188" s="10" t="str">
        <f aca="false">IF(C188="","",C188&amp;"|"&amp;F188&amp;"|"&amp;G188&amp;"|"&amp;L188&amp;"|"&amp;AV188)</f>
        <v/>
      </c>
    </row>
    <row r="189" customFormat="false" ht="15" hidden="false" customHeight="false" outlineLevel="0" collapsed="false">
      <c r="A189" s="10" t="str">
        <f aca="false">IF(C189="","","DRN-"&amp;IFERROR(VLOOKUP(C189,Lists!$A$4:$B$27,2,0),"??")&amp;"-"&amp;TEXT(F189,"0000")&amp;"x"&amp;TEXT(G189,"0000")&amp;IF(N(H189)&gt;1,"-"&amp;H189&amp;"C","")&amp;"-"&amp;IFERROR(VLOOKUP(L189,Lists!$J$4:$K$19,2,0),"??")&amp;"-"&amp;U189)</f>
        <v/>
      </c>
      <c r="B189" s="10" t="str">
        <f aca="false">IF(C189="","",C189&amp;" "&amp;F189&amp;"W x "&amp;G189&amp;"D"&amp;IF(N(H189)&gt;1," ("&amp;H189&amp;" cells)","")&amp;", "&amp;D189&amp;", "&amp;L189&amp;", "&amp;E189)</f>
        <v/>
      </c>
      <c r="C189" s="9"/>
      <c r="D189" s="9"/>
      <c r="E189" s="9"/>
      <c r="F189" s="40"/>
      <c r="G189" s="40"/>
      <c r="H189" s="40"/>
      <c r="I189" s="40"/>
      <c r="J189" s="40"/>
      <c r="K189" s="40"/>
      <c r="L189" s="9"/>
      <c r="M189" s="9"/>
      <c r="N189" s="9"/>
      <c r="O189" s="40"/>
      <c r="P189" s="9"/>
      <c r="Q189" s="9"/>
      <c r="R189" s="9"/>
      <c r="S189" s="9"/>
      <c r="T189" s="9"/>
      <c r="U189" s="9"/>
      <c r="V189" s="9"/>
      <c r="W189" s="9"/>
      <c r="X189" s="9"/>
      <c r="Y189" s="9"/>
      <c r="Z189" s="10" t="str">
        <f aca="false">IF(A189="","",SG_Criteria!$B$6&amp;SG_Criteria!$B$7&amp;"\"&amp;A189&amp;"\")</f>
        <v/>
      </c>
      <c r="AA189" s="10" t="str">
        <f aca="false">IF(A189="","",A189&amp;"_CAD.dwg")</f>
        <v/>
      </c>
      <c r="AB189" s="10" t="str">
        <f aca="false">IF(A189="","",A189&amp;"_DWG.pdf")</f>
        <v/>
      </c>
      <c r="AC189" s="10" t="str">
        <f aca="false">IF(A189="","",IF(Y189="Y",A189&amp;"_STAAD.std","n/a"))</f>
        <v/>
      </c>
      <c r="AD189" s="10" t="str">
        <f aca="false">IF(A189="","",A189&amp;"_CALC.xlsx")</f>
        <v/>
      </c>
      <c r="AE189" s="10" t="str">
        <f aca="false">IF(A189="","",A189&amp;"_CALC.pdf")</f>
        <v/>
      </c>
      <c r="AF189" s="9"/>
      <c r="AG189" s="9"/>
      <c r="AH189" s="41"/>
      <c r="AI189" s="41"/>
      <c r="AJ189" s="41"/>
      <c r="AK189" s="41"/>
      <c r="AL189" s="41"/>
      <c r="AM189" s="37" t="str">
        <f aca="false">IF(OR(C189="",F189="",G189="",C189="Sump",C189="Drop Inlet Chamber",C189="Silt Trap",C189="Pipe Culvert",C189="Subsoil Drain"),"",ROUND(MAX(1,N(H189))*(1/SG_Criteria!$B$26)*((F189/1000)*(G189/1000*(1-SG_Criteria!$B$25)))*(((F189/1000)*(G189/1000*(1-SG_Criteria!$B$25)))/((F189/1000)+2*(G189/1000*(1-SG_Criteria!$B$25))))^(2/3)*(1/Design_Selector!$B$11)^0.5,3))</f>
        <v/>
      </c>
      <c r="AN189" s="11" t="str">
        <f aca="false">IF(AM189="","",ROUND(AM189/(MAX(1,N(H189))*F189/1000*(G189/1000*(1-SG_Criteria!$B$25))),2))</f>
        <v/>
      </c>
      <c r="AO189" s="38" t="str">
        <f aca="false">IF(C189="","",IF(LEN(IF(AND(OR(D189="Roadside drain",D189="Entrance culvert"),OR(F189&lt;SG_Criteria!$B$15,G189&lt;SG_Criteria!$B$16)),"FAIL: below PUB min "&amp;SG_Criteria!$B$15&amp;"x"&amp;SG_Criteria!$B$16&amp;" for roadside drain. ","")&amp;IF(AND(D189="Common drain",F189&lt;SG_Criteria!$B$17),"FAIL: common drain W &lt; "&amp;SG_Criteria!$B$17&amp;" mm. ","")&amp;IF(AND(N189&lt;&gt;"",IFERROR(VALUE(MID(N189,2,2)),0)&lt;SG_Criteria!$B$19),"FAIL: grade below C"&amp;SG_Criteria!$B$19&amp;". ","")&amp;IF(AND(O189&lt;&gt;"",O189&lt;SG_Criteria!$B$20),"FAIL: cover &lt; "&amp;SG_Criteria!$B$20&amp;" mm. ","")&amp;IF(AND(E189="Open",G189&gt;SG_Criteria!$B$18),"NOTE: safety railing required (D &gt; "&amp;SG_Criteria!$B$18&amp;" mm). ","")&amp;IF(AND(D189="Entrance culvert",G189&lt;600),"NOTE: check hinged grating rule for culverts &lt; 600 deep (PUB Add. 3). ",""))=0,"OK",IF(AND(OR(D189="Roadside drain",D189="Entrance culvert"),OR(F189&lt;SG_Criteria!$B$15,G189&lt;SG_Criteria!$B$16)),"FAIL: below PUB min "&amp;SG_Criteria!$B$15&amp;"x"&amp;SG_Criteria!$B$16&amp;" for roadside drain. ","")&amp;IF(AND(D189="Common drain",F189&lt;SG_Criteria!$B$17),"FAIL: common drain W &lt; "&amp;SG_Criteria!$B$17&amp;" mm. ","")&amp;IF(AND(N189&lt;&gt;"",IFERROR(VALUE(MID(N189,2,2)),0)&lt;SG_Criteria!$B$19),"FAIL: grade below C"&amp;SG_Criteria!$B$19&amp;". ","")&amp;IF(AND(O189&lt;&gt;"",O189&lt;SG_Criteria!$B$20),"FAIL: cover &lt; "&amp;SG_Criteria!$B$20&amp;" mm. ","")&amp;IF(AND(E189="Open",G189&gt;SG_Criteria!$B$18),"NOTE: safety railing required (D &gt; "&amp;SG_Criteria!$B$18&amp;" mm). ","")&amp;IF(AND(D189="Entrance culvert",G189&lt;600),"NOTE: check hinged grating rule for culverts &lt; 600 deep (PUB Add. 3). ","")))</f>
        <v/>
      </c>
      <c r="AP189" s="9"/>
      <c r="AQ189" s="9"/>
      <c r="AR189" s="9"/>
      <c r="AS189" s="9"/>
      <c r="AT189" s="9"/>
      <c r="AU189" s="31"/>
      <c r="AV189" s="10" t="str">
        <f aca="false">IF(C189="","",IF(AND(V189="Approved",ISERROR(SEARCH("FAIL",AO189))),"Y","N"))</f>
        <v/>
      </c>
      <c r="AW189" s="10" t="str">
        <f aca="false">IF(C189="","",C189&amp;"|"&amp;F189&amp;"|"&amp;G189&amp;"|"&amp;L189&amp;"|"&amp;AV189)</f>
        <v/>
      </c>
    </row>
    <row r="190" customFormat="false" ht="15" hidden="false" customHeight="false" outlineLevel="0" collapsed="false">
      <c r="A190" s="10" t="str">
        <f aca="false">IF(C190="","","DRN-"&amp;IFERROR(VLOOKUP(C190,Lists!$A$4:$B$27,2,0),"??")&amp;"-"&amp;TEXT(F190,"0000")&amp;"x"&amp;TEXT(G190,"0000")&amp;IF(N(H190)&gt;1,"-"&amp;H190&amp;"C","")&amp;"-"&amp;IFERROR(VLOOKUP(L190,Lists!$J$4:$K$19,2,0),"??")&amp;"-"&amp;U190)</f>
        <v/>
      </c>
      <c r="B190" s="10" t="str">
        <f aca="false">IF(C190="","",C190&amp;" "&amp;F190&amp;"W x "&amp;G190&amp;"D"&amp;IF(N(H190)&gt;1," ("&amp;H190&amp;" cells)","")&amp;", "&amp;D190&amp;", "&amp;L190&amp;", "&amp;E190)</f>
        <v/>
      </c>
      <c r="C190" s="9"/>
      <c r="D190" s="9"/>
      <c r="E190" s="9"/>
      <c r="F190" s="40"/>
      <c r="G190" s="40"/>
      <c r="H190" s="40"/>
      <c r="I190" s="40"/>
      <c r="J190" s="40"/>
      <c r="K190" s="40"/>
      <c r="L190" s="9"/>
      <c r="M190" s="9"/>
      <c r="N190" s="9"/>
      <c r="O190" s="40"/>
      <c r="P190" s="9"/>
      <c r="Q190" s="9"/>
      <c r="R190" s="9"/>
      <c r="S190" s="9"/>
      <c r="T190" s="9"/>
      <c r="U190" s="9"/>
      <c r="V190" s="9"/>
      <c r="W190" s="9"/>
      <c r="X190" s="9"/>
      <c r="Y190" s="9"/>
      <c r="Z190" s="10" t="str">
        <f aca="false">IF(A190="","",SG_Criteria!$B$6&amp;SG_Criteria!$B$7&amp;"\"&amp;A190&amp;"\")</f>
        <v/>
      </c>
      <c r="AA190" s="10" t="str">
        <f aca="false">IF(A190="","",A190&amp;"_CAD.dwg")</f>
        <v/>
      </c>
      <c r="AB190" s="10" t="str">
        <f aca="false">IF(A190="","",A190&amp;"_DWG.pdf")</f>
        <v/>
      </c>
      <c r="AC190" s="10" t="str">
        <f aca="false">IF(A190="","",IF(Y190="Y",A190&amp;"_STAAD.std","n/a"))</f>
        <v/>
      </c>
      <c r="AD190" s="10" t="str">
        <f aca="false">IF(A190="","",A190&amp;"_CALC.xlsx")</f>
        <v/>
      </c>
      <c r="AE190" s="10" t="str">
        <f aca="false">IF(A190="","",A190&amp;"_CALC.pdf")</f>
        <v/>
      </c>
      <c r="AF190" s="9"/>
      <c r="AG190" s="9"/>
      <c r="AH190" s="41"/>
      <c r="AI190" s="41"/>
      <c r="AJ190" s="41"/>
      <c r="AK190" s="41"/>
      <c r="AL190" s="41"/>
      <c r="AM190" s="37" t="str">
        <f aca="false">IF(OR(C190="",F190="",G190="",C190="Sump",C190="Drop Inlet Chamber",C190="Silt Trap",C190="Pipe Culvert",C190="Subsoil Drain"),"",ROUND(MAX(1,N(H190))*(1/SG_Criteria!$B$26)*((F190/1000)*(G190/1000*(1-SG_Criteria!$B$25)))*(((F190/1000)*(G190/1000*(1-SG_Criteria!$B$25)))/((F190/1000)+2*(G190/1000*(1-SG_Criteria!$B$25))))^(2/3)*(1/Design_Selector!$B$11)^0.5,3))</f>
        <v/>
      </c>
      <c r="AN190" s="11" t="str">
        <f aca="false">IF(AM190="","",ROUND(AM190/(MAX(1,N(H190))*F190/1000*(G190/1000*(1-SG_Criteria!$B$25))),2))</f>
        <v/>
      </c>
      <c r="AO190" s="38" t="str">
        <f aca="false">IF(C190="","",IF(LEN(IF(AND(OR(D190="Roadside drain",D190="Entrance culvert"),OR(F190&lt;SG_Criteria!$B$15,G190&lt;SG_Criteria!$B$16)),"FAIL: below PUB min "&amp;SG_Criteria!$B$15&amp;"x"&amp;SG_Criteria!$B$16&amp;" for roadside drain. ","")&amp;IF(AND(D190="Common drain",F190&lt;SG_Criteria!$B$17),"FAIL: common drain W &lt; "&amp;SG_Criteria!$B$17&amp;" mm. ","")&amp;IF(AND(N190&lt;&gt;"",IFERROR(VALUE(MID(N190,2,2)),0)&lt;SG_Criteria!$B$19),"FAIL: grade below C"&amp;SG_Criteria!$B$19&amp;". ","")&amp;IF(AND(O190&lt;&gt;"",O190&lt;SG_Criteria!$B$20),"FAIL: cover &lt; "&amp;SG_Criteria!$B$20&amp;" mm. ","")&amp;IF(AND(E190="Open",G190&gt;SG_Criteria!$B$18),"NOTE: safety railing required (D &gt; "&amp;SG_Criteria!$B$18&amp;" mm). ","")&amp;IF(AND(D190="Entrance culvert",G190&lt;600),"NOTE: check hinged grating rule for culverts &lt; 600 deep (PUB Add. 3). ",""))=0,"OK",IF(AND(OR(D190="Roadside drain",D190="Entrance culvert"),OR(F190&lt;SG_Criteria!$B$15,G190&lt;SG_Criteria!$B$16)),"FAIL: below PUB min "&amp;SG_Criteria!$B$15&amp;"x"&amp;SG_Criteria!$B$16&amp;" for roadside drain. ","")&amp;IF(AND(D190="Common drain",F190&lt;SG_Criteria!$B$17),"FAIL: common drain W &lt; "&amp;SG_Criteria!$B$17&amp;" mm. ","")&amp;IF(AND(N190&lt;&gt;"",IFERROR(VALUE(MID(N190,2,2)),0)&lt;SG_Criteria!$B$19),"FAIL: grade below C"&amp;SG_Criteria!$B$19&amp;". ","")&amp;IF(AND(O190&lt;&gt;"",O190&lt;SG_Criteria!$B$20),"FAIL: cover &lt; "&amp;SG_Criteria!$B$20&amp;" mm. ","")&amp;IF(AND(E190="Open",G190&gt;SG_Criteria!$B$18),"NOTE: safety railing required (D &gt; "&amp;SG_Criteria!$B$18&amp;" mm). ","")&amp;IF(AND(D190="Entrance culvert",G190&lt;600),"NOTE: check hinged grating rule for culverts &lt; 600 deep (PUB Add. 3). ","")))</f>
        <v/>
      </c>
      <c r="AP190" s="9"/>
      <c r="AQ190" s="9"/>
      <c r="AR190" s="9"/>
      <c r="AS190" s="9"/>
      <c r="AT190" s="9"/>
      <c r="AU190" s="31"/>
      <c r="AV190" s="10" t="str">
        <f aca="false">IF(C190="","",IF(AND(V190="Approved",ISERROR(SEARCH("FAIL",AO190))),"Y","N"))</f>
        <v/>
      </c>
      <c r="AW190" s="10" t="str">
        <f aca="false">IF(C190="","",C190&amp;"|"&amp;F190&amp;"|"&amp;G190&amp;"|"&amp;L190&amp;"|"&amp;AV190)</f>
        <v/>
      </c>
    </row>
    <row r="191" customFormat="false" ht="15" hidden="false" customHeight="false" outlineLevel="0" collapsed="false">
      <c r="A191" s="10" t="str">
        <f aca="false">IF(C191="","","DRN-"&amp;IFERROR(VLOOKUP(C191,Lists!$A$4:$B$27,2,0),"??")&amp;"-"&amp;TEXT(F191,"0000")&amp;"x"&amp;TEXT(G191,"0000")&amp;IF(N(H191)&gt;1,"-"&amp;H191&amp;"C","")&amp;"-"&amp;IFERROR(VLOOKUP(L191,Lists!$J$4:$K$19,2,0),"??")&amp;"-"&amp;U191)</f>
        <v/>
      </c>
      <c r="B191" s="10" t="str">
        <f aca="false">IF(C191="","",C191&amp;" "&amp;F191&amp;"W x "&amp;G191&amp;"D"&amp;IF(N(H191)&gt;1," ("&amp;H191&amp;" cells)","")&amp;", "&amp;D191&amp;", "&amp;L191&amp;", "&amp;E191)</f>
        <v/>
      </c>
      <c r="C191" s="9"/>
      <c r="D191" s="9"/>
      <c r="E191" s="9"/>
      <c r="F191" s="40"/>
      <c r="G191" s="40"/>
      <c r="H191" s="40"/>
      <c r="I191" s="40"/>
      <c r="J191" s="40"/>
      <c r="K191" s="40"/>
      <c r="L191" s="9"/>
      <c r="M191" s="9"/>
      <c r="N191" s="9"/>
      <c r="O191" s="40"/>
      <c r="P191" s="9"/>
      <c r="Q191" s="9"/>
      <c r="R191" s="9"/>
      <c r="S191" s="9"/>
      <c r="T191" s="9"/>
      <c r="U191" s="9"/>
      <c r="V191" s="9"/>
      <c r="W191" s="9"/>
      <c r="X191" s="9"/>
      <c r="Y191" s="9"/>
      <c r="Z191" s="10" t="str">
        <f aca="false">IF(A191="","",SG_Criteria!$B$6&amp;SG_Criteria!$B$7&amp;"\"&amp;A191&amp;"\")</f>
        <v/>
      </c>
      <c r="AA191" s="10" t="str">
        <f aca="false">IF(A191="","",A191&amp;"_CAD.dwg")</f>
        <v/>
      </c>
      <c r="AB191" s="10" t="str">
        <f aca="false">IF(A191="","",A191&amp;"_DWG.pdf")</f>
        <v/>
      </c>
      <c r="AC191" s="10" t="str">
        <f aca="false">IF(A191="","",IF(Y191="Y",A191&amp;"_STAAD.std","n/a"))</f>
        <v/>
      </c>
      <c r="AD191" s="10" t="str">
        <f aca="false">IF(A191="","",A191&amp;"_CALC.xlsx")</f>
        <v/>
      </c>
      <c r="AE191" s="10" t="str">
        <f aca="false">IF(A191="","",A191&amp;"_CALC.pdf")</f>
        <v/>
      </c>
      <c r="AF191" s="9"/>
      <c r="AG191" s="9"/>
      <c r="AH191" s="41"/>
      <c r="AI191" s="41"/>
      <c r="AJ191" s="41"/>
      <c r="AK191" s="41"/>
      <c r="AL191" s="41"/>
      <c r="AM191" s="37" t="str">
        <f aca="false">IF(OR(C191="",F191="",G191="",C191="Sump",C191="Drop Inlet Chamber",C191="Silt Trap",C191="Pipe Culvert",C191="Subsoil Drain"),"",ROUND(MAX(1,N(H191))*(1/SG_Criteria!$B$26)*((F191/1000)*(G191/1000*(1-SG_Criteria!$B$25)))*(((F191/1000)*(G191/1000*(1-SG_Criteria!$B$25)))/((F191/1000)+2*(G191/1000*(1-SG_Criteria!$B$25))))^(2/3)*(1/Design_Selector!$B$11)^0.5,3))</f>
        <v/>
      </c>
      <c r="AN191" s="11" t="str">
        <f aca="false">IF(AM191="","",ROUND(AM191/(MAX(1,N(H191))*F191/1000*(G191/1000*(1-SG_Criteria!$B$25))),2))</f>
        <v/>
      </c>
      <c r="AO191" s="38" t="str">
        <f aca="false">IF(C191="","",IF(LEN(IF(AND(OR(D191="Roadside drain",D191="Entrance culvert"),OR(F191&lt;SG_Criteria!$B$15,G191&lt;SG_Criteria!$B$16)),"FAIL: below PUB min "&amp;SG_Criteria!$B$15&amp;"x"&amp;SG_Criteria!$B$16&amp;" for roadside drain. ","")&amp;IF(AND(D191="Common drain",F191&lt;SG_Criteria!$B$17),"FAIL: common drain W &lt; "&amp;SG_Criteria!$B$17&amp;" mm. ","")&amp;IF(AND(N191&lt;&gt;"",IFERROR(VALUE(MID(N191,2,2)),0)&lt;SG_Criteria!$B$19),"FAIL: grade below C"&amp;SG_Criteria!$B$19&amp;". ","")&amp;IF(AND(O191&lt;&gt;"",O191&lt;SG_Criteria!$B$20),"FAIL: cover &lt; "&amp;SG_Criteria!$B$20&amp;" mm. ","")&amp;IF(AND(E191="Open",G191&gt;SG_Criteria!$B$18),"NOTE: safety railing required (D &gt; "&amp;SG_Criteria!$B$18&amp;" mm). ","")&amp;IF(AND(D191="Entrance culvert",G191&lt;600),"NOTE: check hinged grating rule for culverts &lt; 600 deep (PUB Add. 3). ",""))=0,"OK",IF(AND(OR(D191="Roadside drain",D191="Entrance culvert"),OR(F191&lt;SG_Criteria!$B$15,G191&lt;SG_Criteria!$B$16)),"FAIL: below PUB min "&amp;SG_Criteria!$B$15&amp;"x"&amp;SG_Criteria!$B$16&amp;" for roadside drain. ","")&amp;IF(AND(D191="Common drain",F191&lt;SG_Criteria!$B$17),"FAIL: common drain W &lt; "&amp;SG_Criteria!$B$17&amp;" mm. ","")&amp;IF(AND(N191&lt;&gt;"",IFERROR(VALUE(MID(N191,2,2)),0)&lt;SG_Criteria!$B$19),"FAIL: grade below C"&amp;SG_Criteria!$B$19&amp;". ","")&amp;IF(AND(O191&lt;&gt;"",O191&lt;SG_Criteria!$B$20),"FAIL: cover &lt; "&amp;SG_Criteria!$B$20&amp;" mm. ","")&amp;IF(AND(E191="Open",G191&gt;SG_Criteria!$B$18),"NOTE: safety railing required (D &gt; "&amp;SG_Criteria!$B$18&amp;" mm). ","")&amp;IF(AND(D191="Entrance culvert",G191&lt;600),"NOTE: check hinged grating rule for culverts &lt; 600 deep (PUB Add. 3). ","")))</f>
        <v/>
      </c>
      <c r="AP191" s="9"/>
      <c r="AQ191" s="9"/>
      <c r="AR191" s="9"/>
      <c r="AS191" s="9"/>
      <c r="AT191" s="9"/>
      <c r="AU191" s="31"/>
      <c r="AV191" s="10" t="str">
        <f aca="false">IF(C191="","",IF(AND(V191="Approved",ISERROR(SEARCH("FAIL",AO191))),"Y","N"))</f>
        <v/>
      </c>
      <c r="AW191" s="10" t="str">
        <f aca="false">IF(C191="","",C191&amp;"|"&amp;F191&amp;"|"&amp;G191&amp;"|"&amp;L191&amp;"|"&amp;AV191)</f>
        <v/>
      </c>
    </row>
    <row r="192" customFormat="false" ht="15" hidden="false" customHeight="false" outlineLevel="0" collapsed="false">
      <c r="A192" s="10" t="str">
        <f aca="false">IF(C192="","","DRN-"&amp;IFERROR(VLOOKUP(C192,Lists!$A$4:$B$27,2,0),"??")&amp;"-"&amp;TEXT(F192,"0000")&amp;"x"&amp;TEXT(G192,"0000")&amp;IF(N(H192)&gt;1,"-"&amp;H192&amp;"C","")&amp;"-"&amp;IFERROR(VLOOKUP(L192,Lists!$J$4:$K$19,2,0),"??")&amp;"-"&amp;U192)</f>
        <v/>
      </c>
      <c r="B192" s="10" t="str">
        <f aca="false">IF(C192="","",C192&amp;" "&amp;F192&amp;"W x "&amp;G192&amp;"D"&amp;IF(N(H192)&gt;1," ("&amp;H192&amp;" cells)","")&amp;", "&amp;D192&amp;", "&amp;L192&amp;", "&amp;E192)</f>
        <v/>
      </c>
      <c r="C192" s="9"/>
      <c r="D192" s="9"/>
      <c r="E192" s="9"/>
      <c r="F192" s="40"/>
      <c r="G192" s="40"/>
      <c r="H192" s="40"/>
      <c r="I192" s="40"/>
      <c r="J192" s="40"/>
      <c r="K192" s="40"/>
      <c r="L192" s="9"/>
      <c r="M192" s="9"/>
      <c r="N192" s="9"/>
      <c r="O192" s="40"/>
      <c r="P192" s="9"/>
      <c r="Q192" s="9"/>
      <c r="R192" s="9"/>
      <c r="S192" s="9"/>
      <c r="T192" s="9"/>
      <c r="U192" s="9"/>
      <c r="V192" s="9"/>
      <c r="W192" s="9"/>
      <c r="X192" s="9"/>
      <c r="Y192" s="9"/>
      <c r="Z192" s="10" t="str">
        <f aca="false">IF(A192="","",SG_Criteria!$B$6&amp;SG_Criteria!$B$7&amp;"\"&amp;A192&amp;"\")</f>
        <v/>
      </c>
      <c r="AA192" s="10" t="str">
        <f aca="false">IF(A192="","",A192&amp;"_CAD.dwg")</f>
        <v/>
      </c>
      <c r="AB192" s="10" t="str">
        <f aca="false">IF(A192="","",A192&amp;"_DWG.pdf")</f>
        <v/>
      </c>
      <c r="AC192" s="10" t="str">
        <f aca="false">IF(A192="","",IF(Y192="Y",A192&amp;"_STAAD.std","n/a"))</f>
        <v/>
      </c>
      <c r="AD192" s="10" t="str">
        <f aca="false">IF(A192="","",A192&amp;"_CALC.xlsx")</f>
        <v/>
      </c>
      <c r="AE192" s="10" t="str">
        <f aca="false">IF(A192="","",A192&amp;"_CALC.pdf")</f>
        <v/>
      </c>
      <c r="AF192" s="9"/>
      <c r="AG192" s="9"/>
      <c r="AH192" s="41"/>
      <c r="AI192" s="41"/>
      <c r="AJ192" s="41"/>
      <c r="AK192" s="41"/>
      <c r="AL192" s="41"/>
      <c r="AM192" s="37" t="str">
        <f aca="false">IF(OR(C192="",F192="",G192="",C192="Sump",C192="Drop Inlet Chamber",C192="Silt Trap",C192="Pipe Culvert",C192="Subsoil Drain"),"",ROUND(MAX(1,N(H192))*(1/SG_Criteria!$B$26)*((F192/1000)*(G192/1000*(1-SG_Criteria!$B$25)))*(((F192/1000)*(G192/1000*(1-SG_Criteria!$B$25)))/((F192/1000)+2*(G192/1000*(1-SG_Criteria!$B$25))))^(2/3)*(1/Design_Selector!$B$11)^0.5,3))</f>
        <v/>
      </c>
      <c r="AN192" s="11" t="str">
        <f aca="false">IF(AM192="","",ROUND(AM192/(MAX(1,N(H192))*F192/1000*(G192/1000*(1-SG_Criteria!$B$25))),2))</f>
        <v/>
      </c>
      <c r="AO192" s="38" t="str">
        <f aca="false">IF(C192="","",IF(LEN(IF(AND(OR(D192="Roadside drain",D192="Entrance culvert"),OR(F192&lt;SG_Criteria!$B$15,G192&lt;SG_Criteria!$B$16)),"FAIL: below PUB min "&amp;SG_Criteria!$B$15&amp;"x"&amp;SG_Criteria!$B$16&amp;" for roadside drain. ","")&amp;IF(AND(D192="Common drain",F192&lt;SG_Criteria!$B$17),"FAIL: common drain W &lt; "&amp;SG_Criteria!$B$17&amp;" mm. ","")&amp;IF(AND(N192&lt;&gt;"",IFERROR(VALUE(MID(N192,2,2)),0)&lt;SG_Criteria!$B$19),"FAIL: grade below C"&amp;SG_Criteria!$B$19&amp;". ","")&amp;IF(AND(O192&lt;&gt;"",O192&lt;SG_Criteria!$B$20),"FAIL: cover &lt; "&amp;SG_Criteria!$B$20&amp;" mm. ","")&amp;IF(AND(E192="Open",G192&gt;SG_Criteria!$B$18),"NOTE: safety railing required (D &gt; "&amp;SG_Criteria!$B$18&amp;" mm). ","")&amp;IF(AND(D192="Entrance culvert",G192&lt;600),"NOTE: check hinged grating rule for culverts &lt; 600 deep (PUB Add. 3). ",""))=0,"OK",IF(AND(OR(D192="Roadside drain",D192="Entrance culvert"),OR(F192&lt;SG_Criteria!$B$15,G192&lt;SG_Criteria!$B$16)),"FAIL: below PUB min "&amp;SG_Criteria!$B$15&amp;"x"&amp;SG_Criteria!$B$16&amp;" for roadside drain. ","")&amp;IF(AND(D192="Common drain",F192&lt;SG_Criteria!$B$17),"FAIL: common drain W &lt; "&amp;SG_Criteria!$B$17&amp;" mm. ","")&amp;IF(AND(N192&lt;&gt;"",IFERROR(VALUE(MID(N192,2,2)),0)&lt;SG_Criteria!$B$19),"FAIL: grade below C"&amp;SG_Criteria!$B$19&amp;". ","")&amp;IF(AND(O192&lt;&gt;"",O192&lt;SG_Criteria!$B$20),"FAIL: cover &lt; "&amp;SG_Criteria!$B$20&amp;" mm. ","")&amp;IF(AND(E192="Open",G192&gt;SG_Criteria!$B$18),"NOTE: safety railing required (D &gt; "&amp;SG_Criteria!$B$18&amp;" mm). ","")&amp;IF(AND(D192="Entrance culvert",G192&lt;600),"NOTE: check hinged grating rule for culverts &lt; 600 deep (PUB Add. 3). ","")))</f>
        <v/>
      </c>
      <c r="AP192" s="9"/>
      <c r="AQ192" s="9"/>
      <c r="AR192" s="9"/>
      <c r="AS192" s="9"/>
      <c r="AT192" s="9"/>
      <c r="AU192" s="31"/>
      <c r="AV192" s="10" t="str">
        <f aca="false">IF(C192="","",IF(AND(V192="Approved",ISERROR(SEARCH("FAIL",AO192))),"Y","N"))</f>
        <v/>
      </c>
      <c r="AW192" s="10" t="str">
        <f aca="false">IF(C192="","",C192&amp;"|"&amp;F192&amp;"|"&amp;G192&amp;"|"&amp;L192&amp;"|"&amp;AV192)</f>
        <v/>
      </c>
    </row>
    <row r="193" customFormat="false" ht="15" hidden="false" customHeight="false" outlineLevel="0" collapsed="false">
      <c r="A193" s="10" t="str">
        <f aca="false">IF(C193="","","DRN-"&amp;IFERROR(VLOOKUP(C193,Lists!$A$4:$B$27,2,0),"??")&amp;"-"&amp;TEXT(F193,"0000")&amp;"x"&amp;TEXT(G193,"0000")&amp;IF(N(H193)&gt;1,"-"&amp;H193&amp;"C","")&amp;"-"&amp;IFERROR(VLOOKUP(L193,Lists!$J$4:$K$19,2,0),"??")&amp;"-"&amp;U193)</f>
        <v/>
      </c>
      <c r="B193" s="10" t="str">
        <f aca="false">IF(C193="","",C193&amp;" "&amp;F193&amp;"W x "&amp;G193&amp;"D"&amp;IF(N(H193)&gt;1," ("&amp;H193&amp;" cells)","")&amp;", "&amp;D193&amp;", "&amp;L193&amp;", "&amp;E193)</f>
        <v/>
      </c>
      <c r="C193" s="9"/>
      <c r="D193" s="9"/>
      <c r="E193" s="9"/>
      <c r="F193" s="40"/>
      <c r="G193" s="40"/>
      <c r="H193" s="40"/>
      <c r="I193" s="40"/>
      <c r="J193" s="40"/>
      <c r="K193" s="40"/>
      <c r="L193" s="9"/>
      <c r="M193" s="9"/>
      <c r="N193" s="9"/>
      <c r="O193" s="40"/>
      <c r="P193" s="9"/>
      <c r="Q193" s="9"/>
      <c r="R193" s="9"/>
      <c r="S193" s="9"/>
      <c r="T193" s="9"/>
      <c r="U193" s="9"/>
      <c r="V193" s="9"/>
      <c r="W193" s="9"/>
      <c r="X193" s="9"/>
      <c r="Y193" s="9"/>
      <c r="Z193" s="10" t="str">
        <f aca="false">IF(A193="","",SG_Criteria!$B$6&amp;SG_Criteria!$B$7&amp;"\"&amp;A193&amp;"\")</f>
        <v/>
      </c>
      <c r="AA193" s="10" t="str">
        <f aca="false">IF(A193="","",A193&amp;"_CAD.dwg")</f>
        <v/>
      </c>
      <c r="AB193" s="10" t="str">
        <f aca="false">IF(A193="","",A193&amp;"_DWG.pdf")</f>
        <v/>
      </c>
      <c r="AC193" s="10" t="str">
        <f aca="false">IF(A193="","",IF(Y193="Y",A193&amp;"_STAAD.std","n/a"))</f>
        <v/>
      </c>
      <c r="AD193" s="10" t="str">
        <f aca="false">IF(A193="","",A193&amp;"_CALC.xlsx")</f>
        <v/>
      </c>
      <c r="AE193" s="10" t="str">
        <f aca="false">IF(A193="","",A193&amp;"_CALC.pdf")</f>
        <v/>
      </c>
      <c r="AF193" s="9"/>
      <c r="AG193" s="9"/>
      <c r="AH193" s="41"/>
      <c r="AI193" s="41"/>
      <c r="AJ193" s="41"/>
      <c r="AK193" s="41"/>
      <c r="AL193" s="41"/>
      <c r="AM193" s="37" t="str">
        <f aca="false">IF(OR(C193="",F193="",G193="",C193="Sump",C193="Drop Inlet Chamber",C193="Silt Trap",C193="Pipe Culvert",C193="Subsoil Drain"),"",ROUND(MAX(1,N(H193))*(1/SG_Criteria!$B$26)*((F193/1000)*(G193/1000*(1-SG_Criteria!$B$25)))*(((F193/1000)*(G193/1000*(1-SG_Criteria!$B$25)))/((F193/1000)+2*(G193/1000*(1-SG_Criteria!$B$25))))^(2/3)*(1/Design_Selector!$B$11)^0.5,3))</f>
        <v/>
      </c>
      <c r="AN193" s="11" t="str">
        <f aca="false">IF(AM193="","",ROUND(AM193/(MAX(1,N(H193))*F193/1000*(G193/1000*(1-SG_Criteria!$B$25))),2))</f>
        <v/>
      </c>
      <c r="AO193" s="38" t="str">
        <f aca="false">IF(C193="","",IF(LEN(IF(AND(OR(D193="Roadside drain",D193="Entrance culvert"),OR(F193&lt;SG_Criteria!$B$15,G193&lt;SG_Criteria!$B$16)),"FAIL: below PUB min "&amp;SG_Criteria!$B$15&amp;"x"&amp;SG_Criteria!$B$16&amp;" for roadside drain. ","")&amp;IF(AND(D193="Common drain",F193&lt;SG_Criteria!$B$17),"FAIL: common drain W &lt; "&amp;SG_Criteria!$B$17&amp;" mm. ","")&amp;IF(AND(N193&lt;&gt;"",IFERROR(VALUE(MID(N193,2,2)),0)&lt;SG_Criteria!$B$19),"FAIL: grade below C"&amp;SG_Criteria!$B$19&amp;". ","")&amp;IF(AND(O193&lt;&gt;"",O193&lt;SG_Criteria!$B$20),"FAIL: cover &lt; "&amp;SG_Criteria!$B$20&amp;" mm. ","")&amp;IF(AND(E193="Open",G193&gt;SG_Criteria!$B$18),"NOTE: safety railing required (D &gt; "&amp;SG_Criteria!$B$18&amp;" mm). ","")&amp;IF(AND(D193="Entrance culvert",G193&lt;600),"NOTE: check hinged grating rule for culverts &lt; 600 deep (PUB Add. 3). ",""))=0,"OK",IF(AND(OR(D193="Roadside drain",D193="Entrance culvert"),OR(F193&lt;SG_Criteria!$B$15,G193&lt;SG_Criteria!$B$16)),"FAIL: below PUB min "&amp;SG_Criteria!$B$15&amp;"x"&amp;SG_Criteria!$B$16&amp;" for roadside drain. ","")&amp;IF(AND(D193="Common drain",F193&lt;SG_Criteria!$B$17),"FAIL: common drain W &lt; "&amp;SG_Criteria!$B$17&amp;" mm. ","")&amp;IF(AND(N193&lt;&gt;"",IFERROR(VALUE(MID(N193,2,2)),0)&lt;SG_Criteria!$B$19),"FAIL: grade below C"&amp;SG_Criteria!$B$19&amp;". ","")&amp;IF(AND(O193&lt;&gt;"",O193&lt;SG_Criteria!$B$20),"FAIL: cover &lt; "&amp;SG_Criteria!$B$20&amp;" mm. ","")&amp;IF(AND(E193="Open",G193&gt;SG_Criteria!$B$18),"NOTE: safety railing required (D &gt; "&amp;SG_Criteria!$B$18&amp;" mm). ","")&amp;IF(AND(D193="Entrance culvert",G193&lt;600),"NOTE: check hinged grating rule for culverts &lt; 600 deep (PUB Add. 3). ","")))</f>
        <v/>
      </c>
      <c r="AP193" s="9"/>
      <c r="AQ193" s="9"/>
      <c r="AR193" s="9"/>
      <c r="AS193" s="9"/>
      <c r="AT193" s="9"/>
      <c r="AU193" s="31"/>
      <c r="AV193" s="10" t="str">
        <f aca="false">IF(C193="","",IF(AND(V193="Approved",ISERROR(SEARCH("FAIL",AO193))),"Y","N"))</f>
        <v/>
      </c>
      <c r="AW193" s="10" t="str">
        <f aca="false">IF(C193="","",C193&amp;"|"&amp;F193&amp;"|"&amp;G193&amp;"|"&amp;L193&amp;"|"&amp;AV193)</f>
        <v/>
      </c>
    </row>
    <row r="194" customFormat="false" ht="15" hidden="false" customHeight="false" outlineLevel="0" collapsed="false">
      <c r="A194" s="10" t="str">
        <f aca="false">IF(C194="","","DRN-"&amp;IFERROR(VLOOKUP(C194,Lists!$A$4:$B$27,2,0),"??")&amp;"-"&amp;TEXT(F194,"0000")&amp;"x"&amp;TEXT(G194,"0000")&amp;IF(N(H194)&gt;1,"-"&amp;H194&amp;"C","")&amp;"-"&amp;IFERROR(VLOOKUP(L194,Lists!$J$4:$K$19,2,0),"??")&amp;"-"&amp;U194)</f>
        <v/>
      </c>
      <c r="B194" s="10" t="str">
        <f aca="false">IF(C194="","",C194&amp;" "&amp;F194&amp;"W x "&amp;G194&amp;"D"&amp;IF(N(H194)&gt;1," ("&amp;H194&amp;" cells)","")&amp;", "&amp;D194&amp;", "&amp;L194&amp;", "&amp;E194)</f>
        <v/>
      </c>
      <c r="C194" s="9"/>
      <c r="D194" s="9"/>
      <c r="E194" s="9"/>
      <c r="F194" s="40"/>
      <c r="G194" s="40"/>
      <c r="H194" s="40"/>
      <c r="I194" s="40"/>
      <c r="J194" s="40"/>
      <c r="K194" s="40"/>
      <c r="L194" s="9"/>
      <c r="M194" s="9"/>
      <c r="N194" s="9"/>
      <c r="O194" s="40"/>
      <c r="P194" s="9"/>
      <c r="Q194" s="9"/>
      <c r="R194" s="9"/>
      <c r="S194" s="9"/>
      <c r="T194" s="9"/>
      <c r="U194" s="9"/>
      <c r="V194" s="9"/>
      <c r="W194" s="9"/>
      <c r="X194" s="9"/>
      <c r="Y194" s="9"/>
      <c r="Z194" s="10" t="str">
        <f aca="false">IF(A194="","",SG_Criteria!$B$6&amp;SG_Criteria!$B$7&amp;"\"&amp;A194&amp;"\")</f>
        <v/>
      </c>
      <c r="AA194" s="10" t="str">
        <f aca="false">IF(A194="","",A194&amp;"_CAD.dwg")</f>
        <v/>
      </c>
      <c r="AB194" s="10" t="str">
        <f aca="false">IF(A194="","",A194&amp;"_DWG.pdf")</f>
        <v/>
      </c>
      <c r="AC194" s="10" t="str">
        <f aca="false">IF(A194="","",IF(Y194="Y",A194&amp;"_STAAD.std","n/a"))</f>
        <v/>
      </c>
      <c r="AD194" s="10" t="str">
        <f aca="false">IF(A194="","",A194&amp;"_CALC.xlsx")</f>
        <v/>
      </c>
      <c r="AE194" s="10" t="str">
        <f aca="false">IF(A194="","",A194&amp;"_CALC.pdf")</f>
        <v/>
      </c>
      <c r="AF194" s="9"/>
      <c r="AG194" s="9"/>
      <c r="AH194" s="41"/>
      <c r="AI194" s="41"/>
      <c r="AJ194" s="41"/>
      <c r="AK194" s="41"/>
      <c r="AL194" s="41"/>
      <c r="AM194" s="37" t="str">
        <f aca="false">IF(OR(C194="",F194="",G194="",C194="Sump",C194="Drop Inlet Chamber",C194="Silt Trap",C194="Pipe Culvert",C194="Subsoil Drain"),"",ROUND(MAX(1,N(H194))*(1/SG_Criteria!$B$26)*((F194/1000)*(G194/1000*(1-SG_Criteria!$B$25)))*(((F194/1000)*(G194/1000*(1-SG_Criteria!$B$25)))/((F194/1000)+2*(G194/1000*(1-SG_Criteria!$B$25))))^(2/3)*(1/Design_Selector!$B$11)^0.5,3))</f>
        <v/>
      </c>
      <c r="AN194" s="11" t="str">
        <f aca="false">IF(AM194="","",ROUND(AM194/(MAX(1,N(H194))*F194/1000*(G194/1000*(1-SG_Criteria!$B$25))),2))</f>
        <v/>
      </c>
      <c r="AO194" s="38" t="str">
        <f aca="false">IF(C194="","",IF(LEN(IF(AND(OR(D194="Roadside drain",D194="Entrance culvert"),OR(F194&lt;SG_Criteria!$B$15,G194&lt;SG_Criteria!$B$16)),"FAIL: below PUB min "&amp;SG_Criteria!$B$15&amp;"x"&amp;SG_Criteria!$B$16&amp;" for roadside drain. ","")&amp;IF(AND(D194="Common drain",F194&lt;SG_Criteria!$B$17),"FAIL: common drain W &lt; "&amp;SG_Criteria!$B$17&amp;" mm. ","")&amp;IF(AND(N194&lt;&gt;"",IFERROR(VALUE(MID(N194,2,2)),0)&lt;SG_Criteria!$B$19),"FAIL: grade below C"&amp;SG_Criteria!$B$19&amp;". ","")&amp;IF(AND(O194&lt;&gt;"",O194&lt;SG_Criteria!$B$20),"FAIL: cover &lt; "&amp;SG_Criteria!$B$20&amp;" mm. ","")&amp;IF(AND(E194="Open",G194&gt;SG_Criteria!$B$18),"NOTE: safety railing required (D &gt; "&amp;SG_Criteria!$B$18&amp;" mm). ","")&amp;IF(AND(D194="Entrance culvert",G194&lt;600),"NOTE: check hinged grating rule for culverts &lt; 600 deep (PUB Add. 3). ",""))=0,"OK",IF(AND(OR(D194="Roadside drain",D194="Entrance culvert"),OR(F194&lt;SG_Criteria!$B$15,G194&lt;SG_Criteria!$B$16)),"FAIL: below PUB min "&amp;SG_Criteria!$B$15&amp;"x"&amp;SG_Criteria!$B$16&amp;" for roadside drain. ","")&amp;IF(AND(D194="Common drain",F194&lt;SG_Criteria!$B$17),"FAIL: common drain W &lt; "&amp;SG_Criteria!$B$17&amp;" mm. ","")&amp;IF(AND(N194&lt;&gt;"",IFERROR(VALUE(MID(N194,2,2)),0)&lt;SG_Criteria!$B$19),"FAIL: grade below C"&amp;SG_Criteria!$B$19&amp;". ","")&amp;IF(AND(O194&lt;&gt;"",O194&lt;SG_Criteria!$B$20),"FAIL: cover &lt; "&amp;SG_Criteria!$B$20&amp;" mm. ","")&amp;IF(AND(E194="Open",G194&gt;SG_Criteria!$B$18),"NOTE: safety railing required (D &gt; "&amp;SG_Criteria!$B$18&amp;" mm). ","")&amp;IF(AND(D194="Entrance culvert",G194&lt;600),"NOTE: check hinged grating rule for culverts &lt; 600 deep (PUB Add. 3). ","")))</f>
        <v/>
      </c>
      <c r="AP194" s="9"/>
      <c r="AQ194" s="9"/>
      <c r="AR194" s="9"/>
      <c r="AS194" s="9"/>
      <c r="AT194" s="9"/>
      <c r="AU194" s="31"/>
      <c r="AV194" s="10" t="str">
        <f aca="false">IF(C194="","",IF(AND(V194="Approved",ISERROR(SEARCH("FAIL",AO194))),"Y","N"))</f>
        <v/>
      </c>
      <c r="AW194" s="10" t="str">
        <f aca="false">IF(C194="","",C194&amp;"|"&amp;F194&amp;"|"&amp;G194&amp;"|"&amp;L194&amp;"|"&amp;AV194)</f>
        <v/>
      </c>
    </row>
    <row r="195" customFormat="false" ht="15" hidden="false" customHeight="false" outlineLevel="0" collapsed="false">
      <c r="A195" s="10" t="str">
        <f aca="false">IF(C195="","","DRN-"&amp;IFERROR(VLOOKUP(C195,Lists!$A$4:$B$27,2,0),"??")&amp;"-"&amp;TEXT(F195,"0000")&amp;"x"&amp;TEXT(G195,"0000")&amp;IF(N(H195)&gt;1,"-"&amp;H195&amp;"C","")&amp;"-"&amp;IFERROR(VLOOKUP(L195,Lists!$J$4:$K$19,2,0),"??")&amp;"-"&amp;U195)</f>
        <v/>
      </c>
      <c r="B195" s="10" t="str">
        <f aca="false">IF(C195="","",C195&amp;" "&amp;F195&amp;"W x "&amp;G195&amp;"D"&amp;IF(N(H195)&gt;1," ("&amp;H195&amp;" cells)","")&amp;", "&amp;D195&amp;", "&amp;L195&amp;", "&amp;E195)</f>
        <v/>
      </c>
      <c r="C195" s="9"/>
      <c r="D195" s="9"/>
      <c r="E195" s="9"/>
      <c r="F195" s="40"/>
      <c r="G195" s="40"/>
      <c r="H195" s="40"/>
      <c r="I195" s="40"/>
      <c r="J195" s="40"/>
      <c r="K195" s="40"/>
      <c r="L195" s="9"/>
      <c r="M195" s="9"/>
      <c r="N195" s="9"/>
      <c r="O195" s="40"/>
      <c r="P195" s="9"/>
      <c r="Q195" s="9"/>
      <c r="R195" s="9"/>
      <c r="S195" s="9"/>
      <c r="T195" s="9"/>
      <c r="U195" s="9"/>
      <c r="V195" s="9"/>
      <c r="W195" s="9"/>
      <c r="X195" s="9"/>
      <c r="Y195" s="9"/>
      <c r="Z195" s="10" t="str">
        <f aca="false">IF(A195="","",SG_Criteria!$B$6&amp;SG_Criteria!$B$7&amp;"\"&amp;A195&amp;"\")</f>
        <v/>
      </c>
      <c r="AA195" s="10" t="str">
        <f aca="false">IF(A195="","",A195&amp;"_CAD.dwg")</f>
        <v/>
      </c>
      <c r="AB195" s="10" t="str">
        <f aca="false">IF(A195="","",A195&amp;"_DWG.pdf")</f>
        <v/>
      </c>
      <c r="AC195" s="10" t="str">
        <f aca="false">IF(A195="","",IF(Y195="Y",A195&amp;"_STAAD.std","n/a"))</f>
        <v/>
      </c>
      <c r="AD195" s="10" t="str">
        <f aca="false">IF(A195="","",A195&amp;"_CALC.xlsx")</f>
        <v/>
      </c>
      <c r="AE195" s="10" t="str">
        <f aca="false">IF(A195="","",A195&amp;"_CALC.pdf")</f>
        <v/>
      </c>
      <c r="AF195" s="9"/>
      <c r="AG195" s="9"/>
      <c r="AH195" s="41"/>
      <c r="AI195" s="41"/>
      <c r="AJ195" s="41"/>
      <c r="AK195" s="41"/>
      <c r="AL195" s="41"/>
      <c r="AM195" s="37" t="str">
        <f aca="false">IF(OR(C195="",F195="",G195="",C195="Sump",C195="Drop Inlet Chamber",C195="Silt Trap",C195="Pipe Culvert",C195="Subsoil Drain"),"",ROUND(MAX(1,N(H195))*(1/SG_Criteria!$B$26)*((F195/1000)*(G195/1000*(1-SG_Criteria!$B$25)))*(((F195/1000)*(G195/1000*(1-SG_Criteria!$B$25)))/((F195/1000)+2*(G195/1000*(1-SG_Criteria!$B$25))))^(2/3)*(1/Design_Selector!$B$11)^0.5,3))</f>
        <v/>
      </c>
      <c r="AN195" s="11" t="str">
        <f aca="false">IF(AM195="","",ROUND(AM195/(MAX(1,N(H195))*F195/1000*(G195/1000*(1-SG_Criteria!$B$25))),2))</f>
        <v/>
      </c>
      <c r="AO195" s="38" t="str">
        <f aca="false">IF(C195="","",IF(LEN(IF(AND(OR(D195="Roadside drain",D195="Entrance culvert"),OR(F195&lt;SG_Criteria!$B$15,G195&lt;SG_Criteria!$B$16)),"FAIL: below PUB min "&amp;SG_Criteria!$B$15&amp;"x"&amp;SG_Criteria!$B$16&amp;" for roadside drain. ","")&amp;IF(AND(D195="Common drain",F195&lt;SG_Criteria!$B$17),"FAIL: common drain W &lt; "&amp;SG_Criteria!$B$17&amp;" mm. ","")&amp;IF(AND(N195&lt;&gt;"",IFERROR(VALUE(MID(N195,2,2)),0)&lt;SG_Criteria!$B$19),"FAIL: grade below C"&amp;SG_Criteria!$B$19&amp;". ","")&amp;IF(AND(O195&lt;&gt;"",O195&lt;SG_Criteria!$B$20),"FAIL: cover &lt; "&amp;SG_Criteria!$B$20&amp;" mm. ","")&amp;IF(AND(E195="Open",G195&gt;SG_Criteria!$B$18),"NOTE: safety railing required (D &gt; "&amp;SG_Criteria!$B$18&amp;" mm). ","")&amp;IF(AND(D195="Entrance culvert",G195&lt;600),"NOTE: check hinged grating rule for culverts &lt; 600 deep (PUB Add. 3). ",""))=0,"OK",IF(AND(OR(D195="Roadside drain",D195="Entrance culvert"),OR(F195&lt;SG_Criteria!$B$15,G195&lt;SG_Criteria!$B$16)),"FAIL: below PUB min "&amp;SG_Criteria!$B$15&amp;"x"&amp;SG_Criteria!$B$16&amp;" for roadside drain. ","")&amp;IF(AND(D195="Common drain",F195&lt;SG_Criteria!$B$17),"FAIL: common drain W &lt; "&amp;SG_Criteria!$B$17&amp;" mm. ","")&amp;IF(AND(N195&lt;&gt;"",IFERROR(VALUE(MID(N195,2,2)),0)&lt;SG_Criteria!$B$19),"FAIL: grade below C"&amp;SG_Criteria!$B$19&amp;". ","")&amp;IF(AND(O195&lt;&gt;"",O195&lt;SG_Criteria!$B$20),"FAIL: cover &lt; "&amp;SG_Criteria!$B$20&amp;" mm. ","")&amp;IF(AND(E195="Open",G195&gt;SG_Criteria!$B$18),"NOTE: safety railing required (D &gt; "&amp;SG_Criteria!$B$18&amp;" mm). ","")&amp;IF(AND(D195="Entrance culvert",G195&lt;600),"NOTE: check hinged grating rule for culverts &lt; 600 deep (PUB Add. 3). ","")))</f>
        <v/>
      </c>
      <c r="AP195" s="9"/>
      <c r="AQ195" s="9"/>
      <c r="AR195" s="9"/>
      <c r="AS195" s="9"/>
      <c r="AT195" s="9"/>
      <c r="AU195" s="31"/>
      <c r="AV195" s="10" t="str">
        <f aca="false">IF(C195="","",IF(AND(V195="Approved",ISERROR(SEARCH("FAIL",AO195))),"Y","N"))</f>
        <v/>
      </c>
      <c r="AW195" s="10" t="str">
        <f aca="false">IF(C195="","",C195&amp;"|"&amp;F195&amp;"|"&amp;G195&amp;"|"&amp;L195&amp;"|"&amp;AV195)</f>
        <v/>
      </c>
    </row>
    <row r="196" customFormat="false" ht="15" hidden="false" customHeight="false" outlineLevel="0" collapsed="false">
      <c r="A196" s="10" t="str">
        <f aca="false">IF(C196="","","DRN-"&amp;IFERROR(VLOOKUP(C196,Lists!$A$4:$B$27,2,0),"??")&amp;"-"&amp;TEXT(F196,"0000")&amp;"x"&amp;TEXT(G196,"0000")&amp;IF(N(H196)&gt;1,"-"&amp;H196&amp;"C","")&amp;"-"&amp;IFERROR(VLOOKUP(L196,Lists!$J$4:$K$19,2,0),"??")&amp;"-"&amp;U196)</f>
        <v/>
      </c>
      <c r="B196" s="10" t="str">
        <f aca="false">IF(C196="","",C196&amp;" "&amp;F196&amp;"W x "&amp;G196&amp;"D"&amp;IF(N(H196)&gt;1," ("&amp;H196&amp;" cells)","")&amp;", "&amp;D196&amp;", "&amp;L196&amp;", "&amp;E196)</f>
        <v/>
      </c>
      <c r="C196" s="9"/>
      <c r="D196" s="9"/>
      <c r="E196" s="9"/>
      <c r="F196" s="40"/>
      <c r="G196" s="40"/>
      <c r="H196" s="40"/>
      <c r="I196" s="40"/>
      <c r="J196" s="40"/>
      <c r="K196" s="40"/>
      <c r="L196" s="9"/>
      <c r="M196" s="9"/>
      <c r="N196" s="9"/>
      <c r="O196" s="40"/>
      <c r="P196" s="9"/>
      <c r="Q196" s="9"/>
      <c r="R196" s="9"/>
      <c r="S196" s="9"/>
      <c r="T196" s="9"/>
      <c r="U196" s="9"/>
      <c r="V196" s="9"/>
      <c r="W196" s="9"/>
      <c r="X196" s="9"/>
      <c r="Y196" s="9"/>
      <c r="Z196" s="10" t="str">
        <f aca="false">IF(A196="","",SG_Criteria!$B$6&amp;SG_Criteria!$B$7&amp;"\"&amp;A196&amp;"\")</f>
        <v/>
      </c>
      <c r="AA196" s="10" t="str">
        <f aca="false">IF(A196="","",A196&amp;"_CAD.dwg")</f>
        <v/>
      </c>
      <c r="AB196" s="10" t="str">
        <f aca="false">IF(A196="","",A196&amp;"_DWG.pdf")</f>
        <v/>
      </c>
      <c r="AC196" s="10" t="str">
        <f aca="false">IF(A196="","",IF(Y196="Y",A196&amp;"_STAAD.std","n/a"))</f>
        <v/>
      </c>
      <c r="AD196" s="10" t="str">
        <f aca="false">IF(A196="","",A196&amp;"_CALC.xlsx")</f>
        <v/>
      </c>
      <c r="AE196" s="10" t="str">
        <f aca="false">IF(A196="","",A196&amp;"_CALC.pdf")</f>
        <v/>
      </c>
      <c r="AF196" s="9"/>
      <c r="AG196" s="9"/>
      <c r="AH196" s="41"/>
      <c r="AI196" s="41"/>
      <c r="AJ196" s="41"/>
      <c r="AK196" s="41"/>
      <c r="AL196" s="41"/>
      <c r="AM196" s="37" t="str">
        <f aca="false">IF(OR(C196="",F196="",G196="",C196="Sump",C196="Drop Inlet Chamber",C196="Silt Trap",C196="Pipe Culvert",C196="Subsoil Drain"),"",ROUND(MAX(1,N(H196))*(1/SG_Criteria!$B$26)*((F196/1000)*(G196/1000*(1-SG_Criteria!$B$25)))*(((F196/1000)*(G196/1000*(1-SG_Criteria!$B$25)))/((F196/1000)+2*(G196/1000*(1-SG_Criteria!$B$25))))^(2/3)*(1/Design_Selector!$B$11)^0.5,3))</f>
        <v/>
      </c>
      <c r="AN196" s="11" t="str">
        <f aca="false">IF(AM196="","",ROUND(AM196/(MAX(1,N(H196))*F196/1000*(G196/1000*(1-SG_Criteria!$B$25))),2))</f>
        <v/>
      </c>
      <c r="AO196" s="38" t="str">
        <f aca="false">IF(C196="","",IF(LEN(IF(AND(OR(D196="Roadside drain",D196="Entrance culvert"),OR(F196&lt;SG_Criteria!$B$15,G196&lt;SG_Criteria!$B$16)),"FAIL: below PUB min "&amp;SG_Criteria!$B$15&amp;"x"&amp;SG_Criteria!$B$16&amp;" for roadside drain. ","")&amp;IF(AND(D196="Common drain",F196&lt;SG_Criteria!$B$17),"FAIL: common drain W &lt; "&amp;SG_Criteria!$B$17&amp;" mm. ","")&amp;IF(AND(N196&lt;&gt;"",IFERROR(VALUE(MID(N196,2,2)),0)&lt;SG_Criteria!$B$19),"FAIL: grade below C"&amp;SG_Criteria!$B$19&amp;". ","")&amp;IF(AND(O196&lt;&gt;"",O196&lt;SG_Criteria!$B$20),"FAIL: cover &lt; "&amp;SG_Criteria!$B$20&amp;" mm. ","")&amp;IF(AND(E196="Open",G196&gt;SG_Criteria!$B$18),"NOTE: safety railing required (D &gt; "&amp;SG_Criteria!$B$18&amp;" mm). ","")&amp;IF(AND(D196="Entrance culvert",G196&lt;600),"NOTE: check hinged grating rule for culverts &lt; 600 deep (PUB Add. 3). ",""))=0,"OK",IF(AND(OR(D196="Roadside drain",D196="Entrance culvert"),OR(F196&lt;SG_Criteria!$B$15,G196&lt;SG_Criteria!$B$16)),"FAIL: below PUB min "&amp;SG_Criteria!$B$15&amp;"x"&amp;SG_Criteria!$B$16&amp;" for roadside drain. ","")&amp;IF(AND(D196="Common drain",F196&lt;SG_Criteria!$B$17),"FAIL: common drain W &lt; "&amp;SG_Criteria!$B$17&amp;" mm. ","")&amp;IF(AND(N196&lt;&gt;"",IFERROR(VALUE(MID(N196,2,2)),0)&lt;SG_Criteria!$B$19),"FAIL: grade below C"&amp;SG_Criteria!$B$19&amp;". ","")&amp;IF(AND(O196&lt;&gt;"",O196&lt;SG_Criteria!$B$20),"FAIL: cover &lt; "&amp;SG_Criteria!$B$20&amp;" mm. ","")&amp;IF(AND(E196="Open",G196&gt;SG_Criteria!$B$18),"NOTE: safety railing required (D &gt; "&amp;SG_Criteria!$B$18&amp;" mm). ","")&amp;IF(AND(D196="Entrance culvert",G196&lt;600),"NOTE: check hinged grating rule for culverts &lt; 600 deep (PUB Add. 3). ","")))</f>
        <v/>
      </c>
      <c r="AP196" s="9"/>
      <c r="AQ196" s="9"/>
      <c r="AR196" s="9"/>
      <c r="AS196" s="9"/>
      <c r="AT196" s="9"/>
      <c r="AU196" s="31"/>
      <c r="AV196" s="10" t="str">
        <f aca="false">IF(C196="","",IF(AND(V196="Approved",ISERROR(SEARCH("FAIL",AO196))),"Y","N"))</f>
        <v/>
      </c>
      <c r="AW196" s="10" t="str">
        <f aca="false">IF(C196="","",C196&amp;"|"&amp;F196&amp;"|"&amp;G196&amp;"|"&amp;L196&amp;"|"&amp;AV196)</f>
        <v/>
      </c>
    </row>
    <row r="197" customFormat="false" ht="15" hidden="false" customHeight="false" outlineLevel="0" collapsed="false">
      <c r="A197" s="10" t="str">
        <f aca="false">IF(C197="","","DRN-"&amp;IFERROR(VLOOKUP(C197,Lists!$A$4:$B$27,2,0),"??")&amp;"-"&amp;TEXT(F197,"0000")&amp;"x"&amp;TEXT(G197,"0000")&amp;IF(N(H197)&gt;1,"-"&amp;H197&amp;"C","")&amp;"-"&amp;IFERROR(VLOOKUP(L197,Lists!$J$4:$K$19,2,0),"??")&amp;"-"&amp;U197)</f>
        <v/>
      </c>
      <c r="B197" s="10" t="str">
        <f aca="false">IF(C197="","",C197&amp;" "&amp;F197&amp;"W x "&amp;G197&amp;"D"&amp;IF(N(H197)&gt;1," ("&amp;H197&amp;" cells)","")&amp;", "&amp;D197&amp;", "&amp;L197&amp;", "&amp;E197)</f>
        <v/>
      </c>
      <c r="C197" s="9"/>
      <c r="D197" s="9"/>
      <c r="E197" s="9"/>
      <c r="F197" s="40"/>
      <c r="G197" s="40"/>
      <c r="H197" s="40"/>
      <c r="I197" s="40"/>
      <c r="J197" s="40"/>
      <c r="K197" s="40"/>
      <c r="L197" s="9"/>
      <c r="M197" s="9"/>
      <c r="N197" s="9"/>
      <c r="O197" s="40"/>
      <c r="P197" s="9"/>
      <c r="Q197" s="9"/>
      <c r="R197" s="9"/>
      <c r="S197" s="9"/>
      <c r="T197" s="9"/>
      <c r="U197" s="9"/>
      <c r="V197" s="9"/>
      <c r="W197" s="9"/>
      <c r="X197" s="9"/>
      <c r="Y197" s="9"/>
      <c r="Z197" s="10" t="str">
        <f aca="false">IF(A197="","",SG_Criteria!$B$6&amp;SG_Criteria!$B$7&amp;"\"&amp;A197&amp;"\")</f>
        <v/>
      </c>
      <c r="AA197" s="10" t="str">
        <f aca="false">IF(A197="","",A197&amp;"_CAD.dwg")</f>
        <v/>
      </c>
      <c r="AB197" s="10" t="str">
        <f aca="false">IF(A197="","",A197&amp;"_DWG.pdf")</f>
        <v/>
      </c>
      <c r="AC197" s="10" t="str">
        <f aca="false">IF(A197="","",IF(Y197="Y",A197&amp;"_STAAD.std","n/a"))</f>
        <v/>
      </c>
      <c r="AD197" s="10" t="str">
        <f aca="false">IF(A197="","",A197&amp;"_CALC.xlsx")</f>
        <v/>
      </c>
      <c r="AE197" s="10" t="str">
        <f aca="false">IF(A197="","",A197&amp;"_CALC.pdf")</f>
        <v/>
      </c>
      <c r="AF197" s="9"/>
      <c r="AG197" s="9"/>
      <c r="AH197" s="41"/>
      <c r="AI197" s="41"/>
      <c r="AJ197" s="41"/>
      <c r="AK197" s="41"/>
      <c r="AL197" s="41"/>
      <c r="AM197" s="37" t="str">
        <f aca="false">IF(OR(C197="",F197="",G197="",C197="Sump",C197="Drop Inlet Chamber",C197="Silt Trap",C197="Pipe Culvert",C197="Subsoil Drain"),"",ROUND(MAX(1,N(H197))*(1/SG_Criteria!$B$26)*((F197/1000)*(G197/1000*(1-SG_Criteria!$B$25)))*(((F197/1000)*(G197/1000*(1-SG_Criteria!$B$25)))/((F197/1000)+2*(G197/1000*(1-SG_Criteria!$B$25))))^(2/3)*(1/Design_Selector!$B$11)^0.5,3))</f>
        <v/>
      </c>
      <c r="AN197" s="11" t="str">
        <f aca="false">IF(AM197="","",ROUND(AM197/(MAX(1,N(H197))*F197/1000*(G197/1000*(1-SG_Criteria!$B$25))),2))</f>
        <v/>
      </c>
      <c r="AO197" s="38" t="str">
        <f aca="false">IF(C197="","",IF(LEN(IF(AND(OR(D197="Roadside drain",D197="Entrance culvert"),OR(F197&lt;SG_Criteria!$B$15,G197&lt;SG_Criteria!$B$16)),"FAIL: below PUB min "&amp;SG_Criteria!$B$15&amp;"x"&amp;SG_Criteria!$B$16&amp;" for roadside drain. ","")&amp;IF(AND(D197="Common drain",F197&lt;SG_Criteria!$B$17),"FAIL: common drain W &lt; "&amp;SG_Criteria!$B$17&amp;" mm. ","")&amp;IF(AND(N197&lt;&gt;"",IFERROR(VALUE(MID(N197,2,2)),0)&lt;SG_Criteria!$B$19),"FAIL: grade below C"&amp;SG_Criteria!$B$19&amp;". ","")&amp;IF(AND(O197&lt;&gt;"",O197&lt;SG_Criteria!$B$20),"FAIL: cover &lt; "&amp;SG_Criteria!$B$20&amp;" mm. ","")&amp;IF(AND(E197="Open",G197&gt;SG_Criteria!$B$18),"NOTE: safety railing required (D &gt; "&amp;SG_Criteria!$B$18&amp;" mm). ","")&amp;IF(AND(D197="Entrance culvert",G197&lt;600),"NOTE: check hinged grating rule for culverts &lt; 600 deep (PUB Add. 3). ",""))=0,"OK",IF(AND(OR(D197="Roadside drain",D197="Entrance culvert"),OR(F197&lt;SG_Criteria!$B$15,G197&lt;SG_Criteria!$B$16)),"FAIL: below PUB min "&amp;SG_Criteria!$B$15&amp;"x"&amp;SG_Criteria!$B$16&amp;" for roadside drain. ","")&amp;IF(AND(D197="Common drain",F197&lt;SG_Criteria!$B$17),"FAIL: common drain W &lt; "&amp;SG_Criteria!$B$17&amp;" mm. ","")&amp;IF(AND(N197&lt;&gt;"",IFERROR(VALUE(MID(N197,2,2)),0)&lt;SG_Criteria!$B$19),"FAIL: grade below C"&amp;SG_Criteria!$B$19&amp;". ","")&amp;IF(AND(O197&lt;&gt;"",O197&lt;SG_Criteria!$B$20),"FAIL: cover &lt; "&amp;SG_Criteria!$B$20&amp;" mm. ","")&amp;IF(AND(E197="Open",G197&gt;SG_Criteria!$B$18),"NOTE: safety railing required (D &gt; "&amp;SG_Criteria!$B$18&amp;" mm). ","")&amp;IF(AND(D197="Entrance culvert",G197&lt;600),"NOTE: check hinged grating rule for culverts &lt; 600 deep (PUB Add. 3). ","")))</f>
        <v/>
      </c>
      <c r="AP197" s="9"/>
      <c r="AQ197" s="9"/>
      <c r="AR197" s="9"/>
      <c r="AS197" s="9"/>
      <c r="AT197" s="9"/>
      <c r="AU197" s="31"/>
      <c r="AV197" s="10" t="str">
        <f aca="false">IF(C197="","",IF(AND(V197="Approved",ISERROR(SEARCH("FAIL",AO197))),"Y","N"))</f>
        <v/>
      </c>
      <c r="AW197" s="10" t="str">
        <f aca="false">IF(C197="","",C197&amp;"|"&amp;F197&amp;"|"&amp;G197&amp;"|"&amp;L197&amp;"|"&amp;AV197)</f>
        <v/>
      </c>
    </row>
    <row r="198" customFormat="false" ht="15" hidden="false" customHeight="false" outlineLevel="0" collapsed="false">
      <c r="A198" s="10" t="str">
        <f aca="false">IF(C198="","","DRN-"&amp;IFERROR(VLOOKUP(C198,Lists!$A$4:$B$27,2,0),"??")&amp;"-"&amp;TEXT(F198,"0000")&amp;"x"&amp;TEXT(G198,"0000")&amp;IF(N(H198)&gt;1,"-"&amp;H198&amp;"C","")&amp;"-"&amp;IFERROR(VLOOKUP(L198,Lists!$J$4:$K$19,2,0),"??")&amp;"-"&amp;U198)</f>
        <v/>
      </c>
      <c r="B198" s="10" t="str">
        <f aca="false">IF(C198="","",C198&amp;" "&amp;F198&amp;"W x "&amp;G198&amp;"D"&amp;IF(N(H198)&gt;1," ("&amp;H198&amp;" cells)","")&amp;", "&amp;D198&amp;", "&amp;L198&amp;", "&amp;E198)</f>
        <v/>
      </c>
      <c r="C198" s="9"/>
      <c r="D198" s="9"/>
      <c r="E198" s="9"/>
      <c r="F198" s="40"/>
      <c r="G198" s="40"/>
      <c r="H198" s="40"/>
      <c r="I198" s="40"/>
      <c r="J198" s="40"/>
      <c r="K198" s="40"/>
      <c r="L198" s="9"/>
      <c r="M198" s="9"/>
      <c r="N198" s="9"/>
      <c r="O198" s="40"/>
      <c r="P198" s="9"/>
      <c r="Q198" s="9"/>
      <c r="R198" s="9"/>
      <c r="S198" s="9"/>
      <c r="T198" s="9"/>
      <c r="U198" s="9"/>
      <c r="V198" s="9"/>
      <c r="W198" s="9"/>
      <c r="X198" s="9"/>
      <c r="Y198" s="9"/>
      <c r="Z198" s="10" t="str">
        <f aca="false">IF(A198="","",SG_Criteria!$B$6&amp;SG_Criteria!$B$7&amp;"\"&amp;A198&amp;"\")</f>
        <v/>
      </c>
      <c r="AA198" s="10" t="str">
        <f aca="false">IF(A198="","",A198&amp;"_CAD.dwg")</f>
        <v/>
      </c>
      <c r="AB198" s="10" t="str">
        <f aca="false">IF(A198="","",A198&amp;"_DWG.pdf")</f>
        <v/>
      </c>
      <c r="AC198" s="10" t="str">
        <f aca="false">IF(A198="","",IF(Y198="Y",A198&amp;"_STAAD.std","n/a"))</f>
        <v/>
      </c>
      <c r="AD198" s="10" t="str">
        <f aca="false">IF(A198="","",A198&amp;"_CALC.xlsx")</f>
        <v/>
      </c>
      <c r="AE198" s="10" t="str">
        <f aca="false">IF(A198="","",A198&amp;"_CALC.pdf")</f>
        <v/>
      </c>
      <c r="AF198" s="9"/>
      <c r="AG198" s="9"/>
      <c r="AH198" s="41"/>
      <c r="AI198" s="41"/>
      <c r="AJ198" s="41"/>
      <c r="AK198" s="41"/>
      <c r="AL198" s="41"/>
      <c r="AM198" s="37" t="str">
        <f aca="false">IF(OR(C198="",F198="",G198="",C198="Sump",C198="Drop Inlet Chamber",C198="Silt Trap",C198="Pipe Culvert",C198="Subsoil Drain"),"",ROUND(MAX(1,N(H198))*(1/SG_Criteria!$B$26)*((F198/1000)*(G198/1000*(1-SG_Criteria!$B$25)))*(((F198/1000)*(G198/1000*(1-SG_Criteria!$B$25)))/((F198/1000)+2*(G198/1000*(1-SG_Criteria!$B$25))))^(2/3)*(1/Design_Selector!$B$11)^0.5,3))</f>
        <v/>
      </c>
      <c r="AN198" s="11" t="str">
        <f aca="false">IF(AM198="","",ROUND(AM198/(MAX(1,N(H198))*F198/1000*(G198/1000*(1-SG_Criteria!$B$25))),2))</f>
        <v/>
      </c>
      <c r="AO198" s="38" t="str">
        <f aca="false">IF(C198="","",IF(LEN(IF(AND(OR(D198="Roadside drain",D198="Entrance culvert"),OR(F198&lt;SG_Criteria!$B$15,G198&lt;SG_Criteria!$B$16)),"FAIL: below PUB min "&amp;SG_Criteria!$B$15&amp;"x"&amp;SG_Criteria!$B$16&amp;" for roadside drain. ","")&amp;IF(AND(D198="Common drain",F198&lt;SG_Criteria!$B$17),"FAIL: common drain W &lt; "&amp;SG_Criteria!$B$17&amp;" mm. ","")&amp;IF(AND(N198&lt;&gt;"",IFERROR(VALUE(MID(N198,2,2)),0)&lt;SG_Criteria!$B$19),"FAIL: grade below C"&amp;SG_Criteria!$B$19&amp;". ","")&amp;IF(AND(O198&lt;&gt;"",O198&lt;SG_Criteria!$B$20),"FAIL: cover &lt; "&amp;SG_Criteria!$B$20&amp;" mm. ","")&amp;IF(AND(E198="Open",G198&gt;SG_Criteria!$B$18),"NOTE: safety railing required (D &gt; "&amp;SG_Criteria!$B$18&amp;" mm). ","")&amp;IF(AND(D198="Entrance culvert",G198&lt;600),"NOTE: check hinged grating rule for culverts &lt; 600 deep (PUB Add. 3). ",""))=0,"OK",IF(AND(OR(D198="Roadside drain",D198="Entrance culvert"),OR(F198&lt;SG_Criteria!$B$15,G198&lt;SG_Criteria!$B$16)),"FAIL: below PUB min "&amp;SG_Criteria!$B$15&amp;"x"&amp;SG_Criteria!$B$16&amp;" for roadside drain. ","")&amp;IF(AND(D198="Common drain",F198&lt;SG_Criteria!$B$17),"FAIL: common drain W &lt; "&amp;SG_Criteria!$B$17&amp;" mm. ","")&amp;IF(AND(N198&lt;&gt;"",IFERROR(VALUE(MID(N198,2,2)),0)&lt;SG_Criteria!$B$19),"FAIL: grade below C"&amp;SG_Criteria!$B$19&amp;". ","")&amp;IF(AND(O198&lt;&gt;"",O198&lt;SG_Criteria!$B$20),"FAIL: cover &lt; "&amp;SG_Criteria!$B$20&amp;" mm. ","")&amp;IF(AND(E198="Open",G198&gt;SG_Criteria!$B$18),"NOTE: safety railing required (D &gt; "&amp;SG_Criteria!$B$18&amp;" mm). ","")&amp;IF(AND(D198="Entrance culvert",G198&lt;600),"NOTE: check hinged grating rule for culverts &lt; 600 deep (PUB Add. 3). ","")))</f>
        <v/>
      </c>
      <c r="AP198" s="9"/>
      <c r="AQ198" s="9"/>
      <c r="AR198" s="9"/>
      <c r="AS198" s="9"/>
      <c r="AT198" s="9"/>
      <c r="AU198" s="31"/>
      <c r="AV198" s="10" t="str">
        <f aca="false">IF(C198="","",IF(AND(V198="Approved",ISERROR(SEARCH("FAIL",AO198))),"Y","N"))</f>
        <v/>
      </c>
      <c r="AW198" s="10" t="str">
        <f aca="false">IF(C198="","",C198&amp;"|"&amp;F198&amp;"|"&amp;G198&amp;"|"&amp;L198&amp;"|"&amp;AV198)</f>
        <v/>
      </c>
    </row>
    <row r="199" customFormat="false" ht="15" hidden="false" customHeight="false" outlineLevel="0" collapsed="false">
      <c r="A199" s="10" t="str">
        <f aca="false">IF(C199="","","DRN-"&amp;IFERROR(VLOOKUP(C199,Lists!$A$4:$B$27,2,0),"??")&amp;"-"&amp;TEXT(F199,"0000")&amp;"x"&amp;TEXT(G199,"0000")&amp;IF(N(H199)&gt;1,"-"&amp;H199&amp;"C","")&amp;"-"&amp;IFERROR(VLOOKUP(L199,Lists!$J$4:$K$19,2,0),"??")&amp;"-"&amp;U199)</f>
        <v/>
      </c>
      <c r="B199" s="10" t="str">
        <f aca="false">IF(C199="","",C199&amp;" "&amp;F199&amp;"W x "&amp;G199&amp;"D"&amp;IF(N(H199)&gt;1," ("&amp;H199&amp;" cells)","")&amp;", "&amp;D199&amp;", "&amp;L199&amp;", "&amp;E199)</f>
        <v/>
      </c>
      <c r="C199" s="9"/>
      <c r="D199" s="9"/>
      <c r="E199" s="9"/>
      <c r="F199" s="40"/>
      <c r="G199" s="40"/>
      <c r="H199" s="40"/>
      <c r="I199" s="40"/>
      <c r="J199" s="40"/>
      <c r="K199" s="40"/>
      <c r="L199" s="9"/>
      <c r="M199" s="9"/>
      <c r="N199" s="9"/>
      <c r="O199" s="40"/>
      <c r="P199" s="9"/>
      <c r="Q199" s="9"/>
      <c r="R199" s="9"/>
      <c r="S199" s="9"/>
      <c r="T199" s="9"/>
      <c r="U199" s="9"/>
      <c r="V199" s="9"/>
      <c r="W199" s="9"/>
      <c r="X199" s="9"/>
      <c r="Y199" s="9"/>
      <c r="Z199" s="10" t="str">
        <f aca="false">IF(A199="","",SG_Criteria!$B$6&amp;SG_Criteria!$B$7&amp;"\"&amp;A199&amp;"\")</f>
        <v/>
      </c>
      <c r="AA199" s="10" t="str">
        <f aca="false">IF(A199="","",A199&amp;"_CAD.dwg")</f>
        <v/>
      </c>
      <c r="AB199" s="10" t="str">
        <f aca="false">IF(A199="","",A199&amp;"_DWG.pdf")</f>
        <v/>
      </c>
      <c r="AC199" s="10" t="str">
        <f aca="false">IF(A199="","",IF(Y199="Y",A199&amp;"_STAAD.std","n/a"))</f>
        <v/>
      </c>
      <c r="AD199" s="10" t="str">
        <f aca="false">IF(A199="","",A199&amp;"_CALC.xlsx")</f>
        <v/>
      </c>
      <c r="AE199" s="10" t="str">
        <f aca="false">IF(A199="","",A199&amp;"_CALC.pdf")</f>
        <v/>
      </c>
      <c r="AF199" s="9"/>
      <c r="AG199" s="9"/>
      <c r="AH199" s="41"/>
      <c r="AI199" s="41"/>
      <c r="AJ199" s="41"/>
      <c r="AK199" s="41"/>
      <c r="AL199" s="41"/>
      <c r="AM199" s="37" t="str">
        <f aca="false">IF(OR(C199="",F199="",G199="",C199="Sump",C199="Drop Inlet Chamber",C199="Silt Trap",C199="Pipe Culvert",C199="Subsoil Drain"),"",ROUND(MAX(1,N(H199))*(1/SG_Criteria!$B$26)*((F199/1000)*(G199/1000*(1-SG_Criteria!$B$25)))*(((F199/1000)*(G199/1000*(1-SG_Criteria!$B$25)))/((F199/1000)+2*(G199/1000*(1-SG_Criteria!$B$25))))^(2/3)*(1/Design_Selector!$B$11)^0.5,3))</f>
        <v/>
      </c>
      <c r="AN199" s="11" t="str">
        <f aca="false">IF(AM199="","",ROUND(AM199/(MAX(1,N(H199))*F199/1000*(G199/1000*(1-SG_Criteria!$B$25))),2))</f>
        <v/>
      </c>
      <c r="AO199" s="38" t="str">
        <f aca="false">IF(C199="","",IF(LEN(IF(AND(OR(D199="Roadside drain",D199="Entrance culvert"),OR(F199&lt;SG_Criteria!$B$15,G199&lt;SG_Criteria!$B$16)),"FAIL: below PUB min "&amp;SG_Criteria!$B$15&amp;"x"&amp;SG_Criteria!$B$16&amp;" for roadside drain. ","")&amp;IF(AND(D199="Common drain",F199&lt;SG_Criteria!$B$17),"FAIL: common drain W &lt; "&amp;SG_Criteria!$B$17&amp;" mm. ","")&amp;IF(AND(N199&lt;&gt;"",IFERROR(VALUE(MID(N199,2,2)),0)&lt;SG_Criteria!$B$19),"FAIL: grade below C"&amp;SG_Criteria!$B$19&amp;". ","")&amp;IF(AND(O199&lt;&gt;"",O199&lt;SG_Criteria!$B$20),"FAIL: cover &lt; "&amp;SG_Criteria!$B$20&amp;" mm. ","")&amp;IF(AND(E199="Open",G199&gt;SG_Criteria!$B$18),"NOTE: safety railing required (D &gt; "&amp;SG_Criteria!$B$18&amp;" mm). ","")&amp;IF(AND(D199="Entrance culvert",G199&lt;600),"NOTE: check hinged grating rule for culverts &lt; 600 deep (PUB Add. 3). ",""))=0,"OK",IF(AND(OR(D199="Roadside drain",D199="Entrance culvert"),OR(F199&lt;SG_Criteria!$B$15,G199&lt;SG_Criteria!$B$16)),"FAIL: below PUB min "&amp;SG_Criteria!$B$15&amp;"x"&amp;SG_Criteria!$B$16&amp;" for roadside drain. ","")&amp;IF(AND(D199="Common drain",F199&lt;SG_Criteria!$B$17),"FAIL: common drain W &lt; "&amp;SG_Criteria!$B$17&amp;" mm. ","")&amp;IF(AND(N199&lt;&gt;"",IFERROR(VALUE(MID(N199,2,2)),0)&lt;SG_Criteria!$B$19),"FAIL: grade below C"&amp;SG_Criteria!$B$19&amp;". ","")&amp;IF(AND(O199&lt;&gt;"",O199&lt;SG_Criteria!$B$20),"FAIL: cover &lt; "&amp;SG_Criteria!$B$20&amp;" mm. ","")&amp;IF(AND(E199="Open",G199&gt;SG_Criteria!$B$18),"NOTE: safety railing required (D &gt; "&amp;SG_Criteria!$B$18&amp;" mm). ","")&amp;IF(AND(D199="Entrance culvert",G199&lt;600),"NOTE: check hinged grating rule for culverts &lt; 600 deep (PUB Add. 3). ","")))</f>
        <v/>
      </c>
      <c r="AP199" s="9"/>
      <c r="AQ199" s="9"/>
      <c r="AR199" s="9"/>
      <c r="AS199" s="9"/>
      <c r="AT199" s="9"/>
      <c r="AU199" s="31"/>
      <c r="AV199" s="10" t="str">
        <f aca="false">IF(C199="","",IF(AND(V199="Approved",ISERROR(SEARCH("FAIL",AO199))),"Y","N"))</f>
        <v/>
      </c>
      <c r="AW199" s="10" t="str">
        <f aca="false">IF(C199="","",C199&amp;"|"&amp;F199&amp;"|"&amp;G199&amp;"|"&amp;L199&amp;"|"&amp;AV199)</f>
        <v/>
      </c>
    </row>
    <row r="200" customFormat="false" ht="15" hidden="false" customHeight="false" outlineLevel="0" collapsed="false">
      <c r="A200" s="10" t="str">
        <f aca="false">IF(C200="","","DRN-"&amp;IFERROR(VLOOKUP(C200,Lists!$A$4:$B$27,2,0),"??")&amp;"-"&amp;TEXT(F200,"0000")&amp;"x"&amp;TEXT(G200,"0000")&amp;IF(N(H200)&gt;1,"-"&amp;H200&amp;"C","")&amp;"-"&amp;IFERROR(VLOOKUP(L200,Lists!$J$4:$K$19,2,0),"??")&amp;"-"&amp;U200)</f>
        <v/>
      </c>
      <c r="B200" s="10" t="str">
        <f aca="false">IF(C200="","",C200&amp;" "&amp;F200&amp;"W x "&amp;G200&amp;"D"&amp;IF(N(H200)&gt;1," ("&amp;H200&amp;" cells)","")&amp;", "&amp;D200&amp;", "&amp;L200&amp;", "&amp;E200)</f>
        <v/>
      </c>
      <c r="C200" s="9"/>
      <c r="D200" s="9"/>
      <c r="E200" s="9"/>
      <c r="F200" s="40"/>
      <c r="G200" s="40"/>
      <c r="H200" s="40"/>
      <c r="I200" s="40"/>
      <c r="J200" s="40"/>
      <c r="K200" s="40"/>
      <c r="L200" s="9"/>
      <c r="M200" s="9"/>
      <c r="N200" s="9"/>
      <c r="O200" s="40"/>
      <c r="P200" s="9"/>
      <c r="Q200" s="9"/>
      <c r="R200" s="9"/>
      <c r="S200" s="9"/>
      <c r="T200" s="9"/>
      <c r="U200" s="9"/>
      <c r="V200" s="9"/>
      <c r="W200" s="9"/>
      <c r="X200" s="9"/>
      <c r="Y200" s="9"/>
      <c r="Z200" s="10" t="str">
        <f aca="false">IF(A200="","",SG_Criteria!$B$6&amp;SG_Criteria!$B$7&amp;"\"&amp;A200&amp;"\")</f>
        <v/>
      </c>
      <c r="AA200" s="10" t="str">
        <f aca="false">IF(A200="","",A200&amp;"_CAD.dwg")</f>
        <v/>
      </c>
      <c r="AB200" s="10" t="str">
        <f aca="false">IF(A200="","",A200&amp;"_DWG.pdf")</f>
        <v/>
      </c>
      <c r="AC200" s="10" t="str">
        <f aca="false">IF(A200="","",IF(Y200="Y",A200&amp;"_STAAD.std","n/a"))</f>
        <v/>
      </c>
      <c r="AD200" s="10" t="str">
        <f aca="false">IF(A200="","",A200&amp;"_CALC.xlsx")</f>
        <v/>
      </c>
      <c r="AE200" s="10" t="str">
        <f aca="false">IF(A200="","",A200&amp;"_CALC.pdf")</f>
        <v/>
      </c>
      <c r="AF200" s="9"/>
      <c r="AG200" s="9"/>
      <c r="AH200" s="41"/>
      <c r="AI200" s="41"/>
      <c r="AJ200" s="41"/>
      <c r="AK200" s="41"/>
      <c r="AL200" s="41"/>
      <c r="AM200" s="37" t="str">
        <f aca="false">IF(OR(C200="",F200="",G200="",C200="Sump",C200="Drop Inlet Chamber",C200="Silt Trap",C200="Pipe Culvert",C200="Subsoil Drain"),"",ROUND(MAX(1,N(H200))*(1/SG_Criteria!$B$26)*((F200/1000)*(G200/1000*(1-SG_Criteria!$B$25)))*(((F200/1000)*(G200/1000*(1-SG_Criteria!$B$25)))/((F200/1000)+2*(G200/1000*(1-SG_Criteria!$B$25))))^(2/3)*(1/Design_Selector!$B$11)^0.5,3))</f>
        <v/>
      </c>
      <c r="AN200" s="11" t="str">
        <f aca="false">IF(AM200="","",ROUND(AM200/(MAX(1,N(H200))*F200/1000*(G200/1000*(1-SG_Criteria!$B$25))),2))</f>
        <v/>
      </c>
      <c r="AO200" s="38" t="str">
        <f aca="false">IF(C200="","",IF(LEN(IF(AND(OR(D200="Roadside drain",D200="Entrance culvert"),OR(F200&lt;SG_Criteria!$B$15,G200&lt;SG_Criteria!$B$16)),"FAIL: below PUB min "&amp;SG_Criteria!$B$15&amp;"x"&amp;SG_Criteria!$B$16&amp;" for roadside drain. ","")&amp;IF(AND(D200="Common drain",F200&lt;SG_Criteria!$B$17),"FAIL: common drain W &lt; "&amp;SG_Criteria!$B$17&amp;" mm. ","")&amp;IF(AND(N200&lt;&gt;"",IFERROR(VALUE(MID(N200,2,2)),0)&lt;SG_Criteria!$B$19),"FAIL: grade below C"&amp;SG_Criteria!$B$19&amp;". ","")&amp;IF(AND(O200&lt;&gt;"",O200&lt;SG_Criteria!$B$20),"FAIL: cover &lt; "&amp;SG_Criteria!$B$20&amp;" mm. ","")&amp;IF(AND(E200="Open",G200&gt;SG_Criteria!$B$18),"NOTE: safety railing required (D &gt; "&amp;SG_Criteria!$B$18&amp;" mm). ","")&amp;IF(AND(D200="Entrance culvert",G200&lt;600),"NOTE: check hinged grating rule for culverts &lt; 600 deep (PUB Add. 3). ",""))=0,"OK",IF(AND(OR(D200="Roadside drain",D200="Entrance culvert"),OR(F200&lt;SG_Criteria!$B$15,G200&lt;SG_Criteria!$B$16)),"FAIL: below PUB min "&amp;SG_Criteria!$B$15&amp;"x"&amp;SG_Criteria!$B$16&amp;" for roadside drain. ","")&amp;IF(AND(D200="Common drain",F200&lt;SG_Criteria!$B$17),"FAIL: common drain W &lt; "&amp;SG_Criteria!$B$17&amp;" mm. ","")&amp;IF(AND(N200&lt;&gt;"",IFERROR(VALUE(MID(N200,2,2)),0)&lt;SG_Criteria!$B$19),"FAIL: grade below C"&amp;SG_Criteria!$B$19&amp;". ","")&amp;IF(AND(O200&lt;&gt;"",O200&lt;SG_Criteria!$B$20),"FAIL: cover &lt; "&amp;SG_Criteria!$B$20&amp;" mm. ","")&amp;IF(AND(E200="Open",G200&gt;SG_Criteria!$B$18),"NOTE: safety railing required (D &gt; "&amp;SG_Criteria!$B$18&amp;" mm). ","")&amp;IF(AND(D200="Entrance culvert",G200&lt;600),"NOTE: check hinged grating rule for culverts &lt; 600 deep (PUB Add. 3). ","")))</f>
        <v/>
      </c>
      <c r="AP200" s="9"/>
      <c r="AQ200" s="9"/>
      <c r="AR200" s="9"/>
      <c r="AS200" s="9"/>
      <c r="AT200" s="9"/>
      <c r="AU200" s="31"/>
      <c r="AV200" s="10" t="str">
        <f aca="false">IF(C200="","",IF(AND(V200="Approved",ISERROR(SEARCH("FAIL",AO200))),"Y","N"))</f>
        <v/>
      </c>
      <c r="AW200" s="10" t="str">
        <f aca="false">IF(C200="","",C200&amp;"|"&amp;F200&amp;"|"&amp;G200&amp;"|"&amp;L200&amp;"|"&amp;AV200)</f>
        <v/>
      </c>
    </row>
    <row r="201" customFormat="false" ht="15" hidden="false" customHeight="false" outlineLevel="0" collapsed="false">
      <c r="A201" s="10" t="str">
        <f aca="false">IF(C201="","","DRN-"&amp;IFERROR(VLOOKUP(C201,Lists!$A$4:$B$27,2,0),"??")&amp;"-"&amp;TEXT(F201,"0000")&amp;"x"&amp;TEXT(G201,"0000")&amp;IF(N(H201)&gt;1,"-"&amp;H201&amp;"C","")&amp;"-"&amp;IFERROR(VLOOKUP(L201,Lists!$J$4:$K$19,2,0),"??")&amp;"-"&amp;U201)</f>
        <v/>
      </c>
      <c r="B201" s="10" t="str">
        <f aca="false">IF(C201="","",C201&amp;" "&amp;F201&amp;"W x "&amp;G201&amp;"D"&amp;IF(N(H201)&gt;1," ("&amp;H201&amp;" cells)","")&amp;", "&amp;D201&amp;", "&amp;L201&amp;", "&amp;E201)</f>
        <v/>
      </c>
      <c r="C201" s="9"/>
      <c r="D201" s="9"/>
      <c r="E201" s="9"/>
      <c r="F201" s="40"/>
      <c r="G201" s="40"/>
      <c r="H201" s="40"/>
      <c r="I201" s="40"/>
      <c r="J201" s="40"/>
      <c r="K201" s="40"/>
      <c r="L201" s="9"/>
      <c r="M201" s="9"/>
      <c r="N201" s="9"/>
      <c r="O201" s="40"/>
      <c r="P201" s="9"/>
      <c r="Q201" s="9"/>
      <c r="R201" s="9"/>
      <c r="S201" s="9"/>
      <c r="T201" s="9"/>
      <c r="U201" s="9"/>
      <c r="V201" s="9"/>
      <c r="W201" s="9"/>
      <c r="X201" s="9"/>
      <c r="Y201" s="9"/>
      <c r="Z201" s="10" t="str">
        <f aca="false">IF(A201="","",SG_Criteria!$B$6&amp;SG_Criteria!$B$7&amp;"\"&amp;A201&amp;"\")</f>
        <v/>
      </c>
      <c r="AA201" s="10" t="str">
        <f aca="false">IF(A201="","",A201&amp;"_CAD.dwg")</f>
        <v/>
      </c>
      <c r="AB201" s="10" t="str">
        <f aca="false">IF(A201="","",A201&amp;"_DWG.pdf")</f>
        <v/>
      </c>
      <c r="AC201" s="10" t="str">
        <f aca="false">IF(A201="","",IF(Y201="Y",A201&amp;"_STAAD.std","n/a"))</f>
        <v/>
      </c>
      <c r="AD201" s="10" t="str">
        <f aca="false">IF(A201="","",A201&amp;"_CALC.xlsx")</f>
        <v/>
      </c>
      <c r="AE201" s="10" t="str">
        <f aca="false">IF(A201="","",A201&amp;"_CALC.pdf")</f>
        <v/>
      </c>
      <c r="AF201" s="9"/>
      <c r="AG201" s="9"/>
      <c r="AH201" s="41"/>
      <c r="AI201" s="41"/>
      <c r="AJ201" s="41"/>
      <c r="AK201" s="41"/>
      <c r="AL201" s="41"/>
      <c r="AM201" s="37" t="str">
        <f aca="false">IF(OR(C201="",F201="",G201="",C201="Sump",C201="Drop Inlet Chamber",C201="Silt Trap",C201="Pipe Culvert",C201="Subsoil Drain"),"",ROUND(MAX(1,N(H201))*(1/SG_Criteria!$B$26)*((F201/1000)*(G201/1000*(1-SG_Criteria!$B$25)))*(((F201/1000)*(G201/1000*(1-SG_Criteria!$B$25)))/((F201/1000)+2*(G201/1000*(1-SG_Criteria!$B$25))))^(2/3)*(1/Design_Selector!$B$11)^0.5,3))</f>
        <v/>
      </c>
      <c r="AN201" s="11" t="str">
        <f aca="false">IF(AM201="","",ROUND(AM201/(MAX(1,N(H201))*F201/1000*(G201/1000*(1-SG_Criteria!$B$25))),2))</f>
        <v/>
      </c>
      <c r="AO201" s="38" t="str">
        <f aca="false">IF(C201="","",IF(LEN(IF(AND(OR(D201="Roadside drain",D201="Entrance culvert"),OR(F201&lt;SG_Criteria!$B$15,G201&lt;SG_Criteria!$B$16)),"FAIL: below PUB min "&amp;SG_Criteria!$B$15&amp;"x"&amp;SG_Criteria!$B$16&amp;" for roadside drain. ","")&amp;IF(AND(D201="Common drain",F201&lt;SG_Criteria!$B$17),"FAIL: common drain W &lt; "&amp;SG_Criteria!$B$17&amp;" mm. ","")&amp;IF(AND(N201&lt;&gt;"",IFERROR(VALUE(MID(N201,2,2)),0)&lt;SG_Criteria!$B$19),"FAIL: grade below C"&amp;SG_Criteria!$B$19&amp;". ","")&amp;IF(AND(O201&lt;&gt;"",O201&lt;SG_Criteria!$B$20),"FAIL: cover &lt; "&amp;SG_Criteria!$B$20&amp;" mm. ","")&amp;IF(AND(E201="Open",G201&gt;SG_Criteria!$B$18),"NOTE: safety railing required (D &gt; "&amp;SG_Criteria!$B$18&amp;" mm). ","")&amp;IF(AND(D201="Entrance culvert",G201&lt;600),"NOTE: check hinged grating rule for culverts &lt; 600 deep (PUB Add. 3). ",""))=0,"OK",IF(AND(OR(D201="Roadside drain",D201="Entrance culvert"),OR(F201&lt;SG_Criteria!$B$15,G201&lt;SG_Criteria!$B$16)),"FAIL: below PUB min "&amp;SG_Criteria!$B$15&amp;"x"&amp;SG_Criteria!$B$16&amp;" for roadside drain. ","")&amp;IF(AND(D201="Common drain",F201&lt;SG_Criteria!$B$17),"FAIL: common drain W &lt; "&amp;SG_Criteria!$B$17&amp;" mm. ","")&amp;IF(AND(N201&lt;&gt;"",IFERROR(VALUE(MID(N201,2,2)),0)&lt;SG_Criteria!$B$19),"FAIL: grade below C"&amp;SG_Criteria!$B$19&amp;". ","")&amp;IF(AND(O201&lt;&gt;"",O201&lt;SG_Criteria!$B$20),"FAIL: cover &lt; "&amp;SG_Criteria!$B$20&amp;" mm. ","")&amp;IF(AND(E201="Open",G201&gt;SG_Criteria!$B$18),"NOTE: safety railing required (D &gt; "&amp;SG_Criteria!$B$18&amp;" mm). ","")&amp;IF(AND(D201="Entrance culvert",G201&lt;600),"NOTE: check hinged grating rule for culverts &lt; 600 deep (PUB Add. 3). ","")))</f>
        <v/>
      </c>
      <c r="AP201" s="9"/>
      <c r="AQ201" s="9"/>
      <c r="AR201" s="9"/>
      <c r="AS201" s="9"/>
      <c r="AT201" s="9"/>
      <c r="AU201" s="31"/>
      <c r="AV201" s="10" t="str">
        <f aca="false">IF(C201="","",IF(AND(V201="Approved",ISERROR(SEARCH("FAIL",AO201))),"Y","N"))</f>
        <v/>
      </c>
      <c r="AW201" s="10" t="str">
        <f aca="false">IF(C201="","",C201&amp;"|"&amp;F201&amp;"|"&amp;G201&amp;"|"&amp;L201&amp;"|"&amp;AV201)</f>
        <v/>
      </c>
    </row>
    <row r="202" customFormat="false" ht="15" hidden="false" customHeight="false" outlineLevel="0" collapsed="false">
      <c r="A202" s="10" t="str">
        <f aca="false">IF(C202="","","DRN-"&amp;IFERROR(VLOOKUP(C202,Lists!$A$4:$B$27,2,0),"??")&amp;"-"&amp;TEXT(F202,"0000")&amp;"x"&amp;TEXT(G202,"0000")&amp;IF(N(H202)&gt;1,"-"&amp;H202&amp;"C","")&amp;"-"&amp;IFERROR(VLOOKUP(L202,Lists!$J$4:$K$19,2,0),"??")&amp;"-"&amp;U202)</f>
        <v/>
      </c>
      <c r="B202" s="10" t="str">
        <f aca="false">IF(C202="","",C202&amp;" "&amp;F202&amp;"W x "&amp;G202&amp;"D"&amp;IF(N(H202)&gt;1," ("&amp;H202&amp;" cells)","")&amp;", "&amp;D202&amp;", "&amp;L202&amp;", "&amp;E202)</f>
        <v/>
      </c>
      <c r="C202" s="9"/>
      <c r="D202" s="9"/>
      <c r="E202" s="9"/>
      <c r="F202" s="40"/>
      <c r="G202" s="40"/>
      <c r="H202" s="40"/>
      <c r="I202" s="40"/>
      <c r="J202" s="40"/>
      <c r="K202" s="40"/>
      <c r="L202" s="9"/>
      <c r="M202" s="9"/>
      <c r="N202" s="9"/>
      <c r="O202" s="40"/>
      <c r="P202" s="9"/>
      <c r="Q202" s="9"/>
      <c r="R202" s="9"/>
      <c r="S202" s="9"/>
      <c r="T202" s="9"/>
      <c r="U202" s="9"/>
      <c r="V202" s="9"/>
      <c r="W202" s="9"/>
      <c r="X202" s="9"/>
      <c r="Y202" s="9"/>
      <c r="Z202" s="10" t="str">
        <f aca="false">IF(A202="","",SG_Criteria!$B$6&amp;SG_Criteria!$B$7&amp;"\"&amp;A202&amp;"\")</f>
        <v/>
      </c>
      <c r="AA202" s="10" t="str">
        <f aca="false">IF(A202="","",A202&amp;"_CAD.dwg")</f>
        <v/>
      </c>
      <c r="AB202" s="10" t="str">
        <f aca="false">IF(A202="","",A202&amp;"_DWG.pdf")</f>
        <v/>
      </c>
      <c r="AC202" s="10" t="str">
        <f aca="false">IF(A202="","",IF(Y202="Y",A202&amp;"_STAAD.std","n/a"))</f>
        <v/>
      </c>
      <c r="AD202" s="10" t="str">
        <f aca="false">IF(A202="","",A202&amp;"_CALC.xlsx")</f>
        <v/>
      </c>
      <c r="AE202" s="10" t="str">
        <f aca="false">IF(A202="","",A202&amp;"_CALC.pdf")</f>
        <v/>
      </c>
      <c r="AF202" s="9"/>
      <c r="AG202" s="9"/>
      <c r="AH202" s="41"/>
      <c r="AI202" s="41"/>
      <c r="AJ202" s="41"/>
      <c r="AK202" s="41"/>
      <c r="AL202" s="41"/>
      <c r="AM202" s="37" t="str">
        <f aca="false">IF(OR(C202="",F202="",G202="",C202="Sump",C202="Drop Inlet Chamber",C202="Silt Trap",C202="Pipe Culvert",C202="Subsoil Drain"),"",ROUND(MAX(1,N(H202))*(1/SG_Criteria!$B$26)*((F202/1000)*(G202/1000*(1-SG_Criteria!$B$25)))*(((F202/1000)*(G202/1000*(1-SG_Criteria!$B$25)))/((F202/1000)+2*(G202/1000*(1-SG_Criteria!$B$25))))^(2/3)*(1/Design_Selector!$B$11)^0.5,3))</f>
        <v/>
      </c>
      <c r="AN202" s="11" t="str">
        <f aca="false">IF(AM202="","",ROUND(AM202/(MAX(1,N(H202))*F202/1000*(G202/1000*(1-SG_Criteria!$B$25))),2))</f>
        <v/>
      </c>
      <c r="AO202" s="38" t="str">
        <f aca="false">IF(C202="","",IF(LEN(IF(AND(OR(D202="Roadside drain",D202="Entrance culvert"),OR(F202&lt;SG_Criteria!$B$15,G202&lt;SG_Criteria!$B$16)),"FAIL: below PUB min "&amp;SG_Criteria!$B$15&amp;"x"&amp;SG_Criteria!$B$16&amp;" for roadside drain. ","")&amp;IF(AND(D202="Common drain",F202&lt;SG_Criteria!$B$17),"FAIL: common drain W &lt; "&amp;SG_Criteria!$B$17&amp;" mm. ","")&amp;IF(AND(N202&lt;&gt;"",IFERROR(VALUE(MID(N202,2,2)),0)&lt;SG_Criteria!$B$19),"FAIL: grade below C"&amp;SG_Criteria!$B$19&amp;". ","")&amp;IF(AND(O202&lt;&gt;"",O202&lt;SG_Criteria!$B$20),"FAIL: cover &lt; "&amp;SG_Criteria!$B$20&amp;" mm. ","")&amp;IF(AND(E202="Open",G202&gt;SG_Criteria!$B$18),"NOTE: safety railing required (D &gt; "&amp;SG_Criteria!$B$18&amp;" mm). ","")&amp;IF(AND(D202="Entrance culvert",G202&lt;600),"NOTE: check hinged grating rule for culverts &lt; 600 deep (PUB Add. 3). ",""))=0,"OK",IF(AND(OR(D202="Roadside drain",D202="Entrance culvert"),OR(F202&lt;SG_Criteria!$B$15,G202&lt;SG_Criteria!$B$16)),"FAIL: below PUB min "&amp;SG_Criteria!$B$15&amp;"x"&amp;SG_Criteria!$B$16&amp;" for roadside drain. ","")&amp;IF(AND(D202="Common drain",F202&lt;SG_Criteria!$B$17),"FAIL: common drain W &lt; "&amp;SG_Criteria!$B$17&amp;" mm. ","")&amp;IF(AND(N202&lt;&gt;"",IFERROR(VALUE(MID(N202,2,2)),0)&lt;SG_Criteria!$B$19),"FAIL: grade below C"&amp;SG_Criteria!$B$19&amp;". ","")&amp;IF(AND(O202&lt;&gt;"",O202&lt;SG_Criteria!$B$20),"FAIL: cover &lt; "&amp;SG_Criteria!$B$20&amp;" mm. ","")&amp;IF(AND(E202="Open",G202&gt;SG_Criteria!$B$18),"NOTE: safety railing required (D &gt; "&amp;SG_Criteria!$B$18&amp;" mm). ","")&amp;IF(AND(D202="Entrance culvert",G202&lt;600),"NOTE: check hinged grating rule for culverts &lt; 600 deep (PUB Add. 3). ","")))</f>
        <v/>
      </c>
      <c r="AP202" s="9"/>
      <c r="AQ202" s="9"/>
      <c r="AR202" s="9"/>
      <c r="AS202" s="9"/>
      <c r="AT202" s="9"/>
      <c r="AU202" s="31"/>
      <c r="AV202" s="10" t="str">
        <f aca="false">IF(C202="","",IF(AND(V202="Approved",ISERROR(SEARCH("FAIL",AO202))),"Y","N"))</f>
        <v/>
      </c>
      <c r="AW202" s="10" t="str">
        <f aca="false">IF(C202="","",C202&amp;"|"&amp;F202&amp;"|"&amp;G202&amp;"|"&amp;L202&amp;"|"&amp;AV202)</f>
        <v/>
      </c>
    </row>
    <row r="203" customFormat="false" ht="15" hidden="false" customHeight="false" outlineLevel="0" collapsed="false">
      <c r="A203" s="10" t="str">
        <f aca="false">IF(C203="","","DRN-"&amp;IFERROR(VLOOKUP(C203,Lists!$A$4:$B$27,2,0),"??")&amp;"-"&amp;TEXT(F203,"0000")&amp;"x"&amp;TEXT(G203,"0000")&amp;IF(N(H203)&gt;1,"-"&amp;H203&amp;"C","")&amp;"-"&amp;IFERROR(VLOOKUP(L203,Lists!$J$4:$K$19,2,0),"??")&amp;"-"&amp;U203)</f>
        <v/>
      </c>
      <c r="B203" s="10" t="str">
        <f aca="false">IF(C203="","",C203&amp;" "&amp;F203&amp;"W x "&amp;G203&amp;"D"&amp;IF(N(H203)&gt;1," ("&amp;H203&amp;" cells)","")&amp;", "&amp;D203&amp;", "&amp;L203&amp;", "&amp;E203)</f>
        <v/>
      </c>
      <c r="C203" s="9"/>
      <c r="D203" s="9"/>
      <c r="E203" s="9"/>
      <c r="F203" s="40"/>
      <c r="G203" s="40"/>
      <c r="H203" s="40"/>
      <c r="I203" s="40"/>
      <c r="J203" s="40"/>
      <c r="K203" s="40"/>
      <c r="L203" s="9"/>
      <c r="M203" s="9"/>
      <c r="N203" s="9"/>
      <c r="O203" s="40"/>
      <c r="P203" s="9"/>
      <c r="Q203" s="9"/>
      <c r="R203" s="9"/>
      <c r="S203" s="9"/>
      <c r="T203" s="9"/>
      <c r="U203" s="9"/>
      <c r="V203" s="9"/>
      <c r="W203" s="9"/>
      <c r="X203" s="9"/>
      <c r="Y203" s="9"/>
      <c r="Z203" s="10" t="str">
        <f aca="false">IF(A203="","",SG_Criteria!$B$6&amp;SG_Criteria!$B$7&amp;"\"&amp;A203&amp;"\")</f>
        <v/>
      </c>
      <c r="AA203" s="10" t="str">
        <f aca="false">IF(A203="","",A203&amp;"_CAD.dwg")</f>
        <v/>
      </c>
      <c r="AB203" s="10" t="str">
        <f aca="false">IF(A203="","",A203&amp;"_DWG.pdf")</f>
        <v/>
      </c>
      <c r="AC203" s="10" t="str">
        <f aca="false">IF(A203="","",IF(Y203="Y",A203&amp;"_STAAD.std","n/a"))</f>
        <v/>
      </c>
      <c r="AD203" s="10" t="str">
        <f aca="false">IF(A203="","",A203&amp;"_CALC.xlsx")</f>
        <v/>
      </c>
      <c r="AE203" s="10" t="str">
        <f aca="false">IF(A203="","",A203&amp;"_CALC.pdf")</f>
        <v/>
      </c>
      <c r="AF203" s="9"/>
      <c r="AG203" s="9"/>
      <c r="AH203" s="41"/>
      <c r="AI203" s="41"/>
      <c r="AJ203" s="41"/>
      <c r="AK203" s="41"/>
      <c r="AL203" s="41"/>
      <c r="AM203" s="37" t="str">
        <f aca="false">IF(OR(C203="",F203="",G203="",C203="Sump",C203="Drop Inlet Chamber",C203="Silt Trap",C203="Pipe Culvert",C203="Subsoil Drain"),"",ROUND(MAX(1,N(H203))*(1/SG_Criteria!$B$26)*((F203/1000)*(G203/1000*(1-SG_Criteria!$B$25)))*(((F203/1000)*(G203/1000*(1-SG_Criteria!$B$25)))/((F203/1000)+2*(G203/1000*(1-SG_Criteria!$B$25))))^(2/3)*(1/Design_Selector!$B$11)^0.5,3))</f>
        <v/>
      </c>
      <c r="AN203" s="11" t="str">
        <f aca="false">IF(AM203="","",ROUND(AM203/(MAX(1,N(H203))*F203/1000*(G203/1000*(1-SG_Criteria!$B$25))),2))</f>
        <v/>
      </c>
      <c r="AO203" s="38" t="str">
        <f aca="false">IF(C203="","",IF(LEN(IF(AND(OR(D203="Roadside drain",D203="Entrance culvert"),OR(F203&lt;SG_Criteria!$B$15,G203&lt;SG_Criteria!$B$16)),"FAIL: below PUB min "&amp;SG_Criteria!$B$15&amp;"x"&amp;SG_Criteria!$B$16&amp;" for roadside drain. ","")&amp;IF(AND(D203="Common drain",F203&lt;SG_Criteria!$B$17),"FAIL: common drain W &lt; "&amp;SG_Criteria!$B$17&amp;" mm. ","")&amp;IF(AND(N203&lt;&gt;"",IFERROR(VALUE(MID(N203,2,2)),0)&lt;SG_Criteria!$B$19),"FAIL: grade below C"&amp;SG_Criteria!$B$19&amp;". ","")&amp;IF(AND(O203&lt;&gt;"",O203&lt;SG_Criteria!$B$20),"FAIL: cover &lt; "&amp;SG_Criteria!$B$20&amp;" mm. ","")&amp;IF(AND(E203="Open",G203&gt;SG_Criteria!$B$18),"NOTE: safety railing required (D &gt; "&amp;SG_Criteria!$B$18&amp;" mm). ","")&amp;IF(AND(D203="Entrance culvert",G203&lt;600),"NOTE: check hinged grating rule for culverts &lt; 600 deep (PUB Add. 3). ",""))=0,"OK",IF(AND(OR(D203="Roadside drain",D203="Entrance culvert"),OR(F203&lt;SG_Criteria!$B$15,G203&lt;SG_Criteria!$B$16)),"FAIL: below PUB min "&amp;SG_Criteria!$B$15&amp;"x"&amp;SG_Criteria!$B$16&amp;" for roadside drain. ","")&amp;IF(AND(D203="Common drain",F203&lt;SG_Criteria!$B$17),"FAIL: common drain W &lt; "&amp;SG_Criteria!$B$17&amp;" mm. ","")&amp;IF(AND(N203&lt;&gt;"",IFERROR(VALUE(MID(N203,2,2)),0)&lt;SG_Criteria!$B$19),"FAIL: grade below C"&amp;SG_Criteria!$B$19&amp;". ","")&amp;IF(AND(O203&lt;&gt;"",O203&lt;SG_Criteria!$B$20),"FAIL: cover &lt; "&amp;SG_Criteria!$B$20&amp;" mm. ","")&amp;IF(AND(E203="Open",G203&gt;SG_Criteria!$B$18),"NOTE: safety railing required (D &gt; "&amp;SG_Criteria!$B$18&amp;" mm). ","")&amp;IF(AND(D203="Entrance culvert",G203&lt;600),"NOTE: check hinged grating rule for culverts &lt; 600 deep (PUB Add. 3). ","")))</f>
        <v/>
      </c>
      <c r="AP203" s="9"/>
      <c r="AQ203" s="9"/>
      <c r="AR203" s="9"/>
      <c r="AS203" s="9"/>
      <c r="AT203" s="9"/>
      <c r="AU203" s="31"/>
      <c r="AV203" s="10" t="str">
        <f aca="false">IF(C203="","",IF(AND(V203="Approved",ISERROR(SEARCH("FAIL",AO203))),"Y","N"))</f>
        <v/>
      </c>
      <c r="AW203" s="10" t="str">
        <f aca="false">IF(C203="","",C203&amp;"|"&amp;F203&amp;"|"&amp;G203&amp;"|"&amp;L203&amp;"|"&amp;AV203)</f>
        <v/>
      </c>
    </row>
    <row r="204" customFormat="false" ht="15" hidden="false" customHeight="false" outlineLevel="0" collapsed="false">
      <c r="A204" s="10" t="str">
        <f aca="false">IF(C204="","","DRN-"&amp;IFERROR(VLOOKUP(C204,Lists!$A$4:$B$27,2,0),"??")&amp;"-"&amp;TEXT(F204,"0000")&amp;"x"&amp;TEXT(G204,"0000")&amp;IF(N(H204)&gt;1,"-"&amp;H204&amp;"C","")&amp;"-"&amp;IFERROR(VLOOKUP(L204,Lists!$J$4:$K$19,2,0),"??")&amp;"-"&amp;U204)</f>
        <v/>
      </c>
      <c r="B204" s="10" t="str">
        <f aca="false">IF(C204="","",C204&amp;" "&amp;F204&amp;"W x "&amp;G204&amp;"D"&amp;IF(N(H204)&gt;1," ("&amp;H204&amp;" cells)","")&amp;", "&amp;D204&amp;", "&amp;L204&amp;", "&amp;E204)</f>
        <v/>
      </c>
      <c r="C204" s="9"/>
      <c r="D204" s="9"/>
      <c r="E204" s="9"/>
      <c r="F204" s="40"/>
      <c r="G204" s="40"/>
      <c r="H204" s="40"/>
      <c r="I204" s="40"/>
      <c r="J204" s="40"/>
      <c r="K204" s="40"/>
      <c r="L204" s="9"/>
      <c r="M204" s="9"/>
      <c r="N204" s="9"/>
      <c r="O204" s="40"/>
      <c r="P204" s="9"/>
      <c r="Q204" s="9"/>
      <c r="R204" s="9"/>
      <c r="S204" s="9"/>
      <c r="T204" s="9"/>
      <c r="U204" s="9"/>
      <c r="V204" s="9"/>
      <c r="W204" s="9"/>
      <c r="X204" s="9"/>
      <c r="Y204" s="9"/>
      <c r="Z204" s="10" t="str">
        <f aca="false">IF(A204="","",SG_Criteria!$B$6&amp;SG_Criteria!$B$7&amp;"\"&amp;A204&amp;"\")</f>
        <v/>
      </c>
      <c r="AA204" s="10" t="str">
        <f aca="false">IF(A204="","",A204&amp;"_CAD.dwg")</f>
        <v/>
      </c>
      <c r="AB204" s="10" t="str">
        <f aca="false">IF(A204="","",A204&amp;"_DWG.pdf")</f>
        <v/>
      </c>
      <c r="AC204" s="10" t="str">
        <f aca="false">IF(A204="","",IF(Y204="Y",A204&amp;"_STAAD.std","n/a"))</f>
        <v/>
      </c>
      <c r="AD204" s="10" t="str">
        <f aca="false">IF(A204="","",A204&amp;"_CALC.xlsx")</f>
        <v/>
      </c>
      <c r="AE204" s="10" t="str">
        <f aca="false">IF(A204="","",A204&amp;"_CALC.pdf")</f>
        <v/>
      </c>
      <c r="AF204" s="9"/>
      <c r="AG204" s="9"/>
      <c r="AH204" s="41"/>
      <c r="AI204" s="41"/>
      <c r="AJ204" s="41"/>
      <c r="AK204" s="41"/>
      <c r="AL204" s="41"/>
      <c r="AM204" s="37" t="str">
        <f aca="false">IF(OR(C204="",F204="",G204="",C204="Sump",C204="Drop Inlet Chamber",C204="Silt Trap",C204="Pipe Culvert",C204="Subsoil Drain"),"",ROUND(MAX(1,N(H204))*(1/SG_Criteria!$B$26)*((F204/1000)*(G204/1000*(1-SG_Criteria!$B$25)))*(((F204/1000)*(G204/1000*(1-SG_Criteria!$B$25)))/((F204/1000)+2*(G204/1000*(1-SG_Criteria!$B$25))))^(2/3)*(1/Design_Selector!$B$11)^0.5,3))</f>
        <v/>
      </c>
      <c r="AN204" s="11" t="str">
        <f aca="false">IF(AM204="","",ROUND(AM204/(MAX(1,N(H204))*F204/1000*(G204/1000*(1-SG_Criteria!$B$25))),2))</f>
        <v/>
      </c>
      <c r="AO204" s="38" t="str">
        <f aca="false">IF(C204="","",IF(LEN(IF(AND(OR(D204="Roadside drain",D204="Entrance culvert"),OR(F204&lt;SG_Criteria!$B$15,G204&lt;SG_Criteria!$B$16)),"FAIL: below PUB min "&amp;SG_Criteria!$B$15&amp;"x"&amp;SG_Criteria!$B$16&amp;" for roadside drain. ","")&amp;IF(AND(D204="Common drain",F204&lt;SG_Criteria!$B$17),"FAIL: common drain W &lt; "&amp;SG_Criteria!$B$17&amp;" mm. ","")&amp;IF(AND(N204&lt;&gt;"",IFERROR(VALUE(MID(N204,2,2)),0)&lt;SG_Criteria!$B$19),"FAIL: grade below C"&amp;SG_Criteria!$B$19&amp;". ","")&amp;IF(AND(O204&lt;&gt;"",O204&lt;SG_Criteria!$B$20),"FAIL: cover &lt; "&amp;SG_Criteria!$B$20&amp;" mm. ","")&amp;IF(AND(E204="Open",G204&gt;SG_Criteria!$B$18),"NOTE: safety railing required (D &gt; "&amp;SG_Criteria!$B$18&amp;" mm). ","")&amp;IF(AND(D204="Entrance culvert",G204&lt;600),"NOTE: check hinged grating rule for culverts &lt; 600 deep (PUB Add. 3). ",""))=0,"OK",IF(AND(OR(D204="Roadside drain",D204="Entrance culvert"),OR(F204&lt;SG_Criteria!$B$15,G204&lt;SG_Criteria!$B$16)),"FAIL: below PUB min "&amp;SG_Criteria!$B$15&amp;"x"&amp;SG_Criteria!$B$16&amp;" for roadside drain. ","")&amp;IF(AND(D204="Common drain",F204&lt;SG_Criteria!$B$17),"FAIL: common drain W &lt; "&amp;SG_Criteria!$B$17&amp;" mm. ","")&amp;IF(AND(N204&lt;&gt;"",IFERROR(VALUE(MID(N204,2,2)),0)&lt;SG_Criteria!$B$19),"FAIL: grade below C"&amp;SG_Criteria!$B$19&amp;". ","")&amp;IF(AND(O204&lt;&gt;"",O204&lt;SG_Criteria!$B$20),"FAIL: cover &lt; "&amp;SG_Criteria!$B$20&amp;" mm. ","")&amp;IF(AND(E204="Open",G204&gt;SG_Criteria!$B$18),"NOTE: safety railing required (D &gt; "&amp;SG_Criteria!$B$18&amp;" mm). ","")&amp;IF(AND(D204="Entrance culvert",G204&lt;600),"NOTE: check hinged grating rule for culverts &lt; 600 deep (PUB Add. 3). ","")))</f>
        <v/>
      </c>
      <c r="AP204" s="9"/>
      <c r="AQ204" s="9"/>
      <c r="AR204" s="9"/>
      <c r="AS204" s="9"/>
      <c r="AT204" s="9"/>
      <c r="AU204" s="31"/>
      <c r="AV204" s="10" t="str">
        <f aca="false">IF(C204="","",IF(AND(V204="Approved",ISERROR(SEARCH("FAIL",AO204))),"Y","N"))</f>
        <v/>
      </c>
      <c r="AW204" s="10" t="str">
        <f aca="false">IF(C204="","",C204&amp;"|"&amp;F204&amp;"|"&amp;G204&amp;"|"&amp;L204&amp;"|"&amp;AV204)</f>
        <v/>
      </c>
    </row>
    <row r="205" customFormat="false" ht="15" hidden="false" customHeight="false" outlineLevel="0" collapsed="false">
      <c r="A205" s="10" t="str">
        <f aca="false">IF(C205="","","DRN-"&amp;IFERROR(VLOOKUP(C205,Lists!$A$4:$B$27,2,0),"??")&amp;"-"&amp;TEXT(F205,"0000")&amp;"x"&amp;TEXT(G205,"0000")&amp;IF(N(H205)&gt;1,"-"&amp;H205&amp;"C","")&amp;"-"&amp;IFERROR(VLOOKUP(L205,Lists!$J$4:$K$19,2,0),"??")&amp;"-"&amp;U205)</f>
        <v/>
      </c>
      <c r="B205" s="10" t="str">
        <f aca="false">IF(C205="","",C205&amp;" "&amp;F205&amp;"W x "&amp;G205&amp;"D"&amp;IF(N(H205)&gt;1," ("&amp;H205&amp;" cells)","")&amp;", "&amp;D205&amp;", "&amp;L205&amp;", "&amp;E205)</f>
        <v/>
      </c>
      <c r="C205" s="9"/>
      <c r="D205" s="9"/>
      <c r="E205" s="9"/>
      <c r="F205" s="40"/>
      <c r="G205" s="40"/>
      <c r="H205" s="40"/>
      <c r="I205" s="40"/>
      <c r="J205" s="40"/>
      <c r="K205" s="40"/>
      <c r="L205" s="9"/>
      <c r="M205" s="9"/>
      <c r="N205" s="9"/>
      <c r="O205" s="40"/>
      <c r="P205" s="9"/>
      <c r="Q205" s="9"/>
      <c r="R205" s="9"/>
      <c r="S205" s="9"/>
      <c r="T205" s="9"/>
      <c r="U205" s="9"/>
      <c r="V205" s="9"/>
      <c r="W205" s="9"/>
      <c r="X205" s="9"/>
      <c r="Y205" s="9"/>
      <c r="Z205" s="10" t="str">
        <f aca="false">IF(A205="","",SG_Criteria!$B$6&amp;SG_Criteria!$B$7&amp;"\"&amp;A205&amp;"\")</f>
        <v/>
      </c>
      <c r="AA205" s="10" t="str">
        <f aca="false">IF(A205="","",A205&amp;"_CAD.dwg")</f>
        <v/>
      </c>
      <c r="AB205" s="10" t="str">
        <f aca="false">IF(A205="","",A205&amp;"_DWG.pdf")</f>
        <v/>
      </c>
      <c r="AC205" s="10" t="str">
        <f aca="false">IF(A205="","",IF(Y205="Y",A205&amp;"_STAAD.std","n/a"))</f>
        <v/>
      </c>
      <c r="AD205" s="10" t="str">
        <f aca="false">IF(A205="","",A205&amp;"_CALC.xlsx")</f>
        <v/>
      </c>
      <c r="AE205" s="10" t="str">
        <f aca="false">IF(A205="","",A205&amp;"_CALC.pdf")</f>
        <v/>
      </c>
      <c r="AF205" s="9"/>
      <c r="AG205" s="9"/>
      <c r="AH205" s="41"/>
      <c r="AI205" s="41"/>
      <c r="AJ205" s="41"/>
      <c r="AK205" s="41"/>
      <c r="AL205" s="41"/>
      <c r="AM205" s="37" t="str">
        <f aca="false">IF(OR(C205="",F205="",G205="",C205="Sump",C205="Drop Inlet Chamber",C205="Silt Trap",C205="Pipe Culvert",C205="Subsoil Drain"),"",ROUND(MAX(1,N(H205))*(1/SG_Criteria!$B$26)*((F205/1000)*(G205/1000*(1-SG_Criteria!$B$25)))*(((F205/1000)*(G205/1000*(1-SG_Criteria!$B$25)))/((F205/1000)+2*(G205/1000*(1-SG_Criteria!$B$25))))^(2/3)*(1/Design_Selector!$B$11)^0.5,3))</f>
        <v/>
      </c>
      <c r="AN205" s="11" t="str">
        <f aca="false">IF(AM205="","",ROUND(AM205/(MAX(1,N(H205))*F205/1000*(G205/1000*(1-SG_Criteria!$B$25))),2))</f>
        <v/>
      </c>
      <c r="AO205" s="38" t="str">
        <f aca="false">IF(C205="","",IF(LEN(IF(AND(OR(D205="Roadside drain",D205="Entrance culvert"),OR(F205&lt;SG_Criteria!$B$15,G205&lt;SG_Criteria!$B$16)),"FAIL: below PUB min "&amp;SG_Criteria!$B$15&amp;"x"&amp;SG_Criteria!$B$16&amp;" for roadside drain. ","")&amp;IF(AND(D205="Common drain",F205&lt;SG_Criteria!$B$17),"FAIL: common drain W &lt; "&amp;SG_Criteria!$B$17&amp;" mm. ","")&amp;IF(AND(N205&lt;&gt;"",IFERROR(VALUE(MID(N205,2,2)),0)&lt;SG_Criteria!$B$19),"FAIL: grade below C"&amp;SG_Criteria!$B$19&amp;". ","")&amp;IF(AND(O205&lt;&gt;"",O205&lt;SG_Criteria!$B$20),"FAIL: cover &lt; "&amp;SG_Criteria!$B$20&amp;" mm. ","")&amp;IF(AND(E205="Open",G205&gt;SG_Criteria!$B$18),"NOTE: safety railing required (D &gt; "&amp;SG_Criteria!$B$18&amp;" mm). ","")&amp;IF(AND(D205="Entrance culvert",G205&lt;600),"NOTE: check hinged grating rule for culverts &lt; 600 deep (PUB Add. 3). ",""))=0,"OK",IF(AND(OR(D205="Roadside drain",D205="Entrance culvert"),OR(F205&lt;SG_Criteria!$B$15,G205&lt;SG_Criteria!$B$16)),"FAIL: below PUB min "&amp;SG_Criteria!$B$15&amp;"x"&amp;SG_Criteria!$B$16&amp;" for roadside drain. ","")&amp;IF(AND(D205="Common drain",F205&lt;SG_Criteria!$B$17),"FAIL: common drain W &lt; "&amp;SG_Criteria!$B$17&amp;" mm. ","")&amp;IF(AND(N205&lt;&gt;"",IFERROR(VALUE(MID(N205,2,2)),0)&lt;SG_Criteria!$B$19),"FAIL: grade below C"&amp;SG_Criteria!$B$19&amp;". ","")&amp;IF(AND(O205&lt;&gt;"",O205&lt;SG_Criteria!$B$20),"FAIL: cover &lt; "&amp;SG_Criteria!$B$20&amp;" mm. ","")&amp;IF(AND(E205="Open",G205&gt;SG_Criteria!$B$18),"NOTE: safety railing required (D &gt; "&amp;SG_Criteria!$B$18&amp;" mm). ","")&amp;IF(AND(D205="Entrance culvert",G205&lt;600),"NOTE: check hinged grating rule for culverts &lt; 600 deep (PUB Add. 3). ","")))</f>
        <v/>
      </c>
      <c r="AP205" s="9"/>
      <c r="AQ205" s="9"/>
      <c r="AR205" s="9"/>
      <c r="AS205" s="9"/>
      <c r="AT205" s="9"/>
      <c r="AU205" s="31"/>
      <c r="AV205" s="10" t="str">
        <f aca="false">IF(C205="","",IF(AND(V205="Approved",ISERROR(SEARCH("FAIL",AO205))),"Y","N"))</f>
        <v/>
      </c>
      <c r="AW205" s="10" t="str">
        <f aca="false">IF(C205="","",C205&amp;"|"&amp;F205&amp;"|"&amp;G205&amp;"|"&amp;L205&amp;"|"&amp;AV205)</f>
        <v/>
      </c>
    </row>
    <row r="206" customFormat="false" ht="15" hidden="false" customHeight="false" outlineLevel="0" collapsed="false">
      <c r="A206" s="10" t="str">
        <f aca="false">IF(C206="","","DRN-"&amp;IFERROR(VLOOKUP(C206,Lists!$A$4:$B$27,2,0),"??")&amp;"-"&amp;TEXT(F206,"0000")&amp;"x"&amp;TEXT(G206,"0000")&amp;IF(N(H206)&gt;1,"-"&amp;H206&amp;"C","")&amp;"-"&amp;IFERROR(VLOOKUP(L206,Lists!$J$4:$K$19,2,0),"??")&amp;"-"&amp;U206)</f>
        <v/>
      </c>
      <c r="B206" s="10" t="str">
        <f aca="false">IF(C206="","",C206&amp;" "&amp;F206&amp;"W x "&amp;G206&amp;"D"&amp;IF(N(H206)&gt;1," ("&amp;H206&amp;" cells)","")&amp;", "&amp;D206&amp;", "&amp;L206&amp;", "&amp;E206)</f>
        <v/>
      </c>
      <c r="C206" s="9"/>
      <c r="D206" s="9"/>
      <c r="E206" s="9"/>
      <c r="F206" s="40"/>
      <c r="G206" s="40"/>
      <c r="H206" s="40"/>
      <c r="I206" s="40"/>
      <c r="J206" s="40"/>
      <c r="K206" s="40"/>
      <c r="L206" s="9"/>
      <c r="M206" s="9"/>
      <c r="N206" s="9"/>
      <c r="O206" s="40"/>
      <c r="P206" s="9"/>
      <c r="Q206" s="9"/>
      <c r="R206" s="9"/>
      <c r="S206" s="9"/>
      <c r="T206" s="9"/>
      <c r="U206" s="9"/>
      <c r="V206" s="9"/>
      <c r="W206" s="9"/>
      <c r="X206" s="9"/>
      <c r="Y206" s="9"/>
      <c r="Z206" s="10" t="str">
        <f aca="false">IF(A206="","",SG_Criteria!$B$6&amp;SG_Criteria!$B$7&amp;"\"&amp;A206&amp;"\")</f>
        <v/>
      </c>
      <c r="AA206" s="10" t="str">
        <f aca="false">IF(A206="","",A206&amp;"_CAD.dwg")</f>
        <v/>
      </c>
      <c r="AB206" s="10" t="str">
        <f aca="false">IF(A206="","",A206&amp;"_DWG.pdf")</f>
        <v/>
      </c>
      <c r="AC206" s="10" t="str">
        <f aca="false">IF(A206="","",IF(Y206="Y",A206&amp;"_STAAD.std","n/a"))</f>
        <v/>
      </c>
      <c r="AD206" s="10" t="str">
        <f aca="false">IF(A206="","",A206&amp;"_CALC.xlsx")</f>
        <v/>
      </c>
      <c r="AE206" s="10" t="str">
        <f aca="false">IF(A206="","",A206&amp;"_CALC.pdf")</f>
        <v/>
      </c>
      <c r="AF206" s="9"/>
      <c r="AG206" s="9"/>
      <c r="AH206" s="41"/>
      <c r="AI206" s="41"/>
      <c r="AJ206" s="41"/>
      <c r="AK206" s="41"/>
      <c r="AL206" s="41"/>
      <c r="AM206" s="37" t="str">
        <f aca="false">IF(OR(C206="",F206="",G206="",C206="Sump",C206="Drop Inlet Chamber",C206="Silt Trap",C206="Pipe Culvert",C206="Subsoil Drain"),"",ROUND(MAX(1,N(H206))*(1/SG_Criteria!$B$26)*((F206/1000)*(G206/1000*(1-SG_Criteria!$B$25)))*(((F206/1000)*(G206/1000*(1-SG_Criteria!$B$25)))/((F206/1000)+2*(G206/1000*(1-SG_Criteria!$B$25))))^(2/3)*(1/Design_Selector!$B$11)^0.5,3))</f>
        <v/>
      </c>
      <c r="AN206" s="11" t="str">
        <f aca="false">IF(AM206="","",ROUND(AM206/(MAX(1,N(H206))*F206/1000*(G206/1000*(1-SG_Criteria!$B$25))),2))</f>
        <v/>
      </c>
      <c r="AO206" s="38" t="str">
        <f aca="false">IF(C206="","",IF(LEN(IF(AND(OR(D206="Roadside drain",D206="Entrance culvert"),OR(F206&lt;SG_Criteria!$B$15,G206&lt;SG_Criteria!$B$16)),"FAIL: below PUB min "&amp;SG_Criteria!$B$15&amp;"x"&amp;SG_Criteria!$B$16&amp;" for roadside drain. ","")&amp;IF(AND(D206="Common drain",F206&lt;SG_Criteria!$B$17),"FAIL: common drain W &lt; "&amp;SG_Criteria!$B$17&amp;" mm. ","")&amp;IF(AND(N206&lt;&gt;"",IFERROR(VALUE(MID(N206,2,2)),0)&lt;SG_Criteria!$B$19),"FAIL: grade below C"&amp;SG_Criteria!$B$19&amp;". ","")&amp;IF(AND(O206&lt;&gt;"",O206&lt;SG_Criteria!$B$20),"FAIL: cover &lt; "&amp;SG_Criteria!$B$20&amp;" mm. ","")&amp;IF(AND(E206="Open",G206&gt;SG_Criteria!$B$18),"NOTE: safety railing required (D &gt; "&amp;SG_Criteria!$B$18&amp;" mm). ","")&amp;IF(AND(D206="Entrance culvert",G206&lt;600),"NOTE: check hinged grating rule for culverts &lt; 600 deep (PUB Add. 3). ",""))=0,"OK",IF(AND(OR(D206="Roadside drain",D206="Entrance culvert"),OR(F206&lt;SG_Criteria!$B$15,G206&lt;SG_Criteria!$B$16)),"FAIL: below PUB min "&amp;SG_Criteria!$B$15&amp;"x"&amp;SG_Criteria!$B$16&amp;" for roadside drain. ","")&amp;IF(AND(D206="Common drain",F206&lt;SG_Criteria!$B$17),"FAIL: common drain W &lt; "&amp;SG_Criteria!$B$17&amp;" mm. ","")&amp;IF(AND(N206&lt;&gt;"",IFERROR(VALUE(MID(N206,2,2)),0)&lt;SG_Criteria!$B$19),"FAIL: grade below C"&amp;SG_Criteria!$B$19&amp;". ","")&amp;IF(AND(O206&lt;&gt;"",O206&lt;SG_Criteria!$B$20),"FAIL: cover &lt; "&amp;SG_Criteria!$B$20&amp;" mm. ","")&amp;IF(AND(E206="Open",G206&gt;SG_Criteria!$B$18),"NOTE: safety railing required (D &gt; "&amp;SG_Criteria!$B$18&amp;" mm). ","")&amp;IF(AND(D206="Entrance culvert",G206&lt;600),"NOTE: check hinged grating rule for culverts &lt; 600 deep (PUB Add. 3). ","")))</f>
        <v/>
      </c>
      <c r="AP206" s="9"/>
      <c r="AQ206" s="9"/>
      <c r="AR206" s="9"/>
      <c r="AS206" s="9"/>
      <c r="AT206" s="9"/>
      <c r="AU206" s="31"/>
      <c r="AV206" s="10" t="str">
        <f aca="false">IF(C206="","",IF(AND(V206="Approved",ISERROR(SEARCH("FAIL",AO206))),"Y","N"))</f>
        <v/>
      </c>
      <c r="AW206" s="10" t="str">
        <f aca="false">IF(C206="","",C206&amp;"|"&amp;F206&amp;"|"&amp;G206&amp;"|"&amp;L206&amp;"|"&amp;AV206)</f>
        <v/>
      </c>
    </row>
    <row r="207" customFormat="false" ht="15" hidden="false" customHeight="false" outlineLevel="0" collapsed="false">
      <c r="A207" s="10" t="str">
        <f aca="false">IF(C207="","","DRN-"&amp;IFERROR(VLOOKUP(C207,Lists!$A$4:$B$27,2,0),"??")&amp;"-"&amp;TEXT(F207,"0000")&amp;"x"&amp;TEXT(G207,"0000")&amp;IF(N(H207)&gt;1,"-"&amp;H207&amp;"C","")&amp;"-"&amp;IFERROR(VLOOKUP(L207,Lists!$J$4:$K$19,2,0),"??")&amp;"-"&amp;U207)</f>
        <v/>
      </c>
      <c r="B207" s="10" t="str">
        <f aca="false">IF(C207="","",C207&amp;" "&amp;F207&amp;"W x "&amp;G207&amp;"D"&amp;IF(N(H207)&gt;1," ("&amp;H207&amp;" cells)","")&amp;", "&amp;D207&amp;", "&amp;L207&amp;", "&amp;E207)</f>
        <v/>
      </c>
      <c r="C207" s="9"/>
      <c r="D207" s="9"/>
      <c r="E207" s="9"/>
      <c r="F207" s="40"/>
      <c r="G207" s="40"/>
      <c r="H207" s="40"/>
      <c r="I207" s="40"/>
      <c r="J207" s="40"/>
      <c r="K207" s="40"/>
      <c r="L207" s="9"/>
      <c r="M207" s="9"/>
      <c r="N207" s="9"/>
      <c r="O207" s="40"/>
      <c r="P207" s="9"/>
      <c r="Q207" s="9"/>
      <c r="R207" s="9"/>
      <c r="S207" s="9"/>
      <c r="T207" s="9"/>
      <c r="U207" s="9"/>
      <c r="V207" s="9"/>
      <c r="W207" s="9"/>
      <c r="X207" s="9"/>
      <c r="Y207" s="9"/>
      <c r="Z207" s="10" t="str">
        <f aca="false">IF(A207="","",SG_Criteria!$B$6&amp;SG_Criteria!$B$7&amp;"\"&amp;A207&amp;"\")</f>
        <v/>
      </c>
      <c r="AA207" s="10" t="str">
        <f aca="false">IF(A207="","",A207&amp;"_CAD.dwg")</f>
        <v/>
      </c>
      <c r="AB207" s="10" t="str">
        <f aca="false">IF(A207="","",A207&amp;"_DWG.pdf")</f>
        <v/>
      </c>
      <c r="AC207" s="10" t="str">
        <f aca="false">IF(A207="","",IF(Y207="Y",A207&amp;"_STAAD.std","n/a"))</f>
        <v/>
      </c>
      <c r="AD207" s="10" t="str">
        <f aca="false">IF(A207="","",A207&amp;"_CALC.xlsx")</f>
        <v/>
      </c>
      <c r="AE207" s="10" t="str">
        <f aca="false">IF(A207="","",A207&amp;"_CALC.pdf")</f>
        <v/>
      </c>
      <c r="AF207" s="9"/>
      <c r="AG207" s="9"/>
      <c r="AH207" s="41"/>
      <c r="AI207" s="41"/>
      <c r="AJ207" s="41"/>
      <c r="AK207" s="41"/>
      <c r="AL207" s="41"/>
      <c r="AM207" s="37" t="str">
        <f aca="false">IF(OR(C207="",F207="",G207="",C207="Sump",C207="Drop Inlet Chamber",C207="Silt Trap",C207="Pipe Culvert",C207="Subsoil Drain"),"",ROUND(MAX(1,N(H207))*(1/SG_Criteria!$B$26)*((F207/1000)*(G207/1000*(1-SG_Criteria!$B$25)))*(((F207/1000)*(G207/1000*(1-SG_Criteria!$B$25)))/((F207/1000)+2*(G207/1000*(1-SG_Criteria!$B$25))))^(2/3)*(1/Design_Selector!$B$11)^0.5,3))</f>
        <v/>
      </c>
      <c r="AN207" s="11" t="str">
        <f aca="false">IF(AM207="","",ROUND(AM207/(MAX(1,N(H207))*F207/1000*(G207/1000*(1-SG_Criteria!$B$25))),2))</f>
        <v/>
      </c>
      <c r="AO207" s="38" t="str">
        <f aca="false">IF(C207="","",IF(LEN(IF(AND(OR(D207="Roadside drain",D207="Entrance culvert"),OR(F207&lt;SG_Criteria!$B$15,G207&lt;SG_Criteria!$B$16)),"FAIL: below PUB min "&amp;SG_Criteria!$B$15&amp;"x"&amp;SG_Criteria!$B$16&amp;" for roadside drain. ","")&amp;IF(AND(D207="Common drain",F207&lt;SG_Criteria!$B$17),"FAIL: common drain W &lt; "&amp;SG_Criteria!$B$17&amp;" mm. ","")&amp;IF(AND(N207&lt;&gt;"",IFERROR(VALUE(MID(N207,2,2)),0)&lt;SG_Criteria!$B$19),"FAIL: grade below C"&amp;SG_Criteria!$B$19&amp;". ","")&amp;IF(AND(O207&lt;&gt;"",O207&lt;SG_Criteria!$B$20),"FAIL: cover &lt; "&amp;SG_Criteria!$B$20&amp;" mm. ","")&amp;IF(AND(E207="Open",G207&gt;SG_Criteria!$B$18),"NOTE: safety railing required (D &gt; "&amp;SG_Criteria!$B$18&amp;" mm). ","")&amp;IF(AND(D207="Entrance culvert",G207&lt;600),"NOTE: check hinged grating rule for culverts &lt; 600 deep (PUB Add. 3). ",""))=0,"OK",IF(AND(OR(D207="Roadside drain",D207="Entrance culvert"),OR(F207&lt;SG_Criteria!$B$15,G207&lt;SG_Criteria!$B$16)),"FAIL: below PUB min "&amp;SG_Criteria!$B$15&amp;"x"&amp;SG_Criteria!$B$16&amp;" for roadside drain. ","")&amp;IF(AND(D207="Common drain",F207&lt;SG_Criteria!$B$17),"FAIL: common drain W &lt; "&amp;SG_Criteria!$B$17&amp;" mm. ","")&amp;IF(AND(N207&lt;&gt;"",IFERROR(VALUE(MID(N207,2,2)),0)&lt;SG_Criteria!$B$19),"FAIL: grade below C"&amp;SG_Criteria!$B$19&amp;". ","")&amp;IF(AND(O207&lt;&gt;"",O207&lt;SG_Criteria!$B$20),"FAIL: cover &lt; "&amp;SG_Criteria!$B$20&amp;" mm. ","")&amp;IF(AND(E207="Open",G207&gt;SG_Criteria!$B$18),"NOTE: safety railing required (D &gt; "&amp;SG_Criteria!$B$18&amp;" mm). ","")&amp;IF(AND(D207="Entrance culvert",G207&lt;600),"NOTE: check hinged grating rule for culverts &lt; 600 deep (PUB Add. 3). ","")))</f>
        <v/>
      </c>
      <c r="AP207" s="9"/>
      <c r="AQ207" s="9"/>
      <c r="AR207" s="9"/>
      <c r="AS207" s="9"/>
      <c r="AT207" s="9"/>
      <c r="AU207" s="31"/>
      <c r="AV207" s="10" t="str">
        <f aca="false">IF(C207="","",IF(AND(V207="Approved",ISERROR(SEARCH("FAIL",AO207))),"Y","N"))</f>
        <v/>
      </c>
      <c r="AW207" s="10" t="str">
        <f aca="false">IF(C207="","",C207&amp;"|"&amp;F207&amp;"|"&amp;G207&amp;"|"&amp;L207&amp;"|"&amp;AV207)</f>
        <v/>
      </c>
    </row>
    <row r="208" customFormat="false" ht="15" hidden="false" customHeight="false" outlineLevel="0" collapsed="false">
      <c r="A208" s="10" t="str">
        <f aca="false">IF(C208="","","DRN-"&amp;IFERROR(VLOOKUP(C208,Lists!$A$4:$B$27,2,0),"??")&amp;"-"&amp;TEXT(F208,"0000")&amp;"x"&amp;TEXT(G208,"0000")&amp;IF(N(H208)&gt;1,"-"&amp;H208&amp;"C","")&amp;"-"&amp;IFERROR(VLOOKUP(L208,Lists!$J$4:$K$19,2,0),"??")&amp;"-"&amp;U208)</f>
        <v/>
      </c>
      <c r="B208" s="10" t="str">
        <f aca="false">IF(C208="","",C208&amp;" "&amp;F208&amp;"W x "&amp;G208&amp;"D"&amp;IF(N(H208)&gt;1," ("&amp;H208&amp;" cells)","")&amp;", "&amp;D208&amp;", "&amp;L208&amp;", "&amp;E208)</f>
        <v/>
      </c>
      <c r="C208" s="9"/>
      <c r="D208" s="9"/>
      <c r="E208" s="9"/>
      <c r="F208" s="40"/>
      <c r="G208" s="40"/>
      <c r="H208" s="40"/>
      <c r="I208" s="40"/>
      <c r="J208" s="40"/>
      <c r="K208" s="40"/>
      <c r="L208" s="9"/>
      <c r="M208" s="9"/>
      <c r="N208" s="9"/>
      <c r="O208" s="40"/>
      <c r="P208" s="9"/>
      <c r="Q208" s="9"/>
      <c r="R208" s="9"/>
      <c r="S208" s="9"/>
      <c r="T208" s="9"/>
      <c r="U208" s="9"/>
      <c r="V208" s="9"/>
      <c r="W208" s="9"/>
      <c r="X208" s="9"/>
      <c r="Y208" s="9"/>
      <c r="Z208" s="10" t="str">
        <f aca="false">IF(A208="","",SG_Criteria!$B$6&amp;SG_Criteria!$B$7&amp;"\"&amp;A208&amp;"\")</f>
        <v/>
      </c>
      <c r="AA208" s="10" t="str">
        <f aca="false">IF(A208="","",A208&amp;"_CAD.dwg")</f>
        <v/>
      </c>
      <c r="AB208" s="10" t="str">
        <f aca="false">IF(A208="","",A208&amp;"_DWG.pdf")</f>
        <v/>
      </c>
      <c r="AC208" s="10" t="str">
        <f aca="false">IF(A208="","",IF(Y208="Y",A208&amp;"_STAAD.std","n/a"))</f>
        <v/>
      </c>
      <c r="AD208" s="10" t="str">
        <f aca="false">IF(A208="","",A208&amp;"_CALC.xlsx")</f>
        <v/>
      </c>
      <c r="AE208" s="10" t="str">
        <f aca="false">IF(A208="","",A208&amp;"_CALC.pdf")</f>
        <v/>
      </c>
      <c r="AF208" s="9"/>
      <c r="AG208" s="9"/>
      <c r="AH208" s="41"/>
      <c r="AI208" s="41"/>
      <c r="AJ208" s="41"/>
      <c r="AK208" s="41"/>
      <c r="AL208" s="41"/>
      <c r="AM208" s="37" t="str">
        <f aca="false">IF(OR(C208="",F208="",G208="",C208="Sump",C208="Drop Inlet Chamber",C208="Silt Trap",C208="Pipe Culvert",C208="Subsoil Drain"),"",ROUND(MAX(1,N(H208))*(1/SG_Criteria!$B$26)*((F208/1000)*(G208/1000*(1-SG_Criteria!$B$25)))*(((F208/1000)*(G208/1000*(1-SG_Criteria!$B$25)))/((F208/1000)+2*(G208/1000*(1-SG_Criteria!$B$25))))^(2/3)*(1/Design_Selector!$B$11)^0.5,3))</f>
        <v/>
      </c>
      <c r="AN208" s="11" t="str">
        <f aca="false">IF(AM208="","",ROUND(AM208/(MAX(1,N(H208))*F208/1000*(G208/1000*(1-SG_Criteria!$B$25))),2))</f>
        <v/>
      </c>
      <c r="AO208" s="38" t="str">
        <f aca="false">IF(C208="","",IF(LEN(IF(AND(OR(D208="Roadside drain",D208="Entrance culvert"),OR(F208&lt;SG_Criteria!$B$15,G208&lt;SG_Criteria!$B$16)),"FAIL: below PUB min "&amp;SG_Criteria!$B$15&amp;"x"&amp;SG_Criteria!$B$16&amp;" for roadside drain. ","")&amp;IF(AND(D208="Common drain",F208&lt;SG_Criteria!$B$17),"FAIL: common drain W &lt; "&amp;SG_Criteria!$B$17&amp;" mm. ","")&amp;IF(AND(N208&lt;&gt;"",IFERROR(VALUE(MID(N208,2,2)),0)&lt;SG_Criteria!$B$19),"FAIL: grade below C"&amp;SG_Criteria!$B$19&amp;". ","")&amp;IF(AND(O208&lt;&gt;"",O208&lt;SG_Criteria!$B$20),"FAIL: cover &lt; "&amp;SG_Criteria!$B$20&amp;" mm. ","")&amp;IF(AND(E208="Open",G208&gt;SG_Criteria!$B$18),"NOTE: safety railing required (D &gt; "&amp;SG_Criteria!$B$18&amp;" mm). ","")&amp;IF(AND(D208="Entrance culvert",G208&lt;600),"NOTE: check hinged grating rule for culverts &lt; 600 deep (PUB Add. 3). ",""))=0,"OK",IF(AND(OR(D208="Roadside drain",D208="Entrance culvert"),OR(F208&lt;SG_Criteria!$B$15,G208&lt;SG_Criteria!$B$16)),"FAIL: below PUB min "&amp;SG_Criteria!$B$15&amp;"x"&amp;SG_Criteria!$B$16&amp;" for roadside drain. ","")&amp;IF(AND(D208="Common drain",F208&lt;SG_Criteria!$B$17),"FAIL: common drain W &lt; "&amp;SG_Criteria!$B$17&amp;" mm. ","")&amp;IF(AND(N208&lt;&gt;"",IFERROR(VALUE(MID(N208,2,2)),0)&lt;SG_Criteria!$B$19),"FAIL: grade below C"&amp;SG_Criteria!$B$19&amp;". ","")&amp;IF(AND(O208&lt;&gt;"",O208&lt;SG_Criteria!$B$20),"FAIL: cover &lt; "&amp;SG_Criteria!$B$20&amp;" mm. ","")&amp;IF(AND(E208="Open",G208&gt;SG_Criteria!$B$18),"NOTE: safety railing required (D &gt; "&amp;SG_Criteria!$B$18&amp;" mm). ","")&amp;IF(AND(D208="Entrance culvert",G208&lt;600),"NOTE: check hinged grating rule for culverts &lt; 600 deep (PUB Add. 3). ","")))</f>
        <v/>
      </c>
      <c r="AP208" s="9"/>
      <c r="AQ208" s="9"/>
      <c r="AR208" s="9"/>
      <c r="AS208" s="9"/>
      <c r="AT208" s="9"/>
      <c r="AU208" s="31"/>
      <c r="AV208" s="10" t="str">
        <f aca="false">IF(C208="","",IF(AND(V208="Approved",ISERROR(SEARCH("FAIL",AO208))),"Y","N"))</f>
        <v/>
      </c>
      <c r="AW208" s="10" t="str">
        <f aca="false">IF(C208="","",C208&amp;"|"&amp;F208&amp;"|"&amp;G208&amp;"|"&amp;L208&amp;"|"&amp;AV208)</f>
        <v/>
      </c>
    </row>
    <row r="209" customFormat="false" ht="15" hidden="false" customHeight="false" outlineLevel="0" collapsed="false">
      <c r="A209" s="10" t="str">
        <f aca="false">IF(C209="","","DRN-"&amp;IFERROR(VLOOKUP(C209,Lists!$A$4:$B$27,2,0),"??")&amp;"-"&amp;TEXT(F209,"0000")&amp;"x"&amp;TEXT(G209,"0000")&amp;IF(N(H209)&gt;1,"-"&amp;H209&amp;"C","")&amp;"-"&amp;IFERROR(VLOOKUP(L209,Lists!$J$4:$K$19,2,0),"??")&amp;"-"&amp;U209)</f>
        <v/>
      </c>
      <c r="B209" s="10" t="str">
        <f aca="false">IF(C209="","",C209&amp;" "&amp;F209&amp;"W x "&amp;G209&amp;"D"&amp;IF(N(H209)&gt;1," ("&amp;H209&amp;" cells)","")&amp;", "&amp;D209&amp;", "&amp;L209&amp;", "&amp;E209)</f>
        <v/>
      </c>
      <c r="C209" s="9"/>
      <c r="D209" s="9"/>
      <c r="E209" s="9"/>
      <c r="F209" s="40"/>
      <c r="G209" s="40"/>
      <c r="H209" s="40"/>
      <c r="I209" s="40"/>
      <c r="J209" s="40"/>
      <c r="K209" s="40"/>
      <c r="L209" s="9"/>
      <c r="M209" s="9"/>
      <c r="N209" s="9"/>
      <c r="O209" s="40"/>
      <c r="P209" s="9"/>
      <c r="Q209" s="9"/>
      <c r="R209" s="9"/>
      <c r="S209" s="9"/>
      <c r="T209" s="9"/>
      <c r="U209" s="9"/>
      <c r="V209" s="9"/>
      <c r="W209" s="9"/>
      <c r="X209" s="9"/>
      <c r="Y209" s="9"/>
      <c r="Z209" s="10" t="str">
        <f aca="false">IF(A209="","",SG_Criteria!$B$6&amp;SG_Criteria!$B$7&amp;"\"&amp;A209&amp;"\")</f>
        <v/>
      </c>
      <c r="AA209" s="10" t="str">
        <f aca="false">IF(A209="","",A209&amp;"_CAD.dwg")</f>
        <v/>
      </c>
      <c r="AB209" s="10" t="str">
        <f aca="false">IF(A209="","",A209&amp;"_DWG.pdf")</f>
        <v/>
      </c>
      <c r="AC209" s="10" t="str">
        <f aca="false">IF(A209="","",IF(Y209="Y",A209&amp;"_STAAD.std","n/a"))</f>
        <v/>
      </c>
      <c r="AD209" s="10" t="str">
        <f aca="false">IF(A209="","",A209&amp;"_CALC.xlsx")</f>
        <v/>
      </c>
      <c r="AE209" s="10" t="str">
        <f aca="false">IF(A209="","",A209&amp;"_CALC.pdf")</f>
        <v/>
      </c>
      <c r="AF209" s="9"/>
      <c r="AG209" s="9"/>
      <c r="AH209" s="41"/>
      <c r="AI209" s="41"/>
      <c r="AJ209" s="41"/>
      <c r="AK209" s="41"/>
      <c r="AL209" s="41"/>
      <c r="AM209" s="37" t="str">
        <f aca="false">IF(OR(C209="",F209="",G209="",C209="Sump",C209="Drop Inlet Chamber",C209="Silt Trap",C209="Pipe Culvert",C209="Subsoil Drain"),"",ROUND(MAX(1,N(H209))*(1/SG_Criteria!$B$26)*((F209/1000)*(G209/1000*(1-SG_Criteria!$B$25)))*(((F209/1000)*(G209/1000*(1-SG_Criteria!$B$25)))/((F209/1000)+2*(G209/1000*(1-SG_Criteria!$B$25))))^(2/3)*(1/Design_Selector!$B$11)^0.5,3))</f>
        <v/>
      </c>
      <c r="AN209" s="11" t="str">
        <f aca="false">IF(AM209="","",ROUND(AM209/(MAX(1,N(H209))*F209/1000*(G209/1000*(1-SG_Criteria!$B$25))),2))</f>
        <v/>
      </c>
      <c r="AO209" s="38" t="str">
        <f aca="false">IF(C209="","",IF(LEN(IF(AND(OR(D209="Roadside drain",D209="Entrance culvert"),OR(F209&lt;SG_Criteria!$B$15,G209&lt;SG_Criteria!$B$16)),"FAIL: below PUB min "&amp;SG_Criteria!$B$15&amp;"x"&amp;SG_Criteria!$B$16&amp;" for roadside drain. ","")&amp;IF(AND(D209="Common drain",F209&lt;SG_Criteria!$B$17),"FAIL: common drain W &lt; "&amp;SG_Criteria!$B$17&amp;" mm. ","")&amp;IF(AND(N209&lt;&gt;"",IFERROR(VALUE(MID(N209,2,2)),0)&lt;SG_Criteria!$B$19),"FAIL: grade below C"&amp;SG_Criteria!$B$19&amp;". ","")&amp;IF(AND(O209&lt;&gt;"",O209&lt;SG_Criteria!$B$20),"FAIL: cover &lt; "&amp;SG_Criteria!$B$20&amp;" mm. ","")&amp;IF(AND(E209="Open",G209&gt;SG_Criteria!$B$18),"NOTE: safety railing required (D &gt; "&amp;SG_Criteria!$B$18&amp;" mm). ","")&amp;IF(AND(D209="Entrance culvert",G209&lt;600),"NOTE: check hinged grating rule for culverts &lt; 600 deep (PUB Add. 3). ",""))=0,"OK",IF(AND(OR(D209="Roadside drain",D209="Entrance culvert"),OR(F209&lt;SG_Criteria!$B$15,G209&lt;SG_Criteria!$B$16)),"FAIL: below PUB min "&amp;SG_Criteria!$B$15&amp;"x"&amp;SG_Criteria!$B$16&amp;" for roadside drain. ","")&amp;IF(AND(D209="Common drain",F209&lt;SG_Criteria!$B$17),"FAIL: common drain W &lt; "&amp;SG_Criteria!$B$17&amp;" mm. ","")&amp;IF(AND(N209&lt;&gt;"",IFERROR(VALUE(MID(N209,2,2)),0)&lt;SG_Criteria!$B$19),"FAIL: grade below C"&amp;SG_Criteria!$B$19&amp;". ","")&amp;IF(AND(O209&lt;&gt;"",O209&lt;SG_Criteria!$B$20),"FAIL: cover &lt; "&amp;SG_Criteria!$B$20&amp;" mm. ","")&amp;IF(AND(E209="Open",G209&gt;SG_Criteria!$B$18),"NOTE: safety railing required (D &gt; "&amp;SG_Criteria!$B$18&amp;" mm). ","")&amp;IF(AND(D209="Entrance culvert",G209&lt;600),"NOTE: check hinged grating rule for culverts &lt; 600 deep (PUB Add. 3). ","")))</f>
        <v/>
      </c>
      <c r="AP209" s="9"/>
      <c r="AQ209" s="9"/>
      <c r="AR209" s="9"/>
      <c r="AS209" s="9"/>
      <c r="AT209" s="9"/>
      <c r="AU209" s="31"/>
      <c r="AV209" s="10" t="str">
        <f aca="false">IF(C209="","",IF(AND(V209="Approved",ISERROR(SEARCH("FAIL",AO209))),"Y","N"))</f>
        <v/>
      </c>
      <c r="AW209" s="10" t="str">
        <f aca="false">IF(C209="","",C209&amp;"|"&amp;F209&amp;"|"&amp;G209&amp;"|"&amp;L209&amp;"|"&amp;AV209)</f>
        <v/>
      </c>
    </row>
    <row r="210" customFormat="false" ht="15" hidden="false" customHeight="false" outlineLevel="0" collapsed="false">
      <c r="A210" s="10" t="str">
        <f aca="false">IF(C210="","","DRN-"&amp;IFERROR(VLOOKUP(C210,Lists!$A$4:$B$27,2,0),"??")&amp;"-"&amp;TEXT(F210,"0000")&amp;"x"&amp;TEXT(G210,"0000")&amp;IF(N(H210)&gt;1,"-"&amp;H210&amp;"C","")&amp;"-"&amp;IFERROR(VLOOKUP(L210,Lists!$J$4:$K$19,2,0),"??")&amp;"-"&amp;U210)</f>
        <v/>
      </c>
      <c r="B210" s="10" t="str">
        <f aca="false">IF(C210="","",C210&amp;" "&amp;F210&amp;"W x "&amp;G210&amp;"D"&amp;IF(N(H210)&gt;1," ("&amp;H210&amp;" cells)","")&amp;", "&amp;D210&amp;", "&amp;L210&amp;", "&amp;E210)</f>
        <v/>
      </c>
      <c r="C210" s="9"/>
      <c r="D210" s="9"/>
      <c r="E210" s="9"/>
      <c r="F210" s="40"/>
      <c r="G210" s="40"/>
      <c r="H210" s="40"/>
      <c r="I210" s="40"/>
      <c r="J210" s="40"/>
      <c r="K210" s="40"/>
      <c r="L210" s="9"/>
      <c r="M210" s="9"/>
      <c r="N210" s="9"/>
      <c r="O210" s="40"/>
      <c r="P210" s="9"/>
      <c r="Q210" s="9"/>
      <c r="R210" s="9"/>
      <c r="S210" s="9"/>
      <c r="T210" s="9"/>
      <c r="U210" s="9"/>
      <c r="V210" s="9"/>
      <c r="W210" s="9"/>
      <c r="X210" s="9"/>
      <c r="Y210" s="9"/>
      <c r="Z210" s="10" t="str">
        <f aca="false">IF(A210="","",SG_Criteria!$B$6&amp;SG_Criteria!$B$7&amp;"\"&amp;A210&amp;"\")</f>
        <v/>
      </c>
      <c r="AA210" s="10" t="str">
        <f aca="false">IF(A210="","",A210&amp;"_CAD.dwg")</f>
        <v/>
      </c>
      <c r="AB210" s="10" t="str">
        <f aca="false">IF(A210="","",A210&amp;"_DWG.pdf")</f>
        <v/>
      </c>
      <c r="AC210" s="10" t="str">
        <f aca="false">IF(A210="","",IF(Y210="Y",A210&amp;"_STAAD.std","n/a"))</f>
        <v/>
      </c>
      <c r="AD210" s="10" t="str">
        <f aca="false">IF(A210="","",A210&amp;"_CALC.xlsx")</f>
        <v/>
      </c>
      <c r="AE210" s="10" t="str">
        <f aca="false">IF(A210="","",A210&amp;"_CALC.pdf")</f>
        <v/>
      </c>
      <c r="AF210" s="9"/>
      <c r="AG210" s="9"/>
      <c r="AH210" s="41"/>
      <c r="AI210" s="41"/>
      <c r="AJ210" s="41"/>
      <c r="AK210" s="41"/>
      <c r="AL210" s="41"/>
      <c r="AM210" s="37" t="str">
        <f aca="false">IF(OR(C210="",F210="",G210="",C210="Sump",C210="Drop Inlet Chamber",C210="Silt Trap",C210="Pipe Culvert",C210="Subsoil Drain"),"",ROUND(MAX(1,N(H210))*(1/SG_Criteria!$B$26)*((F210/1000)*(G210/1000*(1-SG_Criteria!$B$25)))*(((F210/1000)*(G210/1000*(1-SG_Criteria!$B$25)))/((F210/1000)+2*(G210/1000*(1-SG_Criteria!$B$25))))^(2/3)*(1/Design_Selector!$B$11)^0.5,3))</f>
        <v/>
      </c>
      <c r="AN210" s="11" t="str">
        <f aca="false">IF(AM210="","",ROUND(AM210/(MAX(1,N(H210))*F210/1000*(G210/1000*(1-SG_Criteria!$B$25))),2))</f>
        <v/>
      </c>
      <c r="AO210" s="38" t="str">
        <f aca="false">IF(C210="","",IF(LEN(IF(AND(OR(D210="Roadside drain",D210="Entrance culvert"),OR(F210&lt;SG_Criteria!$B$15,G210&lt;SG_Criteria!$B$16)),"FAIL: below PUB min "&amp;SG_Criteria!$B$15&amp;"x"&amp;SG_Criteria!$B$16&amp;" for roadside drain. ","")&amp;IF(AND(D210="Common drain",F210&lt;SG_Criteria!$B$17),"FAIL: common drain W &lt; "&amp;SG_Criteria!$B$17&amp;" mm. ","")&amp;IF(AND(N210&lt;&gt;"",IFERROR(VALUE(MID(N210,2,2)),0)&lt;SG_Criteria!$B$19),"FAIL: grade below C"&amp;SG_Criteria!$B$19&amp;". ","")&amp;IF(AND(O210&lt;&gt;"",O210&lt;SG_Criteria!$B$20),"FAIL: cover &lt; "&amp;SG_Criteria!$B$20&amp;" mm. ","")&amp;IF(AND(E210="Open",G210&gt;SG_Criteria!$B$18),"NOTE: safety railing required (D &gt; "&amp;SG_Criteria!$B$18&amp;" mm). ","")&amp;IF(AND(D210="Entrance culvert",G210&lt;600),"NOTE: check hinged grating rule for culverts &lt; 600 deep (PUB Add. 3). ",""))=0,"OK",IF(AND(OR(D210="Roadside drain",D210="Entrance culvert"),OR(F210&lt;SG_Criteria!$B$15,G210&lt;SG_Criteria!$B$16)),"FAIL: below PUB min "&amp;SG_Criteria!$B$15&amp;"x"&amp;SG_Criteria!$B$16&amp;" for roadside drain. ","")&amp;IF(AND(D210="Common drain",F210&lt;SG_Criteria!$B$17),"FAIL: common drain W &lt; "&amp;SG_Criteria!$B$17&amp;" mm. ","")&amp;IF(AND(N210&lt;&gt;"",IFERROR(VALUE(MID(N210,2,2)),0)&lt;SG_Criteria!$B$19),"FAIL: grade below C"&amp;SG_Criteria!$B$19&amp;". ","")&amp;IF(AND(O210&lt;&gt;"",O210&lt;SG_Criteria!$B$20),"FAIL: cover &lt; "&amp;SG_Criteria!$B$20&amp;" mm. ","")&amp;IF(AND(E210="Open",G210&gt;SG_Criteria!$B$18),"NOTE: safety railing required (D &gt; "&amp;SG_Criteria!$B$18&amp;" mm). ","")&amp;IF(AND(D210="Entrance culvert",G210&lt;600),"NOTE: check hinged grating rule for culverts &lt; 600 deep (PUB Add. 3). ","")))</f>
        <v/>
      </c>
      <c r="AP210" s="9"/>
      <c r="AQ210" s="9"/>
      <c r="AR210" s="9"/>
      <c r="AS210" s="9"/>
      <c r="AT210" s="9"/>
      <c r="AU210" s="31"/>
      <c r="AV210" s="10" t="str">
        <f aca="false">IF(C210="","",IF(AND(V210="Approved",ISERROR(SEARCH("FAIL",AO210))),"Y","N"))</f>
        <v/>
      </c>
      <c r="AW210" s="10" t="str">
        <f aca="false">IF(C210="","",C210&amp;"|"&amp;F210&amp;"|"&amp;G210&amp;"|"&amp;L210&amp;"|"&amp;AV210)</f>
        <v/>
      </c>
    </row>
    <row r="211" customFormat="false" ht="15" hidden="false" customHeight="false" outlineLevel="0" collapsed="false">
      <c r="A211" s="10" t="str">
        <f aca="false">IF(C211="","","DRN-"&amp;IFERROR(VLOOKUP(C211,Lists!$A$4:$B$27,2,0),"??")&amp;"-"&amp;TEXT(F211,"0000")&amp;"x"&amp;TEXT(G211,"0000")&amp;IF(N(H211)&gt;1,"-"&amp;H211&amp;"C","")&amp;"-"&amp;IFERROR(VLOOKUP(L211,Lists!$J$4:$K$19,2,0),"??")&amp;"-"&amp;U211)</f>
        <v/>
      </c>
      <c r="B211" s="10" t="str">
        <f aca="false">IF(C211="","",C211&amp;" "&amp;F211&amp;"W x "&amp;G211&amp;"D"&amp;IF(N(H211)&gt;1," ("&amp;H211&amp;" cells)","")&amp;", "&amp;D211&amp;", "&amp;L211&amp;", "&amp;E211)</f>
        <v/>
      </c>
      <c r="C211" s="9"/>
      <c r="D211" s="9"/>
      <c r="E211" s="9"/>
      <c r="F211" s="40"/>
      <c r="G211" s="40"/>
      <c r="H211" s="40"/>
      <c r="I211" s="40"/>
      <c r="J211" s="40"/>
      <c r="K211" s="40"/>
      <c r="L211" s="9"/>
      <c r="M211" s="9"/>
      <c r="N211" s="9"/>
      <c r="O211" s="40"/>
      <c r="P211" s="9"/>
      <c r="Q211" s="9"/>
      <c r="R211" s="9"/>
      <c r="S211" s="9"/>
      <c r="T211" s="9"/>
      <c r="U211" s="9"/>
      <c r="V211" s="9"/>
      <c r="W211" s="9"/>
      <c r="X211" s="9"/>
      <c r="Y211" s="9"/>
      <c r="Z211" s="10" t="str">
        <f aca="false">IF(A211="","",SG_Criteria!$B$6&amp;SG_Criteria!$B$7&amp;"\"&amp;A211&amp;"\")</f>
        <v/>
      </c>
      <c r="AA211" s="10" t="str">
        <f aca="false">IF(A211="","",A211&amp;"_CAD.dwg")</f>
        <v/>
      </c>
      <c r="AB211" s="10" t="str">
        <f aca="false">IF(A211="","",A211&amp;"_DWG.pdf")</f>
        <v/>
      </c>
      <c r="AC211" s="10" t="str">
        <f aca="false">IF(A211="","",IF(Y211="Y",A211&amp;"_STAAD.std","n/a"))</f>
        <v/>
      </c>
      <c r="AD211" s="10" t="str">
        <f aca="false">IF(A211="","",A211&amp;"_CALC.xlsx")</f>
        <v/>
      </c>
      <c r="AE211" s="10" t="str">
        <f aca="false">IF(A211="","",A211&amp;"_CALC.pdf")</f>
        <v/>
      </c>
      <c r="AF211" s="9"/>
      <c r="AG211" s="9"/>
      <c r="AH211" s="41"/>
      <c r="AI211" s="41"/>
      <c r="AJ211" s="41"/>
      <c r="AK211" s="41"/>
      <c r="AL211" s="41"/>
      <c r="AM211" s="37" t="str">
        <f aca="false">IF(OR(C211="",F211="",G211="",C211="Sump",C211="Drop Inlet Chamber",C211="Silt Trap",C211="Pipe Culvert",C211="Subsoil Drain"),"",ROUND(MAX(1,N(H211))*(1/SG_Criteria!$B$26)*((F211/1000)*(G211/1000*(1-SG_Criteria!$B$25)))*(((F211/1000)*(G211/1000*(1-SG_Criteria!$B$25)))/((F211/1000)+2*(G211/1000*(1-SG_Criteria!$B$25))))^(2/3)*(1/Design_Selector!$B$11)^0.5,3))</f>
        <v/>
      </c>
      <c r="AN211" s="11" t="str">
        <f aca="false">IF(AM211="","",ROUND(AM211/(MAX(1,N(H211))*F211/1000*(G211/1000*(1-SG_Criteria!$B$25))),2))</f>
        <v/>
      </c>
      <c r="AO211" s="38" t="str">
        <f aca="false">IF(C211="","",IF(LEN(IF(AND(OR(D211="Roadside drain",D211="Entrance culvert"),OR(F211&lt;SG_Criteria!$B$15,G211&lt;SG_Criteria!$B$16)),"FAIL: below PUB min "&amp;SG_Criteria!$B$15&amp;"x"&amp;SG_Criteria!$B$16&amp;" for roadside drain. ","")&amp;IF(AND(D211="Common drain",F211&lt;SG_Criteria!$B$17),"FAIL: common drain W &lt; "&amp;SG_Criteria!$B$17&amp;" mm. ","")&amp;IF(AND(N211&lt;&gt;"",IFERROR(VALUE(MID(N211,2,2)),0)&lt;SG_Criteria!$B$19),"FAIL: grade below C"&amp;SG_Criteria!$B$19&amp;". ","")&amp;IF(AND(O211&lt;&gt;"",O211&lt;SG_Criteria!$B$20),"FAIL: cover &lt; "&amp;SG_Criteria!$B$20&amp;" mm. ","")&amp;IF(AND(E211="Open",G211&gt;SG_Criteria!$B$18),"NOTE: safety railing required (D &gt; "&amp;SG_Criteria!$B$18&amp;" mm). ","")&amp;IF(AND(D211="Entrance culvert",G211&lt;600),"NOTE: check hinged grating rule for culverts &lt; 600 deep (PUB Add. 3). ",""))=0,"OK",IF(AND(OR(D211="Roadside drain",D211="Entrance culvert"),OR(F211&lt;SG_Criteria!$B$15,G211&lt;SG_Criteria!$B$16)),"FAIL: below PUB min "&amp;SG_Criteria!$B$15&amp;"x"&amp;SG_Criteria!$B$16&amp;" for roadside drain. ","")&amp;IF(AND(D211="Common drain",F211&lt;SG_Criteria!$B$17),"FAIL: common drain W &lt; "&amp;SG_Criteria!$B$17&amp;" mm. ","")&amp;IF(AND(N211&lt;&gt;"",IFERROR(VALUE(MID(N211,2,2)),0)&lt;SG_Criteria!$B$19),"FAIL: grade below C"&amp;SG_Criteria!$B$19&amp;". ","")&amp;IF(AND(O211&lt;&gt;"",O211&lt;SG_Criteria!$B$20),"FAIL: cover &lt; "&amp;SG_Criteria!$B$20&amp;" mm. ","")&amp;IF(AND(E211="Open",G211&gt;SG_Criteria!$B$18),"NOTE: safety railing required (D &gt; "&amp;SG_Criteria!$B$18&amp;" mm). ","")&amp;IF(AND(D211="Entrance culvert",G211&lt;600),"NOTE: check hinged grating rule for culverts &lt; 600 deep (PUB Add. 3). ","")))</f>
        <v/>
      </c>
      <c r="AP211" s="9"/>
      <c r="AQ211" s="9"/>
      <c r="AR211" s="9"/>
      <c r="AS211" s="9"/>
      <c r="AT211" s="9"/>
      <c r="AU211" s="31"/>
      <c r="AV211" s="10" t="str">
        <f aca="false">IF(C211="","",IF(AND(V211="Approved",ISERROR(SEARCH("FAIL",AO211))),"Y","N"))</f>
        <v/>
      </c>
      <c r="AW211" s="10" t="str">
        <f aca="false">IF(C211="","",C211&amp;"|"&amp;F211&amp;"|"&amp;G211&amp;"|"&amp;L211&amp;"|"&amp;AV211)</f>
        <v/>
      </c>
    </row>
    <row r="212" customFormat="false" ht="15" hidden="false" customHeight="false" outlineLevel="0" collapsed="false">
      <c r="A212" s="10" t="str">
        <f aca="false">IF(C212="","","DRN-"&amp;IFERROR(VLOOKUP(C212,Lists!$A$4:$B$27,2,0),"??")&amp;"-"&amp;TEXT(F212,"0000")&amp;"x"&amp;TEXT(G212,"0000")&amp;IF(N(H212)&gt;1,"-"&amp;H212&amp;"C","")&amp;"-"&amp;IFERROR(VLOOKUP(L212,Lists!$J$4:$K$19,2,0),"??")&amp;"-"&amp;U212)</f>
        <v/>
      </c>
      <c r="B212" s="10" t="str">
        <f aca="false">IF(C212="","",C212&amp;" "&amp;F212&amp;"W x "&amp;G212&amp;"D"&amp;IF(N(H212)&gt;1," ("&amp;H212&amp;" cells)","")&amp;", "&amp;D212&amp;", "&amp;L212&amp;", "&amp;E212)</f>
        <v/>
      </c>
      <c r="C212" s="9"/>
      <c r="D212" s="9"/>
      <c r="E212" s="9"/>
      <c r="F212" s="40"/>
      <c r="G212" s="40"/>
      <c r="H212" s="40"/>
      <c r="I212" s="40"/>
      <c r="J212" s="40"/>
      <c r="K212" s="40"/>
      <c r="L212" s="9"/>
      <c r="M212" s="9"/>
      <c r="N212" s="9"/>
      <c r="O212" s="40"/>
      <c r="P212" s="9"/>
      <c r="Q212" s="9"/>
      <c r="R212" s="9"/>
      <c r="S212" s="9"/>
      <c r="T212" s="9"/>
      <c r="U212" s="9"/>
      <c r="V212" s="9"/>
      <c r="W212" s="9"/>
      <c r="X212" s="9"/>
      <c r="Y212" s="9"/>
      <c r="Z212" s="10" t="str">
        <f aca="false">IF(A212="","",SG_Criteria!$B$6&amp;SG_Criteria!$B$7&amp;"\"&amp;A212&amp;"\")</f>
        <v/>
      </c>
      <c r="AA212" s="10" t="str">
        <f aca="false">IF(A212="","",A212&amp;"_CAD.dwg")</f>
        <v/>
      </c>
      <c r="AB212" s="10" t="str">
        <f aca="false">IF(A212="","",A212&amp;"_DWG.pdf")</f>
        <v/>
      </c>
      <c r="AC212" s="10" t="str">
        <f aca="false">IF(A212="","",IF(Y212="Y",A212&amp;"_STAAD.std","n/a"))</f>
        <v/>
      </c>
      <c r="AD212" s="10" t="str">
        <f aca="false">IF(A212="","",A212&amp;"_CALC.xlsx")</f>
        <v/>
      </c>
      <c r="AE212" s="10" t="str">
        <f aca="false">IF(A212="","",A212&amp;"_CALC.pdf")</f>
        <v/>
      </c>
      <c r="AF212" s="9"/>
      <c r="AG212" s="9"/>
      <c r="AH212" s="41"/>
      <c r="AI212" s="41"/>
      <c r="AJ212" s="41"/>
      <c r="AK212" s="41"/>
      <c r="AL212" s="41"/>
      <c r="AM212" s="37" t="str">
        <f aca="false">IF(OR(C212="",F212="",G212="",C212="Sump",C212="Drop Inlet Chamber",C212="Silt Trap",C212="Pipe Culvert",C212="Subsoil Drain"),"",ROUND(MAX(1,N(H212))*(1/SG_Criteria!$B$26)*((F212/1000)*(G212/1000*(1-SG_Criteria!$B$25)))*(((F212/1000)*(G212/1000*(1-SG_Criteria!$B$25)))/((F212/1000)+2*(G212/1000*(1-SG_Criteria!$B$25))))^(2/3)*(1/Design_Selector!$B$11)^0.5,3))</f>
        <v/>
      </c>
      <c r="AN212" s="11" t="str">
        <f aca="false">IF(AM212="","",ROUND(AM212/(MAX(1,N(H212))*F212/1000*(G212/1000*(1-SG_Criteria!$B$25))),2))</f>
        <v/>
      </c>
      <c r="AO212" s="38" t="str">
        <f aca="false">IF(C212="","",IF(LEN(IF(AND(OR(D212="Roadside drain",D212="Entrance culvert"),OR(F212&lt;SG_Criteria!$B$15,G212&lt;SG_Criteria!$B$16)),"FAIL: below PUB min "&amp;SG_Criteria!$B$15&amp;"x"&amp;SG_Criteria!$B$16&amp;" for roadside drain. ","")&amp;IF(AND(D212="Common drain",F212&lt;SG_Criteria!$B$17),"FAIL: common drain W &lt; "&amp;SG_Criteria!$B$17&amp;" mm. ","")&amp;IF(AND(N212&lt;&gt;"",IFERROR(VALUE(MID(N212,2,2)),0)&lt;SG_Criteria!$B$19),"FAIL: grade below C"&amp;SG_Criteria!$B$19&amp;". ","")&amp;IF(AND(O212&lt;&gt;"",O212&lt;SG_Criteria!$B$20),"FAIL: cover &lt; "&amp;SG_Criteria!$B$20&amp;" mm. ","")&amp;IF(AND(E212="Open",G212&gt;SG_Criteria!$B$18),"NOTE: safety railing required (D &gt; "&amp;SG_Criteria!$B$18&amp;" mm). ","")&amp;IF(AND(D212="Entrance culvert",G212&lt;600),"NOTE: check hinged grating rule for culverts &lt; 600 deep (PUB Add. 3). ",""))=0,"OK",IF(AND(OR(D212="Roadside drain",D212="Entrance culvert"),OR(F212&lt;SG_Criteria!$B$15,G212&lt;SG_Criteria!$B$16)),"FAIL: below PUB min "&amp;SG_Criteria!$B$15&amp;"x"&amp;SG_Criteria!$B$16&amp;" for roadside drain. ","")&amp;IF(AND(D212="Common drain",F212&lt;SG_Criteria!$B$17),"FAIL: common drain W &lt; "&amp;SG_Criteria!$B$17&amp;" mm. ","")&amp;IF(AND(N212&lt;&gt;"",IFERROR(VALUE(MID(N212,2,2)),0)&lt;SG_Criteria!$B$19),"FAIL: grade below C"&amp;SG_Criteria!$B$19&amp;". ","")&amp;IF(AND(O212&lt;&gt;"",O212&lt;SG_Criteria!$B$20),"FAIL: cover &lt; "&amp;SG_Criteria!$B$20&amp;" mm. ","")&amp;IF(AND(E212="Open",G212&gt;SG_Criteria!$B$18),"NOTE: safety railing required (D &gt; "&amp;SG_Criteria!$B$18&amp;" mm). ","")&amp;IF(AND(D212="Entrance culvert",G212&lt;600),"NOTE: check hinged grating rule for culverts &lt; 600 deep (PUB Add. 3). ","")))</f>
        <v/>
      </c>
      <c r="AP212" s="9"/>
      <c r="AQ212" s="9"/>
      <c r="AR212" s="9"/>
      <c r="AS212" s="9"/>
      <c r="AT212" s="9"/>
      <c r="AU212" s="31"/>
      <c r="AV212" s="10" t="str">
        <f aca="false">IF(C212="","",IF(AND(V212="Approved",ISERROR(SEARCH("FAIL",AO212))),"Y","N"))</f>
        <v/>
      </c>
      <c r="AW212" s="10" t="str">
        <f aca="false">IF(C212="","",C212&amp;"|"&amp;F212&amp;"|"&amp;G212&amp;"|"&amp;L212&amp;"|"&amp;AV212)</f>
        <v/>
      </c>
    </row>
    <row r="213" customFormat="false" ht="15" hidden="false" customHeight="false" outlineLevel="0" collapsed="false">
      <c r="A213" s="10" t="str">
        <f aca="false">IF(C213="","","DRN-"&amp;IFERROR(VLOOKUP(C213,Lists!$A$4:$B$27,2,0),"??")&amp;"-"&amp;TEXT(F213,"0000")&amp;"x"&amp;TEXT(G213,"0000")&amp;IF(N(H213)&gt;1,"-"&amp;H213&amp;"C","")&amp;"-"&amp;IFERROR(VLOOKUP(L213,Lists!$J$4:$K$19,2,0),"??")&amp;"-"&amp;U213)</f>
        <v/>
      </c>
      <c r="B213" s="10" t="str">
        <f aca="false">IF(C213="","",C213&amp;" "&amp;F213&amp;"W x "&amp;G213&amp;"D"&amp;IF(N(H213)&gt;1," ("&amp;H213&amp;" cells)","")&amp;", "&amp;D213&amp;", "&amp;L213&amp;", "&amp;E213)</f>
        <v/>
      </c>
      <c r="C213" s="9"/>
      <c r="D213" s="9"/>
      <c r="E213" s="9"/>
      <c r="F213" s="40"/>
      <c r="G213" s="40"/>
      <c r="H213" s="40"/>
      <c r="I213" s="40"/>
      <c r="J213" s="40"/>
      <c r="K213" s="40"/>
      <c r="L213" s="9"/>
      <c r="M213" s="9"/>
      <c r="N213" s="9"/>
      <c r="O213" s="40"/>
      <c r="P213" s="9"/>
      <c r="Q213" s="9"/>
      <c r="R213" s="9"/>
      <c r="S213" s="9"/>
      <c r="T213" s="9"/>
      <c r="U213" s="9"/>
      <c r="V213" s="9"/>
      <c r="W213" s="9"/>
      <c r="X213" s="9"/>
      <c r="Y213" s="9"/>
      <c r="Z213" s="10" t="str">
        <f aca="false">IF(A213="","",SG_Criteria!$B$6&amp;SG_Criteria!$B$7&amp;"\"&amp;A213&amp;"\")</f>
        <v/>
      </c>
      <c r="AA213" s="10" t="str">
        <f aca="false">IF(A213="","",A213&amp;"_CAD.dwg")</f>
        <v/>
      </c>
      <c r="AB213" s="10" t="str">
        <f aca="false">IF(A213="","",A213&amp;"_DWG.pdf")</f>
        <v/>
      </c>
      <c r="AC213" s="10" t="str">
        <f aca="false">IF(A213="","",IF(Y213="Y",A213&amp;"_STAAD.std","n/a"))</f>
        <v/>
      </c>
      <c r="AD213" s="10" t="str">
        <f aca="false">IF(A213="","",A213&amp;"_CALC.xlsx")</f>
        <v/>
      </c>
      <c r="AE213" s="10" t="str">
        <f aca="false">IF(A213="","",A213&amp;"_CALC.pdf")</f>
        <v/>
      </c>
      <c r="AF213" s="9"/>
      <c r="AG213" s="9"/>
      <c r="AH213" s="41"/>
      <c r="AI213" s="41"/>
      <c r="AJ213" s="41"/>
      <c r="AK213" s="41"/>
      <c r="AL213" s="41"/>
      <c r="AM213" s="37" t="str">
        <f aca="false">IF(OR(C213="",F213="",G213="",C213="Sump",C213="Drop Inlet Chamber",C213="Silt Trap",C213="Pipe Culvert",C213="Subsoil Drain"),"",ROUND(MAX(1,N(H213))*(1/SG_Criteria!$B$26)*((F213/1000)*(G213/1000*(1-SG_Criteria!$B$25)))*(((F213/1000)*(G213/1000*(1-SG_Criteria!$B$25)))/((F213/1000)+2*(G213/1000*(1-SG_Criteria!$B$25))))^(2/3)*(1/Design_Selector!$B$11)^0.5,3))</f>
        <v/>
      </c>
      <c r="AN213" s="11" t="str">
        <f aca="false">IF(AM213="","",ROUND(AM213/(MAX(1,N(H213))*F213/1000*(G213/1000*(1-SG_Criteria!$B$25))),2))</f>
        <v/>
      </c>
      <c r="AO213" s="38" t="str">
        <f aca="false">IF(C213="","",IF(LEN(IF(AND(OR(D213="Roadside drain",D213="Entrance culvert"),OR(F213&lt;SG_Criteria!$B$15,G213&lt;SG_Criteria!$B$16)),"FAIL: below PUB min "&amp;SG_Criteria!$B$15&amp;"x"&amp;SG_Criteria!$B$16&amp;" for roadside drain. ","")&amp;IF(AND(D213="Common drain",F213&lt;SG_Criteria!$B$17),"FAIL: common drain W &lt; "&amp;SG_Criteria!$B$17&amp;" mm. ","")&amp;IF(AND(N213&lt;&gt;"",IFERROR(VALUE(MID(N213,2,2)),0)&lt;SG_Criteria!$B$19),"FAIL: grade below C"&amp;SG_Criteria!$B$19&amp;". ","")&amp;IF(AND(O213&lt;&gt;"",O213&lt;SG_Criteria!$B$20),"FAIL: cover &lt; "&amp;SG_Criteria!$B$20&amp;" mm. ","")&amp;IF(AND(E213="Open",G213&gt;SG_Criteria!$B$18),"NOTE: safety railing required (D &gt; "&amp;SG_Criteria!$B$18&amp;" mm). ","")&amp;IF(AND(D213="Entrance culvert",G213&lt;600),"NOTE: check hinged grating rule for culverts &lt; 600 deep (PUB Add. 3). ",""))=0,"OK",IF(AND(OR(D213="Roadside drain",D213="Entrance culvert"),OR(F213&lt;SG_Criteria!$B$15,G213&lt;SG_Criteria!$B$16)),"FAIL: below PUB min "&amp;SG_Criteria!$B$15&amp;"x"&amp;SG_Criteria!$B$16&amp;" for roadside drain. ","")&amp;IF(AND(D213="Common drain",F213&lt;SG_Criteria!$B$17),"FAIL: common drain W &lt; "&amp;SG_Criteria!$B$17&amp;" mm. ","")&amp;IF(AND(N213&lt;&gt;"",IFERROR(VALUE(MID(N213,2,2)),0)&lt;SG_Criteria!$B$19),"FAIL: grade below C"&amp;SG_Criteria!$B$19&amp;". ","")&amp;IF(AND(O213&lt;&gt;"",O213&lt;SG_Criteria!$B$20),"FAIL: cover &lt; "&amp;SG_Criteria!$B$20&amp;" mm. ","")&amp;IF(AND(E213="Open",G213&gt;SG_Criteria!$B$18),"NOTE: safety railing required (D &gt; "&amp;SG_Criteria!$B$18&amp;" mm). ","")&amp;IF(AND(D213="Entrance culvert",G213&lt;600),"NOTE: check hinged grating rule for culverts &lt; 600 deep (PUB Add. 3). ","")))</f>
        <v/>
      </c>
      <c r="AP213" s="9"/>
      <c r="AQ213" s="9"/>
      <c r="AR213" s="9"/>
      <c r="AS213" s="9"/>
      <c r="AT213" s="9"/>
      <c r="AU213" s="31"/>
      <c r="AV213" s="10" t="str">
        <f aca="false">IF(C213="","",IF(AND(V213="Approved",ISERROR(SEARCH("FAIL",AO213))),"Y","N"))</f>
        <v/>
      </c>
      <c r="AW213" s="10" t="str">
        <f aca="false">IF(C213="","",C213&amp;"|"&amp;F213&amp;"|"&amp;G213&amp;"|"&amp;L213&amp;"|"&amp;AV213)</f>
        <v/>
      </c>
    </row>
    <row r="214" customFormat="false" ht="15" hidden="false" customHeight="false" outlineLevel="0" collapsed="false">
      <c r="A214" s="10" t="str">
        <f aca="false">IF(C214="","","DRN-"&amp;IFERROR(VLOOKUP(C214,Lists!$A$4:$B$27,2,0),"??")&amp;"-"&amp;TEXT(F214,"0000")&amp;"x"&amp;TEXT(G214,"0000")&amp;IF(N(H214)&gt;1,"-"&amp;H214&amp;"C","")&amp;"-"&amp;IFERROR(VLOOKUP(L214,Lists!$J$4:$K$19,2,0),"??")&amp;"-"&amp;U214)</f>
        <v/>
      </c>
      <c r="B214" s="10" t="str">
        <f aca="false">IF(C214="","",C214&amp;" "&amp;F214&amp;"W x "&amp;G214&amp;"D"&amp;IF(N(H214)&gt;1," ("&amp;H214&amp;" cells)","")&amp;", "&amp;D214&amp;", "&amp;L214&amp;", "&amp;E214)</f>
        <v/>
      </c>
      <c r="C214" s="9"/>
      <c r="D214" s="9"/>
      <c r="E214" s="9"/>
      <c r="F214" s="40"/>
      <c r="G214" s="40"/>
      <c r="H214" s="40"/>
      <c r="I214" s="40"/>
      <c r="J214" s="40"/>
      <c r="K214" s="40"/>
      <c r="L214" s="9"/>
      <c r="M214" s="9"/>
      <c r="N214" s="9"/>
      <c r="O214" s="40"/>
      <c r="P214" s="9"/>
      <c r="Q214" s="9"/>
      <c r="R214" s="9"/>
      <c r="S214" s="9"/>
      <c r="T214" s="9"/>
      <c r="U214" s="9"/>
      <c r="V214" s="9"/>
      <c r="W214" s="9"/>
      <c r="X214" s="9"/>
      <c r="Y214" s="9"/>
      <c r="Z214" s="10" t="str">
        <f aca="false">IF(A214="","",SG_Criteria!$B$6&amp;SG_Criteria!$B$7&amp;"\"&amp;A214&amp;"\")</f>
        <v/>
      </c>
      <c r="AA214" s="10" t="str">
        <f aca="false">IF(A214="","",A214&amp;"_CAD.dwg")</f>
        <v/>
      </c>
      <c r="AB214" s="10" t="str">
        <f aca="false">IF(A214="","",A214&amp;"_DWG.pdf")</f>
        <v/>
      </c>
      <c r="AC214" s="10" t="str">
        <f aca="false">IF(A214="","",IF(Y214="Y",A214&amp;"_STAAD.std","n/a"))</f>
        <v/>
      </c>
      <c r="AD214" s="10" t="str">
        <f aca="false">IF(A214="","",A214&amp;"_CALC.xlsx")</f>
        <v/>
      </c>
      <c r="AE214" s="10" t="str">
        <f aca="false">IF(A214="","",A214&amp;"_CALC.pdf")</f>
        <v/>
      </c>
      <c r="AF214" s="9"/>
      <c r="AG214" s="9"/>
      <c r="AH214" s="41"/>
      <c r="AI214" s="41"/>
      <c r="AJ214" s="41"/>
      <c r="AK214" s="41"/>
      <c r="AL214" s="41"/>
      <c r="AM214" s="37" t="str">
        <f aca="false">IF(OR(C214="",F214="",G214="",C214="Sump",C214="Drop Inlet Chamber",C214="Silt Trap",C214="Pipe Culvert",C214="Subsoil Drain"),"",ROUND(MAX(1,N(H214))*(1/SG_Criteria!$B$26)*((F214/1000)*(G214/1000*(1-SG_Criteria!$B$25)))*(((F214/1000)*(G214/1000*(1-SG_Criteria!$B$25)))/((F214/1000)+2*(G214/1000*(1-SG_Criteria!$B$25))))^(2/3)*(1/Design_Selector!$B$11)^0.5,3))</f>
        <v/>
      </c>
      <c r="AN214" s="11" t="str">
        <f aca="false">IF(AM214="","",ROUND(AM214/(MAX(1,N(H214))*F214/1000*(G214/1000*(1-SG_Criteria!$B$25))),2))</f>
        <v/>
      </c>
      <c r="AO214" s="38" t="str">
        <f aca="false">IF(C214="","",IF(LEN(IF(AND(OR(D214="Roadside drain",D214="Entrance culvert"),OR(F214&lt;SG_Criteria!$B$15,G214&lt;SG_Criteria!$B$16)),"FAIL: below PUB min "&amp;SG_Criteria!$B$15&amp;"x"&amp;SG_Criteria!$B$16&amp;" for roadside drain. ","")&amp;IF(AND(D214="Common drain",F214&lt;SG_Criteria!$B$17),"FAIL: common drain W &lt; "&amp;SG_Criteria!$B$17&amp;" mm. ","")&amp;IF(AND(N214&lt;&gt;"",IFERROR(VALUE(MID(N214,2,2)),0)&lt;SG_Criteria!$B$19),"FAIL: grade below C"&amp;SG_Criteria!$B$19&amp;". ","")&amp;IF(AND(O214&lt;&gt;"",O214&lt;SG_Criteria!$B$20),"FAIL: cover &lt; "&amp;SG_Criteria!$B$20&amp;" mm. ","")&amp;IF(AND(E214="Open",G214&gt;SG_Criteria!$B$18),"NOTE: safety railing required (D &gt; "&amp;SG_Criteria!$B$18&amp;" mm). ","")&amp;IF(AND(D214="Entrance culvert",G214&lt;600),"NOTE: check hinged grating rule for culverts &lt; 600 deep (PUB Add. 3). ",""))=0,"OK",IF(AND(OR(D214="Roadside drain",D214="Entrance culvert"),OR(F214&lt;SG_Criteria!$B$15,G214&lt;SG_Criteria!$B$16)),"FAIL: below PUB min "&amp;SG_Criteria!$B$15&amp;"x"&amp;SG_Criteria!$B$16&amp;" for roadside drain. ","")&amp;IF(AND(D214="Common drain",F214&lt;SG_Criteria!$B$17),"FAIL: common drain W &lt; "&amp;SG_Criteria!$B$17&amp;" mm. ","")&amp;IF(AND(N214&lt;&gt;"",IFERROR(VALUE(MID(N214,2,2)),0)&lt;SG_Criteria!$B$19),"FAIL: grade below C"&amp;SG_Criteria!$B$19&amp;". ","")&amp;IF(AND(O214&lt;&gt;"",O214&lt;SG_Criteria!$B$20),"FAIL: cover &lt; "&amp;SG_Criteria!$B$20&amp;" mm. ","")&amp;IF(AND(E214="Open",G214&gt;SG_Criteria!$B$18),"NOTE: safety railing required (D &gt; "&amp;SG_Criteria!$B$18&amp;" mm). ","")&amp;IF(AND(D214="Entrance culvert",G214&lt;600),"NOTE: check hinged grating rule for culverts &lt; 600 deep (PUB Add. 3). ","")))</f>
        <v/>
      </c>
      <c r="AP214" s="9"/>
      <c r="AQ214" s="9"/>
      <c r="AR214" s="9"/>
      <c r="AS214" s="9"/>
      <c r="AT214" s="9"/>
      <c r="AU214" s="31"/>
      <c r="AV214" s="10" t="str">
        <f aca="false">IF(C214="","",IF(AND(V214="Approved",ISERROR(SEARCH("FAIL",AO214))),"Y","N"))</f>
        <v/>
      </c>
      <c r="AW214" s="10" t="str">
        <f aca="false">IF(C214="","",C214&amp;"|"&amp;F214&amp;"|"&amp;G214&amp;"|"&amp;L214&amp;"|"&amp;AV214)</f>
        <v/>
      </c>
    </row>
    <row r="215" customFormat="false" ht="15" hidden="false" customHeight="false" outlineLevel="0" collapsed="false">
      <c r="A215" s="10" t="str">
        <f aca="false">IF(C215="","","DRN-"&amp;IFERROR(VLOOKUP(C215,Lists!$A$4:$B$27,2,0),"??")&amp;"-"&amp;TEXT(F215,"0000")&amp;"x"&amp;TEXT(G215,"0000")&amp;IF(N(H215)&gt;1,"-"&amp;H215&amp;"C","")&amp;"-"&amp;IFERROR(VLOOKUP(L215,Lists!$J$4:$K$19,2,0),"??")&amp;"-"&amp;U215)</f>
        <v/>
      </c>
      <c r="B215" s="10" t="str">
        <f aca="false">IF(C215="","",C215&amp;" "&amp;F215&amp;"W x "&amp;G215&amp;"D"&amp;IF(N(H215)&gt;1," ("&amp;H215&amp;" cells)","")&amp;", "&amp;D215&amp;", "&amp;L215&amp;", "&amp;E215)</f>
        <v/>
      </c>
      <c r="C215" s="9"/>
      <c r="D215" s="9"/>
      <c r="E215" s="9"/>
      <c r="F215" s="40"/>
      <c r="G215" s="40"/>
      <c r="H215" s="40"/>
      <c r="I215" s="40"/>
      <c r="J215" s="40"/>
      <c r="K215" s="40"/>
      <c r="L215" s="9"/>
      <c r="M215" s="9"/>
      <c r="N215" s="9"/>
      <c r="O215" s="40"/>
      <c r="P215" s="9"/>
      <c r="Q215" s="9"/>
      <c r="R215" s="9"/>
      <c r="S215" s="9"/>
      <c r="T215" s="9"/>
      <c r="U215" s="9"/>
      <c r="V215" s="9"/>
      <c r="W215" s="9"/>
      <c r="X215" s="9"/>
      <c r="Y215" s="9"/>
      <c r="Z215" s="10" t="str">
        <f aca="false">IF(A215="","",SG_Criteria!$B$6&amp;SG_Criteria!$B$7&amp;"\"&amp;A215&amp;"\")</f>
        <v/>
      </c>
      <c r="AA215" s="10" t="str">
        <f aca="false">IF(A215="","",A215&amp;"_CAD.dwg")</f>
        <v/>
      </c>
      <c r="AB215" s="10" t="str">
        <f aca="false">IF(A215="","",A215&amp;"_DWG.pdf")</f>
        <v/>
      </c>
      <c r="AC215" s="10" t="str">
        <f aca="false">IF(A215="","",IF(Y215="Y",A215&amp;"_STAAD.std","n/a"))</f>
        <v/>
      </c>
      <c r="AD215" s="10" t="str">
        <f aca="false">IF(A215="","",A215&amp;"_CALC.xlsx")</f>
        <v/>
      </c>
      <c r="AE215" s="10" t="str">
        <f aca="false">IF(A215="","",A215&amp;"_CALC.pdf")</f>
        <v/>
      </c>
      <c r="AF215" s="9"/>
      <c r="AG215" s="9"/>
      <c r="AH215" s="41"/>
      <c r="AI215" s="41"/>
      <c r="AJ215" s="41"/>
      <c r="AK215" s="41"/>
      <c r="AL215" s="41"/>
      <c r="AM215" s="37" t="str">
        <f aca="false">IF(OR(C215="",F215="",G215="",C215="Sump",C215="Drop Inlet Chamber",C215="Silt Trap",C215="Pipe Culvert",C215="Subsoil Drain"),"",ROUND(MAX(1,N(H215))*(1/SG_Criteria!$B$26)*((F215/1000)*(G215/1000*(1-SG_Criteria!$B$25)))*(((F215/1000)*(G215/1000*(1-SG_Criteria!$B$25)))/((F215/1000)+2*(G215/1000*(1-SG_Criteria!$B$25))))^(2/3)*(1/Design_Selector!$B$11)^0.5,3))</f>
        <v/>
      </c>
      <c r="AN215" s="11" t="str">
        <f aca="false">IF(AM215="","",ROUND(AM215/(MAX(1,N(H215))*F215/1000*(G215/1000*(1-SG_Criteria!$B$25))),2))</f>
        <v/>
      </c>
      <c r="AO215" s="38" t="str">
        <f aca="false">IF(C215="","",IF(LEN(IF(AND(OR(D215="Roadside drain",D215="Entrance culvert"),OR(F215&lt;SG_Criteria!$B$15,G215&lt;SG_Criteria!$B$16)),"FAIL: below PUB min "&amp;SG_Criteria!$B$15&amp;"x"&amp;SG_Criteria!$B$16&amp;" for roadside drain. ","")&amp;IF(AND(D215="Common drain",F215&lt;SG_Criteria!$B$17),"FAIL: common drain W &lt; "&amp;SG_Criteria!$B$17&amp;" mm. ","")&amp;IF(AND(N215&lt;&gt;"",IFERROR(VALUE(MID(N215,2,2)),0)&lt;SG_Criteria!$B$19),"FAIL: grade below C"&amp;SG_Criteria!$B$19&amp;". ","")&amp;IF(AND(O215&lt;&gt;"",O215&lt;SG_Criteria!$B$20),"FAIL: cover &lt; "&amp;SG_Criteria!$B$20&amp;" mm. ","")&amp;IF(AND(E215="Open",G215&gt;SG_Criteria!$B$18),"NOTE: safety railing required (D &gt; "&amp;SG_Criteria!$B$18&amp;" mm). ","")&amp;IF(AND(D215="Entrance culvert",G215&lt;600),"NOTE: check hinged grating rule for culverts &lt; 600 deep (PUB Add. 3). ",""))=0,"OK",IF(AND(OR(D215="Roadside drain",D215="Entrance culvert"),OR(F215&lt;SG_Criteria!$B$15,G215&lt;SG_Criteria!$B$16)),"FAIL: below PUB min "&amp;SG_Criteria!$B$15&amp;"x"&amp;SG_Criteria!$B$16&amp;" for roadside drain. ","")&amp;IF(AND(D215="Common drain",F215&lt;SG_Criteria!$B$17),"FAIL: common drain W &lt; "&amp;SG_Criteria!$B$17&amp;" mm. ","")&amp;IF(AND(N215&lt;&gt;"",IFERROR(VALUE(MID(N215,2,2)),0)&lt;SG_Criteria!$B$19),"FAIL: grade below C"&amp;SG_Criteria!$B$19&amp;". ","")&amp;IF(AND(O215&lt;&gt;"",O215&lt;SG_Criteria!$B$20),"FAIL: cover &lt; "&amp;SG_Criteria!$B$20&amp;" mm. ","")&amp;IF(AND(E215="Open",G215&gt;SG_Criteria!$B$18),"NOTE: safety railing required (D &gt; "&amp;SG_Criteria!$B$18&amp;" mm). ","")&amp;IF(AND(D215="Entrance culvert",G215&lt;600),"NOTE: check hinged grating rule for culverts &lt; 600 deep (PUB Add. 3). ","")))</f>
        <v/>
      </c>
      <c r="AP215" s="9"/>
      <c r="AQ215" s="9"/>
      <c r="AR215" s="9"/>
      <c r="AS215" s="9"/>
      <c r="AT215" s="9"/>
      <c r="AU215" s="31"/>
      <c r="AV215" s="10" t="str">
        <f aca="false">IF(C215="","",IF(AND(V215="Approved",ISERROR(SEARCH("FAIL",AO215))),"Y","N"))</f>
        <v/>
      </c>
      <c r="AW215" s="10" t="str">
        <f aca="false">IF(C215="","",C215&amp;"|"&amp;F215&amp;"|"&amp;G215&amp;"|"&amp;L215&amp;"|"&amp;AV215)</f>
        <v/>
      </c>
    </row>
    <row r="216" customFormat="false" ht="15" hidden="false" customHeight="false" outlineLevel="0" collapsed="false">
      <c r="A216" s="10" t="str">
        <f aca="false">IF(C216="","","DRN-"&amp;IFERROR(VLOOKUP(C216,Lists!$A$4:$B$27,2,0),"??")&amp;"-"&amp;TEXT(F216,"0000")&amp;"x"&amp;TEXT(G216,"0000")&amp;IF(N(H216)&gt;1,"-"&amp;H216&amp;"C","")&amp;"-"&amp;IFERROR(VLOOKUP(L216,Lists!$J$4:$K$19,2,0),"??")&amp;"-"&amp;U216)</f>
        <v/>
      </c>
      <c r="B216" s="10" t="str">
        <f aca="false">IF(C216="","",C216&amp;" "&amp;F216&amp;"W x "&amp;G216&amp;"D"&amp;IF(N(H216)&gt;1," ("&amp;H216&amp;" cells)","")&amp;", "&amp;D216&amp;", "&amp;L216&amp;", "&amp;E216)</f>
        <v/>
      </c>
      <c r="C216" s="9"/>
      <c r="D216" s="9"/>
      <c r="E216" s="9"/>
      <c r="F216" s="40"/>
      <c r="G216" s="40"/>
      <c r="H216" s="40"/>
      <c r="I216" s="40"/>
      <c r="J216" s="40"/>
      <c r="K216" s="40"/>
      <c r="L216" s="9"/>
      <c r="M216" s="9"/>
      <c r="N216" s="9"/>
      <c r="O216" s="40"/>
      <c r="P216" s="9"/>
      <c r="Q216" s="9"/>
      <c r="R216" s="9"/>
      <c r="S216" s="9"/>
      <c r="T216" s="9"/>
      <c r="U216" s="9"/>
      <c r="V216" s="9"/>
      <c r="W216" s="9"/>
      <c r="X216" s="9"/>
      <c r="Y216" s="9"/>
      <c r="Z216" s="10" t="str">
        <f aca="false">IF(A216="","",SG_Criteria!$B$6&amp;SG_Criteria!$B$7&amp;"\"&amp;A216&amp;"\")</f>
        <v/>
      </c>
      <c r="AA216" s="10" t="str">
        <f aca="false">IF(A216="","",A216&amp;"_CAD.dwg")</f>
        <v/>
      </c>
      <c r="AB216" s="10" t="str">
        <f aca="false">IF(A216="","",A216&amp;"_DWG.pdf")</f>
        <v/>
      </c>
      <c r="AC216" s="10" t="str">
        <f aca="false">IF(A216="","",IF(Y216="Y",A216&amp;"_STAAD.std","n/a"))</f>
        <v/>
      </c>
      <c r="AD216" s="10" t="str">
        <f aca="false">IF(A216="","",A216&amp;"_CALC.xlsx")</f>
        <v/>
      </c>
      <c r="AE216" s="10" t="str">
        <f aca="false">IF(A216="","",A216&amp;"_CALC.pdf")</f>
        <v/>
      </c>
      <c r="AF216" s="9"/>
      <c r="AG216" s="9"/>
      <c r="AH216" s="41"/>
      <c r="AI216" s="41"/>
      <c r="AJ216" s="41"/>
      <c r="AK216" s="41"/>
      <c r="AL216" s="41"/>
      <c r="AM216" s="37" t="str">
        <f aca="false">IF(OR(C216="",F216="",G216="",C216="Sump",C216="Drop Inlet Chamber",C216="Silt Trap",C216="Pipe Culvert",C216="Subsoil Drain"),"",ROUND(MAX(1,N(H216))*(1/SG_Criteria!$B$26)*((F216/1000)*(G216/1000*(1-SG_Criteria!$B$25)))*(((F216/1000)*(G216/1000*(1-SG_Criteria!$B$25)))/((F216/1000)+2*(G216/1000*(1-SG_Criteria!$B$25))))^(2/3)*(1/Design_Selector!$B$11)^0.5,3))</f>
        <v/>
      </c>
      <c r="AN216" s="11" t="str">
        <f aca="false">IF(AM216="","",ROUND(AM216/(MAX(1,N(H216))*F216/1000*(G216/1000*(1-SG_Criteria!$B$25))),2))</f>
        <v/>
      </c>
      <c r="AO216" s="38" t="str">
        <f aca="false">IF(C216="","",IF(LEN(IF(AND(OR(D216="Roadside drain",D216="Entrance culvert"),OR(F216&lt;SG_Criteria!$B$15,G216&lt;SG_Criteria!$B$16)),"FAIL: below PUB min "&amp;SG_Criteria!$B$15&amp;"x"&amp;SG_Criteria!$B$16&amp;" for roadside drain. ","")&amp;IF(AND(D216="Common drain",F216&lt;SG_Criteria!$B$17),"FAIL: common drain W &lt; "&amp;SG_Criteria!$B$17&amp;" mm. ","")&amp;IF(AND(N216&lt;&gt;"",IFERROR(VALUE(MID(N216,2,2)),0)&lt;SG_Criteria!$B$19),"FAIL: grade below C"&amp;SG_Criteria!$B$19&amp;". ","")&amp;IF(AND(O216&lt;&gt;"",O216&lt;SG_Criteria!$B$20),"FAIL: cover &lt; "&amp;SG_Criteria!$B$20&amp;" mm. ","")&amp;IF(AND(E216="Open",G216&gt;SG_Criteria!$B$18),"NOTE: safety railing required (D &gt; "&amp;SG_Criteria!$B$18&amp;" mm). ","")&amp;IF(AND(D216="Entrance culvert",G216&lt;600),"NOTE: check hinged grating rule for culverts &lt; 600 deep (PUB Add. 3). ",""))=0,"OK",IF(AND(OR(D216="Roadside drain",D216="Entrance culvert"),OR(F216&lt;SG_Criteria!$B$15,G216&lt;SG_Criteria!$B$16)),"FAIL: below PUB min "&amp;SG_Criteria!$B$15&amp;"x"&amp;SG_Criteria!$B$16&amp;" for roadside drain. ","")&amp;IF(AND(D216="Common drain",F216&lt;SG_Criteria!$B$17),"FAIL: common drain W &lt; "&amp;SG_Criteria!$B$17&amp;" mm. ","")&amp;IF(AND(N216&lt;&gt;"",IFERROR(VALUE(MID(N216,2,2)),0)&lt;SG_Criteria!$B$19),"FAIL: grade below C"&amp;SG_Criteria!$B$19&amp;". ","")&amp;IF(AND(O216&lt;&gt;"",O216&lt;SG_Criteria!$B$20),"FAIL: cover &lt; "&amp;SG_Criteria!$B$20&amp;" mm. ","")&amp;IF(AND(E216="Open",G216&gt;SG_Criteria!$B$18),"NOTE: safety railing required (D &gt; "&amp;SG_Criteria!$B$18&amp;" mm). ","")&amp;IF(AND(D216="Entrance culvert",G216&lt;600),"NOTE: check hinged grating rule for culverts &lt; 600 deep (PUB Add. 3). ","")))</f>
        <v/>
      </c>
      <c r="AP216" s="9"/>
      <c r="AQ216" s="9"/>
      <c r="AR216" s="9"/>
      <c r="AS216" s="9"/>
      <c r="AT216" s="9"/>
      <c r="AU216" s="31"/>
      <c r="AV216" s="10" t="str">
        <f aca="false">IF(C216="","",IF(AND(V216="Approved",ISERROR(SEARCH("FAIL",AO216))),"Y","N"))</f>
        <v/>
      </c>
      <c r="AW216" s="10" t="str">
        <f aca="false">IF(C216="","",C216&amp;"|"&amp;F216&amp;"|"&amp;G216&amp;"|"&amp;L216&amp;"|"&amp;AV216)</f>
        <v/>
      </c>
    </row>
    <row r="217" customFormat="false" ht="15" hidden="false" customHeight="false" outlineLevel="0" collapsed="false">
      <c r="A217" s="10" t="str">
        <f aca="false">IF(C217="","","DRN-"&amp;IFERROR(VLOOKUP(C217,Lists!$A$4:$B$27,2,0),"??")&amp;"-"&amp;TEXT(F217,"0000")&amp;"x"&amp;TEXT(G217,"0000")&amp;IF(N(H217)&gt;1,"-"&amp;H217&amp;"C","")&amp;"-"&amp;IFERROR(VLOOKUP(L217,Lists!$J$4:$K$19,2,0),"??")&amp;"-"&amp;U217)</f>
        <v/>
      </c>
      <c r="B217" s="10" t="str">
        <f aca="false">IF(C217="","",C217&amp;" "&amp;F217&amp;"W x "&amp;G217&amp;"D"&amp;IF(N(H217)&gt;1," ("&amp;H217&amp;" cells)","")&amp;", "&amp;D217&amp;", "&amp;L217&amp;", "&amp;E217)</f>
        <v/>
      </c>
      <c r="C217" s="9"/>
      <c r="D217" s="9"/>
      <c r="E217" s="9"/>
      <c r="F217" s="40"/>
      <c r="G217" s="40"/>
      <c r="H217" s="40"/>
      <c r="I217" s="40"/>
      <c r="J217" s="40"/>
      <c r="K217" s="40"/>
      <c r="L217" s="9"/>
      <c r="M217" s="9"/>
      <c r="N217" s="9"/>
      <c r="O217" s="40"/>
      <c r="P217" s="9"/>
      <c r="Q217" s="9"/>
      <c r="R217" s="9"/>
      <c r="S217" s="9"/>
      <c r="T217" s="9"/>
      <c r="U217" s="9"/>
      <c r="V217" s="9"/>
      <c r="W217" s="9"/>
      <c r="X217" s="9"/>
      <c r="Y217" s="9"/>
      <c r="Z217" s="10" t="str">
        <f aca="false">IF(A217="","",SG_Criteria!$B$6&amp;SG_Criteria!$B$7&amp;"\"&amp;A217&amp;"\")</f>
        <v/>
      </c>
      <c r="AA217" s="10" t="str">
        <f aca="false">IF(A217="","",A217&amp;"_CAD.dwg")</f>
        <v/>
      </c>
      <c r="AB217" s="10" t="str">
        <f aca="false">IF(A217="","",A217&amp;"_DWG.pdf")</f>
        <v/>
      </c>
      <c r="AC217" s="10" t="str">
        <f aca="false">IF(A217="","",IF(Y217="Y",A217&amp;"_STAAD.std","n/a"))</f>
        <v/>
      </c>
      <c r="AD217" s="10" t="str">
        <f aca="false">IF(A217="","",A217&amp;"_CALC.xlsx")</f>
        <v/>
      </c>
      <c r="AE217" s="10" t="str">
        <f aca="false">IF(A217="","",A217&amp;"_CALC.pdf")</f>
        <v/>
      </c>
      <c r="AF217" s="9"/>
      <c r="AG217" s="9"/>
      <c r="AH217" s="41"/>
      <c r="AI217" s="41"/>
      <c r="AJ217" s="41"/>
      <c r="AK217" s="41"/>
      <c r="AL217" s="41"/>
      <c r="AM217" s="37" t="str">
        <f aca="false">IF(OR(C217="",F217="",G217="",C217="Sump",C217="Drop Inlet Chamber",C217="Silt Trap",C217="Pipe Culvert",C217="Subsoil Drain"),"",ROUND(MAX(1,N(H217))*(1/SG_Criteria!$B$26)*((F217/1000)*(G217/1000*(1-SG_Criteria!$B$25)))*(((F217/1000)*(G217/1000*(1-SG_Criteria!$B$25)))/((F217/1000)+2*(G217/1000*(1-SG_Criteria!$B$25))))^(2/3)*(1/Design_Selector!$B$11)^0.5,3))</f>
        <v/>
      </c>
      <c r="AN217" s="11" t="str">
        <f aca="false">IF(AM217="","",ROUND(AM217/(MAX(1,N(H217))*F217/1000*(G217/1000*(1-SG_Criteria!$B$25))),2))</f>
        <v/>
      </c>
      <c r="AO217" s="38" t="str">
        <f aca="false">IF(C217="","",IF(LEN(IF(AND(OR(D217="Roadside drain",D217="Entrance culvert"),OR(F217&lt;SG_Criteria!$B$15,G217&lt;SG_Criteria!$B$16)),"FAIL: below PUB min "&amp;SG_Criteria!$B$15&amp;"x"&amp;SG_Criteria!$B$16&amp;" for roadside drain. ","")&amp;IF(AND(D217="Common drain",F217&lt;SG_Criteria!$B$17),"FAIL: common drain W &lt; "&amp;SG_Criteria!$B$17&amp;" mm. ","")&amp;IF(AND(N217&lt;&gt;"",IFERROR(VALUE(MID(N217,2,2)),0)&lt;SG_Criteria!$B$19),"FAIL: grade below C"&amp;SG_Criteria!$B$19&amp;". ","")&amp;IF(AND(O217&lt;&gt;"",O217&lt;SG_Criteria!$B$20),"FAIL: cover &lt; "&amp;SG_Criteria!$B$20&amp;" mm. ","")&amp;IF(AND(E217="Open",G217&gt;SG_Criteria!$B$18),"NOTE: safety railing required (D &gt; "&amp;SG_Criteria!$B$18&amp;" mm). ","")&amp;IF(AND(D217="Entrance culvert",G217&lt;600),"NOTE: check hinged grating rule for culverts &lt; 600 deep (PUB Add. 3). ",""))=0,"OK",IF(AND(OR(D217="Roadside drain",D217="Entrance culvert"),OR(F217&lt;SG_Criteria!$B$15,G217&lt;SG_Criteria!$B$16)),"FAIL: below PUB min "&amp;SG_Criteria!$B$15&amp;"x"&amp;SG_Criteria!$B$16&amp;" for roadside drain. ","")&amp;IF(AND(D217="Common drain",F217&lt;SG_Criteria!$B$17),"FAIL: common drain W &lt; "&amp;SG_Criteria!$B$17&amp;" mm. ","")&amp;IF(AND(N217&lt;&gt;"",IFERROR(VALUE(MID(N217,2,2)),0)&lt;SG_Criteria!$B$19),"FAIL: grade below C"&amp;SG_Criteria!$B$19&amp;". ","")&amp;IF(AND(O217&lt;&gt;"",O217&lt;SG_Criteria!$B$20),"FAIL: cover &lt; "&amp;SG_Criteria!$B$20&amp;" mm. ","")&amp;IF(AND(E217="Open",G217&gt;SG_Criteria!$B$18),"NOTE: safety railing required (D &gt; "&amp;SG_Criteria!$B$18&amp;" mm). ","")&amp;IF(AND(D217="Entrance culvert",G217&lt;600),"NOTE: check hinged grating rule for culverts &lt; 600 deep (PUB Add. 3). ","")))</f>
        <v/>
      </c>
      <c r="AP217" s="9"/>
      <c r="AQ217" s="9"/>
      <c r="AR217" s="9"/>
      <c r="AS217" s="9"/>
      <c r="AT217" s="9"/>
      <c r="AU217" s="31"/>
      <c r="AV217" s="10" t="str">
        <f aca="false">IF(C217="","",IF(AND(V217="Approved",ISERROR(SEARCH("FAIL",AO217))),"Y","N"))</f>
        <v/>
      </c>
      <c r="AW217" s="10" t="str">
        <f aca="false">IF(C217="","",C217&amp;"|"&amp;F217&amp;"|"&amp;G217&amp;"|"&amp;L217&amp;"|"&amp;AV217)</f>
        <v/>
      </c>
    </row>
    <row r="218" customFormat="false" ht="15" hidden="false" customHeight="false" outlineLevel="0" collapsed="false">
      <c r="A218" s="10" t="str">
        <f aca="false">IF(C218="","","DRN-"&amp;IFERROR(VLOOKUP(C218,Lists!$A$4:$B$27,2,0),"??")&amp;"-"&amp;TEXT(F218,"0000")&amp;"x"&amp;TEXT(G218,"0000")&amp;IF(N(H218)&gt;1,"-"&amp;H218&amp;"C","")&amp;"-"&amp;IFERROR(VLOOKUP(L218,Lists!$J$4:$K$19,2,0),"??")&amp;"-"&amp;U218)</f>
        <v/>
      </c>
      <c r="B218" s="10" t="str">
        <f aca="false">IF(C218="","",C218&amp;" "&amp;F218&amp;"W x "&amp;G218&amp;"D"&amp;IF(N(H218)&gt;1," ("&amp;H218&amp;" cells)","")&amp;", "&amp;D218&amp;", "&amp;L218&amp;", "&amp;E218)</f>
        <v/>
      </c>
      <c r="C218" s="9"/>
      <c r="D218" s="9"/>
      <c r="E218" s="9"/>
      <c r="F218" s="40"/>
      <c r="G218" s="40"/>
      <c r="H218" s="40"/>
      <c r="I218" s="40"/>
      <c r="J218" s="40"/>
      <c r="K218" s="40"/>
      <c r="L218" s="9"/>
      <c r="M218" s="9"/>
      <c r="N218" s="9"/>
      <c r="O218" s="40"/>
      <c r="P218" s="9"/>
      <c r="Q218" s="9"/>
      <c r="R218" s="9"/>
      <c r="S218" s="9"/>
      <c r="T218" s="9"/>
      <c r="U218" s="9"/>
      <c r="V218" s="9"/>
      <c r="W218" s="9"/>
      <c r="X218" s="9"/>
      <c r="Y218" s="9"/>
      <c r="Z218" s="10" t="str">
        <f aca="false">IF(A218="","",SG_Criteria!$B$6&amp;SG_Criteria!$B$7&amp;"\"&amp;A218&amp;"\")</f>
        <v/>
      </c>
      <c r="AA218" s="10" t="str">
        <f aca="false">IF(A218="","",A218&amp;"_CAD.dwg")</f>
        <v/>
      </c>
      <c r="AB218" s="10" t="str">
        <f aca="false">IF(A218="","",A218&amp;"_DWG.pdf")</f>
        <v/>
      </c>
      <c r="AC218" s="10" t="str">
        <f aca="false">IF(A218="","",IF(Y218="Y",A218&amp;"_STAAD.std","n/a"))</f>
        <v/>
      </c>
      <c r="AD218" s="10" t="str">
        <f aca="false">IF(A218="","",A218&amp;"_CALC.xlsx")</f>
        <v/>
      </c>
      <c r="AE218" s="10" t="str">
        <f aca="false">IF(A218="","",A218&amp;"_CALC.pdf")</f>
        <v/>
      </c>
      <c r="AF218" s="9"/>
      <c r="AG218" s="9"/>
      <c r="AH218" s="41"/>
      <c r="AI218" s="41"/>
      <c r="AJ218" s="41"/>
      <c r="AK218" s="41"/>
      <c r="AL218" s="41"/>
      <c r="AM218" s="37" t="str">
        <f aca="false">IF(OR(C218="",F218="",G218="",C218="Sump",C218="Drop Inlet Chamber",C218="Silt Trap",C218="Pipe Culvert",C218="Subsoil Drain"),"",ROUND(MAX(1,N(H218))*(1/SG_Criteria!$B$26)*((F218/1000)*(G218/1000*(1-SG_Criteria!$B$25)))*(((F218/1000)*(G218/1000*(1-SG_Criteria!$B$25)))/((F218/1000)+2*(G218/1000*(1-SG_Criteria!$B$25))))^(2/3)*(1/Design_Selector!$B$11)^0.5,3))</f>
        <v/>
      </c>
      <c r="AN218" s="11" t="str">
        <f aca="false">IF(AM218="","",ROUND(AM218/(MAX(1,N(H218))*F218/1000*(G218/1000*(1-SG_Criteria!$B$25))),2))</f>
        <v/>
      </c>
      <c r="AO218" s="38" t="str">
        <f aca="false">IF(C218="","",IF(LEN(IF(AND(OR(D218="Roadside drain",D218="Entrance culvert"),OR(F218&lt;SG_Criteria!$B$15,G218&lt;SG_Criteria!$B$16)),"FAIL: below PUB min "&amp;SG_Criteria!$B$15&amp;"x"&amp;SG_Criteria!$B$16&amp;" for roadside drain. ","")&amp;IF(AND(D218="Common drain",F218&lt;SG_Criteria!$B$17),"FAIL: common drain W &lt; "&amp;SG_Criteria!$B$17&amp;" mm. ","")&amp;IF(AND(N218&lt;&gt;"",IFERROR(VALUE(MID(N218,2,2)),0)&lt;SG_Criteria!$B$19),"FAIL: grade below C"&amp;SG_Criteria!$B$19&amp;". ","")&amp;IF(AND(O218&lt;&gt;"",O218&lt;SG_Criteria!$B$20),"FAIL: cover &lt; "&amp;SG_Criteria!$B$20&amp;" mm. ","")&amp;IF(AND(E218="Open",G218&gt;SG_Criteria!$B$18),"NOTE: safety railing required (D &gt; "&amp;SG_Criteria!$B$18&amp;" mm). ","")&amp;IF(AND(D218="Entrance culvert",G218&lt;600),"NOTE: check hinged grating rule for culverts &lt; 600 deep (PUB Add. 3). ",""))=0,"OK",IF(AND(OR(D218="Roadside drain",D218="Entrance culvert"),OR(F218&lt;SG_Criteria!$B$15,G218&lt;SG_Criteria!$B$16)),"FAIL: below PUB min "&amp;SG_Criteria!$B$15&amp;"x"&amp;SG_Criteria!$B$16&amp;" for roadside drain. ","")&amp;IF(AND(D218="Common drain",F218&lt;SG_Criteria!$B$17),"FAIL: common drain W &lt; "&amp;SG_Criteria!$B$17&amp;" mm. ","")&amp;IF(AND(N218&lt;&gt;"",IFERROR(VALUE(MID(N218,2,2)),0)&lt;SG_Criteria!$B$19),"FAIL: grade below C"&amp;SG_Criteria!$B$19&amp;". ","")&amp;IF(AND(O218&lt;&gt;"",O218&lt;SG_Criteria!$B$20),"FAIL: cover &lt; "&amp;SG_Criteria!$B$20&amp;" mm. ","")&amp;IF(AND(E218="Open",G218&gt;SG_Criteria!$B$18),"NOTE: safety railing required (D &gt; "&amp;SG_Criteria!$B$18&amp;" mm). ","")&amp;IF(AND(D218="Entrance culvert",G218&lt;600),"NOTE: check hinged grating rule for culverts &lt; 600 deep (PUB Add. 3). ","")))</f>
        <v/>
      </c>
      <c r="AP218" s="9"/>
      <c r="AQ218" s="9"/>
      <c r="AR218" s="9"/>
      <c r="AS218" s="9"/>
      <c r="AT218" s="9"/>
      <c r="AU218" s="31"/>
      <c r="AV218" s="10" t="str">
        <f aca="false">IF(C218="","",IF(AND(V218="Approved",ISERROR(SEARCH("FAIL",AO218))),"Y","N"))</f>
        <v/>
      </c>
      <c r="AW218" s="10" t="str">
        <f aca="false">IF(C218="","",C218&amp;"|"&amp;F218&amp;"|"&amp;G218&amp;"|"&amp;L218&amp;"|"&amp;AV218)</f>
        <v/>
      </c>
    </row>
    <row r="219" customFormat="false" ht="15" hidden="false" customHeight="false" outlineLevel="0" collapsed="false">
      <c r="A219" s="10" t="str">
        <f aca="false">IF(C219="","","DRN-"&amp;IFERROR(VLOOKUP(C219,Lists!$A$4:$B$27,2,0),"??")&amp;"-"&amp;TEXT(F219,"0000")&amp;"x"&amp;TEXT(G219,"0000")&amp;IF(N(H219)&gt;1,"-"&amp;H219&amp;"C","")&amp;"-"&amp;IFERROR(VLOOKUP(L219,Lists!$J$4:$K$19,2,0),"??")&amp;"-"&amp;U219)</f>
        <v/>
      </c>
      <c r="B219" s="10" t="str">
        <f aca="false">IF(C219="","",C219&amp;" "&amp;F219&amp;"W x "&amp;G219&amp;"D"&amp;IF(N(H219)&gt;1," ("&amp;H219&amp;" cells)","")&amp;", "&amp;D219&amp;", "&amp;L219&amp;", "&amp;E219)</f>
        <v/>
      </c>
      <c r="C219" s="9"/>
      <c r="D219" s="9"/>
      <c r="E219" s="9"/>
      <c r="F219" s="40"/>
      <c r="G219" s="40"/>
      <c r="H219" s="40"/>
      <c r="I219" s="40"/>
      <c r="J219" s="40"/>
      <c r="K219" s="40"/>
      <c r="L219" s="9"/>
      <c r="M219" s="9"/>
      <c r="N219" s="9"/>
      <c r="O219" s="40"/>
      <c r="P219" s="9"/>
      <c r="Q219" s="9"/>
      <c r="R219" s="9"/>
      <c r="S219" s="9"/>
      <c r="T219" s="9"/>
      <c r="U219" s="9"/>
      <c r="V219" s="9"/>
      <c r="W219" s="9"/>
      <c r="X219" s="9"/>
      <c r="Y219" s="9"/>
      <c r="Z219" s="10" t="str">
        <f aca="false">IF(A219="","",SG_Criteria!$B$6&amp;SG_Criteria!$B$7&amp;"\"&amp;A219&amp;"\")</f>
        <v/>
      </c>
      <c r="AA219" s="10" t="str">
        <f aca="false">IF(A219="","",A219&amp;"_CAD.dwg")</f>
        <v/>
      </c>
      <c r="AB219" s="10" t="str">
        <f aca="false">IF(A219="","",A219&amp;"_DWG.pdf")</f>
        <v/>
      </c>
      <c r="AC219" s="10" t="str">
        <f aca="false">IF(A219="","",IF(Y219="Y",A219&amp;"_STAAD.std","n/a"))</f>
        <v/>
      </c>
      <c r="AD219" s="10" t="str">
        <f aca="false">IF(A219="","",A219&amp;"_CALC.xlsx")</f>
        <v/>
      </c>
      <c r="AE219" s="10" t="str">
        <f aca="false">IF(A219="","",A219&amp;"_CALC.pdf")</f>
        <v/>
      </c>
      <c r="AF219" s="9"/>
      <c r="AG219" s="9"/>
      <c r="AH219" s="41"/>
      <c r="AI219" s="41"/>
      <c r="AJ219" s="41"/>
      <c r="AK219" s="41"/>
      <c r="AL219" s="41"/>
      <c r="AM219" s="37" t="str">
        <f aca="false">IF(OR(C219="",F219="",G219="",C219="Sump",C219="Drop Inlet Chamber",C219="Silt Trap",C219="Pipe Culvert",C219="Subsoil Drain"),"",ROUND(MAX(1,N(H219))*(1/SG_Criteria!$B$26)*((F219/1000)*(G219/1000*(1-SG_Criteria!$B$25)))*(((F219/1000)*(G219/1000*(1-SG_Criteria!$B$25)))/((F219/1000)+2*(G219/1000*(1-SG_Criteria!$B$25))))^(2/3)*(1/Design_Selector!$B$11)^0.5,3))</f>
        <v/>
      </c>
      <c r="AN219" s="11" t="str">
        <f aca="false">IF(AM219="","",ROUND(AM219/(MAX(1,N(H219))*F219/1000*(G219/1000*(1-SG_Criteria!$B$25))),2))</f>
        <v/>
      </c>
      <c r="AO219" s="38" t="str">
        <f aca="false">IF(C219="","",IF(LEN(IF(AND(OR(D219="Roadside drain",D219="Entrance culvert"),OR(F219&lt;SG_Criteria!$B$15,G219&lt;SG_Criteria!$B$16)),"FAIL: below PUB min "&amp;SG_Criteria!$B$15&amp;"x"&amp;SG_Criteria!$B$16&amp;" for roadside drain. ","")&amp;IF(AND(D219="Common drain",F219&lt;SG_Criteria!$B$17),"FAIL: common drain W &lt; "&amp;SG_Criteria!$B$17&amp;" mm. ","")&amp;IF(AND(N219&lt;&gt;"",IFERROR(VALUE(MID(N219,2,2)),0)&lt;SG_Criteria!$B$19),"FAIL: grade below C"&amp;SG_Criteria!$B$19&amp;". ","")&amp;IF(AND(O219&lt;&gt;"",O219&lt;SG_Criteria!$B$20),"FAIL: cover &lt; "&amp;SG_Criteria!$B$20&amp;" mm. ","")&amp;IF(AND(E219="Open",G219&gt;SG_Criteria!$B$18),"NOTE: safety railing required (D &gt; "&amp;SG_Criteria!$B$18&amp;" mm). ","")&amp;IF(AND(D219="Entrance culvert",G219&lt;600),"NOTE: check hinged grating rule for culverts &lt; 600 deep (PUB Add. 3). ",""))=0,"OK",IF(AND(OR(D219="Roadside drain",D219="Entrance culvert"),OR(F219&lt;SG_Criteria!$B$15,G219&lt;SG_Criteria!$B$16)),"FAIL: below PUB min "&amp;SG_Criteria!$B$15&amp;"x"&amp;SG_Criteria!$B$16&amp;" for roadside drain. ","")&amp;IF(AND(D219="Common drain",F219&lt;SG_Criteria!$B$17),"FAIL: common drain W &lt; "&amp;SG_Criteria!$B$17&amp;" mm. ","")&amp;IF(AND(N219&lt;&gt;"",IFERROR(VALUE(MID(N219,2,2)),0)&lt;SG_Criteria!$B$19),"FAIL: grade below C"&amp;SG_Criteria!$B$19&amp;". ","")&amp;IF(AND(O219&lt;&gt;"",O219&lt;SG_Criteria!$B$20),"FAIL: cover &lt; "&amp;SG_Criteria!$B$20&amp;" mm. ","")&amp;IF(AND(E219="Open",G219&gt;SG_Criteria!$B$18),"NOTE: safety railing required (D &gt; "&amp;SG_Criteria!$B$18&amp;" mm). ","")&amp;IF(AND(D219="Entrance culvert",G219&lt;600),"NOTE: check hinged grating rule for culverts &lt; 600 deep (PUB Add. 3). ","")))</f>
        <v/>
      </c>
      <c r="AP219" s="9"/>
      <c r="AQ219" s="9"/>
      <c r="AR219" s="9"/>
      <c r="AS219" s="9"/>
      <c r="AT219" s="9"/>
      <c r="AU219" s="31"/>
      <c r="AV219" s="10" t="str">
        <f aca="false">IF(C219="","",IF(AND(V219="Approved",ISERROR(SEARCH("FAIL",AO219))),"Y","N"))</f>
        <v/>
      </c>
      <c r="AW219" s="10" t="str">
        <f aca="false">IF(C219="","",C219&amp;"|"&amp;F219&amp;"|"&amp;G219&amp;"|"&amp;L219&amp;"|"&amp;AV219)</f>
        <v/>
      </c>
    </row>
    <row r="220" customFormat="false" ht="15" hidden="false" customHeight="false" outlineLevel="0" collapsed="false">
      <c r="A220" s="10" t="str">
        <f aca="false">IF(C220="","","DRN-"&amp;IFERROR(VLOOKUP(C220,Lists!$A$4:$B$27,2,0),"??")&amp;"-"&amp;TEXT(F220,"0000")&amp;"x"&amp;TEXT(G220,"0000")&amp;IF(N(H220)&gt;1,"-"&amp;H220&amp;"C","")&amp;"-"&amp;IFERROR(VLOOKUP(L220,Lists!$J$4:$K$19,2,0),"??")&amp;"-"&amp;U220)</f>
        <v/>
      </c>
      <c r="B220" s="10" t="str">
        <f aca="false">IF(C220="","",C220&amp;" "&amp;F220&amp;"W x "&amp;G220&amp;"D"&amp;IF(N(H220)&gt;1," ("&amp;H220&amp;" cells)","")&amp;", "&amp;D220&amp;", "&amp;L220&amp;", "&amp;E220)</f>
        <v/>
      </c>
      <c r="C220" s="9"/>
      <c r="D220" s="9"/>
      <c r="E220" s="9"/>
      <c r="F220" s="40"/>
      <c r="G220" s="40"/>
      <c r="H220" s="40"/>
      <c r="I220" s="40"/>
      <c r="J220" s="40"/>
      <c r="K220" s="40"/>
      <c r="L220" s="9"/>
      <c r="M220" s="9"/>
      <c r="N220" s="9"/>
      <c r="O220" s="40"/>
      <c r="P220" s="9"/>
      <c r="Q220" s="9"/>
      <c r="R220" s="9"/>
      <c r="S220" s="9"/>
      <c r="T220" s="9"/>
      <c r="U220" s="9"/>
      <c r="V220" s="9"/>
      <c r="W220" s="9"/>
      <c r="X220" s="9"/>
      <c r="Y220" s="9"/>
      <c r="Z220" s="10" t="str">
        <f aca="false">IF(A220="","",SG_Criteria!$B$6&amp;SG_Criteria!$B$7&amp;"\"&amp;A220&amp;"\")</f>
        <v/>
      </c>
      <c r="AA220" s="10" t="str">
        <f aca="false">IF(A220="","",A220&amp;"_CAD.dwg")</f>
        <v/>
      </c>
      <c r="AB220" s="10" t="str">
        <f aca="false">IF(A220="","",A220&amp;"_DWG.pdf")</f>
        <v/>
      </c>
      <c r="AC220" s="10" t="str">
        <f aca="false">IF(A220="","",IF(Y220="Y",A220&amp;"_STAAD.std","n/a"))</f>
        <v/>
      </c>
      <c r="AD220" s="10" t="str">
        <f aca="false">IF(A220="","",A220&amp;"_CALC.xlsx")</f>
        <v/>
      </c>
      <c r="AE220" s="10" t="str">
        <f aca="false">IF(A220="","",A220&amp;"_CALC.pdf")</f>
        <v/>
      </c>
      <c r="AF220" s="9"/>
      <c r="AG220" s="9"/>
      <c r="AH220" s="41"/>
      <c r="AI220" s="41"/>
      <c r="AJ220" s="41"/>
      <c r="AK220" s="41"/>
      <c r="AL220" s="41"/>
      <c r="AM220" s="37" t="str">
        <f aca="false">IF(OR(C220="",F220="",G220="",C220="Sump",C220="Drop Inlet Chamber",C220="Silt Trap",C220="Pipe Culvert",C220="Subsoil Drain"),"",ROUND(MAX(1,N(H220))*(1/SG_Criteria!$B$26)*((F220/1000)*(G220/1000*(1-SG_Criteria!$B$25)))*(((F220/1000)*(G220/1000*(1-SG_Criteria!$B$25)))/((F220/1000)+2*(G220/1000*(1-SG_Criteria!$B$25))))^(2/3)*(1/Design_Selector!$B$11)^0.5,3))</f>
        <v/>
      </c>
      <c r="AN220" s="11" t="str">
        <f aca="false">IF(AM220="","",ROUND(AM220/(MAX(1,N(H220))*F220/1000*(G220/1000*(1-SG_Criteria!$B$25))),2))</f>
        <v/>
      </c>
      <c r="AO220" s="38" t="str">
        <f aca="false">IF(C220="","",IF(LEN(IF(AND(OR(D220="Roadside drain",D220="Entrance culvert"),OR(F220&lt;SG_Criteria!$B$15,G220&lt;SG_Criteria!$B$16)),"FAIL: below PUB min "&amp;SG_Criteria!$B$15&amp;"x"&amp;SG_Criteria!$B$16&amp;" for roadside drain. ","")&amp;IF(AND(D220="Common drain",F220&lt;SG_Criteria!$B$17),"FAIL: common drain W &lt; "&amp;SG_Criteria!$B$17&amp;" mm. ","")&amp;IF(AND(N220&lt;&gt;"",IFERROR(VALUE(MID(N220,2,2)),0)&lt;SG_Criteria!$B$19),"FAIL: grade below C"&amp;SG_Criteria!$B$19&amp;". ","")&amp;IF(AND(O220&lt;&gt;"",O220&lt;SG_Criteria!$B$20),"FAIL: cover &lt; "&amp;SG_Criteria!$B$20&amp;" mm. ","")&amp;IF(AND(E220="Open",G220&gt;SG_Criteria!$B$18),"NOTE: safety railing required (D &gt; "&amp;SG_Criteria!$B$18&amp;" mm). ","")&amp;IF(AND(D220="Entrance culvert",G220&lt;600),"NOTE: check hinged grating rule for culverts &lt; 600 deep (PUB Add. 3). ",""))=0,"OK",IF(AND(OR(D220="Roadside drain",D220="Entrance culvert"),OR(F220&lt;SG_Criteria!$B$15,G220&lt;SG_Criteria!$B$16)),"FAIL: below PUB min "&amp;SG_Criteria!$B$15&amp;"x"&amp;SG_Criteria!$B$16&amp;" for roadside drain. ","")&amp;IF(AND(D220="Common drain",F220&lt;SG_Criteria!$B$17),"FAIL: common drain W &lt; "&amp;SG_Criteria!$B$17&amp;" mm. ","")&amp;IF(AND(N220&lt;&gt;"",IFERROR(VALUE(MID(N220,2,2)),0)&lt;SG_Criteria!$B$19),"FAIL: grade below C"&amp;SG_Criteria!$B$19&amp;". ","")&amp;IF(AND(O220&lt;&gt;"",O220&lt;SG_Criteria!$B$20),"FAIL: cover &lt; "&amp;SG_Criteria!$B$20&amp;" mm. ","")&amp;IF(AND(E220="Open",G220&gt;SG_Criteria!$B$18),"NOTE: safety railing required (D &gt; "&amp;SG_Criteria!$B$18&amp;" mm). ","")&amp;IF(AND(D220="Entrance culvert",G220&lt;600),"NOTE: check hinged grating rule for culverts &lt; 600 deep (PUB Add. 3). ","")))</f>
        <v/>
      </c>
      <c r="AP220" s="9"/>
      <c r="AQ220" s="9"/>
      <c r="AR220" s="9"/>
      <c r="AS220" s="9"/>
      <c r="AT220" s="9"/>
      <c r="AU220" s="31"/>
      <c r="AV220" s="10" t="str">
        <f aca="false">IF(C220="","",IF(AND(V220="Approved",ISERROR(SEARCH("FAIL",AO220))),"Y","N"))</f>
        <v/>
      </c>
      <c r="AW220" s="10" t="str">
        <f aca="false">IF(C220="","",C220&amp;"|"&amp;F220&amp;"|"&amp;G220&amp;"|"&amp;L220&amp;"|"&amp;AV220)</f>
        <v/>
      </c>
    </row>
    <row r="221" customFormat="false" ht="15" hidden="false" customHeight="false" outlineLevel="0" collapsed="false">
      <c r="A221" s="10" t="str">
        <f aca="false">IF(C221="","","DRN-"&amp;IFERROR(VLOOKUP(C221,Lists!$A$4:$B$27,2,0),"??")&amp;"-"&amp;TEXT(F221,"0000")&amp;"x"&amp;TEXT(G221,"0000")&amp;IF(N(H221)&gt;1,"-"&amp;H221&amp;"C","")&amp;"-"&amp;IFERROR(VLOOKUP(L221,Lists!$J$4:$K$19,2,0),"??")&amp;"-"&amp;U221)</f>
        <v/>
      </c>
      <c r="B221" s="10" t="str">
        <f aca="false">IF(C221="","",C221&amp;" "&amp;F221&amp;"W x "&amp;G221&amp;"D"&amp;IF(N(H221)&gt;1," ("&amp;H221&amp;" cells)","")&amp;", "&amp;D221&amp;", "&amp;L221&amp;", "&amp;E221)</f>
        <v/>
      </c>
      <c r="C221" s="9"/>
      <c r="D221" s="9"/>
      <c r="E221" s="9"/>
      <c r="F221" s="40"/>
      <c r="G221" s="40"/>
      <c r="H221" s="40"/>
      <c r="I221" s="40"/>
      <c r="J221" s="40"/>
      <c r="K221" s="40"/>
      <c r="L221" s="9"/>
      <c r="M221" s="9"/>
      <c r="N221" s="9"/>
      <c r="O221" s="40"/>
      <c r="P221" s="9"/>
      <c r="Q221" s="9"/>
      <c r="R221" s="9"/>
      <c r="S221" s="9"/>
      <c r="T221" s="9"/>
      <c r="U221" s="9"/>
      <c r="V221" s="9"/>
      <c r="W221" s="9"/>
      <c r="X221" s="9"/>
      <c r="Y221" s="9"/>
      <c r="Z221" s="10" t="str">
        <f aca="false">IF(A221="","",SG_Criteria!$B$6&amp;SG_Criteria!$B$7&amp;"\"&amp;A221&amp;"\")</f>
        <v/>
      </c>
      <c r="AA221" s="10" t="str">
        <f aca="false">IF(A221="","",A221&amp;"_CAD.dwg")</f>
        <v/>
      </c>
      <c r="AB221" s="10" t="str">
        <f aca="false">IF(A221="","",A221&amp;"_DWG.pdf")</f>
        <v/>
      </c>
      <c r="AC221" s="10" t="str">
        <f aca="false">IF(A221="","",IF(Y221="Y",A221&amp;"_STAAD.std","n/a"))</f>
        <v/>
      </c>
      <c r="AD221" s="10" t="str">
        <f aca="false">IF(A221="","",A221&amp;"_CALC.xlsx")</f>
        <v/>
      </c>
      <c r="AE221" s="10" t="str">
        <f aca="false">IF(A221="","",A221&amp;"_CALC.pdf")</f>
        <v/>
      </c>
      <c r="AF221" s="9"/>
      <c r="AG221" s="9"/>
      <c r="AH221" s="41"/>
      <c r="AI221" s="41"/>
      <c r="AJ221" s="41"/>
      <c r="AK221" s="41"/>
      <c r="AL221" s="41"/>
      <c r="AM221" s="37" t="str">
        <f aca="false">IF(OR(C221="",F221="",G221="",C221="Sump",C221="Drop Inlet Chamber",C221="Silt Trap",C221="Pipe Culvert",C221="Subsoil Drain"),"",ROUND(MAX(1,N(H221))*(1/SG_Criteria!$B$26)*((F221/1000)*(G221/1000*(1-SG_Criteria!$B$25)))*(((F221/1000)*(G221/1000*(1-SG_Criteria!$B$25)))/((F221/1000)+2*(G221/1000*(1-SG_Criteria!$B$25))))^(2/3)*(1/Design_Selector!$B$11)^0.5,3))</f>
        <v/>
      </c>
      <c r="AN221" s="11" t="str">
        <f aca="false">IF(AM221="","",ROUND(AM221/(MAX(1,N(H221))*F221/1000*(G221/1000*(1-SG_Criteria!$B$25))),2))</f>
        <v/>
      </c>
      <c r="AO221" s="38" t="str">
        <f aca="false">IF(C221="","",IF(LEN(IF(AND(OR(D221="Roadside drain",D221="Entrance culvert"),OR(F221&lt;SG_Criteria!$B$15,G221&lt;SG_Criteria!$B$16)),"FAIL: below PUB min "&amp;SG_Criteria!$B$15&amp;"x"&amp;SG_Criteria!$B$16&amp;" for roadside drain. ","")&amp;IF(AND(D221="Common drain",F221&lt;SG_Criteria!$B$17),"FAIL: common drain W &lt; "&amp;SG_Criteria!$B$17&amp;" mm. ","")&amp;IF(AND(N221&lt;&gt;"",IFERROR(VALUE(MID(N221,2,2)),0)&lt;SG_Criteria!$B$19),"FAIL: grade below C"&amp;SG_Criteria!$B$19&amp;". ","")&amp;IF(AND(O221&lt;&gt;"",O221&lt;SG_Criteria!$B$20),"FAIL: cover &lt; "&amp;SG_Criteria!$B$20&amp;" mm. ","")&amp;IF(AND(E221="Open",G221&gt;SG_Criteria!$B$18),"NOTE: safety railing required (D &gt; "&amp;SG_Criteria!$B$18&amp;" mm). ","")&amp;IF(AND(D221="Entrance culvert",G221&lt;600),"NOTE: check hinged grating rule for culverts &lt; 600 deep (PUB Add. 3). ",""))=0,"OK",IF(AND(OR(D221="Roadside drain",D221="Entrance culvert"),OR(F221&lt;SG_Criteria!$B$15,G221&lt;SG_Criteria!$B$16)),"FAIL: below PUB min "&amp;SG_Criteria!$B$15&amp;"x"&amp;SG_Criteria!$B$16&amp;" for roadside drain. ","")&amp;IF(AND(D221="Common drain",F221&lt;SG_Criteria!$B$17),"FAIL: common drain W &lt; "&amp;SG_Criteria!$B$17&amp;" mm. ","")&amp;IF(AND(N221&lt;&gt;"",IFERROR(VALUE(MID(N221,2,2)),0)&lt;SG_Criteria!$B$19),"FAIL: grade below C"&amp;SG_Criteria!$B$19&amp;". ","")&amp;IF(AND(O221&lt;&gt;"",O221&lt;SG_Criteria!$B$20),"FAIL: cover &lt; "&amp;SG_Criteria!$B$20&amp;" mm. ","")&amp;IF(AND(E221="Open",G221&gt;SG_Criteria!$B$18),"NOTE: safety railing required (D &gt; "&amp;SG_Criteria!$B$18&amp;" mm). ","")&amp;IF(AND(D221="Entrance culvert",G221&lt;600),"NOTE: check hinged grating rule for culverts &lt; 600 deep (PUB Add. 3). ","")))</f>
        <v/>
      </c>
      <c r="AP221" s="9"/>
      <c r="AQ221" s="9"/>
      <c r="AR221" s="9"/>
      <c r="AS221" s="9"/>
      <c r="AT221" s="9"/>
      <c r="AU221" s="31"/>
      <c r="AV221" s="10" t="str">
        <f aca="false">IF(C221="","",IF(AND(V221="Approved",ISERROR(SEARCH("FAIL",AO221))),"Y","N"))</f>
        <v/>
      </c>
      <c r="AW221" s="10" t="str">
        <f aca="false">IF(C221="","",C221&amp;"|"&amp;F221&amp;"|"&amp;G221&amp;"|"&amp;L221&amp;"|"&amp;AV221)</f>
        <v/>
      </c>
    </row>
    <row r="222" customFormat="false" ht="15" hidden="false" customHeight="false" outlineLevel="0" collapsed="false">
      <c r="A222" s="10" t="str">
        <f aca="false">IF(C222="","","DRN-"&amp;IFERROR(VLOOKUP(C222,Lists!$A$4:$B$27,2,0),"??")&amp;"-"&amp;TEXT(F222,"0000")&amp;"x"&amp;TEXT(G222,"0000")&amp;IF(N(H222)&gt;1,"-"&amp;H222&amp;"C","")&amp;"-"&amp;IFERROR(VLOOKUP(L222,Lists!$J$4:$K$19,2,0),"??")&amp;"-"&amp;U222)</f>
        <v/>
      </c>
      <c r="B222" s="10" t="str">
        <f aca="false">IF(C222="","",C222&amp;" "&amp;F222&amp;"W x "&amp;G222&amp;"D"&amp;IF(N(H222)&gt;1," ("&amp;H222&amp;" cells)","")&amp;", "&amp;D222&amp;", "&amp;L222&amp;", "&amp;E222)</f>
        <v/>
      </c>
      <c r="C222" s="9"/>
      <c r="D222" s="9"/>
      <c r="E222" s="9"/>
      <c r="F222" s="40"/>
      <c r="G222" s="40"/>
      <c r="H222" s="40"/>
      <c r="I222" s="40"/>
      <c r="J222" s="40"/>
      <c r="K222" s="40"/>
      <c r="L222" s="9"/>
      <c r="M222" s="9"/>
      <c r="N222" s="9"/>
      <c r="O222" s="40"/>
      <c r="P222" s="9"/>
      <c r="Q222" s="9"/>
      <c r="R222" s="9"/>
      <c r="S222" s="9"/>
      <c r="T222" s="9"/>
      <c r="U222" s="9"/>
      <c r="V222" s="9"/>
      <c r="W222" s="9"/>
      <c r="X222" s="9"/>
      <c r="Y222" s="9"/>
      <c r="Z222" s="10" t="str">
        <f aca="false">IF(A222="","",SG_Criteria!$B$6&amp;SG_Criteria!$B$7&amp;"\"&amp;A222&amp;"\")</f>
        <v/>
      </c>
      <c r="AA222" s="10" t="str">
        <f aca="false">IF(A222="","",A222&amp;"_CAD.dwg")</f>
        <v/>
      </c>
      <c r="AB222" s="10" t="str">
        <f aca="false">IF(A222="","",A222&amp;"_DWG.pdf")</f>
        <v/>
      </c>
      <c r="AC222" s="10" t="str">
        <f aca="false">IF(A222="","",IF(Y222="Y",A222&amp;"_STAAD.std","n/a"))</f>
        <v/>
      </c>
      <c r="AD222" s="10" t="str">
        <f aca="false">IF(A222="","",A222&amp;"_CALC.xlsx")</f>
        <v/>
      </c>
      <c r="AE222" s="10" t="str">
        <f aca="false">IF(A222="","",A222&amp;"_CALC.pdf")</f>
        <v/>
      </c>
      <c r="AF222" s="9"/>
      <c r="AG222" s="9"/>
      <c r="AH222" s="41"/>
      <c r="AI222" s="41"/>
      <c r="AJ222" s="41"/>
      <c r="AK222" s="41"/>
      <c r="AL222" s="41"/>
      <c r="AM222" s="37" t="str">
        <f aca="false">IF(OR(C222="",F222="",G222="",C222="Sump",C222="Drop Inlet Chamber",C222="Silt Trap",C222="Pipe Culvert",C222="Subsoil Drain"),"",ROUND(MAX(1,N(H222))*(1/SG_Criteria!$B$26)*((F222/1000)*(G222/1000*(1-SG_Criteria!$B$25)))*(((F222/1000)*(G222/1000*(1-SG_Criteria!$B$25)))/((F222/1000)+2*(G222/1000*(1-SG_Criteria!$B$25))))^(2/3)*(1/Design_Selector!$B$11)^0.5,3))</f>
        <v/>
      </c>
      <c r="AN222" s="11" t="str">
        <f aca="false">IF(AM222="","",ROUND(AM222/(MAX(1,N(H222))*F222/1000*(G222/1000*(1-SG_Criteria!$B$25))),2))</f>
        <v/>
      </c>
      <c r="AO222" s="38" t="str">
        <f aca="false">IF(C222="","",IF(LEN(IF(AND(OR(D222="Roadside drain",D222="Entrance culvert"),OR(F222&lt;SG_Criteria!$B$15,G222&lt;SG_Criteria!$B$16)),"FAIL: below PUB min "&amp;SG_Criteria!$B$15&amp;"x"&amp;SG_Criteria!$B$16&amp;" for roadside drain. ","")&amp;IF(AND(D222="Common drain",F222&lt;SG_Criteria!$B$17),"FAIL: common drain W &lt; "&amp;SG_Criteria!$B$17&amp;" mm. ","")&amp;IF(AND(N222&lt;&gt;"",IFERROR(VALUE(MID(N222,2,2)),0)&lt;SG_Criteria!$B$19),"FAIL: grade below C"&amp;SG_Criteria!$B$19&amp;". ","")&amp;IF(AND(O222&lt;&gt;"",O222&lt;SG_Criteria!$B$20),"FAIL: cover &lt; "&amp;SG_Criteria!$B$20&amp;" mm. ","")&amp;IF(AND(E222="Open",G222&gt;SG_Criteria!$B$18),"NOTE: safety railing required (D &gt; "&amp;SG_Criteria!$B$18&amp;" mm). ","")&amp;IF(AND(D222="Entrance culvert",G222&lt;600),"NOTE: check hinged grating rule for culverts &lt; 600 deep (PUB Add. 3). ",""))=0,"OK",IF(AND(OR(D222="Roadside drain",D222="Entrance culvert"),OR(F222&lt;SG_Criteria!$B$15,G222&lt;SG_Criteria!$B$16)),"FAIL: below PUB min "&amp;SG_Criteria!$B$15&amp;"x"&amp;SG_Criteria!$B$16&amp;" for roadside drain. ","")&amp;IF(AND(D222="Common drain",F222&lt;SG_Criteria!$B$17),"FAIL: common drain W &lt; "&amp;SG_Criteria!$B$17&amp;" mm. ","")&amp;IF(AND(N222&lt;&gt;"",IFERROR(VALUE(MID(N222,2,2)),0)&lt;SG_Criteria!$B$19),"FAIL: grade below C"&amp;SG_Criteria!$B$19&amp;". ","")&amp;IF(AND(O222&lt;&gt;"",O222&lt;SG_Criteria!$B$20),"FAIL: cover &lt; "&amp;SG_Criteria!$B$20&amp;" mm. ","")&amp;IF(AND(E222="Open",G222&gt;SG_Criteria!$B$18),"NOTE: safety railing required (D &gt; "&amp;SG_Criteria!$B$18&amp;" mm). ","")&amp;IF(AND(D222="Entrance culvert",G222&lt;600),"NOTE: check hinged grating rule for culverts &lt; 600 deep (PUB Add. 3). ","")))</f>
        <v/>
      </c>
      <c r="AP222" s="9"/>
      <c r="AQ222" s="9"/>
      <c r="AR222" s="9"/>
      <c r="AS222" s="9"/>
      <c r="AT222" s="9"/>
      <c r="AU222" s="31"/>
      <c r="AV222" s="10" t="str">
        <f aca="false">IF(C222="","",IF(AND(V222="Approved",ISERROR(SEARCH("FAIL",AO222))),"Y","N"))</f>
        <v/>
      </c>
      <c r="AW222" s="10" t="str">
        <f aca="false">IF(C222="","",C222&amp;"|"&amp;F222&amp;"|"&amp;G222&amp;"|"&amp;L222&amp;"|"&amp;AV222)</f>
        <v/>
      </c>
    </row>
    <row r="223" customFormat="false" ht="15" hidden="false" customHeight="false" outlineLevel="0" collapsed="false">
      <c r="A223" s="10" t="str">
        <f aca="false">IF(C223="","","DRN-"&amp;IFERROR(VLOOKUP(C223,Lists!$A$4:$B$27,2,0),"??")&amp;"-"&amp;TEXT(F223,"0000")&amp;"x"&amp;TEXT(G223,"0000")&amp;IF(N(H223)&gt;1,"-"&amp;H223&amp;"C","")&amp;"-"&amp;IFERROR(VLOOKUP(L223,Lists!$J$4:$K$19,2,0),"??")&amp;"-"&amp;U223)</f>
        <v/>
      </c>
      <c r="B223" s="10" t="str">
        <f aca="false">IF(C223="","",C223&amp;" "&amp;F223&amp;"W x "&amp;G223&amp;"D"&amp;IF(N(H223)&gt;1," ("&amp;H223&amp;" cells)","")&amp;", "&amp;D223&amp;", "&amp;L223&amp;", "&amp;E223)</f>
        <v/>
      </c>
      <c r="C223" s="9"/>
      <c r="D223" s="9"/>
      <c r="E223" s="9"/>
      <c r="F223" s="40"/>
      <c r="G223" s="40"/>
      <c r="H223" s="40"/>
      <c r="I223" s="40"/>
      <c r="J223" s="40"/>
      <c r="K223" s="40"/>
      <c r="L223" s="9"/>
      <c r="M223" s="9"/>
      <c r="N223" s="9"/>
      <c r="O223" s="40"/>
      <c r="P223" s="9"/>
      <c r="Q223" s="9"/>
      <c r="R223" s="9"/>
      <c r="S223" s="9"/>
      <c r="T223" s="9"/>
      <c r="U223" s="9"/>
      <c r="V223" s="9"/>
      <c r="W223" s="9"/>
      <c r="X223" s="9"/>
      <c r="Y223" s="9"/>
      <c r="Z223" s="10" t="str">
        <f aca="false">IF(A223="","",SG_Criteria!$B$6&amp;SG_Criteria!$B$7&amp;"\"&amp;A223&amp;"\")</f>
        <v/>
      </c>
      <c r="AA223" s="10" t="str">
        <f aca="false">IF(A223="","",A223&amp;"_CAD.dwg")</f>
        <v/>
      </c>
      <c r="AB223" s="10" t="str">
        <f aca="false">IF(A223="","",A223&amp;"_DWG.pdf")</f>
        <v/>
      </c>
      <c r="AC223" s="10" t="str">
        <f aca="false">IF(A223="","",IF(Y223="Y",A223&amp;"_STAAD.std","n/a"))</f>
        <v/>
      </c>
      <c r="AD223" s="10" t="str">
        <f aca="false">IF(A223="","",A223&amp;"_CALC.xlsx")</f>
        <v/>
      </c>
      <c r="AE223" s="10" t="str">
        <f aca="false">IF(A223="","",A223&amp;"_CALC.pdf")</f>
        <v/>
      </c>
      <c r="AF223" s="9"/>
      <c r="AG223" s="9"/>
      <c r="AH223" s="41"/>
      <c r="AI223" s="41"/>
      <c r="AJ223" s="41"/>
      <c r="AK223" s="41"/>
      <c r="AL223" s="41"/>
      <c r="AM223" s="37" t="str">
        <f aca="false">IF(OR(C223="",F223="",G223="",C223="Sump",C223="Drop Inlet Chamber",C223="Silt Trap",C223="Pipe Culvert",C223="Subsoil Drain"),"",ROUND(MAX(1,N(H223))*(1/SG_Criteria!$B$26)*((F223/1000)*(G223/1000*(1-SG_Criteria!$B$25)))*(((F223/1000)*(G223/1000*(1-SG_Criteria!$B$25)))/((F223/1000)+2*(G223/1000*(1-SG_Criteria!$B$25))))^(2/3)*(1/Design_Selector!$B$11)^0.5,3))</f>
        <v/>
      </c>
      <c r="AN223" s="11" t="str">
        <f aca="false">IF(AM223="","",ROUND(AM223/(MAX(1,N(H223))*F223/1000*(G223/1000*(1-SG_Criteria!$B$25))),2))</f>
        <v/>
      </c>
      <c r="AO223" s="38" t="str">
        <f aca="false">IF(C223="","",IF(LEN(IF(AND(OR(D223="Roadside drain",D223="Entrance culvert"),OR(F223&lt;SG_Criteria!$B$15,G223&lt;SG_Criteria!$B$16)),"FAIL: below PUB min "&amp;SG_Criteria!$B$15&amp;"x"&amp;SG_Criteria!$B$16&amp;" for roadside drain. ","")&amp;IF(AND(D223="Common drain",F223&lt;SG_Criteria!$B$17),"FAIL: common drain W &lt; "&amp;SG_Criteria!$B$17&amp;" mm. ","")&amp;IF(AND(N223&lt;&gt;"",IFERROR(VALUE(MID(N223,2,2)),0)&lt;SG_Criteria!$B$19),"FAIL: grade below C"&amp;SG_Criteria!$B$19&amp;". ","")&amp;IF(AND(O223&lt;&gt;"",O223&lt;SG_Criteria!$B$20),"FAIL: cover &lt; "&amp;SG_Criteria!$B$20&amp;" mm. ","")&amp;IF(AND(E223="Open",G223&gt;SG_Criteria!$B$18),"NOTE: safety railing required (D &gt; "&amp;SG_Criteria!$B$18&amp;" mm). ","")&amp;IF(AND(D223="Entrance culvert",G223&lt;600),"NOTE: check hinged grating rule for culverts &lt; 600 deep (PUB Add. 3). ",""))=0,"OK",IF(AND(OR(D223="Roadside drain",D223="Entrance culvert"),OR(F223&lt;SG_Criteria!$B$15,G223&lt;SG_Criteria!$B$16)),"FAIL: below PUB min "&amp;SG_Criteria!$B$15&amp;"x"&amp;SG_Criteria!$B$16&amp;" for roadside drain. ","")&amp;IF(AND(D223="Common drain",F223&lt;SG_Criteria!$B$17),"FAIL: common drain W &lt; "&amp;SG_Criteria!$B$17&amp;" mm. ","")&amp;IF(AND(N223&lt;&gt;"",IFERROR(VALUE(MID(N223,2,2)),0)&lt;SG_Criteria!$B$19),"FAIL: grade below C"&amp;SG_Criteria!$B$19&amp;". ","")&amp;IF(AND(O223&lt;&gt;"",O223&lt;SG_Criteria!$B$20),"FAIL: cover &lt; "&amp;SG_Criteria!$B$20&amp;" mm. ","")&amp;IF(AND(E223="Open",G223&gt;SG_Criteria!$B$18),"NOTE: safety railing required (D &gt; "&amp;SG_Criteria!$B$18&amp;" mm). ","")&amp;IF(AND(D223="Entrance culvert",G223&lt;600),"NOTE: check hinged grating rule for culverts &lt; 600 deep (PUB Add. 3). ","")))</f>
        <v/>
      </c>
      <c r="AP223" s="9"/>
      <c r="AQ223" s="9"/>
      <c r="AR223" s="9"/>
      <c r="AS223" s="9"/>
      <c r="AT223" s="9"/>
      <c r="AU223" s="31"/>
      <c r="AV223" s="10" t="str">
        <f aca="false">IF(C223="","",IF(AND(V223="Approved",ISERROR(SEARCH("FAIL",AO223))),"Y","N"))</f>
        <v/>
      </c>
      <c r="AW223" s="10" t="str">
        <f aca="false">IF(C223="","",C223&amp;"|"&amp;F223&amp;"|"&amp;G223&amp;"|"&amp;L223&amp;"|"&amp;AV223)</f>
        <v/>
      </c>
    </row>
    <row r="224" customFormat="false" ht="15" hidden="false" customHeight="false" outlineLevel="0" collapsed="false">
      <c r="A224" s="10" t="str">
        <f aca="false">IF(C224="","","DRN-"&amp;IFERROR(VLOOKUP(C224,Lists!$A$4:$B$27,2,0),"??")&amp;"-"&amp;TEXT(F224,"0000")&amp;"x"&amp;TEXT(G224,"0000")&amp;IF(N(H224)&gt;1,"-"&amp;H224&amp;"C","")&amp;"-"&amp;IFERROR(VLOOKUP(L224,Lists!$J$4:$K$19,2,0),"??")&amp;"-"&amp;U224)</f>
        <v/>
      </c>
      <c r="B224" s="10" t="str">
        <f aca="false">IF(C224="","",C224&amp;" "&amp;F224&amp;"W x "&amp;G224&amp;"D"&amp;IF(N(H224)&gt;1," ("&amp;H224&amp;" cells)","")&amp;", "&amp;D224&amp;", "&amp;L224&amp;", "&amp;E224)</f>
        <v/>
      </c>
      <c r="C224" s="9"/>
      <c r="D224" s="9"/>
      <c r="E224" s="9"/>
      <c r="F224" s="40"/>
      <c r="G224" s="40"/>
      <c r="H224" s="40"/>
      <c r="I224" s="40"/>
      <c r="J224" s="40"/>
      <c r="K224" s="40"/>
      <c r="L224" s="9"/>
      <c r="M224" s="9"/>
      <c r="N224" s="9"/>
      <c r="O224" s="40"/>
      <c r="P224" s="9"/>
      <c r="Q224" s="9"/>
      <c r="R224" s="9"/>
      <c r="S224" s="9"/>
      <c r="T224" s="9"/>
      <c r="U224" s="9"/>
      <c r="V224" s="9"/>
      <c r="W224" s="9"/>
      <c r="X224" s="9"/>
      <c r="Y224" s="9"/>
      <c r="Z224" s="10" t="str">
        <f aca="false">IF(A224="","",SG_Criteria!$B$6&amp;SG_Criteria!$B$7&amp;"\"&amp;A224&amp;"\")</f>
        <v/>
      </c>
      <c r="AA224" s="10" t="str">
        <f aca="false">IF(A224="","",A224&amp;"_CAD.dwg")</f>
        <v/>
      </c>
      <c r="AB224" s="10" t="str">
        <f aca="false">IF(A224="","",A224&amp;"_DWG.pdf")</f>
        <v/>
      </c>
      <c r="AC224" s="10" t="str">
        <f aca="false">IF(A224="","",IF(Y224="Y",A224&amp;"_STAAD.std","n/a"))</f>
        <v/>
      </c>
      <c r="AD224" s="10" t="str">
        <f aca="false">IF(A224="","",A224&amp;"_CALC.xlsx")</f>
        <v/>
      </c>
      <c r="AE224" s="10" t="str">
        <f aca="false">IF(A224="","",A224&amp;"_CALC.pdf")</f>
        <v/>
      </c>
      <c r="AF224" s="9"/>
      <c r="AG224" s="9"/>
      <c r="AH224" s="41"/>
      <c r="AI224" s="41"/>
      <c r="AJ224" s="41"/>
      <c r="AK224" s="41"/>
      <c r="AL224" s="41"/>
      <c r="AM224" s="37" t="str">
        <f aca="false">IF(OR(C224="",F224="",G224="",C224="Sump",C224="Drop Inlet Chamber",C224="Silt Trap",C224="Pipe Culvert",C224="Subsoil Drain"),"",ROUND(MAX(1,N(H224))*(1/SG_Criteria!$B$26)*((F224/1000)*(G224/1000*(1-SG_Criteria!$B$25)))*(((F224/1000)*(G224/1000*(1-SG_Criteria!$B$25)))/((F224/1000)+2*(G224/1000*(1-SG_Criteria!$B$25))))^(2/3)*(1/Design_Selector!$B$11)^0.5,3))</f>
        <v/>
      </c>
      <c r="AN224" s="11" t="str">
        <f aca="false">IF(AM224="","",ROUND(AM224/(MAX(1,N(H224))*F224/1000*(G224/1000*(1-SG_Criteria!$B$25))),2))</f>
        <v/>
      </c>
      <c r="AO224" s="38" t="str">
        <f aca="false">IF(C224="","",IF(LEN(IF(AND(OR(D224="Roadside drain",D224="Entrance culvert"),OR(F224&lt;SG_Criteria!$B$15,G224&lt;SG_Criteria!$B$16)),"FAIL: below PUB min "&amp;SG_Criteria!$B$15&amp;"x"&amp;SG_Criteria!$B$16&amp;" for roadside drain. ","")&amp;IF(AND(D224="Common drain",F224&lt;SG_Criteria!$B$17),"FAIL: common drain W &lt; "&amp;SG_Criteria!$B$17&amp;" mm. ","")&amp;IF(AND(N224&lt;&gt;"",IFERROR(VALUE(MID(N224,2,2)),0)&lt;SG_Criteria!$B$19),"FAIL: grade below C"&amp;SG_Criteria!$B$19&amp;". ","")&amp;IF(AND(O224&lt;&gt;"",O224&lt;SG_Criteria!$B$20),"FAIL: cover &lt; "&amp;SG_Criteria!$B$20&amp;" mm. ","")&amp;IF(AND(E224="Open",G224&gt;SG_Criteria!$B$18),"NOTE: safety railing required (D &gt; "&amp;SG_Criteria!$B$18&amp;" mm). ","")&amp;IF(AND(D224="Entrance culvert",G224&lt;600),"NOTE: check hinged grating rule for culverts &lt; 600 deep (PUB Add. 3). ",""))=0,"OK",IF(AND(OR(D224="Roadside drain",D224="Entrance culvert"),OR(F224&lt;SG_Criteria!$B$15,G224&lt;SG_Criteria!$B$16)),"FAIL: below PUB min "&amp;SG_Criteria!$B$15&amp;"x"&amp;SG_Criteria!$B$16&amp;" for roadside drain. ","")&amp;IF(AND(D224="Common drain",F224&lt;SG_Criteria!$B$17),"FAIL: common drain W &lt; "&amp;SG_Criteria!$B$17&amp;" mm. ","")&amp;IF(AND(N224&lt;&gt;"",IFERROR(VALUE(MID(N224,2,2)),0)&lt;SG_Criteria!$B$19),"FAIL: grade below C"&amp;SG_Criteria!$B$19&amp;". ","")&amp;IF(AND(O224&lt;&gt;"",O224&lt;SG_Criteria!$B$20),"FAIL: cover &lt; "&amp;SG_Criteria!$B$20&amp;" mm. ","")&amp;IF(AND(E224="Open",G224&gt;SG_Criteria!$B$18),"NOTE: safety railing required (D &gt; "&amp;SG_Criteria!$B$18&amp;" mm). ","")&amp;IF(AND(D224="Entrance culvert",G224&lt;600),"NOTE: check hinged grating rule for culverts &lt; 600 deep (PUB Add. 3). ","")))</f>
        <v/>
      </c>
      <c r="AP224" s="9"/>
      <c r="AQ224" s="9"/>
      <c r="AR224" s="9"/>
      <c r="AS224" s="9"/>
      <c r="AT224" s="9"/>
      <c r="AU224" s="31"/>
      <c r="AV224" s="10" t="str">
        <f aca="false">IF(C224="","",IF(AND(V224="Approved",ISERROR(SEARCH("FAIL",AO224))),"Y","N"))</f>
        <v/>
      </c>
      <c r="AW224" s="10" t="str">
        <f aca="false">IF(C224="","",C224&amp;"|"&amp;F224&amp;"|"&amp;G224&amp;"|"&amp;L224&amp;"|"&amp;AV224)</f>
        <v/>
      </c>
    </row>
    <row r="225" customFormat="false" ht="15" hidden="false" customHeight="false" outlineLevel="0" collapsed="false">
      <c r="A225" s="10" t="str">
        <f aca="false">IF(C225="","","DRN-"&amp;IFERROR(VLOOKUP(C225,Lists!$A$4:$B$27,2,0),"??")&amp;"-"&amp;TEXT(F225,"0000")&amp;"x"&amp;TEXT(G225,"0000")&amp;IF(N(H225)&gt;1,"-"&amp;H225&amp;"C","")&amp;"-"&amp;IFERROR(VLOOKUP(L225,Lists!$J$4:$K$19,2,0),"??")&amp;"-"&amp;U225)</f>
        <v/>
      </c>
      <c r="B225" s="10" t="str">
        <f aca="false">IF(C225="","",C225&amp;" "&amp;F225&amp;"W x "&amp;G225&amp;"D"&amp;IF(N(H225)&gt;1," ("&amp;H225&amp;" cells)","")&amp;", "&amp;D225&amp;", "&amp;L225&amp;", "&amp;E225)</f>
        <v/>
      </c>
      <c r="C225" s="9"/>
      <c r="D225" s="9"/>
      <c r="E225" s="9"/>
      <c r="F225" s="40"/>
      <c r="G225" s="40"/>
      <c r="H225" s="40"/>
      <c r="I225" s="40"/>
      <c r="J225" s="40"/>
      <c r="K225" s="40"/>
      <c r="L225" s="9"/>
      <c r="M225" s="9"/>
      <c r="N225" s="9"/>
      <c r="O225" s="40"/>
      <c r="P225" s="9"/>
      <c r="Q225" s="9"/>
      <c r="R225" s="9"/>
      <c r="S225" s="9"/>
      <c r="T225" s="9"/>
      <c r="U225" s="9"/>
      <c r="V225" s="9"/>
      <c r="W225" s="9"/>
      <c r="X225" s="9"/>
      <c r="Y225" s="9"/>
      <c r="Z225" s="10" t="str">
        <f aca="false">IF(A225="","",SG_Criteria!$B$6&amp;SG_Criteria!$B$7&amp;"\"&amp;A225&amp;"\")</f>
        <v/>
      </c>
      <c r="AA225" s="10" t="str">
        <f aca="false">IF(A225="","",A225&amp;"_CAD.dwg")</f>
        <v/>
      </c>
      <c r="AB225" s="10" t="str">
        <f aca="false">IF(A225="","",A225&amp;"_DWG.pdf")</f>
        <v/>
      </c>
      <c r="AC225" s="10" t="str">
        <f aca="false">IF(A225="","",IF(Y225="Y",A225&amp;"_STAAD.std","n/a"))</f>
        <v/>
      </c>
      <c r="AD225" s="10" t="str">
        <f aca="false">IF(A225="","",A225&amp;"_CALC.xlsx")</f>
        <v/>
      </c>
      <c r="AE225" s="10" t="str">
        <f aca="false">IF(A225="","",A225&amp;"_CALC.pdf")</f>
        <v/>
      </c>
      <c r="AF225" s="9"/>
      <c r="AG225" s="9"/>
      <c r="AH225" s="41"/>
      <c r="AI225" s="41"/>
      <c r="AJ225" s="41"/>
      <c r="AK225" s="41"/>
      <c r="AL225" s="41"/>
      <c r="AM225" s="37" t="str">
        <f aca="false">IF(OR(C225="",F225="",G225="",C225="Sump",C225="Drop Inlet Chamber",C225="Silt Trap",C225="Pipe Culvert",C225="Subsoil Drain"),"",ROUND(MAX(1,N(H225))*(1/SG_Criteria!$B$26)*((F225/1000)*(G225/1000*(1-SG_Criteria!$B$25)))*(((F225/1000)*(G225/1000*(1-SG_Criteria!$B$25)))/((F225/1000)+2*(G225/1000*(1-SG_Criteria!$B$25))))^(2/3)*(1/Design_Selector!$B$11)^0.5,3))</f>
        <v/>
      </c>
      <c r="AN225" s="11" t="str">
        <f aca="false">IF(AM225="","",ROUND(AM225/(MAX(1,N(H225))*F225/1000*(G225/1000*(1-SG_Criteria!$B$25))),2))</f>
        <v/>
      </c>
      <c r="AO225" s="38" t="str">
        <f aca="false">IF(C225="","",IF(LEN(IF(AND(OR(D225="Roadside drain",D225="Entrance culvert"),OR(F225&lt;SG_Criteria!$B$15,G225&lt;SG_Criteria!$B$16)),"FAIL: below PUB min "&amp;SG_Criteria!$B$15&amp;"x"&amp;SG_Criteria!$B$16&amp;" for roadside drain. ","")&amp;IF(AND(D225="Common drain",F225&lt;SG_Criteria!$B$17),"FAIL: common drain W &lt; "&amp;SG_Criteria!$B$17&amp;" mm. ","")&amp;IF(AND(N225&lt;&gt;"",IFERROR(VALUE(MID(N225,2,2)),0)&lt;SG_Criteria!$B$19),"FAIL: grade below C"&amp;SG_Criteria!$B$19&amp;". ","")&amp;IF(AND(O225&lt;&gt;"",O225&lt;SG_Criteria!$B$20),"FAIL: cover &lt; "&amp;SG_Criteria!$B$20&amp;" mm. ","")&amp;IF(AND(E225="Open",G225&gt;SG_Criteria!$B$18),"NOTE: safety railing required (D &gt; "&amp;SG_Criteria!$B$18&amp;" mm). ","")&amp;IF(AND(D225="Entrance culvert",G225&lt;600),"NOTE: check hinged grating rule for culverts &lt; 600 deep (PUB Add. 3). ",""))=0,"OK",IF(AND(OR(D225="Roadside drain",D225="Entrance culvert"),OR(F225&lt;SG_Criteria!$B$15,G225&lt;SG_Criteria!$B$16)),"FAIL: below PUB min "&amp;SG_Criteria!$B$15&amp;"x"&amp;SG_Criteria!$B$16&amp;" for roadside drain. ","")&amp;IF(AND(D225="Common drain",F225&lt;SG_Criteria!$B$17),"FAIL: common drain W &lt; "&amp;SG_Criteria!$B$17&amp;" mm. ","")&amp;IF(AND(N225&lt;&gt;"",IFERROR(VALUE(MID(N225,2,2)),0)&lt;SG_Criteria!$B$19),"FAIL: grade below C"&amp;SG_Criteria!$B$19&amp;". ","")&amp;IF(AND(O225&lt;&gt;"",O225&lt;SG_Criteria!$B$20),"FAIL: cover &lt; "&amp;SG_Criteria!$B$20&amp;" mm. ","")&amp;IF(AND(E225="Open",G225&gt;SG_Criteria!$B$18),"NOTE: safety railing required (D &gt; "&amp;SG_Criteria!$B$18&amp;" mm). ","")&amp;IF(AND(D225="Entrance culvert",G225&lt;600),"NOTE: check hinged grating rule for culverts &lt; 600 deep (PUB Add. 3). ","")))</f>
        <v/>
      </c>
      <c r="AP225" s="9"/>
      <c r="AQ225" s="9"/>
      <c r="AR225" s="9"/>
      <c r="AS225" s="9"/>
      <c r="AT225" s="9"/>
      <c r="AU225" s="31"/>
      <c r="AV225" s="10" t="str">
        <f aca="false">IF(C225="","",IF(AND(V225="Approved",ISERROR(SEARCH("FAIL",AO225))),"Y","N"))</f>
        <v/>
      </c>
      <c r="AW225" s="10" t="str">
        <f aca="false">IF(C225="","",C225&amp;"|"&amp;F225&amp;"|"&amp;G225&amp;"|"&amp;L225&amp;"|"&amp;AV225)</f>
        <v/>
      </c>
    </row>
    <row r="226" customFormat="false" ht="15" hidden="false" customHeight="false" outlineLevel="0" collapsed="false">
      <c r="A226" s="10" t="str">
        <f aca="false">IF(C226="","","DRN-"&amp;IFERROR(VLOOKUP(C226,Lists!$A$4:$B$27,2,0),"??")&amp;"-"&amp;TEXT(F226,"0000")&amp;"x"&amp;TEXT(G226,"0000")&amp;IF(N(H226)&gt;1,"-"&amp;H226&amp;"C","")&amp;"-"&amp;IFERROR(VLOOKUP(L226,Lists!$J$4:$K$19,2,0),"??")&amp;"-"&amp;U226)</f>
        <v/>
      </c>
      <c r="B226" s="10" t="str">
        <f aca="false">IF(C226="","",C226&amp;" "&amp;F226&amp;"W x "&amp;G226&amp;"D"&amp;IF(N(H226)&gt;1," ("&amp;H226&amp;" cells)","")&amp;", "&amp;D226&amp;", "&amp;L226&amp;", "&amp;E226)</f>
        <v/>
      </c>
      <c r="C226" s="9"/>
      <c r="D226" s="9"/>
      <c r="E226" s="9"/>
      <c r="F226" s="40"/>
      <c r="G226" s="40"/>
      <c r="H226" s="40"/>
      <c r="I226" s="40"/>
      <c r="J226" s="40"/>
      <c r="K226" s="40"/>
      <c r="L226" s="9"/>
      <c r="M226" s="9"/>
      <c r="N226" s="9"/>
      <c r="O226" s="40"/>
      <c r="P226" s="9"/>
      <c r="Q226" s="9"/>
      <c r="R226" s="9"/>
      <c r="S226" s="9"/>
      <c r="T226" s="9"/>
      <c r="U226" s="9"/>
      <c r="V226" s="9"/>
      <c r="W226" s="9"/>
      <c r="X226" s="9"/>
      <c r="Y226" s="9"/>
      <c r="Z226" s="10" t="str">
        <f aca="false">IF(A226="","",SG_Criteria!$B$6&amp;SG_Criteria!$B$7&amp;"\"&amp;A226&amp;"\")</f>
        <v/>
      </c>
      <c r="AA226" s="10" t="str">
        <f aca="false">IF(A226="","",A226&amp;"_CAD.dwg")</f>
        <v/>
      </c>
      <c r="AB226" s="10" t="str">
        <f aca="false">IF(A226="","",A226&amp;"_DWG.pdf")</f>
        <v/>
      </c>
      <c r="AC226" s="10" t="str">
        <f aca="false">IF(A226="","",IF(Y226="Y",A226&amp;"_STAAD.std","n/a"))</f>
        <v/>
      </c>
      <c r="AD226" s="10" t="str">
        <f aca="false">IF(A226="","",A226&amp;"_CALC.xlsx")</f>
        <v/>
      </c>
      <c r="AE226" s="10" t="str">
        <f aca="false">IF(A226="","",A226&amp;"_CALC.pdf")</f>
        <v/>
      </c>
      <c r="AF226" s="9"/>
      <c r="AG226" s="9"/>
      <c r="AH226" s="41"/>
      <c r="AI226" s="41"/>
      <c r="AJ226" s="41"/>
      <c r="AK226" s="41"/>
      <c r="AL226" s="41"/>
      <c r="AM226" s="37" t="str">
        <f aca="false">IF(OR(C226="",F226="",G226="",C226="Sump",C226="Drop Inlet Chamber",C226="Silt Trap",C226="Pipe Culvert",C226="Subsoil Drain"),"",ROUND(MAX(1,N(H226))*(1/SG_Criteria!$B$26)*((F226/1000)*(G226/1000*(1-SG_Criteria!$B$25)))*(((F226/1000)*(G226/1000*(1-SG_Criteria!$B$25)))/((F226/1000)+2*(G226/1000*(1-SG_Criteria!$B$25))))^(2/3)*(1/Design_Selector!$B$11)^0.5,3))</f>
        <v/>
      </c>
      <c r="AN226" s="11" t="str">
        <f aca="false">IF(AM226="","",ROUND(AM226/(MAX(1,N(H226))*F226/1000*(G226/1000*(1-SG_Criteria!$B$25))),2))</f>
        <v/>
      </c>
      <c r="AO226" s="38" t="str">
        <f aca="false">IF(C226="","",IF(LEN(IF(AND(OR(D226="Roadside drain",D226="Entrance culvert"),OR(F226&lt;SG_Criteria!$B$15,G226&lt;SG_Criteria!$B$16)),"FAIL: below PUB min "&amp;SG_Criteria!$B$15&amp;"x"&amp;SG_Criteria!$B$16&amp;" for roadside drain. ","")&amp;IF(AND(D226="Common drain",F226&lt;SG_Criteria!$B$17),"FAIL: common drain W &lt; "&amp;SG_Criteria!$B$17&amp;" mm. ","")&amp;IF(AND(N226&lt;&gt;"",IFERROR(VALUE(MID(N226,2,2)),0)&lt;SG_Criteria!$B$19),"FAIL: grade below C"&amp;SG_Criteria!$B$19&amp;". ","")&amp;IF(AND(O226&lt;&gt;"",O226&lt;SG_Criteria!$B$20),"FAIL: cover &lt; "&amp;SG_Criteria!$B$20&amp;" mm. ","")&amp;IF(AND(E226="Open",G226&gt;SG_Criteria!$B$18),"NOTE: safety railing required (D &gt; "&amp;SG_Criteria!$B$18&amp;" mm). ","")&amp;IF(AND(D226="Entrance culvert",G226&lt;600),"NOTE: check hinged grating rule for culverts &lt; 600 deep (PUB Add. 3). ",""))=0,"OK",IF(AND(OR(D226="Roadside drain",D226="Entrance culvert"),OR(F226&lt;SG_Criteria!$B$15,G226&lt;SG_Criteria!$B$16)),"FAIL: below PUB min "&amp;SG_Criteria!$B$15&amp;"x"&amp;SG_Criteria!$B$16&amp;" for roadside drain. ","")&amp;IF(AND(D226="Common drain",F226&lt;SG_Criteria!$B$17),"FAIL: common drain W &lt; "&amp;SG_Criteria!$B$17&amp;" mm. ","")&amp;IF(AND(N226&lt;&gt;"",IFERROR(VALUE(MID(N226,2,2)),0)&lt;SG_Criteria!$B$19),"FAIL: grade below C"&amp;SG_Criteria!$B$19&amp;". ","")&amp;IF(AND(O226&lt;&gt;"",O226&lt;SG_Criteria!$B$20),"FAIL: cover &lt; "&amp;SG_Criteria!$B$20&amp;" mm. ","")&amp;IF(AND(E226="Open",G226&gt;SG_Criteria!$B$18),"NOTE: safety railing required (D &gt; "&amp;SG_Criteria!$B$18&amp;" mm). ","")&amp;IF(AND(D226="Entrance culvert",G226&lt;600),"NOTE: check hinged grating rule for culverts &lt; 600 deep (PUB Add. 3). ","")))</f>
        <v/>
      </c>
      <c r="AP226" s="9"/>
      <c r="AQ226" s="9"/>
      <c r="AR226" s="9"/>
      <c r="AS226" s="9"/>
      <c r="AT226" s="9"/>
      <c r="AU226" s="31"/>
      <c r="AV226" s="10" t="str">
        <f aca="false">IF(C226="","",IF(AND(V226="Approved",ISERROR(SEARCH("FAIL",AO226))),"Y","N"))</f>
        <v/>
      </c>
      <c r="AW226" s="10" t="str">
        <f aca="false">IF(C226="","",C226&amp;"|"&amp;F226&amp;"|"&amp;G226&amp;"|"&amp;L226&amp;"|"&amp;AV226)</f>
        <v/>
      </c>
    </row>
    <row r="227" customFormat="false" ht="15" hidden="false" customHeight="false" outlineLevel="0" collapsed="false">
      <c r="A227" s="10" t="str">
        <f aca="false">IF(C227="","","DRN-"&amp;IFERROR(VLOOKUP(C227,Lists!$A$4:$B$27,2,0),"??")&amp;"-"&amp;TEXT(F227,"0000")&amp;"x"&amp;TEXT(G227,"0000")&amp;IF(N(H227)&gt;1,"-"&amp;H227&amp;"C","")&amp;"-"&amp;IFERROR(VLOOKUP(L227,Lists!$J$4:$K$19,2,0),"??")&amp;"-"&amp;U227)</f>
        <v/>
      </c>
      <c r="B227" s="10" t="str">
        <f aca="false">IF(C227="","",C227&amp;" "&amp;F227&amp;"W x "&amp;G227&amp;"D"&amp;IF(N(H227)&gt;1," ("&amp;H227&amp;" cells)","")&amp;", "&amp;D227&amp;", "&amp;L227&amp;", "&amp;E227)</f>
        <v/>
      </c>
      <c r="C227" s="9"/>
      <c r="D227" s="9"/>
      <c r="E227" s="9"/>
      <c r="F227" s="40"/>
      <c r="G227" s="40"/>
      <c r="H227" s="40"/>
      <c r="I227" s="40"/>
      <c r="J227" s="40"/>
      <c r="K227" s="40"/>
      <c r="L227" s="9"/>
      <c r="M227" s="9"/>
      <c r="N227" s="9"/>
      <c r="O227" s="40"/>
      <c r="P227" s="9"/>
      <c r="Q227" s="9"/>
      <c r="R227" s="9"/>
      <c r="S227" s="9"/>
      <c r="T227" s="9"/>
      <c r="U227" s="9"/>
      <c r="V227" s="9"/>
      <c r="W227" s="9"/>
      <c r="X227" s="9"/>
      <c r="Y227" s="9"/>
      <c r="Z227" s="10" t="str">
        <f aca="false">IF(A227="","",SG_Criteria!$B$6&amp;SG_Criteria!$B$7&amp;"\"&amp;A227&amp;"\")</f>
        <v/>
      </c>
      <c r="AA227" s="10" t="str">
        <f aca="false">IF(A227="","",A227&amp;"_CAD.dwg")</f>
        <v/>
      </c>
      <c r="AB227" s="10" t="str">
        <f aca="false">IF(A227="","",A227&amp;"_DWG.pdf")</f>
        <v/>
      </c>
      <c r="AC227" s="10" t="str">
        <f aca="false">IF(A227="","",IF(Y227="Y",A227&amp;"_STAAD.std","n/a"))</f>
        <v/>
      </c>
      <c r="AD227" s="10" t="str">
        <f aca="false">IF(A227="","",A227&amp;"_CALC.xlsx")</f>
        <v/>
      </c>
      <c r="AE227" s="10" t="str">
        <f aca="false">IF(A227="","",A227&amp;"_CALC.pdf")</f>
        <v/>
      </c>
      <c r="AF227" s="9"/>
      <c r="AG227" s="9"/>
      <c r="AH227" s="41"/>
      <c r="AI227" s="41"/>
      <c r="AJ227" s="41"/>
      <c r="AK227" s="41"/>
      <c r="AL227" s="41"/>
      <c r="AM227" s="37" t="str">
        <f aca="false">IF(OR(C227="",F227="",G227="",C227="Sump",C227="Drop Inlet Chamber",C227="Silt Trap",C227="Pipe Culvert",C227="Subsoil Drain"),"",ROUND(MAX(1,N(H227))*(1/SG_Criteria!$B$26)*((F227/1000)*(G227/1000*(1-SG_Criteria!$B$25)))*(((F227/1000)*(G227/1000*(1-SG_Criteria!$B$25)))/((F227/1000)+2*(G227/1000*(1-SG_Criteria!$B$25))))^(2/3)*(1/Design_Selector!$B$11)^0.5,3))</f>
        <v/>
      </c>
      <c r="AN227" s="11" t="str">
        <f aca="false">IF(AM227="","",ROUND(AM227/(MAX(1,N(H227))*F227/1000*(G227/1000*(1-SG_Criteria!$B$25))),2))</f>
        <v/>
      </c>
      <c r="AO227" s="38" t="str">
        <f aca="false">IF(C227="","",IF(LEN(IF(AND(OR(D227="Roadside drain",D227="Entrance culvert"),OR(F227&lt;SG_Criteria!$B$15,G227&lt;SG_Criteria!$B$16)),"FAIL: below PUB min "&amp;SG_Criteria!$B$15&amp;"x"&amp;SG_Criteria!$B$16&amp;" for roadside drain. ","")&amp;IF(AND(D227="Common drain",F227&lt;SG_Criteria!$B$17),"FAIL: common drain W &lt; "&amp;SG_Criteria!$B$17&amp;" mm. ","")&amp;IF(AND(N227&lt;&gt;"",IFERROR(VALUE(MID(N227,2,2)),0)&lt;SG_Criteria!$B$19),"FAIL: grade below C"&amp;SG_Criteria!$B$19&amp;". ","")&amp;IF(AND(O227&lt;&gt;"",O227&lt;SG_Criteria!$B$20),"FAIL: cover &lt; "&amp;SG_Criteria!$B$20&amp;" mm. ","")&amp;IF(AND(E227="Open",G227&gt;SG_Criteria!$B$18),"NOTE: safety railing required (D &gt; "&amp;SG_Criteria!$B$18&amp;" mm). ","")&amp;IF(AND(D227="Entrance culvert",G227&lt;600),"NOTE: check hinged grating rule for culverts &lt; 600 deep (PUB Add. 3). ",""))=0,"OK",IF(AND(OR(D227="Roadside drain",D227="Entrance culvert"),OR(F227&lt;SG_Criteria!$B$15,G227&lt;SG_Criteria!$B$16)),"FAIL: below PUB min "&amp;SG_Criteria!$B$15&amp;"x"&amp;SG_Criteria!$B$16&amp;" for roadside drain. ","")&amp;IF(AND(D227="Common drain",F227&lt;SG_Criteria!$B$17),"FAIL: common drain W &lt; "&amp;SG_Criteria!$B$17&amp;" mm. ","")&amp;IF(AND(N227&lt;&gt;"",IFERROR(VALUE(MID(N227,2,2)),0)&lt;SG_Criteria!$B$19),"FAIL: grade below C"&amp;SG_Criteria!$B$19&amp;". ","")&amp;IF(AND(O227&lt;&gt;"",O227&lt;SG_Criteria!$B$20),"FAIL: cover &lt; "&amp;SG_Criteria!$B$20&amp;" mm. ","")&amp;IF(AND(E227="Open",G227&gt;SG_Criteria!$B$18),"NOTE: safety railing required (D &gt; "&amp;SG_Criteria!$B$18&amp;" mm). ","")&amp;IF(AND(D227="Entrance culvert",G227&lt;600),"NOTE: check hinged grating rule for culverts &lt; 600 deep (PUB Add. 3). ","")))</f>
        <v/>
      </c>
      <c r="AP227" s="9"/>
      <c r="AQ227" s="9"/>
      <c r="AR227" s="9"/>
      <c r="AS227" s="9"/>
      <c r="AT227" s="9"/>
      <c r="AU227" s="31"/>
      <c r="AV227" s="10" t="str">
        <f aca="false">IF(C227="","",IF(AND(V227="Approved",ISERROR(SEARCH("FAIL",AO227))),"Y","N"))</f>
        <v/>
      </c>
      <c r="AW227" s="10" t="str">
        <f aca="false">IF(C227="","",C227&amp;"|"&amp;F227&amp;"|"&amp;G227&amp;"|"&amp;L227&amp;"|"&amp;AV227)</f>
        <v/>
      </c>
    </row>
    <row r="228" customFormat="false" ht="15" hidden="false" customHeight="false" outlineLevel="0" collapsed="false">
      <c r="A228" s="10" t="str">
        <f aca="false">IF(C228="","","DRN-"&amp;IFERROR(VLOOKUP(C228,Lists!$A$4:$B$27,2,0),"??")&amp;"-"&amp;TEXT(F228,"0000")&amp;"x"&amp;TEXT(G228,"0000")&amp;IF(N(H228)&gt;1,"-"&amp;H228&amp;"C","")&amp;"-"&amp;IFERROR(VLOOKUP(L228,Lists!$J$4:$K$19,2,0),"??")&amp;"-"&amp;U228)</f>
        <v/>
      </c>
      <c r="B228" s="10" t="str">
        <f aca="false">IF(C228="","",C228&amp;" "&amp;F228&amp;"W x "&amp;G228&amp;"D"&amp;IF(N(H228)&gt;1," ("&amp;H228&amp;" cells)","")&amp;", "&amp;D228&amp;", "&amp;L228&amp;", "&amp;E228)</f>
        <v/>
      </c>
      <c r="C228" s="9"/>
      <c r="D228" s="9"/>
      <c r="E228" s="9"/>
      <c r="F228" s="40"/>
      <c r="G228" s="40"/>
      <c r="H228" s="40"/>
      <c r="I228" s="40"/>
      <c r="J228" s="40"/>
      <c r="K228" s="40"/>
      <c r="L228" s="9"/>
      <c r="M228" s="9"/>
      <c r="N228" s="9"/>
      <c r="O228" s="40"/>
      <c r="P228" s="9"/>
      <c r="Q228" s="9"/>
      <c r="R228" s="9"/>
      <c r="S228" s="9"/>
      <c r="T228" s="9"/>
      <c r="U228" s="9"/>
      <c r="V228" s="9"/>
      <c r="W228" s="9"/>
      <c r="X228" s="9"/>
      <c r="Y228" s="9"/>
      <c r="Z228" s="10" t="str">
        <f aca="false">IF(A228="","",SG_Criteria!$B$6&amp;SG_Criteria!$B$7&amp;"\"&amp;A228&amp;"\")</f>
        <v/>
      </c>
      <c r="AA228" s="10" t="str">
        <f aca="false">IF(A228="","",A228&amp;"_CAD.dwg")</f>
        <v/>
      </c>
      <c r="AB228" s="10" t="str">
        <f aca="false">IF(A228="","",A228&amp;"_DWG.pdf")</f>
        <v/>
      </c>
      <c r="AC228" s="10" t="str">
        <f aca="false">IF(A228="","",IF(Y228="Y",A228&amp;"_STAAD.std","n/a"))</f>
        <v/>
      </c>
      <c r="AD228" s="10" t="str">
        <f aca="false">IF(A228="","",A228&amp;"_CALC.xlsx")</f>
        <v/>
      </c>
      <c r="AE228" s="10" t="str">
        <f aca="false">IF(A228="","",A228&amp;"_CALC.pdf")</f>
        <v/>
      </c>
      <c r="AF228" s="9"/>
      <c r="AG228" s="9"/>
      <c r="AH228" s="41"/>
      <c r="AI228" s="41"/>
      <c r="AJ228" s="41"/>
      <c r="AK228" s="41"/>
      <c r="AL228" s="41"/>
      <c r="AM228" s="37" t="str">
        <f aca="false">IF(OR(C228="",F228="",G228="",C228="Sump",C228="Drop Inlet Chamber",C228="Silt Trap",C228="Pipe Culvert",C228="Subsoil Drain"),"",ROUND(MAX(1,N(H228))*(1/SG_Criteria!$B$26)*((F228/1000)*(G228/1000*(1-SG_Criteria!$B$25)))*(((F228/1000)*(G228/1000*(1-SG_Criteria!$B$25)))/((F228/1000)+2*(G228/1000*(1-SG_Criteria!$B$25))))^(2/3)*(1/Design_Selector!$B$11)^0.5,3))</f>
        <v/>
      </c>
      <c r="AN228" s="11" t="str">
        <f aca="false">IF(AM228="","",ROUND(AM228/(MAX(1,N(H228))*F228/1000*(G228/1000*(1-SG_Criteria!$B$25))),2))</f>
        <v/>
      </c>
      <c r="AO228" s="38" t="str">
        <f aca="false">IF(C228="","",IF(LEN(IF(AND(OR(D228="Roadside drain",D228="Entrance culvert"),OR(F228&lt;SG_Criteria!$B$15,G228&lt;SG_Criteria!$B$16)),"FAIL: below PUB min "&amp;SG_Criteria!$B$15&amp;"x"&amp;SG_Criteria!$B$16&amp;" for roadside drain. ","")&amp;IF(AND(D228="Common drain",F228&lt;SG_Criteria!$B$17),"FAIL: common drain W &lt; "&amp;SG_Criteria!$B$17&amp;" mm. ","")&amp;IF(AND(N228&lt;&gt;"",IFERROR(VALUE(MID(N228,2,2)),0)&lt;SG_Criteria!$B$19),"FAIL: grade below C"&amp;SG_Criteria!$B$19&amp;". ","")&amp;IF(AND(O228&lt;&gt;"",O228&lt;SG_Criteria!$B$20),"FAIL: cover &lt; "&amp;SG_Criteria!$B$20&amp;" mm. ","")&amp;IF(AND(E228="Open",G228&gt;SG_Criteria!$B$18),"NOTE: safety railing required (D &gt; "&amp;SG_Criteria!$B$18&amp;" mm). ","")&amp;IF(AND(D228="Entrance culvert",G228&lt;600),"NOTE: check hinged grating rule for culverts &lt; 600 deep (PUB Add. 3). ",""))=0,"OK",IF(AND(OR(D228="Roadside drain",D228="Entrance culvert"),OR(F228&lt;SG_Criteria!$B$15,G228&lt;SG_Criteria!$B$16)),"FAIL: below PUB min "&amp;SG_Criteria!$B$15&amp;"x"&amp;SG_Criteria!$B$16&amp;" for roadside drain. ","")&amp;IF(AND(D228="Common drain",F228&lt;SG_Criteria!$B$17),"FAIL: common drain W &lt; "&amp;SG_Criteria!$B$17&amp;" mm. ","")&amp;IF(AND(N228&lt;&gt;"",IFERROR(VALUE(MID(N228,2,2)),0)&lt;SG_Criteria!$B$19),"FAIL: grade below C"&amp;SG_Criteria!$B$19&amp;". ","")&amp;IF(AND(O228&lt;&gt;"",O228&lt;SG_Criteria!$B$20),"FAIL: cover &lt; "&amp;SG_Criteria!$B$20&amp;" mm. ","")&amp;IF(AND(E228="Open",G228&gt;SG_Criteria!$B$18),"NOTE: safety railing required (D &gt; "&amp;SG_Criteria!$B$18&amp;" mm). ","")&amp;IF(AND(D228="Entrance culvert",G228&lt;600),"NOTE: check hinged grating rule for culverts &lt; 600 deep (PUB Add. 3). ","")))</f>
        <v/>
      </c>
      <c r="AP228" s="9"/>
      <c r="AQ228" s="9"/>
      <c r="AR228" s="9"/>
      <c r="AS228" s="9"/>
      <c r="AT228" s="9"/>
      <c r="AU228" s="31"/>
      <c r="AV228" s="10" t="str">
        <f aca="false">IF(C228="","",IF(AND(V228="Approved",ISERROR(SEARCH("FAIL",AO228))),"Y","N"))</f>
        <v/>
      </c>
      <c r="AW228" s="10" t="str">
        <f aca="false">IF(C228="","",C228&amp;"|"&amp;F228&amp;"|"&amp;G228&amp;"|"&amp;L228&amp;"|"&amp;AV228)</f>
        <v/>
      </c>
    </row>
    <row r="229" customFormat="false" ht="15" hidden="false" customHeight="false" outlineLevel="0" collapsed="false">
      <c r="A229" s="10" t="str">
        <f aca="false">IF(C229="","","DRN-"&amp;IFERROR(VLOOKUP(C229,Lists!$A$4:$B$27,2,0),"??")&amp;"-"&amp;TEXT(F229,"0000")&amp;"x"&amp;TEXT(G229,"0000")&amp;IF(N(H229)&gt;1,"-"&amp;H229&amp;"C","")&amp;"-"&amp;IFERROR(VLOOKUP(L229,Lists!$J$4:$K$19,2,0),"??")&amp;"-"&amp;U229)</f>
        <v/>
      </c>
      <c r="B229" s="10" t="str">
        <f aca="false">IF(C229="","",C229&amp;" "&amp;F229&amp;"W x "&amp;G229&amp;"D"&amp;IF(N(H229)&gt;1," ("&amp;H229&amp;" cells)","")&amp;", "&amp;D229&amp;", "&amp;L229&amp;", "&amp;E229)</f>
        <v/>
      </c>
      <c r="C229" s="9"/>
      <c r="D229" s="9"/>
      <c r="E229" s="9"/>
      <c r="F229" s="40"/>
      <c r="G229" s="40"/>
      <c r="H229" s="40"/>
      <c r="I229" s="40"/>
      <c r="J229" s="40"/>
      <c r="K229" s="40"/>
      <c r="L229" s="9"/>
      <c r="M229" s="9"/>
      <c r="N229" s="9"/>
      <c r="O229" s="40"/>
      <c r="P229" s="9"/>
      <c r="Q229" s="9"/>
      <c r="R229" s="9"/>
      <c r="S229" s="9"/>
      <c r="T229" s="9"/>
      <c r="U229" s="9"/>
      <c r="V229" s="9"/>
      <c r="W229" s="9"/>
      <c r="X229" s="9"/>
      <c r="Y229" s="9"/>
      <c r="Z229" s="10" t="str">
        <f aca="false">IF(A229="","",SG_Criteria!$B$6&amp;SG_Criteria!$B$7&amp;"\"&amp;A229&amp;"\")</f>
        <v/>
      </c>
      <c r="AA229" s="10" t="str">
        <f aca="false">IF(A229="","",A229&amp;"_CAD.dwg")</f>
        <v/>
      </c>
      <c r="AB229" s="10" t="str">
        <f aca="false">IF(A229="","",A229&amp;"_DWG.pdf")</f>
        <v/>
      </c>
      <c r="AC229" s="10" t="str">
        <f aca="false">IF(A229="","",IF(Y229="Y",A229&amp;"_STAAD.std","n/a"))</f>
        <v/>
      </c>
      <c r="AD229" s="10" t="str">
        <f aca="false">IF(A229="","",A229&amp;"_CALC.xlsx")</f>
        <v/>
      </c>
      <c r="AE229" s="10" t="str">
        <f aca="false">IF(A229="","",A229&amp;"_CALC.pdf")</f>
        <v/>
      </c>
      <c r="AF229" s="9"/>
      <c r="AG229" s="9"/>
      <c r="AH229" s="41"/>
      <c r="AI229" s="41"/>
      <c r="AJ229" s="41"/>
      <c r="AK229" s="41"/>
      <c r="AL229" s="41"/>
      <c r="AM229" s="37" t="str">
        <f aca="false">IF(OR(C229="",F229="",G229="",C229="Sump",C229="Drop Inlet Chamber",C229="Silt Trap",C229="Pipe Culvert",C229="Subsoil Drain"),"",ROUND(MAX(1,N(H229))*(1/SG_Criteria!$B$26)*((F229/1000)*(G229/1000*(1-SG_Criteria!$B$25)))*(((F229/1000)*(G229/1000*(1-SG_Criteria!$B$25)))/((F229/1000)+2*(G229/1000*(1-SG_Criteria!$B$25))))^(2/3)*(1/Design_Selector!$B$11)^0.5,3))</f>
        <v/>
      </c>
      <c r="AN229" s="11" t="str">
        <f aca="false">IF(AM229="","",ROUND(AM229/(MAX(1,N(H229))*F229/1000*(G229/1000*(1-SG_Criteria!$B$25))),2))</f>
        <v/>
      </c>
      <c r="AO229" s="38" t="str">
        <f aca="false">IF(C229="","",IF(LEN(IF(AND(OR(D229="Roadside drain",D229="Entrance culvert"),OR(F229&lt;SG_Criteria!$B$15,G229&lt;SG_Criteria!$B$16)),"FAIL: below PUB min "&amp;SG_Criteria!$B$15&amp;"x"&amp;SG_Criteria!$B$16&amp;" for roadside drain. ","")&amp;IF(AND(D229="Common drain",F229&lt;SG_Criteria!$B$17),"FAIL: common drain W &lt; "&amp;SG_Criteria!$B$17&amp;" mm. ","")&amp;IF(AND(N229&lt;&gt;"",IFERROR(VALUE(MID(N229,2,2)),0)&lt;SG_Criteria!$B$19),"FAIL: grade below C"&amp;SG_Criteria!$B$19&amp;". ","")&amp;IF(AND(O229&lt;&gt;"",O229&lt;SG_Criteria!$B$20),"FAIL: cover &lt; "&amp;SG_Criteria!$B$20&amp;" mm. ","")&amp;IF(AND(E229="Open",G229&gt;SG_Criteria!$B$18),"NOTE: safety railing required (D &gt; "&amp;SG_Criteria!$B$18&amp;" mm). ","")&amp;IF(AND(D229="Entrance culvert",G229&lt;600),"NOTE: check hinged grating rule for culverts &lt; 600 deep (PUB Add. 3). ",""))=0,"OK",IF(AND(OR(D229="Roadside drain",D229="Entrance culvert"),OR(F229&lt;SG_Criteria!$B$15,G229&lt;SG_Criteria!$B$16)),"FAIL: below PUB min "&amp;SG_Criteria!$B$15&amp;"x"&amp;SG_Criteria!$B$16&amp;" for roadside drain. ","")&amp;IF(AND(D229="Common drain",F229&lt;SG_Criteria!$B$17),"FAIL: common drain W &lt; "&amp;SG_Criteria!$B$17&amp;" mm. ","")&amp;IF(AND(N229&lt;&gt;"",IFERROR(VALUE(MID(N229,2,2)),0)&lt;SG_Criteria!$B$19),"FAIL: grade below C"&amp;SG_Criteria!$B$19&amp;". ","")&amp;IF(AND(O229&lt;&gt;"",O229&lt;SG_Criteria!$B$20),"FAIL: cover &lt; "&amp;SG_Criteria!$B$20&amp;" mm. ","")&amp;IF(AND(E229="Open",G229&gt;SG_Criteria!$B$18),"NOTE: safety railing required (D &gt; "&amp;SG_Criteria!$B$18&amp;" mm). ","")&amp;IF(AND(D229="Entrance culvert",G229&lt;600),"NOTE: check hinged grating rule for culverts &lt; 600 deep (PUB Add. 3). ","")))</f>
        <v/>
      </c>
      <c r="AP229" s="9"/>
      <c r="AQ229" s="9"/>
      <c r="AR229" s="9"/>
      <c r="AS229" s="9"/>
      <c r="AT229" s="9"/>
      <c r="AU229" s="31"/>
      <c r="AV229" s="10" t="str">
        <f aca="false">IF(C229="","",IF(AND(V229="Approved",ISERROR(SEARCH("FAIL",AO229))),"Y","N"))</f>
        <v/>
      </c>
      <c r="AW229" s="10" t="str">
        <f aca="false">IF(C229="","",C229&amp;"|"&amp;F229&amp;"|"&amp;G229&amp;"|"&amp;L229&amp;"|"&amp;AV229)</f>
        <v/>
      </c>
    </row>
    <row r="230" customFormat="false" ht="15" hidden="false" customHeight="false" outlineLevel="0" collapsed="false">
      <c r="A230" s="10" t="str">
        <f aca="false">IF(C230="","","DRN-"&amp;IFERROR(VLOOKUP(C230,Lists!$A$4:$B$27,2,0),"??")&amp;"-"&amp;TEXT(F230,"0000")&amp;"x"&amp;TEXT(G230,"0000")&amp;IF(N(H230)&gt;1,"-"&amp;H230&amp;"C","")&amp;"-"&amp;IFERROR(VLOOKUP(L230,Lists!$J$4:$K$19,2,0),"??")&amp;"-"&amp;U230)</f>
        <v/>
      </c>
      <c r="B230" s="10" t="str">
        <f aca="false">IF(C230="","",C230&amp;" "&amp;F230&amp;"W x "&amp;G230&amp;"D"&amp;IF(N(H230)&gt;1," ("&amp;H230&amp;" cells)","")&amp;", "&amp;D230&amp;", "&amp;L230&amp;", "&amp;E230)</f>
        <v/>
      </c>
      <c r="C230" s="9"/>
      <c r="D230" s="9"/>
      <c r="E230" s="9"/>
      <c r="F230" s="40"/>
      <c r="G230" s="40"/>
      <c r="H230" s="40"/>
      <c r="I230" s="40"/>
      <c r="J230" s="40"/>
      <c r="K230" s="40"/>
      <c r="L230" s="9"/>
      <c r="M230" s="9"/>
      <c r="N230" s="9"/>
      <c r="O230" s="40"/>
      <c r="P230" s="9"/>
      <c r="Q230" s="9"/>
      <c r="R230" s="9"/>
      <c r="S230" s="9"/>
      <c r="T230" s="9"/>
      <c r="U230" s="9"/>
      <c r="V230" s="9"/>
      <c r="W230" s="9"/>
      <c r="X230" s="9"/>
      <c r="Y230" s="9"/>
      <c r="Z230" s="10" t="str">
        <f aca="false">IF(A230="","",SG_Criteria!$B$6&amp;SG_Criteria!$B$7&amp;"\"&amp;A230&amp;"\")</f>
        <v/>
      </c>
      <c r="AA230" s="10" t="str">
        <f aca="false">IF(A230="","",A230&amp;"_CAD.dwg")</f>
        <v/>
      </c>
      <c r="AB230" s="10" t="str">
        <f aca="false">IF(A230="","",A230&amp;"_DWG.pdf")</f>
        <v/>
      </c>
      <c r="AC230" s="10" t="str">
        <f aca="false">IF(A230="","",IF(Y230="Y",A230&amp;"_STAAD.std","n/a"))</f>
        <v/>
      </c>
      <c r="AD230" s="10" t="str">
        <f aca="false">IF(A230="","",A230&amp;"_CALC.xlsx")</f>
        <v/>
      </c>
      <c r="AE230" s="10" t="str">
        <f aca="false">IF(A230="","",A230&amp;"_CALC.pdf")</f>
        <v/>
      </c>
      <c r="AF230" s="9"/>
      <c r="AG230" s="9"/>
      <c r="AH230" s="41"/>
      <c r="AI230" s="41"/>
      <c r="AJ230" s="41"/>
      <c r="AK230" s="41"/>
      <c r="AL230" s="41"/>
      <c r="AM230" s="37" t="str">
        <f aca="false">IF(OR(C230="",F230="",G230="",C230="Sump",C230="Drop Inlet Chamber",C230="Silt Trap",C230="Pipe Culvert",C230="Subsoil Drain"),"",ROUND(MAX(1,N(H230))*(1/SG_Criteria!$B$26)*((F230/1000)*(G230/1000*(1-SG_Criteria!$B$25)))*(((F230/1000)*(G230/1000*(1-SG_Criteria!$B$25)))/((F230/1000)+2*(G230/1000*(1-SG_Criteria!$B$25))))^(2/3)*(1/Design_Selector!$B$11)^0.5,3))</f>
        <v/>
      </c>
      <c r="AN230" s="11" t="str">
        <f aca="false">IF(AM230="","",ROUND(AM230/(MAX(1,N(H230))*F230/1000*(G230/1000*(1-SG_Criteria!$B$25))),2))</f>
        <v/>
      </c>
      <c r="AO230" s="38" t="str">
        <f aca="false">IF(C230="","",IF(LEN(IF(AND(OR(D230="Roadside drain",D230="Entrance culvert"),OR(F230&lt;SG_Criteria!$B$15,G230&lt;SG_Criteria!$B$16)),"FAIL: below PUB min "&amp;SG_Criteria!$B$15&amp;"x"&amp;SG_Criteria!$B$16&amp;" for roadside drain. ","")&amp;IF(AND(D230="Common drain",F230&lt;SG_Criteria!$B$17),"FAIL: common drain W &lt; "&amp;SG_Criteria!$B$17&amp;" mm. ","")&amp;IF(AND(N230&lt;&gt;"",IFERROR(VALUE(MID(N230,2,2)),0)&lt;SG_Criteria!$B$19),"FAIL: grade below C"&amp;SG_Criteria!$B$19&amp;". ","")&amp;IF(AND(O230&lt;&gt;"",O230&lt;SG_Criteria!$B$20),"FAIL: cover &lt; "&amp;SG_Criteria!$B$20&amp;" mm. ","")&amp;IF(AND(E230="Open",G230&gt;SG_Criteria!$B$18),"NOTE: safety railing required (D &gt; "&amp;SG_Criteria!$B$18&amp;" mm). ","")&amp;IF(AND(D230="Entrance culvert",G230&lt;600),"NOTE: check hinged grating rule for culverts &lt; 600 deep (PUB Add. 3). ",""))=0,"OK",IF(AND(OR(D230="Roadside drain",D230="Entrance culvert"),OR(F230&lt;SG_Criteria!$B$15,G230&lt;SG_Criteria!$B$16)),"FAIL: below PUB min "&amp;SG_Criteria!$B$15&amp;"x"&amp;SG_Criteria!$B$16&amp;" for roadside drain. ","")&amp;IF(AND(D230="Common drain",F230&lt;SG_Criteria!$B$17),"FAIL: common drain W &lt; "&amp;SG_Criteria!$B$17&amp;" mm. ","")&amp;IF(AND(N230&lt;&gt;"",IFERROR(VALUE(MID(N230,2,2)),0)&lt;SG_Criteria!$B$19),"FAIL: grade below C"&amp;SG_Criteria!$B$19&amp;". ","")&amp;IF(AND(O230&lt;&gt;"",O230&lt;SG_Criteria!$B$20),"FAIL: cover &lt; "&amp;SG_Criteria!$B$20&amp;" mm. ","")&amp;IF(AND(E230="Open",G230&gt;SG_Criteria!$B$18),"NOTE: safety railing required (D &gt; "&amp;SG_Criteria!$B$18&amp;" mm). ","")&amp;IF(AND(D230="Entrance culvert",G230&lt;600),"NOTE: check hinged grating rule for culverts &lt; 600 deep (PUB Add. 3). ","")))</f>
        <v/>
      </c>
      <c r="AP230" s="9"/>
      <c r="AQ230" s="9"/>
      <c r="AR230" s="9"/>
      <c r="AS230" s="9"/>
      <c r="AT230" s="9"/>
      <c r="AU230" s="31"/>
      <c r="AV230" s="10" t="str">
        <f aca="false">IF(C230="","",IF(AND(V230="Approved",ISERROR(SEARCH("FAIL",AO230))),"Y","N"))</f>
        <v/>
      </c>
      <c r="AW230" s="10" t="str">
        <f aca="false">IF(C230="","",C230&amp;"|"&amp;F230&amp;"|"&amp;G230&amp;"|"&amp;L230&amp;"|"&amp;AV230)</f>
        <v/>
      </c>
    </row>
    <row r="231" customFormat="false" ht="15" hidden="false" customHeight="false" outlineLevel="0" collapsed="false">
      <c r="A231" s="10" t="str">
        <f aca="false">IF(C231="","","DRN-"&amp;IFERROR(VLOOKUP(C231,Lists!$A$4:$B$27,2,0),"??")&amp;"-"&amp;TEXT(F231,"0000")&amp;"x"&amp;TEXT(G231,"0000")&amp;IF(N(H231)&gt;1,"-"&amp;H231&amp;"C","")&amp;"-"&amp;IFERROR(VLOOKUP(L231,Lists!$J$4:$K$19,2,0),"??")&amp;"-"&amp;U231)</f>
        <v/>
      </c>
      <c r="B231" s="10" t="str">
        <f aca="false">IF(C231="","",C231&amp;" "&amp;F231&amp;"W x "&amp;G231&amp;"D"&amp;IF(N(H231)&gt;1," ("&amp;H231&amp;" cells)","")&amp;", "&amp;D231&amp;", "&amp;L231&amp;", "&amp;E231)</f>
        <v/>
      </c>
      <c r="C231" s="9"/>
      <c r="D231" s="9"/>
      <c r="E231" s="9"/>
      <c r="F231" s="40"/>
      <c r="G231" s="40"/>
      <c r="H231" s="40"/>
      <c r="I231" s="40"/>
      <c r="J231" s="40"/>
      <c r="K231" s="40"/>
      <c r="L231" s="9"/>
      <c r="M231" s="9"/>
      <c r="N231" s="9"/>
      <c r="O231" s="40"/>
      <c r="P231" s="9"/>
      <c r="Q231" s="9"/>
      <c r="R231" s="9"/>
      <c r="S231" s="9"/>
      <c r="T231" s="9"/>
      <c r="U231" s="9"/>
      <c r="V231" s="9"/>
      <c r="W231" s="9"/>
      <c r="X231" s="9"/>
      <c r="Y231" s="9"/>
      <c r="Z231" s="10" t="str">
        <f aca="false">IF(A231="","",SG_Criteria!$B$6&amp;SG_Criteria!$B$7&amp;"\"&amp;A231&amp;"\")</f>
        <v/>
      </c>
      <c r="AA231" s="10" t="str">
        <f aca="false">IF(A231="","",A231&amp;"_CAD.dwg")</f>
        <v/>
      </c>
      <c r="AB231" s="10" t="str">
        <f aca="false">IF(A231="","",A231&amp;"_DWG.pdf")</f>
        <v/>
      </c>
      <c r="AC231" s="10" t="str">
        <f aca="false">IF(A231="","",IF(Y231="Y",A231&amp;"_STAAD.std","n/a"))</f>
        <v/>
      </c>
      <c r="AD231" s="10" t="str">
        <f aca="false">IF(A231="","",A231&amp;"_CALC.xlsx")</f>
        <v/>
      </c>
      <c r="AE231" s="10" t="str">
        <f aca="false">IF(A231="","",A231&amp;"_CALC.pdf")</f>
        <v/>
      </c>
      <c r="AF231" s="9"/>
      <c r="AG231" s="9"/>
      <c r="AH231" s="41"/>
      <c r="AI231" s="41"/>
      <c r="AJ231" s="41"/>
      <c r="AK231" s="41"/>
      <c r="AL231" s="41"/>
      <c r="AM231" s="37" t="str">
        <f aca="false">IF(OR(C231="",F231="",G231="",C231="Sump",C231="Drop Inlet Chamber",C231="Silt Trap",C231="Pipe Culvert",C231="Subsoil Drain"),"",ROUND(MAX(1,N(H231))*(1/SG_Criteria!$B$26)*((F231/1000)*(G231/1000*(1-SG_Criteria!$B$25)))*(((F231/1000)*(G231/1000*(1-SG_Criteria!$B$25)))/((F231/1000)+2*(G231/1000*(1-SG_Criteria!$B$25))))^(2/3)*(1/Design_Selector!$B$11)^0.5,3))</f>
        <v/>
      </c>
      <c r="AN231" s="11" t="str">
        <f aca="false">IF(AM231="","",ROUND(AM231/(MAX(1,N(H231))*F231/1000*(G231/1000*(1-SG_Criteria!$B$25))),2))</f>
        <v/>
      </c>
      <c r="AO231" s="38" t="str">
        <f aca="false">IF(C231="","",IF(LEN(IF(AND(OR(D231="Roadside drain",D231="Entrance culvert"),OR(F231&lt;SG_Criteria!$B$15,G231&lt;SG_Criteria!$B$16)),"FAIL: below PUB min "&amp;SG_Criteria!$B$15&amp;"x"&amp;SG_Criteria!$B$16&amp;" for roadside drain. ","")&amp;IF(AND(D231="Common drain",F231&lt;SG_Criteria!$B$17),"FAIL: common drain W &lt; "&amp;SG_Criteria!$B$17&amp;" mm. ","")&amp;IF(AND(N231&lt;&gt;"",IFERROR(VALUE(MID(N231,2,2)),0)&lt;SG_Criteria!$B$19),"FAIL: grade below C"&amp;SG_Criteria!$B$19&amp;". ","")&amp;IF(AND(O231&lt;&gt;"",O231&lt;SG_Criteria!$B$20),"FAIL: cover &lt; "&amp;SG_Criteria!$B$20&amp;" mm. ","")&amp;IF(AND(E231="Open",G231&gt;SG_Criteria!$B$18),"NOTE: safety railing required (D &gt; "&amp;SG_Criteria!$B$18&amp;" mm). ","")&amp;IF(AND(D231="Entrance culvert",G231&lt;600),"NOTE: check hinged grating rule for culverts &lt; 600 deep (PUB Add. 3). ",""))=0,"OK",IF(AND(OR(D231="Roadside drain",D231="Entrance culvert"),OR(F231&lt;SG_Criteria!$B$15,G231&lt;SG_Criteria!$B$16)),"FAIL: below PUB min "&amp;SG_Criteria!$B$15&amp;"x"&amp;SG_Criteria!$B$16&amp;" for roadside drain. ","")&amp;IF(AND(D231="Common drain",F231&lt;SG_Criteria!$B$17),"FAIL: common drain W &lt; "&amp;SG_Criteria!$B$17&amp;" mm. ","")&amp;IF(AND(N231&lt;&gt;"",IFERROR(VALUE(MID(N231,2,2)),0)&lt;SG_Criteria!$B$19),"FAIL: grade below C"&amp;SG_Criteria!$B$19&amp;". ","")&amp;IF(AND(O231&lt;&gt;"",O231&lt;SG_Criteria!$B$20),"FAIL: cover &lt; "&amp;SG_Criteria!$B$20&amp;" mm. ","")&amp;IF(AND(E231="Open",G231&gt;SG_Criteria!$B$18),"NOTE: safety railing required (D &gt; "&amp;SG_Criteria!$B$18&amp;" mm). ","")&amp;IF(AND(D231="Entrance culvert",G231&lt;600),"NOTE: check hinged grating rule for culverts &lt; 600 deep (PUB Add. 3). ","")))</f>
        <v/>
      </c>
      <c r="AP231" s="9"/>
      <c r="AQ231" s="9"/>
      <c r="AR231" s="9"/>
      <c r="AS231" s="9"/>
      <c r="AT231" s="9"/>
      <c r="AU231" s="31"/>
      <c r="AV231" s="10" t="str">
        <f aca="false">IF(C231="","",IF(AND(V231="Approved",ISERROR(SEARCH("FAIL",AO231))),"Y","N"))</f>
        <v/>
      </c>
      <c r="AW231" s="10" t="str">
        <f aca="false">IF(C231="","",C231&amp;"|"&amp;F231&amp;"|"&amp;G231&amp;"|"&amp;L231&amp;"|"&amp;AV231)</f>
        <v/>
      </c>
    </row>
    <row r="232" customFormat="false" ht="15" hidden="false" customHeight="false" outlineLevel="0" collapsed="false">
      <c r="A232" s="10" t="str">
        <f aca="false">IF(C232="","","DRN-"&amp;IFERROR(VLOOKUP(C232,Lists!$A$4:$B$27,2,0),"??")&amp;"-"&amp;TEXT(F232,"0000")&amp;"x"&amp;TEXT(G232,"0000")&amp;IF(N(H232)&gt;1,"-"&amp;H232&amp;"C","")&amp;"-"&amp;IFERROR(VLOOKUP(L232,Lists!$J$4:$K$19,2,0),"??")&amp;"-"&amp;U232)</f>
        <v/>
      </c>
      <c r="B232" s="10" t="str">
        <f aca="false">IF(C232="","",C232&amp;" "&amp;F232&amp;"W x "&amp;G232&amp;"D"&amp;IF(N(H232)&gt;1," ("&amp;H232&amp;" cells)","")&amp;", "&amp;D232&amp;", "&amp;L232&amp;", "&amp;E232)</f>
        <v/>
      </c>
      <c r="C232" s="9"/>
      <c r="D232" s="9"/>
      <c r="E232" s="9"/>
      <c r="F232" s="40"/>
      <c r="G232" s="40"/>
      <c r="H232" s="40"/>
      <c r="I232" s="40"/>
      <c r="J232" s="40"/>
      <c r="K232" s="40"/>
      <c r="L232" s="9"/>
      <c r="M232" s="9"/>
      <c r="N232" s="9"/>
      <c r="O232" s="40"/>
      <c r="P232" s="9"/>
      <c r="Q232" s="9"/>
      <c r="R232" s="9"/>
      <c r="S232" s="9"/>
      <c r="T232" s="9"/>
      <c r="U232" s="9"/>
      <c r="V232" s="9"/>
      <c r="W232" s="9"/>
      <c r="X232" s="9"/>
      <c r="Y232" s="9"/>
      <c r="Z232" s="10" t="str">
        <f aca="false">IF(A232="","",SG_Criteria!$B$6&amp;SG_Criteria!$B$7&amp;"\"&amp;A232&amp;"\")</f>
        <v/>
      </c>
      <c r="AA232" s="10" t="str">
        <f aca="false">IF(A232="","",A232&amp;"_CAD.dwg")</f>
        <v/>
      </c>
      <c r="AB232" s="10" t="str">
        <f aca="false">IF(A232="","",A232&amp;"_DWG.pdf")</f>
        <v/>
      </c>
      <c r="AC232" s="10" t="str">
        <f aca="false">IF(A232="","",IF(Y232="Y",A232&amp;"_STAAD.std","n/a"))</f>
        <v/>
      </c>
      <c r="AD232" s="10" t="str">
        <f aca="false">IF(A232="","",A232&amp;"_CALC.xlsx")</f>
        <v/>
      </c>
      <c r="AE232" s="10" t="str">
        <f aca="false">IF(A232="","",A232&amp;"_CALC.pdf")</f>
        <v/>
      </c>
      <c r="AF232" s="9"/>
      <c r="AG232" s="9"/>
      <c r="AH232" s="41"/>
      <c r="AI232" s="41"/>
      <c r="AJ232" s="41"/>
      <c r="AK232" s="41"/>
      <c r="AL232" s="41"/>
      <c r="AM232" s="37" t="str">
        <f aca="false">IF(OR(C232="",F232="",G232="",C232="Sump",C232="Drop Inlet Chamber",C232="Silt Trap",C232="Pipe Culvert",C232="Subsoil Drain"),"",ROUND(MAX(1,N(H232))*(1/SG_Criteria!$B$26)*((F232/1000)*(G232/1000*(1-SG_Criteria!$B$25)))*(((F232/1000)*(G232/1000*(1-SG_Criteria!$B$25)))/((F232/1000)+2*(G232/1000*(1-SG_Criteria!$B$25))))^(2/3)*(1/Design_Selector!$B$11)^0.5,3))</f>
        <v/>
      </c>
      <c r="AN232" s="11" t="str">
        <f aca="false">IF(AM232="","",ROUND(AM232/(MAX(1,N(H232))*F232/1000*(G232/1000*(1-SG_Criteria!$B$25))),2))</f>
        <v/>
      </c>
      <c r="AO232" s="38" t="str">
        <f aca="false">IF(C232="","",IF(LEN(IF(AND(OR(D232="Roadside drain",D232="Entrance culvert"),OR(F232&lt;SG_Criteria!$B$15,G232&lt;SG_Criteria!$B$16)),"FAIL: below PUB min "&amp;SG_Criteria!$B$15&amp;"x"&amp;SG_Criteria!$B$16&amp;" for roadside drain. ","")&amp;IF(AND(D232="Common drain",F232&lt;SG_Criteria!$B$17),"FAIL: common drain W &lt; "&amp;SG_Criteria!$B$17&amp;" mm. ","")&amp;IF(AND(N232&lt;&gt;"",IFERROR(VALUE(MID(N232,2,2)),0)&lt;SG_Criteria!$B$19),"FAIL: grade below C"&amp;SG_Criteria!$B$19&amp;". ","")&amp;IF(AND(O232&lt;&gt;"",O232&lt;SG_Criteria!$B$20),"FAIL: cover &lt; "&amp;SG_Criteria!$B$20&amp;" mm. ","")&amp;IF(AND(E232="Open",G232&gt;SG_Criteria!$B$18),"NOTE: safety railing required (D &gt; "&amp;SG_Criteria!$B$18&amp;" mm). ","")&amp;IF(AND(D232="Entrance culvert",G232&lt;600),"NOTE: check hinged grating rule for culverts &lt; 600 deep (PUB Add. 3). ",""))=0,"OK",IF(AND(OR(D232="Roadside drain",D232="Entrance culvert"),OR(F232&lt;SG_Criteria!$B$15,G232&lt;SG_Criteria!$B$16)),"FAIL: below PUB min "&amp;SG_Criteria!$B$15&amp;"x"&amp;SG_Criteria!$B$16&amp;" for roadside drain. ","")&amp;IF(AND(D232="Common drain",F232&lt;SG_Criteria!$B$17),"FAIL: common drain W &lt; "&amp;SG_Criteria!$B$17&amp;" mm. ","")&amp;IF(AND(N232&lt;&gt;"",IFERROR(VALUE(MID(N232,2,2)),0)&lt;SG_Criteria!$B$19),"FAIL: grade below C"&amp;SG_Criteria!$B$19&amp;". ","")&amp;IF(AND(O232&lt;&gt;"",O232&lt;SG_Criteria!$B$20),"FAIL: cover &lt; "&amp;SG_Criteria!$B$20&amp;" mm. ","")&amp;IF(AND(E232="Open",G232&gt;SG_Criteria!$B$18),"NOTE: safety railing required (D &gt; "&amp;SG_Criteria!$B$18&amp;" mm). ","")&amp;IF(AND(D232="Entrance culvert",G232&lt;600),"NOTE: check hinged grating rule for culverts &lt; 600 deep (PUB Add. 3). ","")))</f>
        <v/>
      </c>
      <c r="AP232" s="9"/>
      <c r="AQ232" s="9"/>
      <c r="AR232" s="9"/>
      <c r="AS232" s="9"/>
      <c r="AT232" s="9"/>
      <c r="AU232" s="31"/>
      <c r="AV232" s="10" t="str">
        <f aca="false">IF(C232="","",IF(AND(V232="Approved",ISERROR(SEARCH("FAIL",AO232))),"Y","N"))</f>
        <v/>
      </c>
      <c r="AW232" s="10" t="str">
        <f aca="false">IF(C232="","",C232&amp;"|"&amp;F232&amp;"|"&amp;G232&amp;"|"&amp;L232&amp;"|"&amp;AV232)</f>
        <v/>
      </c>
    </row>
    <row r="233" customFormat="false" ht="15" hidden="false" customHeight="false" outlineLevel="0" collapsed="false">
      <c r="A233" s="10" t="str">
        <f aca="false">IF(C233="","","DRN-"&amp;IFERROR(VLOOKUP(C233,Lists!$A$4:$B$27,2,0),"??")&amp;"-"&amp;TEXT(F233,"0000")&amp;"x"&amp;TEXT(G233,"0000")&amp;IF(N(H233)&gt;1,"-"&amp;H233&amp;"C","")&amp;"-"&amp;IFERROR(VLOOKUP(L233,Lists!$J$4:$K$19,2,0),"??")&amp;"-"&amp;U233)</f>
        <v/>
      </c>
      <c r="B233" s="10" t="str">
        <f aca="false">IF(C233="","",C233&amp;" "&amp;F233&amp;"W x "&amp;G233&amp;"D"&amp;IF(N(H233)&gt;1," ("&amp;H233&amp;" cells)","")&amp;", "&amp;D233&amp;", "&amp;L233&amp;", "&amp;E233)</f>
        <v/>
      </c>
      <c r="C233" s="9"/>
      <c r="D233" s="9"/>
      <c r="E233" s="9"/>
      <c r="F233" s="40"/>
      <c r="G233" s="40"/>
      <c r="H233" s="40"/>
      <c r="I233" s="40"/>
      <c r="J233" s="40"/>
      <c r="K233" s="40"/>
      <c r="L233" s="9"/>
      <c r="M233" s="9"/>
      <c r="N233" s="9"/>
      <c r="O233" s="40"/>
      <c r="P233" s="9"/>
      <c r="Q233" s="9"/>
      <c r="R233" s="9"/>
      <c r="S233" s="9"/>
      <c r="T233" s="9"/>
      <c r="U233" s="9"/>
      <c r="V233" s="9"/>
      <c r="W233" s="9"/>
      <c r="X233" s="9"/>
      <c r="Y233" s="9"/>
      <c r="Z233" s="10" t="str">
        <f aca="false">IF(A233="","",SG_Criteria!$B$6&amp;SG_Criteria!$B$7&amp;"\"&amp;A233&amp;"\")</f>
        <v/>
      </c>
      <c r="AA233" s="10" t="str">
        <f aca="false">IF(A233="","",A233&amp;"_CAD.dwg")</f>
        <v/>
      </c>
      <c r="AB233" s="10" t="str">
        <f aca="false">IF(A233="","",A233&amp;"_DWG.pdf")</f>
        <v/>
      </c>
      <c r="AC233" s="10" t="str">
        <f aca="false">IF(A233="","",IF(Y233="Y",A233&amp;"_STAAD.std","n/a"))</f>
        <v/>
      </c>
      <c r="AD233" s="10" t="str">
        <f aca="false">IF(A233="","",A233&amp;"_CALC.xlsx")</f>
        <v/>
      </c>
      <c r="AE233" s="10" t="str">
        <f aca="false">IF(A233="","",A233&amp;"_CALC.pdf")</f>
        <v/>
      </c>
      <c r="AF233" s="9"/>
      <c r="AG233" s="9"/>
      <c r="AH233" s="41"/>
      <c r="AI233" s="41"/>
      <c r="AJ233" s="41"/>
      <c r="AK233" s="41"/>
      <c r="AL233" s="41"/>
      <c r="AM233" s="37" t="str">
        <f aca="false">IF(OR(C233="",F233="",G233="",C233="Sump",C233="Drop Inlet Chamber",C233="Silt Trap",C233="Pipe Culvert",C233="Subsoil Drain"),"",ROUND(MAX(1,N(H233))*(1/SG_Criteria!$B$26)*((F233/1000)*(G233/1000*(1-SG_Criteria!$B$25)))*(((F233/1000)*(G233/1000*(1-SG_Criteria!$B$25)))/((F233/1000)+2*(G233/1000*(1-SG_Criteria!$B$25))))^(2/3)*(1/Design_Selector!$B$11)^0.5,3))</f>
        <v/>
      </c>
      <c r="AN233" s="11" t="str">
        <f aca="false">IF(AM233="","",ROUND(AM233/(MAX(1,N(H233))*F233/1000*(G233/1000*(1-SG_Criteria!$B$25))),2))</f>
        <v/>
      </c>
      <c r="AO233" s="38" t="str">
        <f aca="false">IF(C233="","",IF(LEN(IF(AND(OR(D233="Roadside drain",D233="Entrance culvert"),OR(F233&lt;SG_Criteria!$B$15,G233&lt;SG_Criteria!$B$16)),"FAIL: below PUB min "&amp;SG_Criteria!$B$15&amp;"x"&amp;SG_Criteria!$B$16&amp;" for roadside drain. ","")&amp;IF(AND(D233="Common drain",F233&lt;SG_Criteria!$B$17),"FAIL: common drain W &lt; "&amp;SG_Criteria!$B$17&amp;" mm. ","")&amp;IF(AND(N233&lt;&gt;"",IFERROR(VALUE(MID(N233,2,2)),0)&lt;SG_Criteria!$B$19),"FAIL: grade below C"&amp;SG_Criteria!$B$19&amp;". ","")&amp;IF(AND(O233&lt;&gt;"",O233&lt;SG_Criteria!$B$20),"FAIL: cover &lt; "&amp;SG_Criteria!$B$20&amp;" mm. ","")&amp;IF(AND(E233="Open",G233&gt;SG_Criteria!$B$18),"NOTE: safety railing required (D &gt; "&amp;SG_Criteria!$B$18&amp;" mm). ","")&amp;IF(AND(D233="Entrance culvert",G233&lt;600),"NOTE: check hinged grating rule for culverts &lt; 600 deep (PUB Add. 3). ",""))=0,"OK",IF(AND(OR(D233="Roadside drain",D233="Entrance culvert"),OR(F233&lt;SG_Criteria!$B$15,G233&lt;SG_Criteria!$B$16)),"FAIL: below PUB min "&amp;SG_Criteria!$B$15&amp;"x"&amp;SG_Criteria!$B$16&amp;" for roadside drain. ","")&amp;IF(AND(D233="Common drain",F233&lt;SG_Criteria!$B$17),"FAIL: common drain W &lt; "&amp;SG_Criteria!$B$17&amp;" mm. ","")&amp;IF(AND(N233&lt;&gt;"",IFERROR(VALUE(MID(N233,2,2)),0)&lt;SG_Criteria!$B$19),"FAIL: grade below C"&amp;SG_Criteria!$B$19&amp;". ","")&amp;IF(AND(O233&lt;&gt;"",O233&lt;SG_Criteria!$B$20),"FAIL: cover &lt; "&amp;SG_Criteria!$B$20&amp;" mm. ","")&amp;IF(AND(E233="Open",G233&gt;SG_Criteria!$B$18),"NOTE: safety railing required (D &gt; "&amp;SG_Criteria!$B$18&amp;" mm). ","")&amp;IF(AND(D233="Entrance culvert",G233&lt;600),"NOTE: check hinged grating rule for culverts &lt; 600 deep (PUB Add. 3). ","")))</f>
        <v/>
      </c>
      <c r="AP233" s="9"/>
      <c r="AQ233" s="9"/>
      <c r="AR233" s="9"/>
      <c r="AS233" s="9"/>
      <c r="AT233" s="9"/>
      <c r="AU233" s="31"/>
      <c r="AV233" s="10" t="str">
        <f aca="false">IF(C233="","",IF(AND(V233="Approved",ISERROR(SEARCH("FAIL",AO233))),"Y","N"))</f>
        <v/>
      </c>
      <c r="AW233" s="10" t="str">
        <f aca="false">IF(C233="","",C233&amp;"|"&amp;F233&amp;"|"&amp;G233&amp;"|"&amp;L233&amp;"|"&amp;AV233)</f>
        <v/>
      </c>
    </row>
    <row r="234" customFormat="false" ht="15" hidden="false" customHeight="false" outlineLevel="0" collapsed="false">
      <c r="A234" s="10" t="str">
        <f aca="false">IF(C234="","","DRN-"&amp;IFERROR(VLOOKUP(C234,Lists!$A$4:$B$27,2,0),"??")&amp;"-"&amp;TEXT(F234,"0000")&amp;"x"&amp;TEXT(G234,"0000")&amp;IF(N(H234)&gt;1,"-"&amp;H234&amp;"C","")&amp;"-"&amp;IFERROR(VLOOKUP(L234,Lists!$J$4:$K$19,2,0),"??")&amp;"-"&amp;U234)</f>
        <v/>
      </c>
      <c r="B234" s="10" t="str">
        <f aca="false">IF(C234="","",C234&amp;" "&amp;F234&amp;"W x "&amp;G234&amp;"D"&amp;IF(N(H234)&gt;1," ("&amp;H234&amp;" cells)","")&amp;", "&amp;D234&amp;", "&amp;L234&amp;", "&amp;E234)</f>
        <v/>
      </c>
      <c r="C234" s="9"/>
      <c r="D234" s="9"/>
      <c r="E234" s="9"/>
      <c r="F234" s="40"/>
      <c r="G234" s="40"/>
      <c r="H234" s="40"/>
      <c r="I234" s="40"/>
      <c r="J234" s="40"/>
      <c r="K234" s="40"/>
      <c r="L234" s="9"/>
      <c r="M234" s="9"/>
      <c r="N234" s="9"/>
      <c r="O234" s="40"/>
      <c r="P234" s="9"/>
      <c r="Q234" s="9"/>
      <c r="R234" s="9"/>
      <c r="S234" s="9"/>
      <c r="T234" s="9"/>
      <c r="U234" s="9"/>
      <c r="V234" s="9"/>
      <c r="W234" s="9"/>
      <c r="X234" s="9"/>
      <c r="Y234" s="9"/>
      <c r="Z234" s="10" t="str">
        <f aca="false">IF(A234="","",SG_Criteria!$B$6&amp;SG_Criteria!$B$7&amp;"\"&amp;A234&amp;"\")</f>
        <v/>
      </c>
      <c r="AA234" s="10" t="str">
        <f aca="false">IF(A234="","",A234&amp;"_CAD.dwg")</f>
        <v/>
      </c>
      <c r="AB234" s="10" t="str">
        <f aca="false">IF(A234="","",A234&amp;"_DWG.pdf")</f>
        <v/>
      </c>
      <c r="AC234" s="10" t="str">
        <f aca="false">IF(A234="","",IF(Y234="Y",A234&amp;"_STAAD.std","n/a"))</f>
        <v/>
      </c>
      <c r="AD234" s="10" t="str">
        <f aca="false">IF(A234="","",A234&amp;"_CALC.xlsx")</f>
        <v/>
      </c>
      <c r="AE234" s="10" t="str">
        <f aca="false">IF(A234="","",A234&amp;"_CALC.pdf")</f>
        <v/>
      </c>
      <c r="AF234" s="9"/>
      <c r="AG234" s="9"/>
      <c r="AH234" s="41"/>
      <c r="AI234" s="41"/>
      <c r="AJ234" s="41"/>
      <c r="AK234" s="41"/>
      <c r="AL234" s="41"/>
      <c r="AM234" s="37" t="str">
        <f aca="false">IF(OR(C234="",F234="",G234="",C234="Sump",C234="Drop Inlet Chamber",C234="Silt Trap",C234="Pipe Culvert",C234="Subsoil Drain"),"",ROUND(MAX(1,N(H234))*(1/SG_Criteria!$B$26)*((F234/1000)*(G234/1000*(1-SG_Criteria!$B$25)))*(((F234/1000)*(G234/1000*(1-SG_Criteria!$B$25)))/((F234/1000)+2*(G234/1000*(1-SG_Criteria!$B$25))))^(2/3)*(1/Design_Selector!$B$11)^0.5,3))</f>
        <v/>
      </c>
      <c r="AN234" s="11" t="str">
        <f aca="false">IF(AM234="","",ROUND(AM234/(MAX(1,N(H234))*F234/1000*(G234/1000*(1-SG_Criteria!$B$25))),2))</f>
        <v/>
      </c>
      <c r="AO234" s="38" t="str">
        <f aca="false">IF(C234="","",IF(LEN(IF(AND(OR(D234="Roadside drain",D234="Entrance culvert"),OR(F234&lt;SG_Criteria!$B$15,G234&lt;SG_Criteria!$B$16)),"FAIL: below PUB min "&amp;SG_Criteria!$B$15&amp;"x"&amp;SG_Criteria!$B$16&amp;" for roadside drain. ","")&amp;IF(AND(D234="Common drain",F234&lt;SG_Criteria!$B$17),"FAIL: common drain W &lt; "&amp;SG_Criteria!$B$17&amp;" mm. ","")&amp;IF(AND(N234&lt;&gt;"",IFERROR(VALUE(MID(N234,2,2)),0)&lt;SG_Criteria!$B$19),"FAIL: grade below C"&amp;SG_Criteria!$B$19&amp;". ","")&amp;IF(AND(O234&lt;&gt;"",O234&lt;SG_Criteria!$B$20),"FAIL: cover &lt; "&amp;SG_Criteria!$B$20&amp;" mm. ","")&amp;IF(AND(E234="Open",G234&gt;SG_Criteria!$B$18),"NOTE: safety railing required (D &gt; "&amp;SG_Criteria!$B$18&amp;" mm). ","")&amp;IF(AND(D234="Entrance culvert",G234&lt;600),"NOTE: check hinged grating rule for culverts &lt; 600 deep (PUB Add. 3). ",""))=0,"OK",IF(AND(OR(D234="Roadside drain",D234="Entrance culvert"),OR(F234&lt;SG_Criteria!$B$15,G234&lt;SG_Criteria!$B$16)),"FAIL: below PUB min "&amp;SG_Criteria!$B$15&amp;"x"&amp;SG_Criteria!$B$16&amp;" for roadside drain. ","")&amp;IF(AND(D234="Common drain",F234&lt;SG_Criteria!$B$17),"FAIL: common drain W &lt; "&amp;SG_Criteria!$B$17&amp;" mm. ","")&amp;IF(AND(N234&lt;&gt;"",IFERROR(VALUE(MID(N234,2,2)),0)&lt;SG_Criteria!$B$19),"FAIL: grade below C"&amp;SG_Criteria!$B$19&amp;". ","")&amp;IF(AND(O234&lt;&gt;"",O234&lt;SG_Criteria!$B$20),"FAIL: cover &lt; "&amp;SG_Criteria!$B$20&amp;" mm. ","")&amp;IF(AND(E234="Open",G234&gt;SG_Criteria!$B$18),"NOTE: safety railing required (D &gt; "&amp;SG_Criteria!$B$18&amp;" mm). ","")&amp;IF(AND(D234="Entrance culvert",G234&lt;600),"NOTE: check hinged grating rule for culverts &lt; 600 deep (PUB Add. 3). ","")))</f>
        <v/>
      </c>
      <c r="AP234" s="9"/>
      <c r="AQ234" s="9"/>
      <c r="AR234" s="9"/>
      <c r="AS234" s="9"/>
      <c r="AT234" s="9"/>
      <c r="AU234" s="31"/>
      <c r="AV234" s="10" t="str">
        <f aca="false">IF(C234="","",IF(AND(V234="Approved",ISERROR(SEARCH("FAIL",AO234))),"Y","N"))</f>
        <v/>
      </c>
      <c r="AW234" s="10" t="str">
        <f aca="false">IF(C234="","",C234&amp;"|"&amp;F234&amp;"|"&amp;G234&amp;"|"&amp;L234&amp;"|"&amp;AV234)</f>
        <v/>
      </c>
    </row>
    <row r="235" customFormat="false" ht="15" hidden="false" customHeight="false" outlineLevel="0" collapsed="false">
      <c r="A235" s="10" t="str">
        <f aca="false">IF(C235="","","DRN-"&amp;IFERROR(VLOOKUP(C235,Lists!$A$4:$B$27,2,0),"??")&amp;"-"&amp;TEXT(F235,"0000")&amp;"x"&amp;TEXT(G235,"0000")&amp;IF(N(H235)&gt;1,"-"&amp;H235&amp;"C","")&amp;"-"&amp;IFERROR(VLOOKUP(L235,Lists!$J$4:$K$19,2,0),"??")&amp;"-"&amp;U235)</f>
        <v/>
      </c>
      <c r="B235" s="10" t="str">
        <f aca="false">IF(C235="","",C235&amp;" "&amp;F235&amp;"W x "&amp;G235&amp;"D"&amp;IF(N(H235)&gt;1," ("&amp;H235&amp;" cells)","")&amp;", "&amp;D235&amp;", "&amp;L235&amp;", "&amp;E235)</f>
        <v/>
      </c>
      <c r="C235" s="9"/>
      <c r="D235" s="9"/>
      <c r="E235" s="9"/>
      <c r="F235" s="40"/>
      <c r="G235" s="40"/>
      <c r="H235" s="40"/>
      <c r="I235" s="40"/>
      <c r="J235" s="40"/>
      <c r="K235" s="40"/>
      <c r="L235" s="9"/>
      <c r="M235" s="9"/>
      <c r="N235" s="9"/>
      <c r="O235" s="40"/>
      <c r="P235" s="9"/>
      <c r="Q235" s="9"/>
      <c r="R235" s="9"/>
      <c r="S235" s="9"/>
      <c r="T235" s="9"/>
      <c r="U235" s="9"/>
      <c r="V235" s="9"/>
      <c r="W235" s="9"/>
      <c r="X235" s="9"/>
      <c r="Y235" s="9"/>
      <c r="Z235" s="10" t="str">
        <f aca="false">IF(A235="","",SG_Criteria!$B$6&amp;SG_Criteria!$B$7&amp;"\"&amp;A235&amp;"\")</f>
        <v/>
      </c>
      <c r="AA235" s="10" t="str">
        <f aca="false">IF(A235="","",A235&amp;"_CAD.dwg")</f>
        <v/>
      </c>
      <c r="AB235" s="10" t="str">
        <f aca="false">IF(A235="","",A235&amp;"_DWG.pdf")</f>
        <v/>
      </c>
      <c r="AC235" s="10" t="str">
        <f aca="false">IF(A235="","",IF(Y235="Y",A235&amp;"_STAAD.std","n/a"))</f>
        <v/>
      </c>
      <c r="AD235" s="10" t="str">
        <f aca="false">IF(A235="","",A235&amp;"_CALC.xlsx")</f>
        <v/>
      </c>
      <c r="AE235" s="10" t="str">
        <f aca="false">IF(A235="","",A235&amp;"_CALC.pdf")</f>
        <v/>
      </c>
      <c r="AF235" s="9"/>
      <c r="AG235" s="9"/>
      <c r="AH235" s="41"/>
      <c r="AI235" s="41"/>
      <c r="AJ235" s="41"/>
      <c r="AK235" s="41"/>
      <c r="AL235" s="41"/>
      <c r="AM235" s="37" t="str">
        <f aca="false">IF(OR(C235="",F235="",G235="",C235="Sump",C235="Drop Inlet Chamber",C235="Silt Trap",C235="Pipe Culvert",C235="Subsoil Drain"),"",ROUND(MAX(1,N(H235))*(1/SG_Criteria!$B$26)*((F235/1000)*(G235/1000*(1-SG_Criteria!$B$25)))*(((F235/1000)*(G235/1000*(1-SG_Criteria!$B$25)))/((F235/1000)+2*(G235/1000*(1-SG_Criteria!$B$25))))^(2/3)*(1/Design_Selector!$B$11)^0.5,3))</f>
        <v/>
      </c>
      <c r="AN235" s="11" t="str">
        <f aca="false">IF(AM235="","",ROUND(AM235/(MAX(1,N(H235))*F235/1000*(G235/1000*(1-SG_Criteria!$B$25))),2))</f>
        <v/>
      </c>
      <c r="AO235" s="38" t="str">
        <f aca="false">IF(C235="","",IF(LEN(IF(AND(OR(D235="Roadside drain",D235="Entrance culvert"),OR(F235&lt;SG_Criteria!$B$15,G235&lt;SG_Criteria!$B$16)),"FAIL: below PUB min "&amp;SG_Criteria!$B$15&amp;"x"&amp;SG_Criteria!$B$16&amp;" for roadside drain. ","")&amp;IF(AND(D235="Common drain",F235&lt;SG_Criteria!$B$17),"FAIL: common drain W &lt; "&amp;SG_Criteria!$B$17&amp;" mm. ","")&amp;IF(AND(N235&lt;&gt;"",IFERROR(VALUE(MID(N235,2,2)),0)&lt;SG_Criteria!$B$19),"FAIL: grade below C"&amp;SG_Criteria!$B$19&amp;". ","")&amp;IF(AND(O235&lt;&gt;"",O235&lt;SG_Criteria!$B$20),"FAIL: cover &lt; "&amp;SG_Criteria!$B$20&amp;" mm. ","")&amp;IF(AND(E235="Open",G235&gt;SG_Criteria!$B$18),"NOTE: safety railing required (D &gt; "&amp;SG_Criteria!$B$18&amp;" mm). ","")&amp;IF(AND(D235="Entrance culvert",G235&lt;600),"NOTE: check hinged grating rule for culverts &lt; 600 deep (PUB Add. 3). ",""))=0,"OK",IF(AND(OR(D235="Roadside drain",D235="Entrance culvert"),OR(F235&lt;SG_Criteria!$B$15,G235&lt;SG_Criteria!$B$16)),"FAIL: below PUB min "&amp;SG_Criteria!$B$15&amp;"x"&amp;SG_Criteria!$B$16&amp;" for roadside drain. ","")&amp;IF(AND(D235="Common drain",F235&lt;SG_Criteria!$B$17),"FAIL: common drain W &lt; "&amp;SG_Criteria!$B$17&amp;" mm. ","")&amp;IF(AND(N235&lt;&gt;"",IFERROR(VALUE(MID(N235,2,2)),0)&lt;SG_Criteria!$B$19),"FAIL: grade below C"&amp;SG_Criteria!$B$19&amp;". ","")&amp;IF(AND(O235&lt;&gt;"",O235&lt;SG_Criteria!$B$20),"FAIL: cover &lt; "&amp;SG_Criteria!$B$20&amp;" mm. ","")&amp;IF(AND(E235="Open",G235&gt;SG_Criteria!$B$18),"NOTE: safety railing required (D &gt; "&amp;SG_Criteria!$B$18&amp;" mm). ","")&amp;IF(AND(D235="Entrance culvert",G235&lt;600),"NOTE: check hinged grating rule for culverts &lt; 600 deep (PUB Add. 3). ","")))</f>
        <v/>
      </c>
      <c r="AP235" s="9"/>
      <c r="AQ235" s="9"/>
      <c r="AR235" s="9"/>
      <c r="AS235" s="9"/>
      <c r="AT235" s="9"/>
      <c r="AU235" s="31"/>
      <c r="AV235" s="10" t="str">
        <f aca="false">IF(C235="","",IF(AND(V235="Approved",ISERROR(SEARCH("FAIL",AO235))),"Y","N"))</f>
        <v/>
      </c>
      <c r="AW235" s="10" t="str">
        <f aca="false">IF(C235="","",C235&amp;"|"&amp;F235&amp;"|"&amp;G235&amp;"|"&amp;L235&amp;"|"&amp;AV235)</f>
        <v/>
      </c>
    </row>
    <row r="236" customFormat="false" ht="15" hidden="false" customHeight="false" outlineLevel="0" collapsed="false">
      <c r="A236" s="10" t="str">
        <f aca="false">IF(C236="","","DRN-"&amp;IFERROR(VLOOKUP(C236,Lists!$A$4:$B$27,2,0),"??")&amp;"-"&amp;TEXT(F236,"0000")&amp;"x"&amp;TEXT(G236,"0000")&amp;IF(N(H236)&gt;1,"-"&amp;H236&amp;"C","")&amp;"-"&amp;IFERROR(VLOOKUP(L236,Lists!$J$4:$K$19,2,0),"??")&amp;"-"&amp;U236)</f>
        <v/>
      </c>
      <c r="B236" s="10" t="str">
        <f aca="false">IF(C236="","",C236&amp;" "&amp;F236&amp;"W x "&amp;G236&amp;"D"&amp;IF(N(H236)&gt;1," ("&amp;H236&amp;" cells)","")&amp;", "&amp;D236&amp;", "&amp;L236&amp;", "&amp;E236)</f>
        <v/>
      </c>
      <c r="C236" s="9"/>
      <c r="D236" s="9"/>
      <c r="E236" s="9"/>
      <c r="F236" s="40"/>
      <c r="G236" s="40"/>
      <c r="H236" s="40"/>
      <c r="I236" s="40"/>
      <c r="J236" s="40"/>
      <c r="K236" s="40"/>
      <c r="L236" s="9"/>
      <c r="M236" s="9"/>
      <c r="N236" s="9"/>
      <c r="O236" s="40"/>
      <c r="P236" s="9"/>
      <c r="Q236" s="9"/>
      <c r="R236" s="9"/>
      <c r="S236" s="9"/>
      <c r="T236" s="9"/>
      <c r="U236" s="9"/>
      <c r="V236" s="9"/>
      <c r="W236" s="9"/>
      <c r="X236" s="9"/>
      <c r="Y236" s="9"/>
      <c r="Z236" s="10" t="str">
        <f aca="false">IF(A236="","",SG_Criteria!$B$6&amp;SG_Criteria!$B$7&amp;"\"&amp;A236&amp;"\")</f>
        <v/>
      </c>
      <c r="AA236" s="10" t="str">
        <f aca="false">IF(A236="","",A236&amp;"_CAD.dwg")</f>
        <v/>
      </c>
      <c r="AB236" s="10" t="str">
        <f aca="false">IF(A236="","",A236&amp;"_DWG.pdf")</f>
        <v/>
      </c>
      <c r="AC236" s="10" t="str">
        <f aca="false">IF(A236="","",IF(Y236="Y",A236&amp;"_STAAD.std","n/a"))</f>
        <v/>
      </c>
      <c r="AD236" s="10" t="str">
        <f aca="false">IF(A236="","",A236&amp;"_CALC.xlsx")</f>
        <v/>
      </c>
      <c r="AE236" s="10" t="str">
        <f aca="false">IF(A236="","",A236&amp;"_CALC.pdf")</f>
        <v/>
      </c>
      <c r="AF236" s="9"/>
      <c r="AG236" s="9"/>
      <c r="AH236" s="41"/>
      <c r="AI236" s="41"/>
      <c r="AJ236" s="41"/>
      <c r="AK236" s="41"/>
      <c r="AL236" s="41"/>
      <c r="AM236" s="37" t="str">
        <f aca="false">IF(OR(C236="",F236="",G236="",C236="Sump",C236="Drop Inlet Chamber",C236="Silt Trap",C236="Pipe Culvert",C236="Subsoil Drain"),"",ROUND(MAX(1,N(H236))*(1/SG_Criteria!$B$26)*((F236/1000)*(G236/1000*(1-SG_Criteria!$B$25)))*(((F236/1000)*(G236/1000*(1-SG_Criteria!$B$25)))/((F236/1000)+2*(G236/1000*(1-SG_Criteria!$B$25))))^(2/3)*(1/Design_Selector!$B$11)^0.5,3))</f>
        <v/>
      </c>
      <c r="AN236" s="11" t="str">
        <f aca="false">IF(AM236="","",ROUND(AM236/(MAX(1,N(H236))*F236/1000*(G236/1000*(1-SG_Criteria!$B$25))),2))</f>
        <v/>
      </c>
      <c r="AO236" s="38" t="str">
        <f aca="false">IF(C236="","",IF(LEN(IF(AND(OR(D236="Roadside drain",D236="Entrance culvert"),OR(F236&lt;SG_Criteria!$B$15,G236&lt;SG_Criteria!$B$16)),"FAIL: below PUB min "&amp;SG_Criteria!$B$15&amp;"x"&amp;SG_Criteria!$B$16&amp;" for roadside drain. ","")&amp;IF(AND(D236="Common drain",F236&lt;SG_Criteria!$B$17),"FAIL: common drain W &lt; "&amp;SG_Criteria!$B$17&amp;" mm. ","")&amp;IF(AND(N236&lt;&gt;"",IFERROR(VALUE(MID(N236,2,2)),0)&lt;SG_Criteria!$B$19),"FAIL: grade below C"&amp;SG_Criteria!$B$19&amp;". ","")&amp;IF(AND(O236&lt;&gt;"",O236&lt;SG_Criteria!$B$20),"FAIL: cover &lt; "&amp;SG_Criteria!$B$20&amp;" mm. ","")&amp;IF(AND(E236="Open",G236&gt;SG_Criteria!$B$18),"NOTE: safety railing required (D &gt; "&amp;SG_Criteria!$B$18&amp;" mm). ","")&amp;IF(AND(D236="Entrance culvert",G236&lt;600),"NOTE: check hinged grating rule for culverts &lt; 600 deep (PUB Add. 3). ",""))=0,"OK",IF(AND(OR(D236="Roadside drain",D236="Entrance culvert"),OR(F236&lt;SG_Criteria!$B$15,G236&lt;SG_Criteria!$B$16)),"FAIL: below PUB min "&amp;SG_Criteria!$B$15&amp;"x"&amp;SG_Criteria!$B$16&amp;" for roadside drain. ","")&amp;IF(AND(D236="Common drain",F236&lt;SG_Criteria!$B$17),"FAIL: common drain W &lt; "&amp;SG_Criteria!$B$17&amp;" mm. ","")&amp;IF(AND(N236&lt;&gt;"",IFERROR(VALUE(MID(N236,2,2)),0)&lt;SG_Criteria!$B$19),"FAIL: grade below C"&amp;SG_Criteria!$B$19&amp;". ","")&amp;IF(AND(O236&lt;&gt;"",O236&lt;SG_Criteria!$B$20),"FAIL: cover &lt; "&amp;SG_Criteria!$B$20&amp;" mm. ","")&amp;IF(AND(E236="Open",G236&gt;SG_Criteria!$B$18),"NOTE: safety railing required (D &gt; "&amp;SG_Criteria!$B$18&amp;" mm). ","")&amp;IF(AND(D236="Entrance culvert",G236&lt;600),"NOTE: check hinged grating rule for culverts &lt; 600 deep (PUB Add. 3). ","")))</f>
        <v/>
      </c>
      <c r="AP236" s="9"/>
      <c r="AQ236" s="9"/>
      <c r="AR236" s="9"/>
      <c r="AS236" s="9"/>
      <c r="AT236" s="9"/>
      <c r="AU236" s="31"/>
      <c r="AV236" s="10" t="str">
        <f aca="false">IF(C236="","",IF(AND(V236="Approved",ISERROR(SEARCH("FAIL",AO236))),"Y","N"))</f>
        <v/>
      </c>
      <c r="AW236" s="10" t="str">
        <f aca="false">IF(C236="","",C236&amp;"|"&amp;F236&amp;"|"&amp;G236&amp;"|"&amp;L236&amp;"|"&amp;AV236)</f>
        <v/>
      </c>
    </row>
    <row r="237" customFormat="false" ht="15" hidden="false" customHeight="false" outlineLevel="0" collapsed="false">
      <c r="A237" s="10" t="str">
        <f aca="false">IF(C237="","","DRN-"&amp;IFERROR(VLOOKUP(C237,Lists!$A$4:$B$27,2,0),"??")&amp;"-"&amp;TEXT(F237,"0000")&amp;"x"&amp;TEXT(G237,"0000")&amp;IF(N(H237)&gt;1,"-"&amp;H237&amp;"C","")&amp;"-"&amp;IFERROR(VLOOKUP(L237,Lists!$J$4:$K$19,2,0),"??")&amp;"-"&amp;U237)</f>
        <v/>
      </c>
      <c r="B237" s="10" t="str">
        <f aca="false">IF(C237="","",C237&amp;" "&amp;F237&amp;"W x "&amp;G237&amp;"D"&amp;IF(N(H237)&gt;1," ("&amp;H237&amp;" cells)","")&amp;", "&amp;D237&amp;", "&amp;L237&amp;", "&amp;E237)</f>
        <v/>
      </c>
      <c r="C237" s="9"/>
      <c r="D237" s="9"/>
      <c r="E237" s="9"/>
      <c r="F237" s="40"/>
      <c r="G237" s="40"/>
      <c r="H237" s="40"/>
      <c r="I237" s="40"/>
      <c r="J237" s="40"/>
      <c r="K237" s="40"/>
      <c r="L237" s="9"/>
      <c r="M237" s="9"/>
      <c r="N237" s="9"/>
      <c r="O237" s="40"/>
      <c r="P237" s="9"/>
      <c r="Q237" s="9"/>
      <c r="R237" s="9"/>
      <c r="S237" s="9"/>
      <c r="T237" s="9"/>
      <c r="U237" s="9"/>
      <c r="V237" s="9"/>
      <c r="W237" s="9"/>
      <c r="X237" s="9"/>
      <c r="Y237" s="9"/>
      <c r="Z237" s="10" t="str">
        <f aca="false">IF(A237="","",SG_Criteria!$B$6&amp;SG_Criteria!$B$7&amp;"\"&amp;A237&amp;"\")</f>
        <v/>
      </c>
      <c r="AA237" s="10" t="str">
        <f aca="false">IF(A237="","",A237&amp;"_CAD.dwg")</f>
        <v/>
      </c>
      <c r="AB237" s="10" t="str">
        <f aca="false">IF(A237="","",A237&amp;"_DWG.pdf")</f>
        <v/>
      </c>
      <c r="AC237" s="10" t="str">
        <f aca="false">IF(A237="","",IF(Y237="Y",A237&amp;"_STAAD.std","n/a"))</f>
        <v/>
      </c>
      <c r="AD237" s="10" t="str">
        <f aca="false">IF(A237="","",A237&amp;"_CALC.xlsx")</f>
        <v/>
      </c>
      <c r="AE237" s="10" t="str">
        <f aca="false">IF(A237="","",A237&amp;"_CALC.pdf")</f>
        <v/>
      </c>
      <c r="AF237" s="9"/>
      <c r="AG237" s="9"/>
      <c r="AH237" s="41"/>
      <c r="AI237" s="41"/>
      <c r="AJ237" s="41"/>
      <c r="AK237" s="41"/>
      <c r="AL237" s="41"/>
      <c r="AM237" s="37" t="str">
        <f aca="false">IF(OR(C237="",F237="",G237="",C237="Sump",C237="Drop Inlet Chamber",C237="Silt Trap",C237="Pipe Culvert",C237="Subsoil Drain"),"",ROUND(MAX(1,N(H237))*(1/SG_Criteria!$B$26)*((F237/1000)*(G237/1000*(1-SG_Criteria!$B$25)))*(((F237/1000)*(G237/1000*(1-SG_Criteria!$B$25)))/((F237/1000)+2*(G237/1000*(1-SG_Criteria!$B$25))))^(2/3)*(1/Design_Selector!$B$11)^0.5,3))</f>
        <v/>
      </c>
      <c r="AN237" s="11" t="str">
        <f aca="false">IF(AM237="","",ROUND(AM237/(MAX(1,N(H237))*F237/1000*(G237/1000*(1-SG_Criteria!$B$25))),2))</f>
        <v/>
      </c>
      <c r="AO237" s="38" t="str">
        <f aca="false">IF(C237="","",IF(LEN(IF(AND(OR(D237="Roadside drain",D237="Entrance culvert"),OR(F237&lt;SG_Criteria!$B$15,G237&lt;SG_Criteria!$B$16)),"FAIL: below PUB min "&amp;SG_Criteria!$B$15&amp;"x"&amp;SG_Criteria!$B$16&amp;" for roadside drain. ","")&amp;IF(AND(D237="Common drain",F237&lt;SG_Criteria!$B$17),"FAIL: common drain W &lt; "&amp;SG_Criteria!$B$17&amp;" mm. ","")&amp;IF(AND(N237&lt;&gt;"",IFERROR(VALUE(MID(N237,2,2)),0)&lt;SG_Criteria!$B$19),"FAIL: grade below C"&amp;SG_Criteria!$B$19&amp;". ","")&amp;IF(AND(O237&lt;&gt;"",O237&lt;SG_Criteria!$B$20),"FAIL: cover &lt; "&amp;SG_Criteria!$B$20&amp;" mm. ","")&amp;IF(AND(E237="Open",G237&gt;SG_Criteria!$B$18),"NOTE: safety railing required (D &gt; "&amp;SG_Criteria!$B$18&amp;" mm). ","")&amp;IF(AND(D237="Entrance culvert",G237&lt;600),"NOTE: check hinged grating rule for culverts &lt; 600 deep (PUB Add. 3). ",""))=0,"OK",IF(AND(OR(D237="Roadside drain",D237="Entrance culvert"),OR(F237&lt;SG_Criteria!$B$15,G237&lt;SG_Criteria!$B$16)),"FAIL: below PUB min "&amp;SG_Criteria!$B$15&amp;"x"&amp;SG_Criteria!$B$16&amp;" for roadside drain. ","")&amp;IF(AND(D237="Common drain",F237&lt;SG_Criteria!$B$17),"FAIL: common drain W &lt; "&amp;SG_Criteria!$B$17&amp;" mm. ","")&amp;IF(AND(N237&lt;&gt;"",IFERROR(VALUE(MID(N237,2,2)),0)&lt;SG_Criteria!$B$19),"FAIL: grade below C"&amp;SG_Criteria!$B$19&amp;". ","")&amp;IF(AND(O237&lt;&gt;"",O237&lt;SG_Criteria!$B$20),"FAIL: cover &lt; "&amp;SG_Criteria!$B$20&amp;" mm. ","")&amp;IF(AND(E237="Open",G237&gt;SG_Criteria!$B$18),"NOTE: safety railing required (D &gt; "&amp;SG_Criteria!$B$18&amp;" mm). ","")&amp;IF(AND(D237="Entrance culvert",G237&lt;600),"NOTE: check hinged grating rule for culverts &lt; 600 deep (PUB Add. 3). ","")))</f>
        <v/>
      </c>
      <c r="AP237" s="9"/>
      <c r="AQ237" s="9"/>
      <c r="AR237" s="9"/>
      <c r="AS237" s="9"/>
      <c r="AT237" s="9"/>
      <c r="AU237" s="31"/>
      <c r="AV237" s="10" t="str">
        <f aca="false">IF(C237="","",IF(AND(V237="Approved",ISERROR(SEARCH("FAIL",AO237))),"Y","N"))</f>
        <v/>
      </c>
      <c r="AW237" s="10" t="str">
        <f aca="false">IF(C237="","",C237&amp;"|"&amp;F237&amp;"|"&amp;G237&amp;"|"&amp;L237&amp;"|"&amp;AV237)</f>
        <v/>
      </c>
    </row>
    <row r="238" customFormat="false" ht="15" hidden="false" customHeight="false" outlineLevel="0" collapsed="false">
      <c r="A238" s="10" t="str">
        <f aca="false">IF(C238="","","DRN-"&amp;IFERROR(VLOOKUP(C238,Lists!$A$4:$B$27,2,0),"??")&amp;"-"&amp;TEXT(F238,"0000")&amp;"x"&amp;TEXT(G238,"0000")&amp;IF(N(H238)&gt;1,"-"&amp;H238&amp;"C","")&amp;"-"&amp;IFERROR(VLOOKUP(L238,Lists!$J$4:$K$19,2,0),"??")&amp;"-"&amp;U238)</f>
        <v/>
      </c>
      <c r="B238" s="10" t="str">
        <f aca="false">IF(C238="","",C238&amp;" "&amp;F238&amp;"W x "&amp;G238&amp;"D"&amp;IF(N(H238)&gt;1," ("&amp;H238&amp;" cells)","")&amp;", "&amp;D238&amp;", "&amp;L238&amp;", "&amp;E238)</f>
        <v/>
      </c>
      <c r="C238" s="9"/>
      <c r="D238" s="9"/>
      <c r="E238" s="9"/>
      <c r="F238" s="40"/>
      <c r="G238" s="40"/>
      <c r="H238" s="40"/>
      <c r="I238" s="40"/>
      <c r="J238" s="40"/>
      <c r="K238" s="40"/>
      <c r="L238" s="9"/>
      <c r="M238" s="9"/>
      <c r="N238" s="9"/>
      <c r="O238" s="40"/>
      <c r="P238" s="9"/>
      <c r="Q238" s="9"/>
      <c r="R238" s="9"/>
      <c r="S238" s="9"/>
      <c r="T238" s="9"/>
      <c r="U238" s="9"/>
      <c r="V238" s="9"/>
      <c r="W238" s="9"/>
      <c r="X238" s="9"/>
      <c r="Y238" s="9"/>
      <c r="Z238" s="10" t="str">
        <f aca="false">IF(A238="","",SG_Criteria!$B$6&amp;SG_Criteria!$B$7&amp;"\"&amp;A238&amp;"\")</f>
        <v/>
      </c>
      <c r="AA238" s="10" t="str">
        <f aca="false">IF(A238="","",A238&amp;"_CAD.dwg")</f>
        <v/>
      </c>
      <c r="AB238" s="10" t="str">
        <f aca="false">IF(A238="","",A238&amp;"_DWG.pdf")</f>
        <v/>
      </c>
      <c r="AC238" s="10" t="str">
        <f aca="false">IF(A238="","",IF(Y238="Y",A238&amp;"_STAAD.std","n/a"))</f>
        <v/>
      </c>
      <c r="AD238" s="10" t="str">
        <f aca="false">IF(A238="","",A238&amp;"_CALC.xlsx")</f>
        <v/>
      </c>
      <c r="AE238" s="10" t="str">
        <f aca="false">IF(A238="","",A238&amp;"_CALC.pdf")</f>
        <v/>
      </c>
      <c r="AF238" s="9"/>
      <c r="AG238" s="9"/>
      <c r="AH238" s="41"/>
      <c r="AI238" s="41"/>
      <c r="AJ238" s="41"/>
      <c r="AK238" s="41"/>
      <c r="AL238" s="41"/>
      <c r="AM238" s="37" t="str">
        <f aca="false">IF(OR(C238="",F238="",G238="",C238="Sump",C238="Drop Inlet Chamber",C238="Silt Trap",C238="Pipe Culvert",C238="Subsoil Drain"),"",ROUND(MAX(1,N(H238))*(1/SG_Criteria!$B$26)*((F238/1000)*(G238/1000*(1-SG_Criteria!$B$25)))*(((F238/1000)*(G238/1000*(1-SG_Criteria!$B$25)))/((F238/1000)+2*(G238/1000*(1-SG_Criteria!$B$25))))^(2/3)*(1/Design_Selector!$B$11)^0.5,3))</f>
        <v/>
      </c>
      <c r="AN238" s="11" t="str">
        <f aca="false">IF(AM238="","",ROUND(AM238/(MAX(1,N(H238))*F238/1000*(G238/1000*(1-SG_Criteria!$B$25))),2))</f>
        <v/>
      </c>
      <c r="AO238" s="38" t="str">
        <f aca="false">IF(C238="","",IF(LEN(IF(AND(OR(D238="Roadside drain",D238="Entrance culvert"),OR(F238&lt;SG_Criteria!$B$15,G238&lt;SG_Criteria!$B$16)),"FAIL: below PUB min "&amp;SG_Criteria!$B$15&amp;"x"&amp;SG_Criteria!$B$16&amp;" for roadside drain. ","")&amp;IF(AND(D238="Common drain",F238&lt;SG_Criteria!$B$17),"FAIL: common drain W &lt; "&amp;SG_Criteria!$B$17&amp;" mm. ","")&amp;IF(AND(N238&lt;&gt;"",IFERROR(VALUE(MID(N238,2,2)),0)&lt;SG_Criteria!$B$19),"FAIL: grade below C"&amp;SG_Criteria!$B$19&amp;". ","")&amp;IF(AND(O238&lt;&gt;"",O238&lt;SG_Criteria!$B$20),"FAIL: cover &lt; "&amp;SG_Criteria!$B$20&amp;" mm. ","")&amp;IF(AND(E238="Open",G238&gt;SG_Criteria!$B$18),"NOTE: safety railing required (D &gt; "&amp;SG_Criteria!$B$18&amp;" mm). ","")&amp;IF(AND(D238="Entrance culvert",G238&lt;600),"NOTE: check hinged grating rule for culverts &lt; 600 deep (PUB Add. 3). ",""))=0,"OK",IF(AND(OR(D238="Roadside drain",D238="Entrance culvert"),OR(F238&lt;SG_Criteria!$B$15,G238&lt;SG_Criteria!$B$16)),"FAIL: below PUB min "&amp;SG_Criteria!$B$15&amp;"x"&amp;SG_Criteria!$B$16&amp;" for roadside drain. ","")&amp;IF(AND(D238="Common drain",F238&lt;SG_Criteria!$B$17),"FAIL: common drain W &lt; "&amp;SG_Criteria!$B$17&amp;" mm. ","")&amp;IF(AND(N238&lt;&gt;"",IFERROR(VALUE(MID(N238,2,2)),0)&lt;SG_Criteria!$B$19),"FAIL: grade below C"&amp;SG_Criteria!$B$19&amp;". ","")&amp;IF(AND(O238&lt;&gt;"",O238&lt;SG_Criteria!$B$20),"FAIL: cover &lt; "&amp;SG_Criteria!$B$20&amp;" mm. ","")&amp;IF(AND(E238="Open",G238&gt;SG_Criteria!$B$18),"NOTE: safety railing required (D &gt; "&amp;SG_Criteria!$B$18&amp;" mm). ","")&amp;IF(AND(D238="Entrance culvert",G238&lt;600),"NOTE: check hinged grating rule for culverts &lt; 600 deep (PUB Add. 3). ","")))</f>
        <v/>
      </c>
      <c r="AP238" s="9"/>
      <c r="AQ238" s="9"/>
      <c r="AR238" s="9"/>
      <c r="AS238" s="9"/>
      <c r="AT238" s="9"/>
      <c r="AU238" s="31"/>
      <c r="AV238" s="10" t="str">
        <f aca="false">IF(C238="","",IF(AND(V238="Approved",ISERROR(SEARCH("FAIL",AO238))),"Y","N"))</f>
        <v/>
      </c>
      <c r="AW238" s="10" t="str">
        <f aca="false">IF(C238="","",C238&amp;"|"&amp;F238&amp;"|"&amp;G238&amp;"|"&amp;L238&amp;"|"&amp;AV238)</f>
        <v/>
      </c>
    </row>
    <row r="239" customFormat="false" ht="15" hidden="false" customHeight="false" outlineLevel="0" collapsed="false">
      <c r="A239" s="10" t="str">
        <f aca="false">IF(C239="","","DRN-"&amp;IFERROR(VLOOKUP(C239,Lists!$A$4:$B$27,2,0),"??")&amp;"-"&amp;TEXT(F239,"0000")&amp;"x"&amp;TEXT(G239,"0000")&amp;IF(N(H239)&gt;1,"-"&amp;H239&amp;"C","")&amp;"-"&amp;IFERROR(VLOOKUP(L239,Lists!$J$4:$K$19,2,0),"??")&amp;"-"&amp;U239)</f>
        <v/>
      </c>
      <c r="B239" s="10" t="str">
        <f aca="false">IF(C239="","",C239&amp;" "&amp;F239&amp;"W x "&amp;G239&amp;"D"&amp;IF(N(H239)&gt;1," ("&amp;H239&amp;" cells)","")&amp;", "&amp;D239&amp;", "&amp;L239&amp;", "&amp;E239)</f>
        <v/>
      </c>
      <c r="C239" s="9"/>
      <c r="D239" s="9"/>
      <c r="E239" s="9"/>
      <c r="F239" s="40"/>
      <c r="G239" s="40"/>
      <c r="H239" s="40"/>
      <c r="I239" s="40"/>
      <c r="J239" s="40"/>
      <c r="K239" s="40"/>
      <c r="L239" s="9"/>
      <c r="M239" s="9"/>
      <c r="N239" s="9"/>
      <c r="O239" s="40"/>
      <c r="P239" s="9"/>
      <c r="Q239" s="9"/>
      <c r="R239" s="9"/>
      <c r="S239" s="9"/>
      <c r="T239" s="9"/>
      <c r="U239" s="9"/>
      <c r="V239" s="9"/>
      <c r="W239" s="9"/>
      <c r="X239" s="9"/>
      <c r="Y239" s="9"/>
      <c r="Z239" s="10" t="str">
        <f aca="false">IF(A239="","",SG_Criteria!$B$6&amp;SG_Criteria!$B$7&amp;"\"&amp;A239&amp;"\")</f>
        <v/>
      </c>
      <c r="AA239" s="10" t="str">
        <f aca="false">IF(A239="","",A239&amp;"_CAD.dwg")</f>
        <v/>
      </c>
      <c r="AB239" s="10" t="str">
        <f aca="false">IF(A239="","",A239&amp;"_DWG.pdf")</f>
        <v/>
      </c>
      <c r="AC239" s="10" t="str">
        <f aca="false">IF(A239="","",IF(Y239="Y",A239&amp;"_STAAD.std","n/a"))</f>
        <v/>
      </c>
      <c r="AD239" s="10" t="str">
        <f aca="false">IF(A239="","",A239&amp;"_CALC.xlsx")</f>
        <v/>
      </c>
      <c r="AE239" s="10" t="str">
        <f aca="false">IF(A239="","",A239&amp;"_CALC.pdf")</f>
        <v/>
      </c>
      <c r="AF239" s="9"/>
      <c r="AG239" s="9"/>
      <c r="AH239" s="41"/>
      <c r="AI239" s="41"/>
      <c r="AJ239" s="41"/>
      <c r="AK239" s="41"/>
      <c r="AL239" s="41"/>
      <c r="AM239" s="37" t="str">
        <f aca="false">IF(OR(C239="",F239="",G239="",C239="Sump",C239="Drop Inlet Chamber",C239="Silt Trap",C239="Pipe Culvert",C239="Subsoil Drain"),"",ROUND(MAX(1,N(H239))*(1/SG_Criteria!$B$26)*((F239/1000)*(G239/1000*(1-SG_Criteria!$B$25)))*(((F239/1000)*(G239/1000*(1-SG_Criteria!$B$25)))/((F239/1000)+2*(G239/1000*(1-SG_Criteria!$B$25))))^(2/3)*(1/Design_Selector!$B$11)^0.5,3))</f>
        <v/>
      </c>
      <c r="AN239" s="11" t="str">
        <f aca="false">IF(AM239="","",ROUND(AM239/(MAX(1,N(H239))*F239/1000*(G239/1000*(1-SG_Criteria!$B$25))),2))</f>
        <v/>
      </c>
      <c r="AO239" s="38" t="str">
        <f aca="false">IF(C239="","",IF(LEN(IF(AND(OR(D239="Roadside drain",D239="Entrance culvert"),OR(F239&lt;SG_Criteria!$B$15,G239&lt;SG_Criteria!$B$16)),"FAIL: below PUB min "&amp;SG_Criteria!$B$15&amp;"x"&amp;SG_Criteria!$B$16&amp;" for roadside drain. ","")&amp;IF(AND(D239="Common drain",F239&lt;SG_Criteria!$B$17),"FAIL: common drain W &lt; "&amp;SG_Criteria!$B$17&amp;" mm. ","")&amp;IF(AND(N239&lt;&gt;"",IFERROR(VALUE(MID(N239,2,2)),0)&lt;SG_Criteria!$B$19),"FAIL: grade below C"&amp;SG_Criteria!$B$19&amp;". ","")&amp;IF(AND(O239&lt;&gt;"",O239&lt;SG_Criteria!$B$20),"FAIL: cover &lt; "&amp;SG_Criteria!$B$20&amp;" mm. ","")&amp;IF(AND(E239="Open",G239&gt;SG_Criteria!$B$18),"NOTE: safety railing required (D &gt; "&amp;SG_Criteria!$B$18&amp;" mm). ","")&amp;IF(AND(D239="Entrance culvert",G239&lt;600),"NOTE: check hinged grating rule for culverts &lt; 600 deep (PUB Add. 3). ",""))=0,"OK",IF(AND(OR(D239="Roadside drain",D239="Entrance culvert"),OR(F239&lt;SG_Criteria!$B$15,G239&lt;SG_Criteria!$B$16)),"FAIL: below PUB min "&amp;SG_Criteria!$B$15&amp;"x"&amp;SG_Criteria!$B$16&amp;" for roadside drain. ","")&amp;IF(AND(D239="Common drain",F239&lt;SG_Criteria!$B$17),"FAIL: common drain W &lt; "&amp;SG_Criteria!$B$17&amp;" mm. ","")&amp;IF(AND(N239&lt;&gt;"",IFERROR(VALUE(MID(N239,2,2)),0)&lt;SG_Criteria!$B$19),"FAIL: grade below C"&amp;SG_Criteria!$B$19&amp;". ","")&amp;IF(AND(O239&lt;&gt;"",O239&lt;SG_Criteria!$B$20),"FAIL: cover &lt; "&amp;SG_Criteria!$B$20&amp;" mm. ","")&amp;IF(AND(E239="Open",G239&gt;SG_Criteria!$B$18),"NOTE: safety railing required (D &gt; "&amp;SG_Criteria!$B$18&amp;" mm). ","")&amp;IF(AND(D239="Entrance culvert",G239&lt;600),"NOTE: check hinged grating rule for culverts &lt; 600 deep (PUB Add. 3). ","")))</f>
        <v/>
      </c>
      <c r="AP239" s="9"/>
      <c r="AQ239" s="9"/>
      <c r="AR239" s="9"/>
      <c r="AS239" s="9"/>
      <c r="AT239" s="9"/>
      <c r="AU239" s="31"/>
      <c r="AV239" s="10" t="str">
        <f aca="false">IF(C239="","",IF(AND(V239="Approved",ISERROR(SEARCH("FAIL",AO239))),"Y","N"))</f>
        <v/>
      </c>
      <c r="AW239" s="10" t="str">
        <f aca="false">IF(C239="","",C239&amp;"|"&amp;F239&amp;"|"&amp;G239&amp;"|"&amp;L239&amp;"|"&amp;AV239)</f>
        <v/>
      </c>
    </row>
    <row r="240" customFormat="false" ht="15" hidden="false" customHeight="false" outlineLevel="0" collapsed="false">
      <c r="A240" s="10" t="str">
        <f aca="false">IF(C240="","","DRN-"&amp;IFERROR(VLOOKUP(C240,Lists!$A$4:$B$27,2,0),"??")&amp;"-"&amp;TEXT(F240,"0000")&amp;"x"&amp;TEXT(G240,"0000")&amp;IF(N(H240)&gt;1,"-"&amp;H240&amp;"C","")&amp;"-"&amp;IFERROR(VLOOKUP(L240,Lists!$J$4:$K$19,2,0),"??")&amp;"-"&amp;U240)</f>
        <v/>
      </c>
      <c r="B240" s="10" t="str">
        <f aca="false">IF(C240="","",C240&amp;" "&amp;F240&amp;"W x "&amp;G240&amp;"D"&amp;IF(N(H240)&gt;1," ("&amp;H240&amp;" cells)","")&amp;", "&amp;D240&amp;", "&amp;L240&amp;", "&amp;E240)</f>
        <v/>
      </c>
      <c r="C240" s="9"/>
      <c r="D240" s="9"/>
      <c r="E240" s="9"/>
      <c r="F240" s="40"/>
      <c r="G240" s="40"/>
      <c r="H240" s="40"/>
      <c r="I240" s="40"/>
      <c r="J240" s="40"/>
      <c r="K240" s="40"/>
      <c r="L240" s="9"/>
      <c r="M240" s="9"/>
      <c r="N240" s="9"/>
      <c r="O240" s="40"/>
      <c r="P240" s="9"/>
      <c r="Q240" s="9"/>
      <c r="R240" s="9"/>
      <c r="S240" s="9"/>
      <c r="T240" s="9"/>
      <c r="U240" s="9"/>
      <c r="V240" s="9"/>
      <c r="W240" s="9"/>
      <c r="X240" s="9"/>
      <c r="Y240" s="9"/>
      <c r="Z240" s="10" t="str">
        <f aca="false">IF(A240="","",SG_Criteria!$B$6&amp;SG_Criteria!$B$7&amp;"\"&amp;A240&amp;"\")</f>
        <v/>
      </c>
      <c r="AA240" s="10" t="str">
        <f aca="false">IF(A240="","",A240&amp;"_CAD.dwg")</f>
        <v/>
      </c>
      <c r="AB240" s="10" t="str">
        <f aca="false">IF(A240="","",A240&amp;"_DWG.pdf")</f>
        <v/>
      </c>
      <c r="AC240" s="10" t="str">
        <f aca="false">IF(A240="","",IF(Y240="Y",A240&amp;"_STAAD.std","n/a"))</f>
        <v/>
      </c>
      <c r="AD240" s="10" t="str">
        <f aca="false">IF(A240="","",A240&amp;"_CALC.xlsx")</f>
        <v/>
      </c>
      <c r="AE240" s="10" t="str">
        <f aca="false">IF(A240="","",A240&amp;"_CALC.pdf")</f>
        <v/>
      </c>
      <c r="AF240" s="9"/>
      <c r="AG240" s="9"/>
      <c r="AH240" s="41"/>
      <c r="AI240" s="41"/>
      <c r="AJ240" s="41"/>
      <c r="AK240" s="41"/>
      <c r="AL240" s="41"/>
      <c r="AM240" s="37" t="str">
        <f aca="false">IF(OR(C240="",F240="",G240="",C240="Sump",C240="Drop Inlet Chamber",C240="Silt Trap",C240="Pipe Culvert",C240="Subsoil Drain"),"",ROUND(MAX(1,N(H240))*(1/SG_Criteria!$B$26)*((F240/1000)*(G240/1000*(1-SG_Criteria!$B$25)))*(((F240/1000)*(G240/1000*(1-SG_Criteria!$B$25)))/((F240/1000)+2*(G240/1000*(1-SG_Criteria!$B$25))))^(2/3)*(1/Design_Selector!$B$11)^0.5,3))</f>
        <v/>
      </c>
      <c r="AN240" s="11" t="str">
        <f aca="false">IF(AM240="","",ROUND(AM240/(MAX(1,N(H240))*F240/1000*(G240/1000*(1-SG_Criteria!$B$25))),2))</f>
        <v/>
      </c>
      <c r="AO240" s="38" t="str">
        <f aca="false">IF(C240="","",IF(LEN(IF(AND(OR(D240="Roadside drain",D240="Entrance culvert"),OR(F240&lt;SG_Criteria!$B$15,G240&lt;SG_Criteria!$B$16)),"FAIL: below PUB min "&amp;SG_Criteria!$B$15&amp;"x"&amp;SG_Criteria!$B$16&amp;" for roadside drain. ","")&amp;IF(AND(D240="Common drain",F240&lt;SG_Criteria!$B$17),"FAIL: common drain W &lt; "&amp;SG_Criteria!$B$17&amp;" mm. ","")&amp;IF(AND(N240&lt;&gt;"",IFERROR(VALUE(MID(N240,2,2)),0)&lt;SG_Criteria!$B$19),"FAIL: grade below C"&amp;SG_Criteria!$B$19&amp;". ","")&amp;IF(AND(O240&lt;&gt;"",O240&lt;SG_Criteria!$B$20),"FAIL: cover &lt; "&amp;SG_Criteria!$B$20&amp;" mm. ","")&amp;IF(AND(E240="Open",G240&gt;SG_Criteria!$B$18),"NOTE: safety railing required (D &gt; "&amp;SG_Criteria!$B$18&amp;" mm). ","")&amp;IF(AND(D240="Entrance culvert",G240&lt;600),"NOTE: check hinged grating rule for culverts &lt; 600 deep (PUB Add. 3). ",""))=0,"OK",IF(AND(OR(D240="Roadside drain",D240="Entrance culvert"),OR(F240&lt;SG_Criteria!$B$15,G240&lt;SG_Criteria!$B$16)),"FAIL: below PUB min "&amp;SG_Criteria!$B$15&amp;"x"&amp;SG_Criteria!$B$16&amp;" for roadside drain. ","")&amp;IF(AND(D240="Common drain",F240&lt;SG_Criteria!$B$17),"FAIL: common drain W &lt; "&amp;SG_Criteria!$B$17&amp;" mm. ","")&amp;IF(AND(N240&lt;&gt;"",IFERROR(VALUE(MID(N240,2,2)),0)&lt;SG_Criteria!$B$19),"FAIL: grade below C"&amp;SG_Criteria!$B$19&amp;". ","")&amp;IF(AND(O240&lt;&gt;"",O240&lt;SG_Criteria!$B$20),"FAIL: cover &lt; "&amp;SG_Criteria!$B$20&amp;" mm. ","")&amp;IF(AND(E240="Open",G240&gt;SG_Criteria!$B$18),"NOTE: safety railing required (D &gt; "&amp;SG_Criteria!$B$18&amp;" mm). ","")&amp;IF(AND(D240="Entrance culvert",G240&lt;600),"NOTE: check hinged grating rule for culverts &lt; 600 deep (PUB Add. 3). ","")))</f>
        <v/>
      </c>
      <c r="AP240" s="9"/>
      <c r="AQ240" s="9"/>
      <c r="AR240" s="9"/>
      <c r="AS240" s="9"/>
      <c r="AT240" s="9"/>
      <c r="AU240" s="31"/>
      <c r="AV240" s="10" t="str">
        <f aca="false">IF(C240="","",IF(AND(V240="Approved",ISERROR(SEARCH("FAIL",AO240))),"Y","N"))</f>
        <v/>
      </c>
      <c r="AW240" s="10" t="str">
        <f aca="false">IF(C240="","",C240&amp;"|"&amp;F240&amp;"|"&amp;G240&amp;"|"&amp;L240&amp;"|"&amp;AV240)</f>
        <v/>
      </c>
    </row>
    <row r="241" customFormat="false" ht="15" hidden="false" customHeight="false" outlineLevel="0" collapsed="false">
      <c r="A241" s="10" t="str">
        <f aca="false">IF(C241="","","DRN-"&amp;IFERROR(VLOOKUP(C241,Lists!$A$4:$B$27,2,0),"??")&amp;"-"&amp;TEXT(F241,"0000")&amp;"x"&amp;TEXT(G241,"0000")&amp;IF(N(H241)&gt;1,"-"&amp;H241&amp;"C","")&amp;"-"&amp;IFERROR(VLOOKUP(L241,Lists!$J$4:$K$19,2,0),"??")&amp;"-"&amp;U241)</f>
        <v/>
      </c>
      <c r="B241" s="10" t="str">
        <f aca="false">IF(C241="","",C241&amp;" "&amp;F241&amp;"W x "&amp;G241&amp;"D"&amp;IF(N(H241)&gt;1," ("&amp;H241&amp;" cells)","")&amp;", "&amp;D241&amp;", "&amp;L241&amp;", "&amp;E241)</f>
        <v/>
      </c>
      <c r="C241" s="9"/>
      <c r="D241" s="9"/>
      <c r="E241" s="9"/>
      <c r="F241" s="40"/>
      <c r="G241" s="40"/>
      <c r="H241" s="40"/>
      <c r="I241" s="40"/>
      <c r="J241" s="40"/>
      <c r="K241" s="40"/>
      <c r="L241" s="9"/>
      <c r="M241" s="9"/>
      <c r="N241" s="9"/>
      <c r="O241" s="40"/>
      <c r="P241" s="9"/>
      <c r="Q241" s="9"/>
      <c r="R241" s="9"/>
      <c r="S241" s="9"/>
      <c r="T241" s="9"/>
      <c r="U241" s="9"/>
      <c r="V241" s="9"/>
      <c r="W241" s="9"/>
      <c r="X241" s="9"/>
      <c r="Y241" s="9"/>
      <c r="Z241" s="10" t="str">
        <f aca="false">IF(A241="","",SG_Criteria!$B$6&amp;SG_Criteria!$B$7&amp;"\"&amp;A241&amp;"\")</f>
        <v/>
      </c>
      <c r="AA241" s="10" t="str">
        <f aca="false">IF(A241="","",A241&amp;"_CAD.dwg")</f>
        <v/>
      </c>
      <c r="AB241" s="10" t="str">
        <f aca="false">IF(A241="","",A241&amp;"_DWG.pdf")</f>
        <v/>
      </c>
      <c r="AC241" s="10" t="str">
        <f aca="false">IF(A241="","",IF(Y241="Y",A241&amp;"_STAAD.std","n/a"))</f>
        <v/>
      </c>
      <c r="AD241" s="10" t="str">
        <f aca="false">IF(A241="","",A241&amp;"_CALC.xlsx")</f>
        <v/>
      </c>
      <c r="AE241" s="10" t="str">
        <f aca="false">IF(A241="","",A241&amp;"_CALC.pdf")</f>
        <v/>
      </c>
      <c r="AF241" s="9"/>
      <c r="AG241" s="9"/>
      <c r="AH241" s="41"/>
      <c r="AI241" s="41"/>
      <c r="AJ241" s="41"/>
      <c r="AK241" s="41"/>
      <c r="AL241" s="41"/>
      <c r="AM241" s="37" t="str">
        <f aca="false">IF(OR(C241="",F241="",G241="",C241="Sump",C241="Drop Inlet Chamber",C241="Silt Trap",C241="Pipe Culvert",C241="Subsoil Drain"),"",ROUND(MAX(1,N(H241))*(1/SG_Criteria!$B$26)*((F241/1000)*(G241/1000*(1-SG_Criteria!$B$25)))*(((F241/1000)*(G241/1000*(1-SG_Criteria!$B$25)))/((F241/1000)+2*(G241/1000*(1-SG_Criteria!$B$25))))^(2/3)*(1/Design_Selector!$B$11)^0.5,3))</f>
        <v/>
      </c>
      <c r="AN241" s="11" t="str">
        <f aca="false">IF(AM241="","",ROUND(AM241/(MAX(1,N(H241))*F241/1000*(G241/1000*(1-SG_Criteria!$B$25))),2))</f>
        <v/>
      </c>
      <c r="AO241" s="38" t="str">
        <f aca="false">IF(C241="","",IF(LEN(IF(AND(OR(D241="Roadside drain",D241="Entrance culvert"),OR(F241&lt;SG_Criteria!$B$15,G241&lt;SG_Criteria!$B$16)),"FAIL: below PUB min "&amp;SG_Criteria!$B$15&amp;"x"&amp;SG_Criteria!$B$16&amp;" for roadside drain. ","")&amp;IF(AND(D241="Common drain",F241&lt;SG_Criteria!$B$17),"FAIL: common drain W &lt; "&amp;SG_Criteria!$B$17&amp;" mm. ","")&amp;IF(AND(N241&lt;&gt;"",IFERROR(VALUE(MID(N241,2,2)),0)&lt;SG_Criteria!$B$19),"FAIL: grade below C"&amp;SG_Criteria!$B$19&amp;". ","")&amp;IF(AND(O241&lt;&gt;"",O241&lt;SG_Criteria!$B$20),"FAIL: cover &lt; "&amp;SG_Criteria!$B$20&amp;" mm. ","")&amp;IF(AND(E241="Open",G241&gt;SG_Criteria!$B$18),"NOTE: safety railing required (D &gt; "&amp;SG_Criteria!$B$18&amp;" mm). ","")&amp;IF(AND(D241="Entrance culvert",G241&lt;600),"NOTE: check hinged grating rule for culverts &lt; 600 deep (PUB Add. 3). ",""))=0,"OK",IF(AND(OR(D241="Roadside drain",D241="Entrance culvert"),OR(F241&lt;SG_Criteria!$B$15,G241&lt;SG_Criteria!$B$16)),"FAIL: below PUB min "&amp;SG_Criteria!$B$15&amp;"x"&amp;SG_Criteria!$B$16&amp;" for roadside drain. ","")&amp;IF(AND(D241="Common drain",F241&lt;SG_Criteria!$B$17),"FAIL: common drain W &lt; "&amp;SG_Criteria!$B$17&amp;" mm. ","")&amp;IF(AND(N241&lt;&gt;"",IFERROR(VALUE(MID(N241,2,2)),0)&lt;SG_Criteria!$B$19),"FAIL: grade below C"&amp;SG_Criteria!$B$19&amp;". ","")&amp;IF(AND(O241&lt;&gt;"",O241&lt;SG_Criteria!$B$20),"FAIL: cover &lt; "&amp;SG_Criteria!$B$20&amp;" mm. ","")&amp;IF(AND(E241="Open",G241&gt;SG_Criteria!$B$18),"NOTE: safety railing required (D &gt; "&amp;SG_Criteria!$B$18&amp;" mm). ","")&amp;IF(AND(D241="Entrance culvert",G241&lt;600),"NOTE: check hinged grating rule for culverts &lt; 600 deep (PUB Add. 3). ","")))</f>
        <v/>
      </c>
      <c r="AP241" s="9"/>
      <c r="AQ241" s="9"/>
      <c r="AR241" s="9"/>
      <c r="AS241" s="9"/>
      <c r="AT241" s="9"/>
      <c r="AU241" s="31"/>
      <c r="AV241" s="10" t="str">
        <f aca="false">IF(C241="","",IF(AND(V241="Approved",ISERROR(SEARCH("FAIL",AO241))),"Y","N"))</f>
        <v/>
      </c>
      <c r="AW241" s="10" t="str">
        <f aca="false">IF(C241="","",C241&amp;"|"&amp;F241&amp;"|"&amp;G241&amp;"|"&amp;L241&amp;"|"&amp;AV241)</f>
        <v/>
      </c>
    </row>
    <row r="242" customFormat="false" ht="15" hidden="false" customHeight="false" outlineLevel="0" collapsed="false">
      <c r="A242" s="10" t="str">
        <f aca="false">IF(C242="","","DRN-"&amp;IFERROR(VLOOKUP(C242,Lists!$A$4:$B$27,2,0),"??")&amp;"-"&amp;TEXT(F242,"0000")&amp;"x"&amp;TEXT(G242,"0000")&amp;IF(N(H242)&gt;1,"-"&amp;H242&amp;"C","")&amp;"-"&amp;IFERROR(VLOOKUP(L242,Lists!$J$4:$K$19,2,0),"??")&amp;"-"&amp;U242)</f>
        <v/>
      </c>
      <c r="B242" s="10" t="str">
        <f aca="false">IF(C242="","",C242&amp;" "&amp;F242&amp;"W x "&amp;G242&amp;"D"&amp;IF(N(H242)&gt;1," ("&amp;H242&amp;" cells)","")&amp;", "&amp;D242&amp;", "&amp;L242&amp;", "&amp;E242)</f>
        <v/>
      </c>
      <c r="C242" s="9"/>
      <c r="D242" s="9"/>
      <c r="E242" s="9"/>
      <c r="F242" s="40"/>
      <c r="G242" s="40"/>
      <c r="H242" s="40"/>
      <c r="I242" s="40"/>
      <c r="J242" s="40"/>
      <c r="K242" s="40"/>
      <c r="L242" s="9"/>
      <c r="M242" s="9"/>
      <c r="N242" s="9"/>
      <c r="O242" s="40"/>
      <c r="P242" s="9"/>
      <c r="Q242" s="9"/>
      <c r="R242" s="9"/>
      <c r="S242" s="9"/>
      <c r="T242" s="9"/>
      <c r="U242" s="9"/>
      <c r="V242" s="9"/>
      <c r="W242" s="9"/>
      <c r="X242" s="9"/>
      <c r="Y242" s="9"/>
      <c r="Z242" s="10" t="str">
        <f aca="false">IF(A242="","",SG_Criteria!$B$6&amp;SG_Criteria!$B$7&amp;"\"&amp;A242&amp;"\")</f>
        <v/>
      </c>
      <c r="AA242" s="10" t="str">
        <f aca="false">IF(A242="","",A242&amp;"_CAD.dwg")</f>
        <v/>
      </c>
      <c r="AB242" s="10" t="str">
        <f aca="false">IF(A242="","",A242&amp;"_DWG.pdf")</f>
        <v/>
      </c>
      <c r="AC242" s="10" t="str">
        <f aca="false">IF(A242="","",IF(Y242="Y",A242&amp;"_STAAD.std","n/a"))</f>
        <v/>
      </c>
      <c r="AD242" s="10" t="str">
        <f aca="false">IF(A242="","",A242&amp;"_CALC.xlsx")</f>
        <v/>
      </c>
      <c r="AE242" s="10" t="str">
        <f aca="false">IF(A242="","",A242&amp;"_CALC.pdf")</f>
        <v/>
      </c>
      <c r="AF242" s="9"/>
      <c r="AG242" s="9"/>
      <c r="AH242" s="41"/>
      <c r="AI242" s="41"/>
      <c r="AJ242" s="41"/>
      <c r="AK242" s="41"/>
      <c r="AL242" s="41"/>
      <c r="AM242" s="37" t="str">
        <f aca="false">IF(OR(C242="",F242="",G242="",C242="Sump",C242="Drop Inlet Chamber",C242="Silt Trap",C242="Pipe Culvert",C242="Subsoil Drain"),"",ROUND(MAX(1,N(H242))*(1/SG_Criteria!$B$26)*((F242/1000)*(G242/1000*(1-SG_Criteria!$B$25)))*(((F242/1000)*(G242/1000*(1-SG_Criteria!$B$25)))/((F242/1000)+2*(G242/1000*(1-SG_Criteria!$B$25))))^(2/3)*(1/Design_Selector!$B$11)^0.5,3))</f>
        <v/>
      </c>
      <c r="AN242" s="11" t="str">
        <f aca="false">IF(AM242="","",ROUND(AM242/(MAX(1,N(H242))*F242/1000*(G242/1000*(1-SG_Criteria!$B$25))),2))</f>
        <v/>
      </c>
      <c r="AO242" s="38" t="str">
        <f aca="false">IF(C242="","",IF(LEN(IF(AND(OR(D242="Roadside drain",D242="Entrance culvert"),OR(F242&lt;SG_Criteria!$B$15,G242&lt;SG_Criteria!$B$16)),"FAIL: below PUB min "&amp;SG_Criteria!$B$15&amp;"x"&amp;SG_Criteria!$B$16&amp;" for roadside drain. ","")&amp;IF(AND(D242="Common drain",F242&lt;SG_Criteria!$B$17),"FAIL: common drain W &lt; "&amp;SG_Criteria!$B$17&amp;" mm. ","")&amp;IF(AND(N242&lt;&gt;"",IFERROR(VALUE(MID(N242,2,2)),0)&lt;SG_Criteria!$B$19),"FAIL: grade below C"&amp;SG_Criteria!$B$19&amp;". ","")&amp;IF(AND(O242&lt;&gt;"",O242&lt;SG_Criteria!$B$20),"FAIL: cover &lt; "&amp;SG_Criteria!$B$20&amp;" mm. ","")&amp;IF(AND(E242="Open",G242&gt;SG_Criteria!$B$18),"NOTE: safety railing required (D &gt; "&amp;SG_Criteria!$B$18&amp;" mm). ","")&amp;IF(AND(D242="Entrance culvert",G242&lt;600),"NOTE: check hinged grating rule for culverts &lt; 600 deep (PUB Add. 3). ",""))=0,"OK",IF(AND(OR(D242="Roadside drain",D242="Entrance culvert"),OR(F242&lt;SG_Criteria!$B$15,G242&lt;SG_Criteria!$B$16)),"FAIL: below PUB min "&amp;SG_Criteria!$B$15&amp;"x"&amp;SG_Criteria!$B$16&amp;" for roadside drain. ","")&amp;IF(AND(D242="Common drain",F242&lt;SG_Criteria!$B$17),"FAIL: common drain W &lt; "&amp;SG_Criteria!$B$17&amp;" mm. ","")&amp;IF(AND(N242&lt;&gt;"",IFERROR(VALUE(MID(N242,2,2)),0)&lt;SG_Criteria!$B$19),"FAIL: grade below C"&amp;SG_Criteria!$B$19&amp;". ","")&amp;IF(AND(O242&lt;&gt;"",O242&lt;SG_Criteria!$B$20),"FAIL: cover &lt; "&amp;SG_Criteria!$B$20&amp;" mm. ","")&amp;IF(AND(E242="Open",G242&gt;SG_Criteria!$B$18),"NOTE: safety railing required (D &gt; "&amp;SG_Criteria!$B$18&amp;" mm). ","")&amp;IF(AND(D242="Entrance culvert",G242&lt;600),"NOTE: check hinged grating rule for culverts &lt; 600 deep (PUB Add. 3). ","")))</f>
        <v/>
      </c>
      <c r="AP242" s="9"/>
      <c r="AQ242" s="9"/>
      <c r="AR242" s="9"/>
      <c r="AS242" s="9"/>
      <c r="AT242" s="9"/>
      <c r="AU242" s="31"/>
      <c r="AV242" s="10" t="str">
        <f aca="false">IF(C242="","",IF(AND(V242="Approved",ISERROR(SEARCH("FAIL",AO242))),"Y","N"))</f>
        <v/>
      </c>
      <c r="AW242" s="10" t="str">
        <f aca="false">IF(C242="","",C242&amp;"|"&amp;F242&amp;"|"&amp;G242&amp;"|"&amp;L242&amp;"|"&amp;AV242)</f>
        <v/>
      </c>
    </row>
    <row r="243" customFormat="false" ht="15" hidden="false" customHeight="false" outlineLevel="0" collapsed="false">
      <c r="A243" s="10" t="str">
        <f aca="false">IF(C243="","","DRN-"&amp;IFERROR(VLOOKUP(C243,Lists!$A$4:$B$27,2,0),"??")&amp;"-"&amp;TEXT(F243,"0000")&amp;"x"&amp;TEXT(G243,"0000")&amp;IF(N(H243)&gt;1,"-"&amp;H243&amp;"C","")&amp;"-"&amp;IFERROR(VLOOKUP(L243,Lists!$J$4:$K$19,2,0),"??")&amp;"-"&amp;U243)</f>
        <v/>
      </c>
      <c r="B243" s="10" t="str">
        <f aca="false">IF(C243="","",C243&amp;" "&amp;F243&amp;"W x "&amp;G243&amp;"D"&amp;IF(N(H243)&gt;1," ("&amp;H243&amp;" cells)","")&amp;", "&amp;D243&amp;", "&amp;L243&amp;", "&amp;E243)</f>
        <v/>
      </c>
      <c r="C243" s="9"/>
      <c r="D243" s="9"/>
      <c r="E243" s="9"/>
      <c r="F243" s="40"/>
      <c r="G243" s="40"/>
      <c r="H243" s="40"/>
      <c r="I243" s="40"/>
      <c r="J243" s="40"/>
      <c r="K243" s="40"/>
      <c r="L243" s="9"/>
      <c r="M243" s="9"/>
      <c r="N243" s="9"/>
      <c r="O243" s="40"/>
      <c r="P243" s="9"/>
      <c r="Q243" s="9"/>
      <c r="R243" s="9"/>
      <c r="S243" s="9"/>
      <c r="T243" s="9"/>
      <c r="U243" s="9"/>
      <c r="V243" s="9"/>
      <c r="W243" s="9"/>
      <c r="X243" s="9"/>
      <c r="Y243" s="9"/>
      <c r="Z243" s="10" t="str">
        <f aca="false">IF(A243="","",SG_Criteria!$B$6&amp;SG_Criteria!$B$7&amp;"\"&amp;A243&amp;"\")</f>
        <v/>
      </c>
      <c r="AA243" s="10" t="str">
        <f aca="false">IF(A243="","",A243&amp;"_CAD.dwg")</f>
        <v/>
      </c>
      <c r="AB243" s="10" t="str">
        <f aca="false">IF(A243="","",A243&amp;"_DWG.pdf")</f>
        <v/>
      </c>
      <c r="AC243" s="10" t="str">
        <f aca="false">IF(A243="","",IF(Y243="Y",A243&amp;"_STAAD.std","n/a"))</f>
        <v/>
      </c>
      <c r="AD243" s="10" t="str">
        <f aca="false">IF(A243="","",A243&amp;"_CALC.xlsx")</f>
        <v/>
      </c>
      <c r="AE243" s="10" t="str">
        <f aca="false">IF(A243="","",A243&amp;"_CALC.pdf")</f>
        <v/>
      </c>
      <c r="AF243" s="9"/>
      <c r="AG243" s="9"/>
      <c r="AH243" s="41"/>
      <c r="AI243" s="41"/>
      <c r="AJ243" s="41"/>
      <c r="AK243" s="41"/>
      <c r="AL243" s="41"/>
      <c r="AM243" s="37" t="str">
        <f aca="false">IF(OR(C243="",F243="",G243="",C243="Sump",C243="Drop Inlet Chamber",C243="Silt Trap",C243="Pipe Culvert",C243="Subsoil Drain"),"",ROUND(MAX(1,N(H243))*(1/SG_Criteria!$B$26)*((F243/1000)*(G243/1000*(1-SG_Criteria!$B$25)))*(((F243/1000)*(G243/1000*(1-SG_Criteria!$B$25)))/((F243/1000)+2*(G243/1000*(1-SG_Criteria!$B$25))))^(2/3)*(1/Design_Selector!$B$11)^0.5,3))</f>
        <v/>
      </c>
      <c r="AN243" s="11" t="str">
        <f aca="false">IF(AM243="","",ROUND(AM243/(MAX(1,N(H243))*F243/1000*(G243/1000*(1-SG_Criteria!$B$25))),2))</f>
        <v/>
      </c>
      <c r="AO243" s="38" t="str">
        <f aca="false">IF(C243="","",IF(LEN(IF(AND(OR(D243="Roadside drain",D243="Entrance culvert"),OR(F243&lt;SG_Criteria!$B$15,G243&lt;SG_Criteria!$B$16)),"FAIL: below PUB min "&amp;SG_Criteria!$B$15&amp;"x"&amp;SG_Criteria!$B$16&amp;" for roadside drain. ","")&amp;IF(AND(D243="Common drain",F243&lt;SG_Criteria!$B$17),"FAIL: common drain W &lt; "&amp;SG_Criteria!$B$17&amp;" mm. ","")&amp;IF(AND(N243&lt;&gt;"",IFERROR(VALUE(MID(N243,2,2)),0)&lt;SG_Criteria!$B$19),"FAIL: grade below C"&amp;SG_Criteria!$B$19&amp;". ","")&amp;IF(AND(O243&lt;&gt;"",O243&lt;SG_Criteria!$B$20),"FAIL: cover &lt; "&amp;SG_Criteria!$B$20&amp;" mm. ","")&amp;IF(AND(E243="Open",G243&gt;SG_Criteria!$B$18),"NOTE: safety railing required (D &gt; "&amp;SG_Criteria!$B$18&amp;" mm). ","")&amp;IF(AND(D243="Entrance culvert",G243&lt;600),"NOTE: check hinged grating rule for culverts &lt; 600 deep (PUB Add. 3). ",""))=0,"OK",IF(AND(OR(D243="Roadside drain",D243="Entrance culvert"),OR(F243&lt;SG_Criteria!$B$15,G243&lt;SG_Criteria!$B$16)),"FAIL: below PUB min "&amp;SG_Criteria!$B$15&amp;"x"&amp;SG_Criteria!$B$16&amp;" for roadside drain. ","")&amp;IF(AND(D243="Common drain",F243&lt;SG_Criteria!$B$17),"FAIL: common drain W &lt; "&amp;SG_Criteria!$B$17&amp;" mm. ","")&amp;IF(AND(N243&lt;&gt;"",IFERROR(VALUE(MID(N243,2,2)),0)&lt;SG_Criteria!$B$19),"FAIL: grade below C"&amp;SG_Criteria!$B$19&amp;". ","")&amp;IF(AND(O243&lt;&gt;"",O243&lt;SG_Criteria!$B$20),"FAIL: cover &lt; "&amp;SG_Criteria!$B$20&amp;" mm. ","")&amp;IF(AND(E243="Open",G243&gt;SG_Criteria!$B$18),"NOTE: safety railing required (D &gt; "&amp;SG_Criteria!$B$18&amp;" mm). ","")&amp;IF(AND(D243="Entrance culvert",G243&lt;600),"NOTE: check hinged grating rule for culverts &lt; 600 deep (PUB Add. 3). ","")))</f>
        <v/>
      </c>
      <c r="AP243" s="9"/>
      <c r="AQ243" s="9"/>
      <c r="AR243" s="9"/>
      <c r="AS243" s="9"/>
      <c r="AT243" s="9"/>
      <c r="AU243" s="31"/>
      <c r="AV243" s="10" t="str">
        <f aca="false">IF(C243="","",IF(AND(V243="Approved",ISERROR(SEARCH("FAIL",AO243))),"Y","N"))</f>
        <v/>
      </c>
      <c r="AW243" s="10" t="str">
        <f aca="false">IF(C243="","",C243&amp;"|"&amp;F243&amp;"|"&amp;G243&amp;"|"&amp;L243&amp;"|"&amp;AV243)</f>
        <v/>
      </c>
    </row>
    <row r="244" customFormat="false" ht="15" hidden="false" customHeight="false" outlineLevel="0" collapsed="false">
      <c r="A244" s="10" t="str">
        <f aca="false">IF(C244="","","DRN-"&amp;IFERROR(VLOOKUP(C244,Lists!$A$4:$B$27,2,0),"??")&amp;"-"&amp;TEXT(F244,"0000")&amp;"x"&amp;TEXT(G244,"0000")&amp;IF(N(H244)&gt;1,"-"&amp;H244&amp;"C","")&amp;"-"&amp;IFERROR(VLOOKUP(L244,Lists!$J$4:$K$19,2,0),"??")&amp;"-"&amp;U244)</f>
        <v/>
      </c>
      <c r="B244" s="10" t="str">
        <f aca="false">IF(C244="","",C244&amp;" "&amp;F244&amp;"W x "&amp;G244&amp;"D"&amp;IF(N(H244)&gt;1," ("&amp;H244&amp;" cells)","")&amp;", "&amp;D244&amp;", "&amp;L244&amp;", "&amp;E244)</f>
        <v/>
      </c>
      <c r="C244" s="9"/>
      <c r="D244" s="9"/>
      <c r="E244" s="9"/>
      <c r="F244" s="40"/>
      <c r="G244" s="40"/>
      <c r="H244" s="40"/>
      <c r="I244" s="40"/>
      <c r="J244" s="40"/>
      <c r="K244" s="40"/>
      <c r="L244" s="9"/>
      <c r="M244" s="9"/>
      <c r="N244" s="9"/>
      <c r="O244" s="40"/>
      <c r="P244" s="9"/>
      <c r="Q244" s="9"/>
      <c r="R244" s="9"/>
      <c r="S244" s="9"/>
      <c r="T244" s="9"/>
      <c r="U244" s="9"/>
      <c r="V244" s="9"/>
      <c r="W244" s="9"/>
      <c r="X244" s="9"/>
      <c r="Y244" s="9"/>
      <c r="Z244" s="10" t="str">
        <f aca="false">IF(A244="","",SG_Criteria!$B$6&amp;SG_Criteria!$B$7&amp;"\"&amp;A244&amp;"\")</f>
        <v/>
      </c>
      <c r="AA244" s="10" t="str">
        <f aca="false">IF(A244="","",A244&amp;"_CAD.dwg")</f>
        <v/>
      </c>
      <c r="AB244" s="10" t="str">
        <f aca="false">IF(A244="","",A244&amp;"_DWG.pdf")</f>
        <v/>
      </c>
      <c r="AC244" s="10" t="str">
        <f aca="false">IF(A244="","",IF(Y244="Y",A244&amp;"_STAAD.std","n/a"))</f>
        <v/>
      </c>
      <c r="AD244" s="10" t="str">
        <f aca="false">IF(A244="","",A244&amp;"_CALC.xlsx")</f>
        <v/>
      </c>
      <c r="AE244" s="10" t="str">
        <f aca="false">IF(A244="","",A244&amp;"_CALC.pdf")</f>
        <v/>
      </c>
      <c r="AF244" s="9"/>
      <c r="AG244" s="9"/>
      <c r="AH244" s="41"/>
      <c r="AI244" s="41"/>
      <c r="AJ244" s="41"/>
      <c r="AK244" s="41"/>
      <c r="AL244" s="41"/>
      <c r="AM244" s="37" t="str">
        <f aca="false">IF(OR(C244="",F244="",G244="",C244="Sump",C244="Drop Inlet Chamber",C244="Silt Trap",C244="Pipe Culvert",C244="Subsoil Drain"),"",ROUND(MAX(1,N(H244))*(1/SG_Criteria!$B$26)*((F244/1000)*(G244/1000*(1-SG_Criteria!$B$25)))*(((F244/1000)*(G244/1000*(1-SG_Criteria!$B$25)))/((F244/1000)+2*(G244/1000*(1-SG_Criteria!$B$25))))^(2/3)*(1/Design_Selector!$B$11)^0.5,3))</f>
        <v/>
      </c>
      <c r="AN244" s="11" t="str">
        <f aca="false">IF(AM244="","",ROUND(AM244/(MAX(1,N(H244))*F244/1000*(G244/1000*(1-SG_Criteria!$B$25))),2))</f>
        <v/>
      </c>
      <c r="AO244" s="38" t="str">
        <f aca="false">IF(C244="","",IF(LEN(IF(AND(OR(D244="Roadside drain",D244="Entrance culvert"),OR(F244&lt;SG_Criteria!$B$15,G244&lt;SG_Criteria!$B$16)),"FAIL: below PUB min "&amp;SG_Criteria!$B$15&amp;"x"&amp;SG_Criteria!$B$16&amp;" for roadside drain. ","")&amp;IF(AND(D244="Common drain",F244&lt;SG_Criteria!$B$17),"FAIL: common drain W &lt; "&amp;SG_Criteria!$B$17&amp;" mm. ","")&amp;IF(AND(N244&lt;&gt;"",IFERROR(VALUE(MID(N244,2,2)),0)&lt;SG_Criteria!$B$19),"FAIL: grade below C"&amp;SG_Criteria!$B$19&amp;". ","")&amp;IF(AND(O244&lt;&gt;"",O244&lt;SG_Criteria!$B$20),"FAIL: cover &lt; "&amp;SG_Criteria!$B$20&amp;" mm. ","")&amp;IF(AND(E244="Open",G244&gt;SG_Criteria!$B$18),"NOTE: safety railing required (D &gt; "&amp;SG_Criteria!$B$18&amp;" mm). ","")&amp;IF(AND(D244="Entrance culvert",G244&lt;600),"NOTE: check hinged grating rule for culverts &lt; 600 deep (PUB Add. 3). ",""))=0,"OK",IF(AND(OR(D244="Roadside drain",D244="Entrance culvert"),OR(F244&lt;SG_Criteria!$B$15,G244&lt;SG_Criteria!$B$16)),"FAIL: below PUB min "&amp;SG_Criteria!$B$15&amp;"x"&amp;SG_Criteria!$B$16&amp;" for roadside drain. ","")&amp;IF(AND(D244="Common drain",F244&lt;SG_Criteria!$B$17),"FAIL: common drain W &lt; "&amp;SG_Criteria!$B$17&amp;" mm. ","")&amp;IF(AND(N244&lt;&gt;"",IFERROR(VALUE(MID(N244,2,2)),0)&lt;SG_Criteria!$B$19),"FAIL: grade below C"&amp;SG_Criteria!$B$19&amp;". ","")&amp;IF(AND(O244&lt;&gt;"",O244&lt;SG_Criteria!$B$20),"FAIL: cover &lt; "&amp;SG_Criteria!$B$20&amp;" mm. ","")&amp;IF(AND(E244="Open",G244&gt;SG_Criteria!$B$18),"NOTE: safety railing required (D &gt; "&amp;SG_Criteria!$B$18&amp;" mm). ","")&amp;IF(AND(D244="Entrance culvert",G244&lt;600),"NOTE: check hinged grating rule for culverts &lt; 600 deep (PUB Add. 3). ","")))</f>
        <v/>
      </c>
      <c r="AP244" s="9"/>
      <c r="AQ244" s="9"/>
      <c r="AR244" s="9"/>
      <c r="AS244" s="9"/>
      <c r="AT244" s="9"/>
      <c r="AU244" s="31"/>
      <c r="AV244" s="10" t="str">
        <f aca="false">IF(C244="","",IF(AND(V244="Approved",ISERROR(SEARCH("FAIL",AO244))),"Y","N"))</f>
        <v/>
      </c>
      <c r="AW244" s="10" t="str">
        <f aca="false">IF(C244="","",C244&amp;"|"&amp;F244&amp;"|"&amp;G244&amp;"|"&amp;L244&amp;"|"&amp;AV244)</f>
        <v/>
      </c>
    </row>
    <row r="245" customFormat="false" ht="15" hidden="false" customHeight="false" outlineLevel="0" collapsed="false">
      <c r="A245" s="10" t="str">
        <f aca="false">IF(C245="","","DRN-"&amp;IFERROR(VLOOKUP(C245,Lists!$A$4:$B$27,2,0),"??")&amp;"-"&amp;TEXT(F245,"0000")&amp;"x"&amp;TEXT(G245,"0000")&amp;IF(N(H245)&gt;1,"-"&amp;H245&amp;"C","")&amp;"-"&amp;IFERROR(VLOOKUP(L245,Lists!$J$4:$K$19,2,0),"??")&amp;"-"&amp;U245)</f>
        <v/>
      </c>
      <c r="B245" s="10" t="str">
        <f aca="false">IF(C245="","",C245&amp;" "&amp;F245&amp;"W x "&amp;G245&amp;"D"&amp;IF(N(H245)&gt;1," ("&amp;H245&amp;" cells)","")&amp;", "&amp;D245&amp;", "&amp;L245&amp;", "&amp;E245)</f>
        <v/>
      </c>
      <c r="C245" s="9"/>
      <c r="D245" s="9"/>
      <c r="E245" s="9"/>
      <c r="F245" s="40"/>
      <c r="G245" s="40"/>
      <c r="H245" s="40"/>
      <c r="I245" s="40"/>
      <c r="J245" s="40"/>
      <c r="K245" s="40"/>
      <c r="L245" s="9"/>
      <c r="M245" s="9"/>
      <c r="N245" s="9"/>
      <c r="O245" s="40"/>
      <c r="P245" s="9"/>
      <c r="Q245" s="9"/>
      <c r="R245" s="9"/>
      <c r="S245" s="9"/>
      <c r="T245" s="9"/>
      <c r="U245" s="9"/>
      <c r="V245" s="9"/>
      <c r="W245" s="9"/>
      <c r="X245" s="9"/>
      <c r="Y245" s="9"/>
      <c r="Z245" s="10" t="str">
        <f aca="false">IF(A245="","",SG_Criteria!$B$6&amp;SG_Criteria!$B$7&amp;"\"&amp;A245&amp;"\")</f>
        <v/>
      </c>
      <c r="AA245" s="10" t="str">
        <f aca="false">IF(A245="","",A245&amp;"_CAD.dwg")</f>
        <v/>
      </c>
      <c r="AB245" s="10" t="str">
        <f aca="false">IF(A245="","",A245&amp;"_DWG.pdf")</f>
        <v/>
      </c>
      <c r="AC245" s="10" t="str">
        <f aca="false">IF(A245="","",IF(Y245="Y",A245&amp;"_STAAD.std","n/a"))</f>
        <v/>
      </c>
      <c r="AD245" s="10" t="str">
        <f aca="false">IF(A245="","",A245&amp;"_CALC.xlsx")</f>
        <v/>
      </c>
      <c r="AE245" s="10" t="str">
        <f aca="false">IF(A245="","",A245&amp;"_CALC.pdf")</f>
        <v/>
      </c>
      <c r="AF245" s="9"/>
      <c r="AG245" s="9"/>
      <c r="AH245" s="41"/>
      <c r="AI245" s="41"/>
      <c r="AJ245" s="41"/>
      <c r="AK245" s="41"/>
      <c r="AL245" s="41"/>
      <c r="AM245" s="37" t="str">
        <f aca="false">IF(OR(C245="",F245="",G245="",C245="Sump",C245="Drop Inlet Chamber",C245="Silt Trap",C245="Pipe Culvert",C245="Subsoil Drain"),"",ROUND(MAX(1,N(H245))*(1/SG_Criteria!$B$26)*((F245/1000)*(G245/1000*(1-SG_Criteria!$B$25)))*(((F245/1000)*(G245/1000*(1-SG_Criteria!$B$25)))/((F245/1000)+2*(G245/1000*(1-SG_Criteria!$B$25))))^(2/3)*(1/Design_Selector!$B$11)^0.5,3))</f>
        <v/>
      </c>
      <c r="AN245" s="11" t="str">
        <f aca="false">IF(AM245="","",ROUND(AM245/(MAX(1,N(H245))*F245/1000*(G245/1000*(1-SG_Criteria!$B$25))),2))</f>
        <v/>
      </c>
      <c r="AO245" s="38" t="str">
        <f aca="false">IF(C245="","",IF(LEN(IF(AND(OR(D245="Roadside drain",D245="Entrance culvert"),OR(F245&lt;SG_Criteria!$B$15,G245&lt;SG_Criteria!$B$16)),"FAIL: below PUB min "&amp;SG_Criteria!$B$15&amp;"x"&amp;SG_Criteria!$B$16&amp;" for roadside drain. ","")&amp;IF(AND(D245="Common drain",F245&lt;SG_Criteria!$B$17),"FAIL: common drain W &lt; "&amp;SG_Criteria!$B$17&amp;" mm. ","")&amp;IF(AND(N245&lt;&gt;"",IFERROR(VALUE(MID(N245,2,2)),0)&lt;SG_Criteria!$B$19),"FAIL: grade below C"&amp;SG_Criteria!$B$19&amp;". ","")&amp;IF(AND(O245&lt;&gt;"",O245&lt;SG_Criteria!$B$20),"FAIL: cover &lt; "&amp;SG_Criteria!$B$20&amp;" mm. ","")&amp;IF(AND(E245="Open",G245&gt;SG_Criteria!$B$18),"NOTE: safety railing required (D &gt; "&amp;SG_Criteria!$B$18&amp;" mm). ","")&amp;IF(AND(D245="Entrance culvert",G245&lt;600),"NOTE: check hinged grating rule for culverts &lt; 600 deep (PUB Add. 3). ",""))=0,"OK",IF(AND(OR(D245="Roadside drain",D245="Entrance culvert"),OR(F245&lt;SG_Criteria!$B$15,G245&lt;SG_Criteria!$B$16)),"FAIL: below PUB min "&amp;SG_Criteria!$B$15&amp;"x"&amp;SG_Criteria!$B$16&amp;" for roadside drain. ","")&amp;IF(AND(D245="Common drain",F245&lt;SG_Criteria!$B$17),"FAIL: common drain W &lt; "&amp;SG_Criteria!$B$17&amp;" mm. ","")&amp;IF(AND(N245&lt;&gt;"",IFERROR(VALUE(MID(N245,2,2)),0)&lt;SG_Criteria!$B$19),"FAIL: grade below C"&amp;SG_Criteria!$B$19&amp;". ","")&amp;IF(AND(O245&lt;&gt;"",O245&lt;SG_Criteria!$B$20),"FAIL: cover &lt; "&amp;SG_Criteria!$B$20&amp;" mm. ","")&amp;IF(AND(E245="Open",G245&gt;SG_Criteria!$B$18),"NOTE: safety railing required (D &gt; "&amp;SG_Criteria!$B$18&amp;" mm). ","")&amp;IF(AND(D245="Entrance culvert",G245&lt;600),"NOTE: check hinged grating rule for culverts &lt; 600 deep (PUB Add. 3). ","")))</f>
        <v/>
      </c>
      <c r="AP245" s="9"/>
      <c r="AQ245" s="9"/>
      <c r="AR245" s="9"/>
      <c r="AS245" s="9"/>
      <c r="AT245" s="9"/>
      <c r="AU245" s="31"/>
      <c r="AV245" s="10" t="str">
        <f aca="false">IF(C245="","",IF(AND(V245="Approved",ISERROR(SEARCH("FAIL",AO245))),"Y","N"))</f>
        <v/>
      </c>
      <c r="AW245" s="10" t="str">
        <f aca="false">IF(C245="","",C245&amp;"|"&amp;F245&amp;"|"&amp;G245&amp;"|"&amp;L245&amp;"|"&amp;AV245)</f>
        <v/>
      </c>
    </row>
    <row r="246" customFormat="false" ht="15" hidden="false" customHeight="false" outlineLevel="0" collapsed="false">
      <c r="A246" s="10" t="str">
        <f aca="false">IF(C246="","","DRN-"&amp;IFERROR(VLOOKUP(C246,Lists!$A$4:$B$27,2,0),"??")&amp;"-"&amp;TEXT(F246,"0000")&amp;"x"&amp;TEXT(G246,"0000")&amp;IF(N(H246)&gt;1,"-"&amp;H246&amp;"C","")&amp;"-"&amp;IFERROR(VLOOKUP(L246,Lists!$J$4:$K$19,2,0),"??")&amp;"-"&amp;U246)</f>
        <v/>
      </c>
      <c r="B246" s="10" t="str">
        <f aca="false">IF(C246="","",C246&amp;" "&amp;F246&amp;"W x "&amp;G246&amp;"D"&amp;IF(N(H246)&gt;1," ("&amp;H246&amp;" cells)","")&amp;", "&amp;D246&amp;", "&amp;L246&amp;", "&amp;E246)</f>
        <v/>
      </c>
      <c r="C246" s="9"/>
      <c r="D246" s="9"/>
      <c r="E246" s="9"/>
      <c r="F246" s="40"/>
      <c r="G246" s="40"/>
      <c r="H246" s="40"/>
      <c r="I246" s="40"/>
      <c r="J246" s="40"/>
      <c r="K246" s="40"/>
      <c r="L246" s="9"/>
      <c r="M246" s="9"/>
      <c r="N246" s="9"/>
      <c r="O246" s="40"/>
      <c r="P246" s="9"/>
      <c r="Q246" s="9"/>
      <c r="R246" s="9"/>
      <c r="S246" s="9"/>
      <c r="T246" s="9"/>
      <c r="U246" s="9"/>
      <c r="V246" s="9"/>
      <c r="W246" s="9"/>
      <c r="X246" s="9"/>
      <c r="Y246" s="9"/>
      <c r="Z246" s="10" t="str">
        <f aca="false">IF(A246="","",SG_Criteria!$B$6&amp;SG_Criteria!$B$7&amp;"\"&amp;A246&amp;"\")</f>
        <v/>
      </c>
      <c r="AA246" s="10" t="str">
        <f aca="false">IF(A246="","",A246&amp;"_CAD.dwg")</f>
        <v/>
      </c>
      <c r="AB246" s="10" t="str">
        <f aca="false">IF(A246="","",A246&amp;"_DWG.pdf")</f>
        <v/>
      </c>
      <c r="AC246" s="10" t="str">
        <f aca="false">IF(A246="","",IF(Y246="Y",A246&amp;"_STAAD.std","n/a"))</f>
        <v/>
      </c>
      <c r="AD246" s="10" t="str">
        <f aca="false">IF(A246="","",A246&amp;"_CALC.xlsx")</f>
        <v/>
      </c>
      <c r="AE246" s="10" t="str">
        <f aca="false">IF(A246="","",A246&amp;"_CALC.pdf")</f>
        <v/>
      </c>
      <c r="AF246" s="9"/>
      <c r="AG246" s="9"/>
      <c r="AH246" s="41"/>
      <c r="AI246" s="41"/>
      <c r="AJ246" s="41"/>
      <c r="AK246" s="41"/>
      <c r="AL246" s="41"/>
      <c r="AM246" s="37" t="str">
        <f aca="false">IF(OR(C246="",F246="",G246="",C246="Sump",C246="Drop Inlet Chamber",C246="Silt Trap",C246="Pipe Culvert",C246="Subsoil Drain"),"",ROUND(MAX(1,N(H246))*(1/SG_Criteria!$B$26)*((F246/1000)*(G246/1000*(1-SG_Criteria!$B$25)))*(((F246/1000)*(G246/1000*(1-SG_Criteria!$B$25)))/((F246/1000)+2*(G246/1000*(1-SG_Criteria!$B$25))))^(2/3)*(1/Design_Selector!$B$11)^0.5,3))</f>
        <v/>
      </c>
      <c r="AN246" s="11" t="str">
        <f aca="false">IF(AM246="","",ROUND(AM246/(MAX(1,N(H246))*F246/1000*(G246/1000*(1-SG_Criteria!$B$25))),2))</f>
        <v/>
      </c>
      <c r="AO246" s="38" t="str">
        <f aca="false">IF(C246="","",IF(LEN(IF(AND(OR(D246="Roadside drain",D246="Entrance culvert"),OR(F246&lt;SG_Criteria!$B$15,G246&lt;SG_Criteria!$B$16)),"FAIL: below PUB min "&amp;SG_Criteria!$B$15&amp;"x"&amp;SG_Criteria!$B$16&amp;" for roadside drain. ","")&amp;IF(AND(D246="Common drain",F246&lt;SG_Criteria!$B$17),"FAIL: common drain W &lt; "&amp;SG_Criteria!$B$17&amp;" mm. ","")&amp;IF(AND(N246&lt;&gt;"",IFERROR(VALUE(MID(N246,2,2)),0)&lt;SG_Criteria!$B$19),"FAIL: grade below C"&amp;SG_Criteria!$B$19&amp;". ","")&amp;IF(AND(O246&lt;&gt;"",O246&lt;SG_Criteria!$B$20),"FAIL: cover &lt; "&amp;SG_Criteria!$B$20&amp;" mm. ","")&amp;IF(AND(E246="Open",G246&gt;SG_Criteria!$B$18),"NOTE: safety railing required (D &gt; "&amp;SG_Criteria!$B$18&amp;" mm). ","")&amp;IF(AND(D246="Entrance culvert",G246&lt;600),"NOTE: check hinged grating rule for culverts &lt; 600 deep (PUB Add. 3). ",""))=0,"OK",IF(AND(OR(D246="Roadside drain",D246="Entrance culvert"),OR(F246&lt;SG_Criteria!$B$15,G246&lt;SG_Criteria!$B$16)),"FAIL: below PUB min "&amp;SG_Criteria!$B$15&amp;"x"&amp;SG_Criteria!$B$16&amp;" for roadside drain. ","")&amp;IF(AND(D246="Common drain",F246&lt;SG_Criteria!$B$17),"FAIL: common drain W &lt; "&amp;SG_Criteria!$B$17&amp;" mm. ","")&amp;IF(AND(N246&lt;&gt;"",IFERROR(VALUE(MID(N246,2,2)),0)&lt;SG_Criteria!$B$19),"FAIL: grade below C"&amp;SG_Criteria!$B$19&amp;". ","")&amp;IF(AND(O246&lt;&gt;"",O246&lt;SG_Criteria!$B$20),"FAIL: cover &lt; "&amp;SG_Criteria!$B$20&amp;" mm. ","")&amp;IF(AND(E246="Open",G246&gt;SG_Criteria!$B$18),"NOTE: safety railing required (D &gt; "&amp;SG_Criteria!$B$18&amp;" mm). ","")&amp;IF(AND(D246="Entrance culvert",G246&lt;600),"NOTE: check hinged grating rule for culverts &lt; 600 deep (PUB Add. 3). ","")))</f>
        <v/>
      </c>
      <c r="AP246" s="9"/>
      <c r="AQ246" s="9"/>
      <c r="AR246" s="9"/>
      <c r="AS246" s="9"/>
      <c r="AT246" s="9"/>
      <c r="AU246" s="31"/>
      <c r="AV246" s="10" t="str">
        <f aca="false">IF(C246="","",IF(AND(V246="Approved",ISERROR(SEARCH("FAIL",AO246))),"Y","N"))</f>
        <v/>
      </c>
      <c r="AW246" s="10" t="str">
        <f aca="false">IF(C246="","",C246&amp;"|"&amp;F246&amp;"|"&amp;G246&amp;"|"&amp;L246&amp;"|"&amp;AV246)</f>
        <v/>
      </c>
    </row>
    <row r="247" customFormat="false" ht="15" hidden="false" customHeight="false" outlineLevel="0" collapsed="false">
      <c r="A247" s="10" t="str">
        <f aca="false">IF(C247="","","DRN-"&amp;IFERROR(VLOOKUP(C247,Lists!$A$4:$B$27,2,0),"??")&amp;"-"&amp;TEXT(F247,"0000")&amp;"x"&amp;TEXT(G247,"0000")&amp;IF(N(H247)&gt;1,"-"&amp;H247&amp;"C","")&amp;"-"&amp;IFERROR(VLOOKUP(L247,Lists!$J$4:$K$19,2,0),"??")&amp;"-"&amp;U247)</f>
        <v/>
      </c>
      <c r="B247" s="10" t="str">
        <f aca="false">IF(C247="","",C247&amp;" "&amp;F247&amp;"W x "&amp;G247&amp;"D"&amp;IF(N(H247)&gt;1," ("&amp;H247&amp;" cells)","")&amp;", "&amp;D247&amp;", "&amp;L247&amp;", "&amp;E247)</f>
        <v/>
      </c>
      <c r="C247" s="9"/>
      <c r="D247" s="9"/>
      <c r="E247" s="9"/>
      <c r="F247" s="40"/>
      <c r="G247" s="40"/>
      <c r="H247" s="40"/>
      <c r="I247" s="40"/>
      <c r="J247" s="40"/>
      <c r="K247" s="40"/>
      <c r="L247" s="9"/>
      <c r="M247" s="9"/>
      <c r="N247" s="9"/>
      <c r="O247" s="40"/>
      <c r="P247" s="9"/>
      <c r="Q247" s="9"/>
      <c r="R247" s="9"/>
      <c r="S247" s="9"/>
      <c r="T247" s="9"/>
      <c r="U247" s="9"/>
      <c r="V247" s="9"/>
      <c r="W247" s="9"/>
      <c r="X247" s="9"/>
      <c r="Y247" s="9"/>
      <c r="Z247" s="10" t="str">
        <f aca="false">IF(A247="","",SG_Criteria!$B$6&amp;SG_Criteria!$B$7&amp;"\"&amp;A247&amp;"\")</f>
        <v/>
      </c>
      <c r="AA247" s="10" t="str">
        <f aca="false">IF(A247="","",A247&amp;"_CAD.dwg")</f>
        <v/>
      </c>
      <c r="AB247" s="10" t="str">
        <f aca="false">IF(A247="","",A247&amp;"_DWG.pdf")</f>
        <v/>
      </c>
      <c r="AC247" s="10" t="str">
        <f aca="false">IF(A247="","",IF(Y247="Y",A247&amp;"_STAAD.std","n/a"))</f>
        <v/>
      </c>
      <c r="AD247" s="10" t="str">
        <f aca="false">IF(A247="","",A247&amp;"_CALC.xlsx")</f>
        <v/>
      </c>
      <c r="AE247" s="10" t="str">
        <f aca="false">IF(A247="","",A247&amp;"_CALC.pdf")</f>
        <v/>
      </c>
      <c r="AF247" s="9"/>
      <c r="AG247" s="9"/>
      <c r="AH247" s="41"/>
      <c r="AI247" s="41"/>
      <c r="AJ247" s="41"/>
      <c r="AK247" s="41"/>
      <c r="AL247" s="41"/>
      <c r="AM247" s="37" t="str">
        <f aca="false">IF(OR(C247="",F247="",G247="",C247="Sump",C247="Drop Inlet Chamber",C247="Silt Trap",C247="Pipe Culvert",C247="Subsoil Drain"),"",ROUND(MAX(1,N(H247))*(1/SG_Criteria!$B$26)*((F247/1000)*(G247/1000*(1-SG_Criteria!$B$25)))*(((F247/1000)*(G247/1000*(1-SG_Criteria!$B$25)))/((F247/1000)+2*(G247/1000*(1-SG_Criteria!$B$25))))^(2/3)*(1/Design_Selector!$B$11)^0.5,3))</f>
        <v/>
      </c>
      <c r="AN247" s="11" t="str">
        <f aca="false">IF(AM247="","",ROUND(AM247/(MAX(1,N(H247))*F247/1000*(G247/1000*(1-SG_Criteria!$B$25))),2))</f>
        <v/>
      </c>
      <c r="AO247" s="38" t="str">
        <f aca="false">IF(C247="","",IF(LEN(IF(AND(OR(D247="Roadside drain",D247="Entrance culvert"),OR(F247&lt;SG_Criteria!$B$15,G247&lt;SG_Criteria!$B$16)),"FAIL: below PUB min "&amp;SG_Criteria!$B$15&amp;"x"&amp;SG_Criteria!$B$16&amp;" for roadside drain. ","")&amp;IF(AND(D247="Common drain",F247&lt;SG_Criteria!$B$17),"FAIL: common drain W &lt; "&amp;SG_Criteria!$B$17&amp;" mm. ","")&amp;IF(AND(N247&lt;&gt;"",IFERROR(VALUE(MID(N247,2,2)),0)&lt;SG_Criteria!$B$19),"FAIL: grade below C"&amp;SG_Criteria!$B$19&amp;". ","")&amp;IF(AND(O247&lt;&gt;"",O247&lt;SG_Criteria!$B$20),"FAIL: cover &lt; "&amp;SG_Criteria!$B$20&amp;" mm. ","")&amp;IF(AND(E247="Open",G247&gt;SG_Criteria!$B$18),"NOTE: safety railing required (D &gt; "&amp;SG_Criteria!$B$18&amp;" mm). ","")&amp;IF(AND(D247="Entrance culvert",G247&lt;600),"NOTE: check hinged grating rule for culverts &lt; 600 deep (PUB Add. 3). ",""))=0,"OK",IF(AND(OR(D247="Roadside drain",D247="Entrance culvert"),OR(F247&lt;SG_Criteria!$B$15,G247&lt;SG_Criteria!$B$16)),"FAIL: below PUB min "&amp;SG_Criteria!$B$15&amp;"x"&amp;SG_Criteria!$B$16&amp;" for roadside drain. ","")&amp;IF(AND(D247="Common drain",F247&lt;SG_Criteria!$B$17),"FAIL: common drain W &lt; "&amp;SG_Criteria!$B$17&amp;" mm. ","")&amp;IF(AND(N247&lt;&gt;"",IFERROR(VALUE(MID(N247,2,2)),0)&lt;SG_Criteria!$B$19),"FAIL: grade below C"&amp;SG_Criteria!$B$19&amp;". ","")&amp;IF(AND(O247&lt;&gt;"",O247&lt;SG_Criteria!$B$20),"FAIL: cover &lt; "&amp;SG_Criteria!$B$20&amp;" mm. ","")&amp;IF(AND(E247="Open",G247&gt;SG_Criteria!$B$18),"NOTE: safety railing required (D &gt; "&amp;SG_Criteria!$B$18&amp;" mm). ","")&amp;IF(AND(D247="Entrance culvert",G247&lt;600),"NOTE: check hinged grating rule for culverts &lt; 600 deep (PUB Add. 3). ","")))</f>
        <v/>
      </c>
      <c r="AP247" s="9"/>
      <c r="AQ247" s="9"/>
      <c r="AR247" s="9"/>
      <c r="AS247" s="9"/>
      <c r="AT247" s="9"/>
      <c r="AU247" s="31"/>
      <c r="AV247" s="10" t="str">
        <f aca="false">IF(C247="","",IF(AND(V247="Approved",ISERROR(SEARCH("FAIL",AO247))),"Y","N"))</f>
        <v/>
      </c>
      <c r="AW247" s="10" t="str">
        <f aca="false">IF(C247="","",C247&amp;"|"&amp;F247&amp;"|"&amp;G247&amp;"|"&amp;L247&amp;"|"&amp;AV247)</f>
        <v/>
      </c>
    </row>
    <row r="248" customFormat="false" ht="15" hidden="false" customHeight="false" outlineLevel="0" collapsed="false">
      <c r="A248" s="10" t="str">
        <f aca="false">IF(C248="","","DRN-"&amp;IFERROR(VLOOKUP(C248,Lists!$A$4:$B$27,2,0),"??")&amp;"-"&amp;TEXT(F248,"0000")&amp;"x"&amp;TEXT(G248,"0000")&amp;IF(N(H248)&gt;1,"-"&amp;H248&amp;"C","")&amp;"-"&amp;IFERROR(VLOOKUP(L248,Lists!$J$4:$K$19,2,0),"??")&amp;"-"&amp;U248)</f>
        <v/>
      </c>
      <c r="B248" s="10" t="str">
        <f aca="false">IF(C248="","",C248&amp;" "&amp;F248&amp;"W x "&amp;G248&amp;"D"&amp;IF(N(H248)&gt;1," ("&amp;H248&amp;" cells)","")&amp;", "&amp;D248&amp;", "&amp;L248&amp;", "&amp;E248)</f>
        <v/>
      </c>
      <c r="C248" s="9"/>
      <c r="D248" s="9"/>
      <c r="E248" s="9"/>
      <c r="F248" s="40"/>
      <c r="G248" s="40"/>
      <c r="H248" s="40"/>
      <c r="I248" s="40"/>
      <c r="J248" s="40"/>
      <c r="K248" s="40"/>
      <c r="L248" s="9"/>
      <c r="M248" s="9"/>
      <c r="N248" s="9"/>
      <c r="O248" s="40"/>
      <c r="P248" s="9"/>
      <c r="Q248" s="9"/>
      <c r="R248" s="9"/>
      <c r="S248" s="9"/>
      <c r="T248" s="9"/>
      <c r="U248" s="9"/>
      <c r="V248" s="9"/>
      <c r="W248" s="9"/>
      <c r="X248" s="9"/>
      <c r="Y248" s="9"/>
      <c r="Z248" s="10" t="str">
        <f aca="false">IF(A248="","",SG_Criteria!$B$6&amp;SG_Criteria!$B$7&amp;"\"&amp;A248&amp;"\")</f>
        <v/>
      </c>
      <c r="AA248" s="10" t="str">
        <f aca="false">IF(A248="","",A248&amp;"_CAD.dwg")</f>
        <v/>
      </c>
      <c r="AB248" s="10" t="str">
        <f aca="false">IF(A248="","",A248&amp;"_DWG.pdf")</f>
        <v/>
      </c>
      <c r="AC248" s="10" t="str">
        <f aca="false">IF(A248="","",IF(Y248="Y",A248&amp;"_STAAD.std","n/a"))</f>
        <v/>
      </c>
      <c r="AD248" s="10" t="str">
        <f aca="false">IF(A248="","",A248&amp;"_CALC.xlsx")</f>
        <v/>
      </c>
      <c r="AE248" s="10" t="str">
        <f aca="false">IF(A248="","",A248&amp;"_CALC.pdf")</f>
        <v/>
      </c>
      <c r="AF248" s="9"/>
      <c r="AG248" s="9"/>
      <c r="AH248" s="41"/>
      <c r="AI248" s="41"/>
      <c r="AJ248" s="41"/>
      <c r="AK248" s="41"/>
      <c r="AL248" s="41"/>
      <c r="AM248" s="37" t="str">
        <f aca="false">IF(OR(C248="",F248="",G248="",C248="Sump",C248="Drop Inlet Chamber",C248="Silt Trap",C248="Pipe Culvert",C248="Subsoil Drain"),"",ROUND(MAX(1,N(H248))*(1/SG_Criteria!$B$26)*((F248/1000)*(G248/1000*(1-SG_Criteria!$B$25)))*(((F248/1000)*(G248/1000*(1-SG_Criteria!$B$25)))/((F248/1000)+2*(G248/1000*(1-SG_Criteria!$B$25))))^(2/3)*(1/Design_Selector!$B$11)^0.5,3))</f>
        <v/>
      </c>
      <c r="AN248" s="11" t="str">
        <f aca="false">IF(AM248="","",ROUND(AM248/(MAX(1,N(H248))*F248/1000*(G248/1000*(1-SG_Criteria!$B$25))),2))</f>
        <v/>
      </c>
      <c r="AO248" s="38" t="str">
        <f aca="false">IF(C248="","",IF(LEN(IF(AND(OR(D248="Roadside drain",D248="Entrance culvert"),OR(F248&lt;SG_Criteria!$B$15,G248&lt;SG_Criteria!$B$16)),"FAIL: below PUB min "&amp;SG_Criteria!$B$15&amp;"x"&amp;SG_Criteria!$B$16&amp;" for roadside drain. ","")&amp;IF(AND(D248="Common drain",F248&lt;SG_Criteria!$B$17),"FAIL: common drain W &lt; "&amp;SG_Criteria!$B$17&amp;" mm. ","")&amp;IF(AND(N248&lt;&gt;"",IFERROR(VALUE(MID(N248,2,2)),0)&lt;SG_Criteria!$B$19),"FAIL: grade below C"&amp;SG_Criteria!$B$19&amp;". ","")&amp;IF(AND(O248&lt;&gt;"",O248&lt;SG_Criteria!$B$20),"FAIL: cover &lt; "&amp;SG_Criteria!$B$20&amp;" mm. ","")&amp;IF(AND(E248="Open",G248&gt;SG_Criteria!$B$18),"NOTE: safety railing required (D &gt; "&amp;SG_Criteria!$B$18&amp;" mm). ","")&amp;IF(AND(D248="Entrance culvert",G248&lt;600),"NOTE: check hinged grating rule for culverts &lt; 600 deep (PUB Add. 3). ",""))=0,"OK",IF(AND(OR(D248="Roadside drain",D248="Entrance culvert"),OR(F248&lt;SG_Criteria!$B$15,G248&lt;SG_Criteria!$B$16)),"FAIL: below PUB min "&amp;SG_Criteria!$B$15&amp;"x"&amp;SG_Criteria!$B$16&amp;" for roadside drain. ","")&amp;IF(AND(D248="Common drain",F248&lt;SG_Criteria!$B$17),"FAIL: common drain W &lt; "&amp;SG_Criteria!$B$17&amp;" mm. ","")&amp;IF(AND(N248&lt;&gt;"",IFERROR(VALUE(MID(N248,2,2)),0)&lt;SG_Criteria!$B$19),"FAIL: grade below C"&amp;SG_Criteria!$B$19&amp;". ","")&amp;IF(AND(O248&lt;&gt;"",O248&lt;SG_Criteria!$B$20),"FAIL: cover &lt; "&amp;SG_Criteria!$B$20&amp;" mm. ","")&amp;IF(AND(E248="Open",G248&gt;SG_Criteria!$B$18),"NOTE: safety railing required (D &gt; "&amp;SG_Criteria!$B$18&amp;" mm). ","")&amp;IF(AND(D248="Entrance culvert",G248&lt;600),"NOTE: check hinged grating rule for culverts &lt; 600 deep (PUB Add. 3). ","")))</f>
        <v/>
      </c>
      <c r="AP248" s="9"/>
      <c r="AQ248" s="9"/>
      <c r="AR248" s="9"/>
      <c r="AS248" s="9"/>
      <c r="AT248" s="9"/>
      <c r="AU248" s="31"/>
      <c r="AV248" s="10" t="str">
        <f aca="false">IF(C248="","",IF(AND(V248="Approved",ISERROR(SEARCH("FAIL",AO248))),"Y","N"))</f>
        <v/>
      </c>
      <c r="AW248" s="10" t="str">
        <f aca="false">IF(C248="","",C248&amp;"|"&amp;F248&amp;"|"&amp;G248&amp;"|"&amp;L248&amp;"|"&amp;AV248)</f>
        <v/>
      </c>
    </row>
    <row r="249" customFormat="false" ht="15" hidden="false" customHeight="false" outlineLevel="0" collapsed="false">
      <c r="A249" s="10" t="str">
        <f aca="false">IF(C249="","","DRN-"&amp;IFERROR(VLOOKUP(C249,Lists!$A$4:$B$27,2,0),"??")&amp;"-"&amp;TEXT(F249,"0000")&amp;"x"&amp;TEXT(G249,"0000")&amp;IF(N(H249)&gt;1,"-"&amp;H249&amp;"C","")&amp;"-"&amp;IFERROR(VLOOKUP(L249,Lists!$J$4:$K$19,2,0),"??")&amp;"-"&amp;U249)</f>
        <v/>
      </c>
      <c r="B249" s="10" t="str">
        <f aca="false">IF(C249="","",C249&amp;" "&amp;F249&amp;"W x "&amp;G249&amp;"D"&amp;IF(N(H249)&gt;1," ("&amp;H249&amp;" cells)","")&amp;", "&amp;D249&amp;", "&amp;L249&amp;", "&amp;E249)</f>
        <v/>
      </c>
      <c r="C249" s="9"/>
      <c r="D249" s="9"/>
      <c r="E249" s="9"/>
      <c r="F249" s="40"/>
      <c r="G249" s="40"/>
      <c r="H249" s="40"/>
      <c r="I249" s="40"/>
      <c r="J249" s="40"/>
      <c r="K249" s="40"/>
      <c r="L249" s="9"/>
      <c r="M249" s="9"/>
      <c r="N249" s="9"/>
      <c r="O249" s="40"/>
      <c r="P249" s="9"/>
      <c r="Q249" s="9"/>
      <c r="R249" s="9"/>
      <c r="S249" s="9"/>
      <c r="T249" s="9"/>
      <c r="U249" s="9"/>
      <c r="V249" s="9"/>
      <c r="W249" s="9"/>
      <c r="X249" s="9"/>
      <c r="Y249" s="9"/>
      <c r="Z249" s="10" t="str">
        <f aca="false">IF(A249="","",SG_Criteria!$B$6&amp;SG_Criteria!$B$7&amp;"\"&amp;A249&amp;"\")</f>
        <v/>
      </c>
      <c r="AA249" s="10" t="str">
        <f aca="false">IF(A249="","",A249&amp;"_CAD.dwg")</f>
        <v/>
      </c>
      <c r="AB249" s="10" t="str">
        <f aca="false">IF(A249="","",A249&amp;"_DWG.pdf")</f>
        <v/>
      </c>
      <c r="AC249" s="10" t="str">
        <f aca="false">IF(A249="","",IF(Y249="Y",A249&amp;"_STAAD.std","n/a"))</f>
        <v/>
      </c>
      <c r="AD249" s="10" t="str">
        <f aca="false">IF(A249="","",A249&amp;"_CALC.xlsx")</f>
        <v/>
      </c>
      <c r="AE249" s="10" t="str">
        <f aca="false">IF(A249="","",A249&amp;"_CALC.pdf")</f>
        <v/>
      </c>
      <c r="AF249" s="9"/>
      <c r="AG249" s="9"/>
      <c r="AH249" s="41"/>
      <c r="AI249" s="41"/>
      <c r="AJ249" s="41"/>
      <c r="AK249" s="41"/>
      <c r="AL249" s="41"/>
      <c r="AM249" s="37" t="str">
        <f aca="false">IF(OR(C249="",F249="",G249="",C249="Sump",C249="Drop Inlet Chamber",C249="Silt Trap",C249="Pipe Culvert",C249="Subsoil Drain"),"",ROUND(MAX(1,N(H249))*(1/SG_Criteria!$B$26)*((F249/1000)*(G249/1000*(1-SG_Criteria!$B$25)))*(((F249/1000)*(G249/1000*(1-SG_Criteria!$B$25)))/((F249/1000)+2*(G249/1000*(1-SG_Criteria!$B$25))))^(2/3)*(1/Design_Selector!$B$11)^0.5,3))</f>
        <v/>
      </c>
      <c r="AN249" s="11" t="str">
        <f aca="false">IF(AM249="","",ROUND(AM249/(MAX(1,N(H249))*F249/1000*(G249/1000*(1-SG_Criteria!$B$25))),2))</f>
        <v/>
      </c>
      <c r="AO249" s="38" t="str">
        <f aca="false">IF(C249="","",IF(LEN(IF(AND(OR(D249="Roadside drain",D249="Entrance culvert"),OR(F249&lt;SG_Criteria!$B$15,G249&lt;SG_Criteria!$B$16)),"FAIL: below PUB min "&amp;SG_Criteria!$B$15&amp;"x"&amp;SG_Criteria!$B$16&amp;" for roadside drain. ","")&amp;IF(AND(D249="Common drain",F249&lt;SG_Criteria!$B$17),"FAIL: common drain W &lt; "&amp;SG_Criteria!$B$17&amp;" mm. ","")&amp;IF(AND(N249&lt;&gt;"",IFERROR(VALUE(MID(N249,2,2)),0)&lt;SG_Criteria!$B$19),"FAIL: grade below C"&amp;SG_Criteria!$B$19&amp;". ","")&amp;IF(AND(O249&lt;&gt;"",O249&lt;SG_Criteria!$B$20),"FAIL: cover &lt; "&amp;SG_Criteria!$B$20&amp;" mm. ","")&amp;IF(AND(E249="Open",G249&gt;SG_Criteria!$B$18),"NOTE: safety railing required (D &gt; "&amp;SG_Criteria!$B$18&amp;" mm). ","")&amp;IF(AND(D249="Entrance culvert",G249&lt;600),"NOTE: check hinged grating rule for culverts &lt; 600 deep (PUB Add. 3). ",""))=0,"OK",IF(AND(OR(D249="Roadside drain",D249="Entrance culvert"),OR(F249&lt;SG_Criteria!$B$15,G249&lt;SG_Criteria!$B$16)),"FAIL: below PUB min "&amp;SG_Criteria!$B$15&amp;"x"&amp;SG_Criteria!$B$16&amp;" for roadside drain. ","")&amp;IF(AND(D249="Common drain",F249&lt;SG_Criteria!$B$17),"FAIL: common drain W &lt; "&amp;SG_Criteria!$B$17&amp;" mm. ","")&amp;IF(AND(N249&lt;&gt;"",IFERROR(VALUE(MID(N249,2,2)),0)&lt;SG_Criteria!$B$19),"FAIL: grade below C"&amp;SG_Criteria!$B$19&amp;". ","")&amp;IF(AND(O249&lt;&gt;"",O249&lt;SG_Criteria!$B$20),"FAIL: cover &lt; "&amp;SG_Criteria!$B$20&amp;" mm. ","")&amp;IF(AND(E249="Open",G249&gt;SG_Criteria!$B$18),"NOTE: safety railing required (D &gt; "&amp;SG_Criteria!$B$18&amp;" mm). ","")&amp;IF(AND(D249="Entrance culvert",G249&lt;600),"NOTE: check hinged grating rule for culverts &lt; 600 deep (PUB Add. 3). ","")))</f>
        <v/>
      </c>
      <c r="AP249" s="9"/>
      <c r="AQ249" s="9"/>
      <c r="AR249" s="9"/>
      <c r="AS249" s="9"/>
      <c r="AT249" s="9"/>
      <c r="AU249" s="31"/>
      <c r="AV249" s="10" t="str">
        <f aca="false">IF(C249="","",IF(AND(V249="Approved",ISERROR(SEARCH("FAIL",AO249))),"Y","N"))</f>
        <v/>
      </c>
      <c r="AW249" s="10" t="str">
        <f aca="false">IF(C249="","",C249&amp;"|"&amp;F249&amp;"|"&amp;G249&amp;"|"&amp;L249&amp;"|"&amp;AV249)</f>
        <v/>
      </c>
    </row>
    <row r="250" customFormat="false" ht="15" hidden="false" customHeight="false" outlineLevel="0" collapsed="false">
      <c r="A250" s="10" t="str">
        <f aca="false">IF(C250="","","DRN-"&amp;IFERROR(VLOOKUP(C250,Lists!$A$4:$B$27,2,0),"??")&amp;"-"&amp;TEXT(F250,"0000")&amp;"x"&amp;TEXT(G250,"0000")&amp;IF(N(H250)&gt;1,"-"&amp;H250&amp;"C","")&amp;"-"&amp;IFERROR(VLOOKUP(L250,Lists!$J$4:$K$19,2,0),"??")&amp;"-"&amp;U250)</f>
        <v/>
      </c>
      <c r="B250" s="10" t="str">
        <f aca="false">IF(C250="","",C250&amp;" "&amp;F250&amp;"W x "&amp;G250&amp;"D"&amp;IF(N(H250)&gt;1," ("&amp;H250&amp;" cells)","")&amp;", "&amp;D250&amp;", "&amp;L250&amp;", "&amp;E250)</f>
        <v/>
      </c>
      <c r="C250" s="9"/>
      <c r="D250" s="9"/>
      <c r="E250" s="9"/>
      <c r="F250" s="40"/>
      <c r="G250" s="40"/>
      <c r="H250" s="40"/>
      <c r="I250" s="40"/>
      <c r="J250" s="40"/>
      <c r="K250" s="40"/>
      <c r="L250" s="9"/>
      <c r="M250" s="9"/>
      <c r="N250" s="9"/>
      <c r="O250" s="40"/>
      <c r="P250" s="9"/>
      <c r="Q250" s="9"/>
      <c r="R250" s="9"/>
      <c r="S250" s="9"/>
      <c r="T250" s="9"/>
      <c r="U250" s="9"/>
      <c r="V250" s="9"/>
      <c r="W250" s="9"/>
      <c r="X250" s="9"/>
      <c r="Y250" s="9"/>
      <c r="Z250" s="10" t="str">
        <f aca="false">IF(A250="","",SG_Criteria!$B$6&amp;SG_Criteria!$B$7&amp;"\"&amp;A250&amp;"\")</f>
        <v/>
      </c>
      <c r="AA250" s="10" t="str">
        <f aca="false">IF(A250="","",A250&amp;"_CAD.dwg")</f>
        <v/>
      </c>
      <c r="AB250" s="10" t="str">
        <f aca="false">IF(A250="","",A250&amp;"_DWG.pdf")</f>
        <v/>
      </c>
      <c r="AC250" s="10" t="str">
        <f aca="false">IF(A250="","",IF(Y250="Y",A250&amp;"_STAAD.std","n/a"))</f>
        <v/>
      </c>
      <c r="AD250" s="10" t="str">
        <f aca="false">IF(A250="","",A250&amp;"_CALC.xlsx")</f>
        <v/>
      </c>
      <c r="AE250" s="10" t="str">
        <f aca="false">IF(A250="","",A250&amp;"_CALC.pdf")</f>
        <v/>
      </c>
      <c r="AF250" s="9"/>
      <c r="AG250" s="9"/>
      <c r="AH250" s="41"/>
      <c r="AI250" s="41"/>
      <c r="AJ250" s="41"/>
      <c r="AK250" s="41"/>
      <c r="AL250" s="41"/>
      <c r="AM250" s="37" t="str">
        <f aca="false">IF(OR(C250="",F250="",G250="",C250="Sump",C250="Drop Inlet Chamber",C250="Silt Trap",C250="Pipe Culvert",C250="Subsoil Drain"),"",ROUND(MAX(1,N(H250))*(1/SG_Criteria!$B$26)*((F250/1000)*(G250/1000*(1-SG_Criteria!$B$25)))*(((F250/1000)*(G250/1000*(1-SG_Criteria!$B$25)))/((F250/1000)+2*(G250/1000*(1-SG_Criteria!$B$25))))^(2/3)*(1/Design_Selector!$B$11)^0.5,3))</f>
        <v/>
      </c>
      <c r="AN250" s="11" t="str">
        <f aca="false">IF(AM250="","",ROUND(AM250/(MAX(1,N(H250))*F250/1000*(G250/1000*(1-SG_Criteria!$B$25))),2))</f>
        <v/>
      </c>
      <c r="AO250" s="38" t="str">
        <f aca="false">IF(C250="","",IF(LEN(IF(AND(OR(D250="Roadside drain",D250="Entrance culvert"),OR(F250&lt;SG_Criteria!$B$15,G250&lt;SG_Criteria!$B$16)),"FAIL: below PUB min "&amp;SG_Criteria!$B$15&amp;"x"&amp;SG_Criteria!$B$16&amp;" for roadside drain. ","")&amp;IF(AND(D250="Common drain",F250&lt;SG_Criteria!$B$17),"FAIL: common drain W &lt; "&amp;SG_Criteria!$B$17&amp;" mm. ","")&amp;IF(AND(N250&lt;&gt;"",IFERROR(VALUE(MID(N250,2,2)),0)&lt;SG_Criteria!$B$19),"FAIL: grade below C"&amp;SG_Criteria!$B$19&amp;". ","")&amp;IF(AND(O250&lt;&gt;"",O250&lt;SG_Criteria!$B$20),"FAIL: cover &lt; "&amp;SG_Criteria!$B$20&amp;" mm. ","")&amp;IF(AND(E250="Open",G250&gt;SG_Criteria!$B$18),"NOTE: safety railing required (D &gt; "&amp;SG_Criteria!$B$18&amp;" mm). ","")&amp;IF(AND(D250="Entrance culvert",G250&lt;600),"NOTE: check hinged grating rule for culverts &lt; 600 deep (PUB Add. 3). ",""))=0,"OK",IF(AND(OR(D250="Roadside drain",D250="Entrance culvert"),OR(F250&lt;SG_Criteria!$B$15,G250&lt;SG_Criteria!$B$16)),"FAIL: below PUB min "&amp;SG_Criteria!$B$15&amp;"x"&amp;SG_Criteria!$B$16&amp;" for roadside drain. ","")&amp;IF(AND(D250="Common drain",F250&lt;SG_Criteria!$B$17),"FAIL: common drain W &lt; "&amp;SG_Criteria!$B$17&amp;" mm. ","")&amp;IF(AND(N250&lt;&gt;"",IFERROR(VALUE(MID(N250,2,2)),0)&lt;SG_Criteria!$B$19),"FAIL: grade below C"&amp;SG_Criteria!$B$19&amp;". ","")&amp;IF(AND(O250&lt;&gt;"",O250&lt;SG_Criteria!$B$20),"FAIL: cover &lt; "&amp;SG_Criteria!$B$20&amp;" mm. ","")&amp;IF(AND(E250="Open",G250&gt;SG_Criteria!$B$18),"NOTE: safety railing required (D &gt; "&amp;SG_Criteria!$B$18&amp;" mm). ","")&amp;IF(AND(D250="Entrance culvert",G250&lt;600),"NOTE: check hinged grating rule for culverts &lt; 600 deep (PUB Add. 3). ","")))</f>
        <v/>
      </c>
      <c r="AP250" s="9"/>
      <c r="AQ250" s="9"/>
      <c r="AR250" s="9"/>
      <c r="AS250" s="9"/>
      <c r="AT250" s="9"/>
      <c r="AU250" s="31"/>
      <c r="AV250" s="10" t="str">
        <f aca="false">IF(C250="","",IF(AND(V250="Approved",ISERROR(SEARCH("FAIL",AO250))),"Y","N"))</f>
        <v/>
      </c>
      <c r="AW250" s="10" t="str">
        <f aca="false">IF(C250="","",C250&amp;"|"&amp;F250&amp;"|"&amp;G250&amp;"|"&amp;L250&amp;"|"&amp;AV250)</f>
        <v/>
      </c>
    </row>
    <row r="251" customFormat="false" ht="15" hidden="false" customHeight="false" outlineLevel="0" collapsed="false">
      <c r="A251" s="10" t="str">
        <f aca="false">IF(C251="","","DRN-"&amp;IFERROR(VLOOKUP(C251,Lists!$A$4:$B$27,2,0),"??")&amp;"-"&amp;TEXT(F251,"0000")&amp;"x"&amp;TEXT(G251,"0000")&amp;IF(N(H251)&gt;1,"-"&amp;H251&amp;"C","")&amp;"-"&amp;IFERROR(VLOOKUP(L251,Lists!$J$4:$K$19,2,0),"??")&amp;"-"&amp;U251)</f>
        <v/>
      </c>
      <c r="B251" s="10" t="str">
        <f aca="false">IF(C251="","",C251&amp;" "&amp;F251&amp;"W x "&amp;G251&amp;"D"&amp;IF(N(H251)&gt;1," ("&amp;H251&amp;" cells)","")&amp;", "&amp;D251&amp;", "&amp;L251&amp;", "&amp;E251)</f>
        <v/>
      </c>
      <c r="C251" s="9"/>
      <c r="D251" s="9"/>
      <c r="E251" s="9"/>
      <c r="F251" s="40"/>
      <c r="G251" s="40"/>
      <c r="H251" s="40"/>
      <c r="I251" s="40"/>
      <c r="J251" s="40"/>
      <c r="K251" s="40"/>
      <c r="L251" s="9"/>
      <c r="M251" s="9"/>
      <c r="N251" s="9"/>
      <c r="O251" s="40"/>
      <c r="P251" s="9"/>
      <c r="Q251" s="9"/>
      <c r="R251" s="9"/>
      <c r="S251" s="9"/>
      <c r="T251" s="9"/>
      <c r="U251" s="9"/>
      <c r="V251" s="9"/>
      <c r="W251" s="9"/>
      <c r="X251" s="9"/>
      <c r="Y251" s="9"/>
      <c r="Z251" s="10" t="str">
        <f aca="false">IF(A251="","",SG_Criteria!$B$6&amp;SG_Criteria!$B$7&amp;"\"&amp;A251&amp;"\")</f>
        <v/>
      </c>
      <c r="AA251" s="10" t="str">
        <f aca="false">IF(A251="","",A251&amp;"_CAD.dwg")</f>
        <v/>
      </c>
      <c r="AB251" s="10" t="str">
        <f aca="false">IF(A251="","",A251&amp;"_DWG.pdf")</f>
        <v/>
      </c>
      <c r="AC251" s="10" t="str">
        <f aca="false">IF(A251="","",IF(Y251="Y",A251&amp;"_STAAD.std","n/a"))</f>
        <v/>
      </c>
      <c r="AD251" s="10" t="str">
        <f aca="false">IF(A251="","",A251&amp;"_CALC.xlsx")</f>
        <v/>
      </c>
      <c r="AE251" s="10" t="str">
        <f aca="false">IF(A251="","",A251&amp;"_CALC.pdf")</f>
        <v/>
      </c>
      <c r="AF251" s="9"/>
      <c r="AG251" s="9"/>
      <c r="AH251" s="41"/>
      <c r="AI251" s="41"/>
      <c r="AJ251" s="41"/>
      <c r="AK251" s="41"/>
      <c r="AL251" s="41"/>
      <c r="AM251" s="37" t="str">
        <f aca="false">IF(OR(C251="",F251="",G251="",C251="Sump",C251="Drop Inlet Chamber",C251="Silt Trap",C251="Pipe Culvert",C251="Subsoil Drain"),"",ROUND(MAX(1,N(H251))*(1/SG_Criteria!$B$26)*((F251/1000)*(G251/1000*(1-SG_Criteria!$B$25)))*(((F251/1000)*(G251/1000*(1-SG_Criteria!$B$25)))/((F251/1000)+2*(G251/1000*(1-SG_Criteria!$B$25))))^(2/3)*(1/Design_Selector!$B$11)^0.5,3))</f>
        <v/>
      </c>
      <c r="AN251" s="11" t="str">
        <f aca="false">IF(AM251="","",ROUND(AM251/(MAX(1,N(H251))*F251/1000*(G251/1000*(1-SG_Criteria!$B$25))),2))</f>
        <v/>
      </c>
      <c r="AO251" s="38" t="str">
        <f aca="false">IF(C251="","",IF(LEN(IF(AND(OR(D251="Roadside drain",D251="Entrance culvert"),OR(F251&lt;SG_Criteria!$B$15,G251&lt;SG_Criteria!$B$16)),"FAIL: below PUB min "&amp;SG_Criteria!$B$15&amp;"x"&amp;SG_Criteria!$B$16&amp;" for roadside drain. ","")&amp;IF(AND(D251="Common drain",F251&lt;SG_Criteria!$B$17),"FAIL: common drain W &lt; "&amp;SG_Criteria!$B$17&amp;" mm. ","")&amp;IF(AND(N251&lt;&gt;"",IFERROR(VALUE(MID(N251,2,2)),0)&lt;SG_Criteria!$B$19),"FAIL: grade below C"&amp;SG_Criteria!$B$19&amp;". ","")&amp;IF(AND(O251&lt;&gt;"",O251&lt;SG_Criteria!$B$20),"FAIL: cover &lt; "&amp;SG_Criteria!$B$20&amp;" mm. ","")&amp;IF(AND(E251="Open",G251&gt;SG_Criteria!$B$18),"NOTE: safety railing required (D &gt; "&amp;SG_Criteria!$B$18&amp;" mm). ","")&amp;IF(AND(D251="Entrance culvert",G251&lt;600),"NOTE: check hinged grating rule for culverts &lt; 600 deep (PUB Add. 3). ",""))=0,"OK",IF(AND(OR(D251="Roadside drain",D251="Entrance culvert"),OR(F251&lt;SG_Criteria!$B$15,G251&lt;SG_Criteria!$B$16)),"FAIL: below PUB min "&amp;SG_Criteria!$B$15&amp;"x"&amp;SG_Criteria!$B$16&amp;" for roadside drain. ","")&amp;IF(AND(D251="Common drain",F251&lt;SG_Criteria!$B$17),"FAIL: common drain W &lt; "&amp;SG_Criteria!$B$17&amp;" mm. ","")&amp;IF(AND(N251&lt;&gt;"",IFERROR(VALUE(MID(N251,2,2)),0)&lt;SG_Criteria!$B$19),"FAIL: grade below C"&amp;SG_Criteria!$B$19&amp;". ","")&amp;IF(AND(O251&lt;&gt;"",O251&lt;SG_Criteria!$B$20),"FAIL: cover &lt; "&amp;SG_Criteria!$B$20&amp;" mm. ","")&amp;IF(AND(E251="Open",G251&gt;SG_Criteria!$B$18),"NOTE: safety railing required (D &gt; "&amp;SG_Criteria!$B$18&amp;" mm). ","")&amp;IF(AND(D251="Entrance culvert",G251&lt;600),"NOTE: check hinged grating rule for culverts &lt; 600 deep (PUB Add. 3). ","")))</f>
        <v/>
      </c>
      <c r="AP251" s="9"/>
      <c r="AQ251" s="9"/>
      <c r="AR251" s="9"/>
      <c r="AS251" s="9"/>
      <c r="AT251" s="9"/>
      <c r="AU251" s="31"/>
      <c r="AV251" s="10" t="str">
        <f aca="false">IF(C251="","",IF(AND(V251="Approved",ISERROR(SEARCH("FAIL",AO251))),"Y","N"))</f>
        <v/>
      </c>
      <c r="AW251" s="10" t="str">
        <f aca="false">IF(C251="","",C251&amp;"|"&amp;F251&amp;"|"&amp;G251&amp;"|"&amp;L251&amp;"|"&amp;AV251)</f>
        <v/>
      </c>
    </row>
    <row r="252" customFormat="false" ht="15" hidden="false" customHeight="false" outlineLevel="0" collapsed="false">
      <c r="A252" s="10" t="str">
        <f aca="false">IF(C252="","","DRN-"&amp;IFERROR(VLOOKUP(C252,Lists!$A$4:$B$27,2,0),"??")&amp;"-"&amp;TEXT(F252,"0000")&amp;"x"&amp;TEXT(G252,"0000")&amp;IF(N(H252)&gt;1,"-"&amp;H252&amp;"C","")&amp;"-"&amp;IFERROR(VLOOKUP(L252,Lists!$J$4:$K$19,2,0),"??")&amp;"-"&amp;U252)</f>
        <v/>
      </c>
      <c r="B252" s="10" t="str">
        <f aca="false">IF(C252="","",C252&amp;" "&amp;F252&amp;"W x "&amp;G252&amp;"D"&amp;IF(N(H252)&gt;1," ("&amp;H252&amp;" cells)","")&amp;", "&amp;D252&amp;", "&amp;L252&amp;", "&amp;E252)</f>
        <v/>
      </c>
      <c r="C252" s="9"/>
      <c r="D252" s="9"/>
      <c r="E252" s="9"/>
      <c r="F252" s="40"/>
      <c r="G252" s="40"/>
      <c r="H252" s="40"/>
      <c r="I252" s="40"/>
      <c r="J252" s="40"/>
      <c r="K252" s="40"/>
      <c r="L252" s="9"/>
      <c r="M252" s="9"/>
      <c r="N252" s="9"/>
      <c r="O252" s="40"/>
      <c r="P252" s="9"/>
      <c r="Q252" s="9"/>
      <c r="R252" s="9"/>
      <c r="S252" s="9"/>
      <c r="T252" s="9"/>
      <c r="U252" s="9"/>
      <c r="V252" s="9"/>
      <c r="W252" s="9"/>
      <c r="X252" s="9"/>
      <c r="Y252" s="9"/>
      <c r="Z252" s="10" t="str">
        <f aca="false">IF(A252="","",SG_Criteria!$B$6&amp;SG_Criteria!$B$7&amp;"\"&amp;A252&amp;"\")</f>
        <v/>
      </c>
      <c r="AA252" s="10" t="str">
        <f aca="false">IF(A252="","",A252&amp;"_CAD.dwg")</f>
        <v/>
      </c>
      <c r="AB252" s="10" t="str">
        <f aca="false">IF(A252="","",A252&amp;"_DWG.pdf")</f>
        <v/>
      </c>
      <c r="AC252" s="10" t="str">
        <f aca="false">IF(A252="","",IF(Y252="Y",A252&amp;"_STAAD.std","n/a"))</f>
        <v/>
      </c>
      <c r="AD252" s="10" t="str">
        <f aca="false">IF(A252="","",A252&amp;"_CALC.xlsx")</f>
        <v/>
      </c>
      <c r="AE252" s="10" t="str">
        <f aca="false">IF(A252="","",A252&amp;"_CALC.pdf")</f>
        <v/>
      </c>
      <c r="AF252" s="9"/>
      <c r="AG252" s="9"/>
      <c r="AH252" s="41"/>
      <c r="AI252" s="41"/>
      <c r="AJ252" s="41"/>
      <c r="AK252" s="41"/>
      <c r="AL252" s="41"/>
      <c r="AM252" s="37" t="str">
        <f aca="false">IF(OR(C252="",F252="",G252="",C252="Sump",C252="Drop Inlet Chamber",C252="Silt Trap",C252="Pipe Culvert",C252="Subsoil Drain"),"",ROUND(MAX(1,N(H252))*(1/SG_Criteria!$B$26)*((F252/1000)*(G252/1000*(1-SG_Criteria!$B$25)))*(((F252/1000)*(G252/1000*(1-SG_Criteria!$B$25)))/((F252/1000)+2*(G252/1000*(1-SG_Criteria!$B$25))))^(2/3)*(1/Design_Selector!$B$11)^0.5,3))</f>
        <v/>
      </c>
      <c r="AN252" s="11" t="str">
        <f aca="false">IF(AM252="","",ROUND(AM252/(MAX(1,N(H252))*F252/1000*(G252/1000*(1-SG_Criteria!$B$25))),2))</f>
        <v/>
      </c>
      <c r="AO252" s="38" t="str">
        <f aca="false">IF(C252="","",IF(LEN(IF(AND(OR(D252="Roadside drain",D252="Entrance culvert"),OR(F252&lt;SG_Criteria!$B$15,G252&lt;SG_Criteria!$B$16)),"FAIL: below PUB min "&amp;SG_Criteria!$B$15&amp;"x"&amp;SG_Criteria!$B$16&amp;" for roadside drain. ","")&amp;IF(AND(D252="Common drain",F252&lt;SG_Criteria!$B$17),"FAIL: common drain W &lt; "&amp;SG_Criteria!$B$17&amp;" mm. ","")&amp;IF(AND(N252&lt;&gt;"",IFERROR(VALUE(MID(N252,2,2)),0)&lt;SG_Criteria!$B$19),"FAIL: grade below C"&amp;SG_Criteria!$B$19&amp;". ","")&amp;IF(AND(O252&lt;&gt;"",O252&lt;SG_Criteria!$B$20),"FAIL: cover &lt; "&amp;SG_Criteria!$B$20&amp;" mm. ","")&amp;IF(AND(E252="Open",G252&gt;SG_Criteria!$B$18),"NOTE: safety railing required (D &gt; "&amp;SG_Criteria!$B$18&amp;" mm). ","")&amp;IF(AND(D252="Entrance culvert",G252&lt;600),"NOTE: check hinged grating rule for culverts &lt; 600 deep (PUB Add. 3). ",""))=0,"OK",IF(AND(OR(D252="Roadside drain",D252="Entrance culvert"),OR(F252&lt;SG_Criteria!$B$15,G252&lt;SG_Criteria!$B$16)),"FAIL: below PUB min "&amp;SG_Criteria!$B$15&amp;"x"&amp;SG_Criteria!$B$16&amp;" for roadside drain. ","")&amp;IF(AND(D252="Common drain",F252&lt;SG_Criteria!$B$17),"FAIL: common drain W &lt; "&amp;SG_Criteria!$B$17&amp;" mm. ","")&amp;IF(AND(N252&lt;&gt;"",IFERROR(VALUE(MID(N252,2,2)),0)&lt;SG_Criteria!$B$19),"FAIL: grade below C"&amp;SG_Criteria!$B$19&amp;". ","")&amp;IF(AND(O252&lt;&gt;"",O252&lt;SG_Criteria!$B$20),"FAIL: cover &lt; "&amp;SG_Criteria!$B$20&amp;" mm. ","")&amp;IF(AND(E252="Open",G252&gt;SG_Criteria!$B$18),"NOTE: safety railing required (D &gt; "&amp;SG_Criteria!$B$18&amp;" mm). ","")&amp;IF(AND(D252="Entrance culvert",G252&lt;600),"NOTE: check hinged grating rule for culverts &lt; 600 deep (PUB Add. 3). ","")))</f>
        <v/>
      </c>
      <c r="AP252" s="9"/>
      <c r="AQ252" s="9"/>
      <c r="AR252" s="9"/>
      <c r="AS252" s="9"/>
      <c r="AT252" s="9"/>
      <c r="AU252" s="31"/>
      <c r="AV252" s="10" t="str">
        <f aca="false">IF(C252="","",IF(AND(V252="Approved",ISERROR(SEARCH("FAIL",AO252))),"Y","N"))</f>
        <v/>
      </c>
      <c r="AW252" s="10" t="str">
        <f aca="false">IF(C252="","",C252&amp;"|"&amp;F252&amp;"|"&amp;G252&amp;"|"&amp;L252&amp;"|"&amp;AV252)</f>
        <v/>
      </c>
    </row>
    <row r="253" customFormat="false" ht="15" hidden="false" customHeight="false" outlineLevel="0" collapsed="false">
      <c r="A253" s="10" t="str">
        <f aca="false">IF(C253="","","DRN-"&amp;IFERROR(VLOOKUP(C253,Lists!$A$4:$B$27,2,0),"??")&amp;"-"&amp;TEXT(F253,"0000")&amp;"x"&amp;TEXT(G253,"0000")&amp;IF(N(H253)&gt;1,"-"&amp;H253&amp;"C","")&amp;"-"&amp;IFERROR(VLOOKUP(L253,Lists!$J$4:$K$19,2,0),"??")&amp;"-"&amp;U253)</f>
        <v/>
      </c>
      <c r="B253" s="10" t="str">
        <f aca="false">IF(C253="","",C253&amp;" "&amp;F253&amp;"W x "&amp;G253&amp;"D"&amp;IF(N(H253)&gt;1," ("&amp;H253&amp;" cells)","")&amp;", "&amp;D253&amp;", "&amp;L253&amp;", "&amp;E253)</f>
        <v/>
      </c>
      <c r="C253" s="9"/>
      <c r="D253" s="9"/>
      <c r="E253" s="9"/>
      <c r="F253" s="40"/>
      <c r="G253" s="40"/>
      <c r="H253" s="40"/>
      <c r="I253" s="40"/>
      <c r="J253" s="40"/>
      <c r="K253" s="40"/>
      <c r="L253" s="9"/>
      <c r="M253" s="9"/>
      <c r="N253" s="9"/>
      <c r="O253" s="40"/>
      <c r="P253" s="9"/>
      <c r="Q253" s="9"/>
      <c r="R253" s="9"/>
      <c r="S253" s="9"/>
      <c r="T253" s="9"/>
      <c r="U253" s="9"/>
      <c r="V253" s="9"/>
      <c r="W253" s="9"/>
      <c r="X253" s="9"/>
      <c r="Y253" s="9"/>
      <c r="Z253" s="10" t="str">
        <f aca="false">IF(A253="","",SG_Criteria!$B$6&amp;SG_Criteria!$B$7&amp;"\"&amp;A253&amp;"\")</f>
        <v/>
      </c>
      <c r="AA253" s="10" t="str">
        <f aca="false">IF(A253="","",A253&amp;"_CAD.dwg")</f>
        <v/>
      </c>
      <c r="AB253" s="10" t="str">
        <f aca="false">IF(A253="","",A253&amp;"_DWG.pdf")</f>
        <v/>
      </c>
      <c r="AC253" s="10" t="str">
        <f aca="false">IF(A253="","",IF(Y253="Y",A253&amp;"_STAAD.std","n/a"))</f>
        <v/>
      </c>
      <c r="AD253" s="10" t="str">
        <f aca="false">IF(A253="","",A253&amp;"_CALC.xlsx")</f>
        <v/>
      </c>
      <c r="AE253" s="10" t="str">
        <f aca="false">IF(A253="","",A253&amp;"_CALC.pdf")</f>
        <v/>
      </c>
      <c r="AF253" s="9"/>
      <c r="AG253" s="9"/>
      <c r="AH253" s="41"/>
      <c r="AI253" s="41"/>
      <c r="AJ253" s="41"/>
      <c r="AK253" s="41"/>
      <c r="AL253" s="41"/>
      <c r="AM253" s="37" t="str">
        <f aca="false">IF(OR(C253="",F253="",G253="",C253="Sump",C253="Drop Inlet Chamber",C253="Silt Trap",C253="Pipe Culvert",C253="Subsoil Drain"),"",ROUND(MAX(1,N(H253))*(1/SG_Criteria!$B$26)*((F253/1000)*(G253/1000*(1-SG_Criteria!$B$25)))*(((F253/1000)*(G253/1000*(1-SG_Criteria!$B$25)))/((F253/1000)+2*(G253/1000*(1-SG_Criteria!$B$25))))^(2/3)*(1/Design_Selector!$B$11)^0.5,3))</f>
        <v/>
      </c>
      <c r="AN253" s="11" t="str">
        <f aca="false">IF(AM253="","",ROUND(AM253/(MAX(1,N(H253))*F253/1000*(G253/1000*(1-SG_Criteria!$B$25))),2))</f>
        <v/>
      </c>
      <c r="AO253" s="38" t="str">
        <f aca="false">IF(C253="","",IF(LEN(IF(AND(OR(D253="Roadside drain",D253="Entrance culvert"),OR(F253&lt;SG_Criteria!$B$15,G253&lt;SG_Criteria!$B$16)),"FAIL: below PUB min "&amp;SG_Criteria!$B$15&amp;"x"&amp;SG_Criteria!$B$16&amp;" for roadside drain. ","")&amp;IF(AND(D253="Common drain",F253&lt;SG_Criteria!$B$17),"FAIL: common drain W &lt; "&amp;SG_Criteria!$B$17&amp;" mm. ","")&amp;IF(AND(N253&lt;&gt;"",IFERROR(VALUE(MID(N253,2,2)),0)&lt;SG_Criteria!$B$19),"FAIL: grade below C"&amp;SG_Criteria!$B$19&amp;". ","")&amp;IF(AND(O253&lt;&gt;"",O253&lt;SG_Criteria!$B$20),"FAIL: cover &lt; "&amp;SG_Criteria!$B$20&amp;" mm. ","")&amp;IF(AND(E253="Open",G253&gt;SG_Criteria!$B$18),"NOTE: safety railing required (D &gt; "&amp;SG_Criteria!$B$18&amp;" mm). ","")&amp;IF(AND(D253="Entrance culvert",G253&lt;600),"NOTE: check hinged grating rule for culverts &lt; 600 deep (PUB Add. 3). ",""))=0,"OK",IF(AND(OR(D253="Roadside drain",D253="Entrance culvert"),OR(F253&lt;SG_Criteria!$B$15,G253&lt;SG_Criteria!$B$16)),"FAIL: below PUB min "&amp;SG_Criteria!$B$15&amp;"x"&amp;SG_Criteria!$B$16&amp;" for roadside drain. ","")&amp;IF(AND(D253="Common drain",F253&lt;SG_Criteria!$B$17),"FAIL: common drain W &lt; "&amp;SG_Criteria!$B$17&amp;" mm. ","")&amp;IF(AND(N253&lt;&gt;"",IFERROR(VALUE(MID(N253,2,2)),0)&lt;SG_Criteria!$B$19),"FAIL: grade below C"&amp;SG_Criteria!$B$19&amp;". ","")&amp;IF(AND(O253&lt;&gt;"",O253&lt;SG_Criteria!$B$20),"FAIL: cover &lt; "&amp;SG_Criteria!$B$20&amp;" mm. ","")&amp;IF(AND(E253="Open",G253&gt;SG_Criteria!$B$18),"NOTE: safety railing required (D &gt; "&amp;SG_Criteria!$B$18&amp;" mm). ","")&amp;IF(AND(D253="Entrance culvert",G253&lt;600),"NOTE: check hinged grating rule for culverts &lt; 600 deep (PUB Add. 3). ","")))</f>
        <v/>
      </c>
      <c r="AP253" s="9"/>
      <c r="AQ253" s="9"/>
      <c r="AR253" s="9"/>
      <c r="AS253" s="9"/>
      <c r="AT253" s="9"/>
      <c r="AU253" s="31"/>
      <c r="AV253" s="10" t="str">
        <f aca="false">IF(C253="","",IF(AND(V253="Approved",ISERROR(SEARCH("FAIL",AO253))),"Y","N"))</f>
        <v/>
      </c>
      <c r="AW253" s="10" t="str">
        <f aca="false">IF(C253="","",C253&amp;"|"&amp;F253&amp;"|"&amp;G253&amp;"|"&amp;L253&amp;"|"&amp;AV253)</f>
        <v/>
      </c>
    </row>
    <row r="254" customFormat="false" ht="15" hidden="false" customHeight="false" outlineLevel="0" collapsed="false">
      <c r="A254" s="10" t="str">
        <f aca="false">IF(C254="","","DRN-"&amp;IFERROR(VLOOKUP(C254,Lists!$A$4:$B$27,2,0),"??")&amp;"-"&amp;TEXT(F254,"0000")&amp;"x"&amp;TEXT(G254,"0000")&amp;IF(N(H254)&gt;1,"-"&amp;H254&amp;"C","")&amp;"-"&amp;IFERROR(VLOOKUP(L254,Lists!$J$4:$K$19,2,0),"??")&amp;"-"&amp;U254)</f>
        <v/>
      </c>
      <c r="B254" s="10" t="str">
        <f aca="false">IF(C254="","",C254&amp;" "&amp;F254&amp;"W x "&amp;G254&amp;"D"&amp;IF(N(H254)&gt;1," ("&amp;H254&amp;" cells)","")&amp;", "&amp;D254&amp;", "&amp;L254&amp;", "&amp;E254)</f>
        <v/>
      </c>
      <c r="C254" s="9"/>
      <c r="D254" s="9"/>
      <c r="E254" s="9"/>
      <c r="F254" s="40"/>
      <c r="G254" s="40"/>
      <c r="H254" s="40"/>
      <c r="I254" s="40"/>
      <c r="J254" s="40"/>
      <c r="K254" s="40"/>
      <c r="L254" s="9"/>
      <c r="M254" s="9"/>
      <c r="N254" s="9"/>
      <c r="O254" s="40"/>
      <c r="P254" s="9"/>
      <c r="Q254" s="9"/>
      <c r="R254" s="9"/>
      <c r="S254" s="9"/>
      <c r="T254" s="9"/>
      <c r="U254" s="9"/>
      <c r="V254" s="9"/>
      <c r="W254" s="9"/>
      <c r="X254" s="9"/>
      <c r="Y254" s="9"/>
      <c r="Z254" s="10" t="str">
        <f aca="false">IF(A254="","",SG_Criteria!$B$6&amp;SG_Criteria!$B$7&amp;"\"&amp;A254&amp;"\")</f>
        <v/>
      </c>
      <c r="AA254" s="10" t="str">
        <f aca="false">IF(A254="","",A254&amp;"_CAD.dwg")</f>
        <v/>
      </c>
      <c r="AB254" s="10" t="str">
        <f aca="false">IF(A254="","",A254&amp;"_DWG.pdf")</f>
        <v/>
      </c>
      <c r="AC254" s="10" t="str">
        <f aca="false">IF(A254="","",IF(Y254="Y",A254&amp;"_STAAD.std","n/a"))</f>
        <v/>
      </c>
      <c r="AD254" s="10" t="str">
        <f aca="false">IF(A254="","",A254&amp;"_CALC.xlsx")</f>
        <v/>
      </c>
      <c r="AE254" s="10" t="str">
        <f aca="false">IF(A254="","",A254&amp;"_CALC.pdf")</f>
        <v/>
      </c>
      <c r="AF254" s="9"/>
      <c r="AG254" s="9"/>
      <c r="AH254" s="41"/>
      <c r="AI254" s="41"/>
      <c r="AJ254" s="41"/>
      <c r="AK254" s="41"/>
      <c r="AL254" s="41"/>
      <c r="AM254" s="37" t="str">
        <f aca="false">IF(OR(C254="",F254="",G254="",C254="Sump",C254="Drop Inlet Chamber",C254="Silt Trap",C254="Pipe Culvert",C254="Subsoil Drain"),"",ROUND(MAX(1,N(H254))*(1/SG_Criteria!$B$26)*((F254/1000)*(G254/1000*(1-SG_Criteria!$B$25)))*(((F254/1000)*(G254/1000*(1-SG_Criteria!$B$25)))/((F254/1000)+2*(G254/1000*(1-SG_Criteria!$B$25))))^(2/3)*(1/Design_Selector!$B$11)^0.5,3))</f>
        <v/>
      </c>
      <c r="AN254" s="11" t="str">
        <f aca="false">IF(AM254="","",ROUND(AM254/(MAX(1,N(H254))*F254/1000*(G254/1000*(1-SG_Criteria!$B$25))),2))</f>
        <v/>
      </c>
      <c r="AO254" s="38" t="str">
        <f aca="false">IF(C254="","",IF(LEN(IF(AND(OR(D254="Roadside drain",D254="Entrance culvert"),OR(F254&lt;SG_Criteria!$B$15,G254&lt;SG_Criteria!$B$16)),"FAIL: below PUB min "&amp;SG_Criteria!$B$15&amp;"x"&amp;SG_Criteria!$B$16&amp;" for roadside drain. ","")&amp;IF(AND(D254="Common drain",F254&lt;SG_Criteria!$B$17),"FAIL: common drain W &lt; "&amp;SG_Criteria!$B$17&amp;" mm. ","")&amp;IF(AND(N254&lt;&gt;"",IFERROR(VALUE(MID(N254,2,2)),0)&lt;SG_Criteria!$B$19),"FAIL: grade below C"&amp;SG_Criteria!$B$19&amp;". ","")&amp;IF(AND(O254&lt;&gt;"",O254&lt;SG_Criteria!$B$20),"FAIL: cover &lt; "&amp;SG_Criteria!$B$20&amp;" mm. ","")&amp;IF(AND(E254="Open",G254&gt;SG_Criteria!$B$18),"NOTE: safety railing required (D &gt; "&amp;SG_Criteria!$B$18&amp;" mm). ","")&amp;IF(AND(D254="Entrance culvert",G254&lt;600),"NOTE: check hinged grating rule for culverts &lt; 600 deep (PUB Add. 3). ",""))=0,"OK",IF(AND(OR(D254="Roadside drain",D254="Entrance culvert"),OR(F254&lt;SG_Criteria!$B$15,G254&lt;SG_Criteria!$B$16)),"FAIL: below PUB min "&amp;SG_Criteria!$B$15&amp;"x"&amp;SG_Criteria!$B$16&amp;" for roadside drain. ","")&amp;IF(AND(D254="Common drain",F254&lt;SG_Criteria!$B$17),"FAIL: common drain W &lt; "&amp;SG_Criteria!$B$17&amp;" mm. ","")&amp;IF(AND(N254&lt;&gt;"",IFERROR(VALUE(MID(N254,2,2)),0)&lt;SG_Criteria!$B$19),"FAIL: grade below C"&amp;SG_Criteria!$B$19&amp;". ","")&amp;IF(AND(O254&lt;&gt;"",O254&lt;SG_Criteria!$B$20),"FAIL: cover &lt; "&amp;SG_Criteria!$B$20&amp;" mm. ","")&amp;IF(AND(E254="Open",G254&gt;SG_Criteria!$B$18),"NOTE: safety railing required (D &gt; "&amp;SG_Criteria!$B$18&amp;" mm). ","")&amp;IF(AND(D254="Entrance culvert",G254&lt;600),"NOTE: check hinged grating rule for culverts &lt; 600 deep (PUB Add. 3). ","")))</f>
        <v/>
      </c>
      <c r="AP254" s="9"/>
      <c r="AQ254" s="9"/>
      <c r="AR254" s="9"/>
      <c r="AS254" s="9"/>
      <c r="AT254" s="9"/>
      <c r="AU254" s="31"/>
      <c r="AV254" s="10" t="str">
        <f aca="false">IF(C254="","",IF(AND(V254="Approved",ISERROR(SEARCH("FAIL",AO254))),"Y","N"))</f>
        <v/>
      </c>
      <c r="AW254" s="10" t="str">
        <f aca="false">IF(C254="","",C254&amp;"|"&amp;F254&amp;"|"&amp;G254&amp;"|"&amp;L254&amp;"|"&amp;AV254)</f>
        <v/>
      </c>
    </row>
    <row r="255" customFormat="false" ht="15" hidden="false" customHeight="false" outlineLevel="0" collapsed="false">
      <c r="A255" s="10" t="str">
        <f aca="false">IF(C255="","","DRN-"&amp;IFERROR(VLOOKUP(C255,Lists!$A$4:$B$27,2,0),"??")&amp;"-"&amp;TEXT(F255,"0000")&amp;"x"&amp;TEXT(G255,"0000")&amp;IF(N(H255)&gt;1,"-"&amp;H255&amp;"C","")&amp;"-"&amp;IFERROR(VLOOKUP(L255,Lists!$J$4:$K$19,2,0),"??")&amp;"-"&amp;U255)</f>
        <v/>
      </c>
      <c r="B255" s="10" t="str">
        <f aca="false">IF(C255="","",C255&amp;" "&amp;F255&amp;"W x "&amp;G255&amp;"D"&amp;IF(N(H255)&gt;1," ("&amp;H255&amp;" cells)","")&amp;", "&amp;D255&amp;", "&amp;L255&amp;", "&amp;E255)</f>
        <v/>
      </c>
      <c r="C255" s="9"/>
      <c r="D255" s="9"/>
      <c r="E255" s="9"/>
      <c r="F255" s="40"/>
      <c r="G255" s="40"/>
      <c r="H255" s="40"/>
      <c r="I255" s="40"/>
      <c r="J255" s="40"/>
      <c r="K255" s="40"/>
      <c r="L255" s="9"/>
      <c r="M255" s="9"/>
      <c r="N255" s="9"/>
      <c r="O255" s="40"/>
      <c r="P255" s="9"/>
      <c r="Q255" s="9"/>
      <c r="R255" s="9"/>
      <c r="S255" s="9"/>
      <c r="T255" s="9"/>
      <c r="U255" s="9"/>
      <c r="V255" s="9"/>
      <c r="W255" s="9"/>
      <c r="X255" s="9"/>
      <c r="Y255" s="9"/>
      <c r="Z255" s="10" t="str">
        <f aca="false">IF(A255="","",SG_Criteria!$B$6&amp;SG_Criteria!$B$7&amp;"\"&amp;A255&amp;"\")</f>
        <v/>
      </c>
      <c r="AA255" s="10" t="str">
        <f aca="false">IF(A255="","",A255&amp;"_CAD.dwg")</f>
        <v/>
      </c>
      <c r="AB255" s="10" t="str">
        <f aca="false">IF(A255="","",A255&amp;"_DWG.pdf")</f>
        <v/>
      </c>
      <c r="AC255" s="10" t="str">
        <f aca="false">IF(A255="","",IF(Y255="Y",A255&amp;"_STAAD.std","n/a"))</f>
        <v/>
      </c>
      <c r="AD255" s="10" t="str">
        <f aca="false">IF(A255="","",A255&amp;"_CALC.xlsx")</f>
        <v/>
      </c>
      <c r="AE255" s="10" t="str">
        <f aca="false">IF(A255="","",A255&amp;"_CALC.pdf")</f>
        <v/>
      </c>
      <c r="AF255" s="9"/>
      <c r="AG255" s="9"/>
      <c r="AH255" s="41"/>
      <c r="AI255" s="41"/>
      <c r="AJ255" s="41"/>
      <c r="AK255" s="41"/>
      <c r="AL255" s="41"/>
      <c r="AM255" s="37" t="str">
        <f aca="false">IF(OR(C255="",F255="",G255="",C255="Sump",C255="Drop Inlet Chamber",C255="Silt Trap",C255="Pipe Culvert",C255="Subsoil Drain"),"",ROUND(MAX(1,N(H255))*(1/SG_Criteria!$B$26)*((F255/1000)*(G255/1000*(1-SG_Criteria!$B$25)))*(((F255/1000)*(G255/1000*(1-SG_Criteria!$B$25)))/((F255/1000)+2*(G255/1000*(1-SG_Criteria!$B$25))))^(2/3)*(1/Design_Selector!$B$11)^0.5,3))</f>
        <v/>
      </c>
      <c r="AN255" s="11" t="str">
        <f aca="false">IF(AM255="","",ROUND(AM255/(MAX(1,N(H255))*F255/1000*(G255/1000*(1-SG_Criteria!$B$25))),2))</f>
        <v/>
      </c>
      <c r="AO255" s="38" t="str">
        <f aca="false">IF(C255="","",IF(LEN(IF(AND(OR(D255="Roadside drain",D255="Entrance culvert"),OR(F255&lt;SG_Criteria!$B$15,G255&lt;SG_Criteria!$B$16)),"FAIL: below PUB min "&amp;SG_Criteria!$B$15&amp;"x"&amp;SG_Criteria!$B$16&amp;" for roadside drain. ","")&amp;IF(AND(D255="Common drain",F255&lt;SG_Criteria!$B$17),"FAIL: common drain W &lt; "&amp;SG_Criteria!$B$17&amp;" mm. ","")&amp;IF(AND(N255&lt;&gt;"",IFERROR(VALUE(MID(N255,2,2)),0)&lt;SG_Criteria!$B$19),"FAIL: grade below C"&amp;SG_Criteria!$B$19&amp;". ","")&amp;IF(AND(O255&lt;&gt;"",O255&lt;SG_Criteria!$B$20),"FAIL: cover &lt; "&amp;SG_Criteria!$B$20&amp;" mm. ","")&amp;IF(AND(E255="Open",G255&gt;SG_Criteria!$B$18),"NOTE: safety railing required (D &gt; "&amp;SG_Criteria!$B$18&amp;" mm). ","")&amp;IF(AND(D255="Entrance culvert",G255&lt;600),"NOTE: check hinged grating rule for culverts &lt; 600 deep (PUB Add. 3). ",""))=0,"OK",IF(AND(OR(D255="Roadside drain",D255="Entrance culvert"),OR(F255&lt;SG_Criteria!$B$15,G255&lt;SG_Criteria!$B$16)),"FAIL: below PUB min "&amp;SG_Criteria!$B$15&amp;"x"&amp;SG_Criteria!$B$16&amp;" for roadside drain. ","")&amp;IF(AND(D255="Common drain",F255&lt;SG_Criteria!$B$17),"FAIL: common drain W &lt; "&amp;SG_Criteria!$B$17&amp;" mm. ","")&amp;IF(AND(N255&lt;&gt;"",IFERROR(VALUE(MID(N255,2,2)),0)&lt;SG_Criteria!$B$19),"FAIL: grade below C"&amp;SG_Criteria!$B$19&amp;". ","")&amp;IF(AND(O255&lt;&gt;"",O255&lt;SG_Criteria!$B$20),"FAIL: cover &lt; "&amp;SG_Criteria!$B$20&amp;" mm. ","")&amp;IF(AND(E255="Open",G255&gt;SG_Criteria!$B$18),"NOTE: safety railing required (D &gt; "&amp;SG_Criteria!$B$18&amp;" mm). ","")&amp;IF(AND(D255="Entrance culvert",G255&lt;600),"NOTE: check hinged grating rule for culverts &lt; 600 deep (PUB Add. 3). ","")))</f>
        <v/>
      </c>
      <c r="AP255" s="9"/>
      <c r="AQ255" s="9"/>
      <c r="AR255" s="9"/>
      <c r="AS255" s="9"/>
      <c r="AT255" s="9"/>
      <c r="AU255" s="31"/>
      <c r="AV255" s="10" t="str">
        <f aca="false">IF(C255="","",IF(AND(V255="Approved",ISERROR(SEARCH("FAIL",AO255))),"Y","N"))</f>
        <v/>
      </c>
      <c r="AW255" s="10" t="str">
        <f aca="false">IF(C255="","",C255&amp;"|"&amp;F255&amp;"|"&amp;G255&amp;"|"&amp;L255&amp;"|"&amp;AV255)</f>
        <v/>
      </c>
    </row>
    <row r="256" customFormat="false" ht="15" hidden="false" customHeight="false" outlineLevel="0" collapsed="false">
      <c r="A256" s="10" t="str">
        <f aca="false">IF(C256="","","DRN-"&amp;IFERROR(VLOOKUP(C256,Lists!$A$4:$B$27,2,0),"??")&amp;"-"&amp;TEXT(F256,"0000")&amp;"x"&amp;TEXT(G256,"0000")&amp;IF(N(H256)&gt;1,"-"&amp;H256&amp;"C","")&amp;"-"&amp;IFERROR(VLOOKUP(L256,Lists!$J$4:$K$19,2,0),"??")&amp;"-"&amp;U256)</f>
        <v/>
      </c>
      <c r="B256" s="10" t="str">
        <f aca="false">IF(C256="","",C256&amp;" "&amp;F256&amp;"W x "&amp;G256&amp;"D"&amp;IF(N(H256)&gt;1," ("&amp;H256&amp;" cells)","")&amp;", "&amp;D256&amp;", "&amp;L256&amp;", "&amp;E256)</f>
        <v/>
      </c>
      <c r="C256" s="9"/>
      <c r="D256" s="9"/>
      <c r="E256" s="9"/>
      <c r="F256" s="40"/>
      <c r="G256" s="40"/>
      <c r="H256" s="40"/>
      <c r="I256" s="40"/>
      <c r="J256" s="40"/>
      <c r="K256" s="40"/>
      <c r="L256" s="9"/>
      <c r="M256" s="9"/>
      <c r="N256" s="9"/>
      <c r="O256" s="40"/>
      <c r="P256" s="9"/>
      <c r="Q256" s="9"/>
      <c r="R256" s="9"/>
      <c r="S256" s="9"/>
      <c r="T256" s="9"/>
      <c r="U256" s="9"/>
      <c r="V256" s="9"/>
      <c r="W256" s="9"/>
      <c r="X256" s="9"/>
      <c r="Y256" s="9"/>
      <c r="Z256" s="10" t="str">
        <f aca="false">IF(A256="","",SG_Criteria!$B$6&amp;SG_Criteria!$B$7&amp;"\"&amp;A256&amp;"\")</f>
        <v/>
      </c>
      <c r="AA256" s="10" t="str">
        <f aca="false">IF(A256="","",A256&amp;"_CAD.dwg")</f>
        <v/>
      </c>
      <c r="AB256" s="10" t="str">
        <f aca="false">IF(A256="","",A256&amp;"_DWG.pdf")</f>
        <v/>
      </c>
      <c r="AC256" s="10" t="str">
        <f aca="false">IF(A256="","",IF(Y256="Y",A256&amp;"_STAAD.std","n/a"))</f>
        <v/>
      </c>
      <c r="AD256" s="10" t="str">
        <f aca="false">IF(A256="","",A256&amp;"_CALC.xlsx")</f>
        <v/>
      </c>
      <c r="AE256" s="10" t="str">
        <f aca="false">IF(A256="","",A256&amp;"_CALC.pdf")</f>
        <v/>
      </c>
      <c r="AF256" s="9"/>
      <c r="AG256" s="9"/>
      <c r="AH256" s="41"/>
      <c r="AI256" s="41"/>
      <c r="AJ256" s="41"/>
      <c r="AK256" s="41"/>
      <c r="AL256" s="41"/>
      <c r="AM256" s="37" t="str">
        <f aca="false">IF(OR(C256="",F256="",G256="",C256="Sump",C256="Drop Inlet Chamber",C256="Silt Trap",C256="Pipe Culvert",C256="Subsoil Drain"),"",ROUND(MAX(1,N(H256))*(1/SG_Criteria!$B$26)*((F256/1000)*(G256/1000*(1-SG_Criteria!$B$25)))*(((F256/1000)*(G256/1000*(1-SG_Criteria!$B$25)))/((F256/1000)+2*(G256/1000*(1-SG_Criteria!$B$25))))^(2/3)*(1/Design_Selector!$B$11)^0.5,3))</f>
        <v/>
      </c>
      <c r="AN256" s="11" t="str">
        <f aca="false">IF(AM256="","",ROUND(AM256/(MAX(1,N(H256))*F256/1000*(G256/1000*(1-SG_Criteria!$B$25))),2))</f>
        <v/>
      </c>
      <c r="AO256" s="38" t="str">
        <f aca="false">IF(C256="","",IF(LEN(IF(AND(OR(D256="Roadside drain",D256="Entrance culvert"),OR(F256&lt;SG_Criteria!$B$15,G256&lt;SG_Criteria!$B$16)),"FAIL: below PUB min "&amp;SG_Criteria!$B$15&amp;"x"&amp;SG_Criteria!$B$16&amp;" for roadside drain. ","")&amp;IF(AND(D256="Common drain",F256&lt;SG_Criteria!$B$17),"FAIL: common drain W &lt; "&amp;SG_Criteria!$B$17&amp;" mm. ","")&amp;IF(AND(N256&lt;&gt;"",IFERROR(VALUE(MID(N256,2,2)),0)&lt;SG_Criteria!$B$19),"FAIL: grade below C"&amp;SG_Criteria!$B$19&amp;". ","")&amp;IF(AND(O256&lt;&gt;"",O256&lt;SG_Criteria!$B$20),"FAIL: cover &lt; "&amp;SG_Criteria!$B$20&amp;" mm. ","")&amp;IF(AND(E256="Open",G256&gt;SG_Criteria!$B$18),"NOTE: safety railing required (D &gt; "&amp;SG_Criteria!$B$18&amp;" mm). ","")&amp;IF(AND(D256="Entrance culvert",G256&lt;600),"NOTE: check hinged grating rule for culverts &lt; 600 deep (PUB Add. 3). ",""))=0,"OK",IF(AND(OR(D256="Roadside drain",D256="Entrance culvert"),OR(F256&lt;SG_Criteria!$B$15,G256&lt;SG_Criteria!$B$16)),"FAIL: below PUB min "&amp;SG_Criteria!$B$15&amp;"x"&amp;SG_Criteria!$B$16&amp;" for roadside drain. ","")&amp;IF(AND(D256="Common drain",F256&lt;SG_Criteria!$B$17),"FAIL: common drain W &lt; "&amp;SG_Criteria!$B$17&amp;" mm. ","")&amp;IF(AND(N256&lt;&gt;"",IFERROR(VALUE(MID(N256,2,2)),0)&lt;SG_Criteria!$B$19),"FAIL: grade below C"&amp;SG_Criteria!$B$19&amp;". ","")&amp;IF(AND(O256&lt;&gt;"",O256&lt;SG_Criteria!$B$20),"FAIL: cover &lt; "&amp;SG_Criteria!$B$20&amp;" mm. ","")&amp;IF(AND(E256="Open",G256&gt;SG_Criteria!$B$18),"NOTE: safety railing required (D &gt; "&amp;SG_Criteria!$B$18&amp;" mm). ","")&amp;IF(AND(D256="Entrance culvert",G256&lt;600),"NOTE: check hinged grating rule for culverts &lt; 600 deep (PUB Add. 3). ","")))</f>
        <v/>
      </c>
      <c r="AP256" s="9"/>
      <c r="AQ256" s="9"/>
      <c r="AR256" s="9"/>
      <c r="AS256" s="9"/>
      <c r="AT256" s="9"/>
      <c r="AU256" s="31"/>
      <c r="AV256" s="10" t="str">
        <f aca="false">IF(C256="","",IF(AND(V256="Approved",ISERROR(SEARCH("FAIL",AO256))),"Y","N"))</f>
        <v/>
      </c>
      <c r="AW256" s="10" t="str">
        <f aca="false">IF(C256="","",C256&amp;"|"&amp;F256&amp;"|"&amp;G256&amp;"|"&amp;L256&amp;"|"&amp;AV256)</f>
        <v/>
      </c>
    </row>
    <row r="257" customFormat="false" ht="15" hidden="false" customHeight="false" outlineLevel="0" collapsed="false">
      <c r="A257" s="10" t="str">
        <f aca="false">IF(C257="","","DRN-"&amp;IFERROR(VLOOKUP(C257,Lists!$A$4:$B$27,2,0),"??")&amp;"-"&amp;TEXT(F257,"0000")&amp;"x"&amp;TEXT(G257,"0000")&amp;IF(N(H257)&gt;1,"-"&amp;H257&amp;"C","")&amp;"-"&amp;IFERROR(VLOOKUP(L257,Lists!$J$4:$K$19,2,0),"??")&amp;"-"&amp;U257)</f>
        <v/>
      </c>
      <c r="B257" s="10" t="str">
        <f aca="false">IF(C257="","",C257&amp;" "&amp;F257&amp;"W x "&amp;G257&amp;"D"&amp;IF(N(H257)&gt;1," ("&amp;H257&amp;" cells)","")&amp;", "&amp;D257&amp;", "&amp;L257&amp;", "&amp;E257)</f>
        <v/>
      </c>
      <c r="C257" s="9"/>
      <c r="D257" s="9"/>
      <c r="E257" s="9"/>
      <c r="F257" s="40"/>
      <c r="G257" s="40"/>
      <c r="H257" s="40"/>
      <c r="I257" s="40"/>
      <c r="J257" s="40"/>
      <c r="K257" s="40"/>
      <c r="L257" s="9"/>
      <c r="M257" s="9"/>
      <c r="N257" s="9"/>
      <c r="O257" s="40"/>
      <c r="P257" s="9"/>
      <c r="Q257" s="9"/>
      <c r="R257" s="9"/>
      <c r="S257" s="9"/>
      <c r="T257" s="9"/>
      <c r="U257" s="9"/>
      <c r="V257" s="9"/>
      <c r="W257" s="9"/>
      <c r="X257" s="9"/>
      <c r="Y257" s="9"/>
      <c r="Z257" s="10" t="str">
        <f aca="false">IF(A257="","",SG_Criteria!$B$6&amp;SG_Criteria!$B$7&amp;"\"&amp;A257&amp;"\")</f>
        <v/>
      </c>
      <c r="AA257" s="10" t="str">
        <f aca="false">IF(A257="","",A257&amp;"_CAD.dwg")</f>
        <v/>
      </c>
      <c r="AB257" s="10" t="str">
        <f aca="false">IF(A257="","",A257&amp;"_DWG.pdf")</f>
        <v/>
      </c>
      <c r="AC257" s="10" t="str">
        <f aca="false">IF(A257="","",IF(Y257="Y",A257&amp;"_STAAD.std","n/a"))</f>
        <v/>
      </c>
      <c r="AD257" s="10" t="str">
        <f aca="false">IF(A257="","",A257&amp;"_CALC.xlsx")</f>
        <v/>
      </c>
      <c r="AE257" s="10" t="str">
        <f aca="false">IF(A257="","",A257&amp;"_CALC.pdf")</f>
        <v/>
      </c>
      <c r="AF257" s="9"/>
      <c r="AG257" s="9"/>
      <c r="AH257" s="41"/>
      <c r="AI257" s="41"/>
      <c r="AJ257" s="41"/>
      <c r="AK257" s="41"/>
      <c r="AL257" s="41"/>
      <c r="AM257" s="37" t="str">
        <f aca="false">IF(OR(C257="",F257="",G257="",C257="Sump",C257="Drop Inlet Chamber",C257="Silt Trap",C257="Pipe Culvert",C257="Subsoil Drain"),"",ROUND(MAX(1,N(H257))*(1/SG_Criteria!$B$26)*((F257/1000)*(G257/1000*(1-SG_Criteria!$B$25)))*(((F257/1000)*(G257/1000*(1-SG_Criteria!$B$25)))/((F257/1000)+2*(G257/1000*(1-SG_Criteria!$B$25))))^(2/3)*(1/Design_Selector!$B$11)^0.5,3))</f>
        <v/>
      </c>
      <c r="AN257" s="11" t="str">
        <f aca="false">IF(AM257="","",ROUND(AM257/(MAX(1,N(H257))*F257/1000*(G257/1000*(1-SG_Criteria!$B$25))),2))</f>
        <v/>
      </c>
      <c r="AO257" s="38" t="str">
        <f aca="false">IF(C257="","",IF(LEN(IF(AND(OR(D257="Roadside drain",D257="Entrance culvert"),OR(F257&lt;SG_Criteria!$B$15,G257&lt;SG_Criteria!$B$16)),"FAIL: below PUB min "&amp;SG_Criteria!$B$15&amp;"x"&amp;SG_Criteria!$B$16&amp;" for roadside drain. ","")&amp;IF(AND(D257="Common drain",F257&lt;SG_Criteria!$B$17),"FAIL: common drain W &lt; "&amp;SG_Criteria!$B$17&amp;" mm. ","")&amp;IF(AND(N257&lt;&gt;"",IFERROR(VALUE(MID(N257,2,2)),0)&lt;SG_Criteria!$B$19),"FAIL: grade below C"&amp;SG_Criteria!$B$19&amp;". ","")&amp;IF(AND(O257&lt;&gt;"",O257&lt;SG_Criteria!$B$20),"FAIL: cover &lt; "&amp;SG_Criteria!$B$20&amp;" mm. ","")&amp;IF(AND(E257="Open",G257&gt;SG_Criteria!$B$18),"NOTE: safety railing required (D &gt; "&amp;SG_Criteria!$B$18&amp;" mm). ","")&amp;IF(AND(D257="Entrance culvert",G257&lt;600),"NOTE: check hinged grating rule for culverts &lt; 600 deep (PUB Add. 3). ",""))=0,"OK",IF(AND(OR(D257="Roadside drain",D257="Entrance culvert"),OR(F257&lt;SG_Criteria!$B$15,G257&lt;SG_Criteria!$B$16)),"FAIL: below PUB min "&amp;SG_Criteria!$B$15&amp;"x"&amp;SG_Criteria!$B$16&amp;" for roadside drain. ","")&amp;IF(AND(D257="Common drain",F257&lt;SG_Criteria!$B$17),"FAIL: common drain W &lt; "&amp;SG_Criteria!$B$17&amp;" mm. ","")&amp;IF(AND(N257&lt;&gt;"",IFERROR(VALUE(MID(N257,2,2)),0)&lt;SG_Criteria!$B$19),"FAIL: grade below C"&amp;SG_Criteria!$B$19&amp;". ","")&amp;IF(AND(O257&lt;&gt;"",O257&lt;SG_Criteria!$B$20),"FAIL: cover &lt; "&amp;SG_Criteria!$B$20&amp;" mm. ","")&amp;IF(AND(E257="Open",G257&gt;SG_Criteria!$B$18),"NOTE: safety railing required (D &gt; "&amp;SG_Criteria!$B$18&amp;" mm). ","")&amp;IF(AND(D257="Entrance culvert",G257&lt;600),"NOTE: check hinged grating rule for culverts &lt; 600 deep (PUB Add. 3). ","")))</f>
        <v/>
      </c>
      <c r="AP257" s="9"/>
      <c r="AQ257" s="9"/>
      <c r="AR257" s="9"/>
      <c r="AS257" s="9"/>
      <c r="AT257" s="9"/>
      <c r="AU257" s="31"/>
      <c r="AV257" s="10" t="str">
        <f aca="false">IF(C257="","",IF(AND(V257="Approved",ISERROR(SEARCH("FAIL",AO257))),"Y","N"))</f>
        <v/>
      </c>
      <c r="AW257" s="10" t="str">
        <f aca="false">IF(C257="","",C257&amp;"|"&amp;F257&amp;"|"&amp;G257&amp;"|"&amp;L257&amp;"|"&amp;AV257)</f>
        <v/>
      </c>
    </row>
    <row r="258" customFormat="false" ht="15" hidden="false" customHeight="false" outlineLevel="0" collapsed="false">
      <c r="A258" s="10" t="str">
        <f aca="false">IF(C258="","","DRN-"&amp;IFERROR(VLOOKUP(C258,Lists!$A$4:$B$27,2,0),"??")&amp;"-"&amp;TEXT(F258,"0000")&amp;"x"&amp;TEXT(G258,"0000")&amp;IF(N(H258)&gt;1,"-"&amp;H258&amp;"C","")&amp;"-"&amp;IFERROR(VLOOKUP(L258,Lists!$J$4:$K$19,2,0),"??")&amp;"-"&amp;U258)</f>
        <v/>
      </c>
      <c r="B258" s="10" t="str">
        <f aca="false">IF(C258="","",C258&amp;" "&amp;F258&amp;"W x "&amp;G258&amp;"D"&amp;IF(N(H258)&gt;1," ("&amp;H258&amp;" cells)","")&amp;", "&amp;D258&amp;", "&amp;L258&amp;", "&amp;E258)</f>
        <v/>
      </c>
      <c r="C258" s="9"/>
      <c r="D258" s="9"/>
      <c r="E258" s="9"/>
      <c r="F258" s="40"/>
      <c r="G258" s="40"/>
      <c r="H258" s="40"/>
      <c r="I258" s="40"/>
      <c r="J258" s="40"/>
      <c r="K258" s="40"/>
      <c r="L258" s="9"/>
      <c r="M258" s="9"/>
      <c r="N258" s="9"/>
      <c r="O258" s="40"/>
      <c r="P258" s="9"/>
      <c r="Q258" s="9"/>
      <c r="R258" s="9"/>
      <c r="S258" s="9"/>
      <c r="T258" s="9"/>
      <c r="U258" s="9"/>
      <c r="V258" s="9"/>
      <c r="W258" s="9"/>
      <c r="X258" s="9"/>
      <c r="Y258" s="9"/>
      <c r="Z258" s="10" t="str">
        <f aca="false">IF(A258="","",SG_Criteria!$B$6&amp;SG_Criteria!$B$7&amp;"\"&amp;A258&amp;"\")</f>
        <v/>
      </c>
      <c r="AA258" s="10" t="str">
        <f aca="false">IF(A258="","",A258&amp;"_CAD.dwg")</f>
        <v/>
      </c>
      <c r="AB258" s="10" t="str">
        <f aca="false">IF(A258="","",A258&amp;"_DWG.pdf")</f>
        <v/>
      </c>
      <c r="AC258" s="10" t="str">
        <f aca="false">IF(A258="","",IF(Y258="Y",A258&amp;"_STAAD.std","n/a"))</f>
        <v/>
      </c>
      <c r="AD258" s="10" t="str">
        <f aca="false">IF(A258="","",A258&amp;"_CALC.xlsx")</f>
        <v/>
      </c>
      <c r="AE258" s="10" t="str">
        <f aca="false">IF(A258="","",A258&amp;"_CALC.pdf")</f>
        <v/>
      </c>
      <c r="AF258" s="9"/>
      <c r="AG258" s="9"/>
      <c r="AH258" s="41"/>
      <c r="AI258" s="41"/>
      <c r="AJ258" s="41"/>
      <c r="AK258" s="41"/>
      <c r="AL258" s="41"/>
      <c r="AM258" s="37" t="str">
        <f aca="false">IF(OR(C258="",F258="",G258="",C258="Sump",C258="Drop Inlet Chamber",C258="Silt Trap",C258="Pipe Culvert",C258="Subsoil Drain"),"",ROUND(MAX(1,N(H258))*(1/SG_Criteria!$B$26)*((F258/1000)*(G258/1000*(1-SG_Criteria!$B$25)))*(((F258/1000)*(G258/1000*(1-SG_Criteria!$B$25)))/((F258/1000)+2*(G258/1000*(1-SG_Criteria!$B$25))))^(2/3)*(1/Design_Selector!$B$11)^0.5,3))</f>
        <v/>
      </c>
      <c r="AN258" s="11" t="str">
        <f aca="false">IF(AM258="","",ROUND(AM258/(MAX(1,N(H258))*F258/1000*(G258/1000*(1-SG_Criteria!$B$25))),2))</f>
        <v/>
      </c>
      <c r="AO258" s="38" t="str">
        <f aca="false">IF(C258="","",IF(LEN(IF(AND(OR(D258="Roadside drain",D258="Entrance culvert"),OR(F258&lt;SG_Criteria!$B$15,G258&lt;SG_Criteria!$B$16)),"FAIL: below PUB min "&amp;SG_Criteria!$B$15&amp;"x"&amp;SG_Criteria!$B$16&amp;" for roadside drain. ","")&amp;IF(AND(D258="Common drain",F258&lt;SG_Criteria!$B$17),"FAIL: common drain W &lt; "&amp;SG_Criteria!$B$17&amp;" mm. ","")&amp;IF(AND(N258&lt;&gt;"",IFERROR(VALUE(MID(N258,2,2)),0)&lt;SG_Criteria!$B$19),"FAIL: grade below C"&amp;SG_Criteria!$B$19&amp;". ","")&amp;IF(AND(O258&lt;&gt;"",O258&lt;SG_Criteria!$B$20),"FAIL: cover &lt; "&amp;SG_Criteria!$B$20&amp;" mm. ","")&amp;IF(AND(E258="Open",G258&gt;SG_Criteria!$B$18),"NOTE: safety railing required (D &gt; "&amp;SG_Criteria!$B$18&amp;" mm). ","")&amp;IF(AND(D258="Entrance culvert",G258&lt;600),"NOTE: check hinged grating rule for culverts &lt; 600 deep (PUB Add. 3). ",""))=0,"OK",IF(AND(OR(D258="Roadside drain",D258="Entrance culvert"),OR(F258&lt;SG_Criteria!$B$15,G258&lt;SG_Criteria!$B$16)),"FAIL: below PUB min "&amp;SG_Criteria!$B$15&amp;"x"&amp;SG_Criteria!$B$16&amp;" for roadside drain. ","")&amp;IF(AND(D258="Common drain",F258&lt;SG_Criteria!$B$17),"FAIL: common drain W &lt; "&amp;SG_Criteria!$B$17&amp;" mm. ","")&amp;IF(AND(N258&lt;&gt;"",IFERROR(VALUE(MID(N258,2,2)),0)&lt;SG_Criteria!$B$19),"FAIL: grade below C"&amp;SG_Criteria!$B$19&amp;". ","")&amp;IF(AND(O258&lt;&gt;"",O258&lt;SG_Criteria!$B$20),"FAIL: cover &lt; "&amp;SG_Criteria!$B$20&amp;" mm. ","")&amp;IF(AND(E258="Open",G258&gt;SG_Criteria!$B$18),"NOTE: safety railing required (D &gt; "&amp;SG_Criteria!$B$18&amp;" mm). ","")&amp;IF(AND(D258="Entrance culvert",G258&lt;600),"NOTE: check hinged grating rule for culverts &lt; 600 deep (PUB Add. 3). ","")))</f>
        <v/>
      </c>
      <c r="AP258" s="9"/>
      <c r="AQ258" s="9"/>
      <c r="AR258" s="9"/>
      <c r="AS258" s="9"/>
      <c r="AT258" s="9"/>
      <c r="AU258" s="31"/>
      <c r="AV258" s="10" t="str">
        <f aca="false">IF(C258="","",IF(AND(V258="Approved",ISERROR(SEARCH("FAIL",AO258))),"Y","N"))</f>
        <v/>
      </c>
      <c r="AW258" s="10" t="str">
        <f aca="false">IF(C258="","",C258&amp;"|"&amp;F258&amp;"|"&amp;G258&amp;"|"&amp;L258&amp;"|"&amp;AV258)</f>
        <v/>
      </c>
    </row>
    <row r="259" customFormat="false" ht="15" hidden="false" customHeight="false" outlineLevel="0" collapsed="false">
      <c r="A259" s="10" t="str">
        <f aca="false">IF(C259="","","DRN-"&amp;IFERROR(VLOOKUP(C259,Lists!$A$4:$B$27,2,0),"??")&amp;"-"&amp;TEXT(F259,"0000")&amp;"x"&amp;TEXT(G259,"0000")&amp;IF(N(H259)&gt;1,"-"&amp;H259&amp;"C","")&amp;"-"&amp;IFERROR(VLOOKUP(L259,Lists!$J$4:$K$19,2,0),"??")&amp;"-"&amp;U259)</f>
        <v/>
      </c>
      <c r="B259" s="10" t="str">
        <f aca="false">IF(C259="","",C259&amp;" "&amp;F259&amp;"W x "&amp;G259&amp;"D"&amp;IF(N(H259)&gt;1," ("&amp;H259&amp;" cells)","")&amp;", "&amp;D259&amp;", "&amp;L259&amp;", "&amp;E259)</f>
        <v/>
      </c>
      <c r="C259" s="9"/>
      <c r="D259" s="9"/>
      <c r="E259" s="9"/>
      <c r="F259" s="40"/>
      <c r="G259" s="40"/>
      <c r="H259" s="40"/>
      <c r="I259" s="40"/>
      <c r="J259" s="40"/>
      <c r="K259" s="40"/>
      <c r="L259" s="9"/>
      <c r="M259" s="9"/>
      <c r="N259" s="9"/>
      <c r="O259" s="40"/>
      <c r="P259" s="9"/>
      <c r="Q259" s="9"/>
      <c r="R259" s="9"/>
      <c r="S259" s="9"/>
      <c r="T259" s="9"/>
      <c r="U259" s="9"/>
      <c r="V259" s="9"/>
      <c r="W259" s="9"/>
      <c r="X259" s="9"/>
      <c r="Y259" s="9"/>
      <c r="Z259" s="10" t="str">
        <f aca="false">IF(A259="","",SG_Criteria!$B$6&amp;SG_Criteria!$B$7&amp;"\"&amp;A259&amp;"\")</f>
        <v/>
      </c>
      <c r="AA259" s="10" t="str">
        <f aca="false">IF(A259="","",A259&amp;"_CAD.dwg")</f>
        <v/>
      </c>
      <c r="AB259" s="10" t="str">
        <f aca="false">IF(A259="","",A259&amp;"_DWG.pdf")</f>
        <v/>
      </c>
      <c r="AC259" s="10" t="str">
        <f aca="false">IF(A259="","",IF(Y259="Y",A259&amp;"_STAAD.std","n/a"))</f>
        <v/>
      </c>
      <c r="AD259" s="10" t="str">
        <f aca="false">IF(A259="","",A259&amp;"_CALC.xlsx")</f>
        <v/>
      </c>
      <c r="AE259" s="10" t="str">
        <f aca="false">IF(A259="","",A259&amp;"_CALC.pdf")</f>
        <v/>
      </c>
      <c r="AF259" s="9"/>
      <c r="AG259" s="9"/>
      <c r="AH259" s="41"/>
      <c r="AI259" s="41"/>
      <c r="AJ259" s="41"/>
      <c r="AK259" s="41"/>
      <c r="AL259" s="41"/>
      <c r="AM259" s="37" t="str">
        <f aca="false">IF(OR(C259="",F259="",G259="",C259="Sump",C259="Drop Inlet Chamber",C259="Silt Trap",C259="Pipe Culvert",C259="Subsoil Drain"),"",ROUND(MAX(1,N(H259))*(1/SG_Criteria!$B$26)*((F259/1000)*(G259/1000*(1-SG_Criteria!$B$25)))*(((F259/1000)*(G259/1000*(1-SG_Criteria!$B$25)))/((F259/1000)+2*(G259/1000*(1-SG_Criteria!$B$25))))^(2/3)*(1/Design_Selector!$B$11)^0.5,3))</f>
        <v/>
      </c>
      <c r="AN259" s="11" t="str">
        <f aca="false">IF(AM259="","",ROUND(AM259/(MAX(1,N(H259))*F259/1000*(G259/1000*(1-SG_Criteria!$B$25))),2))</f>
        <v/>
      </c>
      <c r="AO259" s="38" t="str">
        <f aca="false">IF(C259="","",IF(LEN(IF(AND(OR(D259="Roadside drain",D259="Entrance culvert"),OR(F259&lt;SG_Criteria!$B$15,G259&lt;SG_Criteria!$B$16)),"FAIL: below PUB min "&amp;SG_Criteria!$B$15&amp;"x"&amp;SG_Criteria!$B$16&amp;" for roadside drain. ","")&amp;IF(AND(D259="Common drain",F259&lt;SG_Criteria!$B$17),"FAIL: common drain W &lt; "&amp;SG_Criteria!$B$17&amp;" mm. ","")&amp;IF(AND(N259&lt;&gt;"",IFERROR(VALUE(MID(N259,2,2)),0)&lt;SG_Criteria!$B$19),"FAIL: grade below C"&amp;SG_Criteria!$B$19&amp;". ","")&amp;IF(AND(O259&lt;&gt;"",O259&lt;SG_Criteria!$B$20),"FAIL: cover &lt; "&amp;SG_Criteria!$B$20&amp;" mm. ","")&amp;IF(AND(E259="Open",G259&gt;SG_Criteria!$B$18),"NOTE: safety railing required (D &gt; "&amp;SG_Criteria!$B$18&amp;" mm). ","")&amp;IF(AND(D259="Entrance culvert",G259&lt;600),"NOTE: check hinged grating rule for culverts &lt; 600 deep (PUB Add. 3). ",""))=0,"OK",IF(AND(OR(D259="Roadside drain",D259="Entrance culvert"),OR(F259&lt;SG_Criteria!$B$15,G259&lt;SG_Criteria!$B$16)),"FAIL: below PUB min "&amp;SG_Criteria!$B$15&amp;"x"&amp;SG_Criteria!$B$16&amp;" for roadside drain. ","")&amp;IF(AND(D259="Common drain",F259&lt;SG_Criteria!$B$17),"FAIL: common drain W &lt; "&amp;SG_Criteria!$B$17&amp;" mm. ","")&amp;IF(AND(N259&lt;&gt;"",IFERROR(VALUE(MID(N259,2,2)),0)&lt;SG_Criteria!$B$19),"FAIL: grade below C"&amp;SG_Criteria!$B$19&amp;". ","")&amp;IF(AND(O259&lt;&gt;"",O259&lt;SG_Criteria!$B$20),"FAIL: cover &lt; "&amp;SG_Criteria!$B$20&amp;" mm. ","")&amp;IF(AND(E259="Open",G259&gt;SG_Criteria!$B$18),"NOTE: safety railing required (D &gt; "&amp;SG_Criteria!$B$18&amp;" mm). ","")&amp;IF(AND(D259="Entrance culvert",G259&lt;600),"NOTE: check hinged grating rule for culverts &lt; 600 deep (PUB Add. 3). ","")))</f>
        <v/>
      </c>
      <c r="AP259" s="9"/>
      <c r="AQ259" s="9"/>
      <c r="AR259" s="9"/>
      <c r="AS259" s="9"/>
      <c r="AT259" s="9"/>
      <c r="AU259" s="31"/>
      <c r="AV259" s="10" t="str">
        <f aca="false">IF(C259="","",IF(AND(V259="Approved",ISERROR(SEARCH("FAIL",AO259))),"Y","N"))</f>
        <v/>
      </c>
      <c r="AW259" s="10" t="str">
        <f aca="false">IF(C259="","",C259&amp;"|"&amp;F259&amp;"|"&amp;G259&amp;"|"&amp;L259&amp;"|"&amp;AV259)</f>
        <v/>
      </c>
    </row>
    <row r="260" customFormat="false" ht="15" hidden="false" customHeight="false" outlineLevel="0" collapsed="false">
      <c r="A260" s="10" t="str">
        <f aca="false">IF(C260="","","DRN-"&amp;IFERROR(VLOOKUP(C260,Lists!$A$4:$B$27,2,0),"??")&amp;"-"&amp;TEXT(F260,"0000")&amp;"x"&amp;TEXT(G260,"0000")&amp;IF(N(H260)&gt;1,"-"&amp;H260&amp;"C","")&amp;"-"&amp;IFERROR(VLOOKUP(L260,Lists!$J$4:$K$19,2,0),"??")&amp;"-"&amp;U260)</f>
        <v/>
      </c>
      <c r="B260" s="10" t="str">
        <f aca="false">IF(C260="","",C260&amp;" "&amp;F260&amp;"W x "&amp;G260&amp;"D"&amp;IF(N(H260)&gt;1," ("&amp;H260&amp;" cells)","")&amp;", "&amp;D260&amp;", "&amp;L260&amp;", "&amp;E260)</f>
        <v/>
      </c>
      <c r="C260" s="9"/>
      <c r="D260" s="9"/>
      <c r="E260" s="9"/>
      <c r="F260" s="40"/>
      <c r="G260" s="40"/>
      <c r="H260" s="40"/>
      <c r="I260" s="40"/>
      <c r="J260" s="40"/>
      <c r="K260" s="40"/>
      <c r="L260" s="9"/>
      <c r="M260" s="9"/>
      <c r="N260" s="9"/>
      <c r="O260" s="40"/>
      <c r="P260" s="9"/>
      <c r="Q260" s="9"/>
      <c r="R260" s="9"/>
      <c r="S260" s="9"/>
      <c r="T260" s="9"/>
      <c r="U260" s="9"/>
      <c r="V260" s="9"/>
      <c r="W260" s="9"/>
      <c r="X260" s="9"/>
      <c r="Y260" s="9"/>
      <c r="Z260" s="10" t="str">
        <f aca="false">IF(A260="","",SG_Criteria!$B$6&amp;SG_Criteria!$B$7&amp;"\"&amp;A260&amp;"\")</f>
        <v/>
      </c>
      <c r="AA260" s="10" t="str">
        <f aca="false">IF(A260="","",A260&amp;"_CAD.dwg")</f>
        <v/>
      </c>
      <c r="AB260" s="10" t="str">
        <f aca="false">IF(A260="","",A260&amp;"_DWG.pdf")</f>
        <v/>
      </c>
      <c r="AC260" s="10" t="str">
        <f aca="false">IF(A260="","",IF(Y260="Y",A260&amp;"_STAAD.std","n/a"))</f>
        <v/>
      </c>
      <c r="AD260" s="10" t="str">
        <f aca="false">IF(A260="","",A260&amp;"_CALC.xlsx")</f>
        <v/>
      </c>
      <c r="AE260" s="10" t="str">
        <f aca="false">IF(A260="","",A260&amp;"_CALC.pdf")</f>
        <v/>
      </c>
      <c r="AF260" s="9"/>
      <c r="AG260" s="9"/>
      <c r="AH260" s="41"/>
      <c r="AI260" s="41"/>
      <c r="AJ260" s="41"/>
      <c r="AK260" s="41"/>
      <c r="AL260" s="41"/>
      <c r="AM260" s="37" t="str">
        <f aca="false">IF(OR(C260="",F260="",G260="",C260="Sump",C260="Drop Inlet Chamber",C260="Silt Trap",C260="Pipe Culvert",C260="Subsoil Drain"),"",ROUND(MAX(1,N(H260))*(1/SG_Criteria!$B$26)*((F260/1000)*(G260/1000*(1-SG_Criteria!$B$25)))*(((F260/1000)*(G260/1000*(1-SG_Criteria!$B$25)))/((F260/1000)+2*(G260/1000*(1-SG_Criteria!$B$25))))^(2/3)*(1/Design_Selector!$B$11)^0.5,3))</f>
        <v/>
      </c>
      <c r="AN260" s="11" t="str">
        <f aca="false">IF(AM260="","",ROUND(AM260/(MAX(1,N(H260))*F260/1000*(G260/1000*(1-SG_Criteria!$B$25))),2))</f>
        <v/>
      </c>
      <c r="AO260" s="38" t="str">
        <f aca="false">IF(C260="","",IF(LEN(IF(AND(OR(D260="Roadside drain",D260="Entrance culvert"),OR(F260&lt;SG_Criteria!$B$15,G260&lt;SG_Criteria!$B$16)),"FAIL: below PUB min "&amp;SG_Criteria!$B$15&amp;"x"&amp;SG_Criteria!$B$16&amp;" for roadside drain. ","")&amp;IF(AND(D260="Common drain",F260&lt;SG_Criteria!$B$17),"FAIL: common drain W &lt; "&amp;SG_Criteria!$B$17&amp;" mm. ","")&amp;IF(AND(N260&lt;&gt;"",IFERROR(VALUE(MID(N260,2,2)),0)&lt;SG_Criteria!$B$19),"FAIL: grade below C"&amp;SG_Criteria!$B$19&amp;". ","")&amp;IF(AND(O260&lt;&gt;"",O260&lt;SG_Criteria!$B$20),"FAIL: cover &lt; "&amp;SG_Criteria!$B$20&amp;" mm. ","")&amp;IF(AND(E260="Open",G260&gt;SG_Criteria!$B$18),"NOTE: safety railing required (D &gt; "&amp;SG_Criteria!$B$18&amp;" mm). ","")&amp;IF(AND(D260="Entrance culvert",G260&lt;600),"NOTE: check hinged grating rule for culverts &lt; 600 deep (PUB Add. 3). ",""))=0,"OK",IF(AND(OR(D260="Roadside drain",D260="Entrance culvert"),OR(F260&lt;SG_Criteria!$B$15,G260&lt;SG_Criteria!$B$16)),"FAIL: below PUB min "&amp;SG_Criteria!$B$15&amp;"x"&amp;SG_Criteria!$B$16&amp;" for roadside drain. ","")&amp;IF(AND(D260="Common drain",F260&lt;SG_Criteria!$B$17),"FAIL: common drain W &lt; "&amp;SG_Criteria!$B$17&amp;" mm. ","")&amp;IF(AND(N260&lt;&gt;"",IFERROR(VALUE(MID(N260,2,2)),0)&lt;SG_Criteria!$B$19),"FAIL: grade below C"&amp;SG_Criteria!$B$19&amp;". ","")&amp;IF(AND(O260&lt;&gt;"",O260&lt;SG_Criteria!$B$20),"FAIL: cover &lt; "&amp;SG_Criteria!$B$20&amp;" mm. ","")&amp;IF(AND(E260="Open",G260&gt;SG_Criteria!$B$18),"NOTE: safety railing required (D &gt; "&amp;SG_Criteria!$B$18&amp;" mm). ","")&amp;IF(AND(D260="Entrance culvert",G260&lt;600),"NOTE: check hinged grating rule for culverts &lt; 600 deep (PUB Add. 3). ","")))</f>
        <v/>
      </c>
      <c r="AP260" s="9"/>
      <c r="AQ260" s="9"/>
      <c r="AR260" s="9"/>
      <c r="AS260" s="9"/>
      <c r="AT260" s="9"/>
      <c r="AU260" s="31"/>
      <c r="AV260" s="10" t="str">
        <f aca="false">IF(C260="","",IF(AND(V260="Approved",ISERROR(SEARCH("FAIL",AO260))),"Y","N"))</f>
        <v/>
      </c>
      <c r="AW260" s="10" t="str">
        <f aca="false">IF(C260="","",C260&amp;"|"&amp;F260&amp;"|"&amp;G260&amp;"|"&amp;L260&amp;"|"&amp;AV260)</f>
        <v/>
      </c>
    </row>
    <row r="261" customFormat="false" ht="15" hidden="false" customHeight="false" outlineLevel="0" collapsed="false">
      <c r="A261" s="10" t="str">
        <f aca="false">IF(C261="","","DRN-"&amp;IFERROR(VLOOKUP(C261,Lists!$A$4:$B$27,2,0),"??")&amp;"-"&amp;TEXT(F261,"0000")&amp;"x"&amp;TEXT(G261,"0000")&amp;IF(N(H261)&gt;1,"-"&amp;H261&amp;"C","")&amp;"-"&amp;IFERROR(VLOOKUP(L261,Lists!$J$4:$K$19,2,0),"??")&amp;"-"&amp;U261)</f>
        <v/>
      </c>
      <c r="B261" s="10" t="str">
        <f aca="false">IF(C261="","",C261&amp;" "&amp;F261&amp;"W x "&amp;G261&amp;"D"&amp;IF(N(H261)&gt;1," ("&amp;H261&amp;" cells)","")&amp;", "&amp;D261&amp;", "&amp;L261&amp;", "&amp;E261)</f>
        <v/>
      </c>
      <c r="C261" s="9"/>
      <c r="D261" s="9"/>
      <c r="E261" s="9"/>
      <c r="F261" s="40"/>
      <c r="G261" s="40"/>
      <c r="H261" s="40"/>
      <c r="I261" s="40"/>
      <c r="J261" s="40"/>
      <c r="K261" s="40"/>
      <c r="L261" s="9"/>
      <c r="M261" s="9"/>
      <c r="N261" s="9"/>
      <c r="O261" s="40"/>
      <c r="P261" s="9"/>
      <c r="Q261" s="9"/>
      <c r="R261" s="9"/>
      <c r="S261" s="9"/>
      <c r="T261" s="9"/>
      <c r="U261" s="9"/>
      <c r="V261" s="9"/>
      <c r="W261" s="9"/>
      <c r="X261" s="9"/>
      <c r="Y261" s="9"/>
      <c r="Z261" s="10" t="str">
        <f aca="false">IF(A261="","",SG_Criteria!$B$6&amp;SG_Criteria!$B$7&amp;"\"&amp;A261&amp;"\")</f>
        <v/>
      </c>
      <c r="AA261" s="10" t="str">
        <f aca="false">IF(A261="","",A261&amp;"_CAD.dwg")</f>
        <v/>
      </c>
      <c r="AB261" s="10" t="str">
        <f aca="false">IF(A261="","",A261&amp;"_DWG.pdf")</f>
        <v/>
      </c>
      <c r="AC261" s="10" t="str">
        <f aca="false">IF(A261="","",IF(Y261="Y",A261&amp;"_STAAD.std","n/a"))</f>
        <v/>
      </c>
      <c r="AD261" s="10" t="str">
        <f aca="false">IF(A261="","",A261&amp;"_CALC.xlsx")</f>
        <v/>
      </c>
      <c r="AE261" s="10" t="str">
        <f aca="false">IF(A261="","",A261&amp;"_CALC.pdf")</f>
        <v/>
      </c>
      <c r="AF261" s="9"/>
      <c r="AG261" s="9"/>
      <c r="AH261" s="41"/>
      <c r="AI261" s="41"/>
      <c r="AJ261" s="41"/>
      <c r="AK261" s="41"/>
      <c r="AL261" s="41"/>
      <c r="AM261" s="37" t="str">
        <f aca="false">IF(OR(C261="",F261="",G261="",C261="Sump",C261="Drop Inlet Chamber",C261="Silt Trap",C261="Pipe Culvert",C261="Subsoil Drain"),"",ROUND(MAX(1,N(H261))*(1/SG_Criteria!$B$26)*((F261/1000)*(G261/1000*(1-SG_Criteria!$B$25)))*(((F261/1000)*(G261/1000*(1-SG_Criteria!$B$25)))/((F261/1000)+2*(G261/1000*(1-SG_Criteria!$B$25))))^(2/3)*(1/Design_Selector!$B$11)^0.5,3))</f>
        <v/>
      </c>
      <c r="AN261" s="11" t="str">
        <f aca="false">IF(AM261="","",ROUND(AM261/(MAX(1,N(H261))*F261/1000*(G261/1000*(1-SG_Criteria!$B$25))),2))</f>
        <v/>
      </c>
      <c r="AO261" s="38" t="str">
        <f aca="false">IF(C261="","",IF(LEN(IF(AND(OR(D261="Roadside drain",D261="Entrance culvert"),OR(F261&lt;SG_Criteria!$B$15,G261&lt;SG_Criteria!$B$16)),"FAIL: below PUB min "&amp;SG_Criteria!$B$15&amp;"x"&amp;SG_Criteria!$B$16&amp;" for roadside drain. ","")&amp;IF(AND(D261="Common drain",F261&lt;SG_Criteria!$B$17),"FAIL: common drain W &lt; "&amp;SG_Criteria!$B$17&amp;" mm. ","")&amp;IF(AND(N261&lt;&gt;"",IFERROR(VALUE(MID(N261,2,2)),0)&lt;SG_Criteria!$B$19),"FAIL: grade below C"&amp;SG_Criteria!$B$19&amp;". ","")&amp;IF(AND(O261&lt;&gt;"",O261&lt;SG_Criteria!$B$20),"FAIL: cover &lt; "&amp;SG_Criteria!$B$20&amp;" mm. ","")&amp;IF(AND(E261="Open",G261&gt;SG_Criteria!$B$18),"NOTE: safety railing required (D &gt; "&amp;SG_Criteria!$B$18&amp;" mm). ","")&amp;IF(AND(D261="Entrance culvert",G261&lt;600),"NOTE: check hinged grating rule for culverts &lt; 600 deep (PUB Add. 3). ",""))=0,"OK",IF(AND(OR(D261="Roadside drain",D261="Entrance culvert"),OR(F261&lt;SG_Criteria!$B$15,G261&lt;SG_Criteria!$B$16)),"FAIL: below PUB min "&amp;SG_Criteria!$B$15&amp;"x"&amp;SG_Criteria!$B$16&amp;" for roadside drain. ","")&amp;IF(AND(D261="Common drain",F261&lt;SG_Criteria!$B$17),"FAIL: common drain W &lt; "&amp;SG_Criteria!$B$17&amp;" mm. ","")&amp;IF(AND(N261&lt;&gt;"",IFERROR(VALUE(MID(N261,2,2)),0)&lt;SG_Criteria!$B$19),"FAIL: grade below C"&amp;SG_Criteria!$B$19&amp;". ","")&amp;IF(AND(O261&lt;&gt;"",O261&lt;SG_Criteria!$B$20),"FAIL: cover &lt; "&amp;SG_Criteria!$B$20&amp;" mm. ","")&amp;IF(AND(E261="Open",G261&gt;SG_Criteria!$B$18),"NOTE: safety railing required (D &gt; "&amp;SG_Criteria!$B$18&amp;" mm). ","")&amp;IF(AND(D261="Entrance culvert",G261&lt;600),"NOTE: check hinged grating rule for culverts &lt; 600 deep (PUB Add. 3). ","")))</f>
        <v/>
      </c>
      <c r="AP261" s="9"/>
      <c r="AQ261" s="9"/>
      <c r="AR261" s="9"/>
      <c r="AS261" s="9"/>
      <c r="AT261" s="9"/>
      <c r="AU261" s="31"/>
      <c r="AV261" s="10" t="str">
        <f aca="false">IF(C261="","",IF(AND(V261="Approved",ISERROR(SEARCH("FAIL",AO261))),"Y","N"))</f>
        <v/>
      </c>
      <c r="AW261" s="10" t="str">
        <f aca="false">IF(C261="","",C261&amp;"|"&amp;F261&amp;"|"&amp;G261&amp;"|"&amp;L261&amp;"|"&amp;AV261)</f>
        <v/>
      </c>
    </row>
    <row r="262" customFormat="false" ht="15" hidden="false" customHeight="false" outlineLevel="0" collapsed="false">
      <c r="A262" s="10" t="str">
        <f aca="false">IF(C262="","","DRN-"&amp;IFERROR(VLOOKUP(C262,Lists!$A$4:$B$27,2,0),"??")&amp;"-"&amp;TEXT(F262,"0000")&amp;"x"&amp;TEXT(G262,"0000")&amp;IF(N(H262)&gt;1,"-"&amp;H262&amp;"C","")&amp;"-"&amp;IFERROR(VLOOKUP(L262,Lists!$J$4:$K$19,2,0),"??")&amp;"-"&amp;U262)</f>
        <v/>
      </c>
      <c r="B262" s="10" t="str">
        <f aca="false">IF(C262="","",C262&amp;" "&amp;F262&amp;"W x "&amp;G262&amp;"D"&amp;IF(N(H262)&gt;1," ("&amp;H262&amp;" cells)","")&amp;", "&amp;D262&amp;", "&amp;L262&amp;", "&amp;E262)</f>
        <v/>
      </c>
      <c r="C262" s="9"/>
      <c r="D262" s="9"/>
      <c r="E262" s="9"/>
      <c r="F262" s="40"/>
      <c r="G262" s="40"/>
      <c r="H262" s="40"/>
      <c r="I262" s="40"/>
      <c r="J262" s="40"/>
      <c r="K262" s="40"/>
      <c r="L262" s="9"/>
      <c r="M262" s="9"/>
      <c r="N262" s="9"/>
      <c r="O262" s="40"/>
      <c r="P262" s="9"/>
      <c r="Q262" s="9"/>
      <c r="R262" s="9"/>
      <c r="S262" s="9"/>
      <c r="T262" s="9"/>
      <c r="U262" s="9"/>
      <c r="V262" s="9"/>
      <c r="W262" s="9"/>
      <c r="X262" s="9"/>
      <c r="Y262" s="9"/>
      <c r="Z262" s="10" t="str">
        <f aca="false">IF(A262="","",SG_Criteria!$B$6&amp;SG_Criteria!$B$7&amp;"\"&amp;A262&amp;"\")</f>
        <v/>
      </c>
      <c r="AA262" s="10" t="str">
        <f aca="false">IF(A262="","",A262&amp;"_CAD.dwg")</f>
        <v/>
      </c>
      <c r="AB262" s="10" t="str">
        <f aca="false">IF(A262="","",A262&amp;"_DWG.pdf")</f>
        <v/>
      </c>
      <c r="AC262" s="10" t="str">
        <f aca="false">IF(A262="","",IF(Y262="Y",A262&amp;"_STAAD.std","n/a"))</f>
        <v/>
      </c>
      <c r="AD262" s="10" t="str">
        <f aca="false">IF(A262="","",A262&amp;"_CALC.xlsx")</f>
        <v/>
      </c>
      <c r="AE262" s="10" t="str">
        <f aca="false">IF(A262="","",A262&amp;"_CALC.pdf")</f>
        <v/>
      </c>
      <c r="AF262" s="9"/>
      <c r="AG262" s="9"/>
      <c r="AH262" s="41"/>
      <c r="AI262" s="41"/>
      <c r="AJ262" s="41"/>
      <c r="AK262" s="41"/>
      <c r="AL262" s="41"/>
      <c r="AM262" s="37" t="str">
        <f aca="false">IF(OR(C262="",F262="",G262="",C262="Sump",C262="Drop Inlet Chamber",C262="Silt Trap",C262="Pipe Culvert",C262="Subsoil Drain"),"",ROUND(MAX(1,N(H262))*(1/SG_Criteria!$B$26)*((F262/1000)*(G262/1000*(1-SG_Criteria!$B$25)))*(((F262/1000)*(G262/1000*(1-SG_Criteria!$B$25)))/((F262/1000)+2*(G262/1000*(1-SG_Criteria!$B$25))))^(2/3)*(1/Design_Selector!$B$11)^0.5,3))</f>
        <v/>
      </c>
      <c r="AN262" s="11" t="str">
        <f aca="false">IF(AM262="","",ROUND(AM262/(MAX(1,N(H262))*F262/1000*(G262/1000*(1-SG_Criteria!$B$25))),2))</f>
        <v/>
      </c>
      <c r="AO262" s="38" t="str">
        <f aca="false">IF(C262="","",IF(LEN(IF(AND(OR(D262="Roadside drain",D262="Entrance culvert"),OR(F262&lt;SG_Criteria!$B$15,G262&lt;SG_Criteria!$B$16)),"FAIL: below PUB min "&amp;SG_Criteria!$B$15&amp;"x"&amp;SG_Criteria!$B$16&amp;" for roadside drain. ","")&amp;IF(AND(D262="Common drain",F262&lt;SG_Criteria!$B$17),"FAIL: common drain W &lt; "&amp;SG_Criteria!$B$17&amp;" mm. ","")&amp;IF(AND(N262&lt;&gt;"",IFERROR(VALUE(MID(N262,2,2)),0)&lt;SG_Criteria!$B$19),"FAIL: grade below C"&amp;SG_Criteria!$B$19&amp;". ","")&amp;IF(AND(O262&lt;&gt;"",O262&lt;SG_Criteria!$B$20),"FAIL: cover &lt; "&amp;SG_Criteria!$B$20&amp;" mm. ","")&amp;IF(AND(E262="Open",G262&gt;SG_Criteria!$B$18),"NOTE: safety railing required (D &gt; "&amp;SG_Criteria!$B$18&amp;" mm). ","")&amp;IF(AND(D262="Entrance culvert",G262&lt;600),"NOTE: check hinged grating rule for culverts &lt; 600 deep (PUB Add. 3). ",""))=0,"OK",IF(AND(OR(D262="Roadside drain",D262="Entrance culvert"),OR(F262&lt;SG_Criteria!$B$15,G262&lt;SG_Criteria!$B$16)),"FAIL: below PUB min "&amp;SG_Criteria!$B$15&amp;"x"&amp;SG_Criteria!$B$16&amp;" for roadside drain. ","")&amp;IF(AND(D262="Common drain",F262&lt;SG_Criteria!$B$17),"FAIL: common drain W &lt; "&amp;SG_Criteria!$B$17&amp;" mm. ","")&amp;IF(AND(N262&lt;&gt;"",IFERROR(VALUE(MID(N262,2,2)),0)&lt;SG_Criteria!$B$19),"FAIL: grade below C"&amp;SG_Criteria!$B$19&amp;". ","")&amp;IF(AND(O262&lt;&gt;"",O262&lt;SG_Criteria!$B$20),"FAIL: cover &lt; "&amp;SG_Criteria!$B$20&amp;" mm. ","")&amp;IF(AND(E262="Open",G262&gt;SG_Criteria!$B$18),"NOTE: safety railing required (D &gt; "&amp;SG_Criteria!$B$18&amp;" mm). ","")&amp;IF(AND(D262="Entrance culvert",G262&lt;600),"NOTE: check hinged grating rule for culverts &lt; 600 deep (PUB Add. 3). ","")))</f>
        <v/>
      </c>
      <c r="AP262" s="9"/>
      <c r="AQ262" s="9"/>
      <c r="AR262" s="9"/>
      <c r="AS262" s="9"/>
      <c r="AT262" s="9"/>
      <c r="AU262" s="31"/>
      <c r="AV262" s="10" t="str">
        <f aca="false">IF(C262="","",IF(AND(V262="Approved",ISERROR(SEARCH("FAIL",AO262))),"Y","N"))</f>
        <v/>
      </c>
      <c r="AW262" s="10" t="str">
        <f aca="false">IF(C262="","",C262&amp;"|"&amp;F262&amp;"|"&amp;G262&amp;"|"&amp;L262&amp;"|"&amp;AV262)</f>
        <v/>
      </c>
    </row>
    <row r="263" customFormat="false" ht="15" hidden="false" customHeight="false" outlineLevel="0" collapsed="false">
      <c r="A263" s="10" t="str">
        <f aca="false">IF(C263="","","DRN-"&amp;IFERROR(VLOOKUP(C263,Lists!$A$4:$B$27,2,0),"??")&amp;"-"&amp;TEXT(F263,"0000")&amp;"x"&amp;TEXT(G263,"0000")&amp;IF(N(H263)&gt;1,"-"&amp;H263&amp;"C","")&amp;"-"&amp;IFERROR(VLOOKUP(L263,Lists!$J$4:$K$19,2,0),"??")&amp;"-"&amp;U263)</f>
        <v/>
      </c>
      <c r="B263" s="10" t="str">
        <f aca="false">IF(C263="","",C263&amp;" "&amp;F263&amp;"W x "&amp;G263&amp;"D"&amp;IF(N(H263)&gt;1," ("&amp;H263&amp;" cells)","")&amp;", "&amp;D263&amp;", "&amp;L263&amp;", "&amp;E263)</f>
        <v/>
      </c>
      <c r="C263" s="9"/>
      <c r="D263" s="9"/>
      <c r="E263" s="9"/>
      <c r="F263" s="40"/>
      <c r="G263" s="40"/>
      <c r="H263" s="40"/>
      <c r="I263" s="40"/>
      <c r="J263" s="40"/>
      <c r="K263" s="40"/>
      <c r="L263" s="9"/>
      <c r="M263" s="9"/>
      <c r="N263" s="9"/>
      <c r="O263" s="40"/>
      <c r="P263" s="9"/>
      <c r="Q263" s="9"/>
      <c r="R263" s="9"/>
      <c r="S263" s="9"/>
      <c r="T263" s="9"/>
      <c r="U263" s="9"/>
      <c r="V263" s="9"/>
      <c r="W263" s="9"/>
      <c r="X263" s="9"/>
      <c r="Y263" s="9"/>
      <c r="Z263" s="10" t="str">
        <f aca="false">IF(A263="","",SG_Criteria!$B$6&amp;SG_Criteria!$B$7&amp;"\"&amp;A263&amp;"\")</f>
        <v/>
      </c>
      <c r="AA263" s="10" t="str">
        <f aca="false">IF(A263="","",A263&amp;"_CAD.dwg")</f>
        <v/>
      </c>
      <c r="AB263" s="10" t="str">
        <f aca="false">IF(A263="","",A263&amp;"_DWG.pdf")</f>
        <v/>
      </c>
      <c r="AC263" s="10" t="str">
        <f aca="false">IF(A263="","",IF(Y263="Y",A263&amp;"_STAAD.std","n/a"))</f>
        <v/>
      </c>
      <c r="AD263" s="10" t="str">
        <f aca="false">IF(A263="","",A263&amp;"_CALC.xlsx")</f>
        <v/>
      </c>
      <c r="AE263" s="10" t="str">
        <f aca="false">IF(A263="","",A263&amp;"_CALC.pdf")</f>
        <v/>
      </c>
      <c r="AF263" s="9"/>
      <c r="AG263" s="9"/>
      <c r="AH263" s="41"/>
      <c r="AI263" s="41"/>
      <c r="AJ263" s="41"/>
      <c r="AK263" s="41"/>
      <c r="AL263" s="41"/>
      <c r="AM263" s="37" t="str">
        <f aca="false">IF(OR(C263="",F263="",G263="",C263="Sump",C263="Drop Inlet Chamber",C263="Silt Trap",C263="Pipe Culvert",C263="Subsoil Drain"),"",ROUND(MAX(1,N(H263))*(1/SG_Criteria!$B$26)*((F263/1000)*(G263/1000*(1-SG_Criteria!$B$25)))*(((F263/1000)*(G263/1000*(1-SG_Criteria!$B$25)))/((F263/1000)+2*(G263/1000*(1-SG_Criteria!$B$25))))^(2/3)*(1/Design_Selector!$B$11)^0.5,3))</f>
        <v/>
      </c>
      <c r="AN263" s="11" t="str">
        <f aca="false">IF(AM263="","",ROUND(AM263/(MAX(1,N(H263))*F263/1000*(G263/1000*(1-SG_Criteria!$B$25))),2))</f>
        <v/>
      </c>
      <c r="AO263" s="38" t="str">
        <f aca="false">IF(C263="","",IF(LEN(IF(AND(OR(D263="Roadside drain",D263="Entrance culvert"),OR(F263&lt;SG_Criteria!$B$15,G263&lt;SG_Criteria!$B$16)),"FAIL: below PUB min "&amp;SG_Criteria!$B$15&amp;"x"&amp;SG_Criteria!$B$16&amp;" for roadside drain. ","")&amp;IF(AND(D263="Common drain",F263&lt;SG_Criteria!$B$17),"FAIL: common drain W &lt; "&amp;SG_Criteria!$B$17&amp;" mm. ","")&amp;IF(AND(N263&lt;&gt;"",IFERROR(VALUE(MID(N263,2,2)),0)&lt;SG_Criteria!$B$19),"FAIL: grade below C"&amp;SG_Criteria!$B$19&amp;". ","")&amp;IF(AND(O263&lt;&gt;"",O263&lt;SG_Criteria!$B$20),"FAIL: cover &lt; "&amp;SG_Criteria!$B$20&amp;" mm. ","")&amp;IF(AND(E263="Open",G263&gt;SG_Criteria!$B$18),"NOTE: safety railing required (D &gt; "&amp;SG_Criteria!$B$18&amp;" mm). ","")&amp;IF(AND(D263="Entrance culvert",G263&lt;600),"NOTE: check hinged grating rule for culverts &lt; 600 deep (PUB Add. 3). ",""))=0,"OK",IF(AND(OR(D263="Roadside drain",D263="Entrance culvert"),OR(F263&lt;SG_Criteria!$B$15,G263&lt;SG_Criteria!$B$16)),"FAIL: below PUB min "&amp;SG_Criteria!$B$15&amp;"x"&amp;SG_Criteria!$B$16&amp;" for roadside drain. ","")&amp;IF(AND(D263="Common drain",F263&lt;SG_Criteria!$B$17),"FAIL: common drain W &lt; "&amp;SG_Criteria!$B$17&amp;" mm. ","")&amp;IF(AND(N263&lt;&gt;"",IFERROR(VALUE(MID(N263,2,2)),0)&lt;SG_Criteria!$B$19),"FAIL: grade below C"&amp;SG_Criteria!$B$19&amp;". ","")&amp;IF(AND(O263&lt;&gt;"",O263&lt;SG_Criteria!$B$20),"FAIL: cover &lt; "&amp;SG_Criteria!$B$20&amp;" mm. ","")&amp;IF(AND(E263="Open",G263&gt;SG_Criteria!$B$18),"NOTE: safety railing required (D &gt; "&amp;SG_Criteria!$B$18&amp;" mm). ","")&amp;IF(AND(D263="Entrance culvert",G263&lt;600),"NOTE: check hinged grating rule for culverts &lt; 600 deep (PUB Add. 3). ","")))</f>
        <v/>
      </c>
      <c r="AP263" s="9"/>
      <c r="AQ263" s="9"/>
      <c r="AR263" s="9"/>
      <c r="AS263" s="9"/>
      <c r="AT263" s="9"/>
      <c r="AU263" s="31"/>
      <c r="AV263" s="10" t="str">
        <f aca="false">IF(C263="","",IF(AND(V263="Approved",ISERROR(SEARCH("FAIL",AO263))),"Y","N"))</f>
        <v/>
      </c>
      <c r="AW263" s="10" t="str">
        <f aca="false">IF(C263="","",C263&amp;"|"&amp;F263&amp;"|"&amp;G263&amp;"|"&amp;L263&amp;"|"&amp;AV263)</f>
        <v/>
      </c>
    </row>
    <row r="264" customFormat="false" ht="15" hidden="false" customHeight="false" outlineLevel="0" collapsed="false">
      <c r="A264" s="10" t="str">
        <f aca="false">IF(C264="","","DRN-"&amp;IFERROR(VLOOKUP(C264,Lists!$A$4:$B$27,2,0),"??")&amp;"-"&amp;TEXT(F264,"0000")&amp;"x"&amp;TEXT(G264,"0000")&amp;IF(N(H264)&gt;1,"-"&amp;H264&amp;"C","")&amp;"-"&amp;IFERROR(VLOOKUP(L264,Lists!$J$4:$K$19,2,0),"??")&amp;"-"&amp;U264)</f>
        <v/>
      </c>
      <c r="B264" s="10" t="str">
        <f aca="false">IF(C264="","",C264&amp;" "&amp;F264&amp;"W x "&amp;G264&amp;"D"&amp;IF(N(H264)&gt;1," ("&amp;H264&amp;" cells)","")&amp;", "&amp;D264&amp;", "&amp;L264&amp;", "&amp;E264)</f>
        <v/>
      </c>
      <c r="C264" s="9"/>
      <c r="D264" s="9"/>
      <c r="E264" s="9"/>
      <c r="F264" s="40"/>
      <c r="G264" s="40"/>
      <c r="H264" s="40"/>
      <c r="I264" s="40"/>
      <c r="J264" s="40"/>
      <c r="K264" s="40"/>
      <c r="L264" s="9"/>
      <c r="M264" s="9"/>
      <c r="N264" s="9"/>
      <c r="O264" s="40"/>
      <c r="P264" s="9"/>
      <c r="Q264" s="9"/>
      <c r="R264" s="9"/>
      <c r="S264" s="9"/>
      <c r="T264" s="9"/>
      <c r="U264" s="9"/>
      <c r="V264" s="9"/>
      <c r="W264" s="9"/>
      <c r="X264" s="9"/>
      <c r="Y264" s="9"/>
      <c r="Z264" s="10" t="str">
        <f aca="false">IF(A264="","",SG_Criteria!$B$6&amp;SG_Criteria!$B$7&amp;"\"&amp;A264&amp;"\")</f>
        <v/>
      </c>
      <c r="AA264" s="10" t="str">
        <f aca="false">IF(A264="","",A264&amp;"_CAD.dwg")</f>
        <v/>
      </c>
      <c r="AB264" s="10" t="str">
        <f aca="false">IF(A264="","",A264&amp;"_DWG.pdf")</f>
        <v/>
      </c>
      <c r="AC264" s="10" t="str">
        <f aca="false">IF(A264="","",IF(Y264="Y",A264&amp;"_STAAD.std","n/a"))</f>
        <v/>
      </c>
      <c r="AD264" s="10" t="str">
        <f aca="false">IF(A264="","",A264&amp;"_CALC.xlsx")</f>
        <v/>
      </c>
      <c r="AE264" s="10" t="str">
        <f aca="false">IF(A264="","",A264&amp;"_CALC.pdf")</f>
        <v/>
      </c>
      <c r="AF264" s="9"/>
      <c r="AG264" s="9"/>
      <c r="AH264" s="41"/>
      <c r="AI264" s="41"/>
      <c r="AJ264" s="41"/>
      <c r="AK264" s="41"/>
      <c r="AL264" s="41"/>
      <c r="AM264" s="37" t="str">
        <f aca="false">IF(OR(C264="",F264="",G264="",C264="Sump",C264="Drop Inlet Chamber",C264="Silt Trap",C264="Pipe Culvert",C264="Subsoil Drain"),"",ROUND(MAX(1,N(H264))*(1/SG_Criteria!$B$26)*((F264/1000)*(G264/1000*(1-SG_Criteria!$B$25)))*(((F264/1000)*(G264/1000*(1-SG_Criteria!$B$25)))/((F264/1000)+2*(G264/1000*(1-SG_Criteria!$B$25))))^(2/3)*(1/Design_Selector!$B$11)^0.5,3))</f>
        <v/>
      </c>
      <c r="AN264" s="11" t="str">
        <f aca="false">IF(AM264="","",ROUND(AM264/(MAX(1,N(H264))*F264/1000*(G264/1000*(1-SG_Criteria!$B$25))),2))</f>
        <v/>
      </c>
      <c r="AO264" s="38" t="str">
        <f aca="false">IF(C264="","",IF(LEN(IF(AND(OR(D264="Roadside drain",D264="Entrance culvert"),OR(F264&lt;SG_Criteria!$B$15,G264&lt;SG_Criteria!$B$16)),"FAIL: below PUB min "&amp;SG_Criteria!$B$15&amp;"x"&amp;SG_Criteria!$B$16&amp;" for roadside drain. ","")&amp;IF(AND(D264="Common drain",F264&lt;SG_Criteria!$B$17),"FAIL: common drain W &lt; "&amp;SG_Criteria!$B$17&amp;" mm. ","")&amp;IF(AND(N264&lt;&gt;"",IFERROR(VALUE(MID(N264,2,2)),0)&lt;SG_Criteria!$B$19),"FAIL: grade below C"&amp;SG_Criteria!$B$19&amp;". ","")&amp;IF(AND(O264&lt;&gt;"",O264&lt;SG_Criteria!$B$20),"FAIL: cover &lt; "&amp;SG_Criteria!$B$20&amp;" mm. ","")&amp;IF(AND(E264="Open",G264&gt;SG_Criteria!$B$18),"NOTE: safety railing required (D &gt; "&amp;SG_Criteria!$B$18&amp;" mm). ","")&amp;IF(AND(D264="Entrance culvert",G264&lt;600),"NOTE: check hinged grating rule for culverts &lt; 600 deep (PUB Add. 3). ",""))=0,"OK",IF(AND(OR(D264="Roadside drain",D264="Entrance culvert"),OR(F264&lt;SG_Criteria!$B$15,G264&lt;SG_Criteria!$B$16)),"FAIL: below PUB min "&amp;SG_Criteria!$B$15&amp;"x"&amp;SG_Criteria!$B$16&amp;" for roadside drain. ","")&amp;IF(AND(D264="Common drain",F264&lt;SG_Criteria!$B$17),"FAIL: common drain W &lt; "&amp;SG_Criteria!$B$17&amp;" mm. ","")&amp;IF(AND(N264&lt;&gt;"",IFERROR(VALUE(MID(N264,2,2)),0)&lt;SG_Criteria!$B$19),"FAIL: grade below C"&amp;SG_Criteria!$B$19&amp;". ","")&amp;IF(AND(O264&lt;&gt;"",O264&lt;SG_Criteria!$B$20),"FAIL: cover &lt; "&amp;SG_Criteria!$B$20&amp;" mm. ","")&amp;IF(AND(E264="Open",G264&gt;SG_Criteria!$B$18),"NOTE: safety railing required (D &gt; "&amp;SG_Criteria!$B$18&amp;" mm). ","")&amp;IF(AND(D264="Entrance culvert",G264&lt;600),"NOTE: check hinged grating rule for culverts &lt; 600 deep (PUB Add. 3). ","")))</f>
        <v/>
      </c>
      <c r="AP264" s="9"/>
      <c r="AQ264" s="9"/>
      <c r="AR264" s="9"/>
      <c r="AS264" s="9"/>
      <c r="AT264" s="9"/>
      <c r="AU264" s="31"/>
      <c r="AV264" s="10" t="str">
        <f aca="false">IF(C264="","",IF(AND(V264="Approved",ISERROR(SEARCH("FAIL",AO264))),"Y","N"))</f>
        <v/>
      </c>
      <c r="AW264" s="10" t="str">
        <f aca="false">IF(C264="","",C264&amp;"|"&amp;F264&amp;"|"&amp;G264&amp;"|"&amp;L264&amp;"|"&amp;AV264)</f>
        <v/>
      </c>
    </row>
    <row r="265" customFormat="false" ht="15" hidden="false" customHeight="false" outlineLevel="0" collapsed="false">
      <c r="A265" s="10" t="str">
        <f aca="false">IF(C265="","","DRN-"&amp;IFERROR(VLOOKUP(C265,Lists!$A$4:$B$27,2,0),"??")&amp;"-"&amp;TEXT(F265,"0000")&amp;"x"&amp;TEXT(G265,"0000")&amp;IF(N(H265)&gt;1,"-"&amp;H265&amp;"C","")&amp;"-"&amp;IFERROR(VLOOKUP(L265,Lists!$J$4:$K$19,2,0),"??")&amp;"-"&amp;U265)</f>
        <v/>
      </c>
      <c r="B265" s="10" t="str">
        <f aca="false">IF(C265="","",C265&amp;" "&amp;F265&amp;"W x "&amp;G265&amp;"D"&amp;IF(N(H265)&gt;1," ("&amp;H265&amp;" cells)","")&amp;", "&amp;D265&amp;", "&amp;L265&amp;", "&amp;E265)</f>
        <v/>
      </c>
      <c r="C265" s="9"/>
      <c r="D265" s="9"/>
      <c r="E265" s="9"/>
      <c r="F265" s="40"/>
      <c r="G265" s="40"/>
      <c r="H265" s="40"/>
      <c r="I265" s="40"/>
      <c r="J265" s="40"/>
      <c r="K265" s="40"/>
      <c r="L265" s="9"/>
      <c r="M265" s="9"/>
      <c r="N265" s="9"/>
      <c r="O265" s="40"/>
      <c r="P265" s="9"/>
      <c r="Q265" s="9"/>
      <c r="R265" s="9"/>
      <c r="S265" s="9"/>
      <c r="T265" s="9"/>
      <c r="U265" s="9"/>
      <c r="V265" s="9"/>
      <c r="W265" s="9"/>
      <c r="X265" s="9"/>
      <c r="Y265" s="9"/>
      <c r="Z265" s="10" t="str">
        <f aca="false">IF(A265="","",SG_Criteria!$B$6&amp;SG_Criteria!$B$7&amp;"\"&amp;A265&amp;"\")</f>
        <v/>
      </c>
      <c r="AA265" s="10" t="str">
        <f aca="false">IF(A265="","",A265&amp;"_CAD.dwg")</f>
        <v/>
      </c>
      <c r="AB265" s="10" t="str">
        <f aca="false">IF(A265="","",A265&amp;"_DWG.pdf")</f>
        <v/>
      </c>
      <c r="AC265" s="10" t="str">
        <f aca="false">IF(A265="","",IF(Y265="Y",A265&amp;"_STAAD.std","n/a"))</f>
        <v/>
      </c>
      <c r="AD265" s="10" t="str">
        <f aca="false">IF(A265="","",A265&amp;"_CALC.xlsx")</f>
        <v/>
      </c>
      <c r="AE265" s="10" t="str">
        <f aca="false">IF(A265="","",A265&amp;"_CALC.pdf")</f>
        <v/>
      </c>
      <c r="AF265" s="9"/>
      <c r="AG265" s="9"/>
      <c r="AH265" s="41"/>
      <c r="AI265" s="41"/>
      <c r="AJ265" s="41"/>
      <c r="AK265" s="41"/>
      <c r="AL265" s="41"/>
      <c r="AM265" s="37" t="str">
        <f aca="false">IF(OR(C265="",F265="",G265="",C265="Sump",C265="Drop Inlet Chamber",C265="Silt Trap",C265="Pipe Culvert",C265="Subsoil Drain"),"",ROUND(MAX(1,N(H265))*(1/SG_Criteria!$B$26)*((F265/1000)*(G265/1000*(1-SG_Criteria!$B$25)))*(((F265/1000)*(G265/1000*(1-SG_Criteria!$B$25)))/((F265/1000)+2*(G265/1000*(1-SG_Criteria!$B$25))))^(2/3)*(1/Design_Selector!$B$11)^0.5,3))</f>
        <v/>
      </c>
      <c r="AN265" s="11" t="str">
        <f aca="false">IF(AM265="","",ROUND(AM265/(MAX(1,N(H265))*F265/1000*(G265/1000*(1-SG_Criteria!$B$25))),2))</f>
        <v/>
      </c>
      <c r="AO265" s="38" t="str">
        <f aca="false">IF(C265="","",IF(LEN(IF(AND(OR(D265="Roadside drain",D265="Entrance culvert"),OR(F265&lt;SG_Criteria!$B$15,G265&lt;SG_Criteria!$B$16)),"FAIL: below PUB min "&amp;SG_Criteria!$B$15&amp;"x"&amp;SG_Criteria!$B$16&amp;" for roadside drain. ","")&amp;IF(AND(D265="Common drain",F265&lt;SG_Criteria!$B$17),"FAIL: common drain W &lt; "&amp;SG_Criteria!$B$17&amp;" mm. ","")&amp;IF(AND(N265&lt;&gt;"",IFERROR(VALUE(MID(N265,2,2)),0)&lt;SG_Criteria!$B$19),"FAIL: grade below C"&amp;SG_Criteria!$B$19&amp;". ","")&amp;IF(AND(O265&lt;&gt;"",O265&lt;SG_Criteria!$B$20),"FAIL: cover &lt; "&amp;SG_Criteria!$B$20&amp;" mm. ","")&amp;IF(AND(E265="Open",G265&gt;SG_Criteria!$B$18),"NOTE: safety railing required (D &gt; "&amp;SG_Criteria!$B$18&amp;" mm). ","")&amp;IF(AND(D265="Entrance culvert",G265&lt;600),"NOTE: check hinged grating rule for culverts &lt; 600 deep (PUB Add. 3). ",""))=0,"OK",IF(AND(OR(D265="Roadside drain",D265="Entrance culvert"),OR(F265&lt;SG_Criteria!$B$15,G265&lt;SG_Criteria!$B$16)),"FAIL: below PUB min "&amp;SG_Criteria!$B$15&amp;"x"&amp;SG_Criteria!$B$16&amp;" for roadside drain. ","")&amp;IF(AND(D265="Common drain",F265&lt;SG_Criteria!$B$17),"FAIL: common drain W &lt; "&amp;SG_Criteria!$B$17&amp;" mm. ","")&amp;IF(AND(N265&lt;&gt;"",IFERROR(VALUE(MID(N265,2,2)),0)&lt;SG_Criteria!$B$19),"FAIL: grade below C"&amp;SG_Criteria!$B$19&amp;". ","")&amp;IF(AND(O265&lt;&gt;"",O265&lt;SG_Criteria!$B$20),"FAIL: cover &lt; "&amp;SG_Criteria!$B$20&amp;" mm. ","")&amp;IF(AND(E265="Open",G265&gt;SG_Criteria!$B$18),"NOTE: safety railing required (D &gt; "&amp;SG_Criteria!$B$18&amp;" mm). ","")&amp;IF(AND(D265="Entrance culvert",G265&lt;600),"NOTE: check hinged grating rule for culverts &lt; 600 deep (PUB Add. 3). ","")))</f>
        <v/>
      </c>
      <c r="AP265" s="9"/>
      <c r="AQ265" s="9"/>
      <c r="AR265" s="9"/>
      <c r="AS265" s="9"/>
      <c r="AT265" s="9"/>
      <c r="AU265" s="31"/>
      <c r="AV265" s="10" t="str">
        <f aca="false">IF(C265="","",IF(AND(V265="Approved",ISERROR(SEARCH("FAIL",AO265))),"Y","N"))</f>
        <v/>
      </c>
      <c r="AW265" s="10" t="str">
        <f aca="false">IF(C265="","",C265&amp;"|"&amp;F265&amp;"|"&amp;G265&amp;"|"&amp;L265&amp;"|"&amp;AV265)</f>
        <v/>
      </c>
    </row>
    <row r="266" customFormat="false" ht="15" hidden="false" customHeight="false" outlineLevel="0" collapsed="false">
      <c r="A266" s="10" t="str">
        <f aca="false">IF(C266="","","DRN-"&amp;IFERROR(VLOOKUP(C266,Lists!$A$4:$B$27,2,0),"??")&amp;"-"&amp;TEXT(F266,"0000")&amp;"x"&amp;TEXT(G266,"0000")&amp;IF(N(H266)&gt;1,"-"&amp;H266&amp;"C","")&amp;"-"&amp;IFERROR(VLOOKUP(L266,Lists!$J$4:$K$19,2,0),"??")&amp;"-"&amp;U266)</f>
        <v/>
      </c>
      <c r="B266" s="10" t="str">
        <f aca="false">IF(C266="","",C266&amp;" "&amp;F266&amp;"W x "&amp;G266&amp;"D"&amp;IF(N(H266)&gt;1," ("&amp;H266&amp;" cells)","")&amp;", "&amp;D266&amp;", "&amp;L266&amp;", "&amp;E266)</f>
        <v/>
      </c>
      <c r="C266" s="9"/>
      <c r="D266" s="9"/>
      <c r="E266" s="9"/>
      <c r="F266" s="40"/>
      <c r="G266" s="40"/>
      <c r="H266" s="40"/>
      <c r="I266" s="40"/>
      <c r="J266" s="40"/>
      <c r="K266" s="40"/>
      <c r="L266" s="9"/>
      <c r="M266" s="9"/>
      <c r="N266" s="9"/>
      <c r="O266" s="40"/>
      <c r="P266" s="9"/>
      <c r="Q266" s="9"/>
      <c r="R266" s="9"/>
      <c r="S266" s="9"/>
      <c r="T266" s="9"/>
      <c r="U266" s="9"/>
      <c r="V266" s="9"/>
      <c r="W266" s="9"/>
      <c r="X266" s="9"/>
      <c r="Y266" s="9"/>
      <c r="Z266" s="10" t="str">
        <f aca="false">IF(A266="","",SG_Criteria!$B$6&amp;SG_Criteria!$B$7&amp;"\"&amp;A266&amp;"\")</f>
        <v/>
      </c>
      <c r="AA266" s="10" t="str">
        <f aca="false">IF(A266="","",A266&amp;"_CAD.dwg")</f>
        <v/>
      </c>
      <c r="AB266" s="10" t="str">
        <f aca="false">IF(A266="","",A266&amp;"_DWG.pdf")</f>
        <v/>
      </c>
      <c r="AC266" s="10" t="str">
        <f aca="false">IF(A266="","",IF(Y266="Y",A266&amp;"_STAAD.std","n/a"))</f>
        <v/>
      </c>
      <c r="AD266" s="10" t="str">
        <f aca="false">IF(A266="","",A266&amp;"_CALC.xlsx")</f>
        <v/>
      </c>
      <c r="AE266" s="10" t="str">
        <f aca="false">IF(A266="","",A266&amp;"_CALC.pdf")</f>
        <v/>
      </c>
      <c r="AF266" s="9"/>
      <c r="AG266" s="9"/>
      <c r="AH266" s="41"/>
      <c r="AI266" s="41"/>
      <c r="AJ266" s="41"/>
      <c r="AK266" s="41"/>
      <c r="AL266" s="41"/>
      <c r="AM266" s="37" t="str">
        <f aca="false">IF(OR(C266="",F266="",G266="",C266="Sump",C266="Drop Inlet Chamber",C266="Silt Trap",C266="Pipe Culvert",C266="Subsoil Drain"),"",ROUND(MAX(1,N(H266))*(1/SG_Criteria!$B$26)*((F266/1000)*(G266/1000*(1-SG_Criteria!$B$25)))*(((F266/1000)*(G266/1000*(1-SG_Criteria!$B$25)))/((F266/1000)+2*(G266/1000*(1-SG_Criteria!$B$25))))^(2/3)*(1/Design_Selector!$B$11)^0.5,3))</f>
        <v/>
      </c>
      <c r="AN266" s="11" t="str">
        <f aca="false">IF(AM266="","",ROUND(AM266/(MAX(1,N(H266))*F266/1000*(G266/1000*(1-SG_Criteria!$B$25))),2))</f>
        <v/>
      </c>
      <c r="AO266" s="38" t="str">
        <f aca="false">IF(C266="","",IF(LEN(IF(AND(OR(D266="Roadside drain",D266="Entrance culvert"),OR(F266&lt;SG_Criteria!$B$15,G266&lt;SG_Criteria!$B$16)),"FAIL: below PUB min "&amp;SG_Criteria!$B$15&amp;"x"&amp;SG_Criteria!$B$16&amp;" for roadside drain. ","")&amp;IF(AND(D266="Common drain",F266&lt;SG_Criteria!$B$17),"FAIL: common drain W &lt; "&amp;SG_Criteria!$B$17&amp;" mm. ","")&amp;IF(AND(N266&lt;&gt;"",IFERROR(VALUE(MID(N266,2,2)),0)&lt;SG_Criteria!$B$19),"FAIL: grade below C"&amp;SG_Criteria!$B$19&amp;". ","")&amp;IF(AND(O266&lt;&gt;"",O266&lt;SG_Criteria!$B$20),"FAIL: cover &lt; "&amp;SG_Criteria!$B$20&amp;" mm. ","")&amp;IF(AND(E266="Open",G266&gt;SG_Criteria!$B$18),"NOTE: safety railing required (D &gt; "&amp;SG_Criteria!$B$18&amp;" mm). ","")&amp;IF(AND(D266="Entrance culvert",G266&lt;600),"NOTE: check hinged grating rule for culverts &lt; 600 deep (PUB Add. 3). ",""))=0,"OK",IF(AND(OR(D266="Roadside drain",D266="Entrance culvert"),OR(F266&lt;SG_Criteria!$B$15,G266&lt;SG_Criteria!$B$16)),"FAIL: below PUB min "&amp;SG_Criteria!$B$15&amp;"x"&amp;SG_Criteria!$B$16&amp;" for roadside drain. ","")&amp;IF(AND(D266="Common drain",F266&lt;SG_Criteria!$B$17),"FAIL: common drain W &lt; "&amp;SG_Criteria!$B$17&amp;" mm. ","")&amp;IF(AND(N266&lt;&gt;"",IFERROR(VALUE(MID(N266,2,2)),0)&lt;SG_Criteria!$B$19),"FAIL: grade below C"&amp;SG_Criteria!$B$19&amp;". ","")&amp;IF(AND(O266&lt;&gt;"",O266&lt;SG_Criteria!$B$20),"FAIL: cover &lt; "&amp;SG_Criteria!$B$20&amp;" mm. ","")&amp;IF(AND(E266="Open",G266&gt;SG_Criteria!$B$18),"NOTE: safety railing required (D &gt; "&amp;SG_Criteria!$B$18&amp;" mm). ","")&amp;IF(AND(D266="Entrance culvert",G266&lt;600),"NOTE: check hinged grating rule for culverts &lt; 600 deep (PUB Add. 3). ","")))</f>
        <v/>
      </c>
      <c r="AP266" s="9"/>
      <c r="AQ266" s="9"/>
      <c r="AR266" s="9"/>
      <c r="AS266" s="9"/>
      <c r="AT266" s="9"/>
      <c r="AU266" s="31"/>
      <c r="AV266" s="10" t="str">
        <f aca="false">IF(C266="","",IF(AND(V266="Approved",ISERROR(SEARCH("FAIL",AO266))),"Y","N"))</f>
        <v/>
      </c>
      <c r="AW266" s="10" t="str">
        <f aca="false">IF(C266="","",C266&amp;"|"&amp;F266&amp;"|"&amp;G266&amp;"|"&amp;L266&amp;"|"&amp;AV266)</f>
        <v/>
      </c>
    </row>
    <row r="267" customFormat="false" ht="15" hidden="false" customHeight="false" outlineLevel="0" collapsed="false">
      <c r="A267" s="10" t="str">
        <f aca="false">IF(C267="","","DRN-"&amp;IFERROR(VLOOKUP(C267,Lists!$A$4:$B$27,2,0),"??")&amp;"-"&amp;TEXT(F267,"0000")&amp;"x"&amp;TEXT(G267,"0000")&amp;IF(N(H267)&gt;1,"-"&amp;H267&amp;"C","")&amp;"-"&amp;IFERROR(VLOOKUP(L267,Lists!$J$4:$K$19,2,0),"??")&amp;"-"&amp;U267)</f>
        <v/>
      </c>
      <c r="B267" s="10" t="str">
        <f aca="false">IF(C267="","",C267&amp;" "&amp;F267&amp;"W x "&amp;G267&amp;"D"&amp;IF(N(H267)&gt;1," ("&amp;H267&amp;" cells)","")&amp;", "&amp;D267&amp;", "&amp;L267&amp;", "&amp;E267)</f>
        <v/>
      </c>
      <c r="C267" s="9"/>
      <c r="D267" s="9"/>
      <c r="E267" s="9"/>
      <c r="F267" s="40"/>
      <c r="G267" s="40"/>
      <c r="H267" s="40"/>
      <c r="I267" s="40"/>
      <c r="J267" s="40"/>
      <c r="K267" s="40"/>
      <c r="L267" s="9"/>
      <c r="M267" s="9"/>
      <c r="N267" s="9"/>
      <c r="O267" s="40"/>
      <c r="P267" s="9"/>
      <c r="Q267" s="9"/>
      <c r="R267" s="9"/>
      <c r="S267" s="9"/>
      <c r="T267" s="9"/>
      <c r="U267" s="9"/>
      <c r="V267" s="9"/>
      <c r="W267" s="9"/>
      <c r="X267" s="9"/>
      <c r="Y267" s="9"/>
      <c r="Z267" s="10" t="str">
        <f aca="false">IF(A267="","",SG_Criteria!$B$6&amp;SG_Criteria!$B$7&amp;"\"&amp;A267&amp;"\")</f>
        <v/>
      </c>
      <c r="AA267" s="10" t="str">
        <f aca="false">IF(A267="","",A267&amp;"_CAD.dwg")</f>
        <v/>
      </c>
      <c r="AB267" s="10" t="str">
        <f aca="false">IF(A267="","",A267&amp;"_DWG.pdf")</f>
        <v/>
      </c>
      <c r="AC267" s="10" t="str">
        <f aca="false">IF(A267="","",IF(Y267="Y",A267&amp;"_STAAD.std","n/a"))</f>
        <v/>
      </c>
      <c r="AD267" s="10" t="str">
        <f aca="false">IF(A267="","",A267&amp;"_CALC.xlsx")</f>
        <v/>
      </c>
      <c r="AE267" s="10" t="str">
        <f aca="false">IF(A267="","",A267&amp;"_CALC.pdf")</f>
        <v/>
      </c>
      <c r="AF267" s="9"/>
      <c r="AG267" s="9"/>
      <c r="AH267" s="41"/>
      <c r="AI267" s="41"/>
      <c r="AJ267" s="41"/>
      <c r="AK267" s="41"/>
      <c r="AL267" s="41"/>
      <c r="AM267" s="37" t="str">
        <f aca="false">IF(OR(C267="",F267="",G267="",C267="Sump",C267="Drop Inlet Chamber",C267="Silt Trap",C267="Pipe Culvert",C267="Subsoil Drain"),"",ROUND(MAX(1,N(H267))*(1/SG_Criteria!$B$26)*((F267/1000)*(G267/1000*(1-SG_Criteria!$B$25)))*(((F267/1000)*(G267/1000*(1-SG_Criteria!$B$25)))/((F267/1000)+2*(G267/1000*(1-SG_Criteria!$B$25))))^(2/3)*(1/Design_Selector!$B$11)^0.5,3))</f>
        <v/>
      </c>
      <c r="AN267" s="11" t="str">
        <f aca="false">IF(AM267="","",ROUND(AM267/(MAX(1,N(H267))*F267/1000*(G267/1000*(1-SG_Criteria!$B$25))),2))</f>
        <v/>
      </c>
      <c r="AO267" s="38" t="str">
        <f aca="false">IF(C267="","",IF(LEN(IF(AND(OR(D267="Roadside drain",D267="Entrance culvert"),OR(F267&lt;SG_Criteria!$B$15,G267&lt;SG_Criteria!$B$16)),"FAIL: below PUB min "&amp;SG_Criteria!$B$15&amp;"x"&amp;SG_Criteria!$B$16&amp;" for roadside drain. ","")&amp;IF(AND(D267="Common drain",F267&lt;SG_Criteria!$B$17),"FAIL: common drain W &lt; "&amp;SG_Criteria!$B$17&amp;" mm. ","")&amp;IF(AND(N267&lt;&gt;"",IFERROR(VALUE(MID(N267,2,2)),0)&lt;SG_Criteria!$B$19),"FAIL: grade below C"&amp;SG_Criteria!$B$19&amp;". ","")&amp;IF(AND(O267&lt;&gt;"",O267&lt;SG_Criteria!$B$20),"FAIL: cover &lt; "&amp;SG_Criteria!$B$20&amp;" mm. ","")&amp;IF(AND(E267="Open",G267&gt;SG_Criteria!$B$18),"NOTE: safety railing required (D &gt; "&amp;SG_Criteria!$B$18&amp;" mm). ","")&amp;IF(AND(D267="Entrance culvert",G267&lt;600),"NOTE: check hinged grating rule for culverts &lt; 600 deep (PUB Add. 3). ",""))=0,"OK",IF(AND(OR(D267="Roadside drain",D267="Entrance culvert"),OR(F267&lt;SG_Criteria!$B$15,G267&lt;SG_Criteria!$B$16)),"FAIL: below PUB min "&amp;SG_Criteria!$B$15&amp;"x"&amp;SG_Criteria!$B$16&amp;" for roadside drain. ","")&amp;IF(AND(D267="Common drain",F267&lt;SG_Criteria!$B$17),"FAIL: common drain W &lt; "&amp;SG_Criteria!$B$17&amp;" mm. ","")&amp;IF(AND(N267&lt;&gt;"",IFERROR(VALUE(MID(N267,2,2)),0)&lt;SG_Criteria!$B$19),"FAIL: grade below C"&amp;SG_Criteria!$B$19&amp;". ","")&amp;IF(AND(O267&lt;&gt;"",O267&lt;SG_Criteria!$B$20),"FAIL: cover &lt; "&amp;SG_Criteria!$B$20&amp;" mm. ","")&amp;IF(AND(E267="Open",G267&gt;SG_Criteria!$B$18),"NOTE: safety railing required (D &gt; "&amp;SG_Criteria!$B$18&amp;" mm). ","")&amp;IF(AND(D267="Entrance culvert",G267&lt;600),"NOTE: check hinged grating rule for culverts &lt; 600 deep (PUB Add. 3). ","")))</f>
        <v/>
      </c>
      <c r="AP267" s="9"/>
      <c r="AQ267" s="9"/>
      <c r="AR267" s="9"/>
      <c r="AS267" s="9"/>
      <c r="AT267" s="9"/>
      <c r="AU267" s="31"/>
      <c r="AV267" s="10" t="str">
        <f aca="false">IF(C267="","",IF(AND(V267="Approved",ISERROR(SEARCH("FAIL",AO267))),"Y","N"))</f>
        <v/>
      </c>
      <c r="AW267" s="10" t="str">
        <f aca="false">IF(C267="","",C267&amp;"|"&amp;F267&amp;"|"&amp;G267&amp;"|"&amp;L267&amp;"|"&amp;AV267)</f>
        <v/>
      </c>
    </row>
    <row r="268" customFormat="false" ht="15" hidden="false" customHeight="false" outlineLevel="0" collapsed="false">
      <c r="A268" s="10" t="str">
        <f aca="false">IF(C268="","","DRN-"&amp;IFERROR(VLOOKUP(C268,Lists!$A$4:$B$27,2,0),"??")&amp;"-"&amp;TEXT(F268,"0000")&amp;"x"&amp;TEXT(G268,"0000")&amp;IF(N(H268)&gt;1,"-"&amp;H268&amp;"C","")&amp;"-"&amp;IFERROR(VLOOKUP(L268,Lists!$J$4:$K$19,2,0),"??")&amp;"-"&amp;U268)</f>
        <v/>
      </c>
      <c r="B268" s="10" t="str">
        <f aca="false">IF(C268="","",C268&amp;" "&amp;F268&amp;"W x "&amp;G268&amp;"D"&amp;IF(N(H268)&gt;1," ("&amp;H268&amp;" cells)","")&amp;", "&amp;D268&amp;", "&amp;L268&amp;", "&amp;E268)</f>
        <v/>
      </c>
      <c r="C268" s="9"/>
      <c r="D268" s="9"/>
      <c r="E268" s="9"/>
      <c r="F268" s="40"/>
      <c r="G268" s="40"/>
      <c r="H268" s="40"/>
      <c r="I268" s="40"/>
      <c r="J268" s="40"/>
      <c r="K268" s="40"/>
      <c r="L268" s="9"/>
      <c r="M268" s="9"/>
      <c r="N268" s="9"/>
      <c r="O268" s="40"/>
      <c r="P268" s="9"/>
      <c r="Q268" s="9"/>
      <c r="R268" s="9"/>
      <c r="S268" s="9"/>
      <c r="T268" s="9"/>
      <c r="U268" s="9"/>
      <c r="V268" s="9"/>
      <c r="W268" s="9"/>
      <c r="X268" s="9"/>
      <c r="Y268" s="9"/>
      <c r="Z268" s="10" t="str">
        <f aca="false">IF(A268="","",SG_Criteria!$B$6&amp;SG_Criteria!$B$7&amp;"\"&amp;A268&amp;"\")</f>
        <v/>
      </c>
      <c r="AA268" s="10" t="str">
        <f aca="false">IF(A268="","",A268&amp;"_CAD.dwg")</f>
        <v/>
      </c>
      <c r="AB268" s="10" t="str">
        <f aca="false">IF(A268="","",A268&amp;"_DWG.pdf")</f>
        <v/>
      </c>
      <c r="AC268" s="10" t="str">
        <f aca="false">IF(A268="","",IF(Y268="Y",A268&amp;"_STAAD.std","n/a"))</f>
        <v/>
      </c>
      <c r="AD268" s="10" t="str">
        <f aca="false">IF(A268="","",A268&amp;"_CALC.xlsx")</f>
        <v/>
      </c>
      <c r="AE268" s="10" t="str">
        <f aca="false">IF(A268="","",A268&amp;"_CALC.pdf")</f>
        <v/>
      </c>
      <c r="AF268" s="9"/>
      <c r="AG268" s="9"/>
      <c r="AH268" s="41"/>
      <c r="AI268" s="41"/>
      <c r="AJ268" s="41"/>
      <c r="AK268" s="41"/>
      <c r="AL268" s="41"/>
      <c r="AM268" s="37" t="str">
        <f aca="false">IF(OR(C268="",F268="",G268="",C268="Sump",C268="Drop Inlet Chamber",C268="Silt Trap",C268="Pipe Culvert",C268="Subsoil Drain"),"",ROUND(MAX(1,N(H268))*(1/SG_Criteria!$B$26)*((F268/1000)*(G268/1000*(1-SG_Criteria!$B$25)))*(((F268/1000)*(G268/1000*(1-SG_Criteria!$B$25)))/((F268/1000)+2*(G268/1000*(1-SG_Criteria!$B$25))))^(2/3)*(1/Design_Selector!$B$11)^0.5,3))</f>
        <v/>
      </c>
      <c r="AN268" s="11" t="str">
        <f aca="false">IF(AM268="","",ROUND(AM268/(MAX(1,N(H268))*F268/1000*(G268/1000*(1-SG_Criteria!$B$25))),2))</f>
        <v/>
      </c>
      <c r="AO268" s="38" t="str">
        <f aca="false">IF(C268="","",IF(LEN(IF(AND(OR(D268="Roadside drain",D268="Entrance culvert"),OR(F268&lt;SG_Criteria!$B$15,G268&lt;SG_Criteria!$B$16)),"FAIL: below PUB min "&amp;SG_Criteria!$B$15&amp;"x"&amp;SG_Criteria!$B$16&amp;" for roadside drain. ","")&amp;IF(AND(D268="Common drain",F268&lt;SG_Criteria!$B$17),"FAIL: common drain W &lt; "&amp;SG_Criteria!$B$17&amp;" mm. ","")&amp;IF(AND(N268&lt;&gt;"",IFERROR(VALUE(MID(N268,2,2)),0)&lt;SG_Criteria!$B$19),"FAIL: grade below C"&amp;SG_Criteria!$B$19&amp;". ","")&amp;IF(AND(O268&lt;&gt;"",O268&lt;SG_Criteria!$B$20),"FAIL: cover &lt; "&amp;SG_Criteria!$B$20&amp;" mm. ","")&amp;IF(AND(E268="Open",G268&gt;SG_Criteria!$B$18),"NOTE: safety railing required (D &gt; "&amp;SG_Criteria!$B$18&amp;" mm). ","")&amp;IF(AND(D268="Entrance culvert",G268&lt;600),"NOTE: check hinged grating rule for culverts &lt; 600 deep (PUB Add. 3). ",""))=0,"OK",IF(AND(OR(D268="Roadside drain",D268="Entrance culvert"),OR(F268&lt;SG_Criteria!$B$15,G268&lt;SG_Criteria!$B$16)),"FAIL: below PUB min "&amp;SG_Criteria!$B$15&amp;"x"&amp;SG_Criteria!$B$16&amp;" for roadside drain. ","")&amp;IF(AND(D268="Common drain",F268&lt;SG_Criteria!$B$17),"FAIL: common drain W &lt; "&amp;SG_Criteria!$B$17&amp;" mm. ","")&amp;IF(AND(N268&lt;&gt;"",IFERROR(VALUE(MID(N268,2,2)),0)&lt;SG_Criteria!$B$19),"FAIL: grade below C"&amp;SG_Criteria!$B$19&amp;". ","")&amp;IF(AND(O268&lt;&gt;"",O268&lt;SG_Criteria!$B$20),"FAIL: cover &lt; "&amp;SG_Criteria!$B$20&amp;" mm. ","")&amp;IF(AND(E268="Open",G268&gt;SG_Criteria!$B$18),"NOTE: safety railing required (D &gt; "&amp;SG_Criteria!$B$18&amp;" mm). ","")&amp;IF(AND(D268="Entrance culvert",G268&lt;600),"NOTE: check hinged grating rule for culverts &lt; 600 deep (PUB Add. 3). ","")))</f>
        <v/>
      </c>
      <c r="AP268" s="9"/>
      <c r="AQ268" s="9"/>
      <c r="AR268" s="9"/>
      <c r="AS268" s="9"/>
      <c r="AT268" s="9"/>
      <c r="AU268" s="31"/>
      <c r="AV268" s="10" t="str">
        <f aca="false">IF(C268="","",IF(AND(V268="Approved",ISERROR(SEARCH("FAIL",AO268))),"Y","N"))</f>
        <v/>
      </c>
      <c r="AW268" s="10" t="str">
        <f aca="false">IF(C268="","",C268&amp;"|"&amp;F268&amp;"|"&amp;G268&amp;"|"&amp;L268&amp;"|"&amp;AV268)</f>
        <v/>
      </c>
    </row>
    <row r="269" customFormat="false" ht="15" hidden="false" customHeight="false" outlineLevel="0" collapsed="false">
      <c r="A269" s="10" t="str">
        <f aca="false">IF(C269="","","DRN-"&amp;IFERROR(VLOOKUP(C269,Lists!$A$4:$B$27,2,0),"??")&amp;"-"&amp;TEXT(F269,"0000")&amp;"x"&amp;TEXT(G269,"0000")&amp;IF(N(H269)&gt;1,"-"&amp;H269&amp;"C","")&amp;"-"&amp;IFERROR(VLOOKUP(L269,Lists!$J$4:$K$19,2,0),"??")&amp;"-"&amp;U269)</f>
        <v/>
      </c>
      <c r="B269" s="10" t="str">
        <f aca="false">IF(C269="","",C269&amp;" "&amp;F269&amp;"W x "&amp;G269&amp;"D"&amp;IF(N(H269)&gt;1," ("&amp;H269&amp;" cells)","")&amp;", "&amp;D269&amp;", "&amp;L269&amp;", "&amp;E269)</f>
        <v/>
      </c>
      <c r="C269" s="9"/>
      <c r="D269" s="9"/>
      <c r="E269" s="9"/>
      <c r="F269" s="40"/>
      <c r="G269" s="40"/>
      <c r="H269" s="40"/>
      <c r="I269" s="40"/>
      <c r="J269" s="40"/>
      <c r="K269" s="40"/>
      <c r="L269" s="9"/>
      <c r="M269" s="9"/>
      <c r="N269" s="9"/>
      <c r="O269" s="40"/>
      <c r="P269" s="9"/>
      <c r="Q269" s="9"/>
      <c r="R269" s="9"/>
      <c r="S269" s="9"/>
      <c r="T269" s="9"/>
      <c r="U269" s="9"/>
      <c r="V269" s="9"/>
      <c r="W269" s="9"/>
      <c r="X269" s="9"/>
      <c r="Y269" s="9"/>
      <c r="Z269" s="10" t="str">
        <f aca="false">IF(A269="","",SG_Criteria!$B$6&amp;SG_Criteria!$B$7&amp;"\"&amp;A269&amp;"\")</f>
        <v/>
      </c>
      <c r="AA269" s="10" t="str">
        <f aca="false">IF(A269="","",A269&amp;"_CAD.dwg")</f>
        <v/>
      </c>
      <c r="AB269" s="10" t="str">
        <f aca="false">IF(A269="","",A269&amp;"_DWG.pdf")</f>
        <v/>
      </c>
      <c r="AC269" s="10" t="str">
        <f aca="false">IF(A269="","",IF(Y269="Y",A269&amp;"_STAAD.std","n/a"))</f>
        <v/>
      </c>
      <c r="AD269" s="10" t="str">
        <f aca="false">IF(A269="","",A269&amp;"_CALC.xlsx")</f>
        <v/>
      </c>
      <c r="AE269" s="10" t="str">
        <f aca="false">IF(A269="","",A269&amp;"_CALC.pdf")</f>
        <v/>
      </c>
      <c r="AF269" s="9"/>
      <c r="AG269" s="9"/>
      <c r="AH269" s="41"/>
      <c r="AI269" s="41"/>
      <c r="AJ269" s="41"/>
      <c r="AK269" s="41"/>
      <c r="AL269" s="41"/>
      <c r="AM269" s="37" t="str">
        <f aca="false">IF(OR(C269="",F269="",G269="",C269="Sump",C269="Drop Inlet Chamber",C269="Silt Trap",C269="Pipe Culvert",C269="Subsoil Drain"),"",ROUND(MAX(1,N(H269))*(1/SG_Criteria!$B$26)*((F269/1000)*(G269/1000*(1-SG_Criteria!$B$25)))*(((F269/1000)*(G269/1000*(1-SG_Criteria!$B$25)))/((F269/1000)+2*(G269/1000*(1-SG_Criteria!$B$25))))^(2/3)*(1/Design_Selector!$B$11)^0.5,3))</f>
        <v/>
      </c>
      <c r="AN269" s="11" t="str">
        <f aca="false">IF(AM269="","",ROUND(AM269/(MAX(1,N(H269))*F269/1000*(G269/1000*(1-SG_Criteria!$B$25))),2))</f>
        <v/>
      </c>
      <c r="AO269" s="38" t="str">
        <f aca="false">IF(C269="","",IF(LEN(IF(AND(OR(D269="Roadside drain",D269="Entrance culvert"),OR(F269&lt;SG_Criteria!$B$15,G269&lt;SG_Criteria!$B$16)),"FAIL: below PUB min "&amp;SG_Criteria!$B$15&amp;"x"&amp;SG_Criteria!$B$16&amp;" for roadside drain. ","")&amp;IF(AND(D269="Common drain",F269&lt;SG_Criteria!$B$17),"FAIL: common drain W &lt; "&amp;SG_Criteria!$B$17&amp;" mm. ","")&amp;IF(AND(N269&lt;&gt;"",IFERROR(VALUE(MID(N269,2,2)),0)&lt;SG_Criteria!$B$19),"FAIL: grade below C"&amp;SG_Criteria!$B$19&amp;". ","")&amp;IF(AND(O269&lt;&gt;"",O269&lt;SG_Criteria!$B$20),"FAIL: cover &lt; "&amp;SG_Criteria!$B$20&amp;" mm. ","")&amp;IF(AND(E269="Open",G269&gt;SG_Criteria!$B$18),"NOTE: safety railing required (D &gt; "&amp;SG_Criteria!$B$18&amp;" mm). ","")&amp;IF(AND(D269="Entrance culvert",G269&lt;600),"NOTE: check hinged grating rule for culverts &lt; 600 deep (PUB Add. 3). ",""))=0,"OK",IF(AND(OR(D269="Roadside drain",D269="Entrance culvert"),OR(F269&lt;SG_Criteria!$B$15,G269&lt;SG_Criteria!$B$16)),"FAIL: below PUB min "&amp;SG_Criteria!$B$15&amp;"x"&amp;SG_Criteria!$B$16&amp;" for roadside drain. ","")&amp;IF(AND(D269="Common drain",F269&lt;SG_Criteria!$B$17),"FAIL: common drain W &lt; "&amp;SG_Criteria!$B$17&amp;" mm. ","")&amp;IF(AND(N269&lt;&gt;"",IFERROR(VALUE(MID(N269,2,2)),0)&lt;SG_Criteria!$B$19),"FAIL: grade below C"&amp;SG_Criteria!$B$19&amp;". ","")&amp;IF(AND(O269&lt;&gt;"",O269&lt;SG_Criteria!$B$20),"FAIL: cover &lt; "&amp;SG_Criteria!$B$20&amp;" mm. ","")&amp;IF(AND(E269="Open",G269&gt;SG_Criteria!$B$18),"NOTE: safety railing required (D &gt; "&amp;SG_Criteria!$B$18&amp;" mm). ","")&amp;IF(AND(D269="Entrance culvert",G269&lt;600),"NOTE: check hinged grating rule for culverts &lt; 600 deep (PUB Add. 3). ","")))</f>
        <v/>
      </c>
      <c r="AP269" s="9"/>
      <c r="AQ269" s="9"/>
      <c r="AR269" s="9"/>
      <c r="AS269" s="9"/>
      <c r="AT269" s="9"/>
      <c r="AU269" s="31"/>
      <c r="AV269" s="10" t="str">
        <f aca="false">IF(C269="","",IF(AND(V269="Approved",ISERROR(SEARCH("FAIL",AO269))),"Y","N"))</f>
        <v/>
      </c>
      <c r="AW269" s="10" t="str">
        <f aca="false">IF(C269="","",C269&amp;"|"&amp;F269&amp;"|"&amp;G269&amp;"|"&amp;L269&amp;"|"&amp;AV269)</f>
        <v/>
      </c>
    </row>
    <row r="270" customFormat="false" ht="15" hidden="false" customHeight="false" outlineLevel="0" collapsed="false">
      <c r="A270" s="10" t="str">
        <f aca="false">IF(C270="","","DRN-"&amp;IFERROR(VLOOKUP(C270,Lists!$A$4:$B$27,2,0),"??")&amp;"-"&amp;TEXT(F270,"0000")&amp;"x"&amp;TEXT(G270,"0000")&amp;IF(N(H270)&gt;1,"-"&amp;H270&amp;"C","")&amp;"-"&amp;IFERROR(VLOOKUP(L270,Lists!$J$4:$K$19,2,0),"??")&amp;"-"&amp;U270)</f>
        <v/>
      </c>
      <c r="B270" s="10" t="str">
        <f aca="false">IF(C270="","",C270&amp;" "&amp;F270&amp;"W x "&amp;G270&amp;"D"&amp;IF(N(H270)&gt;1," ("&amp;H270&amp;" cells)","")&amp;", "&amp;D270&amp;", "&amp;L270&amp;", "&amp;E270)</f>
        <v/>
      </c>
      <c r="C270" s="9"/>
      <c r="D270" s="9"/>
      <c r="E270" s="9"/>
      <c r="F270" s="40"/>
      <c r="G270" s="40"/>
      <c r="H270" s="40"/>
      <c r="I270" s="40"/>
      <c r="J270" s="40"/>
      <c r="K270" s="40"/>
      <c r="L270" s="9"/>
      <c r="M270" s="9"/>
      <c r="N270" s="9"/>
      <c r="O270" s="40"/>
      <c r="P270" s="9"/>
      <c r="Q270" s="9"/>
      <c r="R270" s="9"/>
      <c r="S270" s="9"/>
      <c r="T270" s="9"/>
      <c r="U270" s="9"/>
      <c r="V270" s="9"/>
      <c r="W270" s="9"/>
      <c r="X270" s="9"/>
      <c r="Y270" s="9"/>
      <c r="Z270" s="10" t="str">
        <f aca="false">IF(A270="","",SG_Criteria!$B$6&amp;SG_Criteria!$B$7&amp;"\"&amp;A270&amp;"\")</f>
        <v/>
      </c>
      <c r="AA270" s="10" t="str">
        <f aca="false">IF(A270="","",A270&amp;"_CAD.dwg")</f>
        <v/>
      </c>
      <c r="AB270" s="10" t="str">
        <f aca="false">IF(A270="","",A270&amp;"_DWG.pdf")</f>
        <v/>
      </c>
      <c r="AC270" s="10" t="str">
        <f aca="false">IF(A270="","",IF(Y270="Y",A270&amp;"_STAAD.std","n/a"))</f>
        <v/>
      </c>
      <c r="AD270" s="10" t="str">
        <f aca="false">IF(A270="","",A270&amp;"_CALC.xlsx")</f>
        <v/>
      </c>
      <c r="AE270" s="10" t="str">
        <f aca="false">IF(A270="","",A270&amp;"_CALC.pdf")</f>
        <v/>
      </c>
      <c r="AF270" s="9"/>
      <c r="AG270" s="9"/>
      <c r="AH270" s="41"/>
      <c r="AI270" s="41"/>
      <c r="AJ270" s="41"/>
      <c r="AK270" s="41"/>
      <c r="AL270" s="41"/>
      <c r="AM270" s="37" t="str">
        <f aca="false">IF(OR(C270="",F270="",G270="",C270="Sump",C270="Drop Inlet Chamber",C270="Silt Trap",C270="Pipe Culvert",C270="Subsoil Drain"),"",ROUND(MAX(1,N(H270))*(1/SG_Criteria!$B$26)*((F270/1000)*(G270/1000*(1-SG_Criteria!$B$25)))*(((F270/1000)*(G270/1000*(1-SG_Criteria!$B$25)))/((F270/1000)+2*(G270/1000*(1-SG_Criteria!$B$25))))^(2/3)*(1/Design_Selector!$B$11)^0.5,3))</f>
        <v/>
      </c>
      <c r="AN270" s="11" t="str">
        <f aca="false">IF(AM270="","",ROUND(AM270/(MAX(1,N(H270))*F270/1000*(G270/1000*(1-SG_Criteria!$B$25))),2))</f>
        <v/>
      </c>
      <c r="AO270" s="38" t="str">
        <f aca="false">IF(C270="","",IF(LEN(IF(AND(OR(D270="Roadside drain",D270="Entrance culvert"),OR(F270&lt;SG_Criteria!$B$15,G270&lt;SG_Criteria!$B$16)),"FAIL: below PUB min "&amp;SG_Criteria!$B$15&amp;"x"&amp;SG_Criteria!$B$16&amp;" for roadside drain. ","")&amp;IF(AND(D270="Common drain",F270&lt;SG_Criteria!$B$17),"FAIL: common drain W &lt; "&amp;SG_Criteria!$B$17&amp;" mm. ","")&amp;IF(AND(N270&lt;&gt;"",IFERROR(VALUE(MID(N270,2,2)),0)&lt;SG_Criteria!$B$19),"FAIL: grade below C"&amp;SG_Criteria!$B$19&amp;". ","")&amp;IF(AND(O270&lt;&gt;"",O270&lt;SG_Criteria!$B$20),"FAIL: cover &lt; "&amp;SG_Criteria!$B$20&amp;" mm. ","")&amp;IF(AND(E270="Open",G270&gt;SG_Criteria!$B$18),"NOTE: safety railing required (D &gt; "&amp;SG_Criteria!$B$18&amp;" mm). ","")&amp;IF(AND(D270="Entrance culvert",G270&lt;600),"NOTE: check hinged grating rule for culverts &lt; 600 deep (PUB Add. 3). ",""))=0,"OK",IF(AND(OR(D270="Roadside drain",D270="Entrance culvert"),OR(F270&lt;SG_Criteria!$B$15,G270&lt;SG_Criteria!$B$16)),"FAIL: below PUB min "&amp;SG_Criteria!$B$15&amp;"x"&amp;SG_Criteria!$B$16&amp;" for roadside drain. ","")&amp;IF(AND(D270="Common drain",F270&lt;SG_Criteria!$B$17),"FAIL: common drain W &lt; "&amp;SG_Criteria!$B$17&amp;" mm. ","")&amp;IF(AND(N270&lt;&gt;"",IFERROR(VALUE(MID(N270,2,2)),0)&lt;SG_Criteria!$B$19),"FAIL: grade below C"&amp;SG_Criteria!$B$19&amp;". ","")&amp;IF(AND(O270&lt;&gt;"",O270&lt;SG_Criteria!$B$20),"FAIL: cover &lt; "&amp;SG_Criteria!$B$20&amp;" mm. ","")&amp;IF(AND(E270="Open",G270&gt;SG_Criteria!$B$18),"NOTE: safety railing required (D &gt; "&amp;SG_Criteria!$B$18&amp;" mm). ","")&amp;IF(AND(D270="Entrance culvert",G270&lt;600),"NOTE: check hinged grating rule for culverts &lt; 600 deep (PUB Add. 3). ","")))</f>
        <v/>
      </c>
      <c r="AP270" s="9"/>
      <c r="AQ270" s="9"/>
      <c r="AR270" s="9"/>
      <c r="AS270" s="9"/>
      <c r="AT270" s="9"/>
      <c r="AU270" s="31"/>
      <c r="AV270" s="10" t="str">
        <f aca="false">IF(C270="","",IF(AND(V270="Approved",ISERROR(SEARCH("FAIL",AO270))),"Y","N"))</f>
        <v/>
      </c>
      <c r="AW270" s="10" t="str">
        <f aca="false">IF(C270="","",C270&amp;"|"&amp;F270&amp;"|"&amp;G270&amp;"|"&amp;L270&amp;"|"&amp;AV270)</f>
        <v/>
      </c>
    </row>
    <row r="271" customFormat="false" ht="15" hidden="false" customHeight="false" outlineLevel="0" collapsed="false">
      <c r="A271" s="10" t="str">
        <f aca="false">IF(C271="","","DRN-"&amp;IFERROR(VLOOKUP(C271,Lists!$A$4:$B$27,2,0),"??")&amp;"-"&amp;TEXT(F271,"0000")&amp;"x"&amp;TEXT(G271,"0000")&amp;IF(N(H271)&gt;1,"-"&amp;H271&amp;"C","")&amp;"-"&amp;IFERROR(VLOOKUP(L271,Lists!$J$4:$K$19,2,0),"??")&amp;"-"&amp;U271)</f>
        <v/>
      </c>
      <c r="B271" s="10" t="str">
        <f aca="false">IF(C271="","",C271&amp;" "&amp;F271&amp;"W x "&amp;G271&amp;"D"&amp;IF(N(H271)&gt;1," ("&amp;H271&amp;" cells)","")&amp;", "&amp;D271&amp;", "&amp;L271&amp;", "&amp;E271)</f>
        <v/>
      </c>
      <c r="C271" s="9"/>
      <c r="D271" s="9"/>
      <c r="E271" s="9"/>
      <c r="F271" s="40"/>
      <c r="G271" s="40"/>
      <c r="H271" s="40"/>
      <c r="I271" s="40"/>
      <c r="J271" s="40"/>
      <c r="K271" s="40"/>
      <c r="L271" s="9"/>
      <c r="M271" s="9"/>
      <c r="N271" s="9"/>
      <c r="O271" s="40"/>
      <c r="P271" s="9"/>
      <c r="Q271" s="9"/>
      <c r="R271" s="9"/>
      <c r="S271" s="9"/>
      <c r="T271" s="9"/>
      <c r="U271" s="9"/>
      <c r="V271" s="9"/>
      <c r="W271" s="9"/>
      <c r="X271" s="9"/>
      <c r="Y271" s="9"/>
      <c r="Z271" s="10" t="str">
        <f aca="false">IF(A271="","",SG_Criteria!$B$6&amp;SG_Criteria!$B$7&amp;"\"&amp;A271&amp;"\")</f>
        <v/>
      </c>
      <c r="AA271" s="10" t="str">
        <f aca="false">IF(A271="","",A271&amp;"_CAD.dwg")</f>
        <v/>
      </c>
      <c r="AB271" s="10" t="str">
        <f aca="false">IF(A271="","",A271&amp;"_DWG.pdf")</f>
        <v/>
      </c>
      <c r="AC271" s="10" t="str">
        <f aca="false">IF(A271="","",IF(Y271="Y",A271&amp;"_STAAD.std","n/a"))</f>
        <v/>
      </c>
      <c r="AD271" s="10" t="str">
        <f aca="false">IF(A271="","",A271&amp;"_CALC.xlsx")</f>
        <v/>
      </c>
      <c r="AE271" s="10" t="str">
        <f aca="false">IF(A271="","",A271&amp;"_CALC.pdf")</f>
        <v/>
      </c>
      <c r="AF271" s="9"/>
      <c r="AG271" s="9"/>
      <c r="AH271" s="41"/>
      <c r="AI271" s="41"/>
      <c r="AJ271" s="41"/>
      <c r="AK271" s="41"/>
      <c r="AL271" s="41"/>
      <c r="AM271" s="37" t="str">
        <f aca="false">IF(OR(C271="",F271="",G271="",C271="Sump",C271="Drop Inlet Chamber",C271="Silt Trap",C271="Pipe Culvert",C271="Subsoil Drain"),"",ROUND(MAX(1,N(H271))*(1/SG_Criteria!$B$26)*((F271/1000)*(G271/1000*(1-SG_Criteria!$B$25)))*(((F271/1000)*(G271/1000*(1-SG_Criteria!$B$25)))/((F271/1000)+2*(G271/1000*(1-SG_Criteria!$B$25))))^(2/3)*(1/Design_Selector!$B$11)^0.5,3))</f>
        <v/>
      </c>
      <c r="AN271" s="11" t="str">
        <f aca="false">IF(AM271="","",ROUND(AM271/(MAX(1,N(H271))*F271/1000*(G271/1000*(1-SG_Criteria!$B$25))),2))</f>
        <v/>
      </c>
      <c r="AO271" s="38" t="str">
        <f aca="false">IF(C271="","",IF(LEN(IF(AND(OR(D271="Roadside drain",D271="Entrance culvert"),OR(F271&lt;SG_Criteria!$B$15,G271&lt;SG_Criteria!$B$16)),"FAIL: below PUB min "&amp;SG_Criteria!$B$15&amp;"x"&amp;SG_Criteria!$B$16&amp;" for roadside drain. ","")&amp;IF(AND(D271="Common drain",F271&lt;SG_Criteria!$B$17),"FAIL: common drain W &lt; "&amp;SG_Criteria!$B$17&amp;" mm. ","")&amp;IF(AND(N271&lt;&gt;"",IFERROR(VALUE(MID(N271,2,2)),0)&lt;SG_Criteria!$B$19),"FAIL: grade below C"&amp;SG_Criteria!$B$19&amp;". ","")&amp;IF(AND(O271&lt;&gt;"",O271&lt;SG_Criteria!$B$20),"FAIL: cover &lt; "&amp;SG_Criteria!$B$20&amp;" mm. ","")&amp;IF(AND(E271="Open",G271&gt;SG_Criteria!$B$18),"NOTE: safety railing required (D &gt; "&amp;SG_Criteria!$B$18&amp;" mm). ","")&amp;IF(AND(D271="Entrance culvert",G271&lt;600),"NOTE: check hinged grating rule for culverts &lt; 600 deep (PUB Add. 3). ",""))=0,"OK",IF(AND(OR(D271="Roadside drain",D271="Entrance culvert"),OR(F271&lt;SG_Criteria!$B$15,G271&lt;SG_Criteria!$B$16)),"FAIL: below PUB min "&amp;SG_Criteria!$B$15&amp;"x"&amp;SG_Criteria!$B$16&amp;" for roadside drain. ","")&amp;IF(AND(D271="Common drain",F271&lt;SG_Criteria!$B$17),"FAIL: common drain W &lt; "&amp;SG_Criteria!$B$17&amp;" mm. ","")&amp;IF(AND(N271&lt;&gt;"",IFERROR(VALUE(MID(N271,2,2)),0)&lt;SG_Criteria!$B$19),"FAIL: grade below C"&amp;SG_Criteria!$B$19&amp;". ","")&amp;IF(AND(O271&lt;&gt;"",O271&lt;SG_Criteria!$B$20),"FAIL: cover &lt; "&amp;SG_Criteria!$B$20&amp;" mm. ","")&amp;IF(AND(E271="Open",G271&gt;SG_Criteria!$B$18),"NOTE: safety railing required (D &gt; "&amp;SG_Criteria!$B$18&amp;" mm). ","")&amp;IF(AND(D271="Entrance culvert",G271&lt;600),"NOTE: check hinged grating rule for culverts &lt; 600 deep (PUB Add. 3). ","")))</f>
        <v/>
      </c>
      <c r="AP271" s="9"/>
      <c r="AQ271" s="9"/>
      <c r="AR271" s="9"/>
      <c r="AS271" s="9"/>
      <c r="AT271" s="9"/>
      <c r="AU271" s="31"/>
      <c r="AV271" s="10" t="str">
        <f aca="false">IF(C271="","",IF(AND(V271="Approved",ISERROR(SEARCH("FAIL",AO271))),"Y","N"))</f>
        <v/>
      </c>
      <c r="AW271" s="10" t="str">
        <f aca="false">IF(C271="","",C271&amp;"|"&amp;F271&amp;"|"&amp;G271&amp;"|"&amp;L271&amp;"|"&amp;AV271)</f>
        <v/>
      </c>
    </row>
    <row r="272" customFormat="false" ht="15" hidden="false" customHeight="false" outlineLevel="0" collapsed="false">
      <c r="A272" s="10" t="str">
        <f aca="false">IF(C272="","","DRN-"&amp;IFERROR(VLOOKUP(C272,Lists!$A$4:$B$27,2,0),"??")&amp;"-"&amp;TEXT(F272,"0000")&amp;"x"&amp;TEXT(G272,"0000")&amp;IF(N(H272)&gt;1,"-"&amp;H272&amp;"C","")&amp;"-"&amp;IFERROR(VLOOKUP(L272,Lists!$J$4:$K$19,2,0),"??")&amp;"-"&amp;U272)</f>
        <v/>
      </c>
      <c r="B272" s="10" t="str">
        <f aca="false">IF(C272="","",C272&amp;" "&amp;F272&amp;"W x "&amp;G272&amp;"D"&amp;IF(N(H272)&gt;1," ("&amp;H272&amp;" cells)","")&amp;", "&amp;D272&amp;", "&amp;L272&amp;", "&amp;E272)</f>
        <v/>
      </c>
      <c r="C272" s="9"/>
      <c r="D272" s="9"/>
      <c r="E272" s="9"/>
      <c r="F272" s="40"/>
      <c r="G272" s="40"/>
      <c r="H272" s="40"/>
      <c r="I272" s="40"/>
      <c r="J272" s="40"/>
      <c r="K272" s="40"/>
      <c r="L272" s="9"/>
      <c r="M272" s="9"/>
      <c r="N272" s="9"/>
      <c r="O272" s="40"/>
      <c r="P272" s="9"/>
      <c r="Q272" s="9"/>
      <c r="R272" s="9"/>
      <c r="S272" s="9"/>
      <c r="T272" s="9"/>
      <c r="U272" s="9"/>
      <c r="V272" s="9"/>
      <c r="W272" s="9"/>
      <c r="X272" s="9"/>
      <c r="Y272" s="9"/>
      <c r="Z272" s="10" t="str">
        <f aca="false">IF(A272="","",SG_Criteria!$B$6&amp;SG_Criteria!$B$7&amp;"\"&amp;A272&amp;"\")</f>
        <v/>
      </c>
      <c r="AA272" s="10" t="str">
        <f aca="false">IF(A272="","",A272&amp;"_CAD.dwg")</f>
        <v/>
      </c>
      <c r="AB272" s="10" t="str">
        <f aca="false">IF(A272="","",A272&amp;"_DWG.pdf")</f>
        <v/>
      </c>
      <c r="AC272" s="10" t="str">
        <f aca="false">IF(A272="","",IF(Y272="Y",A272&amp;"_STAAD.std","n/a"))</f>
        <v/>
      </c>
      <c r="AD272" s="10" t="str">
        <f aca="false">IF(A272="","",A272&amp;"_CALC.xlsx")</f>
        <v/>
      </c>
      <c r="AE272" s="10" t="str">
        <f aca="false">IF(A272="","",A272&amp;"_CALC.pdf")</f>
        <v/>
      </c>
      <c r="AF272" s="9"/>
      <c r="AG272" s="9"/>
      <c r="AH272" s="41"/>
      <c r="AI272" s="41"/>
      <c r="AJ272" s="41"/>
      <c r="AK272" s="41"/>
      <c r="AL272" s="41"/>
      <c r="AM272" s="37" t="str">
        <f aca="false">IF(OR(C272="",F272="",G272="",C272="Sump",C272="Drop Inlet Chamber",C272="Silt Trap",C272="Pipe Culvert",C272="Subsoil Drain"),"",ROUND(MAX(1,N(H272))*(1/SG_Criteria!$B$26)*((F272/1000)*(G272/1000*(1-SG_Criteria!$B$25)))*(((F272/1000)*(G272/1000*(1-SG_Criteria!$B$25)))/((F272/1000)+2*(G272/1000*(1-SG_Criteria!$B$25))))^(2/3)*(1/Design_Selector!$B$11)^0.5,3))</f>
        <v/>
      </c>
      <c r="AN272" s="11" t="str">
        <f aca="false">IF(AM272="","",ROUND(AM272/(MAX(1,N(H272))*F272/1000*(G272/1000*(1-SG_Criteria!$B$25))),2))</f>
        <v/>
      </c>
      <c r="AO272" s="38" t="str">
        <f aca="false">IF(C272="","",IF(LEN(IF(AND(OR(D272="Roadside drain",D272="Entrance culvert"),OR(F272&lt;SG_Criteria!$B$15,G272&lt;SG_Criteria!$B$16)),"FAIL: below PUB min "&amp;SG_Criteria!$B$15&amp;"x"&amp;SG_Criteria!$B$16&amp;" for roadside drain. ","")&amp;IF(AND(D272="Common drain",F272&lt;SG_Criteria!$B$17),"FAIL: common drain W &lt; "&amp;SG_Criteria!$B$17&amp;" mm. ","")&amp;IF(AND(N272&lt;&gt;"",IFERROR(VALUE(MID(N272,2,2)),0)&lt;SG_Criteria!$B$19),"FAIL: grade below C"&amp;SG_Criteria!$B$19&amp;". ","")&amp;IF(AND(O272&lt;&gt;"",O272&lt;SG_Criteria!$B$20),"FAIL: cover &lt; "&amp;SG_Criteria!$B$20&amp;" mm. ","")&amp;IF(AND(E272="Open",G272&gt;SG_Criteria!$B$18),"NOTE: safety railing required (D &gt; "&amp;SG_Criteria!$B$18&amp;" mm). ","")&amp;IF(AND(D272="Entrance culvert",G272&lt;600),"NOTE: check hinged grating rule for culverts &lt; 600 deep (PUB Add. 3). ",""))=0,"OK",IF(AND(OR(D272="Roadside drain",D272="Entrance culvert"),OR(F272&lt;SG_Criteria!$B$15,G272&lt;SG_Criteria!$B$16)),"FAIL: below PUB min "&amp;SG_Criteria!$B$15&amp;"x"&amp;SG_Criteria!$B$16&amp;" for roadside drain. ","")&amp;IF(AND(D272="Common drain",F272&lt;SG_Criteria!$B$17),"FAIL: common drain W &lt; "&amp;SG_Criteria!$B$17&amp;" mm. ","")&amp;IF(AND(N272&lt;&gt;"",IFERROR(VALUE(MID(N272,2,2)),0)&lt;SG_Criteria!$B$19),"FAIL: grade below C"&amp;SG_Criteria!$B$19&amp;". ","")&amp;IF(AND(O272&lt;&gt;"",O272&lt;SG_Criteria!$B$20),"FAIL: cover &lt; "&amp;SG_Criteria!$B$20&amp;" mm. ","")&amp;IF(AND(E272="Open",G272&gt;SG_Criteria!$B$18),"NOTE: safety railing required (D &gt; "&amp;SG_Criteria!$B$18&amp;" mm). ","")&amp;IF(AND(D272="Entrance culvert",G272&lt;600),"NOTE: check hinged grating rule for culverts &lt; 600 deep (PUB Add. 3). ","")))</f>
        <v/>
      </c>
      <c r="AP272" s="9"/>
      <c r="AQ272" s="9"/>
      <c r="AR272" s="9"/>
      <c r="AS272" s="9"/>
      <c r="AT272" s="9"/>
      <c r="AU272" s="31"/>
      <c r="AV272" s="10" t="str">
        <f aca="false">IF(C272="","",IF(AND(V272="Approved",ISERROR(SEARCH("FAIL",AO272))),"Y","N"))</f>
        <v/>
      </c>
      <c r="AW272" s="10" t="str">
        <f aca="false">IF(C272="","",C272&amp;"|"&amp;F272&amp;"|"&amp;G272&amp;"|"&amp;L272&amp;"|"&amp;AV272)</f>
        <v/>
      </c>
    </row>
    <row r="273" customFormat="false" ht="15" hidden="false" customHeight="false" outlineLevel="0" collapsed="false">
      <c r="A273" s="10" t="str">
        <f aca="false">IF(C273="","","DRN-"&amp;IFERROR(VLOOKUP(C273,Lists!$A$4:$B$27,2,0),"??")&amp;"-"&amp;TEXT(F273,"0000")&amp;"x"&amp;TEXT(G273,"0000")&amp;IF(N(H273)&gt;1,"-"&amp;H273&amp;"C","")&amp;"-"&amp;IFERROR(VLOOKUP(L273,Lists!$J$4:$K$19,2,0),"??")&amp;"-"&amp;U273)</f>
        <v/>
      </c>
      <c r="B273" s="10" t="str">
        <f aca="false">IF(C273="","",C273&amp;" "&amp;F273&amp;"W x "&amp;G273&amp;"D"&amp;IF(N(H273)&gt;1," ("&amp;H273&amp;" cells)","")&amp;", "&amp;D273&amp;", "&amp;L273&amp;", "&amp;E273)</f>
        <v/>
      </c>
      <c r="C273" s="9"/>
      <c r="D273" s="9"/>
      <c r="E273" s="9"/>
      <c r="F273" s="40"/>
      <c r="G273" s="40"/>
      <c r="H273" s="40"/>
      <c r="I273" s="40"/>
      <c r="J273" s="40"/>
      <c r="K273" s="40"/>
      <c r="L273" s="9"/>
      <c r="M273" s="9"/>
      <c r="N273" s="9"/>
      <c r="O273" s="40"/>
      <c r="P273" s="9"/>
      <c r="Q273" s="9"/>
      <c r="R273" s="9"/>
      <c r="S273" s="9"/>
      <c r="T273" s="9"/>
      <c r="U273" s="9"/>
      <c r="V273" s="9"/>
      <c r="W273" s="9"/>
      <c r="X273" s="9"/>
      <c r="Y273" s="9"/>
      <c r="Z273" s="10" t="str">
        <f aca="false">IF(A273="","",SG_Criteria!$B$6&amp;SG_Criteria!$B$7&amp;"\"&amp;A273&amp;"\")</f>
        <v/>
      </c>
      <c r="AA273" s="10" t="str">
        <f aca="false">IF(A273="","",A273&amp;"_CAD.dwg")</f>
        <v/>
      </c>
      <c r="AB273" s="10" t="str">
        <f aca="false">IF(A273="","",A273&amp;"_DWG.pdf")</f>
        <v/>
      </c>
      <c r="AC273" s="10" t="str">
        <f aca="false">IF(A273="","",IF(Y273="Y",A273&amp;"_STAAD.std","n/a"))</f>
        <v/>
      </c>
      <c r="AD273" s="10" t="str">
        <f aca="false">IF(A273="","",A273&amp;"_CALC.xlsx")</f>
        <v/>
      </c>
      <c r="AE273" s="10" t="str">
        <f aca="false">IF(A273="","",A273&amp;"_CALC.pdf")</f>
        <v/>
      </c>
      <c r="AF273" s="9"/>
      <c r="AG273" s="9"/>
      <c r="AH273" s="41"/>
      <c r="AI273" s="41"/>
      <c r="AJ273" s="41"/>
      <c r="AK273" s="41"/>
      <c r="AL273" s="41"/>
      <c r="AM273" s="37" t="str">
        <f aca="false">IF(OR(C273="",F273="",G273="",C273="Sump",C273="Drop Inlet Chamber",C273="Silt Trap",C273="Pipe Culvert",C273="Subsoil Drain"),"",ROUND(MAX(1,N(H273))*(1/SG_Criteria!$B$26)*((F273/1000)*(G273/1000*(1-SG_Criteria!$B$25)))*(((F273/1000)*(G273/1000*(1-SG_Criteria!$B$25)))/((F273/1000)+2*(G273/1000*(1-SG_Criteria!$B$25))))^(2/3)*(1/Design_Selector!$B$11)^0.5,3))</f>
        <v/>
      </c>
      <c r="AN273" s="11" t="str">
        <f aca="false">IF(AM273="","",ROUND(AM273/(MAX(1,N(H273))*F273/1000*(G273/1000*(1-SG_Criteria!$B$25))),2))</f>
        <v/>
      </c>
      <c r="AO273" s="38" t="str">
        <f aca="false">IF(C273="","",IF(LEN(IF(AND(OR(D273="Roadside drain",D273="Entrance culvert"),OR(F273&lt;SG_Criteria!$B$15,G273&lt;SG_Criteria!$B$16)),"FAIL: below PUB min "&amp;SG_Criteria!$B$15&amp;"x"&amp;SG_Criteria!$B$16&amp;" for roadside drain. ","")&amp;IF(AND(D273="Common drain",F273&lt;SG_Criteria!$B$17),"FAIL: common drain W &lt; "&amp;SG_Criteria!$B$17&amp;" mm. ","")&amp;IF(AND(N273&lt;&gt;"",IFERROR(VALUE(MID(N273,2,2)),0)&lt;SG_Criteria!$B$19),"FAIL: grade below C"&amp;SG_Criteria!$B$19&amp;". ","")&amp;IF(AND(O273&lt;&gt;"",O273&lt;SG_Criteria!$B$20),"FAIL: cover &lt; "&amp;SG_Criteria!$B$20&amp;" mm. ","")&amp;IF(AND(E273="Open",G273&gt;SG_Criteria!$B$18),"NOTE: safety railing required (D &gt; "&amp;SG_Criteria!$B$18&amp;" mm). ","")&amp;IF(AND(D273="Entrance culvert",G273&lt;600),"NOTE: check hinged grating rule for culverts &lt; 600 deep (PUB Add. 3). ",""))=0,"OK",IF(AND(OR(D273="Roadside drain",D273="Entrance culvert"),OR(F273&lt;SG_Criteria!$B$15,G273&lt;SG_Criteria!$B$16)),"FAIL: below PUB min "&amp;SG_Criteria!$B$15&amp;"x"&amp;SG_Criteria!$B$16&amp;" for roadside drain. ","")&amp;IF(AND(D273="Common drain",F273&lt;SG_Criteria!$B$17),"FAIL: common drain W &lt; "&amp;SG_Criteria!$B$17&amp;" mm. ","")&amp;IF(AND(N273&lt;&gt;"",IFERROR(VALUE(MID(N273,2,2)),0)&lt;SG_Criteria!$B$19),"FAIL: grade below C"&amp;SG_Criteria!$B$19&amp;". ","")&amp;IF(AND(O273&lt;&gt;"",O273&lt;SG_Criteria!$B$20),"FAIL: cover &lt; "&amp;SG_Criteria!$B$20&amp;" mm. ","")&amp;IF(AND(E273="Open",G273&gt;SG_Criteria!$B$18),"NOTE: safety railing required (D &gt; "&amp;SG_Criteria!$B$18&amp;" mm). ","")&amp;IF(AND(D273="Entrance culvert",G273&lt;600),"NOTE: check hinged grating rule for culverts &lt; 600 deep (PUB Add. 3). ","")))</f>
        <v/>
      </c>
      <c r="AP273" s="9"/>
      <c r="AQ273" s="9"/>
      <c r="AR273" s="9"/>
      <c r="AS273" s="9"/>
      <c r="AT273" s="9"/>
      <c r="AU273" s="31"/>
      <c r="AV273" s="10" t="str">
        <f aca="false">IF(C273="","",IF(AND(V273="Approved",ISERROR(SEARCH("FAIL",AO273))),"Y","N"))</f>
        <v/>
      </c>
      <c r="AW273" s="10" t="str">
        <f aca="false">IF(C273="","",C273&amp;"|"&amp;F273&amp;"|"&amp;G273&amp;"|"&amp;L273&amp;"|"&amp;AV273)</f>
        <v/>
      </c>
    </row>
    <row r="274" customFormat="false" ht="15" hidden="false" customHeight="false" outlineLevel="0" collapsed="false">
      <c r="A274" s="10" t="str">
        <f aca="false">IF(C274="","","DRN-"&amp;IFERROR(VLOOKUP(C274,Lists!$A$4:$B$27,2,0),"??")&amp;"-"&amp;TEXT(F274,"0000")&amp;"x"&amp;TEXT(G274,"0000")&amp;IF(N(H274)&gt;1,"-"&amp;H274&amp;"C","")&amp;"-"&amp;IFERROR(VLOOKUP(L274,Lists!$J$4:$K$19,2,0),"??")&amp;"-"&amp;U274)</f>
        <v/>
      </c>
      <c r="B274" s="10" t="str">
        <f aca="false">IF(C274="","",C274&amp;" "&amp;F274&amp;"W x "&amp;G274&amp;"D"&amp;IF(N(H274)&gt;1," ("&amp;H274&amp;" cells)","")&amp;", "&amp;D274&amp;", "&amp;L274&amp;", "&amp;E274)</f>
        <v/>
      </c>
      <c r="C274" s="9"/>
      <c r="D274" s="9"/>
      <c r="E274" s="9"/>
      <c r="F274" s="40"/>
      <c r="G274" s="40"/>
      <c r="H274" s="40"/>
      <c r="I274" s="40"/>
      <c r="J274" s="40"/>
      <c r="K274" s="40"/>
      <c r="L274" s="9"/>
      <c r="M274" s="9"/>
      <c r="N274" s="9"/>
      <c r="O274" s="40"/>
      <c r="P274" s="9"/>
      <c r="Q274" s="9"/>
      <c r="R274" s="9"/>
      <c r="S274" s="9"/>
      <c r="T274" s="9"/>
      <c r="U274" s="9"/>
      <c r="V274" s="9"/>
      <c r="W274" s="9"/>
      <c r="X274" s="9"/>
      <c r="Y274" s="9"/>
      <c r="Z274" s="10" t="str">
        <f aca="false">IF(A274="","",SG_Criteria!$B$6&amp;SG_Criteria!$B$7&amp;"\"&amp;A274&amp;"\")</f>
        <v/>
      </c>
      <c r="AA274" s="10" t="str">
        <f aca="false">IF(A274="","",A274&amp;"_CAD.dwg")</f>
        <v/>
      </c>
      <c r="AB274" s="10" t="str">
        <f aca="false">IF(A274="","",A274&amp;"_DWG.pdf")</f>
        <v/>
      </c>
      <c r="AC274" s="10" t="str">
        <f aca="false">IF(A274="","",IF(Y274="Y",A274&amp;"_STAAD.std","n/a"))</f>
        <v/>
      </c>
      <c r="AD274" s="10" t="str">
        <f aca="false">IF(A274="","",A274&amp;"_CALC.xlsx")</f>
        <v/>
      </c>
      <c r="AE274" s="10" t="str">
        <f aca="false">IF(A274="","",A274&amp;"_CALC.pdf")</f>
        <v/>
      </c>
      <c r="AF274" s="9"/>
      <c r="AG274" s="9"/>
      <c r="AH274" s="41"/>
      <c r="AI274" s="41"/>
      <c r="AJ274" s="41"/>
      <c r="AK274" s="41"/>
      <c r="AL274" s="41"/>
      <c r="AM274" s="37" t="str">
        <f aca="false">IF(OR(C274="",F274="",G274="",C274="Sump",C274="Drop Inlet Chamber",C274="Silt Trap",C274="Pipe Culvert",C274="Subsoil Drain"),"",ROUND(MAX(1,N(H274))*(1/SG_Criteria!$B$26)*((F274/1000)*(G274/1000*(1-SG_Criteria!$B$25)))*(((F274/1000)*(G274/1000*(1-SG_Criteria!$B$25)))/((F274/1000)+2*(G274/1000*(1-SG_Criteria!$B$25))))^(2/3)*(1/Design_Selector!$B$11)^0.5,3))</f>
        <v/>
      </c>
      <c r="AN274" s="11" t="str">
        <f aca="false">IF(AM274="","",ROUND(AM274/(MAX(1,N(H274))*F274/1000*(G274/1000*(1-SG_Criteria!$B$25))),2))</f>
        <v/>
      </c>
      <c r="AO274" s="38" t="str">
        <f aca="false">IF(C274="","",IF(LEN(IF(AND(OR(D274="Roadside drain",D274="Entrance culvert"),OR(F274&lt;SG_Criteria!$B$15,G274&lt;SG_Criteria!$B$16)),"FAIL: below PUB min "&amp;SG_Criteria!$B$15&amp;"x"&amp;SG_Criteria!$B$16&amp;" for roadside drain. ","")&amp;IF(AND(D274="Common drain",F274&lt;SG_Criteria!$B$17),"FAIL: common drain W &lt; "&amp;SG_Criteria!$B$17&amp;" mm. ","")&amp;IF(AND(N274&lt;&gt;"",IFERROR(VALUE(MID(N274,2,2)),0)&lt;SG_Criteria!$B$19),"FAIL: grade below C"&amp;SG_Criteria!$B$19&amp;". ","")&amp;IF(AND(O274&lt;&gt;"",O274&lt;SG_Criteria!$B$20),"FAIL: cover &lt; "&amp;SG_Criteria!$B$20&amp;" mm. ","")&amp;IF(AND(E274="Open",G274&gt;SG_Criteria!$B$18),"NOTE: safety railing required (D &gt; "&amp;SG_Criteria!$B$18&amp;" mm). ","")&amp;IF(AND(D274="Entrance culvert",G274&lt;600),"NOTE: check hinged grating rule for culverts &lt; 600 deep (PUB Add. 3). ",""))=0,"OK",IF(AND(OR(D274="Roadside drain",D274="Entrance culvert"),OR(F274&lt;SG_Criteria!$B$15,G274&lt;SG_Criteria!$B$16)),"FAIL: below PUB min "&amp;SG_Criteria!$B$15&amp;"x"&amp;SG_Criteria!$B$16&amp;" for roadside drain. ","")&amp;IF(AND(D274="Common drain",F274&lt;SG_Criteria!$B$17),"FAIL: common drain W &lt; "&amp;SG_Criteria!$B$17&amp;" mm. ","")&amp;IF(AND(N274&lt;&gt;"",IFERROR(VALUE(MID(N274,2,2)),0)&lt;SG_Criteria!$B$19),"FAIL: grade below C"&amp;SG_Criteria!$B$19&amp;". ","")&amp;IF(AND(O274&lt;&gt;"",O274&lt;SG_Criteria!$B$20),"FAIL: cover &lt; "&amp;SG_Criteria!$B$20&amp;" mm. ","")&amp;IF(AND(E274="Open",G274&gt;SG_Criteria!$B$18),"NOTE: safety railing required (D &gt; "&amp;SG_Criteria!$B$18&amp;" mm). ","")&amp;IF(AND(D274="Entrance culvert",G274&lt;600),"NOTE: check hinged grating rule for culverts &lt; 600 deep (PUB Add. 3). ","")))</f>
        <v/>
      </c>
      <c r="AP274" s="9"/>
      <c r="AQ274" s="9"/>
      <c r="AR274" s="9"/>
      <c r="AS274" s="9"/>
      <c r="AT274" s="9"/>
      <c r="AU274" s="31"/>
      <c r="AV274" s="10" t="str">
        <f aca="false">IF(C274="","",IF(AND(V274="Approved",ISERROR(SEARCH("FAIL",AO274))),"Y","N"))</f>
        <v/>
      </c>
      <c r="AW274" s="10" t="str">
        <f aca="false">IF(C274="","",C274&amp;"|"&amp;F274&amp;"|"&amp;G274&amp;"|"&amp;L274&amp;"|"&amp;AV274)</f>
        <v/>
      </c>
    </row>
    <row r="275" customFormat="false" ht="15" hidden="false" customHeight="false" outlineLevel="0" collapsed="false">
      <c r="A275" s="10" t="str">
        <f aca="false">IF(C275="","","DRN-"&amp;IFERROR(VLOOKUP(C275,Lists!$A$4:$B$27,2,0),"??")&amp;"-"&amp;TEXT(F275,"0000")&amp;"x"&amp;TEXT(G275,"0000")&amp;IF(N(H275)&gt;1,"-"&amp;H275&amp;"C","")&amp;"-"&amp;IFERROR(VLOOKUP(L275,Lists!$J$4:$K$19,2,0),"??")&amp;"-"&amp;U275)</f>
        <v/>
      </c>
      <c r="B275" s="10" t="str">
        <f aca="false">IF(C275="","",C275&amp;" "&amp;F275&amp;"W x "&amp;G275&amp;"D"&amp;IF(N(H275)&gt;1," ("&amp;H275&amp;" cells)","")&amp;", "&amp;D275&amp;", "&amp;L275&amp;", "&amp;E275)</f>
        <v/>
      </c>
      <c r="C275" s="9"/>
      <c r="D275" s="9"/>
      <c r="E275" s="9"/>
      <c r="F275" s="40"/>
      <c r="G275" s="40"/>
      <c r="H275" s="40"/>
      <c r="I275" s="40"/>
      <c r="J275" s="40"/>
      <c r="K275" s="40"/>
      <c r="L275" s="9"/>
      <c r="M275" s="9"/>
      <c r="N275" s="9"/>
      <c r="O275" s="40"/>
      <c r="P275" s="9"/>
      <c r="Q275" s="9"/>
      <c r="R275" s="9"/>
      <c r="S275" s="9"/>
      <c r="T275" s="9"/>
      <c r="U275" s="9"/>
      <c r="V275" s="9"/>
      <c r="W275" s="9"/>
      <c r="X275" s="9"/>
      <c r="Y275" s="9"/>
      <c r="Z275" s="10" t="str">
        <f aca="false">IF(A275="","",SG_Criteria!$B$6&amp;SG_Criteria!$B$7&amp;"\"&amp;A275&amp;"\")</f>
        <v/>
      </c>
      <c r="AA275" s="10" t="str">
        <f aca="false">IF(A275="","",A275&amp;"_CAD.dwg")</f>
        <v/>
      </c>
      <c r="AB275" s="10" t="str">
        <f aca="false">IF(A275="","",A275&amp;"_DWG.pdf")</f>
        <v/>
      </c>
      <c r="AC275" s="10" t="str">
        <f aca="false">IF(A275="","",IF(Y275="Y",A275&amp;"_STAAD.std","n/a"))</f>
        <v/>
      </c>
      <c r="AD275" s="10" t="str">
        <f aca="false">IF(A275="","",A275&amp;"_CALC.xlsx")</f>
        <v/>
      </c>
      <c r="AE275" s="10" t="str">
        <f aca="false">IF(A275="","",A275&amp;"_CALC.pdf")</f>
        <v/>
      </c>
      <c r="AF275" s="9"/>
      <c r="AG275" s="9"/>
      <c r="AH275" s="41"/>
      <c r="AI275" s="41"/>
      <c r="AJ275" s="41"/>
      <c r="AK275" s="41"/>
      <c r="AL275" s="41"/>
      <c r="AM275" s="37" t="str">
        <f aca="false">IF(OR(C275="",F275="",G275="",C275="Sump",C275="Drop Inlet Chamber",C275="Silt Trap",C275="Pipe Culvert",C275="Subsoil Drain"),"",ROUND(MAX(1,N(H275))*(1/SG_Criteria!$B$26)*((F275/1000)*(G275/1000*(1-SG_Criteria!$B$25)))*(((F275/1000)*(G275/1000*(1-SG_Criteria!$B$25)))/((F275/1000)+2*(G275/1000*(1-SG_Criteria!$B$25))))^(2/3)*(1/Design_Selector!$B$11)^0.5,3))</f>
        <v/>
      </c>
      <c r="AN275" s="11" t="str">
        <f aca="false">IF(AM275="","",ROUND(AM275/(MAX(1,N(H275))*F275/1000*(G275/1000*(1-SG_Criteria!$B$25))),2))</f>
        <v/>
      </c>
      <c r="AO275" s="38" t="str">
        <f aca="false">IF(C275="","",IF(LEN(IF(AND(OR(D275="Roadside drain",D275="Entrance culvert"),OR(F275&lt;SG_Criteria!$B$15,G275&lt;SG_Criteria!$B$16)),"FAIL: below PUB min "&amp;SG_Criteria!$B$15&amp;"x"&amp;SG_Criteria!$B$16&amp;" for roadside drain. ","")&amp;IF(AND(D275="Common drain",F275&lt;SG_Criteria!$B$17),"FAIL: common drain W &lt; "&amp;SG_Criteria!$B$17&amp;" mm. ","")&amp;IF(AND(N275&lt;&gt;"",IFERROR(VALUE(MID(N275,2,2)),0)&lt;SG_Criteria!$B$19),"FAIL: grade below C"&amp;SG_Criteria!$B$19&amp;". ","")&amp;IF(AND(O275&lt;&gt;"",O275&lt;SG_Criteria!$B$20),"FAIL: cover &lt; "&amp;SG_Criteria!$B$20&amp;" mm. ","")&amp;IF(AND(E275="Open",G275&gt;SG_Criteria!$B$18),"NOTE: safety railing required (D &gt; "&amp;SG_Criteria!$B$18&amp;" mm). ","")&amp;IF(AND(D275="Entrance culvert",G275&lt;600),"NOTE: check hinged grating rule for culverts &lt; 600 deep (PUB Add. 3). ",""))=0,"OK",IF(AND(OR(D275="Roadside drain",D275="Entrance culvert"),OR(F275&lt;SG_Criteria!$B$15,G275&lt;SG_Criteria!$B$16)),"FAIL: below PUB min "&amp;SG_Criteria!$B$15&amp;"x"&amp;SG_Criteria!$B$16&amp;" for roadside drain. ","")&amp;IF(AND(D275="Common drain",F275&lt;SG_Criteria!$B$17),"FAIL: common drain W &lt; "&amp;SG_Criteria!$B$17&amp;" mm. ","")&amp;IF(AND(N275&lt;&gt;"",IFERROR(VALUE(MID(N275,2,2)),0)&lt;SG_Criteria!$B$19),"FAIL: grade below C"&amp;SG_Criteria!$B$19&amp;". ","")&amp;IF(AND(O275&lt;&gt;"",O275&lt;SG_Criteria!$B$20),"FAIL: cover &lt; "&amp;SG_Criteria!$B$20&amp;" mm. ","")&amp;IF(AND(E275="Open",G275&gt;SG_Criteria!$B$18),"NOTE: safety railing required (D &gt; "&amp;SG_Criteria!$B$18&amp;" mm). ","")&amp;IF(AND(D275="Entrance culvert",G275&lt;600),"NOTE: check hinged grating rule for culverts &lt; 600 deep (PUB Add. 3). ","")))</f>
        <v/>
      </c>
      <c r="AP275" s="9"/>
      <c r="AQ275" s="9"/>
      <c r="AR275" s="9"/>
      <c r="AS275" s="9"/>
      <c r="AT275" s="9"/>
      <c r="AU275" s="31"/>
      <c r="AV275" s="10" t="str">
        <f aca="false">IF(C275="","",IF(AND(V275="Approved",ISERROR(SEARCH("FAIL",AO275))),"Y","N"))</f>
        <v/>
      </c>
      <c r="AW275" s="10" t="str">
        <f aca="false">IF(C275="","",C275&amp;"|"&amp;F275&amp;"|"&amp;G275&amp;"|"&amp;L275&amp;"|"&amp;AV275)</f>
        <v/>
      </c>
    </row>
    <row r="276" customFormat="false" ht="15" hidden="false" customHeight="false" outlineLevel="0" collapsed="false">
      <c r="A276" s="10" t="str">
        <f aca="false">IF(C276="","","DRN-"&amp;IFERROR(VLOOKUP(C276,Lists!$A$4:$B$27,2,0),"??")&amp;"-"&amp;TEXT(F276,"0000")&amp;"x"&amp;TEXT(G276,"0000")&amp;IF(N(H276)&gt;1,"-"&amp;H276&amp;"C","")&amp;"-"&amp;IFERROR(VLOOKUP(L276,Lists!$J$4:$K$19,2,0),"??")&amp;"-"&amp;U276)</f>
        <v/>
      </c>
      <c r="B276" s="10" t="str">
        <f aca="false">IF(C276="","",C276&amp;" "&amp;F276&amp;"W x "&amp;G276&amp;"D"&amp;IF(N(H276)&gt;1," ("&amp;H276&amp;" cells)","")&amp;", "&amp;D276&amp;", "&amp;L276&amp;", "&amp;E276)</f>
        <v/>
      </c>
      <c r="C276" s="9"/>
      <c r="D276" s="9"/>
      <c r="E276" s="9"/>
      <c r="F276" s="40"/>
      <c r="G276" s="40"/>
      <c r="H276" s="40"/>
      <c r="I276" s="40"/>
      <c r="J276" s="40"/>
      <c r="K276" s="40"/>
      <c r="L276" s="9"/>
      <c r="M276" s="9"/>
      <c r="N276" s="9"/>
      <c r="O276" s="40"/>
      <c r="P276" s="9"/>
      <c r="Q276" s="9"/>
      <c r="R276" s="9"/>
      <c r="S276" s="9"/>
      <c r="T276" s="9"/>
      <c r="U276" s="9"/>
      <c r="V276" s="9"/>
      <c r="W276" s="9"/>
      <c r="X276" s="9"/>
      <c r="Y276" s="9"/>
      <c r="Z276" s="10" t="str">
        <f aca="false">IF(A276="","",SG_Criteria!$B$6&amp;SG_Criteria!$B$7&amp;"\"&amp;A276&amp;"\")</f>
        <v/>
      </c>
      <c r="AA276" s="10" t="str">
        <f aca="false">IF(A276="","",A276&amp;"_CAD.dwg")</f>
        <v/>
      </c>
      <c r="AB276" s="10" t="str">
        <f aca="false">IF(A276="","",A276&amp;"_DWG.pdf")</f>
        <v/>
      </c>
      <c r="AC276" s="10" t="str">
        <f aca="false">IF(A276="","",IF(Y276="Y",A276&amp;"_STAAD.std","n/a"))</f>
        <v/>
      </c>
      <c r="AD276" s="10" t="str">
        <f aca="false">IF(A276="","",A276&amp;"_CALC.xlsx")</f>
        <v/>
      </c>
      <c r="AE276" s="10" t="str">
        <f aca="false">IF(A276="","",A276&amp;"_CALC.pdf")</f>
        <v/>
      </c>
      <c r="AF276" s="9"/>
      <c r="AG276" s="9"/>
      <c r="AH276" s="41"/>
      <c r="AI276" s="41"/>
      <c r="AJ276" s="41"/>
      <c r="AK276" s="41"/>
      <c r="AL276" s="41"/>
      <c r="AM276" s="37" t="str">
        <f aca="false">IF(OR(C276="",F276="",G276="",C276="Sump",C276="Drop Inlet Chamber",C276="Silt Trap",C276="Pipe Culvert",C276="Subsoil Drain"),"",ROUND(MAX(1,N(H276))*(1/SG_Criteria!$B$26)*((F276/1000)*(G276/1000*(1-SG_Criteria!$B$25)))*(((F276/1000)*(G276/1000*(1-SG_Criteria!$B$25)))/((F276/1000)+2*(G276/1000*(1-SG_Criteria!$B$25))))^(2/3)*(1/Design_Selector!$B$11)^0.5,3))</f>
        <v/>
      </c>
      <c r="AN276" s="11" t="str">
        <f aca="false">IF(AM276="","",ROUND(AM276/(MAX(1,N(H276))*F276/1000*(G276/1000*(1-SG_Criteria!$B$25))),2))</f>
        <v/>
      </c>
      <c r="AO276" s="38" t="str">
        <f aca="false">IF(C276="","",IF(LEN(IF(AND(OR(D276="Roadside drain",D276="Entrance culvert"),OR(F276&lt;SG_Criteria!$B$15,G276&lt;SG_Criteria!$B$16)),"FAIL: below PUB min "&amp;SG_Criteria!$B$15&amp;"x"&amp;SG_Criteria!$B$16&amp;" for roadside drain. ","")&amp;IF(AND(D276="Common drain",F276&lt;SG_Criteria!$B$17),"FAIL: common drain W &lt; "&amp;SG_Criteria!$B$17&amp;" mm. ","")&amp;IF(AND(N276&lt;&gt;"",IFERROR(VALUE(MID(N276,2,2)),0)&lt;SG_Criteria!$B$19),"FAIL: grade below C"&amp;SG_Criteria!$B$19&amp;". ","")&amp;IF(AND(O276&lt;&gt;"",O276&lt;SG_Criteria!$B$20),"FAIL: cover &lt; "&amp;SG_Criteria!$B$20&amp;" mm. ","")&amp;IF(AND(E276="Open",G276&gt;SG_Criteria!$B$18),"NOTE: safety railing required (D &gt; "&amp;SG_Criteria!$B$18&amp;" mm). ","")&amp;IF(AND(D276="Entrance culvert",G276&lt;600),"NOTE: check hinged grating rule for culverts &lt; 600 deep (PUB Add. 3). ",""))=0,"OK",IF(AND(OR(D276="Roadside drain",D276="Entrance culvert"),OR(F276&lt;SG_Criteria!$B$15,G276&lt;SG_Criteria!$B$16)),"FAIL: below PUB min "&amp;SG_Criteria!$B$15&amp;"x"&amp;SG_Criteria!$B$16&amp;" for roadside drain. ","")&amp;IF(AND(D276="Common drain",F276&lt;SG_Criteria!$B$17),"FAIL: common drain W &lt; "&amp;SG_Criteria!$B$17&amp;" mm. ","")&amp;IF(AND(N276&lt;&gt;"",IFERROR(VALUE(MID(N276,2,2)),0)&lt;SG_Criteria!$B$19),"FAIL: grade below C"&amp;SG_Criteria!$B$19&amp;". ","")&amp;IF(AND(O276&lt;&gt;"",O276&lt;SG_Criteria!$B$20),"FAIL: cover &lt; "&amp;SG_Criteria!$B$20&amp;" mm. ","")&amp;IF(AND(E276="Open",G276&gt;SG_Criteria!$B$18),"NOTE: safety railing required (D &gt; "&amp;SG_Criteria!$B$18&amp;" mm). ","")&amp;IF(AND(D276="Entrance culvert",G276&lt;600),"NOTE: check hinged grating rule for culverts &lt; 600 deep (PUB Add. 3). ","")))</f>
        <v/>
      </c>
      <c r="AP276" s="9"/>
      <c r="AQ276" s="9"/>
      <c r="AR276" s="9"/>
      <c r="AS276" s="9"/>
      <c r="AT276" s="9"/>
      <c r="AU276" s="31"/>
      <c r="AV276" s="10" t="str">
        <f aca="false">IF(C276="","",IF(AND(V276="Approved",ISERROR(SEARCH("FAIL",AO276))),"Y","N"))</f>
        <v/>
      </c>
      <c r="AW276" s="10" t="str">
        <f aca="false">IF(C276="","",C276&amp;"|"&amp;F276&amp;"|"&amp;G276&amp;"|"&amp;L276&amp;"|"&amp;AV276)</f>
        <v/>
      </c>
    </row>
    <row r="277" customFormat="false" ht="15" hidden="false" customHeight="false" outlineLevel="0" collapsed="false">
      <c r="A277" s="10" t="str">
        <f aca="false">IF(C277="","","DRN-"&amp;IFERROR(VLOOKUP(C277,Lists!$A$4:$B$27,2,0),"??")&amp;"-"&amp;TEXT(F277,"0000")&amp;"x"&amp;TEXT(G277,"0000")&amp;IF(N(H277)&gt;1,"-"&amp;H277&amp;"C","")&amp;"-"&amp;IFERROR(VLOOKUP(L277,Lists!$J$4:$K$19,2,0),"??")&amp;"-"&amp;U277)</f>
        <v/>
      </c>
      <c r="B277" s="10" t="str">
        <f aca="false">IF(C277="","",C277&amp;" "&amp;F277&amp;"W x "&amp;G277&amp;"D"&amp;IF(N(H277)&gt;1," ("&amp;H277&amp;" cells)","")&amp;", "&amp;D277&amp;", "&amp;L277&amp;", "&amp;E277)</f>
        <v/>
      </c>
      <c r="C277" s="9"/>
      <c r="D277" s="9"/>
      <c r="E277" s="9"/>
      <c r="F277" s="40"/>
      <c r="G277" s="40"/>
      <c r="H277" s="40"/>
      <c r="I277" s="40"/>
      <c r="J277" s="40"/>
      <c r="K277" s="40"/>
      <c r="L277" s="9"/>
      <c r="M277" s="9"/>
      <c r="N277" s="9"/>
      <c r="O277" s="40"/>
      <c r="P277" s="9"/>
      <c r="Q277" s="9"/>
      <c r="R277" s="9"/>
      <c r="S277" s="9"/>
      <c r="T277" s="9"/>
      <c r="U277" s="9"/>
      <c r="V277" s="9"/>
      <c r="W277" s="9"/>
      <c r="X277" s="9"/>
      <c r="Y277" s="9"/>
      <c r="Z277" s="10" t="str">
        <f aca="false">IF(A277="","",SG_Criteria!$B$6&amp;SG_Criteria!$B$7&amp;"\"&amp;A277&amp;"\")</f>
        <v/>
      </c>
      <c r="AA277" s="10" t="str">
        <f aca="false">IF(A277="","",A277&amp;"_CAD.dwg")</f>
        <v/>
      </c>
      <c r="AB277" s="10" t="str">
        <f aca="false">IF(A277="","",A277&amp;"_DWG.pdf")</f>
        <v/>
      </c>
      <c r="AC277" s="10" t="str">
        <f aca="false">IF(A277="","",IF(Y277="Y",A277&amp;"_STAAD.std","n/a"))</f>
        <v/>
      </c>
      <c r="AD277" s="10" t="str">
        <f aca="false">IF(A277="","",A277&amp;"_CALC.xlsx")</f>
        <v/>
      </c>
      <c r="AE277" s="10" t="str">
        <f aca="false">IF(A277="","",A277&amp;"_CALC.pdf")</f>
        <v/>
      </c>
      <c r="AF277" s="9"/>
      <c r="AG277" s="9"/>
      <c r="AH277" s="41"/>
      <c r="AI277" s="41"/>
      <c r="AJ277" s="41"/>
      <c r="AK277" s="41"/>
      <c r="AL277" s="41"/>
      <c r="AM277" s="37" t="str">
        <f aca="false">IF(OR(C277="",F277="",G277="",C277="Sump",C277="Drop Inlet Chamber",C277="Silt Trap",C277="Pipe Culvert",C277="Subsoil Drain"),"",ROUND(MAX(1,N(H277))*(1/SG_Criteria!$B$26)*((F277/1000)*(G277/1000*(1-SG_Criteria!$B$25)))*(((F277/1000)*(G277/1000*(1-SG_Criteria!$B$25)))/((F277/1000)+2*(G277/1000*(1-SG_Criteria!$B$25))))^(2/3)*(1/Design_Selector!$B$11)^0.5,3))</f>
        <v/>
      </c>
      <c r="AN277" s="11" t="str">
        <f aca="false">IF(AM277="","",ROUND(AM277/(MAX(1,N(H277))*F277/1000*(G277/1000*(1-SG_Criteria!$B$25))),2))</f>
        <v/>
      </c>
      <c r="AO277" s="38" t="str">
        <f aca="false">IF(C277="","",IF(LEN(IF(AND(OR(D277="Roadside drain",D277="Entrance culvert"),OR(F277&lt;SG_Criteria!$B$15,G277&lt;SG_Criteria!$B$16)),"FAIL: below PUB min "&amp;SG_Criteria!$B$15&amp;"x"&amp;SG_Criteria!$B$16&amp;" for roadside drain. ","")&amp;IF(AND(D277="Common drain",F277&lt;SG_Criteria!$B$17),"FAIL: common drain W &lt; "&amp;SG_Criteria!$B$17&amp;" mm. ","")&amp;IF(AND(N277&lt;&gt;"",IFERROR(VALUE(MID(N277,2,2)),0)&lt;SG_Criteria!$B$19),"FAIL: grade below C"&amp;SG_Criteria!$B$19&amp;". ","")&amp;IF(AND(O277&lt;&gt;"",O277&lt;SG_Criteria!$B$20),"FAIL: cover &lt; "&amp;SG_Criteria!$B$20&amp;" mm. ","")&amp;IF(AND(E277="Open",G277&gt;SG_Criteria!$B$18),"NOTE: safety railing required (D &gt; "&amp;SG_Criteria!$B$18&amp;" mm). ","")&amp;IF(AND(D277="Entrance culvert",G277&lt;600),"NOTE: check hinged grating rule for culverts &lt; 600 deep (PUB Add. 3). ",""))=0,"OK",IF(AND(OR(D277="Roadside drain",D277="Entrance culvert"),OR(F277&lt;SG_Criteria!$B$15,G277&lt;SG_Criteria!$B$16)),"FAIL: below PUB min "&amp;SG_Criteria!$B$15&amp;"x"&amp;SG_Criteria!$B$16&amp;" for roadside drain. ","")&amp;IF(AND(D277="Common drain",F277&lt;SG_Criteria!$B$17),"FAIL: common drain W &lt; "&amp;SG_Criteria!$B$17&amp;" mm. ","")&amp;IF(AND(N277&lt;&gt;"",IFERROR(VALUE(MID(N277,2,2)),0)&lt;SG_Criteria!$B$19),"FAIL: grade below C"&amp;SG_Criteria!$B$19&amp;". ","")&amp;IF(AND(O277&lt;&gt;"",O277&lt;SG_Criteria!$B$20),"FAIL: cover &lt; "&amp;SG_Criteria!$B$20&amp;" mm. ","")&amp;IF(AND(E277="Open",G277&gt;SG_Criteria!$B$18),"NOTE: safety railing required (D &gt; "&amp;SG_Criteria!$B$18&amp;" mm). ","")&amp;IF(AND(D277="Entrance culvert",G277&lt;600),"NOTE: check hinged grating rule for culverts &lt; 600 deep (PUB Add. 3). ","")))</f>
        <v/>
      </c>
      <c r="AP277" s="9"/>
      <c r="AQ277" s="9"/>
      <c r="AR277" s="9"/>
      <c r="AS277" s="9"/>
      <c r="AT277" s="9"/>
      <c r="AU277" s="31"/>
      <c r="AV277" s="10" t="str">
        <f aca="false">IF(C277="","",IF(AND(V277="Approved",ISERROR(SEARCH("FAIL",AO277))),"Y","N"))</f>
        <v/>
      </c>
      <c r="AW277" s="10" t="str">
        <f aca="false">IF(C277="","",C277&amp;"|"&amp;F277&amp;"|"&amp;G277&amp;"|"&amp;L277&amp;"|"&amp;AV277)</f>
        <v/>
      </c>
    </row>
    <row r="278" customFormat="false" ht="15" hidden="false" customHeight="false" outlineLevel="0" collapsed="false">
      <c r="A278" s="10" t="str">
        <f aca="false">IF(C278="","","DRN-"&amp;IFERROR(VLOOKUP(C278,Lists!$A$4:$B$27,2,0),"??")&amp;"-"&amp;TEXT(F278,"0000")&amp;"x"&amp;TEXT(G278,"0000")&amp;IF(N(H278)&gt;1,"-"&amp;H278&amp;"C","")&amp;"-"&amp;IFERROR(VLOOKUP(L278,Lists!$J$4:$K$19,2,0),"??")&amp;"-"&amp;U278)</f>
        <v/>
      </c>
      <c r="B278" s="10" t="str">
        <f aca="false">IF(C278="","",C278&amp;" "&amp;F278&amp;"W x "&amp;G278&amp;"D"&amp;IF(N(H278)&gt;1," ("&amp;H278&amp;" cells)","")&amp;", "&amp;D278&amp;", "&amp;L278&amp;", "&amp;E278)</f>
        <v/>
      </c>
      <c r="C278" s="9"/>
      <c r="D278" s="9"/>
      <c r="E278" s="9"/>
      <c r="F278" s="40"/>
      <c r="G278" s="40"/>
      <c r="H278" s="40"/>
      <c r="I278" s="40"/>
      <c r="J278" s="40"/>
      <c r="K278" s="40"/>
      <c r="L278" s="9"/>
      <c r="M278" s="9"/>
      <c r="N278" s="9"/>
      <c r="O278" s="40"/>
      <c r="P278" s="9"/>
      <c r="Q278" s="9"/>
      <c r="R278" s="9"/>
      <c r="S278" s="9"/>
      <c r="T278" s="9"/>
      <c r="U278" s="9"/>
      <c r="V278" s="9"/>
      <c r="W278" s="9"/>
      <c r="X278" s="9"/>
      <c r="Y278" s="9"/>
      <c r="Z278" s="10" t="str">
        <f aca="false">IF(A278="","",SG_Criteria!$B$6&amp;SG_Criteria!$B$7&amp;"\"&amp;A278&amp;"\")</f>
        <v/>
      </c>
      <c r="AA278" s="10" t="str">
        <f aca="false">IF(A278="","",A278&amp;"_CAD.dwg")</f>
        <v/>
      </c>
      <c r="AB278" s="10" t="str">
        <f aca="false">IF(A278="","",A278&amp;"_DWG.pdf")</f>
        <v/>
      </c>
      <c r="AC278" s="10" t="str">
        <f aca="false">IF(A278="","",IF(Y278="Y",A278&amp;"_STAAD.std","n/a"))</f>
        <v/>
      </c>
      <c r="AD278" s="10" t="str">
        <f aca="false">IF(A278="","",A278&amp;"_CALC.xlsx")</f>
        <v/>
      </c>
      <c r="AE278" s="10" t="str">
        <f aca="false">IF(A278="","",A278&amp;"_CALC.pdf")</f>
        <v/>
      </c>
      <c r="AF278" s="9"/>
      <c r="AG278" s="9"/>
      <c r="AH278" s="41"/>
      <c r="AI278" s="41"/>
      <c r="AJ278" s="41"/>
      <c r="AK278" s="41"/>
      <c r="AL278" s="41"/>
      <c r="AM278" s="37" t="str">
        <f aca="false">IF(OR(C278="",F278="",G278="",C278="Sump",C278="Drop Inlet Chamber",C278="Silt Trap",C278="Pipe Culvert",C278="Subsoil Drain"),"",ROUND(MAX(1,N(H278))*(1/SG_Criteria!$B$26)*((F278/1000)*(G278/1000*(1-SG_Criteria!$B$25)))*(((F278/1000)*(G278/1000*(1-SG_Criteria!$B$25)))/((F278/1000)+2*(G278/1000*(1-SG_Criteria!$B$25))))^(2/3)*(1/Design_Selector!$B$11)^0.5,3))</f>
        <v/>
      </c>
      <c r="AN278" s="11" t="str">
        <f aca="false">IF(AM278="","",ROUND(AM278/(MAX(1,N(H278))*F278/1000*(G278/1000*(1-SG_Criteria!$B$25))),2))</f>
        <v/>
      </c>
      <c r="AO278" s="38" t="str">
        <f aca="false">IF(C278="","",IF(LEN(IF(AND(OR(D278="Roadside drain",D278="Entrance culvert"),OR(F278&lt;SG_Criteria!$B$15,G278&lt;SG_Criteria!$B$16)),"FAIL: below PUB min "&amp;SG_Criteria!$B$15&amp;"x"&amp;SG_Criteria!$B$16&amp;" for roadside drain. ","")&amp;IF(AND(D278="Common drain",F278&lt;SG_Criteria!$B$17),"FAIL: common drain W &lt; "&amp;SG_Criteria!$B$17&amp;" mm. ","")&amp;IF(AND(N278&lt;&gt;"",IFERROR(VALUE(MID(N278,2,2)),0)&lt;SG_Criteria!$B$19),"FAIL: grade below C"&amp;SG_Criteria!$B$19&amp;". ","")&amp;IF(AND(O278&lt;&gt;"",O278&lt;SG_Criteria!$B$20),"FAIL: cover &lt; "&amp;SG_Criteria!$B$20&amp;" mm. ","")&amp;IF(AND(E278="Open",G278&gt;SG_Criteria!$B$18),"NOTE: safety railing required (D &gt; "&amp;SG_Criteria!$B$18&amp;" mm). ","")&amp;IF(AND(D278="Entrance culvert",G278&lt;600),"NOTE: check hinged grating rule for culverts &lt; 600 deep (PUB Add. 3). ",""))=0,"OK",IF(AND(OR(D278="Roadside drain",D278="Entrance culvert"),OR(F278&lt;SG_Criteria!$B$15,G278&lt;SG_Criteria!$B$16)),"FAIL: below PUB min "&amp;SG_Criteria!$B$15&amp;"x"&amp;SG_Criteria!$B$16&amp;" for roadside drain. ","")&amp;IF(AND(D278="Common drain",F278&lt;SG_Criteria!$B$17),"FAIL: common drain W &lt; "&amp;SG_Criteria!$B$17&amp;" mm. ","")&amp;IF(AND(N278&lt;&gt;"",IFERROR(VALUE(MID(N278,2,2)),0)&lt;SG_Criteria!$B$19),"FAIL: grade below C"&amp;SG_Criteria!$B$19&amp;". ","")&amp;IF(AND(O278&lt;&gt;"",O278&lt;SG_Criteria!$B$20),"FAIL: cover &lt; "&amp;SG_Criteria!$B$20&amp;" mm. ","")&amp;IF(AND(E278="Open",G278&gt;SG_Criteria!$B$18),"NOTE: safety railing required (D &gt; "&amp;SG_Criteria!$B$18&amp;" mm). ","")&amp;IF(AND(D278="Entrance culvert",G278&lt;600),"NOTE: check hinged grating rule for culverts &lt; 600 deep (PUB Add. 3). ","")))</f>
        <v/>
      </c>
      <c r="AP278" s="9"/>
      <c r="AQ278" s="9"/>
      <c r="AR278" s="9"/>
      <c r="AS278" s="9"/>
      <c r="AT278" s="9"/>
      <c r="AU278" s="31"/>
      <c r="AV278" s="10" t="str">
        <f aca="false">IF(C278="","",IF(AND(V278="Approved",ISERROR(SEARCH("FAIL",AO278))),"Y","N"))</f>
        <v/>
      </c>
      <c r="AW278" s="10" t="str">
        <f aca="false">IF(C278="","",C278&amp;"|"&amp;F278&amp;"|"&amp;G278&amp;"|"&amp;L278&amp;"|"&amp;AV278)</f>
        <v/>
      </c>
    </row>
    <row r="279" customFormat="false" ht="15" hidden="false" customHeight="false" outlineLevel="0" collapsed="false">
      <c r="A279" s="10" t="str">
        <f aca="false">IF(C279="","","DRN-"&amp;IFERROR(VLOOKUP(C279,Lists!$A$4:$B$27,2,0),"??")&amp;"-"&amp;TEXT(F279,"0000")&amp;"x"&amp;TEXT(G279,"0000")&amp;IF(N(H279)&gt;1,"-"&amp;H279&amp;"C","")&amp;"-"&amp;IFERROR(VLOOKUP(L279,Lists!$J$4:$K$19,2,0),"??")&amp;"-"&amp;U279)</f>
        <v/>
      </c>
      <c r="B279" s="10" t="str">
        <f aca="false">IF(C279="","",C279&amp;" "&amp;F279&amp;"W x "&amp;G279&amp;"D"&amp;IF(N(H279)&gt;1," ("&amp;H279&amp;" cells)","")&amp;", "&amp;D279&amp;", "&amp;L279&amp;", "&amp;E279)</f>
        <v/>
      </c>
      <c r="C279" s="9"/>
      <c r="D279" s="9"/>
      <c r="E279" s="9"/>
      <c r="F279" s="40"/>
      <c r="G279" s="40"/>
      <c r="H279" s="40"/>
      <c r="I279" s="40"/>
      <c r="J279" s="40"/>
      <c r="K279" s="40"/>
      <c r="L279" s="9"/>
      <c r="M279" s="9"/>
      <c r="N279" s="9"/>
      <c r="O279" s="40"/>
      <c r="P279" s="9"/>
      <c r="Q279" s="9"/>
      <c r="R279" s="9"/>
      <c r="S279" s="9"/>
      <c r="T279" s="9"/>
      <c r="U279" s="9"/>
      <c r="V279" s="9"/>
      <c r="W279" s="9"/>
      <c r="X279" s="9"/>
      <c r="Y279" s="9"/>
      <c r="Z279" s="10" t="str">
        <f aca="false">IF(A279="","",SG_Criteria!$B$6&amp;SG_Criteria!$B$7&amp;"\"&amp;A279&amp;"\")</f>
        <v/>
      </c>
      <c r="AA279" s="10" t="str">
        <f aca="false">IF(A279="","",A279&amp;"_CAD.dwg")</f>
        <v/>
      </c>
      <c r="AB279" s="10" t="str">
        <f aca="false">IF(A279="","",A279&amp;"_DWG.pdf")</f>
        <v/>
      </c>
      <c r="AC279" s="10" t="str">
        <f aca="false">IF(A279="","",IF(Y279="Y",A279&amp;"_STAAD.std","n/a"))</f>
        <v/>
      </c>
      <c r="AD279" s="10" t="str">
        <f aca="false">IF(A279="","",A279&amp;"_CALC.xlsx")</f>
        <v/>
      </c>
      <c r="AE279" s="10" t="str">
        <f aca="false">IF(A279="","",A279&amp;"_CALC.pdf")</f>
        <v/>
      </c>
      <c r="AF279" s="9"/>
      <c r="AG279" s="9"/>
      <c r="AH279" s="41"/>
      <c r="AI279" s="41"/>
      <c r="AJ279" s="41"/>
      <c r="AK279" s="41"/>
      <c r="AL279" s="41"/>
      <c r="AM279" s="37" t="str">
        <f aca="false">IF(OR(C279="",F279="",G279="",C279="Sump",C279="Drop Inlet Chamber",C279="Silt Trap",C279="Pipe Culvert",C279="Subsoil Drain"),"",ROUND(MAX(1,N(H279))*(1/SG_Criteria!$B$26)*((F279/1000)*(G279/1000*(1-SG_Criteria!$B$25)))*(((F279/1000)*(G279/1000*(1-SG_Criteria!$B$25)))/((F279/1000)+2*(G279/1000*(1-SG_Criteria!$B$25))))^(2/3)*(1/Design_Selector!$B$11)^0.5,3))</f>
        <v/>
      </c>
      <c r="AN279" s="11" t="str">
        <f aca="false">IF(AM279="","",ROUND(AM279/(MAX(1,N(H279))*F279/1000*(G279/1000*(1-SG_Criteria!$B$25))),2))</f>
        <v/>
      </c>
      <c r="AO279" s="38" t="str">
        <f aca="false">IF(C279="","",IF(LEN(IF(AND(OR(D279="Roadside drain",D279="Entrance culvert"),OR(F279&lt;SG_Criteria!$B$15,G279&lt;SG_Criteria!$B$16)),"FAIL: below PUB min "&amp;SG_Criteria!$B$15&amp;"x"&amp;SG_Criteria!$B$16&amp;" for roadside drain. ","")&amp;IF(AND(D279="Common drain",F279&lt;SG_Criteria!$B$17),"FAIL: common drain W &lt; "&amp;SG_Criteria!$B$17&amp;" mm. ","")&amp;IF(AND(N279&lt;&gt;"",IFERROR(VALUE(MID(N279,2,2)),0)&lt;SG_Criteria!$B$19),"FAIL: grade below C"&amp;SG_Criteria!$B$19&amp;". ","")&amp;IF(AND(O279&lt;&gt;"",O279&lt;SG_Criteria!$B$20),"FAIL: cover &lt; "&amp;SG_Criteria!$B$20&amp;" mm. ","")&amp;IF(AND(E279="Open",G279&gt;SG_Criteria!$B$18),"NOTE: safety railing required (D &gt; "&amp;SG_Criteria!$B$18&amp;" mm). ","")&amp;IF(AND(D279="Entrance culvert",G279&lt;600),"NOTE: check hinged grating rule for culverts &lt; 600 deep (PUB Add. 3). ",""))=0,"OK",IF(AND(OR(D279="Roadside drain",D279="Entrance culvert"),OR(F279&lt;SG_Criteria!$B$15,G279&lt;SG_Criteria!$B$16)),"FAIL: below PUB min "&amp;SG_Criteria!$B$15&amp;"x"&amp;SG_Criteria!$B$16&amp;" for roadside drain. ","")&amp;IF(AND(D279="Common drain",F279&lt;SG_Criteria!$B$17),"FAIL: common drain W &lt; "&amp;SG_Criteria!$B$17&amp;" mm. ","")&amp;IF(AND(N279&lt;&gt;"",IFERROR(VALUE(MID(N279,2,2)),0)&lt;SG_Criteria!$B$19),"FAIL: grade below C"&amp;SG_Criteria!$B$19&amp;". ","")&amp;IF(AND(O279&lt;&gt;"",O279&lt;SG_Criteria!$B$20),"FAIL: cover &lt; "&amp;SG_Criteria!$B$20&amp;" mm. ","")&amp;IF(AND(E279="Open",G279&gt;SG_Criteria!$B$18),"NOTE: safety railing required (D &gt; "&amp;SG_Criteria!$B$18&amp;" mm). ","")&amp;IF(AND(D279="Entrance culvert",G279&lt;600),"NOTE: check hinged grating rule for culverts &lt; 600 deep (PUB Add. 3). ","")))</f>
        <v/>
      </c>
      <c r="AP279" s="9"/>
      <c r="AQ279" s="9"/>
      <c r="AR279" s="9"/>
      <c r="AS279" s="9"/>
      <c r="AT279" s="9"/>
      <c r="AU279" s="31"/>
      <c r="AV279" s="10" t="str">
        <f aca="false">IF(C279="","",IF(AND(V279="Approved",ISERROR(SEARCH("FAIL",AO279))),"Y","N"))</f>
        <v/>
      </c>
      <c r="AW279" s="10" t="str">
        <f aca="false">IF(C279="","",C279&amp;"|"&amp;F279&amp;"|"&amp;G279&amp;"|"&amp;L279&amp;"|"&amp;AV279)</f>
        <v/>
      </c>
    </row>
    <row r="280" customFormat="false" ht="15" hidden="false" customHeight="false" outlineLevel="0" collapsed="false">
      <c r="A280" s="10" t="str">
        <f aca="false">IF(C280="","","DRN-"&amp;IFERROR(VLOOKUP(C280,Lists!$A$4:$B$27,2,0),"??")&amp;"-"&amp;TEXT(F280,"0000")&amp;"x"&amp;TEXT(G280,"0000")&amp;IF(N(H280)&gt;1,"-"&amp;H280&amp;"C","")&amp;"-"&amp;IFERROR(VLOOKUP(L280,Lists!$J$4:$K$19,2,0),"??")&amp;"-"&amp;U280)</f>
        <v/>
      </c>
      <c r="B280" s="10" t="str">
        <f aca="false">IF(C280="","",C280&amp;" "&amp;F280&amp;"W x "&amp;G280&amp;"D"&amp;IF(N(H280)&gt;1," ("&amp;H280&amp;" cells)","")&amp;", "&amp;D280&amp;", "&amp;L280&amp;", "&amp;E280)</f>
        <v/>
      </c>
      <c r="C280" s="9"/>
      <c r="D280" s="9"/>
      <c r="E280" s="9"/>
      <c r="F280" s="40"/>
      <c r="G280" s="40"/>
      <c r="H280" s="40"/>
      <c r="I280" s="40"/>
      <c r="J280" s="40"/>
      <c r="K280" s="40"/>
      <c r="L280" s="9"/>
      <c r="M280" s="9"/>
      <c r="N280" s="9"/>
      <c r="O280" s="40"/>
      <c r="P280" s="9"/>
      <c r="Q280" s="9"/>
      <c r="R280" s="9"/>
      <c r="S280" s="9"/>
      <c r="T280" s="9"/>
      <c r="U280" s="9"/>
      <c r="V280" s="9"/>
      <c r="W280" s="9"/>
      <c r="X280" s="9"/>
      <c r="Y280" s="9"/>
      <c r="Z280" s="10" t="str">
        <f aca="false">IF(A280="","",SG_Criteria!$B$6&amp;SG_Criteria!$B$7&amp;"\"&amp;A280&amp;"\")</f>
        <v/>
      </c>
      <c r="AA280" s="10" t="str">
        <f aca="false">IF(A280="","",A280&amp;"_CAD.dwg")</f>
        <v/>
      </c>
      <c r="AB280" s="10" t="str">
        <f aca="false">IF(A280="","",A280&amp;"_DWG.pdf")</f>
        <v/>
      </c>
      <c r="AC280" s="10" t="str">
        <f aca="false">IF(A280="","",IF(Y280="Y",A280&amp;"_STAAD.std","n/a"))</f>
        <v/>
      </c>
      <c r="AD280" s="10" t="str">
        <f aca="false">IF(A280="","",A280&amp;"_CALC.xlsx")</f>
        <v/>
      </c>
      <c r="AE280" s="10" t="str">
        <f aca="false">IF(A280="","",A280&amp;"_CALC.pdf")</f>
        <v/>
      </c>
      <c r="AF280" s="9"/>
      <c r="AG280" s="9"/>
      <c r="AH280" s="41"/>
      <c r="AI280" s="41"/>
      <c r="AJ280" s="41"/>
      <c r="AK280" s="41"/>
      <c r="AL280" s="41"/>
      <c r="AM280" s="37" t="str">
        <f aca="false">IF(OR(C280="",F280="",G280="",C280="Sump",C280="Drop Inlet Chamber",C280="Silt Trap",C280="Pipe Culvert",C280="Subsoil Drain"),"",ROUND(MAX(1,N(H280))*(1/SG_Criteria!$B$26)*((F280/1000)*(G280/1000*(1-SG_Criteria!$B$25)))*(((F280/1000)*(G280/1000*(1-SG_Criteria!$B$25)))/((F280/1000)+2*(G280/1000*(1-SG_Criteria!$B$25))))^(2/3)*(1/Design_Selector!$B$11)^0.5,3))</f>
        <v/>
      </c>
      <c r="AN280" s="11" t="str">
        <f aca="false">IF(AM280="","",ROUND(AM280/(MAX(1,N(H280))*F280/1000*(G280/1000*(1-SG_Criteria!$B$25))),2))</f>
        <v/>
      </c>
      <c r="AO280" s="38" t="str">
        <f aca="false">IF(C280="","",IF(LEN(IF(AND(OR(D280="Roadside drain",D280="Entrance culvert"),OR(F280&lt;SG_Criteria!$B$15,G280&lt;SG_Criteria!$B$16)),"FAIL: below PUB min "&amp;SG_Criteria!$B$15&amp;"x"&amp;SG_Criteria!$B$16&amp;" for roadside drain. ","")&amp;IF(AND(D280="Common drain",F280&lt;SG_Criteria!$B$17),"FAIL: common drain W &lt; "&amp;SG_Criteria!$B$17&amp;" mm. ","")&amp;IF(AND(N280&lt;&gt;"",IFERROR(VALUE(MID(N280,2,2)),0)&lt;SG_Criteria!$B$19),"FAIL: grade below C"&amp;SG_Criteria!$B$19&amp;". ","")&amp;IF(AND(O280&lt;&gt;"",O280&lt;SG_Criteria!$B$20),"FAIL: cover &lt; "&amp;SG_Criteria!$B$20&amp;" mm. ","")&amp;IF(AND(E280="Open",G280&gt;SG_Criteria!$B$18),"NOTE: safety railing required (D &gt; "&amp;SG_Criteria!$B$18&amp;" mm). ","")&amp;IF(AND(D280="Entrance culvert",G280&lt;600),"NOTE: check hinged grating rule for culverts &lt; 600 deep (PUB Add. 3). ",""))=0,"OK",IF(AND(OR(D280="Roadside drain",D280="Entrance culvert"),OR(F280&lt;SG_Criteria!$B$15,G280&lt;SG_Criteria!$B$16)),"FAIL: below PUB min "&amp;SG_Criteria!$B$15&amp;"x"&amp;SG_Criteria!$B$16&amp;" for roadside drain. ","")&amp;IF(AND(D280="Common drain",F280&lt;SG_Criteria!$B$17),"FAIL: common drain W &lt; "&amp;SG_Criteria!$B$17&amp;" mm. ","")&amp;IF(AND(N280&lt;&gt;"",IFERROR(VALUE(MID(N280,2,2)),0)&lt;SG_Criteria!$B$19),"FAIL: grade below C"&amp;SG_Criteria!$B$19&amp;". ","")&amp;IF(AND(O280&lt;&gt;"",O280&lt;SG_Criteria!$B$20),"FAIL: cover &lt; "&amp;SG_Criteria!$B$20&amp;" mm. ","")&amp;IF(AND(E280="Open",G280&gt;SG_Criteria!$B$18),"NOTE: safety railing required (D &gt; "&amp;SG_Criteria!$B$18&amp;" mm). ","")&amp;IF(AND(D280="Entrance culvert",G280&lt;600),"NOTE: check hinged grating rule for culverts &lt; 600 deep (PUB Add. 3). ","")))</f>
        <v/>
      </c>
      <c r="AP280" s="9"/>
      <c r="AQ280" s="9"/>
      <c r="AR280" s="9"/>
      <c r="AS280" s="9"/>
      <c r="AT280" s="9"/>
      <c r="AU280" s="31"/>
      <c r="AV280" s="10" t="str">
        <f aca="false">IF(C280="","",IF(AND(V280="Approved",ISERROR(SEARCH("FAIL",AO280))),"Y","N"))</f>
        <v/>
      </c>
      <c r="AW280" s="10" t="str">
        <f aca="false">IF(C280="","",C280&amp;"|"&amp;F280&amp;"|"&amp;G280&amp;"|"&amp;L280&amp;"|"&amp;AV280)</f>
        <v/>
      </c>
    </row>
    <row r="281" customFormat="false" ht="15" hidden="false" customHeight="false" outlineLevel="0" collapsed="false">
      <c r="A281" s="10" t="str">
        <f aca="false">IF(C281="","","DRN-"&amp;IFERROR(VLOOKUP(C281,Lists!$A$4:$B$27,2,0),"??")&amp;"-"&amp;TEXT(F281,"0000")&amp;"x"&amp;TEXT(G281,"0000")&amp;IF(N(H281)&gt;1,"-"&amp;H281&amp;"C","")&amp;"-"&amp;IFERROR(VLOOKUP(L281,Lists!$J$4:$K$19,2,0),"??")&amp;"-"&amp;U281)</f>
        <v/>
      </c>
      <c r="B281" s="10" t="str">
        <f aca="false">IF(C281="","",C281&amp;" "&amp;F281&amp;"W x "&amp;G281&amp;"D"&amp;IF(N(H281)&gt;1," ("&amp;H281&amp;" cells)","")&amp;", "&amp;D281&amp;", "&amp;L281&amp;", "&amp;E281)</f>
        <v/>
      </c>
      <c r="C281" s="9"/>
      <c r="D281" s="9"/>
      <c r="E281" s="9"/>
      <c r="F281" s="40"/>
      <c r="G281" s="40"/>
      <c r="H281" s="40"/>
      <c r="I281" s="40"/>
      <c r="J281" s="40"/>
      <c r="K281" s="40"/>
      <c r="L281" s="9"/>
      <c r="M281" s="9"/>
      <c r="N281" s="9"/>
      <c r="O281" s="40"/>
      <c r="P281" s="9"/>
      <c r="Q281" s="9"/>
      <c r="R281" s="9"/>
      <c r="S281" s="9"/>
      <c r="T281" s="9"/>
      <c r="U281" s="9"/>
      <c r="V281" s="9"/>
      <c r="W281" s="9"/>
      <c r="X281" s="9"/>
      <c r="Y281" s="9"/>
      <c r="Z281" s="10" t="str">
        <f aca="false">IF(A281="","",SG_Criteria!$B$6&amp;SG_Criteria!$B$7&amp;"\"&amp;A281&amp;"\")</f>
        <v/>
      </c>
      <c r="AA281" s="10" t="str">
        <f aca="false">IF(A281="","",A281&amp;"_CAD.dwg")</f>
        <v/>
      </c>
      <c r="AB281" s="10" t="str">
        <f aca="false">IF(A281="","",A281&amp;"_DWG.pdf")</f>
        <v/>
      </c>
      <c r="AC281" s="10" t="str">
        <f aca="false">IF(A281="","",IF(Y281="Y",A281&amp;"_STAAD.std","n/a"))</f>
        <v/>
      </c>
      <c r="AD281" s="10" t="str">
        <f aca="false">IF(A281="","",A281&amp;"_CALC.xlsx")</f>
        <v/>
      </c>
      <c r="AE281" s="10" t="str">
        <f aca="false">IF(A281="","",A281&amp;"_CALC.pdf")</f>
        <v/>
      </c>
      <c r="AF281" s="9"/>
      <c r="AG281" s="9"/>
      <c r="AH281" s="41"/>
      <c r="AI281" s="41"/>
      <c r="AJ281" s="41"/>
      <c r="AK281" s="41"/>
      <c r="AL281" s="41"/>
      <c r="AM281" s="37" t="str">
        <f aca="false">IF(OR(C281="",F281="",G281="",C281="Sump",C281="Drop Inlet Chamber",C281="Silt Trap",C281="Pipe Culvert",C281="Subsoil Drain"),"",ROUND(MAX(1,N(H281))*(1/SG_Criteria!$B$26)*((F281/1000)*(G281/1000*(1-SG_Criteria!$B$25)))*(((F281/1000)*(G281/1000*(1-SG_Criteria!$B$25)))/((F281/1000)+2*(G281/1000*(1-SG_Criteria!$B$25))))^(2/3)*(1/Design_Selector!$B$11)^0.5,3))</f>
        <v/>
      </c>
      <c r="AN281" s="11" t="str">
        <f aca="false">IF(AM281="","",ROUND(AM281/(MAX(1,N(H281))*F281/1000*(G281/1000*(1-SG_Criteria!$B$25))),2))</f>
        <v/>
      </c>
      <c r="AO281" s="38" t="str">
        <f aca="false">IF(C281="","",IF(LEN(IF(AND(OR(D281="Roadside drain",D281="Entrance culvert"),OR(F281&lt;SG_Criteria!$B$15,G281&lt;SG_Criteria!$B$16)),"FAIL: below PUB min "&amp;SG_Criteria!$B$15&amp;"x"&amp;SG_Criteria!$B$16&amp;" for roadside drain. ","")&amp;IF(AND(D281="Common drain",F281&lt;SG_Criteria!$B$17),"FAIL: common drain W &lt; "&amp;SG_Criteria!$B$17&amp;" mm. ","")&amp;IF(AND(N281&lt;&gt;"",IFERROR(VALUE(MID(N281,2,2)),0)&lt;SG_Criteria!$B$19),"FAIL: grade below C"&amp;SG_Criteria!$B$19&amp;". ","")&amp;IF(AND(O281&lt;&gt;"",O281&lt;SG_Criteria!$B$20),"FAIL: cover &lt; "&amp;SG_Criteria!$B$20&amp;" mm. ","")&amp;IF(AND(E281="Open",G281&gt;SG_Criteria!$B$18),"NOTE: safety railing required (D &gt; "&amp;SG_Criteria!$B$18&amp;" mm). ","")&amp;IF(AND(D281="Entrance culvert",G281&lt;600),"NOTE: check hinged grating rule for culverts &lt; 600 deep (PUB Add. 3). ",""))=0,"OK",IF(AND(OR(D281="Roadside drain",D281="Entrance culvert"),OR(F281&lt;SG_Criteria!$B$15,G281&lt;SG_Criteria!$B$16)),"FAIL: below PUB min "&amp;SG_Criteria!$B$15&amp;"x"&amp;SG_Criteria!$B$16&amp;" for roadside drain. ","")&amp;IF(AND(D281="Common drain",F281&lt;SG_Criteria!$B$17),"FAIL: common drain W &lt; "&amp;SG_Criteria!$B$17&amp;" mm. ","")&amp;IF(AND(N281&lt;&gt;"",IFERROR(VALUE(MID(N281,2,2)),0)&lt;SG_Criteria!$B$19),"FAIL: grade below C"&amp;SG_Criteria!$B$19&amp;". ","")&amp;IF(AND(O281&lt;&gt;"",O281&lt;SG_Criteria!$B$20),"FAIL: cover &lt; "&amp;SG_Criteria!$B$20&amp;" mm. ","")&amp;IF(AND(E281="Open",G281&gt;SG_Criteria!$B$18),"NOTE: safety railing required (D &gt; "&amp;SG_Criteria!$B$18&amp;" mm). ","")&amp;IF(AND(D281="Entrance culvert",G281&lt;600),"NOTE: check hinged grating rule for culverts &lt; 600 deep (PUB Add. 3). ","")))</f>
        <v/>
      </c>
      <c r="AP281" s="9"/>
      <c r="AQ281" s="9"/>
      <c r="AR281" s="9"/>
      <c r="AS281" s="9"/>
      <c r="AT281" s="9"/>
      <c r="AU281" s="31"/>
      <c r="AV281" s="10" t="str">
        <f aca="false">IF(C281="","",IF(AND(V281="Approved",ISERROR(SEARCH("FAIL",AO281))),"Y","N"))</f>
        <v/>
      </c>
      <c r="AW281" s="10" t="str">
        <f aca="false">IF(C281="","",C281&amp;"|"&amp;F281&amp;"|"&amp;G281&amp;"|"&amp;L281&amp;"|"&amp;AV281)</f>
        <v/>
      </c>
    </row>
    <row r="282" customFormat="false" ht="15" hidden="false" customHeight="false" outlineLevel="0" collapsed="false">
      <c r="A282" s="10" t="str">
        <f aca="false">IF(C282="","","DRN-"&amp;IFERROR(VLOOKUP(C282,Lists!$A$4:$B$27,2,0),"??")&amp;"-"&amp;TEXT(F282,"0000")&amp;"x"&amp;TEXT(G282,"0000")&amp;IF(N(H282)&gt;1,"-"&amp;H282&amp;"C","")&amp;"-"&amp;IFERROR(VLOOKUP(L282,Lists!$J$4:$K$19,2,0),"??")&amp;"-"&amp;U282)</f>
        <v/>
      </c>
      <c r="B282" s="10" t="str">
        <f aca="false">IF(C282="","",C282&amp;" "&amp;F282&amp;"W x "&amp;G282&amp;"D"&amp;IF(N(H282)&gt;1," ("&amp;H282&amp;" cells)","")&amp;", "&amp;D282&amp;", "&amp;L282&amp;", "&amp;E282)</f>
        <v/>
      </c>
      <c r="C282" s="9"/>
      <c r="D282" s="9"/>
      <c r="E282" s="9"/>
      <c r="F282" s="40"/>
      <c r="G282" s="40"/>
      <c r="H282" s="40"/>
      <c r="I282" s="40"/>
      <c r="J282" s="40"/>
      <c r="K282" s="40"/>
      <c r="L282" s="9"/>
      <c r="M282" s="9"/>
      <c r="N282" s="9"/>
      <c r="O282" s="40"/>
      <c r="P282" s="9"/>
      <c r="Q282" s="9"/>
      <c r="R282" s="9"/>
      <c r="S282" s="9"/>
      <c r="T282" s="9"/>
      <c r="U282" s="9"/>
      <c r="V282" s="9"/>
      <c r="W282" s="9"/>
      <c r="X282" s="9"/>
      <c r="Y282" s="9"/>
      <c r="Z282" s="10" t="str">
        <f aca="false">IF(A282="","",SG_Criteria!$B$6&amp;SG_Criteria!$B$7&amp;"\"&amp;A282&amp;"\")</f>
        <v/>
      </c>
      <c r="AA282" s="10" t="str">
        <f aca="false">IF(A282="","",A282&amp;"_CAD.dwg")</f>
        <v/>
      </c>
      <c r="AB282" s="10" t="str">
        <f aca="false">IF(A282="","",A282&amp;"_DWG.pdf")</f>
        <v/>
      </c>
      <c r="AC282" s="10" t="str">
        <f aca="false">IF(A282="","",IF(Y282="Y",A282&amp;"_STAAD.std","n/a"))</f>
        <v/>
      </c>
      <c r="AD282" s="10" t="str">
        <f aca="false">IF(A282="","",A282&amp;"_CALC.xlsx")</f>
        <v/>
      </c>
      <c r="AE282" s="10" t="str">
        <f aca="false">IF(A282="","",A282&amp;"_CALC.pdf")</f>
        <v/>
      </c>
      <c r="AF282" s="9"/>
      <c r="AG282" s="9"/>
      <c r="AH282" s="41"/>
      <c r="AI282" s="41"/>
      <c r="AJ282" s="41"/>
      <c r="AK282" s="41"/>
      <c r="AL282" s="41"/>
      <c r="AM282" s="37" t="str">
        <f aca="false">IF(OR(C282="",F282="",G282="",C282="Sump",C282="Drop Inlet Chamber",C282="Silt Trap",C282="Pipe Culvert",C282="Subsoil Drain"),"",ROUND(MAX(1,N(H282))*(1/SG_Criteria!$B$26)*((F282/1000)*(G282/1000*(1-SG_Criteria!$B$25)))*(((F282/1000)*(G282/1000*(1-SG_Criteria!$B$25)))/((F282/1000)+2*(G282/1000*(1-SG_Criteria!$B$25))))^(2/3)*(1/Design_Selector!$B$11)^0.5,3))</f>
        <v/>
      </c>
      <c r="AN282" s="11" t="str">
        <f aca="false">IF(AM282="","",ROUND(AM282/(MAX(1,N(H282))*F282/1000*(G282/1000*(1-SG_Criteria!$B$25))),2))</f>
        <v/>
      </c>
      <c r="AO282" s="38" t="str">
        <f aca="false">IF(C282="","",IF(LEN(IF(AND(OR(D282="Roadside drain",D282="Entrance culvert"),OR(F282&lt;SG_Criteria!$B$15,G282&lt;SG_Criteria!$B$16)),"FAIL: below PUB min "&amp;SG_Criteria!$B$15&amp;"x"&amp;SG_Criteria!$B$16&amp;" for roadside drain. ","")&amp;IF(AND(D282="Common drain",F282&lt;SG_Criteria!$B$17),"FAIL: common drain W &lt; "&amp;SG_Criteria!$B$17&amp;" mm. ","")&amp;IF(AND(N282&lt;&gt;"",IFERROR(VALUE(MID(N282,2,2)),0)&lt;SG_Criteria!$B$19),"FAIL: grade below C"&amp;SG_Criteria!$B$19&amp;". ","")&amp;IF(AND(O282&lt;&gt;"",O282&lt;SG_Criteria!$B$20),"FAIL: cover &lt; "&amp;SG_Criteria!$B$20&amp;" mm. ","")&amp;IF(AND(E282="Open",G282&gt;SG_Criteria!$B$18),"NOTE: safety railing required (D &gt; "&amp;SG_Criteria!$B$18&amp;" mm). ","")&amp;IF(AND(D282="Entrance culvert",G282&lt;600),"NOTE: check hinged grating rule for culverts &lt; 600 deep (PUB Add. 3). ",""))=0,"OK",IF(AND(OR(D282="Roadside drain",D282="Entrance culvert"),OR(F282&lt;SG_Criteria!$B$15,G282&lt;SG_Criteria!$B$16)),"FAIL: below PUB min "&amp;SG_Criteria!$B$15&amp;"x"&amp;SG_Criteria!$B$16&amp;" for roadside drain. ","")&amp;IF(AND(D282="Common drain",F282&lt;SG_Criteria!$B$17),"FAIL: common drain W &lt; "&amp;SG_Criteria!$B$17&amp;" mm. ","")&amp;IF(AND(N282&lt;&gt;"",IFERROR(VALUE(MID(N282,2,2)),0)&lt;SG_Criteria!$B$19),"FAIL: grade below C"&amp;SG_Criteria!$B$19&amp;". ","")&amp;IF(AND(O282&lt;&gt;"",O282&lt;SG_Criteria!$B$20),"FAIL: cover &lt; "&amp;SG_Criteria!$B$20&amp;" mm. ","")&amp;IF(AND(E282="Open",G282&gt;SG_Criteria!$B$18),"NOTE: safety railing required (D &gt; "&amp;SG_Criteria!$B$18&amp;" mm). ","")&amp;IF(AND(D282="Entrance culvert",G282&lt;600),"NOTE: check hinged grating rule for culverts &lt; 600 deep (PUB Add. 3). ","")))</f>
        <v/>
      </c>
      <c r="AP282" s="9"/>
      <c r="AQ282" s="9"/>
      <c r="AR282" s="9"/>
      <c r="AS282" s="9"/>
      <c r="AT282" s="9"/>
      <c r="AU282" s="31"/>
      <c r="AV282" s="10" t="str">
        <f aca="false">IF(C282="","",IF(AND(V282="Approved",ISERROR(SEARCH("FAIL",AO282))),"Y","N"))</f>
        <v/>
      </c>
      <c r="AW282" s="10" t="str">
        <f aca="false">IF(C282="","",C282&amp;"|"&amp;F282&amp;"|"&amp;G282&amp;"|"&amp;L282&amp;"|"&amp;AV282)</f>
        <v/>
      </c>
    </row>
    <row r="283" customFormat="false" ht="15" hidden="false" customHeight="false" outlineLevel="0" collapsed="false">
      <c r="A283" s="10" t="str">
        <f aca="false">IF(C283="","","DRN-"&amp;IFERROR(VLOOKUP(C283,Lists!$A$4:$B$27,2,0),"??")&amp;"-"&amp;TEXT(F283,"0000")&amp;"x"&amp;TEXT(G283,"0000")&amp;IF(N(H283)&gt;1,"-"&amp;H283&amp;"C","")&amp;"-"&amp;IFERROR(VLOOKUP(L283,Lists!$J$4:$K$19,2,0),"??")&amp;"-"&amp;U283)</f>
        <v/>
      </c>
      <c r="B283" s="10" t="str">
        <f aca="false">IF(C283="","",C283&amp;" "&amp;F283&amp;"W x "&amp;G283&amp;"D"&amp;IF(N(H283)&gt;1," ("&amp;H283&amp;" cells)","")&amp;", "&amp;D283&amp;", "&amp;L283&amp;", "&amp;E283)</f>
        <v/>
      </c>
      <c r="C283" s="9"/>
      <c r="D283" s="9"/>
      <c r="E283" s="9"/>
      <c r="F283" s="40"/>
      <c r="G283" s="40"/>
      <c r="H283" s="40"/>
      <c r="I283" s="40"/>
      <c r="J283" s="40"/>
      <c r="K283" s="40"/>
      <c r="L283" s="9"/>
      <c r="M283" s="9"/>
      <c r="N283" s="9"/>
      <c r="O283" s="40"/>
      <c r="P283" s="9"/>
      <c r="Q283" s="9"/>
      <c r="R283" s="9"/>
      <c r="S283" s="9"/>
      <c r="T283" s="9"/>
      <c r="U283" s="9"/>
      <c r="V283" s="9"/>
      <c r="W283" s="9"/>
      <c r="X283" s="9"/>
      <c r="Y283" s="9"/>
      <c r="Z283" s="10" t="str">
        <f aca="false">IF(A283="","",SG_Criteria!$B$6&amp;SG_Criteria!$B$7&amp;"\"&amp;A283&amp;"\")</f>
        <v/>
      </c>
      <c r="AA283" s="10" t="str">
        <f aca="false">IF(A283="","",A283&amp;"_CAD.dwg")</f>
        <v/>
      </c>
      <c r="AB283" s="10" t="str">
        <f aca="false">IF(A283="","",A283&amp;"_DWG.pdf")</f>
        <v/>
      </c>
      <c r="AC283" s="10" t="str">
        <f aca="false">IF(A283="","",IF(Y283="Y",A283&amp;"_STAAD.std","n/a"))</f>
        <v/>
      </c>
      <c r="AD283" s="10" t="str">
        <f aca="false">IF(A283="","",A283&amp;"_CALC.xlsx")</f>
        <v/>
      </c>
      <c r="AE283" s="10" t="str">
        <f aca="false">IF(A283="","",A283&amp;"_CALC.pdf")</f>
        <v/>
      </c>
      <c r="AF283" s="9"/>
      <c r="AG283" s="9"/>
      <c r="AH283" s="41"/>
      <c r="AI283" s="41"/>
      <c r="AJ283" s="41"/>
      <c r="AK283" s="41"/>
      <c r="AL283" s="41"/>
      <c r="AM283" s="37" t="str">
        <f aca="false">IF(OR(C283="",F283="",G283="",C283="Sump",C283="Drop Inlet Chamber",C283="Silt Trap",C283="Pipe Culvert",C283="Subsoil Drain"),"",ROUND(MAX(1,N(H283))*(1/SG_Criteria!$B$26)*((F283/1000)*(G283/1000*(1-SG_Criteria!$B$25)))*(((F283/1000)*(G283/1000*(1-SG_Criteria!$B$25)))/((F283/1000)+2*(G283/1000*(1-SG_Criteria!$B$25))))^(2/3)*(1/Design_Selector!$B$11)^0.5,3))</f>
        <v/>
      </c>
      <c r="AN283" s="11" t="str">
        <f aca="false">IF(AM283="","",ROUND(AM283/(MAX(1,N(H283))*F283/1000*(G283/1000*(1-SG_Criteria!$B$25))),2))</f>
        <v/>
      </c>
      <c r="AO283" s="38" t="str">
        <f aca="false">IF(C283="","",IF(LEN(IF(AND(OR(D283="Roadside drain",D283="Entrance culvert"),OR(F283&lt;SG_Criteria!$B$15,G283&lt;SG_Criteria!$B$16)),"FAIL: below PUB min "&amp;SG_Criteria!$B$15&amp;"x"&amp;SG_Criteria!$B$16&amp;" for roadside drain. ","")&amp;IF(AND(D283="Common drain",F283&lt;SG_Criteria!$B$17),"FAIL: common drain W &lt; "&amp;SG_Criteria!$B$17&amp;" mm. ","")&amp;IF(AND(N283&lt;&gt;"",IFERROR(VALUE(MID(N283,2,2)),0)&lt;SG_Criteria!$B$19),"FAIL: grade below C"&amp;SG_Criteria!$B$19&amp;". ","")&amp;IF(AND(O283&lt;&gt;"",O283&lt;SG_Criteria!$B$20),"FAIL: cover &lt; "&amp;SG_Criteria!$B$20&amp;" mm. ","")&amp;IF(AND(E283="Open",G283&gt;SG_Criteria!$B$18),"NOTE: safety railing required (D &gt; "&amp;SG_Criteria!$B$18&amp;" mm). ","")&amp;IF(AND(D283="Entrance culvert",G283&lt;600),"NOTE: check hinged grating rule for culverts &lt; 600 deep (PUB Add. 3). ",""))=0,"OK",IF(AND(OR(D283="Roadside drain",D283="Entrance culvert"),OR(F283&lt;SG_Criteria!$B$15,G283&lt;SG_Criteria!$B$16)),"FAIL: below PUB min "&amp;SG_Criteria!$B$15&amp;"x"&amp;SG_Criteria!$B$16&amp;" for roadside drain. ","")&amp;IF(AND(D283="Common drain",F283&lt;SG_Criteria!$B$17),"FAIL: common drain W &lt; "&amp;SG_Criteria!$B$17&amp;" mm. ","")&amp;IF(AND(N283&lt;&gt;"",IFERROR(VALUE(MID(N283,2,2)),0)&lt;SG_Criteria!$B$19),"FAIL: grade below C"&amp;SG_Criteria!$B$19&amp;". ","")&amp;IF(AND(O283&lt;&gt;"",O283&lt;SG_Criteria!$B$20),"FAIL: cover &lt; "&amp;SG_Criteria!$B$20&amp;" mm. ","")&amp;IF(AND(E283="Open",G283&gt;SG_Criteria!$B$18),"NOTE: safety railing required (D &gt; "&amp;SG_Criteria!$B$18&amp;" mm). ","")&amp;IF(AND(D283="Entrance culvert",G283&lt;600),"NOTE: check hinged grating rule for culverts &lt; 600 deep (PUB Add. 3). ","")))</f>
        <v/>
      </c>
      <c r="AP283" s="9"/>
      <c r="AQ283" s="9"/>
      <c r="AR283" s="9"/>
      <c r="AS283" s="9"/>
      <c r="AT283" s="9"/>
      <c r="AU283" s="31"/>
      <c r="AV283" s="10" t="str">
        <f aca="false">IF(C283="","",IF(AND(V283="Approved",ISERROR(SEARCH("FAIL",AO283))),"Y","N"))</f>
        <v/>
      </c>
      <c r="AW283" s="10" t="str">
        <f aca="false">IF(C283="","",C283&amp;"|"&amp;F283&amp;"|"&amp;G283&amp;"|"&amp;L283&amp;"|"&amp;AV283)</f>
        <v/>
      </c>
    </row>
    <row r="284" customFormat="false" ht="15" hidden="false" customHeight="false" outlineLevel="0" collapsed="false">
      <c r="A284" s="10" t="str">
        <f aca="false">IF(C284="","","DRN-"&amp;IFERROR(VLOOKUP(C284,Lists!$A$4:$B$27,2,0),"??")&amp;"-"&amp;TEXT(F284,"0000")&amp;"x"&amp;TEXT(G284,"0000")&amp;IF(N(H284)&gt;1,"-"&amp;H284&amp;"C","")&amp;"-"&amp;IFERROR(VLOOKUP(L284,Lists!$J$4:$K$19,2,0),"??")&amp;"-"&amp;U284)</f>
        <v/>
      </c>
      <c r="B284" s="10" t="str">
        <f aca="false">IF(C284="","",C284&amp;" "&amp;F284&amp;"W x "&amp;G284&amp;"D"&amp;IF(N(H284)&gt;1," ("&amp;H284&amp;" cells)","")&amp;", "&amp;D284&amp;", "&amp;L284&amp;", "&amp;E284)</f>
        <v/>
      </c>
      <c r="C284" s="9"/>
      <c r="D284" s="9"/>
      <c r="E284" s="9"/>
      <c r="F284" s="40"/>
      <c r="G284" s="40"/>
      <c r="H284" s="40"/>
      <c r="I284" s="40"/>
      <c r="J284" s="40"/>
      <c r="K284" s="40"/>
      <c r="L284" s="9"/>
      <c r="M284" s="9"/>
      <c r="N284" s="9"/>
      <c r="O284" s="40"/>
      <c r="P284" s="9"/>
      <c r="Q284" s="9"/>
      <c r="R284" s="9"/>
      <c r="S284" s="9"/>
      <c r="T284" s="9"/>
      <c r="U284" s="9"/>
      <c r="V284" s="9"/>
      <c r="W284" s="9"/>
      <c r="X284" s="9"/>
      <c r="Y284" s="9"/>
      <c r="Z284" s="10" t="str">
        <f aca="false">IF(A284="","",SG_Criteria!$B$6&amp;SG_Criteria!$B$7&amp;"\"&amp;A284&amp;"\")</f>
        <v/>
      </c>
      <c r="AA284" s="10" t="str">
        <f aca="false">IF(A284="","",A284&amp;"_CAD.dwg")</f>
        <v/>
      </c>
      <c r="AB284" s="10" t="str">
        <f aca="false">IF(A284="","",A284&amp;"_DWG.pdf")</f>
        <v/>
      </c>
      <c r="AC284" s="10" t="str">
        <f aca="false">IF(A284="","",IF(Y284="Y",A284&amp;"_STAAD.std","n/a"))</f>
        <v/>
      </c>
      <c r="AD284" s="10" t="str">
        <f aca="false">IF(A284="","",A284&amp;"_CALC.xlsx")</f>
        <v/>
      </c>
      <c r="AE284" s="10" t="str">
        <f aca="false">IF(A284="","",A284&amp;"_CALC.pdf")</f>
        <v/>
      </c>
      <c r="AF284" s="9"/>
      <c r="AG284" s="9"/>
      <c r="AH284" s="41"/>
      <c r="AI284" s="41"/>
      <c r="AJ284" s="41"/>
      <c r="AK284" s="41"/>
      <c r="AL284" s="41"/>
      <c r="AM284" s="37" t="str">
        <f aca="false">IF(OR(C284="",F284="",G284="",C284="Sump",C284="Drop Inlet Chamber",C284="Silt Trap",C284="Pipe Culvert",C284="Subsoil Drain"),"",ROUND(MAX(1,N(H284))*(1/SG_Criteria!$B$26)*((F284/1000)*(G284/1000*(1-SG_Criteria!$B$25)))*(((F284/1000)*(G284/1000*(1-SG_Criteria!$B$25)))/((F284/1000)+2*(G284/1000*(1-SG_Criteria!$B$25))))^(2/3)*(1/Design_Selector!$B$11)^0.5,3))</f>
        <v/>
      </c>
      <c r="AN284" s="11" t="str">
        <f aca="false">IF(AM284="","",ROUND(AM284/(MAX(1,N(H284))*F284/1000*(G284/1000*(1-SG_Criteria!$B$25))),2))</f>
        <v/>
      </c>
      <c r="AO284" s="38" t="str">
        <f aca="false">IF(C284="","",IF(LEN(IF(AND(OR(D284="Roadside drain",D284="Entrance culvert"),OR(F284&lt;SG_Criteria!$B$15,G284&lt;SG_Criteria!$B$16)),"FAIL: below PUB min "&amp;SG_Criteria!$B$15&amp;"x"&amp;SG_Criteria!$B$16&amp;" for roadside drain. ","")&amp;IF(AND(D284="Common drain",F284&lt;SG_Criteria!$B$17),"FAIL: common drain W &lt; "&amp;SG_Criteria!$B$17&amp;" mm. ","")&amp;IF(AND(N284&lt;&gt;"",IFERROR(VALUE(MID(N284,2,2)),0)&lt;SG_Criteria!$B$19),"FAIL: grade below C"&amp;SG_Criteria!$B$19&amp;". ","")&amp;IF(AND(O284&lt;&gt;"",O284&lt;SG_Criteria!$B$20),"FAIL: cover &lt; "&amp;SG_Criteria!$B$20&amp;" mm. ","")&amp;IF(AND(E284="Open",G284&gt;SG_Criteria!$B$18),"NOTE: safety railing required (D &gt; "&amp;SG_Criteria!$B$18&amp;" mm). ","")&amp;IF(AND(D284="Entrance culvert",G284&lt;600),"NOTE: check hinged grating rule for culverts &lt; 600 deep (PUB Add. 3). ",""))=0,"OK",IF(AND(OR(D284="Roadside drain",D284="Entrance culvert"),OR(F284&lt;SG_Criteria!$B$15,G284&lt;SG_Criteria!$B$16)),"FAIL: below PUB min "&amp;SG_Criteria!$B$15&amp;"x"&amp;SG_Criteria!$B$16&amp;" for roadside drain. ","")&amp;IF(AND(D284="Common drain",F284&lt;SG_Criteria!$B$17),"FAIL: common drain W &lt; "&amp;SG_Criteria!$B$17&amp;" mm. ","")&amp;IF(AND(N284&lt;&gt;"",IFERROR(VALUE(MID(N284,2,2)),0)&lt;SG_Criteria!$B$19),"FAIL: grade below C"&amp;SG_Criteria!$B$19&amp;". ","")&amp;IF(AND(O284&lt;&gt;"",O284&lt;SG_Criteria!$B$20),"FAIL: cover &lt; "&amp;SG_Criteria!$B$20&amp;" mm. ","")&amp;IF(AND(E284="Open",G284&gt;SG_Criteria!$B$18),"NOTE: safety railing required (D &gt; "&amp;SG_Criteria!$B$18&amp;" mm). ","")&amp;IF(AND(D284="Entrance culvert",G284&lt;600),"NOTE: check hinged grating rule for culverts &lt; 600 deep (PUB Add. 3). ","")))</f>
        <v/>
      </c>
      <c r="AP284" s="9"/>
      <c r="AQ284" s="9"/>
      <c r="AR284" s="9"/>
      <c r="AS284" s="9"/>
      <c r="AT284" s="9"/>
      <c r="AU284" s="31"/>
      <c r="AV284" s="10" t="str">
        <f aca="false">IF(C284="","",IF(AND(V284="Approved",ISERROR(SEARCH("FAIL",AO284))),"Y","N"))</f>
        <v/>
      </c>
      <c r="AW284" s="10" t="str">
        <f aca="false">IF(C284="","",C284&amp;"|"&amp;F284&amp;"|"&amp;G284&amp;"|"&amp;L284&amp;"|"&amp;AV284)</f>
        <v/>
      </c>
    </row>
    <row r="285" customFormat="false" ht="15" hidden="false" customHeight="false" outlineLevel="0" collapsed="false">
      <c r="A285" s="10" t="str">
        <f aca="false">IF(C285="","","DRN-"&amp;IFERROR(VLOOKUP(C285,Lists!$A$4:$B$27,2,0),"??")&amp;"-"&amp;TEXT(F285,"0000")&amp;"x"&amp;TEXT(G285,"0000")&amp;IF(N(H285)&gt;1,"-"&amp;H285&amp;"C","")&amp;"-"&amp;IFERROR(VLOOKUP(L285,Lists!$J$4:$K$19,2,0),"??")&amp;"-"&amp;U285)</f>
        <v/>
      </c>
      <c r="B285" s="10" t="str">
        <f aca="false">IF(C285="","",C285&amp;" "&amp;F285&amp;"W x "&amp;G285&amp;"D"&amp;IF(N(H285)&gt;1," ("&amp;H285&amp;" cells)","")&amp;", "&amp;D285&amp;", "&amp;L285&amp;", "&amp;E285)</f>
        <v/>
      </c>
      <c r="C285" s="9"/>
      <c r="D285" s="9"/>
      <c r="E285" s="9"/>
      <c r="F285" s="40"/>
      <c r="G285" s="40"/>
      <c r="H285" s="40"/>
      <c r="I285" s="40"/>
      <c r="J285" s="40"/>
      <c r="K285" s="40"/>
      <c r="L285" s="9"/>
      <c r="M285" s="9"/>
      <c r="N285" s="9"/>
      <c r="O285" s="40"/>
      <c r="P285" s="9"/>
      <c r="Q285" s="9"/>
      <c r="R285" s="9"/>
      <c r="S285" s="9"/>
      <c r="T285" s="9"/>
      <c r="U285" s="9"/>
      <c r="V285" s="9"/>
      <c r="W285" s="9"/>
      <c r="X285" s="9"/>
      <c r="Y285" s="9"/>
      <c r="Z285" s="10" t="str">
        <f aca="false">IF(A285="","",SG_Criteria!$B$6&amp;SG_Criteria!$B$7&amp;"\"&amp;A285&amp;"\")</f>
        <v/>
      </c>
      <c r="AA285" s="10" t="str">
        <f aca="false">IF(A285="","",A285&amp;"_CAD.dwg")</f>
        <v/>
      </c>
      <c r="AB285" s="10" t="str">
        <f aca="false">IF(A285="","",A285&amp;"_DWG.pdf")</f>
        <v/>
      </c>
      <c r="AC285" s="10" t="str">
        <f aca="false">IF(A285="","",IF(Y285="Y",A285&amp;"_STAAD.std","n/a"))</f>
        <v/>
      </c>
      <c r="AD285" s="10" t="str">
        <f aca="false">IF(A285="","",A285&amp;"_CALC.xlsx")</f>
        <v/>
      </c>
      <c r="AE285" s="10" t="str">
        <f aca="false">IF(A285="","",A285&amp;"_CALC.pdf")</f>
        <v/>
      </c>
      <c r="AF285" s="9"/>
      <c r="AG285" s="9"/>
      <c r="AH285" s="41"/>
      <c r="AI285" s="41"/>
      <c r="AJ285" s="41"/>
      <c r="AK285" s="41"/>
      <c r="AL285" s="41"/>
      <c r="AM285" s="37" t="str">
        <f aca="false">IF(OR(C285="",F285="",G285="",C285="Sump",C285="Drop Inlet Chamber",C285="Silt Trap",C285="Pipe Culvert",C285="Subsoil Drain"),"",ROUND(MAX(1,N(H285))*(1/SG_Criteria!$B$26)*((F285/1000)*(G285/1000*(1-SG_Criteria!$B$25)))*(((F285/1000)*(G285/1000*(1-SG_Criteria!$B$25)))/((F285/1000)+2*(G285/1000*(1-SG_Criteria!$B$25))))^(2/3)*(1/Design_Selector!$B$11)^0.5,3))</f>
        <v/>
      </c>
      <c r="AN285" s="11" t="str">
        <f aca="false">IF(AM285="","",ROUND(AM285/(MAX(1,N(H285))*F285/1000*(G285/1000*(1-SG_Criteria!$B$25))),2))</f>
        <v/>
      </c>
      <c r="AO285" s="38" t="str">
        <f aca="false">IF(C285="","",IF(LEN(IF(AND(OR(D285="Roadside drain",D285="Entrance culvert"),OR(F285&lt;SG_Criteria!$B$15,G285&lt;SG_Criteria!$B$16)),"FAIL: below PUB min "&amp;SG_Criteria!$B$15&amp;"x"&amp;SG_Criteria!$B$16&amp;" for roadside drain. ","")&amp;IF(AND(D285="Common drain",F285&lt;SG_Criteria!$B$17),"FAIL: common drain W &lt; "&amp;SG_Criteria!$B$17&amp;" mm. ","")&amp;IF(AND(N285&lt;&gt;"",IFERROR(VALUE(MID(N285,2,2)),0)&lt;SG_Criteria!$B$19),"FAIL: grade below C"&amp;SG_Criteria!$B$19&amp;". ","")&amp;IF(AND(O285&lt;&gt;"",O285&lt;SG_Criteria!$B$20),"FAIL: cover &lt; "&amp;SG_Criteria!$B$20&amp;" mm. ","")&amp;IF(AND(E285="Open",G285&gt;SG_Criteria!$B$18),"NOTE: safety railing required (D &gt; "&amp;SG_Criteria!$B$18&amp;" mm). ","")&amp;IF(AND(D285="Entrance culvert",G285&lt;600),"NOTE: check hinged grating rule for culverts &lt; 600 deep (PUB Add. 3). ",""))=0,"OK",IF(AND(OR(D285="Roadside drain",D285="Entrance culvert"),OR(F285&lt;SG_Criteria!$B$15,G285&lt;SG_Criteria!$B$16)),"FAIL: below PUB min "&amp;SG_Criteria!$B$15&amp;"x"&amp;SG_Criteria!$B$16&amp;" for roadside drain. ","")&amp;IF(AND(D285="Common drain",F285&lt;SG_Criteria!$B$17),"FAIL: common drain W &lt; "&amp;SG_Criteria!$B$17&amp;" mm. ","")&amp;IF(AND(N285&lt;&gt;"",IFERROR(VALUE(MID(N285,2,2)),0)&lt;SG_Criteria!$B$19),"FAIL: grade below C"&amp;SG_Criteria!$B$19&amp;". ","")&amp;IF(AND(O285&lt;&gt;"",O285&lt;SG_Criteria!$B$20),"FAIL: cover &lt; "&amp;SG_Criteria!$B$20&amp;" mm. ","")&amp;IF(AND(E285="Open",G285&gt;SG_Criteria!$B$18),"NOTE: safety railing required (D &gt; "&amp;SG_Criteria!$B$18&amp;" mm). ","")&amp;IF(AND(D285="Entrance culvert",G285&lt;600),"NOTE: check hinged grating rule for culverts &lt; 600 deep (PUB Add. 3). ","")))</f>
        <v/>
      </c>
      <c r="AP285" s="9"/>
      <c r="AQ285" s="9"/>
      <c r="AR285" s="9"/>
      <c r="AS285" s="9"/>
      <c r="AT285" s="9"/>
      <c r="AU285" s="31"/>
      <c r="AV285" s="10" t="str">
        <f aca="false">IF(C285="","",IF(AND(V285="Approved",ISERROR(SEARCH("FAIL",AO285))),"Y","N"))</f>
        <v/>
      </c>
      <c r="AW285" s="10" t="str">
        <f aca="false">IF(C285="","",C285&amp;"|"&amp;F285&amp;"|"&amp;G285&amp;"|"&amp;L285&amp;"|"&amp;AV285)</f>
        <v/>
      </c>
    </row>
    <row r="286" customFormat="false" ht="15" hidden="false" customHeight="false" outlineLevel="0" collapsed="false">
      <c r="A286" s="10" t="str">
        <f aca="false">IF(C286="","","DRN-"&amp;IFERROR(VLOOKUP(C286,Lists!$A$4:$B$27,2,0),"??")&amp;"-"&amp;TEXT(F286,"0000")&amp;"x"&amp;TEXT(G286,"0000")&amp;IF(N(H286)&gt;1,"-"&amp;H286&amp;"C","")&amp;"-"&amp;IFERROR(VLOOKUP(L286,Lists!$J$4:$K$19,2,0),"??")&amp;"-"&amp;U286)</f>
        <v/>
      </c>
      <c r="B286" s="10" t="str">
        <f aca="false">IF(C286="","",C286&amp;" "&amp;F286&amp;"W x "&amp;G286&amp;"D"&amp;IF(N(H286)&gt;1," ("&amp;H286&amp;" cells)","")&amp;", "&amp;D286&amp;", "&amp;L286&amp;", "&amp;E286)</f>
        <v/>
      </c>
      <c r="C286" s="9"/>
      <c r="D286" s="9"/>
      <c r="E286" s="9"/>
      <c r="F286" s="40"/>
      <c r="G286" s="40"/>
      <c r="H286" s="40"/>
      <c r="I286" s="40"/>
      <c r="J286" s="40"/>
      <c r="K286" s="40"/>
      <c r="L286" s="9"/>
      <c r="M286" s="9"/>
      <c r="N286" s="9"/>
      <c r="O286" s="40"/>
      <c r="P286" s="9"/>
      <c r="Q286" s="9"/>
      <c r="R286" s="9"/>
      <c r="S286" s="9"/>
      <c r="T286" s="9"/>
      <c r="U286" s="9"/>
      <c r="V286" s="9"/>
      <c r="W286" s="9"/>
      <c r="X286" s="9"/>
      <c r="Y286" s="9"/>
      <c r="Z286" s="10" t="str">
        <f aca="false">IF(A286="","",SG_Criteria!$B$6&amp;SG_Criteria!$B$7&amp;"\"&amp;A286&amp;"\")</f>
        <v/>
      </c>
      <c r="AA286" s="10" t="str">
        <f aca="false">IF(A286="","",A286&amp;"_CAD.dwg")</f>
        <v/>
      </c>
      <c r="AB286" s="10" t="str">
        <f aca="false">IF(A286="","",A286&amp;"_DWG.pdf")</f>
        <v/>
      </c>
      <c r="AC286" s="10" t="str">
        <f aca="false">IF(A286="","",IF(Y286="Y",A286&amp;"_STAAD.std","n/a"))</f>
        <v/>
      </c>
      <c r="AD286" s="10" t="str">
        <f aca="false">IF(A286="","",A286&amp;"_CALC.xlsx")</f>
        <v/>
      </c>
      <c r="AE286" s="10" t="str">
        <f aca="false">IF(A286="","",A286&amp;"_CALC.pdf")</f>
        <v/>
      </c>
      <c r="AF286" s="9"/>
      <c r="AG286" s="9"/>
      <c r="AH286" s="41"/>
      <c r="AI286" s="41"/>
      <c r="AJ286" s="41"/>
      <c r="AK286" s="41"/>
      <c r="AL286" s="41"/>
      <c r="AM286" s="37" t="str">
        <f aca="false">IF(OR(C286="",F286="",G286="",C286="Sump",C286="Drop Inlet Chamber",C286="Silt Trap",C286="Pipe Culvert",C286="Subsoil Drain"),"",ROUND(MAX(1,N(H286))*(1/SG_Criteria!$B$26)*((F286/1000)*(G286/1000*(1-SG_Criteria!$B$25)))*(((F286/1000)*(G286/1000*(1-SG_Criteria!$B$25)))/((F286/1000)+2*(G286/1000*(1-SG_Criteria!$B$25))))^(2/3)*(1/Design_Selector!$B$11)^0.5,3))</f>
        <v/>
      </c>
      <c r="AN286" s="11" t="str">
        <f aca="false">IF(AM286="","",ROUND(AM286/(MAX(1,N(H286))*F286/1000*(G286/1000*(1-SG_Criteria!$B$25))),2))</f>
        <v/>
      </c>
      <c r="AO286" s="38" t="str">
        <f aca="false">IF(C286="","",IF(LEN(IF(AND(OR(D286="Roadside drain",D286="Entrance culvert"),OR(F286&lt;SG_Criteria!$B$15,G286&lt;SG_Criteria!$B$16)),"FAIL: below PUB min "&amp;SG_Criteria!$B$15&amp;"x"&amp;SG_Criteria!$B$16&amp;" for roadside drain. ","")&amp;IF(AND(D286="Common drain",F286&lt;SG_Criteria!$B$17),"FAIL: common drain W &lt; "&amp;SG_Criteria!$B$17&amp;" mm. ","")&amp;IF(AND(N286&lt;&gt;"",IFERROR(VALUE(MID(N286,2,2)),0)&lt;SG_Criteria!$B$19),"FAIL: grade below C"&amp;SG_Criteria!$B$19&amp;". ","")&amp;IF(AND(O286&lt;&gt;"",O286&lt;SG_Criteria!$B$20),"FAIL: cover &lt; "&amp;SG_Criteria!$B$20&amp;" mm. ","")&amp;IF(AND(E286="Open",G286&gt;SG_Criteria!$B$18),"NOTE: safety railing required (D &gt; "&amp;SG_Criteria!$B$18&amp;" mm). ","")&amp;IF(AND(D286="Entrance culvert",G286&lt;600),"NOTE: check hinged grating rule for culverts &lt; 600 deep (PUB Add. 3). ",""))=0,"OK",IF(AND(OR(D286="Roadside drain",D286="Entrance culvert"),OR(F286&lt;SG_Criteria!$B$15,G286&lt;SG_Criteria!$B$16)),"FAIL: below PUB min "&amp;SG_Criteria!$B$15&amp;"x"&amp;SG_Criteria!$B$16&amp;" for roadside drain. ","")&amp;IF(AND(D286="Common drain",F286&lt;SG_Criteria!$B$17),"FAIL: common drain W &lt; "&amp;SG_Criteria!$B$17&amp;" mm. ","")&amp;IF(AND(N286&lt;&gt;"",IFERROR(VALUE(MID(N286,2,2)),0)&lt;SG_Criteria!$B$19),"FAIL: grade below C"&amp;SG_Criteria!$B$19&amp;". ","")&amp;IF(AND(O286&lt;&gt;"",O286&lt;SG_Criteria!$B$20),"FAIL: cover &lt; "&amp;SG_Criteria!$B$20&amp;" mm. ","")&amp;IF(AND(E286="Open",G286&gt;SG_Criteria!$B$18),"NOTE: safety railing required (D &gt; "&amp;SG_Criteria!$B$18&amp;" mm). ","")&amp;IF(AND(D286="Entrance culvert",G286&lt;600),"NOTE: check hinged grating rule for culverts &lt; 600 deep (PUB Add. 3). ","")))</f>
        <v/>
      </c>
      <c r="AP286" s="9"/>
      <c r="AQ286" s="9"/>
      <c r="AR286" s="9"/>
      <c r="AS286" s="9"/>
      <c r="AT286" s="9"/>
      <c r="AU286" s="31"/>
      <c r="AV286" s="10" t="str">
        <f aca="false">IF(C286="","",IF(AND(V286="Approved",ISERROR(SEARCH("FAIL",AO286))),"Y","N"))</f>
        <v/>
      </c>
      <c r="AW286" s="10" t="str">
        <f aca="false">IF(C286="","",C286&amp;"|"&amp;F286&amp;"|"&amp;G286&amp;"|"&amp;L286&amp;"|"&amp;AV286)</f>
        <v/>
      </c>
    </row>
    <row r="287" customFormat="false" ht="15" hidden="false" customHeight="false" outlineLevel="0" collapsed="false">
      <c r="A287" s="10" t="str">
        <f aca="false">IF(C287="","","DRN-"&amp;IFERROR(VLOOKUP(C287,Lists!$A$4:$B$27,2,0),"??")&amp;"-"&amp;TEXT(F287,"0000")&amp;"x"&amp;TEXT(G287,"0000")&amp;IF(N(H287)&gt;1,"-"&amp;H287&amp;"C","")&amp;"-"&amp;IFERROR(VLOOKUP(L287,Lists!$J$4:$K$19,2,0),"??")&amp;"-"&amp;U287)</f>
        <v/>
      </c>
      <c r="B287" s="10" t="str">
        <f aca="false">IF(C287="","",C287&amp;" "&amp;F287&amp;"W x "&amp;G287&amp;"D"&amp;IF(N(H287)&gt;1," ("&amp;H287&amp;" cells)","")&amp;", "&amp;D287&amp;", "&amp;L287&amp;", "&amp;E287)</f>
        <v/>
      </c>
      <c r="C287" s="9"/>
      <c r="D287" s="9"/>
      <c r="E287" s="9"/>
      <c r="F287" s="40"/>
      <c r="G287" s="40"/>
      <c r="H287" s="40"/>
      <c r="I287" s="40"/>
      <c r="J287" s="40"/>
      <c r="K287" s="40"/>
      <c r="L287" s="9"/>
      <c r="M287" s="9"/>
      <c r="N287" s="9"/>
      <c r="O287" s="40"/>
      <c r="P287" s="9"/>
      <c r="Q287" s="9"/>
      <c r="R287" s="9"/>
      <c r="S287" s="9"/>
      <c r="T287" s="9"/>
      <c r="U287" s="9"/>
      <c r="V287" s="9"/>
      <c r="W287" s="9"/>
      <c r="X287" s="9"/>
      <c r="Y287" s="9"/>
      <c r="Z287" s="10" t="str">
        <f aca="false">IF(A287="","",SG_Criteria!$B$6&amp;SG_Criteria!$B$7&amp;"\"&amp;A287&amp;"\")</f>
        <v/>
      </c>
      <c r="AA287" s="10" t="str">
        <f aca="false">IF(A287="","",A287&amp;"_CAD.dwg")</f>
        <v/>
      </c>
      <c r="AB287" s="10" t="str">
        <f aca="false">IF(A287="","",A287&amp;"_DWG.pdf")</f>
        <v/>
      </c>
      <c r="AC287" s="10" t="str">
        <f aca="false">IF(A287="","",IF(Y287="Y",A287&amp;"_STAAD.std","n/a"))</f>
        <v/>
      </c>
      <c r="AD287" s="10" t="str">
        <f aca="false">IF(A287="","",A287&amp;"_CALC.xlsx")</f>
        <v/>
      </c>
      <c r="AE287" s="10" t="str">
        <f aca="false">IF(A287="","",A287&amp;"_CALC.pdf")</f>
        <v/>
      </c>
      <c r="AF287" s="9"/>
      <c r="AG287" s="9"/>
      <c r="AH287" s="41"/>
      <c r="AI287" s="41"/>
      <c r="AJ287" s="41"/>
      <c r="AK287" s="41"/>
      <c r="AL287" s="41"/>
      <c r="AM287" s="37" t="str">
        <f aca="false">IF(OR(C287="",F287="",G287="",C287="Sump",C287="Drop Inlet Chamber",C287="Silt Trap",C287="Pipe Culvert",C287="Subsoil Drain"),"",ROUND(MAX(1,N(H287))*(1/SG_Criteria!$B$26)*((F287/1000)*(G287/1000*(1-SG_Criteria!$B$25)))*(((F287/1000)*(G287/1000*(1-SG_Criteria!$B$25)))/((F287/1000)+2*(G287/1000*(1-SG_Criteria!$B$25))))^(2/3)*(1/Design_Selector!$B$11)^0.5,3))</f>
        <v/>
      </c>
      <c r="AN287" s="11" t="str">
        <f aca="false">IF(AM287="","",ROUND(AM287/(MAX(1,N(H287))*F287/1000*(G287/1000*(1-SG_Criteria!$B$25))),2))</f>
        <v/>
      </c>
      <c r="AO287" s="38" t="str">
        <f aca="false">IF(C287="","",IF(LEN(IF(AND(OR(D287="Roadside drain",D287="Entrance culvert"),OR(F287&lt;SG_Criteria!$B$15,G287&lt;SG_Criteria!$B$16)),"FAIL: below PUB min "&amp;SG_Criteria!$B$15&amp;"x"&amp;SG_Criteria!$B$16&amp;" for roadside drain. ","")&amp;IF(AND(D287="Common drain",F287&lt;SG_Criteria!$B$17),"FAIL: common drain W &lt; "&amp;SG_Criteria!$B$17&amp;" mm. ","")&amp;IF(AND(N287&lt;&gt;"",IFERROR(VALUE(MID(N287,2,2)),0)&lt;SG_Criteria!$B$19),"FAIL: grade below C"&amp;SG_Criteria!$B$19&amp;". ","")&amp;IF(AND(O287&lt;&gt;"",O287&lt;SG_Criteria!$B$20),"FAIL: cover &lt; "&amp;SG_Criteria!$B$20&amp;" mm. ","")&amp;IF(AND(E287="Open",G287&gt;SG_Criteria!$B$18),"NOTE: safety railing required (D &gt; "&amp;SG_Criteria!$B$18&amp;" mm). ","")&amp;IF(AND(D287="Entrance culvert",G287&lt;600),"NOTE: check hinged grating rule for culverts &lt; 600 deep (PUB Add. 3). ",""))=0,"OK",IF(AND(OR(D287="Roadside drain",D287="Entrance culvert"),OR(F287&lt;SG_Criteria!$B$15,G287&lt;SG_Criteria!$B$16)),"FAIL: below PUB min "&amp;SG_Criteria!$B$15&amp;"x"&amp;SG_Criteria!$B$16&amp;" for roadside drain. ","")&amp;IF(AND(D287="Common drain",F287&lt;SG_Criteria!$B$17),"FAIL: common drain W &lt; "&amp;SG_Criteria!$B$17&amp;" mm. ","")&amp;IF(AND(N287&lt;&gt;"",IFERROR(VALUE(MID(N287,2,2)),0)&lt;SG_Criteria!$B$19),"FAIL: grade below C"&amp;SG_Criteria!$B$19&amp;". ","")&amp;IF(AND(O287&lt;&gt;"",O287&lt;SG_Criteria!$B$20),"FAIL: cover &lt; "&amp;SG_Criteria!$B$20&amp;" mm. ","")&amp;IF(AND(E287="Open",G287&gt;SG_Criteria!$B$18),"NOTE: safety railing required (D &gt; "&amp;SG_Criteria!$B$18&amp;" mm). ","")&amp;IF(AND(D287="Entrance culvert",G287&lt;600),"NOTE: check hinged grating rule for culverts &lt; 600 deep (PUB Add. 3). ","")))</f>
        <v/>
      </c>
      <c r="AP287" s="9"/>
      <c r="AQ287" s="9"/>
      <c r="AR287" s="9"/>
      <c r="AS287" s="9"/>
      <c r="AT287" s="9"/>
      <c r="AU287" s="31"/>
      <c r="AV287" s="10" t="str">
        <f aca="false">IF(C287="","",IF(AND(V287="Approved",ISERROR(SEARCH("FAIL",AO287))),"Y","N"))</f>
        <v/>
      </c>
      <c r="AW287" s="10" t="str">
        <f aca="false">IF(C287="","",C287&amp;"|"&amp;F287&amp;"|"&amp;G287&amp;"|"&amp;L287&amp;"|"&amp;AV287)</f>
        <v/>
      </c>
    </row>
    <row r="288" customFormat="false" ht="15" hidden="false" customHeight="false" outlineLevel="0" collapsed="false">
      <c r="A288" s="10" t="str">
        <f aca="false">IF(C288="","","DRN-"&amp;IFERROR(VLOOKUP(C288,Lists!$A$4:$B$27,2,0),"??")&amp;"-"&amp;TEXT(F288,"0000")&amp;"x"&amp;TEXT(G288,"0000")&amp;IF(N(H288)&gt;1,"-"&amp;H288&amp;"C","")&amp;"-"&amp;IFERROR(VLOOKUP(L288,Lists!$J$4:$K$19,2,0),"??")&amp;"-"&amp;U288)</f>
        <v/>
      </c>
      <c r="B288" s="10" t="str">
        <f aca="false">IF(C288="","",C288&amp;" "&amp;F288&amp;"W x "&amp;G288&amp;"D"&amp;IF(N(H288)&gt;1," ("&amp;H288&amp;" cells)","")&amp;", "&amp;D288&amp;", "&amp;L288&amp;", "&amp;E288)</f>
        <v/>
      </c>
      <c r="C288" s="9"/>
      <c r="D288" s="9"/>
      <c r="E288" s="9"/>
      <c r="F288" s="40"/>
      <c r="G288" s="40"/>
      <c r="H288" s="40"/>
      <c r="I288" s="40"/>
      <c r="J288" s="40"/>
      <c r="K288" s="40"/>
      <c r="L288" s="9"/>
      <c r="M288" s="9"/>
      <c r="N288" s="9"/>
      <c r="O288" s="40"/>
      <c r="P288" s="9"/>
      <c r="Q288" s="9"/>
      <c r="R288" s="9"/>
      <c r="S288" s="9"/>
      <c r="T288" s="9"/>
      <c r="U288" s="9"/>
      <c r="V288" s="9"/>
      <c r="W288" s="9"/>
      <c r="X288" s="9"/>
      <c r="Y288" s="9"/>
      <c r="Z288" s="10" t="str">
        <f aca="false">IF(A288="","",SG_Criteria!$B$6&amp;SG_Criteria!$B$7&amp;"\"&amp;A288&amp;"\")</f>
        <v/>
      </c>
      <c r="AA288" s="10" t="str">
        <f aca="false">IF(A288="","",A288&amp;"_CAD.dwg")</f>
        <v/>
      </c>
      <c r="AB288" s="10" t="str">
        <f aca="false">IF(A288="","",A288&amp;"_DWG.pdf")</f>
        <v/>
      </c>
      <c r="AC288" s="10" t="str">
        <f aca="false">IF(A288="","",IF(Y288="Y",A288&amp;"_STAAD.std","n/a"))</f>
        <v/>
      </c>
      <c r="AD288" s="10" t="str">
        <f aca="false">IF(A288="","",A288&amp;"_CALC.xlsx")</f>
        <v/>
      </c>
      <c r="AE288" s="10" t="str">
        <f aca="false">IF(A288="","",A288&amp;"_CALC.pdf")</f>
        <v/>
      </c>
      <c r="AF288" s="9"/>
      <c r="AG288" s="9"/>
      <c r="AH288" s="41"/>
      <c r="AI288" s="41"/>
      <c r="AJ288" s="41"/>
      <c r="AK288" s="41"/>
      <c r="AL288" s="41"/>
      <c r="AM288" s="37" t="str">
        <f aca="false">IF(OR(C288="",F288="",G288="",C288="Sump",C288="Drop Inlet Chamber",C288="Silt Trap",C288="Pipe Culvert",C288="Subsoil Drain"),"",ROUND(MAX(1,N(H288))*(1/SG_Criteria!$B$26)*((F288/1000)*(G288/1000*(1-SG_Criteria!$B$25)))*(((F288/1000)*(G288/1000*(1-SG_Criteria!$B$25)))/((F288/1000)+2*(G288/1000*(1-SG_Criteria!$B$25))))^(2/3)*(1/Design_Selector!$B$11)^0.5,3))</f>
        <v/>
      </c>
      <c r="AN288" s="11" t="str">
        <f aca="false">IF(AM288="","",ROUND(AM288/(MAX(1,N(H288))*F288/1000*(G288/1000*(1-SG_Criteria!$B$25))),2))</f>
        <v/>
      </c>
      <c r="AO288" s="38" t="str">
        <f aca="false">IF(C288="","",IF(LEN(IF(AND(OR(D288="Roadside drain",D288="Entrance culvert"),OR(F288&lt;SG_Criteria!$B$15,G288&lt;SG_Criteria!$B$16)),"FAIL: below PUB min "&amp;SG_Criteria!$B$15&amp;"x"&amp;SG_Criteria!$B$16&amp;" for roadside drain. ","")&amp;IF(AND(D288="Common drain",F288&lt;SG_Criteria!$B$17),"FAIL: common drain W &lt; "&amp;SG_Criteria!$B$17&amp;" mm. ","")&amp;IF(AND(N288&lt;&gt;"",IFERROR(VALUE(MID(N288,2,2)),0)&lt;SG_Criteria!$B$19),"FAIL: grade below C"&amp;SG_Criteria!$B$19&amp;". ","")&amp;IF(AND(O288&lt;&gt;"",O288&lt;SG_Criteria!$B$20),"FAIL: cover &lt; "&amp;SG_Criteria!$B$20&amp;" mm. ","")&amp;IF(AND(E288="Open",G288&gt;SG_Criteria!$B$18),"NOTE: safety railing required (D &gt; "&amp;SG_Criteria!$B$18&amp;" mm). ","")&amp;IF(AND(D288="Entrance culvert",G288&lt;600),"NOTE: check hinged grating rule for culverts &lt; 600 deep (PUB Add. 3). ",""))=0,"OK",IF(AND(OR(D288="Roadside drain",D288="Entrance culvert"),OR(F288&lt;SG_Criteria!$B$15,G288&lt;SG_Criteria!$B$16)),"FAIL: below PUB min "&amp;SG_Criteria!$B$15&amp;"x"&amp;SG_Criteria!$B$16&amp;" for roadside drain. ","")&amp;IF(AND(D288="Common drain",F288&lt;SG_Criteria!$B$17),"FAIL: common drain W &lt; "&amp;SG_Criteria!$B$17&amp;" mm. ","")&amp;IF(AND(N288&lt;&gt;"",IFERROR(VALUE(MID(N288,2,2)),0)&lt;SG_Criteria!$B$19),"FAIL: grade below C"&amp;SG_Criteria!$B$19&amp;". ","")&amp;IF(AND(O288&lt;&gt;"",O288&lt;SG_Criteria!$B$20),"FAIL: cover &lt; "&amp;SG_Criteria!$B$20&amp;" mm. ","")&amp;IF(AND(E288="Open",G288&gt;SG_Criteria!$B$18),"NOTE: safety railing required (D &gt; "&amp;SG_Criteria!$B$18&amp;" mm). ","")&amp;IF(AND(D288="Entrance culvert",G288&lt;600),"NOTE: check hinged grating rule for culverts &lt; 600 deep (PUB Add. 3). ","")))</f>
        <v/>
      </c>
      <c r="AP288" s="9"/>
      <c r="AQ288" s="9"/>
      <c r="AR288" s="9"/>
      <c r="AS288" s="9"/>
      <c r="AT288" s="9"/>
      <c r="AU288" s="31"/>
      <c r="AV288" s="10" t="str">
        <f aca="false">IF(C288="","",IF(AND(V288="Approved",ISERROR(SEARCH("FAIL",AO288))),"Y","N"))</f>
        <v/>
      </c>
      <c r="AW288" s="10" t="str">
        <f aca="false">IF(C288="","",C288&amp;"|"&amp;F288&amp;"|"&amp;G288&amp;"|"&amp;L288&amp;"|"&amp;AV288)</f>
        <v/>
      </c>
    </row>
    <row r="289" customFormat="false" ht="15" hidden="false" customHeight="false" outlineLevel="0" collapsed="false">
      <c r="A289" s="10" t="str">
        <f aca="false">IF(C289="","","DRN-"&amp;IFERROR(VLOOKUP(C289,Lists!$A$4:$B$27,2,0),"??")&amp;"-"&amp;TEXT(F289,"0000")&amp;"x"&amp;TEXT(G289,"0000")&amp;IF(N(H289)&gt;1,"-"&amp;H289&amp;"C","")&amp;"-"&amp;IFERROR(VLOOKUP(L289,Lists!$J$4:$K$19,2,0),"??")&amp;"-"&amp;U289)</f>
        <v/>
      </c>
      <c r="B289" s="10" t="str">
        <f aca="false">IF(C289="","",C289&amp;" "&amp;F289&amp;"W x "&amp;G289&amp;"D"&amp;IF(N(H289)&gt;1," ("&amp;H289&amp;" cells)","")&amp;", "&amp;D289&amp;", "&amp;L289&amp;", "&amp;E289)</f>
        <v/>
      </c>
      <c r="C289" s="9"/>
      <c r="D289" s="9"/>
      <c r="E289" s="9"/>
      <c r="F289" s="40"/>
      <c r="G289" s="40"/>
      <c r="H289" s="40"/>
      <c r="I289" s="40"/>
      <c r="J289" s="40"/>
      <c r="K289" s="40"/>
      <c r="L289" s="9"/>
      <c r="M289" s="9"/>
      <c r="N289" s="9"/>
      <c r="O289" s="40"/>
      <c r="P289" s="9"/>
      <c r="Q289" s="9"/>
      <c r="R289" s="9"/>
      <c r="S289" s="9"/>
      <c r="T289" s="9"/>
      <c r="U289" s="9"/>
      <c r="V289" s="9"/>
      <c r="W289" s="9"/>
      <c r="X289" s="9"/>
      <c r="Y289" s="9"/>
      <c r="Z289" s="10" t="str">
        <f aca="false">IF(A289="","",SG_Criteria!$B$6&amp;SG_Criteria!$B$7&amp;"\"&amp;A289&amp;"\")</f>
        <v/>
      </c>
      <c r="AA289" s="10" t="str">
        <f aca="false">IF(A289="","",A289&amp;"_CAD.dwg")</f>
        <v/>
      </c>
      <c r="AB289" s="10" t="str">
        <f aca="false">IF(A289="","",A289&amp;"_DWG.pdf")</f>
        <v/>
      </c>
      <c r="AC289" s="10" t="str">
        <f aca="false">IF(A289="","",IF(Y289="Y",A289&amp;"_STAAD.std","n/a"))</f>
        <v/>
      </c>
      <c r="AD289" s="10" t="str">
        <f aca="false">IF(A289="","",A289&amp;"_CALC.xlsx")</f>
        <v/>
      </c>
      <c r="AE289" s="10" t="str">
        <f aca="false">IF(A289="","",A289&amp;"_CALC.pdf")</f>
        <v/>
      </c>
      <c r="AF289" s="9"/>
      <c r="AG289" s="9"/>
      <c r="AH289" s="41"/>
      <c r="AI289" s="41"/>
      <c r="AJ289" s="41"/>
      <c r="AK289" s="41"/>
      <c r="AL289" s="41"/>
      <c r="AM289" s="37" t="str">
        <f aca="false">IF(OR(C289="",F289="",G289="",C289="Sump",C289="Drop Inlet Chamber",C289="Silt Trap",C289="Pipe Culvert",C289="Subsoil Drain"),"",ROUND(MAX(1,N(H289))*(1/SG_Criteria!$B$26)*((F289/1000)*(G289/1000*(1-SG_Criteria!$B$25)))*(((F289/1000)*(G289/1000*(1-SG_Criteria!$B$25)))/((F289/1000)+2*(G289/1000*(1-SG_Criteria!$B$25))))^(2/3)*(1/Design_Selector!$B$11)^0.5,3))</f>
        <v/>
      </c>
      <c r="AN289" s="11" t="str">
        <f aca="false">IF(AM289="","",ROUND(AM289/(MAX(1,N(H289))*F289/1000*(G289/1000*(1-SG_Criteria!$B$25))),2))</f>
        <v/>
      </c>
      <c r="AO289" s="38" t="str">
        <f aca="false">IF(C289="","",IF(LEN(IF(AND(OR(D289="Roadside drain",D289="Entrance culvert"),OR(F289&lt;SG_Criteria!$B$15,G289&lt;SG_Criteria!$B$16)),"FAIL: below PUB min "&amp;SG_Criteria!$B$15&amp;"x"&amp;SG_Criteria!$B$16&amp;" for roadside drain. ","")&amp;IF(AND(D289="Common drain",F289&lt;SG_Criteria!$B$17),"FAIL: common drain W &lt; "&amp;SG_Criteria!$B$17&amp;" mm. ","")&amp;IF(AND(N289&lt;&gt;"",IFERROR(VALUE(MID(N289,2,2)),0)&lt;SG_Criteria!$B$19),"FAIL: grade below C"&amp;SG_Criteria!$B$19&amp;". ","")&amp;IF(AND(O289&lt;&gt;"",O289&lt;SG_Criteria!$B$20),"FAIL: cover &lt; "&amp;SG_Criteria!$B$20&amp;" mm. ","")&amp;IF(AND(E289="Open",G289&gt;SG_Criteria!$B$18),"NOTE: safety railing required (D &gt; "&amp;SG_Criteria!$B$18&amp;" mm). ","")&amp;IF(AND(D289="Entrance culvert",G289&lt;600),"NOTE: check hinged grating rule for culverts &lt; 600 deep (PUB Add. 3). ",""))=0,"OK",IF(AND(OR(D289="Roadside drain",D289="Entrance culvert"),OR(F289&lt;SG_Criteria!$B$15,G289&lt;SG_Criteria!$B$16)),"FAIL: below PUB min "&amp;SG_Criteria!$B$15&amp;"x"&amp;SG_Criteria!$B$16&amp;" for roadside drain. ","")&amp;IF(AND(D289="Common drain",F289&lt;SG_Criteria!$B$17),"FAIL: common drain W &lt; "&amp;SG_Criteria!$B$17&amp;" mm. ","")&amp;IF(AND(N289&lt;&gt;"",IFERROR(VALUE(MID(N289,2,2)),0)&lt;SG_Criteria!$B$19),"FAIL: grade below C"&amp;SG_Criteria!$B$19&amp;". ","")&amp;IF(AND(O289&lt;&gt;"",O289&lt;SG_Criteria!$B$20),"FAIL: cover &lt; "&amp;SG_Criteria!$B$20&amp;" mm. ","")&amp;IF(AND(E289="Open",G289&gt;SG_Criteria!$B$18),"NOTE: safety railing required (D &gt; "&amp;SG_Criteria!$B$18&amp;" mm). ","")&amp;IF(AND(D289="Entrance culvert",G289&lt;600),"NOTE: check hinged grating rule for culverts &lt; 600 deep (PUB Add. 3). ","")))</f>
        <v/>
      </c>
      <c r="AP289" s="9"/>
      <c r="AQ289" s="9"/>
      <c r="AR289" s="9"/>
      <c r="AS289" s="9"/>
      <c r="AT289" s="9"/>
      <c r="AU289" s="31"/>
      <c r="AV289" s="10" t="str">
        <f aca="false">IF(C289="","",IF(AND(V289="Approved",ISERROR(SEARCH("FAIL",AO289))),"Y","N"))</f>
        <v/>
      </c>
      <c r="AW289" s="10" t="str">
        <f aca="false">IF(C289="","",C289&amp;"|"&amp;F289&amp;"|"&amp;G289&amp;"|"&amp;L289&amp;"|"&amp;AV289)</f>
        <v/>
      </c>
    </row>
    <row r="290" customFormat="false" ht="15" hidden="false" customHeight="false" outlineLevel="0" collapsed="false">
      <c r="A290" s="10" t="str">
        <f aca="false">IF(C290="","","DRN-"&amp;IFERROR(VLOOKUP(C290,Lists!$A$4:$B$27,2,0),"??")&amp;"-"&amp;TEXT(F290,"0000")&amp;"x"&amp;TEXT(G290,"0000")&amp;IF(N(H290)&gt;1,"-"&amp;H290&amp;"C","")&amp;"-"&amp;IFERROR(VLOOKUP(L290,Lists!$J$4:$K$19,2,0),"??")&amp;"-"&amp;U290)</f>
        <v/>
      </c>
      <c r="B290" s="10" t="str">
        <f aca="false">IF(C290="","",C290&amp;" "&amp;F290&amp;"W x "&amp;G290&amp;"D"&amp;IF(N(H290)&gt;1," ("&amp;H290&amp;" cells)","")&amp;", "&amp;D290&amp;", "&amp;L290&amp;", "&amp;E290)</f>
        <v/>
      </c>
      <c r="C290" s="9"/>
      <c r="D290" s="9"/>
      <c r="E290" s="9"/>
      <c r="F290" s="40"/>
      <c r="G290" s="40"/>
      <c r="H290" s="40"/>
      <c r="I290" s="40"/>
      <c r="J290" s="40"/>
      <c r="K290" s="40"/>
      <c r="L290" s="9"/>
      <c r="M290" s="9"/>
      <c r="N290" s="9"/>
      <c r="O290" s="40"/>
      <c r="P290" s="9"/>
      <c r="Q290" s="9"/>
      <c r="R290" s="9"/>
      <c r="S290" s="9"/>
      <c r="T290" s="9"/>
      <c r="U290" s="9"/>
      <c r="V290" s="9"/>
      <c r="W290" s="9"/>
      <c r="X290" s="9"/>
      <c r="Y290" s="9"/>
      <c r="Z290" s="10" t="str">
        <f aca="false">IF(A290="","",SG_Criteria!$B$6&amp;SG_Criteria!$B$7&amp;"\"&amp;A290&amp;"\")</f>
        <v/>
      </c>
      <c r="AA290" s="10" t="str">
        <f aca="false">IF(A290="","",A290&amp;"_CAD.dwg")</f>
        <v/>
      </c>
      <c r="AB290" s="10" t="str">
        <f aca="false">IF(A290="","",A290&amp;"_DWG.pdf")</f>
        <v/>
      </c>
      <c r="AC290" s="10" t="str">
        <f aca="false">IF(A290="","",IF(Y290="Y",A290&amp;"_STAAD.std","n/a"))</f>
        <v/>
      </c>
      <c r="AD290" s="10" t="str">
        <f aca="false">IF(A290="","",A290&amp;"_CALC.xlsx")</f>
        <v/>
      </c>
      <c r="AE290" s="10" t="str">
        <f aca="false">IF(A290="","",A290&amp;"_CALC.pdf")</f>
        <v/>
      </c>
      <c r="AF290" s="9"/>
      <c r="AG290" s="9"/>
      <c r="AH290" s="41"/>
      <c r="AI290" s="41"/>
      <c r="AJ290" s="41"/>
      <c r="AK290" s="41"/>
      <c r="AL290" s="41"/>
      <c r="AM290" s="37" t="str">
        <f aca="false">IF(OR(C290="",F290="",G290="",C290="Sump",C290="Drop Inlet Chamber",C290="Silt Trap",C290="Pipe Culvert",C290="Subsoil Drain"),"",ROUND(MAX(1,N(H290))*(1/SG_Criteria!$B$26)*((F290/1000)*(G290/1000*(1-SG_Criteria!$B$25)))*(((F290/1000)*(G290/1000*(1-SG_Criteria!$B$25)))/((F290/1000)+2*(G290/1000*(1-SG_Criteria!$B$25))))^(2/3)*(1/Design_Selector!$B$11)^0.5,3))</f>
        <v/>
      </c>
      <c r="AN290" s="11" t="str">
        <f aca="false">IF(AM290="","",ROUND(AM290/(MAX(1,N(H290))*F290/1000*(G290/1000*(1-SG_Criteria!$B$25))),2))</f>
        <v/>
      </c>
      <c r="AO290" s="38" t="str">
        <f aca="false">IF(C290="","",IF(LEN(IF(AND(OR(D290="Roadside drain",D290="Entrance culvert"),OR(F290&lt;SG_Criteria!$B$15,G290&lt;SG_Criteria!$B$16)),"FAIL: below PUB min "&amp;SG_Criteria!$B$15&amp;"x"&amp;SG_Criteria!$B$16&amp;" for roadside drain. ","")&amp;IF(AND(D290="Common drain",F290&lt;SG_Criteria!$B$17),"FAIL: common drain W &lt; "&amp;SG_Criteria!$B$17&amp;" mm. ","")&amp;IF(AND(N290&lt;&gt;"",IFERROR(VALUE(MID(N290,2,2)),0)&lt;SG_Criteria!$B$19),"FAIL: grade below C"&amp;SG_Criteria!$B$19&amp;". ","")&amp;IF(AND(O290&lt;&gt;"",O290&lt;SG_Criteria!$B$20),"FAIL: cover &lt; "&amp;SG_Criteria!$B$20&amp;" mm. ","")&amp;IF(AND(E290="Open",G290&gt;SG_Criteria!$B$18),"NOTE: safety railing required (D &gt; "&amp;SG_Criteria!$B$18&amp;" mm). ","")&amp;IF(AND(D290="Entrance culvert",G290&lt;600),"NOTE: check hinged grating rule for culverts &lt; 600 deep (PUB Add. 3). ",""))=0,"OK",IF(AND(OR(D290="Roadside drain",D290="Entrance culvert"),OR(F290&lt;SG_Criteria!$B$15,G290&lt;SG_Criteria!$B$16)),"FAIL: below PUB min "&amp;SG_Criteria!$B$15&amp;"x"&amp;SG_Criteria!$B$16&amp;" for roadside drain. ","")&amp;IF(AND(D290="Common drain",F290&lt;SG_Criteria!$B$17),"FAIL: common drain W &lt; "&amp;SG_Criteria!$B$17&amp;" mm. ","")&amp;IF(AND(N290&lt;&gt;"",IFERROR(VALUE(MID(N290,2,2)),0)&lt;SG_Criteria!$B$19),"FAIL: grade below C"&amp;SG_Criteria!$B$19&amp;". ","")&amp;IF(AND(O290&lt;&gt;"",O290&lt;SG_Criteria!$B$20),"FAIL: cover &lt; "&amp;SG_Criteria!$B$20&amp;" mm. ","")&amp;IF(AND(E290="Open",G290&gt;SG_Criteria!$B$18),"NOTE: safety railing required (D &gt; "&amp;SG_Criteria!$B$18&amp;" mm). ","")&amp;IF(AND(D290="Entrance culvert",G290&lt;600),"NOTE: check hinged grating rule for culverts &lt; 600 deep (PUB Add. 3). ","")))</f>
        <v/>
      </c>
      <c r="AP290" s="9"/>
      <c r="AQ290" s="9"/>
      <c r="AR290" s="9"/>
      <c r="AS290" s="9"/>
      <c r="AT290" s="9"/>
      <c r="AU290" s="31"/>
      <c r="AV290" s="10" t="str">
        <f aca="false">IF(C290="","",IF(AND(V290="Approved",ISERROR(SEARCH("FAIL",AO290))),"Y","N"))</f>
        <v/>
      </c>
      <c r="AW290" s="10" t="str">
        <f aca="false">IF(C290="","",C290&amp;"|"&amp;F290&amp;"|"&amp;G290&amp;"|"&amp;L290&amp;"|"&amp;AV290)</f>
        <v/>
      </c>
    </row>
    <row r="291" customFormat="false" ht="15" hidden="false" customHeight="false" outlineLevel="0" collapsed="false">
      <c r="A291" s="10" t="str">
        <f aca="false">IF(C291="","","DRN-"&amp;IFERROR(VLOOKUP(C291,Lists!$A$4:$B$27,2,0),"??")&amp;"-"&amp;TEXT(F291,"0000")&amp;"x"&amp;TEXT(G291,"0000")&amp;IF(N(H291)&gt;1,"-"&amp;H291&amp;"C","")&amp;"-"&amp;IFERROR(VLOOKUP(L291,Lists!$J$4:$K$19,2,0),"??")&amp;"-"&amp;U291)</f>
        <v/>
      </c>
      <c r="B291" s="10" t="str">
        <f aca="false">IF(C291="","",C291&amp;" "&amp;F291&amp;"W x "&amp;G291&amp;"D"&amp;IF(N(H291)&gt;1," ("&amp;H291&amp;" cells)","")&amp;", "&amp;D291&amp;", "&amp;L291&amp;", "&amp;E291)</f>
        <v/>
      </c>
      <c r="C291" s="9"/>
      <c r="D291" s="9"/>
      <c r="E291" s="9"/>
      <c r="F291" s="40"/>
      <c r="G291" s="40"/>
      <c r="H291" s="40"/>
      <c r="I291" s="40"/>
      <c r="J291" s="40"/>
      <c r="K291" s="40"/>
      <c r="L291" s="9"/>
      <c r="M291" s="9"/>
      <c r="N291" s="9"/>
      <c r="O291" s="40"/>
      <c r="P291" s="9"/>
      <c r="Q291" s="9"/>
      <c r="R291" s="9"/>
      <c r="S291" s="9"/>
      <c r="T291" s="9"/>
      <c r="U291" s="9"/>
      <c r="V291" s="9"/>
      <c r="W291" s="9"/>
      <c r="X291" s="9"/>
      <c r="Y291" s="9"/>
      <c r="Z291" s="10" t="str">
        <f aca="false">IF(A291="","",SG_Criteria!$B$6&amp;SG_Criteria!$B$7&amp;"\"&amp;A291&amp;"\")</f>
        <v/>
      </c>
      <c r="AA291" s="10" t="str">
        <f aca="false">IF(A291="","",A291&amp;"_CAD.dwg")</f>
        <v/>
      </c>
      <c r="AB291" s="10" t="str">
        <f aca="false">IF(A291="","",A291&amp;"_DWG.pdf")</f>
        <v/>
      </c>
      <c r="AC291" s="10" t="str">
        <f aca="false">IF(A291="","",IF(Y291="Y",A291&amp;"_STAAD.std","n/a"))</f>
        <v/>
      </c>
      <c r="AD291" s="10" t="str">
        <f aca="false">IF(A291="","",A291&amp;"_CALC.xlsx")</f>
        <v/>
      </c>
      <c r="AE291" s="10" t="str">
        <f aca="false">IF(A291="","",A291&amp;"_CALC.pdf")</f>
        <v/>
      </c>
      <c r="AF291" s="9"/>
      <c r="AG291" s="9"/>
      <c r="AH291" s="41"/>
      <c r="AI291" s="41"/>
      <c r="AJ291" s="41"/>
      <c r="AK291" s="41"/>
      <c r="AL291" s="41"/>
      <c r="AM291" s="37" t="str">
        <f aca="false">IF(OR(C291="",F291="",G291="",C291="Sump",C291="Drop Inlet Chamber",C291="Silt Trap",C291="Pipe Culvert",C291="Subsoil Drain"),"",ROUND(MAX(1,N(H291))*(1/SG_Criteria!$B$26)*((F291/1000)*(G291/1000*(1-SG_Criteria!$B$25)))*(((F291/1000)*(G291/1000*(1-SG_Criteria!$B$25)))/((F291/1000)+2*(G291/1000*(1-SG_Criteria!$B$25))))^(2/3)*(1/Design_Selector!$B$11)^0.5,3))</f>
        <v/>
      </c>
      <c r="AN291" s="11" t="str">
        <f aca="false">IF(AM291="","",ROUND(AM291/(MAX(1,N(H291))*F291/1000*(G291/1000*(1-SG_Criteria!$B$25))),2))</f>
        <v/>
      </c>
      <c r="AO291" s="38" t="str">
        <f aca="false">IF(C291="","",IF(LEN(IF(AND(OR(D291="Roadside drain",D291="Entrance culvert"),OR(F291&lt;SG_Criteria!$B$15,G291&lt;SG_Criteria!$B$16)),"FAIL: below PUB min "&amp;SG_Criteria!$B$15&amp;"x"&amp;SG_Criteria!$B$16&amp;" for roadside drain. ","")&amp;IF(AND(D291="Common drain",F291&lt;SG_Criteria!$B$17),"FAIL: common drain W &lt; "&amp;SG_Criteria!$B$17&amp;" mm. ","")&amp;IF(AND(N291&lt;&gt;"",IFERROR(VALUE(MID(N291,2,2)),0)&lt;SG_Criteria!$B$19),"FAIL: grade below C"&amp;SG_Criteria!$B$19&amp;". ","")&amp;IF(AND(O291&lt;&gt;"",O291&lt;SG_Criteria!$B$20),"FAIL: cover &lt; "&amp;SG_Criteria!$B$20&amp;" mm. ","")&amp;IF(AND(E291="Open",G291&gt;SG_Criteria!$B$18),"NOTE: safety railing required (D &gt; "&amp;SG_Criteria!$B$18&amp;" mm). ","")&amp;IF(AND(D291="Entrance culvert",G291&lt;600),"NOTE: check hinged grating rule for culverts &lt; 600 deep (PUB Add. 3). ",""))=0,"OK",IF(AND(OR(D291="Roadside drain",D291="Entrance culvert"),OR(F291&lt;SG_Criteria!$B$15,G291&lt;SG_Criteria!$B$16)),"FAIL: below PUB min "&amp;SG_Criteria!$B$15&amp;"x"&amp;SG_Criteria!$B$16&amp;" for roadside drain. ","")&amp;IF(AND(D291="Common drain",F291&lt;SG_Criteria!$B$17),"FAIL: common drain W &lt; "&amp;SG_Criteria!$B$17&amp;" mm. ","")&amp;IF(AND(N291&lt;&gt;"",IFERROR(VALUE(MID(N291,2,2)),0)&lt;SG_Criteria!$B$19),"FAIL: grade below C"&amp;SG_Criteria!$B$19&amp;". ","")&amp;IF(AND(O291&lt;&gt;"",O291&lt;SG_Criteria!$B$20),"FAIL: cover &lt; "&amp;SG_Criteria!$B$20&amp;" mm. ","")&amp;IF(AND(E291="Open",G291&gt;SG_Criteria!$B$18),"NOTE: safety railing required (D &gt; "&amp;SG_Criteria!$B$18&amp;" mm). ","")&amp;IF(AND(D291="Entrance culvert",G291&lt;600),"NOTE: check hinged grating rule for culverts &lt; 600 deep (PUB Add. 3). ","")))</f>
        <v/>
      </c>
      <c r="AP291" s="9"/>
      <c r="AQ291" s="9"/>
      <c r="AR291" s="9"/>
      <c r="AS291" s="9"/>
      <c r="AT291" s="9"/>
      <c r="AU291" s="31"/>
      <c r="AV291" s="10" t="str">
        <f aca="false">IF(C291="","",IF(AND(V291="Approved",ISERROR(SEARCH("FAIL",AO291))),"Y","N"))</f>
        <v/>
      </c>
      <c r="AW291" s="10" t="str">
        <f aca="false">IF(C291="","",C291&amp;"|"&amp;F291&amp;"|"&amp;G291&amp;"|"&amp;L291&amp;"|"&amp;AV291)</f>
        <v/>
      </c>
    </row>
    <row r="292" customFormat="false" ht="15" hidden="false" customHeight="false" outlineLevel="0" collapsed="false">
      <c r="A292" s="10" t="str">
        <f aca="false">IF(C292="","","DRN-"&amp;IFERROR(VLOOKUP(C292,Lists!$A$4:$B$27,2,0),"??")&amp;"-"&amp;TEXT(F292,"0000")&amp;"x"&amp;TEXT(G292,"0000")&amp;IF(N(H292)&gt;1,"-"&amp;H292&amp;"C","")&amp;"-"&amp;IFERROR(VLOOKUP(L292,Lists!$J$4:$K$19,2,0),"??")&amp;"-"&amp;U292)</f>
        <v/>
      </c>
      <c r="B292" s="10" t="str">
        <f aca="false">IF(C292="","",C292&amp;" "&amp;F292&amp;"W x "&amp;G292&amp;"D"&amp;IF(N(H292)&gt;1," ("&amp;H292&amp;" cells)","")&amp;", "&amp;D292&amp;", "&amp;L292&amp;", "&amp;E292)</f>
        <v/>
      </c>
      <c r="C292" s="9"/>
      <c r="D292" s="9"/>
      <c r="E292" s="9"/>
      <c r="F292" s="40"/>
      <c r="G292" s="40"/>
      <c r="H292" s="40"/>
      <c r="I292" s="40"/>
      <c r="J292" s="40"/>
      <c r="K292" s="40"/>
      <c r="L292" s="9"/>
      <c r="M292" s="9"/>
      <c r="N292" s="9"/>
      <c r="O292" s="40"/>
      <c r="P292" s="9"/>
      <c r="Q292" s="9"/>
      <c r="R292" s="9"/>
      <c r="S292" s="9"/>
      <c r="T292" s="9"/>
      <c r="U292" s="9"/>
      <c r="V292" s="9"/>
      <c r="W292" s="9"/>
      <c r="X292" s="9"/>
      <c r="Y292" s="9"/>
      <c r="Z292" s="10" t="str">
        <f aca="false">IF(A292="","",SG_Criteria!$B$6&amp;SG_Criteria!$B$7&amp;"\"&amp;A292&amp;"\")</f>
        <v/>
      </c>
      <c r="AA292" s="10" t="str">
        <f aca="false">IF(A292="","",A292&amp;"_CAD.dwg")</f>
        <v/>
      </c>
      <c r="AB292" s="10" t="str">
        <f aca="false">IF(A292="","",A292&amp;"_DWG.pdf")</f>
        <v/>
      </c>
      <c r="AC292" s="10" t="str">
        <f aca="false">IF(A292="","",IF(Y292="Y",A292&amp;"_STAAD.std","n/a"))</f>
        <v/>
      </c>
      <c r="AD292" s="10" t="str">
        <f aca="false">IF(A292="","",A292&amp;"_CALC.xlsx")</f>
        <v/>
      </c>
      <c r="AE292" s="10" t="str">
        <f aca="false">IF(A292="","",A292&amp;"_CALC.pdf")</f>
        <v/>
      </c>
      <c r="AF292" s="9"/>
      <c r="AG292" s="9"/>
      <c r="AH292" s="41"/>
      <c r="AI292" s="41"/>
      <c r="AJ292" s="41"/>
      <c r="AK292" s="41"/>
      <c r="AL292" s="41"/>
      <c r="AM292" s="37" t="str">
        <f aca="false">IF(OR(C292="",F292="",G292="",C292="Sump",C292="Drop Inlet Chamber",C292="Silt Trap",C292="Pipe Culvert",C292="Subsoil Drain"),"",ROUND(MAX(1,N(H292))*(1/SG_Criteria!$B$26)*((F292/1000)*(G292/1000*(1-SG_Criteria!$B$25)))*(((F292/1000)*(G292/1000*(1-SG_Criteria!$B$25)))/((F292/1000)+2*(G292/1000*(1-SG_Criteria!$B$25))))^(2/3)*(1/Design_Selector!$B$11)^0.5,3))</f>
        <v/>
      </c>
      <c r="AN292" s="11" t="str">
        <f aca="false">IF(AM292="","",ROUND(AM292/(MAX(1,N(H292))*F292/1000*(G292/1000*(1-SG_Criteria!$B$25))),2))</f>
        <v/>
      </c>
      <c r="AO292" s="38" t="str">
        <f aca="false">IF(C292="","",IF(LEN(IF(AND(OR(D292="Roadside drain",D292="Entrance culvert"),OR(F292&lt;SG_Criteria!$B$15,G292&lt;SG_Criteria!$B$16)),"FAIL: below PUB min "&amp;SG_Criteria!$B$15&amp;"x"&amp;SG_Criteria!$B$16&amp;" for roadside drain. ","")&amp;IF(AND(D292="Common drain",F292&lt;SG_Criteria!$B$17),"FAIL: common drain W &lt; "&amp;SG_Criteria!$B$17&amp;" mm. ","")&amp;IF(AND(N292&lt;&gt;"",IFERROR(VALUE(MID(N292,2,2)),0)&lt;SG_Criteria!$B$19),"FAIL: grade below C"&amp;SG_Criteria!$B$19&amp;". ","")&amp;IF(AND(O292&lt;&gt;"",O292&lt;SG_Criteria!$B$20),"FAIL: cover &lt; "&amp;SG_Criteria!$B$20&amp;" mm. ","")&amp;IF(AND(E292="Open",G292&gt;SG_Criteria!$B$18),"NOTE: safety railing required (D &gt; "&amp;SG_Criteria!$B$18&amp;" mm). ","")&amp;IF(AND(D292="Entrance culvert",G292&lt;600),"NOTE: check hinged grating rule for culverts &lt; 600 deep (PUB Add. 3). ",""))=0,"OK",IF(AND(OR(D292="Roadside drain",D292="Entrance culvert"),OR(F292&lt;SG_Criteria!$B$15,G292&lt;SG_Criteria!$B$16)),"FAIL: below PUB min "&amp;SG_Criteria!$B$15&amp;"x"&amp;SG_Criteria!$B$16&amp;" for roadside drain. ","")&amp;IF(AND(D292="Common drain",F292&lt;SG_Criteria!$B$17),"FAIL: common drain W &lt; "&amp;SG_Criteria!$B$17&amp;" mm. ","")&amp;IF(AND(N292&lt;&gt;"",IFERROR(VALUE(MID(N292,2,2)),0)&lt;SG_Criteria!$B$19),"FAIL: grade below C"&amp;SG_Criteria!$B$19&amp;". ","")&amp;IF(AND(O292&lt;&gt;"",O292&lt;SG_Criteria!$B$20),"FAIL: cover &lt; "&amp;SG_Criteria!$B$20&amp;" mm. ","")&amp;IF(AND(E292="Open",G292&gt;SG_Criteria!$B$18),"NOTE: safety railing required (D &gt; "&amp;SG_Criteria!$B$18&amp;" mm). ","")&amp;IF(AND(D292="Entrance culvert",G292&lt;600),"NOTE: check hinged grating rule for culverts &lt; 600 deep (PUB Add. 3). ","")))</f>
        <v/>
      </c>
      <c r="AP292" s="9"/>
      <c r="AQ292" s="9"/>
      <c r="AR292" s="9"/>
      <c r="AS292" s="9"/>
      <c r="AT292" s="9"/>
      <c r="AU292" s="31"/>
      <c r="AV292" s="10" t="str">
        <f aca="false">IF(C292="","",IF(AND(V292="Approved",ISERROR(SEARCH("FAIL",AO292))),"Y","N"))</f>
        <v/>
      </c>
      <c r="AW292" s="10" t="str">
        <f aca="false">IF(C292="","",C292&amp;"|"&amp;F292&amp;"|"&amp;G292&amp;"|"&amp;L292&amp;"|"&amp;AV292)</f>
        <v/>
      </c>
    </row>
    <row r="293" customFormat="false" ht="15" hidden="false" customHeight="false" outlineLevel="0" collapsed="false">
      <c r="A293" s="10" t="str">
        <f aca="false">IF(C293="","","DRN-"&amp;IFERROR(VLOOKUP(C293,Lists!$A$4:$B$27,2,0),"??")&amp;"-"&amp;TEXT(F293,"0000")&amp;"x"&amp;TEXT(G293,"0000")&amp;IF(N(H293)&gt;1,"-"&amp;H293&amp;"C","")&amp;"-"&amp;IFERROR(VLOOKUP(L293,Lists!$J$4:$K$19,2,0),"??")&amp;"-"&amp;U293)</f>
        <v/>
      </c>
      <c r="B293" s="10" t="str">
        <f aca="false">IF(C293="","",C293&amp;" "&amp;F293&amp;"W x "&amp;G293&amp;"D"&amp;IF(N(H293)&gt;1," ("&amp;H293&amp;" cells)","")&amp;", "&amp;D293&amp;", "&amp;L293&amp;", "&amp;E293)</f>
        <v/>
      </c>
      <c r="C293" s="9"/>
      <c r="D293" s="9"/>
      <c r="E293" s="9"/>
      <c r="F293" s="40"/>
      <c r="G293" s="40"/>
      <c r="H293" s="40"/>
      <c r="I293" s="40"/>
      <c r="J293" s="40"/>
      <c r="K293" s="40"/>
      <c r="L293" s="9"/>
      <c r="M293" s="9"/>
      <c r="N293" s="9"/>
      <c r="O293" s="40"/>
      <c r="P293" s="9"/>
      <c r="Q293" s="9"/>
      <c r="R293" s="9"/>
      <c r="S293" s="9"/>
      <c r="T293" s="9"/>
      <c r="U293" s="9"/>
      <c r="V293" s="9"/>
      <c r="W293" s="9"/>
      <c r="X293" s="9"/>
      <c r="Y293" s="9"/>
      <c r="Z293" s="10" t="str">
        <f aca="false">IF(A293="","",SG_Criteria!$B$6&amp;SG_Criteria!$B$7&amp;"\"&amp;A293&amp;"\")</f>
        <v/>
      </c>
      <c r="AA293" s="10" t="str">
        <f aca="false">IF(A293="","",A293&amp;"_CAD.dwg")</f>
        <v/>
      </c>
      <c r="AB293" s="10" t="str">
        <f aca="false">IF(A293="","",A293&amp;"_DWG.pdf")</f>
        <v/>
      </c>
      <c r="AC293" s="10" t="str">
        <f aca="false">IF(A293="","",IF(Y293="Y",A293&amp;"_STAAD.std","n/a"))</f>
        <v/>
      </c>
      <c r="AD293" s="10" t="str">
        <f aca="false">IF(A293="","",A293&amp;"_CALC.xlsx")</f>
        <v/>
      </c>
      <c r="AE293" s="10" t="str">
        <f aca="false">IF(A293="","",A293&amp;"_CALC.pdf")</f>
        <v/>
      </c>
      <c r="AF293" s="9"/>
      <c r="AG293" s="9"/>
      <c r="AH293" s="41"/>
      <c r="AI293" s="41"/>
      <c r="AJ293" s="41"/>
      <c r="AK293" s="41"/>
      <c r="AL293" s="41"/>
      <c r="AM293" s="37" t="str">
        <f aca="false">IF(OR(C293="",F293="",G293="",C293="Sump",C293="Drop Inlet Chamber",C293="Silt Trap",C293="Pipe Culvert",C293="Subsoil Drain"),"",ROUND(MAX(1,N(H293))*(1/SG_Criteria!$B$26)*((F293/1000)*(G293/1000*(1-SG_Criteria!$B$25)))*(((F293/1000)*(G293/1000*(1-SG_Criteria!$B$25)))/((F293/1000)+2*(G293/1000*(1-SG_Criteria!$B$25))))^(2/3)*(1/Design_Selector!$B$11)^0.5,3))</f>
        <v/>
      </c>
      <c r="AN293" s="11" t="str">
        <f aca="false">IF(AM293="","",ROUND(AM293/(MAX(1,N(H293))*F293/1000*(G293/1000*(1-SG_Criteria!$B$25))),2))</f>
        <v/>
      </c>
      <c r="AO293" s="38" t="str">
        <f aca="false">IF(C293="","",IF(LEN(IF(AND(OR(D293="Roadside drain",D293="Entrance culvert"),OR(F293&lt;SG_Criteria!$B$15,G293&lt;SG_Criteria!$B$16)),"FAIL: below PUB min "&amp;SG_Criteria!$B$15&amp;"x"&amp;SG_Criteria!$B$16&amp;" for roadside drain. ","")&amp;IF(AND(D293="Common drain",F293&lt;SG_Criteria!$B$17),"FAIL: common drain W &lt; "&amp;SG_Criteria!$B$17&amp;" mm. ","")&amp;IF(AND(N293&lt;&gt;"",IFERROR(VALUE(MID(N293,2,2)),0)&lt;SG_Criteria!$B$19),"FAIL: grade below C"&amp;SG_Criteria!$B$19&amp;". ","")&amp;IF(AND(O293&lt;&gt;"",O293&lt;SG_Criteria!$B$20),"FAIL: cover &lt; "&amp;SG_Criteria!$B$20&amp;" mm. ","")&amp;IF(AND(E293="Open",G293&gt;SG_Criteria!$B$18),"NOTE: safety railing required (D &gt; "&amp;SG_Criteria!$B$18&amp;" mm). ","")&amp;IF(AND(D293="Entrance culvert",G293&lt;600),"NOTE: check hinged grating rule for culverts &lt; 600 deep (PUB Add. 3). ",""))=0,"OK",IF(AND(OR(D293="Roadside drain",D293="Entrance culvert"),OR(F293&lt;SG_Criteria!$B$15,G293&lt;SG_Criteria!$B$16)),"FAIL: below PUB min "&amp;SG_Criteria!$B$15&amp;"x"&amp;SG_Criteria!$B$16&amp;" for roadside drain. ","")&amp;IF(AND(D293="Common drain",F293&lt;SG_Criteria!$B$17),"FAIL: common drain W &lt; "&amp;SG_Criteria!$B$17&amp;" mm. ","")&amp;IF(AND(N293&lt;&gt;"",IFERROR(VALUE(MID(N293,2,2)),0)&lt;SG_Criteria!$B$19),"FAIL: grade below C"&amp;SG_Criteria!$B$19&amp;". ","")&amp;IF(AND(O293&lt;&gt;"",O293&lt;SG_Criteria!$B$20),"FAIL: cover &lt; "&amp;SG_Criteria!$B$20&amp;" mm. ","")&amp;IF(AND(E293="Open",G293&gt;SG_Criteria!$B$18),"NOTE: safety railing required (D &gt; "&amp;SG_Criteria!$B$18&amp;" mm). ","")&amp;IF(AND(D293="Entrance culvert",G293&lt;600),"NOTE: check hinged grating rule for culverts &lt; 600 deep (PUB Add. 3). ","")))</f>
        <v/>
      </c>
      <c r="AP293" s="9"/>
      <c r="AQ293" s="9"/>
      <c r="AR293" s="9"/>
      <c r="AS293" s="9"/>
      <c r="AT293" s="9"/>
      <c r="AU293" s="31"/>
      <c r="AV293" s="10" t="str">
        <f aca="false">IF(C293="","",IF(AND(V293="Approved",ISERROR(SEARCH("FAIL",AO293))),"Y","N"))</f>
        <v/>
      </c>
      <c r="AW293" s="10" t="str">
        <f aca="false">IF(C293="","",C293&amp;"|"&amp;F293&amp;"|"&amp;G293&amp;"|"&amp;L293&amp;"|"&amp;AV293)</f>
        <v/>
      </c>
    </row>
    <row r="294" customFormat="false" ht="15" hidden="false" customHeight="false" outlineLevel="0" collapsed="false">
      <c r="A294" s="10" t="str">
        <f aca="false">IF(C294="","","DRN-"&amp;IFERROR(VLOOKUP(C294,Lists!$A$4:$B$27,2,0),"??")&amp;"-"&amp;TEXT(F294,"0000")&amp;"x"&amp;TEXT(G294,"0000")&amp;IF(N(H294)&gt;1,"-"&amp;H294&amp;"C","")&amp;"-"&amp;IFERROR(VLOOKUP(L294,Lists!$J$4:$K$19,2,0),"??")&amp;"-"&amp;U294)</f>
        <v/>
      </c>
      <c r="B294" s="10" t="str">
        <f aca="false">IF(C294="","",C294&amp;" "&amp;F294&amp;"W x "&amp;G294&amp;"D"&amp;IF(N(H294)&gt;1," ("&amp;H294&amp;" cells)","")&amp;", "&amp;D294&amp;", "&amp;L294&amp;", "&amp;E294)</f>
        <v/>
      </c>
      <c r="C294" s="9"/>
      <c r="D294" s="9"/>
      <c r="E294" s="9"/>
      <c r="F294" s="40"/>
      <c r="G294" s="40"/>
      <c r="H294" s="40"/>
      <c r="I294" s="40"/>
      <c r="J294" s="40"/>
      <c r="K294" s="40"/>
      <c r="L294" s="9"/>
      <c r="M294" s="9"/>
      <c r="N294" s="9"/>
      <c r="O294" s="40"/>
      <c r="P294" s="9"/>
      <c r="Q294" s="9"/>
      <c r="R294" s="9"/>
      <c r="S294" s="9"/>
      <c r="T294" s="9"/>
      <c r="U294" s="9"/>
      <c r="V294" s="9"/>
      <c r="W294" s="9"/>
      <c r="X294" s="9"/>
      <c r="Y294" s="9"/>
      <c r="Z294" s="10" t="str">
        <f aca="false">IF(A294="","",SG_Criteria!$B$6&amp;SG_Criteria!$B$7&amp;"\"&amp;A294&amp;"\")</f>
        <v/>
      </c>
      <c r="AA294" s="10" t="str">
        <f aca="false">IF(A294="","",A294&amp;"_CAD.dwg")</f>
        <v/>
      </c>
      <c r="AB294" s="10" t="str">
        <f aca="false">IF(A294="","",A294&amp;"_DWG.pdf")</f>
        <v/>
      </c>
      <c r="AC294" s="10" t="str">
        <f aca="false">IF(A294="","",IF(Y294="Y",A294&amp;"_STAAD.std","n/a"))</f>
        <v/>
      </c>
      <c r="AD294" s="10" t="str">
        <f aca="false">IF(A294="","",A294&amp;"_CALC.xlsx")</f>
        <v/>
      </c>
      <c r="AE294" s="10" t="str">
        <f aca="false">IF(A294="","",A294&amp;"_CALC.pdf")</f>
        <v/>
      </c>
      <c r="AF294" s="9"/>
      <c r="AG294" s="9"/>
      <c r="AH294" s="41"/>
      <c r="AI294" s="41"/>
      <c r="AJ294" s="41"/>
      <c r="AK294" s="41"/>
      <c r="AL294" s="41"/>
      <c r="AM294" s="37" t="str">
        <f aca="false">IF(OR(C294="",F294="",G294="",C294="Sump",C294="Drop Inlet Chamber",C294="Silt Trap",C294="Pipe Culvert",C294="Subsoil Drain"),"",ROUND(MAX(1,N(H294))*(1/SG_Criteria!$B$26)*((F294/1000)*(G294/1000*(1-SG_Criteria!$B$25)))*(((F294/1000)*(G294/1000*(1-SG_Criteria!$B$25)))/((F294/1000)+2*(G294/1000*(1-SG_Criteria!$B$25))))^(2/3)*(1/Design_Selector!$B$11)^0.5,3))</f>
        <v/>
      </c>
      <c r="AN294" s="11" t="str">
        <f aca="false">IF(AM294="","",ROUND(AM294/(MAX(1,N(H294))*F294/1000*(G294/1000*(1-SG_Criteria!$B$25))),2))</f>
        <v/>
      </c>
      <c r="AO294" s="38" t="str">
        <f aca="false">IF(C294="","",IF(LEN(IF(AND(OR(D294="Roadside drain",D294="Entrance culvert"),OR(F294&lt;SG_Criteria!$B$15,G294&lt;SG_Criteria!$B$16)),"FAIL: below PUB min "&amp;SG_Criteria!$B$15&amp;"x"&amp;SG_Criteria!$B$16&amp;" for roadside drain. ","")&amp;IF(AND(D294="Common drain",F294&lt;SG_Criteria!$B$17),"FAIL: common drain W &lt; "&amp;SG_Criteria!$B$17&amp;" mm. ","")&amp;IF(AND(N294&lt;&gt;"",IFERROR(VALUE(MID(N294,2,2)),0)&lt;SG_Criteria!$B$19),"FAIL: grade below C"&amp;SG_Criteria!$B$19&amp;". ","")&amp;IF(AND(O294&lt;&gt;"",O294&lt;SG_Criteria!$B$20),"FAIL: cover &lt; "&amp;SG_Criteria!$B$20&amp;" mm. ","")&amp;IF(AND(E294="Open",G294&gt;SG_Criteria!$B$18),"NOTE: safety railing required (D &gt; "&amp;SG_Criteria!$B$18&amp;" mm). ","")&amp;IF(AND(D294="Entrance culvert",G294&lt;600),"NOTE: check hinged grating rule for culverts &lt; 600 deep (PUB Add. 3). ",""))=0,"OK",IF(AND(OR(D294="Roadside drain",D294="Entrance culvert"),OR(F294&lt;SG_Criteria!$B$15,G294&lt;SG_Criteria!$B$16)),"FAIL: below PUB min "&amp;SG_Criteria!$B$15&amp;"x"&amp;SG_Criteria!$B$16&amp;" for roadside drain. ","")&amp;IF(AND(D294="Common drain",F294&lt;SG_Criteria!$B$17),"FAIL: common drain W &lt; "&amp;SG_Criteria!$B$17&amp;" mm. ","")&amp;IF(AND(N294&lt;&gt;"",IFERROR(VALUE(MID(N294,2,2)),0)&lt;SG_Criteria!$B$19),"FAIL: grade below C"&amp;SG_Criteria!$B$19&amp;". ","")&amp;IF(AND(O294&lt;&gt;"",O294&lt;SG_Criteria!$B$20),"FAIL: cover &lt; "&amp;SG_Criteria!$B$20&amp;" mm. ","")&amp;IF(AND(E294="Open",G294&gt;SG_Criteria!$B$18),"NOTE: safety railing required (D &gt; "&amp;SG_Criteria!$B$18&amp;" mm). ","")&amp;IF(AND(D294="Entrance culvert",G294&lt;600),"NOTE: check hinged grating rule for culverts &lt; 600 deep (PUB Add. 3). ","")))</f>
        <v/>
      </c>
      <c r="AP294" s="9"/>
      <c r="AQ294" s="9"/>
      <c r="AR294" s="9"/>
      <c r="AS294" s="9"/>
      <c r="AT294" s="9"/>
      <c r="AU294" s="31"/>
      <c r="AV294" s="10" t="str">
        <f aca="false">IF(C294="","",IF(AND(V294="Approved",ISERROR(SEARCH("FAIL",AO294))),"Y","N"))</f>
        <v/>
      </c>
      <c r="AW294" s="10" t="str">
        <f aca="false">IF(C294="","",C294&amp;"|"&amp;F294&amp;"|"&amp;G294&amp;"|"&amp;L294&amp;"|"&amp;AV294)</f>
        <v/>
      </c>
    </row>
    <row r="295" customFormat="false" ht="15" hidden="false" customHeight="false" outlineLevel="0" collapsed="false">
      <c r="A295" s="10" t="str">
        <f aca="false">IF(C295="","","DRN-"&amp;IFERROR(VLOOKUP(C295,Lists!$A$4:$B$27,2,0),"??")&amp;"-"&amp;TEXT(F295,"0000")&amp;"x"&amp;TEXT(G295,"0000")&amp;IF(N(H295)&gt;1,"-"&amp;H295&amp;"C","")&amp;"-"&amp;IFERROR(VLOOKUP(L295,Lists!$J$4:$K$19,2,0),"??")&amp;"-"&amp;U295)</f>
        <v/>
      </c>
      <c r="B295" s="10" t="str">
        <f aca="false">IF(C295="","",C295&amp;" "&amp;F295&amp;"W x "&amp;G295&amp;"D"&amp;IF(N(H295)&gt;1," ("&amp;H295&amp;" cells)","")&amp;", "&amp;D295&amp;", "&amp;L295&amp;", "&amp;E295)</f>
        <v/>
      </c>
      <c r="C295" s="9"/>
      <c r="D295" s="9"/>
      <c r="E295" s="9"/>
      <c r="F295" s="40"/>
      <c r="G295" s="40"/>
      <c r="H295" s="40"/>
      <c r="I295" s="40"/>
      <c r="J295" s="40"/>
      <c r="K295" s="40"/>
      <c r="L295" s="9"/>
      <c r="M295" s="9"/>
      <c r="N295" s="9"/>
      <c r="O295" s="40"/>
      <c r="P295" s="9"/>
      <c r="Q295" s="9"/>
      <c r="R295" s="9"/>
      <c r="S295" s="9"/>
      <c r="T295" s="9"/>
      <c r="U295" s="9"/>
      <c r="V295" s="9"/>
      <c r="W295" s="9"/>
      <c r="X295" s="9"/>
      <c r="Y295" s="9"/>
      <c r="Z295" s="10" t="str">
        <f aca="false">IF(A295="","",SG_Criteria!$B$6&amp;SG_Criteria!$B$7&amp;"\"&amp;A295&amp;"\")</f>
        <v/>
      </c>
      <c r="AA295" s="10" t="str">
        <f aca="false">IF(A295="","",A295&amp;"_CAD.dwg")</f>
        <v/>
      </c>
      <c r="AB295" s="10" t="str">
        <f aca="false">IF(A295="","",A295&amp;"_DWG.pdf")</f>
        <v/>
      </c>
      <c r="AC295" s="10" t="str">
        <f aca="false">IF(A295="","",IF(Y295="Y",A295&amp;"_STAAD.std","n/a"))</f>
        <v/>
      </c>
      <c r="AD295" s="10" t="str">
        <f aca="false">IF(A295="","",A295&amp;"_CALC.xlsx")</f>
        <v/>
      </c>
      <c r="AE295" s="10" t="str">
        <f aca="false">IF(A295="","",A295&amp;"_CALC.pdf")</f>
        <v/>
      </c>
      <c r="AF295" s="9"/>
      <c r="AG295" s="9"/>
      <c r="AH295" s="41"/>
      <c r="AI295" s="41"/>
      <c r="AJ295" s="41"/>
      <c r="AK295" s="41"/>
      <c r="AL295" s="41"/>
      <c r="AM295" s="37" t="str">
        <f aca="false">IF(OR(C295="",F295="",G295="",C295="Sump",C295="Drop Inlet Chamber",C295="Silt Trap",C295="Pipe Culvert",C295="Subsoil Drain"),"",ROUND(MAX(1,N(H295))*(1/SG_Criteria!$B$26)*((F295/1000)*(G295/1000*(1-SG_Criteria!$B$25)))*(((F295/1000)*(G295/1000*(1-SG_Criteria!$B$25)))/((F295/1000)+2*(G295/1000*(1-SG_Criteria!$B$25))))^(2/3)*(1/Design_Selector!$B$11)^0.5,3))</f>
        <v/>
      </c>
      <c r="AN295" s="11" t="str">
        <f aca="false">IF(AM295="","",ROUND(AM295/(MAX(1,N(H295))*F295/1000*(G295/1000*(1-SG_Criteria!$B$25))),2))</f>
        <v/>
      </c>
      <c r="AO295" s="38" t="str">
        <f aca="false">IF(C295="","",IF(LEN(IF(AND(OR(D295="Roadside drain",D295="Entrance culvert"),OR(F295&lt;SG_Criteria!$B$15,G295&lt;SG_Criteria!$B$16)),"FAIL: below PUB min "&amp;SG_Criteria!$B$15&amp;"x"&amp;SG_Criteria!$B$16&amp;" for roadside drain. ","")&amp;IF(AND(D295="Common drain",F295&lt;SG_Criteria!$B$17),"FAIL: common drain W &lt; "&amp;SG_Criteria!$B$17&amp;" mm. ","")&amp;IF(AND(N295&lt;&gt;"",IFERROR(VALUE(MID(N295,2,2)),0)&lt;SG_Criteria!$B$19),"FAIL: grade below C"&amp;SG_Criteria!$B$19&amp;". ","")&amp;IF(AND(O295&lt;&gt;"",O295&lt;SG_Criteria!$B$20),"FAIL: cover &lt; "&amp;SG_Criteria!$B$20&amp;" mm. ","")&amp;IF(AND(E295="Open",G295&gt;SG_Criteria!$B$18),"NOTE: safety railing required (D &gt; "&amp;SG_Criteria!$B$18&amp;" mm). ","")&amp;IF(AND(D295="Entrance culvert",G295&lt;600),"NOTE: check hinged grating rule for culverts &lt; 600 deep (PUB Add. 3). ",""))=0,"OK",IF(AND(OR(D295="Roadside drain",D295="Entrance culvert"),OR(F295&lt;SG_Criteria!$B$15,G295&lt;SG_Criteria!$B$16)),"FAIL: below PUB min "&amp;SG_Criteria!$B$15&amp;"x"&amp;SG_Criteria!$B$16&amp;" for roadside drain. ","")&amp;IF(AND(D295="Common drain",F295&lt;SG_Criteria!$B$17),"FAIL: common drain W &lt; "&amp;SG_Criteria!$B$17&amp;" mm. ","")&amp;IF(AND(N295&lt;&gt;"",IFERROR(VALUE(MID(N295,2,2)),0)&lt;SG_Criteria!$B$19),"FAIL: grade below C"&amp;SG_Criteria!$B$19&amp;". ","")&amp;IF(AND(O295&lt;&gt;"",O295&lt;SG_Criteria!$B$20),"FAIL: cover &lt; "&amp;SG_Criteria!$B$20&amp;" mm. ","")&amp;IF(AND(E295="Open",G295&gt;SG_Criteria!$B$18),"NOTE: safety railing required (D &gt; "&amp;SG_Criteria!$B$18&amp;" mm). ","")&amp;IF(AND(D295="Entrance culvert",G295&lt;600),"NOTE: check hinged grating rule for culverts &lt; 600 deep (PUB Add. 3). ","")))</f>
        <v/>
      </c>
      <c r="AP295" s="9"/>
      <c r="AQ295" s="9"/>
      <c r="AR295" s="9"/>
      <c r="AS295" s="9"/>
      <c r="AT295" s="9"/>
      <c r="AU295" s="31"/>
      <c r="AV295" s="10" t="str">
        <f aca="false">IF(C295="","",IF(AND(V295="Approved",ISERROR(SEARCH("FAIL",AO295))),"Y","N"))</f>
        <v/>
      </c>
      <c r="AW295" s="10" t="str">
        <f aca="false">IF(C295="","",C295&amp;"|"&amp;F295&amp;"|"&amp;G295&amp;"|"&amp;L295&amp;"|"&amp;AV295)</f>
        <v/>
      </c>
    </row>
    <row r="296" customFormat="false" ht="15" hidden="false" customHeight="false" outlineLevel="0" collapsed="false">
      <c r="A296" s="10" t="str">
        <f aca="false">IF(C296="","","DRN-"&amp;IFERROR(VLOOKUP(C296,Lists!$A$4:$B$27,2,0),"??")&amp;"-"&amp;TEXT(F296,"0000")&amp;"x"&amp;TEXT(G296,"0000")&amp;IF(N(H296)&gt;1,"-"&amp;H296&amp;"C","")&amp;"-"&amp;IFERROR(VLOOKUP(L296,Lists!$J$4:$K$19,2,0),"??")&amp;"-"&amp;U296)</f>
        <v/>
      </c>
      <c r="B296" s="10" t="str">
        <f aca="false">IF(C296="","",C296&amp;" "&amp;F296&amp;"W x "&amp;G296&amp;"D"&amp;IF(N(H296)&gt;1," ("&amp;H296&amp;" cells)","")&amp;", "&amp;D296&amp;", "&amp;L296&amp;", "&amp;E296)</f>
        <v/>
      </c>
      <c r="C296" s="9"/>
      <c r="D296" s="9"/>
      <c r="E296" s="9"/>
      <c r="F296" s="40"/>
      <c r="G296" s="40"/>
      <c r="H296" s="40"/>
      <c r="I296" s="40"/>
      <c r="J296" s="40"/>
      <c r="K296" s="40"/>
      <c r="L296" s="9"/>
      <c r="M296" s="9"/>
      <c r="N296" s="9"/>
      <c r="O296" s="40"/>
      <c r="P296" s="9"/>
      <c r="Q296" s="9"/>
      <c r="R296" s="9"/>
      <c r="S296" s="9"/>
      <c r="T296" s="9"/>
      <c r="U296" s="9"/>
      <c r="V296" s="9"/>
      <c r="W296" s="9"/>
      <c r="X296" s="9"/>
      <c r="Y296" s="9"/>
      <c r="Z296" s="10" t="str">
        <f aca="false">IF(A296="","",SG_Criteria!$B$6&amp;SG_Criteria!$B$7&amp;"\"&amp;A296&amp;"\")</f>
        <v/>
      </c>
      <c r="AA296" s="10" t="str">
        <f aca="false">IF(A296="","",A296&amp;"_CAD.dwg")</f>
        <v/>
      </c>
      <c r="AB296" s="10" t="str">
        <f aca="false">IF(A296="","",A296&amp;"_DWG.pdf")</f>
        <v/>
      </c>
      <c r="AC296" s="10" t="str">
        <f aca="false">IF(A296="","",IF(Y296="Y",A296&amp;"_STAAD.std","n/a"))</f>
        <v/>
      </c>
      <c r="AD296" s="10" t="str">
        <f aca="false">IF(A296="","",A296&amp;"_CALC.xlsx")</f>
        <v/>
      </c>
      <c r="AE296" s="10" t="str">
        <f aca="false">IF(A296="","",A296&amp;"_CALC.pdf")</f>
        <v/>
      </c>
      <c r="AF296" s="9"/>
      <c r="AG296" s="9"/>
      <c r="AH296" s="41"/>
      <c r="AI296" s="41"/>
      <c r="AJ296" s="41"/>
      <c r="AK296" s="41"/>
      <c r="AL296" s="41"/>
      <c r="AM296" s="37" t="str">
        <f aca="false">IF(OR(C296="",F296="",G296="",C296="Sump",C296="Drop Inlet Chamber",C296="Silt Trap",C296="Pipe Culvert",C296="Subsoil Drain"),"",ROUND(MAX(1,N(H296))*(1/SG_Criteria!$B$26)*((F296/1000)*(G296/1000*(1-SG_Criteria!$B$25)))*(((F296/1000)*(G296/1000*(1-SG_Criteria!$B$25)))/((F296/1000)+2*(G296/1000*(1-SG_Criteria!$B$25))))^(2/3)*(1/Design_Selector!$B$11)^0.5,3))</f>
        <v/>
      </c>
      <c r="AN296" s="11" t="str">
        <f aca="false">IF(AM296="","",ROUND(AM296/(MAX(1,N(H296))*F296/1000*(G296/1000*(1-SG_Criteria!$B$25))),2))</f>
        <v/>
      </c>
      <c r="AO296" s="38" t="str">
        <f aca="false">IF(C296="","",IF(LEN(IF(AND(OR(D296="Roadside drain",D296="Entrance culvert"),OR(F296&lt;SG_Criteria!$B$15,G296&lt;SG_Criteria!$B$16)),"FAIL: below PUB min "&amp;SG_Criteria!$B$15&amp;"x"&amp;SG_Criteria!$B$16&amp;" for roadside drain. ","")&amp;IF(AND(D296="Common drain",F296&lt;SG_Criteria!$B$17),"FAIL: common drain W &lt; "&amp;SG_Criteria!$B$17&amp;" mm. ","")&amp;IF(AND(N296&lt;&gt;"",IFERROR(VALUE(MID(N296,2,2)),0)&lt;SG_Criteria!$B$19),"FAIL: grade below C"&amp;SG_Criteria!$B$19&amp;". ","")&amp;IF(AND(O296&lt;&gt;"",O296&lt;SG_Criteria!$B$20),"FAIL: cover &lt; "&amp;SG_Criteria!$B$20&amp;" mm. ","")&amp;IF(AND(E296="Open",G296&gt;SG_Criteria!$B$18),"NOTE: safety railing required (D &gt; "&amp;SG_Criteria!$B$18&amp;" mm). ","")&amp;IF(AND(D296="Entrance culvert",G296&lt;600),"NOTE: check hinged grating rule for culverts &lt; 600 deep (PUB Add. 3). ",""))=0,"OK",IF(AND(OR(D296="Roadside drain",D296="Entrance culvert"),OR(F296&lt;SG_Criteria!$B$15,G296&lt;SG_Criteria!$B$16)),"FAIL: below PUB min "&amp;SG_Criteria!$B$15&amp;"x"&amp;SG_Criteria!$B$16&amp;" for roadside drain. ","")&amp;IF(AND(D296="Common drain",F296&lt;SG_Criteria!$B$17),"FAIL: common drain W &lt; "&amp;SG_Criteria!$B$17&amp;" mm. ","")&amp;IF(AND(N296&lt;&gt;"",IFERROR(VALUE(MID(N296,2,2)),0)&lt;SG_Criteria!$B$19),"FAIL: grade below C"&amp;SG_Criteria!$B$19&amp;". ","")&amp;IF(AND(O296&lt;&gt;"",O296&lt;SG_Criteria!$B$20),"FAIL: cover &lt; "&amp;SG_Criteria!$B$20&amp;" mm. ","")&amp;IF(AND(E296="Open",G296&gt;SG_Criteria!$B$18),"NOTE: safety railing required (D &gt; "&amp;SG_Criteria!$B$18&amp;" mm). ","")&amp;IF(AND(D296="Entrance culvert",G296&lt;600),"NOTE: check hinged grating rule for culverts &lt; 600 deep (PUB Add. 3). ","")))</f>
        <v/>
      </c>
      <c r="AP296" s="9"/>
      <c r="AQ296" s="9"/>
      <c r="AR296" s="9"/>
      <c r="AS296" s="9"/>
      <c r="AT296" s="9"/>
      <c r="AU296" s="31"/>
      <c r="AV296" s="10" t="str">
        <f aca="false">IF(C296="","",IF(AND(V296="Approved",ISERROR(SEARCH("FAIL",AO296))),"Y","N"))</f>
        <v/>
      </c>
      <c r="AW296" s="10" t="str">
        <f aca="false">IF(C296="","",C296&amp;"|"&amp;F296&amp;"|"&amp;G296&amp;"|"&amp;L296&amp;"|"&amp;AV296)</f>
        <v/>
      </c>
    </row>
    <row r="297" customFormat="false" ht="15" hidden="false" customHeight="false" outlineLevel="0" collapsed="false">
      <c r="A297" s="10" t="str">
        <f aca="false">IF(C297="","","DRN-"&amp;IFERROR(VLOOKUP(C297,Lists!$A$4:$B$27,2,0),"??")&amp;"-"&amp;TEXT(F297,"0000")&amp;"x"&amp;TEXT(G297,"0000")&amp;IF(N(H297)&gt;1,"-"&amp;H297&amp;"C","")&amp;"-"&amp;IFERROR(VLOOKUP(L297,Lists!$J$4:$K$19,2,0),"??")&amp;"-"&amp;U297)</f>
        <v/>
      </c>
      <c r="B297" s="10" t="str">
        <f aca="false">IF(C297="","",C297&amp;" "&amp;F297&amp;"W x "&amp;G297&amp;"D"&amp;IF(N(H297)&gt;1," ("&amp;H297&amp;" cells)","")&amp;", "&amp;D297&amp;", "&amp;L297&amp;", "&amp;E297)</f>
        <v/>
      </c>
      <c r="C297" s="9"/>
      <c r="D297" s="9"/>
      <c r="E297" s="9"/>
      <c r="F297" s="40"/>
      <c r="G297" s="40"/>
      <c r="H297" s="40"/>
      <c r="I297" s="40"/>
      <c r="J297" s="40"/>
      <c r="K297" s="40"/>
      <c r="L297" s="9"/>
      <c r="M297" s="9"/>
      <c r="N297" s="9"/>
      <c r="O297" s="40"/>
      <c r="P297" s="9"/>
      <c r="Q297" s="9"/>
      <c r="R297" s="9"/>
      <c r="S297" s="9"/>
      <c r="T297" s="9"/>
      <c r="U297" s="9"/>
      <c r="V297" s="9"/>
      <c r="W297" s="9"/>
      <c r="X297" s="9"/>
      <c r="Y297" s="9"/>
      <c r="Z297" s="10" t="str">
        <f aca="false">IF(A297="","",SG_Criteria!$B$6&amp;SG_Criteria!$B$7&amp;"\"&amp;A297&amp;"\")</f>
        <v/>
      </c>
      <c r="AA297" s="10" t="str">
        <f aca="false">IF(A297="","",A297&amp;"_CAD.dwg")</f>
        <v/>
      </c>
      <c r="AB297" s="10" t="str">
        <f aca="false">IF(A297="","",A297&amp;"_DWG.pdf")</f>
        <v/>
      </c>
      <c r="AC297" s="10" t="str">
        <f aca="false">IF(A297="","",IF(Y297="Y",A297&amp;"_STAAD.std","n/a"))</f>
        <v/>
      </c>
      <c r="AD297" s="10" t="str">
        <f aca="false">IF(A297="","",A297&amp;"_CALC.xlsx")</f>
        <v/>
      </c>
      <c r="AE297" s="10" t="str">
        <f aca="false">IF(A297="","",A297&amp;"_CALC.pdf")</f>
        <v/>
      </c>
      <c r="AF297" s="9"/>
      <c r="AG297" s="9"/>
      <c r="AH297" s="41"/>
      <c r="AI297" s="41"/>
      <c r="AJ297" s="41"/>
      <c r="AK297" s="41"/>
      <c r="AL297" s="41"/>
      <c r="AM297" s="37" t="str">
        <f aca="false">IF(OR(C297="",F297="",G297="",C297="Sump",C297="Drop Inlet Chamber",C297="Silt Trap",C297="Pipe Culvert",C297="Subsoil Drain"),"",ROUND(MAX(1,N(H297))*(1/SG_Criteria!$B$26)*((F297/1000)*(G297/1000*(1-SG_Criteria!$B$25)))*(((F297/1000)*(G297/1000*(1-SG_Criteria!$B$25)))/((F297/1000)+2*(G297/1000*(1-SG_Criteria!$B$25))))^(2/3)*(1/Design_Selector!$B$11)^0.5,3))</f>
        <v/>
      </c>
      <c r="AN297" s="11" t="str">
        <f aca="false">IF(AM297="","",ROUND(AM297/(MAX(1,N(H297))*F297/1000*(G297/1000*(1-SG_Criteria!$B$25))),2))</f>
        <v/>
      </c>
      <c r="AO297" s="38" t="str">
        <f aca="false">IF(C297="","",IF(LEN(IF(AND(OR(D297="Roadside drain",D297="Entrance culvert"),OR(F297&lt;SG_Criteria!$B$15,G297&lt;SG_Criteria!$B$16)),"FAIL: below PUB min "&amp;SG_Criteria!$B$15&amp;"x"&amp;SG_Criteria!$B$16&amp;" for roadside drain. ","")&amp;IF(AND(D297="Common drain",F297&lt;SG_Criteria!$B$17),"FAIL: common drain W &lt; "&amp;SG_Criteria!$B$17&amp;" mm. ","")&amp;IF(AND(N297&lt;&gt;"",IFERROR(VALUE(MID(N297,2,2)),0)&lt;SG_Criteria!$B$19),"FAIL: grade below C"&amp;SG_Criteria!$B$19&amp;". ","")&amp;IF(AND(O297&lt;&gt;"",O297&lt;SG_Criteria!$B$20),"FAIL: cover &lt; "&amp;SG_Criteria!$B$20&amp;" mm. ","")&amp;IF(AND(E297="Open",G297&gt;SG_Criteria!$B$18),"NOTE: safety railing required (D &gt; "&amp;SG_Criteria!$B$18&amp;" mm). ","")&amp;IF(AND(D297="Entrance culvert",G297&lt;600),"NOTE: check hinged grating rule for culverts &lt; 600 deep (PUB Add. 3). ",""))=0,"OK",IF(AND(OR(D297="Roadside drain",D297="Entrance culvert"),OR(F297&lt;SG_Criteria!$B$15,G297&lt;SG_Criteria!$B$16)),"FAIL: below PUB min "&amp;SG_Criteria!$B$15&amp;"x"&amp;SG_Criteria!$B$16&amp;" for roadside drain. ","")&amp;IF(AND(D297="Common drain",F297&lt;SG_Criteria!$B$17),"FAIL: common drain W &lt; "&amp;SG_Criteria!$B$17&amp;" mm. ","")&amp;IF(AND(N297&lt;&gt;"",IFERROR(VALUE(MID(N297,2,2)),0)&lt;SG_Criteria!$B$19),"FAIL: grade below C"&amp;SG_Criteria!$B$19&amp;". ","")&amp;IF(AND(O297&lt;&gt;"",O297&lt;SG_Criteria!$B$20),"FAIL: cover &lt; "&amp;SG_Criteria!$B$20&amp;" mm. ","")&amp;IF(AND(E297="Open",G297&gt;SG_Criteria!$B$18),"NOTE: safety railing required (D &gt; "&amp;SG_Criteria!$B$18&amp;" mm). ","")&amp;IF(AND(D297="Entrance culvert",G297&lt;600),"NOTE: check hinged grating rule for culverts &lt; 600 deep (PUB Add. 3). ","")))</f>
        <v/>
      </c>
      <c r="AP297" s="9"/>
      <c r="AQ297" s="9"/>
      <c r="AR297" s="9"/>
      <c r="AS297" s="9"/>
      <c r="AT297" s="9"/>
      <c r="AU297" s="31"/>
      <c r="AV297" s="10" t="str">
        <f aca="false">IF(C297="","",IF(AND(V297="Approved",ISERROR(SEARCH("FAIL",AO297))),"Y","N"))</f>
        <v/>
      </c>
      <c r="AW297" s="10" t="str">
        <f aca="false">IF(C297="","",C297&amp;"|"&amp;F297&amp;"|"&amp;G297&amp;"|"&amp;L297&amp;"|"&amp;AV297)</f>
        <v/>
      </c>
    </row>
    <row r="298" customFormat="false" ht="15" hidden="false" customHeight="false" outlineLevel="0" collapsed="false">
      <c r="A298" s="10" t="str">
        <f aca="false">IF(C298="","","DRN-"&amp;IFERROR(VLOOKUP(C298,Lists!$A$4:$B$27,2,0),"??")&amp;"-"&amp;TEXT(F298,"0000")&amp;"x"&amp;TEXT(G298,"0000")&amp;IF(N(H298)&gt;1,"-"&amp;H298&amp;"C","")&amp;"-"&amp;IFERROR(VLOOKUP(L298,Lists!$J$4:$K$19,2,0),"??")&amp;"-"&amp;U298)</f>
        <v/>
      </c>
      <c r="B298" s="10" t="str">
        <f aca="false">IF(C298="","",C298&amp;" "&amp;F298&amp;"W x "&amp;G298&amp;"D"&amp;IF(N(H298)&gt;1," ("&amp;H298&amp;" cells)","")&amp;", "&amp;D298&amp;", "&amp;L298&amp;", "&amp;E298)</f>
        <v/>
      </c>
      <c r="C298" s="9"/>
      <c r="D298" s="9"/>
      <c r="E298" s="9"/>
      <c r="F298" s="40"/>
      <c r="G298" s="40"/>
      <c r="H298" s="40"/>
      <c r="I298" s="40"/>
      <c r="J298" s="40"/>
      <c r="K298" s="40"/>
      <c r="L298" s="9"/>
      <c r="M298" s="9"/>
      <c r="N298" s="9"/>
      <c r="O298" s="40"/>
      <c r="P298" s="9"/>
      <c r="Q298" s="9"/>
      <c r="R298" s="9"/>
      <c r="S298" s="9"/>
      <c r="T298" s="9"/>
      <c r="U298" s="9"/>
      <c r="V298" s="9"/>
      <c r="W298" s="9"/>
      <c r="X298" s="9"/>
      <c r="Y298" s="9"/>
      <c r="Z298" s="10" t="str">
        <f aca="false">IF(A298="","",SG_Criteria!$B$6&amp;SG_Criteria!$B$7&amp;"\"&amp;A298&amp;"\")</f>
        <v/>
      </c>
      <c r="AA298" s="10" t="str">
        <f aca="false">IF(A298="","",A298&amp;"_CAD.dwg")</f>
        <v/>
      </c>
      <c r="AB298" s="10" t="str">
        <f aca="false">IF(A298="","",A298&amp;"_DWG.pdf")</f>
        <v/>
      </c>
      <c r="AC298" s="10" t="str">
        <f aca="false">IF(A298="","",IF(Y298="Y",A298&amp;"_STAAD.std","n/a"))</f>
        <v/>
      </c>
      <c r="AD298" s="10" t="str">
        <f aca="false">IF(A298="","",A298&amp;"_CALC.xlsx")</f>
        <v/>
      </c>
      <c r="AE298" s="10" t="str">
        <f aca="false">IF(A298="","",A298&amp;"_CALC.pdf")</f>
        <v/>
      </c>
      <c r="AF298" s="9"/>
      <c r="AG298" s="9"/>
      <c r="AH298" s="41"/>
      <c r="AI298" s="41"/>
      <c r="AJ298" s="41"/>
      <c r="AK298" s="41"/>
      <c r="AL298" s="41"/>
      <c r="AM298" s="37" t="str">
        <f aca="false">IF(OR(C298="",F298="",G298="",C298="Sump",C298="Drop Inlet Chamber",C298="Silt Trap",C298="Pipe Culvert",C298="Subsoil Drain"),"",ROUND(MAX(1,N(H298))*(1/SG_Criteria!$B$26)*((F298/1000)*(G298/1000*(1-SG_Criteria!$B$25)))*(((F298/1000)*(G298/1000*(1-SG_Criteria!$B$25)))/((F298/1000)+2*(G298/1000*(1-SG_Criteria!$B$25))))^(2/3)*(1/Design_Selector!$B$11)^0.5,3))</f>
        <v/>
      </c>
      <c r="AN298" s="11" t="str">
        <f aca="false">IF(AM298="","",ROUND(AM298/(MAX(1,N(H298))*F298/1000*(G298/1000*(1-SG_Criteria!$B$25))),2))</f>
        <v/>
      </c>
      <c r="AO298" s="38" t="str">
        <f aca="false">IF(C298="","",IF(LEN(IF(AND(OR(D298="Roadside drain",D298="Entrance culvert"),OR(F298&lt;SG_Criteria!$B$15,G298&lt;SG_Criteria!$B$16)),"FAIL: below PUB min "&amp;SG_Criteria!$B$15&amp;"x"&amp;SG_Criteria!$B$16&amp;" for roadside drain. ","")&amp;IF(AND(D298="Common drain",F298&lt;SG_Criteria!$B$17),"FAIL: common drain W &lt; "&amp;SG_Criteria!$B$17&amp;" mm. ","")&amp;IF(AND(N298&lt;&gt;"",IFERROR(VALUE(MID(N298,2,2)),0)&lt;SG_Criteria!$B$19),"FAIL: grade below C"&amp;SG_Criteria!$B$19&amp;". ","")&amp;IF(AND(O298&lt;&gt;"",O298&lt;SG_Criteria!$B$20),"FAIL: cover &lt; "&amp;SG_Criteria!$B$20&amp;" mm. ","")&amp;IF(AND(E298="Open",G298&gt;SG_Criteria!$B$18),"NOTE: safety railing required (D &gt; "&amp;SG_Criteria!$B$18&amp;" mm). ","")&amp;IF(AND(D298="Entrance culvert",G298&lt;600),"NOTE: check hinged grating rule for culverts &lt; 600 deep (PUB Add. 3). ",""))=0,"OK",IF(AND(OR(D298="Roadside drain",D298="Entrance culvert"),OR(F298&lt;SG_Criteria!$B$15,G298&lt;SG_Criteria!$B$16)),"FAIL: below PUB min "&amp;SG_Criteria!$B$15&amp;"x"&amp;SG_Criteria!$B$16&amp;" for roadside drain. ","")&amp;IF(AND(D298="Common drain",F298&lt;SG_Criteria!$B$17),"FAIL: common drain W &lt; "&amp;SG_Criteria!$B$17&amp;" mm. ","")&amp;IF(AND(N298&lt;&gt;"",IFERROR(VALUE(MID(N298,2,2)),0)&lt;SG_Criteria!$B$19),"FAIL: grade below C"&amp;SG_Criteria!$B$19&amp;". ","")&amp;IF(AND(O298&lt;&gt;"",O298&lt;SG_Criteria!$B$20),"FAIL: cover &lt; "&amp;SG_Criteria!$B$20&amp;" mm. ","")&amp;IF(AND(E298="Open",G298&gt;SG_Criteria!$B$18),"NOTE: safety railing required (D &gt; "&amp;SG_Criteria!$B$18&amp;" mm). ","")&amp;IF(AND(D298="Entrance culvert",G298&lt;600),"NOTE: check hinged grating rule for culverts &lt; 600 deep (PUB Add. 3). ","")))</f>
        <v/>
      </c>
      <c r="AP298" s="9"/>
      <c r="AQ298" s="9"/>
      <c r="AR298" s="9"/>
      <c r="AS298" s="9"/>
      <c r="AT298" s="9"/>
      <c r="AU298" s="31"/>
      <c r="AV298" s="10" t="str">
        <f aca="false">IF(C298="","",IF(AND(V298="Approved",ISERROR(SEARCH("FAIL",AO298))),"Y","N"))</f>
        <v/>
      </c>
      <c r="AW298" s="10" t="str">
        <f aca="false">IF(C298="","",C298&amp;"|"&amp;F298&amp;"|"&amp;G298&amp;"|"&amp;L298&amp;"|"&amp;AV298)</f>
        <v/>
      </c>
    </row>
    <row r="299" customFormat="false" ht="15" hidden="false" customHeight="false" outlineLevel="0" collapsed="false">
      <c r="A299" s="10" t="str">
        <f aca="false">IF(C299="","","DRN-"&amp;IFERROR(VLOOKUP(C299,Lists!$A$4:$B$27,2,0),"??")&amp;"-"&amp;TEXT(F299,"0000")&amp;"x"&amp;TEXT(G299,"0000")&amp;IF(N(H299)&gt;1,"-"&amp;H299&amp;"C","")&amp;"-"&amp;IFERROR(VLOOKUP(L299,Lists!$J$4:$K$19,2,0),"??")&amp;"-"&amp;U299)</f>
        <v/>
      </c>
      <c r="B299" s="10" t="str">
        <f aca="false">IF(C299="","",C299&amp;" "&amp;F299&amp;"W x "&amp;G299&amp;"D"&amp;IF(N(H299)&gt;1," ("&amp;H299&amp;" cells)","")&amp;", "&amp;D299&amp;", "&amp;L299&amp;", "&amp;E299)</f>
        <v/>
      </c>
      <c r="C299" s="9"/>
      <c r="D299" s="9"/>
      <c r="E299" s="9"/>
      <c r="F299" s="40"/>
      <c r="G299" s="40"/>
      <c r="H299" s="40"/>
      <c r="I299" s="40"/>
      <c r="J299" s="40"/>
      <c r="K299" s="40"/>
      <c r="L299" s="9"/>
      <c r="M299" s="9"/>
      <c r="N299" s="9"/>
      <c r="O299" s="40"/>
      <c r="P299" s="9"/>
      <c r="Q299" s="9"/>
      <c r="R299" s="9"/>
      <c r="S299" s="9"/>
      <c r="T299" s="9"/>
      <c r="U299" s="9"/>
      <c r="V299" s="9"/>
      <c r="W299" s="9"/>
      <c r="X299" s="9"/>
      <c r="Y299" s="9"/>
      <c r="Z299" s="10" t="str">
        <f aca="false">IF(A299="","",SG_Criteria!$B$6&amp;SG_Criteria!$B$7&amp;"\"&amp;A299&amp;"\")</f>
        <v/>
      </c>
      <c r="AA299" s="10" t="str">
        <f aca="false">IF(A299="","",A299&amp;"_CAD.dwg")</f>
        <v/>
      </c>
      <c r="AB299" s="10" t="str">
        <f aca="false">IF(A299="","",A299&amp;"_DWG.pdf")</f>
        <v/>
      </c>
      <c r="AC299" s="10" t="str">
        <f aca="false">IF(A299="","",IF(Y299="Y",A299&amp;"_STAAD.std","n/a"))</f>
        <v/>
      </c>
      <c r="AD299" s="10" t="str">
        <f aca="false">IF(A299="","",A299&amp;"_CALC.xlsx")</f>
        <v/>
      </c>
      <c r="AE299" s="10" t="str">
        <f aca="false">IF(A299="","",A299&amp;"_CALC.pdf")</f>
        <v/>
      </c>
      <c r="AF299" s="9"/>
      <c r="AG299" s="9"/>
      <c r="AH299" s="41"/>
      <c r="AI299" s="41"/>
      <c r="AJ299" s="41"/>
      <c r="AK299" s="41"/>
      <c r="AL299" s="41"/>
      <c r="AM299" s="37" t="str">
        <f aca="false">IF(OR(C299="",F299="",G299="",C299="Sump",C299="Drop Inlet Chamber",C299="Silt Trap",C299="Pipe Culvert",C299="Subsoil Drain"),"",ROUND(MAX(1,N(H299))*(1/SG_Criteria!$B$26)*((F299/1000)*(G299/1000*(1-SG_Criteria!$B$25)))*(((F299/1000)*(G299/1000*(1-SG_Criteria!$B$25)))/((F299/1000)+2*(G299/1000*(1-SG_Criteria!$B$25))))^(2/3)*(1/Design_Selector!$B$11)^0.5,3))</f>
        <v/>
      </c>
      <c r="AN299" s="11" t="str">
        <f aca="false">IF(AM299="","",ROUND(AM299/(MAX(1,N(H299))*F299/1000*(G299/1000*(1-SG_Criteria!$B$25))),2))</f>
        <v/>
      </c>
      <c r="AO299" s="38" t="str">
        <f aca="false">IF(C299="","",IF(LEN(IF(AND(OR(D299="Roadside drain",D299="Entrance culvert"),OR(F299&lt;SG_Criteria!$B$15,G299&lt;SG_Criteria!$B$16)),"FAIL: below PUB min "&amp;SG_Criteria!$B$15&amp;"x"&amp;SG_Criteria!$B$16&amp;" for roadside drain. ","")&amp;IF(AND(D299="Common drain",F299&lt;SG_Criteria!$B$17),"FAIL: common drain W &lt; "&amp;SG_Criteria!$B$17&amp;" mm. ","")&amp;IF(AND(N299&lt;&gt;"",IFERROR(VALUE(MID(N299,2,2)),0)&lt;SG_Criteria!$B$19),"FAIL: grade below C"&amp;SG_Criteria!$B$19&amp;". ","")&amp;IF(AND(O299&lt;&gt;"",O299&lt;SG_Criteria!$B$20),"FAIL: cover &lt; "&amp;SG_Criteria!$B$20&amp;" mm. ","")&amp;IF(AND(E299="Open",G299&gt;SG_Criteria!$B$18),"NOTE: safety railing required (D &gt; "&amp;SG_Criteria!$B$18&amp;" mm). ","")&amp;IF(AND(D299="Entrance culvert",G299&lt;600),"NOTE: check hinged grating rule for culverts &lt; 600 deep (PUB Add. 3). ",""))=0,"OK",IF(AND(OR(D299="Roadside drain",D299="Entrance culvert"),OR(F299&lt;SG_Criteria!$B$15,G299&lt;SG_Criteria!$B$16)),"FAIL: below PUB min "&amp;SG_Criteria!$B$15&amp;"x"&amp;SG_Criteria!$B$16&amp;" for roadside drain. ","")&amp;IF(AND(D299="Common drain",F299&lt;SG_Criteria!$B$17),"FAIL: common drain W &lt; "&amp;SG_Criteria!$B$17&amp;" mm. ","")&amp;IF(AND(N299&lt;&gt;"",IFERROR(VALUE(MID(N299,2,2)),0)&lt;SG_Criteria!$B$19),"FAIL: grade below C"&amp;SG_Criteria!$B$19&amp;". ","")&amp;IF(AND(O299&lt;&gt;"",O299&lt;SG_Criteria!$B$20),"FAIL: cover &lt; "&amp;SG_Criteria!$B$20&amp;" mm. ","")&amp;IF(AND(E299="Open",G299&gt;SG_Criteria!$B$18),"NOTE: safety railing required (D &gt; "&amp;SG_Criteria!$B$18&amp;" mm). ","")&amp;IF(AND(D299="Entrance culvert",G299&lt;600),"NOTE: check hinged grating rule for culverts &lt; 600 deep (PUB Add. 3). ","")))</f>
        <v/>
      </c>
      <c r="AP299" s="9"/>
      <c r="AQ299" s="9"/>
      <c r="AR299" s="9"/>
      <c r="AS299" s="9"/>
      <c r="AT299" s="9"/>
      <c r="AU299" s="31"/>
      <c r="AV299" s="10" t="str">
        <f aca="false">IF(C299="","",IF(AND(V299="Approved",ISERROR(SEARCH("FAIL",AO299))),"Y","N"))</f>
        <v/>
      </c>
      <c r="AW299" s="10" t="str">
        <f aca="false">IF(C299="","",C299&amp;"|"&amp;F299&amp;"|"&amp;G299&amp;"|"&amp;L299&amp;"|"&amp;AV299)</f>
        <v/>
      </c>
    </row>
    <row r="300" customFormat="false" ht="15" hidden="false" customHeight="false" outlineLevel="0" collapsed="false">
      <c r="A300" s="10" t="str">
        <f aca="false">IF(C300="","","DRN-"&amp;IFERROR(VLOOKUP(C300,Lists!$A$4:$B$27,2,0),"??")&amp;"-"&amp;TEXT(F300,"0000")&amp;"x"&amp;TEXT(G300,"0000")&amp;IF(N(H300)&gt;1,"-"&amp;H300&amp;"C","")&amp;"-"&amp;IFERROR(VLOOKUP(L300,Lists!$J$4:$K$19,2,0),"??")&amp;"-"&amp;U300)</f>
        <v/>
      </c>
      <c r="B300" s="10" t="str">
        <f aca="false">IF(C300="","",C300&amp;" "&amp;F300&amp;"W x "&amp;G300&amp;"D"&amp;IF(N(H300)&gt;1," ("&amp;H300&amp;" cells)","")&amp;", "&amp;D300&amp;", "&amp;L300&amp;", "&amp;E300)</f>
        <v/>
      </c>
      <c r="C300" s="9"/>
      <c r="D300" s="9"/>
      <c r="E300" s="9"/>
      <c r="F300" s="40"/>
      <c r="G300" s="40"/>
      <c r="H300" s="40"/>
      <c r="I300" s="40"/>
      <c r="J300" s="40"/>
      <c r="K300" s="40"/>
      <c r="L300" s="9"/>
      <c r="M300" s="9"/>
      <c r="N300" s="9"/>
      <c r="O300" s="40"/>
      <c r="P300" s="9"/>
      <c r="Q300" s="9"/>
      <c r="R300" s="9"/>
      <c r="S300" s="9"/>
      <c r="T300" s="9"/>
      <c r="U300" s="9"/>
      <c r="V300" s="9"/>
      <c r="W300" s="9"/>
      <c r="X300" s="9"/>
      <c r="Y300" s="9"/>
      <c r="Z300" s="10" t="str">
        <f aca="false">IF(A300="","",SG_Criteria!$B$6&amp;SG_Criteria!$B$7&amp;"\"&amp;A300&amp;"\")</f>
        <v/>
      </c>
      <c r="AA300" s="10" t="str">
        <f aca="false">IF(A300="","",A300&amp;"_CAD.dwg")</f>
        <v/>
      </c>
      <c r="AB300" s="10" t="str">
        <f aca="false">IF(A300="","",A300&amp;"_DWG.pdf")</f>
        <v/>
      </c>
      <c r="AC300" s="10" t="str">
        <f aca="false">IF(A300="","",IF(Y300="Y",A300&amp;"_STAAD.std","n/a"))</f>
        <v/>
      </c>
      <c r="AD300" s="10" t="str">
        <f aca="false">IF(A300="","",A300&amp;"_CALC.xlsx")</f>
        <v/>
      </c>
      <c r="AE300" s="10" t="str">
        <f aca="false">IF(A300="","",A300&amp;"_CALC.pdf")</f>
        <v/>
      </c>
      <c r="AF300" s="9"/>
      <c r="AG300" s="9"/>
      <c r="AH300" s="41"/>
      <c r="AI300" s="41"/>
      <c r="AJ300" s="41"/>
      <c r="AK300" s="41"/>
      <c r="AL300" s="41"/>
      <c r="AM300" s="37" t="str">
        <f aca="false">IF(OR(C300="",F300="",G300="",C300="Sump",C300="Drop Inlet Chamber",C300="Silt Trap",C300="Pipe Culvert",C300="Subsoil Drain"),"",ROUND(MAX(1,N(H300))*(1/SG_Criteria!$B$26)*((F300/1000)*(G300/1000*(1-SG_Criteria!$B$25)))*(((F300/1000)*(G300/1000*(1-SG_Criteria!$B$25)))/((F300/1000)+2*(G300/1000*(1-SG_Criteria!$B$25))))^(2/3)*(1/Design_Selector!$B$11)^0.5,3))</f>
        <v/>
      </c>
      <c r="AN300" s="11" t="str">
        <f aca="false">IF(AM300="","",ROUND(AM300/(MAX(1,N(H300))*F300/1000*(G300/1000*(1-SG_Criteria!$B$25))),2))</f>
        <v/>
      </c>
      <c r="AO300" s="38" t="str">
        <f aca="false">IF(C300="","",IF(LEN(IF(AND(OR(D300="Roadside drain",D300="Entrance culvert"),OR(F300&lt;SG_Criteria!$B$15,G300&lt;SG_Criteria!$B$16)),"FAIL: below PUB min "&amp;SG_Criteria!$B$15&amp;"x"&amp;SG_Criteria!$B$16&amp;" for roadside drain. ","")&amp;IF(AND(D300="Common drain",F300&lt;SG_Criteria!$B$17),"FAIL: common drain W &lt; "&amp;SG_Criteria!$B$17&amp;" mm. ","")&amp;IF(AND(N300&lt;&gt;"",IFERROR(VALUE(MID(N300,2,2)),0)&lt;SG_Criteria!$B$19),"FAIL: grade below C"&amp;SG_Criteria!$B$19&amp;". ","")&amp;IF(AND(O300&lt;&gt;"",O300&lt;SG_Criteria!$B$20),"FAIL: cover &lt; "&amp;SG_Criteria!$B$20&amp;" mm. ","")&amp;IF(AND(E300="Open",G300&gt;SG_Criteria!$B$18),"NOTE: safety railing required (D &gt; "&amp;SG_Criteria!$B$18&amp;" mm). ","")&amp;IF(AND(D300="Entrance culvert",G300&lt;600),"NOTE: check hinged grating rule for culverts &lt; 600 deep (PUB Add. 3). ",""))=0,"OK",IF(AND(OR(D300="Roadside drain",D300="Entrance culvert"),OR(F300&lt;SG_Criteria!$B$15,G300&lt;SG_Criteria!$B$16)),"FAIL: below PUB min "&amp;SG_Criteria!$B$15&amp;"x"&amp;SG_Criteria!$B$16&amp;" for roadside drain. ","")&amp;IF(AND(D300="Common drain",F300&lt;SG_Criteria!$B$17),"FAIL: common drain W &lt; "&amp;SG_Criteria!$B$17&amp;" mm. ","")&amp;IF(AND(N300&lt;&gt;"",IFERROR(VALUE(MID(N300,2,2)),0)&lt;SG_Criteria!$B$19),"FAIL: grade below C"&amp;SG_Criteria!$B$19&amp;". ","")&amp;IF(AND(O300&lt;&gt;"",O300&lt;SG_Criteria!$B$20),"FAIL: cover &lt; "&amp;SG_Criteria!$B$20&amp;" mm. ","")&amp;IF(AND(E300="Open",G300&gt;SG_Criteria!$B$18),"NOTE: safety railing required (D &gt; "&amp;SG_Criteria!$B$18&amp;" mm). ","")&amp;IF(AND(D300="Entrance culvert",G300&lt;600),"NOTE: check hinged grating rule for culverts &lt; 600 deep (PUB Add. 3). ","")))</f>
        <v/>
      </c>
      <c r="AP300" s="9"/>
      <c r="AQ300" s="9"/>
      <c r="AR300" s="9"/>
      <c r="AS300" s="9"/>
      <c r="AT300" s="9"/>
      <c r="AU300" s="31"/>
      <c r="AV300" s="10" t="str">
        <f aca="false">IF(C300="","",IF(AND(V300="Approved",ISERROR(SEARCH("FAIL",AO300))),"Y","N"))</f>
        <v/>
      </c>
      <c r="AW300" s="10" t="str">
        <f aca="false">IF(C300="","",C300&amp;"|"&amp;F300&amp;"|"&amp;G300&amp;"|"&amp;L300&amp;"|"&amp;AV300)</f>
        <v/>
      </c>
    </row>
    <row r="301" customFormat="false" ht="15" hidden="false" customHeight="false" outlineLevel="0" collapsed="false">
      <c r="A301" s="10" t="str">
        <f aca="false">IF(C301="","","DRN-"&amp;IFERROR(VLOOKUP(C301,Lists!$A$4:$B$27,2,0),"??")&amp;"-"&amp;TEXT(F301,"0000")&amp;"x"&amp;TEXT(G301,"0000")&amp;IF(N(H301)&gt;1,"-"&amp;H301&amp;"C","")&amp;"-"&amp;IFERROR(VLOOKUP(L301,Lists!$J$4:$K$19,2,0),"??")&amp;"-"&amp;U301)</f>
        <v/>
      </c>
      <c r="B301" s="10" t="str">
        <f aca="false">IF(C301="","",C301&amp;" "&amp;F301&amp;"W x "&amp;G301&amp;"D"&amp;IF(N(H301)&gt;1," ("&amp;H301&amp;" cells)","")&amp;", "&amp;D301&amp;", "&amp;L301&amp;", "&amp;E301)</f>
        <v/>
      </c>
      <c r="C301" s="9"/>
      <c r="D301" s="9"/>
      <c r="E301" s="9"/>
      <c r="F301" s="40"/>
      <c r="G301" s="40"/>
      <c r="H301" s="40"/>
      <c r="I301" s="40"/>
      <c r="J301" s="40"/>
      <c r="K301" s="40"/>
      <c r="L301" s="9"/>
      <c r="M301" s="9"/>
      <c r="N301" s="9"/>
      <c r="O301" s="40"/>
      <c r="P301" s="9"/>
      <c r="Q301" s="9"/>
      <c r="R301" s="9"/>
      <c r="S301" s="9"/>
      <c r="T301" s="9"/>
      <c r="U301" s="9"/>
      <c r="V301" s="9"/>
      <c r="W301" s="9"/>
      <c r="X301" s="9"/>
      <c r="Y301" s="9"/>
      <c r="Z301" s="10" t="str">
        <f aca="false">IF(A301="","",SG_Criteria!$B$6&amp;SG_Criteria!$B$7&amp;"\"&amp;A301&amp;"\")</f>
        <v/>
      </c>
      <c r="AA301" s="10" t="str">
        <f aca="false">IF(A301="","",A301&amp;"_CAD.dwg")</f>
        <v/>
      </c>
      <c r="AB301" s="10" t="str">
        <f aca="false">IF(A301="","",A301&amp;"_DWG.pdf")</f>
        <v/>
      </c>
      <c r="AC301" s="10" t="str">
        <f aca="false">IF(A301="","",IF(Y301="Y",A301&amp;"_STAAD.std","n/a"))</f>
        <v/>
      </c>
      <c r="AD301" s="10" t="str">
        <f aca="false">IF(A301="","",A301&amp;"_CALC.xlsx")</f>
        <v/>
      </c>
      <c r="AE301" s="10" t="str">
        <f aca="false">IF(A301="","",A301&amp;"_CALC.pdf")</f>
        <v/>
      </c>
      <c r="AF301" s="9"/>
      <c r="AG301" s="9"/>
      <c r="AH301" s="41"/>
      <c r="AI301" s="41"/>
      <c r="AJ301" s="41"/>
      <c r="AK301" s="41"/>
      <c r="AL301" s="41"/>
      <c r="AM301" s="37" t="str">
        <f aca="false">IF(OR(C301="",F301="",G301="",C301="Sump",C301="Drop Inlet Chamber",C301="Silt Trap",C301="Pipe Culvert",C301="Subsoil Drain"),"",ROUND(MAX(1,N(H301))*(1/SG_Criteria!$B$26)*((F301/1000)*(G301/1000*(1-SG_Criteria!$B$25)))*(((F301/1000)*(G301/1000*(1-SG_Criteria!$B$25)))/((F301/1000)+2*(G301/1000*(1-SG_Criteria!$B$25))))^(2/3)*(1/Design_Selector!$B$11)^0.5,3))</f>
        <v/>
      </c>
      <c r="AN301" s="11" t="str">
        <f aca="false">IF(AM301="","",ROUND(AM301/(MAX(1,N(H301))*F301/1000*(G301/1000*(1-SG_Criteria!$B$25))),2))</f>
        <v/>
      </c>
      <c r="AO301" s="38" t="str">
        <f aca="false">IF(C301="","",IF(LEN(IF(AND(OR(D301="Roadside drain",D301="Entrance culvert"),OR(F301&lt;SG_Criteria!$B$15,G301&lt;SG_Criteria!$B$16)),"FAIL: below PUB min "&amp;SG_Criteria!$B$15&amp;"x"&amp;SG_Criteria!$B$16&amp;" for roadside drain. ","")&amp;IF(AND(D301="Common drain",F301&lt;SG_Criteria!$B$17),"FAIL: common drain W &lt; "&amp;SG_Criteria!$B$17&amp;" mm. ","")&amp;IF(AND(N301&lt;&gt;"",IFERROR(VALUE(MID(N301,2,2)),0)&lt;SG_Criteria!$B$19),"FAIL: grade below C"&amp;SG_Criteria!$B$19&amp;". ","")&amp;IF(AND(O301&lt;&gt;"",O301&lt;SG_Criteria!$B$20),"FAIL: cover &lt; "&amp;SG_Criteria!$B$20&amp;" mm. ","")&amp;IF(AND(E301="Open",G301&gt;SG_Criteria!$B$18),"NOTE: safety railing required (D &gt; "&amp;SG_Criteria!$B$18&amp;" mm). ","")&amp;IF(AND(D301="Entrance culvert",G301&lt;600),"NOTE: check hinged grating rule for culverts &lt; 600 deep (PUB Add. 3). ",""))=0,"OK",IF(AND(OR(D301="Roadside drain",D301="Entrance culvert"),OR(F301&lt;SG_Criteria!$B$15,G301&lt;SG_Criteria!$B$16)),"FAIL: below PUB min "&amp;SG_Criteria!$B$15&amp;"x"&amp;SG_Criteria!$B$16&amp;" for roadside drain. ","")&amp;IF(AND(D301="Common drain",F301&lt;SG_Criteria!$B$17),"FAIL: common drain W &lt; "&amp;SG_Criteria!$B$17&amp;" mm. ","")&amp;IF(AND(N301&lt;&gt;"",IFERROR(VALUE(MID(N301,2,2)),0)&lt;SG_Criteria!$B$19),"FAIL: grade below C"&amp;SG_Criteria!$B$19&amp;". ","")&amp;IF(AND(O301&lt;&gt;"",O301&lt;SG_Criteria!$B$20),"FAIL: cover &lt; "&amp;SG_Criteria!$B$20&amp;" mm. ","")&amp;IF(AND(E301="Open",G301&gt;SG_Criteria!$B$18),"NOTE: safety railing required (D &gt; "&amp;SG_Criteria!$B$18&amp;" mm). ","")&amp;IF(AND(D301="Entrance culvert",G301&lt;600),"NOTE: check hinged grating rule for culverts &lt; 600 deep (PUB Add. 3). ","")))</f>
        <v/>
      </c>
      <c r="AP301" s="9"/>
      <c r="AQ301" s="9"/>
      <c r="AR301" s="9"/>
      <c r="AS301" s="9"/>
      <c r="AT301" s="9"/>
      <c r="AU301" s="31"/>
      <c r="AV301" s="10" t="str">
        <f aca="false">IF(C301="","",IF(AND(V301="Approved",ISERROR(SEARCH("FAIL",AO301))),"Y","N"))</f>
        <v/>
      </c>
      <c r="AW301" s="10" t="str">
        <f aca="false">IF(C301="","",C301&amp;"|"&amp;F301&amp;"|"&amp;G301&amp;"|"&amp;L301&amp;"|"&amp;AV301)</f>
        <v/>
      </c>
    </row>
    <row r="302" customFormat="false" ht="15" hidden="false" customHeight="false" outlineLevel="0" collapsed="false">
      <c r="A302" s="10" t="str">
        <f aca="false">IF(C302="","","DRN-"&amp;IFERROR(VLOOKUP(C302,Lists!$A$4:$B$27,2,0),"??")&amp;"-"&amp;TEXT(F302,"0000")&amp;"x"&amp;TEXT(G302,"0000")&amp;IF(N(H302)&gt;1,"-"&amp;H302&amp;"C","")&amp;"-"&amp;IFERROR(VLOOKUP(L302,Lists!$J$4:$K$19,2,0),"??")&amp;"-"&amp;U302)</f>
        <v/>
      </c>
      <c r="B302" s="10" t="str">
        <f aca="false">IF(C302="","",C302&amp;" "&amp;F302&amp;"W x "&amp;G302&amp;"D"&amp;IF(N(H302)&gt;1," ("&amp;H302&amp;" cells)","")&amp;", "&amp;D302&amp;", "&amp;L302&amp;", "&amp;E302)</f>
        <v/>
      </c>
      <c r="C302" s="9"/>
      <c r="D302" s="9"/>
      <c r="E302" s="9"/>
      <c r="F302" s="40"/>
      <c r="G302" s="40"/>
      <c r="H302" s="40"/>
      <c r="I302" s="40"/>
      <c r="J302" s="40"/>
      <c r="K302" s="40"/>
      <c r="L302" s="9"/>
      <c r="M302" s="9"/>
      <c r="N302" s="9"/>
      <c r="O302" s="40"/>
      <c r="P302" s="9"/>
      <c r="Q302" s="9"/>
      <c r="R302" s="9"/>
      <c r="S302" s="9"/>
      <c r="T302" s="9"/>
      <c r="U302" s="9"/>
      <c r="V302" s="9"/>
      <c r="W302" s="9"/>
      <c r="X302" s="9"/>
      <c r="Y302" s="9"/>
      <c r="Z302" s="10" t="str">
        <f aca="false">IF(A302="","",SG_Criteria!$B$6&amp;SG_Criteria!$B$7&amp;"\"&amp;A302&amp;"\")</f>
        <v/>
      </c>
      <c r="AA302" s="10" t="str">
        <f aca="false">IF(A302="","",A302&amp;"_CAD.dwg")</f>
        <v/>
      </c>
      <c r="AB302" s="10" t="str">
        <f aca="false">IF(A302="","",A302&amp;"_DWG.pdf")</f>
        <v/>
      </c>
      <c r="AC302" s="10" t="str">
        <f aca="false">IF(A302="","",IF(Y302="Y",A302&amp;"_STAAD.std","n/a"))</f>
        <v/>
      </c>
      <c r="AD302" s="10" t="str">
        <f aca="false">IF(A302="","",A302&amp;"_CALC.xlsx")</f>
        <v/>
      </c>
      <c r="AE302" s="10" t="str">
        <f aca="false">IF(A302="","",A302&amp;"_CALC.pdf")</f>
        <v/>
      </c>
      <c r="AF302" s="9"/>
      <c r="AG302" s="9"/>
      <c r="AH302" s="41"/>
      <c r="AI302" s="41"/>
      <c r="AJ302" s="41"/>
      <c r="AK302" s="41"/>
      <c r="AL302" s="41"/>
      <c r="AM302" s="37" t="str">
        <f aca="false">IF(OR(C302="",F302="",G302="",C302="Sump",C302="Drop Inlet Chamber",C302="Silt Trap",C302="Pipe Culvert",C302="Subsoil Drain"),"",ROUND(MAX(1,N(H302))*(1/SG_Criteria!$B$26)*((F302/1000)*(G302/1000*(1-SG_Criteria!$B$25)))*(((F302/1000)*(G302/1000*(1-SG_Criteria!$B$25)))/((F302/1000)+2*(G302/1000*(1-SG_Criteria!$B$25))))^(2/3)*(1/Design_Selector!$B$11)^0.5,3))</f>
        <v/>
      </c>
      <c r="AN302" s="11" t="str">
        <f aca="false">IF(AM302="","",ROUND(AM302/(MAX(1,N(H302))*F302/1000*(G302/1000*(1-SG_Criteria!$B$25))),2))</f>
        <v/>
      </c>
      <c r="AO302" s="38" t="str">
        <f aca="false">IF(C302="","",IF(LEN(IF(AND(OR(D302="Roadside drain",D302="Entrance culvert"),OR(F302&lt;SG_Criteria!$B$15,G302&lt;SG_Criteria!$B$16)),"FAIL: below PUB min "&amp;SG_Criteria!$B$15&amp;"x"&amp;SG_Criteria!$B$16&amp;" for roadside drain. ","")&amp;IF(AND(D302="Common drain",F302&lt;SG_Criteria!$B$17),"FAIL: common drain W &lt; "&amp;SG_Criteria!$B$17&amp;" mm. ","")&amp;IF(AND(N302&lt;&gt;"",IFERROR(VALUE(MID(N302,2,2)),0)&lt;SG_Criteria!$B$19),"FAIL: grade below C"&amp;SG_Criteria!$B$19&amp;". ","")&amp;IF(AND(O302&lt;&gt;"",O302&lt;SG_Criteria!$B$20),"FAIL: cover &lt; "&amp;SG_Criteria!$B$20&amp;" mm. ","")&amp;IF(AND(E302="Open",G302&gt;SG_Criteria!$B$18),"NOTE: safety railing required (D &gt; "&amp;SG_Criteria!$B$18&amp;" mm). ","")&amp;IF(AND(D302="Entrance culvert",G302&lt;600),"NOTE: check hinged grating rule for culverts &lt; 600 deep (PUB Add. 3). ",""))=0,"OK",IF(AND(OR(D302="Roadside drain",D302="Entrance culvert"),OR(F302&lt;SG_Criteria!$B$15,G302&lt;SG_Criteria!$B$16)),"FAIL: below PUB min "&amp;SG_Criteria!$B$15&amp;"x"&amp;SG_Criteria!$B$16&amp;" for roadside drain. ","")&amp;IF(AND(D302="Common drain",F302&lt;SG_Criteria!$B$17),"FAIL: common drain W &lt; "&amp;SG_Criteria!$B$17&amp;" mm. ","")&amp;IF(AND(N302&lt;&gt;"",IFERROR(VALUE(MID(N302,2,2)),0)&lt;SG_Criteria!$B$19),"FAIL: grade below C"&amp;SG_Criteria!$B$19&amp;". ","")&amp;IF(AND(O302&lt;&gt;"",O302&lt;SG_Criteria!$B$20),"FAIL: cover &lt; "&amp;SG_Criteria!$B$20&amp;" mm. ","")&amp;IF(AND(E302="Open",G302&gt;SG_Criteria!$B$18),"NOTE: safety railing required (D &gt; "&amp;SG_Criteria!$B$18&amp;" mm). ","")&amp;IF(AND(D302="Entrance culvert",G302&lt;600),"NOTE: check hinged grating rule for culverts &lt; 600 deep (PUB Add. 3). ","")))</f>
        <v/>
      </c>
      <c r="AP302" s="9"/>
      <c r="AQ302" s="9"/>
      <c r="AR302" s="9"/>
      <c r="AS302" s="9"/>
      <c r="AT302" s="9"/>
      <c r="AU302" s="31"/>
      <c r="AV302" s="10" t="str">
        <f aca="false">IF(C302="","",IF(AND(V302="Approved",ISERROR(SEARCH("FAIL",AO302))),"Y","N"))</f>
        <v/>
      </c>
      <c r="AW302" s="10" t="str">
        <f aca="false">IF(C302="","",C302&amp;"|"&amp;F302&amp;"|"&amp;G302&amp;"|"&amp;L302&amp;"|"&amp;AV302)</f>
        <v/>
      </c>
    </row>
    <row r="303" customFormat="false" ht="15" hidden="false" customHeight="false" outlineLevel="0" collapsed="false">
      <c r="A303" s="10" t="str">
        <f aca="false">IF(C303="","","DRN-"&amp;IFERROR(VLOOKUP(C303,Lists!$A$4:$B$27,2,0),"??")&amp;"-"&amp;TEXT(F303,"0000")&amp;"x"&amp;TEXT(G303,"0000")&amp;IF(N(H303)&gt;1,"-"&amp;H303&amp;"C","")&amp;"-"&amp;IFERROR(VLOOKUP(L303,Lists!$J$4:$K$19,2,0),"??")&amp;"-"&amp;U303)</f>
        <v/>
      </c>
      <c r="B303" s="10" t="str">
        <f aca="false">IF(C303="","",C303&amp;" "&amp;F303&amp;"W x "&amp;G303&amp;"D"&amp;IF(N(H303)&gt;1," ("&amp;H303&amp;" cells)","")&amp;", "&amp;D303&amp;", "&amp;L303&amp;", "&amp;E303)</f>
        <v/>
      </c>
      <c r="C303" s="9"/>
      <c r="D303" s="9"/>
      <c r="E303" s="9"/>
      <c r="F303" s="40"/>
      <c r="G303" s="40"/>
      <c r="H303" s="40"/>
      <c r="I303" s="40"/>
      <c r="J303" s="40"/>
      <c r="K303" s="40"/>
      <c r="L303" s="9"/>
      <c r="M303" s="9"/>
      <c r="N303" s="9"/>
      <c r="O303" s="40"/>
      <c r="P303" s="9"/>
      <c r="Q303" s="9"/>
      <c r="R303" s="9"/>
      <c r="S303" s="9"/>
      <c r="T303" s="9"/>
      <c r="U303" s="9"/>
      <c r="V303" s="9"/>
      <c r="W303" s="9"/>
      <c r="X303" s="9"/>
      <c r="Y303" s="9"/>
      <c r="Z303" s="10" t="str">
        <f aca="false">IF(A303="","",SG_Criteria!$B$6&amp;SG_Criteria!$B$7&amp;"\"&amp;A303&amp;"\")</f>
        <v/>
      </c>
      <c r="AA303" s="10" t="str">
        <f aca="false">IF(A303="","",A303&amp;"_CAD.dwg")</f>
        <v/>
      </c>
      <c r="AB303" s="10" t="str">
        <f aca="false">IF(A303="","",A303&amp;"_DWG.pdf")</f>
        <v/>
      </c>
      <c r="AC303" s="10" t="str">
        <f aca="false">IF(A303="","",IF(Y303="Y",A303&amp;"_STAAD.std","n/a"))</f>
        <v/>
      </c>
      <c r="AD303" s="10" t="str">
        <f aca="false">IF(A303="","",A303&amp;"_CALC.xlsx")</f>
        <v/>
      </c>
      <c r="AE303" s="10" t="str">
        <f aca="false">IF(A303="","",A303&amp;"_CALC.pdf")</f>
        <v/>
      </c>
      <c r="AF303" s="9"/>
      <c r="AG303" s="9"/>
      <c r="AH303" s="41"/>
      <c r="AI303" s="41"/>
      <c r="AJ303" s="41"/>
      <c r="AK303" s="41"/>
      <c r="AL303" s="41"/>
      <c r="AM303" s="37" t="str">
        <f aca="false">IF(OR(C303="",F303="",G303="",C303="Sump",C303="Drop Inlet Chamber",C303="Silt Trap",C303="Pipe Culvert",C303="Subsoil Drain"),"",ROUND(MAX(1,N(H303))*(1/SG_Criteria!$B$26)*((F303/1000)*(G303/1000*(1-SG_Criteria!$B$25)))*(((F303/1000)*(G303/1000*(1-SG_Criteria!$B$25)))/((F303/1000)+2*(G303/1000*(1-SG_Criteria!$B$25))))^(2/3)*(1/Design_Selector!$B$11)^0.5,3))</f>
        <v/>
      </c>
      <c r="AN303" s="11" t="str">
        <f aca="false">IF(AM303="","",ROUND(AM303/(MAX(1,N(H303))*F303/1000*(G303/1000*(1-SG_Criteria!$B$25))),2))</f>
        <v/>
      </c>
      <c r="AO303" s="38" t="str">
        <f aca="false">IF(C303="","",IF(LEN(IF(AND(OR(D303="Roadside drain",D303="Entrance culvert"),OR(F303&lt;SG_Criteria!$B$15,G303&lt;SG_Criteria!$B$16)),"FAIL: below PUB min "&amp;SG_Criteria!$B$15&amp;"x"&amp;SG_Criteria!$B$16&amp;" for roadside drain. ","")&amp;IF(AND(D303="Common drain",F303&lt;SG_Criteria!$B$17),"FAIL: common drain W &lt; "&amp;SG_Criteria!$B$17&amp;" mm. ","")&amp;IF(AND(N303&lt;&gt;"",IFERROR(VALUE(MID(N303,2,2)),0)&lt;SG_Criteria!$B$19),"FAIL: grade below C"&amp;SG_Criteria!$B$19&amp;". ","")&amp;IF(AND(O303&lt;&gt;"",O303&lt;SG_Criteria!$B$20),"FAIL: cover &lt; "&amp;SG_Criteria!$B$20&amp;" mm. ","")&amp;IF(AND(E303="Open",G303&gt;SG_Criteria!$B$18),"NOTE: safety railing required (D &gt; "&amp;SG_Criteria!$B$18&amp;" mm). ","")&amp;IF(AND(D303="Entrance culvert",G303&lt;600),"NOTE: check hinged grating rule for culverts &lt; 600 deep (PUB Add. 3). ",""))=0,"OK",IF(AND(OR(D303="Roadside drain",D303="Entrance culvert"),OR(F303&lt;SG_Criteria!$B$15,G303&lt;SG_Criteria!$B$16)),"FAIL: below PUB min "&amp;SG_Criteria!$B$15&amp;"x"&amp;SG_Criteria!$B$16&amp;" for roadside drain. ","")&amp;IF(AND(D303="Common drain",F303&lt;SG_Criteria!$B$17),"FAIL: common drain W &lt; "&amp;SG_Criteria!$B$17&amp;" mm. ","")&amp;IF(AND(N303&lt;&gt;"",IFERROR(VALUE(MID(N303,2,2)),0)&lt;SG_Criteria!$B$19),"FAIL: grade below C"&amp;SG_Criteria!$B$19&amp;". ","")&amp;IF(AND(O303&lt;&gt;"",O303&lt;SG_Criteria!$B$20),"FAIL: cover &lt; "&amp;SG_Criteria!$B$20&amp;" mm. ","")&amp;IF(AND(E303="Open",G303&gt;SG_Criteria!$B$18),"NOTE: safety railing required (D &gt; "&amp;SG_Criteria!$B$18&amp;" mm). ","")&amp;IF(AND(D303="Entrance culvert",G303&lt;600),"NOTE: check hinged grating rule for culverts &lt; 600 deep (PUB Add. 3). ","")))</f>
        <v/>
      </c>
      <c r="AP303" s="9"/>
      <c r="AQ303" s="9"/>
      <c r="AR303" s="9"/>
      <c r="AS303" s="9"/>
      <c r="AT303" s="9"/>
      <c r="AU303" s="31"/>
      <c r="AV303" s="10" t="str">
        <f aca="false">IF(C303="","",IF(AND(V303="Approved",ISERROR(SEARCH("FAIL",AO303))),"Y","N"))</f>
        <v/>
      </c>
      <c r="AW303" s="10" t="str">
        <f aca="false">IF(C303="","",C303&amp;"|"&amp;F303&amp;"|"&amp;G303&amp;"|"&amp;L303&amp;"|"&amp;AV303)</f>
        <v/>
      </c>
    </row>
    <row r="304" customFormat="false" ht="15" hidden="false" customHeight="false" outlineLevel="0" collapsed="false">
      <c r="A304" s="10" t="str">
        <f aca="false">IF(C304="","","DRN-"&amp;IFERROR(VLOOKUP(C304,Lists!$A$4:$B$27,2,0),"??")&amp;"-"&amp;TEXT(F304,"0000")&amp;"x"&amp;TEXT(G304,"0000")&amp;IF(N(H304)&gt;1,"-"&amp;H304&amp;"C","")&amp;"-"&amp;IFERROR(VLOOKUP(L304,Lists!$J$4:$K$19,2,0),"??")&amp;"-"&amp;U304)</f>
        <v/>
      </c>
      <c r="B304" s="10" t="str">
        <f aca="false">IF(C304="","",C304&amp;" "&amp;F304&amp;"W x "&amp;G304&amp;"D"&amp;IF(N(H304)&gt;1," ("&amp;H304&amp;" cells)","")&amp;", "&amp;D304&amp;", "&amp;L304&amp;", "&amp;E304)</f>
        <v/>
      </c>
      <c r="C304" s="9"/>
      <c r="D304" s="9"/>
      <c r="E304" s="9"/>
      <c r="F304" s="40"/>
      <c r="G304" s="40"/>
      <c r="H304" s="40"/>
      <c r="I304" s="40"/>
      <c r="J304" s="40"/>
      <c r="K304" s="40"/>
      <c r="L304" s="9"/>
      <c r="M304" s="9"/>
      <c r="N304" s="9"/>
      <c r="O304" s="40"/>
      <c r="P304" s="9"/>
      <c r="Q304" s="9"/>
      <c r="R304" s="9"/>
      <c r="S304" s="9"/>
      <c r="T304" s="9"/>
      <c r="U304" s="9"/>
      <c r="V304" s="9"/>
      <c r="W304" s="9"/>
      <c r="X304" s="9"/>
      <c r="Y304" s="9"/>
      <c r="Z304" s="10" t="str">
        <f aca="false">IF(A304="","",SG_Criteria!$B$6&amp;SG_Criteria!$B$7&amp;"\"&amp;A304&amp;"\")</f>
        <v/>
      </c>
      <c r="AA304" s="10" t="str">
        <f aca="false">IF(A304="","",A304&amp;"_CAD.dwg")</f>
        <v/>
      </c>
      <c r="AB304" s="10" t="str">
        <f aca="false">IF(A304="","",A304&amp;"_DWG.pdf")</f>
        <v/>
      </c>
      <c r="AC304" s="10" t="str">
        <f aca="false">IF(A304="","",IF(Y304="Y",A304&amp;"_STAAD.std","n/a"))</f>
        <v/>
      </c>
      <c r="AD304" s="10" t="str">
        <f aca="false">IF(A304="","",A304&amp;"_CALC.xlsx")</f>
        <v/>
      </c>
      <c r="AE304" s="10" t="str">
        <f aca="false">IF(A304="","",A304&amp;"_CALC.pdf")</f>
        <v/>
      </c>
      <c r="AF304" s="9"/>
      <c r="AG304" s="9"/>
      <c r="AH304" s="41"/>
      <c r="AI304" s="41"/>
      <c r="AJ304" s="41"/>
      <c r="AK304" s="41"/>
      <c r="AL304" s="41"/>
      <c r="AM304" s="37" t="str">
        <f aca="false">IF(OR(C304="",F304="",G304="",C304="Sump",C304="Drop Inlet Chamber",C304="Silt Trap",C304="Pipe Culvert",C304="Subsoil Drain"),"",ROUND(MAX(1,N(H304))*(1/SG_Criteria!$B$26)*((F304/1000)*(G304/1000*(1-SG_Criteria!$B$25)))*(((F304/1000)*(G304/1000*(1-SG_Criteria!$B$25)))/((F304/1000)+2*(G304/1000*(1-SG_Criteria!$B$25))))^(2/3)*(1/Design_Selector!$B$11)^0.5,3))</f>
        <v/>
      </c>
      <c r="AN304" s="11" t="str">
        <f aca="false">IF(AM304="","",ROUND(AM304/(MAX(1,N(H304))*F304/1000*(G304/1000*(1-SG_Criteria!$B$25))),2))</f>
        <v/>
      </c>
      <c r="AO304" s="38" t="str">
        <f aca="false">IF(C304="","",IF(LEN(IF(AND(OR(D304="Roadside drain",D304="Entrance culvert"),OR(F304&lt;SG_Criteria!$B$15,G304&lt;SG_Criteria!$B$16)),"FAIL: below PUB min "&amp;SG_Criteria!$B$15&amp;"x"&amp;SG_Criteria!$B$16&amp;" for roadside drain. ","")&amp;IF(AND(D304="Common drain",F304&lt;SG_Criteria!$B$17),"FAIL: common drain W &lt; "&amp;SG_Criteria!$B$17&amp;" mm. ","")&amp;IF(AND(N304&lt;&gt;"",IFERROR(VALUE(MID(N304,2,2)),0)&lt;SG_Criteria!$B$19),"FAIL: grade below C"&amp;SG_Criteria!$B$19&amp;". ","")&amp;IF(AND(O304&lt;&gt;"",O304&lt;SG_Criteria!$B$20),"FAIL: cover &lt; "&amp;SG_Criteria!$B$20&amp;" mm. ","")&amp;IF(AND(E304="Open",G304&gt;SG_Criteria!$B$18),"NOTE: safety railing required (D &gt; "&amp;SG_Criteria!$B$18&amp;" mm). ","")&amp;IF(AND(D304="Entrance culvert",G304&lt;600),"NOTE: check hinged grating rule for culverts &lt; 600 deep (PUB Add. 3). ",""))=0,"OK",IF(AND(OR(D304="Roadside drain",D304="Entrance culvert"),OR(F304&lt;SG_Criteria!$B$15,G304&lt;SG_Criteria!$B$16)),"FAIL: below PUB min "&amp;SG_Criteria!$B$15&amp;"x"&amp;SG_Criteria!$B$16&amp;" for roadside drain. ","")&amp;IF(AND(D304="Common drain",F304&lt;SG_Criteria!$B$17),"FAIL: common drain W &lt; "&amp;SG_Criteria!$B$17&amp;" mm. ","")&amp;IF(AND(N304&lt;&gt;"",IFERROR(VALUE(MID(N304,2,2)),0)&lt;SG_Criteria!$B$19),"FAIL: grade below C"&amp;SG_Criteria!$B$19&amp;". ","")&amp;IF(AND(O304&lt;&gt;"",O304&lt;SG_Criteria!$B$20),"FAIL: cover &lt; "&amp;SG_Criteria!$B$20&amp;" mm. ","")&amp;IF(AND(E304="Open",G304&gt;SG_Criteria!$B$18),"NOTE: safety railing required (D &gt; "&amp;SG_Criteria!$B$18&amp;" mm). ","")&amp;IF(AND(D304="Entrance culvert",G304&lt;600),"NOTE: check hinged grating rule for culverts &lt; 600 deep (PUB Add. 3). ","")))</f>
        <v/>
      </c>
      <c r="AP304" s="9"/>
      <c r="AQ304" s="9"/>
      <c r="AR304" s="9"/>
      <c r="AS304" s="9"/>
      <c r="AT304" s="9"/>
      <c r="AU304" s="31"/>
      <c r="AV304" s="10" t="str">
        <f aca="false">IF(C304="","",IF(AND(V304="Approved",ISERROR(SEARCH("FAIL",AO304))),"Y","N"))</f>
        <v/>
      </c>
      <c r="AW304" s="10" t="str">
        <f aca="false">IF(C304="","",C304&amp;"|"&amp;F304&amp;"|"&amp;G304&amp;"|"&amp;L304&amp;"|"&amp;AV304)</f>
        <v/>
      </c>
    </row>
  </sheetData>
  <conditionalFormatting sqref="AO5:AO304">
    <cfRule type="expression" priority="2" aboveAverage="0" equalAverage="0" bottom="0" percent="0" rank="0" text="" dxfId="0">
      <formula>ISNUMBER(SEARCH("FAIL",AO5))</formula>
    </cfRule>
    <cfRule type="expression" priority="3" aboveAverage="0" equalAverage="0" bottom="0" percent="0" rank="0" text="" dxfId="15">
      <formula>ISNUMBER(SEARCH("NOTE",AO5))</formula>
    </cfRule>
    <cfRule type="expression" priority="4" aboveAverage="0" equalAverage="0" bottom="0" percent="0" rank="0" text="" dxfId="1">
      <formula>AO5="OK"</formula>
    </cfRule>
  </conditionalFormatting>
  <dataValidations count="10">
    <dataValidation allowBlank="true" error="Pick a value from the list (add new values on the Lists sheet)." errorStyle="stop" errorTitle="Not in list" operator="between" showDropDown="false" showErrorMessage="false" showInputMessage="false" sqref="C5:C304" type="list">
      <formula1>Lists!$A$4:$A$27</formula1>
      <formula2>0</formula2>
    </dataValidation>
    <dataValidation allowBlank="true" error="Pick a value from the list (add new values on the Lists sheet)." errorStyle="stop" errorTitle="Not in list" operator="between" showDropDown="false" showErrorMessage="false" showInputMessage="false" sqref="D5:D304" type="list">
      <formula1>Lists!$D$4:$D$21</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Lists!$G$4:$G$18</formula1>
      <formula2>0</formula2>
    </dataValidation>
    <dataValidation allowBlank="true" error="Pick a value from the list (add new values on the Lists sheet)." errorStyle="stop" errorTitle="Not in list" operator="between" showDropDown="false" showErrorMessage="false" showInputMessage="false" sqref="L5:L304"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N5:N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X5:X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Y5:Y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F5:AF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G5:AG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B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6"/>
    <col collapsed="false" customWidth="true" hidden="false" outlineLevel="0" max="3" min="3" style="0" width="22"/>
    <col collapsed="false" customWidth="true" hidden="false" outlineLevel="0" max="6" min="4" style="0" width="8"/>
    <col collapsed="false" customWidth="true" hidden="false" outlineLevel="0" max="7" min="7" style="0" width="7"/>
    <col collapsed="false" customWidth="true" hidden="false" outlineLevel="0" max="8" min="8" style="0" width="20"/>
    <col collapsed="false" customWidth="true" hidden="false" outlineLevel="0" max="9" min="9" style="0" width="6"/>
    <col collapsed="false" customWidth="true" hidden="false" outlineLevel="0" max="13" min="10" style="0" width="7"/>
    <col collapsed="false" customWidth="true" hidden="false" outlineLevel="0" max="16" min="14" style="0" width="6"/>
    <col collapsed="false" customWidth="true" hidden="false" outlineLevel="0" max="17" min="17" style="0" width="7"/>
    <col collapsed="false" customWidth="true" hidden="false" outlineLevel="0" max="18" min="18" style="0" width="8"/>
    <col collapsed="false" customWidth="true" hidden="false" outlineLevel="0" max="19" min="19" style="0" width="6"/>
    <col collapsed="false" customWidth="true" hidden="false" outlineLevel="0" max="21" min="20" style="0" width="10"/>
    <col collapsed="false" customWidth="true" hidden="false" outlineLevel="0" max="22" min="22" style="0" width="16"/>
    <col collapsed="false" customWidth="true" hidden="false" outlineLevel="0" max="23" min="23" style="0" width="6"/>
    <col collapsed="false" customWidth="true" hidden="false" outlineLevel="0" max="25" min="24" style="0" width="7"/>
    <col collapsed="false" customWidth="true" hidden="false" outlineLevel="0" max="26" min="26" style="0" width="30"/>
    <col collapsed="false" customWidth="true" hidden="false" outlineLevel="0" max="27" min="27" style="0" width="5"/>
    <col collapsed="false" customWidth="true" hidden="false" outlineLevel="0" max="28" min="28" style="0" width="10"/>
    <col collapsed="false" customWidth="true" hidden="false" outlineLevel="0" max="29" min="29" style="0" width="14"/>
    <col collapsed="false" customWidth="true" hidden="false" outlineLevel="0" max="30" min="30" style="0" width="8"/>
    <col collapsed="false" customWidth="true" hidden="false" outlineLevel="0" max="31" min="31" style="0" width="9"/>
    <col collapsed="false" customWidth="true" hidden="false" outlineLevel="0" max="32" min="32" style="0" width="46"/>
    <col collapsed="false" customWidth="true" hidden="false" outlineLevel="0" max="37" min="33" style="0" width="30"/>
    <col collapsed="false" customWidth="true" hidden="false" outlineLevel="0" max="38" min="38" style="0" width="9"/>
    <col collapsed="false" customWidth="true" hidden="false" outlineLevel="0" max="39" min="39" style="0" width="6"/>
    <col collapsed="false" customWidth="true" hidden="false" outlineLevel="0" max="44" min="40" style="0" width="9"/>
    <col collapsed="false" customWidth="true" hidden="false" outlineLevel="0" max="45" min="45" style="0" width="22"/>
    <col collapsed="false" customWidth="true" hidden="false" outlineLevel="0" max="46" min="46" style="0" width="40"/>
    <col collapsed="false" customWidth="true" hidden="false" outlineLevel="0" max="47" min="47" style="0" width="36"/>
    <col collapsed="false" customWidth="true" hidden="false" outlineLevel="0" max="48" min="48" style="0" width="22"/>
    <col collapsed="false" customWidth="true" hidden="false" outlineLevel="0" max="50" min="49" style="0" width="10"/>
    <col collapsed="false" customWidth="true" hidden="false" outlineLevel="0" max="52" min="51" style="0" width="11"/>
    <col collapsed="false" customWidth="true" hidden="false" outlineLevel="0" max="53" min="53" style="0" width="8"/>
    <col collapsed="false" customWidth="true" hidden="false" outlineLevel="0" max="54" min="54" style="0" width="34"/>
  </cols>
  <sheetData>
    <row r="1" customFormat="false" ht="17.35" hidden="false" customHeight="false" outlineLevel="0" collapsed="false">
      <c r="A1" s="5" t="s">
        <v>666</v>
      </c>
    </row>
    <row r="2" customFormat="false" ht="15" hidden="false" customHeight="false" outlineLevel="0" collapsed="false">
      <c r="A2" s="6" t="s">
        <v>667</v>
      </c>
    </row>
    <row r="3" customFormat="false" ht="15" hidden="false" customHeight="false" outlineLevel="0" collapsed="false">
      <c r="A3" s="6" t="s">
        <v>581</v>
      </c>
    </row>
    <row r="4" customFormat="false" ht="54" hidden="false" customHeight="true" outlineLevel="0" collapsed="false">
      <c r="A4" s="16" t="s">
        <v>92</v>
      </c>
      <c r="B4" s="16" t="s">
        <v>93</v>
      </c>
      <c r="C4" s="15" t="s">
        <v>668</v>
      </c>
      <c r="D4" s="15" t="s">
        <v>669</v>
      </c>
      <c r="E4" s="15" t="s">
        <v>67</v>
      </c>
      <c r="F4" s="15" t="s">
        <v>670</v>
      </c>
      <c r="G4" s="15" t="s">
        <v>671</v>
      </c>
      <c r="H4" s="15" t="s">
        <v>672</v>
      </c>
      <c r="I4" s="15" t="s">
        <v>673</v>
      </c>
      <c r="J4" s="15" t="s">
        <v>674</v>
      </c>
      <c r="K4" s="15" t="s">
        <v>675</v>
      </c>
      <c r="L4" s="15" t="s">
        <v>676</v>
      </c>
      <c r="M4" s="15" t="s">
        <v>677</v>
      </c>
      <c r="N4" s="15" t="s">
        <v>678</v>
      </c>
      <c r="O4" s="15" t="s">
        <v>679</v>
      </c>
      <c r="P4" s="15" t="s">
        <v>588</v>
      </c>
      <c r="Q4" s="15" t="s">
        <v>680</v>
      </c>
      <c r="R4" s="15" t="s">
        <v>591</v>
      </c>
      <c r="S4" s="15" t="s">
        <v>592</v>
      </c>
      <c r="T4" s="15" t="s">
        <v>681</v>
      </c>
      <c r="U4" s="15" t="s">
        <v>594</v>
      </c>
      <c r="V4" s="15" t="s">
        <v>682</v>
      </c>
      <c r="W4" s="15" t="s">
        <v>683</v>
      </c>
      <c r="X4" s="15" t="s">
        <v>684</v>
      </c>
      <c r="Y4" s="15" t="s">
        <v>685</v>
      </c>
      <c r="Z4" s="15" t="s">
        <v>597</v>
      </c>
      <c r="AA4" s="15" t="s">
        <v>121</v>
      </c>
      <c r="AB4" s="15" t="s">
        <v>122</v>
      </c>
      <c r="AC4" s="15" t="s">
        <v>123</v>
      </c>
      <c r="AD4" s="15" t="s">
        <v>598</v>
      </c>
      <c r="AE4" s="15" t="s">
        <v>599</v>
      </c>
      <c r="AF4" s="34" t="s">
        <v>600</v>
      </c>
      <c r="AG4" s="34" t="s">
        <v>601</v>
      </c>
      <c r="AH4" s="34" t="s">
        <v>602</v>
      </c>
      <c r="AI4" s="34" t="s">
        <v>603</v>
      </c>
      <c r="AJ4" s="34" t="s">
        <v>604</v>
      </c>
      <c r="AK4" s="34" t="s">
        <v>605</v>
      </c>
      <c r="AL4" s="15" t="s">
        <v>606</v>
      </c>
      <c r="AM4" s="15" t="s">
        <v>607</v>
      </c>
      <c r="AN4" s="17" t="s">
        <v>608</v>
      </c>
      <c r="AO4" s="17" t="s">
        <v>609</v>
      </c>
      <c r="AP4" s="17" t="s">
        <v>610</v>
      </c>
      <c r="AQ4" s="17" t="s">
        <v>611</v>
      </c>
      <c r="AR4" s="17" t="s">
        <v>612</v>
      </c>
      <c r="AS4" s="16" t="s">
        <v>686</v>
      </c>
      <c r="AT4" s="16" t="s">
        <v>615</v>
      </c>
      <c r="AU4" s="15" t="s">
        <v>616</v>
      </c>
      <c r="AV4" s="15" t="s">
        <v>617</v>
      </c>
      <c r="AW4" s="15" t="s">
        <v>618</v>
      </c>
      <c r="AX4" s="15" t="s">
        <v>619</v>
      </c>
      <c r="AY4" s="15" t="s">
        <v>620</v>
      </c>
      <c r="AZ4" s="15" t="s">
        <v>621</v>
      </c>
      <c r="BA4" s="16" t="s">
        <v>622</v>
      </c>
      <c r="BB4" s="16" t="s">
        <v>623</v>
      </c>
    </row>
    <row r="5" customFormat="false" ht="15" hidden="false" customHeight="false" outlineLevel="0" collapsed="false">
      <c r="A5" s="10" t="str">
        <f aca="false">IF(C5="","","RW-"&amp;IFERROR(VLOOKUP(C5,Lists!$M$4:$N$22,2,0),"??")&amp;"-H"&amp;TEXT(D5*1000,"0000")&amp;"-S"&amp;E5&amp;IF(F5="Y","-GW","")&amp;"-"&amp;AA5)</f>
        <v>RW-LW-H1000-S25-A</v>
      </c>
      <c r="B5" s="10" t="str">
        <f aca="false">IF(C5="","",C5&amp;", H = "&amp;TEXT(D5,"0.0")&amp;" m, q = "&amp;E5&amp;" kPa"&amp;IF(F5="Y",", with GWT","")&amp;", "&amp;H5)</f>
        <v>L-Wall (heel only), H = 1.0 m, q = 25 kPa, Firm/stiff clay (general)</v>
      </c>
      <c r="C5" s="18" t="s">
        <v>195</v>
      </c>
      <c r="D5" s="36" t="n">
        <v>1</v>
      </c>
      <c r="E5" s="35" t="n">
        <v>25</v>
      </c>
      <c r="F5" s="18" t="s">
        <v>74</v>
      </c>
      <c r="G5" s="35" t="n">
        <v>0</v>
      </c>
      <c r="H5" s="18" t="s">
        <v>568</v>
      </c>
      <c r="I5" s="35" t="n">
        <v>26</v>
      </c>
      <c r="J5" s="42" t="n">
        <v>19</v>
      </c>
      <c r="K5" s="35" t="n">
        <v>200</v>
      </c>
      <c r="L5" s="35" t="n">
        <v>200</v>
      </c>
      <c r="M5" s="35" t="n">
        <v>1300</v>
      </c>
      <c r="N5" s="35" t="n">
        <v>0</v>
      </c>
      <c r="O5" s="35" t="n">
        <v>1100</v>
      </c>
      <c r="P5" s="35" t="n">
        <v>250</v>
      </c>
      <c r="Q5" s="18" t="s">
        <v>626</v>
      </c>
      <c r="R5" s="18" t="s">
        <v>531</v>
      </c>
      <c r="S5" s="35" t="n">
        <v>50</v>
      </c>
      <c r="T5" s="18" t="s">
        <v>637</v>
      </c>
      <c r="U5" s="18" t="s">
        <v>637</v>
      </c>
      <c r="V5" s="18" t="s">
        <v>687</v>
      </c>
      <c r="W5" s="36" t="n">
        <v>1.6</v>
      </c>
      <c r="X5" s="36" t="n">
        <v>2.4</v>
      </c>
      <c r="Y5" s="35" t="n">
        <v>65</v>
      </c>
      <c r="Z5" s="18" t="s">
        <v>688</v>
      </c>
      <c r="AA5" s="18" t="s">
        <v>628</v>
      </c>
      <c r="AB5" s="18" t="s">
        <v>244</v>
      </c>
      <c r="AC5" s="18" t="s">
        <v>689</v>
      </c>
      <c r="AD5" s="18" t="n">
        <v>25</v>
      </c>
      <c r="AE5" s="18" t="s">
        <v>74</v>
      </c>
      <c r="AF5" s="10" t="str">
        <f aca="false">IF(A5="","",SG_Criteria!$B$6&amp;SG_Criteria!$B$8&amp;"\"&amp;A5&amp;"\")</f>
        <v>C:\Users\yourname\YourCompany\Design Library - Documents\02_Retaining_Wall\RW-LW-H1000-S25-A\</v>
      </c>
      <c r="AG5" s="10" t="str">
        <f aca="false">IF(A5="","",A5&amp;"_CAD.dwg")</f>
        <v>RW-LW-H1000-S25-A_CAD.dwg</v>
      </c>
      <c r="AH5" s="10" t="str">
        <f aca="false">IF(A5="","",A5&amp;"_DWG.pdf")</f>
        <v>RW-LW-H1000-S25-A_DWG.pdf</v>
      </c>
      <c r="AI5" s="10" t="str">
        <f aca="false">IF(A5="","",IF(AE5="Y",A5&amp;"_STAAD.std","n/a"))</f>
        <v>n/a</v>
      </c>
      <c r="AJ5" s="10" t="str">
        <f aca="false">IF(A5="","",A5&amp;"_CALC.xlsx")</f>
        <v>RW-LW-H1000-S25-A_CALC.xlsx</v>
      </c>
      <c r="AK5" s="10" t="str">
        <f aca="false">IF(A5="","",A5&amp;"_CALC.pdf")</f>
        <v>RW-LW-H1000-S25-A_CALC.pdf</v>
      </c>
      <c r="AL5" s="18" t="s">
        <v>74</v>
      </c>
      <c r="AM5" s="18" t="s">
        <v>356</v>
      </c>
      <c r="AN5" s="36" t="n">
        <v>0.53</v>
      </c>
      <c r="AO5" s="36" t="n">
        <v>38</v>
      </c>
      <c r="AP5" s="36" t="n">
        <v>0</v>
      </c>
      <c r="AQ5" s="36" t="n">
        <v>2.5</v>
      </c>
      <c r="AR5" s="36" t="n">
        <v>1.9</v>
      </c>
      <c r="AS5" s="38" t="str">
        <f aca="false">IF(OR(C5="",D5=""),"",IF(D5&lt;=IF(OR(C5="Block / Segmental",C5="Gabion",C5="Reinforced Earth (MSE)"),SG_Criteria!$B$34,SG_Criteria!$B$33),"No ERSS submission",IF(D5&lt;=SG_Criteria!$B$35,"QP(ST)",IF(D5&lt;=SG_Criteria!$B$36,"QP(ST) + AC","Geotechnical building works: QP(Geo) + AC"))))</f>
        <v>No ERSS submission</v>
      </c>
      <c r="AT5" s="38" t="str">
        <f aca="false">IF(C5="","",IF(LEN(IF(AND(R5&lt;&gt;"",IFERROR(VALUE(MID(R5,2,2)),0)&lt;SG_Criteria!$B$19),"FAIL: grade below C"&amp;SG_Criteria!$B$19&amp;". ","")&amp;IF(AND(S5&lt;&gt;"",S5&lt;SG_Criteria!$B$20),"FAIL: cover &lt; "&amp;SG_Criteria!$B$20&amp;" mm. ","")&amp;IF(AND(W5&lt;&gt;"",W5&lt;1),"FAIL: sliding. ","")&amp;IF(AND(C5="Reverse L-Wall (toe only, at boundary)",N(O5)&gt;0),"NOTE: reverse L-wall should have no heel. ","")&amp;IF(AND(C5="L-Wall (heel only)",N(N5)&gt;0),"NOTE: L-wall should have no toe. ","")&amp;IF(AND(E5&lt;&gt;"",E5&lt;SG_Criteria!$B$31),"NOTE: q below LTA min "&amp;SG_Criteria!$B$31&amp;" kPa (not for LTA works). ",""))=0,"OK",IF(AND(R5&lt;&gt;"",IFERROR(VALUE(MID(R5,2,2)),0)&lt;SG_Criteria!$B$19),"FAIL: grade below C"&amp;SG_Criteria!$B$19&amp;". ","")&amp;IF(AND(S5&lt;&gt;"",S5&lt;SG_Criteria!$B$20),"FAIL: cover &lt; "&amp;SG_Criteria!$B$20&amp;" mm. ","")&amp;IF(AND(W5&lt;&gt;"",W5&lt;1),"FAIL: sliding. ","")&amp;IF(AND(C5="Reverse L-Wall (toe only, at boundary)",N(O5)&gt;0),"NOTE: reverse L-wall should have no heel. ","")&amp;IF(AND(C5="L-Wall (heel only)",N(N5)&gt;0),"NOTE: L-wall should have no toe. ","")&amp;IF(AND(E5&lt;&gt;"",E5&lt;SG_Criteria!$B$31),"NOTE: q below LTA min "&amp;SG_Criteria!$B$31&amp;" kPa (not for LTA works). ","")))</f>
        <v>OK</v>
      </c>
      <c r="AU5" s="18" t="s">
        <v>634</v>
      </c>
      <c r="AV5" s="18"/>
      <c r="AW5" s="18" t="s">
        <v>631</v>
      </c>
      <c r="AX5" s="18" t="s">
        <v>631</v>
      </c>
      <c r="AY5" s="18" t="s">
        <v>631</v>
      </c>
      <c r="AZ5" s="39" t="n">
        <v>46309</v>
      </c>
      <c r="BA5" s="10" t="str">
        <f aca="false">IF(C5="","",IF(AND(AB5="Approved",ISERROR(SEARCH("FAIL",AT5))),"Y","N"))</f>
        <v>Y</v>
      </c>
      <c r="BB5" s="10" t="str">
        <f aca="false">IF(C5="","",C5&amp;"|"&amp;D5&amp;"|"&amp;E5&amp;"|"&amp;F5&amp;"|"&amp;BA5)</f>
        <v>L-Wall (heel only)|1|25|N|Y</v>
      </c>
    </row>
    <row r="6" customFormat="false" ht="15" hidden="false" customHeight="false" outlineLevel="0" collapsed="false">
      <c r="A6" s="10" t="str">
        <f aca="false">IF(C6="","","RW-"&amp;IFERROR(VLOOKUP(C6,Lists!$M$4:$N$22,2,0),"??")&amp;"-H"&amp;TEXT(D6*1000,"0000")&amp;"-S"&amp;E6&amp;IF(F6="Y","-GW","")&amp;"-"&amp;AA6)</f>
        <v>RW-LW-H2000-S25-A</v>
      </c>
      <c r="B6" s="10" t="str">
        <f aca="false">IF(C6="","",C6&amp;", H = "&amp;TEXT(D6,"0.0")&amp;" m, q = "&amp;E6&amp;" kPa"&amp;IF(F6="Y",", with GWT","")&amp;", "&amp;H6)</f>
        <v>L-Wall (heel only), H = 2.0 m, q = 25 kPa, Firm/stiff clay (general)</v>
      </c>
      <c r="C6" s="18" t="s">
        <v>195</v>
      </c>
      <c r="D6" s="36" t="n">
        <v>2</v>
      </c>
      <c r="E6" s="35" t="n">
        <v>25</v>
      </c>
      <c r="F6" s="18" t="s">
        <v>74</v>
      </c>
      <c r="G6" s="35" t="n">
        <v>0</v>
      </c>
      <c r="H6" s="18" t="s">
        <v>568</v>
      </c>
      <c r="I6" s="35" t="n">
        <v>26</v>
      </c>
      <c r="J6" s="42" t="n">
        <v>19</v>
      </c>
      <c r="K6" s="35" t="n">
        <v>200</v>
      </c>
      <c r="L6" s="35" t="n">
        <v>300</v>
      </c>
      <c r="M6" s="35" t="n">
        <v>2300</v>
      </c>
      <c r="N6" s="35" t="n">
        <v>0</v>
      </c>
      <c r="O6" s="35" t="n">
        <v>2000</v>
      </c>
      <c r="P6" s="35" t="n">
        <v>350</v>
      </c>
      <c r="Q6" s="18" t="s">
        <v>626</v>
      </c>
      <c r="R6" s="18" t="s">
        <v>531</v>
      </c>
      <c r="S6" s="35" t="n">
        <v>50</v>
      </c>
      <c r="T6" s="18" t="s">
        <v>640</v>
      </c>
      <c r="U6" s="18" t="s">
        <v>640</v>
      </c>
      <c r="V6" s="18" t="s">
        <v>687</v>
      </c>
      <c r="W6" s="36" t="n">
        <v>1.5</v>
      </c>
      <c r="X6" s="36" t="n">
        <v>2.1</v>
      </c>
      <c r="Y6" s="35" t="n">
        <v>100</v>
      </c>
      <c r="Z6" s="18" t="s">
        <v>688</v>
      </c>
      <c r="AA6" s="18" t="s">
        <v>628</v>
      </c>
      <c r="AB6" s="18" t="s">
        <v>244</v>
      </c>
      <c r="AC6" s="18" t="s">
        <v>690</v>
      </c>
      <c r="AD6" s="18" t="n">
        <v>25</v>
      </c>
      <c r="AE6" s="18" t="s">
        <v>74</v>
      </c>
      <c r="AF6" s="10" t="str">
        <f aca="false">IF(A6="","",SG_Criteria!$B$6&amp;SG_Criteria!$B$8&amp;"\"&amp;A6&amp;"\")</f>
        <v>C:\Users\yourname\YourCompany\Design Library - Documents\02_Retaining_Wall\RW-LW-H2000-S25-A\</v>
      </c>
      <c r="AG6" s="10" t="str">
        <f aca="false">IF(A6="","",A6&amp;"_CAD.dwg")</f>
        <v>RW-LW-H2000-S25-A_CAD.dwg</v>
      </c>
      <c r="AH6" s="10" t="str">
        <f aca="false">IF(A6="","",A6&amp;"_DWG.pdf")</f>
        <v>RW-LW-H2000-S25-A_DWG.pdf</v>
      </c>
      <c r="AI6" s="10" t="str">
        <f aca="false">IF(A6="","",IF(AE6="Y",A6&amp;"_STAAD.std","n/a"))</f>
        <v>n/a</v>
      </c>
      <c r="AJ6" s="10" t="str">
        <f aca="false">IF(A6="","",A6&amp;"_CALC.xlsx")</f>
        <v>RW-LW-H2000-S25-A_CALC.xlsx</v>
      </c>
      <c r="AK6" s="10" t="str">
        <f aca="false">IF(A6="","",A6&amp;"_CALC.pdf")</f>
        <v>RW-LW-H2000-S25-A_CALC.pdf</v>
      </c>
      <c r="AL6" s="18" t="s">
        <v>74</v>
      </c>
      <c r="AM6" s="18" t="s">
        <v>356</v>
      </c>
      <c r="AN6" s="36" t="n">
        <v>1.35</v>
      </c>
      <c r="AO6" s="36" t="n">
        <v>98</v>
      </c>
      <c r="AP6" s="36" t="n">
        <v>0</v>
      </c>
      <c r="AQ6" s="36" t="n">
        <v>4.7</v>
      </c>
      <c r="AR6" s="36" t="n">
        <v>4</v>
      </c>
      <c r="AS6" s="38" t="str">
        <f aca="false">IF(OR(C6="",D6=""),"",IF(D6&lt;=IF(OR(C6="Block / Segmental",C6="Gabion",C6="Reinforced Earth (MSE)"),SG_Criteria!$B$34,SG_Criteria!$B$33),"No ERSS submission",IF(D6&lt;=SG_Criteria!$B$35,"QP(ST)",IF(D6&lt;=SG_Criteria!$B$36,"QP(ST) + AC","Geotechnical building works: QP(Geo) + AC"))))</f>
        <v>QP(ST)</v>
      </c>
      <c r="AT6" s="38" t="str">
        <f aca="false">IF(C6="","",IF(LEN(IF(AND(R6&lt;&gt;"",IFERROR(VALUE(MID(R6,2,2)),0)&lt;SG_Criteria!$B$19),"FAIL: grade below C"&amp;SG_Criteria!$B$19&amp;". ","")&amp;IF(AND(S6&lt;&gt;"",S6&lt;SG_Criteria!$B$20),"FAIL: cover &lt; "&amp;SG_Criteria!$B$20&amp;" mm. ","")&amp;IF(AND(W6&lt;&gt;"",W6&lt;1),"FAIL: sliding. ","")&amp;IF(AND(C6="Reverse L-Wall (toe only, at boundary)",N(O6)&gt;0),"NOTE: reverse L-wall should have no heel. ","")&amp;IF(AND(C6="L-Wall (heel only)",N(N6)&gt;0),"NOTE: L-wall should have no toe. ","")&amp;IF(AND(E6&lt;&gt;"",E6&lt;SG_Criteria!$B$31),"NOTE: q below LTA min "&amp;SG_Criteria!$B$31&amp;" kPa (not for LTA works). ",""))=0,"OK",IF(AND(R6&lt;&gt;"",IFERROR(VALUE(MID(R6,2,2)),0)&lt;SG_Criteria!$B$19),"FAIL: grade below C"&amp;SG_Criteria!$B$19&amp;". ","")&amp;IF(AND(S6&lt;&gt;"",S6&lt;SG_Criteria!$B$20),"FAIL: cover &lt; "&amp;SG_Criteria!$B$20&amp;" mm. ","")&amp;IF(AND(W6&lt;&gt;"",W6&lt;1),"FAIL: sliding. ","")&amp;IF(AND(C6="Reverse L-Wall (toe only, at boundary)",N(O6)&gt;0),"NOTE: reverse L-wall should have no heel. ","")&amp;IF(AND(C6="L-Wall (heel only)",N(N6)&gt;0),"NOTE: L-wall should have no toe. ","")&amp;IF(AND(E6&lt;&gt;"",E6&lt;SG_Criteria!$B$31),"NOTE: q below LTA min "&amp;SG_Criteria!$B$31&amp;" kPa (not for LTA works). ","")))</f>
        <v>OK</v>
      </c>
      <c r="AU6" s="18" t="s">
        <v>634</v>
      </c>
      <c r="AV6" s="18"/>
      <c r="AW6" s="18" t="s">
        <v>631</v>
      </c>
      <c r="AX6" s="18" t="s">
        <v>631</v>
      </c>
      <c r="AY6" s="18" t="s">
        <v>631</v>
      </c>
      <c r="AZ6" s="39" t="n">
        <v>46309</v>
      </c>
      <c r="BA6" s="10" t="str">
        <f aca="false">IF(C6="","",IF(AND(AB6="Approved",ISERROR(SEARCH("FAIL",AT6))),"Y","N"))</f>
        <v>Y</v>
      </c>
      <c r="BB6" s="10" t="str">
        <f aca="false">IF(C6="","",C6&amp;"|"&amp;D6&amp;"|"&amp;E6&amp;"|"&amp;F6&amp;"|"&amp;BA6)</f>
        <v>L-Wall (heel only)|2|25|N|Y</v>
      </c>
    </row>
    <row r="7" customFormat="false" ht="15" hidden="false" customHeight="false" outlineLevel="0" collapsed="false">
      <c r="A7" s="10" t="str">
        <f aca="false">IF(C7="","","RW-"&amp;IFERROR(VLOOKUP(C7,Lists!$M$4:$N$22,2,0),"??")&amp;"-H"&amp;TEXT(D7*1000,"0000")&amp;"-S"&amp;E7&amp;IF(F7="Y","-GW","")&amp;"-"&amp;AA7)</f>
        <v>RW-RLW-H1500-S25-A</v>
      </c>
      <c r="B7" s="10" t="str">
        <f aca="false">IF(C7="","",C7&amp;", H = "&amp;TEXT(D7,"0.0")&amp;" m, q = "&amp;E7&amp;" kPa"&amp;IF(F7="Y",", with GWT","")&amp;", "&amp;H7)</f>
        <v>Reverse L-Wall (toe only, at boundary), H = 1.5 m, q = 25 kPa, Firm/stiff clay (general)</v>
      </c>
      <c r="C7" s="18" t="s">
        <v>196</v>
      </c>
      <c r="D7" s="36" t="n">
        <v>1.5</v>
      </c>
      <c r="E7" s="35" t="n">
        <v>25</v>
      </c>
      <c r="F7" s="18" t="s">
        <v>74</v>
      </c>
      <c r="G7" s="35" t="n">
        <v>0</v>
      </c>
      <c r="H7" s="18" t="s">
        <v>568</v>
      </c>
      <c r="I7" s="35" t="n">
        <v>26</v>
      </c>
      <c r="J7" s="42" t="n">
        <v>19</v>
      </c>
      <c r="K7" s="35" t="n">
        <v>200</v>
      </c>
      <c r="L7" s="35" t="n">
        <v>250</v>
      </c>
      <c r="M7" s="35" t="n">
        <v>1700</v>
      </c>
      <c r="N7" s="35" t="n">
        <v>1450</v>
      </c>
      <c r="O7" s="35" t="n">
        <v>0</v>
      </c>
      <c r="P7" s="35" t="n">
        <v>300</v>
      </c>
      <c r="Q7" s="18" t="s">
        <v>626</v>
      </c>
      <c r="R7" s="18" t="s">
        <v>531</v>
      </c>
      <c r="S7" s="35" t="n">
        <v>50</v>
      </c>
      <c r="T7" s="18" t="s">
        <v>640</v>
      </c>
      <c r="U7" s="18" t="s">
        <v>640</v>
      </c>
      <c r="V7" s="18" t="s">
        <v>687</v>
      </c>
      <c r="W7" s="36" t="n">
        <v>1.5</v>
      </c>
      <c r="X7" s="36" t="n">
        <v>1.8</v>
      </c>
      <c r="Y7" s="35" t="n">
        <v>120</v>
      </c>
      <c r="Z7" s="18" t="s">
        <v>688</v>
      </c>
      <c r="AA7" s="18" t="s">
        <v>628</v>
      </c>
      <c r="AB7" s="18" t="s">
        <v>244</v>
      </c>
      <c r="AC7" s="18" t="s">
        <v>691</v>
      </c>
      <c r="AD7" s="18" t="n">
        <v>25</v>
      </c>
      <c r="AE7" s="18" t="s">
        <v>74</v>
      </c>
      <c r="AF7" s="10" t="str">
        <f aca="false">IF(A7="","",SG_Criteria!$B$6&amp;SG_Criteria!$B$8&amp;"\"&amp;A7&amp;"\")</f>
        <v>C:\Users\yourname\YourCompany\Design Library - Documents\02_Retaining_Wall\RW-RLW-H1500-S25-A\</v>
      </c>
      <c r="AG7" s="10" t="str">
        <f aca="false">IF(A7="","",A7&amp;"_CAD.dwg")</f>
        <v>RW-RLW-H1500-S25-A_CAD.dwg</v>
      </c>
      <c r="AH7" s="10" t="str">
        <f aca="false">IF(A7="","",A7&amp;"_DWG.pdf")</f>
        <v>RW-RLW-H1500-S25-A_DWG.pdf</v>
      </c>
      <c r="AI7" s="10" t="str">
        <f aca="false">IF(A7="","",IF(AE7="Y",A7&amp;"_STAAD.std","n/a"))</f>
        <v>n/a</v>
      </c>
      <c r="AJ7" s="10" t="str">
        <f aca="false">IF(A7="","",A7&amp;"_CALC.xlsx")</f>
        <v>RW-RLW-H1500-S25-A_CALC.xlsx</v>
      </c>
      <c r="AK7" s="10" t="str">
        <f aca="false">IF(A7="","",A7&amp;"_CALC.pdf")</f>
        <v>RW-RLW-H1500-S25-A_CALC.pdf</v>
      </c>
      <c r="AL7" s="18" t="s">
        <v>74</v>
      </c>
      <c r="AM7" s="18" t="s">
        <v>356</v>
      </c>
      <c r="AN7" s="36" t="n">
        <v>0.92</v>
      </c>
      <c r="AO7" s="36" t="n">
        <v>70</v>
      </c>
      <c r="AP7" s="36" t="n">
        <v>0</v>
      </c>
      <c r="AQ7" s="36" t="n">
        <v>3.6</v>
      </c>
      <c r="AR7" s="36" t="n">
        <v>2.9</v>
      </c>
      <c r="AS7" s="38" t="str">
        <f aca="false">IF(OR(C7="",D7=""),"",IF(D7&lt;=IF(OR(C7="Block / Segmental",C7="Gabion",C7="Reinforced Earth (MSE)"),SG_Criteria!$B$34,SG_Criteria!$B$33),"No ERSS submission",IF(D7&lt;=SG_Criteria!$B$35,"QP(ST)",IF(D7&lt;=SG_Criteria!$B$36,"QP(ST) + AC","Geotechnical building works: QP(Geo) + AC"))))</f>
        <v>No ERSS submission</v>
      </c>
      <c r="AT7" s="38" t="str">
        <f aca="false">IF(C7="","",IF(LEN(IF(AND(R7&lt;&gt;"",IFERROR(VALUE(MID(R7,2,2)),0)&lt;SG_Criteria!$B$19),"FAIL: grade below C"&amp;SG_Criteria!$B$19&amp;". ","")&amp;IF(AND(S7&lt;&gt;"",S7&lt;SG_Criteria!$B$20),"FAIL: cover &lt; "&amp;SG_Criteria!$B$20&amp;" mm. ","")&amp;IF(AND(W7&lt;&gt;"",W7&lt;1),"FAIL: sliding. ","")&amp;IF(AND(C7="Reverse L-Wall (toe only, at boundary)",N(O7)&gt;0),"NOTE: reverse L-wall should have no heel. ","")&amp;IF(AND(C7="L-Wall (heel only)",N(N7)&gt;0),"NOTE: L-wall should have no toe. ","")&amp;IF(AND(E7&lt;&gt;"",E7&lt;SG_Criteria!$B$31),"NOTE: q below LTA min "&amp;SG_Criteria!$B$31&amp;" kPa (not for LTA works). ",""))=0,"OK",IF(AND(R7&lt;&gt;"",IFERROR(VALUE(MID(R7,2,2)),0)&lt;SG_Criteria!$B$19),"FAIL: grade below C"&amp;SG_Criteria!$B$19&amp;". ","")&amp;IF(AND(S7&lt;&gt;"",S7&lt;SG_Criteria!$B$20),"FAIL: cover &lt; "&amp;SG_Criteria!$B$20&amp;" mm. ","")&amp;IF(AND(W7&lt;&gt;"",W7&lt;1),"FAIL: sliding. ","")&amp;IF(AND(C7="Reverse L-Wall (toe only, at boundary)",N(O7)&gt;0),"NOTE: reverse L-wall should have no heel. ","")&amp;IF(AND(C7="L-Wall (heel only)",N(N7)&gt;0),"NOTE: L-wall should have no toe. ","")&amp;IF(AND(E7&lt;&gt;"",E7&lt;SG_Criteria!$B$31),"NOTE: q below LTA min "&amp;SG_Criteria!$B$31&amp;" kPa (not for LTA works). ","")))</f>
        <v>OK</v>
      </c>
      <c r="AU7" s="18" t="s">
        <v>692</v>
      </c>
      <c r="AV7" s="18"/>
      <c r="AW7" s="18" t="s">
        <v>631</v>
      </c>
      <c r="AX7" s="18" t="s">
        <v>631</v>
      </c>
      <c r="AY7" s="18" t="s">
        <v>631</v>
      </c>
      <c r="AZ7" s="39" t="n">
        <v>46309</v>
      </c>
      <c r="BA7" s="10" t="str">
        <f aca="false">IF(C7="","",IF(AND(AB7="Approved",ISERROR(SEARCH("FAIL",AT7))),"Y","N"))</f>
        <v>Y</v>
      </c>
      <c r="BB7" s="10" t="str">
        <f aca="false">IF(C7="","",C7&amp;"|"&amp;D7&amp;"|"&amp;E7&amp;"|"&amp;F7&amp;"|"&amp;BA7)</f>
        <v>Reverse L-Wall (toe only, at boundary)|1.5|25|N|Y</v>
      </c>
    </row>
    <row r="8" customFormat="false" ht="15" hidden="false" customHeight="false" outlineLevel="0" collapsed="false">
      <c r="A8" s="10" t="str">
        <f aca="false">IF(C8="","","RW-"&amp;IFERROR(VLOOKUP(C8,Lists!$M$4:$N$22,2,0),"??")&amp;"-H"&amp;TEXT(D8*1000,"0000")&amp;"-S"&amp;E8&amp;IF(F8="Y","-GW","")&amp;"-"&amp;AA8)</f>
        <v>RW-CANT-H1500-S25-A</v>
      </c>
      <c r="B8" s="10" t="str">
        <f aca="false">IF(C8="","",C8&amp;", H = "&amp;TEXT(D8,"0.0")&amp;" m, q = "&amp;E8&amp;" kPa"&amp;IF(F8="Y",", with GWT","")&amp;", "&amp;H8)</f>
        <v>Cantilever RC (toe &amp; heel), H = 1.5 m, q = 25 kPa, Firm/stiff clay (general)</v>
      </c>
      <c r="C8" s="18" t="s">
        <v>58</v>
      </c>
      <c r="D8" s="36" t="n">
        <v>1.5</v>
      </c>
      <c r="E8" s="35" t="n">
        <v>25</v>
      </c>
      <c r="F8" s="18" t="s">
        <v>74</v>
      </c>
      <c r="G8" s="35" t="n">
        <v>0</v>
      </c>
      <c r="H8" s="18" t="s">
        <v>568</v>
      </c>
      <c r="I8" s="35" t="n">
        <v>26</v>
      </c>
      <c r="J8" s="42" t="n">
        <v>19</v>
      </c>
      <c r="K8" s="35" t="n">
        <v>200</v>
      </c>
      <c r="L8" s="35" t="n">
        <v>250</v>
      </c>
      <c r="M8" s="35" t="n">
        <v>1650</v>
      </c>
      <c r="N8" s="35" t="n">
        <v>400</v>
      </c>
      <c r="O8" s="35" t="n">
        <v>1000</v>
      </c>
      <c r="P8" s="35" t="n">
        <v>300</v>
      </c>
      <c r="Q8" s="18" t="s">
        <v>626</v>
      </c>
      <c r="R8" s="18" t="s">
        <v>531</v>
      </c>
      <c r="S8" s="35" t="n">
        <v>50</v>
      </c>
      <c r="T8" s="18" t="s">
        <v>644</v>
      </c>
      <c r="U8" s="18" t="s">
        <v>644</v>
      </c>
      <c r="V8" s="18" t="s">
        <v>687</v>
      </c>
      <c r="W8" s="36" t="n">
        <v>1.6</v>
      </c>
      <c r="X8" s="36" t="n">
        <v>2.3</v>
      </c>
      <c r="Y8" s="35" t="n">
        <v>80</v>
      </c>
      <c r="Z8" s="18" t="s">
        <v>688</v>
      </c>
      <c r="AA8" s="18" t="s">
        <v>628</v>
      </c>
      <c r="AB8" s="18" t="s">
        <v>244</v>
      </c>
      <c r="AC8" s="18" t="s">
        <v>693</v>
      </c>
      <c r="AD8" s="18" t="n">
        <v>25</v>
      </c>
      <c r="AE8" s="18" t="s">
        <v>74</v>
      </c>
      <c r="AF8" s="10" t="str">
        <f aca="false">IF(A8="","",SG_Criteria!$B$6&amp;SG_Criteria!$B$8&amp;"\"&amp;A8&amp;"\")</f>
        <v>C:\Users\yourname\YourCompany\Design Library - Documents\02_Retaining_Wall\RW-CANT-H1500-S25-A\</v>
      </c>
      <c r="AG8" s="10" t="str">
        <f aca="false">IF(A8="","",A8&amp;"_CAD.dwg")</f>
        <v>RW-CANT-H1500-S25-A_CAD.dwg</v>
      </c>
      <c r="AH8" s="10" t="str">
        <f aca="false">IF(A8="","",A8&amp;"_DWG.pdf")</f>
        <v>RW-CANT-H1500-S25-A_DWG.pdf</v>
      </c>
      <c r="AI8" s="10" t="str">
        <f aca="false">IF(A8="","",IF(AE8="Y",A8&amp;"_STAAD.std","n/a"))</f>
        <v>n/a</v>
      </c>
      <c r="AJ8" s="10" t="str">
        <f aca="false">IF(A8="","",A8&amp;"_CALC.xlsx")</f>
        <v>RW-CANT-H1500-S25-A_CALC.xlsx</v>
      </c>
      <c r="AK8" s="10" t="str">
        <f aca="false">IF(A8="","",A8&amp;"_CALC.pdf")</f>
        <v>RW-CANT-H1500-S25-A_CALC.pdf</v>
      </c>
      <c r="AL8" s="18" t="s">
        <v>74</v>
      </c>
      <c r="AM8" s="18" t="s">
        <v>356</v>
      </c>
      <c r="AN8" s="36" t="n">
        <v>0.9</v>
      </c>
      <c r="AO8" s="36" t="n">
        <v>66</v>
      </c>
      <c r="AP8" s="36" t="n">
        <v>0</v>
      </c>
      <c r="AQ8" s="36" t="n">
        <v>3.6</v>
      </c>
      <c r="AR8" s="36" t="n">
        <v>2.8</v>
      </c>
      <c r="AS8" s="38" t="str">
        <f aca="false">IF(OR(C8="",D8=""),"",IF(D8&lt;=IF(OR(C8="Block / Segmental",C8="Gabion",C8="Reinforced Earth (MSE)"),SG_Criteria!$B$34,SG_Criteria!$B$33),"No ERSS submission",IF(D8&lt;=SG_Criteria!$B$35,"QP(ST)",IF(D8&lt;=SG_Criteria!$B$36,"QP(ST) + AC","Geotechnical building works: QP(Geo) + AC"))))</f>
        <v>No ERSS submission</v>
      </c>
      <c r="AT8" s="38" t="str">
        <f aca="false">IF(C8="","",IF(LEN(IF(AND(R8&lt;&gt;"",IFERROR(VALUE(MID(R8,2,2)),0)&lt;SG_Criteria!$B$19),"FAIL: grade below C"&amp;SG_Criteria!$B$19&amp;". ","")&amp;IF(AND(S8&lt;&gt;"",S8&lt;SG_Criteria!$B$20),"FAIL: cover &lt; "&amp;SG_Criteria!$B$20&amp;" mm. ","")&amp;IF(AND(W8&lt;&gt;"",W8&lt;1),"FAIL: sliding. ","")&amp;IF(AND(C8="Reverse L-Wall (toe only, at boundary)",N(O8)&gt;0),"NOTE: reverse L-wall should have no heel. ","")&amp;IF(AND(C8="L-Wall (heel only)",N(N8)&gt;0),"NOTE: L-wall should have no toe. ","")&amp;IF(AND(E8&lt;&gt;"",E8&lt;SG_Criteria!$B$31),"NOTE: q below LTA min "&amp;SG_Criteria!$B$31&amp;" kPa (not for LTA works). ",""))=0,"OK",IF(AND(R8&lt;&gt;"",IFERROR(VALUE(MID(R8,2,2)),0)&lt;SG_Criteria!$B$19),"FAIL: grade below C"&amp;SG_Criteria!$B$19&amp;". ","")&amp;IF(AND(S8&lt;&gt;"",S8&lt;SG_Criteria!$B$20),"FAIL: cover &lt; "&amp;SG_Criteria!$B$20&amp;" mm. ","")&amp;IF(AND(W8&lt;&gt;"",W8&lt;1),"FAIL: sliding. ","")&amp;IF(AND(C8="Reverse L-Wall (toe only, at boundary)",N(O8)&gt;0),"NOTE: reverse L-wall should have no heel. ","")&amp;IF(AND(C8="L-Wall (heel only)",N(N8)&gt;0),"NOTE: L-wall should have no toe. ","")&amp;IF(AND(E8&lt;&gt;"",E8&lt;SG_Criteria!$B$31),"NOTE: q below LTA min "&amp;SG_Criteria!$B$31&amp;" kPa (not for LTA works). ","")))</f>
        <v>OK</v>
      </c>
      <c r="AU8" s="18" t="s">
        <v>634</v>
      </c>
      <c r="AV8" s="18"/>
      <c r="AW8" s="18" t="s">
        <v>631</v>
      </c>
      <c r="AX8" s="18" t="s">
        <v>631</v>
      </c>
      <c r="AY8" s="18" t="s">
        <v>631</v>
      </c>
      <c r="AZ8" s="39" t="n">
        <v>46309</v>
      </c>
      <c r="BA8" s="10" t="str">
        <f aca="false">IF(C8="","",IF(AND(AB8="Approved",ISERROR(SEARCH("FAIL",AT8))),"Y","N"))</f>
        <v>Y</v>
      </c>
      <c r="BB8" s="10" t="str">
        <f aca="false">IF(C8="","",C8&amp;"|"&amp;D8&amp;"|"&amp;E8&amp;"|"&amp;F8&amp;"|"&amp;BA8)</f>
        <v>Cantilever RC (toe &amp; heel)|1.5|25|N|Y</v>
      </c>
    </row>
    <row r="9" customFormat="false" ht="15" hidden="false" customHeight="false" outlineLevel="0" collapsed="false">
      <c r="A9" s="10" t="str">
        <f aca="false">IF(C9="","","RW-"&amp;IFERROR(VLOOKUP(C9,Lists!$M$4:$N$22,2,0),"??")&amp;"-H"&amp;TEXT(D9*1000,"0000")&amp;"-S"&amp;E9&amp;IF(F9="Y","-GW","")&amp;"-"&amp;AA9)</f>
        <v>RW-CANT-H2000-S25-A</v>
      </c>
      <c r="B9" s="10" t="str">
        <f aca="false">IF(C9="","",C9&amp;", H = "&amp;TEXT(D9,"0.0")&amp;" m, q = "&amp;E9&amp;" kPa"&amp;IF(F9="Y",", with GWT","")&amp;", "&amp;H9)</f>
        <v>Cantilever RC (toe &amp; heel), H = 2.0 m, q = 25 kPa, Firm/stiff clay (general)</v>
      </c>
      <c r="C9" s="18" t="s">
        <v>58</v>
      </c>
      <c r="D9" s="36" t="n">
        <v>2</v>
      </c>
      <c r="E9" s="35" t="n">
        <v>25</v>
      </c>
      <c r="F9" s="18" t="s">
        <v>74</v>
      </c>
      <c r="G9" s="35" t="n">
        <v>0</v>
      </c>
      <c r="H9" s="18" t="s">
        <v>568</v>
      </c>
      <c r="I9" s="35" t="n">
        <v>26</v>
      </c>
      <c r="J9" s="42" t="n">
        <v>19</v>
      </c>
      <c r="K9" s="35" t="n">
        <v>200</v>
      </c>
      <c r="L9" s="35" t="n">
        <v>300</v>
      </c>
      <c r="M9" s="35" t="n">
        <v>2100</v>
      </c>
      <c r="N9" s="35" t="n">
        <v>500</v>
      </c>
      <c r="O9" s="35" t="n">
        <v>1300</v>
      </c>
      <c r="P9" s="35" t="n">
        <v>350</v>
      </c>
      <c r="Q9" s="18" t="s">
        <v>626</v>
      </c>
      <c r="R9" s="18" t="s">
        <v>531</v>
      </c>
      <c r="S9" s="35" t="n">
        <v>50</v>
      </c>
      <c r="T9" s="18" t="s">
        <v>640</v>
      </c>
      <c r="U9" s="18" t="s">
        <v>640</v>
      </c>
      <c r="V9" s="18" t="s">
        <v>687</v>
      </c>
      <c r="W9" s="36" t="n">
        <v>1.5</v>
      </c>
      <c r="X9" s="36" t="n">
        <v>2.2</v>
      </c>
      <c r="Y9" s="35" t="n">
        <v>95</v>
      </c>
      <c r="Z9" s="18" t="s">
        <v>688</v>
      </c>
      <c r="AA9" s="18" t="s">
        <v>628</v>
      </c>
      <c r="AB9" s="18" t="s">
        <v>244</v>
      </c>
      <c r="AC9" s="18" t="s">
        <v>694</v>
      </c>
      <c r="AD9" s="18" t="n">
        <v>25</v>
      </c>
      <c r="AE9" s="18" t="s">
        <v>74</v>
      </c>
      <c r="AF9" s="10" t="str">
        <f aca="false">IF(A9="","",SG_Criteria!$B$6&amp;SG_Criteria!$B$8&amp;"\"&amp;A9&amp;"\")</f>
        <v>C:\Users\yourname\YourCompany\Design Library - Documents\02_Retaining_Wall\RW-CANT-H2000-S25-A\</v>
      </c>
      <c r="AG9" s="10" t="str">
        <f aca="false">IF(A9="","",A9&amp;"_CAD.dwg")</f>
        <v>RW-CANT-H2000-S25-A_CAD.dwg</v>
      </c>
      <c r="AH9" s="10" t="str">
        <f aca="false">IF(A9="","",A9&amp;"_DWG.pdf")</f>
        <v>RW-CANT-H2000-S25-A_DWG.pdf</v>
      </c>
      <c r="AI9" s="10" t="str">
        <f aca="false">IF(A9="","",IF(AE9="Y",A9&amp;"_STAAD.std","n/a"))</f>
        <v>n/a</v>
      </c>
      <c r="AJ9" s="10" t="str">
        <f aca="false">IF(A9="","",A9&amp;"_CALC.xlsx")</f>
        <v>RW-CANT-H2000-S25-A_CALC.xlsx</v>
      </c>
      <c r="AK9" s="10" t="str">
        <f aca="false">IF(A9="","",A9&amp;"_CALC.pdf")</f>
        <v>RW-CANT-H2000-S25-A_CALC.pdf</v>
      </c>
      <c r="AL9" s="18" t="s">
        <v>74</v>
      </c>
      <c r="AM9" s="18" t="s">
        <v>356</v>
      </c>
      <c r="AN9" s="36" t="n">
        <v>1.28</v>
      </c>
      <c r="AO9" s="36" t="n">
        <v>94</v>
      </c>
      <c r="AP9" s="36" t="n">
        <v>0</v>
      </c>
      <c r="AQ9" s="36" t="n">
        <v>4.7</v>
      </c>
      <c r="AR9" s="36" t="n">
        <v>3.7</v>
      </c>
      <c r="AS9" s="38" t="str">
        <f aca="false">IF(OR(C9="",D9=""),"",IF(D9&lt;=IF(OR(C9="Block / Segmental",C9="Gabion",C9="Reinforced Earth (MSE)"),SG_Criteria!$B$34,SG_Criteria!$B$33),"No ERSS submission",IF(D9&lt;=SG_Criteria!$B$35,"QP(ST)",IF(D9&lt;=SG_Criteria!$B$36,"QP(ST) + AC","Geotechnical building works: QP(Geo) + AC"))))</f>
        <v>QP(ST)</v>
      </c>
      <c r="AT9" s="38" t="str">
        <f aca="false">IF(C9="","",IF(LEN(IF(AND(R9&lt;&gt;"",IFERROR(VALUE(MID(R9,2,2)),0)&lt;SG_Criteria!$B$19),"FAIL: grade below C"&amp;SG_Criteria!$B$19&amp;". ","")&amp;IF(AND(S9&lt;&gt;"",S9&lt;SG_Criteria!$B$20),"FAIL: cover &lt; "&amp;SG_Criteria!$B$20&amp;" mm. ","")&amp;IF(AND(W9&lt;&gt;"",W9&lt;1),"FAIL: sliding. ","")&amp;IF(AND(C9="Reverse L-Wall (toe only, at boundary)",N(O9)&gt;0),"NOTE: reverse L-wall should have no heel. ","")&amp;IF(AND(C9="L-Wall (heel only)",N(N9)&gt;0),"NOTE: L-wall should have no toe. ","")&amp;IF(AND(E9&lt;&gt;"",E9&lt;SG_Criteria!$B$31),"NOTE: q below LTA min "&amp;SG_Criteria!$B$31&amp;" kPa (not for LTA works). ",""))=0,"OK",IF(AND(R9&lt;&gt;"",IFERROR(VALUE(MID(R9,2,2)),0)&lt;SG_Criteria!$B$19),"FAIL: grade below C"&amp;SG_Criteria!$B$19&amp;". ","")&amp;IF(AND(S9&lt;&gt;"",S9&lt;SG_Criteria!$B$20),"FAIL: cover &lt; "&amp;SG_Criteria!$B$20&amp;" mm. ","")&amp;IF(AND(W9&lt;&gt;"",W9&lt;1),"FAIL: sliding. ","")&amp;IF(AND(C9="Reverse L-Wall (toe only, at boundary)",N(O9)&gt;0),"NOTE: reverse L-wall should have no heel. ","")&amp;IF(AND(C9="L-Wall (heel only)",N(N9)&gt;0),"NOTE: L-wall should have no toe. ","")&amp;IF(AND(E9&lt;&gt;"",E9&lt;SG_Criteria!$B$31),"NOTE: q below LTA min "&amp;SG_Criteria!$B$31&amp;" kPa (not for LTA works). ","")))</f>
        <v>OK</v>
      </c>
      <c r="AU9" s="18" t="s">
        <v>634</v>
      </c>
      <c r="AV9" s="18"/>
      <c r="AW9" s="18" t="s">
        <v>631</v>
      </c>
      <c r="AX9" s="18" t="s">
        <v>631</v>
      </c>
      <c r="AY9" s="18" t="s">
        <v>631</v>
      </c>
      <c r="AZ9" s="39" t="n">
        <v>46309</v>
      </c>
      <c r="BA9" s="10" t="str">
        <f aca="false">IF(C9="","",IF(AND(AB9="Approved",ISERROR(SEARCH("FAIL",AT9))),"Y","N"))</f>
        <v>Y</v>
      </c>
      <c r="BB9" s="10" t="str">
        <f aca="false">IF(C9="","",C9&amp;"|"&amp;D9&amp;"|"&amp;E9&amp;"|"&amp;F9&amp;"|"&amp;BA9)</f>
        <v>Cantilever RC (toe &amp; heel)|2|25|N|Y</v>
      </c>
    </row>
    <row r="10" customFormat="false" ht="15" hidden="false" customHeight="false" outlineLevel="0" collapsed="false">
      <c r="A10" s="10" t="str">
        <f aca="false">IF(C10="","","RW-"&amp;IFERROR(VLOOKUP(C10,Lists!$M$4:$N$22,2,0),"??")&amp;"-H"&amp;TEXT(D10*1000,"0000")&amp;"-S"&amp;E10&amp;IF(F10="Y","-GW","")&amp;"-"&amp;AA10)</f>
        <v>RW-CANT-H2500-S25-A</v>
      </c>
      <c r="B10" s="10" t="str">
        <f aca="false">IF(C10="","",C10&amp;", H = "&amp;TEXT(D10,"0.0")&amp;" m, q = "&amp;E10&amp;" kPa"&amp;IF(F10="Y",", with GWT","")&amp;", "&amp;H10)</f>
        <v>Cantilever RC (toe &amp; heel), H = 2.5 m, q = 25 kPa, Firm/stiff clay (general)</v>
      </c>
      <c r="C10" s="18" t="s">
        <v>58</v>
      </c>
      <c r="D10" s="36" t="n">
        <v>2.5</v>
      </c>
      <c r="E10" s="35" t="n">
        <v>25</v>
      </c>
      <c r="F10" s="18" t="s">
        <v>74</v>
      </c>
      <c r="G10" s="35" t="n">
        <v>0</v>
      </c>
      <c r="H10" s="18" t="s">
        <v>568</v>
      </c>
      <c r="I10" s="35" t="n">
        <v>26</v>
      </c>
      <c r="J10" s="42" t="n">
        <v>19</v>
      </c>
      <c r="K10" s="35" t="n">
        <v>200</v>
      </c>
      <c r="L10" s="35" t="n">
        <v>350</v>
      </c>
      <c r="M10" s="35" t="n">
        <v>2500</v>
      </c>
      <c r="N10" s="35" t="n">
        <v>600</v>
      </c>
      <c r="O10" s="35" t="n">
        <v>1550</v>
      </c>
      <c r="P10" s="35" t="n">
        <v>400</v>
      </c>
      <c r="Q10" s="18" t="s">
        <v>626</v>
      </c>
      <c r="R10" s="18" t="s">
        <v>531</v>
      </c>
      <c r="S10" s="35" t="n">
        <v>50</v>
      </c>
      <c r="T10" s="18" t="s">
        <v>643</v>
      </c>
      <c r="U10" s="18" t="s">
        <v>643</v>
      </c>
      <c r="V10" s="18" t="s">
        <v>687</v>
      </c>
      <c r="W10" s="36" t="n">
        <v>1.5</v>
      </c>
      <c r="X10" s="36" t="n">
        <v>2.1</v>
      </c>
      <c r="Y10" s="35" t="n">
        <v>110</v>
      </c>
      <c r="Z10" s="18" t="s">
        <v>688</v>
      </c>
      <c r="AA10" s="18" t="s">
        <v>628</v>
      </c>
      <c r="AB10" s="18" t="s">
        <v>244</v>
      </c>
      <c r="AC10" s="18" t="s">
        <v>695</v>
      </c>
      <c r="AD10" s="18" t="n">
        <v>25</v>
      </c>
      <c r="AE10" s="18" t="s">
        <v>74</v>
      </c>
      <c r="AF10" s="10" t="str">
        <f aca="false">IF(A10="","",SG_Criteria!$B$6&amp;SG_Criteria!$B$8&amp;"\"&amp;A10&amp;"\")</f>
        <v>C:\Users\yourname\YourCompany\Design Library - Documents\02_Retaining_Wall\RW-CANT-H2500-S25-A\</v>
      </c>
      <c r="AG10" s="10" t="str">
        <f aca="false">IF(A10="","",A10&amp;"_CAD.dwg")</f>
        <v>RW-CANT-H2500-S25-A_CAD.dwg</v>
      </c>
      <c r="AH10" s="10" t="str">
        <f aca="false">IF(A10="","",A10&amp;"_DWG.pdf")</f>
        <v>RW-CANT-H2500-S25-A_DWG.pdf</v>
      </c>
      <c r="AI10" s="10" t="str">
        <f aca="false">IF(A10="","",IF(AE10="Y",A10&amp;"_STAAD.std","n/a"))</f>
        <v>n/a</v>
      </c>
      <c r="AJ10" s="10" t="str">
        <f aca="false">IF(A10="","",A10&amp;"_CALC.xlsx")</f>
        <v>RW-CANT-H2500-S25-A_CALC.xlsx</v>
      </c>
      <c r="AK10" s="10" t="str">
        <f aca="false">IF(A10="","",A10&amp;"_CALC.pdf")</f>
        <v>RW-CANT-H2500-S25-A_CALC.pdf</v>
      </c>
      <c r="AL10" s="18" t="s">
        <v>74</v>
      </c>
      <c r="AM10" s="18" t="s">
        <v>356</v>
      </c>
      <c r="AN10" s="36" t="n">
        <v>1.7</v>
      </c>
      <c r="AO10" s="36" t="n">
        <v>128</v>
      </c>
      <c r="AP10" s="36" t="n">
        <v>0</v>
      </c>
      <c r="AQ10" s="36" t="n">
        <v>5.8</v>
      </c>
      <c r="AR10" s="36" t="n">
        <v>4.6</v>
      </c>
      <c r="AS10" s="38" t="str">
        <f aca="false">IF(OR(C10="",D10=""),"",IF(D10&lt;=IF(OR(C10="Block / Segmental",C10="Gabion",C10="Reinforced Earth (MSE)"),SG_Criteria!$B$34,SG_Criteria!$B$33),"No ERSS submission",IF(D10&lt;=SG_Criteria!$B$35,"QP(ST)",IF(D10&lt;=SG_Criteria!$B$36,"QP(ST) + AC","Geotechnical building works: QP(Geo) + AC"))))</f>
        <v>QP(ST)</v>
      </c>
      <c r="AT10" s="38" t="str">
        <f aca="false">IF(C10="","",IF(LEN(IF(AND(R10&lt;&gt;"",IFERROR(VALUE(MID(R10,2,2)),0)&lt;SG_Criteria!$B$19),"FAIL: grade below C"&amp;SG_Criteria!$B$19&amp;". ","")&amp;IF(AND(S10&lt;&gt;"",S10&lt;SG_Criteria!$B$20),"FAIL: cover &lt; "&amp;SG_Criteria!$B$20&amp;" mm. ","")&amp;IF(AND(W10&lt;&gt;"",W10&lt;1),"FAIL: sliding. ","")&amp;IF(AND(C10="Reverse L-Wall (toe only, at boundary)",N(O10)&gt;0),"NOTE: reverse L-wall should have no heel. ","")&amp;IF(AND(C10="L-Wall (heel only)",N(N10)&gt;0),"NOTE: L-wall should have no toe. ","")&amp;IF(AND(E10&lt;&gt;"",E10&lt;SG_Criteria!$B$31),"NOTE: q below LTA min "&amp;SG_Criteria!$B$31&amp;" kPa (not for LTA works). ",""))=0,"OK",IF(AND(R10&lt;&gt;"",IFERROR(VALUE(MID(R10,2,2)),0)&lt;SG_Criteria!$B$19),"FAIL: grade below C"&amp;SG_Criteria!$B$19&amp;". ","")&amp;IF(AND(S10&lt;&gt;"",S10&lt;SG_Criteria!$B$20),"FAIL: cover &lt; "&amp;SG_Criteria!$B$20&amp;" mm. ","")&amp;IF(AND(W10&lt;&gt;"",W10&lt;1),"FAIL: sliding. ","")&amp;IF(AND(C10="Reverse L-Wall (toe only, at boundary)",N(O10)&gt;0),"NOTE: reverse L-wall should have no heel. ","")&amp;IF(AND(C10="L-Wall (heel only)",N(N10)&gt;0),"NOTE: L-wall should have no toe. ","")&amp;IF(AND(E10&lt;&gt;"",E10&lt;SG_Criteria!$B$31),"NOTE: q below LTA min "&amp;SG_Criteria!$B$31&amp;" kPa (not for LTA works). ","")))</f>
        <v>OK</v>
      </c>
      <c r="AU10" s="18" t="s">
        <v>634</v>
      </c>
      <c r="AV10" s="18"/>
      <c r="AW10" s="18" t="s">
        <v>631</v>
      </c>
      <c r="AX10" s="18" t="s">
        <v>631</v>
      </c>
      <c r="AY10" s="18" t="s">
        <v>631</v>
      </c>
      <c r="AZ10" s="39" t="n">
        <v>46309</v>
      </c>
      <c r="BA10" s="10" t="str">
        <f aca="false">IF(C10="","",IF(AND(AB10="Approved",ISERROR(SEARCH("FAIL",AT10))),"Y","N"))</f>
        <v>Y</v>
      </c>
      <c r="BB10" s="10" t="str">
        <f aca="false">IF(C10="","",C10&amp;"|"&amp;D10&amp;"|"&amp;E10&amp;"|"&amp;F10&amp;"|"&amp;BA10)</f>
        <v>Cantilever RC (toe &amp; heel)|2.5|25|N|Y</v>
      </c>
    </row>
    <row r="11" customFormat="false" ht="15" hidden="false" customHeight="false" outlineLevel="0" collapsed="false">
      <c r="A11" s="10" t="str">
        <f aca="false">IF(C11="","","RW-"&amp;IFERROR(VLOOKUP(C11,Lists!$M$4:$N$22,2,0),"??")&amp;"-H"&amp;TEXT(D11*1000,"0000")&amp;"-S"&amp;E11&amp;IF(F11="Y","-GW","")&amp;"-"&amp;AA11)</f>
        <v>RW-CANT-H3000-S25-A</v>
      </c>
      <c r="B11" s="10" t="str">
        <f aca="false">IF(C11="","",C11&amp;", H = "&amp;TEXT(D11,"0.0")&amp;" m, q = "&amp;E11&amp;" kPa"&amp;IF(F11="Y",", with GWT","")&amp;", "&amp;H11)</f>
        <v>Cantilever RC (toe &amp; heel), H = 3.0 m, q = 25 kPa, Firm/stiff clay (general)</v>
      </c>
      <c r="C11" s="18" t="s">
        <v>58</v>
      </c>
      <c r="D11" s="36" t="n">
        <v>3</v>
      </c>
      <c r="E11" s="35" t="n">
        <v>25</v>
      </c>
      <c r="F11" s="18" t="s">
        <v>74</v>
      </c>
      <c r="G11" s="35" t="n">
        <v>0</v>
      </c>
      <c r="H11" s="18" t="s">
        <v>568</v>
      </c>
      <c r="I11" s="35" t="n">
        <v>26</v>
      </c>
      <c r="J11" s="42" t="n">
        <v>19</v>
      </c>
      <c r="K11" s="35" t="n">
        <v>200</v>
      </c>
      <c r="L11" s="35" t="n">
        <v>400</v>
      </c>
      <c r="M11" s="35" t="n">
        <v>2950</v>
      </c>
      <c r="N11" s="35" t="n">
        <v>700</v>
      </c>
      <c r="O11" s="35" t="n">
        <v>1850</v>
      </c>
      <c r="P11" s="35" t="n">
        <v>450</v>
      </c>
      <c r="Q11" s="18" t="s">
        <v>626</v>
      </c>
      <c r="R11" s="18" t="s">
        <v>531</v>
      </c>
      <c r="S11" s="35" t="n">
        <v>50</v>
      </c>
      <c r="T11" s="18" t="s">
        <v>696</v>
      </c>
      <c r="U11" s="18" t="s">
        <v>643</v>
      </c>
      <c r="V11" s="18" t="s">
        <v>687</v>
      </c>
      <c r="W11" s="36" t="n">
        <v>1.5</v>
      </c>
      <c r="X11" s="36" t="n">
        <v>2</v>
      </c>
      <c r="Y11" s="35" t="n">
        <v>128</v>
      </c>
      <c r="Z11" s="18" t="s">
        <v>688</v>
      </c>
      <c r="AA11" s="18" t="s">
        <v>628</v>
      </c>
      <c r="AB11" s="18" t="s">
        <v>244</v>
      </c>
      <c r="AC11" s="18" t="s">
        <v>697</v>
      </c>
      <c r="AD11" s="18" t="n">
        <v>25</v>
      </c>
      <c r="AE11" s="18" t="s">
        <v>74</v>
      </c>
      <c r="AF11" s="10" t="str">
        <f aca="false">IF(A11="","",SG_Criteria!$B$6&amp;SG_Criteria!$B$8&amp;"\"&amp;A11&amp;"\")</f>
        <v>C:\Users\yourname\YourCompany\Design Library - Documents\02_Retaining_Wall\RW-CANT-H3000-S25-A\</v>
      </c>
      <c r="AG11" s="10" t="str">
        <f aca="false">IF(A11="","",A11&amp;"_CAD.dwg")</f>
        <v>RW-CANT-H3000-S25-A_CAD.dwg</v>
      </c>
      <c r="AH11" s="10" t="str">
        <f aca="false">IF(A11="","",A11&amp;"_DWG.pdf")</f>
        <v>RW-CANT-H3000-S25-A_DWG.pdf</v>
      </c>
      <c r="AI11" s="10" t="str">
        <f aca="false">IF(A11="","",IF(AE11="Y",A11&amp;"_STAAD.std","n/a"))</f>
        <v>n/a</v>
      </c>
      <c r="AJ11" s="10" t="str">
        <f aca="false">IF(A11="","",A11&amp;"_CALC.xlsx")</f>
        <v>RW-CANT-H3000-S25-A_CALC.xlsx</v>
      </c>
      <c r="AK11" s="10" t="str">
        <f aca="false">IF(A11="","",A11&amp;"_CALC.pdf")</f>
        <v>RW-CANT-H3000-S25-A_CALC.pdf</v>
      </c>
      <c r="AL11" s="18" t="s">
        <v>74</v>
      </c>
      <c r="AM11" s="18" t="s">
        <v>356</v>
      </c>
      <c r="AN11" s="36" t="n">
        <v>2.2</v>
      </c>
      <c r="AO11" s="36" t="n">
        <v>170</v>
      </c>
      <c r="AP11" s="36" t="n">
        <v>0</v>
      </c>
      <c r="AQ11" s="36" t="n">
        <v>6.9</v>
      </c>
      <c r="AR11" s="36" t="n">
        <v>5.7</v>
      </c>
      <c r="AS11" s="38" t="str">
        <f aca="false">IF(OR(C11="",D11=""),"",IF(D11&lt;=IF(OR(C11="Block / Segmental",C11="Gabion",C11="Reinforced Earth (MSE)"),SG_Criteria!$B$34,SG_Criteria!$B$33),"No ERSS submission",IF(D11&lt;=SG_Criteria!$B$35,"QP(ST)",IF(D11&lt;=SG_Criteria!$B$36,"QP(ST) + AC","Geotechnical building works: QP(Geo) + AC"))))</f>
        <v>QP(ST)</v>
      </c>
      <c r="AT11" s="38" t="str">
        <f aca="false">IF(C11="","",IF(LEN(IF(AND(R11&lt;&gt;"",IFERROR(VALUE(MID(R11,2,2)),0)&lt;SG_Criteria!$B$19),"FAIL: grade below C"&amp;SG_Criteria!$B$19&amp;". ","")&amp;IF(AND(S11&lt;&gt;"",S11&lt;SG_Criteria!$B$20),"FAIL: cover &lt; "&amp;SG_Criteria!$B$20&amp;" mm. ","")&amp;IF(AND(W11&lt;&gt;"",W11&lt;1),"FAIL: sliding. ","")&amp;IF(AND(C11="Reverse L-Wall (toe only, at boundary)",N(O11)&gt;0),"NOTE: reverse L-wall should have no heel. ","")&amp;IF(AND(C11="L-Wall (heel only)",N(N11)&gt;0),"NOTE: L-wall should have no toe. ","")&amp;IF(AND(E11&lt;&gt;"",E11&lt;SG_Criteria!$B$31),"NOTE: q below LTA min "&amp;SG_Criteria!$B$31&amp;" kPa (not for LTA works). ",""))=0,"OK",IF(AND(R11&lt;&gt;"",IFERROR(VALUE(MID(R11,2,2)),0)&lt;SG_Criteria!$B$19),"FAIL: grade below C"&amp;SG_Criteria!$B$19&amp;". ","")&amp;IF(AND(S11&lt;&gt;"",S11&lt;SG_Criteria!$B$20),"FAIL: cover &lt; "&amp;SG_Criteria!$B$20&amp;" mm. ","")&amp;IF(AND(W11&lt;&gt;"",W11&lt;1),"FAIL: sliding. ","")&amp;IF(AND(C11="Reverse L-Wall (toe only, at boundary)",N(O11)&gt;0),"NOTE: reverse L-wall should have no heel. ","")&amp;IF(AND(C11="L-Wall (heel only)",N(N11)&gt;0),"NOTE: L-wall should have no toe. ","")&amp;IF(AND(E11&lt;&gt;"",E11&lt;SG_Criteria!$B$31),"NOTE: q below LTA min "&amp;SG_Criteria!$B$31&amp;" kPa (not for LTA works). ","")))</f>
        <v>OK</v>
      </c>
      <c r="AU11" s="18" t="s">
        <v>634</v>
      </c>
      <c r="AV11" s="18"/>
      <c r="AW11" s="18" t="s">
        <v>631</v>
      </c>
      <c r="AX11" s="18" t="s">
        <v>631</v>
      </c>
      <c r="AY11" s="18" t="s">
        <v>631</v>
      </c>
      <c r="AZ11" s="39" t="n">
        <v>46309</v>
      </c>
      <c r="BA11" s="10" t="str">
        <f aca="false">IF(C11="","",IF(AND(AB11="Approved",ISERROR(SEARCH("FAIL",AT11))),"Y","N"))</f>
        <v>Y</v>
      </c>
      <c r="BB11" s="10" t="str">
        <f aca="false">IF(C11="","",C11&amp;"|"&amp;D11&amp;"|"&amp;E11&amp;"|"&amp;F11&amp;"|"&amp;BA11)</f>
        <v>Cantilever RC (toe &amp; heel)|3|25|N|Y</v>
      </c>
    </row>
    <row r="12" customFormat="false" ht="15" hidden="false" customHeight="false" outlineLevel="0" collapsed="false">
      <c r="A12" s="10" t="str">
        <f aca="false">IF(C12="","","RW-"&amp;IFERROR(VLOOKUP(C12,Lists!$M$4:$N$22,2,0),"??")&amp;"-H"&amp;TEXT(D12*1000,"0000")&amp;"-S"&amp;E12&amp;IF(F12="Y","-GW","")&amp;"-"&amp;AA12)</f>
        <v>RW-CANT-H3500-S25-A</v>
      </c>
      <c r="B12" s="10" t="str">
        <f aca="false">IF(C12="","",C12&amp;", H = "&amp;TEXT(D12,"0.0")&amp;" m, q = "&amp;E12&amp;" kPa"&amp;IF(F12="Y",", with GWT","")&amp;", "&amp;H12)</f>
        <v>Cantilever RC (toe &amp; heel), H = 3.5 m, q = 25 kPa, Firm/stiff clay (general)</v>
      </c>
      <c r="C12" s="18" t="s">
        <v>58</v>
      </c>
      <c r="D12" s="36" t="n">
        <v>3.5</v>
      </c>
      <c r="E12" s="35" t="n">
        <v>25</v>
      </c>
      <c r="F12" s="18" t="s">
        <v>74</v>
      </c>
      <c r="G12" s="35" t="n">
        <v>0</v>
      </c>
      <c r="H12" s="18" t="s">
        <v>568</v>
      </c>
      <c r="I12" s="35" t="n">
        <v>26</v>
      </c>
      <c r="J12" s="42" t="n">
        <v>19</v>
      </c>
      <c r="K12" s="35" t="n">
        <v>250</v>
      </c>
      <c r="L12" s="35" t="n">
        <v>450</v>
      </c>
      <c r="M12" s="35" t="n">
        <v>3350</v>
      </c>
      <c r="N12" s="35" t="n">
        <v>800</v>
      </c>
      <c r="O12" s="35" t="n">
        <v>2100</v>
      </c>
      <c r="P12" s="35" t="n">
        <v>500</v>
      </c>
      <c r="Q12" s="18" t="s">
        <v>626</v>
      </c>
      <c r="R12" s="18" t="s">
        <v>531</v>
      </c>
      <c r="S12" s="35" t="n">
        <v>50</v>
      </c>
      <c r="T12" s="18" t="s">
        <v>652</v>
      </c>
      <c r="U12" s="18" t="s">
        <v>696</v>
      </c>
      <c r="V12" s="18" t="s">
        <v>687</v>
      </c>
      <c r="W12" s="36" t="n">
        <v>1.5</v>
      </c>
      <c r="X12" s="36" t="n">
        <v>2</v>
      </c>
      <c r="Y12" s="35" t="n">
        <v>142</v>
      </c>
      <c r="Z12" s="18" t="s">
        <v>688</v>
      </c>
      <c r="AA12" s="18" t="s">
        <v>628</v>
      </c>
      <c r="AB12" s="18" t="s">
        <v>244</v>
      </c>
      <c r="AC12" s="18" t="s">
        <v>698</v>
      </c>
      <c r="AD12" s="18" t="n">
        <v>50</v>
      </c>
      <c r="AE12" s="18" t="s">
        <v>74</v>
      </c>
      <c r="AF12" s="10" t="str">
        <f aca="false">IF(A12="","",SG_Criteria!$B$6&amp;SG_Criteria!$B$8&amp;"\"&amp;A12&amp;"\")</f>
        <v>C:\Users\yourname\YourCompany\Design Library - Documents\02_Retaining_Wall\RW-CANT-H3500-S25-A\</v>
      </c>
      <c r="AG12" s="10" t="str">
        <f aca="false">IF(A12="","",A12&amp;"_CAD.dwg")</f>
        <v>RW-CANT-H3500-S25-A_CAD.dwg</v>
      </c>
      <c r="AH12" s="10" t="str">
        <f aca="false">IF(A12="","",A12&amp;"_DWG.pdf")</f>
        <v>RW-CANT-H3500-S25-A_DWG.pdf</v>
      </c>
      <c r="AI12" s="10" t="str">
        <f aca="false">IF(A12="","",IF(AE12="Y",A12&amp;"_STAAD.std","n/a"))</f>
        <v>n/a</v>
      </c>
      <c r="AJ12" s="10" t="str">
        <f aca="false">IF(A12="","",A12&amp;"_CALC.xlsx")</f>
        <v>RW-CANT-H3500-S25-A_CALC.xlsx</v>
      </c>
      <c r="AK12" s="10" t="str">
        <f aca="false">IF(A12="","",A12&amp;"_CALC.pdf")</f>
        <v>RW-CANT-H3500-S25-A_CALC.pdf</v>
      </c>
      <c r="AL12" s="18" t="s">
        <v>74</v>
      </c>
      <c r="AM12" s="18" t="s">
        <v>356</v>
      </c>
      <c r="AN12" s="36" t="n">
        <v>2.78</v>
      </c>
      <c r="AO12" s="36" t="n">
        <v>222</v>
      </c>
      <c r="AP12" s="36" t="n">
        <v>0</v>
      </c>
      <c r="AQ12" s="36" t="n">
        <v>8</v>
      </c>
      <c r="AR12" s="36" t="n">
        <v>6.9</v>
      </c>
      <c r="AS12" s="38" t="str">
        <f aca="false">IF(OR(C12="",D12=""),"",IF(D12&lt;=IF(OR(C12="Block / Segmental",C12="Gabion",C12="Reinforced Earth (MSE)"),SG_Criteria!$B$34,SG_Criteria!$B$33),"No ERSS submission",IF(D12&lt;=SG_Criteria!$B$35,"QP(ST)",IF(D12&lt;=SG_Criteria!$B$36,"QP(ST) + AC","Geotechnical building works: QP(Geo) + AC"))))</f>
        <v>QP(ST)</v>
      </c>
      <c r="AT12" s="38" t="str">
        <f aca="false">IF(C12="","",IF(LEN(IF(AND(R12&lt;&gt;"",IFERROR(VALUE(MID(R12,2,2)),0)&lt;SG_Criteria!$B$19),"FAIL: grade below C"&amp;SG_Criteria!$B$19&amp;". ","")&amp;IF(AND(S12&lt;&gt;"",S12&lt;SG_Criteria!$B$20),"FAIL: cover &lt; "&amp;SG_Criteria!$B$20&amp;" mm. ","")&amp;IF(AND(W12&lt;&gt;"",W12&lt;1),"FAIL: sliding. ","")&amp;IF(AND(C12="Reverse L-Wall (toe only, at boundary)",N(O12)&gt;0),"NOTE: reverse L-wall should have no heel. ","")&amp;IF(AND(C12="L-Wall (heel only)",N(N12)&gt;0),"NOTE: L-wall should have no toe. ","")&amp;IF(AND(E12&lt;&gt;"",E12&lt;SG_Criteria!$B$31),"NOTE: q below LTA min "&amp;SG_Criteria!$B$31&amp;" kPa (not for LTA works). ",""))=0,"OK",IF(AND(R12&lt;&gt;"",IFERROR(VALUE(MID(R12,2,2)),0)&lt;SG_Criteria!$B$19),"FAIL: grade below C"&amp;SG_Criteria!$B$19&amp;". ","")&amp;IF(AND(S12&lt;&gt;"",S12&lt;SG_Criteria!$B$20),"FAIL: cover &lt; "&amp;SG_Criteria!$B$20&amp;" mm. ","")&amp;IF(AND(W12&lt;&gt;"",W12&lt;1),"FAIL: sliding. ","")&amp;IF(AND(C12="Reverse L-Wall (toe only, at boundary)",N(O12)&gt;0),"NOTE: reverse L-wall should have no heel. ","")&amp;IF(AND(C12="L-Wall (heel only)",N(N12)&gt;0),"NOTE: L-wall should have no toe. ","")&amp;IF(AND(E12&lt;&gt;"",E12&lt;SG_Criteria!$B$31),"NOTE: q below LTA min "&amp;SG_Criteria!$B$31&amp;" kPa (not for LTA works). ","")))</f>
        <v>OK</v>
      </c>
      <c r="AU12" s="18" t="s">
        <v>634</v>
      </c>
      <c r="AV12" s="18"/>
      <c r="AW12" s="18" t="s">
        <v>631</v>
      </c>
      <c r="AX12" s="18" t="s">
        <v>631</v>
      </c>
      <c r="AY12" s="18" t="s">
        <v>631</v>
      </c>
      <c r="AZ12" s="39" t="n">
        <v>46309</v>
      </c>
      <c r="BA12" s="10" t="str">
        <f aca="false">IF(C12="","",IF(AND(AB12="Approved",ISERROR(SEARCH("FAIL",AT12))),"Y","N"))</f>
        <v>Y</v>
      </c>
      <c r="BB12" s="10" t="str">
        <f aca="false">IF(C12="","",C12&amp;"|"&amp;D12&amp;"|"&amp;E12&amp;"|"&amp;F12&amp;"|"&amp;BA12)</f>
        <v>Cantilever RC (toe &amp; heel)|3.5|25|N|Y</v>
      </c>
    </row>
    <row r="13" customFormat="false" ht="15" hidden="false" customHeight="false" outlineLevel="0" collapsed="false">
      <c r="A13" s="10" t="str">
        <f aca="false">IF(C13="","","RW-"&amp;IFERROR(VLOOKUP(C13,Lists!$M$4:$N$22,2,0),"??")&amp;"-H"&amp;TEXT(D13*1000,"0000")&amp;"-S"&amp;E13&amp;IF(F13="Y","-GW","")&amp;"-"&amp;AA13)</f>
        <v>RW-CANT-H3000-S25-GW-A</v>
      </c>
      <c r="B13" s="10" t="str">
        <f aca="false">IF(C13="","",C13&amp;", H = "&amp;TEXT(D13,"0.0")&amp;" m, q = "&amp;E13&amp;" kPa"&amp;IF(F13="Y",", with GWT","")&amp;", "&amp;H13)</f>
        <v>Cantilever RC (toe &amp; heel), H = 3.0 m, q = 25 kPa, with GWT, Firm/stiff clay (general)</v>
      </c>
      <c r="C13" s="18" t="s">
        <v>58</v>
      </c>
      <c r="D13" s="36" t="n">
        <v>3</v>
      </c>
      <c r="E13" s="35" t="n">
        <v>25</v>
      </c>
      <c r="F13" s="18" t="s">
        <v>467</v>
      </c>
      <c r="G13" s="35" t="n">
        <v>0</v>
      </c>
      <c r="H13" s="18" t="s">
        <v>568</v>
      </c>
      <c r="I13" s="35" t="n">
        <v>26</v>
      </c>
      <c r="J13" s="42" t="n">
        <v>19</v>
      </c>
      <c r="K13" s="35" t="n">
        <v>250</v>
      </c>
      <c r="L13" s="35" t="n">
        <v>450</v>
      </c>
      <c r="M13" s="35" t="n">
        <v>3300</v>
      </c>
      <c r="N13" s="35" t="n">
        <v>800</v>
      </c>
      <c r="O13" s="35" t="n">
        <v>2050</v>
      </c>
      <c r="P13" s="35" t="n">
        <v>500</v>
      </c>
      <c r="Q13" s="18" t="s">
        <v>626</v>
      </c>
      <c r="R13" s="18" t="s">
        <v>531</v>
      </c>
      <c r="S13" s="35" t="n">
        <v>50</v>
      </c>
      <c r="T13" s="18" t="s">
        <v>652</v>
      </c>
      <c r="U13" s="18" t="s">
        <v>652</v>
      </c>
      <c r="V13" s="18" t="s">
        <v>687</v>
      </c>
      <c r="W13" s="36" t="n">
        <v>1.5</v>
      </c>
      <c r="X13" s="36" t="n">
        <v>2</v>
      </c>
      <c r="Y13" s="35" t="n">
        <v>145</v>
      </c>
      <c r="Z13" s="18" t="s">
        <v>688</v>
      </c>
      <c r="AA13" s="18" t="s">
        <v>628</v>
      </c>
      <c r="AB13" s="18" t="s">
        <v>244</v>
      </c>
      <c r="AC13" s="18" t="s">
        <v>699</v>
      </c>
      <c r="AD13" s="18" t="n">
        <v>25</v>
      </c>
      <c r="AE13" s="18" t="s">
        <v>74</v>
      </c>
      <c r="AF13" s="10" t="str">
        <f aca="false">IF(A13="","",SG_Criteria!$B$6&amp;SG_Criteria!$B$8&amp;"\"&amp;A13&amp;"\")</f>
        <v>C:\Users\yourname\YourCompany\Design Library - Documents\02_Retaining_Wall\RW-CANT-H3000-S25-GW-A\</v>
      </c>
      <c r="AG13" s="10" t="str">
        <f aca="false">IF(A13="","",A13&amp;"_CAD.dwg")</f>
        <v>RW-CANT-H3000-S25-GW-A_CAD.dwg</v>
      </c>
      <c r="AH13" s="10" t="str">
        <f aca="false">IF(A13="","",A13&amp;"_DWG.pdf")</f>
        <v>RW-CANT-H3000-S25-GW-A_DWG.pdf</v>
      </c>
      <c r="AI13" s="10" t="str">
        <f aca="false">IF(A13="","",IF(AE13="Y",A13&amp;"_STAAD.std","n/a"))</f>
        <v>n/a</v>
      </c>
      <c r="AJ13" s="10" t="str">
        <f aca="false">IF(A13="","",A13&amp;"_CALC.xlsx")</f>
        <v>RW-CANT-H3000-S25-GW-A_CALC.xlsx</v>
      </c>
      <c r="AK13" s="10" t="str">
        <f aca="false">IF(A13="","",A13&amp;"_CALC.pdf")</f>
        <v>RW-CANT-H3000-S25-GW-A_CALC.pdf</v>
      </c>
      <c r="AL13" s="18" t="s">
        <v>74</v>
      </c>
      <c r="AM13" s="18" t="s">
        <v>356</v>
      </c>
      <c r="AN13" s="36" t="n">
        <v>2.58</v>
      </c>
      <c r="AO13" s="36" t="n">
        <v>210</v>
      </c>
      <c r="AP13" s="36" t="n">
        <v>0</v>
      </c>
      <c r="AQ13" s="36" t="n">
        <v>7.1</v>
      </c>
      <c r="AR13" s="36" t="n">
        <v>6.4</v>
      </c>
      <c r="AS13" s="38" t="str">
        <f aca="false">IF(OR(C13="",D13=""),"",IF(D13&lt;=IF(OR(C13="Block / Segmental",C13="Gabion",C13="Reinforced Earth (MSE)"),SG_Criteria!$B$34,SG_Criteria!$B$33),"No ERSS submission",IF(D13&lt;=SG_Criteria!$B$35,"QP(ST)",IF(D13&lt;=SG_Criteria!$B$36,"QP(ST) + AC","Geotechnical building works: QP(Geo) + AC"))))</f>
        <v>QP(ST)</v>
      </c>
      <c r="AT13" s="38" t="str">
        <f aca="false">IF(C13="","",IF(LEN(IF(AND(R13&lt;&gt;"",IFERROR(VALUE(MID(R13,2,2)),0)&lt;SG_Criteria!$B$19),"FAIL: grade below C"&amp;SG_Criteria!$B$19&amp;". ","")&amp;IF(AND(S13&lt;&gt;"",S13&lt;SG_Criteria!$B$20),"FAIL: cover &lt; "&amp;SG_Criteria!$B$20&amp;" mm. ","")&amp;IF(AND(W13&lt;&gt;"",W13&lt;1),"FAIL: sliding. ","")&amp;IF(AND(C13="Reverse L-Wall (toe only, at boundary)",N(O13)&gt;0),"NOTE: reverse L-wall should have no heel. ","")&amp;IF(AND(C13="L-Wall (heel only)",N(N13)&gt;0),"NOTE: L-wall should have no toe. ","")&amp;IF(AND(E13&lt;&gt;"",E13&lt;SG_Criteria!$B$31),"NOTE: q below LTA min "&amp;SG_Criteria!$B$31&amp;" kPa (not for LTA works). ",""))=0,"OK",IF(AND(R13&lt;&gt;"",IFERROR(VALUE(MID(R13,2,2)),0)&lt;SG_Criteria!$B$19),"FAIL: grade below C"&amp;SG_Criteria!$B$19&amp;". ","")&amp;IF(AND(S13&lt;&gt;"",S13&lt;SG_Criteria!$B$20),"FAIL: cover &lt; "&amp;SG_Criteria!$B$20&amp;" mm. ","")&amp;IF(AND(W13&lt;&gt;"",W13&lt;1),"FAIL: sliding. ","")&amp;IF(AND(C13="Reverse L-Wall (toe only, at boundary)",N(O13)&gt;0),"NOTE: reverse L-wall should have no heel. ","")&amp;IF(AND(C13="L-Wall (heel only)",N(N13)&gt;0),"NOTE: L-wall should have no toe. ","")&amp;IF(AND(E13&lt;&gt;"",E13&lt;SG_Criteria!$B$31),"NOTE: q below LTA min "&amp;SG_Criteria!$B$31&amp;" kPa (not for LTA works). ","")))</f>
        <v>OK</v>
      </c>
      <c r="AU13" s="18" t="s">
        <v>700</v>
      </c>
      <c r="AV13" s="18"/>
      <c r="AW13" s="18" t="s">
        <v>631</v>
      </c>
      <c r="AX13" s="18" t="s">
        <v>631</v>
      </c>
      <c r="AY13" s="18" t="s">
        <v>631</v>
      </c>
      <c r="AZ13" s="39" t="n">
        <v>46309</v>
      </c>
      <c r="BA13" s="10" t="str">
        <f aca="false">IF(C13="","",IF(AND(AB13="Approved",ISERROR(SEARCH("FAIL",AT13))),"Y","N"))</f>
        <v>Y</v>
      </c>
      <c r="BB13" s="10" t="str">
        <f aca="false">IF(C13="","",C13&amp;"|"&amp;D13&amp;"|"&amp;E13&amp;"|"&amp;F13&amp;"|"&amp;BA13)</f>
        <v>Cantilever RC (toe &amp; heel)|3|25|Y|Y</v>
      </c>
    </row>
    <row r="14" customFormat="false" ht="15" hidden="false" customHeight="false" outlineLevel="0" collapsed="false">
      <c r="A14" s="10" t="str">
        <f aca="false">IF(C14="","","RW-"&amp;IFERROR(VLOOKUP(C14,Lists!$M$4:$N$22,2,0),"??")&amp;"-H"&amp;TEXT(D14*1000,"0000")&amp;"-S"&amp;E14&amp;IF(F14="Y","-GW","")&amp;"-"&amp;AA14)</f>
        <v>RW-CANT-H4500-S25-A</v>
      </c>
      <c r="B14" s="10" t="str">
        <f aca="false">IF(C14="","",C14&amp;", H = "&amp;TEXT(D14,"0.0")&amp;" m, q = "&amp;E14&amp;" kPa"&amp;IF(F14="Y",", with GWT","")&amp;", "&amp;H14)</f>
        <v>Cantilever RC (toe &amp; heel), H = 4.5 m, q = 25 kPa, Firm/stiff clay (general)</v>
      </c>
      <c r="C14" s="18" t="s">
        <v>58</v>
      </c>
      <c r="D14" s="36" t="n">
        <v>4.5</v>
      </c>
      <c r="E14" s="35" t="n">
        <v>25</v>
      </c>
      <c r="F14" s="18" t="s">
        <v>74</v>
      </c>
      <c r="G14" s="35" t="n">
        <v>0</v>
      </c>
      <c r="H14" s="18" t="s">
        <v>568</v>
      </c>
      <c r="I14" s="35" t="n">
        <v>26</v>
      </c>
      <c r="J14" s="42" t="n">
        <v>19</v>
      </c>
      <c r="K14" s="35" t="n">
        <v>250</v>
      </c>
      <c r="L14" s="35" t="n">
        <v>550</v>
      </c>
      <c r="M14" s="35" t="n">
        <v>4100</v>
      </c>
      <c r="N14" s="35" t="n">
        <v>1000</v>
      </c>
      <c r="O14" s="35" t="n">
        <v>2550</v>
      </c>
      <c r="P14" s="35" t="n">
        <v>600</v>
      </c>
      <c r="Q14" s="18" t="s">
        <v>626</v>
      </c>
      <c r="R14" s="18" t="s">
        <v>531</v>
      </c>
      <c r="S14" s="35" t="n">
        <v>50</v>
      </c>
      <c r="T14" s="18" t="s">
        <v>701</v>
      </c>
      <c r="U14" s="18" t="s">
        <v>702</v>
      </c>
      <c r="V14" s="18" t="s">
        <v>687</v>
      </c>
      <c r="W14" s="36" t="n">
        <v>1.5</v>
      </c>
      <c r="X14" s="36" t="n">
        <v>2</v>
      </c>
      <c r="Y14" s="35" t="n">
        <v>170</v>
      </c>
      <c r="Z14" s="18" t="s">
        <v>688</v>
      </c>
      <c r="AA14" s="18" t="s">
        <v>628</v>
      </c>
      <c r="AB14" s="18" t="s">
        <v>245</v>
      </c>
      <c r="AC14" s="18" t="s">
        <v>703</v>
      </c>
      <c r="AD14" s="18" t="n">
        <v>50</v>
      </c>
      <c r="AE14" s="18" t="s">
        <v>467</v>
      </c>
      <c r="AF14" s="10" t="str">
        <f aca="false">IF(A14="","",SG_Criteria!$B$6&amp;SG_Criteria!$B$8&amp;"\"&amp;A14&amp;"\")</f>
        <v>C:\Users\yourname\YourCompany\Design Library - Documents\02_Retaining_Wall\RW-CANT-H4500-S25-A\</v>
      </c>
      <c r="AG14" s="10" t="str">
        <f aca="false">IF(A14="","",A14&amp;"_CAD.dwg")</f>
        <v>RW-CANT-H4500-S25-A_CAD.dwg</v>
      </c>
      <c r="AH14" s="10" t="str">
        <f aca="false">IF(A14="","",A14&amp;"_DWG.pdf")</f>
        <v>RW-CANT-H4500-S25-A_DWG.pdf</v>
      </c>
      <c r="AI14" s="10" t="str">
        <f aca="false">IF(A14="","",IF(AE14="Y",A14&amp;"_STAAD.std","n/a"))</f>
        <v>RW-CANT-H4500-S25-A_STAAD.std</v>
      </c>
      <c r="AJ14" s="10" t="str">
        <f aca="false">IF(A14="","",A14&amp;"_CALC.xlsx")</f>
        <v>RW-CANT-H4500-S25-A_CALC.xlsx</v>
      </c>
      <c r="AK14" s="10" t="str">
        <f aca="false">IF(A14="","",A14&amp;"_CALC.pdf")</f>
        <v>RW-CANT-H4500-S25-A_CALC.pdf</v>
      </c>
      <c r="AL14" s="18" t="s">
        <v>74</v>
      </c>
      <c r="AM14" s="18" t="s">
        <v>356</v>
      </c>
      <c r="AN14" s="36" t="n">
        <v>4.05</v>
      </c>
      <c r="AO14" s="36" t="n">
        <v>345</v>
      </c>
      <c r="AP14" s="36" t="n">
        <v>0</v>
      </c>
      <c r="AQ14" s="36" t="n">
        <v>10.2</v>
      </c>
      <c r="AR14" s="36" t="n">
        <v>9.3</v>
      </c>
      <c r="AS14" s="38" t="str">
        <f aca="false">IF(OR(C14="",D14=""),"",IF(D14&lt;=IF(OR(C14="Block / Segmental",C14="Gabion",C14="Reinforced Earth (MSE)"),SG_Criteria!$B$34,SG_Criteria!$B$33),"No ERSS submission",IF(D14&lt;=SG_Criteria!$B$35,"QP(ST)",IF(D14&lt;=SG_Criteria!$B$36,"QP(ST) + AC","Geotechnical building works: QP(Geo) + AC"))))</f>
        <v>QP(ST) + AC</v>
      </c>
      <c r="AT14" s="38" t="str">
        <f aca="false">IF(C14="","",IF(LEN(IF(AND(R14&lt;&gt;"",IFERROR(VALUE(MID(R14,2,2)),0)&lt;SG_Criteria!$B$19),"FAIL: grade below C"&amp;SG_Criteria!$B$19&amp;". ","")&amp;IF(AND(S14&lt;&gt;"",S14&lt;SG_Criteria!$B$20),"FAIL: cover &lt; "&amp;SG_Criteria!$B$20&amp;" mm. ","")&amp;IF(AND(W14&lt;&gt;"",W14&lt;1),"FAIL: sliding. ","")&amp;IF(AND(C14="Reverse L-Wall (toe only, at boundary)",N(O14)&gt;0),"NOTE: reverse L-wall should have no heel. ","")&amp;IF(AND(C14="L-Wall (heel only)",N(N14)&gt;0),"NOTE: L-wall should have no toe. ","")&amp;IF(AND(E14&lt;&gt;"",E14&lt;SG_Criteria!$B$31),"NOTE: q below LTA min "&amp;SG_Criteria!$B$31&amp;" kPa (not for LTA works). ",""))=0,"OK",IF(AND(R14&lt;&gt;"",IFERROR(VALUE(MID(R14,2,2)),0)&lt;SG_Criteria!$B$19),"FAIL: grade below C"&amp;SG_Criteria!$B$19&amp;". ","")&amp;IF(AND(S14&lt;&gt;"",S14&lt;SG_Criteria!$B$20),"FAIL: cover &lt; "&amp;SG_Criteria!$B$20&amp;" mm. ","")&amp;IF(AND(W14&lt;&gt;"",W14&lt;1),"FAIL: sliding. ","")&amp;IF(AND(C14="Reverse L-Wall (toe only, at boundary)",N(O14)&gt;0),"NOTE: reverse L-wall should have no heel. ","")&amp;IF(AND(C14="L-Wall (heel only)",N(N14)&gt;0),"NOTE: L-wall should have no toe. ","")&amp;IF(AND(E14&lt;&gt;"",E14&lt;SG_Criteria!$B$31),"NOTE: q below LTA min "&amp;SG_Criteria!$B$31&amp;" kPa (not for LTA works). ","")))</f>
        <v>OK</v>
      </c>
      <c r="AU14" s="18" t="s">
        <v>646</v>
      </c>
      <c r="AV14" s="18"/>
      <c r="AW14" s="18" t="s">
        <v>631</v>
      </c>
      <c r="AX14" s="18" t="s">
        <v>631</v>
      </c>
      <c r="AY14" s="18" t="s">
        <v>631</v>
      </c>
      <c r="AZ14" s="39" t="n">
        <v>46309</v>
      </c>
      <c r="BA14" s="10" t="str">
        <f aca="false">IF(C14="","",IF(AND(AB14="Approved",ISERROR(SEARCH("FAIL",AT14))),"Y","N"))</f>
        <v>N</v>
      </c>
      <c r="BB14" s="10" t="str">
        <f aca="false">IF(C14="","",C14&amp;"|"&amp;D14&amp;"|"&amp;E14&amp;"|"&amp;F14&amp;"|"&amp;BA14)</f>
        <v>Cantilever RC (toe &amp; heel)|4.5|25|N|N</v>
      </c>
    </row>
    <row r="15" customFormat="false" ht="15" hidden="false" customHeight="false" outlineLevel="0" collapsed="false">
      <c r="A15" s="10" t="str">
        <f aca="false">IF(C15="","","RW-"&amp;IFERROR(VLOOKUP(C15,Lists!$M$4:$N$22,2,0),"??")&amp;"-H"&amp;TEXT(D15*1000,"0000")&amp;"-S"&amp;E15&amp;IF(F15="Y","-GW","")&amp;"-"&amp;AA15)</f>
        <v>RW-CF-H6000-S25-A</v>
      </c>
      <c r="B15" s="10" t="str">
        <f aca="false">IF(C15="","",C15&amp;", H = "&amp;TEXT(D15,"0.0")&amp;" m, q = "&amp;E15&amp;" kPa"&amp;IF(F15="Y",", with GWT","")&amp;", "&amp;H15)</f>
        <v>Counterfort RC, H = 6.0 m, q = 25 kPa, Old Alluvium</v>
      </c>
      <c r="C15" s="18" t="s">
        <v>197</v>
      </c>
      <c r="D15" s="36" t="n">
        <v>6</v>
      </c>
      <c r="E15" s="35" t="n">
        <v>25</v>
      </c>
      <c r="F15" s="18" t="s">
        <v>74</v>
      </c>
      <c r="G15" s="35" t="n">
        <v>0</v>
      </c>
      <c r="H15" s="18" t="s">
        <v>76</v>
      </c>
      <c r="I15" s="35" t="n">
        <v>30</v>
      </c>
      <c r="J15" s="42" t="n">
        <v>19</v>
      </c>
      <c r="K15" s="35" t="n">
        <v>300</v>
      </c>
      <c r="L15" s="35" t="n">
        <v>300</v>
      </c>
      <c r="M15" s="35" t="n">
        <v>4500</v>
      </c>
      <c r="N15" s="35" t="n">
        <v>1000</v>
      </c>
      <c r="O15" s="35" t="n">
        <v>3200</v>
      </c>
      <c r="P15" s="35" t="n">
        <v>600</v>
      </c>
      <c r="Q15" s="18" t="s">
        <v>626</v>
      </c>
      <c r="R15" s="18" t="s">
        <v>531</v>
      </c>
      <c r="S15" s="35" t="n">
        <v>50</v>
      </c>
      <c r="T15" s="18" t="s">
        <v>652</v>
      </c>
      <c r="U15" s="18" t="s">
        <v>652</v>
      </c>
      <c r="V15" s="18" t="s">
        <v>687</v>
      </c>
      <c r="W15" s="36" t="n">
        <v>1.5</v>
      </c>
      <c r="X15" s="36" t="n">
        <v>2</v>
      </c>
      <c r="Y15" s="35" t="n">
        <v>210</v>
      </c>
      <c r="Z15" s="18" t="s">
        <v>688</v>
      </c>
      <c r="AA15" s="18" t="s">
        <v>628</v>
      </c>
      <c r="AB15" s="18" t="s">
        <v>246</v>
      </c>
      <c r="AC15" s="18" t="s">
        <v>704</v>
      </c>
      <c r="AD15" s="18" t="n">
        <v>50</v>
      </c>
      <c r="AE15" s="18" t="s">
        <v>467</v>
      </c>
      <c r="AF15" s="10" t="str">
        <f aca="false">IF(A15="","",SG_Criteria!$B$6&amp;SG_Criteria!$B$8&amp;"\"&amp;A15&amp;"\")</f>
        <v>C:\Users\yourname\YourCompany\Design Library - Documents\02_Retaining_Wall\RW-CF-H6000-S25-A\</v>
      </c>
      <c r="AG15" s="10" t="str">
        <f aca="false">IF(A15="","",A15&amp;"_CAD.dwg")</f>
        <v>RW-CF-H6000-S25-A_CAD.dwg</v>
      </c>
      <c r="AH15" s="10" t="str">
        <f aca="false">IF(A15="","",A15&amp;"_DWG.pdf")</f>
        <v>RW-CF-H6000-S25-A_DWG.pdf</v>
      </c>
      <c r="AI15" s="10" t="str">
        <f aca="false">IF(A15="","",IF(AE15="Y",A15&amp;"_STAAD.std","n/a"))</f>
        <v>RW-CF-H6000-S25-A_STAAD.std</v>
      </c>
      <c r="AJ15" s="10" t="str">
        <f aca="false">IF(A15="","",A15&amp;"_CALC.xlsx")</f>
        <v>RW-CF-H6000-S25-A_CALC.xlsx</v>
      </c>
      <c r="AK15" s="10" t="str">
        <f aca="false">IF(A15="","",A15&amp;"_CALC.pdf")</f>
        <v>RW-CF-H6000-S25-A_CALC.pdf</v>
      </c>
      <c r="AL15" s="18" t="s">
        <v>74</v>
      </c>
      <c r="AM15" s="18" t="s">
        <v>356</v>
      </c>
      <c r="AN15" s="36" t="n">
        <v>5.9</v>
      </c>
      <c r="AO15" s="36" t="n">
        <v>520</v>
      </c>
      <c r="AP15" s="36" t="n">
        <v>0</v>
      </c>
      <c r="AQ15" s="36" t="n">
        <v>16</v>
      </c>
      <c r="AR15" s="36" t="n">
        <v>14.5</v>
      </c>
      <c r="AS15" s="38" t="str">
        <f aca="false">IF(OR(C15="",D15=""),"",IF(D15&lt;=IF(OR(C15="Block / Segmental",C15="Gabion",C15="Reinforced Earth (MSE)"),SG_Criteria!$B$34,SG_Criteria!$B$33),"No ERSS submission",IF(D15&lt;=SG_Criteria!$B$35,"QP(ST)",IF(D15&lt;=SG_Criteria!$B$36,"QP(ST) + AC","Geotechnical building works: QP(Geo) + AC"))))</f>
        <v>QP(ST) + AC</v>
      </c>
      <c r="AT15" s="38" t="str">
        <f aca="false">IF(C15="","",IF(LEN(IF(AND(R15&lt;&gt;"",IFERROR(VALUE(MID(R15,2,2)),0)&lt;SG_Criteria!$B$19),"FAIL: grade below C"&amp;SG_Criteria!$B$19&amp;". ","")&amp;IF(AND(S15&lt;&gt;"",S15&lt;SG_Criteria!$B$20),"FAIL: cover &lt; "&amp;SG_Criteria!$B$20&amp;" mm. ","")&amp;IF(AND(W15&lt;&gt;"",W15&lt;1),"FAIL: sliding. ","")&amp;IF(AND(C15="Reverse L-Wall (toe only, at boundary)",N(O15)&gt;0),"NOTE: reverse L-wall should have no heel. ","")&amp;IF(AND(C15="L-Wall (heel only)",N(N15)&gt;0),"NOTE: L-wall should have no toe. ","")&amp;IF(AND(E15&lt;&gt;"",E15&lt;SG_Criteria!$B$31),"NOTE: q below LTA min "&amp;SG_Criteria!$B$31&amp;" kPa (not for LTA works). ",""))=0,"OK",IF(AND(R15&lt;&gt;"",IFERROR(VALUE(MID(R15,2,2)),0)&lt;SG_Criteria!$B$19),"FAIL: grade below C"&amp;SG_Criteria!$B$19&amp;". ","")&amp;IF(AND(S15&lt;&gt;"",S15&lt;SG_Criteria!$B$20),"FAIL: cover &lt; "&amp;SG_Criteria!$B$20&amp;" mm. ","")&amp;IF(AND(W15&lt;&gt;"",W15&lt;1),"FAIL: sliding. ","")&amp;IF(AND(C15="Reverse L-Wall (toe only, at boundary)",N(O15)&gt;0),"NOTE: reverse L-wall should have no heel. ","")&amp;IF(AND(C15="L-Wall (heel only)",N(N15)&gt;0),"NOTE: L-wall should have no toe. ","")&amp;IF(AND(E15&lt;&gt;"",E15&lt;SG_Criteria!$B$31),"NOTE: q below LTA min "&amp;SG_Criteria!$B$31&amp;" kPa (not for LTA works). ","")))</f>
        <v>OK</v>
      </c>
      <c r="AU15" s="18" t="s">
        <v>705</v>
      </c>
      <c r="AV15" s="18"/>
      <c r="AW15" s="18" t="s">
        <v>631</v>
      </c>
      <c r="AX15" s="18" t="s">
        <v>631</v>
      </c>
      <c r="AY15" s="18" t="s">
        <v>631</v>
      </c>
      <c r="AZ15" s="39" t="n">
        <v>46309</v>
      </c>
      <c r="BA15" s="10" t="str">
        <f aca="false">IF(C15="","",IF(AND(AB15="Approved",ISERROR(SEARCH("FAIL",AT15))),"Y","N"))</f>
        <v>N</v>
      </c>
      <c r="BB15" s="10" t="str">
        <f aca="false">IF(C15="","",C15&amp;"|"&amp;D15&amp;"|"&amp;E15&amp;"|"&amp;F15&amp;"|"&amp;BA15)</f>
        <v>Counterfort RC|6|25|N|N</v>
      </c>
    </row>
    <row r="16" customFormat="false" ht="15" hidden="false" customHeight="false" outlineLevel="0" collapsed="false">
      <c r="A16" s="10" t="str">
        <f aca="false">IF(C16="","","RW-"&amp;IFERROR(VLOOKUP(C16,Lists!$M$4:$N$22,2,0),"??")&amp;"-H"&amp;TEXT(D16*1000,"0000")&amp;"-S"&amp;E16&amp;IF(F16="Y","-GW","")&amp;"-"&amp;AA16)</f>
        <v>RW-GRAV-H1500-S10-A</v>
      </c>
      <c r="B16" s="10" t="str">
        <f aca="false">IF(C16="","",C16&amp;", H = "&amp;TEXT(D16,"0.0")&amp;" m, q = "&amp;E16&amp;" kPa"&amp;IF(F16="Y",", with GWT","")&amp;", "&amp;H16)</f>
        <v>Gravity (mass concrete), H = 1.5 m, q = 10 kPa, Old Alluvium</v>
      </c>
      <c r="C16" s="18" t="s">
        <v>198</v>
      </c>
      <c r="D16" s="36" t="n">
        <v>1.5</v>
      </c>
      <c r="E16" s="35" t="n">
        <v>10</v>
      </c>
      <c r="F16" s="18" t="s">
        <v>74</v>
      </c>
      <c r="G16" s="35" t="n">
        <v>0</v>
      </c>
      <c r="H16" s="18" t="s">
        <v>76</v>
      </c>
      <c r="I16" s="35" t="n">
        <v>32</v>
      </c>
      <c r="J16" s="42" t="n">
        <v>19</v>
      </c>
      <c r="K16" s="35" t="n">
        <v>400</v>
      </c>
      <c r="L16" s="35" t="n">
        <v>700</v>
      </c>
      <c r="M16" s="35" t="n">
        <v>1100</v>
      </c>
      <c r="N16" s="35" t="n">
        <v>0</v>
      </c>
      <c r="O16" s="35" t="n">
        <v>0</v>
      </c>
      <c r="P16" s="35" t="n">
        <v>0</v>
      </c>
      <c r="Q16" s="18" t="s">
        <v>626</v>
      </c>
      <c r="R16" s="18" t="s">
        <v>531</v>
      </c>
      <c r="S16" s="35" t="n">
        <v>50</v>
      </c>
      <c r="T16" s="18" t="s">
        <v>626</v>
      </c>
      <c r="U16" s="18" t="s">
        <v>626</v>
      </c>
      <c r="V16" s="18" t="s">
        <v>687</v>
      </c>
      <c r="W16" s="36" t="n">
        <v>1.6</v>
      </c>
      <c r="X16" s="36" t="n">
        <v>2.5</v>
      </c>
      <c r="Y16" s="35" t="n">
        <v>80</v>
      </c>
      <c r="Z16" s="18" t="s">
        <v>688</v>
      </c>
      <c r="AA16" s="18" t="s">
        <v>628</v>
      </c>
      <c r="AB16" s="18" t="s">
        <v>244</v>
      </c>
      <c r="AC16" s="18" t="s">
        <v>706</v>
      </c>
      <c r="AD16" s="18" t="n">
        <v>25</v>
      </c>
      <c r="AE16" s="18" t="s">
        <v>74</v>
      </c>
      <c r="AF16" s="10" t="str">
        <f aca="false">IF(A16="","",SG_Criteria!$B$6&amp;SG_Criteria!$B$8&amp;"\"&amp;A16&amp;"\")</f>
        <v>C:\Users\yourname\YourCompany\Design Library - Documents\02_Retaining_Wall\RW-GRAV-H1500-S10-A\</v>
      </c>
      <c r="AG16" s="10" t="str">
        <f aca="false">IF(A16="","",A16&amp;"_CAD.dwg")</f>
        <v>RW-GRAV-H1500-S10-A_CAD.dwg</v>
      </c>
      <c r="AH16" s="10" t="str">
        <f aca="false">IF(A16="","",A16&amp;"_DWG.pdf")</f>
        <v>RW-GRAV-H1500-S10-A_DWG.pdf</v>
      </c>
      <c r="AI16" s="10" t="str">
        <f aca="false">IF(A16="","",IF(AE16="Y",A16&amp;"_STAAD.std","n/a"))</f>
        <v>n/a</v>
      </c>
      <c r="AJ16" s="10" t="str">
        <f aca="false">IF(A16="","",A16&amp;"_CALC.xlsx")</f>
        <v>RW-GRAV-H1500-S10-A_CALC.xlsx</v>
      </c>
      <c r="AK16" s="10" t="str">
        <f aca="false">IF(A16="","",A16&amp;"_CALC.pdf")</f>
        <v>RW-GRAV-H1500-S10-A_CALC.pdf</v>
      </c>
      <c r="AL16" s="18" t="s">
        <v>74</v>
      </c>
      <c r="AM16" s="18" t="s">
        <v>356</v>
      </c>
      <c r="AN16" s="36" t="n">
        <v>0.95</v>
      </c>
      <c r="AO16" s="36" t="n">
        <v>0</v>
      </c>
      <c r="AP16" s="36" t="n">
        <v>0</v>
      </c>
      <c r="AQ16" s="36" t="n">
        <v>3.2</v>
      </c>
      <c r="AR16" s="36" t="n">
        <v>1.9</v>
      </c>
      <c r="AS16" s="38" t="str">
        <f aca="false">IF(OR(C16="",D16=""),"",IF(D16&lt;=IF(OR(C16="Block / Segmental",C16="Gabion",C16="Reinforced Earth (MSE)"),SG_Criteria!$B$34,SG_Criteria!$B$33),"No ERSS submission",IF(D16&lt;=SG_Criteria!$B$35,"QP(ST)",IF(D16&lt;=SG_Criteria!$B$36,"QP(ST) + AC","Geotechnical building works: QP(Geo) + AC"))))</f>
        <v>No ERSS submission</v>
      </c>
      <c r="AT16" s="38" t="str">
        <f aca="false">IF(C16="","",IF(LEN(IF(AND(R16&lt;&gt;"",IFERROR(VALUE(MID(R16,2,2)),0)&lt;SG_Criteria!$B$19),"FAIL: grade below C"&amp;SG_Criteria!$B$19&amp;". ","")&amp;IF(AND(S16&lt;&gt;"",S16&lt;SG_Criteria!$B$20),"FAIL: cover &lt; "&amp;SG_Criteria!$B$20&amp;" mm. ","")&amp;IF(AND(W16&lt;&gt;"",W16&lt;1),"FAIL: sliding. ","")&amp;IF(AND(C16="Reverse L-Wall (toe only, at boundary)",N(O16)&gt;0),"NOTE: reverse L-wall should have no heel. ","")&amp;IF(AND(C16="L-Wall (heel only)",N(N16)&gt;0),"NOTE: L-wall should have no toe. ","")&amp;IF(AND(E16&lt;&gt;"",E16&lt;SG_Criteria!$B$31),"NOTE: q below LTA min "&amp;SG_Criteria!$B$31&amp;" kPa (not for LTA works). ",""))=0,"OK",IF(AND(R16&lt;&gt;"",IFERROR(VALUE(MID(R16,2,2)),0)&lt;SG_Criteria!$B$19),"FAIL: grade below C"&amp;SG_Criteria!$B$19&amp;". ","")&amp;IF(AND(S16&lt;&gt;"",S16&lt;SG_Criteria!$B$20),"FAIL: cover &lt; "&amp;SG_Criteria!$B$20&amp;" mm. ","")&amp;IF(AND(W16&lt;&gt;"",W16&lt;1),"FAIL: sliding. ","")&amp;IF(AND(C16="Reverse L-Wall (toe only, at boundary)",N(O16)&gt;0),"NOTE: reverse L-wall should have no heel. ","")&amp;IF(AND(C16="L-Wall (heel only)",N(N16)&gt;0),"NOTE: L-wall should have no toe. ","")&amp;IF(AND(E16&lt;&gt;"",E16&lt;SG_Criteria!$B$31),"NOTE: q below LTA min "&amp;SG_Criteria!$B$31&amp;" kPa (not for LTA works). ","")))</f>
        <v>NOTE: q below LTA min 25 kPa (not for LTA works). </v>
      </c>
      <c r="AU16" s="18" t="s">
        <v>707</v>
      </c>
      <c r="AV16" s="18"/>
      <c r="AW16" s="18" t="s">
        <v>631</v>
      </c>
      <c r="AX16" s="18" t="s">
        <v>631</v>
      </c>
      <c r="AY16" s="18" t="s">
        <v>631</v>
      </c>
      <c r="AZ16" s="39" t="n">
        <v>46309</v>
      </c>
      <c r="BA16" s="10" t="str">
        <f aca="false">IF(C16="","",IF(AND(AB16="Approved",ISERROR(SEARCH("FAIL",AT16))),"Y","N"))</f>
        <v>Y</v>
      </c>
      <c r="BB16" s="10" t="str">
        <f aca="false">IF(C16="","",C16&amp;"|"&amp;D16&amp;"|"&amp;E16&amp;"|"&amp;F16&amp;"|"&amp;BA16)</f>
        <v>Gravity (mass concrete)|1.5|10|N|Y</v>
      </c>
    </row>
    <row r="17" customFormat="false" ht="15" hidden="false" customHeight="false" outlineLevel="0" collapsed="false">
      <c r="A17" s="10" t="str">
        <f aca="false">IF(C17="","","RW-"&amp;IFERROR(VLOOKUP(C17,Lists!$M$4:$N$22,2,0),"??")&amp;"-H"&amp;TEXT(D17*1000,"0000")&amp;"-S"&amp;E17&amp;IF(F17="Y","-GW","")&amp;"-"&amp;AA17)</f>
        <v/>
      </c>
      <c r="B17" s="10" t="str">
        <f aca="false">IF(C17="","",C17&amp;", H = "&amp;TEXT(D17,"0.0")&amp;" m, q = "&amp;E17&amp;" kPa"&amp;IF(F17="Y",", with GWT","")&amp;", "&amp;H17)</f>
        <v/>
      </c>
      <c r="C17" s="9"/>
      <c r="D17" s="41"/>
      <c r="E17" s="40"/>
      <c r="F17" s="9"/>
      <c r="G17" s="40"/>
      <c r="H17" s="9"/>
      <c r="I17" s="40"/>
      <c r="J17" s="43"/>
      <c r="K17" s="40"/>
      <c r="L17" s="40"/>
      <c r="M17" s="40"/>
      <c r="N17" s="40"/>
      <c r="O17" s="40"/>
      <c r="P17" s="40"/>
      <c r="Q17" s="9"/>
      <c r="R17" s="9"/>
      <c r="S17" s="40"/>
      <c r="T17" s="9"/>
      <c r="U17" s="9"/>
      <c r="V17" s="9"/>
      <c r="W17" s="41"/>
      <c r="X17" s="41"/>
      <c r="Y17" s="40"/>
      <c r="Z17" s="9"/>
      <c r="AA17" s="9"/>
      <c r="AB17" s="9"/>
      <c r="AC17" s="9"/>
      <c r="AD17" s="9"/>
      <c r="AE17" s="9"/>
      <c r="AF17" s="10" t="str">
        <f aca="false">IF(A17="","",SG_Criteria!$B$6&amp;SG_Criteria!$B$8&amp;"\"&amp;A17&amp;"\")</f>
        <v/>
      </c>
      <c r="AG17" s="10" t="str">
        <f aca="false">IF(A17="","",A17&amp;"_CAD.dwg")</f>
        <v/>
      </c>
      <c r="AH17" s="10" t="str">
        <f aca="false">IF(A17="","",A17&amp;"_DWG.pdf")</f>
        <v/>
      </c>
      <c r="AI17" s="10" t="str">
        <f aca="false">IF(A17="","",IF(AE17="Y",A17&amp;"_STAAD.std","n/a"))</f>
        <v/>
      </c>
      <c r="AJ17" s="10" t="str">
        <f aca="false">IF(A17="","",A17&amp;"_CALC.xlsx")</f>
        <v/>
      </c>
      <c r="AK17" s="10" t="str">
        <f aca="false">IF(A17="","",A17&amp;"_CALC.pdf")</f>
        <v/>
      </c>
      <c r="AL17" s="9"/>
      <c r="AM17" s="9"/>
      <c r="AN17" s="41"/>
      <c r="AO17" s="41"/>
      <c r="AP17" s="41"/>
      <c r="AQ17" s="41"/>
      <c r="AR17" s="41"/>
      <c r="AS17" s="38" t="str">
        <f aca="false">IF(OR(C17="",D17=""),"",IF(D17&lt;=IF(OR(C17="Block / Segmental",C17="Gabion",C17="Reinforced Earth (MSE)"),SG_Criteria!$B$34,SG_Criteria!$B$33),"No ERSS submission",IF(D17&lt;=SG_Criteria!$B$35,"QP(ST)",IF(D17&lt;=SG_Criteria!$B$36,"QP(ST) + AC","Geotechnical building works: QP(Geo) + AC"))))</f>
        <v/>
      </c>
      <c r="AT17" s="38" t="str">
        <f aca="false">IF(C17="","",IF(LEN(IF(AND(R17&lt;&gt;"",IFERROR(VALUE(MID(R17,2,2)),0)&lt;SG_Criteria!$B$19),"FAIL: grade below C"&amp;SG_Criteria!$B$19&amp;". ","")&amp;IF(AND(S17&lt;&gt;"",S17&lt;SG_Criteria!$B$20),"FAIL: cover &lt; "&amp;SG_Criteria!$B$20&amp;" mm. ","")&amp;IF(AND(W17&lt;&gt;"",W17&lt;1),"FAIL: sliding. ","")&amp;IF(AND(C17="Reverse L-Wall (toe only, at boundary)",N(O17)&gt;0),"NOTE: reverse L-wall should have no heel. ","")&amp;IF(AND(C17="L-Wall (heel only)",N(N17)&gt;0),"NOTE: L-wall should have no toe. ","")&amp;IF(AND(E17&lt;&gt;"",E17&lt;SG_Criteria!$B$31),"NOTE: q below LTA min "&amp;SG_Criteria!$B$31&amp;" kPa (not for LTA works). ",""))=0,"OK",IF(AND(R17&lt;&gt;"",IFERROR(VALUE(MID(R17,2,2)),0)&lt;SG_Criteria!$B$19),"FAIL: grade below C"&amp;SG_Criteria!$B$19&amp;". ","")&amp;IF(AND(S17&lt;&gt;"",S17&lt;SG_Criteria!$B$20),"FAIL: cover &lt; "&amp;SG_Criteria!$B$20&amp;" mm. ","")&amp;IF(AND(W17&lt;&gt;"",W17&lt;1),"FAIL: sliding. ","")&amp;IF(AND(C17="Reverse L-Wall (toe only, at boundary)",N(O17)&gt;0),"NOTE: reverse L-wall should have no heel. ","")&amp;IF(AND(C17="L-Wall (heel only)",N(N17)&gt;0),"NOTE: L-wall should have no toe. ","")&amp;IF(AND(E17&lt;&gt;"",E17&lt;SG_Criteria!$B$31),"NOTE: q below LTA min "&amp;SG_Criteria!$B$31&amp;" kPa (not for LTA works). ","")))</f>
        <v/>
      </c>
      <c r="AU17" s="9"/>
      <c r="AV17" s="9"/>
      <c r="AW17" s="9"/>
      <c r="AX17" s="9"/>
      <c r="AY17" s="9"/>
      <c r="AZ17" s="31"/>
      <c r="BA17" s="10" t="str">
        <f aca="false">IF(C17="","",IF(AND(AB17="Approved",ISERROR(SEARCH("FAIL",AT17))),"Y","N"))</f>
        <v/>
      </c>
      <c r="BB17" s="10" t="str">
        <f aca="false">IF(C17="","",C17&amp;"|"&amp;D17&amp;"|"&amp;E17&amp;"|"&amp;F17&amp;"|"&amp;BA17)</f>
        <v/>
      </c>
    </row>
    <row r="18" customFormat="false" ht="15" hidden="false" customHeight="false" outlineLevel="0" collapsed="false">
      <c r="A18" s="10" t="str">
        <f aca="false">IF(C18="","","RW-"&amp;IFERROR(VLOOKUP(C18,Lists!$M$4:$N$22,2,0),"??")&amp;"-H"&amp;TEXT(D18*1000,"0000")&amp;"-S"&amp;E18&amp;IF(F18="Y","-GW","")&amp;"-"&amp;AA18)</f>
        <v/>
      </c>
      <c r="B18" s="10" t="str">
        <f aca="false">IF(C18="","",C18&amp;", H = "&amp;TEXT(D18,"0.0")&amp;" m, q = "&amp;E18&amp;" kPa"&amp;IF(F18="Y",", with GWT","")&amp;", "&amp;H18)</f>
        <v/>
      </c>
      <c r="C18" s="9"/>
      <c r="D18" s="41"/>
      <c r="E18" s="40"/>
      <c r="F18" s="9"/>
      <c r="G18" s="40"/>
      <c r="H18" s="9"/>
      <c r="I18" s="40"/>
      <c r="J18" s="43"/>
      <c r="K18" s="40"/>
      <c r="L18" s="40"/>
      <c r="M18" s="40"/>
      <c r="N18" s="40"/>
      <c r="O18" s="40"/>
      <c r="P18" s="40"/>
      <c r="Q18" s="9"/>
      <c r="R18" s="9"/>
      <c r="S18" s="40"/>
      <c r="T18" s="9"/>
      <c r="U18" s="9"/>
      <c r="V18" s="9"/>
      <c r="W18" s="41"/>
      <c r="X18" s="41"/>
      <c r="Y18" s="40"/>
      <c r="Z18" s="9"/>
      <c r="AA18" s="9"/>
      <c r="AB18" s="9"/>
      <c r="AC18" s="9"/>
      <c r="AD18" s="9"/>
      <c r="AE18" s="9"/>
      <c r="AF18" s="10" t="str">
        <f aca="false">IF(A18="","",SG_Criteria!$B$6&amp;SG_Criteria!$B$8&amp;"\"&amp;A18&amp;"\")</f>
        <v/>
      </c>
      <c r="AG18" s="10" t="str">
        <f aca="false">IF(A18="","",A18&amp;"_CAD.dwg")</f>
        <v/>
      </c>
      <c r="AH18" s="10" t="str">
        <f aca="false">IF(A18="","",A18&amp;"_DWG.pdf")</f>
        <v/>
      </c>
      <c r="AI18" s="10" t="str">
        <f aca="false">IF(A18="","",IF(AE18="Y",A18&amp;"_STAAD.std","n/a"))</f>
        <v/>
      </c>
      <c r="AJ18" s="10" t="str">
        <f aca="false">IF(A18="","",A18&amp;"_CALC.xlsx")</f>
        <v/>
      </c>
      <c r="AK18" s="10" t="str">
        <f aca="false">IF(A18="","",A18&amp;"_CALC.pdf")</f>
        <v/>
      </c>
      <c r="AL18" s="9"/>
      <c r="AM18" s="9"/>
      <c r="AN18" s="41"/>
      <c r="AO18" s="41"/>
      <c r="AP18" s="41"/>
      <c r="AQ18" s="41"/>
      <c r="AR18" s="41"/>
      <c r="AS18" s="38" t="str">
        <f aca="false">IF(OR(C18="",D18=""),"",IF(D18&lt;=IF(OR(C18="Block / Segmental",C18="Gabion",C18="Reinforced Earth (MSE)"),SG_Criteria!$B$34,SG_Criteria!$B$33),"No ERSS submission",IF(D18&lt;=SG_Criteria!$B$35,"QP(ST)",IF(D18&lt;=SG_Criteria!$B$36,"QP(ST) + AC","Geotechnical building works: QP(Geo) + AC"))))</f>
        <v/>
      </c>
      <c r="AT18" s="38" t="str">
        <f aca="false">IF(C18="","",IF(LEN(IF(AND(R18&lt;&gt;"",IFERROR(VALUE(MID(R18,2,2)),0)&lt;SG_Criteria!$B$19),"FAIL: grade below C"&amp;SG_Criteria!$B$19&amp;". ","")&amp;IF(AND(S18&lt;&gt;"",S18&lt;SG_Criteria!$B$20),"FAIL: cover &lt; "&amp;SG_Criteria!$B$20&amp;" mm. ","")&amp;IF(AND(W18&lt;&gt;"",W18&lt;1),"FAIL: sliding. ","")&amp;IF(AND(C18="Reverse L-Wall (toe only, at boundary)",N(O18)&gt;0),"NOTE: reverse L-wall should have no heel. ","")&amp;IF(AND(C18="L-Wall (heel only)",N(N18)&gt;0),"NOTE: L-wall should have no toe. ","")&amp;IF(AND(E18&lt;&gt;"",E18&lt;SG_Criteria!$B$31),"NOTE: q below LTA min "&amp;SG_Criteria!$B$31&amp;" kPa (not for LTA works). ",""))=0,"OK",IF(AND(R18&lt;&gt;"",IFERROR(VALUE(MID(R18,2,2)),0)&lt;SG_Criteria!$B$19),"FAIL: grade below C"&amp;SG_Criteria!$B$19&amp;". ","")&amp;IF(AND(S18&lt;&gt;"",S18&lt;SG_Criteria!$B$20),"FAIL: cover &lt; "&amp;SG_Criteria!$B$20&amp;" mm. ","")&amp;IF(AND(W18&lt;&gt;"",W18&lt;1),"FAIL: sliding. ","")&amp;IF(AND(C18="Reverse L-Wall (toe only, at boundary)",N(O18)&gt;0),"NOTE: reverse L-wall should have no heel. ","")&amp;IF(AND(C18="L-Wall (heel only)",N(N18)&gt;0),"NOTE: L-wall should have no toe. ","")&amp;IF(AND(E18&lt;&gt;"",E18&lt;SG_Criteria!$B$31),"NOTE: q below LTA min "&amp;SG_Criteria!$B$31&amp;" kPa (not for LTA works). ","")))</f>
        <v/>
      </c>
      <c r="AU18" s="9"/>
      <c r="AV18" s="9"/>
      <c r="AW18" s="9"/>
      <c r="AX18" s="9"/>
      <c r="AY18" s="9"/>
      <c r="AZ18" s="31"/>
      <c r="BA18" s="10" t="str">
        <f aca="false">IF(C18="","",IF(AND(AB18="Approved",ISERROR(SEARCH("FAIL",AT18))),"Y","N"))</f>
        <v/>
      </c>
      <c r="BB18" s="10" t="str">
        <f aca="false">IF(C18="","",C18&amp;"|"&amp;D18&amp;"|"&amp;E18&amp;"|"&amp;F18&amp;"|"&amp;BA18)</f>
        <v/>
      </c>
    </row>
    <row r="19" customFormat="false" ht="15" hidden="false" customHeight="false" outlineLevel="0" collapsed="false">
      <c r="A19" s="10" t="str">
        <f aca="false">IF(C19="","","RW-"&amp;IFERROR(VLOOKUP(C19,Lists!$M$4:$N$22,2,0),"??")&amp;"-H"&amp;TEXT(D19*1000,"0000")&amp;"-S"&amp;E19&amp;IF(F19="Y","-GW","")&amp;"-"&amp;AA19)</f>
        <v/>
      </c>
      <c r="B19" s="10" t="str">
        <f aca="false">IF(C19="","",C19&amp;", H = "&amp;TEXT(D19,"0.0")&amp;" m, q = "&amp;E19&amp;" kPa"&amp;IF(F19="Y",", with GWT","")&amp;", "&amp;H19)</f>
        <v/>
      </c>
      <c r="C19" s="9"/>
      <c r="D19" s="41"/>
      <c r="E19" s="40"/>
      <c r="F19" s="9"/>
      <c r="G19" s="40"/>
      <c r="H19" s="9"/>
      <c r="I19" s="40"/>
      <c r="J19" s="43"/>
      <c r="K19" s="40"/>
      <c r="L19" s="40"/>
      <c r="M19" s="40"/>
      <c r="N19" s="40"/>
      <c r="O19" s="40"/>
      <c r="P19" s="40"/>
      <c r="Q19" s="9"/>
      <c r="R19" s="9"/>
      <c r="S19" s="40"/>
      <c r="T19" s="9"/>
      <c r="U19" s="9"/>
      <c r="V19" s="9"/>
      <c r="W19" s="41"/>
      <c r="X19" s="41"/>
      <c r="Y19" s="40"/>
      <c r="Z19" s="9"/>
      <c r="AA19" s="9"/>
      <c r="AB19" s="9"/>
      <c r="AC19" s="9"/>
      <c r="AD19" s="9"/>
      <c r="AE19" s="9"/>
      <c r="AF19" s="10" t="str">
        <f aca="false">IF(A19="","",SG_Criteria!$B$6&amp;SG_Criteria!$B$8&amp;"\"&amp;A19&amp;"\")</f>
        <v/>
      </c>
      <c r="AG19" s="10" t="str">
        <f aca="false">IF(A19="","",A19&amp;"_CAD.dwg")</f>
        <v/>
      </c>
      <c r="AH19" s="10" t="str">
        <f aca="false">IF(A19="","",A19&amp;"_DWG.pdf")</f>
        <v/>
      </c>
      <c r="AI19" s="10" t="str">
        <f aca="false">IF(A19="","",IF(AE19="Y",A19&amp;"_STAAD.std","n/a"))</f>
        <v/>
      </c>
      <c r="AJ19" s="10" t="str">
        <f aca="false">IF(A19="","",A19&amp;"_CALC.xlsx")</f>
        <v/>
      </c>
      <c r="AK19" s="10" t="str">
        <f aca="false">IF(A19="","",A19&amp;"_CALC.pdf")</f>
        <v/>
      </c>
      <c r="AL19" s="9"/>
      <c r="AM19" s="9"/>
      <c r="AN19" s="41"/>
      <c r="AO19" s="41"/>
      <c r="AP19" s="41"/>
      <c r="AQ19" s="41"/>
      <c r="AR19" s="41"/>
      <c r="AS19" s="38" t="str">
        <f aca="false">IF(OR(C19="",D19=""),"",IF(D19&lt;=IF(OR(C19="Block / Segmental",C19="Gabion",C19="Reinforced Earth (MSE)"),SG_Criteria!$B$34,SG_Criteria!$B$33),"No ERSS submission",IF(D19&lt;=SG_Criteria!$B$35,"QP(ST)",IF(D19&lt;=SG_Criteria!$B$36,"QP(ST) + AC","Geotechnical building works: QP(Geo) + AC"))))</f>
        <v/>
      </c>
      <c r="AT19" s="38" t="str">
        <f aca="false">IF(C19="","",IF(LEN(IF(AND(R19&lt;&gt;"",IFERROR(VALUE(MID(R19,2,2)),0)&lt;SG_Criteria!$B$19),"FAIL: grade below C"&amp;SG_Criteria!$B$19&amp;". ","")&amp;IF(AND(S19&lt;&gt;"",S19&lt;SG_Criteria!$B$20),"FAIL: cover &lt; "&amp;SG_Criteria!$B$20&amp;" mm. ","")&amp;IF(AND(W19&lt;&gt;"",W19&lt;1),"FAIL: sliding. ","")&amp;IF(AND(C19="Reverse L-Wall (toe only, at boundary)",N(O19)&gt;0),"NOTE: reverse L-wall should have no heel. ","")&amp;IF(AND(C19="L-Wall (heel only)",N(N19)&gt;0),"NOTE: L-wall should have no toe. ","")&amp;IF(AND(E19&lt;&gt;"",E19&lt;SG_Criteria!$B$31),"NOTE: q below LTA min "&amp;SG_Criteria!$B$31&amp;" kPa (not for LTA works). ",""))=0,"OK",IF(AND(R19&lt;&gt;"",IFERROR(VALUE(MID(R19,2,2)),0)&lt;SG_Criteria!$B$19),"FAIL: grade below C"&amp;SG_Criteria!$B$19&amp;". ","")&amp;IF(AND(S19&lt;&gt;"",S19&lt;SG_Criteria!$B$20),"FAIL: cover &lt; "&amp;SG_Criteria!$B$20&amp;" mm. ","")&amp;IF(AND(W19&lt;&gt;"",W19&lt;1),"FAIL: sliding. ","")&amp;IF(AND(C19="Reverse L-Wall (toe only, at boundary)",N(O19)&gt;0),"NOTE: reverse L-wall should have no heel. ","")&amp;IF(AND(C19="L-Wall (heel only)",N(N19)&gt;0),"NOTE: L-wall should have no toe. ","")&amp;IF(AND(E19&lt;&gt;"",E19&lt;SG_Criteria!$B$31),"NOTE: q below LTA min "&amp;SG_Criteria!$B$31&amp;" kPa (not for LTA works). ","")))</f>
        <v/>
      </c>
      <c r="AU19" s="9"/>
      <c r="AV19" s="9"/>
      <c r="AW19" s="9"/>
      <c r="AX19" s="9"/>
      <c r="AY19" s="9"/>
      <c r="AZ19" s="31"/>
      <c r="BA19" s="10" t="str">
        <f aca="false">IF(C19="","",IF(AND(AB19="Approved",ISERROR(SEARCH("FAIL",AT19))),"Y","N"))</f>
        <v/>
      </c>
      <c r="BB19" s="10" t="str">
        <f aca="false">IF(C19="","",C19&amp;"|"&amp;D19&amp;"|"&amp;E19&amp;"|"&amp;F19&amp;"|"&amp;BA19)</f>
        <v/>
      </c>
    </row>
    <row r="20" customFormat="false" ht="15" hidden="false" customHeight="false" outlineLevel="0" collapsed="false">
      <c r="A20" s="10" t="str">
        <f aca="false">IF(C20="","","RW-"&amp;IFERROR(VLOOKUP(C20,Lists!$M$4:$N$22,2,0),"??")&amp;"-H"&amp;TEXT(D20*1000,"0000")&amp;"-S"&amp;E20&amp;IF(F20="Y","-GW","")&amp;"-"&amp;AA20)</f>
        <v/>
      </c>
      <c r="B20" s="10" t="str">
        <f aca="false">IF(C20="","",C20&amp;", H = "&amp;TEXT(D20,"0.0")&amp;" m, q = "&amp;E20&amp;" kPa"&amp;IF(F20="Y",", with GWT","")&amp;", "&amp;H20)</f>
        <v/>
      </c>
      <c r="C20" s="9"/>
      <c r="D20" s="41"/>
      <c r="E20" s="40"/>
      <c r="F20" s="9"/>
      <c r="G20" s="40"/>
      <c r="H20" s="9"/>
      <c r="I20" s="40"/>
      <c r="J20" s="43"/>
      <c r="K20" s="40"/>
      <c r="L20" s="40"/>
      <c r="M20" s="40"/>
      <c r="N20" s="40"/>
      <c r="O20" s="40"/>
      <c r="P20" s="40"/>
      <c r="Q20" s="9"/>
      <c r="R20" s="9"/>
      <c r="S20" s="40"/>
      <c r="T20" s="9"/>
      <c r="U20" s="9"/>
      <c r="V20" s="9"/>
      <c r="W20" s="41"/>
      <c r="X20" s="41"/>
      <c r="Y20" s="40"/>
      <c r="Z20" s="9"/>
      <c r="AA20" s="9"/>
      <c r="AB20" s="9"/>
      <c r="AC20" s="9"/>
      <c r="AD20" s="9"/>
      <c r="AE20" s="9"/>
      <c r="AF20" s="10" t="str">
        <f aca="false">IF(A20="","",SG_Criteria!$B$6&amp;SG_Criteria!$B$8&amp;"\"&amp;A20&amp;"\")</f>
        <v/>
      </c>
      <c r="AG20" s="10" t="str">
        <f aca="false">IF(A20="","",A20&amp;"_CAD.dwg")</f>
        <v/>
      </c>
      <c r="AH20" s="10" t="str">
        <f aca="false">IF(A20="","",A20&amp;"_DWG.pdf")</f>
        <v/>
      </c>
      <c r="AI20" s="10" t="str">
        <f aca="false">IF(A20="","",IF(AE20="Y",A20&amp;"_STAAD.std","n/a"))</f>
        <v/>
      </c>
      <c r="AJ20" s="10" t="str">
        <f aca="false">IF(A20="","",A20&amp;"_CALC.xlsx")</f>
        <v/>
      </c>
      <c r="AK20" s="10" t="str">
        <f aca="false">IF(A20="","",A20&amp;"_CALC.pdf")</f>
        <v/>
      </c>
      <c r="AL20" s="9"/>
      <c r="AM20" s="9"/>
      <c r="AN20" s="41"/>
      <c r="AO20" s="41"/>
      <c r="AP20" s="41"/>
      <c r="AQ20" s="41"/>
      <c r="AR20" s="41"/>
      <c r="AS20" s="38" t="str">
        <f aca="false">IF(OR(C20="",D20=""),"",IF(D20&lt;=IF(OR(C20="Block / Segmental",C20="Gabion",C20="Reinforced Earth (MSE)"),SG_Criteria!$B$34,SG_Criteria!$B$33),"No ERSS submission",IF(D20&lt;=SG_Criteria!$B$35,"QP(ST)",IF(D20&lt;=SG_Criteria!$B$36,"QP(ST) + AC","Geotechnical building works: QP(Geo) + AC"))))</f>
        <v/>
      </c>
      <c r="AT20" s="38" t="str">
        <f aca="false">IF(C20="","",IF(LEN(IF(AND(R20&lt;&gt;"",IFERROR(VALUE(MID(R20,2,2)),0)&lt;SG_Criteria!$B$19),"FAIL: grade below C"&amp;SG_Criteria!$B$19&amp;". ","")&amp;IF(AND(S20&lt;&gt;"",S20&lt;SG_Criteria!$B$20),"FAIL: cover &lt; "&amp;SG_Criteria!$B$20&amp;" mm. ","")&amp;IF(AND(W20&lt;&gt;"",W20&lt;1),"FAIL: sliding. ","")&amp;IF(AND(C20="Reverse L-Wall (toe only, at boundary)",N(O20)&gt;0),"NOTE: reverse L-wall should have no heel. ","")&amp;IF(AND(C20="L-Wall (heel only)",N(N20)&gt;0),"NOTE: L-wall should have no toe. ","")&amp;IF(AND(E20&lt;&gt;"",E20&lt;SG_Criteria!$B$31),"NOTE: q below LTA min "&amp;SG_Criteria!$B$31&amp;" kPa (not for LTA works). ",""))=0,"OK",IF(AND(R20&lt;&gt;"",IFERROR(VALUE(MID(R20,2,2)),0)&lt;SG_Criteria!$B$19),"FAIL: grade below C"&amp;SG_Criteria!$B$19&amp;". ","")&amp;IF(AND(S20&lt;&gt;"",S20&lt;SG_Criteria!$B$20),"FAIL: cover &lt; "&amp;SG_Criteria!$B$20&amp;" mm. ","")&amp;IF(AND(W20&lt;&gt;"",W20&lt;1),"FAIL: sliding. ","")&amp;IF(AND(C20="Reverse L-Wall (toe only, at boundary)",N(O20)&gt;0),"NOTE: reverse L-wall should have no heel. ","")&amp;IF(AND(C20="L-Wall (heel only)",N(N20)&gt;0),"NOTE: L-wall should have no toe. ","")&amp;IF(AND(E20&lt;&gt;"",E20&lt;SG_Criteria!$B$31),"NOTE: q below LTA min "&amp;SG_Criteria!$B$31&amp;" kPa (not for LTA works). ","")))</f>
        <v/>
      </c>
      <c r="AU20" s="9"/>
      <c r="AV20" s="9"/>
      <c r="AW20" s="9"/>
      <c r="AX20" s="9"/>
      <c r="AY20" s="9"/>
      <c r="AZ20" s="31"/>
      <c r="BA20" s="10" t="str">
        <f aca="false">IF(C20="","",IF(AND(AB20="Approved",ISERROR(SEARCH("FAIL",AT20))),"Y","N"))</f>
        <v/>
      </c>
      <c r="BB20" s="10" t="str">
        <f aca="false">IF(C20="","",C20&amp;"|"&amp;D20&amp;"|"&amp;E20&amp;"|"&amp;F20&amp;"|"&amp;BA20)</f>
        <v/>
      </c>
    </row>
    <row r="21" customFormat="false" ht="15" hidden="false" customHeight="false" outlineLevel="0" collapsed="false">
      <c r="A21" s="10" t="str">
        <f aca="false">IF(C21="","","RW-"&amp;IFERROR(VLOOKUP(C21,Lists!$M$4:$N$22,2,0),"??")&amp;"-H"&amp;TEXT(D21*1000,"0000")&amp;"-S"&amp;E21&amp;IF(F21="Y","-GW","")&amp;"-"&amp;AA21)</f>
        <v/>
      </c>
      <c r="B21" s="10" t="str">
        <f aca="false">IF(C21="","",C21&amp;", H = "&amp;TEXT(D21,"0.0")&amp;" m, q = "&amp;E21&amp;" kPa"&amp;IF(F21="Y",", with GWT","")&amp;", "&amp;H21)</f>
        <v/>
      </c>
      <c r="C21" s="9"/>
      <c r="D21" s="41"/>
      <c r="E21" s="40"/>
      <c r="F21" s="9"/>
      <c r="G21" s="40"/>
      <c r="H21" s="9"/>
      <c r="I21" s="40"/>
      <c r="J21" s="43"/>
      <c r="K21" s="40"/>
      <c r="L21" s="40"/>
      <c r="M21" s="40"/>
      <c r="N21" s="40"/>
      <c r="O21" s="40"/>
      <c r="P21" s="40"/>
      <c r="Q21" s="9"/>
      <c r="R21" s="9"/>
      <c r="S21" s="40"/>
      <c r="T21" s="9"/>
      <c r="U21" s="9"/>
      <c r="V21" s="9"/>
      <c r="W21" s="41"/>
      <c r="X21" s="41"/>
      <c r="Y21" s="40"/>
      <c r="Z21" s="9"/>
      <c r="AA21" s="9"/>
      <c r="AB21" s="9"/>
      <c r="AC21" s="9"/>
      <c r="AD21" s="9"/>
      <c r="AE21" s="9"/>
      <c r="AF21" s="10" t="str">
        <f aca="false">IF(A21="","",SG_Criteria!$B$6&amp;SG_Criteria!$B$8&amp;"\"&amp;A21&amp;"\")</f>
        <v/>
      </c>
      <c r="AG21" s="10" t="str">
        <f aca="false">IF(A21="","",A21&amp;"_CAD.dwg")</f>
        <v/>
      </c>
      <c r="AH21" s="10" t="str">
        <f aca="false">IF(A21="","",A21&amp;"_DWG.pdf")</f>
        <v/>
      </c>
      <c r="AI21" s="10" t="str">
        <f aca="false">IF(A21="","",IF(AE21="Y",A21&amp;"_STAAD.std","n/a"))</f>
        <v/>
      </c>
      <c r="AJ21" s="10" t="str">
        <f aca="false">IF(A21="","",A21&amp;"_CALC.xlsx")</f>
        <v/>
      </c>
      <c r="AK21" s="10" t="str">
        <f aca="false">IF(A21="","",A21&amp;"_CALC.pdf")</f>
        <v/>
      </c>
      <c r="AL21" s="9"/>
      <c r="AM21" s="9"/>
      <c r="AN21" s="41"/>
      <c r="AO21" s="41"/>
      <c r="AP21" s="41"/>
      <c r="AQ21" s="41"/>
      <c r="AR21" s="41"/>
      <c r="AS21" s="38" t="str">
        <f aca="false">IF(OR(C21="",D21=""),"",IF(D21&lt;=IF(OR(C21="Block / Segmental",C21="Gabion",C21="Reinforced Earth (MSE)"),SG_Criteria!$B$34,SG_Criteria!$B$33),"No ERSS submission",IF(D21&lt;=SG_Criteria!$B$35,"QP(ST)",IF(D21&lt;=SG_Criteria!$B$36,"QP(ST) + AC","Geotechnical building works: QP(Geo) + AC"))))</f>
        <v/>
      </c>
      <c r="AT21" s="38" t="str">
        <f aca="false">IF(C21="","",IF(LEN(IF(AND(R21&lt;&gt;"",IFERROR(VALUE(MID(R21,2,2)),0)&lt;SG_Criteria!$B$19),"FAIL: grade below C"&amp;SG_Criteria!$B$19&amp;". ","")&amp;IF(AND(S21&lt;&gt;"",S21&lt;SG_Criteria!$B$20),"FAIL: cover &lt; "&amp;SG_Criteria!$B$20&amp;" mm. ","")&amp;IF(AND(W21&lt;&gt;"",W21&lt;1),"FAIL: sliding. ","")&amp;IF(AND(C21="Reverse L-Wall (toe only, at boundary)",N(O21)&gt;0),"NOTE: reverse L-wall should have no heel. ","")&amp;IF(AND(C21="L-Wall (heel only)",N(N21)&gt;0),"NOTE: L-wall should have no toe. ","")&amp;IF(AND(E21&lt;&gt;"",E21&lt;SG_Criteria!$B$31),"NOTE: q below LTA min "&amp;SG_Criteria!$B$31&amp;" kPa (not for LTA works). ",""))=0,"OK",IF(AND(R21&lt;&gt;"",IFERROR(VALUE(MID(R21,2,2)),0)&lt;SG_Criteria!$B$19),"FAIL: grade below C"&amp;SG_Criteria!$B$19&amp;". ","")&amp;IF(AND(S21&lt;&gt;"",S21&lt;SG_Criteria!$B$20),"FAIL: cover &lt; "&amp;SG_Criteria!$B$20&amp;" mm. ","")&amp;IF(AND(W21&lt;&gt;"",W21&lt;1),"FAIL: sliding. ","")&amp;IF(AND(C21="Reverse L-Wall (toe only, at boundary)",N(O21)&gt;0),"NOTE: reverse L-wall should have no heel. ","")&amp;IF(AND(C21="L-Wall (heel only)",N(N21)&gt;0),"NOTE: L-wall should have no toe. ","")&amp;IF(AND(E21&lt;&gt;"",E21&lt;SG_Criteria!$B$31),"NOTE: q below LTA min "&amp;SG_Criteria!$B$31&amp;" kPa (not for LTA works). ","")))</f>
        <v/>
      </c>
      <c r="AU21" s="9"/>
      <c r="AV21" s="9"/>
      <c r="AW21" s="9"/>
      <c r="AX21" s="9"/>
      <c r="AY21" s="9"/>
      <c r="AZ21" s="31"/>
      <c r="BA21" s="10" t="str">
        <f aca="false">IF(C21="","",IF(AND(AB21="Approved",ISERROR(SEARCH("FAIL",AT21))),"Y","N"))</f>
        <v/>
      </c>
      <c r="BB21" s="10" t="str">
        <f aca="false">IF(C21="","",C21&amp;"|"&amp;D21&amp;"|"&amp;E21&amp;"|"&amp;F21&amp;"|"&amp;BA21)</f>
        <v/>
      </c>
    </row>
    <row r="22" customFormat="false" ht="15" hidden="false" customHeight="false" outlineLevel="0" collapsed="false">
      <c r="A22" s="10" t="str">
        <f aca="false">IF(C22="","","RW-"&amp;IFERROR(VLOOKUP(C22,Lists!$M$4:$N$22,2,0),"??")&amp;"-H"&amp;TEXT(D22*1000,"0000")&amp;"-S"&amp;E22&amp;IF(F22="Y","-GW","")&amp;"-"&amp;AA22)</f>
        <v/>
      </c>
      <c r="B22" s="10" t="str">
        <f aca="false">IF(C22="","",C22&amp;", H = "&amp;TEXT(D22,"0.0")&amp;" m, q = "&amp;E22&amp;" kPa"&amp;IF(F22="Y",", with GWT","")&amp;", "&amp;H22)</f>
        <v/>
      </c>
      <c r="C22" s="9"/>
      <c r="D22" s="41"/>
      <c r="E22" s="40"/>
      <c r="F22" s="9"/>
      <c r="G22" s="40"/>
      <c r="H22" s="9"/>
      <c r="I22" s="40"/>
      <c r="J22" s="43"/>
      <c r="K22" s="40"/>
      <c r="L22" s="40"/>
      <c r="M22" s="40"/>
      <c r="N22" s="40"/>
      <c r="O22" s="40"/>
      <c r="P22" s="40"/>
      <c r="Q22" s="9"/>
      <c r="R22" s="9"/>
      <c r="S22" s="40"/>
      <c r="T22" s="9"/>
      <c r="U22" s="9"/>
      <c r="V22" s="9"/>
      <c r="W22" s="41"/>
      <c r="X22" s="41"/>
      <c r="Y22" s="40"/>
      <c r="Z22" s="9"/>
      <c r="AA22" s="9"/>
      <c r="AB22" s="9"/>
      <c r="AC22" s="9"/>
      <c r="AD22" s="9"/>
      <c r="AE22" s="9"/>
      <c r="AF22" s="10" t="str">
        <f aca="false">IF(A22="","",SG_Criteria!$B$6&amp;SG_Criteria!$B$8&amp;"\"&amp;A22&amp;"\")</f>
        <v/>
      </c>
      <c r="AG22" s="10" t="str">
        <f aca="false">IF(A22="","",A22&amp;"_CAD.dwg")</f>
        <v/>
      </c>
      <c r="AH22" s="10" t="str">
        <f aca="false">IF(A22="","",A22&amp;"_DWG.pdf")</f>
        <v/>
      </c>
      <c r="AI22" s="10" t="str">
        <f aca="false">IF(A22="","",IF(AE22="Y",A22&amp;"_STAAD.std","n/a"))</f>
        <v/>
      </c>
      <c r="AJ22" s="10" t="str">
        <f aca="false">IF(A22="","",A22&amp;"_CALC.xlsx")</f>
        <v/>
      </c>
      <c r="AK22" s="10" t="str">
        <f aca="false">IF(A22="","",A22&amp;"_CALC.pdf")</f>
        <v/>
      </c>
      <c r="AL22" s="9"/>
      <c r="AM22" s="9"/>
      <c r="AN22" s="41"/>
      <c r="AO22" s="41"/>
      <c r="AP22" s="41"/>
      <c r="AQ22" s="41"/>
      <c r="AR22" s="41"/>
      <c r="AS22" s="38" t="str">
        <f aca="false">IF(OR(C22="",D22=""),"",IF(D22&lt;=IF(OR(C22="Block / Segmental",C22="Gabion",C22="Reinforced Earth (MSE)"),SG_Criteria!$B$34,SG_Criteria!$B$33),"No ERSS submission",IF(D22&lt;=SG_Criteria!$B$35,"QP(ST)",IF(D22&lt;=SG_Criteria!$B$36,"QP(ST) + AC","Geotechnical building works: QP(Geo) + AC"))))</f>
        <v/>
      </c>
      <c r="AT22" s="38" t="str">
        <f aca="false">IF(C22="","",IF(LEN(IF(AND(R22&lt;&gt;"",IFERROR(VALUE(MID(R22,2,2)),0)&lt;SG_Criteria!$B$19),"FAIL: grade below C"&amp;SG_Criteria!$B$19&amp;". ","")&amp;IF(AND(S22&lt;&gt;"",S22&lt;SG_Criteria!$B$20),"FAIL: cover &lt; "&amp;SG_Criteria!$B$20&amp;" mm. ","")&amp;IF(AND(W22&lt;&gt;"",W22&lt;1),"FAIL: sliding. ","")&amp;IF(AND(C22="Reverse L-Wall (toe only, at boundary)",N(O22)&gt;0),"NOTE: reverse L-wall should have no heel. ","")&amp;IF(AND(C22="L-Wall (heel only)",N(N22)&gt;0),"NOTE: L-wall should have no toe. ","")&amp;IF(AND(E22&lt;&gt;"",E22&lt;SG_Criteria!$B$31),"NOTE: q below LTA min "&amp;SG_Criteria!$B$31&amp;" kPa (not for LTA works). ",""))=0,"OK",IF(AND(R22&lt;&gt;"",IFERROR(VALUE(MID(R22,2,2)),0)&lt;SG_Criteria!$B$19),"FAIL: grade below C"&amp;SG_Criteria!$B$19&amp;". ","")&amp;IF(AND(S22&lt;&gt;"",S22&lt;SG_Criteria!$B$20),"FAIL: cover &lt; "&amp;SG_Criteria!$B$20&amp;" mm. ","")&amp;IF(AND(W22&lt;&gt;"",W22&lt;1),"FAIL: sliding. ","")&amp;IF(AND(C22="Reverse L-Wall (toe only, at boundary)",N(O22)&gt;0),"NOTE: reverse L-wall should have no heel. ","")&amp;IF(AND(C22="L-Wall (heel only)",N(N22)&gt;0),"NOTE: L-wall should have no toe. ","")&amp;IF(AND(E22&lt;&gt;"",E22&lt;SG_Criteria!$B$31),"NOTE: q below LTA min "&amp;SG_Criteria!$B$31&amp;" kPa (not for LTA works). ","")))</f>
        <v/>
      </c>
      <c r="AU22" s="9"/>
      <c r="AV22" s="9"/>
      <c r="AW22" s="9"/>
      <c r="AX22" s="9"/>
      <c r="AY22" s="9"/>
      <c r="AZ22" s="31"/>
      <c r="BA22" s="10" t="str">
        <f aca="false">IF(C22="","",IF(AND(AB22="Approved",ISERROR(SEARCH("FAIL",AT22))),"Y","N"))</f>
        <v/>
      </c>
      <c r="BB22" s="10" t="str">
        <f aca="false">IF(C22="","",C22&amp;"|"&amp;D22&amp;"|"&amp;E22&amp;"|"&amp;F22&amp;"|"&amp;BA22)</f>
        <v/>
      </c>
    </row>
    <row r="23" customFormat="false" ht="15" hidden="false" customHeight="false" outlineLevel="0" collapsed="false">
      <c r="A23" s="10" t="str">
        <f aca="false">IF(C23="","","RW-"&amp;IFERROR(VLOOKUP(C23,Lists!$M$4:$N$22,2,0),"??")&amp;"-H"&amp;TEXT(D23*1000,"0000")&amp;"-S"&amp;E23&amp;IF(F23="Y","-GW","")&amp;"-"&amp;AA23)</f>
        <v/>
      </c>
      <c r="B23" s="10" t="str">
        <f aca="false">IF(C23="","",C23&amp;", H = "&amp;TEXT(D23,"0.0")&amp;" m, q = "&amp;E23&amp;" kPa"&amp;IF(F23="Y",", with GWT","")&amp;", "&amp;H23)</f>
        <v/>
      </c>
      <c r="C23" s="9"/>
      <c r="D23" s="41"/>
      <c r="E23" s="40"/>
      <c r="F23" s="9"/>
      <c r="G23" s="40"/>
      <c r="H23" s="9"/>
      <c r="I23" s="40"/>
      <c r="J23" s="43"/>
      <c r="K23" s="40"/>
      <c r="L23" s="40"/>
      <c r="M23" s="40"/>
      <c r="N23" s="40"/>
      <c r="O23" s="40"/>
      <c r="P23" s="40"/>
      <c r="Q23" s="9"/>
      <c r="R23" s="9"/>
      <c r="S23" s="40"/>
      <c r="T23" s="9"/>
      <c r="U23" s="9"/>
      <c r="V23" s="9"/>
      <c r="W23" s="41"/>
      <c r="X23" s="41"/>
      <c r="Y23" s="40"/>
      <c r="Z23" s="9"/>
      <c r="AA23" s="9"/>
      <c r="AB23" s="9"/>
      <c r="AC23" s="9"/>
      <c r="AD23" s="9"/>
      <c r="AE23" s="9"/>
      <c r="AF23" s="10" t="str">
        <f aca="false">IF(A23="","",SG_Criteria!$B$6&amp;SG_Criteria!$B$8&amp;"\"&amp;A23&amp;"\")</f>
        <v/>
      </c>
      <c r="AG23" s="10" t="str">
        <f aca="false">IF(A23="","",A23&amp;"_CAD.dwg")</f>
        <v/>
      </c>
      <c r="AH23" s="10" t="str">
        <f aca="false">IF(A23="","",A23&amp;"_DWG.pdf")</f>
        <v/>
      </c>
      <c r="AI23" s="10" t="str">
        <f aca="false">IF(A23="","",IF(AE23="Y",A23&amp;"_STAAD.std","n/a"))</f>
        <v/>
      </c>
      <c r="AJ23" s="10" t="str">
        <f aca="false">IF(A23="","",A23&amp;"_CALC.xlsx")</f>
        <v/>
      </c>
      <c r="AK23" s="10" t="str">
        <f aca="false">IF(A23="","",A23&amp;"_CALC.pdf")</f>
        <v/>
      </c>
      <c r="AL23" s="9"/>
      <c r="AM23" s="9"/>
      <c r="AN23" s="41"/>
      <c r="AO23" s="41"/>
      <c r="AP23" s="41"/>
      <c r="AQ23" s="41"/>
      <c r="AR23" s="41"/>
      <c r="AS23" s="38" t="str">
        <f aca="false">IF(OR(C23="",D23=""),"",IF(D23&lt;=IF(OR(C23="Block / Segmental",C23="Gabion",C23="Reinforced Earth (MSE)"),SG_Criteria!$B$34,SG_Criteria!$B$33),"No ERSS submission",IF(D23&lt;=SG_Criteria!$B$35,"QP(ST)",IF(D23&lt;=SG_Criteria!$B$36,"QP(ST) + AC","Geotechnical building works: QP(Geo) + AC"))))</f>
        <v/>
      </c>
      <c r="AT23" s="38" t="str">
        <f aca="false">IF(C23="","",IF(LEN(IF(AND(R23&lt;&gt;"",IFERROR(VALUE(MID(R23,2,2)),0)&lt;SG_Criteria!$B$19),"FAIL: grade below C"&amp;SG_Criteria!$B$19&amp;". ","")&amp;IF(AND(S23&lt;&gt;"",S23&lt;SG_Criteria!$B$20),"FAIL: cover &lt; "&amp;SG_Criteria!$B$20&amp;" mm. ","")&amp;IF(AND(W23&lt;&gt;"",W23&lt;1),"FAIL: sliding. ","")&amp;IF(AND(C23="Reverse L-Wall (toe only, at boundary)",N(O23)&gt;0),"NOTE: reverse L-wall should have no heel. ","")&amp;IF(AND(C23="L-Wall (heel only)",N(N23)&gt;0),"NOTE: L-wall should have no toe. ","")&amp;IF(AND(E23&lt;&gt;"",E23&lt;SG_Criteria!$B$31),"NOTE: q below LTA min "&amp;SG_Criteria!$B$31&amp;" kPa (not for LTA works). ",""))=0,"OK",IF(AND(R23&lt;&gt;"",IFERROR(VALUE(MID(R23,2,2)),0)&lt;SG_Criteria!$B$19),"FAIL: grade below C"&amp;SG_Criteria!$B$19&amp;". ","")&amp;IF(AND(S23&lt;&gt;"",S23&lt;SG_Criteria!$B$20),"FAIL: cover &lt; "&amp;SG_Criteria!$B$20&amp;" mm. ","")&amp;IF(AND(W23&lt;&gt;"",W23&lt;1),"FAIL: sliding. ","")&amp;IF(AND(C23="Reverse L-Wall (toe only, at boundary)",N(O23)&gt;0),"NOTE: reverse L-wall should have no heel. ","")&amp;IF(AND(C23="L-Wall (heel only)",N(N23)&gt;0),"NOTE: L-wall should have no toe. ","")&amp;IF(AND(E23&lt;&gt;"",E23&lt;SG_Criteria!$B$31),"NOTE: q below LTA min "&amp;SG_Criteria!$B$31&amp;" kPa (not for LTA works). ","")))</f>
        <v/>
      </c>
      <c r="AU23" s="9"/>
      <c r="AV23" s="9"/>
      <c r="AW23" s="9"/>
      <c r="AX23" s="9"/>
      <c r="AY23" s="9"/>
      <c r="AZ23" s="31"/>
      <c r="BA23" s="10" t="str">
        <f aca="false">IF(C23="","",IF(AND(AB23="Approved",ISERROR(SEARCH("FAIL",AT23))),"Y","N"))</f>
        <v/>
      </c>
      <c r="BB23" s="10" t="str">
        <f aca="false">IF(C23="","",C23&amp;"|"&amp;D23&amp;"|"&amp;E23&amp;"|"&amp;F23&amp;"|"&amp;BA23)</f>
        <v/>
      </c>
    </row>
    <row r="24" customFormat="false" ht="15" hidden="false" customHeight="false" outlineLevel="0" collapsed="false">
      <c r="A24" s="10" t="str">
        <f aca="false">IF(C24="","","RW-"&amp;IFERROR(VLOOKUP(C24,Lists!$M$4:$N$22,2,0),"??")&amp;"-H"&amp;TEXT(D24*1000,"0000")&amp;"-S"&amp;E24&amp;IF(F24="Y","-GW","")&amp;"-"&amp;AA24)</f>
        <v/>
      </c>
      <c r="B24" s="10" t="str">
        <f aca="false">IF(C24="","",C24&amp;", H = "&amp;TEXT(D24,"0.0")&amp;" m, q = "&amp;E24&amp;" kPa"&amp;IF(F24="Y",", with GWT","")&amp;", "&amp;H24)</f>
        <v/>
      </c>
      <c r="C24" s="9"/>
      <c r="D24" s="41"/>
      <c r="E24" s="40"/>
      <c r="F24" s="9"/>
      <c r="G24" s="40"/>
      <c r="H24" s="9"/>
      <c r="I24" s="40"/>
      <c r="J24" s="43"/>
      <c r="K24" s="40"/>
      <c r="L24" s="40"/>
      <c r="M24" s="40"/>
      <c r="N24" s="40"/>
      <c r="O24" s="40"/>
      <c r="P24" s="40"/>
      <c r="Q24" s="9"/>
      <c r="R24" s="9"/>
      <c r="S24" s="40"/>
      <c r="T24" s="9"/>
      <c r="U24" s="9"/>
      <c r="V24" s="9"/>
      <c r="W24" s="41"/>
      <c r="X24" s="41"/>
      <c r="Y24" s="40"/>
      <c r="Z24" s="9"/>
      <c r="AA24" s="9"/>
      <c r="AB24" s="9"/>
      <c r="AC24" s="9"/>
      <c r="AD24" s="9"/>
      <c r="AE24" s="9"/>
      <c r="AF24" s="10" t="str">
        <f aca="false">IF(A24="","",SG_Criteria!$B$6&amp;SG_Criteria!$B$8&amp;"\"&amp;A24&amp;"\")</f>
        <v/>
      </c>
      <c r="AG24" s="10" t="str">
        <f aca="false">IF(A24="","",A24&amp;"_CAD.dwg")</f>
        <v/>
      </c>
      <c r="AH24" s="10" t="str">
        <f aca="false">IF(A24="","",A24&amp;"_DWG.pdf")</f>
        <v/>
      </c>
      <c r="AI24" s="10" t="str">
        <f aca="false">IF(A24="","",IF(AE24="Y",A24&amp;"_STAAD.std","n/a"))</f>
        <v/>
      </c>
      <c r="AJ24" s="10" t="str">
        <f aca="false">IF(A24="","",A24&amp;"_CALC.xlsx")</f>
        <v/>
      </c>
      <c r="AK24" s="10" t="str">
        <f aca="false">IF(A24="","",A24&amp;"_CALC.pdf")</f>
        <v/>
      </c>
      <c r="AL24" s="9"/>
      <c r="AM24" s="9"/>
      <c r="AN24" s="41"/>
      <c r="AO24" s="41"/>
      <c r="AP24" s="41"/>
      <c r="AQ24" s="41"/>
      <c r="AR24" s="41"/>
      <c r="AS24" s="38" t="str">
        <f aca="false">IF(OR(C24="",D24=""),"",IF(D24&lt;=IF(OR(C24="Block / Segmental",C24="Gabion",C24="Reinforced Earth (MSE)"),SG_Criteria!$B$34,SG_Criteria!$B$33),"No ERSS submission",IF(D24&lt;=SG_Criteria!$B$35,"QP(ST)",IF(D24&lt;=SG_Criteria!$B$36,"QP(ST) + AC","Geotechnical building works: QP(Geo) + AC"))))</f>
        <v/>
      </c>
      <c r="AT24" s="38" t="str">
        <f aca="false">IF(C24="","",IF(LEN(IF(AND(R24&lt;&gt;"",IFERROR(VALUE(MID(R24,2,2)),0)&lt;SG_Criteria!$B$19),"FAIL: grade below C"&amp;SG_Criteria!$B$19&amp;". ","")&amp;IF(AND(S24&lt;&gt;"",S24&lt;SG_Criteria!$B$20),"FAIL: cover &lt; "&amp;SG_Criteria!$B$20&amp;" mm. ","")&amp;IF(AND(W24&lt;&gt;"",W24&lt;1),"FAIL: sliding. ","")&amp;IF(AND(C24="Reverse L-Wall (toe only, at boundary)",N(O24)&gt;0),"NOTE: reverse L-wall should have no heel. ","")&amp;IF(AND(C24="L-Wall (heel only)",N(N24)&gt;0),"NOTE: L-wall should have no toe. ","")&amp;IF(AND(E24&lt;&gt;"",E24&lt;SG_Criteria!$B$31),"NOTE: q below LTA min "&amp;SG_Criteria!$B$31&amp;" kPa (not for LTA works). ",""))=0,"OK",IF(AND(R24&lt;&gt;"",IFERROR(VALUE(MID(R24,2,2)),0)&lt;SG_Criteria!$B$19),"FAIL: grade below C"&amp;SG_Criteria!$B$19&amp;". ","")&amp;IF(AND(S24&lt;&gt;"",S24&lt;SG_Criteria!$B$20),"FAIL: cover &lt; "&amp;SG_Criteria!$B$20&amp;" mm. ","")&amp;IF(AND(W24&lt;&gt;"",W24&lt;1),"FAIL: sliding. ","")&amp;IF(AND(C24="Reverse L-Wall (toe only, at boundary)",N(O24)&gt;0),"NOTE: reverse L-wall should have no heel. ","")&amp;IF(AND(C24="L-Wall (heel only)",N(N24)&gt;0),"NOTE: L-wall should have no toe. ","")&amp;IF(AND(E24&lt;&gt;"",E24&lt;SG_Criteria!$B$31),"NOTE: q below LTA min "&amp;SG_Criteria!$B$31&amp;" kPa (not for LTA works). ","")))</f>
        <v/>
      </c>
      <c r="AU24" s="9"/>
      <c r="AV24" s="9"/>
      <c r="AW24" s="9"/>
      <c r="AX24" s="9"/>
      <c r="AY24" s="9"/>
      <c r="AZ24" s="31"/>
      <c r="BA24" s="10" t="str">
        <f aca="false">IF(C24="","",IF(AND(AB24="Approved",ISERROR(SEARCH("FAIL",AT24))),"Y","N"))</f>
        <v/>
      </c>
      <c r="BB24" s="10" t="str">
        <f aca="false">IF(C24="","",C24&amp;"|"&amp;D24&amp;"|"&amp;E24&amp;"|"&amp;F24&amp;"|"&amp;BA24)</f>
        <v/>
      </c>
    </row>
    <row r="25" customFormat="false" ht="15" hidden="false" customHeight="false" outlineLevel="0" collapsed="false">
      <c r="A25" s="10" t="str">
        <f aca="false">IF(C25="","","RW-"&amp;IFERROR(VLOOKUP(C25,Lists!$M$4:$N$22,2,0),"??")&amp;"-H"&amp;TEXT(D25*1000,"0000")&amp;"-S"&amp;E25&amp;IF(F25="Y","-GW","")&amp;"-"&amp;AA25)</f>
        <v/>
      </c>
      <c r="B25" s="10" t="str">
        <f aca="false">IF(C25="","",C25&amp;", H = "&amp;TEXT(D25,"0.0")&amp;" m, q = "&amp;E25&amp;" kPa"&amp;IF(F25="Y",", with GWT","")&amp;", "&amp;H25)</f>
        <v/>
      </c>
      <c r="C25" s="9"/>
      <c r="D25" s="41"/>
      <c r="E25" s="40"/>
      <c r="F25" s="9"/>
      <c r="G25" s="40"/>
      <c r="H25" s="9"/>
      <c r="I25" s="40"/>
      <c r="J25" s="43"/>
      <c r="K25" s="40"/>
      <c r="L25" s="40"/>
      <c r="M25" s="40"/>
      <c r="N25" s="40"/>
      <c r="O25" s="40"/>
      <c r="P25" s="40"/>
      <c r="Q25" s="9"/>
      <c r="R25" s="9"/>
      <c r="S25" s="40"/>
      <c r="T25" s="9"/>
      <c r="U25" s="9"/>
      <c r="V25" s="9"/>
      <c r="W25" s="41"/>
      <c r="X25" s="41"/>
      <c r="Y25" s="40"/>
      <c r="Z25" s="9"/>
      <c r="AA25" s="9"/>
      <c r="AB25" s="9"/>
      <c r="AC25" s="9"/>
      <c r="AD25" s="9"/>
      <c r="AE25" s="9"/>
      <c r="AF25" s="10" t="str">
        <f aca="false">IF(A25="","",SG_Criteria!$B$6&amp;SG_Criteria!$B$8&amp;"\"&amp;A25&amp;"\")</f>
        <v/>
      </c>
      <c r="AG25" s="10" t="str">
        <f aca="false">IF(A25="","",A25&amp;"_CAD.dwg")</f>
        <v/>
      </c>
      <c r="AH25" s="10" t="str">
        <f aca="false">IF(A25="","",A25&amp;"_DWG.pdf")</f>
        <v/>
      </c>
      <c r="AI25" s="10" t="str">
        <f aca="false">IF(A25="","",IF(AE25="Y",A25&amp;"_STAAD.std","n/a"))</f>
        <v/>
      </c>
      <c r="AJ25" s="10" t="str">
        <f aca="false">IF(A25="","",A25&amp;"_CALC.xlsx")</f>
        <v/>
      </c>
      <c r="AK25" s="10" t="str">
        <f aca="false">IF(A25="","",A25&amp;"_CALC.pdf")</f>
        <v/>
      </c>
      <c r="AL25" s="9"/>
      <c r="AM25" s="9"/>
      <c r="AN25" s="41"/>
      <c r="AO25" s="41"/>
      <c r="AP25" s="41"/>
      <c r="AQ25" s="41"/>
      <c r="AR25" s="41"/>
      <c r="AS25" s="38" t="str">
        <f aca="false">IF(OR(C25="",D25=""),"",IF(D25&lt;=IF(OR(C25="Block / Segmental",C25="Gabion",C25="Reinforced Earth (MSE)"),SG_Criteria!$B$34,SG_Criteria!$B$33),"No ERSS submission",IF(D25&lt;=SG_Criteria!$B$35,"QP(ST)",IF(D25&lt;=SG_Criteria!$B$36,"QP(ST) + AC","Geotechnical building works: QP(Geo) + AC"))))</f>
        <v/>
      </c>
      <c r="AT25" s="38" t="str">
        <f aca="false">IF(C25="","",IF(LEN(IF(AND(R25&lt;&gt;"",IFERROR(VALUE(MID(R25,2,2)),0)&lt;SG_Criteria!$B$19),"FAIL: grade below C"&amp;SG_Criteria!$B$19&amp;". ","")&amp;IF(AND(S25&lt;&gt;"",S25&lt;SG_Criteria!$B$20),"FAIL: cover &lt; "&amp;SG_Criteria!$B$20&amp;" mm. ","")&amp;IF(AND(W25&lt;&gt;"",W25&lt;1),"FAIL: sliding. ","")&amp;IF(AND(C25="Reverse L-Wall (toe only, at boundary)",N(O25)&gt;0),"NOTE: reverse L-wall should have no heel. ","")&amp;IF(AND(C25="L-Wall (heel only)",N(N25)&gt;0),"NOTE: L-wall should have no toe. ","")&amp;IF(AND(E25&lt;&gt;"",E25&lt;SG_Criteria!$B$31),"NOTE: q below LTA min "&amp;SG_Criteria!$B$31&amp;" kPa (not for LTA works). ",""))=0,"OK",IF(AND(R25&lt;&gt;"",IFERROR(VALUE(MID(R25,2,2)),0)&lt;SG_Criteria!$B$19),"FAIL: grade below C"&amp;SG_Criteria!$B$19&amp;". ","")&amp;IF(AND(S25&lt;&gt;"",S25&lt;SG_Criteria!$B$20),"FAIL: cover &lt; "&amp;SG_Criteria!$B$20&amp;" mm. ","")&amp;IF(AND(W25&lt;&gt;"",W25&lt;1),"FAIL: sliding. ","")&amp;IF(AND(C25="Reverse L-Wall (toe only, at boundary)",N(O25)&gt;0),"NOTE: reverse L-wall should have no heel. ","")&amp;IF(AND(C25="L-Wall (heel only)",N(N25)&gt;0),"NOTE: L-wall should have no toe. ","")&amp;IF(AND(E25&lt;&gt;"",E25&lt;SG_Criteria!$B$31),"NOTE: q below LTA min "&amp;SG_Criteria!$B$31&amp;" kPa (not for LTA works). ","")))</f>
        <v/>
      </c>
      <c r="AU25" s="9"/>
      <c r="AV25" s="9"/>
      <c r="AW25" s="9"/>
      <c r="AX25" s="9"/>
      <c r="AY25" s="9"/>
      <c r="AZ25" s="31"/>
      <c r="BA25" s="10" t="str">
        <f aca="false">IF(C25="","",IF(AND(AB25="Approved",ISERROR(SEARCH("FAIL",AT25))),"Y","N"))</f>
        <v/>
      </c>
      <c r="BB25" s="10" t="str">
        <f aca="false">IF(C25="","",C25&amp;"|"&amp;D25&amp;"|"&amp;E25&amp;"|"&amp;F25&amp;"|"&amp;BA25)</f>
        <v/>
      </c>
    </row>
    <row r="26" customFormat="false" ht="15" hidden="false" customHeight="false" outlineLevel="0" collapsed="false">
      <c r="A26" s="10" t="str">
        <f aca="false">IF(C26="","","RW-"&amp;IFERROR(VLOOKUP(C26,Lists!$M$4:$N$22,2,0),"??")&amp;"-H"&amp;TEXT(D26*1000,"0000")&amp;"-S"&amp;E26&amp;IF(F26="Y","-GW","")&amp;"-"&amp;AA26)</f>
        <v/>
      </c>
      <c r="B26" s="10" t="str">
        <f aca="false">IF(C26="","",C26&amp;", H = "&amp;TEXT(D26,"0.0")&amp;" m, q = "&amp;E26&amp;" kPa"&amp;IF(F26="Y",", with GWT","")&amp;", "&amp;H26)</f>
        <v/>
      </c>
      <c r="C26" s="9"/>
      <c r="D26" s="41"/>
      <c r="E26" s="40"/>
      <c r="F26" s="9"/>
      <c r="G26" s="40"/>
      <c r="H26" s="9"/>
      <c r="I26" s="40"/>
      <c r="J26" s="43"/>
      <c r="K26" s="40"/>
      <c r="L26" s="40"/>
      <c r="M26" s="40"/>
      <c r="N26" s="40"/>
      <c r="O26" s="40"/>
      <c r="P26" s="40"/>
      <c r="Q26" s="9"/>
      <c r="R26" s="9"/>
      <c r="S26" s="40"/>
      <c r="T26" s="9"/>
      <c r="U26" s="9"/>
      <c r="V26" s="9"/>
      <c r="W26" s="41"/>
      <c r="X26" s="41"/>
      <c r="Y26" s="40"/>
      <c r="Z26" s="9"/>
      <c r="AA26" s="9"/>
      <c r="AB26" s="9"/>
      <c r="AC26" s="9"/>
      <c r="AD26" s="9"/>
      <c r="AE26" s="9"/>
      <c r="AF26" s="10" t="str">
        <f aca="false">IF(A26="","",SG_Criteria!$B$6&amp;SG_Criteria!$B$8&amp;"\"&amp;A26&amp;"\")</f>
        <v/>
      </c>
      <c r="AG26" s="10" t="str">
        <f aca="false">IF(A26="","",A26&amp;"_CAD.dwg")</f>
        <v/>
      </c>
      <c r="AH26" s="10" t="str">
        <f aca="false">IF(A26="","",A26&amp;"_DWG.pdf")</f>
        <v/>
      </c>
      <c r="AI26" s="10" t="str">
        <f aca="false">IF(A26="","",IF(AE26="Y",A26&amp;"_STAAD.std","n/a"))</f>
        <v/>
      </c>
      <c r="AJ26" s="10" t="str">
        <f aca="false">IF(A26="","",A26&amp;"_CALC.xlsx")</f>
        <v/>
      </c>
      <c r="AK26" s="10" t="str">
        <f aca="false">IF(A26="","",A26&amp;"_CALC.pdf")</f>
        <v/>
      </c>
      <c r="AL26" s="9"/>
      <c r="AM26" s="9"/>
      <c r="AN26" s="41"/>
      <c r="AO26" s="41"/>
      <c r="AP26" s="41"/>
      <c r="AQ26" s="41"/>
      <c r="AR26" s="41"/>
      <c r="AS26" s="38" t="str">
        <f aca="false">IF(OR(C26="",D26=""),"",IF(D26&lt;=IF(OR(C26="Block / Segmental",C26="Gabion",C26="Reinforced Earth (MSE)"),SG_Criteria!$B$34,SG_Criteria!$B$33),"No ERSS submission",IF(D26&lt;=SG_Criteria!$B$35,"QP(ST)",IF(D26&lt;=SG_Criteria!$B$36,"QP(ST) + AC","Geotechnical building works: QP(Geo) + AC"))))</f>
        <v/>
      </c>
      <c r="AT26" s="38" t="str">
        <f aca="false">IF(C26="","",IF(LEN(IF(AND(R26&lt;&gt;"",IFERROR(VALUE(MID(R26,2,2)),0)&lt;SG_Criteria!$B$19),"FAIL: grade below C"&amp;SG_Criteria!$B$19&amp;". ","")&amp;IF(AND(S26&lt;&gt;"",S26&lt;SG_Criteria!$B$20),"FAIL: cover &lt; "&amp;SG_Criteria!$B$20&amp;" mm. ","")&amp;IF(AND(W26&lt;&gt;"",W26&lt;1),"FAIL: sliding. ","")&amp;IF(AND(C26="Reverse L-Wall (toe only, at boundary)",N(O26)&gt;0),"NOTE: reverse L-wall should have no heel. ","")&amp;IF(AND(C26="L-Wall (heel only)",N(N26)&gt;0),"NOTE: L-wall should have no toe. ","")&amp;IF(AND(E26&lt;&gt;"",E26&lt;SG_Criteria!$B$31),"NOTE: q below LTA min "&amp;SG_Criteria!$B$31&amp;" kPa (not for LTA works). ",""))=0,"OK",IF(AND(R26&lt;&gt;"",IFERROR(VALUE(MID(R26,2,2)),0)&lt;SG_Criteria!$B$19),"FAIL: grade below C"&amp;SG_Criteria!$B$19&amp;". ","")&amp;IF(AND(S26&lt;&gt;"",S26&lt;SG_Criteria!$B$20),"FAIL: cover &lt; "&amp;SG_Criteria!$B$20&amp;" mm. ","")&amp;IF(AND(W26&lt;&gt;"",W26&lt;1),"FAIL: sliding. ","")&amp;IF(AND(C26="Reverse L-Wall (toe only, at boundary)",N(O26)&gt;0),"NOTE: reverse L-wall should have no heel. ","")&amp;IF(AND(C26="L-Wall (heel only)",N(N26)&gt;0),"NOTE: L-wall should have no toe. ","")&amp;IF(AND(E26&lt;&gt;"",E26&lt;SG_Criteria!$B$31),"NOTE: q below LTA min "&amp;SG_Criteria!$B$31&amp;" kPa (not for LTA works). ","")))</f>
        <v/>
      </c>
      <c r="AU26" s="9"/>
      <c r="AV26" s="9"/>
      <c r="AW26" s="9"/>
      <c r="AX26" s="9"/>
      <c r="AY26" s="9"/>
      <c r="AZ26" s="31"/>
      <c r="BA26" s="10" t="str">
        <f aca="false">IF(C26="","",IF(AND(AB26="Approved",ISERROR(SEARCH("FAIL",AT26))),"Y","N"))</f>
        <v/>
      </c>
      <c r="BB26" s="10" t="str">
        <f aca="false">IF(C26="","",C26&amp;"|"&amp;D26&amp;"|"&amp;E26&amp;"|"&amp;F26&amp;"|"&amp;BA26)</f>
        <v/>
      </c>
    </row>
    <row r="27" customFormat="false" ht="15" hidden="false" customHeight="false" outlineLevel="0" collapsed="false">
      <c r="A27" s="10" t="str">
        <f aca="false">IF(C27="","","RW-"&amp;IFERROR(VLOOKUP(C27,Lists!$M$4:$N$22,2,0),"??")&amp;"-H"&amp;TEXT(D27*1000,"0000")&amp;"-S"&amp;E27&amp;IF(F27="Y","-GW","")&amp;"-"&amp;AA27)</f>
        <v/>
      </c>
      <c r="B27" s="10" t="str">
        <f aca="false">IF(C27="","",C27&amp;", H = "&amp;TEXT(D27,"0.0")&amp;" m, q = "&amp;E27&amp;" kPa"&amp;IF(F27="Y",", with GWT","")&amp;", "&amp;H27)</f>
        <v/>
      </c>
      <c r="C27" s="9"/>
      <c r="D27" s="41"/>
      <c r="E27" s="40"/>
      <c r="F27" s="9"/>
      <c r="G27" s="40"/>
      <c r="H27" s="9"/>
      <c r="I27" s="40"/>
      <c r="J27" s="43"/>
      <c r="K27" s="40"/>
      <c r="L27" s="40"/>
      <c r="M27" s="40"/>
      <c r="N27" s="40"/>
      <c r="O27" s="40"/>
      <c r="P27" s="40"/>
      <c r="Q27" s="9"/>
      <c r="R27" s="9"/>
      <c r="S27" s="40"/>
      <c r="T27" s="9"/>
      <c r="U27" s="9"/>
      <c r="V27" s="9"/>
      <c r="W27" s="41"/>
      <c r="X27" s="41"/>
      <c r="Y27" s="40"/>
      <c r="Z27" s="9"/>
      <c r="AA27" s="9"/>
      <c r="AB27" s="9"/>
      <c r="AC27" s="9"/>
      <c r="AD27" s="9"/>
      <c r="AE27" s="9"/>
      <c r="AF27" s="10" t="str">
        <f aca="false">IF(A27="","",SG_Criteria!$B$6&amp;SG_Criteria!$B$8&amp;"\"&amp;A27&amp;"\")</f>
        <v/>
      </c>
      <c r="AG27" s="10" t="str">
        <f aca="false">IF(A27="","",A27&amp;"_CAD.dwg")</f>
        <v/>
      </c>
      <c r="AH27" s="10" t="str">
        <f aca="false">IF(A27="","",A27&amp;"_DWG.pdf")</f>
        <v/>
      </c>
      <c r="AI27" s="10" t="str">
        <f aca="false">IF(A27="","",IF(AE27="Y",A27&amp;"_STAAD.std","n/a"))</f>
        <v/>
      </c>
      <c r="AJ27" s="10" t="str">
        <f aca="false">IF(A27="","",A27&amp;"_CALC.xlsx")</f>
        <v/>
      </c>
      <c r="AK27" s="10" t="str">
        <f aca="false">IF(A27="","",A27&amp;"_CALC.pdf")</f>
        <v/>
      </c>
      <c r="AL27" s="9"/>
      <c r="AM27" s="9"/>
      <c r="AN27" s="41"/>
      <c r="AO27" s="41"/>
      <c r="AP27" s="41"/>
      <c r="AQ27" s="41"/>
      <c r="AR27" s="41"/>
      <c r="AS27" s="38" t="str">
        <f aca="false">IF(OR(C27="",D27=""),"",IF(D27&lt;=IF(OR(C27="Block / Segmental",C27="Gabion",C27="Reinforced Earth (MSE)"),SG_Criteria!$B$34,SG_Criteria!$B$33),"No ERSS submission",IF(D27&lt;=SG_Criteria!$B$35,"QP(ST)",IF(D27&lt;=SG_Criteria!$B$36,"QP(ST) + AC","Geotechnical building works: QP(Geo) + AC"))))</f>
        <v/>
      </c>
      <c r="AT27" s="38" t="str">
        <f aca="false">IF(C27="","",IF(LEN(IF(AND(R27&lt;&gt;"",IFERROR(VALUE(MID(R27,2,2)),0)&lt;SG_Criteria!$B$19),"FAIL: grade below C"&amp;SG_Criteria!$B$19&amp;". ","")&amp;IF(AND(S27&lt;&gt;"",S27&lt;SG_Criteria!$B$20),"FAIL: cover &lt; "&amp;SG_Criteria!$B$20&amp;" mm. ","")&amp;IF(AND(W27&lt;&gt;"",W27&lt;1),"FAIL: sliding. ","")&amp;IF(AND(C27="Reverse L-Wall (toe only, at boundary)",N(O27)&gt;0),"NOTE: reverse L-wall should have no heel. ","")&amp;IF(AND(C27="L-Wall (heel only)",N(N27)&gt;0),"NOTE: L-wall should have no toe. ","")&amp;IF(AND(E27&lt;&gt;"",E27&lt;SG_Criteria!$B$31),"NOTE: q below LTA min "&amp;SG_Criteria!$B$31&amp;" kPa (not for LTA works). ",""))=0,"OK",IF(AND(R27&lt;&gt;"",IFERROR(VALUE(MID(R27,2,2)),0)&lt;SG_Criteria!$B$19),"FAIL: grade below C"&amp;SG_Criteria!$B$19&amp;". ","")&amp;IF(AND(S27&lt;&gt;"",S27&lt;SG_Criteria!$B$20),"FAIL: cover &lt; "&amp;SG_Criteria!$B$20&amp;" mm. ","")&amp;IF(AND(W27&lt;&gt;"",W27&lt;1),"FAIL: sliding. ","")&amp;IF(AND(C27="Reverse L-Wall (toe only, at boundary)",N(O27)&gt;0),"NOTE: reverse L-wall should have no heel. ","")&amp;IF(AND(C27="L-Wall (heel only)",N(N27)&gt;0),"NOTE: L-wall should have no toe. ","")&amp;IF(AND(E27&lt;&gt;"",E27&lt;SG_Criteria!$B$31),"NOTE: q below LTA min "&amp;SG_Criteria!$B$31&amp;" kPa (not for LTA works). ","")))</f>
        <v/>
      </c>
      <c r="AU27" s="9"/>
      <c r="AV27" s="9"/>
      <c r="AW27" s="9"/>
      <c r="AX27" s="9"/>
      <c r="AY27" s="9"/>
      <c r="AZ27" s="31"/>
      <c r="BA27" s="10" t="str">
        <f aca="false">IF(C27="","",IF(AND(AB27="Approved",ISERROR(SEARCH("FAIL",AT27))),"Y","N"))</f>
        <v/>
      </c>
      <c r="BB27" s="10" t="str">
        <f aca="false">IF(C27="","",C27&amp;"|"&amp;D27&amp;"|"&amp;E27&amp;"|"&amp;F27&amp;"|"&amp;BA27)</f>
        <v/>
      </c>
    </row>
    <row r="28" customFormat="false" ht="15" hidden="false" customHeight="false" outlineLevel="0" collapsed="false">
      <c r="A28" s="10" t="str">
        <f aca="false">IF(C28="","","RW-"&amp;IFERROR(VLOOKUP(C28,Lists!$M$4:$N$22,2,0),"??")&amp;"-H"&amp;TEXT(D28*1000,"0000")&amp;"-S"&amp;E28&amp;IF(F28="Y","-GW","")&amp;"-"&amp;AA28)</f>
        <v/>
      </c>
      <c r="B28" s="10" t="str">
        <f aca="false">IF(C28="","",C28&amp;", H = "&amp;TEXT(D28,"0.0")&amp;" m, q = "&amp;E28&amp;" kPa"&amp;IF(F28="Y",", with GWT","")&amp;", "&amp;H28)</f>
        <v/>
      </c>
      <c r="C28" s="9"/>
      <c r="D28" s="41"/>
      <c r="E28" s="40"/>
      <c r="F28" s="9"/>
      <c r="G28" s="40"/>
      <c r="H28" s="9"/>
      <c r="I28" s="40"/>
      <c r="J28" s="43"/>
      <c r="K28" s="40"/>
      <c r="L28" s="40"/>
      <c r="M28" s="40"/>
      <c r="N28" s="40"/>
      <c r="O28" s="40"/>
      <c r="P28" s="40"/>
      <c r="Q28" s="9"/>
      <c r="R28" s="9"/>
      <c r="S28" s="40"/>
      <c r="T28" s="9"/>
      <c r="U28" s="9"/>
      <c r="V28" s="9"/>
      <c r="W28" s="41"/>
      <c r="X28" s="41"/>
      <c r="Y28" s="40"/>
      <c r="Z28" s="9"/>
      <c r="AA28" s="9"/>
      <c r="AB28" s="9"/>
      <c r="AC28" s="9"/>
      <c r="AD28" s="9"/>
      <c r="AE28" s="9"/>
      <c r="AF28" s="10" t="str">
        <f aca="false">IF(A28="","",SG_Criteria!$B$6&amp;SG_Criteria!$B$8&amp;"\"&amp;A28&amp;"\")</f>
        <v/>
      </c>
      <c r="AG28" s="10" t="str">
        <f aca="false">IF(A28="","",A28&amp;"_CAD.dwg")</f>
        <v/>
      </c>
      <c r="AH28" s="10" t="str">
        <f aca="false">IF(A28="","",A28&amp;"_DWG.pdf")</f>
        <v/>
      </c>
      <c r="AI28" s="10" t="str">
        <f aca="false">IF(A28="","",IF(AE28="Y",A28&amp;"_STAAD.std","n/a"))</f>
        <v/>
      </c>
      <c r="AJ28" s="10" t="str">
        <f aca="false">IF(A28="","",A28&amp;"_CALC.xlsx")</f>
        <v/>
      </c>
      <c r="AK28" s="10" t="str">
        <f aca="false">IF(A28="","",A28&amp;"_CALC.pdf")</f>
        <v/>
      </c>
      <c r="AL28" s="9"/>
      <c r="AM28" s="9"/>
      <c r="AN28" s="41"/>
      <c r="AO28" s="41"/>
      <c r="AP28" s="41"/>
      <c r="AQ28" s="41"/>
      <c r="AR28" s="41"/>
      <c r="AS28" s="38" t="str">
        <f aca="false">IF(OR(C28="",D28=""),"",IF(D28&lt;=IF(OR(C28="Block / Segmental",C28="Gabion",C28="Reinforced Earth (MSE)"),SG_Criteria!$B$34,SG_Criteria!$B$33),"No ERSS submission",IF(D28&lt;=SG_Criteria!$B$35,"QP(ST)",IF(D28&lt;=SG_Criteria!$B$36,"QP(ST) + AC","Geotechnical building works: QP(Geo) + AC"))))</f>
        <v/>
      </c>
      <c r="AT28" s="38" t="str">
        <f aca="false">IF(C28="","",IF(LEN(IF(AND(R28&lt;&gt;"",IFERROR(VALUE(MID(R28,2,2)),0)&lt;SG_Criteria!$B$19),"FAIL: grade below C"&amp;SG_Criteria!$B$19&amp;". ","")&amp;IF(AND(S28&lt;&gt;"",S28&lt;SG_Criteria!$B$20),"FAIL: cover &lt; "&amp;SG_Criteria!$B$20&amp;" mm. ","")&amp;IF(AND(W28&lt;&gt;"",W28&lt;1),"FAIL: sliding. ","")&amp;IF(AND(C28="Reverse L-Wall (toe only, at boundary)",N(O28)&gt;0),"NOTE: reverse L-wall should have no heel. ","")&amp;IF(AND(C28="L-Wall (heel only)",N(N28)&gt;0),"NOTE: L-wall should have no toe. ","")&amp;IF(AND(E28&lt;&gt;"",E28&lt;SG_Criteria!$B$31),"NOTE: q below LTA min "&amp;SG_Criteria!$B$31&amp;" kPa (not for LTA works). ",""))=0,"OK",IF(AND(R28&lt;&gt;"",IFERROR(VALUE(MID(R28,2,2)),0)&lt;SG_Criteria!$B$19),"FAIL: grade below C"&amp;SG_Criteria!$B$19&amp;". ","")&amp;IF(AND(S28&lt;&gt;"",S28&lt;SG_Criteria!$B$20),"FAIL: cover &lt; "&amp;SG_Criteria!$B$20&amp;" mm. ","")&amp;IF(AND(W28&lt;&gt;"",W28&lt;1),"FAIL: sliding. ","")&amp;IF(AND(C28="Reverse L-Wall (toe only, at boundary)",N(O28)&gt;0),"NOTE: reverse L-wall should have no heel. ","")&amp;IF(AND(C28="L-Wall (heel only)",N(N28)&gt;0),"NOTE: L-wall should have no toe. ","")&amp;IF(AND(E28&lt;&gt;"",E28&lt;SG_Criteria!$B$31),"NOTE: q below LTA min "&amp;SG_Criteria!$B$31&amp;" kPa (not for LTA works). ","")))</f>
        <v/>
      </c>
      <c r="AU28" s="9"/>
      <c r="AV28" s="9"/>
      <c r="AW28" s="9"/>
      <c r="AX28" s="9"/>
      <c r="AY28" s="9"/>
      <c r="AZ28" s="31"/>
      <c r="BA28" s="10" t="str">
        <f aca="false">IF(C28="","",IF(AND(AB28="Approved",ISERROR(SEARCH("FAIL",AT28))),"Y","N"))</f>
        <v/>
      </c>
      <c r="BB28" s="10" t="str">
        <f aca="false">IF(C28="","",C28&amp;"|"&amp;D28&amp;"|"&amp;E28&amp;"|"&amp;F28&amp;"|"&amp;BA28)</f>
        <v/>
      </c>
    </row>
    <row r="29" customFormat="false" ht="15" hidden="false" customHeight="false" outlineLevel="0" collapsed="false">
      <c r="A29" s="10" t="str">
        <f aca="false">IF(C29="","","RW-"&amp;IFERROR(VLOOKUP(C29,Lists!$M$4:$N$22,2,0),"??")&amp;"-H"&amp;TEXT(D29*1000,"0000")&amp;"-S"&amp;E29&amp;IF(F29="Y","-GW","")&amp;"-"&amp;AA29)</f>
        <v/>
      </c>
      <c r="B29" s="10" t="str">
        <f aca="false">IF(C29="","",C29&amp;", H = "&amp;TEXT(D29,"0.0")&amp;" m, q = "&amp;E29&amp;" kPa"&amp;IF(F29="Y",", with GWT","")&amp;", "&amp;H29)</f>
        <v/>
      </c>
      <c r="C29" s="9"/>
      <c r="D29" s="41"/>
      <c r="E29" s="40"/>
      <c r="F29" s="9"/>
      <c r="G29" s="40"/>
      <c r="H29" s="9"/>
      <c r="I29" s="40"/>
      <c r="J29" s="43"/>
      <c r="K29" s="40"/>
      <c r="L29" s="40"/>
      <c r="M29" s="40"/>
      <c r="N29" s="40"/>
      <c r="O29" s="40"/>
      <c r="P29" s="40"/>
      <c r="Q29" s="9"/>
      <c r="R29" s="9"/>
      <c r="S29" s="40"/>
      <c r="T29" s="9"/>
      <c r="U29" s="9"/>
      <c r="V29" s="9"/>
      <c r="W29" s="41"/>
      <c r="X29" s="41"/>
      <c r="Y29" s="40"/>
      <c r="Z29" s="9"/>
      <c r="AA29" s="9"/>
      <c r="AB29" s="9"/>
      <c r="AC29" s="9"/>
      <c r="AD29" s="9"/>
      <c r="AE29" s="9"/>
      <c r="AF29" s="10" t="str">
        <f aca="false">IF(A29="","",SG_Criteria!$B$6&amp;SG_Criteria!$B$8&amp;"\"&amp;A29&amp;"\")</f>
        <v/>
      </c>
      <c r="AG29" s="10" t="str">
        <f aca="false">IF(A29="","",A29&amp;"_CAD.dwg")</f>
        <v/>
      </c>
      <c r="AH29" s="10" t="str">
        <f aca="false">IF(A29="","",A29&amp;"_DWG.pdf")</f>
        <v/>
      </c>
      <c r="AI29" s="10" t="str">
        <f aca="false">IF(A29="","",IF(AE29="Y",A29&amp;"_STAAD.std","n/a"))</f>
        <v/>
      </c>
      <c r="AJ29" s="10" t="str">
        <f aca="false">IF(A29="","",A29&amp;"_CALC.xlsx")</f>
        <v/>
      </c>
      <c r="AK29" s="10" t="str">
        <f aca="false">IF(A29="","",A29&amp;"_CALC.pdf")</f>
        <v/>
      </c>
      <c r="AL29" s="9"/>
      <c r="AM29" s="9"/>
      <c r="AN29" s="41"/>
      <c r="AO29" s="41"/>
      <c r="AP29" s="41"/>
      <c r="AQ29" s="41"/>
      <c r="AR29" s="41"/>
      <c r="AS29" s="38" t="str">
        <f aca="false">IF(OR(C29="",D29=""),"",IF(D29&lt;=IF(OR(C29="Block / Segmental",C29="Gabion",C29="Reinforced Earth (MSE)"),SG_Criteria!$B$34,SG_Criteria!$B$33),"No ERSS submission",IF(D29&lt;=SG_Criteria!$B$35,"QP(ST)",IF(D29&lt;=SG_Criteria!$B$36,"QP(ST) + AC","Geotechnical building works: QP(Geo) + AC"))))</f>
        <v/>
      </c>
      <c r="AT29" s="38" t="str">
        <f aca="false">IF(C29="","",IF(LEN(IF(AND(R29&lt;&gt;"",IFERROR(VALUE(MID(R29,2,2)),0)&lt;SG_Criteria!$B$19),"FAIL: grade below C"&amp;SG_Criteria!$B$19&amp;". ","")&amp;IF(AND(S29&lt;&gt;"",S29&lt;SG_Criteria!$B$20),"FAIL: cover &lt; "&amp;SG_Criteria!$B$20&amp;" mm. ","")&amp;IF(AND(W29&lt;&gt;"",W29&lt;1),"FAIL: sliding. ","")&amp;IF(AND(C29="Reverse L-Wall (toe only, at boundary)",N(O29)&gt;0),"NOTE: reverse L-wall should have no heel. ","")&amp;IF(AND(C29="L-Wall (heel only)",N(N29)&gt;0),"NOTE: L-wall should have no toe. ","")&amp;IF(AND(E29&lt;&gt;"",E29&lt;SG_Criteria!$B$31),"NOTE: q below LTA min "&amp;SG_Criteria!$B$31&amp;" kPa (not for LTA works). ",""))=0,"OK",IF(AND(R29&lt;&gt;"",IFERROR(VALUE(MID(R29,2,2)),0)&lt;SG_Criteria!$B$19),"FAIL: grade below C"&amp;SG_Criteria!$B$19&amp;". ","")&amp;IF(AND(S29&lt;&gt;"",S29&lt;SG_Criteria!$B$20),"FAIL: cover &lt; "&amp;SG_Criteria!$B$20&amp;" mm. ","")&amp;IF(AND(W29&lt;&gt;"",W29&lt;1),"FAIL: sliding. ","")&amp;IF(AND(C29="Reverse L-Wall (toe only, at boundary)",N(O29)&gt;0),"NOTE: reverse L-wall should have no heel. ","")&amp;IF(AND(C29="L-Wall (heel only)",N(N29)&gt;0),"NOTE: L-wall should have no toe. ","")&amp;IF(AND(E29&lt;&gt;"",E29&lt;SG_Criteria!$B$31),"NOTE: q below LTA min "&amp;SG_Criteria!$B$31&amp;" kPa (not for LTA works). ","")))</f>
        <v/>
      </c>
      <c r="AU29" s="9"/>
      <c r="AV29" s="9"/>
      <c r="AW29" s="9"/>
      <c r="AX29" s="9"/>
      <c r="AY29" s="9"/>
      <c r="AZ29" s="31"/>
      <c r="BA29" s="10" t="str">
        <f aca="false">IF(C29="","",IF(AND(AB29="Approved",ISERROR(SEARCH("FAIL",AT29))),"Y","N"))</f>
        <v/>
      </c>
      <c r="BB29" s="10" t="str">
        <f aca="false">IF(C29="","",C29&amp;"|"&amp;D29&amp;"|"&amp;E29&amp;"|"&amp;F29&amp;"|"&amp;BA29)</f>
        <v/>
      </c>
    </row>
    <row r="30" customFormat="false" ht="15" hidden="false" customHeight="false" outlineLevel="0" collapsed="false">
      <c r="A30" s="10" t="str">
        <f aca="false">IF(C30="","","RW-"&amp;IFERROR(VLOOKUP(C30,Lists!$M$4:$N$22,2,0),"??")&amp;"-H"&amp;TEXT(D30*1000,"0000")&amp;"-S"&amp;E30&amp;IF(F30="Y","-GW","")&amp;"-"&amp;AA30)</f>
        <v/>
      </c>
      <c r="B30" s="10" t="str">
        <f aca="false">IF(C30="","",C30&amp;", H = "&amp;TEXT(D30,"0.0")&amp;" m, q = "&amp;E30&amp;" kPa"&amp;IF(F30="Y",", with GWT","")&amp;", "&amp;H30)</f>
        <v/>
      </c>
      <c r="C30" s="9"/>
      <c r="D30" s="41"/>
      <c r="E30" s="40"/>
      <c r="F30" s="9"/>
      <c r="G30" s="40"/>
      <c r="H30" s="9"/>
      <c r="I30" s="40"/>
      <c r="J30" s="43"/>
      <c r="K30" s="40"/>
      <c r="L30" s="40"/>
      <c r="M30" s="40"/>
      <c r="N30" s="40"/>
      <c r="O30" s="40"/>
      <c r="P30" s="40"/>
      <c r="Q30" s="9"/>
      <c r="R30" s="9"/>
      <c r="S30" s="40"/>
      <c r="T30" s="9"/>
      <c r="U30" s="9"/>
      <c r="V30" s="9"/>
      <c r="W30" s="41"/>
      <c r="X30" s="41"/>
      <c r="Y30" s="40"/>
      <c r="Z30" s="9"/>
      <c r="AA30" s="9"/>
      <c r="AB30" s="9"/>
      <c r="AC30" s="9"/>
      <c r="AD30" s="9"/>
      <c r="AE30" s="9"/>
      <c r="AF30" s="10" t="str">
        <f aca="false">IF(A30="","",SG_Criteria!$B$6&amp;SG_Criteria!$B$8&amp;"\"&amp;A30&amp;"\")</f>
        <v/>
      </c>
      <c r="AG30" s="10" t="str">
        <f aca="false">IF(A30="","",A30&amp;"_CAD.dwg")</f>
        <v/>
      </c>
      <c r="AH30" s="10" t="str">
        <f aca="false">IF(A30="","",A30&amp;"_DWG.pdf")</f>
        <v/>
      </c>
      <c r="AI30" s="10" t="str">
        <f aca="false">IF(A30="","",IF(AE30="Y",A30&amp;"_STAAD.std","n/a"))</f>
        <v/>
      </c>
      <c r="AJ30" s="10" t="str">
        <f aca="false">IF(A30="","",A30&amp;"_CALC.xlsx")</f>
        <v/>
      </c>
      <c r="AK30" s="10" t="str">
        <f aca="false">IF(A30="","",A30&amp;"_CALC.pdf")</f>
        <v/>
      </c>
      <c r="AL30" s="9"/>
      <c r="AM30" s="9"/>
      <c r="AN30" s="41"/>
      <c r="AO30" s="41"/>
      <c r="AP30" s="41"/>
      <c r="AQ30" s="41"/>
      <c r="AR30" s="41"/>
      <c r="AS30" s="38" t="str">
        <f aca="false">IF(OR(C30="",D30=""),"",IF(D30&lt;=IF(OR(C30="Block / Segmental",C30="Gabion",C30="Reinforced Earth (MSE)"),SG_Criteria!$B$34,SG_Criteria!$B$33),"No ERSS submission",IF(D30&lt;=SG_Criteria!$B$35,"QP(ST)",IF(D30&lt;=SG_Criteria!$B$36,"QP(ST) + AC","Geotechnical building works: QP(Geo) + AC"))))</f>
        <v/>
      </c>
      <c r="AT30" s="38" t="str">
        <f aca="false">IF(C30="","",IF(LEN(IF(AND(R30&lt;&gt;"",IFERROR(VALUE(MID(R30,2,2)),0)&lt;SG_Criteria!$B$19),"FAIL: grade below C"&amp;SG_Criteria!$B$19&amp;". ","")&amp;IF(AND(S30&lt;&gt;"",S30&lt;SG_Criteria!$B$20),"FAIL: cover &lt; "&amp;SG_Criteria!$B$20&amp;" mm. ","")&amp;IF(AND(W30&lt;&gt;"",W30&lt;1),"FAIL: sliding. ","")&amp;IF(AND(C30="Reverse L-Wall (toe only, at boundary)",N(O30)&gt;0),"NOTE: reverse L-wall should have no heel. ","")&amp;IF(AND(C30="L-Wall (heel only)",N(N30)&gt;0),"NOTE: L-wall should have no toe. ","")&amp;IF(AND(E30&lt;&gt;"",E30&lt;SG_Criteria!$B$31),"NOTE: q below LTA min "&amp;SG_Criteria!$B$31&amp;" kPa (not for LTA works). ",""))=0,"OK",IF(AND(R30&lt;&gt;"",IFERROR(VALUE(MID(R30,2,2)),0)&lt;SG_Criteria!$B$19),"FAIL: grade below C"&amp;SG_Criteria!$B$19&amp;". ","")&amp;IF(AND(S30&lt;&gt;"",S30&lt;SG_Criteria!$B$20),"FAIL: cover &lt; "&amp;SG_Criteria!$B$20&amp;" mm. ","")&amp;IF(AND(W30&lt;&gt;"",W30&lt;1),"FAIL: sliding. ","")&amp;IF(AND(C30="Reverse L-Wall (toe only, at boundary)",N(O30)&gt;0),"NOTE: reverse L-wall should have no heel. ","")&amp;IF(AND(C30="L-Wall (heel only)",N(N30)&gt;0),"NOTE: L-wall should have no toe. ","")&amp;IF(AND(E30&lt;&gt;"",E30&lt;SG_Criteria!$B$31),"NOTE: q below LTA min "&amp;SG_Criteria!$B$31&amp;" kPa (not for LTA works). ","")))</f>
        <v/>
      </c>
      <c r="AU30" s="9"/>
      <c r="AV30" s="9"/>
      <c r="AW30" s="9"/>
      <c r="AX30" s="9"/>
      <c r="AY30" s="9"/>
      <c r="AZ30" s="31"/>
      <c r="BA30" s="10" t="str">
        <f aca="false">IF(C30="","",IF(AND(AB30="Approved",ISERROR(SEARCH("FAIL",AT30))),"Y","N"))</f>
        <v/>
      </c>
      <c r="BB30" s="10" t="str">
        <f aca="false">IF(C30="","",C30&amp;"|"&amp;D30&amp;"|"&amp;E30&amp;"|"&amp;F30&amp;"|"&amp;BA30)</f>
        <v/>
      </c>
    </row>
    <row r="31" customFormat="false" ht="15" hidden="false" customHeight="false" outlineLevel="0" collapsed="false">
      <c r="A31" s="10" t="str">
        <f aca="false">IF(C31="","","RW-"&amp;IFERROR(VLOOKUP(C31,Lists!$M$4:$N$22,2,0),"??")&amp;"-H"&amp;TEXT(D31*1000,"0000")&amp;"-S"&amp;E31&amp;IF(F31="Y","-GW","")&amp;"-"&amp;AA31)</f>
        <v/>
      </c>
      <c r="B31" s="10" t="str">
        <f aca="false">IF(C31="","",C31&amp;", H = "&amp;TEXT(D31,"0.0")&amp;" m, q = "&amp;E31&amp;" kPa"&amp;IF(F31="Y",", with GWT","")&amp;", "&amp;H31)</f>
        <v/>
      </c>
      <c r="C31" s="9"/>
      <c r="D31" s="41"/>
      <c r="E31" s="40"/>
      <c r="F31" s="9"/>
      <c r="G31" s="40"/>
      <c r="H31" s="9"/>
      <c r="I31" s="40"/>
      <c r="J31" s="43"/>
      <c r="K31" s="40"/>
      <c r="L31" s="40"/>
      <c r="M31" s="40"/>
      <c r="N31" s="40"/>
      <c r="O31" s="40"/>
      <c r="P31" s="40"/>
      <c r="Q31" s="9"/>
      <c r="R31" s="9"/>
      <c r="S31" s="40"/>
      <c r="T31" s="9"/>
      <c r="U31" s="9"/>
      <c r="V31" s="9"/>
      <c r="W31" s="41"/>
      <c r="X31" s="41"/>
      <c r="Y31" s="40"/>
      <c r="Z31" s="9"/>
      <c r="AA31" s="9"/>
      <c r="AB31" s="9"/>
      <c r="AC31" s="9"/>
      <c r="AD31" s="9"/>
      <c r="AE31" s="9"/>
      <c r="AF31" s="10" t="str">
        <f aca="false">IF(A31="","",SG_Criteria!$B$6&amp;SG_Criteria!$B$8&amp;"\"&amp;A31&amp;"\")</f>
        <v/>
      </c>
      <c r="AG31" s="10" t="str">
        <f aca="false">IF(A31="","",A31&amp;"_CAD.dwg")</f>
        <v/>
      </c>
      <c r="AH31" s="10" t="str">
        <f aca="false">IF(A31="","",A31&amp;"_DWG.pdf")</f>
        <v/>
      </c>
      <c r="AI31" s="10" t="str">
        <f aca="false">IF(A31="","",IF(AE31="Y",A31&amp;"_STAAD.std","n/a"))</f>
        <v/>
      </c>
      <c r="AJ31" s="10" t="str">
        <f aca="false">IF(A31="","",A31&amp;"_CALC.xlsx")</f>
        <v/>
      </c>
      <c r="AK31" s="10" t="str">
        <f aca="false">IF(A31="","",A31&amp;"_CALC.pdf")</f>
        <v/>
      </c>
      <c r="AL31" s="9"/>
      <c r="AM31" s="9"/>
      <c r="AN31" s="41"/>
      <c r="AO31" s="41"/>
      <c r="AP31" s="41"/>
      <c r="AQ31" s="41"/>
      <c r="AR31" s="41"/>
      <c r="AS31" s="38" t="str">
        <f aca="false">IF(OR(C31="",D31=""),"",IF(D31&lt;=IF(OR(C31="Block / Segmental",C31="Gabion",C31="Reinforced Earth (MSE)"),SG_Criteria!$B$34,SG_Criteria!$B$33),"No ERSS submission",IF(D31&lt;=SG_Criteria!$B$35,"QP(ST)",IF(D31&lt;=SG_Criteria!$B$36,"QP(ST) + AC","Geotechnical building works: QP(Geo) + AC"))))</f>
        <v/>
      </c>
      <c r="AT31" s="38" t="str">
        <f aca="false">IF(C31="","",IF(LEN(IF(AND(R31&lt;&gt;"",IFERROR(VALUE(MID(R31,2,2)),0)&lt;SG_Criteria!$B$19),"FAIL: grade below C"&amp;SG_Criteria!$B$19&amp;". ","")&amp;IF(AND(S31&lt;&gt;"",S31&lt;SG_Criteria!$B$20),"FAIL: cover &lt; "&amp;SG_Criteria!$B$20&amp;" mm. ","")&amp;IF(AND(W31&lt;&gt;"",W31&lt;1),"FAIL: sliding. ","")&amp;IF(AND(C31="Reverse L-Wall (toe only, at boundary)",N(O31)&gt;0),"NOTE: reverse L-wall should have no heel. ","")&amp;IF(AND(C31="L-Wall (heel only)",N(N31)&gt;0),"NOTE: L-wall should have no toe. ","")&amp;IF(AND(E31&lt;&gt;"",E31&lt;SG_Criteria!$B$31),"NOTE: q below LTA min "&amp;SG_Criteria!$B$31&amp;" kPa (not for LTA works). ",""))=0,"OK",IF(AND(R31&lt;&gt;"",IFERROR(VALUE(MID(R31,2,2)),0)&lt;SG_Criteria!$B$19),"FAIL: grade below C"&amp;SG_Criteria!$B$19&amp;". ","")&amp;IF(AND(S31&lt;&gt;"",S31&lt;SG_Criteria!$B$20),"FAIL: cover &lt; "&amp;SG_Criteria!$B$20&amp;" mm. ","")&amp;IF(AND(W31&lt;&gt;"",W31&lt;1),"FAIL: sliding. ","")&amp;IF(AND(C31="Reverse L-Wall (toe only, at boundary)",N(O31)&gt;0),"NOTE: reverse L-wall should have no heel. ","")&amp;IF(AND(C31="L-Wall (heel only)",N(N31)&gt;0),"NOTE: L-wall should have no toe. ","")&amp;IF(AND(E31&lt;&gt;"",E31&lt;SG_Criteria!$B$31),"NOTE: q below LTA min "&amp;SG_Criteria!$B$31&amp;" kPa (not for LTA works). ","")))</f>
        <v/>
      </c>
      <c r="AU31" s="9"/>
      <c r="AV31" s="9"/>
      <c r="AW31" s="9"/>
      <c r="AX31" s="9"/>
      <c r="AY31" s="9"/>
      <c r="AZ31" s="31"/>
      <c r="BA31" s="10" t="str">
        <f aca="false">IF(C31="","",IF(AND(AB31="Approved",ISERROR(SEARCH("FAIL",AT31))),"Y","N"))</f>
        <v/>
      </c>
      <c r="BB31" s="10" t="str">
        <f aca="false">IF(C31="","",C31&amp;"|"&amp;D31&amp;"|"&amp;E31&amp;"|"&amp;F31&amp;"|"&amp;BA31)</f>
        <v/>
      </c>
    </row>
    <row r="32" customFormat="false" ht="15" hidden="false" customHeight="false" outlineLevel="0" collapsed="false">
      <c r="A32" s="10" t="str">
        <f aca="false">IF(C32="","","RW-"&amp;IFERROR(VLOOKUP(C32,Lists!$M$4:$N$22,2,0),"??")&amp;"-H"&amp;TEXT(D32*1000,"0000")&amp;"-S"&amp;E32&amp;IF(F32="Y","-GW","")&amp;"-"&amp;AA32)</f>
        <v/>
      </c>
      <c r="B32" s="10" t="str">
        <f aca="false">IF(C32="","",C32&amp;", H = "&amp;TEXT(D32,"0.0")&amp;" m, q = "&amp;E32&amp;" kPa"&amp;IF(F32="Y",", with GWT","")&amp;", "&amp;H32)</f>
        <v/>
      </c>
      <c r="C32" s="9"/>
      <c r="D32" s="41"/>
      <c r="E32" s="40"/>
      <c r="F32" s="9"/>
      <c r="G32" s="40"/>
      <c r="H32" s="9"/>
      <c r="I32" s="40"/>
      <c r="J32" s="43"/>
      <c r="K32" s="40"/>
      <c r="L32" s="40"/>
      <c r="M32" s="40"/>
      <c r="N32" s="40"/>
      <c r="O32" s="40"/>
      <c r="P32" s="40"/>
      <c r="Q32" s="9"/>
      <c r="R32" s="9"/>
      <c r="S32" s="40"/>
      <c r="T32" s="9"/>
      <c r="U32" s="9"/>
      <c r="V32" s="9"/>
      <c r="W32" s="41"/>
      <c r="X32" s="41"/>
      <c r="Y32" s="40"/>
      <c r="Z32" s="9"/>
      <c r="AA32" s="9"/>
      <c r="AB32" s="9"/>
      <c r="AC32" s="9"/>
      <c r="AD32" s="9"/>
      <c r="AE32" s="9"/>
      <c r="AF32" s="10" t="str">
        <f aca="false">IF(A32="","",SG_Criteria!$B$6&amp;SG_Criteria!$B$8&amp;"\"&amp;A32&amp;"\")</f>
        <v/>
      </c>
      <c r="AG32" s="10" t="str">
        <f aca="false">IF(A32="","",A32&amp;"_CAD.dwg")</f>
        <v/>
      </c>
      <c r="AH32" s="10" t="str">
        <f aca="false">IF(A32="","",A32&amp;"_DWG.pdf")</f>
        <v/>
      </c>
      <c r="AI32" s="10" t="str">
        <f aca="false">IF(A32="","",IF(AE32="Y",A32&amp;"_STAAD.std","n/a"))</f>
        <v/>
      </c>
      <c r="AJ32" s="10" t="str">
        <f aca="false">IF(A32="","",A32&amp;"_CALC.xlsx")</f>
        <v/>
      </c>
      <c r="AK32" s="10" t="str">
        <f aca="false">IF(A32="","",A32&amp;"_CALC.pdf")</f>
        <v/>
      </c>
      <c r="AL32" s="9"/>
      <c r="AM32" s="9"/>
      <c r="AN32" s="41"/>
      <c r="AO32" s="41"/>
      <c r="AP32" s="41"/>
      <c r="AQ32" s="41"/>
      <c r="AR32" s="41"/>
      <c r="AS32" s="38" t="str">
        <f aca="false">IF(OR(C32="",D32=""),"",IF(D32&lt;=IF(OR(C32="Block / Segmental",C32="Gabion",C32="Reinforced Earth (MSE)"),SG_Criteria!$B$34,SG_Criteria!$B$33),"No ERSS submission",IF(D32&lt;=SG_Criteria!$B$35,"QP(ST)",IF(D32&lt;=SG_Criteria!$B$36,"QP(ST) + AC","Geotechnical building works: QP(Geo) + AC"))))</f>
        <v/>
      </c>
      <c r="AT32" s="38" t="str">
        <f aca="false">IF(C32="","",IF(LEN(IF(AND(R32&lt;&gt;"",IFERROR(VALUE(MID(R32,2,2)),0)&lt;SG_Criteria!$B$19),"FAIL: grade below C"&amp;SG_Criteria!$B$19&amp;". ","")&amp;IF(AND(S32&lt;&gt;"",S32&lt;SG_Criteria!$B$20),"FAIL: cover &lt; "&amp;SG_Criteria!$B$20&amp;" mm. ","")&amp;IF(AND(W32&lt;&gt;"",W32&lt;1),"FAIL: sliding. ","")&amp;IF(AND(C32="Reverse L-Wall (toe only, at boundary)",N(O32)&gt;0),"NOTE: reverse L-wall should have no heel. ","")&amp;IF(AND(C32="L-Wall (heel only)",N(N32)&gt;0),"NOTE: L-wall should have no toe. ","")&amp;IF(AND(E32&lt;&gt;"",E32&lt;SG_Criteria!$B$31),"NOTE: q below LTA min "&amp;SG_Criteria!$B$31&amp;" kPa (not for LTA works). ",""))=0,"OK",IF(AND(R32&lt;&gt;"",IFERROR(VALUE(MID(R32,2,2)),0)&lt;SG_Criteria!$B$19),"FAIL: grade below C"&amp;SG_Criteria!$B$19&amp;". ","")&amp;IF(AND(S32&lt;&gt;"",S32&lt;SG_Criteria!$B$20),"FAIL: cover &lt; "&amp;SG_Criteria!$B$20&amp;" mm. ","")&amp;IF(AND(W32&lt;&gt;"",W32&lt;1),"FAIL: sliding. ","")&amp;IF(AND(C32="Reverse L-Wall (toe only, at boundary)",N(O32)&gt;0),"NOTE: reverse L-wall should have no heel. ","")&amp;IF(AND(C32="L-Wall (heel only)",N(N32)&gt;0),"NOTE: L-wall should have no toe. ","")&amp;IF(AND(E32&lt;&gt;"",E32&lt;SG_Criteria!$B$31),"NOTE: q below LTA min "&amp;SG_Criteria!$B$31&amp;" kPa (not for LTA works). ","")))</f>
        <v/>
      </c>
      <c r="AU32" s="9"/>
      <c r="AV32" s="9"/>
      <c r="AW32" s="9"/>
      <c r="AX32" s="9"/>
      <c r="AY32" s="9"/>
      <c r="AZ32" s="31"/>
      <c r="BA32" s="10" t="str">
        <f aca="false">IF(C32="","",IF(AND(AB32="Approved",ISERROR(SEARCH("FAIL",AT32))),"Y","N"))</f>
        <v/>
      </c>
      <c r="BB32" s="10" t="str">
        <f aca="false">IF(C32="","",C32&amp;"|"&amp;D32&amp;"|"&amp;E32&amp;"|"&amp;F32&amp;"|"&amp;BA32)</f>
        <v/>
      </c>
    </row>
    <row r="33" customFormat="false" ht="15" hidden="false" customHeight="false" outlineLevel="0" collapsed="false">
      <c r="A33" s="10" t="str">
        <f aca="false">IF(C33="","","RW-"&amp;IFERROR(VLOOKUP(C33,Lists!$M$4:$N$22,2,0),"??")&amp;"-H"&amp;TEXT(D33*1000,"0000")&amp;"-S"&amp;E33&amp;IF(F33="Y","-GW","")&amp;"-"&amp;AA33)</f>
        <v/>
      </c>
      <c r="B33" s="10" t="str">
        <f aca="false">IF(C33="","",C33&amp;", H = "&amp;TEXT(D33,"0.0")&amp;" m, q = "&amp;E33&amp;" kPa"&amp;IF(F33="Y",", with GWT","")&amp;", "&amp;H33)</f>
        <v/>
      </c>
      <c r="C33" s="9"/>
      <c r="D33" s="41"/>
      <c r="E33" s="40"/>
      <c r="F33" s="9"/>
      <c r="G33" s="40"/>
      <c r="H33" s="9"/>
      <c r="I33" s="40"/>
      <c r="J33" s="43"/>
      <c r="K33" s="40"/>
      <c r="L33" s="40"/>
      <c r="M33" s="40"/>
      <c r="N33" s="40"/>
      <c r="O33" s="40"/>
      <c r="P33" s="40"/>
      <c r="Q33" s="9"/>
      <c r="R33" s="9"/>
      <c r="S33" s="40"/>
      <c r="T33" s="9"/>
      <c r="U33" s="9"/>
      <c r="V33" s="9"/>
      <c r="W33" s="41"/>
      <c r="X33" s="41"/>
      <c r="Y33" s="40"/>
      <c r="Z33" s="9"/>
      <c r="AA33" s="9"/>
      <c r="AB33" s="9"/>
      <c r="AC33" s="9"/>
      <c r="AD33" s="9"/>
      <c r="AE33" s="9"/>
      <c r="AF33" s="10" t="str">
        <f aca="false">IF(A33="","",SG_Criteria!$B$6&amp;SG_Criteria!$B$8&amp;"\"&amp;A33&amp;"\")</f>
        <v/>
      </c>
      <c r="AG33" s="10" t="str">
        <f aca="false">IF(A33="","",A33&amp;"_CAD.dwg")</f>
        <v/>
      </c>
      <c r="AH33" s="10" t="str">
        <f aca="false">IF(A33="","",A33&amp;"_DWG.pdf")</f>
        <v/>
      </c>
      <c r="AI33" s="10" t="str">
        <f aca="false">IF(A33="","",IF(AE33="Y",A33&amp;"_STAAD.std","n/a"))</f>
        <v/>
      </c>
      <c r="AJ33" s="10" t="str">
        <f aca="false">IF(A33="","",A33&amp;"_CALC.xlsx")</f>
        <v/>
      </c>
      <c r="AK33" s="10" t="str">
        <f aca="false">IF(A33="","",A33&amp;"_CALC.pdf")</f>
        <v/>
      </c>
      <c r="AL33" s="9"/>
      <c r="AM33" s="9"/>
      <c r="AN33" s="41"/>
      <c r="AO33" s="41"/>
      <c r="AP33" s="41"/>
      <c r="AQ33" s="41"/>
      <c r="AR33" s="41"/>
      <c r="AS33" s="38" t="str">
        <f aca="false">IF(OR(C33="",D33=""),"",IF(D33&lt;=IF(OR(C33="Block / Segmental",C33="Gabion",C33="Reinforced Earth (MSE)"),SG_Criteria!$B$34,SG_Criteria!$B$33),"No ERSS submission",IF(D33&lt;=SG_Criteria!$B$35,"QP(ST)",IF(D33&lt;=SG_Criteria!$B$36,"QP(ST) + AC","Geotechnical building works: QP(Geo) + AC"))))</f>
        <v/>
      </c>
      <c r="AT33" s="38" t="str">
        <f aca="false">IF(C33="","",IF(LEN(IF(AND(R33&lt;&gt;"",IFERROR(VALUE(MID(R33,2,2)),0)&lt;SG_Criteria!$B$19),"FAIL: grade below C"&amp;SG_Criteria!$B$19&amp;". ","")&amp;IF(AND(S33&lt;&gt;"",S33&lt;SG_Criteria!$B$20),"FAIL: cover &lt; "&amp;SG_Criteria!$B$20&amp;" mm. ","")&amp;IF(AND(W33&lt;&gt;"",W33&lt;1),"FAIL: sliding. ","")&amp;IF(AND(C33="Reverse L-Wall (toe only, at boundary)",N(O33)&gt;0),"NOTE: reverse L-wall should have no heel. ","")&amp;IF(AND(C33="L-Wall (heel only)",N(N33)&gt;0),"NOTE: L-wall should have no toe. ","")&amp;IF(AND(E33&lt;&gt;"",E33&lt;SG_Criteria!$B$31),"NOTE: q below LTA min "&amp;SG_Criteria!$B$31&amp;" kPa (not for LTA works). ",""))=0,"OK",IF(AND(R33&lt;&gt;"",IFERROR(VALUE(MID(R33,2,2)),0)&lt;SG_Criteria!$B$19),"FAIL: grade below C"&amp;SG_Criteria!$B$19&amp;". ","")&amp;IF(AND(S33&lt;&gt;"",S33&lt;SG_Criteria!$B$20),"FAIL: cover &lt; "&amp;SG_Criteria!$B$20&amp;" mm. ","")&amp;IF(AND(W33&lt;&gt;"",W33&lt;1),"FAIL: sliding. ","")&amp;IF(AND(C33="Reverse L-Wall (toe only, at boundary)",N(O33)&gt;0),"NOTE: reverse L-wall should have no heel. ","")&amp;IF(AND(C33="L-Wall (heel only)",N(N33)&gt;0),"NOTE: L-wall should have no toe. ","")&amp;IF(AND(E33&lt;&gt;"",E33&lt;SG_Criteria!$B$31),"NOTE: q below LTA min "&amp;SG_Criteria!$B$31&amp;" kPa (not for LTA works). ","")))</f>
        <v/>
      </c>
      <c r="AU33" s="9"/>
      <c r="AV33" s="9"/>
      <c r="AW33" s="9"/>
      <c r="AX33" s="9"/>
      <c r="AY33" s="9"/>
      <c r="AZ33" s="31"/>
      <c r="BA33" s="10" t="str">
        <f aca="false">IF(C33="","",IF(AND(AB33="Approved",ISERROR(SEARCH("FAIL",AT33))),"Y","N"))</f>
        <v/>
      </c>
      <c r="BB33" s="10" t="str">
        <f aca="false">IF(C33="","",C33&amp;"|"&amp;D33&amp;"|"&amp;E33&amp;"|"&amp;F33&amp;"|"&amp;BA33)</f>
        <v/>
      </c>
    </row>
    <row r="34" customFormat="false" ht="15" hidden="false" customHeight="false" outlineLevel="0" collapsed="false">
      <c r="A34" s="10" t="str">
        <f aca="false">IF(C34="","","RW-"&amp;IFERROR(VLOOKUP(C34,Lists!$M$4:$N$22,2,0),"??")&amp;"-H"&amp;TEXT(D34*1000,"0000")&amp;"-S"&amp;E34&amp;IF(F34="Y","-GW","")&amp;"-"&amp;AA34)</f>
        <v/>
      </c>
      <c r="B34" s="10" t="str">
        <f aca="false">IF(C34="","",C34&amp;", H = "&amp;TEXT(D34,"0.0")&amp;" m, q = "&amp;E34&amp;" kPa"&amp;IF(F34="Y",", with GWT","")&amp;", "&amp;H34)</f>
        <v/>
      </c>
      <c r="C34" s="9"/>
      <c r="D34" s="41"/>
      <c r="E34" s="40"/>
      <c r="F34" s="9"/>
      <c r="G34" s="40"/>
      <c r="H34" s="9"/>
      <c r="I34" s="40"/>
      <c r="J34" s="43"/>
      <c r="K34" s="40"/>
      <c r="L34" s="40"/>
      <c r="M34" s="40"/>
      <c r="N34" s="40"/>
      <c r="O34" s="40"/>
      <c r="P34" s="40"/>
      <c r="Q34" s="9"/>
      <c r="R34" s="9"/>
      <c r="S34" s="40"/>
      <c r="T34" s="9"/>
      <c r="U34" s="9"/>
      <c r="V34" s="9"/>
      <c r="W34" s="41"/>
      <c r="X34" s="41"/>
      <c r="Y34" s="40"/>
      <c r="Z34" s="9"/>
      <c r="AA34" s="9"/>
      <c r="AB34" s="9"/>
      <c r="AC34" s="9"/>
      <c r="AD34" s="9"/>
      <c r="AE34" s="9"/>
      <c r="AF34" s="10" t="str">
        <f aca="false">IF(A34="","",SG_Criteria!$B$6&amp;SG_Criteria!$B$8&amp;"\"&amp;A34&amp;"\")</f>
        <v/>
      </c>
      <c r="AG34" s="10" t="str">
        <f aca="false">IF(A34="","",A34&amp;"_CAD.dwg")</f>
        <v/>
      </c>
      <c r="AH34" s="10" t="str">
        <f aca="false">IF(A34="","",A34&amp;"_DWG.pdf")</f>
        <v/>
      </c>
      <c r="AI34" s="10" t="str">
        <f aca="false">IF(A34="","",IF(AE34="Y",A34&amp;"_STAAD.std","n/a"))</f>
        <v/>
      </c>
      <c r="AJ34" s="10" t="str">
        <f aca="false">IF(A34="","",A34&amp;"_CALC.xlsx")</f>
        <v/>
      </c>
      <c r="AK34" s="10" t="str">
        <f aca="false">IF(A34="","",A34&amp;"_CALC.pdf")</f>
        <v/>
      </c>
      <c r="AL34" s="9"/>
      <c r="AM34" s="9"/>
      <c r="AN34" s="41"/>
      <c r="AO34" s="41"/>
      <c r="AP34" s="41"/>
      <c r="AQ34" s="41"/>
      <c r="AR34" s="41"/>
      <c r="AS34" s="38" t="str">
        <f aca="false">IF(OR(C34="",D34=""),"",IF(D34&lt;=IF(OR(C34="Block / Segmental",C34="Gabion",C34="Reinforced Earth (MSE)"),SG_Criteria!$B$34,SG_Criteria!$B$33),"No ERSS submission",IF(D34&lt;=SG_Criteria!$B$35,"QP(ST)",IF(D34&lt;=SG_Criteria!$B$36,"QP(ST) + AC","Geotechnical building works: QP(Geo) + AC"))))</f>
        <v/>
      </c>
      <c r="AT34" s="38" t="str">
        <f aca="false">IF(C34="","",IF(LEN(IF(AND(R34&lt;&gt;"",IFERROR(VALUE(MID(R34,2,2)),0)&lt;SG_Criteria!$B$19),"FAIL: grade below C"&amp;SG_Criteria!$B$19&amp;". ","")&amp;IF(AND(S34&lt;&gt;"",S34&lt;SG_Criteria!$B$20),"FAIL: cover &lt; "&amp;SG_Criteria!$B$20&amp;" mm. ","")&amp;IF(AND(W34&lt;&gt;"",W34&lt;1),"FAIL: sliding. ","")&amp;IF(AND(C34="Reverse L-Wall (toe only, at boundary)",N(O34)&gt;0),"NOTE: reverse L-wall should have no heel. ","")&amp;IF(AND(C34="L-Wall (heel only)",N(N34)&gt;0),"NOTE: L-wall should have no toe. ","")&amp;IF(AND(E34&lt;&gt;"",E34&lt;SG_Criteria!$B$31),"NOTE: q below LTA min "&amp;SG_Criteria!$B$31&amp;" kPa (not for LTA works). ",""))=0,"OK",IF(AND(R34&lt;&gt;"",IFERROR(VALUE(MID(R34,2,2)),0)&lt;SG_Criteria!$B$19),"FAIL: grade below C"&amp;SG_Criteria!$B$19&amp;". ","")&amp;IF(AND(S34&lt;&gt;"",S34&lt;SG_Criteria!$B$20),"FAIL: cover &lt; "&amp;SG_Criteria!$B$20&amp;" mm. ","")&amp;IF(AND(W34&lt;&gt;"",W34&lt;1),"FAIL: sliding. ","")&amp;IF(AND(C34="Reverse L-Wall (toe only, at boundary)",N(O34)&gt;0),"NOTE: reverse L-wall should have no heel. ","")&amp;IF(AND(C34="L-Wall (heel only)",N(N34)&gt;0),"NOTE: L-wall should have no toe. ","")&amp;IF(AND(E34&lt;&gt;"",E34&lt;SG_Criteria!$B$31),"NOTE: q below LTA min "&amp;SG_Criteria!$B$31&amp;" kPa (not for LTA works). ","")))</f>
        <v/>
      </c>
      <c r="AU34" s="9"/>
      <c r="AV34" s="9"/>
      <c r="AW34" s="9"/>
      <c r="AX34" s="9"/>
      <c r="AY34" s="9"/>
      <c r="AZ34" s="31"/>
      <c r="BA34" s="10" t="str">
        <f aca="false">IF(C34="","",IF(AND(AB34="Approved",ISERROR(SEARCH("FAIL",AT34))),"Y","N"))</f>
        <v/>
      </c>
      <c r="BB34" s="10" t="str">
        <f aca="false">IF(C34="","",C34&amp;"|"&amp;D34&amp;"|"&amp;E34&amp;"|"&amp;F34&amp;"|"&amp;BA34)</f>
        <v/>
      </c>
    </row>
    <row r="35" customFormat="false" ht="15" hidden="false" customHeight="false" outlineLevel="0" collapsed="false">
      <c r="A35" s="10" t="str">
        <f aca="false">IF(C35="","","RW-"&amp;IFERROR(VLOOKUP(C35,Lists!$M$4:$N$22,2,0),"??")&amp;"-H"&amp;TEXT(D35*1000,"0000")&amp;"-S"&amp;E35&amp;IF(F35="Y","-GW","")&amp;"-"&amp;AA35)</f>
        <v/>
      </c>
      <c r="B35" s="10" t="str">
        <f aca="false">IF(C35="","",C35&amp;", H = "&amp;TEXT(D35,"0.0")&amp;" m, q = "&amp;E35&amp;" kPa"&amp;IF(F35="Y",", with GWT","")&amp;", "&amp;H35)</f>
        <v/>
      </c>
      <c r="C35" s="9"/>
      <c r="D35" s="41"/>
      <c r="E35" s="40"/>
      <c r="F35" s="9"/>
      <c r="G35" s="40"/>
      <c r="H35" s="9"/>
      <c r="I35" s="40"/>
      <c r="J35" s="43"/>
      <c r="K35" s="40"/>
      <c r="L35" s="40"/>
      <c r="M35" s="40"/>
      <c r="N35" s="40"/>
      <c r="O35" s="40"/>
      <c r="P35" s="40"/>
      <c r="Q35" s="9"/>
      <c r="R35" s="9"/>
      <c r="S35" s="40"/>
      <c r="T35" s="9"/>
      <c r="U35" s="9"/>
      <c r="V35" s="9"/>
      <c r="W35" s="41"/>
      <c r="X35" s="41"/>
      <c r="Y35" s="40"/>
      <c r="Z35" s="9"/>
      <c r="AA35" s="9"/>
      <c r="AB35" s="9"/>
      <c r="AC35" s="9"/>
      <c r="AD35" s="9"/>
      <c r="AE35" s="9"/>
      <c r="AF35" s="10" t="str">
        <f aca="false">IF(A35="","",SG_Criteria!$B$6&amp;SG_Criteria!$B$8&amp;"\"&amp;A35&amp;"\")</f>
        <v/>
      </c>
      <c r="AG35" s="10" t="str">
        <f aca="false">IF(A35="","",A35&amp;"_CAD.dwg")</f>
        <v/>
      </c>
      <c r="AH35" s="10" t="str">
        <f aca="false">IF(A35="","",A35&amp;"_DWG.pdf")</f>
        <v/>
      </c>
      <c r="AI35" s="10" t="str">
        <f aca="false">IF(A35="","",IF(AE35="Y",A35&amp;"_STAAD.std","n/a"))</f>
        <v/>
      </c>
      <c r="AJ35" s="10" t="str">
        <f aca="false">IF(A35="","",A35&amp;"_CALC.xlsx")</f>
        <v/>
      </c>
      <c r="AK35" s="10" t="str">
        <f aca="false">IF(A35="","",A35&amp;"_CALC.pdf")</f>
        <v/>
      </c>
      <c r="AL35" s="9"/>
      <c r="AM35" s="9"/>
      <c r="AN35" s="41"/>
      <c r="AO35" s="41"/>
      <c r="AP35" s="41"/>
      <c r="AQ35" s="41"/>
      <c r="AR35" s="41"/>
      <c r="AS35" s="38" t="str">
        <f aca="false">IF(OR(C35="",D35=""),"",IF(D35&lt;=IF(OR(C35="Block / Segmental",C35="Gabion",C35="Reinforced Earth (MSE)"),SG_Criteria!$B$34,SG_Criteria!$B$33),"No ERSS submission",IF(D35&lt;=SG_Criteria!$B$35,"QP(ST)",IF(D35&lt;=SG_Criteria!$B$36,"QP(ST) + AC","Geotechnical building works: QP(Geo) + AC"))))</f>
        <v/>
      </c>
      <c r="AT35" s="38" t="str">
        <f aca="false">IF(C35="","",IF(LEN(IF(AND(R35&lt;&gt;"",IFERROR(VALUE(MID(R35,2,2)),0)&lt;SG_Criteria!$B$19),"FAIL: grade below C"&amp;SG_Criteria!$B$19&amp;". ","")&amp;IF(AND(S35&lt;&gt;"",S35&lt;SG_Criteria!$B$20),"FAIL: cover &lt; "&amp;SG_Criteria!$B$20&amp;" mm. ","")&amp;IF(AND(W35&lt;&gt;"",W35&lt;1),"FAIL: sliding. ","")&amp;IF(AND(C35="Reverse L-Wall (toe only, at boundary)",N(O35)&gt;0),"NOTE: reverse L-wall should have no heel. ","")&amp;IF(AND(C35="L-Wall (heel only)",N(N35)&gt;0),"NOTE: L-wall should have no toe. ","")&amp;IF(AND(E35&lt;&gt;"",E35&lt;SG_Criteria!$B$31),"NOTE: q below LTA min "&amp;SG_Criteria!$B$31&amp;" kPa (not for LTA works). ",""))=0,"OK",IF(AND(R35&lt;&gt;"",IFERROR(VALUE(MID(R35,2,2)),0)&lt;SG_Criteria!$B$19),"FAIL: grade below C"&amp;SG_Criteria!$B$19&amp;". ","")&amp;IF(AND(S35&lt;&gt;"",S35&lt;SG_Criteria!$B$20),"FAIL: cover &lt; "&amp;SG_Criteria!$B$20&amp;" mm. ","")&amp;IF(AND(W35&lt;&gt;"",W35&lt;1),"FAIL: sliding. ","")&amp;IF(AND(C35="Reverse L-Wall (toe only, at boundary)",N(O35)&gt;0),"NOTE: reverse L-wall should have no heel. ","")&amp;IF(AND(C35="L-Wall (heel only)",N(N35)&gt;0),"NOTE: L-wall should have no toe. ","")&amp;IF(AND(E35&lt;&gt;"",E35&lt;SG_Criteria!$B$31),"NOTE: q below LTA min "&amp;SG_Criteria!$B$31&amp;" kPa (not for LTA works). ","")))</f>
        <v/>
      </c>
      <c r="AU35" s="9"/>
      <c r="AV35" s="9"/>
      <c r="AW35" s="9"/>
      <c r="AX35" s="9"/>
      <c r="AY35" s="9"/>
      <c r="AZ35" s="31"/>
      <c r="BA35" s="10" t="str">
        <f aca="false">IF(C35="","",IF(AND(AB35="Approved",ISERROR(SEARCH("FAIL",AT35))),"Y","N"))</f>
        <v/>
      </c>
      <c r="BB35" s="10" t="str">
        <f aca="false">IF(C35="","",C35&amp;"|"&amp;D35&amp;"|"&amp;E35&amp;"|"&amp;F35&amp;"|"&amp;BA35)</f>
        <v/>
      </c>
    </row>
    <row r="36" customFormat="false" ht="15" hidden="false" customHeight="false" outlineLevel="0" collapsed="false">
      <c r="A36" s="10" t="str">
        <f aca="false">IF(C36="","","RW-"&amp;IFERROR(VLOOKUP(C36,Lists!$M$4:$N$22,2,0),"??")&amp;"-H"&amp;TEXT(D36*1000,"0000")&amp;"-S"&amp;E36&amp;IF(F36="Y","-GW","")&amp;"-"&amp;AA36)</f>
        <v/>
      </c>
      <c r="B36" s="10" t="str">
        <f aca="false">IF(C36="","",C36&amp;", H = "&amp;TEXT(D36,"0.0")&amp;" m, q = "&amp;E36&amp;" kPa"&amp;IF(F36="Y",", with GWT","")&amp;", "&amp;H36)</f>
        <v/>
      </c>
      <c r="C36" s="9"/>
      <c r="D36" s="41"/>
      <c r="E36" s="40"/>
      <c r="F36" s="9"/>
      <c r="G36" s="40"/>
      <c r="H36" s="9"/>
      <c r="I36" s="40"/>
      <c r="J36" s="43"/>
      <c r="K36" s="40"/>
      <c r="L36" s="40"/>
      <c r="M36" s="40"/>
      <c r="N36" s="40"/>
      <c r="O36" s="40"/>
      <c r="P36" s="40"/>
      <c r="Q36" s="9"/>
      <c r="R36" s="9"/>
      <c r="S36" s="40"/>
      <c r="T36" s="9"/>
      <c r="U36" s="9"/>
      <c r="V36" s="9"/>
      <c r="W36" s="41"/>
      <c r="X36" s="41"/>
      <c r="Y36" s="40"/>
      <c r="Z36" s="9"/>
      <c r="AA36" s="9"/>
      <c r="AB36" s="9"/>
      <c r="AC36" s="9"/>
      <c r="AD36" s="9"/>
      <c r="AE36" s="9"/>
      <c r="AF36" s="10" t="str">
        <f aca="false">IF(A36="","",SG_Criteria!$B$6&amp;SG_Criteria!$B$8&amp;"\"&amp;A36&amp;"\")</f>
        <v/>
      </c>
      <c r="AG36" s="10" t="str">
        <f aca="false">IF(A36="","",A36&amp;"_CAD.dwg")</f>
        <v/>
      </c>
      <c r="AH36" s="10" t="str">
        <f aca="false">IF(A36="","",A36&amp;"_DWG.pdf")</f>
        <v/>
      </c>
      <c r="AI36" s="10" t="str">
        <f aca="false">IF(A36="","",IF(AE36="Y",A36&amp;"_STAAD.std","n/a"))</f>
        <v/>
      </c>
      <c r="AJ36" s="10" t="str">
        <f aca="false">IF(A36="","",A36&amp;"_CALC.xlsx")</f>
        <v/>
      </c>
      <c r="AK36" s="10" t="str">
        <f aca="false">IF(A36="","",A36&amp;"_CALC.pdf")</f>
        <v/>
      </c>
      <c r="AL36" s="9"/>
      <c r="AM36" s="9"/>
      <c r="AN36" s="41"/>
      <c r="AO36" s="41"/>
      <c r="AP36" s="41"/>
      <c r="AQ36" s="41"/>
      <c r="AR36" s="41"/>
      <c r="AS36" s="38" t="str">
        <f aca="false">IF(OR(C36="",D36=""),"",IF(D36&lt;=IF(OR(C36="Block / Segmental",C36="Gabion",C36="Reinforced Earth (MSE)"),SG_Criteria!$B$34,SG_Criteria!$B$33),"No ERSS submission",IF(D36&lt;=SG_Criteria!$B$35,"QP(ST)",IF(D36&lt;=SG_Criteria!$B$36,"QP(ST) + AC","Geotechnical building works: QP(Geo) + AC"))))</f>
        <v/>
      </c>
      <c r="AT36" s="38" t="str">
        <f aca="false">IF(C36="","",IF(LEN(IF(AND(R36&lt;&gt;"",IFERROR(VALUE(MID(R36,2,2)),0)&lt;SG_Criteria!$B$19),"FAIL: grade below C"&amp;SG_Criteria!$B$19&amp;". ","")&amp;IF(AND(S36&lt;&gt;"",S36&lt;SG_Criteria!$B$20),"FAIL: cover &lt; "&amp;SG_Criteria!$B$20&amp;" mm. ","")&amp;IF(AND(W36&lt;&gt;"",W36&lt;1),"FAIL: sliding. ","")&amp;IF(AND(C36="Reverse L-Wall (toe only, at boundary)",N(O36)&gt;0),"NOTE: reverse L-wall should have no heel. ","")&amp;IF(AND(C36="L-Wall (heel only)",N(N36)&gt;0),"NOTE: L-wall should have no toe. ","")&amp;IF(AND(E36&lt;&gt;"",E36&lt;SG_Criteria!$B$31),"NOTE: q below LTA min "&amp;SG_Criteria!$B$31&amp;" kPa (not for LTA works). ",""))=0,"OK",IF(AND(R36&lt;&gt;"",IFERROR(VALUE(MID(R36,2,2)),0)&lt;SG_Criteria!$B$19),"FAIL: grade below C"&amp;SG_Criteria!$B$19&amp;". ","")&amp;IF(AND(S36&lt;&gt;"",S36&lt;SG_Criteria!$B$20),"FAIL: cover &lt; "&amp;SG_Criteria!$B$20&amp;" mm. ","")&amp;IF(AND(W36&lt;&gt;"",W36&lt;1),"FAIL: sliding. ","")&amp;IF(AND(C36="Reverse L-Wall (toe only, at boundary)",N(O36)&gt;0),"NOTE: reverse L-wall should have no heel. ","")&amp;IF(AND(C36="L-Wall (heel only)",N(N36)&gt;0),"NOTE: L-wall should have no toe. ","")&amp;IF(AND(E36&lt;&gt;"",E36&lt;SG_Criteria!$B$31),"NOTE: q below LTA min "&amp;SG_Criteria!$B$31&amp;" kPa (not for LTA works). ","")))</f>
        <v/>
      </c>
      <c r="AU36" s="9"/>
      <c r="AV36" s="9"/>
      <c r="AW36" s="9"/>
      <c r="AX36" s="9"/>
      <c r="AY36" s="9"/>
      <c r="AZ36" s="31"/>
      <c r="BA36" s="10" t="str">
        <f aca="false">IF(C36="","",IF(AND(AB36="Approved",ISERROR(SEARCH("FAIL",AT36))),"Y","N"))</f>
        <v/>
      </c>
      <c r="BB36" s="10" t="str">
        <f aca="false">IF(C36="","",C36&amp;"|"&amp;D36&amp;"|"&amp;E36&amp;"|"&amp;F36&amp;"|"&amp;BA36)</f>
        <v/>
      </c>
    </row>
    <row r="37" customFormat="false" ht="15" hidden="false" customHeight="false" outlineLevel="0" collapsed="false">
      <c r="A37" s="10" t="str">
        <f aca="false">IF(C37="","","RW-"&amp;IFERROR(VLOOKUP(C37,Lists!$M$4:$N$22,2,0),"??")&amp;"-H"&amp;TEXT(D37*1000,"0000")&amp;"-S"&amp;E37&amp;IF(F37="Y","-GW","")&amp;"-"&amp;AA37)</f>
        <v/>
      </c>
      <c r="B37" s="10" t="str">
        <f aca="false">IF(C37="","",C37&amp;", H = "&amp;TEXT(D37,"0.0")&amp;" m, q = "&amp;E37&amp;" kPa"&amp;IF(F37="Y",", with GWT","")&amp;", "&amp;H37)</f>
        <v/>
      </c>
      <c r="C37" s="9"/>
      <c r="D37" s="41"/>
      <c r="E37" s="40"/>
      <c r="F37" s="9"/>
      <c r="G37" s="40"/>
      <c r="H37" s="9"/>
      <c r="I37" s="40"/>
      <c r="J37" s="43"/>
      <c r="K37" s="40"/>
      <c r="L37" s="40"/>
      <c r="M37" s="40"/>
      <c r="N37" s="40"/>
      <c r="O37" s="40"/>
      <c r="P37" s="40"/>
      <c r="Q37" s="9"/>
      <c r="R37" s="9"/>
      <c r="S37" s="40"/>
      <c r="T37" s="9"/>
      <c r="U37" s="9"/>
      <c r="V37" s="9"/>
      <c r="W37" s="41"/>
      <c r="X37" s="41"/>
      <c r="Y37" s="40"/>
      <c r="Z37" s="9"/>
      <c r="AA37" s="9"/>
      <c r="AB37" s="9"/>
      <c r="AC37" s="9"/>
      <c r="AD37" s="9"/>
      <c r="AE37" s="9"/>
      <c r="AF37" s="10" t="str">
        <f aca="false">IF(A37="","",SG_Criteria!$B$6&amp;SG_Criteria!$B$8&amp;"\"&amp;A37&amp;"\")</f>
        <v/>
      </c>
      <c r="AG37" s="10" t="str">
        <f aca="false">IF(A37="","",A37&amp;"_CAD.dwg")</f>
        <v/>
      </c>
      <c r="AH37" s="10" t="str">
        <f aca="false">IF(A37="","",A37&amp;"_DWG.pdf")</f>
        <v/>
      </c>
      <c r="AI37" s="10" t="str">
        <f aca="false">IF(A37="","",IF(AE37="Y",A37&amp;"_STAAD.std","n/a"))</f>
        <v/>
      </c>
      <c r="AJ37" s="10" t="str">
        <f aca="false">IF(A37="","",A37&amp;"_CALC.xlsx")</f>
        <v/>
      </c>
      <c r="AK37" s="10" t="str">
        <f aca="false">IF(A37="","",A37&amp;"_CALC.pdf")</f>
        <v/>
      </c>
      <c r="AL37" s="9"/>
      <c r="AM37" s="9"/>
      <c r="AN37" s="41"/>
      <c r="AO37" s="41"/>
      <c r="AP37" s="41"/>
      <c r="AQ37" s="41"/>
      <c r="AR37" s="41"/>
      <c r="AS37" s="38" t="str">
        <f aca="false">IF(OR(C37="",D37=""),"",IF(D37&lt;=IF(OR(C37="Block / Segmental",C37="Gabion",C37="Reinforced Earth (MSE)"),SG_Criteria!$B$34,SG_Criteria!$B$33),"No ERSS submission",IF(D37&lt;=SG_Criteria!$B$35,"QP(ST)",IF(D37&lt;=SG_Criteria!$B$36,"QP(ST) + AC","Geotechnical building works: QP(Geo) + AC"))))</f>
        <v/>
      </c>
      <c r="AT37" s="38" t="str">
        <f aca="false">IF(C37="","",IF(LEN(IF(AND(R37&lt;&gt;"",IFERROR(VALUE(MID(R37,2,2)),0)&lt;SG_Criteria!$B$19),"FAIL: grade below C"&amp;SG_Criteria!$B$19&amp;". ","")&amp;IF(AND(S37&lt;&gt;"",S37&lt;SG_Criteria!$B$20),"FAIL: cover &lt; "&amp;SG_Criteria!$B$20&amp;" mm. ","")&amp;IF(AND(W37&lt;&gt;"",W37&lt;1),"FAIL: sliding. ","")&amp;IF(AND(C37="Reverse L-Wall (toe only, at boundary)",N(O37)&gt;0),"NOTE: reverse L-wall should have no heel. ","")&amp;IF(AND(C37="L-Wall (heel only)",N(N37)&gt;0),"NOTE: L-wall should have no toe. ","")&amp;IF(AND(E37&lt;&gt;"",E37&lt;SG_Criteria!$B$31),"NOTE: q below LTA min "&amp;SG_Criteria!$B$31&amp;" kPa (not for LTA works). ",""))=0,"OK",IF(AND(R37&lt;&gt;"",IFERROR(VALUE(MID(R37,2,2)),0)&lt;SG_Criteria!$B$19),"FAIL: grade below C"&amp;SG_Criteria!$B$19&amp;". ","")&amp;IF(AND(S37&lt;&gt;"",S37&lt;SG_Criteria!$B$20),"FAIL: cover &lt; "&amp;SG_Criteria!$B$20&amp;" mm. ","")&amp;IF(AND(W37&lt;&gt;"",W37&lt;1),"FAIL: sliding. ","")&amp;IF(AND(C37="Reverse L-Wall (toe only, at boundary)",N(O37)&gt;0),"NOTE: reverse L-wall should have no heel. ","")&amp;IF(AND(C37="L-Wall (heel only)",N(N37)&gt;0),"NOTE: L-wall should have no toe. ","")&amp;IF(AND(E37&lt;&gt;"",E37&lt;SG_Criteria!$B$31),"NOTE: q below LTA min "&amp;SG_Criteria!$B$31&amp;" kPa (not for LTA works). ","")))</f>
        <v/>
      </c>
      <c r="AU37" s="9"/>
      <c r="AV37" s="9"/>
      <c r="AW37" s="9"/>
      <c r="AX37" s="9"/>
      <c r="AY37" s="9"/>
      <c r="AZ37" s="31"/>
      <c r="BA37" s="10" t="str">
        <f aca="false">IF(C37="","",IF(AND(AB37="Approved",ISERROR(SEARCH("FAIL",AT37))),"Y","N"))</f>
        <v/>
      </c>
      <c r="BB37" s="10" t="str">
        <f aca="false">IF(C37="","",C37&amp;"|"&amp;D37&amp;"|"&amp;E37&amp;"|"&amp;F37&amp;"|"&amp;BA37)</f>
        <v/>
      </c>
    </row>
    <row r="38" customFormat="false" ht="15" hidden="false" customHeight="false" outlineLevel="0" collapsed="false">
      <c r="A38" s="10" t="str">
        <f aca="false">IF(C38="","","RW-"&amp;IFERROR(VLOOKUP(C38,Lists!$M$4:$N$22,2,0),"??")&amp;"-H"&amp;TEXT(D38*1000,"0000")&amp;"-S"&amp;E38&amp;IF(F38="Y","-GW","")&amp;"-"&amp;AA38)</f>
        <v/>
      </c>
      <c r="B38" s="10" t="str">
        <f aca="false">IF(C38="","",C38&amp;", H = "&amp;TEXT(D38,"0.0")&amp;" m, q = "&amp;E38&amp;" kPa"&amp;IF(F38="Y",", with GWT","")&amp;", "&amp;H38)</f>
        <v/>
      </c>
      <c r="C38" s="9"/>
      <c r="D38" s="41"/>
      <c r="E38" s="40"/>
      <c r="F38" s="9"/>
      <c r="G38" s="40"/>
      <c r="H38" s="9"/>
      <c r="I38" s="40"/>
      <c r="J38" s="43"/>
      <c r="K38" s="40"/>
      <c r="L38" s="40"/>
      <c r="M38" s="40"/>
      <c r="N38" s="40"/>
      <c r="O38" s="40"/>
      <c r="P38" s="40"/>
      <c r="Q38" s="9"/>
      <c r="R38" s="9"/>
      <c r="S38" s="40"/>
      <c r="T38" s="9"/>
      <c r="U38" s="9"/>
      <c r="V38" s="9"/>
      <c r="W38" s="41"/>
      <c r="X38" s="41"/>
      <c r="Y38" s="40"/>
      <c r="Z38" s="9"/>
      <c r="AA38" s="9"/>
      <c r="AB38" s="9"/>
      <c r="AC38" s="9"/>
      <c r="AD38" s="9"/>
      <c r="AE38" s="9"/>
      <c r="AF38" s="10" t="str">
        <f aca="false">IF(A38="","",SG_Criteria!$B$6&amp;SG_Criteria!$B$8&amp;"\"&amp;A38&amp;"\")</f>
        <v/>
      </c>
      <c r="AG38" s="10" t="str">
        <f aca="false">IF(A38="","",A38&amp;"_CAD.dwg")</f>
        <v/>
      </c>
      <c r="AH38" s="10" t="str">
        <f aca="false">IF(A38="","",A38&amp;"_DWG.pdf")</f>
        <v/>
      </c>
      <c r="AI38" s="10" t="str">
        <f aca="false">IF(A38="","",IF(AE38="Y",A38&amp;"_STAAD.std","n/a"))</f>
        <v/>
      </c>
      <c r="AJ38" s="10" t="str">
        <f aca="false">IF(A38="","",A38&amp;"_CALC.xlsx")</f>
        <v/>
      </c>
      <c r="AK38" s="10" t="str">
        <f aca="false">IF(A38="","",A38&amp;"_CALC.pdf")</f>
        <v/>
      </c>
      <c r="AL38" s="9"/>
      <c r="AM38" s="9"/>
      <c r="AN38" s="41"/>
      <c r="AO38" s="41"/>
      <c r="AP38" s="41"/>
      <c r="AQ38" s="41"/>
      <c r="AR38" s="41"/>
      <c r="AS38" s="38" t="str">
        <f aca="false">IF(OR(C38="",D38=""),"",IF(D38&lt;=IF(OR(C38="Block / Segmental",C38="Gabion",C38="Reinforced Earth (MSE)"),SG_Criteria!$B$34,SG_Criteria!$B$33),"No ERSS submission",IF(D38&lt;=SG_Criteria!$B$35,"QP(ST)",IF(D38&lt;=SG_Criteria!$B$36,"QP(ST) + AC","Geotechnical building works: QP(Geo) + AC"))))</f>
        <v/>
      </c>
      <c r="AT38" s="38" t="str">
        <f aca="false">IF(C38="","",IF(LEN(IF(AND(R38&lt;&gt;"",IFERROR(VALUE(MID(R38,2,2)),0)&lt;SG_Criteria!$B$19),"FAIL: grade below C"&amp;SG_Criteria!$B$19&amp;". ","")&amp;IF(AND(S38&lt;&gt;"",S38&lt;SG_Criteria!$B$20),"FAIL: cover &lt; "&amp;SG_Criteria!$B$20&amp;" mm. ","")&amp;IF(AND(W38&lt;&gt;"",W38&lt;1),"FAIL: sliding. ","")&amp;IF(AND(C38="Reverse L-Wall (toe only, at boundary)",N(O38)&gt;0),"NOTE: reverse L-wall should have no heel. ","")&amp;IF(AND(C38="L-Wall (heel only)",N(N38)&gt;0),"NOTE: L-wall should have no toe. ","")&amp;IF(AND(E38&lt;&gt;"",E38&lt;SG_Criteria!$B$31),"NOTE: q below LTA min "&amp;SG_Criteria!$B$31&amp;" kPa (not for LTA works). ",""))=0,"OK",IF(AND(R38&lt;&gt;"",IFERROR(VALUE(MID(R38,2,2)),0)&lt;SG_Criteria!$B$19),"FAIL: grade below C"&amp;SG_Criteria!$B$19&amp;". ","")&amp;IF(AND(S38&lt;&gt;"",S38&lt;SG_Criteria!$B$20),"FAIL: cover &lt; "&amp;SG_Criteria!$B$20&amp;" mm. ","")&amp;IF(AND(W38&lt;&gt;"",W38&lt;1),"FAIL: sliding. ","")&amp;IF(AND(C38="Reverse L-Wall (toe only, at boundary)",N(O38)&gt;0),"NOTE: reverse L-wall should have no heel. ","")&amp;IF(AND(C38="L-Wall (heel only)",N(N38)&gt;0),"NOTE: L-wall should have no toe. ","")&amp;IF(AND(E38&lt;&gt;"",E38&lt;SG_Criteria!$B$31),"NOTE: q below LTA min "&amp;SG_Criteria!$B$31&amp;" kPa (not for LTA works). ","")))</f>
        <v/>
      </c>
      <c r="AU38" s="9"/>
      <c r="AV38" s="9"/>
      <c r="AW38" s="9"/>
      <c r="AX38" s="9"/>
      <c r="AY38" s="9"/>
      <c r="AZ38" s="31"/>
      <c r="BA38" s="10" t="str">
        <f aca="false">IF(C38="","",IF(AND(AB38="Approved",ISERROR(SEARCH("FAIL",AT38))),"Y","N"))</f>
        <v/>
      </c>
      <c r="BB38" s="10" t="str">
        <f aca="false">IF(C38="","",C38&amp;"|"&amp;D38&amp;"|"&amp;E38&amp;"|"&amp;F38&amp;"|"&amp;BA38)</f>
        <v/>
      </c>
    </row>
    <row r="39" customFormat="false" ht="15" hidden="false" customHeight="false" outlineLevel="0" collapsed="false">
      <c r="A39" s="10" t="str">
        <f aca="false">IF(C39="","","RW-"&amp;IFERROR(VLOOKUP(C39,Lists!$M$4:$N$22,2,0),"??")&amp;"-H"&amp;TEXT(D39*1000,"0000")&amp;"-S"&amp;E39&amp;IF(F39="Y","-GW","")&amp;"-"&amp;AA39)</f>
        <v/>
      </c>
      <c r="B39" s="10" t="str">
        <f aca="false">IF(C39="","",C39&amp;", H = "&amp;TEXT(D39,"0.0")&amp;" m, q = "&amp;E39&amp;" kPa"&amp;IF(F39="Y",", with GWT","")&amp;", "&amp;H39)</f>
        <v/>
      </c>
      <c r="C39" s="9"/>
      <c r="D39" s="41"/>
      <c r="E39" s="40"/>
      <c r="F39" s="9"/>
      <c r="G39" s="40"/>
      <c r="H39" s="9"/>
      <c r="I39" s="40"/>
      <c r="J39" s="43"/>
      <c r="K39" s="40"/>
      <c r="L39" s="40"/>
      <c r="M39" s="40"/>
      <c r="N39" s="40"/>
      <c r="O39" s="40"/>
      <c r="P39" s="40"/>
      <c r="Q39" s="9"/>
      <c r="R39" s="9"/>
      <c r="S39" s="40"/>
      <c r="T39" s="9"/>
      <c r="U39" s="9"/>
      <c r="V39" s="9"/>
      <c r="W39" s="41"/>
      <c r="X39" s="41"/>
      <c r="Y39" s="40"/>
      <c r="Z39" s="9"/>
      <c r="AA39" s="9"/>
      <c r="AB39" s="9"/>
      <c r="AC39" s="9"/>
      <c r="AD39" s="9"/>
      <c r="AE39" s="9"/>
      <c r="AF39" s="10" t="str">
        <f aca="false">IF(A39="","",SG_Criteria!$B$6&amp;SG_Criteria!$B$8&amp;"\"&amp;A39&amp;"\")</f>
        <v/>
      </c>
      <c r="AG39" s="10" t="str">
        <f aca="false">IF(A39="","",A39&amp;"_CAD.dwg")</f>
        <v/>
      </c>
      <c r="AH39" s="10" t="str">
        <f aca="false">IF(A39="","",A39&amp;"_DWG.pdf")</f>
        <v/>
      </c>
      <c r="AI39" s="10" t="str">
        <f aca="false">IF(A39="","",IF(AE39="Y",A39&amp;"_STAAD.std","n/a"))</f>
        <v/>
      </c>
      <c r="AJ39" s="10" t="str">
        <f aca="false">IF(A39="","",A39&amp;"_CALC.xlsx")</f>
        <v/>
      </c>
      <c r="AK39" s="10" t="str">
        <f aca="false">IF(A39="","",A39&amp;"_CALC.pdf")</f>
        <v/>
      </c>
      <c r="AL39" s="9"/>
      <c r="AM39" s="9"/>
      <c r="AN39" s="41"/>
      <c r="AO39" s="41"/>
      <c r="AP39" s="41"/>
      <c r="AQ39" s="41"/>
      <c r="AR39" s="41"/>
      <c r="AS39" s="38" t="str">
        <f aca="false">IF(OR(C39="",D39=""),"",IF(D39&lt;=IF(OR(C39="Block / Segmental",C39="Gabion",C39="Reinforced Earth (MSE)"),SG_Criteria!$B$34,SG_Criteria!$B$33),"No ERSS submission",IF(D39&lt;=SG_Criteria!$B$35,"QP(ST)",IF(D39&lt;=SG_Criteria!$B$36,"QP(ST) + AC","Geotechnical building works: QP(Geo) + AC"))))</f>
        <v/>
      </c>
      <c r="AT39" s="38" t="str">
        <f aca="false">IF(C39="","",IF(LEN(IF(AND(R39&lt;&gt;"",IFERROR(VALUE(MID(R39,2,2)),0)&lt;SG_Criteria!$B$19),"FAIL: grade below C"&amp;SG_Criteria!$B$19&amp;". ","")&amp;IF(AND(S39&lt;&gt;"",S39&lt;SG_Criteria!$B$20),"FAIL: cover &lt; "&amp;SG_Criteria!$B$20&amp;" mm. ","")&amp;IF(AND(W39&lt;&gt;"",W39&lt;1),"FAIL: sliding. ","")&amp;IF(AND(C39="Reverse L-Wall (toe only, at boundary)",N(O39)&gt;0),"NOTE: reverse L-wall should have no heel. ","")&amp;IF(AND(C39="L-Wall (heel only)",N(N39)&gt;0),"NOTE: L-wall should have no toe. ","")&amp;IF(AND(E39&lt;&gt;"",E39&lt;SG_Criteria!$B$31),"NOTE: q below LTA min "&amp;SG_Criteria!$B$31&amp;" kPa (not for LTA works). ",""))=0,"OK",IF(AND(R39&lt;&gt;"",IFERROR(VALUE(MID(R39,2,2)),0)&lt;SG_Criteria!$B$19),"FAIL: grade below C"&amp;SG_Criteria!$B$19&amp;". ","")&amp;IF(AND(S39&lt;&gt;"",S39&lt;SG_Criteria!$B$20),"FAIL: cover &lt; "&amp;SG_Criteria!$B$20&amp;" mm. ","")&amp;IF(AND(W39&lt;&gt;"",W39&lt;1),"FAIL: sliding. ","")&amp;IF(AND(C39="Reverse L-Wall (toe only, at boundary)",N(O39)&gt;0),"NOTE: reverse L-wall should have no heel. ","")&amp;IF(AND(C39="L-Wall (heel only)",N(N39)&gt;0),"NOTE: L-wall should have no toe. ","")&amp;IF(AND(E39&lt;&gt;"",E39&lt;SG_Criteria!$B$31),"NOTE: q below LTA min "&amp;SG_Criteria!$B$31&amp;" kPa (not for LTA works). ","")))</f>
        <v/>
      </c>
      <c r="AU39" s="9"/>
      <c r="AV39" s="9"/>
      <c r="AW39" s="9"/>
      <c r="AX39" s="9"/>
      <c r="AY39" s="9"/>
      <c r="AZ39" s="31"/>
      <c r="BA39" s="10" t="str">
        <f aca="false">IF(C39="","",IF(AND(AB39="Approved",ISERROR(SEARCH("FAIL",AT39))),"Y","N"))</f>
        <v/>
      </c>
      <c r="BB39" s="10" t="str">
        <f aca="false">IF(C39="","",C39&amp;"|"&amp;D39&amp;"|"&amp;E39&amp;"|"&amp;F39&amp;"|"&amp;BA39)</f>
        <v/>
      </c>
    </row>
    <row r="40" customFormat="false" ht="15" hidden="false" customHeight="false" outlineLevel="0" collapsed="false">
      <c r="A40" s="10" t="str">
        <f aca="false">IF(C40="","","RW-"&amp;IFERROR(VLOOKUP(C40,Lists!$M$4:$N$22,2,0),"??")&amp;"-H"&amp;TEXT(D40*1000,"0000")&amp;"-S"&amp;E40&amp;IF(F40="Y","-GW","")&amp;"-"&amp;AA40)</f>
        <v/>
      </c>
      <c r="B40" s="10" t="str">
        <f aca="false">IF(C40="","",C40&amp;", H = "&amp;TEXT(D40,"0.0")&amp;" m, q = "&amp;E40&amp;" kPa"&amp;IF(F40="Y",", with GWT","")&amp;", "&amp;H40)</f>
        <v/>
      </c>
      <c r="C40" s="9"/>
      <c r="D40" s="41"/>
      <c r="E40" s="40"/>
      <c r="F40" s="9"/>
      <c r="G40" s="40"/>
      <c r="H40" s="9"/>
      <c r="I40" s="40"/>
      <c r="J40" s="43"/>
      <c r="K40" s="40"/>
      <c r="L40" s="40"/>
      <c r="M40" s="40"/>
      <c r="N40" s="40"/>
      <c r="O40" s="40"/>
      <c r="P40" s="40"/>
      <c r="Q40" s="9"/>
      <c r="R40" s="9"/>
      <c r="S40" s="40"/>
      <c r="T40" s="9"/>
      <c r="U40" s="9"/>
      <c r="V40" s="9"/>
      <c r="W40" s="41"/>
      <c r="X40" s="41"/>
      <c r="Y40" s="40"/>
      <c r="Z40" s="9"/>
      <c r="AA40" s="9"/>
      <c r="AB40" s="9"/>
      <c r="AC40" s="9"/>
      <c r="AD40" s="9"/>
      <c r="AE40" s="9"/>
      <c r="AF40" s="10" t="str">
        <f aca="false">IF(A40="","",SG_Criteria!$B$6&amp;SG_Criteria!$B$8&amp;"\"&amp;A40&amp;"\")</f>
        <v/>
      </c>
      <c r="AG40" s="10" t="str">
        <f aca="false">IF(A40="","",A40&amp;"_CAD.dwg")</f>
        <v/>
      </c>
      <c r="AH40" s="10" t="str">
        <f aca="false">IF(A40="","",A40&amp;"_DWG.pdf")</f>
        <v/>
      </c>
      <c r="AI40" s="10" t="str">
        <f aca="false">IF(A40="","",IF(AE40="Y",A40&amp;"_STAAD.std","n/a"))</f>
        <v/>
      </c>
      <c r="AJ40" s="10" t="str">
        <f aca="false">IF(A40="","",A40&amp;"_CALC.xlsx")</f>
        <v/>
      </c>
      <c r="AK40" s="10" t="str">
        <f aca="false">IF(A40="","",A40&amp;"_CALC.pdf")</f>
        <v/>
      </c>
      <c r="AL40" s="9"/>
      <c r="AM40" s="9"/>
      <c r="AN40" s="41"/>
      <c r="AO40" s="41"/>
      <c r="AP40" s="41"/>
      <c r="AQ40" s="41"/>
      <c r="AR40" s="41"/>
      <c r="AS40" s="38" t="str">
        <f aca="false">IF(OR(C40="",D40=""),"",IF(D40&lt;=IF(OR(C40="Block / Segmental",C40="Gabion",C40="Reinforced Earth (MSE)"),SG_Criteria!$B$34,SG_Criteria!$B$33),"No ERSS submission",IF(D40&lt;=SG_Criteria!$B$35,"QP(ST)",IF(D40&lt;=SG_Criteria!$B$36,"QP(ST) + AC","Geotechnical building works: QP(Geo) + AC"))))</f>
        <v/>
      </c>
      <c r="AT40" s="38" t="str">
        <f aca="false">IF(C40="","",IF(LEN(IF(AND(R40&lt;&gt;"",IFERROR(VALUE(MID(R40,2,2)),0)&lt;SG_Criteria!$B$19),"FAIL: grade below C"&amp;SG_Criteria!$B$19&amp;". ","")&amp;IF(AND(S40&lt;&gt;"",S40&lt;SG_Criteria!$B$20),"FAIL: cover &lt; "&amp;SG_Criteria!$B$20&amp;" mm. ","")&amp;IF(AND(W40&lt;&gt;"",W40&lt;1),"FAIL: sliding. ","")&amp;IF(AND(C40="Reverse L-Wall (toe only, at boundary)",N(O40)&gt;0),"NOTE: reverse L-wall should have no heel. ","")&amp;IF(AND(C40="L-Wall (heel only)",N(N40)&gt;0),"NOTE: L-wall should have no toe. ","")&amp;IF(AND(E40&lt;&gt;"",E40&lt;SG_Criteria!$B$31),"NOTE: q below LTA min "&amp;SG_Criteria!$B$31&amp;" kPa (not for LTA works). ",""))=0,"OK",IF(AND(R40&lt;&gt;"",IFERROR(VALUE(MID(R40,2,2)),0)&lt;SG_Criteria!$B$19),"FAIL: grade below C"&amp;SG_Criteria!$B$19&amp;". ","")&amp;IF(AND(S40&lt;&gt;"",S40&lt;SG_Criteria!$B$20),"FAIL: cover &lt; "&amp;SG_Criteria!$B$20&amp;" mm. ","")&amp;IF(AND(W40&lt;&gt;"",W40&lt;1),"FAIL: sliding. ","")&amp;IF(AND(C40="Reverse L-Wall (toe only, at boundary)",N(O40)&gt;0),"NOTE: reverse L-wall should have no heel. ","")&amp;IF(AND(C40="L-Wall (heel only)",N(N40)&gt;0),"NOTE: L-wall should have no toe. ","")&amp;IF(AND(E40&lt;&gt;"",E40&lt;SG_Criteria!$B$31),"NOTE: q below LTA min "&amp;SG_Criteria!$B$31&amp;" kPa (not for LTA works). ","")))</f>
        <v/>
      </c>
      <c r="AU40" s="9"/>
      <c r="AV40" s="9"/>
      <c r="AW40" s="9"/>
      <c r="AX40" s="9"/>
      <c r="AY40" s="9"/>
      <c r="AZ40" s="31"/>
      <c r="BA40" s="10" t="str">
        <f aca="false">IF(C40="","",IF(AND(AB40="Approved",ISERROR(SEARCH("FAIL",AT40))),"Y","N"))</f>
        <v/>
      </c>
      <c r="BB40" s="10" t="str">
        <f aca="false">IF(C40="","",C40&amp;"|"&amp;D40&amp;"|"&amp;E40&amp;"|"&amp;F40&amp;"|"&amp;BA40)</f>
        <v/>
      </c>
    </row>
    <row r="41" customFormat="false" ht="15" hidden="false" customHeight="false" outlineLevel="0" collapsed="false">
      <c r="A41" s="10" t="str">
        <f aca="false">IF(C41="","","RW-"&amp;IFERROR(VLOOKUP(C41,Lists!$M$4:$N$22,2,0),"??")&amp;"-H"&amp;TEXT(D41*1000,"0000")&amp;"-S"&amp;E41&amp;IF(F41="Y","-GW","")&amp;"-"&amp;AA41)</f>
        <v/>
      </c>
      <c r="B41" s="10" t="str">
        <f aca="false">IF(C41="","",C41&amp;", H = "&amp;TEXT(D41,"0.0")&amp;" m, q = "&amp;E41&amp;" kPa"&amp;IF(F41="Y",", with GWT","")&amp;", "&amp;H41)</f>
        <v/>
      </c>
      <c r="C41" s="9"/>
      <c r="D41" s="41"/>
      <c r="E41" s="40"/>
      <c r="F41" s="9"/>
      <c r="G41" s="40"/>
      <c r="H41" s="9"/>
      <c r="I41" s="40"/>
      <c r="J41" s="43"/>
      <c r="K41" s="40"/>
      <c r="L41" s="40"/>
      <c r="M41" s="40"/>
      <c r="N41" s="40"/>
      <c r="O41" s="40"/>
      <c r="P41" s="40"/>
      <c r="Q41" s="9"/>
      <c r="R41" s="9"/>
      <c r="S41" s="40"/>
      <c r="T41" s="9"/>
      <c r="U41" s="9"/>
      <c r="V41" s="9"/>
      <c r="W41" s="41"/>
      <c r="X41" s="41"/>
      <c r="Y41" s="40"/>
      <c r="Z41" s="9"/>
      <c r="AA41" s="9"/>
      <c r="AB41" s="9"/>
      <c r="AC41" s="9"/>
      <c r="AD41" s="9"/>
      <c r="AE41" s="9"/>
      <c r="AF41" s="10" t="str">
        <f aca="false">IF(A41="","",SG_Criteria!$B$6&amp;SG_Criteria!$B$8&amp;"\"&amp;A41&amp;"\")</f>
        <v/>
      </c>
      <c r="AG41" s="10" t="str">
        <f aca="false">IF(A41="","",A41&amp;"_CAD.dwg")</f>
        <v/>
      </c>
      <c r="AH41" s="10" t="str">
        <f aca="false">IF(A41="","",A41&amp;"_DWG.pdf")</f>
        <v/>
      </c>
      <c r="AI41" s="10" t="str">
        <f aca="false">IF(A41="","",IF(AE41="Y",A41&amp;"_STAAD.std","n/a"))</f>
        <v/>
      </c>
      <c r="AJ41" s="10" t="str">
        <f aca="false">IF(A41="","",A41&amp;"_CALC.xlsx")</f>
        <v/>
      </c>
      <c r="AK41" s="10" t="str">
        <f aca="false">IF(A41="","",A41&amp;"_CALC.pdf")</f>
        <v/>
      </c>
      <c r="AL41" s="9"/>
      <c r="AM41" s="9"/>
      <c r="AN41" s="41"/>
      <c r="AO41" s="41"/>
      <c r="AP41" s="41"/>
      <c r="AQ41" s="41"/>
      <c r="AR41" s="41"/>
      <c r="AS41" s="38" t="str">
        <f aca="false">IF(OR(C41="",D41=""),"",IF(D41&lt;=IF(OR(C41="Block / Segmental",C41="Gabion",C41="Reinforced Earth (MSE)"),SG_Criteria!$B$34,SG_Criteria!$B$33),"No ERSS submission",IF(D41&lt;=SG_Criteria!$B$35,"QP(ST)",IF(D41&lt;=SG_Criteria!$B$36,"QP(ST) + AC","Geotechnical building works: QP(Geo) + AC"))))</f>
        <v/>
      </c>
      <c r="AT41" s="38" t="str">
        <f aca="false">IF(C41="","",IF(LEN(IF(AND(R41&lt;&gt;"",IFERROR(VALUE(MID(R41,2,2)),0)&lt;SG_Criteria!$B$19),"FAIL: grade below C"&amp;SG_Criteria!$B$19&amp;". ","")&amp;IF(AND(S41&lt;&gt;"",S41&lt;SG_Criteria!$B$20),"FAIL: cover &lt; "&amp;SG_Criteria!$B$20&amp;" mm. ","")&amp;IF(AND(W41&lt;&gt;"",W41&lt;1),"FAIL: sliding. ","")&amp;IF(AND(C41="Reverse L-Wall (toe only, at boundary)",N(O41)&gt;0),"NOTE: reverse L-wall should have no heel. ","")&amp;IF(AND(C41="L-Wall (heel only)",N(N41)&gt;0),"NOTE: L-wall should have no toe. ","")&amp;IF(AND(E41&lt;&gt;"",E41&lt;SG_Criteria!$B$31),"NOTE: q below LTA min "&amp;SG_Criteria!$B$31&amp;" kPa (not for LTA works). ",""))=0,"OK",IF(AND(R41&lt;&gt;"",IFERROR(VALUE(MID(R41,2,2)),0)&lt;SG_Criteria!$B$19),"FAIL: grade below C"&amp;SG_Criteria!$B$19&amp;". ","")&amp;IF(AND(S41&lt;&gt;"",S41&lt;SG_Criteria!$B$20),"FAIL: cover &lt; "&amp;SG_Criteria!$B$20&amp;" mm. ","")&amp;IF(AND(W41&lt;&gt;"",W41&lt;1),"FAIL: sliding. ","")&amp;IF(AND(C41="Reverse L-Wall (toe only, at boundary)",N(O41)&gt;0),"NOTE: reverse L-wall should have no heel. ","")&amp;IF(AND(C41="L-Wall (heel only)",N(N41)&gt;0),"NOTE: L-wall should have no toe. ","")&amp;IF(AND(E41&lt;&gt;"",E41&lt;SG_Criteria!$B$31),"NOTE: q below LTA min "&amp;SG_Criteria!$B$31&amp;" kPa (not for LTA works). ","")))</f>
        <v/>
      </c>
      <c r="AU41" s="9"/>
      <c r="AV41" s="9"/>
      <c r="AW41" s="9"/>
      <c r="AX41" s="9"/>
      <c r="AY41" s="9"/>
      <c r="AZ41" s="31"/>
      <c r="BA41" s="10" t="str">
        <f aca="false">IF(C41="","",IF(AND(AB41="Approved",ISERROR(SEARCH("FAIL",AT41))),"Y","N"))</f>
        <v/>
      </c>
      <c r="BB41" s="10" t="str">
        <f aca="false">IF(C41="","",C41&amp;"|"&amp;D41&amp;"|"&amp;E41&amp;"|"&amp;F41&amp;"|"&amp;BA41)</f>
        <v/>
      </c>
    </row>
    <row r="42" customFormat="false" ht="15" hidden="false" customHeight="false" outlineLevel="0" collapsed="false">
      <c r="A42" s="10" t="str">
        <f aca="false">IF(C42="","","RW-"&amp;IFERROR(VLOOKUP(C42,Lists!$M$4:$N$22,2,0),"??")&amp;"-H"&amp;TEXT(D42*1000,"0000")&amp;"-S"&amp;E42&amp;IF(F42="Y","-GW","")&amp;"-"&amp;AA42)</f>
        <v/>
      </c>
      <c r="B42" s="10" t="str">
        <f aca="false">IF(C42="","",C42&amp;", H = "&amp;TEXT(D42,"0.0")&amp;" m, q = "&amp;E42&amp;" kPa"&amp;IF(F42="Y",", with GWT","")&amp;", "&amp;H42)</f>
        <v/>
      </c>
      <c r="C42" s="9"/>
      <c r="D42" s="41"/>
      <c r="E42" s="40"/>
      <c r="F42" s="9"/>
      <c r="G42" s="40"/>
      <c r="H42" s="9"/>
      <c r="I42" s="40"/>
      <c r="J42" s="43"/>
      <c r="K42" s="40"/>
      <c r="L42" s="40"/>
      <c r="M42" s="40"/>
      <c r="N42" s="40"/>
      <c r="O42" s="40"/>
      <c r="P42" s="40"/>
      <c r="Q42" s="9"/>
      <c r="R42" s="9"/>
      <c r="S42" s="40"/>
      <c r="T42" s="9"/>
      <c r="U42" s="9"/>
      <c r="V42" s="9"/>
      <c r="W42" s="41"/>
      <c r="X42" s="41"/>
      <c r="Y42" s="40"/>
      <c r="Z42" s="9"/>
      <c r="AA42" s="9"/>
      <c r="AB42" s="9"/>
      <c r="AC42" s="9"/>
      <c r="AD42" s="9"/>
      <c r="AE42" s="9"/>
      <c r="AF42" s="10" t="str">
        <f aca="false">IF(A42="","",SG_Criteria!$B$6&amp;SG_Criteria!$B$8&amp;"\"&amp;A42&amp;"\")</f>
        <v/>
      </c>
      <c r="AG42" s="10" t="str">
        <f aca="false">IF(A42="","",A42&amp;"_CAD.dwg")</f>
        <v/>
      </c>
      <c r="AH42" s="10" t="str">
        <f aca="false">IF(A42="","",A42&amp;"_DWG.pdf")</f>
        <v/>
      </c>
      <c r="AI42" s="10" t="str">
        <f aca="false">IF(A42="","",IF(AE42="Y",A42&amp;"_STAAD.std","n/a"))</f>
        <v/>
      </c>
      <c r="AJ42" s="10" t="str">
        <f aca="false">IF(A42="","",A42&amp;"_CALC.xlsx")</f>
        <v/>
      </c>
      <c r="AK42" s="10" t="str">
        <f aca="false">IF(A42="","",A42&amp;"_CALC.pdf")</f>
        <v/>
      </c>
      <c r="AL42" s="9"/>
      <c r="AM42" s="9"/>
      <c r="AN42" s="41"/>
      <c r="AO42" s="41"/>
      <c r="AP42" s="41"/>
      <c r="AQ42" s="41"/>
      <c r="AR42" s="41"/>
      <c r="AS42" s="38" t="str">
        <f aca="false">IF(OR(C42="",D42=""),"",IF(D42&lt;=IF(OR(C42="Block / Segmental",C42="Gabion",C42="Reinforced Earth (MSE)"),SG_Criteria!$B$34,SG_Criteria!$B$33),"No ERSS submission",IF(D42&lt;=SG_Criteria!$B$35,"QP(ST)",IF(D42&lt;=SG_Criteria!$B$36,"QP(ST) + AC","Geotechnical building works: QP(Geo) + AC"))))</f>
        <v/>
      </c>
      <c r="AT42" s="38" t="str">
        <f aca="false">IF(C42="","",IF(LEN(IF(AND(R42&lt;&gt;"",IFERROR(VALUE(MID(R42,2,2)),0)&lt;SG_Criteria!$B$19),"FAIL: grade below C"&amp;SG_Criteria!$B$19&amp;". ","")&amp;IF(AND(S42&lt;&gt;"",S42&lt;SG_Criteria!$B$20),"FAIL: cover &lt; "&amp;SG_Criteria!$B$20&amp;" mm. ","")&amp;IF(AND(W42&lt;&gt;"",W42&lt;1),"FAIL: sliding. ","")&amp;IF(AND(C42="Reverse L-Wall (toe only, at boundary)",N(O42)&gt;0),"NOTE: reverse L-wall should have no heel. ","")&amp;IF(AND(C42="L-Wall (heel only)",N(N42)&gt;0),"NOTE: L-wall should have no toe. ","")&amp;IF(AND(E42&lt;&gt;"",E42&lt;SG_Criteria!$B$31),"NOTE: q below LTA min "&amp;SG_Criteria!$B$31&amp;" kPa (not for LTA works). ",""))=0,"OK",IF(AND(R42&lt;&gt;"",IFERROR(VALUE(MID(R42,2,2)),0)&lt;SG_Criteria!$B$19),"FAIL: grade below C"&amp;SG_Criteria!$B$19&amp;". ","")&amp;IF(AND(S42&lt;&gt;"",S42&lt;SG_Criteria!$B$20),"FAIL: cover &lt; "&amp;SG_Criteria!$B$20&amp;" mm. ","")&amp;IF(AND(W42&lt;&gt;"",W42&lt;1),"FAIL: sliding. ","")&amp;IF(AND(C42="Reverse L-Wall (toe only, at boundary)",N(O42)&gt;0),"NOTE: reverse L-wall should have no heel. ","")&amp;IF(AND(C42="L-Wall (heel only)",N(N42)&gt;0),"NOTE: L-wall should have no toe. ","")&amp;IF(AND(E42&lt;&gt;"",E42&lt;SG_Criteria!$B$31),"NOTE: q below LTA min "&amp;SG_Criteria!$B$31&amp;" kPa (not for LTA works). ","")))</f>
        <v/>
      </c>
      <c r="AU42" s="9"/>
      <c r="AV42" s="9"/>
      <c r="AW42" s="9"/>
      <c r="AX42" s="9"/>
      <c r="AY42" s="9"/>
      <c r="AZ42" s="31"/>
      <c r="BA42" s="10" t="str">
        <f aca="false">IF(C42="","",IF(AND(AB42="Approved",ISERROR(SEARCH("FAIL",AT42))),"Y","N"))</f>
        <v/>
      </c>
      <c r="BB42" s="10" t="str">
        <f aca="false">IF(C42="","",C42&amp;"|"&amp;D42&amp;"|"&amp;E42&amp;"|"&amp;F42&amp;"|"&amp;BA42)</f>
        <v/>
      </c>
    </row>
    <row r="43" customFormat="false" ht="15" hidden="false" customHeight="false" outlineLevel="0" collapsed="false">
      <c r="A43" s="10" t="str">
        <f aca="false">IF(C43="","","RW-"&amp;IFERROR(VLOOKUP(C43,Lists!$M$4:$N$22,2,0),"??")&amp;"-H"&amp;TEXT(D43*1000,"0000")&amp;"-S"&amp;E43&amp;IF(F43="Y","-GW","")&amp;"-"&amp;AA43)</f>
        <v/>
      </c>
      <c r="B43" s="10" t="str">
        <f aca="false">IF(C43="","",C43&amp;", H = "&amp;TEXT(D43,"0.0")&amp;" m, q = "&amp;E43&amp;" kPa"&amp;IF(F43="Y",", with GWT","")&amp;", "&amp;H43)</f>
        <v/>
      </c>
      <c r="C43" s="9"/>
      <c r="D43" s="41"/>
      <c r="E43" s="40"/>
      <c r="F43" s="9"/>
      <c r="G43" s="40"/>
      <c r="H43" s="9"/>
      <c r="I43" s="40"/>
      <c r="J43" s="43"/>
      <c r="K43" s="40"/>
      <c r="L43" s="40"/>
      <c r="M43" s="40"/>
      <c r="N43" s="40"/>
      <c r="O43" s="40"/>
      <c r="P43" s="40"/>
      <c r="Q43" s="9"/>
      <c r="R43" s="9"/>
      <c r="S43" s="40"/>
      <c r="T43" s="9"/>
      <c r="U43" s="9"/>
      <c r="V43" s="9"/>
      <c r="W43" s="41"/>
      <c r="X43" s="41"/>
      <c r="Y43" s="40"/>
      <c r="Z43" s="9"/>
      <c r="AA43" s="9"/>
      <c r="AB43" s="9"/>
      <c r="AC43" s="9"/>
      <c r="AD43" s="9"/>
      <c r="AE43" s="9"/>
      <c r="AF43" s="10" t="str">
        <f aca="false">IF(A43="","",SG_Criteria!$B$6&amp;SG_Criteria!$B$8&amp;"\"&amp;A43&amp;"\")</f>
        <v/>
      </c>
      <c r="AG43" s="10" t="str">
        <f aca="false">IF(A43="","",A43&amp;"_CAD.dwg")</f>
        <v/>
      </c>
      <c r="AH43" s="10" t="str">
        <f aca="false">IF(A43="","",A43&amp;"_DWG.pdf")</f>
        <v/>
      </c>
      <c r="AI43" s="10" t="str">
        <f aca="false">IF(A43="","",IF(AE43="Y",A43&amp;"_STAAD.std","n/a"))</f>
        <v/>
      </c>
      <c r="AJ43" s="10" t="str">
        <f aca="false">IF(A43="","",A43&amp;"_CALC.xlsx")</f>
        <v/>
      </c>
      <c r="AK43" s="10" t="str">
        <f aca="false">IF(A43="","",A43&amp;"_CALC.pdf")</f>
        <v/>
      </c>
      <c r="AL43" s="9"/>
      <c r="AM43" s="9"/>
      <c r="AN43" s="41"/>
      <c r="AO43" s="41"/>
      <c r="AP43" s="41"/>
      <c r="AQ43" s="41"/>
      <c r="AR43" s="41"/>
      <c r="AS43" s="38" t="str">
        <f aca="false">IF(OR(C43="",D43=""),"",IF(D43&lt;=IF(OR(C43="Block / Segmental",C43="Gabion",C43="Reinforced Earth (MSE)"),SG_Criteria!$B$34,SG_Criteria!$B$33),"No ERSS submission",IF(D43&lt;=SG_Criteria!$B$35,"QP(ST)",IF(D43&lt;=SG_Criteria!$B$36,"QP(ST) + AC","Geotechnical building works: QP(Geo) + AC"))))</f>
        <v/>
      </c>
      <c r="AT43" s="38" t="str">
        <f aca="false">IF(C43="","",IF(LEN(IF(AND(R43&lt;&gt;"",IFERROR(VALUE(MID(R43,2,2)),0)&lt;SG_Criteria!$B$19),"FAIL: grade below C"&amp;SG_Criteria!$B$19&amp;". ","")&amp;IF(AND(S43&lt;&gt;"",S43&lt;SG_Criteria!$B$20),"FAIL: cover &lt; "&amp;SG_Criteria!$B$20&amp;" mm. ","")&amp;IF(AND(W43&lt;&gt;"",W43&lt;1),"FAIL: sliding. ","")&amp;IF(AND(C43="Reverse L-Wall (toe only, at boundary)",N(O43)&gt;0),"NOTE: reverse L-wall should have no heel. ","")&amp;IF(AND(C43="L-Wall (heel only)",N(N43)&gt;0),"NOTE: L-wall should have no toe. ","")&amp;IF(AND(E43&lt;&gt;"",E43&lt;SG_Criteria!$B$31),"NOTE: q below LTA min "&amp;SG_Criteria!$B$31&amp;" kPa (not for LTA works). ",""))=0,"OK",IF(AND(R43&lt;&gt;"",IFERROR(VALUE(MID(R43,2,2)),0)&lt;SG_Criteria!$B$19),"FAIL: grade below C"&amp;SG_Criteria!$B$19&amp;". ","")&amp;IF(AND(S43&lt;&gt;"",S43&lt;SG_Criteria!$B$20),"FAIL: cover &lt; "&amp;SG_Criteria!$B$20&amp;" mm. ","")&amp;IF(AND(W43&lt;&gt;"",W43&lt;1),"FAIL: sliding. ","")&amp;IF(AND(C43="Reverse L-Wall (toe only, at boundary)",N(O43)&gt;0),"NOTE: reverse L-wall should have no heel. ","")&amp;IF(AND(C43="L-Wall (heel only)",N(N43)&gt;0),"NOTE: L-wall should have no toe. ","")&amp;IF(AND(E43&lt;&gt;"",E43&lt;SG_Criteria!$B$31),"NOTE: q below LTA min "&amp;SG_Criteria!$B$31&amp;" kPa (not for LTA works). ","")))</f>
        <v/>
      </c>
      <c r="AU43" s="9"/>
      <c r="AV43" s="9"/>
      <c r="AW43" s="9"/>
      <c r="AX43" s="9"/>
      <c r="AY43" s="9"/>
      <c r="AZ43" s="31"/>
      <c r="BA43" s="10" t="str">
        <f aca="false">IF(C43="","",IF(AND(AB43="Approved",ISERROR(SEARCH("FAIL",AT43))),"Y","N"))</f>
        <v/>
      </c>
      <c r="BB43" s="10" t="str">
        <f aca="false">IF(C43="","",C43&amp;"|"&amp;D43&amp;"|"&amp;E43&amp;"|"&amp;F43&amp;"|"&amp;BA43)</f>
        <v/>
      </c>
    </row>
    <row r="44" customFormat="false" ht="15" hidden="false" customHeight="false" outlineLevel="0" collapsed="false">
      <c r="A44" s="10" t="str">
        <f aca="false">IF(C44="","","RW-"&amp;IFERROR(VLOOKUP(C44,Lists!$M$4:$N$22,2,0),"??")&amp;"-H"&amp;TEXT(D44*1000,"0000")&amp;"-S"&amp;E44&amp;IF(F44="Y","-GW","")&amp;"-"&amp;AA44)</f>
        <v/>
      </c>
      <c r="B44" s="10" t="str">
        <f aca="false">IF(C44="","",C44&amp;", H = "&amp;TEXT(D44,"0.0")&amp;" m, q = "&amp;E44&amp;" kPa"&amp;IF(F44="Y",", with GWT","")&amp;", "&amp;H44)</f>
        <v/>
      </c>
      <c r="C44" s="9"/>
      <c r="D44" s="41"/>
      <c r="E44" s="40"/>
      <c r="F44" s="9"/>
      <c r="G44" s="40"/>
      <c r="H44" s="9"/>
      <c r="I44" s="40"/>
      <c r="J44" s="43"/>
      <c r="K44" s="40"/>
      <c r="L44" s="40"/>
      <c r="M44" s="40"/>
      <c r="N44" s="40"/>
      <c r="O44" s="40"/>
      <c r="P44" s="40"/>
      <c r="Q44" s="9"/>
      <c r="R44" s="9"/>
      <c r="S44" s="40"/>
      <c r="T44" s="9"/>
      <c r="U44" s="9"/>
      <c r="V44" s="9"/>
      <c r="W44" s="41"/>
      <c r="X44" s="41"/>
      <c r="Y44" s="40"/>
      <c r="Z44" s="9"/>
      <c r="AA44" s="9"/>
      <c r="AB44" s="9"/>
      <c r="AC44" s="9"/>
      <c r="AD44" s="9"/>
      <c r="AE44" s="9"/>
      <c r="AF44" s="10" t="str">
        <f aca="false">IF(A44="","",SG_Criteria!$B$6&amp;SG_Criteria!$B$8&amp;"\"&amp;A44&amp;"\")</f>
        <v/>
      </c>
      <c r="AG44" s="10" t="str">
        <f aca="false">IF(A44="","",A44&amp;"_CAD.dwg")</f>
        <v/>
      </c>
      <c r="AH44" s="10" t="str">
        <f aca="false">IF(A44="","",A44&amp;"_DWG.pdf")</f>
        <v/>
      </c>
      <c r="AI44" s="10" t="str">
        <f aca="false">IF(A44="","",IF(AE44="Y",A44&amp;"_STAAD.std","n/a"))</f>
        <v/>
      </c>
      <c r="AJ44" s="10" t="str">
        <f aca="false">IF(A44="","",A44&amp;"_CALC.xlsx")</f>
        <v/>
      </c>
      <c r="AK44" s="10" t="str">
        <f aca="false">IF(A44="","",A44&amp;"_CALC.pdf")</f>
        <v/>
      </c>
      <c r="AL44" s="9"/>
      <c r="AM44" s="9"/>
      <c r="AN44" s="41"/>
      <c r="AO44" s="41"/>
      <c r="AP44" s="41"/>
      <c r="AQ44" s="41"/>
      <c r="AR44" s="41"/>
      <c r="AS44" s="38" t="str">
        <f aca="false">IF(OR(C44="",D44=""),"",IF(D44&lt;=IF(OR(C44="Block / Segmental",C44="Gabion",C44="Reinforced Earth (MSE)"),SG_Criteria!$B$34,SG_Criteria!$B$33),"No ERSS submission",IF(D44&lt;=SG_Criteria!$B$35,"QP(ST)",IF(D44&lt;=SG_Criteria!$B$36,"QP(ST) + AC","Geotechnical building works: QP(Geo) + AC"))))</f>
        <v/>
      </c>
      <c r="AT44" s="38" t="str">
        <f aca="false">IF(C44="","",IF(LEN(IF(AND(R44&lt;&gt;"",IFERROR(VALUE(MID(R44,2,2)),0)&lt;SG_Criteria!$B$19),"FAIL: grade below C"&amp;SG_Criteria!$B$19&amp;". ","")&amp;IF(AND(S44&lt;&gt;"",S44&lt;SG_Criteria!$B$20),"FAIL: cover &lt; "&amp;SG_Criteria!$B$20&amp;" mm. ","")&amp;IF(AND(W44&lt;&gt;"",W44&lt;1),"FAIL: sliding. ","")&amp;IF(AND(C44="Reverse L-Wall (toe only, at boundary)",N(O44)&gt;0),"NOTE: reverse L-wall should have no heel. ","")&amp;IF(AND(C44="L-Wall (heel only)",N(N44)&gt;0),"NOTE: L-wall should have no toe. ","")&amp;IF(AND(E44&lt;&gt;"",E44&lt;SG_Criteria!$B$31),"NOTE: q below LTA min "&amp;SG_Criteria!$B$31&amp;" kPa (not for LTA works). ",""))=0,"OK",IF(AND(R44&lt;&gt;"",IFERROR(VALUE(MID(R44,2,2)),0)&lt;SG_Criteria!$B$19),"FAIL: grade below C"&amp;SG_Criteria!$B$19&amp;". ","")&amp;IF(AND(S44&lt;&gt;"",S44&lt;SG_Criteria!$B$20),"FAIL: cover &lt; "&amp;SG_Criteria!$B$20&amp;" mm. ","")&amp;IF(AND(W44&lt;&gt;"",W44&lt;1),"FAIL: sliding. ","")&amp;IF(AND(C44="Reverse L-Wall (toe only, at boundary)",N(O44)&gt;0),"NOTE: reverse L-wall should have no heel. ","")&amp;IF(AND(C44="L-Wall (heel only)",N(N44)&gt;0),"NOTE: L-wall should have no toe. ","")&amp;IF(AND(E44&lt;&gt;"",E44&lt;SG_Criteria!$B$31),"NOTE: q below LTA min "&amp;SG_Criteria!$B$31&amp;" kPa (not for LTA works). ","")))</f>
        <v/>
      </c>
      <c r="AU44" s="9"/>
      <c r="AV44" s="9"/>
      <c r="AW44" s="9"/>
      <c r="AX44" s="9"/>
      <c r="AY44" s="9"/>
      <c r="AZ44" s="31"/>
      <c r="BA44" s="10" t="str">
        <f aca="false">IF(C44="","",IF(AND(AB44="Approved",ISERROR(SEARCH("FAIL",AT44))),"Y","N"))</f>
        <v/>
      </c>
      <c r="BB44" s="10" t="str">
        <f aca="false">IF(C44="","",C44&amp;"|"&amp;D44&amp;"|"&amp;E44&amp;"|"&amp;F44&amp;"|"&amp;BA44)</f>
        <v/>
      </c>
    </row>
    <row r="45" customFormat="false" ht="15" hidden="false" customHeight="false" outlineLevel="0" collapsed="false">
      <c r="A45" s="10" t="str">
        <f aca="false">IF(C45="","","RW-"&amp;IFERROR(VLOOKUP(C45,Lists!$M$4:$N$22,2,0),"??")&amp;"-H"&amp;TEXT(D45*1000,"0000")&amp;"-S"&amp;E45&amp;IF(F45="Y","-GW","")&amp;"-"&amp;AA45)</f>
        <v/>
      </c>
      <c r="B45" s="10" t="str">
        <f aca="false">IF(C45="","",C45&amp;", H = "&amp;TEXT(D45,"0.0")&amp;" m, q = "&amp;E45&amp;" kPa"&amp;IF(F45="Y",", with GWT","")&amp;", "&amp;H45)</f>
        <v/>
      </c>
      <c r="C45" s="9"/>
      <c r="D45" s="41"/>
      <c r="E45" s="40"/>
      <c r="F45" s="9"/>
      <c r="G45" s="40"/>
      <c r="H45" s="9"/>
      <c r="I45" s="40"/>
      <c r="J45" s="43"/>
      <c r="K45" s="40"/>
      <c r="L45" s="40"/>
      <c r="M45" s="40"/>
      <c r="N45" s="40"/>
      <c r="O45" s="40"/>
      <c r="P45" s="40"/>
      <c r="Q45" s="9"/>
      <c r="R45" s="9"/>
      <c r="S45" s="40"/>
      <c r="T45" s="9"/>
      <c r="U45" s="9"/>
      <c r="V45" s="9"/>
      <c r="W45" s="41"/>
      <c r="X45" s="41"/>
      <c r="Y45" s="40"/>
      <c r="Z45" s="9"/>
      <c r="AA45" s="9"/>
      <c r="AB45" s="9"/>
      <c r="AC45" s="9"/>
      <c r="AD45" s="9"/>
      <c r="AE45" s="9"/>
      <c r="AF45" s="10" t="str">
        <f aca="false">IF(A45="","",SG_Criteria!$B$6&amp;SG_Criteria!$B$8&amp;"\"&amp;A45&amp;"\")</f>
        <v/>
      </c>
      <c r="AG45" s="10" t="str">
        <f aca="false">IF(A45="","",A45&amp;"_CAD.dwg")</f>
        <v/>
      </c>
      <c r="AH45" s="10" t="str">
        <f aca="false">IF(A45="","",A45&amp;"_DWG.pdf")</f>
        <v/>
      </c>
      <c r="AI45" s="10" t="str">
        <f aca="false">IF(A45="","",IF(AE45="Y",A45&amp;"_STAAD.std","n/a"))</f>
        <v/>
      </c>
      <c r="AJ45" s="10" t="str">
        <f aca="false">IF(A45="","",A45&amp;"_CALC.xlsx")</f>
        <v/>
      </c>
      <c r="AK45" s="10" t="str">
        <f aca="false">IF(A45="","",A45&amp;"_CALC.pdf")</f>
        <v/>
      </c>
      <c r="AL45" s="9"/>
      <c r="AM45" s="9"/>
      <c r="AN45" s="41"/>
      <c r="AO45" s="41"/>
      <c r="AP45" s="41"/>
      <c r="AQ45" s="41"/>
      <c r="AR45" s="41"/>
      <c r="AS45" s="38" t="str">
        <f aca="false">IF(OR(C45="",D45=""),"",IF(D45&lt;=IF(OR(C45="Block / Segmental",C45="Gabion",C45="Reinforced Earth (MSE)"),SG_Criteria!$B$34,SG_Criteria!$B$33),"No ERSS submission",IF(D45&lt;=SG_Criteria!$B$35,"QP(ST)",IF(D45&lt;=SG_Criteria!$B$36,"QP(ST) + AC","Geotechnical building works: QP(Geo) + AC"))))</f>
        <v/>
      </c>
      <c r="AT45" s="38" t="str">
        <f aca="false">IF(C45="","",IF(LEN(IF(AND(R45&lt;&gt;"",IFERROR(VALUE(MID(R45,2,2)),0)&lt;SG_Criteria!$B$19),"FAIL: grade below C"&amp;SG_Criteria!$B$19&amp;". ","")&amp;IF(AND(S45&lt;&gt;"",S45&lt;SG_Criteria!$B$20),"FAIL: cover &lt; "&amp;SG_Criteria!$B$20&amp;" mm. ","")&amp;IF(AND(W45&lt;&gt;"",W45&lt;1),"FAIL: sliding. ","")&amp;IF(AND(C45="Reverse L-Wall (toe only, at boundary)",N(O45)&gt;0),"NOTE: reverse L-wall should have no heel. ","")&amp;IF(AND(C45="L-Wall (heel only)",N(N45)&gt;0),"NOTE: L-wall should have no toe. ","")&amp;IF(AND(E45&lt;&gt;"",E45&lt;SG_Criteria!$B$31),"NOTE: q below LTA min "&amp;SG_Criteria!$B$31&amp;" kPa (not for LTA works). ",""))=0,"OK",IF(AND(R45&lt;&gt;"",IFERROR(VALUE(MID(R45,2,2)),0)&lt;SG_Criteria!$B$19),"FAIL: grade below C"&amp;SG_Criteria!$B$19&amp;". ","")&amp;IF(AND(S45&lt;&gt;"",S45&lt;SG_Criteria!$B$20),"FAIL: cover &lt; "&amp;SG_Criteria!$B$20&amp;" mm. ","")&amp;IF(AND(W45&lt;&gt;"",W45&lt;1),"FAIL: sliding. ","")&amp;IF(AND(C45="Reverse L-Wall (toe only, at boundary)",N(O45)&gt;0),"NOTE: reverse L-wall should have no heel. ","")&amp;IF(AND(C45="L-Wall (heel only)",N(N45)&gt;0),"NOTE: L-wall should have no toe. ","")&amp;IF(AND(E45&lt;&gt;"",E45&lt;SG_Criteria!$B$31),"NOTE: q below LTA min "&amp;SG_Criteria!$B$31&amp;" kPa (not for LTA works). ","")))</f>
        <v/>
      </c>
      <c r="AU45" s="9"/>
      <c r="AV45" s="9"/>
      <c r="AW45" s="9"/>
      <c r="AX45" s="9"/>
      <c r="AY45" s="9"/>
      <c r="AZ45" s="31"/>
      <c r="BA45" s="10" t="str">
        <f aca="false">IF(C45="","",IF(AND(AB45="Approved",ISERROR(SEARCH("FAIL",AT45))),"Y","N"))</f>
        <v/>
      </c>
      <c r="BB45" s="10" t="str">
        <f aca="false">IF(C45="","",C45&amp;"|"&amp;D45&amp;"|"&amp;E45&amp;"|"&amp;F45&amp;"|"&amp;BA45)</f>
        <v/>
      </c>
    </row>
    <row r="46" customFormat="false" ht="15" hidden="false" customHeight="false" outlineLevel="0" collapsed="false">
      <c r="A46" s="10" t="str">
        <f aca="false">IF(C46="","","RW-"&amp;IFERROR(VLOOKUP(C46,Lists!$M$4:$N$22,2,0),"??")&amp;"-H"&amp;TEXT(D46*1000,"0000")&amp;"-S"&amp;E46&amp;IF(F46="Y","-GW","")&amp;"-"&amp;AA46)</f>
        <v/>
      </c>
      <c r="B46" s="10" t="str">
        <f aca="false">IF(C46="","",C46&amp;", H = "&amp;TEXT(D46,"0.0")&amp;" m, q = "&amp;E46&amp;" kPa"&amp;IF(F46="Y",", with GWT","")&amp;", "&amp;H46)</f>
        <v/>
      </c>
      <c r="C46" s="9"/>
      <c r="D46" s="41"/>
      <c r="E46" s="40"/>
      <c r="F46" s="9"/>
      <c r="G46" s="40"/>
      <c r="H46" s="9"/>
      <c r="I46" s="40"/>
      <c r="J46" s="43"/>
      <c r="K46" s="40"/>
      <c r="L46" s="40"/>
      <c r="M46" s="40"/>
      <c r="N46" s="40"/>
      <c r="O46" s="40"/>
      <c r="P46" s="40"/>
      <c r="Q46" s="9"/>
      <c r="R46" s="9"/>
      <c r="S46" s="40"/>
      <c r="T46" s="9"/>
      <c r="U46" s="9"/>
      <c r="V46" s="9"/>
      <c r="W46" s="41"/>
      <c r="X46" s="41"/>
      <c r="Y46" s="40"/>
      <c r="Z46" s="9"/>
      <c r="AA46" s="9"/>
      <c r="AB46" s="9"/>
      <c r="AC46" s="9"/>
      <c r="AD46" s="9"/>
      <c r="AE46" s="9"/>
      <c r="AF46" s="10" t="str">
        <f aca="false">IF(A46="","",SG_Criteria!$B$6&amp;SG_Criteria!$B$8&amp;"\"&amp;A46&amp;"\")</f>
        <v/>
      </c>
      <c r="AG46" s="10" t="str">
        <f aca="false">IF(A46="","",A46&amp;"_CAD.dwg")</f>
        <v/>
      </c>
      <c r="AH46" s="10" t="str">
        <f aca="false">IF(A46="","",A46&amp;"_DWG.pdf")</f>
        <v/>
      </c>
      <c r="AI46" s="10" t="str">
        <f aca="false">IF(A46="","",IF(AE46="Y",A46&amp;"_STAAD.std","n/a"))</f>
        <v/>
      </c>
      <c r="AJ46" s="10" t="str">
        <f aca="false">IF(A46="","",A46&amp;"_CALC.xlsx")</f>
        <v/>
      </c>
      <c r="AK46" s="10" t="str">
        <f aca="false">IF(A46="","",A46&amp;"_CALC.pdf")</f>
        <v/>
      </c>
      <c r="AL46" s="9"/>
      <c r="AM46" s="9"/>
      <c r="AN46" s="41"/>
      <c r="AO46" s="41"/>
      <c r="AP46" s="41"/>
      <c r="AQ46" s="41"/>
      <c r="AR46" s="41"/>
      <c r="AS46" s="38" t="str">
        <f aca="false">IF(OR(C46="",D46=""),"",IF(D46&lt;=IF(OR(C46="Block / Segmental",C46="Gabion",C46="Reinforced Earth (MSE)"),SG_Criteria!$B$34,SG_Criteria!$B$33),"No ERSS submission",IF(D46&lt;=SG_Criteria!$B$35,"QP(ST)",IF(D46&lt;=SG_Criteria!$B$36,"QP(ST) + AC","Geotechnical building works: QP(Geo) + AC"))))</f>
        <v/>
      </c>
      <c r="AT46" s="38" t="str">
        <f aca="false">IF(C46="","",IF(LEN(IF(AND(R46&lt;&gt;"",IFERROR(VALUE(MID(R46,2,2)),0)&lt;SG_Criteria!$B$19),"FAIL: grade below C"&amp;SG_Criteria!$B$19&amp;". ","")&amp;IF(AND(S46&lt;&gt;"",S46&lt;SG_Criteria!$B$20),"FAIL: cover &lt; "&amp;SG_Criteria!$B$20&amp;" mm. ","")&amp;IF(AND(W46&lt;&gt;"",W46&lt;1),"FAIL: sliding. ","")&amp;IF(AND(C46="Reverse L-Wall (toe only, at boundary)",N(O46)&gt;0),"NOTE: reverse L-wall should have no heel. ","")&amp;IF(AND(C46="L-Wall (heel only)",N(N46)&gt;0),"NOTE: L-wall should have no toe. ","")&amp;IF(AND(E46&lt;&gt;"",E46&lt;SG_Criteria!$B$31),"NOTE: q below LTA min "&amp;SG_Criteria!$B$31&amp;" kPa (not for LTA works). ",""))=0,"OK",IF(AND(R46&lt;&gt;"",IFERROR(VALUE(MID(R46,2,2)),0)&lt;SG_Criteria!$B$19),"FAIL: grade below C"&amp;SG_Criteria!$B$19&amp;". ","")&amp;IF(AND(S46&lt;&gt;"",S46&lt;SG_Criteria!$B$20),"FAIL: cover &lt; "&amp;SG_Criteria!$B$20&amp;" mm. ","")&amp;IF(AND(W46&lt;&gt;"",W46&lt;1),"FAIL: sliding. ","")&amp;IF(AND(C46="Reverse L-Wall (toe only, at boundary)",N(O46)&gt;0),"NOTE: reverse L-wall should have no heel. ","")&amp;IF(AND(C46="L-Wall (heel only)",N(N46)&gt;0),"NOTE: L-wall should have no toe. ","")&amp;IF(AND(E46&lt;&gt;"",E46&lt;SG_Criteria!$B$31),"NOTE: q below LTA min "&amp;SG_Criteria!$B$31&amp;" kPa (not for LTA works). ","")))</f>
        <v/>
      </c>
      <c r="AU46" s="9"/>
      <c r="AV46" s="9"/>
      <c r="AW46" s="9"/>
      <c r="AX46" s="9"/>
      <c r="AY46" s="9"/>
      <c r="AZ46" s="31"/>
      <c r="BA46" s="10" t="str">
        <f aca="false">IF(C46="","",IF(AND(AB46="Approved",ISERROR(SEARCH("FAIL",AT46))),"Y","N"))</f>
        <v/>
      </c>
      <c r="BB46" s="10" t="str">
        <f aca="false">IF(C46="","",C46&amp;"|"&amp;D46&amp;"|"&amp;E46&amp;"|"&amp;F46&amp;"|"&amp;BA46)</f>
        <v/>
      </c>
    </row>
    <row r="47" customFormat="false" ht="15" hidden="false" customHeight="false" outlineLevel="0" collapsed="false">
      <c r="A47" s="10" t="str">
        <f aca="false">IF(C47="","","RW-"&amp;IFERROR(VLOOKUP(C47,Lists!$M$4:$N$22,2,0),"??")&amp;"-H"&amp;TEXT(D47*1000,"0000")&amp;"-S"&amp;E47&amp;IF(F47="Y","-GW","")&amp;"-"&amp;AA47)</f>
        <v/>
      </c>
      <c r="B47" s="10" t="str">
        <f aca="false">IF(C47="","",C47&amp;", H = "&amp;TEXT(D47,"0.0")&amp;" m, q = "&amp;E47&amp;" kPa"&amp;IF(F47="Y",", with GWT","")&amp;", "&amp;H47)</f>
        <v/>
      </c>
      <c r="C47" s="9"/>
      <c r="D47" s="41"/>
      <c r="E47" s="40"/>
      <c r="F47" s="9"/>
      <c r="G47" s="40"/>
      <c r="H47" s="9"/>
      <c r="I47" s="40"/>
      <c r="J47" s="43"/>
      <c r="K47" s="40"/>
      <c r="L47" s="40"/>
      <c r="M47" s="40"/>
      <c r="N47" s="40"/>
      <c r="O47" s="40"/>
      <c r="P47" s="40"/>
      <c r="Q47" s="9"/>
      <c r="R47" s="9"/>
      <c r="S47" s="40"/>
      <c r="T47" s="9"/>
      <c r="U47" s="9"/>
      <c r="V47" s="9"/>
      <c r="W47" s="41"/>
      <c r="X47" s="41"/>
      <c r="Y47" s="40"/>
      <c r="Z47" s="9"/>
      <c r="AA47" s="9"/>
      <c r="AB47" s="9"/>
      <c r="AC47" s="9"/>
      <c r="AD47" s="9"/>
      <c r="AE47" s="9"/>
      <c r="AF47" s="10" t="str">
        <f aca="false">IF(A47="","",SG_Criteria!$B$6&amp;SG_Criteria!$B$8&amp;"\"&amp;A47&amp;"\")</f>
        <v/>
      </c>
      <c r="AG47" s="10" t="str">
        <f aca="false">IF(A47="","",A47&amp;"_CAD.dwg")</f>
        <v/>
      </c>
      <c r="AH47" s="10" t="str">
        <f aca="false">IF(A47="","",A47&amp;"_DWG.pdf")</f>
        <v/>
      </c>
      <c r="AI47" s="10" t="str">
        <f aca="false">IF(A47="","",IF(AE47="Y",A47&amp;"_STAAD.std","n/a"))</f>
        <v/>
      </c>
      <c r="AJ47" s="10" t="str">
        <f aca="false">IF(A47="","",A47&amp;"_CALC.xlsx")</f>
        <v/>
      </c>
      <c r="AK47" s="10" t="str">
        <f aca="false">IF(A47="","",A47&amp;"_CALC.pdf")</f>
        <v/>
      </c>
      <c r="AL47" s="9"/>
      <c r="AM47" s="9"/>
      <c r="AN47" s="41"/>
      <c r="AO47" s="41"/>
      <c r="AP47" s="41"/>
      <c r="AQ47" s="41"/>
      <c r="AR47" s="41"/>
      <c r="AS47" s="38" t="str">
        <f aca="false">IF(OR(C47="",D47=""),"",IF(D47&lt;=IF(OR(C47="Block / Segmental",C47="Gabion",C47="Reinforced Earth (MSE)"),SG_Criteria!$B$34,SG_Criteria!$B$33),"No ERSS submission",IF(D47&lt;=SG_Criteria!$B$35,"QP(ST)",IF(D47&lt;=SG_Criteria!$B$36,"QP(ST) + AC","Geotechnical building works: QP(Geo) + AC"))))</f>
        <v/>
      </c>
      <c r="AT47" s="38" t="str">
        <f aca="false">IF(C47="","",IF(LEN(IF(AND(R47&lt;&gt;"",IFERROR(VALUE(MID(R47,2,2)),0)&lt;SG_Criteria!$B$19),"FAIL: grade below C"&amp;SG_Criteria!$B$19&amp;". ","")&amp;IF(AND(S47&lt;&gt;"",S47&lt;SG_Criteria!$B$20),"FAIL: cover &lt; "&amp;SG_Criteria!$B$20&amp;" mm. ","")&amp;IF(AND(W47&lt;&gt;"",W47&lt;1),"FAIL: sliding. ","")&amp;IF(AND(C47="Reverse L-Wall (toe only, at boundary)",N(O47)&gt;0),"NOTE: reverse L-wall should have no heel. ","")&amp;IF(AND(C47="L-Wall (heel only)",N(N47)&gt;0),"NOTE: L-wall should have no toe. ","")&amp;IF(AND(E47&lt;&gt;"",E47&lt;SG_Criteria!$B$31),"NOTE: q below LTA min "&amp;SG_Criteria!$B$31&amp;" kPa (not for LTA works). ",""))=0,"OK",IF(AND(R47&lt;&gt;"",IFERROR(VALUE(MID(R47,2,2)),0)&lt;SG_Criteria!$B$19),"FAIL: grade below C"&amp;SG_Criteria!$B$19&amp;". ","")&amp;IF(AND(S47&lt;&gt;"",S47&lt;SG_Criteria!$B$20),"FAIL: cover &lt; "&amp;SG_Criteria!$B$20&amp;" mm. ","")&amp;IF(AND(W47&lt;&gt;"",W47&lt;1),"FAIL: sliding. ","")&amp;IF(AND(C47="Reverse L-Wall (toe only, at boundary)",N(O47)&gt;0),"NOTE: reverse L-wall should have no heel. ","")&amp;IF(AND(C47="L-Wall (heel only)",N(N47)&gt;0),"NOTE: L-wall should have no toe. ","")&amp;IF(AND(E47&lt;&gt;"",E47&lt;SG_Criteria!$B$31),"NOTE: q below LTA min "&amp;SG_Criteria!$B$31&amp;" kPa (not for LTA works). ","")))</f>
        <v/>
      </c>
      <c r="AU47" s="9"/>
      <c r="AV47" s="9"/>
      <c r="AW47" s="9"/>
      <c r="AX47" s="9"/>
      <c r="AY47" s="9"/>
      <c r="AZ47" s="31"/>
      <c r="BA47" s="10" t="str">
        <f aca="false">IF(C47="","",IF(AND(AB47="Approved",ISERROR(SEARCH("FAIL",AT47))),"Y","N"))</f>
        <v/>
      </c>
      <c r="BB47" s="10" t="str">
        <f aca="false">IF(C47="","",C47&amp;"|"&amp;D47&amp;"|"&amp;E47&amp;"|"&amp;F47&amp;"|"&amp;BA47)</f>
        <v/>
      </c>
    </row>
    <row r="48" customFormat="false" ht="15" hidden="false" customHeight="false" outlineLevel="0" collapsed="false">
      <c r="A48" s="10" t="str">
        <f aca="false">IF(C48="","","RW-"&amp;IFERROR(VLOOKUP(C48,Lists!$M$4:$N$22,2,0),"??")&amp;"-H"&amp;TEXT(D48*1000,"0000")&amp;"-S"&amp;E48&amp;IF(F48="Y","-GW","")&amp;"-"&amp;AA48)</f>
        <v/>
      </c>
      <c r="B48" s="10" t="str">
        <f aca="false">IF(C48="","",C48&amp;", H = "&amp;TEXT(D48,"0.0")&amp;" m, q = "&amp;E48&amp;" kPa"&amp;IF(F48="Y",", with GWT","")&amp;", "&amp;H48)</f>
        <v/>
      </c>
      <c r="C48" s="9"/>
      <c r="D48" s="41"/>
      <c r="E48" s="40"/>
      <c r="F48" s="9"/>
      <c r="G48" s="40"/>
      <c r="H48" s="9"/>
      <c r="I48" s="40"/>
      <c r="J48" s="43"/>
      <c r="K48" s="40"/>
      <c r="L48" s="40"/>
      <c r="M48" s="40"/>
      <c r="N48" s="40"/>
      <c r="O48" s="40"/>
      <c r="P48" s="40"/>
      <c r="Q48" s="9"/>
      <c r="R48" s="9"/>
      <c r="S48" s="40"/>
      <c r="T48" s="9"/>
      <c r="U48" s="9"/>
      <c r="V48" s="9"/>
      <c r="W48" s="41"/>
      <c r="X48" s="41"/>
      <c r="Y48" s="40"/>
      <c r="Z48" s="9"/>
      <c r="AA48" s="9"/>
      <c r="AB48" s="9"/>
      <c r="AC48" s="9"/>
      <c r="AD48" s="9"/>
      <c r="AE48" s="9"/>
      <c r="AF48" s="10" t="str">
        <f aca="false">IF(A48="","",SG_Criteria!$B$6&amp;SG_Criteria!$B$8&amp;"\"&amp;A48&amp;"\")</f>
        <v/>
      </c>
      <c r="AG48" s="10" t="str">
        <f aca="false">IF(A48="","",A48&amp;"_CAD.dwg")</f>
        <v/>
      </c>
      <c r="AH48" s="10" t="str">
        <f aca="false">IF(A48="","",A48&amp;"_DWG.pdf")</f>
        <v/>
      </c>
      <c r="AI48" s="10" t="str">
        <f aca="false">IF(A48="","",IF(AE48="Y",A48&amp;"_STAAD.std","n/a"))</f>
        <v/>
      </c>
      <c r="AJ48" s="10" t="str">
        <f aca="false">IF(A48="","",A48&amp;"_CALC.xlsx")</f>
        <v/>
      </c>
      <c r="AK48" s="10" t="str">
        <f aca="false">IF(A48="","",A48&amp;"_CALC.pdf")</f>
        <v/>
      </c>
      <c r="AL48" s="9"/>
      <c r="AM48" s="9"/>
      <c r="AN48" s="41"/>
      <c r="AO48" s="41"/>
      <c r="AP48" s="41"/>
      <c r="AQ48" s="41"/>
      <c r="AR48" s="41"/>
      <c r="AS48" s="38" t="str">
        <f aca="false">IF(OR(C48="",D48=""),"",IF(D48&lt;=IF(OR(C48="Block / Segmental",C48="Gabion",C48="Reinforced Earth (MSE)"),SG_Criteria!$B$34,SG_Criteria!$B$33),"No ERSS submission",IF(D48&lt;=SG_Criteria!$B$35,"QP(ST)",IF(D48&lt;=SG_Criteria!$B$36,"QP(ST) + AC","Geotechnical building works: QP(Geo) + AC"))))</f>
        <v/>
      </c>
      <c r="AT48" s="38" t="str">
        <f aca="false">IF(C48="","",IF(LEN(IF(AND(R48&lt;&gt;"",IFERROR(VALUE(MID(R48,2,2)),0)&lt;SG_Criteria!$B$19),"FAIL: grade below C"&amp;SG_Criteria!$B$19&amp;". ","")&amp;IF(AND(S48&lt;&gt;"",S48&lt;SG_Criteria!$B$20),"FAIL: cover &lt; "&amp;SG_Criteria!$B$20&amp;" mm. ","")&amp;IF(AND(W48&lt;&gt;"",W48&lt;1),"FAIL: sliding. ","")&amp;IF(AND(C48="Reverse L-Wall (toe only, at boundary)",N(O48)&gt;0),"NOTE: reverse L-wall should have no heel. ","")&amp;IF(AND(C48="L-Wall (heel only)",N(N48)&gt;0),"NOTE: L-wall should have no toe. ","")&amp;IF(AND(E48&lt;&gt;"",E48&lt;SG_Criteria!$B$31),"NOTE: q below LTA min "&amp;SG_Criteria!$B$31&amp;" kPa (not for LTA works). ",""))=0,"OK",IF(AND(R48&lt;&gt;"",IFERROR(VALUE(MID(R48,2,2)),0)&lt;SG_Criteria!$B$19),"FAIL: grade below C"&amp;SG_Criteria!$B$19&amp;". ","")&amp;IF(AND(S48&lt;&gt;"",S48&lt;SG_Criteria!$B$20),"FAIL: cover &lt; "&amp;SG_Criteria!$B$20&amp;" mm. ","")&amp;IF(AND(W48&lt;&gt;"",W48&lt;1),"FAIL: sliding. ","")&amp;IF(AND(C48="Reverse L-Wall (toe only, at boundary)",N(O48)&gt;0),"NOTE: reverse L-wall should have no heel. ","")&amp;IF(AND(C48="L-Wall (heel only)",N(N48)&gt;0),"NOTE: L-wall should have no toe. ","")&amp;IF(AND(E48&lt;&gt;"",E48&lt;SG_Criteria!$B$31),"NOTE: q below LTA min "&amp;SG_Criteria!$B$31&amp;" kPa (not for LTA works). ","")))</f>
        <v/>
      </c>
      <c r="AU48" s="9"/>
      <c r="AV48" s="9"/>
      <c r="AW48" s="9"/>
      <c r="AX48" s="9"/>
      <c r="AY48" s="9"/>
      <c r="AZ48" s="31"/>
      <c r="BA48" s="10" t="str">
        <f aca="false">IF(C48="","",IF(AND(AB48="Approved",ISERROR(SEARCH("FAIL",AT48))),"Y","N"))</f>
        <v/>
      </c>
      <c r="BB48" s="10" t="str">
        <f aca="false">IF(C48="","",C48&amp;"|"&amp;D48&amp;"|"&amp;E48&amp;"|"&amp;F48&amp;"|"&amp;BA48)</f>
        <v/>
      </c>
    </row>
    <row r="49" customFormat="false" ht="15" hidden="false" customHeight="false" outlineLevel="0" collapsed="false">
      <c r="A49" s="10" t="str">
        <f aca="false">IF(C49="","","RW-"&amp;IFERROR(VLOOKUP(C49,Lists!$M$4:$N$22,2,0),"??")&amp;"-H"&amp;TEXT(D49*1000,"0000")&amp;"-S"&amp;E49&amp;IF(F49="Y","-GW","")&amp;"-"&amp;AA49)</f>
        <v/>
      </c>
      <c r="B49" s="10" t="str">
        <f aca="false">IF(C49="","",C49&amp;", H = "&amp;TEXT(D49,"0.0")&amp;" m, q = "&amp;E49&amp;" kPa"&amp;IF(F49="Y",", with GWT","")&amp;", "&amp;H49)</f>
        <v/>
      </c>
      <c r="C49" s="9"/>
      <c r="D49" s="41"/>
      <c r="E49" s="40"/>
      <c r="F49" s="9"/>
      <c r="G49" s="40"/>
      <c r="H49" s="9"/>
      <c r="I49" s="40"/>
      <c r="J49" s="43"/>
      <c r="K49" s="40"/>
      <c r="L49" s="40"/>
      <c r="M49" s="40"/>
      <c r="N49" s="40"/>
      <c r="O49" s="40"/>
      <c r="P49" s="40"/>
      <c r="Q49" s="9"/>
      <c r="R49" s="9"/>
      <c r="S49" s="40"/>
      <c r="T49" s="9"/>
      <c r="U49" s="9"/>
      <c r="V49" s="9"/>
      <c r="W49" s="41"/>
      <c r="X49" s="41"/>
      <c r="Y49" s="40"/>
      <c r="Z49" s="9"/>
      <c r="AA49" s="9"/>
      <c r="AB49" s="9"/>
      <c r="AC49" s="9"/>
      <c r="AD49" s="9"/>
      <c r="AE49" s="9"/>
      <c r="AF49" s="10" t="str">
        <f aca="false">IF(A49="","",SG_Criteria!$B$6&amp;SG_Criteria!$B$8&amp;"\"&amp;A49&amp;"\")</f>
        <v/>
      </c>
      <c r="AG49" s="10" t="str">
        <f aca="false">IF(A49="","",A49&amp;"_CAD.dwg")</f>
        <v/>
      </c>
      <c r="AH49" s="10" t="str">
        <f aca="false">IF(A49="","",A49&amp;"_DWG.pdf")</f>
        <v/>
      </c>
      <c r="AI49" s="10" t="str">
        <f aca="false">IF(A49="","",IF(AE49="Y",A49&amp;"_STAAD.std","n/a"))</f>
        <v/>
      </c>
      <c r="AJ49" s="10" t="str">
        <f aca="false">IF(A49="","",A49&amp;"_CALC.xlsx")</f>
        <v/>
      </c>
      <c r="AK49" s="10" t="str">
        <f aca="false">IF(A49="","",A49&amp;"_CALC.pdf")</f>
        <v/>
      </c>
      <c r="AL49" s="9"/>
      <c r="AM49" s="9"/>
      <c r="AN49" s="41"/>
      <c r="AO49" s="41"/>
      <c r="AP49" s="41"/>
      <c r="AQ49" s="41"/>
      <c r="AR49" s="41"/>
      <c r="AS49" s="38" t="str">
        <f aca="false">IF(OR(C49="",D49=""),"",IF(D49&lt;=IF(OR(C49="Block / Segmental",C49="Gabion",C49="Reinforced Earth (MSE)"),SG_Criteria!$B$34,SG_Criteria!$B$33),"No ERSS submission",IF(D49&lt;=SG_Criteria!$B$35,"QP(ST)",IF(D49&lt;=SG_Criteria!$B$36,"QP(ST) + AC","Geotechnical building works: QP(Geo) + AC"))))</f>
        <v/>
      </c>
      <c r="AT49" s="38" t="str">
        <f aca="false">IF(C49="","",IF(LEN(IF(AND(R49&lt;&gt;"",IFERROR(VALUE(MID(R49,2,2)),0)&lt;SG_Criteria!$B$19),"FAIL: grade below C"&amp;SG_Criteria!$B$19&amp;". ","")&amp;IF(AND(S49&lt;&gt;"",S49&lt;SG_Criteria!$B$20),"FAIL: cover &lt; "&amp;SG_Criteria!$B$20&amp;" mm. ","")&amp;IF(AND(W49&lt;&gt;"",W49&lt;1),"FAIL: sliding. ","")&amp;IF(AND(C49="Reverse L-Wall (toe only, at boundary)",N(O49)&gt;0),"NOTE: reverse L-wall should have no heel. ","")&amp;IF(AND(C49="L-Wall (heel only)",N(N49)&gt;0),"NOTE: L-wall should have no toe. ","")&amp;IF(AND(E49&lt;&gt;"",E49&lt;SG_Criteria!$B$31),"NOTE: q below LTA min "&amp;SG_Criteria!$B$31&amp;" kPa (not for LTA works). ",""))=0,"OK",IF(AND(R49&lt;&gt;"",IFERROR(VALUE(MID(R49,2,2)),0)&lt;SG_Criteria!$B$19),"FAIL: grade below C"&amp;SG_Criteria!$B$19&amp;". ","")&amp;IF(AND(S49&lt;&gt;"",S49&lt;SG_Criteria!$B$20),"FAIL: cover &lt; "&amp;SG_Criteria!$B$20&amp;" mm. ","")&amp;IF(AND(W49&lt;&gt;"",W49&lt;1),"FAIL: sliding. ","")&amp;IF(AND(C49="Reverse L-Wall (toe only, at boundary)",N(O49)&gt;0),"NOTE: reverse L-wall should have no heel. ","")&amp;IF(AND(C49="L-Wall (heel only)",N(N49)&gt;0),"NOTE: L-wall should have no toe. ","")&amp;IF(AND(E49&lt;&gt;"",E49&lt;SG_Criteria!$B$31),"NOTE: q below LTA min "&amp;SG_Criteria!$B$31&amp;" kPa (not for LTA works). ","")))</f>
        <v/>
      </c>
      <c r="AU49" s="9"/>
      <c r="AV49" s="9"/>
      <c r="AW49" s="9"/>
      <c r="AX49" s="9"/>
      <c r="AY49" s="9"/>
      <c r="AZ49" s="31"/>
      <c r="BA49" s="10" t="str">
        <f aca="false">IF(C49="","",IF(AND(AB49="Approved",ISERROR(SEARCH("FAIL",AT49))),"Y","N"))</f>
        <v/>
      </c>
      <c r="BB49" s="10" t="str">
        <f aca="false">IF(C49="","",C49&amp;"|"&amp;D49&amp;"|"&amp;E49&amp;"|"&amp;F49&amp;"|"&amp;BA49)</f>
        <v/>
      </c>
    </row>
    <row r="50" customFormat="false" ht="15" hidden="false" customHeight="false" outlineLevel="0" collapsed="false">
      <c r="A50" s="10" t="str">
        <f aca="false">IF(C50="","","RW-"&amp;IFERROR(VLOOKUP(C50,Lists!$M$4:$N$22,2,0),"??")&amp;"-H"&amp;TEXT(D50*1000,"0000")&amp;"-S"&amp;E50&amp;IF(F50="Y","-GW","")&amp;"-"&amp;AA50)</f>
        <v/>
      </c>
      <c r="B50" s="10" t="str">
        <f aca="false">IF(C50="","",C50&amp;", H = "&amp;TEXT(D50,"0.0")&amp;" m, q = "&amp;E50&amp;" kPa"&amp;IF(F50="Y",", with GWT","")&amp;", "&amp;H50)</f>
        <v/>
      </c>
      <c r="C50" s="9"/>
      <c r="D50" s="41"/>
      <c r="E50" s="40"/>
      <c r="F50" s="9"/>
      <c r="G50" s="40"/>
      <c r="H50" s="9"/>
      <c r="I50" s="40"/>
      <c r="J50" s="43"/>
      <c r="K50" s="40"/>
      <c r="L50" s="40"/>
      <c r="M50" s="40"/>
      <c r="N50" s="40"/>
      <c r="O50" s="40"/>
      <c r="P50" s="40"/>
      <c r="Q50" s="9"/>
      <c r="R50" s="9"/>
      <c r="S50" s="40"/>
      <c r="T50" s="9"/>
      <c r="U50" s="9"/>
      <c r="V50" s="9"/>
      <c r="W50" s="41"/>
      <c r="X50" s="41"/>
      <c r="Y50" s="40"/>
      <c r="Z50" s="9"/>
      <c r="AA50" s="9"/>
      <c r="AB50" s="9"/>
      <c r="AC50" s="9"/>
      <c r="AD50" s="9"/>
      <c r="AE50" s="9"/>
      <c r="AF50" s="10" t="str">
        <f aca="false">IF(A50="","",SG_Criteria!$B$6&amp;SG_Criteria!$B$8&amp;"\"&amp;A50&amp;"\")</f>
        <v/>
      </c>
      <c r="AG50" s="10" t="str">
        <f aca="false">IF(A50="","",A50&amp;"_CAD.dwg")</f>
        <v/>
      </c>
      <c r="AH50" s="10" t="str">
        <f aca="false">IF(A50="","",A50&amp;"_DWG.pdf")</f>
        <v/>
      </c>
      <c r="AI50" s="10" t="str">
        <f aca="false">IF(A50="","",IF(AE50="Y",A50&amp;"_STAAD.std","n/a"))</f>
        <v/>
      </c>
      <c r="AJ50" s="10" t="str">
        <f aca="false">IF(A50="","",A50&amp;"_CALC.xlsx")</f>
        <v/>
      </c>
      <c r="AK50" s="10" t="str">
        <f aca="false">IF(A50="","",A50&amp;"_CALC.pdf")</f>
        <v/>
      </c>
      <c r="AL50" s="9"/>
      <c r="AM50" s="9"/>
      <c r="AN50" s="41"/>
      <c r="AO50" s="41"/>
      <c r="AP50" s="41"/>
      <c r="AQ50" s="41"/>
      <c r="AR50" s="41"/>
      <c r="AS50" s="38" t="str">
        <f aca="false">IF(OR(C50="",D50=""),"",IF(D50&lt;=IF(OR(C50="Block / Segmental",C50="Gabion",C50="Reinforced Earth (MSE)"),SG_Criteria!$B$34,SG_Criteria!$B$33),"No ERSS submission",IF(D50&lt;=SG_Criteria!$B$35,"QP(ST)",IF(D50&lt;=SG_Criteria!$B$36,"QP(ST) + AC","Geotechnical building works: QP(Geo) + AC"))))</f>
        <v/>
      </c>
      <c r="AT50" s="38" t="str">
        <f aca="false">IF(C50="","",IF(LEN(IF(AND(R50&lt;&gt;"",IFERROR(VALUE(MID(R50,2,2)),0)&lt;SG_Criteria!$B$19),"FAIL: grade below C"&amp;SG_Criteria!$B$19&amp;". ","")&amp;IF(AND(S50&lt;&gt;"",S50&lt;SG_Criteria!$B$20),"FAIL: cover &lt; "&amp;SG_Criteria!$B$20&amp;" mm. ","")&amp;IF(AND(W50&lt;&gt;"",W50&lt;1),"FAIL: sliding. ","")&amp;IF(AND(C50="Reverse L-Wall (toe only, at boundary)",N(O50)&gt;0),"NOTE: reverse L-wall should have no heel. ","")&amp;IF(AND(C50="L-Wall (heel only)",N(N50)&gt;0),"NOTE: L-wall should have no toe. ","")&amp;IF(AND(E50&lt;&gt;"",E50&lt;SG_Criteria!$B$31),"NOTE: q below LTA min "&amp;SG_Criteria!$B$31&amp;" kPa (not for LTA works). ",""))=0,"OK",IF(AND(R50&lt;&gt;"",IFERROR(VALUE(MID(R50,2,2)),0)&lt;SG_Criteria!$B$19),"FAIL: grade below C"&amp;SG_Criteria!$B$19&amp;". ","")&amp;IF(AND(S50&lt;&gt;"",S50&lt;SG_Criteria!$B$20),"FAIL: cover &lt; "&amp;SG_Criteria!$B$20&amp;" mm. ","")&amp;IF(AND(W50&lt;&gt;"",W50&lt;1),"FAIL: sliding. ","")&amp;IF(AND(C50="Reverse L-Wall (toe only, at boundary)",N(O50)&gt;0),"NOTE: reverse L-wall should have no heel. ","")&amp;IF(AND(C50="L-Wall (heel only)",N(N50)&gt;0),"NOTE: L-wall should have no toe. ","")&amp;IF(AND(E50&lt;&gt;"",E50&lt;SG_Criteria!$B$31),"NOTE: q below LTA min "&amp;SG_Criteria!$B$31&amp;" kPa (not for LTA works). ","")))</f>
        <v/>
      </c>
      <c r="AU50" s="9"/>
      <c r="AV50" s="9"/>
      <c r="AW50" s="9"/>
      <c r="AX50" s="9"/>
      <c r="AY50" s="9"/>
      <c r="AZ50" s="31"/>
      <c r="BA50" s="10" t="str">
        <f aca="false">IF(C50="","",IF(AND(AB50="Approved",ISERROR(SEARCH("FAIL",AT50))),"Y","N"))</f>
        <v/>
      </c>
      <c r="BB50" s="10" t="str">
        <f aca="false">IF(C50="","",C50&amp;"|"&amp;D50&amp;"|"&amp;E50&amp;"|"&amp;F50&amp;"|"&amp;BA50)</f>
        <v/>
      </c>
    </row>
    <row r="51" customFormat="false" ht="15" hidden="false" customHeight="false" outlineLevel="0" collapsed="false">
      <c r="A51" s="10" t="str">
        <f aca="false">IF(C51="","","RW-"&amp;IFERROR(VLOOKUP(C51,Lists!$M$4:$N$22,2,0),"??")&amp;"-H"&amp;TEXT(D51*1000,"0000")&amp;"-S"&amp;E51&amp;IF(F51="Y","-GW","")&amp;"-"&amp;AA51)</f>
        <v/>
      </c>
      <c r="B51" s="10" t="str">
        <f aca="false">IF(C51="","",C51&amp;", H = "&amp;TEXT(D51,"0.0")&amp;" m, q = "&amp;E51&amp;" kPa"&amp;IF(F51="Y",", with GWT","")&amp;", "&amp;H51)</f>
        <v/>
      </c>
      <c r="C51" s="9"/>
      <c r="D51" s="41"/>
      <c r="E51" s="40"/>
      <c r="F51" s="9"/>
      <c r="G51" s="40"/>
      <c r="H51" s="9"/>
      <c r="I51" s="40"/>
      <c r="J51" s="43"/>
      <c r="K51" s="40"/>
      <c r="L51" s="40"/>
      <c r="M51" s="40"/>
      <c r="N51" s="40"/>
      <c r="O51" s="40"/>
      <c r="P51" s="40"/>
      <c r="Q51" s="9"/>
      <c r="R51" s="9"/>
      <c r="S51" s="40"/>
      <c r="T51" s="9"/>
      <c r="U51" s="9"/>
      <c r="V51" s="9"/>
      <c r="W51" s="41"/>
      <c r="X51" s="41"/>
      <c r="Y51" s="40"/>
      <c r="Z51" s="9"/>
      <c r="AA51" s="9"/>
      <c r="AB51" s="9"/>
      <c r="AC51" s="9"/>
      <c r="AD51" s="9"/>
      <c r="AE51" s="9"/>
      <c r="AF51" s="10" t="str">
        <f aca="false">IF(A51="","",SG_Criteria!$B$6&amp;SG_Criteria!$B$8&amp;"\"&amp;A51&amp;"\")</f>
        <v/>
      </c>
      <c r="AG51" s="10" t="str">
        <f aca="false">IF(A51="","",A51&amp;"_CAD.dwg")</f>
        <v/>
      </c>
      <c r="AH51" s="10" t="str">
        <f aca="false">IF(A51="","",A51&amp;"_DWG.pdf")</f>
        <v/>
      </c>
      <c r="AI51" s="10" t="str">
        <f aca="false">IF(A51="","",IF(AE51="Y",A51&amp;"_STAAD.std","n/a"))</f>
        <v/>
      </c>
      <c r="AJ51" s="10" t="str">
        <f aca="false">IF(A51="","",A51&amp;"_CALC.xlsx")</f>
        <v/>
      </c>
      <c r="AK51" s="10" t="str">
        <f aca="false">IF(A51="","",A51&amp;"_CALC.pdf")</f>
        <v/>
      </c>
      <c r="AL51" s="9"/>
      <c r="AM51" s="9"/>
      <c r="AN51" s="41"/>
      <c r="AO51" s="41"/>
      <c r="AP51" s="41"/>
      <c r="AQ51" s="41"/>
      <c r="AR51" s="41"/>
      <c r="AS51" s="38" t="str">
        <f aca="false">IF(OR(C51="",D51=""),"",IF(D51&lt;=IF(OR(C51="Block / Segmental",C51="Gabion",C51="Reinforced Earth (MSE)"),SG_Criteria!$B$34,SG_Criteria!$B$33),"No ERSS submission",IF(D51&lt;=SG_Criteria!$B$35,"QP(ST)",IF(D51&lt;=SG_Criteria!$B$36,"QP(ST) + AC","Geotechnical building works: QP(Geo) + AC"))))</f>
        <v/>
      </c>
      <c r="AT51" s="38" t="str">
        <f aca="false">IF(C51="","",IF(LEN(IF(AND(R51&lt;&gt;"",IFERROR(VALUE(MID(R51,2,2)),0)&lt;SG_Criteria!$B$19),"FAIL: grade below C"&amp;SG_Criteria!$B$19&amp;". ","")&amp;IF(AND(S51&lt;&gt;"",S51&lt;SG_Criteria!$B$20),"FAIL: cover &lt; "&amp;SG_Criteria!$B$20&amp;" mm. ","")&amp;IF(AND(W51&lt;&gt;"",W51&lt;1),"FAIL: sliding. ","")&amp;IF(AND(C51="Reverse L-Wall (toe only, at boundary)",N(O51)&gt;0),"NOTE: reverse L-wall should have no heel. ","")&amp;IF(AND(C51="L-Wall (heel only)",N(N51)&gt;0),"NOTE: L-wall should have no toe. ","")&amp;IF(AND(E51&lt;&gt;"",E51&lt;SG_Criteria!$B$31),"NOTE: q below LTA min "&amp;SG_Criteria!$B$31&amp;" kPa (not for LTA works). ",""))=0,"OK",IF(AND(R51&lt;&gt;"",IFERROR(VALUE(MID(R51,2,2)),0)&lt;SG_Criteria!$B$19),"FAIL: grade below C"&amp;SG_Criteria!$B$19&amp;". ","")&amp;IF(AND(S51&lt;&gt;"",S51&lt;SG_Criteria!$B$20),"FAIL: cover &lt; "&amp;SG_Criteria!$B$20&amp;" mm. ","")&amp;IF(AND(W51&lt;&gt;"",W51&lt;1),"FAIL: sliding. ","")&amp;IF(AND(C51="Reverse L-Wall (toe only, at boundary)",N(O51)&gt;0),"NOTE: reverse L-wall should have no heel. ","")&amp;IF(AND(C51="L-Wall (heel only)",N(N51)&gt;0),"NOTE: L-wall should have no toe. ","")&amp;IF(AND(E51&lt;&gt;"",E51&lt;SG_Criteria!$B$31),"NOTE: q below LTA min "&amp;SG_Criteria!$B$31&amp;" kPa (not for LTA works). ","")))</f>
        <v/>
      </c>
      <c r="AU51" s="9"/>
      <c r="AV51" s="9"/>
      <c r="AW51" s="9"/>
      <c r="AX51" s="9"/>
      <c r="AY51" s="9"/>
      <c r="AZ51" s="31"/>
      <c r="BA51" s="10" t="str">
        <f aca="false">IF(C51="","",IF(AND(AB51="Approved",ISERROR(SEARCH("FAIL",AT51))),"Y","N"))</f>
        <v/>
      </c>
      <c r="BB51" s="10" t="str">
        <f aca="false">IF(C51="","",C51&amp;"|"&amp;D51&amp;"|"&amp;E51&amp;"|"&amp;F51&amp;"|"&amp;BA51)</f>
        <v/>
      </c>
    </row>
    <row r="52" customFormat="false" ht="15" hidden="false" customHeight="false" outlineLevel="0" collapsed="false">
      <c r="A52" s="10" t="str">
        <f aca="false">IF(C52="","","RW-"&amp;IFERROR(VLOOKUP(C52,Lists!$M$4:$N$22,2,0),"??")&amp;"-H"&amp;TEXT(D52*1000,"0000")&amp;"-S"&amp;E52&amp;IF(F52="Y","-GW","")&amp;"-"&amp;AA52)</f>
        <v/>
      </c>
      <c r="B52" s="10" t="str">
        <f aca="false">IF(C52="","",C52&amp;", H = "&amp;TEXT(D52,"0.0")&amp;" m, q = "&amp;E52&amp;" kPa"&amp;IF(F52="Y",", with GWT","")&amp;", "&amp;H52)</f>
        <v/>
      </c>
      <c r="C52" s="9"/>
      <c r="D52" s="41"/>
      <c r="E52" s="40"/>
      <c r="F52" s="9"/>
      <c r="G52" s="40"/>
      <c r="H52" s="9"/>
      <c r="I52" s="40"/>
      <c r="J52" s="43"/>
      <c r="K52" s="40"/>
      <c r="L52" s="40"/>
      <c r="M52" s="40"/>
      <c r="N52" s="40"/>
      <c r="O52" s="40"/>
      <c r="P52" s="40"/>
      <c r="Q52" s="9"/>
      <c r="R52" s="9"/>
      <c r="S52" s="40"/>
      <c r="T52" s="9"/>
      <c r="U52" s="9"/>
      <c r="V52" s="9"/>
      <c r="W52" s="41"/>
      <c r="X52" s="41"/>
      <c r="Y52" s="40"/>
      <c r="Z52" s="9"/>
      <c r="AA52" s="9"/>
      <c r="AB52" s="9"/>
      <c r="AC52" s="9"/>
      <c r="AD52" s="9"/>
      <c r="AE52" s="9"/>
      <c r="AF52" s="10" t="str">
        <f aca="false">IF(A52="","",SG_Criteria!$B$6&amp;SG_Criteria!$B$8&amp;"\"&amp;A52&amp;"\")</f>
        <v/>
      </c>
      <c r="AG52" s="10" t="str">
        <f aca="false">IF(A52="","",A52&amp;"_CAD.dwg")</f>
        <v/>
      </c>
      <c r="AH52" s="10" t="str">
        <f aca="false">IF(A52="","",A52&amp;"_DWG.pdf")</f>
        <v/>
      </c>
      <c r="AI52" s="10" t="str">
        <f aca="false">IF(A52="","",IF(AE52="Y",A52&amp;"_STAAD.std","n/a"))</f>
        <v/>
      </c>
      <c r="AJ52" s="10" t="str">
        <f aca="false">IF(A52="","",A52&amp;"_CALC.xlsx")</f>
        <v/>
      </c>
      <c r="AK52" s="10" t="str">
        <f aca="false">IF(A52="","",A52&amp;"_CALC.pdf")</f>
        <v/>
      </c>
      <c r="AL52" s="9"/>
      <c r="AM52" s="9"/>
      <c r="AN52" s="41"/>
      <c r="AO52" s="41"/>
      <c r="AP52" s="41"/>
      <c r="AQ52" s="41"/>
      <c r="AR52" s="41"/>
      <c r="AS52" s="38" t="str">
        <f aca="false">IF(OR(C52="",D52=""),"",IF(D52&lt;=IF(OR(C52="Block / Segmental",C52="Gabion",C52="Reinforced Earth (MSE)"),SG_Criteria!$B$34,SG_Criteria!$B$33),"No ERSS submission",IF(D52&lt;=SG_Criteria!$B$35,"QP(ST)",IF(D52&lt;=SG_Criteria!$B$36,"QP(ST) + AC","Geotechnical building works: QP(Geo) + AC"))))</f>
        <v/>
      </c>
      <c r="AT52" s="38" t="str">
        <f aca="false">IF(C52="","",IF(LEN(IF(AND(R52&lt;&gt;"",IFERROR(VALUE(MID(R52,2,2)),0)&lt;SG_Criteria!$B$19),"FAIL: grade below C"&amp;SG_Criteria!$B$19&amp;". ","")&amp;IF(AND(S52&lt;&gt;"",S52&lt;SG_Criteria!$B$20),"FAIL: cover &lt; "&amp;SG_Criteria!$B$20&amp;" mm. ","")&amp;IF(AND(W52&lt;&gt;"",W52&lt;1),"FAIL: sliding. ","")&amp;IF(AND(C52="Reverse L-Wall (toe only, at boundary)",N(O52)&gt;0),"NOTE: reverse L-wall should have no heel. ","")&amp;IF(AND(C52="L-Wall (heel only)",N(N52)&gt;0),"NOTE: L-wall should have no toe. ","")&amp;IF(AND(E52&lt;&gt;"",E52&lt;SG_Criteria!$B$31),"NOTE: q below LTA min "&amp;SG_Criteria!$B$31&amp;" kPa (not for LTA works). ",""))=0,"OK",IF(AND(R52&lt;&gt;"",IFERROR(VALUE(MID(R52,2,2)),0)&lt;SG_Criteria!$B$19),"FAIL: grade below C"&amp;SG_Criteria!$B$19&amp;". ","")&amp;IF(AND(S52&lt;&gt;"",S52&lt;SG_Criteria!$B$20),"FAIL: cover &lt; "&amp;SG_Criteria!$B$20&amp;" mm. ","")&amp;IF(AND(W52&lt;&gt;"",W52&lt;1),"FAIL: sliding. ","")&amp;IF(AND(C52="Reverse L-Wall (toe only, at boundary)",N(O52)&gt;0),"NOTE: reverse L-wall should have no heel. ","")&amp;IF(AND(C52="L-Wall (heel only)",N(N52)&gt;0),"NOTE: L-wall should have no toe. ","")&amp;IF(AND(E52&lt;&gt;"",E52&lt;SG_Criteria!$B$31),"NOTE: q below LTA min "&amp;SG_Criteria!$B$31&amp;" kPa (not for LTA works). ","")))</f>
        <v/>
      </c>
      <c r="AU52" s="9"/>
      <c r="AV52" s="9"/>
      <c r="AW52" s="9"/>
      <c r="AX52" s="9"/>
      <c r="AY52" s="9"/>
      <c r="AZ52" s="31"/>
      <c r="BA52" s="10" t="str">
        <f aca="false">IF(C52="","",IF(AND(AB52="Approved",ISERROR(SEARCH("FAIL",AT52))),"Y","N"))</f>
        <v/>
      </c>
      <c r="BB52" s="10" t="str">
        <f aca="false">IF(C52="","",C52&amp;"|"&amp;D52&amp;"|"&amp;E52&amp;"|"&amp;F52&amp;"|"&amp;BA52)</f>
        <v/>
      </c>
    </row>
    <row r="53" customFormat="false" ht="15" hidden="false" customHeight="false" outlineLevel="0" collapsed="false">
      <c r="A53" s="10" t="str">
        <f aca="false">IF(C53="","","RW-"&amp;IFERROR(VLOOKUP(C53,Lists!$M$4:$N$22,2,0),"??")&amp;"-H"&amp;TEXT(D53*1000,"0000")&amp;"-S"&amp;E53&amp;IF(F53="Y","-GW","")&amp;"-"&amp;AA53)</f>
        <v/>
      </c>
      <c r="B53" s="10" t="str">
        <f aca="false">IF(C53="","",C53&amp;", H = "&amp;TEXT(D53,"0.0")&amp;" m, q = "&amp;E53&amp;" kPa"&amp;IF(F53="Y",", with GWT","")&amp;", "&amp;H53)</f>
        <v/>
      </c>
      <c r="C53" s="9"/>
      <c r="D53" s="41"/>
      <c r="E53" s="40"/>
      <c r="F53" s="9"/>
      <c r="G53" s="40"/>
      <c r="H53" s="9"/>
      <c r="I53" s="40"/>
      <c r="J53" s="43"/>
      <c r="K53" s="40"/>
      <c r="L53" s="40"/>
      <c r="M53" s="40"/>
      <c r="N53" s="40"/>
      <c r="O53" s="40"/>
      <c r="P53" s="40"/>
      <c r="Q53" s="9"/>
      <c r="R53" s="9"/>
      <c r="S53" s="40"/>
      <c r="T53" s="9"/>
      <c r="U53" s="9"/>
      <c r="V53" s="9"/>
      <c r="W53" s="41"/>
      <c r="X53" s="41"/>
      <c r="Y53" s="40"/>
      <c r="Z53" s="9"/>
      <c r="AA53" s="9"/>
      <c r="AB53" s="9"/>
      <c r="AC53" s="9"/>
      <c r="AD53" s="9"/>
      <c r="AE53" s="9"/>
      <c r="AF53" s="10" t="str">
        <f aca="false">IF(A53="","",SG_Criteria!$B$6&amp;SG_Criteria!$B$8&amp;"\"&amp;A53&amp;"\")</f>
        <v/>
      </c>
      <c r="AG53" s="10" t="str">
        <f aca="false">IF(A53="","",A53&amp;"_CAD.dwg")</f>
        <v/>
      </c>
      <c r="AH53" s="10" t="str">
        <f aca="false">IF(A53="","",A53&amp;"_DWG.pdf")</f>
        <v/>
      </c>
      <c r="AI53" s="10" t="str">
        <f aca="false">IF(A53="","",IF(AE53="Y",A53&amp;"_STAAD.std","n/a"))</f>
        <v/>
      </c>
      <c r="AJ53" s="10" t="str">
        <f aca="false">IF(A53="","",A53&amp;"_CALC.xlsx")</f>
        <v/>
      </c>
      <c r="AK53" s="10" t="str">
        <f aca="false">IF(A53="","",A53&amp;"_CALC.pdf")</f>
        <v/>
      </c>
      <c r="AL53" s="9"/>
      <c r="AM53" s="9"/>
      <c r="AN53" s="41"/>
      <c r="AO53" s="41"/>
      <c r="AP53" s="41"/>
      <c r="AQ53" s="41"/>
      <c r="AR53" s="41"/>
      <c r="AS53" s="38" t="str">
        <f aca="false">IF(OR(C53="",D53=""),"",IF(D53&lt;=IF(OR(C53="Block / Segmental",C53="Gabion",C53="Reinforced Earth (MSE)"),SG_Criteria!$B$34,SG_Criteria!$B$33),"No ERSS submission",IF(D53&lt;=SG_Criteria!$B$35,"QP(ST)",IF(D53&lt;=SG_Criteria!$B$36,"QP(ST) + AC","Geotechnical building works: QP(Geo) + AC"))))</f>
        <v/>
      </c>
      <c r="AT53" s="38" t="str">
        <f aca="false">IF(C53="","",IF(LEN(IF(AND(R53&lt;&gt;"",IFERROR(VALUE(MID(R53,2,2)),0)&lt;SG_Criteria!$B$19),"FAIL: grade below C"&amp;SG_Criteria!$B$19&amp;". ","")&amp;IF(AND(S53&lt;&gt;"",S53&lt;SG_Criteria!$B$20),"FAIL: cover &lt; "&amp;SG_Criteria!$B$20&amp;" mm. ","")&amp;IF(AND(W53&lt;&gt;"",W53&lt;1),"FAIL: sliding. ","")&amp;IF(AND(C53="Reverse L-Wall (toe only, at boundary)",N(O53)&gt;0),"NOTE: reverse L-wall should have no heel. ","")&amp;IF(AND(C53="L-Wall (heel only)",N(N53)&gt;0),"NOTE: L-wall should have no toe. ","")&amp;IF(AND(E53&lt;&gt;"",E53&lt;SG_Criteria!$B$31),"NOTE: q below LTA min "&amp;SG_Criteria!$B$31&amp;" kPa (not for LTA works). ",""))=0,"OK",IF(AND(R53&lt;&gt;"",IFERROR(VALUE(MID(R53,2,2)),0)&lt;SG_Criteria!$B$19),"FAIL: grade below C"&amp;SG_Criteria!$B$19&amp;". ","")&amp;IF(AND(S53&lt;&gt;"",S53&lt;SG_Criteria!$B$20),"FAIL: cover &lt; "&amp;SG_Criteria!$B$20&amp;" mm. ","")&amp;IF(AND(W53&lt;&gt;"",W53&lt;1),"FAIL: sliding. ","")&amp;IF(AND(C53="Reverse L-Wall (toe only, at boundary)",N(O53)&gt;0),"NOTE: reverse L-wall should have no heel. ","")&amp;IF(AND(C53="L-Wall (heel only)",N(N53)&gt;0),"NOTE: L-wall should have no toe. ","")&amp;IF(AND(E53&lt;&gt;"",E53&lt;SG_Criteria!$B$31),"NOTE: q below LTA min "&amp;SG_Criteria!$B$31&amp;" kPa (not for LTA works). ","")))</f>
        <v/>
      </c>
      <c r="AU53" s="9"/>
      <c r="AV53" s="9"/>
      <c r="AW53" s="9"/>
      <c r="AX53" s="9"/>
      <c r="AY53" s="9"/>
      <c r="AZ53" s="31"/>
      <c r="BA53" s="10" t="str">
        <f aca="false">IF(C53="","",IF(AND(AB53="Approved",ISERROR(SEARCH("FAIL",AT53))),"Y","N"))</f>
        <v/>
      </c>
      <c r="BB53" s="10" t="str">
        <f aca="false">IF(C53="","",C53&amp;"|"&amp;D53&amp;"|"&amp;E53&amp;"|"&amp;F53&amp;"|"&amp;BA53)</f>
        <v/>
      </c>
    </row>
    <row r="54" customFormat="false" ht="15" hidden="false" customHeight="false" outlineLevel="0" collapsed="false">
      <c r="A54" s="10" t="str">
        <f aca="false">IF(C54="","","RW-"&amp;IFERROR(VLOOKUP(C54,Lists!$M$4:$N$22,2,0),"??")&amp;"-H"&amp;TEXT(D54*1000,"0000")&amp;"-S"&amp;E54&amp;IF(F54="Y","-GW","")&amp;"-"&amp;AA54)</f>
        <v/>
      </c>
      <c r="B54" s="10" t="str">
        <f aca="false">IF(C54="","",C54&amp;", H = "&amp;TEXT(D54,"0.0")&amp;" m, q = "&amp;E54&amp;" kPa"&amp;IF(F54="Y",", with GWT","")&amp;", "&amp;H54)</f>
        <v/>
      </c>
      <c r="C54" s="9"/>
      <c r="D54" s="41"/>
      <c r="E54" s="40"/>
      <c r="F54" s="9"/>
      <c r="G54" s="40"/>
      <c r="H54" s="9"/>
      <c r="I54" s="40"/>
      <c r="J54" s="43"/>
      <c r="K54" s="40"/>
      <c r="L54" s="40"/>
      <c r="M54" s="40"/>
      <c r="N54" s="40"/>
      <c r="O54" s="40"/>
      <c r="P54" s="40"/>
      <c r="Q54" s="9"/>
      <c r="R54" s="9"/>
      <c r="S54" s="40"/>
      <c r="T54" s="9"/>
      <c r="U54" s="9"/>
      <c r="V54" s="9"/>
      <c r="W54" s="41"/>
      <c r="X54" s="41"/>
      <c r="Y54" s="40"/>
      <c r="Z54" s="9"/>
      <c r="AA54" s="9"/>
      <c r="AB54" s="9"/>
      <c r="AC54" s="9"/>
      <c r="AD54" s="9"/>
      <c r="AE54" s="9"/>
      <c r="AF54" s="10" t="str">
        <f aca="false">IF(A54="","",SG_Criteria!$B$6&amp;SG_Criteria!$B$8&amp;"\"&amp;A54&amp;"\")</f>
        <v/>
      </c>
      <c r="AG54" s="10" t="str">
        <f aca="false">IF(A54="","",A54&amp;"_CAD.dwg")</f>
        <v/>
      </c>
      <c r="AH54" s="10" t="str">
        <f aca="false">IF(A54="","",A54&amp;"_DWG.pdf")</f>
        <v/>
      </c>
      <c r="AI54" s="10" t="str">
        <f aca="false">IF(A54="","",IF(AE54="Y",A54&amp;"_STAAD.std","n/a"))</f>
        <v/>
      </c>
      <c r="AJ54" s="10" t="str">
        <f aca="false">IF(A54="","",A54&amp;"_CALC.xlsx")</f>
        <v/>
      </c>
      <c r="AK54" s="10" t="str">
        <f aca="false">IF(A54="","",A54&amp;"_CALC.pdf")</f>
        <v/>
      </c>
      <c r="AL54" s="9"/>
      <c r="AM54" s="9"/>
      <c r="AN54" s="41"/>
      <c r="AO54" s="41"/>
      <c r="AP54" s="41"/>
      <c r="AQ54" s="41"/>
      <c r="AR54" s="41"/>
      <c r="AS54" s="38" t="str">
        <f aca="false">IF(OR(C54="",D54=""),"",IF(D54&lt;=IF(OR(C54="Block / Segmental",C54="Gabion",C54="Reinforced Earth (MSE)"),SG_Criteria!$B$34,SG_Criteria!$B$33),"No ERSS submission",IF(D54&lt;=SG_Criteria!$B$35,"QP(ST)",IF(D54&lt;=SG_Criteria!$B$36,"QP(ST) + AC","Geotechnical building works: QP(Geo) + AC"))))</f>
        <v/>
      </c>
      <c r="AT54" s="38" t="str">
        <f aca="false">IF(C54="","",IF(LEN(IF(AND(R54&lt;&gt;"",IFERROR(VALUE(MID(R54,2,2)),0)&lt;SG_Criteria!$B$19),"FAIL: grade below C"&amp;SG_Criteria!$B$19&amp;". ","")&amp;IF(AND(S54&lt;&gt;"",S54&lt;SG_Criteria!$B$20),"FAIL: cover &lt; "&amp;SG_Criteria!$B$20&amp;" mm. ","")&amp;IF(AND(W54&lt;&gt;"",W54&lt;1),"FAIL: sliding. ","")&amp;IF(AND(C54="Reverse L-Wall (toe only, at boundary)",N(O54)&gt;0),"NOTE: reverse L-wall should have no heel. ","")&amp;IF(AND(C54="L-Wall (heel only)",N(N54)&gt;0),"NOTE: L-wall should have no toe. ","")&amp;IF(AND(E54&lt;&gt;"",E54&lt;SG_Criteria!$B$31),"NOTE: q below LTA min "&amp;SG_Criteria!$B$31&amp;" kPa (not for LTA works). ",""))=0,"OK",IF(AND(R54&lt;&gt;"",IFERROR(VALUE(MID(R54,2,2)),0)&lt;SG_Criteria!$B$19),"FAIL: grade below C"&amp;SG_Criteria!$B$19&amp;". ","")&amp;IF(AND(S54&lt;&gt;"",S54&lt;SG_Criteria!$B$20),"FAIL: cover &lt; "&amp;SG_Criteria!$B$20&amp;" mm. ","")&amp;IF(AND(W54&lt;&gt;"",W54&lt;1),"FAIL: sliding. ","")&amp;IF(AND(C54="Reverse L-Wall (toe only, at boundary)",N(O54)&gt;0),"NOTE: reverse L-wall should have no heel. ","")&amp;IF(AND(C54="L-Wall (heel only)",N(N54)&gt;0),"NOTE: L-wall should have no toe. ","")&amp;IF(AND(E54&lt;&gt;"",E54&lt;SG_Criteria!$B$31),"NOTE: q below LTA min "&amp;SG_Criteria!$B$31&amp;" kPa (not for LTA works). ","")))</f>
        <v/>
      </c>
      <c r="AU54" s="9"/>
      <c r="AV54" s="9"/>
      <c r="AW54" s="9"/>
      <c r="AX54" s="9"/>
      <c r="AY54" s="9"/>
      <c r="AZ54" s="31"/>
      <c r="BA54" s="10" t="str">
        <f aca="false">IF(C54="","",IF(AND(AB54="Approved",ISERROR(SEARCH("FAIL",AT54))),"Y","N"))</f>
        <v/>
      </c>
      <c r="BB54" s="10" t="str">
        <f aca="false">IF(C54="","",C54&amp;"|"&amp;D54&amp;"|"&amp;E54&amp;"|"&amp;F54&amp;"|"&amp;BA54)</f>
        <v/>
      </c>
    </row>
    <row r="55" customFormat="false" ht="15" hidden="false" customHeight="false" outlineLevel="0" collapsed="false">
      <c r="A55" s="10" t="str">
        <f aca="false">IF(C55="","","RW-"&amp;IFERROR(VLOOKUP(C55,Lists!$M$4:$N$22,2,0),"??")&amp;"-H"&amp;TEXT(D55*1000,"0000")&amp;"-S"&amp;E55&amp;IF(F55="Y","-GW","")&amp;"-"&amp;AA55)</f>
        <v/>
      </c>
      <c r="B55" s="10" t="str">
        <f aca="false">IF(C55="","",C55&amp;", H = "&amp;TEXT(D55,"0.0")&amp;" m, q = "&amp;E55&amp;" kPa"&amp;IF(F55="Y",", with GWT","")&amp;", "&amp;H55)</f>
        <v/>
      </c>
      <c r="C55" s="9"/>
      <c r="D55" s="41"/>
      <c r="E55" s="40"/>
      <c r="F55" s="9"/>
      <c r="G55" s="40"/>
      <c r="H55" s="9"/>
      <c r="I55" s="40"/>
      <c r="J55" s="43"/>
      <c r="K55" s="40"/>
      <c r="L55" s="40"/>
      <c r="M55" s="40"/>
      <c r="N55" s="40"/>
      <c r="O55" s="40"/>
      <c r="P55" s="40"/>
      <c r="Q55" s="9"/>
      <c r="R55" s="9"/>
      <c r="S55" s="40"/>
      <c r="T55" s="9"/>
      <c r="U55" s="9"/>
      <c r="V55" s="9"/>
      <c r="W55" s="41"/>
      <c r="X55" s="41"/>
      <c r="Y55" s="40"/>
      <c r="Z55" s="9"/>
      <c r="AA55" s="9"/>
      <c r="AB55" s="9"/>
      <c r="AC55" s="9"/>
      <c r="AD55" s="9"/>
      <c r="AE55" s="9"/>
      <c r="AF55" s="10" t="str">
        <f aca="false">IF(A55="","",SG_Criteria!$B$6&amp;SG_Criteria!$B$8&amp;"\"&amp;A55&amp;"\")</f>
        <v/>
      </c>
      <c r="AG55" s="10" t="str">
        <f aca="false">IF(A55="","",A55&amp;"_CAD.dwg")</f>
        <v/>
      </c>
      <c r="AH55" s="10" t="str">
        <f aca="false">IF(A55="","",A55&amp;"_DWG.pdf")</f>
        <v/>
      </c>
      <c r="AI55" s="10" t="str">
        <f aca="false">IF(A55="","",IF(AE55="Y",A55&amp;"_STAAD.std","n/a"))</f>
        <v/>
      </c>
      <c r="AJ55" s="10" t="str">
        <f aca="false">IF(A55="","",A55&amp;"_CALC.xlsx")</f>
        <v/>
      </c>
      <c r="AK55" s="10" t="str">
        <f aca="false">IF(A55="","",A55&amp;"_CALC.pdf")</f>
        <v/>
      </c>
      <c r="AL55" s="9"/>
      <c r="AM55" s="9"/>
      <c r="AN55" s="41"/>
      <c r="AO55" s="41"/>
      <c r="AP55" s="41"/>
      <c r="AQ55" s="41"/>
      <c r="AR55" s="41"/>
      <c r="AS55" s="38" t="str">
        <f aca="false">IF(OR(C55="",D55=""),"",IF(D55&lt;=IF(OR(C55="Block / Segmental",C55="Gabion",C55="Reinforced Earth (MSE)"),SG_Criteria!$B$34,SG_Criteria!$B$33),"No ERSS submission",IF(D55&lt;=SG_Criteria!$B$35,"QP(ST)",IF(D55&lt;=SG_Criteria!$B$36,"QP(ST) + AC","Geotechnical building works: QP(Geo) + AC"))))</f>
        <v/>
      </c>
      <c r="AT55" s="38" t="str">
        <f aca="false">IF(C55="","",IF(LEN(IF(AND(R55&lt;&gt;"",IFERROR(VALUE(MID(R55,2,2)),0)&lt;SG_Criteria!$B$19),"FAIL: grade below C"&amp;SG_Criteria!$B$19&amp;". ","")&amp;IF(AND(S55&lt;&gt;"",S55&lt;SG_Criteria!$B$20),"FAIL: cover &lt; "&amp;SG_Criteria!$B$20&amp;" mm. ","")&amp;IF(AND(W55&lt;&gt;"",W55&lt;1),"FAIL: sliding. ","")&amp;IF(AND(C55="Reverse L-Wall (toe only, at boundary)",N(O55)&gt;0),"NOTE: reverse L-wall should have no heel. ","")&amp;IF(AND(C55="L-Wall (heel only)",N(N55)&gt;0),"NOTE: L-wall should have no toe. ","")&amp;IF(AND(E55&lt;&gt;"",E55&lt;SG_Criteria!$B$31),"NOTE: q below LTA min "&amp;SG_Criteria!$B$31&amp;" kPa (not for LTA works). ",""))=0,"OK",IF(AND(R55&lt;&gt;"",IFERROR(VALUE(MID(R55,2,2)),0)&lt;SG_Criteria!$B$19),"FAIL: grade below C"&amp;SG_Criteria!$B$19&amp;". ","")&amp;IF(AND(S55&lt;&gt;"",S55&lt;SG_Criteria!$B$20),"FAIL: cover &lt; "&amp;SG_Criteria!$B$20&amp;" mm. ","")&amp;IF(AND(W55&lt;&gt;"",W55&lt;1),"FAIL: sliding. ","")&amp;IF(AND(C55="Reverse L-Wall (toe only, at boundary)",N(O55)&gt;0),"NOTE: reverse L-wall should have no heel. ","")&amp;IF(AND(C55="L-Wall (heel only)",N(N55)&gt;0),"NOTE: L-wall should have no toe. ","")&amp;IF(AND(E55&lt;&gt;"",E55&lt;SG_Criteria!$B$31),"NOTE: q below LTA min "&amp;SG_Criteria!$B$31&amp;" kPa (not for LTA works). ","")))</f>
        <v/>
      </c>
      <c r="AU55" s="9"/>
      <c r="AV55" s="9"/>
      <c r="AW55" s="9"/>
      <c r="AX55" s="9"/>
      <c r="AY55" s="9"/>
      <c r="AZ55" s="31"/>
      <c r="BA55" s="10" t="str">
        <f aca="false">IF(C55="","",IF(AND(AB55="Approved",ISERROR(SEARCH("FAIL",AT55))),"Y","N"))</f>
        <v/>
      </c>
      <c r="BB55" s="10" t="str">
        <f aca="false">IF(C55="","",C55&amp;"|"&amp;D55&amp;"|"&amp;E55&amp;"|"&amp;F55&amp;"|"&amp;BA55)</f>
        <v/>
      </c>
    </row>
    <row r="56" customFormat="false" ht="15" hidden="false" customHeight="false" outlineLevel="0" collapsed="false">
      <c r="A56" s="10" t="str">
        <f aca="false">IF(C56="","","RW-"&amp;IFERROR(VLOOKUP(C56,Lists!$M$4:$N$22,2,0),"??")&amp;"-H"&amp;TEXT(D56*1000,"0000")&amp;"-S"&amp;E56&amp;IF(F56="Y","-GW","")&amp;"-"&amp;AA56)</f>
        <v/>
      </c>
      <c r="B56" s="10" t="str">
        <f aca="false">IF(C56="","",C56&amp;", H = "&amp;TEXT(D56,"0.0")&amp;" m, q = "&amp;E56&amp;" kPa"&amp;IF(F56="Y",", with GWT","")&amp;", "&amp;H56)</f>
        <v/>
      </c>
      <c r="C56" s="9"/>
      <c r="D56" s="41"/>
      <c r="E56" s="40"/>
      <c r="F56" s="9"/>
      <c r="G56" s="40"/>
      <c r="H56" s="9"/>
      <c r="I56" s="40"/>
      <c r="J56" s="43"/>
      <c r="K56" s="40"/>
      <c r="L56" s="40"/>
      <c r="M56" s="40"/>
      <c r="N56" s="40"/>
      <c r="O56" s="40"/>
      <c r="P56" s="40"/>
      <c r="Q56" s="9"/>
      <c r="R56" s="9"/>
      <c r="S56" s="40"/>
      <c r="T56" s="9"/>
      <c r="U56" s="9"/>
      <c r="V56" s="9"/>
      <c r="W56" s="41"/>
      <c r="X56" s="41"/>
      <c r="Y56" s="40"/>
      <c r="Z56" s="9"/>
      <c r="AA56" s="9"/>
      <c r="AB56" s="9"/>
      <c r="AC56" s="9"/>
      <c r="AD56" s="9"/>
      <c r="AE56" s="9"/>
      <c r="AF56" s="10" t="str">
        <f aca="false">IF(A56="","",SG_Criteria!$B$6&amp;SG_Criteria!$B$8&amp;"\"&amp;A56&amp;"\")</f>
        <v/>
      </c>
      <c r="AG56" s="10" t="str">
        <f aca="false">IF(A56="","",A56&amp;"_CAD.dwg")</f>
        <v/>
      </c>
      <c r="AH56" s="10" t="str">
        <f aca="false">IF(A56="","",A56&amp;"_DWG.pdf")</f>
        <v/>
      </c>
      <c r="AI56" s="10" t="str">
        <f aca="false">IF(A56="","",IF(AE56="Y",A56&amp;"_STAAD.std","n/a"))</f>
        <v/>
      </c>
      <c r="AJ56" s="10" t="str">
        <f aca="false">IF(A56="","",A56&amp;"_CALC.xlsx")</f>
        <v/>
      </c>
      <c r="AK56" s="10" t="str">
        <f aca="false">IF(A56="","",A56&amp;"_CALC.pdf")</f>
        <v/>
      </c>
      <c r="AL56" s="9"/>
      <c r="AM56" s="9"/>
      <c r="AN56" s="41"/>
      <c r="AO56" s="41"/>
      <c r="AP56" s="41"/>
      <c r="AQ56" s="41"/>
      <c r="AR56" s="41"/>
      <c r="AS56" s="38" t="str">
        <f aca="false">IF(OR(C56="",D56=""),"",IF(D56&lt;=IF(OR(C56="Block / Segmental",C56="Gabion",C56="Reinforced Earth (MSE)"),SG_Criteria!$B$34,SG_Criteria!$B$33),"No ERSS submission",IF(D56&lt;=SG_Criteria!$B$35,"QP(ST)",IF(D56&lt;=SG_Criteria!$B$36,"QP(ST) + AC","Geotechnical building works: QP(Geo) + AC"))))</f>
        <v/>
      </c>
      <c r="AT56" s="38" t="str">
        <f aca="false">IF(C56="","",IF(LEN(IF(AND(R56&lt;&gt;"",IFERROR(VALUE(MID(R56,2,2)),0)&lt;SG_Criteria!$B$19),"FAIL: grade below C"&amp;SG_Criteria!$B$19&amp;". ","")&amp;IF(AND(S56&lt;&gt;"",S56&lt;SG_Criteria!$B$20),"FAIL: cover &lt; "&amp;SG_Criteria!$B$20&amp;" mm. ","")&amp;IF(AND(W56&lt;&gt;"",W56&lt;1),"FAIL: sliding. ","")&amp;IF(AND(C56="Reverse L-Wall (toe only, at boundary)",N(O56)&gt;0),"NOTE: reverse L-wall should have no heel. ","")&amp;IF(AND(C56="L-Wall (heel only)",N(N56)&gt;0),"NOTE: L-wall should have no toe. ","")&amp;IF(AND(E56&lt;&gt;"",E56&lt;SG_Criteria!$B$31),"NOTE: q below LTA min "&amp;SG_Criteria!$B$31&amp;" kPa (not for LTA works). ",""))=0,"OK",IF(AND(R56&lt;&gt;"",IFERROR(VALUE(MID(R56,2,2)),0)&lt;SG_Criteria!$B$19),"FAIL: grade below C"&amp;SG_Criteria!$B$19&amp;". ","")&amp;IF(AND(S56&lt;&gt;"",S56&lt;SG_Criteria!$B$20),"FAIL: cover &lt; "&amp;SG_Criteria!$B$20&amp;" mm. ","")&amp;IF(AND(W56&lt;&gt;"",W56&lt;1),"FAIL: sliding. ","")&amp;IF(AND(C56="Reverse L-Wall (toe only, at boundary)",N(O56)&gt;0),"NOTE: reverse L-wall should have no heel. ","")&amp;IF(AND(C56="L-Wall (heel only)",N(N56)&gt;0),"NOTE: L-wall should have no toe. ","")&amp;IF(AND(E56&lt;&gt;"",E56&lt;SG_Criteria!$B$31),"NOTE: q below LTA min "&amp;SG_Criteria!$B$31&amp;" kPa (not for LTA works). ","")))</f>
        <v/>
      </c>
      <c r="AU56" s="9"/>
      <c r="AV56" s="9"/>
      <c r="AW56" s="9"/>
      <c r="AX56" s="9"/>
      <c r="AY56" s="9"/>
      <c r="AZ56" s="31"/>
      <c r="BA56" s="10" t="str">
        <f aca="false">IF(C56="","",IF(AND(AB56="Approved",ISERROR(SEARCH("FAIL",AT56))),"Y","N"))</f>
        <v/>
      </c>
      <c r="BB56" s="10" t="str">
        <f aca="false">IF(C56="","",C56&amp;"|"&amp;D56&amp;"|"&amp;E56&amp;"|"&amp;F56&amp;"|"&amp;BA56)</f>
        <v/>
      </c>
    </row>
    <row r="57" customFormat="false" ht="15" hidden="false" customHeight="false" outlineLevel="0" collapsed="false">
      <c r="A57" s="10" t="str">
        <f aca="false">IF(C57="","","RW-"&amp;IFERROR(VLOOKUP(C57,Lists!$M$4:$N$22,2,0),"??")&amp;"-H"&amp;TEXT(D57*1000,"0000")&amp;"-S"&amp;E57&amp;IF(F57="Y","-GW","")&amp;"-"&amp;AA57)</f>
        <v/>
      </c>
      <c r="B57" s="10" t="str">
        <f aca="false">IF(C57="","",C57&amp;", H = "&amp;TEXT(D57,"0.0")&amp;" m, q = "&amp;E57&amp;" kPa"&amp;IF(F57="Y",", with GWT","")&amp;", "&amp;H57)</f>
        <v/>
      </c>
      <c r="C57" s="9"/>
      <c r="D57" s="41"/>
      <c r="E57" s="40"/>
      <c r="F57" s="9"/>
      <c r="G57" s="40"/>
      <c r="H57" s="9"/>
      <c r="I57" s="40"/>
      <c r="J57" s="43"/>
      <c r="K57" s="40"/>
      <c r="L57" s="40"/>
      <c r="M57" s="40"/>
      <c r="N57" s="40"/>
      <c r="O57" s="40"/>
      <c r="P57" s="40"/>
      <c r="Q57" s="9"/>
      <c r="R57" s="9"/>
      <c r="S57" s="40"/>
      <c r="T57" s="9"/>
      <c r="U57" s="9"/>
      <c r="V57" s="9"/>
      <c r="W57" s="41"/>
      <c r="X57" s="41"/>
      <c r="Y57" s="40"/>
      <c r="Z57" s="9"/>
      <c r="AA57" s="9"/>
      <c r="AB57" s="9"/>
      <c r="AC57" s="9"/>
      <c r="AD57" s="9"/>
      <c r="AE57" s="9"/>
      <c r="AF57" s="10" t="str">
        <f aca="false">IF(A57="","",SG_Criteria!$B$6&amp;SG_Criteria!$B$8&amp;"\"&amp;A57&amp;"\")</f>
        <v/>
      </c>
      <c r="AG57" s="10" t="str">
        <f aca="false">IF(A57="","",A57&amp;"_CAD.dwg")</f>
        <v/>
      </c>
      <c r="AH57" s="10" t="str">
        <f aca="false">IF(A57="","",A57&amp;"_DWG.pdf")</f>
        <v/>
      </c>
      <c r="AI57" s="10" t="str">
        <f aca="false">IF(A57="","",IF(AE57="Y",A57&amp;"_STAAD.std","n/a"))</f>
        <v/>
      </c>
      <c r="AJ57" s="10" t="str">
        <f aca="false">IF(A57="","",A57&amp;"_CALC.xlsx")</f>
        <v/>
      </c>
      <c r="AK57" s="10" t="str">
        <f aca="false">IF(A57="","",A57&amp;"_CALC.pdf")</f>
        <v/>
      </c>
      <c r="AL57" s="9"/>
      <c r="AM57" s="9"/>
      <c r="AN57" s="41"/>
      <c r="AO57" s="41"/>
      <c r="AP57" s="41"/>
      <c r="AQ57" s="41"/>
      <c r="AR57" s="41"/>
      <c r="AS57" s="38" t="str">
        <f aca="false">IF(OR(C57="",D57=""),"",IF(D57&lt;=IF(OR(C57="Block / Segmental",C57="Gabion",C57="Reinforced Earth (MSE)"),SG_Criteria!$B$34,SG_Criteria!$B$33),"No ERSS submission",IF(D57&lt;=SG_Criteria!$B$35,"QP(ST)",IF(D57&lt;=SG_Criteria!$B$36,"QP(ST) + AC","Geotechnical building works: QP(Geo) + AC"))))</f>
        <v/>
      </c>
      <c r="AT57" s="38" t="str">
        <f aca="false">IF(C57="","",IF(LEN(IF(AND(R57&lt;&gt;"",IFERROR(VALUE(MID(R57,2,2)),0)&lt;SG_Criteria!$B$19),"FAIL: grade below C"&amp;SG_Criteria!$B$19&amp;". ","")&amp;IF(AND(S57&lt;&gt;"",S57&lt;SG_Criteria!$B$20),"FAIL: cover &lt; "&amp;SG_Criteria!$B$20&amp;" mm. ","")&amp;IF(AND(W57&lt;&gt;"",W57&lt;1),"FAIL: sliding. ","")&amp;IF(AND(C57="Reverse L-Wall (toe only, at boundary)",N(O57)&gt;0),"NOTE: reverse L-wall should have no heel. ","")&amp;IF(AND(C57="L-Wall (heel only)",N(N57)&gt;0),"NOTE: L-wall should have no toe. ","")&amp;IF(AND(E57&lt;&gt;"",E57&lt;SG_Criteria!$B$31),"NOTE: q below LTA min "&amp;SG_Criteria!$B$31&amp;" kPa (not for LTA works). ",""))=0,"OK",IF(AND(R57&lt;&gt;"",IFERROR(VALUE(MID(R57,2,2)),0)&lt;SG_Criteria!$B$19),"FAIL: grade below C"&amp;SG_Criteria!$B$19&amp;". ","")&amp;IF(AND(S57&lt;&gt;"",S57&lt;SG_Criteria!$B$20),"FAIL: cover &lt; "&amp;SG_Criteria!$B$20&amp;" mm. ","")&amp;IF(AND(W57&lt;&gt;"",W57&lt;1),"FAIL: sliding. ","")&amp;IF(AND(C57="Reverse L-Wall (toe only, at boundary)",N(O57)&gt;0),"NOTE: reverse L-wall should have no heel. ","")&amp;IF(AND(C57="L-Wall (heel only)",N(N57)&gt;0),"NOTE: L-wall should have no toe. ","")&amp;IF(AND(E57&lt;&gt;"",E57&lt;SG_Criteria!$B$31),"NOTE: q below LTA min "&amp;SG_Criteria!$B$31&amp;" kPa (not for LTA works). ","")))</f>
        <v/>
      </c>
      <c r="AU57" s="9"/>
      <c r="AV57" s="9"/>
      <c r="AW57" s="9"/>
      <c r="AX57" s="9"/>
      <c r="AY57" s="9"/>
      <c r="AZ57" s="31"/>
      <c r="BA57" s="10" t="str">
        <f aca="false">IF(C57="","",IF(AND(AB57="Approved",ISERROR(SEARCH("FAIL",AT57))),"Y","N"))</f>
        <v/>
      </c>
      <c r="BB57" s="10" t="str">
        <f aca="false">IF(C57="","",C57&amp;"|"&amp;D57&amp;"|"&amp;E57&amp;"|"&amp;F57&amp;"|"&amp;BA57)</f>
        <v/>
      </c>
    </row>
    <row r="58" customFormat="false" ht="15" hidden="false" customHeight="false" outlineLevel="0" collapsed="false">
      <c r="A58" s="10" t="str">
        <f aca="false">IF(C58="","","RW-"&amp;IFERROR(VLOOKUP(C58,Lists!$M$4:$N$22,2,0),"??")&amp;"-H"&amp;TEXT(D58*1000,"0000")&amp;"-S"&amp;E58&amp;IF(F58="Y","-GW","")&amp;"-"&amp;AA58)</f>
        <v/>
      </c>
      <c r="B58" s="10" t="str">
        <f aca="false">IF(C58="","",C58&amp;", H = "&amp;TEXT(D58,"0.0")&amp;" m, q = "&amp;E58&amp;" kPa"&amp;IF(F58="Y",", with GWT","")&amp;", "&amp;H58)</f>
        <v/>
      </c>
      <c r="C58" s="9"/>
      <c r="D58" s="41"/>
      <c r="E58" s="40"/>
      <c r="F58" s="9"/>
      <c r="G58" s="40"/>
      <c r="H58" s="9"/>
      <c r="I58" s="40"/>
      <c r="J58" s="43"/>
      <c r="K58" s="40"/>
      <c r="L58" s="40"/>
      <c r="M58" s="40"/>
      <c r="N58" s="40"/>
      <c r="O58" s="40"/>
      <c r="P58" s="40"/>
      <c r="Q58" s="9"/>
      <c r="R58" s="9"/>
      <c r="S58" s="40"/>
      <c r="T58" s="9"/>
      <c r="U58" s="9"/>
      <c r="V58" s="9"/>
      <c r="W58" s="41"/>
      <c r="X58" s="41"/>
      <c r="Y58" s="40"/>
      <c r="Z58" s="9"/>
      <c r="AA58" s="9"/>
      <c r="AB58" s="9"/>
      <c r="AC58" s="9"/>
      <c r="AD58" s="9"/>
      <c r="AE58" s="9"/>
      <c r="AF58" s="10" t="str">
        <f aca="false">IF(A58="","",SG_Criteria!$B$6&amp;SG_Criteria!$B$8&amp;"\"&amp;A58&amp;"\")</f>
        <v/>
      </c>
      <c r="AG58" s="10" t="str">
        <f aca="false">IF(A58="","",A58&amp;"_CAD.dwg")</f>
        <v/>
      </c>
      <c r="AH58" s="10" t="str">
        <f aca="false">IF(A58="","",A58&amp;"_DWG.pdf")</f>
        <v/>
      </c>
      <c r="AI58" s="10" t="str">
        <f aca="false">IF(A58="","",IF(AE58="Y",A58&amp;"_STAAD.std","n/a"))</f>
        <v/>
      </c>
      <c r="AJ58" s="10" t="str">
        <f aca="false">IF(A58="","",A58&amp;"_CALC.xlsx")</f>
        <v/>
      </c>
      <c r="AK58" s="10" t="str">
        <f aca="false">IF(A58="","",A58&amp;"_CALC.pdf")</f>
        <v/>
      </c>
      <c r="AL58" s="9"/>
      <c r="AM58" s="9"/>
      <c r="AN58" s="41"/>
      <c r="AO58" s="41"/>
      <c r="AP58" s="41"/>
      <c r="AQ58" s="41"/>
      <c r="AR58" s="41"/>
      <c r="AS58" s="38" t="str">
        <f aca="false">IF(OR(C58="",D58=""),"",IF(D58&lt;=IF(OR(C58="Block / Segmental",C58="Gabion",C58="Reinforced Earth (MSE)"),SG_Criteria!$B$34,SG_Criteria!$B$33),"No ERSS submission",IF(D58&lt;=SG_Criteria!$B$35,"QP(ST)",IF(D58&lt;=SG_Criteria!$B$36,"QP(ST) + AC","Geotechnical building works: QP(Geo) + AC"))))</f>
        <v/>
      </c>
      <c r="AT58" s="38" t="str">
        <f aca="false">IF(C58="","",IF(LEN(IF(AND(R58&lt;&gt;"",IFERROR(VALUE(MID(R58,2,2)),0)&lt;SG_Criteria!$B$19),"FAIL: grade below C"&amp;SG_Criteria!$B$19&amp;". ","")&amp;IF(AND(S58&lt;&gt;"",S58&lt;SG_Criteria!$B$20),"FAIL: cover &lt; "&amp;SG_Criteria!$B$20&amp;" mm. ","")&amp;IF(AND(W58&lt;&gt;"",W58&lt;1),"FAIL: sliding. ","")&amp;IF(AND(C58="Reverse L-Wall (toe only, at boundary)",N(O58)&gt;0),"NOTE: reverse L-wall should have no heel. ","")&amp;IF(AND(C58="L-Wall (heel only)",N(N58)&gt;0),"NOTE: L-wall should have no toe. ","")&amp;IF(AND(E58&lt;&gt;"",E58&lt;SG_Criteria!$B$31),"NOTE: q below LTA min "&amp;SG_Criteria!$B$31&amp;" kPa (not for LTA works). ",""))=0,"OK",IF(AND(R58&lt;&gt;"",IFERROR(VALUE(MID(R58,2,2)),0)&lt;SG_Criteria!$B$19),"FAIL: grade below C"&amp;SG_Criteria!$B$19&amp;". ","")&amp;IF(AND(S58&lt;&gt;"",S58&lt;SG_Criteria!$B$20),"FAIL: cover &lt; "&amp;SG_Criteria!$B$20&amp;" mm. ","")&amp;IF(AND(W58&lt;&gt;"",W58&lt;1),"FAIL: sliding. ","")&amp;IF(AND(C58="Reverse L-Wall (toe only, at boundary)",N(O58)&gt;0),"NOTE: reverse L-wall should have no heel. ","")&amp;IF(AND(C58="L-Wall (heel only)",N(N58)&gt;0),"NOTE: L-wall should have no toe. ","")&amp;IF(AND(E58&lt;&gt;"",E58&lt;SG_Criteria!$B$31),"NOTE: q below LTA min "&amp;SG_Criteria!$B$31&amp;" kPa (not for LTA works). ","")))</f>
        <v/>
      </c>
      <c r="AU58" s="9"/>
      <c r="AV58" s="9"/>
      <c r="AW58" s="9"/>
      <c r="AX58" s="9"/>
      <c r="AY58" s="9"/>
      <c r="AZ58" s="31"/>
      <c r="BA58" s="10" t="str">
        <f aca="false">IF(C58="","",IF(AND(AB58="Approved",ISERROR(SEARCH("FAIL",AT58))),"Y","N"))</f>
        <v/>
      </c>
      <c r="BB58" s="10" t="str">
        <f aca="false">IF(C58="","",C58&amp;"|"&amp;D58&amp;"|"&amp;E58&amp;"|"&amp;F58&amp;"|"&amp;BA58)</f>
        <v/>
      </c>
    </row>
    <row r="59" customFormat="false" ht="15" hidden="false" customHeight="false" outlineLevel="0" collapsed="false">
      <c r="A59" s="10" t="str">
        <f aca="false">IF(C59="","","RW-"&amp;IFERROR(VLOOKUP(C59,Lists!$M$4:$N$22,2,0),"??")&amp;"-H"&amp;TEXT(D59*1000,"0000")&amp;"-S"&amp;E59&amp;IF(F59="Y","-GW","")&amp;"-"&amp;AA59)</f>
        <v/>
      </c>
      <c r="B59" s="10" t="str">
        <f aca="false">IF(C59="","",C59&amp;", H = "&amp;TEXT(D59,"0.0")&amp;" m, q = "&amp;E59&amp;" kPa"&amp;IF(F59="Y",", with GWT","")&amp;", "&amp;H59)</f>
        <v/>
      </c>
      <c r="C59" s="9"/>
      <c r="D59" s="41"/>
      <c r="E59" s="40"/>
      <c r="F59" s="9"/>
      <c r="G59" s="40"/>
      <c r="H59" s="9"/>
      <c r="I59" s="40"/>
      <c r="J59" s="43"/>
      <c r="K59" s="40"/>
      <c r="L59" s="40"/>
      <c r="M59" s="40"/>
      <c r="N59" s="40"/>
      <c r="O59" s="40"/>
      <c r="P59" s="40"/>
      <c r="Q59" s="9"/>
      <c r="R59" s="9"/>
      <c r="S59" s="40"/>
      <c r="T59" s="9"/>
      <c r="U59" s="9"/>
      <c r="V59" s="9"/>
      <c r="W59" s="41"/>
      <c r="X59" s="41"/>
      <c r="Y59" s="40"/>
      <c r="Z59" s="9"/>
      <c r="AA59" s="9"/>
      <c r="AB59" s="9"/>
      <c r="AC59" s="9"/>
      <c r="AD59" s="9"/>
      <c r="AE59" s="9"/>
      <c r="AF59" s="10" t="str">
        <f aca="false">IF(A59="","",SG_Criteria!$B$6&amp;SG_Criteria!$B$8&amp;"\"&amp;A59&amp;"\")</f>
        <v/>
      </c>
      <c r="AG59" s="10" t="str">
        <f aca="false">IF(A59="","",A59&amp;"_CAD.dwg")</f>
        <v/>
      </c>
      <c r="AH59" s="10" t="str">
        <f aca="false">IF(A59="","",A59&amp;"_DWG.pdf")</f>
        <v/>
      </c>
      <c r="AI59" s="10" t="str">
        <f aca="false">IF(A59="","",IF(AE59="Y",A59&amp;"_STAAD.std","n/a"))</f>
        <v/>
      </c>
      <c r="AJ59" s="10" t="str">
        <f aca="false">IF(A59="","",A59&amp;"_CALC.xlsx")</f>
        <v/>
      </c>
      <c r="AK59" s="10" t="str">
        <f aca="false">IF(A59="","",A59&amp;"_CALC.pdf")</f>
        <v/>
      </c>
      <c r="AL59" s="9"/>
      <c r="AM59" s="9"/>
      <c r="AN59" s="41"/>
      <c r="AO59" s="41"/>
      <c r="AP59" s="41"/>
      <c r="AQ59" s="41"/>
      <c r="AR59" s="41"/>
      <c r="AS59" s="38" t="str">
        <f aca="false">IF(OR(C59="",D59=""),"",IF(D59&lt;=IF(OR(C59="Block / Segmental",C59="Gabion",C59="Reinforced Earth (MSE)"),SG_Criteria!$B$34,SG_Criteria!$B$33),"No ERSS submission",IF(D59&lt;=SG_Criteria!$B$35,"QP(ST)",IF(D59&lt;=SG_Criteria!$B$36,"QP(ST) + AC","Geotechnical building works: QP(Geo) + AC"))))</f>
        <v/>
      </c>
      <c r="AT59" s="38" t="str">
        <f aca="false">IF(C59="","",IF(LEN(IF(AND(R59&lt;&gt;"",IFERROR(VALUE(MID(R59,2,2)),0)&lt;SG_Criteria!$B$19),"FAIL: grade below C"&amp;SG_Criteria!$B$19&amp;". ","")&amp;IF(AND(S59&lt;&gt;"",S59&lt;SG_Criteria!$B$20),"FAIL: cover &lt; "&amp;SG_Criteria!$B$20&amp;" mm. ","")&amp;IF(AND(W59&lt;&gt;"",W59&lt;1),"FAIL: sliding. ","")&amp;IF(AND(C59="Reverse L-Wall (toe only, at boundary)",N(O59)&gt;0),"NOTE: reverse L-wall should have no heel. ","")&amp;IF(AND(C59="L-Wall (heel only)",N(N59)&gt;0),"NOTE: L-wall should have no toe. ","")&amp;IF(AND(E59&lt;&gt;"",E59&lt;SG_Criteria!$B$31),"NOTE: q below LTA min "&amp;SG_Criteria!$B$31&amp;" kPa (not for LTA works). ",""))=0,"OK",IF(AND(R59&lt;&gt;"",IFERROR(VALUE(MID(R59,2,2)),0)&lt;SG_Criteria!$B$19),"FAIL: grade below C"&amp;SG_Criteria!$B$19&amp;". ","")&amp;IF(AND(S59&lt;&gt;"",S59&lt;SG_Criteria!$B$20),"FAIL: cover &lt; "&amp;SG_Criteria!$B$20&amp;" mm. ","")&amp;IF(AND(W59&lt;&gt;"",W59&lt;1),"FAIL: sliding. ","")&amp;IF(AND(C59="Reverse L-Wall (toe only, at boundary)",N(O59)&gt;0),"NOTE: reverse L-wall should have no heel. ","")&amp;IF(AND(C59="L-Wall (heel only)",N(N59)&gt;0),"NOTE: L-wall should have no toe. ","")&amp;IF(AND(E59&lt;&gt;"",E59&lt;SG_Criteria!$B$31),"NOTE: q below LTA min "&amp;SG_Criteria!$B$31&amp;" kPa (not for LTA works). ","")))</f>
        <v/>
      </c>
      <c r="AU59" s="9"/>
      <c r="AV59" s="9"/>
      <c r="AW59" s="9"/>
      <c r="AX59" s="9"/>
      <c r="AY59" s="9"/>
      <c r="AZ59" s="31"/>
      <c r="BA59" s="10" t="str">
        <f aca="false">IF(C59="","",IF(AND(AB59="Approved",ISERROR(SEARCH("FAIL",AT59))),"Y","N"))</f>
        <v/>
      </c>
      <c r="BB59" s="10" t="str">
        <f aca="false">IF(C59="","",C59&amp;"|"&amp;D59&amp;"|"&amp;E59&amp;"|"&amp;F59&amp;"|"&amp;BA59)</f>
        <v/>
      </c>
    </row>
    <row r="60" customFormat="false" ht="15" hidden="false" customHeight="false" outlineLevel="0" collapsed="false">
      <c r="A60" s="10" t="str">
        <f aca="false">IF(C60="","","RW-"&amp;IFERROR(VLOOKUP(C60,Lists!$M$4:$N$22,2,0),"??")&amp;"-H"&amp;TEXT(D60*1000,"0000")&amp;"-S"&amp;E60&amp;IF(F60="Y","-GW","")&amp;"-"&amp;AA60)</f>
        <v/>
      </c>
      <c r="B60" s="10" t="str">
        <f aca="false">IF(C60="","",C60&amp;", H = "&amp;TEXT(D60,"0.0")&amp;" m, q = "&amp;E60&amp;" kPa"&amp;IF(F60="Y",", with GWT","")&amp;", "&amp;H60)</f>
        <v/>
      </c>
      <c r="C60" s="9"/>
      <c r="D60" s="41"/>
      <c r="E60" s="40"/>
      <c r="F60" s="9"/>
      <c r="G60" s="40"/>
      <c r="H60" s="9"/>
      <c r="I60" s="40"/>
      <c r="J60" s="43"/>
      <c r="K60" s="40"/>
      <c r="L60" s="40"/>
      <c r="M60" s="40"/>
      <c r="N60" s="40"/>
      <c r="O60" s="40"/>
      <c r="P60" s="40"/>
      <c r="Q60" s="9"/>
      <c r="R60" s="9"/>
      <c r="S60" s="40"/>
      <c r="T60" s="9"/>
      <c r="U60" s="9"/>
      <c r="V60" s="9"/>
      <c r="W60" s="41"/>
      <c r="X60" s="41"/>
      <c r="Y60" s="40"/>
      <c r="Z60" s="9"/>
      <c r="AA60" s="9"/>
      <c r="AB60" s="9"/>
      <c r="AC60" s="9"/>
      <c r="AD60" s="9"/>
      <c r="AE60" s="9"/>
      <c r="AF60" s="10" t="str">
        <f aca="false">IF(A60="","",SG_Criteria!$B$6&amp;SG_Criteria!$B$8&amp;"\"&amp;A60&amp;"\")</f>
        <v/>
      </c>
      <c r="AG60" s="10" t="str">
        <f aca="false">IF(A60="","",A60&amp;"_CAD.dwg")</f>
        <v/>
      </c>
      <c r="AH60" s="10" t="str">
        <f aca="false">IF(A60="","",A60&amp;"_DWG.pdf")</f>
        <v/>
      </c>
      <c r="AI60" s="10" t="str">
        <f aca="false">IF(A60="","",IF(AE60="Y",A60&amp;"_STAAD.std","n/a"))</f>
        <v/>
      </c>
      <c r="AJ60" s="10" t="str">
        <f aca="false">IF(A60="","",A60&amp;"_CALC.xlsx")</f>
        <v/>
      </c>
      <c r="AK60" s="10" t="str">
        <f aca="false">IF(A60="","",A60&amp;"_CALC.pdf")</f>
        <v/>
      </c>
      <c r="AL60" s="9"/>
      <c r="AM60" s="9"/>
      <c r="AN60" s="41"/>
      <c r="AO60" s="41"/>
      <c r="AP60" s="41"/>
      <c r="AQ60" s="41"/>
      <c r="AR60" s="41"/>
      <c r="AS60" s="38" t="str">
        <f aca="false">IF(OR(C60="",D60=""),"",IF(D60&lt;=IF(OR(C60="Block / Segmental",C60="Gabion",C60="Reinforced Earth (MSE)"),SG_Criteria!$B$34,SG_Criteria!$B$33),"No ERSS submission",IF(D60&lt;=SG_Criteria!$B$35,"QP(ST)",IF(D60&lt;=SG_Criteria!$B$36,"QP(ST) + AC","Geotechnical building works: QP(Geo) + AC"))))</f>
        <v/>
      </c>
      <c r="AT60" s="38" t="str">
        <f aca="false">IF(C60="","",IF(LEN(IF(AND(R60&lt;&gt;"",IFERROR(VALUE(MID(R60,2,2)),0)&lt;SG_Criteria!$B$19),"FAIL: grade below C"&amp;SG_Criteria!$B$19&amp;". ","")&amp;IF(AND(S60&lt;&gt;"",S60&lt;SG_Criteria!$B$20),"FAIL: cover &lt; "&amp;SG_Criteria!$B$20&amp;" mm. ","")&amp;IF(AND(W60&lt;&gt;"",W60&lt;1),"FAIL: sliding. ","")&amp;IF(AND(C60="Reverse L-Wall (toe only, at boundary)",N(O60)&gt;0),"NOTE: reverse L-wall should have no heel. ","")&amp;IF(AND(C60="L-Wall (heel only)",N(N60)&gt;0),"NOTE: L-wall should have no toe. ","")&amp;IF(AND(E60&lt;&gt;"",E60&lt;SG_Criteria!$B$31),"NOTE: q below LTA min "&amp;SG_Criteria!$B$31&amp;" kPa (not for LTA works). ",""))=0,"OK",IF(AND(R60&lt;&gt;"",IFERROR(VALUE(MID(R60,2,2)),0)&lt;SG_Criteria!$B$19),"FAIL: grade below C"&amp;SG_Criteria!$B$19&amp;". ","")&amp;IF(AND(S60&lt;&gt;"",S60&lt;SG_Criteria!$B$20),"FAIL: cover &lt; "&amp;SG_Criteria!$B$20&amp;" mm. ","")&amp;IF(AND(W60&lt;&gt;"",W60&lt;1),"FAIL: sliding. ","")&amp;IF(AND(C60="Reverse L-Wall (toe only, at boundary)",N(O60)&gt;0),"NOTE: reverse L-wall should have no heel. ","")&amp;IF(AND(C60="L-Wall (heel only)",N(N60)&gt;0),"NOTE: L-wall should have no toe. ","")&amp;IF(AND(E60&lt;&gt;"",E60&lt;SG_Criteria!$B$31),"NOTE: q below LTA min "&amp;SG_Criteria!$B$31&amp;" kPa (not for LTA works). ","")))</f>
        <v/>
      </c>
      <c r="AU60" s="9"/>
      <c r="AV60" s="9"/>
      <c r="AW60" s="9"/>
      <c r="AX60" s="9"/>
      <c r="AY60" s="9"/>
      <c r="AZ60" s="31"/>
      <c r="BA60" s="10" t="str">
        <f aca="false">IF(C60="","",IF(AND(AB60="Approved",ISERROR(SEARCH("FAIL",AT60))),"Y","N"))</f>
        <v/>
      </c>
      <c r="BB60" s="10" t="str">
        <f aca="false">IF(C60="","",C60&amp;"|"&amp;D60&amp;"|"&amp;E60&amp;"|"&amp;F60&amp;"|"&amp;BA60)</f>
        <v/>
      </c>
    </row>
    <row r="61" customFormat="false" ht="15" hidden="false" customHeight="false" outlineLevel="0" collapsed="false">
      <c r="A61" s="10" t="str">
        <f aca="false">IF(C61="","","RW-"&amp;IFERROR(VLOOKUP(C61,Lists!$M$4:$N$22,2,0),"??")&amp;"-H"&amp;TEXT(D61*1000,"0000")&amp;"-S"&amp;E61&amp;IF(F61="Y","-GW","")&amp;"-"&amp;AA61)</f>
        <v/>
      </c>
      <c r="B61" s="10" t="str">
        <f aca="false">IF(C61="","",C61&amp;", H = "&amp;TEXT(D61,"0.0")&amp;" m, q = "&amp;E61&amp;" kPa"&amp;IF(F61="Y",", with GWT","")&amp;", "&amp;H61)</f>
        <v/>
      </c>
      <c r="C61" s="9"/>
      <c r="D61" s="41"/>
      <c r="E61" s="40"/>
      <c r="F61" s="9"/>
      <c r="G61" s="40"/>
      <c r="H61" s="9"/>
      <c r="I61" s="40"/>
      <c r="J61" s="43"/>
      <c r="K61" s="40"/>
      <c r="L61" s="40"/>
      <c r="M61" s="40"/>
      <c r="N61" s="40"/>
      <c r="O61" s="40"/>
      <c r="P61" s="40"/>
      <c r="Q61" s="9"/>
      <c r="R61" s="9"/>
      <c r="S61" s="40"/>
      <c r="T61" s="9"/>
      <c r="U61" s="9"/>
      <c r="V61" s="9"/>
      <c r="W61" s="41"/>
      <c r="X61" s="41"/>
      <c r="Y61" s="40"/>
      <c r="Z61" s="9"/>
      <c r="AA61" s="9"/>
      <c r="AB61" s="9"/>
      <c r="AC61" s="9"/>
      <c r="AD61" s="9"/>
      <c r="AE61" s="9"/>
      <c r="AF61" s="10" t="str">
        <f aca="false">IF(A61="","",SG_Criteria!$B$6&amp;SG_Criteria!$B$8&amp;"\"&amp;A61&amp;"\")</f>
        <v/>
      </c>
      <c r="AG61" s="10" t="str">
        <f aca="false">IF(A61="","",A61&amp;"_CAD.dwg")</f>
        <v/>
      </c>
      <c r="AH61" s="10" t="str">
        <f aca="false">IF(A61="","",A61&amp;"_DWG.pdf")</f>
        <v/>
      </c>
      <c r="AI61" s="10" t="str">
        <f aca="false">IF(A61="","",IF(AE61="Y",A61&amp;"_STAAD.std","n/a"))</f>
        <v/>
      </c>
      <c r="AJ61" s="10" t="str">
        <f aca="false">IF(A61="","",A61&amp;"_CALC.xlsx")</f>
        <v/>
      </c>
      <c r="AK61" s="10" t="str">
        <f aca="false">IF(A61="","",A61&amp;"_CALC.pdf")</f>
        <v/>
      </c>
      <c r="AL61" s="9"/>
      <c r="AM61" s="9"/>
      <c r="AN61" s="41"/>
      <c r="AO61" s="41"/>
      <c r="AP61" s="41"/>
      <c r="AQ61" s="41"/>
      <c r="AR61" s="41"/>
      <c r="AS61" s="38" t="str">
        <f aca="false">IF(OR(C61="",D61=""),"",IF(D61&lt;=IF(OR(C61="Block / Segmental",C61="Gabion",C61="Reinforced Earth (MSE)"),SG_Criteria!$B$34,SG_Criteria!$B$33),"No ERSS submission",IF(D61&lt;=SG_Criteria!$B$35,"QP(ST)",IF(D61&lt;=SG_Criteria!$B$36,"QP(ST) + AC","Geotechnical building works: QP(Geo) + AC"))))</f>
        <v/>
      </c>
      <c r="AT61" s="38" t="str">
        <f aca="false">IF(C61="","",IF(LEN(IF(AND(R61&lt;&gt;"",IFERROR(VALUE(MID(R61,2,2)),0)&lt;SG_Criteria!$B$19),"FAIL: grade below C"&amp;SG_Criteria!$B$19&amp;". ","")&amp;IF(AND(S61&lt;&gt;"",S61&lt;SG_Criteria!$B$20),"FAIL: cover &lt; "&amp;SG_Criteria!$B$20&amp;" mm. ","")&amp;IF(AND(W61&lt;&gt;"",W61&lt;1),"FAIL: sliding. ","")&amp;IF(AND(C61="Reverse L-Wall (toe only, at boundary)",N(O61)&gt;0),"NOTE: reverse L-wall should have no heel. ","")&amp;IF(AND(C61="L-Wall (heel only)",N(N61)&gt;0),"NOTE: L-wall should have no toe. ","")&amp;IF(AND(E61&lt;&gt;"",E61&lt;SG_Criteria!$B$31),"NOTE: q below LTA min "&amp;SG_Criteria!$B$31&amp;" kPa (not for LTA works). ",""))=0,"OK",IF(AND(R61&lt;&gt;"",IFERROR(VALUE(MID(R61,2,2)),0)&lt;SG_Criteria!$B$19),"FAIL: grade below C"&amp;SG_Criteria!$B$19&amp;". ","")&amp;IF(AND(S61&lt;&gt;"",S61&lt;SG_Criteria!$B$20),"FAIL: cover &lt; "&amp;SG_Criteria!$B$20&amp;" mm. ","")&amp;IF(AND(W61&lt;&gt;"",W61&lt;1),"FAIL: sliding. ","")&amp;IF(AND(C61="Reverse L-Wall (toe only, at boundary)",N(O61)&gt;0),"NOTE: reverse L-wall should have no heel. ","")&amp;IF(AND(C61="L-Wall (heel only)",N(N61)&gt;0),"NOTE: L-wall should have no toe. ","")&amp;IF(AND(E61&lt;&gt;"",E61&lt;SG_Criteria!$B$31),"NOTE: q below LTA min "&amp;SG_Criteria!$B$31&amp;" kPa (not for LTA works). ","")))</f>
        <v/>
      </c>
      <c r="AU61" s="9"/>
      <c r="AV61" s="9"/>
      <c r="AW61" s="9"/>
      <c r="AX61" s="9"/>
      <c r="AY61" s="9"/>
      <c r="AZ61" s="31"/>
      <c r="BA61" s="10" t="str">
        <f aca="false">IF(C61="","",IF(AND(AB61="Approved",ISERROR(SEARCH("FAIL",AT61))),"Y","N"))</f>
        <v/>
      </c>
      <c r="BB61" s="10" t="str">
        <f aca="false">IF(C61="","",C61&amp;"|"&amp;D61&amp;"|"&amp;E61&amp;"|"&amp;F61&amp;"|"&amp;BA61)</f>
        <v/>
      </c>
    </row>
    <row r="62" customFormat="false" ht="15" hidden="false" customHeight="false" outlineLevel="0" collapsed="false">
      <c r="A62" s="10" t="str">
        <f aca="false">IF(C62="","","RW-"&amp;IFERROR(VLOOKUP(C62,Lists!$M$4:$N$22,2,0),"??")&amp;"-H"&amp;TEXT(D62*1000,"0000")&amp;"-S"&amp;E62&amp;IF(F62="Y","-GW","")&amp;"-"&amp;AA62)</f>
        <v/>
      </c>
      <c r="B62" s="10" t="str">
        <f aca="false">IF(C62="","",C62&amp;", H = "&amp;TEXT(D62,"0.0")&amp;" m, q = "&amp;E62&amp;" kPa"&amp;IF(F62="Y",", with GWT","")&amp;", "&amp;H62)</f>
        <v/>
      </c>
      <c r="C62" s="9"/>
      <c r="D62" s="41"/>
      <c r="E62" s="40"/>
      <c r="F62" s="9"/>
      <c r="G62" s="40"/>
      <c r="H62" s="9"/>
      <c r="I62" s="40"/>
      <c r="J62" s="43"/>
      <c r="K62" s="40"/>
      <c r="L62" s="40"/>
      <c r="M62" s="40"/>
      <c r="N62" s="40"/>
      <c r="O62" s="40"/>
      <c r="P62" s="40"/>
      <c r="Q62" s="9"/>
      <c r="R62" s="9"/>
      <c r="S62" s="40"/>
      <c r="T62" s="9"/>
      <c r="U62" s="9"/>
      <c r="V62" s="9"/>
      <c r="W62" s="41"/>
      <c r="X62" s="41"/>
      <c r="Y62" s="40"/>
      <c r="Z62" s="9"/>
      <c r="AA62" s="9"/>
      <c r="AB62" s="9"/>
      <c r="AC62" s="9"/>
      <c r="AD62" s="9"/>
      <c r="AE62" s="9"/>
      <c r="AF62" s="10" t="str">
        <f aca="false">IF(A62="","",SG_Criteria!$B$6&amp;SG_Criteria!$B$8&amp;"\"&amp;A62&amp;"\")</f>
        <v/>
      </c>
      <c r="AG62" s="10" t="str">
        <f aca="false">IF(A62="","",A62&amp;"_CAD.dwg")</f>
        <v/>
      </c>
      <c r="AH62" s="10" t="str">
        <f aca="false">IF(A62="","",A62&amp;"_DWG.pdf")</f>
        <v/>
      </c>
      <c r="AI62" s="10" t="str">
        <f aca="false">IF(A62="","",IF(AE62="Y",A62&amp;"_STAAD.std","n/a"))</f>
        <v/>
      </c>
      <c r="AJ62" s="10" t="str">
        <f aca="false">IF(A62="","",A62&amp;"_CALC.xlsx")</f>
        <v/>
      </c>
      <c r="AK62" s="10" t="str">
        <f aca="false">IF(A62="","",A62&amp;"_CALC.pdf")</f>
        <v/>
      </c>
      <c r="AL62" s="9"/>
      <c r="AM62" s="9"/>
      <c r="AN62" s="41"/>
      <c r="AO62" s="41"/>
      <c r="AP62" s="41"/>
      <c r="AQ62" s="41"/>
      <c r="AR62" s="41"/>
      <c r="AS62" s="38" t="str">
        <f aca="false">IF(OR(C62="",D62=""),"",IF(D62&lt;=IF(OR(C62="Block / Segmental",C62="Gabion",C62="Reinforced Earth (MSE)"),SG_Criteria!$B$34,SG_Criteria!$B$33),"No ERSS submission",IF(D62&lt;=SG_Criteria!$B$35,"QP(ST)",IF(D62&lt;=SG_Criteria!$B$36,"QP(ST) + AC","Geotechnical building works: QP(Geo) + AC"))))</f>
        <v/>
      </c>
      <c r="AT62" s="38" t="str">
        <f aca="false">IF(C62="","",IF(LEN(IF(AND(R62&lt;&gt;"",IFERROR(VALUE(MID(R62,2,2)),0)&lt;SG_Criteria!$B$19),"FAIL: grade below C"&amp;SG_Criteria!$B$19&amp;". ","")&amp;IF(AND(S62&lt;&gt;"",S62&lt;SG_Criteria!$B$20),"FAIL: cover &lt; "&amp;SG_Criteria!$B$20&amp;" mm. ","")&amp;IF(AND(W62&lt;&gt;"",W62&lt;1),"FAIL: sliding. ","")&amp;IF(AND(C62="Reverse L-Wall (toe only, at boundary)",N(O62)&gt;0),"NOTE: reverse L-wall should have no heel. ","")&amp;IF(AND(C62="L-Wall (heel only)",N(N62)&gt;0),"NOTE: L-wall should have no toe. ","")&amp;IF(AND(E62&lt;&gt;"",E62&lt;SG_Criteria!$B$31),"NOTE: q below LTA min "&amp;SG_Criteria!$B$31&amp;" kPa (not for LTA works). ",""))=0,"OK",IF(AND(R62&lt;&gt;"",IFERROR(VALUE(MID(R62,2,2)),0)&lt;SG_Criteria!$B$19),"FAIL: grade below C"&amp;SG_Criteria!$B$19&amp;". ","")&amp;IF(AND(S62&lt;&gt;"",S62&lt;SG_Criteria!$B$20),"FAIL: cover &lt; "&amp;SG_Criteria!$B$20&amp;" mm. ","")&amp;IF(AND(W62&lt;&gt;"",W62&lt;1),"FAIL: sliding. ","")&amp;IF(AND(C62="Reverse L-Wall (toe only, at boundary)",N(O62)&gt;0),"NOTE: reverse L-wall should have no heel. ","")&amp;IF(AND(C62="L-Wall (heel only)",N(N62)&gt;0),"NOTE: L-wall should have no toe. ","")&amp;IF(AND(E62&lt;&gt;"",E62&lt;SG_Criteria!$B$31),"NOTE: q below LTA min "&amp;SG_Criteria!$B$31&amp;" kPa (not for LTA works). ","")))</f>
        <v/>
      </c>
      <c r="AU62" s="9"/>
      <c r="AV62" s="9"/>
      <c r="AW62" s="9"/>
      <c r="AX62" s="9"/>
      <c r="AY62" s="9"/>
      <c r="AZ62" s="31"/>
      <c r="BA62" s="10" t="str">
        <f aca="false">IF(C62="","",IF(AND(AB62="Approved",ISERROR(SEARCH("FAIL",AT62))),"Y","N"))</f>
        <v/>
      </c>
      <c r="BB62" s="10" t="str">
        <f aca="false">IF(C62="","",C62&amp;"|"&amp;D62&amp;"|"&amp;E62&amp;"|"&amp;F62&amp;"|"&amp;BA62)</f>
        <v/>
      </c>
    </row>
    <row r="63" customFormat="false" ht="15" hidden="false" customHeight="false" outlineLevel="0" collapsed="false">
      <c r="A63" s="10" t="str">
        <f aca="false">IF(C63="","","RW-"&amp;IFERROR(VLOOKUP(C63,Lists!$M$4:$N$22,2,0),"??")&amp;"-H"&amp;TEXT(D63*1000,"0000")&amp;"-S"&amp;E63&amp;IF(F63="Y","-GW","")&amp;"-"&amp;AA63)</f>
        <v/>
      </c>
      <c r="B63" s="10" t="str">
        <f aca="false">IF(C63="","",C63&amp;", H = "&amp;TEXT(D63,"0.0")&amp;" m, q = "&amp;E63&amp;" kPa"&amp;IF(F63="Y",", with GWT","")&amp;", "&amp;H63)</f>
        <v/>
      </c>
      <c r="C63" s="9"/>
      <c r="D63" s="41"/>
      <c r="E63" s="40"/>
      <c r="F63" s="9"/>
      <c r="G63" s="40"/>
      <c r="H63" s="9"/>
      <c r="I63" s="40"/>
      <c r="J63" s="43"/>
      <c r="K63" s="40"/>
      <c r="L63" s="40"/>
      <c r="M63" s="40"/>
      <c r="N63" s="40"/>
      <c r="O63" s="40"/>
      <c r="P63" s="40"/>
      <c r="Q63" s="9"/>
      <c r="R63" s="9"/>
      <c r="S63" s="40"/>
      <c r="T63" s="9"/>
      <c r="U63" s="9"/>
      <c r="V63" s="9"/>
      <c r="W63" s="41"/>
      <c r="X63" s="41"/>
      <c r="Y63" s="40"/>
      <c r="Z63" s="9"/>
      <c r="AA63" s="9"/>
      <c r="AB63" s="9"/>
      <c r="AC63" s="9"/>
      <c r="AD63" s="9"/>
      <c r="AE63" s="9"/>
      <c r="AF63" s="10" t="str">
        <f aca="false">IF(A63="","",SG_Criteria!$B$6&amp;SG_Criteria!$B$8&amp;"\"&amp;A63&amp;"\")</f>
        <v/>
      </c>
      <c r="AG63" s="10" t="str">
        <f aca="false">IF(A63="","",A63&amp;"_CAD.dwg")</f>
        <v/>
      </c>
      <c r="AH63" s="10" t="str">
        <f aca="false">IF(A63="","",A63&amp;"_DWG.pdf")</f>
        <v/>
      </c>
      <c r="AI63" s="10" t="str">
        <f aca="false">IF(A63="","",IF(AE63="Y",A63&amp;"_STAAD.std","n/a"))</f>
        <v/>
      </c>
      <c r="AJ63" s="10" t="str">
        <f aca="false">IF(A63="","",A63&amp;"_CALC.xlsx")</f>
        <v/>
      </c>
      <c r="AK63" s="10" t="str">
        <f aca="false">IF(A63="","",A63&amp;"_CALC.pdf")</f>
        <v/>
      </c>
      <c r="AL63" s="9"/>
      <c r="AM63" s="9"/>
      <c r="AN63" s="41"/>
      <c r="AO63" s="41"/>
      <c r="AP63" s="41"/>
      <c r="AQ63" s="41"/>
      <c r="AR63" s="41"/>
      <c r="AS63" s="38" t="str">
        <f aca="false">IF(OR(C63="",D63=""),"",IF(D63&lt;=IF(OR(C63="Block / Segmental",C63="Gabion",C63="Reinforced Earth (MSE)"),SG_Criteria!$B$34,SG_Criteria!$B$33),"No ERSS submission",IF(D63&lt;=SG_Criteria!$B$35,"QP(ST)",IF(D63&lt;=SG_Criteria!$B$36,"QP(ST) + AC","Geotechnical building works: QP(Geo) + AC"))))</f>
        <v/>
      </c>
      <c r="AT63" s="38" t="str">
        <f aca="false">IF(C63="","",IF(LEN(IF(AND(R63&lt;&gt;"",IFERROR(VALUE(MID(R63,2,2)),0)&lt;SG_Criteria!$B$19),"FAIL: grade below C"&amp;SG_Criteria!$B$19&amp;". ","")&amp;IF(AND(S63&lt;&gt;"",S63&lt;SG_Criteria!$B$20),"FAIL: cover &lt; "&amp;SG_Criteria!$B$20&amp;" mm. ","")&amp;IF(AND(W63&lt;&gt;"",W63&lt;1),"FAIL: sliding. ","")&amp;IF(AND(C63="Reverse L-Wall (toe only, at boundary)",N(O63)&gt;0),"NOTE: reverse L-wall should have no heel. ","")&amp;IF(AND(C63="L-Wall (heel only)",N(N63)&gt;0),"NOTE: L-wall should have no toe. ","")&amp;IF(AND(E63&lt;&gt;"",E63&lt;SG_Criteria!$B$31),"NOTE: q below LTA min "&amp;SG_Criteria!$B$31&amp;" kPa (not for LTA works). ",""))=0,"OK",IF(AND(R63&lt;&gt;"",IFERROR(VALUE(MID(R63,2,2)),0)&lt;SG_Criteria!$B$19),"FAIL: grade below C"&amp;SG_Criteria!$B$19&amp;". ","")&amp;IF(AND(S63&lt;&gt;"",S63&lt;SG_Criteria!$B$20),"FAIL: cover &lt; "&amp;SG_Criteria!$B$20&amp;" mm. ","")&amp;IF(AND(W63&lt;&gt;"",W63&lt;1),"FAIL: sliding. ","")&amp;IF(AND(C63="Reverse L-Wall (toe only, at boundary)",N(O63)&gt;0),"NOTE: reverse L-wall should have no heel. ","")&amp;IF(AND(C63="L-Wall (heel only)",N(N63)&gt;0),"NOTE: L-wall should have no toe. ","")&amp;IF(AND(E63&lt;&gt;"",E63&lt;SG_Criteria!$B$31),"NOTE: q below LTA min "&amp;SG_Criteria!$B$31&amp;" kPa (not for LTA works). ","")))</f>
        <v/>
      </c>
      <c r="AU63" s="9"/>
      <c r="AV63" s="9"/>
      <c r="AW63" s="9"/>
      <c r="AX63" s="9"/>
      <c r="AY63" s="9"/>
      <c r="AZ63" s="31"/>
      <c r="BA63" s="10" t="str">
        <f aca="false">IF(C63="","",IF(AND(AB63="Approved",ISERROR(SEARCH("FAIL",AT63))),"Y","N"))</f>
        <v/>
      </c>
      <c r="BB63" s="10" t="str">
        <f aca="false">IF(C63="","",C63&amp;"|"&amp;D63&amp;"|"&amp;E63&amp;"|"&amp;F63&amp;"|"&amp;BA63)</f>
        <v/>
      </c>
    </row>
    <row r="64" customFormat="false" ht="15" hidden="false" customHeight="false" outlineLevel="0" collapsed="false">
      <c r="A64" s="10" t="str">
        <f aca="false">IF(C64="","","RW-"&amp;IFERROR(VLOOKUP(C64,Lists!$M$4:$N$22,2,0),"??")&amp;"-H"&amp;TEXT(D64*1000,"0000")&amp;"-S"&amp;E64&amp;IF(F64="Y","-GW","")&amp;"-"&amp;AA64)</f>
        <v/>
      </c>
      <c r="B64" s="10" t="str">
        <f aca="false">IF(C64="","",C64&amp;", H = "&amp;TEXT(D64,"0.0")&amp;" m, q = "&amp;E64&amp;" kPa"&amp;IF(F64="Y",", with GWT","")&amp;", "&amp;H64)</f>
        <v/>
      </c>
      <c r="C64" s="9"/>
      <c r="D64" s="41"/>
      <c r="E64" s="40"/>
      <c r="F64" s="9"/>
      <c r="G64" s="40"/>
      <c r="H64" s="9"/>
      <c r="I64" s="40"/>
      <c r="J64" s="43"/>
      <c r="K64" s="40"/>
      <c r="L64" s="40"/>
      <c r="M64" s="40"/>
      <c r="N64" s="40"/>
      <c r="O64" s="40"/>
      <c r="P64" s="40"/>
      <c r="Q64" s="9"/>
      <c r="R64" s="9"/>
      <c r="S64" s="40"/>
      <c r="T64" s="9"/>
      <c r="U64" s="9"/>
      <c r="V64" s="9"/>
      <c r="W64" s="41"/>
      <c r="X64" s="41"/>
      <c r="Y64" s="40"/>
      <c r="Z64" s="9"/>
      <c r="AA64" s="9"/>
      <c r="AB64" s="9"/>
      <c r="AC64" s="9"/>
      <c r="AD64" s="9"/>
      <c r="AE64" s="9"/>
      <c r="AF64" s="10" t="str">
        <f aca="false">IF(A64="","",SG_Criteria!$B$6&amp;SG_Criteria!$B$8&amp;"\"&amp;A64&amp;"\")</f>
        <v/>
      </c>
      <c r="AG64" s="10" t="str">
        <f aca="false">IF(A64="","",A64&amp;"_CAD.dwg")</f>
        <v/>
      </c>
      <c r="AH64" s="10" t="str">
        <f aca="false">IF(A64="","",A64&amp;"_DWG.pdf")</f>
        <v/>
      </c>
      <c r="AI64" s="10" t="str">
        <f aca="false">IF(A64="","",IF(AE64="Y",A64&amp;"_STAAD.std","n/a"))</f>
        <v/>
      </c>
      <c r="AJ64" s="10" t="str">
        <f aca="false">IF(A64="","",A64&amp;"_CALC.xlsx")</f>
        <v/>
      </c>
      <c r="AK64" s="10" t="str">
        <f aca="false">IF(A64="","",A64&amp;"_CALC.pdf")</f>
        <v/>
      </c>
      <c r="AL64" s="9"/>
      <c r="AM64" s="9"/>
      <c r="AN64" s="41"/>
      <c r="AO64" s="41"/>
      <c r="AP64" s="41"/>
      <c r="AQ64" s="41"/>
      <c r="AR64" s="41"/>
      <c r="AS64" s="38" t="str">
        <f aca="false">IF(OR(C64="",D64=""),"",IF(D64&lt;=IF(OR(C64="Block / Segmental",C64="Gabion",C64="Reinforced Earth (MSE)"),SG_Criteria!$B$34,SG_Criteria!$B$33),"No ERSS submission",IF(D64&lt;=SG_Criteria!$B$35,"QP(ST)",IF(D64&lt;=SG_Criteria!$B$36,"QP(ST) + AC","Geotechnical building works: QP(Geo) + AC"))))</f>
        <v/>
      </c>
      <c r="AT64" s="38" t="str">
        <f aca="false">IF(C64="","",IF(LEN(IF(AND(R64&lt;&gt;"",IFERROR(VALUE(MID(R64,2,2)),0)&lt;SG_Criteria!$B$19),"FAIL: grade below C"&amp;SG_Criteria!$B$19&amp;". ","")&amp;IF(AND(S64&lt;&gt;"",S64&lt;SG_Criteria!$B$20),"FAIL: cover &lt; "&amp;SG_Criteria!$B$20&amp;" mm. ","")&amp;IF(AND(W64&lt;&gt;"",W64&lt;1),"FAIL: sliding. ","")&amp;IF(AND(C64="Reverse L-Wall (toe only, at boundary)",N(O64)&gt;0),"NOTE: reverse L-wall should have no heel. ","")&amp;IF(AND(C64="L-Wall (heel only)",N(N64)&gt;0),"NOTE: L-wall should have no toe. ","")&amp;IF(AND(E64&lt;&gt;"",E64&lt;SG_Criteria!$B$31),"NOTE: q below LTA min "&amp;SG_Criteria!$B$31&amp;" kPa (not for LTA works). ",""))=0,"OK",IF(AND(R64&lt;&gt;"",IFERROR(VALUE(MID(R64,2,2)),0)&lt;SG_Criteria!$B$19),"FAIL: grade below C"&amp;SG_Criteria!$B$19&amp;". ","")&amp;IF(AND(S64&lt;&gt;"",S64&lt;SG_Criteria!$B$20),"FAIL: cover &lt; "&amp;SG_Criteria!$B$20&amp;" mm. ","")&amp;IF(AND(W64&lt;&gt;"",W64&lt;1),"FAIL: sliding. ","")&amp;IF(AND(C64="Reverse L-Wall (toe only, at boundary)",N(O64)&gt;0),"NOTE: reverse L-wall should have no heel. ","")&amp;IF(AND(C64="L-Wall (heel only)",N(N64)&gt;0),"NOTE: L-wall should have no toe. ","")&amp;IF(AND(E64&lt;&gt;"",E64&lt;SG_Criteria!$B$31),"NOTE: q below LTA min "&amp;SG_Criteria!$B$31&amp;" kPa (not for LTA works). ","")))</f>
        <v/>
      </c>
      <c r="AU64" s="9"/>
      <c r="AV64" s="9"/>
      <c r="AW64" s="9"/>
      <c r="AX64" s="9"/>
      <c r="AY64" s="9"/>
      <c r="AZ64" s="31"/>
      <c r="BA64" s="10" t="str">
        <f aca="false">IF(C64="","",IF(AND(AB64="Approved",ISERROR(SEARCH("FAIL",AT64))),"Y","N"))</f>
        <v/>
      </c>
      <c r="BB64" s="10" t="str">
        <f aca="false">IF(C64="","",C64&amp;"|"&amp;D64&amp;"|"&amp;E64&amp;"|"&amp;F64&amp;"|"&amp;BA64)</f>
        <v/>
      </c>
    </row>
    <row r="65" customFormat="false" ht="15" hidden="false" customHeight="false" outlineLevel="0" collapsed="false">
      <c r="A65" s="10" t="str">
        <f aca="false">IF(C65="","","RW-"&amp;IFERROR(VLOOKUP(C65,Lists!$M$4:$N$22,2,0),"??")&amp;"-H"&amp;TEXT(D65*1000,"0000")&amp;"-S"&amp;E65&amp;IF(F65="Y","-GW","")&amp;"-"&amp;AA65)</f>
        <v/>
      </c>
      <c r="B65" s="10" t="str">
        <f aca="false">IF(C65="","",C65&amp;", H = "&amp;TEXT(D65,"0.0")&amp;" m, q = "&amp;E65&amp;" kPa"&amp;IF(F65="Y",", with GWT","")&amp;", "&amp;H65)</f>
        <v/>
      </c>
      <c r="C65" s="9"/>
      <c r="D65" s="41"/>
      <c r="E65" s="40"/>
      <c r="F65" s="9"/>
      <c r="G65" s="40"/>
      <c r="H65" s="9"/>
      <c r="I65" s="40"/>
      <c r="J65" s="43"/>
      <c r="K65" s="40"/>
      <c r="L65" s="40"/>
      <c r="M65" s="40"/>
      <c r="N65" s="40"/>
      <c r="O65" s="40"/>
      <c r="P65" s="40"/>
      <c r="Q65" s="9"/>
      <c r="R65" s="9"/>
      <c r="S65" s="40"/>
      <c r="T65" s="9"/>
      <c r="U65" s="9"/>
      <c r="V65" s="9"/>
      <c r="W65" s="41"/>
      <c r="X65" s="41"/>
      <c r="Y65" s="40"/>
      <c r="Z65" s="9"/>
      <c r="AA65" s="9"/>
      <c r="AB65" s="9"/>
      <c r="AC65" s="9"/>
      <c r="AD65" s="9"/>
      <c r="AE65" s="9"/>
      <c r="AF65" s="10" t="str">
        <f aca="false">IF(A65="","",SG_Criteria!$B$6&amp;SG_Criteria!$B$8&amp;"\"&amp;A65&amp;"\")</f>
        <v/>
      </c>
      <c r="AG65" s="10" t="str">
        <f aca="false">IF(A65="","",A65&amp;"_CAD.dwg")</f>
        <v/>
      </c>
      <c r="AH65" s="10" t="str">
        <f aca="false">IF(A65="","",A65&amp;"_DWG.pdf")</f>
        <v/>
      </c>
      <c r="AI65" s="10" t="str">
        <f aca="false">IF(A65="","",IF(AE65="Y",A65&amp;"_STAAD.std","n/a"))</f>
        <v/>
      </c>
      <c r="AJ65" s="10" t="str">
        <f aca="false">IF(A65="","",A65&amp;"_CALC.xlsx")</f>
        <v/>
      </c>
      <c r="AK65" s="10" t="str">
        <f aca="false">IF(A65="","",A65&amp;"_CALC.pdf")</f>
        <v/>
      </c>
      <c r="AL65" s="9"/>
      <c r="AM65" s="9"/>
      <c r="AN65" s="41"/>
      <c r="AO65" s="41"/>
      <c r="AP65" s="41"/>
      <c r="AQ65" s="41"/>
      <c r="AR65" s="41"/>
      <c r="AS65" s="38" t="str">
        <f aca="false">IF(OR(C65="",D65=""),"",IF(D65&lt;=IF(OR(C65="Block / Segmental",C65="Gabion",C65="Reinforced Earth (MSE)"),SG_Criteria!$B$34,SG_Criteria!$B$33),"No ERSS submission",IF(D65&lt;=SG_Criteria!$B$35,"QP(ST)",IF(D65&lt;=SG_Criteria!$B$36,"QP(ST) + AC","Geotechnical building works: QP(Geo) + AC"))))</f>
        <v/>
      </c>
      <c r="AT65" s="38" t="str">
        <f aca="false">IF(C65="","",IF(LEN(IF(AND(R65&lt;&gt;"",IFERROR(VALUE(MID(R65,2,2)),0)&lt;SG_Criteria!$B$19),"FAIL: grade below C"&amp;SG_Criteria!$B$19&amp;". ","")&amp;IF(AND(S65&lt;&gt;"",S65&lt;SG_Criteria!$B$20),"FAIL: cover &lt; "&amp;SG_Criteria!$B$20&amp;" mm. ","")&amp;IF(AND(W65&lt;&gt;"",W65&lt;1),"FAIL: sliding. ","")&amp;IF(AND(C65="Reverse L-Wall (toe only, at boundary)",N(O65)&gt;0),"NOTE: reverse L-wall should have no heel. ","")&amp;IF(AND(C65="L-Wall (heel only)",N(N65)&gt;0),"NOTE: L-wall should have no toe. ","")&amp;IF(AND(E65&lt;&gt;"",E65&lt;SG_Criteria!$B$31),"NOTE: q below LTA min "&amp;SG_Criteria!$B$31&amp;" kPa (not for LTA works). ",""))=0,"OK",IF(AND(R65&lt;&gt;"",IFERROR(VALUE(MID(R65,2,2)),0)&lt;SG_Criteria!$B$19),"FAIL: grade below C"&amp;SG_Criteria!$B$19&amp;". ","")&amp;IF(AND(S65&lt;&gt;"",S65&lt;SG_Criteria!$B$20),"FAIL: cover &lt; "&amp;SG_Criteria!$B$20&amp;" mm. ","")&amp;IF(AND(W65&lt;&gt;"",W65&lt;1),"FAIL: sliding. ","")&amp;IF(AND(C65="Reverse L-Wall (toe only, at boundary)",N(O65)&gt;0),"NOTE: reverse L-wall should have no heel. ","")&amp;IF(AND(C65="L-Wall (heel only)",N(N65)&gt;0),"NOTE: L-wall should have no toe. ","")&amp;IF(AND(E65&lt;&gt;"",E65&lt;SG_Criteria!$B$31),"NOTE: q below LTA min "&amp;SG_Criteria!$B$31&amp;" kPa (not for LTA works). ","")))</f>
        <v/>
      </c>
      <c r="AU65" s="9"/>
      <c r="AV65" s="9"/>
      <c r="AW65" s="9"/>
      <c r="AX65" s="9"/>
      <c r="AY65" s="9"/>
      <c r="AZ65" s="31"/>
      <c r="BA65" s="10" t="str">
        <f aca="false">IF(C65="","",IF(AND(AB65="Approved",ISERROR(SEARCH("FAIL",AT65))),"Y","N"))</f>
        <v/>
      </c>
      <c r="BB65" s="10" t="str">
        <f aca="false">IF(C65="","",C65&amp;"|"&amp;D65&amp;"|"&amp;E65&amp;"|"&amp;F65&amp;"|"&amp;BA65)</f>
        <v/>
      </c>
    </row>
    <row r="66" customFormat="false" ht="15" hidden="false" customHeight="false" outlineLevel="0" collapsed="false">
      <c r="A66" s="10" t="str">
        <f aca="false">IF(C66="","","RW-"&amp;IFERROR(VLOOKUP(C66,Lists!$M$4:$N$22,2,0),"??")&amp;"-H"&amp;TEXT(D66*1000,"0000")&amp;"-S"&amp;E66&amp;IF(F66="Y","-GW","")&amp;"-"&amp;AA66)</f>
        <v/>
      </c>
      <c r="B66" s="10" t="str">
        <f aca="false">IF(C66="","",C66&amp;", H = "&amp;TEXT(D66,"0.0")&amp;" m, q = "&amp;E66&amp;" kPa"&amp;IF(F66="Y",", with GWT","")&amp;", "&amp;H66)</f>
        <v/>
      </c>
      <c r="C66" s="9"/>
      <c r="D66" s="41"/>
      <c r="E66" s="40"/>
      <c r="F66" s="9"/>
      <c r="G66" s="40"/>
      <c r="H66" s="9"/>
      <c r="I66" s="40"/>
      <c r="J66" s="43"/>
      <c r="K66" s="40"/>
      <c r="L66" s="40"/>
      <c r="M66" s="40"/>
      <c r="N66" s="40"/>
      <c r="O66" s="40"/>
      <c r="P66" s="40"/>
      <c r="Q66" s="9"/>
      <c r="R66" s="9"/>
      <c r="S66" s="40"/>
      <c r="T66" s="9"/>
      <c r="U66" s="9"/>
      <c r="V66" s="9"/>
      <c r="W66" s="41"/>
      <c r="X66" s="41"/>
      <c r="Y66" s="40"/>
      <c r="Z66" s="9"/>
      <c r="AA66" s="9"/>
      <c r="AB66" s="9"/>
      <c r="AC66" s="9"/>
      <c r="AD66" s="9"/>
      <c r="AE66" s="9"/>
      <c r="AF66" s="10" t="str">
        <f aca="false">IF(A66="","",SG_Criteria!$B$6&amp;SG_Criteria!$B$8&amp;"\"&amp;A66&amp;"\")</f>
        <v/>
      </c>
      <c r="AG66" s="10" t="str">
        <f aca="false">IF(A66="","",A66&amp;"_CAD.dwg")</f>
        <v/>
      </c>
      <c r="AH66" s="10" t="str">
        <f aca="false">IF(A66="","",A66&amp;"_DWG.pdf")</f>
        <v/>
      </c>
      <c r="AI66" s="10" t="str">
        <f aca="false">IF(A66="","",IF(AE66="Y",A66&amp;"_STAAD.std","n/a"))</f>
        <v/>
      </c>
      <c r="AJ66" s="10" t="str">
        <f aca="false">IF(A66="","",A66&amp;"_CALC.xlsx")</f>
        <v/>
      </c>
      <c r="AK66" s="10" t="str">
        <f aca="false">IF(A66="","",A66&amp;"_CALC.pdf")</f>
        <v/>
      </c>
      <c r="AL66" s="9"/>
      <c r="AM66" s="9"/>
      <c r="AN66" s="41"/>
      <c r="AO66" s="41"/>
      <c r="AP66" s="41"/>
      <c r="AQ66" s="41"/>
      <c r="AR66" s="41"/>
      <c r="AS66" s="38" t="str">
        <f aca="false">IF(OR(C66="",D66=""),"",IF(D66&lt;=IF(OR(C66="Block / Segmental",C66="Gabion",C66="Reinforced Earth (MSE)"),SG_Criteria!$B$34,SG_Criteria!$B$33),"No ERSS submission",IF(D66&lt;=SG_Criteria!$B$35,"QP(ST)",IF(D66&lt;=SG_Criteria!$B$36,"QP(ST) + AC","Geotechnical building works: QP(Geo) + AC"))))</f>
        <v/>
      </c>
      <c r="AT66" s="38" t="str">
        <f aca="false">IF(C66="","",IF(LEN(IF(AND(R66&lt;&gt;"",IFERROR(VALUE(MID(R66,2,2)),0)&lt;SG_Criteria!$B$19),"FAIL: grade below C"&amp;SG_Criteria!$B$19&amp;". ","")&amp;IF(AND(S66&lt;&gt;"",S66&lt;SG_Criteria!$B$20),"FAIL: cover &lt; "&amp;SG_Criteria!$B$20&amp;" mm. ","")&amp;IF(AND(W66&lt;&gt;"",W66&lt;1),"FAIL: sliding. ","")&amp;IF(AND(C66="Reverse L-Wall (toe only, at boundary)",N(O66)&gt;0),"NOTE: reverse L-wall should have no heel. ","")&amp;IF(AND(C66="L-Wall (heel only)",N(N66)&gt;0),"NOTE: L-wall should have no toe. ","")&amp;IF(AND(E66&lt;&gt;"",E66&lt;SG_Criteria!$B$31),"NOTE: q below LTA min "&amp;SG_Criteria!$B$31&amp;" kPa (not for LTA works). ",""))=0,"OK",IF(AND(R66&lt;&gt;"",IFERROR(VALUE(MID(R66,2,2)),0)&lt;SG_Criteria!$B$19),"FAIL: grade below C"&amp;SG_Criteria!$B$19&amp;". ","")&amp;IF(AND(S66&lt;&gt;"",S66&lt;SG_Criteria!$B$20),"FAIL: cover &lt; "&amp;SG_Criteria!$B$20&amp;" mm. ","")&amp;IF(AND(W66&lt;&gt;"",W66&lt;1),"FAIL: sliding. ","")&amp;IF(AND(C66="Reverse L-Wall (toe only, at boundary)",N(O66)&gt;0),"NOTE: reverse L-wall should have no heel. ","")&amp;IF(AND(C66="L-Wall (heel only)",N(N66)&gt;0),"NOTE: L-wall should have no toe. ","")&amp;IF(AND(E66&lt;&gt;"",E66&lt;SG_Criteria!$B$31),"NOTE: q below LTA min "&amp;SG_Criteria!$B$31&amp;" kPa (not for LTA works). ","")))</f>
        <v/>
      </c>
      <c r="AU66" s="9"/>
      <c r="AV66" s="9"/>
      <c r="AW66" s="9"/>
      <c r="AX66" s="9"/>
      <c r="AY66" s="9"/>
      <c r="AZ66" s="31"/>
      <c r="BA66" s="10" t="str">
        <f aca="false">IF(C66="","",IF(AND(AB66="Approved",ISERROR(SEARCH("FAIL",AT66))),"Y","N"))</f>
        <v/>
      </c>
      <c r="BB66" s="10" t="str">
        <f aca="false">IF(C66="","",C66&amp;"|"&amp;D66&amp;"|"&amp;E66&amp;"|"&amp;F66&amp;"|"&amp;BA66)</f>
        <v/>
      </c>
    </row>
    <row r="67" customFormat="false" ht="15" hidden="false" customHeight="false" outlineLevel="0" collapsed="false">
      <c r="A67" s="10" t="str">
        <f aca="false">IF(C67="","","RW-"&amp;IFERROR(VLOOKUP(C67,Lists!$M$4:$N$22,2,0),"??")&amp;"-H"&amp;TEXT(D67*1000,"0000")&amp;"-S"&amp;E67&amp;IF(F67="Y","-GW","")&amp;"-"&amp;AA67)</f>
        <v/>
      </c>
      <c r="B67" s="10" t="str">
        <f aca="false">IF(C67="","",C67&amp;", H = "&amp;TEXT(D67,"0.0")&amp;" m, q = "&amp;E67&amp;" kPa"&amp;IF(F67="Y",", with GWT","")&amp;", "&amp;H67)</f>
        <v/>
      </c>
      <c r="C67" s="9"/>
      <c r="D67" s="41"/>
      <c r="E67" s="40"/>
      <c r="F67" s="9"/>
      <c r="G67" s="40"/>
      <c r="H67" s="9"/>
      <c r="I67" s="40"/>
      <c r="J67" s="43"/>
      <c r="K67" s="40"/>
      <c r="L67" s="40"/>
      <c r="M67" s="40"/>
      <c r="N67" s="40"/>
      <c r="O67" s="40"/>
      <c r="P67" s="40"/>
      <c r="Q67" s="9"/>
      <c r="R67" s="9"/>
      <c r="S67" s="40"/>
      <c r="T67" s="9"/>
      <c r="U67" s="9"/>
      <c r="V67" s="9"/>
      <c r="W67" s="41"/>
      <c r="X67" s="41"/>
      <c r="Y67" s="40"/>
      <c r="Z67" s="9"/>
      <c r="AA67" s="9"/>
      <c r="AB67" s="9"/>
      <c r="AC67" s="9"/>
      <c r="AD67" s="9"/>
      <c r="AE67" s="9"/>
      <c r="AF67" s="10" t="str">
        <f aca="false">IF(A67="","",SG_Criteria!$B$6&amp;SG_Criteria!$B$8&amp;"\"&amp;A67&amp;"\")</f>
        <v/>
      </c>
      <c r="AG67" s="10" t="str">
        <f aca="false">IF(A67="","",A67&amp;"_CAD.dwg")</f>
        <v/>
      </c>
      <c r="AH67" s="10" t="str">
        <f aca="false">IF(A67="","",A67&amp;"_DWG.pdf")</f>
        <v/>
      </c>
      <c r="AI67" s="10" t="str">
        <f aca="false">IF(A67="","",IF(AE67="Y",A67&amp;"_STAAD.std","n/a"))</f>
        <v/>
      </c>
      <c r="AJ67" s="10" t="str">
        <f aca="false">IF(A67="","",A67&amp;"_CALC.xlsx")</f>
        <v/>
      </c>
      <c r="AK67" s="10" t="str">
        <f aca="false">IF(A67="","",A67&amp;"_CALC.pdf")</f>
        <v/>
      </c>
      <c r="AL67" s="9"/>
      <c r="AM67" s="9"/>
      <c r="AN67" s="41"/>
      <c r="AO67" s="41"/>
      <c r="AP67" s="41"/>
      <c r="AQ67" s="41"/>
      <c r="AR67" s="41"/>
      <c r="AS67" s="38" t="str">
        <f aca="false">IF(OR(C67="",D67=""),"",IF(D67&lt;=IF(OR(C67="Block / Segmental",C67="Gabion",C67="Reinforced Earth (MSE)"),SG_Criteria!$B$34,SG_Criteria!$B$33),"No ERSS submission",IF(D67&lt;=SG_Criteria!$B$35,"QP(ST)",IF(D67&lt;=SG_Criteria!$B$36,"QP(ST) + AC","Geotechnical building works: QP(Geo) + AC"))))</f>
        <v/>
      </c>
      <c r="AT67" s="38" t="str">
        <f aca="false">IF(C67="","",IF(LEN(IF(AND(R67&lt;&gt;"",IFERROR(VALUE(MID(R67,2,2)),0)&lt;SG_Criteria!$B$19),"FAIL: grade below C"&amp;SG_Criteria!$B$19&amp;". ","")&amp;IF(AND(S67&lt;&gt;"",S67&lt;SG_Criteria!$B$20),"FAIL: cover &lt; "&amp;SG_Criteria!$B$20&amp;" mm. ","")&amp;IF(AND(W67&lt;&gt;"",W67&lt;1),"FAIL: sliding. ","")&amp;IF(AND(C67="Reverse L-Wall (toe only, at boundary)",N(O67)&gt;0),"NOTE: reverse L-wall should have no heel. ","")&amp;IF(AND(C67="L-Wall (heel only)",N(N67)&gt;0),"NOTE: L-wall should have no toe. ","")&amp;IF(AND(E67&lt;&gt;"",E67&lt;SG_Criteria!$B$31),"NOTE: q below LTA min "&amp;SG_Criteria!$B$31&amp;" kPa (not for LTA works). ",""))=0,"OK",IF(AND(R67&lt;&gt;"",IFERROR(VALUE(MID(R67,2,2)),0)&lt;SG_Criteria!$B$19),"FAIL: grade below C"&amp;SG_Criteria!$B$19&amp;". ","")&amp;IF(AND(S67&lt;&gt;"",S67&lt;SG_Criteria!$B$20),"FAIL: cover &lt; "&amp;SG_Criteria!$B$20&amp;" mm. ","")&amp;IF(AND(W67&lt;&gt;"",W67&lt;1),"FAIL: sliding. ","")&amp;IF(AND(C67="Reverse L-Wall (toe only, at boundary)",N(O67)&gt;0),"NOTE: reverse L-wall should have no heel. ","")&amp;IF(AND(C67="L-Wall (heel only)",N(N67)&gt;0),"NOTE: L-wall should have no toe. ","")&amp;IF(AND(E67&lt;&gt;"",E67&lt;SG_Criteria!$B$31),"NOTE: q below LTA min "&amp;SG_Criteria!$B$31&amp;" kPa (not for LTA works). ","")))</f>
        <v/>
      </c>
      <c r="AU67" s="9"/>
      <c r="AV67" s="9"/>
      <c r="AW67" s="9"/>
      <c r="AX67" s="9"/>
      <c r="AY67" s="9"/>
      <c r="AZ67" s="31"/>
      <c r="BA67" s="10" t="str">
        <f aca="false">IF(C67="","",IF(AND(AB67="Approved",ISERROR(SEARCH("FAIL",AT67))),"Y","N"))</f>
        <v/>
      </c>
      <c r="BB67" s="10" t="str">
        <f aca="false">IF(C67="","",C67&amp;"|"&amp;D67&amp;"|"&amp;E67&amp;"|"&amp;F67&amp;"|"&amp;BA67)</f>
        <v/>
      </c>
    </row>
    <row r="68" customFormat="false" ht="15" hidden="false" customHeight="false" outlineLevel="0" collapsed="false">
      <c r="A68" s="10" t="str">
        <f aca="false">IF(C68="","","RW-"&amp;IFERROR(VLOOKUP(C68,Lists!$M$4:$N$22,2,0),"??")&amp;"-H"&amp;TEXT(D68*1000,"0000")&amp;"-S"&amp;E68&amp;IF(F68="Y","-GW","")&amp;"-"&amp;AA68)</f>
        <v/>
      </c>
      <c r="B68" s="10" t="str">
        <f aca="false">IF(C68="","",C68&amp;", H = "&amp;TEXT(D68,"0.0")&amp;" m, q = "&amp;E68&amp;" kPa"&amp;IF(F68="Y",", with GWT","")&amp;", "&amp;H68)</f>
        <v/>
      </c>
      <c r="C68" s="9"/>
      <c r="D68" s="41"/>
      <c r="E68" s="40"/>
      <c r="F68" s="9"/>
      <c r="G68" s="40"/>
      <c r="H68" s="9"/>
      <c r="I68" s="40"/>
      <c r="J68" s="43"/>
      <c r="K68" s="40"/>
      <c r="L68" s="40"/>
      <c r="M68" s="40"/>
      <c r="N68" s="40"/>
      <c r="O68" s="40"/>
      <c r="P68" s="40"/>
      <c r="Q68" s="9"/>
      <c r="R68" s="9"/>
      <c r="S68" s="40"/>
      <c r="T68" s="9"/>
      <c r="U68" s="9"/>
      <c r="V68" s="9"/>
      <c r="W68" s="41"/>
      <c r="X68" s="41"/>
      <c r="Y68" s="40"/>
      <c r="Z68" s="9"/>
      <c r="AA68" s="9"/>
      <c r="AB68" s="9"/>
      <c r="AC68" s="9"/>
      <c r="AD68" s="9"/>
      <c r="AE68" s="9"/>
      <c r="AF68" s="10" t="str">
        <f aca="false">IF(A68="","",SG_Criteria!$B$6&amp;SG_Criteria!$B$8&amp;"\"&amp;A68&amp;"\")</f>
        <v/>
      </c>
      <c r="AG68" s="10" t="str">
        <f aca="false">IF(A68="","",A68&amp;"_CAD.dwg")</f>
        <v/>
      </c>
      <c r="AH68" s="10" t="str">
        <f aca="false">IF(A68="","",A68&amp;"_DWG.pdf")</f>
        <v/>
      </c>
      <c r="AI68" s="10" t="str">
        <f aca="false">IF(A68="","",IF(AE68="Y",A68&amp;"_STAAD.std","n/a"))</f>
        <v/>
      </c>
      <c r="AJ68" s="10" t="str">
        <f aca="false">IF(A68="","",A68&amp;"_CALC.xlsx")</f>
        <v/>
      </c>
      <c r="AK68" s="10" t="str">
        <f aca="false">IF(A68="","",A68&amp;"_CALC.pdf")</f>
        <v/>
      </c>
      <c r="AL68" s="9"/>
      <c r="AM68" s="9"/>
      <c r="AN68" s="41"/>
      <c r="AO68" s="41"/>
      <c r="AP68" s="41"/>
      <c r="AQ68" s="41"/>
      <c r="AR68" s="41"/>
      <c r="AS68" s="38" t="str">
        <f aca="false">IF(OR(C68="",D68=""),"",IF(D68&lt;=IF(OR(C68="Block / Segmental",C68="Gabion",C68="Reinforced Earth (MSE)"),SG_Criteria!$B$34,SG_Criteria!$B$33),"No ERSS submission",IF(D68&lt;=SG_Criteria!$B$35,"QP(ST)",IF(D68&lt;=SG_Criteria!$B$36,"QP(ST) + AC","Geotechnical building works: QP(Geo) + AC"))))</f>
        <v/>
      </c>
      <c r="AT68" s="38" t="str">
        <f aca="false">IF(C68="","",IF(LEN(IF(AND(R68&lt;&gt;"",IFERROR(VALUE(MID(R68,2,2)),0)&lt;SG_Criteria!$B$19),"FAIL: grade below C"&amp;SG_Criteria!$B$19&amp;". ","")&amp;IF(AND(S68&lt;&gt;"",S68&lt;SG_Criteria!$B$20),"FAIL: cover &lt; "&amp;SG_Criteria!$B$20&amp;" mm. ","")&amp;IF(AND(W68&lt;&gt;"",W68&lt;1),"FAIL: sliding. ","")&amp;IF(AND(C68="Reverse L-Wall (toe only, at boundary)",N(O68)&gt;0),"NOTE: reverse L-wall should have no heel. ","")&amp;IF(AND(C68="L-Wall (heel only)",N(N68)&gt;0),"NOTE: L-wall should have no toe. ","")&amp;IF(AND(E68&lt;&gt;"",E68&lt;SG_Criteria!$B$31),"NOTE: q below LTA min "&amp;SG_Criteria!$B$31&amp;" kPa (not for LTA works). ",""))=0,"OK",IF(AND(R68&lt;&gt;"",IFERROR(VALUE(MID(R68,2,2)),0)&lt;SG_Criteria!$B$19),"FAIL: grade below C"&amp;SG_Criteria!$B$19&amp;". ","")&amp;IF(AND(S68&lt;&gt;"",S68&lt;SG_Criteria!$B$20),"FAIL: cover &lt; "&amp;SG_Criteria!$B$20&amp;" mm. ","")&amp;IF(AND(W68&lt;&gt;"",W68&lt;1),"FAIL: sliding. ","")&amp;IF(AND(C68="Reverse L-Wall (toe only, at boundary)",N(O68)&gt;0),"NOTE: reverse L-wall should have no heel. ","")&amp;IF(AND(C68="L-Wall (heel only)",N(N68)&gt;0),"NOTE: L-wall should have no toe. ","")&amp;IF(AND(E68&lt;&gt;"",E68&lt;SG_Criteria!$B$31),"NOTE: q below LTA min "&amp;SG_Criteria!$B$31&amp;" kPa (not for LTA works). ","")))</f>
        <v/>
      </c>
      <c r="AU68" s="9"/>
      <c r="AV68" s="9"/>
      <c r="AW68" s="9"/>
      <c r="AX68" s="9"/>
      <c r="AY68" s="9"/>
      <c r="AZ68" s="31"/>
      <c r="BA68" s="10" t="str">
        <f aca="false">IF(C68="","",IF(AND(AB68="Approved",ISERROR(SEARCH("FAIL",AT68))),"Y","N"))</f>
        <v/>
      </c>
      <c r="BB68" s="10" t="str">
        <f aca="false">IF(C68="","",C68&amp;"|"&amp;D68&amp;"|"&amp;E68&amp;"|"&amp;F68&amp;"|"&amp;BA68)</f>
        <v/>
      </c>
    </row>
    <row r="69" customFormat="false" ht="15" hidden="false" customHeight="false" outlineLevel="0" collapsed="false">
      <c r="A69" s="10" t="str">
        <f aca="false">IF(C69="","","RW-"&amp;IFERROR(VLOOKUP(C69,Lists!$M$4:$N$22,2,0),"??")&amp;"-H"&amp;TEXT(D69*1000,"0000")&amp;"-S"&amp;E69&amp;IF(F69="Y","-GW","")&amp;"-"&amp;AA69)</f>
        <v/>
      </c>
      <c r="B69" s="10" t="str">
        <f aca="false">IF(C69="","",C69&amp;", H = "&amp;TEXT(D69,"0.0")&amp;" m, q = "&amp;E69&amp;" kPa"&amp;IF(F69="Y",", with GWT","")&amp;", "&amp;H69)</f>
        <v/>
      </c>
      <c r="C69" s="9"/>
      <c r="D69" s="41"/>
      <c r="E69" s="40"/>
      <c r="F69" s="9"/>
      <c r="G69" s="40"/>
      <c r="H69" s="9"/>
      <c r="I69" s="40"/>
      <c r="J69" s="43"/>
      <c r="K69" s="40"/>
      <c r="L69" s="40"/>
      <c r="M69" s="40"/>
      <c r="N69" s="40"/>
      <c r="O69" s="40"/>
      <c r="P69" s="40"/>
      <c r="Q69" s="9"/>
      <c r="R69" s="9"/>
      <c r="S69" s="40"/>
      <c r="T69" s="9"/>
      <c r="U69" s="9"/>
      <c r="V69" s="9"/>
      <c r="W69" s="41"/>
      <c r="X69" s="41"/>
      <c r="Y69" s="40"/>
      <c r="Z69" s="9"/>
      <c r="AA69" s="9"/>
      <c r="AB69" s="9"/>
      <c r="AC69" s="9"/>
      <c r="AD69" s="9"/>
      <c r="AE69" s="9"/>
      <c r="AF69" s="10" t="str">
        <f aca="false">IF(A69="","",SG_Criteria!$B$6&amp;SG_Criteria!$B$8&amp;"\"&amp;A69&amp;"\")</f>
        <v/>
      </c>
      <c r="AG69" s="10" t="str">
        <f aca="false">IF(A69="","",A69&amp;"_CAD.dwg")</f>
        <v/>
      </c>
      <c r="AH69" s="10" t="str">
        <f aca="false">IF(A69="","",A69&amp;"_DWG.pdf")</f>
        <v/>
      </c>
      <c r="AI69" s="10" t="str">
        <f aca="false">IF(A69="","",IF(AE69="Y",A69&amp;"_STAAD.std","n/a"))</f>
        <v/>
      </c>
      <c r="AJ69" s="10" t="str">
        <f aca="false">IF(A69="","",A69&amp;"_CALC.xlsx")</f>
        <v/>
      </c>
      <c r="AK69" s="10" t="str">
        <f aca="false">IF(A69="","",A69&amp;"_CALC.pdf")</f>
        <v/>
      </c>
      <c r="AL69" s="9"/>
      <c r="AM69" s="9"/>
      <c r="AN69" s="41"/>
      <c r="AO69" s="41"/>
      <c r="AP69" s="41"/>
      <c r="AQ69" s="41"/>
      <c r="AR69" s="41"/>
      <c r="AS69" s="38" t="str">
        <f aca="false">IF(OR(C69="",D69=""),"",IF(D69&lt;=IF(OR(C69="Block / Segmental",C69="Gabion",C69="Reinforced Earth (MSE)"),SG_Criteria!$B$34,SG_Criteria!$B$33),"No ERSS submission",IF(D69&lt;=SG_Criteria!$B$35,"QP(ST)",IF(D69&lt;=SG_Criteria!$B$36,"QP(ST) + AC","Geotechnical building works: QP(Geo) + AC"))))</f>
        <v/>
      </c>
      <c r="AT69" s="38" t="str">
        <f aca="false">IF(C69="","",IF(LEN(IF(AND(R69&lt;&gt;"",IFERROR(VALUE(MID(R69,2,2)),0)&lt;SG_Criteria!$B$19),"FAIL: grade below C"&amp;SG_Criteria!$B$19&amp;". ","")&amp;IF(AND(S69&lt;&gt;"",S69&lt;SG_Criteria!$B$20),"FAIL: cover &lt; "&amp;SG_Criteria!$B$20&amp;" mm. ","")&amp;IF(AND(W69&lt;&gt;"",W69&lt;1),"FAIL: sliding. ","")&amp;IF(AND(C69="Reverse L-Wall (toe only, at boundary)",N(O69)&gt;0),"NOTE: reverse L-wall should have no heel. ","")&amp;IF(AND(C69="L-Wall (heel only)",N(N69)&gt;0),"NOTE: L-wall should have no toe. ","")&amp;IF(AND(E69&lt;&gt;"",E69&lt;SG_Criteria!$B$31),"NOTE: q below LTA min "&amp;SG_Criteria!$B$31&amp;" kPa (not for LTA works). ",""))=0,"OK",IF(AND(R69&lt;&gt;"",IFERROR(VALUE(MID(R69,2,2)),0)&lt;SG_Criteria!$B$19),"FAIL: grade below C"&amp;SG_Criteria!$B$19&amp;". ","")&amp;IF(AND(S69&lt;&gt;"",S69&lt;SG_Criteria!$B$20),"FAIL: cover &lt; "&amp;SG_Criteria!$B$20&amp;" mm. ","")&amp;IF(AND(W69&lt;&gt;"",W69&lt;1),"FAIL: sliding. ","")&amp;IF(AND(C69="Reverse L-Wall (toe only, at boundary)",N(O69)&gt;0),"NOTE: reverse L-wall should have no heel. ","")&amp;IF(AND(C69="L-Wall (heel only)",N(N69)&gt;0),"NOTE: L-wall should have no toe. ","")&amp;IF(AND(E69&lt;&gt;"",E69&lt;SG_Criteria!$B$31),"NOTE: q below LTA min "&amp;SG_Criteria!$B$31&amp;" kPa (not for LTA works). ","")))</f>
        <v/>
      </c>
      <c r="AU69" s="9"/>
      <c r="AV69" s="9"/>
      <c r="AW69" s="9"/>
      <c r="AX69" s="9"/>
      <c r="AY69" s="9"/>
      <c r="AZ69" s="31"/>
      <c r="BA69" s="10" t="str">
        <f aca="false">IF(C69="","",IF(AND(AB69="Approved",ISERROR(SEARCH("FAIL",AT69))),"Y","N"))</f>
        <v/>
      </c>
      <c r="BB69" s="10" t="str">
        <f aca="false">IF(C69="","",C69&amp;"|"&amp;D69&amp;"|"&amp;E69&amp;"|"&amp;F69&amp;"|"&amp;BA69)</f>
        <v/>
      </c>
    </row>
    <row r="70" customFormat="false" ht="15" hidden="false" customHeight="false" outlineLevel="0" collapsed="false">
      <c r="A70" s="10" t="str">
        <f aca="false">IF(C70="","","RW-"&amp;IFERROR(VLOOKUP(C70,Lists!$M$4:$N$22,2,0),"??")&amp;"-H"&amp;TEXT(D70*1000,"0000")&amp;"-S"&amp;E70&amp;IF(F70="Y","-GW","")&amp;"-"&amp;AA70)</f>
        <v/>
      </c>
      <c r="B70" s="10" t="str">
        <f aca="false">IF(C70="","",C70&amp;", H = "&amp;TEXT(D70,"0.0")&amp;" m, q = "&amp;E70&amp;" kPa"&amp;IF(F70="Y",", with GWT","")&amp;", "&amp;H70)</f>
        <v/>
      </c>
      <c r="C70" s="9"/>
      <c r="D70" s="41"/>
      <c r="E70" s="40"/>
      <c r="F70" s="9"/>
      <c r="G70" s="40"/>
      <c r="H70" s="9"/>
      <c r="I70" s="40"/>
      <c r="J70" s="43"/>
      <c r="K70" s="40"/>
      <c r="L70" s="40"/>
      <c r="M70" s="40"/>
      <c r="N70" s="40"/>
      <c r="O70" s="40"/>
      <c r="P70" s="40"/>
      <c r="Q70" s="9"/>
      <c r="R70" s="9"/>
      <c r="S70" s="40"/>
      <c r="T70" s="9"/>
      <c r="U70" s="9"/>
      <c r="V70" s="9"/>
      <c r="W70" s="41"/>
      <c r="X70" s="41"/>
      <c r="Y70" s="40"/>
      <c r="Z70" s="9"/>
      <c r="AA70" s="9"/>
      <c r="AB70" s="9"/>
      <c r="AC70" s="9"/>
      <c r="AD70" s="9"/>
      <c r="AE70" s="9"/>
      <c r="AF70" s="10" t="str">
        <f aca="false">IF(A70="","",SG_Criteria!$B$6&amp;SG_Criteria!$B$8&amp;"\"&amp;A70&amp;"\")</f>
        <v/>
      </c>
      <c r="AG70" s="10" t="str">
        <f aca="false">IF(A70="","",A70&amp;"_CAD.dwg")</f>
        <v/>
      </c>
      <c r="AH70" s="10" t="str">
        <f aca="false">IF(A70="","",A70&amp;"_DWG.pdf")</f>
        <v/>
      </c>
      <c r="AI70" s="10" t="str">
        <f aca="false">IF(A70="","",IF(AE70="Y",A70&amp;"_STAAD.std","n/a"))</f>
        <v/>
      </c>
      <c r="AJ70" s="10" t="str">
        <f aca="false">IF(A70="","",A70&amp;"_CALC.xlsx")</f>
        <v/>
      </c>
      <c r="AK70" s="10" t="str">
        <f aca="false">IF(A70="","",A70&amp;"_CALC.pdf")</f>
        <v/>
      </c>
      <c r="AL70" s="9"/>
      <c r="AM70" s="9"/>
      <c r="AN70" s="41"/>
      <c r="AO70" s="41"/>
      <c r="AP70" s="41"/>
      <c r="AQ70" s="41"/>
      <c r="AR70" s="41"/>
      <c r="AS70" s="38" t="str">
        <f aca="false">IF(OR(C70="",D70=""),"",IF(D70&lt;=IF(OR(C70="Block / Segmental",C70="Gabion",C70="Reinforced Earth (MSE)"),SG_Criteria!$B$34,SG_Criteria!$B$33),"No ERSS submission",IF(D70&lt;=SG_Criteria!$B$35,"QP(ST)",IF(D70&lt;=SG_Criteria!$B$36,"QP(ST) + AC","Geotechnical building works: QP(Geo) + AC"))))</f>
        <v/>
      </c>
      <c r="AT70" s="38" t="str">
        <f aca="false">IF(C70="","",IF(LEN(IF(AND(R70&lt;&gt;"",IFERROR(VALUE(MID(R70,2,2)),0)&lt;SG_Criteria!$B$19),"FAIL: grade below C"&amp;SG_Criteria!$B$19&amp;". ","")&amp;IF(AND(S70&lt;&gt;"",S70&lt;SG_Criteria!$B$20),"FAIL: cover &lt; "&amp;SG_Criteria!$B$20&amp;" mm. ","")&amp;IF(AND(W70&lt;&gt;"",W70&lt;1),"FAIL: sliding. ","")&amp;IF(AND(C70="Reverse L-Wall (toe only, at boundary)",N(O70)&gt;0),"NOTE: reverse L-wall should have no heel. ","")&amp;IF(AND(C70="L-Wall (heel only)",N(N70)&gt;0),"NOTE: L-wall should have no toe. ","")&amp;IF(AND(E70&lt;&gt;"",E70&lt;SG_Criteria!$B$31),"NOTE: q below LTA min "&amp;SG_Criteria!$B$31&amp;" kPa (not for LTA works). ",""))=0,"OK",IF(AND(R70&lt;&gt;"",IFERROR(VALUE(MID(R70,2,2)),0)&lt;SG_Criteria!$B$19),"FAIL: grade below C"&amp;SG_Criteria!$B$19&amp;". ","")&amp;IF(AND(S70&lt;&gt;"",S70&lt;SG_Criteria!$B$20),"FAIL: cover &lt; "&amp;SG_Criteria!$B$20&amp;" mm. ","")&amp;IF(AND(W70&lt;&gt;"",W70&lt;1),"FAIL: sliding. ","")&amp;IF(AND(C70="Reverse L-Wall (toe only, at boundary)",N(O70)&gt;0),"NOTE: reverse L-wall should have no heel. ","")&amp;IF(AND(C70="L-Wall (heel only)",N(N70)&gt;0),"NOTE: L-wall should have no toe. ","")&amp;IF(AND(E70&lt;&gt;"",E70&lt;SG_Criteria!$B$31),"NOTE: q below LTA min "&amp;SG_Criteria!$B$31&amp;" kPa (not for LTA works). ","")))</f>
        <v/>
      </c>
      <c r="AU70" s="9"/>
      <c r="AV70" s="9"/>
      <c r="AW70" s="9"/>
      <c r="AX70" s="9"/>
      <c r="AY70" s="9"/>
      <c r="AZ70" s="31"/>
      <c r="BA70" s="10" t="str">
        <f aca="false">IF(C70="","",IF(AND(AB70="Approved",ISERROR(SEARCH("FAIL",AT70))),"Y","N"))</f>
        <v/>
      </c>
      <c r="BB70" s="10" t="str">
        <f aca="false">IF(C70="","",C70&amp;"|"&amp;D70&amp;"|"&amp;E70&amp;"|"&amp;F70&amp;"|"&amp;BA70)</f>
        <v/>
      </c>
    </row>
    <row r="71" customFormat="false" ht="15" hidden="false" customHeight="false" outlineLevel="0" collapsed="false">
      <c r="A71" s="10" t="str">
        <f aca="false">IF(C71="","","RW-"&amp;IFERROR(VLOOKUP(C71,Lists!$M$4:$N$22,2,0),"??")&amp;"-H"&amp;TEXT(D71*1000,"0000")&amp;"-S"&amp;E71&amp;IF(F71="Y","-GW","")&amp;"-"&amp;AA71)</f>
        <v/>
      </c>
      <c r="B71" s="10" t="str">
        <f aca="false">IF(C71="","",C71&amp;", H = "&amp;TEXT(D71,"0.0")&amp;" m, q = "&amp;E71&amp;" kPa"&amp;IF(F71="Y",", with GWT","")&amp;", "&amp;H71)</f>
        <v/>
      </c>
      <c r="C71" s="9"/>
      <c r="D71" s="41"/>
      <c r="E71" s="40"/>
      <c r="F71" s="9"/>
      <c r="G71" s="40"/>
      <c r="H71" s="9"/>
      <c r="I71" s="40"/>
      <c r="J71" s="43"/>
      <c r="K71" s="40"/>
      <c r="L71" s="40"/>
      <c r="M71" s="40"/>
      <c r="N71" s="40"/>
      <c r="O71" s="40"/>
      <c r="P71" s="40"/>
      <c r="Q71" s="9"/>
      <c r="R71" s="9"/>
      <c r="S71" s="40"/>
      <c r="T71" s="9"/>
      <c r="U71" s="9"/>
      <c r="V71" s="9"/>
      <c r="W71" s="41"/>
      <c r="X71" s="41"/>
      <c r="Y71" s="40"/>
      <c r="Z71" s="9"/>
      <c r="AA71" s="9"/>
      <c r="AB71" s="9"/>
      <c r="AC71" s="9"/>
      <c r="AD71" s="9"/>
      <c r="AE71" s="9"/>
      <c r="AF71" s="10" t="str">
        <f aca="false">IF(A71="","",SG_Criteria!$B$6&amp;SG_Criteria!$B$8&amp;"\"&amp;A71&amp;"\")</f>
        <v/>
      </c>
      <c r="AG71" s="10" t="str">
        <f aca="false">IF(A71="","",A71&amp;"_CAD.dwg")</f>
        <v/>
      </c>
      <c r="AH71" s="10" t="str">
        <f aca="false">IF(A71="","",A71&amp;"_DWG.pdf")</f>
        <v/>
      </c>
      <c r="AI71" s="10" t="str">
        <f aca="false">IF(A71="","",IF(AE71="Y",A71&amp;"_STAAD.std","n/a"))</f>
        <v/>
      </c>
      <c r="AJ71" s="10" t="str">
        <f aca="false">IF(A71="","",A71&amp;"_CALC.xlsx")</f>
        <v/>
      </c>
      <c r="AK71" s="10" t="str">
        <f aca="false">IF(A71="","",A71&amp;"_CALC.pdf")</f>
        <v/>
      </c>
      <c r="AL71" s="9"/>
      <c r="AM71" s="9"/>
      <c r="AN71" s="41"/>
      <c r="AO71" s="41"/>
      <c r="AP71" s="41"/>
      <c r="AQ71" s="41"/>
      <c r="AR71" s="41"/>
      <c r="AS71" s="38" t="str">
        <f aca="false">IF(OR(C71="",D71=""),"",IF(D71&lt;=IF(OR(C71="Block / Segmental",C71="Gabion",C71="Reinforced Earth (MSE)"),SG_Criteria!$B$34,SG_Criteria!$B$33),"No ERSS submission",IF(D71&lt;=SG_Criteria!$B$35,"QP(ST)",IF(D71&lt;=SG_Criteria!$B$36,"QP(ST) + AC","Geotechnical building works: QP(Geo) + AC"))))</f>
        <v/>
      </c>
      <c r="AT71" s="38" t="str">
        <f aca="false">IF(C71="","",IF(LEN(IF(AND(R71&lt;&gt;"",IFERROR(VALUE(MID(R71,2,2)),0)&lt;SG_Criteria!$B$19),"FAIL: grade below C"&amp;SG_Criteria!$B$19&amp;". ","")&amp;IF(AND(S71&lt;&gt;"",S71&lt;SG_Criteria!$B$20),"FAIL: cover &lt; "&amp;SG_Criteria!$B$20&amp;" mm. ","")&amp;IF(AND(W71&lt;&gt;"",W71&lt;1),"FAIL: sliding. ","")&amp;IF(AND(C71="Reverse L-Wall (toe only, at boundary)",N(O71)&gt;0),"NOTE: reverse L-wall should have no heel. ","")&amp;IF(AND(C71="L-Wall (heel only)",N(N71)&gt;0),"NOTE: L-wall should have no toe. ","")&amp;IF(AND(E71&lt;&gt;"",E71&lt;SG_Criteria!$B$31),"NOTE: q below LTA min "&amp;SG_Criteria!$B$31&amp;" kPa (not for LTA works). ",""))=0,"OK",IF(AND(R71&lt;&gt;"",IFERROR(VALUE(MID(R71,2,2)),0)&lt;SG_Criteria!$B$19),"FAIL: grade below C"&amp;SG_Criteria!$B$19&amp;". ","")&amp;IF(AND(S71&lt;&gt;"",S71&lt;SG_Criteria!$B$20),"FAIL: cover &lt; "&amp;SG_Criteria!$B$20&amp;" mm. ","")&amp;IF(AND(W71&lt;&gt;"",W71&lt;1),"FAIL: sliding. ","")&amp;IF(AND(C71="Reverse L-Wall (toe only, at boundary)",N(O71)&gt;0),"NOTE: reverse L-wall should have no heel. ","")&amp;IF(AND(C71="L-Wall (heel only)",N(N71)&gt;0),"NOTE: L-wall should have no toe. ","")&amp;IF(AND(E71&lt;&gt;"",E71&lt;SG_Criteria!$B$31),"NOTE: q below LTA min "&amp;SG_Criteria!$B$31&amp;" kPa (not for LTA works). ","")))</f>
        <v/>
      </c>
      <c r="AU71" s="9"/>
      <c r="AV71" s="9"/>
      <c r="AW71" s="9"/>
      <c r="AX71" s="9"/>
      <c r="AY71" s="9"/>
      <c r="AZ71" s="31"/>
      <c r="BA71" s="10" t="str">
        <f aca="false">IF(C71="","",IF(AND(AB71="Approved",ISERROR(SEARCH("FAIL",AT71))),"Y","N"))</f>
        <v/>
      </c>
      <c r="BB71" s="10" t="str">
        <f aca="false">IF(C71="","",C71&amp;"|"&amp;D71&amp;"|"&amp;E71&amp;"|"&amp;F71&amp;"|"&amp;BA71)</f>
        <v/>
      </c>
    </row>
    <row r="72" customFormat="false" ht="15" hidden="false" customHeight="false" outlineLevel="0" collapsed="false">
      <c r="A72" s="10" t="str">
        <f aca="false">IF(C72="","","RW-"&amp;IFERROR(VLOOKUP(C72,Lists!$M$4:$N$22,2,0),"??")&amp;"-H"&amp;TEXT(D72*1000,"0000")&amp;"-S"&amp;E72&amp;IF(F72="Y","-GW","")&amp;"-"&amp;AA72)</f>
        <v/>
      </c>
      <c r="B72" s="10" t="str">
        <f aca="false">IF(C72="","",C72&amp;", H = "&amp;TEXT(D72,"0.0")&amp;" m, q = "&amp;E72&amp;" kPa"&amp;IF(F72="Y",", with GWT","")&amp;", "&amp;H72)</f>
        <v/>
      </c>
      <c r="C72" s="9"/>
      <c r="D72" s="41"/>
      <c r="E72" s="40"/>
      <c r="F72" s="9"/>
      <c r="G72" s="40"/>
      <c r="H72" s="9"/>
      <c r="I72" s="40"/>
      <c r="J72" s="43"/>
      <c r="K72" s="40"/>
      <c r="L72" s="40"/>
      <c r="M72" s="40"/>
      <c r="N72" s="40"/>
      <c r="O72" s="40"/>
      <c r="P72" s="40"/>
      <c r="Q72" s="9"/>
      <c r="R72" s="9"/>
      <c r="S72" s="40"/>
      <c r="T72" s="9"/>
      <c r="U72" s="9"/>
      <c r="V72" s="9"/>
      <c r="W72" s="41"/>
      <c r="X72" s="41"/>
      <c r="Y72" s="40"/>
      <c r="Z72" s="9"/>
      <c r="AA72" s="9"/>
      <c r="AB72" s="9"/>
      <c r="AC72" s="9"/>
      <c r="AD72" s="9"/>
      <c r="AE72" s="9"/>
      <c r="AF72" s="10" t="str">
        <f aca="false">IF(A72="","",SG_Criteria!$B$6&amp;SG_Criteria!$B$8&amp;"\"&amp;A72&amp;"\")</f>
        <v/>
      </c>
      <c r="AG72" s="10" t="str">
        <f aca="false">IF(A72="","",A72&amp;"_CAD.dwg")</f>
        <v/>
      </c>
      <c r="AH72" s="10" t="str">
        <f aca="false">IF(A72="","",A72&amp;"_DWG.pdf")</f>
        <v/>
      </c>
      <c r="AI72" s="10" t="str">
        <f aca="false">IF(A72="","",IF(AE72="Y",A72&amp;"_STAAD.std","n/a"))</f>
        <v/>
      </c>
      <c r="AJ72" s="10" t="str">
        <f aca="false">IF(A72="","",A72&amp;"_CALC.xlsx")</f>
        <v/>
      </c>
      <c r="AK72" s="10" t="str">
        <f aca="false">IF(A72="","",A72&amp;"_CALC.pdf")</f>
        <v/>
      </c>
      <c r="AL72" s="9"/>
      <c r="AM72" s="9"/>
      <c r="AN72" s="41"/>
      <c r="AO72" s="41"/>
      <c r="AP72" s="41"/>
      <c r="AQ72" s="41"/>
      <c r="AR72" s="41"/>
      <c r="AS72" s="38" t="str">
        <f aca="false">IF(OR(C72="",D72=""),"",IF(D72&lt;=IF(OR(C72="Block / Segmental",C72="Gabion",C72="Reinforced Earth (MSE)"),SG_Criteria!$B$34,SG_Criteria!$B$33),"No ERSS submission",IF(D72&lt;=SG_Criteria!$B$35,"QP(ST)",IF(D72&lt;=SG_Criteria!$B$36,"QP(ST) + AC","Geotechnical building works: QP(Geo) + AC"))))</f>
        <v/>
      </c>
      <c r="AT72" s="38" t="str">
        <f aca="false">IF(C72="","",IF(LEN(IF(AND(R72&lt;&gt;"",IFERROR(VALUE(MID(R72,2,2)),0)&lt;SG_Criteria!$B$19),"FAIL: grade below C"&amp;SG_Criteria!$B$19&amp;". ","")&amp;IF(AND(S72&lt;&gt;"",S72&lt;SG_Criteria!$B$20),"FAIL: cover &lt; "&amp;SG_Criteria!$B$20&amp;" mm. ","")&amp;IF(AND(W72&lt;&gt;"",W72&lt;1),"FAIL: sliding. ","")&amp;IF(AND(C72="Reverse L-Wall (toe only, at boundary)",N(O72)&gt;0),"NOTE: reverse L-wall should have no heel. ","")&amp;IF(AND(C72="L-Wall (heel only)",N(N72)&gt;0),"NOTE: L-wall should have no toe. ","")&amp;IF(AND(E72&lt;&gt;"",E72&lt;SG_Criteria!$B$31),"NOTE: q below LTA min "&amp;SG_Criteria!$B$31&amp;" kPa (not for LTA works). ",""))=0,"OK",IF(AND(R72&lt;&gt;"",IFERROR(VALUE(MID(R72,2,2)),0)&lt;SG_Criteria!$B$19),"FAIL: grade below C"&amp;SG_Criteria!$B$19&amp;". ","")&amp;IF(AND(S72&lt;&gt;"",S72&lt;SG_Criteria!$B$20),"FAIL: cover &lt; "&amp;SG_Criteria!$B$20&amp;" mm. ","")&amp;IF(AND(W72&lt;&gt;"",W72&lt;1),"FAIL: sliding. ","")&amp;IF(AND(C72="Reverse L-Wall (toe only, at boundary)",N(O72)&gt;0),"NOTE: reverse L-wall should have no heel. ","")&amp;IF(AND(C72="L-Wall (heel only)",N(N72)&gt;0),"NOTE: L-wall should have no toe. ","")&amp;IF(AND(E72&lt;&gt;"",E72&lt;SG_Criteria!$B$31),"NOTE: q below LTA min "&amp;SG_Criteria!$B$31&amp;" kPa (not for LTA works). ","")))</f>
        <v/>
      </c>
      <c r="AU72" s="9"/>
      <c r="AV72" s="9"/>
      <c r="AW72" s="9"/>
      <c r="AX72" s="9"/>
      <c r="AY72" s="9"/>
      <c r="AZ72" s="31"/>
      <c r="BA72" s="10" t="str">
        <f aca="false">IF(C72="","",IF(AND(AB72="Approved",ISERROR(SEARCH("FAIL",AT72))),"Y","N"))</f>
        <v/>
      </c>
      <c r="BB72" s="10" t="str">
        <f aca="false">IF(C72="","",C72&amp;"|"&amp;D72&amp;"|"&amp;E72&amp;"|"&amp;F72&amp;"|"&amp;BA72)</f>
        <v/>
      </c>
    </row>
    <row r="73" customFormat="false" ht="15" hidden="false" customHeight="false" outlineLevel="0" collapsed="false">
      <c r="A73" s="10" t="str">
        <f aca="false">IF(C73="","","RW-"&amp;IFERROR(VLOOKUP(C73,Lists!$M$4:$N$22,2,0),"??")&amp;"-H"&amp;TEXT(D73*1000,"0000")&amp;"-S"&amp;E73&amp;IF(F73="Y","-GW","")&amp;"-"&amp;AA73)</f>
        <v/>
      </c>
      <c r="B73" s="10" t="str">
        <f aca="false">IF(C73="","",C73&amp;", H = "&amp;TEXT(D73,"0.0")&amp;" m, q = "&amp;E73&amp;" kPa"&amp;IF(F73="Y",", with GWT","")&amp;", "&amp;H73)</f>
        <v/>
      </c>
      <c r="C73" s="9"/>
      <c r="D73" s="41"/>
      <c r="E73" s="40"/>
      <c r="F73" s="9"/>
      <c r="G73" s="40"/>
      <c r="H73" s="9"/>
      <c r="I73" s="40"/>
      <c r="J73" s="43"/>
      <c r="K73" s="40"/>
      <c r="L73" s="40"/>
      <c r="M73" s="40"/>
      <c r="N73" s="40"/>
      <c r="O73" s="40"/>
      <c r="P73" s="40"/>
      <c r="Q73" s="9"/>
      <c r="R73" s="9"/>
      <c r="S73" s="40"/>
      <c r="T73" s="9"/>
      <c r="U73" s="9"/>
      <c r="V73" s="9"/>
      <c r="W73" s="41"/>
      <c r="X73" s="41"/>
      <c r="Y73" s="40"/>
      <c r="Z73" s="9"/>
      <c r="AA73" s="9"/>
      <c r="AB73" s="9"/>
      <c r="AC73" s="9"/>
      <c r="AD73" s="9"/>
      <c r="AE73" s="9"/>
      <c r="AF73" s="10" t="str">
        <f aca="false">IF(A73="","",SG_Criteria!$B$6&amp;SG_Criteria!$B$8&amp;"\"&amp;A73&amp;"\")</f>
        <v/>
      </c>
      <c r="AG73" s="10" t="str">
        <f aca="false">IF(A73="","",A73&amp;"_CAD.dwg")</f>
        <v/>
      </c>
      <c r="AH73" s="10" t="str">
        <f aca="false">IF(A73="","",A73&amp;"_DWG.pdf")</f>
        <v/>
      </c>
      <c r="AI73" s="10" t="str">
        <f aca="false">IF(A73="","",IF(AE73="Y",A73&amp;"_STAAD.std","n/a"))</f>
        <v/>
      </c>
      <c r="AJ73" s="10" t="str">
        <f aca="false">IF(A73="","",A73&amp;"_CALC.xlsx")</f>
        <v/>
      </c>
      <c r="AK73" s="10" t="str">
        <f aca="false">IF(A73="","",A73&amp;"_CALC.pdf")</f>
        <v/>
      </c>
      <c r="AL73" s="9"/>
      <c r="AM73" s="9"/>
      <c r="AN73" s="41"/>
      <c r="AO73" s="41"/>
      <c r="AP73" s="41"/>
      <c r="AQ73" s="41"/>
      <c r="AR73" s="41"/>
      <c r="AS73" s="38" t="str">
        <f aca="false">IF(OR(C73="",D73=""),"",IF(D73&lt;=IF(OR(C73="Block / Segmental",C73="Gabion",C73="Reinforced Earth (MSE)"),SG_Criteria!$B$34,SG_Criteria!$B$33),"No ERSS submission",IF(D73&lt;=SG_Criteria!$B$35,"QP(ST)",IF(D73&lt;=SG_Criteria!$B$36,"QP(ST) + AC","Geotechnical building works: QP(Geo) + AC"))))</f>
        <v/>
      </c>
      <c r="AT73" s="38" t="str">
        <f aca="false">IF(C73="","",IF(LEN(IF(AND(R73&lt;&gt;"",IFERROR(VALUE(MID(R73,2,2)),0)&lt;SG_Criteria!$B$19),"FAIL: grade below C"&amp;SG_Criteria!$B$19&amp;". ","")&amp;IF(AND(S73&lt;&gt;"",S73&lt;SG_Criteria!$B$20),"FAIL: cover &lt; "&amp;SG_Criteria!$B$20&amp;" mm. ","")&amp;IF(AND(W73&lt;&gt;"",W73&lt;1),"FAIL: sliding. ","")&amp;IF(AND(C73="Reverse L-Wall (toe only, at boundary)",N(O73)&gt;0),"NOTE: reverse L-wall should have no heel. ","")&amp;IF(AND(C73="L-Wall (heel only)",N(N73)&gt;0),"NOTE: L-wall should have no toe. ","")&amp;IF(AND(E73&lt;&gt;"",E73&lt;SG_Criteria!$B$31),"NOTE: q below LTA min "&amp;SG_Criteria!$B$31&amp;" kPa (not for LTA works). ",""))=0,"OK",IF(AND(R73&lt;&gt;"",IFERROR(VALUE(MID(R73,2,2)),0)&lt;SG_Criteria!$B$19),"FAIL: grade below C"&amp;SG_Criteria!$B$19&amp;". ","")&amp;IF(AND(S73&lt;&gt;"",S73&lt;SG_Criteria!$B$20),"FAIL: cover &lt; "&amp;SG_Criteria!$B$20&amp;" mm. ","")&amp;IF(AND(W73&lt;&gt;"",W73&lt;1),"FAIL: sliding. ","")&amp;IF(AND(C73="Reverse L-Wall (toe only, at boundary)",N(O73)&gt;0),"NOTE: reverse L-wall should have no heel. ","")&amp;IF(AND(C73="L-Wall (heel only)",N(N73)&gt;0),"NOTE: L-wall should have no toe. ","")&amp;IF(AND(E73&lt;&gt;"",E73&lt;SG_Criteria!$B$31),"NOTE: q below LTA min "&amp;SG_Criteria!$B$31&amp;" kPa (not for LTA works). ","")))</f>
        <v/>
      </c>
      <c r="AU73" s="9"/>
      <c r="AV73" s="9"/>
      <c r="AW73" s="9"/>
      <c r="AX73" s="9"/>
      <c r="AY73" s="9"/>
      <c r="AZ73" s="31"/>
      <c r="BA73" s="10" t="str">
        <f aca="false">IF(C73="","",IF(AND(AB73="Approved",ISERROR(SEARCH("FAIL",AT73))),"Y","N"))</f>
        <v/>
      </c>
      <c r="BB73" s="10" t="str">
        <f aca="false">IF(C73="","",C73&amp;"|"&amp;D73&amp;"|"&amp;E73&amp;"|"&amp;F73&amp;"|"&amp;BA73)</f>
        <v/>
      </c>
    </row>
    <row r="74" customFormat="false" ht="15" hidden="false" customHeight="false" outlineLevel="0" collapsed="false">
      <c r="A74" s="10" t="str">
        <f aca="false">IF(C74="","","RW-"&amp;IFERROR(VLOOKUP(C74,Lists!$M$4:$N$22,2,0),"??")&amp;"-H"&amp;TEXT(D74*1000,"0000")&amp;"-S"&amp;E74&amp;IF(F74="Y","-GW","")&amp;"-"&amp;AA74)</f>
        <v/>
      </c>
      <c r="B74" s="10" t="str">
        <f aca="false">IF(C74="","",C74&amp;", H = "&amp;TEXT(D74,"0.0")&amp;" m, q = "&amp;E74&amp;" kPa"&amp;IF(F74="Y",", with GWT","")&amp;", "&amp;H74)</f>
        <v/>
      </c>
      <c r="C74" s="9"/>
      <c r="D74" s="41"/>
      <c r="E74" s="40"/>
      <c r="F74" s="9"/>
      <c r="G74" s="40"/>
      <c r="H74" s="9"/>
      <c r="I74" s="40"/>
      <c r="J74" s="43"/>
      <c r="K74" s="40"/>
      <c r="L74" s="40"/>
      <c r="M74" s="40"/>
      <c r="N74" s="40"/>
      <c r="O74" s="40"/>
      <c r="P74" s="40"/>
      <c r="Q74" s="9"/>
      <c r="R74" s="9"/>
      <c r="S74" s="40"/>
      <c r="T74" s="9"/>
      <c r="U74" s="9"/>
      <c r="V74" s="9"/>
      <c r="W74" s="41"/>
      <c r="X74" s="41"/>
      <c r="Y74" s="40"/>
      <c r="Z74" s="9"/>
      <c r="AA74" s="9"/>
      <c r="AB74" s="9"/>
      <c r="AC74" s="9"/>
      <c r="AD74" s="9"/>
      <c r="AE74" s="9"/>
      <c r="AF74" s="10" t="str">
        <f aca="false">IF(A74="","",SG_Criteria!$B$6&amp;SG_Criteria!$B$8&amp;"\"&amp;A74&amp;"\")</f>
        <v/>
      </c>
      <c r="AG74" s="10" t="str">
        <f aca="false">IF(A74="","",A74&amp;"_CAD.dwg")</f>
        <v/>
      </c>
      <c r="AH74" s="10" t="str">
        <f aca="false">IF(A74="","",A74&amp;"_DWG.pdf")</f>
        <v/>
      </c>
      <c r="AI74" s="10" t="str">
        <f aca="false">IF(A74="","",IF(AE74="Y",A74&amp;"_STAAD.std","n/a"))</f>
        <v/>
      </c>
      <c r="AJ74" s="10" t="str">
        <f aca="false">IF(A74="","",A74&amp;"_CALC.xlsx")</f>
        <v/>
      </c>
      <c r="AK74" s="10" t="str">
        <f aca="false">IF(A74="","",A74&amp;"_CALC.pdf")</f>
        <v/>
      </c>
      <c r="AL74" s="9"/>
      <c r="AM74" s="9"/>
      <c r="AN74" s="41"/>
      <c r="AO74" s="41"/>
      <c r="AP74" s="41"/>
      <c r="AQ74" s="41"/>
      <c r="AR74" s="41"/>
      <c r="AS74" s="38" t="str">
        <f aca="false">IF(OR(C74="",D74=""),"",IF(D74&lt;=IF(OR(C74="Block / Segmental",C74="Gabion",C74="Reinforced Earth (MSE)"),SG_Criteria!$B$34,SG_Criteria!$B$33),"No ERSS submission",IF(D74&lt;=SG_Criteria!$B$35,"QP(ST)",IF(D74&lt;=SG_Criteria!$B$36,"QP(ST) + AC","Geotechnical building works: QP(Geo) + AC"))))</f>
        <v/>
      </c>
      <c r="AT74" s="38" t="str">
        <f aca="false">IF(C74="","",IF(LEN(IF(AND(R74&lt;&gt;"",IFERROR(VALUE(MID(R74,2,2)),0)&lt;SG_Criteria!$B$19),"FAIL: grade below C"&amp;SG_Criteria!$B$19&amp;". ","")&amp;IF(AND(S74&lt;&gt;"",S74&lt;SG_Criteria!$B$20),"FAIL: cover &lt; "&amp;SG_Criteria!$B$20&amp;" mm. ","")&amp;IF(AND(W74&lt;&gt;"",W74&lt;1),"FAIL: sliding. ","")&amp;IF(AND(C74="Reverse L-Wall (toe only, at boundary)",N(O74)&gt;0),"NOTE: reverse L-wall should have no heel. ","")&amp;IF(AND(C74="L-Wall (heel only)",N(N74)&gt;0),"NOTE: L-wall should have no toe. ","")&amp;IF(AND(E74&lt;&gt;"",E74&lt;SG_Criteria!$B$31),"NOTE: q below LTA min "&amp;SG_Criteria!$B$31&amp;" kPa (not for LTA works). ",""))=0,"OK",IF(AND(R74&lt;&gt;"",IFERROR(VALUE(MID(R74,2,2)),0)&lt;SG_Criteria!$B$19),"FAIL: grade below C"&amp;SG_Criteria!$B$19&amp;". ","")&amp;IF(AND(S74&lt;&gt;"",S74&lt;SG_Criteria!$B$20),"FAIL: cover &lt; "&amp;SG_Criteria!$B$20&amp;" mm. ","")&amp;IF(AND(W74&lt;&gt;"",W74&lt;1),"FAIL: sliding. ","")&amp;IF(AND(C74="Reverse L-Wall (toe only, at boundary)",N(O74)&gt;0),"NOTE: reverse L-wall should have no heel. ","")&amp;IF(AND(C74="L-Wall (heel only)",N(N74)&gt;0),"NOTE: L-wall should have no toe. ","")&amp;IF(AND(E74&lt;&gt;"",E74&lt;SG_Criteria!$B$31),"NOTE: q below LTA min "&amp;SG_Criteria!$B$31&amp;" kPa (not for LTA works). ","")))</f>
        <v/>
      </c>
      <c r="AU74" s="9"/>
      <c r="AV74" s="9"/>
      <c r="AW74" s="9"/>
      <c r="AX74" s="9"/>
      <c r="AY74" s="9"/>
      <c r="AZ74" s="31"/>
      <c r="BA74" s="10" t="str">
        <f aca="false">IF(C74="","",IF(AND(AB74="Approved",ISERROR(SEARCH("FAIL",AT74))),"Y","N"))</f>
        <v/>
      </c>
      <c r="BB74" s="10" t="str">
        <f aca="false">IF(C74="","",C74&amp;"|"&amp;D74&amp;"|"&amp;E74&amp;"|"&amp;F74&amp;"|"&amp;BA74)</f>
        <v/>
      </c>
    </row>
    <row r="75" customFormat="false" ht="15" hidden="false" customHeight="false" outlineLevel="0" collapsed="false">
      <c r="A75" s="10" t="str">
        <f aca="false">IF(C75="","","RW-"&amp;IFERROR(VLOOKUP(C75,Lists!$M$4:$N$22,2,0),"??")&amp;"-H"&amp;TEXT(D75*1000,"0000")&amp;"-S"&amp;E75&amp;IF(F75="Y","-GW","")&amp;"-"&amp;AA75)</f>
        <v/>
      </c>
      <c r="B75" s="10" t="str">
        <f aca="false">IF(C75="","",C75&amp;", H = "&amp;TEXT(D75,"0.0")&amp;" m, q = "&amp;E75&amp;" kPa"&amp;IF(F75="Y",", with GWT","")&amp;", "&amp;H75)</f>
        <v/>
      </c>
      <c r="C75" s="9"/>
      <c r="D75" s="41"/>
      <c r="E75" s="40"/>
      <c r="F75" s="9"/>
      <c r="G75" s="40"/>
      <c r="H75" s="9"/>
      <c r="I75" s="40"/>
      <c r="J75" s="43"/>
      <c r="K75" s="40"/>
      <c r="L75" s="40"/>
      <c r="M75" s="40"/>
      <c r="N75" s="40"/>
      <c r="O75" s="40"/>
      <c r="P75" s="40"/>
      <c r="Q75" s="9"/>
      <c r="R75" s="9"/>
      <c r="S75" s="40"/>
      <c r="T75" s="9"/>
      <c r="U75" s="9"/>
      <c r="V75" s="9"/>
      <c r="W75" s="41"/>
      <c r="X75" s="41"/>
      <c r="Y75" s="40"/>
      <c r="Z75" s="9"/>
      <c r="AA75" s="9"/>
      <c r="AB75" s="9"/>
      <c r="AC75" s="9"/>
      <c r="AD75" s="9"/>
      <c r="AE75" s="9"/>
      <c r="AF75" s="10" t="str">
        <f aca="false">IF(A75="","",SG_Criteria!$B$6&amp;SG_Criteria!$B$8&amp;"\"&amp;A75&amp;"\")</f>
        <v/>
      </c>
      <c r="AG75" s="10" t="str">
        <f aca="false">IF(A75="","",A75&amp;"_CAD.dwg")</f>
        <v/>
      </c>
      <c r="AH75" s="10" t="str">
        <f aca="false">IF(A75="","",A75&amp;"_DWG.pdf")</f>
        <v/>
      </c>
      <c r="AI75" s="10" t="str">
        <f aca="false">IF(A75="","",IF(AE75="Y",A75&amp;"_STAAD.std","n/a"))</f>
        <v/>
      </c>
      <c r="AJ75" s="10" t="str">
        <f aca="false">IF(A75="","",A75&amp;"_CALC.xlsx")</f>
        <v/>
      </c>
      <c r="AK75" s="10" t="str">
        <f aca="false">IF(A75="","",A75&amp;"_CALC.pdf")</f>
        <v/>
      </c>
      <c r="AL75" s="9"/>
      <c r="AM75" s="9"/>
      <c r="AN75" s="41"/>
      <c r="AO75" s="41"/>
      <c r="AP75" s="41"/>
      <c r="AQ75" s="41"/>
      <c r="AR75" s="41"/>
      <c r="AS75" s="38" t="str">
        <f aca="false">IF(OR(C75="",D75=""),"",IF(D75&lt;=IF(OR(C75="Block / Segmental",C75="Gabion",C75="Reinforced Earth (MSE)"),SG_Criteria!$B$34,SG_Criteria!$B$33),"No ERSS submission",IF(D75&lt;=SG_Criteria!$B$35,"QP(ST)",IF(D75&lt;=SG_Criteria!$B$36,"QP(ST) + AC","Geotechnical building works: QP(Geo) + AC"))))</f>
        <v/>
      </c>
      <c r="AT75" s="38" t="str">
        <f aca="false">IF(C75="","",IF(LEN(IF(AND(R75&lt;&gt;"",IFERROR(VALUE(MID(R75,2,2)),0)&lt;SG_Criteria!$B$19),"FAIL: grade below C"&amp;SG_Criteria!$B$19&amp;". ","")&amp;IF(AND(S75&lt;&gt;"",S75&lt;SG_Criteria!$B$20),"FAIL: cover &lt; "&amp;SG_Criteria!$B$20&amp;" mm. ","")&amp;IF(AND(W75&lt;&gt;"",W75&lt;1),"FAIL: sliding. ","")&amp;IF(AND(C75="Reverse L-Wall (toe only, at boundary)",N(O75)&gt;0),"NOTE: reverse L-wall should have no heel. ","")&amp;IF(AND(C75="L-Wall (heel only)",N(N75)&gt;0),"NOTE: L-wall should have no toe. ","")&amp;IF(AND(E75&lt;&gt;"",E75&lt;SG_Criteria!$B$31),"NOTE: q below LTA min "&amp;SG_Criteria!$B$31&amp;" kPa (not for LTA works). ",""))=0,"OK",IF(AND(R75&lt;&gt;"",IFERROR(VALUE(MID(R75,2,2)),0)&lt;SG_Criteria!$B$19),"FAIL: grade below C"&amp;SG_Criteria!$B$19&amp;". ","")&amp;IF(AND(S75&lt;&gt;"",S75&lt;SG_Criteria!$B$20),"FAIL: cover &lt; "&amp;SG_Criteria!$B$20&amp;" mm. ","")&amp;IF(AND(W75&lt;&gt;"",W75&lt;1),"FAIL: sliding. ","")&amp;IF(AND(C75="Reverse L-Wall (toe only, at boundary)",N(O75)&gt;0),"NOTE: reverse L-wall should have no heel. ","")&amp;IF(AND(C75="L-Wall (heel only)",N(N75)&gt;0),"NOTE: L-wall should have no toe. ","")&amp;IF(AND(E75&lt;&gt;"",E75&lt;SG_Criteria!$B$31),"NOTE: q below LTA min "&amp;SG_Criteria!$B$31&amp;" kPa (not for LTA works). ","")))</f>
        <v/>
      </c>
      <c r="AU75" s="9"/>
      <c r="AV75" s="9"/>
      <c r="AW75" s="9"/>
      <c r="AX75" s="9"/>
      <c r="AY75" s="9"/>
      <c r="AZ75" s="31"/>
      <c r="BA75" s="10" t="str">
        <f aca="false">IF(C75="","",IF(AND(AB75="Approved",ISERROR(SEARCH("FAIL",AT75))),"Y","N"))</f>
        <v/>
      </c>
      <c r="BB75" s="10" t="str">
        <f aca="false">IF(C75="","",C75&amp;"|"&amp;D75&amp;"|"&amp;E75&amp;"|"&amp;F75&amp;"|"&amp;BA75)</f>
        <v/>
      </c>
    </row>
    <row r="76" customFormat="false" ht="15" hidden="false" customHeight="false" outlineLevel="0" collapsed="false">
      <c r="A76" s="10" t="str">
        <f aca="false">IF(C76="","","RW-"&amp;IFERROR(VLOOKUP(C76,Lists!$M$4:$N$22,2,0),"??")&amp;"-H"&amp;TEXT(D76*1000,"0000")&amp;"-S"&amp;E76&amp;IF(F76="Y","-GW","")&amp;"-"&amp;AA76)</f>
        <v/>
      </c>
      <c r="B76" s="10" t="str">
        <f aca="false">IF(C76="","",C76&amp;", H = "&amp;TEXT(D76,"0.0")&amp;" m, q = "&amp;E76&amp;" kPa"&amp;IF(F76="Y",", with GWT","")&amp;", "&amp;H76)</f>
        <v/>
      </c>
      <c r="C76" s="9"/>
      <c r="D76" s="41"/>
      <c r="E76" s="40"/>
      <c r="F76" s="9"/>
      <c r="G76" s="40"/>
      <c r="H76" s="9"/>
      <c r="I76" s="40"/>
      <c r="J76" s="43"/>
      <c r="K76" s="40"/>
      <c r="L76" s="40"/>
      <c r="M76" s="40"/>
      <c r="N76" s="40"/>
      <c r="O76" s="40"/>
      <c r="P76" s="40"/>
      <c r="Q76" s="9"/>
      <c r="R76" s="9"/>
      <c r="S76" s="40"/>
      <c r="T76" s="9"/>
      <c r="U76" s="9"/>
      <c r="V76" s="9"/>
      <c r="W76" s="41"/>
      <c r="X76" s="41"/>
      <c r="Y76" s="40"/>
      <c r="Z76" s="9"/>
      <c r="AA76" s="9"/>
      <c r="AB76" s="9"/>
      <c r="AC76" s="9"/>
      <c r="AD76" s="9"/>
      <c r="AE76" s="9"/>
      <c r="AF76" s="10" t="str">
        <f aca="false">IF(A76="","",SG_Criteria!$B$6&amp;SG_Criteria!$B$8&amp;"\"&amp;A76&amp;"\")</f>
        <v/>
      </c>
      <c r="AG76" s="10" t="str">
        <f aca="false">IF(A76="","",A76&amp;"_CAD.dwg")</f>
        <v/>
      </c>
      <c r="AH76" s="10" t="str">
        <f aca="false">IF(A76="","",A76&amp;"_DWG.pdf")</f>
        <v/>
      </c>
      <c r="AI76" s="10" t="str">
        <f aca="false">IF(A76="","",IF(AE76="Y",A76&amp;"_STAAD.std","n/a"))</f>
        <v/>
      </c>
      <c r="AJ76" s="10" t="str">
        <f aca="false">IF(A76="","",A76&amp;"_CALC.xlsx")</f>
        <v/>
      </c>
      <c r="AK76" s="10" t="str">
        <f aca="false">IF(A76="","",A76&amp;"_CALC.pdf")</f>
        <v/>
      </c>
      <c r="AL76" s="9"/>
      <c r="AM76" s="9"/>
      <c r="AN76" s="41"/>
      <c r="AO76" s="41"/>
      <c r="AP76" s="41"/>
      <c r="AQ76" s="41"/>
      <c r="AR76" s="41"/>
      <c r="AS76" s="38" t="str">
        <f aca="false">IF(OR(C76="",D76=""),"",IF(D76&lt;=IF(OR(C76="Block / Segmental",C76="Gabion",C76="Reinforced Earth (MSE)"),SG_Criteria!$B$34,SG_Criteria!$B$33),"No ERSS submission",IF(D76&lt;=SG_Criteria!$B$35,"QP(ST)",IF(D76&lt;=SG_Criteria!$B$36,"QP(ST) + AC","Geotechnical building works: QP(Geo) + AC"))))</f>
        <v/>
      </c>
      <c r="AT76" s="38" t="str">
        <f aca="false">IF(C76="","",IF(LEN(IF(AND(R76&lt;&gt;"",IFERROR(VALUE(MID(R76,2,2)),0)&lt;SG_Criteria!$B$19),"FAIL: grade below C"&amp;SG_Criteria!$B$19&amp;". ","")&amp;IF(AND(S76&lt;&gt;"",S76&lt;SG_Criteria!$B$20),"FAIL: cover &lt; "&amp;SG_Criteria!$B$20&amp;" mm. ","")&amp;IF(AND(W76&lt;&gt;"",W76&lt;1),"FAIL: sliding. ","")&amp;IF(AND(C76="Reverse L-Wall (toe only, at boundary)",N(O76)&gt;0),"NOTE: reverse L-wall should have no heel. ","")&amp;IF(AND(C76="L-Wall (heel only)",N(N76)&gt;0),"NOTE: L-wall should have no toe. ","")&amp;IF(AND(E76&lt;&gt;"",E76&lt;SG_Criteria!$B$31),"NOTE: q below LTA min "&amp;SG_Criteria!$B$31&amp;" kPa (not for LTA works). ",""))=0,"OK",IF(AND(R76&lt;&gt;"",IFERROR(VALUE(MID(R76,2,2)),0)&lt;SG_Criteria!$B$19),"FAIL: grade below C"&amp;SG_Criteria!$B$19&amp;". ","")&amp;IF(AND(S76&lt;&gt;"",S76&lt;SG_Criteria!$B$20),"FAIL: cover &lt; "&amp;SG_Criteria!$B$20&amp;" mm. ","")&amp;IF(AND(W76&lt;&gt;"",W76&lt;1),"FAIL: sliding. ","")&amp;IF(AND(C76="Reverse L-Wall (toe only, at boundary)",N(O76)&gt;0),"NOTE: reverse L-wall should have no heel. ","")&amp;IF(AND(C76="L-Wall (heel only)",N(N76)&gt;0),"NOTE: L-wall should have no toe. ","")&amp;IF(AND(E76&lt;&gt;"",E76&lt;SG_Criteria!$B$31),"NOTE: q below LTA min "&amp;SG_Criteria!$B$31&amp;" kPa (not for LTA works). ","")))</f>
        <v/>
      </c>
      <c r="AU76" s="9"/>
      <c r="AV76" s="9"/>
      <c r="AW76" s="9"/>
      <c r="AX76" s="9"/>
      <c r="AY76" s="9"/>
      <c r="AZ76" s="31"/>
      <c r="BA76" s="10" t="str">
        <f aca="false">IF(C76="","",IF(AND(AB76="Approved",ISERROR(SEARCH("FAIL",AT76))),"Y","N"))</f>
        <v/>
      </c>
      <c r="BB76" s="10" t="str">
        <f aca="false">IF(C76="","",C76&amp;"|"&amp;D76&amp;"|"&amp;E76&amp;"|"&amp;F76&amp;"|"&amp;BA76)</f>
        <v/>
      </c>
    </row>
    <row r="77" customFormat="false" ht="15" hidden="false" customHeight="false" outlineLevel="0" collapsed="false">
      <c r="A77" s="10" t="str">
        <f aca="false">IF(C77="","","RW-"&amp;IFERROR(VLOOKUP(C77,Lists!$M$4:$N$22,2,0),"??")&amp;"-H"&amp;TEXT(D77*1000,"0000")&amp;"-S"&amp;E77&amp;IF(F77="Y","-GW","")&amp;"-"&amp;AA77)</f>
        <v/>
      </c>
      <c r="B77" s="10" t="str">
        <f aca="false">IF(C77="","",C77&amp;", H = "&amp;TEXT(D77,"0.0")&amp;" m, q = "&amp;E77&amp;" kPa"&amp;IF(F77="Y",", with GWT","")&amp;", "&amp;H77)</f>
        <v/>
      </c>
      <c r="C77" s="9"/>
      <c r="D77" s="41"/>
      <c r="E77" s="40"/>
      <c r="F77" s="9"/>
      <c r="G77" s="40"/>
      <c r="H77" s="9"/>
      <c r="I77" s="40"/>
      <c r="J77" s="43"/>
      <c r="K77" s="40"/>
      <c r="L77" s="40"/>
      <c r="M77" s="40"/>
      <c r="N77" s="40"/>
      <c r="O77" s="40"/>
      <c r="P77" s="40"/>
      <c r="Q77" s="9"/>
      <c r="R77" s="9"/>
      <c r="S77" s="40"/>
      <c r="T77" s="9"/>
      <c r="U77" s="9"/>
      <c r="V77" s="9"/>
      <c r="W77" s="41"/>
      <c r="X77" s="41"/>
      <c r="Y77" s="40"/>
      <c r="Z77" s="9"/>
      <c r="AA77" s="9"/>
      <c r="AB77" s="9"/>
      <c r="AC77" s="9"/>
      <c r="AD77" s="9"/>
      <c r="AE77" s="9"/>
      <c r="AF77" s="10" t="str">
        <f aca="false">IF(A77="","",SG_Criteria!$B$6&amp;SG_Criteria!$B$8&amp;"\"&amp;A77&amp;"\")</f>
        <v/>
      </c>
      <c r="AG77" s="10" t="str">
        <f aca="false">IF(A77="","",A77&amp;"_CAD.dwg")</f>
        <v/>
      </c>
      <c r="AH77" s="10" t="str">
        <f aca="false">IF(A77="","",A77&amp;"_DWG.pdf")</f>
        <v/>
      </c>
      <c r="AI77" s="10" t="str">
        <f aca="false">IF(A77="","",IF(AE77="Y",A77&amp;"_STAAD.std","n/a"))</f>
        <v/>
      </c>
      <c r="AJ77" s="10" t="str">
        <f aca="false">IF(A77="","",A77&amp;"_CALC.xlsx")</f>
        <v/>
      </c>
      <c r="AK77" s="10" t="str">
        <f aca="false">IF(A77="","",A77&amp;"_CALC.pdf")</f>
        <v/>
      </c>
      <c r="AL77" s="9"/>
      <c r="AM77" s="9"/>
      <c r="AN77" s="41"/>
      <c r="AO77" s="41"/>
      <c r="AP77" s="41"/>
      <c r="AQ77" s="41"/>
      <c r="AR77" s="41"/>
      <c r="AS77" s="38" t="str">
        <f aca="false">IF(OR(C77="",D77=""),"",IF(D77&lt;=IF(OR(C77="Block / Segmental",C77="Gabion",C77="Reinforced Earth (MSE)"),SG_Criteria!$B$34,SG_Criteria!$B$33),"No ERSS submission",IF(D77&lt;=SG_Criteria!$B$35,"QP(ST)",IF(D77&lt;=SG_Criteria!$B$36,"QP(ST) + AC","Geotechnical building works: QP(Geo) + AC"))))</f>
        <v/>
      </c>
      <c r="AT77" s="38" t="str">
        <f aca="false">IF(C77="","",IF(LEN(IF(AND(R77&lt;&gt;"",IFERROR(VALUE(MID(R77,2,2)),0)&lt;SG_Criteria!$B$19),"FAIL: grade below C"&amp;SG_Criteria!$B$19&amp;". ","")&amp;IF(AND(S77&lt;&gt;"",S77&lt;SG_Criteria!$B$20),"FAIL: cover &lt; "&amp;SG_Criteria!$B$20&amp;" mm. ","")&amp;IF(AND(W77&lt;&gt;"",W77&lt;1),"FAIL: sliding. ","")&amp;IF(AND(C77="Reverse L-Wall (toe only, at boundary)",N(O77)&gt;0),"NOTE: reverse L-wall should have no heel. ","")&amp;IF(AND(C77="L-Wall (heel only)",N(N77)&gt;0),"NOTE: L-wall should have no toe. ","")&amp;IF(AND(E77&lt;&gt;"",E77&lt;SG_Criteria!$B$31),"NOTE: q below LTA min "&amp;SG_Criteria!$B$31&amp;" kPa (not for LTA works). ",""))=0,"OK",IF(AND(R77&lt;&gt;"",IFERROR(VALUE(MID(R77,2,2)),0)&lt;SG_Criteria!$B$19),"FAIL: grade below C"&amp;SG_Criteria!$B$19&amp;". ","")&amp;IF(AND(S77&lt;&gt;"",S77&lt;SG_Criteria!$B$20),"FAIL: cover &lt; "&amp;SG_Criteria!$B$20&amp;" mm. ","")&amp;IF(AND(W77&lt;&gt;"",W77&lt;1),"FAIL: sliding. ","")&amp;IF(AND(C77="Reverse L-Wall (toe only, at boundary)",N(O77)&gt;0),"NOTE: reverse L-wall should have no heel. ","")&amp;IF(AND(C77="L-Wall (heel only)",N(N77)&gt;0),"NOTE: L-wall should have no toe. ","")&amp;IF(AND(E77&lt;&gt;"",E77&lt;SG_Criteria!$B$31),"NOTE: q below LTA min "&amp;SG_Criteria!$B$31&amp;" kPa (not for LTA works). ","")))</f>
        <v/>
      </c>
      <c r="AU77" s="9"/>
      <c r="AV77" s="9"/>
      <c r="AW77" s="9"/>
      <c r="AX77" s="9"/>
      <c r="AY77" s="9"/>
      <c r="AZ77" s="31"/>
      <c r="BA77" s="10" t="str">
        <f aca="false">IF(C77="","",IF(AND(AB77="Approved",ISERROR(SEARCH("FAIL",AT77))),"Y","N"))</f>
        <v/>
      </c>
      <c r="BB77" s="10" t="str">
        <f aca="false">IF(C77="","",C77&amp;"|"&amp;D77&amp;"|"&amp;E77&amp;"|"&amp;F77&amp;"|"&amp;BA77)</f>
        <v/>
      </c>
    </row>
    <row r="78" customFormat="false" ht="15" hidden="false" customHeight="false" outlineLevel="0" collapsed="false">
      <c r="A78" s="10" t="str">
        <f aca="false">IF(C78="","","RW-"&amp;IFERROR(VLOOKUP(C78,Lists!$M$4:$N$22,2,0),"??")&amp;"-H"&amp;TEXT(D78*1000,"0000")&amp;"-S"&amp;E78&amp;IF(F78="Y","-GW","")&amp;"-"&amp;AA78)</f>
        <v/>
      </c>
      <c r="B78" s="10" t="str">
        <f aca="false">IF(C78="","",C78&amp;", H = "&amp;TEXT(D78,"0.0")&amp;" m, q = "&amp;E78&amp;" kPa"&amp;IF(F78="Y",", with GWT","")&amp;", "&amp;H78)</f>
        <v/>
      </c>
      <c r="C78" s="9"/>
      <c r="D78" s="41"/>
      <c r="E78" s="40"/>
      <c r="F78" s="9"/>
      <c r="G78" s="40"/>
      <c r="H78" s="9"/>
      <c r="I78" s="40"/>
      <c r="J78" s="43"/>
      <c r="K78" s="40"/>
      <c r="L78" s="40"/>
      <c r="M78" s="40"/>
      <c r="N78" s="40"/>
      <c r="O78" s="40"/>
      <c r="P78" s="40"/>
      <c r="Q78" s="9"/>
      <c r="R78" s="9"/>
      <c r="S78" s="40"/>
      <c r="T78" s="9"/>
      <c r="U78" s="9"/>
      <c r="V78" s="9"/>
      <c r="W78" s="41"/>
      <c r="X78" s="41"/>
      <c r="Y78" s="40"/>
      <c r="Z78" s="9"/>
      <c r="AA78" s="9"/>
      <c r="AB78" s="9"/>
      <c r="AC78" s="9"/>
      <c r="AD78" s="9"/>
      <c r="AE78" s="9"/>
      <c r="AF78" s="10" t="str">
        <f aca="false">IF(A78="","",SG_Criteria!$B$6&amp;SG_Criteria!$B$8&amp;"\"&amp;A78&amp;"\")</f>
        <v/>
      </c>
      <c r="AG78" s="10" t="str">
        <f aca="false">IF(A78="","",A78&amp;"_CAD.dwg")</f>
        <v/>
      </c>
      <c r="AH78" s="10" t="str">
        <f aca="false">IF(A78="","",A78&amp;"_DWG.pdf")</f>
        <v/>
      </c>
      <c r="AI78" s="10" t="str">
        <f aca="false">IF(A78="","",IF(AE78="Y",A78&amp;"_STAAD.std","n/a"))</f>
        <v/>
      </c>
      <c r="AJ78" s="10" t="str">
        <f aca="false">IF(A78="","",A78&amp;"_CALC.xlsx")</f>
        <v/>
      </c>
      <c r="AK78" s="10" t="str">
        <f aca="false">IF(A78="","",A78&amp;"_CALC.pdf")</f>
        <v/>
      </c>
      <c r="AL78" s="9"/>
      <c r="AM78" s="9"/>
      <c r="AN78" s="41"/>
      <c r="AO78" s="41"/>
      <c r="AP78" s="41"/>
      <c r="AQ78" s="41"/>
      <c r="AR78" s="41"/>
      <c r="AS78" s="38" t="str">
        <f aca="false">IF(OR(C78="",D78=""),"",IF(D78&lt;=IF(OR(C78="Block / Segmental",C78="Gabion",C78="Reinforced Earth (MSE)"),SG_Criteria!$B$34,SG_Criteria!$B$33),"No ERSS submission",IF(D78&lt;=SG_Criteria!$B$35,"QP(ST)",IF(D78&lt;=SG_Criteria!$B$36,"QP(ST) + AC","Geotechnical building works: QP(Geo) + AC"))))</f>
        <v/>
      </c>
      <c r="AT78" s="38" t="str">
        <f aca="false">IF(C78="","",IF(LEN(IF(AND(R78&lt;&gt;"",IFERROR(VALUE(MID(R78,2,2)),0)&lt;SG_Criteria!$B$19),"FAIL: grade below C"&amp;SG_Criteria!$B$19&amp;". ","")&amp;IF(AND(S78&lt;&gt;"",S78&lt;SG_Criteria!$B$20),"FAIL: cover &lt; "&amp;SG_Criteria!$B$20&amp;" mm. ","")&amp;IF(AND(W78&lt;&gt;"",W78&lt;1),"FAIL: sliding. ","")&amp;IF(AND(C78="Reverse L-Wall (toe only, at boundary)",N(O78)&gt;0),"NOTE: reverse L-wall should have no heel. ","")&amp;IF(AND(C78="L-Wall (heel only)",N(N78)&gt;0),"NOTE: L-wall should have no toe. ","")&amp;IF(AND(E78&lt;&gt;"",E78&lt;SG_Criteria!$B$31),"NOTE: q below LTA min "&amp;SG_Criteria!$B$31&amp;" kPa (not for LTA works). ",""))=0,"OK",IF(AND(R78&lt;&gt;"",IFERROR(VALUE(MID(R78,2,2)),0)&lt;SG_Criteria!$B$19),"FAIL: grade below C"&amp;SG_Criteria!$B$19&amp;". ","")&amp;IF(AND(S78&lt;&gt;"",S78&lt;SG_Criteria!$B$20),"FAIL: cover &lt; "&amp;SG_Criteria!$B$20&amp;" mm. ","")&amp;IF(AND(W78&lt;&gt;"",W78&lt;1),"FAIL: sliding. ","")&amp;IF(AND(C78="Reverse L-Wall (toe only, at boundary)",N(O78)&gt;0),"NOTE: reverse L-wall should have no heel. ","")&amp;IF(AND(C78="L-Wall (heel only)",N(N78)&gt;0),"NOTE: L-wall should have no toe. ","")&amp;IF(AND(E78&lt;&gt;"",E78&lt;SG_Criteria!$B$31),"NOTE: q below LTA min "&amp;SG_Criteria!$B$31&amp;" kPa (not for LTA works). ","")))</f>
        <v/>
      </c>
      <c r="AU78" s="9"/>
      <c r="AV78" s="9"/>
      <c r="AW78" s="9"/>
      <c r="AX78" s="9"/>
      <c r="AY78" s="9"/>
      <c r="AZ78" s="31"/>
      <c r="BA78" s="10" t="str">
        <f aca="false">IF(C78="","",IF(AND(AB78="Approved",ISERROR(SEARCH("FAIL",AT78))),"Y","N"))</f>
        <v/>
      </c>
      <c r="BB78" s="10" t="str">
        <f aca="false">IF(C78="","",C78&amp;"|"&amp;D78&amp;"|"&amp;E78&amp;"|"&amp;F78&amp;"|"&amp;BA78)</f>
        <v/>
      </c>
    </row>
    <row r="79" customFormat="false" ht="15" hidden="false" customHeight="false" outlineLevel="0" collapsed="false">
      <c r="A79" s="10" t="str">
        <f aca="false">IF(C79="","","RW-"&amp;IFERROR(VLOOKUP(C79,Lists!$M$4:$N$22,2,0),"??")&amp;"-H"&amp;TEXT(D79*1000,"0000")&amp;"-S"&amp;E79&amp;IF(F79="Y","-GW","")&amp;"-"&amp;AA79)</f>
        <v/>
      </c>
      <c r="B79" s="10" t="str">
        <f aca="false">IF(C79="","",C79&amp;", H = "&amp;TEXT(D79,"0.0")&amp;" m, q = "&amp;E79&amp;" kPa"&amp;IF(F79="Y",", with GWT","")&amp;", "&amp;H79)</f>
        <v/>
      </c>
      <c r="C79" s="9"/>
      <c r="D79" s="41"/>
      <c r="E79" s="40"/>
      <c r="F79" s="9"/>
      <c r="G79" s="40"/>
      <c r="H79" s="9"/>
      <c r="I79" s="40"/>
      <c r="J79" s="43"/>
      <c r="K79" s="40"/>
      <c r="L79" s="40"/>
      <c r="M79" s="40"/>
      <c r="N79" s="40"/>
      <c r="O79" s="40"/>
      <c r="P79" s="40"/>
      <c r="Q79" s="9"/>
      <c r="R79" s="9"/>
      <c r="S79" s="40"/>
      <c r="T79" s="9"/>
      <c r="U79" s="9"/>
      <c r="V79" s="9"/>
      <c r="W79" s="41"/>
      <c r="X79" s="41"/>
      <c r="Y79" s="40"/>
      <c r="Z79" s="9"/>
      <c r="AA79" s="9"/>
      <c r="AB79" s="9"/>
      <c r="AC79" s="9"/>
      <c r="AD79" s="9"/>
      <c r="AE79" s="9"/>
      <c r="AF79" s="10" t="str">
        <f aca="false">IF(A79="","",SG_Criteria!$B$6&amp;SG_Criteria!$B$8&amp;"\"&amp;A79&amp;"\")</f>
        <v/>
      </c>
      <c r="AG79" s="10" t="str">
        <f aca="false">IF(A79="","",A79&amp;"_CAD.dwg")</f>
        <v/>
      </c>
      <c r="AH79" s="10" t="str">
        <f aca="false">IF(A79="","",A79&amp;"_DWG.pdf")</f>
        <v/>
      </c>
      <c r="AI79" s="10" t="str">
        <f aca="false">IF(A79="","",IF(AE79="Y",A79&amp;"_STAAD.std","n/a"))</f>
        <v/>
      </c>
      <c r="AJ79" s="10" t="str">
        <f aca="false">IF(A79="","",A79&amp;"_CALC.xlsx")</f>
        <v/>
      </c>
      <c r="AK79" s="10" t="str">
        <f aca="false">IF(A79="","",A79&amp;"_CALC.pdf")</f>
        <v/>
      </c>
      <c r="AL79" s="9"/>
      <c r="AM79" s="9"/>
      <c r="AN79" s="41"/>
      <c r="AO79" s="41"/>
      <c r="AP79" s="41"/>
      <c r="AQ79" s="41"/>
      <c r="AR79" s="41"/>
      <c r="AS79" s="38" t="str">
        <f aca="false">IF(OR(C79="",D79=""),"",IF(D79&lt;=IF(OR(C79="Block / Segmental",C79="Gabion",C79="Reinforced Earth (MSE)"),SG_Criteria!$B$34,SG_Criteria!$B$33),"No ERSS submission",IF(D79&lt;=SG_Criteria!$B$35,"QP(ST)",IF(D79&lt;=SG_Criteria!$B$36,"QP(ST) + AC","Geotechnical building works: QP(Geo) + AC"))))</f>
        <v/>
      </c>
      <c r="AT79" s="38" t="str">
        <f aca="false">IF(C79="","",IF(LEN(IF(AND(R79&lt;&gt;"",IFERROR(VALUE(MID(R79,2,2)),0)&lt;SG_Criteria!$B$19),"FAIL: grade below C"&amp;SG_Criteria!$B$19&amp;". ","")&amp;IF(AND(S79&lt;&gt;"",S79&lt;SG_Criteria!$B$20),"FAIL: cover &lt; "&amp;SG_Criteria!$B$20&amp;" mm. ","")&amp;IF(AND(W79&lt;&gt;"",W79&lt;1),"FAIL: sliding. ","")&amp;IF(AND(C79="Reverse L-Wall (toe only, at boundary)",N(O79)&gt;0),"NOTE: reverse L-wall should have no heel. ","")&amp;IF(AND(C79="L-Wall (heel only)",N(N79)&gt;0),"NOTE: L-wall should have no toe. ","")&amp;IF(AND(E79&lt;&gt;"",E79&lt;SG_Criteria!$B$31),"NOTE: q below LTA min "&amp;SG_Criteria!$B$31&amp;" kPa (not for LTA works). ",""))=0,"OK",IF(AND(R79&lt;&gt;"",IFERROR(VALUE(MID(R79,2,2)),0)&lt;SG_Criteria!$B$19),"FAIL: grade below C"&amp;SG_Criteria!$B$19&amp;". ","")&amp;IF(AND(S79&lt;&gt;"",S79&lt;SG_Criteria!$B$20),"FAIL: cover &lt; "&amp;SG_Criteria!$B$20&amp;" mm. ","")&amp;IF(AND(W79&lt;&gt;"",W79&lt;1),"FAIL: sliding. ","")&amp;IF(AND(C79="Reverse L-Wall (toe only, at boundary)",N(O79)&gt;0),"NOTE: reverse L-wall should have no heel. ","")&amp;IF(AND(C79="L-Wall (heel only)",N(N79)&gt;0),"NOTE: L-wall should have no toe. ","")&amp;IF(AND(E79&lt;&gt;"",E79&lt;SG_Criteria!$B$31),"NOTE: q below LTA min "&amp;SG_Criteria!$B$31&amp;" kPa (not for LTA works). ","")))</f>
        <v/>
      </c>
      <c r="AU79" s="9"/>
      <c r="AV79" s="9"/>
      <c r="AW79" s="9"/>
      <c r="AX79" s="9"/>
      <c r="AY79" s="9"/>
      <c r="AZ79" s="31"/>
      <c r="BA79" s="10" t="str">
        <f aca="false">IF(C79="","",IF(AND(AB79="Approved",ISERROR(SEARCH("FAIL",AT79))),"Y","N"))</f>
        <v/>
      </c>
      <c r="BB79" s="10" t="str">
        <f aca="false">IF(C79="","",C79&amp;"|"&amp;D79&amp;"|"&amp;E79&amp;"|"&amp;F79&amp;"|"&amp;BA79)</f>
        <v/>
      </c>
    </row>
    <row r="80" customFormat="false" ht="15" hidden="false" customHeight="false" outlineLevel="0" collapsed="false">
      <c r="A80" s="10" t="str">
        <f aca="false">IF(C80="","","RW-"&amp;IFERROR(VLOOKUP(C80,Lists!$M$4:$N$22,2,0),"??")&amp;"-H"&amp;TEXT(D80*1000,"0000")&amp;"-S"&amp;E80&amp;IF(F80="Y","-GW","")&amp;"-"&amp;AA80)</f>
        <v/>
      </c>
      <c r="B80" s="10" t="str">
        <f aca="false">IF(C80="","",C80&amp;", H = "&amp;TEXT(D80,"0.0")&amp;" m, q = "&amp;E80&amp;" kPa"&amp;IF(F80="Y",", with GWT","")&amp;", "&amp;H80)</f>
        <v/>
      </c>
      <c r="C80" s="9"/>
      <c r="D80" s="41"/>
      <c r="E80" s="40"/>
      <c r="F80" s="9"/>
      <c r="G80" s="40"/>
      <c r="H80" s="9"/>
      <c r="I80" s="40"/>
      <c r="J80" s="43"/>
      <c r="K80" s="40"/>
      <c r="L80" s="40"/>
      <c r="M80" s="40"/>
      <c r="N80" s="40"/>
      <c r="O80" s="40"/>
      <c r="P80" s="40"/>
      <c r="Q80" s="9"/>
      <c r="R80" s="9"/>
      <c r="S80" s="40"/>
      <c r="T80" s="9"/>
      <c r="U80" s="9"/>
      <c r="V80" s="9"/>
      <c r="W80" s="41"/>
      <c r="X80" s="41"/>
      <c r="Y80" s="40"/>
      <c r="Z80" s="9"/>
      <c r="AA80" s="9"/>
      <c r="AB80" s="9"/>
      <c r="AC80" s="9"/>
      <c r="AD80" s="9"/>
      <c r="AE80" s="9"/>
      <c r="AF80" s="10" t="str">
        <f aca="false">IF(A80="","",SG_Criteria!$B$6&amp;SG_Criteria!$B$8&amp;"\"&amp;A80&amp;"\")</f>
        <v/>
      </c>
      <c r="AG80" s="10" t="str">
        <f aca="false">IF(A80="","",A80&amp;"_CAD.dwg")</f>
        <v/>
      </c>
      <c r="AH80" s="10" t="str">
        <f aca="false">IF(A80="","",A80&amp;"_DWG.pdf")</f>
        <v/>
      </c>
      <c r="AI80" s="10" t="str">
        <f aca="false">IF(A80="","",IF(AE80="Y",A80&amp;"_STAAD.std","n/a"))</f>
        <v/>
      </c>
      <c r="AJ80" s="10" t="str">
        <f aca="false">IF(A80="","",A80&amp;"_CALC.xlsx")</f>
        <v/>
      </c>
      <c r="AK80" s="10" t="str">
        <f aca="false">IF(A80="","",A80&amp;"_CALC.pdf")</f>
        <v/>
      </c>
      <c r="AL80" s="9"/>
      <c r="AM80" s="9"/>
      <c r="AN80" s="41"/>
      <c r="AO80" s="41"/>
      <c r="AP80" s="41"/>
      <c r="AQ80" s="41"/>
      <c r="AR80" s="41"/>
      <c r="AS80" s="38" t="str">
        <f aca="false">IF(OR(C80="",D80=""),"",IF(D80&lt;=IF(OR(C80="Block / Segmental",C80="Gabion",C80="Reinforced Earth (MSE)"),SG_Criteria!$B$34,SG_Criteria!$B$33),"No ERSS submission",IF(D80&lt;=SG_Criteria!$B$35,"QP(ST)",IF(D80&lt;=SG_Criteria!$B$36,"QP(ST) + AC","Geotechnical building works: QP(Geo) + AC"))))</f>
        <v/>
      </c>
      <c r="AT80" s="38" t="str">
        <f aca="false">IF(C80="","",IF(LEN(IF(AND(R80&lt;&gt;"",IFERROR(VALUE(MID(R80,2,2)),0)&lt;SG_Criteria!$B$19),"FAIL: grade below C"&amp;SG_Criteria!$B$19&amp;". ","")&amp;IF(AND(S80&lt;&gt;"",S80&lt;SG_Criteria!$B$20),"FAIL: cover &lt; "&amp;SG_Criteria!$B$20&amp;" mm. ","")&amp;IF(AND(W80&lt;&gt;"",W80&lt;1),"FAIL: sliding. ","")&amp;IF(AND(C80="Reverse L-Wall (toe only, at boundary)",N(O80)&gt;0),"NOTE: reverse L-wall should have no heel. ","")&amp;IF(AND(C80="L-Wall (heel only)",N(N80)&gt;0),"NOTE: L-wall should have no toe. ","")&amp;IF(AND(E80&lt;&gt;"",E80&lt;SG_Criteria!$B$31),"NOTE: q below LTA min "&amp;SG_Criteria!$B$31&amp;" kPa (not for LTA works). ",""))=0,"OK",IF(AND(R80&lt;&gt;"",IFERROR(VALUE(MID(R80,2,2)),0)&lt;SG_Criteria!$B$19),"FAIL: grade below C"&amp;SG_Criteria!$B$19&amp;". ","")&amp;IF(AND(S80&lt;&gt;"",S80&lt;SG_Criteria!$B$20),"FAIL: cover &lt; "&amp;SG_Criteria!$B$20&amp;" mm. ","")&amp;IF(AND(W80&lt;&gt;"",W80&lt;1),"FAIL: sliding. ","")&amp;IF(AND(C80="Reverse L-Wall (toe only, at boundary)",N(O80)&gt;0),"NOTE: reverse L-wall should have no heel. ","")&amp;IF(AND(C80="L-Wall (heel only)",N(N80)&gt;0),"NOTE: L-wall should have no toe. ","")&amp;IF(AND(E80&lt;&gt;"",E80&lt;SG_Criteria!$B$31),"NOTE: q below LTA min "&amp;SG_Criteria!$B$31&amp;" kPa (not for LTA works). ","")))</f>
        <v/>
      </c>
      <c r="AU80" s="9"/>
      <c r="AV80" s="9"/>
      <c r="AW80" s="9"/>
      <c r="AX80" s="9"/>
      <c r="AY80" s="9"/>
      <c r="AZ80" s="31"/>
      <c r="BA80" s="10" t="str">
        <f aca="false">IF(C80="","",IF(AND(AB80="Approved",ISERROR(SEARCH("FAIL",AT80))),"Y","N"))</f>
        <v/>
      </c>
      <c r="BB80" s="10" t="str">
        <f aca="false">IF(C80="","",C80&amp;"|"&amp;D80&amp;"|"&amp;E80&amp;"|"&amp;F80&amp;"|"&amp;BA80)</f>
        <v/>
      </c>
    </row>
    <row r="81" customFormat="false" ht="15" hidden="false" customHeight="false" outlineLevel="0" collapsed="false">
      <c r="A81" s="10" t="str">
        <f aca="false">IF(C81="","","RW-"&amp;IFERROR(VLOOKUP(C81,Lists!$M$4:$N$22,2,0),"??")&amp;"-H"&amp;TEXT(D81*1000,"0000")&amp;"-S"&amp;E81&amp;IF(F81="Y","-GW","")&amp;"-"&amp;AA81)</f>
        <v/>
      </c>
      <c r="B81" s="10" t="str">
        <f aca="false">IF(C81="","",C81&amp;", H = "&amp;TEXT(D81,"0.0")&amp;" m, q = "&amp;E81&amp;" kPa"&amp;IF(F81="Y",", with GWT","")&amp;", "&amp;H81)</f>
        <v/>
      </c>
      <c r="C81" s="9"/>
      <c r="D81" s="41"/>
      <c r="E81" s="40"/>
      <c r="F81" s="9"/>
      <c r="G81" s="40"/>
      <c r="H81" s="9"/>
      <c r="I81" s="40"/>
      <c r="J81" s="43"/>
      <c r="K81" s="40"/>
      <c r="L81" s="40"/>
      <c r="M81" s="40"/>
      <c r="N81" s="40"/>
      <c r="O81" s="40"/>
      <c r="P81" s="40"/>
      <c r="Q81" s="9"/>
      <c r="R81" s="9"/>
      <c r="S81" s="40"/>
      <c r="T81" s="9"/>
      <c r="U81" s="9"/>
      <c r="V81" s="9"/>
      <c r="W81" s="41"/>
      <c r="X81" s="41"/>
      <c r="Y81" s="40"/>
      <c r="Z81" s="9"/>
      <c r="AA81" s="9"/>
      <c r="AB81" s="9"/>
      <c r="AC81" s="9"/>
      <c r="AD81" s="9"/>
      <c r="AE81" s="9"/>
      <c r="AF81" s="10" t="str">
        <f aca="false">IF(A81="","",SG_Criteria!$B$6&amp;SG_Criteria!$B$8&amp;"\"&amp;A81&amp;"\")</f>
        <v/>
      </c>
      <c r="AG81" s="10" t="str">
        <f aca="false">IF(A81="","",A81&amp;"_CAD.dwg")</f>
        <v/>
      </c>
      <c r="AH81" s="10" t="str">
        <f aca="false">IF(A81="","",A81&amp;"_DWG.pdf")</f>
        <v/>
      </c>
      <c r="AI81" s="10" t="str">
        <f aca="false">IF(A81="","",IF(AE81="Y",A81&amp;"_STAAD.std","n/a"))</f>
        <v/>
      </c>
      <c r="AJ81" s="10" t="str">
        <f aca="false">IF(A81="","",A81&amp;"_CALC.xlsx")</f>
        <v/>
      </c>
      <c r="AK81" s="10" t="str">
        <f aca="false">IF(A81="","",A81&amp;"_CALC.pdf")</f>
        <v/>
      </c>
      <c r="AL81" s="9"/>
      <c r="AM81" s="9"/>
      <c r="AN81" s="41"/>
      <c r="AO81" s="41"/>
      <c r="AP81" s="41"/>
      <c r="AQ81" s="41"/>
      <c r="AR81" s="41"/>
      <c r="AS81" s="38" t="str">
        <f aca="false">IF(OR(C81="",D81=""),"",IF(D81&lt;=IF(OR(C81="Block / Segmental",C81="Gabion",C81="Reinforced Earth (MSE)"),SG_Criteria!$B$34,SG_Criteria!$B$33),"No ERSS submission",IF(D81&lt;=SG_Criteria!$B$35,"QP(ST)",IF(D81&lt;=SG_Criteria!$B$36,"QP(ST) + AC","Geotechnical building works: QP(Geo) + AC"))))</f>
        <v/>
      </c>
      <c r="AT81" s="38" t="str">
        <f aca="false">IF(C81="","",IF(LEN(IF(AND(R81&lt;&gt;"",IFERROR(VALUE(MID(R81,2,2)),0)&lt;SG_Criteria!$B$19),"FAIL: grade below C"&amp;SG_Criteria!$B$19&amp;". ","")&amp;IF(AND(S81&lt;&gt;"",S81&lt;SG_Criteria!$B$20),"FAIL: cover &lt; "&amp;SG_Criteria!$B$20&amp;" mm. ","")&amp;IF(AND(W81&lt;&gt;"",W81&lt;1),"FAIL: sliding. ","")&amp;IF(AND(C81="Reverse L-Wall (toe only, at boundary)",N(O81)&gt;0),"NOTE: reverse L-wall should have no heel. ","")&amp;IF(AND(C81="L-Wall (heel only)",N(N81)&gt;0),"NOTE: L-wall should have no toe. ","")&amp;IF(AND(E81&lt;&gt;"",E81&lt;SG_Criteria!$B$31),"NOTE: q below LTA min "&amp;SG_Criteria!$B$31&amp;" kPa (not for LTA works). ",""))=0,"OK",IF(AND(R81&lt;&gt;"",IFERROR(VALUE(MID(R81,2,2)),0)&lt;SG_Criteria!$B$19),"FAIL: grade below C"&amp;SG_Criteria!$B$19&amp;". ","")&amp;IF(AND(S81&lt;&gt;"",S81&lt;SG_Criteria!$B$20),"FAIL: cover &lt; "&amp;SG_Criteria!$B$20&amp;" mm. ","")&amp;IF(AND(W81&lt;&gt;"",W81&lt;1),"FAIL: sliding. ","")&amp;IF(AND(C81="Reverse L-Wall (toe only, at boundary)",N(O81)&gt;0),"NOTE: reverse L-wall should have no heel. ","")&amp;IF(AND(C81="L-Wall (heel only)",N(N81)&gt;0),"NOTE: L-wall should have no toe. ","")&amp;IF(AND(E81&lt;&gt;"",E81&lt;SG_Criteria!$B$31),"NOTE: q below LTA min "&amp;SG_Criteria!$B$31&amp;" kPa (not for LTA works). ","")))</f>
        <v/>
      </c>
      <c r="AU81" s="9"/>
      <c r="AV81" s="9"/>
      <c r="AW81" s="9"/>
      <c r="AX81" s="9"/>
      <c r="AY81" s="9"/>
      <c r="AZ81" s="31"/>
      <c r="BA81" s="10" t="str">
        <f aca="false">IF(C81="","",IF(AND(AB81="Approved",ISERROR(SEARCH("FAIL",AT81))),"Y","N"))</f>
        <v/>
      </c>
      <c r="BB81" s="10" t="str">
        <f aca="false">IF(C81="","",C81&amp;"|"&amp;D81&amp;"|"&amp;E81&amp;"|"&amp;F81&amp;"|"&amp;BA81)</f>
        <v/>
      </c>
    </row>
    <row r="82" customFormat="false" ht="15" hidden="false" customHeight="false" outlineLevel="0" collapsed="false">
      <c r="A82" s="10" t="str">
        <f aca="false">IF(C82="","","RW-"&amp;IFERROR(VLOOKUP(C82,Lists!$M$4:$N$22,2,0),"??")&amp;"-H"&amp;TEXT(D82*1000,"0000")&amp;"-S"&amp;E82&amp;IF(F82="Y","-GW","")&amp;"-"&amp;AA82)</f>
        <v/>
      </c>
      <c r="B82" s="10" t="str">
        <f aca="false">IF(C82="","",C82&amp;", H = "&amp;TEXT(D82,"0.0")&amp;" m, q = "&amp;E82&amp;" kPa"&amp;IF(F82="Y",", with GWT","")&amp;", "&amp;H82)</f>
        <v/>
      </c>
      <c r="C82" s="9"/>
      <c r="D82" s="41"/>
      <c r="E82" s="40"/>
      <c r="F82" s="9"/>
      <c r="G82" s="40"/>
      <c r="H82" s="9"/>
      <c r="I82" s="40"/>
      <c r="J82" s="43"/>
      <c r="K82" s="40"/>
      <c r="L82" s="40"/>
      <c r="M82" s="40"/>
      <c r="N82" s="40"/>
      <c r="O82" s="40"/>
      <c r="P82" s="40"/>
      <c r="Q82" s="9"/>
      <c r="R82" s="9"/>
      <c r="S82" s="40"/>
      <c r="T82" s="9"/>
      <c r="U82" s="9"/>
      <c r="V82" s="9"/>
      <c r="W82" s="41"/>
      <c r="X82" s="41"/>
      <c r="Y82" s="40"/>
      <c r="Z82" s="9"/>
      <c r="AA82" s="9"/>
      <c r="AB82" s="9"/>
      <c r="AC82" s="9"/>
      <c r="AD82" s="9"/>
      <c r="AE82" s="9"/>
      <c r="AF82" s="10" t="str">
        <f aca="false">IF(A82="","",SG_Criteria!$B$6&amp;SG_Criteria!$B$8&amp;"\"&amp;A82&amp;"\")</f>
        <v/>
      </c>
      <c r="AG82" s="10" t="str">
        <f aca="false">IF(A82="","",A82&amp;"_CAD.dwg")</f>
        <v/>
      </c>
      <c r="AH82" s="10" t="str">
        <f aca="false">IF(A82="","",A82&amp;"_DWG.pdf")</f>
        <v/>
      </c>
      <c r="AI82" s="10" t="str">
        <f aca="false">IF(A82="","",IF(AE82="Y",A82&amp;"_STAAD.std","n/a"))</f>
        <v/>
      </c>
      <c r="AJ82" s="10" t="str">
        <f aca="false">IF(A82="","",A82&amp;"_CALC.xlsx")</f>
        <v/>
      </c>
      <c r="AK82" s="10" t="str">
        <f aca="false">IF(A82="","",A82&amp;"_CALC.pdf")</f>
        <v/>
      </c>
      <c r="AL82" s="9"/>
      <c r="AM82" s="9"/>
      <c r="AN82" s="41"/>
      <c r="AO82" s="41"/>
      <c r="AP82" s="41"/>
      <c r="AQ82" s="41"/>
      <c r="AR82" s="41"/>
      <c r="AS82" s="38" t="str">
        <f aca="false">IF(OR(C82="",D82=""),"",IF(D82&lt;=IF(OR(C82="Block / Segmental",C82="Gabion",C82="Reinforced Earth (MSE)"),SG_Criteria!$B$34,SG_Criteria!$B$33),"No ERSS submission",IF(D82&lt;=SG_Criteria!$B$35,"QP(ST)",IF(D82&lt;=SG_Criteria!$B$36,"QP(ST) + AC","Geotechnical building works: QP(Geo) + AC"))))</f>
        <v/>
      </c>
      <c r="AT82" s="38" t="str">
        <f aca="false">IF(C82="","",IF(LEN(IF(AND(R82&lt;&gt;"",IFERROR(VALUE(MID(R82,2,2)),0)&lt;SG_Criteria!$B$19),"FAIL: grade below C"&amp;SG_Criteria!$B$19&amp;". ","")&amp;IF(AND(S82&lt;&gt;"",S82&lt;SG_Criteria!$B$20),"FAIL: cover &lt; "&amp;SG_Criteria!$B$20&amp;" mm. ","")&amp;IF(AND(W82&lt;&gt;"",W82&lt;1),"FAIL: sliding. ","")&amp;IF(AND(C82="Reverse L-Wall (toe only, at boundary)",N(O82)&gt;0),"NOTE: reverse L-wall should have no heel. ","")&amp;IF(AND(C82="L-Wall (heel only)",N(N82)&gt;0),"NOTE: L-wall should have no toe. ","")&amp;IF(AND(E82&lt;&gt;"",E82&lt;SG_Criteria!$B$31),"NOTE: q below LTA min "&amp;SG_Criteria!$B$31&amp;" kPa (not for LTA works). ",""))=0,"OK",IF(AND(R82&lt;&gt;"",IFERROR(VALUE(MID(R82,2,2)),0)&lt;SG_Criteria!$B$19),"FAIL: grade below C"&amp;SG_Criteria!$B$19&amp;". ","")&amp;IF(AND(S82&lt;&gt;"",S82&lt;SG_Criteria!$B$20),"FAIL: cover &lt; "&amp;SG_Criteria!$B$20&amp;" mm. ","")&amp;IF(AND(W82&lt;&gt;"",W82&lt;1),"FAIL: sliding. ","")&amp;IF(AND(C82="Reverse L-Wall (toe only, at boundary)",N(O82)&gt;0),"NOTE: reverse L-wall should have no heel. ","")&amp;IF(AND(C82="L-Wall (heel only)",N(N82)&gt;0),"NOTE: L-wall should have no toe. ","")&amp;IF(AND(E82&lt;&gt;"",E82&lt;SG_Criteria!$B$31),"NOTE: q below LTA min "&amp;SG_Criteria!$B$31&amp;" kPa (not for LTA works). ","")))</f>
        <v/>
      </c>
      <c r="AU82" s="9"/>
      <c r="AV82" s="9"/>
      <c r="AW82" s="9"/>
      <c r="AX82" s="9"/>
      <c r="AY82" s="9"/>
      <c r="AZ82" s="31"/>
      <c r="BA82" s="10" t="str">
        <f aca="false">IF(C82="","",IF(AND(AB82="Approved",ISERROR(SEARCH("FAIL",AT82))),"Y","N"))</f>
        <v/>
      </c>
      <c r="BB82" s="10" t="str">
        <f aca="false">IF(C82="","",C82&amp;"|"&amp;D82&amp;"|"&amp;E82&amp;"|"&amp;F82&amp;"|"&amp;BA82)</f>
        <v/>
      </c>
    </row>
    <row r="83" customFormat="false" ht="15" hidden="false" customHeight="false" outlineLevel="0" collapsed="false">
      <c r="A83" s="10" t="str">
        <f aca="false">IF(C83="","","RW-"&amp;IFERROR(VLOOKUP(C83,Lists!$M$4:$N$22,2,0),"??")&amp;"-H"&amp;TEXT(D83*1000,"0000")&amp;"-S"&amp;E83&amp;IF(F83="Y","-GW","")&amp;"-"&amp;AA83)</f>
        <v/>
      </c>
      <c r="B83" s="10" t="str">
        <f aca="false">IF(C83="","",C83&amp;", H = "&amp;TEXT(D83,"0.0")&amp;" m, q = "&amp;E83&amp;" kPa"&amp;IF(F83="Y",", with GWT","")&amp;", "&amp;H83)</f>
        <v/>
      </c>
      <c r="C83" s="9"/>
      <c r="D83" s="41"/>
      <c r="E83" s="40"/>
      <c r="F83" s="9"/>
      <c r="G83" s="40"/>
      <c r="H83" s="9"/>
      <c r="I83" s="40"/>
      <c r="J83" s="43"/>
      <c r="K83" s="40"/>
      <c r="L83" s="40"/>
      <c r="M83" s="40"/>
      <c r="N83" s="40"/>
      <c r="O83" s="40"/>
      <c r="P83" s="40"/>
      <c r="Q83" s="9"/>
      <c r="R83" s="9"/>
      <c r="S83" s="40"/>
      <c r="T83" s="9"/>
      <c r="U83" s="9"/>
      <c r="V83" s="9"/>
      <c r="W83" s="41"/>
      <c r="X83" s="41"/>
      <c r="Y83" s="40"/>
      <c r="Z83" s="9"/>
      <c r="AA83" s="9"/>
      <c r="AB83" s="9"/>
      <c r="AC83" s="9"/>
      <c r="AD83" s="9"/>
      <c r="AE83" s="9"/>
      <c r="AF83" s="10" t="str">
        <f aca="false">IF(A83="","",SG_Criteria!$B$6&amp;SG_Criteria!$B$8&amp;"\"&amp;A83&amp;"\")</f>
        <v/>
      </c>
      <c r="AG83" s="10" t="str">
        <f aca="false">IF(A83="","",A83&amp;"_CAD.dwg")</f>
        <v/>
      </c>
      <c r="AH83" s="10" t="str">
        <f aca="false">IF(A83="","",A83&amp;"_DWG.pdf")</f>
        <v/>
      </c>
      <c r="AI83" s="10" t="str">
        <f aca="false">IF(A83="","",IF(AE83="Y",A83&amp;"_STAAD.std","n/a"))</f>
        <v/>
      </c>
      <c r="AJ83" s="10" t="str">
        <f aca="false">IF(A83="","",A83&amp;"_CALC.xlsx")</f>
        <v/>
      </c>
      <c r="AK83" s="10" t="str">
        <f aca="false">IF(A83="","",A83&amp;"_CALC.pdf")</f>
        <v/>
      </c>
      <c r="AL83" s="9"/>
      <c r="AM83" s="9"/>
      <c r="AN83" s="41"/>
      <c r="AO83" s="41"/>
      <c r="AP83" s="41"/>
      <c r="AQ83" s="41"/>
      <c r="AR83" s="41"/>
      <c r="AS83" s="38" t="str">
        <f aca="false">IF(OR(C83="",D83=""),"",IF(D83&lt;=IF(OR(C83="Block / Segmental",C83="Gabion",C83="Reinforced Earth (MSE)"),SG_Criteria!$B$34,SG_Criteria!$B$33),"No ERSS submission",IF(D83&lt;=SG_Criteria!$B$35,"QP(ST)",IF(D83&lt;=SG_Criteria!$B$36,"QP(ST) + AC","Geotechnical building works: QP(Geo) + AC"))))</f>
        <v/>
      </c>
      <c r="AT83" s="38" t="str">
        <f aca="false">IF(C83="","",IF(LEN(IF(AND(R83&lt;&gt;"",IFERROR(VALUE(MID(R83,2,2)),0)&lt;SG_Criteria!$B$19),"FAIL: grade below C"&amp;SG_Criteria!$B$19&amp;". ","")&amp;IF(AND(S83&lt;&gt;"",S83&lt;SG_Criteria!$B$20),"FAIL: cover &lt; "&amp;SG_Criteria!$B$20&amp;" mm. ","")&amp;IF(AND(W83&lt;&gt;"",W83&lt;1),"FAIL: sliding. ","")&amp;IF(AND(C83="Reverse L-Wall (toe only, at boundary)",N(O83)&gt;0),"NOTE: reverse L-wall should have no heel. ","")&amp;IF(AND(C83="L-Wall (heel only)",N(N83)&gt;0),"NOTE: L-wall should have no toe. ","")&amp;IF(AND(E83&lt;&gt;"",E83&lt;SG_Criteria!$B$31),"NOTE: q below LTA min "&amp;SG_Criteria!$B$31&amp;" kPa (not for LTA works). ",""))=0,"OK",IF(AND(R83&lt;&gt;"",IFERROR(VALUE(MID(R83,2,2)),0)&lt;SG_Criteria!$B$19),"FAIL: grade below C"&amp;SG_Criteria!$B$19&amp;". ","")&amp;IF(AND(S83&lt;&gt;"",S83&lt;SG_Criteria!$B$20),"FAIL: cover &lt; "&amp;SG_Criteria!$B$20&amp;" mm. ","")&amp;IF(AND(W83&lt;&gt;"",W83&lt;1),"FAIL: sliding. ","")&amp;IF(AND(C83="Reverse L-Wall (toe only, at boundary)",N(O83)&gt;0),"NOTE: reverse L-wall should have no heel. ","")&amp;IF(AND(C83="L-Wall (heel only)",N(N83)&gt;0),"NOTE: L-wall should have no toe. ","")&amp;IF(AND(E83&lt;&gt;"",E83&lt;SG_Criteria!$B$31),"NOTE: q below LTA min "&amp;SG_Criteria!$B$31&amp;" kPa (not for LTA works). ","")))</f>
        <v/>
      </c>
      <c r="AU83" s="9"/>
      <c r="AV83" s="9"/>
      <c r="AW83" s="9"/>
      <c r="AX83" s="9"/>
      <c r="AY83" s="9"/>
      <c r="AZ83" s="31"/>
      <c r="BA83" s="10" t="str">
        <f aca="false">IF(C83="","",IF(AND(AB83="Approved",ISERROR(SEARCH("FAIL",AT83))),"Y","N"))</f>
        <v/>
      </c>
      <c r="BB83" s="10" t="str">
        <f aca="false">IF(C83="","",C83&amp;"|"&amp;D83&amp;"|"&amp;E83&amp;"|"&amp;F83&amp;"|"&amp;BA83)</f>
        <v/>
      </c>
    </row>
    <row r="84" customFormat="false" ht="15" hidden="false" customHeight="false" outlineLevel="0" collapsed="false">
      <c r="A84" s="10" t="str">
        <f aca="false">IF(C84="","","RW-"&amp;IFERROR(VLOOKUP(C84,Lists!$M$4:$N$22,2,0),"??")&amp;"-H"&amp;TEXT(D84*1000,"0000")&amp;"-S"&amp;E84&amp;IF(F84="Y","-GW","")&amp;"-"&amp;AA84)</f>
        <v/>
      </c>
      <c r="B84" s="10" t="str">
        <f aca="false">IF(C84="","",C84&amp;", H = "&amp;TEXT(D84,"0.0")&amp;" m, q = "&amp;E84&amp;" kPa"&amp;IF(F84="Y",", with GWT","")&amp;", "&amp;H84)</f>
        <v/>
      </c>
      <c r="C84" s="9"/>
      <c r="D84" s="41"/>
      <c r="E84" s="40"/>
      <c r="F84" s="9"/>
      <c r="G84" s="40"/>
      <c r="H84" s="9"/>
      <c r="I84" s="40"/>
      <c r="J84" s="43"/>
      <c r="K84" s="40"/>
      <c r="L84" s="40"/>
      <c r="M84" s="40"/>
      <c r="N84" s="40"/>
      <c r="O84" s="40"/>
      <c r="P84" s="40"/>
      <c r="Q84" s="9"/>
      <c r="R84" s="9"/>
      <c r="S84" s="40"/>
      <c r="T84" s="9"/>
      <c r="U84" s="9"/>
      <c r="V84" s="9"/>
      <c r="W84" s="41"/>
      <c r="X84" s="41"/>
      <c r="Y84" s="40"/>
      <c r="Z84" s="9"/>
      <c r="AA84" s="9"/>
      <c r="AB84" s="9"/>
      <c r="AC84" s="9"/>
      <c r="AD84" s="9"/>
      <c r="AE84" s="9"/>
      <c r="AF84" s="10" t="str">
        <f aca="false">IF(A84="","",SG_Criteria!$B$6&amp;SG_Criteria!$B$8&amp;"\"&amp;A84&amp;"\")</f>
        <v/>
      </c>
      <c r="AG84" s="10" t="str">
        <f aca="false">IF(A84="","",A84&amp;"_CAD.dwg")</f>
        <v/>
      </c>
      <c r="AH84" s="10" t="str">
        <f aca="false">IF(A84="","",A84&amp;"_DWG.pdf")</f>
        <v/>
      </c>
      <c r="AI84" s="10" t="str">
        <f aca="false">IF(A84="","",IF(AE84="Y",A84&amp;"_STAAD.std","n/a"))</f>
        <v/>
      </c>
      <c r="AJ84" s="10" t="str">
        <f aca="false">IF(A84="","",A84&amp;"_CALC.xlsx")</f>
        <v/>
      </c>
      <c r="AK84" s="10" t="str">
        <f aca="false">IF(A84="","",A84&amp;"_CALC.pdf")</f>
        <v/>
      </c>
      <c r="AL84" s="9"/>
      <c r="AM84" s="9"/>
      <c r="AN84" s="41"/>
      <c r="AO84" s="41"/>
      <c r="AP84" s="41"/>
      <c r="AQ84" s="41"/>
      <c r="AR84" s="41"/>
      <c r="AS84" s="38" t="str">
        <f aca="false">IF(OR(C84="",D84=""),"",IF(D84&lt;=IF(OR(C84="Block / Segmental",C84="Gabion",C84="Reinforced Earth (MSE)"),SG_Criteria!$B$34,SG_Criteria!$B$33),"No ERSS submission",IF(D84&lt;=SG_Criteria!$B$35,"QP(ST)",IF(D84&lt;=SG_Criteria!$B$36,"QP(ST) + AC","Geotechnical building works: QP(Geo) + AC"))))</f>
        <v/>
      </c>
      <c r="AT84" s="38" t="str">
        <f aca="false">IF(C84="","",IF(LEN(IF(AND(R84&lt;&gt;"",IFERROR(VALUE(MID(R84,2,2)),0)&lt;SG_Criteria!$B$19),"FAIL: grade below C"&amp;SG_Criteria!$B$19&amp;". ","")&amp;IF(AND(S84&lt;&gt;"",S84&lt;SG_Criteria!$B$20),"FAIL: cover &lt; "&amp;SG_Criteria!$B$20&amp;" mm. ","")&amp;IF(AND(W84&lt;&gt;"",W84&lt;1),"FAIL: sliding. ","")&amp;IF(AND(C84="Reverse L-Wall (toe only, at boundary)",N(O84)&gt;0),"NOTE: reverse L-wall should have no heel. ","")&amp;IF(AND(C84="L-Wall (heel only)",N(N84)&gt;0),"NOTE: L-wall should have no toe. ","")&amp;IF(AND(E84&lt;&gt;"",E84&lt;SG_Criteria!$B$31),"NOTE: q below LTA min "&amp;SG_Criteria!$B$31&amp;" kPa (not for LTA works). ",""))=0,"OK",IF(AND(R84&lt;&gt;"",IFERROR(VALUE(MID(R84,2,2)),0)&lt;SG_Criteria!$B$19),"FAIL: grade below C"&amp;SG_Criteria!$B$19&amp;". ","")&amp;IF(AND(S84&lt;&gt;"",S84&lt;SG_Criteria!$B$20),"FAIL: cover &lt; "&amp;SG_Criteria!$B$20&amp;" mm. ","")&amp;IF(AND(W84&lt;&gt;"",W84&lt;1),"FAIL: sliding. ","")&amp;IF(AND(C84="Reverse L-Wall (toe only, at boundary)",N(O84)&gt;0),"NOTE: reverse L-wall should have no heel. ","")&amp;IF(AND(C84="L-Wall (heel only)",N(N84)&gt;0),"NOTE: L-wall should have no toe. ","")&amp;IF(AND(E84&lt;&gt;"",E84&lt;SG_Criteria!$B$31),"NOTE: q below LTA min "&amp;SG_Criteria!$B$31&amp;" kPa (not for LTA works). ","")))</f>
        <v/>
      </c>
      <c r="AU84" s="9"/>
      <c r="AV84" s="9"/>
      <c r="AW84" s="9"/>
      <c r="AX84" s="9"/>
      <c r="AY84" s="9"/>
      <c r="AZ84" s="31"/>
      <c r="BA84" s="10" t="str">
        <f aca="false">IF(C84="","",IF(AND(AB84="Approved",ISERROR(SEARCH("FAIL",AT84))),"Y","N"))</f>
        <v/>
      </c>
      <c r="BB84" s="10" t="str">
        <f aca="false">IF(C84="","",C84&amp;"|"&amp;D84&amp;"|"&amp;E84&amp;"|"&amp;F84&amp;"|"&amp;BA84)</f>
        <v/>
      </c>
    </row>
    <row r="85" customFormat="false" ht="15" hidden="false" customHeight="false" outlineLevel="0" collapsed="false">
      <c r="A85" s="10" t="str">
        <f aca="false">IF(C85="","","RW-"&amp;IFERROR(VLOOKUP(C85,Lists!$M$4:$N$22,2,0),"??")&amp;"-H"&amp;TEXT(D85*1000,"0000")&amp;"-S"&amp;E85&amp;IF(F85="Y","-GW","")&amp;"-"&amp;AA85)</f>
        <v/>
      </c>
      <c r="B85" s="10" t="str">
        <f aca="false">IF(C85="","",C85&amp;", H = "&amp;TEXT(D85,"0.0")&amp;" m, q = "&amp;E85&amp;" kPa"&amp;IF(F85="Y",", with GWT","")&amp;", "&amp;H85)</f>
        <v/>
      </c>
      <c r="C85" s="9"/>
      <c r="D85" s="41"/>
      <c r="E85" s="40"/>
      <c r="F85" s="9"/>
      <c r="G85" s="40"/>
      <c r="H85" s="9"/>
      <c r="I85" s="40"/>
      <c r="J85" s="43"/>
      <c r="K85" s="40"/>
      <c r="L85" s="40"/>
      <c r="M85" s="40"/>
      <c r="N85" s="40"/>
      <c r="O85" s="40"/>
      <c r="P85" s="40"/>
      <c r="Q85" s="9"/>
      <c r="R85" s="9"/>
      <c r="S85" s="40"/>
      <c r="T85" s="9"/>
      <c r="U85" s="9"/>
      <c r="V85" s="9"/>
      <c r="W85" s="41"/>
      <c r="X85" s="41"/>
      <c r="Y85" s="40"/>
      <c r="Z85" s="9"/>
      <c r="AA85" s="9"/>
      <c r="AB85" s="9"/>
      <c r="AC85" s="9"/>
      <c r="AD85" s="9"/>
      <c r="AE85" s="9"/>
      <c r="AF85" s="10" t="str">
        <f aca="false">IF(A85="","",SG_Criteria!$B$6&amp;SG_Criteria!$B$8&amp;"\"&amp;A85&amp;"\")</f>
        <v/>
      </c>
      <c r="AG85" s="10" t="str">
        <f aca="false">IF(A85="","",A85&amp;"_CAD.dwg")</f>
        <v/>
      </c>
      <c r="AH85" s="10" t="str">
        <f aca="false">IF(A85="","",A85&amp;"_DWG.pdf")</f>
        <v/>
      </c>
      <c r="AI85" s="10" t="str">
        <f aca="false">IF(A85="","",IF(AE85="Y",A85&amp;"_STAAD.std","n/a"))</f>
        <v/>
      </c>
      <c r="AJ85" s="10" t="str">
        <f aca="false">IF(A85="","",A85&amp;"_CALC.xlsx")</f>
        <v/>
      </c>
      <c r="AK85" s="10" t="str">
        <f aca="false">IF(A85="","",A85&amp;"_CALC.pdf")</f>
        <v/>
      </c>
      <c r="AL85" s="9"/>
      <c r="AM85" s="9"/>
      <c r="AN85" s="41"/>
      <c r="AO85" s="41"/>
      <c r="AP85" s="41"/>
      <c r="AQ85" s="41"/>
      <c r="AR85" s="41"/>
      <c r="AS85" s="38" t="str">
        <f aca="false">IF(OR(C85="",D85=""),"",IF(D85&lt;=IF(OR(C85="Block / Segmental",C85="Gabion",C85="Reinforced Earth (MSE)"),SG_Criteria!$B$34,SG_Criteria!$B$33),"No ERSS submission",IF(D85&lt;=SG_Criteria!$B$35,"QP(ST)",IF(D85&lt;=SG_Criteria!$B$36,"QP(ST) + AC","Geotechnical building works: QP(Geo) + AC"))))</f>
        <v/>
      </c>
      <c r="AT85" s="38" t="str">
        <f aca="false">IF(C85="","",IF(LEN(IF(AND(R85&lt;&gt;"",IFERROR(VALUE(MID(R85,2,2)),0)&lt;SG_Criteria!$B$19),"FAIL: grade below C"&amp;SG_Criteria!$B$19&amp;". ","")&amp;IF(AND(S85&lt;&gt;"",S85&lt;SG_Criteria!$B$20),"FAIL: cover &lt; "&amp;SG_Criteria!$B$20&amp;" mm. ","")&amp;IF(AND(W85&lt;&gt;"",W85&lt;1),"FAIL: sliding. ","")&amp;IF(AND(C85="Reverse L-Wall (toe only, at boundary)",N(O85)&gt;0),"NOTE: reverse L-wall should have no heel. ","")&amp;IF(AND(C85="L-Wall (heel only)",N(N85)&gt;0),"NOTE: L-wall should have no toe. ","")&amp;IF(AND(E85&lt;&gt;"",E85&lt;SG_Criteria!$B$31),"NOTE: q below LTA min "&amp;SG_Criteria!$B$31&amp;" kPa (not for LTA works). ",""))=0,"OK",IF(AND(R85&lt;&gt;"",IFERROR(VALUE(MID(R85,2,2)),0)&lt;SG_Criteria!$B$19),"FAIL: grade below C"&amp;SG_Criteria!$B$19&amp;". ","")&amp;IF(AND(S85&lt;&gt;"",S85&lt;SG_Criteria!$B$20),"FAIL: cover &lt; "&amp;SG_Criteria!$B$20&amp;" mm. ","")&amp;IF(AND(W85&lt;&gt;"",W85&lt;1),"FAIL: sliding. ","")&amp;IF(AND(C85="Reverse L-Wall (toe only, at boundary)",N(O85)&gt;0),"NOTE: reverse L-wall should have no heel. ","")&amp;IF(AND(C85="L-Wall (heel only)",N(N85)&gt;0),"NOTE: L-wall should have no toe. ","")&amp;IF(AND(E85&lt;&gt;"",E85&lt;SG_Criteria!$B$31),"NOTE: q below LTA min "&amp;SG_Criteria!$B$31&amp;" kPa (not for LTA works). ","")))</f>
        <v/>
      </c>
      <c r="AU85" s="9"/>
      <c r="AV85" s="9"/>
      <c r="AW85" s="9"/>
      <c r="AX85" s="9"/>
      <c r="AY85" s="9"/>
      <c r="AZ85" s="31"/>
      <c r="BA85" s="10" t="str">
        <f aca="false">IF(C85="","",IF(AND(AB85="Approved",ISERROR(SEARCH("FAIL",AT85))),"Y","N"))</f>
        <v/>
      </c>
      <c r="BB85" s="10" t="str">
        <f aca="false">IF(C85="","",C85&amp;"|"&amp;D85&amp;"|"&amp;E85&amp;"|"&amp;F85&amp;"|"&amp;BA85)</f>
        <v/>
      </c>
    </row>
    <row r="86" customFormat="false" ht="15" hidden="false" customHeight="false" outlineLevel="0" collapsed="false">
      <c r="A86" s="10" t="str">
        <f aca="false">IF(C86="","","RW-"&amp;IFERROR(VLOOKUP(C86,Lists!$M$4:$N$22,2,0),"??")&amp;"-H"&amp;TEXT(D86*1000,"0000")&amp;"-S"&amp;E86&amp;IF(F86="Y","-GW","")&amp;"-"&amp;AA86)</f>
        <v/>
      </c>
      <c r="B86" s="10" t="str">
        <f aca="false">IF(C86="","",C86&amp;", H = "&amp;TEXT(D86,"0.0")&amp;" m, q = "&amp;E86&amp;" kPa"&amp;IF(F86="Y",", with GWT","")&amp;", "&amp;H86)</f>
        <v/>
      </c>
      <c r="C86" s="9"/>
      <c r="D86" s="41"/>
      <c r="E86" s="40"/>
      <c r="F86" s="9"/>
      <c r="G86" s="40"/>
      <c r="H86" s="9"/>
      <c r="I86" s="40"/>
      <c r="J86" s="43"/>
      <c r="K86" s="40"/>
      <c r="L86" s="40"/>
      <c r="M86" s="40"/>
      <c r="N86" s="40"/>
      <c r="O86" s="40"/>
      <c r="P86" s="40"/>
      <c r="Q86" s="9"/>
      <c r="R86" s="9"/>
      <c r="S86" s="40"/>
      <c r="T86" s="9"/>
      <c r="U86" s="9"/>
      <c r="V86" s="9"/>
      <c r="W86" s="41"/>
      <c r="X86" s="41"/>
      <c r="Y86" s="40"/>
      <c r="Z86" s="9"/>
      <c r="AA86" s="9"/>
      <c r="AB86" s="9"/>
      <c r="AC86" s="9"/>
      <c r="AD86" s="9"/>
      <c r="AE86" s="9"/>
      <c r="AF86" s="10" t="str">
        <f aca="false">IF(A86="","",SG_Criteria!$B$6&amp;SG_Criteria!$B$8&amp;"\"&amp;A86&amp;"\")</f>
        <v/>
      </c>
      <c r="AG86" s="10" t="str">
        <f aca="false">IF(A86="","",A86&amp;"_CAD.dwg")</f>
        <v/>
      </c>
      <c r="AH86" s="10" t="str">
        <f aca="false">IF(A86="","",A86&amp;"_DWG.pdf")</f>
        <v/>
      </c>
      <c r="AI86" s="10" t="str">
        <f aca="false">IF(A86="","",IF(AE86="Y",A86&amp;"_STAAD.std","n/a"))</f>
        <v/>
      </c>
      <c r="AJ86" s="10" t="str">
        <f aca="false">IF(A86="","",A86&amp;"_CALC.xlsx")</f>
        <v/>
      </c>
      <c r="AK86" s="10" t="str">
        <f aca="false">IF(A86="","",A86&amp;"_CALC.pdf")</f>
        <v/>
      </c>
      <c r="AL86" s="9"/>
      <c r="AM86" s="9"/>
      <c r="AN86" s="41"/>
      <c r="AO86" s="41"/>
      <c r="AP86" s="41"/>
      <c r="AQ86" s="41"/>
      <c r="AR86" s="41"/>
      <c r="AS86" s="38" t="str">
        <f aca="false">IF(OR(C86="",D86=""),"",IF(D86&lt;=IF(OR(C86="Block / Segmental",C86="Gabion",C86="Reinforced Earth (MSE)"),SG_Criteria!$B$34,SG_Criteria!$B$33),"No ERSS submission",IF(D86&lt;=SG_Criteria!$B$35,"QP(ST)",IF(D86&lt;=SG_Criteria!$B$36,"QP(ST) + AC","Geotechnical building works: QP(Geo) + AC"))))</f>
        <v/>
      </c>
      <c r="AT86" s="38" t="str">
        <f aca="false">IF(C86="","",IF(LEN(IF(AND(R86&lt;&gt;"",IFERROR(VALUE(MID(R86,2,2)),0)&lt;SG_Criteria!$B$19),"FAIL: grade below C"&amp;SG_Criteria!$B$19&amp;". ","")&amp;IF(AND(S86&lt;&gt;"",S86&lt;SG_Criteria!$B$20),"FAIL: cover &lt; "&amp;SG_Criteria!$B$20&amp;" mm. ","")&amp;IF(AND(W86&lt;&gt;"",W86&lt;1),"FAIL: sliding. ","")&amp;IF(AND(C86="Reverse L-Wall (toe only, at boundary)",N(O86)&gt;0),"NOTE: reverse L-wall should have no heel. ","")&amp;IF(AND(C86="L-Wall (heel only)",N(N86)&gt;0),"NOTE: L-wall should have no toe. ","")&amp;IF(AND(E86&lt;&gt;"",E86&lt;SG_Criteria!$B$31),"NOTE: q below LTA min "&amp;SG_Criteria!$B$31&amp;" kPa (not for LTA works). ",""))=0,"OK",IF(AND(R86&lt;&gt;"",IFERROR(VALUE(MID(R86,2,2)),0)&lt;SG_Criteria!$B$19),"FAIL: grade below C"&amp;SG_Criteria!$B$19&amp;". ","")&amp;IF(AND(S86&lt;&gt;"",S86&lt;SG_Criteria!$B$20),"FAIL: cover &lt; "&amp;SG_Criteria!$B$20&amp;" mm. ","")&amp;IF(AND(W86&lt;&gt;"",W86&lt;1),"FAIL: sliding. ","")&amp;IF(AND(C86="Reverse L-Wall (toe only, at boundary)",N(O86)&gt;0),"NOTE: reverse L-wall should have no heel. ","")&amp;IF(AND(C86="L-Wall (heel only)",N(N86)&gt;0),"NOTE: L-wall should have no toe. ","")&amp;IF(AND(E86&lt;&gt;"",E86&lt;SG_Criteria!$B$31),"NOTE: q below LTA min "&amp;SG_Criteria!$B$31&amp;" kPa (not for LTA works). ","")))</f>
        <v/>
      </c>
      <c r="AU86" s="9"/>
      <c r="AV86" s="9"/>
      <c r="AW86" s="9"/>
      <c r="AX86" s="9"/>
      <c r="AY86" s="9"/>
      <c r="AZ86" s="31"/>
      <c r="BA86" s="10" t="str">
        <f aca="false">IF(C86="","",IF(AND(AB86="Approved",ISERROR(SEARCH("FAIL",AT86))),"Y","N"))</f>
        <v/>
      </c>
      <c r="BB86" s="10" t="str">
        <f aca="false">IF(C86="","",C86&amp;"|"&amp;D86&amp;"|"&amp;E86&amp;"|"&amp;F86&amp;"|"&amp;BA86)</f>
        <v/>
      </c>
    </row>
    <row r="87" customFormat="false" ht="15" hidden="false" customHeight="false" outlineLevel="0" collapsed="false">
      <c r="A87" s="10" t="str">
        <f aca="false">IF(C87="","","RW-"&amp;IFERROR(VLOOKUP(C87,Lists!$M$4:$N$22,2,0),"??")&amp;"-H"&amp;TEXT(D87*1000,"0000")&amp;"-S"&amp;E87&amp;IF(F87="Y","-GW","")&amp;"-"&amp;AA87)</f>
        <v/>
      </c>
      <c r="B87" s="10" t="str">
        <f aca="false">IF(C87="","",C87&amp;", H = "&amp;TEXT(D87,"0.0")&amp;" m, q = "&amp;E87&amp;" kPa"&amp;IF(F87="Y",", with GWT","")&amp;", "&amp;H87)</f>
        <v/>
      </c>
      <c r="C87" s="9"/>
      <c r="D87" s="41"/>
      <c r="E87" s="40"/>
      <c r="F87" s="9"/>
      <c r="G87" s="40"/>
      <c r="H87" s="9"/>
      <c r="I87" s="40"/>
      <c r="J87" s="43"/>
      <c r="K87" s="40"/>
      <c r="L87" s="40"/>
      <c r="M87" s="40"/>
      <c r="N87" s="40"/>
      <c r="O87" s="40"/>
      <c r="P87" s="40"/>
      <c r="Q87" s="9"/>
      <c r="R87" s="9"/>
      <c r="S87" s="40"/>
      <c r="T87" s="9"/>
      <c r="U87" s="9"/>
      <c r="V87" s="9"/>
      <c r="W87" s="41"/>
      <c r="X87" s="41"/>
      <c r="Y87" s="40"/>
      <c r="Z87" s="9"/>
      <c r="AA87" s="9"/>
      <c r="AB87" s="9"/>
      <c r="AC87" s="9"/>
      <c r="AD87" s="9"/>
      <c r="AE87" s="9"/>
      <c r="AF87" s="10" t="str">
        <f aca="false">IF(A87="","",SG_Criteria!$B$6&amp;SG_Criteria!$B$8&amp;"\"&amp;A87&amp;"\")</f>
        <v/>
      </c>
      <c r="AG87" s="10" t="str">
        <f aca="false">IF(A87="","",A87&amp;"_CAD.dwg")</f>
        <v/>
      </c>
      <c r="AH87" s="10" t="str">
        <f aca="false">IF(A87="","",A87&amp;"_DWG.pdf")</f>
        <v/>
      </c>
      <c r="AI87" s="10" t="str">
        <f aca="false">IF(A87="","",IF(AE87="Y",A87&amp;"_STAAD.std","n/a"))</f>
        <v/>
      </c>
      <c r="AJ87" s="10" t="str">
        <f aca="false">IF(A87="","",A87&amp;"_CALC.xlsx")</f>
        <v/>
      </c>
      <c r="AK87" s="10" t="str">
        <f aca="false">IF(A87="","",A87&amp;"_CALC.pdf")</f>
        <v/>
      </c>
      <c r="AL87" s="9"/>
      <c r="AM87" s="9"/>
      <c r="AN87" s="41"/>
      <c r="AO87" s="41"/>
      <c r="AP87" s="41"/>
      <c r="AQ87" s="41"/>
      <c r="AR87" s="41"/>
      <c r="AS87" s="38" t="str">
        <f aca="false">IF(OR(C87="",D87=""),"",IF(D87&lt;=IF(OR(C87="Block / Segmental",C87="Gabion",C87="Reinforced Earth (MSE)"),SG_Criteria!$B$34,SG_Criteria!$B$33),"No ERSS submission",IF(D87&lt;=SG_Criteria!$B$35,"QP(ST)",IF(D87&lt;=SG_Criteria!$B$36,"QP(ST) + AC","Geotechnical building works: QP(Geo) + AC"))))</f>
        <v/>
      </c>
      <c r="AT87" s="38" t="str">
        <f aca="false">IF(C87="","",IF(LEN(IF(AND(R87&lt;&gt;"",IFERROR(VALUE(MID(R87,2,2)),0)&lt;SG_Criteria!$B$19),"FAIL: grade below C"&amp;SG_Criteria!$B$19&amp;". ","")&amp;IF(AND(S87&lt;&gt;"",S87&lt;SG_Criteria!$B$20),"FAIL: cover &lt; "&amp;SG_Criteria!$B$20&amp;" mm. ","")&amp;IF(AND(W87&lt;&gt;"",W87&lt;1),"FAIL: sliding. ","")&amp;IF(AND(C87="Reverse L-Wall (toe only, at boundary)",N(O87)&gt;0),"NOTE: reverse L-wall should have no heel. ","")&amp;IF(AND(C87="L-Wall (heel only)",N(N87)&gt;0),"NOTE: L-wall should have no toe. ","")&amp;IF(AND(E87&lt;&gt;"",E87&lt;SG_Criteria!$B$31),"NOTE: q below LTA min "&amp;SG_Criteria!$B$31&amp;" kPa (not for LTA works). ",""))=0,"OK",IF(AND(R87&lt;&gt;"",IFERROR(VALUE(MID(R87,2,2)),0)&lt;SG_Criteria!$B$19),"FAIL: grade below C"&amp;SG_Criteria!$B$19&amp;". ","")&amp;IF(AND(S87&lt;&gt;"",S87&lt;SG_Criteria!$B$20),"FAIL: cover &lt; "&amp;SG_Criteria!$B$20&amp;" mm. ","")&amp;IF(AND(W87&lt;&gt;"",W87&lt;1),"FAIL: sliding. ","")&amp;IF(AND(C87="Reverse L-Wall (toe only, at boundary)",N(O87)&gt;0),"NOTE: reverse L-wall should have no heel. ","")&amp;IF(AND(C87="L-Wall (heel only)",N(N87)&gt;0),"NOTE: L-wall should have no toe. ","")&amp;IF(AND(E87&lt;&gt;"",E87&lt;SG_Criteria!$B$31),"NOTE: q below LTA min "&amp;SG_Criteria!$B$31&amp;" kPa (not for LTA works). ","")))</f>
        <v/>
      </c>
      <c r="AU87" s="9"/>
      <c r="AV87" s="9"/>
      <c r="AW87" s="9"/>
      <c r="AX87" s="9"/>
      <c r="AY87" s="9"/>
      <c r="AZ87" s="31"/>
      <c r="BA87" s="10" t="str">
        <f aca="false">IF(C87="","",IF(AND(AB87="Approved",ISERROR(SEARCH("FAIL",AT87))),"Y","N"))</f>
        <v/>
      </c>
      <c r="BB87" s="10" t="str">
        <f aca="false">IF(C87="","",C87&amp;"|"&amp;D87&amp;"|"&amp;E87&amp;"|"&amp;F87&amp;"|"&amp;BA87)</f>
        <v/>
      </c>
    </row>
    <row r="88" customFormat="false" ht="15" hidden="false" customHeight="false" outlineLevel="0" collapsed="false">
      <c r="A88" s="10" t="str">
        <f aca="false">IF(C88="","","RW-"&amp;IFERROR(VLOOKUP(C88,Lists!$M$4:$N$22,2,0),"??")&amp;"-H"&amp;TEXT(D88*1000,"0000")&amp;"-S"&amp;E88&amp;IF(F88="Y","-GW","")&amp;"-"&amp;AA88)</f>
        <v/>
      </c>
      <c r="B88" s="10" t="str">
        <f aca="false">IF(C88="","",C88&amp;", H = "&amp;TEXT(D88,"0.0")&amp;" m, q = "&amp;E88&amp;" kPa"&amp;IF(F88="Y",", with GWT","")&amp;", "&amp;H88)</f>
        <v/>
      </c>
      <c r="C88" s="9"/>
      <c r="D88" s="41"/>
      <c r="E88" s="40"/>
      <c r="F88" s="9"/>
      <c r="G88" s="40"/>
      <c r="H88" s="9"/>
      <c r="I88" s="40"/>
      <c r="J88" s="43"/>
      <c r="K88" s="40"/>
      <c r="L88" s="40"/>
      <c r="M88" s="40"/>
      <c r="N88" s="40"/>
      <c r="O88" s="40"/>
      <c r="P88" s="40"/>
      <c r="Q88" s="9"/>
      <c r="R88" s="9"/>
      <c r="S88" s="40"/>
      <c r="T88" s="9"/>
      <c r="U88" s="9"/>
      <c r="V88" s="9"/>
      <c r="W88" s="41"/>
      <c r="X88" s="41"/>
      <c r="Y88" s="40"/>
      <c r="Z88" s="9"/>
      <c r="AA88" s="9"/>
      <c r="AB88" s="9"/>
      <c r="AC88" s="9"/>
      <c r="AD88" s="9"/>
      <c r="AE88" s="9"/>
      <c r="AF88" s="10" t="str">
        <f aca="false">IF(A88="","",SG_Criteria!$B$6&amp;SG_Criteria!$B$8&amp;"\"&amp;A88&amp;"\")</f>
        <v/>
      </c>
      <c r="AG88" s="10" t="str">
        <f aca="false">IF(A88="","",A88&amp;"_CAD.dwg")</f>
        <v/>
      </c>
      <c r="AH88" s="10" t="str">
        <f aca="false">IF(A88="","",A88&amp;"_DWG.pdf")</f>
        <v/>
      </c>
      <c r="AI88" s="10" t="str">
        <f aca="false">IF(A88="","",IF(AE88="Y",A88&amp;"_STAAD.std","n/a"))</f>
        <v/>
      </c>
      <c r="AJ88" s="10" t="str">
        <f aca="false">IF(A88="","",A88&amp;"_CALC.xlsx")</f>
        <v/>
      </c>
      <c r="AK88" s="10" t="str">
        <f aca="false">IF(A88="","",A88&amp;"_CALC.pdf")</f>
        <v/>
      </c>
      <c r="AL88" s="9"/>
      <c r="AM88" s="9"/>
      <c r="AN88" s="41"/>
      <c r="AO88" s="41"/>
      <c r="AP88" s="41"/>
      <c r="AQ88" s="41"/>
      <c r="AR88" s="41"/>
      <c r="AS88" s="38" t="str">
        <f aca="false">IF(OR(C88="",D88=""),"",IF(D88&lt;=IF(OR(C88="Block / Segmental",C88="Gabion",C88="Reinforced Earth (MSE)"),SG_Criteria!$B$34,SG_Criteria!$B$33),"No ERSS submission",IF(D88&lt;=SG_Criteria!$B$35,"QP(ST)",IF(D88&lt;=SG_Criteria!$B$36,"QP(ST) + AC","Geotechnical building works: QP(Geo) + AC"))))</f>
        <v/>
      </c>
      <c r="AT88" s="38" t="str">
        <f aca="false">IF(C88="","",IF(LEN(IF(AND(R88&lt;&gt;"",IFERROR(VALUE(MID(R88,2,2)),0)&lt;SG_Criteria!$B$19),"FAIL: grade below C"&amp;SG_Criteria!$B$19&amp;". ","")&amp;IF(AND(S88&lt;&gt;"",S88&lt;SG_Criteria!$B$20),"FAIL: cover &lt; "&amp;SG_Criteria!$B$20&amp;" mm. ","")&amp;IF(AND(W88&lt;&gt;"",W88&lt;1),"FAIL: sliding. ","")&amp;IF(AND(C88="Reverse L-Wall (toe only, at boundary)",N(O88)&gt;0),"NOTE: reverse L-wall should have no heel. ","")&amp;IF(AND(C88="L-Wall (heel only)",N(N88)&gt;0),"NOTE: L-wall should have no toe. ","")&amp;IF(AND(E88&lt;&gt;"",E88&lt;SG_Criteria!$B$31),"NOTE: q below LTA min "&amp;SG_Criteria!$B$31&amp;" kPa (not for LTA works). ",""))=0,"OK",IF(AND(R88&lt;&gt;"",IFERROR(VALUE(MID(R88,2,2)),0)&lt;SG_Criteria!$B$19),"FAIL: grade below C"&amp;SG_Criteria!$B$19&amp;". ","")&amp;IF(AND(S88&lt;&gt;"",S88&lt;SG_Criteria!$B$20),"FAIL: cover &lt; "&amp;SG_Criteria!$B$20&amp;" mm. ","")&amp;IF(AND(W88&lt;&gt;"",W88&lt;1),"FAIL: sliding. ","")&amp;IF(AND(C88="Reverse L-Wall (toe only, at boundary)",N(O88)&gt;0),"NOTE: reverse L-wall should have no heel. ","")&amp;IF(AND(C88="L-Wall (heel only)",N(N88)&gt;0),"NOTE: L-wall should have no toe. ","")&amp;IF(AND(E88&lt;&gt;"",E88&lt;SG_Criteria!$B$31),"NOTE: q below LTA min "&amp;SG_Criteria!$B$31&amp;" kPa (not for LTA works). ","")))</f>
        <v/>
      </c>
      <c r="AU88" s="9"/>
      <c r="AV88" s="9"/>
      <c r="AW88" s="9"/>
      <c r="AX88" s="9"/>
      <c r="AY88" s="9"/>
      <c r="AZ88" s="31"/>
      <c r="BA88" s="10" t="str">
        <f aca="false">IF(C88="","",IF(AND(AB88="Approved",ISERROR(SEARCH("FAIL",AT88))),"Y","N"))</f>
        <v/>
      </c>
      <c r="BB88" s="10" t="str">
        <f aca="false">IF(C88="","",C88&amp;"|"&amp;D88&amp;"|"&amp;E88&amp;"|"&amp;F88&amp;"|"&amp;BA88)</f>
        <v/>
      </c>
    </row>
    <row r="89" customFormat="false" ht="15" hidden="false" customHeight="false" outlineLevel="0" collapsed="false">
      <c r="A89" s="10" t="str">
        <f aca="false">IF(C89="","","RW-"&amp;IFERROR(VLOOKUP(C89,Lists!$M$4:$N$22,2,0),"??")&amp;"-H"&amp;TEXT(D89*1000,"0000")&amp;"-S"&amp;E89&amp;IF(F89="Y","-GW","")&amp;"-"&amp;AA89)</f>
        <v/>
      </c>
      <c r="B89" s="10" t="str">
        <f aca="false">IF(C89="","",C89&amp;", H = "&amp;TEXT(D89,"0.0")&amp;" m, q = "&amp;E89&amp;" kPa"&amp;IF(F89="Y",", with GWT","")&amp;", "&amp;H89)</f>
        <v/>
      </c>
      <c r="C89" s="9"/>
      <c r="D89" s="41"/>
      <c r="E89" s="40"/>
      <c r="F89" s="9"/>
      <c r="G89" s="40"/>
      <c r="H89" s="9"/>
      <c r="I89" s="40"/>
      <c r="J89" s="43"/>
      <c r="K89" s="40"/>
      <c r="L89" s="40"/>
      <c r="M89" s="40"/>
      <c r="N89" s="40"/>
      <c r="O89" s="40"/>
      <c r="P89" s="40"/>
      <c r="Q89" s="9"/>
      <c r="R89" s="9"/>
      <c r="S89" s="40"/>
      <c r="T89" s="9"/>
      <c r="U89" s="9"/>
      <c r="V89" s="9"/>
      <c r="W89" s="41"/>
      <c r="X89" s="41"/>
      <c r="Y89" s="40"/>
      <c r="Z89" s="9"/>
      <c r="AA89" s="9"/>
      <c r="AB89" s="9"/>
      <c r="AC89" s="9"/>
      <c r="AD89" s="9"/>
      <c r="AE89" s="9"/>
      <c r="AF89" s="10" t="str">
        <f aca="false">IF(A89="","",SG_Criteria!$B$6&amp;SG_Criteria!$B$8&amp;"\"&amp;A89&amp;"\")</f>
        <v/>
      </c>
      <c r="AG89" s="10" t="str">
        <f aca="false">IF(A89="","",A89&amp;"_CAD.dwg")</f>
        <v/>
      </c>
      <c r="AH89" s="10" t="str">
        <f aca="false">IF(A89="","",A89&amp;"_DWG.pdf")</f>
        <v/>
      </c>
      <c r="AI89" s="10" t="str">
        <f aca="false">IF(A89="","",IF(AE89="Y",A89&amp;"_STAAD.std","n/a"))</f>
        <v/>
      </c>
      <c r="AJ89" s="10" t="str">
        <f aca="false">IF(A89="","",A89&amp;"_CALC.xlsx")</f>
        <v/>
      </c>
      <c r="AK89" s="10" t="str">
        <f aca="false">IF(A89="","",A89&amp;"_CALC.pdf")</f>
        <v/>
      </c>
      <c r="AL89" s="9"/>
      <c r="AM89" s="9"/>
      <c r="AN89" s="41"/>
      <c r="AO89" s="41"/>
      <c r="AP89" s="41"/>
      <c r="AQ89" s="41"/>
      <c r="AR89" s="41"/>
      <c r="AS89" s="38" t="str">
        <f aca="false">IF(OR(C89="",D89=""),"",IF(D89&lt;=IF(OR(C89="Block / Segmental",C89="Gabion",C89="Reinforced Earth (MSE)"),SG_Criteria!$B$34,SG_Criteria!$B$33),"No ERSS submission",IF(D89&lt;=SG_Criteria!$B$35,"QP(ST)",IF(D89&lt;=SG_Criteria!$B$36,"QP(ST) + AC","Geotechnical building works: QP(Geo) + AC"))))</f>
        <v/>
      </c>
      <c r="AT89" s="38" t="str">
        <f aca="false">IF(C89="","",IF(LEN(IF(AND(R89&lt;&gt;"",IFERROR(VALUE(MID(R89,2,2)),0)&lt;SG_Criteria!$B$19),"FAIL: grade below C"&amp;SG_Criteria!$B$19&amp;". ","")&amp;IF(AND(S89&lt;&gt;"",S89&lt;SG_Criteria!$B$20),"FAIL: cover &lt; "&amp;SG_Criteria!$B$20&amp;" mm. ","")&amp;IF(AND(W89&lt;&gt;"",W89&lt;1),"FAIL: sliding. ","")&amp;IF(AND(C89="Reverse L-Wall (toe only, at boundary)",N(O89)&gt;0),"NOTE: reverse L-wall should have no heel. ","")&amp;IF(AND(C89="L-Wall (heel only)",N(N89)&gt;0),"NOTE: L-wall should have no toe. ","")&amp;IF(AND(E89&lt;&gt;"",E89&lt;SG_Criteria!$B$31),"NOTE: q below LTA min "&amp;SG_Criteria!$B$31&amp;" kPa (not for LTA works). ",""))=0,"OK",IF(AND(R89&lt;&gt;"",IFERROR(VALUE(MID(R89,2,2)),0)&lt;SG_Criteria!$B$19),"FAIL: grade below C"&amp;SG_Criteria!$B$19&amp;". ","")&amp;IF(AND(S89&lt;&gt;"",S89&lt;SG_Criteria!$B$20),"FAIL: cover &lt; "&amp;SG_Criteria!$B$20&amp;" mm. ","")&amp;IF(AND(W89&lt;&gt;"",W89&lt;1),"FAIL: sliding. ","")&amp;IF(AND(C89="Reverse L-Wall (toe only, at boundary)",N(O89)&gt;0),"NOTE: reverse L-wall should have no heel. ","")&amp;IF(AND(C89="L-Wall (heel only)",N(N89)&gt;0),"NOTE: L-wall should have no toe. ","")&amp;IF(AND(E89&lt;&gt;"",E89&lt;SG_Criteria!$B$31),"NOTE: q below LTA min "&amp;SG_Criteria!$B$31&amp;" kPa (not for LTA works). ","")))</f>
        <v/>
      </c>
      <c r="AU89" s="9"/>
      <c r="AV89" s="9"/>
      <c r="AW89" s="9"/>
      <c r="AX89" s="9"/>
      <c r="AY89" s="9"/>
      <c r="AZ89" s="31"/>
      <c r="BA89" s="10" t="str">
        <f aca="false">IF(C89="","",IF(AND(AB89="Approved",ISERROR(SEARCH("FAIL",AT89))),"Y","N"))</f>
        <v/>
      </c>
      <c r="BB89" s="10" t="str">
        <f aca="false">IF(C89="","",C89&amp;"|"&amp;D89&amp;"|"&amp;E89&amp;"|"&amp;F89&amp;"|"&amp;BA89)</f>
        <v/>
      </c>
    </row>
    <row r="90" customFormat="false" ht="15" hidden="false" customHeight="false" outlineLevel="0" collapsed="false">
      <c r="A90" s="10" t="str">
        <f aca="false">IF(C90="","","RW-"&amp;IFERROR(VLOOKUP(C90,Lists!$M$4:$N$22,2,0),"??")&amp;"-H"&amp;TEXT(D90*1000,"0000")&amp;"-S"&amp;E90&amp;IF(F90="Y","-GW","")&amp;"-"&amp;AA90)</f>
        <v/>
      </c>
      <c r="B90" s="10" t="str">
        <f aca="false">IF(C90="","",C90&amp;", H = "&amp;TEXT(D90,"0.0")&amp;" m, q = "&amp;E90&amp;" kPa"&amp;IF(F90="Y",", with GWT","")&amp;", "&amp;H90)</f>
        <v/>
      </c>
      <c r="C90" s="9"/>
      <c r="D90" s="41"/>
      <c r="E90" s="40"/>
      <c r="F90" s="9"/>
      <c r="G90" s="40"/>
      <c r="H90" s="9"/>
      <c r="I90" s="40"/>
      <c r="J90" s="43"/>
      <c r="K90" s="40"/>
      <c r="L90" s="40"/>
      <c r="M90" s="40"/>
      <c r="N90" s="40"/>
      <c r="O90" s="40"/>
      <c r="P90" s="40"/>
      <c r="Q90" s="9"/>
      <c r="R90" s="9"/>
      <c r="S90" s="40"/>
      <c r="T90" s="9"/>
      <c r="U90" s="9"/>
      <c r="V90" s="9"/>
      <c r="W90" s="41"/>
      <c r="X90" s="41"/>
      <c r="Y90" s="40"/>
      <c r="Z90" s="9"/>
      <c r="AA90" s="9"/>
      <c r="AB90" s="9"/>
      <c r="AC90" s="9"/>
      <c r="AD90" s="9"/>
      <c r="AE90" s="9"/>
      <c r="AF90" s="10" t="str">
        <f aca="false">IF(A90="","",SG_Criteria!$B$6&amp;SG_Criteria!$B$8&amp;"\"&amp;A90&amp;"\")</f>
        <v/>
      </c>
      <c r="AG90" s="10" t="str">
        <f aca="false">IF(A90="","",A90&amp;"_CAD.dwg")</f>
        <v/>
      </c>
      <c r="AH90" s="10" t="str">
        <f aca="false">IF(A90="","",A90&amp;"_DWG.pdf")</f>
        <v/>
      </c>
      <c r="AI90" s="10" t="str">
        <f aca="false">IF(A90="","",IF(AE90="Y",A90&amp;"_STAAD.std","n/a"))</f>
        <v/>
      </c>
      <c r="AJ90" s="10" t="str">
        <f aca="false">IF(A90="","",A90&amp;"_CALC.xlsx")</f>
        <v/>
      </c>
      <c r="AK90" s="10" t="str">
        <f aca="false">IF(A90="","",A90&amp;"_CALC.pdf")</f>
        <v/>
      </c>
      <c r="AL90" s="9"/>
      <c r="AM90" s="9"/>
      <c r="AN90" s="41"/>
      <c r="AO90" s="41"/>
      <c r="AP90" s="41"/>
      <c r="AQ90" s="41"/>
      <c r="AR90" s="41"/>
      <c r="AS90" s="38" t="str">
        <f aca="false">IF(OR(C90="",D90=""),"",IF(D90&lt;=IF(OR(C90="Block / Segmental",C90="Gabion",C90="Reinforced Earth (MSE)"),SG_Criteria!$B$34,SG_Criteria!$B$33),"No ERSS submission",IF(D90&lt;=SG_Criteria!$B$35,"QP(ST)",IF(D90&lt;=SG_Criteria!$B$36,"QP(ST) + AC","Geotechnical building works: QP(Geo) + AC"))))</f>
        <v/>
      </c>
      <c r="AT90" s="38" t="str">
        <f aca="false">IF(C90="","",IF(LEN(IF(AND(R90&lt;&gt;"",IFERROR(VALUE(MID(R90,2,2)),0)&lt;SG_Criteria!$B$19),"FAIL: grade below C"&amp;SG_Criteria!$B$19&amp;". ","")&amp;IF(AND(S90&lt;&gt;"",S90&lt;SG_Criteria!$B$20),"FAIL: cover &lt; "&amp;SG_Criteria!$B$20&amp;" mm. ","")&amp;IF(AND(W90&lt;&gt;"",W90&lt;1),"FAIL: sliding. ","")&amp;IF(AND(C90="Reverse L-Wall (toe only, at boundary)",N(O90)&gt;0),"NOTE: reverse L-wall should have no heel. ","")&amp;IF(AND(C90="L-Wall (heel only)",N(N90)&gt;0),"NOTE: L-wall should have no toe. ","")&amp;IF(AND(E90&lt;&gt;"",E90&lt;SG_Criteria!$B$31),"NOTE: q below LTA min "&amp;SG_Criteria!$B$31&amp;" kPa (not for LTA works). ",""))=0,"OK",IF(AND(R90&lt;&gt;"",IFERROR(VALUE(MID(R90,2,2)),0)&lt;SG_Criteria!$B$19),"FAIL: grade below C"&amp;SG_Criteria!$B$19&amp;". ","")&amp;IF(AND(S90&lt;&gt;"",S90&lt;SG_Criteria!$B$20),"FAIL: cover &lt; "&amp;SG_Criteria!$B$20&amp;" mm. ","")&amp;IF(AND(W90&lt;&gt;"",W90&lt;1),"FAIL: sliding. ","")&amp;IF(AND(C90="Reverse L-Wall (toe only, at boundary)",N(O90)&gt;0),"NOTE: reverse L-wall should have no heel. ","")&amp;IF(AND(C90="L-Wall (heel only)",N(N90)&gt;0),"NOTE: L-wall should have no toe. ","")&amp;IF(AND(E90&lt;&gt;"",E90&lt;SG_Criteria!$B$31),"NOTE: q below LTA min "&amp;SG_Criteria!$B$31&amp;" kPa (not for LTA works). ","")))</f>
        <v/>
      </c>
      <c r="AU90" s="9"/>
      <c r="AV90" s="9"/>
      <c r="AW90" s="9"/>
      <c r="AX90" s="9"/>
      <c r="AY90" s="9"/>
      <c r="AZ90" s="31"/>
      <c r="BA90" s="10" t="str">
        <f aca="false">IF(C90="","",IF(AND(AB90="Approved",ISERROR(SEARCH("FAIL",AT90))),"Y","N"))</f>
        <v/>
      </c>
      <c r="BB90" s="10" t="str">
        <f aca="false">IF(C90="","",C90&amp;"|"&amp;D90&amp;"|"&amp;E90&amp;"|"&amp;F90&amp;"|"&amp;BA90)</f>
        <v/>
      </c>
    </row>
    <row r="91" customFormat="false" ht="15" hidden="false" customHeight="false" outlineLevel="0" collapsed="false">
      <c r="A91" s="10" t="str">
        <f aca="false">IF(C91="","","RW-"&amp;IFERROR(VLOOKUP(C91,Lists!$M$4:$N$22,2,0),"??")&amp;"-H"&amp;TEXT(D91*1000,"0000")&amp;"-S"&amp;E91&amp;IF(F91="Y","-GW","")&amp;"-"&amp;AA91)</f>
        <v/>
      </c>
      <c r="B91" s="10" t="str">
        <f aca="false">IF(C91="","",C91&amp;", H = "&amp;TEXT(D91,"0.0")&amp;" m, q = "&amp;E91&amp;" kPa"&amp;IF(F91="Y",", with GWT","")&amp;", "&amp;H91)</f>
        <v/>
      </c>
      <c r="C91" s="9"/>
      <c r="D91" s="41"/>
      <c r="E91" s="40"/>
      <c r="F91" s="9"/>
      <c r="G91" s="40"/>
      <c r="H91" s="9"/>
      <c r="I91" s="40"/>
      <c r="J91" s="43"/>
      <c r="K91" s="40"/>
      <c r="L91" s="40"/>
      <c r="M91" s="40"/>
      <c r="N91" s="40"/>
      <c r="O91" s="40"/>
      <c r="P91" s="40"/>
      <c r="Q91" s="9"/>
      <c r="R91" s="9"/>
      <c r="S91" s="40"/>
      <c r="T91" s="9"/>
      <c r="U91" s="9"/>
      <c r="V91" s="9"/>
      <c r="W91" s="41"/>
      <c r="X91" s="41"/>
      <c r="Y91" s="40"/>
      <c r="Z91" s="9"/>
      <c r="AA91" s="9"/>
      <c r="AB91" s="9"/>
      <c r="AC91" s="9"/>
      <c r="AD91" s="9"/>
      <c r="AE91" s="9"/>
      <c r="AF91" s="10" t="str">
        <f aca="false">IF(A91="","",SG_Criteria!$B$6&amp;SG_Criteria!$B$8&amp;"\"&amp;A91&amp;"\")</f>
        <v/>
      </c>
      <c r="AG91" s="10" t="str">
        <f aca="false">IF(A91="","",A91&amp;"_CAD.dwg")</f>
        <v/>
      </c>
      <c r="AH91" s="10" t="str">
        <f aca="false">IF(A91="","",A91&amp;"_DWG.pdf")</f>
        <v/>
      </c>
      <c r="AI91" s="10" t="str">
        <f aca="false">IF(A91="","",IF(AE91="Y",A91&amp;"_STAAD.std","n/a"))</f>
        <v/>
      </c>
      <c r="AJ91" s="10" t="str">
        <f aca="false">IF(A91="","",A91&amp;"_CALC.xlsx")</f>
        <v/>
      </c>
      <c r="AK91" s="10" t="str">
        <f aca="false">IF(A91="","",A91&amp;"_CALC.pdf")</f>
        <v/>
      </c>
      <c r="AL91" s="9"/>
      <c r="AM91" s="9"/>
      <c r="AN91" s="41"/>
      <c r="AO91" s="41"/>
      <c r="AP91" s="41"/>
      <c r="AQ91" s="41"/>
      <c r="AR91" s="41"/>
      <c r="AS91" s="38" t="str">
        <f aca="false">IF(OR(C91="",D91=""),"",IF(D91&lt;=IF(OR(C91="Block / Segmental",C91="Gabion",C91="Reinforced Earth (MSE)"),SG_Criteria!$B$34,SG_Criteria!$B$33),"No ERSS submission",IF(D91&lt;=SG_Criteria!$B$35,"QP(ST)",IF(D91&lt;=SG_Criteria!$B$36,"QP(ST) + AC","Geotechnical building works: QP(Geo) + AC"))))</f>
        <v/>
      </c>
      <c r="AT91" s="38" t="str">
        <f aca="false">IF(C91="","",IF(LEN(IF(AND(R91&lt;&gt;"",IFERROR(VALUE(MID(R91,2,2)),0)&lt;SG_Criteria!$B$19),"FAIL: grade below C"&amp;SG_Criteria!$B$19&amp;". ","")&amp;IF(AND(S91&lt;&gt;"",S91&lt;SG_Criteria!$B$20),"FAIL: cover &lt; "&amp;SG_Criteria!$B$20&amp;" mm. ","")&amp;IF(AND(W91&lt;&gt;"",W91&lt;1),"FAIL: sliding. ","")&amp;IF(AND(C91="Reverse L-Wall (toe only, at boundary)",N(O91)&gt;0),"NOTE: reverse L-wall should have no heel. ","")&amp;IF(AND(C91="L-Wall (heel only)",N(N91)&gt;0),"NOTE: L-wall should have no toe. ","")&amp;IF(AND(E91&lt;&gt;"",E91&lt;SG_Criteria!$B$31),"NOTE: q below LTA min "&amp;SG_Criteria!$B$31&amp;" kPa (not for LTA works). ",""))=0,"OK",IF(AND(R91&lt;&gt;"",IFERROR(VALUE(MID(R91,2,2)),0)&lt;SG_Criteria!$B$19),"FAIL: grade below C"&amp;SG_Criteria!$B$19&amp;". ","")&amp;IF(AND(S91&lt;&gt;"",S91&lt;SG_Criteria!$B$20),"FAIL: cover &lt; "&amp;SG_Criteria!$B$20&amp;" mm. ","")&amp;IF(AND(W91&lt;&gt;"",W91&lt;1),"FAIL: sliding. ","")&amp;IF(AND(C91="Reverse L-Wall (toe only, at boundary)",N(O91)&gt;0),"NOTE: reverse L-wall should have no heel. ","")&amp;IF(AND(C91="L-Wall (heel only)",N(N91)&gt;0),"NOTE: L-wall should have no toe. ","")&amp;IF(AND(E91&lt;&gt;"",E91&lt;SG_Criteria!$B$31),"NOTE: q below LTA min "&amp;SG_Criteria!$B$31&amp;" kPa (not for LTA works). ","")))</f>
        <v/>
      </c>
      <c r="AU91" s="9"/>
      <c r="AV91" s="9"/>
      <c r="AW91" s="9"/>
      <c r="AX91" s="9"/>
      <c r="AY91" s="9"/>
      <c r="AZ91" s="31"/>
      <c r="BA91" s="10" t="str">
        <f aca="false">IF(C91="","",IF(AND(AB91="Approved",ISERROR(SEARCH("FAIL",AT91))),"Y","N"))</f>
        <v/>
      </c>
      <c r="BB91" s="10" t="str">
        <f aca="false">IF(C91="","",C91&amp;"|"&amp;D91&amp;"|"&amp;E91&amp;"|"&amp;F91&amp;"|"&amp;BA91)</f>
        <v/>
      </c>
    </row>
    <row r="92" customFormat="false" ht="15" hidden="false" customHeight="false" outlineLevel="0" collapsed="false">
      <c r="A92" s="10" t="str">
        <f aca="false">IF(C92="","","RW-"&amp;IFERROR(VLOOKUP(C92,Lists!$M$4:$N$22,2,0),"??")&amp;"-H"&amp;TEXT(D92*1000,"0000")&amp;"-S"&amp;E92&amp;IF(F92="Y","-GW","")&amp;"-"&amp;AA92)</f>
        <v/>
      </c>
      <c r="B92" s="10" t="str">
        <f aca="false">IF(C92="","",C92&amp;", H = "&amp;TEXT(D92,"0.0")&amp;" m, q = "&amp;E92&amp;" kPa"&amp;IF(F92="Y",", with GWT","")&amp;", "&amp;H92)</f>
        <v/>
      </c>
      <c r="C92" s="9"/>
      <c r="D92" s="41"/>
      <c r="E92" s="40"/>
      <c r="F92" s="9"/>
      <c r="G92" s="40"/>
      <c r="H92" s="9"/>
      <c r="I92" s="40"/>
      <c r="J92" s="43"/>
      <c r="K92" s="40"/>
      <c r="L92" s="40"/>
      <c r="M92" s="40"/>
      <c r="N92" s="40"/>
      <c r="O92" s="40"/>
      <c r="P92" s="40"/>
      <c r="Q92" s="9"/>
      <c r="R92" s="9"/>
      <c r="S92" s="40"/>
      <c r="T92" s="9"/>
      <c r="U92" s="9"/>
      <c r="V92" s="9"/>
      <c r="W92" s="41"/>
      <c r="X92" s="41"/>
      <c r="Y92" s="40"/>
      <c r="Z92" s="9"/>
      <c r="AA92" s="9"/>
      <c r="AB92" s="9"/>
      <c r="AC92" s="9"/>
      <c r="AD92" s="9"/>
      <c r="AE92" s="9"/>
      <c r="AF92" s="10" t="str">
        <f aca="false">IF(A92="","",SG_Criteria!$B$6&amp;SG_Criteria!$B$8&amp;"\"&amp;A92&amp;"\")</f>
        <v/>
      </c>
      <c r="AG92" s="10" t="str">
        <f aca="false">IF(A92="","",A92&amp;"_CAD.dwg")</f>
        <v/>
      </c>
      <c r="AH92" s="10" t="str">
        <f aca="false">IF(A92="","",A92&amp;"_DWG.pdf")</f>
        <v/>
      </c>
      <c r="AI92" s="10" t="str">
        <f aca="false">IF(A92="","",IF(AE92="Y",A92&amp;"_STAAD.std","n/a"))</f>
        <v/>
      </c>
      <c r="AJ92" s="10" t="str">
        <f aca="false">IF(A92="","",A92&amp;"_CALC.xlsx")</f>
        <v/>
      </c>
      <c r="AK92" s="10" t="str">
        <f aca="false">IF(A92="","",A92&amp;"_CALC.pdf")</f>
        <v/>
      </c>
      <c r="AL92" s="9"/>
      <c r="AM92" s="9"/>
      <c r="AN92" s="41"/>
      <c r="AO92" s="41"/>
      <c r="AP92" s="41"/>
      <c r="AQ92" s="41"/>
      <c r="AR92" s="41"/>
      <c r="AS92" s="38" t="str">
        <f aca="false">IF(OR(C92="",D92=""),"",IF(D92&lt;=IF(OR(C92="Block / Segmental",C92="Gabion",C92="Reinforced Earth (MSE)"),SG_Criteria!$B$34,SG_Criteria!$B$33),"No ERSS submission",IF(D92&lt;=SG_Criteria!$B$35,"QP(ST)",IF(D92&lt;=SG_Criteria!$B$36,"QP(ST) + AC","Geotechnical building works: QP(Geo) + AC"))))</f>
        <v/>
      </c>
      <c r="AT92" s="38" t="str">
        <f aca="false">IF(C92="","",IF(LEN(IF(AND(R92&lt;&gt;"",IFERROR(VALUE(MID(R92,2,2)),0)&lt;SG_Criteria!$B$19),"FAIL: grade below C"&amp;SG_Criteria!$B$19&amp;". ","")&amp;IF(AND(S92&lt;&gt;"",S92&lt;SG_Criteria!$B$20),"FAIL: cover &lt; "&amp;SG_Criteria!$B$20&amp;" mm. ","")&amp;IF(AND(W92&lt;&gt;"",W92&lt;1),"FAIL: sliding. ","")&amp;IF(AND(C92="Reverse L-Wall (toe only, at boundary)",N(O92)&gt;0),"NOTE: reverse L-wall should have no heel. ","")&amp;IF(AND(C92="L-Wall (heel only)",N(N92)&gt;0),"NOTE: L-wall should have no toe. ","")&amp;IF(AND(E92&lt;&gt;"",E92&lt;SG_Criteria!$B$31),"NOTE: q below LTA min "&amp;SG_Criteria!$B$31&amp;" kPa (not for LTA works). ",""))=0,"OK",IF(AND(R92&lt;&gt;"",IFERROR(VALUE(MID(R92,2,2)),0)&lt;SG_Criteria!$B$19),"FAIL: grade below C"&amp;SG_Criteria!$B$19&amp;". ","")&amp;IF(AND(S92&lt;&gt;"",S92&lt;SG_Criteria!$B$20),"FAIL: cover &lt; "&amp;SG_Criteria!$B$20&amp;" mm. ","")&amp;IF(AND(W92&lt;&gt;"",W92&lt;1),"FAIL: sliding. ","")&amp;IF(AND(C92="Reverse L-Wall (toe only, at boundary)",N(O92)&gt;0),"NOTE: reverse L-wall should have no heel. ","")&amp;IF(AND(C92="L-Wall (heel only)",N(N92)&gt;0),"NOTE: L-wall should have no toe. ","")&amp;IF(AND(E92&lt;&gt;"",E92&lt;SG_Criteria!$B$31),"NOTE: q below LTA min "&amp;SG_Criteria!$B$31&amp;" kPa (not for LTA works). ","")))</f>
        <v/>
      </c>
      <c r="AU92" s="9"/>
      <c r="AV92" s="9"/>
      <c r="AW92" s="9"/>
      <c r="AX92" s="9"/>
      <c r="AY92" s="9"/>
      <c r="AZ92" s="31"/>
      <c r="BA92" s="10" t="str">
        <f aca="false">IF(C92="","",IF(AND(AB92="Approved",ISERROR(SEARCH("FAIL",AT92))),"Y","N"))</f>
        <v/>
      </c>
      <c r="BB92" s="10" t="str">
        <f aca="false">IF(C92="","",C92&amp;"|"&amp;D92&amp;"|"&amp;E92&amp;"|"&amp;F92&amp;"|"&amp;BA92)</f>
        <v/>
      </c>
    </row>
    <row r="93" customFormat="false" ht="15" hidden="false" customHeight="false" outlineLevel="0" collapsed="false">
      <c r="A93" s="10" t="str">
        <f aca="false">IF(C93="","","RW-"&amp;IFERROR(VLOOKUP(C93,Lists!$M$4:$N$22,2,0),"??")&amp;"-H"&amp;TEXT(D93*1000,"0000")&amp;"-S"&amp;E93&amp;IF(F93="Y","-GW","")&amp;"-"&amp;AA93)</f>
        <v/>
      </c>
      <c r="B93" s="10" t="str">
        <f aca="false">IF(C93="","",C93&amp;", H = "&amp;TEXT(D93,"0.0")&amp;" m, q = "&amp;E93&amp;" kPa"&amp;IF(F93="Y",", with GWT","")&amp;", "&amp;H93)</f>
        <v/>
      </c>
      <c r="C93" s="9"/>
      <c r="D93" s="41"/>
      <c r="E93" s="40"/>
      <c r="F93" s="9"/>
      <c r="G93" s="40"/>
      <c r="H93" s="9"/>
      <c r="I93" s="40"/>
      <c r="J93" s="43"/>
      <c r="K93" s="40"/>
      <c r="L93" s="40"/>
      <c r="M93" s="40"/>
      <c r="N93" s="40"/>
      <c r="O93" s="40"/>
      <c r="P93" s="40"/>
      <c r="Q93" s="9"/>
      <c r="R93" s="9"/>
      <c r="S93" s="40"/>
      <c r="T93" s="9"/>
      <c r="U93" s="9"/>
      <c r="V93" s="9"/>
      <c r="W93" s="41"/>
      <c r="X93" s="41"/>
      <c r="Y93" s="40"/>
      <c r="Z93" s="9"/>
      <c r="AA93" s="9"/>
      <c r="AB93" s="9"/>
      <c r="AC93" s="9"/>
      <c r="AD93" s="9"/>
      <c r="AE93" s="9"/>
      <c r="AF93" s="10" t="str">
        <f aca="false">IF(A93="","",SG_Criteria!$B$6&amp;SG_Criteria!$B$8&amp;"\"&amp;A93&amp;"\")</f>
        <v/>
      </c>
      <c r="AG93" s="10" t="str">
        <f aca="false">IF(A93="","",A93&amp;"_CAD.dwg")</f>
        <v/>
      </c>
      <c r="AH93" s="10" t="str">
        <f aca="false">IF(A93="","",A93&amp;"_DWG.pdf")</f>
        <v/>
      </c>
      <c r="AI93" s="10" t="str">
        <f aca="false">IF(A93="","",IF(AE93="Y",A93&amp;"_STAAD.std","n/a"))</f>
        <v/>
      </c>
      <c r="AJ93" s="10" t="str">
        <f aca="false">IF(A93="","",A93&amp;"_CALC.xlsx")</f>
        <v/>
      </c>
      <c r="AK93" s="10" t="str">
        <f aca="false">IF(A93="","",A93&amp;"_CALC.pdf")</f>
        <v/>
      </c>
      <c r="AL93" s="9"/>
      <c r="AM93" s="9"/>
      <c r="AN93" s="41"/>
      <c r="AO93" s="41"/>
      <c r="AP93" s="41"/>
      <c r="AQ93" s="41"/>
      <c r="AR93" s="41"/>
      <c r="AS93" s="38" t="str">
        <f aca="false">IF(OR(C93="",D93=""),"",IF(D93&lt;=IF(OR(C93="Block / Segmental",C93="Gabion",C93="Reinforced Earth (MSE)"),SG_Criteria!$B$34,SG_Criteria!$B$33),"No ERSS submission",IF(D93&lt;=SG_Criteria!$B$35,"QP(ST)",IF(D93&lt;=SG_Criteria!$B$36,"QP(ST) + AC","Geotechnical building works: QP(Geo) + AC"))))</f>
        <v/>
      </c>
      <c r="AT93" s="38" t="str">
        <f aca="false">IF(C93="","",IF(LEN(IF(AND(R93&lt;&gt;"",IFERROR(VALUE(MID(R93,2,2)),0)&lt;SG_Criteria!$B$19),"FAIL: grade below C"&amp;SG_Criteria!$B$19&amp;". ","")&amp;IF(AND(S93&lt;&gt;"",S93&lt;SG_Criteria!$B$20),"FAIL: cover &lt; "&amp;SG_Criteria!$B$20&amp;" mm. ","")&amp;IF(AND(W93&lt;&gt;"",W93&lt;1),"FAIL: sliding. ","")&amp;IF(AND(C93="Reverse L-Wall (toe only, at boundary)",N(O93)&gt;0),"NOTE: reverse L-wall should have no heel. ","")&amp;IF(AND(C93="L-Wall (heel only)",N(N93)&gt;0),"NOTE: L-wall should have no toe. ","")&amp;IF(AND(E93&lt;&gt;"",E93&lt;SG_Criteria!$B$31),"NOTE: q below LTA min "&amp;SG_Criteria!$B$31&amp;" kPa (not for LTA works). ",""))=0,"OK",IF(AND(R93&lt;&gt;"",IFERROR(VALUE(MID(R93,2,2)),0)&lt;SG_Criteria!$B$19),"FAIL: grade below C"&amp;SG_Criteria!$B$19&amp;". ","")&amp;IF(AND(S93&lt;&gt;"",S93&lt;SG_Criteria!$B$20),"FAIL: cover &lt; "&amp;SG_Criteria!$B$20&amp;" mm. ","")&amp;IF(AND(W93&lt;&gt;"",W93&lt;1),"FAIL: sliding. ","")&amp;IF(AND(C93="Reverse L-Wall (toe only, at boundary)",N(O93)&gt;0),"NOTE: reverse L-wall should have no heel. ","")&amp;IF(AND(C93="L-Wall (heel only)",N(N93)&gt;0),"NOTE: L-wall should have no toe. ","")&amp;IF(AND(E93&lt;&gt;"",E93&lt;SG_Criteria!$B$31),"NOTE: q below LTA min "&amp;SG_Criteria!$B$31&amp;" kPa (not for LTA works). ","")))</f>
        <v/>
      </c>
      <c r="AU93" s="9"/>
      <c r="AV93" s="9"/>
      <c r="AW93" s="9"/>
      <c r="AX93" s="9"/>
      <c r="AY93" s="9"/>
      <c r="AZ93" s="31"/>
      <c r="BA93" s="10" t="str">
        <f aca="false">IF(C93="","",IF(AND(AB93="Approved",ISERROR(SEARCH("FAIL",AT93))),"Y","N"))</f>
        <v/>
      </c>
      <c r="BB93" s="10" t="str">
        <f aca="false">IF(C93="","",C93&amp;"|"&amp;D93&amp;"|"&amp;E93&amp;"|"&amp;F93&amp;"|"&amp;BA93)</f>
        <v/>
      </c>
    </row>
    <row r="94" customFormat="false" ht="15" hidden="false" customHeight="false" outlineLevel="0" collapsed="false">
      <c r="A94" s="10" t="str">
        <f aca="false">IF(C94="","","RW-"&amp;IFERROR(VLOOKUP(C94,Lists!$M$4:$N$22,2,0),"??")&amp;"-H"&amp;TEXT(D94*1000,"0000")&amp;"-S"&amp;E94&amp;IF(F94="Y","-GW","")&amp;"-"&amp;AA94)</f>
        <v/>
      </c>
      <c r="B94" s="10" t="str">
        <f aca="false">IF(C94="","",C94&amp;", H = "&amp;TEXT(D94,"0.0")&amp;" m, q = "&amp;E94&amp;" kPa"&amp;IF(F94="Y",", with GWT","")&amp;", "&amp;H94)</f>
        <v/>
      </c>
      <c r="C94" s="9"/>
      <c r="D94" s="41"/>
      <c r="E94" s="40"/>
      <c r="F94" s="9"/>
      <c r="G94" s="40"/>
      <c r="H94" s="9"/>
      <c r="I94" s="40"/>
      <c r="J94" s="43"/>
      <c r="K94" s="40"/>
      <c r="L94" s="40"/>
      <c r="M94" s="40"/>
      <c r="N94" s="40"/>
      <c r="O94" s="40"/>
      <c r="P94" s="40"/>
      <c r="Q94" s="9"/>
      <c r="R94" s="9"/>
      <c r="S94" s="40"/>
      <c r="T94" s="9"/>
      <c r="U94" s="9"/>
      <c r="V94" s="9"/>
      <c r="W94" s="41"/>
      <c r="X94" s="41"/>
      <c r="Y94" s="40"/>
      <c r="Z94" s="9"/>
      <c r="AA94" s="9"/>
      <c r="AB94" s="9"/>
      <c r="AC94" s="9"/>
      <c r="AD94" s="9"/>
      <c r="AE94" s="9"/>
      <c r="AF94" s="10" t="str">
        <f aca="false">IF(A94="","",SG_Criteria!$B$6&amp;SG_Criteria!$B$8&amp;"\"&amp;A94&amp;"\")</f>
        <v/>
      </c>
      <c r="AG94" s="10" t="str">
        <f aca="false">IF(A94="","",A94&amp;"_CAD.dwg")</f>
        <v/>
      </c>
      <c r="AH94" s="10" t="str">
        <f aca="false">IF(A94="","",A94&amp;"_DWG.pdf")</f>
        <v/>
      </c>
      <c r="AI94" s="10" t="str">
        <f aca="false">IF(A94="","",IF(AE94="Y",A94&amp;"_STAAD.std","n/a"))</f>
        <v/>
      </c>
      <c r="AJ94" s="10" t="str">
        <f aca="false">IF(A94="","",A94&amp;"_CALC.xlsx")</f>
        <v/>
      </c>
      <c r="AK94" s="10" t="str">
        <f aca="false">IF(A94="","",A94&amp;"_CALC.pdf")</f>
        <v/>
      </c>
      <c r="AL94" s="9"/>
      <c r="AM94" s="9"/>
      <c r="AN94" s="41"/>
      <c r="AO94" s="41"/>
      <c r="AP94" s="41"/>
      <c r="AQ94" s="41"/>
      <c r="AR94" s="41"/>
      <c r="AS94" s="38" t="str">
        <f aca="false">IF(OR(C94="",D94=""),"",IF(D94&lt;=IF(OR(C94="Block / Segmental",C94="Gabion",C94="Reinforced Earth (MSE)"),SG_Criteria!$B$34,SG_Criteria!$B$33),"No ERSS submission",IF(D94&lt;=SG_Criteria!$B$35,"QP(ST)",IF(D94&lt;=SG_Criteria!$B$36,"QP(ST) + AC","Geotechnical building works: QP(Geo) + AC"))))</f>
        <v/>
      </c>
      <c r="AT94" s="38" t="str">
        <f aca="false">IF(C94="","",IF(LEN(IF(AND(R94&lt;&gt;"",IFERROR(VALUE(MID(R94,2,2)),0)&lt;SG_Criteria!$B$19),"FAIL: grade below C"&amp;SG_Criteria!$B$19&amp;". ","")&amp;IF(AND(S94&lt;&gt;"",S94&lt;SG_Criteria!$B$20),"FAIL: cover &lt; "&amp;SG_Criteria!$B$20&amp;" mm. ","")&amp;IF(AND(W94&lt;&gt;"",W94&lt;1),"FAIL: sliding. ","")&amp;IF(AND(C94="Reverse L-Wall (toe only, at boundary)",N(O94)&gt;0),"NOTE: reverse L-wall should have no heel. ","")&amp;IF(AND(C94="L-Wall (heel only)",N(N94)&gt;0),"NOTE: L-wall should have no toe. ","")&amp;IF(AND(E94&lt;&gt;"",E94&lt;SG_Criteria!$B$31),"NOTE: q below LTA min "&amp;SG_Criteria!$B$31&amp;" kPa (not for LTA works). ",""))=0,"OK",IF(AND(R94&lt;&gt;"",IFERROR(VALUE(MID(R94,2,2)),0)&lt;SG_Criteria!$B$19),"FAIL: grade below C"&amp;SG_Criteria!$B$19&amp;". ","")&amp;IF(AND(S94&lt;&gt;"",S94&lt;SG_Criteria!$B$20),"FAIL: cover &lt; "&amp;SG_Criteria!$B$20&amp;" mm. ","")&amp;IF(AND(W94&lt;&gt;"",W94&lt;1),"FAIL: sliding. ","")&amp;IF(AND(C94="Reverse L-Wall (toe only, at boundary)",N(O94)&gt;0),"NOTE: reverse L-wall should have no heel. ","")&amp;IF(AND(C94="L-Wall (heel only)",N(N94)&gt;0),"NOTE: L-wall should have no toe. ","")&amp;IF(AND(E94&lt;&gt;"",E94&lt;SG_Criteria!$B$31),"NOTE: q below LTA min "&amp;SG_Criteria!$B$31&amp;" kPa (not for LTA works). ","")))</f>
        <v/>
      </c>
      <c r="AU94" s="9"/>
      <c r="AV94" s="9"/>
      <c r="AW94" s="9"/>
      <c r="AX94" s="9"/>
      <c r="AY94" s="9"/>
      <c r="AZ94" s="31"/>
      <c r="BA94" s="10" t="str">
        <f aca="false">IF(C94="","",IF(AND(AB94="Approved",ISERROR(SEARCH("FAIL",AT94))),"Y","N"))</f>
        <v/>
      </c>
      <c r="BB94" s="10" t="str">
        <f aca="false">IF(C94="","",C94&amp;"|"&amp;D94&amp;"|"&amp;E94&amp;"|"&amp;F94&amp;"|"&amp;BA94)</f>
        <v/>
      </c>
    </row>
    <row r="95" customFormat="false" ht="15" hidden="false" customHeight="false" outlineLevel="0" collapsed="false">
      <c r="A95" s="10" t="str">
        <f aca="false">IF(C95="","","RW-"&amp;IFERROR(VLOOKUP(C95,Lists!$M$4:$N$22,2,0),"??")&amp;"-H"&amp;TEXT(D95*1000,"0000")&amp;"-S"&amp;E95&amp;IF(F95="Y","-GW","")&amp;"-"&amp;AA95)</f>
        <v/>
      </c>
      <c r="B95" s="10" t="str">
        <f aca="false">IF(C95="","",C95&amp;", H = "&amp;TEXT(D95,"0.0")&amp;" m, q = "&amp;E95&amp;" kPa"&amp;IF(F95="Y",", with GWT","")&amp;", "&amp;H95)</f>
        <v/>
      </c>
      <c r="C95" s="9"/>
      <c r="D95" s="41"/>
      <c r="E95" s="40"/>
      <c r="F95" s="9"/>
      <c r="G95" s="40"/>
      <c r="H95" s="9"/>
      <c r="I95" s="40"/>
      <c r="J95" s="43"/>
      <c r="K95" s="40"/>
      <c r="L95" s="40"/>
      <c r="M95" s="40"/>
      <c r="N95" s="40"/>
      <c r="O95" s="40"/>
      <c r="P95" s="40"/>
      <c r="Q95" s="9"/>
      <c r="R95" s="9"/>
      <c r="S95" s="40"/>
      <c r="T95" s="9"/>
      <c r="U95" s="9"/>
      <c r="V95" s="9"/>
      <c r="W95" s="41"/>
      <c r="X95" s="41"/>
      <c r="Y95" s="40"/>
      <c r="Z95" s="9"/>
      <c r="AA95" s="9"/>
      <c r="AB95" s="9"/>
      <c r="AC95" s="9"/>
      <c r="AD95" s="9"/>
      <c r="AE95" s="9"/>
      <c r="AF95" s="10" t="str">
        <f aca="false">IF(A95="","",SG_Criteria!$B$6&amp;SG_Criteria!$B$8&amp;"\"&amp;A95&amp;"\")</f>
        <v/>
      </c>
      <c r="AG95" s="10" t="str">
        <f aca="false">IF(A95="","",A95&amp;"_CAD.dwg")</f>
        <v/>
      </c>
      <c r="AH95" s="10" t="str">
        <f aca="false">IF(A95="","",A95&amp;"_DWG.pdf")</f>
        <v/>
      </c>
      <c r="AI95" s="10" t="str">
        <f aca="false">IF(A95="","",IF(AE95="Y",A95&amp;"_STAAD.std","n/a"))</f>
        <v/>
      </c>
      <c r="AJ95" s="10" t="str">
        <f aca="false">IF(A95="","",A95&amp;"_CALC.xlsx")</f>
        <v/>
      </c>
      <c r="AK95" s="10" t="str">
        <f aca="false">IF(A95="","",A95&amp;"_CALC.pdf")</f>
        <v/>
      </c>
      <c r="AL95" s="9"/>
      <c r="AM95" s="9"/>
      <c r="AN95" s="41"/>
      <c r="AO95" s="41"/>
      <c r="AP95" s="41"/>
      <c r="AQ95" s="41"/>
      <c r="AR95" s="41"/>
      <c r="AS95" s="38" t="str">
        <f aca="false">IF(OR(C95="",D95=""),"",IF(D95&lt;=IF(OR(C95="Block / Segmental",C95="Gabion",C95="Reinforced Earth (MSE)"),SG_Criteria!$B$34,SG_Criteria!$B$33),"No ERSS submission",IF(D95&lt;=SG_Criteria!$B$35,"QP(ST)",IF(D95&lt;=SG_Criteria!$B$36,"QP(ST) + AC","Geotechnical building works: QP(Geo) + AC"))))</f>
        <v/>
      </c>
      <c r="AT95" s="38" t="str">
        <f aca="false">IF(C95="","",IF(LEN(IF(AND(R95&lt;&gt;"",IFERROR(VALUE(MID(R95,2,2)),0)&lt;SG_Criteria!$B$19),"FAIL: grade below C"&amp;SG_Criteria!$B$19&amp;". ","")&amp;IF(AND(S95&lt;&gt;"",S95&lt;SG_Criteria!$B$20),"FAIL: cover &lt; "&amp;SG_Criteria!$B$20&amp;" mm. ","")&amp;IF(AND(W95&lt;&gt;"",W95&lt;1),"FAIL: sliding. ","")&amp;IF(AND(C95="Reverse L-Wall (toe only, at boundary)",N(O95)&gt;0),"NOTE: reverse L-wall should have no heel. ","")&amp;IF(AND(C95="L-Wall (heel only)",N(N95)&gt;0),"NOTE: L-wall should have no toe. ","")&amp;IF(AND(E95&lt;&gt;"",E95&lt;SG_Criteria!$B$31),"NOTE: q below LTA min "&amp;SG_Criteria!$B$31&amp;" kPa (not for LTA works). ",""))=0,"OK",IF(AND(R95&lt;&gt;"",IFERROR(VALUE(MID(R95,2,2)),0)&lt;SG_Criteria!$B$19),"FAIL: grade below C"&amp;SG_Criteria!$B$19&amp;". ","")&amp;IF(AND(S95&lt;&gt;"",S95&lt;SG_Criteria!$B$20),"FAIL: cover &lt; "&amp;SG_Criteria!$B$20&amp;" mm. ","")&amp;IF(AND(W95&lt;&gt;"",W95&lt;1),"FAIL: sliding. ","")&amp;IF(AND(C95="Reverse L-Wall (toe only, at boundary)",N(O95)&gt;0),"NOTE: reverse L-wall should have no heel. ","")&amp;IF(AND(C95="L-Wall (heel only)",N(N95)&gt;0),"NOTE: L-wall should have no toe. ","")&amp;IF(AND(E95&lt;&gt;"",E95&lt;SG_Criteria!$B$31),"NOTE: q below LTA min "&amp;SG_Criteria!$B$31&amp;" kPa (not for LTA works). ","")))</f>
        <v/>
      </c>
      <c r="AU95" s="9"/>
      <c r="AV95" s="9"/>
      <c r="AW95" s="9"/>
      <c r="AX95" s="9"/>
      <c r="AY95" s="9"/>
      <c r="AZ95" s="31"/>
      <c r="BA95" s="10" t="str">
        <f aca="false">IF(C95="","",IF(AND(AB95="Approved",ISERROR(SEARCH("FAIL",AT95))),"Y","N"))</f>
        <v/>
      </c>
      <c r="BB95" s="10" t="str">
        <f aca="false">IF(C95="","",C95&amp;"|"&amp;D95&amp;"|"&amp;E95&amp;"|"&amp;F95&amp;"|"&amp;BA95)</f>
        <v/>
      </c>
    </row>
    <row r="96" customFormat="false" ht="15" hidden="false" customHeight="false" outlineLevel="0" collapsed="false">
      <c r="A96" s="10" t="str">
        <f aca="false">IF(C96="","","RW-"&amp;IFERROR(VLOOKUP(C96,Lists!$M$4:$N$22,2,0),"??")&amp;"-H"&amp;TEXT(D96*1000,"0000")&amp;"-S"&amp;E96&amp;IF(F96="Y","-GW","")&amp;"-"&amp;AA96)</f>
        <v/>
      </c>
      <c r="B96" s="10" t="str">
        <f aca="false">IF(C96="","",C96&amp;", H = "&amp;TEXT(D96,"0.0")&amp;" m, q = "&amp;E96&amp;" kPa"&amp;IF(F96="Y",", with GWT","")&amp;", "&amp;H96)</f>
        <v/>
      </c>
      <c r="C96" s="9"/>
      <c r="D96" s="41"/>
      <c r="E96" s="40"/>
      <c r="F96" s="9"/>
      <c r="G96" s="40"/>
      <c r="H96" s="9"/>
      <c r="I96" s="40"/>
      <c r="J96" s="43"/>
      <c r="K96" s="40"/>
      <c r="L96" s="40"/>
      <c r="M96" s="40"/>
      <c r="N96" s="40"/>
      <c r="O96" s="40"/>
      <c r="P96" s="40"/>
      <c r="Q96" s="9"/>
      <c r="R96" s="9"/>
      <c r="S96" s="40"/>
      <c r="T96" s="9"/>
      <c r="U96" s="9"/>
      <c r="V96" s="9"/>
      <c r="W96" s="41"/>
      <c r="X96" s="41"/>
      <c r="Y96" s="40"/>
      <c r="Z96" s="9"/>
      <c r="AA96" s="9"/>
      <c r="AB96" s="9"/>
      <c r="AC96" s="9"/>
      <c r="AD96" s="9"/>
      <c r="AE96" s="9"/>
      <c r="AF96" s="10" t="str">
        <f aca="false">IF(A96="","",SG_Criteria!$B$6&amp;SG_Criteria!$B$8&amp;"\"&amp;A96&amp;"\")</f>
        <v/>
      </c>
      <c r="AG96" s="10" t="str">
        <f aca="false">IF(A96="","",A96&amp;"_CAD.dwg")</f>
        <v/>
      </c>
      <c r="AH96" s="10" t="str">
        <f aca="false">IF(A96="","",A96&amp;"_DWG.pdf")</f>
        <v/>
      </c>
      <c r="AI96" s="10" t="str">
        <f aca="false">IF(A96="","",IF(AE96="Y",A96&amp;"_STAAD.std","n/a"))</f>
        <v/>
      </c>
      <c r="AJ96" s="10" t="str">
        <f aca="false">IF(A96="","",A96&amp;"_CALC.xlsx")</f>
        <v/>
      </c>
      <c r="AK96" s="10" t="str">
        <f aca="false">IF(A96="","",A96&amp;"_CALC.pdf")</f>
        <v/>
      </c>
      <c r="AL96" s="9"/>
      <c r="AM96" s="9"/>
      <c r="AN96" s="41"/>
      <c r="AO96" s="41"/>
      <c r="AP96" s="41"/>
      <c r="AQ96" s="41"/>
      <c r="AR96" s="41"/>
      <c r="AS96" s="38" t="str">
        <f aca="false">IF(OR(C96="",D96=""),"",IF(D96&lt;=IF(OR(C96="Block / Segmental",C96="Gabion",C96="Reinforced Earth (MSE)"),SG_Criteria!$B$34,SG_Criteria!$B$33),"No ERSS submission",IF(D96&lt;=SG_Criteria!$B$35,"QP(ST)",IF(D96&lt;=SG_Criteria!$B$36,"QP(ST) + AC","Geotechnical building works: QP(Geo) + AC"))))</f>
        <v/>
      </c>
      <c r="AT96" s="38" t="str">
        <f aca="false">IF(C96="","",IF(LEN(IF(AND(R96&lt;&gt;"",IFERROR(VALUE(MID(R96,2,2)),0)&lt;SG_Criteria!$B$19),"FAIL: grade below C"&amp;SG_Criteria!$B$19&amp;". ","")&amp;IF(AND(S96&lt;&gt;"",S96&lt;SG_Criteria!$B$20),"FAIL: cover &lt; "&amp;SG_Criteria!$B$20&amp;" mm. ","")&amp;IF(AND(W96&lt;&gt;"",W96&lt;1),"FAIL: sliding. ","")&amp;IF(AND(C96="Reverse L-Wall (toe only, at boundary)",N(O96)&gt;0),"NOTE: reverse L-wall should have no heel. ","")&amp;IF(AND(C96="L-Wall (heel only)",N(N96)&gt;0),"NOTE: L-wall should have no toe. ","")&amp;IF(AND(E96&lt;&gt;"",E96&lt;SG_Criteria!$B$31),"NOTE: q below LTA min "&amp;SG_Criteria!$B$31&amp;" kPa (not for LTA works). ",""))=0,"OK",IF(AND(R96&lt;&gt;"",IFERROR(VALUE(MID(R96,2,2)),0)&lt;SG_Criteria!$B$19),"FAIL: grade below C"&amp;SG_Criteria!$B$19&amp;". ","")&amp;IF(AND(S96&lt;&gt;"",S96&lt;SG_Criteria!$B$20),"FAIL: cover &lt; "&amp;SG_Criteria!$B$20&amp;" mm. ","")&amp;IF(AND(W96&lt;&gt;"",W96&lt;1),"FAIL: sliding. ","")&amp;IF(AND(C96="Reverse L-Wall (toe only, at boundary)",N(O96)&gt;0),"NOTE: reverse L-wall should have no heel. ","")&amp;IF(AND(C96="L-Wall (heel only)",N(N96)&gt;0),"NOTE: L-wall should have no toe. ","")&amp;IF(AND(E96&lt;&gt;"",E96&lt;SG_Criteria!$B$31),"NOTE: q below LTA min "&amp;SG_Criteria!$B$31&amp;" kPa (not for LTA works). ","")))</f>
        <v/>
      </c>
      <c r="AU96" s="9"/>
      <c r="AV96" s="9"/>
      <c r="AW96" s="9"/>
      <c r="AX96" s="9"/>
      <c r="AY96" s="9"/>
      <c r="AZ96" s="31"/>
      <c r="BA96" s="10" t="str">
        <f aca="false">IF(C96="","",IF(AND(AB96="Approved",ISERROR(SEARCH("FAIL",AT96))),"Y","N"))</f>
        <v/>
      </c>
      <c r="BB96" s="10" t="str">
        <f aca="false">IF(C96="","",C96&amp;"|"&amp;D96&amp;"|"&amp;E96&amp;"|"&amp;F96&amp;"|"&amp;BA96)</f>
        <v/>
      </c>
    </row>
    <row r="97" customFormat="false" ht="15" hidden="false" customHeight="false" outlineLevel="0" collapsed="false">
      <c r="A97" s="10" t="str">
        <f aca="false">IF(C97="","","RW-"&amp;IFERROR(VLOOKUP(C97,Lists!$M$4:$N$22,2,0),"??")&amp;"-H"&amp;TEXT(D97*1000,"0000")&amp;"-S"&amp;E97&amp;IF(F97="Y","-GW","")&amp;"-"&amp;AA97)</f>
        <v/>
      </c>
      <c r="B97" s="10" t="str">
        <f aca="false">IF(C97="","",C97&amp;", H = "&amp;TEXT(D97,"0.0")&amp;" m, q = "&amp;E97&amp;" kPa"&amp;IF(F97="Y",", with GWT","")&amp;", "&amp;H97)</f>
        <v/>
      </c>
      <c r="C97" s="9"/>
      <c r="D97" s="41"/>
      <c r="E97" s="40"/>
      <c r="F97" s="9"/>
      <c r="G97" s="40"/>
      <c r="H97" s="9"/>
      <c r="I97" s="40"/>
      <c r="J97" s="43"/>
      <c r="K97" s="40"/>
      <c r="L97" s="40"/>
      <c r="M97" s="40"/>
      <c r="N97" s="40"/>
      <c r="O97" s="40"/>
      <c r="P97" s="40"/>
      <c r="Q97" s="9"/>
      <c r="R97" s="9"/>
      <c r="S97" s="40"/>
      <c r="T97" s="9"/>
      <c r="U97" s="9"/>
      <c r="V97" s="9"/>
      <c r="W97" s="41"/>
      <c r="X97" s="41"/>
      <c r="Y97" s="40"/>
      <c r="Z97" s="9"/>
      <c r="AA97" s="9"/>
      <c r="AB97" s="9"/>
      <c r="AC97" s="9"/>
      <c r="AD97" s="9"/>
      <c r="AE97" s="9"/>
      <c r="AF97" s="10" t="str">
        <f aca="false">IF(A97="","",SG_Criteria!$B$6&amp;SG_Criteria!$B$8&amp;"\"&amp;A97&amp;"\")</f>
        <v/>
      </c>
      <c r="AG97" s="10" t="str">
        <f aca="false">IF(A97="","",A97&amp;"_CAD.dwg")</f>
        <v/>
      </c>
      <c r="AH97" s="10" t="str">
        <f aca="false">IF(A97="","",A97&amp;"_DWG.pdf")</f>
        <v/>
      </c>
      <c r="AI97" s="10" t="str">
        <f aca="false">IF(A97="","",IF(AE97="Y",A97&amp;"_STAAD.std","n/a"))</f>
        <v/>
      </c>
      <c r="AJ97" s="10" t="str">
        <f aca="false">IF(A97="","",A97&amp;"_CALC.xlsx")</f>
        <v/>
      </c>
      <c r="AK97" s="10" t="str">
        <f aca="false">IF(A97="","",A97&amp;"_CALC.pdf")</f>
        <v/>
      </c>
      <c r="AL97" s="9"/>
      <c r="AM97" s="9"/>
      <c r="AN97" s="41"/>
      <c r="AO97" s="41"/>
      <c r="AP97" s="41"/>
      <c r="AQ97" s="41"/>
      <c r="AR97" s="41"/>
      <c r="AS97" s="38" t="str">
        <f aca="false">IF(OR(C97="",D97=""),"",IF(D97&lt;=IF(OR(C97="Block / Segmental",C97="Gabion",C97="Reinforced Earth (MSE)"),SG_Criteria!$B$34,SG_Criteria!$B$33),"No ERSS submission",IF(D97&lt;=SG_Criteria!$B$35,"QP(ST)",IF(D97&lt;=SG_Criteria!$B$36,"QP(ST) + AC","Geotechnical building works: QP(Geo) + AC"))))</f>
        <v/>
      </c>
      <c r="AT97" s="38" t="str">
        <f aca="false">IF(C97="","",IF(LEN(IF(AND(R97&lt;&gt;"",IFERROR(VALUE(MID(R97,2,2)),0)&lt;SG_Criteria!$B$19),"FAIL: grade below C"&amp;SG_Criteria!$B$19&amp;". ","")&amp;IF(AND(S97&lt;&gt;"",S97&lt;SG_Criteria!$B$20),"FAIL: cover &lt; "&amp;SG_Criteria!$B$20&amp;" mm. ","")&amp;IF(AND(W97&lt;&gt;"",W97&lt;1),"FAIL: sliding. ","")&amp;IF(AND(C97="Reverse L-Wall (toe only, at boundary)",N(O97)&gt;0),"NOTE: reverse L-wall should have no heel. ","")&amp;IF(AND(C97="L-Wall (heel only)",N(N97)&gt;0),"NOTE: L-wall should have no toe. ","")&amp;IF(AND(E97&lt;&gt;"",E97&lt;SG_Criteria!$B$31),"NOTE: q below LTA min "&amp;SG_Criteria!$B$31&amp;" kPa (not for LTA works). ",""))=0,"OK",IF(AND(R97&lt;&gt;"",IFERROR(VALUE(MID(R97,2,2)),0)&lt;SG_Criteria!$B$19),"FAIL: grade below C"&amp;SG_Criteria!$B$19&amp;". ","")&amp;IF(AND(S97&lt;&gt;"",S97&lt;SG_Criteria!$B$20),"FAIL: cover &lt; "&amp;SG_Criteria!$B$20&amp;" mm. ","")&amp;IF(AND(W97&lt;&gt;"",W97&lt;1),"FAIL: sliding. ","")&amp;IF(AND(C97="Reverse L-Wall (toe only, at boundary)",N(O97)&gt;0),"NOTE: reverse L-wall should have no heel. ","")&amp;IF(AND(C97="L-Wall (heel only)",N(N97)&gt;0),"NOTE: L-wall should have no toe. ","")&amp;IF(AND(E97&lt;&gt;"",E97&lt;SG_Criteria!$B$31),"NOTE: q below LTA min "&amp;SG_Criteria!$B$31&amp;" kPa (not for LTA works). ","")))</f>
        <v/>
      </c>
      <c r="AU97" s="9"/>
      <c r="AV97" s="9"/>
      <c r="AW97" s="9"/>
      <c r="AX97" s="9"/>
      <c r="AY97" s="9"/>
      <c r="AZ97" s="31"/>
      <c r="BA97" s="10" t="str">
        <f aca="false">IF(C97="","",IF(AND(AB97="Approved",ISERROR(SEARCH("FAIL",AT97))),"Y","N"))</f>
        <v/>
      </c>
      <c r="BB97" s="10" t="str">
        <f aca="false">IF(C97="","",C97&amp;"|"&amp;D97&amp;"|"&amp;E97&amp;"|"&amp;F97&amp;"|"&amp;BA97)</f>
        <v/>
      </c>
    </row>
    <row r="98" customFormat="false" ht="15" hidden="false" customHeight="false" outlineLevel="0" collapsed="false">
      <c r="A98" s="10" t="str">
        <f aca="false">IF(C98="","","RW-"&amp;IFERROR(VLOOKUP(C98,Lists!$M$4:$N$22,2,0),"??")&amp;"-H"&amp;TEXT(D98*1000,"0000")&amp;"-S"&amp;E98&amp;IF(F98="Y","-GW","")&amp;"-"&amp;AA98)</f>
        <v/>
      </c>
      <c r="B98" s="10" t="str">
        <f aca="false">IF(C98="","",C98&amp;", H = "&amp;TEXT(D98,"0.0")&amp;" m, q = "&amp;E98&amp;" kPa"&amp;IF(F98="Y",", with GWT","")&amp;", "&amp;H98)</f>
        <v/>
      </c>
      <c r="C98" s="9"/>
      <c r="D98" s="41"/>
      <c r="E98" s="40"/>
      <c r="F98" s="9"/>
      <c r="G98" s="40"/>
      <c r="H98" s="9"/>
      <c r="I98" s="40"/>
      <c r="J98" s="43"/>
      <c r="K98" s="40"/>
      <c r="L98" s="40"/>
      <c r="M98" s="40"/>
      <c r="N98" s="40"/>
      <c r="O98" s="40"/>
      <c r="P98" s="40"/>
      <c r="Q98" s="9"/>
      <c r="R98" s="9"/>
      <c r="S98" s="40"/>
      <c r="T98" s="9"/>
      <c r="U98" s="9"/>
      <c r="V98" s="9"/>
      <c r="W98" s="41"/>
      <c r="X98" s="41"/>
      <c r="Y98" s="40"/>
      <c r="Z98" s="9"/>
      <c r="AA98" s="9"/>
      <c r="AB98" s="9"/>
      <c r="AC98" s="9"/>
      <c r="AD98" s="9"/>
      <c r="AE98" s="9"/>
      <c r="AF98" s="10" t="str">
        <f aca="false">IF(A98="","",SG_Criteria!$B$6&amp;SG_Criteria!$B$8&amp;"\"&amp;A98&amp;"\")</f>
        <v/>
      </c>
      <c r="AG98" s="10" t="str">
        <f aca="false">IF(A98="","",A98&amp;"_CAD.dwg")</f>
        <v/>
      </c>
      <c r="AH98" s="10" t="str">
        <f aca="false">IF(A98="","",A98&amp;"_DWG.pdf")</f>
        <v/>
      </c>
      <c r="AI98" s="10" t="str">
        <f aca="false">IF(A98="","",IF(AE98="Y",A98&amp;"_STAAD.std","n/a"))</f>
        <v/>
      </c>
      <c r="AJ98" s="10" t="str">
        <f aca="false">IF(A98="","",A98&amp;"_CALC.xlsx")</f>
        <v/>
      </c>
      <c r="AK98" s="10" t="str">
        <f aca="false">IF(A98="","",A98&amp;"_CALC.pdf")</f>
        <v/>
      </c>
      <c r="AL98" s="9"/>
      <c r="AM98" s="9"/>
      <c r="AN98" s="41"/>
      <c r="AO98" s="41"/>
      <c r="AP98" s="41"/>
      <c r="AQ98" s="41"/>
      <c r="AR98" s="41"/>
      <c r="AS98" s="38" t="str">
        <f aca="false">IF(OR(C98="",D98=""),"",IF(D98&lt;=IF(OR(C98="Block / Segmental",C98="Gabion",C98="Reinforced Earth (MSE)"),SG_Criteria!$B$34,SG_Criteria!$B$33),"No ERSS submission",IF(D98&lt;=SG_Criteria!$B$35,"QP(ST)",IF(D98&lt;=SG_Criteria!$B$36,"QP(ST) + AC","Geotechnical building works: QP(Geo) + AC"))))</f>
        <v/>
      </c>
      <c r="AT98" s="38" t="str">
        <f aca="false">IF(C98="","",IF(LEN(IF(AND(R98&lt;&gt;"",IFERROR(VALUE(MID(R98,2,2)),0)&lt;SG_Criteria!$B$19),"FAIL: grade below C"&amp;SG_Criteria!$B$19&amp;". ","")&amp;IF(AND(S98&lt;&gt;"",S98&lt;SG_Criteria!$B$20),"FAIL: cover &lt; "&amp;SG_Criteria!$B$20&amp;" mm. ","")&amp;IF(AND(W98&lt;&gt;"",W98&lt;1),"FAIL: sliding. ","")&amp;IF(AND(C98="Reverse L-Wall (toe only, at boundary)",N(O98)&gt;0),"NOTE: reverse L-wall should have no heel. ","")&amp;IF(AND(C98="L-Wall (heel only)",N(N98)&gt;0),"NOTE: L-wall should have no toe. ","")&amp;IF(AND(E98&lt;&gt;"",E98&lt;SG_Criteria!$B$31),"NOTE: q below LTA min "&amp;SG_Criteria!$B$31&amp;" kPa (not for LTA works). ",""))=0,"OK",IF(AND(R98&lt;&gt;"",IFERROR(VALUE(MID(R98,2,2)),0)&lt;SG_Criteria!$B$19),"FAIL: grade below C"&amp;SG_Criteria!$B$19&amp;". ","")&amp;IF(AND(S98&lt;&gt;"",S98&lt;SG_Criteria!$B$20),"FAIL: cover &lt; "&amp;SG_Criteria!$B$20&amp;" mm. ","")&amp;IF(AND(W98&lt;&gt;"",W98&lt;1),"FAIL: sliding. ","")&amp;IF(AND(C98="Reverse L-Wall (toe only, at boundary)",N(O98)&gt;0),"NOTE: reverse L-wall should have no heel. ","")&amp;IF(AND(C98="L-Wall (heel only)",N(N98)&gt;0),"NOTE: L-wall should have no toe. ","")&amp;IF(AND(E98&lt;&gt;"",E98&lt;SG_Criteria!$B$31),"NOTE: q below LTA min "&amp;SG_Criteria!$B$31&amp;" kPa (not for LTA works). ","")))</f>
        <v/>
      </c>
      <c r="AU98" s="9"/>
      <c r="AV98" s="9"/>
      <c r="AW98" s="9"/>
      <c r="AX98" s="9"/>
      <c r="AY98" s="9"/>
      <c r="AZ98" s="31"/>
      <c r="BA98" s="10" t="str">
        <f aca="false">IF(C98="","",IF(AND(AB98="Approved",ISERROR(SEARCH("FAIL",AT98))),"Y","N"))</f>
        <v/>
      </c>
      <c r="BB98" s="10" t="str">
        <f aca="false">IF(C98="","",C98&amp;"|"&amp;D98&amp;"|"&amp;E98&amp;"|"&amp;F98&amp;"|"&amp;BA98)</f>
        <v/>
      </c>
    </row>
    <row r="99" customFormat="false" ht="15" hidden="false" customHeight="false" outlineLevel="0" collapsed="false">
      <c r="A99" s="10" t="str">
        <f aca="false">IF(C99="","","RW-"&amp;IFERROR(VLOOKUP(C99,Lists!$M$4:$N$22,2,0),"??")&amp;"-H"&amp;TEXT(D99*1000,"0000")&amp;"-S"&amp;E99&amp;IF(F99="Y","-GW","")&amp;"-"&amp;AA99)</f>
        <v/>
      </c>
      <c r="B99" s="10" t="str">
        <f aca="false">IF(C99="","",C99&amp;", H = "&amp;TEXT(D99,"0.0")&amp;" m, q = "&amp;E99&amp;" kPa"&amp;IF(F99="Y",", with GWT","")&amp;", "&amp;H99)</f>
        <v/>
      </c>
      <c r="C99" s="9"/>
      <c r="D99" s="41"/>
      <c r="E99" s="40"/>
      <c r="F99" s="9"/>
      <c r="G99" s="40"/>
      <c r="H99" s="9"/>
      <c r="I99" s="40"/>
      <c r="J99" s="43"/>
      <c r="K99" s="40"/>
      <c r="L99" s="40"/>
      <c r="M99" s="40"/>
      <c r="N99" s="40"/>
      <c r="O99" s="40"/>
      <c r="P99" s="40"/>
      <c r="Q99" s="9"/>
      <c r="R99" s="9"/>
      <c r="S99" s="40"/>
      <c r="T99" s="9"/>
      <c r="U99" s="9"/>
      <c r="V99" s="9"/>
      <c r="W99" s="41"/>
      <c r="X99" s="41"/>
      <c r="Y99" s="40"/>
      <c r="Z99" s="9"/>
      <c r="AA99" s="9"/>
      <c r="AB99" s="9"/>
      <c r="AC99" s="9"/>
      <c r="AD99" s="9"/>
      <c r="AE99" s="9"/>
      <c r="AF99" s="10" t="str">
        <f aca="false">IF(A99="","",SG_Criteria!$B$6&amp;SG_Criteria!$B$8&amp;"\"&amp;A99&amp;"\")</f>
        <v/>
      </c>
      <c r="AG99" s="10" t="str">
        <f aca="false">IF(A99="","",A99&amp;"_CAD.dwg")</f>
        <v/>
      </c>
      <c r="AH99" s="10" t="str">
        <f aca="false">IF(A99="","",A99&amp;"_DWG.pdf")</f>
        <v/>
      </c>
      <c r="AI99" s="10" t="str">
        <f aca="false">IF(A99="","",IF(AE99="Y",A99&amp;"_STAAD.std","n/a"))</f>
        <v/>
      </c>
      <c r="AJ99" s="10" t="str">
        <f aca="false">IF(A99="","",A99&amp;"_CALC.xlsx")</f>
        <v/>
      </c>
      <c r="AK99" s="10" t="str">
        <f aca="false">IF(A99="","",A99&amp;"_CALC.pdf")</f>
        <v/>
      </c>
      <c r="AL99" s="9"/>
      <c r="AM99" s="9"/>
      <c r="AN99" s="41"/>
      <c r="AO99" s="41"/>
      <c r="AP99" s="41"/>
      <c r="AQ99" s="41"/>
      <c r="AR99" s="41"/>
      <c r="AS99" s="38" t="str">
        <f aca="false">IF(OR(C99="",D99=""),"",IF(D99&lt;=IF(OR(C99="Block / Segmental",C99="Gabion",C99="Reinforced Earth (MSE)"),SG_Criteria!$B$34,SG_Criteria!$B$33),"No ERSS submission",IF(D99&lt;=SG_Criteria!$B$35,"QP(ST)",IF(D99&lt;=SG_Criteria!$B$36,"QP(ST) + AC","Geotechnical building works: QP(Geo) + AC"))))</f>
        <v/>
      </c>
      <c r="AT99" s="38" t="str">
        <f aca="false">IF(C99="","",IF(LEN(IF(AND(R99&lt;&gt;"",IFERROR(VALUE(MID(R99,2,2)),0)&lt;SG_Criteria!$B$19),"FAIL: grade below C"&amp;SG_Criteria!$B$19&amp;". ","")&amp;IF(AND(S99&lt;&gt;"",S99&lt;SG_Criteria!$B$20),"FAIL: cover &lt; "&amp;SG_Criteria!$B$20&amp;" mm. ","")&amp;IF(AND(W99&lt;&gt;"",W99&lt;1),"FAIL: sliding. ","")&amp;IF(AND(C99="Reverse L-Wall (toe only, at boundary)",N(O99)&gt;0),"NOTE: reverse L-wall should have no heel. ","")&amp;IF(AND(C99="L-Wall (heel only)",N(N99)&gt;0),"NOTE: L-wall should have no toe. ","")&amp;IF(AND(E99&lt;&gt;"",E99&lt;SG_Criteria!$B$31),"NOTE: q below LTA min "&amp;SG_Criteria!$B$31&amp;" kPa (not for LTA works). ",""))=0,"OK",IF(AND(R99&lt;&gt;"",IFERROR(VALUE(MID(R99,2,2)),0)&lt;SG_Criteria!$B$19),"FAIL: grade below C"&amp;SG_Criteria!$B$19&amp;". ","")&amp;IF(AND(S99&lt;&gt;"",S99&lt;SG_Criteria!$B$20),"FAIL: cover &lt; "&amp;SG_Criteria!$B$20&amp;" mm. ","")&amp;IF(AND(W99&lt;&gt;"",W99&lt;1),"FAIL: sliding. ","")&amp;IF(AND(C99="Reverse L-Wall (toe only, at boundary)",N(O99)&gt;0),"NOTE: reverse L-wall should have no heel. ","")&amp;IF(AND(C99="L-Wall (heel only)",N(N99)&gt;0),"NOTE: L-wall should have no toe. ","")&amp;IF(AND(E99&lt;&gt;"",E99&lt;SG_Criteria!$B$31),"NOTE: q below LTA min "&amp;SG_Criteria!$B$31&amp;" kPa (not for LTA works). ","")))</f>
        <v/>
      </c>
      <c r="AU99" s="9"/>
      <c r="AV99" s="9"/>
      <c r="AW99" s="9"/>
      <c r="AX99" s="9"/>
      <c r="AY99" s="9"/>
      <c r="AZ99" s="31"/>
      <c r="BA99" s="10" t="str">
        <f aca="false">IF(C99="","",IF(AND(AB99="Approved",ISERROR(SEARCH("FAIL",AT99))),"Y","N"))</f>
        <v/>
      </c>
      <c r="BB99" s="10" t="str">
        <f aca="false">IF(C99="","",C99&amp;"|"&amp;D99&amp;"|"&amp;E99&amp;"|"&amp;F99&amp;"|"&amp;BA99)</f>
        <v/>
      </c>
    </row>
    <row r="100" customFormat="false" ht="15" hidden="false" customHeight="false" outlineLevel="0" collapsed="false">
      <c r="A100" s="10" t="str">
        <f aca="false">IF(C100="","","RW-"&amp;IFERROR(VLOOKUP(C100,Lists!$M$4:$N$22,2,0),"??")&amp;"-H"&amp;TEXT(D100*1000,"0000")&amp;"-S"&amp;E100&amp;IF(F100="Y","-GW","")&amp;"-"&amp;AA100)</f>
        <v/>
      </c>
      <c r="B100" s="10" t="str">
        <f aca="false">IF(C100="","",C100&amp;", H = "&amp;TEXT(D100,"0.0")&amp;" m, q = "&amp;E100&amp;" kPa"&amp;IF(F100="Y",", with GWT","")&amp;", "&amp;H100)</f>
        <v/>
      </c>
      <c r="C100" s="9"/>
      <c r="D100" s="41"/>
      <c r="E100" s="40"/>
      <c r="F100" s="9"/>
      <c r="G100" s="40"/>
      <c r="H100" s="9"/>
      <c r="I100" s="40"/>
      <c r="J100" s="43"/>
      <c r="K100" s="40"/>
      <c r="L100" s="40"/>
      <c r="M100" s="40"/>
      <c r="N100" s="40"/>
      <c r="O100" s="40"/>
      <c r="P100" s="40"/>
      <c r="Q100" s="9"/>
      <c r="R100" s="9"/>
      <c r="S100" s="40"/>
      <c r="T100" s="9"/>
      <c r="U100" s="9"/>
      <c r="V100" s="9"/>
      <c r="W100" s="41"/>
      <c r="X100" s="41"/>
      <c r="Y100" s="40"/>
      <c r="Z100" s="9"/>
      <c r="AA100" s="9"/>
      <c r="AB100" s="9"/>
      <c r="AC100" s="9"/>
      <c r="AD100" s="9"/>
      <c r="AE100" s="9"/>
      <c r="AF100" s="10" t="str">
        <f aca="false">IF(A100="","",SG_Criteria!$B$6&amp;SG_Criteria!$B$8&amp;"\"&amp;A100&amp;"\")</f>
        <v/>
      </c>
      <c r="AG100" s="10" t="str">
        <f aca="false">IF(A100="","",A100&amp;"_CAD.dwg")</f>
        <v/>
      </c>
      <c r="AH100" s="10" t="str">
        <f aca="false">IF(A100="","",A100&amp;"_DWG.pdf")</f>
        <v/>
      </c>
      <c r="AI100" s="10" t="str">
        <f aca="false">IF(A100="","",IF(AE100="Y",A100&amp;"_STAAD.std","n/a"))</f>
        <v/>
      </c>
      <c r="AJ100" s="10" t="str">
        <f aca="false">IF(A100="","",A100&amp;"_CALC.xlsx")</f>
        <v/>
      </c>
      <c r="AK100" s="10" t="str">
        <f aca="false">IF(A100="","",A100&amp;"_CALC.pdf")</f>
        <v/>
      </c>
      <c r="AL100" s="9"/>
      <c r="AM100" s="9"/>
      <c r="AN100" s="41"/>
      <c r="AO100" s="41"/>
      <c r="AP100" s="41"/>
      <c r="AQ100" s="41"/>
      <c r="AR100" s="41"/>
      <c r="AS100" s="38" t="str">
        <f aca="false">IF(OR(C100="",D100=""),"",IF(D100&lt;=IF(OR(C100="Block / Segmental",C100="Gabion",C100="Reinforced Earth (MSE)"),SG_Criteria!$B$34,SG_Criteria!$B$33),"No ERSS submission",IF(D100&lt;=SG_Criteria!$B$35,"QP(ST)",IF(D100&lt;=SG_Criteria!$B$36,"QP(ST) + AC","Geotechnical building works: QP(Geo) + AC"))))</f>
        <v/>
      </c>
      <c r="AT100" s="38" t="str">
        <f aca="false">IF(C100="","",IF(LEN(IF(AND(R100&lt;&gt;"",IFERROR(VALUE(MID(R100,2,2)),0)&lt;SG_Criteria!$B$19),"FAIL: grade below C"&amp;SG_Criteria!$B$19&amp;". ","")&amp;IF(AND(S100&lt;&gt;"",S100&lt;SG_Criteria!$B$20),"FAIL: cover &lt; "&amp;SG_Criteria!$B$20&amp;" mm. ","")&amp;IF(AND(W100&lt;&gt;"",W100&lt;1),"FAIL: sliding. ","")&amp;IF(AND(C100="Reverse L-Wall (toe only, at boundary)",N(O100)&gt;0),"NOTE: reverse L-wall should have no heel. ","")&amp;IF(AND(C100="L-Wall (heel only)",N(N100)&gt;0),"NOTE: L-wall should have no toe. ","")&amp;IF(AND(E100&lt;&gt;"",E100&lt;SG_Criteria!$B$31),"NOTE: q below LTA min "&amp;SG_Criteria!$B$31&amp;" kPa (not for LTA works). ",""))=0,"OK",IF(AND(R100&lt;&gt;"",IFERROR(VALUE(MID(R100,2,2)),0)&lt;SG_Criteria!$B$19),"FAIL: grade below C"&amp;SG_Criteria!$B$19&amp;". ","")&amp;IF(AND(S100&lt;&gt;"",S100&lt;SG_Criteria!$B$20),"FAIL: cover &lt; "&amp;SG_Criteria!$B$20&amp;" mm. ","")&amp;IF(AND(W100&lt;&gt;"",W100&lt;1),"FAIL: sliding. ","")&amp;IF(AND(C100="Reverse L-Wall (toe only, at boundary)",N(O100)&gt;0),"NOTE: reverse L-wall should have no heel. ","")&amp;IF(AND(C100="L-Wall (heel only)",N(N100)&gt;0),"NOTE: L-wall should have no toe. ","")&amp;IF(AND(E100&lt;&gt;"",E100&lt;SG_Criteria!$B$31),"NOTE: q below LTA min "&amp;SG_Criteria!$B$31&amp;" kPa (not for LTA works). ","")))</f>
        <v/>
      </c>
      <c r="AU100" s="9"/>
      <c r="AV100" s="9"/>
      <c r="AW100" s="9"/>
      <c r="AX100" s="9"/>
      <c r="AY100" s="9"/>
      <c r="AZ100" s="31"/>
      <c r="BA100" s="10" t="str">
        <f aca="false">IF(C100="","",IF(AND(AB100="Approved",ISERROR(SEARCH("FAIL",AT100))),"Y","N"))</f>
        <v/>
      </c>
      <c r="BB100" s="10" t="str">
        <f aca="false">IF(C100="","",C100&amp;"|"&amp;D100&amp;"|"&amp;E100&amp;"|"&amp;F100&amp;"|"&amp;BA100)</f>
        <v/>
      </c>
    </row>
    <row r="101" customFormat="false" ht="15" hidden="false" customHeight="false" outlineLevel="0" collapsed="false">
      <c r="A101" s="10" t="str">
        <f aca="false">IF(C101="","","RW-"&amp;IFERROR(VLOOKUP(C101,Lists!$M$4:$N$22,2,0),"??")&amp;"-H"&amp;TEXT(D101*1000,"0000")&amp;"-S"&amp;E101&amp;IF(F101="Y","-GW","")&amp;"-"&amp;AA101)</f>
        <v/>
      </c>
      <c r="B101" s="10" t="str">
        <f aca="false">IF(C101="","",C101&amp;", H = "&amp;TEXT(D101,"0.0")&amp;" m, q = "&amp;E101&amp;" kPa"&amp;IF(F101="Y",", with GWT","")&amp;", "&amp;H101)</f>
        <v/>
      </c>
      <c r="C101" s="9"/>
      <c r="D101" s="41"/>
      <c r="E101" s="40"/>
      <c r="F101" s="9"/>
      <c r="G101" s="40"/>
      <c r="H101" s="9"/>
      <c r="I101" s="40"/>
      <c r="J101" s="43"/>
      <c r="K101" s="40"/>
      <c r="L101" s="40"/>
      <c r="M101" s="40"/>
      <c r="N101" s="40"/>
      <c r="O101" s="40"/>
      <c r="P101" s="40"/>
      <c r="Q101" s="9"/>
      <c r="R101" s="9"/>
      <c r="S101" s="40"/>
      <c r="T101" s="9"/>
      <c r="U101" s="9"/>
      <c r="V101" s="9"/>
      <c r="W101" s="41"/>
      <c r="X101" s="41"/>
      <c r="Y101" s="40"/>
      <c r="Z101" s="9"/>
      <c r="AA101" s="9"/>
      <c r="AB101" s="9"/>
      <c r="AC101" s="9"/>
      <c r="AD101" s="9"/>
      <c r="AE101" s="9"/>
      <c r="AF101" s="10" t="str">
        <f aca="false">IF(A101="","",SG_Criteria!$B$6&amp;SG_Criteria!$B$8&amp;"\"&amp;A101&amp;"\")</f>
        <v/>
      </c>
      <c r="AG101" s="10" t="str">
        <f aca="false">IF(A101="","",A101&amp;"_CAD.dwg")</f>
        <v/>
      </c>
      <c r="AH101" s="10" t="str">
        <f aca="false">IF(A101="","",A101&amp;"_DWG.pdf")</f>
        <v/>
      </c>
      <c r="AI101" s="10" t="str">
        <f aca="false">IF(A101="","",IF(AE101="Y",A101&amp;"_STAAD.std","n/a"))</f>
        <v/>
      </c>
      <c r="AJ101" s="10" t="str">
        <f aca="false">IF(A101="","",A101&amp;"_CALC.xlsx")</f>
        <v/>
      </c>
      <c r="AK101" s="10" t="str">
        <f aca="false">IF(A101="","",A101&amp;"_CALC.pdf")</f>
        <v/>
      </c>
      <c r="AL101" s="9"/>
      <c r="AM101" s="9"/>
      <c r="AN101" s="41"/>
      <c r="AO101" s="41"/>
      <c r="AP101" s="41"/>
      <c r="AQ101" s="41"/>
      <c r="AR101" s="41"/>
      <c r="AS101" s="38" t="str">
        <f aca="false">IF(OR(C101="",D101=""),"",IF(D101&lt;=IF(OR(C101="Block / Segmental",C101="Gabion",C101="Reinforced Earth (MSE)"),SG_Criteria!$B$34,SG_Criteria!$B$33),"No ERSS submission",IF(D101&lt;=SG_Criteria!$B$35,"QP(ST)",IF(D101&lt;=SG_Criteria!$B$36,"QP(ST) + AC","Geotechnical building works: QP(Geo) + AC"))))</f>
        <v/>
      </c>
      <c r="AT101" s="38" t="str">
        <f aca="false">IF(C101="","",IF(LEN(IF(AND(R101&lt;&gt;"",IFERROR(VALUE(MID(R101,2,2)),0)&lt;SG_Criteria!$B$19),"FAIL: grade below C"&amp;SG_Criteria!$B$19&amp;". ","")&amp;IF(AND(S101&lt;&gt;"",S101&lt;SG_Criteria!$B$20),"FAIL: cover &lt; "&amp;SG_Criteria!$B$20&amp;" mm. ","")&amp;IF(AND(W101&lt;&gt;"",W101&lt;1),"FAIL: sliding. ","")&amp;IF(AND(C101="Reverse L-Wall (toe only, at boundary)",N(O101)&gt;0),"NOTE: reverse L-wall should have no heel. ","")&amp;IF(AND(C101="L-Wall (heel only)",N(N101)&gt;0),"NOTE: L-wall should have no toe. ","")&amp;IF(AND(E101&lt;&gt;"",E101&lt;SG_Criteria!$B$31),"NOTE: q below LTA min "&amp;SG_Criteria!$B$31&amp;" kPa (not for LTA works). ",""))=0,"OK",IF(AND(R101&lt;&gt;"",IFERROR(VALUE(MID(R101,2,2)),0)&lt;SG_Criteria!$B$19),"FAIL: grade below C"&amp;SG_Criteria!$B$19&amp;". ","")&amp;IF(AND(S101&lt;&gt;"",S101&lt;SG_Criteria!$B$20),"FAIL: cover &lt; "&amp;SG_Criteria!$B$20&amp;" mm. ","")&amp;IF(AND(W101&lt;&gt;"",W101&lt;1),"FAIL: sliding. ","")&amp;IF(AND(C101="Reverse L-Wall (toe only, at boundary)",N(O101)&gt;0),"NOTE: reverse L-wall should have no heel. ","")&amp;IF(AND(C101="L-Wall (heel only)",N(N101)&gt;0),"NOTE: L-wall should have no toe. ","")&amp;IF(AND(E101&lt;&gt;"",E101&lt;SG_Criteria!$B$31),"NOTE: q below LTA min "&amp;SG_Criteria!$B$31&amp;" kPa (not for LTA works). ","")))</f>
        <v/>
      </c>
      <c r="AU101" s="9"/>
      <c r="AV101" s="9"/>
      <c r="AW101" s="9"/>
      <c r="AX101" s="9"/>
      <c r="AY101" s="9"/>
      <c r="AZ101" s="31"/>
      <c r="BA101" s="10" t="str">
        <f aca="false">IF(C101="","",IF(AND(AB101="Approved",ISERROR(SEARCH("FAIL",AT101))),"Y","N"))</f>
        <v/>
      </c>
      <c r="BB101" s="10" t="str">
        <f aca="false">IF(C101="","",C101&amp;"|"&amp;D101&amp;"|"&amp;E101&amp;"|"&amp;F101&amp;"|"&amp;BA101)</f>
        <v/>
      </c>
    </row>
    <row r="102" customFormat="false" ht="15" hidden="false" customHeight="false" outlineLevel="0" collapsed="false">
      <c r="A102" s="10" t="str">
        <f aca="false">IF(C102="","","RW-"&amp;IFERROR(VLOOKUP(C102,Lists!$M$4:$N$22,2,0),"??")&amp;"-H"&amp;TEXT(D102*1000,"0000")&amp;"-S"&amp;E102&amp;IF(F102="Y","-GW","")&amp;"-"&amp;AA102)</f>
        <v/>
      </c>
      <c r="B102" s="10" t="str">
        <f aca="false">IF(C102="","",C102&amp;", H = "&amp;TEXT(D102,"0.0")&amp;" m, q = "&amp;E102&amp;" kPa"&amp;IF(F102="Y",", with GWT","")&amp;", "&amp;H102)</f>
        <v/>
      </c>
      <c r="C102" s="9"/>
      <c r="D102" s="41"/>
      <c r="E102" s="40"/>
      <c r="F102" s="9"/>
      <c r="G102" s="40"/>
      <c r="H102" s="9"/>
      <c r="I102" s="40"/>
      <c r="J102" s="43"/>
      <c r="K102" s="40"/>
      <c r="L102" s="40"/>
      <c r="M102" s="40"/>
      <c r="N102" s="40"/>
      <c r="O102" s="40"/>
      <c r="P102" s="40"/>
      <c r="Q102" s="9"/>
      <c r="R102" s="9"/>
      <c r="S102" s="40"/>
      <c r="T102" s="9"/>
      <c r="U102" s="9"/>
      <c r="V102" s="9"/>
      <c r="W102" s="41"/>
      <c r="X102" s="41"/>
      <c r="Y102" s="40"/>
      <c r="Z102" s="9"/>
      <c r="AA102" s="9"/>
      <c r="AB102" s="9"/>
      <c r="AC102" s="9"/>
      <c r="AD102" s="9"/>
      <c r="AE102" s="9"/>
      <c r="AF102" s="10" t="str">
        <f aca="false">IF(A102="","",SG_Criteria!$B$6&amp;SG_Criteria!$B$8&amp;"\"&amp;A102&amp;"\")</f>
        <v/>
      </c>
      <c r="AG102" s="10" t="str">
        <f aca="false">IF(A102="","",A102&amp;"_CAD.dwg")</f>
        <v/>
      </c>
      <c r="AH102" s="10" t="str">
        <f aca="false">IF(A102="","",A102&amp;"_DWG.pdf")</f>
        <v/>
      </c>
      <c r="AI102" s="10" t="str">
        <f aca="false">IF(A102="","",IF(AE102="Y",A102&amp;"_STAAD.std","n/a"))</f>
        <v/>
      </c>
      <c r="AJ102" s="10" t="str">
        <f aca="false">IF(A102="","",A102&amp;"_CALC.xlsx")</f>
        <v/>
      </c>
      <c r="AK102" s="10" t="str">
        <f aca="false">IF(A102="","",A102&amp;"_CALC.pdf")</f>
        <v/>
      </c>
      <c r="AL102" s="9"/>
      <c r="AM102" s="9"/>
      <c r="AN102" s="41"/>
      <c r="AO102" s="41"/>
      <c r="AP102" s="41"/>
      <c r="AQ102" s="41"/>
      <c r="AR102" s="41"/>
      <c r="AS102" s="38" t="str">
        <f aca="false">IF(OR(C102="",D102=""),"",IF(D102&lt;=IF(OR(C102="Block / Segmental",C102="Gabion",C102="Reinforced Earth (MSE)"),SG_Criteria!$B$34,SG_Criteria!$B$33),"No ERSS submission",IF(D102&lt;=SG_Criteria!$B$35,"QP(ST)",IF(D102&lt;=SG_Criteria!$B$36,"QP(ST) + AC","Geotechnical building works: QP(Geo) + AC"))))</f>
        <v/>
      </c>
      <c r="AT102" s="38" t="str">
        <f aca="false">IF(C102="","",IF(LEN(IF(AND(R102&lt;&gt;"",IFERROR(VALUE(MID(R102,2,2)),0)&lt;SG_Criteria!$B$19),"FAIL: grade below C"&amp;SG_Criteria!$B$19&amp;". ","")&amp;IF(AND(S102&lt;&gt;"",S102&lt;SG_Criteria!$B$20),"FAIL: cover &lt; "&amp;SG_Criteria!$B$20&amp;" mm. ","")&amp;IF(AND(W102&lt;&gt;"",W102&lt;1),"FAIL: sliding. ","")&amp;IF(AND(C102="Reverse L-Wall (toe only, at boundary)",N(O102)&gt;0),"NOTE: reverse L-wall should have no heel. ","")&amp;IF(AND(C102="L-Wall (heel only)",N(N102)&gt;0),"NOTE: L-wall should have no toe. ","")&amp;IF(AND(E102&lt;&gt;"",E102&lt;SG_Criteria!$B$31),"NOTE: q below LTA min "&amp;SG_Criteria!$B$31&amp;" kPa (not for LTA works). ",""))=0,"OK",IF(AND(R102&lt;&gt;"",IFERROR(VALUE(MID(R102,2,2)),0)&lt;SG_Criteria!$B$19),"FAIL: grade below C"&amp;SG_Criteria!$B$19&amp;". ","")&amp;IF(AND(S102&lt;&gt;"",S102&lt;SG_Criteria!$B$20),"FAIL: cover &lt; "&amp;SG_Criteria!$B$20&amp;" mm. ","")&amp;IF(AND(W102&lt;&gt;"",W102&lt;1),"FAIL: sliding. ","")&amp;IF(AND(C102="Reverse L-Wall (toe only, at boundary)",N(O102)&gt;0),"NOTE: reverse L-wall should have no heel. ","")&amp;IF(AND(C102="L-Wall (heel only)",N(N102)&gt;0),"NOTE: L-wall should have no toe. ","")&amp;IF(AND(E102&lt;&gt;"",E102&lt;SG_Criteria!$B$31),"NOTE: q below LTA min "&amp;SG_Criteria!$B$31&amp;" kPa (not for LTA works). ","")))</f>
        <v/>
      </c>
      <c r="AU102" s="9"/>
      <c r="AV102" s="9"/>
      <c r="AW102" s="9"/>
      <c r="AX102" s="9"/>
      <c r="AY102" s="9"/>
      <c r="AZ102" s="31"/>
      <c r="BA102" s="10" t="str">
        <f aca="false">IF(C102="","",IF(AND(AB102="Approved",ISERROR(SEARCH("FAIL",AT102))),"Y","N"))</f>
        <v/>
      </c>
      <c r="BB102" s="10" t="str">
        <f aca="false">IF(C102="","",C102&amp;"|"&amp;D102&amp;"|"&amp;E102&amp;"|"&amp;F102&amp;"|"&amp;BA102)</f>
        <v/>
      </c>
    </row>
    <row r="103" customFormat="false" ht="15" hidden="false" customHeight="false" outlineLevel="0" collapsed="false">
      <c r="A103" s="10" t="str">
        <f aca="false">IF(C103="","","RW-"&amp;IFERROR(VLOOKUP(C103,Lists!$M$4:$N$22,2,0),"??")&amp;"-H"&amp;TEXT(D103*1000,"0000")&amp;"-S"&amp;E103&amp;IF(F103="Y","-GW","")&amp;"-"&amp;AA103)</f>
        <v/>
      </c>
      <c r="B103" s="10" t="str">
        <f aca="false">IF(C103="","",C103&amp;", H = "&amp;TEXT(D103,"0.0")&amp;" m, q = "&amp;E103&amp;" kPa"&amp;IF(F103="Y",", with GWT","")&amp;", "&amp;H103)</f>
        <v/>
      </c>
      <c r="C103" s="9"/>
      <c r="D103" s="41"/>
      <c r="E103" s="40"/>
      <c r="F103" s="9"/>
      <c r="G103" s="40"/>
      <c r="H103" s="9"/>
      <c r="I103" s="40"/>
      <c r="J103" s="43"/>
      <c r="K103" s="40"/>
      <c r="L103" s="40"/>
      <c r="M103" s="40"/>
      <c r="N103" s="40"/>
      <c r="O103" s="40"/>
      <c r="P103" s="40"/>
      <c r="Q103" s="9"/>
      <c r="R103" s="9"/>
      <c r="S103" s="40"/>
      <c r="T103" s="9"/>
      <c r="U103" s="9"/>
      <c r="V103" s="9"/>
      <c r="W103" s="41"/>
      <c r="X103" s="41"/>
      <c r="Y103" s="40"/>
      <c r="Z103" s="9"/>
      <c r="AA103" s="9"/>
      <c r="AB103" s="9"/>
      <c r="AC103" s="9"/>
      <c r="AD103" s="9"/>
      <c r="AE103" s="9"/>
      <c r="AF103" s="10" t="str">
        <f aca="false">IF(A103="","",SG_Criteria!$B$6&amp;SG_Criteria!$B$8&amp;"\"&amp;A103&amp;"\")</f>
        <v/>
      </c>
      <c r="AG103" s="10" t="str">
        <f aca="false">IF(A103="","",A103&amp;"_CAD.dwg")</f>
        <v/>
      </c>
      <c r="AH103" s="10" t="str">
        <f aca="false">IF(A103="","",A103&amp;"_DWG.pdf")</f>
        <v/>
      </c>
      <c r="AI103" s="10" t="str">
        <f aca="false">IF(A103="","",IF(AE103="Y",A103&amp;"_STAAD.std","n/a"))</f>
        <v/>
      </c>
      <c r="AJ103" s="10" t="str">
        <f aca="false">IF(A103="","",A103&amp;"_CALC.xlsx")</f>
        <v/>
      </c>
      <c r="AK103" s="10" t="str">
        <f aca="false">IF(A103="","",A103&amp;"_CALC.pdf")</f>
        <v/>
      </c>
      <c r="AL103" s="9"/>
      <c r="AM103" s="9"/>
      <c r="AN103" s="41"/>
      <c r="AO103" s="41"/>
      <c r="AP103" s="41"/>
      <c r="AQ103" s="41"/>
      <c r="AR103" s="41"/>
      <c r="AS103" s="38" t="str">
        <f aca="false">IF(OR(C103="",D103=""),"",IF(D103&lt;=IF(OR(C103="Block / Segmental",C103="Gabion",C103="Reinforced Earth (MSE)"),SG_Criteria!$B$34,SG_Criteria!$B$33),"No ERSS submission",IF(D103&lt;=SG_Criteria!$B$35,"QP(ST)",IF(D103&lt;=SG_Criteria!$B$36,"QP(ST) + AC","Geotechnical building works: QP(Geo) + AC"))))</f>
        <v/>
      </c>
      <c r="AT103" s="38" t="str">
        <f aca="false">IF(C103="","",IF(LEN(IF(AND(R103&lt;&gt;"",IFERROR(VALUE(MID(R103,2,2)),0)&lt;SG_Criteria!$B$19),"FAIL: grade below C"&amp;SG_Criteria!$B$19&amp;". ","")&amp;IF(AND(S103&lt;&gt;"",S103&lt;SG_Criteria!$B$20),"FAIL: cover &lt; "&amp;SG_Criteria!$B$20&amp;" mm. ","")&amp;IF(AND(W103&lt;&gt;"",W103&lt;1),"FAIL: sliding. ","")&amp;IF(AND(C103="Reverse L-Wall (toe only, at boundary)",N(O103)&gt;0),"NOTE: reverse L-wall should have no heel. ","")&amp;IF(AND(C103="L-Wall (heel only)",N(N103)&gt;0),"NOTE: L-wall should have no toe. ","")&amp;IF(AND(E103&lt;&gt;"",E103&lt;SG_Criteria!$B$31),"NOTE: q below LTA min "&amp;SG_Criteria!$B$31&amp;" kPa (not for LTA works). ",""))=0,"OK",IF(AND(R103&lt;&gt;"",IFERROR(VALUE(MID(R103,2,2)),0)&lt;SG_Criteria!$B$19),"FAIL: grade below C"&amp;SG_Criteria!$B$19&amp;". ","")&amp;IF(AND(S103&lt;&gt;"",S103&lt;SG_Criteria!$B$20),"FAIL: cover &lt; "&amp;SG_Criteria!$B$20&amp;" mm. ","")&amp;IF(AND(W103&lt;&gt;"",W103&lt;1),"FAIL: sliding. ","")&amp;IF(AND(C103="Reverse L-Wall (toe only, at boundary)",N(O103)&gt;0),"NOTE: reverse L-wall should have no heel. ","")&amp;IF(AND(C103="L-Wall (heel only)",N(N103)&gt;0),"NOTE: L-wall should have no toe. ","")&amp;IF(AND(E103&lt;&gt;"",E103&lt;SG_Criteria!$B$31),"NOTE: q below LTA min "&amp;SG_Criteria!$B$31&amp;" kPa (not for LTA works). ","")))</f>
        <v/>
      </c>
      <c r="AU103" s="9"/>
      <c r="AV103" s="9"/>
      <c r="AW103" s="9"/>
      <c r="AX103" s="9"/>
      <c r="AY103" s="9"/>
      <c r="AZ103" s="31"/>
      <c r="BA103" s="10" t="str">
        <f aca="false">IF(C103="","",IF(AND(AB103="Approved",ISERROR(SEARCH("FAIL",AT103))),"Y","N"))</f>
        <v/>
      </c>
      <c r="BB103" s="10" t="str">
        <f aca="false">IF(C103="","",C103&amp;"|"&amp;D103&amp;"|"&amp;E103&amp;"|"&amp;F103&amp;"|"&amp;BA103)</f>
        <v/>
      </c>
    </row>
    <row r="104" customFormat="false" ht="15" hidden="false" customHeight="false" outlineLevel="0" collapsed="false">
      <c r="A104" s="10" t="str">
        <f aca="false">IF(C104="","","RW-"&amp;IFERROR(VLOOKUP(C104,Lists!$M$4:$N$22,2,0),"??")&amp;"-H"&amp;TEXT(D104*1000,"0000")&amp;"-S"&amp;E104&amp;IF(F104="Y","-GW","")&amp;"-"&amp;AA104)</f>
        <v/>
      </c>
      <c r="B104" s="10" t="str">
        <f aca="false">IF(C104="","",C104&amp;", H = "&amp;TEXT(D104,"0.0")&amp;" m, q = "&amp;E104&amp;" kPa"&amp;IF(F104="Y",", with GWT","")&amp;", "&amp;H104)</f>
        <v/>
      </c>
      <c r="C104" s="9"/>
      <c r="D104" s="41"/>
      <c r="E104" s="40"/>
      <c r="F104" s="9"/>
      <c r="G104" s="40"/>
      <c r="H104" s="9"/>
      <c r="I104" s="40"/>
      <c r="J104" s="43"/>
      <c r="K104" s="40"/>
      <c r="L104" s="40"/>
      <c r="M104" s="40"/>
      <c r="N104" s="40"/>
      <c r="O104" s="40"/>
      <c r="P104" s="40"/>
      <c r="Q104" s="9"/>
      <c r="R104" s="9"/>
      <c r="S104" s="40"/>
      <c r="T104" s="9"/>
      <c r="U104" s="9"/>
      <c r="V104" s="9"/>
      <c r="W104" s="41"/>
      <c r="X104" s="41"/>
      <c r="Y104" s="40"/>
      <c r="Z104" s="9"/>
      <c r="AA104" s="9"/>
      <c r="AB104" s="9"/>
      <c r="AC104" s="9"/>
      <c r="AD104" s="9"/>
      <c r="AE104" s="9"/>
      <c r="AF104" s="10" t="str">
        <f aca="false">IF(A104="","",SG_Criteria!$B$6&amp;SG_Criteria!$B$8&amp;"\"&amp;A104&amp;"\")</f>
        <v/>
      </c>
      <c r="AG104" s="10" t="str">
        <f aca="false">IF(A104="","",A104&amp;"_CAD.dwg")</f>
        <v/>
      </c>
      <c r="AH104" s="10" t="str">
        <f aca="false">IF(A104="","",A104&amp;"_DWG.pdf")</f>
        <v/>
      </c>
      <c r="AI104" s="10" t="str">
        <f aca="false">IF(A104="","",IF(AE104="Y",A104&amp;"_STAAD.std","n/a"))</f>
        <v/>
      </c>
      <c r="AJ104" s="10" t="str">
        <f aca="false">IF(A104="","",A104&amp;"_CALC.xlsx")</f>
        <v/>
      </c>
      <c r="AK104" s="10" t="str">
        <f aca="false">IF(A104="","",A104&amp;"_CALC.pdf")</f>
        <v/>
      </c>
      <c r="AL104" s="9"/>
      <c r="AM104" s="9"/>
      <c r="AN104" s="41"/>
      <c r="AO104" s="41"/>
      <c r="AP104" s="41"/>
      <c r="AQ104" s="41"/>
      <c r="AR104" s="41"/>
      <c r="AS104" s="38" t="str">
        <f aca="false">IF(OR(C104="",D104=""),"",IF(D104&lt;=IF(OR(C104="Block / Segmental",C104="Gabion",C104="Reinforced Earth (MSE)"),SG_Criteria!$B$34,SG_Criteria!$B$33),"No ERSS submission",IF(D104&lt;=SG_Criteria!$B$35,"QP(ST)",IF(D104&lt;=SG_Criteria!$B$36,"QP(ST) + AC","Geotechnical building works: QP(Geo) + AC"))))</f>
        <v/>
      </c>
      <c r="AT104" s="38" t="str">
        <f aca="false">IF(C104="","",IF(LEN(IF(AND(R104&lt;&gt;"",IFERROR(VALUE(MID(R104,2,2)),0)&lt;SG_Criteria!$B$19),"FAIL: grade below C"&amp;SG_Criteria!$B$19&amp;". ","")&amp;IF(AND(S104&lt;&gt;"",S104&lt;SG_Criteria!$B$20),"FAIL: cover &lt; "&amp;SG_Criteria!$B$20&amp;" mm. ","")&amp;IF(AND(W104&lt;&gt;"",W104&lt;1),"FAIL: sliding. ","")&amp;IF(AND(C104="Reverse L-Wall (toe only, at boundary)",N(O104)&gt;0),"NOTE: reverse L-wall should have no heel. ","")&amp;IF(AND(C104="L-Wall (heel only)",N(N104)&gt;0),"NOTE: L-wall should have no toe. ","")&amp;IF(AND(E104&lt;&gt;"",E104&lt;SG_Criteria!$B$31),"NOTE: q below LTA min "&amp;SG_Criteria!$B$31&amp;" kPa (not for LTA works). ",""))=0,"OK",IF(AND(R104&lt;&gt;"",IFERROR(VALUE(MID(R104,2,2)),0)&lt;SG_Criteria!$B$19),"FAIL: grade below C"&amp;SG_Criteria!$B$19&amp;". ","")&amp;IF(AND(S104&lt;&gt;"",S104&lt;SG_Criteria!$B$20),"FAIL: cover &lt; "&amp;SG_Criteria!$B$20&amp;" mm. ","")&amp;IF(AND(W104&lt;&gt;"",W104&lt;1),"FAIL: sliding. ","")&amp;IF(AND(C104="Reverse L-Wall (toe only, at boundary)",N(O104)&gt;0),"NOTE: reverse L-wall should have no heel. ","")&amp;IF(AND(C104="L-Wall (heel only)",N(N104)&gt;0),"NOTE: L-wall should have no toe. ","")&amp;IF(AND(E104&lt;&gt;"",E104&lt;SG_Criteria!$B$31),"NOTE: q below LTA min "&amp;SG_Criteria!$B$31&amp;" kPa (not for LTA works). ","")))</f>
        <v/>
      </c>
      <c r="AU104" s="9"/>
      <c r="AV104" s="9"/>
      <c r="AW104" s="9"/>
      <c r="AX104" s="9"/>
      <c r="AY104" s="9"/>
      <c r="AZ104" s="31"/>
      <c r="BA104" s="10" t="str">
        <f aca="false">IF(C104="","",IF(AND(AB104="Approved",ISERROR(SEARCH("FAIL",AT104))),"Y","N"))</f>
        <v/>
      </c>
      <c r="BB104" s="10" t="str">
        <f aca="false">IF(C104="","",C104&amp;"|"&amp;D104&amp;"|"&amp;E104&amp;"|"&amp;F104&amp;"|"&amp;BA104)</f>
        <v/>
      </c>
    </row>
    <row r="105" customFormat="false" ht="15" hidden="false" customHeight="false" outlineLevel="0" collapsed="false">
      <c r="A105" s="10" t="str">
        <f aca="false">IF(C105="","","RW-"&amp;IFERROR(VLOOKUP(C105,Lists!$M$4:$N$22,2,0),"??")&amp;"-H"&amp;TEXT(D105*1000,"0000")&amp;"-S"&amp;E105&amp;IF(F105="Y","-GW","")&amp;"-"&amp;AA105)</f>
        <v/>
      </c>
      <c r="B105" s="10" t="str">
        <f aca="false">IF(C105="","",C105&amp;", H = "&amp;TEXT(D105,"0.0")&amp;" m, q = "&amp;E105&amp;" kPa"&amp;IF(F105="Y",", with GWT","")&amp;", "&amp;H105)</f>
        <v/>
      </c>
      <c r="C105" s="9"/>
      <c r="D105" s="41"/>
      <c r="E105" s="40"/>
      <c r="F105" s="9"/>
      <c r="G105" s="40"/>
      <c r="H105" s="9"/>
      <c r="I105" s="40"/>
      <c r="J105" s="43"/>
      <c r="K105" s="40"/>
      <c r="L105" s="40"/>
      <c r="M105" s="40"/>
      <c r="N105" s="40"/>
      <c r="O105" s="40"/>
      <c r="P105" s="40"/>
      <c r="Q105" s="9"/>
      <c r="R105" s="9"/>
      <c r="S105" s="40"/>
      <c r="T105" s="9"/>
      <c r="U105" s="9"/>
      <c r="V105" s="9"/>
      <c r="W105" s="41"/>
      <c r="X105" s="41"/>
      <c r="Y105" s="40"/>
      <c r="Z105" s="9"/>
      <c r="AA105" s="9"/>
      <c r="AB105" s="9"/>
      <c r="AC105" s="9"/>
      <c r="AD105" s="9"/>
      <c r="AE105" s="9"/>
      <c r="AF105" s="10" t="str">
        <f aca="false">IF(A105="","",SG_Criteria!$B$6&amp;SG_Criteria!$B$8&amp;"\"&amp;A105&amp;"\")</f>
        <v/>
      </c>
      <c r="AG105" s="10" t="str">
        <f aca="false">IF(A105="","",A105&amp;"_CAD.dwg")</f>
        <v/>
      </c>
      <c r="AH105" s="10" t="str">
        <f aca="false">IF(A105="","",A105&amp;"_DWG.pdf")</f>
        <v/>
      </c>
      <c r="AI105" s="10" t="str">
        <f aca="false">IF(A105="","",IF(AE105="Y",A105&amp;"_STAAD.std","n/a"))</f>
        <v/>
      </c>
      <c r="AJ105" s="10" t="str">
        <f aca="false">IF(A105="","",A105&amp;"_CALC.xlsx")</f>
        <v/>
      </c>
      <c r="AK105" s="10" t="str">
        <f aca="false">IF(A105="","",A105&amp;"_CALC.pdf")</f>
        <v/>
      </c>
      <c r="AL105" s="9"/>
      <c r="AM105" s="9"/>
      <c r="AN105" s="41"/>
      <c r="AO105" s="41"/>
      <c r="AP105" s="41"/>
      <c r="AQ105" s="41"/>
      <c r="AR105" s="41"/>
      <c r="AS105" s="38" t="str">
        <f aca="false">IF(OR(C105="",D105=""),"",IF(D105&lt;=IF(OR(C105="Block / Segmental",C105="Gabion",C105="Reinforced Earth (MSE)"),SG_Criteria!$B$34,SG_Criteria!$B$33),"No ERSS submission",IF(D105&lt;=SG_Criteria!$B$35,"QP(ST)",IF(D105&lt;=SG_Criteria!$B$36,"QP(ST) + AC","Geotechnical building works: QP(Geo) + AC"))))</f>
        <v/>
      </c>
      <c r="AT105" s="38" t="str">
        <f aca="false">IF(C105="","",IF(LEN(IF(AND(R105&lt;&gt;"",IFERROR(VALUE(MID(R105,2,2)),0)&lt;SG_Criteria!$B$19),"FAIL: grade below C"&amp;SG_Criteria!$B$19&amp;". ","")&amp;IF(AND(S105&lt;&gt;"",S105&lt;SG_Criteria!$B$20),"FAIL: cover &lt; "&amp;SG_Criteria!$B$20&amp;" mm. ","")&amp;IF(AND(W105&lt;&gt;"",W105&lt;1),"FAIL: sliding. ","")&amp;IF(AND(C105="Reverse L-Wall (toe only, at boundary)",N(O105)&gt;0),"NOTE: reverse L-wall should have no heel. ","")&amp;IF(AND(C105="L-Wall (heel only)",N(N105)&gt;0),"NOTE: L-wall should have no toe. ","")&amp;IF(AND(E105&lt;&gt;"",E105&lt;SG_Criteria!$B$31),"NOTE: q below LTA min "&amp;SG_Criteria!$B$31&amp;" kPa (not for LTA works). ",""))=0,"OK",IF(AND(R105&lt;&gt;"",IFERROR(VALUE(MID(R105,2,2)),0)&lt;SG_Criteria!$B$19),"FAIL: grade below C"&amp;SG_Criteria!$B$19&amp;". ","")&amp;IF(AND(S105&lt;&gt;"",S105&lt;SG_Criteria!$B$20),"FAIL: cover &lt; "&amp;SG_Criteria!$B$20&amp;" mm. ","")&amp;IF(AND(W105&lt;&gt;"",W105&lt;1),"FAIL: sliding. ","")&amp;IF(AND(C105="Reverse L-Wall (toe only, at boundary)",N(O105)&gt;0),"NOTE: reverse L-wall should have no heel. ","")&amp;IF(AND(C105="L-Wall (heel only)",N(N105)&gt;0),"NOTE: L-wall should have no toe. ","")&amp;IF(AND(E105&lt;&gt;"",E105&lt;SG_Criteria!$B$31),"NOTE: q below LTA min "&amp;SG_Criteria!$B$31&amp;" kPa (not for LTA works). ","")))</f>
        <v/>
      </c>
      <c r="AU105" s="9"/>
      <c r="AV105" s="9"/>
      <c r="AW105" s="9"/>
      <c r="AX105" s="9"/>
      <c r="AY105" s="9"/>
      <c r="AZ105" s="31"/>
      <c r="BA105" s="10" t="str">
        <f aca="false">IF(C105="","",IF(AND(AB105="Approved",ISERROR(SEARCH("FAIL",AT105))),"Y","N"))</f>
        <v/>
      </c>
      <c r="BB105" s="10" t="str">
        <f aca="false">IF(C105="","",C105&amp;"|"&amp;D105&amp;"|"&amp;E105&amp;"|"&amp;F105&amp;"|"&amp;BA105)</f>
        <v/>
      </c>
    </row>
    <row r="106" customFormat="false" ht="15" hidden="false" customHeight="false" outlineLevel="0" collapsed="false">
      <c r="A106" s="10" t="str">
        <f aca="false">IF(C106="","","RW-"&amp;IFERROR(VLOOKUP(C106,Lists!$M$4:$N$22,2,0),"??")&amp;"-H"&amp;TEXT(D106*1000,"0000")&amp;"-S"&amp;E106&amp;IF(F106="Y","-GW","")&amp;"-"&amp;AA106)</f>
        <v/>
      </c>
      <c r="B106" s="10" t="str">
        <f aca="false">IF(C106="","",C106&amp;", H = "&amp;TEXT(D106,"0.0")&amp;" m, q = "&amp;E106&amp;" kPa"&amp;IF(F106="Y",", with GWT","")&amp;", "&amp;H106)</f>
        <v/>
      </c>
      <c r="C106" s="9"/>
      <c r="D106" s="41"/>
      <c r="E106" s="40"/>
      <c r="F106" s="9"/>
      <c r="G106" s="40"/>
      <c r="H106" s="9"/>
      <c r="I106" s="40"/>
      <c r="J106" s="43"/>
      <c r="K106" s="40"/>
      <c r="L106" s="40"/>
      <c r="M106" s="40"/>
      <c r="N106" s="40"/>
      <c r="O106" s="40"/>
      <c r="P106" s="40"/>
      <c r="Q106" s="9"/>
      <c r="R106" s="9"/>
      <c r="S106" s="40"/>
      <c r="T106" s="9"/>
      <c r="U106" s="9"/>
      <c r="V106" s="9"/>
      <c r="W106" s="41"/>
      <c r="X106" s="41"/>
      <c r="Y106" s="40"/>
      <c r="Z106" s="9"/>
      <c r="AA106" s="9"/>
      <c r="AB106" s="9"/>
      <c r="AC106" s="9"/>
      <c r="AD106" s="9"/>
      <c r="AE106" s="9"/>
      <c r="AF106" s="10" t="str">
        <f aca="false">IF(A106="","",SG_Criteria!$B$6&amp;SG_Criteria!$B$8&amp;"\"&amp;A106&amp;"\")</f>
        <v/>
      </c>
      <c r="AG106" s="10" t="str">
        <f aca="false">IF(A106="","",A106&amp;"_CAD.dwg")</f>
        <v/>
      </c>
      <c r="AH106" s="10" t="str">
        <f aca="false">IF(A106="","",A106&amp;"_DWG.pdf")</f>
        <v/>
      </c>
      <c r="AI106" s="10" t="str">
        <f aca="false">IF(A106="","",IF(AE106="Y",A106&amp;"_STAAD.std","n/a"))</f>
        <v/>
      </c>
      <c r="AJ106" s="10" t="str">
        <f aca="false">IF(A106="","",A106&amp;"_CALC.xlsx")</f>
        <v/>
      </c>
      <c r="AK106" s="10" t="str">
        <f aca="false">IF(A106="","",A106&amp;"_CALC.pdf")</f>
        <v/>
      </c>
      <c r="AL106" s="9"/>
      <c r="AM106" s="9"/>
      <c r="AN106" s="41"/>
      <c r="AO106" s="41"/>
      <c r="AP106" s="41"/>
      <c r="AQ106" s="41"/>
      <c r="AR106" s="41"/>
      <c r="AS106" s="38" t="str">
        <f aca="false">IF(OR(C106="",D106=""),"",IF(D106&lt;=IF(OR(C106="Block / Segmental",C106="Gabion",C106="Reinforced Earth (MSE)"),SG_Criteria!$B$34,SG_Criteria!$B$33),"No ERSS submission",IF(D106&lt;=SG_Criteria!$B$35,"QP(ST)",IF(D106&lt;=SG_Criteria!$B$36,"QP(ST) + AC","Geotechnical building works: QP(Geo) + AC"))))</f>
        <v/>
      </c>
      <c r="AT106" s="38" t="str">
        <f aca="false">IF(C106="","",IF(LEN(IF(AND(R106&lt;&gt;"",IFERROR(VALUE(MID(R106,2,2)),0)&lt;SG_Criteria!$B$19),"FAIL: grade below C"&amp;SG_Criteria!$B$19&amp;". ","")&amp;IF(AND(S106&lt;&gt;"",S106&lt;SG_Criteria!$B$20),"FAIL: cover &lt; "&amp;SG_Criteria!$B$20&amp;" mm. ","")&amp;IF(AND(W106&lt;&gt;"",W106&lt;1),"FAIL: sliding. ","")&amp;IF(AND(C106="Reverse L-Wall (toe only, at boundary)",N(O106)&gt;0),"NOTE: reverse L-wall should have no heel. ","")&amp;IF(AND(C106="L-Wall (heel only)",N(N106)&gt;0),"NOTE: L-wall should have no toe. ","")&amp;IF(AND(E106&lt;&gt;"",E106&lt;SG_Criteria!$B$31),"NOTE: q below LTA min "&amp;SG_Criteria!$B$31&amp;" kPa (not for LTA works). ",""))=0,"OK",IF(AND(R106&lt;&gt;"",IFERROR(VALUE(MID(R106,2,2)),0)&lt;SG_Criteria!$B$19),"FAIL: grade below C"&amp;SG_Criteria!$B$19&amp;". ","")&amp;IF(AND(S106&lt;&gt;"",S106&lt;SG_Criteria!$B$20),"FAIL: cover &lt; "&amp;SG_Criteria!$B$20&amp;" mm. ","")&amp;IF(AND(W106&lt;&gt;"",W106&lt;1),"FAIL: sliding. ","")&amp;IF(AND(C106="Reverse L-Wall (toe only, at boundary)",N(O106)&gt;0),"NOTE: reverse L-wall should have no heel. ","")&amp;IF(AND(C106="L-Wall (heel only)",N(N106)&gt;0),"NOTE: L-wall should have no toe. ","")&amp;IF(AND(E106&lt;&gt;"",E106&lt;SG_Criteria!$B$31),"NOTE: q below LTA min "&amp;SG_Criteria!$B$31&amp;" kPa (not for LTA works). ","")))</f>
        <v/>
      </c>
      <c r="AU106" s="9"/>
      <c r="AV106" s="9"/>
      <c r="AW106" s="9"/>
      <c r="AX106" s="9"/>
      <c r="AY106" s="9"/>
      <c r="AZ106" s="31"/>
      <c r="BA106" s="10" t="str">
        <f aca="false">IF(C106="","",IF(AND(AB106="Approved",ISERROR(SEARCH("FAIL",AT106))),"Y","N"))</f>
        <v/>
      </c>
      <c r="BB106" s="10" t="str">
        <f aca="false">IF(C106="","",C106&amp;"|"&amp;D106&amp;"|"&amp;E106&amp;"|"&amp;F106&amp;"|"&amp;BA106)</f>
        <v/>
      </c>
    </row>
    <row r="107" customFormat="false" ht="15" hidden="false" customHeight="false" outlineLevel="0" collapsed="false">
      <c r="A107" s="10" t="str">
        <f aca="false">IF(C107="","","RW-"&amp;IFERROR(VLOOKUP(C107,Lists!$M$4:$N$22,2,0),"??")&amp;"-H"&amp;TEXT(D107*1000,"0000")&amp;"-S"&amp;E107&amp;IF(F107="Y","-GW","")&amp;"-"&amp;AA107)</f>
        <v/>
      </c>
      <c r="B107" s="10" t="str">
        <f aca="false">IF(C107="","",C107&amp;", H = "&amp;TEXT(D107,"0.0")&amp;" m, q = "&amp;E107&amp;" kPa"&amp;IF(F107="Y",", with GWT","")&amp;", "&amp;H107)</f>
        <v/>
      </c>
      <c r="C107" s="9"/>
      <c r="D107" s="41"/>
      <c r="E107" s="40"/>
      <c r="F107" s="9"/>
      <c r="G107" s="40"/>
      <c r="H107" s="9"/>
      <c r="I107" s="40"/>
      <c r="J107" s="43"/>
      <c r="K107" s="40"/>
      <c r="L107" s="40"/>
      <c r="M107" s="40"/>
      <c r="N107" s="40"/>
      <c r="O107" s="40"/>
      <c r="P107" s="40"/>
      <c r="Q107" s="9"/>
      <c r="R107" s="9"/>
      <c r="S107" s="40"/>
      <c r="T107" s="9"/>
      <c r="U107" s="9"/>
      <c r="V107" s="9"/>
      <c r="W107" s="41"/>
      <c r="X107" s="41"/>
      <c r="Y107" s="40"/>
      <c r="Z107" s="9"/>
      <c r="AA107" s="9"/>
      <c r="AB107" s="9"/>
      <c r="AC107" s="9"/>
      <c r="AD107" s="9"/>
      <c r="AE107" s="9"/>
      <c r="AF107" s="10" t="str">
        <f aca="false">IF(A107="","",SG_Criteria!$B$6&amp;SG_Criteria!$B$8&amp;"\"&amp;A107&amp;"\")</f>
        <v/>
      </c>
      <c r="AG107" s="10" t="str">
        <f aca="false">IF(A107="","",A107&amp;"_CAD.dwg")</f>
        <v/>
      </c>
      <c r="AH107" s="10" t="str">
        <f aca="false">IF(A107="","",A107&amp;"_DWG.pdf")</f>
        <v/>
      </c>
      <c r="AI107" s="10" t="str">
        <f aca="false">IF(A107="","",IF(AE107="Y",A107&amp;"_STAAD.std","n/a"))</f>
        <v/>
      </c>
      <c r="AJ107" s="10" t="str">
        <f aca="false">IF(A107="","",A107&amp;"_CALC.xlsx")</f>
        <v/>
      </c>
      <c r="AK107" s="10" t="str">
        <f aca="false">IF(A107="","",A107&amp;"_CALC.pdf")</f>
        <v/>
      </c>
      <c r="AL107" s="9"/>
      <c r="AM107" s="9"/>
      <c r="AN107" s="41"/>
      <c r="AO107" s="41"/>
      <c r="AP107" s="41"/>
      <c r="AQ107" s="41"/>
      <c r="AR107" s="41"/>
      <c r="AS107" s="38" t="str">
        <f aca="false">IF(OR(C107="",D107=""),"",IF(D107&lt;=IF(OR(C107="Block / Segmental",C107="Gabion",C107="Reinforced Earth (MSE)"),SG_Criteria!$B$34,SG_Criteria!$B$33),"No ERSS submission",IF(D107&lt;=SG_Criteria!$B$35,"QP(ST)",IF(D107&lt;=SG_Criteria!$B$36,"QP(ST) + AC","Geotechnical building works: QP(Geo) + AC"))))</f>
        <v/>
      </c>
      <c r="AT107" s="38" t="str">
        <f aca="false">IF(C107="","",IF(LEN(IF(AND(R107&lt;&gt;"",IFERROR(VALUE(MID(R107,2,2)),0)&lt;SG_Criteria!$B$19),"FAIL: grade below C"&amp;SG_Criteria!$B$19&amp;". ","")&amp;IF(AND(S107&lt;&gt;"",S107&lt;SG_Criteria!$B$20),"FAIL: cover &lt; "&amp;SG_Criteria!$B$20&amp;" mm. ","")&amp;IF(AND(W107&lt;&gt;"",W107&lt;1),"FAIL: sliding. ","")&amp;IF(AND(C107="Reverse L-Wall (toe only, at boundary)",N(O107)&gt;0),"NOTE: reverse L-wall should have no heel. ","")&amp;IF(AND(C107="L-Wall (heel only)",N(N107)&gt;0),"NOTE: L-wall should have no toe. ","")&amp;IF(AND(E107&lt;&gt;"",E107&lt;SG_Criteria!$B$31),"NOTE: q below LTA min "&amp;SG_Criteria!$B$31&amp;" kPa (not for LTA works). ",""))=0,"OK",IF(AND(R107&lt;&gt;"",IFERROR(VALUE(MID(R107,2,2)),0)&lt;SG_Criteria!$B$19),"FAIL: grade below C"&amp;SG_Criteria!$B$19&amp;". ","")&amp;IF(AND(S107&lt;&gt;"",S107&lt;SG_Criteria!$B$20),"FAIL: cover &lt; "&amp;SG_Criteria!$B$20&amp;" mm. ","")&amp;IF(AND(W107&lt;&gt;"",W107&lt;1),"FAIL: sliding. ","")&amp;IF(AND(C107="Reverse L-Wall (toe only, at boundary)",N(O107)&gt;0),"NOTE: reverse L-wall should have no heel. ","")&amp;IF(AND(C107="L-Wall (heel only)",N(N107)&gt;0),"NOTE: L-wall should have no toe. ","")&amp;IF(AND(E107&lt;&gt;"",E107&lt;SG_Criteria!$B$31),"NOTE: q below LTA min "&amp;SG_Criteria!$B$31&amp;" kPa (not for LTA works). ","")))</f>
        <v/>
      </c>
      <c r="AU107" s="9"/>
      <c r="AV107" s="9"/>
      <c r="AW107" s="9"/>
      <c r="AX107" s="9"/>
      <c r="AY107" s="9"/>
      <c r="AZ107" s="31"/>
      <c r="BA107" s="10" t="str">
        <f aca="false">IF(C107="","",IF(AND(AB107="Approved",ISERROR(SEARCH("FAIL",AT107))),"Y","N"))</f>
        <v/>
      </c>
      <c r="BB107" s="10" t="str">
        <f aca="false">IF(C107="","",C107&amp;"|"&amp;D107&amp;"|"&amp;E107&amp;"|"&amp;F107&amp;"|"&amp;BA107)</f>
        <v/>
      </c>
    </row>
    <row r="108" customFormat="false" ht="15" hidden="false" customHeight="false" outlineLevel="0" collapsed="false">
      <c r="A108" s="10" t="str">
        <f aca="false">IF(C108="","","RW-"&amp;IFERROR(VLOOKUP(C108,Lists!$M$4:$N$22,2,0),"??")&amp;"-H"&amp;TEXT(D108*1000,"0000")&amp;"-S"&amp;E108&amp;IF(F108="Y","-GW","")&amp;"-"&amp;AA108)</f>
        <v/>
      </c>
      <c r="B108" s="10" t="str">
        <f aca="false">IF(C108="","",C108&amp;", H = "&amp;TEXT(D108,"0.0")&amp;" m, q = "&amp;E108&amp;" kPa"&amp;IF(F108="Y",", with GWT","")&amp;", "&amp;H108)</f>
        <v/>
      </c>
      <c r="C108" s="9"/>
      <c r="D108" s="41"/>
      <c r="E108" s="40"/>
      <c r="F108" s="9"/>
      <c r="G108" s="40"/>
      <c r="H108" s="9"/>
      <c r="I108" s="40"/>
      <c r="J108" s="43"/>
      <c r="K108" s="40"/>
      <c r="L108" s="40"/>
      <c r="M108" s="40"/>
      <c r="N108" s="40"/>
      <c r="O108" s="40"/>
      <c r="P108" s="40"/>
      <c r="Q108" s="9"/>
      <c r="R108" s="9"/>
      <c r="S108" s="40"/>
      <c r="T108" s="9"/>
      <c r="U108" s="9"/>
      <c r="V108" s="9"/>
      <c r="W108" s="41"/>
      <c r="X108" s="41"/>
      <c r="Y108" s="40"/>
      <c r="Z108" s="9"/>
      <c r="AA108" s="9"/>
      <c r="AB108" s="9"/>
      <c r="AC108" s="9"/>
      <c r="AD108" s="9"/>
      <c r="AE108" s="9"/>
      <c r="AF108" s="10" t="str">
        <f aca="false">IF(A108="","",SG_Criteria!$B$6&amp;SG_Criteria!$B$8&amp;"\"&amp;A108&amp;"\")</f>
        <v/>
      </c>
      <c r="AG108" s="10" t="str">
        <f aca="false">IF(A108="","",A108&amp;"_CAD.dwg")</f>
        <v/>
      </c>
      <c r="AH108" s="10" t="str">
        <f aca="false">IF(A108="","",A108&amp;"_DWG.pdf")</f>
        <v/>
      </c>
      <c r="AI108" s="10" t="str">
        <f aca="false">IF(A108="","",IF(AE108="Y",A108&amp;"_STAAD.std","n/a"))</f>
        <v/>
      </c>
      <c r="AJ108" s="10" t="str">
        <f aca="false">IF(A108="","",A108&amp;"_CALC.xlsx")</f>
        <v/>
      </c>
      <c r="AK108" s="10" t="str">
        <f aca="false">IF(A108="","",A108&amp;"_CALC.pdf")</f>
        <v/>
      </c>
      <c r="AL108" s="9"/>
      <c r="AM108" s="9"/>
      <c r="AN108" s="41"/>
      <c r="AO108" s="41"/>
      <c r="AP108" s="41"/>
      <c r="AQ108" s="41"/>
      <c r="AR108" s="41"/>
      <c r="AS108" s="38" t="str">
        <f aca="false">IF(OR(C108="",D108=""),"",IF(D108&lt;=IF(OR(C108="Block / Segmental",C108="Gabion",C108="Reinforced Earth (MSE)"),SG_Criteria!$B$34,SG_Criteria!$B$33),"No ERSS submission",IF(D108&lt;=SG_Criteria!$B$35,"QP(ST)",IF(D108&lt;=SG_Criteria!$B$36,"QP(ST) + AC","Geotechnical building works: QP(Geo) + AC"))))</f>
        <v/>
      </c>
      <c r="AT108" s="38" t="str">
        <f aca="false">IF(C108="","",IF(LEN(IF(AND(R108&lt;&gt;"",IFERROR(VALUE(MID(R108,2,2)),0)&lt;SG_Criteria!$B$19),"FAIL: grade below C"&amp;SG_Criteria!$B$19&amp;". ","")&amp;IF(AND(S108&lt;&gt;"",S108&lt;SG_Criteria!$B$20),"FAIL: cover &lt; "&amp;SG_Criteria!$B$20&amp;" mm. ","")&amp;IF(AND(W108&lt;&gt;"",W108&lt;1),"FAIL: sliding. ","")&amp;IF(AND(C108="Reverse L-Wall (toe only, at boundary)",N(O108)&gt;0),"NOTE: reverse L-wall should have no heel. ","")&amp;IF(AND(C108="L-Wall (heel only)",N(N108)&gt;0),"NOTE: L-wall should have no toe. ","")&amp;IF(AND(E108&lt;&gt;"",E108&lt;SG_Criteria!$B$31),"NOTE: q below LTA min "&amp;SG_Criteria!$B$31&amp;" kPa (not for LTA works). ",""))=0,"OK",IF(AND(R108&lt;&gt;"",IFERROR(VALUE(MID(R108,2,2)),0)&lt;SG_Criteria!$B$19),"FAIL: grade below C"&amp;SG_Criteria!$B$19&amp;". ","")&amp;IF(AND(S108&lt;&gt;"",S108&lt;SG_Criteria!$B$20),"FAIL: cover &lt; "&amp;SG_Criteria!$B$20&amp;" mm. ","")&amp;IF(AND(W108&lt;&gt;"",W108&lt;1),"FAIL: sliding. ","")&amp;IF(AND(C108="Reverse L-Wall (toe only, at boundary)",N(O108)&gt;0),"NOTE: reverse L-wall should have no heel. ","")&amp;IF(AND(C108="L-Wall (heel only)",N(N108)&gt;0),"NOTE: L-wall should have no toe. ","")&amp;IF(AND(E108&lt;&gt;"",E108&lt;SG_Criteria!$B$31),"NOTE: q below LTA min "&amp;SG_Criteria!$B$31&amp;" kPa (not for LTA works). ","")))</f>
        <v/>
      </c>
      <c r="AU108" s="9"/>
      <c r="AV108" s="9"/>
      <c r="AW108" s="9"/>
      <c r="AX108" s="9"/>
      <c r="AY108" s="9"/>
      <c r="AZ108" s="31"/>
      <c r="BA108" s="10" t="str">
        <f aca="false">IF(C108="","",IF(AND(AB108="Approved",ISERROR(SEARCH("FAIL",AT108))),"Y","N"))</f>
        <v/>
      </c>
      <c r="BB108" s="10" t="str">
        <f aca="false">IF(C108="","",C108&amp;"|"&amp;D108&amp;"|"&amp;E108&amp;"|"&amp;F108&amp;"|"&amp;BA108)</f>
        <v/>
      </c>
    </row>
    <row r="109" customFormat="false" ht="15" hidden="false" customHeight="false" outlineLevel="0" collapsed="false">
      <c r="A109" s="10" t="str">
        <f aca="false">IF(C109="","","RW-"&amp;IFERROR(VLOOKUP(C109,Lists!$M$4:$N$22,2,0),"??")&amp;"-H"&amp;TEXT(D109*1000,"0000")&amp;"-S"&amp;E109&amp;IF(F109="Y","-GW","")&amp;"-"&amp;AA109)</f>
        <v/>
      </c>
      <c r="B109" s="10" t="str">
        <f aca="false">IF(C109="","",C109&amp;", H = "&amp;TEXT(D109,"0.0")&amp;" m, q = "&amp;E109&amp;" kPa"&amp;IF(F109="Y",", with GWT","")&amp;", "&amp;H109)</f>
        <v/>
      </c>
      <c r="C109" s="9"/>
      <c r="D109" s="41"/>
      <c r="E109" s="40"/>
      <c r="F109" s="9"/>
      <c r="G109" s="40"/>
      <c r="H109" s="9"/>
      <c r="I109" s="40"/>
      <c r="J109" s="43"/>
      <c r="K109" s="40"/>
      <c r="L109" s="40"/>
      <c r="M109" s="40"/>
      <c r="N109" s="40"/>
      <c r="O109" s="40"/>
      <c r="P109" s="40"/>
      <c r="Q109" s="9"/>
      <c r="R109" s="9"/>
      <c r="S109" s="40"/>
      <c r="T109" s="9"/>
      <c r="U109" s="9"/>
      <c r="V109" s="9"/>
      <c r="W109" s="41"/>
      <c r="X109" s="41"/>
      <c r="Y109" s="40"/>
      <c r="Z109" s="9"/>
      <c r="AA109" s="9"/>
      <c r="AB109" s="9"/>
      <c r="AC109" s="9"/>
      <c r="AD109" s="9"/>
      <c r="AE109" s="9"/>
      <c r="AF109" s="10" t="str">
        <f aca="false">IF(A109="","",SG_Criteria!$B$6&amp;SG_Criteria!$B$8&amp;"\"&amp;A109&amp;"\")</f>
        <v/>
      </c>
      <c r="AG109" s="10" t="str">
        <f aca="false">IF(A109="","",A109&amp;"_CAD.dwg")</f>
        <v/>
      </c>
      <c r="AH109" s="10" t="str">
        <f aca="false">IF(A109="","",A109&amp;"_DWG.pdf")</f>
        <v/>
      </c>
      <c r="AI109" s="10" t="str">
        <f aca="false">IF(A109="","",IF(AE109="Y",A109&amp;"_STAAD.std","n/a"))</f>
        <v/>
      </c>
      <c r="AJ109" s="10" t="str">
        <f aca="false">IF(A109="","",A109&amp;"_CALC.xlsx")</f>
        <v/>
      </c>
      <c r="AK109" s="10" t="str">
        <f aca="false">IF(A109="","",A109&amp;"_CALC.pdf")</f>
        <v/>
      </c>
      <c r="AL109" s="9"/>
      <c r="AM109" s="9"/>
      <c r="AN109" s="41"/>
      <c r="AO109" s="41"/>
      <c r="AP109" s="41"/>
      <c r="AQ109" s="41"/>
      <c r="AR109" s="41"/>
      <c r="AS109" s="38" t="str">
        <f aca="false">IF(OR(C109="",D109=""),"",IF(D109&lt;=IF(OR(C109="Block / Segmental",C109="Gabion",C109="Reinforced Earth (MSE)"),SG_Criteria!$B$34,SG_Criteria!$B$33),"No ERSS submission",IF(D109&lt;=SG_Criteria!$B$35,"QP(ST)",IF(D109&lt;=SG_Criteria!$B$36,"QP(ST) + AC","Geotechnical building works: QP(Geo) + AC"))))</f>
        <v/>
      </c>
      <c r="AT109" s="38" t="str">
        <f aca="false">IF(C109="","",IF(LEN(IF(AND(R109&lt;&gt;"",IFERROR(VALUE(MID(R109,2,2)),0)&lt;SG_Criteria!$B$19),"FAIL: grade below C"&amp;SG_Criteria!$B$19&amp;". ","")&amp;IF(AND(S109&lt;&gt;"",S109&lt;SG_Criteria!$B$20),"FAIL: cover &lt; "&amp;SG_Criteria!$B$20&amp;" mm. ","")&amp;IF(AND(W109&lt;&gt;"",W109&lt;1),"FAIL: sliding. ","")&amp;IF(AND(C109="Reverse L-Wall (toe only, at boundary)",N(O109)&gt;0),"NOTE: reverse L-wall should have no heel. ","")&amp;IF(AND(C109="L-Wall (heel only)",N(N109)&gt;0),"NOTE: L-wall should have no toe. ","")&amp;IF(AND(E109&lt;&gt;"",E109&lt;SG_Criteria!$B$31),"NOTE: q below LTA min "&amp;SG_Criteria!$B$31&amp;" kPa (not for LTA works). ",""))=0,"OK",IF(AND(R109&lt;&gt;"",IFERROR(VALUE(MID(R109,2,2)),0)&lt;SG_Criteria!$B$19),"FAIL: grade below C"&amp;SG_Criteria!$B$19&amp;". ","")&amp;IF(AND(S109&lt;&gt;"",S109&lt;SG_Criteria!$B$20),"FAIL: cover &lt; "&amp;SG_Criteria!$B$20&amp;" mm. ","")&amp;IF(AND(W109&lt;&gt;"",W109&lt;1),"FAIL: sliding. ","")&amp;IF(AND(C109="Reverse L-Wall (toe only, at boundary)",N(O109)&gt;0),"NOTE: reverse L-wall should have no heel. ","")&amp;IF(AND(C109="L-Wall (heel only)",N(N109)&gt;0),"NOTE: L-wall should have no toe. ","")&amp;IF(AND(E109&lt;&gt;"",E109&lt;SG_Criteria!$B$31),"NOTE: q below LTA min "&amp;SG_Criteria!$B$31&amp;" kPa (not for LTA works). ","")))</f>
        <v/>
      </c>
      <c r="AU109" s="9"/>
      <c r="AV109" s="9"/>
      <c r="AW109" s="9"/>
      <c r="AX109" s="9"/>
      <c r="AY109" s="9"/>
      <c r="AZ109" s="31"/>
      <c r="BA109" s="10" t="str">
        <f aca="false">IF(C109="","",IF(AND(AB109="Approved",ISERROR(SEARCH("FAIL",AT109))),"Y","N"))</f>
        <v/>
      </c>
      <c r="BB109" s="10" t="str">
        <f aca="false">IF(C109="","",C109&amp;"|"&amp;D109&amp;"|"&amp;E109&amp;"|"&amp;F109&amp;"|"&amp;BA109)</f>
        <v/>
      </c>
    </row>
    <row r="110" customFormat="false" ht="15" hidden="false" customHeight="false" outlineLevel="0" collapsed="false">
      <c r="A110" s="10" t="str">
        <f aca="false">IF(C110="","","RW-"&amp;IFERROR(VLOOKUP(C110,Lists!$M$4:$N$22,2,0),"??")&amp;"-H"&amp;TEXT(D110*1000,"0000")&amp;"-S"&amp;E110&amp;IF(F110="Y","-GW","")&amp;"-"&amp;AA110)</f>
        <v/>
      </c>
      <c r="B110" s="10" t="str">
        <f aca="false">IF(C110="","",C110&amp;", H = "&amp;TEXT(D110,"0.0")&amp;" m, q = "&amp;E110&amp;" kPa"&amp;IF(F110="Y",", with GWT","")&amp;", "&amp;H110)</f>
        <v/>
      </c>
      <c r="C110" s="9"/>
      <c r="D110" s="41"/>
      <c r="E110" s="40"/>
      <c r="F110" s="9"/>
      <c r="G110" s="40"/>
      <c r="H110" s="9"/>
      <c r="I110" s="40"/>
      <c r="J110" s="43"/>
      <c r="K110" s="40"/>
      <c r="L110" s="40"/>
      <c r="M110" s="40"/>
      <c r="N110" s="40"/>
      <c r="O110" s="40"/>
      <c r="P110" s="40"/>
      <c r="Q110" s="9"/>
      <c r="R110" s="9"/>
      <c r="S110" s="40"/>
      <c r="T110" s="9"/>
      <c r="U110" s="9"/>
      <c r="V110" s="9"/>
      <c r="W110" s="41"/>
      <c r="X110" s="41"/>
      <c r="Y110" s="40"/>
      <c r="Z110" s="9"/>
      <c r="AA110" s="9"/>
      <c r="AB110" s="9"/>
      <c r="AC110" s="9"/>
      <c r="AD110" s="9"/>
      <c r="AE110" s="9"/>
      <c r="AF110" s="10" t="str">
        <f aca="false">IF(A110="","",SG_Criteria!$B$6&amp;SG_Criteria!$B$8&amp;"\"&amp;A110&amp;"\")</f>
        <v/>
      </c>
      <c r="AG110" s="10" t="str">
        <f aca="false">IF(A110="","",A110&amp;"_CAD.dwg")</f>
        <v/>
      </c>
      <c r="AH110" s="10" t="str">
        <f aca="false">IF(A110="","",A110&amp;"_DWG.pdf")</f>
        <v/>
      </c>
      <c r="AI110" s="10" t="str">
        <f aca="false">IF(A110="","",IF(AE110="Y",A110&amp;"_STAAD.std","n/a"))</f>
        <v/>
      </c>
      <c r="AJ110" s="10" t="str">
        <f aca="false">IF(A110="","",A110&amp;"_CALC.xlsx")</f>
        <v/>
      </c>
      <c r="AK110" s="10" t="str">
        <f aca="false">IF(A110="","",A110&amp;"_CALC.pdf")</f>
        <v/>
      </c>
      <c r="AL110" s="9"/>
      <c r="AM110" s="9"/>
      <c r="AN110" s="41"/>
      <c r="AO110" s="41"/>
      <c r="AP110" s="41"/>
      <c r="AQ110" s="41"/>
      <c r="AR110" s="41"/>
      <c r="AS110" s="38" t="str">
        <f aca="false">IF(OR(C110="",D110=""),"",IF(D110&lt;=IF(OR(C110="Block / Segmental",C110="Gabion",C110="Reinforced Earth (MSE)"),SG_Criteria!$B$34,SG_Criteria!$B$33),"No ERSS submission",IF(D110&lt;=SG_Criteria!$B$35,"QP(ST)",IF(D110&lt;=SG_Criteria!$B$36,"QP(ST) + AC","Geotechnical building works: QP(Geo) + AC"))))</f>
        <v/>
      </c>
      <c r="AT110" s="38" t="str">
        <f aca="false">IF(C110="","",IF(LEN(IF(AND(R110&lt;&gt;"",IFERROR(VALUE(MID(R110,2,2)),0)&lt;SG_Criteria!$B$19),"FAIL: grade below C"&amp;SG_Criteria!$B$19&amp;". ","")&amp;IF(AND(S110&lt;&gt;"",S110&lt;SG_Criteria!$B$20),"FAIL: cover &lt; "&amp;SG_Criteria!$B$20&amp;" mm. ","")&amp;IF(AND(W110&lt;&gt;"",W110&lt;1),"FAIL: sliding. ","")&amp;IF(AND(C110="Reverse L-Wall (toe only, at boundary)",N(O110)&gt;0),"NOTE: reverse L-wall should have no heel. ","")&amp;IF(AND(C110="L-Wall (heel only)",N(N110)&gt;0),"NOTE: L-wall should have no toe. ","")&amp;IF(AND(E110&lt;&gt;"",E110&lt;SG_Criteria!$B$31),"NOTE: q below LTA min "&amp;SG_Criteria!$B$31&amp;" kPa (not for LTA works). ",""))=0,"OK",IF(AND(R110&lt;&gt;"",IFERROR(VALUE(MID(R110,2,2)),0)&lt;SG_Criteria!$B$19),"FAIL: grade below C"&amp;SG_Criteria!$B$19&amp;". ","")&amp;IF(AND(S110&lt;&gt;"",S110&lt;SG_Criteria!$B$20),"FAIL: cover &lt; "&amp;SG_Criteria!$B$20&amp;" mm. ","")&amp;IF(AND(W110&lt;&gt;"",W110&lt;1),"FAIL: sliding. ","")&amp;IF(AND(C110="Reverse L-Wall (toe only, at boundary)",N(O110)&gt;0),"NOTE: reverse L-wall should have no heel. ","")&amp;IF(AND(C110="L-Wall (heel only)",N(N110)&gt;0),"NOTE: L-wall should have no toe. ","")&amp;IF(AND(E110&lt;&gt;"",E110&lt;SG_Criteria!$B$31),"NOTE: q below LTA min "&amp;SG_Criteria!$B$31&amp;" kPa (not for LTA works). ","")))</f>
        <v/>
      </c>
      <c r="AU110" s="9"/>
      <c r="AV110" s="9"/>
      <c r="AW110" s="9"/>
      <c r="AX110" s="9"/>
      <c r="AY110" s="9"/>
      <c r="AZ110" s="31"/>
      <c r="BA110" s="10" t="str">
        <f aca="false">IF(C110="","",IF(AND(AB110="Approved",ISERROR(SEARCH("FAIL",AT110))),"Y","N"))</f>
        <v/>
      </c>
      <c r="BB110" s="10" t="str">
        <f aca="false">IF(C110="","",C110&amp;"|"&amp;D110&amp;"|"&amp;E110&amp;"|"&amp;F110&amp;"|"&amp;BA110)</f>
        <v/>
      </c>
    </row>
    <row r="111" customFormat="false" ht="15" hidden="false" customHeight="false" outlineLevel="0" collapsed="false">
      <c r="A111" s="10" t="str">
        <f aca="false">IF(C111="","","RW-"&amp;IFERROR(VLOOKUP(C111,Lists!$M$4:$N$22,2,0),"??")&amp;"-H"&amp;TEXT(D111*1000,"0000")&amp;"-S"&amp;E111&amp;IF(F111="Y","-GW","")&amp;"-"&amp;AA111)</f>
        <v/>
      </c>
      <c r="B111" s="10" t="str">
        <f aca="false">IF(C111="","",C111&amp;", H = "&amp;TEXT(D111,"0.0")&amp;" m, q = "&amp;E111&amp;" kPa"&amp;IF(F111="Y",", with GWT","")&amp;", "&amp;H111)</f>
        <v/>
      </c>
      <c r="C111" s="9"/>
      <c r="D111" s="41"/>
      <c r="E111" s="40"/>
      <c r="F111" s="9"/>
      <c r="G111" s="40"/>
      <c r="H111" s="9"/>
      <c r="I111" s="40"/>
      <c r="J111" s="43"/>
      <c r="K111" s="40"/>
      <c r="L111" s="40"/>
      <c r="M111" s="40"/>
      <c r="N111" s="40"/>
      <c r="O111" s="40"/>
      <c r="P111" s="40"/>
      <c r="Q111" s="9"/>
      <c r="R111" s="9"/>
      <c r="S111" s="40"/>
      <c r="T111" s="9"/>
      <c r="U111" s="9"/>
      <c r="V111" s="9"/>
      <c r="W111" s="41"/>
      <c r="X111" s="41"/>
      <c r="Y111" s="40"/>
      <c r="Z111" s="9"/>
      <c r="AA111" s="9"/>
      <c r="AB111" s="9"/>
      <c r="AC111" s="9"/>
      <c r="AD111" s="9"/>
      <c r="AE111" s="9"/>
      <c r="AF111" s="10" t="str">
        <f aca="false">IF(A111="","",SG_Criteria!$B$6&amp;SG_Criteria!$B$8&amp;"\"&amp;A111&amp;"\")</f>
        <v/>
      </c>
      <c r="AG111" s="10" t="str">
        <f aca="false">IF(A111="","",A111&amp;"_CAD.dwg")</f>
        <v/>
      </c>
      <c r="AH111" s="10" t="str">
        <f aca="false">IF(A111="","",A111&amp;"_DWG.pdf")</f>
        <v/>
      </c>
      <c r="AI111" s="10" t="str">
        <f aca="false">IF(A111="","",IF(AE111="Y",A111&amp;"_STAAD.std","n/a"))</f>
        <v/>
      </c>
      <c r="AJ111" s="10" t="str">
        <f aca="false">IF(A111="","",A111&amp;"_CALC.xlsx")</f>
        <v/>
      </c>
      <c r="AK111" s="10" t="str">
        <f aca="false">IF(A111="","",A111&amp;"_CALC.pdf")</f>
        <v/>
      </c>
      <c r="AL111" s="9"/>
      <c r="AM111" s="9"/>
      <c r="AN111" s="41"/>
      <c r="AO111" s="41"/>
      <c r="AP111" s="41"/>
      <c r="AQ111" s="41"/>
      <c r="AR111" s="41"/>
      <c r="AS111" s="38" t="str">
        <f aca="false">IF(OR(C111="",D111=""),"",IF(D111&lt;=IF(OR(C111="Block / Segmental",C111="Gabion",C111="Reinforced Earth (MSE)"),SG_Criteria!$B$34,SG_Criteria!$B$33),"No ERSS submission",IF(D111&lt;=SG_Criteria!$B$35,"QP(ST)",IF(D111&lt;=SG_Criteria!$B$36,"QP(ST) + AC","Geotechnical building works: QP(Geo) + AC"))))</f>
        <v/>
      </c>
      <c r="AT111" s="38" t="str">
        <f aca="false">IF(C111="","",IF(LEN(IF(AND(R111&lt;&gt;"",IFERROR(VALUE(MID(R111,2,2)),0)&lt;SG_Criteria!$B$19),"FAIL: grade below C"&amp;SG_Criteria!$B$19&amp;". ","")&amp;IF(AND(S111&lt;&gt;"",S111&lt;SG_Criteria!$B$20),"FAIL: cover &lt; "&amp;SG_Criteria!$B$20&amp;" mm. ","")&amp;IF(AND(W111&lt;&gt;"",W111&lt;1),"FAIL: sliding. ","")&amp;IF(AND(C111="Reverse L-Wall (toe only, at boundary)",N(O111)&gt;0),"NOTE: reverse L-wall should have no heel. ","")&amp;IF(AND(C111="L-Wall (heel only)",N(N111)&gt;0),"NOTE: L-wall should have no toe. ","")&amp;IF(AND(E111&lt;&gt;"",E111&lt;SG_Criteria!$B$31),"NOTE: q below LTA min "&amp;SG_Criteria!$B$31&amp;" kPa (not for LTA works). ",""))=0,"OK",IF(AND(R111&lt;&gt;"",IFERROR(VALUE(MID(R111,2,2)),0)&lt;SG_Criteria!$B$19),"FAIL: grade below C"&amp;SG_Criteria!$B$19&amp;". ","")&amp;IF(AND(S111&lt;&gt;"",S111&lt;SG_Criteria!$B$20),"FAIL: cover &lt; "&amp;SG_Criteria!$B$20&amp;" mm. ","")&amp;IF(AND(W111&lt;&gt;"",W111&lt;1),"FAIL: sliding. ","")&amp;IF(AND(C111="Reverse L-Wall (toe only, at boundary)",N(O111)&gt;0),"NOTE: reverse L-wall should have no heel. ","")&amp;IF(AND(C111="L-Wall (heel only)",N(N111)&gt;0),"NOTE: L-wall should have no toe. ","")&amp;IF(AND(E111&lt;&gt;"",E111&lt;SG_Criteria!$B$31),"NOTE: q below LTA min "&amp;SG_Criteria!$B$31&amp;" kPa (not for LTA works). ","")))</f>
        <v/>
      </c>
      <c r="AU111" s="9"/>
      <c r="AV111" s="9"/>
      <c r="AW111" s="9"/>
      <c r="AX111" s="9"/>
      <c r="AY111" s="9"/>
      <c r="AZ111" s="31"/>
      <c r="BA111" s="10" t="str">
        <f aca="false">IF(C111="","",IF(AND(AB111="Approved",ISERROR(SEARCH("FAIL",AT111))),"Y","N"))</f>
        <v/>
      </c>
      <c r="BB111" s="10" t="str">
        <f aca="false">IF(C111="","",C111&amp;"|"&amp;D111&amp;"|"&amp;E111&amp;"|"&amp;F111&amp;"|"&amp;BA111)</f>
        <v/>
      </c>
    </row>
    <row r="112" customFormat="false" ht="15" hidden="false" customHeight="false" outlineLevel="0" collapsed="false">
      <c r="A112" s="10" t="str">
        <f aca="false">IF(C112="","","RW-"&amp;IFERROR(VLOOKUP(C112,Lists!$M$4:$N$22,2,0),"??")&amp;"-H"&amp;TEXT(D112*1000,"0000")&amp;"-S"&amp;E112&amp;IF(F112="Y","-GW","")&amp;"-"&amp;AA112)</f>
        <v/>
      </c>
      <c r="B112" s="10" t="str">
        <f aca="false">IF(C112="","",C112&amp;", H = "&amp;TEXT(D112,"0.0")&amp;" m, q = "&amp;E112&amp;" kPa"&amp;IF(F112="Y",", with GWT","")&amp;", "&amp;H112)</f>
        <v/>
      </c>
      <c r="C112" s="9"/>
      <c r="D112" s="41"/>
      <c r="E112" s="40"/>
      <c r="F112" s="9"/>
      <c r="G112" s="40"/>
      <c r="H112" s="9"/>
      <c r="I112" s="40"/>
      <c r="J112" s="43"/>
      <c r="K112" s="40"/>
      <c r="L112" s="40"/>
      <c r="M112" s="40"/>
      <c r="N112" s="40"/>
      <c r="O112" s="40"/>
      <c r="P112" s="40"/>
      <c r="Q112" s="9"/>
      <c r="R112" s="9"/>
      <c r="S112" s="40"/>
      <c r="T112" s="9"/>
      <c r="U112" s="9"/>
      <c r="V112" s="9"/>
      <c r="W112" s="41"/>
      <c r="X112" s="41"/>
      <c r="Y112" s="40"/>
      <c r="Z112" s="9"/>
      <c r="AA112" s="9"/>
      <c r="AB112" s="9"/>
      <c r="AC112" s="9"/>
      <c r="AD112" s="9"/>
      <c r="AE112" s="9"/>
      <c r="AF112" s="10" t="str">
        <f aca="false">IF(A112="","",SG_Criteria!$B$6&amp;SG_Criteria!$B$8&amp;"\"&amp;A112&amp;"\")</f>
        <v/>
      </c>
      <c r="AG112" s="10" t="str">
        <f aca="false">IF(A112="","",A112&amp;"_CAD.dwg")</f>
        <v/>
      </c>
      <c r="AH112" s="10" t="str">
        <f aca="false">IF(A112="","",A112&amp;"_DWG.pdf")</f>
        <v/>
      </c>
      <c r="AI112" s="10" t="str">
        <f aca="false">IF(A112="","",IF(AE112="Y",A112&amp;"_STAAD.std","n/a"))</f>
        <v/>
      </c>
      <c r="AJ112" s="10" t="str">
        <f aca="false">IF(A112="","",A112&amp;"_CALC.xlsx")</f>
        <v/>
      </c>
      <c r="AK112" s="10" t="str">
        <f aca="false">IF(A112="","",A112&amp;"_CALC.pdf")</f>
        <v/>
      </c>
      <c r="AL112" s="9"/>
      <c r="AM112" s="9"/>
      <c r="AN112" s="41"/>
      <c r="AO112" s="41"/>
      <c r="AP112" s="41"/>
      <c r="AQ112" s="41"/>
      <c r="AR112" s="41"/>
      <c r="AS112" s="38" t="str">
        <f aca="false">IF(OR(C112="",D112=""),"",IF(D112&lt;=IF(OR(C112="Block / Segmental",C112="Gabion",C112="Reinforced Earth (MSE)"),SG_Criteria!$B$34,SG_Criteria!$B$33),"No ERSS submission",IF(D112&lt;=SG_Criteria!$B$35,"QP(ST)",IF(D112&lt;=SG_Criteria!$B$36,"QP(ST) + AC","Geotechnical building works: QP(Geo) + AC"))))</f>
        <v/>
      </c>
      <c r="AT112" s="38" t="str">
        <f aca="false">IF(C112="","",IF(LEN(IF(AND(R112&lt;&gt;"",IFERROR(VALUE(MID(R112,2,2)),0)&lt;SG_Criteria!$B$19),"FAIL: grade below C"&amp;SG_Criteria!$B$19&amp;". ","")&amp;IF(AND(S112&lt;&gt;"",S112&lt;SG_Criteria!$B$20),"FAIL: cover &lt; "&amp;SG_Criteria!$B$20&amp;" mm. ","")&amp;IF(AND(W112&lt;&gt;"",W112&lt;1),"FAIL: sliding. ","")&amp;IF(AND(C112="Reverse L-Wall (toe only, at boundary)",N(O112)&gt;0),"NOTE: reverse L-wall should have no heel. ","")&amp;IF(AND(C112="L-Wall (heel only)",N(N112)&gt;0),"NOTE: L-wall should have no toe. ","")&amp;IF(AND(E112&lt;&gt;"",E112&lt;SG_Criteria!$B$31),"NOTE: q below LTA min "&amp;SG_Criteria!$B$31&amp;" kPa (not for LTA works). ",""))=0,"OK",IF(AND(R112&lt;&gt;"",IFERROR(VALUE(MID(R112,2,2)),0)&lt;SG_Criteria!$B$19),"FAIL: grade below C"&amp;SG_Criteria!$B$19&amp;". ","")&amp;IF(AND(S112&lt;&gt;"",S112&lt;SG_Criteria!$B$20),"FAIL: cover &lt; "&amp;SG_Criteria!$B$20&amp;" mm. ","")&amp;IF(AND(W112&lt;&gt;"",W112&lt;1),"FAIL: sliding. ","")&amp;IF(AND(C112="Reverse L-Wall (toe only, at boundary)",N(O112)&gt;0),"NOTE: reverse L-wall should have no heel. ","")&amp;IF(AND(C112="L-Wall (heel only)",N(N112)&gt;0),"NOTE: L-wall should have no toe. ","")&amp;IF(AND(E112&lt;&gt;"",E112&lt;SG_Criteria!$B$31),"NOTE: q below LTA min "&amp;SG_Criteria!$B$31&amp;" kPa (not for LTA works). ","")))</f>
        <v/>
      </c>
      <c r="AU112" s="9"/>
      <c r="AV112" s="9"/>
      <c r="AW112" s="9"/>
      <c r="AX112" s="9"/>
      <c r="AY112" s="9"/>
      <c r="AZ112" s="31"/>
      <c r="BA112" s="10" t="str">
        <f aca="false">IF(C112="","",IF(AND(AB112="Approved",ISERROR(SEARCH("FAIL",AT112))),"Y","N"))</f>
        <v/>
      </c>
      <c r="BB112" s="10" t="str">
        <f aca="false">IF(C112="","",C112&amp;"|"&amp;D112&amp;"|"&amp;E112&amp;"|"&amp;F112&amp;"|"&amp;BA112)</f>
        <v/>
      </c>
    </row>
    <row r="113" customFormat="false" ht="15" hidden="false" customHeight="false" outlineLevel="0" collapsed="false">
      <c r="A113" s="10" t="str">
        <f aca="false">IF(C113="","","RW-"&amp;IFERROR(VLOOKUP(C113,Lists!$M$4:$N$22,2,0),"??")&amp;"-H"&amp;TEXT(D113*1000,"0000")&amp;"-S"&amp;E113&amp;IF(F113="Y","-GW","")&amp;"-"&amp;AA113)</f>
        <v/>
      </c>
      <c r="B113" s="10" t="str">
        <f aca="false">IF(C113="","",C113&amp;", H = "&amp;TEXT(D113,"0.0")&amp;" m, q = "&amp;E113&amp;" kPa"&amp;IF(F113="Y",", with GWT","")&amp;", "&amp;H113)</f>
        <v/>
      </c>
      <c r="C113" s="9"/>
      <c r="D113" s="41"/>
      <c r="E113" s="40"/>
      <c r="F113" s="9"/>
      <c r="G113" s="40"/>
      <c r="H113" s="9"/>
      <c r="I113" s="40"/>
      <c r="J113" s="43"/>
      <c r="K113" s="40"/>
      <c r="L113" s="40"/>
      <c r="M113" s="40"/>
      <c r="N113" s="40"/>
      <c r="O113" s="40"/>
      <c r="P113" s="40"/>
      <c r="Q113" s="9"/>
      <c r="R113" s="9"/>
      <c r="S113" s="40"/>
      <c r="T113" s="9"/>
      <c r="U113" s="9"/>
      <c r="V113" s="9"/>
      <c r="W113" s="41"/>
      <c r="X113" s="41"/>
      <c r="Y113" s="40"/>
      <c r="Z113" s="9"/>
      <c r="AA113" s="9"/>
      <c r="AB113" s="9"/>
      <c r="AC113" s="9"/>
      <c r="AD113" s="9"/>
      <c r="AE113" s="9"/>
      <c r="AF113" s="10" t="str">
        <f aca="false">IF(A113="","",SG_Criteria!$B$6&amp;SG_Criteria!$B$8&amp;"\"&amp;A113&amp;"\")</f>
        <v/>
      </c>
      <c r="AG113" s="10" t="str">
        <f aca="false">IF(A113="","",A113&amp;"_CAD.dwg")</f>
        <v/>
      </c>
      <c r="AH113" s="10" t="str">
        <f aca="false">IF(A113="","",A113&amp;"_DWG.pdf")</f>
        <v/>
      </c>
      <c r="AI113" s="10" t="str">
        <f aca="false">IF(A113="","",IF(AE113="Y",A113&amp;"_STAAD.std","n/a"))</f>
        <v/>
      </c>
      <c r="AJ113" s="10" t="str">
        <f aca="false">IF(A113="","",A113&amp;"_CALC.xlsx")</f>
        <v/>
      </c>
      <c r="AK113" s="10" t="str">
        <f aca="false">IF(A113="","",A113&amp;"_CALC.pdf")</f>
        <v/>
      </c>
      <c r="AL113" s="9"/>
      <c r="AM113" s="9"/>
      <c r="AN113" s="41"/>
      <c r="AO113" s="41"/>
      <c r="AP113" s="41"/>
      <c r="AQ113" s="41"/>
      <c r="AR113" s="41"/>
      <c r="AS113" s="38" t="str">
        <f aca="false">IF(OR(C113="",D113=""),"",IF(D113&lt;=IF(OR(C113="Block / Segmental",C113="Gabion",C113="Reinforced Earth (MSE)"),SG_Criteria!$B$34,SG_Criteria!$B$33),"No ERSS submission",IF(D113&lt;=SG_Criteria!$B$35,"QP(ST)",IF(D113&lt;=SG_Criteria!$B$36,"QP(ST) + AC","Geotechnical building works: QP(Geo) + AC"))))</f>
        <v/>
      </c>
      <c r="AT113" s="38" t="str">
        <f aca="false">IF(C113="","",IF(LEN(IF(AND(R113&lt;&gt;"",IFERROR(VALUE(MID(R113,2,2)),0)&lt;SG_Criteria!$B$19),"FAIL: grade below C"&amp;SG_Criteria!$B$19&amp;". ","")&amp;IF(AND(S113&lt;&gt;"",S113&lt;SG_Criteria!$B$20),"FAIL: cover &lt; "&amp;SG_Criteria!$B$20&amp;" mm. ","")&amp;IF(AND(W113&lt;&gt;"",W113&lt;1),"FAIL: sliding. ","")&amp;IF(AND(C113="Reverse L-Wall (toe only, at boundary)",N(O113)&gt;0),"NOTE: reverse L-wall should have no heel. ","")&amp;IF(AND(C113="L-Wall (heel only)",N(N113)&gt;0),"NOTE: L-wall should have no toe. ","")&amp;IF(AND(E113&lt;&gt;"",E113&lt;SG_Criteria!$B$31),"NOTE: q below LTA min "&amp;SG_Criteria!$B$31&amp;" kPa (not for LTA works). ",""))=0,"OK",IF(AND(R113&lt;&gt;"",IFERROR(VALUE(MID(R113,2,2)),0)&lt;SG_Criteria!$B$19),"FAIL: grade below C"&amp;SG_Criteria!$B$19&amp;". ","")&amp;IF(AND(S113&lt;&gt;"",S113&lt;SG_Criteria!$B$20),"FAIL: cover &lt; "&amp;SG_Criteria!$B$20&amp;" mm. ","")&amp;IF(AND(W113&lt;&gt;"",W113&lt;1),"FAIL: sliding. ","")&amp;IF(AND(C113="Reverse L-Wall (toe only, at boundary)",N(O113)&gt;0),"NOTE: reverse L-wall should have no heel. ","")&amp;IF(AND(C113="L-Wall (heel only)",N(N113)&gt;0),"NOTE: L-wall should have no toe. ","")&amp;IF(AND(E113&lt;&gt;"",E113&lt;SG_Criteria!$B$31),"NOTE: q below LTA min "&amp;SG_Criteria!$B$31&amp;" kPa (not for LTA works). ","")))</f>
        <v/>
      </c>
      <c r="AU113" s="9"/>
      <c r="AV113" s="9"/>
      <c r="AW113" s="9"/>
      <c r="AX113" s="9"/>
      <c r="AY113" s="9"/>
      <c r="AZ113" s="31"/>
      <c r="BA113" s="10" t="str">
        <f aca="false">IF(C113="","",IF(AND(AB113="Approved",ISERROR(SEARCH("FAIL",AT113))),"Y","N"))</f>
        <v/>
      </c>
      <c r="BB113" s="10" t="str">
        <f aca="false">IF(C113="","",C113&amp;"|"&amp;D113&amp;"|"&amp;E113&amp;"|"&amp;F113&amp;"|"&amp;BA113)</f>
        <v/>
      </c>
    </row>
    <row r="114" customFormat="false" ht="15" hidden="false" customHeight="false" outlineLevel="0" collapsed="false">
      <c r="A114" s="10" t="str">
        <f aca="false">IF(C114="","","RW-"&amp;IFERROR(VLOOKUP(C114,Lists!$M$4:$N$22,2,0),"??")&amp;"-H"&amp;TEXT(D114*1000,"0000")&amp;"-S"&amp;E114&amp;IF(F114="Y","-GW","")&amp;"-"&amp;AA114)</f>
        <v/>
      </c>
      <c r="B114" s="10" t="str">
        <f aca="false">IF(C114="","",C114&amp;", H = "&amp;TEXT(D114,"0.0")&amp;" m, q = "&amp;E114&amp;" kPa"&amp;IF(F114="Y",", with GWT","")&amp;", "&amp;H114)</f>
        <v/>
      </c>
      <c r="C114" s="9"/>
      <c r="D114" s="41"/>
      <c r="E114" s="40"/>
      <c r="F114" s="9"/>
      <c r="G114" s="40"/>
      <c r="H114" s="9"/>
      <c r="I114" s="40"/>
      <c r="J114" s="43"/>
      <c r="K114" s="40"/>
      <c r="L114" s="40"/>
      <c r="M114" s="40"/>
      <c r="N114" s="40"/>
      <c r="O114" s="40"/>
      <c r="P114" s="40"/>
      <c r="Q114" s="9"/>
      <c r="R114" s="9"/>
      <c r="S114" s="40"/>
      <c r="T114" s="9"/>
      <c r="U114" s="9"/>
      <c r="V114" s="9"/>
      <c r="W114" s="41"/>
      <c r="X114" s="41"/>
      <c r="Y114" s="40"/>
      <c r="Z114" s="9"/>
      <c r="AA114" s="9"/>
      <c r="AB114" s="9"/>
      <c r="AC114" s="9"/>
      <c r="AD114" s="9"/>
      <c r="AE114" s="9"/>
      <c r="AF114" s="10" t="str">
        <f aca="false">IF(A114="","",SG_Criteria!$B$6&amp;SG_Criteria!$B$8&amp;"\"&amp;A114&amp;"\")</f>
        <v/>
      </c>
      <c r="AG114" s="10" t="str">
        <f aca="false">IF(A114="","",A114&amp;"_CAD.dwg")</f>
        <v/>
      </c>
      <c r="AH114" s="10" t="str">
        <f aca="false">IF(A114="","",A114&amp;"_DWG.pdf")</f>
        <v/>
      </c>
      <c r="AI114" s="10" t="str">
        <f aca="false">IF(A114="","",IF(AE114="Y",A114&amp;"_STAAD.std","n/a"))</f>
        <v/>
      </c>
      <c r="AJ114" s="10" t="str">
        <f aca="false">IF(A114="","",A114&amp;"_CALC.xlsx")</f>
        <v/>
      </c>
      <c r="AK114" s="10" t="str">
        <f aca="false">IF(A114="","",A114&amp;"_CALC.pdf")</f>
        <v/>
      </c>
      <c r="AL114" s="9"/>
      <c r="AM114" s="9"/>
      <c r="AN114" s="41"/>
      <c r="AO114" s="41"/>
      <c r="AP114" s="41"/>
      <c r="AQ114" s="41"/>
      <c r="AR114" s="41"/>
      <c r="AS114" s="38" t="str">
        <f aca="false">IF(OR(C114="",D114=""),"",IF(D114&lt;=IF(OR(C114="Block / Segmental",C114="Gabion",C114="Reinforced Earth (MSE)"),SG_Criteria!$B$34,SG_Criteria!$B$33),"No ERSS submission",IF(D114&lt;=SG_Criteria!$B$35,"QP(ST)",IF(D114&lt;=SG_Criteria!$B$36,"QP(ST) + AC","Geotechnical building works: QP(Geo) + AC"))))</f>
        <v/>
      </c>
      <c r="AT114" s="38" t="str">
        <f aca="false">IF(C114="","",IF(LEN(IF(AND(R114&lt;&gt;"",IFERROR(VALUE(MID(R114,2,2)),0)&lt;SG_Criteria!$B$19),"FAIL: grade below C"&amp;SG_Criteria!$B$19&amp;". ","")&amp;IF(AND(S114&lt;&gt;"",S114&lt;SG_Criteria!$B$20),"FAIL: cover &lt; "&amp;SG_Criteria!$B$20&amp;" mm. ","")&amp;IF(AND(W114&lt;&gt;"",W114&lt;1),"FAIL: sliding. ","")&amp;IF(AND(C114="Reverse L-Wall (toe only, at boundary)",N(O114)&gt;0),"NOTE: reverse L-wall should have no heel. ","")&amp;IF(AND(C114="L-Wall (heel only)",N(N114)&gt;0),"NOTE: L-wall should have no toe. ","")&amp;IF(AND(E114&lt;&gt;"",E114&lt;SG_Criteria!$B$31),"NOTE: q below LTA min "&amp;SG_Criteria!$B$31&amp;" kPa (not for LTA works). ",""))=0,"OK",IF(AND(R114&lt;&gt;"",IFERROR(VALUE(MID(R114,2,2)),0)&lt;SG_Criteria!$B$19),"FAIL: grade below C"&amp;SG_Criteria!$B$19&amp;". ","")&amp;IF(AND(S114&lt;&gt;"",S114&lt;SG_Criteria!$B$20),"FAIL: cover &lt; "&amp;SG_Criteria!$B$20&amp;" mm. ","")&amp;IF(AND(W114&lt;&gt;"",W114&lt;1),"FAIL: sliding. ","")&amp;IF(AND(C114="Reverse L-Wall (toe only, at boundary)",N(O114)&gt;0),"NOTE: reverse L-wall should have no heel. ","")&amp;IF(AND(C114="L-Wall (heel only)",N(N114)&gt;0),"NOTE: L-wall should have no toe. ","")&amp;IF(AND(E114&lt;&gt;"",E114&lt;SG_Criteria!$B$31),"NOTE: q below LTA min "&amp;SG_Criteria!$B$31&amp;" kPa (not for LTA works). ","")))</f>
        <v/>
      </c>
      <c r="AU114" s="9"/>
      <c r="AV114" s="9"/>
      <c r="AW114" s="9"/>
      <c r="AX114" s="9"/>
      <c r="AY114" s="9"/>
      <c r="AZ114" s="31"/>
      <c r="BA114" s="10" t="str">
        <f aca="false">IF(C114="","",IF(AND(AB114="Approved",ISERROR(SEARCH("FAIL",AT114))),"Y","N"))</f>
        <v/>
      </c>
      <c r="BB114" s="10" t="str">
        <f aca="false">IF(C114="","",C114&amp;"|"&amp;D114&amp;"|"&amp;E114&amp;"|"&amp;F114&amp;"|"&amp;BA114)</f>
        <v/>
      </c>
    </row>
    <row r="115" customFormat="false" ht="15" hidden="false" customHeight="false" outlineLevel="0" collapsed="false">
      <c r="A115" s="10" t="str">
        <f aca="false">IF(C115="","","RW-"&amp;IFERROR(VLOOKUP(C115,Lists!$M$4:$N$22,2,0),"??")&amp;"-H"&amp;TEXT(D115*1000,"0000")&amp;"-S"&amp;E115&amp;IF(F115="Y","-GW","")&amp;"-"&amp;AA115)</f>
        <v/>
      </c>
      <c r="B115" s="10" t="str">
        <f aca="false">IF(C115="","",C115&amp;", H = "&amp;TEXT(D115,"0.0")&amp;" m, q = "&amp;E115&amp;" kPa"&amp;IF(F115="Y",", with GWT","")&amp;", "&amp;H115)</f>
        <v/>
      </c>
      <c r="C115" s="9"/>
      <c r="D115" s="41"/>
      <c r="E115" s="40"/>
      <c r="F115" s="9"/>
      <c r="G115" s="40"/>
      <c r="H115" s="9"/>
      <c r="I115" s="40"/>
      <c r="J115" s="43"/>
      <c r="K115" s="40"/>
      <c r="L115" s="40"/>
      <c r="M115" s="40"/>
      <c r="N115" s="40"/>
      <c r="O115" s="40"/>
      <c r="P115" s="40"/>
      <c r="Q115" s="9"/>
      <c r="R115" s="9"/>
      <c r="S115" s="40"/>
      <c r="T115" s="9"/>
      <c r="U115" s="9"/>
      <c r="V115" s="9"/>
      <c r="W115" s="41"/>
      <c r="X115" s="41"/>
      <c r="Y115" s="40"/>
      <c r="Z115" s="9"/>
      <c r="AA115" s="9"/>
      <c r="AB115" s="9"/>
      <c r="AC115" s="9"/>
      <c r="AD115" s="9"/>
      <c r="AE115" s="9"/>
      <c r="AF115" s="10" t="str">
        <f aca="false">IF(A115="","",SG_Criteria!$B$6&amp;SG_Criteria!$B$8&amp;"\"&amp;A115&amp;"\")</f>
        <v/>
      </c>
      <c r="AG115" s="10" t="str">
        <f aca="false">IF(A115="","",A115&amp;"_CAD.dwg")</f>
        <v/>
      </c>
      <c r="AH115" s="10" t="str">
        <f aca="false">IF(A115="","",A115&amp;"_DWG.pdf")</f>
        <v/>
      </c>
      <c r="AI115" s="10" t="str">
        <f aca="false">IF(A115="","",IF(AE115="Y",A115&amp;"_STAAD.std","n/a"))</f>
        <v/>
      </c>
      <c r="AJ115" s="10" t="str">
        <f aca="false">IF(A115="","",A115&amp;"_CALC.xlsx")</f>
        <v/>
      </c>
      <c r="AK115" s="10" t="str">
        <f aca="false">IF(A115="","",A115&amp;"_CALC.pdf")</f>
        <v/>
      </c>
      <c r="AL115" s="9"/>
      <c r="AM115" s="9"/>
      <c r="AN115" s="41"/>
      <c r="AO115" s="41"/>
      <c r="AP115" s="41"/>
      <c r="AQ115" s="41"/>
      <c r="AR115" s="41"/>
      <c r="AS115" s="38" t="str">
        <f aca="false">IF(OR(C115="",D115=""),"",IF(D115&lt;=IF(OR(C115="Block / Segmental",C115="Gabion",C115="Reinforced Earth (MSE)"),SG_Criteria!$B$34,SG_Criteria!$B$33),"No ERSS submission",IF(D115&lt;=SG_Criteria!$B$35,"QP(ST)",IF(D115&lt;=SG_Criteria!$B$36,"QP(ST) + AC","Geotechnical building works: QP(Geo) + AC"))))</f>
        <v/>
      </c>
      <c r="AT115" s="38" t="str">
        <f aca="false">IF(C115="","",IF(LEN(IF(AND(R115&lt;&gt;"",IFERROR(VALUE(MID(R115,2,2)),0)&lt;SG_Criteria!$B$19),"FAIL: grade below C"&amp;SG_Criteria!$B$19&amp;". ","")&amp;IF(AND(S115&lt;&gt;"",S115&lt;SG_Criteria!$B$20),"FAIL: cover &lt; "&amp;SG_Criteria!$B$20&amp;" mm. ","")&amp;IF(AND(W115&lt;&gt;"",W115&lt;1),"FAIL: sliding. ","")&amp;IF(AND(C115="Reverse L-Wall (toe only, at boundary)",N(O115)&gt;0),"NOTE: reverse L-wall should have no heel. ","")&amp;IF(AND(C115="L-Wall (heel only)",N(N115)&gt;0),"NOTE: L-wall should have no toe. ","")&amp;IF(AND(E115&lt;&gt;"",E115&lt;SG_Criteria!$B$31),"NOTE: q below LTA min "&amp;SG_Criteria!$B$31&amp;" kPa (not for LTA works). ",""))=0,"OK",IF(AND(R115&lt;&gt;"",IFERROR(VALUE(MID(R115,2,2)),0)&lt;SG_Criteria!$B$19),"FAIL: grade below C"&amp;SG_Criteria!$B$19&amp;". ","")&amp;IF(AND(S115&lt;&gt;"",S115&lt;SG_Criteria!$B$20),"FAIL: cover &lt; "&amp;SG_Criteria!$B$20&amp;" mm. ","")&amp;IF(AND(W115&lt;&gt;"",W115&lt;1),"FAIL: sliding. ","")&amp;IF(AND(C115="Reverse L-Wall (toe only, at boundary)",N(O115)&gt;0),"NOTE: reverse L-wall should have no heel. ","")&amp;IF(AND(C115="L-Wall (heel only)",N(N115)&gt;0),"NOTE: L-wall should have no toe. ","")&amp;IF(AND(E115&lt;&gt;"",E115&lt;SG_Criteria!$B$31),"NOTE: q below LTA min "&amp;SG_Criteria!$B$31&amp;" kPa (not for LTA works). ","")))</f>
        <v/>
      </c>
      <c r="AU115" s="9"/>
      <c r="AV115" s="9"/>
      <c r="AW115" s="9"/>
      <c r="AX115" s="9"/>
      <c r="AY115" s="9"/>
      <c r="AZ115" s="31"/>
      <c r="BA115" s="10" t="str">
        <f aca="false">IF(C115="","",IF(AND(AB115="Approved",ISERROR(SEARCH("FAIL",AT115))),"Y","N"))</f>
        <v/>
      </c>
      <c r="BB115" s="10" t="str">
        <f aca="false">IF(C115="","",C115&amp;"|"&amp;D115&amp;"|"&amp;E115&amp;"|"&amp;F115&amp;"|"&amp;BA115)</f>
        <v/>
      </c>
    </row>
    <row r="116" customFormat="false" ht="15" hidden="false" customHeight="false" outlineLevel="0" collapsed="false">
      <c r="A116" s="10" t="str">
        <f aca="false">IF(C116="","","RW-"&amp;IFERROR(VLOOKUP(C116,Lists!$M$4:$N$22,2,0),"??")&amp;"-H"&amp;TEXT(D116*1000,"0000")&amp;"-S"&amp;E116&amp;IF(F116="Y","-GW","")&amp;"-"&amp;AA116)</f>
        <v/>
      </c>
      <c r="B116" s="10" t="str">
        <f aca="false">IF(C116="","",C116&amp;", H = "&amp;TEXT(D116,"0.0")&amp;" m, q = "&amp;E116&amp;" kPa"&amp;IF(F116="Y",", with GWT","")&amp;", "&amp;H116)</f>
        <v/>
      </c>
      <c r="C116" s="9"/>
      <c r="D116" s="41"/>
      <c r="E116" s="40"/>
      <c r="F116" s="9"/>
      <c r="G116" s="40"/>
      <c r="H116" s="9"/>
      <c r="I116" s="40"/>
      <c r="J116" s="43"/>
      <c r="K116" s="40"/>
      <c r="L116" s="40"/>
      <c r="M116" s="40"/>
      <c r="N116" s="40"/>
      <c r="O116" s="40"/>
      <c r="P116" s="40"/>
      <c r="Q116" s="9"/>
      <c r="R116" s="9"/>
      <c r="S116" s="40"/>
      <c r="T116" s="9"/>
      <c r="U116" s="9"/>
      <c r="V116" s="9"/>
      <c r="W116" s="41"/>
      <c r="X116" s="41"/>
      <c r="Y116" s="40"/>
      <c r="Z116" s="9"/>
      <c r="AA116" s="9"/>
      <c r="AB116" s="9"/>
      <c r="AC116" s="9"/>
      <c r="AD116" s="9"/>
      <c r="AE116" s="9"/>
      <c r="AF116" s="10" t="str">
        <f aca="false">IF(A116="","",SG_Criteria!$B$6&amp;SG_Criteria!$B$8&amp;"\"&amp;A116&amp;"\")</f>
        <v/>
      </c>
      <c r="AG116" s="10" t="str">
        <f aca="false">IF(A116="","",A116&amp;"_CAD.dwg")</f>
        <v/>
      </c>
      <c r="AH116" s="10" t="str">
        <f aca="false">IF(A116="","",A116&amp;"_DWG.pdf")</f>
        <v/>
      </c>
      <c r="AI116" s="10" t="str">
        <f aca="false">IF(A116="","",IF(AE116="Y",A116&amp;"_STAAD.std","n/a"))</f>
        <v/>
      </c>
      <c r="AJ116" s="10" t="str">
        <f aca="false">IF(A116="","",A116&amp;"_CALC.xlsx")</f>
        <v/>
      </c>
      <c r="AK116" s="10" t="str">
        <f aca="false">IF(A116="","",A116&amp;"_CALC.pdf")</f>
        <v/>
      </c>
      <c r="AL116" s="9"/>
      <c r="AM116" s="9"/>
      <c r="AN116" s="41"/>
      <c r="AO116" s="41"/>
      <c r="AP116" s="41"/>
      <c r="AQ116" s="41"/>
      <c r="AR116" s="41"/>
      <c r="AS116" s="38" t="str">
        <f aca="false">IF(OR(C116="",D116=""),"",IF(D116&lt;=IF(OR(C116="Block / Segmental",C116="Gabion",C116="Reinforced Earth (MSE)"),SG_Criteria!$B$34,SG_Criteria!$B$33),"No ERSS submission",IF(D116&lt;=SG_Criteria!$B$35,"QP(ST)",IF(D116&lt;=SG_Criteria!$B$36,"QP(ST) + AC","Geotechnical building works: QP(Geo) + AC"))))</f>
        <v/>
      </c>
      <c r="AT116" s="38" t="str">
        <f aca="false">IF(C116="","",IF(LEN(IF(AND(R116&lt;&gt;"",IFERROR(VALUE(MID(R116,2,2)),0)&lt;SG_Criteria!$B$19),"FAIL: grade below C"&amp;SG_Criteria!$B$19&amp;". ","")&amp;IF(AND(S116&lt;&gt;"",S116&lt;SG_Criteria!$B$20),"FAIL: cover &lt; "&amp;SG_Criteria!$B$20&amp;" mm. ","")&amp;IF(AND(W116&lt;&gt;"",W116&lt;1),"FAIL: sliding. ","")&amp;IF(AND(C116="Reverse L-Wall (toe only, at boundary)",N(O116)&gt;0),"NOTE: reverse L-wall should have no heel. ","")&amp;IF(AND(C116="L-Wall (heel only)",N(N116)&gt;0),"NOTE: L-wall should have no toe. ","")&amp;IF(AND(E116&lt;&gt;"",E116&lt;SG_Criteria!$B$31),"NOTE: q below LTA min "&amp;SG_Criteria!$B$31&amp;" kPa (not for LTA works). ",""))=0,"OK",IF(AND(R116&lt;&gt;"",IFERROR(VALUE(MID(R116,2,2)),0)&lt;SG_Criteria!$B$19),"FAIL: grade below C"&amp;SG_Criteria!$B$19&amp;". ","")&amp;IF(AND(S116&lt;&gt;"",S116&lt;SG_Criteria!$B$20),"FAIL: cover &lt; "&amp;SG_Criteria!$B$20&amp;" mm. ","")&amp;IF(AND(W116&lt;&gt;"",W116&lt;1),"FAIL: sliding. ","")&amp;IF(AND(C116="Reverse L-Wall (toe only, at boundary)",N(O116)&gt;0),"NOTE: reverse L-wall should have no heel. ","")&amp;IF(AND(C116="L-Wall (heel only)",N(N116)&gt;0),"NOTE: L-wall should have no toe. ","")&amp;IF(AND(E116&lt;&gt;"",E116&lt;SG_Criteria!$B$31),"NOTE: q below LTA min "&amp;SG_Criteria!$B$31&amp;" kPa (not for LTA works). ","")))</f>
        <v/>
      </c>
      <c r="AU116" s="9"/>
      <c r="AV116" s="9"/>
      <c r="AW116" s="9"/>
      <c r="AX116" s="9"/>
      <c r="AY116" s="9"/>
      <c r="AZ116" s="31"/>
      <c r="BA116" s="10" t="str">
        <f aca="false">IF(C116="","",IF(AND(AB116="Approved",ISERROR(SEARCH("FAIL",AT116))),"Y","N"))</f>
        <v/>
      </c>
      <c r="BB116" s="10" t="str">
        <f aca="false">IF(C116="","",C116&amp;"|"&amp;D116&amp;"|"&amp;E116&amp;"|"&amp;F116&amp;"|"&amp;BA116)</f>
        <v/>
      </c>
    </row>
    <row r="117" customFormat="false" ht="15" hidden="false" customHeight="false" outlineLevel="0" collapsed="false">
      <c r="A117" s="10" t="str">
        <f aca="false">IF(C117="","","RW-"&amp;IFERROR(VLOOKUP(C117,Lists!$M$4:$N$22,2,0),"??")&amp;"-H"&amp;TEXT(D117*1000,"0000")&amp;"-S"&amp;E117&amp;IF(F117="Y","-GW","")&amp;"-"&amp;AA117)</f>
        <v/>
      </c>
      <c r="B117" s="10" t="str">
        <f aca="false">IF(C117="","",C117&amp;", H = "&amp;TEXT(D117,"0.0")&amp;" m, q = "&amp;E117&amp;" kPa"&amp;IF(F117="Y",", with GWT","")&amp;", "&amp;H117)</f>
        <v/>
      </c>
      <c r="C117" s="9"/>
      <c r="D117" s="41"/>
      <c r="E117" s="40"/>
      <c r="F117" s="9"/>
      <c r="G117" s="40"/>
      <c r="H117" s="9"/>
      <c r="I117" s="40"/>
      <c r="J117" s="43"/>
      <c r="K117" s="40"/>
      <c r="L117" s="40"/>
      <c r="M117" s="40"/>
      <c r="N117" s="40"/>
      <c r="O117" s="40"/>
      <c r="P117" s="40"/>
      <c r="Q117" s="9"/>
      <c r="R117" s="9"/>
      <c r="S117" s="40"/>
      <c r="T117" s="9"/>
      <c r="U117" s="9"/>
      <c r="V117" s="9"/>
      <c r="W117" s="41"/>
      <c r="X117" s="41"/>
      <c r="Y117" s="40"/>
      <c r="Z117" s="9"/>
      <c r="AA117" s="9"/>
      <c r="AB117" s="9"/>
      <c r="AC117" s="9"/>
      <c r="AD117" s="9"/>
      <c r="AE117" s="9"/>
      <c r="AF117" s="10" t="str">
        <f aca="false">IF(A117="","",SG_Criteria!$B$6&amp;SG_Criteria!$B$8&amp;"\"&amp;A117&amp;"\")</f>
        <v/>
      </c>
      <c r="AG117" s="10" t="str">
        <f aca="false">IF(A117="","",A117&amp;"_CAD.dwg")</f>
        <v/>
      </c>
      <c r="AH117" s="10" t="str">
        <f aca="false">IF(A117="","",A117&amp;"_DWG.pdf")</f>
        <v/>
      </c>
      <c r="AI117" s="10" t="str">
        <f aca="false">IF(A117="","",IF(AE117="Y",A117&amp;"_STAAD.std","n/a"))</f>
        <v/>
      </c>
      <c r="AJ117" s="10" t="str">
        <f aca="false">IF(A117="","",A117&amp;"_CALC.xlsx")</f>
        <v/>
      </c>
      <c r="AK117" s="10" t="str">
        <f aca="false">IF(A117="","",A117&amp;"_CALC.pdf")</f>
        <v/>
      </c>
      <c r="AL117" s="9"/>
      <c r="AM117" s="9"/>
      <c r="AN117" s="41"/>
      <c r="AO117" s="41"/>
      <c r="AP117" s="41"/>
      <c r="AQ117" s="41"/>
      <c r="AR117" s="41"/>
      <c r="AS117" s="38" t="str">
        <f aca="false">IF(OR(C117="",D117=""),"",IF(D117&lt;=IF(OR(C117="Block / Segmental",C117="Gabion",C117="Reinforced Earth (MSE)"),SG_Criteria!$B$34,SG_Criteria!$B$33),"No ERSS submission",IF(D117&lt;=SG_Criteria!$B$35,"QP(ST)",IF(D117&lt;=SG_Criteria!$B$36,"QP(ST) + AC","Geotechnical building works: QP(Geo) + AC"))))</f>
        <v/>
      </c>
      <c r="AT117" s="38" t="str">
        <f aca="false">IF(C117="","",IF(LEN(IF(AND(R117&lt;&gt;"",IFERROR(VALUE(MID(R117,2,2)),0)&lt;SG_Criteria!$B$19),"FAIL: grade below C"&amp;SG_Criteria!$B$19&amp;". ","")&amp;IF(AND(S117&lt;&gt;"",S117&lt;SG_Criteria!$B$20),"FAIL: cover &lt; "&amp;SG_Criteria!$B$20&amp;" mm. ","")&amp;IF(AND(W117&lt;&gt;"",W117&lt;1),"FAIL: sliding. ","")&amp;IF(AND(C117="Reverse L-Wall (toe only, at boundary)",N(O117)&gt;0),"NOTE: reverse L-wall should have no heel. ","")&amp;IF(AND(C117="L-Wall (heel only)",N(N117)&gt;0),"NOTE: L-wall should have no toe. ","")&amp;IF(AND(E117&lt;&gt;"",E117&lt;SG_Criteria!$B$31),"NOTE: q below LTA min "&amp;SG_Criteria!$B$31&amp;" kPa (not for LTA works). ",""))=0,"OK",IF(AND(R117&lt;&gt;"",IFERROR(VALUE(MID(R117,2,2)),0)&lt;SG_Criteria!$B$19),"FAIL: grade below C"&amp;SG_Criteria!$B$19&amp;". ","")&amp;IF(AND(S117&lt;&gt;"",S117&lt;SG_Criteria!$B$20),"FAIL: cover &lt; "&amp;SG_Criteria!$B$20&amp;" mm. ","")&amp;IF(AND(W117&lt;&gt;"",W117&lt;1),"FAIL: sliding. ","")&amp;IF(AND(C117="Reverse L-Wall (toe only, at boundary)",N(O117)&gt;0),"NOTE: reverse L-wall should have no heel. ","")&amp;IF(AND(C117="L-Wall (heel only)",N(N117)&gt;0),"NOTE: L-wall should have no toe. ","")&amp;IF(AND(E117&lt;&gt;"",E117&lt;SG_Criteria!$B$31),"NOTE: q below LTA min "&amp;SG_Criteria!$B$31&amp;" kPa (not for LTA works). ","")))</f>
        <v/>
      </c>
      <c r="AU117" s="9"/>
      <c r="AV117" s="9"/>
      <c r="AW117" s="9"/>
      <c r="AX117" s="9"/>
      <c r="AY117" s="9"/>
      <c r="AZ117" s="31"/>
      <c r="BA117" s="10" t="str">
        <f aca="false">IF(C117="","",IF(AND(AB117="Approved",ISERROR(SEARCH("FAIL",AT117))),"Y","N"))</f>
        <v/>
      </c>
      <c r="BB117" s="10" t="str">
        <f aca="false">IF(C117="","",C117&amp;"|"&amp;D117&amp;"|"&amp;E117&amp;"|"&amp;F117&amp;"|"&amp;BA117)</f>
        <v/>
      </c>
    </row>
    <row r="118" customFormat="false" ht="15" hidden="false" customHeight="false" outlineLevel="0" collapsed="false">
      <c r="A118" s="10" t="str">
        <f aca="false">IF(C118="","","RW-"&amp;IFERROR(VLOOKUP(C118,Lists!$M$4:$N$22,2,0),"??")&amp;"-H"&amp;TEXT(D118*1000,"0000")&amp;"-S"&amp;E118&amp;IF(F118="Y","-GW","")&amp;"-"&amp;AA118)</f>
        <v/>
      </c>
      <c r="B118" s="10" t="str">
        <f aca="false">IF(C118="","",C118&amp;", H = "&amp;TEXT(D118,"0.0")&amp;" m, q = "&amp;E118&amp;" kPa"&amp;IF(F118="Y",", with GWT","")&amp;", "&amp;H118)</f>
        <v/>
      </c>
      <c r="C118" s="9"/>
      <c r="D118" s="41"/>
      <c r="E118" s="40"/>
      <c r="F118" s="9"/>
      <c r="G118" s="40"/>
      <c r="H118" s="9"/>
      <c r="I118" s="40"/>
      <c r="J118" s="43"/>
      <c r="K118" s="40"/>
      <c r="L118" s="40"/>
      <c r="M118" s="40"/>
      <c r="N118" s="40"/>
      <c r="O118" s="40"/>
      <c r="P118" s="40"/>
      <c r="Q118" s="9"/>
      <c r="R118" s="9"/>
      <c r="S118" s="40"/>
      <c r="T118" s="9"/>
      <c r="U118" s="9"/>
      <c r="V118" s="9"/>
      <c r="W118" s="41"/>
      <c r="X118" s="41"/>
      <c r="Y118" s="40"/>
      <c r="Z118" s="9"/>
      <c r="AA118" s="9"/>
      <c r="AB118" s="9"/>
      <c r="AC118" s="9"/>
      <c r="AD118" s="9"/>
      <c r="AE118" s="9"/>
      <c r="AF118" s="10" t="str">
        <f aca="false">IF(A118="","",SG_Criteria!$B$6&amp;SG_Criteria!$B$8&amp;"\"&amp;A118&amp;"\")</f>
        <v/>
      </c>
      <c r="AG118" s="10" t="str">
        <f aca="false">IF(A118="","",A118&amp;"_CAD.dwg")</f>
        <v/>
      </c>
      <c r="AH118" s="10" t="str">
        <f aca="false">IF(A118="","",A118&amp;"_DWG.pdf")</f>
        <v/>
      </c>
      <c r="AI118" s="10" t="str">
        <f aca="false">IF(A118="","",IF(AE118="Y",A118&amp;"_STAAD.std","n/a"))</f>
        <v/>
      </c>
      <c r="AJ118" s="10" t="str">
        <f aca="false">IF(A118="","",A118&amp;"_CALC.xlsx")</f>
        <v/>
      </c>
      <c r="AK118" s="10" t="str">
        <f aca="false">IF(A118="","",A118&amp;"_CALC.pdf")</f>
        <v/>
      </c>
      <c r="AL118" s="9"/>
      <c r="AM118" s="9"/>
      <c r="AN118" s="41"/>
      <c r="AO118" s="41"/>
      <c r="AP118" s="41"/>
      <c r="AQ118" s="41"/>
      <c r="AR118" s="41"/>
      <c r="AS118" s="38" t="str">
        <f aca="false">IF(OR(C118="",D118=""),"",IF(D118&lt;=IF(OR(C118="Block / Segmental",C118="Gabion",C118="Reinforced Earth (MSE)"),SG_Criteria!$B$34,SG_Criteria!$B$33),"No ERSS submission",IF(D118&lt;=SG_Criteria!$B$35,"QP(ST)",IF(D118&lt;=SG_Criteria!$B$36,"QP(ST) + AC","Geotechnical building works: QP(Geo) + AC"))))</f>
        <v/>
      </c>
      <c r="AT118" s="38" t="str">
        <f aca="false">IF(C118="","",IF(LEN(IF(AND(R118&lt;&gt;"",IFERROR(VALUE(MID(R118,2,2)),0)&lt;SG_Criteria!$B$19),"FAIL: grade below C"&amp;SG_Criteria!$B$19&amp;". ","")&amp;IF(AND(S118&lt;&gt;"",S118&lt;SG_Criteria!$B$20),"FAIL: cover &lt; "&amp;SG_Criteria!$B$20&amp;" mm. ","")&amp;IF(AND(W118&lt;&gt;"",W118&lt;1),"FAIL: sliding. ","")&amp;IF(AND(C118="Reverse L-Wall (toe only, at boundary)",N(O118)&gt;0),"NOTE: reverse L-wall should have no heel. ","")&amp;IF(AND(C118="L-Wall (heel only)",N(N118)&gt;0),"NOTE: L-wall should have no toe. ","")&amp;IF(AND(E118&lt;&gt;"",E118&lt;SG_Criteria!$B$31),"NOTE: q below LTA min "&amp;SG_Criteria!$B$31&amp;" kPa (not for LTA works). ",""))=0,"OK",IF(AND(R118&lt;&gt;"",IFERROR(VALUE(MID(R118,2,2)),0)&lt;SG_Criteria!$B$19),"FAIL: grade below C"&amp;SG_Criteria!$B$19&amp;". ","")&amp;IF(AND(S118&lt;&gt;"",S118&lt;SG_Criteria!$B$20),"FAIL: cover &lt; "&amp;SG_Criteria!$B$20&amp;" mm. ","")&amp;IF(AND(W118&lt;&gt;"",W118&lt;1),"FAIL: sliding. ","")&amp;IF(AND(C118="Reverse L-Wall (toe only, at boundary)",N(O118)&gt;0),"NOTE: reverse L-wall should have no heel. ","")&amp;IF(AND(C118="L-Wall (heel only)",N(N118)&gt;0),"NOTE: L-wall should have no toe. ","")&amp;IF(AND(E118&lt;&gt;"",E118&lt;SG_Criteria!$B$31),"NOTE: q below LTA min "&amp;SG_Criteria!$B$31&amp;" kPa (not for LTA works). ","")))</f>
        <v/>
      </c>
      <c r="AU118" s="9"/>
      <c r="AV118" s="9"/>
      <c r="AW118" s="9"/>
      <c r="AX118" s="9"/>
      <c r="AY118" s="9"/>
      <c r="AZ118" s="31"/>
      <c r="BA118" s="10" t="str">
        <f aca="false">IF(C118="","",IF(AND(AB118="Approved",ISERROR(SEARCH("FAIL",AT118))),"Y","N"))</f>
        <v/>
      </c>
      <c r="BB118" s="10" t="str">
        <f aca="false">IF(C118="","",C118&amp;"|"&amp;D118&amp;"|"&amp;E118&amp;"|"&amp;F118&amp;"|"&amp;BA118)</f>
        <v/>
      </c>
    </row>
    <row r="119" customFormat="false" ht="15" hidden="false" customHeight="false" outlineLevel="0" collapsed="false">
      <c r="A119" s="10" t="str">
        <f aca="false">IF(C119="","","RW-"&amp;IFERROR(VLOOKUP(C119,Lists!$M$4:$N$22,2,0),"??")&amp;"-H"&amp;TEXT(D119*1000,"0000")&amp;"-S"&amp;E119&amp;IF(F119="Y","-GW","")&amp;"-"&amp;AA119)</f>
        <v/>
      </c>
      <c r="B119" s="10" t="str">
        <f aca="false">IF(C119="","",C119&amp;", H = "&amp;TEXT(D119,"0.0")&amp;" m, q = "&amp;E119&amp;" kPa"&amp;IF(F119="Y",", with GWT","")&amp;", "&amp;H119)</f>
        <v/>
      </c>
      <c r="C119" s="9"/>
      <c r="D119" s="41"/>
      <c r="E119" s="40"/>
      <c r="F119" s="9"/>
      <c r="G119" s="40"/>
      <c r="H119" s="9"/>
      <c r="I119" s="40"/>
      <c r="J119" s="43"/>
      <c r="K119" s="40"/>
      <c r="L119" s="40"/>
      <c r="M119" s="40"/>
      <c r="N119" s="40"/>
      <c r="O119" s="40"/>
      <c r="P119" s="40"/>
      <c r="Q119" s="9"/>
      <c r="R119" s="9"/>
      <c r="S119" s="40"/>
      <c r="T119" s="9"/>
      <c r="U119" s="9"/>
      <c r="V119" s="9"/>
      <c r="W119" s="41"/>
      <c r="X119" s="41"/>
      <c r="Y119" s="40"/>
      <c r="Z119" s="9"/>
      <c r="AA119" s="9"/>
      <c r="AB119" s="9"/>
      <c r="AC119" s="9"/>
      <c r="AD119" s="9"/>
      <c r="AE119" s="9"/>
      <c r="AF119" s="10" t="str">
        <f aca="false">IF(A119="","",SG_Criteria!$B$6&amp;SG_Criteria!$B$8&amp;"\"&amp;A119&amp;"\")</f>
        <v/>
      </c>
      <c r="AG119" s="10" t="str">
        <f aca="false">IF(A119="","",A119&amp;"_CAD.dwg")</f>
        <v/>
      </c>
      <c r="AH119" s="10" t="str">
        <f aca="false">IF(A119="","",A119&amp;"_DWG.pdf")</f>
        <v/>
      </c>
      <c r="AI119" s="10" t="str">
        <f aca="false">IF(A119="","",IF(AE119="Y",A119&amp;"_STAAD.std","n/a"))</f>
        <v/>
      </c>
      <c r="AJ119" s="10" t="str">
        <f aca="false">IF(A119="","",A119&amp;"_CALC.xlsx")</f>
        <v/>
      </c>
      <c r="AK119" s="10" t="str">
        <f aca="false">IF(A119="","",A119&amp;"_CALC.pdf")</f>
        <v/>
      </c>
      <c r="AL119" s="9"/>
      <c r="AM119" s="9"/>
      <c r="AN119" s="41"/>
      <c r="AO119" s="41"/>
      <c r="AP119" s="41"/>
      <c r="AQ119" s="41"/>
      <c r="AR119" s="41"/>
      <c r="AS119" s="38" t="str">
        <f aca="false">IF(OR(C119="",D119=""),"",IF(D119&lt;=IF(OR(C119="Block / Segmental",C119="Gabion",C119="Reinforced Earth (MSE)"),SG_Criteria!$B$34,SG_Criteria!$B$33),"No ERSS submission",IF(D119&lt;=SG_Criteria!$B$35,"QP(ST)",IF(D119&lt;=SG_Criteria!$B$36,"QP(ST) + AC","Geotechnical building works: QP(Geo) + AC"))))</f>
        <v/>
      </c>
      <c r="AT119" s="38" t="str">
        <f aca="false">IF(C119="","",IF(LEN(IF(AND(R119&lt;&gt;"",IFERROR(VALUE(MID(R119,2,2)),0)&lt;SG_Criteria!$B$19),"FAIL: grade below C"&amp;SG_Criteria!$B$19&amp;". ","")&amp;IF(AND(S119&lt;&gt;"",S119&lt;SG_Criteria!$B$20),"FAIL: cover &lt; "&amp;SG_Criteria!$B$20&amp;" mm. ","")&amp;IF(AND(W119&lt;&gt;"",W119&lt;1),"FAIL: sliding. ","")&amp;IF(AND(C119="Reverse L-Wall (toe only, at boundary)",N(O119)&gt;0),"NOTE: reverse L-wall should have no heel. ","")&amp;IF(AND(C119="L-Wall (heel only)",N(N119)&gt;0),"NOTE: L-wall should have no toe. ","")&amp;IF(AND(E119&lt;&gt;"",E119&lt;SG_Criteria!$B$31),"NOTE: q below LTA min "&amp;SG_Criteria!$B$31&amp;" kPa (not for LTA works). ",""))=0,"OK",IF(AND(R119&lt;&gt;"",IFERROR(VALUE(MID(R119,2,2)),0)&lt;SG_Criteria!$B$19),"FAIL: grade below C"&amp;SG_Criteria!$B$19&amp;". ","")&amp;IF(AND(S119&lt;&gt;"",S119&lt;SG_Criteria!$B$20),"FAIL: cover &lt; "&amp;SG_Criteria!$B$20&amp;" mm. ","")&amp;IF(AND(W119&lt;&gt;"",W119&lt;1),"FAIL: sliding. ","")&amp;IF(AND(C119="Reverse L-Wall (toe only, at boundary)",N(O119)&gt;0),"NOTE: reverse L-wall should have no heel. ","")&amp;IF(AND(C119="L-Wall (heel only)",N(N119)&gt;0),"NOTE: L-wall should have no toe. ","")&amp;IF(AND(E119&lt;&gt;"",E119&lt;SG_Criteria!$B$31),"NOTE: q below LTA min "&amp;SG_Criteria!$B$31&amp;" kPa (not for LTA works). ","")))</f>
        <v/>
      </c>
      <c r="AU119" s="9"/>
      <c r="AV119" s="9"/>
      <c r="AW119" s="9"/>
      <c r="AX119" s="9"/>
      <c r="AY119" s="9"/>
      <c r="AZ119" s="31"/>
      <c r="BA119" s="10" t="str">
        <f aca="false">IF(C119="","",IF(AND(AB119="Approved",ISERROR(SEARCH("FAIL",AT119))),"Y","N"))</f>
        <v/>
      </c>
      <c r="BB119" s="10" t="str">
        <f aca="false">IF(C119="","",C119&amp;"|"&amp;D119&amp;"|"&amp;E119&amp;"|"&amp;F119&amp;"|"&amp;BA119)</f>
        <v/>
      </c>
    </row>
    <row r="120" customFormat="false" ht="15" hidden="false" customHeight="false" outlineLevel="0" collapsed="false">
      <c r="A120" s="10" t="str">
        <f aca="false">IF(C120="","","RW-"&amp;IFERROR(VLOOKUP(C120,Lists!$M$4:$N$22,2,0),"??")&amp;"-H"&amp;TEXT(D120*1000,"0000")&amp;"-S"&amp;E120&amp;IF(F120="Y","-GW","")&amp;"-"&amp;AA120)</f>
        <v/>
      </c>
      <c r="B120" s="10" t="str">
        <f aca="false">IF(C120="","",C120&amp;", H = "&amp;TEXT(D120,"0.0")&amp;" m, q = "&amp;E120&amp;" kPa"&amp;IF(F120="Y",", with GWT","")&amp;", "&amp;H120)</f>
        <v/>
      </c>
      <c r="C120" s="9"/>
      <c r="D120" s="41"/>
      <c r="E120" s="40"/>
      <c r="F120" s="9"/>
      <c r="G120" s="40"/>
      <c r="H120" s="9"/>
      <c r="I120" s="40"/>
      <c r="J120" s="43"/>
      <c r="K120" s="40"/>
      <c r="L120" s="40"/>
      <c r="M120" s="40"/>
      <c r="N120" s="40"/>
      <c r="O120" s="40"/>
      <c r="P120" s="40"/>
      <c r="Q120" s="9"/>
      <c r="R120" s="9"/>
      <c r="S120" s="40"/>
      <c r="T120" s="9"/>
      <c r="U120" s="9"/>
      <c r="V120" s="9"/>
      <c r="W120" s="41"/>
      <c r="X120" s="41"/>
      <c r="Y120" s="40"/>
      <c r="Z120" s="9"/>
      <c r="AA120" s="9"/>
      <c r="AB120" s="9"/>
      <c r="AC120" s="9"/>
      <c r="AD120" s="9"/>
      <c r="AE120" s="9"/>
      <c r="AF120" s="10" t="str">
        <f aca="false">IF(A120="","",SG_Criteria!$B$6&amp;SG_Criteria!$B$8&amp;"\"&amp;A120&amp;"\")</f>
        <v/>
      </c>
      <c r="AG120" s="10" t="str">
        <f aca="false">IF(A120="","",A120&amp;"_CAD.dwg")</f>
        <v/>
      </c>
      <c r="AH120" s="10" t="str">
        <f aca="false">IF(A120="","",A120&amp;"_DWG.pdf")</f>
        <v/>
      </c>
      <c r="AI120" s="10" t="str">
        <f aca="false">IF(A120="","",IF(AE120="Y",A120&amp;"_STAAD.std","n/a"))</f>
        <v/>
      </c>
      <c r="AJ120" s="10" t="str">
        <f aca="false">IF(A120="","",A120&amp;"_CALC.xlsx")</f>
        <v/>
      </c>
      <c r="AK120" s="10" t="str">
        <f aca="false">IF(A120="","",A120&amp;"_CALC.pdf")</f>
        <v/>
      </c>
      <c r="AL120" s="9"/>
      <c r="AM120" s="9"/>
      <c r="AN120" s="41"/>
      <c r="AO120" s="41"/>
      <c r="AP120" s="41"/>
      <c r="AQ120" s="41"/>
      <c r="AR120" s="41"/>
      <c r="AS120" s="38" t="str">
        <f aca="false">IF(OR(C120="",D120=""),"",IF(D120&lt;=IF(OR(C120="Block / Segmental",C120="Gabion",C120="Reinforced Earth (MSE)"),SG_Criteria!$B$34,SG_Criteria!$B$33),"No ERSS submission",IF(D120&lt;=SG_Criteria!$B$35,"QP(ST)",IF(D120&lt;=SG_Criteria!$B$36,"QP(ST) + AC","Geotechnical building works: QP(Geo) + AC"))))</f>
        <v/>
      </c>
      <c r="AT120" s="38" t="str">
        <f aca="false">IF(C120="","",IF(LEN(IF(AND(R120&lt;&gt;"",IFERROR(VALUE(MID(R120,2,2)),0)&lt;SG_Criteria!$B$19),"FAIL: grade below C"&amp;SG_Criteria!$B$19&amp;". ","")&amp;IF(AND(S120&lt;&gt;"",S120&lt;SG_Criteria!$B$20),"FAIL: cover &lt; "&amp;SG_Criteria!$B$20&amp;" mm. ","")&amp;IF(AND(W120&lt;&gt;"",W120&lt;1),"FAIL: sliding. ","")&amp;IF(AND(C120="Reverse L-Wall (toe only, at boundary)",N(O120)&gt;0),"NOTE: reverse L-wall should have no heel. ","")&amp;IF(AND(C120="L-Wall (heel only)",N(N120)&gt;0),"NOTE: L-wall should have no toe. ","")&amp;IF(AND(E120&lt;&gt;"",E120&lt;SG_Criteria!$B$31),"NOTE: q below LTA min "&amp;SG_Criteria!$B$31&amp;" kPa (not for LTA works). ",""))=0,"OK",IF(AND(R120&lt;&gt;"",IFERROR(VALUE(MID(R120,2,2)),0)&lt;SG_Criteria!$B$19),"FAIL: grade below C"&amp;SG_Criteria!$B$19&amp;". ","")&amp;IF(AND(S120&lt;&gt;"",S120&lt;SG_Criteria!$B$20),"FAIL: cover &lt; "&amp;SG_Criteria!$B$20&amp;" mm. ","")&amp;IF(AND(W120&lt;&gt;"",W120&lt;1),"FAIL: sliding. ","")&amp;IF(AND(C120="Reverse L-Wall (toe only, at boundary)",N(O120)&gt;0),"NOTE: reverse L-wall should have no heel. ","")&amp;IF(AND(C120="L-Wall (heel only)",N(N120)&gt;0),"NOTE: L-wall should have no toe. ","")&amp;IF(AND(E120&lt;&gt;"",E120&lt;SG_Criteria!$B$31),"NOTE: q below LTA min "&amp;SG_Criteria!$B$31&amp;" kPa (not for LTA works). ","")))</f>
        <v/>
      </c>
      <c r="AU120" s="9"/>
      <c r="AV120" s="9"/>
      <c r="AW120" s="9"/>
      <c r="AX120" s="9"/>
      <c r="AY120" s="9"/>
      <c r="AZ120" s="31"/>
      <c r="BA120" s="10" t="str">
        <f aca="false">IF(C120="","",IF(AND(AB120="Approved",ISERROR(SEARCH("FAIL",AT120))),"Y","N"))</f>
        <v/>
      </c>
      <c r="BB120" s="10" t="str">
        <f aca="false">IF(C120="","",C120&amp;"|"&amp;D120&amp;"|"&amp;E120&amp;"|"&amp;F120&amp;"|"&amp;BA120)</f>
        <v/>
      </c>
    </row>
    <row r="121" customFormat="false" ht="15" hidden="false" customHeight="false" outlineLevel="0" collapsed="false">
      <c r="A121" s="10" t="str">
        <f aca="false">IF(C121="","","RW-"&amp;IFERROR(VLOOKUP(C121,Lists!$M$4:$N$22,2,0),"??")&amp;"-H"&amp;TEXT(D121*1000,"0000")&amp;"-S"&amp;E121&amp;IF(F121="Y","-GW","")&amp;"-"&amp;AA121)</f>
        <v/>
      </c>
      <c r="B121" s="10" t="str">
        <f aca="false">IF(C121="","",C121&amp;", H = "&amp;TEXT(D121,"0.0")&amp;" m, q = "&amp;E121&amp;" kPa"&amp;IF(F121="Y",", with GWT","")&amp;", "&amp;H121)</f>
        <v/>
      </c>
      <c r="C121" s="9"/>
      <c r="D121" s="41"/>
      <c r="E121" s="40"/>
      <c r="F121" s="9"/>
      <c r="G121" s="40"/>
      <c r="H121" s="9"/>
      <c r="I121" s="40"/>
      <c r="J121" s="43"/>
      <c r="K121" s="40"/>
      <c r="L121" s="40"/>
      <c r="M121" s="40"/>
      <c r="N121" s="40"/>
      <c r="O121" s="40"/>
      <c r="P121" s="40"/>
      <c r="Q121" s="9"/>
      <c r="R121" s="9"/>
      <c r="S121" s="40"/>
      <c r="T121" s="9"/>
      <c r="U121" s="9"/>
      <c r="V121" s="9"/>
      <c r="W121" s="41"/>
      <c r="X121" s="41"/>
      <c r="Y121" s="40"/>
      <c r="Z121" s="9"/>
      <c r="AA121" s="9"/>
      <c r="AB121" s="9"/>
      <c r="AC121" s="9"/>
      <c r="AD121" s="9"/>
      <c r="AE121" s="9"/>
      <c r="AF121" s="10" t="str">
        <f aca="false">IF(A121="","",SG_Criteria!$B$6&amp;SG_Criteria!$B$8&amp;"\"&amp;A121&amp;"\")</f>
        <v/>
      </c>
      <c r="AG121" s="10" t="str">
        <f aca="false">IF(A121="","",A121&amp;"_CAD.dwg")</f>
        <v/>
      </c>
      <c r="AH121" s="10" t="str">
        <f aca="false">IF(A121="","",A121&amp;"_DWG.pdf")</f>
        <v/>
      </c>
      <c r="AI121" s="10" t="str">
        <f aca="false">IF(A121="","",IF(AE121="Y",A121&amp;"_STAAD.std","n/a"))</f>
        <v/>
      </c>
      <c r="AJ121" s="10" t="str">
        <f aca="false">IF(A121="","",A121&amp;"_CALC.xlsx")</f>
        <v/>
      </c>
      <c r="AK121" s="10" t="str">
        <f aca="false">IF(A121="","",A121&amp;"_CALC.pdf")</f>
        <v/>
      </c>
      <c r="AL121" s="9"/>
      <c r="AM121" s="9"/>
      <c r="AN121" s="41"/>
      <c r="AO121" s="41"/>
      <c r="AP121" s="41"/>
      <c r="AQ121" s="41"/>
      <c r="AR121" s="41"/>
      <c r="AS121" s="38" t="str">
        <f aca="false">IF(OR(C121="",D121=""),"",IF(D121&lt;=IF(OR(C121="Block / Segmental",C121="Gabion",C121="Reinforced Earth (MSE)"),SG_Criteria!$B$34,SG_Criteria!$B$33),"No ERSS submission",IF(D121&lt;=SG_Criteria!$B$35,"QP(ST)",IF(D121&lt;=SG_Criteria!$B$36,"QP(ST) + AC","Geotechnical building works: QP(Geo) + AC"))))</f>
        <v/>
      </c>
      <c r="AT121" s="38" t="str">
        <f aca="false">IF(C121="","",IF(LEN(IF(AND(R121&lt;&gt;"",IFERROR(VALUE(MID(R121,2,2)),0)&lt;SG_Criteria!$B$19),"FAIL: grade below C"&amp;SG_Criteria!$B$19&amp;". ","")&amp;IF(AND(S121&lt;&gt;"",S121&lt;SG_Criteria!$B$20),"FAIL: cover &lt; "&amp;SG_Criteria!$B$20&amp;" mm. ","")&amp;IF(AND(W121&lt;&gt;"",W121&lt;1),"FAIL: sliding. ","")&amp;IF(AND(C121="Reverse L-Wall (toe only, at boundary)",N(O121)&gt;0),"NOTE: reverse L-wall should have no heel. ","")&amp;IF(AND(C121="L-Wall (heel only)",N(N121)&gt;0),"NOTE: L-wall should have no toe. ","")&amp;IF(AND(E121&lt;&gt;"",E121&lt;SG_Criteria!$B$31),"NOTE: q below LTA min "&amp;SG_Criteria!$B$31&amp;" kPa (not for LTA works). ",""))=0,"OK",IF(AND(R121&lt;&gt;"",IFERROR(VALUE(MID(R121,2,2)),0)&lt;SG_Criteria!$B$19),"FAIL: grade below C"&amp;SG_Criteria!$B$19&amp;". ","")&amp;IF(AND(S121&lt;&gt;"",S121&lt;SG_Criteria!$B$20),"FAIL: cover &lt; "&amp;SG_Criteria!$B$20&amp;" mm. ","")&amp;IF(AND(W121&lt;&gt;"",W121&lt;1),"FAIL: sliding. ","")&amp;IF(AND(C121="Reverse L-Wall (toe only, at boundary)",N(O121)&gt;0),"NOTE: reverse L-wall should have no heel. ","")&amp;IF(AND(C121="L-Wall (heel only)",N(N121)&gt;0),"NOTE: L-wall should have no toe. ","")&amp;IF(AND(E121&lt;&gt;"",E121&lt;SG_Criteria!$B$31),"NOTE: q below LTA min "&amp;SG_Criteria!$B$31&amp;" kPa (not for LTA works). ","")))</f>
        <v/>
      </c>
      <c r="AU121" s="9"/>
      <c r="AV121" s="9"/>
      <c r="AW121" s="9"/>
      <c r="AX121" s="9"/>
      <c r="AY121" s="9"/>
      <c r="AZ121" s="31"/>
      <c r="BA121" s="10" t="str">
        <f aca="false">IF(C121="","",IF(AND(AB121="Approved",ISERROR(SEARCH("FAIL",AT121))),"Y","N"))</f>
        <v/>
      </c>
      <c r="BB121" s="10" t="str">
        <f aca="false">IF(C121="","",C121&amp;"|"&amp;D121&amp;"|"&amp;E121&amp;"|"&amp;F121&amp;"|"&amp;BA121)</f>
        <v/>
      </c>
    </row>
    <row r="122" customFormat="false" ht="15" hidden="false" customHeight="false" outlineLevel="0" collapsed="false">
      <c r="A122" s="10" t="str">
        <f aca="false">IF(C122="","","RW-"&amp;IFERROR(VLOOKUP(C122,Lists!$M$4:$N$22,2,0),"??")&amp;"-H"&amp;TEXT(D122*1000,"0000")&amp;"-S"&amp;E122&amp;IF(F122="Y","-GW","")&amp;"-"&amp;AA122)</f>
        <v/>
      </c>
      <c r="B122" s="10" t="str">
        <f aca="false">IF(C122="","",C122&amp;", H = "&amp;TEXT(D122,"0.0")&amp;" m, q = "&amp;E122&amp;" kPa"&amp;IF(F122="Y",", with GWT","")&amp;", "&amp;H122)</f>
        <v/>
      </c>
      <c r="C122" s="9"/>
      <c r="D122" s="41"/>
      <c r="E122" s="40"/>
      <c r="F122" s="9"/>
      <c r="G122" s="40"/>
      <c r="H122" s="9"/>
      <c r="I122" s="40"/>
      <c r="J122" s="43"/>
      <c r="K122" s="40"/>
      <c r="L122" s="40"/>
      <c r="M122" s="40"/>
      <c r="N122" s="40"/>
      <c r="O122" s="40"/>
      <c r="P122" s="40"/>
      <c r="Q122" s="9"/>
      <c r="R122" s="9"/>
      <c r="S122" s="40"/>
      <c r="T122" s="9"/>
      <c r="U122" s="9"/>
      <c r="V122" s="9"/>
      <c r="W122" s="41"/>
      <c r="X122" s="41"/>
      <c r="Y122" s="40"/>
      <c r="Z122" s="9"/>
      <c r="AA122" s="9"/>
      <c r="AB122" s="9"/>
      <c r="AC122" s="9"/>
      <c r="AD122" s="9"/>
      <c r="AE122" s="9"/>
      <c r="AF122" s="10" t="str">
        <f aca="false">IF(A122="","",SG_Criteria!$B$6&amp;SG_Criteria!$B$8&amp;"\"&amp;A122&amp;"\")</f>
        <v/>
      </c>
      <c r="AG122" s="10" t="str">
        <f aca="false">IF(A122="","",A122&amp;"_CAD.dwg")</f>
        <v/>
      </c>
      <c r="AH122" s="10" t="str">
        <f aca="false">IF(A122="","",A122&amp;"_DWG.pdf")</f>
        <v/>
      </c>
      <c r="AI122" s="10" t="str">
        <f aca="false">IF(A122="","",IF(AE122="Y",A122&amp;"_STAAD.std","n/a"))</f>
        <v/>
      </c>
      <c r="AJ122" s="10" t="str">
        <f aca="false">IF(A122="","",A122&amp;"_CALC.xlsx")</f>
        <v/>
      </c>
      <c r="AK122" s="10" t="str">
        <f aca="false">IF(A122="","",A122&amp;"_CALC.pdf")</f>
        <v/>
      </c>
      <c r="AL122" s="9"/>
      <c r="AM122" s="9"/>
      <c r="AN122" s="41"/>
      <c r="AO122" s="41"/>
      <c r="AP122" s="41"/>
      <c r="AQ122" s="41"/>
      <c r="AR122" s="41"/>
      <c r="AS122" s="38" t="str">
        <f aca="false">IF(OR(C122="",D122=""),"",IF(D122&lt;=IF(OR(C122="Block / Segmental",C122="Gabion",C122="Reinforced Earth (MSE)"),SG_Criteria!$B$34,SG_Criteria!$B$33),"No ERSS submission",IF(D122&lt;=SG_Criteria!$B$35,"QP(ST)",IF(D122&lt;=SG_Criteria!$B$36,"QP(ST) + AC","Geotechnical building works: QP(Geo) + AC"))))</f>
        <v/>
      </c>
      <c r="AT122" s="38" t="str">
        <f aca="false">IF(C122="","",IF(LEN(IF(AND(R122&lt;&gt;"",IFERROR(VALUE(MID(R122,2,2)),0)&lt;SG_Criteria!$B$19),"FAIL: grade below C"&amp;SG_Criteria!$B$19&amp;". ","")&amp;IF(AND(S122&lt;&gt;"",S122&lt;SG_Criteria!$B$20),"FAIL: cover &lt; "&amp;SG_Criteria!$B$20&amp;" mm. ","")&amp;IF(AND(W122&lt;&gt;"",W122&lt;1),"FAIL: sliding. ","")&amp;IF(AND(C122="Reverse L-Wall (toe only, at boundary)",N(O122)&gt;0),"NOTE: reverse L-wall should have no heel. ","")&amp;IF(AND(C122="L-Wall (heel only)",N(N122)&gt;0),"NOTE: L-wall should have no toe. ","")&amp;IF(AND(E122&lt;&gt;"",E122&lt;SG_Criteria!$B$31),"NOTE: q below LTA min "&amp;SG_Criteria!$B$31&amp;" kPa (not for LTA works). ",""))=0,"OK",IF(AND(R122&lt;&gt;"",IFERROR(VALUE(MID(R122,2,2)),0)&lt;SG_Criteria!$B$19),"FAIL: grade below C"&amp;SG_Criteria!$B$19&amp;". ","")&amp;IF(AND(S122&lt;&gt;"",S122&lt;SG_Criteria!$B$20),"FAIL: cover &lt; "&amp;SG_Criteria!$B$20&amp;" mm. ","")&amp;IF(AND(W122&lt;&gt;"",W122&lt;1),"FAIL: sliding. ","")&amp;IF(AND(C122="Reverse L-Wall (toe only, at boundary)",N(O122)&gt;0),"NOTE: reverse L-wall should have no heel. ","")&amp;IF(AND(C122="L-Wall (heel only)",N(N122)&gt;0),"NOTE: L-wall should have no toe. ","")&amp;IF(AND(E122&lt;&gt;"",E122&lt;SG_Criteria!$B$31),"NOTE: q below LTA min "&amp;SG_Criteria!$B$31&amp;" kPa (not for LTA works). ","")))</f>
        <v/>
      </c>
      <c r="AU122" s="9"/>
      <c r="AV122" s="9"/>
      <c r="AW122" s="9"/>
      <c r="AX122" s="9"/>
      <c r="AY122" s="9"/>
      <c r="AZ122" s="31"/>
      <c r="BA122" s="10" t="str">
        <f aca="false">IF(C122="","",IF(AND(AB122="Approved",ISERROR(SEARCH("FAIL",AT122))),"Y","N"))</f>
        <v/>
      </c>
      <c r="BB122" s="10" t="str">
        <f aca="false">IF(C122="","",C122&amp;"|"&amp;D122&amp;"|"&amp;E122&amp;"|"&amp;F122&amp;"|"&amp;BA122)</f>
        <v/>
      </c>
    </row>
    <row r="123" customFormat="false" ht="15" hidden="false" customHeight="false" outlineLevel="0" collapsed="false">
      <c r="A123" s="10" t="str">
        <f aca="false">IF(C123="","","RW-"&amp;IFERROR(VLOOKUP(C123,Lists!$M$4:$N$22,2,0),"??")&amp;"-H"&amp;TEXT(D123*1000,"0000")&amp;"-S"&amp;E123&amp;IF(F123="Y","-GW","")&amp;"-"&amp;AA123)</f>
        <v/>
      </c>
      <c r="B123" s="10" t="str">
        <f aca="false">IF(C123="","",C123&amp;", H = "&amp;TEXT(D123,"0.0")&amp;" m, q = "&amp;E123&amp;" kPa"&amp;IF(F123="Y",", with GWT","")&amp;", "&amp;H123)</f>
        <v/>
      </c>
      <c r="C123" s="9"/>
      <c r="D123" s="41"/>
      <c r="E123" s="40"/>
      <c r="F123" s="9"/>
      <c r="G123" s="40"/>
      <c r="H123" s="9"/>
      <c r="I123" s="40"/>
      <c r="J123" s="43"/>
      <c r="K123" s="40"/>
      <c r="L123" s="40"/>
      <c r="M123" s="40"/>
      <c r="N123" s="40"/>
      <c r="O123" s="40"/>
      <c r="P123" s="40"/>
      <c r="Q123" s="9"/>
      <c r="R123" s="9"/>
      <c r="S123" s="40"/>
      <c r="T123" s="9"/>
      <c r="U123" s="9"/>
      <c r="V123" s="9"/>
      <c r="W123" s="41"/>
      <c r="X123" s="41"/>
      <c r="Y123" s="40"/>
      <c r="Z123" s="9"/>
      <c r="AA123" s="9"/>
      <c r="AB123" s="9"/>
      <c r="AC123" s="9"/>
      <c r="AD123" s="9"/>
      <c r="AE123" s="9"/>
      <c r="AF123" s="10" t="str">
        <f aca="false">IF(A123="","",SG_Criteria!$B$6&amp;SG_Criteria!$B$8&amp;"\"&amp;A123&amp;"\")</f>
        <v/>
      </c>
      <c r="AG123" s="10" t="str">
        <f aca="false">IF(A123="","",A123&amp;"_CAD.dwg")</f>
        <v/>
      </c>
      <c r="AH123" s="10" t="str">
        <f aca="false">IF(A123="","",A123&amp;"_DWG.pdf")</f>
        <v/>
      </c>
      <c r="AI123" s="10" t="str">
        <f aca="false">IF(A123="","",IF(AE123="Y",A123&amp;"_STAAD.std","n/a"))</f>
        <v/>
      </c>
      <c r="AJ123" s="10" t="str">
        <f aca="false">IF(A123="","",A123&amp;"_CALC.xlsx")</f>
        <v/>
      </c>
      <c r="AK123" s="10" t="str">
        <f aca="false">IF(A123="","",A123&amp;"_CALC.pdf")</f>
        <v/>
      </c>
      <c r="AL123" s="9"/>
      <c r="AM123" s="9"/>
      <c r="AN123" s="41"/>
      <c r="AO123" s="41"/>
      <c r="AP123" s="41"/>
      <c r="AQ123" s="41"/>
      <c r="AR123" s="41"/>
      <c r="AS123" s="38" t="str">
        <f aca="false">IF(OR(C123="",D123=""),"",IF(D123&lt;=IF(OR(C123="Block / Segmental",C123="Gabion",C123="Reinforced Earth (MSE)"),SG_Criteria!$B$34,SG_Criteria!$B$33),"No ERSS submission",IF(D123&lt;=SG_Criteria!$B$35,"QP(ST)",IF(D123&lt;=SG_Criteria!$B$36,"QP(ST) + AC","Geotechnical building works: QP(Geo) + AC"))))</f>
        <v/>
      </c>
      <c r="AT123" s="38" t="str">
        <f aca="false">IF(C123="","",IF(LEN(IF(AND(R123&lt;&gt;"",IFERROR(VALUE(MID(R123,2,2)),0)&lt;SG_Criteria!$B$19),"FAIL: grade below C"&amp;SG_Criteria!$B$19&amp;". ","")&amp;IF(AND(S123&lt;&gt;"",S123&lt;SG_Criteria!$B$20),"FAIL: cover &lt; "&amp;SG_Criteria!$B$20&amp;" mm. ","")&amp;IF(AND(W123&lt;&gt;"",W123&lt;1),"FAIL: sliding. ","")&amp;IF(AND(C123="Reverse L-Wall (toe only, at boundary)",N(O123)&gt;0),"NOTE: reverse L-wall should have no heel. ","")&amp;IF(AND(C123="L-Wall (heel only)",N(N123)&gt;0),"NOTE: L-wall should have no toe. ","")&amp;IF(AND(E123&lt;&gt;"",E123&lt;SG_Criteria!$B$31),"NOTE: q below LTA min "&amp;SG_Criteria!$B$31&amp;" kPa (not for LTA works). ",""))=0,"OK",IF(AND(R123&lt;&gt;"",IFERROR(VALUE(MID(R123,2,2)),0)&lt;SG_Criteria!$B$19),"FAIL: grade below C"&amp;SG_Criteria!$B$19&amp;". ","")&amp;IF(AND(S123&lt;&gt;"",S123&lt;SG_Criteria!$B$20),"FAIL: cover &lt; "&amp;SG_Criteria!$B$20&amp;" mm. ","")&amp;IF(AND(W123&lt;&gt;"",W123&lt;1),"FAIL: sliding. ","")&amp;IF(AND(C123="Reverse L-Wall (toe only, at boundary)",N(O123)&gt;0),"NOTE: reverse L-wall should have no heel. ","")&amp;IF(AND(C123="L-Wall (heel only)",N(N123)&gt;0),"NOTE: L-wall should have no toe. ","")&amp;IF(AND(E123&lt;&gt;"",E123&lt;SG_Criteria!$B$31),"NOTE: q below LTA min "&amp;SG_Criteria!$B$31&amp;" kPa (not for LTA works). ","")))</f>
        <v/>
      </c>
      <c r="AU123" s="9"/>
      <c r="AV123" s="9"/>
      <c r="AW123" s="9"/>
      <c r="AX123" s="9"/>
      <c r="AY123" s="9"/>
      <c r="AZ123" s="31"/>
      <c r="BA123" s="10" t="str">
        <f aca="false">IF(C123="","",IF(AND(AB123="Approved",ISERROR(SEARCH("FAIL",AT123))),"Y","N"))</f>
        <v/>
      </c>
      <c r="BB123" s="10" t="str">
        <f aca="false">IF(C123="","",C123&amp;"|"&amp;D123&amp;"|"&amp;E123&amp;"|"&amp;F123&amp;"|"&amp;BA123)</f>
        <v/>
      </c>
    </row>
    <row r="124" customFormat="false" ht="15" hidden="false" customHeight="false" outlineLevel="0" collapsed="false">
      <c r="A124" s="10" t="str">
        <f aca="false">IF(C124="","","RW-"&amp;IFERROR(VLOOKUP(C124,Lists!$M$4:$N$22,2,0),"??")&amp;"-H"&amp;TEXT(D124*1000,"0000")&amp;"-S"&amp;E124&amp;IF(F124="Y","-GW","")&amp;"-"&amp;AA124)</f>
        <v/>
      </c>
      <c r="B124" s="10" t="str">
        <f aca="false">IF(C124="","",C124&amp;", H = "&amp;TEXT(D124,"0.0")&amp;" m, q = "&amp;E124&amp;" kPa"&amp;IF(F124="Y",", with GWT","")&amp;", "&amp;H124)</f>
        <v/>
      </c>
      <c r="C124" s="9"/>
      <c r="D124" s="41"/>
      <c r="E124" s="40"/>
      <c r="F124" s="9"/>
      <c r="G124" s="40"/>
      <c r="H124" s="9"/>
      <c r="I124" s="40"/>
      <c r="J124" s="43"/>
      <c r="K124" s="40"/>
      <c r="L124" s="40"/>
      <c r="M124" s="40"/>
      <c r="N124" s="40"/>
      <c r="O124" s="40"/>
      <c r="P124" s="40"/>
      <c r="Q124" s="9"/>
      <c r="R124" s="9"/>
      <c r="S124" s="40"/>
      <c r="T124" s="9"/>
      <c r="U124" s="9"/>
      <c r="V124" s="9"/>
      <c r="W124" s="41"/>
      <c r="X124" s="41"/>
      <c r="Y124" s="40"/>
      <c r="Z124" s="9"/>
      <c r="AA124" s="9"/>
      <c r="AB124" s="9"/>
      <c r="AC124" s="9"/>
      <c r="AD124" s="9"/>
      <c r="AE124" s="9"/>
      <c r="AF124" s="10" t="str">
        <f aca="false">IF(A124="","",SG_Criteria!$B$6&amp;SG_Criteria!$B$8&amp;"\"&amp;A124&amp;"\")</f>
        <v/>
      </c>
      <c r="AG124" s="10" t="str">
        <f aca="false">IF(A124="","",A124&amp;"_CAD.dwg")</f>
        <v/>
      </c>
      <c r="AH124" s="10" t="str">
        <f aca="false">IF(A124="","",A124&amp;"_DWG.pdf")</f>
        <v/>
      </c>
      <c r="AI124" s="10" t="str">
        <f aca="false">IF(A124="","",IF(AE124="Y",A124&amp;"_STAAD.std","n/a"))</f>
        <v/>
      </c>
      <c r="AJ124" s="10" t="str">
        <f aca="false">IF(A124="","",A124&amp;"_CALC.xlsx")</f>
        <v/>
      </c>
      <c r="AK124" s="10" t="str">
        <f aca="false">IF(A124="","",A124&amp;"_CALC.pdf")</f>
        <v/>
      </c>
      <c r="AL124" s="9"/>
      <c r="AM124" s="9"/>
      <c r="AN124" s="41"/>
      <c r="AO124" s="41"/>
      <c r="AP124" s="41"/>
      <c r="AQ124" s="41"/>
      <c r="AR124" s="41"/>
      <c r="AS124" s="38" t="str">
        <f aca="false">IF(OR(C124="",D124=""),"",IF(D124&lt;=IF(OR(C124="Block / Segmental",C124="Gabion",C124="Reinforced Earth (MSE)"),SG_Criteria!$B$34,SG_Criteria!$B$33),"No ERSS submission",IF(D124&lt;=SG_Criteria!$B$35,"QP(ST)",IF(D124&lt;=SG_Criteria!$B$36,"QP(ST) + AC","Geotechnical building works: QP(Geo) + AC"))))</f>
        <v/>
      </c>
      <c r="AT124" s="38" t="str">
        <f aca="false">IF(C124="","",IF(LEN(IF(AND(R124&lt;&gt;"",IFERROR(VALUE(MID(R124,2,2)),0)&lt;SG_Criteria!$B$19),"FAIL: grade below C"&amp;SG_Criteria!$B$19&amp;". ","")&amp;IF(AND(S124&lt;&gt;"",S124&lt;SG_Criteria!$B$20),"FAIL: cover &lt; "&amp;SG_Criteria!$B$20&amp;" mm. ","")&amp;IF(AND(W124&lt;&gt;"",W124&lt;1),"FAIL: sliding. ","")&amp;IF(AND(C124="Reverse L-Wall (toe only, at boundary)",N(O124)&gt;0),"NOTE: reverse L-wall should have no heel. ","")&amp;IF(AND(C124="L-Wall (heel only)",N(N124)&gt;0),"NOTE: L-wall should have no toe. ","")&amp;IF(AND(E124&lt;&gt;"",E124&lt;SG_Criteria!$B$31),"NOTE: q below LTA min "&amp;SG_Criteria!$B$31&amp;" kPa (not for LTA works). ",""))=0,"OK",IF(AND(R124&lt;&gt;"",IFERROR(VALUE(MID(R124,2,2)),0)&lt;SG_Criteria!$B$19),"FAIL: grade below C"&amp;SG_Criteria!$B$19&amp;". ","")&amp;IF(AND(S124&lt;&gt;"",S124&lt;SG_Criteria!$B$20),"FAIL: cover &lt; "&amp;SG_Criteria!$B$20&amp;" mm. ","")&amp;IF(AND(W124&lt;&gt;"",W124&lt;1),"FAIL: sliding. ","")&amp;IF(AND(C124="Reverse L-Wall (toe only, at boundary)",N(O124)&gt;0),"NOTE: reverse L-wall should have no heel. ","")&amp;IF(AND(C124="L-Wall (heel only)",N(N124)&gt;0),"NOTE: L-wall should have no toe. ","")&amp;IF(AND(E124&lt;&gt;"",E124&lt;SG_Criteria!$B$31),"NOTE: q below LTA min "&amp;SG_Criteria!$B$31&amp;" kPa (not for LTA works). ","")))</f>
        <v/>
      </c>
      <c r="AU124" s="9"/>
      <c r="AV124" s="9"/>
      <c r="AW124" s="9"/>
      <c r="AX124" s="9"/>
      <c r="AY124" s="9"/>
      <c r="AZ124" s="31"/>
      <c r="BA124" s="10" t="str">
        <f aca="false">IF(C124="","",IF(AND(AB124="Approved",ISERROR(SEARCH("FAIL",AT124))),"Y","N"))</f>
        <v/>
      </c>
      <c r="BB124" s="10" t="str">
        <f aca="false">IF(C124="","",C124&amp;"|"&amp;D124&amp;"|"&amp;E124&amp;"|"&amp;F124&amp;"|"&amp;BA124)</f>
        <v/>
      </c>
    </row>
    <row r="125" customFormat="false" ht="15" hidden="false" customHeight="false" outlineLevel="0" collapsed="false">
      <c r="A125" s="10" t="str">
        <f aca="false">IF(C125="","","RW-"&amp;IFERROR(VLOOKUP(C125,Lists!$M$4:$N$22,2,0),"??")&amp;"-H"&amp;TEXT(D125*1000,"0000")&amp;"-S"&amp;E125&amp;IF(F125="Y","-GW","")&amp;"-"&amp;AA125)</f>
        <v/>
      </c>
      <c r="B125" s="10" t="str">
        <f aca="false">IF(C125="","",C125&amp;", H = "&amp;TEXT(D125,"0.0")&amp;" m, q = "&amp;E125&amp;" kPa"&amp;IF(F125="Y",", with GWT","")&amp;", "&amp;H125)</f>
        <v/>
      </c>
      <c r="C125" s="9"/>
      <c r="D125" s="41"/>
      <c r="E125" s="40"/>
      <c r="F125" s="9"/>
      <c r="G125" s="40"/>
      <c r="H125" s="9"/>
      <c r="I125" s="40"/>
      <c r="J125" s="43"/>
      <c r="K125" s="40"/>
      <c r="L125" s="40"/>
      <c r="M125" s="40"/>
      <c r="N125" s="40"/>
      <c r="O125" s="40"/>
      <c r="P125" s="40"/>
      <c r="Q125" s="9"/>
      <c r="R125" s="9"/>
      <c r="S125" s="40"/>
      <c r="T125" s="9"/>
      <c r="U125" s="9"/>
      <c r="V125" s="9"/>
      <c r="W125" s="41"/>
      <c r="X125" s="41"/>
      <c r="Y125" s="40"/>
      <c r="Z125" s="9"/>
      <c r="AA125" s="9"/>
      <c r="AB125" s="9"/>
      <c r="AC125" s="9"/>
      <c r="AD125" s="9"/>
      <c r="AE125" s="9"/>
      <c r="AF125" s="10" t="str">
        <f aca="false">IF(A125="","",SG_Criteria!$B$6&amp;SG_Criteria!$B$8&amp;"\"&amp;A125&amp;"\")</f>
        <v/>
      </c>
      <c r="AG125" s="10" t="str">
        <f aca="false">IF(A125="","",A125&amp;"_CAD.dwg")</f>
        <v/>
      </c>
      <c r="AH125" s="10" t="str">
        <f aca="false">IF(A125="","",A125&amp;"_DWG.pdf")</f>
        <v/>
      </c>
      <c r="AI125" s="10" t="str">
        <f aca="false">IF(A125="","",IF(AE125="Y",A125&amp;"_STAAD.std","n/a"))</f>
        <v/>
      </c>
      <c r="AJ125" s="10" t="str">
        <f aca="false">IF(A125="","",A125&amp;"_CALC.xlsx")</f>
        <v/>
      </c>
      <c r="AK125" s="10" t="str">
        <f aca="false">IF(A125="","",A125&amp;"_CALC.pdf")</f>
        <v/>
      </c>
      <c r="AL125" s="9"/>
      <c r="AM125" s="9"/>
      <c r="AN125" s="41"/>
      <c r="AO125" s="41"/>
      <c r="AP125" s="41"/>
      <c r="AQ125" s="41"/>
      <c r="AR125" s="41"/>
      <c r="AS125" s="38" t="str">
        <f aca="false">IF(OR(C125="",D125=""),"",IF(D125&lt;=IF(OR(C125="Block / Segmental",C125="Gabion",C125="Reinforced Earth (MSE)"),SG_Criteria!$B$34,SG_Criteria!$B$33),"No ERSS submission",IF(D125&lt;=SG_Criteria!$B$35,"QP(ST)",IF(D125&lt;=SG_Criteria!$B$36,"QP(ST) + AC","Geotechnical building works: QP(Geo) + AC"))))</f>
        <v/>
      </c>
      <c r="AT125" s="38" t="str">
        <f aca="false">IF(C125="","",IF(LEN(IF(AND(R125&lt;&gt;"",IFERROR(VALUE(MID(R125,2,2)),0)&lt;SG_Criteria!$B$19),"FAIL: grade below C"&amp;SG_Criteria!$B$19&amp;". ","")&amp;IF(AND(S125&lt;&gt;"",S125&lt;SG_Criteria!$B$20),"FAIL: cover &lt; "&amp;SG_Criteria!$B$20&amp;" mm. ","")&amp;IF(AND(W125&lt;&gt;"",W125&lt;1),"FAIL: sliding. ","")&amp;IF(AND(C125="Reverse L-Wall (toe only, at boundary)",N(O125)&gt;0),"NOTE: reverse L-wall should have no heel. ","")&amp;IF(AND(C125="L-Wall (heel only)",N(N125)&gt;0),"NOTE: L-wall should have no toe. ","")&amp;IF(AND(E125&lt;&gt;"",E125&lt;SG_Criteria!$B$31),"NOTE: q below LTA min "&amp;SG_Criteria!$B$31&amp;" kPa (not for LTA works). ",""))=0,"OK",IF(AND(R125&lt;&gt;"",IFERROR(VALUE(MID(R125,2,2)),0)&lt;SG_Criteria!$B$19),"FAIL: grade below C"&amp;SG_Criteria!$B$19&amp;". ","")&amp;IF(AND(S125&lt;&gt;"",S125&lt;SG_Criteria!$B$20),"FAIL: cover &lt; "&amp;SG_Criteria!$B$20&amp;" mm. ","")&amp;IF(AND(W125&lt;&gt;"",W125&lt;1),"FAIL: sliding. ","")&amp;IF(AND(C125="Reverse L-Wall (toe only, at boundary)",N(O125)&gt;0),"NOTE: reverse L-wall should have no heel. ","")&amp;IF(AND(C125="L-Wall (heel only)",N(N125)&gt;0),"NOTE: L-wall should have no toe. ","")&amp;IF(AND(E125&lt;&gt;"",E125&lt;SG_Criteria!$B$31),"NOTE: q below LTA min "&amp;SG_Criteria!$B$31&amp;" kPa (not for LTA works). ","")))</f>
        <v/>
      </c>
      <c r="AU125" s="9"/>
      <c r="AV125" s="9"/>
      <c r="AW125" s="9"/>
      <c r="AX125" s="9"/>
      <c r="AY125" s="9"/>
      <c r="AZ125" s="31"/>
      <c r="BA125" s="10" t="str">
        <f aca="false">IF(C125="","",IF(AND(AB125="Approved",ISERROR(SEARCH("FAIL",AT125))),"Y","N"))</f>
        <v/>
      </c>
      <c r="BB125" s="10" t="str">
        <f aca="false">IF(C125="","",C125&amp;"|"&amp;D125&amp;"|"&amp;E125&amp;"|"&amp;F125&amp;"|"&amp;BA125)</f>
        <v/>
      </c>
    </row>
    <row r="126" customFormat="false" ht="15" hidden="false" customHeight="false" outlineLevel="0" collapsed="false">
      <c r="A126" s="10" t="str">
        <f aca="false">IF(C126="","","RW-"&amp;IFERROR(VLOOKUP(C126,Lists!$M$4:$N$22,2,0),"??")&amp;"-H"&amp;TEXT(D126*1000,"0000")&amp;"-S"&amp;E126&amp;IF(F126="Y","-GW","")&amp;"-"&amp;AA126)</f>
        <v/>
      </c>
      <c r="B126" s="10" t="str">
        <f aca="false">IF(C126="","",C126&amp;", H = "&amp;TEXT(D126,"0.0")&amp;" m, q = "&amp;E126&amp;" kPa"&amp;IF(F126="Y",", with GWT","")&amp;", "&amp;H126)</f>
        <v/>
      </c>
      <c r="C126" s="9"/>
      <c r="D126" s="41"/>
      <c r="E126" s="40"/>
      <c r="F126" s="9"/>
      <c r="G126" s="40"/>
      <c r="H126" s="9"/>
      <c r="I126" s="40"/>
      <c r="J126" s="43"/>
      <c r="K126" s="40"/>
      <c r="L126" s="40"/>
      <c r="M126" s="40"/>
      <c r="N126" s="40"/>
      <c r="O126" s="40"/>
      <c r="P126" s="40"/>
      <c r="Q126" s="9"/>
      <c r="R126" s="9"/>
      <c r="S126" s="40"/>
      <c r="T126" s="9"/>
      <c r="U126" s="9"/>
      <c r="V126" s="9"/>
      <c r="W126" s="41"/>
      <c r="X126" s="41"/>
      <c r="Y126" s="40"/>
      <c r="Z126" s="9"/>
      <c r="AA126" s="9"/>
      <c r="AB126" s="9"/>
      <c r="AC126" s="9"/>
      <c r="AD126" s="9"/>
      <c r="AE126" s="9"/>
      <c r="AF126" s="10" t="str">
        <f aca="false">IF(A126="","",SG_Criteria!$B$6&amp;SG_Criteria!$B$8&amp;"\"&amp;A126&amp;"\")</f>
        <v/>
      </c>
      <c r="AG126" s="10" t="str">
        <f aca="false">IF(A126="","",A126&amp;"_CAD.dwg")</f>
        <v/>
      </c>
      <c r="AH126" s="10" t="str">
        <f aca="false">IF(A126="","",A126&amp;"_DWG.pdf")</f>
        <v/>
      </c>
      <c r="AI126" s="10" t="str">
        <f aca="false">IF(A126="","",IF(AE126="Y",A126&amp;"_STAAD.std","n/a"))</f>
        <v/>
      </c>
      <c r="AJ126" s="10" t="str">
        <f aca="false">IF(A126="","",A126&amp;"_CALC.xlsx")</f>
        <v/>
      </c>
      <c r="AK126" s="10" t="str">
        <f aca="false">IF(A126="","",A126&amp;"_CALC.pdf")</f>
        <v/>
      </c>
      <c r="AL126" s="9"/>
      <c r="AM126" s="9"/>
      <c r="AN126" s="41"/>
      <c r="AO126" s="41"/>
      <c r="AP126" s="41"/>
      <c r="AQ126" s="41"/>
      <c r="AR126" s="41"/>
      <c r="AS126" s="38" t="str">
        <f aca="false">IF(OR(C126="",D126=""),"",IF(D126&lt;=IF(OR(C126="Block / Segmental",C126="Gabion",C126="Reinforced Earth (MSE)"),SG_Criteria!$B$34,SG_Criteria!$B$33),"No ERSS submission",IF(D126&lt;=SG_Criteria!$B$35,"QP(ST)",IF(D126&lt;=SG_Criteria!$B$36,"QP(ST) + AC","Geotechnical building works: QP(Geo) + AC"))))</f>
        <v/>
      </c>
      <c r="AT126" s="38" t="str">
        <f aca="false">IF(C126="","",IF(LEN(IF(AND(R126&lt;&gt;"",IFERROR(VALUE(MID(R126,2,2)),0)&lt;SG_Criteria!$B$19),"FAIL: grade below C"&amp;SG_Criteria!$B$19&amp;". ","")&amp;IF(AND(S126&lt;&gt;"",S126&lt;SG_Criteria!$B$20),"FAIL: cover &lt; "&amp;SG_Criteria!$B$20&amp;" mm. ","")&amp;IF(AND(W126&lt;&gt;"",W126&lt;1),"FAIL: sliding. ","")&amp;IF(AND(C126="Reverse L-Wall (toe only, at boundary)",N(O126)&gt;0),"NOTE: reverse L-wall should have no heel. ","")&amp;IF(AND(C126="L-Wall (heel only)",N(N126)&gt;0),"NOTE: L-wall should have no toe. ","")&amp;IF(AND(E126&lt;&gt;"",E126&lt;SG_Criteria!$B$31),"NOTE: q below LTA min "&amp;SG_Criteria!$B$31&amp;" kPa (not for LTA works). ",""))=0,"OK",IF(AND(R126&lt;&gt;"",IFERROR(VALUE(MID(R126,2,2)),0)&lt;SG_Criteria!$B$19),"FAIL: grade below C"&amp;SG_Criteria!$B$19&amp;". ","")&amp;IF(AND(S126&lt;&gt;"",S126&lt;SG_Criteria!$B$20),"FAIL: cover &lt; "&amp;SG_Criteria!$B$20&amp;" mm. ","")&amp;IF(AND(W126&lt;&gt;"",W126&lt;1),"FAIL: sliding. ","")&amp;IF(AND(C126="Reverse L-Wall (toe only, at boundary)",N(O126)&gt;0),"NOTE: reverse L-wall should have no heel. ","")&amp;IF(AND(C126="L-Wall (heel only)",N(N126)&gt;0),"NOTE: L-wall should have no toe. ","")&amp;IF(AND(E126&lt;&gt;"",E126&lt;SG_Criteria!$B$31),"NOTE: q below LTA min "&amp;SG_Criteria!$B$31&amp;" kPa (not for LTA works). ","")))</f>
        <v/>
      </c>
      <c r="AU126" s="9"/>
      <c r="AV126" s="9"/>
      <c r="AW126" s="9"/>
      <c r="AX126" s="9"/>
      <c r="AY126" s="9"/>
      <c r="AZ126" s="31"/>
      <c r="BA126" s="10" t="str">
        <f aca="false">IF(C126="","",IF(AND(AB126="Approved",ISERROR(SEARCH("FAIL",AT126))),"Y","N"))</f>
        <v/>
      </c>
      <c r="BB126" s="10" t="str">
        <f aca="false">IF(C126="","",C126&amp;"|"&amp;D126&amp;"|"&amp;E126&amp;"|"&amp;F126&amp;"|"&amp;BA126)</f>
        <v/>
      </c>
    </row>
    <row r="127" customFormat="false" ht="15" hidden="false" customHeight="false" outlineLevel="0" collapsed="false">
      <c r="A127" s="10" t="str">
        <f aca="false">IF(C127="","","RW-"&amp;IFERROR(VLOOKUP(C127,Lists!$M$4:$N$22,2,0),"??")&amp;"-H"&amp;TEXT(D127*1000,"0000")&amp;"-S"&amp;E127&amp;IF(F127="Y","-GW","")&amp;"-"&amp;AA127)</f>
        <v/>
      </c>
      <c r="B127" s="10" t="str">
        <f aca="false">IF(C127="","",C127&amp;", H = "&amp;TEXT(D127,"0.0")&amp;" m, q = "&amp;E127&amp;" kPa"&amp;IF(F127="Y",", with GWT","")&amp;", "&amp;H127)</f>
        <v/>
      </c>
      <c r="C127" s="9"/>
      <c r="D127" s="41"/>
      <c r="E127" s="40"/>
      <c r="F127" s="9"/>
      <c r="G127" s="40"/>
      <c r="H127" s="9"/>
      <c r="I127" s="40"/>
      <c r="J127" s="43"/>
      <c r="K127" s="40"/>
      <c r="L127" s="40"/>
      <c r="M127" s="40"/>
      <c r="N127" s="40"/>
      <c r="O127" s="40"/>
      <c r="P127" s="40"/>
      <c r="Q127" s="9"/>
      <c r="R127" s="9"/>
      <c r="S127" s="40"/>
      <c r="T127" s="9"/>
      <c r="U127" s="9"/>
      <c r="V127" s="9"/>
      <c r="W127" s="41"/>
      <c r="X127" s="41"/>
      <c r="Y127" s="40"/>
      <c r="Z127" s="9"/>
      <c r="AA127" s="9"/>
      <c r="AB127" s="9"/>
      <c r="AC127" s="9"/>
      <c r="AD127" s="9"/>
      <c r="AE127" s="9"/>
      <c r="AF127" s="10" t="str">
        <f aca="false">IF(A127="","",SG_Criteria!$B$6&amp;SG_Criteria!$B$8&amp;"\"&amp;A127&amp;"\")</f>
        <v/>
      </c>
      <c r="AG127" s="10" t="str">
        <f aca="false">IF(A127="","",A127&amp;"_CAD.dwg")</f>
        <v/>
      </c>
      <c r="AH127" s="10" t="str">
        <f aca="false">IF(A127="","",A127&amp;"_DWG.pdf")</f>
        <v/>
      </c>
      <c r="AI127" s="10" t="str">
        <f aca="false">IF(A127="","",IF(AE127="Y",A127&amp;"_STAAD.std","n/a"))</f>
        <v/>
      </c>
      <c r="AJ127" s="10" t="str">
        <f aca="false">IF(A127="","",A127&amp;"_CALC.xlsx")</f>
        <v/>
      </c>
      <c r="AK127" s="10" t="str">
        <f aca="false">IF(A127="","",A127&amp;"_CALC.pdf")</f>
        <v/>
      </c>
      <c r="AL127" s="9"/>
      <c r="AM127" s="9"/>
      <c r="AN127" s="41"/>
      <c r="AO127" s="41"/>
      <c r="AP127" s="41"/>
      <c r="AQ127" s="41"/>
      <c r="AR127" s="41"/>
      <c r="AS127" s="38" t="str">
        <f aca="false">IF(OR(C127="",D127=""),"",IF(D127&lt;=IF(OR(C127="Block / Segmental",C127="Gabion",C127="Reinforced Earth (MSE)"),SG_Criteria!$B$34,SG_Criteria!$B$33),"No ERSS submission",IF(D127&lt;=SG_Criteria!$B$35,"QP(ST)",IF(D127&lt;=SG_Criteria!$B$36,"QP(ST) + AC","Geotechnical building works: QP(Geo) + AC"))))</f>
        <v/>
      </c>
      <c r="AT127" s="38" t="str">
        <f aca="false">IF(C127="","",IF(LEN(IF(AND(R127&lt;&gt;"",IFERROR(VALUE(MID(R127,2,2)),0)&lt;SG_Criteria!$B$19),"FAIL: grade below C"&amp;SG_Criteria!$B$19&amp;". ","")&amp;IF(AND(S127&lt;&gt;"",S127&lt;SG_Criteria!$B$20),"FAIL: cover &lt; "&amp;SG_Criteria!$B$20&amp;" mm. ","")&amp;IF(AND(W127&lt;&gt;"",W127&lt;1),"FAIL: sliding. ","")&amp;IF(AND(C127="Reverse L-Wall (toe only, at boundary)",N(O127)&gt;0),"NOTE: reverse L-wall should have no heel. ","")&amp;IF(AND(C127="L-Wall (heel only)",N(N127)&gt;0),"NOTE: L-wall should have no toe. ","")&amp;IF(AND(E127&lt;&gt;"",E127&lt;SG_Criteria!$B$31),"NOTE: q below LTA min "&amp;SG_Criteria!$B$31&amp;" kPa (not for LTA works). ",""))=0,"OK",IF(AND(R127&lt;&gt;"",IFERROR(VALUE(MID(R127,2,2)),0)&lt;SG_Criteria!$B$19),"FAIL: grade below C"&amp;SG_Criteria!$B$19&amp;". ","")&amp;IF(AND(S127&lt;&gt;"",S127&lt;SG_Criteria!$B$20),"FAIL: cover &lt; "&amp;SG_Criteria!$B$20&amp;" mm. ","")&amp;IF(AND(W127&lt;&gt;"",W127&lt;1),"FAIL: sliding. ","")&amp;IF(AND(C127="Reverse L-Wall (toe only, at boundary)",N(O127)&gt;0),"NOTE: reverse L-wall should have no heel. ","")&amp;IF(AND(C127="L-Wall (heel only)",N(N127)&gt;0),"NOTE: L-wall should have no toe. ","")&amp;IF(AND(E127&lt;&gt;"",E127&lt;SG_Criteria!$B$31),"NOTE: q below LTA min "&amp;SG_Criteria!$B$31&amp;" kPa (not for LTA works). ","")))</f>
        <v/>
      </c>
      <c r="AU127" s="9"/>
      <c r="AV127" s="9"/>
      <c r="AW127" s="9"/>
      <c r="AX127" s="9"/>
      <c r="AY127" s="9"/>
      <c r="AZ127" s="31"/>
      <c r="BA127" s="10" t="str">
        <f aca="false">IF(C127="","",IF(AND(AB127="Approved",ISERROR(SEARCH("FAIL",AT127))),"Y","N"))</f>
        <v/>
      </c>
      <c r="BB127" s="10" t="str">
        <f aca="false">IF(C127="","",C127&amp;"|"&amp;D127&amp;"|"&amp;E127&amp;"|"&amp;F127&amp;"|"&amp;BA127)</f>
        <v/>
      </c>
    </row>
    <row r="128" customFormat="false" ht="15" hidden="false" customHeight="false" outlineLevel="0" collapsed="false">
      <c r="A128" s="10" t="str">
        <f aca="false">IF(C128="","","RW-"&amp;IFERROR(VLOOKUP(C128,Lists!$M$4:$N$22,2,0),"??")&amp;"-H"&amp;TEXT(D128*1000,"0000")&amp;"-S"&amp;E128&amp;IF(F128="Y","-GW","")&amp;"-"&amp;AA128)</f>
        <v/>
      </c>
      <c r="B128" s="10" t="str">
        <f aca="false">IF(C128="","",C128&amp;", H = "&amp;TEXT(D128,"0.0")&amp;" m, q = "&amp;E128&amp;" kPa"&amp;IF(F128="Y",", with GWT","")&amp;", "&amp;H128)</f>
        <v/>
      </c>
      <c r="C128" s="9"/>
      <c r="D128" s="41"/>
      <c r="E128" s="40"/>
      <c r="F128" s="9"/>
      <c r="G128" s="40"/>
      <c r="H128" s="9"/>
      <c r="I128" s="40"/>
      <c r="J128" s="43"/>
      <c r="K128" s="40"/>
      <c r="L128" s="40"/>
      <c r="M128" s="40"/>
      <c r="N128" s="40"/>
      <c r="O128" s="40"/>
      <c r="P128" s="40"/>
      <c r="Q128" s="9"/>
      <c r="R128" s="9"/>
      <c r="S128" s="40"/>
      <c r="T128" s="9"/>
      <c r="U128" s="9"/>
      <c r="V128" s="9"/>
      <c r="W128" s="41"/>
      <c r="X128" s="41"/>
      <c r="Y128" s="40"/>
      <c r="Z128" s="9"/>
      <c r="AA128" s="9"/>
      <c r="AB128" s="9"/>
      <c r="AC128" s="9"/>
      <c r="AD128" s="9"/>
      <c r="AE128" s="9"/>
      <c r="AF128" s="10" t="str">
        <f aca="false">IF(A128="","",SG_Criteria!$B$6&amp;SG_Criteria!$B$8&amp;"\"&amp;A128&amp;"\")</f>
        <v/>
      </c>
      <c r="AG128" s="10" t="str">
        <f aca="false">IF(A128="","",A128&amp;"_CAD.dwg")</f>
        <v/>
      </c>
      <c r="AH128" s="10" t="str">
        <f aca="false">IF(A128="","",A128&amp;"_DWG.pdf")</f>
        <v/>
      </c>
      <c r="AI128" s="10" t="str">
        <f aca="false">IF(A128="","",IF(AE128="Y",A128&amp;"_STAAD.std","n/a"))</f>
        <v/>
      </c>
      <c r="AJ128" s="10" t="str">
        <f aca="false">IF(A128="","",A128&amp;"_CALC.xlsx")</f>
        <v/>
      </c>
      <c r="AK128" s="10" t="str">
        <f aca="false">IF(A128="","",A128&amp;"_CALC.pdf")</f>
        <v/>
      </c>
      <c r="AL128" s="9"/>
      <c r="AM128" s="9"/>
      <c r="AN128" s="41"/>
      <c r="AO128" s="41"/>
      <c r="AP128" s="41"/>
      <c r="AQ128" s="41"/>
      <c r="AR128" s="41"/>
      <c r="AS128" s="38" t="str">
        <f aca="false">IF(OR(C128="",D128=""),"",IF(D128&lt;=IF(OR(C128="Block / Segmental",C128="Gabion",C128="Reinforced Earth (MSE)"),SG_Criteria!$B$34,SG_Criteria!$B$33),"No ERSS submission",IF(D128&lt;=SG_Criteria!$B$35,"QP(ST)",IF(D128&lt;=SG_Criteria!$B$36,"QP(ST) + AC","Geotechnical building works: QP(Geo) + AC"))))</f>
        <v/>
      </c>
      <c r="AT128" s="38" t="str">
        <f aca="false">IF(C128="","",IF(LEN(IF(AND(R128&lt;&gt;"",IFERROR(VALUE(MID(R128,2,2)),0)&lt;SG_Criteria!$B$19),"FAIL: grade below C"&amp;SG_Criteria!$B$19&amp;". ","")&amp;IF(AND(S128&lt;&gt;"",S128&lt;SG_Criteria!$B$20),"FAIL: cover &lt; "&amp;SG_Criteria!$B$20&amp;" mm. ","")&amp;IF(AND(W128&lt;&gt;"",W128&lt;1),"FAIL: sliding. ","")&amp;IF(AND(C128="Reverse L-Wall (toe only, at boundary)",N(O128)&gt;0),"NOTE: reverse L-wall should have no heel. ","")&amp;IF(AND(C128="L-Wall (heel only)",N(N128)&gt;0),"NOTE: L-wall should have no toe. ","")&amp;IF(AND(E128&lt;&gt;"",E128&lt;SG_Criteria!$B$31),"NOTE: q below LTA min "&amp;SG_Criteria!$B$31&amp;" kPa (not for LTA works). ",""))=0,"OK",IF(AND(R128&lt;&gt;"",IFERROR(VALUE(MID(R128,2,2)),0)&lt;SG_Criteria!$B$19),"FAIL: grade below C"&amp;SG_Criteria!$B$19&amp;". ","")&amp;IF(AND(S128&lt;&gt;"",S128&lt;SG_Criteria!$B$20),"FAIL: cover &lt; "&amp;SG_Criteria!$B$20&amp;" mm. ","")&amp;IF(AND(W128&lt;&gt;"",W128&lt;1),"FAIL: sliding. ","")&amp;IF(AND(C128="Reverse L-Wall (toe only, at boundary)",N(O128)&gt;0),"NOTE: reverse L-wall should have no heel. ","")&amp;IF(AND(C128="L-Wall (heel only)",N(N128)&gt;0),"NOTE: L-wall should have no toe. ","")&amp;IF(AND(E128&lt;&gt;"",E128&lt;SG_Criteria!$B$31),"NOTE: q below LTA min "&amp;SG_Criteria!$B$31&amp;" kPa (not for LTA works). ","")))</f>
        <v/>
      </c>
      <c r="AU128" s="9"/>
      <c r="AV128" s="9"/>
      <c r="AW128" s="9"/>
      <c r="AX128" s="9"/>
      <c r="AY128" s="9"/>
      <c r="AZ128" s="31"/>
      <c r="BA128" s="10" t="str">
        <f aca="false">IF(C128="","",IF(AND(AB128="Approved",ISERROR(SEARCH("FAIL",AT128))),"Y","N"))</f>
        <v/>
      </c>
      <c r="BB128" s="10" t="str">
        <f aca="false">IF(C128="","",C128&amp;"|"&amp;D128&amp;"|"&amp;E128&amp;"|"&amp;F128&amp;"|"&amp;BA128)</f>
        <v/>
      </c>
    </row>
    <row r="129" customFormat="false" ht="15" hidden="false" customHeight="false" outlineLevel="0" collapsed="false">
      <c r="A129" s="10" t="str">
        <f aca="false">IF(C129="","","RW-"&amp;IFERROR(VLOOKUP(C129,Lists!$M$4:$N$22,2,0),"??")&amp;"-H"&amp;TEXT(D129*1000,"0000")&amp;"-S"&amp;E129&amp;IF(F129="Y","-GW","")&amp;"-"&amp;AA129)</f>
        <v/>
      </c>
      <c r="B129" s="10" t="str">
        <f aca="false">IF(C129="","",C129&amp;", H = "&amp;TEXT(D129,"0.0")&amp;" m, q = "&amp;E129&amp;" kPa"&amp;IF(F129="Y",", with GWT","")&amp;", "&amp;H129)</f>
        <v/>
      </c>
      <c r="C129" s="9"/>
      <c r="D129" s="41"/>
      <c r="E129" s="40"/>
      <c r="F129" s="9"/>
      <c r="G129" s="40"/>
      <c r="H129" s="9"/>
      <c r="I129" s="40"/>
      <c r="J129" s="43"/>
      <c r="K129" s="40"/>
      <c r="L129" s="40"/>
      <c r="M129" s="40"/>
      <c r="N129" s="40"/>
      <c r="O129" s="40"/>
      <c r="P129" s="40"/>
      <c r="Q129" s="9"/>
      <c r="R129" s="9"/>
      <c r="S129" s="40"/>
      <c r="T129" s="9"/>
      <c r="U129" s="9"/>
      <c r="V129" s="9"/>
      <c r="W129" s="41"/>
      <c r="X129" s="41"/>
      <c r="Y129" s="40"/>
      <c r="Z129" s="9"/>
      <c r="AA129" s="9"/>
      <c r="AB129" s="9"/>
      <c r="AC129" s="9"/>
      <c r="AD129" s="9"/>
      <c r="AE129" s="9"/>
      <c r="AF129" s="10" t="str">
        <f aca="false">IF(A129="","",SG_Criteria!$B$6&amp;SG_Criteria!$B$8&amp;"\"&amp;A129&amp;"\")</f>
        <v/>
      </c>
      <c r="AG129" s="10" t="str">
        <f aca="false">IF(A129="","",A129&amp;"_CAD.dwg")</f>
        <v/>
      </c>
      <c r="AH129" s="10" t="str">
        <f aca="false">IF(A129="","",A129&amp;"_DWG.pdf")</f>
        <v/>
      </c>
      <c r="AI129" s="10" t="str">
        <f aca="false">IF(A129="","",IF(AE129="Y",A129&amp;"_STAAD.std","n/a"))</f>
        <v/>
      </c>
      <c r="AJ129" s="10" t="str">
        <f aca="false">IF(A129="","",A129&amp;"_CALC.xlsx")</f>
        <v/>
      </c>
      <c r="AK129" s="10" t="str">
        <f aca="false">IF(A129="","",A129&amp;"_CALC.pdf")</f>
        <v/>
      </c>
      <c r="AL129" s="9"/>
      <c r="AM129" s="9"/>
      <c r="AN129" s="41"/>
      <c r="AO129" s="41"/>
      <c r="AP129" s="41"/>
      <c r="AQ129" s="41"/>
      <c r="AR129" s="41"/>
      <c r="AS129" s="38" t="str">
        <f aca="false">IF(OR(C129="",D129=""),"",IF(D129&lt;=IF(OR(C129="Block / Segmental",C129="Gabion",C129="Reinforced Earth (MSE)"),SG_Criteria!$B$34,SG_Criteria!$B$33),"No ERSS submission",IF(D129&lt;=SG_Criteria!$B$35,"QP(ST)",IF(D129&lt;=SG_Criteria!$B$36,"QP(ST) + AC","Geotechnical building works: QP(Geo) + AC"))))</f>
        <v/>
      </c>
      <c r="AT129" s="38" t="str">
        <f aca="false">IF(C129="","",IF(LEN(IF(AND(R129&lt;&gt;"",IFERROR(VALUE(MID(R129,2,2)),0)&lt;SG_Criteria!$B$19),"FAIL: grade below C"&amp;SG_Criteria!$B$19&amp;". ","")&amp;IF(AND(S129&lt;&gt;"",S129&lt;SG_Criteria!$B$20),"FAIL: cover &lt; "&amp;SG_Criteria!$B$20&amp;" mm. ","")&amp;IF(AND(W129&lt;&gt;"",W129&lt;1),"FAIL: sliding. ","")&amp;IF(AND(C129="Reverse L-Wall (toe only, at boundary)",N(O129)&gt;0),"NOTE: reverse L-wall should have no heel. ","")&amp;IF(AND(C129="L-Wall (heel only)",N(N129)&gt;0),"NOTE: L-wall should have no toe. ","")&amp;IF(AND(E129&lt;&gt;"",E129&lt;SG_Criteria!$B$31),"NOTE: q below LTA min "&amp;SG_Criteria!$B$31&amp;" kPa (not for LTA works). ",""))=0,"OK",IF(AND(R129&lt;&gt;"",IFERROR(VALUE(MID(R129,2,2)),0)&lt;SG_Criteria!$B$19),"FAIL: grade below C"&amp;SG_Criteria!$B$19&amp;". ","")&amp;IF(AND(S129&lt;&gt;"",S129&lt;SG_Criteria!$B$20),"FAIL: cover &lt; "&amp;SG_Criteria!$B$20&amp;" mm. ","")&amp;IF(AND(W129&lt;&gt;"",W129&lt;1),"FAIL: sliding. ","")&amp;IF(AND(C129="Reverse L-Wall (toe only, at boundary)",N(O129)&gt;0),"NOTE: reverse L-wall should have no heel. ","")&amp;IF(AND(C129="L-Wall (heel only)",N(N129)&gt;0),"NOTE: L-wall should have no toe. ","")&amp;IF(AND(E129&lt;&gt;"",E129&lt;SG_Criteria!$B$31),"NOTE: q below LTA min "&amp;SG_Criteria!$B$31&amp;" kPa (not for LTA works). ","")))</f>
        <v/>
      </c>
      <c r="AU129" s="9"/>
      <c r="AV129" s="9"/>
      <c r="AW129" s="9"/>
      <c r="AX129" s="9"/>
      <c r="AY129" s="9"/>
      <c r="AZ129" s="31"/>
      <c r="BA129" s="10" t="str">
        <f aca="false">IF(C129="","",IF(AND(AB129="Approved",ISERROR(SEARCH("FAIL",AT129))),"Y","N"))</f>
        <v/>
      </c>
      <c r="BB129" s="10" t="str">
        <f aca="false">IF(C129="","",C129&amp;"|"&amp;D129&amp;"|"&amp;E129&amp;"|"&amp;F129&amp;"|"&amp;BA129)</f>
        <v/>
      </c>
    </row>
    <row r="130" customFormat="false" ht="15" hidden="false" customHeight="false" outlineLevel="0" collapsed="false">
      <c r="A130" s="10" t="str">
        <f aca="false">IF(C130="","","RW-"&amp;IFERROR(VLOOKUP(C130,Lists!$M$4:$N$22,2,0),"??")&amp;"-H"&amp;TEXT(D130*1000,"0000")&amp;"-S"&amp;E130&amp;IF(F130="Y","-GW","")&amp;"-"&amp;AA130)</f>
        <v/>
      </c>
      <c r="B130" s="10" t="str">
        <f aca="false">IF(C130="","",C130&amp;", H = "&amp;TEXT(D130,"0.0")&amp;" m, q = "&amp;E130&amp;" kPa"&amp;IF(F130="Y",", with GWT","")&amp;", "&amp;H130)</f>
        <v/>
      </c>
      <c r="C130" s="9"/>
      <c r="D130" s="41"/>
      <c r="E130" s="40"/>
      <c r="F130" s="9"/>
      <c r="G130" s="40"/>
      <c r="H130" s="9"/>
      <c r="I130" s="40"/>
      <c r="J130" s="43"/>
      <c r="K130" s="40"/>
      <c r="L130" s="40"/>
      <c r="M130" s="40"/>
      <c r="N130" s="40"/>
      <c r="O130" s="40"/>
      <c r="P130" s="40"/>
      <c r="Q130" s="9"/>
      <c r="R130" s="9"/>
      <c r="S130" s="40"/>
      <c r="T130" s="9"/>
      <c r="U130" s="9"/>
      <c r="V130" s="9"/>
      <c r="W130" s="41"/>
      <c r="X130" s="41"/>
      <c r="Y130" s="40"/>
      <c r="Z130" s="9"/>
      <c r="AA130" s="9"/>
      <c r="AB130" s="9"/>
      <c r="AC130" s="9"/>
      <c r="AD130" s="9"/>
      <c r="AE130" s="9"/>
      <c r="AF130" s="10" t="str">
        <f aca="false">IF(A130="","",SG_Criteria!$B$6&amp;SG_Criteria!$B$8&amp;"\"&amp;A130&amp;"\")</f>
        <v/>
      </c>
      <c r="AG130" s="10" t="str">
        <f aca="false">IF(A130="","",A130&amp;"_CAD.dwg")</f>
        <v/>
      </c>
      <c r="AH130" s="10" t="str">
        <f aca="false">IF(A130="","",A130&amp;"_DWG.pdf")</f>
        <v/>
      </c>
      <c r="AI130" s="10" t="str">
        <f aca="false">IF(A130="","",IF(AE130="Y",A130&amp;"_STAAD.std","n/a"))</f>
        <v/>
      </c>
      <c r="AJ130" s="10" t="str">
        <f aca="false">IF(A130="","",A130&amp;"_CALC.xlsx")</f>
        <v/>
      </c>
      <c r="AK130" s="10" t="str">
        <f aca="false">IF(A130="","",A130&amp;"_CALC.pdf")</f>
        <v/>
      </c>
      <c r="AL130" s="9"/>
      <c r="AM130" s="9"/>
      <c r="AN130" s="41"/>
      <c r="AO130" s="41"/>
      <c r="AP130" s="41"/>
      <c r="AQ130" s="41"/>
      <c r="AR130" s="41"/>
      <c r="AS130" s="38" t="str">
        <f aca="false">IF(OR(C130="",D130=""),"",IF(D130&lt;=IF(OR(C130="Block / Segmental",C130="Gabion",C130="Reinforced Earth (MSE)"),SG_Criteria!$B$34,SG_Criteria!$B$33),"No ERSS submission",IF(D130&lt;=SG_Criteria!$B$35,"QP(ST)",IF(D130&lt;=SG_Criteria!$B$36,"QP(ST) + AC","Geotechnical building works: QP(Geo) + AC"))))</f>
        <v/>
      </c>
      <c r="AT130" s="38" t="str">
        <f aca="false">IF(C130="","",IF(LEN(IF(AND(R130&lt;&gt;"",IFERROR(VALUE(MID(R130,2,2)),0)&lt;SG_Criteria!$B$19),"FAIL: grade below C"&amp;SG_Criteria!$B$19&amp;". ","")&amp;IF(AND(S130&lt;&gt;"",S130&lt;SG_Criteria!$B$20),"FAIL: cover &lt; "&amp;SG_Criteria!$B$20&amp;" mm. ","")&amp;IF(AND(W130&lt;&gt;"",W130&lt;1),"FAIL: sliding. ","")&amp;IF(AND(C130="Reverse L-Wall (toe only, at boundary)",N(O130)&gt;0),"NOTE: reverse L-wall should have no heel. ","")&amp;IF(AND(C130="L-Wall (heel only)",N(N130)&gt;0),"NOTE: L-wall should have no toe. ","")&amp;IF(AND(E130&lt;&gt;"",E130&lt;SG_Criteria!$B$31),"NOTE: q below LTA min "&amp;SG_Criteria!$B$31&amp;" kPa (not for LTA works). ",""))=0,"OK",IF(AND(R130&lt;&gt;"",IFERROR(VALUE(MID(R130,2,2)),0)&lt;SG_Criteria!$B$19),"FAIL: grade below C"&amp;SG_Criteria!$B$19&amp;". ","")&amp;IF(AND(S130&lt;&gt;"",S130&lt;SG_Criteria!$B$20),"FAIL: cover &lt; "&amp;SG_Criteria!$B$20&amp;" mm. ","")&amp;IF(AND(W130&lt;&gt;"",W130&lt;1),"FAIL: sliding. ","")&amp;IF(AND(C130="Reverse L-Wall (toe only, at boundary)",N(O130)&gt;0),"NOTE: reverse L-wall should have no heel. ","")&amp;IF(AND(C130="L-Wall (heel only)",N(N130)&gt;0),"NOTE: L-wall should have no toe. ","")&amp;IF(AND(E130&lt;&gt;"",E130&lt;SG_Criteria!$B$31),"NOTE: q below LTA min "&amp;SG_Criteria!$B$31&amp;" kPa (not for LTA works). ","")))</f>
        <v/>
      </c>
      <c r="AU130" s="9"/>
      <c r="AV130" s="9"/>
      <c r="AW130" s="9"/>
      <c r="AX130" s="9"/>
      <c r="AY130" s="9"/>
      <c r="AZ130" s="31"/>
      <c r="BA130" s="10" t="str">
        <f aca="false">IF(C130="","",IF(AND(AB130="Approved",ISERROR(SEARCH("FAIL",AT130))),"Y","N"))</f>
        <v/>
      </c>
      <c r="BB130" s="10" t="str">
        <f aca="false">IF(C130="","",C130&amp;"|"&amp;D130&amp;"|"&amp;E130&amp;"|"&amp;F130&amp;"|"&amp;BA130)</f>
        <v/>
      </c>
    </row>
    <row r="131" customFormat="false" ht="15" hidden="false" customHeight="false" outlineLevel="0" collapsed="false">
      <c r="A131" s="10" t="str">
        <f aca="false">IF(C131="","","RW-"&amp;IFERROR(VLOOKUP(C131,Lists!$M$4:$N$22,2,0),"??")&amp;"-H"&amp;TEXT(D131*1000,"0000")&amp;"-S"&amp;E131&amp;IF(F131="Y","-GW","")&amp;"-"&amp;AA131)</f>
        <v/>
      </c>
      <c r="B131" s="10" t="str">
        <f aca="false">IF(C131="","",C131&amp;", H = "&amp;TEXT(D131,"0.0")&amp;" m, q = "&amp;E131&amp;" kPa"&amp;IF(F131="Y",", with GWT","")&amp;", "&amp;H131)</f>
        <v/>
      </c>
      <c r="C131" s="9"/>
      <c r="D131" s="41"/>
      <c r="E131" s="40"/>
      <c r="F131" s="9"/>
      <c r="G131" s="40"/>
      <c r="H131" s="9"/>
      <c r="I131" s="40"/>
      <c r="J131" s="43"/>
      <c r="K131" s="40"/>
      <c r="L131" s="40"/>
      <c r="M131" s="40"/>
      <c r="N131" s="40"/>
      <c r="O131" s="40"/>
      <c r="P131" s="40"/>
      <c r="Q131" s="9"/>
      <c r="R131" s="9"/>
      <c r="S131" s="40"/>
      <c r="T131" s="9"/>
      <c r="U131" s="9"/>
      <c r="V131" s="9"/>
      <c r="W131" s="41"/>
      <c r="X131" s="41"/>
      <c r="Y131" s="40"/>
      <c r="Z131" s="9"/>
      <c r="AA131" s="9"/>
      <c r="AB131" s="9"/>
      <c r="AC131" s="9"/>
      <c r="AD131" s="9"/>
      <c r="AE131" s="9"/>
      <c r="AF131" s="10" t="str">
        <f aca="false">IF(A131="","",SG_Criteria!$B$6&amp;SG_Criteria!$B$8&amp;"\"&amp;A131&amp;"\")</f>
        <v/>
      </c>
      <c r="AG131" s="10" t="str">
        <f aca="false">IF(A131="","",A131&amp;"_CAD.dwg")</f>
        <v/>
      </c>
      <c r="AH131" s="10" t="str">
        <f aca="false">IF(A131="","",A131&amp;"_DWG.pdf")</f>
        <v/>
      </c>
      <c r="AI131" s="10" t="str">
        <f aca="false">IF(A131="","",IF(AE131="Y",A131&amp;"_STAAD.std","n/a"))</f>
        <v/>
      </c>
      <c r="AJ131" s="10" t="str">
        <f aca="false">IF(A131="","",A131&amp;"_CALC.xlsx")</f>
        <v/>
      </c>
      <c r="AK131" s="10" t="str">
        <f aca="false">IF(A131="","",A131&amp;"_CALC.pdf")</f>
        <v/>
      </c>
      <c r="AL131" s="9"/>
      <c r="AM131" s="9"/>
      <c r="AN131" s="41"/>
      <c r="AO131" s="41"/>
      <c r="AP131" s="41"/>
      <c r="AQ131" s="41"/>
      <c r="AR131" s="41"/>
      <c r="AS131" s="38" t="str">
        <f aca="false">IF(OR(C131="",D131=""),"",IF(D131&lt;=IF(OR(C131="Block / Segmental",C131="Gabion",C131="Reinforced Earth (MSE)"),SG_Criteria!$B$34,SG_Criteria!$B$33),"No ERSS submission",IF(D131&lt;=SG_Criteria!$B$35,"QP(ST)",IF(D131&lt;=SG_Criteria!$B$36,"QP(ST) + AC","Geotechnical building works: QP(Geo) + AC"))))</f>
        <v/>
      </c>
      <c r="AT131" s="38" t="str">
        <f aca="false">IF(C131="","",IF(LEN(IF(AND(R131&lt;&gt;"",IFERROR(VALUE(MID(R131,2,2)),0)&lt;SG_Criteria!$B$19),"FAIL: grade below C"&amp;SG_Criteria!$B$19&amp;". ","")&amp;IF(AND(S131&lt;&gt;"",S131&lt;SG_Criteria!$B$20),"FAIL: cover &lt; "&amp;SG_Criteria!$B$20&amp;" mm. ","")&amp;IF(AND(W131&lt;&gt;"",W131&lt;1),"FAIL: sliding. ","")&amp;IF(AND(C131="Reverse L-Wall (toe only, at boundary)",N(O131)&gt;0),"NOTE: reverse L-wall should have no heel. ","")&amp;IF(AND(C131="L-Wall (heel only)",N(N131)&gt;0),"NOTE: L-wall should have no toe. ","")&amp;IF(AND(E131&lt;&gt;"",E131&lt;SG_Criteria!$B$31),"NOTE: q below LTA min "&amp;SG_Criteria!$B$31&amp;" kPa (not for LTA works). ",""))=0,"OK",IF(AND(R131&lt;&gt;"",IFERROR(VALUE(MID(R131,2,2)),0)&lt;SG_Criteria!$B$19),"FAIL: grade below C"&amp;SG_Criteria!$B$19&amp;". ","")&amp;IF(AND(S131&lt;&gt;"",S131&lt;SG_Criteria!$B$20),"FAIL: cover &lt; "&amp;SG_Criteria!$B$20&amp;" mm. ","")&amp;IF(AND(W131&lt;&gt;"",W131&lt;1),"FAIL: sliding. ","")&amp;IF(AND(C131="Reverse L-Wall (toe only, at boundary)",N(O131)&gt;0),"NOTE: reverse L-wall should have no heel. ","")&amp;IF(AND(C131="L-Wall (heel only)",N(N131)&gt;0),"NOTE: L-wall should have no toe. ","")&amp;IF(AND(E131&lt;&gt;"",E131&lt;SG_Criteria!$B$31),"NOTE: q below LTA min "&amp;SG_Criteria!$B$31&amp;" kPa (not for LTA works). ","")))</f>
        <v/>
      </c>
      <c r="AU131" s="9"/>
      <c r="AV131" s="9"/>
      <c r="AW131" s="9"/>
      <c r="AX131" s="9"/>
      <c r="AY131" s="9"/>
      <c r="AZ131" s="31"/>
      <c r="BA131" s="10" t="str">
        <f aca="false">IF(C131="","",IF(AND(AB131="Approved",ISERROR(SEARCH("FAIL",AT131))),"Y","N"))</f>
        <v/>
      </c>
      <c r="BB131" s="10" t="str">
        <f aca="false">IF(C131="","",C131&amp;"|"&amp;D131&amp;"|"&amp;E131&amp;"|"&amp;F131&amp;"|"&amp;BA131)</f>
        <v/>
      </c>
    </row>
    <row r="132" customFormat="false" ht="15" hidden="false" customHeight="false" outlineLevel="0" collapsed="false">
      <c r="A132" s="10" t="str">
        <f aca="false">IF(C132="","","RW-"&amp;IFERROR(VLOOKUP(C132,Lists!$M$4:$N$22,2,0),"??")&amp;"-H"&amp;TEXT(D132*1000,"0000")&amp;"-S"&amp;E132&amp;IF(F132="Y","-GW","")&amp;"-"&amp;AA132)</f>
        <v/>
      </c>
      <c r="B132" s="10" t="str">
        <f aca="false">IF(C132="","",C132&amp;", H = "&amp;TEXT(D132,"0.0")&amp;" m, q = "&amp;E132&amp;" kPa"&amp;IF(F132="Y",", with GWT","")&amp;", "&amp;H132)</f>
        <v/>
      </c>
      <c r="C132" s="9"/>
      <c r="D132" s="41"/>
      <c r="E132" s="40"/>
      <c r="F132" s="9"/>
      <c r="G132" s="40"/>
      <c r="H132" s="9"/>
      <c r="I132" s="40"/>
      <c r="J132" s="43"/>
      <c r="K132" s="40"/>
      <c r="L132" s="40"/>
      <c r="M132" s="40"/>
      <c r="N132" s="40"/>
      <c r="O132" s="40"/>
      <c r="P132" s="40"/>
      <c r="Q132" s="9"/>
      <c r="R132" s="9"/>
      <c r="S132" s="40"/>
      <c r="T132" s="9"/>
      <c r="U132" s="9"/>
      <c r="V132" s="9"/>
      <c r="W132" s="41"/>
      <c r="X132" s="41"/>
      <c r="Y132" s="40"/>
      <c r="Z132" s="9"/>
      <c r="AA132" s="9"/>
      <c r="AB132" s="9"/>
      <c r="AC132" s="9"/>
      <c r="AD132" s="9"/>
      <c r="AE132" s="9"/>
      <c r="AF132" s="10" t="str">
        <f aca="false">IF(A132="","",SG_Criteria!$B$6&amp;SG_Criteria!$B$8&amp;"\"&amp;A132&amp;"\")</f>
        <v/>
      </c>
      <c r="AG132" s="10" t="str">
        <f aca="false">IF(A132="","",A132&amp;"_CAD.dwg")</f>
        <v/>
      </c>
      <c r="AH132" s="10" t="str">
        <f aca="false">IF(A132="","",A132&amp;"_DWG.pdf")</f>
        <v/>
      </c>
      <c r="AI132" s="10" t="str">
        <f aca="false">IF(A132="","",IF(AE132="Y",A132&amp;"_STAAD.std","n/a"))</f>
        <v/>
      </c>
      <c r="AJ132" s="10" t="str">
        <f aca="false">IF(A132="","",A132&amp;"_CALC.xlsx")</f>
        <v/>
      </c>
      <c r="AK132" s="10" t="str">
        <f aca="false">IF(A132="","",A132&amp;"_CALC.pdf")</f>
        <v/>
      </c>
      <c r="AL132" s="9"/>
      <c r="AM132" s="9"/>
      <c r="AN132" s="41"/>
      <c r="AO132" s="41"/>
      <c r="AP132" s="41"/>
      <c r="AQ132" s="41"/>
      <c r="AR132" s="41"/>
      <c r="AS132" s="38" t="str">
        <f aca="false">IF(OR(C132="",D132=""),"",IF(D132&lt;=IF(OR(C132="Block / Segmental",C132="Gabion",C132="Reinforced Earth (MSE)"),SG_Criteria!$B$34,SG_Criteria!$B$33),"No ERSS submission",IF(D132&lt;=SG_Criteria!$B$35,"QP(ST)",IF(D132&lt;=SG_Criteria!$B$36,"QP(ST) + AC","Geotechnical building works: QP(Geo) + AC"))))</f>
        <v/>
      </c>
      <c r="AT132" s="38" t="str">
        <f aca="false">IF(C132="","",IF(LEN(IF(AND(R132&lt;&gt;"",IFERROR(VALUE(MID(R132,2,2)),0)&lt;SG_Criteria!$B$19),"FAIL: grade below C"&amp;SG_Criteria!$B$19&amp;". ","")&amp;IF(AND(S132&lt;&gt;"",S132&lt;SG_Criteria!$B$20),"FAIL: cover &lt; "&amp;SG_Criteria!$B$20&amp;" mm. ","")&amp;IF(AND(W132&lt;&gt;"",W132&lt;1),"FAIL: sliding. ","")&amp;IF(AND(C132="Reverse L-Wall (toe only, at boundary)",N(O132)&gt;0),"NOTE: reverse L-wall should have no heel. ","")&amp;IF(AND(C132="L-Wall (heel only)",N(N132)&gt;0),"NOTE: L-wall should have no toe. ","")&amp;IF(AND(E132&lt;&gt;"",E132&lt;SG_Criteria!$B$31),"NOTE: q below LTA min "&amp;SG_Criteria!$B$31&amp;" kPa (not for LTA works). ",""))=0,"OK",IF(AND(R132&lt;&gt;"",IFERROR(VALUE(MID(R132,2,2)),0)&lt;SG_Criteria!$B$19),"FAIL: grade below C"&amp;SG_Criteria!$B$19&amp;". ","")&amp;IF(AND(S132&lt;&gt;"",S132&lt;SG_Criteria!$B$20),"FAIL: cover &lt; "&amp;SG_Criteria!$B$20&amp;" mm. ","")&amp;IF(AND(W132&lt;&gt;"",W132&lt;1),"FAIL: sliding. ","")&amp;IF(AND(C132="Reverse L-Wall (toe only, at boundary)",N(O132)&gt;0),"NOTE: reverse L-wall should have no heel. ","")&amp;IF(AND(C132="L-Wall (heel only)",N(N132)&gt;0),"NOTE: L-wall should have no toe. ","")&amp;IF(AND(E132&lt;&gt;"",E132&lt;SG_Criteria!$B$31),"NOTE: q below LTA min "&amp;SG_Criteria!$B$31&amp;" kPa (not for LTA works). ","")))</f>
        <v/>
      </c>
      <c r="AU132" s="9"/>
      <c r="AV132" s="9"/>
      <c r="AW132" s="9"/>
      <c r="AX132" s="9"/>
      <c r="AY132" s="9"/>
      <c r="AZ132" s="31"/>
      <c r="BA132" s="10" t="str">
        <f aca="false">IF(C132="","",IF(AND(AB132="Approved",ISERROR(SEARCH("FAIL",AT132))),"Y","N"))</f>
        <v/>
      </c>
      <c r="BB132" s="10" t="str">
        <f aca="false">IF(C132="","",C132&amp;"|"&amp;D132&amp;"|"&amp;E132&amp;"|"&amp;F132&amp;"|"&amp;BA132)</f>
        <v/>
      </c>
    </row>
    <row r="133" customFormat="false" ht="15" hidden="false" customHeight="false" outlineLevel="0" collapsed="false">
      <c r="A133" s="10" t="str">
        <f aca="false">IF(C133="","","RW-"&amp;IFERROR(VLOOKUP(C133,Lists!$M$4:$N$22,2,0),"??")&amp;"-H"&amp;TEXT(D133*1000,"0000")&amp;"-S"&amp;E133&amp;IF(F133="Y","-GW","")&amp;"-"&amp;AA133)</f>
        <v/>
      </c>
      <c r="B133" s="10" t="str">
        <f aca="false">IF(C133="","",C133&amp;", H = "&amp;TEXT(D133,"0.0")&amp;" m, q = "&amp;E133&amp;" kPa"&amp;IF(F133="Y",", with GWT","")&amp;", "&amp;H133)</f>
        <v/>
      </c>
      <c r="C133" s="9"/>
      <c r="D133" s="41"/>
      <c r="E133" s="40"/>
      <c r="F133" s="9"/>
      <c r="G133" s="40"/>
      <c r="H133" s="9"/>
      <c r="I133" s="40"/>
      <c r="J133" s="43"/>
      <c r="K133" s="40"/>
      <c r="L133" s="40"/>
      <c r="M133" s="40"/>
      <c r="N133" s="40"/>
      <c r="O133" s="40"/>
      <c r="P133" s="40"/>
      <c r="Q133" s="9"/>
      <c r="R133" s="9"/>
      <c r="S133" s="40"/>
      <c r="T133" s="9"/>
      <c r="U133" s="9"/>
      <c r="V133" s="9"/>
      <c r="W133" s="41"/>
      <c r="X133" s="41"/>
      <c r="Y133" s="40"/>
      <c r="Z133" s="9"/>
      <c r="AA133" s="9"/>
      <c r="AB133" s="9"/>
      <c r="AC133" s="9"/>
      <c r="AD133" s="9"/>
      <c r="AE133" s="9"/>
      <c r="AF133" s="10" t="str">
        <f aca="false">IF(A133="","",SG_Criteria!$B$6&amp;SG_Criteria!$B$8&amp;"\"&amp;A133&amp;"\")</f>
        <v/>
      </c>
      <c r="AG133" s="10" t="str">
        <f aca="false">IF(A133="","",A133&amp;"_CAD.dwg")</f>
        <v/>
      </c>
      <c r="AH133" s="10" t="str">
        <f aca="false">IF(A133="","",A133&amp;"_DWG.pdf")</f>
        <v/>
      </c>
      <c r="AI133" s="10" t="str">
        <f aca="false">IF(A133="","",IF(AE133="Y",A133&amp;"_STAAD.std","n/a"))</f>
        <v/>
      </c>
      <c r="AJ133" s="10" t="str">
        <f aca="false">IF(A133="","",A133&amp;"_CALC.xlsx")</f>
        <v/>
      </c>
      <c r="AK133" s="10" t="str">
        <f aca="false">IF(A133="","",A133&amp;"_CALC.pdf")</f>
        <v/>
      </c>
      <c r="AL133" s="9"/>
      <c r="AM133" s="9"/>
      <c r="AN133" s="41"/>
      <c r="AO133" s="41"/>
      <c r="AP133" s="41"/>
      <c r="AQ133" s="41"/>
      <c r="AR133" s="41"/>
      <c r="AS133" s="38" t="str">
        <f aca="false">IF(OR(C133="",D133=""),"",IF(D133&lt;=IF(OR(C133="Block / Segmental",C133="Gabion",C133="Reinforced Earth (MSE)"),SG_Criteria!$B$34,SG_Criteria!$B$33),"No ERSS submission",IF(D133&lt;=SG_Criteria!$B$35,"QP(ST)",IF(D133&lt;=SG_Criteria!$B$36,"QP(ST) + AC","Geotechnical building works: QP(Geo) + AC"))))</f>
        <v/>
      </c>
      <c r="AT133" s="38" t="str">
        <f aca="false">IF(C133="","",IF(LEN(IF(AND(R133&lt;&gt;"",IFERROR(VALUE(MID(R133,2,2)),0)&lt;SG_Criteria!$B$19),"FAIL: grade below C"&amp;SG_Criteria!$B$19&amp;". ","")&amp;IF(AND(S133&lt;&gt;"",S133&lt;SG_Criteria!$B$20),"FAIL: cover &lt; "&amp;SG_Criteria!$B$20&amp;" mm. ","")&amp;IF(AND(W133&lt;&gt;"",W133&lt;1),"FAIL: sliding. ","")&amp;IF(AND(C133="Reverse L-Wall (toe only, at boundary)",N(O133)&gt;0),"NOTE: reverse L-wall should have no heel. ","")&amp;IF(AND(C133="L-Wall (heel only)",N(N133)&gt;0),"NOTE: L-wall should have no toe. ","")&amp;IF(AND(E133&lt;&gt;"",E133&lt;SG_Criteria!$B$31),"NOTE: q below LTA min "&amp;SG_Criteria!$B$31&amp;" kPa (not for LTA works). ",""))=0,"OK",IF(AND(R133&lt;&gt;"",IFERROR(VALUE(MID(R133,2,2)),0)&lt;SG_Criteria!$B$19),"FAIL: grade below C"&amp;SG_Criteria!$B$19&amp;". ","")&amp;IF(AND(S133&lt;&gt;"",S133&lt;SG_Criteria!$B$20),"FAIL: cover &lt; "&amp;SG_Criteria!$B$20&amp;" mm. ","")&amp;IF(AND(W133&lt;&gt;"",W133&lt;1),"FAIL: sliding. ","")&amp;IF(AND(C133="Reverse L-Wall (toe only, at boundary)",N(O133)&gt;0),"NOTE: reverse L-wall should have no heel. ","")&amp;IF(AND(C133="L-Wall (heel only)",N(N133)&gt;0),"NOTE: L-wall should have no toe. ","")&amp;IF(AND(E133&lt;&gt;"",E133&lt;SG_Criteria!$B$31),"NOTE: q below LTA min "&amp;SG_Criteria!$B$31&amp;" kPa (not for LTA works). ","")))</f>
        <v/>
      </c>
      <c r="AU133" s="9"/>
      <c r="AV133" s="9"/>
      <c r="AW133" s="9"/>
      <c r="AX133" s="9"/>
      <c r="AY133" s="9"/>
      <c r="AZ133" s="31"/>
      <c r="BA133" s="10" t="str">
        <f aca="false">IF(C133="","",IF(AND(AB133="Approved",ISERROR(SEARCH("FAIL",AT133))),"Y","N"))</f>
        <v/>
      </c>
      <c r="BB133" s="10" t="str">
        <f aca="false">IF(C133="","",C133&amp;"|"&amp;D133&amp;"|"&amp;E133&amp;"|"&amp;F133&amp;"|"&amp;BA133)</f>
        <v/>
      </c>
    </row>
    <row r="134" customFormat="false" ht="15" hidden="false" customHeight="false" outlineLevel="0" collapsed="false">
      <c r="A134" s="10" t="str">
        <f aca="false">IF(C134="","","RW-"&amp;IFERROR(VLOOKUP(C134,Lists!$M$4:$N$22,2,0),"??")&amp;"-H"&amp;TEXT(D134*1000,"0000")&amp;"-S"&amp;E134&amp;IF(F134="Y","-GW","")&amp;"-"&amp;AA134)</f>
        <v/>
      </c>
      <c r="B134" s="10" t="str">
        <f aca="false">IF(C134="","",C134&amp;", H = "&amp;TEXT(D134,"0.0")&amp;" m, q = "&amp;E134&amp;" kPa"&amp;IF(F134="Y",", with GWT","")&amp;", "&amp;H134)</f>
        <v/>
      </c>
      <c r="C134" s="9"/>
      <c r="D134" s="41"/>
      <c r="E134" s="40"/>
      <c r="F134" s="9"/>
      <c r="G134" s="40"/>
      <c r="H134" s="9"/>
      <c r="I134" s="40"/>
      <c r="J134" s="43"/>
      <c r="K134" s="40"/>
      <c r="L134" s="40"/>
      <c r="M134" s="40"/>
      <c r="N134" s="40"/>
      <c r="O134" s="40"/>
      <c r="P134" s="40"/>
      <c r="Q134" s="9"/>
      <c r="R134" s="9"/>
      <c r="S134" s="40"/>
      <c r="T134" s="9"/>
      <c r="U134" s="9"/>
      <c r="V134" s="9"/>
      <c r="W134" s="41"/>
      <c r="X134" s="41"/>
      <c r="Y134" s="40"/>
      <c r="Z134" s="9"/>
      <c r="AA134" s="9"/>
      <c r="AB134" s="9"/>
      <c r="AC134" s="9"/>
      <c r="AD134" s="9"/>
      <c r="AE134" s="9"/>
      <c r="AF134" s="10" t="str">
        <f aca="false">IF(A134="","",SG_Criteria!$B$6&amp;SG_Criteria!$B$8&amp;"\"&amp;A134&amp;"\")</f>
        <v/>
      </c>
      <c r="AG134" s="10" t="str">
        <f aca="false">IF(A134="","",A134&amp;"_CAD.dwg")</f>
        <v/>
      </c>
      <c r="AH134" s="10" t="str">
        <f aca="false">IF(A134="","",A134&amp;"_DWG.pdf")</f>
        <v/>
      </c>
      <c r="AI134" s="10" t="str">
        <f aca="false">IF(A134="","",IF(AE134="Y",A134&amp;"_STAAD.std","n/a"))</f>
        <v/>
      </c>
      <c r="AJ134" s="10" t="str">
        <f aca="false">IF(A134="","",A134&amp;"_CALC.xlsx")</f>
        <v/>
      </c>
      <c r="AK134" s="10" t="str">
        <f aca="false">IF(A134="","",A134&amp;"_CALC.pdf")</f>
        <v/>
      </c>
      <c r="AL134" s="9"/>
      <c r="AM134" s="9"/>
      <c r="AN134" s="41"/>
      <c r="AO134" s="41"/>
      <c r="AP134" s="41"/>
      <c r="AQ134" s="41"/>
      <c r="AR134" s="41"/>
      <c r="AS134" s="38" t="str">
        <f aca="false">IF(OR(C134="",D134=""),"",IF(D134&lt;=IF(OR(C134="Block / Segmental",C134="Gabion",C134="Reinforced Earth (MSE)"),SG_Criteria!$B$34,SG_Criteria!$B$33),"No ERSS submission",IF(D134&lt;=SG_Criteria!$B$35,"QP(ST)",IF(D134&lt;=SG_Criteria!$B$36,"QP(ST) + AC","Geotechnical building works: QP(Geo) + AC"))))</f>
        <v/>
      </c>
      <c r="AT134" s="38" t="str">
        <f aca="false">IF(C134="","",IF(LEN(IF(AND(R134&lt;&gt;"",IFERROR(VALUE(MID(R134,2,2)),0)&lt;SG_Criteria!$B$19),"FAIL: grade below C"&amp;SG_Criteria!$B$19&amp;". ","")&amp;IF(AND(S134&lt;&gt;"",S134&lt;SG_Criteria!$B$20),"FAIL: cover &lt; "&amp;SG_Criteria!$B$20&amp;" mm. ","")&amp;IF(AND(W134&lt;&gt;"",W134&lt;1),"FAIL: sliding. ","")&amp;IF(AND(C134="Reverse L-Wall (toe only, at boundary)",N(O134)&gt;0),"NOTE: reverse L-wall should have no heel. ","")&amp;IF(AND(C134="L-Wall (heel only)",N(N134)&gt;0),"NOTE: L-wall should have no toe. ","")&amp;IF(AND(E134&lt;&gt;"",E134&lt;SG_Criteria!$B$31),"NOTE: q below LTA min "&amp;SG_Criteria!$B$31&amp;" kPa (not for LTA works). ",""))=0,"OK",IF(AND(R134&lt;&gt;"",IFERROR(VALUE(MID(R134,2,2)),0)&lt;SG_Criteria!$B$19),"FAIL: grade below C"&amp;SG_Criteria!$B$19&amp;". ","")&amp;IF(AND(S134&lt;&gt;"",S134&lt;SG_Criteria!$B$20),"FAIL: cover &lt; "&amp;SG_Criteria!$B$20&amp;" mm. ","")&amp;IF(AND(W134&lt;&gt;"",W134&lt;1),"FAIL: sliding. ","")&amp;IF(AND(C134="Reverse L-Wall (toe only, at boundary)",N(O134)&gt;0),"NOTE: reverse L-wall should have no heel. ","")&amp;IF(AND(C134="L-Wall (heel only)",N(N134)&gt;0),"NOTE: L-wall should have no toe. ","")&amp;IF(AND(E134&lt;&gt;"",E134&lt;SG_Criteria!$B$31),"NOTE: q below LTA min "&amp;SG_Criteria!$B$31&amp;" kPa (not for LTA works). ","")))</f>
        <v/>
      </c>
      <c r="AU134" s="9"/>
      <c r="AV134" s="9"/>
      <c r="AW134" s="9"/>
      <c r="AX134" s="9"/>
      <c r="AY134" s="9"/>
      <c r="AZ134" s="31"/>
      <c r="BA134" s="10" t="str">
        <f aca="false">IF(C134="","",IF(AND(AB134="Approved",ISERROR(SEARCH("FAIL",AT134))),"Y","N"))</f>
        <v/>
      </c>
      <c r="BB134" s="10" t="str">
        <f aca="false">IF(C134="","",C134&amp;"|"&amp;D134&amp;"|"&amp;E134&amp;"|"&amp;F134&amp;"|"&amp;BA134)</f>
        <v/>
      </c>
    </row>
    <row r="135" customFormat="false" ht="15" hidden="false" customHeight="false" outlineLevel="0" collapsed="false">
      <c r="A135" s="10" t="str">
        <f aca="false">IF(C135="","","RW-"&amp;IFERROR(VLOOKUP(C135,Lists!$M$4:$N$22,2,0),"??")&amp;"-H"&amp;TEXT(D135*1000,"0000")&amp;"-S"&amp;E135&amp;IF(F135="Y","-GW","")&amp;"-"&amp;AA135)</f>
        <v/>
      </c>
      <c r="B135" s="10" t="str">
        <f aca="false">IF(C135="","",C135&amp;", H = "&amp;TEXT(D135,"0.0")&amp;" m, q = "&amp;E135&amp;" kPa"&amp;IF(F135="Y",", with GWT","")&amp;", "&amp;H135)</f>
        <v/>
      </c>
      <c r="C135" s="9"/>
      <c r="D135" s="41"/>
      <c r="E135" s="40"/>
      <c r="F135" s="9"/>
      <c r="G135" s="40"/>
      <c r="H135" s="9"/>
      <c r="I135" s="40"/>
      <c r="J135" s="43"/>
      <c r="K135" s="40"/>
      <c r="L135" s="40"/>
      <c r="M135" s="40"/>
      <c r="N135" s="40"/>
      <c r="O135" s="40"/>
      <c r="P135" s="40"/>
      <c r="Q135" s="9"/>
      <c r="R135" s="9"/>
      <c r="S135" s="40"/>
      <c r="T135" s="9"/>
      <c r="U135" s="9"/>
      <c r="V135" s="9"/>
      <c r="W135" s="41"/>
      <c r="X135" s="41"/>
      <c r="Y135" s="40"/>
      <c r="Z135" s="9"/>
      <c r="AA135" s="9"/>
      <c r="AB135" s="9"/>
      <c r="AC135" s="9"/>
      <c r="AD135" s="9"/>
      <c r="AE135" s="9"/>
      <c r="AF135" s="10" t="str">
        <f aca="false">IF(A135="","",SG_Criteria!$B$6&amp;SG_Criteria!$B$8&amp;"\"&amp;A135&amp;"\")</f>
        <v/>
      </c>
      <c r="AG135" s="10" t="str">
        <f aca="false">IF(A135="","",A135&amp;"_CAD.dwg")</f>
        <v/>
      </c>
      <c r="AH135" s="10" t="str">
        <f aca="false">IF(A135="","",A135&amp;"_DWG.pdf")</f>
        <v/>
      </c>
      <c r="AI135" s="10" t="str">
        <f aca="false">IF(A135="","",IF(AE135="Y",A135&amp;"_STAAD.std","n/a"))</f>
        <v/>
      </c>
      <c r="AJ135" s="10" t="str">
        <f aca="false">IF(A135="","",A135&amp;"_CALC.xlsx")</f>
        <v/>
      </c>
      <c r="AK135" s="10" t="str">
        <f aca="false">IF(A135="","",A135&amp;"_CALC.pdf")</f>
        <v/>
      </c>
      <c r="AL135" s="9"/>
      <c r="AM135" s="9"/>
      <c r="AN135" s="41"/>
      <c r="AO135" s="41"/>
      <c r="AP135" s="41"/>
      <c r="AQ135" s="41"/>
      <c r="AR135" s="41"/>
      <c r="AS135" s="38" t="str">
        <f aca="false">IF(OR(C135="",D135=""),"",IF(D135&lt;=IF(OR(C135="Block / Segmental",C135="Gabion",C135="Reinforced Earth (MSE)"),SG_Criteria!$B$34,SG_Criteria!$B$33),"No ERSS submission",IF(D135&lt;=SG_Criteria!$B$35,"QP(ST)",IF(D135&lt;=SG_Criteria!$B$36,"QP(ST) + AC","Geotechnical building works: QP(Geo) + AC"))))</f>
        <v/>
      </c>
      <c r="AT135" s="38" t="str">
        <f aca="false">IF(C135="","",IF(LEN(IF(AND(R135&lt;&gt;"",IFERROR(VALUE(MID(R135,2,2)),0)&lt;SG_Criteria!$B$19),"FAIL: grade below C"&amp;SG_Criteria!$B$19&amp;". ","")&amp;IF(AND(S135&lt;&gt;"",S135&lt;SG_Criteria!$B$20),"FAIL: cover &lt; "&amp;SG_Criteria!$B$20&amp;" mm. ","")&amp;IF(AND(W135&lt;&gt;"",W135&lt;1),"FAIL: sliding. ","")&amp;IF(AND(C135="Reverse L-Wall (toe only, at boundary)",N(O135)&gt;0),"NOTE: reverse L-wall should have no heel. ","")&amp;IF(AND(C135="L-Wall (heel only)",N(N135)&gt;0),"NOTE: L-wall should have no toe. ","")&amp;IF(AND(E135&lt;&gt;"",E135&lt;SG_Criteria!$B$31),"NOTE: q below LTA min "&amp;SG_Criteria!$B$31&amp;" kPa (not for LTA works). ",""))=0,"OK",IF(AND(R135&lt;&gt;"",IFERROR(VALUE(MID(R135,2,2)),0)&lt;SG_Criteria!$B$19),"FAIL: grade below C"&amp;SG_Criteria!$B$19&amp;". ","")&amp;IF(AND(S135&lt;&gt;"",S135&lt;SG_Criteria!$B$20),"FAIL: cover &lt; "&amp;SG_Criteria!$B$20&amp;" mm. ","")&amp;IF(AND(W135&lt;&gt;"",W135&lt;1),"FAIL: sliding. ","")&amp;IF(AND(C135="Reverse L-Wall (toe only, at boundary)",N(O135)&gt;0),"NOTE: reverse L-wall should have no heel. ","")&amp;IF(AND(C135="L-Wall (heel only)",N(N135)&gt;0),"NOTE: L-wall should have no toe. ","")&amp;IF(AND(E135&lt;&gt;"",E135&lt;SG_Criteria!$B$31),"NOTE: q below LTA min "&amp;SG_Criteria!$B$31&amp;" kPa (not for LTA works). ","")))</f>
        <v/>
      </c>
      <c r="AU135" s="9"/>
      <c r="AV135" s="9"/>
      <c r="AW135" s="9"/>
      <c r="AX135" s="9"/>
      <c r="AY135" s="9"/>
      <c r="AZ135" s="31"/>
      <c r="BA135" s="10" t="str">
        <f aca="false">IF(C135="","",IF(AND(AB135="Approved",ISERROR(SEARCH("FAIL",AT135))),"Y","N"))</f>
        <v/>
      </c>
      <c r="BB135" s="10" t="str">
        <f aca="false">IF(C135="","",C135&amp;"|"&amp;D135&amp;"|"&amp;E135&amp;"|"&amp;F135&amp;"|"&amp;BA135)</f>
        <v/>
      </c>
    </row>
    <row r="136" customFormat="false" ht="15" hidden="false" customHeight="false" outlineLevel="0" collapsed="false">
      <c r="A136" s="10" t="str">
        <f aca="false">IF(C136="","","RW-"&amp;IFERROR(VLOOKUP(C136,Lists!$M$4:$N$22,2,0),"??")&amp;"-H"&amp;TEXT(D136*1000,"0000")&amp;"-S"&amp;E136&amp;IF(F136="Y","-GW","")&amp;"-"&amp;AA136)</f>
        <v/>
      </c>
      <c r="B136" s="10" t="str">
        <f aca="false">IF(C136="","",C136&amp;", H = "&amp;TEXT(D136,"0.0")&amp;" m, q = "&amp;E136&amp;" kPa"&amp;IF(F136="Y",", with GWT","")&amp;", "&amp;H136)</f>
        <v/>
      </c>
      <c r="C136" s="9"/>
      <c r="D136" s="41"/>
      <c r="E136" s="40"/>
      <c r="F136" s="9"/>
      <c r="G136" s="40"/>
      <c r="H136" s="9"/>
      <c r="I136" s="40"/>
      <c r="J136" s="43"/>
      <c r="K136" s="40"/>
      <c r="L136" s="40"/>
      <c r="M136" s="40"/>
      <c r="N136" s="40"/>
      <c r="O136" s="40"/>
      <c r="P136" s="40"/>
      <c r="Q136" s="9"/>
      <c r="R136" s="9"/>
      <c r="S136" s="40"/>
      <c r="T136" s="9"/>
      <c r="U136" s="9"/>
      <c r="V136" s="9"/>
      <c r="W136" s="41"/>
      <c r="X136" s="41"/>
      <c r="Y136" s="40"/>
      <c r="Z136" s="9"/>
      <c r="AA136" s="9"/>
      <c r="AB136" s="9"/>
      <c r="AC136" s="9"/>
      <c r="AD136" s="9"/>
      <c r="AE136" s="9"/>
      <c r="AF136" s="10" t="str">
        <f aca="false">IF(A136="","",SG_Criteria!$B$6&amp;SG_Criteria!$B$8&amp;"\"&amp;A136&amp;"\")</f>
        <v/>
      </c>
      <c r="AG136" s="10" t="str">
        <f aca="false">IF(A136="","",A136&amp;"_CAD.dwg")</f>
        <v/>
      </c>
      <c r="AH136" s="10" t="str">
        <f aca="false">IF(A136="","",A136&amp;"_DWG.pdf")</f>
        <v/>
      </c>
      <c r="AI136" s="10" t="str">
        <f aca="false">IF(A136="","",IF(AE136="Y",A136&amp;"_STAAD.std","n/a"))</f>
        <v/>
      </c>
      <c r="AJ136" s="10" t="str">
        <f aca="false">IF(A136="","",A136&amp;"_CALC.xlsx")</f>
        <v/>
      </c>
      <c r="AK136" s="10" t="str">
        <f aca="false">IF(A136="","",A136&amp;"_CALC.pdf")</f>
        <v/>
      </c>
      <c r="AL136" s="9"/>
      <c r="AM136" s="9"/>
      <c r="AN136" s="41"/>
      <c r="AO136" s="41"/>
      <c r="AP136" s="41"/>
      <c r="AQ136" s="41"/>
      <c r="AR136" s="41"/>
      <c r="AS136" s="38" t="str">
        <f aca="false">IF(OR(C136="",D136=""),"",IF(D136&lt;=IF(OR(C136="Block / Segmental",C136="Gabion",C136="Reinforced Earth (MSE)"),SG_Criteria!$B$34,SG_Criteria!$B$33),"No ERSS submission",IF(D136&lt;=SG_Criteria!$B$35,"QP(ST)",IF(D136&lt;=SG_Criteria!$B$36,"QP(ST) + AC","Geotechnical building works: QP(Geo) + AC"))))</f>
        <v/>
      </c>
      <c r="AT136" s="38" t="str">
        <f aca="false">IF(C136="","",IF(LEN(IF(AND(R136&lt;&gt;"",IFERROR(VALUE(MID(R136,2,2)),0)&lt;SG_Criteria!$B$19),"FAIL: grade below C"&amp;SG_Criteria!$B$19&amp;". ","")&amp;IF(AND(S136&lt;&gt;"",S136&lt;SG_Criteria!$B$20),"FAIL: cover &lt; "&amp;SG_Criteria!$B$20&amp;" mm. ","")&amp;IF(AND(W136&lt;&gt;"",W136&lt;1),"FAIL: sliding. ","")&amp;IF(AND(C136="Reverse L-Wall (toe only, at boundary)",N(O136)&gt;0),"NOTE: reverse L-wall should have no heel. ","")&amp;IF(AND(C136="L-Wall (heel only)",N(N136)&gt;0),"NOTE: L-wall should have no toe. ","")&amp;IF(AND(E136&lt;&gt;"",E136&lt;SG_Criteria!$B$31),"NOTE: q below LTA min "&amp;SG_Criteria!$B$31&amp;" kPa (not for LTA works). ",""))=0,"OK",IF(AND(R136&lt;&gt;"",IFERROR(VALUE(MID(R136,2,2)),0)&lt;SG_Criteria!$B$19),"FAIL: grade below C"&amp;SG_Criteria!$B$19&amp;". ","")&amp;IF(AND(S136&lt;&gt;"",S136&lt;SG_Criteria!$B$20),"FAIL: cover &lt; "&amp;SG_Criteria!$B$20&amp;" mm. ","")&amp;IF(AND(W136&lt;&gt;"",W136&lt;1),"FAIL: sliding. ","")&amp;IF(AND(C136="Reverse L-Wall (toe only, at boundary)",N(O136)&gt;0),"NOTE: reverse L-wall should have no heel. ","")&amp;IF(AND(C136="L-Wall (heel only)",N(N136)&gt;0),"NOTE: L-wall should have no toe. ","")&amp;IF(AND(E136&lt;&gt;"",E136&lt;SG_Criteria!$B$31),"NOTE: q below LTA min "&amp;SG_Criteria!$B$31&amp;" kPa (not for LTA works). ","")))</f>
        <v/>
      </c>
      <c r="AU136" s="9"/>
      <c r="AV136" s="9"/>
      <c r="AW136" s="9"/>
      <c r="AX136" s="9"/>
      <c r="AY136" s="9"/>
      <c r="AZ136" s="31"/>
      <c r="BA136" s="10" t="str">
        <f aca="false">IF(C136="","",IF(AND(AB136="Approved",ISERROR(SEARCH("FAIL",AT136))),"Y","N"))</f>
        <v/>
      </c>
      <c r="BB136" s="10" t="str">
        <f aca="false">IF(C136="","",C136&amp;"|"&amp;D136&amp;"|"&amp;E136&amp;"|"&amp;F136&amp;"|"&amp;BA136)</f>
        <v/>
      </c>
    </row>
    <row r="137" customFormat="false" ht="15" hidden="false" customHeight="false" outlineLevel="0" collapsed="false">
      <c r="A137" s="10" t="str">
        <f aca="false">IF(C137="","","RW-"&amp;IFERROR(VLOOKUP(C137,Lists!$M$4:$N$22,2,0),"??")&amp;"-H"&amp;TEXT(D137*1000,"0000")&amp;"-S"&amp;E137&amp;IF(F137="Y","-GW","")&amp;"-"&amp;AA137)</f>
        <v/>
      </c>
      <c r="B137" s="10" t="str">
        <f aca="false">IF(C137="","",C137&amp;", H = "&amp;TEXT(D137,"0.0")&amp;" m, q = "&amp;E137&amp;" kPa"&amp;IF(F137="Y",", with GWT","")&amp;", "&amp;H137)</f>
        <v/>
      </c>
      <c r="C137" s="9"/>
      <c r="D137" s="41"/>
      <c r="E137" s="40"/>
      <c r="F137" s="9"/>
      <c r="G137" s="40"/>
      <c r="H137" s="9"/>
      <c r="I137" s="40"/>
      <c r="J137" s="43"/>
      <c r="K137" s="40"/>
      <c r="L137" s="40"/>
      <c r="M137" s="40"/>
      <c r="N137" s="40"/>
      <c r="O137" s="40"/>
      <c r="P137" s="40"/>
      <c r="Q137" s="9"/>
      <c r="R137" s="9"/>
      <c r="S137" s="40"/>
      <c r="T137" s="9"/>
      <c r="U137" s="9"/>
      <c r="V137" s="9"/>
      <c r="W137" s="41"/>
      <c r="X137" s="41"/>
      <c r="Y137" s="40"/>
      <c r="Z137" s="9"/>
      <c r="AA137" s="9"/>
      <c r="AB137" s="9"/>
      <c r="AC137" s="9"/>
      <c r="AD137" s="9"/>
      <c r="AE137" s="9"/>
      <c r="AF137" s="10" t="str">
        <f aca="false">IF(A137="","",SG_Criteria!$B$6&amp;SG_Criteria!$B$8&amp;"\"&amp;A137&amp;"\")</f>
        <v/>
      </c>
      <c r="AG137" s="10" t="str">
        <f aca="false">IF(A137="","",A137&amp;"_CAD.dwg")</f>
        <v/>
      </c>
      <c r="AH137" s="10" t="str">
        <f aca="false">IF(A137="","",A137&amp;"_DWG.pdf")</f>
        <v/>
      </c>
      <c r="AI137" s="10" t="str">
        <f aca="false">IF(A137="","",IF(AE137="Y",A137&amp;"_STAAD.std","n/a"))</f>
        <v/>
      </c>
      <c r="AJ137" s="10" t="str">
        <f aca="false">IF(A137="","",A137&amp;"_CALC.xlsx")</f>
        <v/>
      </c>
      <c r="AK137" s="10" t="str">
        <f aca="false">IF(A137="","",A137&amp;"_CALC.pdf")</f>
        <v/>
      </c>
      <c r="AL137" s="9"/>
      <c r="AM137" s="9"/>
      <c r="AN137" s="41"/>
      <c r="AO137" s="41"/>
      <c r="AP137" s="41"/>
      <c r="AQ137" s="41"/>
      <c r="AR137" s="41"/>
      <c r="AS137" s="38" t="str">
        <f aca="false">IF(OR(C137="",D137=""),"",IF(D137&lt;=IF(OR(C137="Block / Segmental",C137="Gabion",C137="Reinforced Earth (MSE)"),SG_Criteria!$B$34,SG_Criteria!$B$33),"No ERSS submission",IF(D137&lt;=SG_Criteria!$B$35,"QP(ST)",IF(D137&lt;=SG_Criteria!$B$36,"QP(ST) + AC","Geotechnical building works: QP(Geo) + AC"))))</f>
        <v/>
      </c>
      <c r="AT137" s="38" t="str">
        <f aca="false">IF(C137="","",IF(LEN(IF(AND(R137&lt;&gt;"",IFERROR(VALUE(MID(R137,2,2)),0)&lt;SG_Criteria!$B$19),"FAIL: grade below C"&amp;SG_Criteria!$B$19&amp;". ","")&amp;IF(AND(S137&lt;&gt;"",S137&lt;SG_Criteria!$B$20),"FAIL: cover &lt; "&amp;SG_Criteria!$B$20&amp;" mm. ","")&amp;IF(AND(W137&lt;&gt;"",W137&lt;1),"FAIL: sliding. ","")&amp;IF(AND(C137="Reverse L-Wall (toe only, at boundary)",N(O137)&gt;0),"NOTE: reverse L-wall should have no heel. ","")&amp;IF(AND(C137="L-Wall (heel only)",N(N137)&gt;0),"NOTE: L-wall should have no toe. ","")&amp;IF(AND(E137&lt;&gt;"",E137&lt;SG_Criteria!$B$31),"NOTE: q below LTA min "&amp;SG_Criteria!$B$31&amp;" kPa (not for LTA works). ",""))=0,"OK",IF(AND(R137&lt;&gt;"",IFERROR(VALUE(MID(R137,2,2)),0)&lt;SG_Criteria!$B$19),"FAIL: grade below C"&amp;SG_Criteria!$B$19&amp;". ","")&amp;IF(AND(S137&lt;&gt;"",S137&lt;SG_Criteria!$B$20),"FAIL: cover &lt; "&amp;SG_Criteria!$B$20&amp;" mm. ","")&amp;IF(AND(W137&lt;&gt;"",W137&lt;1),"FAIL: sliding. ","")&amp;IF(AND(C137="Reverse L-Wall (toe only, at boundary)",N(O137)&gt;0),"NOTE: reverse L-wall should have no heel. ","")&amp;IF(AND(C137="L-Wall (heel only)",N(N137)&gt;0),"NOTE: L-wall should have no toe. ","")&amp;IF(AND(E137&lt;&gt;"",E137&lt;SG_Criteria!$B$31),"NOTE: q below LTA min "&amp;SG_Criteria!$B$31&amp;" kPa (not for LTA works). ","")))</f>
        <v/>
      </c>
      <c r="AU137" s="9"/>
      <c r="AV137" s="9"/>
      <c r="AW137" s="9"/>
      <c r="AX137" s="9"/>
      <c r="AY137" s="9"/>
      <c r="AZ137" s="31"/>
      <c r="BA137" s="10" t="str">
        <f aca="false">IF(C137="","",IF(AND(AB137="Approved",ISERROR(SEARCH("FAIL",AT137))),"Y","N"))</f>
        <v/>
      </c>
      <c r="BB137" s="10" t="str">
        <f aca="false">IF(C137="","",C137&amp;"|"&amp;D137&amp;"|"&amp;E137&amp;"|"&amp;F137&amp;"|"&amp;BA137)</f>
        <v/>
      </c>
    </row>
    <row r="138" customFormat="false" ht="15" hidden="false" customHeight="false" outlineLevel="0" collapsed="false">
      <c r="A138" s="10" t="str">
        <f aca="false">IF(C138="","","RW-"&amp;IFERROR(VLOOKUP(C138,Lists!$M$4:$N$22,2,0),"??")&amp;"-H"&amp;TEXT(D138*1000,"0000")&amp;"-S"&amp;E138&amp;IF(F138="Y","-GW","")&amp;"-"&amp;AA138)</f>
        <v/>
      </c>
      <c r="B138" s="10" t="str">
        <f aca="false">IF(C138="","",C138&amp;", H = "&amp;TEXT(D138,"0.0")&amp;" m, q = "&amp;E138&amp;" kPa"&amp;IF(F138="Y",", with GWT","")&amp;", "&amp;H138)</f>
        <v/>
      </c>
      <c r="C138" s="9"/>
      <c r="D138" s="41"/>
      <c r="E138" s="40"/>
      <c r="F138" s="9"/>
      <c r="G138" s="40"/>
      <c r="H138" s="9"/>
      <c r="I138" s="40"/>
      <c r="J138" s="43"/>
      <c r="K138" s="40"/>
      <c r="L138" s="40"/>
      <c r="M138" s="40"/>
      <c r="N138" s="40"/>
      <c r="O138" s="40"/>
      <c r="P138" s="40"/>
      <c r="Q138" s="9"/>
      <c r="R138" s="9"/>
      <c r="S138" s="40"/>
      <c r="T138" s="9"/>
      <c r="U138" s="9"/>
      <c r="V138" s="9"/>
      <c r="W138" s="41"/>
      <c r="X138" s="41"/>
      <c r="Y138" s="40"/>
      <c r="Z138" s="9"/>
      <c r="AA138" s="9"/>
      <c r="AB138" s="9"/>
      <c r="AC138" s="9"/>
      <c r="AD138" s="9"/>
      <c r="AE138" s="9"/>
      <c r="AF138" s="10" t="str">
        <f aca="false">IF(A138="","",SG_Criteria!$B$6&amp;SG_Criteria!$B$8&amp;"\"&amp;A138&amp;"\")</f>
        <v/>
      </c>
      <c r="AG138" s="10" t="str">
        <f aca="false">IF(A138="","",A138&amp;"_CAD.dwg")</f>
        <v/>
      </c>
      <c r="AH138" s="10" t="str">
        <f aca="false">IF(A138="","",A138&amp;"_DWG.pdf")</f>
        <v/>
      </c>
      <c r="AI138" s="10" t="str">
        <f aca="false">IF(A138="","",IF(AE138="Y",A138&amp;"_STAAD.std","n/a"))</f>
        <v/>
      </c>
      <c r="AJ138" s="10" t="str">
        <f aca="false">IF(A138="","",A138&amp;"_CALC.xlsx")</f>
        <v/>
      </c>
      <c r="AK138" s="10" t="str">
        <f aca="false">IF(A138="","",A138&amp;"_CALC.pdf")</f>
        <v/>
      </c>
      <c r="AL138" s="9"/>
      <c r="AM138" s="9"/>
      <c r="AN138" s="41"/>
      <c r="AO138" s="41"/>
      <c r="AP138" s="41"/>
      <c r="AQ138" s="41"/>
      <c r="AR138" s="41"/>
      <c r="AS138" s="38" t="str">
        <f aca="false">IF(OR(C138="",D138=""),"",IF(D138&lt;=IF(OR(C138="Block / Segmental",C138="Gabion",C138="Reinforced Earth (MSE)"),SG_Criteria!$B$34,SG_Criteria!$B$33),"No ERSS submission",IF(D138&lt;=SG_Criteria!$B$35,"QP(ST)",IF(D138&lt;=SG_Criteria!$B$36,"QP(ST) + AC","Geotechnical building works: QP(Geo) + AC"))))</f>
        <v/>
      </c>
      <c r="AT138" s="38" t="str">
        <f aca="false">IF(C138="","",IF(LEN(IF(AND(R138&lt;&gt;"",IFERROR(VALUE(MID(R138,2,2)),0)&lt;SG_Criteria!$B$19),"FAIL: grade below C"&amp;SG_Criteria!$B$19&amp;". ","")&amp;IF(AND(S138&lt;&gt;"",S138&lt;SG_Criteria!$B$20),"FAIL: cover &lt; "&amp;SG_Criteria!$B$20&amp;" mm. ","")&amp;IF(AND(W138&lt;&gt;"",W138&lt;1),"FAIL: sliding. ","")&amp;IF(AND(C138="Reverse L-Wall (toe only, at boundary)",N(O138)&gt;0),"NOTE: reverse L-wall should have no heel. ","")&amp;IF(AND(C138="L-Wall (heel only)",N(N138)&gt;0),"NOTE: L-wall should have no toe. ","")&amp;IF(AND(E138&lt;&gt;"",E138&lt;SG_Criteria!$B$31),"NOTE: q below LTA min "&amp;SG_Criteria!$B$31&amp;" kPa (not for LTA works). ",""))=0,"OK",IF(AND(R138&lt;&gt;"",IFERROR(VALUE(MID(R138,2,2)),0)&lt;SG_Criteria!$B$19),"FAIL: grade below C"&amp;SG_Criteria!$B$19&amp;". ","")&amp;IF(AND(S138&lt;&gt;"",S138&lt;SG_Criteria!$B$20),"FAIL: cover &lt; "&amp;SG_Criteria!$B$20&amp;" mm. ","")&amp;IF(AND(W138&lt;&gt;"",W138&lt;1),"FAIL: sliding. ","")&amp;IF(AND(C138="Reverse L-Wall (toe only, at boundary)",N(O138)&gt;0),"NOTE: reverse L-wall should have no heel. ","")&amp;IF(AND(C138="L-Wall (heel only)",N(N138)&gt;0),"NOTE: L-wall should have no toe. ","")&amp;IF(AND(E138&lt;&gt;"",E138&lt;SG_Criteria!$B$31),"NOTE: q below LTA min "&amp;SG_Criteria!$B$31&amp;" kPa (not for LTA works). ","")))</f>
        <v/>
      </c>
      <c r="AU138" s="9"/>
      <c r="AV138" s="9"/>
      <c r="AW138" s="9"/>
      <c r="AX138" s="9"/>
      <c r="AY138" s="9"/>
      <c r="AZ138" s="31"/>
      <c r="BA138" s="10" t="str">
        <f aca="false">IF(C138="","",IF(AND(AB138="Approved",ISERROR(SEARCH("FAIL",AT138))),"Y","N"))</f>
        <v/>
      </c>
      <c r="BB138" s="10" t="str">
        <f aca="false">IF(C138="","",C138&amp;"|"&amp;D138&amp;"|"&amp;E138&amp;"|"&amp;F138&amp;"|"&amp;BA138)</f>
        <v/>
      </c>
    </row>
    <row r="139" customFormat="false" ht="15" hidden="false" customHeight="false" outlineLevel="0" collapsed="false">
      <c r="A139" s="10" t="str">
        <f aca="false">IF(C139="","","RW-"&amp;IFERROR(VLOOKUP(C139,Lists!$M$4:$N$22,2,0),"??")&amp;"-H"&amp;TEXT(D139*1000,"0000")&amp;"-S"&amp;E139&amp;IF(F139="Y","-GW","")&amp;"-"&amp;AA139)</f>
        <v/>
      </c>
      <c r="B139" s="10" t="str">
        <f aca="false">IF(C139="","",C139&amp;", H = "&amp;TEXT(D139,"0.0")&amp;" m, q = "&amp;E139&amp;" kPa"&amp;IF(F139="Y",", with GWT","")&amp;", "&amp;H139)</f>
        <v/>
      </c>
      <c r="C139" s="9"/>
      <c r="D139" s="41"/>
      <c r="E139" s="40"/>
      <c r="F139" s="9"/>
      <c r="G139" s="40"/>
      <c r="H139" s="9"/>
      <c r="I139" s="40"/>
      <c r="J139" s="43"/>
      <c r="K139" s="40"/>
      <c r="L139" s="40"/>
      <c r="M139" s="40"/>
      <c r="N139" s="40"/>
      <c r="O139" s="40"/>
      <c r="P139" s="40"/>
      <c r="Q139" s="9"/>
      <c r="R139" s="9"/>
      <c r="S139" s="40"/>
      <c r="T139" s="9"/>
      <c r="U139" s="9"/>
      <c r="V139" s="9"/>
      <c r="W139" s="41"/>
      <c r="X139" s="41"/>
      <c r="Y139" s="40"/>
      <c r="Z139" s="9"/>
      <c r="AA139" s="9"/>
      <c r="AB139" s="9"/>
      <c r="AC139" s="9"/>
      <c r="AD139" s="9"/>
      <c r="AE139" s="9"/>
      <c r="AF139" s="10" t="str">
        <f aca="false">IF(A139="","",SG_Criteria!$B$6&amp;SG_Criteria!$B$8&amp;"\"&amp;A139&amp;"\")</f>
        <v/>
      </c>
      <c r="AG139" s="10" t="str">
        <f aca="false">IF(A139="","",A139&amp;"_CAD.dwg")</f>
        <v/>
      </c>
      <c r="AH139" s="10" t="str">
        <f aca="false">IF(A139="","",A139&amp;"_DWG.pdf")</f>
        <v/>
      </c>
      <c r="AI139" s="10" t="str">
        <f aca="false">IF(A139="","",IF(AE139="Y",A139&amp;"_STAAD.std","n/a"))</f>
        <v/>
      </c>
      <c r="AJ139" s="10" t="str">
        <f aca="false">IF(A139="","",A139&amp;"_CALC.xlsx")</f>
        <v/>
      </c>
      <c r="AK139" s="10" t="str">
        <f aca="false">IF(A139="","",A139&amp;"_CALC.pdf")</f>
        <v/>
      </c>
      <c r="AL139" s="9"/>
      <c r="AM139" s="9"/>
      <c r="AN139" s="41"/>
      <c r="AO139" s="41"/>
      <c r="AP139" s="41"/>
      <c r="AQ139" s="41"/>
      <c r="AR139" s="41"/>
      <c r="AS139" s="38" t="str">
        <f aca="false">IF(OR(C139="",D139=""),"",IF(D139&lt;=IF(OR(C139="Block / Segmental",C139="Gabion",C139="Reinforced Earth (MSE)"),SG_Criteria!$B$34,SG_Criteria!$B$33),"No ERSS submission",IF(D139&lt;=SG_Criteria!$B$35,"QP(ST)",IF(D139&lt;=SG_Criteria!$B$36,"QP(ST) + AC","Geotechnical building works: QP(Geo) + AC"))))</f>
        <v/>
      </c>
      <c r="AT139" s="38" t="str">
        <f aca="false">IF(C139="","",IF(LEN(IF(AND(R139&lt;&gt;"",IFERROR(VALUE(MID(R139,2,2)),0)&lt;SG_Criteria!$B$19),"FAIL: grade below C"&amp;SG_Criteria!$B$19&amp;". ","")&amp;IF(AND(S139&lt;&gt;"",S139&lt;SG_Criteria!$B$20),"FAIL: cover &lt; "&amp;SG_Criteria!$B$20&amp;" mm. ","")&amp;IF(AND(W139&lt;&gt;"",W139&lt;1),"FAIL: sliding. ","")&amp;IF(AND(C139="Reverse L-Wall (toe only, at boundary)",N(O139)&gt;0),"NOTE: reverse L-wall should have no heel. ","")&amp;IF(AND(C139="L-Wall (heel only)",N(N139)&gt;0),"NOTE: L-wall should have no toe. ","")&amp;IF(AND(E139&lt;&gt;"",E139&lt;SG_Criteria!$B$31),"NOTE: q below LTA min "&amp;SG_Criteria!$B$31&amp;" kPa (not for LTA works). ",""))=0,"OK",IF(AND(R139&lt;&gt;"",IFERROR(VALUE(MID(R139,2,2)),0)&lt;SG_Criteria!$B$19),"FAIL: grade below C"&amp;SG_Criteria!$B$19&amp;". ","")&amp;IF(AND(S139&lt;&gt;"",S139&lt;SG_Criteria!$B$20),"FAIL: cover &lt; "&amp;SG_Criteria!$B$20&amp;" mm. ","")&amp;IF(AND(W139&lt;&gt;"",W139&lt;1),"FAIL: sliding. ","")&amp;IF(AND(C139="Reverse L-Wall (toe only, at boundary)",N(O139)&gt;0),"NOTE: reverse L-wall should have no heel. ","")&amp;IF(AND(C139="L-Wall (heel only)",N(N139)&gt;0),"NOTE: L-wall should have no toe. ","")&amp;IF(AND(E139&lt;&gt;"",E139&lt;SG_Criteria!$B$31),"NOTE: q below LTA min "&amp;SG_Criteria!$B$31&amp;" kPa (not for LTA works). ","")))</f>
        <v/>
      </c>
      <c r="AU139" s="9"/>
      <c r="AV139" s="9"/>
      <c r="AW139" s="9"/>
      <c r="AX139" s="9"/>
      <c r="AY139" s="9"/>
      <c r="AZ139" s="31"/>
      <c r="BA139" s="10" t="str">
        <f aca="false">IF(C139="","",IF(AND(AB139="Approved",ISERROR(SEARCH("FAIL",AT139))),"Y","N"))</f>
        <v/>
      </c>
      <c r="BB139" s="10" t="str">
        <f aca="false">IF(C139="","",C139&amp;"|"&amp;D139&amp;"|"&amp;E139&amp;"|"&amp;F139&amp;"|"&amp;BA139)</f>
        <v/>
      </c>
    </row>
    <row r="140" customFormat="false" ht="15" hidden="false" customHeight="false" outlineLevel="0" collapsed="false">
      <c r="A140" s="10" t="str">
        <f aca="false">IF(C140="","","RW-"&amp;IFERROR(VLOOKUP(C140,Lists!$M$4:$N$22,2,0),"??")&amp;"-H"&amp;TEXT(D140*1000,"0000")&amp;"-S"&amp;E140&amp;IF(F140="Y","-GW","")&amp;"-"&amp;AA140)</f>
        <v/>
      </c>
      <c r="B140" s="10" t="str">
        <f aca="false">IF(C140="","",C140&amp;", H = "&amp;TEXT(D140,"0.0")&amp;" m, q = "&amp;E140&amp;" kPa"&amp;IF(F140="Y",", with GWT","")&amp;", "&amp;H140)</f>
        <v/>
      </c>
      <c r="C140" s="9"/>
      <c r="D140" s="41"/>
      <c r="E140" s="40"/>
      <c r="F140" s="9"/>
      <c r="G140" s="40"/>
      <c r="H140" s="9"/>
      <c r="I140" s="40"/>
      <c r="J140" s="43"/>
      <c r="K140" s="40"/>
      <c r="L140" s="40"/>
      <c r="M140" s="40"/>
      <c r="N140" s="40"/>
      <c r="O140" s="40"/>
      <c r="P140" s="40"/>
      <c r="Q140" s="9"/>
      <c r="R140" s="9"/>
      <c r="S140" s="40"/>
      <c r="T140" s="9"/>
      <c r="U140" s="9"/>
      <c r="V140" s="9"/>
      <c r="W140" s="41"/>
      <c r="X140" s="41"/>
      <c r="Y140" s="40"/>
      <c r="Z140" s="9"/>
      <c r="AA140" s="9"/>
      <c r="AB140" s="9"/>
      <c r="AC140" s="9"/>
      <c r="AD140" s="9"/>
      <c r="AE140" s="9"/>
      <c r="AF140" s="10" t="str">
        <f aca="false">IF(A140="","",SG_Criteria!$B$6&amp;SG_Criteria!$B$8&amp;"\"&amp;A140&amp;"\")</f>
        <v/>
      </c>
      <c r="AG140" s="10" t="str">
        <f aca="false">IF(A140="","",A140&amp;"_CAD.dwg")</f>
        <v/>
      </c>
      <c r="AH140" s="10" t="str">
        <f aca="false">IF(A140="","",A140&amp;"_DWG.pdf")</f>
        <v/>
      </c>
      <c r="AI140" s="10" t="str">
        <f aca="false">IF(A140="","",IF(AE140="Y",A140&amp;"_STAAD.std","n/a"))</f>
        <v/>
      </c>
      <c r="AJ140" s="10" t="str">
        <f aca="false">IF(A140="","",A140&amp;"_CALC.xlsx")</f>
        <v/>
      </c>
      <c r="AK140" s="10" t="str">
        <f aca="false">IF(A140="","",A140&amp;"_CALC.pdf")</f>
        <v/>
      </c>
      <c r="AL140" s="9"/>
      <c r="AM140" s="9"/>
      <c r="AN140" s="41"/>
      <c r="AO140" s="41"/>
      <c r="AP140" s="41"/>
      <c r="AQ140" s="41"/>
      <c r="AR140" s="41"/>
      <c r="AS140" s="38" t="str">
        <f aca="false">IF(OR(C140="",D140=""),"",IF(D140&lt;=IF(OR(C140="Block / Segmental",C140="Gabion",C140="Reinforced Earth (MSE)"),SG_Criteria!$B$34,SG_Criteria!$B$33),"No ERSS submission",IF(D140&lt;=SG_Criteria!$B$35,"QP(ST)",IF(D140&lt;=SG_Criteria!$B$36,"QP(ST) + AC","Geotechnical building works: QP(Geo) + AC"))))</f>
        <v/>
      </c>
      <c r="AT140" s="38" t="str">
        <f aca="false">IF(C140="","",IF(LEN(IF(AND(R140&lt;&gt;"",IFERROR(VALUE(MID(R140,2,2)),0)&lt;SG_Criteria!$B$19),"FAIL: grade below C"&amp;SG_Criteria!$B$19&amp;". ","")&amp;IF(AND(S140&lt;&gt;"",S140&lt;SG_Criteria!$B$20),"FAIL: cover &lt; "&amp;SG_Criteria!$B$20&amp;" mm. ","")&amp;IF(AND(W140&lt;&gt;"",W140&lt;1),"FAIL: sliding. ","")&amp;IF(AND(C140="Reverse L-Wall (toe only, at boundary)",N(O140)&gt;0),"NOTE: reverse L-wall should have no heel. ","")&amp;IF(AND(C140="L-Wall (heel only)",N(N140)&gt;0),"NOTE: L-wall should have no toe. ","")&amp;IF(AND(E140&lt;&gt;"",E140&lt;SG_Criteria!$B$31),"NOTE: q below LTA min "&amp;SG_Criteria!$B$31&amp;" kPa (not for LTA works). ",""))=0,"OK",IF(AND(R140&lt;&gt;"",IFERROR(VALUE(MID(R140,2,2)),0)&lt;SG_Criteria!$B$19),"FAIL: grade below C"&amp;SG_Criteria!$B$19&amp;". ","")&amp;IF(AND(S140&lt;&gt;"",S140&lt;SG_Criteria!$B$20),"FAIL: cover &lt; "&amp;SG_Criteria!$B$20&amp;" mm. ","")&amp;IF(AND(W140&lt;&gt;"",W140&lt;1),"FAIL: sliding. ","")&amp;IF(AND(C140="Reverse L-Wall (toe only, at boundary)",N(O140)&gt;0),"NOTE: reverse L-wall should have no heel. ","")&amp;IF(AND(C140="L-Wall (heel only)",N(N140)&gt;0),"NOTE: L-wall should have no toe. ","")&amp;IF(AND(E140&lt;&gt;"",E140&lt;SG_Criteria!$B$31),"NOTE: q below LTA min "&amp;SG_Criteria!$B$31&amp;" kPa (not for LTA works). ","")))</f>
        <v/>
      </c>
      <c r="AU140" s="9"/>
      <c r="AV140" s="9"/>
      <c r="AW140" s="9"/>
      <c r="AX140" s="9"/>
      <c r="AY140" s="9"/>
      <c r="AZ140" s="31"/>
      <c r="BA140" s="10" t="str">
        <f aca="false">IF(C140="","",IF(AND(AB140="Approved",ISERROR(SEARCH("FAIL",AT140))),"Y","N"))</f>
        <v/>
      </c>
      <c r="BB140" s="10" t="str">
        <f aca="false">IF(C140="","",C140&amp;"|"&amp;D140&amp;"|"&amp;E140&amp;"|"&amp;F140&amp;"|"&amp;BA140)</f>
        <v/>
      </c>
    </row>
    <row r="141" customFormat="false" ht="15" hidden="false" customHeight="false" outlineLevel="0" collapsed="false">
      <c r="A141" s="10" t="str">
        <f aca="false">IF(C141="","","RW-"&amp;IFERROR(VLOOKUP(C141,Lists!$M$4:$N$22,2,0),"??")&amp;"-H"&amp;TEXT(D141*1000,"0000")&amp;"-S"&amp;E141&amp;IF(F141="Y","-GW","")&amp;"-"&amp;AA141)</f>
        <v/>
      </c>
      <c r="B141" s="10" t="str">
        <f aca="false">IF(C141="","",C141&amp;", H = "&amp;TEXT(D141,"0.0")&amp;" m, q = "&amp;E141&amp;" kPa"&amp;IF(F141="Y",", with GWT","")&amp;", "&amp;H141)</f>
        <v/>
      </c>
      <c r="C141" s="9"/>
      <c r="D141" s="41"/>
      <c r="E141" s="40"/>
      <c r="F141" s="9"/>
      <c r="G141" s="40"/>
      <c r="H141" s="9"/>
      <c r="I141" s="40"/>
      <c r="J141" s="43"/>
      <c r="K141" s="40"/>
      <c r="L141" s="40"/>
      <c r="M141" s="40"/>
      <c r="N141" s="40"/>
      <c r="O141" s="40"/>
      <c r="P141" s="40"/>
      <c r="Q141" s="9"/>
      <c r="R141" s="9"/>
      <c r="S141" s="40"/>
      <c r="T141" s="9"/>
      <c r="U141" s="9"/>
      <c r="V141" s="9"/>
      <c r="W141" s="41"/>
      <c r="X141" s="41"/>
      <c r="Y141" s="40"/>
      <c r="Z141" s="9"/>
      <c r="AA141" s="9"/>
      <c r="AB141" s="9"/>
      <c r="AC141" s="9"/>
      <c r="AD141" s="9"/>
      <c r="AE141" s="9"/>
      <c r="AF141" s="10" t="str">
        <f aca="false">IF(A141="","",SG_Criteria!$B$6&amp;SG_Criteria!$B$8&amp;"\"&amp;A141&amp;"\")</f>
        <v/>
      </c>
      <c r="AG141" s="10" t="str">
        <f aca="false">IF(A141="","",A141&amp;"_CAD.dwg")</f>
        <v/>
      </c>
      <c r="AH141" s="10" t="str">
        <f aca="false">IF(A141="","",A141&amp;"_DWG.pdf")</f>
        <v/>
      </c>
      <c r="AI141" s="10" t="str">
        <f aca="false">IF(A141="","",IF(AE141="Y",A141&amp;"_STAAD.std","n/a"))</f>
        <v/>
      </c>
      <c r="AJ141" s="10" t="str">
        <f aca="false">IF(A141="","",A141&amp;"_CALC.xlsx")</f>
        <v/>
      </c>
      <c r="AK141" s="10" t="str">
        <f aca="false">IF(A141="","",A141&amp;"_CALC.pdf")</f>
        <v/>
      </c>
      <c r="AL141" s="9"/>
      <c r="AM141" s="9"/>
      <c r="AN141" s="41"/>
      <c r="AO141" s="41"/>
      <c r="AP141" s="41"/>
      <c r="AQ141" s="41"/>
      <c r="AR141" s="41"/>
      <c r="AS141" s="38" t="str">
        <f aca="false">IF(OR(C141="",D141=""),"",IF(D141&lt;=IF(OR(C141="Block / Segmental",C141="Gabion",C141="Reinforced Earth (MSE)"),SG_Criteria!$B$34,SG_Criteria!$B$33),"No ERSS submission",IF(D141&lt;=SG_Criteria!$B$35,"QP(ST)",IF(D141&lt;=SG_Criteria!$B$36,"QP(ST) + AC","Geotechnical building works: QP(Geo) + AC"))))</f>
        <v/>
      </c>
      <c r="AT141" s="38" t="str">
        <f aca="false">IF(C141="","",IF(LEN(IF(AND(R141&lt;&gt;"",IFERROR(VALUE(MID(R141,2,2)),0)&lt;SG_Criteria!$B$19),"FAIL: grade below C"&amp;SG_Criteria!$B$19&amp;". ","")&amp;IF(AND(S141&lt;&gt;"",S141&lt;SG_Criteria!$B$20),"FAIL: cover &lt; "&amp;SG_Criteria!$B$20&amp;" mm. ","")&amp;IF(AND(W141&lt;&gt;"",W141&lt;1),"FAIL: sliding. ","")&amp;IF(AND(C141="Reverse L-Wall (toe only, at boundary)",N(O141)&gt;0),"NOTE: reverse L-wall should have no heel. ","")&amp;IF(AND(C141="L-Wall (heel only)",N(N141)&gt;0),"NOTE: L-wall should have no toe. ","")&amp;IF(AND(E141&lt;&gt;"",E141&lt;SG_Criteria!$B$31),"NOTE: q below LTA min "&amp;SG_Criteria!$B$31&amp;" kPa (not for LTA works). ",""))=0,"OK",IF(AND(R141&lt;&gt;"",IFERROR(VALUE(MID(R141,2,2)),0)&lt;SG_Criteria!$B$19),"FAIL: grade below C"&amp;SG_Criteria!$B$19&amp;". ","")&amp;IF(AND(S141&lt;&gt;"",S141&lt;SG_Criteria!$B$20),"FAIL: cover &lt; "&amp;SG_Criteria!$B$20&amp;" mm. ","")&amp;IF(AND(W141&lt;&gt;"",W141&lt;1),"FAIL: sliding. ","")&amp;IF(AND(C141="Reverse L-Wall (toe only, at boundary)",N(O141)&gt;0),"NOTE: reverse L-wall should have no heel. ","")&amp;IF(AND(C141="L-Wall (heel only)",N(N141)&gt;0),"NOTE: L-wall should have no toe. ","")&amp;IF(AND(E141&lt;&gt;"",E141&lt;SG_Criteria!$B$31),"NOTE: q below LTA min "&amp;SG_Criteria!$B$31&amp;" kPa (not for LTA works). ","")))</f>
        <v/>
      </c>
      <c r="AU141" s="9"/>
      <c r="AV141" s="9"/>
      <c r="AW141" s="9"/>
      <c r="AX141" s="9"/>
      <c r="AY141" s="9"/>
      <c r="AZ141" s="31"/>
      <c r="BA141" s="10" t="str">
        <f aca="false">IF(C141="","",IF(AND(AB141="Approved",ISERROR(SEARCH("FAIL",AT141))),"Y","N"))</f>
        <v/>
      </c>
      <c r="BB141" s="10" t="str">
        <f aca="false">IF(C141="","",C141&amp;"|"&amp;D141&amp;"|"&amp;E141&amp;"|"&amp;F141&amp;"|"&amp;BA141)</f>
        <v/>
      </c>
    </row>
    <row r="142" customFormat="false" ht="15" hidden="false" customHeight="false" outlineLevel="0" collapsed="false">
      <c r="A142" s="10" t="str">
        <f aca="false">IF(C142="","","RW-"&amp;IFERROR(VLOOKUP(C142,Lists!$M$4:$N$22,2,0),"??")&amp;"-H"&amp;TEXT(D142*1000,"0000")&amp;"-S"&amp;E142&amp;IF(F142="Y","-GW","")&amp;"-"&amp;AA142)</f>
        <v/>
      </c>
      <c r="B142" s="10" t="str">
        <f aca="false">IF(C142="","",C142&amp;", H = "&amp;TEXT(D142,"0.0")&amp;" m, q = "&amp;E142&amp;" kPa"&amp;IF(F142="Y",", with GWT","")&amp;", "&amp;H142)</f>
        <v/>
      </c>
      <c r="C142" s="9"/>
      <c r="D142" s="41"/>
      <c r="E142" s="40"/>
      <c r="F142" s="9"/>
      <c r="G142" s="40"/>
      <c r="H142" s="9"/>
      <c r="I142" s="40"/>
      <c r="J142" s="43"/>
      <c r="K142" s="40"/>
      <c r="L142" s="40"/>
      <c r="M142" s="40"/>
      <c r="N142" s="40"/>
      <c r="O142" s="40"/>
      <c r="P142" s="40"/>
      <c r="Q142" s="9"/>
      <c r="R142" s="9"/>
      <c r="S142" s="40"/>
      <c r="T142" s="9"/>
      <c r="U142" s="9"/>
      <c r="V142" s="9"/>
      <c r="W142" s="41"/>
      <c r="X142" s="41"/>
      <c r="Y142" s="40"/>
      <c r="Z142" s="9"/>
      <c r="AA142" s="9"/>
      <c r="AB142" s="9"/>
      <c r="AC142" s="9"/>
      <c r="AD142" s="9"/>
      <c r="AE142" s="9"/>
      <c r="AF142" s="10" t="str">
        <f aca="false">IF(A142="","",SG_Criteria!$B$6&amp;SG_Criteria!$B$8&amp;"\"&amp;A142&amp;"\")</f>
        <v/>
      </c>
      <c r="AG142" s="10" t="str">
        <f aca="false">IF(A142="","",A142&amp;"_CAD.dwg")</f>
        <v/>
      </c>
      <c r="AH142" s="10" t="str">
        <f aca="false">IF(A142="","",A142&amp;"_DWG.pdf")</f>
        <v/>
      </c>
      <c r="AI142" s="10" t="str">
        <f aca="false">IF(A142="","",IF(AE142="Y",A142&amp;"_STAAD.std","n/a"))</f>
        <v/>
      </c>
      <c r="AJ142" s="10" t="str">
        <f aca="false">IF(A142="","",A142&amp;"_CALC.xlsx")</f>
        <v/>
      </c>
      <c r="AK142" s="10" t="str">
        <f aca="false">IF(A142="","",A142&amp;"_CALC.pdf")</f>
        <v/>
      </c>
      <c r="AL142" s="9"/>
      <c r="AM142" s="9"/>
      <c r="AN142" s="41"/>
      <c r="AO142" s="41"/>
      <c r="AP142" s="41"/>
      <c r="AQ142" s="41"/>
      <c r="AR142" s="41"/>
      <c r="AS142" s="38" t="str">
        <f aca="false">IF(OR(C142="",D142=""),"",IF(D142&lt;=IF(OR(C142="Block / Segmental",C142="Gabion",C142="Reinforced Earth (MSE)"),SG_Criteria!$B$34,SG_Criteria!$B$33),"No ERSS submission",IF(D142&lt;=SG_Criteria!$B$35,"QP(ST)",IF(D142&lt;=SG_Criteria!$B$36,"QP(ST) + AC","Geotechnical building works: QP(Geo) + AC"))))</f>
        <v/>
      </c>
      <c r="AT142" s="38" t="str">
        <f aca="false">IF(C142="","",IF(LEN(IF(AND(R142&lt;&gt;"",IFERROR(VALUE(MID(R142,2,2)),0)&lt;SG_Criteria!$B$19),"FAIL: grade below C"&amp;SG_Criteria!$B$19&amp;". ","")&amp;IF(AND(S142&lt;&gt;"",S142&lt;SG_Criteria!$B$20),"FAIL: cover &lt; "&amp;SG_Criteria!$B$20&amp;" mm. ","")&amp;IF(AND(W142&lt;&gt;"",W142&lt;1),"FAIL: sliding. ","")&amp;IF(AND(C142="Reverse L-Wall (toe only, at boundary)",N(O142)&gt;0),"NOTE: reverse L-wall should have no heel. ","")&amp;IF(AND(C142="L-Wall (heel only)",N(N142)&gt;0),"NOTE: L-wall should have no toe. ","")&amp;IF(AND(E142&lt;&gt;"",E142&lt;SG_Criteria!$B$31),"NOTE: q below LTA min "&amp;SG_Criteria!$B$31&amp;" kPa (not for LTA works). ",""))=0,"OK",IF(AND(R142&lt;&gt;"",IFERROR(VALUE(MID(R142,2,2)),0)&lt;SG_Criteria!$B$19),"FAIL: grade below C"&amp;SG_Criteria!$B$19&amp;". ","")&amp;IF(AND(S142&lt;&gt;"",S142&lt;SG_Criteria!$B$20),"FAIL: cover &lt; "&amp;SG_Criteria!$B$20&amp;" mm. ","")&amp;IF(AND(W142&lt;&gt;"",W142&lt;1),"FAIL: sliding. ","")&amp;IF(AND(C142="Reverse L-Wall (toe only, at boundary)",N(O142)&gt;0),"NOTE: reverse L-wall should have no heel. ","")&amp;IF(AND(C142="L-Wall (heel only)",N(N142)&gt;0),"NOTE: L-wall should have no toe. ","")&amp;IF(AND(E142&lt;&gt;"",E142&lt;SG_Criteria!$B$31),"NOTE: q below LTA min "&amp;SG_Criteria!$B$31&amp;" kPa (not for LTA works). ","")))</f>
        <v/>
      </c>
      <c r="AU142" s="9"/>
      <c r="AV142" s="9"/>
      <c r="AW142" s="9"/>
      <c r="AX142" s="9"/>
      <c r="AY142" s="9"/>
      <c r="AZ142" s="31"/>
      <c r="BA142" s="10" t="str">
        <f aca="false">IF(C142="","",IF(AND(AB142="Approved",ISERROR(SEARCH("FAIL",AT142))),"Y","N"))</f>
        <v/>
      </c>
      <c r="BB142" s="10" t="str">
        <f aca="false">IF(C142="","",C142&amp;"|"&amp;D142&amp;"|"&amp;E142&amp;"|"&amp;F142&amp;"|"&amp;BA142)</f>
        <v/>
      </c>
    </row>
    <row r="143" customFormat="false" ht="15" hidden="false" customHeight="false" outlineLevel="0" collapsed="false">
      <c r="A143" s="10" t="str">
        <f aca="false">IF(C143="","","RW-"&amp;IFERROR(VLOOKUP(C143,Lists!$M$4:$N$22,2,0),"??")&amp;"-H"&amp;TEXT(D143*1000,"0000")&amp;"-S"&amp;E143&amp;IF(F143="Y","-GW","")&amp;"-"&amp;AA143)</f>
        <v/>
      </c>
      <c r="B143" s="10" t="str">
        <f aca="false">IF(C143="","",C143&amp;", H = "&amp;TEXT(D143,"0.0")&amp;" m, q = "&amp;E143&amp;" kPa"&amp;IF(F143="Y",", with GWT","")&amp;", "&amp;H143)</f>
        <v/>
      </c>
      <c r="C143" s="9"/>
      <c r="D143" s="41"/>
      <c r="E143" s="40"/>
      <c r="F143" s="9"/>
      <c r="G143" s="40"/>
      <c r="H143" s="9"/>
      <c r="I143" s="40"/>
      <c r="J143" s="43"/>
      <c r="K143" s="40"/>
      <c r="L143" s="40"/>
      <c r="M143" s="40"/>
      <c r="N143" s="40"/>
      <c r="O143" s="40"/>
      <c r="P143" s="40"/>
      <c r="Q143" s="9"/>
      <c r="R143" s="9"/>
      <c r="S143" s="40"/>
      <c r="T143" s="9"/>
      <c r="U143" s="9"/>
      <c r="V143" s="9"/>
      <c r="W143" s="41"/>
      <c r="X143" s="41"/>
      <c r="Y143" s="40"/>
      <c r="Z143" s="9"/>
      <c r="AA143" s="9"/>
      <c r="AB143" s="9"/>
      <c r="AC143" s="9"/>
      <c r="AD143" s="9"/>
      <c r="AE143" s="9"/>
      <c r="AF143" s="10" t="str">
        <f aca="false">IF(A143="","",SG_Criteria!$B$6&amp;SG_Criteria!$B$8&amp;"\"&amp;A143&amp;"\")</f>
        <v/>
      </c>
      <c r="AG143" s="10" t="str">
        <f aca="false">IF(A143="","",A143&amp;"_CAD.dwg")</f>
        <v/>
      </c>
      <c r="AH143" s="10" t="str">
        <f aca="false">IF(A143="","",A143&amp;"_DWG.pdf")</f>
        <v/>
      </c>
      <c r="AI143" s="10" t="str">
        <f aca="false">IF(A143="","",IF(AE143="Y",A143&amp;"_STAAD.std","n/a"))</f>
        <v/>
      </c>
      <c r="AJ143" s="10" t="str">
        <f aca="false">IF(A143="","",A143&amp;"_CALC.xlsx")</f>
        <v/>
      </c>
      <c r="AK143" s="10" t="str">
        <f aca="false">IF(A143="","",A143&amp;"_CALC.pdf")</f>
        <v/>
      </c>
      <c r="AL143" s="9"/>
      <c r="AM143" s="9"/>
      <c r="AN143" s="41"/>
      <c r="AO143" s="41"/>
      <c r="AP143" s="41"/>
      <c r="AQ143" s="41"/>
      <c r="AR143" s="41"/>
      <c r="AS143" s="38" t="str">
        <f aca="false">IF(OR(C143="",D143=""),"",IF(D143&lt;=IF(OR(C143="Block / Segmental",C143="Gabion",C143="Reinforced Earth (MSE)"),SG_Criteria!$B$34,SG_Criteria!$B$33),"No ERSS submission",IF(D143&lt;=SG_Criteria!$B$35,"QP(ST)",IF(D143&lt;=SG_Criteria!$B$36,"QP(ST) + AC","Geotechnical building works: QP(Geo) + AC"))))</f>
        <v/>
      </c>
      <c r="AT143" s="38" t="str">
        <f aca="false">IF(C143="","",IF(LEN(IF(AND(R143&lt;&gt;"",IFERROR(VALUE(MID(R143,2,2)),0)&lt;SG_Criteria!$B$19),"FAIL: grade below C"&amp;SG_Criteria!$B$19&amp;". ","")&amp;IF(AND(S143&lt;&gt;"",S143&lt;SG_Criteria!$B$20),"FAIL: cover &lt; "&amp;SG_Criteria!$B$20&amp;" mm. ","")&amp;IF(AND(W143&lt;&gt;"",W143&lt;1),"FAIL: sliding. ","")&amp;IF(AND(C143="Reverse L-Wall (toe only, at boundary)",N(O143)&gt;0),"NOTE: reverse L-wall should have no heel. ","")&amp;IF(AND(C143="L-Wall (heel only)",N(N143)&gt;0),"NOTE: L-wall should have no toe. ","")&amp;IF(AND(E143&lt;&gt;"",E143&lt;SG_Criteria!$B$31),"NOTE: q below LTA min "&amp;SG_Criteria!$B$31&amp;" kPa (not for LTA works). ",""))=0,"OK",IF(AND(R143&lt;&gt;"",IFERROR(VALUE(MID(R143,2,2)),0)&lt;SG_Criteria!$B$19),"FAIL: grade below C"&amp;SG_Criteria!$B$19&amp;". ","")&amp;IF(AND(S143&lt;&gt;"",S143&lt;SG_Criteria!$B$20),"FAIL: cover &lt; "&amp;SG_Criteria!$B$20&amp;" mm. ","")&amp;IF(AND(W143&lt;&gt;"",W143&lt;1),"FAIL: sliding. ","")&amp;IF(AND(C143="Reverse L-Wall (toe only, at boundary)",N(O143)&gt;0),"NOTE: reverse L-wall should have no heel. ","")&amp;IF(AND(C143="L-Wall (heel only)",N(N143)&gt;0),"NOTE: L-wall should have no toe. ","")&amp;IF(AND(E143&lt;&gt;"",E143&lt;SG_Criteria!$B$31),"NOTE: q below LTA min "&amp;SG_Criteria!$B$31&amp;" kPa (not for LTA works). ","")))</f>
        <v/>
      </c>
      <c r="AU143" s="9"/>
      <c r="AV143" s="9"/>
      <c r="AW143" s="9"/>
      <c r="AX143" s="9"/>
      <c r="AY143" s="9"/>
      <c r="AZ143" s="31"/>
      <c r="BA143" s="10" t="str">
        <f aca="false">IF(C143="","",IF(AND(AB143="Approved",ISERROR(SEARCH("FAIL",AT143))),"Y","N"))</f>
        <v/>
      </c>
      <c r="BB143" s="10" t="str">
        <f aca="false">IF(C143="","",C143&amp;"|"&amp;D143&amp;"|"&amp;E143&amp;"|"&amp;F143&amp;"|"&amp;BA143)</f>
        <v/>
      </c>
    </row>
    <row r="144" customFormat="false" ht="15" hidden="false" customHeight="false" outlineLevel="0" collapsed="false">
      <c r="A144" s="10" t="str">
        <f aca="false">IF(C144="","","RW-"&amp;IFERROR(VLOOKUP(C144,Lists!$M$4:$N$22,2,0),"??")&amp;"-H"&amp;TEXT(D144*1000,"0000")&amp;"-S"&amp;E144&amp;IF(F144="Y","-GW","")&amp;"-"&amp;AA144)</f>
        <v/>
      </c>
      <c r="B144" s="10" t="str">
        <f aca="false">IF(C144="","",C144&amp;", H = "&amp;TEXT(D144,"0.0")&amp;" m, q = "&amp;E144&amp;" kPa"&amp;IF(F144="Y",", with GWT","")&amp;", "&amp;H144)</f>
        <v/>
      </c>
      <c r="C144" s="9"/>
      <c r="D144" s="41"/>
      <c r="E144" s="40"/>
      <c r="F144" s="9"/>
      <c r="G144" s="40"/>
      <c r="H144" s="9"/>
      <c r="I144" s="40"/>
      <c r="J144" s="43"/>
      <c r="K144" s="40"/>
      <c r="L144" s="40"/>
      <c r="M144" s="40"/>
      <c r="N144" s="40"/>
      <c r="O144" s="40"/>
      <c r="P144" s="40"/>
      <c r="Q144" s="9"/>
      <c r="R144" s="9"/>
      <c r="S144" s="40"/>
      <c r="T144" s="9"/>
      <c r="U144" s="9"/>
      <c r="V144" s="9"/>
      <c r="W144" s="41"/>
      <c r="X144" s="41"/>
      <c r="Y144" s="40"/>
      <c r="Z144" s="9"/>
      <c r="AA144" s="9"/>
      <c r="AB144" s="9"/>
      <c r="AC144" s="9"/>
      <c r="AD144" s="9"/>
      <c r="AE144" s="9"/>
      <c r="AF144" s="10" t="str">
        <f aca="false">IF(A144="","",SG_Criteria!$B$6&amp;SG_Criteria!$B$8&amp;"\"&amp;A144&amp;"\")</f>
        <v/>
      </c>
      <c r="AG144" s="10" t="str">
        <f aca="false">IF(A144="","",A144&amp;"_CAD.dwg")</f>
        <v/>
      </c>
      <c r="AH144" s="10" t="str">
        <f aca="false">IF(A144="","",A144&amp;"_DWG.pdf")</f>
        <v/>
      </c>
      <c r="AI144" s="10" t="str">
        <f aca="false">IF(A144="","",IF(AE144="Y",A144&amp;"_STAAD.std","n/a"))</f>
        <v/>
      </c>
      <c r="AJ144" s="10" t="str">
        <f aca="false">IF(A144="","",A144&amp;"_CALC.xlsx")</f>
        <v/>
      </c>
      <c r="AK144" s="10" t="str">
        <f aca="false">IF(A144="","",A144&amp;"_CALC.pdf")</f>
        <v/>
      </c>
      <c r="AL144" s="9"/>
      <c r="AM144" s="9"/>
      <c r="AN144" s="41"/>
      <c r="AO144" s="41"/>
      <c r="AP144" s="41"/>
      <c r="AQ144" s="41"/>
      <c r="AR144" s="41"/>
      <c r="AS144" s="38" t="str">
        <f aca="false">IF(OR(C144="",D144=""),"",IF(D144&lt;=IF(OR(C144="Block / Segmental",C144="Gabion",C144="Reinforced Earth (MSE)"),SG_Criteria!$B$34,SG_Criteria!$B$33),"No ERSS submission",IF(D144&lt;=SG_Criteria!$B$35,"QP(ST)",IF(D144&lt;=SG_Criteria!$B$36,"QP(ST) + AC","Geotechnical building works: QP(Geo) + AC"))))</f>
        <v/>
      </c>
      <c r="AT144" s="38" t="str">
        <f aca="false">IF(C144="","",IF(LEN(IF(AND(R144&lt;&gt;"",IFERROR(VALUE(MID(R144,2,2)),0)&lt;SG_Criteria!$B$19),"FAIL: grade below C"&amp;SG_Criteria!$B$19&amp;". ","")&amp;IF(AND(S144&lt;&gt;"",S144&lt;SG_Criteria!$B$20),"FAIL: cover &lt; "&amp;SG_Criteria!$B$20&amp;" mm. ","")&amp;IF(AND(W144&lt;&gt;"",W144&lt;1),"FAIL: sliding. ","")&amp;IF(AND(C144="Reverse L-Wall (toe only, at boundary)",N(O144)&gt;0),"NOTE: reverse L-wall should have no heel. ","")&amp;IF(AND(C144="L-Wall (heel only)",N(N144)&gt;0),"NOTE: L-wall should have no toe. ","")&amp;IF(AND(E144&lt;&gt;"",E144&lt;SG_Criteria!$B$31),"NOTE: q below LTA min "&amp;SG_Criteria!$B$31&amp;" kPa (not for LTA works). ",""))=0,"OK",IF(AND(R144&lt;&gt;"",IFERROR(VALUE(MID(R144,2,2)),0)&lt;SG_Criteria!$B$19),"FAIL: grade below C"&amp;SG_Criteria!$B$19&amp;". ","")&amp;IF(AND(S144&lt;&gt;"",S144&lt;SG_Criteria!$B$20),"FAIL: cover &lt; "&amp;SG_Criteria!$B$20&amp;" mm. ","")&amp;IF(AND(W144&lt;&gt;"",W144&lt;1),"FAIL: sliding. ","")&amp;IF(AND(C144="Reverse L-Wall (toe only, at boundary)",N(O144)&gt;0),"NOTE: reverse L-wall should have no heel. ","")&amp;IF(AND(C144="L-Wall (heel only)",N(N144)&gt;0),"NOTE: L-wall should have no toe. ","")&amp;IF(AND(E144&lt;&gt;"",E144&lt;SG_Criteria!$B$31),"NOTE: q below LTA min "&amp;SG_Criteria!$B$31&amp;" kPa (not for LTA works). ","")))</f>
        <v/>
      </c>
      <c r="AU144" s="9"/>
      <c r="AV144" s="9"/>
      <c r="AW144" s="9"/>
      <c r="AX144" s="9"/>
      <c r="AY144" s="9"/>
      <c r="AZ144" s="31"/>
      <c r="BA144" s="10" t="str">
        <f aca="false">IF(C144="","",IF(AND(AB144="Approved",ISERROR(SEARCH("FAIL",AT144))),"Y","N"))</f>
        <v/>
      </c>
      <c r="BB144" s="10" t="str">
        <f aca="false">IF(C144="","",C144&amp;"|"&amp;D144&amp;"|"&amp;E144&amp;"|"&amp;F144&amp;"|"&amp;BA144)</f>
        <v/>
      </c>
    </row>
    <row r="145" customFormat="false" ht="15" hidden="false" customHeight="false" outlineLevel="0" collapsed="false">
      <c r="A145" s="10" t="str">
        <f aca="false">IF(C145="","","RW-"&amp;IFERROR(VLOOKUP(C145,Lists!$M$4:$N$22,2,0),"??")&amp;"-H"&amp;TEXT(D145*1000,"0000")&amp;"-S"&amp;E145&amp;IF(F145="Y","-GW","")&amp;"-"&amp;AA145)</f>
        <v/>
      </c>
      <c r="B145" s="10" t="str">
        <f aca="false">IF(C145="","",C145&amp;", H = "&amp;TEXT(D145,"0.0")&amp;" m, q = "&amp;E145&amp;" kPa"&amp;IF(F145="Y",", with GWT","")&amp;", "&amp;H145)</f>
        <v/>
      </c>
      <c r="C145" s="9"/>
      <c r="D145" s="41"/>
      <c r="E145" s="40"/>
      <c r="F145" s="9"/>
      <c r="G145" s="40"/>
      <c r="H145" s="9"/>
      <c r="I145" s="40"/>
      <c r="J145" s="43"/>
      <c r="K145" s="40"/>
      <c r="L145" s="40"/>
      <c r="M145" s="40"/>
      <c r="N145" s="40"/>
      <c r="O145" s="40"/>
      <c r="P145" s="40"/>
      <c r="Q145" s="9"/>
      <c r="R145" s="9"/>
      <c r="S145" s="40"/>
      <c r="T145" s="9"/>
      <c r="U145" s="9"/>
      <c r="V145" s="9"/>
      <c r="W145" s="41"/>
      <c r="X145" s="41"/>
      <c r="Y145" s="40"/>
      <c r="Z145" s="9"/>
      <c r="AA145" s="9"/>
      <c r="AB145" s="9"/>
      <c r="AC145" s="9"/>
      <c r="AD145" s="9"/>
      <c r="AE145" s="9"/>
      <c r="AF145" s="10" t="str">
        <f aca="false">IF(A145="","",SG_Criteria!$B$6&amp;SG_Criteria!$B$8&amp;"\"&amp;A145&amp;"\")</f>
        <v/>
      </c>
      <c r="AG145" s="10" t="str">
        <f aca="false">IF(A145="","",A145&amp;"_CAD.dwg")</f>
        <v/>
      </c>
      <c r="AH145" s="10" t="str">
        <f aca="false">IF(A145="","",A145&amp;"_DWG.pdf")</f>
        <v/>
      </c>
      <c r="AI145" s="10" t="str">
        <f aca="false">IF(A145="","",IF(AE145="Y",A145&amp;"_STAAD.std","n/a"))</f>
        <v/>
      </c>
      <c r="AJ145" s="10" t="str">
        <f aca="false">IF(A145="","",A145&amp;"_CALC.xlsx")</f>
        <v/>
      </c>
      <c r="AK145" s="10" t="str">
        <f aca="false">IF(A145="","",A145&amp;"_CALC.pdf")</f>
        <v/>
      </c>
      <c r="AL145" s="9"/>
      <c r="AM145" s="9"/>
      <c r="AN145" s="41"/>
      <c r="AO145" s="41"/>
      <c r="AP145" s="41"/>
      <c r="AQ145" s="41"/>
      <c r="AR145" s="41"/>
      <c r="AS145" s="38" t="str">
        <f aca="false">IF(OR(C145="",D145=""),"",IF(D145&lt;=IF(OR(C145="Block / Segmental",C145="Gabion",C145="Reinforced Earth (MSE)"),SG_Criteria!$B$34,SG_Criteria!$B$33),"No ERSS submission",IF(D145&lt;=SG_Criteria!$B$35,"QP(ST)",IF(D145&lt;=SG_Criteria!$B$36,"QP(ST) + AC","Geotechnical building works: QP(Geo) + AC"))))</f>
        <v/>
      </c>
      <c r="AT145" s="38" t="str">
        <f aca="false">IF(C145="","",IF(LEN(IF(AND(R145&lt;&gt;"",IFERROR(VALUE(MID(R145,2,2)),0)&lt;SG_Criteria!$B$19),"FAIL: grade below C"&amp;SG_Criteria!$B$19&amp;". ","")&amp;IF(AND(S145&lt;&gt;"",S145&lt;SG_Criteria!$B$20),"FAIL: cover &lt; "&amp;SG_Criteria!$B$20&amp;" mm. ","")&amp;IF(AND(W145&lt;&gt;"",W145&lt;1),"FAIL: sliding. ","")&amp;IF(AND(C145="Reverse L-Wall (toe only, at boundary)",N(O145)&gt;0),"NOTE: reverse L-wall should have no heel. ","")&amp;IF(AND(C145="L-Wall (heel only)",N(N145)&gt;0),"NOTE: L-wall should have no toe. ","")&amp;IF(AND(E145&lt;&gt;"",E145&lt;SG_Criteria!$B$31),"NOTE: q below LTA min "&amp;SG_Criteria!$B$31&amp;" kPa (not for LTA works). ",""))=0,"OK",IF(AND(R145&lt;&gt;"",IFERROR(VALUE(MID(R145,2,2)),0)&lt;SG_Criteria!$B$19),"FAIL: grade below C"&amp;SG_Criteria!$B$19&amp;". ","")&amp;IF(AND(S145&lt;&gt;"",S145&lt;SG_Criteria!$B$20),"FAIL: cover &lt; "&amp;SG_Criteria!$B$20&amp;" mm. ","")&amp;IF(AND(W145&lt;&gt;"",W145&lt;1),"FAIL: sliding. ","")&amp;IF(AND(C145="Reverse L-Wall (toe only, at boundary)",N(O145)&gt;0),"NOTE: reverse L-wall should have no heel. ","")&amp;IF(AND(C145="L-Wall (heel only)",N(N145)&gt;0),"NOTE: L-wall should have no toe. ","")&amp;IF(AND(E145&lt;&gt;"",E145&lt;SG_Criteria!$B$31),"NOTE: q below LTA min "&amp;SG_Criteria!$B$31&amp;" kPa (not for LTA works). ","")))</f>
        <v/>
      </c>
      <c r="AU145" s="9"/>
      <c r="AV145" s="9"/>
      <c r="AW145" s="9"/>
      <c r="AX145" s="9"/>
      <c r="AY145" s="9"/>
      <c r="AZ145" s="31"/>
      <c r="BA145" s="10" t="str">
        <f aca="false">IF(C145="","",IF(AND(AB145="Approved",ISERROR(SEARCH("FAIL",AT145))),"Y","N"))</f>
        <v/>
      </c>
      <c r="BB145" s="10" t="str">
        <f aca="false">IF(C145="","",C145&amp;"|"&amp;D145&amp;"|"&amp;E145&amp;"|"&amp;F145&amp;"|"&amp;BA145)</f>
        <v/>
      </c>
    </row>
    <row r="146" customFormat="false" ht="15" hidden="false" customHeight="false" outlineLevel="0" collapsed="false">
      <c r="A146" s="10" t="str">
        <f aca="false">IF(C146="","","RW-"&amp;IFERROR(VLOOKUP(C146,Lists!$M$4:$N$22,2,0),"??")&amp;"-H"&amp;TEXT(D146*1000,"0000")&amp;"-S"&amp;E146&amp;IF(F146="Y","-GW","")&amp;"-"&amp;AA146)</f>
        <v/>
      </c>
      <c r="B146" s="10" t="str">
        <f aca="false">IF(C146="","",C146&amp;", H = "&amp;TEXT(D146,"0.0")&amp;" m, q = "&amp;E146&amp;" kPa"&amp;IF(F146="Y",", with GWT","")&amp;", "&amp;H146)</f>
        <v/>
      </c>
      <c r="C146" s="9"/>
      <c r="D146" s="41"/>
      <c r="E146" s="40"/>
      <c r="F146" s="9"/>
      <c r="G146" s="40"/>
      <c r="H146" s="9"/>
      <c r="I146" s="40"/>
      <c r="J146" s="43"/>
      <c r="K146" s="40"/>
      <c r="L146" s="40"/>
      <c r="M146" s="40"/>
      <c r="N146" s="40"/>
      <c r="O146" s="40"/>
      <c r="P146" s="40"/>
      <c r="Q146" s="9"/>
      <c r="R146" s="9"/>
      <c r="S146" s="40"/>
      <c r="T146" s="9"/>
      <c r="U146" s="9"/>
      <c r="V146" s="9"/>
      <c r="W146" s="41"/>
      <c r="X146" s="41"/>
      <c r="Y146" s="40"/>
      <c r="Z146" s="9"/>
      <c r="AA146" s="9"/>
      <c r="AB146" s="9"/>
      <c r="AC146" s="9"/>
      <c r="AD146" s="9"/>
      <c r="AE146" s="9"/>
      <c r="AF146" s="10" t="str">
        <f aca="false">IF(A146="","",SG_Criteria!$B$6&amp;SG_Criteria!$B$8&amp;"\"&amp;A146&amp;"\")</f>
        <v/>
      </c>
      <c r="AG146" s="10" t="str">
        <f aca="false">IF(A146="","",A146&amp;"_CAD.dwg")</f>
        <v/>
      </c>
      <c r="AH146" s="10" t="str">
        <f aca="false">IF(A146="","",A146&amp;"_DWG.pdf")</f>
        <v/>
      </c>
      <c r="AI146" s="10" t="str">
        <f aca="false">IF(A146="","",IF(AE146="Y",A146&amp;"_STAAD.std","n/a"))</f>
        <v/>
      </c>
      <c r="AJ146" s="10" t="str">
        <f aca="false">IF(A146="","",A146&amp;"_CALC.xlsx")</f>
        <v/>
      </c>
      <c r="AK146" s="10" t="str">
        <f aca="false">IF(A146="","",A146&amp;"_CALC.pdf")</f>
        <v/>
      </c>
      <c r="AL146" s="9"/>
      <c r="AM146" s="9"/>
      <c r="AN146" s="41"/>
      <c r="AO146" s="41"/>
      <c r="AP146" s="41"/>
      <c r="AQ146" s="41"/>
      <c r="AR146" s="41"/>
      <c r="AS146" s="38" t="str">
        <f aca="false">IF(OR(C146="",D146=""),"",IF(D146&lt;=IF(OR(C146="Block / Segmental",C146="Gabion",C146="Reinforced Earth (MSE)"),SG_Criteria!$B$34,SG_Criteria!$B$33),"No ERSS submission",IF(D146&lt;=SG_Criteria!$B$35,"QP(ST)",IF(D146&lt;=SG_Criteria!$B$36,"QP(ST) + AC","Geotechnical building works: QP(Geo) + AC"))))</f>
        <v/>
      </c>
      <c r="AT146" s="38" t="str">
        <f aca="false">IF(C146="","",IF(LEN(IF(AND(R146&lt;&gt;"",IFERROR(VALUE(MID(R146,2,2)),0)&lt;SG_Criteria!$B$19),"FAIL: grade below C"&amp;SG_Criteria!$B$19&amp;". ","")&amp;IF(AND(S146&lt;&gt;"",S146&lt;SG_Criteria!$B$20),"FAIL: cover &lt; "&amp;SG_Criteria!$B$20&amp;" mm. ","")&amp;IF(AND(W146&lt;&gt;"",W146&lt;1),"FAIL: sliding. ","")&amp;IF(AND(C146="Reverse L-Wall (toe only, at boundary)",N(O146)&gt;0),"NOTE: reverse L-wall should have no heel. ","")&amp;IF(AND(C146="L-Wall (heel only)",N(N146)&gt;0),"NOTE: L-wall should have no toe. ","")&amp;IF(AND(E146&lt;&gt;"",E146&lt;SG_Criteria!$B$31),"NOTE: q below LTA min "&amp;SG_Criteria!$B$31&amp;" kPa (not for LTA works). ",""))=0,"OK",IF(AND(R146&lt;&gt;"",IFERROR(VALUE(MID(R146,2,2)),0)&lt;SG_Criteria!$B$19),"FAIL: grade below C"&amp;SG_Criteria!$B$19&amp;". ","")&amp;IF(AND(S146&lt;&gt;"",S146&lt;SG_Criteria!$B$20),"FAIL: cover &lt; "&amp;SG_Criteria!$B$20&amp;" mm. ","")&amp;IF(AND(W146&lt;&gt;"",W146&lt;1),"FAIL: sliding. ","")&amp;IF(AND(C146="Reverse L-Wall (toe only, at boundary)",N(O146)&gt;0),"NOTE: reverse L-wall should have no heel. ","")&amp;IF(AND(C146="L-Wall (heel only)",N(N146)&gt;0),"NOTE: L-wall should have no toe. ","")&amp;IF(AND(E146&lt;&gt;"",E146&lt;SG_Criteria!$B$31),"NOTE: q below LTA min "&amp;SG_Criteria!$B$31&amp;" kPa (not for LTA works). ","")))</f>
        <v/>
      </c>
      <c r="AU146" s="9"/>
      <c r="AV146" s="9"/>
      <c r="AW146" s="9"/>
      <c r="AX146" s="9"/>
      <c r="AY146" s="9"/>
      <c r="AZ146" s="31"/>
      <c r="BA146" s="10" t="str">
        <f aca="false">IF(C146="","",IF(AND(AB146="Approved",ISERROR(SEARCH("FAIL",AT146))),"Y","N"))</f>
        <v/>
      </c>
      <c r="BB146" s="10" t="str">
        <f aca="false">IF(C146="","",C146&amp;"|"&amp;D146&amp;"|"&amp;E146&amp;"|"&amp;F146&amp;"|"&amp;BA146)</f>
        <v/>
      </c>
    </row>
    <row r="147" customFormat="false" ht="15" hidden="false" customHeight="false" outlineLevel="0" collapsed="false">
      <c r="A147" s="10" t="str">
        <f aca="false">IF(C147="","","RW-"&amp;IFERROR(VLOOKUP(C147,Lists!$M$4:$N$22,2,0),"??")&amp;"-H"&amp;TEXT(D147*1000,"0000")&amp;"-S"&amp;E147&amp;IF(F147="Y","-GW","")&amp;"-"&amp;AA147)</f>
        <v/>
      </c>
      <c r="B147" s="10" t="str">
        <f aca="false">IF(C147="","",C147&amp;", H = "&amp;TEXT(D147,"0.0")&amp;" m, q = "&amp;E147&amp;" kPa"&amp;IF(F147="Y",", with GWT","")&amp;", "&amp;H147)</f>
        <v/>
      </c>
      <c r="C147" s="9"/>
      <c r="D147" s="41"/>
      <c r="E147" s="40"/>
      <c r="F147" s="9"/>
      <c r="G147" s="40"/>
      <c r="H147" s="9"/>
      <c r="I147" s="40"/>
      <c r="J147" s="43"/>
      <c r="K147" s="40"/>
      <c r="L147" s="40"/>
      <c r="M147" s="40"/>
      <c r="N147" s="40"/>
      <c r="O147" s="40"/>
      <c r="P147" s="40"/>
      <c r="Q147" s="9"/>
      <c r="R147" s="9"/>
      <c r="S147" s="40"/>
      <c r="T147" s="9"/>
      <c r="U147" s="9"/>
      <c r="V147" s="9"/>
      <c r="W147" s="41"/>
      <c r="X147" s="41"/>
      <c r="Y147" s="40"/>
      <c r="Z147" s="9"/>
      <c r="AA147" s="9"/>
      <c r="AB147" s="9"/>
      <c r="AC147" s="9"/>
      <c r="AD147" s="9"/>
      <c r="AE147" s="9"/>
      <c r="AF147" s="10" t="str">
        <f aca="false">IF(A147="","",SG_Criteria!$B$6&amp;SG_Criteria!$B$8&amp;"\"&amp;A147&amp;"\")</f>
        <v/>
      </c>
      <c r="AG147" s="10" t="str">
        <f aca="false">IF(A147="","",A147&amp;"_CAD.dwg")</f>
        <v/>
      </c>
      <c r="AH147" s="10" t="str">
        <f aca="false">IF(A147="","",A147&amp;"_DWG.pdf")</f>
        <v/>
      </c>
      <c r="AI147" s="10" t="str">
        <f aca="false">IF(A147="","",IF(AE147="Y",A147&amp;"_STAAD.std","n/a"))</f>
        <v/>
      </c>
      <c r="AJ147" s="10" t="str">
        <f aca="false">IF(A147="","",A147&amp;"_CALC.xlsx")</f>
        <v/>
      </c>
      <c r="AK147" s="10" t="str">
        <f aca="false">IF(A147="","",A147&amp;"_CALC.pdf")</f>
        <v/>
      </c>
      <c r="AL147" s="9"/>
      <c r="AM147" s="9"/>
      <c r="AN147" s="41"/>
      <c r="AO147" s="41"/>
      <c r="AP147" s="41"/>
      <c r="AQ147" s="41"/>
      <c r="AR147" s="41"/>
      <c r="AS147" s="38" t="str">
        <f aca="false">IF(OR(C147="",D147=""),"",IF(D147&lt;=IF(OR(C147="Block / Segmental",C147="Gabion",C147="Reinforced Earth (MSE)"),SG_Criteria!$B$34,SG_Criteria!$B$33),"No ERSS submission",IF(D147&lt;=SG_Criteria!$B$35,"QP(ST)",IF(D147&lt;=SG_Criteria!$B$36,"QP(ST) + AC","Geotechnical building works: QP(Geo) + AC"))))</f>
        <v/>
      </c>
      <c r="AT147" s="38" t="str">
        <f aca="false">IF(C147="","",IF(LEN(IF(AND(R147&lt;&gt;"",IFERROR(VALUE(MID(R147,2,2)),0)&lt;SG_Criteria!$B$19),"FAIL: grade below C"&amp;SG_Criteria!$B$19&amp;". ","")&amp;IF(AND(S147&lt;&gt;"",S147&lt;SG_Criteria!$B$20),"FAIL: cover &lt; "&amp;SG_Criteria!$B$20&amp;" mm. ","")&amp;IF(AND(W147&lt;&gt;"",W147&lt;1),"FAIL: sliding. ","")&amp;IF(AND(C147="Reverse L-Wall (toe only, at boundary)",N(O147)&gt;0),"NOTE: reverse L-wall should have no heel. ","")&amp;IF(AND(C147="L-Wall (heel only)",N(N147)&gt;0),"NOTE: L-wall should have no toe. ","")&amp;IF(AND(E147&lt;&gt;"",E147&lt;SG_Criteria!$B$31),"NOTE: q below LTA min "&amp;SG_Criteria!$B$31&amp;" kPa (not for LTA works). ",""))=0,"OK",IF(AND(R147&lt;&gt;"",IFERROR(VALUE(MID(R147,2,2)),0)&lt;SG_Criteria!$B$19),"FAIL: grade below C"&amp;SG_Criteria!$B$19&amp;". ","")&amp;IF(AND(S147&lt;&gt;"",S147&lt;SG_Criteria!$B$20),"FAIL: cover &lt; "&amp;SG_Criteria!$B$20&amp;" mm. ","")&amp;IF(AND(W147&lt;&gt;"",W147&lt;1),"FAIL: sliding. ","")&amp;IF(AND(C147="Reverse L-Wall (toe only, at boundary)",N(O147)&gt;0),"NOTE: reverse L-wall should have no heel. ","")&amp;IF(AND(C147="L-Wall (heel only)",N(N147)&gt;0),"NOTE: L-wall should have no toe. ","")&amp;IF(AND(E147&lt;&gt;"",E147&lt;SG_Criteria!$B$31),"NOTE: q below LTA min "&amp;SG_Criteria!$B$31&amp;" kPa (not for LTA works). ","")))</f>
        <v/>
      </c>
      <c r="AU147" s="9"/>
      <c r="AV147" s="9"/>
      <c r="AW147" s="9"/>
      <c r="AX147" s="9"/>
      <c r="AY147" s="9"/>
      <c r="AZ147" s="31"/>
      <c r="BA147" s="10" t="str">
        <f aca="false">IF(C147="","",IF(AND(AB147="Approved",ISERROR(SEARCH("FAIL",AT147))),"Y","N"))</f>
        <v/>
      </c>
      <c r="BB147" s="10" t="str">
        <f aca="false">IF(C147="","",C147&amp;"|"&amp;D147&amp;"|"&amp;E147&amp;"|"&amp;F147&amp;"|"&amp;BA147)</f>
        <v/>
      </c>
    </row>
    <row r="148" customFormat="false" ht="15" hidden="false" customHeight="false" outlineLevel="0" collapsed="false">
      <c r="A148" s="10" t="str">
        <f aca="false">IF(C148="","","RW-"&amp;IFERROR(VLOOKUP(C148,Lists!$M$4:$N$22,2,0),"??")&amp;"-H"&amp;TEXT(D148*1000,"0000")&amp;"-S"&amp;E148&amp;IF(F148="Y","-GW","")&amp;"-"&amp;AA148)</f>
        <v/>
      </c>
      <c r="B148" s="10" t="str">
        <f aca="false">IF(C148="","",C148&amp;", H = "&amp;TEXT(D148,"0.0")&amp;" m, q = "&amp;E148&amp;" kPa"&amp;IF(F148="Y",", with GWT","")&amp;", "&amp;H148)</f>
        <v/>
      </c>
      <c r="C148" s="9"/>
      <c r="D148" s="41"/>
      <c r="E148" s="40"/>
      <c r="F148" s="9"/>
      <c r="G148" s="40"/>
      <c r="H148" s="9"/>
      <c r="I148" s="40"/>
      <c r="J148" s="43"/>
      <c r="K148" s="40"/>
      <c r="L148" s="40"/>
      <c r="M148" s="40"/>
      <c r="N148" s="40"/>
      <c r="O148" s="40"/>
      <c r="P148" s="40"/>
      <c r="Q148" s="9"/>
      <c r="R148" s="9"/>
      <c r="S148" s="40"/>
      <c r="T148" s="9"/>
      <c r="U148" s="9"/>
      <c r="V148" s="9"/>
      <c r="W148" s="41"/>
      <c r="X148" s="41"/>
      <c r="Y148" s="40"/>
      <c r="Z148" s="9"/>
      <c r="AA148" s="9"/>
      <c r="AB148" s="9"/>
      <c r="AC148" s="9"/>
      <c r="AD148" s="9"/>
      <c r="AE148" s="9"/>
      <c r="AF148" s="10" t="str">
        <f aca="false">IF(A148="","",SG_Criteria!$B$6&amp;SG_Criteria!$B$8&amp;"\"&amp;A148&amp;"\")</f>
        <v/>
      </c>
      <c r="AG148" s="10" t="str">
        <f aca="false">IF(A148="","",A148&amp;"_CAD.dwg")</f>
        <v/>
      </c>
      <c r="AH148" s="10" t="str">
        <f aca="false">IF(A148="","",A148&amp;"_DWG.pdf")</f>
        <v/>
      </c>
      <c r="AI148" s="10" t="str">
        <f aca="false">IF(A148="","",IF(AE148="Y",A148&amp;"_STAAD.std","n/a"))</f>
        <v/>
      </c>
      <c r="AJ148" s="10" t="str">
        <f aca="false">IF(A148="","",A148&amp;"_CALC.xlsx")</f>
        <v/>
      </c>
      <c r="AK148" s="10" t="str">
        <f aca="false">IF(A148="","",A148&amp;"_CALC.pdf")</f>
        <v/>
      </c>
      <c r="AL148" s="9"/>
      <c r="AM148" s="9"/>
      <c r="AN148" s="41"/>
      <c r="AO148" s="41"/>
      <c r="AP148" s="41"/>
      <c r="AQ148" s="41"/>
      <c r="AR148" s="41"/>
      <c r="AS148" s="38" t="str">
        <f aca="false">IF(OR(C148="",D148=""),"",IF(D148&lt;=IF(OR(C148="Block / Segmental",C148="Gabion",C148="Reinforced Earth (MSE)"),SG_Criteria!$B$34,SG_Criteria!$B$33),"No ERSS submission",IF(D148&lt;=SG_Criteria!$B$35,"QP(ST)",IF(D148&lt;=SG_Criteria!$B$36,"QP(ST) + AC","Geotechnical building works: QP(Geo) + AC"))))</f>
        <v/>
      </c>
      <c r="AT148" s="38" t="str">
        <f aca="false">IF(C148="","",IF(LEN(IF(AND(R148&lt;&gt;"",IFERROR(VALUE(MID(R148,2,2)),0)&lt;SG_Criteria!$B$19),"FAIL: grade below C"&amp;SG_Criteria!$B$19&amp;". ","")&amp;IF(AND(S148&lt;&gt;"",S148&lt;SG_Criteria!$B$20),"FAIL: cover &lt; "&amp;SG_Criteria!$B$20&amp;" mm. ","")&amp;IF(AND(W148&lt;&gt;"",W148&lt;1),"FAIL: sliding. ","")&amp;IF(AND(C148="Reverse L-Wall (toe only, at boundary)",N(O148)&gt;0),"NOTE: reverse L-wall should have no heel. ","")&amp;IF(AND(C148="L-Wall (heel only)",N(N148)&gt;0),"NOTE: L-wall should have no toe. ","")&amp;IF(AND(E148&lt;&gt;"",E148&lt;SG_Criteria!$B$31),"NOTE: q below LTA min "&amp;SG_Criteria!$B$31&amp;" kPa (not for LTA works). ",""))=0,"OK",IF(AND(R148&lt;&gt;"",IFERROR(VALUE(MID(R148,2,2)),0)&lt;SG_Criteria!$B$19),"FAIL: grade below C"&amp;SG_Criteria!$B$19&amp;". ","")&amp;IF(AND(S148&lt;&gt;"",S148&lt;SG_Criteria!$B$20),"FAIL: cover &lt; "&amp;SG_Criteria!$B$20&amp;" mm. ","")&amp;IF(AND(W148&lt;&gt;"",W148&lt;1),"FAIL: sliding. ","")&amp;IF(AND(C148="Reverse L-Wall (toe only, at boundary)",N(O148)&gt;0),"NOTE: reverse L-wall should have no heel. ","")&amp;IF(AND(C148="L-Wall (heel only)",N(N148)&gt;0),"NOTE: L-wall should have no toe. ","")&amp;IF(AND(E148&lt;&gt;"",E148&lt;SG_Criteria!$B$31),"NOTE: q below LTA min "&amp;SG_Criteria!$B$31&amp;" kPa (not for LTA works). ","")))</f>
        <v/>
      </c>
      <c r="AU148" s="9"/>
      <c r="AV148" s="9"/>
      <c r="AW148" s="9"/>
      <c r="AX148" s="9"/>
      <c r="AY148" s="9"/>
      <c r="AZ148" s="31"/>
      <c r="BA148" s="10" t="str">
        <f aca="false">IF(C148="","",IF(AND(AB148="Approved",ISERROR(SEARCH("FAIL",AT148))),"Y","N"))</f>
        <v/>
      </c>
      <c r="BB148" s="10" t="str">
        <f aca="false">IF(C148="","",C148&amp;"|"&amp;D148&amp;"|"&amp;E148&amp;"|"&amp;F148&amp;"|"&amp;BA148)</f>
        <v/>
      </c>
    </row>
    <row r="149" customFormat="false" ht="15" hidden="false" customHeight="false" outlineLevel="0" collapsed="false">
      <c r="A149" s="10" t="str">
        <f aca="false">IF(C149="","","RW-"&amp;IFERROR(VLOOKUP(C149,Lists!$M$4:$N$22,2,0),"??")&amp;"-H"&amp;TEXT(D149*1000,"0000")&amp;"-S"&amp;E149&amp;IF(F149="Y","-GW","")&amp;"-"&amp;AA149)</f>
        <v/>
      </c>
      <c r="B149" s="10" t="str">
        <f aca="false">IF(C149="","",C149&amp;", H = "&amp;TEXT(D149,"0.0")&amp;" m, q = "&amp;E149&amp;" kPa"&amp;IF(F149="Y",", with GWT","")&amp;", "&amp;H149)</f>
        <v/>
      </c>
      <c r="C149" s="9"/>
      <c r="D149" s="41"/>
      <c r="E149" s="40"/>
      <c r="F149" s="9"/>
      <c r="G149" s="40"/>
      <c r="H149" s="9"/>
      <c r="I149" s="40"/>
      <c r="J149" s="43"/>
      <c r="K149" s="40"/>
      <c r="L149" s="40"/>
      <c r="M149" s="40"/>
      <c r="N149" s="40"/>
      <c r="O149" s="40"/>
      <c r="P149" s="40"/>
      <c r="Q149" s="9"/>
      <c r="R149" s="9"/>
      <c r="S149" s="40"/>
      <c r="T149" s="9"/>
      <c r="U149" s="9"/>
      <c r="V149" s="9"/>
      <c r="W149" s="41"/>
      <c r="X149" s="41"/>
      <c r="Y149" s="40"/>
      <c r="Z149" s="9"/>
      <c r="AA149" s="9"/>
      <c r="AB149" s="9"/>
      <c r="AC149" s="9"/>
      <c r="AD149" s="9"/>
      <c r="AE149" s="9"/>
      <c r="AF149" s="10" t="str">
        <f aca="false">IF(A149="","",SG_Criteria!$B$6&amp;SG_Criteria!$B$8&amp;"\"&amp;A149&amp;"\")</f>
        <v/>
      </c>
      <c r="AG149" s="10" t="str">
        <f aca="false">IF(A149="","",A149&amp;"_CAD.dwg")</f>
        <v/>
      </c>
      <c r="AH149" s="10" t="str">
        <f aca="false">IF(A149="","",A149&amp;"_DWG.pdf")</f>
        <v/>
      </c>
      <c r="AI149" s="10" t="str">
        <f aca="false">IF(A149="","",IF(AE149="Y",A149&amp;"_STAAD.std","n/a"))</f>
        <v/>
      </c>
      <c r="AJ149" s="10" t="str">
        <f aca="false">IF(A149="","",A149&amp;"_CALC.xlsx")</f>
        <v/>
      </c>
      <c r="AK149" s="10" t="str">
        <f aca="false">IF(A149="","",A149&amp;"_CALC.pdf")</f>
        <v/>
      </c>
      <c r="AL149" s="9"/>
      <c r="AM149" s="9"/>
      <c r="AN149" s="41"/>
      <c r="AO149" s="41"/>
      <c r="AP149" s="41"/>
      <c r="AQ149" s="41"/>
      <c r="AR149" s="41"/>
      <c r="AS149" s="38" t="str">
        <f aca="false">IF(OR(C149="",D149=""),"",IF(D149&lt;=IF(OR(C149="Block / Segmental",C149="Gabion",C149="Reinforced Earth (MSE)"),SG_Criteria!$B$34,SG_Criteria!$B$33),"No ERSS submission",IF(D149&lt;=SG_Criteria!$B$35,"QP(ST)",IF(D149&lt;=SG_Criteria!$B$36,"QP(ST) + AC","Geotechnical building works: QP(Geo) + AC"))))</f>
        <v/>
      </c>
      <c r="AT149" s="38" t="str">
        <f aca="false">IF(C149="","",IF(LEN(IF(AND(R149&lt;&gt;"",IFERROR(VALUE(MID(R149,2,2)),0)&lt;SG_Criteria!$B$19),"FAIL: grade below C"&amp;SG_Criteria!$B$19&amp;". ","")&amp;IF(AND(S149&lt;&gt;"",S149&lt;SG_Criteria!$B$20),"FAIL: cover &lt; "&amp;SG_Criteria!$B$20&amp;" mm. ","")&amp;IF(AND(W149&lt;&gt;"",W149&lt;1),"FAIL: sliding. ","")&amp;IF(AND(C149="Reverse L-Wall (toe only, at boundary)",N(O149)&gt;0),"NOTE: reverse L-wall should have no heel. ","")&amp;IF(AND(C149="L-Wall (heel only)",N(N149)&gt;0),"NOTE: L-wall should have no toe. ","")&amp;IF(AND(E149&lt;&gt;"",E149&lt;SG_Criteria!$B$31),"NOTE: q below LTA min "&amp;SG_Criteria!$B$31&amp;" kPa (not for LTA works). ",""))=0,"OK",IF(AND(R149&lt;&gt;"",IFERROR(VALUE(MID(R149,2,2)),0)&lt;SG_Criteria!$B$19),"FAIL: grade below C"&amp;SG_Criteria!$B$19&amp;". ","")&amp;IF(AND(S149&lt;&gt;"",S149&lt;SG_Criteria!$B$20),"FAIL: cover &lt; "&amp;SG_Criteria!$B$20&amp;" mm. ","")&amp;IF(AND(W149&lt;&gt;"",W149&lt;1),"FAIL: sliding. ","")&amp;IF(AND(C149="Reverse L-Wall (toe only, at boundary)",N(O149)&gt;0),"NOTE: reverse L-wall should have no heel. ","")&amp;IF(AND(C149="L-Wall (heel only)",N(N149)&gt;0),"NOTE: L-wall should have no toe. ","")&amp;IF(AND(E149&lt;&gt;"",E149&lt;SG_Criteria!$B$31),"NOTE: q below LTA min "&amp;SG_Criteria!$B$31&amp;" kPa (not for LTA works). ","")))</f>
        <v/>
      </c>
      <c r="AU149" s="9"/>
      <c r="AV149" s="9"/>
      <c r="AW149" s="9"/>
      <c r="AX149" s="9"/>
      <c r="AY149" s="9"/>
      <c r="AZ149" s="31"/>
      <c r="BA149" s="10" t="str">
        <f aca="false">IF(C149="","",IF(AND(AB149="Approved",ISERROR(SEARCH("FAIL",AT149))),"Y","N"))</f>
        <v/>
      </c>
      <c r="BB149" s="10" t="str">
        <f aca="false">IF(C149="","",C149&amp;"|"&amp;D149&amp;"|"&amp;E149&amp;"|"&amp;F149&amp;"|"&amp;BA149)</f>
        <v/>
      </c>
    </row>
    <row r="150" customFormat="false" ht="15" hidden="false" customHeight="false" outlineLevel="0" collapsed="false">
      <c r="A150" s="10" t="str">
        <f aca="false">IF(C150="","","RW-"&amp;IFERROR(VLOOKUP(C150,Lists!$M$4:$N$22,2,0),"??")&amp;"-H"&amp;TEXT(D150*1000,"0000")&amp;"-S"&amp;E150&amp;IF(F150="Y","-GW","")&amp;"-"&amp;AA150)</f>
        <v/>
      </c>
      <c r="B150" s="10" t="str">
        <f aca="false">IF(C150="","",C150&amp;", H = "&amp;TEXT(D150,"0.0")&amp;" m, q = "&amp;E150&amp;" kPa"&amp;IF(F150="Y",", with GWT","")&amp;", "&amp;H150)</f>
        <v/>
      </c>
      <c r="C150" s="9"/>
      <c r="D150" s="41"/>
      <c r="E150" s="40"/>
      <c r="F150" s="9"/>
      <c r="G150" s="40"/>
      <c r="H150" s="9"/>
      <c r="I150" s="40"/>
      <c r="J150" s="43"/>
      <c r="K150" s="40"/>
      <c r="L150" s="40"/>
      <c r="M150" s="40"/>
      <c r="N150" s="40"/>
      <c r="O150" s="40"/>
      <c r="P150" s="40"/>
      <c r="Q150" s="9"/>
      <c r="R150" s="9"/>
      <c r="S150" s="40"/>
      <c r="T150" s="9"/>
      <c r="U150" s="9"/>
      <c r="V150" s="9"/>
      <c r="W150" s="41"/>
      <c r="X150" s="41"/>
      <c r="Y150" s="40"/>
      <c r="Z150" s="9"/>
      <c r="AA150" s="9"/>
      <c r="AB150" s="9"/>
      <c r="AC150" s="9"/>
      <c r="AD150" s="9"/>
      <c r="AE150" s="9"/>
      <c r="AF150" s="10" t="str">
        <f aca="false">IF(A150="","",SG_Criteria!$B$6&amp;SG_Criteria!$B$8&amp;"\"&amp;A150&amp;"\")</f>
        <v/>
      </c>
      <c r="AG150" s="10" t="str">
        <f aca="false">IF(A150="","",A150&amp;"_CAD.dwg")</f>
        <v/>
      </c>
      <c r="AH150" s="10" t="str">
        <f aca="false">IF(A150="","",A150&amp;"_DWG.pdf")</f>
        <v/>
      </c>
      <c r="AI150" s="10" t="str">
        <f aca="false">IF(A150="","",IF(AE150="Y",A150&amp;"_STAAD.std","n/a"))</f>
        <v/>
      </c>
      <c r="AJ150" s="10" t="str">
        <f aca="false">IF(A150="","",A150&amp;"_CALC.xlsx")</f>
        <v/>
      </c>
      <c r="AK150" s="10" t="str">
        <f aca="false">IF(A150="","",A150&amp;"_CALC.pdf")</f>
        <v/>
      </c>
      <c r="AL150" s="9"/>
      <c r="AM150" s="9"/>
      <c r="AN150" s="41"/>
      <c r="AO150" s="41"/>
      <c r="AP150" s="41"/>
      <c r="AQ150" s="41"/>
      <c r="AR150" s="41"/>
      <c r="AS150" s="38" t="str">
        <f aca="false">IF(OR(C150="",D150=""),"",IF(D150&lt;=IF(OR(C150="Block / Segmental",C150="Gabion",C150="Reinforced Earth (MSE)"),SG_Criteria!$B$34,SG_Criteria!$B$33),"No ERSS submission",IF(D150&lt;=SG_Criteria!$B$35,"QP(ST)",IF(D150&lt;=SG_Criteria!$B$36,"QP(ST) + AC","Geotechnical building works: QP(Geo) + AC"))))</f>
        <v/>
      </c>
      <c r="AT150" s="38" t="str">
        <f aca="false">IF(C150="","",IF(LEN(IF(AND(R150&lt;&gt;"",IFERROR(VALUE(MID(R150,2,2)),0)&lt;SG_Criteria!$B$19),"FAIL: grade below C"&amp;SG_Criteria!$B$19&amp;". ","")&amp;IF(AND(S150&lt;&gt;"",S150&lt;SG_Criteria!$B$20),"FAIL: cover &lt; "&amp;SG_Criteria!$B$20&amp;" mm. ","")&amp;IF(AND(W150&lt;&gt;"",W150&lt;1),"FAIL: sliding. ","")&amp;IF(AND(C150="Reverse L-Wall (toe only, at boundary)",N(O150)&gt;0),"NOTE: reverse L-wall should have no heel. ","")&amp;IF(AND(C150="L-Wall (heel only)",N(N150)&gt;0),"NOTE: L-wall should have no toe. ","")&amp;IF(AND(E150&lt;&gt;"",E150&lt;SG_Criteria!$B$31),"NOTE: q below LTA min "&amp;SG_Criteria!$B$31&amp;" kPa (not for LTA works). ",""))=0,"OK",IF(AND(R150&lt;&gt;"",IFERROR(VALUE(MID(R150,2,2)),0)&lt;SG_Criteria!$B$19),"FAIL: grade below C"&amp;SG_Criteria!$B$19&amp;". ","")&amp;IF(AND(S150&lt;&gt;"",S150&lt;SG_Criteria!$B$20),"FAIL: cover &lt; "&amp;SG_Criteria!$B$20&amp;" mm. ","")&amp;IF(AND(W150&lt;&gt;"",W150&lt;1),"FAIL: sliding. ","")&amp;IF(AND(C150="Reverse L-Wall (toe only, at boundary)",N(O150)&gt;0),"NOTE: reverse L-wall should have no heel. ","")&amp;IF(AND(C150="L-Wall (heel only)",N(N150)&gt;0),"NOTE: L-wall should have no toe. ","")&amp;IF(AND(E150&lt;&gt;"",E150&lt;SG_Criteria!$B$31),"NOTE: q below LTA min "&amp;SG_Criteria!$B$31&amp;" kPa (not for LTA works). ","")))</f>
        <v/>
      </c>
      <c r="AU150" s="9"/>
      <c r="AV150" s="9"/>
      <c r="AW150" s="9"/>
      <c r="AX150" s="9"/>
      <c r="AY150" s="9"/>
      <c r="AZ150" s="31"/>
      <c r="BA150" s="10" t="str">
        <f aca="false">IF(C150="","",IF(AND(AB150="Approved",ISERROR(SEARCH("FAIL",AT150))),"Y","N"))</f>
        <v/>
      </c>
      <c r="BB150" s="10" t="str">
        <f aca="false">IF(C150="","",C150&amp;"|"&amp;D150&amp;"|"&amp;E150&amp;"|"&amp;F150&amp;"|"&amp;BA150)</f>
        <v/>
      </c>
    </row>
    <row r="151" customFormat="false" ht="15" hidden="false" customHeight="false" outlineLevel="0" collapsed="false">
      <c r="A151" s="10" t="str">
        <f aca="false">IF(C151="","","RW-"&amp;IFERROR(VLOOKUP(C151,Lists!$M$4:$N$22,2,0),"??")&amp;"-H"&amp;TEXT(D151*1000,"0000")&amp;"-S"&amp;E151&amp;IF(F151="Y","-GW","")&amp;"-"&amp;AA151)</f>
        <v/>
      </c>
      <c r="B151" s="10" t="str">
        <f aca="false">IF(C151="","",C151&amp;", H = "&amp;TEXT(D151,"0.0")&amp;" m, q = "&amp;E151&amp;" kPa"&amp;IF(F151="Y",", with GWT","")&amp;", "&amp;H151)</f>
        <v/>
      </c>
      <c r="C151" s="9"/>
      <c r="D151" s="41"/>
      <c r="E151" s="40"/>
      <c r="F151" s="9"/>
      <c r="G151" s="40"/>
      <c r="H151" s="9"/>
      <c r="I151" s="40"/>
      <c r="J151" s="43"/>
      <c r="K151" s="40"/>
      <c r="L151" s="40"/>
      <c r="M151" s="40"/>
      <c r="N151" s="40"/>
      <c r="O151" s="40"/>
      <c r="P151" s="40"/>
      <c r="Q151" s="9"/>
      <c r="R151" s="9"/>
      <c r="S151" s="40"/>
      <c r="T151" s="9"/>
      <c r="U151" s="9"/>
      <c r="V151" s="9"/>
      <c r="W151" s="41"/>
      <c r="X151" s="41"/>
      <c r="Y151" s="40"/>
      <c r="Z151" s="9"/>
      <c r="AA151" s="9"/>
      <c r="AB151" s="9"/>
      <c r="AC151" s="9"/>
      <c r="AD151" s="9"/>
      <c r="AE151" s="9"/>
      <c r="AF151" s="10" t="str">
        <f aca="false">IF(A151="","",SG_Criteria!$B$6&amp;SG_Criteria!$B$8&amp;"\"&amp;A151&amp;"\")</f>
        <v/>
      </c>
      <c r="AG151" s="10" t="str">
        <f aca="false">IF(A151="","",A151&amp;"_CAD.dwg")</f>
        <v/>
      </c>
      <c r="AH151" s="10" t="str">
        <f aca="false">IF(A151="","",A151&amp;"_DWG.pdf")</f>
        <v/>
      </c>
      <c r="AI151" s="10" t="str">
        <f aca="false">IF(A151="","",IF(AE151="Y",A151&amp;"_STAAD.std","n/a"))</f>
        <v/>
      </c>
      <c r="AJ151" s="10" t="str">
        <f aca="false">IF(A151="","",A151&amp;"_CALC.xlsx")</f>
        <v/>
      </c>
      <c r="AK151" s="10" t="str">
        <f aca="false">IF(A151="","",A151&amp;"_CALC.pdf")</f>
        <v/>
      </c>
      <c r="AL151" s="9"/>
      <c r="AM151" s="9"/>
      <c r="AN151" s="41"/>
      <c r="AO151" s="41"/>
      <c r="AP151" s="41"/>
      <c r="AQ151" s="41"/>
      <c r="AR151" s="41"/>
      <c r="AS151" s="38" t="str">
        <f aca="false">IF(OR(C151="",D151=""),"",IF(D151&lt;=IF(OR(C151="Block / Segmental",C151="Gabion",C151="Reinforced Earth (MSE)"),SG_Criteria!$B$34,SG_Criteria!$B$33),"No ERSS submission",IF(D151&lt;=SG_Criteria!$B$35,"QP(ST)",IF(D151&lt;=SG_Criteria!$B$36,"QP(ST) + AC","Geotechnical building works: QP(Geo) + AC"))))</f>
        <v/>
      </c>
      <c r="AT151" s="38" t="str">
        <f aca="false">IF(C151="","",IF(LEN(IF(AND(R151&lt;&gt;"",IFERROR(VALUE(MID(R151,2,2)),0)&lt;SG_Criteria!$B$19),"FAIL: grade below C"&amp;SG_Criteria!$B$19&amp;". ","")&amp;IF(AND(S151&lt;&gt;"",S151&lt;SG_Criteria!$B$20),"FAIL: cover &lt; "&amp;SG_Criteria!$B$20&amp;" mm. ","")&amp;IF(AND(W151&lt;&gt;"",W151&lt;1),"FAIL: sliding. ","")&amp;IF(AND(C151="Reverse L-Wall (toe only, at boundary)",N(O151)&gt;0),"NOTE: reverse L-wall should have no heel. ","")&amp;IF(AND(C151="L-Wall (heel only)",N(N151)&gt;0),"NOTE: L-wall should have no toe. ","")&amp;IF(AND(E151&lt;&gt;"",E151&lt;SG_Criteria!$B$31),"NOTE: q below LTA min "&amp;SG_Criteria!$B$31&amp;" kPa (not for LTA works). ",""))=0,"OK",IF(AND(R151&lt;&gt;"",IFERROR(VALUE(MID(R151,2,2)),0)&lt;SG_Criteria!$B$19),"FAIL: grade below C"&amp;SG_Criteria!$B$19&amp;". ","")&amp;IF(AND(S151&lt;&gt;"",S151&lt;SG_Criteria!$B$20),"FAIL: cover &lt; "&amp;SG_Criteria!$B$20&amp;" mm. ","")&amp;IF(AND(W151&lt;&gt;"",W151&lt;1),"FAIL: sliding. ","")&amp;IF(AND(C151="Reverse L-Wall (toe only, at boundary)",N(O151)&gt;0),"NOTE: reverse L-wall should have no heel. ","")&amp;IF(AND(C151="L-Wall (heel only)",N(N151)&gt;0),"NOTE: L-wall should have no toe. ","")&amp;IF(AND(E151&lt;&gt;"",E151&lt;SG_Criteria!$B$31),"NOTE: q below LTA min "&amp;SG_Criteria!$B$31&amp;" kPa (not for LTA works). ","")))</f>
        <v/>
      </c>
      <c r="AU151" s="9"/>
      <c r="AV151" s="9"/>
      <c r="AW151" s="9"/>
      <c r="AX151" s="9"/>
      <c r="AY151" s="9"/>
      <c r="AZ151" s="31"/>
      <c r="BA151" s="10" t="str">
        <f aca="false">IF(C151="","",IF(AND(AB151="Approved",ISERROR(SEARCH("FAIL",AT151))),"Y","N"))</f>
        <v/>
      </c>
      <c r="BB151" s="10" t="str">
        <f aca="false">IF(C151="","",C151&amp;"|"&amp;D151&amp;"|"&amp;E151&amp;"|"&amp;F151&amp;"|"&amp;BA151)</f>
        <v/>
      </c>
    </row>
    <row r="152" customFormat="false" ht="15" hidden="false" customHeight="false" outlineLevel="0" collapsed="false">
      <c r="A152" s="10" t="str">
        <f aca="false">IF(C152="","","RW-"&amp;IFERROR(VLOOKUP(C152,Lists!$M$4:$N$22,2,0),"??")&amp;"-H"&amp;TEXT(D152*1000,"0000")&amp;"-S"&amp;E152&amp;IF(F152="Y","-GW","")&amp;"-"&amp;AA152)</f>
        <v/>
      </c>
      <c r="B152" s="10" t="str">
        <f aca="false">IF(C152="","",C152&amp;", H = "&amp;TEXT(D152,"0.0")&amp;" m, q = "&amp;E152&amp;" kPa"&amp;IF(F152="Y",", with GWT","")&amp;", "&amp;H152)</f>
        <v/>
      </c>
      <c r="C152" s="9"/>
      <c r="D152" s="41"/>
      <c r="E152" s="40"/>
      <c r="F152" s="9"/>
      <c r="G152" s="40"/>
      <c r="H152" s="9"/>
      <c r="I152" s="40"/>
      <c r="J152" s="43"/>
      <c r="K152" s="40"/>
      <c r="L152" s="40"/>
      <c r="M152" s="40"/>
      <c r="N152" s="40"/>
      <c r="O152" s="40"/>
      <c r="P152" s="40"/>
      <c r="Q152" s="9"/>
      <c r="R152" s="9"/>
      <c r="S152" s="40"/>
      <c r="T152" s="9"/>
      <c r="U152" s="9"/>
      <c r="V152" s="9"/>
      <c r="W152" s="41"/>
      <c r="X152" s="41"/>
      <c r="Y152" s="40"/>
      <c r="Z152" s="9"/>
      <c r="AA152" s="9"/>
      <c r="AB152" s="9"/>
      <c r="AC152" s="9"/>
      <c r="AD152" s="9"/>
      <c r="AE152" s="9"/>
      <c r="AF152" s="10" t="str">
        <f aca="false">IF(A152="","",SG_Criteria!$B$6&amp;SG_Criteria!$B$8&amp;"\"&amp;A152&amp;"\")</f>
        <v/>
      </c>
      <c r="AG152" s="10" t="str">
        <f aca="false">IF(A152="","",A152&amp;"_CAD.dwg")</f>
        <v/>
      </c>
      <c r="AH152" s="10" t="str">
        <f aca="false">IF(A152="","",A152&amp;"_DWG.pdf")</f>
        <v/>
      </c>
      <c r="AI152" s="10" t="str">
        <f aca="false">IF(A152="","",IF(AE152="Y",A152&amp;"_STAAD.std","n/a"))</f>
        <v/>
      </c>
      <c r="AJ152" s="10" t="str">
        <f aca="false">IF(A152="","",A152&amp;"_CALC.xlsx")</f>
        <v/>
      </c>
      <c r="AK152" s="10" t="str">
        <f aca="false">IF(A152="","",A152&amp;"_CALC.pdf")</f>
        <v/>
      </c>
      <c r="AL152" s="9"/>
      <c r="AM152" s="9"/>
      <c r="AN152" s="41"/>
      <c r="AO152" s="41"/>
      <c r="AP152" s="41"/>
      <c r="AQ152" s="41"/>
      <c r="AR152" s="41"/>
      <c r="AS152" s="38" t="str">
        <f aca="false">IF(OR(C152="",D152=""),"",IF(D152&lt;=IF(OR(C152="Block / Segmental",C152="Gabion",C152="Reinforced Earth (MSE)"),SG_Criteria!$B$34,SG_Criteria!$B$33),"No ERSS submission",IF(D152&lt;=SG_Criteria!$B$35,"QP(ST)",IF(D152&lt;=SG_Criteria!$B$36,"QP(ST) + AC","Geotechnical building works: QP(Geo) + AC"))))</f>
        <v/>
      </c>
      <c r="AT152" s="38" t="str">
        <f aca="false">IF(C152="","",IF(LEN(IF(AND(R152&lt;&gt;"",IFERROR(VALUE(MID(R152,2,2)),0)&lt;SG_Criteria!$B$19),"FAIL: grade below C"&amp;SG_Criteria!$B$19&amp;". ","")&amp;IF(AND(S152&lt;&gt;"",S152&lt;SG_Criteria!$B$20),"FAIL: cover &lt; "&amp;SG_Criteria!$B$20&amp;" mm. ","")&amp;IF(AND(W152&lt;&gt;"",W152&lt;1),"FAIL: sliding. ","")&amp;IF(AND(C152="Reverse L-Wall (toe only, at boundary)",N(O152)&gt;0),"NOTE: reverse L-wall should have no heel. ","")&amp;IF(AND(C152="L-Wall (heel only)",N(N152)&gt;0),"NOTE: L-wall should have no toe. ","")&amp;IF(AND(E152&lt;&gt;"",E152&lt;SG_Criteria!$B$31),"NOTE: q below LTA min "&amp;SG_Criteria!$B$31&amp;" kPa (not for LTA works). ",""))=0,"OK",IF(AND(R152&lt;&gt;"",IFERROR(VALUE(MID(R152,2,2)),0)&lt;SG_Criteria!$B$19),"FAIL: grade below C"&amp;SG_Criteria!$B$19&amp;". ","")&amp;IF(AND(S152&lt;&gt;"",S152&lt;SG_Criteria!$B$20),"FAIL: cover &lt; "&amp;SG_Criteria!$B$20&amp;" mm. ","")&amp;IF(AND(W152&lt;&gt;"",W152&lt;1),"FAIL: sliding. ","")&amp;IF(AND(C152="Reverse L-Wall (toe only, at boundary)",N(O152)&gt;0),"NOTE: reverse L-wall should have no heel. ","")&amp;IF(AND(C152="L-Wall (heel only)",N(N152)&gt;0),"NOTE: L-wall should have no toe. ","")&amp;IF(AND(E152&lt;&gt;"",E152&lt;SG_Criteria!$B$31),"NOTE: q below LTA min "&amp;SG_Criteria!$B$31&amp;" kPa (not for LTA works). ","")))</f>
        <v/>
      </c>
      <c r="AU152" s="9"/>
      <c r="AV152" s="9"/>
      <c r="AW152" s="9"/>
      <c r="AX152" s="9"/>
      <c r="AY152" s="9"/>
      <c r="AZ152" s="31"/>
      <c r="BA152" s="10" t="str">
        <f aca="false">IF(C152="","",IF(AND(AB152="Approved",ISERROR(SEARCH("FAIL",AT152))),"Y","N"))</f>
        <v/>
      </c>
      <c r="BB152" s="10" t="str">
        <f aca="false">IF(C152="","",C152&amp;"|"&amp;D152&amp;"|"&amp;E152&amp;"|"&amp;F152&amp;"|"&amp;BA152)</f>
        <v/>
      </c>
    </row>
    <row r="153" customFormat="false" ht="15" hidden="false" customHeight="false" outlineLevel="0" collapsed="false">
      <c r="A153" s="10" t="str">
        <f aca="false">IF(C153="","","RW-"&amp;IFERROR(VLOOKUP(C153,Lists!$M$4:$N$22,2,0),"??")&amp;"-H"&amp;TEXT(D153*1000,"0000")&amp;"-S"&amp;E153&amp;IF(F153="Y","-GW","")&amp;"-"&amp;AA153)</f>
        <v/>
      </c>
      <c r="B153" s="10" t="str">
        <f aca="false">IF(C153="","",C153&amp;", H = "&amp;TEXT(D153,"0.0")&amp;" m, q = "&amp;E153&amp;" kPa"&amp;IF(F153="Y",", with GWT","")&amp;", "&amp;H153)</f>
        <v/>
      </c>
      <c r="C153" s="9"/>
      <c r="D153" s="41"/>
      <c r="E153" s="40"/>
      <c r="F153" s="9"/>
      <c r="G153" s="40"/>
      <c r="H153" s="9"/>
      <c r="I153" s="40"/>
      <c r="J153" s="43"/>
      <c r="K153" s="40"/>
      <c r="L153" s="40"/>
      <c r="M153" s="40"/>
      <c r="N153" s="40"/>
      <c r="O153" s="40"/>
      <c r="P153" s="40"/>
      <c r="Q153" s="9"/>
      <c r="R153" s="9"/>
      <c r="S153" s="40"/>
      <c r="T153" s="9"/>
      <c r="U153" s="9"/>
      <c r="V153" s="9"/>
      <c r="W153" s="41"/>
      <c r="X153" s="41"/>
      <c r="Y153" s="40"/>
      <c r="Z153" s="9"/>
      <c r="AA153" s="9"/>
      <c r="AB153" s="9"/>
      <c r="AC153" s="9"/>
      <c r="AD153" s="9"/>
      <c r="AE153" s="9"/>
      <c r="AF153" s="10" t="str">
        <f aca="false">IF(A153="","",SG_Criteria!$B$6&amp;SG_Criteria!$B$8&amp;"\"&amp;A153&amp;"\")</f>
        <v/>
      </c>
      <c r="AG153" s="10" t="str">
        <f aca="false">IF(A153="","",A153&amp;"_CAD.dwg")</f>
        <v/>
      </c>
      <c r="AH153" s="10" t="str">
        <f aca="false">IF(A153="","",A153&amp;"_DWG.pdf")</f>
        <v/>
      </c>
      <c r="AI153" s="10" t="str">
        <f aca="false">IF(A153="","",IF(AE153="Y",A153&amp;"_STAAD.std","n/a"))</f>
        <v/>
      </c>
      <c r="AJ153" s="10" t="str">
        <f aca="false">IF(A153="","",A153&amp;"_CALC.xlsx")</f>
        <v/>
      </c>
      <c r="AK153" s="10" t="str">
        <f aca="false">IF(A153="","",A153&amp;"_CALC.pdf")</f>
        <v/>
      </c>
      <c r="AL153" s="9"/>
      <c r="AM153" s="9"/>
      <c r="AN153" s="41"/>
      <c r="AO153" s="41"/>
      <c r="AP153" s="41"/>
      <c r="AQ153" s="41"/>
      <c r="AR153" s="41"/>
      <c r="AS153" s="38" t="str">
        <f aca="false">IF(OR(C153="",D153=""),"",IF(D153&lt;=IF(OR(C153="Block / Segmental",C153="Gabion",C153="Reinforced Earth (MSE)"),SG_Criteria!$B$34,SG_Criteria!$B$33),"No ERSS submission",IF(D153&lt;=SG_Criteria!$B$35,"QP(ST)",IF(D153&lt;=SG_Criteria!$B$36,"QP(ST) + AC","Geotechnical building works: QP(Geo) + AC"))))</f>
        <v/>
      </c>
      <c r="AT153" s="38" t="str">
        <f aca="false">IF(C153="","",IF(LEN(IF(AND(R153&lt;&gt;"",IFERROR(VALUE(MID(R153,2,2)),0)&lt;SG_Criteria!$B$19),"FAIL: grade below C"&amp;SG_Criteria!$B$19&amp;". ","")&amp;IF(AND(S153&lt;&gt;"",S153&lt;SG_Criteria!$B$20),"FAIL: cover &lt; "&amp;SG_Criteria!$B$20&amp;" mm. ","")&amp;IF(AND(W153&lt;&gt;"",W153&lt;1),"FAIL: sliding. ","")&amp;IF(AND(C153="Reverse L-Wall (toe only, at boundary)",N(O153)&gt;0),"NOTE: reverse L-wall should have no heel. ","")&amp;IF(AND(C153="L-Wall (heel only)",N(N153)&gt;0),"NOTE: L-wall should have no toe. ","")&amp;IF(AND(E153&lt;&gt;"",E153&lt;SG_Criteria!$B$31),"NOTE: q below LTA min "&amp;SG_Criteria!$B$31&amp;" kPa (not for LTA works). ",""))=0,"OK",IF(AND(R153&lt;&gt;"",IFERROR(VALUE(MID(R153,2,2)),0)&lt;SG_Criteria!$B$19),"FAIL: grade below C"&amp;SG_Criteria!$B$19&amp;". ","")&amp;IF(AND(S153&lt;&gt;"",S153&lt;SG_Criteria!$B$20),"FAIL: cover &lt; "&amp;SG_Criteria!$B$20&amp;" mm. ","")&amp;IF(AND(W153&lt;&gt;"",W153&lt;1),"FAIL: sliding. ","")&amp;IF(AND(C153="Reverse L-Wall (toe only, at boundary)",N(O153)&gt;0),"NOTE: reverse L-wall should have no heel. ","")&amp;IF(AND(C153="L-Wall (heel only)",N(N153)&gt;0),"NOTE: L-wall should have no toe. ","")&amp;IF(AND(E153&lt;&gt;"",E153&lt;SG_Criteria!$B$31),"NOTE: q below LTA min "&amp;SG_Criteria!$B$31&amp;" kPa (not for LTA works). ","")))</f>
        <v/>
      </c>
      <c r="AU153" s="9"/>
      <c r="AV153" s="9"/>
      <c r="AW153" s="9"/>
      <c r="AX153" s="9"/>
      <c r="AY153" s="9"/>
      <c r="AZ153" s="31"/>
      <c r="BA153" s="10" t="str">
        <f aca="false">IF(C153="","",IF(AND(AB153="Approved",ISERROR(SEARCH("FAIL",AT153))),"Y","N"))</f>
        <v/>
      </c>
      <c r="BB153" s="10" t="str">
        <f aca="false">IF(C153="","",C153&amp;"|"&amp;D153&amp;"|"&amp;E153&amp;"|"&amp;F153&amp;"|"&amp;BA153)</f>
        <v/>
      </c>
    </row>
    <row r="154" customFormat="false" ht="15" hidden="false" customHeight="false" outlineLevel="0" collapsed="false">
      <c r="A154" s="10" t="str">
        <f aca="false">IF(C154="","","RW-"&amp;IFERROR(VLOOKUP(C154,Lists!$M$4:$N$22,2,0),"??")&amp;"-H"&amp;TEXT(D154*1000,"0000")&amp;"-S"&amp;E154&amp;IF(F154="Y","-GW","")&amp;"-"&amp;AA154)</f>
        <v/>
      </c>
      <c r="B154" s="10" t="str">
        <f aca="false">IF(C154="","",C154&amp;", H = "&amp;TEXT(D154,"0.0")&amp;" m, q = "&amp;E154&amp;" kPa"&amp;IF(F154="Y",", with GWT","")&amp;", "&amp;H154)</f>
        <v/>
      </c>
      <c r="C154" s="9"/>
      <c r="D154" s="41"/>
      <c r="E154" s="40"/>
      <c r="F154" s="9"/>
      <c r="G154" s="40"/>
      <c r="H154" s="9"/>
      <c r="I154" s="40"/>
      <c r="J154" s="43"/>
      <c r="K154" s="40"/>
      <c r="L154" s="40"/>
      <c r="M154" s="40"/>
      <c r="N154" s="40"/>
      <c r="O154" s="40"/>
      <c r="P154" s="40"/>
      <c r="Q154" s="9"/>
      <c r="R154" s="9"/>
      <c r="S154" s="40"/>
      <c r="T154" s="9"/>
      <c r="U154" s="9"/>
      <c r="V154" s="9"/>
      <c r="W154" s="41"/>
      <c r="X154" s="41"/>
      <c r="Y154" s="40"/>
      <c r="Z154" s="9"/>
      <c r="AA154" s="9"/>
      <c r="AB154" s="9"/>
      <c r="AC154" s="9"/>
      <c r="AD154" s="9"/>
      <c r="AE154" s="9"/>
      <c r="AF154" s="10" t="str">
        <f aca="false">IF(A154="","",SG_Criteria!$B$6&amp;SG_Criteria!$B$8&amp;"\"&amp;A154&amp;"\")</f>
        <v/>
      </c>
      <c r="AG154" s="10" t="str">
        <f aca="false">IF(A154="","",A154&amp;"_CAD.dwg")</f>
        <v/>
      </c>
      <c r="AH154" s="10" t="str">
        <f aca="false">IF(A154="","",A154&amp;"_DWG.pdf")</f>
        <v/>
      </c>
      <c r="AI154" s="10" t="str">
        <f aca="false">IF(A154="","",IF(AE154="Y",A154&amp;"_STAAD.std","n/a"))</f>
        <v/>
      </c>
      <c r="AJ154" s="10" t="str">
        <f aca="false">IF(A154="","",A154&amp;"_CALC.xlsx")</f>
        <v/>
      </c>
      <c r="AK154" s="10" t="str">
        <f aca="false">IF(A154="","",A154&amp;"_CALC.pdf")</f>
        <v/>
      </c>
      <c r="AL154" s="9"/>
      <c r="AM154" s="9"/>
      <c r="AN154" s="41"/>
      <c r="AO154" s="41"/>
      <c r="AP154" s="41"/>
      <c r="AQ154" s="41"/>
      <c r="AR154" s="41"/>
      <c r="AS154" s="38" t="str">
        <f aca="false">IF(OR(C154="",D154=""),"",IF(D154&lt;=IF(OR(C154="Block / Segmental",C154="Gabion",C154="Reinforced Earth (MSE)"),SG_Criteria!$B$34,SG_Criteria!$B$33),"No ERSS submission",IF(D154&lt;=SG_Criteria!$B$35,"QP(ST)",IF(D154&lt;=SG_Criteria!$B$36,"QP(ST) + AC","Geotechnical building works: QP(Geo) + AC"))))</f>
        <v/>
      </c>
      <c r="AT154" s="38" t="str">
        <f aca="false">IF(C154="","",IF(LEN(IF(AND(R154&lt;&gt;"",IFERROR(VALUE(MID(R154,2,2)),0)&lt;SG_Criteria!$B$19),"FAIL: grade below C"&amp;SG_Criteria!$B$19&amp;". ","")&amp;IF(AND(S154&lt;&gt;"",S154&lt;SG_Criteria!$B$20),"FAIL: cover &lt; "&amp;SG_Criteria!$B$20&amp;" mm. ","")&amp;IF(AND(W154&lt;&gt;"",W154&lt;1),"FAIL: sliding. ","")&amp;IF(AND(C154="Reverse L-Wall (toe only, at boundary)",N(O154)&gt;0),"NOTE: reverse L-wall should have no heel. ","")&amp;IF(AND(C154="L-Wall (heel only)",N(N154)&gt;0),"NOTE: L-wall should have no toe. ","")&amp;IF(AND(E154&lt;&gt;"",E154&lt;SG_Criteria!$B$31),"NOTE: q below LTA min "&amp;SG_Criteria!$B$31&amp;" kPa (not for LTA works). ",""))=0,"OK",IF(AND(R154&lt;&gt;"",IFERROR(VALUE(MID(R154,2,2)),0)&lt;SG_Criteria!$B$19),"FAIL: grade below C"&amp;SG_Criteria!$B$19&amp;". ","")&amp;IF(AND(S154&lt;&gt;"",S154&lt;SG_Criteria!$B$20),"FAIL: cover &lt; "&amp;SG_Criteria!$B$20&amp;" mm. ","")&amp;IF(AND(W154&lt;&gt;"",W154&lt;1),"FAIL: sliding. ","")&amp;IF(AND(C154="Reverse L-Wall (toe only, at boundary)",N(O154)&gt;0),"NOTE: reverse L-wall should have no heel. ","")&amp;IF(AND(C154="L-Wall (heel only)",N(N154)&gt;0),"NOTE: L-wall should have no toe. ","")&amp;IF(AND(E154&lt;&gt;"",E154&lt;SG_Criteria!$B$31),"NOTE: q below LTA min "&amp;SG_Criteria!$B$31&amp;" kPa (not for LTA works). ","")))</f>
        <v/>
      </c>
      <c r="AU154" s="9"/>
      <c r="AV154" s="9"/>
      <c r="AW154" s="9"/>
      <c r="AX154" s="9"/>
      <c r="AY154" s="9"/>
      <c r="AZ154" s="31"/>
      <c r="BA154" s="10" t="str">
        <f aca="false">IF(C154="","",IF(AND(AB154="Approved",ISERROR(SEARCH("FAIL",AT154))),"Y","N"))</f>
        <v/>
      </c>
      <c r="BB154" s="10" t="str">
        <f aca="false">IF(C154="","",C154&amp;"|"&amp;D154&amp;"|"&amp;E154&amp;"|"&amp;F154&amp;"|"&amp;BA154)</f>
        <v/>
      </c>
    </row>
    <row r="155" customFormat="false" ht="15" hidden="false" customHeight="false" outlineLevel="0" collapsed="false">
      <c r="A155" s="10" t="str">
        <f aca="false">IF(C155="","","RW-"&amp;IFERROR(VLOOKUP(C155,Lists!$M$4:$N$22,2,0),"??")&amp;"-H"&amp;TEXT(D155*1000,"0000")&amp;"-S"&amp;E155&amp;IF(F155="Y","-GW","")&amp;"-"&amp;AA155)</f>
        <v/>
      </c>
      <c r="B155" s="10" t="str">
        <f aca="false">IF(C155="","",C155&amp;", H = "&amp;TEXT(D155,"0.0")&amp;" m, q = "&amp;E155&amp;" kPa"&amp;IF(F155="Y",", with GWT","")&amp;", "&amp;H155)</f>
        <v/>
      </c>
      <c r="C155" s="9"/>
      <c r="D155" s="41"/>
      <c r="E155" s="40"/>
      <c r="F155" s="9"/>
      <c r="G155" s="40"/>
      <c r="H155" s="9"/>
      <c r="I155" s="40"/>
      <c r="J155" s="43"/>
      <c r="K155" s="40"/>
      <c r="L155" s="40"/>
      <c r="M155" s="40"/>
      <c r="N155" s="40"/>
      <c r="O155" s="40"/>
      <c r="P155" s="40"/>
      <c r="Q155" s="9"/>
      <c r="R155" s="9"/>
      <c r="S155" s="40"/>
      <c r="T155" s="9"/>
      <c r="U155" s="9"/>
      <c r="V155" s="9"/>
      <c r="W155" s="41"/>
      <c r="X155" s="41"/>
      <c r="Y155" s="40"/>
      <c r="Z155" s="9"/>
      <c r="AA155" s="9"/>
      <c r="AB155" s="9"/>
      <c r="AC155" s="9"/>
      <c r="AD155" s="9"/>
      <c r="AE155" s="9"/>
      <c r="AF155" s="10" t="str">
        <f aca="false">IF(A155="","",SG_Criteria!$B$6&amp;SG_Criteria!$B$8&amp;"\"&amp;A155&amp;"\")</f>
        <v/>
      </c>
      <c r="AG155" s="10" t="str">
        <f aca="false">IF(A155="","",A155&amp;"_CAD.dwg")</f>
        <v/>
      </c>
      <c r="AH155" s="10" t="str">
        <f aca="false">IF(A155="","",A155&amp;"_DWG.pdf")</f>
        <v/>
      </c>
      <c r="AI155" s="10" t="str">
        <f aca="false">IF(A155="","",IF(AE155="Y",A155&amp;"_STAAD.std","n/a"))</f>
        <v/>
      </c>
      <c r="AJ155" s="10" t="str">
        <f aca="false">IF(A155="","",A155&amp;"_CALC.xlsx")</f>
        <v/>
      </c>
      <c r="AK155" s="10" t="str">
        <f aca="false">IF(A155="","",A155&amp;"_CALC.pdf")</f>
        <v/>
      </c>
      <c r="AL155" s="9"/>
      <c r="AM155" s="9"/>
      <c r="AN155" s="41"/>
      <c r="AO155" s="41"/>
      <c r="AP155" s="41"/>
      <c r="AQ155" s="41"/>
      <c r="AR155" s="41"/>
      <c r="AS155" s="38" t="str">
        <f aca="false">IF(OR(C155="",D155=""),"",IF(D155&lt;=IF(OR(C155="Block / Segmental",C155="Gabion",C155="Reinforced Earth (MSE)"),SG_Criteria!$B$34,SG_Criteria!$B$33),"No ERSS submission",IF(D155&lt;=SG_Criteria!$B$35,"QP(ST)",IF(D155&lt;=SG_Criteria!$B$36,"QP(ST) + AC","Geotechnical building works: QP(Geo) + AC"))))</f>
        <v/>
      </c>
      <c r="AT155" s="38" t="str">
        <f aca="false">IF(C155="","",IF(LEN(IF(AND(R155&lt;&gt;"",IFERROR(VALUE(MID(R155,2,2)),0)&lt;SG_Criteria!$B$19),"FAIL: grade below C"&amp;SG_Criteria!$B$19&amp;". ","")&amp;IF(AND(S155&lt;&gt;"",S155&lt;SG_Criteria!$B$20),"FAIL: cover &lt; "&amp;SG_Criteria!$B$20&amp;" mm. ","")&amp;IF(AND(W155&lt;&gt;"",W155&lt;1),"FAIL: sliding. ","")&amp;IF(AND(C155="Reverse L-Wall (toe only, at boundary)",N(O155)&gt;0),"NOTE: reverse L-wall should have no heel. ","")&amp;IF(AND(C155="L-Wall (heel only)",N(N155)&gt;0),"NOTE: L-wall should have no toe. ","")&amp;IF(AND(E155&lt;&gt;"",E155&lt;SG_Criteria!$B$31),"NOTE: q below LTA min "&amp;SG_Criteria!$B$31&amp;" kPa (not for LTA works). ",""))=0,"OK",IF(AND(R155&lt;&gt;"",IFERROR(VALUE(MID(R155,2,2)),0)&lt;SG_Criteria!$B$19),"FAIL: grade below C"&amp;SG_Criteria!$B$19&amp;". ","")&amp;IF(AND(S155&lt;&gt;"",S155&lt;SG_Criteria!$B$20),"FAIL: cover &lt; "&amp;SG_Criteria!$B$20&amp;" mm. ","")&amp;IF(AND(W155&lt;&gt;"",W155&lt;1),"FAIL: sliding. ","")&amp;IF(AND(C155="Reverse L-Wall (toe only, at boundary)",N(O155)&gt;0),"NOTE: reverse L-wall should have no heel. ","")&amp;IF(AND(C155="L-Wall (heel only)",N(N155)&gt;0),"NOTE: L-wall should have no toe. ","")&amp;IF(AND(E155&lt;&gt;"",E155&lt;SG_Criteria!$B$31),"NOTE: q below LTA min "&amp;SG_Criteria!$B$31&amp;" kPa (not for LTA works). ","")))</f>
        <v/>
      </c>
      <c r="AU155" s="9"/>
      <c r="AV155" s="9"/>
      <c r="AW155" s="9"/>
      <c r="AX155" s="9"/>
      <c r="AY155" s="9"/>
      <c r="AZ155" s="31"/>
      <c r="BA155" s="10" t="str">
        <f aca="false">IF(C155="","",IF(AND(AB155="Approved",ISERROR(SEARCH("FAIL",AT155))),"Y","N"))</f>
        <v/>
      </c>
      <c r="BB155" s="10" t="str">
        <f aca="false">IF(C155="","",C155&amp;"|"&amp;D155&amp;"|"&amp;E155&amp;"|"&amp;F155&amp;"|"&amp;BA155)</f>
        <v/>
      </c>
    </row>
    <row r="156" customFormat="false" ht="15" hidden="false" customHeight="false" outlineLevel="0" collapsed="false">
      <c r="A156" s="10" t="str">
        <f aca="false">IF(C156="","","RW-"&amp;IFERROR(VLOOKUP(C156,Lists!$M$4:$N$22,2,0),"??")&amp;"-H"&amp;TEXT(D156*1000,"0000")&amp;"-S"&amp;E156&amp;IF(F156="Y","-GW","")&amp;"-"&amp;AA156)</f>
        <v/>
      </c>
      <c r="B156" s="10" t="str">
        <f aca="false">IF(C156="","",C156&amp;", H = "&amp;TEXT(D156,"0.0")&amp;" m, q = "&amp;E156&amp;" kPa"&amp;IF(F156="Y",", with GWT","")&amp;", "&amp;H156)</f>
        <v/>
      </c>
      <c r="C156" s="9"/>
      <c r="D156" s="41"/>
      <c r="E156" s="40"/>
      <c r="F156" s="9"/>
      <c r="G156" s="40"/>
      <c r="H156" s="9"/>
      <c r="I156" s="40"/>
      <c r="J156" s="43"/>
      <c r="K156" s="40"/>
      <c r="L156" s="40"/>
      <c r="M156" s="40"/>
      <c r="N156" s="40"/>
      <c r="O156" s="40"/>
      <c r="P156" s="40"/>
      <c r="Q156" s="9"/>
      <c r="R156" s="9"/>
      <c r="S156" s="40"/>
      <c r="T156" s="9"/>
      <c r="U156" s="9"/>
      <c r="V156" s="9"/>
      <c r="W156" s="41"/>
      <c r="X156" s="41"/>
      <c r="Y156" s="40"/>
      <c r="Z156" s="9"/>
      <c r="AA156" s="9"/>
      <c r="AB156" s="9"/>
      <c r="AC156" s="9"/>
      <c r="AD156" s="9"/>
      <c r="AE156" s="9"/>
      <c r="AF156" s="10" t="str">
        <f aca="false">IF(A156="","",SG_Criteria!$B$6&amp;SG_Criteria!$B$8&amp;"\"&amp;A156&amp;"\")</f>
        <v/>
      </c>
      <c r="AG156" s="10" t="str">
        <f aca="false">IF(A156="","",A156&amp;"_CAD.dwg")</f>
        <v/>
      </c>
      <c r="AH156" s="10" t="str">
        <f aca="false">IF(A156="","",A156&amp;"_DWG.pdf")</f>
        <v/>
      </c>
      <c r="AI156" s="10" t="str">
        <f aca="false">IF(A156="","",IF(AE156="Y",A156&amp;"_STAAD.std","n/a"))</f>
        <v/>
      </c>
      <c r="AJ156" s="10" t="str">
        <f aca="false">IF(A156="","",A156&amp;"_CALC.xlsx")</f>
        <v/>
      </c>
      <c r="AK156" s="10" t="str">
        <f aca="false">IF(A156="","",A156&amp;"_CALC.pdf")</f>
        <v/>
      </c>
      <c r="AL156" s="9"/>
      <c r="AM156" s="9"/>
      <c r="AN156" s="41"/>
      <c r="AO156" s="41"/>
      <c r="AP156" s="41"/>
      <c r="AQ156" s="41"/>
      <c r="AR156" s="41"/>
      <c r="AS156" s="38" t="str">
        <f aca="false">IF(OR(C156="",D156=""),"",IF(D156&lt;=IF(OR(C156="Block / Segmental",C156="Gabion",C156="Reinforced Earth (MSE)"),SG_Criteria!$B$34,SG_Criteria!$B$33),"No ERSS submission",IF(D156&lt;=SG_Criteria!$B$35,"QP(ST)",IF(D156&lt;=SG_Criteria!$B$36,"QP(ST) + AC","Geotechnical building works: QP(Geo) + AC"))))</f>
        <v/>
      </c>
      <c r="AT156" s="38" t="str">
        <f aca="false">IF(C156="","",IF(LEN(IF(AND(R156&lt;&gt;"",IFERROR(VALUE(MID(R156,2,2)),0)&lt;SG_Criteria!$B$19),"FAIL: grade below C"&amp;SG_Criteria!$B$19&amp;". ","")&amp;IF(AND(S156&lt;&gt;"",S156&lt;SG_Criteria!$B$20),"FAIL: cover &lt; "&amp;SG_Criteria!$B$20&amp;" mm. ","")&amp;IF(AND(W156&lt;&gt;"",W156&lt;1),"FAIL: sliding. ","")&amp;IF(AND(C156="Reverse L-Wall (toe only, at boundary)",N(O156)&gt;0),"NOTE: reverse L-wall should have no heel. ","")&amp;IF(AND(C156="L-Wall (heel only)",N(N156)&gt;0),"NOTE: L-wall should have no toe. ","")&amp;IF(AND(E156&lt;&gt;"",E156&lt;SG_Criteria!$B$31),"NOTE: q below LTA min "&amp;SG_Criteria!$B$31&amp;" kPa (not for LTA works). ",""))=0,"OK",IF(AND(R156&lt;&gt;"",IFERROR(VALUE(MID(R156,2,2)),0)&lt;SG_Criteria!$B$19),"FAIL: grade below C"&amp;SG_Criteria!$B$19&amp;". ","")&amp;IF(AND(S156&lt;&gt;"",S156&lt;SG_Criteria!$B$20),"FAIL: cover &lt; "&amp;SG_Criteria!$B$20&amp;" mm. ","")&amp;IF(AND(W156&lt;&gt;"",W156&lt;1),"FAIL: sliding. ","")&amp;IF(AND(C156="Reverse L-Wall (toe only, at boundary)",N(O156)&gt;0),"NOTE: reverse L-wall should have no heel. ","")&amp;IF(AND(C156="L-Wall (heel only)",N(N156)&gt;0),"NOTE: L-wall should have no toe. ","")&amp;IF(AND(E156&lt;&gt;"",E156&lt;SG_Criteria!$B$31),"NOTE: q below LTA min "&amp;SG_Criteria!$B$31&amp;" kPa (not for LTA works). ","")))</f>
        <v/>
      </c>
      <c r="AU156" s="9"/>
      <c r="AV156" s="9"/>
      <c r="AW156" s="9"/>
      <c r="AX156" s="9"/>
      <c r="AY156" s="9"/>
      <c r="AZ156" s="31"/>
      <c r="BA156" s="10" t="str">
        <f aca="false">IF(C156="","",IF(AND(AB156="Approved",ISERROR(SEARCH("FAIL",AT156))),"Y","N"))</f>
        <v/>
      </c>
      <c r="BB156" s="10" t="str">
        <f aca="false">IF(C156="","",C156&amp;"|"&amp;D156&amp;"|"&amp;E156&amp;"|"&amp;F156&amp;"|"&amp;BA156)</f>
        <v/>
      </c>
    </row>
    <row r="157" customFormat="false" ht="15" hidden="false" customHeight="false" outlineLevel="0" collapsed="false">
      <c r="A157" s="10" t="str">
        <f aca="false">IF(C157="","","RW-"&amp;IFERROR(VLOOKUP(C157,Lists!$M$4:$N$22,2,0),"??")&amp;"-H"&amp;TEXT(D157*1000,"0000")&amp;"-S"&amp;E157&amp;IF(F157="Y","-GW","")&amp;"-"&amp;AA157)</f>
        <v/>
      </c>
      <c r="B157" s="10" t="str">
        <f aca="false">IF(C157="","",C157&amp;", H = "&amp;TEXT(D157,"0.0")&amp;" m, q = "&amp;E157&amp;" kPa"&amp;IF(F157="Y",", with GWT","")&amp;", "&amp;H157)</f>
        <v/>
      </c>
      <c r="C157" s="9"/>
      <c r="D157" s="41"/>
      <c r="E157" s="40"/>
      <c r="F157" s="9"/>
      <c r="G157" s="40"/>
      <c r="H157" s="9"/>
      <c r="I157" s="40"/>
      <c r="J157" s="43"/>
      <c r="K157" s="40"/>
      <c r="L157" s="40"/>
      <c r="M157" s="40"/>
      <c r="N157" s="40"/>
      <c r="O157" s="40"/>
      <c r="P157" s="40"/>
      <c r="Q157" s="9"/>
      <c r="R157" s="9"/>
      <c r="S157" s="40"/>
      <c r="T157" s="9"/>
      <c r="U157" s="9"/>
      <c r="V157" s="9"/>
      <c r="W157" s="41"/>
      <c r="X157" s="41"/>
      <c r="Y157" s="40"/>
      <c r="Z157" s="9"/>
      <c r="AA157" s="9"/>
      <c r="AB157" s="9"/>
      <c r="AC157" s="9"/>
      <c r="AD157" s="9"/>
      <c r="AE157" s="9"/>
      <c r="AF157" s="10" t="str">
        <f aca="false">IF(A157="","",SG_Criteria!$B$6&amp;SG_Criteria!$B$8&amp;"\"&amp;A157&amp;"\")</f>
        <v/>
      </c>
      <c r="AG157" s="10" t="str">
        <f aca="false">IF(A157="","",A157&amp;"_CAD.dwg")</f>
        <v/>
      </c>
      <c r="AH157" s="10" t="str">
        <f aca="false">IF(A157="","",A157&amp;"_DWG.pdf")</f>
        <v/>
      </c>
      <c r="AI157" s="10" t="str">
        <f aca="false">IF(A157="","",IF(AE157="Y",A157&amp;"_STAAD.std","n/a"))</f>
        <v/>
      </c>
      <c r="AJ157" s="10" t="str">
        <f aca="false">IF(A157="","",A157&amp;"_CALC.xlsx")</f>
        <v/>
      </c>
      <c r="AK157" s="10" t="str">
        <f aca="false">IF(A157="","",A157&amp;"_CALC.pdf")</f>
        <v/>
      </c>
      <c r="AL157" s="9"/>
      <c r="AM157" s="9"/>
      <c r="AN157" s="41"/>
      <c r="AO157" s="41"/>
      <c r="AP157" s="41"/>
      <c r="AQ157" s="41"/>
      <c r="AR157" s="41"/>
      <c r="AS157" s="38" t="str">
        <f aca="false">IF(OR(C157="",D157=""),"",IF(D157&lt;=IF(OR(C157="Block / Segmental",C157="Gabion",C157="Reinforced Earth (MSE)"),SG_Criteria!$B$34,SG_Criteria!$B$33),"No ERSS submission",IF(D157&lt;=SG_Criteria!$B$35,"QP(ST)",IF(D157&lt;=SG_Criteria!$B$36,"QP(ST) + AC","Geotechnical building works: QP(Geo) + AC"))))</f>
        <v/>
      </c>
      <c r="AT157" s="38" t="str">
        <f aca="false">IF(C157="","",IF(LEN(IF(AND(R157&lt;&gt;"",IFERROR(VALUE(MID(R157,2,2)),0)&lt;SG_Criteria!$B$19),"FAIL: grade below C"&amp;SG_Criteria!$B$19&amp;". ","")&amp;IF(AND(S157&lt;&gt;"",S157&lt;SG_Criteria!$B$20),"FAIL: cover &lt; "&amp;SG_Criteria!$B$20&amp;" mm. ","")&amp;IF(AND(W157&lt;&gt;"",W157&lt;1),"FAIL: sliding. ","")&amp;IF(AND(C157="Reverse L-Wall (toe only, at boundary)",N(O157)&gt;0),"NOTE: reverse L-wall should have no heel. ","")&amp;IF(AND(C157="L-Wall (heel only)",N(N157)&gt;0),"NOTE: L-wall should have no toe. ","")&amp;IF(AND(E157&lt;&gt;"",E157&lt;SG_Criteria!$B$31),"NOTE: q below LTA min "&amp;SG_Criteria!$B$31&amp;" kPa (not for LTA works). ",""))=0,"OK",IF(AND(R157&lt;&gt;"",IFERROR(VALUE(MID(R157,2,2)),0)&lt;SG_Criteria!$B$19),"FAIL: grade below C"&amp;SG_Criteria!$B$19&amp;". ","")&amp;IF(AND(S157&lt;&gt;"",S157&lt;SG_Criteria!$B$20),"FAIL: cover &lt; "&amp;SG_Criteria!$B$20&amp;" mm. ","")&amp;IF(AND(W157&lt;&gt;"",W157&lt;1),"FAIL: sliding. ","")&amp;IF(AND(C157="Reverse L-Wall (toe only, at boundary)",N(O157)&gt;0),"NOTE: reverse L-wall should have no heel. ","")&amp;IF(AND(C157="L-Wall (heel only)",N(N157)&gt;0),"NOTE: L-wall should have no toe. ","")&amp;IF(AND(E157&lt;&gt;"",E157&lt;SG_Criteria!$B$31),"NOTE: q below LTA min "&amp;SG_Criteria!$B$31&amp;" kPa (not for LTA works). ","")))</f>
        <v/>
      </c>
      <c r="AU157" s="9"/>
      <c r="AV157" s="9"/>
      <c r="AW157" s="9"/>
      <c r="AX157" s="9"/>
      <c r="AY157" s="9"/>
      <c r="AZ157" s="31"/>
      <c r="BA157" s="10" t="str">
        <f aca="false">IF(C157="","",IF(AND(AB157="Approved",ISERROR(SEARCH("FAIL",AT157))),"Y","N"))</f>
        <v/>
      </c>
      <c r="BB157" s="10" t="str">
        <f aca="false">IF(C157="","",C157&amp;"|"&amp;D157&amp;"|"&amp;E157&amp;"|"&amp;F157&amp;"|"&amp;BA157)</f>
        <v/>
      </c>
    </row>
    <row r="158" customFormat="false" ht="15" hidden="false" customHeight="false" outlineLevel="0" collapsed="false">
      <c r="A158" s="10" t="str">
        <f aca="false">IF(C158="","","RW-"&amp;IFERROR(VLOOKUP(C158,Lists!$M$4:$N$22,2,0),"??")&amp;"-H"&amp;TEXT(D158*1000,"0000")&amp;"-S"&amp;E158&amp;IF(F158="Y","-GW","")&amp;"-"&amp;AA158)</f>
        <v/>
      </c>
      <c r="B158" s="10" t="str">
        <f aca="false">IF(C158="","",C158&amp;", H = "&amp;TEXT(D158,"0.0")&amp;" m, q = "&amp;E158&amp;" kPa"&amp;IF(F158="Y",", with GWT","")&amp;", "&amp;H158)</f>
        <v/>
      </c>
      <c r="C158" s="9"/>
      <c r="D158" s="41"/>
      <c r="E158" s="40"/>
      <c r="F158" s="9"/>
      <c r="G158" s="40"/>
      <c r="H158" s="9"/>
      <c r="I158" s="40"/>
      <c r="J158" s="43"/>
      <c r="K158" s="40"/>
      <c r="L158" s="40"/>
      <c r="M158" s="40"/>
      <c r="N158" s="40"/>
      <c r="O158" s="40"/>
      <c r="P158" s="40"/>
      <c r="Q158" s="9"/>
      <c r="R158" s="9"/>
      <c r="S158" s="40"/>
      <c r="T158" s="9"/>
      <c r="U158" s="9"/>
      <c r="V158" s="9"/>
      <c r="W158" s="41"/>
      <c r="X158" s="41"/>
      <c r="Y158" s="40"/>
      <c r="Z158" s="9"/>
      <c r="AA158" s="9"/>
      <c r="AB158" s="9"/>
      <c r="AC158" s="9"/>
      <c r="AD158" s="9"/>
      <c r="AE158" s="9"/>
      <c r="AF158" s="10" t="str">
        <f aca="false">IF(A158="","",SG_Criteria!$B$6&amp;SG_Criteria!$B$8&amp;"\"&amp;A158&amp;"\")</f>
        <v/>
      </c>
      <c r="AG158" s="10" t="str">
        <f aca="false">IF(A158="","",A158&amp;"_CAD.dwg")</f>
        <v/>
      </c>
      <c r="AH158" s="10" t="str">
        <f aca="false">IF(A158="","",A158&amp;"_DWG.pdf")</f>
        <v/>
      </c>
      <c r="AI158" s="10" t="str">
        <f aca="false">IF(A158="","",IF(AE158="Y",A158&amp;"_STAAD.std","n/a"))</f>
        <v/>
      </c>
      <c r="AJ158" s="10" t="str">
        <f aca="false">IF(A158="","",A158&amp;"_CALC.xlsx")</f>
        <v/>
      </c>
      <c r="AK158" s="10" t="str">
        <f aca="false">IF(A158="","",A158&amp;"_CALC.pdf")</f>
        <v/>
      </c>
      <c r="AL158" s="9"/>
      <c r="AM158" s="9"/>
      <c r="AN158" s="41"/>
      <c r="AO158" s="41"/>
      <c r="AP158" s="41"/>
      <c r="AQ158" s="41"/>
      <c r="AR158" s="41"/>
      <c r="AS158" s="38" t="str">
        <f aca="false">IF(OR(C158="",D158=""),"",IF(D158&lt;=IF(OR(C158="Block / Segmental",C158="Gabion",C158="Reinforced Earth (MSE)"),SG_Criteria!$B$34,SG_Criteria!$B$33),"No ERSS submission",IF(D158&lt;=SG_Criteria!$B$35,"QP(ST)",IF(D158&lt;=SG_Criteria!$B$36,"QP(ST) + AC","Geotechnical building works: QP(Geo) + AC"))))</f>
        <v/>
      </c>
      <c r="AT158" s="38" t="str">
        <f aca="false">IF(C158="","",IF(LEN(IF(AND(R158&lt;&gt;"",IFERROR(VALUE(MID(R158,2,2)),0)&lt;SG_Criteria!$B$19),"FAIL: grade below C"&amp;SG_Criteria!$B$19&amp;". ","")&amp;IF(AND(S158&lt;&gt;"",S158&lt;SG_Criteria!$B$20),"FAIL: cover &lt; "&amp;SG_Criteria!$B$20&amp;" mm. ","")&amp;IF(AND(W158&lt;&gt;"",W158&lt;1),"FAIL: sliding. ","")&amp;IF(AND(C158="Reverse L-Wall (toe only, at boundary)",N(O158)&gt;0),"NOTE: reverse L-wall should have no heel. ","")&amp;IF(AND(C158="L-Wall (heel only)",N(N158)&gt;0),"NOTE: L-wall should have no toe. ","")&amp;IF(AND(E158&lt;&gt;"",E158&lt;SG_Criteria!$B$31),"NOTE: q below LTA min "&amp;SG_Criteria!$B$31&amp;" kPa (not for LTA works). ",""))=0,"OK",IF(AND(R158&lt;&gt;"",IFERROR(VALUE(MID(R158,2,2)),0)&lt;SG_Criteria!$B$19),"FAIL: grade below C"&amp;SG_Criteria!$B$19&amp;". ","")&amp;IF(AND(S158&lt;&gt;"",S158&lt;SG_Criteria!$B$20),"FAIL: cover &lt; "&amp;SG_Criteria!$B$20&amp;" mm. ","")&amp;IF(AND(W158&lt;&gt;"",W158&lt;1),"FAIL: sliding. ","")&amp;IF(AND(C158="Reverse L-Wall (toe only, at boundary)",N(O158)&gt;0),"NOTE: reverse L-wall should have no heel. ","")&amp;IF(AND(C158="L-Wall (heel only)",N(N158)&gt;0),"NOTE: L-wall should have no toe. ","")&amp;IF(AND(E158&lt;&gt;"",E158&lt;SG_Criteria!$B$31),"NOTE: q below LTA min "&amp;SG_Criteria!$B$31&amp;" kPa (not for LTA works). ","")))</f>
        <v/>
      </c>
      <c r="AU158" s="9"/>
      <c r="AV158" s="9"/>
      <c r="AW158" s="9"/>
      <c r="AX158" s="9"/>
      <c r="AY158" s="9"/>
      <c r="AZ158" s="31"/>
      <c r="BA158" s="10" t="str">
        <f aca="false">IF(C158="","",IF(AND(AB158="Approved",ISERROR(SEARCH("FAIL",AT158))),"Y","N"))</f>
        <v/>
      </c>
      <c r="BB158" s="10" t="str">
        <f aca="false">IF(C158="","",C158&amp;"|"&amp;D158&amp;"|"&amp;E158&amp;"|"&amp;F158&amp;"|"&amp;BA158)</f>
        <v/>
      </c>
    </row>
    <row r="159" customFormat="false" ht="15" hidden="false" customHeight="false" outlineLevel="0" collapsed="false">
      <c r="A159" s="10" t="str">
        <f aca="false">IF(C159="","","RW-"&amp;IFERROR(VLOOKUP(C159,Lists!$M$4:$N$22,2,0),"??")&amp;"-H"&amp;TEXT(D159*1000,"0000")&amp;"-S"&amp;E159&amp;IF(F159="Y","-GW","")&amp;"-"&amp;AA159)</f>
        <v/>
      </c>
      <c r="B159" s="10" t="str">
        <f aca="false">IF(C159="","",C159&amp;", H = "&amp;TEXT(D159,"0.0")&amp;" m, q = "&amp;E159&amp;" kPa"&amp;IF(F159="Y",", with GWT","")&amp;", "&amp;H159)</f>
        <v/>
      </c>
      <c r="C159" s="9"/>
      <c r="D159" s="41"/>
      <c r="E159" s="40"/>
      <c r="F159" s="9"/>
      <c r="G159" s="40"/>
      <c r="H159" s="9"/>
      <c r="I159" s="40"/>
      <c r="J159" s="43"/>
      <c r="K159" s="40"/>
      <c r="L159" s="40"/>
      <c r="M159" s="40"/>
      <c r="N159" s="40"/>
      <c r="O159" s="40"/>
      <c r="P159" s="40"/>
      <c r="Q159" s="9"/>
      <c r="R159" s="9"/>
      <c r="S159" s="40"/>
      <c r="T159" s="9"/>
      <c r="U159" s="9"/>
      <c r="V159" s="9"/>
      <c r="W159" s="41"/>
      <c r="X159" s="41"/>
      <c r="Y159" s="40"/>
      <c r="Z159" s="9"/>
      <c r="AA159" s="9"/>
      <c r="AB159" s="9"/>
      <c r="AC159" s="9"/>
      <c r="AD159" s="9"/>
      <c r="AE159" s="9"/>
      <c r="AF159" s="10" t="str">
        <f aca="false">IF(A159="","",SG_Criteria!$B$6&amp;SG_Criteria!$B$8&amp;"\"&amp;A159&amp;"\")</f>
        <v/>
      </c>
      <c r="AG159" s="10" t="str">
        <f aca="false">IF(A159="","",A159&amp;"_CAD.dwg")</f>
        <v/>
      </c>
      <c r="AH159" s="10" t="str">
        <f aca="false">IF(A159="","",A159&amp;"_DWG.pdf")</f>
        <v/>
      </c>
      <c r="AI159" s="10" t="str">
        <f aca="false">IF(A159="","",IF(AE159="Y",A159&amp;"_STAAD.std","n/a"))</f>
        <v/>
      </c>
      <c r="AJ159" s="10" t="str">
        <f aca="false">IF(A159="","",A159&amp;"_CALC.xlsx")</f>
        <v/>
      </c>
      <c r="AK159" s="10" t="str">
        <f aca="false">IF(A159="","",A159&amp;"_CALC.pdf")</f>
        <v/>
      </c>
      <c r="AL159" s="9"/>
      <c r="AM159" s="9"/>
      <c r="AN159" s="41"/>
      <c r="AO159" s="41"/>
      <c r="AP159" s="41"/>
      <c r="AQ159" s="41"/>
      <c r="AR159" s="41"/>
      <c r="AS159" s="38" t="str">
        <f aca="false">IF(OR(C159="",D159=""),"",IF(D159&lt;=IF(OR(C159="Block / Segmental",C159="Gabion",C159="Reinforced Earth (MSE)"),SG_Criteria!$B$34,SG_Criteria!$B$33),"No ERSS submission",IF(D159&lt;=SG_Criteria!$B$35,"QP(ST)",IF(D159&lt;=SG_Criteria!$B$36,"QP(ST) + AC","Geotechnical building works: QP(Geo) + AC"))))</f>
        <v/>
      </c>
      <c r="AT159" s="38" t="str">
        <f aca="false">IF(C159="","",IF(LEN(IF(AND(R159&lt;&gt;"",IFERROR(VALUE(MID(R159,2,2)),0)&lt;SG_Criteria!$B$19),"FAIL: grade below C"&amp;SG_Criteria!$B$19&amp;". ","")&amp;IF(AND(S159&lt;&gt;"",S159&lt;SG_Criteria!$B$20),"FAIL: cover &lt; "&amp;SG_Criteria!$B$20&amp;" mm. ","")&amp;IF(AND(W159&lt;&gt;"",W159&lt;1),"FAIL: sliding. ","")&amp;IF(AND(C159="Reverse L-Wall (toe only, at boundary)",N(O159)&gt;0),"NOTE: reverse L-wall should have no heel. ","")&amp;IF(AND(C159="L-Wall (heel only)",N(N159)&gt;0),"NOTE: L-wall should have no toe. ","")&amp;IF(AND(E159&lt;&gt;"",E159&lt;SG_Criteria!$B$31),"NOTE: q below LTA min "&amp;SG_Criteria!$B$31&amp;" kPa (not for LTA works). ",""))=0,"OK",IF(AND(R159&lt;&gt;"",IFERROR(VALUE(MID(R159,2,2)),0)&lt;SG_Criteria!$B$19),"FAIL: grade below C"&amp;SG_Criteria!$B$19&amp;". ","")&amp;IF(AND(S159&lt;&gt;"",S159&lt;SG_Criteria!$B$20),"FAIL: cover &lt; "&amp;SG_Criteria!$B$20&amp;" mm. ","")&amp;IF(AND(W159&lt;&gt;"",W159&lt;1),"FAIL: sliding. ","")&amp;IF(AND(C159="Reverse L-Wall (toe only, at boundary)",N(O159)&gt;0),"NOTE: reverse L-wall should have no heel. ","")&amp;IF(AND(C159="L-Wall (heel only)",N(N159)&gt;0),"NOTE: L-wall should have no toe. ","")&amp;IF(AND(E159&lt;&gt;"",E159&lt;SG_Criteria!$B$31),"NOTE: q below LTA min "&amp;SG_Criteria!$B$31&amp;" kPa (not for LTA works). ","")))</f>
        <v/>
      </c>
      <c r="AU159" s="9"/>
      <c r="AV159" s="9"/>
      <c r="AW159" s="9"/>
      <c r="AX159" s="9"/>
      <c r="AY159" s="9"/>
      <c r="AZ159" s="31"/>
      <c r="BA159" s="10" t="str">
        <f aca="false">IF(C159="","",IF(AND(AB159="Approved",ISERROR(SEARCH("FAIL",AT159))),"Y","N"))</f>
        <v/>
      </c>
      <c r="BB159" s="10" t="str">
        <f aca="false">IF(C159="","",C159&amp;"|"&amp;D159&amp;"|"&amp;E159&amp;"|"&amp;F159&amp;"|"&amp;BA159)</f>
        <v/>
      </c>
    </row>
    <row r="160" customFormat="false" ht="15" hidden="false" customHeight="false" outlineLevel="0" collapsed="false">
      <c r="A160" s="10" t="str">
        <f aca="false">IF(C160="","","RW-"&amp;IFERROR(VLOOKUP(C160,Lists!$M$4:$N$22,2,0),"??")&amp;"-H"&amp;TEXT(D160*1000,"0000")&amp;"-S"&amp;E160&amp;IF(F160="Y","-GW","")&amp;"-"&amp;AA160)</f>
        <v/>
      </c>
      <c r="B160" s="10" t="str">
        <f aca="false">IF(C160="","",C160&amp;", H = "&amp;TEXT(D160,"0.0")&amp;" m, q = "&amp;E160&amp;" kPa"&amp;IF(F160="Y",", with GWT","")&amp;", "&amp;H160)</f>
        <v/>
      </c>
      <c r="C160" s="9"/>
      <c r="D160" s="41"/>
      <c r="E160" s="40"/>
      <c r="F160" s="9"/>
      <c r="G160" s="40"/>
      <c r="H160" s="9"/>
      <c r="I160" s="40"/>
      <c r="J160" s="43"/>
      <c r="K160" s="40"/>
      <c r="L160" s="40"/>
      <c r="M160" s="40"/>
      <c r="N160" s="40"/>
      <c r="O160" s="40"/>
      <c r="P160" s="40"/>
      <c r="Q160" s="9"/>
      <c r="R160" s="9"/>
      <c r="S160" s="40"/>
      <c r="T160" s="9"/>
      <c r="U160" s="9"/>
      <c r="V160" s="9"/>
      <c r="W160" s="41"/>
      <c r="X160" s="41"/>
      <c r="Y160" s="40"/>
      <c r="Z160" s="9"/>
      <c r="AA160" s="9"/>
      <c r="AB160" s="9"/>
      <c r="AC160" s="9"/>
      <c r="AD160" s="9"/>
      <c r="AE160" s="9"/>
      <c r="AF160" s="10" t="str">
        <f aca="false">IF(A160="","",SG_Criteria!$B$6&amp;SG_Criteria!$B$8&amp;"\"&amp;A160&amp;"\")</f>
        <v/>
      </c>
      <c r="AG160" s="10" t="str">
        <f aca="false">IF(A160="","",A160&amp;"_CAD.dwg")</f>
        <v/>
      </c>
      <c r="AH160" s="10" t="str">
        <f aca="false">IF(A160="","",A160&amp;"_DWG.pdf")</f>
        <v/>
      </c>
      <c r="AI160" s="10" t="str">
        <f aca="false">IF(A160="","",IF(AE160="Y",A160&amp;"_STAAD.std","n/a"))</f>
        <v/>
      </c>
      <c r="AJ160" s="10" t="str">
        <f aca="false">IF(A160="","",A160&amp;"_CALC.xlsx")</f>
        <v/>
      </c>
      <c r="AK160" s="10" t="str">
        <f aca="false">IF(A160="","",A160&amp;"_CALC.pdf")</f>
        <v/>
      </c>
      <c r="AL160" s="9"/>
      <c r="AM160" s="9"/>
      <c r="AN160" s="41"/>
      <c r="AO160" s="41"/>
      <c r="AP160" s="41"/>
      <c r="AQ160" s="41"/>
      <c r="AR160" s="41"/>
      <c r="AS160" s="38" t="str">
        <f aca="false">IF(OR(C160="",D160=""),"",IF(D160&lt;=IF(OR(C160="Block / Segmental",C160="Gabion",C160="Reinforced Earth (MSE)"),SG_Criteria!$B$34,SG_Criteria!$B$33),"No ERSS submission",IF(D160&lt;=SG_Criteria!$B$35,"QP(ST)",IF(D160&lt;=SG_Criteria!$B$36,"QP(ST) + AC","Geotechnical building works: QP(Geo) + AC"))))</f>
        <v/>
      </c>
      <c r="AT160" s="38" t="str">
        <f aca="false">IF(C160="","",IF(LEN(IF(AND(R160&lt;&gt;"",IFERROR(VALUE(MID(R160,2,2)),0)&lt;SG_Criteria!$B$19),"FAIL: grade below C"&amp;SG_Criteria!$B$19&amp;". ","")&amp;IF(AND(S160&lt;&gt;"",S160&lt;SG_Criteria!$B$20),"FAIL: cover &lt; "&amp;SG_Criteria!$B$20&amp;" mm. ","")&amp;IF(AND(W160&lt;&gt;"",W160&lt;1),"FAIL: sliding. ","")&amp;IF(AND(C160="Reverse L-Wall (toe only, at boundary)",N(O160)&gt;0),"NOTE: reverse L-wall should have no heel. ","")&amp;IF(AND(C160="L-Wall (heel only)",N(N160)&gt;0),"NOTE: L-wall should have no toe. ","")&amp;IF(AND(E160&lt;&gt;"",E160&lt;SG_Criteria!$B$31),"NOTE: q below LTA min "&amp;SG_Criteria!$B$31&amp;" kPa (not for LTA works). ",""))=0,"OK",IF(AND(R160&lt;&gt;"",IFERROR(VALUE(MID(R160,2,2)),0)&lt;SG_Criteria!$B$19),"FAIL: grade below C"&amp;SG_Criteria!$B$19&amp;". ","")&amp;IF(AND(S160&lt;&gt;"",S160&lt;SG_Criteria!$B$20),"FAIL: cover &lt; "&amp;SG_Criteria!$B$20&amp;" mm. ","")&amp;IF(AND(W160&lt;&gt;"",W160&lt;1),"FAIL: sliding. ","")&amp;IF(AND(C160="Reverse L-Wall (toe only, at boundary)",N(O160)&gt;0),"NOTE: reverse L-wall should have no heel. ","")&amp;IF(AND(C160="L-Wall (heel only)",N(N160)&gt;0),"NOTE: L-wall should have no toe. ","")&amp;IF(AND(E160&lt;&gt;"",E160&lt;SG_Criteria!$B$31),"NOTE: q below LTA min "&amp;SG_Criteria!$B$31&amp;" kPa (not for LTA works). ","")))</f>
        <v/>
      </c>
      <c r="AU160" s="9"/>
      <c r="AV160" s="9"/>
      <c r="AW160" s="9"/>
      <c r="AX160" s="9"/>
      <c r="AY160" s="9"/>
      <c r="AZ160" s="31"/>
      <c r="BA160" s="10" t="str">
        <f aca="false">IF(C160="","",IF(AND(AB160="Approved",ISERROR(SEARCH("FAIL",AT160))),"Y","N"))</f>
        <v/>
      </c>
      <c r="BB160" s="10" t="str">
        <f aca="false">IF(C160="","",C160&amp;"|"&amp;D160&amp;"|"&amp;E160&amp;"|"&amp;F160&amp;"|"&amp;BA160)</f>
        <v/>
      </c>
    </row>
    <row r="161" customFormat="false" ht="15" hidden="false" customHeight="false" outlineLevel="0" collapsed="false">
      <c r="A161" s="10" t="str">
        <f aca="false">IF(C161="","","RW-"&amp;IFERROR(VLOOKUP(C161,Lists!$M$4:$N$22,2,0),"??")&amp;"-H"&amp;TEXT(D161*1000,"0000")&amp;"-S"&amp;E161&amp;IF(F161="Y","-GW","")&amp;"-"&amp;AA161)</f>
        <v/>
      </c>
      <c r="B161" s="10" t="str">
        <f aca="false">IF(C161="","",C161&amp;", H = "&amp;TEXT(D161,"0.0")&amp;" m, q = "&amp;E161&amp;" kPa"&amp;IF(F161="Y",", with GWT","")&amp;", "&amp;H161)</f>
        <v/>
      </c>
      <c r="C161" s="9"/>
      <c r="D161" s="41"/>
      <c r="E161" s="40"/>
      <c r="F161" s="9"/>
      <c r="G161" s="40"/>
      <c r="H161" s="9"/>
      <c r="I161" s="40"/>
      <c r="J161" s="43"/>
      <c r="K161" s="40"/>
      <c r="L161" s="40"/>
      <c r="M161" s="40"/>
      <c r="N161" s="40"/>
      <c r="O161" s="40"/>
      <c r="P161" s="40"/>
      <c r="Q161" s="9"/>
      <c r="R161" s="9"/>
      <c r="S161" s="40"/>
      <c r="T161" s="9"/>
      <c r="U161" s="9"/>
      <c r="V161" s="9"/>
      <c r="W161" s="41"/>
      <c r="X161" s="41"/>
      <c r="Y161" s="40"/>
      <c r="Z161" s="9"/>
      <c r="AA161" s="9"/>
      <c r="AB161" s="9"/>
      <c r="AC161" s="9"/>
      <c r="AD161" s="9"/>
      <c r="AE161" s="9"/>
      <c r="AF161" s="10" t="str">
        <f aca="false">IF(A161="","",SG_Criteria!$B$6&amp;SG_Criteria!$B$8&amp;"\"&amp;A161&amp;"\")</f>
        <v/>
      </c>
      <c r="AG161" s="10" t="str">
        <f aca="false">IF(A161="","",A161&amp;"_CAD.dwg")</f>
        <v/>
      </c>
      <c r="AH161" s="10" t="str">
        <f aca="false">IF(A161="","",A161&amp;"_DWG.pdf")</f>
        <v/>
      </c>
      <c r="AI161" s="10" t="str">
        <f aca="false">IF(A161="","",IF(AE161="Y",A161&amp;"_STAAD.std","n/a"))</f>
        <v/>
      </c>
      <c r="AJ161" s="10" t="str">
        <f aca="false">IF(A161="","",A161&amp;"_CALC.xlsx")</f>
        <v/>
      </c>
      <c r="AK161" s="10" t="str">
        <f aca="false">IF(A161="","",A161&amp;"_CALC.pdf")</f>
        <v/>
      </c>
      <c r="AL161" s="9"/>
      <c r="AM161" s="9"/>
      <c r="AN161" s="41"/>
      <c r="AO161" s="41"/>
      <c r="AP161" s="41"/>
      <c r="AQ161" s="41"/>
      <c r="AR161" s="41"/>
      <c r="AS161" s="38" t="str">
        <f aca="false">IF(OR(C161="",D161=""),"",IF(D161&lt;=IF(OR(C161="Block / Segmental",C161="Gabion",C161="Reinforced Earth (MSE)"),SG_Criteria!$B$34,SG_Criteria!$B$33),"No ERSS submission",IF(D161&lt;=SG_Criteria!$B$35,"QP(ST)",IF(D161&lt;=SG_Criteria!$B$36,"QP(ST) + AC","Geotechnical building works: QP(Geo) + AC"))))</f>
        <v/>
      </c>
      <c r="AT161" s="38" t="str">
        <f aca="false">IF(C161="","",IF(LEN(IF(AND(R161&lt;&gt;"",IFERROR(VALUE(MID(R161,2,2)),0)&lt;SG_Criteria!$B$19),"FAIL: grade below C"&amp;SG_Criteria!$B$19&amp;". ","")&amp;IF(AND(S161&lt;&gt;"",S161&lt;SG_Criteria!$B$20),"FAIL: cover &lt; "&amp;SG_Criteria!$B$20&amp;" mm. ","")&amp;IF(AND(W161&lt;&gt;"",W161&lt;1),"FAIL: sliding. ","")&amp;IF(AND(C161="Reverse L-Wall (toe only, at boundary)",N(O161)&gt;0),"NOTE: reverse L-wall should have no heel. ","")&amp;IF(AND(C161="L-Wall (heel only)",N(N161)&gt;0),"NOTE: L-wall should have no toe. ","")&amp;IF(AND(E161&lt;&gt;"",E161&lt;SG_Criteria!$B$31),"NOTE: q below LTA min "&amp;SG_Criteria!$B$31&amp;" kPa (not for LTA works). ",""))=0,"OK",IF(AND(R161&lt;&gt;"",IFERROR(VALUE(MID(R161,2,2)),0)&lt;SG_Criteria!$B$19),"FAIL: grade below C"&amp;SG_Criteria!$B$19&amp;". ","")&amp;IF(AND(S161&lt;&gt;"",S161&lt;SG_Criteria!$B$20),"FAIL: cover &lt; "&amp;SG_Criteria!$B$20&amp;" mm. ","")&amp;IF(AND(W161&lt;&gt;"",W161&lt;1),"FAIL: sliding. ","")&amp;IF(AND(C161="Reverse L-Wall (toe only, at boundary)",N(O161)&gt;0),"NOTE: reverse L-wall should have no heel. ","")&amp;IF(AND(C161="L-Wall (heel only)",N(N161)&gt;0),"NOTE: L-wall should have no toe. ","")&amp;IF(AND(E161&lt;&gt;"",E161&lt;SG_Criteria!$B$31),"NOTE: q below LTA min "&amp;SG_Criteria!$B$31&amp;" kPa (not for LTA works). ","")))</f>
        <v/>
      </c>
      <c r="AU161" s="9"/>
      <c r="AV161" s="9"/>
      <c r="AW161" s="9"/>
      <c r="AX161" s="9"/>
      <c r="AY161" s="9"/>
      <c r="AZ161" s="31"/>
      <c r="BA161" s="10" t="str">
        <f aca="false">IF(C161="","",IF(AND(AB161="Approved",ISERROR(SEARCH("FAIL",AT161))),"Y","N"))</f>
        <v/>
      </c>
      <c r="BB161" s="10" t="str">
        <f aca="false">IF(C161="","",C161&amp;"|"&amp;D161&amp;"|"&amp;E161&amp;"|"&amp;F161&amp;"|"&amp;BA161)</f>
        <v/>
      </c>
    </row>
    <row r="162" customFormat="false" ht="15" hidden="false" customHeight="false" outlineLevel="0" collapsed="false">
      <c r="A162" s="10" t="str">
        <f aca="false">IF(C162="","","RW-"&amp;IFERROR(VLOOKUP(C162,Lists!$M$4:$N$22,2,0),"??")&amp;"-H"&amp;TEXT(D162*1000,"0000")&amp;"-S"&amp;E162&amp;IF(F162="Y","-GW","")&amp;"-"&amp;AA162)</f>
        <v/>
      </c>
      <c r="B162" s="10" t="str">
        <f aca="false">IF(C162="","",C162&amp;", H = "&amp;TEXT(D162,"0.0")&amp;" m, q = "&amp;E162&amp;" kPa"&amp;IF(F162="Y",", with GWT","")&amp;", "&amp;H162)</f>
        <v/>
      </c>
      <c r="C162" s="9"/>
      <c r="D162" s="41"/>
      <c r="E162" s="40"/>
      <c r="F162" s="9"/>
      <c r="G162" s="40"/>
      <c r="H162" s="9"/>
      <c r="I162" s="40"/>
      <c r="J162" s="43"/>
      <c r="K162" s="40"/>
      <c r="L162" s="40"/>
      <c r="M162" s="40"/>
      <c r="N162" s="40"/>
      <c r="O162" s="40"/>
      <c r="P162" s="40"/>
      <c r="Q162" s="9"/>
      <c r="R162" s="9"/>
      <c r="S162" s="40"/>
      <c r="T162" s="9"/>
      <c r="U162" s="9"/>
      <c r="V162" s="9"/>
      <c r="W162" s="41"/>
      <c r="X162" s="41"/>
      <c r="Y162" s="40"/>
      <c r="Z162" s="9"/>
      <c r="AA162" s="9"/>
      <c r="AB162" s="9"/>
      <c r="AC162" s="9"/>
      <c r="AD162" s="9"/>
      <c r="AE162" s="9"/>
      <c r="AF162" s="10" t="str">
        <f aca="false">IF(A162="","",SG_Criteria!$B$6&amp;SG_Criteria!$B$8&amp;"\"&amp;A162&amp;"\")</f>
        <v/>
      </c>
      <c r="AG162" s="10" t="str">
        <f aca="false">IF(A162="","",A162&amp;"_CAD.dwg")</f>
        <v/>
      </c>
      <c r="AH162" s="10" t="str">
        <f aca="false">IF(A162="","",A162&amp;"_DWG.pdf")</f>
        <v/>
      </c>
      <c r="AI162" s="10" t="str">
        <f aca="false">IF(A162="","",IF(AE162="Y",A162&amp;"_STAAD.std","n/a"))</f>
        <v/>
      </c>
      <c r="AJ162" s="10" t="str">
        <f aca="false">IF(A162="","",A162&amp;"_CALC.xlsx")</f>
        <v/>
      </c>
      <c r="AK162" s="10" t="str">
        <f aca="false">IF(A162="","",A162&amp;"_CALC.pdf")</f>
        <v/>
      </c>
      <c r="AL162" s="9"/>
      <c r="AM162" s="9"/>
      <c r="AN162" s="41"/>
      <c r="AO162" s="41"/>
      <c r="AP162" s="41"/>
      <c r="AQ162" s="41"/>
      <c r="AR162" s="41"/>
      <c r="AS162" s="38" t="str">
        <f aca="false">IF(OR(C162="",D162=""),"",IF(D162&lt;=IF(OR(C162="Block / Segmental",C162="Gabion",C162="Reinforced Earth (MSE)"),SG_Criteria!$B$34,SG_Criteria!$B$33),"No ERSS submission",IF(D162&lt;=SG_Criteria!$B$35,"QP(ST)",IF(D162&lt;=SG_Criteria!$B$36,"QP(ST) + AC","Geotechnical building works: QP(Geo) + AC"))))</f>
        <v/>
      </c>
      <c r="AT162" s="38" t="str">
        <f aca="false">IF(C162="","",IF(LEN(IF(AND(R162&lt;&gt;"",IFERROR(VALUE(MID(R162,2,2)),0)&lt;SG_Criteria!$B$19),"FAIL: grade below C"&amp;SG_Criteria!$B$19&amp;". ","")&amp;IF(AND(S162&lt;&gt;"",S162&lt;SG_Criteria!$B$20),"FAIL: cover &lt; "&amp;SG_Criteria!$B$20&amp;" mm. ","")&amp;IF(AND(W162&lt;&gt;"",W162&lt;1),"FAIL: sliding. ","")&amp;IF(AND(C162="Reverse L-Wall (toe only, at boundary)",N(O162)&gt;0),"NOTE: reverse L-wall should have no heel. ","")&amp;IF(AND(C162="L-Wall (heel only)",N(N162)&gt;0),"NOTE: L-wall should have no toe. ","")&amp;IF(AND(E162&lt;&gt;"",E162&lt;SG_Criteria!$B$31),"NOTE: q below LTA min "&amp;SG_Criteria!$B$31&amp;" kPa (not for LTA works). ",""))=0,"OK",IF(AND(R162&lt;&gt;"",IFERROR(VALUE(MID(R162,2,2)),0)&lt;SG_Criteria!$B$19),"FAIL: grade below C"&amp;SG_Criteria!$B$19&amp;". ","")&amp;IF(AND(S162&lt;&gt;"",S162&lt;SG_Criteria!$B$20),"FAIL: cover &lt; "&amp;SG_Criteria!$B$20&amp;" mm. ","")&amp;IF(AND(W162&lt;&gt;"",W162&lt;1),"FAIL: sliding. ","")&amp;IF(AND(C162="Reverse L-Wall (toe only, at boundary)",N(O162)&gt;0),"NOTE: reverse L-wall should have no heel. ","")&amp;IF(AND(C162="L-Wall (heel only)",N(N162)&gt;0),"NOTE: L-wall should have no toe. ","")&amp;IF(AND(E162&lt;&gt;"",E162&lt;SG_Criteria!$B$31),"NOTE: q below LTA min "&amp;SG_Criteria!$B$31&amp;" kPa (not for LTA works). ","")))</f>
        <v/>
      </c>
      <c r="AU162" s="9"/>
      <c r="AV162" s="9"/>
      <c r="AW162" s="9"/>
      <c r="AX162" s="9"/>
      <c r="AY162" s="9"/>
      <c r="AZ162" s="31"/>
      <c r="BA162" s="10" t="str">
        <f aca="false">IF(C162="","",IF(AND(AB162="Approved",ISERROR(SEARCH("FAIL",AT162))),"Y","N"))</f>
        <v/>
      </c>
      <c r="BB162" s="10" t="str">
        <f aca="false">IF(C162="","",C162&amp;"|"&amp;D162&amp;"|"&amp;E162&amp;"|"&amp;F162&amp;"|"&amp;BA162)</f>
        <v/>
      </c>
    </row>
    <row r="163" customFormat="false" ht="15" hidden="false" customHeight="false" outlineLevel="0" collapsed="false">
      <c r="A163" s="10" t="str">
        <f aca="false">IF(C163="","","RW-"&amp;IFERROR(VLOOKUP(C163,Lists!$M$4:$N$22,2,0),"??")&amp;"-H"&amp;TEXT(D163*1000,"0000")&amp;"-S"&amp;E163&amp;IF(F163="Y","-GW","")&amp;"-"&amp;AA163)</f>
        <v/>
      </c>
      <c r="B163" s="10" t="str">
        <f aca="false">IF(C163="","",C163&amp;", H = "&amp;TEXT(D163,"0.0")&amp;" m, q = "&amp;E163&amp;" kPa"&amp;IF(F163="Y",", with GWT","")&amp;", "&amp;H163)</f>
        <v/>
      </c>
      <c r="C163" s="9"/>
      <c r="D163" s="41"/>
      <c r="E163" s="40"/>
      <c r="F163" s="9"/>
      <c r="G163" s="40"/>
      <c r="H163" s="9"/>
      <c r="I163" s="40"/>
      <c r="J163" s="43"/>
      <c r="K163" s="40"/>
      <c r="L163" s="40"/>
      <c r="M163" s="40"/>
      <c r="N163" s="40"/>
      <c r="O163" s="40"/>
      <c r="P163" s="40"/>
      <c r="Q163" s="9"/>
      <c r="R163" s="9"/>
      <c r="S163" s="40"/>
      <c r="T163" s="9"/>
      <c r="U163" s="9"/>
      <c r="V163" s="9"/>
      <c r="W163" s="41"/>
      <c r="X163" s="41"/>
      <c r="Y163" s="40"/>
      <c r="Z163" s="9"/>
      <c r="AA163" s="9"/>
      <c r="AB163" s="9"/>
      <c r="AC163" s="9"/>
      <c r="AD163" s="9"/>
      <c r="AE163" s="9"/>
      <c r="AF163" s="10" t="str">
        <f aca="false">IF(A163="","",SG_Criteria!$B$6&amp;SG_Criteria!$B$8&amp;"\"&amp;A163&amp;"\")</f>
        <v/>
      </c>
      <c r="AG163" s="10" t="str">
        <f aca="false">IF(A163="","",A163&amp;"_CAD.dwg")</f>
        <v/>
      </c>
      <c r="AH163" s="10" t="str">
        <f aca="false">IF(A163="","",A163&amp;"_DWG.pdf")</f>
        <v/>
      </c>
      <c r="AI163" s="10" t="str">
        <f aca="false">IF(A163="","",IF(AE163="Y",A163&amp;"_STAAD.std","n/a"))</f>
        <v/>
      </c>
      <c r="AJ163" s="10" t="str">
        <f aca="false">IF(A163="","",A163&amp;"_CALC.xlsx")</f>
        <v/>
      </c>
      <c r="AK163" s="10" t="str">
        <f aca="false">IF(A163="","",A163&amp;"_CALC.pdf")</f>
        <v/>
      </c>
      <c r="AL163" s="9"/>
      <c r="AM163" s="9"/>
      <c r="AN163" s="41"/>
      <c r="AO163" s="41"/>
      <c r="AP163" s="41"/>
      <c r="AQ163" s="41"/>
      <c r="AR163" s="41"/>
      <c r="AS163" s="38" t="str">
        <f aca="false">IF(OR(C163="",D163=""),"",IF(D163&lt;=IF(OR(C163="Block / Segmental",C163="Gabion",C163="Reinforced Earth (MSE)"),SG_Criteria!$B$34,SG_Criteria!$B$33),"No ERSS submission",IF(D163&lt;=SG_Criteria!$B$35,"QP(ST)",IF(D163&lt;=SG_Criteria!$B$36,"QP(ST) + AC","Geotechnical building works: QP(Geo) + AC"))))</f>
        <v/>
      </c>
      <c r="AT163" s="38" t="str">
        <f aca="false">IF(C163="","",IF(LEN(IF(AND(R163&lt;&gt;"",IFERROR(VALUE(MID(R163,2,2)),0)&lt;SG_Criteria!$B$19),"FAIL: grade below C"&amp;SG_Criteria!$B$19&amp;". ","")&amp;IF(AND(S163&lt;&gt;"",S163&lt;SG_Criteria!$B$20),"FAIL: cover &lt; "&amp;SG_Criteria!$B$20&amp;" mm. ","")&amp;IF(AND(W163&lt;&gt;"",W163&lt;1),"FAIL: sliding. ","")&amp;IF(AND(C163="Reverse L-Wall (toe only, at boundary)",N(O163)&gt;0),"NOTE: reverse L-wall should have no heel. ","")&amp;IF(AND(C163="L-Wall (heel only)",N(N163)&gt;0),"NOTE: L-wall should have no toe. ","")&amp;IF(AND(E163&lt;&gt;"",E163&lt;SG_Criteria!$B$31),"NOTE: q below LTA min "&amp;SG_Criteria!$B$31&amp;" kPa (not for LTA works). ",""))=0,"OK",IF(AND(R163&lt;&gt;"",IFERROR(VALUE(MID(R163,2,2)),0)&lt;SG_Criteria!$B$19),"FAIL: grade below C"&amp;SG_Criteria!$B$19&amp;". ","")&amp;IF(AND(S163&lt;&gt;"",S163&lt;SG_Criteria!$B$20),"FAIL: cover &lt; "&amp;SG_Criteria!$B$20&amp;" mm. ","")&amp;IF(AND(W163&lt;&gt;"",W163&lt;1),"FAIL: sliding. ","")&amp;IF(AND(C163="Reverse L-Wall (toe only, at boundary)",N(O163)&gt;0),"NOTE: reverse L-wall should have no heel. ","")&amp;IF(AND(C163="L-Wall (heel only)",N(N163)&gt;0),"NOTE: L-wall should have no toe. ","")&amp;IF(AND(E163&lt;&gt;"",E163&lt;SG_Criteria!$B$31),"NOTE: q below LTA min "&amp;SG_Criteria!$B$31&amp;" kPa (not for LTA works). ","")))</f>
        <v/>
      </c>
      <c r="AU163" s="9"/>
      <c r="AV163" s="9"/>
      <c r="AW163" s="9"/>
      <c r="AX163" s="9"/>
      <c r="AY163" s="9"/>
      <c r="AZ163" s="31"/>
      <c r="BA163" s="10" t="str">
        <f aca="false">IF(C163="","",IF(AND(AB163="Approved",ISERROR(SEARCH("FAIL",AT163))),"Y","N"))</f>
        <v/>
      </c>
      <c r="BB163" s="10" t="str">
        <f aca="false">IF(C163="","",C163&amp;"|"&amp;D163&amp;"|"&amp;E163&amp;"|"&amp;F163&amp;"|"&amp;BA163)</f>
        <v/>
      </c>
    </row>
    <row r="164" customFormat="false" ht="15" hidden="false" customHeight="false" outlineLevel="0" collapsed="false">
      <c r="A164" s="10" t="str">
        <f aca="false">IF(C164="","","RW-"&amp;IFERROR(VLOOKUP(C164,Lists!$M$4:$N$22,2,0),"??")&amp;"-H"&amp;TEXT(D164*1000,"0000")&amp;"-S"&amp;E164&amp;IF(F164="Y","-GW","")&amp;"-"&amp;AA164)</f>
        <v/>
      </c>
      <c r="B164" s="10" t="str">
        <f aca="false">IF(C164="","",C164&amp;", H = "&amp;TEXT(D164,"0.0")&amp;" m, q = "&amp;E164&amp;" kPa"&amp;IF(F164="Y",", with GWT","")&amp;", "&amp;H164)</f>
        <v/>
      </c>
      <c r="C164" s="9"/>
      <c r="D164" s="41"/>
      <c r="E164" s="40"/>
      <c r="F164" s="9"/>
      <c r="G164" s="40"/>
      <c r="H164" s="9"/>
      <c r="I164" s="40"/>
      <c r="J164" s="43"/>
      <c r="K164" s="40"/>
      <c r="L164" s="40"/>
      <c r="M164" s="40"/>
      <c r="N164" s="40"/>
      <c r="O164" s="40"/>
      <c r="P164" s="40"/>
      <c r="Q164" s="9"/>
      <c r="R164" s="9"/>
      <c r="S164" s="40"/>
      <c r="T164" s="9"/>
      <c r="U164" s="9"/>
      <c r="V164" s="9"/>
      <c r="W164" s="41"/>
      <c r="X164" s="41"/>
      <c r="Y164" s="40"/>
      <c r="Z164" s="9"/>
      <c r="AA164" s="9"/>
      <c r="AB164" s="9"/>
      <c r="AC164" s="9"/>
      <c r="AD164" s="9"/>
      <c r="AE164" s="9"/>
      <c r="AF164" s="10" t="str">
        <f aca="false">IF(A164="","",SG_Criteria!$B$6&amp;SG_Criteria!$B$8&amp;"\"&amp;A164&amp;"\")</f>
        <v/>
      </c>
      <c r="AG164" s="10" t="str">
        <f aca="false">IF(A164="","",A164&amp;"_CAD.dwg")</f>
        <v/>
      </c>
      <c r="AH164" s="10" t="str">
        <f aca="false">IF(A164="","",A164&amp;"_DWG.pdf")</f>
        <v/>
      </c>
      <c r="AI164" s="10" t="str">
        <f aca="false">IF(A164="","",IF(AE164="Y",A164&amp;"_STAAD.std","n/a"))</f>
        <v/>
      </c>
      <c r="AJ164" s="10" t="str">
        <f aca="false">IF(A164="","",A164&amp;"_CALC.xlsx")</f>
        <v/>
      </c>
      <c r="AK164" s="10" t="str">
        <f aca="false">IF(A164="","",A164&amp;"_CALC.pdf")</f>
        <v/>
      </c>
      <c r="AL164" s="9"/>
      <c r="AM164" s="9"/>
      <c r="AN164" s="41"/>
      <c r="AO164" s="41"/>
      <c r="AP164" s="41"/>
      <c r="AQ164" s="41"/>
      <c r="AR164" s="41"/>
      <c r="AS164" s="38" t="str">
        <f aca="false">IF(OR(C164="",D164=""),"",IF(D164&lt;=IF(OR(C164="Block / Segmental",C164="Gabion",C164="Reinforced Earth (MSE)"),SG_Criteria!$B$34,SG_Criteria!$B$33),"No ERSS submission",IF(D164&lt;=SG_Criteria!$B$35,"QP(ST)",IF(D164&lt;=SG_Criteria!$B$36,"QP(ST) + AC","Geotechnical building works: QP(Geo) + AC"))))</f>
        <v/>
      </c>
      <c r="AT164" s="38" t="str">
        <f aca="false">IF(C164="","",IF(LEN(IF(AND(R164&lt;&gt;"",IFERROR(VALUE(MID(R164,2,2)),0)&lt;SG_Criteria!$B$19),"FAIL: grade below C"&amp;SG_Criteria!$B$19&amp;". ","")&amp;IF(AND(S164&lt;&gt;"",S164&lt;SG_Criteria!$B$20),"FAIL: cover &lt; "&amp;SG_Criteria!$B$20&amp;" mm. ","")&amp;IF(AND(W164&lt;&gt;"",W164&lt;1),"FAIL: sliding. ","")&amp;IF(AND(C164="Reverse L-Wall (toe only, at boundary)",N(O164)&gt;0),"NOTE: reverse L-wall should have no heel. ","")&amp;IF(AND(C164="L-Wall (heel only)",N(N164)&gt;0),"NOTE: L-wall should have no toe. ","")&amp;IF(AND(E164&lt;&gt;"",E164&lt;SG_Criteria!$B$31),"NOTE: q below LTA min "&amp;SG_Criteria!$B$31&amp;" kPa (not for LTA works). ",""))=0,"OK",IF(AND(R164&lt;&gt;"",IFERROR(VALUE(MID(R164,2,2)),0)&lt;SG_Criteria!$B$19),"FAIL: grade below C"&amp;SG_Criteria!$B$19&amp;". ","")&amp;IF(AND(S164&lt;&gt;"",S164&lt;SG_Criteria!$B$20),"FAIL: cover &lt; "&amp;SG_Criteria!$B$20&amp;" mm. ","")&amp;IF(AND(W164&lt;&gt;"",W164&lt;1),"FAIL: sliding. ","")&amp;IF(AND(C164="Reverse L-Wall (toe only, at boundary)",N(O164)&gt;0),"NOTE: reverse L-wall should have no heel. ","")&amp;IF(AND(C164="L-Wall (heel only)",N(N164)&gt;0),"NOTE: L-wall should have no toe. ","")&amp;IF(AND(E164&lt;&gt;"",E164&lt;SG_Criteria!$B$31),"NOTE: q below LTA min "&amp;SG_Criteria!$B$31&amp;" kPa (not for LTA works). ","")))</f>
        <v/>
      </c>
      <c r="AU164" s="9"/>
      <c r="AV164" s="9"/>
      <c r="AW164" s="9"/>
      <c r="AX164" s="9"/>
      <c r="AY164" s="9"/>
      <c r="AZ164" s="31"/>
      <c r="BA164" s="10" t="str">
        <f aca="false">IF(C164="","",IF(AND(AB164="Approved",ISERROR(SEARCH("FAIL",AT164))),"Y","N"))</f>
        <v/>
      </c>
      <c r="BB164" s="10" t="str">
        <f aca="false">IF(C164="","",C164&amp;"|"&amp;D164&amp;"|"&amp;E164&amp;"|"&amp;F164&amp;"|"&amp;BA164)</f>
        <v/>
      </c>
    </row>
    <row r="165" customFormat="false" ht="15" hidden="false" customHeight="false" outlineLevel="0" collapsed="false">
      <c r="A165" s="10" t="str">
        <f aca="false">IF(C165="","","RW-"&amp;IFERROR(VLOOKUP(C165,Lists!$M$4:$N$22,2,0),"??")&amp;"-H"&amp;TEXT(D165*1000,"0000")&amp;"-S"&amp;E165&amp;IF(F165="Y","-GW","")&amp;"-"&amp;AA165)</f>
        <v/>
      </c>
      <c r="B165" s="10" t="str">
        <f aca="false">IF(C165="","",C165&amp;", H = "&amp;TEXT(D165,"0.0")&amp;" m, q = "&amp;E165&amp;" kPa"&amp;IF(F165="Y",", with GWT","")&amp;", "&amp;H165)</f>
        <v/>
      </c>
      <c r="C165" s="9"/>
      <c r="D165" s="41"/>
      <c r="E165" s="40"/>
      <c r="F165" s="9"/>
      <c r="G165" s="40"/>
      <c r="H165" s="9"/>
      <c r="I165" s="40"/>
      <c r="J165" s="43"/>
      <c r="K165" s="40"/>
      <c r="L165" s="40"/>
      <c r="M165" s="40"/>
      <c r="N165" s="40"/>
      <c r="O165" s="40"/>
      <c r="P165" s="40"/>
      <c r="Q165" s="9"/>
      <c r="R165" s="9"/>
      <c r="S165" s="40"/>
      <c r="T165" s="9"/>
      <c r="U165" s="9"/>
      <c r="V165" s="9"/>
      <c r="W165" s="41"/>
      <c r="X165" s="41"/>
      <c r="Y165" s="40"/>
      <c r="Z165" s="9"/>
      <c r="AA165" s="9"/>
      <c r="AB165" s="9"/>
      <c r="AC165" s="9"/>
      <c r="AD165" s="9"/>
      <c r="AE165" s="9"/>
      <c r="AF165" s="10" t="str">
        <f aca="false">IF(A165="","",SG_Criteria!$B$6&amp;SG_Criteria!$B$8&amp;"\"&amp;A165&amp;"\")</f>
        <v/>
      </c>
      <c r="AG165" s="10" t="str">
        <f aca="false">IF(A165="","",A165&amp;"_CAD.dwg")</f>
        <v/>
      </c>
      <c r="AH165" s="10" t="str">
        <f aca="false">IF(A165="","",A165&amp;"_DWG.pdf")</f>
        <v/>
      </c>
      <c r="AI165" s="10" t="str">
        <f aca="false">IF(A165="","",IF(AE165="Y",A165&amp;"_STAAD.std","n/a"))</f>
        <v/>
      </c>
      <c r="AJ165" s="10" t="str">
        <f aca="false">IF(A165="","",A165&amp;"_CALC.xlsx")</f>
        <v/>
      </c>
      <c r="AK165" s="10" t="str">
        <f aca="false">IF(A165="","",A165&amp;"_CALC.pdf")</f>
        <v/>
      </c>
      <c r="AL165" s="9"/>
      <c r="AM165" s="9"/>
      <c r="AN165" s="41"/>
      <c r="AO165" s="41"/>
      <c r="AP165" s="41"/>
      <c r="AQ165" s="41"/>
      <c r="AR165" s="41"/>
      <c r="AS165" s="38" t="str">
        <f aca="false">IF(OR(C165="",D165=""),"",IF(D165&lt;=IF(OR(C165="Block / Segmental",C165="Gabion",C165="Reinforced Earth (MSE)"),SG_Criteria!$B$34,SG_Criteria!$B$33),"No ERSS submission",IF(D165&lt;=SG_Criteria!$B$35,"QP(ST)",IF(D165&lt;=SG_Criteria!$B$36,"QP(ST) + AC","Geotechnical building works: QP(Geo) + AC"))))</f>
        <v/>
      </c>
      <c r="AT165" s="38" t="str">
        <f aca="false">IF(C165="","",IF(LEN(IF(AND(R165&lt;&gt;"",IFERROR(VALUE(MID(R165,2,2)),0)&lt;SG_Criteria!$B$19),"FAIL: grade below C"&amp;SG_Criteria!$B$19&amp;". ","")&amp;IF(AND(S165&lt;&gt;"",S165&lt;SG_Criteria!$B$20),"FAIL: cover &lt; "&amp;SG_Criteria!$B$20&amp;" mm. ","")&amp;IF(AND(W165&lt;&gt;"",W165&lt;1),"FAIL: sliding. ","")&amp;IF(AND(C165="Reverse L-Wall (toe only, at boundary)",N(O165)&gt;0),"NOTE: reverse L-wall should have no heel. ","")&amp;IF(AND(C165="L-Wall (heel only)",N(N165)&gt;0),"NOTE: L-wall should have no toe. ","")&amp;IF(AND(E165&lt;&gt;"",E165&lt;SG_Criteria!$B$31),"NOTE: q below LTA min "&amp;SG_Criteria!$B$31&amp;" kPa (not for LTA works). ",""))=0,"OK",IF(AND(R165&lt;&gt;"",IFERROR(VALUE(MID(R165,2,2)),0)&lt;SG_Criteria!$B$19),"FAIL: grade below C"&amp;SG_Criteria!$B$19&amp;". ","")&amp;IF(AND(S165&lt;&gt;"",S165&lt;SG_Criteria!$B$20),"FAIL: cover &lt; "&amp;SG_Criteria!$B$20&amp;" mm. ","")&amp;IF(AND(W165&lt;&gt;"",W165&lt;1),"FAIL: sliding. ","")&amp;IF(AND(C165="Reverse L-Wall (toe only, at boundary)",N(O165)&gt;0),"NOTE: reverse L-wall should have no heel. ","")&amp;IF(AND(C165="L-Wall (heel only)",N(N165)&gt;0),"NOTE: L-wall should have no toe. ","")&amp;IF(AND(E165&lt;&gt;"",E165&lt;SG_Criteria!$B$31),"NOTE: q below LTA min "&amp;SG_Criteria!$B$31&amp;" kPa (not for LTA works). ","")))</f>
        <v/>
      </c>
      <c r="AU165" s="9"/>
      <c r="AV165" s="9"/>
      <c r="AW165" s="9"/>
      <c r="AX165" s="9"/>
      <c r="AY165" s="9"/>
      <c r="AZ165" s="31"/>
      <c r="BA165" s="10" t="str">
        <f aca="false">IF(C165="","",IF(AND(AB165="Approved",ISERROR(SEARCH("FAIL",AT165))),"Y","N"))</f>
        <v/>
      </c>
      <c r="BB165" s="10" t="str">
        <f aca="false">IF(C165="","",C165&amp;"|"&amp;D165&amp;"|"&amp;E165&amp;"|"&amp;F165&amp;"|"&amp;BA165)</f>
        <v/>
      </c>
    </row>
    <row r="166" customFormat="false" ht="15" hidden="false" customHeight="false" outlineLevel="0" collapsed="false">
      <c r="A166" s="10" t="str">
        <f aca="false">IF(C166="","","RW-"&amp;IFERROR(VLOOKUP(C166,Lists!$M$4:$N$22,2,0),"??")&amp;"-H"&amp;TEXT(D166*1000,"0000")&amp;"-S"&amp;E166&amp;IF(F166="Y","-GW","")&amp;"-"&amp;AA166)</f>
        <v/>
      </c>
      <c r="B166" s="10" t="str">
        <f aca="false">IF(C166="","",C166&amp;", H = "&amp;TEXT(D166,"0.0")&amp;" m, q = "&amp;E166&amp;" kPa"&amp;IF(F166="Y",", with GWT","")&amp;", "&amp;H166)</f>
        <v/>
      </c>
      <c r="C166" s="9"/>
      <c r="D166" s="41"/>
      <c r="E166" s="40"/>
      <c r="F166" s="9"/>
      <c r="G166" s="40"/>
      <c r="H166" s="9"/>
      <c r="I166" s="40"/>
      <c r="J166" s="43"/>
      <c r="K166" s="40"/>
      <c r="L166" s="40"/>
      <c r="M166" s="40"/>
      <c r="N166" s="40"/>
      <c r="O166" s="40"/>
      <c r="P166" s="40"/>
      <c r="Q166" s="9"/>
      <c r="R166" s="9"/>
      <c r="S166" s="40"/>
      <c r="T166" s="9"/>
      <c r="U166" s="9"/>
      <c r="V166" s="9"/>
      <c r="W166" s="41"/>
      <c r="X166" s="41"/>
      <c r="Y166" s="40"/>
      <c r="Z166" s="9"/>
      <c r="AA166" s="9"/>
      <c r="AB166" s="9"/>
      <c r="AC166" s="9"/>
      <c r="AD166" s="9"/>
      <c r="AE166" s="9"/>
      <c r="AF166" s="10" t="str">
        <f aca="false">IF(A166="","",SG_Criteria!$B$6&amp;SG_Criteria!$B$8&amp;"\"&amp;A166&amp;"\")</f>
        <v/>
      </c>
      <c r="AG166" s="10" t="str">
        <f aca="false">IF(A166="","",A166&amp;"_CAD.dwg")</f>
        <v/>
      </c>
      <c r="AH166" s="10" t="str">
        <f aca="false">IF(A166="","",A166&amp;"_DWG.pdf")</f>
        <v/>
      </c>
      <c r="AI166" s="10" t="str">
        <f aca="false">IF(A166="","",IF(AE166="Y",A166&amp;"_STAAD.std","n/a"))</f>
        <v/>
      </c>
      <c r="AJ166" s="10" t="str">
        <f aca="false">IF(A166="","",A166&amp;"_CALC.xlsx")</f>
        <v/>
      </c>
      <c r="AK166" s="10" t="str">
        <f aca="false">IF(A166="","",A166&amp;"_CALC.pdf")</f>
        <v/>
      </c>
      <c r="AL166" s="9"/>
      <c r="AM166" s="9"/>
      <c r="AN166" s="41"/>
      <c r="AO166" s="41"/>
      <c r="AP166" s="41"/>
      <c r="AQ166" s="41"/>
      <c r="AR166" s="41"/>
      <c r="AS166" s="38" t="str">
        <f aca="false">IF(OR(C166="",D166=""),"",IF(D166&lt;=IF(OR(C166="Block / Segmental",C166="Gabion",C166="Reinforced Earth (MSE)"),SG_Criteria!$B$34,SG_Criteria!$B$33),"No ERSS submission",IF(D166&lt;=SG_Criteria!$B$35,"QP(ST)",IF(D166&lt;=SG_Criteria!$B$36,"QP(ST) + AC","Geotechnical building works: QP(Geo) + AC"))))</f>
        <v/>
      </c>
      <c r="AT166" s="38" t="str">
        <f aca="false">IF(C166="","",IF(LEN(IF(AND(R166&lt;&gt;"",IFERROR(VALUE(MID(R166,2,2)),0)&lt;SG_Criteria!$B$19),"FAIL: grade below C"&amp;SG_Criteria!$B$19&amp;". ","")&amp;IF(AND(S166&lt;&gt;"",S166&lt;SG_Criteria!$B$20),"FAIL: cover &lt; "&amp;SG_Criteria!$B$20&amp;" mm. ","")&amp;IF(AND(W166&lt;&gt;"",W166&lt;1),"FAIL: sliding. ","")&amp;IF(AND(C166="Reverse L-Wall (toe only, at boundary)",N(O166)&gt;0),"NOTE: reverse L-wall should have no heel. ","")&amp;IF(AND(C166="L-Wall (heel only)",N(N166)&gt;0),"NOTE: L-wall should have no toe. ","")&amp;IF(AND(E166&lt;&gt;"",E166&lt;SG_Criteria!$B$31),"NOTE: q below LTA min "&amp;SG_Criteria!$B$31&amp;" kPa (not for LTA works). ",""))=0,"OK",IF(AND(R166&lt;&gt;"",IFERROR(VALUE(MID(R166,2,2)),0)&lt;SG_Criteria!$B$19),"FAIL: grade below C"&amp;SG_Criteria!$B$19&amp;". ","")&amp;IF(AND(S166&lt;&gt;"",S166&lt;SG_Criteria!$B$20),"FAIL: cover &lt; "&amp;SG_Criteria!$B$20&amp;" mm. ","")&amp;IF(AND(W166&lt;&gt;"",W166&lt;1),"FAIL: sliding. ","")&amp;IF(AND(C166="Reverse L-Wall (toe only, at boundary)",N(O166)&gt;0),"NOTE: reverse L-wall should have no heel. ","")&amp;IF(AND(C166="L-Wall (heel only)",N(N166)&gt;0),"NOTE: L-wall should have no toe. ","")&amp;IF(AND(E166&lt;&gt;"",E166&lt;SG_Criteria!$B$31),"NOTE: q below LTA min "&amp;SG_Criteria!$B$31&amp;" kPa (not for LTA works). ","")))</f>
        <v/>
      </c>
      <c r="AU166" s="9"/>
      <c r="AV166" s="9"/>
      <c r="AW166" s="9"/>
      <c r="AX166" s="9"/>
      <c r="AY166" s="9"/>
      <c r="AZ166" s="31"/>
      <c r="BA166" s="10" t="str">
        <f aca="false">IF(C166="","",IF(AND(AB166="Approved",ISERROR(SEARCH("FAIL",AT166))),"Y","N"))</f>
        <v/>
      </c>
      <c r="BB166" s="10" t="str">
        <f aca="false">IF(C166="","",C166&amp;"|"&amp;D166&amp;"|"&amp;E166&amp;"|"&amp;F166&amp;"|"&amp;BA166)</f>
        <v/>
      </c>
    </row>
    <row r="167" customFormat="false" ht="15" hidden="false" customHeight="false" outlineLevel="0" collapsed="false">
      <c r="A167" s="10" t="str">
        <f aca="false">IF(C167="","","RW-"&amp;IFERROR(VLOOKUP(C167,Lists!$M$4:$N$22,2,0),"??")&amp;"-H"&amp;TEXT(D167*1000,"0000")&amp;"-S"&amp;E167&amp;IF(F167="Y","-GW","")&amp;"-"&amp;AA167)</f>
        <v/>
      </c>
      <c r="B167" s="10" t="str">
        <f aca="false">IF(C167="","",C167&amp;", H = "&amp;TEXT(D167,"0.0")&amp;" m, q = "&amp;E167&amp;" kPa"&amp;IF(F167="Y",", with GWT","")&amp;", "&amp;H167)</f>
        <v/>
      </c>
      <c r="C167" s="9"/>
      <c r="D167" s="41"/>
      <c r="E167" s="40"/>
      <c r="F167" s="9"/>
      <c r="G167" s="40"/>
      <c r="H167" s="9"/>
      <c r="I167" s="40"/>
      <c r="J167" s="43"/>
      <c r="K167" s="40"/>
      <c r="L167" s="40"/>
      <c r="M167" s="40"/>
      <c r="N167" s="40"/>
      <c r="O167" s="40"/>
      <c r="P167" s="40"/>
      <c r="Q167" s="9"/>
      <c r="R167" s="9"/>
      <c r="S167" s="40"/>
      <c r="T167" s="9"/>
      <c r="U167" s="9"/>
      <c r="V167" s="9"/>
      <c r="W167" s="41"/>
      <c r="X167" s="41"/>
      <c r="Y167" s="40"/>
      <c r="Z167" s="9"/>
      <c r="AA167" s="9"/>
      <c r="AB167" s="9"/>
      <c r="AC167" s="9"/>
      <c r="AD167" s="9"/>
      <c r="AE167" s="9"/>
      <c r="AF167" s="10" t="str">
        <f aca="false">IF(A167="","",SG_Criteria!$B$6&amp;SG_Criteria!$B$8&amp;"\"&amp;A167&amp;"\")</f>
        <v/>
      </c>
      <c r="AG167" s="10" t="str">
        <f aca="false">IF(A167="","",A167&amp;"_CAD.dwg")</f>
        <v/>
      </c>
      <c r="AH167" s="10" t="str">
        <f aca="false">IF(A167="","",A167&amp;"_DWG.pdf")</f>
        <v/>
      </c>
      <c r="AI167" s="10" t="str">
        <f aca="false">IF(A167="","",IF(AE167="Y",A167&amp;"_STAAD.std","n/a"))</f>
        <v/>
      </c>
      <c r="AJ167" s="10" t="str">
        <f aca="false">IF(A167="","",A167&amp;"_CALC.xlsx")</f>
        <v/>
      </c>
      <c r="AK167" s="10" t="str">
        <f aca="false">IF(A167="","",A167&amp;"_CALC.pdf")</f>
        <v/>
      </c>
      <c r="AL167" s="9"/>
      <c r="AM167" s="9"/>
      <c r="AN167" s="41"/>
      <c r="AO167" s="41"/>
      <c r="AP167" s="41"/>
      <c r="AQ167" s="41"/>
      <c r="AR167" s="41"/>
      <c r="AS167" s="38" t="str">
        <f aca="false">IF(OR(C167="",D167=""),"",IF(D167&lt;=IF(OR(C167="Block / Segmental",C167="Gabion",C167="Reinforced Earth (MSE)"),SG_Criteria!$B$34,SG_Criteria!$B$33),"No ERSS submission",IF(D167&lt;=SG_Criteria!$B$35,"QP(ST)",IF(D167&lt;=SG_Criteria!$B$36,"QP(ST) + AC","Geotechnical building works: QP(Geo) + AC"))))</f>
        <v/>
      </c>
      <c r="AT167" s="38" t="str">
        <f aca="false">IF(C167="","",IF(LEN(IF(AND(R167&lt;&gt;"",IFERROR(VALUE(MID(R167,2,2)),0)&lt;SG_Criteria!$B$19),"FAIL: grade below C"&amp;SG_Criteria!$B$19&amp;". ","")&amp;IF(AND(S167&lt;&gt;"",S167&lt;SG_Criteria!$B$20),"FAIL: cover &lt; "&amp;SG_Criteria!$B$20&amp;" mm. ","")&amp;IF(AND(W167&lt;&gt;"",W167&lt;1),"FAIL: sliding. ","")&amp;IF(AND(C167="Reverse L-Wall (toe only, at boundary)",N(O167)&gt;0),"NOTE: reverse L-wall should have no heel. ","")&amp;IF(AND(C167="L-Wall (heel only)",N(N167)&gt;0),"NOTE: L-wall should have no toe. ","")&amp;IF(AND(E167&lt;&gt;"",E167&lt;SG_Criteria!$B$31),"NOTE: q below LTA min "&amp;SG_Criteria!$B$31&amp;" kPa (not for LTA works). ",""))=0,"OK",IF(AND(R167&lt;&gt;"",IFERROR(VALUE(MID(R167,2,2)),0)&lt;SG_Criteria!$B$19),"FAIL: grade below C"&amp;SG_Criteria!$B$19&amp;". ","")&amp;IF(AND(S167&lt;&gt;"",S167&lt;SG_Criteria!$B$20),"FAIL: cover &lt; "&amp;SG_Criteria!$B$20&amp;" mm. ","")&amp;IF(AND(W167&lt;&gt;"",W167&lt;1),"FAIL: sliding. ","")&amp;IF(AND(C167="Reverse L-Wall (toe only, at boundary)",N(O167)&gt;0),"NOTE: reverse L-wall should have no heel. ","")&amp;IF(AND(C167="L-Wall (heel only)",N(N167)&gt;0),"NOTE: L-wall should have no toe. ","")&amp;IF(AND(E167&lt;&gt;"",E167&lt;SG_Criteria!$B$31),"NOTE: q below LTA min "&amp;SG_Criteria!$B$31&amp;" kPa (not for LTA works). ","")))</f>
        <v/>
      </c>
      <c r="AU167" s="9"/>
      <c r="AV167" s="9"/>
      <c r="AW167" s="9"/>
      <c r="AX167" s="9"/>
      <c r="AY167" s="9"/>
      <c r="AZ167" s="31"/>
      <c r="BA167" s="10" t="str">
        <f aca="false">IF(C167="","",IF(AND(AB167="Approved",ISERROR(SEARCH("FAIL",AT167))),"Y","N"))</f>
        <v/>
      </c>
      <c r="BB167" s="10" t="str">
        <f aca="false">IF(C167="","",C167&amp;"|"&amp;D167&amp;"|"&amp;E167&amp;"|"&amp;F167&amp;"|"&amp;BA167)</f>
        <v/>
      </c>
    </row>
    <row r="168" customFormat="false" ht="15" hidden="false" customHeight="false" outlineLevel="0" collapsed="false">
      <c r="A168" s="10" t="str">
        <f aca="false">IF(C168="","","RW-"&amp;IFERROR(VLOOKUP(C168,Lists!$M$4:$N$22,2,0),"??")&amp;"-H"&amp;TEXT(D168*1000,"0000")&amp;"-S"&amp;E168&amp;IF(F168="Y","-GW","")&amp;"-"&amp;AA168)</f>
        <v/>
      </c>
      <c r="B168" s="10" t="str">
        <f aca="false">IF(C168="","",C168&amp;", H = "&amp;TEXT(D168,"0.0")&amp;" m, q = "&amp;E168&amp;" kPa"&amp;IF(F168="Y",", with GWT","")&amp;", "&amp;H168)</f>
        <v/>
      </c>
      <c r="C168" s="9"/>
      <c r="D168" s="41"/>
      <c r="E168" s="40"/>
      <c r="F168" s="9"/>
      <c r="G168" s="40"/>
      <c r="H168" s="9"/>
      <c r="I168" s="40"/>
      <c r="J168" s="43"/>
      <c r="K168" s="40"/>
      <c r="L168" s="40"/>
      <c r="M168" s="40"/>
      <c r="N168" s="40"/>
      <c r="O168" s="40"/>
      <c r="P168" s="40"/>
      <c r="Q168" s="9"/>
      <c r="R168" s="9"/>
      <c r="S168" s="40"/>
      <c r="T168" s="9"/>
      <c r="U168" s="9"/>
      <c r="V168" s="9"/>
      <c r="W168" s="41"/>
      <c r="X168" s="41"/>
      <c r="Y168" s="40"/>
      <c r="Z168" s="9"/>
      <c r="AA168" s="9"/>
      <c r="AB168" s="9"/>
      <c r="AC168" s="9"/>
      <c r="AD168" s="9"/>
      <c r="AE168" s="9"/>
      <c r="AF168" s="10" t="str">
        <f aca="false">IF(A168="","",SG_Criteria!$B$6&amp;SG_Criteria!$B$8&amp;"\"&amp;A168&amp;"\")</f>
        <v/>
      </c>
      <c r="AG168" s="10" t="str">
        <f aca="false">IF(A168="","",A168&amp;"_CAD.dwg")</f>
        <v/>
      </c>
      <c r="AH168" s="10" t="str">
        <f aca="false">IF(A168="","",A168&amp;"_DWG.pdf")</f>
        <v/>
      </c>
      <c r="AI168" s="10" t="str">
        <f aca="false">IF(A168="","",IF(AE168="Y",A168&amp;"_STAAD.std","n/a"))</f>
        <v/>
      </c>
      <c r="AJ168" s="10" t="str">
        <f aca="false">IF(A168="","",A168&amp;"_CALC.xlsx")</f>
        <v/>
      </c>
      <c r="AK168" s="10" t="str">
        <f aca="false">IF(A168="","",A168&amp;"_CALC.pdf")</f>
        <v/>
      </c>
      <c r="AL168" s="9"/>
      <c r="AM168" s="9"/>
      <c r="AN168" s="41"/>
      <c r="AO168" s="41"/>
      <c r="AP168" s="41"/>
      <c r="AQ168" s="41"/>
      <c r="AR168" s="41"/>
      <c r="AS168" s="38" t="str">
        <f aca="false">IF(OR(C168="",D168=""),"",IF(D168&lt;=IF(OR(C168="Block / Segmental",C168="Gabion",C168="Reinforced Earth (MSE)"),SG_Criteria!$B$34,SG_Criteria!$B$33),"No ERSS submission",IF(D168&lt;=SG_Criteria!$B$35,"QP(ST)",IF(D168&lt;=SG_Criteria!$B$36,"QP(ST) + AC","Geotechnical building works: QP(Geo) + AC"))))</f>
        <v/>
      </c>
      <c r="AT168" s="38" t="str">
        <f aca="false">IF(C168="","",IF(LEN(IF(AND(R168&lt;&gt;"",IFERROR(VALUE(MID(R168,2,2)),0)&lt;SG_Criteria!$B$19),"FAIL: grade below C"&amp;SG_Criteria!$B$19&amp;". ","")&amp;IF(AND(S168&lt;&gt;"",S168&lt;SG_Criteria!$B$20),"FAIL: cover &lt; "&amp;SG_Criteria!$B$20&amp;" mm. ","")&amp;IF(AND(W168&lt;&gt;"",W168&lt;1),"FAIL: sliding. ","")&amp;IF(AND(C168="Reverse L-Wall (toe only, at boundary)",N(O168)&gt;0),"NOTE: reverse L-wall should have no heel. ","")&amp;IF(AND(C168="L-Wall (heel only)",N(N168)&gt;0),"NOTE: L-wall should have no toe. ","")&amp;IF(AND(E168&lt;&gt;"",E168&lt;SG_Criteria!$B$31),"NOTE: q below LTA min "&amp;SG_Criteria!$B$31&amp;" kPa (not for LTA works). ",""))=0,"OK",IF(AND(R168&lt;&gt;"",IFERROR(VALUE(MID(R168,2,2)),0)&lt;SG_Criteria!$B$19),"FAIL: grade below C"&amp;SG_Criteria!$B$19&amp;". ","")&amp;IF(AND(S168&lt;&gt;"",S168&lt;SG_Criteria!$B$20),"FAIL: cover &lt; "&amp;SG_Criteria!$B$20&amp;" mm. ","")&amp;IF(AND(W168&lt;&gt;"",W168&lt;1),"FAIL: sliding. ","")&amp;IF(AND(C168="Reverse L-Wall (toe only, at boundary)",N(O168)&gt;0),"NOTE: reverse L-wall should have no heel. ","")&amp;IF(AND(C168="L-Wall (heel only)",N(N168)&gt;0),"NOTE: L-wall should have no toe. ","")&amp;IF(AND(E168&lt;&gt;"",E168&lt;SG_Criteria!$B$31),"NOTE: q below LTA min "&amp;SG_Criteria!$B$31&amp;" kPa (not for LTA works). ","")))</f>
        <v/>
      </c>
      <c r="AU168" s="9"/>
      <c r="AV168" s="9"/>
      <c r="AW168" s="9"/>
      <c r="AX168" s="9"/>
      <c r="AY168" s="9"/>
      <c r="AZ168" s="31"/>
      <c r="BA168" s="10" t="str">
        <f aca="false">IF(C168="","",IF(AND(AB168="Approved",ISERROR(SEARCH("FAIL",AT168))),"Y","N"))</f>
        <v/>
      </c>
      <c r="BB168" s="10" t="str">
        <f aca="false">IF(C168="","",C168&amp;"|"&amp;D168&amp;"|"&amp;E168&amp;"|"&amp;F168&amp;"|"&amp;BA168)</f>
        <v/>
      </c>
    </row>
    <row r="169" customFormat="false" ht="15" hidden="false" customHeight="false" outlineLevel="0" collapsed="false">
      <c r="A169" s="10" t="str">
        <f aca="false">IF(C169="","","RW-"&amp;IFERROR(VLOOKUP(C169,Lists!$M$4:$N$22,2,0),"??")&amp;"-H"&amp;TEXT(D169*1000,"0000")&amp;"-S"&amp;E169&amp;IF(F169="Y","-GW","")&amp;"-"&amp;AA169)</f>
        <v/>
      </c>
      <c r="B169" s="10" t="str">
        <f aca="false">IF(C169="","",C169&amp;", H = "&amp;TEXT(D169,"0.0")&amp;" m, q = "&amp;E169&amp;" kPa"&amp;IF(F169="Y",", with GWT","")&amp;", "&amp;H169)</f>
        <v/>
      </c>
      <c r="C169" s="9"/>
      <c r="D169" s="41"/>
      <c r="E169" s="40"/>
      <c r="F169" s="9"/>
      <c r="G169" s="40"/>
      <c r="H169" s="9"/>
      <c r="I169" s="40"/>
      <c r="J169" s="43"/>
      <c r="K169" s="40"/>
      <c r="L169" s="40"/>
      <c r="M169" s="40"/>
      <c r="N169" s="40"/>
      <c r="O169" s="40"/>
      <c r="P169" s="40"/>
      <c r="Q169" s="9"/>
      <c r="R169" s="9"/>
      <c r="S169" s="40"/>
      <c r="T169" s="9"/>
      <c r="U169" s="9"/>
      <c r="V169" s="9"/>
      <c r="W169" s="41"/>
      <c r="X169" s="41"/>
      <c r="Y169" s="40"/>
      <c r="Z169" s="9"/>
      <c r="AA169" s="9"/>
      <c r="AB169" s="9"/>
      <c r="AC169" s="9"/>
      <c r="AD169" s="9"/>
      <c r="AE169" s="9"/>
      <c r="AF169" s="10" t="str">
        <f aca="false">IF(A169="","",SG_Criteria!$B$6&amp;SG_Criteria!$B$8&amp;"\"&amp;A169&amp;"\")</f>
        <v/>
      </c>
      <c r="AG169" s="10" t="str">
        <f aca="false">IF(A169="","",A169&amp;"_CAD.dwg")</f>
        <v/>
      </c>
      <c r="AH169" s="10" t="str">
        <f aca="false">IF(A169="","",A169&amp;"_DWG.pdf")</f>
        <v/>
      </c>
      <c r="AI169" s="10" t="str">
        <f aca="false">IF(A169="","",IF(AE169="Y",A169&amp;"_STAAD.std","n/a"))</f>
        <v/>
      </c>
      <c r="AJ169" s="10" t="str">
        <f aca="false">IF(A169="","",A169&amp;"_CALC.xlsx")</f>
        <v/>
      </c>
      <c r="AK169" s="10" t="str">
        <f aca="false">IF(A169="","",A169&amp;"_CALC.pdf")</f>
        <v/>
      </c>
      <c r="AL169" s="9"/>
      <c r="AM169" s="9"/>
      <c r="AN169" s="41"/>
      <c r="AO169" s="41"/>
      <c r="AP169" s="41"/>
      <c r="AQ169" s="41"/>
      <c r="AR169" s="41"/>
      <c r="AS169" s="38" t="str">
        <f aca="false">IF(OR(C169="",D169=""),"",IF(D169&lt;=IF(OR(C169="Block / Segmental",C169="Gabion",C169="Reinforced Earth (MSE)"),SG_Criteria!$B$34,SG_Criteria!$B$33),"No ERSS submission",IF(D169&lt;=SG_Criteria!$B$35,"QP(ST)",IF(D169&lt;=SG_Criteria!$B$36,"QP(ST) + AC","Geotechnical building works: QP(Geo) + AC"))))</f>
        <v/>
      </c>
      <c r="AT169" s="38" t="str">
        <f aca="false">IF(C169="","",IF(LEN(IF(AND(R169&lt;&gt;"",IFERROR(VALUE(MID(R169,2,2)),0)&lt;SG_Criteria!$B$19),"FAIL: grade below C"&amp;SG_Criteria!$B$19&amp;". ","")&amp;IF(AND(S169&lt;&gt;"",S169&lt;SG_Criteria!$B$20),"FAIL: cover &lt; "&amp;SG_Criteria!$B$20&amp;" mm. ","")&amp;IF(AND(W169&lt;&gt;"",W169&lt;1),"FAIL: sliding. ","")&amp;IF(AND(C169="Reverse L-Wall (toe only, at boundary)",N(O169)&gt;0),"NOTE: reverse L-wall should have no heel. ","")&amp;IF(AND(C169="L-Wall (heel only)",N(N169)&gt;0),"NOTE: L-wall should have no toe. ","")&amp;IF(AND(E169&lt;&gt;"",E169&lt;SG_Criteria!$B$31),"NOTE: q below LTA min "&amp;SG_Criteria!$B$31&amp;" kPa (not for LTA works). ",""))=0,"OK",IF(AND(R169&lt;&gt;"",IFERROR(VALUE(MID(R169,2,2)),0)&lt;SG_Criteria!$B$19),"FAIL: grade below C"&amp;SG_Criteria!$B$19&amp;". ","")&amp;IF(AND(S169&lt;&gt;"",S169&lt;SG_Criteria!$B$20),"FAIL: cover &lt; "&amp;SG_Criteria!$B$20&amp;" mm. ","")&amp;IF(AND(W169&lt;&gt;"",W169&lt;1),"FAIL: sliding. ","")&amp;IF(AND(C169="Reverse L-Wall (toe only, at boundary)",N(O169)&gt;0),"NOTE: reverse L-wall should have no heel. ","")&amp;IF(AND(C169="L-Wall (heel only)",N(N169)&gt;0),"NOTE: L-wall should have no toe. ","")&amp;IF(AND(E169&lt;&gt;"",E169&lt;SG_Criteria!$B$31),"NOTE: q below LTA min "&amp;SG_Criteria!$B$31&amp;" kPa (not for LTA works). ","")))</f>
        <v/>
      </c>
      <c r="AU169" s="9"/>
      <c r="AV169" s="9"/>
      <c r="AW169" s="9"/>
      <c r="AX169" s="9"/>
      <c r="AY169" s="9"/>
      <c r="AZ169" s="31"/>
      <c r="BA169" s="10" t="str">
        <f aca="false">IF(C169="","",IF(AND(AB169="Approved",ISERROR(SEARCH("FAIL",AT169))),"Y","N"))</f>
        <v/>
      </c>
      <c r="BB169" s="10" t="str">
        <f aca="false">IF(C169="","",C169&amp;"|"&amp;D169&amp;"|"&amp;E169&amp;"|"&amp;F169&amp;"|"&amp;BA169)</f>
        <v/>
      </c>
    </row>
    <row r="170" customFormat="false" ht="15" hidden="false" customHeight="false" outlineLevel="0" collapsed="false">
      <c r="A170" s="10" t="str">
        <f aca="false">IF(C170="","","RW-"&amp;IFERROR(VLOOKUP(C170,Lists!$M$4:$N$22,2,0),"??")&amp;"-H"&amp;TEXT(D170*1000,"0000")&amp;"-S"&amp;E170&amp;IF(F170="Y","-GW","")&amp;"-"&amp;AA170)</f>
        <v/>
      </c>
      <c r="B170" s="10" t="str">
        <f aca="false">IF(C170="","",C170&amp;", H = "&amp;TEXT(D170,"0.0")&amp;" m, q = "&amp;E170&amp;" kPa"&amp;IF(F170="Y",", with GWT","")&amp;", "&amp;H170)</f>
        <v/>
      </c>
      <c r="C170" s="9"/>
      <c r="D170" s="41"/>
      <c r="E170" s="40"/>
      <c r="F170" s="9"/>
      <c r="G170" s="40"/>
      <c r="H170" s="9"/>
      <c r="I170" s="40"/>
      <c r="J170" s="43"/>
      <c r="K170" s="40"/>
      <c r="L170" s="40"/>
      <c r="M170" s="40"/>
      <c r="N170" s="40"/>
      <c r="O170" s="40"/>
      <c r="P170" s="40"/>
      <c r="Q170" s="9"/>
      <c r="R170" s="9"/>
      <c r="S170" s="40"/>
      <c r="T170" s="9"/>
      <c r="U170" s="9"/>
      <c r="V170" s="9"/>
      <c r="W170" s="41"/>
      <c r="X170" s="41"/>
      <c r="Y170" s="40"/>
      <c r="Z170" s="9"/>
      <c r="AA170" s="9"/>
      <c r="AB170" s="9"/>
      <c r="AC170" s="9"/>
      <c r="AD170" s="9"/>
      <c r="AE170" s="9"/>
      <c r="AF170" s="10" t="str">
        <f aca="false">IF(A170="","",SG_Criteria!$B$6&amp;SG_Criteria!$B$8&amp;"\"&amp;A170&amp;"\")</f>
        <v/>
      </c>
      <c r="AG170" s="10" t="str">
        <f aca="false">IF(A170="","",A170&amp;"_CAD.dwg")</f>
        <v/>
      </c>
      <c r="AH170" s="10" t="str">
        <f aca="false">IF(A170="","",A170&amp;"_DWG.pdf")</f>
        <v/>
      </c>
      <c r="AI170" s="10" t="str">
        <f aca="false">IF(A170="","",IF(AE170="Y",A170&amp;"_STAAD.std","n/a"))</f>
        <v/>
      </c>
      <c r="AJ170" s="10" t="str">
        <f aca="false">IF(A170="","",A170&amp;"_CALC.xlsx")</f>
        <v/>
      </c>
      <c r="AK170" s="10" t="str">
        <f aca="false">IF(A170="","",A170&amp;"_CALC.pdf")</f>
        <v/>
      </c>
      <c r="AL170" s="9"/>
      <c r="AM170" s="9"/>
      <c r="AN170" s="41"/>
      <c r="AO170" s="41"/>
      <c r="AP170" s="41"/>
      <c r="AQ170" s="41"/>
      <c r="AR170" s="41"/>
      <c r="AS170" s="38" t="str">
        <f aca="false">IF(OR(C170="",D170=""),"",IF(D170&lt;=IF(OR(C170="Block / Segmental",C170="Gabion",C170="Reinforced Earth (MSE)"),SG_Criteria!$B$34,SG_Criteria!$B$33),"No ERSS submission",IF(D170&lt;=SG_Criteria!$B$35,"QP(ST)",IF(D170&lt;=SG_Criteria!$B$36,"QP(ST) + AC","Geotechnical building works: QP(Geo) + AC"))))</f>
        <v/>
      </c>
      <c r="AT170" s="38" t="str">
        <f aca="false">IF(C170="","",IF(LEN(IF(AND(R170&lt;&gt;"",IFERROR(VALUE(MID(R170,2,2)),0)&lt;SG_Criteria!$B$19),"FAIL: grade below C"&amp;SG_Criteria!$B$19&amp;". ","")&amp;IF(AND(S170&lt;&gt;"",S170&lt;SG_Criteria!$B$20),"FAIL: cover &lt; "&amp;SG_Criteria!$B$20&amp;" mm. ","")&amp;IF(AND(W170&lt;&gt;"",W170&lt;1),"FAIL: sliding. ","")&amp;IF(AND(C170="Reverse L-Wall (toe only, at boundary)",N(O170)&gt;0),"NOTE: reverse L-wall should have no heel. ","")&amp;IF(AND(C170="L-Wall (heel only)",N(N170)&gt;0),"NOTE: L-wall should have no toe. ","")&amp;IF(AND(E170&lt;&gt;"",E170&lt;SG_Criteria!$B$31),"NOTE: q below LTA min "&amp;SG_Criteria!$B$31&amp;" kPa (not for LTA works). ",""))=0,"OK",IF(AND(R170&lt;&gt;"",IFERROR(VALUE(MID(R170,2,2)),0)&lt;SG_Criteria!$B$19),"FAIL: grade below C"&amp;SG_Criteria!$B$19&amp;". ","")&amp;IF(AND(S170&lt;&gt;"",S170&lt;SG_Criteria!$B$20),"FAIL: cover &lt; "&amp;SG_Criteria!$B$20&amp;" mm. ","")&amp;IF(AND(W170&lt;&gt;"",W170&lt;1),"FAIL: sliding. ","")&amp;IF(AND(C170="Reverse L-Wall (toe only, at boundary)",N(O170)&gt;0),"NOTE: reverse L-wall should have no heel. ","")&amp;IF(AND(C170="L-Wall (heel only)",N(N170)&gt;0),"NOTE: L-wall should have no toe. ","")&amp;IF(AND(E170&lt;&gt;"",E170&lt;SG_Criteria!$B$31),"NOTE: q below LTA min "&amp;SG_Criteria!$B$31&amp;" kPa (not for LTA works). ","")))</f>
        <v/>
      </c>
      <c r="AU170" s="9"/>
      <c r="AV170" s="9"/>
      <c r="AW170" s="9"/>
      <c r="AX170" s="9"/>
      <c r="AY170" s="9"/>
      <c r="AZ170" s="31"/>
      <c r="BA170" s="10" t="str">
        <f aca="false">IF(C170="","",IF(AND(AB170="Approved",ISERROR(SEARCH("FAIL",AT170))),"Y","N"))</f>
        <v/>
      </c>
      <c r="BB170" s="10" t="str">
        <f aca="false">IF(C170="","",C170&amp;"|"&amp;D170&amp;"|"&amp;E170&amp;"|"&amp;F170&amp;"|"&amp;BA170)</f>
        <v/>
      </c>
    </row>
    <row r="171" customFormat="false" ht="15" hidden="false" customHeight="false" outlineLevel="0" collapsed="false">
      <c r="A171" s="10" t="str">
        <f aca="false">IF(C171="","","RW-"&amp;IFERROR(VLOOKUP(C171,Lists!$M$4:$N$22,2,0),"??")&amp;"-H"&amp;TEXT(D171*1000,"0000")&amp;"-S"&amp;E171&amp;IF(F171="Y","-GW","")&amp;"-"&amp;AA171)</f>
        <v/>
      </c>
      <c r="B171" s="10" t="str">
        <f aca="false">IF(C171="","",C171&amp;", H = "&amp;TEXT(D171,"0.0")&amp;" m, q = "&amp;E171&amp;" kPa"&amp;IF(F171="Y",", with GWT","")&amp;", "&amp;H171)</f>
        <v/>
      </c>
      <c r="C171" s="9"/>
      <c r="D171" s="41"/>
      <c r="E171" s="40"/>
      <c r="F171" s="9"/>
      <c r="G171" s="40"/>
      <c r="H171" s="9"/>
      <c r="I171" s="40"/>
      <c r="J171" s="43"/>
      <c r="K171" s="40"/>
      <c r="L171" s="40"/>
      <c r="M171" s="40"/>
      <c r="N171" s="40"/>
      <c r="O171" s="40"/>
      <c r="P171" s="40"/>
      <c r="Q171" s="9"/>
      <c r="R171" s="9"/>
      <c r="S171" s="40"/>
      <c r="T171" s="9"/>
      <c r="U171" s="9"/>
      <c r="V171" s="9"/>
      <c r="W171" s="41"/>
      <c r="X171" s="41"/>
      <c r="Y171" s="40"/>
      <c r="Z171" s="9"/>
      <c r="AA171" s="9"/>
      <c r="AB171" s="9"/>
      <c r="AC171" s="9"/>
      <c r="AD171" s="9"/>
      <c r="AE171" s="9"/>
      <c r="AF171" s="10" t="str">
        <f aca="false">IF(A171="","",SG_Criteria!$B$6&amp;SG_Criteria!$B$8&amp;"\"&amp;A171&amp;"\")</f>
        <v/>
      </c>
      <c r="AG171" s="10" t="str">
        <f aca="false">IF(A171="","",A171&amp;"_CAD.dwg")</f>
        <v/>
      </c>
      <c r="AH171" s="10" t="str">
        <f aca="false">IF(A171="","",A171&amp;"_DWG.pdf")</f>
        <v/>
      </c>
      <c r="AI171" s="10" t="str">
        <f aca="false">IF(A171="","",IF(AE171="Y",A171&amp;"_STAAD.std","n/a"))</f>
        <v/>
      </c>
      <c r="AJ171" s="10" t="str">
        <f aca="false">IF(A171="","",A171&amp;"_CALC.xlsx")</f>
        <v/>
      </c>
      <c r="AK171" s="10" t="str">
        <f aca="false">IF(A171="","",A171&amp;"_CALC.pdf")</f>
        <v/>
      </c>
      <c r="AL171" s="9"/>
      <c r="AM171" s="9"/>
      <c r="AN171" s="41"/>
      <c r="AO171" s="41"/>
      <c r="AP171" s="41"/>
      <c r="AQ171" s="41"/>
      <c r="AR171" s="41"/>
      <c r="AS171" s="38" t="str">
        <f aca="false">IF(OR(C171="",D171=""),"",IF(D171&lt;=IF(OR(C171="Block / Segmental",C171="Gabion",C171="Reinforced Earth (MSE)"),SG_Criteria!$B$34,SG_Criteria!$B$33),"No ERSS submission",IF(D171&lt;=SG_Criteria!$B$35,"QP(ST)",IF(D171&lt;=SG_Criteria!$B$36,"QP(ST) + AC","Geotechnical building works: QP(Geo) + AC"))))</f>
        <v/>
      </c>
      <c r="AT171" s="38" t="str">
        <f aca="false">IF(C171="","",IF(LEN(IF(AND(R171&lt;&gt;"",IFERROR(VALUE(MID(R171,2,2)),0)&lt;SG_Criteria!$B$19),"FAIL: grade below C"&amp;SG_Criteria!$B$19&amp;". ","")&amp;IF(AND(S171&lt;&gt;"",S171&lt;SG_Criteria!$B$20),"FAIL: cover &lt; "&amp;SG_Criteria!$B$20&amp;" mm. ","")&amp;IF(AND(W171&lt;&gt;"",W171&lt;1),"FAIL: sliding. ","")&amp;IF(AND(C171="Reverse L-Wall (toe only, at boundary)",N(O171)&gt;0),"NOTE: reverse L-wall should have no heel. ","")&amp;IF(AND(C171="L-Wall (heel only)",N(N171)&gt;0),"NOTE: L-wall should have no toe. ","")&amp;IF(AND(E171&lt;&gt;"",E171&lt;SG_Criteria!$B$31),"NOTE: q below LTA min "&amp;SG_Criteria!$B$31&amp;" kPa (not for LTA works). ",""))=0,"OK",IF(AND(R171&lt;&gt;"",IFERROR(VALUE(MID(R171,2,2)),0)&lt;SG_Criteria!$B$19),"FAIL: grade below C"&amp;SG_Criteria!$B$19&amp;". ","")&amp;IF(AND(S171&lt;&gt;"",S171&lt;SG_Criteria!$B$20),"FAIL: cover &lt; "&amp;SG_Criteria!$B$20&amp;" mm. ","")&amp;IF(AND(W171&lt;&gt;"",W171&lt;1),"FAIL: sliding. ","")&amp;IF(AND(C171="Reverse L-Wall (toe only, at boundary)",N(O171)&gt;0),"NOTE: reverse L-wall should have no heel. ","")&amp;IF(AND(C171="L-Wall (heel only)",N(N171)&gt;0),"NOTE: L-wall should have no toe. ","")&amp;IF(AND(E171&lt;&gt;"",E171&lt;SG_Criteria!$B$31),"NOTE: q below LTA min "&amp;SG_Criteria!$B$31&amp;" kPa (not for LTA works). ","")))</f>
        <v/>
      </c>
      <c r="AU171" s="9"/>
      <c r="AV171" s="9"/>
      <c r="AW171" s="9"/>
      <c r="AX171" s="9"/>
      <c r="AY171" s="9"/>
      <c r="AZ171" s="31"/>
      <c r="BA171" s="10" t="str">
        <f aca="false">IF(C171="","",IF(AND(AB171="Approved",ISERROR(SEARCH("FAIL",AT171))),"Y","N"))</f>
        <v/>
      </c>
      <c r="BB171" s="10" t="str">
        <f aca="false">IF(C171="","",C171&amp;"|"&amp;D171&amp;"|"&amp;E171&amp;"|"&amp;F171&amp;"|"&amp;BA171)</f>
        <v/>
      </c>
    </row>
    <row r="172" customFormat="false" ht="15" hidden="false" customHeight="false" outlineLevel="0" collapsed="false">
      <c r="A172" s="10" t="str">
        <f aca="false">IF(C172="","","RW-"&amp;IFERROR(VLOOKUP(C172,Lists!$M$4:$N$22,2,0),"??")&amp;"-H"&amp;TEXT(D172*1000,"0000")&amp;"-S"&amp;E172&amp;IF(F172="Y","-GW","")&amp;"-"&amp;AA172)</f>
        <v/>
      </c>
      <c r="B172" s="10" t="str">
        <f aca="false">IF(C172="","",C172&amp;", H = "&amp;TEXT(D172,"0.0")&amp;" m, q = "&amp;E172&amp;" kPa"&amp;IF(F172="Y",", with GWT","")&amp;", "&amp;H172)</f>
        <v/>
      </c>
      <c r="C172" s="9"/>
      <c r="D172" s="41"/>
      <c r="E172" s="40"/>
      <c r="F172" s="9"/>
      <c r="G172" s="40"/>
      <c r="H172" s="9"/>
      <c r="I172" s="40"/>
      <c r="J172" s="43"/>
      <c r="K172" s="40"/>
      <c r="L172" s="40"/>
      <c r="M172" s="40"/>
      <c r="N172" s="40"/>
      <c r="O172" s="40"/>
      <c r="P172" s="40"/>
      <c r="Q172" s="9"/>
      <c r="R172" s="9"/>
      <c r="S172" s="40"/>
      <c r="T172" s="9"/>
      <c r="U172" s="9"/>
      <c r="V172" s="9"/>
      <c r="W172" s="41"/>
      <c r="X172" s="41"/>
      <c r="Y172" s="40"/>
      <c r="Z172" s="9"/>
      <c r="AA172" s="9"/>
      <c r="AB172" s="9"/>
      <c r="AC172" s="9"/>
      <c r="AD172" s="9"/>
      <c r="AE172" s="9"/>
      <c r="AF172" s="10" t="str">
        <f aca="false">IF(A172="","",SG_Criteria!$B$6&amp;SG_Criteria!$B$8&amp;"\"&amp;A172&amp;"\")</f>
        <v/>
      </c>
      <c r="AG172" s="10" t="str">
        <f aca="false">IF(A172="","",A172&amp;"_CAD.dwg")</f>
        <v/>
      </c>
      <c r="AH172" s="10" t="str">
        <f aca="false">IF(A172="","",A172&amp;"_DWG.pdf")</f>
        <v/>
      </c>
      <c r="AI172" s="10" t="str">
        <f aca="false">IF(A172="","",IF(AE172="Y",A172&amp;"_STAAD.std","n/a"))</f>
        <v/>
      </c>
      <c r="AJ172" s="10" t="str">
        <f aca="false">IF(A172="","",A172&amp;"_CALC.xlsx")</f>
        <v/>
      </c>
      <c r="AK172" s="10" t="str">
        <f aca="false">IF(A172="","",A172&amp;"_CALC.pdf")</f>
        <v/>
      </c>
      <c r="AL172" s="9"/>
      <c r="AM172" s="9"/>
      <c r="AN172" s="41"/>
      <c r="AO172" s="41"/>
      <c r="AP172" s="41"/>
      <c r="AQ172" s="41"/>
      <c r="AR172" s="41"/>
      <c r="AS172" s="38" t="str">
        <f aca="false">IF(OR(C172="",D172=""),"",IF(D172&lt;=IF(OR(C172="Block / Segmental",C172="Gabion",C172="Reinforced Earth (MSE)"),SG_Criteria!$B$34,SG_Criteria!$B$33),"No ERSS submission",IF(D172&lt;=SG_Criteria!$B$35,"QP(ST)",IF(D172&lt;=SG_Criteria!$B$36,"QP(ST) + AC","Geotechnical building works: QP(Geo) + AC"))))</f>
        <v/>
      </c>
      <c r="AT172" s="38" t="str">
        <f aca="false">IF(C172="","",IF(LEN(IF(AND(R172&lt;&gt;"",IFERROR(VALUE(MID(R172,2,2)),0)&lt;SG_Criteria!$B$19),"FAIL: grade below C"&amp;SG_Criteria!$B$19&amp;". ","")&amp;IF(AND(S172&lt;&gt;"",S172&lt;SG_Criteria!$B$20),"FAIL: cover &lt; "&amp;SG_Criteria!$B$20&amp;" mm. ","")&amp;IF(AND(W172&lt;&gt;"",W172&lt;1),"FAIL: sliding. ","")&amp;IF(AND(C172="Reverse L-Wall (toe only, at boundary)",N(O172)&gt;0),"NOTE: reverse L-wall should have no heel. ","")&amp;IF(AND(C172="L-Wall (heel only)",N(N172)&gt;0),"NOTE: L-wall should have no toe. ","")&amp;IF(AND(E172&lt;&gt;"",E172&lt;SG_Criteria!$B$31),"NOTE: q below LTA min "&amp;SG_Criteria!$B$31&amp;" kPa (not for LTA works). ",""))=0,"OK",IF(AND(R172&lt;&gt;"",IFERROR(VALUE(MID(R172,2,2)),0)&lt;SG_Criteria!$B$19),"FAIL: grade below C"&amp;SG_Criteria!$B$19&amp;". ","")&amp;IF(AND(S172&lt;&gt;"",S172&lt;SG_Criteria!$B$20),"FAIL: cover &lt; "&amp;SG_Criteria!$B$20&amp;" mm. ","")&amp;IF(AND(W172&lt;&gt;"",W172&lt;1),"FAIL: sliding. ","")&amp;IF(AND(C172="Reverse L-Wall (toe only, at boundary)",N(O172)&gt;0),"NOTE: reverse L-wall should have no heel. ","")&amp;IF(AND(C172="L-Wall (heel only)",N(N172)&gt;0),"NOTE: L-wall should have no toe. ","")&amp;IF(AND(E172&lt;&gt;"",E172&lt;SG_Criteria!$B$31),"NOTE: q below LTA min "&amp;SG_Criteria!$B$31&amp;" kPa (not for LTA works). ","")))</f>
        <v/>
      </c>
      <c r="AU172" s="9"/>
      <c r="AV172" s="9"/>
      <c r="AW172" s="9"/>
      <c r="AX172" s="9"/>
      <c r="AY172" s="9"/>
      <c r="AZ172" s="31"/>
      <c r="BA172" s="10" t="str">
        <f aca="false">IF(C172="","",IF(AND(AB172="Approved",ISERROR(SEARCH("FAIL",AT172))),"Y","N"))</f>
        <v/>
      </c>
      <c r="BB172" s="10" t="str">
        <f aca="false">IF(C172="","",C172&amp;"|"&amp;D172&amp;"|"&amp;E172&amp;"|"&amp;F172&amp;"|"&amp;BA172)</f>
        <v/>
      </c>
    </row>
    <row r="173" customFormat="false" ht="15" hidden="false" customHeight="false" outlineLevel="0" collapsed="false">
      <c r="A173" s="10" t="str">
        <f aca="false">IF(C173="","","RW-"&amp;IFERROR(VLOOKUP(C173,Lists!$M$4:$N$22,2,0),"??")&amp;"-H"&amp;TEXT(D173*1000,"0000")&amp;"-S"&amp;E173&amp;IF(F173="Y","-GW","")&amp;"-"&amp;AA173)</f>
        <v/>
      </c>
      <c r="B173" s="10" t="str">
        <f aca="false">IF(C173="","",C173&amp;", H = "&amp;TEXT(D173,"0.0")&amp;" m, q = "&amp;E173&amp;" kPa"&amp;IF(F173="Y",", with GWT","")&amp;", "&amp;H173)</f>
        <v/>
      </c>
      <c r="C173" s="9"/>
      <c r="D173" s="41"/>
      <c r="E173" s="40"/>
      <c r="F173" s="9"/>
      <c r="G173" s="40"/>
      <c r="H173" s="9"/>
      <c r="I173" s="40"/>
      <c r="J173" s="43"/>
      <c r="K173" s="40"/>
      <c r="L173" s="40"/>
      <c r="M173" s="40"/>
      <c r="N173" s="40"/>
      <c r="O173" s="40"/>
      <c r="P173" s="40"/>
      <c r="Q173" s="9"/>
      <c r="R173" s="9"/>
      <c r="S173" s="40"/>
      <c r="T173" s="9"/>
      <c r="U173" s="9"/>
      <c r="V173" s="9"/>
      <c r="W173" s="41"/>
      <c r="X173" s="41"/>
      <c r="Y173" s="40"/>
      <c r="Z173" s="9"/>
      <c r="AA173" s="9"/>
      <c r="AB173" s="9"/>
      <c r="AC173" s="9"/>
      <c r="AD173" s="9"/>
      <c r="AE173" s="9"/>
      <c r="AF173" s="10" t="str">
        <f aca="false">IF(A173="","",SG_Criteria!$B$6&amp;SG_Criteria!$B$8&amp;"\"&amp;A173&amp;"\")</f>
        <v/>
      </c>
      <c r="AG173" s="10" t="str">
        <f aca="false">IF(A173="","",A173&amp;"_CAD.dwg")</f>
        <v/>
      </c>
      <c r="AH173" s="10" t="str">
        <f aca="false">IF(A173="","",A173&amp;"_DWG.pdf")</f>
        <v/>
      </c>
      <c r="AI173" s="10" t="str">
        <f aca="false">IF(A173="","",IF(AE173="Y",A173&amp;"_STAAD.std","n/a"))</f>
        <v/>
      </c>
      <c r="AJ173" s="10" t="str">
        <f aca="false">IF(A173="","",A173&amp;"_CALC.xlsx")</f>
        <v/>
      </c>
      <c r="AK173" s="10" t="str">
        <f aca="false">IF(A173="","",A173&amp;"_CALC.pdf")</f>
        <v/>
      </c>
      <c r="AL173" s="9"/>
      <c r="AM173" s="9"/>
      <c r="AN173" s="41"/>
      <c r="AO173" s="41"/>
      <c r="AP173" s="41"/>
      <c r="AQ173" s="41"/>
      <c r="AR173" s="41"/>
      <c r="AS173" s="38" t="str">
        <f aca="false">IF(OR(C173="",D173=""),"",IF(D173&lt;=IF(OR(C173="Block / Segmental",C173="Gabion",C173="Reinforced Earth (MSE)"),SG_Criteria!$B$34,SG_Criteria!$B$33),"No ERSS submission",IF(D173&lt;=SG_Criteria!$B$35,"QP(ST)",IF(D173&lt;=SG_Criteria!$B$36,"QP(ST) + AC","Geotechnical building works: QP(Geo) + AC"))))</f>
        <v/>
      </c>
      <c r="AT173" s="38" t="str">
        <f aca="false">IF(C173="","",IF(LEN(IF(AND(R173&lt;&gt;"",IFERROR(VALUE(MID(R173,2,2)),0)&lt;SG_Criteria!$B$19),"FAIL: grade below C"&amp;SG_Criteria!$B$19&amp;". ","")&amp;IF(AND(S173&lt;&gt;"",S173&lt;SG_Criteria!$B$20),"FAIL: cover &lt; "&amp;SG_Criteria!$B$20&amp;" mm. ","")&amp;IF(AND(W173&lt;&gt;"",W173&lt;1),"FAIL: sliding. ","")&amp;IF(AND(C173="Reverse L-Wall (toe only, at boundary)",N(O173)&gt;0),"NOTE: reverse L-wall should have no heel. ","")&amp;IF(AND(C173="L-Wall (heel only)",N(N173)&gt;0),"NOTE: L-wall should have no toe. ","")&amp;IF(AND(E173&lt;&gt;"",E173&lt;SG_Criteria!$B$31),"NOTE: q below LTA min "&amp;SG_Criteria!$B$31&amp;" kPa (not for LTA works). ",""))=0,"OK",IF(AND(R173&lt;&gt;"",IFERROR(VALUE(MID(R173,2,2)),0)&lt;SG_Criteria!$B$19),"FAIL: grade below C"&amp;SG_Criteria!$B$19&amp;". ","")&amp;IF(AND(S173&lt;&gt;"",S173&lt;SG_Criteria!$B$20),"FAIL: cover &lt; "&amp;SG_Criteria!$B$20&amp;" mm. ","")&amp;IF(AND(W173&lt;&gt;"",W173&lt;1),"FAIL: sliding. ","")&amp;IF(AND(C173="Reverse L-Wall (toe only, at boundary)",N(O173)&gt;0),"NOTE: reverse L-wall should have no heel. ","")&amp;IF(AND(C173="L-Wall (heel only)",N(N173)&gt;0),"NOTE: L-wall should have no toe. ","")&amp;IF(AND(E173&lt;&gt;"",E173&lt;SG_Criteria!$B$31),"NOTE: q below LTA min "&amp;SG_Criteria!$B$31&amp;" kPa (not for LTA works). ","")))</f>
        <v/>
      </c>
      <c r="AU173" s="9"/>
      <c r="AV173" s="9"/>
      <c r="AW173" s="9"/>
      <c r="AX173" s="9"/>
      <c r="AY173" s="9"/>
      <c r="AZ173" s="31"/>
      <c r="BA173" s="10" t="str">
        <f aca="false">IF(C173="","",IF(AND(AB173="Approved",ISERROR(SEARCH("FAIL",AT173))),"Y","N"))</f>
        <v/>
      </c>
      <c r="BB173" s="10" t="str">
        <f aca="false">IF(C173="","",C173&amp;"|"&amp;D173&amp;"|"&amp;E173&amp;"|"&amp;F173&amp;"|"&amp;BA173)</f>
        <v/>
      </c>
    </row>
    <row r="174" customFormat="false" ht="15" hidden="false" customHeight="false" outlineLevel="0" collapsed="false">
      <c r="A174" s="10" t="str">
        <f aca="false">IF(C174="","","RW-"&amp;IFERROR(VLOOKUP(C174,Lists!$M$4:$N$22,2,0),"??")&amp;"-H"&amp;TEXT(D174*1000,"0000")&amp;"-S"&amp;E174&amp;IF(F174="Y","-GW","")&amp;"-"&amp;AA174)</f>
        <v/>
      </c>
      <c r="B174" s="10" t="str">
        <f aca="false">IF(C174="","",C174&amp;", H = "&amp;TEXT(D174,"0.0")&amp;" m, q = "&amp;E174&amp;" kPa"&amp;IF(F174="Y",", with GWT","")&amp;", "&amp;H174)</f>
        <v/>
      </c>
      <c r="C174" s="9"/>
      <c r="D174" s="41"/>
      <c r="E174" s="40"/>
      <c r="F174" s="9"/>
      <c r="G174" s="40"/>
      <c r="H174" s="9"/>
      <c r="I174" s="40"/>
      <c r="J174" s="43"/>
      <c r="K174" s="40"/>
      <c r="L174" s="40"/>
      <c r="M174" s="40"/>
      <c r="N174" s="40"/>
      <c r="O174" s="40"/>
      <c r="P174" s="40"/>
      <c r="Q174" s="9"/>
      <c r="R174" s="9"/>
      <c r="S174" s="40"/>
      <c r="T174" s="9"/>
      <c r="U174" s="9"/>
      <c r="V174" s="9"/>
      <c r="W174" s="41"/>
      <c r="X174" s="41"/>
      <c r="Y174" s="40"/>
      <c r="Z174" s="9"/>
      <c r="AA174" s="9"/>
      <c r="AB174" s="9"/>
      <c r="AC174" s="9"/>
      <c r="AD174" s="9"/>
      <c r="AE174" s="9"/>
      <c r="AF174" s="10" t="str">
        <f aca="false">IF(A174="","",SG_Criteria!$B$6&amp;SG_Criteria!$B$8&amp;"\"&amp;A174&amp;"\")</f>
        <v/>
      </c>
      <c r="AG174" s="10" t="str">
        <f aca="false">IF(A174="","",A174&amp;"_CAD.dwg")</f>
        <v/>
      </c>
      <c r="AH174" s="10" t="str">
        <f aca="false">IF(A174="","",A174&amp;"_DWG.pdf")</f>
        <v/>
      </c>
      <c r="AI174" s="10" t="str">
        <f aca="false">IF(A174="","",IF(AE174="Y",A174&amp;"_STAAD.std","n/a"))</f>
        <v/>
      </c>
      <c r="AJ174" s="10" t="str">
        <f aca="false">IF(A174="","",A174&amp;"_CALC.xlsx")</f>
        <v/>
      </c>
      <c r="AK174" s="10" t="str">
        <f aca="false">IF(A174="","",A174&amp;"_CALC.pdf")</f>
        <v/>
      </c>
      <c r="AL174" s="9"/>
      <c r="AM174" s="9"/>
      <c r="AN174" s="41"/>
      <c r="AO174" s="41"/>
      <c r="AP174" s="41"/>
      <c r="AQ174" s="41"/>
      <c r="AR174" s="41"/>
      <c r="AS174" s="38" t="str">
        <f aca="false">IF(OR(C174="",D174=""),"",IF(D174&lt;=IF(OR(C174="Block / Segmental",C174="Gabion",C174="Reinforced Earth (MSE)"),SG_Criteria!$B$34,SG_Criteria!$B$33),"No ERSS submission",IF(D174&lt;=SG_Criteria!$B$35,"QP(ST)",IF(D174&lt;=SG_Criteria!$B$36,"QP(ST) + AC","Geotechnical building works: QP(Geo) + AC"))))</f>
        <v/>
      </c>
      <c r="AT174" s="38" t="str">
        <f aca="false">IF(C174="","",IF(LEN(IF(AND(R174&lt;&gt;"",IFERROR(VALUE(MID(R174,2,2)),0)&lt;SG_Criteria!$B$19),"FAIL: grade below C"&amp;SG_Criteria!$B$19&amp;". ","")&amp;IF(AND(S174&lt;&gt;"",S174&lt;SG_Criteria!$B$20),"FAIL: cover &lt; "&amp;SG_Criteria!$B$20&amp;" mm. ","")&amp;IF(AND(W174&lt;&gt;"",W174&lt;1),"FAIL: sliding. ","")&amp;IF(AND(C174="Reverse L-Wall (toe only, at boundary)",N(O174)&gt;0),"NOTE: reverse L-wall should have no heel. ","")&amp;IF(AND(C174="L-Wall (heel only)",N(N174)&gt;0),"NOTE: L-wall should have no toe. ","")&amp;IF(AND(E174&lt;&gt;"",E174&lt;SG_Criteria!$B$31),"NOTE: q below LTA min "&amp;SG_Criteria!$B$31&amp;" kPa (not for LTA works). ",""))=0,"OK",IF(AND(R174&lt;&gt;"",IFERROR(VALUE(MID(R174,2,2)),0)&lt;SG_Criteria!$B$19),"FAIL: grade below C"&amp;SG_Criteria!$B$19&amp;". ","")&amp;IF(AND(S174&lt;&gt;"",S174&lt;SG_Criteria!$B$20),"FAIL: cover &lt; "&amp;SG_Criteria!$B$20&amp;" mm. ","")&amp;IF(AND(W174&lt;&gt;"",W174&lt;1),"FAIL: sliding. ","")&amp;IF(AND(C174="Reverse L-Wall (toe only, at boundary)",N(O174)&gt;0),"NOTE: reverse L-wall should have no heel. ","")&amp;IF(AND(C174="L-Wall (heel only)",N(N174)&gt;0),"NOTE: L-wall should have no toe. ","")&amp;IF(AND(E174&lt;&gt;"",E174&lt;SG_Criteria!$B$31),"NOTE: q below LTA min "&amp;SG_Criteria!$B$31&amp;" kPa (not for LTA works). ","")))</f>
        <v/>
      </c>
      <c r="AU174" s="9"/>
      <c r="AV174" s="9"/>
      <c r="AW174" s="9"/>
      <c r="AX174" s="9"/>
      <c r="AY174" s="9"/>
      <c r="AZ174" s="31"/>
      <c r="BA174" s="10" t="str">
        <f aca="false">IF(C174="","",IF(AND(AB174="Approved",ISERROR(SEARCH("FAIL",AT174))),"Y","N"))</f>
        <v/>
      </c>
      <c r="BB174" s="10" t="str">
        <f aca="false">IF(C174="","",C174&amp;"|"&amp;D174&amp;"|"&amp;E174&amp;"|"&amp;F174&amp;"|"&amp;BA174)</f>
        <v/>
      </c>
    </row>
    <row r="175" customFormat="false" ht="15" hidden="false" customHeight="false" outlineLevel="0" collapsed="false">
      <c r="A175" s="10" t="str">
        <f aca="false">IF(C175="","","RW-"&amp;IFERROR(VLOOKUP(C175,Lists!$M$4:$N$22,2,0),"??")&amp;"-H"&amp;TEXT(D175*1000,"0000")&amp;"-S"&amp;E175&amp;IF(F175="Y","-GW","")&amp;"-"&amp;AA175)</f>
        <v/>
      </c>
      <c r="B175" s="10" t="str">
        <f aca="false">IF(C175="","",C175&amp;", H = "&amp;TEXT(D175,"0.0")&amp;" m, q = "&amp;E175&amp;" kPa"&amp;IF(F175="Y",", with GWT","")&amp;", "&amp;H175)</f>
        <v/>
      </c>
      <c r="C175" s="9"/>
      <c r="D175" s="41"/>
      <c r="E175" s="40"/>
      <c r="F175" s="9"/>
      <c r="G175" s="40"/>
      <c r="H175" s="9"/>
      <c r="I175" s="40"/>
      <c r="J175" s="43"/>
      <c r="K175" s="40"/>
      <c r="L175" s="40"/>
      <c r="M175" s="40"/>
      <c r="N175" s="40"/>
      <c r="O175" s="40"/>
      <c r="P175" s="40"/>
      <c r="Q175" s="9"/>
      <c r="R175" s="9"/>
      <c r="S175" s="40"/>
      <c r="T175" s="9"/>
      <c r="U175" s="9"/>
      <c r="V175" s="9"/>
      <c r="W175" s="41"/>
      <c r="X175" s="41"/>
      <c r="Y175" s="40"/>
      <c r="Z175" s="9"/>
      <c r="AA175" s="9"/>
      <c r="AB175" s="9"/>
      <c r="AC175" s="9"/>
      <c r="AD175" s="9"/>
      <c r="AE175" s="9"/>
      <c r="AF175" s="10" t="str">
        <f aca="false">IF(A175="","",SG_Criteria!$B$6&amp;SG_Criteria!$B$8&amp;"\"&amp;A175&amp;"\")</f>
        <v/>
      </c>
      <c r="AG175" s="10" t="str">
        <f aca="false">IF(A175="","",A175&amp;"_CAD.dwg")</f>
        <v/>
      </c>
      <c r="AH175" s="10" t="str">
        <f aca="false">IF(A175="","",A175&amp;"_DWG.pdf")</f>
        <v/>
      </c>
      <c r="AI175" s="10" t="str">
        <f aca="false">IF(A175="","",IF(AE175="Y",A175&amp;"_STAAD.std","n/a"))</f>
        <v/>
      </c>
      <c r="AJ175" s="10" t="str">
        <f aca="false">IF(A175="","",A175&amp;"_CALC.xlsx")</f>
        <v/>
      </c>
      <c r="AK175" s="10" t="str">
        <f aca="false">IF(A175="","",A175&amp;"_CALC.pdf")</f>
        <v/>
      </c>
      <c r="AL175" s="9"/>
      <c r="AM175" s="9"/>
      <c r="AN175" s="41"/>
      <c r="AO175" s="41"/>
      <c r="AP175" s="41"/>
      <c r="AQ175" s="41"/>
      <c r="AR175" s="41"/>
      <c r="AS175" s="38" t="str">
        <f aca="false">IF(OR(C175="",D175=""),"",IF(D175&lt;=IF(OR(C175="Block / Segmental",C175="Gabion",C175="Reinforced Earth (MSE)"),SG_Criteria!$B$34,SG_Criteria!$B$33),"No ERSS submission",IF(D175&lt;=SG_Criteria!$B$35,"QP(ST)",IF(D175&lt;=SG_Criteria!$B$36,"QP(ST) + AC","Geotechnical building works: QP(Geo) + AC"))))</f>
        <v/>
      </c>
      <c r="AT175" s="38" t="str">
        <f aca="false">IF(C175="","",IF(LEN(IF(AND(R175&lt;&gt;"",IFERROR(VALUE(MID(R175,2,2)),0)&lt;SG_Criteria!$B$19),"FAIL: grade below C"&amp;SG_Criteria!$B$19&amp;". ","")&amp;IF(AND(S175&lt;&gt;"",S175&lt;SG_Criteria!$B$20),"FAIL: cover &lt; "&amp;SG_Criteria!$B$20&amp;" mm. ","")&amp;IF(AND(W175&lt;&gt;"",W175&lt;1),"FAIL: sliding. ","")&amp;IF(AND(C175="Reverse L-Wall (toe only, at boundary)",N(O175)&gt;0),"NOTE: reverse L-wall should have no heel. ","")&amp;IF(AND(C175="L-Wall (heel only)",N(N175)&gt;0),"NOTE: L-wall should have no toe. ","")&amp;IF(AND(E175&lt;&gt;"",E175&lt;SG_Criteria!$B$31),"NOTE: q below LTA min "&amp;SG_Criteria!$B$31&amp;" kPa (not for LTA works). ",""))=0,"OK",IF(AND(R175&lt;&gt;"",IFERROR(VALUE(MID(R175,2,2)),0)&lt;SG_Criteria!$B$19),"FAIL: grade below C"&amp;SG_Criteria!$B$19&amp;". ","")&amp;IF(AND(S175&lt;&gt;"",S175&lt;SG_Criteria!$B$20),"FAIL: cover &lt; "&amp;SG_Criteria!$B$20&amp;" mm. ","")&amp;IF(AND(W175&lt;&gt;"",W175&lt;1),"FAIL: sliding. ","")&amp;IF(AND(C175="Reverse L-Wall (toe only, at boundary)",N(O175)&gt;0),"NOTE: reverse L-wall should have no heel. ","")&amp;IF(AND(C175="L-Wall (heel only)",N(N175)&gt;0),"NOTE: L-wall should have no toe. ","")&amp;IF(AND(E175&lt;&gt;"",E175&lt;SG_Criteria!$B$31),"NOTE: q below LTA min "&amp;SG_Criteria!$B$31&amp;" kPa (not for LTA works). ","")))</f>
        <v/>
      </c>
      <c r="AU175" s="9"/>
      <c r="AV175" s="9"/>
      <c r="AW175" s="9"/>
      <c r="AX175" s="9"/>
      <c r="AY175" s="9"/>
      <c r="AZ175" s="31"/>
      <c r="BA175" s="10" t="str">
        <f aca="false">IF(C175="","",IF(AND(AB175="Approved",ISERROR(SEARCH("FAIL",AT175))),"Y","N"))</f>
        <v/>
      </c>
      <c r="BB175" s="10" t="str">
        <f aca="false">IF(C175="","",C175&amp;"|"&amp;D175&amp;"|"&amp;E175&amp;"|"&amp;F175&amp;"|"&amp;BA175)</f>
        <v/>
      </c>
    </row>
    <row r="176" customFormat="false" ht="15" hidden="false" customHeight="false" outlineLevel="0" collapsed="false">
      <c r="A176" s="10" t="str">
        <f aca="false">IF(C176="","","RW-"&amp;IFERROR(VLOOKUP(C176,Lists!$M$4:$N$22,2,0),"??")&amp;"-H"&amp;TEXT(D176*1000,"0000")&amp;"-S"&amp;E176&amp;IF(F176="Y","-GW","")&amp;"-"&amp;AA176)</f>
        <v/>
      </c>
      <c r="B176" s="10" t="str">
        <f aca="false">IF(C176="","",C176&amp;", H = "&amp;TEXT(D176,"0.0")&amp;" m, q = "&amp;E176&amp;" kPa"&amp;IF(F176="Y",", with GWT","")&amp;", "&amp;H176)</f>
        <v/>
      </c>
      <c r="C176" s="9"/>
      <c r="D176" s="41"/>
      <c r="E176" s="40"/>
      <c r="F176" s="9"/>
      <c r="G176" s="40"/>
      <c r="H176" s="9"/>
      <c r="I176" s="40"/>
      <c r="J176" s="43"/>
      <c r="K176" s="40"/>
      <c r="L176" s="40"/>
      <c r="M176" s="40"/>
      <c r="N176" s="40"/>
      <c r="O176" s="40"/>
      <c r="P176" s="40"/>
      <c r="Q176" s="9"/>
      <c r="R176" s="9"/>
      <c r="S176" s="40"/>
      <c r="T176" s="9"/>
      <c r="U176" s="9"/>
      <c r="V176" s="9"/>
      <c r="W176" s="41"/>
      <c r="X176" s="41"/>
      <c r="Y176" s="40"/>
      <c r="Z176" s="9"/>
      <c r="AA176" s="9"/>
      <c r="AB176" s="9"/>
      <c r="AC176" s="9"/>
      <c r="AD176" s="9"/>
      <c r="AE176" s="9"/>
      <c r="AF176" s="10" t="str">
        <f aca="false">IF(A176="","",SG_Criteria!$B$6&amp;SG_Criteria!$B$8&amp;"\"&amp;A176&amp;"\")</f>
        <v/>
      </c>
      <c r="AG176" s="10" t="str">
        <f aca="false">IF(A176="","",A176&amp;"_CAD.dwg")</f>
        <v/>
      </c>
      <c r="AH176" s="10" t="str">
        <f aca="false">IF(A176="","",A176&amp;"_DWG.pdf")</f>
        <v/>
      </c>
      <c r="AI176" s="10" t="str">
        <f aca="false">IF(A176="","",IF(AE176="Y",A176&amp;"_STAAD.std","n/a"))</f>
        <v/>
      </c>
      <c r="AJ176" s="10" t="str">
        <f aca="false">IF(A176="","",A176&amp;"_CALC.xlsx")</f>
        <v/>
      </c>
      <c r="AK176" s="10" t="str">
        <f aca="false">IF(A176="","",A176&amp;"_CALC.pdf")</f>
        <v/>
      </c>
      <c r="AL176" s="9"/>
      <c r="AM176" s="9"/>
      <c r="AN176" s="41"/>
      <c r="AO176" s="41"/>
      <c r="AP176" s="41"/>
      <c r="AQ176" s="41"/>
      <c r="AR176" s="41"/>
      <c r="AS176" s="38" t="str">
        <f aca="false">IF(OR(C176="",D176=""),"",IF(D176&lt;=IF(OR(C176="Block / Segmental",C176="Gabion",C176="Reinforced Earth (MSE)"),SG_Criteria!$B$34,SG_Criteria!$B$33),"No ERSS submission",IF(D176&lt;=SG_Criteria!$B$35,"QP(ST)",IF(D176&lt;=SG_Criteria!$B$36,"QP(ST) + AC","Geotechnical building works: QP(Geo) + AC"))))</f>
        <v/>
      </c>
      <c r="AT176" s="38" t="str">
        <f aca="false">IF(C176="","",IF(LEN(IF(AND(R176&lt;&gt;"",IFERROR(VALUE(MID(R176,2,2)),0)&lt;SG_Criteria!$B$19),"FAIL: grade below C"&amp;SG_Criteria!$B$19&amp;". ","")&amp;IF(AND(S176&lt;&gt;"",S176&lt;SG_Criteria!$B$20),"FAIL: cover &lt; "&amp;SG_Criteria!$B$20&amp;" mm. ","")&amp;IF(AND(W176&lt;&gt;"",W176&lt;1),"FAIL: sliding. ","")&amp;IF(AND(C176="Reverse L-Wall (toe only, at boundary)",N(O176)&gt;0),"NOTE: reverse L-wall should have no heel. ","")&amp;IF(AND(C176="L-Wall (heel only)",N(N176)&gt;0),"NOTE: L-wall should have no toe. ","")&amp;IF(AND(E176&lt;&gt;"",E176&lt;SG_Criteria!$B$31),"NOTE: q below LTA min "&amp;SG_Criteria!$B$31&amp;" kPa (not for LTA works). ",""))=0,"OK",IF(AND(R176&lt;&gt;"",IFERROR(VALUE(MID(R176,2,2)),0)&lt;SG_Criteria!$B$19),"FAIL: grade below C"&amp;SG_Criteria!$B$19&amp;". ","")&amp;IF(AND(S176&lt;&gt;"",S176&lt;SG_Criteria!$B$20),"FAIL: cover &lt; "&amp;SG_Criteria!$B$20&amp;" mm. ","")&amp;IF(AND(W176&lt;&gt;"",W176&lt;1),"FAIL: sliding. ","")&amp;IF(AND(C176="Reverse L-Wall (toe only, at boundary)",N(O176)&gt;0),"NOTE: reverse L-wall should have no heel. ","")&amp;IF(AND(C176="L-Wall (heel only)",N(N176)&gt;0),"NOTE: L-wall should have no toe. ","")&amp;IF(AND(E176&lt;&gt;"",E176&lt;SG_Criteria!$B$31),"NOTE: q below LTA min "&amp;SG_Criteria!$B$31&amp;" kPa (not for LTA works). ","")))</f>
        <v/>
      </c>
      <c r="AU176" s="9"/>
      <c r="AV176" s="9"/>
      <c r="AW176" s="9"/>
      <c r="AX176" s="9"/>
      <c r="AY176" s="9"/>
      <c r="AZ176" s="31"/>
      <c r="BA176" s="10" t="str">
        <f aca="false">IF(C176="","",IF(AND(AB176="Approved",ISERROR(SEARCH("FAIL",AT176))),"Y","N"))</f>
        <v/>
      </c>
      <c r="BB176" s="10" t="str">
        <f aca="false">IF(C176="","",C176&amp;"|"&amp;D176&amp;"|"&amp;E176&amp;"|"&amp;F176&amp;"|"&amp;BA176)</f>
        <v/>
      </c>
    </row>
    <row r="177" customFormat="false" ht="15" hidden="false" customHeight="false" outlineLevel="0" collapsed="false">
      <c r="A177" s="10" t="str">
        <f aca="false">IF(C177="","","RW-"&amp;IFERROR(VLOOKUP(C177,Lists!$M$4:$N$22,2,0),"??")&amp;"-H"&amp;TEXT(D177*1000,"0000")&amp;"-S"&amp;E177&amp;IF(F177="Y","-GW","")&amp;"-"&amp;AA177)</f>
        <v/>
      </c>
      <c r="B177" s="10" t="str">
        <f aca="false">IF(C177="","",C177&amp;", H = "&amp;TEXT(D177,"0.0")&amp;" m, q = "&amp;E177&amp;" kPa"&amp;IF(F177="Y",", with GWT","")&amp;", "&amp;H177)</f>
        <v/>
      </c>
      <c r="C177" s="9"/>
      <c r="D177" s="41"/>
      <c r="E177" s="40"/>
      <c r="F177" s="9"/>
      <c r="G177" s="40"/>
      <c r="H177" s="9"/>
      <c r="I177" s="40"/>
      <c r="J177" s="43"/>
      <c r="K177" s="40"/>
      <c r="L177" s="40"/>
      <c r="M177" s="40"/>
      <c r="N177" s="40"/>
      <c r="O177" s="40"/>
      <c r="P177" s="40"/>
      <c r="Q177" s="9"/>
      <c r="R177" s="9"/>
      <c r="S177" s="40"/>
      <c r="T177" s="9"/>
      <c r="U177" s="9"/>
      <c r="V177" s="9"/>
      <c r="W177" s="41"/>
      <c r="X177" s="41"/>
      <c r="Y177" s="40"/>
      <c r="Z177" s="9"/>
      <c r="AA177" s="9"/>
      <c r="AB177" s="9"/>
      <c r="AC177" s="9"/>
      <c r="AD177" s="9"/>
      <c r="AE177" s="9"/>
      <c r="AF177" s="10" t="str">
        <f aca="false">IF(A177="","",SG_Criteria!$B$6&amp;SG_Criteria!$B$8&amp;"\"&amp;A177&amp;"\")</f>
        <v/>
      </c>
      <c r="AG177" s="10" t="str">
        <f aca="false">IF(A177="","",A177&amp;"_CAD.dwg")</f>
        <v/>
      </c>
      <c r="AH177" s="10" t="str">
        <f aca="false">IF(A177="","",A177&amp;"_DWG.pdf")</f>
        <v/>
      </c>
      <c r="AI177" s="10" t="str">
        <f aca="false">IF(A177="","",IF(AE177="Y",A177&amp;"_STAAD.std","n/a"))</f>
        <v/>
      </c>
      <c r="AJ177" s="10" t="str">
        <f aca="false">IF(A177="","",A177&amp;"_CALC.xlsx")</f>
        <v/>
      </c>
      <c r="AK177" s="10" t="str">
        <f aca="false">IF(A177="","",A177&amp;"_CALC.pdf")</f>
        <v/>
      </c>
      <c r="AL177" s="9"/>
      <c r="AM177" s="9"/>
      <c r="AN177" s="41"/>
      <c r="AO177" s="41"/>
      <c r="AP177" s="41"/>
      <c r="AQ177" s="41"/>
      <c r="AR177" s="41"/>
      <c r="AS177" s="38" t="str">
        <f aca="false">IF(OR(C177="",D177=""),"",IF(D177&lt;=IF(OR(C177="Block / Segmental",C177="Gabion",C177="Reinforced Earth (MSE)"),SG_Criteria!$B$34,SG_Criteria!$B$33),"No ERSS submission",IF(D177&lt;=SG_Criteria!$B$35,"QP(ST)",IF(D177&lt;=SG_Criteria!$B$36,"QP(ST) + AC","Geotechnical building works: QP(Geo) + AC"))))</f>
        <v/>
      </c>
      <c r="AT177" s="38" t="str">
        <f aca="false">IF(C177="","",IF(LEN(IF(AND(R177&lt;&gt;"",IFERROR(VALUE(MID(R177,2,2)),0)&lt;SG_Criteria!$B$19),"FAIL: grade below C"&amp;SG_Criteria!$B$19&amp;". ","")&amp;IF(AND(S177&lt;&gt;"",S177&lt;SG_Criteria!$B$20),"FAIL: cover &lt; "&amp;SG_Criteria!$B$20&amp;" mm. ","")&amp;IF(AND(W177&lt;&gt;"",W177&lt;1),"FAIL: sliding. ","")&amp;IF(AND(C177="Reverse L-Wall (toe only, at boundary)",N(O177)&gt;0),"NOTE: reverse L-wall should have no heel. ","")&amp;IF(AND(C177="L-Wall (heel only)",N(N177)&gt;0),"NOTE: L-wall should have no toe. ","")&amp;IF(AND(E177&lt;&gt;"",E177&lt;SG_Criteria!$B$31),"NOTE: q below LTA min "&amp;SG_Criteria!$B$31&amp;" kPa (not for LTA works). ",""))=0,"OK",IF(AND(R177&lt;&gt;"",IFERROR(VALUE(MID(R177,2,2)),0)&lt;SG_Criteria!$B$19),"FAIL: grade below C"&amp;SG_Criteria!$B$19&amp;". ","")&amp;IF(AND(S177&lt;&gt;"",S177&lt;SG_Criteria!$B$20),"FAIL: cover &lt; "&amp;SG_Criteria!$B$20&amp;" mm. ","")&amp;IF(AND(W177&lt;&gt;"",W177&lt;1),"FAIL: sliding. ","")&amp;IF(AND(C177="Reverse L-Wall (toe only, at boundary)",N(O177)&gt;0),"NOTE: reverse L-wall should have no heel. ","")&amp;IF(AND(C177="L-Wall (heel only)",N(N177)&gt;0),"NOTE: L-wall should have no toe. ","")&amp;IF(AND(E177&lt;&gt;"",E177&lt;SG_Criteria!$B$31),"NOTE: q below LTA min "&amp;SG_Criteria!$B$31&amp;" kPa (not for LTA works). ","")))</f>
        <v/>
      </c>
      <c r="AU177" s="9"/>
      <c r="AV177" s="9"/>
      <c r="AW177" s="9"/>
      <c r="AX177" s="9"/>
      <c r="AY177" s="9"/>
      <c r="AZ177" s="31"/>
      <c r="BA177" s="10" t="str">
        <f aca="false">IF(C177="","",IF(AND(AB177="Approved",ISERROR(SEARCH("FAIL",AT177))),"Y","N"))</f>
        <v/>
      </c>
      <c r="BB177" s="10" t="str">
        <f aca="false">IF(C177="","",C177&amp;"|"&amp;D177&amp;"|"&amp;E177&amp;"|"&amp;F177&amp;"|"&amp;BA177)</f>
        <v/>
      </c>
    </row>
    <row r="178" customFormat="false" ht="15" hidden="false" customHeight="false" outlineLevel="0" collapsed="false">
      <c r="A178" s="10" t="str">
        <f aca="false">IF(C178="","","RW-"&amp;IFERROR(VLOOKUP(C178,Lists!$M$4:$N$22,2,0),"??")&amp;"-H"&amp;TEXT(D178*1000,"0000")&amp;"-S"&amp;E178&amp;IF(F178="Y","-GW","")&amp;"-"&amp;AA178)</f>
        <v/>
      </c>
      <c r="B178" s="10" t="str">
        <f aca="false">IF(C178="","",C178&amp;", H = "&amp;TEXT(D178,"0.0")&amp;" m, q = "&amp;E178&amp;" kPa"&amp;IF(F178="Y",", with GWT","")&amp;", "&amp;H178)</f>
        <v/>
      </c>
      <c r="C178" s="9"/>
      <c r="D178" s="41"/>
      <c r="E178" s="40"/>
      <c r="F178" s="9"/>
      <c r="G178" s="40"/>
      <c r="H178" s="9"/>
      <c r="I178" s="40"/>
      <c r="J178" s="43"/>
      <c r="K178" s="40"/>
      <c r="L178" s="40"/>
      <c r="M178" s="40"/>
      <c r="N178" s="40"/>
      <c r="O178" s="40"/>
      <c r="P178" s="40"/>
      <c r="Q178" s="9"/>
      <c r="R178" s="9"/>
      <c r="S178" s="40"/>
      <c r="T178" s="9"/>
      <c r="U178" s="9"/>
      <c r="V178" s="9"/>
      <c r="W178" s="41"/>
      <c r="X178" s="41"/>
      <c r="Y178" s="40"/>
      <c r="Z178" s="9"/>
      <c r="AA178" s="9"/>
      <c r="AB178" s="9"/>
      <c r="AC178" s="9"/>
      <c r="AD178" s="9"/>
      <c r="AE178" s="9"/>
      <c r="AF178" s="10" t="str">
        <f aca="false">IF(A178="","",SG_Criteria!$B$6&amp;SG_Criteria!$B$8&amp;"\"&amp;A178&amp;"\")</f>
        <v/>
      </c>
      <c r="AG178" s="10" t="str">
        <f aca="false">IF(A178="","",A178&amp;"_CAD.dwg")</f>
        <v/>
      </c>
      <c r="AH178" s="10" t="str">
        <f aca="false">IF(A178="","",A178&amp;"_DWG.pdf")</f>
        <v/>
      </c>
      <c r="AI178" s="10" t="str">
        <f aca="false">IF(A178="","",IF(AE178="Y",A178&amp;"_STAAD.std","n/a"))</f>
        <v/>
      </c>
      <c r="AJ178" s="10" t="str">
        <f aca="false">IF(A178="","",A178&amp;"_CALC.xlsx")</f>
        <v/>
      </c>
      <c r="AK178" s="10" t="str">
        <f aca="false">IF(A178="","",A178&amp;"_CALC.pdf")</f>
        <v/>
      </c>
      <c r="AL178" s="9"/>
      <c r="AM178" s="9"/>
      <c r="AN178" s="41"/>
      <c r="AO178" s="41"/>
      <c r="AP178" s="41"/>
      <c r="AQ178" s="41"/>
      <c r="AR178" s="41"/>
      <c r="AS178" s="38" t="str">
        <f aca="false">IF(OR(C178="",D178=""),"",IF(D178&lt;=IF(OR(C178="Block / Segmental",C178="Gabion",C178="Reinforced Earth (MSE)"),SG_Criteria!$B$34,SG_Criteria!$B$33),"No ERSS submission",IF(D178&lt;=SG_Criteria!$B$35,"QP(ST)",IF(D178&lt;=SG_Criteria!$B$36,"QP(ST) + AC","Geotechnical building works: QP(Geo) + AC"))))</f>
        <v/>
      </c>
      <c r="AT178" s="38" t="str">
        <f aca="false">IF(C178="","",IF(LEN(IF(AND(R178&lt;&gt;"",IFERROR(VALUE(MID(R178,2,2)),0)&lt;SG_Criteria!$B$19),"FAIL: grade below C"&amp;SG_Criteria!$B$19&amp;". ","")&amp;IF(AND(S178&lt;&gt;"",S178&lt;SG_Criteria!$B$20),"FAIL: cover &lt; "&amp;SG_Criteria!$B$20&amp;" mm. ","")&amp;IF(AND(W178&lt;&gt;"",W178&lt;1),"FAIL: sliding. ","")&amp;IF(AND(C178="Reverse L-Wall (toe only, at boundary)",N(O178)&gt;0),"NOTE: reverse L-wall should have no heel. ","")&amp;IF(AND(C178="L-Wall (heel only)",N(N178)&gt;0),"NOTE: L-wall should have no toe. ","")&amp;IF(AND(E178&lt;&gt;"",E178&lt;SG_Criteria!$B$31),"NOTE: q below LTA min "&amp;SG_Criteria!$B$31&amp;" kPa (not for LTA works). ",""))=0,"OK",IF(AND(R178&lt;&gt;"",IFERROR(VALUE(MID(R178,2,2)),0)&lt;SG_Criteria!$B$19),"FAIL: grade below C"&amp;SG_Criteria!$B$19&amp;". ","")&amp;IF(AND(S178&lt;&gt;"",S178&lt;SG_Criteria!$B$20),"FAIL: cover &lt; "&amp;SG_Criteria!$B$20&amp;" mm. ","")&amp;IF(AND(W178&lt;&gt;"",W178&lt;1),"FAIL: sliding. ","")&amp;IF(AND(C178="Reverse L-Wall (toe only, at boundary)",N(O178)&gt;0),"NOTE: reverse L-wall should have no heel. ","")&amp;IF(AND(C178="L-Wall (heel only)",N(N178)&gt;0),"NOTE: L-wall should have no toe. ","")&amp;IF(AND(E178&lt;&gt;"",E178&lt;SG_Criteria!$B$31),"NOTE: q below LTA min "&amp;SG_Criteria!$B$31&amp;" kPa (not for LTA works). ","")))</f>
        <v/>
      </c>
      <c r="AU178" s="9"/>
      <c r="AV178" s="9"/>
      <c r="AW178" s="9"/>
      <c r="AX178" s="9"/>
      <c r="AY178" s="9"/>
      <c r="AZ178" s="31"/>
      <c r="BA178" s="10" t="str">
        <f aca="false">IF(C178="","",IF(AND(AB178="Approved",ISERROR(SEARCH("FAIL",AT178))),"Y","N"))</f>
        <v/>
      </c>
      <c r="BB178" s="10" t="str">
        <f aca="false">IF(C178="","",C178&amp;"|"&amp;D178&amp;"|"&amp;E178&amp;"|"&amp;F178&amp;"|"&amp;BA178)</f>
        <v/>
      </c>
    </row>
    <row r="179" customFormat="false" ht="15" hidden="false" customHeight="false" outlineLevel="0" collapsed="false">
      <c r="A179" s="10" t="str">
        <f aca="false">IF(C179="","","RW-"&amp;IFERROR(VLOOKUP(C179,Lists!$M$4:$N$22,2,0),"??")&amp;"-H"&amp;TEXT(D179*1000,"0000")&amp;"-S"&amp;E179&amp;IF(F179="Y","-GW","")&amp;"-"&amp;AA179)</f>
        <v/>
      </c>
      <c r="B179" s="10" t="str">
        <f aca="false">IF(C179="","",C179&amp;", H = "&amp;TEXT(D179,"0.0")&amp;" m, q = "&amp;E179&amp;" kPa"&amp;IF(F179="Y",", with GWT","")&amp;", "&amp;H179)</f>
        <v/>
      </c>
      <c r="C179" s="9"/>
      <c r="D179" s="41"/>
      <c r="E179" s="40"/>
      <c r="F179" s="9"/>
      <c r="G179" s="40"/>
      <c r="H179" s="9"/>
      <c r="I179" s="40"/>
      <c r="J179" s="43"/>
      <c r="K179" s="40"/>
      <c r="L179" s="40"/>
      <c r="M179" s="40"/>
      <c r="N179" s="40"/>
      <c r="O179" s="40"/>
      <c r="P179" s="40"/>
      <c r="Q179" s="9"/>
      <c r="R179" s="9"/>
      <c r="S179" s="40"/>
      <c r="T179" s="9"/>
      <c r="U179" s="9"/>
      <c r="V179" s="9"/>
      <c r="W179" s="41"/>
      <c r="X179" s="41"/>
      <c r="Y179" s="40"/>
      <c r="Z179" s="9"/>
      <c r="AA179" s="9"/>
      <c r="AB179" s="9"/>
      <c r="AC179" s="9"/>
      <c r="AD179" s="9"/>
      <c r="AE179" s="9"/>
      <c r="AF179" s="10" t="str">
        <f aca="false">IF(A179="","",SG_Criteria!$B$6&amp;SG_Criteria!$B$8&amp;"\"&amp;A179&amp;"\")</f>
        <v/>
      </c>
      <c r="AG179" s="10" t="str">
        <f aca="false">IF(A179="","",A179&amp;"_CAD.dwg")</f>
        <v/>
      </c>
      <c r="AH179" s="10" t="str">
        <f aca="false">IF(A179="","",A179&amp;"_DWG.pdf")</f>
        <v/>
      </c>
      <c r="AI179" s="10" t="str">
        <f aca="false">IF(A179="","",IF(AE179="Y",A179&amp;"_STAAD.std","n/a"))</f>
        <v/>
      </c>
      <c r="AJ179" s="10" t="str">
        <f aca="false">IF(A179="","",A179&amp;"_CALC.xlsx")</f>
        <v/>
      </c>
      <c r="AK179" s="10" t="str">
        <f aca="false">IF(A179="","",A179&amp;"_CALC.pdf")</f>
        <v/>
      </c>
      <c r="AL179" s="9"/>
      <c r="AM179" s="9"/>
      <c r="AN179" s="41"/>
      <c r="AO179" s="41"/>
      <c r="AP179" s="41"/>
      <c r="AQ179" s="41"/>
      <c r="AR179" s="41"/>
      <c r="AS179" s="38" t="str">
        <f aca="false">IF(OR(C179="",D179=""),"",IF(D179&lt;=IF(OR(C179="Block / Segmental",C179="Gabion",C179="Reinforced Earth (MSE)"),SG_Criteria!$B$34,SG_Criteria!$B$33),"No ERSS submission",IF(D179&lt;=SG_Criteria!$B$35,"QP(ST)",IF(D179&lt;=SG_Criteria!$B$36,"QP(ST) + AC","Geotechnical building works: QP(Geo) + AC"))))</f>
        <v/>
      </c>
      <c r="AT179" s="38" t="str">
        <f aca="false">IF(C179="","",IF(LEN(IF(AND(R179&lt;&gt;"",IFERROR(VALUE(MID(R179,2,2)),0)&lt;SG_Criteria!$B$19),"FAIL: grade below C"&amp;SG_Criteria!$B$19&amp;". ","")&amp;IF(AND(S179&lt;&gt;"",S179&lt;SG_Criteria!$B$20),"FAIL: cover &lt; "&amp;SG_Criteria!$B$20&amp;" mm. ","")&amp;IF(AND(W179&lt;&gt;"",W179&lt;1),"FAIL: sliding. ","")&amp;IF(AND(C179="Reverse L-Wall (toe only, at boundary)",N(O179)&gt;0),"NOTE: reverse L-wall should have no heel. ","")&amp;IF(AND(C179="L-Wall (heel only)",N(N179)&gt;0),"NOTE: L-wall should have no toe. ","")&amp;IF(AND(E179&lt;&gt;"",E179&lt;SG_Criteria!$B$31),"NOTE: q below LTA min "&amp;SG_Criteria!$B$31&amp;" kPa (not for LTA works). ",""))=0,"OK",IF(AND(R179&lt;&gt;"",IFERROR(VALUE(MID(R179,2,2)),0)&lt;SG_Criteria!$B$19),"FAIL: grade below C"&amp;SG_Criteria!$B$19&amp;". ","")&amp;IF(AND(S179&lt;&gt;"",S179&lt;SG_Criteria!$B$20),"FAIL: cover &lt; "&amp;SG_Criteria!$B$20&amp;" mm. ","")&amp;IF(AND(W179&lt;&gt;"",W179&lt;1),"FAIL: sliding. ","")&amp;IF(AND(C179="Reverse L-Wall (toe only, at boundary)",N(O179)&gt;0),"NOTE: reverse L-wall should have no heel. ","")&amp;IF(AND(C179="L-Wall (heel only)",N(N179)&gt;0),"NOTE: L-wall should have no toe. ","")&amp;IF(AND(E179&lt;&gt;"",E179&lt;SG_Criteria!$B$31),"NOTE: q below LTA min "&amp;SG_Criteria!$B$31&amp;" kPa (not for LTA works). ","")))</f>
        <v/>
      </c>
      <c r="AU179" s="9"/>
      <c r="AV179" s="9"/>
      <c r="AW179" s="9"/>
      <c r="AX179" s="9"/>
      <c r="AY179" s="9"/>
      <c r="AZ179" s="31"/>
      <c r="BA179" s="10" t="str">
        <f aca="false">IF(C179="","",IF(AND(AB179="Approved",ISERROR(SEARCH("FAIL",AT179))),"Y","N"))</f>
        <v/>
      </c>
      <c r="BB179" s="10" t="str">
        <f aca="false">IF(C179="","",C179&amp;"|"&amp;D179&amp;"|"&amp;E179&amp;"|"&amp;F179&amp;"|"&amp;BA179)</f>
        <v/>
      </c>
    </row>
    <row r="180" customFormat="false" ht="15" hidden="false" customHeight="false" outlineLevel="0" collapsed="false">
      <c r="A180" s="10" t="str">
        <f aca="false">IF(C180="","","RW-"&amp;IFERROR(VLOOKUP(C180,Lists!$M$4:$N$22,2,0),"??")&amp;"-H"&amp;TEXT(D180*1000,"0000")&amp;"-S"&amp;E180&amp;IF(F180="Y","-GW","")&amp;"-"&amp;AA180)</f>
        <v/>
      </c>
      <c r="B180" s="10" t="str">
        <f aca="false">IF(C180="","",C180&amp;", H = "&amp;TEXT(D180,"0.0")&amp;" m, q = "&amp;E180&amp;" kPa"&amp;IF(F180="Y",", with GWT","")&amp;", "&amp;H180)</f>
        <v/>
      </c>
      <c r="C180" s="9"/>
      <c r="D180" s="41"/>
      <c r="E180" s="40"/>
      <c r="F180" s="9"/>
      <c r="G180" s="40"/>
      <c r="H180" s="9"/>
      <c r="I180" s="40"/>
      <c r="J180" s="43"/>
      <c r="K180" s="40"/>
      <c r="L180" s="40"/>
      <c r="M180" s="40"/>
      <c r="N180" s="40"/>
      <c r="O180" s="40"/>
      <c r="P180" s="40"/>
      <c r="Q180" s="9"/>
      <c r="R180" s="9"/>
      <c r="S180" s="40"/>
      <c r="T180" s="9"/>
      <c r="U180" s="9"/>
      <c r="V180" s="9"/>
      <c r="W180" s="41"/>
      <c r="X180" s="41"/>
      <c r="Y180" s="40"/>
      <c r="Z180" s="9"/>
      <c r="AA180" s="9"/>
      <c r="AB180" s="9"/>
      <c r="AC180" s="9"/>
      <c r="AD180" s="9"/>
      <c r="AE180" s="9"/>
      <c r="AF180" s="10" t="str">
        <f aca="false">IF(A180="","",SG_Criteria!$B$6&amp;SG_Criteria!$B$8&amp;"\"&amp;A180&amp;"\")</f>
        <v/>
      </c>
      <c r="AG180" s="10" t="str">
        <f aca="false">IF(A180="","",A180&amp;"_CAD.dwg")</f>
        <v/>
      </c>
      <c r="AH180" s="10" t="str">
        <f aca="false">IF(A180="","",A180&amp;"_DWG.pdf")</f>
        <v/>
      </c>
      <c r="AI180" s="10" t="str">
        <f aca="false">IF(A180="","",IF(AE180="Y",A180&amp;"_STAAD.std","n/a"))</f>
        <v/>
      </c>
      <c r="AJ180" s="10" t="str">
        <f aca="false">IF(A180="","",A180&amp;"_CALC.xlsx")</f>
        <v/>
      </c>
      <c r="AK180" s="10" t="str">
        <f aca="false">IF(A180="","",A180&amp;"_CALC.pdf")</f>
        <v/>
      </c>
      <c r="AL180" s="9"/>
      <c r="AM180" s="9"/>
      <c r="AN180" s="41"/>
      <c r="AO180" s="41"/>
      <c r="AP180" s="41"/>
      <c r="AQ180" s="41"/>
      <c r="AR180" s="41"/>
      <c r="AS180" s="38" t="str">
        <f aca="false">IF(OR(C180="",D180=""),"",IF(D180&lt;=IF(OR(C180="Block / Segmental",C180="Gabion",C180="Reinforced Earth (MSE)"),SG_Criteria!$B$34,SG_Criteria!$B$33),"No ERSS submission",IF(D180&lt;=SG_Criteria!$B$35,"QP(ST)",IF(D180&lt;=SG_Criteria!$B$36,"QP(ST) + AC","Geotechnical building works: QP(Geo) + AC"))))</f>
        <v/>
      </c>
      <c r="AT180" s="38" t="str">
        <f aca="false">IF(C180="","",IF(LEN(IF(AND(R180&lt;&gt;"",IFERROR(VALUE(MID(R180,2,2)),0)&lt;SG_Criteria!$B$19),"FAIL: grade below C"&amp;SG_Criteria!$B$19&amp;". ","")&amp;IF(AND(S180&lt;&gt;"",S180&lt;SG_Criteria!$B$20),"FAIL: cover &lt; "&amp;SG_Criteria!$B$20&amp;" mm. ","")&amp;IF(AND(W180&lt;&gt;"",W180&lt;1),"FAIL: sliding. ","")&amp;IF(AND(C180="Reverse L-Wall (toe only, at boundary)",N(O180)&gt;0),"NOTE: reverse L-wall should have no heel. ","")&amp;IF(AND(C180="L-Wall (heel only)",N(N180)&gt;0),"NOTE: L-wall should have no toe. ","")&amp;IF(AND(E180&lt;&gt;"",E180&lt;SG_Criteria!$B$31),"NOTE: q below LTA min "&amp;SG_Criteria!$B$31&amp;" kPa (not for LTA works). ",""))=0,"OK",IF(AND(R180&lt;&gt;"",IFERROR(VALUE(MID(R180,2,2)),0)&lt;SG_Criteria!$B$19),"FAIL: grade below C"&amp;SG_Criteria!$B$19&amp;". ","")&amp;IF(AND(S180&lt;&gt;"",S180&lt;SG_Criteria!$B$20),"FAIL: cover &lt; "&amp;SG_Criteria!$B$20&amp;" mm. ","")&amp;IF(AND(W180&lt;&gt;"",W180&lt;1),"FAIL: sliding. ","")&amp;IF(AND(C180="Reverse L-Wall (toe only, at boundary)",N(O180)&gt;0),"NOTE: reverse L-wall should have no heel. ","")&amp;IF(AND(C180="L-Wall (heel only)",N(N180)&gt;0),"NOTE: L-wall should have no toe. ","")&amp;IF(AND(E180&lt;&gt;"",E180&lt;SG_Criteria!$B$31),"NOTE: q below LTA min "&amp;SG_Criteria!$B$31&amp;" kPa (not for LTA works). ","")))</f>
        <v/>
      </c>
      <c r="AU180" s="9"/>
      <c r="AV180" s="9"/>
      <c r="AW180" s="9"/>
      <c r="AX180" s="9"/>
      <c r="AY180" s="9"/>
      <c r="AZ180" s="31"/>
      <c r="BA180" s="10" t="str">
        <f aca="false">IF(C180="","",IF(AND(AB180="Approved",ISERROR(SEARCH("FAIL",AT180))),"Y","N"))</f>
        <v/>
      </c>
      <c r="BB180" s="10" t="str">
        <f aca="false">IF(C180="","",C180&amp;"|"&amp;D180&amp;"|"&amp;E180&amp;"|"&amp;F180&amp;"|"&amp;BA180)</f>
        <v/>
      </c>
    </row>
    <row r="181" customFormat="false" ht="15" hidden="false" customHeight="false" outlineLevel="0" collapsed="false">
      <c r="A181" s="10" t="str">
        <f aca="false">IF(C181="","","RW-"&amp;IFERROR(VLOOKUP(C181,Lists!$M$4:$N$22,2,0),"??")&amp;"-H"&amp;TEXT(D181*1000,"0000")&amp;"-S"&amp;E181&amp;IF(F181="Y","-GW","")&amp;"-"&amp;AA181)</f>
        <v/>
      </c>
      <c r="B181" s="10" t="str">
        <f aca="false">IF(C181="","",C181&amp;", H = "&amp;TEXT(D181,"0.0")&amp;" m, q = "&amp;E181&amp;" kPa"&amp;IF(F181="Y",", with GWT","")&amp;", "&amp;H181)</f>
        <v/>
      </c>
      <c r="C181" s="9"/>
      <c r="D181" s="41"/>
      <c r="E181" s="40"/>
      <c r="F181" s="9"/>
      <c r="G181" s="40"/>
      <c r="H181" s="9"/>
      <c r="I181" s="40"/>
      <c r="J181" s="43"/>
      <c r="K181" s="40"/>
      <c r="L181" s="40"/>
      <c r="M181" s="40"/>
      <c r="N181" s="40"/>
      <c r="O181" s="40"/>
      <c r="P181" s="40"/>
      <c r="Q181" s="9"/>
      <c r="R181" s="9"/>
      <c r="S181" s="40"/>
      <c r="T181" s="9"/>
      <c r="U181" s="9"/>
      <c r="V181" s="9"/>
      <c r="W181" s="41"/>
      <c r="X181" s="41"/>
      <c r="Y181" s="40"/>
      <c r="Z181" s="9"/>
      <c r="AA181" s="9"/>
      <c r="AB181" s="9"/>
      <c r="AC181" s="9"/>
      <c r="AD181" s="9"/>
      <c r="AE181" s="9"/>
      <c r="AF181" s="10" t="str">
        <f aca="false">IF(A181="","",SG_Criteria!$B$6&amp;SG_Criteria!$B$8&amp;"\"&amp;A181&amp;"\")</f>
        <v/>
      </c>
      <c r="AG181" s="10" t="str">
        <f aca="false">IF(A181="","",A181&amp;"_CAD.dwg")</f>
        <v/>
      </c>
      <c r="AH181" s="10" t="str">
        <f aca="false">IF(A181="","",A181&amp;"_DWG.pdf")</f>
        <v/>
      </c>
      <c r="AI181" s="10" t="str">
        <f aca="false">IF(A181="","",IF(AE181="Y",A181&amp;"_STAAD.std","n/a"))</f>
        <v/>
      </c>
      <c r="AJ181" s="10" t="str">
        <f aca="false">IF(A181="","",A181&amp;"_CALC.xlsx")</f>
        <v/>
      </c>
      <c r="AK181" s="10" t="str">
        <f aca="false">IF(A181="","",A181&amp;"_CALC.pdf")</f>
        <v/>
      </c>
      <c r="AL181" s="9"/>
      <c r="AM181" s="9"/>
      <c r="AN181" s="41"/>
      <c r="AO181" s="41"/>
      <c r="AP181" s="41"/>
      <c r="AQ181" s="41"/>
      <c r="AR181" s="41"/>
      <c r="AS181" s="38" t="str">
        <f aca="false">IF(OR(C181="",D181=""),"",IF(D181&lt;=IF(OR(C181="Block / Segmental",C181="Gabion",C181="Reinforced Earth (MSE)"),SG_Criteria!$B$34,SG_Criteria!$B$33),"No ERSS submission",IF(D181&lt;=SG_Criteria!$B$35,"QP(ST)",IF(D181&lt;=SG_Criteria!$B$36,"QP(ST) + AC","Geotechnical building works: QP(Geo) + AC"))))</f>
        <v/>
      </c>
      <c r="AT181" s="38" t="str">
        <f aca="false">IF(C181="","",IF(LEN(IF(AND(R181&lt;&gt;"",IFERROR(VALUE(MID(R181,2,2)),0)&lt;SG_Criteria!$B$19),"FAIL: grade below C"&amp;SG_Criteria!$B$19&amp;". ","")&amp;IF(AND(S181&lt;&gt;"",S181&lt;SG_Criteria!$B$20),"FAIL: cover &lt; "&amp;SG_Criteria!$B$20&amp;" mm. ","")&amp;IF(AND(W181&lt;&gt;"",W181&lt;1),"FAIL: sliding. ","")&amp;IF(AND(C181="Reverse L-Wall (toe only, at boundary)",N(O181)&gt;0),"NOTE: reverse L-wall should have no heel. ","")&amp;IF(AND(C181="L-Wall (heel only)",N(N181)&gt;0),"NOTE: L-wall should have no toe. ","")&amp;IF(AND(E181&lt;&gt;"",E181&lt;SG_Criteria!$B$31),"NOTE: q below LTA min "&amp;SG_Criteria!$B$31&amp;" kPa (not for LTA works). ",""))=0,"OK",IF(AND(R181&lt;&gt;"",IFERROR(VALUE(MID(R181,2,2)),0)&lt;SG_Criteria!$B$19),"FAIL: grade below C"&amp;SG_Criteria!$B$19&amp;". ","")&amp;IF(AND(S181&lt;&gt;"",S181&lt;SG_Criteria!$B$20),"FAIL: cover &lt; "&amp;SG_Criteria!$B$20&amp;" mm. ","")&amp;IF(AND(W181&lt;&gt;"",W181&lt;1),"FAIL: sliding. ","")&amp;IF(AND(C181="Reverse L-Wall (toe only, at boundary)",N(O181)&gt;0),"NOTE: reverse L-wall should have no heel. ","")&amp;IF(AND(C181="L-Wall (heel only)",N(N181)&gt;0),"NOTE: L-wall should have no toe. ","")&amp;IF(AND(E181&lt;&gt;"",E181&lt;SG_Criteria!$B$31),"NOTE: q below LTA min "&amp;SG_Criteria!$B$31&amp;" kPa (not for LTA works). ","")))</f>
        <v/>
      </c>
      <c r="AU181" s="9"/>
      <c r="AV181" s="9"/>
      <c r="AW181" s="9"/>
      <c r="AX181" s="9"/>
      <c r="AY181" s="9"/>
      <c r="AZ181" s="31"/>
      <c r="BA181" s="10" t="str">
        <f aca="false">IF(C181="","",IF(AND(AB181="Approved",ISERROR(SEARCH("FAIL",AT181))),"Y","N"))</f>
        <v/>
      </c>
      <c r="BB181" s="10" t="str">
        <f aca="false">IF(C181="","",C181&amp;"|"&amp;D181&amp;"|"&amp;E181&amp;"|"&amp;F181&amp;"|"&amp;BA181)</f>
        <v/>
      </c>
    </row>
    <row r="182" customFormat="false" ht="15" hidden="false" customHeight="false" outlineLevel="0" collapsed="false">
      <c r="A182" s="10" t="str">
        <f aca="false">IF(C182="","","RW-"&amp;IFERROR(VLOOKUP(C182,Lists!$M$4:$N$22,2,0),"??")&amp;"-H"&amp;TEXT(D182*1000,"0000")&amp;"-S"&amp;E182&amp;IF(F182="Y","-GW","")&amp;"-"&amp;AA182)</f>
        <v/>
      </c>
      <c r="B182" s="10" t="str">
        <f aca="false">IF(C182="","",C182&amp;", H = "&amp;TEXT(D182,"0.0")&amp;" m, q = "&amp;E182&amp;" kPa"&amp;IF(F182="Y",", with GWT","")&amp;", "&amp;H182)</f>
        <v/>
      </c>
      <c r="C182" s="9"/>
      <c r="D182" s="41"/>
      <c r="E182" s="40"/>
      <c r="F182" s="9"/>
      <c r="G182" s="40"/>
      <c r="H182" s="9"/>
      <c r="I182" s="40"/>
      <c r="J182" s="43"/>
      <c r="K182" s="40"/>
      <c r="L182" s="40"/>
      <c r="M182" s="40"/>
      <c r="N182" s="40"/>
      <c r="O182" s="40"/>
      <c r="P182" s="40"/>
      <c r="Q182" s="9"/>
      <c r="R182" s="9"/>
      <c r="S182" s="40"/>
      <c r="T182" s="9"/>
      <c r="U182" s="9"/>
      <c r="V182" s="9"/>
      <c r="W182" s="41"/>
      <c r="X182" s="41"/>
      <c r="Y182" s="40"/>
      <c r="Z182" s="9"/>
      <c r="AA182" s="9"/>
      <c r="AB182" s="9"/>
      <c r="AC182" s="9"/>
      <c r="AD182" s="9"/>
      <c r="AE182" s="9"/>
      <c r="AF182" s="10" t="str">
        <f aca="false">IF(A182="","",SG_Criteria!$B$6&amp;SG_Criteria!$B$8&amp;"\"&amp;A182&amp;"\")</f>
        <v/>
      </c>
      <c r="AG182" s="10" t="str">
        <f aca="false">IF(A182="","",A182&amp;"_CAD.dwg")</f>
        <v/>
      </c>
      <c r="AH182" s="10" t="str">
        <f aca="false">IF(A182="","",A182&amp;"_DWG.pdf")</f>
        <v/>
      </c>
      <c r="AI182" s="10" t="str">
        <f aca="false">IF(A182="","",IF(AE182="Y",A182&amp;"_STAAD.std","n/a"))</f>
        <v/>
      </c>
      <c r="AJ182" s="10" t="str">
        <f aca="false">IF(A182="","",A182&amp;"_CALC.xlsx")</f>
        <v/>
      </c>
      <c r="AK182" s="10" t="str">
        <f aca="false">IF(A182="","",A182&amp;"_CALC.pdf")</f>
        <v/>
      </c>
      <c r="AL182" s="9"/>
      <c r="AM182" s="9"/>
      <c r="AN182" s="41"/>
      <c r="AO182" s="41"/>
      <c r="AP182" s="41"/>
      <c r="AQ182" s="41"/>
      <c r="AR182" s="41"/>
      <c r="AS182" s="38" t="str">
        <f aca="false">IF(OR(C182="",D182=""),"",IF(D182&lt;=IF(OR(C182="Block / Segmental",C182="Gabion",C182="Reinforced Earth (MSE)"),SG_Criteria!$B$34,SG_Criteria!$B$33),"No ERSS submission",IF(D182&lt;=SG_Criteria!$B$35,"QP(ST)",IF(D182&lt;=SG_Criteria!$B$36,"QP(ST) + AC","Geotechnical building works: QP(Geo) + AC"))))</f>
        <v/>
      </c>
      <c r="AT182" s="38" t="str">
        <f aca="false">IF(C182="","",IF(LEN(IF(AND(R182&lt;&gt;"",IFERROR(VALUE(MID(R182,2,2)),0)&lt;SG_Criteria!$B$19),"FAIL: grade below C"&amp;SG_Criteria!$B$19&amp;". ","")&amp;IF(AND(S182&lt;&gt;"",S182&lt;SG_Criteria!$B$20),"FAIL: cover &lt; "&amp;SG_Criteria!$B$20&amp;" mm. ","")&amp;IF(AND(W182&lt;&gt;"",W182&lt;1),"FAIL: sliding. ","")&amp;IF(AND(C182="Reverse L-Wall (toe only, at boundary)",N(O182)&gt;0),"NOTE: reverse L-wall should have no heel. ","")&amp;IF(AND(C182="L-Wall (heel only)",N(N182)&gt;0),"NOTE: L-wall should have no toe. ","")&amp;IF(AND(E182&lt;&gt;"",E182&lt;SG_Criteria!$B$31),"NOTE: q below LTA min "&amp;SG_Criteria!$B$31&amp;" kPa (not for LTA works). ",""))=0,"OK",IF(AND(R182&lt;&gt;"",IFERROR(VALUE(MID(R182,2,2)),0)&lt;SG_Criteria!$B$19),"FAIL: grade below C"&amp;SG_Criteria!$B$19&amp;". ","")&amp;IF(AND(S182&lt;&gt;"",S182&lt;SG_Criteria!$B$20),"FAIL: cover &lt; "&amp;SG_Criteria!$B$20&amp;" mm. ","")&amp;IF(AND(W182&lt;&gt;"",W182&lt;1),"FAIL: sliding. ","")&amp;IF(AND(C182="Reverse L-Wall (toe only, at boundary)",N(O182)&gt;0),"NOTE: reverse L-wall should have no heel. ","")&amp;IF(AND(C182="L-Wall (heel only)",N(N182)&gt;0),"NOTE: L-wall should have no toe. ","")&amp;IF(AND(E182&lt;&gt;"",E182&lt;SG_Criteria!$B$31),"NOTE: q below LTA min "&amp;SG_Criteria!$B$31&amp;" kPa (not for LTA works). ","")))</f>
        <v/>
      </c>
      <c r="AU182" s="9"/>
      <c r="AV182" s="9"/>
      <c r="AW182" s="9"/>
      <c r="AX182" s="9"/>
      <c r="AY182" s="9"/>
      <c r="AZ182" s="31"/>
      <c r="BA182" s="10" t="str">
        <f aca="false">IF(C182="","",IF(AND(AB182="Approved",ISERROR(SEARCH("FAIL",AT182))),"Y","N"))</f>
        <v/>
      </c>
      <c r="BB182" s="10" t="str">
        <f aca="false">IF(C182="","",C182&amp;"|"&amp;D182&amp;"|"&amp;E182&amp;"|"&amp;F182&amp;"|"&amp;BA182)</f>
        <v/>
      </c>
    </row>
    <row r="183" customFormat="false" ht="15" hidden="false" customHeight="false" outlineLevel="0" collapsed="false">
      <c r="A183" s="10" t="str">
        <f aca="false">IF(C183="","","RW-"&amp;IFERROR(VLOOKUP(C183,Lists!$M$4:$N$22,2,0),"??")&amp;"-H"&amp;TEXT(D183*1000,"0000")&amp;"-S"&amp;E183&amp;IF(F183="Y","-GW","")&amp;"-"&amp;AA183)</f>
        <v/>
      </c>
      <c r="B183" s="10" t="str">
        <f aca="false">IF(C183="","",C183&amp;", H = "&amp;TEXT(D183,"0.0")&amp;" m, q = "&amp;E183&amp;" kPa"&amp;IF(F183="Y",", with GWT","")&amp;", "&amp;H183)</f>
        <v/>
      </c>
      <c r="C183" s="9"/>
      <c r="D183" s="41"/>
      <c r="E183" s="40"/>
      <c r="F183" s="9"/>
      <c r="G183" s="40"/>
      <c r="H183" s="9"/>
      <c r="I183" s="40"/>
      <c r="J183" s="43"/>
      <c r="K183" s="40"/>
      <c r="L183" s="40"/>
      <c r="M183" s="40"/>
      <c r="N183" s="40"/>
      <c r="O183" s="40"/>
      <c r="P183" s="40"/>
      <c r="Q183" s="9"/>
      <c r="R183" s="9"/>
      <c r="S183" s="40"/>
      <c r="T183" s="9"/>
      <c r="U183" s="9"/>
      <c r="V183" s="9"/>
      <c r="W183" s="41"/>
      <c r="X183" s="41"/>
      <c r="Y183" s="40"/>
      <c r="Z183" s="9"/>
      <c r="AA183" s="9"/>
      <c r="AB183" s="9"/>
      <c r="AC183" s="9"/>
      <c r="AD183" s="9"/>
      <c r="AE183" s="9"/>
      <c r="AF183" s="10" t="str">
        <f aca="false">IF(A183="","",SG_Criteria!$B$6&amp;SG_Criteria!$B$8&amp;"\"&amp;A183&amp;"\")</f>
        <v/>
      </c>
      <c r="AG183" s="10" t="str">
        <f aca="false">IF(A183="","",A183&amp;"_CAD.dwg")</f>
        <v/>
      </c>
      <c r="AH183" s="10" t="str">
        <f aca="false">IF(A183="","",A183&amp;"_DWG.pdf")</f>
        <v/>
      </c>
      <c r="AI183" s="10" t="str">
        <f aca="false">IF(A183="","",IF(AE183="Y",A183&amp;"_STAAD.std","n/a"))</f>
        <v/>
      </c>
      <c r="AJ183" s="10" t="str">
        <f aca="false">IF(A183="","",A183&amp;"_CALC.xlsx")</f>
        <v/>
      </c>
      <c r="AK183" s="10" t="str">
        <f aca="false">IF(A183="","",A183&amp;"_CALC.pdf")</f>
        <v/>
      </c>
      <c r="AL183" s="9"/>
      <c r="AM183" s="9"/>
      <c r="AN183" s="41"/>
      <c r="AO183" s="41"/>
      <c r="AP183" s="41"/>
      <c r="AQ183" s="41"/>
      <c r="AR183" s="41"/>
      <c r="AS183" s="38" t="str">
        <f aca="false">IF(OR(C183="",D183=""),"",IF(D183&lt;=IF(OR(C183="Block / Segmental",C183="Gabion",C183="Reinforced Earth (MSE)"),SG_Criteria!$B$34,SG_Criteria!$B$33),"No ERSS submission",IF(D183&lt;=SG_Criteria!$B$35,"QP(ST)",IF(D183&lt;=SG_Criteria!$B$36,"QP(ST) + AC","Geotechnical building works: QP(Geo) + AC"))))</f>
        <v/>
      </c>
      <c r="AT183" s="38" t="str">
        <f aca="false">IF(C183="","",IF(LEN(IF(AND(R183&lt;&gt;"",IFERROR(VALUE(MID(R183,2,2)),0)&lt;SG_Criteria!$B$19),"FAIL: grade below C"&amp;SG_Criteria!$B$19&amp;". ","")&amp;IF(AND(S183&lt;&gt;"",S183&lt;SG_Criteria!$B$20),"FAIL: cover &lt; "&amp;SG_Criteria!$B$20&amp;" mm. ","")&amp;IF(AND(W183&lt;&gt;"",W183&lt;1),"FAIL: sliding. ","")&amp;IF(AND(C183="Reverse L-Wall (toe only, at boundary)",N(O183)&gt;0),"NOTE: reverse L-wall should have no heel. ","")&amp;IF(AND(C183="L-Wall (heel only)",N(N183)&gt;0),"NOTE: L-wall should have no toe. ","")&amp;IF(AND(E183&lt;&gt;"",E183&lt;SG_Criteria!$B$31),"NOTE: q below LTA min "&amp;SG_Criteria!$B$31&amp;" kPa (not for LTA works). ",""))=0,"OK",IF(AND(R183&lt;&gt;"",IFERROR(VALUE(MID(R183,2,2)),0)&lt;SG_Criteria!$B$19),"FAIL: grade below C"&amp;SG_Criteria!$B$19&amp;". ","")&amp;IF(AND(S183&lt;&gt;"",S183&lt;SG_Criteria!$B$20),"FAIL: cover &lt; "&amp;SG_Criteria!$B$20&amp;" mm. ","")&amp;IF(AND(W183&lt;&gt;"",W183&lt;1),"FAIL: sliding. ","")&amp;IF(AND(C183="Reverse L-Wall (toe only, at boundary)",N(O183)&gt;0),"NOTE: reverse L-wall should have no heel. ","")&amp;IF(AND(C183="L-Wall (heel only)",N(N183)&gt;0),"NOTE: L-wall should have no toe. ","")&amp;IF(AND(E183&lt;&gt;"",E183&lt;SG_Criteria!$B$31),"NOTE: q below LTA min "&amp;SG_Criteria!$B$31&amp;" kPa (not for LTA works). ","")))</f>
        <v/>
      </c>
      <c r="AU183" s="9"/>
      <c r="AV183" s="9"/>
      <c r="AW183" s="9"/>
      <c r="AX183" s="9"/>
      <c r="AY183" s="9"/>
      <c r="AZ183" s="31"/>
      <c r="BA183" s="10" t="str">
        <f aca="false">IF(C183="","",IF(AND(AB183="Approved",ISERROR(SEARCH("FAIL",AT183))),"Y","N"))</f>
        <v/>
      </c>
      <c r="BB183" s="10" t="str">
        <f aca="false">IF(C183="","",C183&amp;"|"&amp;D183&amp;"|"&amp;E183&amp;"|"&amp;F183&amp;"|"&amp;BA183)</f>
        <v/>
      </c>
    </row>
    <row r="184" customFormat="false" ht="15" hidden="false" customHeight="false" outlineLevel="0" collapsed="false">
      <c r="A184" s="10" t="str">
        <f aca="false">IF(C184="","","RW-"&amp;IFERROR(VLOOKUP(C184,Lists!$M$4:$N$22,2,0),"??")&amp;"-H"&amp;TEXT(D184*1000,"0000")&amp;"-S"&amp;E184&amp;IF(F184="Y","-GW","")&amp;"-"&amp;AA184)</f>
        <v/>
      </c>
      <c r="B184" s="10" t="str">
        <f aca="false">IF(C184="","",C184&amp;", H = "&amp;TEXT(D184,"0.0")&amp;" m, q = "&amp;E184&amp;" kPa"&amp;IF(F184="Y",", with GWT","")&amp;", "&amp;H184)</f>
        <v/>
      </c>
      <c r="C184" s="9"/>
      <c r="D184" s="41"/>
      <c r="E184" s="40"/>
      <c r="F184" s="9"/>
      <c r="G184" s="40"/>
      <c r="H184" s="9"/>
      <c r="I184" s="40"/>
      <c r="J184" s="43"/>
      <c r="K184" s="40"/>
      <c r="L184" s="40"/>
      <c r="M184" s="40"/>
      <c r="N184" s="40"/>
      <c r="O184" s="40"/>
      <c r="P184" s="40"/>
      <c r="Q184" s="9"/>
      <c r="R184" s="9"/>
      <c r="S184" s="40"/>
      <c r="T184" s="9"/>
      <c r="U184" s="9"/>
      <c r="V184" s="9"/>
      <c r="W184" s="41"/>
      <c r="X184" s="41"/>
      <c r="Y184" s="40"/>
      <c r="Z184" s="9"/>
      <c r="AA184" s="9"/>
      <c r="AB184" s="9"/>
      <c r="AC184" s="9"/>
      <c r="AD184" s="9"/>
      <c r="AE184" s="9"/>
      <c r="AF184" s="10" t="str">
        <f aca="false">IF(A184="","",SG_Criteria!$B$6&amp;SG_Criteria!$B$8&amp;"\"&amp;A184&amp;"\")</f>
        <v/>
      </c>
      <c r="AG184" s="10" t="str">
        <f aca="false">IF(A184="","",A184&amp;"_CAD.dwg")</f>
        <v/>
      </c>
      <c r="AH184" s="10" t="str">
        <f aca="false">IF(A184="","",A184&amp;"_DWG.pdf")</f>
        <v/>
      </c>
      <c r="AI184" s="10" t="str">
        <f aca="false">IF(A184="","",IF(AE184="Y",A184&amp;"_STAAD.std","n/a"))</f>
        <v/>
      </c>
      <c r="AJ184" s="10" t="str">
        <f aca="false">IF(A184="","",A184&amp;"_CALC.xlsx")</f>
        <v/>
      </c>
      <c r="AK184" s="10" t="str">
        <f aca="false">IF(A184="","",A184&amp;"_CALC.pdf")</f>
        <v/>
      </c>
      <c r="AL184" s="9"/>
      <c r="AM184" s="9"/>
      <c r="AN184" s="41"/>
      <c r="AO184" s="41"/>
      <c r="AP184" s="41"/>
      <c r="AQ184" s="41"/>
      <c r="AR184" s="41"/>
      <c r="AS184" s="38" t="str">
        <f aca="false">IF(OR(C184="",D184=""),"",IF(D184&lt;=IF(OR(C184="Block / Segmental",C184="Gabion",C184="Reinforced Earth (MSE)"),SG_Criteria!$B$34,SG_Criteria!$B$33),"No ERSS submission",IF(D184&lt;=SG_Criteria!$B$35,"QP(ST)",IF(D184&lt;=SG_Criteria!$B$36,"QP(ST) + AC","Geotechnical building works: QP(Geo) + AC"))))</f>
        <v/>
      </c>
      <c r="AT184" s="38" t="str">
        <f aca="false">IF(C184="","",IF(LEN(IF(AND(R184&lt;&gt;"",IFERROR(VALUE(MID(R184,2,2)),0)&lt;SG_Criteria!$B$19),"FAIL: grade below C"&amp;SG_Criteria!$B$19&amp;". ","")&amp;IF(AND(S184&lt;&gt;"",S184&lt;SG_Criteria!$B$20),"FAIL: cover &lt; "&amp;SG_Criteria!$B$20&amp;" mm. ","")&amp;IF(AND(W184&lt;&gt;"",W184&lt;1),"FAIL: sliding. ","")&amp;IF(AND(C184="Reverse L-Wall (toe only, at boundary)",N(O184)&gt;0),"NOTE: reverse L-wall should have no heel. ","")&amp;IF(AND(C184="L-Wall (heel only)",N(N184)&gt;0),"NOTE: L-wall should have no toe. ","")&amp;IF(AND(E184&lt;&gt;"",E184&lt;SG_Criteria!$B$31),"NOTE: q below LTA min "&amp;SG_Criteria!$B$31&amp;" kPa (not for LTA works). ",""))=0,"OK",IF(AND(R184&lt;&gt;"",IFERROR(VALUE(MID(R184,2,2)),0)&lt;SG_Criteria!$B$19),"FAIL: grade below C"&amp;SG_Criteria!$B$19&amp;". ","")&amp;IF(AND(S184&lt;&gt;"",S184&lt;SG_Criteria!$B$20),"FAIL: cover &lt; "&amp;SG_Criteria!$B$20&amp;" mm. ","")&amp;IF(AND(W184&lt;&gt;"",W184&lt;1),"FAIL: sliding. ","")&amp;IF(AND(C184="Reverse L-Wall (toe only, at boundary)",N(O184)&gt;0),"NOTE: reverse L-wall should have no heel. ","")&amp;IF(AND(C184="L-Wall (heel only)",N(N184)&gt;0),"NOTE: L-wall should have no toe. ","")&amp;IF(AND(E184&lt;&gt;"",E184&lt;SG_Criteria!$B$31),"NOTE: q below LTA min "&amp;SG_Criteria!$B$31&amp;" kPa (not for LTA works). ","")))</f>
        <v/>
      </c>
      <c r="AU184" s="9"/>
      <c r="AV184" s="9"/>
      <c r="AW184" s="9"/>
      <c r="AX184" s="9"/>
      <c r="AY184" s="9"/>
      <c r="AZ184" s="31"/>
      <c r="BA184" s="10" t="str">
        <f aca="false">IF(C184="","",IF(AND(AB184="Approved",ISERROR(SEARCH("FAIL",AT184))),"Y","N"))</f>
        <v/>
      </c>
      <c r="BB184" s="10" t="str">
        <f aca="false">IF(C184="","",C184&amp;"|"&amp;D184&amp;"|"&amp;E184&amp;"|"&amp;F184&amp;"|"&amp;BA184)</f>
        <v/>
      </c>
    </row>
    <row r="185" customFormat="false" ht="15" hidden="false" customHeight="false" outlineLevel="0" collapsed="false">
      <c r="A185" s="10" t="str">
        <f aca="false">IF(C185="","","RW-"&amp;IFERROR(VLOOKUP(C185,Lists!$M$4:$N$22,2,0),"??")&amp;"-H"&amp;TEXT(D185*1000,"0000")&amp;"-S"&amp;E185&amp;IF(F185="Y","-GW","")&amp;"-"&amp;AA185)</f>
        <v/>
      </c>
      <c r="B185" s="10" t="str">
        <f aca="false">IF(C185="","",C185&amp;", H = "&amp;TEXT(D185,"0.0")&amp;" m, q = "&amp;E185&amp;" kPa"&amp;IF(F185="Y",", with GWT","")&amp;", "&amp;H185)</f>
        <v/>
      </c>
      <c r="C185" s="9"/>
      <c r="D185" s="41"/>
      <c r="E185" s="40"/>
      <c r="F185" s="9"/>
      <c r="G185" s="40"/>
      <c r="H185" s="9"/>
      <c r="I185" s="40"/>
      <c r="J185" s="43"/>
      <c r="K185" s="40"/>
      <c r="L185" s="40"/>
      <c r="M185" s="40"/>
      <c r="N185" s="40"/>
      <c r="O185" s="40"/>
      <c r="P185" s="40"/>
      <c r="Q185" s="9"/>
      <c r="R185" s="9"/>
      <c r="S185" s="40"/>
      <c r="T185" s="9"/>
      <c r="U185" s="9"/>
      <c r="V185" s="9"/>
      <c r="W185" s="41"/>
      <c r="X185" s="41"/>
      <c r="Y185" s="40"/>
      <c r="Z185" s="9"/>
      <c r="AA185" s="9"/>
      <c r="AB185" s="9"/>
      <c r="AC185" s="9"/>
      <c r="AD185" s="9"/>
      <c r="AE185" s="9"/>
      <c r="AF185" s="10" t="str">
        <f aca="false">IF(A185="","",SG_Criteria!$B$6&amp;SG_Criteria!$B$8&amp;"\"&amp;A185&amp;"\")</f>
        <v/>
      </c>
      <c r="AG185" s="10" t="str">
        <f aca="false">IF(A185="","",A185&amp;"_CAD.dwg")</f>
        <v/>
      </c>
      <c r="AH185" s="10" t="str">
        <f aca="false">IF(A185="","",A185&amp;"_DWG.pdf")</f>
        <v/>
      </c>
      <c r="AI185" s="10" t="str">
        <f aca="false">IF(A185="","",IF(AE185="Y",A185&amp;"_STAAD.std","n/a"))</f>
        <v/>
      </c>
      <c r="AJ185" s="10" t="str">
        <f aca="false">IF(A185="","",A185&amp;"_CALC.xlsx")</f>
        <v/>
      </c>
      <c r="AK185" s="10" t="str">
        <f aca="false">IF(A185="","",A185&amp;"_CALC.pdf")</f>
        <v/>
      </c>
      <c r="AL185" s="9"/>
      <c r="AM185" s="9"/>
      <c r="AN185" s="41"/>
      <c r="AO185" s="41"/>
      <c r="AP185" s="41"/>
      <c r="AQ185" s="41"/>
      <c r="AR185" s="41"/>
      <c r="AS185" s="38" t="str">
        <f aca="false">IF(OR(C185="",D185=""),"",IF(D185&lt;=IF(OR(C185="Block / Segmental",C185="Gabion",C185="Reinforced Earth (MSE)"),SG_Criteria!$B$34,SG_Criteria!$B$33),"No ERSS submission",IF(D185&lt;=SG_Criteria!$B$35,"QP(ST)",IF(D185&lt;=SG_Criteria!$B$36,"QP(ST) + AC","Geotechnical building works: QP(Geo) + AC"))))</f>
        <v/>
      </c>
      <c r="AT185" s="38" t="str">
        <f aca="false">IF(C185="","",IF(LEN(IF(AND(R185&lt;&gt;"",IFERROR(VALUE(MID(R185,2,2)),0)&lt;SG_Criteria!$B$19),"FAIL: grade below C"&amp;SG_Criteria!$B$19&amp;". ","")&amp;IF(AND(S185&lt;&gt;"",S185&lt;SG_Criteria!$B$20),"FAIL: cover &lt; "&amp;SG_Criteria!$B$20&amp;" mm. ","")&amp;IF(AND(W185&lt;&gt;"",W185&lt;1),"FAIL: sliding. ","")&amp;IF(AND(C185="Reverse L-Wall (toe only, at boundary)",N(O185)&gt;0),"NOTE: reverse L-wall should have no heel. ","")&amp;IF(AND(C185="L-Wall (heel only)",N(N185)&gt;0),"NOTE: L-wall should have no toe. ","")&amp;IF(AND(E185&lt;&gt;"",E185&lt;SG_Criteria!$B$31),"NOTE: q below LTA min "&amp;SG_Criteria!$B$31&amp;" kPa (not for LTA works). ",""))=0,"OK",IF(AND(R185&lt;&gt;"",IFERROR(VALUE(MID(R185,2,2)),0)&lt;SG_Criteria!$B$19),"FAIL: grade below C"&amp;SG_Criteria!$B$19&amp;". ","")&amp;IF(AND(S185&lt;&gt;"",S185&lt;SG_Criteria!$B$20),"FAIL: cover &lt; "&amp;SG_Criteria!$B$20&amp;" mm. ","")&amp;IF(AND(W185&lt;&gt;"",W185&lt;1),"FAIL: sliding. ","")&amp;IF(AND(C185="Reverse L-Wall (toe only, at boundary)",N(O185)&gt;0),"NOTE: reverse L-wall should have no heel. ","")&amp;IF(AND(C185="L-Wall (heel only)",N(N185)&gt;0),"NOTE: L-wall should have no toe. ","")&amp;IF(AND(E185&lt;&gt;"",E185&lt;SG_Criteria!$B$31),"NOTE: q below LTA min "&amp;SG_Criteria!$B$31&amp;" kPa (not for LTA works). ","")))</f>
        <v/>
      </c>
      <c r="AU185" s="9"/>
      <c r="AV185" s="9"/>
      <c r="AW185" s="9"/>
      <c r="AX185" s="9"/>
      <c r="AY185" s="9"/>
      <c r="AZ185" s="31"/>
      <c r="BA185" s="10" t="str">
        <f aca="false">IF(C185="","",IF(AND(AB185="Approved",ISERROR(SEARCH("FAIL",AT185))),"Y","N"))</f>
        <v/>
      </c>
      <c r="BB185" s="10" t="str">
        <f aca="false">IF(C185="","",C185&amp;"|"&amp;D185&amp;"|"&amp;E185&amp;"|"&amp;F185&amp;"|"&amp;BA185)</f>
        <v/>
      </c>
    </row>
    <row r="186" customFormat="false" ht="15" hidden="false" customHeight="false" outlineLevel="0" collapsed="false">
      <c r="A186" s="10" t="str">
        <f aca="false">IF(C186="","","RW-"&amp;IFERROR(VLOOKUP(C186,Lists!$M$4:$N$22,2,0),"??")&amp;"-H"&amp;TEXT(D186*1000,"0000")&amp;"-S"&amp;E186&amp;IF(F186="Y","-GW","")&amp;"-"&amp;AA186)</f>
        <v/>
      </c>
      <c r="B186" s="10" t="str">
        <f aca="false">IF(C186="","",C186&amp;", H = "&amp;TEXT(D186,"0.0")&amp;" m, q = "&amp;E186&amp;" kPa"&amp;IF(F186="Y",", with GWT","")&amp;", "&amp;H186)</f>
        <v/>
      </c>
      <c r="C186" s="9"/>
      <c r="D186" s="41"/>
      <c r="E186" s="40"/>
      <c r="F186" s="9"/>
      <c r="G186" s="40"/>
      <c r="H186" s="9"/>
      <c r="I186" s="40"/>
      <c r="J186" s="43"/>
      <c r="K186" s="40"/>
      <c r="L186" s="40"/>
      <c r="M186" s="40"/>
      <c r="N186" s="40"/>
      <c r="O186" s="40"/>
      <c r="P186" s="40"/>
      <c r="Q186" s="9"/>
      <c r="R186" s="9"/>
      <c r="S186" s="40"/>
      <c r="T186" s="9"/>
      <c r="U186" s="9"/>
      <c r="V186" s="9"/>
      <c r="W186" s="41"/>
      <c r="X186" s="41"/>
      <c r="Y186" s="40"/>
      <c r="Z186" s="9"/>
      <c r="AA186" s="9"/>
      <c r="AB186" s="9"/>
      <c r="AC186" s="9"/>
      <c r="AD186" s="9"/>
      <c r="AE186" s="9"/>
      <c r="AF186" s="10" t="str">
        <f aca="false">IF(A186="","",SG_Criteria!$B$6&amp;SG_Criteria!$B$8&amp;"\"&amp;A186&amp;"\")</f>
        <v/>
      </c>
      <c r="AG186" s="10" t="str">
        <f aca="false">IF(A186="","",A186&amp;"_CAD.dwg")</f>
        <v/>
      </c>
      <c r="AH186" s="10" t="str">
        <f aca="false">IF(A186="","",A186&amp;"_DWG.pdf")</f>
        <v/>
      </c>
      <c r="AI186" s="10" t="str">
        <f aca="false">IF(A186="","",IF(AE186="Y",A186&amp;"_STAAD.std","n/a"))</f>
        <v/>
      </c>
      <c r="AJ186" s="10" t="str">
        <f aca="false">IF(A186="","",A186&amp;"_CALC.xlsx")</f>
        <v/>
      </c>
      <c r="AK186" s="10" t="str">
        <f aca="false">IF(A186="","",A186&amp;"_CALC.pdf")</f>
        <v/>
      </c>
      <c r="AL186" s="9"/>
      <c r="AM186" s="9"/>
      <c r="AN186" s="41"/>
      <c r="AO186" s="41"/>
      <c r="AP186" s="41"/>
      <c r="AQ186" s="41"/>
      <c r="AR186" s="41"/>
      <c r="AS186" s="38" t="str">
        <f aca="false">IF(OR(C186="",D186=""),"",IF(D186&lt;=IF(OR(C186="Block / Segmental",C186="Gabion",C186="Reinforced Earth (MSE)"),SG_Criteria!$B$34,SG_Criteria!$B$33),"No ERSS submission",IF(D186&lt;=SG_Criteria!$B$35,"QP(ST)",IF(D186&lt;=SG_Criteria!$B$36,"QP(ST) + AC","Geotechnical building works: QP(Geo) + AC"))))</f>
        <v/>
      </c>
      <c r="AT186" s="38" t="str">
        <f aca="false">IF(C186="","",IF(LEN(IF(AND(R186&lt;&gt;"",IFERROR(VALUE(MID(R186,2,2)),0)&lt;SG_Criteria!$B$19),"FAIL: grade below C"&amp;SG_Criteria!$B$19&amp;". ","")&amp;IF(AND(S186&lt;&gt;"",S186&lt;SG_Criteria!$B$20),"FAIL: cover &lt; "&amp;SG_Criteria!$B$20&amp;" mm. ","")&amp;IF(AND(W186&lt;&gt;"",W186&lt;1),"FAIL: sliding. ","")&amp;IF(AND(C186="Reverse L-Wall (toe only, at boundary)",N(O186)&gt;0),"NOTE: reverse L-wall should have no heel. ","")&amp;IF(AND(C186="L-Wall (heel only)",N(N186)&gt;0),"NOTE: L-wall should have no toe. ","")&amp;IF(AND(E186&lt;&gt;"",E186&lt;SG_Criteria!$B$31),"NOTE: q below LTA min "&amp;SG_Criteria!$B$31&amp;" kPa (not for LTA works). ",""))=0,"OK",IF(AND(R186&lt;&gt;"",IFERROR(VALUE(MID(R186,2,2)),0)&lt;SG_Criteria!$B$19),"FAIL: grade below C"&amp;SG_Criteria!$B$19&amp;". ","")&amp;IF(AND(S186&lt;&gt;"",S186&lt;SG_Criteria!$B$20),"FAIL: cover &lt; "&amp;SG_Criteria!$B$20&amp;" mm. ","")&amp;IF(AND(W186&lt;&gt;"",W186&lt;1),"FAIL: sliding. ","")&amp;IF(AND(C186="Reverse L-Wall (toe only, at boundary)",N(O186)&gt;0),"NOTE: reverse L-wall should have no heel. ","")&amp;IF(AND(C186="L-Wall (heel only)",N(N186)&gt;0),"NOTE: L-wall should have no toe. ","")&amp;IF(AND(E186&lt;&gt;"",E186&lt;SG_Criteria!$B$31),"NOTE: q below LTA min "&amp;SG_Criteria!$B$31&amp;" kPa (not for LTA works). ","")))</f>
        <v/>
      </c>
      <c r="AU186" s="9"/>
      <c r="AV186" s="9"/>
      <c r="AW186" s="9"/>
      <c r="AX186" s="9"/>
      <c r="AY186" s="9"/>
      <c r="AZ186" s="31"/>
      <c r="BA186" s="10" t="str">
        <f aca="false">IF(C186="","",IF(AND(AB186="Approved",ISERROR(SEARCH("FAIL",AT186))),"Y","N"))</f>
        <v/>
      </c>
      <c r="BB186" s="10" t="str">
        <f aca="false">IF(C186="","",C186&amp;"|"&amp;D186&amp;"|"&amp;E186&amp;"|"&amp;F186&amp;"|"&amp;BA186)</f>
        <v/>
      </c>
    </row>
    <row r="187" customFormat="false" ht="15" hidden="false" customHeight="false" outlineLevel="0" collapsed="false">
      <c r="A187" s="10" t="str">
        <f aca="false">IF(C187="","","RW-"&amp;IFERROR(VLOOKUP(C187,Lists!$M$4:$N$22,2,0),"??")&amp;"-H"&amp;TEXT(D187*1000,"0000")&amp;"-S"&amp;E187&amp;IF(F187="Y","-GW","")&amp;"-"&amp;AA187)</f>
        <v/>
      </c>
      <c r="B187" s="10" t="str">
        <f aca="false">IF(C187="","",C187&amp;", H = "&amp;TEXT(D187,"0.0")&amp;" m, q = "&amp;E187&amp;" kPa"&amp;IF(F187="Y",", with GWT","")&amp;", "&amp;H187)</f>
        <v/>
      </c>
      <c r="C187" s="9"/>
      <c r="D187" s="41"/>
      <c r="E187" s="40"/>
      <c r="F187" s="9"/>
      <c r="G187" s="40"/>
      <c r="H187" s="9"/>
      <c r="I187" s="40"/>
      <c r="J187" s="43"/>
      <c r="K187" s="40"/>
      <c r="L187" s="40"/>
      <c r="M187" s="40"/>
      <c r="N187" s="40"/>
      <c r="O187" s="40"/>
      <c r="P187" s="40"/>
      <c r="Q187" s="9"/>
      <c r="R187" s="9"/>
      <c r="S187" s="40"/>
      <c r="T187" s="9"/>
      <c r="U187" s="9"/>
      <c r="V187" s="9"/>
      <c r="W187" s="41"/>
      <c r="X187" s="41"/>
      <c r="Y187" s="40"/>
      <c r="Z187" s="9"/>
      <c r="AA187" s="9"/>
      <c r="AB187" s="9"/>
      <c r="AC187" s="9"/>
      <c r="AD187" s="9"/>
      <c r="AE187" s="9"/>
      <c r="AF187" s="10" t="str">
        <f aca="false">IF(A187="","",SG_Criteria!$B$6&amp;SG_Criteria!$B$8&amp;"\"&amp;A187&amp;"\")</f>
        <v/>
      </c>
      <c r="AG187" s="10" t="str">
        <f aca="false">IF(A187="","",A187&amp;"_CAD.dwg")</f>
        <v/>
      </c>
      <c r="AH187" s="10" t="str">
        <f aca="false">IF(A187="","",A187&amp;"_DWG.pdf")</f>
        <v/>
      </c>
      <c r="AI187" s="10" t="str">
        <f aca="false">IF(A187="","",IF(AE187="Y",A187&amp;"_STAAD.std","n/a"))</f>
        <v/>
      </c>
      <c r="AJ187" s="10" t="str">
        <f aca="false">IF(A187="","",A187&amp;"_CALC.xlsx")</f>
        <v/>
      </c>
      <c r="AK187" s="10" t="str">
        <f aca="false">IF(A187="","",A187&amp;"_CALC.pdf")</f>
        <v/>
      </c>
      <c r="AL187" s="9"/>
      <c r="AM187" s="9"/>
      <c r="AN187" s="41"/>
      <c r="AO187" s="41"/>
      <c r="AP187" s="41"/>
      <c r="AQ187" s="41"/>
      <c r="AR187" s="41"/>
      <c r="AS187" s="38" t="str">
        <f aca="false">IF(OR(C187="",D187=""),"",IF(D187&lt;=IF(OR(C187="Block / Segmental",C187="Gabion",C187="Reinforced Earth (MSE)"),SG_Criteria!$B$34,SG_Criteria!$B$33),"No ERSS submission",IF(D187&lt;=SG_Criteria!$B$35,"QP(ST)",IF(D187&lt;=SG_Criteria!$B$36,"QP(ST) + AC","Geotechnical building works: QP(Geo) + AC"))))</f>
        <v/>
      </c>
      <c r="AT187" s="38" t="str">
        <f aca="false">IF(C187="","",IF(LEN(IF(AND(R187&lt;&gt;"",IFERROR(VALUE(MID(R187,2,2)),0)&lt;SG_Criteria!$B$19),"FAIL: grade below C"&amp;SG_Criteria!$B$19&amp;". ","")&amp;IF(AND(S187&lt;&gt;"",S187&lt;SG_Criteria!$B$20),"FAIL: cover &lt; "&amp;SG_Criteria!$B$20&amp;" mm. ","")&amp;IF(AND(W187&lt;&gt;"",W187&lt;1),"FAIL: sliding. ","")&amp;IF(AND(C187="Reverse L-Wall (toe only, at boundary)",N(O187)&gt;0),"NOTE: reverse L-wall should have no heel. ","")&amp;IF(AND(C187="L-Wall (heel only)",N(N187)&gt;0),"NOTE: L-wall should have no toe. ","")&amp;IF(AND(E187&lt;&gt;"",E187&lt;SG_Criteria!$B$31),"NOTE: q below LTA min "&amp;SG_Criteria!$B$31&amp;" kPa (not for LTA works). ",""))=0,"OK",IF(AND(R187&lt;&gt;"",IFERROR(VALUE(MID(R187,2,2)),0)&lt;SG_Criteria!$B$19),"FAIL: grade below C"&amp;SG_Criteria!$B$19&amp;". ","")&amp;IF(AND(S187&lt;&gt;"",S187&lt;SG_Criteria!$B$20),"FAIL: cover &lt; "&amp;SG_Criteria!$B$20&amp;" mm. ","")&amp;IF(AND(W187&lt;&gt;"",W187&lt;1),"FAIL: sliding. ","")&amp;IF(AND(C187="Reverse L-Wall (toe only, at boundary)",N(O187)&gt;0),"NOTE: reverse L-wall should have no heel. ","")&amp;IF(AND(C187="L-Wall (heel only)",N(N187)&gt;0),"NOTE: L-wall should have no toe. ","")&amp;IF(AND(E187&lt;&gt;"",E187&lt;SG_Criteria!$B$31),"NOTE: q below LTA min "&amp;SG_Criteria!$B$31&amp;" kPa (not for LTA works). ","")))</f>
        <v/>
      </c>
      <c r="AU187" s="9"/>
      <c r="AV187" s="9"/>
      <c r="AW187" s="9"/>
      <c r="AX187" s="9"/>
      <c r="AY187" s="9"/>
      <c r="AZ187" s="31"/>
      <c r="BA187" s="10" t="str">
        <f aca="false">IF(C187="","",IF(AND(AB187="Approved",ISERROR(SEARCH("FAIL",AT187))),"Y","N"))</f>
        <v/>
      </c>
      <c r="BB187" s="10" t="str">
        <f aca="false">IF(C187="","",C187&amp;"|"&amp;D187&amp;"|"&amp;E187&amp;"|"&amp;F187&amp;"|"&amp;BA187)</f>
        <v/>
      </c>
    </row>
    <row r="188" customFormat="false" ht="15" hidden="false" customHeight="false" outlineLevel="0" collapsed="false">
      <c r="A188" s="10" t="str">
        <f aca="false">IF(C188="","","RW-"&amp;IFERROR(VLOOKUP(C188,Lists!$M$4:$N$22,2,0),"??")&amp;"-H"&amp;TEXT(D188*1000,"0000")&amp;"-S"&amp;E188&amp;IF(F188="Y","-GW","")&amp;"-"&amp;AA188)</f>
        <v/>
      </c>
      <c r="B188" s="10" t="str">
        <f aca="false">IF(C188="","",C188&amp;", H = "&amp;TEXT(D188,"0.0")&amp;" m, q = "&amp;E188&amp;" kPa"&amp;IF(F188="Y",", with GWT","")&amp;", "&amp;H188)</f>
        <v/>
      </c>
      <c r="C188" s="9"/>
      <c r="D188" s="41"/>
      <c r="E188" s="40"/>
      <c r="F188" s="9"/>
      <c r="G188" s="40"/>
      <c r="H188" s="9"/>
      <c r="I188" s="40"/>
      <c r="J188" s="43"/>
      <c r="K188" s="40"/>
      <c r="L188" s="40"/>
      <c r="M188" s="40"/>
      <c r="N188" s="40"/>
      <c r="O188" s="40"/>
      <c r="P188" s="40"/>
      <c r="Q188" s="9"/>
      <c r="R188" s="9"/>
      <c r="S188" s="40"/>
      <c r="T188" s="9"/>
      <c r="U188" s="9"/>
      <c r="V188" s="9"/>
      <c r="W188" s="41"/>
      <c r="X188" s="41"/>
      <c r="Y188" s="40"/>
      <c r="Z188" s="9"/>
      <c r="AA188" s="9"/>
      <c r="AB188" s="9"/>
      <c r="AC188" s="9"/>
      <c r="AD188" s="9"/>
      <c r="AE188" s="9"/>
      <c r="AF188" s="10" t="str">
        <f aca="false">IF(A188="","",SG_Criteria!$B$6&amp;SG_Criteria!$B$8&amp;"\"&amp;A188&amp;"\")</f>
        <v/>
      </c>
      <c r="AG188" s="10" t="str">
        <f aca="false">IF(A188="","",A188&amp;"_CAD.dwg")</f>
        <v/>
      </c>
      <c r="AH188" s="10" t="str">
        <f aca="false">IF(A188="","",A188&amp;"_DWG.pdf")</f>
        <v/>
      </c>
      <c r="AI188" s="10" t="str">
        <f aca="false">IF(A188="","",IF(AE188="Y",A188&amp;"_STAAD.std","n/a"))</f>
        <v/>
      </c>
      <c r="AJ188" s="10" t="str">
        <f aca="false">IF(A188="","",A188&amp;"_CALC.xlsx")</f>
        <v/>
      </c>
      <c r="AK188" s="10" t="str">
        <f aca="false">IF(A188="","",A188&amp;"_CALC.pdf")</f>
        <v/>
      </c>
      <c r="AL188" s="9"/>
      <c r="AM188" s="9"/>
      <c r="AN188" s="41"/>
      <c r="AO188" s="41"/>
      <c r="AP188" s="41"/>
      <c r="AQ188" s="41"/>
      <c r="AR188" s="41"/>
      <c r="AS188" s="38" t="str">
        <f aca="false">IF(OR(C188="",D188=""),"",IF(D188&lt;=IF(OR(C188="Block / Segmental",C188="Gabion",C188="Reinforced Earth (MSE)"),SG_Criteria!$B$34,SG_Criteria!$B$33),"No ERSS submission",IF(D188&lt;=SG_Criteria!$B$35,"QP(ST)",IF(D188&lt;=SG_Criteria!$B$36,"QP(ST) + AC","Geotechnical building works: QP(Geo) + AC"))))</f>
        <v/>
      </c>
      <c r="AT188" s="38" t="str">
        <f aca="false">IF(C188="","",IF(LEN(IF(AND(R188&lt;&gt;"",IFERROR(VALUE(MID(R188,2,2)),0)&lt;SG_Criteria!$B$19),"FAIL: grade below C"&amp;SG_Criteria!$B$19&amp;". ","")&amp;IF(AND(S188&lt;&gt;"",S188&lt;SG_Criteria!$B$20),"FAIL: cover &lt; "&amp;SG_Criteria!$B$20&amp;" mm. ","")&amp;IF(AND(W188&lt;&gt;"",W188&lt;1),"FAIL: sliding. ","")&amp;IF(AND(C188="Reverse L-Wall (toe only, at boundary)",N(O188)&gt;0),"NOTE: reverse L-wall should have no heel. ","")&amp;IF(AND(C188="L-Wall (heel only)",N(N188)&gt;0),"NOTE: L-wall should have no toe. ","")&amp;IF(AND(E188&lt;&gt;"",E188&lt;SG_Criteria!$B$31),"NOTE: q below LTA min "&amp;SG_Criteria!$B$31&amp;" kPa (not for LTA works). ",""))=0,"OK",IF(AND(R188&lt;&gt;"",IFERROR(VALUE(MID(R188,2,2)),0)&lt;SG_Criteria!$B$19),"FAIL: grade below C"&amp;SG_Criteria!$B$19&amp;". ","")&amp;IF(AND(S188&lt;&gt;"",S188&lt;SG_Criteria!$B$20),"FAIL: cover &lt; "&amp;SG_Criteria!$B$20&amp;" mm. ","")&amp;IF(AND(W188&lt;&gt;"",W188&lt;1),"FAIL: sliding. ","")&amp;IF(AND(C188="Reverse L-Wall (toe only, at boundary)",N(O188)&gt;0),"NOTE: reverse L-wall should have no heel. ","")&amp;IF(AND(C188="L-Wall (heel only)",N(N188)&gt;0),"NOTE: L-wall should have no toe. ","")&amp;IF(AND(E188&lt;&gt;"",E188&lt;SG_Criteria!$B$31),"NOTE: q below LTA min "&amp;SG_Criteria!$B$31&amp;" kPa (not for LTA works). ","")))</f>
        <v/>
      </c>
      <c r="AU188" s="9"/>
      <c r="AV188" s="9"/>
      <c r="AW188" s="9"/>
      <c r="AX188" s="9"/>
      <c r="AY188" s="9"/>
      <c r="AZ188" s="31"/>
      <c r="BA188" s="10" t="str">
        <f aca="false">IF(C188="","",IF(AND(AB188="Approved",ISERROR(SEARCH("FAIL",AT188))),"Y","N"))</f>
        <v/>
      </c>
      <c r="BB188" s="10" t="str">
        <f aca="false">IF(C188="","",C188&amp;"|"&amp;D188&amp;"|"&amp;E188&amp;"|"&amp;F188&amp;"|"&amp;BA188)</f>
        <v/>
      </c>
    </row>
    <row r="189" customFormat="false" ht="15" hidden="false" customHeight="false" outlineLevel="0" collapsed="false">
      <c r="A189" s="10" t="str">
        <f aca="false">IF(C189="","","RW-"&amp;IFERROR(VLOOKUP(C189,Lists!$M$4:$N$22,2,0),"??")&amp;"-H"&amp;TEXT(D189*1000,"0000")&amp;"-S"&amp;E189&amp;IF(F189="Y","-GW","")&amp;"-"&amp;AA189)</f>
        <v/>
      </c>
      <c r="B189" s="10" t="str">
        <f aca="false">IF(C189="","",C189&amp;", H = "&amp;TEXT(D189,"0.0")&amp;" m, q = "&amp;E189&amp;" kPa"&amp;IF(F189="Y",", with GWT","")&amp;", "&amp;H189)</f>
        <v/>
      </c>
      <c r="C189" s="9"/>
      <c r="D189" s="41"/>
      <c r="E189" s="40"/>
      <c r="F189" s="9"/>
      <c r="G189" s="40"/>
      <c r="H189" s="9"/>
      <c r="I189" s="40"/>
      <c r="J189" s="43"/>
      <c r="K189" s="40"/>
      <c r="L189" s="40"/>
      <c r="M189" s="40"/>
      <c r="N189" s="40"/>
      <c r="O189" s="40"/>
      <c r="P189" s="40"/>
      <c r="Q189" s="9"/>
      <c r="R189" s="9"/>
      <c r="S189" s="40"/>
      <c r="T189" s="9"/>
      <c r="U189" s="9"/>
      <c r="V189" s="9"/>
      <c r="W189" s="41"/>
      <c r="X189" s="41"/>
      <c r="Y189" s="40"/>
      <c r="Z189" s="9"/>
      <c r="AA189" s="9"/>
      <c r="AB189" s="9"/>
      <c r="AC189" s="9"/>
      <c r="AD189" s="9"/>
      <c r="AE189" s="9"/>
      <c r="AF189" s="10" t="str">
        <f aca="false">IF(A189="","",SG_Criteria!$B$6&amp;SG_Criteria!$B$8&amp;"\"&amp;A189&amp;"\")</f>
        <v/>
      </c>
      <c r="AG189" s="10" t="str">
        <f aca="false">IF(A189="","",A189&amp;"_CAD.dwg")</f>
        <v/>
      </c>
      <c r="AH189" s="10" t="str">
        <f aca="false">IF(A189="","",A189&amp;"_DWG.pdf")</f>
        <v/>
      </c>
      <c r="AI189" s="10" t="str">
        <f aca="false">IF(A189="","",IF(AE189="Y",A189&amp;"_STAAD.std","n/a"))</f>
        <v/>
      </c>
      <c r="AJ189" s="10" t="str">
        <f aca="false">IF(A189="","",A189&amp;"_CALC.xlsx")</f>
        <v/>
      </c>
      <c r="AK189" s="10" t="str">
        <f aca="false">IF(A189="","",A189&amp;"_CALC.pdf")</f>
        <v/>
      </c>
      <c r="AL189" s="9"/>
      <c r="AM189" s="9"/>
      <c r="AN189" s="41"/>
      <c r="AO189" s="41"/>
      <c r="AP189" s="41"/>
      <c r="AQ189" s="41"/>
      <c r="AR189" s="41"/>
      <c r="AS189" s="38" t="str">
        <f aca="false">IF(OR(C189="",D189=""),"",IF(D189&lt;=IF(OR(C189="Block / Segmental",C189="Gabion",C189="Reinforced Earth (MSE)"),SG_Criteria!$B$34,SG_Criteria!$B$33),"No ERSS submission",IF(D189&lt;=SG_Criteria!$B$35,"QP(ST)",IF(D189&lt;=SG_Criteria!$B$36,"QP(ST) + AC","Geotechnical building works: QP(Geo) + AC"))))</f>
        <v/>
      </c>
      <c r="AT189" s="38" t="str">
        <f aca="false">IF(C189="","",IF(LEN(IF(AND(R189&lt;&gt;"",IFERROR(VALUE(MID(R189,2,2)),0)&lt;SG_Criteria!$B$19),"FAIL: grade below C"&amp;SG_Criteria!$B$19&amp;". ","")&amp;IF(AND(S189&lt;&gt;"",S189&lt;SG_Criteria!$B$20),"FAIL: cover &lt; "&amp;SG_Criteria!$B$20&amp;" mm. ","")&amp;IF(AND(W189&lt;&gt;"",W189&lt;1),"FAIL: sliding. ","")&amp;IF(AND(C189="Reverse L-Wall (toe only, at boundary)",N(O189)&gt;0),"NOTE: reverse L-wall should have no heel. ","")&amp;IF(AND(C189="L-Wall (heel only)",N(N189)&gt;0),"NOTE: L-wall should have no toe. ","")&amp;IF(AND(E189&lt;&gt;"",E189&lt;SG_Criteria!$B$31),"NOTE: q below LTA min "&amp;SG_Criteria!$B$31&amp;" kPa (not for LTA works). ",""))=0,"OK",IF(AND(R189&lt;&gt;"",IFERROR(VALUE(MID(R189,2,2)),0)&lt;SG_Criteria!$B$19),"FAIL: grade below C"&amp;SG_Criteria!$B$19&amp;". ","")&amp;IF(AND(S189&lt;&gt;"",S189&lt;SG_Criteria!$B$20),"FAIL: cover &lt; "&amp;SG_Criteria!$B$20&amp;" mm. ","")&amp;IF(AND(W189&lt;&gt;"",W189&lt;1),"FAIL: sliding. ","")&amp;IF(AND(C189="Reverse L-Wall (toe only, at boundary)",N(O189)&gt;0),"NOTE: reverse L-wall should have no heel. ","")&amp;IF(AND(C189="L-Wall (heel only)",N(N189)&gt;0),"NOTE: L-wall should have no toe. ","")&amp;IF(AND(E189&lt;&gt;"",E189&lt;SG_Criteria!$B$31),"NOTE: q below LTA min "&amp;SG_Criteria!$B$31&amp;" kPa (not for LTA works). ","")))</f>
        <v/>
      </c>
      <c r="AU189" s="9"/>
      <c r="AV189" s="9"/>
      <c r="AW189" s="9"/>
      <c r="AX189" s="9"/>
      <c r="AY189" s="9"/>
      <c r="AZ189" s="31"/>
      <c r="BA189" s="10" t="str">
        <f aca="false">IF(C189="","",IF(AND(AB189="Approved",ISERROR(SEARCH("FAIL",AT189))),"Y","N"))</f>
        <v/>
      </c>
      <c r="BB189" s="10" t="str">
        <f aca="false">IF(C189="","",C189&amp;"|"&amp;D189&amp;"|"&amp;E189&amp;"|"&amp;F189&amp;"|"&amp;BA189)</f>
        <v/>
      </c>
    </row>
    <row r="190" customFormat="false" ht="15" hidden="false" customHeight="false" outlineLevel="0" collapsed="false">
      <c r="A190" s="10" t="str">
        <f aca="false">IF(C190="","","RW-"&amp;IFERROR(VLOOKUP(C190,Lists!$M$4:$N$22,2,0),"??")&amp;"-H"&amp;TEXT(D190*1000,"0000")&amp;"-S"&amp;E190&amp;IF(F190="Y","-GW","")&amp;"-"&amp;AA190)</f>
        <v/>
      </c>
      <c r="B190" s="10" t="str">
        <f aca="false">IF(C190="","",C190&amp;", H = "&amp;TEXT(D190,"0.0")&amp;" m, q = "&amp;E190&amp;" kPa"&amp;IF(F190="Y",", with GWT","")&amp;", "&amp;H190)</f>
        <v/>
      </c>
      <c r="C190" s="9"/>
      <c r="D190" s="41"/>
      <c r="E190" s="40"/>
      <c r="F190" s="9"/>
      <c r="G190" s="40"/>
      <c r="H190" s="9"/>
      <c r="I190" s="40"/>
      <c r="J190" s="43"/>
      <c r="K190" s="40"/>
      <c r="L190" s="40"/>
      <c r="M190" s="40"/>
      <c r="N190" s="40"/>
      <c r="O190" s="40"/>
      <c r="P190" s="40"/>
      <c r="Q190" s="9"/>
      <c r="R190" s="9"/>
      <c r="S190" s="40"/>
      <c r="T190" s="9"/>
      <c r="U190" s="9"/>
      <c r="V190" s="9"/>
      <c r="W190" s="41"/>
      <c r="X190" s="41"/>
      <c r="Y190" s="40"/>
      <c r="Z190" s="9"/>
      <c r="AA190" s="9"/>
      <c r="AB190" s="9"/>
      <c r="AC190" s="9"/>
      <c r="AD190" s="9"/>
      <c r="AE190" s="9"/>
      <c r="AF190" s="10" t="str">
        <f aca="false">IF(A190="","",SG_Criteria!$B$6&amp;SG_Criteria!$B$8&amp;"\"&amp;A190&amp;"\")</f>
        <v/>
      </c>
      <c r="AG190" s="10" t="str">
        <f aca="false">IF(A190="","",A190&amp;"_CAD.dwg")</f>
        <v/>
      </c>
      <c r="AH190" s="10" t="str">
        <f aca="false">IF(A190="","",A190&amp;"_DWG.pdf")</f>
        <v/>
      </c>
      <c r="AI190" s="10" t="str">
        <f aca="false">IF(A190="","",IF(AE190="Y",A190&amp;"_STAAD.std","n/a"))</f>
        <v/>
      </c>
      <c r="AJ190" s="10" t="str">
        <f aca="false">IF(A190="","",A190&amp;"_CALC.xlsx")</f>
        <v/>
      </c>
      <c r="AK190" s="10" t="str">
        <f aca="false">IF(A190="","",A190&amp;"_CALC.pdf")</f>
        <v/>
      </c>
      <c r="AL190" s="9"/>
      <c r="AM190" s="9"/>
      <c r="AN190" s="41"/>
      <c r="AO190" s="41"/>
      <c r="AP190" s="41"/>
      <c r="AQ190" s="41"/>
      <c r="AR190" s="41"/>
      <c r="AS190" s="38" t="str">
        <f aca="false">IF(OR(C190="",D190=""),"",IF(D190&lt;=IF(OR(C190="Block / Segmental",C190="Gabion",C190="Reinforced Earth (MSE)"),SG_Criteria!$B$34,SG_Criteria!$B$33),"No ERSS submission",IF(D190&lt;=SG_Criteria!$B$35,"QP(ST)",IF(D190&lt;=SG_Criteria!$B$36,"QP(ST) + AC","Geotechnical building works: QP(Geo) + AC"))))</f>
        <v/>
      </c>
      <c r="AT190" s="38" t="str">
        <f aca="false">IF(C190="","",IF(LEN(IF(AND(R190&lt;&gt;"",IFERROR(VALUE(MID(R190,2,2)),0)&lt;SG_Criteria!$B$19),"FAIL: grade below C"&amp;SG_Criteria!$B$19&amp;". ","")&amp;IF(AND(S190&lt;&gt;"",S190&lt;SG_Criteria!$B$20),"FAIL: cover &lt; "&amp;SG_Criteria!$B$20&amp;" mm. ","")&amp;IF(AND(W190&lt;&gt;"",W190&lt;1),"FAIL: sliding. ","")&amp;IF(AND(C190="Reverse L-Wall (toe only, at boundary)",N(O190)&gt;0),"NOTE: reverse L-wall should have no heel. ","")&amp;IF(AND(C190="L-Wall (heel only)",N(N190)&gt;0),"NOTE: L-wall should have no toe. ","")&amp;IF(AND(E190&lt;&gt;"",E190&lt;SG_Criteria!$B$31),"NOTE: q below LTA min "&amp;SG_Criteria!$B$31&amp;" kPa (not for LTA works). ",""))=0,"OK",IF(AND(R190&lt;&gt;"",IFERROR(VALUE(MID(R190,2,2)),0)&lt;SG_Criteria!$B$19),"FAIL: grade below C"&amp;SG_Criteria!$B$19&amp;". ","")&amp;IF(AND(S190&lt;&gt;"",S190&lt;SG_Criteria!$B$20),"FAIL: cover &lt; "&amp;SG_Criteria!$B$20&amp;" mm. ","")&amp;IF(AND(W190&lt;&gt;"",W190&lt;1),"FAIL: sliding. ","")&amp;IF(AND(C190="Reverse L-Wall (toe only, at boundary)",N(O190)&gt;0),"NOTE: reverse L-wall should have no heel. ","")&amp;IF(AND(C190="L-Wall (heel only)",N(N190)&gt;0),"NOTE: L-wall should have no toe. ","")&amp;IF(AND(E190&lt;&gt;"",E190&lt;SG_Criteria!$B$31),"NOTE: q below LTA min "&amp;SG_Criteria!$B$31&amp;" kPa (not for LTA works). ","")))</f>
        <v/>
      </c>
      <c r="AU190" s="9"/>
      <c r="AV190" s="9"/>
      <c r="AW190" s="9"/>
      <c r="AX190" s="9"/>
      <c r="AY190" s="9"/>
      <c r="AZ190" s="31"/>
      <c r="BA190" s="10" t="str">
        <f aca="false">IF(C190="","",IF(AND(AB190="Approved",ISERROR(SEARCH("FAIL",AT190))),"Y","N"))</f>
        <v/>
      </c>
      <c r="BB190" s="10" t="str">
        <f aca="false">IF(C190="","",C190&amp;"|"&amp;D190&amp;"|"&amp;E190&amp;"|"&amp;F190&amp;"|"&amp;BA190)</f>
        <v/>
      </c>
    </row>
    <row r="191" customFormat="false" ht="15" hidden="false" customHeight="false" outlineLevel="0" collapsed="false">
      <c r="A191" s="10" t="str">
        <f aca="false">IF(C191="","","RW-"&amp;IFERROR(VLOOKUP(C191,Lists!$M$4:$N$22,2,0),"??")&amp;"-H"&amp;TEXT(D191*1000,"0000")&amp;"-S"&amp;E191&amp;IF(F191="Y","-GW","")&amp;"-"&amp;AA191)</f>
        <v/>
      </c>
      <c r="B191" s="10" t="str">
        <f aca="false">IF(C191="","",C191&amp;", H = "&amp;TEXT(D191,"0.0")&amp;" m, q = "&amp;E191&amp;" kPa"&amp;IF(F191="Y",", with GWT","")&amp;", "&amp;H191)</f>
        <v/>
      </c>
      <c r="C191" s="9"/>
      <c r="D191" s="41"/>
      <c r="E191" s="40"/>
      <c r="F191" s="9"/>
      <c r="G191" s="40"/>
      <c r="H191" s="9"/>
      <c r="I191" s="40"/>
      <c r="J191" s="43"/>
      <c r="K191" s="40"/>
      <c r="L191" s="40"/>
      <c r="M191" s="40"/>
      <c r="N191" s="40"/>
      <c r="O191" s="40"/>
      <c r="P191" s="40"/>
      <c r="Q191" s="9"/>
      <c r="R191" s="9"/>
      <c r="S191" s="40"/>
      <c r="T191" s="9"/>
      <c r="U191" s="9"/>
      <c r="V191" s="9"/>
      <c r="W191" s="41"/>
      <c r="X191" s="41"/>
      <c r="Y191" s="40"/>
      <c r="Z191" s="9"/>
      <c r="AA191" s="9"/>
      <c r="AB191" s="9"/>
      <c r="AC191" s="9"/>
      <c r="AD191" s="9"/>
      <c r="AE191" s="9"/>
      <c r="AF191" s="10" t="str">
        <f aca="false">IF(A191="","",SG_Criteria!$B$6&amp;SG_Criteria!$B$8&amp;"\"&amp;A191&amp;"\")</f>
        <v/>
      </c>
      <c r="AG191" s="10" t="str">
        <f aca="false">IF(A191="","",A191&amp;"_CAD.dwg")</f>
        <v/>
      </c>
      <c r="AH191" s="10" t="str">
        <f aca="false">IF(A191="","",A191&amp;"_DWG.pdf")</f>
        <v/>
      </c>
      <c r="AI191" s="10" t="str">
        <f aca="false">IF(A191="","",IF(AE191="Y",A191&amp;"_STAAD.std","n/a"))</f>
        <v/>
      </c>
      <c r="AJ191" s="10" t="str">
        <f aca="false">IF(A191="","",A191&amp;"_CALC.xlsx")</f>
        <v/>
      </c>
      <c r="AK191" s="10" t="str">
        <f aca="false">IF(A191="","",A191&amp;"_CALC.pdf")</f>
        <v/>
      </c>
      <c r="AL191" s="9"/>
      <c r="AM191" s="9"/>
      <c r="AN191" s="41"/>
      <c r="AO191" s="41"/>
      <c r="AP191" s="41"/>
      <c r="AQ191" s="41"/>
      <c r="AR191" s="41"/>
      <c r="AS191" s="38" t="str">
        <f aca="false">IF(OR(C191="",D191=""),"",IF(D191&lt;=IF(OR(C191="Block / Segmental",C191="Gabion",C191="Reinforced Earth (MSE)"),SG_Criteria!$B$34,SG_Criteria!$B$33),"No ERSS submission",IF(D191&lt;=SG_Criteria!$B$35,"QP(ST)",IF(D191&lt;=SG_Criteria!$B$36,"QP(ST) + AC","Geotechnical building works: QP(Geo) + AC"))))</f>
        <v/>
      </c>
      <c r="AT191" s="38" t="str">
        <f aca="false">IF(C191="","",IF(LEN(IF(AND(R191&lt;&gt;"",IFERROR(VALUE(MID(R191,2,2)),0)&lt;SG_Criteria!$B$19),"FAIL: grade below C"&amp;SG_Criteria!$B$19&amp;". ","")&amp;IF(AND(S191&lt;&gt;"",S191&lt;SG_Criteria!$B$20),"FAIL: cover &lt; "&amp;SG_Criteria!$B$20&amp;" mm. ","")&amp;IF(AND(W191&lt;&gt;"",W191&lt;1),"FAIL: sliding. ","")&amp;IF(AND(C191="Reverse L-Wall (toe only, at boundary)",N(O191)&gt;0),"NOTE: reverse L-wall should have no heel. ","")&amp;IF(AND(C191="L-Wall (heel only)",N(N191)&gt;0),"NOTE: L-wall should have no toe. ","")&amp;IF(AND(E191&lt;&gt;"",E191&lt;SG_Criteria!$B$31),"NOTE: q below LTA min "&amp;SG_Criteria!$B$31&amp;" kPa (not for LTA works). ",""))=0,"OK",IF(AND(R191&lt;&gt;"",IFERROR(VALUE(MID(R191,2,2)),0)&lt;SG_Criteria!$B$19),"FAIL: grade below C"&amp;SG_Criteria!$B$19&amp;". ","")&amp;IF(AND(S191&lt;&gt;"",S191&lt;SG_Criteria!$B$20),"FAIL: cover &lt; "&amp;SG_Criteria!$B$20&amp;" mm. ","")&amp;IF(AND(W191&lt;&gt;"",W191&lt;1),"FAIL: sliding. ","")&amp;IF(AND(C191="Reverse L-Wall (toe only, at boundary)",N(O191)&gt;0),"NOTE: reverse L-wall should have no heel. ","")&amp;IF(AND(C191="L-Wall (heel only)",N(N191)&gt;0),"NOTE: L-wall should have no toe. ","")&amp;IF(AND(E191&lt;&gt;"",E191&lt;SG_Criteria!$B$31),"NOTE: q below LTA min "&amp;SG_Criteria!$B$31&amp;" kPa (not for LTA works). ","")))</f>
        <v/>
      </c>
      <c r="AU191" s="9"/>
      <c r="AV191" s="9"/>
      <c r="AW191" s="9"/>
      <c r="AX191" s="9"/>
      <c r="AY191" s="9"/>
      <c r="AZ191" s="31"/>
      <c r="BA191" s="10" t="str">
        <f aca="false">IF(C191="","",IF(AND(AB191="Approved",ISERROR(SEARCH("FAIL",AT191))),"Y","N"))</f>
        <v/>
      </c>
      <c r="BB191" s="10" t="str">
        <f aca="false">IF(C191="","",C191&amp;"|"&amp;D191&amp;"|"&amp;E191&amp;"|"&amp;F191&amp;"|"&amp;BA191)</f>
        <v/>
      </c>
    </row>
    <row r="192" customFormat="false" ht="15" hidden="false" customHeight="false" outlineLevel="0" collapsed="false">
      <c r="A192" s="10" t="str">
        <f aca="false">IF(C192="","","RW-"&amp;IFERROR(VLOOKUP(C192,Lists!$M$4:$N$22,2,0),"??")&amp;"-H"&amp;TEXT(D192*1000,"0000")&amp;"-S"&amp;E192&amp;IF(F192="Y","-GW","")&amp;"-"&amp;AA192)</f>
        <v/>
      </c>
      <c r="B192" s="10" t="str">
        <f aca="false">IF(C192="","",C192&amp;", H = "&amp;TEXT(D192,"0.0")&amp;" m, q = "&amp;E192&amp;" kPa"&amp;IF(F192="Y",", with GWT","")&amp;", "&amp;H192)</f>
        <v/>
      </c>
      <c r="C192" s="9"/>
      <c r="D192" s="41"/>
      <c r="E192" s="40"/>
      <c r="F192" s="9"/>
      <c r="G192" s="40"/>
      <c r="H192" s="9"/>
      <c r="I192" s="40"/>
      <c r="J192" s="43"/>
      <c r="K192" s="40"/>
      <c r="L192" s="40"/>
      <c r="M192" s="40"/>
      <c r="N192" s="40"/>
      <c r="O192" s="40"/>
      <c r="P192" s="40"/>
      <c r="Q192" s="9"/>
      <c r="R192" s="9"/>
      <c r="S192" s="40"/>
      <c r="T192" s="9"/>
      <c r="U192" s="9"/>
      <c r="V192" s="9"/>
      <c r="W192" s="41"/>
      <c r="X192" s="41"/>
      <c r="Y192" s="40"/>
      <c r="Z192" s="9"/>
      <c r="AA192" s="9"/>
      <c r="AB192" s="9"/>
      <c r="AC192" s="9"/>
      <c r="AD192" s="9"/>
      <c r="AE192" s="9"/>
      <c r="AF192" s="10" t="str">
        <f aca="false">IF(A192="","",SG_Criteria!$B$6&amp;SG_Criteria!$B$8&amp;"\"&amp;A192&amp;"\")</f>
        <v/>
      </c>
      <c r="AG192" s="10" t="str">
        <f aca="false">IF(A192="","",A192&amp;"_CAD.dwg")</f>
        <v/>
      </c>
      <c r="AH192" s="10" t="str">
        <f aca="false">IF(A192="","",A192&amp;"_DWG.pdf")</f>
        <v/>
      </c>
      <c r="AI192" s="10" t="str">
        <f aca="false">IF(A192="","",IF(AE192="Y",A192&amp;"_STAAD.std","n/a"))</f>
        <v/>
      </c>
      <c r="AJ192" s="10" t="str">
        <f aca="false">IF(A192="","",A192&amp;"_CALC.xlsx")</f>
        <v/>
      </c>
      <c r="AK192" s="10" t="str">
        <f aca="false">IF(A192="","",A192&amp;"_CALC.pdf")</f>
        <v/>
      </c>
      <c r="AL192" s="9"/>
      <c r="AM192" s="9"/>
      <c r="AN192" s="41"/>
      <c r="AO192" s="41"/>
      <c r="AP192" s="41"/>
      <c r="AQ192" s="41"/>
      <c r="AR192" s="41"/>
      <c r="AS192" s="38" t="str">
        <f aca="false">IF(OR(C192="",D192=""),"",IF(D192&lt;=IF(OR(C192="Block / Segmental",C192="Gabion",C192="Reinforced Earth (MSE)"),SG_Criteria!$B$34,SG_Criteria!$B$33),"No ERSS submission",IF(D192&lt;=SG_Criteria!$B$35,"QP(ST)",IF(D192&lt;=SG_Criteria!$B$36,"QP(ST) + AC","Geotechnical building works: QP(Geo) + AC"))))</f>
        <v/>
      </c>
      <c r="AT192" s="38" t="str">
        <f aca="false">IF(C192="","",IF(LEN(IF(AND(R192&lt;&gt;"",IFERROR(VALUE(MID(R192,2,2)),0)&lt;SG_Criteria!$B$19),"FAIL: grade below C"&amp;SG_Criteria!$B$19&amp;". ","")&amp;IF(AND(S192&lt;&gt;"",S192&lt;SG_Criteria!$B$20),"FAIL: cover &lt; "&amp;SG_Criteria!$B$20&amp;" mm. ","")&amp;IF(AND(W192&lt;&gt;"",W192&lt;1),"FAIL: sliding. ","")&amp;IF(AND(C192="Reverse L-Wall (toe only, at boundary)",N(O192)&gt;0),"NOTE: reverse L-wall should have no heel. ","")&amp;IF(AND(C192="L-Wall (heel only)",N(N192)&gt;0),"NOTE: L-wall should have no toe. ","")&amp;IF(AND(E192&lt;&gt;"",E192&lt;SG_Criteria!$B$31),"NOTE: q below LTA min "&amp;SG_Criteria!$B$31&amp;" kPa (not for LTA works). ",""))=0,"OK",IF(AND(R192&lt;&gt;"",IFERROR(VALUE(MID(R192,2,2)),0)&lt;SG_Criteria!$B$19),"FAIL: grade below C"&amp;SG_Criteria!$B$19&amp;". ","")&amp;IF(AND(S192&lt;&gt;"",S192&lt;SG_Criteria!$B$20),"FAIL: cover &lt; "&amp;SG_Criteria!$B$20&amp;" mm. ","")&amp;IF(AND(W192&lt;&gt;"",W192&lt;1),"FAIL: sliding. ","")&amp;IF(AND(C192="Reverse L-Wall (toe only, at boundary)",N(O192)&gt;0),"NOTE: reverse L-wall should have no heel. ","")&amp;IF(AND(C192="L-Wall (heel only)",N(N192)&gt;0),"NOTE: L-wall should have no toe. ","")&amp;IF(AND(E192&lt;&gt;"",E192&lt;SG_Criteria!$B$31),"NOTE: q below LTA min "&amp;SG_Criteria!$B$31&amp;" kPa (not for LTA works). ","")))</f>
        <v/>
      </c>
      <c r="AU192" s="9"/>
      <c r="AV192" s="9"/>
      <c r="AW192" s="9"/>
      <c r="AX192" s="9"/>
      <c r="AY192" s="9"/>
      <c r="AZ192" s="31"/>
      <c r="BA192" s="10" t="str">
        <f aca="false">IF(C192="","",IF(AND(AB192="Approved",ISERROR(SEARCH("FAIL",AT192))),"Y","N"))</f>
        <v/>
      </c>
      <c r="BB192" s="10" t="str">
        <f aca="false">IF(C192="","",C192&amp;"|"&amp;D192&amp;"|"&amp;E192&amp;"|"&amp;F192&amp;"|"&amp;BA192)</f>
        <v/>
      </c>
    </row>
    <row r="193" customFormat="false" ht="15" hidden="false" customHeight="false" outlineLevel="0" collapsed="false">
      <c r="A193" s="10" t="str">
        <f aca="false">IF(C193="","","RW-"&amp;IFERROR(VLOOKUP(C193,Lists!$M$4:$N$22,2,0),"??")&amp;"-H"&amp;TEXT(D193*1000,"0000")&amp;"-S"&amp;E193&amp;IF(F193="Y","-GW","")&amp;"-"&amp;AA193)</f>
        <v/>
      </c>
      <c r="B193" s="10" t="str">
        <f aca="false">IF(C193="","",C193&amp;", H = "&amp;TEXT(D193,"0.0")&amp;" m, q = "&amp;E193&amp;" kPa"&amp;IF(F193="Y",", with GWT","")&amp;", "&amp;H193)</f>
        <v/>
      </c>
      <c r="C193" s="9"/>
      <c r="D193" s="41"/>
      <c r="E193" s="40"/>
      <c r="F193" s="9"/>
      <c r="G193" s="40"/>
      <c r="H193" s="9"/>
      <c r="I193" s="40"/>
      <c r="J193" s="43"/>
      <c r="K193" s="40"/>
      <c r="L193" s="40"/>
      <c r="M193" s="40"/>
      <c r="N193" s="40"/>
      <c r="O193" s="40"/>
      <c r="P193" s="40"/>
      <c r="Q193" s="9"/>
      <c r="R193" s="9"/>
      <c r="S193" s="40"/>
      <c r="T193" s="9"/>
      <c r="U193" s="9"/>
      <c r="V193" s="9"/>
      <c r="W193" s="41"/>
      <c r="X193" s="41"/>
      <c r="Y193" s="40"/>
      <c r="Z193" s="9"/>
      <c r="AA193" s="9"/>
      <c r="AB193" s="9"/>
      <c r="AC193" s="9"/>
      <c r="AD193" s="9"/>
      <c r="AE193" s="9"/>
      <c r="AF193" s="10" t="str">
        <f aca="false">IF(A193="","",SG_Criteria!$B$6&amp;SG_Criteria!$B$8&amp;"\"&amp;A193&amp;"\")</f>
        <v/>
      </c>
      <c r="AG193" s="10" t="str">
        <f aca="false">IF(A193="","",A193&amp;"_CAD.dwg")</f>
        <v/>
      </c>
      <c r="AH193" s="10" t="str">
        <f aca="false">IF(A193="","",A193&amp;"_DWG.pdf")</f>
        <v/>
      </c>
      <c r="AI193" s="10" t="str">
        <f aca="false">IF(A193="","",IF(AE193="Y",A193&amp;"_STAAD.std","n/a"))</f>
        <v/>
      </c>
      <c r="AJ193" s="10" t="str">
        <f aca="false">IF(A193="","",A193&amp;"_CALC.xlsx")</f>
        <v/>
      </c>
      <c r="AK193" s="10" t="str">
        <f aca="false">IF(A193="","",A193&amp;"_CALC.pdf")</f>
        <v/>
      </c>
      <c r="AL193" s="9"/>
      <c r="AM193" s="9"/>
      <c r="AN193" s="41"/>
      <c r="AO193" s="41"/>
      <c r="AP193" s="41"/>
      <c r="AQ193" s="41"/>
      <c r="AR193" s="41"/>
      <c r="AS193" s="38" t="str">
        <f aca="false">IF(OR(C193="",D193=""),"",IF(D193&lt;=IF(OR(C193="Block / Segmental",C193="Gabion",C193="Reinforced Earth (MSE)"),SG_Criteria!$B$34,SG_Criteria!$B$33),"No ERSS submission",IF(D193&lt;=SG_Criteria!$B$35,"QP(ST)",IF(D193&lt;=SG_Criteria!$B$36,"QP(ST) + AC","Geotechnical building works: QP(Geo) + AC"))))</f>
        <v/>
      </c>
      <c r="AT193" s="38" t="str">
        <f aca="false">IF(C193="","",IF(LEN(IF(AND(R193&lt;&gt;"",IFERROR(VALUE(MID(R193,2,2)),0)&lt;SG_Criteria!$B$19),"FAIL: grade below C"&amp;SG_Criteria!$B$19&amp;". ","")&amp;IF(AND(S193&lt;&gt;"",S193&lt;SG_Criteria!$B$20),"FAIL: cover &lt; "&amp;SG_Criteria!$B$20&amp;" mm. ","")&amp;IF(AND(W193&lt;&gt;"",W193&lt;1),"FAIL: sliding. ","")&amp;IF(AND(C193="Reverse L-Wall (toe only, at boundary)",N(O193)&gt;0),"NOTE: reverse L-wall should have no heel. ","")&amp;IF(AND(C193="L-Wall (heel only)",N(N193)&gt;0),"NOTE: L-wall should have no toe. ","")&amp;IF(AND(E193&lt;&gt;"",E193&lt;SG_Criteria!$B$31),"NOTE: q below LTA min "&amp;SG_Criteria!$B$31&amp;" kPa (not for LTA works). ",""))=0,"OK",IF(AND(R193&lt;&gt;"",IFERROR(VALUE(MID(R193,2,2)),0)&lt;SG_Criteria!$B$19),"FAIL: grade below C"&amp;SG_Criteria!$B$19&amp;". ","")&amp;IF(AND(S193&lt;&gt;"",S193&lt;SG_Criteria!$B$20),"FAIL: cover &lt; "&amp;SG_Criteria!$B$20&amp;" mm. ","")&amp;IF(AND(W193&lt;&gt;"",W193&lt;1),"FAIL: sliding. ","")&amp;IF(AND(C193="Reverse L-Wall (toe only, at boundary)",N(O193)&gt;0),"NOTE: reverse L-wall should have no heel. ","")&amp;IF(AND(C193="L-Wall (heel only)",N(N193)&gt;0),"NOTE: L-wall should have no toe. ","")&amp;IF(AND(E193&lt;&gt;"",E193&lt;SG_Criteria!$B$31),"NOTE: q below LTA min "&amp;SG_Criteria!$B$31&amp;" kPa (not for LTA works). ","")))</f>
        <v/>
      </c>
      <c r="AU193" s="9"/>
      <c r="AV193" s="9"/>
      <c r="AW193" s="9"/>
      <c r="AX193" s="9"/>
      <c r="AY193" s="9"/>
      <c r="AZ193" s="31"/>
      <c r="BA193" s="10" t="str">
        <f aca="false">IF(C193="","",IF(AND(AB193="Approved",ISERROR(SEARCH("FAIL",AT193))),"Y","N"))</f>
        <v/>
      </c>
      <c r="BB193" s="10" t="str">
        <f aca="false">IF(C193="","",C193&amp;"|"&amp;D193&amp;"|"&amp;E193&amp;"|"&amp;F193&amp;"|"&amp;BA193)</f>
        <v/>
      </c>
    </row>
    <row r="194" customFormat="false" ht="15" hidden="false" customHeight="false" outlineLevel="0" collapsed="false">
      <c r="A194" s="10" t="str">
        <f aca="false">IF(C194="","","RW-"&amp;IFERROR(VLOOKUP(C194,Lists!$M$4:$N$22,2,0),"??")&amp;"-H"&amp;TEXT(D194*1000,"0000")&amp;"-S"&amp;E194&amp;IF(F194="Y","-GW","")&amp;"-"&amp;AA194)</f>
        <v/>
      </c>
      <c r="B194" s="10" t="str">
        <f aca="false">IF(C194="","",C194&amp;", H = "&amp;TEXT(D194,"0.0")&amp;" m, q = "&amp;E194&amp;" kPa"&amp;IF(F194="Y",", with GWT","")&amp;", "&amp;H194)</f>
        <v/>
      </c>
      <c r="C194" s="9"/>
      <c r="D194" s="41"/>
      <c r="E194" s="40"/>
      <c r="F194" s="9"/>
      <c r="G194" s="40"/>
      <c r="H194" s="9"/>
      <c r="I194" s="40"/>
      <c r="J194" s="43"/>
      <c r="K194" s="40"/>
      <c r="L194" s="40"/>
      <c r="M194" s="40"/>
      <c r="N194" s="40"/>
      <c r="O194" s="40"/>
      <c r="P194" s="40"/>
      <c r="Q194" s="9"/>
      <c r="R194" s="9"/>
      <c r="S194" s="40"/>
      <c r="T194" s="9"/>
      <c r="U194" s="9"/>
      <c r="V194" s="9"/>
      <c r="W194" s="41"/>
      <c r="X194" s="41"/>
      <c r="Y194" s="40"/>
      <c r="Z194" s="9"/>
      <c r="AA194" s="9"/>
      <c r="AB194" s="9"/>
      <c r="AC194" s="9"/>
      <c r="AD194" s="9"/>
      <c r="AE194" s="9"/>
      <c r="AF194" s="10" t="str">
        <f aca="false">IF(A194="","",SG_Criteria!$B$6&amp;SG_Criteria!$B$8&amp;"\"&amp;A194&amp;"\")</f>
        <v/>
      </c>
      <c r="AG194" s="10" t="str">
        <f aca="false">IF(A194="","",A194&amp;"_CAD.dwg")</f>
        <v/>
      </c>
      <c r="AH194" s="10" t="str">
        <f aca="false">IF(A194="","",A194&amp;"_DWG.pdf")</f>
        <v/>
      </c>
      <c r="AI194" s="10" t="str">
        <f aca="false">IF(A194="","",IF(AE194="Y",A194&amp;"_STAAD.std","n/a"))</f>
        <v/>
      </c>
      <c r="AJ194" s="10" t="str">
        <f aca="false">IF(A194="","",A194&amp;"_CALC.xlsx")</f>
        <v/>
      </c>
      <c r="AK194" s="10" t="str">
        <f aca="false">IF(A194="","",A194&amp;"_CALC.pdf")</f>
        <v/>
      </c>
      <c r="AL194" s="9"/>
      <c r="AM194" s="9"/>
      <c r="AN194" s="41"/>
      <c r="AO194" s="41"/>
      <c r="AP194" s="41"/>
      <c r="AQ194" s="41"/>
      <c r="AR194" s="41"/>
      <c r="AS194" s="38" t="str">
        <f aca="false">IF(OR(C194="",D194=""),"",IF(D194&lt;=IF(OR(C194="Block / Segmental",C194="Gabion",C194="Reinforced Earth (MSE)"),SG_Criteria!$B$34,SG_Criteria!$B$33),"No ERSS submission",IF(D194&lt;=SG_Criteria!$B$35,"QP(ST)",IF(D194&lt;=SG_Criteria!$B$36,"QP(ST) + AC","Geotechnical building works: QP(Geo) + AC"))))</f>
        <v/>
      </c>
      <c r="AT194" s="38" t="str">
        <f aca="false">IF(C194="","",IF(LEN(IF(AND(R194&lt;&gt;"",IFERROR(VALUE(MID(R194,2,2)),0)&lt;SG_Criteria!$B$19),"FAIL: grade below C"&amp;SG_Criteria!$B$19&amp;". ","")&amp;IF(AND(S194&lt;&gt;"",S194&lt;SG_Criteria!$B$20),"FAIL: cover &lt; "&amp;SG_Criteria!$B$20&amp;" mm. ","")&amp;IF(AND(W194&lt;&gt;"",W194&lt;1),"FAIL: sliding. ","")&amp;IF(AND(C194="Reverse L-Wall (toe only, at boundary)",N(O194)&gt;0),"NOTE: reverse L-wall should have no heel. ","")&amp;IF(AND(C194="L-Wall (heel only)",N(N194)&gt;0),"NOTE: L-wall should have no toe. ","")&amp;IF(AND(E194&lt;&gt;"",E194&lt;SG_Criteria!$B$31),"NOTE: q below LTA min "&amp;SG_Criteria!$B$31&amp;" kPa (not for LTA works). ",""))=0,"OK",IF(AND(R194&lt;&gt;"",IFERROR(VALUE(MID(R194,2,2)),0)&lt;SG_Criteria!$B$19),"FAIL: grade below C"&amp;SG_Criteria!$B$19&amp;". ","")&amp;IF(AND(S194&lt;&gt;"",S194&lt;SG_Criteria!$B$20),"FAIL: cover &lt; "&amp;SG_Criteria!$B$20&amp;" mm. ","")&amp;IF(AND(W194&lt;&gt;"",W194&lt;1),"FAIL: sliding. ","")&amp;IF(AND(C194="Reverse L-Wall (toe only, at boundary)",N(O194)&gt;0),"NOTE: reverse L-wall should have no heel. ","")&amp;IF(AND(C194="L-Wall (heel only)",N(N194)&gt;0),"NOTE: L-wall should have no toe. ","")&amp;IF(AND(E194&lt;&gt;"",E194&lt;SG_Criteria!$B$31),"NOTE: q below LTA min "&amp;SG_Criteria!$B$31&amp;" kPa (not for LTA works). ","")))</f>
        <v/>
      </c>
      <c r="AU194" s="9"/>
      <c r="AV194" s="9"/>
      <c r="AW194" s="9"/>
      <c r="AX194" s="9"/>
      <c r="AY194" s="9"/>
      <c r="AZ194" s="31"/>
      <c r="BA194" s="10" t="str">
        <f aca="false">IF(C194="","",IF(AND(AB194="Approved",ISERROR(SEARCH("FAIL",AT194))),"Y","N"))</f>
        <v/>
      </c>
      <c r="BB194" s="10" t="str">
        <f aca="false">IF(C194="","",C194&amp;"|"&amp;D194&amp;"|"&amp;E194&amp;"|"&amp;F194&amp;"|"&amp;BA194)</f>
        <v/>
      </c>
    </row>
    <row r="195" customFormat="false" ht="15" hidden="false" customHeight="false" outlineLevel="0" collapsed="false">
      <c r="A195" s="10" t="str">
        <f aca="false">IF(C195="","","RW-"&amp;IFERROR(VLOOKUP(C195,Lists!$M$4:$N$22,2,0),"??")&amp;"-H"&amp;TEXT(D195*1000,"0000")&amp;"-S"&amp;E195&amp;IF(F195="Y","-GW","")&amp;"-"&amp;AA195)</f>
        <v/>
      </c>
      <c r="B195" s="10" t="str">
        <f aca="false">IF(C195="","",C195&amp;", H = "&amp;TEXT(D195,"0.0")&amp;" m, q = "&amp;E195&amp;" kPa"&amp;IF(F195="Y",", with GWT","")&amp;", "&amp;H195)</f>
        <v/>
      </c>
      <c r="C195" s="9"/>
      <c r="D195" s="41"/>
      <c r="E195" s="40"/>
      <c r="F195" s="9"/>
      <c r="G195" s="40"/>
      <c r="H195" s="9"/>
      <c r="I195" s="40"/>
      <c r="J195" s="43"/>
      <c r="K195" s="40"/>
      <c r="L195" s="40"/>
      <c r="M195" s="40"/>
      <c r="N195" s="40"/>
      <c r="O195" s="40"/>
      <c r="P195" s="40"/>
      <c r="Q195" s="9"/>
      <c r="R195" s="9"/>
      <c r="S195" s="40"/>
      <c r="T195" s="9"/>
      <c r="U195" s="9"/>
      <c r="V195" s="9"/>
      <c r="W195" s="41"/>
      <c r="X195" s="41"/>
      <c r="Y195" s="40"/>
      <c r="Z195" s="9"/>
      <c r="AA195" s="9"/>
      <c r="AB195" s="9"/>
      <c r="AC195" s="9"/>
      <c r="AD195" s="9"/>
      <c r="AE195" s="9"/>
      <c r="AF195" s="10" t="str">
        <f aca="false">IF(A195="","",SG_Criteria!$B$6&amp;SG_Criteria!$B$8&amp;"\"&amp;A195&amp;"\")</f>
        <v/>
      </c>
      <c r="AG195" s="10" t="str">
        <f aca="false">IF(A195="","",A195&amp;"_CAD.dwg")</f>
        <v/>
      </c>
      <c r="AH195" s="10" t="str">
        <f aca="false">IF(A195="","",A195&amp;"_DWG.pdf")</f>
        <v/>
      </c>
      <c r="AI195" s="10" t="str">
        <f aca="false">IF(A195="","",IF(AE195="Y",A195&amp;"_STAAD.std","n/a"))</f>
        <v/>
      </c>
      <c r="AJ195" s="10" t="str">
        <f aca="false">IF(A195="","",A195&amp;"_CALC.xlsx")</f>
        <v/>
      </c>
      <c r="AK195" s="10" t="str">
        <f aca="false">IF(A195="","",A195&amp;"_CALC.pdf")</f>
        <v/>
      </c>
      <c r="AL195" s="9"/>
      <c r="AM195" s="9"/>
      <c r="AN195" s="41"/>
      <c r="AO195" s="41"/>
      <c r="AP195" s="41"/>
      <c r="AQ195" s="41"/>
      <c r="AR195" s="41"/>
      <c r="AS195" s="38" t="str">
        <f aca="false">IF(OR(C195="",D195=""),"",IF(D195&lt;=IF(OR(C195="Block / Segmental",C195="Gabion",C195="Reinforced Earth (MSE)"),SG_Criteria!$B$34,SG_Criteria!$B$33),"No ERSS submission",IF(D195&lt;=SG_Criteria!$B$35,"QP(ST)",IF(D195&lt;=SG_Criteria!$B$36,"QP(ST) + AC","Geotechnical building works: QP(Geo) + AC"))))</f>
        <v/>
      </c>
      <c r="AT195" s="38" t="str">
        <f aca="false">IF(C195="","",IF(LEN(IF(AND(R195&lt;&gt;"",IFERROR(VALUE(MID(R195,2,2)),0)&lt;SG_Criteria!$B$19),"FAIL: grade below C"&amp;SG_Criteria!$B$19&amp;". ","")&amp;IF(AND(S195&lt;&gt;"",S195&lt;SG_Criteria!$B$20),"FAIL: cover &lt; "&amp;SG_Criteria!$B$20&amp;" mm. ","")&amp;IF(AND(W195&lt;&gt;"",W195&lt;1),"FAIL: sliding. ","")&amp;IF(AND(C195="Reverse L-Wall (toe only, at boundary)",N(O195)&gt;0),"NOTE: reverse L-wall should have no heel. ","")&amp;IF(AND(C195="L-Wall (heel only)",N(N195)&gt;0),"NOTE: L-wall should have no toe. ","")&amp;IF(AND(E195&lt;&gt;"",E195&lt;SG_Criteria!$B$31),"NOTE: q below LTA min "&amp;SG_Criteria!$B$31&amp;" kPa (not for LTA works). ",""))=0,"OK",IF(AND(R195&lt;&gt;"",IFERROR(VALUE(MID(R195,2,2)),0)&lt;SG_Criteria!$B$19),"FAIL: grade below C"&amp;SG_Criteria!$B$19&amp;". ","")&amp;IF(AND(S195&lt;&gt;"",S195&lt;SG_Criteria!$B$20),"FAIL: cover &lt; "&amp;SG_Criteria!$B$20&amp;" mm. ","")&amp;IF(AND(W195&lt;&gt;"",W195&lt;1),"FAIL: sliding. ","")&amp;IF(AND(C195="Reverse L-Wall (toe only, at boundary)",N(O195)&gt;0),"NOTE: reverse L-wall should have no heel. ","")&amp;IF(AND(C195="L-Wall (heel only)",N(N195)&gt;0),"NOTE: L-wall should have no toe. ","")&amp;IF(AND(E195&lt;&gt;"",E195&lt;SG_Criteria!$B$31),"NOTE: q below LTA min "&amp;SG_Criteria!$B$31&amp;" kPa (not for LTA works). ","")))</f>
        <v/>
      </c>
      <c r="AU195" s="9"/>
      <c r="AV195" s="9"/>
      <c r="AW195" s="9"/>
      <c r="AX195" s="9"/>
      <c r="AY195" s="9"/>
      <c r="AZ195" s="31"/>
      <c r="BA195" s="10" t="str">
        <f aca="false">IF(C195="","",IF(AND(AB195="Approved",ISERROR(SEARCH("FAIL",AT195))),"Y","N"))</f>
        <v/>
      </c>
      <c r="BB195" s="10" t="str">
        <f aca="false">IF(C195="","",C195&amp;"|"&amp;D195&amp;"|"&amp;E195&amp;"|"&amp;F195&amp;"|"&amp;BA195)</f>
        <v/>
      </c>
    </row>
    <row r="196" customFormat="false" ht="15" hidden="false" customHeight="false" outlineLevel="0" collapsed="false">
      <c r="A196" s="10" t="str">
        <f aca="false">IF(C196="","","RW-"&amp;IFERROR(VLOOKUP(C196,Lists!$M$4:$N$22,2,0),"??")&amp;"-H"&amp;TEXT(D196*1000,"0000")&amp;"-S"&amp;E196&amp;IF(F196="Y","-GW","")&amp;"-"&amp;AA196)</f>
        <v/>
      </c>
      <c r="B196" s="10" t="str">
        <f aca="false">IF(C196="","",C196&amp;", H = "&amp;TEXT(D196,"0.0")&amp;" m, q = "&amp;E196&amp;" kPa"&amp;IF(F196="Y",", with GWT","")&amp;", "&amp;H196)</f>
        <v/>
      </c>
      <c r="C196" s="9"/>
      <c r="D196" s="41"/>
      <c r="E196" s="40"/>
      <c r="F196" s="9"/>
      <c r="G196" s="40"/>
      <c r="H196" s="9"/>
      <c r="I196" s="40"/>
      <c r="J196" s="43"/>
      <c r="K196" s="40"/>
      <c r="L196" s="40"/>
      <c r="M196" s="40"/>
      <c r="N196" s="40"/>
      <c r="O196" s="40"/>
      <c r="P196" s="40"/>
      <c r="Q196" s="9"/>
      <c r="R196" s="9"/>
      <c r="S196" s="40"/>
      <c r="T196" s="9"/>
      <c r="U196" s="9"/>
      <c r="V196" s="9"/>
      <c r="W196" s="41"/>
      <c r="X196" s="41"/>
      <c r="Y196" s="40"/>
      <c r="Z196" s="9"/>
      <c r="AA196" s="9"/>
      <c r="AB196" s="9"/>
      <c r="AC196" s="9"/>
      <c r="AD196" s="9"/>
      <c r="AE196" s="9"/>
      <c r="AF196" s="10" t="str">
        <f aca="false">IF(A196="","",SG_Criteria!$B$6&amp;SG_Criteria!$B$8&amp;"\"&amp;A196&amp;"\")</f>
        <v/>
      </c>
      <c r="AG196" s="10" t="str">
        <f aca="false">IF(A196="","",A196&amp;"_CAD.dwg")</f>
        <v/>
      </c>
      <c r="AH196" s="10" t="str">
        <f aca="false">IF(A196="","",A196&amp;"_DWG.pdf")</f>
        <v/>
      </c>
      <c r="AI196" s="10" t="str">
        <f aca="false">IF(A196="","",IF(AE196="Y",A196&amp;"_STAAD.std","n/a"))</f>
        <v/>
      </c>
      <c r="AJ196" s="10" t="str">
        <f aca="false">IF(A196="","",A196&amp;"_CALC.xlsx")</f>
        <v/>
      </c>
      <c r="AK196" s="10" t="str">
        <f aca="false">IF(A196="","",A196&amp;"_CALC.pdf")</f>
        <v/>
      </c>
      <c r="AL196" s="9"/>
      <c r="AM196" s="9"/>
      <c r="AN196" s="41"/>
      <c r="AO196" s="41"/>
      <c r="AP196" s="41"/>
      <c r="AQ196" s="41"/>
      <c r="AR196" s="41"/>
      <c r="AS196" s="38" t="str">
        <f aca="false">IF(OR(C196="",D196=""),"",IF(D196&lt;=IF(OR(C196="Block / Segmental",C196="Gabion",C196="Reinforced Earth (MSE)"),SG_Criteria!$B$34,SG_Criteria!$B$33),"No ERSS submission",IF(D196&lt;=SG_Criteria!$B$35,"QP(ST)",IF(D196&lt;=SG_Criteria!$B$36,"QP(ST) + AC","Geotechnical building works: QP(Geo) + AC"))))</f>
        <v/>
      </c>
      <c r="AT196" s="38" t="str">
        <f aca="false">IF(C196="","",IF(LEN(IF(AND(R196&lt;&gt;"",IFERROR(VALUE(MID(R196,2,2)),0)&lt;SG_Criteria!$B$19),"FAIL: grade below C"&amp;SG_Criteria!$B$19&amp;". ","")&amp;IF(AND(S196&lt;&gt;"",S196&lt;SG_Criteria!$B$20),"FAIL: cover &lt; "&amp;SG_Criteria!$B$20&amp;" mm. ","")&amp;IF(AND(W196&lt;&gt;"",W196&lt;1),"FAIL: sliding. ","")&amp;IF(AND(C196="Reverse L-Wall (toe only, at boundary)",N(O196)&gt;0),"NOTE: reverse L-wall should have no heel. ","")&amp;IF(AND(C196="L-Wall (heel only)",N(N196)&gt;0),"NOTE: L-wall should have no toe. ","")&amp;IF(AND(E196&lt;&gt;"",E196&lt;SG_Criteria!$B$31),"NOTE: q below LTA min "&amp;SG_Criteria!$B$31&amp;" kPa (not for LTA works). ",""))=0,"OK",IF(AND(R196&lt;&gt;"",IFERROR(VALUE(MID(R196,2,2)),0)&lt;SG_Criteria!$B$19),"FAIL: grade below C"&amp;SG_Criteria!$B$19&amp;". ","")&amp;IF(AND(S196&lt;&gt;"",S196&lt;SG_Criteria!$B$20),"FAIL: cover &lt; "&amp;SG_Criteria!$B$20&amp;" mm. ","")&amp;IF(AND(W196&lt;&gt;"",W196&lt;1),"FAIL: sliding. ","")&amp;IF(AND(C196="Reverse L-Wall (toe only, at boundary)",N(O196)&gt;0),"NOTE: reverse L-wall should have no heel. ","")&amp;IF(AND(C196="L-Wall (heel only)",N(N196)&gt;0),"NOTE: L-wall should have no toe. ","")&amp;IF(AND(E196&lt;&gt;"",E196&lt;SG_Criteria!$B$31),"NOTE: q below LTA min "&amp;SG_Criteria!$B$31&amp;" kPa (not for LTA works). ","")))</f>
        <v/>
      </c>
      <c r="AU196" s="9"/>
      <c r="AV196" s="9"/>
      <c r="AW196" s="9"/>
      <c r="AX196" s="9"/>
      <c r="AY196" s="9"/>
      <c r="AZ196" s="31"/>
      <c r="BA196" s="10" t="str">
        <f aca="false">IF(C196="","",IF(AND(AB196="Approved",ISERROR(SEARCH("FAIL",AT196))),"Y","N"))</f>
        <v/>
      </c>
      <c r="BB196" s="10" t="str">
        <f aca="false">IF(C196="","",C196&amp;"|"&amp;D196&amp;"|"&amp;E196&amp;"|"&amp;F196&amp;"|"&amp;BA196)</f>
        <v/>
      </c>
    </row>
    <row r="197" customFormat="false" ht="15" hidden="false" customHeight="false" outlineLevel="0" collapsed="false">
      <c r="A197" s="10" t="str">
        <f aca="false">IF(C197="","","RW-"&amp;IFERROR(VLOOKUP(C197,Lists!$M$4:$N$22,2,0),"??")&amp;"-H"&amp;TEXT(D197*1000,"0000")&amp;"-S"&amp;E197&amp;IF(F197="Y","-GW","")&amp;"-"&amp;AA197)</f>
        <v/>
      </c>
      <c r="B197" s="10" t="str">
        <f aca="false">IF(C197="","",C197&amp;", H = "&amp;TEXT(D197,"0.0")&amp;" m, q = "&amp;E197&amp;" kPa"&amp;IF(F197="Y",", with GWT","")&amp;", "&amp;H197)</f>
        <v/>
      </c>
      <c r="C197" s="9"/>
      <c r="D197" s="41"/>
      <c r="E197" s="40"/>
      <c r="F197" s="9"/>
      <c r="G197" s="40"/>
      <c r="H197" s="9"/>
      <c r="I197" s="40"/>
      <c r="J197" s="43"/>
      <c r="K197" s="40"/>
      <c r="L197" s="40"/>
      <c r="M197" s="40"/>
      <c r="N197" s="40"/>
      <c r="O197" s="40"/>
      <c r="P197" s="40"/>
      <c r="Q197" s="9"/>
      <c r="R197" s="9"/>
      <c r="S197" s="40"/>
      <c r="T197" s="9"/>
      <c r="U197" s="9"/>
      <c r="V197" s="9"/>
      <c r="W197" s="41"/>
      <c r="X197" s="41"/>
      <c r="Y197" s="40"/>
      <c r="Z197" s="9"/>
      <c r="AA197" s="9"/>
      <c r="AB197" s="9"/>
      <c r="AC197" s="9"/>
      <c r="AD197" s="9"/>
      <c r="AE197" s="9"/>
      <c r="AF197" s="10" t="str">
        <f aca="false">IF(A197="","",SG_Criteria!$B$6&amp;SG_Criteria!$B$8&amp;"\"&amp;A197&amp;"\")</f>
        <v/>
      </c>
      <c r="AG197" s="10" t="str">
        <f aca="false">IF(A197="","",A197&amp;"_CAD.dwg")</f>
        <v/>
      </c>
      <c r="AH197" s="10" t="str">
        <f aca="false">IF(A197="","",A197&amp;"_DWG.pdf")</f>
        <v/>
      </c>
      <c r="AI197" s="10" t="str">
        <f aca="false">IF(A197="","",IF(AE197="Y",A197&amp;"_STAAD.std","n/a"))</f>
        <v/>
      </c>
      <c r="AJ197" s="10" t="str">
        <f aca="false">IF(A197="","",A197&amp;"_CALC.xlsx")</f>
        <v/>
      </c>
      <c r="AK197" s="10" t="str">
        <f aca="false">IF(A197="","",A197&amp;"_CALC.pdf")</f>
        <v/>
      </c>
      <c r="AL197" s="9"/>
      <c r="AM197" s="9"/>
      <c r="AN197" s="41"/>
      <c r="AO197" s="41"/>
      <c r="AP197" s="41"/>
      <c r="AQ197" s="41"/>
      <c r="AR197" s="41"/>
      <c r="AS197" s="38" t="str">
        <f aca="false">IF(OR(C197="",D197=""),"",IF(D197&lt;=IF(OR(C197="Block / Segmental",C197="Gabion",C197="Reinforced Earth (MSE)"),SG_Criteria!$B$34,SG_Criteria!$B$33),"No ERSS submission",IF(D197&lt;=SG_Criteria!$B$35,"QP(ST)",IF(D197&lt;=SG_Criteria!$B$36,"QP(ST) + AC","Geotechnical building works: QP(Geo) + AC"))))</f>
        <v/>
      </c>
      <c r="AT197" s="38" t="str">
        <f aca="false">IF(C197="","",IF(LEN(IF(AND(R197&lt;&gt;"",IFERROR(VALUE(MID(R197,2,2)),0)&lt;SG_Criteria!$B$19),"FAIL: grade below C"&amp;SG_Criteria!$B$19&amp;". ","")&amp;IF(AND(S197&lt;&gt;"",S197&lt;SG_Criteria!$B$20),"FAIL: cover &lt; "&amp;SG_Criteria!$B$20&amp;" mm. ","")&amp;IF(AND(W197&lt;&gt;"",W197&lt;1),"FAIL: sliding. ","")&amp;IF(AND(C197="Reverse L-Wall (toe only, at boundary)",N(O197)&gt;0),"NOTE: reverse L-wall should have no heel. ","")&amp;IF(AND(C197="L-Wall (heel only)",N(N197)&gt;0),"NOTE: L-wall should have no toe. ","")&amp;IF(AND(E197&lt;&gt;"",E197&lt;SG_Criteria!$B$31),"NOTE: q below LTA min "&amp;SG_Criteria!$B$31&amp;" kPa (not for LTA works). ",""))=0,"OK",IF(AND(R197&lt;&gt;"",IFERROR(VALUE(MID(R197,2,2)),0)&lt;SG_Criteria!$B$19),"FAIL: grade below C"&amp;SG_Criteria!$B$19&amp;". ","")&amp;IF(AND(S197&lt;&gt;"",S197&lt;SG_Criteria!$B$20),"FAIL: cover &lt; "&amp;SG_Criteria!$B$20&amp;" mm. ","")&amp;IF(AND(W197&lt;&gt;"",W197&lt;1),"FAIL: sliding. ","")&amp;IF(AND(C197="Reverse L-Wall (toe only, at boundary)",N(O197)&gt;0),"NOTE: reverse L-wall should have no heel. ","")&amp;IF(AND(C197="L-Wall (heel only)",N(N197)&gt;0),"NOTE: L-wall should have no toe. ","")&amp;IF(AND(E197&lt;&gt;"",E197&lt;SG_Criteria!$B$31),"NOTE: q below LTA min "&amp;SG_Criteria!$B$31&amp;" kPa (not for LTA works). ","")))</f>
        <v/>
      </c>
      <c r="AU197" s="9"/>
      <c r="AV197" s="9"/>
      <c r="AW197" s="9"/>
      <c r="AX197" s="9"/>
      <c r="AY197" s="9"/>
      <c r="AZ197" s="31"/>
      <c r="BA197" s="10" t="str">
        <f aca="false">IF(C197="","",IF(AND(AB197="Approved",ISERROR(SEARCH("FAIL",AT197))),"Y","N"))</f>
        <v/>
      </c>
      <c r="BB197" s="10" t="str">
        <f aca="false">IF(C197="","",C197&amp;"|"&amp;D197&amp;"|"&amp;E197&amp;"|"&amp;F197&amp;"|"&amp;BA197)</f>
        <v/>
      </c>
    </row>
    <row r="198" customFormat="false" ht="15" hidden="false" customHeight="false" outlineLevel="0" collapsed="false">
      <c r="A198" s="10" t="str">
        <f aca="false">IF(C198="","","RW-"&amp;IFERROR(VLOOKUP(C198,Lists!$M$4:$N$22,2,0),"??")&amp;"-H"&amp;TEXT(D198*1000,"0000")&amp;"-S"&amp;E198&amp;IF(F198="Y","-GW","")&amp;"-"&amp;AA198)</f>
        <v/>
      </c>
      <c r="B198" s="10" t="str">
        <f aca="false">IF(C198="","",C198&amp;", H = "&amp;TEXT(D198,"0.0")&amp;" m, q = "&amp;E198&amp;" kPa"&amp;IF(F198="Y",", with GWT","")&amp;", "&amp;H198)</f>
        <v/>
      </c>
      <c r="C198" s="9"/>
      <c r="D198" s="41"/>
      <c r="E198" s="40"/>
      <c r="F198" s="9"/>
      <c r="G198" s="40"/>
      <c r="H198" s="9"/>
      <c r="I198" s="40"/>
      <c r="J198" s="43"/>
      <c r="K198" s="40"/>
      <c r="L198" s="40"/>
      <c r="M198" s="40"/>
      <c r="N198" s="40"/>
      <c r="O198" s="40"/>
      <c r="P198" s="40"/>
      <c r="Q198" s="9"/>
      <c r="R198" s="9"/>
      <c r="S198" s="40"/>
      <c r="T198" s="9"/>
      <c r="U198" s="9"/>
      <c r="V198" s="9"/>
      <c r="W198" s="41"/>
      <c r="X198" s="41"/>
      <c r="Y198" s="40"/>
      <c r="Z198" s="9"/>
      <c r="AA198" s="9"/>
      <c r="AB198" s="9"/>
      <c r="AC198" s="9"/>
      <c r="AD198" s="9"/>
      <c r="AE198" s="9"/>
      <c r="AF198" s="10" t="str">
        <f aca="false">IF(A198="","",SG_Criteria!$B$6&amp;SG_Criteria!$B$8&amp;"\"&amp;A198&amp;"\")</f>
        <v/>
      </c>
      <c r="AG198" s="10" t="str">
        <f aca="false">IF(A198="","",A198&amp;"_CAD.dwg")</f>
        <v/>
      </c>
      <c r="AH198" s="10" t="str">
        <f aca="false">IF(A198="","",A198&amp;"_DWG.pdf")</f>
        <v/>
      </c>
      <c r="AI198" s="10" t="str">
        <f aca="false">IF(A198="","",IF(AE198="Y",A198&amp;"_STAAD.std","n/a"))</f>
        <v/>
      </c>
      <c r="AJ198" s="10" t="str">
        <f aca="false">IF(A198="","",A198&amp;"_CALC.xlsx")</f>
        <v/>
      </c>
      <c r="AK198" s="10" t="str">
        <f aca="false">IF(A198="","",A198&amp;"_CALC.pdf")</f>
        <v/>
      </c>
      <c r="AL198" s="9"/>
      <c r="AM198" s="9"/>
      <c r="AN198" s="41"/>
      <c r="AO198" s="41"/>
      <c r="AP198" s="41"/>
      <c r="AQ198" s="41"/>
      <c r="AR198" s="41"/>
      <c r="AS198" s="38" t="str">
        <f aca="false">IF(OR(C198="",D198=""),"",IF(D198&lt;=IF(OR(C198="Block / Segmental",C198="Gabion",C198="Reinforced Earth (MSE)"),SG_Criteria!$B$34,SG_Criteria!$B$33),"No ERSS submission",IF(D198&lt;=SG_Criteria!$B$35,"QP(ST)",IF(D198&lt;=SG_Criteria!$B$36,"QP(ST) + AC","Geotechnical building works: QP(Geo) + AC"))))</f>
        <v/>
      </c>
      <c r="AT198" s="38" t="str">
        <f aca="false">IF(C198="","",IF(LEN(IF(AND(R198&lt;&gt;"",IFERROR(VALUE(MID(R198,2,2)),0)&lt;SG_Criteria!$B$19),"FAIL: grade below C"&amp;SG_Criteria!$B$19&amp;". ","")&amp;IF(AND(S198&lt;&gt;"",S198&lt;SG_Criteria!$B$20),"FAIL: cover &lt; "&amp;SG_Criteria!$B$20&amp;" mm. ","")&amp;IF(AND(W198&lt;&gt;"",W198&lt;1),"FAIL: sliding. ","")&amp;IF(AND(C198="Reverse L-Wall (toe only, at boundary)",N(O198)&gt;0),"NOTE: reverse L-wall should have no heel. ","")&amp;IF(AND(C198="L-Wall (heel only)",N(N198)&gt;0),"NOTE: L-wall should have no toe. ","")&amp;IF(AND(E198&lt;&gt;"",E198&lt;SG_Criteria!$B$31),"NOTE: q below LTA min "&amp;SG_Criteria!$B$31&amp;" kPa (not for LTA works). ",""))=0,"OK",IF(AND(R198&lt;&gt;"",IFERROR(VALUE(MID(R198,2,2)),0)&lt;SG_Criteria!$B$19),"FAIL: grade below C"&amp;SG_Criteria!$B$19&amp;". ","")&amp;IF(AND(S198&lt;&gt;"",S198&lt;SG_Criteria!$B$20),"FAIL: cover &lt; "&amp;SG_Criteria!$B$20&amp;" mm. ","")&amp;IF(AND(W198&lt;&gt;"",W198&lt;1),"FAIL: sliding. ","")&amp;IF(AND(C198="Reverse L-Wall (toe only, at boundary)",N(O198)&gt;0),"NOTE: reverse L-wall should have no heel. ","")&amp;IF(AND(C198="L-Wall (heel only)",N(N198)&gt;0),"NOTE: L-wall should have no toe. ","")&amp;IF(AND(E198&lt;&gt;"",E198&lt;SG_Criteria!$B$31),"NOTE: q below LTA min "&amp;SG_Criteria!$B$31&amp;" kPa (not for LTA works). ","")))</f>
        <v/>
      </c>
      <c r="AU198" s="9"/>
      <c r="AV198" s="9"/>
      <c r="AW198" s="9"/>
      <c r="AX198" s="9"/>
      <c r="AY198" s="9"/>
      <c r="AZ198" s="31"/>
      <c r="BA198" s="10" t="str">
        <f aca="false">IF(C198="","",IF(AND(AB198="Approved",ISERROR(SEARCH("FAIL",AT198))),"Y","N"))</f>
        <v/>
      </c>
      <c r="BB198" s="10" t="str">
        <f aca="false">IF(C198="","",C198&amp;"|"&amp;D198&amp;"|"&amp;E198&amp;"|"&amp;F198&amp;"|"&amp;BA198)</f>
        <v/>
      </c>
    </row>
    <row r="199" customFormat="false" ht="15" hidden="false" customHeight="false" outlineLevel="0" collapsed="false">
      <c r="A199" s="10" t="str">
        <f aca="false">IF(C199="","","RW-"&amp;IFERROR(VLOOKUP(C199,Lists!$M$4:$N$22,2,0),"??")&amp;"-H"&amp;TEXT(D199*1000,"0000")&amp;"-S"&amp;E199&amp;IF(F199="Y","-GW","")&amp;"-"&amp;AA199)</f>
        <v/>
      </c>
      <c r="B199" s="10" t="str">
        <f aca="false">IF(C199="","",C199&amp;", H = "&amp;TEXT(D199,"0.0")&amp;" m, q = "&amp;E199&amp;" kPa"&amp;IF(F199="Y",", with GWT","")&amp;", "&amp;H199)</f>
        <v/>
      </c>
      <c r="C199" s="9"/>
      <c r="D199" s="41"/>
      <c r="E199" s="40"/>
      <c r="F199" s="9"/>
      <c r="G199" s="40"/>
      <c r="H199" s="9"/>
      <c r="I199" s="40"/>
      <c r="J199" s="43"/>
      <c r="K199" s="40"/>
      <c r="L199" s="40"/>
      <c r="M199" s="40"/>
      <c r="N199" s="40"/>
      <c r="O199" s="40"/>
      <c r="P199" s="40"/>
      <c r="Q199" s="9"/>
      <c r="R199" s="9"/>
      <c r="S199" s="40"/>
      <c r="T199" s="9"/>
      <c r="U199" s="9"/>
      <c r="V199" s="9"/>
      <c r="W199" s="41"/>
      <c r="X199" s="41"/>
      <c r="Y199" s="40"/>
      <c r="Z199" s="9"/>
      <c r="AA199" s="9"/>
      <c r="AB199" s="9"/>
      <c r="AC199" s="9"/>
      <c r="AD199" s="9"/>
      <c r="AE199" s="9"/>
      <c r="AF199" s="10" t="str">
        <f aca="false">IF(A199="","",SG_Criteria!$B$6&amp;SG_Criteria!$B$8&amp;"\"&amp;A199&amp;"\")</f>
        <v/>
      </c>
      <c r="AG199" s="10" t="str">
        <f aca="false">IF(A199="","",A199&amp;"_CAD.dwg")</f>
        <v/>
      </c>
      <c r="AH199" s="10" t="str">
        <f aca="false">IF(A199="","",A199&amp;"_DWG.pdf")</f>
        <v/>
      </c>
      <c r="AI199" s="10" t="str">
        <f aca="false">IF(A199="","",IF(AE199="Y",A199&amp;"_STAAD.std","n/a"))</f>
        <v/>
      </c>
      <c r="AJ199" s="10" t="str">
        <f aca="false">IF(A199="","",A199&amp;"_CALC.xlsx")</f>
        <v/>
      </c>
      <c r="AK199" s="10" t="str">
        <f aca="false">IF(A199="","",A199&amp;"_CALC.pdf")</f>
        <v/>
      </c>
      <c r="AL199" s="9"/>
      <c r="AM199" s="9"/>
      <c r="AN199" s="41"/>
      <c r="AO199" s="41"/>
      <c r="AP199" s="41"/>
      <c r="AQ199" s="41"/>
      <c r="AR199" s="41"/>
      <c r="AS199" s="38" t="str">
        <f aca="false">IF(OR(C199="",D199=""),"",IF(D199&lt;=IF(OR(C199="Block / Segmental",C199="Gabion",C199="Reinforced Earth (MSE)"),SG_Criteria!$B$34,SG_Criteria!$B$33),"No ERSS submission",IF(D199&lt;=SG_Criteria!$B$35,"QP(ST)",IF(D199&lt;=SG_Criteria!$B$36,"QP(ST) + AC","Geotechnical building works: QP(Geo) + AC"))))</f>
        <v/>
      </c>
      <c r="AT199" s="38" t="str">
        <f aca="false">IF(C199="","",IF(LEN(IF(AND(R199&lt;&gt;"",IFERROR(VALUE(MID(R199,2,2)),0)&lt;SG_Criteria!$B$19),"FAIL: grade below C"&amp;SG_Criteria!$B$19&amp;". ","")&amp;IF(AND(S199&lt;&gt;"",S199&lt;SG_Criteria!$B$20),"FAIL: cover &lt; "&amp;SG_Criteria!$B$20&amp;" mm. ","")&amp;IF(AND(W199&lt;&gt;"",W199&lt;1),"FAIL: sliding. ","")&amp;IF(AND(C199="Reverse L-Wall (toe only, at boundary)",N(O199)&gt;0),"NOTE: reverse L-wall should have no heel. ","")&amp;IF(AND(C199="L-Wall (heel only)",N(N199)&gt;0),"NOTE: L-wall should have no toe. ","")&amp;IF(AND(E199&lt;&gt;"",E199&lt;SG_Criteria!$B$31),"NOTE: q below LTA min "&amp;SG_Criteria!$B$31&amp;" kPa (not for LTA works). ",""))=0,"OK",IF(AND(R199&lt;&gt;"",IFERROR(VALUE(MID(R199,2,2)),0)&lt;SG_Criteria!$B$19),"FAIL: grade below C"&amp;SG_Criteria!$B$19&amp;". ","")&amp;IF(AND(S199&lt;&gt;"",S199&lt;SG_Criteria!$B$20),"FAIL: cover &lt; "&amp;SG_Criteria!$B$20&amp;" mm. ","")&amp;IF(AND(W199&lt;&gt;"",W199&lt;1),"FAIL: sliding. ","")&amp;IF(AND(C199="Reverse L-Wall (toe only, at boundary)",N(O199)&gt;0),"NOTE: reverse L-wall should have no heel. ","")&amp;IF(AND(C199="L-Wall (heel only)",N(N199)&gt;0),"NOTE: L-wall should have no toe. ","")&amp;IF(AND(E199&lt;&gt;"",E199&lt;SG_Criteria!$B$31),"NOTE: q below LTA min "&amp;SG_Criteria!$B$31&amp;" kPa (not for LTA works). ","")))</f>
        <v/>
      </c>
      <c r="AU199" s="9"/>
      <c r="AV199" s="9"/>
      <c r="AW199" s="9"/>
      <c r="AX199" s="9"/>
      <c r="AY199" s="9"/>
      <c r="AZ199" s="31"/>
      <c r="BA199" s="10" t="str">
        <f aca="false">IF(C199="","",IF(AND(AB199="Approved",ISERROR(SEARCH("FAIL",AT199))),"Y","N"))</f>
        <v/>
      </c>
      <c r="BB199" s="10" t="str">
        <f aca="false">IF(C199="","",C199&amp;"|"&amp;D199&amp;"|"&amp;E199&amp;"|"&amp;F199&amp;"|"&amp;BA199)</f>
        <v/>
      </c>
    </row>
    <row r="200" customFormat="false" ht="15" hidden="false" customHeight="false" outlineLevel="0" collapsed="false">
      <c r="A200" s="10" t="str">
        <f aca="false">IF(C200="","","RW-"&amp;IFERROR(VLOOKUP(C200,Lists!$M$4:$N$22,2,0),"??")&amp;"-H"&amp;TEXT(D200*1000,"0000")&amp;"-S"&amp;E200&amp;IF(F200="Y","-GW","")&amp;"-"&amp;AA200)</f>
        <v/>
      </c>
      <c r="B200" s="10" t="str">
        <f aca="false">IF(C200="","",C200&amp;", H = "&amp;TEXT(D200,"0.0")&amp;" m, q = "&amp;E200&amp;" kPa"&amp;IF(F200="Y",", with GWT","")&amp;", "&amp;H200)</f>
        <v/>
      </c>
      <c r="C200" s="9"/>
      <c r="D200" s="41"/>
      <c r="E200" s="40"/>
      <c r="F200" s="9"/>
      <c r="G200" s="40"/>
      <c r="H200" s="9"/>
      <c r="I200" s="40"/>
      <c r="J200" s="43"/>
      <c r="K200" s="40"/>
      <c r="L200" s="40"/>
      <c r="M200" s="40"/>
      <c r="N200" s="40"/>
      <c r="O200" s="40"/>
      <c r="P200" s="40"/>
      <c r="Q200" s="9"/>
      <c r="R200" s="9"/>
      <c r="S200" s="40"/>
      <c r="T200" s="9"/>
      <c r="U200" s="9"/>
      <c r="V200" s="9"/>
      <c r="W200" s="41"/>
      <c r="X200" s="41"/>
      <c r="Y200" s="40"/>
      <c r="Z200" s="9"/>
      <c r="AA200" s="9"/>
      <c r="AB200" s="9"/>
      <c r="AC200" s="9"/>
      <c r="AD200" s="9"/>
      <c r="AE200" s="9"/>
      <c r="AF200" s="10" t="str">
        <f aca="false">IF(A200="","",SG_Criteria!$B$6&amp;SG_Criteria!$B$8&amp;"\"&amp;A200&amp;"\")</f>
        <v/>
      </c>
      <c r="AG200" s="10" t="str">
        <f aca="false">IF(A200="","",A200&amp;"_CAD.dwg")</f>
        <v/>
      </c>
      <c r="AH200" s="10" t="str">
        <f aca="false">IF(A200="","",A200&amp;"_DWG.pdf")</f>
        <v/>
      </c>
      <c r="AI200" s="10" t="str">
        <f aca="false">IF(A200="","",IF(AE200="Y",A200&amp;"_STAAD.std","n/a"))</f>
        <v/>
      </c>
      <c r="AJ200" s="10" t="str">
        <f aca="false">IF(A200="","",A200&amp;"_CALC.xlsx")</f>
        <v/>
      </c>
      <c r="AK200" s="10" t="str">
        <f aca="false">IF(A200="","",A200&amp;"_CALC.pdf")</f>
        <v/>
      </c>
      <c r="AL200" s="9"/>
      <c r="AM200" s="9"/>
      <c r="AN200" s="41"/>
      <c r="AO200" s="41"/>
      <c r="AP200" s="41"/>
      <c r="AQ200" s="41"/>
      <c r="AR200" s="41"/>
      <c r="AS200" s="38" t="str">
        <f aca="false">IF(OR(C200="",D200=""),"",IF(D200&lt;=IF(OR(C200="Block / Segmental",C200="Gabion",C200="Reinforced Earth (MSE)"),SG_Criteria!$B$34,SG_Criteria!$B$33),"No ERSS submission",IF(D200&lt;=SG_Criteria!$B$35,"QP(ST)",IF(D200&lt;=SG_Criteria!$B$36,"QP(ST) + AC","Geotechnical building works: QP(Geo) + AC"))))</f>
        <v/>
      </c>
      <c r="AT200" s="38" t="str">
        <f aca="false">IF(C200="","",IF(LEN(IF(AND(R200&lt;&gt;"",IFERROR(VALUE(MID(R200,2,2)),0)&lt;SG_Criteria!$B$19),"FAIL: grade below C"&amp;SG_Criteria!$B$19&amp;". ","")&amp;IF(AND(S200&lt;&gt;"",S200&lt;SG_Criteria!$B$20),"FAIL: cover &lt; "&amp;SG_Criteria!$B$20&amp;" mm. ","")&amp;IF(AND(W200&lt;&gt;"",W200&lt;1),"FAIL: sliding. ","")&amp;IF(AND(C200="Reverse L-Wall (toe only, at boundary)",N(O200)&gt;0),"NOTE: reverse L-wall should have no heel. ","")&amp;IF(AND(C200="L-Wall (heel only)",N(N200)&gt;0),"NOTE: L-wall should have no toe. ","")&amp;IF(AND(E200&lt;&gt;"",E200&lt;SG_Criteria!$B$31),"NOTE: q below LTA min "&amp;SG_Criteria!$B$31&amp;" kPa (not for LTA works). ",""))=0,"OK",IF(AND(R200&lt;&gt;"",IFERROR(VALUE(MID(R200,2,2)),0)&lt;SG_Criteria!$B$19),"FAIL: grade below C"&amp;SG_Criteria!$B$19&amp;". ","")&amp;IF(AND(S200&lt;&gt;"",S200&lt;SG_Criteria!$B$20),"FAIL: cover &lt; "&amp;SG_Criteria!$B$20&amp;" mm. ","")&amp;IF(AND(W200&lt;&gt;"",W200&lt;1),"FAIL: sliding. ","")&amp;IF(AND(C200="Reverse L-Wall (toe only, at boundary)",N(O200)&gt;0),"NOTE: reverse L-wall should have no heel. ","")&amp;IF(AND(C200="L-Wall (heel only)",N(N200)&gt;0),"NOTE: L-wall should have no toe. ","")&amp;IF(AND(E200&lt;&gt;"",E200&lt;SG_Criteria!$B$31),"NOTE: q below LTA min "&amp;SG_Criteria!$B$31&amp;" kPa (not for LTA works). ","")))</f>
        <v/>
      </c>
      <c r="AU200" s="9"/>
      <c r="AV200" s="9"/>
      <c r="AW200" s="9"/>
      <c r="AX200" s="9"/>
      <c r="AY200" s="9"/>
      <c r="AZ200" s="31"/>
      <c r="BA200" s="10" t="str">
        <f aca="false">IF(C200="","",IF(AND(AB200="Approved",ISERROR(SEARCH("FAIL",AT200))),"Y","N"))</f>
        <v/>
      </c>
      <c r="BB200" s="10" t="str">
        <f aca="false">IF(C200="","",C200&amp;"|"&amp;D200&amp;"|"&amp;E200&amp;"|"&amp;F200&amp;"|"&amp;BA200)</f>
        <v/>
      </c>
    </row>
    <row r="201" customFormat="false" ht="15" hidden="false" customHeight="false" outlineLevel="0" collapsed="false">
      <c r="A201" s="10" t="str">
        <f aca="false">IF(C201="","","RW-"&amp;IFERROR(VLOOKUP(C201,Lists!$M$4:$N$22,2,0),"??")&amp;"-H"&amp;TEXT(D201*1000,"0000")&amp;"-S"&amp;E201&amp;IF(F201="Y","-GW","")&amp;"-"&amp;AA201)</f>
        <v/>
      </c>
      <c r="B201" s="10" t="str">
        <f aca="false">IF(C201="","",C201&amp;", H = "&amp;TEXT(D201,"0.0")&amp;" m, q = "&amp;E201&amp;" kPa"&amp;IF(F201="Y",", with GWT","")&amp;", "&amp;H201)</f>
        <v/>
      </c>
      <c r="C201" s="9"/>
      <c r="D201" s="41"/>
      <c r="E201" s="40"/>
      <c r="F201" s="9"/>
      <c r="G201" s="40"/>
      <c r="H201" s="9"/>
      <c r="I201" s="40"/>
      <c r="J201" s="43"/>
      <c r="K201" s="40"/>
      <c r="L201" s="40"/>
      <c r="M201" s="40"/>
      <c r="N201" s="40"/>
      <c r="O201" s="40"/>
      <c r="P201" s="40"/>
      <c r="Q201" s="9"/>
      <c r="R201" s="9"/>
      <c r="S201" s="40"/>
      <c r="T201" s="9"/>
      <c r="U201" s="9"/>
      <c r="V201" s="9"/>
      <c r="W201" s="41"/>
      <c r="X201" s="41"/>
      <c r="Y201" s="40"/>
      <c r="Z201" s="9"/>
      <c r="AA201" s="9"/>
      <c r="AB201" s="9"/>
      <c r="AC201" s="9"/>
      <c r="AD201" s="9"/>
      <c r="AE201" s="9"/>
      <c r="AF201" s="10" t="str">
        <f aca="false">IF(A201="","",SG_Criteria!$B$6&amp;SG_Criteria!$B$8&amp;"\"&amp;A201&amp;"\")</f>
        <v/>
      </c>
      <c r="AG201" s="10" t="str">
        <f aca="false">IF(A201="","",A201&amp;"_CAD.dwg")</f>
        <v/>
      </c>
      <c r="AH201" s="10" t="str">
        <f aca="false">IF(A201="","",A201&amp;"_DWG.pdf")</f>
        <v/>
      </c>
      <c r="AI201" s="10" t="str">
        <f aca="false">IF(A201="","",IF(AE201="Y",A201&amp;"_STAAD.std","n/a"))</f>
        <v/>
      </c>
      <c r="AJ201" s="10" t="str">
        <f aca="false">IF(A201="","",A201&amp;"_CALC.xlsx")</f>
        <v/>
      </c>
      <c r="AK201" s="10" t="str">
        <f aca="false">IF(A201="","",A201&amp;"_CALC.pdf")</f>
        <v/>
      </c>
      <c r="AL201" s="9"/>
      <c r="AM201" s="9"/>
      <c r="AN201" s="41"/>
      <c r="AO201" s="41"/>
      <c r="AP201" s="41"/>
      <c r="AQ201" s="41"/>
      <c r="AR201" s="41"/>
      <c r="AS201" s="38" t="str">
        <f aca="false">IF(OR(C201="",D201=""),"",IF(D201&lt;=IF(OR(C201="Block / Segmental",C201="Gabion",C201="Reinforced Earth (MSE)"),SG_Criteria!$B$34,SG_Criteria!$B$33),"No ERSS submission",IF(D201&lt;=SG_Criteria!$B$35,"QP(ST)",IF(D201&lt;=SG_Criteria!$B$36,"QP(ST) + AC","Geotechnical building works: QP(Geo) + AC"))))</f>
        <v/>
      </c>
      <c r="AT201" s="38" t="str">
        <f aca="false">IF(C201="","",IF(LEN(IF(AND(R201&lt;&gt;"",IFERROR(VALUE(MID(R201,2,2)),0)&lt;SG_Criteria!$B$19),"FAIL: grade below C"&amp;SG_Criteria!$B$19&amp;". ","")&amp;IF(AND(S201&lt;&gt;"",S201&lt;SG_Criteria!$B$20),"FAIL: cover &lt; "&amp;SG_Criteria!$B$20&amp;" mm. ","")&amp;IF(AND(W201&lt;&gt;"",W201&lt;1),"FAIL: sliding. ","")&amp;IF(AND(C201="Reverse L-Wall (toe only, at boundary)",N(O201)&gt;0),"NOTE: reverse L-wall should have no heel. ","")&amp;IF(AND(C201="L-Wall (heel only)",N(N201)&gt;0),"NOTE: L-wall should have no toe. ","")&amp;IF(AND(E201&lt;&gt;"",E201&lt;SG_Criteria!$B$31),"NOTE: q below LTA min "&amp;SG_Criteria!$B$31&amp;" kPa (not for LTA works). ",""))=0,"OK",IF(AND(R201&lt;&gt;"",IFERROR(VALUE(MID(R201,2,2)),0)&lt;SG_Criteria!$B$19),"FAIL: grade below C"&amp;SG_Criteria!$B$19&amp;". ","")&amp;IF(AND(S201&lt;&gt;"",S201&lt;SG_Criteria!$B$20),"FAIL: cover &lt; "&amp;SG_Criteria!$B$20&amp;" mm. ","")&amp;IF(AND(W201&lt;&gt;"",W201&lt;1),"FAIL: sliding. ","")&amp;IF(AND(C201="Reverse L-Wall (toe only, at boundary)",N(O201)&gt;0),"NOTE: reverse L-wall should have no heel. ","")&amp;IF(AND(C201="L-Wall (heel only)",N(N201)&gt;0),"NOTE: L-wall should have no toe. ","")&amp;IF(AND(E201&lt;&gt;"",E201&lt;SG_Criteria!$B$31),"NOTE: q below LTA min "&amp;SG_Criteria!$B$31&amp;" kPa (not for LTA works). ","")))</f>
        <v/>
      </c>
      <c r="AU201" s="9"/>
      <c r="AV201" s="9"/>
      <c r="AW201" s="9"/>
      <c r="AX201" s="9"/>
      <c r="AY201" s="9"/>
      <c r="AZ201" s="31"/>
      <c r="BA201" s="10" t="str">
        <f aca="false">IF(C201="","",IF(AND(AB201="Approved",ISERROR(SEARCH("FAIL",AT201))),"Y","N"))</f>
        <v/>
      </c>
      <c r="BB201" s="10" t="str">
        <f aca="false">IF(C201="","",C201&amp;"|"&amp;D201&amp;"|"&amp;E201&amp;"|"&amp;F201&amp;"|"&amp;BA201)</f>
        <v/>
      </c>
    </row>
    <row r="202" customFormat="false" ht="15" hidden="false" customHeight="false" outlineLevel="0" collapsed="false">
      <c r="A202" s="10" t="str">
        <f aca="false">IF(C202="","","RW-"&amp;IFERROR(VLOOKUP(C202,Lists!$M$4:$N$22,2,0),"??")&amp;"-H"&amp;TEXT(D202*1000,"0000")&amp;"-S"&amp;E202&amp;IF(F202="Y","-GW","")&amp;"-"&amp;AA202)</f>
        <v/>
      </c>
      <c r="B202" s="10" t="str">
        <f aca="false">IF(C202="","",C202&amp;", H = "&amp;TEXT(D202,"0.0")&amp;" m, q = "&amp;E202&amp;" kPa"&amp;IF(F202="Y",", with GWT","")&amp;", "&amp;H202)</f>
        <v/>
      </c>
      <c r="C202" s="9"/>
      <c r="D202" s="41"/>
      <c r="E202" s="40"/>
      <c r="F202" s="9"/>
      <c r="G202" s="40"/>
      <c r="H202" s="9"/>
      <c r="I202" s="40"/>
      <c r="J202" s="43"/>
      <c r="K202" s="40"/>
      <c r="L202" s="40"/>
      <c r="M202" s="40"/>
      <c r="N202" s="40"/>
      <c r="O202" s="40"/>
      <c r="P202" s="40"/>
      <c r="Q202" s="9"/>
      <c r="R202" s="9"/>
      <c r="S202" s="40"/>
      <c r="T202" s="9"/>
      <c r="U202" s="9"/>
      <c r="V202" s="9"/>
      <c r="W202" s="41"/>
      <c r="X202" s="41"/>
      <c r="Y202" s="40"/>
      <c r="Z202" s="9"/>
      <c r="AA202" s="9"/>
      <c r="AB202" s="9"/>
      <c r="AC202" s="9"/>
      <c r="AD202" s="9"/>
      <c r="AE202" s="9"/>
      <c r="AF202" s="10" t="str">
        <f aca="false">IF(A202="","",SG_Criteria!$B$6&amp;SG_Criteria!$B$8&amp;"\"&amp;A202&amp;"\")</f>
        <v/>
      </c>
      <c r="AG202" s="10" t="str">
        <f aca="false">IF(A202="","",A202&amp;"_CAD.dwg")</f>
        <v/>
      </c>
      <c r="AH202" s="10" t="str">
        <f aca="false">IF(A202="","",A202&amp;"_DWG.pdf")</f>
        <v/>
      </c>
      <c r="AI202" s="10" t="str">
        <f aca="false">IF(A202="","",IF(AE202="Y",A202&amp;"_STAAD.std","n/a"))</f>
        <v/>
      </c>
      <c r="AJ202" s="10" t="str">
        <f aca="false">IF(A202="","",A202&amp;"_CALC.xlsx")</f>
        <v/>
      </c>
      <c r="AK202" s="10" t="str">
        <f aca="false">IF(A202="","",A202&amp;"_CALC.pdf")</f>
        <v/>
      </c>
      <c r="AL202" s="9"/>
      <c r="AM202" s="9"/>
      <c r="AN202" s="41"/>
      <c r="AO202" s="41"/>
      <c r="AP202" s="41"/>
      <c r="AQ202" s="41"/>
      <c r="AR202" s="41"/>
      <c r="AS202" s="38" t="str">
        <f aca="false">IF(OR(C202="",D202=""),"",IF(D202&lt;=IF(OR(C202="Block / Segmental",C202="Gabion",C202="Reinforced Earth (MSE)"),SG_Criteria!$B$34,SG_Criteria!$B$33),"No ERSS submission",IF(D202&lt;=SG_Criteria!$B$35,"QP(ST)",IF(D202&lt;=SG_Criteria!$B$36,"QP(ST) + AC","Geotechnical building works: QP(Geo) + AC"))))</f>
        <v/>
      </c>
      <c r="AT202" s="38" t="str">
        <f aca="false">IF(C202="","",IF(LEN(IF(AND(R202&lt;&gt;"",IFERROR(VALUE(MID(R202,2,2)),0)&lt;SG_Criteria!$B$19),"FAIL: grade below C"&amp;SG_Criteria!$B$19&amp;". ","")&amp;IF(AND(S202&lt;&gt;"",S202&lt;SG_Criteria!$B$20),"FAIL: cover &lt; "&amp;SG_Criteria!$B$20&amp;" mm. ","")&amp;IF(AND(W202&lt;&gt;"",W202&lt;1),"FAIL: sliding. ","")&amp;IF(AND(C202="Reverse L-Wall (toe only, at boundary)",N(O202)&gt;0),"NOTE: reverse L-wall should have no heel. ","")&amp;IF(AND(C202="L-Wall (heel only)",N(N202)&gt;0),"NOTE: L-wall should have no toe. ","")&amp;IF(AND(E202&lt;&gt;"",E202&lt;SG_Criteria!$B$31),"NOTE: q below LTA min "&amp;SG_Criteria!$B$31&amp;" kPa (not for LTA works). ",""))=0,"OK",IF(AND(R202&lt;&gt;"",IFERROR(VALUE(MID(R202,2,2)),0)&lt;SG_Criteria!$B$19),"FAIL: grade below C"&amp;SG_Criteria!$B$19&amp;". ","")&amp;IF(AND(S202&lt;&gt;"",S202&lt;SG_Criteria!$B$20),"FAIL: cover &lt; "&amp;SG_Criteria!$B$20&amp;" mm. ","")&amp;IF(AND(W202&lt;&gt;"",W202&lt;1),"FAIL: sliding. ","")&amp;IF(AND(C202="Reverse L-Wall (toe only, at boundary)",N(O202)&gt;0),"NOTE: reverse L-wall should have no heel. ","")&amp;IF(AND(C202="L-Wall (heel only)",N(N202)&gt;0),"NOTE: L-wall should have no toe. ","")&amp;IF(AND(E202&lt;&gt;"",E202&lt;SG_Criteria!$B$31),"NOTE: q below LTA min "&amp;SG_Criteria!$B$31&amp;" kPa (not for LTA works). ","")))</f>
        <v/>
      </c>
      <c r="AU202" s="9"/>
      <c r="AV202" s="9"/>
      <c r="AW202" s="9"/>
      <c r="AX202" s="9"/>
      <c r="AY202" s="9"/>
      <c r="AZ202" s="31"/>
      <c r="BA202" s="10" t="str">
        <f aca="false">IF(C202="","",IF(AND(AB202="Approved",ISERROR(SEARCH("FAIL",AT202))),"Y","N"))</f>
        <v/>
      </c>
      <c r="BB202" s="10" t="str">
        <f aca="false">IF(C202="","",C202&amp;"|"&amp;D202&amp;"|"&amp;E202&amp;"|"&amp;F202&amp;"|"&amp;BA202)</f>
        <v/>
      </c>
    </row>
    <row r="203" customFormat="false" ht="15" hidden="false" customHeight="false" outlineLevel="0" collapsed="false">
      <c r="A203" s="10" t="str">
        <f aca="false">IF(C203="","","RW-"&amp;IFERROR(VLOOKUP(C203,Lists!$M$4:$N$22,2,0),"??")&amp;"-H"&amp;TEXT(D203*1000,"0000")&amp;"-S"&amp;E203&amp;IF(F203="Y","-GW","")&amp;"-"&amp;AA203)</f>
        <v/>
      </c>
      <c r="B203" s="10" t="str">
        <f aca="false">IF(C203="","",C203&amp;", H = "&amp;TEXT(D203,"0.0")&amp;" m, q = "&amp;E203&amp;" kPa"&amp;IF(F203="Y",", with GWT","")&amp;", "&amp;H203)</f>
        <v/>
      </c>
      <c r="C203" s="9"/>
      <c r="D203" s="41"/>
      <c r="E203" s="40"/>
      <c r="F203" s="9"/>
      <c r="G203" s="40"/>
      <c r="H203" s="9"/>
      <c r="I203" s="40"/>
      <c r="J203" s="43"/>
      <c r="K203" s="40"/>
      <c r="L203" s="40"/>
      <c r="M203" s="40"/>
      <c r="N203" s="40"/>
      <c r="O203" s="40"/>
      <c r="P203" s="40"/>
      <c r="Q203" s="9"/>
      <c r="R203" s="9"/>
      <c r="S203" s="40"/>
      <c r="T203" s="9"/>
      <c r="U203" s="9"/>
      <c r="V203" s="9"/>
      <c r="W203" s="41"/>
      <c r="X203" s="41"/>
      <c r="Y203" s="40"/>
      <c r="Z203" s="9"/>
      <c r="AA203" s="9"/>
      <c r="AB203" s="9"/>
      <c r="AC203" s="9"/>
      <c r="AD203" s="9"/>
      <c r="AE203" s="9"/>
      <c r="AF203" s="10" t="str">
        <f aca="false">IF(A203="","",SG_Criteria!$B$6&amp;SG_Criteria!$B$8&amp;"\"&amp;A203&amp;"\")</f>
        <v/>
      </c>
      <c r="AG203" s="10" t="str">
        <f aca="false">IF(A203="","",A203&amp;"_CAD.dwg")</f>
        <v/>
      </c>
      <c r="AH203" s="10" t="str">
        <f aca="false">IF(A203="","",A203&amp;"_DWG.pdf")</f>
        <v/>
      </c>
      <c r="AI203" s="10" t="str">
        <f aca="false">IF(A203="","",IF(AE203="Y",A203&amp;"_STAAD.std","n/a"))</f>
        <v/>
      </c>
      <c r="AJ203" s="10" t="str">
        <f aca="false">IF(A203="","",A203&amp;"_CALC.xlsx")</f>
        <v/>
      </c>
      <c r="AK203" s="10" t="str">
        <f aca="false">IF(A203="","",A203&amp;"_CALC.pdf")</f>
        <v/>
      </c>
      <c r="AL203" s="9"/>
      <c r="AM203" s="9"/>
      <c r="AN203" s="41"/>
      <c r="AO203" s="41"/>
      <c r="AP203" s="41"/>
      <c r="AQ203" s="41"/>
      <c r="AR203" s="41"/>
      <c r="AS203" s="38" t="str">
        <f aca="false">IF(OR(C203="",D203=""),"",IF(D203&lt;=IF(OR(C203="Block / Segmental",C203="Gabion",C203="Reinforced Earth (MSE)"),SG_Criteria!$B$34,SG_Criteria!$B$33),"No ERSS submission",IF(D203&lt;=SG_Criteria!$B$35,"QP(ST)",IF(D203&lt;=SG_Criteria!$B$36,"QP(ST) + AC","Geotechnical building works: QP(Geo) + AC"))))</f>
        <v/>
      </c>
      <c r="AT203" s="38" t="str">
        <f aca="false">IF(C203="","",IF(LEN(IF(AND(R203&lt;&gt;"",IFERROR(VALUE(MID(R203,2,2)),0)&lt;SG_Criteria!$B$19),"FAIL: grade below C"&amp;SG_Criteria!$B$19&amp;". ","")&amp;IF(AND(S203&lt;&gt;"",S203&lt;SG_Criteria!$B$20),"FAIL: cover &lt; "&amp;SG_Criteria!$B$20&amp;" mm. ","")&amp;IF(AND(W203&lt;&gt;"",W203&lt;1),"FAIL: sliding. ","")&amp;IF(AND(C203="Reverse L-Wall (toe only, at boundary)",N(O203)&gt;0),"NOTE: reverse L-wall should have no heel. ","")&amp;IF(AND(C203="L-Wall (heel only)",N(N203)&gt;0),"NOTE: L-wall should have no toe. ","")&amp;IF(AND(E203&lt;&gt;"",E203&lt;SG_Criteria!$B$31),"NOTE: q below LTA min "&amp;SG_Criteria!$B$31&amp;" kPa (not for LTA works). ",""))=0,"OK",IF(AND(R203&lt;&gt;"",IFERROR(VALUE(MID(R203,2,2)),0)&lt;SG_Criteria!$B$19),"FAIL: grade below C"&amp;SG_Criteria!$B$19&amp;". ","")&amp;IF(AND(S203&lt;&gt;"",S203&lt;SG_Criteria!$B$20),"FAIL: cover &lt; "&amp;SG_Criteria!$B$20&amp;" mm. ","")&amp;IF(AND(W203&lt;&gt;"",W203&lt;1),"FAIL: sliding. ","")&amp;IF(AND(C203="Reverse L-Wall (toe only, at boundary)",N(O203)&gt;0),"NOTE: reverse L-wall should have no heel. ","")&amp;IF(AND(C203="L-Wall (heel only)",N(N203)&gt;0),"NOTE: L-wall should have no toe. ","")&amp;IF(AND(E203&lt;&gt;"",E203&lt;SG_Criteria!$B$31),"NOTE: q below LTA min "&amp;SG_Criteria!$B$31&amp;" kPa (not for LTA works). ","")))</f>
        <v/>
      </c>
      <c r="AU203" s="9"/>
      <c r="AV203" s="9"/>
      <c r="AW203" s="9"/>
      <c r="AX203" s="9"/>
      <c r="AY203" s="9"/>
      <c r="AZ203" s="31"/>
      <c r="BA203" s="10" t="str">
        <f aca="false">IF(C203="","",IF(AND(AB203="Approved",ISERROR(SEARCH("FAIL",AT203))),"Y","N"))</f>
        <v/>
      </c>
      <c r="BB203" s="10" t="str">
        <f aca="false">IF(C203="","",C203&amp;"|"&amp;D203&amp;"|"&amp;E203&amp;"|"&amp;F203&amp;"|"&amp;BA203)</f>
        <v/>
      </c>
    </row>
    <row r="204" customFormat="false" ht="15" hidden="false" customHeight="false" outlineLevel="0" collapsed="false">
      <c r="A204" s="10" t="str">
        <f aca="false">IF(C204="","","RW-"&amp;IFERROR(VLOOKUP(C204,Lists!$M$4:$N$22,2,0),"??")&amp;"-H"&amp;TEXT(D204*1000,"0000")&amp;"-S"&amp;E204&amp;IF(F204="Y","-GW","")&amp;"-"&amp;AA204)</f>
        <v/>
      </c>
      <c r="B204" s="10" t="str">
        <f aca="false">IF(C204="","",C204&amp;", H = "&amp;TEXT(D204,"0.0")&amp;" m, q = "&amp;E204&amp;" kPa"&amp;IF(F204="Y",", with GWT","")&amp;", "&amp;H204)</f>
        <v/>
      </c>
      <c r="C204" s="9"/>
      <c r="D204" s="41"/>
      <c r="E204" s="40"/>
      <c r="F204" s="9"/>
      <c r="G204" s="40"/>
      <c r="H204" s="9"/>
      <c r="I204" s="40"/>
      <c r="J204" s="43"/>
      <c r="K204" s="40"/>
      <c r="L204" s="40"/>
      <c r="M204" s="40"/>
      <c r="N204" s="40"/>
      <c r="O204" s="40"/>
      <c r="P204" s="40"/>
      <c r="Q204" s="9"/>
      <c r="R204" s="9"/>
      <c r="S204" s="40"/>
      <c r="T204" s="9"/>
      <c r="U204" s="9"/>
      <c r="V204" s="9"/>
      <c r="W204" s="41"/>
      <c r="X204" s="41"/>
      <c r="Y204" s="40"/>
      <c r="Z204" s="9"/>
      <c r="AA204" s="9"/>
      <c r="AB204" s="9"/>
      <c r="AC204" s="9"/>
      <c r="AD204" s="9"/>
      <c r="AE204" s="9"/>
      <c r="AF204" s="10" t="str">
        <f aca="false">IF(A204="","",SG_Criteria!$B$6&amp;SG_Criteria!$B$8&amp;"\"&amp;A204&amp;"\")</f>
        <v/>
      </c>
      <c r="AG204" s="10" t="str">
        <f aca="false">IF(A204="","",A204&amp;"_CAD.dwg")</f>
        <v/>
      </c>
      <c r="AH204" s="10" t="str">
        <f aca="false">IF(A204="","",A204&amp;"_DWG.pdf")</f>
        <v/>
      </c>
      <c r="AI204" s="10" t="str">
        <f aca="false">IF(A204="","",IF(AE204="Y",A204&amp;"_STAAD.std","n/a"))</f>
        <v/>
      </c>
      <c r="AJ204" s="10" t="str">
        <f aca="false">IF(A204="","",A204&amp;"_CALC.xlsx")</f>
        <v/>
      </c>
      <c r="AK204" s="10" t="str">
        <f aca="false">IF(A204="","",A204&amp;"_CALC.pdf")</f>
        <v/>
      </c>
      <c r="AL204" s="9"/>
      <c r="AM204" s="9"/>
      <c r="AN204" s="41"/>
      <c r="AO204" s="41"/>
      <c r="AP204" s="41"/>
      <c r="AQ204" s="41"/>
      <c r="AR204" s="41"/>
      <c r="AS204" s="38" t="str">
        <f aca="false">IF(OR(C204="",D204=""),"",IF(D204&lt;=IF(OR(C204="Block / Segmental",C204="Gabion",C204="Reinforced Earth (MSE)"),SG_Criteria!$B$34,SG_Criteria!$B$33),"No ERSS submission",IF(D204&lt;=SG_Criteria!$B$35,"QP(ST)",IF(D204&lt;=SG_Criteria!$B$36,"QP(ST) + AC","Geotechnical building works: QP(Geo) + AC"))))</f>
        <v/>
      </c>
      <c r="AT204" s="38" t="str">
        <f aca="false">IF(C204="","",IF(LEN(IF(AND(R204&lt;&gt;"",IFERROR(VALUE(MID(R204,2,2)),0)&lt;SG_Criteria!$B$19),"FAIL: grade below C"&amp;SG_Criteria!$B$19&amp;". ","")&amp;IF(AND(S204&lt;&gt;"",S204&lt;SG_Criteria!$B$20),"FAIL: cover &lt; "&amp;SG_Criteria!$B$20&amp;" mm. ","")&amp;IF(AND(W204&lt;&gt;"",W204&lt;1),"FAIL: sliding. ","")&amp;IF(AND(C204="Reverse L-Wall (toe only, at boundary)",N(O204)&gt;0),"NOTE: reverse L-wall should have no heel. ","")&amp;IF(AND(C204="L-Wall (heel only)",N(N204)&gt;0),"NOTE: L-wall should have no toe. ","")&amp;IF(AND(E204&lt;&gt;"",E204&lt;SG_Criteria!$B$31),"NOTE: q below LTA min "&amp;SG_Criteria!$B$31&amp;" kPa (not for LTA works). ",""))=0,"OK",IF(AND(R204&lt;&gt;"",IFERROR(VALUE(MID(R204,2,2)),0)&lt;SG_Criteria!$B$19),"FAIL: grade below C"&amp;SG_Criteria!$B$19&amp;". ","")&amp;IF(AND(S204&lt;&gt;"",S204&lt;SG_Criteria!$B$20),"FAIL: cover &lt; "&amp;SG_Criteria!$B$20&amp;" mm. ","")&amp;IF(AND(W204&lt;&gt;"",W204&lt;1),"FAIL: sliding. ","")&amp;IF(AND(C204="Reverse L-Wall (toe only, at boundary)",N(O204)&gt;0),"NOTE: reverse L-wall should have no heel. ","")&amp;IF(AND(C204="L-Wall (heel only)",N(N204)&gt;0),"NOTE: L-wall should have no toe. ","")&amp;IF(AND(E204&lt;&gt;"",E204&lt;SG_Criteria!$B$31),"NOTE: q below LTA min "&amp;SG_Criteria!$B$31&amp;" kPa (not for LTA works). ","")))</f>
        <v/>
      </c>
      <c r="AU204" s="9"/>
      <c r="AV204" s="9"/>
      <c r="AW204" s="9"/>
      <c r="AX204" s="9"/>
      <c r="AY204" s="9"/>
      <c r="AZ204" s="31"/>
      <c r="BA204" s="10" t="str">
        <f aca="false">IF(C204="","",IF(AND(AB204="Approved",ISERROR(SEARCH("FAIL",AT204))),"Y","N"))</f>
        <v/>
      </c>
      <c r="BB204" s="10" t="str">
        <f aca="false">IF(C204="","",C204&amp;"|"&amp;D204&amp;"|"&amp;E204&amp;"|"&amp;F204&amp;"|"&amp;BA204)</f>
        <v/>
      </c>
    </row>
    <row r="205" customFormat="false" ht="15" hidden="false" customHeight="false" outlineLevel="0" collapsed="false">
      <c r="A205" s="10" t="str">
        <f aca="false">IF(C205="","","RW-"&amp;IFERROR(VLOOKUP(C205,Lists!$M$4:$N$22,2,0),"??")&amp;"-H"&amp;TEXT(D205*1000,"0000")&amp;"-S"&amp;E205&amp;IF(F205="Y","-GW","")&amp;"-"&amp;AA205)</f>
        <v/>
      </c>
      <c r="B205" s="10" t="str">
        <f aca="false">IF(C205="","",C205&amp;", H = "&amp;TEXT(D205,"0.0")&amp;" m, q = "&amp;E205&amp;" kPa"&amp;IF(F205="Y",", with GWT","")&amp;", "&amp;H205)</f>
        <v/>
      </c>
      <c r="C205" s="9"/>
      <c r="D205" s="41"/>
      <c r="E205" s="40"/>
      <c r="F205" s="9"/>
      <c r="G205" s="40"/>
      <c r="H205" s="9"/>
      <c r="I205" s="40"/>
      <c r="J205" s="43"/>
      <c r="K205" s="40"/>
      <c r="L205" s="40"/>
      <c r="M205" s="40"/>
      <c r="N205" s="40"/>
      <c r="O205" s="40"/>
      <c r="P205" s="40"/>
      <c r="Q205" s="9"/>
      <c r="R205" s="9"/>
      <c r="S205" s="40"/>
      <c r="T205" s="9"/>
      <c r="U205" s="9"/>
      <c r="V205" s="9"/>
      <c r="W205" s="41"/>
      <c r="X205" s="41"/>
      <c r="Y205" s="40"/>
      <c r="Z205" s="9"/>
      <c r="AA205" s="9"/>
      <c r="AB205" s="9"/>
      <c r="AC205" s="9"/>
      <c r="AD205" s="9"/>
      <c r="AE205" s="9"/>
      <c r="AF205" s="10" t="str">
        <f aca="false">IF(A205="","",SG_Criteria!$B$6&amp;SG_Criteria!$B$8&amp;"\"&amp;A205&amp;"\")</f>
        <v/>
      </c>
      <c r="AG205" s="10" t="str">
        <f aca="false">IF(A205="","",A205&amp;"_CAD.dwg")</f>
        <v/>
      </c>
      <c r="AH205" s="10" t="str">
        <f aca="false">IF(A205="","",A205&amp;"_DWG.pdf")</f>
        <v/>
      </c>
      <c r="AI205" s="10" t="str">
        <f aca="false">IF(A205="","",IF(AE205="Y",A205&amp;"_STAAD.std","n/a"))</f>
        <v/>
      </c>
      <c r="AJ205" s="10" t="str">
        <f aca="false">IF(A205="","",A205&amp;"_CALC.xlsx")</f>
        <v/>
      </c>
      <c r="AK205" s="10" t="str">
        <f aca="false">IF(A205="","",A205&amp;"_CALC.pdf")</f>
        <v/>
      </c>
      <c r="AL205" s="9"/>
      <c r="AM205" s="9"/>
      <c r="AN205" s="41"/>
      <c r="AO205" s="41"/>
      <c r="AP205" s="41"/>
      <c r="AQ205" s="41"/>
      <c r="AR205" s="41"/>
      <c r="AS205" s="38" t="str">
        <f aca="false">IF(OR(C205="",D205=""),"",IF(D205&lt;=IF(OR(C205="Block / Segmental",C205="Gabion",C205="Reinforced Earth (MSE)"),SG_Criteria!$B$34,SG_Criteria!$B$33),"No ERSS submission",IF(D205&lt;=SG_Criteria!$B$35,"QP(ST)",IF(D205&lt;=SG_Criteria!$B$36,"QP(ST) + AC","Geotechnical building works: QP(Geo) + AC"))))</f>
        <v/>
      </c>
      <c r="AT205" s="38" t="str">
        <f aca="false">IF(C205="","",IF(LEN(IF(AND(R205&lt;&gt;"",IFERROR(VALUE(MID(R205,2,2)),0)&lt;SG_Criteria!$B$19),"FAIL: grade below C"&amp;SG_Criteria!$B$19&amp;". ","")&amp;IF(AND(S205&lt;&gt;"",S205&lt;SG_Criteria!$B$20),"FAIL: cover &lt; "&amp;SG_Criteria!$B$20&amp;" mm. ","")&amp;IF(AND(W205&lt;&gt;"",W205&lt;1),"FAIL: sliding. ","")&amp;IF(AND(C205="Reverse L-Wall (toe only, at boundary)",N(O205)&gt;0),"NOTE: reverse L-wall should have no heel. ","")&amp;IF(AND(C205="L-Wall (heel only)",N(N205)&gt;0),"NOTE: L-wall should have no toe. ","")&amp;IF(AND(E205&lt;&gt;"",E205&lt;SG_Criteria!$B$31),"NOTE: q below LTA min "&amp;SG_Criteria!$B$31&amp;" kPa (not for LTA works). ",""))=0,"OK",IF(AND(R205&lt;&gt;"",IFERROR(VALUE(MID(R205,2,2)),0)&lt;SG_Criteria!$B$19),"FAIL: grade below C"&amp;SG_Criteria!$B$19&amp;". ","")&amp;IF(AND(S205&lt;&gt;"",S205&lt;SG_Criteria!$B$20),"FAIL: cover &lt; "&amp;SG_Criteria!$B$20&amp;" mm. ","")&amp;IF(AND(W205&lt;&gt;"",W205&lt;1),"FAIL: sliding. ","")&amp;IF(AND(C205="Reverse L-Wall (toe only, at boundary)",N(O205)&gt;0),"NOTE: reverse L-wall should have no heel. ","")&amp;IF(AND(C205="L-Wall (heel only)",N(N205)&gt;0),"NOTE: L-wall should have no toe. ","")&amp;IF(AND(E205&lt;&gt;"",E205&lt;SG_Criteria!$B$31),"NOTE: q below LTA min "&amp;SG_Criteria!$B$31&amp;" kPa (not for LTA works). ","")))</f>
        <v/>
      </c>
      <c r="AU205" s="9"/>
      <c r="AV205" s="9"/>
      <c r="AW205" s="9"/>
      <c r="AX205" s="9"/>
      <c r="AY205" s="9"/>
      <c r="AZ205" s="31"/>
      <c r="BA205" s="10" t="str">
        <f aca="false">IF(C205="","",IF(AND(AB205="Approved",ISERROR(SEARCH("FAIL",AT205))),"Y","N"))</f>
        <v/>
      </c>
      <c r="BB205" s="10" t="str">
        <f aca="false">IF(C205="","",C205&amp;"|"&amp;D205&amp;"|"&amp;E205&amp;"|"&amp;F205&amp;"|"&amp;BA205)</f>
        <v/>
      </c>
    </row>
    <row r="206" customFormat="false" ht="15" hidden="false" customHeight="false" outlineLevel="0" collapsed="false">
      <c r="A206" s="10" t="str">
        <f aca="false">IF(C206="","","RW-"&amp;IFERROR(VLOOKUP(C206,Lists!$M$4:$N$22,2,0),"??")&amp;"-H"&amp;TEXT(D206*1000,"0000")&amp;"-S"&amp;E206&amp;IF(F206="Y","-GW","")&amp;"-"&amp;AA206)</f>
        <v/>
      </c>
      <c r="B206" s="10" t="str">
        <f aca="false">IF(C206="","",C206&amp;", H = "&amp;TEXT(D206,"0.0")&amp;" m, q = "&amp;E206&amp;" kPa"&amp;IF(F206="Y",", with GWT","")&amp;", "&amp;H206)</f>
        <v/>
      </c>
      <c r="C206" s="9"/>
      <c r="D206" s="41"/>
      <c r="E206" s="40"/>
      <c r="F206" s="9"/>
      <c r="G206" s="40"/>
      <c r="H206" s="9"/>
      <c r="I206" s="40"/>
      <c r="J206" s="43"/>
      <c r="K206" s="40"/>
      <c r="L206" s="40"/>
      <c r="M206" s="40"/>
      <c r="N206" s="40"/>
      <c r="O206" s="40"/>
      <c r="P206" s="40"/>
      <c r="Q206" s="9"/>
      <c r="R206" s="9"/>
      <c r="S206" s="40"/>
      <c r="T206" s="9"/>
      <c r="U206" s="9"/>
      <c r="V206" s="9"/>
      <c r="W206" s="41"/>
      <c r="X206" s="41"/>
      <c r="Y206" s="40"/>
      <c r="Z206" s="9"/>
      <c r="AA206" s="9"/>
      <c r="AB206" s="9"/>
      <c r="AC206" s="9"/>
      <c r="AD206" s="9"/>
      <c r="AE206" s="9"/>
      <c r="AF206" s="10" t="str">
        <f aca="false">IF(A206="","",SG_Criteria!$B$6&amp;SG_Criteria!$B$8&amp;"\"&amp;A206&amp;"\")</f>
        <v/>
      </c>
      <c r="AG206" s="10" t="str">
        <f aca="false">IF(A206="","",A206&amp;"_CAD.dwg")</f>
        <v/>
      </c>
      <c r="AH206" s="10" t="str">
        <f aca="false">IF(A206="","",A206&amp;"_DWG.pdf")</f>
        <v/>
      </c>
      <c r="AI206" s="10" t="str">
        <f aca="false">IF(A206="","",IF(AE206="Y",A206&amp;"_STAAD.std","n/a"))</f>
        <v/>
      </c>
      <c r="AJ206" s="10" t="str">
        <f aca="false">IF(A206="","",A206&amp;"_CALC.xlsx")</f>
        <v/>
      </c>
      <c r="AK206" s="10" t="str">
        <f aca="false">IF(A206="","",A206&amp;"_CALC.pdf")</f>
        <v/>
      </c>
      <c r="AL206" s="9"/>
      <c r="AM206" s="9"/>
      <c r="AN206" s="41"/>
      <c r="AO206" s="41"/>
      <c r="AP206" s="41"/>
      <c r="AQ206" s="41"/>
      <c r="AR206" s="41"/>
      <c r="AS206" s="38" t="str">
        <f aca="false">IF(OR(C206="",D206=""),"",IF(D206&lt;=IF(OR(C206="Block / Segmental",C206="Gabion",C206="Reinforced Earth (MSE)"),SG_Criteria!$B$34,SG_Criteria!$B$33),"No ERSS submission",IF(D206&lt;=SG_Criteria!$B$35,"QP(ST)",IF(D206&lt;=SG_Criteria!$B$36,"QP(ST) + AC","Geotechnical building works: QP(Geo) + AC"))))</f>
        <v/>
      </c>
      <c r="AT206" s="38" t="str">
        <f aca="false">IF(C206="","",IF(LEN(IF(AND(R206&lt;&gt;"",IFERROR(VALUE(MID(R206,2,2)),0)&lt;SG_Criteria!$B$19),"FAIL: grade below C"&amp;SG_Criteria!$B$19&amp;". ","")&amp;IF(AND(S206&lt;&gt;"",S206&lt;SG_Criteria!$B$20),"FAIL: cover &lt; "&amp;SG_Criteria!$B$20&amp;" mm. ","")&amp;IF(AND(W206&lt;&gt;"",W206&lt;1),"FAIL: sliding. ","")&amp;IF(AND(C206="Reverse L-Wall (toe only, at boundary)",N(O206)&gt;0),"NOTE: reverse L-wall should have no heel. ","")&amp;IF(AND(C206="L-Wall (heel only)",N(N206)&gt;0),"NOTE: L-wall should have no toe. ","")&amp;IF(AND(E206&lt;&gt;"",E206&lt;SG_Criteria!$B$31),"NOTE: q below LTA min "&amp;SG_Criteria!$B$31&amp;" kPa (not for LTA works). ",""))=0,"OK",IF(AND(R206&lt;&gt;"",IFERROR(VALUE(MID(R206,2,2)),0)&lt;SG_Criteria!$B$19),"FAIL: grade below C"&amp;SG_Criteria!$B$19&amp;". ","")&amp;IF(AND(S206&lt;&gt;"",S206&lt;SG_Criteria!$B$20),"FAIL: cover &lt; "&amp;SG_Criteria!$B$20&amp;" mm. ","")&amp;IF(AND(W206&lt;&gt;"",W206&lt;1),"FAIL: sliding. ","")&amp;IF(AND(C206="Reverse L-Wall (toe only, at boundary)",N(O206)&gt;0),"NOTE: reverse L-wall should have no heel. ","")&amp;IF(AND(C206="L-Wall (heel only)",N(N206)&gt;0),"NOTE: L-wall should have no toe. ","")&amp;IF(AND(E206&lt;&gt;"",E206&lt;SG_Criteria!$B$31),"NOTE: q below LTA min "&amp;SG_Criteria!$B$31&amp;" kPa (not for LTA works). ","")))</f>
        <v/>
      </c>
      <c r="AU206" s="9"/>
      <c r="AV206" s="9"/>
      <c r="AW206" s="9"/>
      <c r="AX206" s="9"/>
      <c r="AY206" s="9"/>
      <c r="AZ206" s="31"/>
      <c r="BA206" s="10" t="str">
        <f aca="false">IF(C206="","",IF(AND(AB206="Approved",ISERROR(SEARCH("FAIL",AT206))),"Y","N"))</f>
        <v/>
      </c>
      <c r="BB206" s="10" t="str">
        <f aca="false">IF(C206="","",C206&amp;"|"&amp;D206&amp;"|"&amp;E206&amp;"|"&amp;F206&amp;"|"&amp;BA206)</f>
        <v/>
      </c>
    </row>
    <row r="207" customFormat="false" ht="15" hidden="false" customHeight="false" outlineLevel="0" collapsed="false">
      <c r="A207" s="10" t="str">
        <f aca="false">IF(C207="","","RW-"&amp;IFERROR(VLOOKUP(C207,Lists!$M$4:$N$22,2,0),"??")&amp;"-H"&amp;TEXT(D207*1000,"0000")&amp;"-S"&amp;E207&amp;IF(F207="Y","-GW","")&amp;"-"&amp;AA207)</f>
        <v/>
      </c>
      <c r="B207" s="10" t="str">
        <f aca="false">IF(C207="","",C207&amp;", H = "&amp;TEXT(D207,"0.0")&amp;" m, q = "&amp;E207&amp;" kPa"&amp;IF(F207="Y",", with GWT","")&amp;", "&amp;H207)</f>
        <v/>
      </c>
      <c r="C207" s="9"/>
      <c r="D207" s="41"/>
      <c r="E207" s="40"/>
      <c r="F207" s="9"/>
      <c r="G207" s="40"/>
      <c r="H207" s="9"/>
      <c r="I207" s="40"/>
      <c r="J207" s="43"/>
      <c r="K207" s="40"/>
      <c r="L207" s="40"/>
      <c r="M207" s="40"/>
      <c r="N207" s="40"/>
      <c r="O207" s="40"/>
      <c r="P207" s="40"/>
      <c r="Q207" s="9"/>
      <c r="R207" s="9"/>
      <c r="S207" s="40"/>
      <c r="T207" s="9"/>
      <c r="U207" s="9"/>
      <c r="V207" s="9"/>
      <c r="W207" s="41"/>
      <c r="X207" s="41"/>
      <c r="Y207" s="40"/>
      <c r="Z207" s="9"/>
      <c r="AA207" s="9"/>
      <c r="AB207" s="9"/>
      <c r="AC207" s="9"/>
      <c r="AD207" s="9"/>
      <c r="AE207" s="9"/>
      <c r="AF207" s="10" t="str">
        <f aca="false">IF(A207="","",SG_Criteria!$B$6&amp;SG_Criteria!$B$8&amp;"\"&amp;A207&amp;"\")</f>
        <v/>
      </c>
      <c r="AG207" s="10" t="str">
        <f aca="false">IF(A207="","",A207&amp;"_CAD.dwg")</f>
        <v/>
      </c>
      <c r="AH207" s="10" t="str">
        <f aca="false">IF(A207="","",A207&amp;"_DWG.pdf")</f>
        <v/>
      </c>
      <c r="AI207" s="10" t="str">
        <f aca="false">IF(A207="","",IF(AE207="Y",A207&amp;"_STAAD.std","n/a"))</f>
        <v/>
      </c>
      <c r="AJ207" s="10" t="str">
        <f aca="false">IF(A207="","",A207&amp;"_CALC.xlsx")</f>
        <v/>
      </c>
      <c r="AK207" s="10" t="str">
        <f aca="false">IF(A207="","",A207&amp;"_CALC.pdf")</f>
        <v/>
      </c>
      <c r="AL207" s="9"/>
      <c r="AM207" s="9"/>
      <c r="AN207" s="41"/>
      <c r="AO207" s="41"/>
      <c r="AP207" s="41"/>
      <c r="AQ207" s="41"/>
      <c r="AR207" s="41"/>
      <c r="AS207" s="38" t="str">
        <f aca="false">IF(OR(C207="",D207=""),"",IF(D207&lt;=IF(OR(C207="Block / Segmental",C207="Gabion",C207="Reinforced Earth (MSE)"),SG_Criteria!$B$34,SG_Criteria!$B$33),"No ERSS submission",IF(D207&lt;=SG_Criteria!$B$35,"QP(ST)",IF(D207&lt;=SG_Criteria!$B$36,"QP(ST) + AC","Geotechnical building works: QP(Geo) + AC"))))</f>
        <v/>
      </c>
      <c r="AT207" s="38" t="str">
        <f aca="false">IF(C207="","",IF(LEN(IF(AND(R207&lt;&gt;"",IFERROR(VALUE(MID(R207,2,2)),0)&lt;SG_Criteria!$B$19),"FAIL: grade below C"&amp;SG_Criteria!$B$19&amp;". ","")&amp;IF(AND(S207&lt;&gt;"",S207&lt;SG_Criteria!$B$20),"FAIL: cover &lt; "&amp;SG_Criteria!$B$20&amp;" mm. ","")&amp;IF(AND(W207&lt;&gt;"",W207&lt;1),"FAIL: sliding. ","")&amp;IF(AND(C207="Reverse L-Wall (toe only, at boundary)",N(O207)&gt;0),"NOTE: reverse L-wall should have no heel. ","")&amp;IF(AND(C207="L-Wall (heel only)",N(N207)&gt;0),"NOTE: L-wall should have no toe. ","")&amp;IF(AND(E207&lt;&gt;"",E207&lt;SG_Criteria!$B$31),"NOTE: q below LTA min "&amp;SG_Criteria!$B$31&amp;" kPa (not for LTA works). ",""))=0,"OK",IF(AND(R207&lt;&gt;"",IFERROR(VALUE(MID(R207,2,2)),0)&lt;SG_Criteria!$B$19),"FAIL: grade below C"&amp;SG_Criteria!$B$19&amp;". ","")&amp;IF(AND(S207&lt;&gt;"",S207&lt;SG_Criteria!$B$20),"FAIL: cover &lt; "&amp;SG_Criteria!$B$20&amp;" mm. ","")&amp;IF(AND(W207&lt;&gt;"",W207&lt;1),"FAIL: sliding. ","")&amp;IF(AND(C207="Reverse L-Wall (toe only, at boundary)",N(O207)&gt;0),"NOTE: reverse L-wall should have no heel. ","")&amp;IF(AND(C207="L-Wall (heel only)",N(N207)&gt;0),"NOTE: L-wall should have no toe. ","")&amp;IF(AND(E207&lt;&gt;"",E207&lt;SG_Criteria!$B$31),"NOTE: q below LTA min "&amp;SG_Criteria!$B$31&amp;" kPa (not for LTA works). ","")))</f>
        <v/>
      </c>
      <c r="AU207" s="9"/>
      <c r="AV207" s="9"/>
      <c r="AW207" s="9"/>
      <c r="AX207" s="9"/>
      <c r="AY207" s="9"/>
      <c r="AZ207" s="31"/>
      <c r="BA207" s="10" t="str">
        <f aca="false">IF(C207="","",IF(AND(AB207="Approved",ISERROR(SEARCH("FAIL",AT207))),"Y","N"))</f>
        <v/>
      </c>
      <c r="BB207" s="10" t="str">
        <f aca="false">IF(C207="","",C207&amp;"|"&amp;D207&amp;"|"&amp;E207&amp;"|"&amp;F207&amp;"|"&amp;BA207)</f>
        <v/>
      </c>
    </row>
    <row r="208" customFormat="false" ht="15" hidden="false" customHeight="false" outlineLevel="0" collapsed="false">
      <c r="A208" s="10" t="str">
        <f aca="false">IF(C208="","","RW-"&amp;IFERROR(VLOOKUP(C208,Lists!$M$4:$N$22,2,0),"??")&amp;"-H"&amp;TEXT(D208*1000,"0000")&amp;"-S"&amp;E208&amp;IF(F208="Y","-GW","")&amp;"-"&amp;AA208)</f>
        <v/>
      </c>
      <c r="B208" s="10" t="str">
        <f aca="false">IF(C208="","",C208&amp;", H = "&amp;TEXT(D208,"0.0")&amp;" m, q = "&amp;E208&amp;" kPa"&amp;IF(F208="Y",", with GWT","")&amp;", "&amp;H208)</f>
        <v/>
      </c>
      <c r="C208" s="9"/>
      <c r="D208" s="41"/>
      <c r="E208" s="40"/>
      <c r="F208" s="9"/>
      <c r="G208" s="40"/>
      <c r="H208" s="9"/>
      <c r="I208" s="40"/>
      <c r="J208" s="43"/>
      <c r="K208" s="40"/>
      <c r="L208" s="40"/>
      <c r="M208" s="40"/>
      <c r="N208" s="40"/>
      <c r="O208" s="40"/>
      <c r="P208" s="40"/>
      <c r="Q208" s="9"/>
      <c r="R208" s="9"/>
      <c r="S208" s="40"/>
      <c r="T208" s="9"/>
      <c r="U208" s="9"/>
      <c r="V208" s="9"/>
      <c r="W208" s="41"/>
      <c r="X208" s="41"/>
      <c r="Y208" s="40"/>
      <c r="Z208" s="9"/>
      <c r="AA208" s="9"/>
      <c r="AB208" s="9"/>
      <c r="AC208" s="9"/>
      <c r="AD208" s="9"/>
      <c r="AE208" s="9"/>
      <c r="AF208" s="10" t="str">
        <f aca="false">IF(A208="","",SG_Criteria!$B$6&amp;SG_Criteria!$B$8&amp;"\"&amp;A208&amp;"\")</f>
        <v/>
      </c>
      <c r="AG208" s="10" t="str">
        <f aca="false">IF(A208="","",A208&amp;"_CAD.dwg")</f>
        <v/>
      </c>
      <c r="AH208" s="10" t="str">
        <f aca="false">IF(A208="","",A208&amp;"_DWG.pdf")</f>
        <v/>
      </c>
      <c r="AI208" s="10" t="str">
        <f aca="false">IF(A208="","",IF(AE208="Y",A208&amp;"_STAAD.std","n/a"))</f>
        <v/>
      </c>
      <c r="AJ208" s="10" t="str">
        <f aca="false">IF(A208="","",A208&amp;"_CALC.xlsx")</f>
        <v/>
      </c>
      <c r="AK208" s="10" t="str">
        <f aca="false">IF(A208="","",A208&amp;"_CALC.pdf")</f>
        <v/>
      </c>
      <c r="AL208" s="9"/>
      <c r="AM208" s="9"/>
      <c r="AN208" s="41"/>
      <c r="AO208" s="41"/>
      <c r="AP208" s="41"/>
      <c r="AQ208" s="41"/>
      <c r="AR208" s="41"/>
      <c r="AS208" s="38" t="str">
        <f aca="false">IF(OR(C208="",D208=""),"",IF(D208&lt;=IF(OR(C208="Block / Segmental",C208="Gabion",C208="Reinforced Earth (MSE)"),SG_Criteria!$B$34,SG_Criteria!$B$33),"No ERSS submission",IF(D208&lt;=SG_Criteria!$B$35,"QP(ST)",IF(D208&lt;=SG_Criteria!$B$36,"QP(ST) + AC","Geotechnical building works: QP(Geo) + AC"))))</f>
        <v/>
      </c>
      <c r="AT208" s="38" t="str">
        <f aca="false">IF(C208="","",IF(LEN(IF(AND(R208&lt;&gt;"",IFERROR(VALUE(MID(R208,2,2)),0)&lt;SG_Criteria!$B$19),"FAIL: grade below C"&amp;SG_Criteria!$B$19&amp;". ","")&amp;IF(AND(S208&lt;&gt;"",S208&lt;SG_Criteria!$B$20),"FAIL: cover &lt; "&amp;SG_Criteria!$B$20&amp;" mm. ","")&amp;IF(AND(W208&lt;&gt;"",W208&lt;1),"FAIL: sliding. ","")&amp;IF(AND(C208="Reverse L-Wall (toe only, at boundary)",N(O208)&gt;0),"NOTE: reverse L-wall should have no heel. ","")&amp;IF(AND(C208="L-Wall (heel only)",N(N208)&gt;0),"NOTE: L-wall should have no toe. ","")&amp;IF(AND(E208&lt;&gt;"",E208&lt;SG_Criteria!$B$31),"NOTE: q below LTA min "&amp;SG_Criteria!$B$31&amp;" kPa (not for LTA works). ",""))=0,"OK",IF(AND(R208&lt;&gt;"",IFERROR(VALUE(MID(R208,2,2)),0)&lt;SG_Criteria!$B$19),"FAIL: grade below C"&amp;SG_Criteria!$B$19&amp;". ","")&amp;IF(AND(S208&lt;&gt;"",S208&lt;SG_Criteria!$B$20),"FAIL: cover &lt; "&amp;SG_Criteria!$B$20&amp;" mm. ","")&amp;IF(AND(W208&lt;&gt;"",W208&lt;1),"FAIL: sliding. ","")&amp;IF(AND(C208="Reverse L-Wall (toe only, at boundary)",N(O208)&gt;0),"NOTE: reverse L-wall should have no heel. ","")&amp;IF(AND(C208="L-Wall (heel only)",N(N208)&gt;0),"NOTE: L-wall should have no toe. ","")&amp;IF(AND(E208&lt;&gt;"",E208&lt;SG_Criteria!$B$31),"NOTE: q below LTA min "&amp;SG_Criteria!$B$31&amp;" kPa (not for LTA works). ","")))</f>
        <v/>
      </c>
      <c r="AU208" s="9"/>
      <c r="AV208" s="9"/>
      <c r="AW208" s="9"/>
      <c r="AX208" s="9"/>
      <c r="AY208" s="9"/>
      <c r="AZ208" s="31"/>
      <c r="BA208" s="10" t="str">
        <f aca="false">IF(C208="","",IF(AND(AB208="Approved",ISERROR(SEARCH("FAIL",AT208))),"Y","N"))</f>
        <v/>
      </c>
      <c r="BB208" s="10" t="str">
        <f aca="false">IF(C208="","",C208&amp;"|"&amp;D208&amp;"|"&amp;E208&amp;"|"&amp;F208&amp;"|"&amp;BA208)</f>
        <v/>
      </c>
    </row>
    <row r="209" customFormat="false" ht="15" hidden="false" customHeight="false" outlineLevel="0" collapsed="false">
      <c r="A209" s="10" t="str">
        <f aca="false">IF(C209="","","RW-"&amp;IFERROR(VLOOKUP(C209,Lists!$M$4:$N$22,2,0),"??")&amp;"-H"&amp;TEXT(D209*1000,"0000")&amp;"-S"&amp;E209&amp;IF(F209="Y","-GW","")&amp;"-"&amp;AA209)</f>
        <v/>
      </c>
      <c r="B209" s="10" t="str">
        <f aca="false">IF(C209="","",C209&amp;", H = "&amp;TEXT(D209,"0.0")&amp;" m, q = "&amp;E209&amp;" kPa"&amp;IF(F209="Y",", with GWT","")&amp;", "&amp;H209)</f>
        <v/>
      </c>
      <c r="C209" s="9"/>
      <c r="D209" s="41"/>
      <c r="E209" s="40"/>
      <c r="F209" s="9"/>
      <c r="G209" s="40"/>
      <c r="H209" s="9"/>
      <c r="I209" s="40"/>
      <c r="J209" s="43"/>
      <c r="K209" s="40"/>
      <c r="L209" s="40"/>
      <c r="M209" s="40"/>
      <c r="N209" s="40"/>
      <c r="O209" s="40"/>
      <c r="P209" s="40"/>
      <c r="Q209" s="9"/>
      <c r="R209" s="9"/>
      <c r="S209" s="40"/>
      <c r="T209" s="9"/>
      <c r="U209" s="9"/>
      <c r="V209" s="9"/>
      <c r="W209" s="41"/>
      <c r="X209" s="41"/>
      <c r="Y209" s="40"/>
      <c r="Z209" s="9"/>
      <c r="AA209" s="9"/>
      <c r="AB209" s="9"/>
      <c r="AC209" s="9"/>
      <c r="AD209" s="9"/>
      <c r="AE209" s="9"/>
      <c r="AF209" s="10" t="str">
        <f aca="false">IF(A209="","",SG_Criteria!$B$6&amp;SG_Criteria!$B$8&amp;"\"&amp;A209&amp;"\")</f>
        <v/>
      </c>
      <c r="AG209" s="10" t="str">
        <f aca="false">IF(A209="","",A209&amp;"_CAD.dwg")</f>
        <v/>
      </c>
      <c r="AH209" s="10" t="str">
        <f aca="false">IF(A209="","",A209&amp;"_DWG.pdf")</f>
        <v/>
      </c>
      <c r="AI209" s="10" t="str">
        <f aca="false">IF(A209="","",IF(AE209="Y",A209&amp;"_STAAD.std","n/a"))</f>
        <v/>
      </c>
      <c r="AJ209" s="10" t="str">
        <f aca="false">IF(A209="","",A209&amp;"_CALC.xlsx")</f>
        <v/>
      </c>
      <c r="AK209" s="10" t="str">
        <f aca="false">IF(A209="","",A209&amp;"_CALC.pdf")</f>
        <v/>
      </c>
      <c r="AL209" s="9"/>
      <c r="AM209" s="9"/>
      <c r="AN209" s="41"/>
      <c r="AO209" s="41"/>
      <c r="AP209" s="41"/>
      <c r="AQ209" s="41"/>
      <c r="AR209" s="41"/>
      <c r="AS209" s="38" t="str">
        <f aca="false">IF(OR(C209="",D209=""),"",IF(D209&lt;=IF(OR(C209="Block / Segmental",C209="Gabion",C209="Reinforced Earth (MSE)"),SG_Criteria!$B$34,SG_Criteria!$B$33),"No ERSS submission",IF(D209&lt;=SG_Criteria!$B$35,"QP(ST)",IF(D209&lt;=SG_Criteria!$B$36,"QP(ST) + AC","Geotechnical building works: QP(Geo) + AC"))))</f>
        <v/>
      </c>
      <c r="AT209" s="38" t="str">
        <f aca="false">IF(C209="","",IF(LEN(IF(AND(R209&lt;&gt;"",IFERROR(VALUE(MID(R209,2,2)),0)&lt;SG_Criteria!$B$19),"FAIL: grade below C"&amp;SG_Criteria!$B$19&amp;". ","")&amp;IF(AND(S209&lt;&gt;"",S209&lt;SG_Criteria!$B$20),"FAIL: cover &lt; "&amp;SG_Criteria!$B$20&amp;" mm. ","")&amp;IF(AND(W209&lt;&gt;"",W209&lt;1),"FAIL: sliding. ","")&amp;IF(AND(C209="Reverse L-Wall (toe only, at boundary)",N(O209)&gt;0),"NOTE: reverse L-wall should have no heel. ","")&amp;IF(AND(C209="L-Wall (heel only)",N(N209)&gt;0),"NOTE: L-wall should have no toe. ","")&amp;IF(AND(E209&lt;&gt;"",E209&lt;SG_Criteria!$B$31),"NOTE: q below LTA min "&amp;SG_Criteria!$B$31&amp;" kPa (not for LTA works). ",""))=0,"OK",IF(AND(R209&lt;&gt;"",IFERROR(VALUE(MID(R209,2,2)),0)&lt;SG_Criteria!$B$19),"FAIL: grade below C"&amp;SG_Criteria!$B$19&amp;". ","")&amp;IF(AND(S209&lt;&gt;"",S209&lt;SG_Criteria!$B$20),"FAIL: cover &lt; "&amp;SG_Criteria!$B$20&amp;" mm. ","")&amp;IF(AND(W209&lt;&gt;"",W209&lt;1),"FAIL: sliding. ","")&amp;IF(AND(C209="Reverse L-Wall (toe only, at boundary)",N(O209)&gt;0),"NOTE: reverse L-wall should have no heel. ","")&amp;IF(AND(C209="L-Wall (heel only)",N(N209)&gt;0),"NOTE: L-wall should have no toe. ","")&amp;IF(AND(E209&lt;&gt;"",E209&lt;SG_Criteria!$B$31),"NOTE: q below LTA min "&amp;SG_Criteria!$B$31&amp;" kPa (not for LTA works). ","")))</f>
        <v/>
      </c>
      <c r="AU209" s="9"/>
      <c r="AV209" s="9"/>
      <c r="AW209" s="9"/>
      <c r="AX209" s="9"/>
      <c r="AY209" s="9"/>
      <c r="AZ209" s="31"/>
      <c r="BA209" s="10" t="str">
        <f aca="false">IF(C209="","",IF(AND(AB209="Approved",ISERROR(SEARCH("FAIL",AT209))),"Y","N"))</f>
        <v/>
      </c>
      <c r="BB209" s="10" t="str">
        <f aca="false">IF(C209="","",C209&amp;"|"&amp;D209&amp;"|"&amp;E209&amp;"|"&amp;F209&amp;"|"&amp;BA209)</f>
        <v/>
      </c>
    </row>
    <row r="210" customFormat="false" ht="15" hidden="false" customHeight="false" outlineLevel="0" collapsed="false">
      <c r="A210" s="10" t="str">
        <f aca="false">IF(C210="","","RW-"&amp;IFERROR(VLOOKUP(C210,Lists!$M$4:$N$22,2,0),"??")&amp;"-H"&amp;TEXT(D210*1000,"0000")&amp;"-S"&amp;E210&amp;IF(F210="Y","-GW","")&amp;"-"&amp;AA210)</f>
        <v/>
      </c>
      <c r="B210" s="10" t="str">
        <f aca="false">IF(C210="","",C210&amp;", H = "&amp;TEXT(D210,"0.0")&amp;" m, q = "&amp;E210&amp;" kPa"&amp;IF(F210="Y",", with GWT","")&amp;", "&amp;H210)</f>
        <v/>
      </c>
      <c r="C210" s="9"/>
      <c r="D210" s="41"/>
      <c r="E210" s="40"/>
      <c r="F210" s="9"/>
      <c r="G210" s="40"/>
      <c r="H210" s="9"/>
      <c r="I210" s="40"/>
      <c r="J210" s="43"/>
      <c r="K210" s="40"/>
      <c r="L210" s="40"/>
      <c r="M210" s="40"/>
      <c r="N210" s="40"/>
      <c r="O210" s="40"/>
      <c r="P210" s="40"/>
      <c r="Q210" s="9"/>
      <c r="R210" s="9"/>
      <c r="S210" s="40"/>
      <c r="T210" s="9"/>
      <c r="U210" s="9"/>
      <c r="V210" s="9"/>
      <c r="W210" s="41"/>
      <c r="X210" s="41"/>
      <c r="Y210" s="40"/>
      <c r="Z210" s="9"/>
      <c r="AA210" s="9"/>
      <c r="AB210" s="9"/>
      <c r="AC210" s="9"/>
      <c r="AD210" s="9"/>
      <c r="AE210" s="9"/>
      <c r="AF210" s="10" t="str">
        <f aca="false">IF(A210="","",SG_Criteria!$B$6&amp;SG_Criteria!$B$8&amp;"\"&amp;A210&amp;"\")</f>
        <v/>
      </c>
      <c r="AG210" s="10" t="str">
        <f aca="false">IF(A210="","",A210&amp;"_CAD.dwg")</f>
        <v/>
      </c>
      <c r="AH210" s="10" t="str">
        <f aca="false">IF(A210="","",A210&amp;"_DWG.pdf")</f>
        <v/>
      </c>
      <c r="AI210" s="10" t="str">
        <f aca="false">IF(A210="","",IF(AE210="Y",A210&amp;"_STAAD.std","n/a"))</f>
        <v/>
      </c>
      <c r="AJ210" s="10" t="str">
        <f aca="false">IF(A210="","",A210&amp;"_CALC.xlsx")</f>
        <v/>
      </c>
      <c r="AK210" s="10" t="str">
        <f aca="false">IF(A210="","",A210&amp;"_CALC.pdf")</f>
        <v/>
      </c>
      <c r="AL210" s="9"/>
      <c r="AM210" s="9"/>
      <c r="AN210" s="41"/>
      <c r="AO210" s="41"/>
      <c r="AP210" s="41"/>
      <c r="AQ210" s="41"/>
      <c r="AR210" s="41"/>
      <c r="AS210" s="38" t="str">
        <f aca="false">IF(OR(C210="",D210=""),"",IF(D210&lt;=IF(OR(C210="Block / Segmental",C210="Gabion",C210="Reinforced Earth (MSE)"),SG_Criteria!$B$34,SG_Criteria!$B$33),"No ERSS submission",IF(D210&lt;=SG_Criteria!$B$35,"QP(ST)",IF(D210&lt;=SG_Criteria!$B$36,"QP(ST) + AC","Geotechnical building works: QP(Geo) + AC"))))</f>
        <v/>
      </c>
      <c r="AT210" s="38" t="str">
        <f aca="false">IF(C210="","",IF(LEN(IF(AND(R210&lt;&gt;"",IFERROR(VALUE(MID(R210,2,2)),0)&lt;SG_Criteria!$B$19),"FAIL: grade below C"&amp;SG_Criteria!$B$19&amp;". ","")&amp;IF(AND(S210&lt;&gt;"",S210&lt;SG_Criteria!$B$20),"FAIL: cover &lt; "&amp;SG_Criteria!$B$20&amp;" mm. ","")&amp;IF(AND(W210&lt;&gt;"",W210&lt;1),"FAIL: sliding. ","")&amp;IF(AND(C210="Reverse L-Wall (toe only, at boundary)",N(O210)&gt;0),"NOTE: reverse L-wall should have no heel. ","")&amp;IF(AND(C210="L-Wall (heel only)",N(N210)&gt;0),"NOTE: L-wall should have no toe. ","")&amp;IF(AND(E210&lt;&gt;"",E210&lt;SG_Criteria!$B$31),"NOTE: q below LTA min "&amp;SG_Criteria!$B$31&amp;" kPa (not for LTA works). ",""))=0,"OK",IF(AND(R210&lt;&gt;"",IFERROR(VALUE(MID(R210,2,2)),0)&lt;SG_Criteria!$B$19),"FAIL: grade below C"&amp;SG_Criteria!$B$19&amp;". ","")&amp;IF(AND(S210&lt;&gt;"",S210&lt;SG_Criteria!$B$20),"FAIL: cover &lt; "&amp;SG_Criteria!$B$20&amp;" mm. ","")&amp;IF(AND(W210&lt;&gt;"",W210&lt;1),"FAIL: sliding. ","")&amp;IF(AND(C210="Reverse L-Wall (toe only, at boundary)",N(O210)&gt;0),"NOTE: reverse L-wall should have no heel. ","")&amp;IF(AND(C210="L-Wall (heel only)",N(N210)&gt;0),"NOTE: L-wall should have no toe. ","")&amp;IF(AND(E210&lt;&gt;"",E210&lt;SG_Criteria!$B$31),"NOTE: q below LTA min "&amp;SG_Criteria!$B$31&amp;" kPa (not for LTA works). ","")))</f>
        <v/>
      </c>
      <c r="AU210" s="9"/>
      <c r="AV210" s="9"/>
      <c r="AW210" s="9"/>
      <c r="AX210" s="9"/>
      <c r="AY210" s="9"/>
      <c r="AZ210" s="31"/>
      <c r="BA210" s="10" t="str">
        <f aca="false">IF(C210="","",IF(AND(AB210="Approved",ISERROR(SEARCH("FAIL",AT210))),"Y","N"))</f>
        <v/>
      </c>
      <c r="BB210" s="10" t="str">
        <f aca="false">IF(C210="","",C210&amp;"|"&amp;D210&amp;"|"&amp;E210&amp;"|"&amp;F210&amp;"|"&amp;BA210)</f>
        <v/>
      </c>
    </row>
    <row r="211" customFormat="false" ht="15" hidden="false" customHeight="false" outlineLevel="0" collapsed="false">
      <c r="A211" s="10" t="str">
        <f aca="false">IF(C211="","","RW-"&amp;IFERROR(VLOOKUP(C211,Lists!$M$4:$N$22,2,0),"??")&amp;"-H"&amp;TEXT(D211*1000,"0000")&amp;"-S"&amp;E211&amp;IF(F211="Y","-GW","")&amp;"-"&amp;AA211)</f>
        <v/>
      </c>
      <c r="B211" s="10" t="str">
        <f aca="false">IF(C211="","",C211&amp;", H = "&amp;TEXT(D211,"0.0")&amp;" m, q = "&amp;E211&amp;" kPa"&amp;IF(F211="Y",", with GWT","")&amp;", "&amp;H211)</f>
        <v/>
      </c>
      <c r="C211" s="9"/>
      <c r="D211" s="41"/>
      <c r="E211" s="40"/>
      <c r="F211" s="9"/>
      <c r="G211" s="40"/>
      <c r="H211" s="9"/>
      <c r="I211" s="40"/>
      <c r="J211" s="43"/>
      <c r="K211" s="40"/>
      <c r="L211" s="40"/>
      <c r="M211" s="40"/>
      <c r="N211" s="40"/>
      <c r="O211" s="40"/>
      <c r="P211" s="40"/>
      <c r="Q211" s="9"/>
      <c r="R211" s="9"/>
      <c r="S211" s="40"/>
      <c r="T211" s="9"/>
      <c r="U211" s="9"/>
      <c r="V211" s="9"/>
      <c r="W211" s="41"/>
      <c r="X211" s="41"/>
      <c r="Y211" s="40"/>
      <c r="Z211" s="9"/>
      <c r="AA211" s="9"/>
      <c r="AB211" s="9"/>
      <c r="AC211" s="9"/>
      <c r="AD211" s="9"/>
      <c r="AE211" s="9"/>
      <c r="AF211" s="10" t="str">
        <f aca="false">IF(A211="","",SG_Criteria!$B$6&amp;SG_Criteria!$B$8&amp;"\"&amp;A211&amp;"\")</f>
        <v/>
      </c>
      <c r="AG211" s="10" t="str">
        <f aca="false">IF(A211="","",A211&amp;"_CAD.dwg")</f>
        <v/>
      </c>
      <c r="AH211" s="10" t="str">
        <f aca="false">IF(A211="","",A211&amp;"_DWG.pdf")</f>
        <v/>
      </c>
      <c r="AI211" s="10" t="str">
        <f aca="false">IF(A211="","",IF(AE211="Y",A211&amp;"_STAAD.std","n/a"))</f>
        <v/>
      </c>
      <c r="AJ211" s="10" t="str">
        <f aca="false">IF(A211="","",A211&amp;"_CALC.xlsx")</f>
        <v/>
      </c>
      <c r="AK211" s="10" t="str">
        <f aca="false">IF(A211="","",A211&amp;"_CALC.pdf")</f>
        <v/>
      </c>
      <c r="AL211" s="9"/>
      <c r="AM211" s="9"/>
      <c r="AN211" s="41"/>
      <c r="AO211" s="41"/>
      <c r="AP211" s="41"/>
      <c r="AQ211" s="41"/>
      <c r="AR211" s="41"/>
      <c r="AS211" s="38" t="str">
        <f aca="false">IF(OR(C211="",D211=""),"",IF(D211&lt;=IF(OR(C211="Block / Segmental",C211="Gabion",C211="Reinforced Earth (MSE)"),SG_Criteria!$B$34,SG_Criteria!$B$33),"No ERSS submission",IF(D211&lt;=SG_Criteria!$B$35,"QP(ST)",IF(D211&lt;=SG_Criteria!$B$36,"QP(ST) + AC","Geotechnical building works: QP(Geo) + AC"))))</f>
        <v/>
      </c>
      <c r="AT211" s="38" t="str">
        <f aca="false">IF(C211="","",IF(LEN(IF(AND(R211&lt;&gt;"",IFERROR(VALUE(MID(R211,2,2)),0)&lt;SG_Criteria!$B$19),"FAIL: grade below C"&amp;SG_Criteria!$B$19&amp;". ","")&amp;IF(AND(S211&lt;&gt;"",S211&lt;SG_Criteria!$B$20),"FAIL: cover &lt; "&amp;SG_Criteria!$B$20&amp;" mm. ","")&amp;IF(AND(W211&lt;&gt;"",W211&lt;1),"FAIL: sliding. ","")&amp;IF(AND(C211="Reverse L-Wall (toe only, at boundary)",N(O211)&gt;0),"NOTE: reverse L-wall should have no heel. ","")&amp;IF(AND(C211="L-Wall (heel only)",N(N211)&gt;0),"NOTE: L-wall should have no toe. ","")&amp;IF(AND(E211&lt;&gt;"",E211&lt;SG_Criteria!$B$31),"NOTE: q below LTA min "&amp;SG_Criteria!$B$31&amp;" kPa (not for LTA works). ",""))=0,"OK",IF(AND(R211&lt;&gt;"",IFERROR(VALUE(MID(R211,2,2)),0)&lt;SG_Criteria!$B$19),"FAIL: grade below C"&amp;SG_Criteria!$B$19&amp;". ","")&amp;IF(AND(S211&lt;&gt;"",S211&lt;SG_Criteria!$B$20),"FAIL: cover &lt; "&amp;SG_Criteria!$B$20&amp;" mm. ","")&amp;IF(AND(W211&lt;&gt;"",W211&lt;1),"FAIL: sliding. ","")&amp;IF(AND(C211="Reverse L-Wall (toe only, at boundary)",N(O211)&gt;0),"NOTE: reverse L-wall should have no heel. ","")&amp;IF(AND(C211="L-Wall (heel only)",N(N211)&gt;0),"NOTE: L-wall should have no toe. ","")&amp;IF(AND(E211&lt;&gt;"",E211&lt;SG_Criteria!$B$31),"NOTE: q below LTA min "&amp;SG_Criteria!$B$31&amp;" kPa (not for LTA works). ","")))</f>
        <v/>
      </c>
      <c r="AU211" s="9"/>
      <c r="AV211" s="9"/>
      <c r="AW211" s="9"/>
      <c r="AX211" s="9"/>
      <c r="AY211" s="9"/>
      <c r="AZ211" s="31"/>
      <c r="BA211" s="10" t="str">
        <f aca="false">IF(C211="","",IF(AND(AB211="Approved",ISERROR(SEARCH("FAIL",AT211))),"Y","N"))</f>
        <v/>
      </c>
      <c r="BB211" s="10" t="str">
        <f aca="false">IF(C211="","",C211&amp;"|"&amp;D211&amp;"|"&amp;E211&amp;"|"&amp;F211&amp;"|"&amp;BA211)</f>
        <v/>
      </c>
    </row>
    <row r="212" customFormat="false" ht="15" hidden="false" customHeight="false" outlineLevel="0" collapsed="false">
      <c r="A212" s="10" t="str">
        <f aca="false">IF(C212="","","RW-"&amp;IFERROR(VLOOKUP(C212,Lists!$M$4:$N$22,2,0),"??")&amp;"-H"&amp;TEXT(D212*1000,"0000")&amp;"-S"&amp;E212&amp;IF(F212="Y","-GW","")&amp;"-"&amp;AA212)</f>
        <v/>
      </c>
      <c r="B212" s="10" t="str">
        <f aca="false">IF(C212="","",C212&amp;", H = "&amp;TEXT(D212,"0.0")&amp;" m, q = "&amp;E212&amp;" kPa"&amp;IF(F212="Y",", with GWT","")&amp;", "&amp;H212)</f>
        <v/>
      </c>
      <c r="C212" s="9"/>
      <c r="D212" s="41"/>
      <c r="E212" s="40"/>
      <c r="F212" s="9"/>
      <c r="G212" s="40"/>
      <c r="H212" s="9"/>
      <c r="I212" s="40"/>
      <c r="J212" s="43"/>
      <c r="K212" s="40"/>
      <c r="L212" s="40"/>
      <c r="M212" s="40"/>
      <c r="N212" s="40"/>
      <c r="O212" s="40"/>
      <c r="P212" s="40"/>
      <c r="Q212" s="9"/>
      <c r="R212" s="9"/>
      <c r="S212" s="40"/>
      <c r="T212" s="9"/>
      <c r="U212" s="9"/>
      <c r="V212" s="9"/>
      <c r="W212" s="41"/>
      <c r="X212" s="41"/>
      <c r="Y212" s="40"/>
      <c r="Z212" s="9"/>
      <c r="AA212" s="9"/>
      <c r="AB212" s="9"/>
      <c r="AC212" s="9"/>
      <c r="AD212" s="9"/>
      <c r="AE212" s="9"/>
      <c r="AF212" s="10" t="str">
        <f aca="false">IF(A212="","",SG_Criteria!$B$6&amp;SG_Criteria!$B$8&amp;"\"&amp;A212&amp;"\")</f>
        <v/>
      </c>
      <c r="AG212" s="10" t="str">
        <f aca="false">IF(A212="","",A212&amp;"_CAD.dwg")</f>
        <v/>
      </c>
      <c r="AH212" s="10" t="str">
        <f aca="false">IF(A212="","",A212&amp;"_DWG.pdf")</f>
        <v/>
      </c>
      <c r="AI212" s="10" t="str">
        <f aca="false">IF(A212="","",IF(AE212="Y",A212&amp;"_STAAD.std","n/a"))</f>
        <v/>
      </c>
      <c r="AJ212" s="10" t="str">
        <f aca="false">IF(A212="","",A212&amp;"_CALC.xlsx")</f>
        <v/>
      </c>
      <c r="AK212" s="10" t="str">
        <f aca="false">IF(A212="","",A212&amp;"_CALC.pdf")</f>
        <v/>
      </c>
      <c r="AL212" s="9"/>
      <c r="AM212" s="9"/>
      <c r="AN212" s="41"/>
      <c r="AO212" s="41"/>
      <c r="AP212" s="41"/>
      <c r="AQ212" s="41"/>
      <c r="AR212" s="41"/>
      <c r="AS212" s="38" t="str">
        <f aca="false">IF(OR(C212="",D212=""),"",IF(D212&lt;=IF(OR(C212="Block / Segmental",C212="Gabion",C212="Reinforced Earth (MSE)"),SG_Criteria!$B$34,SG_Criteria!$B$33),"No ERSS submission",IF(D212&lt;=SG_Criteria!$B$35,"QP(ST)",IF(D212&lt;=SG_Criteria!$B$36,"QP(ST) + AC","Geotechnical building works: QP(Geo) + AC"))))</f>
        <v/>
      </c>
      <c r="AT212" s="38" t="str">
        <f aca="false">IF(C212="","",IF(LEN(IF(AND(R212&lt;&gt;"",IFERROR(VALUE(MID(R212,2,2)),0)&lt;SG_Criteria!$B$19),"FAIL: grade below C"&amp;SG_Criteria!$B$19&amp;". ","")&amp;IF(AND(S212&lt;&gt;"",S212&lt;SG_Criteria!$B$20),"FAIL: cover &lt; "&amp;SG_Criteria!$B$20&amp;" mm. ","")&amp;IF(AND(W212&lt;&gt;"",W212&lt;1),"FAIL: sliding. ","")&amp;IF(AND(C212="Reverse L-Wall (toe only, at boundary)",N(O212)&gt;0),"NOTE: reverse L-wall should have no heel. ","")&amp;IF(AND(C212="L-Wall (heel only)",N(N212)&gt;0),"NOTE: L-wall should have no toe. ","")&amp;IF(AND(E212&lt;&gt;"",E212&lt;SG_Criteria!$B$31),"NOTE: q below LTA min "&amp;SG_Criteria!$B$31&amp;" kPa (not for LTA works). ",""))=0,"OK",IF(AND(R212&lt;&gt;"",IFERROR(VALUE(MID(R212,2,2)),0)&lt;SG_Criteria!$B$19),"FAIL: grade below C"&amp;SG_Criteria!$B$19&amp;". ","")&amp;IF(AND(S212&lt;&gt;"",S212&lt;SG_Criteria!$B$20),"FAIL: cover &lt; "&amp;SG_Criteria!$B$20&amp;" mm. ","")&amp;IF(AND(W212&lt;&gt;"",W212&lt;1),"FAIL: sliding. ","")&amp;IF(AND(C212="Reverse L-Wall (toe only, at boundary)",N(O212)&gt;0),"NOTE: reverse L-wall should have no heel. ","")&amp;IF(AND(C212="L-Wall (heel only)",N(N212)&gt;0),"NOTE: L-wall should have no toe. ","")&amp;IF(AND(E212&lt;&gt;"",E212&lt;SG_Criteria!$B$31),"NOTE: q below LTA min "&amp;SG_Criteria!$B$31&amp;" kPa (not for LTA works). ","")))</f>
        <v/>
      </c>
      <c r="AU212" s="9"/>
      <c r="AV212" s="9"/>
      <c r="AW212" s="9"/>
      <c r="AX212" s="9"/>
      <c r="AY212" s="9"/>
      <c r="AZ212" s="31"/>
      <c r="BA212" s="10" t="str">
        <f aca="false">IF(C212="","",IF(AND(AB212="Approved",ISERROR(SEARCH("FAIL",AT212))),"Y","N"))</f>
        <v/>
      </c>
      <c r="BB212" s="10" t="str">
        <f aca="false">IF(C212="","",C212&amp;"|"&amp;D212&amp;"|"&amp;E212&amp;"|"&amp;F212&amp;"|"&amp;BA212)</f>
        <v/>
      </c>
    </row>
    <row r="213" customFormat="false" ht="15" hidden="false" customHeight="false" outlineLevel="0" collapsed="false">
      <c r="A213" s="10" t="str">
        <f aca="false">IF(C213="","","RW-"&amp;IFERROR(VLOOKUP(C213,Lists!$M$4:$N$22,2,0),"??")&amp;"-H"&amp;TEXT(D213*1000,"0000")&amp;"-S"&amp;E213&amp;IF(F213="Y","-GW","")&amp;"-"&amp;AA213)</f>
        <v/>
      </c>
      <c r="B213" s="10" t="str">
        <f aca="false">IF(C213="","",C213&amp;", H = "&amp;TEXT(D213,"0.0")&amp;" m, q = "&amp;E213&amp;" kPa"&amp;IF(F213="Y",", with GWT","")&amp;", "&amp;H213)</f>
        <v/>
      </c>
      <c r="C213" s="9"/>
      <c r="D213" s="41"/>
      <c r="E213" s="40"/>
      <c r="F213" s="9"/>
      <c r="G213" s="40"/>
      <c r="H213" s="9"/>
      <c r="I213" s="40"/>
      <c r="J213" s="43"/>
      <c r="K213" s="40"/>
      <c r="L213" s="40"/>
      <c r="M213" s="40"/>
      <c r="N213" s="40"/>
      <c r="O213" s="40"/>
      <c r="P213" s="40"/>
      <c r="Q213" s="9"/>
      <c r="R213" s="9"/>
      <c r="S213" s="40"/>
      <c r="T213" s="9"/>
      <c r="U213" s="9"/>
      <c r="V213" s="9"/>
      <c r="W213" s="41"/>
      <c r="X213" s="41"/>
      <c r="Y213" s="40"/>
      <c r="Z213" s="9"/>
      <c r="AA213" s="9"/>
      <c r="AB213" s="9"/>
      <c r="AC213" s="9"/>
      <c r="AD213" s="9"/>
      <c r="AE213" s="9"/>
      <c r="AF213" s="10" t="str">
        <f aca="false">IF(A213="","",SG_Criteria!$B$6&amp;SG_Criteria!$B$8&amp;"\"&amp;A213&amp;"\")</f>
        <v/>
      </c>
      <c r="AG213" s="10" t="str">
        <f aca="false">IF(A213="","",A213&amp;"_CAD.dwg")</f>
        <v/>
      </c>
      <c r="AH213" s="10" t="str">
        <f aca="false">IF(A213="","",A213&amp;"_DWG.pdf")</f>
        <v/>
      </c>
      <c r="AI213" s="10" t="str">
        <f aca="false">IF(A213="","",IF(AE213="Y",A213&amp;"_STAAD.std","n/a"))</f>
        <v/>
      </c>
      <c r="AJ213" s="10" t="str">
        <f aca="false">IF(A213="","",A213&amp;"_CALC.xlsx")</f>
        <v/>
      </c>
      <c r="AK213" s="10" t="str">
        <f aca="false">IF(A213="","",A213&amp;"_CALC.pdf")</f>
        <v/>
      </c>
      <c r="AL213" s="9"/>
      <c r="AM213" s="9"/>
      <c r="AN213" s="41"/>
      <c r="AO213" s="41"/>
      <c r="AP213" s="41"/>
      <c r="AQ213" s="41"/>
      <c r="AR213" s="41"/>
      <c r="AS213" s="38" t="str">
        <f aca="false">IF(OR(C213="",D213=""),"",IF(D213&lt;=IF(OR(C213="Block / Segmental",C213="Gabion",C213="Reinforced Earth (MSE)"),SG_Criteria!$B$34,SG_Criteria!$B$33),"No ERSS submission",IF(D213&lt;=SG_Criteria!$B$35,"QP(ST)",IF(D213&lt;=SG_Criteria!$B$36,"QP(ST) + AC","Geotechnical building works: QP(Geo) + AC"))))</f>
        <v/>
      </c>
      <c r="AT213" s="38" t="str">
        <f aca="false">IF(C213="","",IF(LEN(IF(AND(R213&lt;&gt;"",IFERROR(VALUE(MID(R213,2,2)),0)&lt;SG_Criteria!$B$19),"FAIL: grade below C"&amp;SG_Criteria!$B$19&amp;". ","")&amp;IF(AND(S213&lt;&gt;"",S213&lt;SG_Criteria!$B$20),"FAIL: cover &lt; "&amp;SG_Criteria!$B$20&amp;" mm. ","")&amp;IF(AND(W213&lt;&gt;"",W213&lt;1),"FAIL: sliding. ","")&amp;IF(AND(C213="Reverse L-Wall (toe only, at boundary)",N(O213)&gt;0),"NOTE: reverse L-wall should have no heel. ","")&amp;IF(AND(C213="L-Wall (heel only)",N(N213)&gt;0),"NOTE: L-wall should have no toe. ","")&amp;IF(AND(E213&lt;&gt;"",E213&lt;SG_Criteria!$B$31),"NOTE: q below LTA min "&amp;SG_Criteria!$B$31&amp;" kPa (not for LTA works). ",""))=0,"OK",IF(AND(R213&lt;&gt;"",IFERROR(VALUE(MID(R213,2,2)),0)&lt;SG_Criteria!$B$19),"FAIL: grade below C"&amp;SG_Criteria!$B$19&amp;". ","")&amp;IF(AND(S213&lt;&gt;"",S213&lt;SG_Criteria!$B$20),"FAIL: cover &lt; "&amp;SG_Criteria!$B$20&amp;" mm. ","")&amp;IF(AND(W213&lt;&gt;"",W213&lt;1),"FAIL: sliding. ","")&amp;IF(AND(C213="Reverse L-Wall (toe only, at boundary)",N(O213)&gt;0),"NOTE: reverse L-wall should have no heel. ","")&amp;IF(AND(C213="L-Wall (heel only)",N(N213)&gt;0),"NOTE: L-wall should have no toe. ","")&amp;IF(AND(E213&lt;&gt;"",E213&lt;SG_Criteria!$B$31),"NOTE: q below LTA min "&amp;SG_Criteria!$B$31&amp;" kPa (not for LTA works). ","")))</f>
        <v/>
      </c>
      <c r="AU213" s="9"/>
      <c r="AV213" s="9"/>
      <c r="AW213" s="9"/>
      <c r="AX213" s="9"/>
      <c r="AY213" s="9"/>
      <c r="AZ213" s="31"/>
      <c r="BA213" s="10" t="str">
        <f aca="false">IF(C213="","",IF(AND(AB213="Approved",ISERROR(SEARCH("FAIL",AT213))),"Y","N"))</f>
        <v/>
      </c>
      <c r="BB213" s="10" t="str">
        <f aca="false">IF(C213="","",C213&amp;"|"&amp;D213&amp;"|"&amp;E213&amp;"|"&amp;F213&amp;"|"&amp;BA213)</f>
        <v/>
      </c>
    </row>
    <row r="214" customFormat="false" ht="15" hidden="false" customHeight="false" outlineLevel="0" collapsed="false">
      <c r="A214" s="10" t="str">
        <f aca="false">IF(C214="","","RW-"&amp;IFERROR(VLOOKUP(C214,Lists!$M$4:$N$22,2,0),"??")&amp;"-H"&amp;TEXT(D214*1000,"0000")&amp;"-S"&amp;E214&amp;IF(F214="Y","-GW","")&amp;"-"&amp;AA214)</f>
        <v/>
      </c>
      <c r="B214" s="10" t="str">
        <f aca="false">IF(C214="","",C214&amp;", H = "&amp;TEXT(D214,"0.0")&amp;" m, q = "&amp;E214&amp;" kPa"&amp;IF(F214="Y",", with GWT","")&amp;", "&amp;H214)</f>
        <v/>
      </c>
      <c r="C214" s="9"/>
      <c r="D214" s="41"/>
      <c r="E214" s="40"/>
      <c r="F214" s="9"/>
      <c r="G214" s="40"/>
      <c r="H214" s="9"/>
      <c r="I214" s="40"/>
      <c r="J214" s="43"/>
      <c r="K214" s="40"/>
      <c r="L214" s="40"/>
      <c r="M214" s="40"/>
      <c r="N214" s="40"/>
      <c r="O214" s="40"/>
      <c r="P214" s="40"/>
      <c r="Q214" s="9"/>
      <c r="R214" s="9"/>
      <c r="S214" s="40"/>
      <c r="T214" s="9"/>
      <c r="U214" s="9"/>
      <c r="V214" s="9"/>
      <c r="W214" s="41"/>
      <c r="X214" s="41"/>
      <c r="Y214" s="40"/>
      <c r="Z214" s="9"/>
      <c r="AA214" s="9"/>
      <c r="AB214" s="9"/>
      <c r="AC214" s="9"/>
      <c r="AD214" s="9"/>
      <c r="AE214" s="9"/>
      <c r="AF214" s="10" t="str">
        <f aca="false">IF(A214="","",SG_Criteria!$B$6&amp;SG_Criteria!$B$8&amp;"\"&amp;A214&amp;"\")</f>
        <v/>
      </c>
      <c r="AG214" s="10" t="str">
        <f aca="false">IF(A214="","",A214&amp;"_CAD.dwg")</f>
        <v/>
      </c>
      <c r="AH214" s="10" t="str">
        <f aca="false">IF(A214="","",A214&amp;"_DWG.pdf")</f>
        <v/>
      </c>
      <c r="AI214" s="10" t="str">
        <f aca="false">IF(A214="","",IF(AE214="Y",A214&amp;"_STAAD.std","n/a"))</f>
        <v/>
      </c>
      <c r="AJ214" s="10" t="str">
        <f aca="false">IF(A214="","",A214&amp;"_CALC.xlsx")</f>
        <v/>
      </c>
      <c r="AK214" s="10" t="str">
        <f aca="false">IF(A214="","",A214&amp;"_CALC.pdf")</f>
        <v/>
      </c>
      <c r="AL214" s="9"/>
      <c r="AM214" s="9"/>
      <c r="AN214" s="41"/>
      <c r="AO214" s="41"/>
      <c r="AP214" s="41"/>
      <c r="AQ214" s="41"/>
      <c r="AR214" s="41"/>
      <c r="AS214" s="38" t="str">
        <f aca="false">IF(OR(C214="",D214=""),"",IF(D214&lt;=IF(OR(C214="Block / Segmental",C214="Gabion",C214="Reinforced Earth (MSE)"),SG_Criteria!$B$34,SG_Criteria!$B$33),"No ERSS submission",IF(D214&lt;=SG_Criteria!$B$35,"QP(ST)",IF(D214&lt;=SG_Criteria!$B$36,"QP(ST) + AC","Geotechnical building works: QP(Geo) + AC"))))</f>
        <v/>
      </c>
      <c r="AT214" s="38" t="str">
        <f aca="false">IF(C214="","",IF(LEN(IF(AND(R214&lt;&gt;"",IFERROR(VALUE(MID(R214,2,2)),0)&lt;SG_Criteria!$B$19),"FAIL: grade below C"&amp;SG_Criteria!$B$19&amp;". ","")&amp;IF(AND(S214&lt;&gt;"",S214&lt;SG_Criteria!$B$20),"FAIL: cover &lt; "&amp;SG_Criteria!$B$20&amp;" mm. ","")&amp;IF(AND(W214&lt;&gt;"",W214&lt;1),"FAIL: sliding. ","")&amp;IF(AND(C214="Reverse L-Wall (toe only, at boundary)",N(O214)&gt;0),"NOTE: reverse L-wall should have no heel. ","")&amp;IF(AND(C214="L-Wall (heel only)",N(N214)&gt;0),"NOTE: L-wall should have no toe. ","")&amp;IF(AND(E214&lt;&gt;"",E214&lt;SG_Criteria!$B$31),"NOTE: q below LTA min "&amp;SG_Criteria!$B$31&amp;" kPa (not for LTA works). ",""))=0,"OK",IF(AND(R214&lt;&gt;"",IFERROR(VALUE(MID(R214,2,2)),0)&lt;SG_Criteria!$B$19),"FAIL: grade below C"&amp;SG_Criteria!$B$19&amp;". ","")&amp;IF(AND(S214&lt;&gt;"",S214&lt;SG_Criteria!$B$20),"FAIL: cover &lt; "&amp;SG_Criteria!$B$20&amp;" mm. ","")&amp;IF(AND(W214&lt;&gt;"",W214&lt;1),"FAIL: sliding. ","")&amp;IF(AND(C214="Reverse L-Wall (toe only, at boundary)",N(O214)&gt;0),"NOTE: reverse L-wall should have no heel. ","")&amp;IF(AND(C214="L-Wall (heel only)",N(N214)&gt;0),"NOTE: L-wall should have no toe. ","")&amp;IF(AND(E214&lt;&gt;"",E214&lt;SG_Criteria!$B$31),"NOTE: q below LTA min "&amp;SG_Criteria!$B$31&amp;" kPa (not for LTA works). ","")))</f>
        <v/>
      </c>
      <c r="AU214" s="9"/>
      <c r="AV214" s="9"/>
      <c r="AW214" s="9"/>
      <c r="AX214" s="9"/>
      <c r="AY214" s="9"/>
      <c r="AZ214" s="31"/>
      <c r="BA214" s="10" t="str">
        <f aca="false">IF(C214="","",IF(AND(AB214="Approved",ISERROR(SEARCH("FAIL",AT214))),"Y","N"))</f>
        <v/>
      </c>
      <c r="BB214" s="10" t="str">
        <f aca="false">IF(C214="","",C214&amp;"|"&amp;D214&amp;"|"&amp;E214&amp;"|"&amp;F214&amp;"|"&amp;BA214)</f>
        <v/>
      </c>
    </row>
    <row r="215" customFormat="false" ht="15" hidden="false" customHeight="false" outlineLevel="0" collapsed="false">
      <c r="A215" s="10" t="str">
        <f aca="false">IF(C215="","","RW-"&amp;IFERROR(VLOOKUP(C215,Lists!$M$4:$N$22,2,0),"??")&amp;"-H"&amp;TEXT(D215*1000,"0000")&amp;"-S"&amp;E215&amp;IF(F215="Y","-GW","")&amp;"-"&amp;AA215)</f>
        <v/>
      </c>
      <c r="B215" s="10" t="str">
        <f aca="false">IF(C215="","",C215&amp;", H = "&amp;TEXT(D215,"0.0")&amp;" m, q = "&amp;E215&amp;" kPa"&amp;IF(F215="Y",", with GWT","")&amp;", "&amp;H215)</f>
        <v/>
      </c>
      <c r="C215" s="9"/>
      <c r="D215" s="41"/>
      <c r="E215" s="40"/>
      <c r="F215" s="9"/>
      <c r="G215" s="40"/>
      <c r="H215" s="9"/>
      <c r="I215" s="40"/>
      <c r="J215" s="43"/>
      <c r="K215" s="40"/>
      <c r="L215" s="40"/>
      <c r="M215" s="40"/>
      <c r="N215" s="40"/>
      <c r="O215" s="40"/>
      <c r="P215" s="40"/>
      <c r="Q215" s="9"/>
      <c r="R215" s="9"/>
      <c r="S215" s="40"/>
      <c r="T215" s="9"/>
      <c r="U215" s="9"/>
      <c r="V215" s="9"/>
      <c r="W215" s="41"/>
      <c r="X215" s="41"/>
      <c r="Y215" s="40"/>
      <c r="Z215" s="9"/>
      <c r="AA215" s="9"/>
      <c r="AB215" s="9"/>
      <c r="AC215" s="9"/>
      <c r="AD215" s="9"/>
      <c r="AE215" s="9"/>
      <c r="AF215" s="10" t="str">
        <f aca="false">IF(A215="","",SG_Criteria!$B$6&amp;SG_Criteria!$B$8&amp;"\"&amp;A215&amp;"\")</f>
        <v/>
      </c>
      <c r="AG215" s="10" t="str">
        <f aca="false">IF(A215="","",A215&amp;"_CAD.dwg")</f>
        <v/>
      </c>
      <c r="AH215" s="10" t="str">
        <f aca="false">IF(A215="","",A215&amp;"_DWG.pdf")</f>
        <v/>
      </c>
      <c r="AI215" s="10" t="str">
        <f aca="false">IF(A215="","",IF(AE215="Y",A215&amp;"_STAAD.std","n/a"))</f>
        <v/>
      </c>
      <c r="AJ215" s="10" t="str">
        <f aca="false">IF(A215="","",A215&amp;"_CALC.xlsx")</f>
        <v/>
      </c>
      <c r="AK215" s="10" t="str">
        <f aca="false">IF(A215="","",A215&amp;"_CALC.pdf")</f>
        <v/>
      </c>
      <c r="AL215" s="9"/>
      <c r="AM215" s="9"/>
      <c r="AN215" s="41"/>
      <c r="AO215" s="41"/>
      <c r="AP215" s="41"/>
      <c r="AQ215" s="41"/>
      <c r="AR215" s="41"/>
      <c r="AS215" s="38" t="str">
        <f aca="false">IF(OR(C215="",D215=""),"",IF(D215&lt;=IF(OR(C215="Block / Segmental",C215="Gabion",C215="Reinforced Earth (MSE)"),SG_Criteria!$B$34,SG_Criteria!$B$33),"No ERSS submission",IF(D215&lt;=SG_Criteria!$B$35,"QP(ST)",IF(D215&lt;=SG_Criteria!$B$36,"QP(ST) + AC","Geotechnical building works: QP(Geo) + AC"))))</f>
        <v/>
      </c>
      <c r="AT215" s="38" t="str">
        <f aca="false">IF(C215="","",IF(LEN(IF(AND(R215&lt;&gt;"",IFERROR(VALUE(MID(R215,2,2)),0)&lt;SG_Criteria!$B$19),"FAIL: grade below C"&amp;SG_Criteria!$B$19&amp;". ","")&amp;IF(AND(S215&lt;&gt;"",S215&lt;SG_Criteria!$B$20),"FAIL: cover &lt; "&amp;SG_Criteria!$B$20&amp;" mm. ","")&amp;IF(AND(W215&lt;&gt;"",W215&lt;1),"FAIL: sliding. ","")&amp;IF(AND(C215="Reverse L-Wall (toe only, at boundary)",N(O215)&gt;0),"NOTE: reverse L-wall should have no heel. ","")&amp;IF(AND(C215="L-Wall (heel only)",N(N215)&gt;0),"NOTE: L-wall should have no toe. ","")&amp;IF(AND(E215&lt;&gt;"",E215&lt;SG_Criteria!$B$31),"NOTE: q below LTA min "&amp;SG_Criteria!$B$31&amp;" kPa (not for LTA works). ",""))=0,"OK",IF(AND(R215&lt;&gt;"",IFERROR(VALUE(MID(R215,2,2)),0)&lt;SG_Criteria!$B$19),"FAIL: grade below C"&amp;SG_Criteria!$B$19&amp;". ","")&amp;IF(AND(S215&lt;&gt;"",S215&lt;SG_Criteria!$B$20),"FAIL: cover &lt; "&amp;SG_Criteria!$B$20&amp;" mm. ","")&amp;IF(AND(W215&lt;&gt;"",W215&lt;1),"FAIL: sliding. ","")&amp;IF(AND(C215="Reverse L-Wall (toe only, at boundary)",N(O215)&gt;0),"NOTE: reverse L-wall should have no heel. ","")&amp;IF(AND(C215="L-Wall (heel only)",N(N215)&gt;0),"NOTE: L-wall should have no toe. ","")&amp;IF(AND(E215&lt;&gt;"",E215&lt;SG_Criteria!$B$31),"NOTE: q below LTA min "&amp;SG_Criteria!$B$31&amp;" kPa (not for LTA works). ","")))</f>
        <v/>
      </c>
      <c r="AU215" s="9"/>
      <c r="AV215" s="9"/>
      <c r="AW215" s="9"/>
      <c r="AX215" s="9"/>
      <c r="AY215" s="9"/>
      <c r="AZ215" s="31"/>
      <c r="BA215" s="10" t="str">
        <f aca="false">IF(C215="","",IF(AND(AB215="Approved",ISERROR(SEARCH("FAIL",AT215))),"Y","N"))</f>
        <v/>
      </c>
      <c r="BB215" s="10" t="str">
        <f aca="false">IF(C215="","",C215&amp;"|"&amp;D215&amp;"|"&amp;E215&amp;"|"&amp;F215&amp;"|"&amp;BA215)</f>
        <v/>
      </c>
    </row>
    <row r="216" customFormat="false" ht="15" hidden="false" customHeight="false" outlineLevel="0" collapsed="false">
      <c r="A216" s="10" t="str">
        <f aca="false">IF(C216="","","RW-"&amp;IFERROR(VLOOKUP(C216,Lists!$M$4:$N$22,2,0),"??")&amp;"-H"&amp;TEXT(D216*1000,"0000")&amp;"-S"&amp;E216&amp;IF(F216="Y","-GW","")&amp;"-"&amp;AA216)</f>
        <v/>
      </c>
      <c r="B216" s="10" t="str">
        <f aca="false">IF(C216="","",C216&amp;", H = "&amp;TEXT(D216,"0.0")&amp;" m, q = "&amp;E216&amp;" kPa"&amp;IF(F216="Y",", with GWT","")&amp;", "&amp;H216)</f>
        <v/>
      </c>
      <c r="C216" s="9"/>
      <c r="D216" s="41"/>
      <c r="E216" s="40"/>
      <c r="F216" s="9"/>
      <c r="G216" s="40"/>
      <c r="H216" s="9"/>
      <c r="I216" s="40"/>
      <c r="J216" s="43"/>
      <c r="K216" s="40"/>
      <c r="L216" s="40"/>
      <c r="M216" s="40"/>
      <c r="N216" s="40"/>
      <c r="O216" s="40"/>
      <c r="P216" s="40"/>
      <c r="Q216" s="9"/>
      <c r="R216" s="9"/>
      <c r="S216" s="40"/>
      <c r="T216" s="9"/>
      <c r="U216" s="9"/>
      <c r="V216" s="9"/>
      <c r="W216" s="41"/>
      <c r="X216" s="41"/>
      <c r="Y216" s="40"/>
      <c r="Z216" s="9"/>
      <c r="AA216" s="9"/>
      <c r="AB216" s="9"/>
      <c r="AC216" s="9"/>
      <c r="AD216" s="9"/>
      <c r="AE216" s="9"/>
      <c r="AF216" s="10" t="str">
        <f aca="false">IF(A216="","",SG_Criteria!$B$6&amp;SG_Criteria!$B$8&amp;"\"&amp;A216&amp;"\")</f>
        <v/>
      </c>
      <c r="AG216" s="10" t="str">
        <f aca="false">IF(A216="","",A216&amp;"_CAD.dwg")</f>
        <v/>
      </c>
      <c r="AH216" s="10" t="str">
        <f aca="false">IF(A216="","",A216&amp;"_DWG.pdf")</f>
        <v/>
      </c>
      <c r="AI216" s="10" t="str">
        <f aca="false">IF(A216="","",IF(AE216="Y",A216&amp;"_STAAD.std","n/a"))</f>
        <v/>
      </c>
      <c r="AJ216" s="10" t="str">
        <f aca="false">IF(A216="","",A216&amp;"_CALC.xlsx")</f>
        <v/>
      </c>
      <c r="AK216" s="10" t="str">
        <f aca="false">IF(A216="","",A216&amp;"_CALC.pdf")</f>
        <v/>
      </c>
      <c r="AL216" s="9"/>
      <c r="AM216" s="9"/>
      <c r="AN216" s="41"/>
      <c r="AO216" s="41"/>
      <c r="AP216" s="41"/>
      <c r="AQ216" s="41"/>
      <c r="AR216" s="41"/>
      <c r="AS216" s="38" t="str">
        <f aca="false">IF(OR(C216="",D216=""),"",IF(D216&lt;=IF(OR(C216="Block / Segmental",C216="Gabion",C216="Reinforced Earth (MSE)"),SG_Criteria!$B$34,SG_Criteria!$B$33),"No ERSS submission",IF(D216&lt;=SG_Criteria!$B$35,"QP(ST)",IF(D216&lt;=SG_Criteria!$B$36,"QP(ST) + AC","Geotechnical building works: QP(Geo) + AC"))))</f>
        <v/>
      </c>
      <c r="AT216" s="38" t="str">
        <f aca="false">IF(C216="","",IF(LEN(IF(AND(R216&lt;&gt;"",IFERROR(VALUE(MID(R216,2,2)),0)&lt;SG_Criteria!$B$19),"FAIL: grade below C"&amp;SG_Criteria!$B$19&amp;". ","")&amp;IF(AND(S216&lt;&gt;"",S216&lt;SG_Criteria!$B$20),"FAIL: cover &lt; "&amp;SG_Criteria!$B$20&amp;" mm. ","")&amp;IF(AND(W216&lt;&gt;"",W216&lt;1),"FAIL: sliding. ","")&amp;IF(AND(C216="Reverse L-Wall (toe only, at boundary)",N(O216)&gt;0),"NOTE: reverse L-wall should have no heel. ","")&amp;IF(AND(C216="L-Wall (heel only)",N(N216)&gt;0),"NOTE: L-wall should have no toe. ","")&amp;IF(AND(E216&lt;&gt;"",E216&lt;SG_Criteria!$B$31),"NOTE: q below LTA min "&amp;SG_Criteria!$B$31&amp;" kPa (not for LTA works). ",""))=0,"OK",IF(AND(R216&lt;&gt;"",IFERROR(VALUE(MID(R216,2,2)),0)&lt;SG_Criteria!$B$19),"FAIL: grade below C"&amp;SG_Criteria!$B$19&amp;". ","")&amp;IF(AND(S216&lt;&gt;"",S216&lt;SG_Criteria!$B$20),"FAIL: cover &lt; "&amp;SG_Criteria!$B$20&amp;" mm. ","")&amp;IF(AND(W216&lt;&gt;"",W216&lt;1),"FAIL: sliding. ","")&amp;IF(AND(C216="Reverse L-Wall (toe only, at boundary)",N(O216)&gt;0),"NOTE: reverse L-wall should have no heel. ","")&amp;IF(AND(C216="L-Wall (heel only)",N(N216)&gt;0),"NOTE: L-wall should have no toe. ","")&amp;IF(AND(E216&lt;&gt;"",E216&lt;SG_Criteria!$B$31),"NOTE: q below LTA min "&amp;SG_Criteria!$B$31&amp;" kPa (not for LTA works). ","")))</f>
        <v/>
      </c>
      <c r="AU216" s="9"/>
      <c r="AV216" s="9"/>
      <c r="AW216" s="9"/>
      <c r="AX216" s="9"/>
      <c r="AY216" s="9"/>
      <c r="AZ216" s="31"/>
      <c r="BA216" s="10" t="str">
        <f aca="false">IF(C216="","",IF(AND(AB216="Approved",ISERROR(SEARCH("FAIL",AT216))),"Y","N"))</f>
        <v/>
      </c>
      <c r="BB216" s="10" t="str">
        <f aca="false">IF(C216="","",C216&amp;"|"&amp;D216&amp;"|"&amp;E216&amp;"|"&amp;F216&amp;"|"&amp;BA216)</f>
        <v/>
      </c>
    </row>
    <row r="217" customFormat="false" ht="15" hidden="false" customHeight="false" outlineLevel="0" collapsed="false">
      <c r="A217" s="10" t="str">
        <f aca="false">IF(C217="","","RW-"&amp;IFERROR(VLOOKUP(C217,Lists!$M$4:$N$22,2,0),"??")&amp;"-H"&amp;TEXT(D217*1000,"0000")&amp;"-S"&amp;E217&amp;IF(F217="Y","-GW","")&amp;"-"&amp;AA217)</f>
        <v/>
      </c>
      <c r="B217" s="10" t="str">
        <f aca="false">IF(C217="","",C217&amp;", H = "&amp;TEXT(D217,"0.0")&amp;" m, q = "&amp;E217&amp;" kPa"&amp;IF(F217="Y",", with GWT","")&amp;", "&amp;H217)</f>
        <v/>
      </c>
      <c r="C217" s="9"/>
      <c r="D217" s="41"/>
      <c r="E217" s="40"/>
      <c r="F217" s="9"/>
      <c r="G217" s="40"/>
      <c r="H217" s="9"/>
      <c r="I217" s="40"/>
      <c r="J217" s="43"/>
      <c r="K217" s="40"/>
      <c r="L217" s="40"/>
      <c r="M217" s="40"/>
      <c r="N217" s="40"/>
      <c r="O217" s="40"/>
      <c r="P217" s="40"/>
      <c r="Q217" s="9"/>
      <c r="R217" s="9"/>
      <c r="S217" s="40"/>
      <c r="T217" s="9"/>
      <c r="U217" s="9"/>
      <c r="V217" s="9"/>
      <c r="W217" s="41"/>
      <c r="X217" s="41"/>
      <c r="Y217" s="40"/>
      <c r="Z217" s="9"/>
      <c r="AA217" s="9"/>
      <c r="AB217" s="9"/>
      <c r="AC217" s="9"/>
      <c r="AD217" s="9"/>
      <c r="AE217" s="9"/>
      <c r="AF217" s="10" t="str">
        <f aca="false">IF(A217="","",SG_Criteria!$B$6&amp;SG_Criteria!$B$8&amp;"\"&amp;A217&amp;"\")</f>
        <v/>
      </c>
      <c r="AG217" s="10" t="str">
        <f aca="false">IF(A217="","",A217&amp;"_CAD.dwg")</f>
        <v/>
      </c>
      <c r="AH217" s="10" t="str">
        <f aca="false">IF(A217="","",A217&amp;"_DWG.pdf")</f>
        <v/>
      </c>
      <c r="AI217" s="10" t="str">
        <f aca="false">IF(A217="","",IF(AE217="Y",A217&amp;"_STAAD.std","n/a"))</f>
        <v/>
      </c>
      <c r="AJ217" s="10" t="str">
        <f aca="false">IF(A217="","",A217&amp;"_CALC.xlsx")</f>
        <v/>
      </c>
      <c r="AK217" s="10" t="str">
        <f aca="false">IF(A217="","",A217&amp;"_CALC.pdf")</f>
        <v/>
      </c>
      <c r="AL217" s="9"/>
      <c r="AM217" s="9"/>
      <c r="AN217" s="41"/>
      <c r="AO217" s="41"/>
      <c r="AP217" s="41"/>
      <c r="AQ217" s="41"/>
      <c r="AR217" s="41"/>
      <c r="AS217" s="38" t="str">
        <f aca="false">IF(OR(C217="",D217=""),"",IF(D217&lt;=IF(OR(C217="Block / Segmental",C217="Gabion",C217="Reinforced Earth (MSE)"),SG_Criteria!$B$34,SG_Criteria!$B$33),"No ERSS submission",IF(D217&lt;=SG_Criteria!$B$35,"QP(ST)",IF(D217&lt;=SG_Criteria!$B$36,"QP(ST) + AC","Geotechnical building works: QP(Geo) + AC"))))</f>
        <v/>
      </c>
      <c r="AT217" s="38" t="str">
        <f aca="false">IF(C217="","",IF(LEN(IF(AND(R217&lt;&gt;"",IFERROR(VALUE(MID(R217,2,2)),0)&lt;SG_Criteria!$B$19),"FAIL: grade below C"&amp;SG_Criteria!$B$19&amp;". ","")&amp;IF(AND(S217&lt;&gt;"",S217&lt;SG_Criteria!$B$20),"FAIL: cover &lt; "&amp;SG_Criteria!$B$20&amp;" mm. ","")&amp;IF(AND(W217&lt;&gt;"",W217&lt;1),"FAIL: sliding. ","")&amp;IF(AND(C217="Reverse L-Wall (toe only, at boundary)",N(O217)&gt;0),"NOTE: reverse L-wall should have no heel. ","")&amp;IF(AND(C217="L-Wall (heel only)",N(N217)&gt;0),"NOTE: L-wall should have no toe. ","")&amp;IF(AND(E217&lt;&gt;"",E217&lt;SG_Criteria!$B$31),"NOTE: q below LTA min "&amp;SG_Criteria!$B$31&amp;" kPa (not for LTA works). ",""))=0,"OK",IF(AND(R217&lt;&gt;"",IFERROR(VALUE(MID(R217,2,2)),0)&lt;SG_Criteria!$B$19),"FAIL: grade below C"&amp;SG_Criteria!$B$19&amp;". ","")&amp;IF(AND(S217&lt;&gt;"",S217&lt;SG_Criteria!$B$20),"FAIL: cover &lt; "&amp;SG_Criteria!$B$20&amp;" mm. ","")&amp;IF(AND(W217&lt;&gt;"",W217&lt;1),"FAIL: sliding. ","")&amp;IF(AND(C217="Reverse L-Wall (toe only, at boundary)",N(O217)&gt;0),"NOTE: reverse L-wall should have no heel. ","")&amp;IF(AND(C217="L-Wall (heel only)",N(N217)&gt;0),"NOTE: L-wall should have no toe. ","")&amp;IF(AND(E217&lt;&gt;"",E217&lt;SG_Criteria!$B$31),"NOTE: q below LTA min "&amp;SG_Criteria!$B$31&amp;" kPa (not for LTA works). ","")))</f>
        <v/>
      </c>
      <c r="AU217" s="9"/>
      <c r="AV217" s="9"/>
      <c r="AW217" s="9"/>
      <c r="AX217" s="9"/>
      <c r="AY217" s="9"/>
      <c r="AZ217" s="31"/>
      <c r="BA217" s="10" t="str">
        <f aca="false">IF(C217="","",IF(AND(AB217="Approved",ISERROR(SEARCH("FAIL",AT217))),"Y","N"))</f>
        <v/>
      </c>
      <c r="BB217" s="10" t="str">
        <f aca="false">IF(C217="","",C217&amp;"|"&amp;D217&amp;"|"&amp;E217&amp;"|"&amp;F217&amp;"|"&amp;BA217)</f>
        <v/>
      </c>
    </row>
    <row r="218" customFormat="false" ht="15" hidden="false" customHeight="false" outlineLevel="0" collapsed="false">
      <c r="A218" s="10" t="str">
        <f aca="false">IF(C218="","","RW-"&amp;IFERROR(VLOOKUP(C218,Lists!$M$4:$N$22,2,0),"??")&amp;"-H"&amp;TEXT(D218*1000,"0000")&amp;"-S"&amp;E218&amp;IF(F218="Y","-GW","")&amp;"-"&amp;AA218)</f>
        <v/>
      </c>
      <c r="B218" s="10" t="str">
        <f aca="false">IF(C218="","",C218&amp;", H = "&amp;TEXT(D218,"0.0")&amp;" m, q = "&amp;E218&amp;" kPa"&amp;IF(F218="Y",", with GWT","")&amp;", "&amp;H218)</f>
        <v/>
      </c>
      <c r="C218" s="9"/>
      <c r="D218" s="41"/>
      <c r="E218" s="40"/>
      <c r="F218" s="9"/>
      <c r="G218" s="40"/>
      <c r="H218" s="9"/>
      <c r="I218" s="40"/>
      <c r="J218" s="43"/>
      <c r="K218" s="40"/>
      <c r="L218" s="40"/>
      <c r="M218" s="40"/>
      <c r="N218" s="40"/>
      <c r="O218" s="40"/>
      <c r="P218" s="40"/>
      <c r="Q218" s="9"/>
      <c r="R218" s="9"/>
      <c r="S218" s="40"/>
      <c r="T218" s="9"/>
      <c r="U218" s="9"/>
      <c r="V218" s="9"/>
      <c r="W218" s="41"/>
      <c r="X218" s="41"/>
      <c r="Y218" s="40"/>
      <c r="Z218" s="9"/>
      <c r="AA218" s="9"/>
      <c r="AB218" s="9"/>
      <c r="AC218" s="9"/>
      <c r="AD218" s="9"/>
      <c r="AE218" s="9"/>
      <c r="AF218" s="10" t="str">
        <f aca="false">IF(A218="","",SG_Criteria!$B$6&amp;SG_Criteria!$B$8&amp;"\"&amp;A218&amp;"\")</f>
        <v/>
      </c>
      <c r="AG218" s="10" t="str">
        <f aca="false">IF(A218="","",A218&amp;"_CAD.dwg")</f>
        <v/>
      </c>
      <c r="AH218" s="10" t="str">
        <f aca="false">IF(A218="","",A218&amp;"_DWG.pdf")</f>
        <v/>
      </c>
      <c r="AI218" s="10" t="str">
        <f aca="false">IF(A218="","",IF(AE218="Y",A218&amp;"_STAAD.std","n/a"))</f>
        <v/>
      </c>
      <c r="AJ218" s="10" t="str">
        <f aca="false">IF(A218="","",A218&amp;"_CALC.xlsx")</f>
        <v/>
      </c>
      <c r="AK218" s="10" t="str">
        <f aca="false">IF(A218="","",A218&amp;"_CALC.pdf")</f>
        <v/>
      </c>
      <c r="AL218" s="9"/>
      <c r="AM218" s="9"/>
      <c r="AN218" s="41"/>
      <c r="AO218" s="41"/>
      <c r="AP218" s="41"/>
      <c r="AQ218" s="41"/>
      <c r="AR218" s="41"/>
      <c r="AS218" s="38" t="str">
        <f aca="false">IF(OR(C218="",D218=""),"",IF(D218&lt;=IF(OR(C218="Block / Segmental",C218="Gabion",C218="Reinforced Earth (MSE)"),SG_Criteria!$B$34,SG_Criteria!$B$33),"No ERSS submission",IF(D218&lt;=SG_Criteria!$B$35,"QP(ST)",IF(D218&lt;=SG_Criteria!$B$36,"QP(ST) + AC","Geotechnical building works: QP(Geo) + AC"))))</f>
        <v/>
      </c>
      <c r="AT218" s="38" t="str">
        <f aca="false">IF(C218="","",IF(LEN(IF(AND(R218&lt;&gt;"",IFERROR(VALUE(MID(R218,2,2)),0)&lt;SG_Criteria!$B$19),"FAIL: grade below C"&amp;SG_Criteria!$B$19&amp;". ","")&amp;IF(AND(S218&lt;&gt;"",S218&lt;SG_Criteria!$B$20),"FAIL: cover &lt; "&amp;SG_Criteria!$B$20&amp;" mm. ","")&amp;IF(AND(W218&lt;&gt;"",W218&lt;1),"FAIL: sliding. ","")&amp;IF(AND(C218="Reverse L-Wall (toe only, at boundary)",N(O218)&gt;0),"NOTE: reverse L-wall should have no heel. ","")&amp;IF(AND(C218="L-Wall (heel only)",N(N218)&gt;0),"NOTE: L-wall should have no toe. ","")&amp;IF(AND(E218&lt;&gt;"",E218&lt;SG_Criteria!$B$31),"NOTE: q below LTA min "&amp;SG_Criteria!$B$31&amp;" kPa (not for LTA works). ",""))=0,"OK",IF(AND(R218&lt;&gt;"",IFERROR(VALUE(MID(R218,2,2)),0)&lt;SG_Criteria!$B$19),"FAIL: grade below C"&amp;SG_Criteria!$B$19&amp;". ","")&amp;IF(AND(S218&lt;&gt;"",S218&lt;SG_Criteria!$B$20),"FAIL: cover &lt; "&amp;SG_Criteria!$B$20&amp;" mm. ","")&amp;IF(AND(W218&lt;&gt;"",W218&lt;1),"FAIL: sliding. ","")&amp;IF(AND(C218="Reverse L-Wall (toe only, at boundary)",N(O218)&gt;0),"NOTE: reverse L-wall should have no heel. ","")&amp;IF(AND(C218="L-Wall (heel only)",N(N218)&gt;0),"NOTE: L-wall should have no toe. ","")&amp;IF(AND(E218&lt;&gt;"",E218&lt;SG_Criteria!$B$31),"NOTE: q below LTA min "&amp;SG_Criteria!$B$31&amp;" kPa (not for LTA works). ","")))</f>
        <v/>
      </c>
      <c r="AU218" s="9"/>
      <c r="AV218" s="9"/>
      <c r="AW218" s="9"/>
      <c r="AX218" s="9"/>
      <c r="AY218" s="9"/>
      <c r="AZ218" s="31"/>
      <c r="BA218" s="10" t="str">
        <f aca="false">IF(C218="","",IF(AND(AB218="Approved",ISERROR(SEARCH("FAIL",AT218))),"Y","N"))</f>
        <v/>
      </c>
      <c r="BB218" s="10" t="str">
        <f aca="false">IF(C218="","",C218&amp;"|"&amp;D218&amp;"|"&amp;E218&amp;"|"&amp;F218&amp;"|"&amp;BA218)</f>
        <v/>
      </c>
    </row>
    <row r="219" customFormat="false" ht="15" hidden="false" customHeight="false" outlineLevel="0" collapsed="false">
      <c r="A219" s="10" t="str">
        <f aca="false">IF(C219="","","RW-"&amp;IFERROR(VLOOKUP(C219,Lists!$M$4:$N$22,2,0),"??")&amp;"-H"&amp;TEXT(D219*1000,"0000")&amp;"-S"&amp;E219&amp;IF(F219="Y","-GW","")&amp;"-"&amp;AA219)</f>
        <v/>
      </c>
      <c r="B219" s="10" t="str">
        <f aca="false">IF(C219="","",C219&amp;", H = "&amp;TEXT(D219,"0.0")&amp;" m, q = "&amp;E219&amp;" kPa"&amp;IF(F219="Y",", with GWT","")&amp;", "&amp;H219)</f>
        <v/>
      </c>
      <c r="C219" s="9"/>
      <c r="D219" s="41"/>
      <c r="E219" s="40"/>
      <c r="F219" s="9"/>
      <c r="G219" s="40"/>
      <c r="H219" s="9"/>
      <c r="I219" s="40"/>
      <c r="J219" s="43"/>
      <c r="K219" s="40"/>
      <c r="L219" s="40"/>
      <c r="M219" s="40"/>
      <c r="N219" s="40"/>
      <c r="O219" s="40"/>
      <c r="P219" s="40"/>
      <c r="Q219" s="9"/>
      <c r="R219" s="9"/>
      <c r="S219" s="40"/>
      <c r="T219" s="9"/>
      <c r="U219" s="9"/>
      <c r="V219" s="9"/>
      <c r="W219" s="41"/>
      <c r="X219" s="41"/>
      <c r="Y219" s="40"/>
      <c r="Z219" s="9"/>
      <c r="AA219" s="9"/>
      <c r="AB219" s="9"/>
      <c r="AC219" s="9"/>
      <c r="AD219" s="9"/>
      <c r="AE219" s="9"/>
      <c r="AF219" s="10" t="str">
        <f aca="false">IF(A219="","",SG_Criteria!$B$6&amp;SG_Criteria!$B$8&amp;"\"&amp;A219&amp;"\")</f>
        <v/>
      </c>
      <c r="AG219" s="10" t="str">
        <f aca="false">IF(A219="","",A219&amp;"_CAD.dwg")</f>
        <v/>
      </c>
      <c r="AH219" s="10" t="str">
        <f aca="false">IF(A219="","",A219&amp;"_DWG.pdf")</f>
        <v/>
      </c>
      <c r="AI219" s="10" t="str">
        <f aca="false">IF(A219="","",IF(AE219="Y",A219&amp;"_STAAD.std","n/a"))</f>
        <v/>
      </c>
      <c r="AJ219" s="10" t="str">
        <f aca="false">IF(A219="","",A219&amp;"_CALC.xlsx")</f>
        <v/>
      </c>
      <c r="AK219" s="10" t="str">
        <f aca="false">IF(A219="","",A219&amp;"_CALC.pdf")</f>
        <v/>
      </c>
      <c r="AL219" s="9"/>
      <c r="AM219" s="9"/>
      <c r="AN219" s="41"/>
      <c r="AO219" s="41"/>
      <c r="AP219" s="41"/>
      <c r="AQ219" s="41"/>
      <c r="AR219" s="41"/>
      <c r="AS219" s="38" t="str">
        <f aca="false">IF(OR(C219="",D219=""),"",IF(D219&lt;=IF(OR(C219="Block / Segmental",C219="Gabion",C219="Reinforced Earth (MSE)"),SG_Criteria!$B$34,SG_Criteria!$B$33),"No ERSS submission",IF(D219&lt;=SG_Criteria!$B$35,"QP(ST)",IF(D219&lt;=SG_Criteria!$B$36,"QP(ST) + AC","Geotechnical building works: QP(Geo) + AC"))))</f>
        <v/>
      </c>
      <c r="AT219" s="38" t="str">
        <f aca="false">IF(C219="","",IF(LEN(IF(AND(R219&lt;&gt;"",IFERROR(VALUE(MID(R219,2,2)),0)&lt;SG_Criteria!$B$19),"FAIL: grade below C"&amp;SG_Criteria!$B$19&amp;". ","")&amp;IF(AND(S219&lt;&gt;"",S219&lt;SG_Criteria!$B$20),"FAIL: cover &lt; "&amp;SG_Criteria!$B$20&amp;" mm. ","")&amp;IF(AND(W219&lt;&gt;"",W219&lt;1),"FAIL: sliding. ","")&amp;IF(AND(C219="Reverse L-Wall (toe only, at boundary)",N(O219)&gt;0),"NOTE: reverse L-wall should have no heel. ","")&amp;IF(AND(C219="L-Wall (heel only)",N(N219)&gt;0),"NOTE: L-wall should have no toe. ","")&amp;IF(AND(E219&lt;&gt;"",E219&lt;SG_Criteria!$B$31),"NOTE: q below LTA min "&amp;SG_Criteria!$B$31&amp;" kPa (not for LTA works). ",""))=0,"OK",IF(AND(R219&lt;&gt;"",IFERROR(VALUE(MID(R219,2,2)),0)&lt;SG_Criteria!$B$19),"FAIL: grade below C"&amp;SG_Criteria!$B$19&amp;". ","")&amp;IF(AND(S219&lt;&gt;"",S219&lt;SG_Criteria!$B$20),"FAIL: cover &lt; "&amp;SG_Criteria!$B$20&amp;" mm. ","")&amp;IF(AND(W219&lt;&gt;"",W219&lt;1),"FAIL: sliding. ","")&amp;IF(AND(C219="Reverse L-Wall (toe only, at boundary)",N(O219)&gt;0),"NOTE: reverse L-wall should have no heel. ","")&amp;IF(AND(C219="L-Wall (heel only)",N(N219)&gt;0),"NOTE: L-wall should have no toe. ","")&amp;IF(AND(E219&lt;&gt;"",E219&lt;SG_Criteria!$B$31),"NOTE: q below LTA min "&amp;SG_Criteria!$B$31&amp;" kPa (not for LTA works). ","")))</f>
        <v/>
      </c>
      <c r="AU219" s="9"/>
      <c r="AV219" s="9"/>
      <c r="AW219" s="9"/>
      <c r="AX219" s="9"/>
      <c r="AY219" s="9"/>
      <c r="AZ219" s="31"/>
      <c r="BA219" s="10" t="str">
        <f aca="false">IF(C219="","",IF(AND(AB219="Approved",ISERROR(SEARCH("FAIL",AT219))),"Y","N"))</f>
        <v/>
      </c>
      <c r="BB219" s="10" t="str">
        <f aca="false">IF(C219="","",C219&amp;"|"&amp;D219&amp;"|"&amp;E219&amp;"|"&amp;F219&amp;"|"&amp;BA219)</f>
        <v/>
      </c>
    </row>
    <row r="220" customFormat="false" ht="15" hidden="false" customHeight="false" outlineLevel="0" collapsed="false">
      <c r="A220" s="10" t="str">
        <f aca="false">IF(C220="","","RW-"&amp;IFERROR(VLOOKUP(C220,Lists!$M$4:$N$22,2,0),"??")&amp;"-H"&amp;TEXT(D220*1000,"0000")&amp;"-S"&amp;E220&amp;IF(F220="Y","-GW","")&amp;"-"&amp;AA220)</f>
        <v/>
      </c>
      <c r="B220" s="10" t="str">
        <f aca="false">IF(C220="","",C220&amp;", H = "&amp;TEXT(D220,"0.0")&amp;" m, q = "&amp;E220&amp;" kPa"&amp;IF(F220="Y",", with GWT","")&amp;", "&amp;H220)</f>
        <v/>
      </c>
      <c r="C220" s="9"/>
      <c r="D220" s="41"/>
      <c r="E220" s="40"/>
      <c r="F220" s="9"/>
      <c r="G220" s="40"/>
      <c r="H220" s="9"/>
      <c r="I220" s="40"/>
      <c r="J220" s="43"/>
      <c r="K220" s="40"/>
      <c r="L220" s="40"/>
      <c r="M220" s="40"/>
      <c r="N220" s="40"/>
      <c r="O220" s="40"/>
      <c r="P220" s="40"/>
      <c r="Q220" s="9"/>
      <c r="R220" s="9"/>
      <c r="S220" s="40"/>
      <c r="T220" s="9"/>
      <c r="U220" s="9"/>
      <c r="V220" s="9"/>
      <c r="W220" s="41"/>
      <c r="X220" s="41"/>
      <c r="Y220" s="40"/>
      <c r="Z220" s="9"/>
      <c r="AA220" s="9"/>
      <c r="AB220" s="9"/>
      <c r="AC220" s="9"/>
      <c r="AD220" s="9"/>
      <c r="AE220" s="9"/>
      <c r="AF220" s="10" t="str">
        <f aca="false">IF(A220="","",SG_Criteria!$B$6&amp;SG_Criteria!$B$8&amp;"\"&amp;A220&amp;"\")</f>
        <v/>
      </c>
      <c r="AG220" s="10" t="str">
        <f aca="false">IF(A220="","",A220&amp;"_CAD.dwg")</f>
        <v/>
      </c>
      <c r="AH220" s="10" t="str">
        <f aca="false">IF(A220="","",A220&amp;"_DWG.pdf")</f>
        <v/>
      </c>
      <c r="AI220" s="10" t="str">
        <f aca="false">IF(A220="","",IF(AE220="Y",A220&amp;"_STAAD.std","n/a"))</f>
        <v/>
      </c>
      <c r="AJ220" s="10" t="str">
        <f aca="false">IF(A220="","",A220&amp;"_CALC.xlsx")</f>
        <v/>
      </c>
      <c r="AK220" s="10" t="str">
        <f aca="false">IF(A220="","",A220&amp;"_CALC.pdf")</f>
        <v/>
      </c>
      <c r="AL220" s="9"/>
      <c r="AM220" s="9"/>
      <c r="AN220" s="41"/>
      <c r="AO220" s="41"/>
      <c r="AP220" s="41"/>
      <c r="AQ220" s="41"/>
      <c r="AR220" s="41"/>
      <c r="AS220" s="38" t="str">
        <f aca="false">IF(OR(C220="",D220=""),"",IF(D220&lt;=IF(OR(C220="Block / Segmental",C220="Gabion",C220="Reinforced Earth (MSE)"),SG_Criteria!$B$34,SG_Criteria!$B$33),"No ERSS submission",IF(D220&lt;=SG_Criteria!$B$35,"QP(ST)",IF(D220&lt;=SG_Criteria!$B$36,"QP(ST) + AC","Geotechnical building works: QP(Geo) + AC"))))</f>
        <v/>
      </c>
      <c r="AT220" s="38" t="str">
        <f aca="false">IF(C220="","",IF(LEN(IF(AND(R220&lt;&gt;"",IFERROR(VALUE(MID(R220,2,2)),0)&lt;SG_Criteria!$B$19),"FAIL: grade below C"&amp;SG_Criteria!$B$19&amp;". ","")&amp;IF(AND(S220&lt;&gt;"",S220&lt;SG_Criteria!$B$20),"FAIL: cover &lt; "&amp;SG_Criteria!$B$20&amp;" mm. ","")&amp;IF(AND(W220&lt;&gt;"",W220&lt;1),"FAIL: sliding. ","")&amp;IF(AND(C220="Reverse L-Wall (toe only, at boundary)",N(O220)&gt;0),"NOTE: reverse L-wall should have no heel. ","")&amp;IF(AND(C220="L-Wall (heel only)",N(N220)&gt;0),"NOTE: L-wall should have no toe. ","")&amp;IF(AND(E220&lt;&gt;"",E220&lt;SG_Criteria!$B$31),"NOTE: q below LTA min "&amp;SG_Criteria!$B$31&amp;" kPa (not for LTA works). ",""))=0,"OK",IF(AND(R220&lt;&gt;"",IFERROR(VALUE(MID(R220,2,2)),0)&lt;SG_Criteria!$B$19),"FAIL: grade below C"&amp;SG_Criteria!$B$19&amp;". ","")&amp;IF(AND(S220&lt;&gt;"",S220&lt;SG_Criteria!$B$20),"FAIL: cover &lt; "&amp;SG_Criteria!$B$20&amp;" mm. ","")&amp;IF(AND(W220&lt;&gt;"",W220&lt;1),"FAIL: sliding. ","")&amp;IF(AND(C220="Reverse L-Wall (toe only, at boundary)",N(O220)&gt;0),"NOTE: reverse L-wall should have no heel. ","")&amp;IF(AND(C220="L-Wall (heel only)",N(N220)&gt;0),"NOTE: L-wall should have no toe. ","")&amp;IF(AND(E220&lt;&gt;"",E220&lt;SG_Criteria!$B$31),"NOTE: q below LTA min "&amp;SG_Criteria!$B$31&amp;" kPa (not for LTA works). ","")))</f>
        <v/>
      </c>
      <c r="AU220" s="9"/>
      <c r="AV220" s="9"/>
      <c r="AW220" s="9"/>
      <c r="AX220" s="9"/>
      <c r="AY220" s="9"/>
      <c r="AZ220" s="31"/>
      <c r="BA220" s="10" t="str">
        <f aca="false">IF(C220="","",IF(AND(AB220="Approved",ISERROR(SEARCH("FAIL",AT220))),"Y","N"))</f>
        <v/>
      </c>
      <c r="BB220" s="10" t="str">
        <f aca="false">IF(C220="","",C220&amp;"|"&amp;D220&amp;"|"&amp;E220&amp;"|"&amp;F220&amp;"|"&amp;BA220)</f>
        <v/>
      </c>
    </row>
    <row r="221" customFormat="false" ht="15" hidden="false" customHeight="false" outlineLevel="0" collapsed="false">
      <c r="A221" s="10" t="str">
        <f aca="false">IF(C221="","","RW-"&amp;IFERROR(VLOOKUP(C221,Lists!$M$4:$N$22,2,0),"??")&amp;"-H"&amp;TEXT(D221*1000,"0000")&amp;"-S"&amp;E221&amp;IF(F221="Y","-GW","")&amp;"-"&amp;AA221)</f>
        <v/>
      </c>
      <c r="B221" s="10" t="str">
        <f aca="false">IF(C221="","",C221&amp;", H = "&amp;TEXT(D221,"0.0")&amp;" m, q = "&amp;E221&amp;" kPa"&amp;IF(F221="Y",", with GWT","")&amp;", "&amp;H221)</f>
        <v/>
      </c>
      <c r="C221" s="9"/>
      <c r="D221" s="41"/>
      <c r="E221" s="40"/>
      <c r="F221" s="9"/>
      <c r="G221" s="40"/>
      <c r="H221" s="9"/>
      <c r="I221" s="40"/>
      <c r="J221" s="43"/>
      <c r="K221" s="40"/>
      <c r="L221" s="40"/>
      <c r="M221" s="40"/>
      <c r="N221" s="40"/>
      <c r="O221" s="40"/>
      <c r="P221" s="40"/>
      <c r="Q221" s="9"/>
      <c r="R221" s="9"/>
      <c r="S221" s="40"/>
      <c r="T221" s="9"/>
      <c r="U221" s="9"/>
      <c r="V221" s="9"/>
      <c r="W221" s="41"/>
      <c r="X221" s="41"/>
      <c r="Y221" s="40"/>
      <c r="Z221" s="9"/>
      <c r="AA221" s="9"/>
      <c r="AB221" s="9"/>
      <c r="AC221" s="9"/>
      <c r="AD221" s="9"/>
      <c r="AE221" s="9"/>
      <c r="AF221" s="10" t="str">
        <f aca="false">IF(A221="","",SG_Criteria!$B$6&amp;SG_Criteria!$B$8&amp;"\"&amp;A221&amp;"\")</f>
        <v/>
      </c>
      <c r="AG221" s="10" t="str">
        <f aca="false">IF(A221="","",A221&amp;"_CAD.dwg")</f>
        <v/>
      </c>
      <c r="AH221" s="10" t="str">
        <f aca="false">IF(A221="","",A221&amp;"_DWG.pdf")</f>
        <v/>
      </c>
      <c r="AI221" s="10" t="str">
        <f aca="false">IF(A221="","",IF(AE221="Y",A221&amp;"_STAAD.std","n/a"))</f>
        <v/>
      </c>
      <c r="AJ221" s="10" t="str">
        <f aca="false">IF(A221="","",A221&amp;"_CALC.xlsx")</f>
        <v/>
      </c>
      <c r="AK221" s="10" t="str">
        <f aca="false">IF(A221="","",A221&amp;"_CALC.pdf")</f>
        <v/>
      </c>
      <c r="AL221" s="9"/>
      <c r="AM221" s="9"/>
      <c r="AN221" s="41"/>
      <c r="AO221" s="41"/>
      <c r="AP221" s="41"/>
      <c r="AQ221" s="41"/>
      <c r="AR221" s="41"/>
      <c r="AS221" s="38" t="str">
        <f aca="false">IF(OR(C221="",D221=""),"",IF(D221&lt;=IF(OR(C221="Block / Segmental",C221="Gabion",C221="Reinforced Earth (MSE)"),SG_Criteria!$B$34,SG_Criteria!$B$33),"No ERSS submission",IF(D221&lt;=SG_Criteria!$B$35,"QP(ST)",IF(D221&lt;=SG_Criteria!$B$36,"QP(ST) + AC","Geotechnical building works: QP(Geo) + AC"))))</f>
        <v/>
      </c>
      <c r="AT221" s="38" t="str">
        <f aca="false">IF(C221="","",IF(LEN(IF(AND(R221&lt;&gt;"",IFERROR(VALUE(MID(R221,2,2)),0)&lt;SG_Criteria!$B$19),"FAIL: grade below C"&amp;SG_Criteria!$B$19&amp;". ","")&amp;IF(AND(S221&lt;&gt;"",S221&lt;SG_Criteria!$B$20),"FAIL: cover &lt; "&amp;SG_Criteria!$B$20&amp;" mm. ","")&amp;IF(AND(W221&lt;&gt;"",W221&lt;1),"FAIL: sliding. ","")&amp;IF(AND(C221="Reverse L-Wall (toe only, at boundary)",N(O221)&gt;0),"NOTE: reverse L-wall should have no heel. ","")&amp;IF(AND(C221="L-Wall (heel only)",N(N221)&gt;0),"NOTE: L-wall should have no toe. ","")&amp;IF(AND(E221&lt;&gt;"",E221&lt;SG_Criteria!$B$31),"NOTE: q below LTA min "&amp;SG_Criteria!$B$31&amp;" kPa (not for LTA works). ",""))=0,"OK",IF(AND(R221&lt;&gt;"",IFERROR(VALUE(MID(R221,2,2)),0)&lt;SG_Criteria!$B$19),"FAIL: grade below C"&amp;SG_Criteria!$B$19&amp;". ","")&amp;IF(AND(S221&lt;&gt;"",S221&lt;SG_Criteria!$B$20),"FAIL: cover &lt; "&amp;SG_Criteria!$B$20&amp;" mm. ","")&amp;IF(AND(W221&lt;&gt;"",W221&lt;1),"FAIL: sliding. ","")&amp;IF(AND(C221="Reverse L-Wall (toe only, at boundary)",N(O221)&gt;0),"NOTE: reverse L-wall should have no heel. ","")&amp;IF(AND(C221="L-Wall (heel only)",N(N221)&gt;0),"NOTE: L-wall should have no toe. ","")&amp;IF(AND(E221&lt;&gt;"",E221&lt;SG_Criteria!$B$31),"NOTE: q below LTA min "&amp;SG_Criteria!$B$31&amp;" kPa (not for LTA works). ","")))</f>
        <v/>
      </c>
      <c r="AU221" s="9"/>
      <c r="AV221" s="9"/>
      <c r="AW221" s="9"/>
      <c r="AX221" s="9"/>
      <c r="AY221" s="9"/>
      <c r="AZ221" s="31"/>
      <c r="BA221" s="10" t="str">
        <f aca="false">IF(C221="","",IF(AND(AB221="Approved",ISERROR(SEARCH("FAIL",AT221))),"Y","N"))</f>
        <v/>
      </c>
      <c r="BB221" s="10" t="str">
        <f aca="false">IF(C221="","",C221&amp;"|"&amp;D221&amp;"|"&amp;E221&amp;"|"&amp;F221&amp;"|"&amp;BA221)</f>
        <v/>
      </c>
    </row>
    <row r="222" customFormat="false" ht="15" hidden="false" customHeight="false" outlineLevel="0" collapsed="false">
      <c r="A222" s="10" t="str">
        <f aca="false">IF(C222="","","RW-"&amp;IFERROR(VLOOKUP(C222,Lists!$M$4:$N$22,2,0),"??")&amp;"-H"&amp;TEXT(D222*1000,"0000")&amp;"-S"&amp;E222&amp;IF(F222="Y","-GW","")&amp;"-"&amp;AA222)</f>
        <v/>
      </c>
      <c r="B222" s="10" t="str">
        <f aca="false">IF(C222="","",C222&amp;", H = "&amp;TEXT(D222,"0.0")&amp;" m, q = "&amp;E222&amp;" kPa"&amp;IF(F222="Y",", with GWT","")&amp;", "&amp;H222)</f>
        <v/>
      </c>
      <c r="C222" s="9"/>
      <c r="D222" s="41"/>
      <c r="E222" s="40"/>
      <c r="F222" s="9"/>
      <c r="G222" s="40"/>
      <c r="H222" s="9"/>
      <c r="I222" s="40"/>
      <c r="J222" s="43"/>
      <c r="K222" s="40"/>
      <c r="L222" s="40"/>
      <c r="M222" s="40"/>
      <c r="N222" s="40"/>
      <c r="O222" s="40"/>
      <c r="P222" s="40"/>
      <c r="Q222" s="9"/>
      <c r="R222" s="9"/>
      <c r="S222" s="40"/>
      <c r="T222" s="9"/>
      <c r="U222" s="9"/>
      <c r="V222" s="9"/>
      <c r="W222" s="41"/>
      <c r="X222" s="41"/>
      <c r="Y222" s="40"/>
      <c r="Z222" s="9"/>
      <c r="AA222" s="9"/>
      <c r="AB222" s="9"/>
      <c r="AC222" s="9"/>
      <c r="AD222" s="9"/>
      <c r="AE222" s="9"/>
      <c r="AF222" s="10" t="str">
        <f aca="false">IF(A222="","",SG_Criteria!$B$6&amp;SG_Criteria!$B$8&amp;"\"&amp;A222&amp;"\")</f>
        <v/>
      </c>
      <c r="AG222" s="10" t="str">
        <f aca="false">IF(A222="","",A222&amp;"_CAD.dwg")</f>
        <v/>
      </c>
      <c r="AH222" s="10" t="str">
        <f aca="false">IF(A222="","",A222&amp;"_DWG.pdf")</f>
        <v/>
      </c>
      <c r="AI222" s="10" t="str">
        <f aca="false">IF(A222="","",IF(AE222="Y",A222&amp;"_STAAD.std","n/a"))</f>
        <v/>
      </c>
      <c r="AJ222" s="10" t="str">
        <f aca="false">IF(A222="","",A222&amp;"_CALC.xlsx")</f>
        <v/>
      </c>
      <c r="AK222" s="10" t="str">
        <f aca="false">IF(A222="","",A222&amp;"_CALC.pdf")</f>
        <v/>
      </c>
      <c r="AL222" s="9"/>
      <c r="AM222" s="9"/>
      <c r="AN222" s="41"/>
      <c r="AO222" s="41"/>
      <c r="AP222" s="41"/>
      <c r="AQ222" s="41"/>
      <c r="AR222" s="41"/>
      <c r="AS222" s="38" t="str">
        <f aca="false">IF(OR(C222="",D222=""),"",IF(D222&lt;=IF(OR(C222="Block / Segmental",C222="Gabion",C222="Reinforced Earth (MSE)"),SG_Criteria!$B$34,SG_Criteria!$B$33),"No ERSS submission",IF(D222&lt;=SG_Criteria!$B$35,"QP(ST)",IF(D222&lt;=SG_Criteria!$B$36,"QP(ST) + AC","Geotechnical building works: QP(Geo) + AC"))))</f>
        <v/>
      </c>
      <c r="AT222" s="38" t="str">
        <f aca="false">IF(C222="","",IF(LEN(IF(AND(R222&lt;&gt;"",IFERROR(VALUE(MID(R222,2,2)),0)&lt;SG_Criteria!$B$19),"FAIL: grade below C"&amp;SG_Criteria!$B$19&amp;". ","")&amp;IF(AND(S222&lt;&gt;"",S222&lt;SG_Criteria!$B$20),"FAIL: cover &lt; "&amp;SG_Criteria!$B$20&amp;" mm. ","")&amp;IF(AND(W222&lt;&gt;"",W222&lt;1),"FAIL: sliding. ","")&amp;IF(AND(C222="Reverse L-Wall (toe only, at boundary)",N(O222)&gt;0),"NOTE: reverse L-wall should have no heel. ","")&amp;IF(AND(C222="L-Wall (heel only)",N(N222)&gt;0),"NOTE: L-wall should have no toe. ","")&amp;IF(AND(E222&lt;&gt;"",E222&lt;SG_Criteria!$B$31),"NOTE: q below LTA min "&amp;SG_Criteria!$B$31&amp;" kPa (not for LTA works). ",""))=0,"OK",IF(AND(R222&lt;&gt;"",IFERROR(VALUE(MID(R222,2,2)),0)&lt;SG_Criteria!$B$19),"FAIL: grade below C"&amp;SG_Criteria!$B$19&amp;". ","")&amp;IF(AND(S222&lt;&gt;"",S222&lt;SG_Criteria!$B$20),"FAIL: cover &lt; "&amp;SG_Criteria!$B$20&amp;" mm. ","")&amp;IF(AND(W222&lt;&gt;"",W222&lt;1),"FAIL: sliding. ","")&amp;IF(AND(C222="Reverse L-Wall (toe only, at boundary)",N(O222)&gt;0),"NOTE: reverse L-wall should have no heel. ","")&amp;IF(AND(C222="L-Wall (heel only)",N(N222)&gt;0),"NOTE: L-wall should have no toe. ","")&amp;IF(AND(E222&lt;&gt;"",E222&lt;SG_Criteria!$B$31),"NOTE: q below LTA min "&amp;SG_Criteria!$B$31&amp;" kPa (not for LTA works). ","")))</f>
        <v/>
      </c>
      <c r="AU222" s="9"/>
      <c r="AV222" s="9"/>
      <c r="AW222" s="9"/>
      <c r="AX222" s="9"/>
      <c r="AY222" s="9"/>
      <c r="AZ222" s="31"/>
      <c r="BA222" s="10" t="str">
        <f aca="false">IF(C222="","",IF(AND(AB222="Approved",ISERROR(SEARCH("FAIL",AT222))),"Y","N"))</f>
        <v/>
      </c>
      <c r="BB222" s="10" t="str">
        <f aca="false">IF(C222="","",C222&amp;"|"&amp;D222&amp;"|"&amp;E222&amp;"|"&amp;F222&amp;"|"&amp;BA222)</f>
        <v/>
      </c>
    </row>
    <row r="223" customFormat="false" ht="15" hidden="false" customHeight="false" outlineLevel="0" collapsed="false">
      <c r="A223" s="10" t="str">
        <f aca="false">IF(C223="","","RW-"&amp;IFERROR(VLOOKUP(C223,Lists!$M$4:$N$22,2,0),"??")&amp;"-H"&amp;TEXT(D223*1000,"0000")&amp;"-S"&amp;E223&amp;IF(F223="Y","-GW","")&amp;"-"&amp;AA223)</f>
        <v/>
      </c>
      <c r="B223" s="10" t="str">
        <f aca="false">IF(C223="","",C223&amp;", H = "&amp;TEXT(D223,"0.0")&amp;" m, q = "&amp;E223&amp;" kPa"&amp;IF(F223="Y",", with GWT","")&amp;", "&amp;H223)</f>
        <v/>
      </c>
      <c r="C223" s="9"/>
      <c r="D223" s="41"/>
      <c r="E223" s="40"/>
      <c r="F223" s="9"/>
      <c r="G223" s="40"/>
      <c r="H223" s="9"/>
      <c r="I223" s="40"/>
      <c r="J223" s="43"/>
      <c r="K223" s="40"/>
      <c r="L223" s="40"/>
      <c r="M223" s="40"/>
      <c r="N223" s="40"/>
      <c r="O223" s="40"/>
      <c r="P223" s="40"/>
      <c r="Q223" s="9"/>
      <c r="R223" s="9"/>
      <c r="S223" s="40"/>
      <c r="T223" s="9"/>
      <c r="U223" s="9"/>
      <c r="V223" s="9"/>
      <c r="W223" s="41"/>
      <c r="X223" s="41"/>
      <c r="Y223" s="40"/>
      <c r="Z223" s="9"/>
      <c r="AA223" s="9"/>
      <c r="AB223" s="9"/>
      <c r="AC223" s="9"/>
      <c r="AD223" s="9"/>
      <c r="AE223" s="9"/>
      <c r="AF223" s="10" t="str">
        <f aca="false">IF(A223="","",SG_Criteria!$B$6&amp;SG_Criteria!$B$8&amp;"\"&amp;A223&amp;"\")</f>
        <v/>
      </c>
      <c r="AG223" s="10" t="str">
        <f aca="false">IF(A223="","",A223&amp;"_CAD.dwg")</f>
        <v/>
      </c>
      <c r="AH223" s="10" t="str">
        <f aca="false">IF(A223="","",A223&amp;"_DWG.pdf")</f>
        <v/>
      </c>
      <c r="AI223" s="10" t="str">
        <f aca="false">IF(A223="","",IF(AE223="Y",A223&amp;"_STAAD.std","n/a"))</f>
        <v/>
      </c>
      <c r="AJ223" s="10" t="str">
        <f aca="false">IF(A223="","",A223&amp;"_CALC.xlsx")</f>
        <v/>
      </c>
      <c r="AK223" s="10" t="str">
        <f aca="false">IF(A223="","",A223&amp;"_CALC.pdf")</f>
        <v/>
      </c>
      <c r="AL223" s="9"/>
      <c r="AM223" s="9"/>
      <c r="AN223" s="41"/>
      <c r="AO223" s="41"/>
      <c r="AP223" s="41"/>
      <c r="AQ223" s="41"/>
      <c r="AR223" s="41"/>
      <c r="AS223" s="38" t="str">
        <f aca="false">IF(OR(C223="",D223=""),"",IF(D223&lt;=IF(OR(C223="Block / Segmental",C223="Gabion",C223="Reinforced Earth (MSE)"),SG_Criteria!$B$34,SG_Criteria!$B$33),"No ERSS submission",IF(D223&lt;=SG_Criteria!$B$35,"QP(ST)",IF(D223&lt;=SG_Criteria!$B$36,"QP(ST) + AC","Geotechnical building works: QP(Geo) + AC"))))</f>
        <v/>
      </c>
      <c r="AT223" s="38" t="str">
        <f aca="false">IF(C223="","",IF(LEN(IF(AND(R223&lt;&gt;"",IFERROR(VALUE(MID(R223,2,2)),0)&lt;SG_Criteria!$B$19),"FAIL: grade below C"&amp;SG_Criteria!$B$19&amp;". ","")&amp;IF(AND(S223&lt;&gt;"",S223&lt;SG_Criteria!$B$20),"FAIL: cover &lt; "&amp;SG_Criteria!$B$20&amp;" mm. ","")&amp;IF(AND(W223&lt;&gt;"",W223&lt;1),"FAIL: sliding. ","")&amp;IF(AND(C223="Reverse L-Wall (toe only, at boundary)",N(O223)&gt;0),"NOTE: reverse L-wall should have no heel. ","")&amp;IF(AND(C223="L-Wall (heel only)",N(N223)&gt;0),"NOTE: L-wall should have no toe. ","")&amp;IF(AND(E223&lt;&gt;"",E223&lt;SG_Criteria!$B$31),"NOTE: q below LTA min "&amp;SG_Criteria!$B$31&amp;" kPa (not for LTA works). ",""))=0,"OK",IF(AND(R223&lt;&gt;"",IFERROR(VALUE(MID(R223,2,2)),0)&lt;SG_Criteria!$B$19),"FAIL: grade below C"&amp;SG_Criteria!$B$19&amp;". ","")&amp;IF(AND(S223&lt;&gt;"",S223&lt;SG_Criteria!$B$20),"FAIL: cover &lt; "&amp;SG_Criteria!$B$20&amp;" mm. ","")&amp;IF(AND(W223&lt;&gt;"",W223&lt;1),"FAIL: sliding. ","")&amp;IF(AND(C223="Reverse L-Wall (toe only, at boundary)",N(O223)&gt;0),"NOTE: reverse L-wall should have no heel. ","")&amp;IF(AND(C223="L-Wall (heel only)",N(N223)&gt;0),"NOTE: L-wall should have no toe. ","")&amp;IF(AND(E223&lt;&gt;"",E223&lt;SG_Criteria!$B$31),"NOTE: q below LTA min "&amp;SG_Criteria!$B$31&amp;" kPa (not for LTA works). ","")))</f>
        <v/>
      </c>
      <c r="AU223" s="9"/>
      <c r="AV223" s="9"/>
      <c r="AW223" s="9"/>
      <c r="AX223" s="9"/>
      <c r="AY223" s="9"/>
      <c r="AZ223" s="31"/>
      <c r="BA223" s="10" t="str">
        <f aca="false">IF(C223="","",IF(AND(AB223="Approved",ISERROR(SEARCH("FAIL",AT223))),"Y","N"))</f>
        <v/>
      </c>
      <c r="BB223" s="10" t="str">
        <f aca="false">IF(C223="","",C223&amp;"|"&amp;D223&amp;"|"&amp;E223&amp;"|"&amp;F223&amp;"|"&amp;BA223)</f>
        <v/>
      </c>
    </row>
    <row r="224" customFormat="false" ht="15" hidden="false" customHeight="false" outlineLevel="0" collapsed="false">
      <c r="A224" s="10" t="str">
        <f aca="false">IF(C224="","","RW-"&amp;IFERROR(VLOOKUP(C224,Lists!$M$4:$N$22,2,0),"??")&amp;"-H"&amp;TEXT(D224*1000,"0000")&amp;"-S"&amp;E224&amp;IF(F224="Y","-GW","")&amp;"-"&amp;AA224)</f>
        <v/>
      </c>
      <c r="B224" s="10" t="str">
        <f aca="false">IF(C224="","",C224&amp;", H = "&amp;TEXT(D224,"0.0")&amp;" m, q = "&amp;E224&amp;" kPa"&amp;IF(F224="Y",", with GWT","")&amp;", "&amp;H224)</f>
        <v/>
      </c>
      <c r="C224" s="9"/>
      <c r="D224" s="41"/>
      <c r="E224" s="40"/>
      <c r="F224" s="9"/>
      <c r="G224" s="40"/>
      <c r="H224" s="9"/>
      <c r="I224" s="40"/>
      <c r="J224" s="43"/>
      <c r="K224" s="40"/>
      <c r="L224" s="40"/>
      <c r="M224" s="40"/>
      <c r="N224" s="40"/>
      <c r="O224" s="40"/>
      <c r="P224" s="40"/>
      <c r="Q224" s="9"/>
      <c r="R224" s="9"/>
      <c r="S224" s="40"/>
      <c r="T224" s="9"/>
      <c r="U224" s="9"/>
      <c r="V224" s="9"/>
      <c r="W224" s="41"/>
      <c r="X224" s="41"/>
      <c r="Y224" s="40"/>
      <c r="Z224" s="9"/>
      <c r="AA224" s="9"/>
      <c r="AB224" s="9"/>
      <c r="AC224" s="9"/>
      <c r="AD224" s="9"/>
      <c r="AE224" s="9"/>
      <c r="AF224" s="10" t="str">
        <f aca="false">IF(A224="","",SG_Criteria!$B$6&amp;SG_Criteria!$B$8&amp;"\"&amp;A224&amp;"\")</f>
        <v/>
      </c>
      <c r="AG224" s="10" t="str">
        <f aca="false">IF(A224="","",A224&amp;"_CAD.dwg")</f>
        <v/>
      </c>
      <c r="AH224" s="10" t="str">
        <f aca="false">IF(A224="","",A224&amp;"_DWG.pdf")</f>
        <v/>
      </c>
      <c r="AI224" s="10" t="str">
        <f aca="false">IF(A224="","",IF(AE224="Y",A224&amp;"_STAAD.std","n/a"))</f>
        <v/>
      </c>
      <c r="AJ224" s="10" t="str">
        <f aca="false">IF(A224="","",A224&amp;"_CALC.xlsx")</f>
        <v/>
      </c>
      <c r="AK224" s="10" t="str">
        <f aca="false">IF(A224="","",A224&amp;"_CALC.pdf")</f>
        <v/>
      </c>
      <c r="AL224" s="9"/>
      <c r="AM224" s="9"/>
      <c r="AN224" s="41"/>
      <c r="AO224" s="41"/>
      <c r="AP224" s="41"/>
      <c r="AQ224" s="41"/>
      <c r="AR224" s="41"/>
      <c r="AS224" s="38" t="str">
        <f aca="false">IF(OR(C224="",D224=""),"",IF(D224&lt;=IF(OR(C224="Block / Segmental",C224="Gabion",C224="Reinforced Earth (MSE)"),SG_Criteria!$B$34,SG_Criteria!$B$33),"No ERSS submission",IF(D224&lt;=SG_Criteria!$B$35,"QP(ST)",IF(D224&lt;=SG_Criteria!$B$36,"QP(ST) + AC","Geotechnical building works: QP(Geo) + AC"))))</f>
        <v/>
      </c>
      <c r="AT224" s="38" t="str">
        <f aca="false">IF(C224="","",IF(LEN(IF(AND(R224&lt;&gt;"",IFERROR(VALUE(MID(R224,2,2)),0)&lt;SG_Criteria!$B$19),"FAIL: grade below C"&amp;SG_Criteria!$B$19&amp;". ","")&amp;IF(AND(S224&lt;&gt;"",S224&lt;SG_Criteria!$B$20),"FAIL: cover &lt; "&amp;SG_Criteria!$B$20&amp;" mm. ","")&amp;IF(AND(W224&lt;&gt;"",W224&lt;1),"FAIL: sliding. ","")&amp;IF(AND(C224="Reverse L-Wall (toe only, at boundary)",N(O224)&gt;0),"NOTE: reverse L-wall should have no heel. ","")&amp;IF(AND(C224="L-Wall (heel only)",N(N224)&gt;0),"NOTE: L-wall should have no toe. ","")&amp;IF(AND(E224&lt;&gt;"",E224&lt;SG_Criteria!$B$31),"NOTE: q below LTA min "&amp;SG_Criteria!$B$31&amp;" kPa (not for LTA works). ",""))=0,"OK",IF(AND(R224&lt;&gt;"",IFERROR(VALUE(MID(R224,2,2)),0)&lt;SG_Criteria!$B$19),"FAIL: grade below C"&amp;SG_Criteria!$B$19&amp;". ","")&amp;IF(AND(S224&lt;&gt;"",S224&lt;SG_Criteria!$B$20),"FAIL: cover &lt; "&amp;SG_Criteria!$B$20&amp;" mm. ","")&amp;IF(AND(W224&lt;&gt;"",W224&lt;1),"FAIL: sliding. ","")&amp;IF(AND(C224="Reverse L-Wall (toe only, at boundary)",N(O224)&gt;0),"NOTE: reverse L-wall should have no heel. ","")&amp;IF(AND(C224="L-Wall (heel only)",N(N224)&gt;0),"NOTE: L-wall should have no toe. ","")&amp;IF(AND(E224&lt;&gt;"",E224&lt;SG_Criteria!$B$31),"NOTE: q below LTA min "&amp;SG_Criteria!$B$31&amp;" kPa (not for LTA works). ","")))</f>
        <v/>
      </c>
      <c r="AU224" s="9"/>
      <c r="AV224" s="9"/>
      <c r="AW224" s="9"/>
      <c r="AX224" s="9"/>
      <c r="AY224" s="9"/>
      <c r="AZ224" s="31"/>
      <c r="BA224" s="10" t="str">
        <f aca="false">IF(C224="","",IF(AND(AB224="Approved",ISERROR(SEARCH("FAIL",AT224))),"Y","N"))</f>
        <v/>
      </c>
      <c r="BB224" s="10" t="str">
        <f aca="false">IF(C224="","",C224&amp;"|"&amp;D224&amp;"|"&amp;E224&amp;"|"&amp;F224&amp;"|"&amp;BA224)</f>
        <v/>
      </c>
    </row>
    <row r="225" customFormat="false" ht="15" hidden="false" customHeight="false" outlineLevel="0" collapsed="false">
      <c r="A225" s="10" t="str">
        <f aca="false">IF(C225="","","RW-"&amp;IFERROR(VLOOKUP(C225,Lists!$M$4:$N$22,2,0),"??")&amp;"-H"&amp;TEXT(D225*1000,"0000")&amp;"-S"&amp;E225&amp;IF(F225="Y","-GW","")&amp;"-"&amp;AA225)</f>
        <v/>
      </c>
      <c r="B225" s="10" t="str">
        <f aca="false">IF(C225="","",C225&amp;", H = "&amp;TEXT(D225,"0.0")&amp;" m, q = "&amp;E225&amp;" kPa"&amp;IF(F225="Y",", with GWT","")&amp;", "&amp;H225)</f>
        <v/>
      </c>
      <c r="C225" s="9"/>
      <c r="D225" s="41"/>
      <c r="E225" s="40"/>
      <c r="F225" s="9"/>
      <c r="G225" s="40"/>
      <c r="H225" s="9"/>
      <c r="I225" s="40"/>
      <c r="J225" s="43"/>
      <c r="K225" s="40"/>
      <c r="L225" s="40"/>
      <c r="M225" s="40"/>
      <c r="N225" s="40"/>
      <c r="O225" s="40"/>
      <c r="P225" s="40"/>
      <c r="Q225" s="9"/>
      <c r="R225" s="9"/>
      <c r="S225" s="40"/>
      <c r="T225" s="9"/>
      <c r="U225" s="9"/>
      <c r="V225" s="9"/>
      <c r="W225" s="41"/>
      <c r="X225" s="41"/>
      <c r="Y225" s="40"/>
      <c r="Z225" s="9"/>
      <c r="AA225" s="9"/>
      <c r="AB225" s="9"/>
      <c r="AC225" s="9"/>
      <c r="AD225" s="9"/>
      <c r="AE225" s="9"/>
      <c r="AF225" s="10" t="str">
        <f aca="false">IF(A225="","",SG_Criteria!$B$6&amp;SG_Criteria!$B$8&amp;"\"&amp;A225&amp;"\")</f>
        <v/>
      </c>
      <c r="AG225" s="10" t="str">
        <f aca="false">IF(A225="","",A225&amp;"_CAD.dwg")</f>
        <v/>
      </c>
      <c r="AH225" s="10" t="str">
        <f aca="false">IF(A225="","",A225&amp;"_DWG.pdf")</f>
        <v/>
      </c>
      <c r="AI225" s="10" t="str">
        <f aca="false">IF(A225="","",IF(AE225="Y",A225&amp;"_STAAD.std","n/a"))</f>
        <v/>
      </c>
      <c r="AJ225" s="10" t="str">
        <f aca="false">IF(A225="","",A225&amp;"_CALC.xlsx")</f>
        <v/>
      </c>
      <c r="AK225" s="10" t="str">
        <f aca="false">IF(A225="","",A225&amp;"_CALC.pdf")</f>
        <v/>
      </c>
      <c r="AL225" s="9"/>
      <c r="AM225" s="9"/>
      <c r="AN225" s="41"/>
      <c r="AO225" s="41"/>
      <c r="AP225" s="41"/>
      <c r="AQ225" s="41"/>
      <c r="AR225" s="41"/>
      <c r="AS225" s="38" t="str">
        <f aca="false">IF(OR(C225="",D225=""),"",IF(D225&lt;=IF(OR(C225="Block / Segmental",C225="Gabion",C225="Reinforced Earth (MSE)"),SG_Criteria!$B$34,SG_Criteria!$B$33),"No ERSS submission",IF(D225&lt;=SG_Criteria!$B$35,"QP(ST)",IF(D225&lt;=SG_Criteria!$B$36,"QP(ST) + AC","Geotechnical building works: QP(Geo) + AC"))))</f>
        <v/>
      </c>
      <c r="AT225" s="38" t="str">
        <f aca="false">IF(C225="","",IF(LEN(IF(AND(R225&lt;&gt;"",IFERROR(VALUE(MID(R225,2,2)),0)&lt;SG_Criteria!$B$19),"FAIL: grade below C"&amp;SG_Criteria!$B$19&amp;". ","")&amp;IF(AND(S225&lt;&gt;"",S225&lt;SG_Criteria!$B$20),"FAIL: cover &lt; "&amp;SG_Criteria!$B$20&amp;" mm. ","")&amp;IF(AND(W225&lt;&gt;"",W225&lt;1),"FAIL: sliding. ","")&amp;IF(AND(C225="Reverse L-Wall (toe only, at boundary)",N(O225)&gt;0),"NOTE: reverse L-wall should have no heel. ","")&amp;IF(AND(C225="L-Wall (heel only)",N(N225)&gt;0),"NOTE: L-wall should have no toe. ","")&amp;IF(AND(E225&lt;&gt;"",E225&lt;SG_Criteria!$B$31),"NOTE: q below LTA min "&amp;SG_Criteria!$B$31&amp;" kPa (not for LTA works). ",""))=0,"OK",IF(AND(R225&lt;&gt;"",IFERROR(VALUE(MID(R225,2,2)),0)&lt;SG_Criteria!$B$19),"FAIL: grade below C"&amp;SG_Criteria!$B$19&amp;". ","")&amp;IF(AND(S225&lt;&gt;"",S225&lt;SG_Criteria!$B$20),"FAIL: cover &lt; "&amp;SG_Criteria!$B$20&amp;" mm. ","")&amp;IF(AND(W225&lt;&gt;"",W225&lt;1),"FAIL: sliding. ","")&amp;IF(AND(C225="Reverse L-Wall (toe only, at boundary)",N(O225)&gt;0),"NOTE: reverse L-wall should have no heel. ","")&amp;IF(AND(C225="L-Wall (heel only)",N(N225)&gt;0),"NOTE: L-wall should have no toe. ","")&amp;IF(AND(E225&lt;&gt;"",E225&lt;SG_Criteria!$B$31),"NOTE: q below LTA min "&amp;SG_Criteria!$B$31&amp;" kPa (not for LTA works). ","")))</f>
        <v/>
      </c>
      <c r="AU225" s="9"/>
      <c r="AV225" s="9"/>
      <c r="AW225" s="9"/>
      <c r="AX225" s="9"/>
      <c r="AY225" s="9"/>
      <c r="AZ225" s="31"/>
      <c r="BA225" s="10" t="str">
        <f aca="false">IF(C225="","",IF(AND(AB225="Approved",ISERROR(SEARCH("FAIL",AT225))),"Y","N"))</f>
        <v/>
      </c>
      <c r="BB225" s="10" t="str">
        <f aca="false">IF(C225="","",C225&amp;"|"&amp;D225&amp;"|"&amp;E225&amp;"|"&amp;F225&amp;"|"&amp;BA225)</f>
        <v/>
      </c>
    </row>
    <row r="226" customFormat="false" ht="15" hidden="false" customHeight="false" outlineLevel="0" collapsed="false">
      <c r="A226" s="10" t="str">
        <f aca="false">IF(C226="","","RW-"&amp;IFERROR(VLOOKUP(C226,Lists!$M$4:$N$22,2,0),"??")&amp;"-H"&amp;TEXT(D226*1000,"0000")&amp;"-S"&amp;E226&amp;IF(F226="Y","-GW","")&amp;"-"&amp;AA226)</f>
        <v/>
      </c>
      <c r="B226" s="10" t="str">
        <f aca="false">IF(C226="","",C226&amp;", H = "&amp;TEXT(D226,"0.0")&amp;" m, q = "&amp;E226&amp;" kPa"&amp;IF(F226="Y",", with GWT","")&amp;", "&amp;H226)</f>
        <v/>
      </c>
      <c r="C226" s="9"/>
      <c r="D226" s="41"/>
      <c r="E226" s="40"/>
      <c r="F226" s="9"/>
      <c r="G226" s="40"/>
      <c r="H226" s="9"/>
      <c r="I226" s="40"/>
      <c r="J226" s="43"/>
      <c r="K226" s="40"/>
      <c r="L226" s="40"/>
      <c r="M226" s="40"/>
      <c r="N226" s="40"/>
      <c r="O226" s="40"/>
      <c r="P226" s="40"/>
      <c r="Q226" s="9"/>
      <c r="R226" s="9"/>
      <c r="S226" s="40"/>
      <c r="T226" s="9"/>
      <c r="U226" s="9"/>
      <c r="V226" s="9"/>
      <c r="W226" s="41"/>
      <c r="X226" s="41"/>
      <c r="Y226" s="40"/>
      <c r="Z226" s="9"/>
      <c r="AA226" s="9"/>
      <c r="AB226" s="9"/>
      <c r="AC226" s="9"/>
      <c r="AD226" s="9"/>
      <c r="AE226" s="9"/>
      <c r="AF226" s="10" t="str">
        <f aca="false">IF(A226="","",SG_Criteria!$B$6&amp;SG_Criteria!$B$8&amp;"\"&amp;A226&amp;"\")</f>
        <v/>
      </c>
      <c r="AG226" s="10" t="str">
        <f aca="false">IF(A226="","",A226&amp;"_CAD.dwg")</f>
        <v/>
      </c>
      <c r="AH226" s="10" t="str">
        <f aca="false">IF(A226="","",A226&amp;"_DWG.pdf")</f>
        <v/>
      </c>
      <c r="AI226" s="10" t="str">
        <f aca="false">IF(A226="","",IF(AE226="Y",A226&amp;"_STAAD.std","n/a"))</f>
        <v/>
      </c>
      <c r="AJ226" s="10" t="str">
        <f aca="false">IF(A226="","",A226&amp;"_CALC.xlsx")</f>
        <v/>
      </c>
      <c r="AK226" s="10" t="str">
        <f aca="false">IF(A226="","",A226&amp;"_CALC.pdf")</f>
        <v/>
      </c>
      <c r="AL226" s="9"/>
      <c r="AM226" s="9"/>
      <c r="AN226" s="41"/>
      <c r="AO226" s="41"/>
      <c r="AP226" s="41"/>
      <c r="AQ226" s="41"/>
      <c r="AR226" s="41"/>
      <c r="AS226" s="38" t="str">
        <f aca="false">IF(OR(C226="",D226=""),"",IF(D226&lt;=IF(OR(C226="Block / Segmental",C226="Gabion",C226="Reinforced Earth (MSE)"),SG_Criteria!$B$34,SG_Criteria!$B$33),"No ERSS submission",IF(D226&lt;=SG_Criteria!$B$35,"QP(ST)",IF(D226&lt;=SG_Criteria!$B$36,"QP(ST) + AC","Geotechnical building works: QP(Geo) + AC"))))</f>
        <v/>
      </c>
      <c r="AT226" s="38" t="str">
        <f aca="false">IF(C226="","",IF(LEN(IF(AND(R226&lt;&gt;"",IFERROR(VALUE(MID(R226,2,2)),0)&lt;SG_Criteria!$B$19),"FAIL: grade below C"&amp;SG_Criteria!$B$19&amp;". ","")&amp;IF(AND(S226&lt;&gt;"",S226&lt;SG_Criteria!$B$20),"FAIL: cover &lt; "&amp;SG_Criteria!$B$20&amp;" mm. ","")&amp;IF(AND(W226&lt;&gt;"",W226&lt;1),"FAIL: sliding. ","")&amp;IF(AND(C226="Reverse L-Wall (toe only, at boundary)",N(O226)&gt;0),"NOTE: reverse L-wall should have no heel. ","")&amp;IF(AND(C226="L-Wall (heel only)",N(N226)&gt;0),"NOTE: L-wall should have no toe. ","")&amp;IF(AND(E226&lt;&gt;"",E226&lt;SG_Criteria!$B$31),"NOTE: q below LTA min "&amp;SG_Criteria!$B$31&amp;" kPa (not for LTA works). ",""))=0,"OK",IF(AND(R226&lt;&gt;"",IFERROR(VALUE(MID(R226,2,2)),0)&lt;SG_Criteria!$B$19),"FAIL: grade below C"&amp;SG_Criteria!$B$19&amp;". ","")&amp;IF(AND(S226&lt;&gt;"",S226&lt;SG_Criteria!$B$20),"FAIL: cover &lt; "&amp;SG_Criteria!$B$20&amp;" mm. ","")&amp;IF(AND(W226&lt;&gt;"",W226&lt;1),"FAIL: sliding. ","")&amp;IF(AND(C226="Reverse L-Wall (toe only, at boundary)",N(O226)&gt;0),"NOTE: reverse L-wall should have no heel. ","")&amp;IF(AND(C226="L-Wall (heel only)",N(N226)&gt;0),"NOTE: L-wall should have no toe. ","")&amp;IF(AND(E226&lt;&gt;"",E226&lt;SG_Criteria!$B$31),"NOTE: q below LTA min "&amp;SG_Criteria!$B$31&amp;" kPa (not for LTA works). ","")))</f>
        <v/>
      </c>
      <c r="AU226" s="9"/>
      <c r="AV226" s="9"/>
      <c r="AW226" s="9"/>
      <c r="AX226" s="9"/>
      <c r="AY226" s="9"/>
      <c r="AZ226" s="31"/>
      <c r="BA226" s="10" t="str">
        <f aca="false">IF(C226="","",IF(AND(AB226="Approved",ISERROR(SEARCH("FAIL",AT226))),"Y","N"))</f>
        <v/>
      </c>
      <c r="BB226" s="10" t="str">
        <f aca="false">IF(C226="","",C226&amp;"|"&amp;D226&amp;"|"&amp;E226&amp;"|"&amp;F226&amp;"|"&amp;BA226)</f>
        <v/>
      </c>
    </row>
    <row r="227" customFormat="false" ht="15" hidden="false" customHeight="false" outlineLevel="0" collapsed="false">
      <c r="A227" s="10" t="str">
        <f aca="false">IF(C227="","","RW-"&amp;IFERROR(VLOOKUP(C227,Lists!$M$4:$N$22,2,0),"??")&amp;"-H"&amp;TEXT(D227*1000,"0000")&amp;"-S"&amp;E227&amp;IF(F227="Y","-GW","")&amp;"-"&amp;AA227)</f>
        <v/>
      </c>
      <c r="B227" s="10" t="str">
        <f aca="false">IF(C227="","",C227&amp;", H = "&amp;TEXT(D227,"0.0")&amp;" m, q = "&amp;E227&amp;" kPa"&amp;IF(F227="Y",", with GWT","")&amp;", "&amp;H227)</f>
        <v/>
      </c>
      <c r="C227" s="9"/>
      <c r="D227" s="41"/>
      <c r="E227" s="40"/>
      <c r="F227" s="9"/>
      <c r="G227" s="40"/>
      <c r="H227" s="9"/>
      <c r="I227" s="40"/>
      <c r="J227" s="43"/>
      <c r="K227" s="40"/>
      <c r="L227" s="40"/>
      <c r="M227" s="40"/>
      <c r="N227" s="40"/>
      <c r="O227" s="40"/>
      <c r="P227" s="40"/>
      <c r="Q227" s="9"/>
      <c r="R227" s="9"/>
      <c r="S227" s="40"/>
      <c r="T227" s="9"/>
      <c r="U227" s="9"/>
      <c r="V227" s="9"/>
      <c r="W227" s="41"/>
      <c r="X227" s="41"/>
      <c r="Y227" s="40"/>
      <c r="Z227" s="9"/>
      <c r="AA227" s="9"/>
      <c r="AB227" s="9"/>
      <c r="AC227" s="9"/>
      <c r="AD227" s="9"/>
      <c r="AE227" s="9"/>
      <c r="AF227" s="10" t="str">
        <f aca="false">IF(A227="","",SG_Criteria!$B$6&amp;SG_Criteria!$B$8&amp;"\"&amp;A227&amp;"\")</f>
        <v/>
      </c>
      <c r="AG227" s="10" t="str">
        <f aca="false">IF(A227="","",A227&amp;"_CAD.dwg")</f>
        <v/>
      </c>
      <c r="AH227" s="10" t="str">
        <f aca="false">IF(A227="","",A227&amp;"_DWG.pdf")</f>
        <v/>
      </c>
      <c r="AI227" s="10" t="str">
        <f aca="false">IF(A227="","",IF(AE227="Y",A227&amp;"_STAAD.std","n/a"))</f>
        <v/>
      </c>
      <c r="AJ227" s="10" t="str">
        <f aca="false">IF(A227="","",A227&amp;"_CALC.xlsx")</f>
        <v/>
      </c>
      <c r="AK227" s="10" t="str">
        <f aca="false">IF(A227="","",A227&amp;"_CALC.pdf")</f>
        <v/>
      </c>
      <c r="AL227" s="9"/>
      <c r="AM227" s="9"/>
      <c r="AN227" s="41"/>
      <c r="AO227" s="41"/>
      <c r="AP227" s="41"/>
      <c r="AQ227" s="41"/>
      <c r="AR227" s="41"/>
      <c r="AS227" s="38" t="str">
        <f aca="false">IF(OR(C227="",D227=""),"",IF(D227&lt;=IF(OR(C227="Block / Segmental",C227="Gabion",C227="Reinforced Earth (MSE)"),SG_Criteria!$B$34,SG_Criteria!$B$33),"No ERSS submission",IF(D227&lt;=SG_Criteria!$B$35,"QP(ST)",IF(D227&lt;=SG_Criteria!$B$36,"QP(ST) + AC","Geotechnical building works: QP(Geo) + AC"))))</f>
        <v/>
      </c>
      <c r="AT227" s="38" t="str">
        <f aca="false">IF(C227="","",IF(LEN(IF(AND(R227&lt;&gt;"",IFERROR(VALUE(MID(R227,2,2)),0)&lt;SG_Criteria!$B$19),"FAIL: grade below C"&amp;SG_Criteria!$B$19&amp;". ","")&amp;IF(AND(S227&lt;&gt;"",S227&lt;SG_Criteria!$B$20),"FAIL: cover &lt; "&amp;SG_Criteria!$B$20&amp;" mm. ","")&amp;IF(AND(W227&lt;&gt;"",W227&lt;1),"FAIL: sliding. ","")&amp;IF(AND(C227="Reverse L-Wall (toe only, at boundary)",N(O227)&gt;0),"NOTE: reverse L-wall should have no heel. ","")&amp;IF(AND(C227="L-Wall (heel only)",N(N227)&gt;0),"NOTE: L-wall should have no toe. ","")&amp;IF(AND(E227&lt;&gt;"",E227&lt;SG_Criteria!$B$31),"NOTE: q below LTA min "&amp;SG_Criteria!$B$31&amp;" kPa (not for LTA works). ",""))=0,"OK",IF(AND(R227&lt;&gt;"",IFERROR(VALUE(MID(R227,2,2)),0)&lt;SG_Criteria!$B$19),"FAIL: grade below C"&amp;SG_Criteria!$B$19&amp;". ","")&amp;IF(AND(S227&lt;&gt;"",S227&lt;SG_Criteria!$B$20),"FAIL: cover &lt; "&amp;SG_Criteria!$B$20&amp;" mm. ","")&amp;IF(AND(W227&lt;&gt;"",W227&lt;1),"FAIL: sliding. ","")&amp;IF(AND(C227="Reverse L-Wall (toe only, at boundary)",N(O227)&gt;0),"NOTE: reverse L-wall should have no heel. ","")&amp;IF(AND(C227="L-Wall (heel only)",N(N227)&gt;0),"NOTE: L-wall should have no toe. ","")&amp;IF(AND(E227&lt;&gt;"",E227&lt;SG_Criteria!$B$31),"NOTE: q below LTA min "&amp;SG_Criteria!$B$31&amp;" kPa (not for LTA works). ","")))</f>
        <v/>
      </c>
      <c r="AU227" s="9"/>
      <c r="AV227" s="9"/>
      <c r="AW227" s="9"/>
      <c r="AX227" s="9"/>
      <c r="AY227" s="9"/>
      <c r="AZ227" s="31"/>
      <c r="BA227" s="10" t="str">
        <f aca="false">IF(C227="","",IF(AND(AB227="Approved",ISERROR(SEARCH("FAIL",AT227))),"Y","N"))</f>
        <v/>
      </c>
      <c r="BB227" s="10" t="str">
        <f aca="false">IF(C227="","",C227&amp;"|"&amp;D227&amp;"|"&amp;E227&amp;"|"&amp;F227&amp;"|"&amp;BA227)</f>
        <v/>
      </c>
    </row>
    <row r="228" customFormat="false" ht="15" hidden="false" customHeight="false" outlineLevel="0" collapsed="false">
      <c r="A228" s="10" t="str">
        <f aca="false">IF(C228="","","RW-"&amp;IFERROR(VLOOKUP(C228,Lists!$M$4:$N$22,2,0),"??")&amp;"-H"&amp;TEXT(D228*1000,"0000")&amp;"-S"&amp;E228&amp;IF(F228="Y","-GW","")&amp;"-"&amp;AA228)</f>
        <v/>
      </c>
      <c r="B228" s="10" t="str">
        <f aca="false">IF(C228="","",C228&amp;", H = "&amp;TEXT(D228,"0.0")&amp;" m, q = "&amp;E228&amp;" kPa"&amp;IF(F228="Y",", with GWT","")&amp;", "&amp;H228)</f>
        <v/>
      </c>
      <c r="C228" s="9"/>
      <c r="D228" s="41"/>
      <c r="E228" s="40"/>
      <c r="F228" s="9"/>
      <c r="G228" s="40"/>
      <c r="H228" s="9"/>
      <c r="I228" s="40"/>
      <c r="J228" s="43"/>
      <c r="K228" s="40"/>
      <c r="L228" s="40"/>
      <c r="M228" s="40"/>
      <c r="N228" s="40"/>
      <c r="O228" s="40"/>
      <c r="P228" s="40"/>
      <c r="Q228" s="9"/>
      <c r="R228" s="9"/>
      <c r="S228" s="40"/>
      <c r="T228" s="9"/>
      <c r="U228" s="9"/>
      <c r="V228" s="9"/>
      <c r="W228" s="41"/>
      <c r="X228" s="41"/>
      <c r="Y228" s="40"/>
      <c r="Z228" s="9"/>
      <c r="AA228" s="9"/>
      <c r="AB228" s="9"/>
      <c r="AC228" s="9"/>
      <c r="AD228" s="9"/>
      <c r="AE228" s="9"/>
      <c r="AF228" s="10" t="str">
        <f aca="false">IF(A228="","",SG_Criteria!$B$6&amp;SG_Criteria!$B$8&amp;"\"&amp;A228&amp;"\")</f>
        <v/>
      </c>
      <c r="AG228" s="10" t="str">
        <f aca="false">IF(A228="","",A228&amp;"_CAD.dwg")</f>
        <v/>
      </c>
      <c r="AH228" s="10" t="str">
        <f aca="false">IF(A228="","",A228&amp;"_DWG.pdf")</f>
        <v/>
      </c>
      <c r="AI228" s="10" t="str">
        <f aca="false">IF(A228="","",IF(AE228="Y",A228&amp;"_STAAD.std","n/a"))</f>
        <v/>
      </c>
      <c r="AJ228" s="10" t="str">
        <f aca="false">IF(A228="","",A228&amp;"_CALC.xlsx")</f>
        <v/>
      </c>
      <c r="AK228" s="10" t="str">
        <f aca="false">IF(A228="","",A228&amp;"_CALC.pdf")</f>
        <v/>
      </c>
      <c r="AL228" s="9"/>
      <c r="AM228" s="9"/>
      <c r="AN228" s="41"/>
      <c r="AO228" s="41"/>
      <c r="AP228" s="41"/>
      <c r="AQ228" s="41"/>
      <c r="AR228" s="41"/>
      <c r="AS228" s="38" t="str">
        <f aca="false">IF(OR(C228="",D228=""),"",IF(D228&lt;=IF(OR(C228="Block / Segmental",C228="Gabion",C228="Reinforced Earth (MSE)"),SG_Criteria!$B$34,SG_Criteria!$B$33),"No ERSS submission",IF(D228&lt;=SG_Criteria!$B$35,"QP(ST)",IF(D228&lt;=SG_Criteria!$B$36,"QP(ST) + AC","Geotechnical building works: QP(Geo) + AC"))))</f>
        <v/>
      </c>
      <c r="AT228" s="38" t="str">
        <f aca="false">IF(C228="","",IF(LEN(IF(AND(R228&lt;&gt;"",IFERROR(VALUE(MID(R228,2,2)),0)&lt;SG_Criteria!$B$19),"FAIL: grade below C"&amp;SG_Criteria!$B$19&amp;". ","")&amp;IF(AND(S228&lt;&gt;"",S228&lt;SG_Criteria!$B$20),"FAIL: cover &lt; "&amp;SG_Criteria!$B$20&amp;" mm. ","")&amp;IF(AND(W228&lt;&gt;"",W228&lt;1),"FAIL: sliding. ","")&amp;IF(AND(C228="Reverse L-Wall (toe only, at boundary)",N(O228)&gt;0),"NOTE: reverse L-wall should have no heel. ","")&amp;IF(AND(C228="L-Wall (heel only)",N(N228)&gt;0),"NOTE: L-wall should have no toe. ","")&amp;IF(AND(E228&lt;&gt;"",E228&lt;SG_Criteria!$B$31),"NOTE: q below LTA min "&amp;SG_Criteria!$B$31&amp;" kPa (not for LTA works). ",""))=0,"OK",IF(AND(R228&lt;&gt;"",IFERROR(VALUE(MID(R228,2,2)),0)&lt;SG_Criteria!$B$19),"FAIL: grade below C"&amp;SG_Criteria!$B$19&amp;". ","")&amp;IF(AND(S228&lt;&gt;"",S228&lt;SG_Criteria!$B$20),"FAIL: cover &lt; "&amp;SG_Criteria!$B$20&amp;" mm. ","")&amp;IF(AND(W228&lt;&gt;"",W228&lt;1),"FAIL: sliding. ","")&amp;IF(AND(C228="Reverse L-Wall (toe only, at boundary)",N(O228)&gt;0),"NOTE: reverse L-wall should have no heel. ","")&amp;IF(AND(C228="L-Wall (heel only)",N(N228)&gt;0),"NOTE: L-wall should have no toe. ","")&amp;IF(AND(E228&lt;&gt;"",E228&lt;SG_Criteria!$B$31),"NOTE: q below LTA min "&amp;SG_Criteria!$B$31&amp;" kPa (not for LTA works). ","")))</f>
        <v/>
      </c>
      <c r="AU228" s="9"/>
      <c r="AV228" s="9"/>
      <c r="AW228" s="9"/>
      <c r="AX228" s="9"/>
      <c r="AY228" s="9"/>
      <c r="AZ228" s="31"/>
      <c r="BA228" s="10" t="str">
        <f aca="false">IF(C228="","",IF(AND(AB228="Approved",ISERROR(SEARCH("FAIL",AT228))),"Y","N"))</f>
        <v/>
      </c>
      <c r="BB228" s="10" t="str">
        <f aca="false">IF(C228="","",C228&amp;"|"&amp;D228&amp;"|"&amp;E228&amp;"|"&amp;F228&amp;"|"&amp;BA228)</f>
        <v/>
      </c>
    </row>
    <row r="229" customFormat="false" ht="15" hidden="false" customHeight="false" outlineLevel="0" collapsed="false">
      <c r="A229" s="10" t="str">
        <f aca="false">IF(C229="","","RW-"&amp;IFERROR(VLOOKUP(C229,Lists!$M$4:$N$22,2,0),"??")&amp;"-H"&amp;TEXT(D229*1000,"0000")&amp;"-S"&amp;E229&amp;IF(F229="Y","-GW","")&amp;"-"&amp;AA229)</f>
        <v/>
      </c>
      <c r="B229" s="10" t="str">
        <f aca="false">IF(C229="","",C229&amp;", H = "&amp;TEXT(D229,"0.0")&amp;" m, q = "&amp;E229&amp;" kPa"&amp;IF(F229="Y",", with GWT","")&amp;", "&amp;H229)</f>
        <v/>
      </c>
      <c r="C229" s="9"/>
      <c r="D229" s="41"/>
      <c r="E229" s="40"/>
      <c r="F229" s="9"/>
      <c r="G229" s="40"/>
      <c r="H229" s="9"/>
      <c r="I229" s="40"/>
      <c r="J229" s="43"/>
      <c r="K229" s="40"/>
      <c r="L229" s="40"/>
      <c r="M229" s="40"/>
      <c r="N229" s="40"/>
      <c r="O229" s="40"/>
      <c r="P229" s="40"/>
      <c r="Q229" s="9"/>
      <c r="R229" s="9"/>
      <c r="S229" s="40"/>
      <c r="T229" s="9"/>
      <c r="U229" s="9"/>
      <c r="V229" s="9"/>
      <c r="W229" s="41"/>
      <c r="X229" s="41"/>
      <c r="Y229" s="40"/>
      <c r="Z229" s="9"/>
      <c r="AA229" s="9"/>
      <c r="AB229" s="9"/>
      <c r="AC229" s="9"/>
      <c r="AD229" s="9"/>
      <c r="AE229" s="9"/>
      <c r="AF229" s="10" t="str">
        <f aca="false">IF(A229="","",SG_Criteria!$B$6&amp;SG_Criteria!$B$8&amp;"\"&amp;A229&amp;"\")</f>
        <v/>
      </c>
      <c r="AG229" s="10" t="str">
        <f aca="false">IF(A229="","",A229&amp;"_CAD.dwg")</f>
        <v/>
      </c>
      <c r="AH229" s="10" t="str">
        <f aca="false">IF(A229="","",A229&amp;"_DWG.pdf")</f>
        <v/>
      </c>
      <c r="AI229" s="10" t="str">
        <f aca="false">IF(A229="","",IF(AE229="Y",A229&amp;"_STAAD.std","n/a"))</f>
        <v/>
      </c>
      <c r="AJ229" s="10" t="str">
        <f aca="false">IF(A229="","",A229&amp;"_CALC.xlsx")</f>
        <v/>
      </c>
      <c r="AK229" s="10" t="str">
        <f aca="false">IF(A229="","",A229&amp;"_CALC.pdf")</f>
        <v/>
      </c>
      <c r="AL229" s="9"/>
      <c r="AM229" s="9"/>
      <c r="AN229" s="41"/>
      <c r="AO229" s="41"/>
      <c r="AP229" s="41"/>
      <c r="AQ229" s="41"/>
      <c r="AR229" s="41"/>
      <c r="AS229" s="38" t="str">
        <f aca="false">IF(OR(C229="",D229=""),"",IF(D229&lt;=IF(OR(C229="Block / Segmental",C229="Gabion",C229="Reinforced Earth (MSE)"),SG_Criteria!$B$34,SG_Criteria!$B$33),"No ERSS submission",IF(D229&lt;=SG_Criteria!$B$35,"QP(ST)",IF(D229&lt;=SG_Criteria!$B$36,"QP(ST) + AC","Geotechnical building works: QP(Geo) + AC"))))</f>
        <v/>
      </c>
      <c r="AT229" s="38" t="str">
        <f aca="false">IF(C229="","",IF(LEN(IF(AND(R229&lt;&gt;"",IFERROR(VALUE(MID(R229,2,2)),0)&lt;SG_Criteria!$B$19),"FAIL: grade below C"&amp;SG_Criteria!$B$19&amp;". ","")&amp;IF(AND(S229&lt;&gt;"",S229&lt;SG_Criteria!$B$20),"FAIL: cover &lt; "&amp;SG_Criteria!$B$20&amp;" mm. ","")&amp;IF(AND(W229&lt;&gt;"",W229&lt;1),"FAIL: sliding. ","")&amp;IF(AND(C229="Reverse L-Wall (toe only, at boundary)",N(O229)&gt;0),"NOTE: reverse L-wall should have no heel. ","")&amp;IF(AND(C229="L-Wall (heel only)",N(N229)&gt;0),"NOTE: L-wall should have no toe. ","")&amp;IF(AND(E229&lt;&gt;"",E229&lt;SG_Criteria!$B$31),"NOTE: q below LTA min "&amp;SG_Criteria!$B$31&amp;" kPa (not for LTA works). ",""))=0,"OK",IF(AND(R229&lt;&gt;"",IFERROR(VALUE(MID(R229,2,2)),0)&lt;SG_Criteria!$B$19),"FAIL: grade below C"&amp;SG_Criteria!$B$19&amp;". ","")&amp;IF(AND(S229&lt;&gt;"",S229&lt;SG_Criteria!$B$20),"FAIL: cover &lt; "&amp;SG_Criteria!$B$20&amp;" mm. ","")&amp;IF(AND(W229&lt;&gt;"",W229&lt;1),"FAIL: sliding. ","")&amp;IF(AND(C229="Reverse L-Wall (toe only, at boundary)",N(O229)&gt;0),"NOTE: reverse L-wall should have no heel. ","")&amp;IF(AND(C229="L-Wall (heel only)",N(N229)&gt;0),"NOTE: L-wall should have no toe. ","")&amp;IF(AND(E229&lt;&gt;"",E229&lt;SG_Criteria!$B$31),"NOTE: q below LTA min "&amp;SG_Criteria!$B$31&amp;" kPa (not for LTA works). ","")))</f>
        <v/>
      </c>
      <c r="AU229" s="9"/>
      <c r="AV229" s="9"/>
      <c r="AW229" s="9"/>
      <c r="AX229" s="9"/>
      <c r="AY229" s="9"/>
      <c r="AZ229" s="31"/>
      <c r="BA229" s="10" t="str">
        <f aca="false">IF(C229="","",IF(AND(AB229="Approved",ISERROR(SEARCH("FAIL",AT229))),"Y","N"))</f>
        <v/>
      </c>
      <c r="BB229" s="10" t="str">
        <f aca="false">IF(C229="","",C229&amp;"|"&amp;D229&amp;"|"&amp;E229&amp;"|"&amp;F229&amp;"|"&amp;BA229)</f>
        <v/>
      </c>
    </row>
    <row r="230" customFormat="false" ht="15" hidden="false" customHeight="false" outlineLevel="0" collapsed="false">
      <c r="A230" s="10" t="str">
        <f aca="false">IF(C230="","","RW-"&amp;IFERROR(VLOOKUP(C230,Lists!$M$4:$N$22,2,0),"??")&amp;"-H"&amp;TEXT(D230*1000,"0000")&amp;"-S"&amp;E230&amp;IF(F230="Y","-GW","")&amp;"-"&amp;AA230)</f>
        <v/>
      </c>
      <c r="B230" s="10" t="str">
        <f aca="false">IF(C230="","",C230&amp;", H = "&amp;TEXT(D230,"0.0")&amp;" m, q = "&amp;E230&amp;" kPa"&amp;IF(F230="Y",", with GWT","")&amp;", "&amp;H230)</f>
        <v/>
      </c>
      <c r="C230" s="9"/>
      <c r="D230" s="41"/>
      <c r="E230" s="40"/>
      <c r="F230" s="9"/>
      <c r="G230" s="40"/>
      <c r="H230" s="9"/>
      <c r="I230" s="40"/>
      <c r="J230" s="43"/>
      <c r="K230" s="40"/>
      <c r="L230" s="40"/>
      <c r="M230" s="40"/>
      <c r="N230" s="40"/>
      <c r="O230" s="40"/>
      <c r="P230" s="40"/>
      <c r="Q230" s="9"/>
      <c r="R230" s="9"/>
      <c r="S230" s="40"/>
      <c r="T230" s="9"/>
      <c r="U230" s="9"/>
      <c r="V230" s="9"/>
      <c r="W230" s="41"/>
      <c r="X230" s="41"/>
      <c r="Y230" s="40"/>
      <c r="Z230" s="9"/>
      <c r="AA230" s="9"/>
      <c r="AB230" s="9"/>
      <c r="AC230" s="9"/>
      <c r="AD230" s="9"/>
      <c r="AE230" s="9"/>
      <c r="AF230" s="10" t="str">
        <f aca="false">IF(A230="","",SG_Criteria!$B$6&amp;SG_Criteria!$B$8&amp;"\"&amp;A230&amp;"\")</f>
        <v/>
      </c>
      <c r="AG230" s="10" t="str">
        <f aca="false">IF(A230="","",A230&amp;"_CAD.dwg")</f>
        <v/>
      </c>
      <c r="AH230" s="10" t="str">
        <f aca="false">IF(A230="","",A230&amp;"_DWG.pdf")</f>
        <v/>
      </c>
      <c r="AI230" s="10" t="str">
        <f aca="false">IF(A230="","",IF(AE230="Y",A230&amp;"_STAAD.std","n/a"))</f>
        <v/>
      </c>
      <c r="AJ230" s="10" t="str">
        <f aca="false">IF(A230="","",A230&amp;"_CALC.xlsx")</f>
        <v/>
      </c>
      <c r="AK230" s="10" t="str">
        <f aca="false">IF(A230="","",A230&amp;"_CALC.pdf")</f>
        <v/>
      </c>
      <c r="AL230" s="9"/>
      <c r="AM230" s="9"/>
      <c r="AN230" s="41"/>
      <c r="AO230" s="41"/>
      <c r="AP230" s="41"/>
      <c r="AQ230" s="41"/>
      <c r="AR230" s="41"/>
      <c r="AS230" s="38" t="str">
        <f aca="false">IF(OR(C230="",D230=""),"",IF(D230&lt;=IF(OR(C230="Block / Segmental",C230="Gabion",C230="Reinforced Earth (MSE)"),SG_Criteria!$B$34,SG_Criteria!$B$33),"No ERSS submission",IF(D230&lt;=SG_Criteria!$B$35,"QP(ST)",IF(D230&lt;=SG_Criteria!$B$36,"QP(ST) + AC","Geotechnical building works: QP(Geo) + AC"))))</f>
        <v/>
      </c>
      <c r="AT230" s="38" t="str">
        <f aca="false">IF(C230="","",IF(LEN(IF(AND(R230&lt;&gt;"",IFERROR(VALUE(MID(R230,2,2)),0)&lt;SG_Criteria!$B$19),"FAIL: grade below C"&amp;SG_Criteria!$B$19&amp;". ","")&amp;IF(AND(S230&lt;&gt;"",S230&lt;SG_Criteria!$B$20),"FAIL: cover &lt; "&amp;SG_Criteria!$B$20&amp;" mm. ","")&amp;IF(AND(W230&lt;&gt;"",W230&lt;1),"FAIL: sliding. ","")&amp;IF(AND(C230="Reverse L-Wall (toe only, at boundary)",N(O230)&gt;0),"NOTE: reverse L-wall should have no heel. ","")&amp;IF(AND(C230="L-Wall (heel only)",N(N230)&gt;0),"NOTE: L-wall should have no toe. ","")&amp;IF(AND(E230&lt;&gt;"",E230&lt;SG_Criteria!$B$31),"NOTE: q below LTA min "&amp;SG_Criteria!$B$31&amp;" kPa (not for LTA works). ",""))=0,"OK",IF(AND(R230&lt;&gt;"",IFERROR(VALUE(MID(R230,2,2)),0)&lt;SG_Criteria!$B$19),"FAIL: grade below C"&amp;SG_Criteria!$B$19&amp;". ","")&amp;IF(AND(S230&lt;&gt;"",S230&lt;SG_Criteria!$B$20),"FAIL: cover &lt; "&amp;SG_Criteria!$B$20&amp;" mm. ","")&amp;IF(AND(W230&lt;&gt;"",W230&lt;1),"FAIL: sliding. ","")&amp;IF(AND(C230="Reverse L-Wall (toe only, at boundary)",N(O230)&gt;0),"NOTE: reverse L-wall should have no heel. ","")&amp;IF(AND(C230="L-Wall (heel only)",N(N230)&gt;0),"NOTE: L-wall should have no toe. ","")&amp;IF(AND(E230&lt;&gt;"",E230&lt;SG_Criteria!$B$31),"NOTE: q below LTA min "&amp;SG_Criteria!$B$31&amp;" kPa (not for LTA works). ","")))</f>
        <v/>
      </c>
      <c r="AU230" s="9"/>
      <c r="AV230" s="9"/>
      <c r="AW230" s="9"/>
      <c r="AX230" s="9"/>
      <c r="AY230" s="9"/>
      <c r="AZ230" s="31"/>
      <c r="BA230" s="10" t="str">
        <f aca="false">IF(C230="","",IF(AND(AB230="Approved",ISERROR(SEARCH("FAIL",AT230))),"Y","N"))</f>
        <v/>
      </c>
      <c r="BB230" s="10" t="str">
        <f aca="false">IF(C230="","",C230&amp;"|"&amp;D230&amp;"|"&amp;E230&amp;"|"&amp;F230&amp;"|"&amp;BA230)</f>
        <v/>
      </c>
    </row>
    <row r="231" customFormat="false" ht="15" hidden="false" customHeight="false" outlineLevel="0" collapsed="false">
      <c r="A231" s="10" t="str">
        <f aca="false">IF(C231="","","RW-"&amp;IFERROR(VLOOKUP(C231,Lists!$M$4:$N$22,2,0),"??")&amp;"-H"&amp;TEXT(D231*1000,"0000")&amp;"-S"&amp;E231&amp;IF(F231="Y","-GW","")&amp;"-"&amp;AA231)</f>
        <v/>
      </c>
      <c r="B231" s="10" t="str">
        <f aca="false">IF(C231="","",C231&amp;", H = "&amp;TEXT(D231,"0.0")&amp;" m, q = "&amp;E231&amp;" kPa"&amp;IF(F231="Y",", with GWT","")&amp;", "&amp;H231)</f>
        <v/>
      </c>
      <c r="C231" s="9"/>
      <c r="D231" s="41"/>
      <c r="E231" s="40"/>
      <c r="F231" s="9"/>
      <c r="G231" s="40"/>
      <c r="H231" s="9"/>
      <c r="I231" s="40"/>
      <c r="J231" s="43"/>
      <c r="K231" s="40"/>
      <c r="L231" s="40"/>
      <c r="M231" s="40"/>
      <c r="N231" s="40"/>
      <c r="O231" s="40"/>
      <c r="P231" s="40"/>
      <c r="Q231" s="9"/>
      <c r="R231" s="9"/>
      <c r="S231" s="40"/>
      <c r="T231" s="9"/>
      <c r="U231" s="9"/>
      <c r="V231" s="9"/>
      <c r="W231" s="41"/>
      <c r="X231" s="41"/>
      <c r="Y231" s="40"/>
      <c r="Z231" s="9"/>
      <c r="AA231" s="9"/>
      <c r="AB231" s="9"/>
      <c r="AC231" s="9"/>
      <c r="AD231" s="9"/>
      <c r="AE231" s="9"/>
      <c r="AF231" s="10" t="str">
        <f aca="false">IF(A231="","",SG_Criteria!$B$6&amp;SG_Criteria!$B$8&amp;"\"&amp;A231&amp;"\")</f>
        <v/>
      </c>
      <c r="AG231" s="10" t="str">
        <f aca="false">IF(A231="","",A231&amp;"_CAD.dwg")</f>
        <v/>
      </c>
      <c r="AH231" s="10" t="str">
        <f aca="false">IF(A231="","",A231&amp;"_DWG.pdf")</f>
        <v/>
      </c>
      <c r="AI231" s="10" t="str">
        <f aca="false">IF(A231="","",IF(AE231="Y",A231&amp;"_STAAD.std","n/a"))</f>
        <v/>
      </c>
      <c r="AJ231" s="10" t="str">
        <f aca="false">IF(A231="","",A231&amp;"_CALC.xlsx")</f>
        <v/>
      </c>
      <c r="AK231" s="10" t="str">
        <f aca="false">IF(A231="","",A231&amp;"_CALC.pdf")</f>
        <v/>
      </c>
      <c r="AL231" s="9"/>
      <c r="AM231" s="9"/>
      <c r="AN231" s="41"/>
      <c r="AO231" s="41"/>
      <c r="AP231" s="41"/>
      <c r="AQ231" s="41"/>
      <c r="AR231" s="41"/>
      <c r="AS231" s="38" t="str">
        <f aca="false">IF(OR(C231="",D231=""),"",IF(D231&lt;=IF(OR(C231="Block / Segmental",C231="Gabion",C231="Reinforced Earth (MSE)"),SG_Criteria!$B$34,SG_Criteria!$B$33),"No ERSS submission",IF(D231&lt;=SG_Criteria!$B$35,"QP(ST)",IF(D231&lt;=SG_Criteria!$B$36,"QP(ST) + AC","Geotechnical building works: QP(Geo) + AC"))))</f>
        <v/>
      </c>
      <c r="AT231" s="38" t="str">
        <f aca="false">IF(C231="","",IF(LEN(IF(AND(R231&lt;&gt;"",IFERROR(VALUE(MID(R231,2,2)),0)&lt;SG_Criteria!$B$19),"FAIL: grade below C"&amp;SG_Criteria!$B$19&amp;". ","")&amp;IF(AND(S231&lt;&gt;"",S231&lt;SG_Criteria!$B$20),"FAIL: cover &lt; "&amp;SG_Criteria!$B$20&amp;" mm. ","")&amp;IF(AND(W231&lt;&gt;"",W231&lt;1),"FAIL: sliding. ","")&amp;IF(AND(C231="Reverse L-Wall (toe only, at boundary)",N(O231)&gt;0),"NOTE: reverse L-wall should have no heel. ","")&amp;IF(AND(C231="L-Wall (heel only)",N(N231)&gt;0),"NOTE: L-wall should have no toe. ","")&amp;IF(AND(E231&lt;&gt;"",E231&lt;SG_Criteria!$B$31),"NOTE: q below LTA min "&amp;SG_Criteria!$B$31&amp;" kPa (not for LTA works). ",""))=0,"OK",IF(AND(R231&lt;&gt;"",IFERROR(VALUE(MID(R231,2,2)),0)&lt;SG_Criteria!$B$19),"FAIL: grade below C"&amp;SG_Criteria!$B$19&amp;". ","")&amp;IF(AND(S231&lt;&gt;"",S231&lt;SG_Criteria!$B$20),"FAIL: cover &lt; "&amp;SG_Criteria!$B$20&amp;" mm. ","")&amp;IF(AND(W231&lt;&gt;"",W231&lt;1),"FAIL: sliding. ","")&amp;IF(AND(C231="Reverse L-Wall (toe only, at boundary)",N(O231)&gt;0),"NOTE: reverse L-wall should have no heel. ","")&amp;IF(AND(C231="L-Wall (heel only)",N(N231)&gt;0),"NOTE: L-wall should have no toe. ","")&amp;IF(AND(E231&lt;&gt;"",E231&lt;SG_Criteria!$B$31),"NOTE: q below LTA min "&amp;SG_Criteria!$B$31&amp;" kPa (not for LTA works). ","")))</f>
        <v/>
      </c>
      <c r="AU231" s="9"/>
      <c r="AV231" s="9"/>
      <c r="AW231" s="9"/>
      <c r="AX231" s="9"/>
      <c r="AY231" s="9"/>
      <c r="AZ231" s="31"/>
      <c r="BA231" s="10" t="str">
        <f aca="false">IF(C231="","",IF(AND(AB231="Approved",ISERROR(SEARCH("FAIL",AT231))),"Y","N"))</f>
        <v/>
      </c>
      <c r="BB231" s="10" t="str">
        <f aca="false">IF(C231="","",C231&amp;"|"&amp;D231&amp;"|"&amp;E231&amp;"|"&amp;F231&amp;"|"&amp;BA231)</f>
        <v/>
      </c>
    </row>
    <row r="232" customFormat="false" ht="15" hidden="false" customHeight="false" outlineLevel="0" collapsed="false">
      <c r="A232" s="10" t="str">
        <f aca="false">IF(C232="","","RW-"&amp;IFERROR(VLOOKUP(C232,Lists!$M$4:$N$22,2,0),"??")&amp;"-H"&amp;TEXT(D232*1000,"0000")&amp;"-S"&amp;E232&amp;IF(F232="Y","-GW","")&amp;"-"&amp;AA232)</f>
        <v/>
      </c>
      <c r="B232" s="10" t="str">
        <f aca="false">IF(C232="","",C232&amp;", H = "&amp;TEXT(D232,"0.0")&amp;" m, q = "&amp;E232&amp;" kPa"&amp;IF(F232="Y",", with GWT","")&amp;", "&amp;H232)</f>
        <v/>
      </c>
      <c r="C232" s="9"/>
      <c r="D232" s="41"/>
      <c r="E232" s="40"/>
      <c r="F232" s="9"/>
      <c r="G232" s="40"/>
      <c r="H232" s="9"/>
      <c r="I232" s="40"/>
      <c r="J232" s="43"/>
      <c r="K232" s="40"/>
      <c r="L232" s="40"/>
      <c r="M232" s="40"/>
      <c r="N232" s="40"/>
      <c r="O232" s="40"/>
      <c r="P232" s="40"/>
      <c r="Q232" s="9"/>
      <c r="R232" s="9"/>
      <c r="S232" s="40"/>
      <c r="T232" s="9"/>
      <c r="U232" s="9"/>
      <c r="V232" s="9"/>
      <c r="W232" s="41"/>
      <c r="X232" s="41"/>
      <c r="Y232" s="40"/>
      <c r="Z232" s="9"/>
      <c r="AA232" s="9"/>
      <c r="AB232" s="9"/>
      <c r="AC232" s="9"/>
      <c r="AD232" s="9"/>
      <c r="AE232" s="9"/>
      <c r="AF232" s="10" t="str">
        <f aca="false">IF(A232="","",SG_Criteria!$B$6&amp;SG_Criteria!$B$8&amp;"\"&amp;A232&amp;"\")</f>
        <v/>
      </c>
      <c r="AG232" s="10" t="str">
        <f aca="false">IF(A232="","",A232&amp;"_CAD.dwg")</f>
        <v/>
      </c>
      <c r="AH232" s="10" t="str">
        <f aca="false">IF(A232="","",A232&amp;"_DWG.pdf")</f>
        <v/>
      </c>
      <c r="AI232" s="10" t="str">
        <f aca="false">IF(A232="","",IF(AE232="Y",A232&amp;"_STAAD.std","n/a"))</f>
        <v/>
      </c>
      <c r="AJ232" s="10" t="str">
        <f aca="false">IF(A232="","",A232&amp;"_CALC.xlsx")</f>
        <v/>
      </c>
      <c r="AK232" s="10" t="str">
        <f aca="false">IF(A232="","",A232&amp;"_CALC.pdf")</f>
        <v/>
      </c>
      <c r="AL232" s="9"/>
      <c r="AM232" s="9"/>
      <c r="AN232" s="41"/>
      <c r="AO232" s="41"/>
      <c r="AP232" s="41"/>
      <c r="AQ232" s="41"/>
      <c r="AR232" s="41"/>
      <c r="AS232" s="38" t="str">
        <f aca="false">IF(OR(C232="",D232=""),"",IF(D232&lt;=IF(OR(C232="Block / Segmental",C232="Gabion",C232="Reinforced Earth (MSE)"),SG_Criteria!$B$34,SG_Criteria!$B$33),"No ERSS submission",IF(D232&lt;=SG_Criteria!$B$35,"QP(ST)",IF(D232&lt;=SG_Criteria!$B$36,"QP(ST) + AC","Geotechnical building works: QP(Geo) + AC"))))</f>
        <v/>
      </c>
      <c r="AT232" s="38" t="str">
        <f aca="false">IF(C232="","",IF(LEN(IF(AND(R232&lt;&gt;"",IFERROR(VALUE(MID(R232,2,2)),0)&lt;SG_Criteria!$B$19),"FAIL: grade below C"&amp;SG_Criteria!$B$19&amp;". ","")&amp;IF(AND(S232&lt;&gt;"",S232&lt;SG_Criteria!$B$20),"FAIL: cover &lt; "&amp;SG_Criteria!$B$20&amp;" mm. ","")&amp;IF(AND(W232&lt;&gt;"",W232&lt;1),"FAIL: sliding. ","")&amp;IF(AND(C232="Reverse L-Wall (toe only, at boundary)",N(O232)&gt;0),"NOTE: reverse L-wall should have no heel. ","")&amp;IF(AND(C232="L-Wall (heel only)",N(N232)&gt;0),"NOTE: L-wall should have no toe. ","")&amp;IF(AND(E232&lt;&gt;"",E232&lt;SG_Criteria!$B$31),"NOTE: q below LTA min "&amp;SG_Criteria!$B$31&amp;" kPa (not for LTA works). ",""))=0,"OK",IF(AND(R232&lt;&gt;"",IFERROR(VALUE(MID(R232,2,2)),0)&lt;SG_Criteria!$B$19),"FAIL: grade below C"&amp;SG_Criteria!$B$19&amp;". ","")&amp;IF(AND(S232&lt;&gt;"",S232&lt;SG_Criteria!$B$20),"FAIL: cover &lt; "&amp;SG_Criteria!$B$20&amp;" mm. ","")&amp;IF(AND(W232&lt;&gt;"",W232&lt;1),"FAIL: sliding. ","")&amp;IF(AND(C232="Reverse L-Wall (toe only, at boundary)",N(O232)&gt;0),"NOTE: reverse L-wall should have no heel. ","")&amp;IF(AND(C232="L-Wall (heel only)",N(N232)&gt;0),"NOTE: L-wall should have no toe. ","")&amp;IF(AND(E232&lt;&gt;"",E232&lt;SG_Criteria!$B$31),"NOTE: q below LTA min "&amp;SG_Criteria!$B$31&amp;" kPa (not for LTA works). ","")))</f>
        <v/>
      </c>
      <c r="AU232" s="9"/>
      <c r="AV232" s="9"/>
      <c r="AW232" s="9"/>
      <c r="AX232" s="9"/>
      <c r="AY232" s="9"/>
      <c r="AZ232" s="31"/>
      <c r="BA232" s="10" t="str">
        <f aca="false">IF(C232="","",IF(AND(AB232="Approved",ISERROR(SEARCH("FAIL",AT232))),"Y","N"))</f>
        <v/>
      </c>
      <c r="BB232" s="10" t="str">
        <f aca="false">IF(C232="","",C232&amp;"|"&amp;D232&amp;"|"&amp;E232&amp;"|"&amp;F232&amp;"|"&amp;BA232)</f>
        <v/>
      </c>
    </row>
    <row r="233" customFormat="false" ht="15" hidden="false" customHeight="false" outlineLevel="0" collapsed="false">
      <c r="A233" s="10" t="str">
        <f aca="false">IF(C233="","","RW-"&amp;IFERROR(VLOOKUP(C233,Lists!$M$4:$N$22,2,0),"??")&amp;"-H"&amp;TEXT(D233*1000,"0000")&amp;"-S"&amp;E233&amp;IF(F233="Y","-GW","")&amp;"-"&amp;AA233)</f>
        <v/>
      </c>
      <c r="B233" s="10" t="str">
        <f aca="false">IF(C233="","",C233&amp;", H = "&amp;TEXT(D233,"0.0")&amp;" m, q = "&amp;E233&amp;" kPa"&amp;IF(F233="Y",", with GWT","")&amp;", "&amp;H233)</f>
        <v/>
      </c>
      <c r="C233" s="9"/>
      <c r="D233" s="41"/>
      <c r="E233" s="40"/>
      <c r="F233" s="9"/>
      <c r="G233" s="40"/>
      <c r="H233" s="9"/>
      <c r="I233" s="40"/>
      <c r="J233" s="43"/>
      <c r="K233" s="40"/>
      <c r="L233" s="40"/>
      <c r="M233" s="40"/>
      <c r="N233" s="40"/>
      <c r="O233" s="40"/>
      <c r="P233" s="40"/>
      <c r="Q233" s="9"/>
      <c r="R233" s="9"/>
      <c r="S233" s="40"/>
      <c r="T233" s="9"/>
      <c r="U233" s="9"/>
      <c r="V233" s="9"/>
      <c r="W233" s="41"/>
      <c r="X233" s="41"/>
      <c r="Y233" s="40"/>
      <c r="Z233" s="9"/>
      <c r="AA233" s="9"/>
      <c r="AB233" s="9"/>
      <c r="AC233" s="9"/>
      <c r="AD233" s="9"/>
      <c r="AE233" s="9"/>
      <c r="AF233" s="10" t="str">
        <f aca="false">IF(A233="","",SG_Criteria!$B$6&amp;SG_Criteria!$B$8&amp;"\"&amp;A233&amp;"\")</f>
        <v/>
      </c>
      <c r="AG233" s="10" t="str">
        <f aca="false">IF(A233="","",A233&amp;"_CAD.dwg")</f>
        <v/>
      </c>
      <c r="AH233" s="10" t="str">
        <f aca="false">IF(A233="","",A233&amp;"_DWG.pdf")</f>
        <v/>
      </c>
      <c r="AI233" s="10" t="str">
        <f aca="false">IF(A233="","",IF(AE233="Y",A233&amp;"_STAAD.std","n/a"))</f>
        <v/>
      </c>
      <c r="AJ233" s="10" t="str">
        <f aca="false">IF(A233="","",A233&amp;"_CALC.xlsx")</f>
        <v/>
      </c>
      <c r="AK233" s="10" t="str">
        <f aca="false">IF(A233="","",A233&amp;"_CALC.pdf")</f>
        <v/>
      </c>
      <c r="AL233" s="9"/>
      <c r="AM233" s="9"/>
      <c r="AN233" s="41"/>
      <c r="AO233" s="41"/>
      <c r="AP233" s="41"/>
      <c r="AQ233" s="41"/>
      <c r="AR233" s="41"/>
      <c r="AS233" s="38" t="str">
        <f aca="false">IF(OR(C233="",D233=""),"",IF(D233&lt;=IF(OR(C233="Block / Segmental",C233="Gabion",C233="Reinforced Earth (MSE)"),SG_Criteria!$B$34,SG_Criteria!$B$33),"No ERSS submission",IF(D233&lt;=SG_Criteria!$B$35,"QP(ST)",IF(D233&lt;=SG_Criteria!$B$36,"QP(ST) + AC","Geotechnical building works: QP(Geo) + AC"))))</f>
        <v/>
      </c>
      <c r="AT233" s="38" t="str">
        <f aca="false">IF(C233="","",IF(LEN(IF(AND(R233&lt;&gt;"",IFERROR(VALUE(MID(R233,2,2)),0)&lt;SG_Criteria!$B$19),"FAIL: grade below C"&amp;SG_Criteria!$B$19&amp;". ","")&amp;IF(AND(S233&lt;&gt;"",S233&lt;SG_Criteria!$B$20),"FAIL: cover &lt; "&amp;SG_Criteria!$B$20&amp;" mm. ","")&amp;IF(AND(W233&lt;&gt;"",W233&lt;1),"FAIL: sliding. ","")&amp;IF(AND(C233="Reverse L-Wall (toe only, at boundary)",N(O233)&gt;0),"NOTE: reverse L-wall should have no heel. ","")&amp;IF(AND(C233="L-Wall (heel only)",N(N233)&gt;0),"NOTE: L-wall should have no toe. ","")&amp;IF(AND(E233&lt;&gt;"",E233&lt;SG_Criteria!$B$31),"NOTE: q below LTA min "&amp;SG_Criteria!$B$31&amp;" kPa (not for LTA works). ",""))=0,"OK",IF(AND(R233&lt;&gt;"",IFERROR(VALUE(MID(R233,2,2)),0)&lt;SG_Criteria!$B$19),"FAIL: grade below C"&amp;SG_Criteria!$B$19&amp;". ","")&amp;IF(AND(S233&lt;&gt;"",S233&lt;SG_Criteria!$B$20),"FAIL: cover &lt; "&amp;SG_Criteria!$B$20&amp;" mm. ","")&amp;IF(AND(W233&lt;&gt;"",W233&lt;1),"FAIL: sliding. ","")&amp;IF(AND(C233="Reverse L-Wall (toe only, at boundary)",N(O233)&gt;0),"NOTE: reverse L-wall should have no heel. ","")&amp;IF(AND(C233="L-Wall (heel only)",N(N233)&gt;0),"NOTE: L-wall should have no toe. ","")&amp;IF(AND(E233&lt;&gt;"",E233&lt;SG_Criteria!$B$31),"NOTE: q below LTA min "&amp;SG_Criteria!$B$31&amp;" kPa (not for LTA works). ","")))</f>
        <v/>
      </c>
      <c r="AU233" s="9"/>
      <c r="AV233" s="9"/>
      <c r="AW233" s="9"/>
      <c r="AX233" s="9"/>
      <c r="AY233" s="9"/>
      <c r="AZ233" s="31"/>
      <c r="BA233" s="10" t="str">
        <f aca="false">IF(C233="","",IF(AND(AB233="Approved",ISERROR(SEARCH("FAIL",AT233))),"Y","N"))</f>
        <v/>
      </c>
      <c r="BB233" s="10" t="str">
        <f aca="false">IF(C233="","",C233&amp;"|"&amp;D233&amp;"|"&amp;E233&amp;"|"&amp;F233&amp;"|"&amp;BA233)</f>
        <v/>
      </c>
    </row>
    <row r="234" customFormat="false" ht="15" hidden="false" customHeight="false" outlineLevel="0" collapsed="false">
      <c r="A234" s="10" t="str">
        <f aca="false">IF(C234="","","RW-"&amp;IFERROR(VLOOKUP(C234,Lists!$M$4:$N$22,2,0),"??")&amp;"-H"&amp;TEXT(D234*1000,"0000")&amp;"-S"&amp;E234&amp;IF(F234="Y","-GW","")&amp;"-"&amp;AA234)</f>
        <v/>
      </c>
      <c r="B234" s="10" t="str">
        <f aca="false">IF(C234="","",C234&amp;", H = "&amp;TEXT(D234,"0.0")&amp;" m, q = "&amp;E234&amp;" kPa"&amp;IF(F234="Y",", with GWT","")&amp;", "&amp;H234)</f>
        <v/>
      </c>
      <c r="C234" s="9"/>
      <c r="D234" s="41"/>
      <c r="E234" s="40"/>
      <c r="F234" s="9"/>
      <c r="G234" s="40"/>
      <c r="H234" s="9"/>
      <c r="I234" s="40"/>
      <c r="J234" s="43"/>
      <c r="K234" s="40"/>
      <c r="L234" s="40"/>
      <c r="M234" s="40"/>
      <c r="N234" s="40"/>
      <c r="O234" s="40"/>
      <c r="P234" s="40"/>
      <c r="Q234" s="9"/>
      <c r="R234" s="9"/>
      <c r="S234" s="40"/>
      <c r="T234" s="9"/>
      <c r="U234" s="9"/>
      <c r="V234" s="9"/>
      <c r="W234" s="41"/>
      <c r="X234" s="41"/>
      <c r="Y234" s="40"/>
      <c r="Z234" s="9"/>
      <c r="AA234" s="9"/>
      <c r="AB234" s="9"/>
      <c r="AC234" s="9"/>
      <c r="AD234" s="9"/>
      <c r="AE234" s="9"/>
      <c r="AF234" s="10" t="str">
        <f aca="false">IF(A234="","",SG_Criteria!$B$6&amp;SG_Criteria!$B$8&amp;"\"&amp;A234&amp;"\")</f>
        <v/>
      </c>
      <c r="AG234" s="10" t="str">
        <f aca="false">IF(A234="","",A234&amp;"_CAD.dwg")</f>
        <v/>
      </c>
      <c r="AH234" s="10" t="str">
        <f aca="false">IF(A234="","",A234&amp;"_DWG.pdf")</f>
        <v/>
      </c>
      <c r="AI234" s="10" t="str">
        <f aca="false">IF(A234="","",IF(AE234="Y",A234&amp;"_STAAD.std","n/a"))</f>
        <v/>
      </c>
      <c r="AJ234" s="10" t="str">
        <f aca="false">IF(A234="","",A234&amp;"_CALC.xlsx")</f>
        <v/>
      </c>
      <c r="AK234" s="10" t="str">
        <f aca="false">IF(A234="","",A234&amp;"_CALC.pdf")</f>
        <v/>
      </c>
      <c r="AL234" s="9"/>
      <c r="AM234" s="9"/>
      <c r="AN234" s="41"/>
      <c r="AO234" s="41"/>
      <c r="AP234" s="41"/>
      <c r="AQ234" s="41"/>
      <c r="AR234" s="41"/>
      <c r="AS234" s="38" t="str">
        <f aca="false">IF(OR(C234="",D234=""),"",IF(D234&lt;=IF(OR(C234="Block / Segmental",C234="Gabion",C234="Reinforced Earth (MSE)"),SG_Criteria!$B$34,SG_Criteria!$B$33),"No ERSS submission",IF(D234&lt;=SG_Criteria!$B$35,"QP(ST)",IF(D234&lt;=SG_Criteria!$B$36,"QP(ST) + AC","Geotechnical building works: QP(Geo) + AC"))))</f>
        <v/>
      </c>
      <c r="AT234" s="38" t="str">
        <f aca="false">IF(C234="","",IF(LEN(IF(AND(R234&lt;&gt;"",IFERROR(VALUE(MID(R234,2,2)),0)&lt;SG_Criteria!$B$19),"FAIL: grade below C"&amp;SG_Criteria!$B$19&amp;". ","")&amp;IF(AND(S234&lt;&gt;"",S234&lt;SG_Criteria!$B$20),"FAIL: cover &lt; "&amp;SG_Criteria!$B$20&amp;" mm. ","")&amp;IF(AND(W234&lt;&gt;"",W234&lt;1),"FAIL: sliding. ","")&amp;IF(AND(C234="Reverse L-Wall (toe only, at boundary)",N(O234)&gt;0),"NOTE: reverse L-wall should have no heel. ","")&amp;IF(AND(C234="L-Wall (heel only)",N(N234)&gt;0),"NOTE: L-wall should have no toe. ","")&amp;IF(AND(E234&lt;&gt;"",E234&lt;SG_Criteria!$B$31),"NOTE: q below LTA min "&amp;SG_Criteria!$B$31&amp;" kPa (not for LTA works). ",""))=0,"OK",IF(AND(R234&lt;&gt;"",IFERROR(VALUE(MID(R234,2,2)),0)&lt;SG_Criteria!$B$19),"FAIL: grade below C"&amp;SG_Criteria!$B$19&amp;". ","")&amp;IF(AND(S234&lt;&gt;"",S234&lt;SG_Criteria!$B$20),"FAIL: cover &lt; "&amp;SG_Criteria!$B$20&amp;" mm. ","")&amp;IF(AND(W234&lt;&gt;"",W234&lt;1),"FAIL: sliding. ","")&amp;IF(AND(C234="Reverse L-Wall (toe only, at boundary)",N(O234)&gt;0),"NOTE: reverse L-wall should have no heel. ","")&amp;IF(AND(C234="L-Wall (heel only)",N(N234)&gt;0),"NOTE: L-wall should have no toe. ","")&amp;IF(AND(E234&lt;&gt;"",E234&lt;SG_Criteria!$B$31),"NOTE: q below LTA min "&amp;SG_Criteria!$B$31&amp;" kPa (not for LTA works). ","")))</f>
        <v/>
      </c>
      <c r="AU234" s="9"/>
      <c r="AV234" s="9"/>
      <c r="AW234" s="9"/>
      <c r="AX234" s="9"/>
      <c r="AY234" s="9"/>
      <c r="AZ234" s="31"/>
      <c r="BA234" s="10" t="str">
        <f aca="false">IF(C234="","",IF(AND(AB234="Approved",ISERROR(SEARCH("FAIL",AT234))),"Y","N"))</f>
        <v/>
      </c>
      <c r="BB234" s="10" t="str">
        <f aca="false">IF(C234="","",C234&amp;"|"&amp;D234&amp;"|"&amp;E234&amp;"|"&amp;F234&amp;"|"&amp;BA234)</f>
        <v/>
      </c>
    </row>
    <row r="235" customFormat="false" ht="15" hidden="false" customHeight="false" outlineLevel="0" collapsed="false">
      <c r="A235" s="10" t="str">
        <f aca="false">IF(C235="","","RW-"&amp;IFERROR(VLOOKUP(C235,Lists!$M$4:$N$22,2,0),"??")&amp;"-H"&amp;TEXT(D235*1000,"0000")&amp;"-S"&amp;E235&amp;IF(F235="Y","-GW","")&amp;"-"&amp;AA235)</f>
        <v/>
      </c>
      <c r="B235" s="10" t="str">
        <f aca="false">IF(C235="","",C235&amp;", H = "&amp;TEXT(D235,"0.0")&amp;" m, q = "&amp;E235&amp;" kPa"&amp;IF(F235="Y",", with GWT","")&amp;", "&amp;H235)</f>
        <v/>
      </c>
      <c r="C235" s="9"/>
      <c r="D235" s="41"/>
      <c r="E235" s="40"/>
      <c r="F235" s="9"/>
      <c r="G235" s="40"/>
      <c r="H235" s="9"/>
      <c r="I235" s="40"/>
      <c r="J235" s="43"/>
      <c r="K235" s="40"/>
      <c r="L235" s="40"/>
      <c r="M235" s="40"/>
      <c r="N235" s="40"/>
      <c r="O235" s="40"/>
      <c r="P235" s="40"/>
      <c r="Q235" s="9"/>
      <c r="R235" s="9"/>
      <c r="S235" s="40"/>
      <c r="T235" s="9"/>
      <c r="U235" s="9"/>
      <c r="V235" s="9"/>
      <c r="W235" s="41"/>
      <c r="X235" s="41"/>
      <c r="Y235" s="40"/>
      <c r="Z235" s="9"/>
      <c r="AA235" s="9"/>
      <c r="AB235" s="9"/>
      <c r="AC235" s="9"/>
      <c r="AD235" s="9"/>
      <c r="AE235" s="9"/>
      <c r="AF235" s="10" t="str">
        <f aca="false">IF(A235="","",SG_Criteria!$B$6&amp;SG_Criteria!$B$8&amp;"\"&amp;A235&amp;"\")</f>
        <v/>
      </c>
      <c r="AG235" s="10" t="str">
        <f aca="false">IF(A235="","",A235&amp;"_CAD.dwg")</f>
        <v/>
      </c>
      <c r="AH235" s="10" t="str">
        <f aca="false">IF(A235="","",A235&amp;"_DWG.pdf")</f>
        <v/>
      </c>
      <c r="AI235" s="10" t="str">
        <f aca="false">IF(A235="","",IF(AE235="Y",A235&amp;"_STAAD.std","n/a"))</f>
        <v/>
      </c>
      <c r="AJ235" s="10" t="str">
        <f aca="false">IF(A235="","",A235&amp;"_CALC.xlsx")</f>
        <v/>
      </c>
      <c r="AK235" s="10" t="str">
        <f aca="false">IF(A235="","",A235&amp;"_CALC.pdf")</f>
        <v/>
      </c>
      <c r="AL235" s="9"/>
      <c r="AM235" s="9"/>
      <c r="AN235" s="41"/>
      <c r="AO235" s="41"/>
      <c r="AP235" s="41"/>
      <c r="AQ235" s="41"/>
      <c r="AR235" s="41"/>
      <c r="AS235" s="38" t="str">
        <f aca="false">IF(OR(C235="",D235=""),"",IF(D235&lt;=IF(OR(C235="Block / Segmental",C235="Gabion",C235="Reinforced Earth (MSE)"),SG_Criteria!$B$34,SG_Criteria!$B$33),"No ERSS submission",IF(D235&lt;=SG_Criteria!$B$35,"QP(ST)",IF(D235&lt;=SG_Criteria!$B$36,"QP(ST) + AC","Geotechnical building works: QP(Geo) + AC"))))</f>
        <v/>
      </c>
      <c r="AT235" s="38" t="str">
        <f aca="false">IF(C235="","",IF(LEN(IF(AND(R235&lt;&gt;"",IFERROR(VALUE(MID(R235,2,2)),0)&lt;SG_Criteria!$B$19),"FAIL: grade below C"&amp;SG_Criteria!$B$19&amp;". ","")&amp;IF(AND(S235&lt;&gt;"",S235&lt;SG_Criteria!$B$20),"FAIL: cover &lt; "&amp;SG_Criteria!$B$20&amp;" mm. ","")&amp;IF(AND(W235&lt;&gt;"",W235&lt;1),"FAIL: sliding. ","")&amp;IF(AND(C235="Reverse L-Wall (toe only, at boundary)",N(O235)&gt;0),"NOTE: reverse L-wall should have no heel. ","")&amp;IF(AND(C235="L-Wall (heel only)",N(N235)&gt;0),"NOTE: L-wall should have no toe. ","")&amp;IF(AND(E235&lt;&gt;"",E235&lt;SG_Criteria!$B$31),"NOTE: q below LTA min "&amp;SG_Criteria!$B$31&amp;" kPa (not for LTA works). ",""))=0,"OK",IF(AND(R235&lt;&gt;"",IFERROR(VALUE(MID(R235,2,2)),0)&lt;SG_Criteria!$B$19),"FAIL: grade below C"&amp;SG_Criteria!$B$19&amp;". ","")&amp;IF(AND(S235&lt;&gt;"",S235&lt;SG_Criteria!$B$20),"FAIL: cover &lt; "&amp;SG_Criteria!$B$20&amp;" mm. ","")&amp;IF(AND(W235&lt;&gt;"",W235&lt;1),"FAIL: sliding. ","")&amp;IF(AND(C235="Reverse L-Wall (toe only, at boundary)",N(O235)&gt;0),"NOTE: reverse L-wall should have no heel. ","")&amp;IF(AND(C235="L-Wall (heel only)",N(N235)&gt;0),"NOTE: L-wall should have no toe. ","")&amp;IF(AND(E235&lt;&gt;"",E235&lt;SG_Criteria!$B$31),"NOTE: q below LTA min "&amp;SG_Criteria!$B$31&amp;" kPa (not for LTA works). ","")))</f>
        <v/>
      </c>
      <c r="AU235" s="9"/>
      <c r="AV235" s="9"/>
      <c r="AW235" s="9"/>
      <c r="AX235" s="9"/>
      <c r="AY235" s="9"/>
      <c r="AZ235" s="31"/>
      <c r="BA235" s="10" t="str">
        <f aca="false">IF(C235="","",IF(AND(AB235="Approved",ISERROR(SEARCH("FAIL",AT235))),"Y","N"))</f>
        <v/>
      </c>
      <c r="BB235" s="10" t="str">
        <f aca="false">IF(C235="","",C235&amp;"|"&amp;D235&amp;"|"&amp;E235&amp;"|"&amp;F235&amp;"|"&amp;BA235)</f>
        <v/>
      </c>
    </row>
    <row r="236" customFormat="false" ht="15" hidden="false" customHeight="false" outlineLevel="0" collapsed="false">
      <c r="A236" s="10" t="str">
        <f aca="false">IF(C236="","","RW-"&amp;IFERROR(VLOOKUP(C236,Lists!$M$4:$N$22,2,0),"??")&amp;"-H"&amp;TEXT(D236*1000,"0000")&amp;"-S"&amp;E236&amp;IF(F236="Y","-GW","")&amp;"-"&amp;AA236)</f>
        <v/>
      </c>
      <c r="B236" s="10" t="str">
        <f aca="false">IF(C236="","",C236&amp;", H = "&amp;TEXT(D236,"0.0")&amp;" m, q = "&amp;E236&amp;" kPa"&amp;IF(F236="Y",", with GWT","")&amp;", "&amp;H236)</f>
        <v/>
      </c>
      <c r="C236" s="9"/>
      <c r="D236" s="41"/>
      <c r="E236" s="40"/>
      <c r="F236" s="9"/>
      <c r="G236" s="40"/>
      <c r="H236" s="9"/>
      <c r="I236" s="40"/>
      <c r="J236" s="43"/>
      <c r="K236" s="40"/>
      <c r="L236" s="40"/>
      <c r="M236" s="40"/>
      <c r="N236" s="40"/>
      <c r="O236" s="40"/>
      <c r="P236" s="40"/>
      <c r="Q236" s="9"/>
      <c r="R236" s="9"/>
      <c r="S236" s="40"/>
      <c r="T236" s="9"/>
      <c r="U236" s="9"/>
      <c r="V236" s="9"/>
      <c r="W236" s="41"/>
      <c r="X236" s="41"/>
      <c r="Y236" s="40"/>
      <c r="Z236" s="9"/>
      <c r="AA236" s="9"/>
      <c r="AB236" s="9"/>
      <c r="AC236" s="9"/>
      <c r="AD236" s="9"/>
      <c r="AE236" s="9"/>
      <c r="AF236" s="10" t="str">
        <f aca="false">IF(A236="","",SG_Criteria!$B$6&amp;SG_Criteria!$B$8&amp;"\"&amp;A236&amp;"\")</f>
        <v/>
      </c>
      <c r="AG236" s="10" t="str">
        <f aca="false">IF(A236="","",A236&amp;"_CAD.dwg")</f>
        <v/>
      </c>
      <c r="AH236" s="10" t="str">
        <f aca="false">IF(A236="","",A236&amp;"_DWG.pdf")</f>
        <v/>
      </c>
      <c r="AI236" s="10" t="str">
        <f aca="false">IF(A236="","",IF(AE236="Y",A236&amp;"_STAAD.std","n/a"))</f>
        <v/>
      </c>
      <c r="AJ236" s="10" t="str">
        <f aca="false">IF(A236="","",A236&amp;"_CALC.xlsx")</f>
        <v/>
      </c>
      <c r="AK236" s="10" t="str">
        <f aca="false">IF(A236="","",A236&amp;"_CALC.pdf")</f>
        <v/>
      </c>
      <c r="AL236" s="9"/>
      <c r="AM236" s="9"/>
      <c r="AN236" s="41"/>
      <c r="AO236" s="41"/>
      <c r="AP236" s="41"/>
      <c r="AQ236" s="41"/>
      <c r="AR236" s="41"/>
      <c r="AS236" s="38" t="str">
        <f aca="false">IF(OR(C236="",D236=""),"",IF(D236&lt;=IF(OR(C236="Block / Segmental",C236="Gabion",C236="Reinforced Earth (MSE)"),SG_Criteria!$B$34,SG_Criteria!$B$33),"No ERSS submission",IF(D236&lt;=SG_Criteria!$B$35,"QP(ST)",IF(D236&lt;=SG_Criteria!$B$36,"QP(ST) + AC","Geotechnical building works: QP(Geo) + AC"))))</f>
        <v/>
      </c>
      <c r="AT236" s="38" t="str">
        <f aca="false">IF(C236="","",IF(LEN(IF(AND(R236&lt;&gt;"",IFERROR(VALUE(MID(R236,2,2)),0)&lt;SG_Criteria!$B$19),"FAIL: grade below C"&amp;SG_Criteria!$B$19&amp;". ","")&amp;IF(AND(S236&lt;&gt;"",S236&lt;SG_Criteria!$B$20),"FAIL: cover &lt; "&amp;SG_Criteria!$B$20&amp;" mm. ","")&amp;IF(AND(W236&lt;&gt;"",W236&lt;1),"FAIL: sliding. ","")&amp;IF(AND(C236="Reverse L-Wall (toe only, at boundary)",N(O236)&gt;0),"NOTE: reverse L-wall should have no heel. ","")&amp;IF(AND(C236="L-Wall (heel only)",N(N236)&gt;0),"NOTE: L-wall should have no toe. ","")&amp;IF(AND(E236&lt;&gt;"",E236&lt;SG_Criteria!$B$31),"NOTE: q below LTA min "&amp;SG_Criteria!$B$31&amp;" kPa (not for LTA works). ",""))=0,"OK",IF(AND(R236&lt;&gt;"",IFERROR(VALUE(MID(R236,2,2)),0)&lt;SG_Criteria!$B$19),"FAIL: grade below C"&amp;SG_Criteria!$B$19&amp;". ","")&amp;IF(AND(S236&lt;&gt;"",S236&lt;SG_Criteria!$B$20),"FAIL: cover &lt; "&amp;SG_Criteria!$B$20&amp;" mm. ","")&amp;IF(AND(W236&lt;&gt;"",W236&lt;1),"FAIL: sliding. ","")&amp;IF(AND(C236="Reverse L-Wall (toe only, at boundary)",N(O236)&gt;0),"NOTE: reverse L-wall should have no heel. ","")&amp;IF(AND(C236="L-Wall (heel only)",N(N236)&gt;0),"NOTE: L-wall should have no toe. ","")&amp;IF(AND(E236&lt;&gt;"",E236&lt;SG_Criteria!$B$31),"NOTE: q below LTA min "&amp;SG_Criteria!$B$31&amp;" kPa (not for LTA works). ","")))</f>
        <v/>
      </c>
      <c r="AU236" s="9"/>
      <c r="AV236" s="9"/>
      <c r="AW236" s="9"/>
      <c r="AX236" s="9"/>
      <c r="AY236" s="9"/>
      <c r="AZ236" s="31"/>
      <c r="BA236" s="10" t="str">
        <f aca="false">IF(C236="","",IF(AND(AB236="Approved",ISERROR(SEARCH("FAIL",AT236))),"Y","N"))</f>
        <v/>
      </c>
      <c r="BB236" s="10" t="str">
        <f aca="false">IF(C236="","",C236&amp;"|"&amp;D236&amp;"|"&amp;E236&amp;"|"&amp;F236&amp;"|"&amp;BA236)</f>
        <v/>
      </c>
    </row>
    <row r="237" customFormat="false" ht="15" hidden="false" customHeight="false" outlineLevel="0" collapsed="false">
      <c r="A237" s="10" t="str">
        <f aca="false">IF(C237="","","RW-"&amp;IFERROR(VLOOKUP(C237,Lists!$M$4:$N$22,2,0),"??")&amp;"-H"&amp;TEXT(D237*1000,"0000")&amp;"-S"&amp;E237&amp;IF(F237="Y","-GW","")&amp;"-"&amp;AA237)</f>
        <v/>
      </c>
      <c r="B237" s="10" t="str">
        <f aca="false">IF(C237="","",C237&amp;", H = "&amp;TEXT(D237,"0.0")&amp;" m, q = "&amp;E237&amp;" kPa"&amp;IF(F237="Y",", with GWT","")&amp;", "&amp;H237)</f>
        <v/>
      </c>
      <c r="C237" s="9"/>
      <c r="D237" s="41"/>
      <c r="E237" s="40"/>
      <c r="F237" s="9"/>
      <c r="G237" s="40"/>
      <c r="H237" s="9"/>
      <c r="I237" s="40"/>
      <c r="J237" s="43"/>
      <c r="K237" s="40"/>
      <c r="L237" s="40"/>
      <c r="M237" s="40"/>
      <c r="N237" s="40"/>
      <c r="O237" s="40"/>
      <c r="P237" s="40"/>
      <c r="Q237" s="9"/>
      <c r="R237" s="9"/>
      <c r="S237" s="40"/>
      <c r="T237" s="9"/>
      <c r="U237" s="9"/>
      <c r="V237" s="9"/>
      <c r="W237" s="41"/>
      <c r="X237" s="41"/>
      <c r="Y237" s="40"/>
      <c r="Z237" s="9"/>
      <c r="AA237" s="9"/>
      <c r="AB237" s="9"/>
      <c r="AC237" s="9"/>
      <c r="AD237" s="9"/>
      <c r="AE237" s="9"/>
      <c r="AF237" s="10" t="str">
        <f aca="false">IF(A237="","",SG_Criteria!$B$6&amp;SG_Criteria!$B$8&amp;"\"&amp;A237&amp;"\")</f>
        <v/>
      </c>
      <c r="AG237" s="10" t="str">
        <f aca="false">IF(A237="","",A237&amp;"_CAD.dwg")</f>
        <v/>
      </c>
      <c r="AH237" s="10" t="str">
        <f aca="false">IF(A237="","",A237&amp;"_DWG.pdf")</f>
        <v/>
      </c>
      <c r="AI237" s="10" t="str">
        <f aca="false">IF(A237="","",IF(AE237="Y",A237&amp;"_STAAD.std","n/a"))</f>
        <v/>
      </c>
      <c r="AJ237" s="10" t="str">
        <f aca="false">IF(A237="","",A237&amp;"_CALC.xlsx")</f>
        <v/>
      </c>
      <c r="AK237" s="10" t="str">
        <f aca="false">IF(A237="","",A237&amp;"_CALC.pdf")</f>
        <v/>
      </c>
      <c r="AL237" s="9"/>
      <c r="AM237" s="9"/>
      <c r="AN237" s="41"/>
      <c r="AO237" s="41"/>
      <c r="AP237" s="41"/>
      <c r="AQ237" s="41"/>
      <c r="AR237" s="41"/>
      <c r="AS237" s="38" t="str">
        <f aca="false">IF(OR(C237="",D237=""),"",IF(D237&lt;=IF(OR(C237="Block / Segmental",C237="Gabion",C237="Reinforced Earth (MSE)"),SG_Criteria!$B$34,SG_Criteria!$B$33),"No ERSS submission",IF(D237&lt;=SG_Criteria!$B$35,"QP(ST)",IF(D237&lt;=SG_Criteria!$B$36,"QP(ST) + AC","Geotechnical building works: QP(Geo) + AC"))))</f>
        <v/>
      </c>
      <c r="AT237" s="38" t="str">
        <f aca="false">IF(C237="","",IF(LEN(IF(AND(R237&lt;&gt;"",IFERROR(VALUE(MID(R237,2,2)),0)&lt;SG_Criteria!$B$19),"FAIL: grade below C"&amp;SG_Criteria!$B$19&amp;". ","")&amp;IF(AND(S237&lt;&gt;"",S237&lt;SG_Criteria!$B$20),"FAIL: cover &lt; "&amp;SG_Criteria!$B$20&amp;" mm. ","")&amp;IF(AND(W237&lt;&gt;"",W237&lt;1),"FAIL: sliding. ","")&amp;IF(AND(C237="Reverse L-Wall (toe only, at boundary)",N(O237)&gt;0),"NOTE: reverse L-wall should have no heel. ","")&amp;IF(AND(C237="L-Wall (heel only)",N(N237)&gt;0),"NOTE: L-wall should have no toe. ","")&amp;IF(AND(E237&lt;&gt;"",E237&lt;SG_Criteria!$B$31),"NOTE: q below LTA min "&amp;SG_Criteria!$B$31&amp;" kPa (not for LTA works). ",""))=0,"OK",IF(AND(R237&lt;&gt;"",IFERROR(VALUE(MID(R237,2,2)),0)&lt;SG_Criteria!$B$19),"FAIL: grade below C"&amp;SG_Criteria!$B$19&amp;". ","")&amp;IF(AND(S237&lt;&gt;"",S237&lt;SG_Criteria!$B$20),"FAIL: cover &lt; "&amp;SG_Criteria!$B$20&amp;" mm. ","")&amp;IF(AND(W237&lt;&gt;"",W237&lt;1),"FAIL: sliding. ","")&amp;IF(AND(C237="Reverse L-Wall (toe only, at boundary)",N(O237)&gt;0),"NOTE: reverse L-wall should have no heel. ","")&amp;IF(AND(C237="L-Wall (heel only)",N(N237)&gt;0),"NOTE: L-wall should have no toe. ","")&amp;IF(AND(E237&lt;&gt;"",E237&lt;SG_Criteria!$B$31),"NOTE: q below LTA min "&amp;SG_Criteria!$B$31&amp;" kPa (not for LTA works). ","")))</f>
        <v/>
      </c>
      <c r="AU237" s="9"/>
      <c r="AV237" s="9"/>
      <c r="AW237" s="9"/>
      <c r="AX237" s="9"/>
      <c r="AY237" s="9"/>
      <c r="AZ237" s="31"/>
      <c r="BA237" s="10" t="str">
        <f aca="false">IF(C237="","",IF(AND(AB237="Approved",ISERROR(SEARCH("FAIL",AT237))),"Y","N"))</f>
        <v/>
      </c>
      <c r="BB237" s="10" t="str">
        <f aca="false">IF(C237="","",C237&amp;"|"&amp;D237&amp;"|"&amp;E237&amp;"|"&amp;F237&amp;"|"&amp;BA237)</f>
        <v/>
      </c>
    </row>
    <row r="238" customFormat="false" ht="15" hidden="false" customHeight="false" outlineLevel="0" collapsed="false">
      <c r="A238" s="10" t="str">
        <f aca="false">IF(C238="","","RW-"&amp;IFERROR(VLOOKUP(C238,Lists!$M$4:$N$22,2,0),"??")&amp;"-H"&amp;TEXT(D238*1000,"0000")&amp;"-S"&amp;E238&amp;IF(F238="Y","-GW","")&amp;"-"&amp;AA238)</f>
        <v/>
      </c>
      <c r="B238" s="10" t="str">
        <f aca="false">IF(C238="","",C238&amp;", H = "&amp;TEXT(D238,"0.0")&amp;" m, q = "&amp;E238&amp;" kPa"&amp;IF(F238="Y",", with GWT","")&amp;", "&amp;H238)</f>
        <v/>
      </c>
      <c r="C238" s="9"/>
      <c r="D238" s="41"/>
      <c r="E238" s="40"/>
      <c r="F238" s="9"/>
      <c r="G238" s="40"/>
      <c r="H238" s="9"/>
      <c r="I238" s="40"/>
      <c r="J238" s="43"/>
      <c r="K238" s="40"/>
      <c r="L238" s="40"/>
      <c r="M238" s="40"/>
      <c r="N238" s="40"/>
      <c r="O238" s="40"/>
      <c r="P238" s="40"/>
      <c r="Q238" s="9"/>
      <c r="R238" s="9"/>
      <c r="S238" s="40"/>
      <c r="T238" s="9"/>
      <c r="U238" s="9"/>
      <c r="V238" s="9"/>
      <c r="W238" s="41"/>
      <c r="X238" s="41"/>
      <c r="Y238" s="40"/>
      <c r="Z238" s="9"/>
      <c r="AA238" s="9"/>
      <c r="AB238" s="9"/>
      <c r="AC238" s="9"/>
      <c r="AD238" s="9"/>
      <c r="AE238" s="9"/>
      <c r="AF238" s="10" t="str">
        <f aca="false">IF(A238="","",SG_Criteria!$B$6&amp;SG_Criteria!$B$8&amp;"\"&amp;A238&amp;"\")</f>
        <v/>
      </c>
      <c r="AG238" s="10" t="str">
        <f aca="false">IF(A238="","",A238&amp;"_CAD.dwg")</f>
        <v/>
      </c>
      <c r="AH238" s="10" t="str">
        <f aca="false">IF(A238="","",A238&amp;"_DWG.pdf")</f>
        <v/>
      </c>
      <c r="AI238" s="10" t="str">
        <f aca="false">IF(A238="","",IF(AE238="Y",A238&amp;"_STAAD.std","n/a"))</f>
        <v/>
      </c>
      <c r="AJ238" s="10" t="str">
        <f aca="false">IF(A238="","",A238&amp;"_CALC.xlsx")</f>
        <v/>
      </c>
      <c r="AK238" s="10" t="str">
        <f aca="false">IF(A238="","",A238&amp;"_CALC.pdf")</f>
        <v/>
      </c>
      <c r="AL238" s="9"/>
      <c r="AM238" s="9"/>
      <c r="AN238" s="41"/>
      <c r="AO238" s="41"/>
      <c r="AP238" s="41"/>
      <c r="AQ238" s="41"/>
      <c r="AR238" s="41"/>
      <c r="AS238" s="38" t="str">
        <f aca="false">IF(OR(C238="",D238=""),"",IF(D238&lt;=IF(OR(C238="Block / Segmental",C238="Gabion",C238="Reinforced Earth (MSE)"),SG_Criteria!$B$34,SG_Criteria!$B$33),"No ERSS submission",IF(D238&lt;=SG_Criteria!$B$35,"QP(ST)",IF(D238&lt;=SG_Criteria!$B$36,"QP(ST) + AC","Geotechnical building works: QP(Geo) + AC"))))</f>
        <v/>
      </c>
      <c r="AT238" s="38" t="str">
        <f aca="false">IF(C238="","",IF(LEN(IF(AND(R238&lt;&gt;"",IFERROR(VALUE(MID(R238,2,2)),0)&lt;SG_Criteria!$B$19),"FAIL: grade below C"&amp;SG_Criteria!$B$19&amp;". ","")&amp;IF(AND(S238&lt;&gt;"",S238&lt;SG_Criteria!$B$20),"FAIL: cover &lt; "&amp;SG_Criteria!$B$20&amp;" mm. ","")&amp;IF(AND(W238&lt;&gt;"",W238&lt;1),"FAIL: sliding. ","")&amp;IF(AND(C238="Reverse L-Wall (toe only, at boundary)",N(O238)&gt;0),"NOTE: reverse L-wall should have no heel. ","")&amp;IF(AND(C238="L-Wall (heel only)",N(N238)&gt;0),"NOTE: L-wall should have no toe. ","")&amp;IF(AND(E238&lt;&gt;"",E238&lt;SG_Criteria!$B$31),"NOTE: q below LTA min "&amp;SG_Criteria!$B$31&amp;" kPa (not for LTA works). ",""))=0,"OK",IF(AND(R238&lt;&gt;"",IFERROR(VALUE(MID(R238,2,2)),0)&lt;SG_Criteria!$B$19),"FAIL: grade below C"&amp;SG_Criteria!$B$19&amp;". ","")&amp;IF(AND(S238&lt;&gt;"",S238&lt;SG_Criteria!$B$20),"FAIL: cover &lt; "&amp;SG_Criteria!$B$20&amp;" mm. ","")&amp;IF(AND(W238&lt;&gt;"",W238&lt;1),"FAIL: sliding. ","")&amp;IF(AND(C238="Reverse L-Wall (toe only, at boundary)",N(O238)&gt;0),"NOTE: reverse L-wall should have no heel. ","")&amp;IF(AND(C238="L-Wall (heel only)",N(N238)&gt;0),"NOTE: L-wall should have no toe. ","")&amp;IF(AND(E238&lt;&gt;"",E238&lt;SG_Criteria!$B$31),"NOTE: q below LTA min "&amp;SG_Criteria!$B$31&amp;" kPa (not for LTA works). ","")))</f>
        <v/>
      </c>
      <c r="AU238" s="9"/>
      <c r="AV238" s="9"/>
      <c r="AW238" s="9"/>
      <c r="AX238" s="9"/>
      <c r="AY238" s="9"/>
      <c r="AZ238" s="31"/>
      <c r="BA238" s="10" t="str">
        <f aca="false">IF(C238="","",IF(AND(AB238="Approved",ISERROR(SEARCH("FAIL",AT238))),"Y","N"))</f>
        <v/>
      </c>
      <c r="BB238" s="10" t="str">
        <f aca="false">IF(C238="","",C238&amp;"|"&amp;D238&amp;"|"&amp;E238&amp;"|"&amp;F238&amp;"|"&amp;BA238)</f>
        <v/>
      </c>
    </row>
    <row r="239" customFormat="false" ht="15" hidden="false" customHeight="false" outlineLevel="0" collapsed="false">
      <c r="A239" s="10" t="str">
        <f aca="false">IF(C239="","","RW-"&amp;IFERROR(VLOOKUP(C239,Lists!$M$4:$N$22,2,0),"??")&amp;"-H"&amp;TEXT(D239*1000,"0000")&amp;"-S"&amp;E239&amp;IF(F239="Y","-GW","")&amp;"-"&amp;AA239)</f>
        <v/>
      </c>
      <c r="B239" s="10" t="str">
        <f aca="false">IF(C239="","",C239&amp;", H = "&amp;TEXT(D239,"0.0")&amp;" m, q = "&amp;E239&amp;" kPa"&amp;IF(F239="Y",", with GWT","")&amp;", "&amp;H239)</f>
        <v/>
      </c>
      <c r="C239" s="9"/>
      <c r="D239" s="41"/>
      <c r="E239" s="40"/>
      <c r="F239" s="9"/>
      <c r="G239" s="40"/>
      <c r="H239" s="9"/>
      <c r="I239" s="40"/>
      <c r="J239" s="43"/>
      <c r="K239" s="40"/>
      <c r="L239" s="40"/>
      <c r="M239" s="40"/>
      <c r="N239" s="40"/>
      <c r="O239" s="40"/>
      <c r="P239" s="40"/>
      <c r="Q239" s="9"/>
      <c r="R239" s="9"/>
      <c r="S239" s="40"/>
      <c r="T239" s="9"/>
      <c r="U239" s="9"/>
      <c r="V239" s="9"/>
      <c r="W239" s="41"/>
      <c r="X239" s="41"/>
      <c r="Y239" s="40"/>
      <c r="Z239" s="9"/>
      <c r="AA239" s="9"/>
      <c r="AB239" s="9"/>
      <c r="AC239" s="9"/>
      <c r="AD239" s="9"/>
      <c r="AE239" s="9"/>
      <c r="AF239" s="10" t="str">
        <f aca="false">IF(A239="","",SG_Criteria!$B$6&amp;SG_Criteria!$B$8&amp;"\"&amp;A239&amp;"\")</f>
        <v/>
      </c>
      <c r="AG239" s="10" t="str">
        <f aca="false">IF(A239="","",A239&amp;"_CAD.dwg")</f>
        <v/>
      </c>
      <c r="AH239" s="10" t="str">
        <f aca="false">IF(A239="","",A239&amp;"_DWG.pdf")</f>
        <v/>
      </c>
      <c r="AI239" s="10" t="str">
        <f aca="false">IF(A239="","",IF(AE239="Y",A239&amp;"_STAAD.std","n/a"))</f>
        <v/>
      </c>
      <c r="AJ239" s="10" t="str">
        <f aca="false">IF(A239="","",A239&amp;"_CALC.xlsx")</f>
        <v/>
      </c>
      <c r="AK239" s="10" t="str">
        <f aca="false">IF(A239="","",A239&amp;"_CALC.pdf")</f>
        <v/>
      </c>
      <c r="AL239" s="9"/>
      <c r="AM239" s="9"/>
      <c r="AN239" s="41"/>
      <c r="AO239" s="41"/>
      <c r="AP239" s="41"/>
      <c r="AQ239" s="41"/>
      <c r="AR239" s="41"/>
      <c r="AS239" s="38" t="str">
        <f aca="false">IF(OR(C239="",D239=""),"",IF(D239&lt;=IF(OR(C239="Block / Segmental",C239="Gabion",C239="Reinforced Earth (MSE)"),SG_Criteria!$B$34,SG_Criteria!$B$33),"No ERSS submission",IF(D239&lt;=SG_Criteria!$B$35,"QP(ST)",IF(D239&lt;=SG_Criteria!$B$36,"QP(ST) + AC","Geotechnical building works: QP(Geo) + AC"))))</f>
        <v/>
      </c>
      <c r="AT239" s="38" t="str">
        <f aca="false">IF(C239="","",IF(LEN(IF(AND(R239&lt;&gt;"",IFERROR(VALUE(MID(R239,2,2)),0)&lt;SG_Criteria!$B$19),"FAIL: grade below C"&amp;SG_Criteria!$B$19&amp;". ","")&amp;IF(AND(S239&lt;&gt;"",S239&lt;SG_Criteria!$B$20),"FAIL: cover &lt; "&amp;SG_Criteria!$B$20&amp;" mm. ","")&amp;IF(AND(W239&lt;&gt;"",W239&lt;1),"FAIL: sliding. ","")&amp;IF(AND(C239="Reverse L-Wall (toe only, at boundary)",N(O239)&gt;0),"NOTE: reverse L-wall should have no heel. ","")&amp;IF(AND(C239="L-Wall (heel only)",N(N239)&gt;0),"NOTE: L-wall should have no toe. ","")&amp;IF(AND(E239&lt;&gt;"",E239&lt;SG_Criteria!$B$31),"NOTE: q below LTA min "&amp;SG_Criteria!$B$31&amp;" kPa (not for LTA works). ",""))=0,"OK",IF(AND(R239&lt;&gt;"",IFERROR(VALUE(MID(R239,2,2)),0)&lt;SG_Criteria!$B$19),"FAIL: grade below C"&amp;SG_Criteria!$B$19&amp;". ","")&amp;IF(AND(S239&lt;&gt;"",S239&lt;SG_Criteria!$B$20),"FAIL: cover &lt; "&amp;SG_Criteria!$B$20&amp;" mm. ","")&amp;IF(AND(W239&lt;&gt;"",W239&lt;1),"FAIL: sliding. ","")&amp;IF(AND(C239="Reverse L-Wall (toe only, at boundary)",N(O239)&gt;0),"NOTE: reverse L-wall should have no heel. ","")&amp;IF(AND(C239="L-Wall (heel only)",N(N239)&gt;0),"NOTE: L-wall should have no toe. ","")&amp;IF(AND(E239&lt;&gt;"",E239&lt;SG_Criteria!$B$31),"NOTE: q below LTA min "&amp;SG_Criteria!$B$31&amp;" kPa (not for LTA works). ","")))</f>
        <v/>
      </c>
      <c r="AU239" s="9"/>
      <c r="AV239" s="9"/>
      <c r="AW239" s="9"/>
      <c r="AX239" s="9"/>
      <c r="AY239" s="9"/>
      <c r="AZ239" s="31"/>
      <c r="BA239" s="10" t="str">
        <f aca="false">IF(C239="","",IF(AND(AB239="Approved",ISERROR(SEARCH("FAIL",AT239))),"Y","N"))</f>
        <v/>
      </c>
      <c r="BB239" s="10" t="str">
        <f aca="false">IF(C239="","",C239&amp;"|"&amp;D239&amp;"|"&amp;E239&amp;"|"&amp;F239&amp;"|"&amp;BA239)</f>
        <v/>
      </c>
    </row>
    <row r="240" customFormat="false" ht="15" hidden="false" customHeight="false" outlineLevel="0" collapsed="false">
      <c r="A240" s="10" t="str">
        <f aca="false">IF(C240="","","RW-"&amp;IFERROR(VLOOKUP(C240,Lists!$M$4:$N$22,2,0),"??")&amp;"-H"&amp;TEXT(D240*1000,"0000")&amp;"-S"&amp;E240&amp;IF(F240="Y","-GW","")&amp;"-"&amp;AA240)</f>
        <v/>
      </c>
      <c r="B240" s="10" t="str">
        <f aca="false">IF(C240="","",C240&amp;", H = "&amp;TEXT(D240,"0.0")&amp;" m, q = "&amp;E240&amp;" kPa"&amp;IF(F240="Y",", with GWT","")&amp;", "&amp;H240)</f>
        <v/>
      </c>
      <c r="C240" s="9"/>
      <c r="D240" s="41"/>
      <c r="E240" s="40"/>
      <c r="F240" s="9"/>
      <c r="G240" s="40"/>
      <c r="H240" s="9"/>
      <c r="I240" s="40"/>
      <c r="J240" s="43"/>
      <c r="K240" s="40"/>
      <c r="L240" s="40"/>
      <c r="M240" s="40"/>
      <c r="N240" s="40"/>
      <c r="O240" s="40"/>
      <c r="P240" s="40"/>
      <c r="Q240" s="9"/>
      <c r="R240" s="9"/>
      <c r="S240" s="40"/>
      <c r="T240" s="9"/>
      <c r="U240" s="9"/>
      <c r="V240" s="9"/>
      <c r="W240" s="41"/>
      <c r="X240" s="41"/>
      <c r="Y240" s="40"/>
      <c r="Z240" s="9"/>
      <c r="AA240" s="9"/>
      <c r="AB240" s="9"/>
      <c r="AC240" s="9"/>
      <c r="AD240" s="9"/>
      <c r="AE240" s="9"/>
      <c r="AF240" s="10" t="str">
        <f aca="false">IF(A240="","",SG_Criteria!$B$6&amp;SG_Criteria!$B$8&amp;"\"&amp;A240&amp;"\")</f>
        <v/>
      </c>
      <c r="AG240" s="10" t="str">
        <f aca="false">IF(A240="","",A240&amp;"_CAD.dwg")</f>
        <v/>
      </c>
      <c r="AH240" s="10" t="str">
        <f aca="false">IF(A240="","",A240&amp;"_DWG.pdf")</f>
        <v/>
      </c>
      <c r="AI240" s="10" t="str">
        <f aca="false">IF(A240="","",IF(AE240="Y",A240&amp;"_STAAD.std","n/a"))</f>
        <v/>
      </c>
      <c r="AJ240" s="10" t="str">
        <f aca="false">IF(A240="","",A240&amp;"_CALC.xlsx")</f>
        <v/>
      </c>
      <c r="AK240" s="10" t="str">
        <f aca="false">IF(A240="","",A240&amp;"_CALC.pdf")</f>
        <v/>
      </c>
      <c r="AL240" s="9"/>
      <c r="AM240" s="9"/>
      <c r="AN240" s="41"/>
      <c r="AO240" s="41"/>
      <c r="AP240" s="41"/>
      <c r="AQ240" s="41"/>
      <c r="AR240" s="41"/>
      <c r="AS240" s="38" t="str">
        <f aca="false">IF(OR(C240="",D240=""),"",IF(D240&lt;=IF(OR(C240="Block / Segmental",C240="Gabion",C240="Reinforced Earth (MSE)"),SG_Criteria!$B$34,SG_Criteria!$B$33),"No ERSS submission",IF(D240&lt;=SG_Criteria!$B$35,"QP(ST)",IF(D240&lt;=SG_Criteria!$B$36,"QP(ST) + AC","Geotechnical building works: QP(Geo) + AC"))))</f>
        <v/>
      </c>
      <c r="AT240" s="38" t="str">
        <f aca="false">IF(C240="","",IF(LEN(IF(AND(R240&lt;&gt;"",IFERROR(VALUE(MID(R240,2,2)),0)&lt;SG_Criteria!$B$19),"FAIL: grade below C"&amp;SG_Criteria!$B$19&amp;". ","")&amp;IF(AND(S240&lt;&gt;"",S240&lt;SG_Criteria!$B$20),"FAIL: cover &lt; "&amp;SG_Criteria!$B$20&amp;" mm. ","")&amp;IF(AND(W240&lt;&gt;"",W240&lt;1),"FAIL: sliding. ","")&amp;IF(AND(C240="Reverse L-Wall (toe only, at boundary)",N(O240)&gt;0),"NOTE: reverse L-wall should have no heel. ","")&amp;IF(AND(C240="L-Wall (heel only)",N(N240)&gt;0),"NOTE: L-wall should have no toe. ","")&amp;IF(AND(E240&lt;&gt;"",E240&lt;SG_Criteria!$B$31),"NOTE: q below LTA min "&amp;SG_Criteria!$B$31&amp;" kPa (not for LTA works). ",""))=0,"OK",IF(AND(R240&lt;&gt;"",IFERROR(VALUE(MID(R240,2,2)),0)&lt;SG_Criteria!$B$19),"FAIL: grade below C"&amp;SG_Criteria!$B$19&amp;". ","")&amp;IF(AND(S240&lt;&gt;"",S240&lt;SG_Criteria!$B$20),"FAIL: cover &lt; "&amp;SG_Criteria!$B$20&amp;" mm. ","")&amp;IF(AND(W240&lt;&gt;"",W240&lt;1),"FAIL: sliding. ","")&amp;IF(AND(C240="Reverse L-Wall (toe only, at boundary)",N(O240)&gt;0),"NOTE: reverse L-wall should have no heel. ","")&amp;IF(AND(C240="L-Wall (heel only)",N(N240)&gt;0),"NOTE: L-wall should have no toe. ","")&amp;IF(AND(E240&lt;&gt;"",E240&lt;SG_Criteria!$B$31),"NOTE: q below LTA min "&amp;SG_Criteria!$B$31&amp;" kPa (not for LTA works). ","")))</f>
        <v/>
      </c>
      <c r="AU240" s="9"/>
      <c r="AV240" s="9"/>
      <c r="AW240" s="9"/>
      <c r="AX240" s="9"/>
      <c r="AY240" s="9"/>
      <c r="AZ240" s="31"/>
      <c r="BA240" s="10" t="str">
        <f aca="false">IF(C240="","",IF(AND(AB240="Approved",ISERROR(SEARCH("FAIL",AT240))),"Y","N"))</f>
        <v/>
      </c>
      <c r="BB240" s="10" t="str">
        <f aca="false">IF(C240="","",C240&amp;"|"&amp;D240&amp;"|"&amp;E240&amp;"|"&amp;F240&amp;"|"&amp;BA240)</f>
        <v/>
      </c>
    </row>
    <row r="241" customFormat="false" ht="15" hidden="false" customHeight="false" outlineLevel="0" collapsed="false">
      <c r="A241" s="10" t="str">
        <f aca="false">IF(C241="","","RW-"&amp;IFERROR(VLOOKUP(C241,Lists!$M$4:$N$22,2,0),"??")&amp;"-H"&amp;TEXT(D241*1000,"0000")&amp;"-S"&amp;E241&amp;IF(F241="Y","-GW","")&amp;"-"&amp;AA241)</f>
        <v/>
      </c>
      <c r="B241" s="10" t="str">
        <f aca="false">IF(C241="","",C241&amp;", H = "&amp;TEXT(D241,"0.0")&amp;" m, q = "&amp;E241&amp;" kPa"&amp;IF(F241="Y",", with GWT","")&amp;", "&amp;H241)</f>
        <v/>
      </c>
      <c r="C241" s="9"/>
      <c r="D241" s="41"/>
      <c r="E241" s="40"/>
      <c r="F241" s="9"/>
      <c r="G241" s="40"/>
      <c r="H241" s="9"/>
      <c r="I241" s="40"/>
      <c r="J241" s="43"/>
      <c r="K241" s="40"/>
      <c r="L241" s="40"/>
      <c r="M241" s="40"/>
      <c r="N241" s="40"/>
      <c r="O241" s="40"/>
      <c r="P241" s="40"/>
      <c r="Q241" s="9"/>
      <c r="R241" s="9"/>
      <c r="S241" s="40"/>
      <c r="T241" s="9"/>
      <c r="U241" s="9"/>
      <c r="V241" s="9"/>
      <c r="W241" s="41"/>
      <c r="X241" s="41"/>
      <c r="Y241" s="40"/>
      <c r="Z241" s="9"/>
      <c r="AA241" s="9"/>
      <c r="AB241" s="9"/>
      <c r="AC241" s="9"/>
      <c r="AD241" s="9"/>
      <c r="AE241" s="9"/>
      <c r="AF241" s="10" t="str">
        <f aca="false">IF(A241="","",SG_Criteria!$B$6&amp;SG_Criteria!$B$8&amp;"\"&amp;A241&amp;"\")</f>
        <v/>
      </c>
      <c r="AG241" s="10" t="str">
        <f aca="false">IF(A241="","",A241&amp;"_CAD.dwg")</f>
        <v/>
      </c>
      <c r="AH241" s="10" t="str">
        <f aca="false">IF(A241="","",A241&amp;"_DWG.pdf")</f>
        <v/>
      </c>
      <c r="AI241" s="10" t="str">
        <f aca="false">IF(A241="","",IF(AE241="Y",A241&amp;"_STAAD.std","n/a"))</f>
        <v/>
      </c>
      <c r="AJ241" s="10" t="str">
        <f aca="false">IF(A241="","",A241&amp;"_CALC.xlsx")</f>
        <v/>
      </c>
      <c r="AK241" s="10" t="str">
        <f aca="false">IF(A241="","",A241&amp;"_CALC.pdf")</f>
        <v/>
      </c>
      <c r="AL241" s="9"/>
      <c r="AM241" s="9"/>
      <c r="AN241" s="41"/>
      <c r="AO241" s="41"/>
      <c r="AP241" s="41"/>
      <c r="AQ241" s="41"/>
      <c r="AR241" s="41"/>
      <c r="AS241" s="38" t="str">
        <f aca="false">IF(OR(C241="",D241=""),"",IF(D241&lt;=IF(OR(C241="Block / Segmental",C241="Gabion",C241="Reinforced Earth (MSE)"),SG_Criteria!$B$34,SG_Criteria!$B$33),"No ERSS submission",IF(D241&lt;=SG_Criteria!$B$35,"QP(ST)",IF(D241&lt;=SG_Criteria!$B$36,"QP(ST) + AC","Geotechnical building works: QP(Geo) + AC"))))</f>
        <v/>
      </c>
      <c r="AT241" s="38" t="str">
        <f aca="false">IF(C241="","",IF(LEN(IF(AND(R241&lt;&gt;"",IFERROR(VALUE(MID(R241,2,2)),0)&lt;SG_Criteria!$B$19),"FAIL: grade below C"&amp;SG_Criteria!$B$19&amp;". ","")&amp;IF(AND(S241&lt;&gt;"",S241&lt;SG_Criteria!$B$20),"FAIL: cover &lt; "&amp;SG_Criteria!$B$20&amp;" mm. ","")&amp;IF(AND(W241&lt;&gt;"",W241&lt;1),"FAIL: sliding. ","")&amp;IF(AND(C241="Reverse L-Wall (toe only, at boundary)",N(O241)&gt;0),"NOTE: reverse L-wall should have no heel. ","")&amp;IF(AND(C241="L-Wall (heel only)",N(N241)&gt;0),"NOTE: L-wall should have no toe. ","")&amp;IF(AND(E241&lt;&gt;"",E241&lt;SG_Criteria!$B$31),"NOTE: q below LTA min "&amp;SG_Criteria!$B$31&amp;" kPa (not for LTA works). ",""))=0,"OK",IF(AND(R241&lt;&gt;"",IFERROR(VALUE(MID(R241,2,2)),0)&lt;SG_Criteria!$B$19),"FAIL: grade below C"&amp;SG_Criteria!$B$19&amp;". ","")&amp;IF(AND(S241&lt;&gt;"",S241&lt;SG_Criteria!$B$20),"FAIL: cover &lt; "&amp;SG_Criteria!$B$20&amp;" mm. ","")&amp;IF(AND(W241&lt;&gt;"",W241&lt;1),"FAIL: sliding. ","")&amp;IF(AND(C241="Reverse L-Wall (toe only, at boundary)",N(O241)&gt;0),"NOTE: reverse L-wall should have no heel. ","")&amp;IF(AND(C241="L-Wall (heel only)",N(N241)&gt;0),"NOTE: L-wall should have no toe. ","")&amp;IF(AND(E241&lt;&gt;"",E241&lt;SG_Criteria!$B$31),"NOTE: q below LTA min "&amp;SG_Criteria!$B$31&amp;" kPa (not for LTA works). ","")))</f>
        <v/>
      </c>
      <c r="AU241" s="9"/>
      <c r="AV241" s="9"/>
      <c r="AW241" s="9"/>
      <c r="AX241" s="9"/>
      <c r="AY241" s="9"/>
      <c r="AZ241" s="31"/>
      <c r="BA241" s="10" t="str">
        <f aca="false">IF(C241="","",IF(AND(AB241="Approved",ISERROR(SEARCH("FAIL",AT241))),"Y","N"))</f>
        <v/>
      </c>
      <c r="BB241" s="10" t="str">
        <f aca="false">IF(C241="","",C241&amp;"|"&amp;D241&amp;"|"&amp;E241&amp;"|"&amp;F241&amp;"|"&amp;BA241)</f>
        <v/>
      </c>
    </row>
    <row r="242" customFormat="false" ht="15" hidden="false" customHeight="false" outlineLevel="0" collapsed="false">
      <c r="A242" s="10" t="str">
        <f aca="false">IF(C242="","","RW-"&amp;IFERROR(VLOOKUP(C242,Lists!$M$4:$N$22,2,0),"??")&amp;"-H"&amp;TEXT(D242*1000,"0000")&amp;"-S"&amp;E242&amp;IF(F242="Y","-GW","")&amp;"-"&amp;AA242)</f>
        <v/>
      </c>
      <c r="B242" s="10" t="str">
        <f aca="false">IF(C242="","",C242&amp;", H = "&amp;TEXT(D242,"0.0")&amp;" m, q = "&amp;E242&amp;" kPa"&amp;IF(F242="Y",", with GWT","")&amp;", "&amp;H242)</f>
        <v/>
      </c>
      <c r="C242" s="9"/>
      <c r="D242" s="41"/>
      <c r="E242" s="40"/>
      <c r="F242" s="9"/>
      <c r="G242" s="40"/>
      <c r="H242" s="9"/>
      <c r="I242" s="40"/>
      <c r="J242" s="43"/>
      <c r="K242" s="40"/>
      <c r="L242" s="40"/>
      <c r="M242" s="40"/>
      <c r="N242" s="40"/>
      <c r="O242" s="40"/>
      <c r="P242" s="40"/>
      <c r="Q242" s="9"/>
      <c r="R242" s="9"/>
      <c r="S242" s="40"/>
      <c r="T242" s="9"/>
      <c r="U242" s="9"/>
      <c r="V242" s="9"/>
      <c r="W242" s="41"/>
      <c r="X242" s="41"/>
      <c r="Y242" s="40"/>
      <c r="Z242" s="9"/>
      <c r="AA242" s="9"/>
      <c r="AB242" s="9"/>
      <c r="AC242" s="9"/>
      <c r="AD242" s="9"/>
      <c r="AE242" s="9"/>
      <c r="AF242" s="10" t="str">
        <f aca="false">IF(A242="","",SG_Criteria!$B$6&amp;SG_Criteria!$B$8&amp;"\"&amp;A242&amp;"\")</f>
        <v/>
      </c>
      <c r="AG242" s="10" t="str">
        <f aca="false">IF(A242="","",A242&amp;"_CAD.dwg")</f>
        <v/>
      </c>
      <c r="AH242" s="10" t="str">
        <f aca="false">IF(A242="","",A242&amp;"_DWG.pdf")</f>
        <v/>
      </c>
      <c r="AI242" s="10" t="str">
        <f aca="false">IF(A242="","",IF(AE242="Y",A242&amp;"_STAAD.std","n/a"))</f>
        <v/>
      </c>
      <c r="AJ242" s="10" t="str">
        <f aca="false">IF(A242="","",A242&amp;"_CALC.xlsx")</f>
        <v/>
      </c>
      <c r="AK242" s="10" t="str">
        <f aca="false">IF(A242="","",A242&amp;"_CALC.pdf")</f>
        <v/>
      </c>
      <c r="AL242" s="9"/>
      <c r="AM242" s="9"/>
      <c r="AN242" s="41"/>
      <c r="AO242" s="41"/>
      <c r="AP242" s="41"/>
      <c r="AQ242" s="41"/>
      <c r="AR242" s="41"/>
      <c r="AS242" s="38" t="str">
        <f aca="false">IF(OR(C242="",D242=""),"",IF(D242&lt;=IF(OR(C242="Block / Segmental",C242="Gabion",C242="Reinforced Earth (MSE)"),SG_Criteria!$B$34,SG_Criteria!$B$33),"No ERSS submission",IF(D242&lt;=SG_Criteria!$B$35,"QP(ST)",IF(D242&lt;=SG_Criteria!$B$36,"QP(ST) + AC","Geotechnical building works: QP(Geo) + AC"))))</f>
        <v/>
      </c>
      <c r="AT242" s="38" t="str">
        <f aca="false">IF(C242="","",IF(LEN(IF(AND(R242&lt;&gt;"",IFERROR(VALUE(MID(R242,2,2)),0)&lt;SG_Criteria!$B$19),"FAIL: grade below C"&amp;SG_Criteria!$B$19&amp;". ","")&amp;IF(AND(S242&lt;&gt;"",S242&lt;SG_Criteria!$B$20),"FAIL: cover &lt; "&amp;SG_Criteria!$B$20&amp;" mm. ","")&amp;IF(AND(W242&lt;&gt;"",W242&lt;1),"FAIL: sliding. ","")&amp;IF(AND(C242="Reverse L-Wall (toe only, at boundary)",N(O242)&gt;0),"NOTE: reverse L-wall should have no heel. ","")&amp;IF(AND(C242="L-Wall (heel only)",N(N242)&gt;0),"NOTE: L-wall should have no toe. ","")&amp;IF(AND(E242&lt;&gt;"",E242&lt;SG_Criteria!$B$31),"NOTE: q below LTA min "&amp;SG_Criteria!$B$31&amp;" kPa (not for LTA works). ",""))=0,"OK",IF(AND(R242&lt;&gt;"",IFERROR(VALUE(MID(R242,2,2)),0)&lt;SG_Criteria!$B$19),"FAIL: grade below C"&amp;SG_Criteria!$B$19&amp;". ","")&amp;IF(AND(S242&lt;&gt;"",S242&lt;SG_Criteria!$B$20),"FAIL: cover &lt; "&amp;SG_Criteria!$B$20&amp;" mm. ","")&amp;IF(AND(W242&lt;&gt;"",W242&lt;1),"FAIL: sliding. ","")&amp;IF(AND(C242="Reverse L-Wall (toe only, at boundary)",N(O242)&gt;0),"NOTE: reverse L-wall should have no heel. ","")&amp;IF(AND(C242="L-Wall (heel only)",N(N242)&gt;0),"NOTE: L-wall should have no toe. ","")&amp;IF(AND(E242&lt;&gt;"",E242&lt;SG_Criteria!$B$31),"NOTE: q below LTA min "&amp;SG_Criteria!$B$31&amp;" kPa (not for LTA works). ","")))</f>
        <v/>
      </c>
      <c r="AU242" s="9"/>
      <c r="AV242" s="9"/>
      <c r="AW242" s="9"/>
      <c r="AX242" s="9"/>
      <c r="AY242" s="9"/>
      <c r="AZ242" s="31"/>
      <c r="BA242" s="10" t="str">
        <f aca="false">IF(C242="","",IF(AND(AB242="Approved",ISERROR(SEARCH("FAIL",AT242))),"Y","N"))</f>
        <v/>
      </c>
      <c r="BB242" s="10" t="str">
        <f aca="false">IF(C242="","",C242&amp;"|"&amp;D242&amp;"|"&amp;E242&amp;"|"&amp;F242&amp;"|"&amp;BA242)</f>
        <v/>
      </c>
    </row>
    <row r="243" customFormat="false" ht="15" hidden="false" customHeight="false" outlineLevel="0" collapsed="false">
      <c r="A243" s="10" t="str">
        <f aca="false">IF(C243="","","RW-"&amp;IFERROR(VLOOKUP(C243,Lists!$M$4:$N$22,2,0),"??")&amp;"-H"&amp;TEXT(D243*1000,"0000")&amp;"-S"&amp;E243&amp;IF(F243="Y","-GW","")&amp;"-"&amp;AA243)</f>
        <v/>
      </c>
      <c r="B243" s="10" t="str">
        <f aca="false">IF(C243="","",C243&amp;", H = "&amp;TEXT(D243,"0.0")&amp;" m, q = "&amp;E243&amp;" kPa"&amp;IF(F243="Y",", with GWT","")&amp;", "&amp;H243)</f>
        <v/>
      </c>
      <c r="C243" s="9"/>
      <c r="D243" s="41"/>
      <c r="E243" s="40"/>
      <c r="F243" s="9"/>
      <c r="G243" s="40"/>
      <c r="H243" s="9"/>
      <c r="I243" s="40"/>
      <c r="J243" s="43"/>
      <c r="K243" s="40"/>
      <c r="L243" s="40"/>
      <c r="M243" s="40"/>
      <c r="N243" s="40"/>
      <c r="O243" s="40"/>
      <c r="P243" s="40"/>
      <c r="Q243" s="9"/>
      <c r="R243" s="9"/>
      <c r="S243" s="40"/>
      <c r="T243" s="9"/>
      <c r="U243" s="9"/>
      <c r="V243" s="9"/>
      <c r="W243" s="41"/>
      <c r="X243" s="41"/>
      <c r="Y243" s="40"/>
      <c r="Z243" s="9"/>
      <c r="AA243" s="9"/>
      <c r="AB243" s="9"/>
      <c r="AC243" s="9"/>
      <c r="AD243" s="9"/>
      <c r="AE243" s="9"/>
      <c r="AF243" s="10" t="str">
        <f aca="false">IF(A243="","",SG_Criteria!$B$6&amp;SG_Criteria!$B$8&amp;"\"&amp;A243&amp;"\")</f>
        <v/>
      </c>
      <c r="AG243" s="10" t="str">
        <f aca="false">IF(A243="","",A243&amp;"_CAD.dwg")</f>
        <v/>
      </c>
      <c r="AH243" s="10" t="str">
        <f aca="false">IF(A243="","",A243&amp;"_DWG.pdf")</f>
        <v/>
      </c>
      <c r="AI243" s="10" t="str">
        <f aca="false">IF(A243="","",IF(AE243="Y",A243&amp;"_STAAD.std","n/a"))</f>
        <v/>
      </c>
      <c r="AJ243" s="10" t="str">
        <f aca="false">IF(A243="","",A243&amp;"_CALC.xlsx")</f>
        <v/>
      </c>
      <c r="AK243" s="10" t="str">
        <f aca="false">IF(A243="","",A243&amp;"_CALC.pdf")</f>
        <v/>
      </c>
      <c r="AL243" s="9"/>
      <c r="AM243" s="9"/>
      <c r="AN243" s="41"/>
      <c r="AO243" s="41"/>
      <c r="AP243" s="41"/>
      <c r="AQ243" s="41"/>
      <c r="AR243" s="41"/>
      <c r="AS243" s="38" t="str">
        <f aca="false">IF(OR(C243="",D243=""),"",IF(D243&lt;=IF(OR(C243="Block / Segmental",C243="Gabion",C243="Reinforced Earth (MSE)"),SG_Criteria!$B$34,SG_Criteria!$B$33),"No ERSS submission",IF(D243&lt;=SG_Criteria!$B$35,"QP(ST)",IF(D243&lt;=SG_Criteria!$B$36,"QP(ST) + AC","Geotechnical building works: QP(Geo) + AC"))))</f>
        <v/>
      </c>
      <c r="AT243" s="38" t="str">
        <f aca="false">IF(C243="","",IF(LEN(IF(AND(R243&lt;&gt;"",IFERROR(VALUE(MID(R243,2,2)),0)&lt;SG_Criteria!$B$19),"FAIL: grade below C"&amp;SG_Criteria!$B$19&amp;". ","")&amp;IF(AND(S243&lt;&gt;"",S243&lt;SG_Criteria!$B$20),"FAIL: cover &lt; "&amp;SG_Criteria!$B$20&amp;" mm. ","")&amp;IF(AND(W243&lt;&gt;"",W243&lt;1),"FAIL: sliding. ","")&amp;IF(AND(C243="Reverse L-Wall (toe only, at boundary)",N(O243)&gt;0),"NOTE: reverse L-wall should have no heel. ","")&amp;IF(AND(C243="L-Wall (heel only)",N(N243)&gt;0),"NOTE: L-wall should have no toe. ","")&amp;IF(AND(E243&lt;&gt;"",E243&lt;SG_Criteria!$B$31),"NOTE: q below LTA min "&amp;SG_Criteria!$B$31&amp;" kPa (not for LTA works). ",""))=0,"OK",IF(AND(R243&lt;&gt;"",IFERROR(VALUE(MID(R243,2,2)),0)&lt;SG_Criteria!$B$19),"FAIL: grade below C"&amp;SG_Criteria!$B$19&amp;". ","")&amp;IF(AND(S243&lt;&gt;"",S243&lt;SG_Criteria!$B$20),"FAIL: cover &lt; "&amp;SG_Criteria!$B$20&amp;" mm. ","")&amp;IF(AND(W243&lt;&gt;"",W243&lt;1),"FAIL: sliding. ","")&amp;IF(AND(C243="Reverse L-Wall (toe only, at boundary)",N(O243)&gt;0),"NOTE: reverse L-wall should have no heel. ","")&amp;IF(AND(C243="L-Wall (heel only)",N(N243)&gt;0),"NOTE: L-wall should have no toe. ","")&amp;IF(AND(E243&lt;&gt;"",E243&lt;SG_Criteria!$B$31),"NOTE: q below LTA min "&amp;SG_Criteria!$B$31&amp;" kPa (not for LTA works). ","")))</f>
        <v/>
      </c>
      <c r="AU243" s="9"/>
      <c r="AV243" s="9"/>
      <c r="AW243" s="9"/>
      <c r="AX243" s="9"/>
      <c r="AY243" s="9"/>
      <c r="AZ243" s="31"/>
      <c r="BA243" s="10" t="str">
        <f aca="false">IF(C243="","",IF(AND(AB243="Approved",ISERROR(SEARCH("FAIL",AT243))),"Y","N"))</f>
        <v/>
      </c>
      <c r="BB243" s="10" t="str">
        <f aca="false">IF(C243="","",C243&amp;"|"&amp;D243&amp;"|"&amp;E243&amp;"|"&amp;F243&amp;"|"&amp;BA243)</f>
        <v/>
      </c>
    </row>
    <row r="244" customFormat="false" ht="15" hidden="false" customHeight="false" outlineLevel="0" collapsed="false">
      <c r="A244" s="10" t="str">
        <f aca="false">IF(C244="","","RW-"&amp;IFERROR(VLOOKUP(C244,Lists!$M$4:$N$22,2,0),"??")&amp;"-H"&amp;TEXT(D244*1000,"0000")&amp;"-S"&amp;E244&amp;IF(F244="Y","-GW","")&amp;"-"&amp;AA244)</f>
        <v/>
      </c>
      <c r="B244" s="10" t="str">
        <f aca="false">IF(C244="","",C244&amp;", H = "&amp;TEXT(D244,"0.0")&amp;" m, q = "&amp;E244&amp;" kPa"&amp;IF(F244="Y",", with GWT","")&amp;", "&amp;H244)</f>
        <v/>
      </c>
      <c r="C244" s="9"/>
      <c r="D244" s="41"/>
      <c r="E244" s="40"/>
      <c r="F244" s="9"/>
      <c r="G244" s="40"/>
      <c r="H244" s="9"/>
      <c r="I244" s="40"/>
      <c r="J244" s="43"/>
      <c r="K244" s="40"/>
      <c r="L244" s="40"/>
      <c r="M244" s="40"/>
      <c r="N244" s="40"/>
      <c r="O244" s="40"/>
      <c r="P244" s="40"/>
      <c r="Q244" s="9"/>
      <c r="R244" s="9"/>
      <c r="S244" s="40"/>
      <c r="T244" s="9"/>
      <c r="U244" s="9"/>
      <c r="V244" s="9"/>
      <c r="W244" s="41"/>
      <c r="X244" s="41"/>
      <c r="Y244" s="40"/>
      <c r="Z244" s="9"/>
      <c r="AA244" s="9"/>
      <c r="AB244" s="9"/>
      <c r="AC244" s="9"/>
      <c r="AD244" s="9"/>
      <c r="AE244" s="9"/>
      <c r="AF244" s="10" t="str">
        <f aca="false">IF(A244="","",SG_Criteria!$B$6&amp;SG_Criteria!$B$8&amp;"\"&amp;A244&amp;"\")</f>
        <v/>
      </c>
      <c r="AG244" s="10" t="str">
        <f aca="false">IF(A244="","",A244&amp;"_CAD.dwg")</f>
        <v/>
      </c>
      <c r="AH244" s="10" t="str">
        <f aca="false">IF(A244="","",A244&amp;"_DWG.pdf")</f>
        <v/>
      </c>
      <c r="AI244" s="10" t="str">
        <f aca="false">IF(A244="","",IF(AE244="Y",A244&amp;"_STAAD.std","n/a"))</f>
        <v/>
      </c>
      <c r="AJ244" s="10" t="str">
        <f aca="false">IF(A244="","",A244&amp;"_CALC.xlsx")</f>
        <v/>
      </c>
      <c r="AK244" s="10" t="str">
        <f aca="false">IF(A244="","",A244&amp;"_CALC.pdf")</f>
        <v/>
      </c>
      <c r="AL244" s="9"/>
      <c r="AM244" s="9"/>
      <c r="AN244" s="41"/>
      <c r="AO244" s="41"/>
      <c r="AP244" s="41"/>
      <c r="AQ244" s="41"/>
      <c r="AR244" s="41"/>
      <c r="AS244" s="38" t="str">
        <f aca="false">IF(OR(C244="",D244=""),"",IF(D244&lt;=IF(OR(C244="Block / Segmental",C244="Gabion",C244="Reinforced Earth (MSE)"),SG_Criteria!$B$34,SG_Criteria!$B$33),"No ERSS submission",IF(D244&lt;=SG_Criteria!$B$35,"QP(ST)",IF(D244&lt;=SG_Criteria!$B$36,"QP(ST) + AC","Geotechnical building works: QP(Geo) + AC"))))</f>
        <v/>
      </c>
      <c r="AT244" s="38" t="str">
        <f aca="false">IF(C244="","",IF(LEN(IF(AND(R244&lt;&gt;"",IFERROR(VALUE(MID(R244,2,2)),0)&lt;SG_Criteria!$B$19),"FAIL: grade below C"&amp;SG_Criteria!$B$19&amp;". ","")&amp;IF(AND(S244&lt;&gt;"",S244&lt;SG_Criteria!$B$20),"FAIL: cover &lt; "&amp;SG_Criteria!$B$20&amp;" mm. ","")&amp;IF(AND(W244&lt;&gt;"",W244&lt;1),"FAIL: sliding. ","")&amp;IF(AND(C244="Reverse L-Wall (toe only, at boundary)",N(O244)&gt;0),"NOTE: reverse L-wall should have no heel. ","")&amp;IF(AND(C244="L-Wall (heel only)",N(N244)&gt;0),"NOTE: L-wall should have no toe. ","")&amp;IF(AND(E244&lt;&gt;"",E244&lt;SG_Criteria!$B$31),"NOTE: q below LTA min "&amp;SG_Criteria!$B$31&amp;" kPa (not for LTA works). ",""))=0,"OK",IF(AND(R244&lt;&gt;"",IFERROR(VALUE(MID(R244,2,2)),0)&lt;SG_Criteria!$B$19),"FAIL: grade below C"&amp;SG_Criteria!$B$19&amp;". ","")&amp;IF(AND(S244&lt;&gt;"",S244&lt;SG_Criteria!$B$20),"FAIL: cover &lt; "&amp;SG_Criteria!$B$20&amp;" mm. ","")&amp;IF(AND(W244&lt;&gt;"",W244&lt;1),"FAIL: sliding. ","")&amp;IF(AND(C244="Reverse L-Wall (toe only, at boundary)",N(O244)&gt;0),"NOTE: reverse L-wall should have no heel. ","")&amp;IF(AND(C244="L-Wall (heel only)",N(N244)&gt;0),"NOTE: L-wall should have no toe. ","")&amp;IF(AND(E244&lt;&gt;"",E244&lt;SG_Criteria!$B$31),"NOTE: q below LTA min "&amp;SG_Criteria!$B$31&amp;" kPa (not for LTA works). ","")))</f>
        <v/>
      </c>
      <c r="AU244" s="9"/>
      <c r="AV244" s="9"/>
      <c r="AW244" s="9"/>
      <c r="AX244" s="9"/>
      <c r="AY244" s="9"/>
      <c r="AZ244" s="31"/>
      <c r="BA244" s="10" t="str">
        <f aca="false">IF(C244="","",IF(AND(AB244="Approved",ISERROR(SEARCH("FAIL",AT244))),"Y","N"))</f>
        <v/>
      </c>
      <c r="BB244" s="10" t="str">
        <f aca="false">IF(C244="","",C244&amp;"|"&amp;D244&amp;"|"&amp;E244&amp;"|"&amp;F244&amp;"|"&amp;BA244)</f>
        <v/>
      </c>
    </row>
    <row r="245" customFormat="false" ht="15" hidden="false" customHeight="false" outlineLevel="0" collapsed="false">
      <c r="A245" s="10" t="str">
        <f aca="false">IF(C245="","","RW-"&amp;IFERROR(VLOOKUP(C245,Lists!$M$4:$N$22,2,0),"??")&amp;"-H"&amp;TEXT(D245*1000,"0000")&amp;"-S"&amp;E245&amp;IF(F245="Y","-GW","")&amp;"-"&amp;AA245)</f>
        <v/>
      </c>
      <c r="B245" s="10" t="str">
        <f aca="false">IF(C245="","",C245&amp;", H = "&amp;TEXT(D245,"0.0")&amp;" m, q = "&amp;E245&amp;" kPa"&amp;IF(F245="Y",", with GWT","")&amp;", "&amp;H245)</f>
        <v/>
      </c>
      <c r="C245" s="9"/>
      <c r="D245" s="41"/>
      <c r="E245" s="40"/>
      <c r="F245" s="9"/>
      <c r="G245" s="40"/>
      <c r="H245" s="9"/>
      <c r="I245" s="40"/>
      <c r="J245" s="43"/>
      <c r="K245" s="40"/>
      <c r="L245" s="40"/>
      <c r="M245" s="40"/>
      <c r="N245" s="40"/>
      <c r="O245" s="40"/>
      <c r="P245" s="40"/>
      <c r="Q245" s="9"/>
      <c r="R245" s="9"/>
      <c r="S245" s="40"/>
      <c r="T245" s="9"/>
      <c r="U245" s="9"/>
      <c r="V245" s="9"/>
      <c r="W245" s="41"/>
      <c r="X245" s="41"/>
      <c r="Y245" s="40"/>
      <c r="Z245" s="9"/>
      <c r="AA245" s="9"/>
      <c r="AB245" s="9"/>
      <c r="AC245" s="9"/>
      <c r="AD245" s="9"/>
      <c r="AE245" s="9"/>
      <c r="AF245" s="10" t="str">
        <f aca="false">IF(A245="","",SG_Criteria!$B$6&amp;SG_Criteria!$B$8&amp;"\"&amp;A245&amp;"\")</f>
        <v/>
      </c>
      <c r="AG245" s="10" t="str">
        <f aca="false">IF(A245="","",A245&amp;"_CAD.dwg")</f>
        <v/>
      </c>
      <c r="AH245" s="10" t="str">
        <f aca="false">IF(A245="","",A245&amp;"_DWG.pdf")</f>
        <v/>
      </c>
      <c r="AI245" s="10" t="str">
        <f aca="false">IF(A245="","",IF(AE245="Y",A245&amp;"_STAAD.std","n/a"))</f>
        <v/>
      </c>
      <c r="AJ245" s="10" t="str">
        <f aca="false">IF(A245="","",A245&amp;"_CALC.xlsx")</f>
        <v/>
      </c>
      <c r="AK245" s="10" t="str">
        <f aca="false">IF(A245="","",A245&amp;"_CALC.pdf")</f>
        <v/>
      </c>
      <c r="AL245" s="9"/>
      <c r="AM245" s="9"/>
      <c r="AN245" s="41"/>
      <c r="AO245" s="41"/>
      <c r="AP245" s="41"/>
      <c r="AQ245" s="41"/>
      <c r="AR245" s="41"/>
      <c r="AS245" s="38" t="str">
        <f aca="false">IF(OR(C245="",D245=""),"",IF(D245&lt;=IF(OR(C245="Block / Segmental",C245="Gabion",C245="Reinforced Earth (MSE)"),SG_Criteria!$B$34,SG_Criteria!$B$33),"No ERSS submission",IF(D245&lt;=SG_Criteria!$B$35,"QP(ST)",IF(D245&lt;=SG_Criteria!$B$36,"QP(ST) + AC","Geotechnical building works: QP(Geo) + AC"))))</f>
        <v/>
      </c>
      <c r="AT245" s="38" t="str">
        <f aca="false">IF(C245="","",IF(LEN(IF(AND(R245&lt;&gt;"",IFERROR(VALUE(MID(R245,2,2)),0)&lt;SG_Criteria!$B$19),"FAIL: grade below C"&amp;SG_Criteria!$B$19&amp;". ","")&amp;IF(AND(S245&lt;&gt;"",S245&lt;SG_Criteria!$B$20),"FAIL: cover &lt; "&amp;SG_Criteria!$B$20&amp;" mm. ","")&amp;IF(AND(W245&lt;&gt;"",W245&lt;1),"FAIL: sliding. ","")&amp;IF(AND(C245="Reverse L-Wall (toe only, at boundary)",N(O245)&gt;0),"NOTE: reverse L-wall should have no heel. ","")&amp;IF(AND(C245="L-Wall (heel only)",N(N245)&gt;0),"NOTE: L-wall should have no toe. ","")&amp;IF(AND(E245&lt;&gt;"",E245&lt;SG_Criteria!$B$31),"NOTE: q below LTA min "&amp;SG_Criteria!$B$31&amp;" kPa (not for LTA works). ",""))=0,"OK",IF(AND(R245&lt;&gt;"",IFERROR(VALUE(MID(R245,2,2)),0)&lt;SG_Criteria!$B$19),"FAIL: grade below C"&amp;SG_Criteria!$B$19&amp;". ","")&amp;IF(AND(S245&lt;&gt;"",S245&lt;SG_Criteria!$B$20),"FAIL: cover &lt; "&amp;SG_Criteria!$B$20&amp;" mm. ","")&amp;IF(AND(W245&lt;&gt;"",W245&lt;1),"FAIL: sliding. ","")&amp;IF(AND(C245="Reverse L-Wall (toe only, at boundary)",N(O245)&gt;0),"NOTE: reverse L-wall should have no heel. ","")&amp;IF(AND(C245="L-Wall (heel only)",N(N245)&gt;0),"NOTE: L-wall should have no toe. ","")&amp;IF(AND(E245&lt;&gt;"",E245&lt;SG_Criteria!$B$31),"NOTE: q below LTA min "&amp;SG_Criteria!$B$31&amp;" kPa (not for LTA works). ","")))</f>
        <v/>
      </c>
      <c r="AU245" s="9"/>
      <c r="AV245" s="9"/>
      <c r="AW245" s="9"/>
      <c r="AX245" s="9"/>
      <c r="AY245" s="9"/>
      <c r="AZ245" s="31"/>
      <c r="BA245" s="10" t="str">
        <f aca="false">IF(C245="","",IF(AND(AB245="Approved",ISERROR(SEARCH("FAIL",AT245))),"Y","N"))</f>
        <v/>
      </c>
      <c r="BB245" s="10" t="str">
        <f aca="false">IF(C245="","",C245&amp;"|"&amp;D245&amp;"|"&amp;E245&amp;"|"&amp;F245&amp;"|"&amp;BA245)</f>
        <v/>
      </c>
    </row>
    <row r="246" customFormat="false" ht="15" hidden="false" customHeight="false" outlineLevel="0" collapsed="false">
      <c r="A246" s="10" t="str">
        <f aca="false">IF(C246="","","RW-"&amp;IFERROR(VLOOKUP(C246,Lists!$M$4:$N$22,2,0),"??")&amp;"-H"&amp;TEXT(D246*1000,"0000")&amp;"-S"&amp;E246&amp;IF(F246="Y","-GW","")&amp;"-"&amp;AA246)</f>
        <v/>
      </c>
      <c r="B246" s="10" t="str">
        <f aca="false">IF(C246="","",C246&amp;", H = "&amp;TEXT(D246,"0.0")&amp;" m, q = "&amp;E246&amp;" kPa"&amp;IF(F246="Y",", with GWT","")&amp;", "&amp;H246)</f>
        <v/>
      </c>
      <c r="C246" s="9"/>
      <c r="D246" s="41"/>
      <c r="E246" s="40"/>
      <c r="F246" s="9"/>
      <c r="G246" s="40"/>
      <c r="H246" s="9"/>
      <c r="I246" s="40"/>
      <c r="J246" s="43"/>
      <c r="K246" s="40"/>
      <c r="L246" s="40"/>
      <c r="M246" s="40"/>
      <c r="N246" s="40"/>
      <c r="O246" s="40"/>
      <c r="P246" s="40"/>
      <c r="Q246" s="9"/>
      <c r="R246" s="9"/>
      <c r="S246" s="40"/>
      <c r="T246" s="9"/>
      <c r="U246" s="9"/>
      <c r="V246" s="9"/>
      <c r="W246" s="41"/>
      <c r="X246" s="41"/>
      <c r="Y246" s="40"/>
      <c r="Z246" s="9"/>
      <c r="AA246" s="9"/>
      <c r="AB246" s="9"/>
      <c r="AC246" s="9"/>
      <c r="AD246" s="9"/>
      <c r="AE246" s="9"/>
      <c r="AF246" s="10" t="str">
        <f aca="false">IF(A246="","",SG_Criteria!$B$6&amp;SG_Criteria!$B$8&amp;"\"&amp;A246&amp;"\")</f>
        <v/>
      </c>
      <c r="AG246" s="10" t="str">
        <f aca="false">IF(A246="","",A246&amp;"_CAD.dwg")</f>
        <v/>
      </c>
      <c r="AH246" s="10" t="str">
        <f aca="false">IF(A246="","",A246&amp;"_DWG.pdf")</f>
        <v/>
      </c>
      <c r="AI246" s="10" t="str">
        <f aca="false">IF(A246="","",IF(AE246="Y",A246&amp;"_STAAD.std","n/a"))</f>
        <v/>
      </c>
      <c r="AJ246" s="10" t="str">
        <f aca="false">IF(A246="","",A246&amp;"_CALC.xlsx")</f>
        <v/>
      </c>
      <c r="AK246" s="10" t="str">
        <f aca="false">IF(A246="","",A246&amp;"_CALC.pdf")</f>
        <v/>
      </c>
      <c r="AL246" s="9"/>
      <c r="AM246" s="9"/>
      <c r="AN246" s="41"/>
      <c r="AO246" s="41"/>
      <c r="AP246" s="41"/>
      <c r="AQ246" s="41"/>
      <c r="AR246" s="41"/>
      <c r="AS246" s="38" t="str">
        <f aca="false">IF(OR(C246="",D246=""),"",IF(D246&lt;=IF(OR(C246="Block / Segmental",C246="Gabion",C246="Reinforced Earth (MSE)"),SG_Criteria!$B$34,SG_Criteria!$B$33),"No ERSS submission",IF(D246&lt;=SG_Criteria!$B$35,"QP(ST)",IF(D246&lt;=SG_Criteria!$B$36,"QP(ST) + AC","Geotechnical building works: QP(Geo) + AC"))))</f>
        <v/>
      </c>
      <c r="AT246" s="38" t="str">
        <f aca="false">IF(C246="","",IF(LEN(IF(AND(R246&lt;&gt;"",IFERROR(VALUE(MID(R246,2,2)),0)&lt;SG_Criteria!$B$19),"FAIL: grade below C"&amp;SG_Criteria!$B$19&amp;". ","")&amp;IF(AND(S246&lt;&gt;"",S246&lt;SG_Criteria!$B$20),"FAIL: cover &lt; "&amp;SG_Criteria!$B$20&amp;" mm. ","")&amp;IF(AND(W246&lt;&gt;"",W246&lt;1),"FAIL: sliding. ","")&amp;IF(AND(C246="Reverse L-Wall (toe only, at boundary)",N(O246)&gt;0),"NOTE: reverse L-wall should have no heel. ","")&amp;IF(AND(C246="L-Wall (heel only)",N(N246)&gt;0),"NOTE: L-wall should have no toe. ","")&amp;IF(AND(E246&lt;&gt;"",E246&lt;SG_Criteria!$B$31),"NOTE: q below LTA min "&amp;SG_Criteria!$B$31&amp;" kPa (not for LTA works). ",""))=0,"OK",IF(AND(R246&lt;&gt;"",IFERROR(VALUE(MID(R246,2,2)),0)&lt;SG_Criteria!$B$19),"FAIL: grade below C"&amp;SG_Criteria!$B$19&amp;". ","")&amp;IF(AND(S246&lt;&gt;"",S246&lt;SG_Criteria!$B$20),"FAIL: cover &lt; "&amp;SG_Criteria!$B$20&amp;" mm. ","")&amp;IF(AND(W246&lt;&gt;"",W246&lt;1),"FAIL: sliding. ","")&amp;IF(AND(C246="Reverse L-Wall (toe only, at boundary)",N(O246)&gt;0),"NOTE: reverse L-wall should have no heel. ","")&amp;IF(AND(C246="L-Wall (heel only)",N(N246)&gt;0),"NOTE: L-wall should have no toe. ","")&amp;IF(AND(E246&lt;&gt;"",E246&lt;SG_Criteria!$B$31),"NOTE: q below LTA min "&amp;SG_Criteria!$B$31&amp;" kPa (not for LTA works). ","")))</f>
        <v/>
      </c>
      <c r="AU246" s="9"/>
      <c r="AV246" s="9"/>
      <c r="AW246" s="9"/>
      <c r="AX246" s="9"/>
      <c r="AY246" s="9"/>
      <c r="AZ246" s="31"/>
      <c r="BA246" s="10" t="str">
        <f aca="false">IF(C246="","",IF(AND(AB246="Approved",ISERROR(SEARCH("FAIL",AT246))),"Y","N"))</f>
        <v/>
      </c>
      <c r="BB246" s="10" t="str">
        <f aca="false">IF(C246="","",C246&amp;"|"&amp;D246&amp;"|"&amp;E246&amp;"|"&amp;F246&amp;"|"&amp;BA246)</f>
        <v/>
      </c>
    </row>
    <row r="247" customFormat="false" ht="15" hidden="false" customHeight="false" outlineLevel="0" collapsed="false">
      <c r="A247" s="10" t="str">
        <f aca="false">IF(C247="","","RW-"&amp;IFERROR(VLOOKUP(C247,Lists!$M$4:$N$22,2,0),"??")&amp;"-H"&amp;TEXT(D247*1000,"0000")&amp;"-S"&amp;E247&amp;IF(F247="Y","-GW","")&amp;"-"&amp;AA247)</f>
        <v/>
      </c>
      <c r="B247" s="10" t="str">
        <f aca="false">IF(C247="","",C247&amp;", H = "&amp;TEXT(D247,"0.0")&amp;" m, q = "&amp;E247&amp;" kPa"&amp;IF(F247="Y",", with GWT","")&amp;", "&amp;H247)</f>
        <v/>
      </c>
      <c r="C247" s="9"/>
      <c r="D247" s="41"/>
      <c r="E247" s="40"/>
      <c r="F247" s="9"/>
      <c r="G247" s="40"/>
      <c r="H247" s="9"/>
      <c r="I247" s="40"/>
      <c r="J247" s="43"/>
      <c r="K247" s="40"/>
      <c r="L247" s="40"/>
      <c r="M247" s="40"/>
      <c r="N247" s="40"/>
      <c r="O247" s="40"/>
      <c r="P247" s="40"/>
      <c r="Q247" s="9"/>
      <c r="R247" s="9"/>
      <c r="S247" s="40"/>
      <c r="T247" s="9"/>
      <c r="U247" s="9"/>
      <c r="V247" s="9"/>
      <c r="W247" s="41"/>
      <c r="X247" s="41"/>
      <c r="Y247" s="40"/>
      <c r="Z247" s="9"/>
      <c r="AA247" s="9"/>
      <c r="AB247" s="9"/>
      <c r="AC247" s="9"/>
      <c r="AD247" s="9"/>
      <c r="AE247" s="9"/>
      <c r="AF247" s="10" t="str">
        <f aca="false">IF(A247="","",SG_Criteria!$B$6&amp;SG_Criteria!$B$8&amp;"\"&amp;A247&amp;"\")</f>
        <v/>
      </c>
      <c r="AG247" s="10" t="str">
        <f aca="false">IF(A247="","",A247&amp;"_CAD.dwg")</f>
        <v/>
      </c>
      <c r="AH247" s="10" t="str">
        <f aca="false">IF(A247="","",A247&amp;"_DWG.pdf")</f>
        <v/>
      </c>
      <c r="AI247" s="10" t="str">
        <f aca="false">IF(A247="","",IF(AE247="Y",A247&amp;"_STAAD.std","n/a"))</f>
        <v/>
      </c>
      <c r="AJ247" s="10" t="str">
        <f aca="false">IF(A247="","",A247&amp;"_CALC.xlsx")</f>
        <v/>
      </c>
      <c r="AK247" s="10" t="str">
        <f aca="false">IF(A247="","",A247&amp;"_CALC.pdf")</f>
        <v/>
      </c>
      <c r="AL247" s="9"/>
      <c r="AM247" s="9"/>
      <c r="AN247" s="41"/>
      <c r="AO247" s="41"/>
      <c r="AP247" s="41"/>
      <c r="AQ247" s="41"/>
      <c r="AR247" s="41"/>
      <c r="AS247" s="38" t="str">
        <f aca="false">IF(OR(C247="",D247=""),"",IF(D247&lt;=IF(OR(C247="Block / Segmental",C247="Gabion",C247="Reinforced Earth (MSE)"),SG_Criteria!$B$34,SG_Criteria!$B$33),"No ERSS submission",IF(D247&lt;=SG_Criteria!$B$35,"QP(ST)",IF(D247&lt;=SG_Criteria!$B$36,"QP(ST) + AC","Geotechnical building works: QP(Geo) + AC"))))</f>
        <v/>
      </c>
      <c r="AT247" s="38" t="str">
        <f aca="false">IF(C247="","",IF(LEN(IF(AND(R247&lt;&gt;"",IFERROR(VALUE(MID(R247,2,2)),0)&lt;SG_Criteria!$B$19),"FAIL: grade below C"&amp;SG_Criteria!$B$19&amp;". ","")&amp;IF(AND(S247&lt;&gt;"",S247&lt;SG_Criteria!$B$20),"FAIL: cover &lt; "&amp;SG_Criteria!$B$20&amp;" mm. ","")&amp;IF(AND(W247&lt;&gt;"",W247&lt;1),"FAIL: sliding. ","")&amp;IF(AND(C247="Reverse L-Wall (toe only, at boundary)",N(O247)&gt;0),"NOTE: reverse L-wall should have no heel. ","")&amp;IF(AND(C247="L-Wall (heel only)",N(N247)&gt;0),"NOTE: L-wall should have no toe. ","")&amp;IF(AND(E247&lt;&gt;"",E247&lt;SG_Criteria!$B$31),"NOTE: q below LTA min "&amp;SG_Criteria!$B$31&amp;" kPa (not for LTA works). ",""))=0,"OK",IF(AND(R247&lt;&gt;"",IFERROR(VALUE(MID(R247,2,2)),0)&lt;SG_Criteria!$B$19),"FAIL: grade below C"&amp;SG_Criteria!$B$19&amp;". ","")&amp;IF(AND(S247&lt;&gt;"",S247&lt;SG_Criteria!$B$20),"FAIL: cover &lt; "&amp;SG_Criteria!$B$20&amp;" mm. ","")&amp;IF(AND(W247&lt;&gt;"",W247&lt;1),"FAIL: sliding. ","")&amp;IF(AND(C247="Reverse L-Wall (toe only, at boundary)",N(O247)&gt;0),"NOTE: reverse L-wall should have no heel. ","")&amp;IF(AND(C247="L-Wall (heel only)",N(N247)&gt;0),"NOTE: L-wall should have no toe. ","")&amp;IF(AND(E247&lt;&gt;"",E247&lt;SG_Criteria!$B$31),"NOTE: q below LTA min "&amp;SG_Criteria!$B$31&amp;" kPa (not for LTA works). ","")))</f>
        <v/>
      </c>
      <c r="AU247" s="9"/>
      <c r="AV247" s="9"/>
      <c r="AW247" s="9"/>
      <c r="AX247" s="9"/>
      <c r="AY247" s="9"/>
      <c r="AZ247" s="31"/>
      <c r="BA247" s="10" t="str">
        <f aca="false">IF(C247="","",IF(AND(AB247="Approved",ISERROR(SEARCH("FAIL",AT247))),"Y","N"))</f>
        <v/>
      </c>
      <c r="BB247" s="10" t="str">
        <f aca="false">IF(C247="","",C247&amp;"|"&amp;D247&amp;"|"&amp;E247&amp;"|"&amp;F247&amp;"|"&amp;BA247)</f>
        <v/>
      </c>
    </row>
    <row r="248" customFormat="false" ht="15" hidden="false" customHeight="false" outlineLevel="0" collapsed="false">
      <c r="A248" s="10" t="str">
        <f aca="false">IF(C248="","","RW-"&amp;IFERROR(VLOOKUP(C248,Lists!$M$4:$N$22,2,0),"??")&amp;"-H"&amp;TEXT(D248*1000,"0000")&amp;"-S"&amp;E248&amp;IF(F248="Y","-GW","")&amp;"-"&amp;AA248)</f>
        <v/>
      </c>
      <c r="B248" s="10" t="str">
        <f aca="false">IF(C248="","",C248&amp;", H = "&amp;TEXT(D248,"0.0")&amp;" m, q = "&amp;E248&amp;" kPa"&amp;IF(F248="Y",", with GWT","")&amp;", "&amp;H248)</f>
        <v/>
      </c>
      <c r="C248" s="9"/>
      <c r="D248" s="41"/>
      <c r="E248" s="40"/>
      <c r="F248" s="9"/>
      <c r="G248" s="40"/>
      <c r="H248" s="9"/>
      <c r="I248" s="40"/>
      <c r="J248" s="43"/>
      <c r="K248" s="40"/>
      <c r="L248" s="40"/>
      <c r="M248" s="40"/>
      <c r="N248" s="40"/>
      <c r="O248" s="40"/>
      <c r="P248" s="40"/>
      <c r="Q248" s="9"/>
      <c r="R248" s="9"/>
      <c r="S248" s="40"/>
      <c r="T248" s="9"/>
      <c r="U248" s="9"/>
      <c r="V248" s="9"/>
      <c r="W248" s="41"/>
      <c r="X248" s="41"/>
      <c r="Y248" s="40"/>
      <c r="Z248" s="9"/>
      <c r="AA248" s="9"/>
      <c r="AB248" s="9"/>
      <c r="AC248" s="9"/>
      <c r="AD248" s="9"/>
      <c r="AE248" s="9"/>
      <c r="AF248" s="10" t="str">
        <f aca="false">IF(A248="","",SG_Criteria!$B$6&amp;SG_Criteria!$B$8&amp;"\"&amp;A248&amp;"\")</f>
        <v/>
      </c>
      <c r="AG248" s="10" t="str">
        <f aca="false">IF(A248="","",A248&amp;"_CAD.dwg")</f>
        <v/>
      </c>
      <c r="AH248" s="10" t="str">
        <f aca="false">IF(A248="","",A248&amp;"_DWG.pdf")</f>
        <v/>
      </c>
      <c r="AI248" s="10" t="str">
        <f aca="false">IF(A248="","",IF(AE248="Y",A248&amp;"_STAAD.std","n/a"))</f>
        <v/>
      </c>
      <c r="AJ248" s="10" t="str">
        <f aca="false">IF(A248="","",A248&amp;"_CALC.xlsx")</f>
        <v/>
      </c>
      <c r="AK248" s="10" t="str">
        <f aca="false">IF(A248="","",A248&amp;"_CALC.pdf")</f>
        <v/>
      </c>
      <c r="AL248" s="9"/>
      <c r="AM248" s="9"/>
      <c r="AN248" s="41"/>
      <c r="AO248" s="41"/>
      <c r="AP248" s="41"/>
      <c r="AQ248" s="41"/>
      <c r="AR248" s="41"/>
      <c r="AS248" s="38" t="str">
        <f aca="false">IF(OR(C248="",D248=""),"",IF(D248&lt;=IF(OR(C248="Block / Segmental",C248="Gabion",C248="Reinforced Earth (MSE)"),SG_Criteria!$B$34,SG_Criteria!$B$33),"No ERSS submission",IF(D248&lt;=SG_Criteria!$B$35,"QP(ST)",IF(D248&lt;=SG_Criteria!$B$36,"QP(ST) + AC","Geotechnical building works: QP(Geo) + AC"))))</f>
        <v/>
      </c>
      <c r="AT248" s="38" t="str">
        <f aca="false">IF(C248="","",IF(LEN(IF(AND(R248&lt;&gt;"",IFERROR(VALUE(MID(R248,2,2)),0)&lt;SG_Criteria!$B$19),"FAIL: grade below C"&amp;SG_Criteria!$B$19&amp;". ","")&amp;IF(AND(S248&lt;&gt;"",S248&lt;SG_Criteria!$B$20),"FAIL: cover &lt; "&amp;SG_Criteria!$B$20&amp;" mm. ","")&amp;IF(AND(W248&lt;&gt;"",W248&lt;1),"FAIL: sliding. ","")&amp;IF(AND(C248="Reverse L-Wall (toe only, at boundary)",N(O248)&gt;0),"NOTE: reverse L-wall should have no heel. ","")&amp;IF(AND(C248="L-Wall (heel only)",N(N248)&gt;0),"NOTE: L-wall should have no toe. ","")&amp;IF(AND(E248&lt;&gt;"",E248&lt;SG_Criteria!$B$31),"NOTE: q below LTA min "&amp;SG_Criteria!$B$31&amp;" kPa (not for LTA works). ",""))=0,"OK",IF(AND(R248&lt;&gt;"",IFERROR(VALUE(MID(R248,2,2)),0)&lt;SG_Criteria!$B$19),"FAIL: grade below C"&amp;SG_Criteria!$B$19&amp;". ","")&amp;IF(AND(S248&lt;&gt;"",S248&lt;SG_Criteria!$B$20),"FAIL: cover &lt; "&amp;SG_Criteria!$B$20&amp;" mm. ","")&amp;IF(AND(W248&lt;&gt;"",W248&lt;1),"FAIL: sliding. ","")&amp;IF(AND(C248="Reverse L-Wall (toe only, at boundary)",N(O248)&gt;0),"NOTE: reverse L-wall should have no heel. ","")&amp;IF(AND(C248="L-Wall (heel only)",N(N248)&gt;0),"NOTE: L-wall should have no toe. ","")&amp;IF(AND(E248&lt;&gt;"",E248&lt;SG_Criteria!$B$31),"NOTE: q below LTA min "&amp;SG_Criteria!$B$31&amp;" kPa (not for LTA works). ","")))</f>
        <v/>
      </c>
      <c r="AU248" s="9"/>
      <c r="AV248" s="9"/>
      <c r="AW248" s="9"/>
      <c r="AX248" s="9"/>
      <c r="AY248" s="9"/>
      <c r="AZ248" s="31"/>
      <c r="BA248" s="10" t="str">
        <f aca="false">IF(C248="","",IF(AND(AB248="Approved",ISERROR(SEARCH("FAIL",AT248))),"Y","N"))</f>
        <v/>
      </c>
      <c r="BB248" s="10" t="str">
        <f aca="false">IF(C248="","",C248&amp;"|"&amp;D248&amp;"|"&amp;E248&amp;"|"&amp;F248&amp;"|"&amp;BA248)</f>
        <v/>
      </c>
    </row>
    <row r="249" customFormat="false" ht="15" hidden="false" customHeight="false" outlineLevel="0" collapsed="false">
      <c r="A249" s="10" t="str">
        <f aca="false">IF(C249="","","RW-"&amp;IFERROR(VLOOKUP(C249,Lists!$M$4:$N$22,2,0),"??")&amp;"-H"&amp;TEXT(D249*1000,"0000")&amp;"-S"&amp;E249&amp;IF(F249="Y","-GW","")&amp;"-"&amp;AA249)</f>
        <v/>
      </c>
      <c r="B249" s="10" t="str">
        <f aca="false">IF(C249="","",C249&amp;", H = "&amp;TEXT(D249,"0.0")&amp;" m, q = "&amp;E249&amp;" kPa"&amp;IF(F249="Y",", with GWT","")&amp;", "&amp;H249)</f>
        <v/>
      </c>
      <c r="C249" s="9"/>
      <c r="D249" s="41"/>
      <c r="E249" s="40"/>
      <c r="F249" s="9"/>
      <c r="G249" s="40"/>
      <c r="H249" s="9"/>
      <c r="I249" s="40"/>
      <c r="J249" s="43"/>
      <c r="K249" s="40"/>
      <c r="L249" s="40"/>
      <c r="M249" s="40"/>
      <c r="N249" s="40"/>
      <c r="O249" s="40"/>
      <c r="P249" s="40"/>
      <c r="Q249" s="9"/>
      <c r="R249" s="9"/>
      <c r="S249" s="40"/>
      <c r="T249" s="9"/>
      <c r="U249" s="9"/>
      <c r="V249" s="9"/>
      <c r="W249" s="41"/>
      <c r="X249" s="41"/>
      <c r="Y249" s="40"/>
      <c r="Z249" s="9"/>
      <c r="AA249" s="9"/>
      <c r="AB249" s="9"/>
      <c r="AC249" s="9"/>
      <c r="AD249" s="9"/>
      <c r="AE249" s="9"/>
      <c r="AF249" s="10" t="str">
        <f aca="false">IF(A249="","",SG_Criteria!$B$6&amp;SG_Criteria!$B$8&amp;"\"&amp;A249&amp;"\")</f>
        <v/>
      </c>
      <c r="AG249" s="10" t="str">
        <f aca="false">IF(A249="","",A249&amp;"_CAD.dwg")</f>
        <v/>
      </c>
      <c r="AH249" s="10" t="str">
        <f aca="false">IF(A249="","",A249&amp;"_DWG.pdf")</f>
        <v/>
      </c>
      <c r="AI249" s="10" t="str">
        <f aca="false">IF(A249="","",IF(AE249="Y",A249&amp;"_STAAD.std","n/a"))</f>
        <v/>
      </c>
      <c r="AJ249" s="10" t="str">
        <f aca="false">IF(A249="","",A249&amp;"_CALC.xlsx")</f>
        <v/>
      </c>
      <c r="AK249" s="10" t="str">
        <f aca="false">IF(A249="","",A249&amp;"_CALC.pdf")</f>
        <v/>
      </c>
      <c r="AL249" s="9"/>
      <c r="AM249" s="9"/>
      <c r="AN249" s="41"/>
      <c r="AO249" s="41"/>
      <c r="AP249" s="41"/>
      <c r="AQ249" s="41"/>
      <c r="AR249" s="41"/>
      <c r="AS249" s="38" t="str">
        <f aca="false">IF(OR(C249="",D249=""),"",IF(D249&lt;=IF(OR(C249="Block / Segmental",C249="Gabion",C249="Reinforced Earth (MSE)"),SG_Criteria!$B$34,SG_Criteria!$B$33),"No ERSS submission",IF(D249&lt;=SG_Criteria!$B$35,"QP(ST)",IF(D249&lt;=SG_Criteria!$B$36,"QP(ST) + AC","Geotechnical building works: QP(Geo) + AC"))))</f>
        <v/>
      </c>
      <c r="AT249" s="38" t="str">
        <f aca="false">IF(C249="","",IF(LEN(IF(AND(R249&lt;&gt;"",IFERROR(VALUE(MID(R249,2,2)),0)&lt;SG_Criteria!$B$19),"FAIL: grade below C"&amp;SG_Criteria!$B$19&amp;". ","")&amp;IF(AND(S249&lt;&gt;"",S249&lt;SG_Criteria!$B$20),"FAIL: cover &lt; "&amp;SG_Criteria!$B$20&amp;" mm. ","")&amp;IF(AND(W249&lt;&gt;"",W249&lt;1),"FAIL: sliding. ","")&amp;IF(AND(C249="Reverse L-Wall (toe only, at boundary)",N(O249)&gt;0),"NOTE: reverse L-wall should have no heel. ","")&amp;IF(AND(C249="L-Wall (heel only)",N(N249)&gt;0),"NOTE: L-wall should have no toe. ","")&amp;IF(AND(E249&lt;&gt;"",E249&lt;SG_Criteria!$B$31),"NOTE: q below LTA min "&amp;SG_Criteria!$B$31&amp;" kPa (not for LTA works). ",""))=0,"OK",IF(AND(R249&lt;&gt;"",IFERROR(VALUE(MID(R249,2,2)),0)&lt;SG_Criteria!$B$19),"FAIL: grade below C"&amp;SG_Criteria!$B$19&amp;". ","")&amp;IF(AND(S249&lt;&gt;"",S249&lt;SG_Criteria!$B$20),"FAIL: cover &lt; "&amp;SG_Criteria!$B$20&amp;" mm. ","")&amp;IF(AND(W249&lt;&gt;"",W249&lt;1),"FAIL: sliding. ","")&amp;IF(AND(C249="Reverse L-Wall (toe only, at boundary)",N(O249)&gt;0),"NOTE: reverse L-wall should have no heel. ","")&amp;IF(AND(C249="L-Wall (heel only)",N(N249)&gt;0),"NOTE: L-wall should have no toe. ","")&amp;IF(AND(E249&lt;&gt;"",E249&lt;SG_Criteria!$B$31),"NOTE: q below LTA min "&amp;SG_Criteria!$B$31&amp;" kPa (not for LTA works). ","")))</f>
        <v/>
      </c>
      <c r="AU249" s="9"/>
      <c r="AV249" s="9"/>
      <c r="AW249" s="9"/>
      <c r="AX249" s="9"/>
      <c r="AY249" s="9"/>
      <c r="AZ249" s="31"/>
      <c r="BA249" s="10" t="str">
        <f aca="false">IF(C249="","",IF(AND(AB249="Approved",ISERROR(SEARCH("FAIL",AT249))),"Y","N"))</f>
        <v/>
      </c>
      <c r="BB249" s="10" t="str">
        <f aca="false">IF(C249="","",C249&amp;"|"&amp;D249&amp;"|"&amp;E249&amp;"|"&amp;F249&amp;"|"&amp;BA249)</f>
        <v/>
      </c>
    </row>
    <row r="250" customFormat="false" ht="15" hidden="false" customHeight="false" outlineLevel="0" collapsed="false">
      <c r="A250" s="10" t="str">
        <f aca="false">IF(C250="","","RW-"&amp;IFERROR(VLOOKUP(C250,Lists!$M$4:$N$22,2,0),"??")&amp;"-H"&amp;TEXT(D250*1000,"0000")&amp;"-S"&amp;E250&amp;IF(F250="Y","-GW","")&amp;"-"&amp;AA250)</f>
        <v/>
      </c>
      <c r="B250" s="10" t="str">
        <f aca="false">IF(C250="","",C250&amp;", H = "&amp;TEXT(D250,"0.0")&amp;" m, q = "&amp;E250&amp;" kPa"&amp;IF(F250="Y",", with GWT","")&amp;", "&amp;H250)</f>
        <v/>
      </c>
      <c r="C250" s="9"/>
      <c r="D250" s="41"/>
      <c r="E250" s="40"/>
      <c r="F250" s="9"/>
      <c r="G250" s="40"/>
      <c r="H250" s="9"/>
      <c r="I250" s="40"/>
      <c r="J250" s="43"/>
      <c r="K250" s="40"/>
      <c r="L250" s="40"/>
      <c r="M250" s="40"/>
      <c r="N250" s="40"/>
      <c r="O250" s="40"/>
      <c r="P250" s="40"/>
      <c r="Q250" s="9"/>
      <c r="R250" s="9"/>
      <c r="S250" s="40"/>
      <c r="T250" s="9"/>
      <c r="U250" s="9"/>
      <c r="V250" s="9"/>
      <c r="W250" s="41"/>
      <c r="X250" s="41"/>
      <c r="Y250" s="40"/>
      <c r="Z250" s="9"/>
      <c r="AA250" s="9"/>
      <c r="AB250" s="9"/>
      <c r="AC250" s="9"/>
      <c r="AD250" s="9"/>
      <c r="AE250" s="9"/>
      <c r="AF250" s="10" t="str">
        <f aca="false">IF(A250="","",SG_Criteria!$B$6&amp;SG_Criteria!$B$8&amp;"\"&amp;A250&amp;"\")</f>
        <v/>
      </c>
      <c r="AG250" s="10" t="str">
        <f aca="false">IF(A250="","",A250&amp;"_CAD.dwg")</f>
        <v/>
      </c>
      <c r="AH250" s="10" t="str">
        <f aca="false">IF(A250="","",A250&amp;"_DWG.pdf")</f>
        <v/>
      </c>
      <c r="AI250" s="10" t="str">
        <f aca="false">IF(A250="","",IF(AE250="Y",A250&amp;"_STAAD.std","n/a"))</f>
        <v/>
      </c>
      <c r="AJ250" s="10" t="str">
        <f aca="false">IF(A250="","",A250&amp;"_CALC.xlsx")</f>
        <v/>
      </c>
      <c r="AK250" s="10" t="str">
        <f aca="false">IF(A250="","",A250&amp;"_CALC.pdf")</f>
        <v/>
      </c>
      <c r="AL250" s="9"/>
      <c r="AM250" s="9"/>
      <c r="AN250" s="41"/>
      <c r="AO250" s="41"/>
      <c r="AP250" s="41"/>
      <c r="AQ250" s="41"/>
      <c r="AR250" s="41"/>
      <c r="AS250" s="38" t="str">
        <f aca="false">IF(OR(C250="",D250=""),"",IF(D250&lt;=IF(OR(C250="Block / Segmental",C250="Gabion",C250="Reinforced Earth (MSE)"),SG_Criteria!$B$34,SG_Criteria!$B$33),"No ERSS submission",IF(D250&lt;=SG_Criteria!$B$35,"QP(ST)",IF(D250&lt;=SG_Criteria!$B$36,"QP(ST) + AC","Geotechnical building works: QP(Geo) + AC"))))</f>
        <v/>
      </c>
      <c r="AT250" s="38" t="str">
        <f aca="false">IF(C250="","",IF(LEN(IF(AND(R250&lt;&gt;"",IFERROR(VALUE(MID(R250,2,2)),0)&lt;SG_Criteria!$B$19),"FAIL: grade below C"&amp;SG_Criteria!$B$19&amp;". ","")&amp;IF(AND(S250&lt;&gt;"",S250&lt;SG_Criteria!$B$20),"FAIL: cover &lt; "&amp;SG_Criteria!$B$20&amp;" mm. ","")&amp;IF(AND(W250&lt;&gt;"",W250&lt;1),"FAIL: sliding. ","")&amp;IF(AND(C250="Reverse L-Wall (toe only, at boundary)",N(O250)&gt;0),"NOTE: reverse L-wall should have no heel. ","")&amp;IF(AND(C250="L-Wall (heel only)",N(N250)&gt;0),"NOTE: L-wall should have no toe. ","")&amp;IF(AND(E250&lt;&gt;"",E250&lt;SG_Criteria!$B$31),"NOTE: q below LTA min "&amp;SG_Criteria!$B$31&amp;" kPa (not for LTA works). ",""))=0,"OK",IF(AND(R250&lt;&gt;"",IFERROR(VALUE(MID(R250,2,2)),0)&lt;SG_Criteria!$B$19),"FAIL: grade below C"&amp;SG_Criteria!$B$19&amp;". ","")&amp;IF(AND(S250&lt;&gt;"",S250&lt;SG_Criteria!$B$20),"FAIL: cover &lt; "&amp;SG_Criteria!$B$20&amp;" mm. ","")&amp;IF(AND(W250&lt;&gt;"",W250&lt;1),"FAIL: sliding. ","")&amp;IF(AND(C250="Reverse L-Wall (toe only, at boundary)",N(O250)&gt;0),"NOTE: reverse L-wall should have no heel. ","")&amp;IF(AND(C250="L-Wall (heel only)",N(N250)&gt;0),"NOTE: L-wall should have no toe. ","")&amp;IF(AND(E250&lt;&gt;"",E250&lt;SG_Criteria!$B$31),"NOTE: q below LTA min "&amp;SG_Criteria!$B$31&amp;" kPa (not for LTA works). ","")))</f>
        <v/>
      </c>
      <c r="AU250" s="9"/>
      <c r="AV250" s="9"/>
      <c r="AW250" s="9"/>
      <c r="AX250" s="9"/>
      <c r="AY250" s="9"/>
      <c r="AZ250" s="31"/>
      <c r="BA250" s="10" t="str">
        <f aca="false">IF(C250="","",IF(AND(AB250="Approved",ISERROR(SEARCH("FAIL",AT250))),"Y","N"))</f>
        <v/>
      </c>
      <c r="BB250" s="10" t="str">
        <f aca="false">IF(C250="","",C250&amp;"|"&amp;D250&amp;"|"&amp;E250&amp;"|"&amp;F250&amp;"|"&amp;BA250)</f>
        <v/>
      </c>
    </row>
    <row r="251" customFormat="false" ht="15" hidden="false" customHeight="false" outlineLevel="0" collapsed="false">
      <c r="A251" s="10" t="str">
        <f aca="false">IF(C251="","","RW-"&amp;IFERROR(VLOOKUP(C251,Lists!$M$4:$N$22,2,0),"??")&amp;"-H"&amp;TEXT(D251*1000,"0000")&amp;"-S"&amp;E251&amp;IF(F251="Y","-GW","")&amp;"-"&amp;AA251)</f>
        <v/>
      </c>
      <c r="B251" s="10" t="str">
        <f aca="false">IF(C251="","",C251&amp;", H = "&amp;TEXT(D251,"0.0")&amp;" m, q = "&amp;E251&amp;" kPa"&amp;IF(F251="Y",", with GWT","")&amp;", "&amp;H251)</f>
        <v/>
      </c>
      <c r="C251" s="9"/>
      <c r="D251" s="41"/>
      <c r="E251" s="40"/>
      <c r="F251" s="9"/>
      <c r="G251" s="40"/>
      <c r="H251" s="9"/>
      <c r="I251" s="40"/>
      <c r="J251" s="43"/>
      <c r="K251" s="40"/>
      <c r="L251" s="40"/>
      <c r="M251" s="40"/>
      <c r="N251" s="40"/>
      <c r="O251" s="40"/>
      <c r="P251" s="40"/>
      <c r="Q251" s="9"/>
      <c r="R251" s="9"/>
      <c r="S251" s="40"/>
      <c r="T251" s="9"/>
      <c r="U251" s="9"/>
      <c r="V251" s="9"/>
      <c r="W251" s="41"/>
      <c r="X251" s="41"/>
      <c r="Y251" s="40"/>
      <c r="Z251" s="9"/>
      <c r="AA251" s="9"/>
      <c r="AB251" s="9"/>
      <c r="AC251" s="9"/>
      <c r="AD251" s="9"/>
      <c r="AE251" s="9"/>
      <c r="AF251" s="10" t="str">
        <f aca="false">IF(A251="","",SG_Criteria!$B$6&amp;SG_Criteria!$B$8&amp;"\"&amp;A251&amp;"\")</f>
        <v/>
      </c>
      <c r="AG251" s="10" t="str">
        <f aca="false">IF(A251="","",A251&amp;"_CAD.dwg")</f>
        <v/>
      </c>
      <c r="AH251" s="10" t="str">
        <f aca="false">IF(A251="","",A251&amp;"_DWG.pdf")</f>
        <v/>
      </c>
      <c r="AI251" s="10" t="str">
        <f aca="false">IF(A251="","",IF(AE251="Y",A251&amp;"_STAAD.std","n/a"))</f>
        <v/>
      </c>
      <c r="AJ251" s="10" t="str">
        <f aca="false">IF(A251="","",A251&amp;"_CALC.xlsx")</f>
        <v/>
      </c>
      <c r="AK251" s="10" t="str">
        <f aca="false">IF(A251="","",A251&amp;"_CALC.pdf")</f>
        <v/>
      </c>
      <c r="AL251" s="9"/>
      <c r="AM251" s="9"/>
      <c r="AN251" s="41"/>
      <c r="AO251" s="41"/>
      <c r="AP251" s="41"/>
      <c r="AQ251" s="41"/>
      <c r="AR251" s="41"/>
      <c r="AS251" s="38" t="str">
        <f aca="false">IF(OR(C251="",D251=""),"",IF(D251&lt;=IF(OR(C251="Block / Segmental",C251="Gabion",C251="Reinforced Earth (MSE)"),SG_Criteria!$B$34,SG_Criteria!$B$33),"No ERSS submission",IF(D251&lt;=SG_Criteria!$B$35,"QP(ST)",IF(D251&lt;=SG_Criteria!$B$36,"QP(ST) + AC","Geotechnical building works: QP(Geo) + AC"))))</f>
        <v/>
      </c>
      <c r="AT251" s="38" t="str">
        <f aca="false">IF(C251="","",IF(LEN(IF(AND(R251&lt;&gt;"",IFERROR(VALUE(MID(R251,2,2)),0)&lt;SG_Criteria!$B$19),"FAIL: grade below C"&amp;SG_Criteria!$B$19&amp;". ","")&amp;IF(AND(S251&lt;&gt;"",S251&lt;SG_Criteria!$B$20),"FAIL: cover &lt; "&amp;SG_Criteria!$B$20&amp;" mm. ","")&amp;IF(AND(W251&lt;&gt;"",W251&lt;1),"FAIL: sliding. ","")&amp;IF(AND(C251="Reverse L-Wall (toe only, at boundary)",N(O251)&gt;0),"NOTE: reverse L-wall should have no heel. ","")&amp;IF(AND(C251="L-Wall (heel only)",N(N251)&gt;0),"NOTE: L-wall should have no toe. ","")&amp;IF(AND(E251&lt;&gt;"",E251&lt;SG_Criteria!$B$31),"NOTE: q below LTA min "&amp;SG_Criteria!$B$31&amp;" kPa (not for LTA works). ",""))=0,"OK",IF(AND(R251&lt;&gt;"",IFERROR(VALUE(MID(R251,2,2)),0)&lt;SG_Criteria!$B$19),"FAIL: grade below C"&amp;SG_Criteria!$B$19&amp;". ","")&amp;IF(AND(S251&lt;&gt;"",S251&lt;SG_Criteria!$B$20),"FAIL: cover &lt; "&amp;SG_Criteria!$B$20&amp;" mm. ","")&amp;IF(AND(W251&lt;&gt;"",W251&lt;1),"FAIL: sliding. ","")&amp;IF(AND(C251="Reverse L-Wall (toe only, at boundary)",N(O251)&gt;0),"NOTE: reverse L-wall should have no heel. ","")&amp;IF(AND(C251="L-Wall (heel only)",N(N251)&gt;0),"NOTE: L-wall should have no toe. ","")&amp;IF(AND(E251&lt;&gt;"",E251&lt;SG_Criteria!$B$31),"NOTE: q below LTA min "&amp;SG_Criteria!$B$31&amp;" kPa (not for LTA works). ","")))</f>
        <v/>
      </c>
      <c r="AU251" s="9"/>
      <c r="AV251" s="9"/>
      <c r="AW251" s="9"/>
      <c r="AX251" s="9"/>
      <c r="AY251" s="9"/>
      <c r="AZ251" s="31"/>
      <c r="BA251" s="10" t="str">
        <f aca="false">IF(C251="","",IF(AND(AB251="Approved",ISERROR(SEARCH("FAIL",AT251))),"Y","N"))</f>
        <v/>
      </c>
      <c r="BB251" s="10" t="str">
        <f aca="false">IF(C251="","",C251&amp;"|"&amp;D251&amp;"|"&amp;E251&amp;"|"&amp;F251&amp;"|"&amp;BA251)</f>
        <v/>
      </c>
    </row>
    <row r="252" customFormat="false" ht="15" hidden="false" customHeight="false" outlineLevel="0" collapsed="false">
      <c r="A252" s="10" t="str">
        <f aca="false">IF(C252="","","RW-"&amp;IFERROR(VLOOKUP(C252,Lists!$M$4:$N$22,2,0),"??")&amp;"-H"&amp;TEXT(D252*1000,"0000")&amp;"-S"&amp;E252&amp;IF(F252="Y","-GW","")&amp;"-"&amp;AA252)</f>
        <v/>
      </c>
      <c r="B252" s="10" t="str">
        <f aca="false">IF(C252="","",C252&amp;", H = "&amp;TEXT(D252,"0.0")&amp;" m, q = "&amp;E252&amp;" kPa"&amp;IF(F252="Y",", with GWT","")&amp;", "&amp;H252)</f>
        <v/>
      </c>
      <c r="C252" s="9"/>
      <c r="D252" s="41"/>
      <c r="E252" s="40"/>
      <c r="F252" s="9"/>
      <c r="G252" s="40"/>
      <c r="H252" s="9"/>
      <c r="I252" s="40"/>
      <c r="J252" s="43"/>
      <c r="K252" s="40"/>
      <c r="L252" s="40"/>
      <c r="M252" s="40"/>
      <c r="N252" s="40"/>
      <c r="O252" s="40"/>
      <c r="P252" s="40"/>
      <c r="Q252" s="9"/>
      <c r="R252" s="9"/>
      <c r="S252" s="40"/>
      <c r="T252" s="9"/>
      <c r="U252" s="9"/>
      <c r="V252" s="9"/>
      <c r="W252" s="41"/>
      <c r="X252" s="41"/>
      <c r="Y252" s="40"/>
      <c r="Z252" s="9"/>
      <c r="AA252" s="9"/>
      <c r="AB252" s="9"/>
      <c r="AC252" s="9"/>
      <c r="AD252" s="9"/>
      <c r="AE252" s="9"/>
      <c r="AF252" s="10" t="str">
        <f aca="false">IF(A252="","",SG_Criteria!$B$6&amp;SG_Criteria!$B$8&amp;"\"&amp;A252&amp;"\")</f>
        <v/>
      </c>
      <c r="AG252" s="10" t="str">
        <f aca="false">IF(A252="","",A252&amp;"_CAD.dwg")</f>
        <v/>
      </c>
      <c r="AH252" s="10" t="str">
        <f aca="false">IF(A252="","",A252&amp;"_DWG.pdf")</f>
        <v/>
      </c>
      <c r="AI252" s="10" t="str">
        <f aca="false">IF(A252="","",IF(AE252="Y",A252&amp;"_STAAD.std","n/a"))</f>
        <v/>
      </c>
      <c r="AJ252" s="10" t="str">
        <f aca="false">IF(A252="","",A252&amp;"_CALC.xlsx")</f>
        <v/>
      </c>
      <c r="AK252" s="10" t="str">
        <f aca="false">IF(A252="","",A252&amp;"_CALC.pdf")</f>
        <v/>
      </c>
      <c r="AL252" s="9"/>
      <c r="AM252" s="9"/>
      <c r="AN252" s="41"/>
      <c r="AO252" s="41"/>
      <c r="AP252" s="41"/>
      <c r="AQ252" s="41"/>
      <c r="AR252" s="41"/>
      <c r="AS252" s="38" t="str">
        <f aca="false">IF(OR(C252="",D252=""),"",IF(D252&lt;=IF(OR(C252="Block / Segmental",C252="Gabion",C252="Reinforced Earth (MSE)"),SG_Criteria!$B$34,SG_Criteria!$B$33),"No ERSS submission",IF(D252&lt;=SG_Criteria!$B$35,"QP(ST)",IF(D252&lt;=SG_Criteria!$B$36,"QP(ST) + AC","Geotechnical building works: QP(Geo) + AC"))))</f>
        <v/>
      </c>
      <c r="AT252" s="38" t="str">
        <f aca="false">IF(C252="","",IF(LEN(IF(AND(R252&lt;&gt;"",IFERROR(VALUE(MID(R252,2,2)),0)&lt;SG_Criteria!$B$19),"FAIL: grade below C"&amp;SG_Criteria!$B$19&amp;". ","")&amp;IF(AND(S252&lt;&gt;"",S252&lt;SG_Criteria!$B$20),"FAIL: cover &lt; "&amp;SG_Criteria!$B$20&amp;" mm. ","")&amp;IF(AND(W252&lt;&gt;"",W252&lt;1),"FAIL: sliding. ","")&amp;IF(AND(C252="Reverse L-Wall (toe only, at boundary)",N(O252)&gt;0),"NOTE: reverse L-wall should have no heel. ","")&amp;IF(AND(C252="L-Wall (heel only)",N(N252)&gt;0),"NOTE: L-wall should have no toe. ","")&amp;IF(AND(E252&lt;&gt;"",E252&lt;SG_Criteria!$B$31),"NOTE: q below LTA min "&amp;SG_Criteria!$B$31&amp;" kPa (not for LTA works). ",""))=0,"OK",IF(AND(R252&lt;&gt;"",IFERROR(VALUE(MID(R252,2,2)),0)&lt;SG_Criteria!$B$19),"FAIL: grade below C"&amp;SG_Criteria!$B$19&amp;". ","")&amp;IF(AND(S252&lt;&gt;"",S252&lt;SG_Criteria!$B$20),"FAIL: cover &lt; "&amp;SG_Criteria!$B$20&amp;" mm. ","")&amp;IF(AND(W252&lt;&gt;"",W252&lt;1),"FAIL: sliding. ","")&amp;IF(AND(C252="Reverse L-Wall (toe only, at boundary)",N(O252)&gt;0),"NOTE: reverse L-wall should have no heel. ","")&amp;IF(AND(C252="L-Wall (heel only)",N(N252)&gt;0),"NOTE: L-wall should have no toe. ","")&amp;IF(AND(E252&lt;&gt;"",E252&lt;SG_Criteria!$B$31),"NOTE: q below LTA min "&amp;SG_Criteria!$B$31&amp;" kPa (not for LTA works). ","")))</f>
        <v/>
      </c>
      <c r="AU252" s="9"/>
      <c r="AV252" s="9"/>
      <c r="AW252" s="9"/>
      <c r="AX252" s="9"/>
      <c r="AY252" s="9"/>
      <c r="AZ252" s="31"/>
      <c r="BA252" s="10" t="str">
        <f aca="false">IF(C252="","",IF(AND(AB252="Approved",ISERROR(SEARCH("FAIL",AT252))),"Y","N"))</f>
        <v/>
      </c>
      <c r="BB252" s="10" t="str">
        <f aca="false">IF(C252="","",C252&amp;"|"&amp;D252&amp;"|"&amp;E252&amp;"|"&amp;F252&amp;"|"&amp;BA252)</f>
        <v/>
      </c>
    </row>
    <row r="253" customFormat="false" ht="15" hidden="false" customHeight="false" outlineLevel="0" collapsed="false">
      <c r="A253" s="10" t="str">
        <f aca="false">IF(C253="","","RW-"&amp;IFERROR(VLOOKUP(C253,Lists!$M$4:$N$22,2,0),"??")&amp;"-H"&amp;TEXT(D253*1000,"0000")&amp;"-S"&amp;E253&amp;IF(F253="Y","-GW","")&amp;"-"&amp;AA253)</f>
        <v/>
      </c>
      <c r="B253" s="10" t="str">
        <f aca="false">IF(C253="","",C253&amp;", H = "&amp;TEXT(D253,"0.0")&amp;" m, q = "&amp;E253&amp;" kPa"&amp;IF(F253="Y",", with GWT","")&amp;", "&amp;H253)</f>
        <v/>
      </c>
      <c r="C253" s="9"/>
      <c r="D253" s="41"/>
      <c r="E253" s="40"/>
      <c r="F253" s="9"/>
      <c r="G253" s="40"/>
      <c r="H253" s="9"/>
      <c r="I253" s="40"/>
      <c r="J253" s="43"/>
      <c r="K253" s="40"/>
      <c r="L253" s="40"/>
      <c r="M253" s="40"/>
      <c r="N253" s="40"/>
      <c r="O253" s="40"/>
      <c r="P253" s="40"/>
      <c r="Q253" s="9"/>
      <c r="R253" s="9"/>
      <c r="S253" s="40"/>
      <c r="T253" s="9"/>
      <c r="U253" s="9"/>
      <c r="V253" s="9"/>
      <c r="W253" s="41"/>
      <c r="X253" s="41"/>
      <c r="Y253" s="40"/>
      <c r="Z253" s="9"/>
      <c r="AA253" s="9"/>
      <c r="AB253" s="9"/>
      <c r="AC253" s="9"/>
      <c r="AD253" s="9"/>
      <c r="AE253" s="9"/>
      <c r="AF253" s="10" t="str">
        <f aca="false">IF(A253="","",SG_Criteria!$B$6&amp;SG_Criteria!$B$8&amp;"\"&amp;A253&amp;"\")</f>
        <v/>
      </c>
      <c r="AG253" s="10" t="str">
        <f aca="false">IF(A253="","",A253&amp;"_CAD.dwg")</f>
        <v/>
      </c>
      <c r="AH253" s="10" t="str">
        <f aca="false">IF(A253="","",A253&amp;"_DWG.pdf")</f>
        <v/>
      </c>
      <c r="AI253" s="10" t="str">
        <f aca="false">IF(A253="","",IF(AE253="Y",A253&amp;"_STAAD.std","n/a"))</f>
        <v/>
      </c>
      <c r="AJ253" s="10" t="str">
        <f aca="false">IF(A253="","",A253&amp;"_CALC.xlsx")</f>
        <v/>
      </c>
      <c r="AK253" s="10" t="str">
        <f aca="false">IF(A253="","",A253&amp;"_CALC.pdf")</f>
        <v/>
      </c>
      <c r="AL253" s="9"/>
      <c r="AM253" s="9"/>
      <c r="AN253" s="41"/>
      <c r="AO253" s="41"/>
      <c r="AP253" s="41"/>
      <c r="AQ253" s="41"/>
      <c r="AR253" s="41"/>
      <c r="AS253" s="38" t="str">
        <f aca="false">IF(OR(C253="",D253=""),"",IF(D253&lt;=IF(OR(C253="Block / Segmental",C253="Gabion",C253="Reinforced Earth (MSE)"),SG_Criteria!$B$34,SG_Criteria!$B$33),"No ERSS submission",IF(D253&lt;=SG_Criteria!$B$35,"QP(ST)",IF(D253&lt;=SG_Criteria!$B$36,"QP(ST) + AC","Geotechnical building works: QP(Geo) + AC"))))</f>
        <v/>
      </c>
      <c r="AT253" s="38" t="str">
        <f aca="false">IF(C253="","",IF(LEN(IF(AND(R253&lt;&gt;"",IFERROR(VALUE(MID(R253,2,2)),0)&lt;SG_Criteria!$B$19),"FAIL: grade below C"&amp;SG_Criteria!$B$19&amp;". ","")&amp;IF(AND(S253&lt;&gt;"",S253&lt;SG_Criteria!$B$20),"FAIL: cover &lt; "&amp;SG_Criteria!$B$20&amp;" mm. ","")&amp;IF(AND(W253&lt;&gt;"",W253&lt;1),"FAIL: sliding. ","")&amp;IF(AND(C253="Reverse L-Wall (toe only, at boundary)",N(O253)&gt;0),"NOTE: reverse L-wall should have no heel. ","")&amp;IF(AND(C253="L-Wall (heel only)",N(N253)&gt;0),"NOTE: L-wall should have no toe. ","")&amp;IF(AND(E253&lt;&gt;"",E253&lt;SG_Criteria!$B$31),"NOTE: q below LTA min "&amp;SG_Criteria!$B$31&amp;" kPa (not for LTA works). ",""))=0,"OK",IF(AND(R253&lt;&gt;"",IFERROR(VALUE(MID(R253,2,2)),0)&lt;SG_Criteria!$B$19),"FAIL: grade below C"&amp;SG_Criteria!$B$19&amp;". ","")&amp;IF(AND(S253&lt;&gt;"",S253&lt;SG_Criteria!$B$20),"FAIL: cover &lt; "&amp;SG_Criteria!$B$20&amp;" mm. ","")&amp;IF(AND(W253&lt;&gt;"",W253&lt;1),"FAIL: sliding. ","")&amp;IF(AND(C253="Reverse L-Wall (toe only, at boundary)",N(O253)&gt;0),"NOTE: reverse L-wall should have no heel. ","")&amp;IF(AND(C253="L-Wall (heel only)",N(N253)&gt;0),"NOTE: L-wall should have no toe. ","")&amp;IF(AND(E253&lt;&gt;"",E253&lt;SG_Criteria!$B$31),"NOTE: q below LTA min "&amp;SG_Criteria!$B$31&amp;" kPa (not for LTA works). ","")))</f>
        <v/>
      </c>
      <c r="AU253" s="9"/>
      <c r="AV253" s="9"/>
      <c r="AW253" s="9"/>
      <c r="AX253" s="9"/>
      <c r="AY253" s="9"/>
      <c r="AZ253" s="31"/>
      <c r="BA253" s="10" t="str">
        <f aca="false">IF(C253="","",IF(AND(AB253="Approved",ISERROR(SEARCH("FAIL",AT253))),"Y","N"))</f>
        <v/>
      </c>
      <c r="BB253" s="10" t="str">
        <f aca="false">IF(C253="","",C253&amp;"|"&amp;D253&amp;"|"&amp;E253&amp;"|"&amp;F253&amp;"|"&amp;BA253)</f>
        <v/>
      </c>
    </row>
    <row r="254" customFormat="false" ht="15" hidden="false" customHeight="false" outlineLevel="0" collapsed="false">
      <c r="A254" s="10" t="str">
        <f aca="false">IF(C254="","","RW-"&amp;IFERROR(VLOOKUP(C254,Lists!$M$4:$N$22,2,0),"??")&amp;"-H"&amp;TEXT(D254*1000,"0000")&amp;"-S"&amp;E254&amp;IF(F254="Y","-GW","")&amp;"-"&amp;AA254)</f>
        <v/>
      </c>
      <c r="B254" s="10" t="str">
        <f aca="false">IF(C254="","",C254&amp;", H = "&amp;TEXT(D254,"0.0")&amp;" m, q = "&amp;E254&amp;" kPa"&amp;IF(F254="Y",", with GWT","")&amp;", "&amp;H254)</f>
        <v/>
      </c>
      <c r="C254" s="9"/>
      <c r="D254" s="41"/>
      <c r="E254" s="40"/>
      <c r="F254" s="9"/>
      <c r="G254" s="40"/>
      <c r="H254" s="9"/>
      <c r="I254" s="40"/>
      <c r="J254" s="43"/>
      <c r="K254" s="40"/>
      <c r="L254" s="40"/>
      <c r="M254" s="40"/>
      <c r="N254" s="40"/>
      <c r="O254" s="40"/>
      <c r="P254" s="40"/>
      <c r="Q254" s="9"/>
      <c r="R254" s="9"/>
      <c r="S254" s="40"/>
      <c r="T254" s="9"/>
      <c r="U254" s="9"/>
      <c r="V254" s="9"/>
      <c r="W254" s="41"/>
      <c r="X254" s="41"/>
      <c r="Y254" s="40"/>
      <c r="Z254" s="9"/>
      <c r="AA254" s="9"/>
      <c r="AB254" s="9"/>
      <c r="AC254" s="9"/>
      <c r="AD254" s="9"/>
      <c r="AE254" s="9"/>
      <c r="AF254" s="10" t="str">
        <f aca="false">IF(A254="","",SG_Criteria!$B$6&amp;SG_Criteria!$B$8&amp;"\"&amp;A254&amp;"\")</f>
        <v/>
      </c>
      <c r="AG254" s="10" t="str">
        <f aca="false">IF(A254="","",A254&amp;"_CAD.dwg")</f>
        <v/>
      </c>
      <c r="AH254" s="10" t="str">
        <f aca="false">IF(A254="","",A254&amp;"_DWG.pdf")</f>
        <v/>
      </c>
      <c r="AI254" s="10" t="str">
        <f aca="false">IF(A254="","",IF(AE254="Y",A254&amp;"_STAAD.std","n/a"))</f>
        <v/>
      </c>
      <c r="AJ254" s="10" t="str">
        <f aca="false">IF(A254="","",A254&amp;"_CALC.xlsx")</f>
        <v/>
      </c>
      <c r="AK254" s="10" t="str">
        <f aca="false">IF(A254="","",A254&amp;"_CALC.pdf")</f>
        <v/>
      </c>
      <c r="AL254" s="9"/>
      <c r="AM254" s="9"/>
      <c r="AN254" s="41"/>
      <c r="AO254" s="41"/>
      <c r="AP254" s="41"/>
      <c r="AQ254" s="41"/>
      <c r="AR254" s="41"/>
      <c r="AS254" s="38" t="str">
        <f aca="false">IF(OR(C254="",D254=""),"",IF(D254&lt;=IF(OR(C254="Block / Segmental",C254="Gabion",C254="Reinforced Earth (MSE)"),SG_Criteria!$B$34,SG_Criteria!$B$33),"No ERSS submission",IF(D254&lt;=SG_Criteria!$B$35,"QP(ST)",IF(D254&lt;=SG_Criteria!$B$36,"QP(ST) + AC","Geotechnical building works: QP(Geo) + AC"))))</f>
        <v/>
      </c>
      <c r="AT254" s="38" t="str">
        <f aca="false">IF(C254="","",IF(LEN(IF(AND(R254&lt;&gt;"",IFERROR(VALUE(MID(R254,2,2)),0)&lt;SG_Criteria!$B$19),"FAIL: grade below C"&amp;SG_Criteria!$B$19&amp;". ","")&amp;IF(AND(S254&lt;&gt;"",S254&lt;SG_Criteria!$B$20),"FAIL: cover &lt; "&amp;SG_Criteria!$B$20&amp;" mm. ","")&amp;IF(AND(W254&lt;&gt;"",W254&lt;1),"FAIL: sliding. ","")&amp;IF(AND(C254="Reverse L-Wall (toe only, at boundary)",N(O254)&gt;0),"NOTE: reverse L-wall should have no heel. ","")&amp;IF(AND(C254="L-Wall (heel only)",N(N254)&gt;0),"NOTE: L-wall should have no toe. ","")&amp;IF(AND(E254&lt;&gt;"",E254&lt;SG_Criteria!$B$31),"NOTE: q below LTA min "&amp;SG_Criteria!$B$31&amp;" kPa (not for LTA works). ",""))=0,"OK",IF(AND(R254&lt;&gt;"",IFERROR(VALUE(MID(R254,2,2)),0)&lt;SG_Criteria!$B$19),"FAIL: grade below C"&amp;SG_Criteria!$B$19&amp;". ","")&amp;IF(AND(S254&lt;&gt;"",S254&lt;SG_Criteria!$B$20),"FAIL: cover &lt; "&amp;SG_Criteria!$B$20&amp;" mm. ","")&amp;IF(AND(W254&lt;&gt;"",W254&lt;1),"FAIL: sliding. ","")&amp;IF(AND(C254="Reverse L-Wall (toe only, at boundary)",N(O254)&gt;0),"NOTE: reverse L-wall should have no heel. ","")&amp;IF(AND(C254="L-Wall (heel only)",N(N254)&gt;0),"NOTE: L-wall should have no toe. ","")&amp;IF(AND(E254&lt;&gt;"",E254&lt;SG_Criteria!$B$31),"NOTE: q below LTA min "&amp;SG_Criteria!$B$31&amp;" kPa (not for LTA works). ","")))</f>
        <v/>
      </c>
      <c r="AU254" s="9"/>
      <c r="AV254" s="9"/>
      <c r="AW254" s="9"/>
      <c r="AX254" s="9"/>
      <c r="AY254" s="9"/>
      <c r="AZ254" s="31"/>
      <c r="BA254" s="10" t="str">
        <f aca="false">IF(C254="","",IF(AND(AB254="Approved",ISERROR(SEARCH("FAIL",AT254))),"Y","N"))</f>
        <v/>
      </c>
      <c r="BB254" s="10" t="str">
        <f aca="false">IF(C254="","",C254&amp;"|"&amp;D254&amp;"|"&amp;E254&amp;"|"&amp;F254&amp;"|"&amp;BA254)</f>
        <v/>
      </c>
    </row>
    <row r="255" customFormat="false" ht="15" hidden="false" customHeight="false" outlineLevel="0" collapsed="false">
      <c r="A255" s="10" t="str">
        <f aca="false">IF(C255="","","RW-"&amp;IFERROR(VLOOKUP(C255,Lists!$M$4:$N$22,2,0),"??")&amp;"-H"&amp;TEXT(D255*1000,"0000")&amp;"-S"&amp;E255&amp;IF(F255="Y","-GW","")&amp;"-"&amp;AA255)</f>
        <v/>
      </c>
      <c r="B255" s="10" t="str">
        <f aca="false">IF(C255="","",C255&amp;", H = "&amp;TEXT(D255,"0.0")&amp;" m, q = "&amp;E255&amp;" kPa"&amp;IF(F255="Y",", with GWT","")&amp;", "&amp;H255)</f>
        <v/>
      </c>
      <c r="C255" s="9"/>
      <c r="D255" s="41"/>
      <c r="E255" s="40"/>
      <c r="F255" s="9"/>
      <c r="G255" s="40"/>
      <c r="H255" s="9"/>
      <c r="I255" s="40"/>
      <c r="J255" s="43"/>
      <c r="K255" s="40"/>
      <c r="L255" s="40"/>
      <c r="M255" s="40"/>
      <c r="N255" s="40"/>
      <c r="O255" s="40"/>
      <c r="P255" s="40"/>
      <c r="Q255" s="9"/>
      <c r="R255" s="9"/>
      <c r="S255" s="40"/>
      <c r="T255" s="9"/>
      <c r="U255" s="9"/>
      <c r="V255" s="9"/>
      <c r="W255" s="41"/>
      <c r="X255" s="41"/>
      <c r="Y255" s="40"/>
      <c r="Z255" s="9"/>
      <c r="AA255" s="9"/>
      <c r="AB255" s="9"/>
      <c r="AC255" s="9"/>
      <c r="AD255" s="9"/>
      <c r="AE255" s="9"/>
      <c r="AF255" s="10" t="str">
        <f aca="false">IF(A255="","",SG_Criteria!$B$6&amp;SG_Criteria!$B$8&amp;"\"&amp;A255&amp;"\")</f>
        <v/>
      </c>
      <c r="AG255" s="10" t="str">
        <f aca="false">IF(A255="","",A255&amp;"_CAD.dwg")</f>
        <v/>
      </c>
      <c r="AH255" s="10" t="str">
        <f aca="false">IF(A255="","",A255&amp;"_DWG.pdf")</f>
        <v/>
      </c>
      <c r="AI255" s="10" t="str">
        <f aca="false">IF(A255="","",IF(AE255="Y",A255&amp;"_STAAD.std","n/a"))</f>
        <v/>
      </c>
      <c r="AJ255" s="10" t="str">
        <f aca="false">IF(A255="","",A255&amp;"_CALC.xlsx")</f>
        <v/>
      </c>
      <c r="AK255" s="10" t="str">
        <f aca="false">IF(A255="","",A255&amp;"_CALC.pdf")</f>
        <v/>
      </c>
      <c r="AL255" s="9"/>
      <c r="AM255" s="9"/>
      <c r="AN255" s="41"/>
      <c r="AO255" s="41"/>
      <c r="AP255" s="41"/>
      <c r="AQ255" s="41"/>
      <c r="AR255" s="41"/>
      <c r="AS255" s="38" t="str">
        <f aca="false">IF(OR(C255="",D255=""),"",IF(D255&lt;=IF(OR(C255="Block / Segmental",C255="Gabion",C255="Reinforced Earth (MSE)"),SG_Criteria!$B$34,SG_Criteria!$B$33),"No ERSS submission",IF(D255&lt;=SG_Criteria!$B$35,"QP(ST)",IF(D255&lt;=SG_Criteria!$B$36,"QP(ST) + AC","Geotechnical building works: QP(Geo) + AC"))))</f>
        <v/>
      </c>
      <c r="AT255" s="38" t="str">
        <f aca="false">IF(C255="","",IF(LEN(IF(AND(R255&lt;&gt;"",IFERROR(VALUE(MID(R255,2,2)),0)&lt;SG_Criteria!$B$19),"FAIL: grade below C"&amp;SG_Criteria!$B$19&amp;". ","")&amp;IF(AND(S255&lt;&gt;"",S255&lt;SG_Criteria!$B$20),"FAIL: cover &lt; "&amp;SG_Criteria!$B$20&amp;" mm. ","")&amp;IF(AND(W255&lt;&gt;"",W255&lt;1),"FAIL: sliding. ","")&amp;IF(AND(C255="Reverse L-Wall (toe only, at boundary)",N(O255)&gt;0),"NOTE: reverse L-wall should have no heel. ","")&amp;IF(AND(C255="L-Wall (heel only)",N(N255)&gt;0),"NOTE: L-wall should have no toe. ","")&amp;IF(AND(E255&lt;&gt;"",E255&lt;SG_Criteria!$B$31),"NOTE: q below LTA min "&amp;SG_Criteria!$B$31&amp;" kPa (not for LTA works). ",""))=0,"OK",IF(AND(R255&lt;&gt;"",IFERROR(VALUE(MID(R255,2,2)),0)&lt;SG_Criteria!$B$19),"FAIL: grade below C"&amp;SG_Criteria!$B$19&amp;". ","")&amp;IF(AND(S255&lt;&gt;"",S255&lt;SG_Criteria!$B$20),"FAIL: cover &lt; "&amp;SG_Criteria!$B$20&amp;" mm. ","")&amp;IF(AND(W255&lt;&gt;"",W255&lt;1),"FAIL: sliding. ","")&amp;IF(AND(C255="Reverse L-Wall (toe only, at boundary)",N(O255)&gt;0),"NOTE: reverse L-wall should have no heel. ","")&amp;IF(AND(C255="L-Wall (heel only)",N(N255)&gt;0),"NOTE: L-wall should have no toe. ","")&amp;IF(AND(E255&lt;&gt;"",E255&lt;SG_Criteria!$B$31),"NOTE: q below LTA min "&amp;SG_Criteria!$B$31&amp;" kPa (not for LTA works). ","")))</f>
        <v/>
      </c>
      <c r="AU255" s="9"/>
      <c r="AV255" s="9"/>
      <c r="AW255" s="9"/>
      <c r="AX255" s="9"/>
      <c r="AY255" s="9"/>
      <c r="AZ255" s="31"/>
      <c r="BA255" s="10" t="str">
        <f aca="false">IF(C255="","",IF(AND(AB255="Approved",ISERROR(SEARCH("FAIL",AT255))),"Y","N"))</f>
        <v/>
      </c>
      <c r="BB255" s="10" t="str">
        <f aca="false">IF(C255="","",C255&amp;"|"&amp;D255&amp;"|"&amp;E255&amp;"|"&amp;F255&amp;"|"&amp;BA255)</f>
        <v/>
      </c>
    </row>
    <row r="256" customFormat="false" ht="15" hidden="false" customHeight="false" outlineLevel="0" collapsed="false">
      <c r="A256" s="10" t="str">
        <f aca="false">IF(C256="","","RW-"&amp;IFERROR(VLOOKUP(C256,Lists!$M$4:$N$22,2,0),"??")&amp;"-H"&amp;TEXT(D256*1000,"0000")&amp;"-S"&amp;E256&amp;IF(F256="Y","-GW","")&amp;"-"&amp;AA256)</f>
        <v/>
      </c>
      <c r="B256" s="10" t="str">
        <f aca="false">IF(C256="","",C256&amp;", H = "&amp;TEXT(D256,"0.0")&amp;" m, q = "&amp;E256&amp;" kPa"&amp;IF(F256="Y",", with GWT","")&amp;", "&amp;H256)</f>
        <v/>
      </c>
      <c r="C256" s="9"/>
      <c r="D256" s="41"/>
      <c r="E256" s="40"/>
      <c r="F256" s="9"/>
      <c r="G256" s="40"/>
      <c r="H256" s="9"/>
      <c r="I256" s="40"/>
      <c r="J256" s="43"/>
      <c r="K256" s="40"/>
      <c r="L256" s="40"/>
      <c r="M256" s="40"/>
      <c r="N256" s="40"/>
      <c r="O256" s="40"/>
      <c r="P256" s="40"/>
      <c r="Q256" s="9"/>
      <c r="R256" s="9"/>
      <c r="S256" s="40"/>
      <c r="T256" s="9"/>
      <c r="U256" s="9"/>
      <c r="V256" s="9"/>
      <c r="W256" s="41"/>
      <c r="X256" s="41"/>
      <c r="Y256" s="40"/>
      <c r="Z256" s="9"/>
      <c r="AA256" s="9"/>
      <c r="AB256" s="9"/>
      <c r="AC256" s="9"/>
      <c r="AD256" s="9"/>
      <c r="AE256" s="9"/>
      <c r="AF256" s="10" t="str">
        <f aca="false">IF(A256="","",SG_Criteria!$B$6&amp;SG_Criteria!$B$8&amp;"\"&amp;A256&amp;"\")</f>
        <v/>
      </c>
      <c r="AG256" s="10" t="str">
        <f aca="false">IF(A256="","",A256&amp;"_CAD.dwg")</f>
        <v/>
      </c>
      <c r="AH256" s="10" t="str">
        <f aca="false">IF(A256="","",A256&amp;"_DWG.pdf")</f>
        <v/>
      </c>
      <c r="AI256" s="10" t="str">
        <f aca="false">IF(A256="","",IF(AE256="Y",A256&amp;"_STAAD.std","n/a"))</f>
        <v/>
      </c>
      <c r="AJ256" s="10" t="str">
        <f aca="false">IF(A256="","",A256&amp;"_CALC.xlsx")</f>
        <v/>
      </c>
      <c r="AK256" s="10" t="str">
        <f aca="false">IF(A256="","",A256&amp;"_CALC.pdf")</f>
        <v/>
      </c>
      <c r="AL256" s="9"/>
      <c r="AM256" s="9"/>
      <c r="AN256" s="41"/>
      <c r="AO256" s="41"/>
      <c r="AP256" s="41"/>
      <c r="AQ256" s="41"/>
      <c r="AR256" s="41"/>
      <c r="AS256" s="38" t="str">
        <f aca="false">IF(OR(C256="",D256=""),"",IF(D256&lt;=IF(OR(C256="Block / Segmental",C256="Gabion",C256="Reinforced Earth (MSE)"),SG_Criteria!$B$34,SG_Criteria!$B$33),"No ERSS submission",IF(D256&lt;=SG_Criteria!$B$35,"QP(ST)",IF(D256&lt;=SG_Criteria!$B$36,"QP(ST) + AC","Geotechnical building works: QP(Geo) + AC"))))</f>
        <v/>
      </c>
      <c r="AT256" s="38" t="str">
        <f aca="false">IF(C256="","",IF(LEN(IF(AND(R256&lt;&gt;"",IFERROR(VALUE(MID(R256,2,2)),0)&lt;SG_Criteria!$B$19),"FAIL: grade below C"&amp;SG_Criteria!$B$19&amp;". ","")&amp;IF(AND(S256&lt;&gt;"",S256&lt;SG_Criteria!$B$20),"FAIL: cover &lt; "&amp;SG_Criteria!$B$20&amp;" mm. ","")&amp;IF(AND(W256&lt;&gt;"",W256&lt;1),"FAIL: sliding. ","")&amp;IF(AND(C256="Reverse L-Wall (toe only, at boundary)",N(O256)&gt;0),"NOTE: reverse L-wall should have no heel. ","")&amp;IF(AND(C256="L-Wall (heel only)",N(N256)&gt;0),"NOTE: L-wall should have no toe. ","")&amp;IF(AND(E256&lt;&gt;"",E256&lt;SG_Criteria!$B$31),"NOTE: q below LTA min "&amp;SG_Criteria!$B$31&amp;" kPa (not for LTA works). ",""))=0,"OK",IF(AND(R256&lt;&gt;"",IFERROR(VALUE(MID(R256,2,2)),0)&lt;SG_Criteria!$B$19),"FAIL: grade below C"&amp;SG_Criteria!$B$19&amp;". ","")&amp;IF(AND(S256&lt;&gt;"",S256&lt;SG_Criteria!$B$20),"FAIL: cover &lt; "&amp;SG_Criteria!$B$20&amp;" mm. ","")&amp;IF(AND(W256&lt;&gt;"",W256&lt;1),"FAIL: sliding. ","")&amp;IF(AND(C256="Reverse L-Wall (toe only, at boundary)",N(O256)&gt;0),"NOTE: reverse L-wall should have no heel. ","")&amp;IF(AND(C256="L-Wall (heel only)",N(N256)&gt;0),"NOTE: L-wall should have no toe. ","")&amp;IF(AND(E256&lt;&gt;"",E256&lt;SG_Criteria!$B$31),"NOTE: q below LTA min "&amp;SG_Criteria!$B$31&amp;" kPa (not for LTA works). ","")))</f>
        <v/>
      </c>
      <c r="AU256" s="9"/>
      <c r="AV256" s="9"/>
      <c r="AW256" s="9"/>
      <c r="AX256" s="9"/>
      <c r="AY256" s="9"/>
      <c r="AZ256" s="31"/>
      <c r="BA256" s="10" t="str">
        <f aca="false">IF(C256="","",IF(AND(AB256="Approved",ISERROR(SEARCH("FAIL",AT256))),"Y","N"))</f>
        <v/>
      </c>
      <c r="BB256" s="10" t="str">
        <f aca="false">IF(C256="","",C256&amp;"|"&amp;D256&amp;"|"&amp;E256&amp;"|"&amp;F256&amp;"|"&amp;BA256)</f>
        <v/>
      </c>
    </row>
    <row r="257" customFormat="false" ht="15" hidden="false" customHeight="false" outlineLevel="0" collapsed="false">
      <c r="A257" s="10" t="str">
        <f aca="false">IF(C257="","","RW-"&amp;IFERROR(VLOOKUP(C257,Lists!$M$4:$N$22,2,0),"??")&amp;"-H"&amp;TEXT(D257*1000,"0000")&amp;"-S"&amp;E257&amp;IF(F257="Y","-GW","")&amp;"-"&amp;AA257)</f>
        <v/>
      </c>
      <c r="B257" s="10" t="str">
        <f aca="false">IF(C257="","",C257&amp;", H = "&amp;TEXT(D257,"0.0")&amp;" m, q = "&amp;E257&amp;" kPa"&amp;IF(F257="Y",", with GWT","")&amp;", "&amp;H257)</f>
        <v/>
      </c>
      <c r="C257" s="9"/>
      <c r="D257" s="41"/>
      <c r="E257" s="40"/>
      <c r="F257" s="9"/>
      <c r="G257" s="40"/>
      <c r="H257" s="9"/>
      <c r="I257" s="40"/>
      <c r="J257" s="43"/>
      <c r="K257" s="40"/>
      <c r="L257" s="40"/>
      <c r="M257" s="40"/>
      <c r="N257" s="40"/>
      <c r="O257" s="40"/>
      <c r="P257" s="40"/>
      <c r="Q257" s="9"/>
      <c r="R257" s="9"/>
      <c r="S257" s="40"/>
      <c r="T257" s="9"/>
      <c r="U257" s="9"/>
      <c r="V257" s="9"/>
      <c r="W257" s="41"/>
      <c r="X257" s="41"/>
      <c r="Y257" s="40"/>
      <c r="Z257" s="9"/>
      <c r="AA257" s="9"/>
      <c r="AB257" s="9"/>
      <c r="AC257" s="9"/>
      <c r="AD257" s="9"/>
      <c r="AE257" s="9"/>
      <c r="AF257" s="10" t="str">
        <f aca="false">IF(A257="","",SG_Criteria!$B$6&amp;SG_Criteria!$B$8&amp;"\"&amp;A257&amp;"\")</f>
        <v/>
      </c>
      <c r="AG257" s="10" t="str">
        <f aca="false">IF(A257="","",A257&amp;"_CAD.dwg")</f>
        <v/>
      </c>
      <c r="AH257" s="10" t="str">
        <f aca="false">IF(A257="","",A257&amp;"_DWG.pdf")</f>
        <v/>
      </c>
      <c r="AI257" s="10" t="str">
        <f aca="false">IF(A257="","",IF(AE257="Y",A257&amp;"_STAAD.std","n/a"))</f>
        <v/>
      </c>
      <c r="AJ257" s="10" t="str">
        <f aca="false">IF(A257="","",A257&amp;"_CALC.xlsx")</f>
        <v/>
      </c>
      <c r="AK257" s="10" t="str">
        <f aca="false">IF(A257="","",A257&amp;"_CALC.pdf")</f>
        <v/>
      </c>
      <c r="AL257" s="9"/>
      <c r="AM257" s="9"/>
      <c r="AN257" s="41"/>
      <c r="AO257" s="41"/>
      <c r="AP257" s="41"/>
      <c r="AQ257" s="41"/>
      <c r="AR257" s="41"/>
      <c r="AS257" s="38" t="str">
        <f aca="false">IF(OR(C257="",D257=""),"",IF(D257&lt;=IF(OR(C257="Block / Segmental",C257="Gabion",C257="Reinforced Earth (MSE)"),SG_Criteria!$B$34,SG_Criteria!$B$33),"No ERSS submission",IF(D257&lt;=SG_Criteria!$B$35,"QP(ST)",IF(D257&lt;=SG_Criteria!$B$36,"QP(ST) + AC","Geotechnical building works: QP(Geo) + AC"))))</f>
        <v/>
      </c>
      <c r="AT257" s="38" t="str">
        <f aca="false">IF(C257="","",IF(LEN(IF(AND(R257&lt;&gt;"",IFERROR(VALUE(MID(R257,2,2)),0)&lt;SG_Criteria!$B$19),"FAIL: grade below C"&amp;SG_Criteria!$B$19&amp;". ","")&amp;IF(AND(S257&lt;&gt;"",S257&lt;SG_Criteria!$B$20),"FAIL: cover &lt; "&amp;SG_Criteria!$B$20&amp;" mm. ","")&amp;IF(AND(W257&lt;&gt;"",W257&lt;1),"FAIL: sliding. ","")&amp;IF(AND(C257="Reverse L-Wall (toe only, at boundary)",N(O257)&gt;0),"NOTE: reverse L-wall should have no heel. ","")&amp;IF(AND(C257="L-Wall (heel only)",N(N257)&gt;0),"NOTE: L-wall should have no toe. ","")&amp;IF(AND(E257&lt;&gt;"",E257&lt;SG_Criteria!$B$31),"NOTE: q below LTA min "&amp;SG_Criteria!$B$31&amp;" kPa (not for LTA works). ",""))=0,"OK",IF(AND(R257&lt;&gt;"",IFERROR(VALUE(MID(R257,2,2)),0)&lt;SG_Criteria!$B$19),"FAIL: grade below C"&amp;SG_Criteria!$B$19&amp;". ","")&amp;IF(AND(S257&lt;&gt;"",S257&lt;SG_Criteria!$B$20),"FAIL: cover &lt; "&amp;SG_Criteria!$B$20&amp;" mm. ","")&amp;IF(AND(W257&lt;&gt;"",W257&lt;1),"FAIL: sliding. ","")&amp;IF(AND(C257="Reverse L-Wall (toe only, at boundary)",N(O257)&gt;0),"NOTE: reverse L-wall should have no heel. ","")&amp;IF(AND(C257="L-Wall (heel only)",N(N257)&gt;0),"NOTE: L-wall should have no toe. ","")&amp;IF(AND(E257&lt;&gt;"",E257&lt;SG_Criteria!$B$31),"NOTE: q below LTA min "&amp;SG_Criteria!$B$31&amp;" kPa (not for LTA works). ","")))</f>
        <v/>
      </c>
      <c r="AU257" s="9"/>
      <c r="AV257" s="9"/>
      <c r="AW257" s="9"/>
      <c r="AX257" s="9"/>
      <c r="AY257" s="9"/>
      <c r="AZ257" s="31"/>
      <c r="BA257" s="10" t="str">
        <f aca="false">IF(C257="","",IF(AND(AB257="Approved",ISERROR(SEARCH("FAIL",AT257))),"Y","N"))</f>
        <v/>
      </c>
      <c r="BB257" s="10" t="str">
        <f aca="false">IF(C257="","",C257&amp;"|"&amp;D257&amp;"|"&amp;E257&amp;"|"&amp;F257&amp;"|"&amp;BA257)</f>
        <v/>
      </c>
    </row>
    <row r="258" customFormat="false" ht="15" hidden="false" customHeight="false" outlineLevel="0" collapsed="false">
      <c r="A258" s="10" t="str">
        <f aca="false">IF(C258="","","RW-"&amp;IFERROR(VLOOKUP(C258,Lists!$M$4:$N$22,2,0),"??")&amp;"-H"&amp;TEXT(D258*1000,"0000")&amp;"-S"&amp;E258&amp;IF(F258="Y","-GW","")&amp;"-"&amp;AA258)</f>
        <v/>
      </c>
      <c r="B258" s="10" t="str">
        <f aca="false">IF(C258="","",C258&amp;", H = "&amp;TEXT(D258,"0.0")&amp;" m, q = "&amp;E258&amp;" kPa"&amp;IF(F258="Y",", with GWT","")&amp;", "&amp;H258)</f>
        <v/>
      </c>
      <c r="C258" s="9"/>
      <c r="D258" s="41"/>
      <c r="E258" s="40"/>
      <c r="F258" s="9"/>
      <c r="G258" s="40"/>
      <c r="H258" s="9"/>
      <c r="I258" s="40"/>
      <c r="J258" s="43"/>
      <c r="K258" s="40"/>
      <c r="L258" s="40"/>
      <c r="M258" s="40"/>
      <c r="N258" s="40"/>
      <c r="O258" s="40"/>
      <c r="P258" s="40"/>
      <c r="Q258" s="9"/>
      <c r="R258" s="9"/>
      <c r="S258" s="40"/>
      <c r="T258" s="9"/>
      <c r="U258" s="9"/>
      <c r="V258" s="9"/>
      <c r="W258" s="41"/>
      <c r="X258" s="41"/>
      <c r="Y258" s="40"/>
      <c r="Z258" s="9"/>
      <c r="AA258" s="9"/>
      <c r="AB258" s="9"/>
      <c r="AC258" s="9"/>
      <c r="AD258" s="9"/>
      <c r="AE258" s="9"/>
      <c r="AF258" s="10" t="str">
        <f aca="false">IF(A258="","",SG_Criteria!$B$6&amp;SG_Criteria!$B$8&amp;"\"&amp;A258&amp;"\")</f>
        <v/>
      </c>
      <c r="AG258" s="10" t="str">
        <f aca="false">IF(A258="","",A258&amp;"_CAD.dwg")</f>
        <v/>
      </c>
      <c r="AH258" s="10" t="str">
        <f aca="false">IF(A258="","",A258&amp;"_DWG.pdf")</f>
        <v/>
      </c>
      <c r="AI258" s="10" t="str">
        <f aca="false">IF(A258="","",IF(AE258="Y",A258&amp;"_STAAD.std","n/a"))</f>
        <v/>
      </c>
      <c r="AJ258" s="10" t="str">
        <f aca="false">IF(A258="","",A258&amp;"_CALC.xlsx")</f>
        <v/>
      </c>
      <c r="AK258" s="10" t="str">
        <f aca="false">IF(A258="","",A258&amp;"_CALC.pdf")</f>
        <v/>
      </c>
      <c r="AL258" s="9"/>
      <c r="AM258" s="9"/>
      <c r="AN258" s="41"/>
      <c r="AO258" s="41"/>
      <c r="AP258" s="41"/>
      <c r="AQ258" s="41"/>
      <c r="AR258" s="41"/>
      <c r="AS258" s="38" t="str">
        <f aca="false">IF(OR(C258="",D258=""),"",IF(D258&lt;=IF(OR(C258="Block / Segmental",C258="Gabion",C258="Reinforced Earth (MSE)"),SG_Criteria!$B$34,SG_Criteria!$B$33),"No ERSS submission",IF(D258&lt;=SG_Criteria!$B$35,"QP(ST)",IF(D258&lt;=SG_Criteria!$B$36,"QP(ST) + AC","Geotechnical building works: QP(Geo) + AC"))))</f>
        <v/>
      </c>
      <c r="AT258" s="38" t="str">
        <f aca="false">IF(C258="","",IF(LEN(IF(AND(R258&lt;&gt;"",IFERROR(VALUE(MID(R258,2,2)),0)&lt;SG_Criteria!$B$19),"FAIL: grade below C"&amp;SG_Criteria!$B$19&amp;". ","")&amp;IF(AND(S258&lt;&gt;"",S258&lt;SG_Criteria!$B$20),"FAIL: cover &lt; "&amp;SG_Criteria!$B$20&amp;" mm. ","")&amp;IF(AND(W258&lt;&gt;"",W258&lt;1),"FAIL: sliding. ","")&amp;IF(AND(C258="Reverse L-Wall (toe only, at boundary)",N(O258)&gt;0),"NOTE: reverse L-wall should have no heel. ","")&amp;IF(AND(C258="L-Wall (heel only)",N(N258)&gt;0),"NOTE: L-wall should have no toe. ","")&amp;IF(AND(E258&lt;&gt;"",E258&lt;SG_Criteria!$B$31),"NOTE: q below LTA min "&amp;SG_Criteria!$B$31&amp;" kPa (not for LTA works). ",""))=0,"OK",IF(AND(R258&lt;&gt;"",IFERROR(VALUE(MID(R258,2,2)),0)&lt;SG_Criteria!$B$19),"FAIL: grade below C"&amp;SG_Criteria!$B$19&amp;". ","")&amp;IF(AND(S258&lt;&gt;"",S258&lt;SG_Criteria!$B$20),"FAIL: cover &lt; "&amp;SG_Criteria!$B$20&amp;" mm. ","")&amp;IF(AND(W258&lt;&gt;"",W258&lt;1),"FAIL: sliding. ","")&amp;IF(AND(C258="Reverse L-Wall (toe only, at boundary)",N(O258)&gt;0),"NOTE: reverse L-wall should have no heel. ","")&amp;IF(AND(C258="L-Wall (heel only)",N(N258)&gt;0),"NOTE: L-wall should have no toe. ","")&amp;IF(AND(E258&lt;&gt;"",E258&lt;SG_Criteria!$B$31),"NOTE: q below LTA min "&amp;SG_Criteria!$B$31&amp;" kPa (not for LTA works). ","")))</f>
        <v/>
      </c>
      <c r="AU258" s="9"/>
      <c r="AV258" s="9"/>
      <c r="AW258" s="9"/>
      <c r="AX258" s="9"/>
      <c r="AY258" s="9"/>
      <c r="AZ258" s="31"/>
      <c r="BA258" s="10" t="str">
        <f aca="false">IF(C258="","",IF(AND(AB258="Approved",ISERROR(SEARCH("FAIL",AT258))),"Y","N"))</f>
        <v/>
      </c>
      <c r="BB258" s="10" t="str">
        <f aca="false">IF(C258="","",C258&amp;"|"&amp;D258&amp;"|"&amp;E258&amp;"|"&amp;F258&amp;"|"&amp;BA258)</f>
        <v/>
      </c>
    </row>
    <row r="259" customFormat="false" ht="15" hidden="false" customHeight="false" outlineLevel="0" collapsed="false">
      <c r="A259" s="10" t="str">
        <f aca="false">IF(C259="","","RW-"&amp;IFERROR(VLOOKUP(C259,Lists!$M$4:$N$22,2,0),"??")&amp;"-H"&amp;TEXT(D259*1000,"0000")&amp;"-S"&amp;E259&amp;IF(F259="Y","-GW","")&amp;"-"&amp;AA259)</f>
        <v/>
      </c>
      <c r="B259" s="10" t="str">
        <f aca="false">IF(C259="","",C259&amp;", H = "&amp;TEXT(D259,"0.0")&amp;" m, q = "&amp;E259&amp;" kPa"&amp;IF(F259="Y",", with GWT","")&amp;", "&amp;H259)</f>
        <v/>
      </c>
      <c r="C259" s="9"/>
      <c r="D259" s="41"/>
      <c r="E259" s="40"/>
      <c r="F259" s="9"/>
      <c r="G259" s="40"/>
      <c r="H259" s="9"/>
      <c r="I259" s="40"/>
      <c r="J259" s="43"/>
      <c r="K259" s="40"/>
      <c r="L259" s="40"/>
      <c r="M259" s="40"/>
      <c r="N259" s="40"/>
      <c r="O259" s="40"/>
      <c r="P259" s="40"/>
      <c r="Q259" s="9"/>
      <c r="R259" s="9"/>
      <c r="S259" s="40"/>
      <c r="T259" s="9"/>
      <c r="U259" s="9"/>
      <c r="V259" s="9"/>
      <c r="W259" s="41"/>
      <c r="X259" s="41"/>
      <c r="Y259" s="40"/>
      <c r="Z259" s="9"/>
      <c r="AA259" s="9"/>
      <c r="AB259" s="9"/>
      <c r="AC259" s="9"/>
      <c r="AD259" s="9"/>
      <c r="AE259" s="9"/>
      <c r="AF259" s="10" t="str">
        <f aca="false">IF(A259="","",SG_Criteria!$B$6&amp;SG_Criteria!$B$8&amp;"\"&amp;A259&amp;"\")</f>
        <v/>
      </c>
      <c r="AG259" s="10" t="str">
        <f aca="false">IF(A259="","",A259&amp;"_CAD.dwg")</f>
        <v/>
      </c>
      <c r="AH259" s="10" t="str">
        <f aca="false">IF(A259="","",A259&amp;"_DWG.pdf")</f>
        <v/>
      </c>
      <c r="AI259" s="10" t="str">
        <f aca="false">IF(A259="","",IF(AE259="Y",A259&amp;"_STAAD.std","n/a"))</f>
        <v/>
      </c>
      <c r="AJ259" s="10" t="str">
        <f aca="false">IF(A259="","",A259&amp;"_CALC.xlsx")</f>
        <v/>
      </c>
      <c r="AK259" s="10" t="str">
        <f aca="false">IF(A259="","",A259&amp;"_CALC.pdf")</f>
        <v/>
      </c>
      <c r="AL259" s="9"/>
      <c r="AM259" s="9"/>
      <c r="AN259" s="41"/>
      <c r="AO259" s="41"/>
      <c r="AP259" s="41"/>
      <c r="AQ259" s="41"/>
      <c r="AR259" s="41"/>
      <c r="AS259" s="38" t="str">
        <f aca="false">IF(OR(C259="",D259=""),"",IF(D259&lt;=IF(OR(C259="Block / Segmental",C259="Gabion",C259="Reinforced Earth (MSE)"),SG_Criteria!$B$34,SG_Criteria!$B$33),"No ERSS submission",IF(D259&lt;=SG_Criteria!$B$35,"QP(ST)",IF(D259&lt;=SG_Criteria!$B$36,"QP(ST) + AC","Geotechnical building works: QP(Geo) + AC"))))</f>
        <v/>
      </c>
      <c r="AT259" s="38" t="str">
        <f aca="false">IF(C259="","",IF(LEN(IF(AND(R259&lt;&gt;"",IFERROR(VALUE(MID(R259,2,2)),0)&lt;SG_Criteria!$B$19),"FAIL: grade below C"&amp;SG_Criteria!$B$19&amp;". ","")&amp;IF(AND(S259&lt;&gt;"",S259&lt;SG_Criteria!$B$20),"FAIL: cover &lt; "&amp;SG_Criteria!$B$20&amp;" mm. ","")&amp;IF(AND(W259&lt;&gt;"",W259&lt;1),"FAIL: sliding. ","")&amp;IF(AND(C259="Reverse L-Wall (toe only, at boundary)",N(O259)&gt;0),"NOTE: reverse L-wall should have no heel. ","")&amp;IF(AND(C259="L-Wall (heel only)",N(N259)&gt;0),"NOTE: L-wall should have no toe. ","")&amp;IF(AND(E259&lt;&gt;"",E259&lt;SG_Criteria!$B$31),"NOTE: q below LTA min "&amp;SG_Criteria!$B$31&amp;" kPa (not for LTA works). ",""))=0,"OK",IF(AND(R259&lt;&gt;"",IFERROR(VALUE(MID(R259,2,2)),0)&lt;SG_Criteria!$B$19),"FAIL: grade below C"&amp;SG_Criteria!$B$19&amp;". ","")&amp;IF(AND(S259&lt;&gt;"",S259&lt;SG_Criteria!$B$20),"FAIL: cover &lt; "&amp;SG_Criteria!$B$20&amp;" mm. ","")&amp;IF(AND(W259&lt;&gt;"",W259&lt;1),"FAIL: sliding. ","")&amp;IF(AND(C259="Reverse L-Wall (toe only, at boundary)",N(O259)&gt;0),"NOTE: reverse L-wall should have no heel. ","")&amp;IF(AND(C259="L-Wall (heel only)",N(N259)&gt;0),"NOTE: L-wall should have no toe. ","")&amp;IF(AND(E259&lt;&gt;"",E259&lt;SG_Criteria!$B$31),"NOTE: q below LTA min "&amp;SG_Criteria!$B$31&amp;" kPa (not for LTA works). ","")))</f>
        <v/>
      </c>
      <c r="AU259" s="9"/>
      <c r="AV259" s="9"/>
      <c r="AW259" s="9"/>
      <c r="AX259" s="9"/>
      <c r="AY259" s="9"/>
      <c r="AZ259" s="31"/>
      <c r="BA259" s="10" t="str">
        <f aca="false">IF(C259="","",IF(AND(AB259="Approved",ISERROR(SEARCH("FAIL",AT259))),"Y","N"))</f>
        <v/>
      </c>
      <c r="BB259" s="10" t="str">
        <f aca="false">IF(C259="","",C259&amp;"|"&amp;D259&amp;"|"&amp;E259&amp;"|"&amp;F259&amp;"|"&amp;BA259)</f>
        <v/>
      </c>
    </row>
    <row r="260" customFormat="false" ht="15" hidden="false" customHeight="false" outlineLevel="0" collapsed="false">
      <c r="A260" s="10" t="str">
        <f aca="false">IF(C260="","","RW-"&amp;IFERROR(VLOOKUP(C260,Lists!$M$4:$N$22,2,0),"??")&amp;"-H"&amp;TEXT(D260*1000,"0000")&amp;"-S"&amp;E260&amp;IF(F260="Y","-GW","")&amp;"-"&amp;AA260)</f>
        <v/>
      </c>
      <c r="B260" s="10" t="str">
        <f aca="false">IF(C260="","",C260&amp;", H = "&amp;TEXT(D260,"0.0")&amp;" m, q = "&amp;E260&amp;" kPa"&amp;IF(F260="Y",", with GWT","")&amp;", "&amp;H260)</f>
        <v/>
      </c>
      <c r="C260" s="9"/>
      <c r="D260" s="41"/>
      <c r="E260" s="40"/>
      <c r="F260" s="9"/>
      <c r="G260" s="40"/>
      <c r="H260" s="9"/>
      <c r="I260" s="40"/>
      <c r="J260" s="43"/>
      <c r="K260" s="40"/>
      <c r="L260" s="40"/>
      <c r="M260" s="40"/>
      <c r="N260" s="40"/>
      <c r="O260" s="40"/>
      <c r="P260" s="40"/>
      <c r="Q260" s="9"/>
      <c r="R260" s="9"/>
      <c r="S260" s="40"/>
      <c r="T260" s="9"/>
      <c r="U260" s="9"/>
      <c r="V260" s="9"/>
      <c r="W260" s="41"/>
      <c r="X260" s="41"/>
      <c r="Y260" s="40"/>
      <c r="Z260" s="9"/>
      <c r="AA260" s="9"/>
      <c r="AB260" s="9"/>
      <c r="AC260" s="9"/>
      <c r="AD260" s="9"/>
      <c r="AE260" s="9"/>
      <c r="AF260" s="10" t="str">
        <f aca="false">IF(A260="","",SG_Criteria!$B$6&amp;SG_Criteria!$B$8&amp;"\"&amp;A260&amp;"\")</f>
        <v/>
      </c>
      <c r="AG260" s="10" t="str">
        <f aca="false">IF(A260="","",A260&amp;"_CAD.dwg")</f>
        <v/>
      </c>
      <c r="AH260" s="10" t="str">
        <f aca="false">IF(A260="","",A260&amp;"_DWG.pdf")</f>
        <v/>
      </c>
      <c r="AI260" s="10" t="str">
        <f aca="false">IF(A260="","",IF(AE260="Y",A260&amp;"_STAAD.std","n/a"))</f>
        <v/>
      </c>
      <c r="AJ260" s="10" t="str">
        <f aca="false">IF(A260="","",A260&amp;"_CALC.xlsx")</f>
        <v/>
      </c>
      <c r="AK260" s="10" t="str">
        <f aca="false">IF(A260="","",A260&amp;"_CALC.pdf")</f>
        <v/>
      </c>
      <c r="AL260" s="9"/>
      <c r="AM260" s="9"/>
      <c r="AN260" s="41"/>
      <c r="AO260" s="41"/>
      <c r="AP260" s="41"/>
      <c r="AQ260" s="41"/>
      <c r="AR260" s="41"/>
      <c r="AS260" s="38" t="str">
        <f aca="false">IF(OR(C260="",D260=""),"",IF(D260&lt;=IF(OR(C260="Block / Segmental",C260="Gabion",C260="Reinforced Earth (MSE)"),SG_Criteria!$B$34,SG_Criteria!$B$33),"No ERSS submission",IF(D260&lt;=SG_Criteria!$B$35,"QP(ST)",IF(D260&lt;=SG_Criteria!$B$36,"QP(ST) + AC","Geotechnical building works: QP(Geo) + AC"))))</f>
        <v/>
      </c>
      <c r="AT260" s="38" t="str">
        <f aca="false">IF(C260="","",IF(LEN(IF(AND(R260&lt;&gt;"",IFERROR(VALUE(MID(R260,2,2)),0)&lt;SG_Criteria!$B$19),"FAIL: grade below C"&amp;SG_Criteria!$B$19&amp;". ","")&amp;IF(AND(S260&lt;&gt;"",S260&lt;SG_Criteria!$B$20),"FAIL: cover &lt; "&amp;SG_Criteria!$B$20&amp;" mm. ","")&amp;IF(AND(W260&lt;&gt;"",W260&lt;1),"FAIL: sliding. ","")&amp;IF(AND(C260="Reverse L-Wall (toe only, at boundary)",N(O260)&gt;0),"NOTE: reverse L-wall should have no heel. ","")&amp;IF(AND(C260="L-Wall (heel only)",N(N260)&gt;0),"NOTE: L-wall should have no toe. ","")&amp;IF(AND(E260&lt;&gt;"",E260&lt;SG_Criteria!$B$31),"NOTE: q below LTA min "&amp;SG_Criteria!$B$31&amp;" kPa (not for LTA works). ",""))=0,"OK",IF(AND(R260&lt;&gt;"",IFERROR(VALUE(MID(R260,2,2)),0)&lt;SG_Criteria!$B$19),"FAIL: grade below C"&amp;SG_Criteria!$B$19&amp;". ","")&amp;IF(AND(S260&lt;&gt;"",S260&lt;SG_Criteria!$B$20),"FAIL: cover &lt; "&amp;SG_Criteria!$B$20&amp;" mm. ","")&amp;IF(AND(W260&lt;&gt;"",W260&lt;1),"FAIL: sliding. ","")&amp;IF(AND(C260="Reverse L-Wall (toe only, at boundary)",N(O260)&gt;0),"NOTE: reverse L-wall should have no heel. ","")&amp;IF(AND(C260="L-Wall (heel only)",N(N260)&gt;0),"NOTE: L-wall should have no toe. ","")&amp;IF(AND(E260&lt;&gt;"",E260&lt;SG_Criteria!$B$31),"NOTE: q below LTA min "&amp;SG_Criteria!$B$31&amp;" kPa (not for LTA works). ","")))</f>
        <v/>
      </c>
      <c r="AU260" s="9"/>
      <c r="AV260" s="9"/>
      <c r="AW260" s="9"/>
      <c r="AX260" s="9"/>
      <c r="AY260" s="9"/>
      <c r="AZ260" s="31"/>
      <c r="BA260" s="10" t="str">
        <f aca="false">IF(C260="","",IF(AND(AB260="Approved",ISERROR(SEARCH("FAIL",AT260))),"Y","N"))</f>
        <v/>
      </c>
      <c r="BB260" s="10" t="str">
        <f aca="false">IF(C260="","",C260&amp;"|"&amp;D260&amp;"|"&amp;E260&amp;"|"&amp;F260&amp;"|"&amp;BA260)</f>
        <v/>
      </c>
    </row>
    <row r="261" customFormat="false" ht="15" hidden="false" customHeight="false" outlineLevel="0" collapsed="false">
      <c r="A261" s="10" t="str">
        <f aca="false">IF(C261="","","RW-"&amp;IFERROR(VLOOKUP(C261,Lists!$M$4:$N$22,2,0),"??")&amp;"-H"&amp;TEXT(D261*1000,"0000")&amp;"-S"&amp;E261&amp;IF(F261="Y","-GW","")&amp;"-"&amp;AA261)</f>
        <v/>
      </c>
      <c r="B261" s="10" t="str">
        <f aca="false">IF(C261="","",C261&amp;", H = "&amp;TEXT(D261,"0.0")&amp;" m, q = "&amp;E261&amp;" kPa"&amp;IF(F261="Y",", with GWT","")&amp;", "&amp;H261)</f>
        <v/>
      </c>
      <c r="C261" s="9"/>
      <c r="D261" s="41"/>
      <c r="E261" s="40"/>
      <c r="F261" s="9"/>
      <c r="G261" s="40"/>
      <c r="H261" s="9"/>
      <c r="I261" s="40"/>
      <c r="J261" s="43"/>
      <c r="K261" s="40"/>
      <c r="L261" s="40"/>
      <c r="M261" s="40"/>
      <c r="N261" s="40"/>
      <c r="O261" s="40"/>
      <c r="P261" s="40"/>
      <c r="Q261" s="9"/>
      <c r="R261" s="9"/>
      <c r="S261" s="40"/>
      <c r="T261" s="9"/>
      <c r="U261" s="9"/>
      <c r="V261" s="9"/>
      <c r="W261" s="41"/>
      <c r="X261" s="41"/>
      <c r="Y261" s="40"/>
      <c r="Z261" s="9"/>
      <c r="AA261" s="9"/>
      <c r="AB261" s="9"/>
      <c r="AC261" s="9"/>
      <c r="AD261" s="9"/>
      <c r="AE261" s="9"/>
      <c r="AF261" s="10" t="str">
        <f aca="false">IF(A261="","",SG_Criteria!$B$6&amp;SG_Criteria!$B$8&amp;"\"&amp;A261&amp;"\")</f>
        <v/>
      </c>
      <c r="AG261" s="10" t="str">
        <f aca="false">IF(A261="","",A261&amp;"_CAD.dwg")</f>
        <v/>
      </c>
      <c r="AH261" s="10" t="str">
        <f aca="false">IF(A261="","",A261&amp;"_DWG.pdf")</f>
        <v/>
      </c>
      <c r="AI261" s="10" t="str">
        <f aca="false">IF(A261="","",IF(AE261="Y",A261&amp;"_STAAD.std","n/a"))</f>
        <v/>
      </c>
      <c r="AJ261" s="10" t="str">
        <f aca="false">IF(A261="","",A261&amp;"_CALC.xlsx")</f>
        <v/>
      </c>
      <c r="AK261" s="10" t="str">
        <f aca="false">IF(A261="","",A261&amp;"_CALC.pdf")</f>
        <v/>
      </c>
      <c r="AL261" s="9"/>
      <c r="AM261" s="9"/>
      <c r="AN261" s="41"/>
      <c r="AO261" s="41"/>
      <c r="AP261" s="41"/>
      <c r="AQ261" s="41"/>
      <c r="AR261" s="41"/>
      <c r="AS261" s="38" t="str">
        <f aca="false">IF(OR(C261="",D261=""),"",IF(D261&lt;=IF(OR(C261="Block / Segmental",C261="Gabion",C261="Reinforced Earth (MSE)"),SG_Criteria!$B$34,SG_Criteria!$B$33),"No ERSS submission",IF(D261&lt;=SG_Criteria!$B$35,"QP(ST)",IF(D261&lt;=SG_Criteria!$B$36,"QP(ST) + AC","Geotechnical building works: QP(Geo) + AC"))))</f>
        <v/>
      </c>
      <c r="AT261" s="38" t="str">
        <f aca="false">IF(C261="","",IF(LEN(IF(AND(R261&lt;&gt;"",IFERROR(VALUE(MID(R261,2,2)),0)&lt;SG_Criteria!$B$19),"FAIL: grade below C"&amp;SG_Criteria!$B$19&amp;". ","")&amp;IF(AND(S261&lt;&gt;"",S261&lt;SG_Criteria!$B$20),"FAIL: cover &lt; "&amp;SG_Criteria!$B$20&amp;" mm. ","")&amp;IF(AND(W261&lt;&gt;"",W261&lt;1),"FAIL: sliding. ","")&amp;IF(AND(C261="Reverse L-Wall (toe only, at boundary)",N(O261)&gt;0),"NOTE: reverse L-wall should have no heel. ","")&amp;IF(AND(C261="L-Wall (heel only)",N(N261)&gt;0),"NOTE: L-wall should have no toe. ","")&amp;IF(AND(E261&lt;&gt;"",E261&lt;SG_Criteria!$B$31),"NOTE: q below LTA min "&amp;SG_Criteria!$B$31&amp;" kPa (not for LTA works). ",""))=0,"OK",IF(AND(R261&lt;&gt;"",IFERROR(VALUE(MID(R261,2,2)),0)&lt;SG_Criteria!$B$19),"FAIL: grade below C"&amp;SG_Criteria!$B$19&amp;". ","")&amp;IF(AND(S261&lt;&gt;"",S261&lt;SG_Criteria!$B$20),"FAIL: cover &lt; "&amp;SG_Criteria!$B$20&amp;" mm. ","")&amp;IF(AND(W261&lt;&gt;"",W261&lt;1),"FAIL: sliding. ","")&amp;IF(AND(C261="Reverse L-Wall (toe only, at boundary)",N(O261)&gt;0),"NOTE: reverse L-wall should have no heel. ","")&amp;IF(AND(C261="L-Wall (heel only)",N(N261)&gt;0),"NOTE: L-wall should have no toe. ","")&amp;IF(AND(E261&lt;&gt;"",E261&lt;SG_Criteria!$B$31),"NOTE: q below LTA min "&amp;SG_Criteria!$B$31&amp;" kPa (not for LTA works). ","")))</f>
        <v/>
      </c>
      <c r="AU261" s="9"/>
      <c r="AV261" s="9"/>
      <c r="AW261" s="9"/>
      <c r="AX261" s="9"/>
      <c r="AY261" s="9"/>
      <c r="AZ261" s="31"/>
      <c r="BA261" s="10" t="str">
        <f aca="false">IF(C261="","",IF(AND(AB261="Approved",ISERROR(SEARCH("FAIL",AT261))),"Y","N"))</f>
        <v/>
      </c>
      <c r="BB261" s="10" t="str">
        <f aca="false">IF(C261="","",C261&amp;"|"&amp;D261&amp;"|"&amp;E261&amp;"|"&amp;F261&amp;"|"&amp;BA261)</f>
        <v/>
      </c>
    </row>
    <row r="262" customFormat="false" ht="15" hidden="false" customHeight="false" outlineLevel="0" collapsed="false">
      <c r="A262" s="10" t="str">
        <f aca="false">IF(C262="","","RW-"&amp;IFERROR(VLOOKUP(C262,Lists!$M$4:$N$22,2,0),"??")&amp;"-H"&amp;TEXT(D262*1000,"0000")&amp;"-S"&amp;E262&amp;IF(F262="Y","-GW","")&amp;"-"&amp;AA262)</f>
        <v/>
      </c>
      <c r="B262" s="10" t="str">
        <f aca="false">IF(C262="","",C262&amp;", H = "&amp;TEXT(D262,"0.0")&amp;" m, q = "&amp;E262&amp;" kPa"&amp;IF(F262="Y",", with GWT","")&amp;", "&amp;H262)</f>
        <v/>
      </c>
      <c r="C262" s="9"/>
      <c r="D262" s="41"/>
      <c r="E262" s="40"/>
      <c r="F262" s="9"/>
      <c r="G262" s="40"/>
      <c r="H262" s="9"/>
      <c r="I262" s="40"/>
      <c r="J262" s="43"/>
      <c r="K262" s="40"/>
      <c r="L262" s="40"/>
      <c r="M262" s="40"/>
      <c r="N262" s="40"/>
      <c r="O262" s="40"/>
      <c r="P262" s="40"/>
      <c r="Q262" s="9"/>
      <c r="R262" s="9"/>
      <c r="S262" s="40"/>
      <c r="T262" s="9"/>
      <c r="U262" s="9"/>
      <c r="V262" s="9"/>
      <c r="W262" s="41"/>
      <c r="X262" s="41"/>
      <c r="Y262" s="40"/>
      <c r="Z262" s="9"/>
      <c r="AA262" s="9"/>
      <c r="AB262" s="9"/>
      <c r="AC262" s="9"/>
      <c r="AD262" s="9"/>
      <c r="AE262" s="9"/>
      <c r="AF262" s="10" t="str">
        <f aca="false">IF(A262="","",SG_Criteria!$B$6&amp;SG_Criteria!$B$8&amp;"\"&amp;A262&amp;"\")</f>
        <v/>
      </c>
      <c r="AG262" s="10" t="str">
        <f aca="false">IF(A262="","",A262&amp;"_CAD.dwg")</f>
        <v/>
      </c>
      <c r="AH262" s="10" t="str">
        <f aca="false">IF(A262="","",A262&amp;"_DWG.pdf")</f>
        <v/>
      </c>
      <c r="AI262" s="10" t="str">
        <f aca="false">IF(A262="","",IF(AE262="Y",A262&amp;"_STAAD.std","n/a"))</f>
        <v/>
      </c>
      <c r="AJ262" s="10" t="str">
        <f aca="false">IF(A262="","",A262&amp;"_CALC.xlsx")</f>
        <v/>
      </c>
      <c r="AK262" s="10" t="str">
        <f aca="false">IF(A262="","",A262&amp;"_CALC.pdf")</f>
        <v/>
      </c>
      <c r="AL262" s="9"/>
      <c r="AM262" s="9"/>
      <c r="AN262" s="41"/>
      <c r="AO262" s="41"/>
      <c r="AP262" s="41"/>
      <c r="AQ262" s="41"/>
      <c r="AR262" s="41"/>
      <c r="AS262" s="38" t="str">
        <f aca="false">IF(OR(C262="",D262=""),"",IF(D262&lt;=IF(OR(C262="Block / Segmental",C262="Gabion",C262="Reinforced Earth (MSE)"),SG_Criteria!$B$34,SG_Criteria!$B$33),"No ERSS submission",IF(D262&lt;=SG_Criteria!$B$35,"QP(ST)",IF(D262&lt;=SG_Criteria!$B$36,"QP(ST) + AC","Geotechnical building works: QP(Geo) + AC"))))</f>
        <v/>
      </c>
      <c r="AT262" s="38" t="str">
        <f aca="false">IF(C262="","",IF(LEN(IF(AND(R262&lt;&gt;"",IFERROR(VALUE(MID(R262,2,2)),0)&lt;SG_Criteria!$B$19),"FAIL: grade below C"&amp;SG_Criteria!$B$19&amp;". ","")&amp;IF(AND(S262&lt;&gt;"",S262&lt;SG_Criteria!$B$20),"FAIL: cover &lt; "&amp;SG_Criteria!$B$20&amp;" mm. ","")&amp;IF(AND(W262&lt;&gt;"",W262&lt;1),"FAIL: sliding. ","")&amp;IF(AND(C262="Reverse L-Wall (toe only, at boundary)",N(O262)&gt;0),"NOTE: reverse L-wall should have no heel. ","")&amp;IF(AND(C262="L-Wall (heel only)",N(N262)&gt;0),"NOTE: L-wall should have no toe. ","")&amp;IF(AND(E262&lt;&gt;"",E262&lt;SG_Criteria!$B$31),"NOTE: q below LTA min "&amp;SG_Criteria!$B$31&amp;" kPa (not for LTA works). ",""))=0,"OK",IF(AND(R262&lt;&gt;"",IFERROR(VALUE(MID(R262,2,2)),0)&lt;SG_Criteria!$B$19),"FAIL: grade below C"&amp;SG_Criteria!$B$19&amp;". ","")&amp;IF(AND(S262&lt;&gt;"",S262&lt;SG_Criteria!$B$20),"FAIL: cover &lt; "&amp;SG_Criteria!$B$20&amp;" mm. ","")&amp;IF(AND(W262&lt;&gt;"",W262&lt;1),"FAIL: sliding. ","")&amp;IF(AND(C262="Reverse L-Wall (toe only, at boundary)",N(O262)&gt;0),"NOTE: reverse L-wall should have no heel. ","")&amp;IF(AND(C262="L-Wall (heel only)",N(N262)&gt;0),"NOTE: L-wall should have no toe. ","")&amp;IF(AND(E262&lt;&gt;"",E262&lt;SG_Criteria!$B$31),"NOTE: q below LTA min "&amp;SG_Criteria!$B$31&amp;" kPa (not for LTA works). ","")))</f>
        <v/>
      </c>
      <c r="AU262" s="9"/>
      <c r="AV262" s="9"/>
      <c r="AW262" s="9"/>
      <c r="AX262" s="9"/>
      <c r="AY262" s="9"/>
      <c r="AZ262" s="31"/>
      <c r="BA262" s="10" t="str">
        <f aca="false">IF(C262="","",IF(AND(AB262="Approved",ISERROR(SEARCH("FAIL",AT262))),"Y","N"))</f>
        <v/>
      </c>
      <c r="BB262" s="10" t="str">
        <f aca="false">IF(C262="","",C262&amp;"|"&amp;D262&amp;"|"&amp;E262&amp;"|"&amp;F262&amp;"|"&amp;BA262)</f>
        <v/>
      </c>
    </row>
    <row r="263" customFormat="false" ht="15" hidden="false" customHeight="false" outlineLevel="0" collapsed="false">
      <c r="A263" s="10" t="str">
        <f aca="false">IF(C263="","","RW-"&amp;IFERROR(VLOOKUP(C263,Lists!$M$4:$N$22,2,0),"??")&amp;"-H"&amp;TEXT(D263*1000,"0000")&amp;"-S"&amp;E263&amp;IF(F263="Y","-GW","")&amp;"-"&amp;AA263)</f>
        <v/>
      </c>
      <c r="B263" s="10" t="str">
        <f aca="false">IF(C263="","",C263&amp;", H = "&amp;TEXT(D263,"0.0")&amp;" m, q = "&amp;E263&amp;" kPa"&amp;IF(F263="Y",", with GWT","")&amp;", "&amp;H263)</f>
        <v/>
      </c>
      <c r="C263" s="9"/>
      <c r="D263" s="41"/>
      <c r="E263" s="40"/>
      <c r="F263" s="9"/>
      <c r="G263" s="40"/>
      <c r="H263" s="9"/>
      <c r="I263" s="40"/>
      <c r="J263" s="43"/>
      <c r="K263" s="40"/>
      <c r="L263" s="40"/>
      <c r="M263" s="40"/>
      <c r="N263" s="40"/>
      <c r="O263" s="40"/>
      <c r="P263" s="40"/>
      <c r="Q263" s="9"/>
      <c r="R263" s="9"/>
      <c r="S263" s="40"/>
      <c r="T263" s="9"/>
      <c r="U263" s="9"/>
      <c r="V263" s="9"/>
      <c r="W263" s="41"/>
      <c r="X263" s="41"/>
      <c r="Y263" s="40"/>
      <c r="Z263" s="9"/>
      <c r="AA263" s="9"/>
      <c r="AB263" s="9"/>
      <c r="AC263" s="9"/>
      <c r="AD263" s="9"/>
      <c r="AE263" s="9"/>
      <c r="AF263" s="10" t="str">
        <f aca="false">IF(A263="","",SG_Criteria!$B$6&amp;SG_Criteria!$B$8&amp;"\"&amp;A263&amp;"\")</f>
        <v/>
      </c>
      <c r="AG263" s="10" t="str">
        <f aca="false">IF(A263="","",A263&amp;"_CAD.dwg")</f>
        <v/>
      </c>
      <c r="AH263" s="10" t="str">
        <f aca="false">IF(A263="","",A263&amp;"_DWG.pdf")</f>
        <v/>
      </c>
      <c r="AI263" s="10" t="str">
        <f aca="false">IF(A263="","",IF(AE263="Y",A263&amp;"_STAAD.std","n/a"))</f>
        <v/>
      </c>
      <c r="AJ263" s="10" t="str">
        <f aca="false">IF(A263="","",A263&amp;"_CALC.xlsx")</f>
        <v/>
      </c>
      <c r="AK263" s="10" t="str">
        <f aca="false">IF(A263="","",A263&amp;"_CALC.pdf")</f>
        <v/>
      </c>
      <c r="AL263" s="9"/>
      <c r="AM263" s="9"/>
      <c r="AN263" s="41"/>
      <c r="AO263" s="41"/>
      <c r="AP263" s="41"/>
      <c r="AQ263" s="41"/>
      <c r="AR263" s="41"/>
      <c r="AS263" s="38" t="str">
        <f aca="false">IF(OR(C263="",D263=""),"",IF(D263&lt;=IF(OR(C263="Block / Segmental",C263="Gabion",C263="Reinforced Earth (MSE)"),SG_Criteria!$B$34,SG_Criteria!$B$33),"No ERSS submission",IF(D263&lt;=SG_Criteria!$B$35,"QP(ST)",IF(D263&lt;=SG_Criteria!$B$36,"QP(ST) + AC","Geotechnical building works: QP(Geo) + AC"))))</f>
        <v/>
      </c>
      <c r="AT263" s="38" t="str">
        <f aca="false">IF(C263="","",IF(LEN(IF(AND(R263&lt;&gt;"",IFERROR(VALUE(MID(R263,2,2)),0)&lt;SG_Criteria!$B$19),"FAIL: grade below C"&amp;SG_Criteria!$B$19&amp;". ","")&amp;IF(AND(S263&lt;&gt;"",S263&lt;SG_Criteria!$B$20),"FAIL: cover &lt; "&amp;SG_Criteria!$B$20&amp;" mm. ","")&amp;IF(AND(W263&lt;&gt;"",W263&lt;1),"FAIL: sliding. ","")&amp;IF(AND(C263="Reverse L-Wall (toe only, at boundary)",N(O263)&gt;0),"NOTE: reverse L-wall should have no heel. ","")&amp;IF(AND(C263="L-Wall (heel only)",N(N263)&gt;0),"NOTE: L-wall should have no toe. ","")&amp;IF(AND(E263&lt;&gt;"",E263&lt;SG_Criteria!$B$31),"NOTE: q below LTA min "&amp;SG_Criteria!$B$31&amp;" kPa (not for LTA works). ",""))=0,"OK",IF(AND(R263&lt;&gt;"",IFERROR(VALUE(MID(R263,2,2)),0)&lt;SG_Criteria!$B$19),"FAIL: grade below C"&amp;SG_Criteria!$B$19&amp;". ","")&amp;IF(AND(S263&lt;&gt;"",S263&lt;SG_Criteria!$B$20),"FAIL: cover &lt; "&amp;SG_Criteria!$B$20&amp;" mm. ","")&amp;IF(AND(W263&lt;&gt;"",W263&lt;1),"FAIL: sliding. ","")&amp;IF(AND(C263="Reverse L-Wall (toe only, at boundary)",N(O263)&gt;0),"NOTE: reverse L-wall should have no heel. ","")&amp;IF(AND(C263="L-Wall (heel only)",N(N263)&gt;0),"NOTE: L-wall should have no toe. ","")&amp;IF(AND(E263&lt;&gt;"",E263&lt;SG_Criteria!$B$31),"NOTE: q below LTA min "&amp;SG_Criteria!$B$31&amp;" kPa (not for LTA works). ","")))</f>
        <v/>
      </c>
      <c r="AU263" s="9"/>
      <c r="AV263" s="9"/>
      <c r="AW263" s="9"/>
      <c r="AX263" s="9"/>
      <c r="AY263" s="9"/>
      <c r="AZ263" s="31"/>
      <c r="BA263" s="10" t="str">
        <f aca="false">IF(C263="","",IF(AND(AB263="Approved",ISERROR(SEARCH("FAIL",AT263))),"Y","N"))</f>
        <v/>
      </c>
      <c r="BB263" s="10" t="str">
        <f aca="false">IF(C263="","",C263&amp;"|"&amp;D263&amp;"|"&amp;E263&amp;"|"&amp;F263&amp;"|"&amp;BA263)</f>
        <v/>
      </c>
    </row>
    <row r="264" customFormat="false" ht="15" hidden="false" customHeight="false" outlineLevel="0" collapsed="false">
      <c r="A264" s="10" t="str">
        <f aca="false">IF(C264="","","RW-"&amp;IFERROR(VLOOKUP(C264,Lists!$M$4:$N$22,2,0),"??")&amp;"-H"&amp;TEXT(D264*1000,"0000")&amp;"-S"&amp;E264&amp;IF(F264="Y","-GW","")&amp;"-"&amp;AA264)</f>
        <v/>
      </c>
      <c r="B264" s="10" t="str">
        <f aca="false">IF(C264="","",C264&amp;", H = "&amp;TEXT(D264,"0.0")&amp;" m, q = "&amp;E264&amp;" kPa"&amp;IF(F264="Y",", with GWT","")&amp;", "&amp;H264)</f>
        <v/>
      </c>
      <c r="C264" s="9"/>
      <c r="D264" s="41"/>
      <c r="E264" s="40"/>
      <c r="F264" s="9"/>
      <c r="G264" s="40"/>
      <c r="H264" s="9"/>
      <c r="I264" s="40"/>
      <c r="J264" s="43"/>
      <c r="K264" s="40"/>
      <c r="L264" s="40"/>
      <c r="M264" s="40"/>
      <c r="N264" s="40"/>
      <c r="O264" s="40"/>
      <c r="P264" s="40"/>
      <c r="Q264" s="9"/>
      <c r="R264" s="9"/>
      <c r="S264" s="40"/>
      <c r="T264" s="9"/>
      <c r="U264" s="9"/>
      <c r="V264" s="9"/>
      <c r="W264" s="41"/>
      <c r="X264" s="41"/>
      <c r="Y264" s="40"/>
      <c r="Z264" s="9"/>
      <c r="AA264" s="9"/>
      <c r="AB264" s="9"/>
      <c r="AC264" s="9"/>
      <c r="AD264" s="9"/>
      <c r="AE264" s="9"/>
      <c r="AF264" s="10" t="str">
        <f aca="false">IF(A264="","",SG_Criteria!$B$6&amp;SG_Criteria!$B$8&amp;"\"&amp;A264&amp;"\")</f>
        <v/>
      </c>
      <c r="AG264" s="10" t="str">
        <f aca="false">IF(A264="","",A264&amp;"_CAD.dwg")</f>
        <v/>
      </c>
      <c r="AH264" s="10" t="str">
        <f aca="false">IF(A264="","",A264&amp;"_DWG.pdf")</f>
        <v/>
      </c>
      <c r="AI264" s="10" t="str">
        <f aca="false">IF(A264="","",IF(AE264="Y",A264&amp;"_STAAD.std","n/a"))</f>
        <v/>
      </c>
      <c r="AJ264" s="10" t="str">
        <f aca="false">IF(A264="","",A264&amp;"_CALC.xlsx")</f>
        <v/>
      </c>
      <c r="AK264" s="10" t="str">
        <f aca="false">IF(A264="","",A264&amp;"_CALC.pdf")</f>
        <v/>
      </c>
      <c r="AL264" s="9"/>
      <c r="AM264" s="9"/>
      <c r="AN264" s="41"/>
      <c r="AO264" s="41"/>
      <c r="AP264" s="41"/>
      <c r="AQ264" s="41"/>
      <c r="AR264" s="41"/>
      <c r="AS264" s="38" t="str">
        <f aca="false">IF(OR(C264="",D264=""),"",IF(D264&lt;=IF(OR(C264="Block / Segmental",C264="Gabion",C264="Reinforced Earth (MSE)"),SG_Criteria!$B$34,SG_Criteria!$B$33),"No ERSS submission",IF(D264&lt;=SG_Criteria!$B$35,"QP(ST)",IF(D264&lt;=SG_Criteria!$B$36,"QP(ST) + AC","Geotechnical building works: QP(Geo) + AC"))))</f>
        <v/>
      </c>
      <c r="AT264" s="38" t="str">
        <f aca="false">IF(C264="","",IF(LEN(IF(AND(R264&lt;&gt;"",IFERROR(VALUE(MID(R264,2,2)),0)&lt;SG_Criteria!$B$19),"FAIL: grade below C"&amp;SG_Criteria!$B$19&amp;". ","")&amp;IF(AND(S264&lt;&gt;"",S264&lt;SG_Criteria!$B$20),"FAIL: cover &lt; "&amp;SG_Criteria!$B$20&amp;" mm. ","")&amp;IF(AND(W264&lt;&gt;"",W264&lt;1),"FAIL: sliding. ","")&amp;IF(AND(C264="Reverse L-Wall (toe only, at boundary)",N(O264)&gt;0),"NOTE: reverse L-wall should have no heel. ","")&amp;IF(AND(C264="L-Wall (heel only)",N(N264)&gt;0),"NOTE: L-wall should have no toe. ","")&amp;IF(AND(E264&lt;&gt;"",E264&lt;SG_Criteria!$B$31),"NOTE: q below LTA min "&amp;SG_Criteria!$B$31&amp;" kPa (not for LTA works). ",""))=0,"OK",IF(AND(R264&lt;&gt;"",IFERROR(VALUE(MID(R264,2,2)),0)&lt;SG_Criteria!$B$19),"FAIL: grade below C"&amp;SG_Criteria!$B$19&amp;". ","")&amp;IF(AND(S264&lt;&gt;"",S264&lt;SG_Criteria!$B$20),"FAIL: cover &lt; "&amp;SG_Criteria!$B$20&amp;" mm. ","")&amp;IF(AND(W264&lt;&gt;"",W264&lt;1),"FAIL: sliding. ","")&amp;IF(AND(C264="Reverse L-Wall (toe only, at boundary)",N(O264)&gt;0),"NOTE: reverse L-wall should have no heel. ","")&amp;IF(AND(C264="L-Wall (heel only)",N(N264)&gt;0),"NOTE: L-wall should have no toe. ","")&amp;IF(AND(E264&lt;&gt;"",E264&lt;SG_Criteria!$B$31),"NOTE: q below LTA min "&amp;SG_Criteria!$B$31&amp;" kPa (not for LTA works). ","")))</f>
        <v/>
      </c>
      <c r="AU264" s="9"/>
      <c r="AV264" s="9"/>
      <c r="AW264" s="9"/>
      <c r="AX264" s="9"/>
      <c r="AY264" s="9"/>
      <c r="AZ264" s="31"/>
      <c r="BA264" s="10" t="str">
        <f aca="false">IF(C264="","",IF(AND(AB264="Approved",ISERROR(SEARCH("FAIL",AT264))),"Y","N"))</f>
        <v/>
      </c>
      <c r="BB264" s="10" t="str">
        <f aca="false">IF(C264="","",C264&amp;"|"&amp;D264&amp;"|"&amp;E264&amp;"|"&amp;F264&amp;"|"&amp;BA264)</f>
        <v/>
      </c>
    </row>
    <row r="265" customFormat="false" ht="15" hidden="false" customHeight="false" outlineLevel="0" collapsed="false">
      <c r="A265" s="10" t="str">
        <f aca="false">IF(C265="","","RW-"&amp;IFERROR(VLOOKUP(C265,Lists!$M$4:$N$22,2,0),"??")&amp;"-H"&amp;TEXT(D265*1000,"0000")&amp;"-S"&amp;E265&amp;IF(F265="Y","-GW","")&amp;"-"&amp;AA265)</f>
        <v/>
      </c>
      <c r="B265" s="10" t="str">
        <f aca="false">IF(C265="","",C265&amp;", H = "&amp;TEXT(D265,"0.0")&amp;" m, q = "&amp;E265&amp;" kPa"&amp;IF(F265="Y",", with GWT","")&amp;", "&amp;H265)</f>
        <v/>
      </c>
      <c r="C265" s="9"/>
      <c r="D265" s="41"/>
      <c r="E265" s="40"/>
      <c r="F265" s="9"/>
      <c r="G265" s="40"/>
      <c r="H265" s="9"/>
      <c r="I265" s="40"/>
      <c r="J265" s="43"/>
      <c r="K265" s="40"/>
      <c r="L265" s="40"/>
      <c r="M265" s="40"/>
      <c r="N265" s="40"/>
      <c r="O265" s="40"/>
      <c r="P265" s="40"/>
      <c r="Q265" s="9"/>
      <c r="R265" s="9"/>
      <c r="S265" s="40"/>
      <c r="T265" s="9"/>
      <c r="U265" s="9"/>
      <c r="V265" s="9"/>
      <c r="W265" s="41"/>
      <c r="X265" s="41"/>
      <c r="Y265" s="40"/>
      <c r="Z265" s="9"/>
      <c r="AA265" s="9"/>
      <c r="AB265" s="9"/>
      <c r="AC265" s="9"/>
      <c r="AD265" s="9"/>
      <c r="AE265" s="9"/>
      <c r="AF265" s="10" t="str">
        <f aca="false">IF(A265="","",SG_Criteria!$B$6&amp;SG_Criteria!$B$8&amp;"\"&amp;A265&amp;"\")</f>
        <v/>
      </c>
      <c r="AG265" s="10" t="str">
        <f aca="false">IF(A265="","",A265&amp;"_CAD.dwg")</f>
        <v/>
      </c>
      <c r="AH265" s="10" t="str">
        <f aca="false">IF(A265="","",A265&amp;"_DWG.pdf")</f>
        <v/>
      </c>
      <c r="AI265" s="10" t="str">
        <f aca="false">IF(A265="","",IF(AE265="Y",A265&amp;"_STAAD.std","n/a"))</f>
        <v/>
      </c>
      <c r="AJ265" s="10" t="str">
        <f aca="false">IF(A265="","",A265&amp;"_CALC.xlsx")</f>
        <v/>
      </c>
      <c r="AK265" s="10" t="str">
        <f aca="false">IF(A265="","",A265&amp;"_CALC.pdf")</f>
        <v/>
      </c>
      <c r="AL265" s="9"/>
      <c r="AM265" s="9"/>
      <c r="AN265" s="41"/>
      <c r="AO265" s="41"/>
      <c r="AP265" s="41"/>
      <c r="AQ265" s="41"/>
      <c r="AR265" s="41"/>
      <c r="AS265" s="38" t="str">
        <f aca="false">IF(OR(C265="",D265=""),"",IF(D265&lt;=IF(OR(C265="Block / Segmental",C265="Gabion",C265="Reinforced Earth (MSE)"),SG_Criteria!$B$34,SG_Criteria!$B$33),"No ERSS submission",IF(D265&lt;=SG_Criteria!$B$35,"QP(ST)",IF(D265&lt;=SG_Criteria!$B$36,"QP(ST) + AC","Geotechnical building works: QP(Geo) + AC"))))</f>
        <v/>
      </c>
      <c r="AT265" s="38" t="str">
        <f aca="false">IF(C265="","",IF(LEN(IF(AND(R265&lt;&gt;"",IFERROR(VALUE(MID(R265,2,2)),0)&lt;SG_Criteria!$B$19),"FAIL: grade below C"&amp;SG_Criteria!$B$19&amp;". ","")&amp;IF(AND(S265&lt;&gt;"",S265&lt;SG_Criteria!$B$20),"FAIL: cover &lt; "&amp;SG_Criteria!$B$20&amp;" mm. ","")&amp;IF(AND(W265&lt;&gt;"",W265&lt;1),"FAIL: sliding. ","")&amp;IF(AND(C265="Reverse L-Wall (toe only, at boundary)",N(O265)&gt;0),"NOTE: reverse L-wall should have no heel. ","")&amp;IF(AND(C265="L-Wall (heel only)",N(N265)&gt;0),"NOTE: L-wall should have no toe. ","")&amp;IF(AND(E265&lt;&gt;"",E265&lt;SG_Criteria!$B$31),"NOTE: q below LTA min "&amp;SG_Criteria!$B$31&amp;" kPa (not for LTA works). ",""))=0,"OK",IF(AND(R265&lt;&gt;"",IFERROR(VALUE(MID(R265,2,2)),0)&lt;SG_Criteria!$B$19),"FAIL: grade below C"&amp;SG_Criteria!$B$19&amp;". ","")&amp;IF(AND(S265&lt;&gt;"",S265&lt;SG_Criteria!$B$20),"FAIL: cover &lt; "&amp;SG_Criteria!$B$20&amp;" mm. ","")&amp;IF(AND(W265&lt;&gt;"",W265&lt;1),"FAIL: sliding. ","")&amp;IF(AND(C265="Reverse L-Wall (toe only, at boundary)",N(O265)&gt;0),"NOTE: reverse L-wall should have no heel. ","")&amp;IF(AND(C265="L-Wall (heel only)",N(N265)&gt;0),"NOTE: L-wall should have no toe. ","")&amp;IF(AND(E265&lt;&gt;"",E265&lt;SG_Criteria!$B$31),"NOTE: q below LTA min "&amp;SG_Criteria!$B$31&amp;" kPa (not for LTA works). ","")))</f>
        <v/>
      </c>
      <c r="AU265" s="9"/>
      <c r="AV265" s="9"/>
      <c r="AW265" s="9"/>
      <c r="AX265" s="9"/>
      <c r="AY265" s="9"/>
      <c r="AZ265" s="31"/>
      <c r="BA265" s="10" t="str">
        <f aca="false">IF(C265="","",IF(AND(AB265="Approved",ISERROR(SEARCH("FAIL",AT265))),"Y","N"))</f>
        <v/>
      </c>
      <c r="BB265" s="10" t="str">
        <f aca="false">IF(C265="","",C265&amp;"|"&amp;D265&amp;"|"&amp;E265&amp;"|"&amp;F265&amp;"|"&amp;BA265)</f>
        <v/>
      </c>
    </row>
    <row r="266" customFormat="false" ht="15" hidden="false" customHeight="false" outlineLevel="0" collapsed="false">
      <c r="A266" s="10" t="str">
        <f aca="false">IF(C266="","","RW-"&amp;IFERROR(VLOOKUP(C266,Lists!$M$4:$N$22,2,0),"??")&amp;"-H"&amp;TEXT(D266*1000,"0000")&amp;"-S"&amp;E266&amp;IF(F266="Y","-GW","")&amp;"-"&amp;AA266)</f>
        <v/>
      </c>
      <c r="B266" s="10" t="str">
        <f aca="false">IF(C266="","",C266&amp;", H = "&amp;TEXT(D266,"0.0")&amp;" m, q = "&amp;E266&amp;" kPa"&amp;IF(F266="Y",", with GWT","")&amp;", "&amp;H266)</f>
        <v/>
      </c>
      <c r="C266" s="9"/>
      <c r="D266" s="41"/>
      <c r="E266" s="40"/>
      <c r="F266" s="9"/>
      <c r="G266" s="40"/>
      <c r="H266" s="9"/>
      <c r="I266" s="40"/>
      <c r="J266" s="43"/>
      <c r="K266" s="40"/>
      <c r="L266" s="40"/>
      <c r="M266" s="40"/>
      <c r="N266" s="40"/>
      <c r="O266" s="40"/>
      <c r="P266" s="40"/>
      <c r="Q266" s="9"/>
      <c r="R266" s="9"/>
      <c r="S266" s="40"/>
      <c r="T266" s="9"/>
      <c r="U266" s="9"/>
      <c r="V266" s="9"/>
      <c r="W266" s="41"/>
      <c r="X266" s="41"/>
      <c r="Y266" s="40"/>
      <c r="Z266" s="9"/>
      <c r="AA266" s="9"/>
      <c r="AB266" s="9"/>
      <c r="AC266" s="9"/>
      <c r="AD266" s="9"/>
      <c r="AE266" s="9"/>
      <c r="AF266" s="10" t="str">
        <f aca="false">IF(A266="","",SG_Criteria!$B$6&amp;SG_Criteria!$B$8&amp;"\"&amp;A266&amp;"\")</f>
        <v/>
      </c>
      <c r="AG266" s="10" t="str">
        <f aca="false">IF(A266="","",A266&amp;"_CAD.dwg")</f>
        <v/>
      </c>
      <c r="AH266" s="10" t="str">
        <f aca="false">IF(A266="","",A266&amp;"_DWG.pdf")</f>
        <v/>
      </c>
      <c r="AI266" s="10" t="str">
        <f aca="false">IF(A266="","",IF(AE266="Y",A266&amp;"_STAAD.std","n/a"))</f>
        <v/>
      </c>
      <c r="AJ266" s="10" t="str">
        <f aca="false">IF(A266="","",A266&amp;"_CALC.xlsx")</f>
        <v/>
      </c>
      <c r="AK266" s="10" t="str">
        <f aca="false">IF(A266="","",A266&amp;"_CALC.pdf")</f>
        <v/>
      </c>
      <c r="AL266" s="9"/>
      <c r="AM266" s="9"/>
      <c r="AN266" s="41"/>
      <c r="AO266" s="41"/>
      <c r="AP266" s="41"/>
      <c r="AQ266" s="41"/>
      <c r="AR266" s="41"/>
      <c r="AS266" s="38" t="str">
        <f aca="false">IF(OR(C266="",D266=""),"",IF(D266&lt;=IF(OR(C266="Block / Segmental",C266="Gabion",C266="Reinforced Earth (MSE)"),SG_Criteria!$B$34,SG_Criteria!$B$33),"No ERSS submission",IF(D266&lt;=SG_Criteria!$B$35,"QP(ST)",IF(D266&lt;=SG_Criteria!$B$36,"QP(ST) + AC","Geotechnical building works: QP(Geo) + AC"))))</f>
        <v/>
      </c>
      <c r="AT266" s="38" t="str">
        <f aca="false">IF(C266="","",IF(LEN(IF(AND(R266&lt;&gt;"",IFERROR(VALUE(MID(R266,2,2)),0)&lt;SG_Criteria!$B$19),"FAIL: grade below C"&amp;SG_Criteria!$B$19&amp;". ","")&amp;IF(AND(S266&lt;&gt;"",S266&lt;SG_Criteria!$B$20),"FAIL: cover &lt; "&amp;SG_Criteria!$B$20&amp;" mm. ","")&amp;IF(AND(W266&lt;&gt;"",W266&lt;1),"FAIL: sliding. ","")&amp;IF(AND(C266="Reverse L-Wall (toe only, at boundary)",N(O266)&gt;0),"NOTE: reverse L-wall should have no heel. ","")&amp;IF(AND(C266="L-Wall (heel only)",N(N266)&gt;0),"NOTE: L-wall should have no toe. ","")&amp;IF(AND(E266&lt;&gt;"",E266&lt;SG_Criteria!$B$31),"NOTE: q below LTA min "&amp;SG_Criteria!$B$31&amp;" kPa (not for LTA works). ",""))=0,"OK",IF(AND(R266&lt;&gt;"",IFERROR(VALUE(MID(R266,2,2)),0)&lt;SG_Criteria!$B$19),"FAIL: grade below C"&amp;SG_Criteria!$B$19&amp;". ","")&amp;IF(AND(S266&lt;&gt;"",S266&lt;SG_Criteria!$B$20),"FAIL: cover &lt; "&amp;SG_Criteria!$B$20&amp;" mm. ","")&amp;IF(AND(W266&lt;&gt;"",W266&lt;1),"FAIL: sliding. ","")&amp;IF(AND(C266="Reverse L-Wall (toe only, at boundary)",N(O266)&gt;0),"NOTE: reverse L-wall should have no heel. ","")&amp;IF(AND(C266="L-Wall (heel only)",N(N266)&gt;0),"NOTE: L-wall should have no toe. ","")&amp;IF(AND(E266&lt;&gt;"",E266&lt;SG_Criteria!$B$31),"NOTE: q below LTA min "&amp;SG_Criteria!$B$31&amp;" kPa (not for LTA works). ","")))</f>
        <v/>
      </c>
      <c r="AU266" s="9"/>
      <c r="AV266" s="9"/>
      <c r="AW266" s="9"/>
      <c r="AX266" s="9"/>
      <c r="AY266" s="9"/>
      <c r="AZ266" s="31"/>
      <c r="BA266" s="10" t="str">
        <f aca="false">IF(C266="","",IF(AND(AB266="Approved",ISERROR(SEARCH("FAIL",AT266))),"Y","N"))</f>
        <v/>
      </c>
      <c r="BB266" s="10" t="str">
        <f aca="false">IF(C266="","",C266&amp;"|"&amp;D266&amp;"|"&amp;E266&amp;"|"&amp;F266&amp;"|"&amp;BA266)</f>
        <v/>
      </c>
    </row>
    <row r="267" customFormat="false" ht="15" hidden="false" customHeight="false" outlineLevel="0" collapsed="false">
      <c r="A267" s="10" t="str">
        <f aca="false">IF(C267="","","RW-"&amp;IFERROR(VLOOKUP(C267,Lists!$M$4:$N$22,2,0),"??")&amp;"-H"&amp;TEXT(D267*1000,"0000")&amp;"-S"&amp;E267&amp;IF(F267="Y","-GW","")&amp;"-"&amp;AA267)</f>
        <v/>
      </c>
      <c r="B267" s="10" t="str">
        <f aca="false">IF(C267="","",C267&amp;", H = "&amp;TEXT(D267,"0.0")&amp;" m, q = "&amp;E267&amp;" kPa"&amp;IF(F267="Y",", with GWT","")&amp;", "&amp;H267)</f>
        <v/>
      </c>
      <c r="C267" s="9"/>
      <c r="D267" s="41"/>
      <c r="E267" s="40"/>
      <c r="F267" s="9"/>
      <c r="G267" s="40"/>
      <c r="H267" s="9"/>
      <c r="I267" s="40"/>
      <c r="J267" s="43"/>
      <c r="K267" s="40"/>
      <c r="L267" s="40"/>
      <c r="M267" s="40"/>
      <c r="N267" s="40"/>
      <c r="O267" s="40"/>
      <c r="P267" s="40"/>
      <c r="Q267" s="9"/>
      <c r="R267" s="9"/>
      <c r="S267" s="40"/>
      <c r="T267" s="9"/>
      <c r="U267" s="9"/>
      <c r="V267" s="9"/>
      <c r="W267" s="41"/>
      <c r="X267" s="41"/>
      <c r="Y267" s="40"/>
      <c r="Z267" s="9"/>
      <c r="AA267" s="9"/>
      <c r="AB267" s="9"/>
      <c r="AC267" s="9"/>
      <c r="AD267" s="9"/>
      <c r="AE267" s="9"/>
      <c r="AF267" s="10" t="str">
        <f aca="false">IF(A267="","",SG_Criteria!$B$6&amp;SG_Criteria!$B$8&amp;"\"&amp;A267&amp;"\")</f>
        <v/>
      </c>
      <c r="AG267" s="10" t="str">
        <f aca="false">IF(A267="","",A267&amp;"_CAD.dwg")</f>
        <v/>
      </c>
      <c r="AH267" s="10" t="str">
        <f aca="false">IF(A267="","",A267&amp;"_DWG.pdf")</f>
        <v/>
      </c>
      <c r="AI267" s="10" t="str">
        <f aca="false">IF(A267="","",IF(AE267="Y",A267&amp;"_STAAD.std","n/a"))</f>
        <v/>
      </c>
      <c r="AJ267" s="10" t="str">
        <f aca="false">IF(A267="","",A267&amp;"_CALC.xlsx")</f>
        <v/>
      </c>
      <c r="AK267" s="10" t="str">
        <f aca="false">IF(A267="","",A267&amp;"_CALC.pdf")</f>
        <v/>
      </c>
      <c r="AL267" s="9"/>
      <c r="AM267" s="9"/>
      <c r="AN267" s="41"/>
      <c r="AO267" s="41"/>
      <c r="AP267" s="41"/>
      <c r="AQ267" s="41"/>
      <c r="AR267" s="41"/>
      <c r="AS267" s="38" t="str">
        <f aca="false">IF(OR(C267="",D267=""),"",IF(D267&lt;=IF(OR(C267="Block / Segmental",C267="Gabion",C267="Reinforced Earth (MSE)"),SG_Criteria!$B$34,SG_Criteria!$B$33),"No ERSS submission",IF(D267&lt;=SG_Criteria!$B$35,"QP(ST)",IF(D267&lt;=SG_Criteria!$B$36,"QP(ST) + AC","Geotechnical building works: QP(Geo) + AC"))))</f>
        <v/>
      </c>
      <c r="AT267" s="38" t="str">
        <f aca="false">IF(C267="","",IF(LEN(IF(AND(R267&lt;&gt;"",IFERROR(VALUE(MID(R267,2,2)),0)&lt;SG_Criteria!$B$19),"FAIL: grade below C"&amp;SG_Criteria!$B$19&amp;". ","")&amp;IF(AND(S267&lt;&gt;"",S267&lt;SG_Criteria!$B$20),"FAIL: cover &lt; "&amp;SG_Criteria!$B$20&amp;" mm. ","")&amp;IF(AND(W267&lt;&gt;"",W267&lt;1),"FAIL: sliding. ","")&amp;IF(AND(C267="Reverse L-Wall (toe only, at boundary)",N(O267)&gt;0),"NOTE: reverse L-wall should have no heel. ","")&amp;IF(AND(C267="L-Wall (heel only)",N(N267)&gt;0),"NOTE: L-wall should have no toe. ","")&amp;IF(AND(E267&lt;&gt;"",E267&lt;SG_Criteria!$B$31),"NOTE: q below LTA min "&amp;SG_Criteria!$B$31&amp;" kPa (not for LTA works). ",""))=0,"OK",IF(AND(R267&lt;&gt;"",IFERROR(VALUE(MID(R267,2,2)),0)&lt;SG_Criteria!$B$19),"FAIL: grade below C"&amp;SG_Criteria!$B$19&amp;". ","")&amp;IF(AND(S267&lt;&gt;"",S267&lt;SG_Criteria!$B$20),"FAIL: cover &lt; "&amp;SG_Criteria!$B$20&amp;" mm. ","")&amp;IF(AND(W267&lt;&gt;"",W267&lt;1),"FAIL: sliding. ","")&amp;IF(AND(C267="Reverse L-Wall (toe only, at boundary)",N(O267)&gt;0),"NOTE: reverse L-wall should have no heel. ","")&amp;IF(AND(C267="L-Wall (heel only)",N(N267)&gt;0),"NOTE: L-wall should have no toe. ","")&amp;IF(AND(E267&lt;&gt;"",E267&lt;SG_Criteria!$B$31),"NOTE: q below LTA min "&amp;SG_Criteria!$B$31&amp;" kPa (not for LTA works). ","")))</f>
        <v/>
      </c>
      <c r="AU267" s="9"/>
      <c r="AV267" s="9"/>
      <c r="AW267" s="9"/>
      <c r="AX267" s="9"/>
      <c r="AY267" s="9"/>
      <c r="AZ267" s="31"/>
      <c r="BA267" s="10" t="str">
        <f aca="false">IF(C267="","",IF(AND(AB267="Approved",ISERROR(SEARCH("FAIL",AT267))),"Y","N"))</f>
        <v/>
      </c>
      <c r="BB267" s="10" t="str">
        <f aca="false">IF(C267="","",C267&amp;"|"&amp;D267&amp;"|"&amp;E267&amp;"|"&amp;F267&amp;"|"&amp;BA267)</f>
        <v/>
      </c>
    </row>
    <row r="268" customFormat="false" ht="15" hidden="false" customHeight="false" outlineLevel="0" collapsed="false">
      <c r="A268" s="10" t="str">
        <f aca="false">IF(C268="","","RW-"&amp;IFERROR(VLOOKUP(C268,Lists!$M$4:$N$22,2,0),"??")&amp;"-H"&amp;TEXT(D268*1000,"0000")&amp;"-S"&amp;E268&amp;IF(F268="Y","-GW","")&amp;"-"&amp;AA268)</f>
        <v/>
      </c>
      <c r="B268" s="10" t="str">
        <f aca="false">IF(C268="","",C268&amp;", H = "&amp;TEXT(D268,"0.0")&amp;" m, q = "&amp;E268&amp;" kPa"&amp;IF(F268="Y",", with GWT","")&amp;", "&amp;H268)</f>
        <v/>
      </c>
      <c r="C268" s="9"/>
      <c r="D268" s="41"/>
      <c r="E268" s="40"/>
      <c r="F268" s="9"/>
      <c r="G268" s="40"/>
      <c r="H268" s="9"/>
      <c r="I268" s="40"/>
      <c r="J268" s="43"/>
      <c r="K268" s="40"/>
      <c r="L268" s="40"/>
      <c r="M268" s="40"/>
      <c r="N268" s="40"/>
      <c r="O268" s="40"/>
      <c r="P268" s="40"/>
      <c r="Q268" s="9"/>
      <c r="R268" s="9"/>
      <c r="S268" s="40"/>
      <c r="T268" s="9"/>
      <c r="U268" s="9"/>
      <c r="V268" s="9"/>
      <c r="W268" s="41"/>
      <c r="X268" s="41"/>
      <c r="Y268" s="40"/>
      <c r="Z268" s="9"/>
      <c r="AA268" s="9"/>
      <c r="AB268" s="9"/>
      <c r="AC268" s="9"/>
      <c r="AD268" s="9"/>
      <c r="AE268" s="9"/>
      <c r="AF268" s="10" t="str">
        <f aca="false">IF(A268="","",SG_Criteria!$B$6&amp;SG_Criteria!$B$8&amp;"\"&amp;A268&amp;"\")</f>
        <v/>
      </c>
      <c r="AG268" s="10" t="str">
        <f aca="false">IF(A268="","",A268&amp;"_CAD.dwg")</f>
        <v/>
      </c>
      <c r="AH268" s="10" t="str">
        <f aca="false">IF(A268="","",A268&amp;"_DWG.pdf")</f>
        <v/>
      </c>
      <c r="AI268" s="10" t="str">
        <f aca="false">IF(A268="","",IF(AE268="Y",A268&amp;"_STAAD.std","n/a"))</f>
        <v/>
      </c>
      <c r="AJ268" s="10" t="str">
        <f aca="false">IF(A268="","",A268&amp;"_CALC.xlsx")</f>
        <v/>
      </c>
      <c r="AK268" s="10" t="str">
        <f aca="false">IF(A268="","",A268&amp;"_CALC.pdf")</f>
        <v/>
      </c>
      <c r="AL268" s="9"/>
      <c r="AM268" s="9"/>
      <c r="AN268" s="41"/>
      <c r="AO268" s="41"/>
      <c r="AP268" s="41"/>
      <c r="AQ268" s="41"/>
      <c r="AR268" s="41"/>
      <c r="AS268" s="38" t="str">
        <f aca="false">IF(OR(C268="",D268=""),"",IF(D268&lt;=IF(OR(C268="Block / Segmental",C268="Gabion",C268="Reinforced Earth (MSE)"),SG_Criteria!$B$34,SG_Criteria!$B$33),"No ERSS submission",IF(D268&lt;=SG_Criteria!$B$35,"QP(ST)",IF(D268&lt;=SG_Criteria!$B$36,"QP(ST) + AC","Geotechnical building works: QP(Geo) + AC"))))</f>
        <v/>
      </c>
      <c r="AT268" s="38" t="str">
        <f aca="false">IF(C268="","",IF(LEN(IF(AND(R268&lt;&gt;"",IFERROR(VALUE(MID(R268,2,2)),0)&lt;SG_Criteria!$B$19),"FAIL: grade below C"&amp;SG_Criteria!$B$19&amp;". ","")&amp;IF(AND(S268&lt;&gt;"",S268&lt;SG_Criteria!$B$20),"FAIL: cover &lt; "&amp;SG_Criteria!$B$20&amp;" mm. ","")&amp;IF(AND(W268&lt;&gt;"",W268&lt;1),"FAIL: sliding. ","")&amp;IF(AND(C268="Reverse L-Wall (toe only, at boundary)",N(O268)&gt;0),"NOTE: reverse L-wall should have no heel. ","")&amp;IF(AND(C268="L-Wall (heel only)",N(N268)&gt;0),"NOTE: L-wall should have no toe. ","")&amp;IF(AND(E268&lt;&gt;"",E268&lt;SG_Criteria!$B$31),"NOTE: q below LTA min "&amp;SG_Criteria!$B$31&amp;" kPa (not for LTA works). ",""))=0,"OK",IF(AND(R268&lt;&gt;"",IFERROR(VALUE(MID(R268,2,2)),0)&lt;SG_Criteria!$B$19),"FAIL: grade below C"&amp;SG_Criteria!$B$19&amp;". ","")&amp;IF(AND(S268&lt;&gt;"",S268&lt;SG_Criteria!$B$20),"FAIL: cover &lt; "&amp;SG_Criteria!$B$20&amp;" mm. ","")&amp;IF(AND(W268&lt;&gt;"",W268&lt;1),"FAIL: sliding. ","")&amp;IF(AND(C268="Reverse L-Wall (toe only, at boundary)",N(O268)&gt;0),"NOTE: reverse L-wall should have no heel. ","")&amp;IF(AND(C268="L-Wall (heel only)",N(N268)&gt;0),"NOTE: L-wall should have no toe. ","")&amp;IF(AND(E268&lt;&gt;"",E268&lt;SG_Criteria!$B$31),"NOTE: q below LTA min "&amp;SG_Criteria!$B$31&amp;" kPa (not for LTA works). ","")))</f>
        <v/>
      </c>
      <c r="AU268" s="9"/>
      <c r="AV268" s="9"/>
      <c r="AW268" s="9"/>
      <c r="AX268" s="9"/>
      <c r="AY268" s="9"/>
      <c r="AZ268" s="31"/>
      <c r="BA268" s="10" t="str">
        <f aca="false">IF(C268="","",IF(AND(AB268="Approved",ISERROR(SEARCH("FAIL",AT268))),"Y","N"))</f>
        <v/>
      </c>
      <c r="BB268" s="10" t="str">
        <f aca="false">IF(C268="","",C268&amp;"|"&amp;D268&amp;"|"&amp;E268&amp;"|"&amp;F268&amp;"|"&amp;BA268)</f>
        <v/>
      </c>
    </row>
    <row r="269" customFormat="false" ht="15" hidden="false" customHeight="false" outlineLevel="0" collapsed="false">
      <c r="A269" s="10" t="str">
        <f aca="false">IF(C269="","","RW-"&amp;IFERROR(VLOOKUP(C269,Lists!$M$4:$N$22,2,0),"??")&amp;"-H"&amp;TEXT(D269*1000,"0000")&amp;"-S"&amp;E269&amp;IF(F269="Y","-GW","")&amp;"-"&amp;AA269)</f>
        <v/>
      </c>
      <c r="B269" s="10" t="str">
        <f aca="false">IF(C269="","",C269&amp;", H = "&amp;TEXT(D269,"0.0")&amp;" m, q = "&amp;E269&amp;" kPa"&amp;IF(F269="Y",", with GWT","")&amp;", "&amp;H269)</f>
        <v/>
      </c>
      <c r="C269" s="9"/>
      <c r="D269" s="41"/>
      <c r="E269" s="40"/>
      <c r="F269" s="9"/>
      <c r="G269" s="40"/>
      <c r="H269" s="9"/>
      <c r="I269" s="40"/>
      <c r="J269" s="43"/>
      <c r="K269" s="40"/>
      <c r="L269" s="40"/>
      <c r="M269" s="40"/>
      <c r="N269" s="40"/>
      <c r="O269" s="40"/>
      <c r="P269" s="40"/>
      <c r="Q269" s="9"/>
      <c r="R269" s="9"/>
      <c r="S269" s="40"/>
      <c r="T269" s="9"/>
      <c r="U269" s="9"/>
      <c r="V269" s="9"/>
      <c r="W269" s="41"/>
      <c r="X269" s="41"/>
      <c r="Y269" s="40"/>
      <c r="Z269" s="9"/>
      <c r="AA269" s="9"/>
      <c r="AB269" s="9"/>
      <c r="AC269" s="9"/>
      <c r="AD269" s="9"/>
      <c r="AE269" s="9"/>
      <c r="AF269" s="10" t="str">
        <f aca="false">IF(A269="","",SG_Criteria!$B$6&amp;SG_Criteria!$B$8&amp;"\"&amp;A269&amp;"\")</f>
        <v/>
      </c>
      <c r="AG269" s="10" t="str">
        <f aca="false">IF(A269="","",A269&amp;"_CAD.dwg")</f>
        <v/>
      </c>
      <c r="AH269" s="10" t="str">
        <f aca="false">IF(A269="","",A269&amp;"_DWG.pdf")</f>
        <v/>
      </c>
      <c r="AI269" s="10" t="str">
        <f aca="false">IF(A269="","",IF(AE269="Y",A269&amp;"_STAAD.std","n/a"))</f>
        <v/>
      </c>
      <c r="AJ269" s="10" t="str">
        <f aca="false">IF(A269="","",A269&amp;"_CALC.xlsx")</f>
        <v/>
      </c>
      <c r="AK269" s="10" t="str">
        <f aca="false">IF(A269="","",A269&amp;"_CALC.pdf")</f>
        <v/>
      </c>
      <c r="AL269" s="9"/>
      <c r="AM269" s="9"/>
      <c r="AN269" s="41"/>
      <c r="AO269" s="41"/>
      <c r="AP269" s="41"/>
      <c r="AQ269" s="41"/>
      <c r="AR269" s="41"/>
      <c r="AS269" s="38" t="str">
        <f aca="false">IF(OR(C269="",D269=""),"",IF(D269&lt;=IF(OR(C269="Block / Segmental",C269="Gabion",C269="Reinforced Earth (MSE)"),SG_Criteria!$B$34,SG_Criteria!$B$33),"No ERSS submission",IF(D269&lt;=SG_Criteria!$B$35,"QP(ST)",IF(D269&lt;=SG_Criteria!$B$36,"QP(ST) + AC","Geotechnical building works: QP(Geo) + AC"))))</f>
        <v/>
      </c>
      <c r="AT269" s="38" t="str">
        <f aca="false">IF(C269="","",IF(LEN(IF(AND(R269&lt;&gt;"",IFERROR(VALUE(MID(R269,2,2)),0)&lt;SG_Criteria!$B$19),"FAIL: grade below C"&amp;SG_Criteria!$B$19&amp;". ","")&amp;IF(AND(S269&lt;&gt;"",S269&lt;SG_Criteria!$B$20),"FAIL: cover &lt; "&amp;SG_Criteria!$B$20&amp;" mm. ","")&amp;IF(AND(W269&lt;&gt;"",W269&lt;1),"FAIL: sliding. ","")&amp;IF(AND(C269="Reverse L-Wall (toe only, at boundary)",N(O269)&gt;0),"NOTE: reverse L-wall should have no heel. ","")&amp;IF(AND(C269="L-Wall (heel only)",N(N269)&gt;0),"NOTE: L-wall should have no toe. ","")&amp;IF(AND(E269&lt;&gt;"",E269&lt;SG_Criteria!$B$31),"NOTE: q below LTA min "&amp;SG_Criteria!$B$31&amp;" kPa (not for LTA works). ",""))=0,"OK",IF(AND(R269&lt;&gt;"",IFERROR(VALUE(MID(R269,2,2)),0)&lt;SG_Criteria!$B$19),"FAIL: grade below C"&amp;SG_Criteria!$B$19&amp;". ","")&amp;IF(AND(S269&lt;&gt;"",S269&lt;SG_Criteria!$B$20),"FAIL: cover &lt; "&amp;SG_Criteria!$B$20&amp;" mm. ","")&amp;IF(AND(W269&lt;&gt;"",W269&lt;1),"FAIL: sliding. ","")&amp;IF(AND(C269="Reverse L-Wall (toe only, at boundary)",N(O269)&gt;0),"NOTE: reverse L-wall should have no heel. ","")&amp;IF(AND(C269="L-Wall (heel only)",N(N269)&gt;0),"NOTE: L-wall should have no toe. ","")&amp;IF(AND(E269&lt;&gt;"",E269&lt;SG_Criteria!$B$31),"NOTE: q below LTA min "&amp;SG_Criteria!$B$31&amp;" kPa (not for LTA works). ","")))</f>
        <v/>
      </c>
      <c r="AU269" s="9"/>
      <c r="AV269" s="9"/>
      <c r="AW269" s="9"/>
      <c r="AX269" s="9"/>
      <c r="AY269" s="9"/>
      <c r="AZ269" s="31"/>
      <c r="BA269" s="10" t="str">
        <f aca="false">IF(C269="","",IF(AND(AB269="Approved",ISERROR(SEARCH("FAIL",AT269))),"Y","N"))</f>
        <v/>
      </c>
      <c r="BB269" s="10" t="str">
        <f aca="false">IF(C269="","",C269&amp;"|"&amp;D269&amp;"|"&amp;E269&amp;"|"&amp;F269&amp;"|"&amp;BA269)</f>
        <v/>
      </c>
    </row>
    <row r="270" customFormat="false" ht="15" hidden="false" customHeight="false" outlineLevel="0" collapsed="false">
      <c r="A270" s="10" t="str">
        <f aca="false">IF(C270="","","RW-"&amp;IFERROR(VLOOKUP(C270,Lists!$M$4:$N$22,2,0),"??")&amp;"-H"&amp;TEXT(D270*1000,"0000")&amp;"-S"&amp;E270&amp;IF(F270="Y","-GW","")&amp;"-"&amp;AA270)</f>
        <v/>
      </c>
      <c r="B270" s="10" t="str">
        <f aca="false">IF(C270="","",C270&amp;", H = "&amp;TEXT(D270,"0.0")&amp;" m, q = "&amp;E270&amp;" kPa"&amp;IF(F270="Y",", with GWT","")&amp;", "&amp;H270)</f>
        <v/>
      </c>
      <c r="C270" s="9"/>
      <c r="D270" s="41"/>
      <c r="E270" s="40"/>
      <c r="F270" s="9"/>
      <c r="G270" s="40"/>
      <c r="H270" s="9"/>
      <c r="I270" s="40"/>
      <c r="J270" s="43"/>
      <c r="K270" s="40"/>
      <c r="L270" s="40"/>
      <c r="M270" s="40"/>
      <c r="N270" s="40"/>
      <c r="O270" s="40"/>
      <c r="P270" s="40"/>
      <c r="Q270" s="9"/>
      <c r="R270" s="9"/>
      <c r="S270" s="40"/>
      <c r="T270" s="9"/>
      <c r="U270" s="9"/>
      <c r="V270" s="9"/>
      <c r="W270" s="41"/>
      <c r="X270" s="41"/>
      <c r="Y270" s="40"/>
      <c r="Z270" s="9"/>
      <c r="AA270" s="9"/>
      <c r="AB270" s="9"/>
      <c r="AC270" s="9"/>
      <c r="AD270" s="9"/>
      <c r="AE270" s="9"/>
      <c r="AF270" s="10" t="str">
        <f aca="false">IF(A270="","",SG_Criteria!$B$6&amp;SG_Criteria!$B$8&amp;"\"&amp;A270&amp;"\")</f>
        <v/>
      </c>
      <c r="AG270" s="10" t="str">
        <f aca="false">IF(A270="","",A270&amp;"_CAD.dwg")</f>
        <v/>
      </c>
      <c r="AH270" s="10" t="str">
        <f aca="false">IF(A270="","",A270&amp;"_DWG.pdf")</f>
        <v/>
      </c>
      <c r="AI270" s="10" t="str">
        <f aca="false">IF(A270="","",IF(AE270="Y",A270&amp;"_STAAD.std","n/a"))</f>
        <v/>
      </c>
      <c r="AJ270" s="10" t="str">
        <f aca="false">IF(A270="","",A270&amp;"_CALC.xlsx")</f>
        <v/>
      </c>
      <c r="AK270" s="10" t="str">
        <f aca="false">IF(A270="","",A270&amp;"_CALC.pdf")</f>
        <v/>
      </c>
      <c r="AL270" s="9"/>
      <c r="AM270" s="9"/>
      <c r="AN270" s="41"/>
      <c r="AO270" s="41"/>
      <c r="AP270" s="41"/>
      <c r="AQ270" s="41"/>
      <c r="AR270" s="41"/>
      <c r="AS270" s="38" t="str">
        <f aca="false">IF(OR(C270="",D270=""),"",IF(D270&lt;=IF(OR(C270="Block / Segmental",C270="Gabion",C270="Reinforced Earth (MSE)"),SG_Criteria!$B$34,SG_Criteria!$B$33),"No ERSS submission",IF(D270&lt;=SG_Criteria!$B$35,"QP(ST)",IF(D270&lt;=SG_Criteria!$B$36,"QP(ST) + AC","Geotechnical building works: QP(Geo) + AC"))))</f>
        <v/>
      </c>
      <c r="AT270" s="38" t="str">
        <f aca="false">IF(C270="","",IF(LEN(IF(AND(R270&lt;&gt;"",IFERROR(VALUE(MID(R270,2,2)),0)&lt;SG_Criteria!$B$19),"FAIL: grade below C"&amp;SG_Criteria!$B$19&amp;". ","")&amp;IF(AND(S270&lt;&gt;"",S270&lt;SG_Criteria!$B$20),"FAIL: cover &lt; "&amp;SG_Criteria!$B$20&amp;" mm. ","")&amp;IF(AND(W270&lt;&gt;"",W270&lt;1),"FAIL: sliding. ","")&amp;IF(AND(C270="Reverse L-Wall (toe only, at boundary)",N(O270)&gt;0),"NOTE: reverse L-wall should have no heel. ","")&amp;IF(AND(C270="L-Wall (heel only)",N(N270)&gt;0),"NOTE: L-wall should have no toe. ","")&amp;IF(AND(E270&lt;&gt;"",E270&lt;SG_Criteria!$B$31),"NOTE: q below LTA min "&amp;SG_Criteria!$B$31&amp;" kPa (not for LTA works). ",""))=0,"OK",IF(AND(R270&lt;&gt;"",IFERROR(VALUE(MID(R270,2,2)),0)&lt;SG_Criteria!$B$19),"FAIL: grade below C"&amp;SG_Criteria!$B$19&amp;". ","")&amp;IF(AND(S270&lt;&gt;"",S270&lt;SG_Criteria!$B$20),"FAIL: cover &lt; "&amp;SG_Criteria!$B$20&amp;" mm. ","")&amp;IF(AND(W270&lt;&gt;"",W270&lt;1),"FAIL: sliding. ","")&amp;IF(AND(C270="Reverse L-Wall (toe only, at boundary)",N(O270)&gt;0),"NOTE: reverse L-wall should have no heel. ","")&amp;IF(AND(C270="L-Wall (heel only)",N(N270)&gt;0),"NOTE: L-wall should have no toe. ","")&amp;IF(AND(E270&lt;&gt;"",E270&lt;SG_Criteria!$B$31),"NOTE: q below LTA min "&amp;SG_Criteria!$B$31&amp;" kPa (not for LTA works). ","")))</f>
        <v/>
      </c>
      <c r="AU270" s="9"/>
      <c r="AV270" s="9"/>
      <c r="AW270" s="9"/>
      <c r="AX270" s="9"/>
      <c r="AY270" s="9"/>
      <c r="AZ270" s="31"/>
      <c r="BA270" s="10" t="str">
        <f aca="false">IF(C270="","",IF(AND(AB270="Approved",ISERROR(SEARCH("FAIL",AT270))),"Y","N"))</f>
        <v/>
      </c>
      <c r="BB270" s="10" t="str">
        <f aca="false">IF(C270="","",C270&amp;"|"&amp;D270&amp;"|"&amp;E270&amp;"|"&amp;F270&amp;"|"&amp;BA270)</f>
        <v/>
      </c>
    </row>
    <row r="271" customFormat="false" ht="15" hidden="false" customHeight="false" outlineLevel="0" collapsed="false">
      <c r="A271" s="10" t="str">
        <f aca="false">IF(C271="","","RW-"&amp;IFERROR(VLOOKUP(C271,Lists!$M$4:$N$22,2,0),"??")&amp;"-H"&amp;TEXT(D271*1000,"0000")&amp;"-S"&amp;E271&amp;IF(F271="Y","-GW","")&amp;"-"&amp;AA271)</f>
        <v/>
      </c>
      <c r="B271" s="10" t="str">
        <f aca="false">IF(C271="","",C271&amp;", H = "&amp;TEXT(D271,"0.0")&amp;" m, q = "&amp;E271&amp;" kPa"&amp;IF(F271="Y",", with GWT","")&amp;", "&amp;H271)</f>
        <v/>
      </c>
      <c r="C271" s="9"/>
      <c r="D271" s="41"/>
      <c r="E271" s="40"/>
      <c r="F271" s="9"/>
      <c r="G271" s="40"/>
      <c r="H271" s="9"/>
      <c r="I271" s="40"/>
      <c r="J271" s="43"/>
      <c r="K271" s="40"/>
      <c r="L271" s="40"/>
      <c r="M271" s="40"/>
      <c r="N271" s="40"/>
      <c r="O271" s="40"/>
      <c r="P271" s="40"/>
      <c r="Q271" s="9"/>
      <c r="R271" s="9"/>
      <c r="S271" s="40"/>
      <c r="T271" s="9"/>
      <c r="U271" s="9"/>
      <c r="V271" s="9"/>
      <c r="W271" s="41"/>
      <c r="X271" s="41"/>
      <c r="Y271" s="40"/>
      <c r="Z271" s="9"/>
      <c r="AA271" s="9"/>
      <c r="AB271" s="9"/>
      <c r="AC271" s="9"/>
      <c r="AD271" s="9"/>
      <c r="AE271" s="9"/>
      <c r="AF271" s="10" t="str">
        <f aca="false">IF(A271="","",SG_Criteria!$B$6&amp;SG_Criteria!$B$8&amp;"\"&amp;A271&amp;"\")</f>
        <v/>
      </c>
      <c r="AG271" s="10" t="str">
        <f aca="false">IF(A271="","",A271&amp;"_CAD.dwg")</f>
        <v/>
      </c>
      <c r="AH271" s="10" t="str">
        <f aca="false">IF(A271="","",A271&amp;"_DWG.pdf")</f>
        <v/>
      </c>
      <c r="AI271" s="10" t="str">
        <f aca="false">IF(A271="","",IF(AE271="Y",A271&amp;"_STAAD.std","n/a"))</f>
        <v/>
      </c>
      <c r="AJ271" s="10" t="str">
        <f aca="false">IF(A271="","",A271&amp;"_CALC.xlsx")</f>
        <v/>
      </c>
      <c r="AK271" s="10" t="str">
        <f aca="false">IF(A271="","",A271&amp;"_CALC.pdf")</f>
        <v/>
      </c>
      <c r="AL271" s="9"/>
      <c r="AM271" s="9"/>
      <c r="AN271" s="41"/>
      <c r="AO271" s="41"/>
      <c r="AP271" s="41"/>
      <c r="AQ271" s="41"/>
      <c r="AR271" s="41"/>
      <c r="AS271" s="38" t="str">
        <f aca="false">IF(OR(C271="",D271=""),"",IF(D271&lt;=IF(OR(C271="Block / Segmental",C271="Gabion",C271="Reinforced Earth (MSE)"),SG_Criteria!$B$34,SG_Criteria!$B$33),"No ERSS submission",IF(D271&lt;=SG_Criteria!$B$35,"QP(ST)",IF(D271&lt;=SG_Criteria!$B$36,"QP(ST) + AC","Geotechnical building works: QP(Geo) + AC"))))</f>
        <v/>
      </c>
      <c r="AT271" s="38" t="str">
        <f aca="false">IF(C271="","",IF(LEN(IF(AND(R271&lt;&gt;"",IFERROR(VALUE(MID(R271,2,2)),0)&lt;SG_Criteria!$B$19),"FAIL: grade below C"&amp;SG_Criteria!$B$19&amp;". ","")&amp;IF(AND(S271&lt;&gt;"",S271&lt;SG_Criteria!$B$20),"FAIL: cover &lt; "&amp;SG_Criteria!$B$20&amp;" mm. ","")&amp;IF(AND(W271&lt;&gt;"",W271&lt;1),"FAIL: sliding. ","")&amp;IF(AND(C271="Reverse L-Wall (toe only, at boundary)",N(O271)&gt;0),"NOTE: reverse L-wall should have no heel. ","")&amp;IF(AND(C271="L-Wall (heel only)",N(N271)&gt;0),"NOTE: L-wall should have no toe. ","")&amp;IF(AND(E271&lt;&gt;"",E271&lt;SG_Criteria!$B$31),"NOTE: q below LTA min "&amp;SG_Criteria!$B$31&amp;" kPa (not for LTA works). ",""))=0,"OK",IF(AND(R271&lt;&gt;"",IFERROR(VALUE(MID(R271,2,2)),0)&lt;SG_Criteria!$B$19),"FAIL: grade below C"&amp;SG_Criteria!$B$19&amp;". ","")&amp;IF(AND(S271&lt;&gt;"",S271&lt;SG_Criteria!$B$20),"FAIL: cover &lt; "&amp;SG_Criteria!$B$20&amp;" mm. ","")&amp;IF(AND(W271&lt;&gt;"",W271&lt;1),"FAIL: sliding. ","")&amp;IF(AND(C271="Reverse L-Wall (toe only, at boundary)",N(O271)&gt;0),"NOTE: reverse L-wall should have no heel. ","")&amp;IF(AND(C271="L-Wall (heel only)",N(N271)&gt;0),"NOTE: L-wall should have no toe. ","")&amp;IF(AND(E271&lt;&gt;"",E271&lt;SG_Criteria!$B$31),"NOTE: q below LTA min "&amp;SG_Criteria!$B$31&amp;" kPa (not for LTA works). ","")))</f>
        <v/>
      </c>
      <c r="AU271" s="9"/>
      <c r="AV271" s="9"/>
      <c r="AW271" s="9"/>
      <c r="AX271" s="9"/>
      <c r="AY271" s="9"/>
      <c r="AZ271" s="31"/>
      <c r="BA271" s="10" t="str">
        <f aca="false">IF(C271="","",IF(AND(AB271="Approved",ISERROR(SEARCH("FAIL",AT271))),"Y","N"))</f>
        <v/>
      </c>
      <c r="BB271" s="10" t="str">
        <f aca="false">IF(C271="","",C271&amp;"|"&amp;D271&amp;"|"&amp;E271&amp;"|"&amp;F271&amp;"|"&amp;BA271)</f>
        <v/>
      </c>
    </row>
    <row r="272" customFormat="false" ht="15" hidden="false" customHeight="false" outlineLevel="0" collapsed="false">
      <c r="A272" s="10" t="str">
        <f aca="false">IF(C272="","","RW-"&amp;IFERROR(VLOOKUP(C272,Lists!$M$4:$N$22,2,0),"??")&amp;"-H"&amp;TEXT(D272*1000,"0000")&amp;"-S"&amp;E272&amp;IF(F272="Y","-GW","")&amp;"-"&amp;AA272)</f>
        <v/>
      </c>
      <c r="B272" s="10" t="str">
        <f aca="false">IF(C272="","",C272&amp;", H = "&amp;TEXT(D272,"0.0")&amp;" m, q = "&amp;E272&amp;" kPa"&amp;IF(F272="Y",", with GWT","")&amp;", "&amp;H272)</f>
        <v/>
      </c>
      <c r="C272" s="9"/>
      <c r="D272" s="41"/>
      <c r="E272" s="40"/>
      <c r="F272" s="9"/>
      <c r="G272" s="40"/>
      <c r="H272" s="9"/>
      <c r="I272" s="40"/>
      <c r="J272" s="43"/>
      <c r="K272" s="40"/>
      <c r="L272" s="40"/>
      <c r="M272" s="40"/>
      <c r="N272" s="40"/>
      <c r="O272" s="40"/>
      <c r="P272" s="40"/>
      <c r="Q272" s="9"/>
      <c r="R272" s="9"/>
      <c r="S272" s="40"/>
      <c r="T272" s="9"/>
      <c r="U272" s="9"/>
      <c r="V272" s="9"/>
      <c r="W272" s="41"/>
      <c r="X272" s="41"/>
      <c r="Y272" s="40"/>
      <c r="Z272" s="9"/>
      <c r="AA272" s="9"/>
      <c r="AB272" s="9"/>
      <c r="AC272" s="9"/>
      <c r="AD272" s="9"/>
      <c r="AE272" s="9"/>
      <c r="AF272" s="10" t="str">
        <f aca="false">IF(A272="","",SG_Criteria!$B$6&amp;SG_Criteria!$B$8&amp;"\"&amp;A272&amp;"\")</f>
        <v/>
      </c>
      <c r="AG272" s="10" t="str">
        <f aca="false">IF(A272="","",A272&amp;"_CAD.dwg")</f>
        <v/>
      </c>
      <c r="AH272" s="10" t="str">
        <f aca="false">IF(A272="","",A272&amp;"_DWG.pdf")</f>
        <v/>
      </c>
      <c r="AI272" s="10" t="str">
        <f aca="false">IF(A272="","",IF(AE272="Y",A272&amp;"_STAAD.std","n/a"))</f>
        <v/>
      </c>
      <c r="AJ272" s="10" t="str">
        <f aca="false">IF(A272="","",A272&amp;"_CALC.xlsx")</f>
        <v/>
      </c>
      <c r="AK272" s="10" t="str">
        <f aca="false">IF(A272="","",A272&amp;"_CALC.pdf")</f>
        <v/>
      </c>
      <c r="AL272" s="9"/>
      <c r="AM272" s="9"/>
      <c r="AN272" s="41"/>
      <c r="AO272" s="41"/>
      <c r="AP272" s="41"/>
      <c r="AQ272" s="41"/>
      <c r="AR272" s="41"/>
      <c r="AS272" s="38" t="str">
        <f aca="false">IF(OR(C272="",D272=""),"",IF(D272&lt;=IF(OR(C272="Block / Segmental",C272="Gabion",C272="Reinforced Earth (MSE)"),SG_Criteria!$B$34,SG_Criteria!$B$33),"No ERSS submission",IF(D272&lt;=SG_Criteria!$B$35,"QP(ST)",IF(D272&lt;=SG_Criteria!$B$36,"QP(ST) + AC","Geotechnical building works: QP(Geo) + AC"))))</f>
        <v/>
      </c>
      <c r="AT272" s="38" t="str">
        <f aca="false">IF(C272="","",IF(LEN(IF(AND(R272&lt;&gt;"",IFERROR(VALUE(MID(R272,2,2)),0)&lt;SG_Criteria!$B$19),"FAIL: grade below C"&amp;SG_Criteria!$B$19&amp;". ","")&amp;IF(AND(S272&lt;&gt;"",S272&lt;SG_Criteria!$B$20),"FAIL: cover &lt; "&amp;SG_Criteria!$B$20&amp;" mm. ","")&amp;IF(AND(W272&lt;&gt;"",W272&lt;1),"FAIL: sliding. ","")&amp;IF(AND(C272="Reverse L-Wall (toe only, at boundary)",N(O272)&gt;0),"NOTE: reverse L-wall should have no heel. ","")&amp;IF(AND(C272="L-Wall (heel only)",N(N272)&gt;0),"NOTE: L-wall should have no toe. ","")&amp;IF(AND(E272&lt;&gt;"",E272&lt;SG_Criteria!$B$31),"NOTE: q below LTA min "&amp;SG_Criteria!$B$31&amp;" kPa (not for LTA works). ",""))=0,"OK",IF(AND(R272&lt;&gt;"",IFERROR(VALUE(MID(R272,2,2)),0)&lt;SG_Criteria!$B$19),"FAIL: grade below C"&amp;SG_Criteria!$B$19&amp;". ","")&amp;IF(AND(S272&lt;&gt;"",S272&lt;SG_Criteria!$B$20),"FAIL: cover &lt; "&amp;SG_Criteria!$B$20&amp;" mm. ","")&amp;IF(AND(W272&lt;&gt;"",W272&lt;1),"FAIL: sliding. ","")&amp;IF(AND(C272="Reverse L-Wall (toe only, at boundary)",N(O272)&gt;0),"NOTE: reverse L-wall should have no heel. ","")&amp;IF(AND(C272="L-Wall (heel only)",N(N272)&gt;0),"NOTE: L-wall should have no toe. ","")&amp;IF(AND(E272&lt;&gt;"",E272&lt;SG_Criteria!$B$31),"NOTE: q below LTA min "&amp;SG_Criteria!$B$31&amp;" kPa (not for LTA works). ","")))</f>
        <v/>
      </c>
      <c r="AU272" s="9"/>
      <c r="AV272" s="9"/>
      <c r="AW272" s="9"/>
      <c r="AX272" s="9"/>
      <c r="AY272" s="9"/>
      <c r="AZ272" s="31"/>
      <c r="BA272" s="10" t="str">
        <f aca="false">IF(C272="","",IF(AND(AB272="Approved",ISERROR(SEARCH("FAIL",AT272))),"Y","N"))</f>
        <v/>
      </c>
      <c r="BB272" s="10" t="str">
        <f aca="false">IF(C272="","",C272&amp;"|"&amp;D272&amp;"|"&amp;E272&amp;"|"&amp;F272&amp;"|"&amp;BA272)</f>
        <v/>
      </c>
    </row>
    <row r="273" customFormat="false" ht="15" hidden="false" customHeight="false" outlineLevel="0" collapsed="false">
      <c r="A273" s="10" t="str">
        <f aca="false">IF(C273="","","RW-"&amp;IFERROR(VLOOKUP(C273,Lists!$M$4:$N$22,2,0),"??")&amp;"-H"&amp;TEXT(D273*1000,"0000")&amp;"-S"&amp;E273&amp;IF(F273="Y","-GW","")&amp;"-"&amp;AA273)</f>
        <v/>
      </c>
      <c r="B273" s="10" t="str">
        <f aca="false">IF(C273="","",C273&amp;", H = "&amp;TEXT(D273,"0.0")&amp;" m, q = "&amp;E273&amp;" kPa"&amp;IF(F273="Y",", with GWT","")&amp;", "&amp;H273)</f>
        <v/>
      </c>
      <c r="C273" s="9"/>
      <c r="D273" s="41"/>
      <c r="E273" s="40"/>
      <c r="F273" s="9"/>
      <c r="G273" s="40"/>
      <c r="H273" s="9"/>
      <c r="I273" s="40"/>
      <c r="J273" s="43"/>
      <c r="K273" s="40"/>
      <c r="L273" s="40"/>
      <c r="M273" s="40"/>
      <c r="N273" s="40"/>
      <c r="O273" s="40"/>
      <c r="P273" s="40"/>
      <c r="Q273" s="9"/>
      <c r="R273" s="9"/>
      <c r="S273" s="40"/>
      <c r="T273" s="9"/>
      <c r="U273" s="9"/>
      <c r="V273" s="9"/>
      <c r="W273" s="41"/>
      <c r="X273" s="41"/>
      <c r="Y273" s="40"/>
      <c r="Z273" s="9"/>
      <c r="AA273" s="9"/>
      <c r="AB273" s="9"/>
      <c r="AC273" s="9"/>
      <c r="AD273" s="9"/>
      <c r="AE273" s="9"/>
      <c r="AF273" s="10" t="str">
        <f aca="false">IF(A273="","",SG_Criteria!$B$6&amp;SG_Criteria!$B$8&amp;"\"&amp;A273&amp;"\")</f>
        <v/>
      </c>
      <c r="AG273" s="10" t="str">
        <f aca="false">IF(A273="","",A273&amp;"_CAD.dwg")</f>
        <v/>
      </c>
      <c r="AH273" s="10" t="str">
        <f aca="false">IF(A273="","",A273&amp;"_DWG.pdf")</f>
        <v/>
      </c>
      <c r="AI273" s="10" t="str">
        <f aca="false">IF(A273="","",IF(AE273="Y",A273&amp;"_STAAD.std","n/a"))</f>
        <v/>
      </c>
      <c r="AJ273" s="10" t="str">
        <f aca="false">IF(A273="","",A273&amp;"_CALC.xlsx")</f>
        <v/>
      </c>
      <c r="AK273" s="10" t="str">
        <f aca="false">IF(A273="","",A273&amp;"_CALC.pdf")</f>
        <v/>
      </c>
      <c r="AL273" s="9"/>
      <c r="AM273" s="9"/>
      <c r="AN273" s="41"/>
      <c r="AO273" s="41"/>
      <c r="AP273" s="41"/>
      <c r="AQ273" s="41"/>
      <c r="AR273" s="41"/>
      <c r="AS273" s="38" t="str">
        <f aca="false">IF(OR(C273="",D273=""),"",IF(D273&lt;=IF(OR(C273="Block / Segmental",C273="Gabion",C273="Reinforced Earth (MSE)"),SG_Criteria!$B$34,SG_Criteria!$B$33),"No ERSS submission",IF(D273&lt;=SG_Criteria!$B$35,"QP(ST)",IF(D273&lt;=SG_Criteria!$B$36,"QP(ST) + AC","Geotechnical building works: QP(Geo) + AC"))))</f>
        <v/>
      </c>
      <c r="AT273" s="38" t="str">
        <f aca="false">IF(C273="","",IF(LEN(IF(AND(R273&lt;&gt;"",IFERROR(VALUE(MID(R273,2,2)),0)&lt;SG_Criteria!$B$19),"FAIL: grade below C"&amp;SG_Criteria!$B$19&amp;". ","")&amp;IF(AND(S273&lt;&gt;"",S273&lt;SG_Criteria!$B$20),"FAIL: cover &lt; "&amp;SG_Criteria!$B$20&amp;" mm. ","")&amp;IF(AND(W273&lt;&gt;"",W273&lt;1),"FAIL: sliding. ","")&amp;IF(AND(C273="Reverse L-Wall (toe only, at boundary)",N(O273)&gt;0),"NOTE: reverse L-wall should have no heel. ","")&amp;IF(AND(C273="L-Wall (heel only)",N(N273)&gt;0),"NOTE: L-wall should have no toe. ","")&amp;IF(AND(E273&lt;&gt;"",E273&lt;SG_Criteria!$B$31),"NOTE: q below LTA min "&amp;SG_Criteria!$B$31&amp;" kPa (not for LTA works). ",""))=0,"OK",IF(AND(R273&lt;&gt;"",IFERROR(VALUE(MID(R273,2,2)),0)&lt;SG_Criteria!$B$19),"FAIL: grade below C"&amp;SG_Criteria!$B$19&amp;". ","")&amp;IF(AND(S273&lt;&gt;"",S273&lt;SG_Criteria!$B$20),"FAIL: cover &lt; "&amp;SG_Criteria!$B$20&amp;" mm. ","")&amp;IF(AND(W273&lt;&gt;"",W273&lt;1),"FAIL: sliding. ","")&amp;IF(AND(C273="Reverse L-Wall (toe only, at boundary)",N(O273)&gt;0),"NOTE: reverse L-wall should have no heel. ","")&amp;IF(AND(C273="L-Wall (heel only)",N(N273)&gt;0),"NOTE: L-wall should have no toe. ","")&amp;IF(AND(E273&lt;&gt;"",E273&lt;SG_Criteria!$B$31),"NOTE: q below LTA min "&amp;SG_Criteria!$B$31&amp;" kPa (not for LTA works). ","")))</f>
        <v/>
      </c>
      <c r="AU273" s="9"/>
      <c r="AV273" s="9"/>
      <c r="AW273" s="9"/>
      <c r="AX273" s="9"/>
      <c r="AY273" s="9"/>
      <c r="AZ273" s="31"/>
      <c r="BA273" s="10" t="str">
        <f aca="false">IF(C273="","",IF(AND(AB273="Approved",ISERROR(SEARCH("FAIL",AT273))),"Y","N"))</f>
        <v/>
      </c>
      <c r="BB273" s="10" t="str">
        <f aca="false">IF(C273="","",C273&amp;"|"&amp;D273&amp;"|"&amp;E273&amp;"|"&amp;F273&amp;"|"&amp;BA273)</f>
        <v/>
      </c>
    </row>
    <row r="274" customFormat="false" ht="15" hidden="false" customHeight="false" outlineLevel="0" collapsed="false">
      <c r="A274" s="10" t="str">
        <f aca="false">IF(C274="","","RW-"&amp;IFERROR(VLOOKUP(C274,Lists!$M$4:$N$22,2,0),"??")&amp;"-H"&amp;TEXT(D274*1000,"0000")&amp;"-S"&amp;E274&amp;IF(F274="Y","-GW","")&amp;"-"&amp;AA274)</f>
        <v/>
      </c>
      <c r="B274" s="10" t="str">
        <f aca="false">IF(C274="","",C274&amp;", H = "&amp;TEXT(D274,"0.0")&amp;" m, q = "&amp;E274&amp;" kPa"&amp;IF(F274="Y",", with GWT","")&amp;", "&amp;H274)</f>
        <v/>
      </c>
      <c r="C274" s="9"/>
      <c r="D274" s="41"/>
      <c r="E274" s="40"/>
      <c r="F274" s="9"/>
      <c r="G274" s="40"/>
      <c r="H274" s="9"/>
      <c r="I274" s="40"/>
      <c r="J274" s="43"/>
      <c r="K274" s="40"/>
      <c r="L274" s="40"/>
      <c r="M274" s="40"/>
      <c r="N274" s="40"/>
      <c r="O274" s="40"/>
      <c r="P274" s="40"/>
      <c r="Q274" s="9"/>
      <c r="R274" s="9"/>
      <c r="S274" s="40"/>
      <c r="T274" s="9"/>
      <c r="U274" s="9"/>
      <c r="V274" s="9"/>
      <c r="W274" s="41"/>
      <c r="X274" s="41"/>
      <c r="Y274" s="40"/>
      <c r="Z274" s="9"/>
      <c r="AA274" s="9"/>
      <c r="AB274" s="9"/>
      <c r="AC274" s="9"/>
      <c r="AD274" s="9"/>
      <c r="AE274" s="9"/>
      <c r="AF274" s="10" t="str">
        <f aca="false">IF(A274="","",SG_Criteria!$B$6&amp;SG_Criteria!$B$8&amp;"\"&amp;A274&amp;"\")</f>
        <v/>
      </c>
      <c r="AG274" s="10" t="str">
        <f aca="false">IF(A274="","",A274&amp;"_CAD.dwg")</f>
        <v/>
      </c>
      <c r="AH274" s="10" t="str">
        <f aca="false">IF(A274="","",A274&amp;"_DWG.pdf")</f>
        <v/>
      </c>
      <c r="AI274" s="10" t="str">
        <f aca="false">IF(A274="","",IF(AE274="Y",A274&amp;"_STAAD.std","n/a"))</f>
        <v/>
      </c>
      <c r="AJ274" s="10" t="str">
        <f aca="false">IF(A274="","",A274&amp;"_CALC.xlsx")</f>
        <v/>
      </c>
      <c r="AK274" s="10" t="str">
        <f aca="false">IF(A274="","",A274&amp;"_CALC.pdf")</f>
        <v/>
      </c>
      <c r="AL274" s="9"/>
      <c r="AM274" s="9"/>
      <c r="AN274" s="41"/>
      <c r="AO274" s="41"/>
      <c r="AP274" s="41"/>
      <c r="AQ274" s="41"/>
      <c r="AR274" s="41"/>
      <c r="AS274" s="38" t="str">
        <f aca="false">IF(OR(C274="",D274=""),"",IF(D274&lt;=IF(OR(C274="Block / Segmental",C274="Gabion",C274="Reinforced Earth (MSE)"),SG_Criteria!$B$34,SG_Criteria!$B$33),"No ERSS submission",IF(D274&lt;=SG_Criteria!$B$35,"QP(ST)",IF(D274&lt;=SG_Criteria!$B$36,"QP(ST) + AC","Geotechnical building works: QP(Geo) + AC"))))</f>
        <v/>
      </c>
      <c r="AT274" s="38" t="str">
        <f aca="false">IF(C274="","",IF(LEN(IF(AND(R274&lt;&gt;"",IFERROR(VALUE(MID(R274,2,2)),0)&lt;SG_Criteria!$B$19),"FAIL: grade below C"&amp;SG_Criteria!$B$19&amp;". ","")&amp;IF(AND(S274&lt;&gt;"",S274&lt;SG_Criteria!$B$20),"FAIL: cover &lt; "&amp;SG_Criteria!$B$20&amp;" mm. ","")&amp;IF(AND(W274&lt;&gt;"",W274&lt;1),"FAIL: sliding. ","")&amp;IF(AND(C274="Reverse L-Wall (toe only, at boundary)",N(O274)&gt;0),"NOTE: reverse L-wall should have no heel. ","")&amp;IF(AND(C274="L-Wall (heel only)",N(N274)&gt;0),"NOTE: L-wall should have no toe. ","")&amp;IF(AND(E274&lt;&gt;"",E274&lt;SG_Criteria!$B$31),"NOTE: q below LTA min "&amp;SG_Criteria!$B$31&amp;" kPa (not for LTA works). ",""))=0,"OK",IF(AND(R274&lt;&gt;"",IFERROR(VALUE(MID(R274,2,2)),0)&lt;SG_Criteria!$B$19),"FAIL: grade below C"&amp;SG_Criteria!$B$19&amp;". ","")&amp;IF(AND(S274&lt;&gt;"",S274&lt;SG_Criteria!$B$20),"FAIL: cover &lt; "&amp;SG_Criteria!$B$20&amp;" mm. ","")&amp;IF(AND(W274&lt;&gt;"",W274&lt;1),"FAIL: sliding. ","")&amp;IF(AND(C274="Reverse L-Wall (toe only, at boundary)",N(O274)&gt;0),"NOTE: reverse L-wall should have no heel. ","")&amp;IF(AND(C274="L-Wall (heel only)",N(N274)&gt;0),"NOTE: L-wall should have no toe. ","")&amp;IF(AND(E274&lt;&gt;"",E274&lt;SG_Criteria!$B$31),"NOTE: q below LTA min "&amp;SG_Criteria!$B$31&amp;" kPa (not for LTA works). ","")))</f>
        <v/>
      </c>
      <c r="AU274" s="9"/>
      <c r="AV274" s="9"/>
      <c r="AW274" s="9"/>
      <c r="AX274" s="9"/>
      <c r="AY274" s="9"/>
      <c r="AZ274" s="31"/>
      <c r="BA274" s="10" t="str">
        <f aca="false">IF(C274="","",IF(AND(AB274="Approved",ISERROR(SEARCH("FAIL",AT274))),"Y","N"))</f>
        <v/>
      </c>
      <c r="BB274" s="10" t="str">
        <f aca="false">IF(C274="","",C274&amp;"|"&amp;D274&amp;"|"&amp;E274&amp;"|"&amp;F274&amp;"|"&amp;BA274)</f>
        <v/>
      </c>
    </row>
    <row r="275" customFormat="false" ht="15" hidden="false" customHeight="false" outlineLevel="0" collapsed="false">
      <c r="A275" s="10" t="str">
        <f aca="false">IF(C275="","","RW-"&amp;IFERROR(VLOOKUP(C275,Lists!$M$4:$N$22,2,0),"??")&amp;"-H"&amp;TEXT(D275*1000,"0000")&amp;"-S"&amp;E275&amp;IF(F275="Y","-GW","")&amp;"-"&amp;AA275)</f>
        <v/>
      </c>
      <c r="B275" s="10" t="str">
        <f aca="false">IF(C275="","",C275&amp;", H = "&amp;TEXT(D275,"0.0")&amp;" m, q = "&amp;E275&amp;" kPa"&amp;IF(F275="Y",", with GWT","")&amp;", "&amp;H275)</f>
        <v/>
      </c>
      <c r="C275" s="9"/>
      <c r="D275" s="41"/>
      <c r="E275" s="40"/>
      <c r="F275" s="9"/>
      <c r="G275" s="40"/>
      <c r="H275" s="9"/>
      <c r="I275" s="40"/>
      <c r="J275" s="43"/>
      <c r="K275" s="40"/>
      <c r="L275" s="40"/>
      <c r="M275" s="40"/>
      <c r="N275" s="40"/>
      <c r="O275" s="40"/>
      <c r="P275" s="40"/>
      <c r="Q275" s="9"/>
      <c r="R275" s="9"/>
      <c r="S275" s="40"/>
      <c r="T275" s="9"/>
      <c r="U275" s="9"/>
      <c r="V275" s="9"/>
      <c r="W275" s="41"/>
      <c r="X275" s="41"/>
      <c r="Y275" s="40"/>
      <c r="Z275" s="9"/>
      <c r="AA275" s="9"/>
      <c r="AB275" s="9"/>
      <c r="AC275" s="9"/>
      <c r="AD275" s="9"/>
      <c r="AE275" s="9"/>
      <c r="AF275" s="10" t="str">
        <f aca="false">IF(A275="","",SG_Criteria!$B$6&amp;SG_Criteria!$B$8&amp;"\"&amp;A275&amp;"\")</f>
        <v/>
      </c>
      <c r="AG275" s="10" t="str">
        <f aca="false">IF(A275="","",A275&amp;"_CAD.dwg")</f>
        <v/>
      </c>
      <c r="AH275" s="10" t="str">
        <f aca="false">IF(A275="","",A275&amp;"_DWG.pdf")</f>
        <v/>
      </c>
      <c r="AI275" s="10" t="str">
        <f aca="false">IF(A275="","",IF(AE275="Y",A275&amp;"_STAAD.std","n/a"))</f>
        <v/>
      </c>
      <c r="AJ275" s="10" t="str">
        <f aca="false">IF(A275="","",A275&amp;"_CALC.xlsx")</f>
        <v/>
      </c>
      <c r="AK275" s="10" t="str">
        <f aca="false">IF(A275="","",A275&amp;"_CALC.pdf")</f>
        <v/>
      </c>
      <c r="AL275" s="9"/>
      <c r="AM275" s="9"/>
      <c r="AN275" s="41"/>
      <c r="AO275" s="41"/>
      <c r="AP275" s="41"/>
      <c r="AQ275" s="41"/>
      <c r="AR275" s="41"/>
      <c r="AS275" s="38" t="str">
        <f aca="false">IF(OR(C275="",D275=""),"",IF(D275&lt;=IF(OR(C275="Block / Segmental",C275="Gabion",C275="Reinforced Earth (MSE)"),SG_Criteria!$B$34,SG_Criteria!$B$33),"No ERSS submission",IF(D275&lt;=SG_Criteria!$B$35,"QP(ST)",IF(D275&lt;=SG_Criteria!$B$36,"QP(ST) + AC","Geotechnical building works: QP(Geo) + AC"))))</f>
        <v/>
      </c>
      <c r="AT275" s="38" t="str">
        <f aca="false">IF(C275="","",IF(LEN(IF(AND(R275&lt;&gt;"",IFERROR(VALUE(MID(R275,2,2)),0)&lt;SG_Criteria!$B$19),"FAIL: grade below C"&amp;SG_Criteria!$B$19&amp;". ","")&amp;IF(AND(S275&lt;&gt;"",S275&lt;SG_Criteria!$B$20),"FAIL: cover &lt; "&amp;SG_Criteria!$B$20&amp;" mm. ","")&amp;IF(AND(W275&lt;&gt;"",W275&lt;1),"FAIL: sliding. ","")&amp;IF(AND(C275="Reverse L-Wall (toe only, at boundary)",N(O275)&gt;0),"NOTE: reverse L-wall should have no heel. ","")&amp;IF(AND(C275="L-Wall (heel only)",N(N275)&gt;0),"NOTE: L-wall should have no toe. ","")&amp;IF(AND(E275&lt;&gt;"",E275&lt;SG_Criteria!$B$31),"NOTE: q below LTA min "&amp;SG_Criteria!$B$31&amp;" kPa (not for LTA works). ",""))=0,"OK",IF(AND(R275&lt;&gt;"",IFERROR(VALUE(MID(R275,2,2)),0)&lt;SG_Criteria!$B$19),"FAIL: grade below C"&amp;SG_Criteria!$B$19&amp;". ","")&amp;IF(AND(S275&lt;&gt;"",S275&lt;SG_Criteria!$B$20),"FAIL: cover &lt; "&amp;SG_Criteria!$B$20&amp;" mm. ","")&amp;IF(AND(W275&lt;&gt;"",W275&lt;1),"FAIL: sliding. ","")&amp;IF(AND(C275="Reverse L-Wall (toe only, at boundary)",N(O275)&gt;0),"NOTE: reverse L-wall should have no heel. ","")&amp;IF(AND(C275="L-Wall (heel only)",N(N275)&gt;0),"NOTE: L-wall should have no toe. ","")&amp;IF(AND(E275&lt;&gt;"",E275&lt;SG_Criteria!$B$31),"NOTE: q below LTA min "&amp;SG_Criteria!$B$31&amp;" kPa (not for LTA works). ","")))</f>
        <v/>
      </c>
      <c r="AU275" s="9"/>
      <c r="AV275" s="9"/>
      <c r="AW275" s="9"/>
      <c r="AX275" s="9"/>
      <c r="AY275" s="9"/>
      <c r="AZ275" s="31"/>
      <c r="BA275" s="10" t="str">
        <f aca="false">IF(C275="","",IF(AND(AB275="Approved",ISERROR(SEARCH("FAIL",AT275))),"Y","N"))</f>
        <v/>
      </c>
      <c r="BB275" s="10" t="str">
        <f aca="false">IF(C275="","",C275&amp;"|"&amp;D275&amp;"|"&amp;E275&amp;"|"&amp;F275&amp;"|"&amp;BA275)</f>
        <v/>
      </c>
    </row>
    <row r="276" customFormat="false" ht="15" hidden="false" customHeight="false" outlineLevel="0" collapsed="false">
      <c r="A276" s="10" t="str">
        <f aca="false">IF(C276="","","RW-"&amp;IFERROR(VLOOKUP(C276,Lists!$M$4:$N$22,2,0),"??")&amp;"-H"&amp;TEXT(D276*1000,"0000")&amp;"-S"&amp;E276&amp;IF(F276="Y","-GW","")&amp;"-"&amp;AA276)</f>
        <v/>
      </c>
      <c r="B276" s="10" t="str">
        <f aca="false">IF(C276="","",C276&amp;", H = "&amp;TEXT(D276,"0.0")&amp;" m, q = "&amp;E276&amp;" kPa"&amp;IF(F276="Y",", with GWT","")&amp;", "&amp;H276)</f>
        <v/>
      </c>
      <c r="C276" s="9"/>
      <c r="D276" s="41"/>
      <c r="E276" s="40"/>
      <c r="F276" s="9"/>
      <c r="G276" s="40"/>
      <c r="H276" s="9"/>
      <c r="I276" s="40"/>
      <c r="J276" s="43"/>
      <c r="K276" s="40"/>
      <c r="L276" s="40"/>
      <c r="M276" s="40"/>
      <c r="N276" s="40"/>
      <c r="O276" s="40"/>
      <c r="P276" s="40"/>
      <c r="Q276" s="9"/>
      <c r="R276" s="9"/>
      <c r="S276" s="40"/>
      <c r="T276" s="9"/>
      <c r="U276" s="9"/>
      <c r="V276" s="9"/>
      <c r="W276" s="41"/>
      <c r="X276" s="41"/>
      <c r="Y276" s="40"/>
      <c r="Z276" s="9"/>
      <c r="AA276" s="9"/>
      <c r="AB276" s="9"/>
      <c r="AC276" s="9"/>
      <c r="AD276" s="9"/>
      <c r="AE276" s="9"/>
      <c r="AF276" s="10" t="str">
        <f aca="false">IF(A276="","",SG_Criteria!$B$6&amp;SG_Criteria!$B$8&amp;"\"&amp;A276&amp;"\")</f>
        <v/>
      </c>
      <c r="AG276" s="10" t="str">
        <f aca="false">IF(A276="","",A276&amp;"_CAD.dwg")</f>
        <v/>
      </c>
      <c r="AH276" s="10" t="str">
        <f aca="false">IF(A276="","",A276&amp;"_DWG.pdf")</f>
        <v/>
      </c>
      <c r="AI276" s="10" t="str">
        <f aca="false">IF(A276="","",IF(AE276="Y",A276&amp;"_STAAD.std","n/a"))</f>
        <v/>
      </c>
      <c r="AJ276" s="10" t="str">
        <f aca="false">IF(A276="","",A276&amp;"_CALC.xlsx")</f>
        <v/>
      </c>
      <c r="AK276" s="10" t="str">
        <f aca="false">IF(A276="","",A276&amp;"_CALC.pdf")</f>
        <v/>
      </c>
      <c r="AL276" s="9"/>
      <c r="AM276" s="9"/>
      <c r="AN276" s="41"/>
      <c r="AO276" s="41"/>
      <c r="AP276" s="41"/>
      <c r="AQ276" s="41"/>
      <c r="AR276" s="41"/>
      <c r="AS276" s="38" t="str">
        <f aca="false">IF(OR(C276="",D276=""),"",IF(D276&lt;=IF(OR(C276="Block / Segmental",C276="Gabion",C276="Reinforced Earth (MSE)"),SG_Criteria!$B$34,SG_Criteria!$B$33),"No ERSS submission",IF(D276&lt;=SG_Criteria!$B$35,"QP(ST)",IF(D276&lt;=SG_Criteria!$B$36,"QP(ST) + AC","Geotechnical building works: QP(Geo) + AC"))))</f>
        <v/>
      </c>
      <c r="AT276" s="38" t="str">
        <f aca="false">IF(C276="","",IF(LEN(IF(AND(R276&lt;&gt;"",IFERROR(VALUE(MID(R276,2,2)),0)&lt;SG_Criteria!$B$19),"FAIL: grade below C"&amp;SG_Criteria!$B$19&amp;". ","")&amp;IF(AND(S276&lt;&gt;"",S276&lt;SG_Criteria!$B$20),"FAIL: cover &lt; "&amp;SG_Criteria!$B$20&amp;" mm. ","")&amp;IF(AND(W276&lt;&gt;"",W276&lt;1),"FAIL: sliding. ","")&amp;IF(AND(C276="Reverse L-Wall (toe only, at boundary)",N(O276)&gt;0),"NOTE: reverse L-wall should have no heel. ","")&amp;IF(AND(C276="L-Wall (heel only)",N(N276)&gt;0),"NOTE: L-wall should have no toe. ","")&amp;IF(AND(E276&lt;&gt;"",E276&lt;SG_Criteria!$B$31),"NOTE: q below LTA min "&amp;SG_Criteria!$B$31&amp;" kPa (not for LTA works). ",""))=0,"OK",IF(AND(R276&lt;&gt;"",IFERROR(VALUE(MID(R276,2,2)),0)&lt;SG_Criteria!$B$19),"FAIL: grade below C"&amp;SG_Criteria!$B$19&amp;". ","")&amp;IF(AND(S276&lt;&gt;"",S276&lt;SG_Criteria!$B$20),"FAIL: cover &lt; "&amp;SG_Criteria!$B$20&amp;" mm. ","")&amp;IF(AND(W276&lt;&gt;"",W276&lt;1),"FAIL: sliding. ","")&amp;IF(AND(C276="Reverse L-Wall (toe only, at boundary)",N(O276)&gt;0),"NOTE: reverse L-wall should have no heel. ","")&amp;IF(AND(C276="L-Wall (heel only)",N(N276)&gt;0),"NOTE: L-wall should have no toe. ","")&amp;IF(AND(E276&lt;&gt;"",E276&lt;SG_Criteria!$B$31),"NOTE: q below LTA min "&amp;SG_Criteria!$B$31&amp;" kPa (not for LTA works). ","")))</f>
        <v/>
      </c>
      <c r="AU276" s="9"/>
      <c r="AV276" s="9"/>
      <c r="AW276" s="9"/>
      <c r="AX276" s="9"/>
      <c r="AY276" s="9"/>
      <c r="AZ276" s="31"/>
      <c r="BA276" s="10" t="str">
        <f aca="false">IF(C276="","",IF(AND(AB276="Approved",ISERROR(SEARCH("FAIL",AT276))),"Y","N"))</f>
        <v/>
      </c>
      <c r="BB276" s="10" t="str">
        <f aca="false">IF(C276="","",C276&amp;"|"&amp;D276&amp;"|"&amp;E276&amp;"|"&amp;F276&amp;"|"&amp;BA276)</f>
        <v/>
      </c>
    </row>
    <row r="277" customFormat="false" ht="15" hidden="false" customHeight="false" outlineLevel="0" collapsed="false">
      <c r="A277" s="10" t="str">
        <f aca="false">IF(C277="","","RW-"&amp;IFERROR(VLOOKUP(C277,Lists!$M$4:$N$22,2,0),"??")&amp;"-H"&amp;TEXT(D277*1000,"0000")&amp;"-S"&amp;E277&amp;IF(F277="Y","-GW","")&amp;"-"&amp;AA277)</f>
        <v/>
      </c>
      <c r="B277" s="10" t="str">
        <f aca="false">IF(C277="","",C277&amp;", H = "&amp;TEXT(D277,"0.0")&amp;" m, q = "&amp;E277&amp;" kPa"&amp;IF(F277="Y",", with GWT","")&amp;", "&amp;H277)</f>
        <v/>
      </c>
      <c r="C277" s="9"/>
      <c r="D277" s="41"/>
      <c r="E277" s="40"/>
      <c r="F277" s="9"/>
      <c r="G277" s="40"/>
      <c r="H277" s="9"/>
      <c r="I277" s="40"/>
      <c r="J277" s="43"/>
      <c r="K277" s="40"/>
      <c r="L277" s="40"/>
      <c r="M277" s="40"/>
      <c r="N277" s="40"/>
      <c r="O277" s="40"/>
      <c r="P277" s="40"/>
      <c r="Q277" s="9"/>
      <c r="R277" s="9"/>
      <c r="S277" s="40"/>
      <c r="T277" s="9"/>
      <c r="U277" s="9"/>
      <c r="V277" s="9"/>
      <c r="W277" s="41"/>
      <c r="X277" s="41"/>
      <c r="Y277" s="40"/>
      <c r="Z277" s="9"/>
      <c r="AA277" s="9"/>
      <c r="AB277" s="9"/>
      <c r="AC277" s="9"/>
      <c r="AD277" s="9"/>
      <c r="AE277" s="9"/>
      <c r="AF277" s="10" t="str">
        <f aca="false">IF(A277="","",SG_Criteria!$B$6&amp;SG_Criteria!$B$8&amp;"\"&amp;A277&amp;"\")</f>
        <v/>
      </c>
      <c r="AG277" s="10" t="str">
        <f aca="false">IF(A277="","",A277&amp;"_CAD.dwg")</f>
        <v/>
      </c>
      <c r="AH277" s="10" t="str">
        <f aca="false">IF(A277="","",A277&amp;"_DWG.pdf")</f>
        <v/>
      </c>
      <c r="AI277" s="10" t="str">
        <f aca="false">IF(A277="","",IF(AE277="Y",A277&amp;"_STAAD.std","n/a"))</f>
        <v/>
      </c>
      <c r="AJ277" s="10" t="str">
        <f aca="false">IF(A277="","",A277&amp;"_CALC.xlsx")</f>
        <v/>
      </c>
      <c r="AK277" s="10" t="str">
        <f aca="false">IF(A277="","",A277&amp;"_CALC.pdf")</f>
        <v/>
      </c>
      <c r="AL277" s="9"/>
      <c r="AM277" s="9"/>
      <c r="AN277" s="41"/>
      <c r="AO277" s="41"/>
      <c r="AP277" s="41"/>
      <c r="AQ277" s="41"/>
      <c r="AR277" s="41"/>
      <c r="AS277" s="38" t="str">
        <f aca="false">IF(OR(C277="",D277=""),"",IF(D277&lt;=IF(OR(C277="Block / Segmental",C277="Gabion",C277="Reinforced Earth (MSE)"),SG_Criteria!$B$34,SG_Criteria!$B$33),"No ERSS submission",IF(D277&lt;=SG_Criteria!$B$35,"QP(ST)",IF(D277&lt;=SG_Criteria!$B$36,"QP(ST) + AC","Geotechnical building works: QP(Geo) + AC"))))</f>
        <v/>
      </c>
      <c r="AT277" s="38" t="str">
        <f aca="false">IF(C277="","",IF(LEN(IF(AND(R277&lt;&gt;"",IFERROR(VALUE(MID(R277,2,2)),0)&lt;SG_Criteria!$B$19),"FAIL: grade below C"&amp;SG_Criteria!$B$19&amp;". ","")&amp;IF(AND(S277&lt;&gt;"",S277&lt;SG_Criteria!$B$20),"FAIL: cover &lt; "&amp;SG_Criteria!$B$20&amp;" mm. ","")&amp;IF(AND(W277&lt;&gt;"",W277&lt;1),"FAIL: sliding. ","")&amp;IF(AND(C277="Reverse L-Wall (toe only, at boundary)",N(O277)&gt;0),"NOTE: reverse L-wall should have no heel. ","")&amp;IF(AND(C277="L-Wall (heel only)",N(N277)&gt;0),"NOTE: L-wall should have no toe. ","")&amp;IF(AND(E277&lt;&gt;"",E277&lt;SG_Criteria!$B$31),"NOTE: q below LTA min "&amp;SG_Criteria!$B$31&amp;" kPa (not for LTA works). ",""))=0,"OK",IF(AND(R277&lt;&gt;"",IFERROR(VALUE(MID(R277,2,2)),0)&lt;SG_Criteria!$B$19),"FAIL: grade below C"&amp;SG_Criteria!$B$19&amp;". ","")&amp;IF(AND(S277&lt;&gt;"",S277&lt;SG_Criteria!$B$20),"FAIL: cover &lt; "&amp;SG_Criteria!$B$20&amp;" mm. ","")&amp;IF(AND(W277&lt;&gt;"",W277&lt;1),"FAIL: sliding. ","")&amp;IF(AND(C277="Reverse L-Wall (toe only, at boundary)",N(O277)&gt;0),"NOTE: reverse L-wall should have no heel. ","")&amp;IF(AND(C277="L-Wall (heel only)",N(N277)&gt;0),"NOTE: L-wall should have no toe. ","")&amp;IF(AND(E277&lt;&gt;"",E277&lt;SG_Criteria!$B$31),"NOTE: q below LTA min "&amp;SG_Criteria!$B$31&amp;" kPa (not for LTA works). ","")))</f>
        <v/>
      </c>
      <c r="AU277" s="9"/>
      <c r="AV277" s="9"/>
      <c r="AW277" s="9"/>
      <c r="AX277" s="9"/>
      <c r="AY277" s="9"/>
      <c r="AZ277" s="31"/>
      <c r="BA277" s="10" t="str">
        <f aca="false">IF(C277="","",IF(AND(AB277="Approved",ISERROR(SEARCH("FAIL",AT277))),"Y","N"))</f>
        <v/>
      </c>
      <c r="BB277" s="10" t="str">
        <f aca="false">IF(C277="","",C277&amp;"|"&amp;D277&amp;"|"&amp;E277&amp;"|"&amp;F277&amp;"|"&amp;BA277)</f>
        <v/>
      </c>
    </row>
    <row r="278" customFormat="false" ht="15" hidden="false" customHeight="false" outlineLevel="0" collapsed="false">
      <c r="A278" s="10" t="str">
        <f aca="false">IF(C278="","","RW-"&amp;IFERROR(VLOOKUP(C278,Lists!$M$4:$N$22,2,0),"??")&amp;"-H"&amp;TEXT(D278*1000,"0000")&amp;"-S"&amp;E278&amp;IF(F278="Y","-GW","")&amp;"-"&amp;AA278)</f>
        <v/>
      </c>
      <c r="B278" s="10" t="str">
        <f aca="false">IF(C278="","",C278&amp;", H = "&amp;TEXT(D278,"0.0")&amp;" m, q = "&amp;E278&amp;" kPa"&amp;IF(F278="Y",", with GWT","")&amp;", "&amp;H278)</f>
        <v/>
      </c>
      <c r="C278" s="9"/>
      <c r="D278" s="41"/>
      <c r="E278" s="40"/>
      <c r="F278" s="9"/>
      <c r="G278" s="40"/>
      <c r="H278" s="9"/>
      <c r="I278" s="40"/>
      <c r="J278" s="43"/>
      <c r="K278" s="40"/>
      <c r="L278" s="40"/>
      <c r="M278" s="40"/>
      <c r="N278" s="40"/>
      <c r="O278" s="40"/>
      <c r="P278" s="40"/>
      <c r="Q278" s="9"/>
      <c r="R278" s="9"/>
      <c r="S278" s="40"/>
      <c r="T278" s="9"/>
      <c r="U278" s="9"/>
      <c r="V278" s="9"/>
      <c r="W278" s="41"/>
      <c r="X278" s="41"/>
      <c r="Y278" s="40"/>
      <c r="Z278" s="9"/>
      <c r="AA278" s="9"/>
      <c r="AB278" s="9"/>
      <c r="AC278" s="9"/>
      <c r="AD278" s="9"/>
      <c r="AE278" s="9"/>
      <c r="AF278" s="10" t="str">
        <f aca="false">IF(A278="","",SG_Criteria!$B$6&amp;SG_Criteria!$B$8&amp;"\"&amp;A278&amp;"\")</f>
        <v/>
      </c>
      <c r="AG278" s="10" t="str">
        <f aca="false">IF(A278="","",A278&amp;"_CAD.dwg")</f>
        <v/>
      </c>
      <c r="AH278" s="10" t="str">
        <f aca="false">IF(A278="","",A278&amp;"_DWG.pdf")</f>
        <v/>
      </c>
      <c r="AI278" s="10" t="str">
        <f aca="false">IF(A278="","",IF(AE278="Y",A278&amp;"_STAAD.std","n/a"))</f>
        <v/>
      </c>
      <c r="AJ278" s="10" t="str">
        <f aca="false">IF(A278="","",A278&amp;"_CALC.xlsx")</f>
        <v/>
      </c>
      <c r="AK278" s="10" t="str">
        <f aca="false">IF(A278="","",A278&amp;"_CALC.pdf")</f>
        <v/>
      </c>
      <c r="AL278" s="9"/>
      <c r="AM278" s="9"/>
      <c r="AN278" s="41"/>
      <c r="AO278" s="41"/>
      <c r="AP278" s="41"/>
      <c r="AQ278" s="41"/>
      <c r="AR278" s="41"/>
      <c r="AS278" s="38" t="str">
        <f aca="false">IF(OR(C278="",D278=""),"",IF(D278&lt;=IF(OR(C278="Block / Segmental",C278="Gabion",C278="Reinforced Earth (MSE)"),SG_Criteria!$B$34,SG_Criteria!$B$33),"No ERSS submission",IF(D278&lt;=SG_Criteria!$B$35,"QP(ST)",IF(D278&lt;=SG_Criteria!$B$36,"QP(ST) + AC","Geotechnical building works: QP(Geo) + AC"))))</f>
        <v/>
      </c>
      <c r="AT278" s="38" t="str">
        <f aca="false">IF(C278="","",IF(LEN(IF(AND(R278&lt;&gt;"",IFERROR(VALUE(MID(R278,2,2)),0)&lt;SG_Criteria!$B$19),"FAIL: grade below C"&amp;SG_Criteria!$B$19&amp;". ","")&amp;IF(AND(S278&lt;&gt;"",S278&lt;SG_Criteria!$B$20),"FAIL: cover &lt; "&amp;SG_Criteria!$B$20&amp;" mm. ","")&amp;IF(AND(W278&lt;&gt;"",W278&lt;1),"FAIL: sliding. ","")&amp;IF(AND(C278="Reverse L-Wall (toe only, at boundary)",N(O278)&gt;0),"NOTE: reverse L-wall should have no heel. ","")&amp;IF(AND(C278="L-Wall (heel only)",N(N278)&gt;0),"NOTE: L-wall should have no toe. ","")&amp;IF(AND(E278&lt;&gt;"",E278&lt;SG_Criteria!$B$31),"NOTE: q below LTA min "&amp;SG_Criteria!$B$31&amp;" kPa (not for LTA works). ",""))=0,"OK",IF(AND(R278&lt;&gt;"",IFERROR(VALUE(MID(R278,2,2)),0)&lt;SG_Criteria!$B$19),"FAIL: grade below C"&amp;SG_Criteria!$B$19&amp;". ","")&amp;IF(AND(S278&lt;&gt;"",S278&lt;SG_Criteria!$B$20),"FAIL: cover &lt; "&amp;SG_Criteria!$B$20&amp;" mm. ","")&amp;IF(AND(W278&lt;&gt;"",W278&lt;1),"FAIL: sliding. ","")&amp;IF(AND(C278="Reverse L-Wall (toe only, at boundary)",N(O278)&gt;0),"NOTE: reverse L-wall should have no heel. ","")&amp;IF(AND(C278="L-Wall (heel only)",N(N278)&gt;0),"NOTE: L-wall should have no toe. ","")&amp;IF(AND(E278&lt;&gt;"",E278&lt;SG_Criteria!$B$31),"NOTE: q below LTA min "&amp;SG_Criteria!$B$31&amp;" kPa (not for LTA works). ","")))</f>
        <v/>
      </c>
      <c r="AU278" s="9"/>
      <c r="AV278" s="9"/>
      <c r="AW278" s="9"/>
      <c r="AX278" s="9"/>
      <c r="AY278" s="9"/>
      <c r="AZ278" s="31"/>
      <c r="BA278" s="10" t="str">
        <f aca="false">IF(C278="","",IF(AND(AB278="Approved",ISERROR(SEARCH("FAIL",AT278))),"Y","N"))</f>
        <v/>
      </c>
      <c r="BB278" s="10" t="str">
        <f aca="false">IF(C278="","",C278&amp;"|"&amp;D278&amp;"|"&amp;E278&amp;"|"&amp;F278&amp;"|"&amp;BA278)</f>
        <v/>
      </c>
    </row>
    <row r="279" customFormat="false" ht="15" hidden="false" customHeight="false" outlineLevel="0" collapsed="false">
      <c r="A279" s="10" t="str">
        <f aca="false">IF(C279="","","RW-"&amp;IFERROR(VLOOKUP(C279,Lists!$M$4:$N$22,2,0),"??")&amp;"-H"&amp;TEXT(D279*1000,"0000")&amp;"-S"&amp;E279&amp;IF(F279="Y","-GW","")&amp;"-"&amp;AA279)</f>
        <v/>
      </c>
      <c r="B279" s="10" t="str">
        <f aca="false">IF(C279="","",C279&amp;", H = "&amp;TEXT(D279,"0.0")&amp;" m, q = "&amp;E279&amp;" kPa"&amp;IF(F279="Y",", with GWT","")&amp;", "&amp;H279)</f>
        <v/>
      </c>
      <c r="C279" s="9"/>
      <c r="D279" s="41"/>
      <c r="E279" s="40"/>
      <c r="F279" s="9"/>
      <c r="G279" s="40"/>
      <c r="H279" s="9"/>
      <c r="I279" s="40"/>
      <c r="J279" s="43"/>
      <c r="K279" s="40"/>
      <c r="L279" s="40"/>
      <c r="M279" s="40"/>
      <c r="N279" s="40"/>
      <c r="O279" s="40"/>
      <c r="P279" s="40"/>
      <c r="Q279" s="9"/>
      <c r="R279" s="9"/>
      <c r="S279" s="40"/>
      <c r="T279" s="9"/>
      <c r="U279" s="9"/>
      <c r="V279" s="9"/>
      <c r="W279" s="41"/>
      <c r="X279" s="41"/>
      <c r="Y279" s="40"/>
      <c r="Z279" s="9"/>
      <c r="AA279" s="9"/>
      <c r="AB279" s="9"/>
      <c r="AC279" s="9"/>
      <c r="AD279" s="9"/>
      <c r="AE279" s="9"/>
      <c r="AF279" s="10" t="str">
        <f aca="false">IF(A279="","",SG_Criteria!$B$6&amp;SG_Criteria!$B$8&amp;"\"&amp;A279&amp;"\")</f>
        <v/>
      </c>
      <c r="AG279" s="10" t="str">
        <f aca="false">IF(A279="","",A279&amp;"_CAD.dwg")</f>
        <v/>
      </c>
      <c r="AH279" s="10" t="str">
        <f aca="false">IF(A279="","",A279&amp;"_DWG.pdf")</f>
        <v/>
      </c>
      <c r="AI279" s="10" t="str">
        <f aca="false">IF(A279="","",IF(AE279="Y",A279&amp;"_STAAD.std","n/a"))</f>
        <v/>
      </c>
      <c r="AJ279" s="10" t="str">
        <f aca="false">IF(A279="","",A279&amp;"_CALC.xlsx")</f>
        <v/>
      </c>
      <c r="AK279" s="10" t="str">
        <f aca="false">IF(A279="","",A279&amp;"_CALC.pdf")</f>
        <v/>
      </c>
      <c r="AL279" s="9"/>
      <c r="AM279" s="9"/>
      <c r="AN279" s="41"/>
      <c r="AO279" s="41"/>
      <c r="AP279" s="41"/>
      <c r="AQ279" s="41"/>
      <c r="AR279" s="41"/>
      <c r="AS279" s="38" t="str">
        <f aca="false">IF(OR(C279="",D279=""),"",IF(D279&lt;=IF(OR(C279="Block / Segmental",C279="Gabion",C279="Reinforced Earth (MSE)"),SG_Criteria!$B$34,SG_Criteria!$B$33),"No ERSS submission",IF(D279&lt;=SG_Criteria!$B$35,"QP(ST)",IF(D279&lt;=SG_Criteria!$B$36,"QP(ST) + AC","Geotechnical building works: QP(Geo) + AC"))))</f>
        <v/>
      </c>
      <c r="AT279" s="38" t="str">
        <f aca="false">IF(C279="","",IF(LEN(IF(AND(R279&lt;&gt;"",IFERROR(VALUE(MID(R279,2,2)),0)&lt;SG_Criteria!$B$19),"FAIL: grade below C"&amp;SG_Criteria!$B$19&amp;". ","")&amp;IF(AND(S279&lt;&gt;"",S279&lt;SG_Criteria!$B$20),"FAIL: cover &lt; "&amp;SG_Criteria!$B$20&amp;" mm. ","")&amp;IF(AND(W279&lt;&gt;"",W279&lt;1),"FAIL: sliding. ","")&amp;IF(AND(C279="Reverse L-Wall (toe only, at boundary)",N(O279)&gt;0),"NOTE: reverse L-wall should have no heel. ","")&amp;IF(AND(C279="L-Wall (heel only)",N(N279)&gt;0),"NOTE: L-wall should have no toe. ","")&amp;IF(AND(E279&lt;&gt;"",E279&lt;SG_Criteria!$B$31),"NOTE: q below LTA min "&amp;SG_Criteria!$B$31&amp;" kPa (not for LTA works). ",""))=0,"OK",IF(AND(R279&lt;&gt;"",IFERROR(VALUE(MID(R279,2,2)),0)&lt;SG_Criteria!$B$19),"FAIL: grade below C"&amp;SG_Criteria!$B$19&amp;". ","")&amp;IF(AND(S279&lt;&gt;"",S279&lt;SG_Criteria!$B$20),"FAIL: cover &lt; "&amp;SG_Criteria!$B$20&amp;" mm. ","")&amp;IF(AND(W279&lt;&gt;"",W279&lt;1),"FAIL: sliding. ","")&amp;IF(AND(C279="Reverse L-Wall (toe only, at boundary)",N(O279)&gt;0),"NOTE: reverse L-wall should have no heel. ","")&amp;IF(AND(C279="L-Wall (heel only)",N(N279)&gt;0),"NOTE: L-wall should have no toe. ","")&amp;IF(AND(E279&lt;&gt;"",E279&lt;SG_Criteria!$B$31),"NOTE: q below LTA min "&amp;SG_Criteria!$B$31&amp;" kPa (not for LTA works). ","")))</f>
        <v/>
      </c>
      <c r="AU279" s="9"/>
      <c r="AV279" s="9"/>
      <c r="AW279" s="9"/>
      <c r="AX279" s="9"/>
      <c r="AY279" s="9"/>
      <c r="AZ279" s="31"/>
      <c r="BA279" s="10" t="str">
        <f aca="false">IF(C279="","",IF(AND(AB279="Approved",ISERROR(SEARCH("FAIL",AT279))),"Y","N"))</f>
        <v/>
      </c>
      <c r="BB279" s="10" t="str">
        <f aca="false">IF(C279="","",C279&amp;"|"&amp;D279&amp;"|"&amp;E279&amp;"|"&amp;F279&amp;"|"&amp;BA279)</f>
        <v/>
      </c>
    </row>
    <row r="280" customFormat="false" ht="15" hidden="false" customHeight="false" outlineLevel="0" collapsed="false">
      <c r="A280" s="10" t="str">
        <f aca="false">IF(C280="","","RW-"&amp;IFERROR(VLOOKUP(C280,Lists!$M$4:$N$22,2,0),"??")&amp;"-H"&amp;TEXT(D280*1000,"0000")&amp;"-S"&amp;E280&amp;IF(F280="Y","-GW","")&amp;"-"&amp;AA280)</f>
        <v/>
      </c>
      <c r="B280" s="10" t="str">
        <f aca="false">IF(C280="","",C280&amp;", H = "&amp;TEXT(D280,"0.0")&amp;" m, q = "&amp;E280&amp;" kPa"&amp;IF(F280="Y",", with GWT","")&amp;", "&amp;H280)</f>
        <v/>
      </c>
      <c r="C280" s="9"/>
      <c r="D280" s="41"/>
      <c r="E280" s="40"/>
      <c r="F280" s="9"/>
      <c r="G280" s="40"/>
      <c r="H280" s="9"/>
      <c r="I280" s="40"/>
      <c r="J280" s="43"/>
      <c r="K280" s="40"/>
      <c r="L280" s="40"/>
      <c r="M280" s="40"/>
      <c r="N280" s="40"/>
      <c r="O280" s="40"/>
      <c r="P280" s="40"/>
      <c r="Q280" s="9"/>
      <c r="R280" s="9"/>
      <c r="S280" s="40"/>
      <c r="T280" s="9"/>
      <c r="U280" s="9"/>
      <c r="V280" s="9"/>
      <c r="W280" s="41"/>
      <c r="X280" s="41"/>
      <c r="Y280" s="40"/>
      <c r="Z280" s="9"/>
      <c r="AA280" s="9"/>
      <c r="AB280" s="9"/>
      <c r="AC280" s="9"/>
      <c r="AD280" s="9"/>
      <c r="AE280" s="9"/>
      <c r="AF280" s="10" t="str">
        <f aca="false">IF(A280="","",SG_Criteria!$B$6&amp;SG_Criteria!$B$8&amp;"\"&amp;A280&amp;"\")</f>
        <v/>
      </c>
      <c r="AG280" s="10" t="str">
        <f aca="false">IF(A280="","",A280&amp;"_CAD.dwg")</f>
        <v/>
      </c>
      <c r="AH280" s="10" t="str">
        <f aca="false">IF(A280="","",A280&amp;"_DWG.pdf")</f>
        <v/>
      </c>
      <c r="AI280" s="10" t="str">
        <f aca="false">IF(A280="","",IF(AE280="Y",A280&amp;"_STAAD.std","n/a"))</f>
        <v/>
      </c>
      <c r="AJ280" s="10" t="str">
        <f aca="false">IF(A280="","",A280&amp;"_CALC.xlsx")</f>
        <v/>
      </c>
      <c r="AK280" s="10" t="str">
        <f aca="false">IF(A280="","",A280&amp;"_CALC.pdf")</f>
        <v/>
      </c>
      <c r="AL280" s="9"/>
      <c r="AM280" s="9"/>
      <c r="AN280" s="41"/>
      <c r="AO280" s="41"/>
      <c r="AP280" s="41"/>
      <c r="AQ280" s="41"/>
      <c r="AR280" s="41"/>
      <c r="AS280" s="38" t="str">
        <f aca="false">IF(OR(C280="",D280=""),"",IF(D280&lt;=IF(OR(C280="Block / Segmental",C280="Gabion",C280="Reinforced Earth (MSE)"),SG_Criteria!$B$34,SG_Criteria!$B$33),"No ERSS submission",IF(D280&lt;=SG_Criteria!$B$35,"QP(ST)",IF(D280&lt;=SG_Criteria!$B$36,"QP(ST) + AC","Geotechnical building works: QP(Geo) + AC"))))</f>
        <v/>
      </c>
      <c r="AT280" s="38" t="str">
        <f aca="false">IF(C280="","",IF(LEN(IF(AND(R280&lt;&gt;"",IFERROR(VALUE(MID(R280,2,2)),0)&lt;SG_Criteria!$B$19),"FAIL: grade below C"&amp;SG_Criteria!$B$19&amp;". ","")&amp;IF(AND(S280&lt;&gt;"",S280&lt;SG_Criteria!$B$20),"FAIL: cover &lt; "&amp;SG_Criteria!$B$20&amp;" mm. ","")&amp;IF(AND(W280&lt;&gt;"",W280&lt;1),"FAIL: sliding. ","")&amp;IF(AND(C280="Reverse L-Wall (toe only, at boundary)",N(O280)&gt;0),"NOTE: reverse L-wall should have no heel. ","")&amp;IF(AND(C280="L-Wall (heel only)",N(N280)&gt;0),"NOTE: L-wall should have no toe. ","")&amp;IF(AND(E280&lt;&gt;"",E280&lt;SG_Criteria!$B$31),"NOTE: q below LTA min "&amp;SG_Criteria!$B$31&amp;" kPa (not for LTA works). ",""))=0,"OK",IF(AND(R280&lt;&gt;"",IFERROR(VALUE(MID(R280,2,2)),0)&lt;SG_Criteria!$B$19),"FAIL: grade below C"&amp;SG_Criteria!$B$19&amp;". ","")&amp;IF(AND(S280&lt;&gt;"",S280&lt;SG_Criteria!$B$20),"FAIL: cover &lt; "&amp;SG_Criteria!$B$20&amp;" mm. ","")&amp;IF(AND(W280&lt;&gt;"",W280&lt;1),"FAIL: sliding. ","")&amp;IF(AND(C280="Reverse L-Wall (toe only, at boundary)",N(O280)&gt;0),"NOTE: reverse L-wall should have no heel. ","")&amp;IF(AND(C280="L-Wall (heel only)",N(N280)&gt;0),"NOTE: L-wall should have no toe. ","")&amp;IF(AND(E280&lt;&gt;"",E280&lt;SG_Criteria!$B$31),"NOTE: q below LTA min "&amp;SG_Criteria!$B$31&amp;" kPa (not for LTA works). ","")))</f>
        <v/>
      </c>
      <c r="AU280" s="9"/>
      <c r="AV280" s="9"/>
      <c r="AW280" s="9"/>
      <c r="AX280" s="9"/>
      <c r="AY280" s="9"/>
      <c r="AZ280" s="31"/>
      <c r="BA280" s="10" t="str">
        <f aca="false">IF(C280="","",IF(AND(AB280="Approved",ISERROR(SEARCH("FAIL",AT280))),"Y","N"))</f>
        <v/>
      </c>
      <c r="BB280" s="10" t="str">
        <f aca="false">IF(C280="","",C280&amp;"|"&amp;D280&amp;"|"&amp;E280&amp;"|"&amp;F280&amp;"|"&amp;BA280)</f>
        <v/>
      </c>
    </row>
    <row r="281" customFormat="false" ht="15" hidden="false" customHeight="false" outlineLevel="0" collapsed="false">
      <c r="A281" s="10" t="str">
        <f aca="false">IF(C281="","","RW-"&amp;IFERROR(VLOOKUP(C281,Lists!$M$4:$N$22,2,0),"??")&amp;"-H"&amp;TEXT(D281*1000,"0000")&amp;"-S"&amp;E281&amp;IF(F281="Y","-GW","")&amp;"-"&amp;AA281)</f>
        <v/>
      </c>
      <c r="B281" s="10" t="str">
        <f aca="false">IF(C281="","",C281&amp;", H = "&amp;TEXT(D281,"0.0")&amp;" m, q = "&amp;E281&amp;" kPa"&amp;IF(F281="Y",", with GWT","")&amp;", "&amp;H281)</f>
        <v/>
      </c>
      <c r="C281" s="9"/>
      <c r="D281" s="41"/>
      <c r="E281" s="40"/>
      <c r="F281" s="9"/>
      <c r="G281" s="40"/>
      <c r="H281" s="9"/>
      <c r="I281" s="40"/>
      <c r="J281" s="43"/>
      <c r="K281" s="40"/>
      <c r="L281" s="40"/>
      <c r="M281" s="40"/>
      <c r="N281" s="40"/>
      <c r="O281" s="40"/>
      <c r="P281" s="40"/>
      <c r="Q281" s="9"/>
      <c r="R281" s="9"/>
      <c r="S281" s="40"/>
      <c r="T281" s="9"/>
      <c r="U281" s="9"/>
      <c r="V281" s="9"/>
      <c r="W281" s="41"/>
      <c r="X281" s="41"/>
      <c r="Y281" s="40"/>
      <c r="Z281" s="9"/>
      <c r="AA281" s="9"/>
      <c r="AB281" s="9"/>
      <c r="AC281" s="9"/>
      <c r="AD281" s="9"/>
      <c r="AE281" s="9"/>
      <c r="AF281" s="10" t="str">
        <f aca="false">IF(A281="","",SG_Criteria!$B$6&amp;SG_Criteria!$B$8&amp;"\"&amp;A281&amp;"\")</f>
        <v/>
      </c>
      <c r="AG281" s="10" t="str">
        <f aca="false">IF(A281="","",A281&amp;"_CAD.dwg")</f>
        <v/>
      </c>
      <c r="AH281" s="10" t="str">
        <f aca="false">IF(A281="","",A281&amp;"_DWG.pdf")</f>
        <v/>
      </c>
      <c r="AI281" s="10" t="str">
        <f aca="false">IF(A281="","",IF(AE281="Y",A281&amp;"_STAAD.std","n/a"))</f>
        <v/>
      </c>
      <c r="AJ281" s="10" t="str">
        <f aca="false">IF(A281="","",A281&amp;"_CALC.xlsx")</f>
        <v/>
      </c>
      <c r="AK281" s="10" t="str">
        <f aca="false">IF(A281="","",A281&amp;"_CALC.pdf")</f>
        <v/>
      </c>
      <c r="AL281" s="9"/>
      <c r="AM281" s="9"/>
      <c r="AN281" s="41"/>
      <c r="AO281" s="41"/>
      <c r="AP281" s="41"/>
      <c r="AQ281" s="41"/>
      <c r="AR281" s="41"/>
      <c r="AS281" s="38" t="str">
        <f aca="false">IF(OR(C281="",D281=""),"",IF(D281&lt;=IF(OR(C281="Block / Segmental",C281="Gabion",C281="Reinforced Earth (MSE)"),SG_Criteria!$B$34,SG_Criteria!$B$33),"No ERSS submission",IF(D281&lt;=SG_Criteria!$B$35,"QP(ST)",IF(D281&lt;=SG_Criteria!$B$36,"QP(ST) + AC","Geotechnical building works: QP(Geo) + AC"))))</f>
        <v/>
      </c>
      <c r="AT281" s="38" t="str">
        <f aca="false">IF(C281="","",IF(LEN(IF(AND(R281&lt;&gt;"",IFERROR(VALUE(MID(R281,2,2)),0)&lt;SG_Criteria!$B$19),"FAIL: grade below C"&amp;SG_Criteria!$B$19&amp;". ","")&amp;IF(AND(S281&lt;&gt;"",S281&lt;SG_Criteria!$B$20),"FAIL: cover &lt; "&amp;SG_Criteria!$B$20&amp;" mm. ","")&amp;IF(AND(W281&lt;&gt;"",W281&lt;1),"FAIL: sliding. ","")&amp;IF(AND(C281="Reverse L-Wall (toe only, at boundary)",N(O281)&gt;0),"NOTE: reverse L-wall should have no heel. ","")&amp;IF(AND(C281="L-Wall (heel only)",N(N281)&gt;0),"NOTE: L-wall should have no toe. ","")&amp;IF(AND(E281&lt;&gt;"",E281&lt;SG_Criteria!$B$31),"NOTE: q below LTA min "&amp;SG_Criteria!$B$31&amp;" kPa (not for LTA works). ",""))=0,"OK",IF(AND(R281&lt;&gt;"",IFERROR(VALUE(MID(R281,2,2)),0)&lt;SG_Criteria!$B$19),"FAIL: grade below C"&amp;SG_Criteria!$B$19&amp;". ","")&amp;IF(AND(S281&lt;&gt;"",S281&lt;SG_Criteria!$B$20),"FAIL: cover &lt; "&amp;SG_Criteria!$B$20&amp;" mm. ","")&amp;IF(AND(W281&lt;&gt;"",W281&lt;1),"FAIL: sliding. ","")&amp;IF(AND(C281="Reverse L-Wall (toe only, at boundary)",N(O281)&gt;0),"NOTE: reverse L-wall should have no heel. ","")&amp;IF(AND(C281="L-Wall (heel only)",N(N281)&gt;0),"NOTE: L-wall should have no toe. ","")&amp;IF(AND(E281&lt;&gt;"",E281&lt;SG_Criteria!$B$31),"NOTE: q below LTA min "&amp;SG_Criteria!$B$31&amp;" kPa (not for LTA works). ","")))</f>
        <v/>
      </c>
      <c r="AU281" s="9"/>
      <c r="AV281" s="9"/>
      <c r="AW281" s="9"/>
      <c r="AX281" s="9"/>
      <c r="AY281" s="9"/>
      <c r="AZ281" s="31"/>
      <c r="BA281" s="10" t="str">
        <f aca="false">IF(C281="","",IF(AND(AB281="Approved",ISERROR(SEARCH("FAIL",AT281))),"Y","N"))</f>
        <v/>
      </c>
      <c r="BB281" s="10" t="str">
        <f aca="false">IF(C281="","",C281&amp;"|"&amp;D281&amp;"|"&amp;E281&amp;"|"&amp;F281&amp;"|"&amp;BA281)</f>
        <v/>
      </c>
    </row>
    <row r="282" customFormat="false" ht="15" hidden="false" customHeight="false" outlineLevel="0" collapsed="false">
      <c r="A282" s="10" t="str">
        <f aca="false">IF(C282="","","RW-"&amp;IFERROR(VLOOKUP(C282,Lists!$M$4:$N$22,2,0),"??")&amp;"-H"&amp;TEXT(D282*1000,"0000")&amp;"-S"&amp;E282&amp;IF(F282="Y","-GW","")&amp;"-"&amp;AA282)</f>
        <v/>
      </c>
      <c r="B282" s="10" t="str">
        <f aca="false">IF(C282="","",C282&amp;", H = "&amp;TEXT(D282,"0.0")&amp;" m, q = "&amp;E282&amp;" kPa"&amp;IF(F282="Y",", with GWT","")&amp;", "&amp;H282)</f>
        <v/>
      </c>
      <c r="C282" s="9"/>
      <c r="D282" s="41"/>
      <c r="E282" s="40"/>
      <c r="F282" s="9"/>
      <c r="G282" s="40"/>
      <c r="H282" s="9"/>
      <c r="I282" s="40"/>
      <c r="J282" s="43"/>
      <c r="K282" s="40"/>
      <c r="L282" s="40"/>
      <c r="M282" s="40"/>
      <c r="N282" s="40"/>
      <c r="O282" s="40"/>
      <c r="P282" s="40"/>
      <c r="Q282" s="9"/>
      <c r="R282" s="9"/>
      <c r="S282" s="40"/>
      <c r="T282" s="9"/>
      <c r="U282" s="9"/>
      <c r="V282" s="9"/>
      <c r="W282" s="41"/>
      <c r="X282" s="41"/>
      <c r="Y282" s="40"/>
      <c r="Z282" s="9"/>
      <c r="AA282" s="9"/>
      <c r="AB282" s="9"/>
      <c r="AC282" s="9"/>
      <c r="AD282" s="9"/>
      <c r="AE282" s="9"/>
      <c r="AF282" s="10" t="str">
        <f aca="false">IF(A282="","",SG_Criteria!$B$6&amp;SG_Criteria!$B$8&amp;"\"&amp;A282&amp;"\")</f>
        <v/>
      </c>
      <c r="AG282" s="10" t="str">
        <f aca="false">IF(A282="","",A282&amp;"_CAD.dwg")</f>
        <v/>
      </c>
      <c r="AH282" s="10" t="str">
        <f aca="false">IF(A282="","",A282&amp;"_DWG.pdf")</f>
        <v/>
      </c>
      <c r="AI282" s="10" t="str">
        <f aca="false">IF(A282="","",IF(AE282="Y",A282&amp;"_STAAD.std","n/a"))</f>
        <v/>
      </c>
      <c r="AJ282" s="10" t="str">
        <f aca="false">IF(A282="","",A282&amp;"_CALC.xlsx")</f>
        <v/>
      </c>
      <c r="AK282" s="10" t="str">
        <f aca="false">IF(A282="","",A282&amp;"_CALC.pdf")</f>
        <v/>
      </c>
      <c r="AL282" s="9"/>
      <c r="AM282" s="9"/>
      <c r="AN282" s="41"/>
      <c r="AO282" s="41"/>
      <c r="AP282" s="41"/>
      <c r="AQ282" s="41"/>
      <c r="AR282" s="41"/>
      <c r="AS282" s="38" t="str">
        <f aca="false">IF(OR(C282="",D282=""),"",IF(D282&lt;=IF(OR(C282="Block / Segmental",C282="Gabion",C282="Reinforced Earth (MSE)"),SG_Criteria!$B$34,SG_Criteria!$B$33),"No ERSS submission",IF(D282&lt;=SG_Criteria!$B$35,"QP(ST)",IF(D282&lt;=SG_Criteria!$B$36,"QP(ST) + AC","Geotechnical building works: QP(Geo) + AC"))))</f>
        <v/>
      </c>
      <c r="AT282" s="38" t="str">
        <f aca="false">IF(C282="","",IF(LEN(IF(AND(R282&lt;&gt;"",IFERROR(VALUE(MID(R282,2,2)),0)&lt;SG_Criteria!$B$19),"FAIL: grade below C"&amp;SG_Criteria!$B$19&amp;". ","")&amp;IF(AND(S282&lt;&gt;"",S282&lt;SG_Criteria!$B$20),"FAIL: cover &lt; "&amp;SG_Criteria!$B$20&amp;" mm. ","")&amp;IF(AND(W282&lt;&gt;"",W282&lt;1),"FAIL: sliding. ","")&amp;IF(AND(C282="Reverse L-Wall (toe only, at boundary)",N(O282)&gt;0),"NOTE: reverse L-wall should have no heel. ","")&amp;IF(AND(C282="L-Wall (heel only)",N(N282)&gt;0),"NOTE: L-wall should have no toe. ","")&amp;IF(AND(E282&lt;&gt;"",E282&lt;SG_Criteria!$B$31),"NOTE: q below LTA min "&amp;SG_Criteria!$B$31&amp;" kPa (not for LTA works). ",""))=0,"OK",IF(AND(R282&lt;&gt;"",IFERROR(VALUE(MID(R282,2,2)),0)&lt;SG_Criteria!$B$19),"FAIL: grade below C"&amp;SG_Criteria!$B$19&amp;". ","")&amp;IF(AND(S282&lt;&gt;"",S282&lt;SG_Criteria!$B$20),"FAIL: cover &lt; "&amp;SG_Criteria!$B$20&amp;" mm. ","")&amp;IF(AND(W282&lt;&gt;"",W282&lt;1),"FAIL: sliding. ","")&amp;IF(AND(C282="Reverse L-Wall (toe only, at boundary)",N(O282)&gt;0),"NOTE: reverse L-wall should have no heel. ","")&amp;IF(AND(C282="L-Wall (heel only)",N(N282)&gt;0),"NOTE: L-wall should have no toe. ","")&amp;IF(AND(E282&lt;&gt;"",E282&lt;SG_Criteria!$B$31),"NOTE: q below LTA min "&amp;SG_Criteria!$B$31&amp;" kPa (not for LTA works). ","")))</f>
        <v/>
      </c>
      <c r="AU282" s="9"/>
      <c r="AV282" s="9"/>
      <c r="AW282" s="9"/>
      <c r="AX282" s="9"/>
      <c r="AY282" s="9"/>
      <c r="AZ282" s="31"/>
      <c r="BA282" s="10" t="str">
        <f aca="false">IF(C282="","",IF(AND(AB282="Approved",ISERROR(SEARCH("FAIL",AT282))),"Y","N"))</f>
        <v/>
      </c>
      <c r="BB282" s="10" t="str">
        <f aca="false">IF(C282="","",C282&amp;"|"&amp;D282&amp;"|"&amp;E282&amp;"|"&amp;F282&amp;"|"&amp;BA282)</f>
        <v/>
      </c>
    </row>
    <row r="283" customFormat="false" ht="15" hidden="false" customHeight="false" outlineLevel="0" collapsed="false">
      <c r="A283" s="10" t="str">
        <f aca="false">IF(C283="","","RW-"&amp;IFERROR(VLOOKUP(C283,Lists!$M$4:$N$22,2,0),"??")&amp;"-H"&amp;TEXT(D283*1000,"0000")&amp;"-S"&amp;E283&amp;IF(F283="Y","-GW","")&amp;"-"&amp;AA283)</f>
        <v/>
      </c>
      <c r="B283" s="10" t="str">
        <f aca="false">IF(C283="","",C283&amp;", H = "&amp;TEXT(D283,"0.0")&amp;" m, q = "&amp;E283&amp;" kPa"&amp;IF(F283="Y",", with GWT","")&amp;", "&amp;H283)</f>
        <v/>
      </c>
      <c r="C283" s="9"/>
      <c r="D283" s="41"/>
      <c r="E283" s="40"/>
      <c r="F283" s="9"/>
      <c r="G283" s="40"/>
      <c r="H283" s="9"/>
      <c r="I283" s="40"/>
      <c r="J283" s="43"/>
      <c r="K283" s="40"/>
      <c r="L283" s="40"/>
      <c r="M283" s="40"/>
      <c r="N283" s="40"/>
      <c r="O283" s="40"/>
      <c r="P283" s="40"/>
      <c r="Q283" s="9"/>
      <c r="R283" s="9"/>
      <c r="S283" s="40"/>
      <c r="T283" s="9"/>
      <c r="U283" s="9"/>
      <c r="V283" s="9"/>
      <c r="W283" s="41"/>
      <c r="X283" s="41"/>
      <c r="Y283" s="40"/>
      <c r="Z283" s="9"/>
      <c r="AA283" s="9"/>
      <c r="AB283" s="9"/>
      <c r="AC283" s="9"/>
      <c r="AD283" s="9"/>
      <c r="AE283" s="9"/>
      <c r="AF283" s="10" t="str">
        <f aca="false">IF(A283="","",SG_Criteria!$B$6&amp;SG_Criteria!$B$8&amp;"\"&amp;A283&amp;"\")</f>
        <v/>
      </c>
      <c r="AG283" s="10" t="str">
        <f aca="false">IF(A283="","",A283&amp;"_CAD.dwg")</f>
        <v/>
      </c>
      <c r="AH283" s="10" t="str">
        <f aca="false">IF(A283="","",A283&amp;"_DWG.pdf")</f>
        <v/>
      </c>
      <c r="AI283" s="10" t="str">
        <f aca="false">IF(A283="","",IF(AE283="Y",A283&amp;"_STAAD.std","n/a"))</f>
        <v/>
      </c>
      <c r="AJ283" s="10" t="str">
        <f aca="false">IF(A283="","",A283&amp;"_CALC.xlsx")</f>
        <v/>
      </c>
      <c r="AK283" s="10" t="str">
        <f aca="false">IF(A283="","",A283&amp;"_CALC.pdf")</f>
        <v/>
      </c>
      <c r="AL283" s="9"/>
      <c r="AM283" s="9"/>
      <c r="AN283" s="41"/>
      <c r="AO283" s="41"/>
      <c r="AP283" s="41"/>
      <c r="AQ283" s="41"/>
      <c r="AR283" s="41"/>
      <c r="AS283" s="38" t="str">
        <f aca="false">IF(OR(C283="",D283=""),"",IF(D283&lt;=IF(OR(C283="Block / Segmental",C283="Gabion",C283="Reinforced Earth (MSE)"),SG_Criteria!$B$34,SG_Criteria!$B$33),"No ERSS submission",IF(D283&lt;=SG_Criteria!$B$35,"QP(ST)",IF(D283&lt;=SG_Criteria!$B$36,"QP(ST) + AC","Geotechnical building works: QP(Geo) + AC"))))</f>
        <v/>
      </c>
      <c r="AT283" s="38" t="str">
        <f aca="false">IF(C283="","",IF(LEN(IF(AND(R283&lt;&gt;"",IFERROR(VALUE(MID(R283,2,2)),0)&lt;SG_Criteria!$B$19),"FAIL: grade below C"&amp;SG_Criteria!$B$19&amp;". ","")&amp;IF(AND(S283&lt;&gt;"",S283&lt;SG_Criteria!$B$20),"FAIL: cover &lt; "&amp;SG_Criteria!$B$20&amp;" mm. ","")&amp;IF(AND(W283&lt;&gt;"",W283&lt;1),"FAIL: sliding. ","")&amp;IF(AND(C283="Reverse L-Wall (toe only, at boundary)",N(O283)&gt;0),"NOTE: reverse L-wall should have no heel. ","")&amp;IF(AND(C283="L-Wall (heel only)",N(N283)&gt;0),"NOTE: L-wall should have no toe. ","")&amp;IF(AND(E283&lt;&gt;"",E283&lt;SG_Criteria!$B$31),"NOTE: q below LTA min "&amp;SG_Criteria!$B$31&amp;" kPa (not for LTA works). ",""))=0,"OK",IF(AND(R283&lt;&gt;"",IFERROR(VALUE(MID(R283,2,2)),0)&lt;SG_Criteria!$B$19),"FAIL: grade below C"&amp;SG_Criteria!$B$19&amp;". ","")&amp;IF(AND(S283&lt;&gt;"",S283&lt;SG_Criteria!$B$20),"FAIL: cover &lt; "&amp;SG_Criteria!$B$20&amp;" mm. ","")&amp;IF(AND(W283&lt;&gt;"",W283&lt;1),"FAIL: sliding. ","")&amp;IF(AND(C283="Reverse L-Wall (toe only, at boundary)",N(O283)&gt;0),"NOTE: reverse L-wall should have no heel. ","")&amp;IF(AND(C283="L-Wall (heel only)",N(N283)&gt;0),"NOTE: L-wall should have no toe. ","")&amp;IF(AND(E283&lt;&gt;"",E283&lt;SG_Criteria!$B$31),"NOTE: q below LTA min "&amp;SG_Criteria!$B$31&amp;" kPa (not for LTA works). ","")))</f>
        <v/>
      </c>
      <c r="AU283" s="9"/>
      <c r="AV283" s="9"/>
      <c r="AW283" s="9"/>
      <c r="AX283" s="9"/>
      <c r="AY283" s="9"/>
      <c r="AZ283" s="31"/>
      <c r="BA283" s="10" t="str">
        <f aca="false">IF(C283="","",IF(AND(AB283="Approved",ISERROR(SEARCH("FAIL",AT283))),"Y","N"))</f>
        <v/>
      </c>
      <c r="BB283" s="10" t="str">
        <f aca="false">IF(C283="","",C283&amp;"|"&amp;D283&amp;"|"&amp;E283&amp;"|"&amp;F283&amp;"|"&amp;BA283)</f>
        <v/>
      </c>
    </row>
    <row r="284" customFormat="false" ht="15" hidden="false" customHeight="false" outlineLevel="0" collapsed="false">
      <c r="A284" s="10" t="str">
        <f aca="false">IF(C284="","","RW-"&amp;IFERROR(VLOOKUP(C284,Lists!$M$4:$N$22,2,0),"??")&amp;"-H"&amp;TEXT(D284*1000,"0000")&amp;"-S"&amp;E284&amp;IF(F284="Y","-GW","")&amp;"-"&amp;AA284)</f>
        <v/>
      </c>
      <c r="B284" s="10" t="str">
        <f aca="false">IF(C284="","",C284&amp;", H = "&amp;TEXT(D284,"0.0")&amp;" m, q = "&amp;E284&amp;" kPa"&amp;IF(F284="Y",", with GWT","")&amp;", "&amp;H284)</f>
        <v/>
      </c>
      <c r="C284" s="9"/>
      <c r="D284" s="41"/>
      <c r="E284" s="40"/>
      <c r="F284" s="9"/>
      <c r="G284" s="40"/>
      <c r="H284" s="9"/>
      <c r="I284" s="40"/>
      <c r="J284" s="43"/>
      <c r="K284" s="40"/>
      <c r="L284" s="40"/>
      <c r="M284" s="40"/>
      <c r="N284" s="40"/>
      <c r="O284" s="40"/>
      <c r="P284" s="40"/>
      <c r="Q284" s="9"/>
      <c r="R284" s="9"/>
      <c r="S284" s="40"/>
      <c r="T284" s="9"/>
      <c r="U284" s="9"/>
      <c r="V284" s="9"/>
      <c r="W284" s="41"/>
      <c r="X284" s="41"/>
      <c r="Y284" s="40"/>
      <c r="Z284" s="9"/>
      <c r="AA284" s="9"/>
      <c r="AB284" s="9"/>
      <c r="AC284" s="9"/>
      <c r="AD284" s="9"/>
      <c r="AE284" s="9"/>
      <c r="AF284" s="10" t="str">
        <f aca="false">IF(A284="","",SG_Criteria!$B$6&amp;SG_Criteria!$B$8&amp;"\"&amp;A284&amp;"\")</f>
        <v/>
      </c>
      <c r="AG284" s="10" t="str">
        <f aca="false">IF(A284="","",A284&amp;"_CAD.dwg")</f>
        <v/>
      </c>
      <c r="AH284" s="10" t="str">
        <f aca="false">IF(A284="","",A284&amp;"_DWG.pdf")</f>
        <v/>
      </c>
      <c r="AI284" s="10" t="str">
        <f aca="false">IF(A284="","",IF(AE284="Y",A284&amp;"_STAAD.std","n/a"))</f>
        <v/>
      </c>
      <c r="AJ284" s="10" t="str">
        <f aca="false">IF(A284="","",A284&amp;"_CALC.xlsx")</f>
        <v/>
      </c>
      <c r="AK284" s="10" t="str">
        <f aca="false">IF(A284="","",A284&amp;"_CALC.pdf")</f>
        <v/>
      </c>
      <c r="AL284" s="9"/>
      <c r="AM284" s="9"/>
      <c r="AN284" s="41"/>
      <c r="AO284" s="41"/>
      <c r="AP284" s="41"/>
      <c r="AQ284" s="41"/>
      <c r="AR284" s="41"/>
      <c r="AS284" s="38" t="str">
        <f aca="false">IF(OR(C284="",D284=""),"",IF(D284&lt;=IF(OR(C284="Block / Segmental",C284="Gabion",C284="Reinforced Earth (MSE)"),SG_Criteria!$B$34,SG_Criteria!$B$33),"No ERSS submission",IF(D284&lt;=SG_Criteria!$B$35,"QP(ST)",IF(D284&lt;=SG_Criteria!$B$36,"QP(ST) + AC","Geotechnical building works: QP(Geo) + AC"))))</f>
        <v/>
      </c>
      <c r="AT284" s="38" t="str">
        <f aca="false">IF(C284="","",IF(LEN(IF(AND(R284&lt;&gt;"",IFERROR(VALUE(MID(R284,2,2)),0)&lt;SG_Criteria!$B$19),"FAIL: grade below C"&amp;SG_Criteria!$B$19&amp;". ","")&amp;IF(AND(S284&lt;&gt;"",S284&lt;SG_Criteria!$B$20),"FAIL: cover &lt; "&amp;SG_Criteria!$B$20&amp;" mm. ","")&amp;IF(AND(W284&lt;&gt;"",W284&lt;1),"FAIL: sliding. ","")&amp;IF(AND(C284="Reverse L-Wall (toe only, at boundary)",N(O284)&gt;0),"NOTE: reverse L-wall should have no heel. ","")&amp;IF(AND(C284="L-Wall (heel only)",N(N284)&gt;0),"NOTE: L-wall should have no toe. ","")&amp;IF(AND(E284&lt;&gt;"",E284&lt;SG_Criteria!$B$31),"NOTE: q below LTA min "&amp;SG_Criteria!$B$31&amp;" kPa (not for LTA works). ",""))=0,"OK",IF(AND(R284&lt;&gt;"",IFERROR(VALUE(MID(R284,2,2)),0)&lt;SG_Criteria!$B$19),"FAIL: grade below C"&amp;SG_Criteria!$B$19&amp;". ","")&amp;IF(AND(S284&lt;&gt;"",S284&lt;SG_Criteria!$B$20),"FAIL: cover &lt; "&amp;SG_Criteria!$B$20&amp;" mm. ","")&amp;IF(AND(W284&lt;&gt;"",W284&lt;1),"FAIL: sliding. ","")&amp;IF(AND(C284="Reverse L-Wall (toe only, at boundary)",N(O284)&gt;0),"NOTE: reverse L-wall should have no heel. ","")&amp;IF(AND(C284="L-Wall (heel only)",N(N284)&gt;0),"NOTE: L-wall should have no toe. ","")&amp;IF(AND(E284&lt;&gt;"",E284&lt;SG_Criteria!$B$31),"NOTE: q below LTA min "&amp;SG_Criteria!$B$31&amp;" kPa (not for LTA works). ","")))</f>
        <v/>
      </c>
      <c r="AU284" s="9"/>
      <c r="AV284" s="9"/>
      <c r="AW284" s="9"/>
      <c r="AX284" s="9"/>
      <c r="AY284" s="9"/>
      <c r="AZ284" s="31"/>
      <c r="BA284" s="10" t="str">
        <f aca="false">IF(C284="","",IF(AND(AB284="Approved",ISERROR(SEARCH("FAIL",AT284))),"Y","N"))</f>
        <v/>
      </c>
      <c r="BB284" s="10" t="str">
        <f aca="false">IF(C284="","",C284&amp;"|"&amp;D284&amp;"|"&amp;E284&amp;"|"&amp;F284&amp;"|"&amp;BA284)</f>
        <v/>
      </c>
    </row>
    <row r="285" customFormat="false" ht="15" hidden="false" customHeight="false" outlineLevel="0" collapsed="false">
      <c r="A285" s="10" t="str">
        <f aca="false">IF(C285="","","RW-"&amp;IFERROR(VLOOKUP(C285,Lists!$M$4:$N$22,2,0),"??")&amp;"-H"&amp;TEXT(D285*1000,"0000")&amp;"-S"&amp;E285&amp;IF(F285="Y","-GW","")&amp;"-"&amp;AA285)</f>
        <v/>
      </c>
      <c r="B285" s="10" t="str">
        <f aca="false">IF(C285="","",C285&amp;", H = "&amp;TEXT(D285,"0.0")&amp;" m, q = "&amp;E285&amp;" kPa"&amp;IF(F285="Y",", with GWT","")&amp;", "&amp;H285)</f>
        <v/>
      </c>
      <c r="C285" s="9"/>
      <c r="D285" s="41"/>
      <c r="E285" s="40"/>
      <c r="F285" s="9"/>
      <c r="G285" s="40"/>
      <c r="H285" s="9"/>
      <c r="I285" s="40"/>
      <c r="J285" s="43"/>
      <c r="K285" s="40"/>
      <c r="L285" s="40"/>
      <c r="M285" s="40"/>
      <c r="N285" s="40"/>
      <c r="O285" s="40"/>
      <c r="P285" s="40"/>
      <c r="Q285" s="9"/>
      <c r="R285" s="9"/>
      <c r="S285" s="40"/>
      <c r="T285" s="9"/>
      <c r="U285" s="9"/>
      <c r="V285" s="9"/>
      <c r="W285" s="41"/>
      <c r="X285" s="41"/>
      <c r="Y285" s="40"/>
      <c r="Z285" s="9"/>
      <c r="AA285" s="9"/>
      <c r="AB285" s="9"/>
      <c r="AC285" s="9"/>
      <c r="AD285" s="9"/>
      <c r="AE285" s="9"/>
      <c r="AF285" s="10" t="str">
        <f aca="false">IF(A285="","",SG_Criteria!$B$6&amp;SG_Criteria!$B$8&amp;"\"&amp;A285&amp;"\")</f>
        <v/>
      </c>
      <c r="AG285" s="10" t="str">
        <f aca="false">IF(A285="","",A285&amp;"_CAD.dwg")</f>
        <v/>
      </c>
      <c r="AH285" s="10" t="str">
        <f aca="false">IF(A285="","",A285&amp;"_DWG.pdf")</f>
        <v/>
      </c>
      <c r="AI285" s="10" t="str">
        <f aca="false">IF(A285="","",IF(AE285="Y",A285&amp;"_STAAD.std","n/a"))</f>
        <v/>
      </c>
      <c r="AJ285" s="10" t="str">
        <f aca="false">IF(A285="","",A285&amp;"_CALC.xlsx")</f>
        <v/>
      </c>
      <c r="AK285" s="10" t="str">
        <f aca="false">IF(A285="","",A285&amp;"_CALC.pdf")</f>
        <v/>
      </c>
      <c r="AL285" s="9"/>
      <c r="AM285" s="9"/>
      <c r="AN285" s="41"/>
      <c r="AO285" s="41"/>
      <c r="AP285" s="41"/>
      <c r="AQ285" s="41"/>
      <c r="AR285" s="41"/>
      <c r="AS285" s="38" t="str">
        <f aca="false">IF(OR(C285="",D285=""),"",IF(D285&lt;=IF(OR(C285="Block / Segmental",C285="Gabion",C285="Reinforced Earth (MSE)"),SG_Criteria!$B$34,SG_Criteria!$B$33),"No ERSS submission",IF(D285&lt;=SG_Criteria!$B$35,"QP(ST)",IF(D285&lt;=SG_Criteria!$B$36,"QP(ST) + AC","Geotechnical building works: QP(Geo) + AC"))))</f>
        <v/>
      </c>
      <c r="AT285" s="38" t="str">
        <f aca="false">IF(C285="","",IF(LEN(IF(AND(R285&lt;&gt;"",IFERROR(VALUE(MID(R285,2,2)),0)&lt;SG_Criteria!$B$19),"FAIL: grade below C"&amp;SG_Criteria!$B$19&amp;". ","")&amp;IF(AND(S285&lt;&gt;"",S285&lt;SG_Criteria!$B$20),"FAIL: cover &lt; "&amp;SG_Criteria!$B$20&amp;" mm. ","")&amp;IF(AND(W285&lt;&gt;"",W285&lt;1),"FAIL: sliding. ","")&amp;IF(AND(C285="Reverse L-Wall (toe only, at boundary)",N(O285)&gt;0),"NOTE: reverse L-wall should have no heel. ","")&amp;IF(AND(C285="L-Wall (heel only)",N(N285)&gt;0),"NOTE: L-wall should have no toe. ","")&amp;IF(AND(E285&lt;&gt;"",E285&lt;SG_Criteria!$B$31),"NOTE: q below LTA min "&amp;SG_Criteria!$B$31&amp;" kPa (not for LTA works). ",""))=0,"OK",IF(AND(R285&lt;&gt;"",IFERROR(VALUE(MID(R285,2,2)),0)&lt;SG_Criteria!$B$19),"FAIL: grade below C"&amp;SG_Criteria!$B$19&amp;". ","")&amp;IF(AND(S285&lt;&gt;"",S285&lt;SG_Criteria!$B$20),"FAIL: cover &lt; "&amp;SG_Criteria!$B$20&amp;" mm. ","")&amp;IF(AND(W285&lt;&gt;"",W285&lt;1),"FAIL: sliding. ","")&amp;IF(AND(C285="Reverse L-Wall (toe only, at boundary)",N(O285)&gt;0),"NOTE: reverse L-wall should have no heel. ","")&amp;IF(AND(C285="L-Wall (heel only)",N(N285)&gt;0),"NOTE: L-wall should have no toe. ","")&amp;IF(AND(E285&lt;&gt;"",E285&lt;SG_Criteria!$B$31),"NOTE: q below LTA min "&amp;SG_Criteria!$B$31&amp;" kPa (not for LTA works). ","")))</f>
        <v/>
      </c>
      <c r="AU285" s="9"/>
      <c r="AV285" s="9"/>
      <c r="AW285" s="9"/>
      <c r="AX285" s="9"/>
      <c r="AY285" s="9"/>
      <c r="AZ285" s="31"/>
      <c r="BA285" s="10" t="str">
        <f aca="false">IF(C285="","",IF(AND(AB285="Approved",ISERROR(SEARCH("FAIL",AT285))),"Y","N"))</f>
        <v/>
      </c>
      <c r="BB285" s="10" t="str">
        <f aca="false">IF(C285="","",C285&amp;"|"&amp;D285&amp;"|"&amp;E285&amp;"|"&amp;F285&amp;"|"&amp;BA285)</f>
        <v/>
      </c>
    </row>
    <row r="286" customFormat="false" ht="15" hidden="false" customHeight="false" outlineLevel="0" collapsed="false">
      <c r="A286" s="10" t="str">
        <f aca="false">IF(C286="","","RW-"&amp;IFERROR(VLOOKUP(C286,Lists!$M$4:$N$22,2,0),"??")&amp;"-H"&amp;TEXT(D286*1000,"0000")&amp;"-S"&amp;E286&amp;IF(F286="Y","-GW","")&amp;"-"&amp;AA286)</f>
        <v/>
      </c>
      <c r="B286" s="10" t="str">
        <f aca="false">IF(C286="","",C286&amp;", H = "&amp;TEXT(D286,"0.0")&amp;" m, q = "&amp;E286&amp;" kPa"&amp;IF(F286="Y",", with GWT","")&amp;", "&amp;H286)</f>
        <v/>
      </c>
      <c r="C286" s="9"/>
      <c r="D286" s="41"/>
      <c r="E286" s="40"/>
      <c r="F286" s="9"/>
      <c r="G286" s="40"/>
      <c r="H286" s="9"/>
      <c r="I286" s="40"/>
      <c r="J286" s="43"/>
      <c r="K286" s="40"/>
      <c r="L286" s="40"/>
      <c r="M286" s="40"/>
      <c r="N286" s="40"/>
      <c r="O286" s="40"/>
      <c r="P286" s="40"/>
      <c r="Q286" s="9"/>
      <c r="R286" s="9"/>
      <c r="S286" s="40"/>
      <c r="T286" s="9"/>
      <c r="U286" s="9"/>
      <c r="V286" s="9"/>
      <c r="W286" s="41"/>
      <c r="X286" s="41"/>
      <c r="Y286" s="40"/>
      <c r="Z286" s="9"/>
      <c r="AA286" s="9"/>
      <c r="AB286" s="9"/>
      <c r="AC286" s="9"/>
      <c r="AD286" s="9"/>
      <c r="AE286" s="9"/>
      <c r="AF286" s="10" t="str">
        <f aca="false">IF(A286="","",SG_Criteria!$B$6&amp;SG_Criteria!$B$8&amp;"\"&amp;A286&amp;"\")</f>
        <v/>
      </c>
      <c r="AG286" s="10" t="str">
        <f aca="false">IF(A286="","",A286&amp;"_CAD.dwg")</f>
        <v/>
      </c>
      <c r="AH286" s="10" t="str">
        <f aca="false">IF(A286="","",A286&amp;"_DWG.pdf")</f>
        <v/>
      </c>
      <c r="AI286" s="10" t="str">
        <f aca="false">IF(A286="","",IF(AE286="Y",A286&amp;"_STAAD.std","n/a"))</f>
        <v/>
      </c>
      <c r="AJ286" s="10" t="str">
        <f aca="false">IF(A286="","",A286&amp;"_CALC.xlsx")</f>
        <v/>
      </c>
      <c r="AK286" s="10" t="str">
        <f aca="false">IF(A286="","",A286&amp;"_CALC.pdf")</f>
        <v/>
      </c>
      <c r="AL286" s="9"/>
      <c r="AM286" s="9"/>
      <c r="AN286" s="41"/>
      <c r="AO286" s="41"/>
      <c r="AP286" s="41"/>
      <c r="AQ286" s="41"/>
      <c r="AR286" s="41"/>
      <c r="AS286" s="38" t="str">
        <f aca="false">IF(OR(C286="",D286=""),"",IF(D286&lt;=IF(OR(C286="Block / Segmental",C286="Gabion",C286="Reinforced Earth (MSE)"),SG_Criteria!$B$34,SG_Criteria!$B$33),"No ERSS submission",IF(D286&lt;=SG_Criteria!$B$35,"QP(ST)",IF(D286&lt;=SG_Criteria!$B$36,"QP(ST) + AC","Geotechnical building works: QP(Geo) + AC"))))</f>
        <v/>
      </c>
      <c r="AT286" s="38" t="str">
        <f aca="false">IF(C286="","",IF(LEN(IF(AND(R286&lt;&gt;"",IFERROR(VALUE(MID(R286,2,2)),0)&lt;SG_Criteria!$B$19),"FAIL: grade below C"&amp;SG_Criteria!$B$19&amp;". ","")&amp;IF(AND(S286&lt;&gt;"",S286&lt;SG_Criteria!$B$20),"FAIL: cover &lt; "&amp;SG_Criteria!$B$20&amp;" mm. ","")&amp;IF(AND(W286&lt;&gt;"",W286&lt;1),"FAIL: sliding. ","")&amp;IF(AND(C286="Reverse L-Wall (toe only, at boundary)",N(O286)&gt;0),"NOTE: reverse L-wall should have no heel. ","")&amp;IF(AND(C286="L-Wall (heel only)",N(N286)&gt;0),"NOTE: L-wall should have no toe. ","")&amp;IF(AND(E286&lt;&gt;"",E286&lt;SG_Criteria!$B$31),"NOTE: q below LTA min "&amp;SG_Criteria!$B$31&amp;" kPa (not for LTA works). ",""))=0,"OK",IF(AND(R286&lt;&gt;"",IFERROR(VALUE(MID(R286,2,2)),0)&lt;SG_Criteria!$B$19),"FAIL: grade below C"&amp;SG_Criteria!$B$19&amp;". ","")&amp;IF(AND(S286&lt;&gt;"",S286&lt;SG_Criteria!$B$20),"FAIL: cover &lt; "&amp;SG_Criteria!$B$20&amp;" mm. ","")&amp;IF(AND(W286&lt;&gt;"",W286&lt;1),"FAIL: sliding. ","")&amp;IF(AND(C286="Reverse L-Wall (toe only, at boundary)",N(O286)&gt;0),"NOTE: reverse L-wall should have no heel. ","")&amp;IF(AND(C286="L-Wall (heel only)",N(N286)&gt;0),"NOTE: L-wall should have no toe. ","")&amp;IF(AND(E286&lt;&gt;"",E286&lt;SG_Criteria!$B$31),"NOTE: q below LTA min "&amp;SG_Criteria!$B$31&amp;" kPa (not for LTA works). ","")))</f>
        <v/>
      </c>
      <c r="AU286" s="9"/>
      <c r="AV286" s="9"/>
      <c r="AW286" s="9"/>
      <c r="AX286" s="9"/>
      <c r="AY286" s="9"/>
      <c r="AZ286" s="31"/>
      <c r="BA286" s="10" t="str">
        <f aca="false">IF(C286="","",IF(AND(AB286="Approved",ISERROR(SEARCH("FAIL",AT286))),"Y","N"))</f>
        <v/>
      </c>
      <c r="BB286" s="10" t="str">
        <f aca="false">IF(C286="","",C286&amp;"|"&amp;D286&amp;"|"&amp;E286&amp;"|"&amp;F286&amp;"|"&amp;BA286)</f>
        <v/>
      </c>
    </row>
    <row r="287" customFormat="false" ht="15" hidden="false" customHeight="false" outlineLevel="0" collapsed="false">
      <c r="A287" s="10" t="str">
        <f aca="false">IF(C287="","","RW-"&amp;IFERROR(VLOOKUP(C287,Lists!$M$4:$N$22,2,0),"??")&amp;"-H"&amp;TEXT(D287*1000,"0000")&amp;"-S"&amp;E287&amp;IF(F287="Y","-GW","")&amp;"-"&amp;AA287)</f>
        <v/>
      </c>
      <c r="B287" s="10" t="str">
        <f aca="false">IF(C287="","",C287&amp;", H = "&amp;TEXT(D287,"0.0")&amp;" m, q = "&amp;E287&amp;" kPa"&amp;IF(F287="Y",", with GWT","")&amp;", "&amp;H287)</f>
        <v/>
      </c>
      <c r="C287" s="9"/>
      <c r="D287" s="41"/>
      <c r="E287" s="40"/>
      <c r="F287" s="9"/>
      <c r="G287" s="40"/>
      <c r="H287" s="9"/>
      <c r="I287" s="40"/>
      <c r="J287" s="43"/>
      <c r="K287" s="40"/>
      <c r="L287" s="40"/>
      <c r="M287" s="40"/>
      <c r="N287" s="40"/>
      <c r="O287" s="40"/>
      <c r="P287" s="40"/>
      <c r="Q287" s="9"/>
      <c r="R287" s="9"/>
      <c r="S287" s="40"/>
      <c r="T287" s="9"/>
      <c r="U287" s="9"/>
      <c r="V287" s="9"/>
      <c r="W287" s="41"/>
      <c r="X287" s="41"/>
      <c r="Y287" s="40"/>
      <c r="Z287" s="9"/>
      <c r="AA287" s="9"/>
      <c r="AB287" s="9"/>
      <c r="AC287" s="9"/>
      <c r="AD287" s="9"/>
      <c r="AE287" s="9"/>
      <c r="AF287" s="10" t="str">
        <f aca="false">IF(A287="","",SG_Criteria!$B$6&amp;SG_Criteria!$B$8&amp;"\"&amp;A287&amp;"\")</f>
        <v/>
      </c>
      <c r="AG287" s="10" t="str">
        <f aca="false">IF(A287="","",A287&amp;"_CAD.dwg")</f>
        <v/>
      </c>
      <c r="AH287" s="10" t="str">
        <f aca="false">IF(A287="","",A287&amp;"_DWG.pdf")</f>
        <v/>
      </c>
      <c r="AI287" s="10" t="str">
        <f aca="false">IF(A287="","",IF(AE287="Y",A287&amp;"_STAAD.std","n/a"))</f>
        <v/>
      </c>
      <c r="AJ287" s="10" t="str">
        <f aca="false">IF(A287="","",A287&amp;"_CALC.xlsx")</f>
        <v/>
      </c>
      <c r="AK287" s="10" t="str">
        <f aca="false">IF(A287="","",A287&amp;"_CALC.pdf")</f>
        <v/>
      </c>
      <c r="AL287" s="9"/>
      <c r="AM287" s="9"/>
      <c r="AN287" s="41"/>
      <c r="AO287" s="41"/>
      <c r="AP287" s="41"/>
      <c r="AQ287" s="41"/>
      <c r="AR287" s="41"/>
      <c r="AS287" s="38" t="str">
        <f aca="false">IF(OR(C287="",D287=""),"",IF(D287&lt;=IF(OR(C287="Block / Segmental",C287="Gabion",C287="Reinforced Earth (MSE)"),SG_Criteria!$B$34,SG_Criteria!$B$33),"No ERSS submission",IF(D287&lt;=SG_Criteria!$B$35,"QP(ST)",IF(D287&lt;=SG_Criteria!$B$36,"QP(ST) + AC","Geotechnical building works: QP(Geo) + AC"))))</f>
        <v/>
      </c>
      <c r="AT287" s="38" t="str">
        <f aca="false">IF(C287="","",IF(LEN(IF(AND(R287&lt;&gt;"",IFERROR(VALUE(MID(R287,2,2)),0)&lt;SG_Criteria!$B$19),"FAIL: grade below C"&amp;SG_Criteria!$B$19&amp;". ","")&amp;IF(AND(S287&lt;&gt;"",S287&lt;SG_Criteria!$B$20),"FAIL: cover &lt; "&amp;SG_Criteria!$B$20&amp;" mm. ","")&amp;IF(AND(W287&lt;&gt;"",W287&lt;1),"FAIL: sliding. ","")&amp;IF(AND(C287="Reverse L-Wall (toe only, at boundary)",N(O287)&gt;0),"NOTE: reverse L-wall should have no heel. ","")&amp;IF(AND(C287="L-Wall (heel only)",N(N287)&gt;0),"NOTE: L-wall should have no toe. ","")&amp;IF(AND(E287&lt;&gt;"",E287&lt;SG_Criteria!$B$31),"NOTE: q below LTA min "&amp;SG_Criteria!$B$31&amp;" kPa (not for LTA works). ",""))=0,"OK",IF(AND(R287&lt;&gt;"",IFERROR(VALUE(MID(R287,2,2)),0)&lt;SG_Criteria!$B$19),"FAIL: grade below C"&amp;SG_Criteria!$B$19&amp;". ","")&amp;IF(AND(S287&lt;&gt;"",S287&lt;SG_Criteria!$B$20),"FAIL: cover &lt; "&amp;SG_Criteria!$B$20&amp;" mm. ","")&amp;IF(AND(W287&lt;&gt;"",W287&lt;1),"FAIL: sliding. ","")&amp;IF(AND(C287="Reverse L-Wall (toe only, at boundary)",N(O287)&gt;0),"NOTE: reverse L-wall should have no heel. ","")&amp;IF(AND(C287="L-Wall (heel only)",N(N287)&gt;0),"NOTE: L-wall should have no toe. ","")&amp;IF(AND(E287&lt;&gt;"",E287&lt;SG_Criteria!$B$31),"NOTE: q below LTA min "&amp;SG_Criteria!$B$31&amp;" kPa (not for LTA works). ","")))</f>
        <v/>
      </c>
      <c r="AU287" s="9"/>
      <c r="AV287" s="9"/>
      <c r="AW287" s="9"/>
      <c r="AX287" s="9"/>
      <c r="AY287" s="9"/>
      <c r="AZ287" s="31"/>
      <c r="BA287" s="10" t="str">
        <f aca="false">IF(C287="","",IF(AND(AB287="Approved",ISERROR(SEARCH("FAIL",AT287))),"Y","N"))</f>
        <v/>
      </c>
      <c r="BB287" s="10" t="str">
        <f aca="false">IF(C287="","",C287&amp;"|"&amp;D287&amp;"|"&amp;E287&amp;"|"&amp;F287&amp;"|"&amp;BA287)</f>
        <v/>
      </c>
    </row>
    <row r="288" customFormat="false" ht="15" hidden="false" customHeight="false" outlineLevel="0" collapsed="false">
      <c r="A288" s="10" t="str">
        <f aca="false">IF(C288="","","RW-"&amp;IFERROR(VLOOKUP(C288,Lists!$M$4:$N$22,2,0),"??")&amp;"-H"&amp;TEXT(D288*1000,"0000")&amp;"-S"&amp;E288&amp;IF(F288="Y","-GW","")&amp;"-"&amp;AA288)</f>
        <v/>
      </c>
      <c r="B288" s="10" t="str">
        <f aca="false">IF(C288="","",C288&amp;", H = "&amp;TEXT(D288,"0.0")&amp;" m, q = "&amp;E288&amp;" kPa"&amp;IF(F288="Y",", with GWT","")&amp;", "&amp;H288)</f>
        <v/>
      </c>
      <c r="C288" s="9"/>
      <c r="D288" s="41"/>
      <c r="E288" s="40"/>
      <c r="F288" s="9"/>
      <c r="G288" s="40"/>
      <c r="H288" s="9"/>
      <c r="I288" s="40"/>
      <c r="J288" s="43"/>
      <c r="K288" s="40"/>
      <c r="L288" s="40"/>
      <c r="M288" s="40"/>
      <c r="N288" s="40"/>
      <c r="O288" s="40"/>
      <c r="P288" s="40"/>
      <c r="Q288" s="9"/>
      <c r="R288" s="9"/>
      <c r="S288" s="40"/>
      <c r="T288" s="9"/>
      <c r="U288" s="9"/>
      <c r="V288" s="9"/>
      <c r="W288" s="41"/>
      <c r="X288" s="41"/>
      <c r="Y288" s="40"/>
      <c r="Z288" s="9"/>
      <c r="AA288" s="9"/>
      <c r="AB288" s="9"/>
      <c r="AC288" s="9"/>
      <c r="AD288" s="9"/>
      <c r="AE288" s="9"/>
      <c r="AF288" s="10" t="str">
        <f aca="false">IF(A288="","",SG_Criteria!$B$6&amp;SG_Criteria!$B$8&amp;"\"&amp;A288&amp;"\")</f>
        <v/>
      </c>
      <c r="AG288" s="10" t="str">
        <f aca="false">IF(A288="","",A288&amp;"_CAD.dwg")</f>
        <v/>
      </c>
      <c r="AH288" s="10" t="str">
        <f aca="false">IF(A288="","",A288&amp;"_DWG.pdf")</f>
        <v/>
      </c>
      <c r="AI288" s="10" t="str">
        <f aca="false">IF(A288="","",IF(AE288="Y",A288&amp;"_STAAD.std","n/a"))</f>
        <v/>
      </c>
      <c r="AJ288" s="10" t="str">
        <f aca="false">IF(A288="","",A288&amp;"_CALC.xlsx")</f>
        <v/>
      </c>
      <c r="AK288" s="10" t="str">
        <f aca="false">IF(A288="","",A288&amp;"_CALC.pdf")</f>
        <v/>
      </c>
      <c r="AL288" s="9"/>
      <c r="AM288" s="9"/>
      <c r="AN288" s="41"/>
      <c r="AO288" s="41"/>
      <c r="AP288" s="41"/>
      <c r="AQ288" s="41"/>
      <c r="AR288" s="41"/>
      <c r="AS288" s="38" t="str">
        <f aca="false">IF(OR(C288="",D288=""),"",IF(D288&lt;=IF(OR(C288="Block / Segmental",C288="Gabion",C288="Reinforced Earth (MSE)"),SG_Criteria!$B$34,SG_Criteria!$B$33),"No ERSS submission",IF(D288&lt;=SG_Criteria!$B$35,"QP(ST)",IF(D288&lt;=SG_Criteria!$B$36,"QP(ST) + AC","Geotechnical building works: QP(Geo) + AC"))))</f>
        <v/>
      </c>
      <c r="AT288" s="38" t="str">
        <f aca="false">IF(C288="","",IF(LEN(IF(AND(R288&lt;&gt;"",IFERROR(VALUE(MID(R288,2,2)),0)&lt;SG_Criteria!$B$19),"FAIL: grade below C"&amp;SG_Criteria!$B$19&amp;". ","")&amp;IF(AND(S288&lt;&gt;"",S288&lt;SG_Criteria!$B$20),"FAIL: cover &lt; "&amp;SG_Criteria!$B$20&amp;" mm. ","")&amp;IF(AND(W288&lt;&gt;"",W288&lt;1),"FAIL: sliding. ","")&amp;IF(AND(C288="Reverse L-Wall (toe only, at boundary)",N(O288)&gt;0),"NOTE: reverse L-wall should have no heel. ","")&amp;IF(AND(C288="L-Wall (heel only)",N(N288)&gt;0),"NOTE: L-wall should have no toe. ","")&amp;IF(AND(E288&lt;&gt;"",E288&lt;SG_Criteria!$B$31),"NOTE: q below LTA min "&amp;SG_Criteria!$B$31&amp;" kPa (not for LTA works). ",""))=0,"OK",IF(AND(R288&lt;&gt;"",IFERROR(VALUE(MID(R288,2,2)),0)&lt;SG_Criteria!$B$19),"FAIL: grade below C"&amp;SG_Criteria!$B$19&amp;". ","")&amp;IF(AND(S288&lt;&gt;"",S288&lt;SG_Criteria!$B$20),"FAIL: cover &lt; "&amp;SG_Criteria!$B$20&amp;" mm. ","")&amp;IF(AND(W288&lt;&gt;"",W288&lt;1),"FAIL: sliding. ","")&amp;IF(AND(C288="Reverse L-Wall (toe only, at boundary)",N(O288)&gt;0),"NOTE: reverse L-wall should have no heel. ","")&amp;IF(AND(C288="L-Wall (heel only)",N(N288)&gt;0),"NOTE: L-wall should have no toe. ","")&amp;IF(AND(E288&lt;&gt;"",E288&lt;SG_Criteria!$B$31),"NOTE: q below LTA min "&amp;SG_Criteria!$B$31&amp;" kPa (not for LTA works). ","")))</f>
        <v/>
      </c>
      <c r="AU288" s="9"/>
      <c r="AV288" s="9"/>
      <c r="AW288" s="9"/>
      <c r="AX288" s="9"/>
      <c r="AY288" s="9"/>
      <c r="AZ288" s="31"/>
      <c r="BA288" s="10" t="str">
        <f aca="false">IF(C288="","",IF(AND(AB288="Approved",ISERROR(SEARCH("FAIL",AT288))),"Y","N"))</f>
        <v/>
      </c>
      <c r="BB288" s="10" t="str">
        <f aca="false">IF(C288="","",C288&amp;"|"&amp;D288&amp;"|"&amp;E288&amp;"|"&amp;F288&amp;"|"&amp;BA288)</f>
        <v/>
      </c>
    </row>
    <row r="289" customFormat="false" ht="15" hidden="false" customHeight="false" outlineLevel="0" collapsed="false">
      <c r="A289" s="10" t="str">
        <f aca="false">IF(C289="","","RW-"&amp;IFERROR(VLOOKUP(C289,Lists!$M$4:$N$22,2,0),"??")&amp;"-H"&amp;TEXT(D289*1000,"0000")&amp;"-S"&amp;E289&amp;IF(F289="Y","-GW","")&amp;"-"&amp;AA289)</f>
        <v/>
      </c>
      <c r="B289" s="10" t="str">
        <f aca="false">IF(C289="","",C289&amp;", H = "&amp;TEXT(D289,"0.0")&amp;" m, q = "&amp;E289&amp;" kPa"&amp;IF(F289="Y",", with GWT","")&amp;", "&amp;H289)</f>
        <v/>
      </c>
      <c r="C289" s="9"/>
      <c r="D289" s="41"/>
      <c r="E289" s="40"/>
      <c r="F289" s="9"/>
      <c r="G289" s="40"/>
      <c r="H289" s="9"/>
      <c r="I289" s="40"/>
      <c r="J289" s="43"/>
      <c r="K289" s="40"/>
      <c r="L289" s="40"/>
      <c r="M289" s="40"/>
      <c r="N289" s="40"/>
      <c r="O289" s="40"/>
      <c r="P289" s="40"/>
      <c r="Q289" s="9"/>
      <c r="R289" s="9"/>
      <c r="S289" s="40"/>
      <c r="T289" s="9"/>
      <c r="U289" s="9"/>
      <c r="V289" s="9"/>
      <c r="W289" s="41"/>
      <c r="X289" s="41"/>
      <c r="Y289" s="40"/>
      <c r="Z289" s="9"/>
      <c r="AA289" s="9"/>
      <c r="AB289" s="9"/>
      <c r="AC289" s="9"/>
      <c r="AD289" s="9"/>
      <c r="AE289" s="9"/>
      <c r="AF289" s="10" t="str">
        <f aca="false">IF(A289="","",SG_Criteria!$B$6&amp;SG_Criteria!$B$8&amp;"\"&amp;A289&amp;"\")</f>
        <v/>
      </c>
      <c r="AG289" s="10" t="str">
        <f aca="false">IF(A289="","",A289&amp;"_CAD.dwg")</f>
        <v/>
      </c>
      <c r="AH289" s="10" t="str">
        <f aca="false">IF(A289="","",A289&amp;"_DWG.pdf")</f>
        <v/>
      </c>
      <c r="AI289" s="10" t="str">
        <f aca="false">IF(A289="","",IF(AE289="Y",A289&amp;"_STAAD.std","n/a"))</f>
        <v/>
      </c>
      <c r="AJ289" s="10" t="str">
        <f aca="false">IF(A289="","",A289&amp;"_CALC.xlsx")</f>
        <v/>
      </c>
      <c r="AK289" s="10" t="str">
        <f aca="false">IF(A289="","",A289&amp;"_CALC.pdf")</f>
        <v/>
      </c>
      <c r="AL289" s="9"/>
      <c r="AM289" s="9"/>
      <c r="AN289" s="41"/>
      <c r="AO289" s="41"/>
      <c r="AP289" s="41"/>
      <c r="AQ289" s="41"/>
      <c r="AR289" s="41"/>
      <c r="AS289" s="38" t="str">
        <f aca="false">IF(OR(C289="",D289=""),"",IF(D289&lt;=IF(OR(C289="Block / Segmental",C289="Gabion",C289="Reinforced Earth (MSE)"),SG_Criteria!$B$34,SG_Criteria!$B$33),"No ERSS submission",IF(D289&lt;=SG_Criteria!$B$35,"QP(ST)",IF(D289&lt;=SG_Criteria!$B$36,"QP(ST) + AC","Geotechnical building works: QP(Geo) + AC"))))</f>
        <v/>
      </c>
      <c r="AT289" s="38" t="str">
        <f aca="false">IF(C289="","",IF(LEN(IF(AND(R289&lt;&gt;"",IFERROR(VALUE(MID(R289,2,2)),0)&lt;SG_Criteria!$B$19),"FAIL: grade below C"&amp;SG_Criteria!$B$19&amp;". ","")&amp;IF(AND(S289&lt;&gt;"",S289&lt;SG_Criteria!$B$20),"FAIL: cover &lt; "&amp;SG_Criteria!$B$20&amp;" mm. ","")&amp;IF(AND(W289&lt;&gt;"",W289&lt;1),"FAIL: sliding. ","")&amp;IF(AND(C289="Reverse L-Wall (toe only, at boundary)",N(O289)&gt;0),"NOTE: reverse L-wall should have no heel. ","")&amp;IF(AND(C289="L-Wall (heel only)",N(N289)&gt;0),"NOTE: L-wall should have no toe. ","")&amp;IF(AND(E289&lt;&gt;"",E289&lt;SG_Criteria!$B$31),"NOTE: q below LTA min "&amp;SG_Criteria!$B$31&amp;" kPa (not for LTA works). ",""))=0,"OK",IF(AND(R289&lt;&gt;"",IFERROR(VALUE(MID(R289,2,2)),0)&lt;SG_Criteria!$B$19),"FAIL: grade below C"&amp;SG_Criteria!$B$19&amp;". ","")&amp;IF(AND(S289&lt;&gt;"",S289&lt;SG_Criteria!$B$20),"FAIL: cover &lt; "&amp;SG_Criteria!$B$20&amp;" mm. ","")&amp;IF(AND(W289&lt;&gt;"",W289&lt;1),"FAIL: sliding. ","")&amp;IF(AND(C289="Reverse L-Wall (toe only, at boundary)",N(O289)&gt;0),"NOTE: reverse L-wall should have no heel. ","")&amp;IF(AND(C289="L-Wall (heel only)",N(N289)&gt;0),"NOTE: L-wall should have no toe. ","")&amp;IF(AND(E289&lt;&gt;"",E289&lt;SG_Criteria!$B$31),"NOTE: q below LTA min "&amp;SG_Criteria!$B$31&amp;" kPa (not for LTA works). ","")))</f>
        <v/>
      </c>
      <c r="AU289" s="9"/>
      <c r="AV289" s="9"/>
      <c r="AW289" s="9"/>
      <c r="AX289" s="9"/>
      <c r="AY289" s="9"/>
      <c r="AZ289" s="31"/>
      <c r="BA289" s="10" t="str">
        <f aca="false">IF(C289="","",IF(AND(AB289="Approved",ISERROR(SEARCH("FAIL",AT289))),"Y","N"))</f>
        <v/>
      </c>
      <c r="BB289" s="10" t="str">
        <f aca="false">IF(C289="","",C289&amp;"|"&amp;D289&amp;"|"&amp;E289&amp;"|"&amp;F289&amp;"|"&amp;BA289)</f>
        <v/>
      </c>
    </row>
    <row r="290" customFormat="false" ht="15" hidden="false" customHeight="false" outlineLevel="0" collapsed="false">
      <c r="A290" s="10" t="str">
        <f aca="false">IF(C290="","","RW-"&amp;IFERROR(VLOOKUP(C290,Lists!$M$4:$N$22,2,0),"??")&amp;"-H"&amp;TEXT(D290*1000,"0000")&amp;"-S"&amp;E290&amp;IF(F290="Y","-GW","")&amp;"-"&amp;AA290)</f>
        <v/>
      </c>
      <c r="B290" s="10" t="str">
        <f aca="false">IF(C290="","",C290&amp;", H = "&amp;TEXT(D290,"0.0")&amp;" m, q = "&amp;E290&amp;" kPa"&amp;IF(F290="Y",", with GWT","")&amp;", "&amp;H290)</f>
        <v/>
      </c>
      <c r="C290" s="9"/>
      <c r="D290" s="41"/>
      <c r="E290" s="40"/>
      <c r="F290" s="9"/>
      <c r="G290" s="40"/>
      <c r="H290" s="9"/>
      <c r="I290" s="40"/>
      <c r="J290" s="43"/>
      <c r="K290" s="40"/>
      <c r="L290" s="40"/>
      <c r="M290" s="40"/>
      <c r="N290" s="40"/>
      <c r="O290" s="40"/>
      <c r="P290" s="40"/>
      <c r="Q290" s="9"/>
      <c r="R290" s="9"/>
      <c r="S290" s="40"/>
      <c r="T290" s="9"/>
      <c r="U290" s="9"/>
      <c r="V290" s="9"/>
      <c r="W290" s="41"/>
      <c r="X290" s="41"/>
      <c r="Y290" s="40"/>
      <c r="Z290" s="9"/>
      <c r="AA290" s="9"/>
      <c r="AB290" s="9"/>
      <c r="AC290" s="9"/>
      <c r="AD290" s="9"/>
      <c r="AE290" s="9"/>
      <c r="AF290" s="10" t="str">
        <f aca="false">IF(A290="","",SG_Criteria!$B$6&amp;SG_Criteria!$B$8&amp;"\"&amp;A290&amp;"\")</f>
        <v/>
      </c>
      <c r="AG290" s="10" t="str">
        <f aca="false">IF(A290="","",A290&amp;"_CAD.dwg")</f>
        <v/>
      </c>
      <c r="AH290" s="10" t="str">
        <f aca="false">IF(A290="","",A290&amp;"_DWG.pdf")</f>
        <v/>
      </c>
      <c r="AI290" s="10" t="str">
        <f aca="false">IF(A290="","",IF(AE290="Y",A290&amp;"_STAAD.std","n/a"))</f>
        <v/>
      </c>
      <c r="AJ290" s="10" t="str">
        <f aca="false">IF(A290="","",A290&amp;"_CALC.xlsx")</f>
        <v/>
      </c>
      <c r="AK290" s="10" t="str">
        <f aca="false">IF(A290="","",A290&amp;"_CALC.pdf")</f>
        <v/>
      </c>
      <c r="AL290" s="9"/>
      <c r="AM290" s="9"/>
      <c r="AN290" s="41"/>
      <c r="AO290" s="41"/>
      <c r="AP290" s="41"/>
      <c r="AQ290" s="41"/>
      <c r="AR290" s="41"/>
      <c r="AS290" s="38" t="str">
        <f aca="false">IF(OR(C290="",D290=""),"",IF(D290&lt;=IF(OR(C290="Block / Segmental",C290="Gabion",C290="Reinforced Earth (MSE)"),SG_Criteria!$B$34,SG_Criteria!$B$33),"No ERSS submission",IF(D290&lt;=SG_Criteria!$B$35,"QP(ST)",IF(D290&lt;=SG_Criteria!$B$36,"QP(ST) + AC","Geotechnical building works: QP(Geo) + AC"))))</f>
        <v/>
      </c>
      <c r="AT290" s="38" t="str">
        <f aca="false">IF(C290="","",IF(LEN(IF(AND(R290&lt;&gt;"",IFERROR(VALUE(MID(R290,2,2)),0)&lt;SG_Criteria!$B$19),"FAIL: grade below C"&amp;SG_Criteria!$B$19&amp;". ","")&amp;IF(AND(S290&lt;&gt;"",S290&lt;SG_Criteria!$B$20),"FAIL: cover &lt; "&amp;SG_Criteria!$B$20&amp;" mm. ","")&amp;IF(AND(W290&lt;&gt;"",W290&lt;1),"FAIL: sliding. ","")&amp;IF(AND(C290="Reverse L-Wall (toe only, at boundary)",N(O290)&gt;0),"NOTE: reverse L-wall should have no heel. ","")&amp;IF(AND(C290="L-Wall (heel only)",N(N290)&gt;0),"NOTE: L-wall should have no toe. ","")&amp;IF(AND(E290&lt;&gt;"",E290&lt;SG_Criteria!$B$31),"NOTE: q below LTA min "&amp;SG_Criteria!$B$31&amp;" kPa (not for LTA works). ",""))=0,"OK",IF(AND(R290&lt;&gt;"",IFERROR(VALUE(MID(R290,2,2)),0)&lt;SG_Criteria!$B$19),"FAIL: grade below C"&amp;SG_Criteria!$B$19&amp;". ","")&amp;IF(AND(S290&lt;&gt;"",S290&lt;SG_Criteria!$B$20),"FAIL: cover &lt; "&amp;SG_Criteria!$B$20&amp;" mm. ","")&amp;IF(AND(W290&lt;&gt;"",W290&lt;1),"FAIL: sliding. ","")&amp;IF(AND(C290="Reverse L-Wall (toe only, at boundary)",N(O290)&gt;0),"NOTE: reverse L-wall should have no heel. ","")&amp;IF(AND(C290="L-Wall (heel only)",N(N290)&gt;0),"NOTE: L-wall should have no toe. ","")&amp;IF(AND(E290&lt;&gt;"",E290&lt;SG_Criteria!$B$31),"NOTE: q below LTA min "&amp;SG_Criteria!$B$31&amp;" kPa (not for LTA works). ","")))</f>
        <v/>
      </c>
      <c r="AU290" s="9"/>
      <c r="AV290" s="9"/>
      <c r="AW290" s="9"/>
      <c r="AX290" s="9"/>
      <c r="AY290" s="9"/>
      <c r="AZ290" s="31"/>
      <c r="BA290" s="10" t="str">
        <f aca="false">IF(C290="","",IF(AND(AB290="Approved",ISERROR(SEARCH("FAIL",AT290))),"Y","N"))</f>
        <v/>
      </c>
      <c r="BB290" s="10" t="str">
        <f aca="false">IF(C290="","",C290&amp;"|"&amp;D290&amp;"|"&amp;E290&amp;"|"&amp;F290&amp;"|"&amp;BA290)</f>
        <v/>
      </c>
    </row>
    <row r="291" customFormat="false" ht="15" hidden="false" customHeight="false" outlineLevel="0" collapsed="false">
      <c r="A291" s="10" t="str">
        <f aca="false">IF(C291="","","RW-"&amp;IFERROR(VLOOKUP(C291,Lists!$M$4:$N$22,2,0),"??")&amp;"-H"&amp;TEXT(D291*1000,"0000")&amp;"-S"&amp;E291&amp;IF(F291="Y","-GW","")&amp;"-"&amp;AA291)</f>
        <v/>
      </c>
      <c r="B291" s="10" t="str">
        <f aca="false">IF(C291="","",C291&amp;", H = "&amp;TEXT(D291,"0.0")&amp;" m, q = "&amp;E291&amp;" kPa"&amp;IF(F291="Y",", with GWT","")&amp;", "&amp;H291)</f>
        <v/>
      </c>
      <c r="C291" s="9"/>
      <c r="D291" s="41"/>
      <c r="E291" s="40"/>
      <c r="F291" s="9"/>
      <c r="G291" s="40"/>
      <c r="H291" s="9"/>
      <c r="I291" s="40"/>
      <c r="J291" s="43"/>
      <c r="K291" s="40"/>
      <c r="L291" s="40"/>
      <c r="M291" s="40"/>
      <c r="N291" s="40"/>
      <c r="O291" s="40"/>
      <c r="P291" s="40"/>
      <c r="Q291" s="9"/>
      <c r="R291" s="9"/>
      <c r="S291" s="40"/>
      <c r="T291" s="9"/>
      <c r="U291" s="9"/>
      <c r="V291" s="9"/>
      <c r="W291" s="41"/>
      <c r="X291" s="41"/>
      <c r="Y291" s="40"/>
      <c r="Z291" s="9"/>
      <c r="AA291" s="9"/>
      <c r="AB291" s="9"/>
      <c r="AC291" s="9"/>
      <c r="AD291" s="9"/>
      <c r="AE291" s="9"/>
      <c r="AF291" s="10" t="str">
        <f aca="false">IF(A291="","",SG_Criteria!$B$6&amp;SG_Criteria!$B$8&amp;"\"&amp;A291&amp;"\")</f>
        <v/>
      </c>
      <c r="AG291" s="10" t="str">
        <f aca="false">IF(A291="","",A291&amp;"_CAD.dwg")</f>
        <v/>
      </c>
      <c r="AH291" s="10" t="str">
        <f aca="false">IF(A291="","",A291&amp;"_DWG.pdf")</f>
        <v/>
      </c>
      <c r="AI291" s="10" t="str">
        <f aca="false">IF(A291="","",IF(AE291="Y",A291&amp;"_STAAD.std","n/a"))</f>
        <v/>
      </c>
      <c r="AJ291" s="10" t="str">
        <f aca="false">IF(A291="","",A291&amp;"_CALC.xlsx")</f>
        <v/>
      </c>
      <c r="AK291" s="10" t="str">
        <f aca="false">IF(A291="","",A291&amp;"_CALC.pdf")</f>
        <v/>
      </c>
      <c r="AL291" s="9"/>
      <c r="AM291" s="9"/>
      <c r="AN291" s="41"/>
      <c r="AO291" s="41"/>
      <c r="AP291" s="41"/>
      <c r="AQ291" s="41"/>
      <c r="AR291" s="41"/>
      <c r="AS291" s="38" t="str">
        <f aca="false">IF(OR(C291="",D291=""),"",IF(D291&lt;=IF(OR(C291="Block / Segmental",C291="Gabion",C291="Reinforced Earth (MSE)"),SG_Criteria!$B$34,SG_Criteria!$B$33),"No ERSS submission",IF(D291&lt;=SG_Criteria!$B$35,"QP(ST)",IF(D291&lt;=SG_Criteria!$B$36,"QP(ST) + AC","Geotechnical building works: QP(Geo) + AC"))))</f>
        <v/>
      </c>
      <c r="AT291" s="38" t="str">
        <f aca="false">IF(C291="","",IF(LEN(IF(AND(R291&lt;&gt;"",IFERROR(VALUE(MID(R291,2,2)),0)&lt;SG_Criteria!$B$19),"FAIL: grade below C"&amp;SG_Criteria!$B$19&amp;". ","")&amp;IF(AND(S291&lt;&gt;"",S291&lt;SG_Criteria!$B$20),"FAIL: cover &lt; "&amp;SG_Criteria!$B$20&amp;" mm. ","")&amp;IF(AND(W291&lt;&gt;"",W291&lt;1),"FAIL: sliding. ","")&amp;IF(AND(C291="Reverse L-Wall (toe only, at boundary)",N(O291)&gt;0),"NOTE: reverse L-wall should have no heel. ","")&amp;IF(AND(C291="L-Wall (heel only)",N(N291)&gt;0),"NOTE: L-wall should have no toe. ","")&amp;IF(AND(E291&lt;&gt;"",E291&lt;SG_Criteria!$B$31),"NOTE: q below LTA min "&amp;SG_Criteria!$B$31&amp;" kPa (not for LTA works). ",""))=0,"OK",IF(AND(R291&lt;&gt;"",IFERROR(VALUE(MID(R291,2,2)),0)&lt;SG_Criteria!$B$19),"FAIL: grade below C"&amp;SG_Criteria!$B$19&amp;". ","")&amp;IF(AND(S291&lt;&gt;"",S291&lt;SG_Criteria!$B$20),"FAIL: cover &lt; "&amp;SG_Criteria!$B$20&amp;" mm. ","")&amp;IF(AND(W291&lt;&gt;"",W291&lt;1),"FAIL: sliding. ","")&amp;IF(AND(C291="Reverse L-Wall (toe only, at boundary)",N(O291)&gt;0),"NOTE: reverse L-wall should have no heel. ","")&amp;IF(AND(C291="L-Wall (heel only)",N(N291)&gt;0),"NOTE: L-wall should have no toe. ","")&amp;IF(AND(E291&lt;&gt;"",E291&lt;SG_Criteria!$B$31),"NOTE: q below LTA min "&amp;SG_Criteria!$B$31&amp;" kPa (not for LTA works). ","")))</f>
        <v/>
      </c>
      <c r="AU291" s="9"/>
      <c r="AV291" s="9"/>
      <c r="AW291" s="9"/>
      <c r="AX291" s="9"/>
      <c r="AY291" s="9"/>
      <c r="AZ291" s="31"/>
      <c r="BA291" s="10" t="str">
        <f aca="false">IF(C291="","",IF(AND(AB291="Approved",ISERROR(SEARCH("FAIL",AT291))),"Y","N"))</f>
        <v/>
      </c>
      <c r="BB291" s="10" t="str">
        <f aca="false">IF(C291="","",C291&amp;"|"&amp;D291&amp;"|"&amp;E291&amp;"|"&amp;F291&amp;"|"&amp;BA291)</f>
        <v/>
      </c>
    </row>
    <row r="292" customFormat="false" ht="15" hidden="false" customHeight="false" outlineLevel="0" collapsed="false">
      <c r="A292" s="10" t="str">
        <f aca="false">IF(C292="","","RW-"&amp;IFERROR(VLOOKUP(C292,Lists!$M$4:$N$22,2,0),"??")&amp;"-H"&amp;TEXT(D292*1000,"0000")&amp;"-S"&amp;E292&amp;IF(F292="Y","-GW","")&amp;"-"&amp;AA292)</f>
        <v/>
      </c>
      <c r="B292" s="10" t="str">
        <f aca="false">IF(C292="","",C292&amp;", H = "&amp;TEXT(D292,"0.0")&amp;" m, q = "&amp;E292&amp;" kPa"&amp;IF(F292="Y",", with GWT","")&amp;", "&amp;H292)</f>
        <v/>
      </c>
      <c r="C292" s="9"/>
      <c r="D292" s="41"/>
      <c r="E292" s="40"/>
      <c r="F292" s="9"/>
      <c r="G292" s="40"/>
      <c r="H292" s="9"/>
      <c r="I292" s="40"/>
      <c r="J292" s="43"/>
      <c r="K292" s="40"/>
      <c r="L292" s="40"/>
      <c r="M292" s="40"/>
      <c r="N292" s="40"/>
      <c r="O292" s="40"/>
      <c r="P292" s="40"/>
      <c r="Q292" s="9"/>
      <c r="R292" s="9"/>
      <c r="S292" s="40"/>
      <c r="T292" s="9"/>
      <c r="U292" s="9"/>
      <c r="V292" s="9"/>
      <c r="W292" s="41"/>
      <c r="X292" s="41"/>
      <c r="Y292" s="40"/>
      <c r="Z292" s="9"/>
      <c r="AA292" s="9"/>
      <c r="AB292" s="9"/>
      <c r="AC292" s="9"/>
      <c r="AD292" s="9"/>
      <c r="AE292" s="9"/>
      <c r="AF292" s="10" t="str">
        <f aca="false">IF(A292="","",SG_Criteria!$B$6&amp;SG_Criteria!$B$8&amp;"\"&amp;A292&amp;"\")</f>
        <v/>
      </c>
      <c r="AG292" s="10" t="str">
        <f aca="false">IF(A292="","",A292&amp;"_CAD.dwg")</f>
        <v/>
      </c>
      <c r="AH292" s="10" t="str">
        <f aca="false">IF(A292="","",A292&amp;"_DWG.pdf")</f>
        <v/>
      </c>
      <c r="AI292" s="10" t="str">
        <f aca="false">IF(A292="","",IF(AE292="Y",A292&amp;"_STAAD.std","n/a"))</f>
        <v/>
      </c>
      <c r="AJ292" s="10" t="str">
        <f aca="false">IF(A292="","",A292&amp;"_CALC.xlsx")</f>
        <v/>
      </c>
      <c r="AK292" s="10" t="str">
        <f aca="false">IF(A292="","",A292&amp;"_CALC.pdf")</f>
        <v/>
      </c>
      <c r="AL292" s="9"/>
      <c r="AM292" s="9"/>
      <c r="AN292" s="41"/>
      <c r="AO292" s="41"/>
      <c r="AP292" s="41"/>
      <c r="AQ292" s="41"/>
      <c r="AR292" s="41"/>
      <c r="AS292" s="38" t="str">
        <f aca="false">IF(OR(C292="",D292=""),"",IF(D292&lt;=IF(OR(C292="Block / Segmental",C292="Gabion",C292="Reinforced Earth (MSE)"),SG_Criteria!$B$34,SG_Criteria!$B$33),"No ERSS submission",IF(D292&lt;=SG_Criteria!$B$35,"QP(ST)",IF(D292&lt;=SG_Criteria!$B$36,"QP(ST) + AC","Geotechnical building works: QP(Geo) + AC"))))</f>
        <v/>
      </c>
      <c r="AT292" s="38" t="str">
        <f aca="false">IF(C292="","",IF(LEN(IF(AND(R292&lt;&gt;"",IFERROR(VALUE(MID(R292,2,2)),0)&lt;SG_Criteria!$B$19),"FAIL: grade below C"&amp;SG_Criteria!$B$19&amp;". ","")&amp;IF(AND(S292&lt;&gt;"",S292&lt;SG_Criteria!$B$20),"FAIL: cover &lt; "&amp;SG_Criteria!$B$20&amp;" mm. ","")&amp;IF(AND(W292&lt;&gt;"",W292&lt;1),"FAIL: sliding. ","")&amp;IF(AND(C292="Reverse L-Wall (toe only, at boundary)",N(O292)&gt;0),"NOTE: reverse L-wall should have no heel. ","")&amp;IF(AND(C292="L-Wall (heel only)",N(N292)&gt;0),"NOTE: L-wall should have no toe. ","")&amp;IF(AND(E292&lt;&gt;"",E292&lt;SG_Criteria!$B$31),"NOTE: q below LTA min "&amp;SG_Criteria!$B$31&amp;" kPa (not for LTA works). ",""))=0,"OK",IF(AND(R292&lt;&gt;"",IFERROR(VALUE(MID(R292,2,2)),0)&lt;SG_Criteria!$B$19),"FAIL: grade below C"&amp;SG_Criteria!$B$19&amp;". ","")&amp;IF(AND(S292&lt;&gt;"",S292&lt;SG_Criteria!$B$20),"FAIL: cover &lt; "&amp;SG_Criteria!$B$20&amp;" mm. ","")&amp;IF(AND(W292&lt;&gt;"",W292&lt;1),"FAIL: sliding. ","")&amp;IF(AND(C292="Reverse L-Wall (toe only, at boundary)",N(O292)&gt;0),"NOTE: reverse L-wall should have no heel. ","")&amp;IF(AND(C292="L-Wall (heel only)",N(N292)&gt;0),"NOTE: L-wall should have no toe. ","")&amp;IF(AND(E292&lt;&gt;"",E292&lt;SG_Criteria!$B$31),"NOTE: q below LTA min "&amp;SG_Criteria!$B$31&amp;" kPa (not for LTA works). ","")))</f>
        <v/>
      </c>
      <c r="AU292" s="9"/>
      <c r="AV292" s="9"/>
      <c r="AW292" s="9"/>
      <c r="AX292" s="9"/>
      <c r="AY292" s="9"/>
      <c r="AZ292" s="31"/>
      <c r="BA292" s="10" t="str">
        <f aca="false">IF(C292="","",IF(AND(AB292="Approved",ISERROR(SEARCH("FAIL",AT292))),"Y","N"))</f>
        <v/>
      </c>
      <c r="BB292" s="10" t="str">
        <f aca="false">IF(C292="","",C292&amp;"|"&amp;D292&amp;"|"&amp;E292&amp;"|"&amp;F292&amp;"|"&amp;BA292)</f>
        <v/>
      </c>
    </row>
    <row r="293" customFormat="false" ht="15" hidden="false" customHeight="false" outlineLevel="0" collapsed="false">
      <c r="A293" s="10" t="str">
        <f aca="false">IF(C293="","","RW-"&amp;IFERROR(VLOOKUP(C293,Lists!$M$4:$N$22,2,0),"??")&amp;"-H"&amp;TEXT(D293*1000,"0000")&amp;"-S"&amp;E293&amp;IF(F293="Y","-GW","")&amp;"-"&amp;AA293)</f>
        <v/>
      </c>
      <c r="B293" s="10" t="str">
        <f aca="false">IF(C293="","",C293&amp;", H = "&amp;TEXT(D293,"0.0")&amp;" m, q = "&amp;E293&amp;" kPa"&amp;IF(F293="Y",", with GWT","")&amp;", "&amp;H293)</f>
        <v/>
      </c>
      <c r="C293" s="9"/>
      <c r="D293" s="41"/>
      <c r="E293" s="40"/>
      <c r="F293" s="9"/>
      <c r="G293" s="40"/>
      <c r="H293" s="9"/>
      <c r="I293" s="40"/>
      <c r="J293" s="43"/>
      <c r="K293" s="40"/>
      <c r="L293" s="40"/>
      <c r="M293" s="40"/>
      <c r="N293" s="40"/>
      <c r="O293" s="40"/>
      <c r="P293" s="40"/>
      <c r="Q293" s="9"/>
      <c r="R293" s="9"/>
      <c r="S293" s="40"/>
      <c r="T293" s="9"/>
      <c r="U293" s="9"/>
      <c r="V293" s="9"/>
      <c r="W293" s="41"/>
      <c r="X293" s="41"/>
      <c r="Y293" s="40"/>
      <c r="Z293" s="9"/>
      <c r="AA293" s="9"/>
      <c r="AB293" s="9"/>
      <c r="AC293" s="9"/>
      <c r="AD293" s="9"/>
      <c r="AE293" s="9"/>
      <c r="AF293" s="10" t="str">
        <f aca="false">IF(A293="","",SG_Criteria!$B$6&amp;SG_Criteria!$B$8&amp;"\"&amp;A293&amp;"\")</f>
        <v/>
      </c>
      <c r="AG293" s="10" t="str">
        <f aca="false">IF(A293="","",A293&amp;"_CAD.dwg")</f>
        <v/>
      </c>
      <c r="AH293" s="10" t="str">
        <f aca="false">IF(A293="","",A293&amp;"_DWG.pdf")</f>
        <v/>
      </c>
      <c r="AI293" s="10" t="str">
        <f aca="false">IF(A293="","",IF(AE293="Y",A293&amp;"_STAAD.std","n/a"))</f>
        <v/>
      </c>
      <c r="AJ293" s="10" t="str">
        <f aca="false">IF(A293="","",A293&amp;"_CALC.xlsx")</f>
        <v/>
      </c>
      <c r="AK293" s="10" t="str">
        <f aca="false">IF(A293="","",A293&amp;"_CALC.pdf")</f>
        <v/>
      </c>
      <c r="AL293" s="9"/>
      <c r="AM293" s="9"/>
      <c r="AN293" s="41"/>
      <c r="AO293" s="41"/>
      <c r="AP293" s="41"/>
      <c r="AQ293" s="41"/>
      <c r="AR293" s="41"/>
      <c r="AS293" s="38" t="str">
        <f aca="false">IF(OR(C293="",D293=""),"",IF(D293&lt;=IF(OR(C293="Block / Segmental",C293="Gabion",C293="Reinforced Earth (MSE)"),SG_Criteria!$B$34,SG_Criteria!$B$33),"No ERSS submission",IF(D293&lt;=SG_Criteria!$B$35,"QP(ST)",IF(D293&lt;=SG_Criteria!$B$36,"QP(ST) + AC","Geotechnical building works: QP(Geo) + AC"))))</f>
        <v/>
      </c>
      <c r="AT293" s="38" t="str">
        <f aca="false">IF(C293="","",IF(LEN(IF(AND(R293&lt;&gt;"",IFERROR(VALUE(MID(R293,2,2)),0)&lt;SG_Criteria!$B$19),"FAIL: grade below C"&amp;SG_Criteria!$B$19&amp;". ","")&amp;IF(AND(S293&lt;&gt;"",S293&lt;SG_Criteria!$B$20),"FAIL: cover &lt; "&amp;SG_Criteria!$B$20&amp;" mm. ","")&amp;IF(AND(W293&lt;&gt;"",W293&lt;1),"FAIL: sliding. ","")&amp;IF(AND(C293="Reverse L-Wall (toe only, at boundary)",N(O293)&gt;0),"NOTE: reverse L-wall should have no heel. ","")&amp;IF(AND(C293="L-Wall (heel only)",N(N293)&gt;0),"NOTE: L-wall should have no toe. ","")&amp;IF(AND(E293&lt;&gt;"",E293&lt;SG_Criteria!$B$31),"NOTE: q below LTA min "&amp;SG_Criteria!$B$31&amp;" kPa (not for LTA works). ",""))=0,"OK",IF(AND(R293&lt;&gt;"",IFERROR(VALUE(MID(R293,2,2)),0)&lt;SG_Criteria!$B$19),"FAIL: grade below C"&amp;SG_Criteria!$B$19&amp;". ","")&amp;IF(AND(S293&lt;&gt;"",S293&lt;SG_Criteria!$B$20),"FAIL: cover &lt; "&amp;SG_Criteria!$B$20&amp;" mm. ","")&amp;IF(AND(W293&lt;&gt;"",W293&lt;1),"FAIL: sliding. ","")&amp;IF(AND(C293="Reverse L-Wall (toe only, at boundary)",N(O293)&gt;0),"NOTE: reverse L-wall should have no heel. ","")&amp;IF(AND(C293="L-Wall (heel only)",N(N293)&gt;0),"NOTE: L-wall should have no toe. ","")&amp;IF(AND(E293&lt;&gt;"",E293&lt;SG_Criteria!$B$31),"NOTE: q below LTA min "&amp;SG_Criteria!$B$31&amp;" kPa (not for LTA works). ","")))</f>
        <v/>
      </c>
      <c r="AU293" s="9"/>
      <c r="AV293" s="9"/>
      <c r="AW293" s="9"/>
      <c r="AX293" s="9"/>
      <c r="AY293" s="9"/>
      <c r="AZ293" s="31"/>
      <c r="BA293" s="10" t="str">
        <f aca="false">IF(C293="","",IF(AND(AB293="Approved",ISERROR(SEARCH("FAIL",AT293))),"Y","N"))</f>
        <v/>
      </c>
      <c r="BB293" s="10" t="str">
        <f aca="false">IF(C293="","",C293&amp;"|"&amp;D293&amp;"|"&amp;E293&amp;"|"&amp;F293&amp;"|"&amp;BA293)</f>
        <v/>
      </c>
    </row>
    <row r="294" customFormat="false" ht="15" hidden="false" customHeight="false" outlineLevel="0" collapsed="false">
      <c r="A294" s="10" t="str">
        <f aca="false">IF(C294="","","RW-"&amp;IFERROR(VLOOKUP(C294,Lists!$M$4:$N$22,2,0),"??")&amp;"-H"&amp;TEXT(D294*1000,"0000")&amp;"-S"&amp;E294&amp;IF(F294="Y","-GW","")&amp;"-"&amp;AA294)</f>
        <v/>
      </c>
      <c r="B294" s="10" t="str">
        <f aca="false">IF(C294="","",C294&amp;", H = "&amp;TEXT(D294,"0.0")&amp;" m, q = "&amp;E294&amp;" kPa"&amp;IF(F294="Y",", with GWT","")&amp;", "&amp;H294)</f>
        <v/>
      </c>
      <c r="C294" s="9"/>
      <c r="D294" s="41"/>
      <c r="E294" s="40"/>
      <c r="F294" s="9"/>
      <c r="G294" s="40"/>
      <c r="H294" s="9"/>
      <c r="I294" s="40"/>
      <c r="J294" s="43"/>
      <c r="K294" s="40"/>
      <c r="L294" s="40"/>
      <c r="M294" s="40"/>
      <c r="N294" s="40"/>
      <c r="O294" s="40"/>
      <c r="P294" s="40"/>
      <c r="Q294" s="9"/>
      <c r="R294" s="9"/>
      <c r="S294" s="40"/>
      <c r="T294" s="9"/>
      <c r="U294" s="9"/>
      <c r="V294" s="9"/>
      <c r="W294" s="41"/>
      <c r="X294" s="41"/>
      <c r="Y294" s="40"/>
      <c r="Z294" s="9"/>
      <c r="AA294" s="9"/>
      <c r="AB294" s="9"/>
      <c r="AC294" s="9"/>
      <c r="AD294" s="9"/>
      <c r="AE294" s="9"/>
      <c r="AF294" s="10" t="str">
        <f aca="false">IF(A294="","",SG_Criteria!$B$6&amp;SG_Criteria!$B$8&amp;"\"&amp;A294&amp;"\")</f>
        <v/>
      </c>
      <c r="AG294" s="10" t="str">
        <f aca="false">IF(A294="","",A294&amp;"_CAD.dwg")</f>
        <v/>
      </c>
      <c r="AH294" s="10" t="str">
        <f aca="false">IF(A294="","",A294&amp;"_DWG.pdf")</f>
        <v/>
      </c>
      <c r="AI294" s="10" t="str">
        <f aca="false">IF(A294="","",IF(AE294="Y",A294&amp;"_STAAD.std","n/a"))</f>
        <v/>
      </c>
      <c r="AJ294" s="10" t="str">
        <f aca="false">IF(A294="","",A294&amp;"_CALC.xlsx")</f>
        <v/>
      </c>
      <c r="AK294" s="10" t="str">
        <f aca="false">IF(A294="","",A294&amp;"_CALC.pdf")</f>
        <v/>
      </c>
      <c r="AL294" s="9"/>
      <c r="AM294" s="9"/>
      <c r="AN294" s="41"/>
      <c r="AO294" s="41"/>
      <c r="AP294" s="41"/>
      <c r="AQ294" s="41"/>
      <c r="AR294" s="41"/>
      <c r="AS294" s="38" t="str">
        <f aca="false">IF(OR(C294="",D294=""),"",IF(D294&lt;=IF(OR(C294="Block / Segmental",C294="Gabion",C294="Reinforced Earth (MSE)"),SG_Criteria!$B$34,SG_Criteria!$B$33),"No ERSS submission",IF(D294&lt;=SG_Criteria!$B$35,"QP(ST)",IF(D294&lt;=SG_Criteria!$B$36,"QP(ST) + AC","Geotechnical building works: QP(Geo) + AC"))))</f>
        <v/>
      </c>
      <c r="AT294" s="38" t="str">
        <f aca="false">IF(C294="","",IF(LEN(IF(AND(R294&lt;&gt;"",IFERROR(VALUE(MID(R294,2,2)),0)&lt;SG_Criteria!$B$19),"FAIL: grade below C"&amp;SG_Criteria!$B$19&amp;". ","")&amp;IF(AND(S294&lt;&gt;"",S294&lt;SG_Criteria!$B$20),"FAIL: cover &lt; "&amp;SG_Criteria!$B$20&amp;" mm. ","")&amp;IF(AND(W294&lt;&gt;"",W294&lt;1),"FAIL: sliding. ","")&amp;IF(AND(C294="Reverse L-Wall (toe only, at boundary)",N(O294)&gt;0),"NOTE: reverse L-wall should have no heel. ","")&amp;IF(AND(C294="L-Wall (heel only)",N(N294)&gt;0),"NOTE: L-wall should have no toe. ","")&amp;IF(AND(E294&lt;&gt;"",E294&lt;SG_Criteria!$B$31),"NOTE: q below LTA min "&amp;SG_Criteria!$B$31&amp;" kPa (not for LTA works). ",""))=0,"OK",IF(AND(R294&lt;&gt;"",IFERROR(VALUE(MID(R294,2,2)),0)&lt;SG_Criteria!$B$19),"FAIL: grade below C"&amp;SG_Criteria!$B$19&amp;". ","")&amp;IF(AND(S294&lt;&gt;"",S294&lt;SG_Criteria!$B$20),"FAIL: cover &lt; "&amp;SG_Criteria!$B$20&amp;" mm. ","")&amp;IF(AND(W294&lt;&gt;"",W294&lt;1),"FAIL: sliding. ","")&amp;IF(AND(C294="Reverse L-Wall (toe only, at boundary)",N(O294)&gt;0),"NOTE: reverse L-wall should have no heel. ","")&amp;IF(AND(C294="L-Wall (heel only)",N(N294)&gt;0),"NOTE: L-wall should have no toe. ","")&amp;IF(AND(E294&lt;&gt;"",E294&lt;SG_Criteria!$B$31),"NOTE: q below LTA min "&amp;SG_Criteria!$B$31&amp;" kPa (not for LTA works). ","")))</f>
        <v/>
      </c>
      <c r="AU294" s="9"/>
      <c r="AV294" s="9"/>
      <c r="AW294" s="9"/>
      <c r="AX294" s="9"/>
      <c r="AY294" s="9"/>
      <c r="AZ294" s="31"/>
      <c r="BA294" s="10" t="str">
        <f aca="false">IF(C294="","",IF(AND(AB294="Approved",ISERROR(SEARCH("FAIL",AT294))),"Y","N"))</f>
        <v/>
      </c>
      <c r="BB294" s="10" t="str">
        <f aca="false">IF(C294="","",C294&amp;"|"&amp;D294&amp;"|"&amp;E294&amp;"|"&amp;F294&amp;"|"&amp;BA294)</f>
        <v/>
      </c>
    </row>
    <row r="295" customFormat="false" ht="15" hidden="false" customHeight="false" outlineLevel="0" collapsed="false">
      <c r="A295" s="10" t="str">
        <f aca="false">IF(C295="","","RW-"&amp;IFERROR(VLOOKUP(C295,Lists!$M$4:$N$22,2,0),"??")&amp;"-H"&amp;TEXT(D295*1000,"0000")&amp;"-S"&amp;E295&amp;IF(F295="Y","-GW","")&amp;"-"&amp;AA295)</f>
        <v/>
      </c>
      <c r="B295" s="10" t="str">
        <f aca="false">IF(C295="","",C295&amp;", H = "&amp;TEXT(D295,"0.0")&amp;" m, q = "&amp;E295&amp;" kPa"&amp;IF(F295="Y",", with GWT","")&amp;", "&amp;H295)</f>
        <v/>
      </c>
      <c r="C295" s="9"/>
      <c r="D295" s="41"/>
      <c r="E295" s="40"/>
      <c r="F295" s="9"/>
      <c r="G295" s="40"/>
      <c r="H295" s="9"/>
      <c r="I295" s="40"/>
      <c r="J295" s="43"/>
      <c r="K295" s="40"/>
      <c r="L295" s="40"/>
      <c r="M295" s="40"/>
      <c r="N295" s="40"/>
      <c r="O295" s="40"/>
      <c r="P295" s="40"/>
      <c r="Q295" s="9"/>
      <c r="R295" s="9"/>
      <c r="S295" s="40"/>
      <c r="T295" s="9"/>
      <c r="U295" s="9"/>
      <c r="V295" s="9"/>
      <c r="W295" s="41"/>
      <c r="X295" s="41"/>
      <c r="Y295" s="40"/>
      <c r="Z295" s="9"/>
      <c r="AA295" s="9"/>
      <c r="AB295" s="9"/>
      <c r="AC295" s="9"/>
      <c r="AD295" s="9"/>
      <c r="AE295" s="9"/>
      <c r="AF295" s="10" t="str">
        <f aca="false">IF(A295="","",SG_Criteria!$B$6&amp;SG_Criteria!$B$8&amp;"\"&amp;A295&amp;"\")</f>
        <v/>
      </c>
      <c r="AG295" s="10" t="str">
        <f aca="false">IF(A295="","",A295&amp;"_CAD.dwg")</f>
        <v/>
      </c>
      <c r="AH295" s="10" t="str">
        <f aca="false">IF(A295="","",A295&amp;"_DWG.pdf")</f>
        <v/>
      </c>
      <c r="AI295" s="10" t="str">
        <f aca="false">IF(A295="","",IF(AE295="Y",A295&amp;"_STAAD.std","n/a"))</f>
        <v/>
      </c>
      <c r="AJ295" s="10" t="str">
        <f aca="false">IF(A295="","",A295&amp;"_CALC.xlsx")</f>
        <v/>
      </c>
      <c r="AK295" s="10" t="str">
        <f aca="false">IF(A295="","",A295&amp;"_CALC.pdf")</f>
        <v/>
      </c>
      <c r="AL295" s="9"/>
      <c r="AM295" s="9"/>
      <c r="AN295" s="41"/>
      <c r="AO295" s="41"/>
      <c r="AP295" s="41"/>
      <c r="AQ295" s="41"/>
      <c r="AR295" s="41"/>
      <c r="AS295" s="38" t="str">
        <f aca="false">IF(OR(C295="",D295=""),"",IF(D295&lt;=IF(OR(C295="Block / Segmental",C295="Gabion",C295="Reinforced Earth (MSE)"),SG_Criteria!$B$34,SG_Criteria!$B$33),"No ERSS submission",IF(D295&lt;=SG_Criteria!$B$35,"QP(ST)",IF(D295&lt;=SG_Criteria!$B$36,"QP(ST) + AC","Geotechnical building works: QP(Geo) + AC"))))</f>
        <v/>
      </c>
      <c r="AT295" s="38" t="str">
        <f aca="false">IF(C295="","",IF(LEN(IF(AND(R295&lt;&gt;"",IFERROR(VALUE(MID(R295,2,2)),0)&lt;SG_Criteria!$B$19),"FAIL: grade below C"&amp;SG_Criteria!$B$19&amp;". ","")&amp;IF(AND(S295&lt;&gt;"",S295&lt;SG_Criteria!$B$20),"FAIL: cover &lt; "&amp;SG_Criteria!$B$20&amp;" mm. ","")&amp;IF(AND(W295&lt;&gt;"",W295&lt;1),"FAIL: sliding. ","")&amp;IF(AND(C295="Reverse L-Wall (toe only, at boundary)",N(O295)&gt;0),"NOTE: reverse L-wall should have no heel. ","")&amp;IF(AND(C295="L-Wall (heel only)",N(N295)&gt;0),"NOTE: L-wall should have no toe. ","")&amp;IF(AND(E295&lt;&gt;"",E295&lt;SG_Criteria!$B$31),"NOTE: q below LTA min "&amp;SG_Criteria!$B$31&amp;" kPa (not for LTA works). ",""))=0,"OK",IF(AND(R295&lt;&gt;"",IFERROR(VALUE(MID(R295,2,2)),0)&lt;SG_Criteria!$B$19),"FAIL: grade below C"&amp;SG_Criteria!$B$19&amp;". ","")&amp;IF(AND(S295&lt;&gt;"",S295&lt;SG_Criteria!$B$20),"FAIL: cover &lt; "&amp;SG_Criteria!$B$20&amp;" mm. ","")&amp;IF(AND(W295&lt;&gt;"",W295&lt;1),"FAIL: sliding. ","")&amp;IF(AND(C295="Reverse L-Wall (toe only, at boundary)",N(O295)&gt;0),"NOTE: reverse L-wall should have no heel. ","")&amp;IF(AND(C295="L-Wall (heel only)",N(N295)&gt;0),"NOTE: L-wall should have no toe. ","")&amp;IF(AND(E295&lt;&gt;"",E295&lt;SG_Criteria!$B$31),"NOTE: q below LTA min "&amp;SG_Criteria!$B$31&amp;" kPa (not for LTA works). ","")))</f>
        <v/>
      </c>
      <c r="AU295" s="9"/>
      <c r="AV295" s="9"/>
      <c r="AW295" s="9"/>
      <c r="AX295" s="9"/>
      <c r="AY295" s="9"/>
      <c r="AZ295" s="31"/>
      <c r="BA295" s="10" t="str">
        <f aca="false">IF(C295="","",IF(AND(AB295="Approved",ISERROR(SEARCH("FAIL",AT295))),"Y","N"))</f>
        <v/>
      </c>
      <c r="BB295" s="10" t="str">
        <f aca="false">IF(C295="","",C295&amp;"|"&amp;D295&amp;"|"&amp;E295&amp;"|"&amp;F295&amp;"|"&amp;BA295)</f>
        <v/>
      </c>
    </row>
    <row r="296" customFormat="false" ht="15" hidden="false" customHeight="false" outlineLevel="0" collapsed="false">
      <c r="A296" s="10" t="str">
        <f aca="false">IF(C296="","","RW-"&amp;IFERROR(VLOOKUP(C296,Lists!$M$4:$N$22,2,0),"??")&amp;"-H"&amp;TEXT(D296*1000,"0000")&amp;"-S"&amp;E296&amp;IF(F296="Y","-GW","")&amp;"-"&amp;AA296)</f>
        <v/>
      </c>
      <c r="B296" s="10" t="str">
        <f aca="false">IF(C296="","",C296&amp;", H = "&amp;TEXT(D296,"0.0")&amp;" m, q = "&amp;E296&amp;" kPa"&amp;IF(F296="Y",", with GWT","")&amp;", "&amp;H296)</f>
        <v/>
      </c>
      <c r="C296" s="9"/>
      <c r="D296" s="41"/>
      <c r="E296" s="40"/>
      <c r="F296" s="9"/>
      <c r="G296" s="40"/>
      <c r="H296" s="9"/>
      <c r="I296" s="40"/>
      <c r="J296" s="43"/>
      <c r="K296" s="40"/>
      <c r="L296" s="40"/>
      <c r="M296" s="40"/>
      <c r="N296" s="40"/>
      <c r="O296" s="40"/>
      <c r="P296" s="40"/>
      <c r="Q296" s="9"/>
      <c r="R296" s="9"/>
      <c r="S296" s="40"/>
      <c r="T296" s="9"/>
      <c r="U296" s="9"/>
      <c r="V296" s="9"/>
      <c r="W296" s="41"/>
      <c r="X296" s="41"/>
      <c r="Y296" s="40"/>
      <c r="Z296" s="9"/>
      <c r="AA296" s="9"/>
      <c r="AB296" s="9"/>
      <c r="AC296" s="9"/>
      <c r="AD296" s="9"/>
      <c r="AE296" s="9"/>
      <c r="AF296" s="10" t="str">
        <f aca="false">IF(A296="","",SG_Criteria!$B$6&amp;SG_Criteria!$B$8&amp;"\"&amp;A296&amp;"\")</f>
        <v/>
      </c>
      <c r="AG296" s="10" t="str">
        <f aca="false">IF(A296="","",A296&amp;"_CAD.dwg")</f>
        <v/>
      </c>
      <c r="AH296" s="10" t="str">
        <f aca="false">IF(A296="","",A296&amp;"_DWG.pdf")</f>
        <v/>
      </c>
      <c r="AI296" s="10" t="str">
        <f aca="false">IF(A296="","",IF(AE296="Y",A296&amp;"_STAAD.std","n/a"))</f>
        <v/>
      </c>
      <c r="AJ296" s="10" t="str">
        <f aca="false">IF(A296="","",A296&amp;"_CALC.xlsx")</f>
        <v/>
      </c>
      <c r="AK296" s="10" t="str">
        <f aca="false">IF(A296="","",A296&amp;"_CALC.pdf")</f>
        <v/>
      </c>
      <c r="AL296" s="9"/>
      <c r="AM296" s="9"/>
      <c r="AN296" s="41"/>
      <c r="AO296" s="41"/>
      <c r="AP296" s="41"/>
      <c r="AQ296" s="41"/>
      <c r="AR296" s="41"/>
      <c r="AS296" s="38" t="str">
        <f aca="false">IF(OR(C296="",D296=""),"",IF(D296&lt;=IF(OR(C296="Block / Segmental",C296="Gabion",C296="Reinforced Earth (MSE)"),SG_Criteria!$B$34,SG_Criteria!$B$33),"No ERSS submission",IF(D296&lt;=SG_Criteria!$B$35,"QP(ST)",IF(D296&lt;=SG_Criteria!$B$36,"QP(ST) + AC","Geotechnical building works: QP(Geo) + AC"))))</f>
        <v/>
      </c>
      <c r="AT296" s="38" t="str">
        <f aca="false">IF(C296="","",IF(LEN(IF(AND(R296&lt;&gt;"",IFERROR(VALUE(MID(R296,2,2)),0)&lt;SG_Criteria!$B$19),"FAIL: grade below C"&amp;SG_Criteria!$B$19&amp;". ","")&amp;IF(AND(S296&lt;&gt;"",S296&lt;SG_Criteria!$B$20),"FAIL: cover &lt; "&amp;SG_Criteria!$B$20&amp;" mm. ","")&amp;IF(AND(W296&lt;&gt;"",W296&lt;1),"FAIL: sliding. ","")&amp;IF(AND(C296="Reverse L-Wall (toe only, at boundary)",N(O296)&gt;0),"NOTE: reverse L-wall should have no heel. ","")&amp;IF(AND(C296="L-Wall (heel only)",N(N296)&gt;0),"NOTE: L-wall should have no toe. ","")&amp;IF(AND(E296&lt;&gt;"",E296&lt;SG_Criteria!$B$31),"NOTE: q below LTA min "&amp;SG_Criteria!$B$31&amp;" kPa (not for LTA works). ",""))=0,"OK",IF(AND(R296&lt;&gt;"",IFERROR(VALUE(MID(R296,2,2)),0)&lt;SG_Criteria!$B$19),"FAIL: grade below C"&amp;SG_Criteria!$B$19&amp;". ","")&amp;IF(AND(S296&lt;&gt;"",S296&lt;SG_Criteria!$B$20),"FAIL: cover &lt; "&amp;SG_Criteria!$B$20&amp;" mm. ","")&amp;IF(AND(W296&lt;&gt;"",W296&lt;1),"FAIL: sliding. ","")&amp;IF(AND(C296="Reverse L-Wall (toe only, at boundary)",N(O296)&gt;0),"NOTE: reverse L-wall should have no heel. ","")&amp;IF(AND(C296="L-Wall (heel only)",N(N296)&gt;0),"NOTE: L-wall should have no toe. ","")&amp;IF(AND(E296&lt;&gt;"",E296&lt;SG_Criteria!$B$31),"NOTE: q below LTA min "&amp;SG_Criteria!$B$31&amp;" kPa (not for LTA works). ","")))</f>
        <v/>
      </c>
      <c r="AU296" s="9"/>
      <c r="AV296" s="9"/>
      <c r="AW296" s="9"/>
      <c r="AX296" s="9"/>
      <c r="AY296" s="9"/>
      <c r="AZ296" s="31"/>
      <c r="BA296" s="10" t="str">
        <f aca="false">IF(C296="","",IF(AND(AB296="Approved",ISERROR(SEARCH("FAIL",AT296))),"Y","N"))</f>
        <v/>
      </c>
      <c r="BB296" s="10" t="str">
        <f aca="false">IF(C296="","",C296&amp;"|"&amp;D296&amp;"|"&amp;E296&amp;"|"&amp;F296&amp;"|"&amp;BA296)</f>
        <v/>
      </c>
    </row>
    <row r="297" customFormat="false" ht="15" hidden="false" customHeight="false" outlineLevel="0" collapsed="false">
      <c r="A297" s="10" t="str">
        <f aca="false">IF(C297="","","RW-"&amp;IFERROR(VLOOKUP(C297,Lists!$M$4:$N$22,2,0),"??")&amp;"-H"&amp;TEXT(D297*1000,"0000")&amp;"-S"&amp;E297&amp;IF(F297="Y","-GW","")&amp;"-"&amp;AA297)</f>
        <v/>
      </c>
      <c r="B297" s="10" t="str">
        <f aca="false">IF(C297="","",C297&amp;", H = "&amp;TEXT(D297,"0.0")&amp;" m, q = "&amp;E297&amp;" kPa"&amp;IF(F297="Y",", with GWT","")&amp;", "&amp;H297)</f>
        <v/>
      </c>
      <c r="C297" s="9"/>
      <c r="D297" s="41"/>
      <c r="E297" s="40"/>
      <c r="F297" s="9"/>
      <c r="G297" s="40"/>
      <c r="H297" s="9"/>
      <c r="I297" s="40"/>
      <c r="J297" s="43"/>
      <c r="K297" s="40"/>
      <c r="L297" s="40"/>
      <c r="M297" s="40"/>
      <c r="N297" s="40"/>
      <c r="O297" s="40"/>
      <c r="P297" s="40"/>
      <c r="Q297" s="9"/>
      <c r="R297" s="9"/>
      <c r="S297" s="40"/>
      <c r="T297" s="9"/>
      <c r="U297" s="9"/>
      <c r="V297" s="9"/>
      <c r="W297" s="41"/>
      <c r="X297" s="41"/>
      <c r="Y297" s="40"/>
      <c r="Z297" s="9"/>
      <c r="AA297" s="9"/>
      <c r="AB297" s="9"/>
      <c r="AC297" s="9"/>
      <c r="AD297" s="9"/>
      <c r="AE297" s="9"/>
      <c r="AF297" s="10" t="str">
        <f aca="false">IF(A297="","",SG_Criteria!$B$6&amp;SG_Criteria!$B$8&amp;"\"&amp;A297&amp;"\")</f>
        <v/>
      </c>
      <c r="AG297" s="10" t="str">
        <f aca="false">IF(A297="","",A297&amp;"_CAD.dwg")</f>
        <v/>
      </c>
      <c r="AH297" s="10" t="str">
        <f aca="false">IF(A297="","",A297&amp;"_DWG.pdf")</f>
        <v/>
      </c>
      <c r="AI297" s="10" t="str">
        <f aca="false">IF(A297="","",IF(AE297="Y",A297&amp;"_STAAD.std","n/a"))</f>
        <v/>
      </c>
      <c r="AJ297" s="10" t="str">
        <f aca="false">IF(A297="","",A297&amp;"_CALC.xlsx")</f>
        <v/>
      </c>
      <c r="AK297" s="10" t="str">
        <f aca="false">IF(A297="","",A297&amp;"_CALC.pdf")</f>
        <v/>
      </c>
      <c r="AL297" s="9"/>
      <c r="AM297" s="9"/>
      <c r="AN297" s="41"/>
      <c r="AO297" s="41"/>
      <c r="AP297" s="41"/>
      <c r="AQ297" s="41"/>
      <c r="AR297" s="41"/>
      <c r="AS297" s="38" t="str">
        <f aca="false">IF(OR(C297="",D297=""),"",IF(D297&lt;=IF(OR(C297="Block / Segmental",C297="Gabion",C297="Reinforced Earth (MSE)"),SG_Criteria!$B$34,SG_Criteria!$B$33),"No ERSS submission",IF(D297&lt;=SG_Criteria!$B$35,"QP(ST)",IF(D297&lt;=SG_Criteria!$B$36,"QP(ST) + AC","Geotechnical building works: QP(Geo) + AC"))))</f>
        <v/>
      </c>
      <c r="AT297" s="38" t="str">
        <f aca="false">IF(C297="","",IF(LEN(IF(AND(R297&lt;&gt;"",IFERROR(VALUE(MID(R297,2,2)),0)&lt;SG_Criteria!$B$19),"FAIL: grade below C"&amp;SG_Criteria!$B$19&amp;". ","")&amp;IF(AND(S297&lt;&gt;"",S297&lt;SG_Criteria!$B$20),"FAIL: cover &lt; "&amp;SG_Criteria!$B$20&amp;" mm. ","")&amp;IF(AND(W297&lt;&gt;"",W297&lt;1),"FAIL: sliding. ","")&amp;IF(AND(C297="Reverse L-Wall (toe only, at boundary)",N(O297)&gt;0),"NOTE: reverse L-wall should have no heel. ","")&amp;IF(AND(C297="L-Wall (heel only)",N(N297)&gt;0),"NOTE: L-wall should have no toe. ","")&amp;IF(AND(E297&lt;&gt;"",E297&lt;SG_Criteria!$B$31),"NOTE: q below LTA min "&amp;SG_Criteria!$B$31&amp;" kPa (not for LTA works). ",""))=0,"OK",IF(AND(R297&lt;&gt;"",IFERROR(VALUE(MID(R297,2,2)),0)&lt;SG_Criteria!$B$19),"FAIL: grade below C"&amp;SG_Criteria!$B$19&amp;". ","")&amp;IF(AND(S297&lt;&gt;"",S297&lt;SG_Criteria!$B$20),"FAIL: cover &lt; "&amp;SG_Criteria!$B$20&amp;" mm. ","")&amp;IF(AND(W297&lt;&gt;"",W297&lt;1),"FAIL: sliding. ","")&amp;IF(AND(C297="Reverse L-Wall (toe only, at boundary)",N(O297)&gt;0),"NOTE: reverse L-wall should have no heel. ","")&amp;IF(AND(C297="L-Wall (heel only)",N(N297)&gt;0),"NOTE: L-wall should have no toe. ","")&amp;IF(AND(E297&lt;&gt;"",E297&lt;SG_Criteria!$B$31),"NOTE: q below LTA min "&amp;SG_Criteria!$B$31&amp;" kPa (not for LTA works). ","")))</f>
        <v/>
      </c>
      <c r="AU297" s="9"/>
      <c r="AV297" s="9"/>
      <c r="AW297" s="9"/>
      <c r="AX297" s="9"/>
      <c r="AY297" s="9"/>
      <c r="AZ297" s="31"/>
      <c r="BA297" s="10" t="str">
        <f aca="false">IF(C297="","",IF(AND(AB297="Approved",ISERROR(SEARCH("FAIL",AT297))),"Y","N"))</f>
        <v/>
      </c>
      <c r="BB297" s="10" t="str">
        <f aca="false">IF(C297="","",C297&amp;"|"&amp;D297&amp;"|"&amp;E297&amp;"|"&amp;F297&amp;"|"&amp;BA297)</f>
        <v/>
      </c>
    </row>
    <row r="298" customFormat="false" ht="15" hidden="false" customHeight="false" outlineLevel="0" collapsed="false">
      <c r="A298" s="10" t="str">
        <f aca="false">IF(C298="","","RW-"&amp;IFERROR(VLOOKUP(C298,Lists!$M$4:$N$22,2,0),"??")&amp;"-H"&amp;TEXT(D298*1000,"0000")&amp;"-S"&amp;E298&amp;IF(F298="Y","-GW","")&amp;"-"&amp;AA298)</f>
        <v/>
      </c>
      <c r="B298" s="10" t="str">
        <f aca="false">IF(C298="","",C298&amp;", H = "&amp;TEXT(D298,"0.0")&amp;" m, q = "&amp;E298&amp;" kPa"&amp;IF(F298="Y",", with GWT","")&amp;", "&amp;H298)</f>
        <v/>
      </c>
      <c r="C298" s="9"/>
      <c r="D298" s="41"/>
      <c r="E298" s="40"/>
      <c r="F298" s="9"/>
      <c r="G298" s="40"/>
      <c r="H298" s="9"/>
      <c r="I298" s="40"/>
      <c r="J298" s="43"/>
      <c r="K298" s="40"/>
      <c r="L298" s="40"/>
      <c r="M298" s="40"/>
      <c r="N298" s="40"/>
      <c r="O298" s="40"/>
      <c r="P298" s="40"/>
      <c r="Q298" s="9"/>
      <c r="R298" s="9"/>
      <c r="S298" s="40"/>
      <c r="T298" s="9"/>
      <c r="U298" s="9"/>
      <c r="V298" s="9"/>
      <c r="W298" s="41"/>
      <c r="X298" s="41"/>
      <c r="Y298" s="40"/>
      <c r="Z298" s="9"/>
      <c r="AA298" s="9"/>
      <c r="AB298" s="9"/>
      <c r="AC298" s="9"/>
      <c r="AD298" s="9"/>
      <c r="AE298" s="9"/>
      <c r="AF298" s="10" t="str">
        <f aca="false">IF(A298="","",SG_Criteria!$B$6&amp;SG_Criteria!$B$8&amp;"\"&amp;A298&amp;"\")</f>
        <v/>
      </c>
      <c r="AG298" s="10" t="str">
        <f aca="false">IF(A298="","",A298&amp;"_CAD.dwg")</f>
        <v/>
      </c>
      <c r="AH298" s="10" t="str">
        <f aca="false">IF(A298="","",A298&amp;"_DWG.pdf")</f>
        <v/>
      </c>
      <c r="AI298" s="10" t="str">
        <f aca="false">IF(A298="","",IF(AE298="Y",A298&amp;"_STAAD.std","n/a"))</f>
        <v/>
      </c>
      <c r="AJ298" s="10" t="str">
        <f aca="false">IF(A298="","",A298&amp;"_CALC.xlsx")</f>
        <v/>
      </c>
      <c r="AK298" s="10" t="str">
        <f aca="false">IF(A298="","",A298&amp;"_CALC.pdf")</f>
        <v/>
      </c>
      <c r="AL298" s="9"/>
      <c r="AM298" s="9"/>
      <c r="AN298" s="41"/>
      <c r="AO298" s="41"/>
      <c r="AP298" s="41"/>
      <c r="AQ298" s="41"/>
      <c r="AR298" s="41"/>
      <c r="AS298" s="38" t="str">
        <f aca="false">IF(OR(C298="",D298=""),"",IF(D298&lt;=IF(OR(C298="Block / Segmental",C298="Gabion",C298="Reinforced Earth (MSE)"),SG_Criteria!$B$34,SG_Criteria!$B$33),"No ERSS submission",IF(D298&lt;=SG_Criteria!$B$35,"QP(ST)",IF(D298&lt;=SG_Criteria!$B$36,"QP(ST) + AC","Geotechnical building works: QP(Geo) + AC"))))</f>
        <v/>
      </c>
      <c r="AT298" s="38" t="str">
        <f aca="false">IF(C298="","",IF(LEN(IF(AND(R298&lt;&gt;"",IFERROR(VALUE(MID(R298,2,2)),0)&lt;SG_Criteria!$B$19),"FAIL: grade below C"&amp;SG_Criteria!$B$19&amp;". ","")&amp;IF(AND(S298&lt;&gt;"",S298&lt;SG_Criteria!$B$20),"FAIL: cover &lt; "&amp;SG_Criteria!$B$20&amp;" mm. ","")&amp;IF(AND(W298&lt;&gt;"",W298&lt;1),"FAIL: sliding. ","")&amp;IF(AND(C298="Reverse L-Wall (toe only, at boundary)",N(O298)&gt;0),"NOTE: reverse L-wall should have no heel. ","")&amp;IF(AND(C298="L-Wall (heel only)",N(N298)&gt;0),"NOTE: L-wall should have no toe. ","")&amp;IF(AND(E298&lt;&gt;"",E298&lt;SG_Criteria!$B$31),"NOTE: q below LTA min "&amp;SG_Criteria!$B$31&amp;" kPa (not for LTA works). ",""))=0,"OK",IF(AND(R298&lt;&gt;"",IFERROR(VALUE(MID(R298,2,2)),0)&lt;SG_Criteria!$B$19),"FAIL: grade below C"&amp;SG_Criteria!$B$19&amp;". ","")&amp;IF(AND(S298&lt;&gt;"",S298&lt;SG_Criteria!$B$20),"FAIL: cover &lt; "&amp;SG_Criteria!$B$20&amp;" mm. ","")&amp;IF(AND(W298&lt;&gt;"",W298&lt;1),"FAIL: sliding. ","")&amp;IF(AND(C298="Reverse L-Wall (toe only, at boundary)",N(O298)&gt;0),"NOTE: reverse L-wall should have no heel. ","")&amp;IF(AND(C298="L-Wall (heel only)",N(N298)&gt;0),"NOTE: L-wall should have no toe. ","")&amp;IF(AND(E298&lt;&gt;"",E298&lt;SG_Criteria!$B$31),"NOTE: q below LTA min "&amp;SG_Criteria!$B$31&amp;" kPa (not for LTA works). ","")))</f>
        <v/>
      </c>
      <c r="AU298" s="9"/>
      <c r="AV298" s="9"/>
      <c r="AW298" s="9"/>
      <c r="AX298" s="9"/>
      <c r="AY298" s="9"/>
      <c r="AZ298" s="31"/>
      <c r="BA298" s="10" t="str">
        <f aca="false">IF(C298="","",IF(AND(AB298="Approved",ISERROR(SEARCH("FAIL",AT298))),"Y","N"))</f>
        <v/>
      </c>
      <c r="BB298" s="10" t="str">
        <f aca="false">IF(C298="","",C298&amp;"|"&amp;D298&amp;"|"&amp;E298&amp;"|"&amp;F298&amp;"|"&amp;BA298)</f>
        <v/>
      </c>
    </row>
    <row r="299" customFormat="false" ht="15" hidden="false" customHeight="false" outlineLevel="0" collapsed="false">
      <c r="A299" s="10" t="str">
        <f aca="false">IF(C299="","","RW-"&amp;IFERROR(VLOOKUP(C299,Lists!$M$4:$N$22,2,0),"??")&amp;"-H"&amp;TEXT(D299*1000,"0000")&amp;"-S"&amp;E299&amp;IF(F299="Y","-GW","")&amp;"-"&amp;AA299)</f>
        <v/>
      </c>
      <c r="B299" s="10" t="str">
        <f aca="false">IF(C299="","",C299&amp;", H = "&amp;TEXT(D299,"0.0")&amp;" m, q = "&amp;E299&amp;" kPa"&amp;IF(F299="Y",", with GWT","")&amp;", "&amp;H299)</f>
        <v/>
      </c>
      <c r="C299" s="9"/>
      <c r="D299" s="41"/>
      <c r="E299" s="40"/>
      <c r="F299" s="9"/>
      <c r="G299" s="40"/>
      <c r="H299" s="9"/>
      <c r="I299" s="40"/>
      <c r="J299" s="43"/>
      <c r="K299" s="40"/>
      <c r="L299" s="40"/>
      <c r="M299" s="40"/>
      <c r="N299" s="40"/>
      <c r="O299" s="40"/>
      <c r="P299" s="40"/>
      <c r="Q299" s="9"/>
      <c r="R299" s="9"/>
      <c r="S299" s="40"/>
      <c r="T299" s="9"/>
      <c r="U299" s="9"/>
      <c r="V299" s="9"/>
      <c r="W299" s="41"/>
      <c r="X299" s="41"/>
      <c r="Y299" s="40"/>
      <c r="Z299" s="9"/>
      <c r="AA299" s="9"/>
      <c r="AB299" s="9"/>
      <c r="AC299" s="9"/>
      <c r="AD299" s="9"/>
      <c r="AE299" s="9"/>
      <c r="AF299" s="10" t="str">
        <f aca="false">IF(A299="","",SG_Criteria!$B$6&amp;SG_Criteria!$B$8&amp;"\"&amp;A299&amp;"\")</f>
        <v/>
      </c>
      <c r="AG299" s="10" t="str">
        <f aca="false">IF(A299="","",A299&amp;"_CAD.dwg")</f>
        <v/>
      </c>
      <c r="AH299" s="10" t="str">
        <f aca="false">IF(A299="","",A299&amp;"_DWG.pdf")</f>
        <v/>
      </c>
      <c r="AI299" s="10" t="str">
        <f aca="false">IF(A299="","",IF(AE299="Y",A299&amp;"_STAAD.std","n/a"))</f>
        <v/>
      </c>
      <c r="AJ299" s="10" t="str">
        <f aca="false">IF(A299="","",A299&amp;"_CALC.xlsx")</f>
        <v/>
      </c>
      <c r="AK299" s="10" t="str">
        <f aca="false">IF(A299="","",A299&amp;"_CALC.pdf")</f>
        <v/>
      </c>
      <c r="AL299" s="9"/>
      <c r="AM299" s="9"/>
      <c r="AN299" s="41"/>
      <c r="AO299" s="41"/>
      <c r="AP299" s="41"/>
      <c r="AQ299" s="41"/>
      <c r="AR299" s="41"/>
      <c r="AS299" s="38" t="str">
        <f aca="false">IF(OR(C299="",D299=""),"",IF(D299&lt;=IF(OR(C299="Block / Segmental",C299="Gabion",C299="Reinforced Earth (MSE)"),SG_Criteria!$B$34,SG_Criteria!$B$33),"No ERSS submission",IF(D299&lt;=SG_Criteria!$B$35,"QP(ST)",IF(D299&lt;=SG_Criteria!$B$36,"QP(ST) + AC","Geotechnical building works: QP(Geo) + AC"))))</f>
        <v/>
      </c>
      <c r="AT299" s="38" t="str">
        <f aca="false">IF(C299="","",IF(LEN(IF(AND(R299&lt;&gt;"",IFERROR(VALUE(MID(R299,2,2)),0)&lt;SG_Criteria!$B$19),"FAIL: grade below C"&amp;SG_Criteria!$B$19&amp;". ","")&amp;IF(AND(S299&lt;&gt;"",S299&lt;SG_Criteria!$B$20),"FAIL: cover &lt; "&amp;SG_Criteria!$B$20&amp;" mm. ","")&amp;IF(AND(W299&lt;&gt;"",W299&lt;1),"FAIL: sliding. ","")&amp;IF(AND(C299="Reverse L-Wall (toe only, at boundary)",N(O299)&gt;0),"NOTE: reverse L-wall should have no heel. ","")&amp;IF(AND(C299="L-Wall (heel only)",N(N299)&gt;0),"NOTE: L-wall should have no toe. ","")&amp;IF(AND(E299&lt;&gt;"",E299&lt;SG_Criteria!$B$31),"NOTE: q below LTA min "&amp;SG_Criteria!$B$31&amp;" kPa (not for LTA works). ",""))=0,"OK",IF(AND(R299&lt;&gt;"",IFERROR(VALUE(MID(R299,2,2)),0)&lt;SG_Criteria!$B$19),"FAIL: grade below C"&amp;SG_Criteria!$B$19&amp;". ","")&amp;IF(AND(S299&lt;&gt;"",S299&lt;SG_Criteria!$B$20),"FAIL: cover &lt; "&amp;SG_Criteria!$B$20&amp;" mm. ","")&amp;IF(AND(W299&lt;&gt;"",W299&lt;1),"FAIL: sliding. ","")&amp;IF(AND(C299="Reverse L-Wall (toe only, at boundary)",N(O299)&gt;0),"NOTE: reverse L-wall should have no heel. ","")&amp;IF(AND(C299="L-Wall (heel only)",N(N299)&gt;0),"NOTE: L-wall should have no toe. ","")&amp;IF(AND(E299&lt;&gt;"",E299&lt;SG_Criteria!$B$31),"NOTE: q below LTA min "&amp;SG_Criteria!$B$31&amp;" kPa (not for LTA works). ","")))</f>
        <v/>
      </c>
      <c r="AU299" s="9"/>
      <c r="AV299" s="9"/>
      <c r="AW299" s="9"/>
      <c r="AX299" s="9"/>
      <c r="AY299" s="9"/>
      <c r="AZ299" s="31"/>
      <c r="BA299" s="10" t="str">
        <f aca="false">IF(C299="","",IF(AND(AB299="Approved",ISERROR(SEARCH("FAIL",AT299))),"Y","N"))</f>
        <v/>
      </c>
      <c r="BB299" s="10" t="str">
        <f aca="false">IF(C299="","",C299&amp;"|"&amp;D299&amp;"|"&amp;E299&amp;"|"&amp;F299&amp;"|"&amp;BA299)</f>
        <v/>
      </c>
    </row>
    <row r="300" customFormat="false" ht="15" hidden="false" customHeight="false" outlineLevel="0" collapsed="false">
      <c r="A300" s="10" t="str">
        <f aca="false">IF(C300="","","RW-"&amp;IFERROR(VLOOKUP(C300,Lists!$M$4:$N$22,2,0),"??")&amp;"-H"&amp;TEXT(D300*1000,"0000")&amp;"-S"&amp;E300&amp;IF(F300="Y","-GW","")&amp;"-"&amp;AA300)</f>
        <v/>
      </c>
      <c r="B300" s="10" t="str">
        <f aca="false">IF(C300="","",C300&amp;", H = "&amp;TEXT(D300,"0.0")&amp;" m, q = "&amp;E300&amp;" kPa"&amp;IF(F300="Y",", with GWT","")&amp;", "&amp;H300)</f>
        <v/>
      </c>
      <c r="C300" s="9"/>
      <c r="D300" s="41"/>
      <c r="E300" s="40"/>
      <c r="F300" s="9"/>
      <c r="G300" s="40"/>
      <c r="H300" s="9"/>
      <c r="I300" s="40"/>
      <c r="J300" s="43"/>
      <c r="K300" s="40"/>
      <c r="L300" s="40"/>
      <c r="M300" s="40"/>
      <c r="N300" s="40"/>
      <c r="O300" s="40"/>
      <c r="P300" s="40"/>
      <c r="Q300" s="9"/>
      <c r="R300" s="9"/>
      <c r="S300" s="40"/>
      <c r="T300" s="9"/>
      <c r="U300" s="9"/>
      <c r="V300" s="9"/>
      <c r="W300" s="41"/>
      <c r="X300" s="41"/>
      <c r="Y300" s="40"/>
      <c r="Z300" s="9"/>
      <c r="AA300" s="9"/>
      <c r="AB300" s="9"/>
      <c r="AC300" s="9"/>
      <c r="AD300" s="9"/>
      <c r="AE300" s="9"/>
      <c r="AF300" s="10" t="str">
        <f aca="false">IF(A300="","",SG_Criteria!$B$6&amp;SG_Criteria!$B$8&amp;"\"&amp;A300&amp;"\")</f>
        <v/>
      </c>
      <c r="AG300" s="10" t="str">
        <f aca="false">IF(A300="","",A300&amp;"_CAD.dwg")</f>
        <v/>
      </c>
      <c r="AH300" s="10" t="str">
        <f aca="false">IF(A300="","",A300&amp;"_DWG.pdf")</f>
        <v/>
      </c>
      <c r="AI300" s="10" t="str">
        <f aca="false">IF(A300="","",IF(AE300="Y",A300&amp;"_STAAD.std","n/a"))</f>
        <v/>
      </c>
      <c r="AJ300" s="10" t="str">
        <f aca="false">IF(A300="","",A300&amp;"_CALC.xlsx")</f>
        <v/>
      </c>
      <c r="AK300" s="10" t="str">
        <f aca="false">IF(A300="","",A300&amp;"_CALC.pdf")</f>
        <v/>
      </c>
      <c r="AL300" s="9"/>
      <c r="AM300" s="9"/>
      <c r="AN300" s="41"/>
      <c r="AO300" s="41"/>
      <c r="AP300" s="41"/>
      <c r="AQ300" s="41"/>
      <c r="AR300" s="41"/>
      <c r="AS300" s="38" t="str">
        <f aca="false">IF(OR(C300="",D300=""),"",IF(D300&lt;=IF(OR(C300="Block / Segmental",C300="Gabion",C300="Reinforced Earth (MSE)"),SG_Criteria!$B$34,SG_Criteria!$B$33),"No ERSS submission",IF(D300&lt;=SG_Criteria!$B$35,"QP(ST)",IF(D300&lt;=SG_Criteria!$B$36,"QP(ST) + AC","Geotechnical building works: QP(Geo) + AC"))))</f>
        <v/>
      </c>
      <c r="AT300" s="38" t="str">
        <f aca="false">IF(C300="","",IF(LEN(IF(AND(R300&lt;&gt;"",IFERROR(VALUE(MID(R300,2,2)),0)&lt;SG_Criteria!$B$19),"FAIL: grade below C"&amp;SG_Criteria!$B$19&amp;". ","")&amp;IF(AND(S300&lt;&gt;"",S300&lt;SG_Criteria!$B$20),"FAIL: cover &lt; "&amp;SG_Criteria!$B$20&amp;" mm. ","")&amp;IF(AND(W300&lt;&gt;"",W300&lt;1),"FAIL: sliding. ","")&amp;IF(AND(C300="Reverse L-Wall (toe only, at boundary)",N(O300)&gt;0),"NOTE: reverse L-wall should have no heel. ","")&amp;IF(AND(C300="L-Wall (heel only)",N(N300)&gt;0),"NOTE: L-wall should have no toe. ","")&amp;IF(AND(E300&lt;&gt;"",E300&lt;SG_Criteria!$B$31),"NOTE: q below LTA min "&amp;SG_Criteria!$B$31&amp;" kPa (not for LTA works). ",""))=0,"OK",IF(AND(R300&lt;&gt;"",IFERROR(VALUE(MID(R300,2,2)),0)&lt;SG_Criteria!$B$19),"FAIL: grade below C"&amp;SG_Criteria!$B$19&amp;". ","")&amp;IF(AND(S300&lt;&gt;"",S300&lt;SG_Criteria!$B$20),"FAIL: cover &lt; "&amp;SG_Criteria!$B$20&amp;" mm. ","")&amp;IF(AND(W300&lt;&gt;"",W300&lt;1),"FAIL: sliding. ","")&amp;IF(AND(C300="Reverse L-Wall (toe only, at boundary)",N(O300)&gt;0),"NOTE: reverse L-wall should have no heel. ","")&amp;IF(AND(C300="L-Wall (heel only)",N(N300)&gt;0),"NOTE: L-wall should have no toe. ","")&amp;IF(AND(E300&lt;&gt;"",E300&lt;SG_Criteria!$B$31),"NOTE: q below LTA min "&amp;SG_Criteria!$B$31&amp;" kPa (not for LTA works). ","")))</f>
        <v/>
      </c>
      <c r="AU300" s="9"/>
      <c r="AV300" s="9"/>
      <c r="AW300" s="9"/>
      <c r="AX300" s="9"/>
      <c r="AY300" s="9"/>
      <c r="AZ300" s="31"/>
      <c r="BA300" s="10" t="str">
        <f aca="false">IF(C300="","",IF(AND(AB300="Approved",ISERROR(SEARCH("FAIL",AT300))),"Y","N"))</f>
        <v/>
      </c>
      <c r="BB300" s="10" t="str">
        <f aca="false">IF(C300="","",C300&amp;"|"&amp;D300&amp;"|"&amp;E300&amp;"|"&amp;F300&amp;"|"&amp;BA300)</f>
        <v/>
      </c>
    </row>
    <row r="301" customFormat="false" ht="15" hidden="false" customHeight="false" outlineLevel="0" collapsed="false">
      <c r="A301" s="10" t="str">
        <f aca="false">IF(C301="","","RW-"&amp;IFERROR(VLOOKUP(C301,Lists!$M$4:$N$22,2,0),"??")&amp;"-H"&amp;TEXT(D301*1000,"0000")&amp;"-S"&amp;E301&amp;IF(F301="Y","-GW","")&amp;"-"&amp;AA301)</f>
        <v/>
      </c>
      <c r="B301" s="10" t="str">
        <f aca="false">IF(C301="","",C301&amp;", H = "&amp;TEXT(D301,"0.0")&amp;" m, q = "&amp;E301&amp;" kPa"&amp;IF(F301="Y",", with GWT","")&amp;", "&amp;H301)</f>
        <v/>
      </c>
      <c r="C301" s="9"/>
      <c r="D301" s="41"/>
      <c r="E301" s="40"/>
      <c r="F301" s="9"/>
      <c r="G301" s="40"/>
      <c r="H301" s="9"/>
      <c r="I301" s="40"/>
      <c r="J301" s="43"/>
      <c r="K301" s="40"/>
      <c r="L301" s="40"/>
      <c r="M301" s="40"/>
      <c r="N301" s="40"/>
      <c r="O301" s="40"/>
      <c r="P301" s="40"/>
      <c r="Q301" s="9"/>
      <c r="R301" s="9"/>
      <c r="S301" s="40"/>
      <c r="T301" s="9"/>
      <c r="U301" s="9"/>
      <c r="V301" s="9"/>
      <c r="W301" s="41"/>
      <c r="X301" s="41"/>
      <c r="Y301" s="40"/>
      <c r="Z301" s="9"/>
      <c r="AA301" s="9"/>
      <c r="AB301" s="9"/>
      <c r="AC301" s="9"/>
      <c r="AD301" s="9"/>
      <c r="AE301" s="9"/>
      <c r="AF301" s="10" t="str">
        <f aca="false">IF(A301="","",SG_Criteria!$B$6&amp;SG_Criteria!$B$8&amp;"\"&amp;A301&amp;"\")</f>
        <v/>
      </c>
      <c r="AG301" s="10" t="str">
        <f aca="false">IF(A301="","",A301&amp;"_CAD.dwg")</f>
        <v/>
      </c>
      <c r="AH301" s="10" t="str">
        <f aca="false">IF(A301="","",A301&amp;"_DWG.pdf")</f>
        <v/>
      </c>
      <c r="AI301" s="10" t="str">
        <f aca="false">IF(A301="","",IF(AE301="Y",A301&amp;"_STAAD.std","n/a"))</f>
        <v/>
      </c>
      <c r="AJ301" s="10" t="str">
        <f aca="false">IF(A301="","",A301&amp;"_CALC.xlsx")</f>
        <v/>
      </c>
      <c r="AK301" s="10" t="str">
        <f aca="false">IF(A301="","",A301&amp;"_CALC.pdf")</f>
        <v/>
      </c>
      <c r="AL301" s="9"/>
      <c r="AM301" s="9"/>
      <c r="AN301" s="41"/>
      <c r="AO301" s="41"/>
      <c r="AP301" s="41"/>
      <c r="AQ301" s="41"/>
      <c r="AR301" s="41"/>
      <c r="AS301" s="38" t="str">
        <f aca="false">IF(OR(C301="",D301=""),"",IF(D301&lt;=IF(OR(C301="Block / Segmental",C301="Gabion",C301="Reinforced Earth (MSE)"),SG_Criteria!$B$34,SG_Criteria!$B$33),"No ERSS submission",IF(D301&lt;=SG_Criteria!$B$35,"QP(ST)",IF(D301&lt;=SG_Criteria!$B$36,"QP(ST) + AC","Geotechnical building works: QP(Geo) + AC"))))</f>
        <v/>
      </c>
      <c r="AT301" s="38" t="str">
        <f aca="false">IF(C301="","",IF(LEN(IF(AND(R301&lt;&gt;"",IFERROR(VALUE(MID(R301,2,2)),0)&lt;SG_Criteria!$B$19),"FAIL: grade below C"&amp;SG_Criteria!$B$19&amp;". ","")&amp;IF(AND(S301&lt;&gt;"",S301&lt;SG_Criteria!$B$20),"FAIL: cover &lt; "&amp;SG_Criteria!$B$20&amp;" mm. ","")&amp;IF(AND(W301&lt;&gt;"",W301&lt;1),"FAIL: sliding. ","")&amp;IF(AND(C301="Reverse L-Wall (toe only, at boundary)",N(O301)&gt;0),"NOTE: reverse L-wall should have no heel. ","")&amp;IF(AND(C301="L-Wall (heel only)",N(N301)&gt;0),"NOTE: L-wall should have no toe. ","")&amp;IF(AND(E301&lt;&gt;"",E301&lt;SG_Criteria!$B$31),"NOTE: q below LTA min "&amp;SG_Criteria!$B$31&amp;" kPa (not for LTA works). ",""))=0,"OK",IF(AND(R301&lt;&gt;"",IFERROR(VALUE(MID(R301,2,2)),0)&lt;SG_Criteria!$B$19),"FAIL: grade below C"&amp;SG_Criteria!$B$19&amp;". ","")&amp;IF(AND(S301&lt;&gt;"",S301&lt;SG_Criteria!$B$20),"FAIL: cover &lt; "&amp;SG_Criteria!$B$20&amp;" mm. ","")&amp;IF(AND(W301&lt;&gt;"",W301&lt;1),"FAIL: sliding. ","")&amp;IF(AND(C301="Reverse L-Wall (toe only, at boundary)",N(O301)&gt;0),"NOTE: reverse L-wall should have no heel. ","")&amp;IF(AND(C301="L-Wall (heel only)",N(N301)&gt;0),"NOTE: L-wall should have no toe. ","")&amp;IF(AND(E301&lt;&gt;"",E301&lt;SG_Criteria!$B$31),"NOTE: q below LTA min "&amp;SG_Criteria!$B$31&amp;" kPa (not for LTA works). ","")))</f>
        <v/>
      </c>
      <c r="AU301" s="9"/>
      <c r="AV301" s="9"/>
      <c r="AW301" s="9"/>
      <c r="AX301" s="9"/>
      <c r="AY301" s="9"/>
      <c r="AZ301" s="31"/>
      <c r="BA301" s="10" t="str">
        <f aca="false">IF(C301="","",IF(AND(AB301="Approved",ISERROR(SEARCH("FAIL",AT301))),"Y","N"))</f>
        <v/>
      </c>
      <c r="BB301" s="10" t="str">
        <f aca="false">IF(C301="","",C301&amp;"|"&amp;D301&amp;"|"&amp;E301&amp;"|"&amp;F301&amp;"|"&amp;BA301)</f>
        <v/>
      </c>
    </row>
    <row r="302" customFormat="false" ht="15" hidden="false" customHeight="false" outlineLevel="0" collapsed="false">
      <c r="A302" s="10" t="str">
        <f aca="false">IF(C302="","","RW-"&amp;IFERROR(VLOOKUP(C302,Lists!$M$4:$N$22,2,0),"??")&amp;"-H"&amp;TEXT(D302*1000,"0000")&amp;"-S"&amp;E302&amp;IF(F302="Y","-GW","")&amp;"-"&amp;AA302)</f>
        <v/>
      </c>
      <c r="B302" s="10" t="str">
        <f aca="false">IF(C302="","",C302&amp;", H = "&amp;TEXT(D302,"0.0")&amp;" m, q = "&amp;E302&amp;" kPa"&amp;IF(F302="Y",", with GWT","")&amp;", "&amp;H302)</f>
        <v/>
      </c>
      <c r="C302" s="9"/>
      <c r="D302" s="41"/>
      <c r="E302" s="40"/>
      <c r="F302" s="9"/>
      <c r="G302" s="40"/>
      <c r="H302" s="9"/>
      <c r="I302" s="40"/>
      <c r="J302" s="43"/>
      <c r="K302" s="40"/>
      <c r="L302" s="40"/>
      <c r="M302" s="40"/>
      <c r="N302" s="40"/>
      <c r="O302" s="40"/>
      <c r="P302" s="40"/>
      <c r="Q302" s="9"/>
      <c r="R302" s="9"/>
      <c r="S302" s="40"/>
      <c r="T302" s="9"/>
      <c r="U302" s="9"/>
      <c r="V302" s="9"/>
      <c r="W302" s="41"/>
      <c r="X302" s="41"/>
      <c r="Y302" s="40"/>
      <c r="Z302" s="9"/>
      <c r="AA302" s="9"/>
      <c r="AB302" s="9"/>
      <c r="AC302" s="9"/>
      <c r="AD302" s="9"/>
      <c r="AE302" s="9"/>
      <c r="AF302" s="10" t="str">
        <f aca="false">IF(A302="","",SG_Criteria!$B$6&amp;SG_Criteria!$B$8&amp;"\"&amp;A302&amp;"\")</f>
        <v/>
      </c>
      <c r="AG302" s="10" t="str">
        <f aca="false">IF(A302="","",A302&amp;"_CAD.dwg")</f>
        <v/>
      </c>
      <c r="AH302" s="10" t="str">
        <f aca="false">IF(A302="","",A302&amp;"_DWG.pdf")</f>
        <v/>
      </c>
      <c r="AI302" s="10" t="str">
        <f aca="false">IF(A302="","",IF(AE302="Y",A302&amp;"_STAAD.std","n/a"))</f>
        <v/>
      </c>
      <c r="AJ302" s="10" t="str">
        <f aca="false">IF(A302="","",A302&amp;"_CALC.xlsx")</f>
        <v/>
      </c>
      <c r="AK302" s="10" t="str">
        <f aca="false">IF(A302="","",A302&amp;"_CALC.pdf")</f>
        <v/>
      </c>
      <c r="AL302" s="9"/>
      <c r="AM302" s="9"/>
      <c r="AN302" s="41"/>
      <c r="AO302" s="41"/>
      <c r="AP302" s="41"/>
      <c r="AQ302" s="41"/>
      <c r="AR302" s="41"/>
      <c r="AS302" s="38" t="str">
        <f aca="false">IF(OR(C302="",D302=""),"",IF(D302&lt;=IF(OR(C302="Block / Segmental",C302="Gabion",C302="Reinforced Earth (MSE)"),SG_Criteria!$B$34,SG_Criteria!$B$33),"No ERSS submission",IF(D302&lt;=SG_Criteria!$B$35,"QP(ST)",IF(D302&lt;=SG_Criteria!$B$36,"QP(ST) + AC","Geotechnical building works: QP(Geo) + AC"))))</f>
        <v/>
      </c>
      <c r="AT302" s="38" t="str">
        <f aca="false">IF(C302="","",IF(LEN(IF(AND(R302&lt;&gt;"",IFERROR(VALUE(MID(R302,2,2)),0)&lt;SG_Criteria!$B$19),"FAIL: grade below C"&amp;SG_Criteria!$B$19&amp;". ","")&amp;IF(AND(S302&lt;&gt;"",S302&lt;SG_Criteria!$B$20),"FAIL: cover &lt; "&amp;SG_Criteria!$B$20&amp;" mm. ","")&amp;IF(AND(W302&lt;&gt;"",W302&lt;1),"FAIL: sliding. ","")&amp;IF(AND(C302="Reverse L-Wall (toe only, at boundary)",N(O302)&gt;0),"NOTE: reverse L-wall should have no heel. ","")&amp;IF(AND(C302="L-Wall (heel only)",N(N302)&gt;0),"NOTE: L-wall should have no toe. ","")&amp;IF(AND(E302&lt;&gt;"",E302&lt;SG_Criteria!$B$31),"NOTE: q below LTA min "&amp;SG_Criteria!$B$31&amp;" kPa (not for LTA works). ",""))=0,"OK",IF(AND(R302&lt;&gt;"",IFERROR(VALUE(MID(R302,2,2)),0)&lt;SG_Criteria!$B$19),"FAIL: grade below C"&amp;SG_Criteria!$B$19&amp;". ","")&amp;IF(AND(S302&lt;&gt;"",S302&lt;SG_Criteria!$B$20),"FAIL: cover &lt; "&amp;SG_Criteria!$B$20&amp;" mm. ","")&amp;IF(AND(W302&lt;&gt;"",W302&lt;1),"FAIL: sliding. ","")&amp;IF(AND(C302="Reverse L-Wall (toe only, at boundary)",N(O302)&gt;0),"NOTE: reverse L-wall should have no heel. ","")&amp;IF(AND(C302="L-Wall (heel only)",N(N302)&gt;0),"NOTE: L-wall should have no toe. ","")&amp;IF(AND(E302&lt;&gt;"",E302&lt;SG_Criteria!$B$31),"NOTE: q below LTA min "&amp;SG_Criteria!$B$31&amp;" kPa (not for LTA works). ","")))</f>
        <v/>
      </c>
      <c r="AU302" s="9"/>
      <c r="AV302" s="9"/>
      <c r="AW302" s="9"/>
      <c r="AX302" s="9"/>
      <c r="AY302" s="9"/>
      <c r="AZ302" s="31"/>
      <c r="BA302" s="10" t="str">
        <f aca="false">IF(C302="","",IF(AND(AB302="Approved",ISERROR(SEARCH("FAIL",AT302))),"Y","N"))</f>
        <v/>
      </c>
      <c r="BB302" s="10" t="str">
        <f aca="false">IF(C302="","",C302&amp;"|"&amp;D302&amp;"|"&amp;E302&amp;"|"&amp;F302&amp;"|"&amp;BA302)</f>
        <v/>
      </c>
    </row>
    <row r="303" customFormat="false" ht="15" hidden="false" customHeight="false" outlineLevel="0" collapsed="false">
      <c r="A303" s="10" t="str">
        <f aca="false">IF(C303="","","RW-"&amp;IFERROR(VLOOKUP(C303,Lists!$M$4:$N$22,2,0),"??")&amp;"-H"&amp;TEXT(D303*1000,"0000")&amp;"-S"&amp;E303&amp;IF(F303="Y","-GW","")&amp;"-"&amp;AA303)</f>
        <v/>
      </c>
      <c r="B303" s="10" t="str">
        <f aca="false">IF(C303="","",C303&amp;", H = "&amp;TEXT(D303,"0.0")&amp;" m, q = "&amp;E303&amp;" kPa"&amp;IF(F303="Y",", with GWT","")&amp;", "&amp;H303)</f>
        <v/>
      </c>
      <c r="C303" s="9"/>
      <c r="D303" s="41"/>
      <c r="E303" s="40"/>
      <c r="F303" s="9"/>
      <c r="G303" s="40"/>
      <c r="H303" s="9"/>
      <c r="I303" s="40"/>
      <c r="J303" s="43"/>
      <c r="K303" s="40"/>
      <c r="L303" s="40"/>
      <c r="M303" s="40"/>
      <c r="N303" s="40"/>
      <c r="O303" s="40"/>
      <c r="P303" s="40"/>
      <c r="Q303" s="9"/>
      <c r="R303" s="9"/>
      <c r="S303" s="40"/>
      <c r="T303" s="9"/>
      <c r="U303" s="9"/>
      <c r="V303" s="9"/>
      <c r="W303" s="41"/>
      <c r="X303" s="41"/>
      <c r="Y303" s="40"/>
      <c r="Z303" s="9"/>
      <c r="AA303" s="9"/>
      <c r="AB303" s="9"/>
      <c r="AC303" s="9"/>
      <c r="AD303" s="9"/>
      <c r="AE303" s="9"/>
      <c r="AF303" s="10" t="str">
        <f aca="false">IF(A303="","",SG_Criteria!$B$6&amp;SG_Criteria!$B$8&amp;"\"&amp;A303&amp;"\")</f>
        <v/>
      </c>
      <c r="AG303" s="10" t="str">
        <f aca="false">IF(A303="","",A303&amp;"_CAD.dwg")</f>
        <v/>
      </c>
      <c r="AH303" s="10" t="str">
        <f aca="false">IF(A303="","",A303&amp;"_DWG.pdf")</f>
        <v/>
      </c>
      <c r="AI303" s="10" t="str">
        <f aca="false">IF(A303="","",IF(AE303="Y",A303&amp;"_STAAD.std","n/a"))</f>
        <v/>
      </c>
      <c r="AJ303" s="10" t="str">
        <f aca="false">IF(A303="","",A303&amp;"_CALC.xlsx")</f>
        <v/>
      </c>
      <c r="AK303" s="10" t="str">
        <f aca="false">IF(A303="","",A303&amp;"_CALC.pdf")</f>
        <v/>
      </c>
      <c r="AL303" s="9"/>
      <c r="AM303" s="9"/>
      <c r="AN303" s="41"/>
      <c r="AO303" s="41"/>
      <c r="AP303" s="41"/>
      <c r="AQ303" s="41"/>
      <c r="AR303" s="41"/>
      <c r="AS303" s="38" t="str">
        <f aca="false">IF(OR(C303="",D303=""),"",IF(D303&lt;=IF(OR(C303="Block / Segmental",C303="Gabion",C303="Reinforced Earth (MSE)"),SG_Criteria!$B$34,SG_Criteria!$B$33),"No ERSS submission",IF(D303&lt;=SG_Criteria!$B$35,"QP(ST)",IF(D303&lt;=SG_Criteria!$B$36,"QP(ST) + AC","Geotechnical building works: QP(Geo) + AC"))))</f>
        <v/>
      </c>
      <c r="AT303" s="38" t="str">
        <f aca="false">IF(C303="","",IF(LEN(IF(AND(R303&lt;&gt;"",IFERROR(VALUE(MID(R303,2,2)),0)&lt;SG_Criteria!$B$19),"FAIL: grade below C"&amp;SG_Criteria!$B$19&amp;". ","")&amp;IF(AND(S303&lt;&gt;"",S303&lt;SG_Criteria!$B$20),"FAIL: cover &lt; "&amp;SG_Criteria!$B$20&amp;" mm. ","")&amp;IF(AND(W303&lt;&gt;"",W303&lt;1),"FAIL: sliding. ","")&amp;IF(AND(C303="Reverse L-Wall (toe only, at boundary)",N(O303)&gt;0),"NOTE: reverse L-wall should have no heel. ","")&amp;IF(AND(C303="L-Wall (heel only)",N(N303)&gt;0),"NOTE: L-wall should have no toe. ","")&amp;IF(AND(E303&lt;&gt;"",E303&lt;SG_Criteria!$B$31),"NOTE: q below LTA min "&amp;SG_Criteria!$B$31&amp;" kPa (not for LTA works). ",""))=0,"OK",IF(AND(R303&lt;&gt;"",IFERROR(VALUE(MID(R303,2,2)),0)&lt;SG_Criteria!$B$19),"FAIL: grade below C"&amp;SG_Criteria!$B$19&amp;". ","")&amp;IF(AND(S303&lt;&gt;"",S303&lt;SG_Criteria!$B$20),"FAIL: cover &lt; "&amp;SG_Criteria!$B$20&amp;" mm. ","")&amp;IF(AND(W303&lt;&gt;"",W303&lt;1),"FAIL: sliding. ","")&amp;IF(AND(C303="Reverse L-Wall (toe only, at boundary)",N(O303)&gt;0),"NOTE: reverse L-wall should have no heel. ","")&amp;IF(AND(C303="L-Wall (heel only)",N(N303)&gt;0),"NOTE: L-wall should have no toe. ","")&amp;IF(AND(E303&lt;&gt;"",E303&lt;SG_Criteria!$B$31),"NOTE: q below LTA min "&amp;SG_Criteria!$B$31&amp;" kPa (not for LTA works). ","")))</f>
        <v/>
      </c>
      <c r="AU303" s="9"/>
      <c r="AV303" s="9"/>
      <c r="AW303" s="9"/>
      <c r="AX303" s="9"/>
      <c r="AY303" s="9"/>
      <c r="AZ303" s="31"/>
      <c r="BA303" s="10" t="str">
        <f aca="false">IF(C303="","",IF(AND(AB303="Approved",ISERROR(SEARCH("FAIL",AT303))),"Y","N"))</f>
        <v/>
      </c>
      <c r="BB303" s="10" t="str">
        <f aca="false">IF(C303="","",C303&amp;"|"&amp;D303&amp;"|"&amp;E303&amp;"|"&amp;F303&amp;"|"&amp;BA303)</f>
        <v/>
      </c>
    </row>
    <row r="304" customFormat="false" ht="15" hidden="false" customHeight="false" outlineLevel="0" collapsed="false">
      <c r="A304" s="10" t="str">
        <f aca="false">IF(C304="","","RW-"&amp;IFERROR(VLOOKUP(C304,Lists!$M$4:$N$22,2,0),"??")&amp;"-H"&amp;TEXT(D304*1000,"0000")&amp;"-S"&amp;E304&amp;IF(F304="Y","-GW","")&amp;"-"&amp;AA304)</f>
        <v/>
      </c>
      <c r="B304" s="10" t="str">
        <f aca="false">IF(C304="","",C304&amp;", H = "&amp;TEXT(D304,"0.0")&amp;" m, q = "&amp;E304&amp;" kPa"&amp;IF(F304="Y",", with GWT","")&amp;", "&amp;H304)</f>
        <v/>
      </c>
      <c r="C304" s="9"/>
      <c r="D304" s="41"/>
      <c r="E304" s="40"/>
      <c r="F304" s="9"/>
      <c r="G304" s="40"/>
      <c r="H304" s="9"/>
      <c r="I304" s="40"/>
      <c r="J304" s="43"/>
      <c r="K304" s="40"/>
      <c r="L304" s="40"/>
      <c r="M304" s="40"/>
      <c r="N304" s="40"/>
      <c r="O304" s="40"/>
      <c r="P304" s="40"/>
      <c r="Q304" s="9"/>
      <c r="R304" s="9"/>
      <c r="S304" s="40"/>
      <c r="T304" s="9"/>
      <c r="U304" s="9"/>
      <c r="V304" s="9"/>
      <c r="W304" s="41"/>
      <c r="X304" s="41"/>
      <c r="Y304" s="40"/>
      <c r="Z304" s="9"/>
      <c r="AA304" s="9"/>
      <c r="AB304" s="9"/>
      <c r="AC304" s="9"/>
      <c r="AD304" s="9"/>
      <c r="AE304" s="9"/>
      <c r="AF304" s="10" t="str">
        <f aca="false">IF(A304="","",SG_Criteria!$B$6&amp;SG_Criteria!$B$8&amp;"\"&amp;A304&amp;"\")</f>
        <v/>
      </c>
      <c r="AG304" s="10" t="str">
        <f aca="false">IF(A304="","",A304&amp;"_CAD.dwg")</f>
        <v/>
      </c>
      <c r="AH304" s="10" t="str">
        <f aca="false">IF(A304="","",A304&amp;"_DWG.pdf")</f>
        <v/>
      </c>
      <c r="AI304" s="10" t="str">
        <f aca="false">IF(A304="","",IF(AE304="Y",A304&amp;"_STAAD.std","n/a"))</f>
        <v/>
      </c>
      <c r="AJ304" s="10" t="str">
        <f aca="false">IF(A304="","",A304&amp;"_CALC.xlsx")</f>
        <v/>
      </c>
      <c r="AK304" s="10" t="str">
        <f aca="false">IF(A304="","",A304&amp;"_CALC.pdf")</f>
        <v/>
      </c>
      <c r="AL304" s="9"/>
      <c r="AM304" s="9"/>
      <c r="AN304" s="41"/>
      <c r="AO304" s="41"/>
      <c r="AP304" s="41"/>
      <c r="AQ304" s="41"/>
      <c r="AR304" s="41"/>
      <c r="AS304" s="38" t="str">
        <f aca="false">IF(OR(C304="",D304=""),"",IF(D304&lt;=IF(OR(C304="Block / Segmental",C304="Gabion",C304="Reinforced Earth (MSE)"),SG_Criteria!$B$34,SG_Criteria!$B$33),"No ERSS submission",IF(D304&lt;=SG_Criteria!$B$35,"QP(ST)",IF(D304&lt;=SG_Criteria!$B$36,"QP(ST) + AC","Geotechnical building works: QP(Geo) + AC"))))</f>
        <v/>
      </c>
      <c r="AT304" s="38" t="str">
        <f aca="false">IF(C304="","",IF(LEN(IF(AND(R304&lt;&gt;"",IFERROR(VALUE(MID(R304,2,2)),0)&lt;SG_Criteria!$B$19),"FAIL: grade below C"&amp;SG_Criteria!$B$19&amp;". ","")&amp;IF(AND(S304&lt;&gt;"",S304&lt;SG_Criteria!$B$20),"FAIL: cover &lt; "&amp;SG_Criteria!$B$20&amp;" mm. ","")&amp;IF(AND(W304&lt;&gt;"",W304&lt;1),"FAIL: sliding. ","")&amp;IF(AND(C304="Reverse L-Wall (toe only, at boundary)",N(O304)&gt;0),"NOTE: reverse L-wall should have no heel. ","")&amp;IF(AND(C304="L-Wall (heel only)",N(N304)&gt;0),"NOTE: L-wall should have no toe. ","")&amp;IF(AND(E304&lt;&gt;"",E304&lt;SG_Criteria!$B$31),"NOTE: q below LTA min "&amp;SG_Criteria!$B$31&amp;" kPa (not for LTA works). ",""))=0,"OK",IF(AND(R304&lt;&gt;"",IFERROR(VALUE(MID(R304,2,2)),0)&lt;SG_Criteria!$B$19),"FAIL: grade below C"&amp;SG_Criteria!$B$19&amp;". ","")&amp;IF(AND(S304&lt;&gt;"",S304&lt;SG_Criteria!$B$20),"FAIL: cover &lt; "&amp;SG_Criteria!$B$20&amp;" mm. ","")&amp;IF(AND(W304&lt;&gt;"",W304&lt;1),"FAIL: sliding. ","")&amp;IF(AND(C304="Reverse L-Wall (toe only, at boundary)",N(O304)&gt;0),"NOTE: reverse L-wall should have no heel. ","")&amp;IF(AND(C304="L-Wall (heel only)",N(N304)&gt;0),"NOTE: L-wall should have no toe. ","")&amp;IF(AND(E304&lt;&gt;"",E304&lt;SG_Criteria!$B$31),"NOTE: q below LTA min "&amp;SG_Criteria!$B$31&amp;" kPa (not for LTA works). ","")))</f>
        <v/>
      </c>
      <c r="AU304" s="9"/>
      <c r="AV304" s="9"/>
      <c r="AW304" s="9"/>
      <c r="AX304" s="9"/>
      <c r="AY304" s="9"/>
      <c r="AZ304" s="31"/>
      <c r="BA304" s="10" t="str">
        <f aca="false">IF(C304="","",IF(AND(AB304="Approved",ISERROR(SEARCH("FAIL",AT304))),"Y","N"))</f>
        <v/>
      </c>
      <c r="BB304" s="10" t="str">
        <f aca="false">IF(C304="","",C304&amp;"|"&amp;D304&amp;"|"&amp;E304&amp;"|"&amp;F304&amp;"|"&amp;BA304)</f>
        <v/>
      </c>
    </row>
  </sheetData>
  <conditionalFormatting sqref="AT5:AT304">
    <cfRule type="expression" priority="2" aboveAverage="0" equalAverage="0" bottom="0" percent="0" rank="0" text="" dxfId="0">
      <formula>ISNUMBER(SEARCH("FAIL",AT5))</formula>
    </cfRule>
    <cfRule type="expression" priority="3" aboveAverage="0" equalAverage="0" bottom="0" percent="0" rank="0" text="" dxfId="15">
      <formula>ISNUMBER(SEARCH("NOTE",AT5))</formula>
    </cfRule>
    <cfRule type="expression" priority="4" aboveAverage="0" equalAverage="0" bottom="0" percent="0" rank="0" text="" dxfId="1">
      <formula>AT5="OK"</formula>
    </cfRule>
  </conditionalFormatting>
  <conditionalFormatting sqref="AS5:AS304">
    <cfRule type="expression" priority="5" aboveAverage="0" equalAverage="0" bottom="0" percent="0" rank="0" text="" dxfId="0">
      <formula>ISNUMBER(SEARCH("FAIL",AS5))</formula>
    </cfRule>
    <cfRule type="expression" priority="6" aboveAverage="0" equalAverage="0" bottom="0" percent="0" rank="0" text="" dxfId="15">
      <formula>ISNUMBER(SEARCH("NOTE",AS5))</formula>
    </cfRule>
    <cfRule type="expression" priority="7" aboveAverage="0" equalAverage="0" bottom="0" percent="0" rank="0" text="" dxfId="1">
      <formula>AS5="OK"</formula>
    </cfRule>
  </conditionalFormatting>
  <dataValidations count="9">
    <dataValidation allowBlank="true" error="Pick a value from the list (add new values on the Lists sheet)." errorStyle="stop" errorTitle="Not in list" operator="between" showDropDown="false" showErrorMessage="false" showInputMessage="false" sqref="C5:C304" type="list">
      <formula1>Lists!$M$4:$M$22</formula1>
      <formula2>0</formula2>
    </dataValidation>
    <dataValidation allowBlank="true" error="Pick a value from the list (add new values on the Lists sheet)." errorStyle="stop" errorTitle="Not in list" operator="between" showDropDown="false" showErrorMessage="false" showInputMessage="false" sqref="F5:F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H5:H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R5:R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B5:AB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D5:AD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L5:AL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M5:AM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Y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0"/>
    <col collapsed="false" customWidth="true" hidden="false" outlineLevel="0" max="3" min="3" style="0" width="22"/>
    <col collapsed="false" customWidth="true" hidden="false" outlineLevel="0" max="4" min="4" style="0" width="11"/>
    <col collapsed="false" customWidth="true" hidden="false" outlineLevel="0" max="5" min="5" style="0" width="8"/>
    <col collapsed="false" customWidth="true" hidden="false" outlineLevel="0" max="6" min="6" style="0" width="16"/>
    <col collapsed="false" customWidth="true" hidden="false" outlineLevel="0" max="7" min="7" style="0" width="22"/>
    <col collapsed="false" customWidth="true" hidden="false" outlineLevel="0" max="9" min="8" style="0" width="8"/>
    <col collapsed="false" customWidth="true" hidden="false" outlineLevel="0" max="10" min="10" style="0" width="14"/>
    <col collapsed="false" customWidth="true" hidden="false" outlineLevel="0" max="11" min="11" style="0" width="10"/>
    <col collapsed="false" customWidth="true" hidden="false" outlineLevel="0" max="12" min="12" style="0" width="7"/>
    <col collapsed="false" customWidth="true" hidden="false" outlineLevel="0" max="14" min="13" style="0" width="8"/>
    <col collapsed="false" customWidth="true" hidden="false" outlineLevel="0" max="15" min="15" style="0" width="14"/>
    <col collapsed="false" customWidth="true" hidden="false" outlineLevel="0" max="17" min="16" style="0" width="12"/>
    <col collapsed="false" customWidth="true" hidden="false" outlineLevel="0" max="18" min="18" style="0" width="16"/>
    <col collapsed="false" customWidth="true" hidden="false" outlineLevel="0" max="21" min="19" style="0" width="8"/>
    <col collapsed="false" customWidth="true" hidden="false" outlineLevel="0" max="22" min="22" style="0" width="18"/>
    <col collapsed="false" customWidth="true" hidden="false" outlineLevel="0" max="23" min="23" style="0" width="30"/>
    <col collapsed="false" customWidth="true" hidden="false" outlineLevel="0" max="24" min="24" style="0" width="5"/>
    <col collapsed="false" customWidth="true" hidden="false" outlineLevel="0" max="25" min="25" style="0" width="10"/>
    <col collapsed="false" customWidth="true" hidden="false" outlineLevel="0" max="26" min="26" style="0" width="14"/>
    <col collapsed="false" customWidth="true" hidden="false" outlineLevel="0" max="27" min="27" style="0" width="8"/>
    <col collapsed="false" customWidth="true" hidden="false" outlineLevel="0" max="28" min="28" style="0" width="9"/>
    <col collapsed="false" customWidth="true" hidden="false" outlineLevel="0" max="29" min="29" style="0" width="46"/>
    <col collapsed="false" customWidth="true" hidden="false" outlineLevel="0" max="34" min="30" style="0" width="30"/>
    <col collapsed="false" customWidth="true" hidden="false" outlineLevel="0" max="35" min="35" style="0" width="9"/>
    <col collapsed="false" customWidth="true" hidden="false" outlineLevel="0" max="36" min="36" style="0" width="6"/>
    <col collapsed="false" customWidth="true" hidden="false" outlineLevel="0" max="41" min="37" style="0" width="9"/>
    <col collapsed="false" customWidth="true" hidden="false" outlineLevel="0" max="42" min="42" style="0" width="24"/>
    <col collapsed="false" customWidth="true" hidden="false" outlineLevel="0" max="43" min="43" style="0" width="42"/>
    <col collapsed="false" customWidth="true" hidden="false" outlineLevel="0" max="44" min="44" style="0" width="36"/>
    <col collapsed="false" customWidth="true" hidden="false" outlineLevel="0" max="45" min="45" style="0" width="22"/>
    <col collapsed="false" customWidth="true" hidden="false" outlineLevel="0" max="47" min="46" style="0" width="10"/>
    <col collapsed="false" customWidth="true" hidden="false" outlineLevel="0" max="49" min="48" style="0" width="11"/>
    <col collapsed="false" customWidth="true" hidden="false" outlineLevel="0" max="50" min="50" style="0" width="8"/>
    <col collapsed="false" customWidth="true" hidden="false" outlineLevel="0" max="51" min="51" style="0" width="40"/>
  </cols>
  <sheetData>
    <row r="1" customFormat="false" ht="17.35" hidden="false" customHeight="false" outlineLevel="0" collapsed="false">
      <c r="A1" s="5" t="s">
        <v>708</v>
      </c>
    </row>
    <row r="2" customFormat="false" ht="15" hidden="false" customHeight="false" outlineLevel="0" collapsed="false">
      <c r="A2" s="6" t="s">
        <v>709</v>
      </c>
    </row>
    <row r="3" customFormat="false" ht="15" hidden="false" customHeight="false" outlineLevel="0" collapsed="false">
      <c r="A3" s="6" t="s">
        <v>581</v>
      </c>
    </row>
    <row r="4" customFormat="false" ht="54" hidden="false" customHeight="true" outlineLevel="0" collapsed="false">
      <c r="A4" s="16" t="s">
        <v>92</v>
      </c>
      <c r="B4" s="16" t="s">
        <v>93</v>
      </c>
      <c r="C4" s="15" t="s">
        <v>668</v>
      </c>
      <c r="D4" s="15" t="s">
        <v>78</v>
      </c>
      <c r="E4" s="15" t="s">
        <v>710</v>
      </c>
      <c r="F4" s="15" t="s">
        <v>711</v>
      </c>
      <c r="G4" s="15" t="s">
        <v>712</v>
      </c>
      <c r="H4" s="15" t="s">
        <v>713</v>
      </c>
      <c r="I4" s="15" t="s">
        <v>67</v>
      </c>
      <c r="J4" s="15" t="s">
        <v>714</v>
      </c>
      <c r="K4" s="15" t="s">
        <v>715</v>
      </c>
      <c r="L4" s="15" t="s">
        <v>587</v>
      </c>
      <c r="M4" s="15" t="s">
        <v>716</v>
      </c>
      <c r="N4" s="15" t="s">
        <v>717</v>
      </c>
      <c r="O4" s="15" t="s">
        <v>718</v>
      </c>
      <c r="P4" s="15" t="s">
        <v>719</v>
      </c>
      <c r="Q4" s="15" t="s">
        <v>720</v>
      </c>
      <c r="R4" s="15" t="s">
        <v>721</v>
      </c>
      <c r="S4" s="15" t="s">
        <v>722</v>
      </c>
      <c r="T4" s="15" t="s">
        <v>723</v>
      </c>
      <c r="U4" s="15" t="s">
        <v>591</v>
      </c>
      <c r="V4" s="15" t="s">
        <v>724</v>
      </c>
      <c r="W4" s="15" t="s">
        <v>597</v>
      </c>
      <c r="X4" s="15" t="s">
        <v>121</v>
      </c>
      <c r="Y4" s="15" t="s">
        <v>122</v>
      </c>
      <c r="Z4" s="15" t="s">
        <v>123</v>
      </c>
      <c r="AA4" s="15" t="s">
        <v>598</v>
      </c>
      <c r="AB4" s="15" t="s">
        <v>599</v>
      </c>
      <c r="AC4" s="34" t="s">
        <v>600</v>
      </c>
      <c r="AD4" s="34" t="s">
        <v>601</v>
      </c>
      <c r="AE4" s="34" t="s">
        <v>602</v>
      </c>
      <c r="AF4" s="34" t="s">
        <v>603</v>
      </c>
      <c r="AG4" s="34" t="s">
        <v>604</v>
      </c>
      <c r="AH4" s="34" t="s">
        <v>605</v>
      </c>
      <c r="AI4" s="15" t="s">
        <v>606</v>
      </c>
      <c r="AJ4" s="15" t="s">
        <v>607</v>
      </c>
      <c r="AK4" s="17" t="s">
        <v>608</v>
      </c>
      <c r="AL4" s="17" t="s">
        <v>609</v>
      </c>
      <c r="AM4" s="17" t="s">
        <v>610</v>
      </c>
      <c r="AN4" s="17" t="s">
        <v>611</v>
      </c>
      <c r="AO4" s="17" t="s">
        <v>612</v>
      </c>
      <c r="AP4" s="16" t="s">
        <v>686</v>
      </c>
      <c r="AQ4" s="16" t="s">
        <v>615</v>
      </c>
      <c r="AR4" s="15" t="s">
        <v>616</v>
      </c>
      <c r="AS4" s="15" t="s">
        <v>617</v>
      </c>
      <c r="AT4" s="15" t="s">
        <v>618</v>
      </c>
      <c r="AU4" s="15" t="s">
        <v>619</v>
      </c>
      <c r="AV4" s="15" t="s">
        <v>620</v>
      </c>
      <c r="AW4" s="15" t="s">
        <v>621</v>
      </c>
      <c r="AX4" s="16" t="s">
        <v>622</v>
      </c>
      <c r="AY4" s="16" t="s">
        <v>623</v>
      </c>
    </row>
    <row r="5" customFormat="false" ht="15" hidden="false" customHeight="false" outlineLevel="0" collapsed="false">
      <c r="A5" s="10" t="str">
        <f aca="false">IF(C5="","","EW-"&amp;IFERROR(VLOOKUP(C5,Lists!$P$4:$Q$22,2,0),"??")&amp;"-D"&amp;TEXT(E5*1000,"0000")&amp;"-"&amp;IFERROR(VLOOKUP(F5,Lists!$S$4:$T$21,2,0),"??")&amp;"-"&amp;IFERROR(VLOOKUP(G5,Lists!$Y$4:$Z$21,2,0),"??")&amp;"-"&amp;IFERROR(VLOOKUP(D5,Lists!$V$4:$W$16,2,0),"??")&amp;"-"&amp;X5)</f>
        <v>EW-CBP-D3000-CL-OA-P-A</v>
      </c>
      <c r="B5" s="10" t="str">
        <f aca="false">IF(C5="","",D5&amp;" "&amp;C5&amp;", excavation "&amp;TEXT(E5,"0.0")&amp;" m, "&amp;F5&amp;", "&amp;G5&amp;", "&amp;J5)</f>
        <v>Permanent Contiguous Bored Pile (CBP), excavation 3.0 m, Cantilever (no support), Old Alluvium, 600 dia</v>
      </c>
      <c r="C5" s="18" t="s">
        <v>59</v>
      </c>
      <c r="D5" s="18" t="s">
        <v>79</v>
      </c>
      <c r="E5" s="42" t="n">
        <v>3</v>
      </c>
      <c r="F5" s="18" t="s">
        <v>452</v>
      </c>
      <c r="G5" s="18" t="s">
        <v>76</v>
      </c>
      <c r="H5" s="42" t="n">
        <v>2</v>
      </c>
      <c r="I5" s="35" t="n">
        <v>20</v>
      </c>
      <c r="J5" s="18" t="s">
        <v>725</v>
      </c>
      <c r="K5" s="18" t="s">
        <v>726</v>
      </c>
      <c r="L5" s="18" t="s">
        <v>626</v>
      </c>
      <c r="M5" s="42" t="n">
        <v>6</v>
      </c>
      <c r="N5" s="42" t="n">
        <v>9</v>
      </c>
      <c r="O5" s="18" t="s">
        <v>727</v>
      </c>
      <c r="P5" s="18" t="s">
        <v>728</v>
      </c>
      <c r="Q5" s="18" t="s">
        <v>626</v>
      </c>
      <c r="R5" s="18" t="s">
        <v>626</v>
      </c>
      <c r="S5" s="35" t="n">
        <v>22</v>
      </c>
      <c r="T5" s="35" t="n">
        <v>35</v>
      </c>
      <c r="U5" s="18" t="s">
        <v>531</v>
      </c>
      <c r="V5" s="18" t="s">
        <v>729</v>
      </c>
      <c r="W5" s="18" t="s">
        <v>730</v>
      </c>
      <c r="X5" s="18" t="s">
        <v>628</v>
      </c>
      <c r="Y5" s="18" t="s">
        <v>244</v>
      </c>
      <c r="Z5" s="18" t="s">
        <v>731</v>
      </c>
      <c r="AA5" s="18" t="n">
        <v>50</v>
      </c>
      <c r="AB5" s="18" t="s">
        <v>467</v>
      </c>
      <c r="AC5" s="10" t="str">
        <f aca="false">IF(A5="","",SG_Criteria!$B$6&amp;SG_Criteria!$B$9&amp;"\"&amp;A5&amp;"\")</f>
        <v>C:\Users\yourname\YourCompany\Design Library - Documents\03_Embedded_Wall\EW-CBP-D3000-CL-OA-P-A\</v>
      </c>
      <c r="AD5" s="10" t="str">
        <f aca="false">IF(A5="","",A5&amp;"_CAD.dwg")</f>
        <v>EW-CBP-D3000-CL-OA-P-A_CAD.dwg</v>
      </c>
      <c r="AE5" s="10" t="str">
        <f aca="false">IF(A5="","",A5&amp;"_DWG.pdf")</f>
        <v>EW-CBP-D3000-CL-OA-P-A_DWG.pdf</v>
      </c>
      <c r="AF5" s="10" t="str">
        <f aca="false">IF(A5="","",IF(AB5="Y",A5&amp;"_STAAD.std","n/a"))</f>
        <v>EW-CBP-D3000-CL-OA-P-A_STAAD.std</v>
      </c>
      <c r="AG5" s="10" t="str">
        <f aca="false">IF(A5="","",A5&amp;"_CALC.xlsx")</f>
        <v>EW-CBP-D3000-CL-OA-P-A_CALC.xlsx</v>
      </c>
      <c r="AH5" s="10" t="str">
        <f aca="false">IF(A5="","",A5&amp;"_CALC.pdf")</f>
        <v>EW-CBP-D3000-CL-OA-P-A_CALC.pdf</v>
      </c>
      <c r="AI5" s="18" t="s">
        <v>74</v>
      </c>
      <c r="AJ5" s="18" t="s">
        <v>356</v>
      </c>
      <c r="AK5" s="36" t="n">
        <v>2.6</v>
      </c>
      <c r="AL5" s="36" t="n">
        <v>260</v>
      </c>
      <c r="AM5" s="36" t="n">
        <v>0</v>
      </c>
      <c r="AN5" s="36" t="n">
        <v>1.6</v>
      </c>
      <c r="AO5" s="36" t="n">
        <v>0.6</v>
      </c>
      <c r="AP5" s="38" t="str">
        <f aca="false">IF(OR(C5="",E5=""),"",IF(E5&lt;=IF(C5="Soldier Pile &amp; Timber Lagging",SG_Criteria!$B$34,SG_Criteria!$B$33),"No ERSS submission",IF(E5&lt;=SG_Criteria!$B$35,"QP(ST)",IF(E5&lt;=SG_Criteria!$B$36,"QP(ST) + AC","Geotechnical building works: QP(Geo) + AC"))))</f>
        <v>QP(ST)</v>
      </c>
      <c r="AQ5" s="38" t="str">
        <f aca="false">IF(C5="","",IF(LEN(IF(AND(U5&lt;&gt;"",IFERROR(VALUE(MID(U5,2,2)),0)&lt;SG_Criteria!$B$19),"FAIL: grade below C"&amp;SG_Criteria!$B$19&amp;". ","")&amp;IF(AND(LEFT(C5,3)="Con",N(H5)&lt;E5,G5="Kallang Formation (marine clay)"),"NOTE: CBP is not watertight below GWT in marine clay; consider secant / grouting. ","")&amp;IF(AND(C5="Steel Sheet Pile",D5="Permanent"),"NOTE: permanent sheet pile needs corrosion allowance. ","")&amp;IF(AND(F5="Cantilever (no support)",E5&gt;6),"NOTE: cantilever embedded wall &gt; 6 m, check deflection. ","")&amp;IF(AND(S5&lt;&gt;"",T5&lt;&gt;"",S5&gt;T5),"FAIL: deflection exceeds allowable. ",""))=0,"OK",IF(AND(U5&lt;&gt;"",IFERROR(VALUE(MID(U5,2,2)),0)&lt;SG_Criteria!$B$19),"FAIL: grade below C"&amp;SG_Criteria!$B$19&amp;". ","")&amp;IF(AND(LEFT(C5,3)="Con",N(H5)&lt;E5,G5="Kallang Formation (marine clay)"),"NOTE: CBP is not watertight below GWT in marine clay; consider secant / grouting. ","")&amp;IF(AND(C5="Steel Sheet Pile",D5="Permanent"),"NOTE: permanent sheet pile needs corrosion allowance. ","")&amp;IF(AND(F5="Cantilever (no support)",E5&gt;6),"NOTE: cantilever embedded wall &gt; 6 m, check deflection. ","")&amp;IF(AND(S5&lt;&gt;"",T5&lt;&gt;"",S5&gt;T5),"FAIL: deflection exceeds allowable. ","")))</f>
        <v>OK</v>
      </c>
      <c r="AR5" s="18" t="s">
        <v>732</v>
      </c>
      <c r="AS5" s="18"/>
      <c r="AT5" s="18" t="s">
        <v>631</v>
      </c>
      <c r="AU5" s="18" t="s">
        <v>631</v>
      </c>
      <c r="AV5" s="18" t="s">
        <v>631</v>
      </c>
      <c r="AW5" s="39" t="n">
        <v>46309</v>
      </c>
      <c r="AX5" s="10" t="str">
        <f aca="false">IF(C5="","",IF(AND(Y5="Approved",ISERROR(SEARCH("FAIL",AQ5))),"Y","N"))</f>
        <v>Y</v>
      </c>
      <c r="AY5" s="10" t="str">
        <f aca="false">IF(C5="","",C5&amp;"|"&amp;E5&amp;"|"&amp;F5&amp;"|"&amp;G5&amp;"|"&amp;D5&amp;"|"&amp;AX5)</f>
        <v>Contiguous Bored Pile (CBP)|3|Cantilever (no support)|Old Alluvium|Permanent|Y</v>
      </c>
    </row>
    <row r="6" customFormat="false" ht="15" hidden="false" customHeight="false" outlineLevel="0" collapsed="false">
      <c r="A6" s="10" t="str">
        <f aca="false">IF(C6="","","EW-"&amp;IFERROR(VLOOKUP(C6,Lists!$P$4:$Q$22,2,0),"??")&amp;"-D"&amp;TEXT(E6*1000,"0000")&amp;"-"&amp;IFERROR(VLOOKUP(F6,Lists!$S$4:$T$21,2,0),"??")&amp;"-"&amp;IFERROR(VLOOKUP(G6,Lists!$Y$4:$Z$21,2,0),"??")&amp;"-"&amp;IFERROR(VLOOKUP(D6,Lists!$V$4:$W$16,2,0),"??")&amp;"-"&amp;X6)</f>
        <v>EW-CBP-D5000-S1-OA-P-A</v>
      </c>
      <c r="B6" s="10" t="str">
        <f aca="false">IF(C6="","",D6&amp;" "&amp;C6&amp;", excavation "&amp;TEXT(E6,"0.0")&amp;" m, "&amp;F6&amp;", "&amp;G6&amp;", "&amp;J6)</f>
        <v>Permanent Contiguous Bored Pile (CBP), excavation 5.0 m, 1 level strut, Old Alluvium, 800 dia</v>
      </c>
      <c r="C6" s="18" t="s">
        <v>59</v>
      </c>
      <c r="D6" s="18" t="s">
        <v>79</v>
      </c>
      <c r="E6" s="42" t="n">
        <v>5</v>
      </c>
      <c r="F6" s="18" t="s">
        <v>69</v>
      </c>
      <c r="G6" s="18" t="s">
        <v>76</v>
      </c>
      <c r="H6" s="42" t="n">
        <v>2</v>
      </c>
      <c r="I6" s="35" t="n">
        <v>20</v>
      </c>
      <c r="J6" s="18" t="s">
        <v>733</v>
      </c>
      <c r="K6" s="18" t="s">
        <v>734</v>
      </c>
      <c r="L6" s="18" t="s">
        <v>626</v>
      </c>
      <c r="M6" s="42" t="n">
        <v>7</v>
      </c>
      <c r="N6" s="42" t="n">
        <v>12</v>
      </c>
      <c r="O6" s="18" t="s">
        <v>735</v>
      </c>
      <c r="P6" s="18" t="s">
        <v>736</v>
      </c>
      <c r="Q6" s="18" t="s">
        <v>737</v>
      </c>
      <c r="R6" s="18" t="s">
        <v>738</v>
      </c>
      <c r="S6" s="35" t="n">
        <v>28</v>
      </c>
      <c r="T6" s="35" t="n">
        <v>40</v>
      </c>
      <c r="U6" s="18" t="s">
        <v>531</v>
      </c>
      <c r="V6" s="18" t="s">
        <v>739</v>
      </c>
      <c r="W6" s="18" t="s">
        <v>730</v>
      </c>
      <c r="X6" s="18" t="s">
        <v>628</v>
      </c>
      <c r="Y6" s="18" t="s">
        <v>244</v>
      </c>
      <c r="Z6" s="18" t="s">
        <v>740</v>
      </c>
      <c r="AA6" s="18" t="n">
        <v>50</v>
      </c>
      <c r="AB6" s="18" t="s">
        <v>467</v>
      </c>
      <c r="AC6" s="10" t="str">
        <f aca="false">IF(A6="","",SG_Criteria!$B$6&amp;SG_Criteria!$B$9&amp;"\"&amp;A6&amp;"\")</f>
        <v>C:\Users\yourname\YourCompany\Design Library - Documents\03_Embedded_Wall\EW-CBP-D5000-S1-OA-P-A\</v>
      </c>
      <c r="AD6" s="10" t="str">
        <f aca="false">IF(A6="","",A6&amp;"_CAD.dwg")</f>
        <v>EW-CBP-D5000-S1-OA-P-A_CAD.dwg</v>
      </c>
      <c r="AE6" s="10" t="str">
        <f aca="false">IF(A6="","",A6&amp;"_DWG.pdf")</f>
        <v>EW-CBP-D5000-S1-OA-P-A_DWG.pdf</v>
      </c>
      <c r="AF6" s="10" t="str">
        <f aca="false">IF(A6="","",IF(AB6="Y",A6&amp;"_STAAD.std","n/a"))</f>
        <v>EW-CBP-D5000-S1-OA-P-A_STAAD.std</v>
      </c>
      <c r="AG6" s="10" t="str">
        <f aca="false">IF(A6="","",A6&amp;"_CALC.xlsx")</f>
        <v>EW-CBP-D5000-S1-OA-P-A_CALC.xlsx</v>
      </c>
      <c r="AH6" s="10" t="str">
        <f aca="false">IF(A6="","",A6&amp;"_CALC.pdf")</f>
        <v>EW-CBP-D5000-S1-OA-P-A_CALC.pdf</v>
      </c>
      <c r="AI6" s="18" t="s">
        <v>74</v>
      </c>
      <c r="AJ6" s="18" t="s">
        <v>356</v>
      </c>
      <c r="AK6" s="36" t="n">
        <v>6.4</v>
      </c>
      <c r="AL6" s="36" t="n">
        <v>720</v>
      </c>
      <c r="AM6" s="36" t="n">
        <v>180</v>
      </c>
      <c r="AN6" s="36" t="n">
        <v>1.8</v>
      </c>
      <c r="AO6" s="36" t="n">
        <v>0.9</v>
      </c>
      <c r="AP6" s="38" t="str">
        <f aca="false">IF(OR(C6="",E6=""),"",IF(E6&lt;=IF(C6="Soldier Pile &amp; Timber Lagging",SG_Criteria!$B$34,SG_Criteria!$B$33),"No ERSS submission",IF(E6&lt;=SG_Criteria!$B$35,"QP(ST)",IF(E6&lt;=SG_Criteria!$B$36,"QP(ST) + AC","Geotechnical building works: QP(Geo) + AC"))))</f>
        <v>QP(ST) + AC</v>
      </c>
      <c r="AQ6" s="38" t="str">
        <f aca="false">IF(C6="","",IF(LEN(IF(AND(U6&lt;&gt;"",IFERROR(VALUE(MID(U6,2,2)),0)&lt;SG_Criteria!$B$19),"FAIL: grade below C"&amp;SG_Criteria!$B$19&amp;". ","")&amp;IF(AND(LEFT(C6,3)="Con",N(H6)&lt;E6,G6="Kallang Formation (marine clay)"),"NOTE: CBP is not watertight below GWT in marine clay; consider secant / grouting. ","")&amp;IF(AND(C6="Steel Sheet Pile",D6="Permanent"),"NOTE: permanent sheet pile needs corrosion allowance. ","")&amp;IF(AND(F6="Cantilever (no support)",E6&gt;6),"NOTE: cantilever embedded wall &gt; 6 m, check deflection. ","")&amp;IF(AND(S6&lt;&gt;"",T6&lt;&gt;"",S6&gt;T6),"FAIL: deflection exceeds allowable. ",""))=0,"OK",IF(AND(U6&lt;&gt;"",IFERROR(VALUE(MID(U6,2,2)),0)&lt;SG_Criteria!$B$19),"FAIL: grade below C"&amp;SG_Criteria!$B$19&amp;". ","")&amp;IF(AND(LEFT(C6,3)="Con",N(H6)&lt;E6,G6="Kallang Formation (marine clay)"),"NOTE: CBP is not watertight below GWT in marine clay; consider secant / grouting. ","")&amp;IF(AND(C6="Steel Sheet Pile",D6="Permanent"),"NOTE: permanent sheet pile needs corrosion allowance. ","")&amp;IF(AND(F6="Cantilever (no support)",E6&gt;6),"NOTE: cantilever embedded wall &gt; 6 m, check deflection. ","")&amp;IF(AND(S6&lt;&gt;"",T6&lt;&gt;"",S6&gt;T6),"FAIL: deflection exceeds allowable. ","")))</f>
        <v>OK</v>
      </c>
      <c r="AR6" s="18" t="s">
        <v>634</v>
      </c>
      <c r="AS6" s="18"/>
      <c r="AT6" s="18" t="s">
        <v>631</v>
      </c>
      <c r="AU6" s="18" t="s">
        <v>631</v>
      </c>
      <c r="AV6" s="18" t="s">
        <v>631</v>
      </c>
      <c r="AW6" s="39" t="n">
        <v>46309</v>
      </c>
      <c r="AX6" s="10" t="str">
        <f aca="false">IF(C6="","",IF(AND(Y6="Approved",ISERROR(SEARCH("FAIL",AQ6))),"Y","N"))</f>
        <v>Y</v>
      </c>
      <c r="AY6" s="10" t="str">
        <f aca="false">IF(C6="","",C6&amp;"|"&amp;E6&amp;"|"&amp;F6&amp;"|"&amp;G6&amp;"|"&amp;D6&amp;"|"&amp;AX6)</f>
        <v>Contiguous Bored Pile (CBP)|5|1 level strut|Old Alluvium|Permanent|Y</v>
      </c>
    </row>
    <row r="7" customFormat="false" ht="15" hidden="false" customHeight="false" outlineLevel="0" collapsed="false">
      <c r="A7" s="10" t="str">
        <f aca="false">IF(C7="","","EW-"&amp;IFERROR(VLOOKUP(C7,Lists!$P$4:$Q$22,2,0),"??")&amp;"-D"&amp;TEXT(E7*1000,"0000")&amp;"-"&amp;IFERROR(VLOOKUP(F7,Lists!$S$4:$T$21,2,0),"??")&amp;"-"&amp;IFERROR(VLOOKUP(G7,Lists!$Y$4:$Z$21,2,0),"??")&amp;"-"&amp;IFERROR(VLOOKUP(D7,Lists!$V$4:$W$16,2,0),"??")&amp;"-"&amp;X7)</f>
        <v>EW-SPW-D6000-S1-KF-P-A</v>
      </c>
      <c r="B7" s="10" t="str">
        <f aca="false">IF(C7="","",D7&amp;" "&amp;C7&amp;", excavation "&amp;TEXT(E7,"0.0")&amp;" m, "&amp;F7&amp;", "&amp;G7&amp;", "&amp;J7)</f>
        <v>Permanent Secant Pile (hard-firm), excavation 6.0 m, 1 level strut, Kallang Formation (marine clay), 1000 dia</v>
      </c>
      <c r="C7" s="18" t="s">
        <v>211</v>
      </c>
      <c r="D7" s="18" t="s">
        <v>79</v>
      </c>
      <c r="E7" s="42" t="n">
        <v>6</v>
      </c>
      <c r="F7" s="18" t="s">
        <v>69</v>
      </c>
      <c r="G7" s="18" t="s">
        <v>456</v>
      </c>
      <c r="H7" s="42" t="n">
        <v>1</v>
      </c>
      <c r="I7" s="35" t="n">
        <v>20</v>
      </c>
      <c r="J7" s="18" t="s">
        <v>741</v>
      </c>
      <c r="K7" s="18" t="s">
        <v>742</v>
      </c>
      <c r="L7" s="18" t="s">
        <v>626</v>
      </c>
      <c r="M7" s="42" t="n">
        <v>12</v>
      </c>
      <c r="N7" s="42" t="n">
        <v>18</v>
      </c>
      <c r="O7" s="18" t="s">
        <v>743</v>
      </c>
      <c r="P7" s="18" t="s">
        <v>744</v>
      </c>
      <c r="Q7" s="18" t="s">
        <v>745</v>
      </c>
      <c r="R7" s="18" t="s">
        <v>746</v>
      </c>
      <c r="S7" s="35" t="n">
        <v>30</v>
      </c>
      <c r="T7" s="35" t="n">
        <v>40</v>
      </c>
      <c r="U7" s="18" t="s">
        <v>531</v>
      </c>
      <c r="V7" s="18" t="s">
        <v>747</v>
      </c>
      <c r="W7" s="18" t="s">
        <v>730</v>
      </c>
      <c r="X7" s="18" t="s">
        <v>628</v>
      </c>
      <c r="Y7" s="18" t="s">
        <v>244</v>
      </c>
      <c r="Z7" s="18" t="s">
        <v>748</v>
      </c>
      <c r="AA7" s="18" t="n">
        <v>50</v>
      </c>
      <c r="AB7" s="18" t="s">
        <v>467</v>
      </c>
      <c r="AC7" s="10" t="str">
        <f aca="false">IF(A7="","",SG_Criteria!$B$6&amp;SG_Criteria!$B$9&amp;"\"&amp;A7&amp;"\")</f>
        <v>C:\Users\yourname\YourCompany\Design Library - Documents\03_Embedded_Wall\EW-SPW-D6000-S1-KF-P-A\</v>
      </c>
      <c r="AD7" s="10" t="str">
        <f aca="false">IF(A7="","",A7&amp;"_CAD.dwg")</f>
        <v>EW-SPW-D6000-S1-KF-P-A_CAD.dwg</v>
      </c>
      <c r="AE7" s="10" t="str">
        <f aca="false">IF(A7="","",A7&amp;"_DWG.pdf")</f>
        <v>EW-SPW-D6000-S1-KF-P-A_DWG.pdf</v>
      </c>
      <c r="AF7" s="10" t="str">
        <f aca="false">IF(A7="","",IF(AB7="Y",A7&amp;"_STAAD.std","n/a"))</f>
        <v>EW-SPW-D6000-S1-KF-P-A_STAAD.std</v>
      </c>
      <c r="AG7" s="10" t="str">
        <f aca="false">IF(A7="","",A7&amp;"_CALC.xlsx")</f>
        <v>EW-SPW-D6000-S1-KF-P-A_CALC.xlsx</v>
      </c>
      <c r="AH7" s="10" t="str">
        <f aca="false">IF(A7="","",A7&amp;"_CALC.pdf")</f>
        <v>EW-SPW-D6000-S1-KF-P-A_CALC.pdf</v>
      </c>
      <c r="AI7" s="18" t="s">
        <v>74</v>
      </c>
      <c r="AJ7" s="18" t="s">
        <v>356</v>
      </c>
      <c r="AK7" s="36" t="n">
        <v>14.1</v>
      </c>
      <c r="AL7" s="36" t="n">
        <v>1150</v>
      </c>
      <c r="AM7" s="36" t="n">
        <v>220</v>
      </c>
      <c r="AN7" s="36" t="n">
        <v>2.2</v>
      </c>
      <c r="AO7" s="36" t="n">
        <v>1.2</v>
      </c>
      <c r="AP7" s="38" t="str">
        <f aca="false">IF(OR(C7="",E7=""),"",IF(E7&lt;=IF(C7="Soldier Pile &amp; Timber Lagging",SG_Criteria!$B$34,SG_Criteria!$B$33),"No ERSS submission",IF(E7&lt;=SG_Criteria!$B$35,"QP(ST)",IF(E7&lt;=SG_Criteria!$B$36,"QP(ST) + AC","Geotechnical building works: QP(Geo) + AC"))))</f>
        <v>QP(ST) + AC</v>
      </c>
      <c r="AQ7" s="38" t="str">
        <f aca="false">IF(C7="","",IF(LEN(IF(AND(U7&lt;&gt;"",IFERROR(VALUE(MID(U7,2,2)),0)&lt;SG_Criteria!$B$19),"FAIL: grade below C"&amp;SG_Criteria!$B$19&amp;". ","")&amp;IF(AND(LEFT(C7,3)="Con",N(H7)&lt;E7,G7="Kallang Formation (marine clay)"),"NOTE: CBP is not watertight below GWT in marine clay; consider secant / grouting. ","")&amp;IF(AND(C7="Steel Sheet Pile",D7="Permanent"),"NOTE: permanent sheet pile needs corrosion allowance. ","")&amp;IF(AND(F7="Cantilever (no support)",E7&gt;6),"NOTE: cantilever embedded wall &gt; 6 m, check deflection. ","")&amp;IF(AND(S7&lt;&gt;"",T7&lt;&gt;"",S7&gt;T7),"FAIL: deflection exceeds allowable. ",""))=0,"OK",IF(AND(U7&lt;&gt;"",IFERROR(VALUE(MID(U7,2,2)),0)&lt;SG_Criteria!$B$19),"FAIL: grade below C"&amp;SG_Criteria!$B$19&amp;". ","")&amp;IF(AND(LEFT(C7,3)="Con",N(H7)&lt;E7,G7="Kallang Formation (marine clay)"),"NOTE: CBP is not watertight below GWT in marine clay; consider secant / grouting. ","")&amp;IF(AND(C7="Steel Sheet Pile",D7="Permanent"),"NOTE: permanent sheet pile needs corrosion allowance. ","")&amp;IF(AND(F7="Cantilever (no support)",E7&gt;6),"NOTE: cantilever embedded wall &gt; 6 m, check deflection. ","")&amp;IF(AND(S7&lt;&gt;"",T7&lt;&gt;"",S7&gt;T7),"FAIL: deflection exceeds allowable. ","")))</f>
        <v>OK</v>
      </c>
      <c r="AR7" s="18" t="s">
        <v>749</v>
      </c>
      <c r="AS7" s="18"/>
      <c r="AT7" s="18" t="s">
        <v>631</v>
      </c>
      <c r="AU7" s="18" t="s">
        <v>631</v>
      </c>
      <c r="AV7" s="18" t="s">
        <v>631</v>
      </c>
      <c r="AW7" s="39" t="n">
        <v>46309</v>
      </c>
      <c r="AX7" s="10" t="str">
        <f aca="false">IF(C7="","",IF(AND(Y7="Approved",ISERROR(SEARCH("FAIL",AQ7))),"Y","N"))</f>
        <v>Y</v>
      </c>
      <c r="AY7" s="10" t="str">
        <f aca="false">IF(C7="","",C7&amp;"|"&amp;E7&amp;"|"&amp;F7&amp;"|"&amp;G7&amp;"|"&amp;D7&amp;"|"&amp;AX7)</f>
        <v>Secant Pile (hard-firm)|6|1 level strut|Kallang Formation (marine clay)|Permanent|Y</v>
      </c>
    </row>
    <row r="8" customFormat="false" ht="15" hidden="false" customHeight="false" outlineLevel="0" collapsed="false">
      <c r="A8" s="10" t="str">
        <f aca="false">IF(C8="","","EW-"&amp;IFERROR(VLOOKUP(C8,Lists!$P$4:$Q$22,2,0),"??")&amp;"-D"&amp;TEXT(E8*1000,"0000")&amp;"-"&amp;IFERROR(VLOOKUP(F8,Lists!$S$4:$T$21,2,0),"??")&amp;"-"&amp;IFERROR(VLOOKUP(G8,Lists!$Y$4:$Z$21,2,0),"??")&amp;"-"&amp;IFERROR(VLOOKUP(D8,Lists!$V$4:$W$16,2,0),"??")&amp;"-"&amp;X8)</f>
        <v>EW-SSP-D4000-S1-KF-T-A</v>
      </c>
      <c r="B8" s="10" t="str">
        <f aca="false">IF(C8="","",D8&amp;" "&amp;C8&amp;", excavation "&amp;TEXT(E8,"0.0")&amp;" m, "&amp;F8&amp;", "&amp;G8&amp;", "&amp;J8)</f>
        <v>Temporary Steel Sheet Pile, excavation 4.0 m, 1 level strut, Kallang Formation (marine clay), FSP IV</v>
      </c>
      <c r="C8" s="18" t="s">
        <v>213</v>
      </c>
      <c r="D8" s="18" t="s">
        <v>454</v>
      </c>
      <c r="E8" s="42" t="n">
        <v>4</v>
      </c>
      <c r="F8" s="18" t="s">
        <v>69</v>
      </c>
      <c r="G8" s="18" t="s">
        <v>456</v>
      </c>
      <c r="H8" s="42" t="n">
        <v>1</v>
      </c>
      <c r="I8" s="35" t="n">
        <v>20</v>
      </c>
      <c r="J8" s="18" t="s">
        <v>750</v>
      </c>
      <c r="K8" s="18" t="s">
        <v>626</v>
      </c>
      <c r="L8" s="18" t="s">
        <v>626</v>
      </c>
      <c r="M8" s="42" t="n">
        <v>8</v>
      </c>
      <c r="N8" s="42" t="n">
        <v>12</v>
      </c>
      <c r="O8" s="18" t="s">
        <v>626</v>
      </c>
      <c r="P8" s="18" t="s">
        <v>626</v>
      </c>
      <c r="Q8" s="18" t="s">
        <v>751</v>
      </c>
      <c r="R8" s="18" t="s">
        <v>752</v>
      </c>
      <c r="S8" s="35" t="n">
        <v>35</v>
      </c>
      <c r="T8" s="35" t="n">
        <v>50</v>
      </c>
      <c r="U8" s="18"/>
      <c r="V8" s="18" t="s">
        <v>753</v>
      </c>
      <c r="W8" s="18" t="s">
        <v>730</v>
      </c>
      <c r="X8" s="18" t="s">
        <v>628</v>
      </c>
      <c r="Y8" s="18" t="s">
        <v>244</v>
      </c>
      <c r="Z8" s="18" t="s">
        <v>754</v>
      </c>
      <c r="AA8" s="18" t="n">
        <v>50</v>
      </c>
      <c r="AB8" s="18" t="s">
        <v>467</v>
      </c>
      <c r="AC8" s="10" t="str">
        <f aca="false">IF(A8="","",SG_Criteria!$B$6&amp;SG_Criteria!$B$9&amp;"\"&amp;A8&amp;"\")</f>
        <v>C:\Users\yourname\YourCompany\Design Library - Documents\03_Embedded_Wall\EW-SSP-D4000-S1-KF-T-A\</v>
      </c>
      <c r="AD8" s="10" t="str">
        <f aca="false">IF(A8="","",A8&amp;"_CAD.dwg")</f>
        <v>EW-SSP-D4000-S1-KF-T-A_CAD.dwg</v>
      </c>
      <c r="AE8" s="10" t="str">
        <f aca="false">IF(A8="","",A8&amp;"_DWG.pdf")</f>
        <v>EW-SSP-D4000-S1-KF-T-A_DWG.pdf</v>
      </c>
      <c r="AF8" s="10" t="str">
        <f aca="false">IF(A8="","",IF(AB8="Y",A8&amp;"_STAAD.std","n/a"))</f>
        <v>EW-SSP-D4000-S1-KF-T-A_STAAD.std</v>
      </c>
      <c r="AG8" s="10" t="str">
        <f aca="false">IF(A8="","",A8&amp;"_CALC.xlsx")</f>
        <v>EW-SSP-D4000-S1-KF-T-A_CALC.xlsx</v>
      </c>
      <c r="AH8" s="10" t="str">
        <f aca="false">IF(A8="","",A8&amp;"_CALC.pdf")</f>
        <v>EW-SSP-D4000-S1-KF-T-A_CALC.pdf</v>
      </c>
      <c r="AI8" s="18" t="s">
        <v>74</v>
      </c>
      <c r="AJ8" s="18" t="s">
        <v>356</v>
      </c>
      <c r="AK8" s="36" t="n">
        <v>0</v>
      </c>
      <c r="AL8" s="36" t="n">
        <v>0</v>
      </c>
      <c r="AM8" s="36" t="n">
        <v>2280</v>
      </c>
      <c r="AN8" s="36" t="n">
        <v>0</v>
      </c>
      <c r="AO8" s="36" t="n">
        <v>0</v>
      </c>
      <c r="AP8" s="38" t="str">
        <f aca="false">IF(OR(C8="",E8=""),"",IF(E8&lt;=IF(C8="Soldier Pile &amp; Timber Lagging",SG_Criteria!$B$34,SG_Criteria!$B$33),"No ERSS submission",IF(E8&lt;=SG_Criteria!$B$35,"QP(ST)",IF(E8&lt;=SG_Criteria!$B$36,"QP(ST) + AC","Geotechnical building works: QP(Geo) + AC"))))</f>
        <v>QP(ST)</v>
      </c>
      <c r="AQ8" s="38" t="str">
        <f aca="false">IF(C8="","",IF(LEN(IF(AND(U8&lt;&gt;"",IFERROR(VALUE(MID(U8,2,2)),0)&lt;SG_Criteria!$B$19),"FAIL: grade below C"&amp;SG_Criteria!$B$19&amp;". ","")&amp;IF(AND(LEFT(C8,3)="Con",N(H8)&lt;E8,G8="Kallang Formation (marine clay)"),"NOTE: CBP is not watertight below GWT in marine clay; consider secant / grouting. ","")&amp;IF(AND(C8="Steel Sheet Pile",D8="Permanent"),"NOTE: permanent sheet pile needs corrosion allowance. ","")&amp;IF(AND(F8="Cantilever (no support)",E8&gt;6),"NOTE: cantilever embedded wall &gt; 6 m, check deflection. ","")&amp;IF(AND(S8&lt;&gt;"",T8&lt;&gt;"",S8&gt;T8),"FAIL: deflection exceeds allowable. ",""))=0,"OK",IF(AND(U8&lt;&gt;"",IFERROR(VALUE(MID(U8,2,2)),0)&lt;SG_Criteria!$B$19),"FAIL: grade below C"&amp;SG_Criteria!$B$19&amp;". ","")&amp;IF(AND(LEFT(C8,3)="Con",N(H8)&lt;E8,G8="Kallang Formation (marine clay)"),"NOTE: CBP is not watertight below GWT in marine clay; consider secant / grouting. ","")&amp;IF(AND(C8="Steel Sheet Pile",D8="Permanent"),"NOTE: permanent sheet pile needs corrosion allowance. ","")&amp;IF(AND(F8="Cantilever (no support)",E8&gt;6),"NOTE: cantilever embedded wall &gt; 6 m, check deflection. ","")&amp;IF(AND(S8&lt;&gt;"",T8&lt;&gt;"",S8&gt;T8),"FAIL: deflection exceeds allowable. ","")))</f>
        <v>OK</v>
      </c>
      <c r="AR8" s="18" t="s">
        <v>755</v>
      </c>
      <c r="AS8" s="18"/>
      <c r="AT8" s="18" t="s">
        <v>631</v>
      </c>
      <c r="AU8" s="18" t="s">
        <v>631</v>
      </c>
      <c r="AV8" s="18" t="s">
        <v>631</v>
      </c>
      <c r="AW8" s="39" t="n">
        <v>46309</v>
      </c>
      <c r="AX8" s="10" t="str">
        <f aca="false">IF(C8="","",IF(AND(Y8="Approved",ISERROR(SEARCH("FAIL",AQ8))),"Y","N"))</f>
        <v>Y</v>
      </c>
      <c r="AY8" s="10" t="str">
        <f aca="false">IF(C8="","",C8&amp;"|"&amp;E8&amp;"|"&amp;F8&amp;"|"&amp;G8&amp;"|"&amp;D8&amp;"|"&amp;AX8)</f>
        <v>Steel Sheet Pile|4|1 level strut|Kallang Formation (marine clay)|Temporary|Y</v>
      </c>
    </row>
    <row r="9" customFormat="false" ht="15" hidden="false" customHeight="false" outlineLevel="0" collapsed="false">
      <c r="A9" s="10" t="str">
        <f aca="false">IF(C9="","","EW-"&amp;IFERROR(VLOOKUP(C9,Lists!$P$4:$Q$22,2,0),"??")&amp;"-D"&amp;TEXT(E9*1000,"0000")&amp;"-"&amp;IFERROR(VLOOKUP(F9,Lists!$S$4:$T$21,2,0),"??")&amp;"-"&amp;IFERROR(VLOOKUP(G9,Lists!$Y$4:$Z$21,2,0),"??")&amp;"-"&amp;IFERROR(VLOOKUP(D9,Lists!$V$4:$W$16,2,0),"??")&amp;"-"&amp;X9)</f>
        <v>EW-DW-D15000-S3-KF-P-A</v>
      </c>
      <c r="B9" s="10" t="str">
        <f aca="false">IF(C9="","",D9&amp;" "&amp;C9&amp;", excavation "&amp;TEXT(E9,"0.0")&amp;" m, "&amp;F9&amp;", "&amp;G9&amp;", "&amp;J9)</f>
        <v>Permanent Diaphragm Wall, excavation 15.0 m, 3 levels strut, Kallang Formation (marine clay), -</v>
      </c>
      <c r="C9" s="18" t="s">
        <v>214</v>
      </c>
      <c r="D9" s="18" t="s">
        <v>79</v>
      </c>
      <c r="E9" s="42" t="n">
        <v>15</v>
      </c>
      <c r="F9" s="18" t="s">
        <v>521</v>
      </c>
      <c r="G9" s="18" t="s">
        <v>456</v>
      </c>
      <c r="H9" s="42" t="n">
        <v>1</v>
      </c>
      <c r="I9" s="35" t="n">
        <v>20</v>
      </c>
      <c r="J9" s="18" t="s">
        <v>626</v>
      </c>
      <c r="K9" s="18" t="s">
        <v>756</v>
      </c>
      <c r="L9" s="18" t="n">
        <v>1000</v>
      </c>
      <c r="M9" s="42" t="n">
        <v>20</v>
      </c>
      <c r="N9" s="42" t="n">
        <v>35</v>
      </c>
      <c r="O9" s="18" t="s">
        <v>757</v>
      </c>
      <c r="P9" s="18" t="s">
        <v>758</v>
      </c>
      <c r="Q9" s="18" t="s">
        <v>759</v>
      </c>
      <c r="R9" s="18" t="s">
        <v>760</v>
      </c>
      <c r="S9" s="35" t="n">
        <v>45</v>
      </c>
      <c r="T9" s="35" t="n">
        <v>60</v>
      </c>
      <c r="U9" s="18" t="s">
        <v>531</v>
      </c>
      <c r="V9" s="18" t="s">
        <v>761</v>
      </c>
      <c r="W9" s="18" t="s">
        <v>730</v>
      </c>
      <c r="X9" s="18" t="s">
        <v>628</v>
      </c>
      <c r="Y9" s="18" t="s">
        <v>246</v>
      </c>
      <c r="Z9" s="18" t="s">
        <v>762</v>
      </c>
      <c r="AA9" s="18" t="n">
        <v>100</v>
      </c>
      <c r="AB9" s="18" t="s">
        <v>467</v>
      </c>
      <c r="AC9" s="10" t="str">
        <f aca="false">IF(A9="","",SG_Criteria!$B$6&amp;SG_Criteria!$B$9&amp;"\"&amp;A9&amp;"\")</f>
        <v>C:\Users\yourname\YourCompany\Design Library - Documents\03_Embedded_Wall\EW-DW-D15000-S3-KF-P-A\</v>
      </c>
      <c r="AD9" s="10" t="str">
        <f aca="false">IF(A9="","",A9&amp;"_CAD.dwg")</f>
        <v>EW-DW-D15000-S3-KF-P-A_CAD.dwg</v>
      </c>
      <c r="AE9" s="10" t="str">
        <f aca="false">IF(A9="","",A9&amp;"_DWG.pdf")</f>
        <v>EW-DW-D15000-S3-KF-P-A_DWG.pdf</v>
      </c>
      <c r="AF9" s="10" t="str">
        <f aca="false">IF(A9="","",IF(AB9="Y",A9&amp;"_STAAD.std","n/a"))</f>
        <v>EW-DW-D15000-S3-KF-P-A_STAAD.std</v>
      </c>
      <c r="AG9" s="10" t="str">
        <f aca="false">IF(A9="","",A9&amp;"_CALC.xlsx")</f>
        <v>EW-DW-D15000-S3-KF-P-A_CALC.xlsx</v>
      </c>
      <c r="AH9" s="10" t="str">
        <f aca="false">IF(A9="","",A9&amp;"_CALC.pdf")</f>
        <v>EW-DW-D15000-S3-KF-P-A_CALC.pdf</v>
      </c>
      <c r="AI9" s="18" t="s">
        <v>74</v>
      </c>
      <c r="AJ9" s="18" t="s">
        <v>356</v>
      </c>
      <c r="AK9" s="36" t="n">
        <v>35</v>
      </c>
      <c r="AL9" s="36" t="n">
        <v>4200</v>
      </c>
      <c r="AM9" s="36" t="n">
        <v>900</v>
      </c>
      <c r="AN9" s="36" t="n">
        <v>0</v>
      </c>
      <c r="AO9" s="36" t="n">
        <v>0</v>
      </c>
      <c r="AP9" s="38" t="str">
        <f aca="false">IF(OR(C9="",E9=""),"",IF(E9&lt;=IF(C9="Soldier Pile &amp; Timber Lagging",SG_Criteria!$B$34,SG_Criteria!$B$33),"No ERSS submission",IF(E9&lt;=SG_Criteria!$B$35,"QP(ST)",IF(E9&lt;=SG_Criteria!$B$36,"QP(ST) + AC","Geotechnical building works: QP(Geo) + AC"))))</f>
        <v>Geotechnical building works: QP(Geo) + AC</v>
      </c>
      <c r="AQ9" s="38" t="str">
        <f aca="false">IF(C9="","",IF(LEN(IF(AND(U9&lt;&gt;"",IFERROR(VALUE(MID(U9,2,2)),0)&lt;SG_Criteria!$B$19),"FAIL: grade below C"&amp;SG_Criteria!$B$19&amp;". ","")&amp;IF(AND(LEFT(C9,3)="Con",N(H9)&lt;E9,G9="Kallang Formation (marine clay)"),"NOTE: CBP is not watertight below GWT in marine clay; consider secant / grouting. ","")&amp;IF(AND(C9="Steel Sheet Pile",D9="Permanent"),"NOTE: permanent sheet pile needs corrosion allowance. ","")&amp;IF(AND(F9="Cantilever (no support)",E9&gt;6),"NOTE: cantilever embedded wall &gt; 6 m, check deflection. ","")&amp;IF(AND(S9&lt;&gt;"",T9&lt;&gt;"",S9&gt;T9),"FAIL: deflection exceeds allowable. ",""))=0,"OK",IF(AND(U9&lt;&gt;"",IFERROR(VALUE(MID(U9,2,2)),0)&lt;SG_Criteria!$B$19),"FAIL: grade below C"&amp;SG_Criteria!$B$19&amp;". ","")&amp;IF(AND(LEFT(C9,3)="Con",N(H9)&lt;E9,G9="Kallang Formation (marine clay)"),"NOTE: CBP is not watertight below GWT in marine clay; consider secant / grouting. ","")&amp;IF(AND(C9="Steel Sheet Pile",D9="Permanent"),"NOTE: permanent sheet pile needs corrosion allowance. ","")&amp;IF(AND(F9="Cantilever (no support)",E9&gt;6),"NOTE: cantilever embedded wall &gt; 6 m, check deflection. ","")&amp;IF(AND(S9&lt;&gt;"",T9&lt;&gt;"",S9&gt;T9),"FAIL: deflection exceeds allowable. ","")))</f>
        <v>OK</v>
      </c>
      <c r="AR9" s="18" t="s">
        <v>763</v>
      </c>
      <c r="AS9" s="18"/>
      <c r="AT9" s="18" t="s">
        <v>631</v>
      </c>
      <c r="AU9" s="18" t="s">
        <v>631</v>
      </c>
      <c r="AV9" s="18" t="s">
        <v>631</v>
      </c>
      <c r="AW9" s="39" t="n">
        <v>46309</v>
      </c>
      <c r="AX9" s="10" t="str">
        <f aca="false">IF(C9="","",IF(AND(Y9="Approved",ISERROR(SEARCH("FAIL",AQ9))),"Y","N"))</f>
        <v>N</v>
      </c>
      <c r="AY9" s="10" t="str">
        <f aca="false">IF(C9="","",C9&amp;"|"&amp;E9&amp;"|"&amp;F9&amp;"|"&amp;G9&amp;"|"&amp;D9&amp;"|"&amp;AX9)</f>
        <v>Diaphragm Wall|15|3 levels strut|Kallang Formation (marine clay)|Permanent|N</v>
      </c>
    </row>
    <row r="10" customFormat="false" ht="15" hidden="false" customHeight="false" outlineLevel="0" collapsed="false">
      <c r="A10" s="10" t="str">
        <f aca="false">IF(C10="","","EW-"&amp;IFERROR(VLOOKUP(C10,Lists!$P$4:$Q$22,2,0),"??")&amp;"-D"&amp;TEXT(E10*1000,"0000")&amp;"-"&amp;IFERROR(VLOOKUP(F10,Lists!$S$4:$T$21,2,0),"??")&amp;"-"&amp;IFERROR(VLOOKUP(G10,Lists!$Y$4:$Z$21,2,0),"??")&amp;"-"&amp;IFERROR(VLOOKUP(D10,Lists!$V$4:$W$16,2,0),"??")&amp;"-"&amp;X10)</f>
        <v/>
      </c>
      <c r="B10" s="10" t="str">
        <f aca="false">IF(C10="","",D10&amp;" "&amp;C10&amp;", excavation "&amp;TEXT(E10,"0.0")&amp;" m, "&amp;F10&amp;", "&amp;G10&amp;", "&amp;J10)</f>
        <v/>
      </c>
      <c r="C10" s="9"/>
      <c r="D10" s="9"/>
      <c r="E10" s="43"/>
      <c r="F10" s="9"/>
      <c r="G10" s="9"/>
      <c r="H10" s="43"/>
      <c r="I10" s="40"/>
      <c r="J10" s="9"/>
      <c r="K10" s="9"/>
      <c r="L10" s="9"/>
      <c r="M10" s="43"/>
      <c r="N10" s="43"/>
      <c r="O10" s="9"/>
      <c r="P10" s="9"/>
      <c r="Q10" s="9"/>
      <c r="R10" s="9"/>
      <c r="S10" s="40"/>
      <c r="T10" s="40"/>
      <c r="U10" s="9"/>
      <c r="V10" s="9"/>
      <c r="W10" s="9"/>
      <c r="X10" s="9"/>
      <c r="Y10" s="9"/>
      <c r="Z10" s="9"/>
      <c r="AA10" s="9"/>
      <c r="AB10" s="9"/>
      <c r="AC10" s="10" t="str">
        <f aca="false">IF(A10="","",SG_Criteria!$B$6&amp;SG_Criteria!$B$9&amp;"\"&amp;A10&amp;"\")</f>
        <v/>
      </c>
      <c r="AD10" s="10" t="str">
        <f aca="false">IF(A10="","",A10&amp;"_CAD.dwg")</f>
        <v/>
      </c>
      <c r="AE10" s="10" t="str">
        <f aca="false">IF(A10="","",A10&amp;"_DWG.pdf")</f>
        <v/>
      </c>
      <c r="AF10" s="10" t="str">
        <f aca="false">IF(A10="","",IF(AB10="Y",A10&amp;"_STAAD.std","n/a"))</f>
        <v/>
      </c>
      <c r="AG10" s="10" t="str">
        <f aca="false">IF(A10="","",A10&amp;"_CALC.xlsx")</f>
        <v/>
      </c>
      <c r="AH10" s="10" t="str">
        <f aca="false">IF(A10="","",A10&amp;"_CALC.pdf")</f>
        <v/>
      </c>
      <c r="AI10" s="9"/>
      <c r="AJ10" s="9"/>
      <c r="AK10" s="41"/>
      <c r="AL10" s="41"/>
      <c r="AM10" s="41"/>
      <c r="AN10" s="41"/>
      <c r="AO10" s="41"/>
      <c r="AP10" s="38" t="str">
        <f aca="false">IF(OR(C10="",E10=""),"",IF(E10&lt;=IF(C10="Soldier Pile &amp; Timber Lagging",SG_Criteria!$B$34,SG_Criteria!$B$33),"No ERSS submission",IF(E10&lt;=SG_Criteria!$B$35,"QP(ST)",IF(E10&lt;=SG_Criteria!$B$36,"QP(ST) + AC","Geotechnical building works: QP(Geo) + AC"))))</f>
        <v/>
      </c>
      <c r="AQ10" s="38" t="str">
        <f aca="false">IF(C10="","",IF(LEN(IF(AND(U10&lt;&gt;"",IFERROR(VALUE(MID(U10,2,2)),0)&lt;SG_Criteria!$B$19),"FAIL: grade below C"&amp;SG_Criteria!$B$19&amp;". ","")&amp;IF(AND(LEFT(C10,3)="Con",N(H10)&lt;E10,G10="Kallang Formation (marine clay)"),"NOTE: CBP is not watertight below GWT in marine clay; consider secant / grouting. ","")&amp;IF(AND(C10="Steel Sheet Pile",D10="Permanent"),"NOTE: permanent sheet pile needs corrosion allowance. ","")&amp;IF(AND(F10="Cantilever (no support)",E10&gt;6),"NOTE: cantilever embedded wall &gt; 6 m, check deflection. ","")&amp;IF(AND(S10&lt;&gt;"",T10&lt;&gt;"",S10&gt;T10),"FAIL: deflection exceeds allowable. ",""))=0,"OK",IF(AND(U10&lt;&gt;"",IFERROR(VALUE(MID(U10,2,2)),0)&lt;SG_Criteria!$B$19),"FAIL: grade below C"&amp;SG_Criteria!$B$19&amp;". ","")&amp;IF(AND(LEFT(C10,3)="Con",N(H10)&lt;E10,G10="Kallang Formation (marine clay)"),"NOTE: CBP is not watertight below GWT in marine clay; consider secant / grouting. ","")&amp;IF(AND(C10="Steel Sheet Pile",D10="Permanent"),"NOTE: permanent sheet pile needs corrosion allowance. ","")&amp;IF(AND(F10="Cantilever (no support)",E10&gt;6),"NOTE: cantilever embedded wall &gt; 6 m, check deflection. ","")&amp;IF(AND(S10&lt;&gt;"",T10&lt;&gt;"",S10&gt;T10),"FAIL: deflection exceeds allowable. ","")))</f>
        <v/>
      </c>
      <c r="AR10" s="9"/>
      <c r="AS10" s="9"/>
      <c r="AT10" s="9"/>
      <c r="AU10" s="9"/>
      <c r="AV10" s="9"/>
      <c r="AW10" s="31"/>
      <c r="AX10" s="10" t="str">
        <f aca="false">IF(C10="","",IF(AND(Y10="Approved",ISERROR(SEARCH("FAIL",AQ10))),"Y","N"))</f>
        <v/>
      </c>
      <c r="AY10" s="10" t="str">
        <f aca="false">IF(C10="","",C10&amp;"|"&amp;E10&amp;"|"&amp;F10&amp;"|"&amp;G10&amp;"|"&amp;D10&amp;"|"&amp;AX10)</f>
        <v/>
      </c>
    </row>
    <row r="11" customFormat="false" ht="15" hidden="false" customHeight="false" outlineLevel="0" collapsed="false">
      <c r="A11" s="10" t="str">
        <f aca="false">IF(C11="","","EW-"&amp;IFERROR(VLOOKUP(C11,Lists!$P$4:$Q$22,2,0),"??")&amp;"-D"&amp;TEXT(E11*1000,"0000")&amp;"-"&amp;IFERROR(VLOOKUP(F11,Lists!$S$4:$T$21,2,0),"??")&amp;"-"&amp;IFERROR(VLOOKUP(G11,Lists!$Y$4:$Z$21,2,0),"??")&amp;"-"&amp;IFERROR(VLOOKUP(D11,Lists!$V$4:$W$16,2,0),"??")&amp;"-"&amp;X11)</f>
        <v/>
      </c>
      <c r="B11" s="10" t="str">
        <f aca="false">IF(C11="","",D11&amp;" "&amp;C11&amp;", excavation "&amp;TEXT(E11,"0.0")&amp;" m, "&amp;F11&amp;", "&amp;G11&amp;", "&amp;J11)</f>
        <v/>
      </c>
      <c r="C11" s="9"/>
      <c r="D11" s="9"/>
      <c r="E11" s="43"/>
      <c r="F11" s="9"/>
      <c r="G11" s="9"/>
      <c r="H11" s="43"/>
      <c r="I11" s="40"/>
      <c r="J11" s="9"/>
      <c r="K11" s="9"/>
      <c r="L11" s="9"/>
      <c r="M11" s="43"/>
      <c r="N11" s="43"/>
      <c r="O11" s="9"/>
      <c r="P11" s="9"/>
      <c r="Q11" s="9"/>
      <c r="R11" s="9"/>
      <c r="S11" s="40"/>
      <c r="T11" s="40"/>
      <c r="U11" s="9"/>
      <c r="V11" s="9"/>
      <c r="W11" s="9"/>
      <c r="X11" s="9"/>
      <c r="Y11" s="9"/>
      <c r="Z11" s="9"/>
      <c r="AA11" s="9"/>
      <c r="AB11" s="9"/>
      <c r="AC11" s="10" t="str">
        <f aca="false">IF(A11="","",SG_Criteria!$B$6&amp;SG_Criteria!$B$9&amp;"\"&amp;A11&amp;"\")</f>
        <v/>
      </c>
      <c r="AD11" s="10" t="str">
        <f aca="false">IF(A11="","",A11&amp;"_CAD.dwg")</f>
        <v/>
      </c>
      <c r="AE11" s="10" t="str">
        <f aca="false">IF(A11="","",A11&amp;"_DWG.pdf")</f>
        <v/>
      </c>
      <c r="AF11" s="10" t="str">
        <f aca="false">IF(A11="","",IF(AB11="Y",A11&amp;"_STAAD.std","n/a"))</f>
        <v/>
      </c>
      <c r="AG11" s="10" t="str">
        <f aca="false">IF(A11="","",A11&amp;"_CALC.xlsx")</f>
        <v/>
      </c>
      <c r="AH11" s="10" t="str">
        <f aca="false">IF(A11="","",A11&amp;"_CALC.pdf")</f>
        <v/>
      </c>
      <c r="AI11" s="9"/>
      <c r="AJ11" s="9"/>
      <c r="AK11" s="41"/>
      <c r="AL11" s="41"/>
      <c r="AM11" s="41"/>
      <c r="AN11" s="41"/>
      <c r="AO11" s="41"/>
      <c r="AP11" s="38" t="str">
        <f aca="false">IF(OR(C11="",E11=""),"",IF(E11&lt;=IF(C11="Soldier Pile &amp; Timber Lagging",SG_Criteria!$B$34,SG_Criteria!$B$33),"No ERSS submission",IF(E11&lt;=SG_Criteria!$B$35,"QP(ST)",IF(E11&lt;=SG_Criteria!$B$36,"QP(ST) + AC","Geotechnical building works: QP(Geo) + AC"))))</f>
        <v/>
      </c>
      <c r="AQ11" s="38" t="str">
        <f aca="false">IF(C11="","",IF(LEN(IF(AND(U11&lt;&gt;"",IFERROR(VALUE(MID(U11,2,2)),0)&lt;SG_Criteria!$B$19),"FAIL: grade below C"&amp;SG_Criteria!$B$19&amp;". ","")&amp;IF(AND(LEFT(C11,3)="Con",N(H11)&lt;E11,G11="Kallang Formation (marine clay)"),"NOTE: CBP is not watertight below GWT in marine clay; consider secant / grouting. ","")&amp;IF(AND(C11="Steel Sheet Pile",D11="Permanent"),"NOTE: permanent sheet pile needs corrosion allowance. ","")&amp;IF(AND(F11="Cantilever (no support)",E11&gt;6),"NOTE: cantilever embedded wall &gt; 6 m, check deflection. ","")&amp;IF(AND(S11&lt;&gt;"",T11&lt;&gt;"",S11&gt;T11),"FAIL: deflection exceeds allowable. ",""))=0,"OK",IF(AND(U11&lt;&gt;"",IFERROR(VALUE(MID(U11,2,2)),0)&lt;SG_Criteria!$B$19),"FAIL: grade below C"&amp;SG_Criteria!$B$19&amp;". ","")&amp;IF(AND(LEFT(C11,3)="Con",N(H11)&lt;E11,G11="Kallang Formation (marine clay)"),"NOTE: CBP is not watertight below GWT in marine clay; consider secant / grouting. ","")&amp;IF(AND(C11="Steel Sheet Pile",D11="Permanent"),"NOTE: permanent sheet pile needs corrosion allowance. ","")&amp;IF(AND(F11="Cantilever (no support)",E11&gt;6),"NOTE: cantilever embedded wall &gt; 6 m, check deflection. ","")&amp;IF(AND(S11&lt;&gt;"",T11&lt;&gt;"",S11&gt;T11),"FAIL: deflection exceeds allowable. ","")))</f>
        <v/>
      </c>
      <c r="AR11" s="9"/>
      <c r="AS11" s="9"/>
      <c r="AT11" s="9"/>
      <c r="AU11" s="9"/>
      <c r="AV11" s="9"/>
      <c r="AW11" s="31"/>
      <c r="AX11" s="10" t="str">
        <f aca="false">IF(C11="","",IF(AND(Y11="Approved",ISERROR(SEARCH("FAIL",AQ11))),"Y","N"))</f>
        <v/>
      </c>
      <c r="AY11" s="10" t="str">
        <f aca="false">IF(C11="","",C11&amp;"|"&amp;E11&amp;"|"&amp;F11&amp;"|"&amp;G11&amp;"|"&amp;D11&amp;"|"&amp;AX11)</f>
        <v/>
      </c>
    </row>
    <row r="12" customFormat="false" ht="15" hidden="false" customHeight="false" outlineLevel="0" collapsed="false">
      <c r="A12" s="10" t="str">
        <f aca="false">IF(C12="","","EW-"&amp;IFERROR(VLOOKUP(C12,Lists!$P$4:$Q$22,2,0),"??")&amp;"-D"&amp;TEXT(E12*1000,"0000")&amp;"-"&amp;IFERROR(VLOOKUP(F12,Lists!$S$4:$T$21,2,0),"??")&amp;"-"&amp;IFERROR(VLOOKUP(G12,Lists!$Y$4:$Z$21,2,0),"??")&amp;"-"&amp;IFERROR(VLOOKUP(D12,Lists!$V$4:$W$16,2,0),"??")&amp;"-"&amp;X12)</f>
        <v/>
      </c>
      <c r="B12" s="10" t="str">
        <f aca="false">IF(C12="","",D12&amp;" "&amp;C12&amp;", excavation "&amp;TEXT(E12,"0.0")&amp;" m, "&amp;F12&amp;", "&amp;G12&amp;", "&amp;J12)</f>
        <v/>
      </c>
      <c r="C12" s="9"/>
      <c r="D12" s="9"/>
      <c r="E12" s="43"/>
      <c r="F12" s="9"/>
      <c r="G12" s="9"/>
      <c r="H12" s="43"/>
      <c r="I12" s="40"/>
      <c r="J12" s="9"/>
      <c r="K12" s="9"/>
      <c r="L12" s="9"/>
      <c r="M12" s="43"/>
      <c r="N12" s="43"/>
      <c r="O12" s="9"/>
      <c r="P12" s="9"/>
      <c r="Q12" s="9"/>
      <c r="R12" s="9"/>
      <c r="S12" s="40"/>
      <c r="T12" s="40"/>
      <c r="U12" s="9"/>
      <c r="V12" s="9"/>
      <c r="W12" s="9"/>
      <c r="X12" s="9"/>
      <c r="Y12" s="9"/>
      <c r="Z12" s="9"/>
      <c r="AA12" s="9"/>
      <c r="AB12" s="9"/>
      <c r="AC12" s="10" t="str">
        <f aca="false">IF(A12="","",SG_Criteria!$B$6&amp;SG_Criteria!$B$9&amp;"\"&amp;A12&amp;"\")</f>
        <v/>
      </c>
      <c r="AD12" s="10" t="str">
        <f aca="false">IF(A12="","",A12&amp;"_CAD.dwg")</f>
        <v/>
      </c>
      <c r="AE12" s="10" t="str">
        <f aca="false">IF(A12="","",A12&amp;"_DWG.pdf")</f>
        <v/>
      </c>
      <c r="AF12" s="10" t="str">
        <f aca="false">IF(A12="","",IF(AB12="Y",A12&amp;"_STAAD.std","n/a"))</f>
        <v/>
      </c>
      <c r="AG12" s="10" t="str">
        <f aca="false">IF(A12="","",A12&amp;"_CALC.xlsx")</f>
        <v/>
      </c>
      <c r="AH12" s="10" t="str">
        <f aca="false">IF(A12="","",A12&amp;"_CALC.pdf")</f>
        <v/>
      </c>
      <c r="AI12" s="9"/>
      <c r="AJ12" s="9"/>
      <c r="AK12" s="41"/>
      <c r="AL12" s="41"/>
      <c r="AM12" s="41"/>
      <c r="AN12" s="41"/>
      <c r="AO12" s="41"/>
      <c r="AP12" s="38" t="str">
        <f aca="false">IF(OR(C12="",E12=""),"",IF(E12&lt;=IF(C12="Soldier Pile &amp; Timber Lagging",SG_Criteria!$B$34,SG_Criteria!$B$33),"No ERSS submission",IF(E12&lt;=SG_Criteria!$B$35,"QP(ST)",IF(E12&lt;=SG_Criteria!$B$36,"QP(ST) + AC","Geotechnical building works: QP(Geo) + AC"))))</f>
        <v/>
      </c>
      <c r="AQ12" s="38" t="str">
        <f aca="false">IF(C12="","",IF(LEN(IF(AND(U12&lt;&gt;"",IFERROR(VALUE(MID(U12,2,2)),0)&lt;SG_Criteria!$B$19),"FAIL: grade below C"&amp;SG_Criteria!$B$19&amp;". ","")&amp;IF(AND(LEFT(C12,3)="Con",N(H12)&lt;E12,G12="Kallang Formation (marine clay)"),"NOTE: CBP is not watertight below GWT in marine clay; consider secant / grouting. ","")&amp;IF(AND(C12="Steel Sheet Pile",D12="Permanent"),"NOTE: permanent sheet pile needs corrosion allowance. ","")&amp;IF(AND(F12="Cantilever (no support)",E12&gt;6),"NOTE: cantilever embedded wall &gt; 6 m, check deflection. ","")&amp;IF(AND(S12&lt;&gt;"",T12&lt;&gt;"",S12&gt;T12),"FAIL: deflection exceeds allowable. ",""))=0,"OK",IF(AND(U12&lt;&gt;"",IFERROR(VALUE(MID(U12,2,2)),0)&lt;SG_Criteria!$B$19),"FAIL: grade below C"&amp;SG_Criteria!$B$19&amp;". ","")&amp;IF(AND(LEFT(C12,3)="Con",N(H12)&lt;E12,G12="Kallang Formation (marine clay)"),"NOTE: CBP is not watertight below GWT in marine clay; consider secant / grouting. ","")&amp;IF(AND(C12="Steel Sheet Pile",D12="Permanent"),"NOTE: permanent sheet pile needs corrosion allowance. ","")&amp;IF(AND(F12="Cantilever (no support)",E12&gt;6),"NOTE: cantilever embedded wall &gt; 6 m, check deflection. ","")&amp;IF(AND(S12&lt;&gt;"",T12&lt;&gt;"",S12&gt;T12),"FAIL: deflection exceeds allowable. ","")))</f>
        <v/>
      </c>
      <c r="AR12" s="9"/>
      <c r="AS12" s="9"/>
      <c r="AT12" s="9"/>
      <c r="AU12" s="9"/>
      <c r="AV12" s="9"/>
      <c r="AW12" s="31"/>
      <c r="AX12" s="10" t="str">
        <f aca="false">IF(C12="","",IF(AND(Y12="Approved",ISERROR(SEARCH("FAIL",AQ12))),"Y","N"))</f>
        <v/>
      </c>
      <c r="AY12" s="10" t="str">
        <f aca="false">IF(C12="","",C12&amp;"|"&amp;E12&amp;"|"&amp;F12&amp;"|"&amp;G12&amp;"|"&amp;D12&amp;"|"&amp;AX12)</f>
        <v/>
      </c>
    </row>
    <row r="13" customFormat="false" ht="15" hidden="false" customHeight="false" outlineLevel="0" collapsed="false">
      <c r="A13" s="10" t="str">
        <f aca="false">IF(C13="","","EW-"&amp;IFERROR(VLOOKUP(C13,Lists!$P$4:$Q$22,2,0),"??")&amp;"-D"&amp;TEXT(E13*1000,"0000")&amp;"-"&amp;IFERROR(VLOOKUP(F13,Lists!$S$4:$T$21,2,0),"??")&amp;"-"&amp;IFERROR(VLOOKUP(G13,Lists!$Y$4:$Z$21,2,0),"??")&amp;"-"&amp;IFERROR(VLOOKUP(D13,Lists!$V$4:$W$16,2,0),"??")&amp;"-"&amp;X13)</f>
        <v/>
      </c>
      <c r="B13" s="10" t="str">
        <f aca="false">IF(C13="","",D13&amp;" "&amp;C13&amp;", excavation "&amp;TEXT(E13,"0.0")&amp;" m, "&amp;F13&amp;", "&amp;G13&amp;", "&amp;J13)</f>
        <v/>
      </c>
      <c r="C13" s="9"/>
      <c r="D13" s="9"/>
      <c r="E13" s="43"/>
      <c r="F13" s="9"/>
      <c r="G13" s="9"/>
      <c r="H13" s="43"/>
      <c r="I13" s="40"/>
      <c r="J13" s="9"/>
      <c r="K13" s="9"/>
      <c r="L13" s="9"/>
      <c r="M13" s="43"/>
      <c r="N13" s="43"/>
      <c r="O13" s="9"/>
      <c r="P13" s="9"/>
      <c r="Q13" s="9"/>
      <c r="R13" s="9"/>
      <c r="S13" s="40"/>
      <c r="T13" s="40"/>
      <c r="U13" s="9"/>
      <c r="V13" s="9"/>
      <c r="W13" s="9"/>
      <c r="X13" s="9"/>
      <c r="Y13" s="9"/>
      <c r="Z13" s="9"/>
      <c r="AA13" s="9"/>
      <c r="AB13" s="9"/>
      <c r="AC13" s="10" t="str">
        <f aca="false">IF(A13="","",SG_Criteria!$B$6&amp;SG_Criteria!$B$9&amp;"\"&amp;A13&amp;"\")</f>
        <v/>
      </c>
      <c r="AD13" s="10" t="str">
        <f aca="false">IF(A13="","",A13&amp;"_CAD.dwg")</f>
        <v/>
      </c>
      <c r="AE13" s="10" t="str">
        <f aca="false">IF(A13="","",A13&amp;"_DWG.pdf")</f>
        <v/>
      </c>
      <c r="AF13" s="10" t="str">
        <f aca="false">IF(A13="","",IF(AB13="Y",A13&amp;"_STAAD.std","n/a"))</f>
        <v/>
      </c>
      <c r="AG13" s="10" t="str">
        <f aca="false">IF(A13="","",A13&amp;"_CALC.xlsx")</f>
        <v/>
      </c>
      <c r="AH13" s="10" t="str">
        <f aca="false">IF(A13="","",A13&amp;"_CALC.pdf")</f>
        <v/>
      </c>
      <c r="AI13" s="9"/>
      <c r="AJ13" s="9"/>
      <c r="AK13" s="41"/>
      <c r="AL13" s="41"/>
      <c r="AM13" s="41"/>
      <c r="AN13" s="41"/>
      <c r="AO13" s="41"/>
      <c r="AP13" s="38" t="str">
        <f aca="false">IF(OR(C13="",E13=""),"",IF(E13&lt;=IF(C13="Soldier Pile &amp; Timber Lagging",SG_Criteria!$B$34,SG_Criteria!$B$33),"No ERSS submission",IF(E13&lt;=SG_Criteria!$B$35,"QP(ST)",IF(E13&lt;=SG_Criteria!$B$36,"QP(ST) + AC","Geotechnical building works: QP(Geo) + AC"))))</f>
        <v/>
      </c>
      <c r="AQ13" s="38" t="str">
        <f aca="false">IF(C13="","",IF(LEN(IF(AND(U13&lt;&gt;"",IFERROR(VALUE(MID(U13,2,2)),0)&lt;SG_Criteria!$B$19),"FAIL: grade below C"&amp;SG_Criteria!$B$19&amp;". ","")&amp;IF(AND(LEFT(C13,3)="Con",N(H13)&lt;E13,G13="Kallang Formation (marine clay)"),"NOTE: CBP is not watertight below GWT in marine clay; consider secant / grouting. ","")&amp;IF(AND(C13="Steel Sheet Pile",D13="Permanent"),"NOTE: permanent sheet pile needs corrosion allowance. ","")&amp;IF(AND(F13="Cantilever (no support)",E13&gt;6),"NOTE: cantilever embedded wall &gt; 6 m, check deflection. ","")&amp;IF(AND(S13&lt;&gt;"",T13&lt;&gt;"",S13&gt;T13),"FAIL: deflection exceeds allowable. ",""))=0,"OK",IF(AND(U13&lt;&gt;"",IFERROR(VALUE(MID(U13,2,2)),0)&lt;SG_Criteria!$B$19),"FAIL: grade below C"&amp;SG_Criteria!$B$19&amp;". ","")&amp;IF(AND(LEFT(C13,3)="Con",N(H13)&lt;E13,G13="Kallang Formation (marine clay)"),"NOTE: CBP is not watertight below GWT in marine clay; consider secant / grouting. ","")&amp;IF(AND(C13="Steel Sheet Pile",D13="Permanent"),"NOTE: permanent sheet pile needs corrosion allowance. ","")&amp;IF(AND(F13="Cantilever (no support)",E13&gt;6),"NOTE: cantilever embedded wall &gt; 6 m, check deflection. ","")&amp;IF(AND(S13&lt;&gt;"",T13&lt;&gt;"",S13&gt;T13),"FAIL: deflection exceeds allowable. ","")))</f>
        <v/>
      </c>
      <c r="AR13" s="9"/>
      <c r="AS13" s="9"/>
      <c r="AT13" s="9"/>
      <c r="AU13" s="9"/>
      <c r="AV13" s="9"/>
      <c r="AW13" s="31"/>
      <c r="AX13" s="10" t="str">
        <f aca="false">IF(C13="","",IF(AND(Y13="Approved",ISERROR(SEARCH("FAIL",AQ13))),"Y","N"))</f>
        <v/>
      </c>
      <c r="AY13" s="10" t="str">
        <f aca="false">IF(C13="","",C13&amp;"|"&amp;E13&amp;"|"&amp;F13&amp;"|"&amp;G13&amp;"|"&amp;D13&amp;"|"&amp;AX13)</f>
        <v/>
      </c>
    </row>
    <row r="14" customFormat="false" ht="15" hidden="false" customHeight="false" outlineLevel="0" collapsed="false">
      <c r="A14" s="10" t="str">
        <f aca="false">IF(C14="","","EW-"&amp;IFERROR(VLOOKUP(C14,Lists!$P$4:$Q$22,2,0),"??")&amp;"-D"&amp;TEXT(E14*1000,"0000")&amp;"-"&amp;IFERROR(VLOOKUP(F14,Lists!$S$4:$T$21,2,0),"??")&amp;"-"&amp;IFERROR(VLOOKUP(G14,Lists!$Y$4:$Z$21,2,0),"??")&amp;"-"&amp;IFERROR(VLOOKUP(D14,Lists!$V$4:$W$16,2,0),"??")&amp;"-"&amp;X14)</f>
        <v/>
      </c>
      <c r="B14" s="10" t="str">
        <f aca="false">IF(C14="","",D14&amp;" "&amp;C14&amp;", excavation "&amp;TEXT(E14,"0.0")&amp;" m, "&amp;F14&amp;", "&amp;G14&amp;", "&amp;J14)</f>
        <v/>
      </c>
      <c r="C14" s="9"/>
      <c r="D14" s="9"/>
      <c r="E14" s="43"/>
      <c r="F14" s="9"/>
      <c r="G14" s="9"/>
      <c r="H14" s="43"/>
      <c r="I14" s="40"/>
      <c r="J14" s="9"/>
      <c r="K14" s="9"/>
      <c r="L14" s="9"/>
      <c r="M14" s="43"/>
      <c r="N14" s="43"/>
      <c r="O14" s="9"/>
      <c r="P14" s="9"/>
      <c r="Q14" s="9"/>
      <c r="R14" s="9"/>
      <c r="S14" s="40"/>
      <c r="T14" s="40"/>
      <c r="U14" s="9"/>
      <c r="V14" s="9"/>
      <c r="W14" s="9"/>
      <c r="X14" s="9"/>
      <c r="Y14" s="9"/>
      <c r="Z14" s="9"/>
      <c r="AA14" s="9"/>
      <c r="AB14" s="9"/>
      <c r="AC14" s="10" t="str">
        <f aca="false">IF(A14="","",SG_Criteria!$B$6&amp;SG_Criteria!$B$9&amp;"\"&amp;A14&amp;"\")</f>
        <v/>
      </c>
      <c r="AD14" s="10" t="str">
        <f aca="false">IF(A14="","",A14&amp;"_CAD.dwg")</f>
        <v/>
      </c>
      <c r="AE14" s="10" t="str">
        <f aca="false">IF(A14="","",A14&amp;"_DWG.pdf")</f>
        <v/>
      </c>
      <c r="AF14" s="10" t="str">
        <f aca="false">IF(A14="","",IF(AB14="Y",A14&amp;"_STAAD.std","n/a"))</f>
        <v/>
      </c>
      <c r="AG14" s="10" t="str">
        <f aca="false">IF(A14="","",A14&amp;"_CALC.xlsx")</f>
        <v/>
      </c>
      <c r="AH14" s="10" t="str">
        <f aca="false">IF(A14="","",A14&amp;"_CALC.pdf")</f>
        <v/>
      </c>
      <c r="AI14" s="9"/>
      <c r="AJ14" s="9"/>
      <c r="AK14" s="41"/>
      <c r="AL14" s="41"/>
      <c r="AM14" s="41"/>
      <c r="AN14" s="41"/>
      <c r="AO14" s="41"/>
      <c r="AP14" s="38" t="str">
        <f aca="false">IF(OR(C14="",E14=""),"",IF(E14&lt;=IF(C14="Soldier Pile &amp; Timber Lagging",SG_Criteria!$B$34,SG_Criteria!$B$33),"No ERSS submission",IF(E14&lt;=SG_Criteria!$B$35,"QP(ST)",IF(E14&lt;=SG_Criteria!$B$36,"QP(ST) + AC","Geotechnical building works: QP(Geo) + AC"))))</f>
        <v/>
      </c>
      <c r="AQ14" s="38" t="str">
        <f aca="false">IF(C14="","",IF(LEN(IF(AND(U14&lt;&gt;"",IFERROR(VALUE(MID(U14,2,2)),0)&lt;SG_Criteria!$B$19),"FAIL: grade below C"&amp;SG_Criteria!$B$19&amp;". ","")&amp;IF(AND(LEFT(C14,3)="Con",N(H14)&lt;E14,G14="Kallang Formation (marine clay)"),"NOTE: CBP is not watertight below GWT in marine clay; consider secant / grouting. ","")&amp;IF(AND(C14="Steel Sheet Pile",D14="Permanent"),"NOTE: permanent sheet pile needs corrosion allowance. ","")&amp;IF(AND(F14="Cantilever (no support)",E14&gt;6),"NOTE: cantilever embedded wall &gt; 6 m, check deflection. ","")&amp;IF(AND(S14&lt;&gt;"",T14&lt;&gt;"",S14&gt;T14),"FAIL: deflection exceeds allowable. ",""))=0,"OK",IF(AND(U14&lt;&gt;"",IFERROR(VALUE(MID(U14,2,2)),0)&lt;SG_Criteria!$B$19),"FAIL: grade below C"&amp;SG_Criteria!$B$19&amp;". ","")&amp;IF(AND(LEFT(C14,3)="Con",N(H14)&lt;E14,G14="Kallang Formation (marine clay)"),"NOTE: CBP is not watertight below GWT in marine clay; consider secant / grouting. ","")&amp;IF(AND(C14="Steel Sheet Pile",D14="Permanent"),"NOTE: permanent sheet pile needs corrosion allowance. ","")&amp;IF(AND(F14="Cantilever (no support)",E14&gt;6),"NOTE: cantilever embedded wall &gt; 6 m, check deflection. ","")&amp;IF(AND(S14&lt;&gt;"",T14&lt;&gt;"",S14&gt;T14),"FAIL: deflection exceeds allowable. ","")))</f>
        <v/>
      </c>
      <c r="AR14" s="9"/>
      <c r="AS14" s="9"/>
      <c r="AT14" s="9"/>
      <c r="AU14" s="9"/>
      <c r="AV14" s="9"/>
      <c r="AW14" s="31"/>
      <c r="AX14" s="10" t="str">
        <f aca="false">IF(C14="","",IF(AND(Y14="Approved",ISERROR(SEARCH("FAIL",AQ14))),"Y","N"))</f>
        <v/>
      </c>
      <c r="AY14" s="10" t="str">
        <f aca="false">IF(C14="","",C14&amp;"|"&amp;E14&amp;"|"&amp;F14&amp;"|"&amp;G14&amp;"|"&amp;D14&amp;"|"&amp;AX14)</f>
        <v/>
      </c>
    </row>
    <row r="15" customFormat="false" ht="15" hidden="false" customHeight="false" outlineLevel="0" collapsed="false">
      <c r="A15" s="10" t="str">
        <f aca="false">IF(C15="","","EW-"&amp;IFERROR(VLOOKUP(C15,Lists!$P$4:$Q$22,2,0),"??")&amp;"-D"&amp;TEXT(E15*1000,"0000")&amp;"-"&amp;IFERROR(VLOOKUP(F15,Lists!$S$4:$T$21,2,0),"??")&amp;"-"&amp;IFERROR(VLOOKUP(G15,Lists!$Y$4:$Z$21,2,0),"??")&amp;"-"&amp;IFERROR(VLOOKUP(D15,Lists!$V$4:$W$16,2,0),"??")&amp;"-"&amp;X15)</f>
        <v/>
      </c>
      <c r="B15" s="10" t="str">
        <f aca="false">IF(C15="","",D15&amp;" "&amp;C15&amp;", excavation "&amp;TEXT(E15,"0.0")&amp;" m, "&amp;F15&amp;", "&amp;G15&amp;", "&amp;J15)</f>
        <v/>
      </c>
      <c r="C15" s="9"/>
      <c r="D15" s="9"/>
      <c r="E15" s="43"/>
      <c r="F15" s="9"/>
      <c r="G15" s="9"/>
      <c r="H15" s="43"/>
      <c r="I15" s="40"/>
      <c r="J15" s="9"/>
      <c r="K15" s="9"/>
      <c r="L15" s="9"/>
      <c r="M15" s="43"/>
      <c r="N15" s="43"/>
      <c r="O15" s="9"/>
      <c r="P15" s="9"/>
      <c r="Q15" s="9"/>
      <c r="R15" s="9"/>
      <c r="S15" s="40"/>
      <c r="T15" s="40"/>
      <c r="U15" s="9"/>
      <c r="V15" s="9"/>
      <c r="W15" s="9"/>
      <c r="X15" s="9"/>
      <c r="Y15" s="9"/>
      <c r="Z15" s="9"/>
      <c r="AA15" s="9"/>
      <c r="AB15" s="9"/>
      <c r="AC15" s="10" t="str">
        <f aca="false">IF(A15="","",SG_Criteria!$B$6&amp;SG_Criteria!$B$9&amp;"\"&amp;A15&amp;"\")</f>
        <v/>
      </c>
      <c r="AD15" s="10" t="str">
        <f aca="false">IF(A15="","",A15&amp;"_CAD.dwg")</f>
        <v/>
      </c>
      <c r="AE15" s="10" t="str">
        <f aca="false">IF(A15="","",A15&amp;"_DWG.pdf")</f>
        <v/>
      </c>
      <c r="AF15" s="10" t="str">
        <f aca="false">IF(A15="","",IF(AB15="Y",A15&amp;"_STAAD.std","n/a"))</f>
        <v/>
      </c>
      <c r="AG15" s="10" t="str">
        <f aca="false">IF(A15="","",A15&amp;"_CALC.xlsx")</f>
        <v/>
      </c>
      <c r="AH15" s="10" t="str">
        <f aca="false">IF(A15="","",A15&amp;"_CALC.pdf")</f>
        <v/>
      </c>
      <c r="AI15" s="9"/>
      <c r="AJ15" s="9"/>
      <c r="AK15" s="41"/>
      <c r="AL15" s="41"/>
      <c r="AM15" s="41"/>
      <c r="AN15" s="41"/>
      <c r="AO15" s="41"/>
      <c r="AP15" s="38" t="str">
        <f aca="false">IF(OR(C15="",E15=""),"",IF(E15&lt;=IF(C15="Soldier Pile &amp; Timber Lagging",SG_Criteria!$B$34,SG_Criteria!$B$33),"No ERSS submission",IF(E15&lt;=SG_Criteria!$B$35,"QP(ST)",IF(E15&lt;=SG_Criteria!$B$36,"QP(ST) + AC","Geotechnical building works: QP(Geo) + AC"))))</f>
        <v/>
      </c>
      <c r="AQ15" s="38" t="str">
        <f aca="false">IF(C15="","",IF(LEN(IF(AND(U15&lt;&gt;"",IFERROR(VALUE(MID(U15,2,2)),0)&lt;SG_Criteria!$B$19),"FAIL: grade below C"&amp;SG_Criteria!$B$19&amp;". ","")&amp;IF(AND(LEFT(C15,3)="Con",N(H15)&lt;E15,G15="Kallang Formation (marine clay)"),"NOTE: CBP is not watertight below GWT in marine clay; consider secant / grouting. ","")&amp;IF(AND(C15="Steel Sheet Pile",D15="Permanent"),"NOTE: permanent sheet pile needs corrosion allowance. ","")&amp;IF(AND(F15="Cantilever (no support)",E15&gt;6),"NOTE: cantilever embedded wall &gt; 6 m, check deflection. ","")&amp;IF(AND(S15&lt;&gt;"",T15&lt;&gt;"",S15&gt;T15),"FAIL: deflection exceeds allowable. ",""))=0,"OK",IF(AND(U15&lt;&gt;"",IFERROR(VALUE(MID(U15,2,2)),0)&lt;SG_Criteria!$B$19),"FAIL: grade below C"&amp;SG_Criteria!$B$19&amp;". ","")&amp;IF(AND(LEFT(C15,3)="Con",N(H15)&lt;E15,G15="Kallang Formation (marine clay)"),"NOTE: CBP is not watertight below GWT in marine clay; consider secant / grouting. ","")&amp;IF(AND(C15="Steel Sheet Pile",D15="Permanent"),"NOTE: permanent sheet pile needs corrosion allowance. ","")&amp;IF(AND(F15="Cantilever (no support)",E15&gt;6),"NOTE: cantilever embedded wall &gt; 6 m, check deflection. ","")&amp;IF(AND(S15&lt;&gt;"",T15&lt;&gt;"",S15&gt;T15),"FAIL: deflection exceeds allowable. ","")))</f>
        <v/>
      </c>
      <c r="AR15" s="9"/>
      <c r="AS15" s="9"/>
      <c r="AT15" s="9"/>
      <c r="AU15" s="9"/>
      <c r="AV15" s="9"/>
      <c r="AW15" s="31"/>
      <c r="AX15" s="10" t="str">
        <f aca="false">IF(C15="","",IF(AND(Y15="Approved",ISERROR(SEARCH("FAIL",AQ15))),"Y","N"))</f>
        <v/>
      </c>
      <c r="AY15" s="10" t="str">
        <f aca="false">IF(C15="","",C15&amp;"|"&amp;E15&amp;"|"&amp;F15&amp;"|"&amp;G15&amp;"|"&amp;D15&amp;"|"&amp;AX15)</f>
        <v/>
      </c>
    </row>
    <row r="16" customFormat="false" ht="15" hidden="false" customHeight="false" outlineLevel="0" collapsed="false">
      <c r="A16" s="10" t="str">
        <f aca="false">IF(C16="","","EW-"&amp;IFERROR(VLOOKUP(C16,Lists!$P$4:$Q$22,2,0),"??")&amp;"-D"&amp;TEXT(E16*1000,"0000")&amp;"-"&amp;IFERROR(VLOOKUP(F16,Lists!$S$4:$T$21,2,0),"??")&amp;"-"&amp;IFERROR(VLOOKUP(G16,Lists!$Y$4:$Z$21,2,0),"??")&amp;"-"&amp;IFERROR(VLOOKUP(D16,Lists!$V$4:$W$16,2,0),"??")&amp;"-"&amp;X16)</f>
        <v/>
      </c>
      <c r="B16" s="10" t="str">
        <f aca="false">IF(C16="","",D16&amp;" "&amp;C16&amp;", excavation "&amp;TEXT(E16,"0.0")&amp;" m, "&amp;F16&amp;", "&amp;G16&amp;", "&amp;J16)</f>
        <v/>
      </c>
      <c r="C16" s="9"/>
      <c r="D16" s="9"/>
      <c r="E16" s="43"/>
      <c r="F16" s="9"/>
      <c r="G16" s="9"/>
      <c r="H16" s="43"/>
      <c r="I16" s="40"/>
      <c r="J16" s="9"/>
      <c r="K16" s="9"/>
      <c r="L16" s="9"/>
      <c r="M16" s="43"/>
      <c r="N16" s="43"/>
      <c r="O16" s="9"/>
      <c r="P16" s="9"/>
      <c r="Q16" s="9"/>
      <c r="R16" s="9"/>
      <c r="S16" s="40"/>
      <c r="T16" s="40"/>
      <c r="U16" s="9"/>
      <c r="V16" s="9"/>
      <c r="W16" s="9"/>
      <c r="X16" s="9"/>
      <c r="Y16" s="9"/>
      <c r="Z16" s="9"/>
      <c r="AA16" s="9"/>
      <c r="AB16" s="9"/>
      <c r="AC16" s="10" t="str">
        <f aca="false">IF(A16="","",SG_Criteria!$B$6&amp;SG_Criteria!$B$9&amp;"\"&amp;A16&amp;"\")</f>
        <v/>
      </c>
      <c r="AD16" s="10" t="str">
        <f aca="false">IF(A16="","",A16&amp;"_CAD.dwg")</f>
        <v/>
      </c>
      <c r="AE16" s="10" t="str">
        <f aca="false">IF(A16="","",A16&amp;"_DWG.pdf")</f>
        <v/>
      </c>
      <c r="AF16" s="10" t="str">
        <f aca="false">IF(A16="","",IF(AB16="Y",A16&amp;"_STAAD.std","n/a"))</f>
        <v/>
      </c>
      <c r="AG16" s="10" t="str">
        <f aca="false">IF(A16="","",A16&amp;"_CALC.xlsx")</f>
        <v/>
      </c>
      <c r="AH16" s="10" t="str">
        <f aca="false">IF(A16="","",A16&amp;"_CALC.pdf")</f>
        <v/>
      </c>
      <c r="AI16" s="9"/>
      <c r="AJ16" s="9"/>
      <c r="AK16" s="41"/>
      <c r="AL16" s="41"/>
      <c r="AM16" s="41"/>
      <c r="AN16" s="41"/>
      <c r="AO16" s="41"/>
      <c r="AP16" s="38" t="str">
        <f aca="false">IF(OR(C16="",E16=""),"",IF(E16&lt;=IF(C16="Soldier Pile &amp; Timber Lagging",SG_Criteria!$B$34,SG_Criteria!$B$33),"No ERSS submission",IF(E16&lt;=SG_Criteria!$B$35,"QP(ST)",IF(E16&lt;=SG_Criteria!$B$36,"QP(ST) + AC","Geotechnical building works: QP(Geo) + AC"))))</f>
        <v/>
      </c>
      <c r="AQ16" s="38" t="str">
        <f aca="false">IF(C16="","",IF(LEN(IF(AND(U16&lt;&gt;"",IFERROR(VALUE(MID(U16,2,2)),0)&lt;SG_Criteria!$B$19),"FAIL: grade below C"&amp;SG_Criteria!$B$19&amp;". ","")&amp;IF(AND(LEFT(C16,3)="Con",N(H16)&lt;E16,G16="Kallang Formation (marine clay)"),"NOTE: CBP is not watertight below GWT in marine clay; consider secant / grouting. ","")&amp;IF(AND(C16="Steel Sheet Pile",D16="Permanent"),"NOTE: permanent sheet pile needs corrosion allowance. ","")&amp;IF(AND(F16="Cantilever (no support)",E16&gt;6),"NOTE: cantilever embedded wall &gt; 6 m, check deflection. ","")&amp;IF(AND(S16&lt;&gt;"",T16&lt;&gt;"",S16&gt;T16),"FAIL: deflection exceeds allowable. ",""))=0,"OK",IF(AND(U16&lt;&gt;"",IFERROR(VALUE(MID(U16,2,2)),0)&lt;SG_Criteria!$B$19),"FAIL: grade below C"&amp;SG_Criteria!$B$19&amp;". ","")&amp;IF(AND(LEFT(C16,3)="Con",N(H16)&lt;E16,G16="Kallang Formation (marine clay)"),"NOTE: CBP is not watertight below GWT in marine clay; consider secant / grouting. ","")&amp;IF(AND(C16="Steel Sheet Pile",D16="Permanent"),"NOTE: permanent sheet pile needs corrosion allowance. ","")&amp;IF(AND(F16="Cantilever (no support)",E16&gt;6),"NOTE: cantilever embedded wall &gt; 6 m, check deflection. ","")&amp;IF(AND(S16&lt;&gt;"",T16&lt;&gt;"",S16&gt;T16),"FAIL: deflection exceeds allowable. ","")))</f>
        <v/>
      </c>
      <c r="AR16" s="9"/>
      <c r="AS16" s="9"/>
      <c r="AT16" s="9"/>
      <c r="AU16" s="9"/>
      <c r="AV16" s="9"/>
      <c r="AW16" s="31"/>
      <c r="AX16" s="10" t="str">
        <f aca="false">IF(C16="","",IF(AND(Y16="Approved",ISERROR(SEARCH("FAIL",AQ16))),"Y","N"))</f>
        <v/>
      </c>
      <c r="AY16" s="10" t="str">
        <f aca="false">IF(C16="","",C16&amp;"|"&amp;E16&amp;"|"&amp;F16&amp;"|"&amp;G16&amp;"|"&amp;D16&amp;"|"&amp;AX16)</f>
        <v/>
      </c>
    </row>
    <row r="17" customFormat="false" ht="15" hidden="false" customHeight="false" outlineLevel="0" collapsed="false">
      <c r="A17" s="10" t="str">
        <f aca="false">IF(C17="","","EW-"&amp;IFERROR(VLOOKUP(C17,Lists!$P$4:$Q$22,2,0),"??")&amp;"-D"&amp;TEXT(E17*1000,"0000")&amp;"-"&amp;IFERROR(VLOOKUP(F17,Lists!$S$4:$T$21,2,0),"??")&amp;"-"&amp;IFERROR(VLOOKUP(G17,Lists!$Y$4:$Z$21,2,0),"??")&amp;"-"&amp;IFERROR(VLOOKUP(D17,Lists!$V$4:$W$16,2,0),"??")&amp;"-"&amp;X17)</f>
        <v/>
      </c>
      <c r="B17" s="10" t="str">
        <f aca="false">IF(C17="","",D17&amp;" "&amp;C17&amp;", excavation "&amp;TEXT(E17,"0.0")&amp;" m, "&amp;F17&amp;", "&amp;G17&amp;", "&amp;J17)</f>
        <v/>
      </c>
      <c r="C17" s="9"/>
      <c r="D17" s="9"/>
      <c r="E17" s="43"/>
      <c r="F17" s="9"/>
      <c r="G17" s="9"/>
      <c r="H17" s="43"/>
      <c r="I17" s="40"/>
      <c r="J17" s="9"/>
      <c r="K17" s="9"/>
      <c r="L17" s="9"/>
      <c r="M17" s="43"/>
      <c r="N17" s="43"/>
      <c r="O17" s="9"/>
      <c r="P17" s="9"/>
      <c r="Q17" s="9"/>
      <c r="R17" s="9"/>
      <c r="S17" s="40"/>
      <c r="T17" s="40"/>
      <c r="U17" s="9"/>
      <c r="V17" s="9"/>
      <c r="W17" s="9"/>
      <c r="X17" s="9"/>
      <c r="Y17" s="9"/>
      <c r="Z17" s="9"/>
      <c r="AA17" s="9"/>
      <c r="AB17" s="9"/>
      <c r="AC17" s="10" t="str">
        <f aca="false">IF(A17="","",SG_Criteria!$B$6&amp;SG_Criteria!$B$9&amp;"\"&amp;A17&amp;"\")</f>
        <v/>
      </c>
      <c r="AD17" s="10" t="str">
        <f aca="false">IF(A17="","",A17&amp;"_CAD.dwg")</f>
        <v/>
      </c>
      <c r="AE17" s="10" t="str">
        <f aca="false">IF(A17="","",A17&amp;"_DWG.pdf")</f>
        <v/>
      </c>
      <c r="AF17" s="10" t="str">
        <f aca="false">IF(A17="","",IF(AB17="Y",A17&amp;"_STAAD.std","n/a"))</f>
        <v/>
      </c>
      <c r="AG17" s="10" t="str">
        <f aca="false">IF(A17="","",A17&amp;"_CALC.xlsx")</f>
        <v/>
      </c>
      <c r="AH17" s="10" t="str">
        <f aca="false">IF(A17="","",A17&amp;"_CALC.pdf")</f>
        <v/>
      </c>
      <c r="AI17" s="9"/>
      <c r="AJ17" s="9"/>
      <c r="AK17" s="41"/>
      <c r="AL17" s="41"/>
      <c r="AM17" s="41"/>
      <c r="AN17" s="41"/>
      <c r="AO17" s="41"/>
      <c r="AP17" s="38" t="str">
        <f aca="false">IF(OR(C17="",E17=""),"",IF(E17&lt;=IF(C17="Soldier Pile &amp; Timber Lagging",SG_Criteria!$B$34,SG_Criteria!$B$33),"No ERSS submission",IF(E17&lt;=SG_Criteria!$B$35,"QP(ST)",IF(E17&lt;=SG_Criteria!$B$36,"QP(ST) + AC","Geotechnical building works: QP(Geo) + AC"))))</f>
        <v/>
      </c>
      <c r="AQ17" s="38" t="str">
        <f aca="false">IF(C17="","",IF(LEN(IF(AND(U17&lt;&gt;"",IFERROR(VALUE(MID(U17,2,2)),0)&lt;SG_Criteria!$B$19),"FAIL: grade below C"&amp;SG_Criteria!$B$19&amp;". ","")&amp;IF(AND(LEFT(C17,3)="Con",N(H17)&lt;E17,G17="Kallang Formation (marine clay)"),"NOTE: CBP is not watertight below GWT in marine clay; consider secant / grouting. ","")&amp;IF(AND(C17="Steel Sheet Pile",D17="Permanent"),"NOTE: permanent sheet pile needs corrosion allowance. ","")&amp;IF(AND(F17="Cantilever (no support)",E17&gt;6),"NOTE: cantilever embedded wall &gt; 6 m, check deflection. ","")&amp;IF(AND(S17&lt;&gt;"",T17&lt;&gt;"",S17&gt;T17),"FAIL: deflection exceeds allowable. ",""))=0,"OK",IF(AND(U17&lt;&gt;"",IFERROR(VALUE(MID(U17,2,2)),0)&lt;SG_Criteria!$B$19),"FAIL: grade below C"&amp;SG_Criteria!$B$19&amp;". ","")&amp;IF(AND(LEFT(C17,3)="Con",N(H17)&lt;E17,G17="Kallang Formation (marine clay)"),"NOTE: CBP is not watertight below GWT in marine clay; consider secant / grouting. ","")&amp;IF(AND(C17="Steel Sheet Pile",D17="Permanent"),"NOTE: permanent sheet pile needs corrosion allowance. ","")&amp;IF(AND(F17="Cantilever (no support)",E17&gt;6),"NOTE: cantilever embedded wall &gt; 6 m, check deflection. ","")&amp;IF(AND(S17&lt;&gt;"",T17&lt;&gt;"",S17&gt;T17),"FAIL: deflection exceeds allowable. ","")))</f>
        <v/>
      </c>
      <c r="AR17" s="9"/>
      <c r="AS17" s="9"/>
      <c r="AT17" s="9"/>
      <c r="AU17" s="9"/>
      <c r="AV17" s="9"/>
      <c r="AW17" s="31"/>
      <c r="AX17" s="10" t="str">
        <f aca="false">IF(C17="","",IF(AND(Y17="Approved",ISERROR(SEARCH("FAIL",AQ17))),"Y","N"))</f>
        <v/>
      </c>
      <c r="AY17" s="10" t="str">
        <f aca="false">IF(C17="","",C17&amp;"|"&amp;E17&amp;"|"&amp;F17&amp;"|"&amp;G17&amp;"|"&amp;D17&amp;"|"&amp;AX17)</f>
        <v/>
      </c>
    </row>
    <row r="18" customFormat="false" ht="15" hidden="false" customHeight="false" outlineLevel="0" collapsed="false">
      <c r="A18" s="10" t="str">
        <f aca="false">IF(C18="","","EW-"&amp;IFERROR(VLOOKUP(C18,Lists!$P$4:$Q$22,2,0),"??")&amp;"-D"&amp;TEXT(E18*1000,"0000")&amp;"-"&amp;IFERROR(VLOOKUP(F18,Lists!$S$4:$T$21,2,0),"??")&amp;"-"&amp;IFERROR(VLOOKUP(G18,Lists!$Y$4:$Z$21,2,0),"??")&amp;"-"&amp;IFERROR(VLOOKUP(D18,Lists!$V$4:$W$16,2,0),"??")&amp;"-"&amp;X18)</f>
        <v/>
      </c>
      <c r="B18" s="10" t="str">
        <f aca="false">IF(C18="","",D18&amp;" "&amp;C18&amp;", excavation "&amp;TEXT(E18,"0.0")&amp;" m, "&amp;F18&amp;", "&amp;G18&amp;", "&amp;J18)</f>
        <v/>
      </c>
      <c r="C18" s="9"/>
      <c r="D18" s="9"/>
      <c r="E18" s="43"/>
      <c r="F18" s="9"/>
      <c r="G18" s="9"/>
      <c r="H18" s="43"/>
      <c r="I18" s="40"/>
      <c r="J18" s="9"/>
      <c r="K18" s="9"/>
      <c r="L18" s="9"/>
      <c r="M18" s="43"/>
      <c r="N18" s="43"/>
      <c r="O18" s="9"/>
      <c r="P18" s="9"/>
      <c r="Q18" s="9"/>
      <c r="R18" s="9"/>
      <c r="S18" s="40"/>
      <c r="T18" s="40"/>
      <c r="U18" s="9"/>
      <c r="V18" s="9"/>
      <c r="W18" s="9"/>
      <c r="X18" s="9"/>
      <c r="Y18" s="9"/>
      <c r="Z18" s="9"/>
      <c r="AA18" s="9"/>
      <c r="AB18" s="9"/>
      <c r="AC18" s="10" t="str">
        <f aca="false">IF(A18="","",SG_Criteria!$B$6&amp;SG_Criteria!$B$9&amp;"\"&amp;A18&amp;"\")</f>
        <v/>
      </c>
      <c r="AD18" s="10" t="str">
        <f aca="false">IF(A18="","",A18&amp;"_CAD.dwg")</f>
        <v/>
      </c>
      <c r="AE18" s="10" t="str">
        <f aca="false">IF(A18="","",A18&amp;"_DWG.pdf")</f>
        <v/>
      </c>
      <c r="AF18" s="10" t="str">
        <f aca="false">IF(A18="","",IF(AB18="Y",A18&amp;"_STAAD.std","n/a"))</f>
        <v/>
      </c>
      <c r="AG18" s="10" t="str">
        <f aca="false">IF(A18="","",A18&amp;"_CALC.xlsx")</f>
        <v/>
      </c>
      <c r="AH18" s="10" t="str">
        <f aca="false">IF(A18="","",A18&amp;"_CALC.pdf")</f>
        <v/>
      </c>
      <c r="AI18" s="9"/>
      <c r="AJ18" s="9"/>
      <c r="AK18" s="41"/>
      <c r="AL18" s="41"/>
      <c r="AM18" s="41"/>
      <c r="AN18" s="41"/>
      <c r="AO18" s="41"/>
      <c r="AP18" s="38" t="str">
        <f aca="false">IF(OR(C18="",E18=""),"",IF(E18&lt;=IF(C18="Soldier Pile &amp; Timber Lagging",SG_Criteria!$B$34,SG_Criteria!$B$33),"No ERSS submission",IF(E18&lt;=SG_Criteria!$B$35,"QP(ST)",IF(E18&lt;=SG_Criteria!$B$36,"QP(ST) + AC","Geotechnical building works: QP(Geo) + AC"))))</f>
        <v/>
      </c>
      <c r="AQ18" s="38" t="str">
        <f aca="false">IF(C18="","",IF(LEN(IF(AND(U18&lt;&gt;"",IFERROR(VALUE(MID(U18,2,2)),0)&lt;SG_Criteria!$B$19),"FAIL: grade below C"&amp;SG_Criteria!$B$19&amp;". ","")&amp;IF(AND(LEFT(C18,3)="Con",N(H18)&lt;E18,G18="Kallang Formation (marine clay)"),"NOTE: CBP is not watertight below GWT in marine clay; consider secant / grouting. ","")&amp;IF(AND(C18="Steel Sheet Pile",D18="Permanent"),"NOTE: permanent sheet pile needs corrosion allowance. ","")&amp;IF(AND(F18="Cantilever (no support)",E18&gt;6),"NOTE: cantilever embedded wall &gt; 6 m, check deflection. ","")&amp;IF(AND(S18&lt;&gt;"",T18&lt;&gt;"",S18&gt;T18),"FAIL: deflection exceeds allowable. ",""))=0,"OK",IF(AND(U18&lt;&gt;"",IFERROR(VALUE(MID(U18,2,2)),0)&lt;SG_Criteria!$B$19),"FAIL: grade below C"&amp;SG_Criteria!$B$19&amp;". ","")&amp;IF(AND(LEFT(C18,3)="Con",N(H18)&lt;E18,G18="Kallang Formation (marine clay)"),"NOTE: CBP is not watertight below GWT in marine clay; consider secant / grouting. ","")&amp;IF(AND(C18="Steel Sheet Pile",D18="Permanent"),"NOTE: permanent sheet pile needs corrosion allowance. ","")&amp;IF(AND(F18="Cantilever (no support)",E18&gt;6),"NOTE: cantilever embedded wall &gt; 6 m, check deflection. ","")&amp;IF(AND(S18&lt;&gt;"",T18&lt;&gt;"",S18&gt;T18),"FAIL: deflection exceeds allowable. ","")))</f>
        <v/>
      </c>
      <c r="AR18" s="9"/>
      <c r="AS18" s="9"/>
      <c r="AT18" s="9"/>
      <c r="AU18" s="9"/>
      <c r="AV18" s="9"/>
      <c r="AW18" s="31"/>
      <c r="AX18" s="10" t="str">
        <f aca="false">IF(C18="","",IF(AND(Y18="Approved",ISERROR(SEARCH("FAIL",AQ18))),"Y","N"))</f>
        <v/>
      </c>
      <c r="AY18" s="10" t="str">
        <f aca="false">IF(C18="","",C18&amp;"|"&amp;E18&amp;"|"&amp;F18&amp;"|"&amp;G18&amp;"|"&amp;D18&amp;"|"&amp;AX18)</f>
        <v/>
      </c>
    </row>
    <row r="19" customFormat="false" ht="15" hidden="false" customHeight="false" outlineLevel="0" collapsed="false">
      <c r="A19" s="10" t="str">
        <f aca="false">IF(C19="","","EW-"&amp;IFERROR(VLOOKUP(C19,Lists!$P$4:$Q$22,2,0),"??")&amp;"-D"&amp;TEXT(E19*1000,"0000")&amp;"-"&amp;IFERROR(VLOOKUP(F19,Lists!$S$4:$T$21,2,0),"??")&amp;"-"&amp;IFERROR(VLOOKUP(G19,Lists!$Y$4:$Z$21,2,0),"??")&amp;"-"&amp;IFERROR(VLOOKUP(D19,Lists!$V$4:$W$16,2,0),"??")&amp;"-"&amp;X19)</f>
        <v/>
      </c>
      <c r="B19" s="10" t="str">
        <f aca="false">IF(C19="","",D19&amp;" "&amp;C19&amp;", excavation "&amp;TEXT(E19,"0.0")&amp;" m, "&amp;F19&amp;", "&amp;G19&amp;", "&amp;J19)</f>
        <v/>
      </c>
      <c r="C19" s="9"/>
      <c r="D19" s="9"/>
      <c r="E19" s="43"/>
      <c r="F19" s="9"/>
      <c r="G19" s="9"/>
      <c r="H19" s="43"/>
      <c r="I19" s="40"/>
      <c r="J19" s="9"/>
      <c r="K19" s="9"/>
      <c r="L19" s="9"/>
      <c r="M19" s="43"/>
      <c r="N19" s="43"/>
      <c r="O19" s="9"/>
      <c r="P19" s="9"/>
      <c r="Q19" s="9"/>
      <c r="R19" s="9"/>
      <c r="S19" s="40"/>
      <c r="T19" s="40"/>
      <c r="U19" s="9"/>
      <c r="V19" s="9"/>
      <c r="W19" s="9"/>
      <c r="X19" s="9"/>
      <c r="Y19" s="9"/>
      <c r="Z19" s="9"/>
      <c r="AA19" s="9"/>
      <c r="AB19" s="9"/>
      <c r="AC19" s="10" t="str">
        <f aca="false">IF(A19="","",SG_Criteria!$B$6&amp;SG_Criteria!$B$9&amp;"\"&amp;A19&amp;"\")</f>
        <v/>
      </c>
      <c r="AD19" s="10" t="str">
        <f aca="false">IF(A19="","",A19&amp;"_CAD.dwg")</f>
        <v/>
      </c>
      <c r="AE19" s="10" t="str">
        <f aca="false">IF(A19="","",A19&amp;"_DWG.pdf")</f>
        <v/>
      </c>
      <c r="AF19" s="10" t="str">
        <f aca="false">IF(A19="","",IF(AB19="Y",A19&amp;"_STAAD.std","n/a"))</f>
        <v/>
      </c>
      <c r="AG19" s="10" t="str">
        <f aca="false">IF(A19="","",A19&amp;"_CALC.xlsx")</f>
        <v/>
      </c>
      <c r="AH19" s="10" t="str">
        <f aca="false">IF(A19="","",A19&amp;"_CALC.pdf")</f>
        <v/>
      </c>
      <c r="AI19" s="9"/>
      <c r="AJ19" s="9"/>
      <c r="AK19" s="41"/>
      <c r="AL19" s="41"/>
      <c r="AM19" s="41"/>
      <c r="AN19" s="41"/>
      <c r="AO19" s="41"/>
      <c r="AP19" s="38" t="str">
        <f aca="false">IF(OR(C19="",E19=""),"",IF(E19&lt;=IF(C19="Soldier Pile &amp; Timber Lagging",SG_Criteria!$B$34,SG_Criteria!$B$33),"No ERSS submission",IF(E19&lt;=SG_Criteria!$B$35,"QP(ST)",IF(E19&lt;=SG_Criteria!$B$36,"QP(ST) + AC","Geotechnical building works: QP(Geo) + AC"))))</f>
        <v/>
      </c>
      <c r="AQ19" s="38" t="str">
        <f aca="false">IF(C19="","",IF(LEN(IF(AND(U19&lt;&gt;"",IFERROR(VALUE(MID(U19,2,2)),0)&lt;SG_Criteria!$B$19),"FAIL: grade below C"&amp;SG_Criteria!$B$19&amp;". ","")&amp;IF(AND(LEFT(C19,3)="Con",N(H19)&lt;E19,G19="Kallang Formation (marine clay)"),"NOTE: CBP is not watertight below GWT in marine clay; consider secant / grouting. ","")&amp;IF(AND(C19="Steel Sheet Pile",D19="Permanent"),"NOTE: permanent sheet pile needs corrosion allowance. ","")&amp;IF(AND(F19="Cantilever (no support)",E19&gt;6),"NOTE: cantilever embedded wall &gt; 6 m, check deflection. ","")&amp;IF(AND(S19&lt;&gt;"",T19&lt;&gt;"",S19&gt;T19),"FAIL: deflection exceeds allowable. ",""))=0,"OK",IF(AND(U19&lt;&gt;"",IFERROR(VALUE(MID(U19,2,2)),0)&lt;SG_Criteria!$B$19),"FAIL: grade below C"&amp;SG_Criteria!$B$19&amp;". ","")&amp;IF(AND(LEFT(C19,3)="Con",N(H19)&lt;E19,G19="Kallang Formation (marine clay)"),"NOTE: CBP is not watertight below GWT in marine clay; consider secant / grouting. ","")&amp;IF(AND(C19="Steel Sheet Pile",D19="Permanent"),"NOTE: permanent sheet pile needs corrosion allowance. ","")&amp;IF(AND(F19="Cantilever (no support)",E19&gt;6),"NOTE: cantilever embedded wall &gt; 6 m, check deflection. ","")&amp;IF(AND(S19&lt;&gt;"",T19&lt;&gt;"",S19&gt;T19),"FAIL: deflection exceeds allowable. ","")))</f>
        <v/>
      </c>
      <c r="AR19" s="9"/>
      <c r="AS19" s="9"/>
      <c r="AT19" s="9"/>
      <c r="AU19" s="9"/>
      <c r="AV19" s="9"/>
      <c r="AW19" s="31"/>
      <c r="AX19" s="10" t="str">
        <f aca="false">IF(C19="","",IF(AND(Y19="Approved",ISERROR(SEARCH("FAIL",AQ19))),"Y","N"))</f>
        <v/>
      </c>
      <c r="AY19" s="10" t="str">
        <f aca="false">IF(C19="","",C19&amp;"|"&amp;E19&amp;"|"&amp;F19&amp;"|"&amp;G19&amp;"|"&amp;D19&amp;"|"&amp;AX19)</f>
        <v/>
      </c>
    </row>
    <row r="20" customFormat="false" ht="15" hidden="false" customHeight="false" outlineLevel="0" collapsed="false">
      <c r="A20" s="10" t="str">
        <f aca="false">IF(C20="","","EW-"&amp;IFERROR(VLOOKUP(C20,Lists!$P$4:$Q$22,2,0),"??")&amp;"-D"&amp;TEXT(E20*1000,"0000")&amp;"-"&amp;IFERROR(VLOOKUP(F20,Lists!$S$4:$T$21,2,0),"??")&amp;"-"&amp;IFERROR(VLOOKUP(G20,Lists!$Y$4:$Z$21,2,0),"??")&amp;"-"&amp;IFERROR(VLOOKUP(D20,Lists!$V$4:$W$16,2,0),"??")&amp;"-"&amp;X20)</f>
        <v/>
      </c>
      <c r="B20" s="10" t="str">
        <f aca="false">IF(C20="","",D20&amp;" "&amp;C20&amp;", excavation "&amp;TEXT(E20,"0.0")&amp;" m, "&amp;F20&amp;", "&amp;G20&amp;", "&amp;J20)</f>
        <v/>
      </c>
      <c r="C20" s="9"/>
      <c r="D20" s="9"/>
      <c r="E20" s="43"/>
      <c r="F20" s="9"/>
      <c r="G20" s="9"/>
      <c r="H20" s="43"/>
      <c r="I20" s="40"/>
      <c r="J20" s="9"/>
      <c r="K20" s="9"/>
      <c r="L20" s="9"/>
      <c r="M20" s="43"/>
      <c r="N20" s="43"/>
      <c r="O20" s="9"/>
      <c r="P20" s="9"/>
      <c r="Q20" s="9"/>
      <c r="R20" s="9"/>
      <c r="S20" s="40"/>
      <c r="T20" s="40"/>
      <c r="U20" s="9"/>
      <c r="V20" s="9"/>
      <c r="W20" s="9"/>
      <c r="X20" s="9"/>
      <c r="Y20" s="9"/>
      <c r="Z20" s="9"/>
      <c r="AA20" s="9"/>
      <c r="AB20" s="9"/>
      <c r="AC20" s="10" t="str">
        <f aca="false">IF(A20="","",SG_Criteria!$B$6&amp;SG_Criteria!$B$9&amp;"\"&amp;A20&amp;"\")</f>
        <v/>
      </c>
      <c r="AD20" s="10" t="str">
        <f aca="false">IF(A20="","",A20&amp;"_CAD.dwg")</f>
        <v/>
      </c>
      <c r="AE20" s="10" t="str">
        <f aca="false">IF(A20="","",A20&amp;"_DWG.pdf")</f>
        <v/>
      </c>
      <c r="AF20" s="10" t="str">
        <f aca="false">IF(A20="","",IF(AB20="Y",A20&amp;"_STAAD.std","n/a"))</f>
        <v/>
      </c>
      <c r="AG20" s="10" t="str">
        <f aca="false">IF(A20="","",A20&amp;"_CALC.xlsx")</f>
        <v/>
      </c>
      <c r="AH20" s="10" t="str">
        <f aca="false">IF(A20="","",A20&amp;"_CALC.pdf")</f>
        <v/>
      </c>
      <c r="AI20" s="9"/>
      <c r="AJ20" s="9"/>
      <c r="AK20" s="41"/>
      <c r="AL20" s="41"/>
      <c r="AM20" s="41"/>
      <c r="AN20" s="41"/>
      <c r="AO20" s="41"/>
      <c r="AP20" s="38" t="str">
        <f aca="false">IF(OR(C20="",E20=""),"",IF(E20&lt;=IF(C20="Soldier Pile &amp; Timber Lagging",SG_Criteria!$B$34,SG_Criteria!$B$33),"No ERSS submission",IF(E20&lt;=SG_Criteria!$B$35,"QP(ST)",IF(E20&lt;=SG_Criteria!$B$36,"QP(ST) + AC","Geotechnical building works: QP(Geo) + AC"))))</f>
        <v/>
      </c>
      <c r="AQ20" s="38" t="str">
        <f aca="false">IF(C20="","",IF(LEN(IF(AND(U20&lt;&gt;"",IFERROR(VALUE(MID(U20,2,2)),0)&lt;SG_Criteria!$B$19),"FAIL: grade below C"&amp;SG_Criteria!$B$19&amp;". ","")&amp;IF(AND(LEFT(C20,3)="Con",N(H20)&lt;E20,G20="Kallang Formation (marine clay)"),"NOTE: CBP is not watertight below GWT in marine clay; consider secant / grouting. ","")&amp;IF(AND(C20="Steel Sheet Pile",D20="Permanent"),"NOTE: permanent sheet pile needs corrosion allowance. ","")&amp;IF(AND(F20="Cantilever (no support)",E20&gt;6),"NOTE: cantilever embedded wall &gt; 6 m, check deflection. ","")&amp;IF(AND(S20&lt;&gt;"",T20&lt;&gt;"",S20&gt;T20),"FAIL: deflection exceeds allowable. ",""))=0,"OK",IF(AND(U20&lt;&gt;"",IFERROR(VALUE(MID(U20,2,2)),0)&lt;SG_Criteria!$B$19),"FAIL: grade below C"&amp;SG_Criteria!$B$19&amp;". ","")&amp;IF(AND(LEFT(C20,3)="Con",N(H20)&lt;E20,G20="Kallang Formation (marine clay)"),"NOTE: CBP is not watertight below GWT in marine clay; consider secant / grouting. ","")&amp;IF(AND(C20="Steel Sheet Pile",D20="Permanent"),"NOTE: permanent sheet pile needs corrosion allowance. ","")&amp;IF(AND(F20="Cantilever (no support)",E20&gt;6),"NOTE: cantilever embedded wall &gt; 6 m, check deflection. ","")&amp;IF(AND(S20&lt;&gt;"",T20&lt;&gt;"",S20&gt;T20),"FAIL: deflection exceeds allowable. ","")))</f>
        <v/>
      </c>
      <c r="AR20" s="9"/>
      <c r="AS20" s="9"/>
      <c r="AT20" s="9"/>
      <c r="AU20" s="9"/>
      <c r="AV20" s="9"/>
      <c r="AW20" s="31"/>
      <c r="AX20" s="10" t="str">
        <f aca="false">IF(C20="","",IF(AND(Y20="Approved",ISERROR(SEARCH("FAIL",AQ20))),"Y","N"))</f>
        <v/>
      </c>
      <c r="AY20" s="10" t="str">
        <f aca="false">IF(C20="","",C20&amp;"|"&amp;E20&amp;"|"&amp;F20&amp;"|"&amp;G20&amp;"|"&amp;D20&amp;"|"&amp;AX20)</f>
        <v/>
      </c>
    </row>
    <row r="21" customFormat="false" ht="15" hidden="false" customHeight="false" outlineLevel="0" collapsed="false">
      <c r="A21" s="10" t="str">
        <f aca="false">IF(C21="","","EW-"&amp;IFERROR(VLOOKUP(C21,Lists!$P$4:$Q$22,2,0),"??")&amp;"-D"&amp;TEXT(E21*1000,"0000")&amp;"-"&amp;IFERROR(VLOOKUP(F21,Lists!$S$4:$T$21,2,0),"??")&amp;"-"&amp;IFERROR(VLOOKUP(G21,Lists!$Y$4:$Z$21,2,0),"??")&amp;"-"&amp;IFERROR(VLOOKUP(D21,Lists!$V$4:$W$16,2,0),"??")&amp;"-"&amp;X21)</f>
        <v/>
      </c>
      <c r="B21" s="10" t="str">
        <f aca="false">IF(C21="","",D21&amp;" "&amp;C21&amp;", excavation "&amp;TEXT(E21,"0.0")&amp;" m, "&amp;F21&amp;", "&amp;G21&amp;", "&amp;J21)</f>
        <v/>
      </c>
      <c r="C21" s="9"/>
      <c r="D21" s="9"/>
      <c r="E21" s="43"/>
      <c r="F21" s="9"/>
      <c r="G21" s="9"/>
      <c r="H21" s="43"/>
      <c r="I21" s="40"/>
      <c r="J21" s="9"/>
      <c r="K21" s="9"/>
      <c r="L21" s="9"/>
      <c r="M21" s="43"/>
      <c r="N21" s="43"/>
      <c r="O21" s="9"/>
      <c r="P21" s="9"/>
      <c r="Q21" s="9"/>
      <c r="R21" s="9"/>
      <c r="S21" s="40"/>
      <c r="T21" s="40"/>
      <c r="U21" s="9"/>
      <c r="V21" s="9"/>
      <c r="W21" s="9"/>
      <c r="X21" s="9"/>
      <c r="Y21" s="9"/>
      <c r="Z21" s="9"/>
      <c r="AA21" s="9"/>
      <c r="AB21" s="9"/>
      <c r="AC21" s="10" t="str">
        <f aca="false">IF(A21="","",SG_Criteria!$B$6&amp;SG_Criteria!$B$9&amp;"\"&amp;A21&amp;"\")</f>
        <v/>
      </c>
      <c r="AD21" s="10" t="str">
        <f aca="false">IF(A21="","",A21&amp;"_CAD.dwg")</f>
        <v/>
      </c>
      <c r="AE21" s="10" t="str">
        <f aca="false">IF(A21="","",A21&amp;"_DWG.pdf")</f>
        <v/>
      </c>
      <c r="AF21" s="10" t="str">
        <f aca="false">IF(A21="","",IF(AB21="Y",A21&amp;"_STAAD.std","n/a"))</f>
        <v/>
      </c>
      <c r="AG21" s="10" t="str">
        <f aca="false">IF(A21="","",A21&amp;"_CALC.xlsx")</f>
        <v/>
      </c>
      <c r="AH21" s="10" t="str">
        <f aca="false">IF(A21="","",A21&amp;"_CALC.pdf")</f>
        <v/>
      </c>
      <c r="AI21" s="9"/>
      <c r="AJ21" s="9"/>
      <c r="AK21" s="41"/>
      <c r="AL21" s="41"/>
      <c r="AM21" s="41"/>
      <c r="AN21" s="41"/>
      <c r="AO21" s="41"/>
      <c r="AP21" s="38" t="str">
        <f aca="false">IF(OR(C21="",E21=""),"",IF(E21&lt;=IF(C21="Soldier Pile &amp; Timber Lagging",SG_Criteria!$B$34,SG_Criteria!$B$33),"No ERSS submission",IF(E21&lt;=SG_Criteria!$B$35,"QP(ST)",IF(E21&lt;=SG_Criteria!$B$36,"QP(ST) + AC","Geotechnical building works: QP(Geo) + AC"))))</f>
        <v/>
      </c>
      <c r="AQ21" s="38" t="str">
        <f aca="false">IF(C21="","",IF(LEN(IF(AND(U21&lt;&gt;"",IFERROR(VALUE(MID(U21,2,2)),0)&lt;SG_Criteria!$B$19),"FAIL: grade below C"&amp;SG_Criteria!$B$19&amp;". ","")&amp;IF(AND(LEFT(C21,3)="Con",N(H21)&lt;E21,G21="Kallang Formation (marine clay)"),"NOTE: CBP is not watertight below GWT in marine clay; consider secant / grouting. ","")&amp;IF(AND(C21="Steel Sheet Pile",D21="Permanent"),"NOTE: permanent sheet pile needs corrosion allowance. ","")&amp;IF(AND(F21="Cantilever (no support)",E21&gt;6),"NOTE: cantilever embedded wall &gt; 6 m, check deflection. ","")&amp;IF(AND(S21&lt;&gt;"",T21&lt;&gt;"",S21&gt;T21),"FAIL: deflection exceeds allowable. ",""))=0,"OK",IF(AND(U21&lt;&gt;"",IFERROR(VALUE(MID(U21,2,2)),0)&lt;SG_Criteria!$B$19),"FAIL: grade below C"&amp;SG_Criteria!$B$19&amp;". ","")&amp;IF(AND(LEFT(C21,3)="Con",N(H21)&lt;E21,G21="Kallang Formation (marine clay)"),"NOTE: CBP is not watertight below GWT in marine clay; consider secant / grouting. ","")&amp;IF(AND(C21="Steel Sheet Pile",D21="Permanent"),"NOTE: permanent sheet pile needs corrosion allowance. ","")&amp;IF(AND(F21="Cantilever (no support)",E21&gt;6),"NOTE: cantilever embedded wall &gt; 6 m, check deflection. ","")&amp;IF(AND(S21&lt;&gt;"",T21&lt;&gt;"",S21&gt;T21),"FAIL: deflection exceeds allowable. ","")))</f>
        <v/>
      </c>
      <c r="AR21" s="9"/>
      <c r="AS21" s="9"/>
      <c r="AT21" s="9"/>
      <c r="AU21" s="9"/>
      <c r="AV21" s="9"/>
      <c r="AW21" s="31"/>
      <c r="AX21" s="10" t="str">
        <f aca="false">IF(C21="","",IF(AND(Y21="Approved",ISERROR(SEARCH("FAIL",AQ21))),"Y","N"))</f>
        <v/>
      </c>
      <c r="AY21" s="10" t="str">
        <f aca="false">IF(C21="","",C21&amp;"|"&amp;E21&amp;"|"&amp;F21&amp;"|"&amp;G21&amp;"|"&amp;D21&amp;"|"&amp;AX21)</f>
        <v/>
      </c>
    </row>
    <row r="22" customFormat="false" ht="15" hidden="false" customHeight="false" outlineLevel="0" collapsed="false">
      <c r="A22" s="10" t="str">
        <f aca="false">IF(C22="","","EW-"&amp;IFERROR(VLOOKUP(C22,Lists!$P$4:$Q$22,2,0),"??")&amp;"-D"&amp;TEXT(E22*1000,"0000")&amp;"-"&amp;IFERROR(VLOOKUP(F22,Lists!$S$4:$T$21,2,0),"??")&amp;"-"&amp;IFERROR(VLOOKUP(G22,Lists!$Y$4:$Z$21,2,0),"??")&amp;"-"&amp;IFERROR(VLOOKUP(D22,Lists!$V$4:$W$16,2,0),"??")&amp;"-"&amp;X22)</f>
        <v/>
      </c>
      <c r="B22" s="10" t="str">
        <f aca="false">IF(C22="","",D22&amp;" "&amp;C22&amp;", excavation "&amp;TEXT(E22,"0.0")&amp;" m, "&amp;F22&amp;", "&amp;G22&amp;", "&amp;J22)</f>
        <v/>
      </c>
      <c r="C22" s="9"/>
      <c r="D22" s="9"/>
      <c r="E22" s="43"/>
      <c r="F22" s="9"/>
      <c r="G22" s="9"/>
      <c r="H22" s="43"/>
      <c r="I22" s="40"/>
      <c r="J22" s="9"/>
      <c r="K22" s="9"/>
      <c r="L22" s="9"/>
      <c r="M22" s="43"/>
      <c r="N22" s="43"/>
      <c r="O22" s="9"/>
      <c r="P22" s="9"/>
      <c r="Q22" s="9"/>
      <c r="R22" s="9"/>
      <c r="S22" s="40"/>
      <c r="T22" s="40"/>
      <c r="U22" s="9"/>
      <c r="V22" s="9"/>
      <c r="W22" s="9"/>
      <c r="X22" s="9"/>
      <c r="Y22" s="9"/>
      <c r="Z22" s="9"/>
      <c r="AA22" s="9"/>
      <c r="AB22" s="9"/>
      <c r="AC22" s="10" t="str">
        <f aca="false">IF(A22="","",SG_Criteria!$B$6&amp;SG_Criteria!$B$9&amp;"\"&amp;A22&amp;"\")</f>
        <v/>
      </c>
      <c r="AD22" s="10" t="str">
        <f aca="false">IF(A22="","",A22&amp;"_CAD.dwg")</f>
        <v/>
      </c>
      <c r="AE22" s="10" t="str">
        <f aca="false">IF(A22="","",A22&amp;"_DWG.pdf")</f>
        <v/>
      </c>
      <c r="AF22" s="10" t="str">
        <f aca="false">IF(A22="","",IF(AB22="Y",A22&amp;"_STAAD.std","n/a"))</f>
        <v/>
      </c>
      <c r="AG22" s="10" t="str">
        <f aca="false">IF(A22="","",A22&amp;"_CALC.xlsx")</f>
        <v/>
      </c>
      <c r="AH22" s="10" t="str">
        <f aca="false">IF(A22="","",A22&amp;"_CALC.pdf")</f>
        <v/>
      </c>
      <c r="AI22" s="9"/>
      <c r="AJ22" s="9"/>
      <c r="AK22" s="41"/>
      <c r="AL22" s="41"/>
      <c r="AM22" s="41"/>
      <c r="AN22" s="41"/>
      <c r="AO22" s="41"/>
      <c r="AP22" s="38" t="str">
        <f aca="false">IF(OR(C22="",E22=""),"",IF(E22&lt;=IF(C22="Soldier Pile &amp; Timber Lagging",SG_Criteria!$B$34,SG_Criteria!$B$33),"No ERSS submission",IF(E22&lt;=SG_Criteria!$B$35,"QP(ST)",IF(E22&lt;=SG_Criteria!$B$36,"QP(ST) + AC","Geotechnical building works: QP(Geo) + AC"))))</f>
        <v/>
      </c>
      <c r="AQ22" s="38" t="str">
        <f aca="false">IF(C22="","",IF(LEN(IF(AND(U22&lt;&gt;"",IFERROR(VALUE(MID(U22,2,2)),0)&lt;SG_Criteria!$B$19),"FAIL: grade below C"&amp;SG_Criteria!$B$19&amp;". ","")&amp;IF(AND(LEFT(C22,3)="Con",N(H22)&lt;E22,G22="Kallang Formation (marine clay)"),"NOTE: CBP is not watertight below GWT in marine clay; consider secant / grouting. ","")&amp;IF(AND(C22="Steel Sheet Pile",D22="Permanent"),"NOTE: permanent sheet pile needs corrosion allowance. ","")&amp;IF(AND(F22="Cantilever (no support)",E22&gt;6),"NOTE: cantilever embedded wall &gt; 6 m, check deflection. ","")&amp;IF(AND(S22&lt;&gt;"",T22&lt;&gt;"",S22&gt;T22),"FAIL: deflection exceeds allowable. ",""))=0,"OK",IF(AND(U22&lt;&gt;"",IFERROR(VALUE(MID(U22,2,2)),0)&lt;SG_Criteria!$B$19),"FAIL: grade below C"&amp;SG_Criteria!$B$19&amp;". ","")&amp;IF(AND(LEFT(C22,3)="Con",N(H22)&lt;E22,G22="Kallang Formation (marine clay)"),"NOTE: CBP is not watertight below GWT in marine clay; consider secant / grouting. ","")&amp;IF(AND(C22="Steel Sheet Pile",D22="Permanent"),"NOTE: permanent sheet pile needs corrosion allowance. ","")&amp;IF(AND(F22="Cantilever (no support)",E22&gt;6),"NOTE: cantilever embedded wall &gt; 6 m, check deflection. ","")&amp;IF(AND(S22&lt;&gt;"",T22&lt;&gt;"",S22&gt;T22),"FAIL: deflection exceeds allowable. ","")))</f>
        <v/>
      </c>
      <c r="AR22" s="9"/>
      <c r="AS22" s="9"/>
      <c r="AT22" s="9"/>
      <c r="AU22" s="9"/>
      <c r="AV22" s="9"/>
      <c r="AW22" s="31"/>
      <c r="AX22" s="10" t="str">
        <f aca="false">IF(C22="","",IF(AND(Y22="Approved",ISERROR(SEARCH("FAIL",AQ22))),"Y","N"))</f>
        <v/>
      </c>
      <c r="AY22" s="10" t="str">
        <f aca="false">IF(C22="","",C22&amp;"|"&amp;E22&amp;"|"&amp;F22&amp;"|"&amp;G22&amp;"|"&amp;D22&amp;"|"&amp;AX22)</f>
        <v/>
      </c>
    </row>
    <row r="23" customFormat="false" ht="15" hidden="false" customHeight="false" outlineLevel="0" collapsed="false">
      <c r="A23" s="10" t="str">
        <f aca="false">IF(C23="","","EW-"&amp;IFERROR(VLOOKUP(C23,Lists!$P$4:$Q$22,2,0),"??")&amp;"-D"&amp;TEXT(E23*1000,"0000")&amp;"-"&amp;IFERROR(VLOOKUP(F23,Lists!$S$4:$T$21,2,0),"??")&amp;"-"&amp;IFERROR(VLOOKUP(G23,Lists!$Y$4:$Z$21,2,0),"??")&amp;"-"&amp;IFERROR(VLOOKUP(D23,Lists!$V$4:$W$16,2,0),"??")&amp;"-"&amp;X23)</f>
        <v/>
      </c>
      <c r="B23" s="10" t="str">
        <f aca="false">IF(C23="","",D23&amp;" "&amp;C23&amp;", excavation "&amp;TEXT(E23,"0.0")&amp;" m, "&amp;F23&amp;", "&amp;G23&amp;", "&amp;J23)</f>
        <v/>
      </c>
      <c r="C23" s="9"/>
      <c r="D23" s="9"/>
      <c r="E23" s="43"/>
      <c r="F23" s="9"/>
      <c r="G23" s="9"/>
      <c r="H23" s="43"/>
      <c r="I23" s="40"/>
      <c r="J23" s="9"/>
      <c r="K23" s="9"/>
      <c r="L23" s="9"/>
      <c r="M23" s="43"/>
      <c r="N23" s="43"/>
      <c r="O23" s="9"/>
      <c r="P23" s="9"/>
      <c r="Q23" s="9"/>
      <c r="R23" s="9"/>
      <c r="S23" s="40"/>
      <c r="T23" s="40"/>
      <c r="U23" s="9"/>
      <c r="V23" s="9"/>
      <c r="W23" s="9"/>
      <c r="X23" s="9"/>
      <c r="Y23" s="9"/>
      <c r="Z23" s="9"/>
      <c r="AA23" s="9"/>
      <c r="AB23" s="9"/>
      <c r="AC23" s="10" t="str">
        <f aca="false">IF(A23="","",SG_Criteria!$B$6&amp;SG_Criteria!$B$9&amp;"\"&amp;A23&amp;"\")</f>
        <v/>
      </c>
      <c r="AD23" s="10" t="str">
        <f aca="false">IF(A23="","",A23&amp;"_CAD.dwg")</f>
        <v/>
      </c>
      <c r="AE23" s="10" t="str">
        <f aca="false">IF(A23="","",A23&amp;"_DWG.pdf")</f>
        <v/>
      </c>
      <c r="AF23" s="10" t="str">
        <f aca="false">IF(A23="","",IF(AB23="Y",A23&amp;"_STAAD.std","n/a"))</f>
        <v/>
      </c>
      <c r="AG23" s="10" t="str">
        <f aca="false">IF(A23="","",A23&amp;"_CALC.xlsx")</f>
        <v/>
      </c>
      <c r="AH23" s="10" t="str">
        <f aca="false">IF(A23="","",A23&amp;"_CALC.pdf")</f>
        <v/>
      </c>
      <c r="AI23" s="9"/>
      <c r="AJ23" s="9"/>
      <c r="AK23" s="41"/>
      <c r="AL23" s="41"/>
      <c r="AM23" s="41"/>
      <c r="AN23" s="41"/>
      <c r="AO23" s="41"/>
      <c r="AP23" s="38" t="str">
        <f aca="false">IF(OR(C23="",E23=""),"",IF(E23&lt;=IF(C23="Soldier Pile &amp; Timber Lagging",SG_Criteria!$B$34,SG_Criteria!$B$33),"No ERSS submission",IF(E23&lt;=SG_Criteria!$B$35,"QP(ST)",IF(E23&lt;=SG_Criteria!$B$36,"QP(ST) + AC","Geotechnical building works: QP(Geo) + AC"))))</f>
        <v/>
      </c>
      <c r="AQ23" s="38" t="str">
        <f aca="false">IF(C23="","",IF(LEN(IF(AND(U23&lt;&gt;"",IFERROR(VALUE(MID(U23,2,2)),0)&lt;SG_Criteria!$B$19),"FAIL: grade below C"&amp;SG_Criteria!$B$19&amp;". ","")&amp;IF(AND(LEFT(C23,3)="Con",N(H23)&lt;E23,G23="Kallang Formation (marine clay)"),"NOTE: CBP is not watertight below GWT in marine clay; consider secant / grouting. ","")&amp;IF(AND(C23="Steel Sheet Pile",D23="Permanent"),"NOTE: permanent sheet pile needs corrosion allowance. ","")&amp;IF(AND(F23="Cantilever (no support)",E23&gt;6),"NOTE: cantilever embedded wall &gt; 6 m, check deflection. ","")&amp;IF(AND(S23&lt;&gt;"",T23&lt;&gt;"",S23&gt;T23),"FAIL: deflection exceeds allowable. ",""))=0,"OK",IF(AND(U23&lt;&gt;"",IFERROR(VALUE(MID(U23,2,2)),0)&lt;SG_Criteria!$B$19),"FAIL: grade below C"&amp;SG_Criteria!$B$19&amp;". ","")&amp;IF(AND(LEFT(C23,3)="Con",N(H23)&lt;E23,G23="Kallang Formation (marine clay)"),"NOTE: CBP is not watertight below GWT in marine clay; consider secant / grouting. ","")&amp;IF(AND(C23="Steel Sheet Pile",D23="Permanent"),"NOTE: permanent sheet pile needs corrosion allowance. ","")&amp;IF(AND(F23="Cantilever (no support)",E23&gt;6),"NOTE: cantilever embedded wall &gt; 6 m, check deflection. ","")&amp;IF(AND(S23&lt;&gt;"",T23&lt;&gt;"",S23&gt;T23),"FAIL: deflection exceeds allowable. ","")))</f>
        <v/>
      </c>
      <c r="AR23" s="9"/>
      <c r="AS23" s="9"/>
      <c r="AT23" s="9"/>
      <c r="AU23" s="9"/>
      <c r="AV23" s="9"/>
      <c r="AW23" s="31"/>
      <c r="AX23" s="10" t="str">
        <f aca="false">IF(C23="","",IF(AND(Y23="Approved",ISERROR(SEARCH("FAIL",AQ23))),"Y","N"))</f>
        <v/>
      </c>
      <c r="AY23" s="10" t="str">
        <f aca="false">IF(C23="","",C23&amp;"|"&amp;E23&amp;"|"&amp;F23&amp;"|"&amp;G23&amp;"|"&amp;D23&amp;"|"&amp;AX23)</f>
        <v/>
      </c>
    </row>
    <row r="24" customFormat="false" ht="15" hidden="false" customHeight="false" outlineLevel="0" collapsed="false">
      <c r="A24" s="10" t="str">
        <f aca="false">IF(C24="","","EW-"&amp;IFERROR(VLOOKUP(C24,Lists!$P$4:$Q$22,2,0),"??")&amp;"-D"&amp;TEXT(E24*1000,"0000")&amp;"-"&amp;IFERROR(VLOOKUP(F24,Lists!$S$4:$T$21,2,0),"??")&amp;"-"&amp;IFERROR(VLOOKUP(G24,Lists!$Y$4:$Z$21,2,0),"??")&amp;"-"&amp;IFERROR(VLOOKUP(D24,Lists!$V$4:$W$16,2,0),"??")&amp;"-"&amp;X24)</f>
        <v/>
      </c>
      <c r="B24" s="10" t="str">
        <f aca="false">IF(C24="","",D24&amp;" "&amp;C24&amp;", excavation "&amp;TEXT(E24,"0.0")&amp;" m, "&amp;F24&amp;", "&amp;G24&amp;", "&amp;J24)</f>
        <v/>
      </c>
      <c r="C24" s="9"/>
      <c r="D24" s="9"/>
      <c r="E24" s="43"/>
      <c r="F24" s="9"/>
      <c r="G24" s="9"/>
      <c r="H24" s="43"/>
      <c r="I24" s="40"/>
      <c r="J24" s="9"/>
      <c r="K24" s="9"/>
      <c r="L24" s="9"/>
      <c r="M24" s="43"/>
      <c r="N24" s="43"/>
      <c r="O24" s="9"/>
      <c r="P24" s="9"/>
      <c r="Q24" s="9"/>
      <c r="R24" s="9"/>
      <c r="S24" s="40"/>
      <c r="T24" s="40"/>
      <c r="U24" s="9"/>
      <c r="V24" s="9"/>
      <c r="W24" s="9"/>
      <c r="X24" s="9"/>
      <c r="Y24" s="9"/>
      <c r="Z24" s="9"/>
      <c r="AA24" s="9"/>
      <c r="AB24" s="9"/>
      <c r="AC24" s="10" t="str">
        <f aca="false">IF(A24="","",SG_Criteria!$B$6&amp;SG_Criteria!$B$9&amp;"\"&amp;A24&amp;"\")</f>
        <v/>
      </c>
      <c r="AD24" s="10" t="str">
        <f aca="false">IF(A24="","",A24&amp;"_CAD.dwg")</f>
        <v/>
      </c>
      <c r="AE24" s="10" t="str">
        <f aca="false">IF(A24="","",A24&amp;"_DWG.pdf")</f>
        <v/>
      </c>
      <c r="AF24" s="10" t="str">
        <f aca="false">IF(A24="","",IF(AB24="Y",A24&amp;"_STAAD.std","n/a"))</f>
        <v/>
      </c>
      <c r="AG24" s="10" t="str">
        <f aca="false">IF(A24="","",A24&amp;"_CALC.xlsx")</f>
        <v/>
      </c>
      <c r="AH24" s="10" t="str">
        <f aca="false">IF(A24="","",A24&amp;"_CALC.pdf")</f>
        <v/>
      </c>
      <c r="AI24" s="9"/>
      <c r="AJ24" s="9"/>
      <c r="AK24" s="41"/>
      <c r="AL24" s="41"/>
      <c r="AM24" s="41"/>
      <c r="AN24" s="41"/>
      <c r="AO24" s="41"/>
      <c r="AP24" s="38" t="str">
        <f aca="false">IF(OR(C24="",E24=""),"",IF(E24&lt;=IF(C24="Soldier Pile &amp; Timber Lagging",SG_Criteria!$B$34,SG_Criteria!$B$33),"No ERSS submission",IF(E24&lt;=SG_Criteria!$B$35,"QP(ST)",IF(E24&lt;=SG_Criteria!$B$36,"QP(ST) + AC","Geotechnical building works: QP(Geo) + AC"))))</f>
        <v/>
      </c>
      <c r="AQ24" s="38" t="str">
        <f aca="false">IF(C24="","",IF(LEN(IF(AND(U24&lt;&gt;"",IFERROR(VALUE(MID(U24,2,2)),0)&lt;SG_Criteria!$B$19),"FAIL: grade below C"&amp;SG_Criteria!$B$19&amp;". ","")&amp;IF(AND(LEFT(C24,3)="Con",N(H24)&lt;E24,G24="Kallang Formation (marine clay)"),"NOTE: CBP is not watertight below GWT in marine clay; consider secant / grouting. ","")&amp;IF(AND(C24="Steel Sheet Pile",D24="Permanent"),"NOTE: permanent sheet pile needs corrosion allowance. ","")&amp;IF(AND(F24="Cantilever (no support)",E24&gt;6),"NOTE: cantilever embedded wall &gt; 6 m, check deflection. ","")&amp;IF(AND(S24&lt;&gt;"",T24&lt;&gt;"",S24&gt;T24),"FAIL: deflection exceeds allowable. ",""))=0,"OK",IF(AND(U24&lt;&gt;"",IFERROR(VALUE(MID(U24,2,2)),0)&lt;SG_Criteria!$B$19),"FAIL: grade below C"&amp;SG_Criteria!$B$19&amp;". ","")&amp;IF(AND(LEFT(C24,3)="Con",N(H24)&lt;E24,G24="Kallang Formation (marine clay)"),"NOTE: CBP is not watertight below GWT in marine clay; consider secant / grouting. ","")&amp;IF(AND(C24="Steel Sheet Pile",D24="Permanent"),"NOTE: permanent sheet pile needs corrosion allowance. ","")&amp;IF(AND(F24="Cantilever (no support)",E24&gt;6),"NOTE: cantilever embedded wall &gt; 6 m, check deflection. ","")&amp;IF(AND(S24&lt;&gt;"",T24&lt;&gt;"",S24&gt;T24),"FAIL: deflection exceeds allowable. ","")))</f>
        <v/>
      </c>
      <c r="AR24" s="9"/>
      <c r="AS24" s="9"/>
      <c r="AT24" s="9"/>
      <c r="AU24" s="9"/>
      <c r="AV24" s="9"/>
      <c r="AW24" s="31"/>
      <c r="AX24" s="10" t="str">
        <f aca="false">IF(C24="","",IF(AND(Y24="Approved",ISERROR(SEARCH("FAIL",AQ24))),"Y","N"))</f>
        <v/>
      </c>
      <c r="AY24" s="10" t="str">
        <f aca="false">IF(C24="","",C24&amp;"|"&amp;E24&amp;"|"&amp;F24&amp;"|"&amp;G24&amp;"|"&amp;D24&amp;"|"&amp;AX24)</f>
        <v/>
      </c>
    </row>
    <row r="25" customFormat="false" ht="15" hidden="false" customHeight="false" outlineLevel="0" collapsed="false">
      <c r="A25" s="10" t="str">
        <f aca="false">IF(C25="","","EW-"&amp;IFERROR(VLOOKUP(C25,Lists!$P$4:$Q$22,2,0),"??")&amp;"-D"&amp;TEXT(E25*1000,"0000")&amp;"-"&amp;IFERROR(VLOOKUP(F25,Lists!$S$4:$T$21,2,0),"??")&amp;"-"&amp;IFERROR(VLOOKUP(G25,Lists!$Y$4:$Z$21,2,0),"??")&amp;"-"&amp;IFERROR(VLOOKUP(D25,Lists!$V$4:$W$16,2,0),"??")&amp;"-"&amp;X25)</f>
        <v/>
      </c>
      <c r="B25" s="10" t="str">
        <f aca="false">IF(C25="","",D25&amp;" "&amp;C25&amp;", excavation "&amp;TEXT(E25,"0.0")&amp;" m, "&amp;F25&amp;", "&amp;G25&amp;", "&amp;J25)</f>
        <v/>
      </c>
      <c r="C25" s="9"/>
      <c r="D25" s="9"/>
      <c r="E25" s="43"/>
      <c r="F25" s="9"/>
      <c r="G25" s="9"/>
      <c r="H25" s="43"/>
      <c r="I25" s="40"/>
      <c r="J25" s="9"/>
      <c r="K25" s="9"/>
      <c r="L25" s="9"/>
      <c r="M25" s="43"/>
      <c r="N25" s="43"/>
      <c r="O25" s="9"/>
      <c r="P25" s="9"/>
      <c r="Q25" s="9"/>
      <c r="R25" s="9"/>
      <c r="S25" s="40"/>
      <c r="T25" s="40"/>
      <c r="U25" s="9"/>
      <c r="V25" s="9"/>
      <c r="W25" s="9"/>
      <c r="X25" s="9"/>
      <c r="Y25" s="9"/>
      <c r="Z25" s="9"/>
      <c r="AA25" s="9"/>
      <c r="AB25" s="9"/>
      <c r="AC25" s="10" t="str">
        <f aca="false">IF(A25="","",SG_Criteria!$B$6&amp;SG_Criteria!$B$9&amp;"\"&amp;A25&amp;"\")</f>
        <v/>
      </c>
      <c r="AD25" s="10" t="str">
        <f aca="false">IF(A25="","",A25&amp;"_CAD.dwg")</f>
        <v/>
      </c>
      <c r="AE25" s="10" t="str">
        <f aca="false">IF(A25="","",A25&amp;"_DWG.pdf")</f>
        <v/>
      </c>
      <c r="AF25" s="10" t="str">
        <f aca="false">IF(A25="","",IF(AB25="Y",A25&amp;"_STAAD.std","n/a"))</f>
        <v/>
      </c>
      <c r="AG25" s="10" t="str">
        <f aca="false">IF(A25="","",A25&amp;"_CALC.xlsx")</f>
        <v/>
      </c>
      <c r="AH25" s="10" t="str">
        <f aca="false">IF(A25="","",A25&amp;"_CALC.pdf")</f>
        <v/>
      </c>
      <c r="AI25" s="9"/>
      <c r="AJ25" s="9"/>
      <c r="AK25" s="41"/>
      <c r="AL25" s="41"/>
      <c r="AM25" s="41"/>
      <c r="AN25" s="41"/>
      <c r="AO25" s="41"/>
      <c r="AP25" s="38" t="str">
        <f aca="false">IF(OR(C25="",E25=""),"",IF(E25&lt;=IF(C25="Soldier Pile &amp; Timber Lagging",SG_Criteria!$B$34,SG_Criteria!$B$33),"No ERSS submission",IF(E25&lt;=SG_Criteria!$B$35,"QP(ST)",IF(E25&lt;=SG_Criteria!$B$36,"QP(ST) + AC","Geotechnical building works: QP(Geo) + AC"))))</f>
        <v/>
      </c>
      <c r="AQ25" s="38" t="str">
        <f aca="false">IF(C25="","",IF(LEN(IF(AND(U25&lt;&gt;"",IFERROR(VALUE(MID(U25,2,2)),0)&lt;SG_Criteria!$B$19),"FAIL: grade below C"&amp;SG_Criteria!$B$19&amp;". ","")&amp;IF(AND(LEFT(C25,3)="Con",N(H25)&lt;E25,G25="Kallang Formation (marine clay)"),"NOTE: CBP is not watertight below GWT in marine clay; consider secant / grouting. ","")&amp;IF(AND(C25="Steel Sheet Pile",D25="Permanent"),"NOTE: permanent sheet pile needs corrosion allowance. ","")&amp;IF(AND(F25="Cantilever (no support)",E25&gt;6),"NOTE: cantilever embedded wall &gt; 6 m, check deflection. ","")&amp;IF(AND(S25&lt;&gt;"",T25&lt;&gt;"",S25&gt;T25),"FAIL: deflection exceeds allowable. ",""))=0,"OK",IF(AND(U25&lt;&gt;"",IFERROR(VALUE(MID(U25,2,2)),0)&lt;SG_Criteria!$B$19),"FAIL: grade below C"&amp;SG_Criteria!$B$19&amp;". ","")&amp;IF(AND(LEFT(C25,3)="Con",N(H25)&lt;E25,G25="Kallang Formation (marine clay)"),"NOTE: CBP is not watertight below GWT in marine clay; consider secant / grouting. ","")&amp;IF(AND(C25="Steel Sheet Pile",D25="Permanent"),"NOTE: permanent sheet pile needs corrosion allowance. ","")&amp;IF(AND(F25="Cantilever (no support)",E25&gt;6),"NOTE: cantilever embedded wall &gt; 6 m, check deflection. ","")&amp;IF(AND(S25&lt;&gt;"",T25&lt;&gt;"",S25&gt;T25),"FAIL: deflection exceeds allowable. ","")))</f>
        <v/>
      </c>
      <c r="AR25" s="9"/>
      <c r="AS25" s="9"/>
      <c r="AT25" s="9"/>
      <c r="AU25" s="9"/>
      <c r="AV25" s="9"/>
      <c r="AW25" s="31"/>
      <c r="AX25" s="10" t="str">
        <f aca="false">IF(C25="","",IF(AND(Y25="Approved",ISERROR(SEARCH("FAIL",AQ25))),"Y","N"))</f>
        <v/>
      </c>
      <c r="AY25" s="10" t="str">
        <f aca="false">IF(C25="","",C25&amp;"|"&amp;E25&amp;"|"&amp;F25&amp;"|"&amp;G25&amp;"|"&amp;D25&amp;"|"&amp;AX25)</f>
        <v/>
      </c>
    </row>
    <row r="26" customFormat="false" ht="15" hidden="false" customHeight="false" outlineLevel="0" collapsed="false">
      <c r="A26" s="10" t="str">
        <f aca="false">IF(C26="","","EW-"&amp;IFERROR(VLOOKUP(C26,Lists!$P$4:$Q$22,2,0),"??")&amp;"-D"&amp;TEXT(E26*1000,"0000")&amp;"-"&amp;IFERROR(VLOOKUP(F26,Lists!$S$4:$T$21,2,0),"??")&amp;"-"&amp;IFERROR(VLOOKUP(G26,Lists!$Y$4:$Z$21,2,0),"??")&amp;"-"&amp;IFERROR(VLOOKUP(D26,Lists!$V$4:$W$16,2,0),"??")&amp;"-"&amp;X26)</f>
        <v/>
      </c>
      <c r="B26" s="10" t="str">
        <f aca="false">IF(C26="","",D26&amp;" "&amp;C26&amp;", excavation "&amp;TEXT(E26,"0.0")&amp;" m, "&amp;F26&amp;", "&amp;G26&amp;", "&amp;J26)</f>
        <v/>
      </c>
      <c r="C26" s="9"/>
      <c r="D26" s="9"/>
      <c r="E26" s="43"/>
      <c r="F26" s="9"/>
      <c r="G26" s="9"/>
      <c r="H26" s="43"/>
      <c r="I26" s="40"/>
      <c r="J26" s="9"/>
      <c r="K26" s="9"/>
      <c r="L26" s="9"/>
      <c r="M26" s="43"/>
      <c r="N26" s="43"/>
      <c r="O26" s="9"/>
      <c r="P26" s="9"/>
      <c r="Q26" s="9"/>
      <c r="R26" s="9"/>
      <c r="S26" s="40"/>
      <c r="T26" s="40"/>
      <c r="U26" s="9"/>
      <c r="V26" s="9"/>
      <c r="W26" s="9"/>
      <c r="X26" s="9"/>
      <c r="Y26" s="9"/>
      <c r="Z26" s="9"/>
      <c r="AA26" s="9"/>
      <c r="AB26" s="9"/>
      <c r="AC26" s="10" t="str">
        <f aca="false">IF(A26="","",SG_Criteria!$B$6&amp;SG_Criteria!$B$9&amp;"\"&amp;A26&amp;"\")</f>
        <v/>
      </c>
      <c r="AD26" s="10" t="str">
        <f aca="false">IF(A26="","",A26&amp;"_CAD.dwg")</f>
        <v/>
      </c>
      <c r="AE26" s="10" t="str">
        <f aca="false">IF(A26="","",A26&amp;"_DWG.pdf")</f>
        <v/>
      </c>
      <c r="AF26" s="10" t="str">
        <f aca="false">IF(A26="","",IF(AB26="Y",A26&amp;"_STAAD.std","n/a"))</f>
        <v/>
      </c>
      <c r="AG26" s="10" t="str">
        <f aca="false">IF(A26="","",A26&amp;"_CALC.xlsx")</f>
        <v/>
      </c>
      <c r="AH26" s="10" t="str">
        <f aca="false">IF(A26="","",A26&amp;"_CALC.pdf")</f>
        <v/>
      </c>
      <c r="AI26" s="9"/>
      <c r="AJ26" s="9"/>
      <c r="AK26" s="41"/>
      <c r="AL26" s="41"/>
      <c r="AM26" s="41"/>
      <c r="AN26" s="41"/>
      <c r="AO26" s="41"/>
      <c r="AP26" s="38" t="str">
        <f aca="false">IF(OR(C26="",E26=""),"",IF(E26&lt;=IF(C26="Soldier Pile &amp; Timber Lagging",SG_Criteria!$B$34,SG_Criteria!$B$33),"No ERSS submission",IF(E26&lt;=SG_Criteria!$B$35,"QP(ST)",IF(E26&lt;=SG_Criteria!$B$36,"QP(ST) + AC","Geotechnical building works: QP(Geo) + AC"))))</f>
        <v/>
      </c>
      <c r="AQ26" s="38" t="str">
        <f aca="false">IF(C26="","",IF(LEN(IF(AND(U26&lt;&gt;"",IFERROR(VALUE(MID(U26,2,2)),0)&lt;SG_Criteria!$B$19),"FAIL: grade below C"&amp;SG_Criteria!$B$19&amp;". ","")&amp;IF(AND(LEFT(C26,3)="Con",N(H26)&lt;E26,G26="Kallang Formation (marine clay)"),"NOTE: CBP is not watertight below GWT in marine clay; consider secant / grouting. ","")&amp;IF(AND(C26="Steel Sheet Pile",D26="Permanent"),"NOTE: permanent sheet pile needs corrosion allowance. ","")&amp;IF(AND(F26="Cantilever (no support)",E26&gt;6),"NOTE: cantilever embedded wall &gt; 6 m, check deflection. ","")&amp;IF(AND(S26&lt;&gt;"",T26&lt;&gt;"",S26&gt;T26),"FAIL: deflection exceeds allowable. ",""))=0,"OK",IF(AND(U26&lt;&gt;"",IFERROR(VALUE(MID(U26,2,2)),0)&lt;SG_Criteria!$B$19),"FAIL: grade below C"&amp;SG_Criteria!$B$19&amp;". ","")&amp;IF(AND(LEFT(C26,3)="Con",N(H26)&lt;E26,G26="Kallang Formation (marine clay)"),"NOTE: CBP is not watertight below GWT in marine clay; consider secant / grouting. ","")&amp;IF(AND(C26="Steel Sheet Pile",D26="Permanent"),"NOTE: permanent sheet pile needs corrosion allowance. ","")&amp;IF(AND(F26="Cantilever (no support)",E26&gt;6),"NOTE: cantilever embedded wall &gt; 6 m, check deflection. ","")&amp;IF(AND(S26&lt;&gt;"",T26&lt;&gt;"",S26&gt;T26),"FAIL: deflection exceeds allowable. ","")))</f>
        <v/>
      </c>
      <c r="AR26" s="9"/>
      <c r="AS26" s="9"/>
      <c r="AT26" s="9"/>
      <c r="AU26" s="9"/>
      <c r="AV26" s="9"/>
      <c r="AW26" s="31"/>
      <c r="AX26" s="10" t="str">
        <f aca="false">IF(C26="","",IF(AND(Y26="Approved",ISERROR(SEARCH("FAIL",AQ26))),"Y","N"))</f>
        <v/>
      </c>
      <c r="AY26" s="10" t="str">
        <f aca="false">IF(C26="","",C26&amp;"|"&amp;E26&amp;"|"&amp;F26&amp;"|"&amp;G26&amp;"|"&amp;D26&amp;"|"&amp;AX26)</f>
        <v/>
      </c>
    </row>
    <row r="27" customFormat="false" ht="15" hidden="false" customHeight="false" outlineLevel="0" collapsed="false">
      <c r="A27" s="10" t="str">
        <f aca="false">IF(C27="","","EW-"&amp;IFERROR(VLOOKUP(C27,Lists!$P$4:$Q$22,2,0),"??")&amp;"-D"&amp;TEXT(E27*1000,"0000")&amp;"-"&amp;IFERROR(VLOOKUP(F27,Lists!$S$4:$T$21,2,0),"??")&amp;"-"&amp;IFERROR(VLOOKUP(G27,Lists!$Y$4:$Z$21,2,0),"??")&amp;"-"&amp;IFERROR(VLOOKUP(D27,Lists!$V$4:$W$16,2,0),"??")&amp;"-"&amp;X27)</f>
        <v/>
      </c>
      <c r="B27" s="10" t="str">
        <f aca="false">IF(C27="","",D27&amp;" "&amp;C27&amp;", excavation "&amp;TEXT(E27,"0.0")&amp;" m, "&amp;F27&amp;", "&amp;G27&amp;", "&amp;J27)</f>
        <v/>
      </c>
      <c r="C27" s="9"/>
      <c r="D27" s="9"/>
      <c r="E27" s="43"/>
      <c r="F27" s="9"/>
      <c r="G27" s="9"/>
      <c r="H27" s="43"/>
      <c r="I27" s="40"/>
      <c r="J27" s="9"/>
      <c r="K27" s="9"/>
      <c r="L27" s="9"/>
      <c r="M27" s="43"/>
      <c r="N27" s="43"/>
      <c r="O27" s="9"/>
      <c r="P27" s="9"/>
      <c r="Q27" s="9"/>
      <c r="R27" s="9"/>
      <c r="S27" s="40"/>
      <c r="T27" s="40"/>
      <c r="U27" s="9"/>
      <c r="V27" s="9"/>
      <c r="W27" s="9"/>
      <c r="X27" s="9"/>
      <c r="Y27" s="9"/>
      <c r="Z27" s="9"/>
      <c r="AA27" s="9"/>
      <c r="AB27" s="9"/>
      <c r="AC27" s="10" t="str">
        <f aca="false">IF(A27="","",SG_Criteria!$B$6&amp;SG_Criteria!$B$9&amp;"\"&amp;A27&amp;"\")</f>
        <v/>
      </c>
      <c r="AD27" s="10" t="str">
        <f aca="false">IF(A27="","",A27&amp;"_CAD.dwg")</f>
        <v/>
      </c>
      <c r="AE27" s="10" t="str">
        <f aca="false">IF(A27="","",A27&amp;"_DWG.pdf")</f>
        <v/>
      </c>
      <c r="AF27" s="10" t="str">
        <f aca="false">IF(A27="","",IF(AB27="Y",A27&amp;"_STAAD.std","n/a"))</f>
        <v/>
      </c>
      <c r="AG27" s="10" t="str">
        <f aca="false">IF(A27="","",A27&amp;"_CALC.xlsx")</f>
        <v/>
      </c>
      <c r="AH27" s="10" t="str">
        <f aca="false">IF(A27="","",A27&amp;"_CALC.pdf")</f>
        <v/>
      </c>
      <c r="AI27" s="9"/>
      <c r="AJ27" s="9"/>
      <c r="AK27" s="41"/>
      <c r="AL27" s="41"/>
      <c r="AM27" s="41"/>
      <c r="AN27" s="41"/>
      <c r="AO27" s="41"/>
      <c r="AP27" s="38" t="str">
        <f aca="false">IF(OR(C27="",E27=""),"",IF(E27&lt;=IF(C27="Soldier Pile &amp; Timber Lagging",SG_Criteria!$B$34,SG_Criteria!$B$33),"No ERSS submission",IF(E27&lt;=SG_Criteria!$B$35,"QP(ST)",IF(E27&lt;=SG_Criteria!$B$36,"QP(ST) + AC","Geotechnical building works: QP(Geo) + AC"))))</f>
        <v/>
      </c>
      <c r="AQ27" s="38" t="str">
        <f aca="false">IF(C27="","",IF(LEN(IF(AND(U27&lt;&gt;"",IFERROR(VALUE(MID(U27,2,2)),0)&lt;SG_Criteria!$B$19),"FAIL: grade below C"&amp;SG_Criteria!$B$19&amp;". ","")&amp;IF(AND(LEFT(C27,3)="Con",N(H27)&lt;E27,G27="Kallang Formation (marine clay)"),"NOTE: CBP is not watertight below GWT in marine clay; consider secant / grouting. ","")&amp;IF(AND(C27="Steel Sheet Pile",D27="Permanent"),"NOTE: permanent sheet pile needs corrosion allowance. ","")&amp;IF(AND(F27="Cantilever (no support)",E27&gt;6),"NOTE: cantilever embedded wall &gt; 6 m, check deflection. ","")&amp;IF(AND(S27&lt;&gt;"",T27&lt;&gt;"",S27&gt;T27),"FAIL: deflection exceeds allowable. ",""))=0,"OK",IF(AND(U27&lt;&gt;"",IFERROR(VALUE(MID(U27,2,2)),0)&lt;SG_Criteria!$B$19),"FAIL: grade below C"&amp;SG_Criteria!$B$19&amp;". ","")&amp;IF(AND(LEFT(C27,3)="Con",N(H27)&lt;E27,G27="Kallang Formation (marine clay)"),"NOTE: CBP is not watertight below GWT in marine clay; consider secant / grouting. ","")&amp;IF(AND(C27="Steel Sheet Pile",D27="Permanent"),"NOTE: permanent sheet pile needs corrosion allowance. ","")&amp;IF(AND(F27="Cantilever (no support)",E27&gt;6),"NOTE: cantilever embedded wall &gt; 6 m, check deflection. ","")&amp;IF(AND(S27&lt;&gt;"",T27&lt;&gt;"",S27&gt;T27),"FAIL: deflection exceeds allowable. ","")))</f>
        <v/>
      </c>
      <c r="AR27" s="9"/>
      <c r="AS27" s="9"/>
      <c r="AT27" s="9"/>
      <c r="AU27" s="9"/>
      <c r="AV27" s="9"/>
      <c r="AW27" s="31"/>
      <c r="AX27" s="10" t="str">
        <f aca="false">IF(C27="","",IF(AND(Y27="Approved",ISERROR(SEARCH("FAIL",AQ27))),"Y","N"))</f>
        <v/>
      </c>
      <c r="AY27" s="10" t="str">
        <f aca="false">IF(C27="","",C27&amp;"|"&amp;E27&amp;"|"&amp;F27&amp;"|"&amp;G27&amp;"|"&amp;D27&amp;"|"&amp;AX27)</f>
        <v/>
      </c>
    </row>
    <row r="28" customFormat="false" ht="15" hidden="false" customHeight="false" outlineLevel="0" collapsed="false">
      <c r="A28" s="10" t="str">
        <f aca="false">IF(C28="","","EW-"&amp;IFERROR(VLOOKUP(C28,Lists!$P$4:$Q$22,2,0),"??")&amp;"-D"&amp;TEXT(E28*1000,"0000")&amp;"-"&amp;IFERROR(VLOOKUP(F28,Lists!$S$4:$T$21,2,0),"??")&amp;"-"&amp;IFERROR(VLOOKUP(G28,Lists!$Y$4:$Z$21,2,0),"??")&amp;"-"&amp;IFERROR(VLOOKUP(D28,Lists!$V$4:$W$16,2,0),"??")&amp;"-"&amp;X28)</f>
        <v/>
      </c>
      <c r="B28" s="10" t="str">
        <f aca="false">IF(C28="","",D28&amp;" "&amp;C28&amp;", excavation "&amp;TEXT(E28,"0.0")&amp;" m, "&amp;F28&amp;", "&amp;G28&amp;", "&amp;J28)</f>
        <v/>
      </c>
      <c r="C28" s="9"/>
      <c r="D28" s="9"/>
      <c r="E28" s="43"/>
      <c r="F28" s="9"/>
      <c r="G28" s="9"/>
      <c r="H28" s="43"/>
      <c r="I28" s="40"/>
      <c r="J28" s="9"/>
      <c r="K28" s="9"/>
      <c r="L28" s="9"/>
      <c r="M28" s="43"/>
      <c r="N28" s="43"/>
      <c r="O28" s="9"/>
      <c r="P28" s="9"/>
      <c r="Q28" s="9"/>
      <c r="R28" s="9"/>
      <c r="S28" s="40"/>
      <c r="T28" s="40"/>
      <c r="U28" s="9"/>
      <c r="V28" s="9"/>
      <c r="W28" s="9"/>
      <c r="X28" s="9"/>
      <c r="Y28" s="9"/>
      <c r="Z28" s="9"/>
      <c r="AA28" s="9"/>
      <c r="AB28" s="9"/>
      <c r="AC28" s="10" t="str">
        <f aca="false">IF(A28="","",SG_Criteria!$B$6&amp;SG_Criteria!$B$9&amp;"\"&amp;A28&amp;"\")</f>
        <v/>
      </c>
      <c r="AD28" s="10" t="str">
        <f aca="false">IF(A28="","",A28&amp;"_CAD.dwg")</f>
        <v/>
      </c>
      <c r="AE28" s="10" t="str">
        <f aca="false">IF(A28="","",A28&amp;"_DWG.pdf")</f>
        <v/>
      </c>
      <c r="AF28" s="10" t="str">
        <f aca="false">IF(A28="","",IF(AB28="Y",A28&amp;"_STAAD.std","n/a"))</f>
        <v/>
      </c>
      <c r="AG28" s="10" t="str">
        <f aca="false">IF(A28="","",A28&amp;"_CALC.xlsx")</f>
        <v/>
      </c>
      <c r="AH28" s="10" t="str">
        <f aca="false">IF(A28="","",A28&amp;"_CALC.pdf")</f>
        <v/>
      </c>
      <c r="AI28" s="9"/>
      <c r="AJ28" s="9"/>
      <c r="AK28" s="41"/>
      <c r="AL28" s="41"/>
      <c r="AM28" s="41"/>
      <c r="AN28" s="41"/>
      <c r="AO28" s="41"/>
      <c r="AP28" s="38" t="str">
        <f aca="false">IF(OR(C28="",E28=""),"",IF(E28&lt;=IF(C28="Soldier Pile &amp; Timber Lagging",SG_Criteria!$B$34,SG_Criteria!$B$33),"No ERSS submission",IF(E28&lt;=SG_Criteria!$B$35,"QP(ST)",IF(E28&lt;=SG_Criteria!$B$36,"QP(ST) + AC","Geotechnical building works: QP(Geo) + AC"))))</f>
        <v/>
      </c>
      <c r="AQ28" s="38" t="str">
        <f aca="false">IF(C28="","",IF(LEN(IF(AND(U28&lt;&gt;"",IFERROR(VALUE(MID(U28,2,2)),0)&lt;SG_Criteria!$B$19),"FAIL: grade below C"&amp;SG_Criteria!$B$19&amp;". ","")&amp;IF(AND(LEFT(C28,3)="Con",N(H28)&lt;E28,G28="Kallang Formation (marine clay)"),"NOTE: CBP is not watertight below GWT in marine clay; consider secant / grouting. ","")&amp;IF(AND(C28="Steel Sheet Pile",D28="Permanent"),"NOTE: permanent sheet pile needs corrosion allowance. ","")&amp;IF(AND(F28="Cantilever (no support)",E28&gt;6),"NOTE: cantilever embedded wall &gt; 6 m, check deflection. ","")&amp;IF(AND(S28&lt;&gt;"",T28&lt;&gt;"",S28&gt;T28),"FAIL: deflection exceeds allowable. ",""))=0,"OK",IF(AND(U28&lt;&gt;"",IFERROR(VALUE(MID(U28,2,2)),0)&lt;SG_Criteria!$B$19),"FAIL: grade below C"&amp;SG_Criteria!$B$19&amp;". ","")&amp;IF(AND(LEFT(C28,3)="Con",N(H28)&lt;E28,G28="Kallang Formation (marine clay)"),"NOTE: CBP is not watertight below GWT in marine clay; consider secant / grouting. ","")&amp;IF(AND(C28="Steel Sheet Pile",D28="Permanent"),"NOTE: permanent sheet pile needs corrosion allowance. ","")&amp;IF(AND(F28="Cantilever (no support)",E28&gt;6),"NOTE: cantilever embedded wall &gt; 6 m, check deflection. ","")&amp;IF(AND(S28&lt;&gt;"",T28&lt;&gt;"",S28&gt;T28),"FAIL: deflection exceeds allowable. ","")))</f>
        <v/>
      </c>
      <c r="AR28" s="9"/>
      <c r="AS28" s="9"/>
      <c r="AT28" s="9"/>
      <c r="AU28" s="9"/>
      <c r="AV28" s="9"/>
      <c r="AW28" s="31"/>
      <c r="AX28" s="10" t="str">
        <f aca="false">IF(C28="","",IF(AND(Y28="Approved",ISERROR(SEARCH("FAIL",AQ28))),"Y","N"))</f>
        <v/>
      </c>
      <c r="AY28" s="10" t="str">
        <f aca="false">IF(C28="","",C28&amp;"|"&amp;E28&amp;"|"&amp;F28&amp;"|"&amp;G28&amp;"|"&amp;D28&amp;"|"&amp;AX28)</f>
        <v/>
      </c>
    </row>
    <row r="29" customFormat="false" ht="15" hidden="false" customHeight="false" outlineLevel="0" collapsed="false">
      <c r="A29" s="10" t="str">
        <f aca="false">IF(C29="","","EW-"&amp;IFERROR(VLOOKUP(C29,Lists!$P$4:$Q$22,2,0),"??")&amp;"-D"&amp;TEXT(E29*1000,"0000")&amp;"-"&amp;IFERROR(VLOOKUP(F29,Lists!$S$4:$T$21,2,0),"??")&amp;"-"&amp;IFERROR(VLOOKUP(G29,Lists!$Y$4:$Z$21,2,0),"??")&amp;"-"&amp;IFERROR(VLOOKUP(D29,Lists!$V$4:$W$16,2,0),"??")&amp;"-"&amp;X29)</f>
        <v/>
      </c>
      <c r="B29" s="10" t="str">
        <f aca="false">IF(C29="","",D29&amp;" "&amp;C29&amp;", excavation "&amp;TEXT(E29,"0.0")&amp;" m, "&amp;F29&amp;", "&amp;G29&amp;", "&amp;J29)</f>
        <v/>
      </c>
      <c r="C29" s="9"/>
      <c r="D29" s="9"/>
      <c r="E29" s="43"/>
      <c r="F29" s="9"/>
      <c r="G29" s="9"/>
      <c r="H29" s="43"/>
      <c r="I29" s="40"/>
      <c r="J29" s="9"/>
      <c r="K29" s="9"/>
      <c r="L29" s="9"/>
      <c r="M29" s="43"/>
      <c r="N29" s="43"/>
      <c r="O29" s="9"/>
      <c r="P29" s="9"/>
      <c r="Q29" s="9"/>
      <c r="R29" s="9"/>
      <c r="S29" s="40"/>
      <c r="T29" s="40"/>
      <c r="U29" s="9"/>
      <c r="V29" s="9"/>
      <c r="W29" s="9"/>
      <c r="X29" s="9"/>
      <c r="Y29" s="9"/>
      <c r="Z29" s="9"/>
      <c r="AA29" s="9"/>
      <c r="AB29" s="9"/>
      <c r="AC29" s="10" t="str">
        <f aca="false">IF(A29="","",SG_Criteria!$B$6&amp;SG_Criteria!$B$9&amp;"\"&amp;A29&amp;"\")</f>
        <v/>
      </c>
      <c r="AD29" s="10" t="str">
        <f aca="false">IF(A29="","",A29&amp;"_CAD.dwg")</f>
        <v/>
      </c>
      <c r="AE29" s="10" t="str">
        <f aca="false">IF(A29="","",A29&amp;"_DWG.pdf")</f>
        <v/>
      </c>
      <c r="AF29" s="10" t="str">
        <f aca="false">IF(A29="","",IF(AB29="Y",A29&amp;"_STAAD.std","n/a"))</f>
        <v/>
      </c>
      <c r="AG29" s="10" t="str">
        <f aca="false">IF(A29="","",A29&amp;"_CALC.xlsx")</f>
        <v/>
      </c>
      <c r="AH29" s="10" t="str">
        <f aca="false">IF(A29="","",A29&amp;"_CALC.pdf")</f>
        <v/>
      </c>
      <c r="AI29" s="9"/>
      <c r="AJ29" s="9"/>
      <c r="AK29" s="41"/>
      <c r="AL29" s="41"/>
      <c r="AM29" s="41"/>
      <c r="AN29" s="41"/>
      <c r="AO29" s="41"/>
      <c r="AP29" s="38" t="str">
        <f aca="false">IF(OR(C29="",E29=""),"",IF(E29&lt;=IF(C29="Soldier Pile &amp; Timber Lagging",SG_Criteria!$B$34,SG_Criteria!$B$33),"No ERSS submission",IF(E29&lt;=SG_Criteria!$B$35,"QP(ST)",IF(E29&lt;=SG_Criteria!$B$36,"QP(ST) + AC","Geotechnical building works: QP(Geo) + AC"))))</f>
        <v/>
      </c>
      <c r="AQ29" s="38" t="str">
        <f aca="false">IF(C29="","",IF(LEN(IF(AND(U29&lt;&gt;"",IFERROR(VALUE(MID(U29,2,2)),0)&lt;SG_Criteria!$B$19),"FAIL: grade below C"&amp;SG_Criteria!$B$19&amp;". ","")&amp;IF(AND(LEFT(C29,3)="Con",N(H29)&lt;E29,G29="Kallang Formation (marine clay)"),"NOTE: CBP is not watertight below GWT in marine clay; consider secant / grouting. ","")&amp;IF(AND(C29="Steel Sheet Pile",D29="Permanent"),"NOTE: permanent sheet pile needs corrosion allowance. ","")&amp;IF(AND(F29="Cantilever (no support)",E29&gt;6),"NOTE: cantilever embedded wall &gt; 6 m, check deflection. ","")&amp;IF(AND(S29&lt;&gt;"",T29&lt;&gt;"",S29&gt;T29),"FAIL: deflection exceeds allowable. ",""))=0,"OK",IF(AND(U29&lt;&gt;"",IFERROR(VALUE(MID(U29,2,2)),0)&lt;SG_Criteria!$B$19),"FAIL: grade below C"&amp;SG_Criteria!$B$19&amp;". ","")&amp;IF(AND(LEFT(C29,3)="Con",N(H29)&lt;E29,G29="Kallang Formation (marine clay)"),"NOTE: CBP is not watertight below GWT in marine clay; consider secant / grouting. ","")&amp;IF(AND(C29="Steel Sheet Pile",D29="Permanent"),"NOTE: permanent sheet pile needs corrosion allowance. ","")&amp;IF(AND(F29="Cantilever (no support)",E29&gt;6),"NOTE: cantilever embedded wall &gt; 6 m, check deflection. ","")&amp;IF(AND(S29&lt;&gt;"",T29&lt;&gt;"",S29&gt;T29),"FAIL: deflection exceeds allowable. ","")))</f>
        <v/>
      </c>
      <c r="AR29" s="9"/>
      <c r="AS29" s="9"/>
      <c r="AT29" s="9"/>
      <c r="AU29" s="9"/>
      <c r="AV29" s="9"/>
      <c r="AW29" s="31"/>
      <c r="AX29" s="10" t="str">
        <f aca="false">IF(C29="","",IF(AND(Y29="Approved",ISERROR(SEARCH("FAIL",AQ29))),"Y","N"))</f>
        <v/>
      </c>
      <c r="AY29" s="10" t="str">
        <f aca="false">IF(C29="","",C29&amp;"|"&amp;E29&amp;"|"&amp;F29&amp;"|"&amp;G29&amp;"|"&amp;D29&amp;"|"&amp;AX29)</f>
        <v/>
      </c>
    </row>
    <row r="30" customFormat="false" ht="15" hidden="false" customHeight="false" outlineLevel="0" collapsed="false">
      <c r="A30" s="10" t="str">
        <f aca="false">IF(C30="","","EW-"&amp;IFERROR(VLOOKUP(C30,Lists!$P$4:$Q$22,2,0),"??")&amp;"-D"&amp;TEXT(E30*1000,"0000")&amp;"-"&amp;IFERROR(VLOOKUP(F30,Lists!$S$4:$T$21,2,0),"??")&amp;"-"&amp;IFERROR(VLOOKUP(G30,Lists!$Y$4:$Z$21,2,0),"??")&amp;"-"&amp;IFERROR(VLOOKUP(D30,Lists!$V$4:$W$16,2,0),"??")&amp;"-"&amp;X30)</f>
        <v/>
      </c>
      <c r="B30" s="10" t="str">
        <f aca="false">IF(C30="","",D30&amp;" "&amp;C30&amp;", excavation "&amp;TEXT(E30,"0.0")&amp;" m, "&amp;F30&amp;", "&amp;G30&amp;", "&amp;J30)</f>
        <v/>
      </c>
      <c r="C30" s="9"/>
      <c r="D30" s="9"/>
      <c r="E30" s="43"/>
      <c r="F30" s="9"/>
      <c r="G30" s="9"/>
      <c r="H30" s="43"/>
      <c r="I30" s="40"/>
      <c r="J30" s="9"/>
      <c r="K30" s="9"/>
      <c r="L30" s="9"/>
      <c r="M30" s="43"/>
      <c r="N30" s="43"/>
      <c r="O30" s="9"/>
      <c r="P30" s="9"/>
      <c r="Q30" s="9"/>
      <c r="R30" s="9"/>
      <c r="S30" s="40"/>
      <c r="T30" s="40"/>
      <c r="U30" s="9"/>
      <c r="V30" s="9"/>
      <c r="W30" s="9"/>
      <c r="X30" s="9"/>
      <c r="Y30" s="9"/>
      <c r="Z30" s="9"/>
      <c r="AA30" s="9"/>
      <c r="AB30" s="9"/>
      <c r="AC30" s="10" t="str">
        <f aca="false">IF(A30="","",SG_Criteria!$B$6&amp;SG_Criteria!$B$9&amp;"\"&amp;A30&amp;"\")</f>
        <v/>
      </c>
      <c r="AD30" s="10" t="str">
        <f aca="false">IF(A30="","",A30&amp;"_CAD.dwg")</f>
        <v/>
      </c>
      <c r="AE30" s="10" t="str">
        <f aca="false">IF(A30="","",A30&amp;"_DWG.pdf")</f>
        <v/>
      </c>
      <c r="AF30" s="10" t="str">
        <f aca="false">IF(A30="","",IF(AB30="Y",A30&amp;"_STAAD.std","n/a"))</f>
        <v/>
      </c>
      <c r="AG30" s="10" t="str">
        <f aca="false">IF(A30="","",A30&amp;"_CALC.xlsx")</f>
        <v/>
      </c>
      <c r="AH30" s="10" t="str">
        <f aca="false">IF(A30="","",A30&amp;"_CALC.pdf")</f>
        <v/>
      </c>
      <c r="AI30" s="9"/>
      <c r="AJ30" s="9"/>
      <c r="AK30" s="41"/>
      <c r="AL30" s="41"/>
      <c r="AM30" s="41"/>
      <c r="AN30" s="41"/>
      <c r="AO30" s="41"/>
      <c r="AP30" s="38" t="str">
        <f aca="false">IF(OR(C30="",E30=""),"",IF(E30&lt;=IF(C30="Soldier Pile &amp; Timber Lagging",SG_Criteria!$B$34,SG_Criteria!$B$33),"No ERSS submission",IF(E30&lt;=SG_Criteria!$B$35,"QP(ST)",IF(E30&lt;=SG_Criteria!$B$36,"QP(ST) + AC","Geotechnical building works: QP(Geo) + AC"))))</f>
        <v/>
      </c>
      <c r="AQ30" s="38" t="str">
        <f aca="false">IF(C30="","",IF(LEN(IF(AND(U30&lt;&gt;"",IFERROR(VALUE(MID(U30,2,2)),0)&lt;SG_Criteria!$B$19),"FAIL: grade below C"&amp;SG_Criteria!$B$19&amp;". ","")&amp;IF(AND(LEFT(C30,3)="Con",N(H30)&lt;E30,G30="Kallang Formation (marine clay)"),"NOTE: CBP is not watertight below GWT in marine clay; consider secant / grouting. ","")&amp;IF(AND(C30="Steel Sheet Pile",D30="Permanent"),"NOTE: permanent sheet pile needs corrosion allowance. ","")&amp;IF(AND(F30="Cantilever (no support)",E30&gt;6),"NOTE: cantilever embedded wall &gt; 6 m, check deflection. ","")&amp;IF(AND(S30&lt;&gt;"",T30&lt;&gt;"",S30&gt;T30),"FAIL: deflection exceeds allowable. ",""))=0,"OK",IF(AND(U30&lt;&gt;"",IFERROR(VALUE(MID(U30,2,2)),0)&lt;SG_Criteria!$B$19),"FAIL: grade below C"&amp;SG_Criteria!$B$19&amp;". ","")&amp;IF(AND(LEFT(C30,3)="Con",N(H30)&lt;E30,G30="Kallang Formation (marine clay)"),"NOTE: CBP is not watertight below GWT in marine clay; consider secant / grouting. ","")&amp;IF(AND(C30="Steel Sheet Pile",D30="Permanent"),"NOTE: permanent sheet pile needs corrosion allowance. ","")&amp;IF(AND(F30="Cantilever (no support)",E30&gt;6),"NOTE: cantilever embedded wall &gt; 6 m, check deflection. ","")&amp;IF(AND(S30&lt;&gt;"",T30&lt;&gt;"",S30&gt;T30),"FAIL: deflection exceeds allowable. ","")))</f>
        <v/>
      </c>
      <c r="AR30" s="9"/>
      <c r="AS30" s="9"/>
      <c r="AT30" s="9"/>
      <c r="AU30" s="9"/>
      <c r="AV30" s="9"/>
      <c r="AW30" s="31"/>
      <c r="AX30" s="10" t="str">
        <f aca="false">IF(C30="","",IF(AND(Y30="Approved",ISERROR(SEARCH("FAIL",AQ30))),"Y","N"))</f>
        <v/>
      </c>
      <c r="AY30" s="10" t="str">
        <f aca="false">IF(C30="","",C30&amp;"|"&amp;E30&amp;"|"&amp;F30&amp;"|"&amp;G30&amp;"|"&amp;D30&amp;"|"&amp;AX30)</f>
        <v/>
      </c>
    </row>
    <row r="31" customFormat="false" ht="15" hidden="false" customHeight="false" outlineLevel="0" collapsed="false">
      <c r="A31" s="10" t="str">
        <f aca="false">IF(C31="","","EW-"&amp;IFERROR(VLOOKUP(C31,Lists!$P$4:$Q$22,2,0),"??")&amp;"-D"&amp;TEXT(E31*1000,"0000")&amp;"-"&amp;IFERROR(VLOOKUP(F31,Lists!$S$4:$T$21,2,0),"??")&amp;"-"&amp;IFERROR(VLOOKUP(G31,Lists!$Y$4:$Z$21,2,0),"??")&amp;"-"&amp;IFERROR(VLOOKUP(D31,Lists!$V$4:$W$16,2,0),"??")&amp;"-"&amp;X31)</f>
        <v/>
      </c>
      <c r="B31" s="10" t="str">
        <f aca="false">IF(C31="","",D31&amp;" "&amp;C31&amp;", excavation "&amp;TEXT(E31,"0.0")&amp;" m, "&amp;F31&amp;", "&amp;G31&amp;", "&amp;J31)</f>
        <v/>
      </c>
      <c r="C31" s="9"/>
      <c r="D31" s="9"/>
      <c r="E31" s="43"/>
      <c r="F31" s="9"/>
      <c r="G31" s="9"/>
      <c r="H31" s="43"/>
      <c r="I31" s="40"/>
      <c r="J31" s="9"/>
      <c r="K31" s="9"/>
      <c r="L31" s="9"/>
      <c r="M31" s="43"/>
      <c r="N31" s="43"/>
      <c r="O31" s="9"/>
      <c r="P31" s="9"/>
      <c r="Q31" s="9"/>
      <c r="R31" s="9"/>
      <c r="S31" s="40"/>
      <c r="T31" s="40"/>
      <c r="U31" s="9"/>
      <c r="V31" s="9"/>
      <c r="W31" s="9"/>
      <c r="X31" s="9"/>
      <c r="Y31" s="9"/>
      <c r="Z31" s="9"/>
      <c r="AA31" s="9"/>
      <c r="AB31" s="9"/>
      <c r="AC31" s="10" t="str">
        <f aca="false">IF(A31="","",SG_Criteria!$B$6&amp;SG_Criteria!$B$9&amp;"\"&amp;A31&amp;"\")</f>
        <v/>
      </c>
      <c r="AD31" s="10" t="str">
        <f aca="false">IF(A31="","",A31&amp;"_CAD.dwg")</f>
        <v/>
      </c>
      <c r="AE31" s="10" t="str">
        <f aca="false">IF(A31="","",A31&amp;"_DWG.pdf")</f>
        <v/>
      </c>
      <c r="AF31" s="10" t="str">
        <f aca="false">IF(A31="","",IF(AB31="Y",A31&amp;"_STAAD.std","n/a"))</f>
        <v/>
      </c>
      <c r="AG31" s="10" t="str">
        <f aca="false">IF(A31="","",A31&amp;"_CALC.xlsx")</f>
        <v/>
      </c>
      <c r="AH31" s="10" t="str">
        <f aca="false">IF(A31="","",A31&amp;"_CALC.pdf")</f>
        <v/>
      </c>
      <c r="AI31" s="9"/>
      <c r="AJ31" s="9"/>
      <c r="AK31" s="41"/>
      <c r="AL31" s="41"/>
      <c r="AM31" s="41"/>
      <c r="AN31" s="41"/>
      <c r="AO31" s="41"/>
      <c r="AP31" s="38" t="str">
        <f aca="false">IF(OR(C31="",E31=""),"",IF(E31&lt;=IF(C31="Soldier Pile &amp; Timber Lagging",SG_Criteria!$B$34,SG_Criteria!$B$33),"No ERSS submission",IF(E31&lt;=SG_Criteria!$B$35,"QP(ST)",IF(E31&lt;=SG_Criteria!$B$36,"QP(ST) + AC","Geotechnical building works: QP(Geo) + AC"))))</f>
        <v/>
      </c>
      <c r="AQ31" s="38" t="str">
        <f aca="false">IF(C31="","",IF(LEN(IF(AND(U31&lt;&gt;"",IFERROR(VALUE(MID(U31,2,2)),0)&lt;SG_Criteria!$B$19),"FAIL: grade below C"&amp;SG_Criteria!$B$19&amp;". ","")&amp;IF(AND(LEFT(C31,3)="Con",N(H31)&lt;E31,G31="Kallang Formation (marine clay)"),"NOTE: CBP is not watertight below GWT in marine clay; consider secant / grouting. ","")&amp;IF(AND(C31="Steel Sheet Pile",D31="Permanent"),"NOTE: permanent sheet pile needs corrosion allowance. ","")&amp;IF(AND(F31="Cantilever (no support)",E31&gt;6),"NOTE: cantilever embedded wall &gt; 6 m, check deflection. ","")&amp;IF(AND(S31&lt;&gt;"",T31&lt;&gt;"",S31&gt;T31),"FAIL: deflection exceeds allowable. ",""))=0,"OK",IF(AND(U31&lt;&gt;"",IFERROR(VALUE(MID(U31,2,2)),0)&lt;SG_Criteria!$B$19),"FAIL: grade below C"&amp;SG_Criteria!$B$19&amp;". ","")&amp;IF(AND(LEFT(C31,3)="Con",N(H31)&lt;E31,G31="Kallang Formation (marine clay)"),"NOTE: CBP is not watertight below GWT in marine clay; consider secant / grouting. ","")&amp;IF(AND(C31="Steel Sheet Pile",D31="Permanent"),"NOTE: permanent sheet pile needs corrosion allowance. ","")&amp;IF(AND(F31="Cantilever (no support)",E31&gt;6),"NOTE: cantilever embedded wall &gt; 6 m, check deflection. ","")&amp;IF(AND(S31&lt;&gt;"",T31&lt;&gt;"",S31&gt;T31),"FAIL: deflection exceeds allowable. ","")))</f>
        <v/>
      </c>
      <c r="AR31" s="9"/>
      <c r="AS31" s="9"/>
      <c r="AT31" s="9"/>
      <c r="AU31" s="9"/>
      <c r="AV31" s="9"/>
      <c r="AW31" s="31"/>
      <c r="AX31" s="10" t="str">
        <f aca="false">IF(C31="","",IF(AND(Y31="Approved",ISERROR(SEARCH("FAIL",AQ31))),"Y","N"))</f>
        <v/>
      </c>
      <c r="AY31" s="10" t="str">
        <f aca="false">IF(C31="","",C31&amp;"|"&amp;E31&amp;"|"&amp;F31&amp;"|"&amp;G31&amp;"|"&amp;D31&amp;"|"&amp;AX31)</f>
        <v/>
      </c>
    </row>
    <row r="32" customFormat="false" ht="15" hidden="false" customHeight="false" outlineLevel="0" collapsed="false">
      <c r="A32" s="10" t="str">
        <f aca="false">IF(C32="","","EW-"&amp;IFERROR(VLOOKUP(C32,Lists!$P$4:$Q$22,2,0),"??")&amp;"-D"&amp;TEXT(E32*1000,"0000")&amp;"-"&amp;IFERROR(VLOOKUP(F32,Lists!$S$4:$T$21,2,0),"??")&amp;"-"&amp;IFERROR(VLOOKUP(G32,Lists!$Y$4:$Z$21,2,0),"??")&amp;"-"&amp;IFERROR(VLOOKUP(D32,Lists!$V$4:$W$16,2,0),"??")&amp;"-"&amp;X32)</f>
        <v/>
      </c>
      <c r="B32" s="10" t="str">
        <f aca="false">IF(C32="","",D32&amp;" "&amp;C32&amp;", excavation "&amp;TEXT(E32,"0.0")&amp;" m, "&amp;F32&amp;", "&amp;G32&amp;", "&amp;J32)</f>
        <v/>
      </c>
      <c r="C32" s="9"/>
      <c r="D32" s="9"/>
      <c r="E32" s="43"/>
      <c r="F32" s="9"/>
      <c r="G32" s="9"/>
      <c r="H32" s="43"/>
      <c r="I32" s="40"/>
      <c r="J32" s="9"/>
      <c r="K32" s="9"/>
      <c r="L32" s="9"/>
      <c r="M32" s="43"/>
      <c r="N32" s="43"/>
      <c r="O32" s="9"/>
      <c r="P32" s="9"/>
      <c r="Q32" s="9"/>
      <c r="R32" s="9"/>
      <c r="S32" s="40"/>
      <c r="T32" s="40"/>
      <c r="U32" s="9"/>
      <c r="V32" s="9"/>
      <c r="W32" s="9"/>
      <c r="X32" s="9"/>
      <c r="Y32" s="9"/>
      <c r="Z32" s="9"/>
      <c r="AA32" s="9"/>
      <c r="AB32" s="9"/>
      <c r="AC32" s="10" t="str">
        <f aca="false">IF(A32="","",SG_Criteria!$B$6&amp;SG_Criteria!$B$9&amp;"\"&amp;A32&amp;"\")</f>
        <v/>
      </c>
      <c r="AD32" s="10" t="str">
        <f aca="false">IF(A32="","",A32&amp;"_CAD.dwg")</f>
        <v/>
      </c>
      <c r="AE32" s="10" t="str">
        <f aca="false">IF(A32="","",A32&amp;"_DWG.pdf")</f>
        <v/>
      </c>
      <c r="AF32" s="10" t="str">
        <f aca="false">IF(A32="","",IF(AB32="Y",A32&amp;"_STAAD.std","n/a"))</f>
        <v/>
      </c>
      <c r="AG32" s="10" t="str">
        <f aca="false">IF(A32="","",A32&amp;"_CALC.xlsx")</f>
        <v/>
      </c>
      <c r="AH32" s="10" t="str">
        <f aca="false">IF(A32="","",A32&amp;"_CALC.pdf")</f>
        <v/>
      </c>
      <c r="AI32" s="9"/>
      <c r="AJ32" s="9"/>
      <c r="AK32" s="41"/>
      <c r="AL32" s="41"/>
      <c r="AM32" s="41"/>
      <c r="AN32" s="41"/>
      <c r="AO32" s="41"/>
      <c r="AP32" s="38" t="str">
        <f aca="false">IF(OR(C32="",E32=""),"",IF(E32&lt;=IF(C32="Soldier Pile &amp; Timber Lagging",SG_Criteria!$B$34,SG_Criteria!$B$33),"No ERSS submission",IF(E32&lt;=SG_Criteria!$B$35,"QP(ST)",IF(E32&lt;=SG_Criteria!$B$36,"QP(ST) + AC","Geotechnical building works: QP(Geo) + AC"))))</f>
        <v/>
      </c>
      <c r="AQ32" s="38" t="str">
        <f aca="false">IF(C32="","",IF(LEN(IF(AND(U32&lt;&gt;"",IFERROR(VALUE(MID(U32,2,2)),0)&lt;SG_Criteria!$B$19),"FAIL: grade below C"&amp;SG_Criteria!$B$19&amp;". ","")&amp;IF(AND(LEFT(C32,3)="Con",N(H32)&lt;E32,G32="Kallang Formation (marine clay)"),"NOTE: CBP is not watertight below GWT in marine clay; consider secant / grouting. ","")&amp;IF(AND(C32="Steel Sheet Pile",D32="Permanent"),"NOTE: permanent sheet pile needs corrosion allowance. ","")&amp;IF(AND(F32="Cantilever (no support)",E32&gt;6),"NOTE: cantilever embedded wall &gt; 6 m, check deflection. ","")&amp;IF(AND(S32&lt;&gt;"",T32&lt;&gt;"",S32&gt;T32),"FAIL: deflection exceeds allowable. ",""))=0,"OK",IF(AND(U32&lt;&gt;"",IFERROR(VALUE(MID(U32,2,2)),0)&lt;SG_Criteria!$B$19),"FAIL: grade below C"&amp;SG_Criteria!$B$19&amp;". ","")&amp;IF(AND(LEFT(C32,3)="Con",N(H32)&lt;E32,G32="Kallang Formation (marine clay)"),"NOTE: CBP is not watertight below GWT in marine clay; consider secant / grouting. ","")&amp;IF(AND(C32="Steel Sheet Pile",D32="Permanent"),"NOTE: permanent sheet pile needs corrosion allowance. ","")&amp;IF(AND(F32="Cantilever (no support)",E32&gt;6),"NOTE: cantilever embedded wall &gt; 6 m, check deflection. ","")&amp;IF(AND(S32&lt;&gt;"",T32&lt;&gt;"",S32&gt;T32),"FAIL: deflection exceeds allowable. ","")))</f>
        <v/>
      </c>
      <c r="AR32" s="9"/>
      <c r="AS32" s="9"/>
      <c r="AT32" s="9"/>
      <c r="AU32" s="9"/>
      <c r="AV32" s="9"/>
      <c r="AW32" s="31"/>
      <c r="AX32" s="10" t="str">
        <f aca="false">IF(C32="","",IF(AND(Y32="Approved",ISERROR(SEARCH("FAIL",AQ32))),"Y","N"))</f>
        <v/>
      </c>
      <c r="AY32" s="10" t="str">
        <f aca="false">IF(C32="","",C32&amp;"|"&amp;E32&amp;"|"&amp;F32&amp;"|"&amp;G32&amp;"|"&amp;D32&amp;"|"&amp;AX32)</f>
        <v/>
      </c>
    </row>
    <row r="33" customFormat="false" ht="15" hidden="false" customHeight="false" outlineLevel="0" collapsed="false">
      <c r="A33" s="10" t="str">
        <f aca="false">IF(C33="","","EW-"&amp;IFERROR(VLOOKUP(C33,Lists!$P$4:$Q$22,2,0),"??")&amp;"-D"&amp;TEXT(E33*1000,"0000")&amp;"-"&amp;IFERROR(VLOOKUP(F33,Lists!$S$4:$T$21,2,0),"??")&amp;"-"&amp;IFERROR(VLOOKUP(G33,Lists!$Y$4:$Z$21,2,0),"??")&amp;"-"&amp;IFERROR(VLOOKUP(D33,Lists!$V$4:$W$16,2,0),"??")&amp;"-"&amp;X33)</f>
        <v/>
      </c>
      <c r="B33" s="10" t="str">
        <f aca="false">IF(C33="","",D33&amp;" "&amp;C33&amp;", excavation "&amp;TEXT(E33,"0.0")&amp;" m, "&amp;F33&amp;", "&amp;G33&amp;", "&amp;J33)</f>
        <v/>
      </c>
      <c r="C33" s="9"/>
      <c r="D33" s="9"/>
      <c r="E33" s="43"/>
      <c r="F33" s="9"/>
      <c r="G33" s="9"/>
      <c r="H33" s="43"/>
      <c r="I33" s="40"/>
      <c r="J33" s="9"/>
      <c r="K33" s="9"/>
      <c r="L33" s="9"/>
      <c r="M33" s="43"/>
      <c r="N33" s="43"/>
      <c r="O33" s="9"/>
      <c r="P33" s="9"/>
      <c r="Q33" s="9"/>
      <c r="R33" s="9"/>
      <c r="S33" s="40"/>
      <c r="T33" s="40"/>
      <c r="U33" s="9"/>
      <c r="V33" s="9"/>
      <c r="W33" s="9"/>
      <c r="X33" s="9"/>
      <c r="Y33" s="9"/>
      <c r="Z33" s="9"/>
      <c r="AA33" s="9"/>
      <c r="AB33" s="9"/>
      <c r="AC33" s="10" t="str">
        <f aca="false">IF(A33="","",SG_Criteria!$B$6&amp;SG_Criteria!$B$9&amp;"\"&amp;A33&amp;"\")</f>
        <v/>
      </c>
      <c r="AD33" s="10" t="str">
        <f aca="false">IF(A33="","",A33&amp;"_CAD.dwg")</f>
        <v/>
      </c>
      <c r="AE33" s="10" t="str">
        <f aca="false">IF(A33="","",A33&amp;"_DWG.pdf")</f>
        <v/>
      </c>
      <c r="AF33" s="10" t="str">
        <f aca="false">IF(A33="","",IF(AB33="Y",A33&amp;"_STAAD.std","n/a"))</f>
        <v/>
      </c>
      <c r="AG33" s="10" t="str">
        <f aca="false">IF(A33="","",A33&amp;"_CALC.xlsx")</f>
        <v/>
      </c>
      <c r="AH33" s="10" t="str">
        <f aca="false">IF(A33="","",A33&amp;"_CALC.pdf")</f>
        <v/>
      </c>
      <c r="AI33" s="9"/>
      <c r="AJ33" s="9"/>
      <c r="AK33" s="41"/>
      <c r="AL33" s="41"/>
      <c r="AM33" s="41"/>
      <c r="AN33" s="41"/>
      <c r="AO33" s="41"/>
      <c r="AP33" s="38" t="str">
        <f aca="false">IF(OR(C33="",E33=""),"",IF(E33&lt;=IF(C33="Soldier Pile &amp; Timber Lagging",SG_Criteria!$B$34,SG_Criteria!$B$33),"No ERSS submission",IF(E33&lt;=SG_Criteria!$B$35,"QP(ST)",IF(E33&lt;=SG_Criteria!$B$36,"QP(ST) + AC","Geotechnical building works: QP(Geo) + AC"))))</f>
        <v/>
      </c>
      <c r="AQ33" s="38" t="str">
        <f aca="false">IF(C33="","",IF(LEN(IF(AND(U33&lt;&gt;"",IFERROR(VALUE(MID(U33,2,2)),0)&lt;SG_Criteria!$B$19),"FAIL: grade below C"&amp;SG_Criteria!$B$19&amp;". ","")&amp;IF(AND(LEFT(C33,3)="Con",N(H33)&lt;E33,G33="Kallang Formation (marine clay)"),"NOTE: CBP is not watertight below GWT in marine clay; consider secant / grouting. ","")&amp;IF(AND(C33="Steel Sheet Pile",D33="Permanent"),"NOTE: permanent sheet pile needs corrosion allowance. ","")&amp;IF(AND(F33="Cantilever (no support)",E33&gt;6),"NOTE: cantilever embedded wall &gt; 6 m, check deflection. ","")&amp;IF(AND(S33&lt;&gt;"",T33&lt;&gt;"",S33&gt;T33),"FAIL: deflection exceeds allowable. ",""))=0,"OK",IF(AND(U33&lt;&gt;"",IFERROR(VALUE(MID(U33,2,2)),0)&lt;SG_Criteria!$B$19),"FAIL: grade below C"&amp;SG_Criteria!$B$19&amp;". ","")&amp;IF(AND(LEFT(C33,3)="Con",N(H33)&lt;E33,G33="Kallang Formation (marine clay)"),"NOTE: CBP is not watertight below GWT in marine clay; consider secant / grouting. ","")&amp;IF(AND(C33="Steel Sheet Pile",D33="Permanent"),"NOTE: permanent sheet pile needs corrosion allowance. ","")&amp;IF(AND(F33="Cantilever (no support)",E33&gt;6),"NOTE: cantilever embedded wall &gt; 6 m, check deflection. ","")&amp;IF(AND(S33&lt;&gt;"",T33&lt;&gt;"",S33&gt;T33),"FAIL: deflection exceeds allowable. ","")))</f>
        <v/>
      </c>
      <c r="AR33" s="9"/>
      <c r="AS33" s="9"/>
      <c r="AT33" s="9"/>
      <c r="AU33" s="9"/>
      <c r="AV33" s="9"/>
      <c r="AW33" s="31"/>
      <c r="AX33" s="10" t="str">
        <f aca="false">IF(C33="","",IF(AND(Y33="Approved",ISERROR(SEARCH("FAIL",AQ33))),"Y","N"))</f>
        <v/>
      </c>
      <c r="AY33" s="10" t="str">
        <f aca="false">IF(C33="","",C33&amp;"|"&amp;E33&amp;"|"&amp;F33&amp;"|"&amp;G33&amp;"|"&amp;D33&amp;"|"&amp;AX33)</f>
        <v/>
      </c>
    </row>
    <row r="34" customFormat="false" ht="15" hidden="false" customHeight="false" outlineLevel="0" collapsed="false">
      <c r="A34" s="10" t="str">
        <f aca="false">IF(C34="","","EW-"&amp;IFERROR(VLOOKUP(C34,Lists!$P$4:$Q$22,2,0),"??")&amp;"-D"&amp;TEXT(E34*1000,"0000")&amp;"-"&amp;IFERROR(VLOOKUP(F34,Lists!$S$4:$T$21,2,0),"??")&amp;"-"&amp;IFERROR(VLOOKUP(G34,Lists!$Y$4:$Z$21,2,0),"??")&amp;"-"&amp;IFERROR(VLOOKUP(D34,Lists!$V$4:$W$16,2,0),"??")&amp;"-"&amp;X34)</f>
        <v/>
      </c>
      <c r="B34" s="10" t="str">
        <f aca="false">IF(C34="","",D34&amp;" "&amp;C34&amp;", excavation "&amp;TEXT(E34,"0.0")&amp;" m, "&amp;F34&amp;", "&amp;G34&amp;", "&amp;J34)</f>
        <v/>
      </c>
      <c r="C34" s="9"/>
      <c r="D34" s="9"/>
      <c r="E34" s="43"/>
      <c r="F34" s="9"/>
      <c r="G34" s="9"/>
      <c r="H34" s="43"/>
      <c r="I34" s="40"/>
      <c r="J34" s="9"/>
      <c r="K34" s="9"/>
      <c r="L34" s="9"/>
      <c r="M34" s="43"/>
      <c r="N34" s="43"/>
      <c r="O34" s="9"/>
      <c r="P34" s="9"/>
      <c r="Q34" s="9"/>
      <c r="R34" s="9"/>
      <c r="S34" s="40"/>
      <c r="T34" s="40"/>
      <c r="U34" s="9"/>
      <c r="V34" s="9"/>
      <c r="W34" s="9"/>
      <c r="X34" s="9"/>
      <c r="Y34" s="9"/>
      <c r="Z34" s="9"/>
      <c r="AA34" s="9"/>
      <c r="AB34" s="9"/>
      <c r="AC34" s="10" t="str">
        <f aca="false">IF(A34="","",SG_Criteria!$B$6&amp;SG_Criteria!$B$9&amp;"\"&amp;A34&amp;"\")</f>
        <v/>
      </c>
      <c r="AD34" s="10" t="str">
        <f aca="false">IF(A34="","",A34&amp;"_CAD.dwg")</f>
        <v/>
      </c>
      <c r="AE34" s="10" t="str">
        <f aca="false">IF(A34="","",A34&amp;"_DWG.pdf")</f>
        <v/>
      </c>
      <c r="AF34" s="10" t="str">
        <f aca="false">IF(A34="","",IF(AB34="Y",A34&amp;"_STAAD.std","n/a"))</f>
        <v/>
      </c>
      <c r="AG34" s="10" t="str">
        <f aca="false">IF(A34="","",A34&amp;"_CALC.xlsx")</f>
        <v/>
      </c>
      <c r="AH34" s="10" t="str">
        <f aca="false">IF(A34="","",A34&amp;"_CALC.pdf")</f>
        <v/>
      </c>
      <c r="AI34" s="9"/>
      <c r="AJ34" s="9"/>
      <c r="AK34" s="41"/>
      <c r="AL34" s="41"/>
      <c r="AM34" s="41"/>
      <c r="AN34" s="41"/>
      <c r="AO34" s="41"/>
      <c r="AP34" s="38" t="str">
        <f aca="false">IF(OR(C34="",E34=""),"",IF(E34&lt;=IF(C34="Soldier Pile &amp; Timber Lagging",SG_Criteria!$B$34,SG_Criteria!$B$33),"No ERSS submission",IF(E34&lt;=SG_Criteria!$B$35,"QP(ST)",IF(E34&lt;=SG_Criteria!$B$36,"QP(ST) + AC","Geotechnical building works: QP(Geo) + AC"))))</f>
        <v/>
      </c>
      <c r="AQ34" s="38" t="str">
        <f aca="false">IF(C34="","",IF(LEN(IF(AND(U34&lt;&gt;"",IFERROR(VALUE(MID(U34,2,2)),0)&lt;SG_Criteria!$B$19),"FAIL: grade below C"&amp;SG_Criteria!$B$19&amp;". ","")&amp;IF(AND(LEFT(C34,3)="Con",N(H34)&lt;E34,G34="Kallang Formation (marine clay)"),"NOTE: CBP is not watertight below GWT in marine clay; consider secant / grouting. ","")&amp;IF(AND(C34="Steel Sheet Pile",D34="Permanent"),"NOTE: permanent sheet pile needs corrosion allowance. ","")&amp;IF(AND(F34="Cantilever (no support)",E34&gt;6),"NOTE: cantilever embedded wall &gt; 6 m, check deflection. ","")&amp;IF(AND(S34&lt;&gt;"",T34&lt;&gt;"",S34&gt;T34),"FAIL: deflection exceeds allowable. ",""))=0,"OK",IF(AND(U34&lt;&gt;"",IFERROR(VALUE(MID(U34,2,2)),0)&lt;SG_Criteria!$B$19),"FAIL: grade below C"&amp;SG_Criteria!$B$19&amp;". ","")&amp;IF(AND(LEFT(C34,3)="Con",N(H34)&lt;E34,G34="Kallang Formation (marine clay)"),"NOTE: CBP is not watertight below GWT in marine clay; consider secant / grouting. ","")&amp;IF(AND(C34="Steel Sheet Pile",D34="Permanent"),"NOTE: permanent sheet pile needs corrosion allowance. ","")&amp;IF(AND(F34="Cantilever (no support)",E34&gt;6),"NOTE: cantilever embedded wall &gt; 6 m, check deflection. ","")&amp;IF(AND(S34&lt;&gt;"",T34&lt;&gt;"",S34&gt;T34),"FAIL: deflection exceeds allowable. ","")))</f>
        <v/>
      </c>
      <c r="AR34" s="9"/>
      <c r="AS34" s="9"/>
      <c r="AT34" s="9"/>
      <c r="AU34" s="9"/>
      <c r="AV34" s="9"/>
      <c r="AW34" s="31"/>
      <c r="AX34" s="10" t="str">
        <f aca="false">IF(C34="","",IF(AND(Y34="Approved",ISERROR(SEARCH("FAIL",AQ34))),"Y","N"))</f>
        <v/>
      </c>
      <c r="AY34" s="10" t="str">
        <f aca="false">IF(C34="","",C34&amp;"|"&amp;E34&amp;"|"&amp;F34&amp;"|"&amp;G34&amp;"|"&amp;D34&amp;"|"&amp;AX34)</f>
        <v/>
      </c>
    </row>
    <row r="35" customFormat="false" ht="15" hidden="false" customHeight="false" outlineLevel="0" collapsed="false">
      <c r="A35" s="10" t="str">
        <f aca="false">IF(C35="","","EW-"&amp;IFERROR(VLOOKUP(C35,Lists!$P$4:$Q$22,2,0),"??")&amp;"-D"&amp;TEXT(E35*1000,"0000")&amp;"-"&amp;IFERROR(VLOOKUP(F35,Lists!$S$4:$T$21,2,0),"??")&amp;"-"&amp;IFERROR(VLOOKUP(G35,Lists!$Y$4:$Z$21,2,0),"??")&amp;"-"&amp;IFERROR(VLOOKUP(D35,Lists!$V$4:$W$16,2,0),"??")&amp;"-"&amp;X35)</f>
        <v/>
      </c>
      <c r="B35" s="10" t="str">
        <f aca="false">IF(C35="","",D35&amp;" "&amp;C35&amp;", excavation "&amp;TEXT(E35,"0.0")&amp;" m, "&amp;F35&amp;", "&amp;G35&amp;", "&amp;J35)</f>
        <v/>
      </c>
      <c r="C35" s="9"/>
      <c r="D35" s="9"/>
      <c r="E35" s="43"/>
      <c r="F35" s="9"/>
      <c r="G35" s="9"/>
      <c r="H35" s="43"/>
      <c r="I35" s="40"/>
      <c r="J35" s="9"/>
      <c r="K35" s="9"/>
      <c r="L35" s="9"/>
      <c r="M35" s="43"/>
      <c r="N35" s="43"/>
      <c r="O35" s="9"/>
      <c r="P35" s="9"/>
      <c r="Q35" s="9"/>
      <c r="R35" s="9"/>
      <c r="S35" s="40"/>
      <c r="T35" s="40"/>
      <c r="U35" s="9"/>
      <c r="V35" s="9"/>
      <c r="W35" s="9"/>
      <c r="X35" s="9"/>
      <c r="Y35" s="9"/>
      <c r="Z35" s="9"/>
      <c r="AA35" s="9"/>
      <c r="AB35" s="9"/>
      <c r="AC35" s="10" t="str">
        <f aca="false">IF(A35="","",SG_Criteria!$B$6&amp;SG_Criteria!$B$9&amp;"\"&amp;A35&amp;"\")</f>
        <v/>
      </c>
      <c r="AD35" s="10" t="str">
        <f aca="false">IF(A35="","",A35&amp;"_CAD.dwg")</f>
        <v/>
      </c>
      <c r="AE35" s="10" t="str">
        <f aca="false">IF(A35="","",A35&amp;"_DWG.pdf")</f>
        <v/>
      </c>
      <c r="AF35" s="10" t="str">
        <f aca="false">IF(A35="","",IF(AB35="Y",A35&amp;"_STAAD.std","n/a"))</f>
        <v/>
      </c>
      <c r="AG35" s="10" t="str">
        <f aca="false">IF(A35="","",A35&amp;"_CALC.xlsx")</f>
        <v/>
      </c>
      <c r="AH35" s="10" t="str">
        <f aca="false">IF(A35="","",A35&amp;"_CALC.pdf")</f>
        <v/>
      </c>
      <c r="AI35" s="9"/>
      <c r="AJ35" s="9"/>
      <c r="AK35" s="41"/>
      <c r="AL35" s="41"/>
      <c r="AM35" s="41"/>
      <c r="AN35" s="41"/>
      <c r="AO35" s="41"/>
      <c r="AP35" s="38" t="str">
        <f aca="false">IF(OR(C35="",E35=""),"",IF(E35&lt;=IF(C35="Soldier Pile &amp; Timber Lagging",SG_Criteria!$B$34,SG_Criteria!$B$33),"No ERSS submission",IF(E35&lt;=SG_Criteria!$B$35,"QP(ST)",IF(E35&lt;=SG_Criteria!$B$36,"QP(ST) + AC","Geotechnical building works: QP(Geo) + AC"))))</f>
        <v/>
      </c>
      <c r="AQ35" s="38" t="str">
        <f aca="false">IF(C35="","",IF(LEN(IF(AND(U35&lt;&gt;"",IFERROR(VALUE(MID(U35,2,2)),0)&lt;SG_Criteria!$B$19),"FAIL: grade below C"&amp;SG_Criteria!$B$19&amp;". ","")&amp;IF(AND(LEFT(C35,3)="Con",N(H35)&lt;E35,G35="Kallang Formation (marine clay)"),"NOTE: CBP is not watertight below GWT in marine clay; consider secant / grouting. ","")&amp;IF(AND(C35="Steel Sheet Pile",D35="Permanent"),"NOTE: permanent sheet pile needs corrosion allowance. ","")&amp;IF(AND(F35="Cantilever (no support)",E35&gt;6),"NOTE: cantilever embedded wall &gt; 6 m, check deflection. ","")&amp;IF(AND(S35&lt;&gt;"",T35&lt;&gt;"",S35&gt;T35),"FAIL: deflection exceeds allowable. ",""))=0,"OK",IF(AND(U35&lt;&gt;"",IFERROR(VALUE(MID(U35,2,2)),0)&lt;SG_Criteria!$B$19),"FAIL: grade below C"&amp;SG_Criteria!$B$19&amp;". ","")&amp;IF(AND(LEFT(C35,3)="Con",N(H35)&lt;E35,G35="Kallang Formation (marine clay)"),"NOTE: CBP is not watertight below GWT in marine clay; consider secant / grouting. ","")&amp;IF(AND(C35="Steel Sheet Pile",D35="Permanent"),"NOTE: permanent sheet pile needs corrosion allowance. ","")&amp;IF(AND(F35="Cantilever (no support)",E35&gt;6),"NOTE: cantilever embedded wall &gt; 6 m, check deflection. ","")&amp;IF(AND(S35&lt;&gt;"",T35&lt;&gt;"",S35&gt;T35),"FAIL: deflection exceeds allowable. ","")))</f>
        <v/>
      </c>
      <c r="AR35" s="9"/>
      <c r="AS35" s="9"/>
      <c r="AT35" s="9"/>
      <c r="AU35" s="9"/>
      <c r="AV35" s="9"/>
      <c r="AW35" s="31"/>
      <c r="AX35" s="10" t="str">
        <f aca="false">IF(C35="","",IF(AND(Y35="Approved",ISERROR(SEARCH("FAIL",AQ35))),"Y","N"))</f>
        <v/>
      </c>
      <c r="AY35" s="10" t="str">
        <f aca="false">IF(C35="","",C35&amp;"|"&amp;E35&amp;"|"&amp;F35&amp;"|"&amp;G35&amp;"|"&amp;D35&amp;"|"&amp;AX35)</f>
        <v/>
      </c>
    </row>
    <row r="36" customFormat="false" ht="15" hidden="false" customHeight="false" outlineLevel="0" collapsed="false">
      <c r="A36" s="10" t="str">
        <f aca="false">IF(C36="","","EW-"&amp;IFERROR(VLOOKUP(C36,Lists!$P$4:$Q$22,2,0),"??")&amp;"-D"&amp;TEXT(E36*1000,"0000")&amp;"-"&amp;IFERROR(VLOOKUP(F36,Lists!$S$4:$T$21,2,0),"??")&amp;"-"&amp;IFERROR(VLOOKUP(G36,Lists!$Y$4:$Z$21,2,0),"??")&amp;"-"&amp;IFERROR(VLOOKUP(D36,Lists!$V$4:$W$16,2,0),"??")&amp;"-"&amp;X36)</f>
        <v/>
      </c>
      <c r="B36" s="10" t="str">
        <f aca="false">IF(C36="","",D36&amp;" "&amp;C36&amp;", excavation "&amp;TEXT(E36,"0.0")&amp;" m, "&amp;F36&amp;", "&amp;G36&amp;", "&amp;J36)</f>
        <v/>
      </c>
      <c r="C36" s="9"/>
      <c r="D36" s="9"/>
      <c r="E36" s="43"/>
      <c r="F36" s="9"/>
      <c r="G36" s="9"/>
      <c r="H36" s="43"/>
      <c r="I36" s="40"/>
      <c r="J36" s="9"/>
      <c r="K36" s="9"/>
      <c r="L36" s="9"/>
      <c r="M36" s="43"/>
      <c r="N36" s="43"/>
      <c r="O36" s="9"/>
      <c r="P36" s="9"/>
      <c r="Q36" s="9"/>
      <c r="R36" s="9"/>
      <c r="S36" s="40"/>
      <c r="T36" s="40"/>
      <c r="U36" s="9"/>
      <c r="V36" s="9"/>
      <c r="W36" s="9"/>
      <c r="X36" s="9"/>
      <c r="Y36" s="9"/>
      <c r="Z36" s="9"/>
      <c r="AA36" s="9"/>
      <c r="AB36" s="9"/>
      <c r="AC36" s="10" t="str">
        <f aca="false">IF(A36="","",SG_Criteria!$B$6&amp;SG_Criteria!$B$9&amp;"\"&amp;A36&amp;"\")</f>
        <v/>
      </c>
      <c r="AD36" s="10" t="str">
        <f aca="false">IF(A36="","",A36&amp;"_CAD.dwg")</f>
        <v/>
      </c>
      <c r="AE36" s="10" t="str">
        <f aca="false">IF(A36="","",A36&amp;"_DWG.pdf")</f>
        <v/>
      </c>
      <c r="AF36" s="10" t="str">
        <f aca="false">IF(A36="","",IF(AB36="Y",A36&amp;"_STAAD.std","n/a"))</f>
        <v/>
      </c>
      <c r="AG36" s="10" t="str">
        <f aca="false">IF(A36="","",A36&amp;"_CALC.xlsx")</f>
        <v/>
      </c>
      <c r="AH36" s="10" t="str">
        <f aca="false">IF(A36="","",A36&amp;"_CALC.pdf")</f>
        <v/>
      </c>
      <c r="AI36" s="9"/>
      <c r="AJ36" s="9"/>
      <c r="AK36" s="41"/>
      <c r="AL36" s="41"/>
      <c r="AM36" s="41"/>
      <c r="AN36" s="41"/>
      <c r="AO36" s="41"/>
      <c r="AP36" s="38" t="str">
        <f aca="false">IF(OR(C36="",E36=""),"",IF(E36&lt;=IF(C36="Soldier Pile &amp; Timber Lagging",SG_Criteria!$B$34,SG_Criteria!$B$33),"No ERSS submission",IF(E36&lt;=SG_Criteria!$B$35,"QP(ST)",IF(E36&lt;=SG_Criteria!$B$36,"QP(ST) + AC","Geotechnical building works: QP(Geo) + AC"))))</f>
        <v/>
      </c>
      <c r="AQ36" s="38" t="str">
        <f aca="false">IF(C36="","",IF(LEN(IF(AND(U36&lt;&gt;"",IFERROR(VALUE(MID(U36,2,2)),0)&lt;SG_Criteria!$B$19),"FAIL: grade below C"&amp;SG_Criteria!$B$19&amp;". ","")&amp;IF(AND(LEFT(C36,3)="Con",N(H36)&lt;E36,G36="Kallang Formation (marine clay)"),"NOTE: CBP is not watertight below GWT in marine clay; consider secant / grouting. ","")&amp;IF(AND(C36="Steel Sheet Pile",D36="Permanent"),"NOTE: permanent sheet pile needs corrosion allowance. ","")&amp;IF(AND(F36="Cantilever (no support)",E36&gt;6),"NOTE: cantilever embedded wall &gt; 6 m, check deflection. ","")&amp;IF(AND(S36&lt;&gt;"",T36&lt;&gt;"",S36&gt;T36),"FAIL: deflection exceeds allowable. ",""))=0,"OK",IF(AND(U36&lt;&gt;"",IFERROR(VALUE(MID(U36,2,2)),0)&lt;SG_Criteria!$B$19),"FAIL: grade below C"&amp;SG_Criteria!$B$19&amp;". ","")&amp;IF(AND(LEFT(C36,3)="Con",N(H36)&lt;E36,G36="Kallang Formation (marine clay)"),"NOTE: CBP is not watertight below GWT in marine clay; consider secant / grouting. ","")&amp;IF(AND(C36="Steel Sheet Pile",D36="Permanent"),"NOTE: permanent sheet pile needs corrosion allowance. ","")&amp;IF(AND(F36="Cantilever (no support)",E36&gt;6),"NOTE: cantilever embedded wall &gt; 6 m, check deflection. ","")&amp;IF(AND(S36&lt;&gt;"",T36&lt;&gt;"",S36&gt;T36),"FAIL: deflection exceeds allowable. ","")))</f>
        <v/>
      </c>
      <c r="AR36" s="9"/>
      <c r="AS36" s="9"/>
      <c r="AT36" s="9"/>
      <c r="AU36" s="9"/>
      <c r="AV36" s="9"/>
      <c r="AW36" s="31"/>
      <c r="AX36" s="10" t="str">
        <f aca="false">IF(C36="","",IF(AND(Y36="Approved",ISERROR(SEARCH("FAIL",AQ36))),"Y","N"))</f>
        <v/>
      </c>
      <c r="AY36" s="10" t="str">
        <f aca="false">IF(C36="","",C36&amp;"|"&amp;E36&amp;"|"&amp;F36&amp;"|"&amp;G36&amp;"|"&amp;D36&amp;"|"&amp;AX36)</f>
        <v/>
      </c>
    </row>
    <row r="37" customFormat="false" ht="15" hidden="false" customHeight="false" outlineLevel="0" collapsed="false">
      <c r="A37" s="10" t="str">
        <f aca="false">IF(C37="","","EW-"&amp;IFERROR(VLOOKUP(C37,Lists!$P$4:$Q$22,2,0),"??")&amp;"-D"&amp;TEXT(E37*1000,"0000")&amp;"-"&amp;IFERROR(VLOOKUP(F37,Lists!$S$4:$T$21,2,0),"??")&amp;"-"&amp;IFERROR(VLOOKUP(G37,Lists!$Y$4:$Z$21,2,0),"??")&amp;"-"&amp;IFERROR(VLOOKUP(D37,Lists!$V$4:$W$16,2,0),"??")&amp;"-"&amp;X37)</f>
        <v/>
      </c>
      <c r="B37" s="10" t="str">
        <f aca="false">IF(C37="","",D37&amp;" "&amp;C37&amp;", excavation "&amp;TEXT(E37,"0.0")&amp;" m, "&amp;F37&amp;", "&amp;G37&amp;", "&amp;J37)</f>
        <v/>
      </c>
      <c r="C37" s="9"/>
      <c r="D37" s="9"/>
      <c r="E37" s="43"/>
      <c r="F37" s="9"/>
      <c r="G37" s="9"/>
      <c r="H37" s="43"/>
      <c r="I37" s="40"/>
      <c r="J37" s="9"/>
      <c r="K37" s="9"/>
      <c r="L37" s="9"/>
      <c r="M37" s="43"/>
      <c r="N37" s="43"/>
      <c r="O37" s="9"/>
      <c r="P37" s="9"/>
      <c r="Q37" s="9"/>
      <c r="R37" s="9"/>
      <c r="S37" s="40"/>
      <c r="T37" s="40"/>
      <c r="U37" s="9"/>
      <c r="V37" s="9"/>
      <c r="W37" s="9"/>
      <c r="X37" s="9"/>
      <c r="Y37" s="9"/>
      <c r="Z37" s="9"/>
      <c r="AA37" s="9"/>
      <c r="AB37" s="9"/>
      <c r="AC37" s="10" t="str">
        <f aca="false">IF(A37="","",SG_Criteria!$B$6&amp;SG_Criteria!$B$9&amp;"\"&amp;A37&amp;"\")</f>
        <v/>
      </c>
      <c r="AD37" s="10" t="str">
        <f aca="false">IF(A37="","",A37&amp;"_CAD.dwg")</f>
        <v/>
      </c>
      <c r="AE37" s="10" t="str">
        <f aca="false">IF(A37="","",A37&amp;"_DWG.pdf")</f>
        <v/>
      </c>
      <c r="AF37" s="10" t="str">
        <f aca="false">IF(A37="","",IF(AB37="Y",A37&amp;"_STAAD.std","n/a"))</f>
        <v/>
      </c>
      <c r="AG37" s="10" t="str">
        <f aca="false">IF(A37="","",A37&amp;"_CALC.xlsx")</f>
        <v/>
      </c>
      <c r="AH37" s="10" t="str">
        <f aca="false">IF(A37="","",A37&amp;"_CALC.pdf")</f>
        <v/>
      </c>
      <c r="AI37" s="9"/>
      <c r="AJ37" s="9"/>
      <c r="AK37" s="41"/>
      <c r="AL37" s="41"/>
      <c r="AM37" s="41"/>
      <c r="AN37" s="41"/>
      <c r="AO37" s="41"/>
      <c r="AP37" s="38" t="str">
        <f aca="false">IF(OR(C37="",E37=""),"",IF(E37&lt;=IF(C37="Soldier Pile &amp; Timber Lagging",SG_Criteria!$B$34,SG_Criteria!$B$33),"No ERSS submission",IF(E37&lt;=SG_Criteria!$B$35,"QP(ST)",IF(E37&lt;=SG_Criteria!$B$36,"QP(ST) + AC","Geotechnical building works: QP(Geo) + AC"))))</f>
        <v/>
      </c>
      <c r="AQ37" s="38" t="str">
        <f aca="false">IF(C37="","",IF(LEN(IF(AND(U37&lt;&gt;"",IFERROR(VALUE(MID(U37,2,2)),0)&lt;SG_Criteria!$B$19),"FAIL: grade below C"&amp;SG_Criteria!$B$19&amp;". ","")&amp;IF(AND(LEFT(C37,3)="Con",N(H37)&lt;E37,G37="Kallang Formation (marine clay)"),"NOTE: CBP is not watertight below GWT in marine clay; consider secant / grouting. ","")&amp;IF(AND(C37="Steel Sheet Pile",D37="Permanent"),"NOTE: permanent sheet pile needs corrosion allowance. ","")&amp;IF(AND(F37="Cantilever (no support)",E37&gt;6),"NOTE: cantilever embedded wall &gt; 6 m, check deflection. ","")&amp;IF(AND(S37&lt;&gt;"",T37&lt;&gt;"",S37&gt;T37),"FAIL: deflection exceeds allowable. ",""))=0,"OK",IF(AND(U37&lt;&gt;"",IFERROR(VALUE(MID(U37,2,2)),0)&lt;SG_Criteria!$B$19),"FAIL: grade below C"&amp;SG_Criteria!$B$19&amp;". ","")&amp;IF(AND(LEFT(C37,3)="Con",N(H37)&lt;E37,G37="Kallang Formation (marine clay)"),"NOTE: CBP is not watertight below GWT in marine clay; consider secant / grouting. ","")&amp;IF(AND(C37="Steel Sheet Pile",D37="Permanent"),"NOTE: permanent sheet pile needs corrosion allowance. ","")&amp;IF(AND(F37="Cantilever (no support)",E37&gt;6),"NOTE: cantilever embedded wall &gt; 6 m, check deflection. ","")&amp;IF(AND(S37&lt;&gt;"",T37&lt;&gt;"",S37&gt;T37),"FAIL: deflection exceeds allowable. ","")))</f>
        <v/>
      </c>
      <c r="AR37" s="9"/>
      <c r="AS37" s="9"/>
      <c r="AT37" s="9"/>
      <c r="AU37" s="9"/>
      <c r="AV37" s="9"/>
      <c r="AW37" s="31"/>
      <c r="AX37" s="10" t="str">
        <f aca="false">IF(C37="","",IF(AND(Y37="Approved",ISERROR(SEARCH("FAIL",AQ37))),"Y","N"))</f>
        <v/>
      </c>
      <c r="AY37" s="10" t="str">
        <f aca="false">IF(C37="","",C37&amp;"|"&amp;E37&amp;"|"&amp;F37&amp;"|"&amp;G37&amp;"|"&amp;D37&amp;"|"&amp;AX37)</f>
        <v/>
      </c>
    </row>
    <row r="38" customFormat="false" ht="15" hidden="false" customHeight="false" outlineLevel="0" collapsed="false">
      <c r="A38" s="10" t="str">
        <f aca="false">IF(C38="","","EW-"&amp;IFERROR(VLOOKUP(C38,Lists!$P$4:$Q$22,2,0),"??")&amp;"-D"&amp;TEXT(E38*1000,"0000")&amp;"-"&amp;IFERROR(VLOOKUP(F38,Lists!$S$4:$T$21,2,0),"??")&amp;"-"&amp;IFERROR(VLOOKUP(G38,Lists!$Y$4:$Z$21,2,0),"??")&amp;"-"&amp;IFERROR(VLOOKUP(D38,Lists!$V$4:$W$16,2,0),"??")&amp;"-"&amp;X38)</f>
        <v/>
      </c>
      <c r="B38" s="10" t="str">
        <f aca="false">IF(C38="","",D38&amp;" "&amp;C38&amp;", excavation "&amp;TEXT(E38,"0.0")&amp;" m, "&amp;F38&amp;", "&amp;G38&amp;", "&amp;J38)</f>
        <v/>
      </c>
      <c r="C38" s="9"/>
      <c r="D38" s="9"/>
      <c r="E38" s="43"/>
      <c r="F38" s="9"/>
      <c r="G38" s="9"/>
      <c r="H38" s="43"/>
      <c r="I38" s="40"/>
      <c r="J38" s="9"/>
      <c r="K38" s="9"/>
      <c r="L38" s="9"/>
      <c r="M38" s="43"/>
      <c r="N38" s="43"/>
      <c r="O38" s="9"/>
      <c r="P38" s="9"/>
      <c r="Q38" s="9"/>
      <c r="R38" s="9"/>
      <c r="S38" s="40"/>
      <c r="T38" s="40"/>
      <c r="U38" s="9"/>
      <c r="V38" s="9"/>
      <c r="W38" s="9"/>
      <c r="X38" s="9"/>
      <c r="Y38" s="9"/>
      <c r="Z38" s="9"/>
      <c r="AA38" s="9"/>
      <c r="AB38" s="9"/>
      <c r="AC38" s="10" t="str">
        <f aca="false">IF(A38="","",SG_Criteria!$B$6&amp;SG_Criteria!$B$9&amp;"\"&amp;A38&amp;"\")</f>
        <v/>
      </c>
      <c r="AD38" s="10" t="str">
        <f aca="false">IF(A38="","",A38&amp;"_CAD.dwg")</f>
        <v/>
      </c>
      <c r="AE38" s="10" t="str">
        <f aca="false">IF(A38="","",A38&amp;"_DWG.pdf")</f>
        <v/>
      </c>
      <c r="AF38" s="10" t="str">
        <f aca="false">IF(A38="","",IF(AB38="Y",A38&amp;"_STAAD.std","n/a"))</f>
        <v/>
      </c>
      <c r="AG38" s="10" t="str">
        <f aca="false">IF(A38="","",A38&amp;"_CALC.xlsx")</f>
        <v/>
      </c>
      <c r="AH38" s="10" t="str">
        <f aca="false">IF(A38="","",A38&amp;"_CALC.pdf")</f>
        <v/>
      </c>
      <c r="AI38" s="9"/>
      <c r="AJ38" s="9"/>
      <c r="AK38" s="41"/>
      <c r="AL38" s="41"/>
      <c r="AM38" s="41"/>
      <c r="AN38" s="41"/>
      <c r="AO38" s="41"/>
      <c r="AP38" s="38" t="str">
        <f aca="false">IF(OR(C38="",E38=""),"",IF(E38&lt;=IF(C38="Soldier Pile &amp; Timber Lagging",SG_Criteria!$B$34,SG_Criteria!$B$33),"No ERSS submission",IF(E38&lt;=SG_Criteria!$B$35,"QP(ST)",IF(E38&lt;=SG_Criteria!$B$36,"QP(ST) + AC","Geotechnical building works: QP(Geo) + AC"))))</f>
        <v/>
      </c>
      <c r="AQ38" s="38" t="str">
        <f aca="false">IF(C38="","",IF(LEN(IF(AND(U38&lt;&gt;"",IFERROR(VALUE(MID(U38,2,2)),0)&lt;SG_Criteria!$B$19),"FAIL: grade below C"&amp;SG_Criteria!$B$19&amp;". ","")&amp;IF(AND(LEFT(C38,3)="Con",N(H38)&lt;E38,G38="Kallang Formation (marine clay)"),"NOTE: CBP is not watertight below GWT in marine clay; consider secant / grouting. ","")&amp;IF(AND(C38="Steel Sheet Pile",D38="Permanent"),"NOTE: permanent sheet pile needs corrosion allowance. ","")&amp;IF(AND(F38="Cantilever (no support)",E38&gt;6),"NOTE: cantilever embedded wall &gt; 6 m, check deflection. ","")&amp;IF(AND(S38&lt;&gt;"",T38&lt;&gt;"",S38&gt;T38),"FAIL: deflection exceeds allowable. ",""))=0,"OK",IF(AND(U38&lt;&gt;"",IFERROR(VALUE(MID(U38,2,2)),0)&lt;SG_Criteria!$B$19),"FAIL: grade below C"&amp;SG_Criteria!$B$19&amp;". ","")&amp;IF(AND(LEFT(C38,3)="Con",N(H38)&lt;E38,G38="Kallang Formation (marine clay)"),"NOTE: CBP is not watertight below GWT in marine clay; consider secant / grouting. ","")&amp;IF(AND(C38="Steel Sheet Pile",D38="Permanent"),"NOTE: permanent sheet pile needs corrosion allowance. ","")&amp;IF(AND(F38="Cantilever (no support)",E38&gt;6),"NOTE: cantilever embedded wall &gt; 6 m, check deflection. ","")&amp;IF(AND(S38&lt;&gt;"",T38&lt;&gt;"",S38&gt;T38),"FAIL: deflection exceeds allowable. ","")))</f>
        <v/>
      </c>
      <c r="AR38" s="9"/>
      <c r="AS38" s="9"/>
      <c r="AT38" s="9"/>
      <c r="AU38" s="9"/>
      <c r="AV38" s="9"/>
      <c r="AW38" s="31"/>
      <c r="AX38" s="10" t="str">
        <f aca="false">IF(C38="","",IF(AND(Y38="Approved",ISERROR(SEARCH("FAIL",AQ38))),"Y","N"))</f>
        <v/>
      </c>
      <c r="AY38" s="10" t="str">
        <f aca="false">IF(C38="","",C38&amp;"|"&amp;E38&amp;"|"&amp;F38&amp;"|"&amp;G38&amp;"|"&amp;D38&amp;"|"&amp;AX38)</f>
        <v/>
      </c>
    </row>
    <row r="39" customFormat="false" ht="15" hidden="false" customHeight="false" outlineLevel="0" collapsed="false">
      <c r="A39" s="10" t="str">
        <f aca="false">IF(C39="","","EW-"&amp;IFERROR(VLOOKUP(C39,Lists!$P$4:$Q$22,2,0),"??")&amp;"-D"&amp;TEXT(E39*1000,"0000")&amp;"-"&amp;IFERROR(VLOOKUP(F39,Lists!$S$4:$T$21,2,0),"??")&amp;"-"&amp;IFERROR(VLOOKUP(G39,Lists!$Y$4:$Z$21,2,0),"??")&amp;"-"&amp;IFERROR(VLOOKUP(D39,Lists!$V$4:$W$16,2,0),"??")&amp;"-"&amp;X39)</f>
        <v/>
      </c>
      <c r="B39" s="10" t="str">
        <f aca="false">IF(C39="","",D39&amp;" "&amp;C39&amp;", excavation "&amp;TEXT(E39,"0.0")&amp;" m, "&amp;F39&amp;", "&amp;G39&amp;", "&amp;J39)</f>
        <v/>
      </c>
      <c r="C39" s="9"/>
      <c r="D39" s="9"/>
      <c r="E39" s="43"/>
      <c r="F39" s="9"/>
      <c r="G39" s="9"/>
      <c r="H39" s="43"/>
      <c r="I39" s="40"/>
      <c r="J39" s="9"/>
      <c r="K39" s="9"/>
      <c r="L39" s="9"/>
      <c r="M39" s="43"/>
      <c r="N39" s="43"/>
      <c r="O39" s="9"/>
      <c r="P39" s="9"/>
      <c r="Q39" s="9"/>
      <c r="R39" s="9"/>
      <c r="S39" s="40"/>
      <c r="T39" s="40"/>
      <c r="U39" s="9"/>
      <c r="V39" s="9"/>
      <c r="W39" s="9"/>
      <c r="X39" s="9"/>
      <c r="Y39" s="9"/>
      <c r="Z39" s="9"/>
      <c r="AA39" s="9"/>
      <c r="AB39" s="9"/>
      <c r="AC39" s="10" t="str">
        <f aca="false">IF(A39="","",SG_Criteria!$B$6&amp;SG_Criteria!$B$9&amp;"\"&amp;A39&amp;"\")</f>
        <v/>
      </c>
      <c r="AD39" s="10" t="str">
        <f aca="false">IF(A39="","",A39&amp;"_CAD.dwg")</f>
        <v/>
      </c>
      <c r="AE39" s="10" t="str">
        <f aca="false">IF(A39="","",A39&amp;"_DWG.pdf")</f>
        <v/>
      </c>
      <c r="AF39" s="10" t="str">
        <f aca="false">IF(A39="","",IF(AB39="Y",A39&amp;"_STAAD.std","n/a"))</f>
        <v/>
      </c>
      <c r="AG39" s="10" t="str">
        <f aca="false">IF(A39="","",A39&amp;"_CALC.xlsx")</f>
        <v/>
      </c>
      <c r="AH39" s="10" t="str">
        <f aca="false">IF(A39="","",A39&amp;"_CALC.pdf")</f>
        <v/>
      </c>
      <c r="AI39" s="9"/>
      <c r="AJ39" s="9"/>
      <c r="AK39" s="41"/>
      <c r="AL39" s="41"/>
      <c r="AM39" s="41"/>
      <c r="AN39" s="41"/>
      <c r="AO39" s="41"/>
      <c r="AP39" s="38" t="str">
        <f aca="false">IF(OR(C39="",E39=""),"",IF(E39&lt;=IF(C39="Soldier Pile &amp; Timber Lagging",SG_Criteria!$B$34,SG_Criteria!$B$33),"No ERSS submission",IF(E39&lt;=SG_Criteria!$B$35,"QP(ST)",IF(E39&lt;=SG_Criteria!$B$36,"QP(ST) + AC","Geotechnical building works: QP(Geo) + AC"))))</f>
        <v/>
      </c>
      <c r="AQ39" s="38" t="str">
        <f aca="false">IF(C39="","",IF(LEN(IF(AND(U39&lt;&gt;"",IFERROR(VALUE(MID(U39,2,2)),0)&lt;SG_Criteria!$B$19),"FAIL: grade below C"&amp;SG_Criteria!$B$19&amp;". ","")&amp;IF(AND(LEFT(C39,3)="Con",N(H39)&lt;E39,G39="Kallang Formation (marine clay)"),"NOTE: CBP is not watertight below GWT in marine clay; consider secant / grouting. ","")&amp;IF(AND(C39="Steel Sheet Pile",D39="Permanent"),"NOTE: permanent sheet pile needs corrosion allowance. ","")&amp;IF(AND(F39="Cantilever (no support)",E39&gt;6),"NOTE: cantilever embedded wall &gt; 6 m, check deflection. ","")&amp;IF(AND(S39&lt;&gt;"",T39&lt;&gt;"",S39&gt;T39),"FAIL: deflection exceeds allowable. ",""))=0,"OK",IF(AND(U39&lt;&gt;"",IFERROR(VALUE(MID(U39,2,2)),0)&lt;SG_Criteria!$B$19),"FAIL: grade below C"&amp;SG_Criteria!$B$19&amp;". ","")&amp;IF(AND(LEFT(C39,3)="Con",N(H39)&lt;E39,G39="Kallang Formation (marine clay)"),"NOTE: CBP is not watertight below GWT in marine clay; consider secant / grouting. ","")&amp;IF(AND(C39="Steel Sheet Pile",D39="Permanent"),"NOTE: permanent sheet pile needs corrosion allowance. ","")&amp;IF(AND(F39="Cantilever (no support)",E39&gt;6),"NOTE: cantilever embedded wall &gt; 6 m, check deflection. ","")&amp;IF(AND(S39&lt;&gt;"",T39&lt;&gt;"",S39&gt;T39),"FAIL: deflection exceeds allowable. ","")))</f>
        <v/>
      </c>
      <c r="AR39" s="9"/>
      <c r="AS39" s="9"/>
      <c r="AT39" s="9"/>
      <c r="AU39" s="9"/>
      <c r="AV39" s="9"/>
      <c r="AW39" s="31"/>
      <c r="AX39" s="10" t="str">
        <f aca="false">IF(C39="","",IF(AND(Y39="Approved",ISERROR(SEARCH("FAIL",AQ39))),"Y","N"))</f>
        <v/>
      </c>
      <c r="AY39" s="10" t="str">
        <f aca="false">IF(C39="","",C39&amp;"|"&amp;E39&amp;"|"&amp;F39&amp;"|"&amp;G39&amp;"|"&amp;D39&amp;"|"&amp;AX39)</f>
        <v/>
      </c>
    </row>
    <row r="40" customFormat="false" ht="15" hidden="false" customHeight="false" outlineLevel="0" collapsed="false">
      <c r="A40" s="10" t="str">
        <f aca="false">IF(C40="","","EW-"&amp;IFERROR(VLOOKUP(C40,Lists!$P$4:$Q$22,2,0),"??")&amp;"-D"&amp;TEXT(E40*1000,"0000")&amp;"-"&amp;IFERROR(VLOOKUP(F40,Lists!$S$4:$T$21,2,0),"??")&amp;"-"&amp;IFERROR(VLOOKUP(G40,Lists!$Y$4:$Z$21,2,0),"??")&amp;"-"&amp;IFERROR(VLOOKUP(D40,Lists!$V$4:$W$16,2,0),"??")&amp;"-"&amp;X40)</f>
        <v/>
      </c>
      <c r="B40" s="10" t="str">
        <f aca="false">IF(C40="","",D40&amp;" "&amp;C40&amp;", excavation "&amp;TEXT(E40,"0.0")&amp;" m, "&amp;F40&amp;", "&amp;G40&amp;", "&amp;J40)</f>
        <v/>
      </c>
      <c r="C40" s="9"/>
      <c r="D40" s="9"/>
      <c r="E40" s="43"/>
      <c r="F40" s="9"/>
      <c r="G40" s="9"/>
      <c r="H40" s="43"/>
      <c r="I40" s="40"/>
      <c r="J40" s="9"/>
      <c r="K40" s="9"/>
      <c r="L40" s="9"/>
      <c r="M40" s="43"/>
      <c r="N40" s="43"/>
      <c r="O40" s="9"/>
      <c r="P40" s="9"/>
      <c r="Q40" s="9"/>
      <c r="R40" s="9"/>
      <c r="S40" s="40"/>
      <c r="T40" s="40"/>
      <c r="U40" s="9"/>
      <c r="V40" s="9"/>
      <c r="W40" s="9"/>
      <c r="X40" s="9"/>
      <c r="Y40" s="9"/>
      <c r="Z40" s="9"/>
      <c r="AA40" s="9"/>
      <c r="AB40" s="9"/>
      <c r="AC40" s="10" t="str">
        <f aca="false">IF(A40="","",SG_Criteria!$B$6&amp;SG_Criteria!$B$9&amp;"\"&amp;A40&amp;"\")</f>
        <v/>
      </c>
      <c r="AD40" s="10" t="str">
        <f aca="false">IF(A40="","",A40&amp;"_CAD.dwg")</f>
        <v/>
      </c>
      <c r="AE40" s="10" t="str">
        <f aca="false">IF(A40="","",A40&amp;"_DWG.pdf")</f>
        <v/>
      </c>
      <c r="AF40" s="10" t="str">
        <f aca="false">IF(A40="","",IF(AB40="Y",A40&amp;"_STAAD.std","n/a"))</f>
        <v/>
      </c>
      <c r="AG40" s="10" t="str">
        <f aca="false">IF(A40="","",A40&amp;"_CALC.xlsx")</f>
        <v/>
      </c>
      <c r="AH40" s="10" t="str">
        <f aca="false">IF(A40="","",A40&amp;"_CALC.pdf")</f>
        <v/>
      </c>
      <c r="AI40" s="9"/>
      <c r="AJ40" s="9"/>
      <c r="AK40" s="41"/>
      <c r="AL40" s="41"/>
      <c r="AM40" s="41"/>
      <c r="AN40" s="41"/>
      <c r="AO40" s="41"/>
      <c r="AP40" s="38" t="str">
        <f aca="false">IF(OR(C40="",E40=""),"",IF(E40&lt;=IF(C40="Soldier Pile &amp; Timber Lagging",SG_Criteria!$B$34,SG_Criteria!$B$33),"No ERSS submission",IF(E40&lt;=SG_Criteria!$B$35,"QP(ST)",IF(E40&lt;=SG_Criteria!$B$36,"QP(ST) + AC","Geotechnical building works: QP(Geo) + AC"))))</f>
        <v/>
      </c>
      <c r="AQ40" s="38" t="str">
        <f aca="false">IF(C40="","",IF(LEN(IF(AND(U40&lt;&gt;"",IFERROR(VALUE(MID(U40,2,2)),0)&lt;SG_Criteria!$B$19),"FAIL: grade below C"&amp;SG_Criteria!$B$19&amp;". ","")&amp;IF(AND(LEFT(C40,3)="Con",N(H40)&lt;E40,G40="Kallang Formation (marine clay)"),"NOTE: CBP is not watertight below GWT in marine clay; consider secant / grouting. ","")&amp;IF(AND(C40="Steel Sheet Pile",D40="Permanent"),"NOTE: permanent sheet pile needs corrosion allowance. ","")&amp;IF(AND(F40="Cantilever (no support)",E40&gt;6),"NOTE: cantilever embedded wall &gt; 6 m, check deflection. ","")&amp;IF(AND(S40&lt;&gt;"",T40&lt;&gt;"",S40&gt;T40),"FAIL: deflection exceeds allowable. ",""))=0,"OK",IF(AND(U40&lt;&gt;"",IFERROR(VALUE(MID(U40,2,2)),0)&lt;SG_Criteria!$B$19),"FAIL: grade below C"&amp;SG_Criteria!$B$19&amp;". ","")&amp;IF(AND(LEFT(C40,3)="Con",N(H40)&lt;E40,G40="Kallang Formation (marine clay)"),"NOTE: CBP is not watertight below GWT in marine clay; consider secant / grouting. ","")&amp;IF(AND(C40="Steel Sheet Pile",D40="Permanent"),"NOTE: permanent sheet pile needs corrosion allowance. ","")&amp;IF(AND(F40="Cantilever (no support)",E40&gt;6),"NOTE: cantilever embedded wall &gt; 6 m, check deflection. ","")&amp;IF(AND(S40&lt;&gt;"",T40&lt;&gt;"",S40&gt;T40),"FAIL: deflection exceeds allowable. ","")))</f>
        <v/>
      </c>
      <c r="AR40" s="9"/>
      <c r="AS40" s="9"/>
      <c r="AT40" s="9"/>
      <c r="AU40" s="9"/>
      <c r="AV40" s="9"/>
      <c r="AW40" s="31"/>
      <c r="AX40" s="10" t="str">
        <f aca="false">IF(C40="","",IF(AND(Y40="Approved",ISERROR(SEARCH("FAIL",AQ40))),"Y","N"))</f>
        <v/>
      </c>
      <c r="AY40" s="10" t="str">
        <f aca="false">IF(C40="","",C40&amp;"|"&amp;E40&amp;"|"&amp;F40&amp;"|"&amp;G40&amp;"|"&amp;D40&amp;"|"&amp;AX40)</f>
        <v/>
      </c>
    </row>
    <row r="41" customFormat="false" ht="15" hidden="false" customHeight="false" outlineLevel="0" collapsed="false">
      <c r="A41" s="10" t="str">
        <f aca="false">IF(C41="","","EW-"&amp;IFERROR(VLOOKUP(C41,Lists!$P$4:$Q$22,2,0),"??")&amp;"-D"&amp;TEXT(E41*1000,"0000")&amp;"-"&amp;IFERROR(VLOOKUP(F41,Lists!$S$4:$T$21,2,0),"??")&amp;"-"&amp;IFERROR(VLOOKUP(G41,Lists!$Y$4:$Z$21,2,0),"??")&amp;"-"&amp;IFERROR(VLOOKUP(D41,Lists!$V$4:$W$16,2,0),"??")&amp;"-"&amp;X41)</f>
        <v/>
      </c>
      <c r="B41" s="10" t="str">
        <f aca="false">IF(C41="","",D41&amp;" "&amp;C41&amp;", excavation "&amp;TEXT(E41,"0.0")&amp;" m, "&amp;F41&amp;", "&amp;G41&amp;", "&amp;J41)</f>
        <v/>
      </c>
      <c r="C41" s="9"/>
      <c r="D41" s="9"/>
      <c r="E41" s="43"/>
      <c r="F41" s="9"/>
      <c r="G41" s="9"/>
      <c r="H41" s="43"/>
      <c r="I41" s="40"/>
      <c r="J41" s="9"/>
      <c r="K41" s="9"/>
      <c r="L41" s="9"/>
      <c r="M41" s="43"/>
      <c r="N41" s="43"/>
      <c r="O41" s="9"/>
      <c r="P41" s="9"/>
      <c r="Q41" s="9"/>
      <c r="R41" s="9"/>
      <c r="S41" s="40"/>
      <c r="T41" s="40"/>
      <c r="U41" s="9"/>
      <c r="V41" s="9"/>
      <c r="W41" s="9"/>
      <c r="X41" s="9"/>
      <c r="Y41" s="9"/>
      <c r="Z41" s="9"/>
      <c r="AA41" s="9"/>
      <c r="AB41" s="9"/>
      <c r="AC41" s="10" t="str">
        <f aca="false">IF(A41="","",SG_Criteria!$B$6&amp;SG_Criteria!$B$9&amp;"\"&amp;A41&amp;"\")</f>
        <v/>
      </c>
      <c r="AD41" s="10" t="str">
        <f aca="false">IF(A41="","",A41&amp;"_CAD.dwg")</f>
        <v/>
      </c>
      <c r="AE41" s="10" t="str">
        <f aca="false">IF(A41="","",A41&amp;"_DWG.pdf")</f>
        <v/>
      </c>
      <c r="AF41" s="10" t="str">
        <f aca="false">IF(A41="","",IF(AB41="Y",A41&amp;"_STAAD.std","n/a"))</f>
        <v/>
      </c>
      <c r="AG41" s="10" t="str">
        <f aca="false">IF(A41="","",A41&amp;"_CALC.xlsx")</f>
        <v/>
      </c>
      <c r="AH41" s="10" t="str">
        <f aca="false">IF(A41="","",A41&amp;"_CALC.pdf")</f>
        <v/>
      </c>
      <c r="AI41" s="9"/>
      <c r="AJ41" s="9"/>
      <c r="AK41" s="41"/>
      <c r="AL41" s="41"/>
      <c r="AM41" s="41"/>
      <c r="AN41" s="41"/>
      <c r="AO41" s="41"/>
      <c r="AP41" s="38" t="str">
        <f aca="false">IF(OR(C41="",E41=""),"",IF(E41&lt;=IF(C41="Soldier Pile &amp; Timber Lagging",SG_Criteria!$B$34,SG_Criteria!$B$33),"No ERSS submission",IF(E41&lt;=SG_Criteria!$B$35,"QP(ST)",IF(E41&lt;=SG_Criteria!$B$36,"QP(ST) + AC","Geotechnical building works: QP(Geo) + AC"))))</f>
        <v/>
      </c>
      <c r="AQ41" s="38" t="str">
        <f aca="false">IF(C41="","",IF(LEN(IF(AND(U41&lt;&gt;"",IFERROR(VALUE(MID(U41,2,2)),0)&lt;SG_Criteria!$B$19),"FAIL: grade below C"&amp;SG_Criteria!$B$19&amp;". ","")&amp;IF(AND(LEFT(C41,3)="Con",N(H41)&lt;E41,G41="Kallang Formation (marine clay)"),"NOTE: CBP is not watertight below GWT in marine clay; consider secant / grouting. ","")&amp;IF(AND(C41="Steel Sheet Pile",D41="Permanent"),"NOTE: permanent sheet pile needs corrosion allowance. ","")&amp;IF(AND(F41="Cantilever (no support)",E41&gt;6),"NOTE: cantilever embedded wall &gt; 6 m, check deflection. ","")&amp;IF(AND(S41&lt;&gt;"",T41&lt;&gt;"",S41&gt;T41),"FAIL: deflection exceeds allowable. ",""))=0,"OK",IF(AND(U41&lt;&gt;"",IFERROR(VALUE(MID(U41,2,2)),0)&lt;SG_Criteria!$B$19),"FAIL: grade below C"&amp;SG_Criteria!$B$19&amp;". ","")&amp;IF(AND(LEFT(C41,3)="Con",N(H41)&lt;E41,G41="Kallang Formation (marine clay)"),"NOTE: CBP is not watertight below GWT in marine clay; consider secant / grouting. ","")&amp;IF(AND(C41="Steel Sheet Pile",D41="Permanent"),"NOTE: permanent sheet pile needs corrosion allowance. ","")&amp;IF(AND(F41="Cantilever (no support)",E41&gt;6),"NOTE: cantilever embedded wall &gt; 6 m, check deflection. ","")&amp;IF(AND(S41&lt;&gt;"",T41&lt;&gt;"",S41&gt;T41),"FAIL: deflection exceeds allowable. ","")))</f>
        <v/>
      </c>
      <c r="AR41" s="9"/>
      <c r="AS41" s="9"/>
      <c r="AT41" s="9"/>
      <c r="AU41" s="9"/>
      <c r="AV41" s="9"/>
      <c r="AW41" s="31"/>
      <c r="AX41" s="10" t="str">
        <f aca="false">IF(C41="","",IF(AND(Y41="Approved",ISERROR(SEARCH("FAIL",AQ41))),"Y","N"))</f>
        <v/>
      </c>
      <c r="AY41" s="10" t="str">
        <f aca="false">IF(C41="","",C41&amp;"|"&amp;E41&amp;"|"&amp;F41&amp;"|"&amp;G41&amp;"|"&amp;D41&amp;"|"&amp;AX41)</f>
        <v/>
      </c>
    </row>
    <row r="42" customFormat="false" ht="15" hidden="false" customHeight="false" outlineLevel="0" collapsed="false">
      <c r="A42" s="10" t="str">
        <f aca="false">IF(C42="","","EW-"&amp;IFERROR(VLOOKUP(C42,Lists!$P$4:$Q$22,2,0),"??")&amp;"-D"&amp;TEXT(E42*1000,"0000")&amp;"-"&amp;IFERROR(VLOOKUP(F42,Lists!$S$4:$T$21,2,0),"??")&amp;"-"&amp;IFERROR(VLOOKUP(G42,Lists!$Y$4:$Z$21,2,0),"??")&amp;"-"&amp;IFERROR(VLOOKUP(D42,Lists!$V$4:$W$16,2,0),"??")&amp;"-"&amp;X42)</f>
        <v/>
      </c>
      <c r="B42" s="10" t="str">
        <f aca="false">IF(C42="","",D42&amp;" "&amp;C42&amp;", excavation "&amp;TEXT(E42,"0.0")&amp;" m, "&amp;F42&amp;", "&amp;G42&amp;", "&amp;J42)</f>
        <v/>
      </c>
      <c r="C42" s="9"/>
      <c r="D42" s="9"/>
      <c r="E42" s="43"/>
      <c r="F42" s="9"/>
      <c r="G42" s="9"/>
      <c r="H42" s="43"/>
      <c r="I42" s="40"/>
      <c r="J42" s="9"/>
      <c r="K42" s="9"/>
      <c r="L42" s="9"/>
      <c r="M42" s="43"/>
      <c r="N42" s="43"/>
      <c r="O42" s="9"/>
      <c r="P42" s="9"/>
      <c r="Q42" s="9"/>
      <c r="R42" s="9"/>
      <c r="S42" s="40"/>
      <c r="T42" s="40"/>
      <c r="U42" s="9"/>
      <c r="V42" s="9"/>
      <c r="W42" s="9"/>
      <c r="X42" s="9"/>
      <c r="Y42" s="9"/>
      <c r="Z42" s="9"/>
      <c r="AA42" s="9"/>
      <c r="AB42" s="9"/>
      <c r="AC42" s="10" t="str">
        <f aca="false">IF(A42="","",SG_Criteria!$B$6&amp;SG_Criteria!$B$9&amp;"\"&amp;A42&amp;"\")</f>
        <v/>
      </c>
      <c r="AD42" s="10" t="str">
        <f aca="false">IF(A42="","",A42&amp;"_CAD.dwg")</f>
        <v/>
      </c>
      <c r="AE42" s="10" t="str">
        <f aca="false">IF(A42="","",A42&amp;"_DWG.pdf")</f>
        <v/>
      </c>
      <c r="AF42" s="10" t="str">
        <f aca="false">IF(A42="","",IF(AB42="Y",A42&amp;"_STAAD.std","n/a"))</f>
        <v/>
      </c>
      <c r="AG42" s="10" t="str">
        <f aca="false">IF(A42="","",A42&amp;"_CALC.xlsx")</f>
        <v/>
      </c>
      <c r="AH42" s="10" t="str">
        <f aca="false">IF(A42="","",A42&amp;"_CALC.pdf")</f>
        <v/>
      </c>
      <c r="AI42" s="9"/>
      <c r="AJ42" s="9"/>
      <c r="AK42" s="41"/>
      <c r="AL42" s="41"/>
      <c r="AM42" s="41"/>
      <c r="AN42" s="41"/>
      <c r="AO42" s="41"/>
      <c r="AP42" s="38" t="str">
        <f aca="false">IF(OR(C42="",E42=""),"",IF(E42&lt;=IF(C42="Soldier Pile &amp; Timber Lagging",SG_Criteria!$B$34,SG_Criteria!$B$33),"No ERSS submission",IF(E42&lt;=SG_Criteria!$B$35,"QP(ST)",IF(E42&lt;=SG_Criteria!$B$36,"QP(ST) + AC","Geotechnical building works: QP(Geo) + AC"))))</f>
        <v/>
      </c>
      <c r="AQ42" s="38" t="str">
        <f aca="false">IF(C42="","",IF(LEN(IF(AND(U42&lt;&gt;"",IFERROR(VALUE(MID(U42,2,2)),0)&lt;SG_Criteria!$B$19),"FAIL: grade below C"&amp;SG_Criteria!$B$19&amp;". ","")&amp;IF(AND(LEFT(C42,3)="Con",N(H42)&lt;E42,G42="Kallang Formation (marine clay)"),"NOTE: CBP is not watertight below GWT in marine clay; consider secant / grouting. ","")&amp;IF(AND(C42="Steel Sheet Pile",D42="Permanent"),"NOTE: permanent sheet pile needs corrosion allowance. ","")&amp;IF(AND(F42="Cantilever (no support)",E42&gt;6),"NOTE: cantilever embedded wall &gt; 6 m, check deflection. ","")&amp;IF(AND(S42&lt;&gt;"",T42&lt;&gt;"",S42&gt;T42),"FAIL: deflection exceeds allowable. ",""))=0,"OK",IF(AND(U42&lt;&gt;"",IFERROR(VALUE(MID(U42,2,2)),0)&lt;SG_Criteria!$B$19),"FAIL: grade below C"&amp;SG_Criteria!$B$19&amp;". ","")&amp;IF(AND(LEFT(C42,3)="Con",N(H42)&lt;E42,G42="Kallang Formation (marine clay)"),"NOTE: CBP is not watertight below GWT in marine clay; consider secant / grouting. ","")&amp;IF(AND(C42="Steel Sheet Pile",D42="Permanent"),"NOTE: permanent sheet pile needs corrosion allowance. ","")&amp;IF(AND(F42="Cantilever (no support)",E42&gt;6),"NOTE: cantilever embedded wall &gt; 6 m, check deflection. ","")&amp;IF(AND(S42&lt;&gt;"",T42&lt;&gt;"",S42&gt;T42),"FAIL: deflection exceeds allowable. ","")))</f>
        <v/>
      </c>
      <c r="AR42" s="9"/>
      <c r="AS42" s="9"/>
      <c r="AT42" s="9"/>
      <c r="AU42" s="9"/>
      <c r="AV42" s="9"/>
      <c r="AW42" s="31"/>
      <c r="AX42" s="10" t="str">
        <f aca="false">IF(C42="","",IF(AND(Y42="Approved",ISERROR(SEARCH("FAIL",AQ42))),"Y","N"))</f>
        <v/>
      </c>
      <c r="AY42" s="10" t="str">
        <f aca="false">IF(C42="","",C42&amp;"|"&amp;E42&amp;"|"&amp;F42&amp;"|"&amp;G42&amp;"|"&amp;D42&amp;"|"&amp;AX42)</f>
        <v/>
      </c>
    </row>
    <row r="43" customFormat="false" ht="15" hidden="false" customHeight="false" outlineLevel="0" collapsed="false">
      <c r="A43" s="10" t="str">
        <f aca="false">IF(C43="","","EW-"&amp;IFERROR(VLOOKUP(C43,Lists!$P$4:$Q$22,2,0),"??")&amp;"-D"&amp;TEXT(E43*1000,"0000")&amp;"-"&amp;IFERROR(VLOOKUP(F43,Lists!$S$4:$T$21,2,0),"??")&amp;"-"&amp;IFERROR(VLOOKUP(G43,Lists!$Y$4:$Z$21,2,0),"??")&amp;"-"&amp;IFERROR(VLOOKUP(D43,Lists!$V$4:$W$16,2,0),"??")&amp;"-"&amp;X43)</f>
        <v/>
      </c>
      <c r="B43" s="10" t="str">
        <f aca="false">IF(C43="","",D43&amp;" "&amp;C43&amp;", excavation "&amp;TEXT(E43,"0.0")&amp;" m, "&amp;F43&amp;", "&amp;G43&amp;", "&amp;J43)</f>
        <v/>
      </c>
      <c r="C43" s="9"/>
      <c r="D43" s="9"/>
      <c r="E43" s="43"/>
      <c r="F43" s="9"/>
      <c r="G43" s="9"/>
      <c r="H43" s="43"/>
      <c r="I43" s="40"/>
      <c r="J43" s="9"/>
      <c r="K43" s="9"/>
      <c r="L43" s="9"/>
      <c r="M43" s="43"/>
      <c r="N43" s="43"/>
      <c r="O43" s="9"/>
      <c r="P43" s="9"/>
      <c r="Q43" s="9"/>
      <c r="R43" s="9"/>
      <c r="S43" s="40"/>
      <c r="T43" s="40"/>
      <c r="U43" s="9"/>
      <c r="V43" s="9"/>
      <c r="W43" s="9"/>
      <c r="X43" s="9"/>
      <c r="Y43" s="9"/>
      <c r="Z43" s="9"/>
      <c r="AA43" s="9"/>
      <c r="AB43" s="9"/>
      <c r="AC43" s="10" t="str">
        <f aca="false">IF(A43="","",SG_Criteria!$B$6&amp;SG_Criteria!$B$9&amp;"\"&amp;A43&amp;"\")</f>
        <v/>
      </c>
      <c r="AD43" s="10" t="str">
        <f aca="false">IF(A43="","",A43&amp;"_CAD.dwg")</f>
        <v/>
      </c>
      <c r="AE43" s="10" t="str">
        <f aca="false">IF(A43="","",A43&amp;"_DWG.pdf")</f>
        <v/>
      </c>
      <c r="AF43" s="10" t="str">
        <f aca="false">IF(A43="","",IF(AB43="Y",A43&amp;"_STAAD.std","n/a"))</f>
        <v/>
      </c>
      <c r="AG43" s="10" t="str">
        <f aca="false">IF(A43="","",A43&amp;"_CALC.xlsx")</f>
        <v/>
      </c>
      <c r="AH43" s="10" t="str">
        <f aca="false">IF(A43="","",A43&amp;"_CALC.pdf")</f>
        <v/>
      </c>
      <c r="AI43" s="9"/>
      <c r="AJ43" s="9"/>
      <c r="AK43" s="41"/>
      <c r="AL43" s="41"/>
      <c r="AM43" s="41"/>
      <c r="AN43" s="41"/>
      <c r="AO43" s="41"/>
      <c r="AP43" s="38" t="str">
        <f aca="false">IF(OR(C43="",E43=""),"",IF(E43&lt;=IF(C43="Soldier Pile &amp; Timber Lagging",SG_Criteria!$B$34,SG_Criteria!$B$33),"No ERSS submission",IF(E43&lt;=SG_Criteria!$B$35,"QP(ST)",IF(E43&lt;=SG_Criteria!$B$36,"QP(ST) + AC","Geotechnical building works: QP(Geo) + AC"))))</f>
        <v/>
      </c>
      <c r="AQ43" s="38" t="str">
        <f aca="false">IF(C43="","",IF(LEN(IF(AND(U43&lt;&gt;"",IFERROR(VALUE(MID(U43,2,2)),0)&lt;SG_Criteria!$B$19),"FAIL: grade below C"&amp;SG_Criteria!$B$19&amp;". ","")&amp;IF(AND(LEFT(C43,3)="Con",N(H43)&lt;E43,G43="Kallang Formation (marine clay)"),"NOTE: CBP is not watertight below GWT in marine clay; consider secant / grouting. ","")&amp;IF(AND(C43="Steel Sheet Pile",D43="Permanent"),"NOTE: permanent sheet pile needs corrosion allowance. ","")&amp;IF(AND(F43="Cantilever (no support)",E43&gt;6),"NOTE: cantilever embedded wall &gt; 6 m, check deflection. ","")&amp;IF(AND(S43&lt;&gt;"",T43&lt;&gt;"",S43&gt;T43),"FAIL: deflection exceeds allowable. ",""))=0,"OK",IF(AND(U43&lt;&gt;"",IFERROR(VALUE(MID(U43,2,2)),0)&lt;SG_Criteria!$B$19),"FAIL: grade below C"&amp;SG_Criteria!$B$19&amp;". ","")&amp;IF(AND(LEFT(C43,3)="Con",N(H43)&lt;E43,G43="Kallang Formation (marine clay)"),"NOTE: CBP is not watertight below GWT in marine clay; consider secant / grouting. ","")&amp;IF(AND(C43="Steel Sheet Pile",D43="Permanent"),"NOTE: permanent sheet pile needs corrosion allowance. ","")&amp;IF(AND(F43="Cantilever (no support)",E43&gt;6),"NOTE: cantilever embedded wall &gt; 6 m, check deflection. ","")&amp;IF(AND(S43&lt;&gt;"",T43&lt;&gt;"",S43&gt;T43),"FAIL: deflection exceeds allowable. ","")))</f>
        <v/>
      </c>
      <c r="AR43" s="9"/>
      <c r="AS43" s="9"/>
      <c r="AT43" s="9"/>
      <c r="AU43" s="9"/>
      <c r="AV43" s="9"/>
      <c r="AW43" s="31"/>
      <c r="AX43" s="10" t="str">
        <f aca="false">IF(C43="","",IF(AND(Y43="Approved",ISERROR(SEARCH("FAIL",AQ43))),"Y","N"))</f>
        <v/>
      </c>
      <c r="AY43" s="10" t="str">
        <f aca="false">IF(C43="","",C43&amp;"|"&amp;E43&amp;"|"&amp;F43&amp;"|"&amp;G43&amp;"|"&amp;D43&amp;"|"&amp;AX43)</f>
        <v/>
      </c>
    </row>
    <row r="44" customFormat="false" ht="15" hidden="false" customHeight="false" outlineLevel="0" collapsed="false">
      <c r="A44" s="10" t="str">
        <f aca="false">IF(C44="","","EW-"&amp;IFERROR(VLOOKUP(C44,Lists!$P$4:$Q$22,2,0),"??")&amp;"-D"&amp;TEXT(E44*1000,"0000")&amp;"-"&amp;IFERROR(VLOOKUP(F44,Lists!$S$4:$T$21,2,0),"??")&amp;"-"&amp;IFERROR(VLOOKUP(G44,Lists!$Y$4:$Z$21,2,0),"??")&amp;"-"&amp;IFERROR(VLOOKUP(D44,Lists!$V$4:$W$16,2,0),"??")&amp;"-"&amp;X44)</f>
        <v/>
      </c>
      <c r="B44" s="10" t="str">
        <f aca="false">IF(C44="","",D44&amp;" "&amp;C44&amp;", excavation "&amp;TEXT(E44,"0.0")&amp;" m, "&amp;F44&amp;", "&amp;G44&amp;", "&amp;J44)</f>
        <v/>
      </c>
      <c r="C44" s="9"/>
      <c r="D44" s="9"/>
      <c r="E44" s="43"/>
      <c r="F44" s="9"/>
      <c r="G44" s="9"/>
      <c r="H44" s="43"/>
      <c r="I44" s="40"/>
      <c r="J44" s="9"/>
      <c r="K44" s="9"/>
      <c r="L44" s="9"/>
      <c r="M44" s="43"/>
      <c r="N44" s="43"/>
      <c r="O44" s="9"/>
      <c r="P44" s="9"/>
      <c r="Q44" s="9"/>
      <c r="R44" s="9"/>
      <c r="S44" s="40"/>
      <c r="T44" s="40"/>
      <c r="U44" s="9"/>
      <c r="V44" s="9"/>
      <c r="W44" s="9"/>
      <c r="X44" s="9"/>
      <c r="Y44" s="9"/>
      <c r="Z44" s="9"/>
      <c r="AA44" s="9"/>
      <c r="AB44" s="9"/>
      <c r="AC44" s="10" t="str">
        <f aca="false">IF(A44="","",SG_Criteria!$B$6&amp;SG_Criteria!$B$9&amp;"\"&amp;A44&amp;"\")</f>
        <v/>
      </c>
      <c r="AD44" s="10" t="str">
        <f aca="false">IF(A44="","",A44&amp;"_CAD.dwg")</f>
        <v/>
      </c>
      <c r="AE44" s="10" t="str">
        <f aca="false">IF(A44="","",A44&amp;"_DWG.pdf")</f>
        <v/>
      </c>
      <c r="AF44" s="10" t="str">
        <f aca="false">IF(A44="","",IF(AB44="Y",A44&amp;"_STAAD.std","n/a"))</f>
        <v/>
      </c>
      <c r="AG44" s="10" t="str">
        <f aca="false">IF(A44="","",A44&amp;"_CALC.xlsx")</f>
        <v/>
      </c>
      <c r="AH44" s="10" t="str">
        <f aca="false">IF(A44="","",A44&amp;"_CALC.pdf")</f>
        <v/>
      </c>
      <c r="AI44" s="9"/>
      <c r="AJ44" s="9"/>
      <c r="AK44" s="41"/>
      <c r="AL44" s="41"/>
      <c r="AM44" s="41"/>
      <c r="AN44" s="41"/>
      <c r="AO44" s="41"/>
      <c r="AP44" s="38" t="str">
        <f aca="false">IF(OR(C44="",E44=""),"",IF(E44&lt;=IF(C44="Soldier Pile &amp; Timber Lagging",SG_Criteria!$B$34,SG_Criteria!$B$33),"No ERSS submission",IF(E44&lt;=SG_Criteria!$B$35,"QP(ST)",IF(E44&lt;=SG_Criteria!$B$36,"QP(ST) + AC","Geotechnical building works: QP(Geo) + AC"))))</f>
        <v/>
      </c>
      <c r="AQ44" s="38" t="str">
        <f aca="false">IF(C44="","",IF(LEN(IF(AND(U44&lt;&gt;"",IFERROR(VALUE(MID(U44,2,2)),0)&lt;SG_Criteria!$B$19),"FAIL: grade below C"&amp;SG_Criteria!$B$19&amp;". ","")&amp;IF(AND(LEFT(C44,3)="Con",N(H44)&lt;E44,G44="Kallang Formation (marine clay)"),"NOTE: CBP is not watertight below GWT in marine clay; consider secant / grouting. ","")&amp;IF(AND(C44="Steel Sheet Pile",D44="Permanent"),"NOTE: permanent sheet pile needs corrosion allowance. ","")&amp;IF(AND(F44="Cantilever (no support)",E44&gt;6),"NOTE: cantilever embedded wall &gt; 6 m, check deflection. ","")&amp;IF(AND(S44&lt;&gt;"",T44&lt;&gt;"",S44&gt;T44),"FAIL: deflection exceeds allowable. ",""))=0,"OK",IF(AND(U44&lt;&gt;"",IFERROR(VALUE(MID(U44,2,2)),0)&lt;SG_Criteria!$B$19),"FAIL: grade below C"&amp;SG_Criteria!$B$19&amp;". ","")&amp;IF(AND(LEFT(C44,3)="Con",N(H44)&lt;E44,G44="Kallang Formation (marine clay)"),"NOTE: CBP is not watertight below GWT in marine clay; consider secant / grouting. ","")&amp;IF(AND(C44="Steel Sheet Pile",D44="Permanent"),"NOTE: permanent sheet pile needs corrosion allowance. ","")&amp;IF(AND(F44="Cantilever (no support)",E44&gt;6),"NOTE: cantilever embedded wall &gt; 6 m, check deflection. ","")&amp;IF(AND(S44&lt;&gt;"",T44&lt;&gt;"",S44&gt;T44),"FAIL: deflection exceeds allowable. ","")))</f>
        <v/>
      </c>
      <c r="AR44" s="9"/>
      <c r="AS44" s="9"/>
      <c r="AT44" s="9"/>
      <c r="AU44" s="9"/>
      <c r="AV44" s="9"/>
      <c r="AW44" s="31"/>
      <c r="AX44" s="10" t="str">
        <f aca="false">IF(C44="","",IF(AND(Y44="Approved",ISERROR(SEARCH("FAIL",AQ44))),"Y","N"))</f>
        <v/>
      </c>
      <c r="AY44" s="10" t="str">
        <f aca="false">IF(C44="","",C44&amp;"|"&amp;E44&amp;"|"&amp;F44&amp;"|"&amp;G44&amp;"|"&amp;D44&amp;"|"&amp;AX44)</f>
        <v/>
      </c>
    </row>
    <row r="45" customFormat="false" ht="15" hidden="false" customHeight="false" outlineLevel="0" collapsed="false">
      <c r="A45" s="10" t="str">
        <f aca="false">IF(C45="","","EW-"&amp;IFERROR(VLOOKUP(C45,Lists!$P$4:$Q$22,2,0),"??")&amp;"-D"&amp;TEXT(E45*1000,"0000")&amp;"-"&amp;IFERROR(VLOOKUP(F45,Lists!$S$4:$T$21,2,0),"??")&amp;"-"&amp;IFERROR(VLOOKUP(G45,Lists!$Y$4:$Z$21,2,0),"??")&amp;"-"&amp;IFERROR(VLOOKUP(D45,Lists!$V$4:$W$16,2,0),"??")&amp;"-"&amp;X45)</f>
        <v/>
      </c>
      <c r="B45" s="10" t="str">
        <f aca="false">IF(C45="","",D45&amp;" "&amp;C45&amp;", excavation "&amp;TEXT(E45,"0.0")&amp;" m, "&amp;F45&amp;", "&amp;G45&amp;", "&amp;J45)</f>
        <v/>
      </c>
      <c r="C45" s="9"/>
      <c r="D45" s="9"/>
      <c r="E45" s="43"/>
      <c r="F45" s="9"/>
      <c r="G45" s="9"/>
      <c r="H45" s="43"/>
      <c r="I45" s="40"/>
      <c r="J45" s="9"/>
      <c r="K45" s="9"/>
      <c r="L45" s="9"/>
      <c r="M45" s="43"/>
      <c r="N45" s="43"/>
      <c r="O45" s="9"/>
      <c r="P45" s="9"/>
      <c r="Q45" s="9"/>
      <c r="R45" s="9"/>
      <c r="S45" s="40"/>
      <c r="T45" s="40"/>
      <c r="U45" s="9"/>
      <c r="V45" s="9"/>
      <c r="W45" s="9"/>
      <c r="X45" s="9"/>
      <c r="Y45" s="9"/>
      <c r="Z45" s="9"/>
      <c r="AA45" s="9"/>
      <c r="AB45" s="9"/>
      <c r="AC45" s="10" t="str">
        <f aca="false">IF(A45="","",SG_Criteria!$B$6&amp;SG_Criteria!$B$9&amp;"\"&amp;A45&amp;"\")</f>
        <v/>
      </c>
      <c r="AD45" s="10" t="str">
        <f aca="false">IF(A45="","",A45&amp;"_CAD.dwg")</f>
        <v/>
      </c>
      <c r="AE45" s="10" t="str">
        <f aca="false">IF(A45="","",A45&amp;"_DWG.pdf")</f>
        <v/>
      </c>
      <c r="AF45" s="10" t="str">
        <f aca="false">IF(A45="","",IF(AB45="Y",A45&amp;"_STAAD.std","n/a"))</f>
        <v/>
      </c>
      <c r="AG45" s="10" t="str">
        <f aca="false">IF(A45="","",A45&amp;"_CALC.xlsx")</f>
        <v/>
      </c>
      <c r="AH45" s="10" t="str">
        <f aca="false">IF(A45="","",A45&amp;"_CALC.pdf")</f>
        <v/>
      </c>
      <c r="AI45" s="9"/>
      <c r="AJ45" s="9"/>
      <c r="AK45" s="41"/>
      <c r="AL45" s="41"/>
      <c r="AM45" s="41"/>
      <c r="AN45" s="41"/>
      <c r="AO45" s="41"/>
      <c r="AP45" s="38" t="str">
        <f aca="false">IF(OR(C45="",E45=""),"",IF(E45&lt;=IF(C45="Soldier Pile &amp; Timber Lagging",SG_Criteria!$B$34,SG_Criteria!$B$33),"No ERSS submission",IF(E45&lt;=SG_Criteria!$B$35,"QP(ST)",IF(E45&lt;=SG_Criteria!$B$36,"QP(ST) + AC","Geotechnical building works: QP(Geo) + AC"))))</f>
        <v/>
      </c>
      <c r="AQ45" s="38" t="str">
        <f aca="false">IF(C45="","",IF(LEN(IF(AND(U45&lt;&gt;"",IFERROR(VALUE(MID(U45,2,2)),0)&lt;SG_Criteria!$B$19),"FAIL: grade below C"&amp;SG_Criteria!$B$19&amp;". ","")&amp;IF(AND(LEFT(C45,3)="Con",N(H45)&lt;E45,G45="Kallang Formation (marine clay)"),"NOTE: CBP is not watertight below GWT in marine clay; consider secant / grouting. ","")&amp;IF(AND(C45="Steel Sheet Pile",D45="Permanent"),"NOTE: permanent sheet pile needs corrosion allowance. ","")&amp;IF(AND(F45="Cantilever (no support)",E45&gt;6),"NOTE: cantilever embedded wall &gt; 6 m, check deflection. ","")&amp;IF(AND(S45&lt;&gt;"",T45&lt;&gt;"",S45&gt;T45),"FAIL: deflection exceeds allowable. ",""))=0,"OK",IF(AND(U45&lt;&gt;"",IFERROR(VALUE(MID(U45,2,2)),0)&lt;SG_Criteria!$B$19),"FAIL: grade below C"&amp;SG_Criteria!$B$19&amp;". ","")&amp;IF(AND(LEFT(C45,3)="Con",N(H45)&lt;E45,G45="Kallang Formation (marine clay)"),"NOTE: CBP is not watertight below GWT in marine clay; consider secant / grouting. ","")&amp;IF(AND(C45="Steel Sheet Pile",D45="Permanent"),"NOTE: permanent sheet pile needs corrosion allowance. ","")&amp;IF(AND(F45="Cantilever (no support)",E45&gt;6),"NOTE: cantilever embedded wall &gt; 6 m, check deflection. ","")&amp;IF(AND(S45&lt;&gt;"",T45&lt;&gt;"",S45&gt;T45),"FAIL: deflection exceeds allowable. ","")))</f>
        <v/>
      </c>
      <c r="AR45" s="9"/>
      <c r="AS45" s="9"/>
      <c r="AT45" s="9"/>
      <c r="AU45" s="9"/>
      <c r="AV45" s="9"/>
      <c r="AW45" s="31"/>
      <c r="AX45" s="10" t="str">
        <f aca="false">IF(C45="","",IF(AND(Y45="Approved",ISERROR(SEARCH("FAIL",AQ45))),"Y","N"))</f>
        <v/>
      </c>
      <c r="AY45" s="10" t="str">
        <f aca="false">IF(C45="","",C45&amp;"|"&amp;E45&amp;"|"&amp;F45&amp;"|"&amp;G45&amp;"|"&amp;D45&amp;"|"&amp;AX45)</f>
        <v/>
      </c>
    </row>
    <row r="46" customFormat="false" ht="15" hidden="false" customHeight="false" outlineLevel="0" collapsed="false">
      <c r="A46" s="10" t="str">
        <f aca="false">IF(C46="","","EW-"&amp;IFERROR(VLOOKUP(C46,Lists!$P$4:$Q$22,2,0),"??")&amp;"-D"&amp;TEXT(E46*1000,"0000")&amp;"-"&amp;IFERROR(VLOOKUP(F46,Lists!$S$4:$T$21,2,0),"??")&amp;"-"&amp;IFERROR(VLOOKUP(G46,Lists!$Y$4:$Z$21,2,0),"??")&amp;"-"&amp;IFERROR(VLOOKUP(D46,Lists!$V$4:$W$16,2,0),"??")&amp;"-"&amp;X46)</f>
        <v/>
      </c>
      <c r="B46" s="10" t="str">
        <f aca="false">IF(C46="","",D46&amp;" "&amp;C46&amp;", excavation "&amp;TEXT(E46,"0.0")&amp;" m, "&amp;F46&amp;", "&amp;G46&amp;", "&amp;J46)</f>
        <v/>
      </c>
      <c r="C46" s="9"/>
      <c r="D46" s="9"/>
      <c r="E46" s="43"/>
      <c r="F46" s="9"/>
      <c r="G46" s="9"/>
      <c r="H46" s="43"/>
      <c r="I46" s="40"/>
      <c r="J46" s="9"/>
      <c r="K46" s="9"/>
      <c r="L46" s="9"/>
      <c r="M46" s="43"/>
      <c r="N46" s="43"/>
      <c r="O46" s="9"/>
      <c r="P46" s="9"/>
      <c r="Q46" s="9"/>
      <c r="R46" s="9"/>
      <c r="S46" s="40"/>
      <c r="T46" s="40"/>
      <c r="U46" s="9"/>
      <c r="V46" s="9"/>
      <c r="W46" s="9"/>
      <c r="X46" s="9"/>
      <c r="Y46" s="9"/>
      <c r="Z46" s="9"/>
      <c r="AA46" s="9"/>
      <c r="AB46" s="9"/>
      <c r="AC46" s="10" t="str">
        <f aca="false">IF(A46="","",SG_Criteria!$B$6&amp;SG_Criteria!$B$9&amp;"\"&amp;A46&amp;"\")</f>
        <v/>
      </c>
      <c r="AD46" s="10" t="str">
        <f aca="false">IF(A46="","",A46&amp;"_CAD.dwg")</f>
        <v/>
      </c>
      <c r="AE46" s="10" t="str">
        <f aca="false">IF(A46="","",A46&amp;"_DWG.pdf")</f>
        <v/>
      </c>
      <c r="AF46" s="10" t="str">
        <f aca="false">IF(A46="","",IF(AB46="Y",A46&amp;"_STAAD.std","n/a"))</f>
        <v/>
      </c>
      <c r="AG46" s="10" t="str">
        <f aca="false">IF(A46="","",A46&amp;"_CALC.xlsx")</f>
        <v/>
      </c>
      <c r="AH46" s="10" t="str">
        <f aca="false">IF(A46="","",A46&amp;"_CALC.pdf")</f>
        <v/>
      </c>
      <c r="AI46" s="9"/>
      <c r="AJ46" s="9"/>
      <c r="AK46" s="41"/>
      <c r="AL46" s="41"/>
      <c r="AM46" s="41"/>
      <c r="AN46" s="41"/>
      <c r="AO46" s="41"/>
      <c r="AP46" s="38" t="str">
        <f aca="false">IF(OR(C46="",E46=""),"",IF(E46&lt;=IF(C46="Soldier Pile &amp; Timber Lagging",SG_Criteria!$B$34,SG_Criteria!$B$33),"No ERSS submission",IF(E46&lt;=SG_Criteria!$B$35,"QP(ST)",IF(E46&lt;=SG_Criteria!$B$36,"QP(ST) + AC","Geotechnical building works: QP(Geo) + AC"))))</f>
        <v/>
      </c>
      <c r="AQ46" s="38" t="str">
        <f aca="false">IF(C46="","",IF(LEN(IF(AND(U46&lt;&gt;"",IFERROR(VALUE(MID(U46,2,2)),0)&lt;SG_Criteria!$B$19),"FAIL: grade below C"&amp;SG_Criteria!$B$19&amp;". ","")&amp;IF(AND(LEFT(C46,3)="Con",N(H46)&lt;E46,G46="Kallang Formation (marine clay)"),"NOTE: CBP is not watertight below GWT in marine clay; consider secant / grouting. ","")&amp;IF(AND(C46="Steel Sheet Pile",D46="Permanent"),"NOTE: permanent sheet pile needs corrosion allowance. ","")&amp;IF(AND(F46="Cantilever (no support)",E46&gt;6),"NOTE: cantilever embedded wall &gt; 6 m, check deflection. ","")&amp;IF(AND(S46&lt;&gt;"",T46&lt;&gt;"",S46&gt;T46),"FAIL: deflection exceeds allowable. ",""))=0,"OK",IF(AND(U46&lt;&gt;"",IFERROR(VALUE(MID(U46,2,2)),0)&lt;SG_Criteria!$B$19),"FAIL: grade below C"&amp;SG_Criteria!$B$19&amp;". ","")&amp;IF(AND(LEFT(C46,3)="Con",N(H46)&lt;E46,G46="Kallang Formation (marine clay)"),"NOTE: CBP is not watertight below GWT in marine clay; consider secant / grouting. ","")&amp;IF(AND(C46="Steel Sheet Pile",D46="Permanent"),"NOTE: permanent sheet pile needs corrosion allowance. ","")&amp;IF(AND(F46="Cantilever (no support)",E46&gt;6),"NOTE: cantilever embedded wall &gt; 6 m, check deflection. ","")&amp;IF(AND(S46&lt;&gt;"",T46&lt;&gt;"",S46&gt;T46),"FAIL: deflection exceeds allowable. ","")))</f>
        <v/>
      </c>
      <c r="AR46" s="9"/>
      <c r="AS46" s="9"/>
      <c r="AT46" s="9"/>
      <c r="AU46" s="9"/>
      <c r="AV46" s="9"/>
      <c r="AW46" s="31"/>
      <c r="AX46" s="10" t="str">
        <f aca="false">IF(C46="","",IF(AND(Y46="Approved",ISERROR(SEARCH("FAIL",AQ46))),"Y","N"))</f>
        <v/>
      </c>
      <c r="AY46" s="10" t="str">
        <f aca="false">IF(C46="","",C46&amp;"|"&amp;E46&amp;"|"&amp;F46&amp;"|"&amp;G46&amp;"|"&amp;D46&amp;"|"&amp;AX46)</f>
        <v/>
      </c>
    </row>
    <row r="47" customFormat="false" ht="15" hidden="false" customHeight="false" outlineLevel="0" collapsed="false">
      <c r="A47" s="10" t="str">
        <f aca="false">IF(C47="","","EW-"&amp;IFERROR(VLOOKUP(C47,Lists!$P$4:$Q$22,2,0),"??")&amp;"-D"&amp;TEXT(E47*1000,"0000")&amp;"-"&amp;IFERROR(VLOOKUP(F47,Lists!$S$4:$T$21,2,0),"??")&amp;"-"&amp;IFERROR(VLOOKUP(G47,Lists!$Y$4:$Z$21,2,0),"??")&amp;"-"&amp;IFERROR(VLOOKUP(D47,Lists!$V$4:$W$16,2,0),"??")&amp;"-"&amp;X47)</f>
        <v/>
      </c>
      <c r="B47" s="10" t="str">
        <f aca="false">IF(C47="","",D47&amp;" "&amp;C47&amp;", excavation "&amp;TEXT(E47,"0.0")&amp;" m, "&amp;F47&amp;", "&amp;G47&amp;", "&amp;J47)</f>
        <v/>
      </c>
      <c r="C47" s="9"/>
      <c r="D47" s="9"/>
      <c r="E47" s="43"/>
      <c r="F47" s="9"/>
      <c r="G47" s="9"/>
      <c r="H47" s="43"/>
      <c r="I47" s="40"/>
      <c r="J47" s="9"/>
      <c r="K47" s="9"/>
      <c r="L47" s="9"/>
      <c r="M47" s="43"/>
      <c r="N47" s="43"/>
      <c r="O47" s="9"/>
      <c r="P47" s="9"/>
      <c r="Q47" s="9"/>
      <c r="R47" s="9"/>
      <c r="S47" s="40"/>
      <c r="T47" s="40"/>
      <c r="U47" s="9"/>
      <c r="V47" s="9"/>
      <c r="W47" s="9"/>
      <c r="X47" s="9"/>
      <c r="Y47" s="9"/>
      <c r="Z47" s="9"/>
      <c r="AA47" s="9"/>
      <c r="AB47" s="9"/>
      <c r="AC47" s="10" t="str">
        <f aca="false">IF(A47="","",SG_Criteria!$B$6&amp;SG_Criteria!$B$9&amp;"\"&amp;A47&amp;"\")</f>
        <v/>
      </c>
      <c r="AD47" s="10" t="str">
        <f aca="false">IF(A47="","",A47&amp;"_CAD.dwg")</f>
        <v/>
      </c>
      <c r="AE47" s="10" t="str">
        <f aca="false">IF(A47="","",A47&amp;"_DWG.pdf")</f>
        <v/>
      </c>
      <c r="AF47" s="10" t="str">
        <f aca="false">IF(A47="","",IF(AB47="Y",A47&amp;"_STAAD.std","n/a"))</f>
        <v/>
      </c>
      <c r="AG47" s="10" t="str">
        <f aca="false">IF(A47="","",A47&amp;"_CALC.xlsx")</f>
        <v/>
      </c>
      <c r="AH47" s="10" t="str">
        <f aca="false">IF(A47="","",A47&amp;"_CALC.pdf")</f>
        <v/>
      </c>
      <c r="AI47" s="9"/>
      <c r="AJ47" s="9"/>
      <c r="AK47" s="41"/>
      <c r="AL47" s="41"/>
      <c r="AM47" s="41"/>
      <c r="AN47" s="41"/>
      <c r="AO47" s="41"/>
      <c r="AP47" s="38" t="str">
        <f aca="false">IF(OR(C47="",E47=""),"",IF(E47&lt;=IF(C47="Soldier Pile &amp; Timber Lagging",SG_Criteria!$B$34,SG_Criteria!$B$33),"No ERSS submission",IF(E47&lt;=SG_Criteria!$B$35,"QP(ST)",IF(E47&lt;=SG_Criteria!$B$36,"QP(ST) + AC","Geotechnical building works: QP(Geo) + AC"))))</f>
        <v/>
      </c>
      <c r="AQ47" s="38" t="str">
        <f aca="false">IF(C47="","",IF(LEN(IF(AND(U47&lt;&gt;"",IFERROR(VALUE(MID(U47,2,2)),0)&lt;SG_Criteria!$B$19),"FAIL: grade below C"&amp;SG_Criteria!$B$19&amp;". ","")&amp;IF(AND(LEFT(C47,3)="Con",N(H47)&lt;E47,G47="Kallang Formation (marine clay)"),"NOTE: CBP is not watertight below GWT in marine clay; consider secant / grouting. ","")&amp;IF(AND(C47="Steel Sheet Pile",D47="Permanent"),"NOTE: permanent sheet pile needs corrosion allowance. ","")&amp;IF(AND(F47="Cantilever (no support)",E47&gt;6),"NOTE: cantilever embedded wall &gt; 6 m, check deflection. ","")&amp;IF(AND(S47&lt;&gt;"",T47&lt;&gt;"",S47&gt;T47),"FAIL: deflection exceeds allowable. ",""))=0,"OK",IF(AND(U47&lt;&gt;"",IFERROR(VALUE(MID(U47,2,2)),0)&lt;SG_Criteria!$B$19),"FAIL: grade below C"&amp;SG_Criteria!$B$19&amp;". ","")&amp;IF(AND(LEFT(C47,3)="Con",N(H47)&lt;E47,G47="Kallang Formation (marine clay)"),"NOTE: CBP is not watertight below GWT in marine clay; consider secant / grouting. ","")&amp;IF(AND(C47="Steel Sheet Pile",D47="Permanent"),"NOTE: permanent sheet pile needs corrosion allowance. ","")&amp;IF(AND(F47="Cantilever (no support)",E47&gt;6),"NOTE: cantilever embedded wall &gt; 6 m, check deflection. ","")&amp;IF(AND(S47&lt;&gt;"",T47&lt;&gt;"",S47&gt;T47),"FAIL: deflection exceeds allowable. ","")))</f>
        <v/>
      </c>
      <c r="AR47" s="9"/>
      <c r="AS47" s="9"/>
      <c r="AT47" s="9"/>
      <c r="AU47" s="9"/>
      <c r="AV47" s="9"/>
      <c r="AW47" s="31"/>
      <c r="AX47" s="10" t="str">
        <f aca="false">IF(C47="","",IF(AND(Y47="Approved",ISERROR(SEARCH("FAIL",AQ47))),"Y","N"))</f>
        <v/>
      </c>
      <c r="AY47" s="10" t="str">
        <f aca="false">IF(C47="","",C47&amp;"|"&amp;E47&amp;"|"&amp;F47&amp;"|"&amp;G47&amp;"|"&amp;D47&amp;"|"&amp;AX47)</f>
        <v/>
      </c>
    </row>
    <row r="48" customFormat="false" ht="15" hidden="false" customHeight="false" outlineLevel="0" collapsed="false">
      <c r="A48" s="10" t="str">
        <f aca="false">IF(C48="","","EW-"&amp;IFERROR(VLOOKUP(C48,Lists!$P$4:$Q$22,2,0),"??")&amp;"-D"&amp;TEXT(E48*1000,"0000")&amp;"-"&amp;IFERROR(VLOOKUP(F48,Lists!$S$4:$T$21,2,0),"??")&amp;"-"&amp;IFERROR(VLOOKUP(G48,Lists!$Y$4:$Z$21,2,0),"??")&amp;"-"&amp;IFERROR(VLOOKUP(D48,Lists!$V$4:$W$16,2,0),"??")&amp;"-"&amp;X48)</f>
        <v/>
      </c>
      <c r="B48" s="10" t="str">
        <f aca="false">IF(C48="","",D48&amp;" "&amp;C48&amp;", excavation "&amp;TEXT(E48,"0.0")&amp;" m, "&amp;F48&amp;", "&amp;G48&amp;", "&amp;J48)</f>
        <v/>
      </c>
      <c r="C48" s="9"/>
      <c r="D48" s="9"/>
      <c r="E48" s="43"/>
      <c r="F48" s="9"/>
      <c r="G48" s="9"/>
      <c r="H48" s="43"/>
      <c r="I48" s="40"/>
      <c r="J48" s="9"/>
      <c r="K48" s="9"/>
      <c r="L48" s="9"/>
      <c r="M48" s="43"/>
      <c r="N48" s="43"/>
      <c r="O48" s="9"/>
      <c r="P48" s="9"/>
      <c r="Q48" s="9"/>
      <c r="R48" s="9"/>
      <c r="S48" s="40"/>
      <c r="T48" s="40"/>
      <c r="U48" s="9"/>
      <c r="V48" s="9"/>
      <c r="W48" s="9"/>
      <c r="X48" s="9"/>
      <c r="Y48" s="9"/>
      <c r="Z48" s="9"/>
      <c r="AA48" s="9"/>
      <c r="AB48" s="9"/>
      <c r="AC48" s="10" t="str">
        <f aca="false">IF(A48="","",SG_Criteria!$B$6&amp;SG_Criteria!$B$9&amp;"\"&amp;A48&amp;"\")</f>
        <v/>
      </c>
      <c r="AD48" s="10" t="str">
        <f aca="false">IF(A48="","",A48&amp;"_CAD.dwg")</f>
        <v/>
      </c>
      <c r="AE48" s="10" t="str">
        <f aca="false">IF(A48="","",A48&amp;"_DWG.pdf")</f>
        <v/>
      </c>
      <c r="AF48" s="10" t="str">
        <f aca="false">IF(A48="","",IF(AB48="Y",A48&amp;"_STAAD.std","n/a"))</f>
        <v/>
      </c>
      <c r="AG48" s="10" t="str">
        <f aca="false">IF(A48="","",A48&amp;"_CALC.xlsx")</f>
        <v/>
      </c>
      <c r="AH48" s="10" t="str">
        <f aca="false">IF(A48="","",A48&amp;"_CALC.pdf")</f>
        <v/>
      </c>
      <c r="AI48" s="9"/>
      <c r="AJ48" s="9"/>
      <c r="AK48" s="41"/>
      <c r="AL48" s="41"/>
      <c r="AM48" s="41"/>
      <c r="AN48" s="41"/>
      <c r="AO48" s="41"/>
      <c r="AP48" s="38" t="str">
        <f aca="false">IF(OR(C48="",E48=""),"",IF(E48&lt;=IF(C48="Soldier Pile &amp; Timber Lagging",SG_Criteria!$B$34,SG_Criteria!$B$33),"No ERSS submission",IF(E48&lt;=SG_Criteria!$B$35,"QP(ST)",IF(E48&lt;=SG_Criteria!$B$36,"QP(ST) + AC","Geotechnical building works: QP(Geo) + AC"))))</f>
        <v/>
      </c>
      <c r="AQ48" s="38" t="str">
        <f aca="false">IF(C48="","",IF(LEN(IF(AND(U48&lt;&gt;"",IFERROR(VALUE(MID(U48,2,2)),0)&lt;SG_Criteria!$B$19),"FAIL: grade below C"&amp;SG_Criteria!$B$19&amp;". ","")&amp;IF(AND(LEFT(C48,3)="Con",N(H48)&lt;E48,G48="Kallang Formation (marine clay)"),"NOTE: CBP is not watertight below GWT in marine clay; consider secant / grouting. ","")&amp;IF(AND(C48="Steel Sheet Pile",D48="Permanent"),"NOTE: permanent sheet pile needs corrosion allowance. ","")&amp;IF(AND(F48="Cantilever (no support)",E48&gt;6),"NOTE: cantilever embedded wall &gt; 6 m, check deflection. ","")&amp;IF(AND(S48&lt;&gt;"",T48&lt;&gt;"",S48&gt;T48),"FAIL: deflection exceeds allowable. ",""))=0,"OK",IF(AND(U48&lt;&gt;"",IFERROR(VALUE(MID(U48,2,2)),0)&lt;SG_Criteria!$B$19),"FAIL: grade below C"&amp;SG_Criteria!$B$19&amp;". ","")&amp;IF(AND(LEFT(C48,3)="Con",N(H48)&lt;E48,G48="Kallang Formation (marine clay)"),"NOTE: CBP is not watertight below GWT in marine clay; consider secant / grouting. ","")&amp;IF(AND(C48="Steel Sheet Pile",D48="Permanent"),"NOTE: permanent sheet pile needs corrosion allowance. ","")&amp;IF(AND(F48="Cantilever (no support)",E48&gt;6),"NOTE: cantilever embedded wall &gt; 6 m, check deflection. ","")&amp;IF(AND(S48&lt;&gt;"",T48&lt;&gt;"",S48&gt;T48),"FAIL: deflection exceeds allowable. ","")))</f>
        <v/>
      </c>
      <c r="AR48" s="9"/>
      <c r="AS48" s="9"/>
      <c r="AT48" s="9"/>
      <c r="AU48" s="9"/>
      <c r="AV48" s="9"/>
      <c r="AW48" s="31"/>
      <c r="AX48" s="10" t="str">
        <f aca="false">IF(C48="","",IF(AND(Y48="Approved",ISERROR(SEARCH("FAIL",AQ48))),"Y","N"))</f>
        <v/>
      </c>
      <c r="AY48" s="10" t="str">
        <f aca="false">IF(C48="","",C48&amp;"|"&amp;E48&amp;"|"&amp;F48&amp;"|"&amp;G48&amp;"|"&amp;D48&amp;"|"&amp;AX48)</f>
        <v/>
      </c>
    </row>
    <row r="49" customFormat="false" ht="15" hidden="false" customHeight="false" outlineLevel="0" collapsed="false">
      <c r="A49" s="10" t="str">
        <f aca="false">IF(C49="","","EW-"&amp;IFERROR(VLOOKUP(C49,Lists!$P$4:$Q$22,2,0),"??")&amp;"-D"&amp;TEXT(E49*1000,"0000")&amp;"-"&amp;IFERROR(VLOOKUP(F49,Lists!$S$4:$T$21,2,0),"??")&amp;"-"&amp;IFERROR(VLOOKUP(G49,Lists!$Y$4:$Z$21,2,0),"??")&amp;"-"&amp;IFERROR(VLOOKUP(D49,Lists!$V$4:$W$16,2,0),"??")&amp;"-"&amp;X49)</f>
        <v/>
      </c>
      <c r="B49" s="10" t="str">
        <f aca="false">IF(C49="","",D49&amp;" "&amp;C49&amp;", excavation "&amp;TEXT(E49,"0.0")&amp;" m, "&amp;F49&amp;", "&amp;G49&amp;", "&amp;J49)</f>
        <v/>
      </c>
      <c r="C49" s="9"/>
      <c r="D49" s="9"/>
      <c r="E49" s="43"/>
      <c r="F49" s="9"/>
      <c r="G49" s="9"/>
      <c r="H49" s="43"/>
      <c r="I49" s="40"/>
      <c r="J49" s="9"/>
      <c r="K49" s="9"/>
      <c r="L49" s="9"/>
      <c r="M49" s="43"/>
      <c r="N49" s="43"/>
      <c r="O49" s="9"/>
      <c r="P49" s="9"/>
      <c r="Q49" s="9"/>
      <c r="R49" s="9"/>
      <c r="S49" s="40"/>
      <c r="T49" s="40"/>
      <c r="U49" s="9"/>
      <c r="V49" s="9"/>
      <c r="W49" s="9"/>
      <c r="X49" s="9"/>
      <c r="Y49" s="9"/>
      <c r="Z49" s="9"/>
      <c r="AA49" s="9"/>
      <c r="AB49" s="9"/>
      <c r="AC49" s="10" t="str">
        <f aca="false">IF(A49="","",SG_Criteria!$B$6&amp;SG_Criteria!$B$9&amp;"\"&amp;A49&amp;"\")</f>
        <v/>
      </c>
      <c r="AD49" s="10" t="str">
        <f aca="false">IF(A49="","",A49&amp;"_CAD.dwg")</f>
        <v/>
      </c>
      <c r="AE49" s="10" t="str">
        <f aca="false">IF(A49="","",A49&amp;"_DWG.pdf")</f>
        <v/>
      </c>
      <c r="AF49" s="10" t="str">
        <f aca="false">IF(A49="","",IF(AB49="Y",A49&amp;"_STAAD.std","n/a"))</f>
        <v/>
      </c>
      <c r="AG49" s="10" t="str">
        <f aca="false">IF(A49="","",A49&amp;"_CALC.xlsx")</f>
        <v/>
      </c>
      <c r="AH49" s="10" t="str">
        <f aca="false">IF(A49="","",A49&amp;"_CALC.pdf")</f>
        <v/>
      </c>
      <c r="AI49" s="9"/>
      <c r="AJ49" s="9"/>
      <c r="AK49" s="41"/>
      <c r="AL49" s="41"/>
      <c r="AM49" s="41"/>
      <c r="AN49" s="41"/>
      <c r="AO49" s="41"/>
      <c r="AP49" s="38" t="str">
        <f aca="false">IF(OR(C49="",E49=""),"",IF(E49&lt;=IF(C49="Soldier Pile &amp; Timber Lagging",SG_Criteria!$B$34,SG_Criteria!$B$33),"No ERSS submission",IF(E49&lt;=SG_Criteria!$B$35,"QP(ST)",IF(E49&lt;=SG_Criteria!$B$36,"QP(ST) + AC","Geotechnical building works: QP(Geo) + AC"))))</f>
        <v/>
      </c>
      <c r="AQ49" s="38" t="str">
        <f aca="false">IF(C49="","",IF(LEN(IF(AND(U49&lt;&gt;"",IFERROR(VALUE(MID(U49,2,2)),0)&lt;SG_Criteria!$B$19),"FAIL: grade below C"&amp;SG_Criteria!$B$19&amp;". ","")&amp;IF(AND(LEFT(C49,3)="Con",N(H49)&lt;E49,G49="Kallang Formation (marine clay)"),"NOTE: CBP is not watertight below GWT in marine clay; consider secant / grouting. ","")&amp;IF(AND(C49="Steel Sheet Pile",D49="Permanent"),"NOTE: permanent sheet pile needs corrosion allowance. ","")&amp;IF(AND(F49="Cantilever (no support)",E49&gt;6),"NOTE: cantilever embedded wall &gt; 6 m, check deflection. ","")&amp;IF(AND(S49&lt;&gt;"",T49&lt;&gt;"",S49&gt;T49),"FAIL: deflection exceeds allowable. ",""))=0,"OK",IF(AND(U49&lt;&gt;"",IFERROR(VALUE(MID(U49,2,2)),0)&lt;SG_Criteria!$B$19),"FAIL: grade below C"&amp;SG_Criteria!$B$19&amp;". ","")&amp;IF(AND(LEFT(C49,3)="Con",N(H49)&lt;E49,G49="Kallang Formation (marine clay)"),"NOTE: CBP is not watertight below GWT in marine clay; consider secant / grouting. ","")&amp;IF(AND(C49="Steel Sheet Pile",D49="Permanent"),"NOTE: permanent sheet pile needs corrosion allowance. ","")&amp;IF(AND(F49="Cantilever (no support)",E49&gt;6),"NOTE: cantilever embedded wall &gt; 6 m, check deflection. ","")&amp;IF(AND(S49&lt;&gt;"",T49&lt;&gt;"",S49&gt;T49),"FAIL: deflection exceeds allowable. ","")))</f>
        <v/>
      </c>
      <c r="AR49" s="9"/>
      <c r="AS49" s="9"/>
      <c r="AT49" s="9"/>
      <c r="AU49" s="9"/>
      <c r="AV49" s="9"/>
      <c r="AW49" s="31"/>
      <c r="AX49" s="10" t="str">
        <f aca="false">IF(C49="","",IF(AND(Y49="Approved",ISERROR(SEARCH("FAIL",AQ49))),"Y","N"))</f>
        <v/>
      </c>
      <c r="AY49" s="10" t="str">
        <f aca="false">IF(C49="","",C49&amp;"|"&amp;E49&amp;"|"&amp;F49&amp;"|"&amp;G49&amp;"|"&amp;D49&amp;"|"&amp;AX49)</f>
        <v/>
      </c>
    </row>
    <row r="50" customFormat="false" ht="15" hidden="false" customHeight="false" outlineLevel="0" collapsed="false">
      <c r="A50" s="10" t="str">
        <f aca="false">IF(C50="","","EW-"&amp;IFERROR(VLOOKUP(C50,Lists!$P$4:$Q$22,2,0),"??")&amp;"-D"&amp;TEXT(E50*1000,"0000")&amp;"-"&amp;IFERROR(VLOOKUP(F50,Lists!$S$4:$T$21,2,0),"??")&amp;"-"&amp;IFERROR(VLOOKUP(G50,Lists!$Y$4:$Z$21,2,0),"??")&amp;"-"&amp;IFERROR(VLOOKUP(D50,Lists!$V$4:$W$16,2,0),"??")&amp;"-"&amp;X50)</f>
        <v/>
      </c>
      <c r="B50" s="10" t="str">
        <f aca="false">IF(C50="","",D50&amp;" "&amp;C50&amp;", excavation "&amp;TEXT(E50,"0.0")&amp;" m, "&amp;F50&amp;", "&amp;G50&amp;", "&amp;J50)</f>
        <v/>
      </c>
      <c r="C50" s="9"/>
      <c r="D50" s="9"/>
      <c r="E50" s="43"/>
      <c r="F50" s="9"/>
      <c r="G50" s="9"/>
      <c r="H50" s="43"/>
      <c r="I50" s="40"/>
      <c r="J50" s="9"/>
      <c r="K50" s="9"/>
      <c r="L50" s="9"/>
      <c r="M50" s="43"/>
      <c r="N50" s="43"/>
      <c r="O50" s="9"/>
      <c r="P50" s="9"/>
      <c r="Q50" s="9"/>
      <c r="R50" s="9"/>
      <c r="S50" s="40"/>
      <c r="T50" s="40"/>
      <c r="U50" s="9"/>
      <c r="V50" s="9"/>
      <c r="W50" s="9"/>
      <c r="X50" s="9"/>
      <c r="Y50" s="9"/>
      <c r="Z50" s="9"/>
      <c r="AA50" s="9"/>
      <c r="AB50" s="9"/>
      <c r="AC50" s="10" t="str">
        <f aca="false">IF(A50="","",SG_Criteria!$B$6&amp;SG_Criteria!$B$9&amp;"\"&amp;A50&amp;"\")</f>
        <v/>
      </c>
      <c r="AD50" s="10" t="str">
        <f aca="false">IF(A50="","",A50&amp;"_CAD.dwg")</f>
        <v/>
      </c>
      <c r="AE50" s="10" t="str">
        <f aca="false">IF(A50="","",A50&amp;"_DWG.pdf")</f>
        <v/>
      </c>
      <c r="AF50" s="10" t="str">
        <f aca="false">IF(A50="","",IF(AB50="Y",A50&amp;"_STAAD.std","n/a"))</f>
        <v/>
      </c>
      <c r="AG50" s="10" t="str">
        <f aca="false">IF(A50="","",A50&amp;"_CALC.xlsx")</f>
        <v/>
      </c>
      <c r="AH50" s="10" t="str">
        <f aca="false">IF(A50="","",A50&amp;"_CALC.pdf")</f>
        <v/>
      </c>
      <c r="AI50" s="9"/>
      <c r="AJ50" s="9"/>
      <c r="AK50" s="41"/>
      <c r="AL50" s="41"/>
      <c r="AM50" s="41"/>
      <c r="AN50" s="41"/>
      <c r="AO50" s="41"/>
      <c r="AP50" s="38" t="str">
        <f aca="false">IF(OR(C50="",E50=""),"",IF(E50&lt;=IF(C50="Soldier Pile &amp; Timber Lagging",SG_Criteria!$B$34,SG_Criteria!$B$33),"No ERSS submission",IF(E50&lt;=SG_Criteria!$B$35,"QP(ST)",IF(E50&lt;=SG_Criteria!$B$36,"QP(ST) + AC","Geotechnical building works: QP(Geo) + AC"))))</f>
        <v/>
      </c>
      <c r="AQ50" s="38" t="str">
        <f aca="false">IF(C50="","",IF(LEN(IF(AND(U50&lt;&gt;"",IFERROR(VALUE(MID(U50,2,2)),0)&lt;SG_Criteria!$B$19),"FAIL: grade below C"&amp;SG_Criteria!$B$19&amp;". ","")&amp;IF(AND(LEFT(C50,3)="Con",N(H50)&lt;E50,G50="Kallang Formation (marine clay)"),"NOTE: CBP is not watertight below GWT in marine clay; consider secant / grouting. ","")&amp;IF(AND(C50="Steel Sheet Pile",D50="Permanent"),"NOTE: permanent sheet pile needs corrosion allowance. ","")&amp;IF(AND(F50="Cantilever (no support)",E50&gt;6),"NOTE: cantilever embedded wall &gt; 6 m, check deflection. ","")&amp;IF(AND(S50&lt;&gt;"",T50&lt;&gt;"",S50&gt;T50),"FAIL: deflection exceeds allowable. ",""))=0,"OK",IF(AND(U50&lt;&gt;"",IFERROR(VALUE(MID(U50,2,2)),0)&lt;SG_Criteria!$B$19),"FAIL: grade below C"&amp;SG_Criteria!$B$19&amp;". ","")&amp;IF(AND(LEFT(C50,3)="Con",N(H50)&lt;E50,G50="Kallang Formation (marine clay)"),"NOTE: CBP is not watertight below GWT in marine clay; consider secant / grouting. ","")&amp;IF(AND(C50="Steel Sheet Pile",D50="Permanent"),"NOTE: permanent sheet pile needs corrosion allowance. ","")&amp;IF(AND(F50="Cantilever (no support)",E50&gt;6),"NOTE: cantilever embedded wall &gt; 6 m, check deflection. ","")&amp;IF(AND(S50&lt;&gt;"",T50&lt;&gt;"",S50&gt;T50),"FAIL: deflection exceeds allowable. ","")))</f>
        <v/>
      </c>
      <c r="AR50" s="9"/>
      <c r="AS50" s="9"/>
      <c r="AT50" s="9"/>
      <c r="AU50" s="9"/>
      <c r="AV50" s="9"/>
      <c r="AW50" s="31"/>
      <c r="AX50" s="10" t="str">
        <f aca="false">IF(C50="","",IF(AND(Y50="Approved",ISERROR(SEARCH("FAIL",AQ50))),"Y","N"))</f>
        <v/>
      </c>
      <c r="AY50" s="10" t="str">
        <f aca="false">IF(C50="","",C50&amp;"|"&amp;E50&amp;"|"&amp;F50&amp;"|"&amp;G50&amp;"|"&amp;D50&amp;"|"&amp;AX50)</f>
        <v/>
      </c>
    </row>
    <row r="51" customFormat="false" ht="15" hidden="false" customHeight="false" outlineLevel="0" collapsed="false">
      <c r="A51" s="10" t="str">
        <f aca="false">IF(C51="","","EW-"&amp;IFERROR(VLOOKUP(C51,Lists!$P$4:$Q$22,2,0),"??")&amp;"-D"&amp;TEXT(E51*1000,"0000")&amp;"-"&amp;IFERROR(VLOOKUP(F51,Lists!$S$4:$T$21,2,0),"??")&amp;"-"&amp;IFERROR(VLOOKUP(G51,Lists!$Y$4:$Z$21,2,0),"??")&amp;"-"&amp;IFERROR(VLOOKUP(D51,Lists!$V$4:$W$16,2,0),"??")&amp;"-"&amp;X51)</f>
        <v/>
      </c>
      <c r="B51" s="10" t="str">
        <f aca="false">IF(C51="","",D51&amp;" "&amp;C51&amp;", excavation "&amp;TEXT(E51,"0.0")&amp;" m, "&amp;F51&amp;", "&amp;G51&amp;", "&amp;J51)</f>
        <v/>
      </c>
      <c r="C51" s="9"/>
      <c r="D51" s="9"/>
      <c r="E51" s="43"/>
      <c r="F51" s="9"/>
      <c r="G51" s="9"/>
      <c r="H51" s="43"/>
      <c r="I51" s="40"/>
      <c r="J51" s="9"/>
      <c r="K51" s="9"/>
      <c r="L51" s="9"/>
      <c r="M51" s="43"/>
      <c r="N51" s="43"/>
      <c r="O51" s="9"/>
      <c r="P51" s="9"/>
      <c r="Q51" s="9"/>
      <c r="R51" s="9"/>
      <c r="S51" s="40"/>
      <c r="T51" s="40"/>
      <c r="U51" s="9"/>
      <c r="V51" s="9"/>
      <c r="W51" s="9"/>
      <c r="X51" s="9"/>
      <c r="Y51" s="9"/>
      <c r="Z51" s="9"/>
      <c r="AA51" s="9"/>
      <c r="AB51" s="9"/>
      <c r="AC51" s="10" t="str">
        <f aca="false">IF(A51="","",SG_Criteria!$B$6&amp;SG_Criteria!$B$9&amp;"\"&amp;A51&amp;"\")</f>
        <v/>
      </c>
      <c r="AD51" s="10" t="str">
        <f aca="false">IF(A51="","",A51&amp;"_CAD.dwg")</f>
        <v/>
      </c>
      <c r="AE51" s="10" t="str">
        <f aca="false">IF(A51="","",A51&amp;"_DWG.pdf")</f>
        <v/>
      </c>
      <c r="AF51" s="10" t="str">
        <f aca="false">IF(A51="","",IF(AB51="Y",A51&amp;"_STAAD.std","n/a"))</f>
        <v/>
      </c>
      <c r="AG51" s="10" t="str">
        <f aca="false">IF(A51="","",A51&amp;"_CALC.xlsx")</f>
        <v/>
      </c>
      <c r="AH51" s="10" t="str">
        <f aca="false">IF(A51="","",A51&amp;"_CALC.pdf")</f>
        <v/>
      </c>
      <c r="AI51" s="9"/>
      <c r="AJ51" s="9"/>
      <c r="AK51" s="41"/>
      <c r="AL51" s="41"/>
      <c r="AM51" s="41"/>
      <c r="AN51" s="41"/>
      <c r="AO51" s="41"/>
      <c r="AP51" s="38" t="str">
        <f aca="false">IF(OR(C51="",E51=""),"",IF(E51&lt;=IF(C51="Soldier Pile &amp; Timber Lagging",SG_Criteria!$B$34,SG_Criteria!$B$33),"No ERSS submission",IF(E51&lt;=SG_Criteria!$B$35,"QP(ST)",IF(E51&lt;=SG_Criteria!$B$36,"QP(ST) + AC","Geotechnical building works: QP(Geo) + AC"))))</f>
        <v/>
      </c>
      <c r="AQ51" s="38" t="str">
        <f aca="false">IF(C51="","",IF(LEN(IF(AND(U51&lt;&gt;"",IFERROR(VALUE(MID(U51,2,2)),0)&lt;SG_Criteria!$B$19),"FAIL: grade below C"&amp;SG_Criteria!$B$19&amp;". ","")&amp;IF(AND(LEFT(C51,3)="Con",N(H51)&lt;E51,G51="Kallang Formation (marine clay)"),"NOTE: CBP is not watertight below GWT in marine clay; consider secant / grouting. ","")&amp;IF(AND(C51="Steel Sheet Pile",D51="Permanent"),"NOTE: permanent sheet pile needs corrosion allowance. ","")&amp;IF(AND(F51="Cantilever (no support)",E51&gt;6),"NOTE: cantilever embedded wall &gt; 6 m, check deflection. ","")&amp;IF(AND(S51&lt;&gt;"",T51&lt;&gt;"",S51&gt;T51),"FAIL: deflection exceeds allowable. ",""))=0,"OK",IF(AND(U51&lt;&gt;"",IFERROR(VALUE(MID(U51,2,2)),0)&lt;SG_Criteria!$B$19),"FAIL: grade below C"&amp;SG_Criteria!$B$19&amp;". ","")&amp;IF(AND(LEFT(C51,3)="Con",N(H51)&lt;E51,G51="Kallang Formation (marine clay)"),"NOTE: CBP is not watertight below GWT in marine clay; consider secant / grouting. ","")&amp;IF(AND(C51="Steel Sheet Pile",D51="Permanent"),"NOTE: permanent sheet pile needs corrosion allowance. ","")&amp;IF(AND(F51="Cantilever (no support)",E51&gt;6),"NOTE: cantilever embedded wall &gt; 6 m, check deflection. ","")&amp;IF(AND(S51&lt;&gt;"",T51&lt;&gt;"",S51&gt;T51),"FAIL: deflection exceeds allowable. ","")))</f>
        <v/>
      </c>
      <c r="AR51" s="9"/>
      <c r="AS51" s="9"/>
      <c r="AT51" s="9"/>
      <c r="AU51" s="9"/>
      <c r="AV51" s="9"/>
      <c r="AW51" s="31"/>
      <c r="AX51" s="10" t="str">
        <f aca="false">IF(C51="","",IF(AND(Y51="Approved",ISERROR(SEARCH("FAIL",AQ51))),"Y","N"))</f>
        <v/>
      </c>
      <c r="AY51" s="10" t="str">
        <f aca="false">IF(C51="","",C51&amp;"|"&amp;E51&amp;"|"&amp;F51&amp;"|"&amp;G51&amp;"|"&amp;D51&amp;"|"&amp;AX51)</f>
        <v/>
      </c>
    </row>
    <row r="52" customFormat="false" ht="15" hidden="false" customHeight="false" outlineLevel="0" collapsed="false">
      <c r="A52" s="10" t="str">
        <f aca="false">IF(C52="","","EW-"&amp;IFERROR(VLOOKUP(C52,Lists!$P$4:$Q$22,2,0),"??")&amp;"-D"&amp;TEXT(E52*1000,"0000")&amp;"-"&amp;IFERROR(VLOOKUP(F52,Lists!$S$4:$T$21,2,0),"??")&amp;"-"&amp;IFERROR(VLOOKUP(G52,Lists!$Y$4:$Z$21,2,0),"??")&amp;"-"&amp;IFERROR(VLOOKUP(D52,Lists!$V$4:$W$16,2,0),"??")&amp;"-"&amp;X52)</f>
        <v/>
      </c>
      <c r="B52" s="10" t="str">
        <f aca="false">IF(C52="","",D52&amp;" "&amp;C52&amp;", excavation "&amp;TEXT(E52,"0.0")&amp;" m, "&amp;F52&amp;", "&amp;G52&amp;", "&amp;J52)</f>
        <v/>
      </c>
      <c r="C52" s="9"/>
      <c r="D52" s="9"/>
      <c r="E52" s="43"/>
      <c r="F52" s="9"/>
      <c r="G52" s="9"/>
      <c r="H52" s="43"/>
      <c r="I52" s="40"/>
      <c r="J52" s="9"/>
      <c r="K52" s="9"/>
      <c r="L52" s="9"/>
      <c r="M52" s="43"/>
      <c r="N52" s="43"/>
      <c r="O52" s="9"/>
      <c r="P52" s="9"/>
      <c r="Q52" s="9"/>
      <c r="R52" s="9"/>
      <c r="S52" s="40"/>
      <c r="T52" s="40"/>
      <c r="U52" s="9"/>
      <c r="V52" s="9"/>
      <c r="W52" s="9"/>
      <c r="X52" s="9"/>
      <c r="Y52" s="9"/>
      <c r="Z52" s="9"/>
      <c r="AA52" s="9"/>
      <c r="AB52" s="9"/>
      <c r="AC52" s="10" t="str">
        <f aca="false">IF(A52="","",SG_Criteria!$B$6&amp;SG_Criteria!$B$9&amp;"\"&amp;A52&amp;"\")</f>
        <v/>
      </c>
      <c r="AD52" s="10" t="str">
        <f aca="false">IF(A52="","",A52&amp;"_CAD.dwg")</f>
        <v/>
      </c>
      <c r="AE52" s="10" t="str">
        <f aca="false">IF(A52="","",A52&amp;"_DWG.pdf")</f>
        <v/>
      </c>
      <c r="AF52" s="10" t="str">
        <f aca="false">IF(A52="","",IF(AB52="Y",A52&amp;"_STAAD.std","n/a"))</f>
        <v/>
      </c>
      <c r="AG52" s="10" t="str">
        <f aca="false">IF(A52="","",A52&amp;"_CALC.xlsx")</f>
        <v/>
      </c>
      <c r="AH52" s="10" t="str">
        <f aca="false">IF(A52="","",A52&amp;"_CALC.pdf")</f>
        <v/>
      </c>
      <c r="AI52" s="9"/>
      <c r="AJ52" s="9"/>
      <c r="AK52" s="41"/>
      <c r="AL52" s="41"/>
      <c r="AM52" s="41"/>
      <c r="AN52" s="41"/>
      <c r="AO52" s="41"/>
      <c r="AP52" s="38" t="str">
        <f aca="false">IF(OR(C52="",E52=""),"",IF(E52&lt;=IF(C52="Soldier Pile &amp; Timber Lagging",SG_Criteria!$B$34,SG_Criteria!$B$33),"No ERSS submission",IF(E52&lt;=SG_Criteria!$B$35,"QP(ST)",IF(E52&lt;=SG_Criteria!$B$36,"QP(ST) + AC","Geotechnical building works: QP(Geo) + AC"))))</f>
        <v/>
      </c>
      <c r="AQ52" s="38" t="str">
        <f aca="false">IF(C52="","",IF(LEN(IF(AND(U52&lt;&gt;"",IFERROR(VALUE(MID(U52,2,2)),0)&lt;SG_Criteria!$B$19),"FAIL: grade below C"&amp;SG_Criteria!$B$19&amp;". ","")&amp;IF(AND(LEFT(C52,3)="Con",N(H52)&lt;E52,G52="Kallang Formation (marine clay)"),"NOTE: CBP is not watertight below GWT in marine clay; consider secant / grouting. ","")&amp;IF(AND(C52="Steel Sheet Pile",D52="Permanent"),"NOTE: permanent sheet pile needs corrosion allowance. ","")&amp;IF(AND(F52="Cantilever (no support)",E52&gt;6),"NOTE: cantilever embedded wall &gt; 6 m, check deflection. ","")&amp;IF(AND(S52&lt;&gt;"",T52&lt;&gt;"",S52&gt;T52),"FAIL: deflection exceeds allowable. ",""))=0,"OK",IF(AND(U52&lt;&gt;"",IFERROR(VALUE(MID(U52,2,2)),0)&lt;SG_Criteria!$B$19),"FAIL: grade below C"&amp;SG_Criteria!$B$19&amp;". ","")&amp;IF(AND(LEFT(C52,3)="Con",N(H52)&lt;E52,G52="Kallang Formation (marine clay)"),"NOTE: CBP is not watertight below GWT in marine clay; consider secant / grouting. ","")&amp;IF(AND(C52="Steel Sheet Pile",D52="Permanent"),"NOTE: permanent sheet pile needs corrosion allowance. ","")&amp;IF(AND(F52="Cantilever (no support)",E52&gt;6),"NOTE: cantilever embedded wall &gt; 6 m, check deflection. ","")&amp;IF(AND(S52&lt;&gt;"",T52&lt;&gt;"",S52&gt;T52),"FAIL: deflection exceeds allowable. ","")))</f>
        <v/>
      </c>
      <c r="AR52" s="9"/>
      <c r="AS52" s="9"/>
      <c r="AT52" s="9"/>
      <c r="AU52" s="9"/>
      <c r="AV52" s="9"/>
      <c r="AW52" s="31"/>
      <c r="AX52" s="10" t="str">
        <f aca="false">IF(C52="","",IF(AND(Y52="Approved",ISERROR(SEARCH("FAIL",AQ52))),"Y","N"))</f>
        <v/>
      </c>
      <c r="AY52" s="10" t="str">
        <f aca="false">IF(C52="","",C52&amp;"|"&amp;E52&amp;"|"&amp;F52&amp;"|"&amp;G52&amp;"|"&amp;D52&amp;"|"&amp;AX52)</f>
        <v/>
      </c>
    </row>
    <row r="53" customFormat="false" ht="15" hidden="false" customHeight="false" outlineLevel="0" collapsed="false">
      <c r="A53" s="10" t="str">
        <f aca="false">IF(C53="","","EW-"&amp;IFERROR(VLOOKUP(C53,Lists!$P$4:$Q$22,2,0),"??")&amp;"-D"&amp;TEXT(E53*1000,"0000")&amp;"-"&amp;IFERROR(VLOOKUP(F53,Lists!$S$4:$T$21,2,0),"??")&amp;"-"&amp;IFERROR(VLOOKUP(G53,Lists!$Y$4:$Z$21,2,0),"??")&amp;"-"&amp;IFERROR(VLOOKUP(D53,Lists!$V$4:$W$16,2,0),"??")&amp;"-"&amp;X53)</f>
        <v/>
      </c>
      <c r="B53" s="10" t="str">
        <f aca="false">IF(C53="","",D53&amp;" "&amp;C53&amp;", excavation "&amp;TEXT(E53,"0.0")&amp;" m, "&amp;F53&amp;", "&amp;G53&amp;", "&amp;J53)</f>
        <v/>
      </c>
      <c r="C53" s="9"/>
      <c r="D53" s="9"/>
      <c r="E53" s="43"/>
      <c r="F53" s="9"/>
      <c r="G53" s="9"/>
      <c r="H53" s="43"/>
      <c r="I53" s="40"/>
      <c r="J53" s="9"/>
      <c r="K53" s="9"/>
      <c r="L53" s="9"/>
      <c r="M53" s="43"/>
      <c r="N53" s="43"/>
      <c r="O53" s="9"/>
      <c r="P53" s="9"/>
      <c r="Q53" s="9"/>
      <c r="R53" s="9"/>
      <c r="S53" s="40"/>
      <c r="T53" s="40"/>
      <c r="U53" s="9"/>
      <c r="V53" s="9"/>
      <c r="W53" s="9"/>
      <c r="X53" s="9"/>
      <c r="Y53" s="9"/>
      <c r="Z53" s="9"/>
      <c r="AA53" s="9"/>
      <c r="AB53" s="9"/>
      <c r="AC53" s="10" t="str">
        <f aca="false">IF(A53="","",SG_Criteria!$B$6&amp;SG_Criteria!$B$9&amp;"\"&amp;A53&amp;"\")</f>
        <v/>
      </c>
      <c r="AD53" s="10" t="str">
        <f aca="false">IF(A53="","",A53&amp;"_CAD.dwg")</f>
        <v/>
      </c>
      <c r="AE53" s="10" t="str">
        <f aca="false">IF(A53="","",A53&amp;"_DWG.pdf")</f>
        <v/>
      </c>
      <c r="AF53" s="10" t="str">
        <f aca="false">IF(A53="","",IF(AB53="Y",A53&amp;"_STAAD.std","n/a"))</f>
        <v/>
      </c>
      <c r="AG53" s="10" t="str">
        <f aca="false">IF(A53="","",A53&amp;"_CALC.xlsx")</f>
        <v/>
      </c>
      <c r="AH53" s="10" t="str">
        <f aca="false">IF(A53="","",A53&amp;"_CALC.pdf")</f>
        <v/>
      </c>
      <c r="AI53" s="9"/>
      <c r="AJ53" s="9"/>
      <c r="AK53" s="41"/>
      <c r="AL53" s="41"/>
      <c r="AM53" s="41"/>
      <c r="AN53" s="41"/>
      <c r="AO53" s="41"/>
      <c r="AP53" s="38" t="str">
        <f aca="false">IF(OR(C53="",E53=""),"",IF(E53&lt;=IF(C53="Soldier Pile &amp; Timber Lagging",SG_Criteria!$B$34,SG_Criteria!$B$33),"No ERSS submission",IF(E53&lt;=SG_Criteria!$B$35,"QP(ST)",IF(E53&lt;=SG_Criteria!$B$36,"QP(ST) + AC","Geotechnical building works: QP(Geo) + AC"))))</f>
        <v/>
      </c>
      <c r="AQ53" s="38" t="str">
        <f aca="false">IF(C53="","",IF(LEN(IF(AND(U53&lt;&gt;"",IFERROR(VALUE(MID(U53,2,2)),0)&lt;SG_Criteria!$B$19),"FAIL: grade below C"&amp;SG_Criteria!$B$19&amp;". ","")&amp;IF(AND(LEFT(C53,3)="Con",N(H53)&lt;E53,G53="Kallang Formation (marine clay)"),"NOTE: CBP is not watertight below GWT in marine clay; consider secant / grouting. ","")&amp;IF(AND(C53="Steel Sheet Pile",D53="Permanent"),"NOTE: permanent sheet pile needs corrosion allowance. ","")&amp;IF(AND(F53="Cantilever (no support)",E53&gt;6),"NOTE: cantilever embedded wall &gt; 6 m, check deflection. ","")&amp;IF(AND(S53&lt;&gt;"",T53&lt;&gt;"",S53&gt;T53),"FAIL: deflection exceeds allowable. ",""))=0,"OK",IF(AND(U53&lt;&gt;"",IFERROR(VALUE(MID(U53,2,2)),0)&lt;SG_Criteria!$B$19),"FAIL: grade below C"&amp;SG_Criteria!$B$19&amp;". ","")&amp;IF(AND(LEFT(C53,3)="Con",N(H53)&lt;E53,G53="Kallang Formation (marine clay)"),"NOTE: CBP is not watertight below GWT in marine clay; consider secant / grouting. ","")&amp;IF(AND(C53="Steel Sheet Pile",D53="Permanent"),"NOTE: permanent sheet pile needs corrosion allowance. ","")&amp;IF(AND(F53="Cantilever (no support)",E53&gt;6),"NOTE: cantilever embedded wall &gt; 6 m, check deflection. ","")&amp;IF(AND(S53&lt;&gt;"",T53&lt;&gt;"",S53&gt;T53),"FAIL: deflection exceeds allowable. ","")))</f>
        <v/>
      </c>
      <c r="AR53" s="9"/>
      <c r="AS53" s="9"/>
      <c r="AT53" s="9"/>
      <c r="AU53" s="9"/>
      <c r="AV53" s="9"/>
      <c r="AW53" s="31"/>
      <c r="AX53" s="10" t="str">
        <f aca="false">IF(C53="","",IF(AND(Y53="Approved",ISERROR(SEARCH("FAIL",AQ53))),"Y","N"))</f>
        <v/>
      </c>
      <c r="AY53" s="10" t="str">
        <f aca="false">IF(C53="","",C53&amp;"|"&amp;E53&amp;"|"&amp;F53&amp;"|"&amp;G53&amp;"|"&amp;D53&amp;"|"&amp;AX53)</f>
        <v/>
      </c>
    </row>
    <row r="54" customFormat="false" ht="15" hidden="false" customHeight="false" outlineLevel="0" collapsed="false">
      <c r="A54" s="10" t="str">
        <f aca="false">IF(C54="","","EW-"&amp;IFERROR(VLOOKUP(C54,Lists!$P$4:$Q$22,2,0),"??")&amp;"-D"&amp;TEXT(E54*1000,"0000")&amp;"-"&amp;IFERROR(VLOOKUP(F54,Lists!$S$4:$T$21,2,0),"??")&amp;"-"&amp;IFERROR(VLOOKUP(G54,Lists!$Y$4:$Z$21,2,0),"??")&amp;"-"&amp;IFERROR(VLOOKUP(D54,Lists!$V$4:$W$16,2,0),"??")&amp;"-"&amp;X54)</f>
        <v/>
      </c>
      <c r="B54" s="10" t="str">
        <f aca="false">IF(C54="","",D54&amp;" "&amp;C54&amp;", excavation "&amp;TEXT(E54,"0.0")&amp;" m, "&amp;F54&amp;", "&amp;G54&amp;", "&amp;J54)</f>
        <v/>
      </c>
      <c r="C54" s="9"/>
      <c r="D54" s="9"/>
      <c r="E54" s="43"/>
      <c r="F54" s="9"/>
      <c r="G54" s="9"/>
      <c r="H54" s="43"/>
      <c r="I54" s="40"/>
      <c r="J54" s="9"/>
      <c r="K54" s="9"/>
      <c r="L54" s="9"/>
      <c r="M54" s="43"/>
      <c r="N54" s="43"/>
      <c r="O54" s="9"/>
      <c r="P54" s="9"/>
      <c r="Q54" s="9"/>
      <c r="R54" s="9"/>
      <c r="S54" s="40"/>
      <c r="T54" s="40"/>
      <c r="U54" s="9"/>
      <c r="V54" s="9"/>
      <c r="W54" s="9"/>
      <c r="X54" s="9"/>
      <c r="Y54" s="9"/>
      <c r="Z54" s="9"/>
      <c r="AA54" s="9"/>
      <c r="AB54" s="9"/>
      <c r="AC54" s="10" t="str">
        <f aca="false">IF(A54="","",SG_Criteria!$B$6&amp;SG_Criteria!$B$9&amp;"\"&amp;A54&amp;"\")</f>
        <v/>
      </c>
      <c r="AD54" s="10" t="str">
        <f aca="false">IF(A54="","",A54&amp;"_CAD.dwg")</f>
        <v/>
      </c>
      <c r="AE54" s="10" t="str">
        <f aca="false">IF(A54="","",A54&amp;"_DWG.pdf")</f>
        <v/>
      </c>
      <c r="AF54" s="10" t="str">
        <f aca="false">IF(A54="","",IF(AB54="Y",A54&amp;"_STAAD.std","n/a"))</f>
        <v/>
      </c>
      <c r="AG54" s="10" t="str">
        <f aca="false">IF(A54="","",A54&amp;"_CALC.xlsx")</f>
        <v/>
      </c>
      <c r="AH54" s="10" t="str">
        <f aca="false">IF(A54="","",A54&amp;"_CALC.pdf")</f>
        <v/>
      </c>
      <c r="AI54" s="9"/>
      <c r="AJ54" s="9"/>
      <c r="AK54" s="41"/>
      <c r="AL54" s="41"/>
      <c r="AM54" s="41"/>
      <c r="AN54" s="41"/>
      <c r="AO54" s="41"/>
      <c r="AP54" s="38" t="str">
        <f aca="false">IF(OR(C54="",E54=""),"",IF(E54&lt;=IF(C54="Soldier Pile &amp; Timber Lagging",SG_Criteria!$B$34,SG_Criteria!$B$33),"No ERSS submission",IF(E54&lt;=SG_Criteria!$B$35,"QP(ST)",IF(E54&lt;=SG_Criteria!$B$36,"QP(ST) + AC","Geotechnical building works: QP(Geo) + AC"))))</f>
        <v/>
      </c>
      <c r="AQ54" s="38" t="str">
        <f aca="false">IF(C54="","",IF(LEN(IF(AND(U54&lt;&gt;"",IFERROR(VALUE(MID(U54,2,2)),0)&lt;SG_Criteria!$B$19),"FAIL: grade below C"&amp;SG_Criteria!$B$19&amp;". ","")&amp;IF(AND(LEFT(C54,3)="Con",N(H54)&lt;E54,G54="Kallang Formation (marine clay)"),"NOTE: CBP is not watertight below GWT in marine clay; consider secant / grouting. ","")&amp;IF(AND(C54="Steel Sheet Pile",D54="Permanent"),"NOTE: permanent sheet pile needs corrosion allowance. ","")&amp;IF(AND(F54="Cantilever (no support)",E54&gt;6),"NOTE: cantilever embedded wall &gt; 6 m, check deflection. ","")&amp;IF(AND(S54&lt;&gt;"",T54&lt;&gt;"",S54&gt;T54),"FAIL: deflection exceeds allowable. ",""))=0,"OK",IF(AND(U54&lt;&gt;"",IFERROR(VALUE(MID(U54,2,2)),0)&lt;SG_Criteria!$B$19),"FAIL: grade below C"&amp;SG_Criteria!$B$19&amp;". ","")&amp;IF(AND(LEFT(C54,3)="Con",N(H54)&lt;E54,G54="Kallang Formation (marine clay)"),"NOTE: CBP is not watertight below GWT in marine clay; consider secant / grouting. ","")&amp;IF(AND(C54="Steel Sheet Pile",D54="Permanent"),"NOTE: permanent sheet pile needs corrosion allowance. ","")&amp;IF(AND(F54="Cantilever (no support)",E54&gt;6),"NOTE: cantilever embedded wall &gt; 6 m, check deflection. ","")&amp;IF(AND(S54&lt;&gt;"",T54&lt;&gt;"",S54&gt;T54),"FAIL: deflection exceeds allowable. ","")))</f>
        <v/>
      </c>
      <c r="AR54" s="9"/>
      <c r="AS54" s="9"/>
      <c r="AT54" s="9"/>
      <c r="AU54" s="9"/>
      <c r="AV54" s="9"/>
      <c r="AW54" s="31"/>
      <c r="AX54" s="10" t="str">
        <f aca="false">IF(C54="","",IF(AND(Y54="Approved",ISERROR(SEARCH("FAIL",AQ54))),"Y","N"))</f>
        <v/>
      </c>
      <c r="AY54" s="10" t="str">
        <f aca="false">IF(C54="","",C54&amp;"|"&amp;E54&amp;"|"&amp;F54&amp;"|"&amp;G54&amp;"|"&amp;D54&amp;"|"&amp;AX54)</f>
        <v/>
      </c>
    </row>
    <row r="55" customFormat="false" ht="15" hidden="false" customHeight="false" outlineLevel="0" collapsed="false">
      <c r="A55" s="10" t="str">
        <f aca="false">IF(C55="","","EW-"&amp;IFERROR(VLOOKUP(C55,Lists!$P$4:$Q$22,2,0),"??")&amp;"-D"&amp;TEXT(E55*1000,"0000")&amp;"-"&amp;IFERROR(VLOOKUP(F55,Lists!$S$4:$T$21,2,0),"??")&amp;"-"&amp;IFERROR(VLOOKUP(G55,Lists!$Y$4:$Z$21,2,0),"??")&amp;"-"&amp;IFERROR(VLOOKUP(D55,Lists!$V$4:$W$16,2,0),"??")&amp;"-"&amp;X55)</f>
        <v/>
      </c>
      <c r="B55" s="10" t="str">
        <f aca="false">IF(C55="","",D55&amp;" "&amp;C55&amp;", excavation "&amp;TEXT(E55,"0.0")&amp;" m, "&amp;F55&amp;", "&amp;G55&amp;", "&amp;J55)</f>
        <v/>
      </c>
      <c r="C55" s="9"/>
      <c r="D55" s="9"/>
      <c r="E55" s="43"/>
      <c r="F55" s="9"/>
      <c r="G55" s="9"/>
      <c r="H55" s="43"/>
      <c r="I55" s="40"/>
      <c r="J55" s="9"/>
      <c r="K55" s="9"/>
      <c r="L55" s="9"/>
      <c r="M55" s="43"/>
      <c r="N55" s="43"/>
      <c r="O55" s="9"/>
      <c r="P55" s="9"/>
      <c r="Q55" s="9"/>
      <c r="R55" s="9"/>
      <c r="S55" s="40"/>
      <c r="T55" s="40"/>
      <c r="U55" s="9"/>
      <c r="V55" s="9"/>
      <c r="W55" s="9"/>
      <c r="X55" s="9"/>
      <c r="Y55" s="9"/>
      <c r="Z55" s="9"/>
      <c r="AA55" s="9"/>
      <c r="AB55" s="9"/>
      <c r="AC55" s="10" t="str">
        <f aca="false">IF(A55="","",SG_Criteria!$B$6&amp;SG_Criteria!$B$9&amp;"\"&amp;A55&amp;"\")</f>
        <v/>
      </c>
      <c r="AD55" s="10" t="str">
        <f aca="false">IF(A55="","",A55&amp;"_CAD.dwg")</f>
        <v/>
      </c>
      <c r="AE55" s="10" t="str">
        <f aca="false">IF(A55="","",A55&amp;"_DWG.pdf")</f>
        <v/>
      </c>
      <c r="AF55" s="10" t="str">
        <f aca="false">IF(A55="","",IF(AB55="Y",A55&amp;"_STAAD.std","n/a"))</f>
        <v/>
      </c>
      <c r="AG55" s="10" t="str">
        <f aca="false">IF(A55="","",A55&amp;"_CALC.xlsx")</f>
        <v/>
      </c>
      <c r="AH55" s="10" t="str">
        <f aca="false">IF(A55="","",A55&amp;"_CALC.pdf")</f>
        <v/>
      </c>
      <c r="AI55" s="9"/>
      <c r="AJ55" s="9"/>
      <c r="AK55" s="41"/>
      <c r="AL55" s="41"/>
      <c r="AM55" s="41"/>
      <c r="AN55" s="41"/>
      <c r="AO55" s="41"/>
      <c r="AP55" s="38" t="str">
        <f aca="false">IF(OR(C55="",E55=""),"",IF(E55&lt;=IF(C55="Soldier Pile &amp; Timber Lagging",SG_Criteria!$B$34,SG_Criteria!$B$33),"No ERSS submission",IF(E55&lt;=SG_Criteria!$B$35,"QP(ST)",IF(E55&lt;=SG_Criteria!$B$36,"QP(ST) + AC","Geotechnical building works: QP(Geo) + AC"))))</f>
        <v/>
      </c>
      <c r="AQ55" s="38" t="str">
        <f aca="false">IF(C55="","",IF(LEN(IF(AND(U55&lt;&gt;"",IFERROR(VALUE(MID(U55,2,2)),0)&lt;SG_Criteria!$B$19),"FAIL: grade below C"&amp;SG_Criteria!$B$19&amp;". ","")&amp;IF(AND(LEFT(C55,3)="Con",N(H55)&lt;E55,G55="Kallang Formation (marine clay)"),"NOTE: CBP is not watertight below GWT in marine clay; consider secant / grouting. ","")&amp;IF(AND(C55="Steel Sheet Pile",D55="Permanent"),"NOTE: permanent sheet pile needs corrosion allowance. ","")&amp;IF(AND(F55="Cantilever (no support)",E55&gt;6),"NOTE: cantilever embedded wall &gt; 6 m, check deflection. ","")&amp;IF(AND(S55&lt;&gt;"",T55&lt;&gt;"",S55&gt;T55),"FAIL: deflection exceeds allowable. ",""))=0,"OK",IF(AND(U55&lt;&gt;"",IFERROR(VALUE(MID(U55,2,2)),0)&lt;SG_Criteria!$B$19),"FAIL: grade below C"&amp;SG_Criteria!$B$19&amp;". ","")&amp;IF(AND(LEFT(C55,3)="Con",N(H55)&lt;E55,G55="Kallang Formation (marine clay)"),"NOTE: CBP is not watertight below GWT in marine clay; consider secant / grouting. ","")&amp;IF(AND(C55="Steel Sheet Pile",D55="Permanent"),"NOTE: permanent sheet pile needs corrosion allowance. ","")&amp;IF(AND(F55="Cantilever (no support)",E55&gt;6),"NOTE: cantilever embedded wall &gt; 6 m, check deflection. ","")&amp;IF(AND(S55&lt;&gt;"",T55&lt;&gt;"",S55&gt;T55),"FAIL: deflection exceeds allowable. ","")))</f>
        <v/>
      </c>
      <c r="AR55" s="9"/>
      <c r="AS55" s="9"/>
      <c r="AT55" s="9"/>
      <c r="AU55" s="9"/>
      <c r="AV55" s="9"/>
      <c r="AW55" s="31"/>
      <c r="AX55" s="10" t="str">
        <f aca="false">IF(C55="","",IF(AND(Y55="Approved",ISERROR(SEARCH("FAIL",AQ55))),"Y","N"))</f>
        <v/>
      </c>
      <c r="AY55" s="10" t="str">
        <f aca="false">IF(C55="","",C55&amp;"|"&amp;E55&amp;"|"&amp;F55&amp;"|"&amp;G55&amp;"|"&amp;D55&amp;"|"&amp;AX55)</f>
        <v/>
      </c>
    </row>
    <row r="56" customFormat="false" ht="15" hidden="false" customHeight="false" outlineLevel="0" collapsed="false">
      <c r="A56" s="10" t="str">
        <f aca="false">IF(C56="","","EW-"&amp;IFERROR(VLOOKUP(C56,Lists!$P$4:$Q$22,2,0),"??")&amp;"-D"&amp;TEXT(E56*1000,"0000")&amp;"-"&amp;IFERROR(VLOOKUP(F56,Lists!$S$4:$T$21,2,0),"??")&amp;"-"&amp;IFERROR(VLOOKUP(G56,Lists!$Y$4:$Z$21,2,0),"??")&amp;"-"&amp;IFERROR(VLOOKUP(D56,Lists!$V$4:$W$16,2,0),"??")&amp;"-"&amp;X56)</f>
        <v/>
      </c>
      <c r="B56" s="10" t="str">
        <f aca="false">IF(C56="","",D56&amp;" "&amp;C56&amp;", excavation "&amp;TEXT(E56,"0.0")&amp;" m, "&amp;F56&amp;", "&amp;G56&amp;", "&amp;J56)</f>
        <v/>
      </c>
      <c r="C56" s="9"/>
      <c r="D56" s="9"/>
      <c r="E56" s="43"/>
      <c r="F56" s="9"/>
      <c r="G56" s="9"/>
      <c r="H56" s="43"/>
      <c r="I56" s="40"/>
      <c r="J56" s="9"/>
      <c r="K56" s="9"/>
      <c r="L56" s="9"/>
      <c r="M56" s="43"/>
      <c r="N56" s="43"/>
      <c r="O56" s="9"/>
      <c r="P56" s="9"/>
      <c r="Q56" s="9"/>
      <c r="R56" s="9"/>
      <c r="S56" s="40"/>
      <c r="T56" s="40"/>
      <c r="U56" s="9"/>
      <c r="V56" s="9"/>
      <c r="W56" s="9"/>
      <c r="X56" s="9"/>
      <c r="Y56" s="9"/>
      <c r="Z56" s="9"/>
      <c r="AA56" s="9"/>
      <c r="AB56" s="9"/>
      <c r="AC56" s="10" t="str">
        <f aca="false">IF(A56="","",SG_Criteria!$B$6&amp;SG_Criteria!$B$9&amp;"\"&amp;A56&amp;"\")</f>
        <v/>
      </c>
      <c r="AD56" s="10" t="str">
        <f aca="false">IF(A56="","",A56&amp;"_CAD.dwg")</f>
        <v/>
      </c>
      <c r="AE56" s="10" t="str">
        <f aca="false">IF(A56="","",A56&amp;"_DWG.pdf")</f>
        <v/>
      </c>
      <c r="AF56" s="10" t="str">
        <f aca="false">IF(A56="","",IF(AB56="Y",A56&amp;"_STAAD.std","n/a"))</f>
        <v/>
      </c>
      <c r="AG56" s="10" t="str">
        <f aca="false">IF(A56="","",A56&amp;"_CALC.xlsx")</f>
        <v/>
      </c>
      <c r="AH56" s="10" t="str">
        <f aca="false">IF(A56="","",A56&amp;"_CALC.pdf")</f>
        <v/>
      </c>
      <c r="AI56" s="9"/>
      <c r="AJ56" s="9"/>
      <c r="AK56" s="41"/>
      <c r="AL56" s="41"/>
      <c r="AM56" s="41"/>
      <c r="AN56" s="41"/>
      <c r="AO56" s="41"/>
      <c r="AP56" s="38" t="str">
        <f aca="false">IF(OR(C56="",E56=""),"",IF(E56&lt;=IF(C56="Soldier Pile &amp; Timber Lagging",SG_Criteria!$B$34,SG_Criteria!$B$33),"No ERSS submission",IF(E56&lt;=SG_Criteria!$B$35,"QP(ST)",IF(E56&lt;=SG_Criteria!$B$36,"QP(ST) + AC","Geotechnical building works: QP(Geo) + AC"))))</f>
        <v/>
      </c>
      <c r="AQ56" s="38" t="str">
        <f aca="false">IF(C56="","",IF(LEN(IF(AND(U56&lt;&gt;"",IFERROR(VALUE(MID(U56,2,2)),0)&lt;SG_Criteria!$B$19),"FAIL: grade below C"&amp;SG_Criteria!$B$19&amp;". ","")&amp;IF(AND(LEFT(C56,3)="Con",N(H56)&lt;E56,G56="Kallang Formation (marine clay)"),"NOTE: CBP is not watertight below GWT in marine clay; consider secant / grouting. ","")&amp;IF(AND(C56="Steel Sheet Pile",D56="Permanent"),"NOTE: permanent sheet pile needs corrosion allowance. ","")&amp;IF(AND(F56="Cantilever (no support)",E56&gt;6),"NOTE: cantilever embedded wall &gt; 6 m, check deflection. ","")&amp;IF(AND(S56&lt;&gt;"",T56&lt;&gt;"",S56&gt;T56),"FAIL: deflection exceeds allowable. ",""))=0,"OK",IF(AND(U56&lt;&gt;"",IFERROR(VALUE(MID(U56,2,2)),0)&lt;SG_Criteria!$B$19),"FAIL: grade below C"&amp;SG_Criteria!$B$19&amp;". ","")&amp;IF(AND(LEFT(C56,3)="Con",N(H56)&lt;E56,G56="Kallang Formation (marine clay)"),"NOTE: CBP is not watertight below GWT in marine clay; consider secant / grouting. ","")&amp;IF(AND(C56="Steel Sheet Pile",D56="Permanent"),"NOTE: permanent sheet pile needs corrosion allowance. ","")&amp;IF(AND(F56="Cantilever (no support)",E56&gt;6),"NOTE: cantilever embedded wall &gt; 6 m, check deflection. ","")&amp;IF(AND(S56&lt;&gt;"",T56&lt;&gt;"",S56&gt;T56),"FAIL: deflection exceeds allowable. ","")))</f>
        <v/>
      </c>
      <c r="AR56" s="9"/>
      <c r="AS56" s="9"/>
      <c r="AT56" s="9"/>
      <c r="AU56" s="9"/>
      <c r="AV56" s="9"/>
      <c r="AW56" s="31"/>
      <c r="AX56" s="10" t="str">
        <f aca="false">IF(C56="","",IF(AND(Y56="Approved",ISERROR(SEARCH("FAIL",AQ56))),"Y","N"))</f>
        <v/>
      </c>
      <c r="AY56" s="10" t="str">
        <f aca="false">IF(C56="","",C56&amp;"|"&amp;E56&amp;"|"&amp;F56&amp;"|"&amp;G56&amp;"|"&amp;D56&amp;"|"&amp;AX56)</f>
        <v/>
      </c>
    </row>
    <row r="57" customFormat="false" ht="15" hidden="false" customHeight="false" outlineLevel="0" collapsed="false">
      <c r="A57" s="10" t="str">
        <f aca="false">IF(C57="","","EW-"&amp;IFERROR(VLOOKUP(C57,Lists!$P$4:$Q$22,2,0),"??")&amp;"-D"&amp;TEXT(E57*1000,"0000")&amp;"-"&amp;IFERROR(VLOOKUP(F57,Lists!$S$4:$T$21,2,0),"??")&amp;"-"&amp;IFERROR(VLOOKUP(G57,Lists!$Y$4:$Z$21,2,0),"??")&amp;"-"&amp;IFERROR(VLOOKUP(D57,Lists!$V$4:$W$16,2,0),"??")&amp;"-"&amp;X57)</f>
        <v/>
      </c>
      <c r="B57" s="10" t="str">
        <f aca="false">IF(C57="","",D57&amp;" "&amp;C57&amp;", excavation "&amp;TEXT(E57,"0.0")&amp;" m, "&amp;F57&amp;", "&amp;G57&amp;", "&amp;J57)</f>
        <v/>
      </c>
      <c r="C57" s="9"/>
      <c r="D57" s="9"/>
      <c r="E57" s="43"/>
      <c r="F57" s="9"/>
      <c r="G57" s="9"/>
      <c r="H57" s="43"/>
      <c r="I57" s="40"/>
      <c r="J57" s="9"/>
      <c r="K57" s="9"/>
      <c r="L57" s="9"/>
      <c r="M57" s="43"/>
      <c r="N57" s="43"/>
      <c r="O57" s="9"/>
      <c r="P57" s="9"/>
      <c r="Q57" s="9"/>
      <c r="R57" s="9"/>
      <c r="S57" s="40"/>
      <c r="T57" s="40"/>
      <c r="U57" s="9"/>
      <c r="V57" s="9"/>
      <c r="W57" s="9"/>
      <c r="X57" s="9"/>
      <c r="Y57" s="9"/>
      <c r="Z57" s="9"/>
      <c r="AA57" s="9"/>
      <c r="AB57" s="9"/>
      <c r="AC57" s="10" t="str">
        <f aca="false">IF(A57="","",SG_Criteria!$B$6&amp;SG_Criteria!$B$9&amp;"\"&amp;A57&amp;"\")</f>
        <v/>
      </c>
      <c r="AD57" s="10" t="str">
        <f aca="false">IF(A57="","",A57&amp;"_CAD.dwg")</f>
        <v/>
      </c>
      <c r="AE57" s="10" t="str">
        <f aca="false">IF(A57="","",A57&amp;"_DWG.pdf")</f>
        <v/>
      </c>
      <c r="AF57" s="10" t="str">
        <f aca="false">IF(A57="","",IF(AB57="Y",A57&amp;"_STAAD.std","n/a"))</f>
        <v/>
      </c>
      <c r="AG57" s="10" t="str">
        <f aca="false">IF(A57="","",A57&amp;"_CALC.xlsx")</f>
        <v/>
      </c>
      <c r="AH57" s="10" t="str">
        <f aca="false">IF(A57="","",A57&amp;"_CALC.pdf")</f>
        <v/>
      </c>
      <c r="AI57" s="9"/>
      <c r="AJ57" s="9"/>
      <c r="AK57" s="41"/>
      <c r="AL57" s="41"/>
      <c r="AM57" s="41"/>
      <c r="AN57" s="41"/>
      <c r="AO57" s="41"/>
      <c r="AP57" s="38" t="str">
        <f aca="false">IF(OR(C57="",E57=""),"",IF(E57&lt;=IF(C57="Soldier Pile &amp; Timber Lagging",SG_Criteria!$B$34,SG_Criteria!$B$33),"No ERSS submission",IF(E57&lt;=SG_Criteria!$B$35,"QP(ST)",IF(E57&lt;=SG_Criteria!$B$36,"QP(ST) + AC","Geotechnical building works: QP(Geo) + AC"))))</f>
        <v/>
      </c>
      <c r="AQ57" s="38" t="str">
        <f aca="false">IF(C57="","",IF(LEN(IF(AND(U57&lt;&gt;"",IFERROR(VALUE(MID(U57,2,2)),0)&lt;SG_Criteria!$B$19),"FAIL: grade below C"&amp;SG_Criteria!$B$19&amp;". ","")&amp;IF(AND(LEFT(C57,3)="Con",N(H57)&lt;E57,G57="Kallang Formation (marine clay)"),"NOTE: CBP is not watertight below GWT in marine clay; consider secant / grouting. ","")&amp;IF(AND(C57="Steel Sheet Pile",D57="Permanent"),"NOTE: permanent sheet pile needs corrosion allowance. ","")&amp;IF(AND(F57="Cantilever (no support)",E57&gt;6),"NOTE: cantilever embedded wall &gt; 6 m, check deflection. ","")&amp;IF(AND(S57&lt;&gt;"",T57&lt;&gt;"",S57&gt;T57),"FAIL: deflection exceeds allowable. ",""))=0,"OK",IF(AND(U57&lt;&gt;"",IFERROR(VALUE(MID(U57,2,2)),0)&lt;SG_Criteria!$B$19),"FAIL: grade below C"&amp;SG_Criteria!$B$19&amp;". ","")&amp;IF(AND(LEFT(C57,3)="Con",N(H57)&lt;E57,G57="Kallang Formation (marine clay)"),"NOTE: CBP is not watertight below GWT in marine clay; consider secant / grouting. ","")&amp;IF(AND(C57="Steel Sheet Pile",D57="Permanent"),"NOTE: permanent sheet pile needs corrosion allowance. ","")&amp;IF(AND(F57="Cantilever (no support)",E57&gt;6),"NOTE: cantilever embedded wall &gt; 6 m, check deflection. ","")&amp;IF(AND(S57&lt;&gt;"",T57&lt;&gt;"",S57&gt;T57),"FAIL: deflection exceeds allowable. ","")))</f>
        <v/>
      </c>
      <c r="AR57" s="9"/>
      <c r="AS57" s="9"/>
      <c r="AT57" s="9"/>
      <c r="AU57" s="9"/>
      <c r="AV57" s="9"/>
      <c r="AW57" s="31"/>
      <c r="AX57" s="10" t="str">
        <f aca="false">IF(C57="","",IF(AND(Y57="Approved",ISERROR(SEARCH("FAIL",AQ57))),"Y","N"))</f>
        <v/>
      </c>
      <c r="AY57" s="10" t="str">
        <f aca="false">IF(C57="","",C57&amp;"|"&amp;E57&amp;"|"&amp;F57&amp;"|"&amp;G57&amp;"|"&amp;D57&amp;"|"&amp;AX57)</f>
        <v/>
      </c>
    </row>
    <row r="58" customFormat="false" ht="15" hidden="false" customHeight="false" outlineLevel="0" collapsed="false">
      <c r="A58" s="10" t="str">
        <f aca="false">IF(C58="","","EW-"&amp;IFERROR(VLOOKUP(C58,Lists!$P$4:$Q$22,2,0),"??")&amp;"-D"&amp;TEXT(E58*1000,"0000")&amp;"-"&amp;IFERROR(VLOOKUP(F58,Lists!$S$4:$T$21,2,0),"??")&amp;"-"&amp;IFERROR(VLOOKUP(G58,Lists!$Y$4:$Z$21,2,0),"??")&amp;"-"&amp;IFERROR(VLOOKUP(D58,Lists!$V$4:$W$16,2,0),"??")&amp;"-"&amp;X58)</f>
        <v/>
      </c>
      <c r="B58" s="10" t="str">
        <f aca="false">IF(C58="","",D58&amp;" "&amp;C58&amp;", excavation "&amp;TEXT(E58,"0.0")&amp;" m, "&amp;F58&amp;", "&amp;G58&amp;", "&amp;J58)</f>
        <v/>
      </c>
      <c r="C58" s="9"/>
      <c r="D58" s="9"/>
      <c r="E58" s="43"/>
      <c r="F58" s="9"/>
      <c r="G58" s="9"/>
      <c r="H58" s="43"/>
      <c r="I58" s="40"/>
      <c r="J58" s="9"/>
      <c r="K58" s="9"/>
      <c r="L58" s="9"/>
      <c r="M58" s="43"/>
      <c r="N58" s="43"/>
      <c r="O58" s="9"/>
      <c r="P58" s="9"/>
      <c r="Q58" s="9"/>
      <c r="R58" s="9"/>
      <c r="S58" s="40"/>
      <c r="T58" s="40"/>
      <c r="U58" s="9"/>
      <c r="V58" s="9"/>
      <c r="W58" s="9"/>
      <c r="X58" s="9"/>
      <c r="Y58" s="9"/>
      <c r="Z58" s="9"/>
      <c r="AA58" s="9"/>
      <c r="AB58" s="9"/>
      <c r="AC58" s="10" t="str">
        <f aca="false">IF(A58="","",SG_Criteria!$B$6&amp;SG_Criteria!$B$9&amp;"\"&amp;A58&amp;"\")</f>
        <v/>
      </c>
      <c r="AD58" s="10" t="str">
        <f aca="false">IF(A58="","",A58&amp;"_CAD.dwg")</f>
        <v/>
      </c>
      <c r="AE58" s="10" t="str">
        <f aca="false">IF(A58="","",A58&amp;"_DWG.pdf")</f>
        <v/>
      </c>
      <c r="AF58" s="10" t="str">
        <f aca="false">IF(A58="","",IF(AB58="Y",A58&amp;"_STAAD.std","n/a"))</f>
        <v/>
      </c>
      <c r="AG58" s="10" t="str">
        <f aca="false">IF(A58="","",A58&amp;"_CALC.xlsx")</f>
        <v/>
      </c>
      <c r="AH58" s="10" t="str">
        <f aca="false">IF(A58="","",A58&amp;"_CALC.pdf")</f>
        <v/>
      </c>
      <c r="AI58" s="9"/>
      <c r="AJ58" s="9"/>
      <c r="AK58" s="41"/>
      <c r="AL58" s="41"/>
      <c r="AM58" s="41"/>
      <c r="AN58" s="41"/>
      <c r="AO58" s="41"/>
      <c r="AP58" s="38" t="str">
        <f aca="false">IF(OR(C58="",E58=""),"",IF(E58&lt;=IF(C58="Soldier Pile &amp; Timber Lagging",SG_Criteria!$B$34,SG_Criteria!$B$33),"No ERSS submission",IF(E58&lt;=SG_Criteria!$B$35,"QP(ST)",IF(E58&lt;=SG_Criteria!$B$36,"QP(ST) + AC","Geotechnical building works: QP(Geo) + AC"))))</f>
        <v/>
      </c>
      <c r="AQ58" s="38" t="str">
        <f aca="false">IF(C58="","",IF(LEN(IF(AND(U58&lt;&gt;"",IFERROR(VALUE(MID(U58,2,2)),0)&lt;SG_Criteria!$B$19),"FAIL: grade below C"&amp;SG_Criteria!$B$19&amp;". ","")&amp;IF(AND(LEFT(C58,3)="Con",N(H58)&lt;E58,G58="Kallang Formation (marine clay)"),"NOTE: CBP is not watertight below GWT in marine clay; consider secant / grouting. ","")&amp;IF(AND(C58="Steel Sheet Pile",D58="Permanent"),"NOTE: permanent sheet pile needs corrosion allowance. ","")&amp;IF(AND(F58="Cantilever (no support)",E58&gt;6),"NOTE: cantilever embedded wall &gt; 6 m, check deflection. ","")&amp;IF(AND(S58&lt;&gt;"",T58&lt;&gt;"",S58&gt;T58),"FAIL: deflection exceeds allowable. ",""))=0,"OK",IF(AND(U58&lt;&gt;"",IFERROR(VALUE(MID(U58,2,2)),0)&lt;SG_Criteria!$B$19),"FAIL: grade below C"&amp;SG_Criteria!$B$19&amp;". ","")&amp;IF(AND(LEFT(C58,3)="Con",N(H58)&lt;E58,G58="Kallang Formation (marine clay)"),"NOTE: CBP is not watertight below GWT in marine clay; consider secant / grouting. ","")&amp;IF(AND(C58="Steel Sheet Pile",D58="Permanent"),"NOTE: permanent sheet pile needs corrosion allowance. ","")&amp;IF(AND(F58="Cantilever (no support)",E58&gt;6),"NOTE: cantilever embedded wall &gt; 6 m, check deflection. ","")&amp;IF(AND(S58&lt;&gt;"",T58&lt;&gt;"",S58&gt;T58),"FAIL: deflection exceeds allowable. ","")))</f>
        <v/>
      </c>
      <c r="AR58" s="9"/>
      <c r="AS58" s="9"/>
      <c r="AT58" s="9"/>
      <c r="AU58" s="9"/>
      <c r="AV58" s="9"/>
      <c r="AW58" s="31"/>
      <c r="AX58" s="10" t="str">
        <f aca="false">IF(C58="","",IF(AND(Y58="Approved",ISERROR(SEARCH("FAIL",AQ58))),"Y","N"))</f>
        <v/>
      </c>
      <c r="AY58" s="10" t="str">
        <f aca="false">IF(C58="","",C58&amp;"|"&amp;E58&amp;"|"&amp;F58&amp;"|"&amp;G58&amp;"|"&amp;D58&amp;"|"&amp;AX58)</f>
        <v/>
      </c>
    </row>
    <row r="59" customFormat="false" ht="15" hidden="false" customHeight="false" outlineLevel="0" collapsed="false">
      <c r="A59" s="10" t="str">
        <f aca="false">IF(C59="","","EW-"&amp;IFERROR(VLOOKUP(C59,Lists!$P$4:$Q$22,2,0),"??")&amp;"-D"&amp;TEXT(E59*1000,"0000")&amp;"-"&amp;IFERROR(VLOOKUP(F59,Lists!$S$4:$T$21,2,0),"??")&amp;"-"&amp;IFERROR(VLOOKUP(G59,Lists!$Y$4:$Z$21,2,0),"??")&amp;"-"&amp;IFERROR(VLOOKUP(D59,Lists!$V$4:$W$16,2,0),"??")&amp;"-"&amp;X59)</f>
        <v/>
      </c>
      <c r="B59" s="10" t="str">
        <f aca="false">IF(C59="","",D59&amp;" "&amp;C59&amp;", excavation "&amp;TEXT(E59,"0.0")&amp;" m, "&amp;F59&amp;", "&amp;G59&amp;", "&amp;J59)</f>
        <v/>
      </c>
      <c r="C59" s="9"/>
      <c r="D59" s="9"/>
      <c r="E59" s="43"/>
      <c r="F59" s="9"/>
      <c r="G59" s="9"/>
      <c r="H59" s="43"/>
      <c r="I59" s="40"/>
      <c r="J59" s="9"/>
      <c r="K59" s="9"/>
      <c r="L59" s="9"/>
      <c r="M59" s="43"/>
      <c r="N59" s="43"/>
      <c r="O59" s="9"/>
      <c r="P59" s="9"/>
      <c r="Q59" s="9"/>
      <c r="R59" s="9"/>
      <c r="S59" s="40"/>
      <c r="T59" s="40"/>
      <c r="U59" s="9"/>
      <c r="V59" s="9"/>
      <c r="W59" s="9"/>
      <c r="X59" s="9"/>
      <c r="Y59" s="9"/>
      <c r="Z59" s="9"/>
      <c r="AA59" s="9"/>
      <c r="AB59" s="9"/>
      <c r="AC59" s="10" t="str">
        <f aca="false">IF(A59="","",SG_Criteria!$B$6&amp;SG_Criteria!$B$9&amp;"\"&amp;A59&amp;"\")</f>
        <v/>
      </c>
      <c r="AD59" s="10" t="str">
        <f aca="false">IF(A59="","",A59&amp;"_CAD.dwg")</f>
        <v/>
      </c>
      <c r="AE59" s="10" t="str">
        <f aca="false">IF(A59="","",A59&amp;"_DWG.pdf")</f>
        <v/>
      </c>
      <c r="AF59" s="10" t="str">
        <f aca="false">IF(A59="","",IF(AB59="Y",A59&amp;"_STAAD.std","n/a"))</f>
        <v/>
      </c>
      <c r="AG59" s="10" t="str">
        <f aca="false">IF(A59="","",A59&amp;"_CALC.xlsx")</f>
        <v/>
      </c>
      <c r="AH59" s="10" t="str">
        <f aca="false">IF(A59="","",A59&amp;"_CALC.pdf")</f>
        <v/>
      </c>
      <c r="AI59" s="9"/>
      <c r="AJ59" s="9"/>
      <c r="AK59" s="41"/>
      <c r="AL59" s="41"/>
      <c r="AM59" s="41"/>
      <c r="AN59" s="41"/>
      <c r="AO59" s="41"/>
      <c r="AP59" s="38" t="str">
        <f aca="false">IF(OR(C59="",E59=""),"",IF(E59&lt;=IF(C59="Soldier Pile &amp; Timber Lagging",SG_Criteria!$B$34,SG_Criteria!$B$33),"No ERSS submission",IF(E59&lt;=SG_Criteria!$B$35,"QP(ST)",IF(E59&lt;=SG_Criteria!$B$36,"QP(ST) + AC","Geotechnical building works: QP(Geo) + AC"))))</f>
        <v/>
      </c>
      <c r="AQ59" s="38" t="str">
        <f aca="false">IF(C59="","",IF(LEN(IF(AND(U59&lt;&gt;"",IFERROR(VALUE(MID(U59,2,2)),0)&lt;SG_Criteria!$B$19),"FAIL: grade below C"&amp;SG_Criteria!$B$19&amp;". ","")&amp;IF(AND(LEFT(C59,3)="Con",N(H59)&lt;E59,G59="Kallang Formation (marine clay)"),"NOTE: CBP is not watertight below GWT in marine clay; consider secant / grouting. ","")&amp;IF(AND(C59="Steel Sheet Pile",D59="Permanent"),"NOTE: permanent sheet pile needs corrosion allowance. ","")&amp;IF(AND(F59="Cantilever (no support)",E59&gt;6),"NOTE: cantilever embedded wall &gt; 6 m, check deflection. ","")&amp;IF(AND(S59&lt;&gt;"",T59&lt;&gt;"",S59&gt;T59),"FAIL: deflection exceeds allowable. ",""))=0,"OK",IF(AND(U59&lt;&gt;"",IFERROR(VALUE(MID(U59,2,2)),0)&lt;SG_Criteria!$B$19),"FAIL: grade below C"&amp;SG_Criteria!$B$19&amp;". ","")&amp;IF(AND(LEFT(C59,3)="Con",N(H59)&lt;E59,G59="Kallang Formation (marine clay)"),"NOTE: CBP is not watertight below GWT in marine clay; consider secant / grouting. ","")&amp;IF(AND(C59="Steel Sheet Pile",D59="Permanent"),"NOTE: permanent sheet pile needs corrosion allowance. ","")&amp;IF(AND(F59="Cantilever (no support)",E59&gt;6),"NOTE: cantilever embedded wall &gt; 6 m, check deflection. ","")&amp;IF(AND(S59&lt;&gt;"",T59&lt;&gt;"",S59&gt;T59),"FAIL: deflection exceeds allowable. ","")))</f>
        <v/>
      </c>
      <c r="AR59" s="9"/>
      <c r="AS59" s="9"/>
      <c r="AT59" s="9"/>
      <c r="AU59" s="9"/>
      <c r="AV59" s="9"/>
      <c r="AW59" s="31"/>
      <c r="AX59" s="10" t="str">
        <f aca="false">IF(C59="","",IF(AND(Y59="Approved",ISERROR(SEARCH("FAIL",AQ59))),"Y","N"))</f>
        <v/>
      </c>
      <c r="AY59" s="10" t="str">
        <f aca="false">IF(C59="","",C59&amp;"|"&amp;E59&amp;"|"&amp;F59&amp;"|"&amp;G59&amp;"|"&amp;D59&amp;"|"&amp;AX59)</f>
        <v/>
      </c>
    </row>
    <row r="60" customFormat="false" ht="15" hidden="false" customHeight="false" outlineLevel="0" collapsed="false">
      <c r="A60" s="10" t="str">
        <f aca="false">IF(C60="","","EW-"&amp;IFERROR(VLOOKUP(C60,Lists!$P$4:$Q$22,2,0),"??")&amp;"-D"&amp;TEXT(E60*1000,"0000")&amp;"-"&amp;IFERROR(VLOOKUP(F60,Lists!$S$4:$T$21,2,0),"??")&amp;"-"&amp;IFERROR(VLOOKUP(G60,Lists!$Y$4:$Z$21,2,0),"??")&amp;"-"&amp;IFERROR(VLOOKUP(D60,Lists!$V$4:$W$16,2,0),"??")&amp;"-"&amp;X60)</f>
        <v/>
      </c>
      <c r="B60" s="10" t="str">
        <f aca="false">IF(C60="","",D60&amp;" "&amp;C60&amp;", excavation "&amp;TEXT(E60,"0.0")&amp;" m, "&amp;F60&amp;", "&amp;G60&amp;", "&amp;J60)</f>
        <v/>
      </c>
      <c r="C60" s="9"/>
      <c r="D60" s="9"/>
      <c r="E60" s="43"/>
      <c r="F60" s="9"/>
      <c r="G60" s="9"/>
      <c r="H60" s="43"/>
      <c r="I60" s="40"/>
      <c r="J60" s="9"/>
      <c r="K60" s="9"/>
      <c r="L60" s="9"/>
      <c r="M60" s="43"/>
      <c r="N60" s="43"/>
      <c r="O60" s="9"/>
      <c r="P60" s="9"/>
      <c r="Q60" s="9"/>
      <c r="R60" s="9"/>
      <c r="S60" s="40"/>
      <c r="T60" s="40"/>
      <c r="U60" s="9"/>
      <c r="V60" s="9"/>
      <c r="W60" s="9"/>
      <c r="X60" s="9"/>
      <c r="Y60" s="9"/>
      <c r="Z60" s="9"/>
      <c r="AA60" s="9"/>
      <c r="AB60" s="9"/>
      <c r="AC60" s="10" t="str">
        <f aca="false">IF(A60="","",SG_Criteria!$B$6&amp;SG_Criteria!$B$9&amp;"\"&amp;A60&amp;"\")</f>
        <v/>
      </c>
      <c r="AD60" s="10" t="str">
        <f aca="false">IF(A60="","",A60&amp;"_CAD.dwg")</f>
        <v/>
      </c>
      <c r="AE60" s="10" t="str">
        <f aca="false">IF(A60="","",A60&amp;"_DWG.pdf")</f>
        <v/>
      </c>
      <c r="AF60" s="10" t="str">
        <f aca="false">IF(A60="","",IF(AB60="Y",A60&amp;"_STAAD.std","n/a"))</f>
        <v/>
      </c>
      <c r="AG60" s="10" t="str">
        <f aca="false">IF(A60="","",A60&amp;"_CALC.xlsx")</f>
        <v/>
      </c>
      <c r="AH60" s="10" t="str">
        <f aca="false">IF(A60="","",A60&amp;"_CALC.pdf")</f>
        <v/>
      </c>
      <c r="AI60" s="9"/>
      <c r="AJ60" s="9"/>
      <c r="AK60" s="41"/>
      <c r="AL60" s="41"/>
      <c r="AM60" s="41"/>
      <c r="AN60" s="41"/>
      <c r="AO60" s="41"/>
      <c r="AP60" s="38" t="str">
        <f aca="false">IF(OR(C60="",E60=""),"",IF(E60&lt;=IF(C60="Soldier Pile &amp; Timber Lagging",SG_Criteria!$B$34,SG_Criteria!$B$33),"No ERSS submission",IF(E60&lt;=SG_Criteria!$B$35,"QP(ST)",IF(E60&lt;=SG_Criteria!$B$36,"QP(ST) + AC","Geotechnical building works: QP(Geo) + AC"))))</f>
        <v/>
      </c>
      <c r="AQ60" s="38" t="str">
        <f aca="false">IF(C60="","",IF(LEN(IF(AND(U60&lt;&gt;"",IFERROR(VALUE(MID(U60,2,2)),0)&lt;SG_Criteria!$B$19),"FAIL: grade below C"&amp;SG_Criteria!$B$19&amp;". ","")&amp;IF(AND(LEFT(C60,3)="Con",N(H60)&lt;E60,G60="Kallang Formation (marine clay)"),"NOTE: CBP is not watertight below GWT in marine clay; consider secant / grouting. ","")&amp;IF(AND(C60="Steel Sheet Pile",D60="Permanent"),"NOTE: permanent sheet pile needs corrosion allowance. ","")&amp;IF(AND(F60="Cantilever (no support)",E60&gt;6),"NOTE: cantilever embedded wall &gt; 6 m, check deflection. ","")&amp;IF(AND(S60&lt;&gt;"",T60&lt;&gt;"",S60&gt;T60),"FAIL: deflection exceeds allowable. ",""))=0,"OK",IF(AND(U60&lt;&gt;"",IFERROR(VALUE(MID(U60,2,2)),0)&lt;SG_Criteria!$B$19),"FAIL: grade below C"&amp;SG_Criteria!$B$19&amp;". ","")&amp;IF(AND(LEFT(C60,3)="Con",N(H60)&lt;E60,G60="Kallang Formation (marine clay)"),"NOTE: CBP is not watertight below GWT in marine clay; consider secant / grouting. ","")&amp;IF(AND(C60="Steel Sheet Pile",D60="Permanent"),"NOTE: permanent sheet pile needs corrosion allowance. ","")&amp;IF(AND(F60="Cantilever (no support)",E60&gt;6),"NOTE: cantilever embedded wall &gt; 6 m, check deflection. ","")&amp;IF(AND(S60&lt;&gt;"",T60&lt;&gt;"",S60&gt;T60),"FAIL: deflection exceeds allowable. ","")))</f>
        <v/>
      </c>
      <c r="AR60" s="9"/>
      <c r="AS60" s="9"/>
      <c r="AT60" s="9"/>
      <c r="AU60" s="9"/>
      <c r="AV60" s="9"/>
      <c r="AW60" s="31"/>
      <c r="AX60" s="10" t="str">
        <f aca="false">IF(C60="","",IF(AND(Y60="Approved",ISERROR(SEARCH("FAIL",AQ60))),"Y","N"))</f>
        <v/>
      </c>
      <c r="AY60" s="10" t="str">
        <f aca="false">IF(C60="","",C60&amp;"|"&amp;E60&amp;"|"&amp;F60&amp;"|"&amp;G60&amp;"|"&amp;D60&amp;"|"&amp;AX60)</f>
        <v/>
      </c>
    </row>
    <row r="61" customFormat="false" ht="15" hidden="false" customHeight="false" outlineLevel="0" collapsed="false">
      <c r="A61" s="10" t="str">
        <f aca="false">IF(C61="","","EW-"&amp;IFERROR(VLOOKUP(C61,Lists!$P$4:$Q$22,2,0),"??")&amp;"-D"&amp;TEXT(E61*1000,"0000")&amp;"-"&amp;IFERROR(VLOOKUP(F61,Lists!$S$4:$T$21,2,0),"??")&amp;"-"&amp;IFERROR(VLOOKUP(G61,Lists!$Y$4:$Z$21,2,0),"??")&amp;"-"&amp;IFERROR(VLOOKUP(D61,Lists!$V$4:$W$16,2,0),"??")&amp;"-"&amp;X61)</f>
        <v/>
      </c>
      <c r="B61" s="10" t="str">
        <f aca="false">IF(C61="","",D61&amp;" "&amp;C61&amp;", excavation "&amp;TEXT(E61,"0.0")&amp;" m, "&amp;F61&amp;", "&amp;G61&amp;", "&amp;J61)</f>
        <v/>
      </c>
      <c r="C61" s="9"/>
      <c r="D61" s="9"/>
      <c r="E61" s="43"/>
      <c r="F61" s="9"/>
      <c r="G61" s="9"/>
      <c r="H61" s="43"/>
      <c r="I61" s="40"/>
      <c r="J61" s="9"/>
      <c r="K61" s="9"/>
      <c r="L61" s="9"/>
      <c r="M61" s="43"/>
      <c r="N61" s="43"/>
      <c r="O61" s="9"/>
      <c r="P61" s="9"/>
      <c r="Q61" s="9"/>
      <c r="R61" s="9"/>
      <c r="S61" s="40"/>
      <c r="T61" s="40"/>
      <c r="U61" s="9"/>
      <c r="V61" s="9"/>
      <c r="W61" s="9"/>
      <c r="X61" s="9"/>
      <c r="Y61" s="9"/>
      <c r="Z61" s="9"/>
      <c r="AA61" s="9"/>
      <c r="AB61" s="9"/>
      <c r="AC61" s="10" t="str">
        <f aca="false">IF(A61="","",SG_Criteria!$B$6&amp;SG_Criteria!$B$9&amp;"\"&amp;A61&amp;"\")</f>
        <v/>
      </c>
      <c r="AD61" s="10" t="str">
        <f aca="false">IF(A61="","",A61&amp;"_CAD.dwg")</f>
        <v/>
      </c>
      <c r="AE61" s="10" t="str">
        <f aca="false">IF(A61="","",A61&amp;"_DWG.pdf")</f>
        <v/>
      </c>
      <c r="AF61" s="10" t="str">
        <f aca="false">IF(A61="","",IF(AB61="Y",A61&amp;"_STAAD.std","n/a"))</f>
        <v/>
      </c>
      <c r="AG61" s="10" t="str">
        <f aca="false">IF(A61="","",A61&amp;"_CALC.xlsx")</f>
        <v/>
      </c>
      <c r="AH61" s="10" t="str">
        <f aca="false">IF(A61="","",A61&amp;"_CALC.pdf")</f>
        <v/>
      </c>
      <c r="AI61" s="9"/>
      <c r="AJ61" s="9"/>
      <c r="AK61" s="41"/>
      <c r="AL61" s="41"/>
      <c r="AM61" s="41"/>
      <c r="AN61" s="41"/>
      <c r="AO61" s="41"/>
      <c r="AP61" s="38" t="str">
        <f aca="false">IF(OR(C61="",E61=""),"",IF(E61&lt;=IF(C61="Soldier Pile &amp; Timber Lagging",SG_Criteria!$B$34,SG_Criteria!$B$33),"No ERSS submission",IF(E61&lt;=SG_Criteria!$B$35,"QP(ST)",IF(E61&lt;=SG_Criteria!$B$36,"QP(ST) + AC","Geotechnical building works: QP(Geo) + AC"))))</f>
        <v/>
      </c>
      <c r="AQ61" s="38" t="str">
        <f aca="false">IF(C61="","",IF(LEN(IF(AND(U61&lt;&gt;"",IFERROR(VALUE(MID(U61,2,2)),0)&lt;SG_Criteria!$B$19),"FAIL: grade below C"&amp;SG_Criteria!$B$19&amp;". ","")&amp;IF(AND(LEFT(C61,3)="Con",N(H61)&lt;E61,G61="Kallang Formation (marine clay)"),"NOTE: CBP is not watertight below GWT in marine clay; consider secant / grouting. ","")&amp;IF(AND(C61="Steel Sheet Pile",D61="Permanent"),"NOTE: permanent sheet pile needs corrosion allowance. ","")&amp;IF(AND(F61="Cantilever (no support)",E61&gt;6),"NOTE: cantilever embedded wall &gt; 6 m, check deflection. ","")&amp;IF(AND(S61&lt;&gt;"",T61&lt;&gt;"",S61&gt;T61),"FAIL: deflection exceeds allowable. ",""))=0,"OK",IF(AND(U61&lt;&gt;"",IFERROR(VALUE(MID(U61,2,2)),0)&lt;SG_Criteria!$B$19),"FAIL: grade below C"&amp;SG_Criteria!$B$19&amp;". ","")&amp;IF(AND(LEFT(C61,3)="Con",N(H61)&lt;E61,G61="Kallang Formation (marine clay)"),"NOTE: CBP is not watertight below GWT in marine clay; consider secant / grouting. ","")&amp;IF(AND(C61="Steel Sheet Pile",D61="Permanent"),"NOTE: permanent sheet pile needs corrosion allowance. ","")&amp;IF(AND(F61="Cantilever (no support)",E61&gt;6),"NOTE: cantilever embedded wall &gt; 6 m, check deflection. ","")&amp;IF(AND(S61&lt;&gt;"",T61&lt;&gt;"",S61&gt;T61),"FAIL: deflection exceeds allowable. ","")))</f>
        <v/>
      </c>
      <c r="AR61" s="9"/>
      <c r="AS61" s="9"/>
      <c r="AT61" s="9"/>
      <c r="AU61" s="9"/>
      <c r="AV61" s="9"/>
      <c r="AW61" s="31"/>
      <c r="AX61" s="10" t="str">
        <f aca="false">IF(C61="","",IF(AND(Y61="Approved",ISERROR(SEARCH("FAIL",AQ61))),"Y","N"))</f>
        <v/>
      </c>
      <c r="AY61" s="10" t="str">
        <f aca="false">IF(C61="","",C61&amp;"|"&amp;E61&amp;"|"&amp;F61&amp;"|"&amp;G61&amp;"|"&amp;D61&amp;"|"&amp;AX61)</f>
        <v/>
      </c>
    </row>
    <row r="62" customFormat="false" ht="15" hidden="false" customHeight="false" outlineLevel="0" collapsed="false">
      <c r="A62" s="10" t="str">
        <f aca="false">IF(C62="","","EW-"&amp;IFERROR(VLOOKUP(C62,Lists!$P$4:$Q$22,2,0),"??")&amp;"-D"&amp;TEXT(E62*1000,"0000")&amp;"-"&amp;IFERROR(VLOOKUP(F62,Lists!$S$4:$T$21,2,0),"??")&amp;"-"&amp;IFERROR(VLOOKUP(G62,Lists!$Y$4:$Z$21,2,0),"??")&amp;"-"&amp;IFERROR(VLOOKUP(D62,Lists!$V$4:$W$16,2,0),"??")&amp;"-"&amp;X62)</f>
        <v/>
      </c>
      <c r="B62" s="10" t="str">
        <f aca="false">IF(C62="","",D62&amp;" "&amp;C62&amp;", excavation "&amp;TEXT(E62,"0.0")&amp;" m, "&amp;F62&amp;", "&amp;G62&amp;", "&amp;J62)</f>
        <v/>
      </c>
      <c r="C62" s="9"/>
      <c r="D62" s="9"/>
      <c r="E62" s="43"/>
      <c r="F62" s="9"/>
      <c r="G62" s="9"/>
      <c r="H62" s="43"/>
      <c r="I62" s="40"/>
      <c r="J62" s="9"/>
      <c r="K62" s="9"/>
      <c r="L62" s="9"/>
      <c r="M62" s="43"/>
      <c r="N62" s="43"/>
      <c r="O62" s="9"/>
      <c r="P62" s="9"/>
      <c r="Q62" s="9"/>
      <c r="R62" s="9"/>
      <c r="S62" s="40"/>
      <c r="T62" s="40"/>
      <c r="U62" s="9"/>
      <c r="V62" s="9"/>
      <c r="W62" s="9"/>
      <c r="X62" s="9"/>
      <c r="Y62" s="9"/>
      <c r="Z62" s="9"/>
      <c r="AA62" s="9"/>
      <c r="AB62" s="9"/>
      <c r="AC62" s="10" t="str">
        <f aca="false">IF(A62="","",SG_Criteria!$B$6&amp;SG_Criteria!$B$9&amp;"\"&amp;A62&amp;"\")</f>
        <v/>
      </c>
      <c r="AD62" s="10" t="str">
        <f aca="false">IF(A62="","",A62&amp;"_CAD.dwg")</f>
        <v/>
      </c>
      <c r="AE62" s="10" t="str">
        <f aca="false">IF(A62="","",A62&amp;"_DWG.pdf")</f>
        <v/>
      </c>
      <c r="AF62" s="10" t="str">
        <f aca="false">IF(A62="","",IF(AB62="Y",A62&amp;"_STAAD.std","n/a"))</f>
        <v/>
      </c>
      <c r="AG62" s="10" t="str">
        <f aca="false">IF(A62="","",A62&amp;"_CALC.xlsx")</f>
        <v/>
      </c>
      <c r="AH62" s="10" t="str">
        <f aca="false">IF(A62="","",A62&amp;"_CALC.pdf")</f>
        <v/>
      </c>
      <c r="AI62" s="9"/>
      <c r="AJ62" s="9"/>
      <c r="AK62" s="41"/>
      <c r="AL62" s="41"/>
      <c r="AM62" s="41"/>
      <c r="AN62" s="41"/>
      <c r="AO62" s="41"/>
      <c r="AP62" s="38" t="str">
        <f aca="false">IF(OR(C62="",E62=""),"",IF(E62&lt;=IF(C62="Soldier Pile &amp; Timber Lagging",SG_Criteria!$B$34,SG_Criteria!$B$33),"No ERSS submission",IF(E62&lt;=SG_Criteria!$B$35,"QP(ST)",IF(E62&lt;=SG_Criteria!$B$36,"QP(ST) + AC","Geotechnical building works: QP(Geo) + AC"))))</f>
        <v/>
      </c>
      <c r="AQ62" s="38" t="str">
        <f aca="false">IF(C62="","",IF(LEN(IF(AND(U62&lt;&gt;"",IFERROR(VALUE(MID(U62,2,2)),0)&lt;SG_Criteria!$B$19),"FAIL: grade below C"&amp;SG_Criteria!$B$19&amp;". ","")&amp;IF(AND(LEFT(C62,3)="Con",N(H62)&lt;E62,G62="Kallang Formation (marine clay)"),"NOTE: CBP is not watertight below GWT in marine clay; consider secant / grouting. ","")&amp;IF(AND(C62="Steel Sheet Pile",D62="Permanent"),"NOTE: permanent sheet pile needs corrosion allowance. ","")&amp;IF(AND(F62="Cantilever (no support)",E62&gt;6),"NOTE: cantilever embedded wall &gt; 6 m, check deflection. ","")&amp;IF(AND(S62&lt;&gt;"",T62&lt;&gt;"",S62&gt;T62),"FAIL: deflection exceeds allowable. ",""))=0,"OK",IF(AND(U62&lt;&gt;"",IFERROR(VALUE(MID(U62,2,2)),0)&lt;SG_Criteria!$B$19),"FAIL: grade below C"&amp;SG_Criteria!$B$19&amp;". ","")&amp;IF(AND(LEFT(C62,3)="Con",N(H62)&lt;E62,G62="Kallang Formation (marine clay)"),"NOTE: CBP is not watertight below GWT in marine clay; consider secant / grouting. ","")&amp;IF(AND(C62="Steel Sheet Pile",D62="Permanent"),"NOTE: permanent sheet pile needs corrosion allowance. ","")&amp;IF(AND(F62="Cantilever (no support)",E62&gt;6),"NOTE: cantilever embedded wall &gt; 6 m, check deflection. ","")&amp;IF(AND(S62&lt;&gt;"",T62&lt;&gt;"",S62&gt;T62),"FAIL: deflection exceeds allowable. ","")))</f>
        <v/>
      </c>
      <c r="AR62" s="9"/>
      <c r="AS62" s="9"/>
      <c r="AT62" s="9"/>
      <c r="AU62" s="9"/>
      <c r="AV62" s="9"/>
      <c r="AW62" s="31"/>
      <c r="AX62" s="10" t="str">
        <f aca="false">IF(C62="","",IF(AND(Y62="Approved",ISERROR(SEARCH("FAIL",AQ62))),"Y","N"))</f>
        <v/>
      </c>
      <c r="AY62" s="10" t="str">
        <f aca="false">IF(C62="","",C62&amp;"|"&amp;E62&amp;"|"&amp;F62&amp;"|"&amp;G62&amp;"|"&amp;D62&amp;"|"&amp;AX62)</f>
        <v/>
      </c>
    </row>
    <row r="63" customFormat="false" ht="15" hidden="false" customHeight="false" outlineLevel="0" collapsed="false">
      <c r="A63" s="10" t="str">
        <f aca="false">IF(C63="","","EW-"&amp;IFERROR(VLOOKUP(C63,Lists!$P$4:$Q$22,2,0),"??")&amp;"-D"&amp;TEXT(E63*1000,"0000")&amp;"-"&amp;IFERROR(VLOOKUP(F63,Lists!$S$4:$T$21,2,0),"??")&amp;"-"&amp;IFERROR(VLOOKUP(G63,Lists!$Y$4:$Z$21,2,0),"??")&amp;"-"&amp;IFERROR(VLOOKUP(D63,Lists!$V$4:$W$16,2,0),"??")&amp;"-"&amp;X63)</f>
        <v/>
      </c>
      <c r="B63" s="10" t="str">
        <f aca="false">IF(C63="","",D63&amp;" "&amp;C63&amp;", excavation "&amp;TEXT(E63,"0.0")&amp;" m, "&amp;F63&amp;", "&amp;G63&amp;", "&amp;J63)</f>
        <v/>
      </c>
      <c r="C63" s="9"/>
      <c r="D63" s="9"/>
      <c r="E63" s="43"/>
      <c r="F63" s="9"/>
      <c r="G63" s="9"/>
      <c r="H63" s="43"/>
      <c r="I63" s="40"/>
      <c r="J63" s="9"/>
      <c r="K63" s="9"/>
      <c r="L63" s="9"/>
      <c r="M63" s="43"/>
      <c r="N63" s="43"/>
      <c r="O63" s="9"/>
      <c r="P63" s="9"/>
      <c r="Q63" s="9"/>
      <c r="R63" s="9"/>
      <c r="S63" s="40"/>
      <c r="T63" s="40"/>
      <c r="U63" s="9"/>
      <c r="V63" s="9"/>
      <c r="W63" s="9"/>
      <c r="X63" s="9"/>
      <c r="Y63" s="9"/>
      <c r="Z63" s="9"/>
      <c r="AA63" s="9"/>
      <c r="AB63" s="9"/>
      <c r="AC63" s="10" t="str">
        <f aca="false">IF(A63="","",SG_Criteria!$B$6&amp;SG_Criteria!$B$9&amp;"\"&amp;A63&amp;"\")</f>
        <v/>
      </c>
      <c r="AD63" s="10" t="str">
        <f aca="false">IF(A63="","",A63&amp;"_CAD.dwg")</f>
        <v/>
      </c>
      <c r="AE63" s="10" t="str">
        <f aca="false">IF(A63="","",A63&amp;"_DWG.pdf")</f>
        <v/>
      </c>
      <c r="AF63" s="10" t="str">
        <f aca="false">IF(A63="","",IF(AB63="Y",A63&amp;"_STAAD.std","n/a"))</f>
        <v/>
      </c>
      <c r="AG63" s="10" t="str">
        <f aca="false">IF(A63="","",A63&amp;"_CALC.xlsx")</f>
        <v/>
      </c>
      <c r="AH63" s="10" t="str">
        <f aca="false">IF(A63="","",A63&amp;"_CALC.pdf")</f>
        <v/>
      </c>
      <c r="AI63" s="9"/>
      <c r="AJ63" s="9"/>
      <c r="AK63" s="41"/>
      <c r="AL63" s="41"/>
      <c r="AM63" s="41"/>
      <c r="AN63" s="41"/>
      <c r="AO63" s="41"/>
      <c r="AP63" s="38" t="str">
        <f aca="false">IF(OR(C63="",E63=""),"",IF(E63&lt;=IF(C63="Soldier Pile &amp; Timber Lagging",SG_Criteria!$B$34,SG_Criteria!$B$33),"No ERSS submission",IF(E63&lt;=SG_Criteria!$B$35,"QP(ST)",IF(E63&lt;=SG_Criteria!$B$36,"QP(ST) + AC","Geotechnical building works: QP(Geo) + AC"))))</f>
        <v/>
      </c>
      <c r="AQ63" s="38" t="str">
        <f aca="false">IF(C63="","",IF(LEN(IF(AND(U63&lt;&gt;"",IFERROR(VALUE(MID(U63,2,2)),0)&lt;SG_Criteria!$B$19),"FAIL: grade below C"&amp;SG_Criteria!$B$19&amp;". ","")&amp;IF(AND(LEFT(C63,3)="Con",N(H63)&lt;E63,G63="Kallang Formation (marine clay)"),"NOTE: CBP is not watertight below GWT in marine clay; consider secant / grouting. ","")&amp;IF(AND(C63="Steel Sheet Pile",D63="Permanent"),"NOTE: permanent sheet pile needs corrosion allowance. ","")&amp;IF(AND(F63="Cantilever (no support)",E63&gt;6),"NOTE: cantilever embedded wall &gt; 6 m, check deflection. ","")&amp;IF(AND(S63&lt;&gt;"",T63&lt;&gt;"",S63&gt;T63),"FAIL: deflection exceeds allowable. ",""))=0,"OK",IF(AND(U63&lt;&gt;"",IFERROR(VALUE(MID(U63,2,2)),0)&lt;SG_Criteria!$B$19),"FAIL: grade below C"&amp;SG_Criteria!$B$19&amp;". ","")&amp;IF(AND(LEFT(C63,3)="Con",N(H63)&lt;E63,G63="Kallang Formation (marine clay)"),"NOTE: CBP is not watertight below GWT in marine clay; consider secant / grouting. ","")&amp;IF(AND(C63="Steel Sheet Pile",D63="Permanent"),"NOTE: permanent sheet pile needs corrosion allowance. ","")&amp;IF(AND(F63="Cantilever (no support)",E63&gt;6),"NOTE: cantilever embedded wall &gt; 6 m, check deflection. ","")&amp;IF(AND(S63&lt;&gt;"",T63&lt;&gt;"",S63&gt;T63),"FAIL: deflection exceeds allowable. ","")))</f>
        <v/>
      </c>
      <c r="AR63" s="9"/>
      <c r="AS63" s="9"/>
      <c r="AT63" s="9"/>
      <c r="AU63" s="9"/>
      <c r="AV63" s="9"/>
      <c r="AW63" s="31"/>
      <c r="AX63" s="10" t="str">
        <f aca="false">IF(C63="","",IF(AND(Y63="Approved",ISERROR(SEARCH("FAIL",AQ63))),"Y","N"))</f>
        <v/>
      </c>
      <c r="AY63" s="10" t="str">
        <f aca="false">IF(C63="","",C63&amp;"|"&amp;E63&amp;"|"&amp;F63&amp;"|"&amp;G63&amp;"|"&amp;D63&amp;"|"&amp;AX63)</f>
        <v/>
      </c>
    </row>
    <row r="64" customFormat="false" ht="15" hidden="false" customHeight="false" outlineLevel="0" collapsed="false">
      <c r="A64" s="10" t="str">
        <f aca="false">IF(C64="","","EW-"&amp;IFERROR(VLOOKUP(C64,Lists!$P$4:$Q$22,2,0),"??")&amp;"-D"&amp;TEXT(E64*1000,"0000")&amp;"-"&amp;IFERROR(VLOOKUP(F64,Lists!$S$4:$T$21,2,0),"??")&amp;"-"&amp;IFERROR(VLOOKUP(G64,Lists!$Y$4:$Z$21,2,0),"??")&amp;"-"&amp;IFERROR(VLOOKUP(D64,Lists!$V$4:$W$16,2,0),"??")&amp;"-"&amp;X64)</f>
        <v/>
      </c>
      <c r="B64" s="10" t="str">
        <f aca="false">IF(C64="","",D64&amp;" "&amp;C64&amp;", excavation "&amp;TEXT(E64,"0.0")&amp;" m, "&amp;F64&amp;", "&amp;G64&amp;", "&amp;J64)</f>
        <v/>
      </c>
      <c r="C64" s="9"/>
      <c r="D64" s="9"/>
      <c r="E64" s="43"/>
      <c r="F64" s="9"/>
      <c r="G64" s="9"/>
      <c r="H64" s="43"/>
      <c r="I64" s="40"/>
      <c r="J64" s="9"/>
      <c r="K64" s="9"/>
      <c r="L64" s="9"/>
      <c r="M64" s="43"/>
      <c r="N64" s="43"/>
      <c r="O64" s="9"/>
      <c r="P64" s="9"/>
      <c r="Q64" s="9"/>
      <c r="R64" s="9"/>
      <c r="S64" s="40"/>
      <c r="T64" s="40"/>
      <c r="U64" s="9"/>
      <c r="V64" s="9"/>
      <c r="W64" s="9"/>
      <c r="X64" s="9"/>
      <c r="Y64" s="9"/>
      <c r="Z64" s="9"/>
      <c r="AA64" s="9"/>
      <c r="AB64" s="9"/>
      <c r="AC64" s="10" t="str">
        <f aca="false">IF(A64="","",SG_Criteria!$B$6&amp;SG_Criteria!$B$9&amp;"\"&amp;A64&amp;"\")</f>
        <v/>
      </c>
      <c r="AD64" s="10" t="str">
        <f aca="false">IF(A64="","",A64&amp;"_CAD.dwg")</f>
        <v/>
      </c>
      <c r="AE64" s="10" t="str">
        <f aca="false">IF(A64="","",A64&amp;"_DWG.pdf")</f>
        <v/>
      </c>
      <c r="AF64" s="10" t="str">
        <f aca="false">IF(A64="","",IF(AB64="Y",A64&amp;"_STAAD.std","n/a"))</f>
        <v/>
      </c>
      <c r="AG64" s="10" t="str">
        <f aca="false">IF(A64="","",A64&amp;"_CALC.xlsx")</f>
        <v/>
      </c>
      <c r="AH64" s="10" t="str">
        <f aca="false">IF(A64="","",A64&amp;"_CALC.pdf")</f>
        <v/>
      </c>
      <c r="AI64" s="9"/>
      <c r="AJ64" s="9"/>
      <c r="AK64" s="41"/>
      <c r="AL64" s="41"/>
      <c r="AM64" s="41"/>
      <c r="AN64" s="41"/>
      <c r="AO64" s="41"/>
      <c r="AP64" s="38" t="str">
        <f aca="false">IF(OR(C64="",E64=""),"",IF(E64&lt;=IF(C64="Soldier Pile &amp; Timber Lagging",SG_Criteria!$B$34,SG_Criteria!$B$33),"No ERSS submission",IF(E64&lt;=SG_Criteria!$B$35,"QP(ST)",IF(E64&lt;=SG_Criteria!$B$36,"QP(ST) + AC","Geotechnical building works: QP(Geo) + AC"))))</f>
        <v/>
      </c>
      <c r="AQ64" s="38" t="str">
        <f aca="false">IF(C64="","",IF(LEN(IF(AND(U64&lt;&gt;"",IFERROR(VALUE(MID(U64,2,2)),0)&lt;SG_Criteria!$B$19),"FAIL: grade below C"&amp;SG_Criteria!$B$19&amp;". ","")&amp;IF(AND(LEFT(C64,3)="Con",N(H64)&lt;E64,G64="Kallang Formation (marine clay)"),"NOTE: CBP is not watertight below GWT in marine clay; consider secant / grouting. ","")&amp;IF(AND(C64="Steel Sheet Pile",D64="Permanent"),"NOTE: permanent sheet pile needs corrosion allowance. ","")&amp;IF(AND(F64="Cantilever (no support)",E64&gt;6),"NOTE: cantilever embedded wall &gt; 6 m, check deflection. ","")&amp;IF(AND(S64&lt;&gt;"",T64&lt;&gt;"",S64&gt;T64),"FAIL: deflection exceeds allowable. ",""))=0,"OK",IF(AND(U64&lt;&gt;"",IFERROR(VALUE(MID(U64,2,2)),0)&lt;SG_Criteria!$B$19),"FAIL: grade below C"&amp;SG_Criteria!$B$19&amp;". ","")&amp;IF(AND(LEFT(C64,3)="Con",N(H64)&lt;E64,G64="Kallang Formation (marine clay)"),"NOTE: CBP is not watertight below GWT in marine clay; consider secant / grouting. ","")&amp;IF(AND(C64="Steel Sheet Pile",D64="Permanent"),"NOTE: permanent sheet pile needs corrosion allowance. ","")&amp;IF(AND(F64="Cantilever (no support)",E64&gt;6),"NOTE: cantilever embedded wall &gt; 6 m, check deflection. ","")&amp;IF(AND(S64&lt;&gt;"",T64&lt;&gt;"",S64&gt;T64),"FAIL: deflection exceeds allowable. ","")))</f>
        <v/>
      </c>
      <c r="AR64" s="9"/>
      <c r="AS64" s="9"/>
      <c r="AT64" s="9"/>
      <c r="AU64" s="9"/>
      <c r="AV64" s="9"/>
      <c r="AW64" s="31"/>
      <c r="AX64" s="10" t="str">
        <f aca="false">IF(C64="","",IF(AND(Y64="Approved",ISERROR(SEARCH("FAIL",AQ64))),"Y","N"))</f>
        <v/>
      </c>
      <c r="AY64" s="10" t="str">
        <f aca="false">IF(C64="","",C64&amp;"|"&amp;E64&amp;"|"&amp;F64&amp;"|"&amp;G64&amp;"|"&amp;D64&amp;"|"&amp;AX64)</f>
        <v/>
      </c>
    </row>
    <row r="65" customFormat="false" ht="15" hidden="false" customHeight="false" outlineLevel="0" collapsed="false">
      <c r="A65" s="10" t="str">
        <f aca="false">IF(C65="","","EW-"&amp;IFERROR(VLOOKUP(C65,Lists!$P$4:$Q$22,2,0),"??")&amp;"-D"&amp;TEXT(E65*1000,"0000")&amp;"-"&amp;IFERROR(VLOOKUP(F65,Lists!$S$4:$T$21,2,0),"??")&amp;"-"&amp;IFERROR(VLOOKUP(G65,Lists!$Y$4:$Z$21,2,0),"??")&amp;"-"&amp;IFERROR(VLOOKUP(D65,Lists!$V$4:$W$16,2,0),"??")&amp;"-"&amp;X65)</f>
        <v/>
      </c>
      <c r="B65" s="10" t="str">
        <f aca="false">IF(C65="","",D65&amp;" "&amp;C65&amp;", excavation "&amp;TEXT(E65,"0.0")&amp;" m, "&amp;F65&amp;", "&amp;G65&amp;", "&amp;J65)</f>
        <v/>
      </c>
      <c r="C65" s="9"/>
      <c r="D65" s="9"/>
      <c r="E65" s="43"/>
      <c r="F65" s="9"/>
      <c r="G65" s="9"/>
      <c r="H65" s="43"/>
      <c r="I65" s="40"/>
      <c r="J65" s="9"/>
      <c r="K65" s="9"/>
      <c r="L65" s="9"/>
      <c r="M65" s="43"/>
      <c r="N65" s="43"/>
      <c r="O65" s="9"/>
      <c r="P65" s="9"/>
      <c r="Q65" s="9"/>
      <c r="R65" s="9"/>
      <c r="S65" s="40"/>
      <c r="T65" s="40"/>
      <c r="U65" s="9"/>
      <c r="V65" s="9"/>
      <c r="W65" s="9"/>
      <c r="X65" s="9"/>
      <c r="Y65" s="9"/>
      <c r="Z65" s="9"/>
      <c r="AA65" s="9"/>
      <c r="AB65" s="9"/>
      <c r="AC65" s="10" t="str">
        <f aca="false">IF(A65="","",SG_Criteria!$B$6&amp;SG_Criteria!$B$9&amp;"\"&amp;A65&amp;"\")</f>
        <v/>
      </c>
      <c r="AD65" s="10" t="str">
        <f aca="false">IF(A65="","",A65&amp;"_CAD.dwg")</f>
        <v/>
      </c>
      <c r="AE65" s="10" t="str">
        <f aca="false">IF(A65="","",A65&amp;"_DWG.pdf")</f>
        <v/>
      </c>
      <c r="AF65" s="10" t="str">
        <f aca="false">IF(A65="","",IF(AB65="Y",A65&amp;"_STAAD.std","n/a"))</f>
        <v/>
      </c>
      <c r="AG65" s="10" t="str">
        <f aca="false">IF(A65="","",A65&amp;"_CALC.xlsx")</f>
        <v/>
      </c>
      <c r="AH65" s="10" t="str">
        <f aca="false">IF(A65="","",A65&amp;"_CALC.pdf")</f>
        <v/>
      </c>
      <c r="AI65" s="9"/>
      <c r="AJ65" s="9"/>
      <c r="AK65" s="41"/>
      <c r="AL65" s="41"/>
      <c r="AM65" s="41"/>
      <c r="AN65" s="41"/>
      <c r="AO65" s="41"/>
      <c r="AP65" s="38" t="str">
        <f aca="false">IF(OR(C65="",E65=""),"",IF(E65&lt;=IF(C65="Soldier Pile &amp; Timber Lagging",SG_Criteria!$B$34,SG_Criteria!$B$33),"No ERSS submission",IF(E65&lt;=SG_Criteria!$B$35,"QP(ST)",IF(E65&lt;=SG_Criteria!$B$36,"QP(ST) + AC","Geotechnical building works: QP(Geo) + AC"))))</f>
        <v/>
      </c>
      <c r="AQ65" s="38" t="str">
        <f aca="false">IF(C65="","",IF(LEN(IF(AND(U65&lt;&gt;"",IFERROR(VALUE(MID(U65,2,2)),0)&lt;SG_Criteria!$B$19),"FAIL: grade below C"&amp;SG_Criteria!$B$19&amp;". ","")&amp;IF(AND(LEFT(C65,3)="Con",N(H65)&lt;E65,G65="Kallang Formation (marine clay)"),"NOTE: CBP is not watertight below GWT in marine clay; consider secant / grouting. ","")&amp;IF(AND(C65="Steel Sheet Pile",D65="Permanent"),"NOTE: permanent sheet pile needs corrosion allowance. ","")&amp;IF(AND(F65="Cantilever (no support)",E65&gt;6),"NOTE: cantilever embedded wall &gt; 6 m, check deflection. ","")&amp;IF(AND(S65&lt;&gt;"",T65&lt;&gt;"",S65&gt;T65),"FAIL: deflection exceeds allowable. ",""))=0,"OK",IF(AND(U65&lt;&gt;"",IFERROR(VALUE(MID(U65,2,2)),0)&lt;SG_Criteria!$B$19),"FAIL: grade below C"&amp;SG_Criteria!$B$19&amp;". ","")&amp;IF(AND(LEFT(C65,3)="Con",N(H65)&lt;E65,G65="Kallang Formation (marine clay)"),"NOTE: CBP is not watertight below GWT in marine clay; consider secant / grouting. ","")&amp;IF(AND(C65="Steel Sheet Pile",D65="Permanent"),"NOTE: permanent sheet pile needs corrosion allowance. ","")&amp;IF(AND(F65="Cantilever (no support)",E65&gt;6),"NOTE: cantilever embedded wall &gt; 6 m, check deflection. ","")&amp;IF(AND(S65&lt;&gt;"",T65&lt;&gt;"",S65&gt;T65),"FAIL: deflection exceeds allowable. ","")))</f>
        <v/>
      </c>
      <c r="AR65" s="9"/>
      <c r="AS65" s="9"/>
      <c r="AT65" s="9"/>
      <c r="AU65" s="9"/>
      <c r="AV65" s="9"/>
      <c r="AW65" s="31"/>
      <c r="AX65" s="10" t="str">
        <f aca="false">IF(C65="","",IF(AND(Y65="Approved",ISERROR(SEARCH("FAIL",AQ65))),"Y","N"))</f>
        <v/>
      </c>
      <c r="AY65" s="10" t="str">
        <f aca="false">IF(C65="","",C65&amp;"|"&amp;E65&amp;"|"&amp;F65&amp;"|"&amp;G65&amp;"|"&amp;D65&amp;"|"&amp;AX65)</f>
        <v/>
      </c>
    </row>
    <row r="66" customFormat="false" ht="15" hidden="false" customHeight="false" outlineLevel="0" collapsed="false">
      <c r="A66" s="10" t="str">
        <f aca="false">IF(C66="","","EW-"&amp;IFERROR(VLOOKUP(C66,Lists!$P$4:$Q$22,2,0),"??")&amp;"-D"&amp;TEXT(E66*1000,"0000")&amp;"-"&amp;IFERROR(VLOOKUP(F66,Lists!$S$4:$T$21,2,0),"??")&amp;"-"&amp;IFERROR(VLOOKUP(G66,Lists!$Y$4:$Z$21,2,0),"??")&amp;"-"&amp;IFERROR(VLOOKUP(D66,Lists!$V$4:$W$16,2,0),"??")&amp;"-"&amp;X66)</f>
        <v/>
      </c>
      <c r="B66" s="10" t="str">
        <f aca="false">IF(C66="","",D66&amp;" "&amp;C66&amp;", excavation "&amp;TEXT(E66,"0.0")&amp;" m, "&amp;F66&amp;", "&amp;G66&amp;", "&amp;J66)</f>
        <v/>
      </c>
      <c r="C66" s="9"/>
      <c r="D66" s="9"/>
      <c r="E66" s="43"/>
      <c r="F66" s="9"/>
      <c r="G66" s="9"/>
      <c r="H66" s="43"/>
      <c r="I66" s="40"/>
      <c r="J66" s="9"/>
      <c r="K66" s="9"/>
      <c r="L66" s="9"/>
      <c r="M66" s="43"/>
      <c r="N66" s="43"/>
      <c r="O66" s="9"/>
      <c r="P66" s="9"/>
      <c r="Q66" s="9"/>
      <c r="R66" s="9"/>
      <c r="S66" s="40"/>
      <c r="T66" s="40"/>
      <c r="U66" s="9"/>
      <c r="V66" s="9"/>
      <c r="W66" s="9"/>
      <c r="X66" s="9"/>
      <c r="Y66" s="9"/>
      <c r="Z66" s="9"/>
      <c r="AA66" s="9"/>
      <c r="AB66" s="9"/>
      <c r="AC66" s="10" t="str">
        <f aca="false">IF(A66="","",SG_Criteria!$B$6&amp;SG_Criteria!$B$9&amp;"\"&amp;A66&amp;"\")</f>
        <v/>
      </c>
      <c r="AD66" s="10" t="str">
        <f aca="false">IF(A66="","",A66&amp;"_CAD.dwg")</f>
        <v/>
      </c>
      <c r="AE66" s="10" t="str">
        <f aca="false">IF(A66="","",A66&amp;"_DWG.pdf")</f>
        <v/>
      </c>
      <c r="AF66" s="10" t="str">
        <f aca="false">IF(A66="","",IF(AB66="Y",A66&amp;"_STAAD.std","n/a"))</f>
        <v/>
      </c>
      <c r="AG66" s="10" t="str">
        <f aca="false">IF(A66="","",A66&amp;"_CALC.xlsx")</f>
        <v/>
      </c>
      <c r="AH66" s="10" t="str">
        <f aca="false">IF(A66="","",A66&amp;"_CALC.pdf")</f>
        <v/>
      </c>
      <c r="AI66" s="9"/>
      <c r="AJ66" s="9"/>
      <c r="AK66" s="41"/>
      <c r="AL66" s="41"/>
      <c r="AM66" s="41"/>
      <c r="AN66" s="41"/>
      <c r="AO66" s="41"/>
      <c r="AP66" s="38" t="str">
        <f aca="false">IF(OR(C66="",E66=""),"",IF(E66&lt;=IF(C66="Soldier Pile &amp; Timber Lagging",SG_Criteria!$B$34,SG_Criteria!$B$33),"No ERSS submission",IF(E66&lt;=SG_Criteria!$B$35,"QP(ST)",IF(E66&lt;=SG_Criteria!$B$36,"QP(ST) + AC","Geotechnical building works: QP(Geo) + AC"))))</f>
        <v/>
      </c>
      <c r="AQ66" s="38" t="str">
        <f aca="false">IF(C66="","",IF(LEN(IF(AND(U66&lt;&gt;"",IFERROR(VALUE(MID(U66,2,2)),0)&lt;SG_Criteria!$B$19),"FAIL: grade below C"&amp;SG_Criteria!$B$19&amp;". ","")&amp;IF(AND(LEFT(C66,3)="Con",N(H66)&lt;E66,G66="Kallang Formation (marine clay)"),"NOTE: CBP is not watertight below GWT in marine clay; consider secant / grouting. ","")&amp;IF(AND(C66="Steel Sheet Pile",D66="Permanent"),"NOTE: permanent sheet pile needs corrosion allowance. ","")&amp;IF(AND(F66="Cantilever (no support)",E66&gt;6),"NOTE: cantilever embedded wall &gt; 6 m, check deflection. ","")&amp;IF(AND(S66&lt;&gt;"",T66&lt;&gt;"",S66&gt;T66),"FAIL: deflection exceeds allowable. ",""))=0,"OK",IF(AND(U66&lt;&gt;"",IFERROR(VALUE(MID(U66,2,2)),0)&lt;SG_Criteria!$B$19),"FAIL: grade below C"&amp;SG_Criteria!$B$19&amp;". ","")&amp;IF(AND(LEFT(C66,3)="Con",N(H66)&lt;E66,G66="Kallang Formation (marine clay)"),"NOTE: CBP is not watertight below GWT in marine clay; consider secant / grouting. ","")&amp;IF(AND(C66="Steel Sheet Pile",D66="Permanent"),"NOTE: permanent sheet pile needs corrosion allowance. ","")&amp;IF(AND(F66="Cantilever (no support)",E66&gt;6),"NOTE: cantilever embedded wall &gt; 6 m, check deflection. ","")&amp;IF(AND(S66&lt;&gt;"",T66&lt;&gt;"",S66&gt;T66),"FAIL: deflection exceeds allowable. ","")))</f>
        <v/>
      </c>
      <c r="AR66" s="9"/>
      <c r="AS66" s="9"/>
      <c r="AT66" s="9"/>
      <c r="AU66" s="9"/>
      <c r="AV66" s="9"/>
      <c r="AW66" s="31"/>
      <c r="AX66" s="10" t="str">
        <f aca="false">IF(C66="","",IF(AND(Y66="Approved",ISERROR(SEARCH("FAIL",AQ66))),"Y","N"))</f>
        <v/>
      </c>
      <c r="AY66" s="10" t="str">
        <f aca="false">IF(C66="","",C66&amp;"|"&amp;E66&amp;"|"&amp;F66&amp;"|"&amp;G66&amp;"|"&amp;D66&amp;"|"&amp;AX66)</f>
        <v/>
      </c>
    </row>
    <row r="67" customFormat="false" ht="15" hidden="false" customHeight="false" outlineLevel="0" collapsed="false">
      <c r="A67" s="10" t="str">
        <f aca="false">IF(C67="","","EW-"&amp;IFERROR(VLOOKUP(C67,Lists!$P$4:$Q$22,2,0),"??")&amp;"-D"&amp;TEXT(E67*1000,"0000")&amp;"-"&amp;IFERROR(VLOOKUP(F67,Lists!$S$4:$T$21,2,0),"??")&amp;"-"&amp;IFERROR(VLOOKUP(G67,Lists!$Y$4:$Z$21,2,0),"??")&amp;"-"&amp;IFERROR(VLOOKUP(D67,Lists!$V$4:$W$16,2,0),"??")&amp;"-"&amp;X67)</f>
        <v/>
      </c>
      <c r="B67" s="10" t="str">
        <f aca="false">IF(C67="","",D67&amp;" "&amp;C67&amp;", excavation "&amp;TEXT(E67,"0.0")&amp;" m, "&amp;F67&amp;", "&amp;G67&amp;", "&amp;J67)</f>
        <v/>
      </c>
      <c r="C67" s="9"/>
      <c r="D67" s="9"/>
      <c r="E67" s="43"/>
      <c r="F67" s="9"/>
      <c r="G67" s="9"/>
      <c r="H67" s="43"/>
      <c r="I67" s="40"/>
      <c r="J67" s="9"/>
      <c r="K67" s="9"/>
      <c r="L67" s="9"/>
      <c r="M67" s="43"/>
      <c r="N67" s="43"/>
      <c r="O67" s="9"/>
      <c r="P67" s="9"/>
      <c r="Q67" s="9"/>
      <c r="R67" s="9"/>
      <c r="S67" s="40"/>
      <c r="T67" s="40"/>
      <c r="U67" s="9"/>
      <c r="V67" s="9"/>
      <c r="W67" s="9"/>
      <c r="X67" s="9"/>
      <c r="Y67" s="9"/>
      <c r="Z67" s="9"/>
      <c r="AA67" s="9"/>
      <c r="AB67" s="9"/>
      <c r="AC67" s="10" t="str">
        <f aca="false">IF(A67="","",SG_Criteria!$B$6&amp;SG_Criteria!$B$9&amp;"\"&amp;A67&amp;"\")</f>
        <v/>
      </c>
      <c r="AD67" s="10" t="str">
        <f aca="false">IF(A67="","",A67&amp;"_CAD.dwg")</f>
        <v/>
      </c>
      <c r="AE67" s="10" t="str">
        <f aca="false">IF(A67="","",A67&amp;"_DWG.pdf")</f>
        <v/>
      </c>
      <c r="AF67" s="10" t="str">
        <f aca="false">IF(A67="","",IF(AB67="Y",A67&amp;"_STAAD.std","n/a"))</f>
        <v/>
      </c>
      <c r="AG67" s="10" t="str">
        <f aca="false">IF(A67="","",A67&amp;"_CALC.xlsx")</f>
        <v/>
      </c>
      <c r="AH67" s="10" t="str">
        <f aca="false">IF(A67="","",A67&amp;"_CALC.pdf")</f>
        <v/>
      </c>
      <c r="AI67" s="9"/>
      <c r="AJ67" s="9"/>
      <c r="AK67" s="41"/>
      <c r="AL67" s="41"/>
      <c r="AM67" s="41"/>
      <c r="AN67" s="41"/>
      <c r="AO67" s="41"/>
      <c r="AP67" s="38" t="str">
        <f aca="false">IF(OR(C67="",E67=""),"",IF(E67&lt;=IF(C67="Soldier Pile &amp; Timber Lagging",SG_Criteria!$B$34,SG_Criteria!$B$33),"No ERSS submission",IF(E67&lt;=SG_Criteria!$B$35,"QP(ST)",IF(E67&lt;=SG_Criteria!$B$36,"QP(ST) + AC","Geotechnical building works: QP(Geo) + AC"))))</f>
        <v/>
      </c>
      <c r="AQ67" s="38" t="str">
        <f aca="false">IF(C67="","",IF(LEN(IF(AND(U67&lt;&gt;"",IFERROR(VALUE(MID(U67,2,2)),0)&lt;SG_Criteria!$B$19),"FAIL: grade below C"&amp;SG_Criteria!$B$19&amp;". ","")&amp;IF(AND(LEFT(C67,3)="Con",N(H67)&lt;E67,G67="Kallang Formation (marine clay)"),"NOTE: CBP is not watertight below GWT in marine clay; consider secant / grouting. ","")&amp;IF(AND(C67="Steel Sheet Pile",D67="Permanent"),"NOTE: permanent sheet pile needs corrosion allowance. ","")&amp;IF(AND(F67="Cantilever (no support)",E67&gt;6),"NOTE: cantilever embedded wall &gt; 6 m, check deflection. ","")&amp;IF(AND(S67&lt;&gt;"",T67&lt;&gt;"",S67&gt;T67),"FAIL: deflection exceeds allowable. ",""))=0,"OK",IF(AND(U67&lt;&gt;"",IFERROR(VALUE(MID(U67,2,2)),0)&lt;SG_Criteria!$B$19),"FAIL: grade below C"&amp;SG_Criteria!$B$19&amp;". ","")&amp;IF(AND(LEFT(C67,3)="Con",N(H67)&lt;E67,G67="Kallang Formation (marine clay)"),"NOTE: CBP is not watertight below GWT in marine clay; consider secant / grouting. ","")&amp;IF(AND(C67="Steel Sheet Pile",D67="Permanent"),"NOTE: permanent sheet pile needs corrosion allowance. ","")&amp;IF(AND(F67="Cantilever (no support)",E67&gt;6),"NOTE: cantilever embedded wall &gt; 6 m, check deflection. ","")&amp;IF(AND(S67&lt;&gt;"",T67&lt;&gt;"",S67&gt;T67),"FAIL: deflection exceeds allowable. ","")))</f>
        <v/>
      </c>
      <c r="AR67" s="9"/>
      <c r="AS67" s="9"/>
      <c r="AT67" s="9"/>
      <c r="AU67" s="9"/>
      <c r="AV67" s="9"/>
      <c r="AW67" s="31"/>
      <c r="AX67" s="10" t="str">
        <f aca="false">IF(C67="","",IF(AND(Y67="Approved",ISERROR(SEARCH("FAIL",AQ67))),"Y","N"))</f>
        <v/>
      </c>
      <c r="AY67" s="10" t="str">
        <f aca="false">IF(C67="","",C67&amp;"|"&amp;E67&amp;"|"&amp;F67&amp;"|"&amp;G67&amp;"|"&amp;D67&amp;"|"&amp;AX67)</f>
        <v/>
      </c>
    </row>
    <row r="68" customFormat="false" ht="15" hidden="false" customHeight="false" outlineLevel="0" collapsed="false">
      <c r="A68" s="10" t="str">
        <f aca="false">IF(C68="","","EW-"&amp;IFERROR(VLOOKUP(C68,Lists!$P$4:$Q$22,2,0),"??")&amp;"-D"&amp;TEXT(E68*1000,"0000")&amp;"-"&amp;IFERROR(VLOOKUP(F68,Lists!$S$4:$T$21,2,0),"??")&amp;"-"&amp;IFERROR(VLOOKUP(G68,Lists!$Y$4:$Z$21,2,0),"??")&amp;"-"&amp;IFERROR(VLOOKUP(D68,Lists!$V$4:$W$16,2,0),"??")&amp;"-"&amp;X68)</f>
        <v/>
      </c>
      <c r="B68" s="10" t="str">
        <f aca="false">IF(C68="","",D68&amp;" "&amp;C68&amp;", excavation "&amp;TEXT(E68,"0.0")&amp;" m, "&amp;F68&amp;", "&amp;G68&amp;", "&amp;J68)</f>
        <v/>
      </c>
      <c r="C68" s="9"/>
      <c r="D68" s="9"/>
      <c r="E68" s="43"/>
      <c r="F68" s="9"/>
      <c r="G68" s="9"/>
      <c r="H68" s="43"/>
      <c r="I68" s="40"/>
      <c r="J68" s="9"/>
      <c r="K68" s="9"/>
      <c r="L68" s="9"/>
      <c r="M68" s="43"/>
      <c r="N68" s="43"/>
      <c r="O68" s="9"/>
      <c r="P68" s="9"/>
      <c r="Q68" s="9"/>
      <c r="R68" s="9"/>
      <c r="S68" s="40"/>
      <c r="T68" s="40"/>
      <c r="U68" s="9"/>
      <c r="V68" s="9"/>
      <c r="W68" s="9"/>
      <c r="X68" s="9"/>
      <c r="Y68" s="9"/>
      <c r="Z68" s="9"/>
      <c r="AA68" s="9"/>
      <c r="AB68" s="9"/>
      <c r="AC68" s="10" t="str">
        <f aca="false">IF(A68="","",SG_Criteria!$B$6&amp;SG_Criteria!$B$9&amp;"\"&amp;A68&amp;"\")</f>
        <v/>
      </c>
      <c r="AD68" s="10" t="str">
        <f aca="false">IF(A68="","",A68&amp;"_CAD.dwg")</f>
        <v/>
      </c>
      <c r="AE68" s="10" t="str">
        <f aca="false">IF(A68="","",A68&amp;"_DWG.pdf")</f>
        <v/>
      </c>
      <c r="AF68" s="10" t="str">
        <f aca="false">IF(A68="","",IF(AB68="Y",A68&amp;"_STAAD.std","n/a"))</f>
        <v/>
      </c>
      <c r="AG68" s="10" t="str">
        <f aca="false">IF(A68="","",A68&amp;"_CALC.xlsx")</f>
        <v/>
      </c>
      <c r="AH68" s="10" t="str">
        <f aca="false">IF(A68="","",A68&amp;"_CALC.pdf")</f>
        <v/>
      </c>
      <c r="AI68" s="9"/>
      <c r="AJ68" s="9"/>
      <c r="AK68" s="41"/>
      <c r="AL68" s="41"/>
      <c r="AM68" s="41"/>
      <c r="AN68" s="41"/>
      <c r="AO68" s="41"/>
      <c r="AP68" s="38" t="str">
        <f aca="false">IF(OR(C68="",E68=""),"",IF(E68&lt;=IF(C68="Soldier Pile &amp; Timber Lagging",SG_Criteria!$B$34,SG_Criteria!$B$33),"No ERSS submission",IF(E68&lt;=SG_Criteria!$B$35,"QP(ST)",IF(E68&lt;=SG_Criteria!$B$36,"QP(ST) + AC","Geotechnical building works: QP(Geo) + AC"))))</f>
        <v/>
      </c>
      <c r="AQ68" s="38" t="str">
        <f aca="false">IF(C68="","",IF(LEN(IF(AND(U68&lt;&gt;"",IFERROR(VALUE(MID(U68,2,2)),0)&lt;SG_Criteria!$B$19),"FAIL: grade below C"&amp;SG_Criteria!$B$19&amp;". ","")&amp;IF(AND(LEFT(C68,3)="Con",N(H68)&lt;E68,G68="Kallang Formation (marine clay)"),"NOTE: CBP is not watertight below GWT in marine clay; consider secant / grouting. ","")&amp;IF(AND(C68="Steel Sheet Pile",D68="Permanent"),"NOTE: permanent sheet pile needs corrosion allowance. ","")&amp;IF(AND(F68="Cantilever (no support)",E68&gt;6),"NOTE: cantilever embedded wall &gt; 6 m, check deflection. ","")&amp;IF(AND(S68&lt;&gt;"",T68&lt;&gt;"",S68&gt;T68),"FAIL: deflection exceeds allowable. ",""))=0,"OK",IF(AND(U68&lt;&gt;"",IFERROR(VALUE(MID(U68,2,2)),0)&lt;SG_Criteria!$B$19),"FAIL: grade below C"&amp;SG_Criteria!$B$19&amp;". ","")&amp;IF(AND(LEFT(C68,3)="Con",N(H68)&lt;E68,G68="Kallang Formation (marine clay)"),"NOTE: CBP is not watertight below GWT in marine clay; consider secant / grouting. ","")&amp;IF(AND(C68="Steel Sheet Pile",D68="Permanent"),"NOTE: permanent sheet pile needs corrosion allowance. ","")&amp;IF(AND(F68="Cantilever (no support)",E68&gt;6),"NOTE: cantilever embedded wall &gt; 6 m, check deflection. ","")&amp;IF(AND(S68&lt;&gt;"",T68&lt;&gt;"",S68&gt;T68),"FAIL: deflection exceeds allowable. ","")))</f>
        <v/>
      </c>
      <c r="AR68" s="9"/>
      <c r="AS68" s="9"/>
      <c r="AT68" s="9"/>
      <c r="AU68" s="9"/>
      <c r="AV68" s="9"/>
      <c r="AW68" s="31"/>
      <c r="AX68" s="10" t="str">
        <f aca="false">IF(C68="","",IF(AND(Y68="Approved",ISERROR(SEARCH("FAIL",AQ68))),"Y","N"))</f>
        <v/>
      </c>
      <c r="AY68" s="10" t="str">
        <f aca="false">IF(C68="","",C68&amp;"|"&amp;E68&amp;"|"&amp;F68&amp;"|"&amp;G68&amp;"|"&amp;D68&amp;"|"&amp;AX68)</f>
        <v/>
      </c>
    </row>
    <row r="69" customFormat="false" ht="15" hidden="false" customHeight="false" outlineLevel="0" collapsed="false">
      <c r="A69" s="10" t="str">
        <f aca="false">IF(C69="","","EW-"&amp;IFERROR(VLOOKUP(C69,Lists!$P$4:$Q$22,2,0),"??")&amp;"-D"&amp;TEXT(E69*1000,"0000")&amp;"-"&amp;IFERROR(VLOOKUP(F69,Lists!$S$4:$T$21,2,0),"??")&amp;"-"&amp;IFERROR(VLOOKUP(G69,Lists!$Y$4:$Z$21,2,0),"??")&amp;"-"&amp;IFERROR(VLOOKUP(D69,Lists!$V$4:$W$16,2,0),"??")&amp;"-"&amp;X69)</f>
        <v/>
      </c>
      <c r="B69" s="10" t="str">
        <f aca="false">IF(C69="","",D69&amp;" "&amp;C69&amp;", excavation "&amp;TEXT(E69,"0.0")&amp;" m, "&amp;F69&amp;", "&amp;G69&amp;", "&amp;J69)</f>
        <v/>
      </c>
      <c r="C69" s="9"/>
      <c r="D69" s="9"/>
      <c r="E69" s="43"/>
      <c r="F69" s="9"/>
      <c r="G69" s="9"/>
      <c r="H69" s="43"/>
      <c r="I69" s="40"/>
      <c r="J69" s="9"/>
      <c r="K69" s="9"/>
      <c r="L69" s="9"/>
      <c r="M69" s="43"/>
      <c r="N69" s="43"/>
      <c r="O69" s="9"/>
      <c r="P69" s="9"/>
      <c r="Q69" s="9"/>
      <c r="R69" s="9"/>
      <c r="S69" s="40"/>
      <c r="T69" s="40"/>
      <c r="U69" s="9"/>
      <c r="V69" s="9"/>
      <c r="W69" s="9"/>
      <c r="X69" s="9"/>
      <c r="Y69" s="9"/>
      <c r="Z69" s="9"/>
      <c r="AA69" s="9"/>
      <c r="AB69" s="9"/>
      <c r="AC69" s="10" t="str">
        <f aca="false">IF(A69="","",SG_Criteria!$B$6&amp;SG_Criteria!$B$9&amp;"\"&amp;A69&amp;"\")</f>
        <v/>
      </c>
      <c r="AD69" s="10" t="str">
        <f aca="false">IF(A69="","",A69&amp;"_CAD.dwg")</f>
        <v/>
      </c>
      <c r="AE69" s="10" t="str">
        <f aca="false">IF(A69="","",A69&amp;"_DWG.pdf")</f>
        <v/>
      </c>
      <c r="AF69" s="10" t="str">
        <f aca="false">IF(A69="","",IF(AB69="Y",A69&amp;"_STAAD.std","n/a"))</f>
        <v/>
      </c>
      <c r="AG69" s="10" t="str">
        <f aca="false">IF(A69="","",A69&amp;"_CALC.xlsx")</f>
        <v/>
      </c>
      <c r="AH69" s="10" t="str">
        <f aca="false">IF(A69="","",A69&amp;"_CALC.pdf")</f>
        <v/>
      </c>
      <c r="AI69" s="9"/>
      <c r="AJ69" s="9"/>
      <c r="AK69" s="41"/>
      <c r="AL69" s="41"/>
      <c r="AM69" s="41"/>
      <c r="AN69" s="41"/>
      <c r="AO69" s="41"/>
      <c r="AP69" s="38" t="str">
        <f aca="false">IF(OR(C69="",E69=""),"",IF(E69&lt;=IF(C69="Soldier Pile &amp; Timber Lagging",SG_Criteria!$B$34,SG_Criteria!$B$33),"No ERSS submission",IF(E69&lt;=SG_Criteria!$B$35,"QP(ST)",IF(E69&lt;=SG_Criteria!$B$36,"QP(ST) + AC","Geotechnical building works: QP(Geo) + AC"))))</f>
        <v/>
      </c>
      <c r="AQ69" s="38" t="str">
        <f aca="false">IF(C69="","",IF(LEN(IF(AND(U69&lt;&gt;"",IFERROR(VALUE(MID(U69,2,2)),0)&lt;SG_Criteria!$B$19),"FAIL: grade below C"&amp;SG_Criteria!$B$19&amp;". ","")&amp;IF(AND(LEFT(C69,3)="Con",N(H69)&lt;E69,G69="Kallang Formation (marine clay)"),"NOTE: CBP is not watertight below GWT in marine clay; consider secant / grouting. ","")&amp;IF(AND(C69="Steel Sheet Pile",D69="Permanent"),"NOTE: permanent sheet pile needs corrosion allowance. ","")&amp;IF(AND(F69="Cantilever (no support)",E69&gt;6),"NOTE: cantilever embedded wall &gt; 6 m, check deflection. ","")&amp;IF(AND(S69&lt;&gt;"",T69&lt;&gt;"",S69&gt;T69),"FAIL: deflection exceeds allowable. ",""))=0,"OK",IF(AND(U69&lt;&gt;"",IFERROR(VALUE(MID(U69,2,2)),0)&lt;SG_Criteria!$B$19),"FAIL: grade below C"&amp;SG_Criteria!$B$19&amp;". ","")&amp;IF(AND(LEFT(C69,3)="Con",N(H69)&lt;E69,G69="Kallang Formation (marine clay)"),"NOTE: CBP is not watertight below GWT in marine clay; consider secant / grouting. ","")&amp;IF(AND(C69="Steel Sheet Pile",D69="Permanent"),"NOTE: permanent sheet pile needs corrosion allowance. ","")&amp;IF(AND(F69="Cantilever (no support)",E69&gt;6),"NOTE: cantilever embedded wall &gt; 6 m, check deflection. ","")&amp;IF(AND(S69&lt;&gt;"",T69&lt;&gt;"",S69&gt;T69),"FAIL: deflection exceeds allowable. ","")))</f>
        <v/>
      </c>
      <c r="AR69" s="9"/>
      <c r="AS69" s="9"/>
      <c r="AT69" s="9"/>
      <c r="AU69" s="9"/>
      <c r="AV69" s="9"/>
      <c r="AW69" s="31"/>
      <c r="AX69" s="10" t="str">
        <f aca="false">IF(C69="","",IF(AND(Y69="Approved",ISERROR(SEARCH("FAIL",AQ69))),"Y","N"))</f>
        <v/>
      </c>
      <c r="AY69" s="10" t="str">
        <f aca="false">IF(C69="","",C69&amp;"|"&amp;E69&amp;"|"&amp;F69&amp;"|"&amp;G69&amp;"|"&amp;D69&amp;"|"&amp;AX69)</f>
        <v/>
      </c>
    </row>
    <row r="70" customFormat="false" ht="15" hidden="false" customHeight="false" outlineLevel="0" collapsed="false">
      <c r="A70" s="10" t="str">
        <f aca="false">IF(C70="","","EW-"&amp;IFERROR(VLOOKUP(C70,Lists!$P$4:$Q$22,2,0),"??")&amp;"-D"&amp;TEXT(E70*1000,"0000")&amp;"-"&amp;IFERROR(VLOOKUP(F70,Lists!$S$4:$T$21,2,0),"??")&amp;"-"&amp;IFERROR(VLOOKUP(G70,Lists!$Y$4:$Z$21,2,0),"??")&amp;"-"&amp;IFERROR(VLOOKUP(D70,Lists!$V$4:$W$16,2,0),"??")&amp;"-"&amp;X70)</f>
        <v/>
      </c>
      <c r="B70" s="10" t="str">
        <f aca="false">IF(C70="","",D70&amp;" "&amp;C70&amp;", excavation "&amp;TEXT(E70,"0.0")&amp;" m, "&amp;F70&amp;", "&amp;G70&amp;", "&amp;J70)</f>
        <v/>
      </c>
      <c r="C70" s="9"/>
      <c r="D70" s="9"/>
      <c r="E70" s="43"/>
      <c r="F70" s="9"/>
      <c r="G70" s="9"/>
      <c r="H70" s="43"/>
      <c r="I70" s="40"/>
      <c r="J70" s="9"/>
      <c r="K70" s="9"/>
      <c r="L70" s="9"/>
      <c r="M70" s="43"/>
      <c r="N70" s="43"/>
      <c r="O70" s="9"/>
      <c r="P70" s="9"/>
      <c r="Q70" s="9"/>
      <c r="R70" s="9"/>
      <c r="S70" s="40"/>
      <c r="T70" s="40"/>
      <c r="U70" s="9"/>
      <c r="V70" s="9"/>
      <c r="W70" s="9"/>
      <c r="X70" s="9"/>
      <c r="Y70" s="9"/>
      <c r="Z70" s="9"/>
      <c r="AA70" s="9"/>
      <c r="AB70" s="9"/>
      <c r="AC70" s="10" t="str">
        <f aca="false">IF(A70="","",SG_Criteria!$B$6&amp;SG_Criteria!$B$9&amp;"\"&amp;A70&amp;"\")</f>
        <v/>
      </c>
      <c r="AD70" s="10" t="str">
        <f aca="false">IF(A70="","",A70&amp;"_CAD.dwg")</f>
        <v/>
      </c>
      <c r="AE70" s="10" t="str">
        <f aca="false">IF(A70="","",A70&amp;"_DWG.pdf")</f>
        <v/>
      </c>
      <c r="AF70" s="10" t="str">
        <f aca="false">IF(A70="","",IF(AB70="Y",A70&amp;"_STAAD.std","n/a"))</f>
        <v/>
      </c>
      <c r="AG70" s="10" t="str">
        <f aca="false">IF(A70="","",A70&amp;"_CALC.xlsx")</f>
        <v/>
      </c>
      <c r="AH70" s="10" t="str">
        <f aca="false">IF(A70="","",A70&amp;"_CALC.pdf")</f>
        <v/>
      </c>
      <c r="AI70" s="9"/>
      <c r="AJ70" s="9"/>
      <c r="AK70" s="41"/>
      <c r="AL70" s="41"/>
      <c r="AM70" s="41"/>
      <c r="AN70" s="41"/>
      <c r="AO70" s="41"/>
      <c r="AP70" s="38" t="str">
        <f aca="false">IF(OR(C70="",E70=""),"",IF(E70&lt;=IF(C70="Soldier Pile &amp; Timber Lagging",SG_Criteria!$B$34,SG_Criteria!$B$33),"No ERSS submission",IF(E70&lt;=SG_Criteria!$B$35,"QP(ST)",IF(E70&lt;=SG_Criteria!$B$36,"QP(ST) + AC","Geotechnical building works: QP(Geo) + AC"))))</f>
        <v/>
      </c>
      <c r="AQ70" s="38" t="str">
        <f aca="false">IF(C70="","",IF(LEN(IF(AND(U70&lt;&gt;"",IFERROR(VALUE(MID(U70,2,2)),0)&lt;SG_Criteria!$B$19),"FAIL: grade below C"&amp;SG_Criteria!$B$19&amp;". ","")&amp;IF(AND(LEFT(C70,3)="Con",N(H70)&lt;E70,G70="Kallang Formation (marine clay)"),"NOTE: CBP is not watertight below GWT in marine clay; consider secant / grouting. ","")&amp;IF(AND(C70="Steel Sheet Pile",D70="Permanent"),"NOTE: permanent sheet pile needs corrosion allowance. ","")&amp;IF(AND(F70="Cantilever (no support)",E70&gt;6),"NOTE: cantilever embedded wall &gt; 6 m, check deflection. ","")&amp;IF(AND(S70&lt;&gt;"",T70&lt;&gt;"",S70&gt;T70),"FAIL: deflection exceeds allowable. ",""))=0,"OK",IF(AND(U70&lt;&gt;"",IFERROR(VALUE(MID(U70,2,2)),0)&lt;SG_Criteria!$B$19),"FAIL: grade below C"&amp;SG_Criteria!$B$19&amp;". ","")&amp;IF(AND(LEFT(C70,3)="Con",N(H70)&lt;E70,G70="Kallang Formation (marine clay)"),"NOTE: CBP is not watertight below GWT in marine clay; consider secant / grouting. ","")&amp;IF(AND(C70="Steel Sheet Pile",D70="Permanent"),"NOTE: permanent sheet pile needs corrosion allowance. ","")&amp;IF(AND(F70="Cantilever (no support)",E70&gt;6),"NOTE: cantilever embedded wall &gt; 6 m, check deflection. ","")&amp;IF(AND(S70&lt;&gt;"",T70&lt;&gt;"",S70&gt;T70),"FAIL: deflection exceeds allowable. ","")))</f>
        <v/>
      </c>
      <c r="AR70" s="9"/>
      <c r="AS70" s="9"/>
      <c r="AT70" s="9"/>
      <c r="AU70" s="9"/>
      <c r="AV70" s="9"/>
      <c r="AW70" s="31"/>
      <c r="AX70" s="10" t="str">
        <f aca="false">IF(C70="","",IF(AND(Y70="Approved",ISERROR(SEARCH("FAIL",AQ70))),"Y","N"))</f>
        <v/>
      </c>
      <c r="AY70" s="10" t="str">
        <f aca="false">IF(C70="","",C70&amp;"|"&amp;E70&amp;"|"&amp;F70&amp;"|"&amp;G70&amp;"|"&amp;D70&amp;"|"&amp;AX70)</f>
        <v/>
      </c>
    </row>
    <row r="71" customFormat="false" ht="15" hidden="false" customHeight="false" outlineLevel="0" collapsed="false">
      <c r="A71" s="10" t="str">
        <f aca="false">IF(C71="","","EW-"&amp;IFERROR(VLOOKUP(C71,Lists!$P$4:$Q$22,2,0),"??")&amp;"-D"&amp;TEXT(E71*1000,"0000")&amp;"-"&amp;IFERROR(VLOOKUP(F71,Lists!$S$4:$T$21,2,0),"??")&amp;"-"&amp;IFERROR(VLOOKUP(G71,Lists!$Y$4:$Z$21,2,0),"??")&amp;"-"&amp;IFERROR(VLOOKUP(D71,Lists!$V$4:$W$16,2,0),"??")&amp;"-"&amp;X71)</f>
        <v/>
      </c>
      <c r="B71" s="10" t="str">
        <f aca="false">IF(C71="","",D71&amp;" "&amp;C71&amp;", excavation "&amp;TEXT(E71,"0.0")&amp;" m, "&amp;F71&amp;", "&amp;G71&amp;", "&amp;J71)</f>
        <v/>
      </c>
      <c r="C71" s="9"/>
      <c r="D71" s="9"/>
      <c r="E71" s="43"/>
      <c r="F71" s="9"/>
      <c r="G71" s="9"/>
      <c r="H71" s="43"/>
      <c r="I71" s="40"/>
      <c r="J71" s="9"/>
      <c r="K71" s="9"/>
      <c r="L71" s="9"/>
      <c r="M71" s="43"/>
      <c r="N71" s="43"/>
      <c r="O71" s="9"/>
      <c r="P71" s="9"/>
      <c r="Q71" s="9"/>
      <c r="R71" s="9"/>
      <c r="S71" s="40"/>
      <c r="T71" s="40"/>
      <c r="U71" s="9"/>
      <c r="V71" s="9"/>
      <c r="W71" s="9"/>
      <c r="X71" s="9"/>
      <c r="Y71" s="9"/>
      <c r="Z71" s="9"/>
      <c r="AA71" s="9"/>
      <c r="AB71" s="9"/>
      <c r="AC71" s="10" t="str">
        <f aca="false">IF(A71="","",SG_Criteria!$B$6&amp;SG_Criteria!$B$9&amp;"\"&amp;A71&amp;"\")</f>
        <v/>
      </c>
      <c r="AD71" s="10" t="str">
        <f aca="false">IF(A71="","",A71&amp;"_CAD.dwg")</f>
        <v/>
      </c>
      <c r="AE71" s="10" t="str">
        <f aca="false">IF(A71="","",A71&amp;"_DWG.pdf")</f>
        <v/>
      </c>
      <c r="AF71" s="10" t="str">
        <f aca="false">IF(A71="","",IF(AB71="Y",A71&amp;"_STAAD.std","n/a"))</f>
        <v/>
      </c>
      <c r="AG71" s="10" t="str">
        <f aca="false">IF(A71="","",A71&amp;"_CALC.xlsx")</f>
        <v/>
      </c>
      <c r="AH71" s="10" t="str">
        <f aca="false">IF(A71="","",A71&amp;"_CALC.pdf")</f>
        <v/>
      </c>
      <c r="AI71" s="9"/>
      <c r="AJ71" s="9"/>
      <c r="AK71" s="41"/>
      <c r="AL71" s="41"/>
      <c r="AM71" s="41"/>
      <c r="AN71" s="41"/>
      <c r="AO71" s="41"/>
      <c r="AP71" s="38" t="str">
        <f aca="false">IF(OR(C71="",E71=""),"",IF(E71&lt;=IF(C71="Soldier Pile &amp; Timber Lagging",SG_Criteria!$B$34,SG_Criteria!$B$33),"No ERSS submission",IF(E71&lt;=SG_Criteria!$B$35,"QP(ST)",IF(E71&lt;=SG_Criteria!$B$36,"QP(ST) + AC","Geotechnical building works: QP(Geo) + AC"))))</f>
        <v/>
      </c>
      <c r="AQ71" s="38" t="str">
        <f aca="false">IF(C71="","",IF(LEN(IF(AND(U71&lt;&gt;"",IFERROR(VALUE(MID(U71,2,2)),0)&lt;SG_Criteria!$B$19),"FAIL: grade below C"&amp;SG_Criteria!$B$19&amp;". ","")&amp;IF(AND(LEFT(C71,3)="Con",N(H71)&lt;E71,G71="Kallang Formation (marine clay)"),"NOTE: CBP is not watertight below GWT in marine clay; consider secant / grouting. ","")&amp;IF(AND(C71="Steel Sheet Pile",D71="Permanent"),"NOTE: permanent sheet pile needs corrosion allowance. ","")&amp;IF(AND(F71="Cantilever (no support)",E71&gt;6),"NOTE: cantilever embedded wall &gt; 6 m, check deflection. ","")&amp;IF(AND(S71&lt;&gt;"",T71&lt;&gt;"",S71&gt;T71),"FAIL: deflection exceeds allowable. ",""))=0,"OK",IF(AND(U71&lt;&gt;"",IFERROR(VALUE(MID(U71,2,2)),0)&lt;SG_Criteria!$B$19),"FAIL: grade below C"&amp;SG_Criteria!$B$19&amp;". ","")&amp;IF(AND(LEFT(C71,3)="Con",N(H71)&lt;E71,G71="Kallang Formation (marine clay)"),"NOTE: CBP is not watertight below GWT in marine clay; consider secant / grouting. ","")&amp;IF(AND(C71="Steel Sheet Pile",D71="Permanent"),"NOTE: permanent sheet pile needs corrosion allowance. ","")&amp;IF(AND(F71="Cantilever (no support)",E71&gt;6),"NOTE: cantilever embedded wall &gt; 6 m, check deflection. ","")&amp;IF(AND(S71&lt;&gt;"",T71&lt;&gt;"",S71&gt;T71),"FAIL: deflection exceeds allowable. ","")))</f>
        <v/>
      </c>
      <c r="AR71" s="9"/>
      <c r="AS71" s="9"/>
      <c r="AT71" s="9"/>
      <c r="AU71" s="9"/>
      <c r="AV71" s="9"/>
      <c r="AW71" s="31"/>
      <c r="AX71" s="10" t="str">
        <f aca="false">IF(C71="","",IF(AND(Y71="Approved",ISERROR(SEARCH("FAIL",AQ71))),"Y","N"))</f>
        <v/>
      </c>
      <c r="AY71" s="10" t="str">
        <f aca="false">IF(C71="","",C71&amp;"|"&amp;E71&amp;"|"&amp;F71&amp;"|"&amp;G71&amp;"|"&amp;D71&amp;"|"&amp;AX71)</f>
        <v/>
      </c>
    </row>
    <row r="72" customFormat="false" ht="15" hidden="false" customHeight="false" outlineLevel="0" collapsed="false">
      <c r="A72" s="10" t="str">
        <f aca="false">IF(C72="","","EW-"&amp;IFERROR(VLOOKUP(C72,Lists!$P$4:$Q$22,2,0),"??")&amp;"-D"&amp;TEXT(E72*1000,"0000")&amp;"-"&amp;IFERROR(VLOOKUP(F72,Lists!$S$4:$T$21,2,0),"??")&amp;"-"&amp;IFERROR(VLOOKUP(G72,Lists!$Y$4:$Z$21,2,0),"??")&amp;"-"&amp;IFERROR(VLOOKUP(D72,Lists!$V$4:$W$16,2,0),"??")&amp;"-"&amp;X72)</f>
        <v/>
      </c>
      <c r="B72" s="10" t="str">
        <f aca="false">IF(C72="","",D72&amp;" "&amp;C72&amp;", excavation "&amp;TEXT(E72,"0.0")&amp;" m, "&amp;F72&amp;", "&amp;G72&amp;", "&amp;J72)</f>
        <v/>
      </c>
      <c r="C72" s="9"/>
      <c r="D72" s="9"/>
      <c r="E72" s="43"/>
      <c r="F72" s="9"/>
      <c r="G72" s="9"/>
      <c r="H72" s="43"/>
      <c r="I72" s="40"/>
      <c r="J72" s="9"/>
      <c r="K72" s="9"/>
      <c r="L72" s="9"/>
      <c r="M72" s="43"/>
      <c r="N72" s="43"/>
      <c r="O72" s="9"/>
      <c r="P72" s="9"/>
      <c r="Q72" s="9"/>
      <c r="R72" s="9"/>
      <c r="S72" s="40"/>
      <c r="T72" s="40"/>
      <c r="U72" s="9"/>
      <c r="V72" s="9"/>
      <c r="W72" s="9"/>
      <c r="X72" s="9"/>
      <c r="Y72" s="9"/>
      <c r="Z72" s="9"/>
      <c r="AA72" s="9"/>
      <c r="AB72" s="9"/>
      <c r="AC72" s="10" t="str">
        <f aca="false">IF(A72="","",SG_Criteria!$B$6&amp;SG_Criteria!$B$9&amp;"\"&amp;A72&amp;"\")</f>
        <v/>
      </c>
      <c r="AD72" s="10" t="str">
        <f aca="false">IF(A72="","",A72&amp;"_CAD.dwg")</f>
        <v/>
      </c>
      <c r="AE72" s="10" t="str">
        <f aca="false">IF(A72="","",A72&amp;"_DWG.pdf")</f>
        <v/>
      </c>
      <c r="AF72" s="10" t="str">
        <f aca="false">IF(A72="","",IF(AB72="Y",A72&amp;"_STAAD.std","n/a"))</f>
        <v/>
      </c>
      <c r="AG72" s="10" t="str">
        <f aca="false">IF(A72="","",A72&amp;"_CALC.xlsx")</f>
        <v/>
      </c>
      <c r="AH72" s="10" t="str">
        <f aca="false">IF(A72="","",A72&amp;"_CALC.pdf")</f>
        <v/>
      </c>
      <c r="AI72" s="9"/>
      <c r="AJ72" s="9"/>
      <c r="AK72" s="41"/>
      <c r="AL72" s="41"/>
      <c r="AM72" s="41"/>
      <c r="AN72" s="41"/>
      <c r="AO72" s="41"/>
      <c r="AP72" s="38" t="str">
        <f aca="false">IF(OR(C72="",E72=""),"",IF(E72&lt;=IF(C72="Soldier Pile &amp; Timber Lagging",SG_Criteria!$B$34,SG_Criteria!$B$33),"No ERSS submission",IF(E72&lt;=SG_Criteria!$B$35,"QP(ST)",IF(E72&lt;=SG_Criteria!$B$36,"QP(ST) + AC","Geotechnical building works: QP(Geo) + AC"))))</f>
        <v/>
      </c>
      <c r="AQ72" s="38" t="str">
        <f aca="false">IF(C72="","",IF(LEN(IF(AND(U72&lt;&gt;"",IFERROR(VALUE(MID(U72,2,2)),0)&lt;SG_Criteria!$B$19),"FAIL: grade below C"&amp;SG_Criteria!$B$19&amp;". ","")&amp;IF(AND(LEFT(C72,3)="Con",N(H72)&lt;E72,G72="Kallang Formation (marine clay)"),"NOTE: CBP is not watertight below GWT in marine clay; consider secant / grouting. ","")&amp;IF(AND(C72="Steel Sheet Pile",D72="Permanent"),"NOTE: permanent sheet pile needs corrosion allowance. ","")&amp;IF(AND(F72="Cantilever (no support)",E72&gt;6),"NOTE: cantilever embedded wall &gt; 6 m, check deflection. ","")&amp;IF(AND(S72&lt;&gt;"",T72&lt;&gt;"",S72&gt;T72),"FAIL: deflection exceeds allowable. ",""))=0,"OK",IF(AND(U72&lt;&gt;"",IFERROR(VALUE(MID(U72,2,2)),0)&lt;SG_Criteria!$B$19),"FAIL: grade below C"&amp;SG_Criteria!$B$19&amp;". ","")&amp;IF(AND(LEFT(C72,3)="Con",N(H72)&lt;E72,G72="Kallang Formation (marine clay)"),"NOTE: CBP is not watertight below GWT in marine clay; consider secant / grouting. ","")&amp;IF(AND(C72="Steel Sheet Pile",D72="Permanent"),"NOTE: permanent sheet pile needs corrosion allowance. ","")&amp;IF(AND(F72="Cantilever (no support)",E72&gt;6),"NOTE: cantilever embedded wall &gt; 6 m, check deflection. ","")&amp;IF(AND(S72&lt;&gt;"",T72&lt;&gt;"",S72&gt;T72),"FAIL: deflection exceeds allowable. ","")))</f>
        <v/>
      </c>
      <c r="AR72" s="9"/>
      <c r="AS72" s="9"/>
      <c r="AT72" s="9"/>
      <c r="AU72" s="9"/>
      <c r="AV72" s="9"/>
      <c r="AW72" s="31"/>
      <c r="AX72" s="10" t="str">
        <f aca="false">IF(C72="","",IF(AND(Y72="Approved",ISERROR(SEARCH("FAIL",AQ72))),"Y","N"))</f>
        <v/>
      </c>
      <c r="AY72" s="10" t="str">
        <f aca="false">IF(C72="","",C72&amp;"|"&amp;E72&amp;"|"&amp;F72&amp;"|"&amp;G72&amp;"|"&amp;D72&amp;"|"&amp;AX72)</f>
        <v/>
      </c>
    </row>
    <row r="73" customFormat="false" ht="15" hidden="false" customHeight="false" outlineLevel="0" collapsed="false">
      <c r="A73" s="10" t="str">
        <f aca="false">IF(C73="","","EW-"&amp;IFERROR(VLOOKUP(C73,Lists!$P$4:$Q$22,2,0),"??")&amp;"-D"&amp;TEXT(E73*1000,"0000")&amp;"-"&amp;IFERROR(VLOOKUP(F73,Lists!$S$4:$T$21,2,0),"??")&amp;"-"&amp;IFERROR(VLOOKUP(G73,Lists!$Y$4:$Z$21,2,0),"??")&amp;"-"&amp;IFERROR(VLOOKUP(D73,Lists!$V$4:$W$16,2,0),"??")&amp;"-"&amp;X73)</f>
        <v/>
      </c>
      <c r="B73" s="10" t="str">
        <f aca="false">IF(C73="","",D73&amp;" "&amp;C73&amp;", excavation "&amp;TEXT(E73,"0.0")&amp;" m, "&amp;F73&amp;", "&amp;G73&amp;", "&amp;J73)</f>
        <v/>
      </c>
      <c r="C73" s="9"/>
      <c r="D73" s="9"/>
      <c r="E73" s="43"/>
      <c r="F73" s="9"/>
      <c r="G73" s="9"/>
      <c r="H73" s="43"/>
      <c r="I73" s="40"/>
      <c r="J73" s="9"/>
      <c r="K73" s="9"/>
      <c r="L73" s="9"/>
      <c r="M73" s="43"/>
      <c r="N73" s="43"/>
      <c r="O73" s="9"/>
      <c r="P73" s="9"/>
      <c r="Q73" s="9"/>
      <c r="R73" s="9"/>
      <c r="S73" s="40"/>
      <c r="T73" s="40"/>
      <c r="U73" s="9"/>
      <c r="V73" s="9"/>
      <c r="W73" s="9"/>
      <c r="X73" s="9"/>
      <c r="Y73" s="9"/>
      <c r="Z73" s="9"/>
      <c r="AA73" s="9"/>
      <c r="AB73" s="9"/>
      <c r="AC73" s="10" t="str">
        <f aca="false">IF(A73="","",SG_Criteria!$B$6&amp;SG_Criteria!$B$9&amp;"\"&amp;A73&amp;"\")</f>
        <v/>
      </c>
      <c r="AD73" s="10" t="str">
        <f aca="false">IF(A73="","",A73&amp;"_CAD.dwg")</f>
        <v/>
      </c>
      <c r="AE73" s="10" t="str">
        <f aca="false">IF(A73="","",A73&amp;"_DWG.pdf")</f>
        <v/>
      </c>
      <c r="AF73" s="10" t="str">
        <f aca="false">IF(A73="","",IF(AB73="Y",A73&amp;"_STAAD.std","n/a"))</f>
        <v/>
      </c>
      <c r="AG73" s="10" t="str">
        <f aca="false">IF(A73="","",A73&amp;"_CALC.xlsx")</f>
        <v/>
      </c>
      <c r="AH73" s="10" t="str">
        <f aca="false">IF(A73="","",A73&amp;"_CALC.pdf")</f>
        <v/>
      </c>
      <c r="AI73" s="9"/>
      <c r="AJ73" s="9"/>
      <c r="AK73" s="41"/>
      <c r="AL73" s="41"/>
      <c r="AM73" s="41"/>
      <c r="AN73" s="41"/>
      <c r="AO73" s="41"/>
      <c r="AP73" s="38" t="str">
        <f aca="false">IF(OR(C73="",E73=""),"",IF(E73&lt;=IF(C73="Soldier Pile &amp; Timber Lagging",SG_Criteria!$B$34,SG_Criteria!$B$33),"No ERSS submission",IF(E73&lt;=SG_Criteria!$B$35,"QP(ST)",IF(E73&lt;=SG_Criteria!$B$36,"QP(ST) + AC","Geotechnical building works: QP(Geo) + AC"))))</f>
        <v/>
      </c>
      <c r="AQ73" s="38" t="str">
        <f aca="false">IF(C73="","",IF(LEN(IF(AND(U73&lt;&gt;"",IFERROR(VALUE(MID(U73,2,2)),0)&lt;SG_Criteria!$B$19),"FAIL: grade below C"&amp;SG_Criteria!$B$19&amp;". ","")&amp;IF(AND(LEFT(C73,3)="Con",N(H73)&lt;E73,G73="Kallang Formation (marine clay)"),"NOTE: CBP is not watertight below GWT in marine clay; consider secant / grouting. ","")&amp;IF(AND(C73="Steel Sheet Pile",D73="Permanent"),"NOTE: permanent sheet pile needs corrosion allowance. ","")&amp;IF(AND(F73="Cantilever (no support)",E73&gt;6),"NOTE: cantilever embedded wall &gt; 6 m, check deflection. ","")&amp;IF(AND(S73&lt;&gt;"",T73&lt;&gt;"",S73&gt;T73),"FAIL: deflection exceeds allowable. ",""))=0,"OK",IF(AND(U73&lt;&gt;"",IFERROR(VALUE(MID(U73,2,2)),0)&lt;SG_Criteria!$B$19),"FAIL: grade below C"&amp;SG_Criteria!$B$19&amp;". ","")&amp;IF(AND(LEFT(C73,3)="Con",N(H73)&lt;E73,G73="Kallang Formation (marine clay)"),"NOTE: CBP is not watertight below GWT in marine clay; consider secant / grouting. ","")&amp;IF(AND(C73="Steel Sheet Pile",D73="Permanent"),"NOTE: permanent sheet pile needs corrosion allowance. ","")&amp;IF(AND(F73="Cantilever (no support)",E73&gt;6),"NOTE: cantilever embedded wall &gt; 6 m, check deflection. ","")&amp;IF(AND(S73&lt;&gt;"",T73&lt;&gt;"",S73&gt;T73),"FAIL: deflection exceeds allowable. ","")))</f>
        <v/>
      </c>
      <c r="AR73" s="9"/>
      <c r="AS73" s="9"/>
      <c r="AT73" s="9"/>
      <c r="AU73" s="9"/>
      <c r="AV73" s="9"/>
      <c r="AW73" s="31"/>
      <c r="AX73" s="10" t="str">
        <f aca="false">IF(C73="","",IF(AND(Y73="Approved",ISERROR(SEARCH("FAIL",AQ73))),"Y","N"))</f>
        <v/>
      </c>
      <c r="AY73" s="10" t="str">
        <f aca="false">IF(C73="","",C73&amp;"|"&amp;E73&amp;"|"&amp;F73&amp;"|"&amp;G73&amp;"|"&amp;D73&amp;"|"&amp;AX73)</f>
        <v/>
      </c>
    </row>
    <row r="74" customFormat="false" ht="15" hidden="false" customHeight="false" outlineLevel="0" collapsed="false">
      <c r="A74" s="10" t="str">
        <f aca="false">IF(C74="","","EW-"&amp;IFERROR(VLOOKUP(C74,Lists!$P$4:$Q$22,2,0),"??")&amp;"-D"&amp;TEXT(E74*1000,"0000")&amp;"-"&amp;IFERROR(VLOOKUP(F74,Lists!$S$4:$T$21,2,0),"??")&amp;"-"&amp;IFERROR(VLOOKUP(G74,Lists!$Y$4:$Z$21,2,0),"??")&amp;"-"&amp;IFERROR(VLOOKUP(D74,Lists!$V$4:$W$16,2,0),"??")&amp;"-"&amp;X74)</f>
        <v/>
      </c>
      <c r="B74" s="10" t="str">
        <f aca="false">IF(C74="","",D74&amp;" "&amp;C74&amp;", excavation "&amp;TEXT(E74,"0.0")&amp;" m, "&amp;F74&amp;", "&amp;G74&amp;", "&amp;J74)</f>
        <v/>
      </c>
      <c r="C74" s="9"/>
      <c r="D74" s="9"/>
      <c r="E74" s="43"/>
      <c r="F74" s="9"/>
      <c r="G74" s="9"/>
      <c r="H74" s="43"/>
      <c r="I74" s="40"/>
      <c r="J74" s="9"/>
      <c r="K74" s="9"/>
      <c r="L74" s="9"/>
      <c r="M74" s="43"/>
      <c r="N74" s="43"/>
      <c r="O74" s="9"/>
      <c r="P74" s="9"/>
      <c r="Q74" s="9"/>
      <c r="R74" s="9"/>
      <c r="S74" s="40"/>
      <c r="T74" s="40"/>
      <c r="U74" s="9"/>
      <c r="V74" s="9"/>
      <c r="W74" s="9"/>
      <c r="X74" s="9"/>
      <c r="Y74" s="9"/>
      <c r="Z74" s="9"/>
      <c r="AA74" s="9"/>
      <c r="AB74" s="9"/>
      <c r="AC74" s="10" t="str">
        <f aca="false">IF(A74="","",SG_Criteria!$B$6&amp;SG_Criteria!$B$9&amp;"\"&amp;A74&amp;"\")</f>
        <v/>
      </c>
      <c r="AD74" s="10" t="str">
        <f aca="false">IF(A74="","",A74&amp;"_CAD.dwg")</f>
        <v/>
      </c>
      <c r="AE74" s="10" t="str">
        <f aca="false">IF(A74="","",A74&amp;"_DWG.pdf")</f>
        <v/>
      </c>
      <c r="AF74" s="10" t="str">
        <f aca="false">IF(A74="","",IF(AB74="Y",A74&amp;"_STAAD.std","n/a"))</f>
        <v/>
      </c>
      <c r="AG74" s="10" t="str">
        <f aca="false">IF(A74="","",A74&amp;"_CALC.xlsx")</f>
        <v/>
      </c>
      <c r="AH74" s="10" t="str">
        <f aca="false">IF(A74="","",A74&amp;"_CALC.pdf")</f>
        <v/>
      </c>
      <c r="AI74" s="9"/>
      <c r="AJ74" s="9"/>
      <c r="AK74" s="41"/>
      <c r="AL74" s="41"/>
      <c r="AM74" s="41"/>
      <c r="AN74" s="41"/>
      <c r="AO74" s="41"/>
      <c r="AP74" s="38" t="str">
        <f aca="false">IF(OR(C74="",E74=""),"",IF(E74&lt;=IF(C74="Soldier Pile &amp; Timber Lagging",SG_Criteria!$B$34,SG_Criteria!$B$33),"No ERSS submission",IF(E74&lt;=SG_Criteria!$B$35,"QP(ST)",IF(E74&lt;=SG_Criteria!$B$36,"QP(ST) + AC","Geotechnical building works: QP(Geo) + AC"))))</f>
        <v/>
      </c>
      <c r="AQ74" s="38" t="str">
        <f aca="false">IF(C74="","",IF(LEN(IF(AND(U74&lt;&gt;"",IFERROR(VALUE(MID(U74,2,2)),0)&lt;SG_Criteria!$B$19),"FAIL: grade below C"&amp;SG_Criteria!$B$19&amp;". ","")&amp;IF(AND(LEFT(C74,3)="Con",N(H74)&lt;E74,G74="Kallang Formation (marine clay)"),"NOTE: CBP is not watertight below GWT in marine clay; consider secant / grouting. ","")&amp;IF(AND(C74="Steel Sheet Pile",D74="Permanent"),"NOTE: permanent sheet pile needs corrosion allowance. ","")&amp;IF(AND(F74="Cantilever (no support)",E74&gt;6),"NOTE: cantilever embedded wall &gt; 6 m, check deflection. ","")&amp;IF(AND(S74&lt;&gt;"",T74&lt;&gt;"",S74&gt;T74),"FAIL: deflection exceeds allowable. ",""))=0,"OK",IF(AND(U74&lt;&gt;"",IFERROR(VALUE(MID(U74,2,2)),0)&lt;SG_Criteria!$B$19),"FAIL: grade below C"&amp;SG_Criteria!$B$19&amp;". ","")&amp;IF(AND(LEFT(C74,3)="Con",N(H74)&lt;E74,G74="Kallang Formation (marine clay)"),"NOTE: CBP is not watertight below GWT in marine clay; consider secant / grouting. ","")&amp;IF(AND(C74="Steel Sheet Pile",D74="Permanent"),"NOTE: permanent sheet pile needs corrosion allowance. ","")&amp;IF(AND(F74="Cantilever (no support)",E74&gt;6),"NOTE: cantilever embedded wall &gt; 6 m, check deflection. ","")&amp;IF(AND(S74&lt;&gt;"",T74&lt;&gt;"",S74&gt;T74),"FAIL: deflection exceeds allowable. ","")))</f>
        <v/>
      </c>
      <c r="AR74" s="9"/>
      <c r="AS74" s="9"/>
      <c r="AT74" s="9"/>
      <c r="AU74" s="9"/>
      <c r="AV74" s="9"/>
      <c r="AW74" s="31"/>
      <c r="AX74" s="10" t="str">
        <f aca="false">IF(C74="","",IF(AND(Y74="Approved",ISERROR(SEARCH("FAIL",AQ74))),"Y","N"))</f>
        <v/>
      </c>
      <c r="AY74" s="10" t="str">
        <f aca="false">IF(C74="","",C74&amp;"|"&amp;E74&amp;"|"&amp;F74&amp;"|"&amp;G74&amp;"|"&amp;D74&amp;"|"&amp;AX74)</f>
        <v/>
      </c>
    </row>
    <row r="75" customFormat="false" ht="15" hidden="false" customHeight="false" outlineLevel="0" collapsed="false">
      <c r="A75" s="10" t="str">
        <f aca="false">IF(C75="","","EW-"&amp;IFERROR(VLOOKUP(C75,Lists!$P$4:$Q$22,2,0),"??")&amp;"-D"&amp;TEXT(E75*1000,"0000")&amp;"-"&amp;IFERROR(VLOOKUP(F75,Lists!$S$4:$T$21,2,0),"??")&amp;"-"&amp;IFERROR(VLOOKUP(G75,Lists!$Y$4:$Z$21,2,0),"??")&amp;"-"&amp;IFERROR(VLOOKUP(D75,Lists!$V$4:$W$16,2,0),"??")&amp;"-"&amp;X75)</f>
        <v/>
      </c>
      <c r="B75" s="10" t="str">
        <f aca="false">IF(C75="","",D75&amp;" "&amp;C75&amp;", excavation "&amp;TEXT(E75,"0.0")&amp;" m, "&amp;F75&amp;", "&amp;G75&amp;", "&amp;J75)</f>
        <v/>
      </c>
      <c r="C75" s="9"/>
      <c r="D75" s="9"/>
      <c r="E75" s="43"/>
      <c r="F75" s="9"/>
      <c r="G75" s="9"/>
      <c r="H75" s="43"/>
      <c r="I75" s="40"/>
      <c r="J75" s="9"/>
      <c r="K75" s="9"/>
      <c r="L75" s="9"/>
      <c r="M75" s="43"/>
      <c r="N75" s="43"/>
      <c r="O75" s="9"/>
      <c r="P75" s="9"/>
      <c r="Q75" s="9"/>
      <c r="R75" s="9"/>
      <c r="S75" s="40"/>
      <c r="T75" s="40"/>
      <c r="U75" s="9"/>
      <c r="V75" s="9"/>
      <c r="W75" s="9"/>
      <c r="X75" s="9"/>
      <c r="Y75" s="9"/>
      <c r="Z75" s="9"/>
      <c r="AA75" s="9"/>
      <c r="AB75" s="9"/>
      <c r="AC75" s="10" t="str">
        <f aca="false">IF(A75="","",SG_Criteria!$B$6&amp;SG_Criteria!$B$9&amp;"\"&amp;A75&amp;"\")</f>
        <v/>
      </c>
      <c r="AD75" s="10" t="str">
        <f aca="false">IF(A75="","",A75&amp;"_CAD.dwg")</f>
        <v/>
      </c>
      <c r="AE75" s="10" t="str">
        <f aca="false">IF(A75="","",A75&amp;"_DWG.pdf")</f>
        <v/>
      </c>
      <c r="AF75" s="10" t="str">
        <f aca="false">IF(A75="","",IF(AB75="Y",A75&amp;"_STAAD.std","n/a"))</f>
        <v/>
      </c>
      <c r="AG75" s="10" t="str">
        <f aca="false">IF(A75="","",A75&amp;"_CALC.xlsx")</f>
        <v/>
      </c>
      <c r="AH75" s="10" t="str">
        <f aca="false">IF(A75="","",A75&amp;"_CALC.pdf")</f>
        <v/>
      </c>
      <c r="AI75" s="9"/>
      <c r="AJ75" s="9"/>
      <c r="AK75" s="41"/>
      <c r="AL75" s="41"/>
      <c r="AM75" s="41"/>
      <c r="AN75" s="41"/>
      <c r="AO75" s="41"/>
      <c r="AP75" s="38" t="str">
        <f aca="false">IF(OR(C75="",E75=""),"",IF(E75&lt;=IF(C75="Soldier Pile &amp; Timber Lagging",SG_Criteria!$B$34,SG_Criteria!$B$33),"No ERSS submission",IF(E75&lt;=SG_Criteria!$B$35,"QP(ST)",IF(E75&lt;=SG_Criteria!$B$36,"QP(ST) + AC","Geotechnical building works: QP(Geo) + AC"))))</f>
        <v/>
      </c>
      <c r="AQ75" s="38" t="str">
        <f aca="false">IF(C75="","",IF(LEN(IF(AND(U75&lt;&gt;"",IFERROR(VALUE(MID(U75,2,2)),0)&lt;SG_Criteria!$B$19),"FAIL: grade below C"&amp;SG_Criteria!$B$19&amp;". ","")&amp;IF(AND(LEFT(C75,3)="Con",N(H75)&lt;E75,G75="Kallang Formation (marine clay)"),"NOTE: CBP is not watertight below GWT in marine clay; consider secant / grouting. ","")&amp;IF(AND(C75="Steel Sheet Pile",D75="Permanent"),"NOTE: permanent sheet pile needs corrosion allowance. ","")&amp;IF(AND(F75="Cantilever (no support)",E75&gt;6),"NOTE: cantilever embedded wall &gt; 6 m, check deflection. ","")&amp;IF(AND(S75&lt;&gt;"",T75&lt;&gt;"",S75&gt;T75),"FAIL: deflection exceeds allowable. ",""))=0,"OK",IF(AND(U75&lt;&gt;"",IFERROR(VALUE(MID(U75,2,2)),0)&lt;SG_Criteria!$B$19),"FAIL: grade below C"&amp;SG_Criteria!$B$19&amp;". ","")&amp;IF(AND(LEFT(C75,3)="Con",N(H75)&lt;E75,G75="Kallang Formation (marine clay)"),"NOTE: CBP is not watertight below GWT in marine clay; consider secant / grouting. ","")&amp;IF(AND(C75="Steel Sheet Pile",D75="Permanent"),"NOTE: permanent sheet pile needs corrosion allowance. ","")&amp;IF(AND(F75="Cantilever (no support)",E75&gt;6),"NOTE: cantilever embedded wall &gt; 6 m, check deflection. ","")&amp;IF(AND(S75&lt;&gt;"",T75&lt;&gt;"",S75&gt;T75),"FAIL: deflection exceeds allowable. ","")))</f>
        <v/>
      </c>
      <c r="AR75" s="9"/>
      <c r="AS75" s="9"/>
      <c r="AT75" s="9"/>
      <c r="AU75" s="9"/>
      <c r="AV75" s="9"/>
      <c r="AW75" s="31"/>
      <c r="AX75" s="10" t="str">
        <f aca="false">IF(C75="","",IF(AND(Y75="Approved",ISERROR(SEARCH("FAIL",AQ75))),"Y","N"))</f>
        <v/>
      </c>
      <c r="AY75" s="10" t="str">
        <f aca="false">IF(C75="","",C75&amp;"|"&amp;E75&amp;"|"&amp;F75&amp;"|"&amp;G75&amp;"|"&amp;D75&amp;"|"&amp;AX75)</f>
        <v/>
      </c>
    </row>
    <row r="76" customFormat="false" ht="15" hidden="false" customHeight="false" outlineLevel="0" collapsed="false">
      <c r="A76" s="10" t="str">
        <f aca="false">IF(C76="","","EW-"&amp;IFERROR(VLOOKUP(C76,Lists!$P$4:$Q$22,2,0),"??")&amp;"-D"&amp;TEXT(E76*1000,"0000")&amp;"-"&amp;IFERROR(VLOOKUP(F76,Lists!$S$4:$T$21,2,0),"??")&amp;"-"&amp;IFERROR(VLOOKUP(G76,Lists!$Y$4:$Z$21,2,0),"??")&amp;"-"&amp;IFERROR(VLOOKUP(D76,Lists!$V$4:$W$16,2,0),"??")&amp;"-"&amp;X76)</f>
        <v/>
      </c>
      <c r="B76" s="10" t="str">
        <f aca="false">IF(C76="","",D76&amp;" "&amp;C76&amp;", excavation "&amp;TEXT(E76,"0.0")&amp;" m, "&amp;F76&amp;", "&amp;G76&amp;", "&amp;J76)</f>
        <v/>
      </c>
      <c r="C76" s="9"/>
      <c r="D76" s="9"/>
      <c r="E76" s="43"/>
      <c r="F76" s="9"/>
      <c r="G76" s="9"/>
      <c r="H76" s="43"/>
      <c r="I76" s="40"/>
      <c r="J76" s="9"/>
      <c r="K76" s="9"/>
      <c r="L76" s="9"/>
      <c r="M76" s="43"/>
      <c r="N76" s="43"/>
      <c r="O76" s="9"/>
      <c r="P76" s="9"/>
      <c r="Q76" s="9"/>
      <c r="R76" s="9"/>
      <c r="S76" s="40"/>
      <c r="T76" s="40"/>
      <c r="U76" s="9"/>
      <c r="V76" s="9"/>
      <c r="W76" s="9"/>
      <c r="X76" s="9"/>
      <c r="Y76" s="9"/>
      <c r="Z76" s="9"/>
      <c r="AA76" s="9"/>
      <c r="AB76" s="9"/>
      <c r="AC76" s="10" t="str">
        <f aca="false">IF(A76="","",SG_Criteria!$B$6&amp;SG_Criteria!$B$9&amp;"\"&amp;A76&amp;"\")</f>
        <v/>
      </c>
      <c r="AD76" s="10" t="str">
        <f aca="false">IF(A76="","",A76&amp;"_CAD.dwg")</f>
        <v/>
      </c>
      <c r="AE76" s="10" t="str">
        <f aca="false">IF(A76="","",A76&amp;"_DWG.pdf")</f>
        <v/>
      </c>
      <c r="AF76" s="10" t="str">
        <f aca="false">IF(A76="","",IF(AB76="Y",A76&amp;"_STAAD.std","n/a"))</f>
        <v/>
      </c>
      <c r="AG76" s="10" t="str">
        <f aca="false">IF(A76="","",A76&amp;"_CALC.xlsx")</f>
        <v/>
      </c>
      <c r="AH76" s="10" t="str">
        <f aca="false">IF(A76="","",A76&amp;"_CALC.pdf")</f>
        <v/>
      </c>
      <c r="AI76" s="9"/>
      <c r="AJ76" s="9"/>
      <c r="AK76" s="41"/>
      <c r="AL76" s="41"/>
      <c r="AM76" s="41"/>
      <c r="AN76" s="41"/>
      <c r="AO76" s="41"/>
      <c r="AP76" s="38" t="str">
        <f aca="false">IF(OR(C76="",E76=""),"",IF(E76&lt;=IF(C76="Soldier Pile &amp; Timber Lagging",SG_Criteria!$B$34,SG_Criteria!$B$33),"No ERSS submission",IF(E76&lt;=SG_Criteria!$B$35,"QP(ST)",IF(E76&lt;=SG_Criteria!$B$36,"QP(ST) + AC","Geotechnical building works: QP(Geo) + AC"))))</f>
        <v/>
      </c>
      <c r="AQ76" s="38" t="str">
        <f aca="false">IF(C76="","",IF(LEN(IF(AND(U76&lt;&gt;"",IFERROR(VALUE(MID(U76,2,2)),0)&lt;SG_Criteria!$B$19),"FAIL: grade below C"&amp;SG_Criteria!$B$19&amp;". ","")&amp;IF(AND(LEFT(C76,3)="Con",N(H76)&lt;E76,G76="Kallang Formation (marine clay)"),"NOTE: CBP is not watertight below GWT in marine clay; consider secant / grouting. ","")&amp;IF(AND(C76="Steel Sheet Pile",D76="Permanent"),"NOTE: permanent sheet pile needs corrosion allowance. ","")&amp;IF(AND(F76="Cantilever (no support)",E76&gt;6),"NOTE: cantilever embedded wall &gt; 6 m, check deflection. ","")&amp;IF(AND(S76&lt;&gt;"",T76&lt;&gt;"",S76&gt;T76),"FAIL: deflection exceeds allowable. ",""))=0,"OK",IF(AND(U76&lt;&gt;"",IFERROR(VALUE(MID(U76,2,2)),0)&lt;SG_Criteria!$B$19),"FAIL: grade below C"&amp;SG_Criteria!$B$19&amp;". ","")&amp;IF(AND(LEFT(C76,3)="Con",N(H76)&lt;E76,G76="Kallang Formation (marine clay)"),"NOTE: CBP is not watertight below GWT in marine clay; consider secant / grouting. ","")&amp;IF(AND(C76="Steel Sheet Pile",D76="Permanent"),"NOTE: permanent sheet pile needs corrosion allowance. ","")&amp;IF(AND(F76="Cantilever (no support)",E76&gt;6),"NOTE: cantilever embedded wall &gt; 6 m, check deflection. ","")&amp;IF(AND(S76&lt;&gt;"",T76&lt;&gt;"",S76&gt;T76),"FAIL: deflection exceeds allowable. ","")))</f>
        <v/>
      </c>
      <c r="AR76" s="9"/>
      <c r="AS76" s="9"/>
      <c r="AT76" s="9"/>
      <c r="AU76" s="9"/>
      <c r="AV76" s="9"/>
      <c r="AW76" s="31"/>
      <c r="AX76" s="10" t="str">
        <f aca="false">IF(C76="","",IF(AND(Y76="Approved",ISERROR(SEARCH("FAIL",AQ76))),"Y","N"))</f>
        <v/>
      </c>
      <c r="AY76" s="10" t="str">
        <f aca="false">IF(C76="","",C76&amp;"|"&amp;E76&amp;"|"&amp;F76&amp;"|"&amp;G76&amp;"|"&amp;D76&amp;"|"&amp;AX76)</f>
        <v/>
      </c>
    </row>
    <row r="77" customFormat="false" ht="15" hidden="false" customHeight="false" outlineLevel="0" collapsed="false">
      <c r="A77" s="10" t="str">
        <f aca="false">IF(C77="","","EW-"&amp;IFERROR(VLOOKUP(C77,Lists!$P$4:$Q$22,2,0),"??")&amp;"-D"&amp;TEXT(E77*1000,"0000")&amp;"-"&amp;IFERROR(VLOOKUP(F77,Lists!$S$4:$T$21,2,0),"??")&amp;"-"&amp;IFERROR(VLOOKUP(G77,Lists!$Y$4:$Z$21,2,0),"??")&amp;"-"&amp;IFERROR(VLOOKUP(D77,Lists!$V$4:$W$16,2,0),"??")&amp;"-"&amp;X77)</f>
        <v/>
      </c>
      <c r="B77" s="10" t="str">
        <f aca="false">IF(C77="","",D77&amp;" "&amp;C77&amp;", excavation "&amp;TEXT(E77,"0.0")&amp;" m, "&amp;F77&amp;", "&amp;G77&amp;", "&amp;J77)</f>
        <v/>
      </c>
      <c r="C77" s="9"/>
      <c r="D77" s="9"/>
      <c r="E77" s="43"/>
      <c r="F77" s="9"/>
      <c r="G77" s="9"/>
      <c r="H77" s="43"/>
      <c r="I77" s="40"/>
      <c r="J77" s="9"/>
      <c r="K77" s="9"/>
      <c r="L77" s="9"/>
      <c r="M77" s="43"/>
      <c r="N77" s="43"/>
      <c r="O77" s="9"/>
      <c r="P77" s="9"/>
      <c r="Q77" s="9"/>
      <c r="R77" s="9"/>
      <c r="S77" s="40"/>
      <c r="T77" s="40"/>
      <c r="U77" s="9"/>
      <c r="V77" s="9"/>
      <c r="W77" s="9"/>
      <c r="X77" s="9"/>
      <c r="Y77" s="9"/>
      <c r="Z77" s="9"/>
      <c r="AA77" s="9"/>
      <c r="AB77" s="9"/>
      <c r="AC77" s="10" t="str">
        <f aca="false">IF(A77="","",SG_Criteria!$B$6&amp;SG_Criteria!$B$9&amp;"\"&amp;A77&amp;"\")</f>
        <v/>
      </c>
      <c r="AD77" s="10" t="str">
        <f aca="false">IF(A77="","",A77&amp;"_CAD.dwg")</f>
        <v/>
      </c>
      <c r="AE77" s="10" t="str">
        <f aca="false">IF(A77="","",A77&amp;"_DWG.pdf")</f>
        <v/>
      </c>
      <c r="AF77" s="10" t="str">
        <f aca="false">IF(A77="","",IF(AB77="Y",A77&amp;"_STAAD.std","n/a"))</f>
        <v/>
      </c>
      <c r="AG77" s="10" t="str">
        <f aca="false">IF(A77="","",A77&amp;"_CALC.xlsx")</f>
        <v/>
      </c>
      <c r="AH77" s="10" t="str">
        <f aca="false">IF(A77="","",A77&amp;"_CALC.pdf")</f>
        <v/>
      </c>
      <c r="AI77" s="9"/>
      <c r="AJ77" s="9"/>
      <c r="AK77" s="41"/>
      <c r="AL77" s="41"/>
      <c r="AM77" s="41"/>
      <c r="AN77" s="41"/>
      <c r="AO77" s="41"/>
      <c r="AP77" s="38" t="str">
        <f aca="false">IF(OR(C77="",E77=""),"",IF(E77&lt;=IF(C77="Soldier Pile &amp; Timber Lagging",SG_Criteria!$B$34,SG_Criteria!$B$33),"No ERSS submission",IF(E77&lt;=SG_Criteria!$B$35,"QP(ST)",IF(E77&lt;=SG_Criteria!$B$36,"QP(ST) + AC","Geotechnical building works: QP(Geo) + AC"))))</f>
        <v/>
      </c>
      <c r="AQ77" s="38" t="str">
        <f aca="false">IF(C77="","",IF(LEN(IF(AND(U77&lt;&gt;"",IFERROR(VALUE(MID(U77,2,2)),0)&lt;SG_Criteria!$B$19),"FAIL: grade below C"&amp;SG_Criteria!$B$19&amp;". ","")&amp;IF(AND(LEFT(C77,3)="Con",N(H77)&lt;E77,G77="Kallang Formation (marine clay)"),"NOTE: CBP is not watertight below GWT in marine clay; consider secant / grouting. ","")&amp;IF(AND(C77="Steel Sheet Pile",D77="Permanent"),"NOTE: permanent sheet pile needs corrosion allowance. ","")&amp;IF(AND(F77="Cantilever (no support)",E77&gt;6),"NOTE: cantilever embedded wall &gt; 6 m, check deflection. ","")&amp;IF(AND(S77&lt;&gt;"",T77&lt;&gt;"",S77&gt;T77),"FAIL: deflection exceeds allowable. ",""))=0,"OK",IF(AND(U77&lt;&gt;"",IFERROR(VALUE(MID(U77,2,2)),0)&lt;SG_Criteria!$B$19),"FAIL: grade below C"&amp;SG_Criteria!$B$19&amp;". ","")&amp;IF(AND(LEFT(C77,3)="Con",N(H77)&lt;E77,G77="Kallang Formation (marine clay)"),"NOTE: CBP is not watertight below GWT in marine clay; consider secant / grouting. ","")&amp;IF(AND(C77="Steel Sheet Pile",D77="Permanent"),"NOTE: permanent sheet pile needs corrosion allowance. ","")&amp;IF(AND(F77="Cantilever (no support)",E77&gt;6),"NOTE: cantilever embedded wall &gt; 6 m, check deflection. ","")&amp;IF(AND(S77&lt;&gt;"",T77&lt;&gt;"",S77&gt;T77),"FAIL: deflection exceeds allowable. ","")))</f>
        <v/>
      </c>
      <c r="AR77" s="9"/>
      <c r="AS77" s="9"/>
      <c r="AT77" s="9"/>
      <c r="AU77" s="9"/>
      <c r="AV77" s="9"/>
      <c r="AW77" s="31"/>
      <c r="AX77" s="10" t="str">
        <f aca="false">IF(C77="","",IF(AND(Y77="Approved",ISERROR(SEARCH("FAIL",AQ77))),"Y","N"))</f>
        <v/>
      </c>
      <c r="AY77" s="10" t="str">
        <f aca="false">IF(C77="","",C77&amp;"|"&amp;E77&amp;"|"&amp;F77&amp;"|"&amp;G77&amp;"|"&amp;D77&amp;"|"&amp;AX77)</f>
        <v/>
      </c>
    </row>
    <row r="78" customFormat="false" ht="15" hidden="false" customHeight="false" outlineLevel="0" collapsed="false">
      <c r="A78" s="10" t="str">
        <f aca="false">IF(C78="","","EW-"&amp;IFERROR(VLOOKUP(C78,Lists!$P$4:$Q$22,2,0),"??")&amp;"-D"&amp;TEXT(E78*1000,"0000")&amp;"-"&amp;IFERROR(VLOOKUP(F78,Lists!$S$4:$T$21,2,0),"??")&amp;"-"&amp;IFERROR(VLOOKUP(G78,Lists!$Y$4:$Z$21,2,0),"??")&amp;"-"&amp;IFERROR(VLOOKUP(D78,Lists!$V$4:$W$16,2,0),"??")&amp;"-"&amp;X78)</f>
        <v/>
      </c>
      <c r="B78" s="10" t="str">
        <f aca="false">IF(C78="","",D78&amp;" "&amp;C78&amp;", excavation "&amp;TEXT(E78,"0.0")&amp;" m, "&amp;F78&amp;", "&amp;G78&amp;", "&amp;J78)</f>
        <v/>
      </c>
      <c r="C78" s="9"/>
      <c r="D78" s="9"/>
      <c r="E78" s="43"/>
      <c r="F78" s="9"/>
      <c r="G78" s="9"/>
      <c r="H78" s="43"/>
      <c r="I78" s="40"/>
      <c r="J78" s="9"/>
      <c r="K78" s="9"/>
      <c r="L78" s="9"/>
      <c r="M78" s="43"/>
      <c r="N78" s="43"/>
      <c r="O78" s="9"/>
      <c r="P78" s="9"/>
      <c r="Q78" s="9"/>
      <c r="R78" s="9"/>
      <c r="S78" s="40"/>
      <c r="T78" s="40"/>
      <c r="U78" s="9"/>
      <c r="V78" s="9"/>
      <c r="W78" s="9"/>
      <c r="X78" s="9"/>
      <c r="Y78" s="9"/>
      <c r="Z78" s="9"/>
      <c r="AA78" s="9"/>
      <c r="AB78" s="9"/>
      <c r="AC78" s="10" t="str">
        <f aca="false">IF(A78="","",SG_Criteria!$B$6&amp;SG_Criteria!$B$9&amp;"\"&amp;A78&amp;"\")</f>
        <v/>
      </c>
      <c r="AD78" s="10" t="str">
        <f aca="false">IF(A78="","",A78&amp;"_CAD.dwg")</f>
        <v/>
      </c>
      <c r="AE78" s="10" t="str">
        <f aca="false">IF(A78="","",A78&amp;"_DWG.pdf")</f>
        <v/>
      </c>
      <c r="AF78" s="10" t="str">
        <f aca="false">IF(A78="","",IF(AB78="Y",A78&amp;"_STAAD.std","n/a"))</f>
        <v/>
      </c>
      <c r="AG78" s="10" t="str">
        <f aca="false">IF(A78="","",A78&amp;"_CALC.xlsx")</f>
        <v/>
      </c>
      <c r="AH78" s="10" t="str">
        <f aca="false">IF(A78="","",A78&amp;"_CALC.pdf")</f>
        <v/>
      </c>
      <c r="AI78" s="9"/>
      <c r="AJ78" s="9"/>
      <c r="AK78" s="41"/>
      <c r="AL78" s="41"/>
      <c r="AM78" s="41"/>
      <c r="AN78" s="41"/>
      <c r="AO78" s="41"/>
      <c r="AP78" s="38" t="str">
        <f aca="false">IF(OR(C78="",E78=""),"",IF(E78&lt;=IF(C78="Soldier Pile &amp; Timber Lagging",SG_Criteria!$B$34,SG_Criteria!$B$33),"No ERSS submission",IF(E78&lt;=SG_Criteria!$B$35,"QP(ST)",IF(E78&lt;=SG_Criteria!$B$36,"QP(ST) + AC","Geotechnical building works: QP(Geo) + AC"))))</f>
        <v/>
      </c>
      <c r="AQ78" s="38" t="str">
        <f aca="false">IF(C78="","",IF(LEN(IF(AND(U78&lt;&gt;"",IFERROR(VALUE(MID(U78,2,2)),0)&lt;SG_Criteria!$B$19),"FAIL: grade below C"&amp;SG_Criteria!$B$19&amp;". ","")&amp;IF(AND(LEFT(C78,3)="Con",N(H78)&lt;E78,G78="Kallang Formation (marine clay)"),"NOTE: CBP is not watertight below GWT in marine clay; consider secant / grouting. ","")&amp;IF(AND(C78="Steel Sheet Pile",D78="Permanent"),"NOTE: permanent sheet pile needs corrosion allowance. ","")&amp;IF(AND(F78="Cantilever (no support)",E78&gt;6),"NOTE: cantilever embedded wall &gt; 6 m, check deflection. ","")&amp;IF(AND(S78&lt;&gt;"",T78&lt;&gt;"",S78&gt;T78),"FAIL: deflection exceeds allowable. ",""))=0,"OK",IF(AND(U78&lt;&gt;"",IFERROR(VALUE(MID(U78,2,2)),0)&lt;SG_Criteria!$B$19),"FAIL: grade below C"&amp;SG_Criteria!$B$19&amp;". ","")&amp;IF(AND(LEFT(C78,3)="Con",N(H78)&lt;E78,G78="Kallang Formation (marine clay)"),"NOTE: CBP is not watertight below GWT in marine clay; consider secant / grouting. ","")&amp;IF(AND(C78="Steel Sheet Pile",D78="Permanent"),"NOTE: permanent sheet pile needs corrosion allowance. ","")&amp;IF(AND(F78="Cantilever (no support)",E78&gt;6),"NOTE: cantilever embedded wall &gt; 6 m, check deflection. ","")&amp;IF(AND(S78&lt;&gt;"",T78&lt;&gt;"",S78&gt;T78),"FAIL: deflection exceeds allowable. ","")))</f>
        <v/>
      </c>
      <c r="AR78" s="9"/>
      <c r="AS78" s="9"/>
      <c r="AT78" s="9"/>
      <c r="AU78" s="9"/>
      <c r="AV78" s="9"/>
      <c r="AW78" s="31"/>
      <c r="AX78" s="10" t="str">
        <f aca="false">IF(C78="","",IF(AND(Y78="Approved",ISERROR(SEARCH("FAIL",AQ78))),"Y","N"))</f>
        <v/>
      </c>
      <c r="AY78" s="10" t="str">
        <f aca="false">IF(C78="","",C78&amp;"|"&amp;E78&amp;"|"&amp;F78&amp;"|"&amp;G78&amp;"|"&amp;D78&amp;"|"&amp;AX78)</f>
        <v/>
      </c>
    </row>
    <row r="79" customFormat="false" ht="15" hidden="false" customHeight="false" outlineLevel="0" collapsed="false">
      <c r="A79" s="10" t="str">
        <f aca="false">IF(C79="","","EW-"&amp;IFERROR(VLOOKUP(C79,Lists!$P$4:$Q$22,2,0),"??")&amp;"-D"&amp;TEXT(E79*1000,"0000")&amp;"-"&amp;IFERROR(VLOOKUP(F79,Lists!$S$4:$T$21,2,0),"??")&amp;"-"&amp;IFERROR(VLOOKUP(G79,Lists!$Y$4:$Z$21,2,0),"??")&amp;"-"&amp;IFERROR(VLOOKUP(D79,Lists!$V$4:$W$16,2,0),"??")&amp;"-"&amp;X79)</f>
        <v/>
      </c>
      <c r="B79" s="10" t="str">
        <f aca="false">IF(C79="","",D79&amp;" "&amp;C79&amp;", excavation "&amp;TEXT(E79,"0.0")&amp;" m, "&amp;F79&amp;", "&amp;G79&amp;", "&amp;J79)</f>
        <v/>
      </c>
      <c r="C79" s="9"/>
      <c r="D79" s="9"/>
      <c r="E79" s="43"/>
      <c r="F79" s="9"/>
      <c r="G79" s="9"/>
      <c r="H79" s="43"/>
      <c r="I79" s="40"/>
      <c r="J79" s="9"/>
      <c r="K79" s="9"/>
      <c r="L79" s="9"/>
      <c r="M79" s="43"/>
      <c r="N79" s="43"/>
      <c r="O79" s="9"/>
      <c r="P79" s="9"/>
      <c r="Q79" s="9"/>
      <c r="R79" s="9"/>
      <c r="S79" s="40"/>
      <c r="T79" s="40"/>
      <c r="U79" s="9"/>
      <c r="V79" s="9"/>
      <c r="W79" s="9"/>
      <c r="X79" s="9"/>
      <c r="Y79" s="9"/>
      <c r="Z79" s="9"/>
      <c r="AA79" s="9"/>
      <c r="AB79" s="9"/>
      <c r="AC79" s="10" t="str">
        <f aca="false">IF(A79="","",SG_Criteria!$B$6&amp;SG_Criteria!$B$9&amp;"\"&amp;A79&amp;"\")</f>
        <v/>
      </c>
      <c r="AD79" s="10" t="str">
        <f aca="false">IF(A79="","",A79&amp;"_CAD.dwg")</f>
        <v/>
      </c>
      <c r="AE79" s="10" t="str">
        <f aca="false">IF(A79="","",A79&amp;"_DWG.pdf")</f>
        <v/>
      </c>
      <c r="AF79" s="10" t="str">
        <f aca="false">IF(A79="","",IF(AB79="Y",A79&amp;"_STAAD.std","n/a"))</f>
        <v/>
      </c>
      <c r="AG79" s="10" t="str">
        <f aca="false">IF(A79="","",A79&amp;"_CALC.xlsx")</f>
        <v/>
      </c>
      <c r="AH79" s="10" t="str">
        <f aca="false">IF(A79="","",A79&amp;"_CALC.pdf")</f>
        <v/>
      </c>
      <c r="AI79" s="9"/>
      <c r="AJ79" s="9"/>
      <c r="AK79" s="41"/>
      <c r="AL79" s="41"/>
      <c r="AM79" s="41"/>
      <c r="AN79" s="41"/>
      <c r="AO79" s="41"/>
      <c r="AP79" s="38" t="str">
        <f aca="false">IF(OR(C79="",E79=""),"",IF(E79&lt;=IF(C79="Soldier Pile &amp; Timber Lagging",SG_Criteria!$B$34,SG_Criteria!$B$33),"No ERSS submission",IF(E79&lt;=SG_Criteria!$B$35,"QP(ST)",IF(E79&lt;=SG_Criteria!$B$36,"QP(ST) + AC","Geotechnical building works: QP(Geo) + AC"))))</f>
        <v/>
      </c>
      <c r="AQ79" s="38" t="str">
        <f aca="false">IF(C79="","",IF(LEN(IF(AND(U79&lt;&gt;"",IFERROR(VALUE(MID(U79,2,2)),0)&lt;SG_Criteria!$B$19),"FAIL: grade below C"&amp;SG_Criteria!$B$19&amp;". ","")&amp;IF(AND(LEFT(C79,3)="Con",N(H79)&lt;E79,G79="Kallang Formation (marine clay)"),"NOTE: CBP is not watertight below GWT in marine clay; consider secant / grouting. ","")&amp;IF(AND(C79="Steel Sheet Pile",D79="Permanent"),"NOTE: permanent sheet pile needs corrosion allowance. ","")&amp;IF(AND(F79="Cantilever (no support)",E79&gt;6),"NOTE: cantilever embedded wall &gt; 6 m, check deflection. ","")&amp;IF(AND(S79&lt;&gt;"",T79&lt;&gt;"",S79&gt;T79),"FAIL: deflection exceeds allowable. ",""))=0,"OK",IF(AND(U79&lt;&gt;"",IFERROR(VALUE(MID(U79,2,2)),0)&lt;SG_Criteria!$B$19),"FAIL: grade below C"&amp;SG_Criteria!$B$19&amp;". ","")&amp;IF(AND(LEFT(C79,3)="Con",N(H79)&lt;E79,G79="Kallang Formation (marine clay)"),"NOTE: CBP is not watertight below GWT in marine clay; consider secant / grouting. ","")&amp;IF(AND(C79="Steel Sheet Pile",D79="Permanent"),"NOTE: permanent sheet pile needs corrosion allowance. ","")&amp;IF(AND(F79="Cantilever (no support)",E79&gt;6),"NOTE: cantilever embedded wall &gt; 6 m, check deflection. ","")&amp;IF(AND(S79&lt;&gt;"",T79&lt;&gt;"",S79&gt;T79),"FAIL: deflection exceeds allowable. ","")))</f>
        <v/>
      </c>
      <c r="AR79" s="9"/>
      <c r="AS79" s="9"/>
      <c r="AT79" s="9"/>
      <c r="AU79" s="9"/>
      <c r="AV79" s="9"/>
      <c r="AW79" s="31"/>
      <c r="AX79" s="10" t="str">
        <f aca="false">IF(C79="","",IF(AND(Y79="Approved",ISERROR(SEARCH("FAIL",AQ79))),"Y","N"))</f>
        <v/>
      </c>
      <c r="AY79" s="10" t="str">
        <f aca="false">IF(C79="","",C79&amp;"|"&amp;E79&amp;"|"&amp;F79&amp;"|"&amp;G79&amp;"|"&amp;D79&amp;"|"&amp;AX79)</f>
        <v/>
      </c>
    </row>
    <row r="80" customFormat="false" ht="15" hidden="false" customHeight="false" outlineLevel="0" collapsed="false">
      <c r="A80" s="10" t="str">
        <f aca="false">IF(C80="","","EW-"&amp;IFERROR(VLOOKUP(C80,Lists!$P$4:$Q$22,2,0),"??")&amp;"-D"&amp;TEXT(E80*1000,"0000")&amp;"-"&amp;IFERROR(VLOOKUP(F80,Lists!$S$4:$T$21,2,0),"??")&amp;"-"&amp;IFERROR(VLOOKUP(G80,Lists!$Y$4:$Z$21,2,0),"??")&amp;"-"&amp;IFERROR(VLOOKUP(D80,Lists!$V$4:$W$16,2,0),"??")&amp;"-"&amp;X80)</f>
        <v/>
      </c>
      <c r="B80" s="10" t="str">
        <f aca="false">IF(C80="","",D80&amp;" "&amp;C80&amp;", excavation "&amp;TEXT(E80,"0.0")&amp;" m, "&amp;F80&amp;", "&amp;G80&amp;", "&amp;J80)</f>
        <v/>
      </c>
      <c r="C80" s="9"/>
      <c r="D80" s="9"/>
      <c r="E80" s="43"/>
      <c r="F80" s="9"/>
      <c r="G80" s="9"/>
      <c r="H80" s="43"/>
      <c r="I80" s="40"/>
      <c r="J80" s="9"/>
      <c r="K80" s="9"/>
      <c r="L80" s="9"/>
      <c r="M80" s="43"/>
      <c r="N80" s="43"/>
      <c r="O80" s="9"/>
      <c r="P80" s="9"/>
      <c r="Q80" s="9"/>
      <c r="R80" s="9"/>
      <c r="S80" s="40"/>
      <c r="T80" s="40"/>
      <c r="U80" s="9"/>
      <c r="V80" s="9"/>
      <c r="W80" s="9"/>
      <c r="X80" s="9"/>
      <c r="Y80" s="9"/>
      <c r="Z80" s="9"/>
      <c r="AA80" s="9"/>
      <c r="AB80" s="9"/>
      <c r="AC80" s="10" t="str">
        <f aca="false">IF(A80="","",SG_Criteria!$B$6&amp;SG_Criteria!$B$9&amp;"\"&amp;A80&amp;"\")</f>
        <v/>
      </c>
      <c r="AD80" s="10" t="str">
        <f aca="false">IF(A80="","",A80&amp;"_CAD.dwg")</f>
        <v/>
      </c>
      <c r="AE80" s="10" t="str">
        <f aca="false">IF(A80="","",A80&amp;"_DWG.pdf")</f>
        <v/>
      </c>
      <c r="AF80" s="10" t="str">
        <f aca="false">IF(A80="","",IF(AB80="Y",A80&amp;"_STAAD.std","n/a"))</f>
        <v/>
      </c>
      <c r="AG80" s="10" t="str">
        <f aca="false">IF(A80="","",A80&amp;"_CALC.xlsx")</f>
        <v/>
      </c>
      <c r="AH80" s="10" t="str">
        <f aca="false">IF(A80="","",A80&amp;"_CALC.pdf")</f>
        <v/>
      </c>
      <c r="AI80" s="9"/>
      <c r="AJ80" s="9"/>
      <c r="AK80" s="41"/>
      <c r="AL80" s="41"/>
      <c r="AM80" s="41"/>
      <c r="AN80" s="41"/>
      <c r="AO80" s="41"/>
      <c r="AP80" s="38" t="str">
        <f aca="false">IF(OR(C80="",E80=""),"",IF(E80&lt;=IF(C80="Soldier Pile &amp; Timber Lagging",SG_Criteria!$B$34,SG_Criteria!$B$33),"No ERSS submission",IF(E80&lt;=SG_Criteria!$B$35,"QP(ST)",IF(E80&lt;=SG_Criteria!$B$36,"QP(ST) + AC","Geotechnical building works: QP(Geo) + AC"))))</f>
        <v/>
      </c>
      <c r="AQ80" s="38" t="str">
        <f aca="false">IF(C80="","",IF(LEN(IF(AND(U80&lt;&gt;"",IFERROR(VALUE(MID(U80,2,2)),0)&lt;SG_Criteria!$B$19),"FAIL: grade below C"&amp;SG_Criteria!$B$19&amp;". ","")&amp;IF(AND(LEFT(C80,3)="Con",N(H80)&lt;E80,G80="Kallang Formation (marine clay)"),"NOTE: CBP is not watertight below GWT in marine clay; consider secant / grouting. ","")&amp;IF(AND(C80="Steel Sheet Pile",D80="Permanent"),"NOTE: permanent sheet pile needs corrosion allowance. ","")&amp;IF(AND(F80="Cantilever (no support)",E80&gt;6),"NOTE: cantilever embedded wall &gt; 6 m, check deflection. ","")&amp;IF(AND(S80&lt;&gt;"",T80&lt;&gt;"",S80&gt;T80),"FAIL: deflection exceeds allowable. ",""))=0,"OK",IF(AND(U80&lt;&gt;"",IFERROR(VALUE(MID(U80,2,2)),0)&lt;SG_Criteria!$B$19),"FAIL: grade below C"&amp;SG_Criteria!$B$19&amp;". ","")&amp;IF(AND(LEFT(C80,3)="Con",N(H80)&lt;E80,G80="Kallang Formation (marine clay)"),"NOTE: CBP is not watertight below GWT in marine clay; consider secant / grouting. ","")&amp;IF(AND(C80="Steel Sheet Pile",D80="Permanent"),"NOTE: permanent sheet pile needs corrosion allowance. ","")&amp;IF(AND(F80="Cantilever (no support)",E80&gt;6),"NOTE: cantilever embedded wall &gt; 6 m, check deflection. ","")&amp;IF(AND(S80&lt;&gt;"",T80&lt;&gt;"",S80&gt;T80),"FAIL: deflection exceeds allowable. ","")))</f>
        <v/>
      </c>
      <c r="AR80" s="9"/>
      <c r="AS80" s="9"/>
      <c r="AT80" s="9"/>
      <c r="AU80" s="9"/>
      <c r="AV80" s="9"/>
      <c r="AW80" s="31"/>
      <c r="AX80" s="10" t="str">
        <f aca="false">IF(C80="","",IF(AND(Y80="Approved",ISERROR(SEARCH("FAIL",AQ80))),"Y","N"))</f>
        <v/>
      </c>
      <c r="AY80" s="10" t="str">
        <f aca="false">IF(C80="","",C80&amp;"|"&amp;E80&amp;"|"&amp;F80&amp;"|"&amp;G80&amp;"|"&amp;D80&amp;"|"&amp;AX80)</f>
        <v/>
      </c>
    </row>
    <row r="81" customFormat="false" ht="15" hidden="false" customHeight="false" outlineLevel="0" collapsed="false">
      <c r="A81" s="10" t="str">
        <f aca="false">IF(C81="","","EW-"&amp;IFERROR(VLOOKUP(C81,Lists!$P$4:$Q$22,2,0),"??")&amp;"-D"&amp;TEXT(E81*1000,"0000")&amp;"-"&amp;IFERROR(VLOOKUP(F81,Lists!$S$4:$T$21,2,0),"??")&amp;"-"&amp;IFERROR(VLOOKUP(G81,Lists!$Y$4:$Z$21,2,0),"??")&amp;"-"&amp;IFERROR(VLOOKUP(D81,Lists!$V$4:$W$16,2,0),"??")&amp;"-"&amp;X81)</f>
        <v/>
      </c>
      <c r="B81" s="10" t="str">
        <f aca="false">IF(C81="","",D81&amp;" "&amp;C81&amp;", excavation "&amp;TEXT(E81,"0.0")&amp;" m, "&amp;F81&amp;", "&amp;G81&amp;", "&amp;J81)</f>
        <v/>
      </c>
      <c r="C81" s="9"/>
      <c r="D81" s="9"/>
      <c r="E81" s="43"/>
      <c r="F81" s="9"/>
      <c r="G81" s="9"/>
      <c r="H81" s="43"/>
      <c r="I81" s="40"/>
      <c r="J81" s="9"/>
      <c r="K81" s="9"/>
      <c r="L81" s="9"/>
      <c r="M81" s="43"/>
      <c r="N81" s="43"/>
      <c r="O81" s="9"/>
      <c r="P81" s="9"/>
      <c r="Q81" s="9"/>
      <c r="R81" s="9"/>
      <c r="S81" s="40"/>
      <c r="T81" s="40"/>
      <c r="U81" s="9"/>
      <c r="V81" s="9"/>
      <c r="W81" s="9"/>
      <c r="X81" s="9"/>
      <c r="Y81" s="9"/>
      <c r="Z81" s="9"/>
      <c r="AA81" s="9"/>
      <c r="AB81" s="9"/>
      <c r="AC81" s="10" t="str">
        <f aca="false">IF(A81="","",SG_Criteria!$B$6&amp;SG_Criteria!$B$9&amp;"\"&amp;A81&amp;"\")</f>
        <v/>
      </c>
      <c r="AD81" s="10" t="str">
        <f aca="false">IF(A81="","",A81&amp;"_CAD.dwg")</f>
        <v/>
      </c>
      <c r="AE81" s="10" t="str">
        <f aca="false">IF(A81="","",A81&amp;"_DWG.pdf")</f>
        <v/>
      </c>
      <c r="AF81" s="10" t="str">
        <f aca="false">IF(A81="","",IF(AB81="Y",A81&amp;"_STAAD.std","n/a"))</f>
        <v/>
      </c>
      <c r="AG81" s="10" t="str">
        <f aca="false">IF(A81="","",A81&amp;"_CALC.xlsx")</f>
        <v/>
      </c>
      <c r="AH81" s="10" t="str">
        <f aca="false">IF(A81="","",A81&amp;"_CALC.pdf")</f>
        <v/>
      </c>
      <c r="AI81" s="9"/>
      <c r="AJ81" s="9"/>
      <c r="AK81" s="41"/>
      <c r="AL81" s="41"/>
      <c r="AM81" s="41"/>
      <c r="AN81" s="41"/>
      <c r="AO81" s="41"/>
      <c r="AP81" s="38" t="str">
        <f aca="false">IF(OR(C81="",E81=""),"",IF(E81&lt;=IF(C81="Soldier Pile &amp; Timber Lagging",SG_Criteria!$B$34,SG_Criteria!$B$33),"No ERSS submission",IF(E81&lt;=SG_Criteria!$B$35,"QP(ST)",IF(E81&lt;=SG_Criteria!$B$36,"QP(ST) + AC","Geotechnical building works: QP(Geo) + AC"))))</f>
        <v/>
      </c>
      <c r="AQ81" s="38" t="str">
        <f aca="false">IF(C81="","",IF(LEN(IF(AND(U81&lt;&gt;"",IFERROR(VALUE(MID(U81,2,2)),0)&lt;SG_Criteria!$B$19),"FAIL: grade below C"&amp;SG_Criteria!$B$19&amp;". ","")&amp;IF(AND(LEFT(C81,3)="Con",N(H81)&lt;E81,G81="Kallang Formation (marine clay)"),"NOTE: CBP is not watertight below GWT in marine clay; consider secant / grouting. ","")&amp;IF(AND(C81="Steel Sheet Pile",D81="Permanent"),"NOTE: permanent sheet pile needs corrosion allowance. ","")&amp;IF(AND(F81="Cantilever (no support)",E81&gt;6),"NOTE: cantilever embedded wall &gt; 6 m, check deflection. ","")&amp;IF(AND(S81&lt;&gt;"",T81&lt;&gt;"",S81&gt;T81),"FAIL: deflection exceeds allowable. ",""))=0,"OK",IF(AND(U81&lt;&gt;"",IFERROR(VALUE(MID(U81,2,2)),0)&lt;SG_Criteria!$B$19),"FAIL: grade below C"&amp;SG_Criteria!$B$19&amp;". ","")&amp;IF(AND(LEFT(C81,3)="Con",N(H81)&lt;E81,G81="Kallang Formation (marine clay)"),"NOTE: CBP is not watertight below GWT in marine clay; consider secant / grouting. ","")&amp;IF(AND(C81="Steel Sheet Pile",D81="Permanent"),"NOTE: permanent sheet pile needs corrosion allowance. ","")&amp;IF(AND(F81="Cantilever (no support)",E81&gt;6),"NOTE: cantilever embedded wall &gt; 6 m, check deflection. ","")&amp;IF(AND(S81&lt;&gt;"",T81&lt;&gt;"",S81&gt;T81),"FAIL: deflection exceeds allowable. ","")))</f>
        <v/>
      </c>
      <c r="AR81" s="9"/>
      <c r="AS81" s="9"/>
      <c r="AT81" s="9"/>
      <c r="AU81" s="9"/>
      <c r="AV81" s="9"/>
      <c r="AW81" s="31"/>
      <c r="AX81" s="10" t="str">
        <f aca="false">IF(C81="","",IF(AND(Y81="Approved",ISERROR(SEARCH("FAIL",AQ81))),"Y","N"))</f>
        <v/>
      </c>
      <c r="AY81" s="10" t="str">
        <f aca="false">IF(C81="","",C81&amp;"|"&amp;E81&amp;"|"&amp;F81&amp;"|"&amp;G81&amp;"|"&amp;D81&amp;"|"&amp;AX81)</f>
        <v/>
      </c>
    </row>
    <row r="82" customFormat="false" ht="15" hidden="false" customHeight="false" outlineLevel="0" collapsed="false">
      <c r="A82" s="10" t="str">
        <f aca="false">IF(C82="","","EW-"&amp;IFERROR(VLOOKUP(C82,Lists!$P$4:$Q$22,2,0),"??")&amp;"-D"&amp;TEXT(E82*1000,"0000")&amp;"-"&amp;IFERROR(VLOOKUP(F82,Lists!$S$4:$T$21,2,0),"??")&amp;"-"&amp;IFERROR(VLOOKUP(G82,Lists!$Y$4:$Z$21,2,0),"??")&amp;"-"&amp;IFERROR(VLOOKUP(D82,Lists!$V$4:$W$16,2,0),"??")&amp;"-"&amp;X82)</f>
        <v/>
      </c>
      <c r="B82" s="10" t="str">
        <f aca="false">IF(C82="","",D82&amp;" "&amp;C82&amp;", excavation "&amp;TEXT(E82,"0.0")&amp;" m, "&amp;F82&amp;", "&amp;G82&amp;", "&amp;J82)</f>
        <v/>
      </c>
      <c r="C82" s="9"/>
      <c r="D82" s="9"/>
      <c r="E82" s="43"/>
      <c r="F82" s="9"/>
      <c r="G82" s="9"/>
      <c r="H82" s="43"/>
      <c r="I82" s="40"/>
      <c r="J82" s="9"/>
      <c r="K82" s="9"/>
      <c r="L82" s="9"/>
      <c r="M82" s="43"/>
      <c r="N82" s="43"/>
      <c r="O82" s="9"/>
      <c r="P82" s="9"/>
      <c r="Q82" s="9"/>
      <c r="R82" s="9"/>
      <c r="S82" s="40"/>
      <c r="T82" s="40"/>
      <c r="U82" s="9"/>
      <c r="V82" s="9"/>
      <c r="W82" s="9"/>
      <c r="X82" s="9"/>
      <c r="Y82" s="9"/>
      <c r="Z82" s="9"/>
      <c r="AA82" s="9"/>
      <c r="AB82" s="9"/>
      <c r="AC82" s="10" t="str">
        <f aca="false">IF(A82="","",SG_Criteria!$B$6&amp;SG_Criteria!$B$9&amp;"\"&amp;A82&amp;"\")</f>
        <v/>
      </c>
      <c r="AD82" s="10" t="str">
        <f aca="false">IF(A82="","",A82&amp;"_CAD.dwg")</f>
        <v/>
      </c>
      <c r="AE82" s="10" t="str">
        <f aca="false">IF(A82="","",A82&amp;"_DWG.pdf")</f>
        <v/>
      </c>
      <c r="AF82" s="10" t="str">
        <f aca="false">IF(A82="","",IF(AB82="Y",A82&amp;"_STAAD.std","n/a"))</f>
        <v/>
      </c>
      <c r="AG82" s="10" t="str">
        <f aca="false">IF(A82="","",A82&amp;"_CALC.xlsx")</f>
        <v/>
      </c>
      <c r="AH82" s="10" t="str">
        <f aca="false">IF(A82="","",A82&amp;"_CALC.pdf")</f>
        <v/>
      </c>
      <c r="AI82" s="9"/>
      <c r="AJ82" s="9"/>
      <c r="AK82" s="41"/>
      <c r="AL82" s="41"/>
      <c r="AM82" s="41"/>
      <c r="AN82" s="41"/>
      <c r="AO82" s="41"/>
      <c r="AP82" s="38" t="str">
        <f aca="false">IF(OR(C82="",E82=""),"",IF(E82&lt;=IF(C82="Soldier Pile &amp; Timber Lagging",SG_Criteria!$B$34,SG_Criteria!$B$33),"No ERSS submission",IF(E82&lt;=SG_Criteria!$B$35,"QP(ST)",IF(E82&lt;=SG_Criteria!$B$36,"QP(ST) + AC","Geotechnical building works: QP(Geo) + AC"))))</f>
        <v/>
      </c>
      <c r="AQ82" s="38" t="str">
        <f aca="false">IF(C82="","",IF(LEN(IF(AND(U82&lt;&gt;"",IFERROR(VALUE(MID(U82,2,2)),0)&lt;SG_Criteria!$B$19),"FAIL: grade below C"&amp;SG_Criteria!$B$19&amp;". ","")&amp;IF(AND(LEFT(C82,3)="Con",N(H82)&lt;E82,G82="Kallang Formation (marine clay)"),"NOTE: CBP is not watertight below GWT in marine clay; consider secant / grouting. ","")&amp;IF(AND(C82="Steel Sheet Pile",D82="Permanent"),"NOTE: permanent sheet pile needs corrosion allowance. ","")&amp;IF(AND(F82="Cantilever (no support)",E82&gt;6),"NOTE: cantilever embedded wall &gt; 6 m, check deflection. ","")&amp;IF(AND(S82&lt;&gt;"",T82&lt;&gt;"",S82&gt;T82),"FAIL: deflection exceeds allowable. ",""))=0,"OK",IF(AND(U82&lt;&gt;"",IFERROR(VALUE(MID(U82,2,2)),0)&lt;SG_Criteria!$B$19),"FAIL: grade below C"&amp;SG_Criteria!$B$19&amp;". ","")&amp;IF(AND(LEFT(C82,3)="Con",N(H82)&lt;E82,G82="Kallang Formation (marine clay)"),"NOTE: CBP is not watertight below GWT in marine clay; consider secant / grouting. ","")&amp;IF(AND(C82="Steel Sheet Pile",D82="Permanent"),"NOTE: permanent sheet pile needs corrosion allowance. ","")&amp;IF(AND(F82="Cantilever (no support)",E82&gt;6),"NOTE: cantilever embedded wall &gt; 6 m, check deflection. ","")&amp;IF(AND(S82&lt;&gt;"",T82&lt;&gt;"",S82&gt;T82),"FAIL: deflection exceeds allowable. ","")))</f>
        <v/>
      </c>
      <c r="AR82" s="9"/>
      <c r="AS82" s="9"/>
      <c r="AT82" s="9"/>
      <c r="AU82" s="9"/>
      <c r="AV82" s="9"/>
      <c r="AW82" s="31"/>
      <c r="AX82" s="10" t="str">
        <f aca="false">IF(C82="","",IF(AND(Y82="Approved",ISERROR(SEARCH("FAIL",AQ82))),"Y","N"))</f>
        <v/>
      </c>
      <c r="AY82" s="10" t="str">
        <f aca="false">IF(C82="","",C82&amp;"|"&amp;E82&amp;"|"&amp;F82&amp;"|"&amp;G82&amp;"|"&amp;D82&amp;"|"&amp;AX82)</f>
        <v/>
      </c>
    </row>
    <row r="83" customFormat="false" ht="15" hidden="false" customHeight="false" outlineLevel="0" collapsed="false">
      <c r="A83" s="10" t="str">
        <f aca="false">IF(C83="","","EW-"&amp;IFERROR(VLOOKUP(C83,Lists!$P$4:$Q$22,2,0),"??")&amp;"-D"&amp;TEXT(E83*1000,"0000")&amp;"-"&amp;IFERROR(VLOOKUP(F83,Lists!$S$4:$T$21,2,0),"??")&amp;"-"&amp;IFERROR(VLOOKUP(G83,Lists!$Y$4:$Z$21,2,0),"??")&amp;"-"&amp;IFERROR(VLOOKUP(D83,Lists!$V$4:$W$16,2,0),"??")&amp;"-"&amp;X83)</f>
        <v/>
      </c>
      <c r="B83" s="10" t="str">
        <f aca="false">IF(C83="","",D83&amp;" "&amp;C83&amp;", excavation "&amp;TEXT(E83,"0.0")&amp;" m, "&amp;F83&amp;", "&amp;G83&amp;", "&amp;J83)</f>
        <v/>
      </c>
      <c r="C83" s="9"/>
      <c r="D83" s="9"/>
      <c r="E83" s="43"/>
      <c r="F83" s="9"/>
      <c r="G83" s="9"/>
      <c r="H83" s="43"/>
      <c r="I83" s="40"/>
      <c r="J83" s="9"/>
      <c r="K83" s="9"/>
      <c r="L83" s="9"/>
      <c r="M83" s="43"/>
      <c r="N83" s="43"/>
      <c r="O83" s="9"/>
      <c r="P83" s="9"/>
      <c r="Q83" s="9"/>
      <c r="R83" s="9"/>
      <c r="S83" s="40"/>
      <c r="T83" s="40"/>
      <c r="U83" s="9"/>
      <c r="V83" s="9"/>
      <c r="W83" s="9"/>
      <c r="X83" s="9"/>
      <c r="Y83" s="9"/>
      <c r="Z83" s="9"/>
      <c r="AA83" s="9"/>
      <c r="AB83" s="9"/>
      <c r="AC83" s="10" t="str">
        <f aca="false">IF(A83="","",SG_Criteria!$B$6&amp;SG_Criteria!$B$9&amp;"\"&amp;A83&amp;"\")</f>
        <v/>
      </c>
      <c r="AD83" s="10" t="str">
        <f aca="false">IF(A83="","",A83&amp;"_CAD.dwg")</f>
        <v/>
      </c>
      <c r="AE83" s="10" t="str">
        <f aca="false">IF(A83="","",A83&amp;"_DWG.pdf")</f>
        <v/>
      </c>
      <c r="AF83" s="10" t="str">
        <f aca="false">IF(A83="","",IF(AB83="Y",A83&amp;"_STAAD.std","n/a"))</f>
        <v/>
      </c>
      <c r="AG83" s="10" t="str">
        <f aca="false">IF(A83="","",A83&amp;"_CALC.xlsx")</f>
        <v/>
      </c>
      <c r="AH83" s="10" t="str">
        <f aca="false">IF(A83="","",A83&amp;"_CALC.pdf")</f>
        <v/>
      </c>
      <c r="AI83" s="9"/>
      <c r="AJ83" s="9"/>
      <c r="AK83" s="41"/>
      <c r="AL83" s="41"/>
      <c r="AM83" s="41"/>
      <c r="AN83" s="41"/>
      <c r="AO83" s="41"/>
      <c r="AP83" s="38" t="str">
        <f aca="false">IF(OR(C83="",E83=""),"",IF(E83&lt;=IF(C83="Soldier Pile &amp; Timber Lagging",SG_Criteria!$B$34,SG_Criteria!$B$33),"No ERSS submission",IF(E83&lt;=SG_Criteria!$B$35,"QP(ST)",IF(E83&lt;=SG_Criteria!$B$36,"QP(ST) + AC","Geotechnical building works: QP(Geo) + AC"))))</f>
        <v/>
      </c>
      <c r="AQ83" s="38" t="str">
        <f aca="false">IF(C83="","",IF(LEN(IF(AND(U83&lt;&gt;"",IFERROR(VALUE(MID(U83,2,2)),0)&lt;SG_Criteria!$B$19),"FAIL: grade below C"&amp;SG_Criteria!$B$19&amp;". ","")&amp;IF(AND(LEFT(C83,3)="Con",N(H83)&lt;E83,G83="Kallang Formation (marine clay)"),"NOTE: CBP is not watertight below GWT in marine clay; consider secant / grouting. ","")&amp;IF(AND(C83="Steel Sheet Pile",D83="Permanent"),"NOTE: permanent sheet pile needs corrosion allowance. ","")&amp;IF(AND(F83="Cantilever (no support)",E83&gt;6),"NOTE: cantilever embedded wall &gt; 6 m, check deflection. ","")&amp;IF(AND(S83&lt;&gt;"",T83&lt;&gt;"",S83&gt;T83),"FAIL: deflection exceeds allowable. ",""))=0,"OK",IF(AND(U83&lt;&gt;"",IFERROR(VALUE(MID(U83,2,2)),0)&lt;SG_Criteria!$B$19),"FAIL: grade below C"&amp;SG_Criteria!$B$19&amp;". ","")&amp;IF(AND(LEFT(C83,3)="Con",N(H83)&lt;E83,G83="Kallang Formation (marine clay)"),"NOTE: CBP is not watertight below GWT in marine clay; consider secant / grouting. ","")&amp;IF(AND(C83="Steel Sheet Pile",D83="Permanent"),"NOTE: permanent sheet pile needs corrosion allowance. ","")&amp;IF(AND(F83="Cantilever (no support)",E83&gt;6),"NOTE: cantilever embedded wall &gt; 6 m, check deflection. ","")&amp;IF(AND(S83&lt;&gt;"",T83&lt;&gt;"",S83&gt;T83),"FAIL: deflection exceeds allowable. ","")))</f>
        <v/>
      </c>
      <c r="AR83" s="9"/>
      <c r="AS83" s="9"/>
      <c r="AT83" s="9"/>
      <c r="AU83" s="9"/>
      <c r="AV83" s="9"/>
      <c r="AW83" s="31"/>
      <c r="AX83" s="10" t="str">
        <f aca="false">IF(C83="","",IF(AND(Y83="Approved",ISERROR(SEARCH("FAIL",AQ83))),"Y","N"))</f>
        <v/>
      </c>
      <c r="AY83" s="10" t="str">
        <f aca="false">IF(C83="","",C83&amp;"|"&amp;E83&amp;"|"&amp;F83&amp;"|"&amp;G83&amp;"|"&amp;D83&amp;"|"&amp;AX83)</f>
        <v/>
      </c>
    </row>
    <row r="84" customFormat="false" ht="15" hidden="false" customHeight="false" outlineLevel="0" collapsed="false">
      <c r="A84" s="10" t="str">
        <f aca="false">IF(C84="","","EW-"&amp;IFERROR(VLOOKUP(C84,Lists!$P$4:$Q$22,2,0),"??")&amp;"-D"&amp;TEXT(E84*1000,"0000")&amp;"-"&amp;IFERROR(VLOOKUP(F84,Lists!$S$4:$T$21,2,0),"??")&amp;"-"&amp;IFERROR(VLOOKUP(G84,Lists!$Y$4:$Z$21,2,0),"??")&amp;"-"&amp;IFERROR(VLOOKUP(D84,Lists!$V$4:$W$16,2,0),"??")&amp;"-"&amp;X84)</f>
        <v/>
      </c>
      <c r="B84" s="10" t="str">
        <f aca="false">IF(C84="","",D84&amp;" "&amp;C84&amp;", excavation "&amp;TEXT(E84,"0.0")&amp;" m, "&amp;F84&amp;", "&amp;G84&amp;", "&amp;J84)</f>
        <v/>
      </c>
      <c r="C84" s="9"/>
      <c r="D84" s="9"/>
      <c r="E84" s="43"/>
      <c r="F84" s="9"/>
      <c r="G84" s="9"/>
      <c r="H84" s="43"/>
      <c r="I84" s="40"/>
      <c r="J84" s="9"/>
      <c r="K84" s="9"/>
      <c r="L84" s="9"/>
      <c r="M84" s="43"/>
      <c r="N84" s="43"/>
      <c r="O84" s="9"/>
      <c r="P84" s="9"/>
      <c r="Q84" s="9"/>
      <c r="R84" s="9"/>
      <c r="S84" s="40"/>
      <c r="T84" s="40"/>
      <c r="U84" s="9"/>
      <c r="V84" s="9"/>
      <c r="W84" s="9"/>
      <c r="X84" s="9"/>
      <c r="Y84" s="9"/>
      <c r="Z84" s="9"/>
      <c r="AA84" s="9"/>
      <c r="AB84" s="9"/>
      <c r="AC84" s="10" t="str">
        <f aca="false">IF(A84="","",SG_Criteria!$B$6&amp;SG_Criteria!$B$9&amp;"\"&amp;A84&amp;"\")</f>
        <v/>
      </c>
      <c r="AD84" s="10" t="str">
        <f aca="false">IF(A84="","",A84&amp;"_CAD.dwg")</f>
        <v/>
      </c>
      <c r="AE84" s="10" t="str">
        <f aca="false">IF(A84="","",A84&amp;"_DWG.pdf")</f>
        <v/>
      </c>
      <c r="AF84" s="10" t="str">
        <f aca="false">IF(A84="","",IF(AB84="Y",A84&amp;"_STAAD.std","n/a"))</f>
        <v/>
      </c>
      <c r="AG84" s="10" t="str">
        <f aca="false">IF(A84="","",A84&amp;"_CALC.xlsx")</f>
        <v/>
      </c>
      <c r="AH84" s="10" t="str">
        <f aca="false">IF(A84="","",A84&amp;"_CALC.pdf")</f>
        <v/>
      </c>
      <c r="AI84" s="9"/>
      <c r="AJ84" s="9"/>
      <c r="AK84" s="41"/>
      <c r="AL84" s="41"/>
      <c r="AM84" s="41"/>
      <c r="AN84" s="41"/>
      <c r="AO84" s="41"/>
      <c r="AP84" s="38" t="str">
        <f aca="false">IF(OR(C84="",E84=""),"",IF(E84&lt;=IF(C84="Soldier Pile &amp; Timber Lagging",SG_Criteria!$B$34,SG_Criteria!$B$33),"No ERSS submission",IF(E84&lt;=SG_Criteria!$B$35,"QP(ST)",IF(E84&lt;=SG_Criteria!$B$36,"QP(ST) + AC","Geotechnical building works: QP(Geo) + AC"))))</f>
        <v/>
      </c>
      <c r="AQ84" s="38" t="str">
        <f aca="false">IF(C84="","",IF(LEN(IF(AND(U84&lt;&gt;"",IFERROR(VALUE(MID(U84,2,2)),0)&lt;SG_Criteria!$B$19),"FAIL: grade below C"&amp;SG_Criteria!$B$19&amp;". ","")&amp;IF(AND(LEFT(C84,3)="Con",N(H84)&lt;E84,G84="Kallang Formation (marine clay)"),"NOTE: CBP is not watertight below GWT in marine clay; consider secant / grouting. ","")&amp;IF(AND(C84="Steel Sheet Pile",D84="Permanent"),"NOTE: permanent sheet pile needs corrosion allowance. ","")&amp;IF(AND(F84="Cantilever (no support)",E84&gt;6),"NOTE: cantilever embedded wall &gt; 6 m, check deflection. ","")&amp;IF(AND(S84&lt;&gt;"",T84&lt;&gt;"",S84&gt;T84),"FAIL: deflection exceeds allowable. ",""))=0,"OK",IF(AND(U84&lt;&gt;"",IFERROR(VALUE(MID(U84,2,2)),0)&lt;SG_Criteria!$B$19),"FAIL: grade below C"&amp;SG_Criteria!$B$19&amp;". ","")&amp;IF(AND(LEFT(C84,3)="Con",N(H84)&lt;E84,G84="Kallang Formation (marine clay)"),"NOTE: CBP is not watertight below GWT in marine clay; consider secant / grouting. ","")&amp;IF(AND(C84="Steel Sheet Pile",D84="Permanent"),"NOTE: permanent sheet pile needs corrosion allowance. ","")&amp;IF(AND(F84="Cantilever (no support)",E84&gt;6),"NOTE: cantilever embedded wall &gt; 6 m, check deflection. ","")&amp;IF(AND(S84&lt;&gt;"",T84&lt;&gt;"",S84&gt;T84),"FAIL: deflection exceeds allowable. ","")))</f>
        <v/>
      </c>
      <c r="AR84" s="9"/>
      <c r="AS84" s="9"/>
      <c r="AT84" s="9"/>
      <c r="AU84" s="9"/>
      <c r="AV84" s="9"/>
      <c r="AW84" s="31"/>
      <c r="AX84" s="10" t="str">
        <f aca="false">IF(C84="","",IF(AND(Y84="Approved",ISERROR(SEARCH("FAIL",AQ84))),"Y","N"))</f>
        <v/>
      </c>
      <c r="AY84" s="10" t="str">
        <f aca="false">IF(C84="","",C84&amp;"|"&amp;E84&amp;"|"&amp;F84&amp;"|"&amp;G84&amp;"|"&amp;D84&amp;"|"&amp;AX84)</f>
        <v/>
      </c>
    </row>
    <row r="85" customFormat="false" ht="15" hidden="false" customHeight="false" outlineLevel="0" collapsed="false">
      <c r="A85" s="10" t="str">
        <f aca="false">IF(C85="","","EW-"&amp;IFERROR(VLOOKUP(C85,Lists!$P$4:$Q$22,2,0),"??")&amp;"-D"&amp;TEXT(E85*1000,"0000")&amp;"-"&amp;IFERROR(VLOOKUP(F85,Lists!$S$4:$T$21,2,0),"??")&amp;"-"&amp;IFERROR(VLOOKUP(G85,Lists!$Y$4:$Z$21,2,0),"??")&amp;"-"&amp;IFERROR(VLOOKUP(D85,Lists!$V$4:$W$16,2,0),"??")&amp;"-"&amp;X85)</f>
        <v/>
      </c>
      <c r="B85" s="10" t="str">
        <f aca="false">IF(C85="","",D85&amp;" "&amp;C85&amp;", excavation "&amp;TEXT(E85,"0.0")&amp;" m, "&amp;F85&amp;", "&amp;G85&amp;", "&amp;J85)</f>
        <v/>
      </c>
      <c r="C85" s="9"/>
      <c r="D85" s="9"/>
      <c r="E85" s="43"/>
      <c r="F85" s="9"/>
      <c r="G85" s="9"/>
      <c r="H85" s="43"/>
      <c r="I85" s="40"/>
      <c r="J85" s="9"/>
      <c r="K85" s="9"/>
      <c r="L85" s="9"/>
      <c r="M85" s="43"/>
      <c r="N85" s="43"/>
      <c r="O85" s="9"/>
      <c r="P85" s="9"/>
      <c r="Q85" s="9"/>
      <c r="R85" s="9"/>
      <c r="S85" s="40"/>
      <c r="T85" s="40"/>
      <c r="U85" s="9"/>
      <c r="V85" s="9"/>
      <c r="W85" s="9"/>
      <c r="X85" s="9"/>
      <c r="Y85" s="9"/>
      <c r="Z85" s="9"/>
      <c r="AA85" s="9"/>
      <c r="AB85" s="9"/>
      <c r="AC85" s="10" t="str">
        <f aca="false">IF(A85="","",SG_Criteria!$B$6&amp;SG_Criteria!$B$9&amp;"\"&amp;A85&amp;"\")</f>
        <v/>
      </c>
      <c r="AD85" s="10" t="str">
        <f aca="false">IF(A85="","",A85&amp;"_CAD.dwg")</f>
        <v/>
      </c>
      <c r="AE85" s="10" t="str">
        <f aca="false">IF(A85="","",A85&amp;"_DWG.pdf")</f>
        <v/>
      </c>
      <c r="AF85" s="10" t="str">
        <f aca="false">IF(A85="","",IF(AB85="Y",A85&amp;"_STAAD.std","n/a"))</f>
        <v/>
      </c>
      <c r="AG85" s="10" t="str">
        <f aca="false">IF(A85="","",A85&amp;"_CALC.xlsx")</f>
        <v/>
      </c>
      <c r="AH85" s="10" t="str">
        <f aca="false">IF(A85="","",A85&amp;"_CALC.pdf")</f>
        <v/>
      </c>
      <c r="AI85" s="9"/>
      <c r="AJ85" s="9"/>
      <c r="AK85" s="41"/>
      <c r="AL85" s="41"/>
      <c r="AM85" s="41"/>
      <c r="AN85" s="41"/>
      <c r="AO85" s="41"/>
      <c r="AP85" s="38" t="str">
        <f aca="false">IF(OR(C85="",E85=""),"",IF(E85&lt;=IF(C85="Soldier Pile &amp; Timber Lagging",SG_Criteria!$B$34,SG_Criteria!$B$33),"No ERSS submission",IF(E85&lt;=SG_Criteria!$B$35,"QP(ST)",IF(E85&lt;=SG_Criteria!$B$36,"QP(ST) + AC","Geotechnical building works: QP(Geo) + AC"))))</f>
        <v/>
      </c>
      <c r="AQ85" s="38" t="str">
        <f aca="false">IF(C85="","",IF(LEN(IF(AND(U85&lt;&gt;"",IFERROR(VALUE(MID(U85,2,2)),0)&lt;SG_Criteria!$B$19),"FAIL: grade below C"&amp;SG_Criteria!$B$19&amp;". ","")&amp;IF(AND(LEFT(C85,3)="Con",N(H85)&lt;E85,G85="Kallang Formation (marine clay)"),"NOTE: CBP is not watertight below GWT in marine clay; consider secant / grouting. ","")&amp;IF(AND(C85="Steel Sheet Pile",D85="Permanent"),"NOTE: permanent sheet pile needs corrosion allowance. ","")&amp;IF(AND(F85="Cantilever (no support)",E85&gt;6),"NOTE: cantilever embedded wall &gt; 6 m, check deflection. ","")&amp;IF(AND(S85&lt;&gt;"",T85&lt;&gt;"",S85&gt;T85),"FAIL: deflection exceeds allowable. ",""))=0,"OK",IF(AND(U85&lt;&gt;"",IFERROR(VALUE(MID(U85,2,2)),0)&lt;SG_Criteria!$B$19),"FAIL: grade below C"&amp;SG_Criteria!$B$19&amp;". ","")&amp;IF(AND(LEFT(C85,3)="Con",N(H85)&lt;E85,G85="Kallang Formation (marine clay)"),"NOTE: CBP is not watertight below GWT in marine clay; consider secant / grouting. ","")&amp;IF(AND(C85="Steel Sheet Pile",D85="Permanent"),"NOTE: permanent sheet pile needs corrosion allowance. ","")&amp;IF(AND(F85="Cantilever (no support)",E85&gt;6),"NOTE: cantilever embedded wall &gt; 6 m, check deflection. ","")&amp;IF(AND(S85&lt;&gt;"",T85&lt;&gt;"",S85&gt;T85),"FAIL: deflection exceeds allowable. ","")))</f>
        <v/>
      </c>
      <c r="AR85" s="9"/>
      <c r="AS85" s="9"/>
      <c r="AT85" s="9"/>
      <c r="AU85" s="9"/>
      <c r="AV85" s="9"/>
      <c r="AW85" s="31"/>
      <c r="AX85" s="10" t="str">
        <f aca="false">IF(C85="","",IF(AND(Y85="Approved",ISERROR(SEARCH("FAIL",AQ85))),"Y","N"))</f>
        <v/>
      </c>
      <c r="AY85" s="10" t="str">
        <f aca="false">IF(C85="","",C85&amp;"|"&amp;E85&amp;"|"&amp;F85&amp;"|"&amp;G85&amp;"|"&amp;D85&amp;"|"&amp;AX85)</f>
        <v/>
      </c>
    </row>
    <row r="86" customFormat="false" ht="15" hidden="false" customHeight="false" outlineLevel="0" collapsed="false">
      <c r="A86" s="10" t="str">
        <f aca="false">IF(C86="","","EW-"&amp;IFERROR(VLOOKUP(C86,Lists!$P$4:$Q$22,2,0),"??")&amp;"-D"&amp;TEXT(E86*1000,"0000")&amp;"-"&amp;IFERROR(VLOOKUP(F86,Lists!$S$4:$T$21,2,0),"??")&amp;"-"&amp;IFERROR(VLOOKUP(G86,Lists!$Y$4:$Z$21,2,0),"??")&amp;"-"&amp;IFERROR(VLOOKUP(D86,Lists!$V$4:$W$16,2,0),"??")&amp;"-"&amp;X86)</f>
        <v/>
      </c>
      <c r="B86" s="10" t="str">
        <f aca="false">IF(C86="","",D86&amp;" "&amp;C86&amp;", excavation "&amp;TEXT(E86,"0.0")&amp;" m, "&amp;F86&amp;", "&amp;G86&amp;", "&amp;J86)</f>
        <v/>
      </c>
      <c r="C86" s="9"/>
      <c r="D86" s="9"/>
      <c r="E86" s="43"/>
      <c r="F86" s="9"/>
      <c r="G86" s="9"/>
      <c r="H86" s="43"/>
      <c r="I86" s="40"/>
      <c r="J86" s="9"/>
      <c r="K86" s="9"/>
      <c r="L86" s="9"/>
      <c r="M86" s="43"/>
      <c r="N86" s="43"/>
      <c r="O86" s="9"/>
      <c r="P86" s="9"/>
      <c r="Q86" s="9"/>
      <c r="R86" s="9"/>
      <c r="S86" s="40"/>
      <c r="T86" s="40"/>
      <c r="U86" s="9"/>
      <c r="V86" s="9"/>
      <c r="W86" s="9"/>
      <c r="X86" s="9"/>
      <c r="Y86" s="9"/>
      <c r="Z86" s="9"/>
      <c r="AA86" s="9"/>
      <c r="AB86" s="9"/>
      <c r="AC86" s="10" t="str">
        <f aca="false">IF(A86="","",SG_Criteria!$B$6&amp;SG_Criteria!$B$9&amp;"\"&amp;A86&amp;"\")</f>
        <v/>
      </c>
      <c r="AD86" s="10" t="str">
        <f aca="false">IF(A86="","",A86&amp;"_CAD.dwg")</f>
        <v/>
      </c>
      <c r="AE86" s="10" t="str">
        <f aca="false">IF(A86="","",A86&amp;"_DWG.pdf")</f>
        <v/>
      </c>
      <c r="AF86" s="10" t="str">
        <f aca="false">IF(A86="","",IF(AB86="Y",A86&amp;"_STAAD.std","n/a"))</f>
        <v/>
      </c>
      <c r="AG86" s="10" t="str">
        <f aca="false">IF(A86="","",A86&amp;"_CALC.xlsx")</f>
        <v/>
      </c>
      <c r="AH86" s="10" t="str">
        <f aca="false">IF(A86="","",A86&amp;"_CALC.pdf")</f>
        <v/>
      </c>
      <c r="AI86" s="9"/>
      <c r="AJ86" s="9"/>
      <c r="AK86" s="41"/>
      <c r="AL86" s="41"/>
      <c r="AM86" s="41"/>
      <c r="AN86" s="41"/>
      <c r="AO86" s="41"/>
      <c r="AP86" s="38" t="str">
        <f aca="false">IF(OR(C86="",E86=""),"",IF(E86&lt;=IF(C86="Soldier Pile &amp; Timber Lagging",SG_Criteria!$B$34,SG_Criteria!$B$33),"No ERSS submission",IF(E86&lt;=SG_Criteria!$B$35,"QP(ST)",IF(E86&lt;=SG_Criteria!$B$36,"QP(ST) + AC","Geotechnical building works: QP(Geo) + AC"))))</f>
        <v/>
      </c>
      <c r="AQ86" s="38" t="str">
        <f aca="false">IF(C86="","",IF(LEN(IF(AND(U86&lt;&gt;"",IFERROR(VALUE(MID(U86,2,2)),0)&lt;SG_Criteria!$B$19),"FAIL: grade below C"&amp;SG_Criteria!$B$19&amp;". ","")&amp;IF(AND(LEFT(C86,3)="Con",N(H86)&lt;E86,G86="Kallang Formation (marine clay)"),"NOTE: CBP is not watertight below GWT in marine clay; consider secant / grouting. ","")&amp;IF(AND(C86="Steel Sheet Pile",D86="Permanent"),"NOTE: permanent sheet pile needs corrosion allowance. ","")&amp;IF(AND(F86="Cantilever (no support)",E86&gt;6),"NOTE: cantilever embedded wall &gt; 6 m, check deflection. ","")&amp;IF(AND(S86&lt;&gt;"",T86&lt;&gt;"",S86&gt;T86),"FAIL: deflection exceeds allowable. ",""))=0,"OK",IF(AND(U86&lt;&gt;"",IFERROR(VALUE(MID(U86,2,2)),0)&lt;SG_Criteria!$B$19),"FAIL: grade below C"&amp;SG_Criteria!$B$19&amp;". ","")&amp;IF(AND(LEFT(C86,3)="Con",N(H86)&lt;E86,G86="Kallang Formation (marine clay)"),"NOTE: CBP is not watertight below GWT in marine clay; consider secant / grouting. ","")&amp;IF(AND(C86="Steel Sheet Pile",D86="Permanent"),"NOTE: permanent sheet pile needs corrosion allowance. ","")&amp;IF(AND(F86="Cantilever (no support)",E86&gt;6),"NOTE: cantilever embedded wall &gt; 6 m, check deflection. ","")&amp;IF(AND(S86&lt;&gt;"",T86&lt;&gt;"",S86&gt;T86),"FAIL: deflection exceeds allowable. ","")))</f>
        <v/>
      </c>
      <c r="AR86" s="9"/>
      <c r="AS86" s="9"/>
      <c r="AT86" s="9"/>
      <c r="AU86" s="9"/>
      <c r="AV86" s="9"/>
      <c r="AW86" s="31"/>
      <c r="AX86" s="10" t="str">
        <f aca="false">IF(C86="","",IF(AND(Y86="Approved",ISERROR(SEARCH("FAIL",AQ86))),"Y","N"))</f>
        <v/>
      </c>
      <c r="AY86" s="10" t="str">
        <f aca="false">IF(C86="","",C86&amp;"|"&amp;E86&amp;"|"&amp;F86&amp;"|"&amp;G86&amp;"|"&amp;D86&amp;"|"&amp;AX86)</f>
        <v/>
      </c>
    </row>
    <row r="87" customFormat="false" ht="15" hidden="false" customHeight="false" outlineLevel="0" collapsed="false">
      <c r="A87" s="10" t="str">
        <f aca="false">IF(C87="","","EW-"&amp;IFERROR(VLOOKUP(C87,Lists!$P$4:$Q$22,2,0),"??")&amp;"-D"&amp;TEXT(E87*1000,"0000")&amp;"-"&amp;IFERROR(VLOOKUP(F87,Lists!$S$4:$T$21,2,0),"??")&amp;"-"&amp;IFERROR(VLOOKUP(G87,Lists!$Y$4:$Z$21,2,0),"??")&amp;"-"&amp;IFERROR(VLOOKUP(D87,Lists!$V$4:$W$16,2,0),"??")&amp;"-"&amp;X87)</f>
        <v/>
      </c>
      <c r="B87" s="10" t="str">
        <f aca="false">IF(C87="","",D87&amp;" "&amp;C87&amp;", excavation "&amp;TEXT(E87,"0.0")&amp;" m, "&amp;F87&amp;", "&amp;G87&amp;", "&amp;J87)</f>
        <v/>
      </c>
      <c r="C87" s="9"/>
      <c r="D87" s="9"/>
      <c r="E87" s="43"/>
      <c r="F87" s="9"/>
      <c r="G87" s="9"/>
      <c r="H87" s="43"/>
      <c r="I87" s="40"/>
      <c r="J87" s="9"/>
      <c r="K87" s="9"/>
      <c r="L87" s="9"/>
      <c r="M87" s="43"/>
      <c r="N87" s="43"/>
      <c r="O87" s="9"/>
      <c r="P87" s="9"/>
      <c r="Q87" s="9"/>
      <c r="R87" s="9"/>
      <c r="S87" s="40"/>
      <c r="T87" s="40"/>
      <c r="U87" s="9"/>
      <c r="V87" s="9"/>
      <c r="W87" s="9"/>
      <c r="X87" s="9"/>
      <c r="Y87" s="9"/>
      <c r="Z87" s="9"/>
      <c r="AA87" s="9"/>
      <c r="AB87" s="9"/>
      <c r="AC87" s="10" t="str">
        <f aca="false">IF(A87="","",SG_Criteria!$B$6&amp;SG_Criteria!$B$9&amp;"\"&amp;A87&amp;"\")</f>
        <v/>
      </c>
      <c r="AD87" s="10" t="str">
        <f aca="false">IF(A87="","",A87&amp;"_CAD.dwg")</f>
        <v/>
      </c>
      <c r="AE87" s="10" t="str">
        <f aca="false">IF(A87="","",A87&amp;"_DWG.pdf")</f>
        <v/>
      </c>
      <c r="AF87" s="10" t="str">
        <f aca="false">IF(A87="","",IF(AB87="Y",A87&amp;"_STAAD.std","n/a"))</f>
        <v/>
      </c>
      <c r="AG87" s="10" t="str">
        <f aca="false">IF(A87="","",A87&amp;"_CALC.xlsx")</f>
        <v/>
      </c>
      <c r="AH87" s="10" t="str">
        <f aca="false">IF(A87="","",A87&amp;"_CALC.pdf")</f>
        <v/>
      </c>
      <c r="AI87" s="9"/>
      <c r="AJ87" s="9"/>
      <c r="AK87" s="41"/>
      <c r="AL87" s="41"/>
      <c r="AM87" s="41"/>
      <c r="AN87" s="41"/>
      <c r="AO87" s="41"/>
      <c r="AP87" s="38" t="str">
        <f aca="false">IF(OR(C87="",E87=""),"",IF(E87&lt;=IF(C87="Soldier Pile &amp; Timber Lagging",SG_Criteria!$B$34,SG_Criteria!$B$33),"No ERSS submission",IF(E87&lt;=SG_Criteria!$B$35,"QP(ST)",IF(E87&lt;=SG_Criteria!$B$36,"QP(ST) + AC","Geotechnical building works: QP(Geo) + AC"))))</f>
        <v/>
      </c>
      <c r="AQ87" s="38" t="str">
        <f aca="false">IF(C87="","",IF(LEN(IF(AND(U87&lt;&gt;"",IFERROR(VALUE(MID(U87,2,2)),0)&lt;SG_Criteria!$B$19),"FAIL: grade below C"&amp;SG_Criteria!$B$19&amp;". ","")&amp;IF(AND(LEFT(C87,3)="Con",N(H87)&lt;E87,G87="Kallang Formation (marine clay)"),"NOTE: CBP is not watertight below GWT in marine clay; consider secant / grouting. ","")&amp;IF(AND(C87="Steel Sheet Pile",D87="Permanent"),"NOTE: permanent sheet pile needs corrosion allowance. ","")&amp;IF(AND(F87="Cantilever (no support)",E87&gt;6),"NOTE: cantilever embedded wall &gt; 6 m, check deflection. ","")&amp;IF(AND(S87&lt;&gt;"",T87&lt;&gt;"",S87&gt;T87),"FAIL: deflection exceeds allowable. ",""))=0,"OK",IF(AND(U87&lt;&gt;"",IFERROR(VALUE(MID(U87,2,2)),0)&lt;SG_Criteria!$B$19),"FAIL: grade below C"&amp;SG_Criteria!$B$19&amp;". ","")&amp;IF(AND(LEFT(C87,3)="Con",N(H87)&lt;E87,G87="Kallang Formation (marine clay)"),"NOTE: CBP is not watertight below GWT in marine clay; consider secant / grouting. ","")&amp;IF(AND(C87="Steel Sheet Pile",D87="Permanent"),"NOTE: permanent sheet pile needs corrosion allowance. ","")&amp;IF(AND(F87="Cantilever (no support)",E87&gt;6),"NOTE: cantilever embedded wall &gt; 6 m, check deflection. ","")&amp;IF(AND(S87&lt;&gt;"",T87&lt;&gt;"",S87&gt;T87),"FAIL: deflection exceeds allowable. ","")))</f>
        <v/>
      </c>
      <c r="AR87" s="9"/>
      <c r="AS87" s="9"/>
      <c r="AT87" s="9"/>
      <c r="AU87" s="9"/>
      <c r="AV87" s="9"/>
      <c r="AW87" s="31"/>
      <c r="AX87" s="10" t="str">
        <f aca="false">IF(C87="","",IF(AND(Y87="Approved",ISERROR(SEARCH("FAIL",AQ87))),"Y","N"))</f>
        <v/>
      </c>
      <c r="AY87" s="10" t="str">
        <f aca="false">IF(C87="","",C87&amp;"|"&amp;E87&amp;"|"&amp;F87&amp;"|"&amp;G87&amp;"|"&amp;D87&amp;"|"&amp;AX87)</f>
        <v/>
      </c>
    </row>
    <row r="88" customFormat="false" ht="15" hidden="false" customHeight="false" outlineLevel="0" collapsed="false">
      <c r="A88" s="10" t="str">
        <f aca="false">IF(C88="","","EW-"&amp;IFERROR(VLOOKUP(C88,Lists!$P$4:$Q$22,2,0),"??")&amp;"-D"&amp;TEXT(E88*1000,"0000")&amp;"-"&amp;IFERROR(VLOOKUP(F88,Lists!$S$4:$T$21,2,0),"??")&amp;"-"&amp;IFERROR(VLOOKUP(G88,Lists!$Y$4:$Z$21,2,0),"??")&amp;"-"&amp;IFERROR(VLOOKUP(D88,Lists!$V$4:$W$16,2,0),"??")&amp;"-"&amp;X88)</f>
        <v/>
      </c>
      <c r="B88" s="10" t="str">
        <f aca="false">IF(C88="","",D88&amp;" "&amp;C88&amp;", excavation "&amp;TEXT(E88,"0.0")&amp;" m, "&amp;F88&amp;", "&amp;G88&amp;", "&amp;J88)</f>
        <v/>
      </c>
      <c r="C88" s="9"/>
      <c r="D88" s="9"/>
      <c r="E88" s="43"/>
      <c r="F88" s="9"/>
      <c r="G88" s="9"/>
      <c r="H88" s="43"/>
      <c r="I88" s="40"/>
      <c r="J88" s="9"/>
      <c r="K88" s="9"/>
      <c r="L88" s="9"/>
      <c r="M88" s="43"/>
      <c r="N88" s="43"/>
      <c r="O88" s="9"/>
      <c r="P88" s="9"/>
      <c r="Q88" s="9"/>
      <c r="R88" s="9"/>
      <c r="S88" s="40"/>
      <c r="T88" s="40"/>
      <c r="U88" s="9"/>
      <c r="V88" s="9"/>
      <c r="W88" s="9"/>
      <c r="X88" s="9"/>
      <c r="Y88" s="9"/>
      <c r="Z88" s="9"/>
      <c r="AA88" s="9"/>
      <c r="AB88" s="9"/>
      <c r="AC88" s="10" t="str">
        <f aca="false">IF(A88="","",SG_Criteria!$B$6&amp;SG_Criteria!$B$9&amp;"\"&amp;A88&amp;"\")</f>
        <v/>
      </c>
      <c r="AD88" s="10" t="str">
        <f aca="false">IF(A88="","",A88&amp;"_CAD.dwg")</f>
        <v/>
      </c>
      <c r="AE88" s="10" t="str">
        <f aca="false">IF(A88="","",A88&amp;"_DWG.pdf")</f>
        <v/>
      </c>
      <c r="AF88" s="10" t="str">
        <f aca="false">IF(A88="","",IF(AB88="Y",A88&amp;"_STAAD.std","n/a"))</f>
        <v/>
      </c>
      <c r="AG88" s="10" t="str">
        <f aca="false">IF(A88="","",A88&amp;"_CALC.xlsx")</f>
        <v/>
      </c>
      <c r="AH88" s="10" t="str">
        <f aca="false">IF(A88="","",A88&amp;"_CALC.pdf")</f>
        <v/>
      </c>
      <c r="AI88" s="9"/>
      <c r="AJ88" s="9"/>
      <c r="AK88" s="41"/>
      <c r="AL88" s="41"/>
      <c r="AM88" s="41"/>
      <c r="AN88" s="41"/>
      <c r="AO88" s="41"/>
      <c r="AP88" s="38" t="str">
        <f aca="false">IF(OR(C88="",E88=""),"",IF(E88&lt;=IF(C88="Soldier Pile &amp; Timber Lagging",SG_Criteria!$B$34,SG_Criteria!$B$33),"No ERSS submission",IF(E88&lt;=SG_Criteria!$B$35,"QP(ST)",IF(E88&lt;=SG_Criteria!$B$36,"QP(ST) + AC","Geotechnical building works: QP(Geo) + AC"))))</f>
        <v/>
      </c>
      <c r="AQ88" s="38" t="str">
        <f aca="false">IF(C88="","",IF(LEN(IF(AND(U88&lt;&gt;"",IFERROR(VALUE(MID(U88,2,2)),0)&lt;SG_Criteria!$B$19),"FAIL: grade below C"&amp;SG_Criteria!$B$19&amp;". ","")&amp;IF(AND(LEFT(C88,3)="Con",N(H88)&lt;E88,G88="Kallang Formation (marine clay)"),"NOTE: CBP is not watertight below GWT in marine clay; consider secant / grouting. ","")&amp;IF(AND(C88="Steel Sheet Pile",D88="Permanent"),"NOTE: permanent sheet pile needs corrosion allowance. ","")&amp;IF(AND(F88="Cantilever (no support)",E88&gt;6),"NOTE: cantilever embedded wall &gt; 6 m, check deflection. ","")&amp;IF(AND(S88&lt;&gt;"",T88&lt;&gt;"",S88&gt;T88),"FAIL: deflection exceeds allowable. ",""))=0,"OK",IF(AND(U88&lt;&gt;"",IFERROR(VALUE(MID(U88,2,2)),0)&lt;SG_Criteria!$B$19),"FAIL: grade below C"&amp;SG_Criteria!$B$19&amp;". ","")&amp;IF(AND(LEFT(C88,3)="Con",N(H88)&lt;E88,G88="Kallang Formation (marine clay)"),"NOTE: CBP is not watertight below GWT in marine clay; consider secant / grouting. ","")&amp;IF(AND(C88="Steel Sheet Pile",D88="Permanent"),"NOTE: permanent sheet pile needs corrosion allowance. ","")&amp;IF(AND(F88="Cantilever (no support)",E88&gt;6),"NOTE: cantilever embedded wall &gt; 6 m, check deflection. ","")&amp;IF(AND(S88&lt;&gt;"",T88&lt;&gt;"",S88&gt;T88),"FAIL: deflection exceeds allowable. ","")))</f>
        <v/>
      </c>
      <c r="AR88" s="9"/>
      <c r="AS88" s="9"/>
      <c r="AT88" s="9"/>
      <c r="AU88" s="9"/>
      <c r="AV88" s="9"/>
      <c r="AW88" s="31"/>
      <c r="AX88" s="10" t="str">
        <f aca="false">IF(C88="","",IF(AND(Y88="Approved",ISERROR(SEARCH("FAIL",AQ88))),"Y","N"))</f>
        <v/>
      </c>
      <c r="AY88" s="10" t="str">
        <f aca="false">IF(C88="","",C88&amp;"|"&amp;E88&amp;"|"&amp;F88&amp;"|"&amp;G88&amp;"|"&amp;D88&amp;"|"&amp;AX88)</f>
        <v/>
      </c>
    </row>
    <row r="89" customFormat="false" ht="15" hidden="false" customHeight="false" outlineLevel="0" collapsed="false">
      <c r="A89" s="10" t="str">
        <f aca="false">IF(C89="","","EW-"&amp;IFERROR(VLOOKUP(C89,Lists!$P$4:$Q$22,2,0),"??")&amp;"-D"&amp;TEXT(E89*1000,"0000")&amp;"-"&amp;IFERROR(VLOOKUP(F89,Lists!$S$4:$T$21,2,0),"??")&amp;"-"&amp;IFERROR(VLOOKUP(G89,Lists!$Y$4:$Z$21,2,0),"??")&amp;"-"&amp;IFERROR(VLOOKUP(D89,Lists!$V$4:$W$16,2,0),"??")&amp;"-"&amp;X89)</f>
        <v/>
      </c>
      <c r="B89" s="10" t="str">
        <f aca="false">IF(C89="","",D89&amp;" "&amp;C89&amp;", excavation "&amp;TEXT(E89,"0.0")&amp;" m, "&amp;F89&amp;", "&amp;G89&amp;", "&amp;J89)</f>
        <v/>
      </c>
      <c r="C89" s="9"/>
      <c r="D89" s="9"/>
      <c r="E89" s="43"/>
      <c r="F89" s="9"/>
      <c r="G89" s="9"/>
      <c r="H89" s="43"/>
      <c r="I89" s="40"/>
      <c r="J89" s="9"/>
      <c r="K89" s="9"/>
      <c r="L89" s="9"/>
      <c r="M89" s="43"/>
      <c r="N89" s="43"/>
      <c r="O89" s="9"/>
      <c r="P89" s="9"/>
      <c r="Q89" s="9"/>
      <c r="R89" s="9"/>
      <c r="S89" s="40"/>
      <c r="T89" s="40"/>
      <c r="U89" s="9"/>
      <c r="V89" s="9"/>
      <c r="W89" s="9"/>
      <c r="X89" s="9"/>
      <c r="Y89" s="9"/>
      <c r="Z89" s="9"/>
      <c r="AA89" s="9"/>
      <c r="AB89" s="9"/>
      <c r="AC89" s="10" t="str">
        <f aca="false">IF(A89="","",SG_Criteria!$B$6&amp;SG_Criteria!$B$9&amp;"\"&amp;A89&amp;"\")</f>
        <v/>
      </c>
      <c r="AD89" s="10" t="str">
        <f aca="false">IF(A89="","",A89&amp;"_CAD.dwg")</f>
        <v/>
      </c>
      <c r="AE89" s="10" t="str">
        <f aca="false">IF(A89="","",A89&amp;"_DWG.pdf")</f>
        <v/>
      </c>
      <c r="AF89" s="10" t="str">
        <f aca="false">IF(A89="","",IF(AB89="Y",A89&amp;"_STAAD.std","n/a"))</f>
        <v/>
      </c>
      <c r="AG89" s="10" t="str">
        <f aca="false">IF(A89="","",A89&amp;"_CALC.xlsx")</f>
        <v/>
      </c>
      <c r="AH89" s="10" t="str">
        <f aca="false">IF(A89="","",A89&amp;"_CALC.pdf")</f>
        <v/>
      </c>
      <c r="AI89" s="9"/>
      <c r="AJ89" s="9"/>
      <c r="AK89" s="41"/>
      <c r="AL89" s="41"/>
      <c r="AM89" s="41"/>
      <c r="AN89" s="41"/>
      <c r="AO89" s="41"/>
      <c r="AP89" s="38" t="str">
        <f aca="false">IF(OR(C89="",E89=""),"",IF(E89&lt;=IF(C89="Soldier Pile &amp; Timber Lagging",SG_Criteria!$B$34,SG_Criteria!$B$33),"No ERSS submission",IF(E89&lt;=SG_Criteria!$B$35,"QP(ST)",IF(E89&lt;=SG_Criteria!$B$36,"QP(ST) + AC","Geotechnical building works: QP(Geo) + AC"))))</f>
        <v/>
      </c>
      <c r="AQ89" s="38" t="str">
        <f aca="false">IF(C89="","",IF(LEN(IF(AND(U89&lt;&gt;"",IFERROR(VALUE(MID(U89,2,2)),0)&lt;SG_Criteria!$B$19),"FAIL: grade below C"&amp;SG_Criteria!$B$19&amp;". ","")&amp;IF(AND(LEFT(C89,3)="Con",N(H89)&lt;E89,G89="Kallang Formation (marine clay)"),"NOTE: CBP is not watertight below GWT in marine clay; consider secant / grouting. ","")&amp;IF(AND(C89="Steel Sheet Pile",D89="Permanent"),"NOTE: permanent sheet pile needs corrosion allowance. ","")&amp;IF(AND(F89="Cantilever (no support)",E89&gt;6),"NOTE: cantilever embedded wall &gt; 6 m, check deflection. ","")&amp;IF(AND(S89&lt;&gt;"",T89&lt;&gt;"",S89&gt;T89),"FAIL: deflection exceeds allowable. ",""))=0,"OK",IF(AND(U89&lt;&gt;"",IFERROR(VALUE(MID(U89,2,2)),0)&lt;SG_Criteria!$B$19),"FAIL: grade below C"&amp;SG_Criteria!$B$19&amp;". ","")&amp;IF(AND(LEFT(C89,3)="Con",N(H89)&lt;E89,G89="Kallang Formation (marine clay)"),"NOTE: CBP is not watertight below GWT in marine clay; consider secant / grouting. ","")&amp;IF(AND(C89="Steel Sheet Pile",D89="Permanent"),"NOTE: permanent sheet pile needs corrosion allowance. ","")&amp;IF(AND(F89="Cantilever (no support)",E89&gt;6),"NOTE: cantilever embedded wall &gt; 6 m, check deflection. ","")&amp;IF(AND(S89&lt;&gt;"",T89&lt;&gt;"",S89&gt;T89),"FAIL: deflection exceeds allowable. ","")))</f>
        <v/>
      </c>
      <c r="AR89" s="9"/>
      <c r="AS89" s="9"/>
      <c r="AT89" s="9"/>
      <c r="AU89" s="9"/>
      <c r="AV89" s="9"/>
      <c r="AW89" s="31"/>
      <c r="AX89" s="10" t="str">
        <f aca="false">IF(C89="","",IF(AND(Y89="Approved",ISERROR(SEARCH("FAIL",AQ89))),"Y","N"))</f>
        <v/>
      </c>
      <c r="AY89" s="10" t="str">
        <f aca="false">IF(C89="","",C89&amp;"|"&amp;E89&amp;"|"&amp;F89&amp;"|"&amp;G89&amp;"|"&amp;D89&amp;"|"&amp;AX89)</f>
        <v/>
      </c>
    </row>
    <row r="90" customFormat="false" ht="15" hidden="false" customHeight="false" outlineLevel="0" collapsed="false">
      <c r="A90" s="10" t="str">
        <f aca="false">IF(C90="","","EW-"&amp;IFERROR(VLOOKUP(C90,Lists!$P$4:$Q$22,2,0),"??")&amp;"-D"&amp;TEXT(E90*1000,"0000")&amp;"-"&amp;IFERROR(VLOOKUP(F90,Lists!$S$4:$T$21,2,0),"??")&amp;"-"&amp;IFERROR(VLOOKUP(G90,Lists!$Y$4:$Z$21,2,0),"??")&amp;"-"&amp;IFERROR(VLOOKUP(D90,Lists!$V$4:$W$16,2,0),"??")&amp;"-"&amp;X90)</f>
        <v/>
      </c>
      <c r="B90" s="10" t="str">
        <f aca="false">IF(C90="","",D90&amp;" "&amp;C90&amp;", excavation "&amp;TEXT(E90,"0.0")&amp;" m, "&amp;F90&amp;", "&amp;G90&amp;", "&amp;J90)</f>
        <v/>
      </c>
      <c r="C90" s="9"/>
      <c r="D90" s="9"/>
      <c r="E90" s="43"/>
      <c r="F90" s="9"/>
      <c r="G90" s="9"/>
      <c r="H90" s="43"/>
      <c r="I90" s="40"/>
      <c r="J90" s="9"/>
      <c r="K90" s="9"/>
      <c r="L90" s="9"/>
      <c r="M90" s="43"/>
      <c r="N90" s="43"/>
      <c r="O90" s="9"/>
      <c r="P90" s="9"/>
      <c r="Q90" s="9"/>
      <c r="R90" s="9"/>
      <c r="S90" s="40"/>
      <c r="T90" s="40"/>
      <c r="U90" s="9"/>
      <c r="V90" s="9"/>
      <c r="W90" s="9"/>
      <c r="X90" s="9"/>
      <c r="Y90" s="9"/>
      <c r="Z90" s="9"/>
      <c r="AA90" s="9"/>
      <c r="AB90" s="9"/>
      <c r="AC90" s="10" t="str">
        <f aca="false">IF(A90="","",SG_Criteria!$B$6&amp;SG_Criteria!$B$9&amp;"\"&amp;A90&amp;"\")</f>
        <v/>
      </c>
      <c r="AD90" s="10" t="str">
        <f aca="false">IF(A90="","",A90&amp;"_CAD.dwg")</f>
        <v/>
      </c>
      <c r="AE90" s="10" t="str">
        <f aca="false">IF(A90="","",A90&amp;"_DWG.pdf")</f>
        <v/>
      </c>
      <c r="AF90" s="10" t="str">
        <f aca="false">IF(A90="","",IF(AB90="Y",A90&amp;"_STAAD.std","n/a"))</f>
        <v/>
      </c>
      <c r="AG90" s="10" t="str">
        <f aca="false">IF(A90="","",A90&amp;"_CALC.xlsx")</f>
        <v/>
      </c>
      <c r="AH90" s="10" t="str">
        <f aca="false">IF(A90="","",A90&amp;"_CALC.pdf")</f>
        <v/>
      </c>
      <c r="AI90" s="9"/>
      <c r="AJ90" s="9"/>
      <c r="AK90" s="41"/>
      <c r="AL90" s="41"/>
      <c r="AM90" s="41"/>
      <c r="AN90" s="41"/>
      <c r="AO90" s="41"/>
      <c r="AP90" s="38" t="str">
        <f aca="false">IF(OR(C90="",E90=""),"",IF(E90&lt;=IF(C90="Soldier Pile &amp; Timber Lagging",SG_Criteria!$B$34,SG_Criteria!$B$33),"No ERSS submission",IF(E90&lt;=SG_Criteria!$B$35,"QP(ST)",IF(E90&lt;=SG_Criteria!$B$36,"QP(ST) + AC","Geotechnical building works: QP(Geo) + AC"))))</f>
        <v/>
      </c>
      <c r="AQ90" s="38" t="str">
        <f aca="false">IF(C90="","",IF(LEN(IF(AND(U90&lt;&gt;"",IFERROR(VALUE(MID(U90,2,2)),0)&lt;SG_Criteria!$B$19),"FAIL: grade below C"&amp;SG_Criteria!$B$19&amp;". ","")&amp;IF(AND(LEFT(C90,3)="Con",N(H90)&lt;E90,G90="Kallang Formation (marine clay)"),"NOTE: CBP is not watertight below GWT in marine clay; consider secant / grouting. ","")&amp;IF(AND(C90="Steel Sheet Pile",D90="Permanent"),"NOTE: permanent sheet pile needs corrosion allowance. ","")&amp;IF(AND(F90="Cantilever (no support)",E90&gt;6),"NOTE: cantilever embedded wall &gt; 6 m, check deflection. ","")&amp;IF(AND(S90&lt;&gt;"",T90&lt;&gt;"",S90&gt;T90),"FAIL: deflection exceeds allowable. ",""))=0,"OK",IF(AND(U90&lt;&gt;"",IFERROR(VALUE(MID(U90,2,2)),0)&lt;SG_Criteria!$B$19),"FAIL: grade below C"&amp;SG_Criteria!$B$19&amp;". ","")&amp;IF(AND(LEFT(C90,3)="Con",N(H90)&lt;E90,G90="Kallang Formation (marine clay)"),"NOTE: CBP is not watertight below GWT in marine clay; consider secant / grouting. ","")&amp;IF(AND(C90="Steel Sheet Pile",D90="Permanent"),"NOTE: permanent sheet pile needs corrosion allowance. ","")&amp;IF(AND(F90="Cantilever (no support)",E90&gt;6),"NOTE: cantilever embedded wall &gt; 6 m, check deflection. ","")&amp;IF(AND(S90&lt;&gt;"",T90&lt;&gt;"",S90&gt;T90),"FAIL: deflection exceeds allowable. ","")))</f>
        <v/>
      </c>
      <c r="AR90" s="9"/>
      <c r="AS90" s="9"/>
      <c r="AT90" s="9"/>
      <c r="AU90" s="9"/>
      <c r="AV90" s="9"/>
      <c r="AW90" s="31"/>
      <c r="AX90" s="10" t="str">
        <f aca="false">IF(C90="","",IF(AND(Y90="Approved",ISERROR(SEARCH("FAIL",AQ90))),"Y","N"))</f>
        <v/>
      </c>
      <c r="AY90" s="10" t="str">
        <f aca="false">IF(C90="","",C90&amp;"|"&amp;E90&amp;"|"&amp;F90&amp;"|"&amp;G90&amp;"|"&amp;D90&amp;"|"&amp;AX90)</f>
        <v/>
      </c>
    </row>
    <row r="91" customFormat="false" ht="15" hidden="false" customHeight="false" outlineLevel="0" collapsed="false">
      <c r="A91" s="10" t="str">
        <f aca="false">IF(C91="","","EW-"&amp;IFERROR(VLOOKUP(C91,Lists!$P$4:$Q$22,2,0),"??")&amp;"-D"&amp;TEXT(E91*1000,"0000")&amp;"-"&amp;IFERROR(VLOOKUP(F91,Lists!$S$4:$T$21,2,0),"??")&amp;"-"&amp;IFERROR(VLOOKUP(G91,Lists!$Y$4:$Z$21,2,0),"??")&amp;"-"&amp;IFERROR(VLOOKUP(D91,Lists!$V$4:$W$16,2,0),"??")&amp;"-"&amp;X91)</f>
        <v/>
      </c>
      <c r="B91" s="10" t="str">
        <f aca="false">IF(C91="","",D91&amp;" "&amp;C91&amp;", excavation "&amp;TEXT(E91,"0.0")&amp;" m, "&amp;F91&amp;", "&amp;G91&amp;", "&amp;J91)</f>
        <v/>
      </c>
      <c r="C91" s="9"/>
      <c r="D91" s="9"/>
      <c r="E91" s="43"/>
      <c r="F91" s="9"/>
      <c r="G91" s="9"/>
      <c r="H91" s="43"/>
      <c r="I91" s="40"/>
      <c r="J91" s="9"/>
      <c r="K91" s="9"/>
      <c r="L91" s="9"/>
      <c r="M91" s="43"/>
      <c r="N91" s="43"/>
      <c r="O91" s="9"/>
      <c r="P91" s="9"/>
      <c r="Q91" s="9"/>
      <c r="R91" s="9"/>
      <c r="S91" s="40"/>
      <c r="T91" s="40"/>
      <c r="U91" s="9"/>
      <c r="V91" s="9"/>
      <c r="W91" s="9"/>
      <c r="X91" s="9"/>
      <c r="Y91" s="9"/>
      <c r="Z91" s="9"/>
      <c r="AA91" s="9"/>
      <c r="AB91" s="9"/>
      <c r="AC91" s="10" t="str">
        <f aca="false">IF(A91="","",SG_Criteria!$B$6&amp;SG_Criteria!$B$9&amp;"\"&amp;A91&amp;"\")</f>
        <v/>
      </c>
      <c r="AD91" s="10" t="str">
        <f aca="false">IF(A91="","",A91&amp;"_CAD.dwg")</f>
        <v/>
      </c>
      <c r="AE91" s="10" t="str">
        <f aca="false">IF(A91="","",A91&amp;"_DWG.pdf")</f>
        <v/>
      </c>
      <c r="AF91" s="10" t="str">
        <f aca="false">IF(A91="","",IF(AB91="Y",A91&amp;"_STAAD.std","n/a"))</f>
        <v/>
      </c>
      <c r="AG91" s="10" t="str">
        <f aca="false">IF(A91="","",A91&amp;"_CALC.xlsx")</f>
        <v/>
      </c>
      <c r="AH91" s="10" t="str">
        <f aca="false">IF(A91="","",A91&amp;"_CALC.pdf")</f>
        <v/>
      </c>
      <c r="AI91" s="9"/>
      <c r="AJ91" s="9"/>
      <c r="AK91" s="41"/>
      <c r="AL91" s="41"/>
      <c r="AM91" s="41"/>
      <c r="AN91" s="41"/>
      <c r="AO91" s="41"/>
      <c r="AP91" s="38" t="str">
        <f aca="false">IF(OR(C91="",E91=""),"",IF(E91&lt;=IF(C91="Soldier Pile &amp; Timber Lagging",SG_Criteria!$B$34,SG_Criteria!$B$33),"No ERSS submission",IF(E91&lt;=SG_Criteria!$B$35,"QP(ST)",IF(E91&lt;=SG_Criteria!$B$36,"QP(ST) + AC","Geotechnical building works: QP(Geo) + AC"))))</f>
        <v/>
      </c>
      <c r="AQ91" s="38" t="str">
        <f aca="false">IF(C91="","",IF(LEN(IF(AND(U91&lt;&gt;"",IFERROR(VALUE(MID(U91,2,2)),0)&lt;SG_Criteria!$B$19),"FAIL: grade below C"&amp;SG_Criteria!$B$19&amp;". ","")&amp;IF(AND(LEFT(C91,3)="Con",N(H91)&lt;E91,G91="Kallang Formation (marine clay)"),"NOTE: CBP is not watertight below GWT in marine clay; consider secant / grouting. ","")&amp;IF(AND(C91="Steel Sheet Pile",D91="Permanent"),"NOTE: permanent sheet pile needs corrosion allowance. ","")&amp;IF(AND(F91="Cantilever (no support)",E91&gt;6),"NOTE: cantilever embedded wall &gt; 6 m, check deflection. ","")&amp;IF(AND(S91&lt;&gt;"",T91&lt;&gt;"",S91&gt;T91),"FAIL: deflection exceeds allowable. ",""))=0,"OK",IF(AND(U91&lt;&gt;"",IFERROR(VALUE(MID(U91,2,2)),0)&lt;SG_Criteria!$B$19),"FAIL: grade below C"&amp;SG_Criteria!$B$19&amp;". ","")&amp;IF(AND(LEFT(C91,3)="Con",N(H91)&lt;E91,G91="Kallang Formation (marine clay)"),"NOTE: CBP is not watertight below GWT in marine clay; consider secant / grouting. ","")&amp;IF(AND(C91="Steel Sheet Pile",D91="Permanent"),"NOTE: permanent sheet pile needs corrosion allowance. ","")&amp;IF(AND(F91="Cantilever (no support)",E91&gt;6),"NOTE: cantilever embedded wall &gt; 6 m, check deflection. ","")&amp;IF(AND(S91&lt;&gt;"",T91&lt;&gt;"",S91&gt;T91),"FAIL: deflection exceeds allowable. ","")))</f>
        <v/>
      </c>
      <c r="AR91" s="9"/>
      <c r="AS91" s="9"/>
      <c r="AT91" s="9"/>
      <c r="AU91" s="9"/>
      <c r="AV91" s="9"/>
      <c r="AW91" s="31"/>
      <c r="AX91" s="10" t="str">
        <f aca="false">IF(C91="","",IF(AND(Y91="Approved",ISERROR(SEARCH("FAIL",AQ91))),"Y","N"))</f>
        <v/>
      </c>
      <c r="AY91" s="10" t="str">
        <f aca="false">IF(C91="","",C91&amp;"|"&amp;E91&amp;"|"&amp;F91&amp;"|"&amp;G91&amp;"|"&amp;D91&amp;"|"&amp;AX91)</f>
        <v/>
      </c>
    </row>
    <row r="92" customFormat="false" ht="15" hidden="false" customHeight="false" outlineLevel="0" collapsed="false">
      <c r="A92" s="10" t="str">
        <f aca="false">IF(C92="","","EW-"&amp;IFERROR(VLOOKUP(C92,Lists!$P$4:$Q$22,2,0),"??")&amp;"-D"&amp;TEXT(E92*1000,"0000")&amp;"-"&amp;IFERROR(VLOOKUP(F92,Lists!$S$4:$T$21,2,0),"??")&amp;"-"&amp;IFERROR(VLOOKUP(G92,Lists!$Y$4:$Z$21,2,0),"??")&amp;"-"&amp;IFERROR(VLOOKUP(D92,Lists!$V$4:$W$16,2,0),"??")&amp;"-"&amp;X92)</f>
        <v/>
      </c>
      <c r="B92" s="10" t="str">
        <f aca="false">IF(C92="","",D92&amp;" "&amp;C92&amp;", excavation "&amp;TEXT(E92,"0.0")&amp;" m, "&amp;F92&amp;", "&amp;G92&amp;", "&amp;J92)</f>
        <v/>
      </c>
      <c r="C92" s="9"/>
      <c r="D92" s="9"/>
      <c r="E92" s="43"/>
      <c r="F92" s="9"/>
      <c r="G92" s="9"/>
      <c r="H92" s="43"/>
      <c r="I92" s="40"/>
      <c r="J92" s="9"/>
      <c r="K92" s="9"/>
      <c r="L92" s="9"/>
      <c r="M92" s="43"/>
      <c r="N92" s="43"/>
      <c r="O92" s="9"/>
      <c r="P92" s="9"/>
      <c r="Q92" s="9"/>
      <c r="R92" s="9"/>
      <c r="S92" s="40"/>
      <c r="T92" s="40"/>
      <c r="U92" s="9"/>
      <c r="V92" s="9"/>
      <c r="W92" s="9"/>
      <c r="X92" s="9"/>
      <c r="Y92" s="9"/>
      <c r="Z92" s="9"/>
      <c r="AA92" s="9"/>
      <c r="AB92" s="9"/>
      <c r="AC92" s="10" t="str">
        <f aca="false">IF(A92="","",SG_Criteria!$B$6&amp;SG_Criteria!$B$9&amp;"\"&amp;A92&amp;"\")</f>
        <v/>
      </c>
      <c r="AD92" s="10" t="str">
        <f aca="false">IF(A92="","",A92&amp;"_CAD.dwg")</f>
        <v/>
      </c>
      <c r="AE92" s="10" t="str">
        <f aca="false">IF(A92="","",A92&amp;"_DWG.pdf")</f>
        <v/>
      </c>
      <c r="AF92" s="10" t="str">
        <f aca="false">IF(A92="","",IF(AB92="Y",A92&amp;"_STAAD.std","n/a"))</f>
        <v/>
      </c>
      <c r="AG92" s="10" t="str">
        <f aca="false">IF(A92="","",A92&amp;"_CALC.xlsx")</f>
        <v/>
      </c>
      <c r="AH92" s="10" t="str">
        <f aca="false">IF(A92="","",A92&amp;"_CALC.pdf")</f>
        <v/>
      </c>
      <c r="AI92" s="9"/>
      <c r="AJ92" s="9"/>
      <c r="AK92" s="41"/>
      <c r="AL92" s="41"/>
      <c r="AM92" s="41"/>
      <c r="AN92" s="41"/>
      <c r="AO92" s="41"/>
      <c r="AP92" s="38" t="str">
        <f aca="false">IF(OR(C92="",E92=""),"",IF(E92&lt;=IF(C92="Soldier Pile &amp; Timber Lagging",SG_Criteria!$B$34,SG_Criteria!$B$33),"No ERSS submission",IF(E92&lt;=SG_Criteria!$B$35,"QP(ST)",IF(E92&lt;=SG_Criteria!$B$36,"QP(ST) + AC","Geotechnical building works: QP(Geo) + AC"))))</f>
        <v/>
      </c>
      <c r="AQ92" s="38" t="str">
        <f aca="false">IF(C92="","",IF(LEN(IF(AND(U92&lt;&gt;"",IFERROR(VALUE(MID(U92,2,2)),0)&lt;SG_Criteria!$B$19),"FAIL: grade below C"&amp;SG_Criteria!$B$19&amp;". ","")&amp;IF(AND(LEFT(C92,3)="Con",N(H92)&lt;E92,G92="Kallang Formation (marine clay)"),"NOTE: CBP is not watertight below GWT in marine clay; consider secant / grouting. ","")&amp;IF(AND(C92="Steel Sheet Pile",D92="Permanent"),"NOTE: permanent sheet pile needs corrosion allowance. ","")&amp;IF(AND(F92="Cantilever (no support)",E92&gt;6),"NOTE: cantilever embedded wall &gt; 6 m, check deflection. ","")&amp;IF(AND(S92&lt;&gt;"",T92&lt;&gt;"",S92&gt;T92),"FAIL: deflection exceeds allowable. ",""))=0,"OK",IF(AND(U92&lt;&gt;"",IFERROR(VALUE(MID(U92,2,2)),0)&lt;SG_Criteria!$B$19),"FAIL: grade below C"&amp;SG_Criteria!$B$19&amp;". ","")&amp;IF(AND(LEFT(C92,3)="Con",N(H92)&lt;E92,G92="Kallang Formation (marine clay)"),"NOTE: CBP is not watertight below GWT in marine clay; consider secant / grouting. ","")&amp;IF(AND(C92="Steel Sheet Pile",D92="Permanent"),"NOTE: permanent sheet pile needs corrosion allowance. ","")&amp;IF(AND(F92="Cantilever (no support)",E92&gt;6),"NOTE: cantilever embedded wall &gt; 6 m, check deflection. ","")&amp;IF(AND(S92&lt;&gt;"",T92&lt;&gt;"",S92&gt;T92),"FAIL: deflection exceeds allowable. ","")))</f>
        <v/>
      </c>
      <c r="AR92" s="9"/>
      <c r="AS92" s="9"/>
      <c r="AT92" s="9"/>
      <c r="AU92" s="9"/>
      <c r="AV92" s="9"/>
      <c r="AW92" s="31"/>
      <c r="AX92" s="10" t="str">
        <f aca="false">IF(C92="","",IF(AND(Y92="Approved",ISERROR(SEARCH("FAIL",AQ92))),"Y","N"))</f>
        <v/>
      </c>
      <c r="AY92" s="10" t="str">
        <f aca="false">IF(C92="","",C92&amp;"|"&amp;E92&amp;"|"&amp;F92&amp;"|"&amp;G92&amp;"|"&amp;D92&amp;"|"&amp;AX92)</f>
        <v/>
      </c>
    </row>
    <row r="93" customFormat="false" ht="15" hidden="false" customHeight="false" outlineLevel="0" collapsed="false">
      <c r="A93" s="10" t="str">
        <f aca="false">IF(C93="","","EW-"&amp;IFERROR(VLOOKUP(C93,Lists!$P$4:$Q$22,2,0),"??")&amp;"-D"&amp;TEXT(E93*1000,"0000")&amp;"-"&amp;IFERROR(VLOOKUP(F93,Lists!$S$4:$T$21,2,0),"??")&amp;"-"&amp;IFERROR(VLOOKUP(G93,Lists!$Y$4:$Z$21,2,0),"??")&amp;"-"&amp;IFERROR(VLOOKUP(D93,Lists!$V$4:$W$16,2,0),"??")&amp;"-"&amp;X93)</f>
        <v/>
      </c>
      <c r="B93" s="10" t="str">
        <f aca="false">IF(C93="","",D93&amp;" "&amp;C93&amp;", excavation "&amp;TEXT(E93,"0.0")&amp;" m, "&amp;F93&amp;", "&amp;G93&amp;", "&amp;J93)</f>
        <v/>
      </c>
      <c r="C93" s="9"/>
      <c r="D93" s="9"/>
      <c r="E93" s="43"/>
      <c r="F93" s="9"/>
      <c r="G93" s="9"/>
      <c r="H93" s="43"/>
      <c r="I93" s="40"/>
      <c r="J93" s="9"/>
      <c r="K93" s="9"/>
      <c r="L93" s="9"/>
      <c r="M93" s="43"/>
      <c r="N93" s="43"/>
      <c r="O93" s="9"/>
      <c r="P93" s="9"/>
      <c r="Q93" s="9"/>
      <c r="R93" s="9"/>
      <c r="S93" s="40"/>
      <c r="T93" s="40"/>
      <c r="U93" s="9"/>
      <c r="V93" s="9"/>
      <c r="W93" s="9"/>
      <c r="X93" s="9"/>
      <c r="Y93" s="9"/>
      <c r="Z93" s="9"/>
      <c r="AA93" s="9"/>
      <c r="AB93" s="9"/>
      <c r="AC93" s="10" t="str">
        <f aca="false">IF(A93="","",SG_Criteria!$B$6&amp;SG_Criteria!$B$9&amp;"\"&amp;A93&amp;"\")</f>
        <v/>
      </c>
      <c r="AD93" s="10" t="str">
        <f aca="false">IF(A93="","",A93&amp;"_CAD.dwg")</f>
        <v/>
      </c>
      <c r="AE93" s="10" t="str">
        <f aca="false">IF(A93="","",A93&amp;"_DWG.pdf")</f>
        <v/>
      </c>
      <c r="AF93" s="10" t="str">
        <f aca="false">IF(A93="","",IF(AB93="Y",A93&amp;"_STAAD.std","n/a"))</f>
        <v/>
      </c>
      <c r="AG93" s="10" t="str">
        <f aca="false">IF(A93="","",A93&amp;"_CALC.xlsx")</f>
        <v/>
      </c>
      <c r="AH93" s="10" t="str">
        <f aca="false">IF(A93="","",A93&amp;"_CALC.pdf")</f>
        <v/>
      </c>
      <c r="AI93" s="9"/>
      <c r="AJ93" s="9"/>
      <c r="AK93" s="41"/>
      <c r="AL93" s="41"/>
      <c r="AM93" s="41"/>
      <c r="AN93" s="41"/>
      <c r="AO93" s="41"/>
      <c r="AP93" s="38" t="str">
        <f aca="false">IF(OR(C93="",E93=""),"",IF(E93&lt;=IF(C93="Soldier Pile &amp; Timber Lagging",SG_Criteria!$B$34,SG_Criteria!$B$33),"No ERSS submission",IF(E93&lt;=SG_Criteria!$B$35,"QP(ST)",IF(E93&lt;=SG_Criteria!$B$36,"QP(ST) + AC","Geotechnical building works: QP(Geo) + AC"))))</f>
        <v/>
      </c>
      <c r="AQ93" s="38" t="str">
        <f aca="false">IF(C93="","",IF(LEN(IF(AND(U93&lt;&gt;"",IFERROR(VALUE(MID(U93,2,2)),0)&lt;SG_Criteria!$B$19),"FAIL: grade below C"&amp;SG_Criteria!$B$19&amp;". ","")&amp;IF(AND(LEFT(C93,3)="Con",N(H93)&lt;E93,G93="Kallang Formation (marine clay)"),"NOTE: CBP is not watertight below GWT in marine clay; consider secant / grouting. ","")&amp;IF(AND(C93="Steel Sheet Pile",D93="Permanent"),"NOTE: permanent sheet pile needs corrosion allowance. ","")&amp;IF(AND(F93="Cantilever (no support)",E93&gt;6),"NOTE: cantilever embedded wall &gt; 6 m, check deflection. ","")&amp;IF(AND(S93&lt;&gt;"",T93&lt;&gt;"",S93&gt;T93),"FAIL: deflection exceeds allowable. ",""))=0,"OK",IF(AND(U93&lt;&gt;"",IFERROR(VALUE(MID(U93,2,2)),0)&lt;SG_Criteria!$B$19),"FAIL: grade below C"&amp;SG_Criteria!$B$19&amp;". ","")&amp;IF(AND(LEFT(C93,3)="Con",N(H93)&lt;E93,G93="Kallang Formation (marine clay)"),"NOTE: CBP is not watertight below GWT in marine clay; consider secant / grouting. ","")&amp;IF(AND(C93="Steel Sheet Pile",D93="Permanent"),"NOTE: permanent sheet pile needs corrosion allowance. ","")&amp;IF(AND(F93="Cantilever (no support)",E93&gt;6),"NOTE: cantilever embedded wall &gt; 6 m, check deflection. ","")&amp;IF(AND(S93&lt;&gt;"",T93&lt;&gt;"",S93&gt;T93),"FAIL: deflection exceeds allowable. ","")))</f>
        <v/>
      </c>
      <c r="AR93" s="9"/>
      <c r="AS93" s="9"/>
      <c r="AT93" s="9"/>
      <c r="AU93" s="9"/>
      <c r="AV93" s="9"/>
      <c r="AW93" s="31"/>
      <c r="AX93" s="10" t="str">
        <f aca="false">IF(C93="","",IF(AND(Y93="Approved",ISERROR(SEARCH("FAIL",AQ93))),"Y","N"))</f>
        <v/>
      </c>
      <c r="AY93" s="10" t="str">
        <f aca="false">IF(C93="","",C93&amp;"|"&amp;E93&amp;"|"&amp;F93&amp;"|"&amp;G93&amp;"|"&amp;D93&amp;"|"&amp;AX93)</f>
        <v/>
      </c>
    </row>
    <row r="94" customFormat="false" ht="15" hidden="false" customHeight="false" outlineLevel="0" collapsed="false">
      <c r="A94" s="10" t="str">
        <f aca="false">IF(C94="","","EW-"&amp;IFERROR(VLOOKUP(C94,Lists!$P$4:$Q$22,2,0),"??")&amp;"-D"&amp;TEXT(E94*1000,"0000")&amp;"-"&amp;IFERROR(VLOOKUP(F94,Lists!$S$4:$T$21,2,0),"??")&amp;"-"&amp;IFERROR(VLOOKUP(G94,Lists!$Y$4:$Z$21,2,0),"??")&amp;"-"&amp;IFERROR(VLOOKUP(D94,Lists!$V$4:$W$16,2,0),"??")&amp;"-"&amp;X94)</f>
        <v/>
      </c>
      <c r="B94" s="10" t="str">
        <f aca="false">IF(C94="","",D94&amp;" "&amp;C94&amp;", excavation "&amp;TEXT(E94,"0.0")&amp;" m, "&amp;F94&amp;", "&amp;G94&amp;", "&amp;J94)</f>
        <v/>
      </c>
      <c r="C94" s="9"/>
      <c r="D94" s="9"/>
      <c r="E94" s="43"/>
      <c r="F94" s="9"/>
      <c r="G94" s="9"/>
      <c r="H94" s="43"/>
      <c r="I94" s="40"/>
      <c r="J94" s="9"/>
      <c r="K94" s="9"/>
      <c r="L94" s="9"/>
      <c r="M94" s="43"/>
      <c r="N94" s="43"/>
      <c r="O94" s="9"/>
      <c r="P94" s="9"/>
      <c r="Q94" s="9"/>
      <c r="R94" s="9"/>
      <c r="S94" s="40"/>
      <c r="T94" s="40"/>
      <c r="U94" s="9"/>
      <c r="V94" s="9"/>
      <c r="W94" s="9"/>
      <c r="X94" s="9"/>
      <c r="Y94" s="9"/>
      <c r="Z94" s="9"/>
      <c r="AA94" s="9"/>
      <c r="AB94" s="9"/>
      <c r="AC94" s="10" t="str">
        <f aca="false">IF(A94="","",SG_Criteria!$B$6&amp;SG_Criteria!$B$9&amp;"\"&amp;A94&amp;"\")</f>
        <v/>
      </c>
      <c r="AD94" s="10" t="str">
        <f aca="false">IF(A94="","",A94&amp;"_CAD.dwg")</f>
        <v/>
      </c>
      <c r="AE94" s="10" t="str">
        <f aca="false">IF(A94="","",A94&amp;"_DWG.pdf")</f>
        <v/>
      </c>
      <c r="AF94" s="10" t="str">
        <f aca="false">IF(A94="","",IF(AB94="Y",A94&amp;"_STAAD.std","n/a"))</f>
        <v/>
      </c>
      <c r="AG94" s="10" t="str">
        <f aca="false">IF(A94="","",A94&amp;"_CALC.xlsx")</f>
        <v/>
      </c>
      <c r="AH94" s="10" t="str">
        <f aca="false">IF(A94="","",A94&amp;"_CALC.pdf")</f>
        <v/>
      </c>
      <c r="AI94" s="9"/>
      <c r="AJ94" s="9"/>
      <c r="AK94" s="41"/>
      <c r="AL94" s="41"/>
      <c r="AM94" s="41"/>
      <c r="AN94" s="41"/>
      <c r="AO94" s="41"/>
      <c r="AP94" s="38" t="str">
        <f aca="false">IF(OR(C94="",E94=""),"",IF(E94&lt;=IF(C94="Soldier Pile &amp; Timber Lagging",SG_Criteria!$B$34,SG_Criteria!$B$33),"No ERSS submission",IF(E94&lt;=SG_Criteria!$B$35,"QP(ST)",IF(E94&lt;=SG_Criteria!$B$36,"QP(ST) + AC","Geotechnical building works: QP(Geo) + AC"))))</f>
        <v/>
      </c>
      <c r="AQ94" s="38" t="str">
        <f aca="false">IF(C94="","",IF(LEN(IF(AND(U94&lt;&gt;"",IFERROR(VALUE(MID(U94,2,2)),0)&lt;SG_Criteria!$B$19),"FAIL: grade below C"&amp;SG_Criteria!$B$19&amp;". ","")&amp;IF(AND(LEFT(C94,3)="Con",N(H94)&lt;E94,G94="Kallang Formation (marine clay)"),"NOTE: CBP is not watertight below GWT in marine clay; consider secant / grouting. ","")&amp;IF(AND(C94="Steel Sheet Pile",D94="Permanent"),"NOTE: permanent sheet pile needs corrosion allowance. ","")&amp;IF(AND(F94="Cantilever (no support)",E94&gt;6),"NOTE: cantilever embedded wall &gt; 6 m, check deflection. ","")&amp;IF(AND(S94&lt;&gt;"",T94&lt;&gt;"",S94&gt;T94),"FAIL: deflection exceeds allowable. ",""))=0,"OK",IF(AND(U94&lt;&gt;"",IFERROR(VALUE(MID(U94,2,2)),0)&lt;SG_Criteria!$B$19),"FAIL: grade below C"&amp;SG_Criteria!$B$19&amp;". ","")&amp;IF(AND(LEFT(C94,3)="Con",N(H94)&lt;E94,G94="Kallang Formation (marine clay)"),"NOTE: CBP is not watertight below GWT in marine clay; consider secant / grouting. ","")&amp;IF(AND(C94="Steel Sheet Pile",D94="Permanent"),"NOTE: permanent sheet pile needs corrosion allowance. ","")&amp;IF(AND(F94="Cantilever (no support)",E94&gt;6),"NOTE: cantilever embedded wall &gt; 6 m, check deflection. ","")&amp;IF(AND(S94&lt;&gt;"",T94&lt;&gt;"",S94&gt;T94),"FAIL: deflection exceeds allowable. ","")))</f>
        <v/>
      </c>
      <c r="AR94" s="9"/>
      <c r="AS94" s="9"/>
      <c r="AT94" s="9"/>
      <c r="AU94" s="9"/>
      <c r="AV94" s="9"/>
      <c r="AW94" s="31"/>
      <c r="AX94" s="10" t="str">
        <f aca="false">IF(C94="","",IF(AND(Y94="Approved",ISERROR(SEARCH("FAIL",AQ94))),"Y","N"))</f>
        <v/>
      </c>
      <c r="AY94" s="10" t="str">
        <f aca="false">IF(C94="","",C94&amp;"|"&amp;E94&amp;"|"&amp;F94&amp;"|"&amp;G94&amp;"|"&amp;D94&amp;"|"&amp;AX94)</f>
        <v/>
      </c>
    </row>
    <row r="95" customFormat="false" ht="15" hidden="false" customHeight="false" outlineLevel="0" collapsed="false">
      <c r="A95" s="10" t="str">
        <f aca="false">IF(C95="","","EW-"&amp;IFERROR(VLOOKUP(C95,Lists!$P$4:$Q$22,2,0),"??")&amp;"-D"&amp;TEXT(E95*1000,"0000")&amp;"-"&amp;IFERROR(VLOOKUP(F95,Lists!$S$4:$T$21,2,0),"??")&amp;"-"&amp;IFERROR(VLOOKUP(G95,Lists!$Y$4:$Z$21,2,0),"??")&amp;"-"&amp;IFERROR(VLOOKUP(D95,Lists!$V$4:$W$16,2,0),"??")&amp;"-"&amp;X95)</f>
        <v/>
      </c>
      <c r="B95" s="10" t="str">
        <f aca="false">IF(C95="","",D95&amp;" "&amp;C95&amp;", excavation "&amp;TEXT(E95,"0.0")&amp;" m, "&amp;F95&amp;", "&amp;G95&amp;", "&amp;J95)</f>
        <v/>
      </c>
      <c r="C95" s="9"/>
      <c r="D95" s="9"/>
      <c r="E95" s="43"/>
      <c r="F95" s="9"/>
      <c r="G95" s="9"/>
      <c r="H95" s="43"/>
      <c r="I95" s="40"/>
      <c r="J95" s="9"/>
      <c r="K95" s="9"/>
      <c r="L95" s="9"/>
      <c r="M95" s="43"/>
      <c r="N95" s="43"/>
      <c r="O95" s="9"/>
      <c r="P95" s="9"/>
      <c r="Q95" s="9"/>
      <c r="R95" s="9"/>
      <c r="S95" s="40"/>
      <c r="T95" s="40"/>
      <c r="U95" s="9"/>
      <c r="V95" s="9"/>
      <c r="W95" s="9"/>
      <c r="X95" s="9"/>
      <c r="Y95" s="9"/>
      <c r="Z95" s="9"/>
      <c r="AA95" s="9"/>
      <c r="AB95" s="9"/>
      <c r="AC95" s="10" t="str">
        <f aca="false">IF(A95="","",SG_Criteria!$B$6&amp;SG_Criteria!$B$9&amp;"\"&amp;A95&amp;"\")</f>
        <v/>
      </c>
      <c r="AD95" s="10" t="str">
        <f aca="false">IF(A95="","",A95&amp;"_CAD.dwg")</f>
        <v/>
      </c>
      <c r="AE95" s="10" t="str">
        <f aca="false">IF(A95="","",A95&amp;"_DWG.pdf")</f>
        <v/>
      </c>
      <c r="AF95" s="10" t="str">
        <f aca="false">IF(A95="","",IF(AB95="Y",A95&amp;"_STAAD.std","n/a"))</f>
        <v/>
      </c>
      <c r="AG95" s="10" t="str">
        <f aca="false">IF(A95="","",A95&amp;"_CALC.xlsx")</f>
        <v/>
      </c>
      <c r="AH95" s="10" t="str">
        <f aca="false">IF(A95="","",A95&amp;"_CALC.pdf")</f>
        <v/>
      </c>
      <c r="AI95" s="9"/>
      <c r="AJ95" s="9"/>
      <c r="AK95" s="41"/>
      <c r="AL95" s="41"/>
      <c r="AM95" s="41"/>
      <c r="AN95" s="41"/>
      <c r="AO95" s="41"/>
      <c r="AP95" s="38" t="str">
        <f aca="false">IF(OR(C95="",E95=""),"",IF(E95&lt;=IF(C95="Soldier Pile &amp; Timber Lagging",SG_Criteria!$B$34,SG_Criteria!$B$33),"No ERSS submission",IF(E95&lt;=SG_Criteria!$B$35,"QP(ST)",IF(E95&lt;=SG_Criteria!$B$36,"QP(ST) + AC","Geotechnical building works: QP(Geo) + AC"))))</f>
        <v/>
      </c>
      <c r="AQ95" s="38" t="str">
        <f aca="false">IF(C95="","",IF(LEN(IF(AND(U95&lt;&gt;"",IFERROR(VALUE(MID(U95,2,2)),0)&lt;SG_Criteria!$B$19),"FAIL: grade below C"&amp;SG_Criteria!$B$19&amp;". ","")&amp;IF(AND(LEFT(C95,3)="Con",N(H95)&lt;E95,G95="Kallang Formation (marine clay)"),"NOTE: CBP is not watertight below GWT in marine clay; consider secant / grouting. ","")&amp;IF(AND(C95="Steel Sheet Pile",D95="Permanent"),"NOTE: permanent sheet pile needs corrosion allowance. ","")&amp;IF(AND(F95="Cantilever (no support)",E95&gt;6),"NOTE: cantilever embedded wall &gt; 6 m, check deflection. ","")&amp;IF(AND(S95&lt;&gt;"",T95&lt;&gt;"",S95&gt;T95),"FAIL: deflection exceeds allowable. ",""))=0,"OK",IF(AND(U95&lt;&gt;"",IFERROR(VALUE(MID(U95,2,2)),0)&lt;SG_Criteria!$B$19),"FAIL: grade below C"&amp;SG_Criteria!$B$19&amp;". ","")&amp;IF(AND(LEFT(C95,3)="Con",N(H95)&lt;E95,G95="Kallang Formation (marine clay)"),"NOTE: CBP is not watertight below GWT in marine clay; consider secant / grouting. ","")&amp;IF(AND(C95="Steel Sheet Pile",D95="Permanent"),"NOTE: permanent sheet pile needs corrosion allowance. ","")&amp;IF(AND(F95="Cantilever (no support)",E95&gt;6),"NOTE: cantilever embedded wall &gt; 6 m, check deflection. ","")&amp;IF(AND(S95&lt;&gt;"",T95&lt;&gt;"",S95&gt;T95),"FAIL: deflection exceeds allowable. ","")))</f>
        <v/>
      </c>
      <c r="AR95" s="9"/>
      <c r="AS95" s="9"/>
      <c r="AT95" s="9"/>
      <c r="AU95" s="9"/>
      <c r="AV95" s="9"/>
      <c r="AW95" s="31"/>
      <c r="AX95" s="10" t="str">
        <f aca="false">IF(C95="","",IF(AND(Y95="Approved",ISERROR(SEARCH("FAIL",AQ95))),"Y","N"))</f>
        <v/>
      </c>
      <c r="AY95" s="10" t="str">
        <f aca="false">IF(C95="","",C95&amp;"|"&amp;E95&amp;"|"&amp;F95&amp;"|"&amp;G95&amp;"|"&amp;D95&amp;"|"&amp;AX95)</f>
        <v/>
      </c>
    </row>
    <row r="96" customFormat="false" ht="15" hidden="false" customHeight="false" outlineLevel="0" collapsed="false">
      <c r="A96" s="10" t="str">
        <f aca="false">IF(C96="","","EW-"&amp;IFERROR(VLOOKUP(C96,Lists!$P$4:$Q$22,2,0),"??")&amp;"-D"&amp;TEXT(E96*1000,"0000")&amp;"-"&amp;IFERROR(VLOOKUP(F96,Lists!$S$4:$T$21,2,0),"??")&amp;"-"&amp;IFERROR(VLOOKUP(G96,Lists!$Y$4:$Z$21,2,0),"??")&amp;"-"&amp;IFERROR(VLOOKUP(D96,Lists!$V$4:$W$16,2,0),"??")&amp;"-"&amp;X96)</f>
        <v/>
      </c>
      <c r="B96" s="10" t="str">
        <f aca="false">IF(C96="","",D96&amp;" "&amp;C96&amp;", excavation "&amp;TEXT(E96,"0.0")&amp;" m, "&amp;F96&amp;", "&amp;G96&amp;", "&amp;J96)</f>
        <v/>
      </c>
      <c r="C96" s="9"/>
      <c r="D96" s="9"/>
      <c r="E96" s="43"/>
      <c r="F96" s="9"/>
      <c r="G96" s="9"/>
      <c r="H96" s="43"/>
      <c r="I96" s="40"/>
      <c r="J96" s="9"/>
      <c r="K96" s="9"/>
      <c r="L96" s="9"/>
      <c r="M96" s="43"/>
      <c r="N96" s="43"/>
      <c r="O96" s="9"/>
      <c r="P96" s="9"/>
      <c r="Q96" s="9"/>
      <c r="R96" s="9"/>
      <c r="S96" s="40"/>
      <c r="T96" s="40"/>
      <c r="U96" s="9"/>
      <c r="V96" s="9"/>
      <c r="W96" s="9"/>
      <c r="X96" s="9"/>
      <c r="Y96" s="9"/>
      <c r="Z96" s="9"/>
      <c r="AA96" s="9"/>
      <c r="AB96" s="9"/>
      <c r="AC96" s="10" t="str">
        <f aca="false">IF(A96="","",SG_Criteria!$B$6&amp;SG_Criteria!$B$9&amp;"\"&amp;A96&amp;"\")</f>
        <v/>
      </c>
      <c r="AD96" s="10" t="str">
        <f aca="false">IF(A96="","",A96&amp;"_CAD.dwg")</f>
        <v/>
      </c>
      <c r="AE96" s="10" t="str">
        <f aca="false">IF(A96="","",A96&amp;"_DWG.pdf")</f>
        <v/>
      </c>
      <c r="AF96" s="10" t="str">
        <f aca="false">IF(A96="","",IF(AB96="Y",A96&amp;"_STAAD.std","n/a"))</f>
        <v/>
      </c>
      <c r="AG96" s="10" t="str">
        <f aca="false">IF(A96="","",A96&amp;"_CALC.xlsx")</f>
        <v/>
      </c>
      <c r="AH96" s="10" t="str">
        <f aca="false">IF(A96="","",A96&amp;"_CALC.pdf")</f>
        <v/>
      </c>
      <c r="AI96" s="9"/>
      <c r="AJ96" s="9"/>
      <c r="AK96" s="41"/>
      <c r="AL96" s="41"/>
      <c r="AM96" s="41"/>
      <c r="AN96" s="41"/>
      <c r="AO96" s="41"/>
      <c r="AP96" s="38" t="str">
        <f aca="false">IF(OR(C96="",E96=""),"",IF(E96&lt;=IF(C96="Soldier Pile &amp; Timber Lagging",SG_Criteria!$B$34,SG_Criteria!$B$33),"No ERSS submission",IF(E96&lt;=SG_Criteria!$B$35,"QP(ST)",IF(E96&lt;=SG_Criteria!$B$36,"QP(ST) + AC","Geotechnical building works: QP(Geo) + AC"))))</f>
        <v/>
      </c>
      <c r="AQ96" s="38" t="str">
        <f aca="false">IF(C96="","",IF(LEN(IF(AND(U96&lt;&gt;"",IFERROR(VALUE(MID(U96,2,2)),0)&lt;SG_Criteria!$B$19),"FAIL: grade below C"&amp;SG_Criteria!$B$19&amp;". ","")&amp;IF(AND(LEFT(C96,3)="Con",N(H96)&lt;E96,G96="Kallang Formation (marine clay)"),"NOTE: CBP is not watertight below GWT in marine clay; consider secant / grouting. ","")&amp;IF(AND(C96="Steel Sheet Pile",D96="Permanent"),"NOTE: permanent sheet pile needs corrosion allowance. ","")&amp;IF(AND(F96="Cantilever (no support)",E96&gt;6),"NOTE: cantilever embedded wall &gt; 6 m, check deflection. ","")&amp;IF(AND(S96&lt;&gt;"",T96&lt;&gt;"",S96&gt;T96),"FAIL: deflection exceeds allowable. ",""))=0,"OK",IF(AND(U96&lt;&gt;"",IFERROR(VALUE(MID(U96,2,2)),0)&lt;SG_Criteria!$B$19),"FAIL: grade below C"&amp;SG_Criteria!$B$19&amp;". ","")&amp;IF(AND(LEFT(C96,3)="Con",N(H96)&lt;E96,G96="Kallang Formation (marine clay)"),"NOTE: CBP is not watertight below GWT in marine clay; consider secant / grouting. ","")&amp;IF(AND(C96="Steel Sheet Pile",D96="Permanent"),"NOTE: permanent sheet pile needs corrosion allowance. ","")&amp;IF(AND(F96="Cantilever (no support)",E96&gt;6),"NOTE: cantilever embedded wall &gt; 6 m, check deflection. ","")&amp;IF(AND(S96&lt;&gt;"",T96&lt;&gt;"",S96&gt;T96),"FAIL: deflection exceeds allowable. ","")))</f>
        <v/>
      </c>
      <c r="AR96" s="9"/>
      <c r="AS96" s="9"/>
      <c r="AT96" s="9"/>
      <c r="AU96" s="9"/>
      <c r="AV96" s="9"/>
      <c r="AW96" s="31"/>
      <c r="AX96" s="10" t="str">
        <f aca="false">IF(C96="","",IF(AND(Y96="Approved",ISERROR(SEARCH("FAIL",AQ96))),"Y","N"))</f>
        <v/>
      </c>
      <c r="AY96" s="10" t="str">
        <f aca="false">IF(C96="","",C96&amp;"|"&amp;E96&amp;"|"&amp;F96&amp;"|"&amp;G96&amp;"|"&amp;D96&amp;"|"&amp;AX96)</f>
        <v/>
      </c>
    </row>
    <row r="97" customFormat="false" ht="15" hidden="false" customHeight="false" outlineLevel="0" collapsed="false">
      <c r="A97" s="10" t="str">
        <f aca="false">IF(C97="","","EW-"&amp;IFERROR(VLOOKUP(C97,Lists!$P$4:$Q$22,2,0),"??")&amp;"-D"&amp;TEXT(E97*1000,"0000")&amp;"-"&amp;IFERROR(VLOOKUP(F97,Lists!$S$4:$T$21,2,0),"??")&amp;"-"&amp;IFERROR(VLOOKUP(G97,Lists!$Y$4:$Z$21,2,0),"??")&amp;"-"&amp;IFERROR(VLOOKUP(D97,Lists!$V$4:$W$16,2,0),"??")&amp;"-"&amp;X97)</f>
        <v/>
      </c>
      <c r="B97" s="10" t="str">
        <f aca="false">IF(C97="","",D97&amp;" "&amp;C97&amp;", excavation "&amp;TEXT(E97,"0.0")&amp;" m, "&amp;F97&amp;", "&amp;G97&amp;", "&amp;J97)</f>
        <v/>
      </c>
      <c r="C97" s="9"/>
      <c r="D97" s="9"/>
      <c r="E97" s="43"/>
      <c r="F97" s="9"/>
      <c r="G97" s="9"/>
      <c r="H97" s="43"/>
      <c r="I97" s="40"/>
      <c r="J97" s="9"/>
      <c r="K97" s="9"/>
      <c r="L97" s="9"/>
      <c r="M97" s="43"/>
      <c r="N97" s="43"/>
      <c r="O97" s="9"/>
      <c r="P97" s="9"/>
      <c r="Q97" s="9"/>
      <c r="R97" s="9"/>
      <c r="S97" s="40"/>
      <c r="T97" s="40"/>
      <c r="U97" s="9"/>
      <c r="V97" s="9"/>
      <c r="W97" s="9"/>
      <c r="X97" s="9"/>
      <c r="Y97" s="9"/>
      <c r="Z97" s="9"/>
      <c r="AA97" s="9"/>
      <c r="AB97" s="9"/>
      <c r="AC97" s="10" t="str">
        <f aca="false">IF(A97="","",SG_Criteria!$B$6&amp;SG_Criteria!$B$9&amp;"\"&amp;A97&amp;"\")</f>
        <v/>
      </c>
      <c r="AD97" s="10" t="str">
        <f aca="false">IF(A97="","",A97&amp;"_CAD.dwg")</f>
        <v/>
      </c>
      <c r="AE97" s="10" t="str">
        <f aca="false">IF(A97="","",A97&amp;"_DWG.pdf")</f>
        <v/>
      </c>
      <c r="AF97" s="10" t="str">
        <f aca="false">IF(A97="","",IF(AB97="Y",A97&amp;"_STAAD.std","n/a"))</f>
        <v/>
      </c>
      <c r="AG97" s="10" t="str">
        <f aca="false">IF(A97="","",A97&amp;"_CALC.xlsx")</f>
        <v/>
      </c>
      <c r="AH97" s="10" t="str">
        <f aca="false">IF(A97="","",A97&amp;"_CALC.pdf")</f>
        <v/>
      </c>
      <c r="AI97" s="9"/>
      <c r="AJ97" s="9"/>
      <c r="AK97" s="41"/>
      <c r="AL97" s="41"/>
      <c r="AM97" s="41"/>
      <c r="AN97" s="41"/>
      <c r="AO97" s="41"/>
      <c r="AP97" s="38" t="str">
        <f aca="false">IF(OR(C97="",E97=""),"",IF(E97&lt;=IF(C97="Soldier Pile &amp; Timber Lagging",SG_Criteria!$B$34,SG_Criteria!$B$33),"No ERSS submission",IF(E97&lt;=SG_Criteria!$B$35,"QP(ST)",IF(E97&lt;=SG_Criteria!$B$36,"QP(ST) + AC","Geotechnical building works: QP(Geo) + AC"))))</f>
        <v/>
      </c>
      <c r="AQ97" s="38" t="str">
        <f aca="false">IF(C97="","",IF(LEN(IF(AND(U97&lt;&gt;"",IFERROR(VALUE(MID(U97,2,2)),0)&lt;SG_Criteria!$B$19),"FAIL: grade below C"&amp;SG_Criteria!$B$19&amp;". ","")&amp;IF(AND(LEFT(C97,3)="Con",N(H97)&lt;E97,G97="Kallang Formation (marine clay)"),"NOTE: CBP is not watertight below GWT in marine clay; consider secant / grouting. ","")&amp;IF(AND(C97="Steel Sheet Pile",D97="Permanent"),"NOTE: permanent sheet pile needs corrosion allowance. ","")&amp;IF(AND(F97="Cantilever (no support)",E97&gt;6),"NOTE: cantilever embedded wall &gt; 6 m, check deflection. ","")&amp;IF(AND(S97&lt;&gt;"",T97&lt;&gt;"",S97&gt;T97),"FAIL: deflection exceeds allowable. ",""))=0,"OK",IF(AND(U97&lt;&gt;"",IFERROR(VALUE(MID(U97,2,2)),0)&lt;SG_Criteria!$B$19),"FAIL: grade below C"&amp;SG_Criteria!$B$19&amp;". ","")&amp;IF(AND(LEFT(C97,3)="Con",N(H97)&lt;E97,G97="Kallang Formation (marine clay)"),"NOTE: CBP is not watertight below GWT in marine clay; consider secant / grouting. ","")&amp;IF(AND(C97="Steel Sheet Pile",D97="Permanent"),"NOTE: permanent sheet pile needs corrosion allowance. ","")&amp;IF(AND(F97="Cantilever (no support)",E97&gt;6),"NOTE: cantilever embedded wall &gt; 6 m, check deflection. ","")&amp;IF(AND(S97&lt;&gt;"",T97&lt;&gt;"",S97&gt;T97),"FAIL: deflection exceeds allowable. ","")))</f>
        <v/>
      </c>
      <c r="AR97" s="9"/>
      <c r="AS97" s="9"/>
      <c r="AT97" s="9"/>
      <c r="AU97" s="9"/>
      <c r="AV97" s="9"/>
      <c r="AW97" s="31"/>
      <c r="AX97" s="10" t="str">
        <f aca="false">IF(C97="","",IF(AND(Y97="Approved",ISERROR(SEARCH("FAIL",AQ97))),"Y","N"))</f>
        <v/>
      </c>
      <c r="AY97" s="10" t="str">
        <f aca="false">IF(C97="","",C97&amp;"|"&amp;E97&amp;"|"&amp;F97&amp;"|"&amp;G97&amp;"|"&amp;D97&amp;"|"&amp;AX97)</f>
        <v/>
      </c>
    </row>
    <row r="98" customFormat="false" ht="15" hidden="false" customHeight="false" outlineLevel="0" collapsed="false">
      <c r="A98" s="10" t="str">
        <f aca="false">IF(C98="","","EW-"&amp;IFERROR(VLOOKUP(C98,Lists!$P$4:$Q$22,2,0),"??")&amp;"-D"&amp;TEXT(E98*1000,"0000")&amp;"-"&amp;IFERROR(VLOOKUP(F98,Lists!$S$4:$T$21,2,0),"??")&amp;"-"&amp;IFERROR(VLOOKUP(G98,Lists!$Y$4:$Z$21,2,0),"??")&amp;"-"&amp;IFERROR(VLOOKUP(D98,Lists!$V$4:$W$16,2,0),"??")&amp;"-"&amp;X98)</f>
        <v/>
      </c>
      <c r="B98" s="10" t="str">
        <f aca="false">IF(C98="","",D98&amp;" "&amp;C98&amp;", excavation "&amp;TEXT(E98,"0.0")&amp;" m, "&amp;F98&amp;", "&amp;G98&amp;", "&amp;J98)</f>
        <v/>
      </c>
      <c r="C98" s="9"/>
      <c r="D98" s="9"/>
      <c r="E98" s="43"/>
      <c r="F98" s="9"/>
      <c r="G98" s="9"/>
      <c r="H98" s="43"/>
      <c r="I98" s="40"/>
      <c r="J98" s="9"/>
      <c r="K98" s="9"/>
      <c r="L98" s="9"/>
      <c r="M98" s="43"/>
      <c r="N98" s="43"/>
      <c r="O98" s="9"/>
      <c r="P98" s="9"/>
      <c r="Q98" s="9"/>
      <c r="R98" s="9"/>
      <c r="S98" s="40"/>
      <c r="T98" s="40"/>
      <c r="U98" s="9"/>
      <c r="V98" s="9"/>
      <c r="W98" s="9"/>
      <c r="X98" s="9"/>
      <c r="Y98" s="9"/>
      <c r="Z98" s="9"/>
      <c r="AA98" s="9"/>
      <c r="AB98" s="9"/>
      <c r="AC98" s="10" t="str">
        <f aca="false">IF(A98="","",SG_Criteria!$B$6&amp;SG_Criteria!$B$9&amp;"\"&amp;A98&amp;"\")</f>
        <v/>
      </c>
      <c r="AD98" s="10" t="str">
        <f aca="false">IF(A98="","",A98&amp;"_CAD.dwg")</f>
        <v/>
      </c>
      <c r="AE98" s="10" t="str">
        <f aca="false">IF(A98="","",A98&amp;"_DWG.pdf")</f>
        <v/>
      </c>
      <c r="AF98" s="10" t="str">
        <f aca="false">IF(A98="","",IF(AB98="Y",A98&amp;"_STAAD.std","n/a"))</f>
        <v/>
      </c>
      <c r="AG98" s="10" t="str">
        <f aca="false">IF(A98="","",A98&amp;"_CALC.xlsx")</f>
        <v/>
      </c>
      <c r="AH98" s="10" t="str">
        <f aca="false">IF(A98="","",A98&amp;"_CALC.pdf")</f>
        <v/>
      </c>
      <c r="AI98" s="9"/>
      <c r="AJ98" s="9"/>
      <c r="AK98" s="41"/>
      <c r="AL98" s="41"/>
      <c r="AM98" s="41"/>
      <c r="AN98" s="41"/>
      <c r="AO98" s="41"/>
      <c r="AP98" s="38" t="str">
        <f aca="false">IF(OR(C98="",E98=""),"",IF(E98&lt;=IF(C98="Soldier Pile &amp; Timber Lagging",SG_Criteria!$B$34,SG_Criteria!$B$33),"No ERSS submission",IF(E98&lt;=SG_Criteria!$B$35,"QP(ST)",IF(E98&lt;=SG_Criteria!$B$36,"QP(ST) + AC","Geotechnical building works: QP(Geo) + AC"))))</f>
        <v/>
      </c>
      <c r="AQ98" s="38" t="str">
        <f aca="false">IF(C98="","",IF(LEN(IF(AND(U98&lt;&gt;"",IFERROR(VALUE(MID(U98,2,2)),0)&lt;SG_Criteria!$B$19),"FAIL: grade below C"&amp;SG_Criteria!$B$19&amp;". ","")&amp;IF(AND(LEFT(C98,3)="Con",N(H98)&lt;E98,G98="Kallang Formation (marine clay)"),"NOTE: CBP is not watertight below GWT in marine clay; consider secant / grouting. ","")&amp;IF(AND(C98="Steel Sheet Pile",D98="Permanent"),"NOTE: permanent sheet pile needs corrosion allowance. ","")&amp;IF(AND(F98="Cantilever (no support)",E98&gt;6),"NOTE: cantilever embedded wall &gt; 6 m, check deflection. ","")&amp;IF(AND(S98&lt;&gt;"",T98&lt;&gt;"",S98&gt;T98),"FAIL: deflection exceeds allowable. ",""))=0,"OK",IF(AND(U98&lt;&gt;"",IFERROR(VALUE(MID(U98,2,2)),0)&lt;SG_Criteria!$B$19),"FAIL: grade below C"&amp;SG_Criteria!$B$19&amp;". ","")&amp;IF(AND(LEFT(C98,3)="Con",N(H98)&lt;E98,G98="Kallang Formation (marine clay)"),"NOTE: CBP is not watertight below GWT in marine clay; consider secant / grouting. ","")&amp;IF(AND(C98="Steel Sheet Pile",D98="Permanent"),"NOTE: permanent sheet pile needs corrosion allowance. ","")&amp;IF(AND(F98="Cantilever (no support)",E98&gt;6),"NOTE: cantilever embedded wall &gt; 6 m, check deflection. ","")&amp;IF(AND(S98&lt;&gt;"",T98&lt;&gt;"",S98&gt;T98),"FAIL: deflection exceeds allowable. ","")))</f>
        <v/>
      </c>
      <c r="AR98" s="9"/>
      <c r="AS98" s="9"/>
      <c r="AT98" s="9"/>
      <c r="AU98" s="9"/>
      <c r="AV98" s="9"/>
      <c r="AW98" s="31"/>
      <c r="AX98" s="10" t="str">
        <f aca="false">IF(C98="","",IF(AND(Y98="Approved",ISERROR(SEARCH("FAIL",AQ98))),"Y","N"))</f>
        <v/>
      </c>
      <c r="AY98" s="10" t="str">
        <f aca="false">IF(C98="","",C98&amp;"|"&amp;E98&amp;"|"&amp;F98&amp;"|"&amp;G98&amp;"|"&amp;D98&amp;"|"&amp;AX98)</f>
        <v/>
      </c>
    </row>
    <row r="99" customFormat="false" ht="15" hidden="false" customHeight="false" outlineLevel="0" collapsed="false">
      <c r="A99" s="10" t="str">
        <f aca="false">IF(C99="","","EW-"&amp;IFERROR(VLOOKUP(C99,Lists!$P$4:$Q$22,2,0),"??")&amp;"-D"&amp;TEXT(E99*1000,"0000")&amp;"-"&amp;IFERROR(VLOOKUP(F99,Lists!$S$4:$T$21,2,0),"??")&amp;"-"&amp;IFERROR(VLOOKUP(G99,Lists!$Y$4:$Z$21,2,0),"??")&amp;"-"&amp;IFERROR(VLOOKUP(D99,Lists!$V$4:$W$16,2,0),"??")&amp;"-"&amp;X99)</f>
        <v/>
      </c>
      <c r="B99" s="10" t="str">
        <f aca="false">IF(C99="","",D99&amp;" "&amp;C99&amp;", excavation "&amp;TEXT(E99,"0.0")&amp;" m, "&amp;F99&amp;", "&amp;G99&amp;", "&amp;J99)</f>
        <v/>
      </c>
      <c r="C99" s="9"/>
      <c r="D99" s="9"/>
      <c r="E99" s="43"/>
      <c r="F99" s="9"/>
      <c r="G99" s="9"/>
      <c r="H99" s="43"/>
      <c r="I99" s="40"/>
      <c r="J99" s="9"/>
      <c r="K99" s="9"/>
      <c r="L99" s="9"/>
      <c r="M99" s="43"/>
      <c r="N99" s="43"/>
      <c r="O99" s="9"/>
      <c r="P99" s="9"/>
      <c r="Q99" s="9"/>
      <c r="R99" s="9"/>
      <c r="S99" s="40"/>
      <c r="T99" s="40"/>
      <c r="U99" s="9"/>
      <c r="V99" s="9"/>
      <c r="W99" s="9"/>
      <c r="X99" s="9"/>
      <c r="Y99" s="9"/>
      <c r="Z99" s="9"/>
      <c r="AA99" s="9"/>
      <c r="AB99" s="9"/>
      <c r="AC99" s="10" t="str">
        <f aca="false">IF(A99="","",SG_Criteria!$B$6&amp;SG_Criteria!$B$9&amp;"\"&amp;A99&amp;"\")</f>
        <v/>
      </c>
      <c r="AD99" s="10" t="str">
        <f aca="false">IF(A99="","",A99&amp;"_CAD.dwg")</f>
        <v/>
      </c>
      <c r="AE99" s="10" t="str">
        <f aca="false">IF(A99="","",A99&amp;"_DWG.pdf")</f>
        <v/>
      </c>
      <c r="AF99" s="10" t="str">
        <f aca="false">IF(A99="","",IF(AB99="Y",A99&amp;"_STAAD.std","n/a"))</f>
        <v/>
      </c>
      <c r="AG99" s="10" t="str">
        <f aca="false">IF(A99="","",A99&amp;"_CALC.xlsx")</f>
        <v/>
      </c>
      <c r="AH99" s="10" t="str">
        <f aca="false">IF(A99="","",A99&amp;"_CALC.pdf")</f>
        <v/>
      </c>
      <c r="AI99" s="9"/>
      <c r="AJ99" s="9"/>
      <c r="AK99" s="41"/>
      <c r="AL99" s="41"/>
      <c r="AM99" s="41"/>
      <c r="AN99" s="41"/>
      <c r="AO99" s="41"/>
      <c r="AP99" s="38" t="str">
        <f aca="false">IF(OR(C99="",E99=""),"",IF(E99&lt;=IF(C99="Soldier Pile &amp; Timber Lagging",SG_Criteria!$B$34,SG_Criteria!$B$33),"No ERSS submission",IF(E99&lt;=SG_Criteria!$B$35,"QP(ST)",IF(E99&lt;=SG_Criteria!$B$36,"QP(ST) + AC","Geotechnical building works: QP(Geo) + AC"))))</f>
        <v/>
      </c>
      <c r="AQ99" s="38" t="str">
        <f aca="false">IF(C99="","",IF(LEN(IF(AND(U99&lt;&gt;"",IFERROR(VALUE(MID(U99,2,2)),0)&lt;SG_Criteria!$B$19),"FAIL: grade below C"&amp;SG_Criteria!$B$19&amp;". ","")&amp;IF(AND(LEFT(C99,3)="Con",N(H99)&lt;E99,G99="Kallang Formation (marine clay)"),"NOTE: CBP is not watertight below GWT in marine clay; consider secant / grouting. ","")&amp;IF(AND(C99="Steel Sheet Pile",D99="Permanent"),"NOTE: permanent sheet pile needs corrosion allowance. ","")&amp;IF(AND(F99="Cantilever (no support)",E99&gt;6),"NOTE: cantilever embedded wall &gt; 6 m, check deflection. ","")&amp;IF(AND(S99&lt;&gt;"",T99&lt;&gt;"",S99&gt;T99),"FAIL: deflection exceeds allowable. ",""))=0,"OK",IF(AND(U99&lt;&gt;"",IFERROR(VALUE(MID(U99,2,2)),0)&lt;SG_Criteria!$B$19),"FAIL: grade below C"&amp;SG_Criteria!$B$19&amp;". ","")&amp;IF(AND(LEFT(C99,3)="Con",N(H99)&lt;E99,G99="Kallang Formation (marine clay)"),"NOTE: CBP is not watertight below GWT in marine clay; consider secant / grouting. ","")&amp;IF(AND(C99="Steel Sheet Pile",D99="Permanent"),"NOTE: permanent sheet pile needs corrosion allowance. ","")&amp;IF(AND(F99="Cantilever (no support)",E99&gt;6),"NOTE: cantilever embedded wall &gt; 6 m, check deflection. ","")&amp;IF(AND(S99&lt;&gt;"",T99&lt;&gt;"",S99&gt;T99),"FAIL: deflection exceeds allowable. ","")))</f>
        <v/>
      </c>
      <c r="AR99" s="9"/>
      <c r="AS99" s="9"/>
      <c r="AT99" s="9"/>
      <c r="AU99" s="9"/>
      <c r="AV99" s="9"/>
      <c r="AW99" s="31"/>
      <c r="AX99" s="10" t="str">
        <f aca="false">IF(C99="","",IF(AND(Y99="Approved",ISERROR(SEARCH("FAIL",AQ99))),"Y","N"))</f>
        <v/>
      </c>
      <c r="AY99" s="10" t="str">
        <f aca="false">IF(C99="","",C99&amp;"|"&amp;E99&amp;"|"&amp;F99&amp;"|"&amp;G99&amp;"|"&amp;D99&amp;"|"&amp;AX99)</f>
        <v/>
      </c>
    </row>
    <row r="100" customFormat="false" ht="15" hidden="false" customHeight="false" outlineLevel="0" collapsed="false">
      <c r="A100" s="10" t="str">
        <f aca="false">IF(C100="","","EW-"&amp;IFERROR(VLOOKUP(C100,Lists!$P$4:$Q$22,2,0),"??")&amp;"-D"&amp;TEXT(E100*1000,"0000")&amp;"-"&amp;IFERROR(VLOOKUP(F100,Lists!$S$4:$T$21,2,0),"??")&amp;"-"&amp;IFERROR(VLOOKUP(G100,Lists!$Y$4:$Z$21,2,0),"??")&amp;"-"&amp;IFERROR(VLOOKUP(D100,Lists!$V$4:$W$16,2,0),"??")&amp;"-"&amp;X100)</f>
        <v/>
      </c>
      <c r="B100" s="10" t="str">
        <f aca="false">IF(C100="","",D100&amp;" "&amp;C100&amp;", excavation "&amp;TEXT(E100,"0.0")&amp;" m, "&amp;F100&amp;", "&amp;G100&amp;", "&amp;J100)</f>
        <v/>
      </c>
      <c r="C100" s="9"/>
      <c r="D100" s="9"/>
      <c r="E100" s="43"/>
      <c r="F100" s="9"/>
      <c r="G100" s="9"/>
      <c r="H100" s="43"/>
      <c r="I100" s="40"/>
      <c r="J100" s="9"/>
      <c r="K100" s="9"/>
      <c r="L100" s="9"/>
      <c r="M100" s="43"/>
      <c r="N100" s="43"/>
      <c r="O100" s="9"/>
      <c r="P100" s="9"/>
      <c r="Q100" s="9"/>
      <c r="R100" s="9"/>
      <c r="S100" s="40"/>
      <c r="T100" s="40"/>
      <c r="U100" s="9"/>
      <c r="V100" s="9"/>
      <c r="W100" s="9"/>
      <c r="X100" s="9"/>
      <c r="Y100" s="9"/>
      <c r="Z100" s="9"/>
      <c r="AA100" s="9"/>
      <c r="AB100" s="9"/>
      <c r="AC100" s="10" t="str">
        <f aca="false">IF(A100="","",SG_Criteria!$B$6&amp;SG_Criteria!$B$9&amp;"\"&amp;A100&amp;"\")</f>
        <v/>
      </c>
      <c r="AD100" s="10" t="str">
        <f aca="false">IF(A100="","",A100&amp;"_CAD.dwg")</f>
        <v/>
      </c>
      <c r="AE100" s="10" t="str">
        <f aca="false">IF(A100="","",A100&amp;"_DWG.pdf")</f>
        <v/>
      </c>
      <c r="AF100" s="10" t="str">
        <f aca="false">IF(A100="","",IF(AB100="Y",A100&amp;"_STAAD.std","n/a"))</f>
        <v/>
      </c>
      <c r="AG100" s="10" t="str">
        <f aca="false">IF(A100="","",A100&amp;"_CALC.xlsx")</f>
        <v/>
      </c>
      <c r="AH100" s="10" t="str">
        <f aca="false">IF(A100="","",A100&amp;"_CALC.pdf")</f>
        <v/>
      </c>
      <c r="AI100" s="9"/>
      <c r="AJ100" s="9"/>
      <c r="AK100" s="41"/>
      <c r="AL100" s="41"/>
      <c r="AM100" s="41"/>
      <c r="AN100" s="41"/>
      <c r="AO100" s="41"/>
      <c r="AP100" s="38" t="str">
        <f aca="false">IF(OR(C100="",E100=""),"",IF(E100&lt;=IF(C100="Soldier Pile &amp; Timber Lagging",SG_Criteria!$B$34,SG_Criteria!$B$33),"No ERSS submission",IF(E100&lt;=SG_Criteria!$B$35,"QP(ST)",IF(E100&lt;=SG_Criteria!$B$36,"QP(ST) + AC","Geotechnical building works: QP(Geo) + AC"))))</f>
        <v/>
      </c>
      <c r="AQ100" s="38" t="str">
        <f aca="false">IF(C100="","",IF(LEN(IF(AND(U100&lt;&gt;"",IFERROR(VALUE(MID(U100,2,2)),0)&lt;SG_Criteria!$B$19),"FAIL: grade below C"&amp;SG_Criteria!$B$19&amp;". ","")&amp;IF(AND(LEFT(C100,3)="Con",N(H100)&lt;E100,G100="Kallang Formation (marine clay)"),"NOTE: CBP is not watertight below GWT in marine clay; consider secant / grouting. ","")&amp;IF(AND(C100="Steel Sheet Pile",D100="Permanent"),"NOTE: permanent sheet pile needs corrosion allowance. ","")&amp;IF(AND(F100="Cantilever (no support)",E100&gt;6),"NOTE: cantilever embedded wall &gt; 6 m, check deflection. ","")&amp;IF(AND(S100&lt;&gt;"",T100&lt;&gt;"",S100&gt;T100),"FAIL: deflection exceeds allowable. ",""))=0,"OK",IF(AND(U100&lt;&gt;"",IFERROR(VALUE(MID(U100,2,2)),0)&lt;SG_Criteria!$B$19),"FAIL: grade below C"&amp;SG_Criteria!$B$19&amp;". ","")&amp;IF(AND(LEFT(C100,3)="Con",N(H100)&lt;E100,G100="Kallang Formation (marine clay)"),"NOTE: CBP is not watertight below GWT in marine clay; consider secant / grouting. ","")&amp;IF(AND(C100="Steel Sheet Pile",D100="Permanent"),"NOTE: permanent sheet pile needs corrosion allowance. ","")&amp;IF(AND(F100="Cantilever (no support)",E100&gt;6),"NOTE: cantilever embedded wall &gt; 6 m, check deflection. ","")&amp;IF(AND(S100&lt;&gt;"",T100&lt;&gt;"",S100&gt;T100),"FAIL: deflection exceeds allowable. ","")))</f>
        <v/>
      </c>
      <c r="AR100" s="9"/>
      <c r="AS100" s="9"/>
      <c r="AT100" s="9"/>
      <c r="AU100" s="9"/>
      <c r="AV100" s="9"/>
      <c r="AW100" s="31"/>
      <c r="AX100" s="10" t="str">
        <f aca="false">IF(C100="","",IF(AND(Y100="Approved",ISERROR(SEARCH("FAIL",AQ100))),"Y","N"))</f>
        <v/>
      </c>
      <c r="AY100" s="10" t="str">
        <f aca="false">IF(C100="","",C100&amp;"|"&amp;E100&amp;"|"&amp;F100&amp;"|"&amp;G100&amp;"|"&amp;D100&amp;"|"&amp;AX100)</f>
        <v/>
      </c>
    </row>
    <row r="101" customFormat="false" ht="15" hidden="false" customHeight="false" outlineLevel="0" collapsed="false">
      <c r="A101" s="10" t="str">
        <f aca="false">IF(C101="","","EW-"&amp;IFERROR(VLOOKUP(C101,Lists!$P$4:$Q$22,2,0),"??")&amp;"-D"&amp;TEXT(E101*1000,"0000")&amp;"-"&amp;IFERROR(VLOOKUP(F101,Lists!$S$4:$T$21,2,0),"??")&amp;"-"&amp;IFERROR(VLOOKUP(G101,Lists!$Y$4:$Z$21,2,0),"??")&amp;"-"&amp;IFERROR(VLOOKUP(D101,Lists!$V$4:$W$16,2,0),"??")&amp;"-"&amp;X101)</f>
        <v/>
      </c>
      <c r="B101" s="10" t="str">
        <f aca="false">IF(C101="","",D101&amp;" "&amp;C101&amp;", excavation "&amp;TEXT(E101,"0.0")&amp;" m, "&amp;F101&amp;", "&amp;G101&amp;", "&amp;J101)</f>
        <v/>
      </c>
      <c r="C101" s="9"/>
      <c r="D101" s="9"/>
      <c r="E101" s="43"/>
      <c r="F101" s="9"/>
      <c r="G101" s="9"/>
      <c r="H101" s="43"/>
      <c r="I101" s="40"/>
      <c r="J101" s="9"/>
      <c r="K101" s="9"/>
      <c r="L101" s="9"/>
      <c r="M101" s="43"/>
      <c r="N101" s="43"/>
      <c r="O101" s="9"/>
      <c r="P101" s="9"/>
      <c r="Q101" s="9"/>
      <c r="R101" s="9"/>
      <c r="S101" s="40"/>
      <c r="T101" s="40"/>
      <c r="U101" s="9"/>
      <c r="V101" s="9"/>
      <c r="W101" s="9"/>
      <c r="X101" s="9"/>
      <c r="Y101" s="9"/>
      <c r="Z101" s="9"/>
      <c r="AA101" s="9"/>
      <c r="AB101" s="9"/>
      <c r="AC101" s="10" t="str">
        <f aca="false">IF(A101="","",SG_Criteria!$B$6&amp;SG_Criteria!$B$9&amp;"\"&amp;A101&amp;"\")</f>
        <v/>
      </c>
      <c r="AD101" s="10" t="str">
        <f aca="false">IF(A101="","",A101&amp;"_CAD.dwg")</f>
        <v/>
      </c>
      <c r="AE101" s="10" t="str">
        <f aca="false">IF(A101="","",A101&amp;"_DWG.pdf")</f>
        <v/>
      </c>
      <c r="AF101" s="10" t="str">
        <f aca="false">IF(A101="","",IF(AB101="Y",A101&amp;"_STAAD.std","n/a"))</f>
        <v/>
      </c>
      <c r="AG101" s="10" t="str">
        <f aca="false">IF(A101="","",A101&amp;"_CALC.xlsx")</f>
        <v/>
      </c>
      <c r="AH101" s="10" t="str">
        <f aca="false">IF(A101="","",A101&amp;"_CALC.pdf")</f>
        <v/>
      </c>
      <c r="AI101" s="9"/>
      <c r="AJ101" s="9"/>
      <c r="AK101" s="41"/>
      <c r="AL101" s="41"/>
      <c r="AM101" s="41"/>
      <c r="AN101" s="41"/>
      <c r="AO101" s="41"/>
      <c r="AP101" s="38" t="str">
        <f aca="false">IF(OR(C101="",E101=""),"",IF(E101&lt;=IF(C101="Soldier Pile &amp; Timber Lagging",SG_Criteria!$B$34,SG_Criteria!$B$33),"No ERSS submission",IF(E101&lt;=SG_Criteria!$B$35,"QP(ST)",IF(E101&lt;=SG_Criteria!$B$36,"QP(ST) + AC","Geotechnical building works: QP(Geo) + AC"))))</f>
        <v/>
      </c>
      <c r="AQ101" s="38" t="str">
        <f aca="false">IF(C101="","",IF(LEN(IF(AND(U101&lt;&gt;"",IFERROR(VALUE(MID(U101,2,2)),0)&lt;SG_Criteria!$B$19),"FAIL: grade below C"&amp;SG_Criteria!$B$19&amp;". ","")&amp;IF(AND(LEFT(C101,3)="Con",N(H101)&lt;E101,G101="Kallang Formation (marine clay)"),"NOTE: CBP is not watertight below GWT in marine clay; consider secant / grouting. ","")&amp;IF(AND(C101="Steel Sheet Pile",D101="Permanent"),"NOTE: permanent sheet pile needs corrosion allowance. ","")&amp;IF(AND(F101="Cantilever (no support)",E101&gt;6),"NOTE: cantilever embedded wall &gt; 6 m, check deflection. ","")&amp;IF(AND(S101&lt;&gt;"",T101&lt;&gt;"",S101&gt;T101),"FAIL: deflection exceeds allowable. ",""))=0,"OK",IF(AND(U101&lt;&gt;"",IFERROR(VALUE(MID(U101,2,2)),0)&lt;SG_Criteria!$B$19),"FAIL: grade below C"&amp;SG_Criteria!$B$19&amp;". ","")&amp;IF(AND(LEFT(C101,3)="Con",N(H101)&lt;E101,G101="Kallang Formation (marine clay)"),"NOTE: CBP is not watertight below GWT in marine clay; consider secant / grouting. ","")&amp;IF(AND(C101="Steel Sheet Pile",D101="Permanent"),"NOTE: permanent sheet pile needs corrosion allowance. ","")&amp;IF(AND(F101="Cantilever (no support)",E101&gt;6),"NOTE: cantilever embedded wall &gt; 6 m, check deflection. ","")&amp;IF(AND(S101&lt;&gt;"",T101&lt;&gt;"",S101&gt;T101),"FAIL: deflection exceeds allowable. ","")))</f>
        <v/>
      </c>
      <c r="AR101" s="9"/>
      <c r="AS101" s="9"/>
      <c r="AT101" s="9"/>
      <c r="AU101" s="9"/>
      <c r="AV101" s="9"/>
      <c r="AW101" s="31"/>
      <c r="AX101" s="10" t="str">
        <f aca="false">IF(C101="","",IF(AND(Y101="Approved",ISERROR(SEARCH("FAIL",AQ101))),"Y","N"))</f>
        <v/>
      </c>
      <c r="AY101" s="10" t="str">
        <f aca="false">IF(C101="","",C101&amp;"|"&amp;E101&amp;"|"&amp;F101&amp;"|"&amp;G101&amp;"|"&amp;D101&amp;"|"&amp;AX101)</f>
        <v/>
      </c>
    </row>
    <row r="102" customFormat="false" ht="15" hidden="false" customHeight="false" outlineLevel="0" collapsed="false">
      <c r="A102" s="10" t="str">
        <f aca="false">IF(C102="","","EW-"&amp;IFERROR(VLOOKUP(C102,Lists!$P$4:$Q$22,2,0),"??")&amp;"-D"&amp;TEXT(E102*1000,"0000")&amp;"-"&amp;IFERROR(VLOOKUP(F102,Lists!$S$4:$T$21,2,0),"??")&amp;"-"&amp;IFERROR(VLOOKUP(G102,Lists!$Y$4:$Z$21,2,0),"??")&amp;"-"&amp;IFERROR(VLOOKUP(D102,Lists!$V$4:$W$16,2,0),"??")&amp;"-"&amp;X102)</f>
        <v/>
      </c>
      <c r="B102" s="10" t="str">
        <f aca="false">IF(C102="","",D102&amp;" "&amp;C102&amp;", excavation "&amp;TEXT(E102,"0.0")&amp;" m, "&amp;F102&amp;", "&amp;G102&amp;", "&amp;J102)</f>
        <v/>
      </c>
      <c r="C102" s="9"/>
      <c r="D102" s="9"/>
      <c r="E102" s="43"/>
      <c r="F102" s="9"/>
      <c r="G102" s="9"/>
      <c r="H102" s="43"/>
      <c r="I102" s="40"/>
      <c r="J102" s="9"/>
      <c r="K102" s="9"/>
      <c r="L102" s="9"/>
      <c r="M102" s="43"/>
      <c r="N102" s="43"/>
      <c r="O102" s="9"/>
      <c r="P102" s="9"/>
      <c r="Q102" s="9"/>
      <c r="R102" s="9"/>
      <c r="S102" s="40"/>
      <c r="T102" s="40"/>
      <c r="U102" s="9"/>
      <c r="V102" s="9"/>
      <c r="W102" s="9"/>
      <c r="X102" s="9"/>
      <c r="Y102" s="9"/>
      <c r="Z102" s="9"/>
      <c r="AA102" s="9"/>
      <c r="AB102" s="9"/>
      <c r="AC102" s="10" t="str">
        <f aca="false">IF(A102="","",SG_Criteria!$B$6&amp;SG_Criteria!$B$9&amp;"\"&amp;A102&amp;"\")</f>
        <v/>
      </c>
      <c r="AD102" s="10" t="str">
        <f aca="false">IF(A102="","",A102&amp;"_CAD.dwg")</f>
        <v/>
      </c>
      <c r="AE102" s="10" t="str">
        <f aca="false">IF(A102="","",A102&amp;"_DWG.pdf")</f>
        <v/>
      </c>
      <c r="AF102" s="10" t="str">
        <f aca="false">IF(A102="","",IF(AB102="Y",A102&amp;"_STAAD.std","n/a"))</f>
        <v/>
      </c>
      <c r="AG102" s="10" t="str">
        <f aca="false">IF(A102="","",A102&amp;"_CALC.xlsx")</f>
        <v/>
      </c>
      <c r="AH102" s="10" t="str">
        <f aca="false">IF(A102="","",A102&amp;"_CALC.pdf")</f>
        <v/>
      </c>
      <c r="AI102" s="9"/>
      <c r="AJ102" s="9"/>
      <c r="AK102" s="41"/>
      <c r="AL102" s="41"/>
      <c r="AM102" s="41"/>
      <c r="AN102" s="41"/>
      <c r="AO102" s="41"/>
      <c r="AP102" s="38" t="str">
        <f aca="false">IF(OR(C102="",E102=""),"",IF(E102&lt;=IF(C102="Soldier Pile &amp; Timber Lagging",SG_Criteria!$B$34,SG_Criteria!$B$33),"No ERSS submission",IF(E102&lt;=SG_Criteria!$B$35,"QP(ST)",IF(E102&lt;=SG_Criteria!$B$36,"QP(ST) + AC","Geotechnical building works: QP(Geo) + AC"))))</f>
        <v/>
      </c>
      <c r="AQ102" s="38" t="str">
        <f aca="false">IF(C102="","",IF(LEN(IF(AND(U102&lt;&gt;"",IFERROR(VALUE(MID(U102,2,2)),0)&lt;SG_Criteria!$B$19),"FAIL: grade below C"&amp;SG_Criteria!$B$19&amp;". ","")&amp;IF(AND(LEFT(C102,3)="Con",N(H102)&lt;E102,G102="Kallang Formation (marine clay)"),"NOTE: CBP is not watertight below GWT in marine clay; consider secant / grouting. ","")&amp;IF(AND(C102="Steel Sheet Pile",D102="Permanent"),"NOTE: permanent sheet pile needs corrosion allowance. ","")&amp;IF(AND(F102="Cantilever (no support)",E102&gt;6),"NOTE: cantilever embedded wall &gt; 6 m, check deflection. ","")&amp;IF(AND(S102&lt;&gt;"",T102&lt;&gt;"",S102&gt;T102),"FAIL: deflection exceeds allowable. ",""))=0,"OK",IF(AND(U102&lt;&gt;"",IFERROR(VALUE(MID(U102,2,2)),0)&lt;SG_Criteria!$B$19),"FAIL: grade below C"&amp;SG_Criteria!$B$19&amp;". ","")&amp;IF(AND(LEFT(C102,3)="Con",N(H102)&lt;E102,G102="Kallang Formation (marine clay)"),"NOTE: CBP is not watertight below GWT in marine clay; consider secant / grouting. ","")&amp;IF(AND(C102="Steel Sheet Pile",D102="Permanent"),"NOTE: permanent sheet pile needs corrosion allowance. ","")&amp;IF(AND(F102="Cantilever (no support)",E102&gt;6),"NOTE: cantilever embedded wall &gt; 6 m, check deflection. ","")&amp;IF(AND(S102&lt;&gt;"",T102&lt;&gt;"",S102&gt;T102),"FAIL: deflection exceeds allowable. ","")))</f>
        <v/>
      </c>
      <c r="AR102" s="9"/>
      <c r="AS102" s="9"/>
      <c r="AT102" s="9"/>
      <c r="AU102" s="9"/>
      <c r="AV102" s="9"/>
      <c r="AW102" s="31"/>
      <c r="AX102" s="10" t="str">
        <f aca="false">IF(C102="","",IF(AND(Y102="Approved",ISERROR(SEARCH("FAIL",AQ102))),"Y","N"))</f>
        <v/>
      </c>
      <c r="AY102" s="10" t="str">
        <f aca="false">IF(C102="","",C102&amp;"|"&amp;E102&amp;"|"&amp;F102&amp;"|"&amp;G102&amp;"|"&amp;D102&amp;"|"&amp;AX102)</f>
        <v/>
      </c>
    </row>
    <row r="103" customFormat="false" ht="15" hidden="false" customHeight="false" outlineLevel="0" collapsed="false">
      <c r="A103" s="10" t="str">
        <f aca="false">IF(C103="","","EW-"&amp;IFERROR(VLOOKUP(C103,Lists!$P$4:$Q$22,2,0),"??")&amp;"-D"&amp;TEXT(E103*1000,"0000")&amp;"-"&amp;IFERROR(VLOOKUP(F103,Lists!$S$4:$T$21,2,0),"??")&amp;"-"&amp;IFERROR(VLOOKUP(G103,Lists!$Y$4:$Z$21,2,0),"??")&amp;"-"&amp;IFERROR(VLOOKUP(D103,Lists!$V$4:$W$16,2,0),"??")&amp;"-"&amp;X103)</f>
        <v/>
      </c>
      <c r="B103" s="10" t="str">
        <f aca="false">IF(C103="","",D103&amp;" "&amp;C103&amp;", excavation "&amp;TEXT(E103,"0.0")&amp;" m, "&amp;F103&amp;", "&amp;G103&amp;", "&amp;J103)</f>
        <v/>
      </c>
      <c r="C103" s="9"/>
      <c r="D103" s="9"/>
      <c r="E103" s="43"/>
      <c r="F103" s="9"/>
      <c r="G103" s="9"/>
      <c r="H103" s="43"/>
      <c r="I103" s="40"/>
      <c r="J103" s="9"/>
      <c r="K103" s="9"/>
      <c r="L103" s="9"/>
      <c r="M103" s="43"/>
      <c r="N103" s="43"/>
      <c r="O103" s="9"/>
      <c r="P103" s="9"/>
      <c r="Q103" s="9"/>
      <c r="R103" s="9"/>
      <c r="S103" s="40"/>
      <c r="T103" s="40"/>
      <c r="U103" s="9"/>
      <c r="V103" s="9"/>
      <c r="W103" s="9"/>
      <c r="X103" s="9"/>
      <c r="Y103" s="9"/>
      <c r="Z103" s="9"/>
      <c r="AA103" s="9"/>
      <c r="AB103" s="9"/>
      <c r="AC103" s="10" t="str">
        <f aca="false">IF(A103="","",SG_Criteria!$B$6&amp;SG_Criteria!$B$9&amp;"\"&amp;A103&amp;"\")</f>
        <v/>
      </c>
      <c r="AD103" s="10" t="str">
        <f aca="false">IF(A103="","",A103&amp;"_CAD.dwg")</f>
        <v/>
      </c>
      <c r="AE103" s="10" t="str">
        <f aca="false">IF(A103="","",A103&amp;"_DWG.pdf")</f>
        <v/>
      </c>
      <c r="AF103" s="10" t="str">
        <f aca="false">IF(A103="","",IF(AB103="Y",A103&amp;"_STAAD.std","n/a"))</f>
        <v/>
      </c>
      <c r="AG103" s="10" t="str">
        <f aca="false">IF(A103="","",A103&amp;"_CALC.xlsx")</f>
        <v/>
      </c>
      <c r="AH103" s="10" t="str">
        <f aca="false">IF(A103="","",A103&amp;"_CALC.pdf")</f>
        <v/>
      </c>
      <c r="AI103" s="9"/>
      <c r="AJ103" s="9"/>
      <c r="AK103" s="41"/>
      <c r="AL103" s="41"/>
      <c r="AM103" s="41"/>
      <c r="AN103" s="41"/>
      <c r="AO103" s="41"/>
      <c r="AP103" s="38" t="str">
        <f aca="false">IF(OR(C103="",E103=""),"",IF(E103&lt;=IF(C103="Soldier Pile &amp; Timber Lagging",SG_Criteria!$B$34,SG_Criteria!$B$33),"No ERSS submission",IF(E103&lt;=SG_Criteria!$B$35,"QP(ST)",IF(E103&lt;=SG_Criteria!$B$36,"QP(ST) + AC","Geotechnical building works: QP(Geo) + AC"))))</f>
        <v/>
      </c>
      <c r="AQ103" s="38" t="str">
        <f aca="false">IF(C103="","",IF(LEN(IF(AND(U103&lt;&gt;"",IFERROR(VALUE(MID(U103,2,2)),0)&lt;SG_Criteria!$B$19),"FAIL: grade below C"&amp;SG_Criteria!$B$19&amp;". ","")&amp;IF(AND(LEFT(C103,3)="Con",N(H103)&lt;E103,G103="Kallang Formation (marine clay)"),"NOTE: CBP is not watertight below GWT in marine clay; consider secant / grouting. ","")&amp;IF(AND(C103="Steel Sheet Pile",D103="Permanent"),"NOTE: permanent sheet pile needs corrosion allowance. ","")&amp;IF(AND(F103="Cantilever (no support)",E103&gt;6),"NOTE: cantilever embedded wall &gt; 6 m, check deflection. ","")&amp;IF(AND(S103&lt;&gt;"",T103&lt;&gt;"",S103&gt;T103),"FAIL: deflection exceeds allowable. ",""))=0,"OK",IF(AND(U103&lt;&gt;"",IFERROR(VALUE(MID(U103,2,2)),0)&lt;SG_Criteria!$B$19),"FAIL: grade below C"&amp;SG_Criteria!$B$19&amp;". ","")&amp;IF(AND(LEFT(C103,3)="Con",N(H103)&lt;E103,G103="Kallang Formation (marine clay)"),"NOTE: CBP is not watertight below GWT in marine clay; consider secant / grouting. ","")&amp;IF(AND(C103="Steel Sheet Pile",D103="Permanent"),"NOTE: permanent sheet pile needs corrosion allowance. ","")&amp;IF(AND(F103="Cantilever (no support)",E103&gt;6),"NOTE: cantilever embedded wall &gt; 6 m, check deflection. ","")&amp;IF(AND(S103&lt;&gt;"",T103&lt;&gt;"",S103&gt;T103),"FAIL: deflection exceeds allowable. ","")))</f>
        <v/>
      </c>
      <c r="AR103" s="9"/>
      <c r="AS103" s="9"/>
      <c r="AT103" s="9"/>
      <c r="AU103" s="9"/>
      <c r="AV103" s="9"/>
      <c r="AW103" s="31"/>
      <c r="AX103" s="10" t="str">
        <f aca="false">IF(C103="","",IF(AND(Y103="Approved",ISERROR(SEARCH("FAIL",AQ103))),"Y","N"))</f>
        <v/>
      </c>
      <c r="AY103" s="10" t="str">
        <f aca="false">IF(C103="","",C103&amp;"|"&amp;E103&amp;"|"&amp;F103&amp;"|"&amp;G103&amp;"|"&amp;D103&amp;"|"&amp;AX103)</f>
        <v/>
      </c>
    </row>
    <row r="104" customFormat="false" ht="15" hidden="false" customHeight="false" outlineLevel="0" collapsed="false">
      <c r="A104" s="10" t="str">
        <f aca="false">IF(C104="","","EW-"&amp;IFERROR(VLOOKUP(C104,Lists!$P$4:$Q$22,2,0),"??")&amp;"-D"&amp;TEXT(E104*1000,"0000")&amp;"-"&amp;IFERROR(VLOOKUP(F104,Lists!$S$4:$T$21,2,0),"??")&amp;"-"&amp;IFERROR(VLOOKUP(G104,Lists!$Y$4:$Z$21,2,0),"??")&amp;"-"&amp;IFERROR(VLOOKUP(D104,Lists!$V$4:$W$16,2,0),"??")&amp;"-"&amp;X104)</f>
        <v/>
      </c>
      <c r="B104" s="10" t="str">
        <f aca="false">IF(C104="","",D104&amp;" "&amp;C104&amp;", excavation "&amp;TEXT(E104,"0.0")&amp;" m, "&amp;F104&amp;", "&amp;G104&amp;", "&amp;J104)</f>
        <v/>
      </c>
      <c r="C104" s="9"/>
      <c r="D104" s="9"/>
      <c r="E104" s="43"/>
      <c r="F104" s="9"/>
      <c r="G104" s="9"/>
      <c r="H104" s="43"/>
      <c r="I104" s="40"/>
      <c r="J104" s="9"/>
      <c r="K104" s="9"/>
      <c r="L104" s="9"/>
      <c r="M104" s="43"/>
      <c r="N104" s="43"/>
      <c r="O104" s="9"/>
      <c r="P104" s="9"/>
      <c r="Q104" s="9"/>
      <c r="R104" s="9"/>
      <c r="S104" s="40"/>
      <c r="T104" s="40"/>
      <c r="U104" s="9"/>
      <c r="V104" s="9"/>
      <c r="W104" s="9"/>
      <c r="X104" s="9"/>
      <c r="Y104" s="9"/>
      <c r="Z104" s="9"/>
      <c r="AA104" s="9"/>
      <c r="AB104" s="9"/>
      <c r="AC104" s="10" t="str">
        <f aca="false">IF(A104="","",SG_Criteria!$B$6&amp;SG_Criteria!$B$9&amp;"\"&amp;A104&amp;"\")</f>
        <v/>
      </c>
      <c r="AD104" s="10" t="str">
        <f aca="false">IF(A104="","",A104&amp;"_CAD.dwg")</f>
        <v/>
      </c>
      <c r="AE104" s="10" t="str">
        <f aca="false">IF(A104="","",A104&amp;"_DWG.pdf")</f>
        <v/>
      </c>
      <c r="AF104" s="10" t="str">
        <f aca="false">IF(A104="","",IF(AB104="Y",A104&amp;"_STAAD.std","n/a"))</f>
        <v/>
      </c>
      <c r="AG104" s="10" t="str">
        <f aca="false">IF(A104="","",A104&amp;"_CALC.xlsx")</f>
        <v/>
      </c>
      <c r="AH104" s="10" t="str">
        <f aca="false">IF(A104="","",A104&amp;"_CALC.pdf")</f>
        <v/>
      </c>
      <c r="AI104" s="9"/>
      <c r="AJ104" s="9"/>
      <c r="AK104" s="41"/>
      <c r="AL104" s="41"/>
      <c r="AM104" s="41"/>
      <c r="AN104" s="41"/>
      <c r="AO104" s="41"/>
      <c r="AP104" s="38" t="str">
        <f aca="false">IF(OR(C104="",E104=""),"",IF(E104&lt;=IF(C104="Soldier Pile &amp; Timber Lagging",SG_Criteria!$B$34,SG_Criteria!$B$33),"No ERSS submission",IF(E104&lt;=SG_Criteria!$B$35,"QP(ST)",IF(E104&lt;=SG_Criteria!$B$36,"QP(ST) + AC","Geotechnical building works: QP(Geo) + AC"))))</f>
        <v/>
      </c>
      <c r="AQ104" s="38" t="str">
        <f aca="false">IF(C104="","",IF(LEN(IF(AND(U104&lt;&gt;"",IFERROR(VALUE(MID(U104,2,2)),0)&lt;SG_Criteria!$B$19),"FAIL: grade below C"&amp;SG_Criteria!$B$19&amp;". ","")&amp;IF(AND(LEFT(C104,3)="Con",N(H104)&lt;E104,G104="Kallang Formation (marine clay)"),"NOTE: CBP is not watertight below GWT in marine clay; consider secant / grouting. ","")&amp;IF(AND(C104="Steel Sheet Pile",D104="Permanent"),"NOTE: permanent sheet pile needs corrosion allowance. ","")&amp;IF(AND(F104="Cantilever (no support)",E104&gt;6),"NOTE: cantilever embedded wall &gt; 6 m, check deflection. ","")&amp;IF(AND(S104&lt;&gt;"",T104&lt;&gt;"",S104&gt;T104),"FAIL: deflection exceeds allowable. ",""))=0,"OK",IF(AND(U104&lt;&gt;"",IFERROR(VALUE(MID(U104,2,2)),0)&lt;SG_Criteria!$B$19),"FAIL: grade below C"&amp;SG_Criteria!$B$19&amp;". ","")&amp;IF(AND(LEFT(C104,3)="Con",N(H104)&lt;E104,G104="Kallang Formation (marine clay)"),"NOTE: CBP is not watertight below GWT in marine clay; consider secant / grouting. ","")&amp;IF(AND(C104="Steel Sheet Pile",D104="Permanent"),"NOTE: permanent sheet pile needs corrosion allowance. ","")&amp;IF(AND(F104="Cantilever (no support)",E104&gt;6),"NOTE: cantilever embedded wall &gt; 6 m, check deflection. ","")&amp;IF(AND(S104&lt;&gt;"",T104&lt;&gt;"",S104&gt;T104),"FAIL: deflection exceeds allowable. ","")))</f>
        <v/>
      </c>
      <c r="AR104" s="9"/>
      <c r="AS104" s="9"/>
      <c r="AT104" s="9"/>
      <c r="AU104" s="9"/>
      <c r="AV104" s="9"/>
      <c r="AW104" s="31"/>
      <c r="AX104" s="10" t="str">
        <f aca="false">IF(C104="","",IF(AND(Y104="Approved",ISERROR(SEARCH("FAIL",AQ104))),"Y","N"))</f>
        <v/>
      </c>
      <c r="AY104" s="10" t="str">
        <f aca="false">IF(C104="","",C104&amp;"|"&amp;E104&amp;"|"&amp;F104&amp;"|"&amp;G104&amp;"|"&amp;D104&amp;"|"&amp;AX104)</f>
        <v/>
      </c>
    </row>
    <row r="105" customFormat="false" ht="15" hidden="false" customHeight="false" outlineLevel="0" collapsed="false">
      <c r="A105" s="10" t="str">
        <f aca="false">IF(C105="","","EW-"&amp;IFERROR(VLOOKUP(C105,Lists!$P$4:$Q$22,2,0),"??")&amp;"-D"&amp;TEXT(E105*1000,"0000")&amp;"-"&amp;IFERROR(VLOOKUP(F105,Lists!$S$4:$T$21,2,0),"??")&amp;"-"&amp;IFERROR(VLOOKUP(G105,Lists!$Y$4:$Z$21,2,0),"??")&amp;"-"&amp;IFERROR(VLOOKUP(D105,Lists!$V$4:$W$16,2,0),"??")&amp;"-"&amp;X105)</f>
        <v/>
      </c>
      <c r="B105" s="10" t="str">
        <f aca="false">IF(C105="","",D105&amp;" "&amp;C105&amp;", excavation "&amp;TEXT(E105,"0.0")&amp;" m, "&amp;F105&amp;", "&amp;G105&amp;", "&amp;J105)</f>
        <v/>
      </c>
      <c r="C105" s="9"/>
      <c r="D105" s="9"/>
      <c r="E105" s="43"/>
      <c r="F105" s="9"/>
      <c r="G105" s="9"/>
      <c r="H105" s="43"/>
      <c r="I105" s="40"/>
      <c r="J105" s="9"/>
      <c r="K105" s="9"/>
      <c r="L105" s="9"/>
      <c r="M105" s="43"/>
      <c r="N105" s="43"/>
      <c r="O105" s="9"/>
      <c r="P105" s="9"/>
      <c r="Q105" s="9"/>
      <c r="R105" s="9"/>
      <c r="S105" s="40"/>
      <c r="T105" s="40"/>
      <c r="U105" s="9"/>
      <c r="V105" s="9"/>
      <c r="W105" s="9"/>
      <c r="X105" s="9"/>
      <c r="Y105" s="9"/>
      <c r="Z105" s="9"/>
      <c r="AA105" s="9"/>
      <c r="AB105" s="9"/>
      <c r="AC105" s="10" t="str">
        <f aca="false">IF(A105="","",SG_Criteria!$B$6&amp;SG_Criteria!$B$9&amp;"\"&amp;A105&amp;"\")</f>
        <v/>
      </c>
      <c r="AD105" s="10" t="str">
        <f aca="false">IF(A105="","",A105&amp;"_CAD.dwg")</f>
        <v/>
      </c>
      <c r="AE105" s="10" t="str">
        <f aca="false">IF(A105="","",A105&amp;"_DWG.pdf")</f>
        <v/>
      </c>
      <c r="AF105" s="10" t="str">
        <f aca="false">IF(A105="","",IF(AB105="Y",A105&amp;"_STAAD.std","n/a"))</f>
        <v/>
      </c>
      <c r="AG105" s="10" t="str">
        <f aca="false">IF(A105="","",A105&amp;"_CALC.xlsx")</f>
        <v/>
      </c>
      <c r="AH105" s="10" t="str">
        <f aca="false">IF(A105="","",A105&amp;"_CALC.pdf")</f>
        <v/>
      </c>
      <c r="AI105" s="9"/>
      <c r="AJ105" s="9"/>
      <c r="AK105" s="41"/>
      <c r="AL105" s="41"/>
      <c r="AM105" s="41"/>
      <c r="AN105" s="41"/>
      <c r="AO105" s="41"/>
      <c r="AP105" s="38" t="str">
        <f aca="false">IF(OR(C105="",E105=""),"",IF(E105&lt;=IF(C105="Soldier Pile &amp; Timber Lagging",SG_Criteria!$B$34,SG_Criteria!$B$33),"No ERSS submission",IF(E105&lt;=SG_Criteria!$B$35,"QP(ST)",IF(E105&lt;=SG_Criteria!$B$36,"QP(ST) + AC","Geotechnical building works: QP(Geo) + AC"))))</f>
        <v/>
      </c>
      <c r="AQ105" s="38" t="str">
        <f aca="false">IF(C105="","",IF(LEN(IF(AND(U105&lt;&gt;"",IFERROR(VALUE(MID(U105,2,2)),0)&lt;SG_Criteria!$B$19),"FAIL: grade below C"&amp;SG_Criteria!$B$19&amp;". ","")&amp;IF(AND(LEFT(C105,3)="Con",N(H105)&lt;E105,G105="Kallang Formation (marine clay)"),"NOTE: CBP is not watertight below GWT in marine clay; consider secant / grouting. ","")&amp;IF(AND(C105="Steel Sheet Pile",D105="Permanent"),"NOTE: permanent sheet pile needs corrosion allowance. ","")&amp;IF(AND(F105="Cantilever (no support)",E105&gt;6),"NOTE: cantilever embedded wall &gt; 6 m, check deflection. ","")&amp;IF(AND(S105&lt;&gt;"",T105&lt;&gt;"",S105&gt;T105),"FAIL: deflection exceeds allowable. ",""))=0,"OK",IF(AND(U105&lt;&gt;"",IFERROR(VALUE(MID(U105,2,2)),0)&lt;SG_Criteria!$B$19),"FAIL: grade below C"&amp;SG_Criteria!$B$19&amp;". ","")&amp;IF(AND(LEFT(C105,3)="Con",N(H105)&lt;E105,G105="Kallang Formation (marine clay)"),"NOTE: CBP is not watertight below GWT in marine clay; consider secant / grouting. ","")&amp;IF(AND(C105="Steel Sheet Pile",D105="Permanent"),"NOTE: permanent sheet pile needs corrosion allowance. ","")&amp;IF(AND(F105="Cantilever (no support)",E105&gt;6),"NOTE: cantilever embedded wall &gt; 6 m, check deflection. ","")&amp;IF(AND(S105&lt;&gt;"",T105&lt;&gt;"",S105&gt;T105),"FAIL: deflection exceeds allowable. ","")))</f>
        <v/>
      </c>
      <c r="AR105" s="9"/>
      <c r="AS105" s="9"/>
      <c r="AT105" s="9"/>
      <c r="AU105" s="9"/>
      <c r="AV105" s="9"/>
      <c r="AW105" s="31"/>
      <c r="AX105" s="10" t="str">
        <f aca="false">IF(C105="","",IF(AND(Y105="Approved",ISERROR(SEARCH("FAIL",AQ105))),"Y","N"))</f>
        <v/>
      </c>
      <c r="AY105" s="10" t="str">
        <f aca="false">IF(C105="","",C105&amp;"|"&amp;E105&amp;"|"&amp;F105&amp;"|"&amp;G105&amp;"|"&amp;D105&amp;"|"&amp;AX105)</f>
        <v/>
      </c>
    </row>
    <row r="106" customFormat="false" ht="15" hidden="false" customHeight="false" outlineLevel="0" collapsed="false">
      <c r="A106" s="10" t="str">
        <f aca="false">IF(C106="","","EW-"&amp;IFERROR(VLOOKUP(C106,Lists!$P$4:$Q$22,2,0),"??")&amp;"-D"&amp;TEXT(E106*1000,"0000")&amp;"-"&amp;IFERROR(VLOOKUP(F106,Lists!$S$4:$T$21,2,0),"??")&amp;"-"&amp;IFERROR(VLOOKUP(G106,Lists!$Y$4:$Z$21,2,0),"??")&amp;"-"&amp;IFERROR(VLOOKUP(D106,Lists!$V$4:$W$16,2,0),"??")&amp;"-"&amp;X106)</f>
        <v/>
      </c>
      <c r="B106" s="10" t="str">
        <f aca="false">IF(C106="","",D106&amp;" "&amp;C106&amp;", excavation "&amp;TEXT(E106,"0.0")&amp;" m, "&amp;F106&amp;", "&amp;G106&amp;", "&amp;J106)</f>
        <v/>
      </c>
      <c r="C106" s="9"/>
      <c r="D106" s="9"/>
      <c r="E106" s="43"/>
      <c r="F106" s="9"/>
      <c r="G106" s="9"/>
      <c r="H106" s="43"/>
      <c r="I106" s="40"/>
      <c r="J106" s="9"/>
      <c r="K106" s="9"/>
      <c r="L106" s="9"/>
      <c r="M106" s="43"/>
      <c r="N106" s="43"/>
      <c r="O106" s="9"/>
      <c r="P106" s="9"/>
      <c r="Q106" s="9"/>
      <c r="R106" s="9"/>
      <c r="S106" s="40"/>
      <c r="T106" s="40"/>
      <c r="U106" s="9"/>
      <c r="V106" s="9"/>
      <c r="W106" s="9"/>
      <c r="X106" s="9"/>
      <c r="Y106" s="9"/>
      <c r="Z106" s="9"/>
      <c r="AA106" s="9"/>
      <c r="AB106" s="9"/>
      <c r="AC106" s="10" t="str">
        <f aca="false">IF(A106="","",SG_Criteria!$B$6&amp;SG_Criteria!$B$9&amp;"\"&amp;A106&amp;"\")</f>
        <v/>
      </c>
      <c r="AD106" s="10" t="str">
        <f aca="false">IF(A106="","",A106&amp;"_CAD.dwg")</f>
        <v/>
      </c>
      <c r="AE106" s="10" t="str">
        <f aca="false">IF(A106="","",A106&amp;"_DWG.pdf")</f>
        <v/>
      </c>
      <c r="AF106" s="10" t="str">
        <f aca="false">IF(A106="","",IF(AB106="Y",A106&amp;"_STAAD.std","n/a"))</f>
        <v/>
      </c>
      <c r="AG106" s="10" t="str">
        <f aca="false">IF(A106="","",A106&amp;"_CALC.xlsx")</f>
        <v/>
      </c>
      <c r="AH106" s="10" t="str">
        <f aca="false">IF(A106="","",A106&amp;"_CALC.pdf")</f>
        <v/>
      </c>
      <c r="AI106" s="9"/>
      <c r="AJ106" s="9"/>
      <c r="AK106" s="41"/>
      <c r="AL106" s="41"/>
      <c r="AM106" s="41"/>
      <c r="AN106" s="41"/>
      <c r="AO106" s="41"/>
      <c r="AP106" s="38" t="str">
        <f aca="false">IF(OR(C106="",E106=""),"",IF(E106&lt;=IF(C106="Soldier Pile &amp; Timber Lagging",SG_Criteria!$B$34,SG_Criteria!$B$33),"No ERSS submission",IF(E106&lt;=SG_Criteria!$B$35,"QP(ST)",IF(E106&lt;=SG_Criteria!$B$36,"QP(ST) + AC","Geotechnical building works: QP(Geo) + AC"))))</f>
        <v/>
      </c>
      <c r="AQ106" s="38" t="str">
        <f aca="false">IF(C106="","",IF(LEN(IF(AND(U106&lt;&gt;"",IFERROR(VALUE(MID(U106,2,2)),0)&lt;SG_Criteria!$B$19),"FAIL: grade below C"&amp;SG_Criteria!$B$19&amp;". ","")&amp;IF(AND(LEFT(C106,3)="Con",N(H106)&lt;E106,G106="Kallang Formation (marine clay)"),"NOTE: CBP is not watertight below GWT in marine clay; consider secant / grouting. ","")&amp;IF(AND(C106="Steel Sheet Pile",D106="Permanent"),"NOTE: permanent sheet pile needs corrosion allowance. ","")&amp;IF(AND(F106="Cantilever (no support)",E106&gt;6),"NOTE: cantilever embedded wall &gt; 6 m, check deflection. ","")&amp;IF(AND(S106&lt;&gt;"",T106&lt;&gt;"",S106&gt;T106),"FAIL: deflection exceeds allowable. ",""))=0,"OK",IF(AND(U106&lt;&gt;"",IFERROR(VALUE(MID(U106,2,2)),0)&lt;SG_Criteria!$B$19),"FAIL: grade below C"&amp;SG_Criteria!$B$19&amp;". ","")&amp;IF(AND(LEFT(C106,3)="Con",N(H106)&lt;E106,G106="Kallang Formation (marine clay)"),"NOTE: CBP is not watertight below GWT in marine clay; consider secant / grouting. ","")&amp;IF(AND(C106="Steel Sheet Pile",D106="Permanent"),"NOTE: permanent sheet pile needs corrosion allowance. ","")&amp;IF(AND(F106="Cantilever (no support)",E106&gt;6),"NOTE: cantilever embedded wall &gt; 6 m, check deflection. ","")&amp;IF(AND(S106&lt;&gt;"",T106&lt;&gt;"",S106&gt;T106),"FAIL: deflection exceeds allowable. ","")))</f>
        <v/>
      </c>
      <c r="AR106" s="9"/>
      <c r="AS106" s="9"/>
      <c r="AT106" s="9"/>
      <c r="AU106" s="9"/>
      <c r="AV106" s="9"/>
      <c r="AW106" s="31"/>
      <c r="AX106" s="10" t="str">
        <f aca="false">IF(C106="","",IF(AND(Y106="Approved",ISERROR(SEARCH("FAIL",AQ106))),"Y","N"))</f>
        <v/>
      </c>
      <c r="AY106" s="10" t="str">
        <f aca="false">IF(C106="","",C106&amp;"|"&amp;E106&amp;"|"&amp;F106&amp;"|"&amp;G106&amp;"|"&amp;D106&amp;"|"&amp;AX106)</f>
        <v/>
      </c>
    </row>
    <row r="107" customFormat="false" ht="15" hidden="false" customHeight="false" outlineLevel="0" collapsed="false">
      <c r="A107" s="10" t="str">
        <f aca="false">IF(C107="","","EW-"&amp;IFERROR(VLOOKUP(C107,Lists!$P$4:$Q$22,2,0),"??")&amp;"-D"&amp;TEXT(E107*1000,"0000")&amp;"-"&amp;IFERROR(VLOOKUP(F107,Lists!$S$4:$T$21,2,0),"??")&amp;"-"&amp;IFERROR(VLOOKUP(G107,Lists!$Y$4:$Z$21,2,0),"??")&amp;"-"&amp;IFERROR(VLOOKUP(D107,Lists!$V$4:$W$16,2,0),"??")&amp;"-"&amp;X107)</f>
        <v/>
      </c>
      <c r="B107" s="10" t="str">
        <f aca="false">IF(C107="","",D107&amp;" "&amp;C107&amp;", excavation "&amp;TEXT(E107,"0.0")&amp;" m, "&amp;F107&amp;", "&amp;G107&amp;", "&amp;J107)</f>
        <v/>
      </c>
      <c r="C107" s="9"/>
      <c r="D107" s="9"/>
      <c r="E107" s="43"/>
      <c r="F107" s="9"/>
      <c r="G107" s="9"/>
      <c r="H107" s="43"/>
      <c r="I107" s="40"/>
      <c r="J107" s="9"/>
      <c r="K107" s="9"/>
      <c r="L107" s="9"/>
      <c r="M107" s="43"/>
      <c r="N107" s="43"/>
      <c r="O107" s="9"/>
      <c r="P107" s="9"/>
      <c r="Q107" s="9"/>
      <c r="R107" s="9"/>
      <c r="S107" s="40"/>
      <c r="T107" s="40"/>
      <c r="U107" s="9"/>
      <c r="V107" s="9"/>
      <c r="W107" s="9"/>
      <c r="X107" s="9"/>
      <c r="Y107" s="9"/>
      <c r="Z107" s="9"/>
      <c r="AA107" s="9"/>
      <c r="AB107" s="9"/>
      <c r="AC107" s="10" t="str">
        <f aca="false">IF(A107="","",SG_Criteria!$B$6&amp;SG_Criteria!$B$9&amp;"\"&amp;A107&amp;"\")</f>
        <v/>
      </c>
      <c r="AD107" s="10" t="str">
        <f aca="false">IF(A107="","",A107&amp;"_CAD.dwg")</f>
        <v/>
      </c>
      <c r="AE107" s="10" t="str">
        <f aca="false">IF(A107="","",A107&amp;"_DWG.pdf")</f>
        <v/>
      </c>
      <c r="AF107" s="10" t="str">
        <f aca="false">IF(A107="","",IF(AB107="Y",A107&amp;"_STAAD.std","n/a"))</f>
        <v/>
      </c>
      <c r="AG107" s="10" t="str">
        <f aca="false">IF(A107="","",A107&amp;"_CALC.xlsx")</f>
        <v/>
      </c>
      <c r="AH107" s="10" t="str">
        <f aca="false">IF(A107="","",A107&amp;"_CALC.pdf")</f>
        <v/>
      </c>
      <c r="AI107" s="9"/>
      <c r="AJ107" s="9"/>
      <c r="AK107" s="41"/>
      <c r="AL107" s="41"/>
      <c r="AM107" s="41"/>
      <c r="AN107" s="41"/>
      <c r="AO107" s="41"/>
      <c r="AP107" s="38" t="str">
        <f aca="false">IF(OR(C107="",E107=""),"",IF(E107&lt;=IF(C107="Soldier Pile &amp; Timber Lagging",SG_Criteria!$B$34,SG_Criteria!$B$33),"No ERSS submission",IF(E107&lt;=SG_Criteria!$B$35,"QP(ST)",IF(E107&lt;=SG_Criteria!$B$36,"QP(ST) + AC","Geotechnical building works: QP(Geo) + AC"))))</f>
        <v/>
      </c>
      <c r="AQ107" s="38" t="str">
        <f aca="false">IF(C107="","",IF(LEN(IF(AND(U107&lt;&gt;"",IFERROR(VALUE(MID(U107,2,2)),0)&lt;SG_Criteria!$B$19),"FAIL: grade below C"&amp;SG_Criteria!$B$19&amp;". ","")&amp;IF(AND(LEFT(C107,3)="Con",N(H107)&lt;E107,G107="Kallang Formation (marine clay)"),"NOTE: CBP is not watertight below GWT in marine clay; consider secant / grouting. ","")&amp;IF(AND(C107="Steel Sheet Pile",D107="Permanent"),"NOTE: permanent sheet pile needs corrosion allowance. ","")&amp;IF(AND(F107="Cantilever (no support)",E107&gt;6),"NOTE: cantilever embedded wall &gt; 6 m, check deflection. ","")&amp;IF(AND(S107&lt;&gt;"",T107&lt;&gt;"",S107&gt;T107),"FAIL: deflection exceeds allowable. ",""))=0,"OK",IF(AND(U107&lt;&gt;"",IFERROR(VALUE(MID(U107,2,2)),0)&lt;SG_Criteria!$B$19),"FAIL: grade below C"&amp;SG_Criteria!$B$19&amp;". ","")&amp;IF(AND(LEFT(C107,3)="Con",N(H107)&lt;E107,G107="Kallang Formation (marine clay)"),"NOTE: CBP is not watertight below GWT in marine clay; consider secant / grouting. ","")&amp;IF(AND(C107="Steel Sheet Pile",D107="Permanent"),"NOTE: permanent sheet pile needs corrosion allowance. ","")&amp;IF(AND(F107="Cantilever (no support)",E107&gt;6),"NOTE: cantilever embedded wall &gt; 6 m, check deflection. ","")&amp;IF(AND(S107&lt;&gt;"",T107&lt;&gt;"",S107&gt;T107),"FAIL: deflection exceeds allowable. ","")))</f>
        <v/>
      </c>
      <c r="AR107" s="9"/>
      <c r="AS107" s="9"/>
      <c r="AT107" s="9"/>
      <c r="AU107" s="9"/>
      <c r="AV107" s="9"/>
      <c r="AW107" s="31"/>
      <c r="AX107" s="10" t="str">
        <f aca="false">IF(C107="","",IF(AND(Y107="Approved",ISERROR(SEARCH("FAIL",AQ107))),"Y","N"))</f>
        <v/>
      </c>
      <c r="AY107" s="10" t="str">
        <f aca="false">IF(C107="","",C107&amp;"|"&amp;E107&amp;"|"&amp;F107&amp;"|"&amp;G107&amp;"|"&amp;D107&amp;"|"&amp;AX107)</f>
        <v/>
      </c>
    </row>
    <row r="108" customFormat="false" ht="15" hidden="false" customHeight="false" outlineLevel="0" collapsed="false">
      <c r="A108" s="10" t="str">
        <f aca="false">IF(C108="","","EW-"&amp;IFERROR(VLOOKUP(C108,Lists!$P$4:$Q$22,2,0),"??")&amp;"-D"&amp;TEXT(E108*1000,"0000")&amp;"-"&amp;IFERROR(VLOOKUP(F108,Lists!$S$4:$T$21,2,0),"??")&amp;"-"&amp;IFERROR(VLOOKUP(G108,Lists!$Y$4:$Z$21,2,0),"??")&amp;"-"&amp;IFERROR(VLOOKUP(D108,Lists!$V$4:$W$16,2,0),"??")&amp;"-"&amp;X108)</f>
        <v/>
      </c>
      <c r="B108" s="10" t="str">
        <f aca="false">IF(C108="","",D108&amp;" "&amp;C108&amp;", excavation "&amp;TEXT(E108,"0.0")&amp;" m, "&amp;F108&amp;", "&amp;G108&amp;", "&amp;J108)</f>
        <v/>
      </c>
      <c r="C108" s="9"/>
      <c r="D108" s="9"/>
      <c r="E108" s="43"/>
      <c r="F108" s="9"/>
      <c r="G108" s="9"/>
      <c r="H108" s="43"/>
      <c r="I108" s="40"/>
      <c r="J108" s="9"/>
      <c r="K108" s="9"/>
      <c r="L108" s="9"/>
      <c r="M108" s="43"/>
      <c r="N108" s="43"/>
      <c r="O108" s="9"/>
      <c r="P108" s="9"/>
      <c r="Q108" s="9"/>
      <c r="R108" s="9"/>
      <c r="S108" s="40"/>
      <c r="T108" s="40"/>
      <c r="U108" s="9"/>
      <c r="V108" s="9"/>
      <c r="W108" s="9"/>
      <c r="X108" s="9"/>
      <c r="Y108" s="9"/>
      <c r="Z108" s="9"/>
      <c r="AA108" s="9"/>
      <c r="AB108" s="9"/>
      <c r="AC108" s="10" t="str">
        <f aca="false">IF(A108="","",SG_Criteria!$B$6&amp;SG_Criteria!$B$9&amp;"\"&amp;A108&amp;"\")</f>
        <v/>
      </c>
      <c r="AD108" s="10" t="str">
        <f aca="false">IF(A108="","",A108&amp;"_CAD.dwg")</f>
        <v/>
      </c>
      <c r="AE108" s="10" t="str">
        <f aca="false">IF(A108="","",A108&amp;"_DWG.pdf")</f>
        <v/>
      </c>
      <c r="AF108" s="10" t="str">
        <f aca="false">IF(A108="","",IF(AB108="Y",A108&amp;"_STAAD.std","n/a"))</f>
        <v/>
      </c>
      <c r="AG108" s="10" t="str">
        <f aca="false">IF(A108="","",A108&amp;"_CALC.xlsx")</f>
        <v/>
      </c>
      <c r="AH108" s="10" t="str">
        <f aca="false">IF(A108="","",A108&amp;"_CALC.pdf")</f>
        <v/>
      </c>
      <c r="AI108" s="9"/>
      <c r="AJ108" s="9"/>
      <c r="AK108" s="41"/>
      <c r="AL108" s="41"/>
      <c r="AM108" s="41"/>
      <c r="AN108" s="41"/>
      <c r="AO108" s="41"/>
      <c r="AP108" s="38" t="str">
        <f aca="false">IF(OR(C108="",E108=""),"",IF(E108&lt;=IF(C108="Soldier Pile &amp; Timber Lagging",SG_Criteria!$B$34,SG_Criteria!$B$33),"No ERSS submission",IF(E108&lt;=SG_Criteria!$B$35,"QP(ST)",IF(E108&lt;=SG_Criteria!$B$36,"QP(ST) + AC","Geotechnical building works: QP(Geo) + AC"))))</f>
        <v/>
      </c>
      <c r="AQ108" s="38" t="str">
        <f aca="false">IF(C108="","",IF(LEN(IF(AND(U108&lt;&gt;"",IFERROR(VALUE(MID(U108,2,2)),0)&lt;SG_Criteria!$B$19),"FAIL: grade below C"&amp;SG_Criteria!$B$19&amp;". ","")&amp;IF(AND(LEFT(C108,3)="Con",N(H108)&lt;E108,G108="Kallang Formation (marine clay)"),"NOTE: CBP is not watertight below GWT in marine clay; consider secant / grouting. ","")&amp;IF(AND(C108="Steel Sheet Pile",D108="Permanent"),"NOTE: permanent sheet pile needs corrosion allowance. ","")&amp;IF(AND(F108="Cantilever (no support)",E108&gt;6),"NOTE: cantilever embedded wall &gt; 6 m, check deflection. ","")&amp;IF(AND(S108&lt;&gt;"",T108&lt;&gt;"",S108&gt;T108),"FAIL: deflection exceeds allowable. ",""))=0,"OK",IF(AND(U108&lt;&gt;"",IFERROR(VALUE(MID(U108,2,2)),0)&lt;SG_Criteria!$B$19),"FAIL: grade below C"&amp;SG_Criteria!$B$19&amp;". ","")&amp;IF(AND(LEFT(C108,3)="Con",N(H108)&lt;E108,G108="Kallang Formation (marine clay)"),"NOTE: CBP is not watertight below GWT in marine clay; consider secant / grouting. ","")&amp;IF(AND(C108="Steel Sheet Pile",D108="Permanent"),"NOTE: permanent sheet pile needs corrosion allowance. ","")&amp;IF(AND(F108="Cantilever (no support)",E108&gt;6),"NOTE: cantilever embedded wall &gt; 6 m, check deflection. ","")&amp;IF(AND(S108&lt;&gt;"",T108&lt;&gt;"",S108&gt;T108),"FAIL: deflection exceeds allowable. ","")))</f>
        <v/>
      </c>
      <c r="AR108" s="9"/>
      <c r="AS108" s="9"/>
      <c r="AT108" s="9"/>
      <c r="AU108" s="9"/>
      <c r="AV108" s="9"/>
      <c r="AW108" s="31"/>
      <c r="AX108" s="10" t="str">
        <f aca="false">IF(C108="","",IF(AND(Y108="Approved",ISERROR(SEARCH("FAIL",AQ108))),"Y","N"))</f>
        <v/>
      </c>
      <c r="AY108" s="10" t="str">
        <f aca="false">IF(C108="","",C108&amp;"|"&amp;E108&amp;"|"&amp;F108&amp;"|"&amp;G108&amp;"|"&amp;D108&amp;"|"&amp;AX108)</f>
        <v/>
      </c>
    </row>
    <row r="109" customFormat="false" ht="15" hidden="false" customHeight="false" outlineLevel="0" collapsed="false">
      <c r="A109" s="10" t="str">
        <f aca="false">IF(C109="","","EW-"&amp;IFERROR(VLOOKUP(C109,Lists!$P$4:$Q$22,2,0),"??")&amp;"-D"&amp;TEXT(E109*1000,"0000")&amp;"-"&amp;IFERROR(VLOOKUP(F109,Lists!$S$4:$T$21,2,0),"??")&amp;"-"&amp;IFERROR(VLOOKUP(G109,Lists!$Y$4:$Z$21,2,0),"??")&amp;"-"&amp;IFERROR(VLOOKUP(D109,Lists!$V$4:$W$16,2,0),"??")&amp;"-"&amp;X109)</f>
        <v/>
      </c>
      <c r="B109" s="10" t="str">
        <f aca="false">IF(C109="","",D109&amp;" "&amp;C109&amp;", excavation "&amp;TEXT(E109,"0.0")&amp;" m, "&amp;F109&amp;", "&amp;G109&amp;", "&amp;J109)</f>
        <v/>
      </c>
      <c r="C109" s="9"/>
      <c r="D109" s="9"/>
      <c r="E109" s="43"/>
      <c r="F109" s="9"/>
      <c r="G109" s="9"/>
      <c r="H109" s="43"/>
      <c r="I109" s="40"/>
      <c r="J109" s="9"/>
      <c r="K109" s="9"/>
      <c r="L109" s="9"/>
      <c r="M109" s="43"/>
      <c r="N109" s="43"/>
      <c r="O109" s="9"/>
      <c r="P109" s="9"/>
      <c r="Q109" s="9"/>
      <c r="R109" s="9"/>
      <c r="S109" s="40"/>
      <c r="T109" s="40"/>
      <c r="U109" s="9"/>
      <c r="V109" s="9"/>
      <c r="W109" s="9"/>
      <c r="X109" s="9"/>
      <c r="Y109" s="9"/>
      <c r="Z109" s="9"/>
      <c r="AA109" s="9"/>
      <c r="AB109" s="9"/>
      <c r="AC109" s="10" t="str">
        <f aca="false">IF(A109="","",SG_Criteria!$B$6&amp;SG_Criteria!$B$9&amp;"\"&amp;A109&amp;"\")</f>
        <v/>
      </c>
      <c r="AD109" s="10" t="str">
        <f aca="false">IF(A109="","",A109&amp;"_CAD.dwg")</f>
        <v/>
      </c>
      <c r="AE109" s="10" t="str">
        <f aca="false">IF(A109="","",A109&amp;"_DWG.pdf")</f>
        <v/>
      </c>
      <c r="AF109" s="10" t="str">
        <f aca="false">IF(A109="","",IF(AB109="Y",A109&amp;"_STAAD.std","n/a"))</f>
        <v/>
      </c>
      <c r="AG109" s="10" t="str">
        <f aca="false">IF(A109="","",A109&amp;"_CALC.xlsx")</f>
        <v/>
      </c>
      <c r="AH109" s="10" t="str">
        <f aca="false">IF(A109="","",A109&amp;"_CALC.pdf")</f>
        <v/>
      </c>
      <c r="AI109" s="9"/>
      <c r="AJ109" s="9"/>
      <c r="AK109" s="41"/>
      <c r="AL109" s="41"/>
      <c r="AM109" s="41"/>
      <c r="AN109" s="41"/>
      <c r="AO109" s="41"/>
      <c r="AP109" s="38" t="str">
        <f aca="false">IF(OR(C109="",E109=""),"",IF(E109&lt;=IF(C109="Soldier Pile &amp; Timber Lagging",SG_Criteria!$B$34,SG_Criteria!$B$33),"No ERSS submission",IF(E109&lt;=SG_Criteria!$B$35,"QP(ST)",IF(E109&lt;=SG_Criteria!$B$36,"QP(ST) + AC","Geotechnical building works: QP(Geo) + AC"))))</f>
        <v/>
      </c>
      <c r="AQ109" s="38" t="str">
        <f aca="false">IF(C109="","",IF(LEN(IF(AND(U109&lt;&gt;"",IFERROR(VALUE(MID(U109,2,2)),0)&lt;SG_Criteria!$B$19),"FAIL: grade below C"&amp;SG_Criteria!$B$19&amp;". ","")&amp;IF(AND(LEFT(C109,3)="Con",N(H109)&lt;E109,G109="Kallang Formation (marine clay)"),"NOTE: CBP is not watertight below GWT in marine clay; consider secant / grouting. ","")&amp;IF(AND(C109="Steel Sheet Pile",D109="Permanent"),"NOTE: permanent sheet pile needs corrosion allowance. ","")&amp;IF(AND(F109="Cantilever (no support)",E109&gt;6),"NOTE: cantilever embedded wall &gt; 6 m, check deflection. ","")&amp;IF(AND(S109&lt;&gt;"",T109&lt;&gt;"",S109&gt;T109),"FAIL: deflection exceeds allowable. ",""))=0,"OK",IF(AND(U109&lt;&gt;"",IFERROR(VALUE(MID(U109,2,2)),0)&lt;SG_Criteria!$B$19),"FAIL: grade below C"&amp;SG_Criteria!$B$19&amp;". ","")&amp;IF(AND(LEFT(C109,3)="Con",N(H109)&lt;E109,G109="Kallang Formation (marine clay)"),"NOTE: CBP is not watertight below GWT in marine clay; consider secant / grouting. ","")&amp;IF(AND(C109="Steel Sheet Pile",D109="Permanent"),"NOTE: permanent sheet pile needs corrosion allowance. ","")&amp;IF(AND(F109="Cantilever (no support)",E109&gt;6),"NOTE: cantilever embedded wall &gt; 6 m, check deflection. ","")&amp;IF(AND(S109&lt;&gt;"",T109&lt;&gt;"",S109&gt;T109),"FAIL: deflection exceeds allowable. ","")))</f>
        <v/>
      </c>
      <c r="AR109" s="9"/>
      <c r="AS109" s="9"/>
      <c r="AT109" s="9"/>
      <c r="AU109" s="9"/>
      <c r="AV109" s="9"/>
      <c r="AW109" s="31"/>
      <c r="AX109" s="10" t="str">
        <f aca="false">IF(C109="","",IF(AND(Y109="Approved",ISERROR(SEARCH("FAIL",AQ109))),"Y","N"))</f>
        <v/>
      </c>
      <c r="AY109" s="10" t="str">
        <f aca="false">IF(C109="","",C109&amp;"|"&amp;E109&amp;"|"&amp;F109&amp;"|"&amp;G109&amp;"|"&amp;D109&amp;"|"&amp;AX109)</f>
        <v/>
      </c>
    </row>
    <row r="110" customFormat="false" ht="15" hidden="false" customHeight="false" outlineLevel="0" collapsed="false">
      <c r="A110" s="10" t="str">
        <f aca="false">IF(C110="","","EW-"&amp;IFERROR(VLOOKUP(C110,Lists!$P$4:$Q$22,2,0),"??")&amp;"-D"&amp;TEXT(E110*1000,"0000")&amp;"-"&amp;IFERROR(VLOOKUP(F110,Lists!$S$4:$T$21,2,0),"??")&amp;"-"&amp;IFERROR(VLOOKUP(G110,Lists!$Y$4:$Z$21,2,0),"??")&amp;"-"&amp;IFERROR(VLOOKUP(D110,Lists!$V$4:$W$16,2,0),"??")&amp;"-"&amp;X110)</f>
        <v/>
      </c>
      <c r="B110" s="10" t="str">
        <f aca="false">IF(C110="","",D110&amp;" "&amp;C110&amp;", excavation "&amp;TEXT(E110,"0.0")&amp;" m, "&amp;F110&amp;", "&amp;G110&amp;", "&amp;J110)</f>
        <v/>
      </c>
      <c r="C110" s="9"/>
      <c r="D110" s="9"/>
      <c r="E110" s="43"/>
      <c r="F110" s="9"/>
      <c r="G110" s="9"/>
      <c r="H110" s="43"/>
      <c r="I110" s="40"/>
      <c r="J110" s="9"/>
      <c r="K110" s="9"/>
      <c r="L110" s="9"/>
      <c r="M110" s="43"/>
      <c r="N110" s="43"/>
      <c r="O110" s="9"/>
      <c r="P110" s="9"/>
      <c r="Q110" s="9"/>
      <c r="R110" s="9"/>
      <c r="S110" s="40"/>
      <c r="T110" s="40"/>
      <c r="U110" s="9"/>
      <c r="V110" s="9"/>
      <c r="W110" s="9"/>
      <c r="X110" s="9"/>
      <c r="Y110" s="9"/>
      <c r="Z110" s="9"/>
      <c r="AA110" s="9"/>
      <c r="AB110" s="9"/>
      <c r="AC110" s="10" t="str">
        <f aca="false">IF(A110="","",SG_Criteria!$B$6&amp;SG_Criteria!$B$9&amp;"\"&amp;A110&amp;"\")</f>
        <v/>
      </c>
      <c r="AD110" s="10" t="str">
        <f aca="false">IF(A110="","",A110&amp;"_CAD.dwg")</f>
        <v/>
      </c>
      <c r="AE110" s="10" t="str">
        <f aca="false">IF(A110="","",A110&amp;"_DWG.pdf")</f>
        <v/>
      </c>
      <c r="AF110" s="10" t="str">
        <f aca="false">IF(A110="","",IF(AB110="Y",A110&amp;"_STAAD.std","n/a"))</f>
        <v/>
      </c>
      <c r="AG110" s="10" t="str">
        <f aca="false">IF(A110="","",A110&amp;"_CALC.xlsx")</f>
        <v/>
      </c>
      <c r="AH110" s="10" t="str">
        <f aca="false">IF(A110="","",A110&amp;"_CALC.pdf")</f>
        <v/>
      </c>
      <c r="AI110" s="9"/>
      <c r="AJ110" s="9"/>
      <c r="AK110" s="41"/>
      <c r="AL110" s="41"/>
      <c r="AM110" s="41"/>
      <c r="AN110" s="41"/>
      <c r="AO110" s="41"/>
      <c r="AP110" s="38" t="str">
        <f aca="false">IF(OR(C110="",E110=""),"",IF(E110&lt;=IF(C110="Soldier Pile &amp; Timber Lagging",SG_Criteria!$B$34,SG_Criteria!$B$33),"No ERSS submission",IF(E110&lt;=SG_Criteria!$B$35,"QP(ST)",IF(E110&lt;=SG_Criteria!$B$36,"QP(ST) + AC","Geotechnical building works: QP(Geo) + AC"))))</f>
        <v/>
      </c>
      <c r="AQ110" s="38" t="str">
        <f aca="false">IF(C110="","",IF(LEN(IF(AND(U110&lt;&gt;"",IFERROR(VALUE(MID(U110,2,2)),0)&lt;SG_Criteria!$B$19),"FAIL: grade below C"&amp;SG_Criteria!$B$19&amp;". ","")&amp;IF(AND(LEFT(C110,3)="Con",N(H110)&lt;E110,G110="Kallang Formation (marine clay)"),"NOTE: CBP is not watertight below GWT in marine clay; consider secant / grouting. ","")&amp;IF(AND(C110="Steel Sheet Pile",D110="Permanent"),"NOTE: permanent sheet pile needs corrosion allowance. ","")&amp;IF(AND(F110="Cantilever (no support)",E110&gt;6),"NOTE: cantilever embedded wall &gt; 6 m, check deflection. ","")&amp;IF(AND(S110&lt;&gt;"",T110&lt;&gt;"",S110&gt;T110),"FAIL: deflection exceeds allowable. ",""))=0,"OK",IF(AND(U110&lt;&gt;"",IFERROR(VALUE(MID(U110,2,2)),0)&lt;SG_Criteria!$B$19),"FAIL: grade below C"&amp;SG_Criteria!$B$19&amp;". ","")&amp;IF(AND(LEFT(C110,3)="Con",N(H110)&lt;E110,G110="Kallang Formation (marine clay)"),"NOTE: CBP is not watertight below GWT in marine clay; consider secant / grouting. ","")&amp;IF(AND(C110="Steel Sheet Pile",D110="Permanent"),"NOTE: permanent sheet pile needs corrosion allowance. ","")&amp;IF(AND(F110="Cantilever (no support)",E110&gt;6),"NOTE: cantilever embedded wall &gt; 6 m, check deflection. ","")&amp;IF(AND(S110&lt;&gt;"",T110&lt;&gt;"",S110&gt;T110),"FAIL: deflection exceeds allowable. ","")))</f>
        <v/>
      </c>
      <c r="AR110" s="9"/>
      <c r="AS110" s="9"/>
      <c r="AT110" s="9"/>
      <c r="AU110" s="9"/>
      <c r="AV110" s="9"/>
      <c r="AW110" s="31"/>
      <c r="AX110" s="10" t="str">
        <f aca="false">IF(C110="","",IF(AND(Y110="Approved",ISERROR(SEARCH("FAIL",AQ110))),"Y","N"))</f>
        <v/>
      </c>
      <c r="AY110" s="10" t="str">
        <f aca="false">IF(C110="","",C110&amp;"|"&amp;E110&amp;"|"&amp;F110&amp;"|"&amp;G110&amp;"|"&amp;D110&amp;"|"&amp;AX110)</f>
        <v/>
      </c>
    </row>
    <row r="111" customFormat="false" ht="15" hidden="false" customHeight="false" outlineLevel="0" collapsed="false">
      <c r="A111" s="10" t="str">
        <f aca="false">IF(C111="","","EW-"&amp;IFERROR(VLOOKUP(C111,Lists!$P$4:$Q$22,2,0),"??")&amp;"-D"&amp;TEXT(E111*1000,"0000")&amp;"-"&amp;IFERROR(VLOOKUP(F111,Lists!$S$4:$T$21,2,0),"??")&amp;"-"&amp;IFERROR(VLOOKUP(G111,Lists!$Y$4:$Z$21,2,0),"??")&amp;"-"&amp;IFERROR(VLOOKUP(D111,Lists!$V$4:$W$16,2,0),"??")&amp;"-"&amp;X111)</f>
        <v/>
      </c>
      <c r="B111" s="10" t="str">
        <f aca="false">IF(C111="","",D111&amp;" "&amp;C111&amp;", excavation "&amp;TEXT(E111,"0.0")&amp;" m, "&amp;F111&amp;", "&amp;G111&amp;", "&amp;J111)</f>
        <v/>
      </c>
      <c r="C111" s="9"/>
      <c r="D111" s="9"/>
      <c r="E111" s="43"/>
      <c r="F111" s="9"/>
      <c r="G111" s="9"/>
      <c r="H111" s="43"/>
      <c r="I111" s="40"/>
      <c r="J111" s="9"/>
      <c r="K111" s="9"/>
      <c r="L111" s="9"/>
      <c r="M111" s="43"/>
      <c r="N111" s="43"/>
      <c r="O111" s="9"/>
      <c r="P111" s="9"/>
      <c r="Q111" s="9"/>
      <c r="R111" s="9"/>
      <c r="S111" s="40"/>
      <c r="T111" s="40"/>
      <c r="U111" s="9"/>
      <c r="V111" s="9"/>
      <c r="W111" s="9"/>
      <c r="X111" s="9"/>
      <c r="Y111" s="9"/>
      <c r="Z111" s="9"/>
      <c r="AA111" s="9"/>
      <c r="AB111" s="9"/>
      <c r="AC111" s="10" t="str">
        <f aca="false">IF(A111="","",SG_Criteria!$B$6&amp;SG_Criteria!$B$9&amp;"\"&amp;A111&amp;"\")</f>
        <v/>
      </c>
      <c r="AD111" s="10" t="str">
        <f aca="false">IF(A111="","",A111&amp;"_CAD.dwg")</f>
        <v/>
      </c>
      <c r="AE111" s="10" t="str">
        <f aca="false">IF(A111="","",A111&amp;"_DWG.pdf")</f>
        <v/>
      </c>
      <c r="AF111" s="10" t="str">
        <f aca="false">IF(A111="","",IF(AB111="Y",A111&amp;"_STAAD.std","n/a"))</f>
        <v/>
      </c>
      <c r="AG111" s="10" t="str">
        <f aca="false">IF(A111="","",A111&amp;"_CALC.xlsx")</f>
        <v/>
      </c>
      <c r="AH111" s="10" t="str">
        <f aca="false">IF(A111="","",A111&amp;"_CALC.pdf")</f>
        <v/>
      </c>
      <c r="AI111" s="9"/>
      <c r="AJ111" s="9"/>
      <c r="AK111" s="41"/>
      <c r="AL111" s="41"/>
      <c r="AM111" s="41"/>
      <c r="AN111" s="41"/>
      <c r="AO111" s="41"/>
      <c r="AP111" s="38" t="str">
        <f aca="false">IF(OR(C111="",E111=""),"",IF(E111&lt;=IF(C111="Soldier Pile &amp; Timber Lagging",SG_Criteria!$B$34,SG_Criteria!$B$33),"No ERSS submission",IF(E111&lt;=SG_Criteria!$B$35,"QP(ST)",IF(E111&lt;=SG_Criteria!$B$36,"QP(ST) + AC","Geotechnical building works: QP(Geo) + AC"))))</f>
        <v/>
      </c>
      <c r="AQ111" s="38" t="str">
        <f aca="false">IF(C111="","",IF(LEN(IF(AND(U111&lt;&gt;"",IFERROR(VALUE(MID(U111,2,2)),0)&lt;SG_Criteria!$B$19),"FAIL: grade below C"&amp;SG_Criteria!$B$19&amp;". ","")&amp;IF(AND(LEFT(C111,3)="Con",N(H111)&lt;E111,G111="Kallang Formation (marine clay)"),"NOTE: CBP is not watertight below GWT in marine clay; consider secant / grouting. ","")&amp;IF(AND(C111="Steel Sheet Pile",D111="Permanent"),"NOTE: permanent sheet pile needs corrosion allowance. ","")&amp;IF(AND(F111="Cantilever (no support)",E111&gt;6),"NOTE: cantilever embedded wall &gt; 6 m, check deflection. ","")&amp;IF(AND(S111&lt;&gt;"",T111&lt;&gt;"",S111&gt;T111),"FAIL: deflection exceeds allowable. ",""))=0,"OK",IF(AND(U111&lt;&gt;"",IFERROR(VALUE(MID(U111,2,2)),0)&lt;SG_Criteria!$B$19),"FAIL: grade below C"&amp;SG_Criteria!$B$19&amp;". ","")&amp;IF(AND(LEFT(C111,3)="Con",N(H111)&lt;E111,G111="Kallang Formation (marine clay)"),"NOTE: CBP is not watertight below GWT in marine clay; consider secant / grouting. ","")&amp;IF(AND(C111="Steel Sheet Pile",D111="Permanent"),"NOTE: permanent sheet pile needs corrosion allowance. ","")&amp;IF(AND(F111="Cantilever (no support)",E111&gt;6),"NOTE: cantilever embedded wall &gt; 6 m, check deflection. ","")&amp;IF(AND(S111&lt;&gt;"",T111&lt;&gt;"",S111&gt;T111),"FAIL: deflection exceeds allowable. ","")))</f>
        <v/>
      </c>
      <c r="AR111" s="9"/>
      <c r="AS111" s="9"/>
      <c r="AT111" s="9"/>
      <c r="AU111" s="9"/>
      <c r="AV111" s="9"/>
      <c r="AW111" s="31"/>
      <c r="AX111" s="10" t="str">
        <f aca="false">IF(C111="","",IF(AND(Y111="Approved",ISERROR(SEARCH("FAIL",AQ111))),"Y","N"))</f>
        <v/>
      </c>
      <c r="AY111" s="10" t="str">
        <f aca="false">IF(C111="","",C111&amp;"|"&amp;E111&amp;"|"&amp;F111&amp;"|"&amp;G111&amp;"|"&amp;D111&amp;"|"&amp;AX111)</f>
        <v/>
      </c>
    </row>
    <row r="112" customFormat="false" ht="15" hidden="false" customHeight="false" outlineLevel="0" collapsed="false">
      <c r="A112" s="10" t="str">
        <f aca="false">IF(C112="","","EW-"&amp;IFERROR(VLOOKUP(C112,Lists!$P$4:$Q$22,2,0),"??")&amp;"-D"&amp;TEXT(E112*1000,"0000")&amp;"-"&amp;IFERROR(VLOOKUP(F112,Lists!$S$4:$T$21,2,0),"??")&amp;"-"&amp;IFERROR(VLOOKUP(G112,Lists!$Y$4:$Z$21,2,0),"??")&amp;"-"&amp;IFERROR(VLOOKUP(D112,Lists!$V$4:$W$16,2,0),"??")&amp;"-"&amp;X112)</f>
        <v/>
      </c>
      <c r="B112" s="10" t="str">
        <f aca="false">IF(C112="","",D112&amp;" "&amp;C112&amp;", excavation "&amp;TEXT(E112,"0.0")&amp;" m, "&amp;F112&amp;", "&amp;G112&amp;", "&amp;J112)</f>
        <v/>
      </c>
      <c r="C112" s="9"/>
      <c r="D112" s="9"/>
      <c r="E112" s="43"/>
      <c r="F112" s="9"/>
      <c r="G112" s="9"/>
      <c r="H112" s="43"/>
      <c r="I112" s="40"/>
      <c r="J112" s="9"/>
      <c r="K112" s="9"/>
      <c r="L112" s="9"/>
      <c r="M112" s="43"/>
      <c r="N112" s="43"/>
      <c r="O112" s="9"/>
      <c r="P112" s="9"/>
      <c r="Q112" s="9"/>
      <c r="R112" s="9"/>
      <c r="S112" s="40"/>
      <c r="T112" s="40"/>
      <c r="U112" s="9"/>
      <c r="V112" s="9"/>
      <c r="W112" s="9"/>
      <c r="X112" s="9"/>
      <c r="Y112" s="9"/>
      <c r="Z112" s="9"/>
      <c r="AA112" s="9"/>
      <c r="AB112" s="9"/>
      <c r="AC112" s="10" t="str">
        <f aca="false">IF(A112="","",SG_Criteria!$B$6&amp;SG_Criteria!$B$9&amp;"\"&amp;A112&amp;"\")</f>
        <v/>
      </c>
      <c r="AD112" s="10" t="str">
        <f aca="false">IF(A112="","",A112&amp;"_CAD.dwg")</f>
        <v/>
      </c>
      <c r="AE112" s="10" t="str">
        <f aca="false">IF(A112="","",A112&amp;"_DWG.pdf")</f>
        <v/>
      </c>
      <c r="AF112" s="10" t="str">
        <f aca="false">IF(A112="","",IF(AB112="Y",A112&amp;"_STAAD.std","n/a"))</f>
        <v/>
      </c>
      <c r="AG112" s="10" t="str">
        <f aca="false">IF(A112="","",A112&amp;"_CALC.xlsx")</f>
        <v/>
      </c>
      <c r="AH112" s="10" t="str">
        <f aca="false">IF(A112="","",A112&amp;"_CALC.pdf")</f>
        <v/>
      </c>
      <c r="AI112" s="9"/>
      <c r="AJ112" s="9"/>
      <c r="AK112" s="41"/>
      <c r="AL112" s="41"/>
      <c r="AM112" s="41"/>
      <c r="AN112" s="41"/>
      <c r="AO112" s="41"/>
      <c r="AP112" s="38" t="str">
        <f aca="false">IF(OR(C112="",E112=""),"",IF(E112&lt;=IF(C112="Soldier Pile &amp; Timber Lagging",SG_Criteria!$B$34,SG_Criteria!$B$33),"No ERSS submission",IF(E112&lt;=SG_Criteria!$B$35,"QP(ST)",IF(E112&lt;=SG_Criteria!$B$36,"QP(ST) + AC","Geotechnical building works: QP(Geo) + AC"))))</f>
        <v/>
      </c>
      <c r="AQ112" s="38" t="str">
        <f aca="false">IF(C112="","",IF(LEN(IF(AND(U112&lt;&gt;"",IFERROR(VALUE(MID(U112,2,2)),0)&lt;SG_Criteria!$B$19),"FAIL: grade below C"&amp;SG_Criteria!$B$19&amp;". ","")&amp;IF(AND(LEFT(C112,3)="Con",N(H112)&lt;E112,G112="Kallang Formation (marine clay)"),"NOTE: CBP is not watertight below GWT in marine clay; consider secant / grouting. ","")&amp;IF(AND(C112="Steel Sheet Pile",D112="Permanent"),"NOTE: permanent sheet pile needs corrosion allowance. ","")&amp;IF(AND(F112="Cantilever (no support)",E112&gt;6),"NOTE: cantilever embedded wall &gt; 6 m, check deflection. ","")&amp;IF(AND(S112&lt;&gt;"",T112&lt;&gt;"",S112&gt;T112),"FAIL: deflection exceeds allowable. ",""))=0,"OK",IF(AND(U112&lt;&gt;"",IFERROR(VALUE(MID(U112,2,2)),0)&lt;SG_Criteria!$B$19),"FAIL: grade below C"&amp;SG_Criteria!$B$19&amp;". ","")&amp;IF(AND(LEFT(C112,3)="Con",N(H112)&lt;E112,G112="Kallang Formation (marine clay)"),"NOTE: CBP is not watertight below GWT in marine clay; consider secant / grouting. ","")&amp;IF(AND(C112="Steel Sheet Pile",D112="Permanent"),"NOTE: permanent sheet pile needs corrosion allowance. ","")&amp;IF(AND(F112="Cantilever (no support)",E112&gt;6),"NOTE: cantilever embedded wall &gt; 6 m, check deflection. ","")&amp;IF(AND(S112&lt;&gt;"",T112&lt;&gt;"",S112&gt;T112),"FAIL: deflection exceeds allowable. ","")))</f>
        <v/>
      </c>
      <c r="AR112" s="9"/>
      <c r="AS112" s="9"/>
      <c r="AT112" s="9"/>
      <c r="AU112" s="9"/>
      <c r="AV112" s="9"/>
      <c r="AW112" s="31"/>
      <c r="AX112" s="10" t="str">
        <f aca="false">IF(C112="","",IF(AND(Y112="Approved",ISERROR(SEARCH("FAIL",AQ112))),"Y","N"))</f>
        <v/>
      </c>
      <c r="AY112" s="10" t="str">
        <f aca="false">IF(C112="","",C112&amp;"|"&amp;E112&amp;"|"&amp;F112&amp;"|"&amp;G112&amp;"|"&amp;D112&amp;"|"&amp;AX112)</f>
        <v/>
      </c>
    </row>
    <row r="113" customFormat="false" ht="15" hidden="false" customHeight="false" outlineLevel="0" collapsed="false">
      <c r="A113" s="10" t="str">
        <f aca="false">IF(C113="","","EW-"&amp;IFERROR(VLOOKUP(C113,Lists!$P$4:$Q$22,2,0),"??")&amp;"-D"&amp;TEXT(E113*1000,"0000")&amp;"-"&amp;IFERROR(VLOOKUP(F113,Lists!$S$4:$T$21,2,0),"??")&amp;"-"&amp;IFERROR(VLOOKUP(G113,Lists!$Y$4:$Z$21,2,0),"??")&amp;"-"&amp;IFERROR(VLOOKUP(D113,Lists!$V$4:$W$16,2,0),"??")&amp;"-"&amp;X113)</f>
        <v/>
      </c>
      <c r="B113" s="10" t="str">
        <f aca="false">IF(C113="","",D113&amp;" "&amp;C113&amp;", excavation "&amp;TEXT(E113,"0.0")&amp;" m, "&amp;F113&amp;", "&amp;G113&amp;", "&amp;J113)</f>
        <v/>
      </c>
      <c r="C113" s="9"/>
      <c r="D113" s="9"/>
      <c r="E113" s="43"/>
      <c r="F113" s="9"/>
      <c r="G113" s="9"/>
      <c r="H113" s="43"/>
      <c r="I113" s="40"/>
      <c r="J113" s="9"/>
      <c r="K113" s="9"/>
      <c r="L113" s="9"/>
      <c r="M113" s="43"/>
      <c r="N113" s="43"/>
      <c r="O113" s="9"/>
      <c r="P113" s="9"/>
      <c r="Q113" s="9"/>
      <c r="R113" s="9"/>
      <c r="S113" s="40"/>
      <c r="T113" s="40"/>
      <c r="U113" s="9"/>
      <c r="V113" s="9"/>
      <c r="W113" s="9"/>
      <c r="X113" s="9"/>
      <c r="Y113" s="9"/>
      <c r="Z113" s="9"/>
      <c r="AA113" s="9"/>
      <c r="AB113" s="9"/>
      <c r="AC113" s="10" t="str">
        <f aca="false">IF(A113="","",SG_Criteria!$B$6&amp;SG_Criteria!$B$9&amp;"\"&amp;A113&amp;"\")</f>
        <v/>
      </c>
      <c r="AD113" s="10" t="str">
        <f aca="false">IF(A113="","",A113&amp;"_CAD.dwg")</f>
        <v/>
      </c>
      <c r="AE113" s="10" t="str">
        <f aca="false">IF(A113="","",A113&amp;"_DWG.pdf")</f>
        <v/>
      </c>
      <c r="AF113" s="10" t="str">
        <f aca="false">IF(A113="","",IF(AB113="Y",A113&amp;"_STAAD.std","n/a"))</f>
        <v/>
      </c>
      <c r="AG113" s="10" t="str">
        <f aca="false">IF(A113="","",A113&amp;"_CALC.xlsx")</f>
        <v/>
      </c>
      <c r="AH113" s="10" t="str">
        <f aca="false">IF(A113="","",A113&amp;"_CALC.pdf")</f>
        <v/>
      </c>
      <c r="AI113" s="9"/>
      <c r="AJ113" s="9"/>
      <c r="AK113" s="41"/>
      <c r="AL113" s="41"/>
      <c r="AM113" s="41"/>
      <c r="AN113" s="41"/>
      <c r="AO113" s="41"/>
      <c r="AP113" s="38" t="str">
        <f aca="false">IF(OR(C113="",E113=""),"",IF(E113&lt;=IF(C113="Soldier Pile &amp; Timber Lagging",SG_Criteria!$B$34,SG_Criteria!$B$33),"No ERSS submission",IF(E113&lt;=SG_Criteria!$B$35,"QP(ST)",IF(E113&lt;=SG_Criteria!$B$36,"QP(ST) + AC","Geotechnical building works: QP(Geo) + AC"))))</f>
        <v/>
      </c>
      <c r="AQ113" s="38" t="str">
        <f aca="false">IF(C113="","",IF(LEN(IF(AND(U113&lt;&gt;"",IFERROR(VALUE(MID(U113,2,2)),0)&lt;SG_Criteria!$B$19),"FAIL: grade below C"&amp;SG_Criteria!$B$19&amp;". ","")&amp;IF(AND(LEFT(C113,3)="Con",N(H113)&lt;E113,G113="Kallang Formation (marine clay)"),"NOTE: CBP is not watertight below GWT in marine clay; consider secant / grouting. ","")&amp;IF(AND(C113="Steel Sheet Pile",D113="Permanent"),"NOTE: permanent sheet pile needs corrosion allowance. ","")&amp;IF(AND(F113="Cantilever (no support)",E113&gt;6),"NOTE: cantilever embedded wall &gt; 6 m, check deflection. ","")&amp;IF(AND(S113&lt;&gt;"",T113&lt;&gt;"",S113&gt;T113),"FAIL: deflection exceeds allowable. ",""))=0,"OK",IF(AND(U113&lt;&gt;"",IFERROR(VALUE(MID(U113,2,2)),0)&lt;SG_Criteria!$B$19),"FAIL: grade below C"&amp;SG_Criteria!$B$19&amp;". ","")&amp;IF(AND(LEFT(C113,3)="Con",N(H113)&lt;E113,G113="Kallang Formation (marine clay)"),"NOTE: CBP is not watertight below GWT in marine clay; consider secant / grouting. ","")&amp;IF(AND(C113="Steel Sheet Pile",D113="Permanent"),"NOTE: permanent sheet pile needs corrosion allowance. ","")&amp;IF(AND(F113="Cantilever (no support)",E113&gt;6),"NOTE: cantilever embedded wall &gt; 6 m, check deflection. ","")&amp;IF(AND(S113&lt;&gt;"",T113&lt;&gt;"",S113&gt;T113),"FAIL: deflection exceeds allowable. ","")))</f>
        <v/>
      </c>
      <c r="AR113" s="9"/>
      <c r="AS113" s="9"/>
      <c r="AT113" s="9"/>
      <c r="AU113" s="9"/>
      <c r="AV113" s="9"/>
      <c r="AW113" s="31"/>
      <c r="AX113" s="10" t="str">
        <f aca="false">IF(C113="","",IF(AND(Y113="Approved",ISERROR(SEARCH("FAIL",AQ113))),"Y","N"))</f>
        <v/>
      </c>
      <c r="AY113" s="10" t="str">
        <f aca="false">IF(C113="","",C113&amp;"|"&amp;E113&amp;"|"&amp;F113&amp;"|"&amp;G113&amp;"|"&amp;D113&amp;"|"&amp;AX113)</f>
        <v/>
      </c>
    </row>
    <row r="114" customFormat="false" ht="15" hidden="false" customHeight="false" outlineLevel="0" collapsed="false">
      <c r="A114" s="10" t="str">
        <f aca="false">IF(C114="","","EW-"&amp;IFERROR(VLOOKUP(C114,Lists!$P$4:$Q$22,2,0),"??")&amp;"-D"&amp;TEXT(E114*1000,"0000")&amp;"-"&amp;IFERROR(VLOOKUP(F114,Lists!$S$4:$T$21,2,0),"??")&amp;"-"&amp;IFERROR(VLOOKUP(G114,Lists!$Y$4:$Z$21,2,0),"??")&amp;"-"&amp;IFERROR(VLOOKUP(D114,Lists!$V$4:$W$16,2,0),"??")&amp;"-"&amp;X114)</f>
        <v/>
      </c>
      <c r="B114" s="10" t="str">
        <f aca="false">IF(C114="","",D114&amp;" "&amp;C114&amp;", excavation "&amp;TEXT(E114,"0.0")&amp;" m, "&amp;F114&amp;", "&amp;G114&amp;", "&amp;J114)</f>
        <v/>
      </c>
      <c r="C114" s="9"/>
      <c r="D114" s="9"/>
      <c r="E114" s="43"/>
      <c r="F114" s="9"/>
      <c r="G114" s="9"/>
      <c r="H114" s="43"/>
      <c r="I114" s="40"/>
      <c r="J114" s="9"/>
      <c r="K114" s="9"/>
      <c r="L114" s="9"/>
      <c r="M114" s="43"/>
      <c r="N114" s="43"/>
      <c r="O114" s="9"/>
      <c r="P114" s="9"/>
      <c r="Q114" s="9"/>
      <c r="R114" s="9"/>
      <c r="S114" s="40"/>
      <c r="T114" s="40"/>
      <c r="U114" s="9"/>
      <c r="V114" s="9"/>
      <c r="W114" s="9"/>
      <c r="X114" s="9"/>
      <c r="Y114" s="9"/>
      <c r="Z114" s="9"/>
      <c r="AA114" s="9"/>
      <c r="AB114" s="9"/>
      <c r="AC114" s="10" t="str">
        <f aca="false">IF(A114="","",SG_Criteria!$B$6&amp;SG_Criteria!$B$9&amp;"\"&amp;A114&amp;"\")</f>
        <v/>
      </c>
      <c r="AD114" s="10" t="str">
        <f aca="false">IF(A114="","",A114&amp;"_CAD.dwg")</f>
        <v/>
      </c>
      <c r="AE114" s="10" t="str">
        <f aca="false">IF(A114="","",A114&amp;"_DWG.pdf")</f>
        <v/>
      </c>
      <c r="AF114" s="10" t="str">
        <f aca="false">IF(A114="","",IF(AB114="Y",A114&amp;"_STAAD.std","n/a"))</f>
        <v/>
      </c>
      <c r="AG114" s="10" t="str">
        <f aca="false">IF(A114="","",A114&amp;"_CALC.xlsx")</f>
        <v/>
      </c>
      <c r="AH114" s="10" t="str">
        <f aca="false">IF(A114="","",A114&amp;"_CALC.pdf")</f>
        <v/>
      </c>
      <c r="AI114" s="9"/>
      <c r="AJ114" s="9"/>
      <c r="AK114" s="41"/>
      <c r="AL114" s="41"/>
      <c r="AM114" s="41"/>
      <c r="AN114" s="41"/>
      <c r="AO114" s="41"/>
      <c r="AP114" s="38" t="str">
        <f aca="false">IF(OR(C114="",E114=""),"",IF(E114&lt;=IF(C114="Soldier Pile &amp; Timber Lagging",SG_Criteria!$B$34,SG_Criteria!$B$33),"No ERSS submission",IF(E114&lt;=SG_Criteria!$B$35,"QP(ST)",IF(E114&lt;=SG_Criteria!$B$36,"QP(ST) + AC","Geotechnical building works: QP(Geo) + AC"))))</f>
        <v/>
      </c>
      <c r="AQ114" s="38" t="str">
        <f aca="false">IF(C114="","",IF(LEN(IF(AND(U114&lt;&gt;"",IFERROR(VALUE(MID(U114,2,2)),0)&lt;SG_Criteria!$B$19),"FAIL: grade below C"&amp;SG_Criteria!$B$19&amp;". ","")&amp;IF(AND(LEFT(C114,3)="Con",N(H114)&lt;E114,G114="Kallang Formation (marine clay)"),"NOTE: CBP is not watertight below GWT in marine clay; consider secant / grouting. ","")&amp;IF(AND(C114="Steel Sheet Pile",D114="Permanent"),"NOTE: permanent sheet pile needs corrosion allowance. ","")&amp;IF(AND(F114="Cantilever (no support)",E114&gt;6),"NOTE: cantilever embedded wall &gt; 6 m, check deflection. ","")&amp;IF(AND(S114&lt;&gt;"",T114&lt;&gt;"",S114&gt;T114),"FAIL: deflection exceeds allowable. ",""))=0,"OK",IF(AND(U114&lt;&gt;"",IFERROR(VALUE(MID(U114,2,2)),0)&lt;SG_Criteria!$B$19),"FAIL: grade below C"&amp;SG_Criteria!$B$19&amp;". ","")&amp;IF(AND(LEFT(C114,3)="Con",N(H114)&lt;E114,G114="Kallang Formation (marine clay)"),"NOTE: CBP is not watertight below GWT in marine clay; consider secant / grouting. ","")&amp;IF(AND(C114="Steel Sheet Pile",D114="Permanent"),"NOTE: permanent sheet pile needs corrosion allowance. ","")&amp;IF(AND(F114="Cantilever (no support)",E114&gt;6),"NOTE: cantilever embedded wall &gt; 6 m, check deflection. ","")&amp;IF(AND(S114&lt;&gt;"",T114&lt;&gt;"",S114&gt;T114),"FAIL: deflection exceeds allowable. ","")))</f>
        <v/>
      </c>
      <c r="AR114" s="9"/>
      <c r="AS114" s="9"/>
      <c r="AT114" s="9"/>
      <c r="AU114" s="9"/>
      <c r="AV114" s="9"/>
      <c r="AW114" s="31"/>
      <c r="AX114" s="10" t="str">
        <f aca="false">IF(C114="","",IF(AND(Y114="Approved",ISERROR(SEARCH("FAIL",AQ114))),"Y","N"))</f>
        <v/>
      </c>
      <c r="AY114" s="10" t="str">
        <f aca="false">IF(C114="","",C114&amp;"|"&amp;E114&amp;"|"&amp;F114&amp;"|"&amp;G114&amp;"|"&amp;D114&amp;"|"&amp;AX114)</f>
        <v/>
      </c>
    </row>
    <row r="115" customFormat="false" ht="15" hidden="false" customHeight="false" outlineLevel="0" collapsed="false">
      <c r="A115" s="10" t="str">
        <f aca="false">IF(C115="","","EW-"&amp;IFERROR(VLOOKUP(C115,Lists!$P$4:$Q$22,2,0),"??")&amp;"-D"&amp;TEXT(E115*1000,"0000")&amp;"-"&amp;IFERROR(VLOOKUP(F115,Lists!$S$4:$T$21,2,0),"??")&amp;"-"&amp;IFERROR(VLOOKUP(G115,Lists!$Y$4:$Z$21,2,0),"??")&amp;"-"&amp;IFERROR(VLOOKUP(D115,Lists!$V$4:$W$16,2,0),"??")&amp;"-"&amp;X115)</f>
        <v/>
      </c>
      <c r="B115" s="10" t="str">
        <f aca="false">IF(C115="","",D115&amp;" "&amp;C115&amp;", excavation "&amp;TEXT(E115,"0.0")&amp;" m, "&amp;F115&amp;", "&amp;G115&amp;", "&amp;J115)</f>
        <v/>
      </c>
      <c r="C115" s="9"/>
      <c r="D115" s="9"/>
      <c r="E115" s="43"/>
      <c r="F115" s="9"/>
      <c r="G115" s="9"/>
      <c r="H115" s="43"/>
      <c r="I115" s="40"/>
      <c r="J115" s="9"/>
      <c r="K115" s="9"/>
      <c r="L115" s="9"/>
      <c r="M115" s="43"/>
      <c r="N115" s="43"/>
      <c r="O115" s="9"/>
      <c r="P115" s="9"/>
      <c r="Q115" s="9"/>
      <c r="R115" s="9"/>
      <c r="S115" s="40"/>
      <c r="T115" s="40"/>
      <c r="U115" s="9"/>
      <c r="V115" s="9"/>
      <c r="W115" s="9"/>
      <c r="X115" s="9"/>
      <c r="Y115" s="9"/>
      <c r="Z115" s="9"/>
      <c r="AA115" s="9"/>
      <c r="AB115" s="9"/>
      <c r="AC115" s="10" t="str">
        <f aca="false">IF(A115="","",SG_Criteria!$B$6&amp;SG_Criteria!$B$9&amp;"\"&amp;A115&amp;"\")</f>
        <v/>
      </c>
      <c r="AD115" s="10" t="str">
        <f aca="false">IF(A115="","",A115&amp;"_CAD.dwg")</f>
        <v/>
      </c>
      <c r="AE115" s="10" t="str">
        <f aca="false">IF(A115="","",A115&amp;"_DWG.pdf")</f>
        <v/>
      </c>
      <c r="AF115" s="10" t="str">
        <f aca="false">IF(A115="","",IF(AB115="Y",A115&amp;"_STAAD.std","n/a"))</f>
        <v/>
      </c>
      <c r="AG115" s="10" t="str">
        <f aca="false">IF(A115="","",A115&amp;"_CALC.xlsx")</f>
        <v/>
      </c>
      <c r="AH115" s="10" t="str">
        <f aca="false">IF(A115="","",A115&amp;"_CALC.pdf")</f>
        <v/>
      </c>
      <c r="AI115" s="9"/>
      <c r="AJ115" s="9"/>
      <c r="AK115" s="41"/>
      <c r="AL115" s="41"/>
      <c r="AM115" s="41"/>
      <c r="AN115" s="41"/>
      <c r="AO115" s="41"/>
      <c r="AP115" s="38" t="str">
        <f aca="false">IF(OR(C115="",E115=""),"",IF(E115&lt;=IF(C115="Soldier Pile &amp; Timber Lagging",SG_Criteria!$B$34,SG_Criteria!$B$33),"No ERSS submission",IF(E115&lt;=SG_Criteria!$B$35,"QP(ST)",IF(E115&lt;=SG_Criteria!$B$36,"QP(ST) + AC","Geotechnical building works: QP(Geo) + AC"))))</f>
        <v/>
      </c>
      <c r="AQ115" s="38" t="str">
        <f aca="false">IF(C115="","",IF(LEN(IF(AND(U115&lt;&gt;"",IFERROR(VALUE(MID(U115,2,2)),0)&lt;SG_Criteria!$B$19),"FAIL: grade below C"&amp;SG_Criteria!$B$19&amp;". ","")&amp;IF(AND(LEFT(C115,3)="Con",N(H115)&lt;E115,G115="Kallang Formation (marine clay)"),"NOTE: CBP is not watertight below GWT in marine clay; consider secant / grouting. ","")&amp;IF(AND(C115="Steel Sheet Pile",D115="Permanent"),"NOTE: permanent sheet pile needs corrosion allowance. ","")&amp;IF(AND(F115="Cantilever (no support)",E115&gt;6),"NOTE: cantilever embedded wall &gt; 6 m, check deflection. ","")&amp;IF(AND(S115&lt;&gt;"",T115&lt;&gt;"",S115&gt;T115),"FAIL: deflection exceeds allowable. ",""))=0,"OK",IF(AND(U115&lt;&gt;"",IFERROR(VALUE(MID(U115,2,2)),0)&lt;SG_Criteria!$B$19),"FAIL: grade below C"&amp;SG_Criteria!$B$19&amp;". ","")&amp;IF(AND(LEFT(C115,3)="Con",N(H115)&lt;E115,G115="Kallang Formation (marine clay)"),"NOTE: CBP is not watertight below GWT in marine clay; consider secant / grouting. ","")&amp;IF(AND(C115="Steel Sheet Pile",D115="Permanent"),"NOTE: permanent sheet pile needs corrosion allowance. ","")&amp;IF(AND(F115="Cantilever (no support)",E115&gt;6),"NOTE: cantilever embedded wall &gt; 6 m, check deflection. ","")&amp;IF(AND(S115&lt;&gt;"",T115&lt;&gt;"",S115&gt;T115),"FAIL: deflection exceeds allowable. ","")))</f>
        <v/>
      </c>
      <c r="AR115" s="9"/>
      <c r="AS115" s="9"/>
      <c r="AT115" s="9"/>
      <c r="AU115" s="9"/>
      <c r="AV115" s="9"/>
      <c r="AW115" s="31"/>
      <c r="AX115" s="10" t="str">
        <f aca="false">IF(C115="","",IF(AND(Y115="Approved",ISERROR(SEARCH("FAIL",AQ115))),"Y","N"))</f>
        <v/>
      </c>
      <c r="AY115" s="10" t="str">
        <f aca="false">IF(C115="","",C115&amp;"|"&amp;E115&amp;"|"&amp;F115&amp;"|"&amp;G115&amp;"|"&amp;D115&amp;"|"&amp;AX115)</f>
        <v/>
      </c>
    </row>
    <row r="116" customFormat="false" ht="15" hidden="false" customHeight="false" outlineLevel="0" collapsed="false">
      <c r="A116" s="10" t="str">
        <f aca="false">IF(C116="","","EW-"&amp;IFERROR(VLOOKUP(C116,Lists!$P$4:$Q$22,2,0),"??")&amp;"-D"&amp;TEXT(E116*1000,"0000")&amp;"-"&amp;IFERROR(VLOOKUP(F116,Lists!$S$4:$T$21,2,0),"??")&amp;"-"&amp;IFERROR(VLOOKUP(G116,Lists!$Y$4:$Z$21,2,0),"??")&amp;"-"&amp;IFERROR(VLOOKUP(D116,Lists!$V$4:$W$16,2,0),"??")&amp;"-"&amp;X116)</f>
        <v/>
      </c>
      <c r="B116" s="10" t="str">
        <f aca="false">IF(C116="","",D116&amp;" "&amp;C116&amp;", excavation "&amp;TEXT(E116,"0.0")&amp;" m, "&amp;F116&amp;", "&amp;G116&amp;", "&amp;J116)</f>
        <v/>
      </c>
      <c r="C116" s="9"/>
      <c r="D116" s="9"/>
      <c r="E116" s="43"/>
      <c r="F116" s="9"/>
      <c r="G116" s="9"/>
      <c r="H116" s="43"/>
      <c r="I116" s="40"/>
      <c r="J116" s="9"/>
      <c r="K116" s="9"/>
      <c r="L116" s="9"/>
      <c r="M116" s="43"/>
      <c r="N116" s="43"/>
      <c r="O116" s="9"/>
      <c r="P116" s="9"/>
      <c r="Q116" s="9"/>
      <c r="R116" s="9"/>
      <c r="S116" s="40"/>
      <c r="T116" s="40"/>
      <c r="U116" s="9"/>
      <c r="V116" s="9"/>
      <c r="W116" s="9"/>
      <c r="X116" s="9"/>
      <c r="Y116" s="9"/>
      <c r="Z116" s="9"/>
      <c r="AA116" s="9"/>
      <c r="AB116" s="9"/>
      <c r="AC116" s="10" t="str">
        <f aca="false">IF(A116="","",SG_Criteria!$B$6&amp;SG_Criteria!$B$9&amp;"\"&amp;A116&amp;"\")</f>
        <v/>
      </c>
      <c r="AD116" s="10" t="str">
        <f aca="false">IF(A116="","",A116&amp;"_CAD.dwg")</f>
        <v/>
      </c>
      <c r="AE116" s="10" t="str">
        <f aca="false">IF(A116="","",A116&amp;"_DWG.pdf")</f>
        <v/>
      </c>
      <c r="AF116" s="10" t="str">
        <f aca="false">IF(A116="","",IF(AB116="Y",A116&amp;"_STAAD.std","n/a"))</f>
        <v/>
      </c>
      <c r="AG116" s="10" t="str">
        <f aca="false">IF(A116="","",A116&amp;"_CALC.xlsx")</f>
        <v/>
      </c>
      <c r="AH116" s="10" t="str">
        <f aca="false">IF(A116="","",A116&amp;"_CALC.pdf")</f>
        <v/>
      </c>
      <c r="AI116" s="9"/>
      <c r="AJ116" s="9"/>
      <c r="AK116" s="41"/>
      <c r="AL116" s="41"/>
      <c r="AM116" s="41"/>
      <c r="AN116" s="41"/>
      <c r="AO116" s="41"/>
      <c r="AP116" s="38" t="str">
        <f aca="false">IF(OR(C116="",E116=""),"",IF(E116&lt;=IF(C116="Soldier Pile &amp; Timber Lagging",SG_Criteria!$B$34,SG_Criteria!$B$33),"No ERSS submission",IF(E116&lt;=SG_Criteria!$B$35,"QP(ST)",IF(E116&lt;=SG_Criteria!$B$36,"QP(ST) + AC","Geotechnical building works: QP(Geo) + AC"))))</f>
        <v/>
      </c>
      <c r="AQ116" s="38" t="str">
        <f aca="false">IF(C116="","",IF(LEN(IF(AND(U116&lt;&gt;"",IFERROR(VALUE(MID(U116,2,2)),0)&lt;SG_Criteria!$B$19),"FAIL: grade below C"&amp;SG_Criteria!$B$19&amp;". ","")&amp;IF(AND(LEFT(C116,3)="Con",N(H116)&lt;E116,G116="Kallang Formation (marine clay)"),"NOTE: CBP is not watertight below GWT in marine clay; consider secant / grouting. ","")&amp;IF(AND(C116="Steel Sheet Pile",D116="Permanent"),"NOTE: permanent sheet pile needs corrosion allowance. ","")&amp;IF(AND(F116="Cantilever (no support)",E116&gt;6),"NOTE: cantilever embedded wall &gt; 6 m, check deflection. ","")&amp;IF(AND(S116&lt;&gt;"",T116&lt;&gt;"",S116&gt;T116),"FAIL: deflection exceeds allowable. ",""))=0,"OK",IF(AND(U116&lt;&gt;"",IFERROR(VALUE(MID(U116,2,2)),0)&lt;SG_Criteria!$B$19),"FAIL: grade below C"&amp;SG_Criteria!$B$19&amp;". ","")&amp;IF(AND(LEFT(C116,3)="Con",N(H116)&lt;E116,G116="Kallang Formation (marine clay)"),"NOTE: CBP is not watertight below GWT in marine clay; consider secant / grouting. ","")&amp;IF(AND(C116="Steel Sheet Pile",D116="Permanent"),"NOTE: permanent sheet pile needs corrosion allowance. ","")&amp;IF(AND(F116="Cantilever (no support)",E116&gt;6),"NOTE: cantilever embedded wall &gt; 6 m, check deflection. ","")&amp;IF(AND(S116&lt;&gt;"",T116&lt;&gt;"",S116&gt;T116),"FAIL: deflection exceeds allowable. ","")))</f>
        <v/>
      </c>
      <c r="AR116" s="9"/>
      <c r="AS116" s="9"/>
      <c r="AT116" s="9"/>
      <c r="AU116" s="9"/>
      <c r="AV116" s="9"/>
      <c r="AW116" s="31"/>
      <c r="AX116" s="10" t="str">
        <f aca="false">IF(C116="","",IF(AND(Y116="Approved",ISERROR(SEARCH("FAIL",AQ116))),"Y","N"))</f>
        <v/>
      </c>
      <c r="AY116" s="10" t="str">
        <f aca="false">IF(C116="","",C116&amp;"|"&amp;E116&amp;"|"&amp;F116&amp;"|"&amp;G116&amp;"|"&amp;D116&amp;"|"&amp;AX116)</f>
        <v/>
      </c>
    </row>
    <row r="117" customFormat="false" ht="15" hidden="false" customHeight="false" outlineLevel="0" collapsed="false">
      <c r="A117" s="10" t="str">
        <f aca="false">IF(C117="","","EW-"&amp;IFERROR(VLOOKUP(C117,Lists!$P$4:$Q$22,2,0),"??")&amp;"-D"&amp;TEXT(E117*1000,"0000")&amp;"-"&amp;IFERROR(VLOOKUP(F117,Lists!$S$4:$T$21,2,0),"??")&amp;"-"&amp;IFERROR(VLOOKUP(G117,Lists!$Y$4:$Z$21,2,0),"??")&amp;"-"&amp;IFERROR(VLOOKUP(D117,Lists!$V$4:$W$16,2,0),"??")&amp;"-"&amp;X117)</f>
        <v/>
      </c>
      <c r="B117" s="10" t="str">
        <f aca="false">IF(C117="","",D117&amp;" "&amp;C117&amp;", excavation "&amp;TEXT(E117,"0.0")&amp;" m, "&amp;F117&amp;", "&amp;G117&amp;", "&amp;J117)</f>
        <v/>
      </c>
      <c r="C117" s="9"/>
      <c r="D117" s="9"/>
      <c r="E117" s="43"/>
      <c r="F117" s="9"/>
      <c r="G117" s="9"/>
      <c r="H117" s="43"/>
      <c r="I117" s="40"/>
      <c r="J117" s="9"/>
      <c r="K117" s="9"/>
      <c r="L117" s="9"/>
      <c r="M117" s="43"/>
      <c r="N117" s="43"/>
      <c r="O117" s="9"/>
      <c r="P117" s="9"/>
      <c r="Q117" s="9"/>
      <c r="R117" s="9"/>
      <c r="S117" s="40"/>
      <c r="T117" s="40"/>
      <c r="U117" s="9"/>
      <c r="V117" s="9"/>
      <c r="W117" s="9"/>
      <c r="X117" s="9"/>
      <c r="Y117" s="9"/>
      <c r="Z117" s="9"/>
      <c r="AA117" s="9"/>
      <c r="AB117" s="9"/>
      <c r="AC117" s="10" t="str">
        <f aca="false">IF(A117="","",SG_Criteria!$B$6&amp;SG_Criteria!$B$9&amp;"\"&amp;A117&amp;"\")</f>
        <v/>
      </c>
      <c r="AD117" s="10" t="str">
        <f aca="false">IF(A117="","",A117&amp;"_CAD.dwg")</f>
        <v/>
      </c>
      <c r="AE117" s="10" t="str">
        <f aca="false">IF(A117="","",A117&amp;"_DWG.pdf")</f>
        <v/>
      </c>
      <c r="AF117" s="10" t="str">
        <f aca="false">IF(A117="","",IF(AB117="Y",A117&amp;"_STAAD.std","n/a"))</f>
        <v/>
      </c>
      <c r="AG117" s="10" t="str">
        <f aca="false">IF(A117="","",A117&amp;"_CALC.xlsx")</f>
        <v/>
      </c>
      <c r="AH117" s="10" t="str">
        <f aca="false">IF(A117="","",A117&amp;"_CALC.pdf")</f>
        <v/>
      </c>
      <c r="AI117" s="9"/>
      <c r="AJ117" s="9"/>
      <c r="AK117" s="41"/>
      <c r="AL117" s="41"/>
      <c r="AM117" s="41"/>
      <c r="AN117" s="41"/>
      <c r="AO117" s="41"/>
      <c r="AP117" s="38" t="str">
        <f aca="false">IF(OR(C117="",E117=""),"",IF(E117&lt;=IF(C117="Soldier Pile &amp; Timber Lagging",SG_Criteria!$B$34,SG_Criteria!$B$33),"No ERSS submission",IF(E117&lt;=SG_Criteria!$B$35,"QP(ST)",IF(E117&lt;=SG_Criteria!$B$36,"QP(ST) + AC","Geotechnical building works: QP(Geo) + AC"))))</f>
        <v/>
      </c>
      <c r="AQ117" s="38" t="str">
        <f aca="false">IF(C117="","",IF(LEN(IF(AND(U117&lt;&gt;"",IFERROR(VALUE(MID(U117,2,2)),0)&lt;SG_Criteria!$B$19),"FAIL: grade below C"&amp;SG_Criteria!$B$19&amp;". ","")&amp;IF(AND(LEFT(C117,3)="Con",N(H117)&lt;E117,G117="Kallang Formation (marine clay)"),"NOTE: CBP is not watertight below GWT in marine clay; consider secant / grouting. ","")&amp;IF(AND(C117="Steel Sheet Pile",D117="Permanent"),"NOTE: permanent sheet pile needs corrosion allowance. ","")&amp;IF(AND(F117="Cantilever (no support)",E117&gt;6),"NOTE: cantilever embedded wall &gt; 6 m, check deflection. ","")&amp;IF(AND(S117&lt;&gt;"",T117&lt;&gt;"",S117&gt;T117),"FAIL: deflection exceeds allowable. ",""))=0,"OK",IF(AND(U117&lt;&gt;"",IFERROR(VALUE(MID(U117,2,2)),0)&lt;SG_Criteria!$B$19),"FAIL: grade below C"&amp;SG_Criteria!$B$19&amp;". ","")&amp;IF(AND(LEFT(C117,3)="Con",N(H117)&lt;E117,G117="Kallang Formation (marine clay)"),"NOTE: CBP is not watertight below GWT in marine clay; consider secant / grouting. ","")&amp;IF(AND(C117="Steel Sheet Pile",D117="Permanent"),"NOTE: permanent sheet pile needs corrosion allowance. ","")&amp;IF(AND(F117="Cantilever (no support)",E117&gt;6),"NOTE: cantilever embedded wall &gt; 6 m, check deflection. ","")&amp;IF(AND(S117&lt;&gt;"",T117&lt;&gt;"",S117&gt;T117),"FAIL: deflection exceeds allowable. ","")))</f>
        <v/>
      </c>
      <c r="AR117" s="9"/>
      <c r="AS117" s="9"/>
      <c r="AT117" s="9"/>
      <c r="AU117" s="9"/>
      <c r="AV117" s="9"/>
      <c r="AW117" s="31"/>
      <c r="AX117" s="10" t="str">
        <f aca="false">IF(C117="","",IF(AND(Y117="Approved",ISERROR(SEARCH("FAIL",AQ117))),"Y","N"))</f>
        <v/>
      </c>
      <c r="AY117" s="10" t="str">
        <f aca="false">IF(C117="","",C117&amp;"|"&amp;E117&amp;"|"&amp;F117&amp;"|"&amp;G117&amp;"|"&amp;D117&amp;"|"&amp;AX117)</f>
        <v/>
      </c>
    </row>
    <row r="118" customFormat="false" ht="15" hidden="false" customHeight="false" outlineLevel="0" collapsed="false">
      <c r="A118" s="10" t="str">
        <f aca="false">IF(C118="","","EW-"&amp;IFERROR(VLOOKUP(C118,Lists!$P$4:$Q$22,2,0),"??")&amp;"-D"&amp;TEXT(E118*1000,"0000")&amp;"-"&amp;IFERROR(VLOOKUP(F118,Lists!$S$4:$T$21,2,0),"??")&amp;"-"&amp;IFERROR(VLOOKUP(G118,Lists!$Y$4:$Z$21,2,0),"??")&amp;"-"&amp;IFERROR(VLOOKUP(D118,Lists!$V$4:$W$16,2,0),"??")&amp;"-"&amp;X118)</f>
        <v/>
      </c>
      <c r="B118" s="10" t="str">
        <f aca="false">IF(C118="","",D118&amp;" "&amp;C118&amp;", excavation "&amp;TEXT(E118,"0.0")&amp;" m, "&amp;F118&amp;", "&amp;G118&amp;", "&amp;J118)</f>
        <v/>
      </c>
      <c r="C118" s="9"/>
      <c r="D118" s="9"/>
      <c r="E118" s="43"/>
      <c r="F118" s="9"/>
      <c r="G118" s="9"/>
      <c r="H118" s="43"/>
      <c r="I118" s="40"/>
      <c r="J118" s="9"/>
      <c r="K118" s="9"/>
      <c r="L118" s="9"/>
      <c r="M118" s="43"/>
      <c r="N118" s="43"/>
      <c r="O118" s="9"/>
      <c r="P118" s="9"/>
      <c r="Q118" s="9"/>
      <c r="R118" s="9"/>
      <c r="S118" s="40"/>
      <c r="T118" s="40"/>
      <c r="U118" s="9"/>
      <c r="V118" s="9"/>
      <c r="W118" s="9"/>
      <c r="X118" s="9"/>
      <c r="Y118" s="9"/>
      <c r="Z118" s="9"/>
      <c r="AA118" s="9"/>
      <c r="AB118" s="9"/>
      <c r="AC118" s="10" t="str">
        <f aca="false">IF(A118="","",SG_Criteria!$B$6&amp;SG_Criteria!$B$9&amp;"\"&amp;A118&amp;"\")</f>
        <v/>
      </c>
      <c r="AD118" s="10" t="str">
        <f aca="false">IF(A118="","",A118&amp;"_CAD.dwg")</f>
        <v/>
      </c>
      <c r="AE118" s="10" t="str">
        <f aca="false">IF(A118="","",A118&amp;"_DWG.pdf")</f>
        <v/>
      </c>
      <c r="AF118" s="10" t="str">
        <f aca="false">IF(A118="","",IF(AB118="Y",A118&amp;"_STAAD.std","n/a"))</f>
        <v/>
      </c>
      <c r="AG118" s="10" t="str">
        <f aca="false">IF(A118="","",A118&amp;"_CALC.xlsx")</f>
        <v/>
      </c>
      <c r="AH118" s="10" t="str">
        <f aca="false">IF(A118="","",A118&amp;"_CALC.pdf")</f>
        <v/>
      </c>
      <c r="AI118" s="9"/>
      <c r="AJ118" s="9"/>
      <c r="AK118" s="41"/>
      <c r="AL118" s="41"/>
      <c r="AM118" s="41"/>
      <c r="AN118" s="41"/>
      <c r="AO118" s="41"/>
      <c r="AP118" s="38" t="str">
        <f aca="false">IF(OR(C118="",E118=""),"",IF(E118&lt;=IF(C118="Soldier Pile &amp; Timber Lagging",SG_Criteria!$B$34,SG_Criteria!$B$33),"No ERSS submission",IF(E118&lt;=SG_Criteria!$B$35,"QP(ST)",IF(E118&lt;=SG_Criteria!$B$36,"QP(ST) + AC","Geotechnical building works: QP(Geo) + AC"))))</f>
        <v/>
      </c>
      <c r="AQ118" s="38" t="str">
        <f aca="false">IF(C118="","",IF(LEN(IF(AND(U118&lt;&gt;"",IFERROR(VALUE(MID(U118,2,2)),0)&lt;SG_Criteria!$B$19),"FAIL: grade below C"&amp;SG_Criteria!$B$19&amp;". ","")&amp;IF(AND(LEFT(C118,3)="Con",N(H118)&lt;E118,G118="Kallang Formation (marine clay)"),"NOTE: CBP is not watertight below GWT in marine clay; consider secant / grouting. ","")&amp;IF(AND(C118="Steel Sheet Pile",D118="Permanent"),"NOTE: permanent sheet pile needs corrosion allowance. ","")&amp;IF(AND(F118="Cantilever (no support)",E118&gt;6),"NOTE: cantilever embedded wall &gt; 6 m, check deflection. ","")&amp;IF(AND(S118&lt;&gt;"",T118&lt;&gt;"",S118&gt;T118),"FAIL: deflection exceeds allowable. ",""))=0,"OK",IF(AND(U118&lt;&gt;"",IFERROR(VALUE(MID(U118,2,2)),0)&lt;SG_Criteria!$B$19),"FAIL: grade below C"&amp;SG_Criteria!$B$19&amp;". ","")&amp;IF(AND(LEFT(C118,3)="Con",N(H118)&lt;E118,G118="Kallang Formation (marine clay)"),"NOTE: CBP is not watertight below GWT in marine clay; consider secant / grouting. ","")&amp;IF(AND(C118="Steel Sheet Pile",D118="Permanent"),"NOTE: permanent sheet pile needs corrosion allowance. ","")&amp;IF(AND(F118="Cantilever (no support)",E118&gt;6),"NOTE: cantilever embedded wall &gt; 6 m, check deflection. ","")&amp;IF(AND(S118&lt;&gt;"",T118&lt;&gt;"",S118&gt;T118),"FAIL: deflection exceeds allowable. ","")))</f>
        <v/>
      </c>
      <c r="AR118" s="9"/>
      <c r="AS118" s="9"/>
      <c r="AT118" s="9"/>
      <c r="AU118" s="9"/>
      <c r="AV118" s="9"/>
      <c r="AW118" s="31"/>
      <c r="AX118" s="10" t="str">
        <f aca="false">IF(C118="","",IF(AND(Y118="Approved",ISERROR(SEARCH("FAIL",AQ118))),"Y","N"))</f>
        <v/>
      </c>
      <c r="AY118" s="10" t="str">
        <f aca="false">IF(C118="","",C118&amp;"|"&amp;E118&amp;"|"&amp;F118&amp;"|"&amp;G118&amp;"|"&amp;D118&amp;"|"&amp;AX118)</f>
        <v/>
      </c>
    </row>
    <row r="119" customFormat="false" ht="15" hidden="false" customHeight="false" outlineLevel="0" collapsed="false">
      <c r="A119" s="10" t="str">
        <f aca="false">IF(C119="","","EW-"&amp;IFERROR(VLOOKUP(C119,Lists!$P$4:$Q$22,2,0),"??")&amp;"-D"&amp;TEXT(E119*1000,"0000")&amp;"-"&amp;IFERROR(VLOOKUP(F119,Lists!$S$4:$T$21,2,0),"??")&amp;"-"&amp;IFERROR(VLOOKUP(G119,Lists!$Y$4:$Z$21,2,0),"??")&amp;"-"&amp;IFERROR(VLOOKUP(D119,Lists!$V$4:$W$16,2,0),"??")&amp;"-"&amp;X119)</f>
        <v/>
      </c>
      <c r="B119" s="10" t="str">
        <f aca="false">IF(C119="","",D119&amp;" "&amp;C119&amp;", excavation "&amp;TEXT(E119,"0.0")&amp;" m, "&amp;F119&amp;", "&amp;G119&amp;", "&amp;J119)</f>
        <v/>
      </c>
      <c r="C119" s="9"/>
      <c r="D119" s="9"/>
      <c r="E119" s="43"/>
      <c r="F119" s="9"/>
      <c r="G119" s="9"/>
      <c r="H119" s="43"/>
      <c r="I119" s="40"/>
      <c r="J119" s="9"/>
      <c r="K119" s="9"/>
      <c r="L119" s="9"/>
      <c r="M119" s="43"/>
      <c r="N119" s="43"/>
      <c r="O119" s="9"/>
      <c r="P119" s="9"/>
      <c r="Q119" s="9"/>
      <c r="R119" s="9"/>
      <c r="S119" s="40"/>
      <c r="T119" s="40"/>
      <c r="U119" s="9"/>
      <c r="V119" s="9"/>
      <c r="W119" s="9"/>
      <c r="X119" s="9"/>
      <c r="Y119" s="9"/>
      <c r="Z119" s="9"/>
      <c r="AA119" s="9"/>
      <c r="AB119" s="9"/>
      <c r="AC119" s="10" t="str">
        <f aca="false">IF(A119="","",SG_Criteria!$B$6&amp;SG_Criteria!$B$9&amp;"\"&amp;A119&amp;"\")</f>
        <v/>
      </c>
      <c r="AD119" s="10" t="str">
        <f aca="false">IF(A119="","",A119&amp;"_CAD.dwg")</f>
        <v/>
      </c>
      <c r="AE119" s="10" t="str">
        <f aca="false">IF(A119="","",A119&amp;"_DWG.pdf")</f>
        <v/>
      </c>
      <c r="AF119" s="10" t="str">
        <f aca="false">IF(A119="","",IF(AB119="Y",A119&amp;"_STAAD.std","n/a"))</f>
        <v/>
      </c>
      <c r="AG119" s="10" t="str">
        <f aca="false">IF(A119="","",A119&amp;"_CALC.xlsx")</f>
        <v/>
      </c>
      <c r="AH119" s="10" t="str">
        <f aca="false">IF(A119="","",A119&amp;"_CALC.pdf")</f>
        <v/>
      </c>
      <c r="AI119" s="9"/>
      <c r="AJ119" s="9"/>
      <c r="AK119" s="41"/>
      <c r="AL119" s="41"/>
      <c r="AM119" s="41"/>
      <c r="AN119" s="41"/>
      <c r="AO119" s="41"/>
      <c r="AP119" s="38" t="str">
        <f aca="false">IF(OR(C119="",E119=""),"",IF(E119&lt;=IF(C119="Soldier Pile &amp; Timber Lagging",SG_Criteria!$B$34,SG_Criteria!$B$33),"No ERSS submission",IF(E119&lt;=SG_Criteria!$B$35,"QP(ST)",IF(E119&lt;=SG_Criteria!$B$36,"QP(ST) + AC","Geotechnical building works: QP(Geo) + AC"))))</f>
        <v/>
      </c>
      <c r="AQ119" s="38" t="str">
        <f aca="false">IF(C119="","",IF(LEN(IF(AND(U119&lt;&gt;"",IFERROR(VALUE(MID(U119,2,2)),0)&lt;SG_Criteria!$B$19),"FAIL: grade below C"&amp;SG_Criteria!$B$19&amp;". ","")&amp;IF(AND(LEFT(C119,3)="Con",N(H119)&lt;E119,G119="Kallang Formation (marine clay)"),"NOTE: CBP is not watertight below GWT in marine clay; consider secant / grouting. ","")&amp;IF(AND(C119="Steel Sheet Pile",D119="Permanent"),"NOTE: permanent sheet pile needs corrosion allowance. ","")&amp;IF(AND(F119="Cantilever (no support)",E119&gt;6),"NOTE: cantilever embedded wall &gt; 6 m, check deflection. ","")&amp;IF(AND(S119&lt;&gt;"",T119&lt;&gt;"",S119&gt;T119),"FAIL: deflection exceeds allowable. ",""))=0,"OK",IF(AND(U119&lt;&gt;"",IFERROR(VALUE(MID(U119,2,2)),0)&lt;SG_Criteria!$B$19),"FAIL: grade below C"&amp;SG_Criteria!$B$19&amp;". ","")&amp;IF(AND(LEFT(C119,3)="Con",N(H119)&lt;E119,G119="Kallang Formation (marine clay)"),"NOTE: CBP is not watertight below GWT in marine clay; consider secant / grouting. ","")&amp;IF(AND(C119="Steel Sheet Pile",D119="Permanent"),"NOTE: permanent sheet pile needs corrosion allowance. ","")&amp;IF(AND(F119="Cantilever (no support)",E119&gt;6),"NOTE: cantilever embedded wall &gt; 6 m, check deflection. ","")&amp;IF(AND(S119&lt;&gt;"",T119&lt;&gt;"",S119&gt;T119),"FAIL: deflection exceeds allowable. ","")))</f>
        <v/>
      </c>
      <c r="AR119" s="9"/>
      <c r="AS119" s="9"/>
      <c r="AT119" s="9"/>
      <c r="AU119" s="9"/>
      <c r="AV119" s="9"/>
      <c r="AW119" s="31"/>
      <c r="AX119" s="10" t="str">
        <f aca="false">IF(C119="","",IF(AND(Y119="Approved",ISERROR(SEARCH("FAIL",AQ119))),"Y","N"))</f>
        <v/>
      </c>
      <c r="AY119" s="10" t="str">
        <f aca="false">IF(C119="","",C119&amp;"|"&amp;E119&amp;"|"&amp;F119&amp;"|"&amp;G119&amp;"|"&amp;D119&amp;"|"&amp;AX119)</f>
        <v/>
      </c>
    </row>
    <row r="120" customFormat="false" ht="15" hidden="false" customHeight="false" outlineLevel="0" collapsed="false">
      <c r="A120" s="10" t="str">
        <f aca="false">IF(C120="","","EW-"&amp;IFERROR(VLOOKUP(C120,Lists!$P$4:$Q$22,2,0),"??")&amp;"-D"&amp;TEXT(E120*1000,"0000")&amp;"-"&amp;IFERROR(VLOOKUP(F120,Lists!$S$4:$T$21,2,0),"??")&amp;"-"&amp;IFERROR(VLOOKUP(G120,Lists!$Y$4:$Z$21,2,0),"??")&amp;"-"&amp;IFERROR(VLOOKUP(D120,Lists!$V$4:$W$16,2,0),"??")&amp;"-"&amp;X120)</f>
        <v/>
      </c>
      <c r="B120" s="10" t="str">
        <f aca="false">IF(C120="","",D120&amp;" "&amp;C120&amp;", excavation "&amp;TEXT(E120,"0.0")&amp;" m, "&amp;F120&amp;", "&amp;G120&amp;", "&amp;J120)</f>
        <v/>
      </c>
      <c r="C120" s="9"/>
      <c r="D120" s="9"/>
      <c r="E120" s="43"/>
      <c r="F120" s="9"/>
      <c r="G120" s="9"/>
      <c r="H120" s="43"/>
      <c r="I120" s="40"/>
      <c r="J120" s="9"/>
      <c r="K120" s="9"/>
      <c r="L120" s="9"/>
      <c r="M120" s="43"/>
      <c r="N120" s="43"/>
      <c r="O120" s="9"/>
      <c r="P120" s="9"/>
      <c r="Q120" s="9"/>
      <c r="R120" s="9"/>
      <c r="S120" s="40"/>
      <c r="T120" s="40"/>
      <c r="U120" s="9"/>
      <c r="V120" s="9"/>
      <c r="W120" s="9"/>
      <c r="X120" s="9"/>
      <c r="Y120" s="9"/>
      <c r="Z120" s="9"/>
      <c r="AA120" s="9"/>
      <c r="AB120" s="9"/>
      <c r="AC120" s="10" t="str">
        <f aca="false">IF(A120="","",SG_Criteria!$B$6&amp;SG_Criteria!$B$9&amp;"\"&amp;A120&amp;"\")</f>
        <v/>
      </c>
      <c r="AD120" s="10" t="str">
        <f aca="false">IF(A120="","",A120&amp;"_CAD.dwg")</f>
        <v/>
      </c>
      <c r="AE120" s="10" t="str">
        <f aca="false">IF(A120="","",A120&amp;"_DWG.pdf")</f>
        <v/>
      </c>
      <c r="AF120" s="10" t="str">
        <f aca="false">IF(A120="","",IF(AB120="Y",A120&amp;"_STAAD.std","n/a"))</f>
        <v/>
      </c>
      <c r="AG120" s="10" t="str">
        <f aca="false">IF(A120="","",A120&amp;"_CALC.xlsx")</f>
        <v/>
      </c>
      <c r="AH120" s="10" t="str">
        <f aca="false">IF(A120="","",A120&amp;"_CALC.pdf")</f>
        <v/>
      </c>
      <c r="AI120" s="9"/>
      <c r="AJ120" s="9"/>
      <c r="AK120" s="41"/>
      <c r="AL120" s="41"/>
      <c r="AM120" s="41"/>
      <c r="AN120" s="41"/>
      <c r="AO120" s="41"/>
      <c r="AP120" s="38" t="str">
        <f aca="false">IF(OR(C120="",E120=""),"",IF(E120&lt;=IF(C120="Soldier Pile &amp; Timber Lagging",SG_Criteria!$B$34,SG_Criteria!$B$33),"No ERSS submission",IF(E120&lt;=SG_Criteria!$B$35,"QP(ST)",IF(E120&lt;=SG_Criteria!$B$36,"QP(ST) + AC","Geotechnical building works: QP(Geo) + AC"))))</f>
        <v/>
      </c>
      <c r="AQ120" s="38" t="str">
        <f aca="false">IF(C120="","",IF(LEN(IF(AND(U120&lt;&gt;"",IFERROR(VALUE(MID(U120,2,2)),0)&lt;SG_Criteria!$B$19),"FAIL: grade below C"&amp;SG_Criteria!$B$19&amp;". ","")&amp;IF(AND(LEFT(C120,3)="Con",N(H120)&lt;E120,G120="Kallang Formation (marine clay)"),"NOTE: CBP is not watertight below GWT in marine clay; consider secant / grouting. ","")&amp;IF(AND(C120="Steel Sheet Pile",D120="Permanent"),"NOTE: permanent sheet pile needs corrosion allowance. ","")&amp;IF(AND(F120="Cantilever (no support)",E120&gt;6),"NOTE: cantilever embedded wall &gt; 6 m, check deflection. ","")&amp;IF(AND(S120&lt;&gt;"",T120&lt;&gt;"",S120&gt;T120),"FAIL: deflection exceeds allowable. ",""))=0,"OK",IF(AND(U120&lt;&gt;"",IFERROR(VALUE(MID(U120,2,2)),0)&lt;SG_Criteria!$B$19),"FAIL: grade below C"&amp;SG_Criteria!$B$19&amp;". ","")&amp;IF(AND(LEFT(C120,3)="Con",N(H120)&lt;E120,G120="Kallang Formation (marine clay)"),"NOTE: CBP is not watertight below GWT in marine clay; consider secant / grouting. ","")&amp;IF(AND(C120="Steel Sheet Pile",D120="Permanent"),"NOTE: permanent sheet pile needs corrosion allowance. ","")&amp;IF(AND(F120="Cantilever (no support)",E120&gt;6),"NOTE: cantilever embedded wall &gt; 6 m, check deflection. ","")&amp;IF(AND(S120&lt;&gt;"",T120&lt;&gt;"",S120&gt;T120),"FAIL: deflection exceeds allowable. ","")))</f>
        <v/>
      </c>
      <c r="AR120" s="9"/>
      <c r="AS120" s="9"/>
      <c r="AT120" s="9"/>
      <c r="AU120" s="9"/>
      <c r="AV120" s="9"/>
      <c r="AW120" s="31"/>
      <c r="AX120" s="10" t="str">
        <f aca="false">IF(C120="","",IF(AND(Y120="Approved",ISERROR(SEARCH("FAIL",AQ120))),"Y","N"))</f>
        <v/>
      </c>
      <c r="AY120" s="10" t="str">
        <f aca="false">IF(C120="","",C120&amp;"|"&amp;E120&amp;"|"&amp;F120&amp;"|"&amp;G120&amp;"|"&amp;D120&amp;"|"&amp;AX120)</f>
        <v/>
      </c>
    </row>
    <row r="121" customFormat="false" ht="15" hidden="false" customHeight="false" outlineLevel="0" collapsed="false">
      <c r="A121" s="10" t="str">
        <f aca="false">IF(C121="","","EW-"&amp;IFERROR(VLOOKUP(C121,Lists!$P$4:$Q$22,2,0),"??")&amp;"-D"&amp;TEXT(E121*1000,"0000")&amp;"-"&amp;IFERROR(VLOOKUP(F121,Lists!$S$4:$T$21,2,0),"??")&amp;"-"&amp;IFERROR(VLOOKUP(G121,Lists!$Y$4:$Z$21,2,0),"??")&amp;"-"&amp;IFERROR(VLOOKUP(D121,Lists!$V$4:$W$16,2,0),"??")&amp;"-"&amp;X121)</f>
        <v/>
      </c>
      <c r="B121" s="10" t="str">
        <f aca="false">IF(C121="","",D121&amp;" "&amp;C121&amp;", excavation "&amp;TEXT(E121,"0.0")&amp;" m, "&amp;F121&amp;", "&amp;G121&amp;", "&amp;J121)</f>
        <v/>
      </c>
      <c r="C121" s="9"/>
      <c r="D121" s="9"/>
      <c r="E121" s="43"/>
      <c r="F121" s="9"/>
      <c r="G121" s="9"/>
      <c r="H121" s="43"/>
      <c r="I121" s="40"/>
      <c r="J121" s="9"/>
      <c r="K121" s="9"/>
      <c r="L121" s="9"/>
      <c r="M121" s="43"/>
      <c r="N121" s="43"/>
      <c r="O121" s="9"/>
      <c r="P121" s="9"/>
      <c r="Q121" s="9"/>
      <c r="R121" s="9"/>
      <c r="S121" s="40"/>
      <c r="T121" s="40"/>
      <c r="U121" s="9"/>
      <c r="V121" s="9"/>
      <c r="W121" s="9"/>
      <c r="X121" s="9"/>
      <c r="Y121" s="9"/>
      <c r="Z121" s="9"/>
      <c r="AA121" s="9"/>
      <c r="AB121" s="9"/>
      <c r="AC121" s="10" t="str">
        <f aca="false">IF(A121="","",SG_Criteria!$B$6&amp;SG_Criteria!$B$9&amp;"\"&amp;A121&amp;"\")</f>
        <v/>
      </c>
      <c r="AD121" s="10" t="str">
        <f aca="false">IF(A121="","",A121&amp;"_CAD.dwg")</f>
        <v/>
      </c>
      <c r="AE121" s="10" t="str">
        <f aca="false">IF(A121="","",A121&amp;"_DWG.pdf")</f>
        <v/>
      </c>
      <c r="AF121" s="10" t="str">
        <f aca="false">IF(A121="","",IF(AB121="Y",A121&amp;"_STAAD.std","n/a"))</f>
        <v/>
      </c>
      <c r="AG121" s="10" t="str">
        <f aca="false">IF(A121="","",A121&amp;"_CALC.xlsx")</f>
        <v/>
      </c>
      <c r="AH121" s="10" t="str">
        <f aca="false">IF(A121="","",A121&amp;"_CALC.pdf")</f>
        <v/>
      </c>
      <c r="AI121" s="9"/>
      <c r="AJ121" s="9"/>
      <c r="AK121" s="41"/>
      <c r="AL121" s="41"/>
      <c r="AM121" s="41"/>
      <c r="AN121" s="41"/>
      <c r="AO121" s="41"/>
      <c r="AP121" s="38" t="str">
        <f aca="false">IF(OR(C121="",E121=""),"",IF(E121&lt;=IF(C121="Soldier Pile &amp; Timber Lagging",SG_Criteria!$B$34,SG_Criteria!$B$33),"No ERSS submission",IF(E121&lt;=SG_Criteria!$B$35,"QP(ST)",IF(E121&lt;=SG_Criteria!$B$36,"QP(ST) + AC","Geotechnical building works: QP(Geo) + AC"))))</f>
        <v/>
      </c>
      <c r="AQ121" s="38" t="str">
        <f aca="false">IF(C121="","",IF(LEN(IF(AND(U121&lt;&gt;"",IFERROR(VALUE(MID(U121,2,2)),0)&lt;SG_Criteria!$B$19),"FAIL: grade below C"&amp;SG_Criteria!$B$19&amp;". ","")&amp;IF(AND(LEFT(C121,3)="Con",N(H121)&lt;E121,G121="Kallang Formation (marine clay)"),"NOTE: CBP is not watertight below GWT in marine clay; consider secant / grouting. ","")&amp;IF(AND(C121="Steel Sheet Pile",D121="Permanent"),"NOTE: permanent sheet pile needs corrosion allowance. ","")&amp;IF(AND(F121="Cantilever (no support)",E121&gt;6),"NOTE: cantilever embedded wall &gt; 6 m, check deflection. ","")&amp;IF(AND(S121&lt;&gt;"",T121&lt;&gt;"",S121&gt;T121),"FAIL: deflection exceeds allowable. ",""))=0,"OK",IF(AND(U121&lt;&gt;"",IFERROR(VALUE(MID(U121,2,2)),0)&lt;SG_Criteria!$B$19),"FAIL: grade below C"&amp;SG_Criteria!$B$19&amp;". ","")&amp;IF(AND(LEFT(C121,3)="Con",N(H121)&lt;E121,G121="Kallang Formation (marine clay)"),"NOTE: CBP is not watertight below GWT in marine clay; consider secant / grouting. ","")&amp;IF(AND(C121="Steel Sheet Pile",D121="Permanent"),"NOTE: permanent sheet pile needs corrosion allowance. ","")&amp;IF(AND(F121="Cantilever (no support)",E121&gt;6),"NOTE: cantilever embedded wall &gt; 6 m, check deflection. ","")&amp;IF(AND(S121&lt;&gt;"",T121&lt;&gt;"",S121&gt;T121),"FAIL: deflection exceeds allowable. ","")))</f>
        <v/>
      </c>
      <c r="AR121" s="9"/>
      <c r="AS121" s="9"/>
      <c r="AT121" s="9"/>
      <c r="AU121" s="9"/>
      <c r="AV121" s="9"/>
      <c r="AW121" s="31"/>
      <c r="AX121" s="10" t="str">
        <f aca="false">IF(C121="","",IF(AND(Y121="Approved",ISERROR(SEARCH("FAIL",AQ121))),"Y","N"))</f>
        <v/>
      </c>
      <c r="AY121" s="10" t="str">
        <f aca="false">IF(C121="","",C121&amp;"|"&amp;E121&amp;"|"&amp;F121&amp;"|"&amp;G121&amp;"|"&amp;D121&amp;"|"&amp;AX121)</f>
        <v/>
      </c>
    </row>
    <row r="122" customFormat="false" ht="15" hidden="false" customHeight="false" outlineLevel="0" collapsed="false">
      <c r="A122" s="10" t="str">
        <f aca="false">IF(C122="","","EW-"&amp;IFERROR(VLOOKUP(C122,Lists!$P$4:$Q$22,2,0),"??")&amp;"-D"&amp;TEXT(E122*1000,"0000")&amp;"-"&amp;IFERROR(VLOOKUP(F122,Lists!$S$4:$T$21,2,0),"??")&amp;"-"&amp;IFERROR(VLOOKUP(G122,Lists!$Y$4:$Z$21,2,0),"??")&amp;"-"&amp;IFERROR(VLOOKUP(D122,Lists!$V$4:$W$16,2,0),"??")&amp;"-"&amp;X122)</f>
        <v/>
      </c>
      <c r="B122" s="10" t="str">
        <f aca="false">IF(C122="","",D122&amp;" "&amp;C122&amp;", excavation "&amp;TEXT(E122,"0.0")&amp;" m, "&amp;F122&amp;", "&amp;G122&amp;", "&amp;J122)</f>
        <v/>
      </c>
      <c r="C122" s="9"/>
      <c r="D122" s="9"/>
      <c r="E122" s="43"/>
      <c r="F122" s="9"/>
      <c r="G122" s="9"/>
      <c r="H122" s="43"/>
      <c r="I122" s="40"/>
      <c r="J122" s="9"/>
      <c r="K122" s="9"/>
      <c r="L122" s="9"/>
      <c r="M122" s="43"/>
      <c r="N122" s="43"/>
      <c r="O122" s="9"/>
      <c r="P122" s="9"/>
      <c r="Q122" s="9"/>
      <c r="R122" s="9"/>
      <c r="S122" s="40"/>
      <c r="T122" s="40"/>
      <c r="U122" s="9"/>
      <c r="V122" s="9"/>
      <c r="W122" s="9"/>
      <c r="X122" s="9"/>
      <c r="Y122" s="9"/>
      <c r="Z122" s="9"/>
      <c r="AA122" s="9"/>
      <c r="AB122" s="9"/>
      <c r="AC122" s="10" t="str">
        <f aca="false">IF(A122="","",SG_Criteria!$B$6&amp;SG_Criteria!$B$9&amp;"\"&amp;A122&amp;"\")</f>
        <v/>
      </c>
      <c r="AD122" s="10" t="str">
        <f aca="false">IF(A122="","",A122&amp;"_CAD.dwg")</f>
        <v/>
      </c>
      <c r="AE122" s="10" t="str">
        <f aca="false">IF(A122="","",A122&amp;"_DWG.pdf")</f>
        <v/>
      </c>
      <c r="AF122" s="10" t="str">
        <f aca="false">IF(A122="","",IF(AB122="Y",A122&amp;"_STAAD.std","n/a"))</f>
        <v/>
      </c>
      <c r="AG122" s="10" t="str">
        <f aca="false">IF(A122="","",A122&amp;"_CALC.xlsx")</f>
        <v/>
      </c>
      <c r="AH122" s="10" t="str">
        <f aca="false">IF(A122="","",A122&amp;"_CALC.pdf")</f>
        <v/>
      </c>
      <c r="AI122" s="9"/>
      <c r="AJ122" s="9"/>
      <c r="AK122" s="41"/>
      <c r="AL122" s="41"/>
      <c r="AM122" s="41"/>
      <c r="AN122" s="41"/>
      <c r="AO122" s="41"/>
      <c r="AP122" s="38" t="str">
        <f aca="false">IF(OR(C122="",E122=""),"",IF(E122&lt;=IF(C122="Soldier Pile &amp; Timber Lagging",SG_Criteria!$B$34,SG_Criteria!$B$33),"No ERSS submission",IF(E122&lt;=SG_Criteria!$B$35,"QP(ST)",IF(E122&lt;=SG_Criteria!$B$36,"QP(ST) + AC","Geotechnical building works: QP(Geo) + AC"))))</f>
        <v/>
      </c>
      <c r="AQ122" s="38" t="str">
        <f aca="false">IF(C122="","",IF(LEN(IF(AND(U122&lt;&gt;"",IFERROR(VALUE(MID(U122,2,2)),0)&lt;SG_Criteria!$B$19),"FAIL: grade below C"&amp;SG_Criteria!$B$19&amp;". ","")&amp;IF(AND(LEFT(C122,3)="Con",N(H122)&lt;E122,G122="Kallang Formation (marine clay)"),"NOTE: CBP is not watertight below GWT in marine clay; consider secant / grouting. ","")&amp;IF(AND(C122="Steel Sheet Pile",D122="Permanent"),"NOTE: permanent sheet pile needs corrosion allowance. ","")&amp;IF(AND(F122="Cantilever (no support)",E122&gt;6),"NOTE: cantilever embedded wall &gt; 6 m, check deflection. ","")&amp;IF(AND(S122&lt;&gt;"",T122&lt;&gt;"",S122&gt;T122),"FAIL: deflection exceeds allowable. ",""))=0,"OK",IF(AND(U122&lt;&gt;"",IFERROR(VALUE(MID(U122,2,2)),0)&lt;SG_Criteria!$B$19),"FAIL: grade below C"&amp;SG_Criteria!$B$19&amp;". ","")&amp;IF(AND(LEFT(C122,3)="Con",N(H122)&lt;E122,G122="Kallang Formation (marine clay)"),"NOTE: CBP is not watertight below GWT in marine clay; consider secant / grouting. ","")&amp;IF(AND(C122="Steel Sheet Pile",D122="Permanent"),"NOTE: permanent sheet pile needs corrosion allowance. ","")&amp;IF(AND(F122="Cantilever (no support)",E122&gt;6),"NOTE: cantilever embedded wall &gt; 6 m, check deflection. ","")&amp;IF(AND(S122&lt;&gt;"",T122&lt;&gt;"",S122&gt;T122),"FAIL: deflection exceeds allowable. ","")))</f>
        <v/>
      </c>
      <c r="AR122" s="9"/>
      <c r="AS122" s="9"/>
      <c r="AT122" s="9"/>
      <c r="AU122" s="9"/>
      <c r="AV122" s="9"/>
      <c r="AW122" s="31"/>
      <c r="AX122" s="10" t="str">
        <f aca="false">IF(C122="","",IF(AND(Y122="Approved",ISERROR(SEARCH("FAIL",AQ122))),"Y","N"))</f>
        <v/>
      </c>
      <c r="AY122" s="10" t="str">
        <f aca="false">IF(C122="","",C122&amp;"|"&amp;E122&amp;"|"&amp;F122&amp;"|"&amp;G122&amp;"|"&amp;D122&amp;"|"&amp;AX122)</f>
        <v/>
      </c>
    </row>
    <row r="123" customFormat="false" ht="15" hidden="false" customHeight="false" outlineLevel="0" collapsed="false">
      <c r="A123" s="10" t="str">
        <f aca="false">IF(C123="","","EW-"&amp;IFERROR(VLOOKUP(C123,Lists!$P$4:$Q$22,2,0),"??")&amp;"-D"&amp;TEXT(E123*1000,"0000")&amp;"-"&amp;IFERROR(VLOOKUP(F123,Lists!$S$4:$T$21,2,0),"??")&amp;"-"&amp;IFERROR(VLOOKUP(G123,Lists!$Y$4:$Z$21,2,0),"??")&amp;"-"&amp;IFERROR(VLOOKUP(D123,Lists!$V$4:$W$16,2,0),"??")&amp;"-"&amp;X123)</f>
        <v/>
      </c>
      <c r="B123" s="10" t="str">
        <f aca="false">IF(C123="","",D123&amp;" "&amp;C123&amp;", excavation "&amp;TEXT(E123,"0.0")&amp;" m, "&amp;F123&amp;", "&amp;G123&amp;", "&amp;J123)</f>
        <v/>
      </c>
      <c r="C123" s="9"/>
      <c r="D123" s="9"/>
      <c r="E123" s="43"/>
      <c r="F123" s="9"/>
      <c r="G123" s="9"/>
      <c r="H123" s="43"/>
      <c r="I123" s="40"/>
      <c r="J123" s="9"/>
      <c r="K123" s="9"/>
      <c r="L123" s="9"/>
      <c r="M123" s="43"/>
      <c r="N123" s="43"/>
      <c r="O123" s="9"/>
      <c r="P123" s="9"/>
      <c r="Q123" s="9"/>
      <c r="R123" s="9"/>
      <c r="S123" s="40"/>
      <c r="T123" s="40"/>
      <c r="U123" s="9"/>
      <c r="V123" s="9"/>
      <c r="W123" s="9"/>
      <c r="X123" s="9"/>
      <c r="Y123" s="9"/>
      <c r="Z123" s="9"/>
      <c r="AA123" s="9"/>
      <c r="AB123" s="9"/>
      <c r="AC123" s="10" t="str">
        <f aca="false">IF(A123="","",SG_Criteria!$B$6&amp;SG_Criteria!$B$9&amp;"\"&amp;A123&amp;"\")</f>
        <v/>
      </c>
      <c r="AD123" s="10" t="str">
        <f aca="false">IF(A123="","",A123&amp;"_CAD.dwg")</f>
        <v/>
      </c>
      <c r="AE123" s="10" t="str">
        <f aca="false">IF(A123="","",A123&amp;"_DWG.pdf")</f>
        <v/>
      </c>
      <c r="AF123" s="10" t="str">
        <f aca="false">IF(A123="","",IF(AB123="Y",A123&amp;"_STAAD.std","n/a"))</f>
        <v/>
      </c>
      <c r="AG123" s="10" t="str">
        <f aca="false">IF(A123="","",A123&amp;"_CALC.xlsx")</f>
        <v/>
      </c>
      <c r="AH123" s="10" t="str">
        <f aca="false">IF(A123="","",A123&amp;"_CALC.pdf")</f>
        <v/>
      </c>
      <c r="AI123" s="9"/>
      <c r="AJ123" s="9"/>
      <c r="AK123" s="41"/>
      <c r="AL123" s="41"/>
      <c r="AM123" s="41"/>
      <c r="AN123" s="41"/>
      <c r="AO123" s="41"/>
      <c r="AP123" s="38" t="str">
        <f aca="false">IF(OR(C123="",E123=""),"",IF(E123&lt;=IF(C123="Soldier Pile &amp; Timber Lagging",SG_Criteria!$B$34,SG_Criteria!$B$33),"No ERSS submission",IF(E123&lt;=SG_Criteria!$B$35,"QP(ST)",IF(E123&lt;=SG_Criteria!$B$36,"QP(ST) + AC","Geotechnical building works: QP(Geo) + AC"))))</f>
        <v/>
      </c>
      <c r="AQ123" s="38" t="str">
        <f aca="false">IF(C123="","",IF(LEN(IF(AND(U123&lt;&gt;"",IFERROR(VALUE(MID(U123,2,2)),0)&lt;SG_Criteria!$B$19),"FAIL: grade below C"&amp;SG_Criteria!$B$19&amp;". ","")&amp;IF(AND(LEFT(C123,3)="Con",N(H123)&lt;E123,G123="Kallang Formation (marine clay)"),"NOTE: CBP is not watertight below GWT in marine clay; consider secant / grouting. ","")&amp;IF(AND(C123="Steel Sheet Pile",D123="Permanent"),"NOTE: permanent sheet pile needs corrosion allowance. ","")&amp;IF(AND(F123="Cantilever (no support)",E123&gt;6),"NOTE: cantilever embedded wall &gt; 6 m, check deflection. ","")&amp;IF(AND(S123&lt;&gt;"",T123&lt;&gt;"",S123&gt;T123),"FAIL: deflection exceeds allowable. ",""))=0,"OK",IF(AND(U123&lt;&gt;"",IFERROR(VALUE(MID(U123,2,2)),0)&lt;SG_Criteria!$B$19),"FAIL: grade below C"&amp;SG_Criteria!$B$19&amp;". ","")&amp;IF(AND(LEFT(C123,3)="Con",N(H123)&lt;E123,G123="Kallang Formation (marine clay)"),"NOTE: CBP is not watertight below GWT in marine clay; consider secant / grouting. ","")&amp;IF(AND(C123="Steel Sheet Pile",D123="Permanent"),"NOTE: permanent sheet pile needs corrosion allowance. ","")&amp;IF(AND(F123="Cantilever (no support)",E123&gt;6),"NOTE: cantilever embedded wall &gt; 6 m, check deflection. ","")&amp;IF(AND(S123&lt;&gt;"",T123&lt;&gt;"",S123&gt;T123),"FAIL: deflection exceeds allowable. ","")))</f>
        <v/>
      </c>
      <c r="AR123" s="9"/>
      <c r="AS123" s="9"/>
      <c r="AT123" s="9"/>
      <c r="AU123" s="9"/>
      <c r="AV123" s="9"/>
      <c r="AW123" s="31"/>
      <c r="AX123" s="10" t="str">
        <f aca="false">IF(C123="","",IF(AND(Y123="Approved",ISERROR(SEARCH("FAIL",AQ123))),"Y","N"))</f>
        <v/>
      </c>
      <c r="AY123" s="10" t="str">
        <f aca="false">IF(C123="","",C123&amp;"|"&amp;E123&amp;"|"&amp;F123&amp;"|"&amp;G123&amp;"|"&amp;D123&amp;"|"&amp;AX123)</f>
        <v/>
      </c>
    </row>
    <row r="124" customFormat="false" ht="15" hidden="false" customHeight="false" outlineLevel="0" collapsed="false">
      <c r="A124" s="10" t="str">
        <f aca="false">IF(C124="","","EW-"&amp;IFERROR(VLOOKUP(C124,Lists!$P$4:$Q$22,2,0),"??")&amp;"-D"&amp;TEXT(E124*1000,"0000")&amp;"-"&amp;IFERROR(VLOOKUP(F124,Lists!$S$4:$T$21,2,0),"??")&amp;"-"&amp;IFERROR(VLOOKUP(G124,Lists!$Y$4:$Z$21,2,0),"??")&amp;"-"&amp;IFERROR(VLOOKUP(D124,Lists!$V$4:$W$16,2,0),"??")&amp;"-"&amp;X124)</f>
        <v/>
      </c>
      <c r="B124" s="10" t="str">
        <f aca="false">IF(C124="","",D124&amp;" "&amp;C124&amp;", excavation "&amp;TEXT(E124,"0.0")&amp;" m, "&amp;F124&amp;", "&amp;G124&amp;", "&amp;J124)</f>
        <v/>
      </c>
      <c r="C124" s="9"/>
      <c r="D124" s="9"/>
      <c r="E124" s="43"/>
      <c r="F124" s="9"/>
      <c r="G124" s="9"/>
      <c r="H124" s="43"/>
      <c r="I124" s="40"/>
      <c r="J124" s="9"/>
      <c r="K124" s="9"/>
      <c r="L124" s="9"/>
      <c r="M124" s="43"/>
      <c r="N124" s="43"/>
      <c r="O124" s="9"/>
      <c r="P124" s="9"/>
      <c r="Q124" s="9"/>
      <c r="R124" s="9"/>
      <c r="S124" s="40"/>
      <c r="T124" s="40"/>
      <c r="U124" s="9"/>
      <c r="V124" s="9"/>
      <c r="W124" s="9"/>
      <c r="X124" s="9"/>
      <c r="Y124" s="9"/>
      <c r="Z124" s="9"/>
      <c r="AA124" s="9"/>
      <c r="AB124" s="9"/>
      <c r="AC124" s="10" t="str">
        <f aca="false">IF(A124="","",SG_Criteria!$B$6&amp;SG_Criteria!$B$9&amp;"\"&amp;A124&amp;"\")</f>
        <v/>
      </c>
      <c r="AD124" s="10" t="str">
        <f aca="false">IF(A124="","",A124&amp;"_CAD.dwg")</f>
        <v/>
      </c>
      <c r="AE124" s="10" t="str">
        <f aca="false">IF(A124="","",A124&amp;"_DWG.pdf")</f>
        <v/>
      </c>
      <c r="AF124" s="10" t="str">
        <f aca="false">IF(A124="","",IF(AB124="Y",A124&amp;"_STAAD.std","n/a"))</f>
        <v/>
      </c>
      <c r="AG124" s="10" t="str">
        <f aca="false">IF(A124="","",A124&amp;"_CALC.xlsx")</f>
        <v/>
      </c>
      <c r="AH124" s="10" t="str">
        <f aca="false">IF(A124="","",A124&amp;"_CALC.pdf")</f>
        <v/>
      </c>
      <c r="AI124" s="9"/>
      <c r="AJ124" s="9"/>
      <c r="AK124" s="41"/>
      <c r="AL124" s="41"/>
      <c r="AM124" s="41"/>
      <c r="AN124" s="41"/>
      <c r="AO124" s="41"/>
      <c r="AP124" s="38" t="str">
        <f aca="false">IF(OR(C124="",E124=""),"",IF(E124&lt;=IF(C124="Soldier Pile &amp; Timber Lagging",SG_Criteria!$B$34,SG_Criteria!$B$33),"No ERSS submission",IF(E124&lt;=SG_Criteria!$B$35,"QP(ST)",IF(E124&lt;=SG_Criteria!$B$36,"QP(ST) + AC","Geotechnical building works: QP(Geo) + AC"))))</f>
        <v/>
      </c>
      <c r="AQ124" s="38" t="str">
        <f aca="false">IF(C124="","",IF(LEN(IF(AND(U124&lt;&gt;"",IFERROR(VALUE(MID(U124,2,2)),0)&lt;SG_Criteria!$B$19),"FAIL: grade below C"&amp;SG_Criteria!$B$19&amp;". ","")&amp;IF(AND(LEFT(C124,3)="Con",N(H124)&lt;E124,G124="Kallang Formation (marine clay)"),"NOTE: CBP is not watertight below GWT in marine clay; consider secant / grouting. ","")&amp;IF(AND(C124="Steel Sheet Pile",D124="Permanent"),"NOTE: permanent sheet pile needs corrosion allowance. ","")&amp;IF(AND(F124="Cantilever (no support)",E124&gt;6),"NOTE: cantilever embedded wall &gt; 6 m, check deflection. ","")&amp;IF(AND(S124&lt;&gt;"",T124&lt;&gt;"",S124&gt;T124),"FAIL: deflection exceeds allowable. ",""))=0,"OK",IF(AND(U124&lt;&gt;"",IFERROR(VALUE(MID(U124,2,2)),0)&lt;SG_Criteria!$B$19),"FAIL: grade below C"&amp;SG_Criteria!$B$19&amp;". ","")&amp;IF(AND(LEFT(C124,3)="Con",N(H124)&lt;E124,G124="Kallang Formation (marine clay)"),"NOTE: CBP is not watertight below GWT in marine clay; consider secant / grouting. ","")&amp;IF(AND(C124="Steel Sheet Pile",D124="Permanent"),"NOTE: permanent sheet pile needs corrosion allowance. ","")&amp;IF(AND(F124="Cantilever (no support)",E124&gt;6),"NOTE: cantilever embedded wall &gt; 6 m, check deflection. ","")&amp;IF(AND(S124&lt;&gt;"",T124&lt;&gt;"",S124&gt;T124),"FAIL: deflection exceeds allowable. ","")))</f>
        <v/>
      </c>
      <c r="AR124" s="9"/>
      <c r="AS124" s="9"/>
      <c r="AT124" s="9"/>
      <c r="AU124" s="9"/>
      <c r="AV124" s="9"/>
      <c r="AW124" s="31"/>
      <c r="AX124" s="10" t="str">
        <f aca="false">IF(C124="","",IF(AND(Y124="Approved",ISERROR(SEARCH("FAIL",AQ124))),"Y","N"))</f>
        <v/>
      </c>
      <c r="AY124" s="10" t="str">
        <f aca="false">IF(C124="","",C124&amp;"|"&amp;E124&amp;"|"&amp;F124&amp;"|"&amp;G124&amp;"|"&amp;D124&amp;"|"&amp;AX124)</f>
        <v/>
      </c>
    </row>
    <row r="125" customFormat="false" ht="15" hidden="false" customHeight="false" outlineLevel="0" collapsed="false">
      <c r="A125" s="10" t="str">
        <f aca="false">IF(C125="","","EW-"&amp;IFERROR(VLOOKUP(C125,Lists!$P$4:$Q$22,2,0),"??")&amp;"-D"&amp;TEXT(E125*1000,"0000")&amp;"-"&amp;IFERROR(VLOOKUP(F125,Lists!$S$4:$T$21,2,0),"??")&amp;"-"&amp;IFERROR(VLOOKUP(G125,Lists!$Y$4:$Z$21,2,0),"??")&amp;"-"&amp;IFERROR(VLOOKUP(D125,Lists!$V$4:$W$16,2,0),"??")&amp;"-"&amp;X125)</f>
        <v/>
      </c>
      <c r="B125" s="10" t="str">
        <f aca="false">IF(C125="","",D125&amp;" "&amp;C125&amp;", excavation "&amp;TEXT(E125,"0.0")&amp;" m, "&amp;F125&amp;", "&amp;G125&amp;", "&amp;J125)</f>
        <v/>
      </c>
      <c r="C125" s="9"/>
      <c r="D125" s="9"/>
      <c r="E125" s="43"/>
      <c r="F125" s="9"/>
      <c r="G125" s="9"/>
      <c r="H125" s="43"/>
      <c r="I125" s="40"/>
      <c r="J125" s="9"/>
      <c r="K125" s="9"/>
      <c r="L125" s="9"/>
      <c r="M125" s="43"/>
      <c r="N125" s="43"/>
      <c r="O125" s="9"/>
      <c r="P125" s="9"/>
      <c r="Q125" s="9"/>
      <c r="R125" s="9"/>
      <c r="S125" s="40"/>
      <c r="T125" s="40"/>
      <c r="U125" s="9"/>
      <c r="V125" s="9"/>
      <c r="W125" s="9"/>
      <c r="X125" s="9"/>
      <c r="Y125" s="9"/>
      <c r="Z125" s="9"/>
      <c r="AA125" s="9"/>
      <c r="AB125" s="9"/>
      <c r="AC125" s="10" t="str">
        <f aca="false">IF(A125="","",SG_Criteria!$B$6&amp;SG_Criteria!$B$9&amp;"\"&amp;A125&amp;"\")</f>
        <v/>
      </c>
      <c r="AD125" s="10" t="str">
        <f aca="false">IF(A125="","",A125&amp;"_CAD.dwg")</f>
        <v/>
      </c>
      <c r="AE125" s="10" t="str">
        <f aca="false">IF(A125="","",A125&amp;"_DWG.pdf")</f>
        <v/>
      </c>
      <c r="AF125" s="10" t="str">
        <f aca="false">IF(A125="","",IF(AB125="Y",A125&amp;"_STAAD.std","n/a"))</f>
        <v/>
      </c>
      <c r="AG125" s="10" t="str">
        <f aca="false">IF(A125="","",A125&amp;"_CALC.xlsx")</f>
        <v/>
      </c>
      <c r="AH125" s="10" t="str">
        <f aca="false">IF(A125="","",A125&amp;"_CALC.pdf")</f>
        <v/>
      </c>
      <c r="AI125" s="9"/>
      <c r="AJ125" s="9"/>
      <c r="AK125" s="41"/>
      <c r="AL125" s="41"/>
      <c r="AM125" s="41"/>
      <c r="AN125" s="41"/>
      <c r="AO125" s="41"/>
      <c r="AP125" s="38" t="str">
        <f aca="false">IF(OR(C125="",E125=""),"",IF(E125&lt;=IF(C125="Soldier Pile &amp; Timber Lagging",SG_Criteria!$B$34,SG_Criteria!$B$33),"No ERSS submission",IF(E125&lt;=SG_Criteria!$B$35,"QP(ST)",IF(E125&lt;=SG_Criteria!$B$36,"QP(ST) + AC","Geotechnical building works: QP(Geo) + AC"))))</f>
        <v/>
      </c>
      <c r="AQ125" s="38" t="str">
        <f aca="false">IF(C125="","",IF(LEN(IF(AND(U125&lt;&gt;"",IFERROR(VALUE(MID(U125,2,2)),0)&lt;SG_Criteria!$B$19),"FAIL: grade below C"&amp;SG_Criteria!$B$19&amp;". ","")&amp;IF(AND(LEFT(C125,3)="Con",N(H125)&lt;E125,G125="Kallang Formation (marine clay)"),"NOTE: CBP is not watertight below GWT in marine clay; consider secant / grouting. ","")&amp;IF(AND(C125="Steel Sheet Pile",D125="Permanent"),"NOTE: permanent sheet pile needs corrosion allowance. ","")&amp;IF(AND(F125="Cantilever (no support)",E125&gt;6),"NOTE: cantilever embedded wall &gt; 6 m, check deflection. ","")&amp;IF(AND(S125&lt;&gt;"",T125&lt;&gt;"",S125&gt;T125),"FAIL: deflection exceeds allowable. ",""))=0,"OK",IF(AND(U125&lt;&gt;"",IFERROR(VALUE(MID(U125,2,2)),0)&lt;SG_Criteria!$B$19),"FAIL: grade below C"&amp;SG_Criteria!$B$19&amp;". ","")&amp;IF(AND(LEFT(C125,3)="Con",N(H125)&lt;E125,G125="Kallang Formation (marine clay)"),"NOTE: CBP is not watertight below GWT in marine clay; consider secant / grouting. ","")&amp;IF(AND(C125="Steel Sheet Pile",D125="Permanent"),"NOTE: permanent sheet pile needs corrosion allowance. ","")&amp;IF(AND(F125="Cantilever (no support)",E125&gt;6),"NOTE: cantilever embedded wall &gt; 6 m, check deflection. ","")&amp;IF(AND(S125&lt;&gt;"",T125&lt;&gt;"",S125&gt;T125),"FAIL: deflection exceeds allowable. ","")))</f>
        <v/>
      </c>
      <c r="AR125" s="9"/>
      <c r="AS125" s="9"/>
      <c r="AT125" s="9"/>
      <c r="AU125" s="9"/>
      <c r="AV125" s="9"/>
      <c r="AW125" s="31"/>
      <c r="AX125" s="10" t="str">
        <f aca="false">IF(C125="","",IF(AND(Y125="Approved",ISERROR(SEARCH("FAIL",AQ125))),"Y","N"))</f>
        <v/>
      </c>
      <c r="AY125" s="10" t="str">
        <f aca="false">IF(C125="","",C125&amp;"|"&amp;E125&amp;"|"&amp;F125&amp;"|"&amp;G125&amp;"|"&amp;D125&amp;"|"&amp;AX125)</f>
        <v/>
      </c>
    </row>
    <row r="126" customFormat="false" ht="15" hidden="false" customHeight="false" outlineLevel="0" collapsed="false">
      <c r="A126" s="10" t="str">
        <f aca="false">IF(C126="","","EW-"&amp;IFERROR(VLOOKUP(C126,Lists!$P$4:$Q$22,2,0),"??")&amp;"-D"&amp;TEXT(E126*1000,"0000")&amp;"-"&amp;IFERROR(VLOOKUP(F126,Lists!$S$4:$T$21,2,0),"??")&amp;"-"&amp;IFERROR(VLOOKUP(G126,Lists!$Y$4:$Z$21,2,0),"??")&amp;"-"&amp;IFERROR(VLOOKUP(D126,Lists!$V$4:$W$16,2,0),"??")&amp;"-"&amp;X126)</f>
        <v/>
      </c>
      <c r="B126" s="10" t="str">
        <f aca="false">IF(C126="","",D126&amp;" "&amp;C126&amp;", excavation "&amp;TEXT(E126,"0.0")&amp;" m, "&amp;F126&amp;", "&amp;G126&amp;", "&amp;J126)</f>
        <v/>
      </c>
      <c r="C126" s="9"/>
      <c r="D126" s="9"/>
      <c r="E126" s="43"/>
      <c r="F126" s="9"/>
      <c r="G126" s="9"/>
      <c r="H126" s="43"/>
      <c r="I126" s="40"/>
      <c r="J126" s="9"/>
      <c r="K126" s="9"/>
      <c r="L126" s="9"/>
      <c r="M126" s="43"/>
      <c r="N126" s="43"/>
      <c r="O126" s="9"/>
      <c r="P126" s="9"/>
      <c r="Q126" s="9"/>
      <c r="R126" s="9"/>
      <c r="S126" s="40"/>
      <c r="T126" s="40"/>
      <c r="U126" s="9"/>
      <c r="V126" s="9"/>
      <c r="W126" s="9"/>
      <c r="X126" s="9"/>
      <c r="Y126" s="9"/>
      <c r="Z126" s="9"/>
      <c r="AA126" s="9"/>
      <c r="AB126" s="9"/>
      <c r="AC126" s="10" t="str">
        <f aca="false">IF(A126="","",SG_Criteria!$B$6&amp;SG_Criteria!$B$9&amp;"\"&amp;A126&amp;"\")</f>
        <v/>
      </c>
      <c r="AD126" s="10" t="str">
        <f aca="false">IF(A126="","",A126&amp;"_CAD.dwg")</f>
        <v/>
      </c>
      <c r="AE126" s="10" t="str">
        <f aca="false">IF(A126="","",A126&amp;"_DWG.pdf")</f>
        <v/>
      </c>
      <c r="AF126" s="10" t="str">
        <f aca="false">IF(A126="","",IF(AB126="Y",A126&amp;"_STAAD.std","n/a"))</f>
        <v/>
      </c>
      <c r="AG126" s="10" t="str">
        <f aca="false">IF(A126="","",A126&amp;"_CALC.xlsx")</f>
        <v/>
      </c>
      <c r="AH126" s="10" t="str">
        <f aca="false">IF(A126="","",A126&amp;"_CALC.pdf")</f>
        <v/>
      </c>
      <c r="AI126" s="9"/>
      <c r="AJ126" s="9"/>
      <c r="AK126" s="41"/>
      <c r="AL126" s="41"/>
      <c r="AM126" s="41"/>
      <c r="AN126" s="41"/>
      <c r="AO126" s="41"/>
      <c r="AP126" s="38" t="str">
        <f aca="false">IF(OR(C126="",E126=""),"",IF(E126&lt;=IF(C126="Soldier Pile &amp; Timber Lagging",SG_Criteria!$B$34,SG_Criteria!$B$33),"No ERSS submission",IF(E126&lt;=SG_Criteria!$B$35,"QP(ST)",IF(E126&lt;=SG_Criteria!$B$36,"QP(ST) + AC","Geotechnical building works: QP(Geo) + AC"))))</f>
        <v/>
      </c>
      <c r="AQ126" s="38" t="str">
        <f aca="false">IF(C126="","",IF(LEN(IF(AND(U126&lt;&gt;"",IFERROR(VALUE(MID(U126,2,2)),0)&lt;SG_Criteria!$B$19),"FAIL: grade below C"&amp;SG_Criteria!$B$19&amp;". ","")&amp;IF(AND(LEFT(C126,3)="Con",N(H126)&lt;E126,G126="Kallang Formation (marine clay)"),"NOTE: CBP is not watertight below GWT in marine clay; consider secant / grouting. ","")&amp;IF(AND(C126="Steel Sheet Pile",D126="Permanent"),"NOTE: permanent sheet pile needs corrosion allowance. ","")&amp;IF(AND(F126="Cantilever (no support)",E126&gt;6),"NOTE: cantilever embedded wall &gt; 6 m, check deflection. ","")&amp;IF(AND(S126&lt;&gt;"",T126&lt;&gt;"",S126&gt;T126),"FAIL: deflection exceeds allowable. ",""))=0,"OK",IF(AND(U126&lt;&gt;"",IFERROR(VALUE(MID(U126,2,2)),0)&lt;SG_Criteria!$B$19),"FAIL: grade below C"&amp;SG_Criteria!$B$19&amp;". ","")&amp;IF(AND(LEFT(C126,3)="Con",N(H126)&lt;E126,G126="Kallang Formation (marine clay)"),"NOTE: CBP is not watertight below GWT in marine clay; consider secant / grouting. ","")&amp;IF(AND(C126="Steel Sheet Pile",D126="Permanent"),"NOTE: permanent sheet pile needs corrosion allowance. ","")&amp;IF(AND(F126="Cantilever (no support)",E126&gt;6),"NOTE: cantilever embedded wall &gt; 6 m, check deflection. ","")&amp;IF(AND(S126&lt;&gt;"",T126&lt;&gt;"",S126&gt;T126),"FAIL: deflection exceeds allowable. ","")))</f>
        <v/>
      </c>
      <c r="AR126" s="9"/>
      <c r="AS126" s="9"/>
      <c r="AT126" s="9"/>
      <c r="AU126" s="9"/>
      <c r="AV126" s="9"/>
      <c r="AW126" s="31"/>
      <c r="AX126" s="10" t="str">
        <f aca="false">IF(C126="","",IF(AND(Y126="Approved",ISERROR(SEARCH("FAIL",AQ126))),"Y","N"))</f>
        <v/>
      </c>
      <c r="AY126" s="10" t="str">
        <f aca="false">IF(C126="","",C126&amp;"|"&amp;E126&amp;"|"&amp;F126&amp;"|"&amp;G126&amp;"|"&amp;D126&amp;"|"&amp;AX126)</f>
        <v/>
      </c>
    </row>
    <row r="127" customFormat="false" ht="15" hidden="false" customHeight="false" outlineLevel="0" collapsed="false">
      <c r="A127" s="10" t="str">
        <f aca="false">IF(C127="","","EW-"&amp;IFERROR(VLOOKUP(C127,Lists!$P$4:$Q$22,2,0),"??")&amp;"-D"&amp;TEXT(E127*1000,"0000")&amp;"-"&amp;IFERROR(VLOOKUP(F127,Lists!$S$4:$T$21,2,0),"??")&amp;"-"&amp;IFERROR(VLOOKUP(G127,Lists!$Y$4:$Z$21,2,0),"??")&amp;"-"&amp;IFERROR(VLOOKUP(D127,Lists!$V$4:$W$16,2,0),"??")&amp;"-"&amp;X127)</f>
        <v/>
      </c>
      <c r="B127" s="10" t="str">
        <f aca="false">IF(C127="","",D127&amp;" "&amp;C127&amp;", excavation "&amp;TEXT(E127,"0.0")&amp;" m, "&amp;F127&amp;", "&amp;G127&amp;", "&amp;J127)</f>
        <v/>
      </c>
      <c r="C127" s="9"/>
      <c r="D127" s="9"/>
      <c r="E127" s="43"/>
      <c r="F127" s="9"/>
      <c r="G127" s="9"/>
      <c r="H127" s="43"/>
      <c r="I127" s="40"/>
      <c r="J127" s="9"/>
      <c r="K127" s="9"/>
      <c r="L127" s="9"/>
      <c r="M127" s="43"/>
      <c r="N127" s="43"/>
      <c r="O127" s="9"/>
      <c r="P127" s="9"/>
      <c r="Q127" s="9"/>
      <c r="R127" s="9"/>
      <c r="S127" s="40"/>
      <c r="T127" s="40"/>
      <c r="U127" s="9"/>
      <c r="V127" s="9"/>
      <c r="W127" s="9"/>
      <c r="X127" s="9"/>
      <c r="Y127" s="9"/>
      <c r="Z127" s="9"/>
      <c r="AA127" s="9"/>
      <c r="AB127" s="9"/>
      <c r="AC127" s="10" t="str">
        <f aca="false">IF(A127="","",SG_Criteria!$B$6&amp;SG_Criteria!$B$9&amp;"\"&amp;A127&amp;"\")</f>
        <v/>
      </c>
      <c r="AD127" s="10" t="str">
        <f aca="false">IF(A127="","",A127&amp;"_CAD.dwg")</f>
        <v/>
      </c>
      <c r="AE127" s="10" t="str">
        <f aca="false">IF(A127="","",A127&amp;"_DWG.pdf")</f>
        <v/>
      </c>
      <c r="AF127" s="10" t="str">
        <f aca="false">IF(A127="","",IF(AB127="Y",A127&amp;"_STAAD.std","n/a"))</f>
        <v/>
      </c>
      <c r="AG127" s="10" t="str">
        <f aca="false">IF(A127="","",A127&amp;"_CALC.xlsx")</f>
        <v/>
      </c>
      <c r="AH127" s="10" t="str">
        <f aca="false">IF(A127="","",A127&amp;"_CALC.pdf")</f>
        <v/>
      </c>
      <c r="AI127" s="9"/>
      <c r="AJ127" s="9"/>
      <c r="AK127" s="41"/>
      <c r="AL127" s="41"/>
      <c r="AM127" s="41"/>
      <c r="AN127" s="41"/>
      <c r="AO127" s="41"/>
      <c r="AP127" s="38" t="str">
        <f aca="false">IF(OR(C127="",E127=""),"",IF(E127&lt;=IF(C127="Soldier Pile &amp; Timber Lagging",SG_Criteria!$B$34,SG_Criteria!$B$33),"No ERSS submission",IF(E127&lt;=SG_Criteria!$B$35,"QP(ST)",IF(E127&lt;=SG_Criteria!$B$36,"QP(ST) + AC","Geotechnical building works: QP(Geo) + AC"))))</f>
        <v/>
      </c>
      <c r="AQ127" s="38" t="str">
        <f aca="false">IF(C127="","",IF(LEN(IF(AND(U127&lt;&gt;"",IFERROR(VALUE(MID(U127,2,2)),0)&lt;SG_Criteria!$B$19),"FAIL: grade below C"&amp;SG_Criteria!$B$19&amp;". ","")&amp;IF(AND(LEFT(C127,3)="Con",N(H127)&lt;E127,G127="Kallang Formation (marine clay)"),"NOTE: CBP is not watertight below GWT in marine clay; consider secant / grouting. ","")&amp;IF(AND(C127="Steel Sheet Pile",D127="Permanent"),"NOTE: permanent sheet pile needs corrosion allowance. ","")&amp;IF(AND(F127="Cantilever (no support)",E127&gt;6),"NOTE: cantilever embedded wall &gt; 6 m, check deflection. ","")&amp;IF(AND(S127&lt;&gt;"",T127&lt;&gt;"",S127&gt;T127),"FAIL: deflection exceeds allowable. ",""))=0,"OK",IF(AND(U127&lt;&gt;"",IFERROR(VALUE(MID(U127,2,2)),0)&lt;SG_Criteria!$B$19),"FAIL: grade below C"&amp;SG_Criteria!$B$19&amp;". ","")&amp;IF(AND(LEFT(C127,3)="Con",N(H127)&lt;E127,G127="Kallang Formation (marine clay)"),"NOTE: CBP is not watertight below GWT in marine clay; consider secant / grouting. ","")&amp;IF(AND(C127="Steel Sheet Pile",D127="Permanent"),"NOTE: permanent sheet pile needs corrosion allowance. ","")&amp;IF(AND(F127="Cantilever (no support)",E127&gt;6),"NOTE: cantilever embedded wall &gt; 6 m, check deflection. ","")&amp;IF(AND(S127&lt;&gt;"",T127&lt;&gt;"",S127&gt;T127),"FAIL: deflection exceeds allowable. ","")))</f>
        <v/>
      </c>
      <c r="AR127" s="9"/>
      <c r="AS127" s="9"/>
      <c r="AT127" s="9"/>
      <c r="AU127" s="9"/>
      <c r="AV127" s="9"/>
      <c r="AW127" s="31"/>
      <c r="AX127" s="10" t="str">
        <f aca="false">IF(C127="","",IF(AND(Y127="Approved",ISERROR(SEARCH("FAIL",AQ127))),"Y","N"))</f>
        <v/>
      </c>
      <c r="AY127" s="10" t="str">
        <f aca="false">IF(C127="","",C127&amp;"|"&amp;E127&amp;"|"&amp;F127&amp;"|"&amp;G127&amp;"|"&amp;D127&amp;"|"&amp;AX127)</f>
        <v/>
      </c>
    </row>
    <row r="128" customFormat="false" ht="15" hidden="false" customHeight="false" outlineLevel="0" collapsed="false">
      <c r="A128" s="10" t="str">
        <f aca="false">IF(C128="","","EW-"&amp;IFERROR(VLOOKUP(C128,Lists!$P$4:$Q$22,2,0),"??")&amp;"-D"&amp;TEXT(E128*1000,"0000")&amp;"-"&amp;IFERROR(VLOOKUP(F128,Lists!$S$4:$T$21,2,0),"??")&amp;"-"&amp;IFERROR(VLOOKUP(G128,Lists!$Y$4:$Z$21,2,0),"??")&amp;"-"&amp;IFERROR(VLOOKUP(D128,Lists!$V$4:$W$16,2,0),"??")&amp;"-"&amp;X128)</f>
        <v/>
      </c>
      <c r="B128" s="10" t="str">
        <f aca="false">IF(C128="","",D128&amp;" "&amp;C128&amp;", excavation "&amp;TEXT(E128,"0.0")&amp;" m, "&amp;F128&amp;", "&amp;G128&amp;", "&amp;J128)</f>
        <v/>
      </c>
      <c r="C128" s="9"/>
      <c r="D128" s="9"/>
      <c r="E128" s="43"/>
      <c r="F128" s="9"/>
      <c r="G128" s="9"/>
      <c r="H128" s="43"/>
      <c r="I128" s="40"/>
      <c r="J128" s="9"/>
      <c r="K128" s="9"/>
      <c r="L128" s="9"/>
      <c r="M128" s="43"/>
      <c r="N128" s="43"/>
      <c r="O128" s="9"/>
      <c r="P128" s="9"/>
      <c r="Q128" s="9"/>
      <c r="R128" s="9"/>
      <c r="S128" s="40"/>
      <c r="T128" s="40"/>
      <c r="U128" s="9"/>
      <c r="V128" s="9"/>
      <c r="W128" s="9"/>
      <c r="X128" s="9"/>
      <c r="Y128" s="9"/>
      <c r="Z128" s="9"/>
      <c r="AA128" s="9"/>
      <c r="AB128" s="9"/>
      <c r="AC128" s="10" t="str">
        <f aca="false">IF(A128="","",SG_Criteria!$B$6&amp;SG_Criteria!$B$9&amp;"\"&amp;A128&amp;"\")</f>
        <v/>
      </c>
      <c r="AD128" s="10" t="str">
        <f aca="false">IF(A128="","",A128&amp;"_CAD.dwg")</f>
        <v/>
      </c>
      <c r="AE128" s="10" t="str">
        <f aca="false">IF(A128="","",A128&amp;"_DWG.pdf")</f>
        <v/>
      </c>
      <c r="AF128" s="10" t="str">
        <f aca="false">IF(A128="","",IF(AB128="Y",A128&amp;"_STAAD.std","n/a"))</f>
        <v/>
      </c>
      <c r="AG128" s="10" t="str">
        <f aca="false">IF(A128="","",A128&amp;"_CALC.xlsx")</f>
        <v/>
      </c>
      <c r="AH128" s="10" t="str">
        <f aca="false">IF(A128="","",A128&amp;"_CALC.pdf")</f>
        <v/>
      </c>
      <c r="AI128" s="9"/>
      <c r="AJ128" s="9"/>
      <c r="AK128" s="41"/>
      <c r="AL128" s="41"/>
      <c r="AM128" s="41"/>
      <c r="AN128" s="41"/>
      <c r="AO128" s="41"/>
      <c r="AP128" s="38" t="str">
        <f aca="false">IF(OR(C128="",E128=""),"",IF(E128&lt;=IF(C128="Soldier Pile &amp; Timber Lagging",SG_Criteria!$B$34,SG_Criteria!$B$33),"No ERSS submission",IF(E128&lt;=SG_Criteria!$B$35,"QP(ST)",IF(E128&lt;=SG_Criteria!$B$36,"QP(ST) + AC","Geotechnical building works: QP(Geo) + AC"))))</f>
        <v/>
      </c>
      <c r="AQ128" s="38" t="str">
        <f aca="false">IF(C128="","",IF(LEN(IF(AND(U128&lt;&gt;"",IFERROR(VALUE(MID(U128,2,2)),0)&lt;SG_Criteria!$B$19),"FAIL: grade below C"&amp;SG_Criteria!$B$19&amp;". ","")&amp;IF(AND(LEFT(C128,3)="Con",N(H128)&lt;E128,G128="Kallang Formation (marine clay)"),"NOTE: CBP is not watertight below GWT in marine clay; consider secant / grouting. ","")&amp;IF(AND(C128="Steel Sheet Pile",D128="Permanent"),"NOTE: permanent sheet pile needs corrosion allowance. ","")&amp;IF(AND(F128="Cantilever (no support)",E128&gt;6),"NOTE: cantilever embedded wall &gt; 6 m, check deflection. ","")&amp;IF(AND(S128&lt;&gt;"",T128&lt;&gt;"",S128&gt;T128),"FAIL: deflection exceeds allowable. ",""))=0,"OK",IF(AND(U128&lt;&gt;"",IFERROR(VALUE(MID(U128,2,2)),0)&lt;SG_Criteria!$B$19),"FAIL: grade below C"&amp;SG_Criteria!$B$19&amp;". ","")&amp;IF(AND(LEFT(C128,3)="Con",N(H128)&lt;E128,G128="Kallang Formation (marine clay)"),"NOTE: CBP is not watertight below GWT in marine clay; consider secant / grouting. ","")&amp;IF(AND(C128="Steel Sheet Pile",D128="Permanent"),"NOTE: permanent sheet pile needs corrosion allowance. ","")&amp;IF(AND(F128="Cantilever (no support)",E128&gt;6),"NOTE: cantilever embedded wall &gt; 6 m, check deflection. ","")&amp;IF(AND(S128&lt;&gt;"",T128&lt;&gt;"",S128&gt;T128),"FAIL: deflection exceeds allowable. ","")))</f>
        <v/>
      </c>
      <c r="AR128" s="9"/>
      <c r="AS128" s="9"/>
      <c r="AT128" s="9"/>
      <c r="AU128" s="9"/>
      <c r="AV128" s="9"/>
      <c r="AW128" s="31"/>
      <c r="AX128" s="10" t="str">
        <f aca="false">IF(C128="","",IF(AND(Y128="Approved",ISERROR(SEARCH("FAIL",AQ128))),"Y","N"))</f>
        <v/>
      </c>
      <c r="AY128" s="10" t="str">
        <f aca="false">IF(C128="","",C128&amp;"|"&amp;E128&amp;"|"&amp;F128&amp;"|"&amp;G128&amp;"|"&amp;D128&amp;"|"&amp;AX128)</f>
        <v/>
      </c>
    </row>
    <row r="129" customFormat="false" ht="15" hidden="false" customHeight="false" outlineLevel="0" collapsed="false">
      <c r="A129" s="10" t="str">
        <f aca="false">IF(C129="","","EW-"&amp;IFERROR(VLOOKUP(C129,Lists!$P$4:$Q$22,2,0),"??")&amp;"-D"&amp;TEXT(E129*1000,"0000")&amp;"-"&amp;IFERROR(VLOOKUP(F129,Lists!$S$4:$T$21,2,0),"??")&amp;"-"&amp;IFERROR(VLOOKUP(G129,Lists!$Y$4:$Z$21,2,0),"??")&amp;"-"&amp;IFERROR(VLOOKUP(D129,Lists!$V$4:$W$16,2,0),"??")&amp;"-"&amp;X129)</f>
        <v/>
      </c>
      <c r="B129" s="10" t="str">
        <f aca="false">IF(C129="","",D129&amp;" "&amp;C129&amp;", excavation "&amp;TEXT(E129,"0.0")&amp;" m, "&amp;F129&amp;", "&amp;G129&amp;", "&amp;J129)</f>
        <v/>
      </c>
      <c r="C129" s="9"/>
      <c r="D129" s="9"/>
      <c r="E129" s="43"/>
      <c r="F129" s="9"/>
      <c r="G129" s="9"/>
      <c r="H129" s="43"/>
      <c r="I129" s="40"/>
      <c r="J129" s="9"/>
      <c r="K129" s="9"/>
      <c r="L129" s="9"/>
      <c r="M129" s="43"/>
      <c r="N129" s="43"/>
      <c r="O129" s="9"/>
      <c r="P129" s="9"/>
      <c r="Q129" s="9"/>
      <c r="R129" s="9"/>
      <c r="S129" s="40"/>
      <c r="T129" s="40"/>
      <c r="U129" s="9"/>
      <c r="V129" s="9"/>
      <c r="W129" s="9"/>
      <c r="X129" s="9"/>
      <c r="Y129" s="9"/>
      <c r="Z129" s="9"/>
      <c r="AA129" s="9"/>
      <c r="AB129" s="9"/>
      <c r="AC129" s="10" t="str">
        <f aca="false">IF(A129="","",SG_Criteria!$B$6&amp;SG_Criteria!$B$9&amp;"\"&amp;A129&amp;"\")</f>
        <v/>
      </c>
      <c r="AD129" s="10" t="str">
        <f aca="false">IF(A129="","",A129&amp;"_CAD.dwg")</f>
        <v/>
      </c>
      <c r="AE129" s="10" t="str">
        <f aca="false">IF(A129="","",A129&amp;"_DWG.pdf")</f>
        <v/>
      </c>
      <c r="AF129" s="10" t="str">
        <f aca="false">IF(A129="","",IF(AB129="Y",A129&amp;"_STAAD.std","n/a"))</f>
        <v/>
      </c>
      <c r="AG129" s="10" t="str">
        <f aca="false">IF(A129="","",A129&amp;"_CALC.xlsx")</f>
        <v/>
      </c>
      <c r="AH129" s="10" t="str">
        <f aca="false">IF(A129="","",A129&amp;"_CALC.pdf")</f>
        <v/>
      </c>
      <c r="AI129" s="9"/>
      <c r="AJ129" s="9"/>
      <c r="AK129" s="41"/>
      <c r="AL129" s="41"/>
      <c r="AM129" s="41"/>
      <c r="AN129" s="41"/>
      <c r="AO129" s="41"/>
      <c r="AP129" s="38" t="str">
        <f aca="false">IF(OR(C129="",E129=""),"",IF(E129&lt;=IF(C129="Soldier Pile &amp; Timber Lagging",SG_Criteria!$B$34,SG_Criteria!$B$33),"No ERSS submission",IF(E129&lt;=SG_Criteria!$B$35,"QP(ST)",IF(E129&lt;=SG_Criteria!$B$36,"QP(ST) + AC","Geotechnical building works: QP(Geo) + AC"))))</f>
        <v/>
      </c>
      <c r="AQ129" s="38" t="str">
        <f aca="false">IF(C129="","",IF(LEN(IF(AND(U129&lt;&gt;"",IFERROR(VALUE(MID(U129,2,2)),0)&lt;SG_Criteria!$B$19),"FAIL: grade below C"&amp;SG_Criteria!$B$19&amp;". ","")&amp;IF(AND(LEFT(C129,3)="Con",N(H129)&lt;E129,G129="Kallang Formation (marine clay)"),"NOTE: CBP is not watertight below GWT in marine clay; consider secant / grouting. ","")&amp;IF(AND(C129="Steel Sheet Pile",D129="Permanent"),"NOTE: permanent sheet pile needs corrosion allowance. ","")&amp;IF(AND(F129="Cantilever (no support)",E129&gt;6),"NOTE: cantilever embedded wall &gt; 6 m, check deflection. ","")&amp;IF(AND(S129&lt;&gt;"",T129&lt;&gt;"",S129&gt;T129),"FAIL: deflection exceeds allowable. ",""))=0,"OK",IF(AND(U129&lt;&gt;"",IFERROR(VALUE(MID(U129,2,2)),0)&lt;SG_Criteria!$B$19),"FAIL: grade below C"&amp;SG_Criteria!$B$19&amp;". ","")&amp;IF(AND(LEFT(C129,3)="Con",N(H129)&lt;E129,G129="Kallang Formation (marine clay)"),"NOTE: CBP is not watertight below GWT in marine clay; consider secant / grouting. ","")&amp;IF(AND(C129="Steel Sheet Pile",D129="Permanent"),"NOTE: permanent sheet pile needs corrosion allowance. ","")&amp;IF(AND(F129="Cantilever (no support)",E129&gt;6),"NOTE: cantilever embedded wall &gt; 6 m, check deflection. ","")&amp;IF(AND(S129&lt;&gt;"",T129&lt;&gt;"",S129&gt;T129),"FAIL: deflection exceeds allowable. ","")))</f>
        <v/>
      </c>
      <c r="AR129" s="9"/>
      <c r="AS129" s="9"/>
      <c r="AT129" s="9"/>
      <c r="AU129" s="9"/>
      <c r="AV129" s="9"/>
      <c r="AW129" s="31"/>
      <c r="AX129" s="10" t="str">
        <f aca="false">IF(C129="","",IF(AND(Y129="Approved",ISERROR(SEARCH("FAIL",AQ129))),"Y","N"))</f>
        <v/>
      </c>
      <c r="AY129" s="10" t="str">
        <f aca="false">IF(C129="","",C129&amp;"|"&amp;E129&amp;"|"&amp;F129&amp;"|"&amp;G129&amp;"|"&amp;D129&amp;"|"&amp;AX129)</f>
        <v/>
      </c>
    </row>
    <row r="130" customFormat="false" ht="15" hidden="false" customHeight="false" outlineLevel="0" collapsed="false">
      <c r="A130" s="10" t="str">
        <f aca="false">IF(C130="","","EW-"&amp;IFERROR(VLOOKUP(C130,Lists!$P$4:$Q$22,2,0),"??")&amp;"-D"&amp;TEXT(E130*1000,"0000")&amp;"-"&amp;IFERROR(VLOOKUP(F130,Lists!$S$4:$T$21,2,0),"??")&amp;"-"&amp;IFERROR(VLOOKUP(G130,Lists!$Y$4:$Z$21,2,0),"??")&amp;"-"&amp;IFERROR(VLOOKUP(D130,Lists!$V$4:$W$16,2,0),"??")&amp;"-"&amp;X130)</f>
        <v/>
      </c>
      <c r="B130" s="10" t="str">
        <f aca="false">IF(C130="","",D130&amp;" "&amp;C130&amp;", excavation "&amp;TEXT(E130,"0.0")&amp;" m, "&amp;F130&amp;", "&amp;G130&amp;", "&amp;J130)</f>
        <v/>
      </c>
      <c r="C130" s="9"/>
      <c r="D130" s="9"/>
      <c r="E130" s="43"/>
      <c r="F130" s="9"/>
      <c r="G130" s="9"/>
      <c r="H130" s="43"/>
      <c r="I130" s="40"/>
      <c r="J130" s="9"/>
      <c r="K130" s="9"/>
      <c r="L130" s="9"/>
      <c r="M130" s="43"/>
      <c r="N130" s="43"/>
      <c r="O130" s="9"/>
      <c r="P130" s="9"/>
      <c r="Q130" s="9"/>
      <c r="R130" s="9"/>
      <c r="S130" s="40"/>
      <c r="T130" s="40"/>
      <c r="U130" s="9"/>
      <c r="V130" s="9"/>
      <c r="W130" s="9"/>
      <c r="X130" s="9"/>
      <c r="Y130" s="9"/>
      <c r="Z130" s="9"/>
      <c r="AA130" s="9"/>
      <c r="AB130" s="9"/>
      <c r="AC130" s="10" t="str">
        <f aca="false">IF(A130="","",SG_Criteria!$B$6&amp;SG_Criteria!$B$9&amp;"\"&amp;A130&amp;"\")</f>
        <v/>
      </c>
      <c r="AD130" s="10" t="str">
        <f aca="false">IF(A130="","",A130&amp;"_CAD.dwg")</f>
        <v/>
      </c>
      <c r="AE130" s="10" t="str">
        <f aca="false">IF(A130="","",A130&amp;"_DWG.pdf")</f>
        <v/>
      </c>
      <c r="AF130" s="10" t="str">
        <f aca="false">IF(A130="","",IF(AB130="Y",A130&amp;"_STAAD.std","n/a"))</f>
        <v/>
      </c>
      <c r="AG130" s="10" t="str">
        <f aca="false">IF(A130="","",A130&amp;"_CALC.xlsx")</f>
        <v/>
      </c>
      <c r="AH130" s="10" t="str">
        <f aca="false">IF(A130="","",A130&amp;"_CALC.pdf")</f>
        <v/>
      </c>
      <c r="AI130" s="9"/>
      <c r="AJ130" s="9"/>
      <c r="AK130" s="41"/>
      <c r="AL130" s="41"/>
      <c r="AM130" s="41"/>
      <c r="AN130" s="41"/>
      <c r="AO130" s="41"/>
      <c r="AP130" s="38" t="str">
        <f aca="false">IF(OR(C130="",E130=""),"",IF(E130&lt;=IF(C130="Soldier Pile &amp; Timber Lagging",SG_Criteria!$B$34,SG_Criteria!$B$33),"No ERSS submission",IF(E130&lt;=SG_Criteria!$B$35,"QP(ST)",IF(E130&lt;=SG_Criteria!$B$36,"QP(ST) + AC","Geotechnical building works: QP(Geo) + AC"))))</f>
        <v/>
      </c>
      <c r="AQ130" s="38" t="str">
        <f aca="false">IF(C130="","",IF(LEN(IF(AND(U130&lt;&gt;"",IFERROR(VALUE(MID(U130,2,2)),0)&lt;SG_Criteria!$B$19),"FAIL: grade below C"&amp;SG_Criteria!$B$19&amp;". ","")&amp;IF(AND(LEFT(C130,3)="Con",N(H130)&lt;E130,G130="Kallang Formation (marine clay)"),"NOTE: CBP is not watertight below GWT in marine clay; consider secant / grouting. ","")&amp;IF(AND(C130="Steel Sheet Pile",D130="Permanent"),"NOTE: permanent sheet pile needs corrosion allowance. ","")&amp;IF(AND(F130="Cantilever (no support)",E130&gt;6),"NOTE: cantilever embedded wall &gt; 6 m, check deflection. ","")&amp;IF(AND(S130&lt;&gt;"",T130&lt;&gt;"",S130&gt;T130),"FAIL: deflection exceeds allowable. ",""))=0,"OK",IF(AND(U130&lt;&gt;"",IFERROR(VALUE(MID(U130,2,2)),0)&lt;SG_Criteria!$B$19),"FAIL: grade below C"&amp;SG_Criteria!$B$19&amp;". ","")&amp;IF(AND(LEFT(C130,3)="Con",N(H130)&lt;E130,G130="Kallang Formation (marine clay)"),"NOTE: CBP is not watertight below GWT in marine clay; consider secant / grouting. ","")&amp;IF(AND(C130="Steel Sheet Pile",D130="Permanent"),"NOTE: permanent sheet pile needs corrosion allowance. ","")&amp;IF(AND(F130="Cantilever (no support)",E130&gt;6),"NOTE: cantilever embedded wall &gt; 6 m, check deflection. ","")&amp;IF(AND(S130&lt;&gt;"",T130&lt;&gt;"",S130&gt;T130),"FAIL: deflection exceeds allowable. ","")))</f>
        <v/>
      </c>
      <c r="AR130" s="9"/>
      <c r="AS130" s="9"/>
      <c r="AT130" s="9"/>
      <c r="AU130" s="9"/>
      <c r="AV130" s="9"/>
      <c r="AW130" s="31"/>
      <c r="AX130" s="10" t="str">
        <f aca="false">IF(C130="","",IF(AND(Y130="Approved",ISERROR(SEARCH("FAIL",AQ130))),"Y","N"))</f>
        <v/>
      </c>
      <c r="AY130" s="10" t="str">
        <f aca="false">IF(C130="","",C130&amp;"|"&amp;E130&amp;"|"&amp;F130&amp;"|"&amp;G130&amp;"|"&amp;D130&amp;"|"&amp;AX130)</f>
        <v/>
      </c>
    </row>
    <row r="131" customFormat="false" ht="15" hidden="false" customHeight="false" outlineLevel="0" collapsed="false">
      <c r="A131" s="10" t="str">
        <f aca="false">IF(C131="","","EW-"&amp;IFERROR(VLOOKUP(C131,Lists!$P$4:$Q$22,2,0),"??")&amp;"-D"&amp;TEXT(E131*1000,"0000")&amp;"-"&amp;IFERROR(VLOOKUP(F131,Lists!$S$4:$T$21,2,0),"??")&amp;"-"&amp;IFERROR(VLOOKUP(G131,Lists!$Y$4:$Z$21,2,0),"??")&amp;"-"&amp;IFERROR(VLOOKUP(D131,Lists!$V$4:$W$16,2,0),"??")&amp;"-"&amp;X131)</f>
        <v/>
      </c>
      <c r="B131" s="10" t="str">
        <f aca="false">IF(C131="","",D131&amp;" "&amp;C131&amp;", excavation "&amp;TEXT(E131,"0.0")&amp;" m, "&amp;F131&amp;", "&amp;G131&amp;", "&amp;J131)</f>
        <v/>
      </c>
      <c r="C131" s="9"/>
      <c r="D131" s="9"/>
      <c r="E131" s="43"/>
      <c r="F131" s="9"/>
      <c r="G131" s="9"/>
      <c r="H131" s="43"/>
      <c r="I131" s="40"/>
      <c r="J131" s="9"/>
      <c r="K131" s="9"/>
      <c r="L131" s="9"/>
      <c r="M131" s="43"/>
      <c r="N131" s="43"/>
      <c r="O131" s="9"/>
      <c r="P131" s="9"/>
      <c r="Q131" s="9"/>
      <c r="R131" s="9"/>
      <c r="S131" s="40"/>
      <c r="T131" s="40"/>
      <c r="U131" s="9"/>
      <c r="V131" s="9"/>
      <c r="W131" s="9"/>
      <c r="X131" s="9"/>
      <c r="Y131" s="9"/>
      <c r="Z131" s="9"/>
      <c r="AA131" s="9"/>
      <c r="AB131" s="9"/>
      <c r="AC131" s="10" t="str">
        <f aca="false">IF(A131="","",SG_Criteria!$B$6&amp;SG_Criteria!$B$9&amp;"\"&amp;A131&amp;"\")</f>
        <v/>
      </c>
      <c r="AD131" s="10" t="str">
        <f aca="false">IF(A131="","",A131&amp;"_CAD.dwg")</f>
        <v/>
      </c>
      <c r="AE131" s="10" t="str">
        <f aca="false">IF(A131="","",A131&amp;"_DWG.pdf")</f>
        <v/>
      </c>
      <c r="AF131" s="10" t="str">
        <f aca="false">IF(A131="","",IF(AB131="Y",A131&amp;"_STAAD.std","n/a"))</f>
        <v/>
      </c>
      <c r="AG131" s="10" t="str">
        <f aca="false">IF(A131="","",A131&amp;"_CALC.xlsx")</f>
        <v/>
      </c>
      <c r="AH131" s="10" t="str">
        <f aca="false">IF(A131="","",A131&amp;"_CALC.pdf")</f>
        <v/>
      </c>
      <c r="AI131" s="9"/>
      <c r="AJ131" s="9"/>
      <c r="AK131" s="41"/>
      <c r="AL131" s="41"/>
      <c r="AM131" s="41"/>
      <c r="AN131" s="41"/>
      <c r="AO131" s="41"/>
      <c r="AP131" s="38" t="str">
        <f aca="false">IF(OR(C131="",E131=""),"",IF(E131&lt;=IF(C131="Soldier Pile &amp; Timber Lagging",SG_Criteria!$B$34,SG_Criteria!$B$33),"No ERSS submission",IF(E131&lt;=SG_Criteria!$B$35,"QP(ST)",IF(E131&lt;=SG_Criteria!$B$36,"QP(ST) + AC","Geotechnical building works: QP(Geo) + AC"))))</f>
        <v/>
      </c>
      <c r="AQ131" s="38" t="str">
        <f aca="false">IF(C131="","",IF(LEN(IF(AND(U131&lt;&gt;"",IFERROR(VALUE(MID(U131,2,2)),0)&lt;SG_Criteria!$B$19),"FAIL: grade below C"&amp;SG_Criteria!$B$19&amp;". ","")&amp;IF(AND(LEFT(C131,3)="Con",N(H131)&lt;E131,G131="Kallang Formation (marine clay)"),"NOTE: CBP is not watertight below GWT in marine clay; consider secant / grouting. ","")&amp;IF(AND(C131="Steel Sheet Pile",D131="Permanent"),"NOTE: permanent sheet pile needs corrosion allowance. ","")&amp;IF(AND(F131="Cantilever (no support)",E131&gt;6),"NOTE: cantilever embedded wall &gt; 6 m, check deflection. ","")&amp;IF(AND(S131&lt;&gt;"",T131&lt;&gt;"",S131&gt;T131),"FAIL: deflection exceeds allowable. ",""))=0,"OK",IF(AND(U131&lt;&gt;"",IFERROR(VALUE(MID(U131,2,2)),0)&lt;SG_Criteria!$B$19),"FAIL: grade below C"&amp;SG_Criteria!$B$19&amp;". ","")&amp;IF(AND(LEFT(C131,3)="Con",N(H131)&lt;E131,G131="Kallang Formation (marine clay)"),"NOTE: CBP is not watertight below GWT in marine clay; consider secant / grouting. ","")&amp;IF(AND(C131="Steel Sheet Pile",D131="Permanent"),"NOTE: permanent sheet pile needs corrosion allowance. ","")&amp;IF(AND(F131="Cantilever (no support)",E131&gt;6),"NOTE: cantilever embedded wall &gt; 6 m, check deflection. ","")&amp;IF(AND(S131&lt;&gt;"",T131&lt;&gt;"",S131&gt;T131),"FAIL: deflection exceeds allowable. ","")))</f>
        <v/>
      </c>
      <c r="AR131" s="9"/>
      <c r="AS131" s="9"/>
      <c r="AT131" s="9"/>
      <c r="AU131" s="9"/>
      <c r="AV131" s="9"/>
      <c r="AW131" s="31"/>
      <c r="AX131" s="10" t="str">
        <f aca="false">IF(C131="","",IF(AND(Y131="Approved",ISERROR(SEARCH("FAIL",AQ131))),"Y","N"))</f>
        <v/>
      </c>
      <c r="AY131" s="10" t="str">
        <f aca="false">IF(C131="","",C131&amp;"|"&amp;E131&amp;"|"&amp;F131&amp;"|"&amp;G131&amp;"|"&amp;D131&amp;"|"&amp;AX131)</f>
        <v/>
      </c>
    </row>
    <row r="132" customFormat="false" ht="15" hidden="false" customHeight="false" outlineLevel="0" collapsed="false">
      <c r="A132" s="10" t="str">
        <f aca="false">IF(C132="","","EW-"&amp;IFERROR(VLOOKUP(C132,Lists!$P$4:$Q$22,2,0),"??")&amp;"-D"&amp;TEXT(E132*1000,"0000")&amp;"-"&amp;IFERROR(VLOOKUP(F132,Lists!$S$4:$T$21,2,0),"??")&amp;"-"&amp;IFERROR(VLOOKUP(G132,Lists!$Y$4:$Z$21,2,0),"??")&amp;"-"&amp;IFERROR(VLOOKUP(D132,Lists!$V$4:$W$16,2,0),"??")&amp;"-"&amp;X132)</f>
        <v/>
      </c>
      <c r="B132" s="10" t="str">
        <f aca="false">IF(C132="","",D132&amp;" "&amp;C132&amp;", excavation "&amp;TEXT(E132,"0.0")&amp;" m, "&amp;F132&amp;", "&amp;G132&amp;", "&amp;J132)</f>
        <v/>
      </c>
      <c r="C132" s="9"/>
      <c r="D132" s="9"/>
      <c r="E132" s="43"/>
      <c r="F132" s="9"/>
      <c r="G132" s="9"/>
      <c r="H132" s="43"/>
      <c r="I132" s="40"/>
      <c r="J132" s="9"/>
      <c r="K132" s="9"/>
      <c r="L132" s="9"/>
      <c r="M132" s="43"/>
      <c r="N132" s="43"/>
      <c r="O132" s="9"/>
      <c r="P132" s="9"/>
      <c r="Q132" s="9"/>
      <c r="R132" s="9"/>
      <c r="S132" s="40"/>
      <c r="T132" s="40"/>
      <c r="U132" s="9"/>
      <c r="V132" s="9"/>
      <c r="W132" s="9"/>
      <c r="X132" s="9"/>
      <c r="Y132" s="9"/>
      <c r="Z132" s="9"/>
      <c r="AA132" s="9"/>
      <c r="AB132" s="9"/>
      <c r="AC132" s="10" t="str">
        <f aca="false">IF(A132="","",SG_Criteria!$B$6&amp;SG_Criteria!$B$9&amp;"\"&amp;A132&amp;"\")</f>
        <v/>
      </c>
      <c r="AD132" s="10" t="str">
        <f aca="false">IF(A132="","",A132&amp;"_CAD.dwg")</f>
        <v/>
      </c>
      <c r="AE132" s="10" t="str">
        <f aca="false">IF(A132="","",A132&amp;"_DWG.pdf")</f>
        <v/>
      </c>
      <c r="AF132" s="10" t="str">
        <f aca="false">IF(A132="","",IF(AB132="Y",A132&amp;"_STAAD.std","n/a"))</f>
        <v/>
      </c>
      <c r="AG132" s="10" t="str">
        <f aca="false">IF(A132="","",A132&amp;"_CALC.xlsx")</f>
        <v/>
      </c>
      <c r="AH132" s="10" t="str">
        <f aca="false">IF(A132="","",A132&amp;"_CALC.pdf")</f>
        <v/>
      </c>
      <c r="AI132" s="9"/>
      <c r="AJ132" s="9"/>
      <c r="AK132" s="41"/>
      <c r="AL132" s="41"/>
      <c r="AM132" s="41"/>
      <c r="AN132" s="41"/>
      <c r="AO132" s="41"/>
      <c r="AP132" s="38" t="str">
        <f aca="false">IF(OR(C132="",E132=""),"",IF(E132&lt;=IF(C132="Soldier Pile &amp; Timber Lagging",SG_Criteria!$B$34,SG_Criteria!$B$33),"No ERSS submission",IF(E132&lt;=SG_Criteria!$B$35,"QP(ST)",IF(E132&lt;=SG_Criteria!$B$36,"QP(ST) + AC","Geotechnical building works: QP(Geo) + AC"))))</f>
        <v/>
      </c>
      <c r="AQ132" s="38" t="str">
        <f aca="false">IF(C132="","",IF(LEN(IF(AND(U132&lt;&gt;"",IFERROR(VALUE(MID(U132,2,2)),0)&lt;SG_Criteria!$B$19),"FAIL: grade below C"&amp;SG_Criteria!$B$19&amp;". ","")&amp;IF(AND(LEFT(C132,3)="Con",N(H132)&lt;E132,G132="Kallang Formation (marine clay)"),"NOTE: CBP is not watertight below GWT in marine clay; consider secant / grouting. ","")&amp;IF(AND(C132="Steel Sheet Pile",D132="Permanent"),"NOTE: permanent sheet pile needs corrosion allowance. ","")&amp;IF(AND(F132="Cantilever (no support)",E132&gt;6),"NOTE: cantilever embedded wall &gt; 6 m, check deflection. ","")&amp;IF(AND(S132&lt;&gt;"",T132&lt;&gt;"",S132&gt;T132),"FAIL: deflection exceeds allowable. ",""))=0,"OK",IF(AND(U132&lt;&gt;"",IFERROR(VALUE(MID(U132,2,2)),0)&lt;SG_Criteria!$B$19),"FAIL: grade below C"&amp;SG_Criteria!$B$19&amp;". ","")&amp;IF(AND(LEFT(C132,3)="Con",N(H132)&lt;E132,G132="Kallang Formation (marine clay)"),"NOTE: CBP is not watertight below GWT in marine clay; consider secant / grouting. ","")&amp;IF(AND(C132="Steel Sheet Pile",D132="Permanent"),"NOTE: permanent sheet pile needs corrosion allowance. ","")&amp;IF(AND(F132="Cantilever (no support)",E132&gt;6),"NOTE: cantilever embedded wall &gt; 6 m, check deflection. ","")&amp;IF(AND(S132&lt;&gt;"",T132&lt;&gt;"",S132&gt;T132),"FAIL: deflection exceeds allowable. ","")))</f>
        <v/>
      </c>
      <c r="AR132" s="9"/>
      <c r="AS132" s="9"/>
      <c r="AT132" s="9"/>
      <c r="AU132" s="9"/>
      <c r="AV132" s="9"/>
      <c r="AW132" s="31"/>
      <c r="AX132" s="10" t="str">
        <f aca="false">IF(C132="","",IF(AND(Y132="Approved",ISERROR(SEARCH("FAIL",AQ132))),"Y","N"))</f>
        <v/>
      </c>
      <c r="AY132" s="10" t="str">
        <f aca="false">IF(C132="","",C132&amp;"|"&amp;E132&amp;"|"&amp;F132&amp;"|"&amp;G132&amp;"|"&amp;D132&amp;"|"&amp;AX132)</f>
        <v/>
      </c>
    </row>
    <row r="133" customFormat="false" ht="15" hidden="false" customHeight="false" outlineLevel="0" collapsed="false">
      <c r="A133" s="10" t="str">
        <f aca="false">IF(C133="","","EW-"&amp;IFERROR(VLOOKUP(C133,Lists!$P$4:$Q$22,2,0),"??")&amp;"-D"&amp;TEXT(E133*1000,"0000")&amp;"-"&amp;IFERROR(VLOOKUP(F133,Lists!$S$4:$T$21,2,0),"??")&amp;"-"&amp;IFERROR(VLOOKUP(G133,Lists!$Y$4:$Z$21,2,0),"??")&amp;"-"&amp;IFERROR(VLOOKUP(D133,Lists!$V$4:$W$16,2,0),"??")&amp;"-"&amp;X133)</f>
        <v/>
      </c>
      <c r="B133" s="10" t="str">
        <f aca="false">IF(C133="","",D133&amp;" "&amp;C133&amp;", excavation "&amp;TEXT(E133,"0.0")&amp;" m, "&amp;F133&amp;", "&amp;G133&amp;", "&amp;J133)</f>
        <v/>
      </c>
      <c r="C133" s="9"/>
      <c r="D133" s="9"/>
      <c r="E133" s="43"/>
      <c r="F133" s="9"/>
      <c r="G133" s="9"/>
      <c r="H133" s="43"/>
      <c r="I133" s="40"/>
      <c r="J133" s="9"/>
      <c r="K133" s="9"/>
      <c r="L133" s="9"/>
      <c r="M133" s="43"/>
      <c r="N133" s="43"/>
      <c r="O133" s="9"/>
      <c r="P133" s="9"/>
      <c r="Q133" s="9"/>
      <c r="R133" s="9"/>
      <c r="S133" s="40"/>
      <c r="T133" s="40"/>
      <c r="U133" s="9"/>
      <c r="V133" s="9"/>
      <c r="W133" s="9"/>
      <c r="X133" s="9"/>
      <c r="Y133" s="9"/>
      <c r="Z133" s="9"/>
      <c r="AA133" s="9"/>
      <c r="AB133" s="9"/>
      <c r="AC133" s="10" t="str">
        <f aca="false">IF(A133="","",SG_Criteria!$B$6&amp;SG_Criteria!$B$9&amp;"\"&amp;A133&amp;"\")</f>
        <v/>
      </c>
      <c r="AD133" s="10" t="str">
        <f aca="false">IF(A133="","",A133&amp;"_CAD.dwg")</f>
        <v/>
      </c>
      <c r="AE133" s="10" t="str">
        <f aca="false">IF(A133="","",A133&amp;"_DWG.pdf")</f>
        <v/>
      </c>
      <c r="AF133" s="10" t="str">
        <f aca="false">IF(A133="","",IF(AB133="Y",A133&amp;"_STAAD.std","n/a"))</f>
        <v/>
      </c>
      <c r="AG133" s="10" t="str">
        <f aca="false">IF(A133="","",A133&amp;"_CALC.xlsx")</f>
        <v/>
      </c>
      <c r="AH133" s="10" t="str">
        <f aca="false">IF(A133="","",A133&amp;"_CALC.pdf")</f>
        <v/>
      </c>
      <c r="AI133" s="9"/>
      <c r="AJ133" s="9"/>
      <c r="AK133" s="41"/>
      <c r="AL133" s="41"/>
      <c r="AM133" s="41"/>
      <c r="AN133" s="41"/>
      <c r="AO133" s="41"/>
      <c r="AP133" s="38" t="str">
        <f aca="false">IF(OR(C133="",E133=""),"",IF(E133&lt;=IF(C133="Soldier Pile &amp; Timber Lagging",SG_Criteria!$B$34,SG_Criteria!$B$33),"No ERSS submission",IF(E133&lt;=SG_Criteria!$B$35,"QP(ST)",IF(E133&lt;=SG_Criteria!$B$36,"QP(ST) + AC","Geotechnical building works: QP(Geo) + AC"))))</f>
        <v/>
      </c>
      <c r="AQ133" s="38" t="str">
        <f aca="false">IF(C133="","",IF(LEN(IF(AND(U133&lt;&gt;"",IFERROR(VALUE(MID(U133,2,2)),0)&lt;SG_Criteria!$B$19),"FAIL: grade below C"&amp;SG_Criteria!$B$19&amp;". ","")&amp;IF(AND(LEFT(C133,3)="Con",N(H133)&lt;E133,G133="Kallang Formation (marine clay)"),"NOTE: CBP is not watertight below GWT in marine clay; consider secant / grouting. ","")&amp;IF(AND(C133="Steel Sheet Pile",D133="Permanent"),"NOTE: permanent sheet pile needs corrosion allowance. ","")&amp;IF(AND(F133="Cantilever (no support)",E133&gt;6),"NOTE: cantilever embedded wall &gt; 6 m, check deflection. ","")&amp;IF(AND(S133&lt;&gt;"",T133&lt;&gt;"",S133&gt;T133),"FAIL: deflection exceeds allowable. ",""))=0,"OK",IF(AND(U133&lt;&gt;"",IFERROR(VALUE(MID(U133,2,2)),0)&lt;SG_Criteria!$B$19),"FAIL: grade below C"&amp;SG_Criteria!$B$19&amp;". ","")&amp;IF(AND(LEFT(C133,3)="Con",N(H133)&lt;E133,G133="Kallang Formation (marine clay)"),"NOTE: CBP is not watertight below GWT in marine clay; consider secant / grouting. ","")&amp;IF(AND(C133="Steel Sheet Pile",D133="Permanent"),"NOTE: permanent sheet pile needs corrosion allowance. ","")&amp;IF(AND(F133="Cantilever (no support)",E133&gt;6),"NOTE: cantilever embedded wall &gt; 6 m, check deflection. ","")&amp;IF(AND(S133&lt;&gt;"",T133&lt;&gt;"",S133&gt;T133),"FAIL: deflection exceeds allowable. ","")))</f>
        <v/>
      </c>
      <c r="AR133" s="9"/>
      <c r="AS133" s="9"/>
      <c r="AT133" s="9"/>
      <c r="AU133" s="9"/>
      <c r="AV133" s="9"/>
      <c r="AW133" s="31"/>
      <c r="AX133" s="10" t="str">
        <f aca="false">IF(C133="","",IF(AND(Y133="Approved",ISERROR(SEARCH("FAIL",AQ133))),"Y","N"))</f>
        <v/>
      </c>
      <c r="AY133" s="10" t="str">
        <f aca="false">IF(C133="","",C133&amp;"|"&amp;E133&amp;"|"&amp;F133&amp;"|"&amp;G133&amp;"|"&amp;D133&amp;"|"&amp;AX133)</f>
        <v/>
      </c>
    </row>
    <row r="134" customFormat="false" ht="15" hidden="false" customHeight="false" outlineLevel="0" collapsed="false">
      <c r="A134" s="10" t="str">
        <f aca="false">IF(C134="","","EW-"&amp;IFERROR(VLOOKUP(C134,Lists!$P$4:$Q$22,2,0),"??")&amp;"-D"&amp;TEXT(E134*1000,"0000")&amp;"-"&amp;IFERROR(VLOOKUP(F134,Lists!$S$4:$T$21,2,0),"??")&amp;"-"&amp;IFERROR(VLOOKUP(G134,Lists!$Y$4:$Z$21,2,0),"??")&amp;"-"&amp;IFERROR(VLOOKUP(D134,Lists!$V$4:$W$16,2,0),"??")&amp;"-"&amp;X134)</f>
        <v/>
      </c>
      <c r="B134" s="10" t="str">
        <f aca="false">IF(C134="","",D134&amp;" "&amp;C134&amp;", excavation "&amp;TEXT(E134,"0.0")&amp;" m, "&amp;F134&amp;", "&amp;G134&amp;", "&amp;J134)</f>
        <v/>
      </c>
      <c r="C134" s="9"/>
      <c r="D134" s="9"/>
      <c r="E134" s="43"/>
      <c r="F134" s="9"/>
      <c r="G134" s="9"/>
      <c r="H134" s="43"/>
      <c r="I134" s="40"/>
      <c r="J134" s="9"/>
      <c r="K134" s="9"/>
      <c r="L134" s="9"/>
      <c r="M134" s="43"/>
      <c r="N134" s="43"/>
      <c r="O134" s="9"/>
      <c r="P134" s="9"/>
      <c r="Q134" s="9"/>
      <c r="R134" s="9"/>
      <c r="S134" s="40"/>
      <c r="T134" s="40"/>
      <c r="U134" s="9"/>
      <c r="V134" s="9"/>
      <c r="W134" s="9"/>
      <c r="X134" s="9"/>
      <c r="Y134" s="9"/>
      <c r="Z134" s="9"/>
      <c r="AA134" s="9"/>
      <c r="AB134" s="9"/>
      <c r="AC134" s="10" t="str">
        <f aca="false">IF(A134="","",SG_Criteria!$B$6&amp;SG_Criteria!$B$9&amp;"\"&amp;A134&amp;"\")</f>
        <v/>
      </c>
      <c r="AD134" s="10" t="str">
        <f aca="false">IF(A134="","",A134&amp;"_CAD.dwg")</f>
        <v/>
      </c>
      <c r="AE134" s="10" t="str">
        <f aca="false">IF(A134="","",A134&amp;"_DWG.pdf")</f>
        <v/>
      </c>
      <c r="AF134" s="10" t="str">
        <f aca="false">IF(A134="","",IF(AB134="Y",A134&amp;"_STAAD.std","n/a"))</f>
        <v/>
      </c>
      <c r="AG134" s="10" t="str">
        <f aca="false">IF(A134="","",A134&amp;"_CALC.xlsx")</f>
        <v/>
      </c>
      <c r="AH134" s="10" t="str">
        <f aca="false">IF(A134="","",A134&amp;"_CALC.pdf")</f>
        <v/>
      </c>
      <c r="AI134" s="9"/>
      <c r="AJ134" s="9"/>
      <c r="AK134" s="41"/>
      <c r="AL134" s="41"/>
      <c r="AM134" s="41"/>
      <c r="AN134" s="41"/>
      <c r="AO134" s="41"/>
      <c r="AP134" s="38" t="str">
        <f aca="false">IF(OR(C134="",E134=""),"",IF(E134&lt;=IF(C134="Soldier Pile &amp; Timber Lagging",SG_Criteria!$B$34,SG_Criteria!$B$33),"No ERSS submission",IF(E134&lt;=SG_Criteria!$B$35,"QP(ST)",IF(E134&lt;=SG_Criteria!$B$36,"QP(ST) + AC","Geotechnical building works: QP(Geo) + AC"))))</f>
        <v/>
      </c>
      <c r="AQ134" s="38" t="str">
        <f aca="false">IF(C134="","",IF(LEN(IF(AND(U134&lt;&gt;"",IFERROR(VALUE(MID(U134,2,2)),0)&lt;SG_Criteria!$B$19),"FAIL: grade below C"&amp;SG_Criteria!$B$19&amp;". ","")&amp;IF(AND(LEFT(C134,3)="Con",N(H134)&lt;E134,G134="Kallang Formation (marine clay)"),"NOTE: CBP is not watertight below GWT in marine clay; consider secant / grouting. ","")&amp;IF(AND(C134="Steel Sheet Pile",D134="Permanent"),"NOTE: permanent sheet pile needs corrosion allowance. ","")&amp;IF(AND(F134="Cantilever (no support)",E134&gt;6),"NOTE: cantilever embedded wall &gt; 6 m, check deflection. ","")&amp;IF(AND(S134&lt;&gt;"",T134&lt;&gt;"",S134&gt;T134),"FAIL: deflection exceeds allowable. ",""))=0,"OK",IF(AND(U134&lt;&gt;"",IFERROR(VALUE(MID(U134,2,2)),0)&lt;SG_Criteria!$B$19),"FAIL: grade below C"&amp;SG_Criteria!$B$19&amp;". ","")&amp;IF(AND(LEFT(C134,3)="Con",N(H134)&lt;E134,G134="Kallang Formation (marine clay)"),"NOTE: CBP is not watertight below GWT in marine clay; consider secant / grouting. ","")&amp;IF(AND(C134="Steel Sheet Pile",D134="Permanent"),"NOTE: permanent sheet pile needs corrosion allowance. ","")&amp;IF(AND(F134="Cantilever (no support)",E134&gt;6),"NOTE: cantilever embedded wall &gt; 6 m, check deflection. ","")&amp;IF(AND(S134&lt;&gt;"",T134&lt;&gt;"",S134&gt;T134),"FAIL: deflection exceeds allowable. ","")))</f>
        <v/>
      </c>
      <c r="AR134" s="9"/>
      <c r="AS134" s="9"/>
      <c r="AT134" s="9"/>
      <c r="AU134" s="9"/>
      <c r="AV134" s="9"/>
      <c r="AW134" s="31"/>
      <c r="AX134" s="10" t="str">
        <f aca="false">IF(C134="","",IF(AND(Y134="Approved",ISERROR(SEARCH("FAIL",AQ134))),"Y","N"))</f>
        <v/>
      </c>
      <c r="AY134" s="10" t="str">
        <f aca="false">IF(C134="","",C134&amp;"|"&amp;E134&amp;"|"&amp;F134&amp;"|"&amp;G134&amp;"|"&amp;D134&amp;"|"&amp;AX134)</f>
        <v/>
      </c>
    </row>
    <row r="135" customFormat="false" ht="15" hidden="false" customHeight="false" outlineLevel="0" collapsed="false">
      <c r="A135" s="10" t="str">
        <f aca="false">IF(C135="","","EW-"&amp;IFERROR(VLOOKUP(C135,Lists!$P$4:$Q$22,2,0),"??")&amp;"-D"&amp;TEXT(E135*1000,"0000")&amp;"-"&amp;IFERROR(VLOOKUP(F135,Lists!$S$4:$T$21,2,0),"??")&amp;"-"&amp;IFERROR(VLOOKUP(G135,Lists!$Y$4:$Z$21,2,0),"??")&amp;"-"&amp;IFERROR(VLOOKUP(D135,Lists!$V$4:$W$16,2,0),"??")&amp;"-"&amp;X135)</f>
        <v/>
      </c>
      <c r="B135" s="10" t="str">
        <f aca="false">IF(C135="","",D135&amp;" "&amp;C135&amp;", excavation "&amp;TEXT(E135,"0.0")&amp;" m, "&amp;F135&amp;", "&amp;G135&amp;", "&amp;J135)</f>
        <v/>
      </c>
      <c r="C135" s="9"/>
      <c r="D135" s="9"/>
      <c r="E135" s="43"/>
      <c r="F135" s="9"/>
      <c r="G135" s="9"/>
      <c r="H135" s="43"/>
      <c r="I135" s="40"/>
      <c r="J135" s="9"/>
      <c r="K135" s="9"/>
      <c r="L135" s="9"/>
      <c r="M135" s="43"/>
      <c r="N135" s="43"/>
      <c r="O135" s="9"/>
      <c r="P135" s="9"/>
      <c r="Q135" s="9"/>
      <c r="R135" s="9"/>
      <c r="S135" s="40"/>
      <c r="T135" s="40"/>
      <c r="U135" s="9"/>
      <c r="V135" s="9"/>
      <c r="W135" s="9"/>
      <c r="X135" s="9"/>
      <c r="Y135" s="9"/>
      <c r="Z135" s="9"/>
      <c r="AA135" s="9"/>
      <c r="AB135" s="9"/>
      <c r="AC135" s="10" t="str">
        <f aca="false">IF(A135="","",SG_Criteria!$B$6&amp;SG_Criteria!$B$9&amp;"\"&amp;A135&amp;"\")</f>
        <v/>
      </c>
      <c r="AD135" s="10" t="str">
        <f aca="false">IF(A135="","",A135&amp;"_CAD.dwg")</f>
        <v/>
      </c>
      <c r="AE135" s="10" t="str">
        <f aca="false">IF(A135="","",A135&amp;"_DWG.pdf")</f>
        <v/>
      </c>
      <c r="AF135" s="10" t="str">
        <f aca="false">IF(A135="","",IF(AB135="Y",A135&amp;"_STAAD.std","n/a"))</f>
        <v/>
      </c>
      <c r="AG135" s="10" t="str">
        <f aca="false">IF(A135="","",A135&amp;"_CALC.xlsx")</f>
        <v/>
      </c>
      <c r="AH135" s="10" t="str">
        <f aca="false">IF(A135="","",A135&amp;"_CALC.pdf")</f>
        <v/>
      </c>
      <c r="AI135" s="9"/>
      <c r="AJ135" s="9"/>
      <c r="AK135" s="41"/>
      <c r="AL135" s="41"/>
      <c r="AM135" s="41"/>
      <c r="AN135" s="41"/>
      <c r="AO135" s="41"/>
      <c r="AP135" s="38" t="str">
        <f aca="false">IF(OR(C135="",E135=""),"",IF(E135&lt;=IF(C135="Soldier Pile &amp; Timber Lagging",SG_Criteria!$B$34,SG_Criteria!$B$33),"No ERSS submission",IF(E135&lt;=SG_Criteria!$B$35,"QP(ST)",IF(E135&lt;=SG_Criteria!$B$36,"QP(ST) + AC","Geotechnical building works: QP(Geo) + AC"))))</f>
        <v/>
      </c>
      <c r="AQ135" s="38" t="str">
        <f aca="false">IF(C135="","",IF(LEN(IF(AND(U135&lt;&gt;"",IFERROR(VALUE(MID(U135,2,2)),0)&lt;SG_Criteria!$B$19),"FAIL: grade below C"&amp;SG_Criteria!$B$19&amp;". ","")&amp;IF(AND(LEFT(C135,3)="Con",N(H135)&lt;E135,G135="Kallang Formation (marine clay)"),"NOTE: CBP is not watertight below GWT in marine clay; consider secant / grouting. ","")&amp;IF(AND(C135="Steel Sheet Pile",D135="Permanent"),"NOTE: permanent sheet pile needs corrosion allowance. ","")&amp;IF(AND(F135="Cantilever (no support)",E135&gt;6),"NOTE: cantilever embedded wall &gt; 6 m, check deflection. ","")&amp;IF(AND(S135&lt;&gt;"",T135&lt;&gt;"",S135&gt;T135),"FAIL: deflection exceeds allowable. ",""))=0,"OK",IF(AND(U135&lt;&gt;"",IFERROR(VALUE(MID(U135,2,2)),0)&lt;SG_Criteria!$B$19),"FAIL: grade below C"&amp;SG_Criteria!$B$19&amp;". ","")&amp;IF(AND(LEFT(C135,3)="Con",N(H135)&lt;E135,G135="Kallang Formation (marine clay)"),"NOTE: CBP is not watertight below GWT in marine clay; consider secant / grouting. ","")&amp;IF(AND(C135="Steel Sheet Pile",D135="Permanent"),"NOTE: permanent sheet pile needs corrosion allowance. ","")&amp;IF(AND(F135="Cantilever (no support)",E135&gt;6),"NOTE: cantilever embedded wall &gt; 6 m, check deflection. ","")&amp;IF(AND(S135&lt;&gt;"",T135&lt;&gt;"",S135&gt;T135),"FAIL: deflection exceeds allowable. ","")))</f>
        <v/>
      </c>
      <c r="AR135" s="9"/>
      <c r="AS135" s="9"/>
      <c r="AT135" s="9"/>
      <c r="AU135" s="9"/>
      <c r="AV135" s="9"/>
      <c r="AW135" s="31"/>
      <c r="AX135" s="10" t="str">
        <f aca="false">IF(C135="","",IF(AND(Y135="Approved",ISERROR(SEARCH("FAIL",AQ135))),"Y","N"))</f>
        <v/>
      </c>
      <c r="AY135" s="10" t="str">
        <f aca="false">IF(C135="","",C135&amp;"|"&amp;E135&amp;"|"&amp;F135&amp;"|"&amp;G135&amp;"|"&amp;D135&amp;"|"&amp;AX135)</f>
        <v/>
      </c>
    </row>
    <row r="136" customFormat="false" ht="15" hidden="false" customHeight="false" outlineLevel="0" collapsed="false">
      <c r="A136" s="10" t="str">
        <f aca="false">IF(C136="","","EW-"&amp;IFERROR(VLOOKUP(C136,Lists!$P$4:$Q$22,2,0),"??")&amp;"-D"&amp;TEXT(E136*1000,"0000")&amp;"-"&amp;IFERROR(VLOOKUP(F136,Lists!$S$4:$T$21,2,0),"??")&amp;"-"&amp;IFERROR(VLOOKUP(G136,Lists!$Y$4:$Z$21,2,0),"??")&amp;"-"&amp;IFERROR(VLOOKUP(D136,Lists!$V$4:$W$16,2,0),"??")&amp;"-"&amp;X136)</f>
        <v/>
      </c>
      <c r="B136" s="10" t="str">
        <f aca="false">IF(C136="","",D136&amp;" "&amp;C136&amp;", excavation "&amp;TEXT(E136,"0.0")&amp;" m, "&amp;F136&amp;", "&amp;G136&amp;", "&amp;J136)</f>
        <v/>
      </c>
      <c r="C136" s="9"/>
      <c r="D136" s="9"/>
      <c r="E136" s="43"/>
      <c r="F136" s="9"/>
      <c r="G136" s="9"/>
      <c r="H136" s="43"/>
      <c r="I136" s="40"/>
      <c r="J136" s="9"/>
      <c r="K136" s="9"/>
      <c r="L136" s="9"/>
      <c r="M136" s="43"/>
      <c r="N136" s="43"/>
      <c r="O136" s="9"/>
      <c r="P136" s="9"/>
      <c r="Q136" s="9"/>
      <c r="R136" s="9"/>
      <c r="S136" s="40"/>
      <c r="T136" s="40"/>
      <c r="U136" s="9"/>
      <c r="V136" s="9"/>
      <c r="W136" s="9"/>
      <c r="X136" s="9"/>
      <c r="Y136" s="9"/>
      <c r="Z136" s="9"/>
      <c r="AA136" s="9"/>
      <c r="AB136" s="9"/>
      <c r="AC136" s="10" t="str">
        <f aca="false">IF(A136="","",SG_Criteria!$B$6&amp;SG_Criteria!$B$9&amp;"\"&amp;A136&amp;"\")</f>
        <v/>
      </c>
      <c r="AD136" s="10" t="str">
        <f aca="false">IF(A136="","",A136&amp;"_CAD.dwg")</f>
        <v/>
      </c>
      <c r="AE136" s="10" t="str">
        <f aca="false">IF(A136="","",A136&amp;"_DWG.pdf")</f>
        <v/>
      </c>
      <c r="AF136" s="10" t="str">
        <f aca="false">IF(A136="","",IF(AB136="Y",A136&amp;"_STAAD.std","n/a"))</f>
        <v/>
      </c>
      <c r="AG136" s="10" t="str">
        <f aca="false">IF(A136="","",A136&amp;"_CALC.xlsx")</f>
        <v/>
      </c>
      <c r="AH136" s="10" t="str">
        <f aca="false">IF(A136="","",A136&amp;"_CALC.pdf")</f>
        <v/>
      </c>
      <c r="AI136" s="9"/>
      <c r="AJ136" s="9"/>
      <c r="AK136" s="41"/>
      <c r="AL136" s="41"/>
      <c r="AM136" s="41"/>
      <c r="AN136" s="41"/>
      <c r="AO136" s="41"/>
      <c r="AP136" s="38" t="str">
        <f aca="false">IF(OR(C136="",E136=""),"",IF(E136&lt;=IF(C136="Soldier Pile &amp; Timber Lagging",SG_Criteria!$B$34,SG_Criteria!$B$33),"No ERSS submission",IF(E136&lt;=SG_Criteria!$B$35,"QP(ST)",IF(E136&lt;=SG_Criteria!$B$36,"QP(ST) + AC","Geotechnical building works: QP(Geo) + AC"))))</f>
        <v/>
      </c>
      <c r="AQ136" s="38" t="str">
        <f aca="false">IF(C136="","",IF(LEN(IF(AND(U136&lt;&gt;"",IFERROR(VALUE(MID(U136,2,2)),0)&lt;SG_Criteria!$B$19),"FAIL: grade below C"&amp;SG_Criteria!$B$19&amp;". ","")&amp;IF(AND(LEFT(C136,3)="Con",N(H136)&lt;E136,G136="Kallang Formation (marine clay)"),"NOTE: CBP is not watertight below GWT in marine clay; consider secant / grouting. ","")&amp;IF(AND(C136="Steel Sheet Pile",D136="Permanent"),"NOTE: permanent sheet pile needs corrosion allowance. ","")&amp;IF(AND(F136="Cantilever (no support)",E136&gt;6),"NOTE: cantilever embedded wall &gt; 6 m, check deflection. ","")&amp;IF(AND(S136&lt;&gt;"",T136&lt;&gt;"",S136&gt;T136),"FAIL: deflection exceeds allowable. ",""))=0,"OK",IF(AND(U136&lt;&gt;"",IFERROR(VALUE(MID(U136,2,2)),0)&lt;SG_Criteria!$B$19),"FAIL: grade below C"&amp;SG_Criteria!$B$19&amp;". ","")&amp;IF(AND(LEFT(C136,3)="Con",N(H136)&lt;E136,G136="Kallang Formation (marine clay)"),"NOTE: CBP is not watertight below GWT in marine clay; consider secant / grouting. ","")&amp;IF(AND(C136="Steel Sheet Pile",D136="Permanent"),"NOTE: permanent sheet pile needs corrosion allowance. ","")&amp;IF(AND(F136="Cantilever (no support)",E136&gt;6),"NOTE: cantilever embedded wall &gt; 6 m, check deflection. ","")&amp;IF(AND(S136&lt;&gt;"",T136&lt;&gt;"",S136&gt;T136),"FAIL: deflection exceeds allowable. ","")))</f>
        <v/>
      </c>
      <c r="AR136" s="9"/>
      <c r="AS136" s="9"/>
      <c r="AT136" s="9"/>
      <c r="AU136" s="9"/>
      <c r="AV136" s="9"/>
      <c r="AW136" s="31"/>
      <c r="AX136" s="10" t="str">
        <f aca="false">IF(C136="","",IF(AND(Y136="Approved",ISERROR(SEARCH("FAIL",AQ136))),"Y","N"))</f>
        <v/>
      </c>
      <c r="AY136" s="10" t="str">
        <f aca="false">IF(C136="","",C136&amp;"|"&amp;E136&amp;"|"&amp;F136&amp;"|"&amp;G136&amp;"|"&amp;D136&amp;"|"&amp;AX136)</f>
        <v/>
      </c>
    </row>
    <row r="137" customFormat="false" ht="15" hidden="false" customHeight="false" outlineLevel="0" collapsed="false">
      <c r="A137" s="10" t="str">
        <f aca="false">IF(C137="","","EW-"&amp;IFERROR(VLOOKUP(C137,Lists!$P$4:$Q$22,2,0),"??")&amp;"-D"&amp;TEXT(E137*1000,"0000")&amp;"-"&amp;IFERROR(VLOOKUP(F137,Lists!$S$4:$T$21,2,0),"??")&amp;"-"&amp;IFERROR(VLOOKUP(G137,Lists!$Y$4:$Z$21,2,0),"??")&amp;"-"&amp;IFERROR(VLOOKUP(D137,Lists!$V$4:$W$16,2,0),"??")&amp;"-"&amp;X137)</f>
        <v/>
      </c>
      <c r="B137" s="10" t="str">
        <f aca="false">IF(C137="","",D137&amp;" "&amp;C137&amp;", excavation "&amp;TEXT(E137,"0.0")&amp;" m, "&amp;F137&amp;", "&amp;G137&amp;", "&amp;J137)</f>
        <v/>
      </c>
      <c r="C137" s="9"/>
      <c r="D137" s="9"/>
      <c r="E137" s="43"/>
      <c r="F137" s="9"/>
      <c r="G137" s="9"/>
      <c r="H137" s="43"/>
      <c r="I137" s="40"/>
      <c r="J137" s="9"/>
      <c r="K137" s="9"/>
      <c r="L137" s="9"/>
      <c r="M137" s="43"/>
      <c r="N137" s="43"/>
      <c r="O137" s="9"/>
      <c r="P137" s="9"/>
      <c r="Q137" s="9"/>
      <c r="R137" s="9"/>
      <c r="S137" s="40"/>
      <c r="T137" s="40"/>
      <c r="U137" s="9"/>
      <c r="V137" s="9"/>
      <c r="W137" s="9"/>
      <c r="X137" s="9"/>
      <c r="Y137" s="9"/>
      <c r="Z137" s="9"/>
      <c r="AA137" s="9"/>
      <c r="AB137" s="9"/>
      <c r="AC137" s="10" t="str">
        <f aca="false">IF(A137="","",SG_Criteria!$B$6&amp;SG_Criteria!$B$9&amp;"\"&amp;A137&amp;"\")</f>
        <v/>
      </c>
      <c r="AD137" s="10" t="str">
        <f aca="false">IF(A137="","",A137&amp;"_CAD.dwg")</f>
        <v/>
      </c>
      <c r="AE137" s="10" t="str">
        <f aca="false">IF(A137="","",A137&amp;"_DWG.pdf")</f>
        <v/>
      </c>
      <c r="AF137" s="10" t="str">
        <f aca="false">IF(A137="","",IF(AB137="Y",A137&amp;"_STAAD.std","n/a"))</f>
        <v/>
      </c>
      <c r="AG137" s="10" t="str">
        <f aca="false">IF(A137="","",A137&amp;"_CALC.xlsx")</f>
        <v/>
      </c>
      <c r="AH137" s="10" t="str">
        <f aca="false">IF(A137="","",A137&amp;"_CALC.pdf")</f>
        <v/>
      </c>
      <c r="AI137" s="9"/>
      <c r="AJ137" s="9"/>
      <c r="AK137" s="41"/>
      <c r="AL137" s="41"/>
      <c r="AM137" s="41"/>
      <c r="AN137" s="41"/>
      <c r="AO137" s="41"/>
      <c r="AP137" s="38" t="str">
        <f aca="false">IF(OR(C137="",E137=""),"",IF(E137&lt;=IF(C137="Soldier Pile &amp; Timber Lagging",SG_Criteria!$B$34,SG_Criteria!$B$33),"No ERSS submission",IF(E137&lt;=SG_Criteria!$B$35,"QP(ST)",IF(E137&lt;=SG_Criteria!$B$36,"QP(ST) + AC","Geotechnical building works: QP(Geo) + AC"))))</f>
        <v/>
      </c>
      <c r="AQ137" s="38" t="str">
        <f aca="false">IF(C137="","",IF(LEN(IF(AND(U137&lt;&gt;"",IFERROR(VALUE(MID(U137,2,2)),0)&lt;SG_Criteria!$B$19),"FAIL: grade below C"&amp;SG_Criteria!$B$19&amp;". ","")&amp;IF(AND(LEFT(C137,3)="Con",N(H137)&lt;E137,G137="Kallang Formation (marine clay)"),"NOTE: CBP is not watertight below GWT in marine clay; consider secant / grouting. ","")&amp;IF(AND(C137="Steel Sheet Pile",D137="Permanent"),"NOTE: permanent sheet pile needs corrosion allowance. ","")&amp;IF(AND(F137="Cantilever (no support)",E137&gt;6),"NOTE: cantilever embedded wall &gt; 6 m, check deflection. ","")&amp;IF(AND(S137&lt;&gt;"",T137&lt;&gt;"",S137&gt;T137),"FAIL: deflection exceeds allowable. ",""))=0,"OK",IF(AND(U137&lt;&gt;"",IFERROR(VALUE(MID(U137,2,2)),0)&lt;SG_Criteria!$B$19),"FAIL: grade below C"&amp;SG_Criteria!$B$19&amp;". ","")&amp;IF(AND(LEFT(C137,3)="Con",N(H137)&lt;E137,G137="Kallang Formation (marine clay)"),"NOTE: CBP is not watertight below GWT in marine clay; consider secant / grouting. ","")&amp;IF(AND(C137="Steel Sheet Pile",D137="Permanent"),"NOTE: permanent sheet pile needs corrosion allowance. ","")&amp;IF(AND(F137="Cantilever (no support)",E137&gt;6),"NOTE: cantilever embedded wall &gt; 6 m, check deflection. ","")&amp;IF(AND(S137&lt;&gt;"",T137&lt;&gt;"",S137&gt;T137),"FAIL: deflection exceeds allowable. ","")))</f>
        <v/>
      </c>
      <c r="AR137" s="9"/>
      <c r="AS137" s="9"/>
      <c r="AT137" s="9"/>
      <c r="AU137" s="9"/>
      <c r="AV137" s="9"/>
      <c r="AW137" s="31"/>
      <c r="AX137" s="10" t="str">
        <f aca="false">IF(C137="","",IF(AND(Y137="Approved",ISERROR(SEARCH("FAIL",AQ137))),"Y","N"))</f>
        <v/>
      </c>
      <c r="AY137" s="10" t="str">
        <f aca="false">IF(C137="","",C137&amp;"|"&amp;E137&amp;"|"&amp;F137&amp;"|"&amp;G137&amp;"|"&amp;D137&amp;"|"&amp;AX137)</f>
        <v/>
      </c>
    </row>
    <row r="138" customFormat="false" ht="15" hidden="false" customHeight="false" outlineLevel="0" collapsed="false">
      <c r="A138" s="10" t="str">
        <f aca="false">IF(C138="","","EW-"&amp;IFERROR(VLOOKUP(C138,Lists!$P$4:$Q$22,2,0),"??")&amp;"-D"&amp;TEXT(E138*1000,"0000")&amp;"-"&amp;IFERROR(VLOOKUP(F138,Lists!$S$4:$T$21,2,0),"??")&amp;"-"&amp;IFERROR(VLOOKUP(G138,Lists!$Y$4:$Z$21,2,0),"??")&amp;"-"&amp;IFERROR(VLOOKUP(D138,Lists!$V$4:$W$16,2,0),"??")&amp;"-"&amp;X138)</f>
        <v/>
      </c>
      <c r="B138" s="10" t="str">
        <f aca="false">IF(C138="","",D138&amp;" "&amp;C138&amp;", excavation "&amp;TEXT(E138,"0.0")&amp;" m, "&amp;F138&amp;", "&amp;G138&amp;", "&amp;J138)</f>
        <v/>
      </c>
      <c r="C138" s="9"/>
      <c r="D138" s="9"/>
      <c r="E138" s="43"/>
      <c r="F138" s="9"/>
      <c r="G138" s="9"/>
      <c r="H138" s="43"/>
      <c r="I138" s="40"/>
      <c r="J138" s="9"/>
      <c r="K138" s="9"/>
      <c r="L138" s="9"/>
      <c r="M138" s="43"/>
      <c r="N138" s="43"/>
      <c r="O138" s="9"/>
      <c r="P138" s="9"/>
      <c r="Q138" s="9"/>
      <c r="R138" s="9"/>
      <c r="S138" s="40"/>
      <c r="T138" s="40"/>
      <c r="U138" s="9"/>
      <c r="V138" s="9"/>
      <c r="W138" s="9"/>
      <c r="X138" s="9"/>
      <c r="Y138" s="9"/>
      <c r="Z138" s="9"/>
      <c r="AA138" s="9"/>
      <c r="AB138" s="9"/>
      <c r="AC138" s="10" t="str">
        <f aca="false">IF(A138="","",SG_Criteria!$B$6&amp;SG_Criteria!$B$9&amp;"\"&amp;A138&amp;"\")</f>
        <v/>
      </c>
      <c r="AD138" s="10" t="str">
        <f aca="false">IF(A138="","",A138&amp;"_CAD.dwg")</f>
        <v/>
      </c>
      <c r="AE138" s="10" t="str">
        <f aca="false">IF(A138="","",A138&amp;"_DWG.pdf")</f>
        <v/>
      </c>
      <c r="AF138" s="10" t="str">
        <f aca="false">IF(A138="","",IF(AB138="Y",A138&amp;"_STAAD.std","n/a"))</f>
        <v/>
      </c>
      <c r="AG138" s="10" t="str">
        <f aca="false">IF(A138="","",A138&amp;"_CALC.xlsx")</f>
        <v/>
      </c>
      <c r="AH138" s="10" t="str">
        <f aca="false">IF(A138="","",A138&amp;"_CALC.pdf")</f>
        <v/>
      </c>
      <c r="AI138" s="9"/>
      <c r="AJ138" s="9"/>
      <c r="AK138" s="41"/>
      <c r="AL138" s="41"/>
      <c r="AM138" s="41"/>
      <c r="AN138" s="41"/>
      <c r="AO138" s="41"/>
      <c r="AP138" s="38" t="str">
        <f aca="false">IF(OR(C138="",E138=""),"",IF(E138&lt;=IF(C138="Soldier Pile &amp; Timber Lagging",SG_Criteria!$B$34,SG_Criteria!$B$33),"No ERSS submission",IF(E138&lt;=SG_Criteria!$B$35,"QP(ST)",IF(E138&lt;=SG_Criteria!$B$36,"QP(ST) + AC","Geotechnical building works: QP(Geo) + AC"))))</f>
        <v/>
      </c>
      <c r="AQ138" s="38" t="str">
        <f aca="false">IF(C138="","",IF(LEN(IF(AND(U138&lt;&gt;"",IFERROR(VALUE(MID(U138,2,2)),0)&lt;SG_Criteria!$B$19),"FAIL: grade below C"&amp;SG_Criteria!$B$19&amp;". ","")&amp;IF(AND(LEFT(C138,3)="Con",N(H138)&lt;E138,G138="Kallang Formation (marine clay)"),"NOTE: CBP is not watertight below GWT in marine clay; consider secant / grouting. ","")&amp;IF(AND(C138="Steel Sheet Pile",D138="Permanent"),"NOTE: permanent sheet pile needs corrosion allowance. ","")&amp;IF(AND(F138="Cantilever (no support)",E138&gt;6),"NOTE: cantilever embedded wall &gt; 6 m, check deflection. ","")&amp;IF(AND(S138&lt;&gt;"",T138&lt;&gt;"",S138&gt;T138),"FAIL: deflection exceeds allowable. ",""))=0,"OK",IF(AND(U138&lt;&gt;"",IFERROR(VALUE(MID(U138,2,2)),0)&lt;SG_Criteria!$B$19),"FAIL: grade below C"&amp;SG_Criteria!$B$19&amp;". ","")&amp;IF(AND(LEFT(C138,3)="Con",N(H138)&lt;E138,G138="Kallang Formation (marine clay)"),"NOTE: CBP is not watertight below GWT in marine clay; consider secant / grouting. ","")&amp;IF(AND(C138="Steel Sheet Pile",D138="Permanent"),"NOTE: permanent sheet pile needs corrosion allowance. ","")&amp;IF(AND(F138="Cantilever (no support)",E138&gt;6),"NOTE: cantilever embedded wall &gt; 6 m, check deflection. ","")&amp;IF(AND(S138&lt;&gt;"",T138&lt;&gt;"",S138&gt;T138),"FAIL: deflection exceeds allowable. ","")))</f>
        <v/>
      </c>
      <c r="AR138" s="9"/>
      <c r="AS138" s="9"/>
      <c r="AT138" s="9"/>
      <c r="AU138" s="9"/>
      <c r="AV138" s="9"/>
      <c r="AW138" s="31"/>
      <c r="AX138" s="10" t="str">
        <f aca="false">IF(C138="","",IF(AND(Y138="Approved",ISERROR(SEARCH("FAIL",AQ138))),"Y","N"))</f>
        <v/>
      </c>
      <c r="AY138" s="10" t="str">
        <f aca="false">IF(C138="","",C138&amp;"|"&amp;E138&amp;"|"&amp;F138&amp;"|"&amp;G138&amp;"|"&amp;D138&amp;"|"&amp;AX138)</f>
        <v/>
      </c>
    </row>
    <row r="139" customFormat="false" ht="15" hidden="false" customHeight="false" outlineLevel="0" collapsed="false">
      <c r="A139" s="10" t="str">
        <f aca="false">IF(C139="","","EW-"&amp;IFERROR(VLOOKUP(C139,Lists!$P$4:$Q$22,2,0),"??")&amp;"-D"&amp;TEXT(E139*1000,"0000")&amp;"-"&amp;IFERROR(VLOOKUP(F139,Lists!$S$4:$T$21,2,0),"??")&amp;"-"&amp;IFERROR(VLOOKUP(G139,Lists!$Y$4:$Z$21,2,0),"??")&amp;"-"&amp;IFERROR(VLOOKUP(D139,Lists!$V$4:$W$16,2,0),"??")&amp;"-"&amp;X139)</f>
        <v/>
      </c>
      <c r="B139" s="10" t="str">
        <f aca="false">IF(C139="","",D139&amp;" "&amp;C139&amp;", excavation "&amp;TEXT(E139,"0.0")&amp;" m, "&amp;F139&amp;", "&amp;G139&amp;", "&amp;J139)</f>
        <v/>
      </c>
      <c r="C139" s="9"/>
      <c r="D139" s="9"/>
      <c r="E139" s="43"/>
      <c r="F139" s="9"/>
      <c r="G139" s="9"/>
      <c r="H139" s="43"/>
      <c r="I139" s="40"/>
      <c r="J139" s="9"/>
      <c r="K139" s="9"/>
      <c r="L139" s="9"/>
      <c r="M139" s="43"/>
      <c r="N139" s="43"/>
      <c r="O139" s="9"/>
      <c r="P139" s="9"/>
      <c r="Q139" s="9"/>
      <c r="R139" s="9"/>
      <c r="S139" s="40"/>
      <c r="T139" s="40"/>
      <c r="U139" s="9"/>
      <c r="V139" s="9"/>
      <c r="W139" s="9"/>
      <c r="X139" s="9"/>
      <c r="Y139" s="9"/>
      <c r="Z139" s="9"/>
      <c r="AA139" s="9"/>
      <c r="AB139" s="9"/>
      <c r="AC139" s="10" t="str">
        <f aca="false">IF(A139="","",SG_Criteria!$B$6&amp;SG_Criteria!$B$9&amp;"\"&amp;A139&amp;"\")</f>
        <v/>
      </c>
      <c r="AD139" s="10" t="str">
        <f aca="false">IF(A139="","",A139&amp;"_CAD.dwg")</f>
        <v/>
      </c>
      <c r="AE139" s="10" t="str">
        <f aca="false">IF(A139="","",A139&amp;"_DWG.pdf")</f>
        <v/>
      </c>
      <c r="AF139" s="10" t="str">
        <f aca="false">IF(A139="","",IF(AB139="Y",A139&amp;"_STAAD.std","n/a"))</f>
        <v/>
      </c>
      <c r="AG139" s="10" t="str">
        <f aca="false">IF(A139="","",A139&amp;"_CALC.xlsx")</f>
        <v/>
      </c>
      <c r="AH139" s="10" t="str">
        <f aca="false">IF(A139="","",A139&amp;"_CALC.pdf")</f>
        <v/>
      </c>
      <c r="AI139" s="9"/>
      <c r="AJ139" s="9"/>
      <c r="AK139" s="41"/>
      <c r="AL139" s="41"/>
      <c r="AM139" s="41"/>
      <c r="AN139" s="41"/>
      <c r="AO139" s="41"/>
      <c r="AP139" s="38" t="str">
        <f aca="false">IF(OR(C139="",E139=""),"",IF(E139&lt;=IF(C139="Soldier Pile &amp; Timber Lagging",SG_Criteria!$B$34,SG_Criteria!$B$33),"No ERSS submission",IF(E139&lt;=SG_Criteria!$B$35,"QP(ST)",IF(E139&lt;=SG_Criteria!$B$36,"QP(ST) + AC","Geotechnical building works: QP(Geo) + AC"))))</f>
        <v/>
      </c>
      <c r="AQ139" s="38" t="str">
        <f aca="false">IF(C139="","",IF(LEN(IF(AND(U139&lt;&gt;"",IFERROR(VALUE(MID(U139,2,2)),0)&lt;SG_Criteria!$B$19),"FAIL: grade below C"&amp;SG_Criteria!$B$19&amp;". ","")&amp;IF(AND(LEFT(C139,3)="Con",N(H139)&lt;E139,G139="Kallang Formation (marine clay)"),"NOTE: CBP is not watertight below GWT in marine clay; consider secant / grouting. ","")&amp;IF(AND(C139="Steel Sheet Pile",D139="Permanent"),"NOTE: permanent sheet pile needs corrosion allowance. ","")&amp;IF(AND(F139="Cantilever (no support)",E139&gt;6),"NOTE: cantilever embedded wall &gt; 6 m, check deflection. ","")&amp;IF(AND(S139&lt;&gt;"",T139&lt;&gt;"",S139&gt;T139),"FAIL: deflection exceeds allowable. ",""))=0,"OK",IF(AND(U139&lt;&gt;"",IFERROR(VALUE(MID(U139,2,2)),0)&lt;SG_Criteria!$B$19),"FAIL: grade below C"&amp;SG_Criteria!$B$19&amp;". ","")&amp;IF(AND(LEFT(C139,3)="Con",N(H139)&lt;E139,G139="Kallang Formation (marine clay)"),"NOTE: CBP is not watertight below GWT in marine clay; consider secant / grouting. ","")&amp;IF(AND(C139="Steel Sheet Pile",D139="Permanent"),"NOTE: permanent sheet pile needs corrosion allowance. ","")&amp;IF(AND(F139="Cantilever (no support)",E139&gt;6),"NOTE: cantilever embedded wall &gt; 6 m, check deflection. ","")&amp;IF(AND(S139&lt;&gt;"",T139&lt;&gt;"",S139&gt;T139),"FAIL: deflection exceeds allowable. ","")))</f>
        <v/>
      </c>
      <c r="AR139" s="9"/>
      <c r="AS139" s="9"/>
      <c r="AT139" s="9"/>
      <c r="AU139" s="9"/>
      <c r="AV139" s="9"/>
      <c r="AW139" s="31"/>
      <c r="AX139" s="10" t="str">
        <f aca="false">IF(C139="","",IF(AND(Y139="Approved",ISERROR(SEARCH("FAIL",AQ139))),"Y","N"))</f>
        <v/>
      </c>
      <c r="AY139" s="10" t="str">
        <f aca="false">IF(C139="","",C139&amp;"|"&amp;E139&amp;"|"&amp;F139&amp;"|"&amp;G139&amp;"|"&amp;D139&amp;"|"&amp;AX139)</f>
        <v/>
      </c>
    </row>
    <row r="140" customFormat="false" ht="15" hidden="false" customHeight="false" outlineLevel="0" collapsed="false">
      <c r="A140" s="10" t="str">
        <f aca="false">IF(C140="","","EW-"&amp;IFERROR(VLOOKUP(C140,Lists!$P$4:$Q$22,2,0),"??")&amp;"-D"&amp;TEXT(E140*1000,"0000")&amp;"-"&amp;IFERROR(VLOOKUP(F140,Lists!$S$4:$T$21,2,0),"??")&amp;"-"&amp;IFERROR(VLOOKUP(G140,Lists!$Y$4:$Z$21,2,0),"??")&amp;"-"&amp;IFERROR(VLOOKUP(D140,Lists!$V$4:$W$16,2,0),"??")&amp;"-"&amp;X140)</f>
        <v/>
      </c>
      <c r="B140" s="10" t="str">
        <f aca="false">IF(C140="","",D140&amp;" "&amp;C140&amp;", excavation "&amp;TEXT(E140,"0.0")&amp;" m, "&amp;F140&amp;", "&amp;G140&amp;", "&amp;J140)</f>
        <v/>
      </c>
      <c r="C140" s="9"/>
      <c r="D140" s="9"/>
      <c r="E140" s="43"/>
      <c r="F140" s="9"/>
      <c r="G140" s="9"/>
      <c r="H140" s="43"/>
      <c r="I140" s="40"/>
      <c r="J140" s="9"/>
      <c r="K140" s="9"/>
      <c r="L140" s="9"/>
      <c r="M140" s="43"/>
      <c r="N140" s="43"/>
      <c r="O140" s="9"/>
      <c r="P140" s="9"/>
      <c r="Q140" s="9"/>
      <c r="R140" s="9"/>
      <c r="S140" s="40"/>
      <c r="T140" s="40"/>
      <c r="U140" s="9"/>
      <c r="V140" s="9"/>
      <c r="W140" s="9"/>
      <c r="X140" s="9"/>
      <c r="Y140" s="9"/>
      <c r="Z140" s="9"/>
      <c r="AA140" s="9"/>
      <c r="AB140" s="9"/>
      <c r="AC140" s="10" t="str">
        <f aca="false">IF(A140="","",SG_Criteria!$B$6&amp;SG_Criteria!$B$9&amp;"\"&amp;A140&amp;"\")</f>
        <v/>
      </c>
      <c r="AD140" s="10" t="str">
        <f aca="false">IF(A140="","",A140&amp;"_CAD.dwg")</f>
        <v/>
      </c>
      <c r="AE140" s="10" t="str">
        <f aca="false">IF(A140="","",A140&amp;"_DWG.pdf")</f>
        <v/>
      </c>
      <c r="AF140" s="10" t="str">
        <f aca="false">IF(A140="","",IF(AB140="Y",A140&amp;"_STAAD.std","n/a"))</f>
        <v/>
      </c>
      <c r="AG140" s="10" t="str">
        <f aca="false">IF(A140="","",A140&amp;"_CALC.xlsx")</f>
        <v/>
      </c>
      <c r="AH140" s="10" t="str">
        <f aca="false">IF(A140="","",A140&amp;"_CALC.pdf")</f>
        <v/>
      </c>
      <c r="AI140" s="9"/>
      <c r="AJ140" s="9"/>
      <c r="AK140" s="41"/>
      <c r="AL140" s="41"/>
      <c r="AM140" s="41"/>
      <c r="AN140" s="41"/>
      <c r="AO140" s="41"/>
      <c r="AP140" s="38" t="str">
        <f aca="false">IF(OR(C140="",E140=""),"",IF(E140&lt;=IF(C140="Soldier Pile &amp; Timber Lagging",SG_Criteria!$B$34,SG_Criteria!$B$33),"No ERSS submission",IF(E140&lt;=SG_Criteria!$B$35,"QP(ST)",IF(E140&lt;=SG_Criteria!$B$36,"QP(ST) + AC","Geotechnical building works: QP(Geo) + AC"))))</f>
        <v/>
      </c>
      <c r="AQ140" s="38" t="str">
        <f aca="false">IF(C140="","",IF(LEN(IF(AND(U140&lt;&gt;"",IFERROR(VALUE(MID(U140,2,2)),0)&lt;SG_Criteria!$B$19),"FAIL: grade below C"&amp;SG_Criteria!$B$19&amp;". ","")&amp;IF(AND(LEFT(C140,3)="Con",N(H140)&lt;E140,G140="Kallang Formation (marine clay)"),"NOTE: CBP is not watertight below GWT in marine clay; consider secant / grouting. ","")&amp;IF(AND(C140="Steel Sheet Pile",D140="Permanent"),"NOTE: permanent sheet pile needs corrosion allowance. ","")&amp;IF(AND(F140="Cantilever (no support)",E140&gt;6),"NOTE: cantilever embedded wall &gt; 6 m, check deflection. ","")&amp;IF(AND(S140&lt;&gt;"",T140&lt;&gt;"",S140&gt;T140),"FAIL: deflection exceeds allowable. ",""))=0,"OK",IF(AND(U140&lt;&gt;"",IFERROR(VALUE(MID(U140,2,2)),0)&lt;SG_Criteria!$B$19),"FAIL: grade below C"&amp;SG_Criteria!$B$19&amp;". ","")&amp;IF(AND(LEFT(C140,3)="Con",N(H140)&lt;E140,G140="Kallang Formation (marine clay)"),"NOTE: CBP is not watertight below GWT in marine clay; consider secant / grouting. ","")&amp;IF(AND(C140="Steel Sheet Pile",D140="Permanent"),"NOTE: permanent sheet pile needs corrosion allowance. ","")&amp;IF(AND(F140="Cantilever (no support)",E140&gt;6),"NOTE: cantilever embedded wall &gt; 6 m, check deflection. ","")&amp;IF(AND(S140&lt;&gt;"",T140&lt;&gt;"",S140&gt;T140),"FAIL: deflection exceeds allowable. ","")))</f>
        <v/>
      </c>
      <c r="AR140" s="9"/>
      <c r="AS140" s="9"/>
      <c r="AT140" s="9"/>
      <c r="AU140" s="9"/>
      <c r="AV140" s="9"/>
      <c r="AW140" s="31"/>
      <c r="AX140" s="10" t="str">
        <f aca="false">IF(C140="","",IF(AND(Y140="Approved",ISERROR(SEARCH("FAIL",AQ140))),"Y","N"))</f>
        <v/>
      </c>
      <c r="AY140" s="10" t="str">
        <f aca="false">IF(C140="","",C140&amp;"|"&amp;E140&amp;"|"&amp;F140&amp;"|"&amp;G140&amp;"|"&amp;D140&amp;"|"&amp;AX140)</f>
        <v/>
      </c>
    </row>
    <row r="141" customFormat="false" ht="15" hidden="false" customHeight="false" outlineLevel="0" collapsed="false">
      <c r="A141" s="10" t="str">
        <f aca="false">IF(C141="","","EW-"&amp;IFERROR(VLOOKUP(C141,Lists!$P$4:$Q$22,2,0),"??")&amp;"-D"&amp;TEXT(E141*1000,"0000")&amp;"-"&amp;IFERROR(VLOOKUP(F141,Lists!$S$4:$T$21,2,0),"??")&amp;"-"&amp;IFERROR(VLOOKUP(G141,Lists!$Y$4:$Z$21,2,0),"??")&amp;"-"&amp;IFERROR(VLOOKUP(D141,Lists!$V$4:$W$16,2,0),"??")&amp;"-"&amp;X141)</f>
        <v/>
      </c>
      <c r="B141" s="10" t="str">
        <f aca="false">IF(C141="","",D141&amp;" "&amp;C141&amp;", excavation "&amp;TEXT(E141,"0.0")&amp;" m, "&amp;F141&amp;", "&amp;G141&amp;", "&amp;J141)</f>
        <v/>
      </c>
      <c r="C141" s="9"/>
      <c r="D141" s="9"/>
      <c r="E141" s="43"/>
      <c r="F141" s="9"/>
      <c r="G141" s="9"/>
      <c r="H141" s="43"/>
      <c r="I141" s="40"/>
      <c r="J141" s="9"/>
      <c r="K141" s="9"/>
      <c r="L141" s="9"/>
      <c r="M141" s="43"/>
      <c r="N141" s="43"/>
      <c r="O141" s="9"/>
      <c r="P141" s="9"/>
      <c r="Q141" s="9"/>
      <c r="R141" s="9"/>
      <c r="S141" s="40"/>
      <c r="T141" s="40"/>
      <c r="U141" s="9"/>
      <c r="V141" s="9"/>
      <c r="W141" s="9"/>
      <c r="X141" s="9"/>
      <c r="Y141" s="9"/>
      <c r="Z141" s="9"/>
      <c r="AA141" s="9"/>
      <c r="AB141" s="9"/>
      <c r="AC141" s="10" t="str">
        <f aca="false">IF(A141="","",SG_Criteria!$B$6&amp;SG_Criteria!$B$9&amp;"\"&amp;A141&amp;"\")</f>
        <v/>
      </c>
      <c r="AD141" s="10" t="str">
        <f aca="false">IF(A141="","",A141&amp;"_CAD.dwg")</f>
        <v/>
      </c>
      <c r="AE141" s="10" t="str">
        <f aca="false">IF(A141="","",A141&amp;"_DWG.pdf")</f>
        <v/>
      </c>
      <c r="AF141" s="10" t="str">
        <f aca="false">IF(A141="","",IF(AB141="Y",A141&amp;"_STAAD.std","n/a"))</f>
        <v/>
      </c>
      <c r="AG141" s="10" t="str">
        <f aca="false">IF(A141="","",A141&amp;"_CALC.xlsx")</f>
        <v/>
      </c>
      <c r="AH141" s="10" t="str">
        <f aca="false">IF(A141="","",A141&amp;"_CALC.pdf")</f>
        <v/>
      </c>
      <c r="AI141" s="9"/>
      <c r="AJ141" s="9"/>
      <c r="AK141" s="41"/>
      <c r="AL141" s="41"/>
      <c r="AM141" s="41"/>
      <c r="AN141" s="41"/>
      <c r="AO141" s="41"/>
      <c r="AP141" s="38" t="str">
        <f aca="false">IF(OR(C141="",E141=""),"",IF(E141&lt;=IF(C141="Soldier Pile &amp; Timber Lagging",SG_Criteria!$B$34,SG_Criteria!$B$33),"No ERSS submission",IF(E141&lt;=SG_Criteria!$B$35,"QP(ST)",IF(E141&lt;=SG_Criteria!$B$36,"QP(ST) + AC","Geotechnical building works: QP(Geo) + AC"))))</f>
        <v/>
      </c>
      <c r="AQ141" s="38" t="str">
        <f aca="false">IF(C141="","",IF(LEN(IF(AND(U141&lt;&gt;"",IFERROR(VALUE(MID(U141,2,2)),0)&lt;SG_Criteria!$B$19),"FAIL: grade below C"&amp;SG_Criteria!$B$19&amp;". ","")&amp;IF(AND(LEFT(C141,3)="Con",N(H141)&lt;E141,G141="Kallang Formation (marine clay)"),"NOTE: CBP is not watertight below GWT in marine clay; consider secant / grouting. ","")&amp;IF(AND(C141="Steel Sheet Pile",D141="Permanent"),"NOTE: permanent sheet pile needs corrosion allowance. ","")&amp;IF(AND(F141="Cantilever (no support)",E141&gt;6),"NOTE: cantilever embedded wall &gt; 6 m, check deflection. ","")&amp;IF(AND(S141&lt;&gt;"",T141&lt;&gt;"",S141&gt;T141),"FAIL: deflection exceeds allowable. ",""))=0,"OK",IF(AND(U141&lt;&gt;"",IFERROR(VALUE(MID(U141,2,2)),0)&lt;SG_Criteria!$B$19),"FAIL: grade below C"&amp;SG_Criteria!$B$19&amp;". ","")&amp;IF(AND(LEFT(C141,3)="Con",N(H141)&lt;E141,G141="Kallang Formation (marine clay)"),"NOTE: CBP is not watertight below GWT in marine clay; consider secant / grouting. ","")&amp;IF(AND(C141="Steel Sheet Pile",D141="Permanent"),"NOTE: permanent sheet pile needs corrosion allowance. ","")&amp;IF(AND(F141="Cantilever (no support)",E141&gt;6),"NOTE: cantilever embedded wall &gt; 6 m, check deflection. ","")&amp;IF(AND(S141&lt;&gt;"",T141&lt;&gt;"",S141&gt;T141),"FAIL: deflection exceeds allowable. ","")))</f>
        <v/>
      </c>
      <c r="AR141" s="9"/>
      <c r="AS141" s="9"/>
      <c r="AT141" s="9"/>
      <c r="AU141" s="9"/>
      <c r="AV141" s="9"/>
      <c r="AW141" s="31"/>
      <c r="AX141" s="10" t="str">
        <f aca="false">IF(C141="","",IF(AND(Y141="Approved",ISERROR(SEARCH("FAIL",AQ141))),"Y","N"))</f>
        <v/>
      </c>
      <c r="AY141" s="10" t="str">
        <f aca="false">IF(C141="","",C141&amp;"|"&amp;E141&amp;"|"&amp;F141&amp;"|"&amp;G141&amp;"|"&amp;D141&amp;"|"&amp;AX141)</f>
        <v/>
      </c>
    </row>
    <row r="142" customFormat="false" ht="15" hidden="false" customHeight="false" outlineLevel="0" collapsed="false">
      <c r="A142" s="10" t="str">
        <f aca="false">IF(C142="","","EW-"&amp;IFERROR(VLOOKUP(C142,Lists!$P$4:$Q$22,2,0),"??")&amp;"-D"&amp;TEXT(E142*1000,"0000")&amp;"-"&amp;IFERROR(VLOOKUP(F142,Lists!$S$4:$T$21,2,0),"??")&amp;"-"&amp;IFERROR(VLOOKUP(G142,Lists!$Y$4:$Z$21,2,0),"??")&amp;"-"&amp;IFERROR(VLOOKUP(D142,Lists!$V$4:$W$16,2,0),"??")&amp;"-"&amp;X142)</f>
        <v/>
      </c>
      <c r="B142" s="10" t="str">
        <f aca="false">IF(C142="","",D142&amp;" "&amp;C142&amp;", excavation "&amp;TEXT(E142,"0.0")&amp;" m, "&amp;F142&amp;", "&amp;G142&amp;", "&amp;J142)</f>
        <v/>
      </c>
      <c r="C142" s="9"/>
      <c r="D142" s="9"/>
      <c r="E142" s="43"/>
      <c r="F142" s="9"/>
      <c r="G142" s="9"/>
      <c r="H142" s="43"/>
      <c r="I142" s="40"/>
      <c r="J142" s="9"/>
      <c r="K142" s="9"/>
      <c r="L142" s="9"/>
      <c r="M142" s="43"/>
      <c r="N142" s="43"/>
      <c r="O142" s="9"/>
      <c r="P142" s="9"/>
      <c r="Q142" s="9"/>
      <c r="R142" s="9"/>
      <c r="S142" s="40"/>
      <c r="T142" s="40"/>
      <c r="U142" s="9"/>
      <c r="V142" s="9"/>
      <c r="W142" s="9"/>
      <c r="X142" s="9"/>
      <c r="Y142" s="9"/>
      <c r="Z142" s="9"/>
      <c r="AA142" s="9"/>
      <c r="AB142" s="9"/>
      <c r="AC142" s="10" t="str">
        <f aca="false">IF(A142="","",SG_Criteria!$B$6&amp;SG_Criteria!$B$9&amp;"\"&amp;A142&amp;"\")</f>
        <v/>
      </c>
      <c r="AD142" s="10" t="str">
        <f aca="false">IF(A142="","",A142&amp;"_CAD.dwg")</f>
        <v/>
      </c>
      <c r="AE142" s="10" t="str">
        <f aca="false">IF(A142="","",A142&amp;"_DWG.pdf")</f>
        <v/>
      </c>
      <c r="AF142" s="10" t="str">
        <f aca="false">IF(A142="","",IF(AB142="Y",A142&amp;"_STAAD.std","n/a"))</f>
        <v/>
      </c>
      <c r="AG142" s="10" t="str">
        <f aca="false">IF(A142="","",A142&amp;"_CALC.xlsx")</f>
        <v/>
      </c>
      <c r="AH142" s="10" t="str">
        <f aca="false">IF(A142="","",A142&amp;"_CALC.pdf")</f>
        <v/>
      </c>
      <c r="AI142" s="9"/>
      <c r="AJ142" s="9"/>
      <c r="AK142" s="41"/>
      <c r="AL142" s="41"/>
      <c r="AM142" s="41"/>
      <c r="AN142" s="41"/>
      <c r="AO142" s="41"/>
      <c r="AP142" s="38" t="str">
        <f aca="false">IF(OR(C142="",E142=""),"",IF(E142&lt;=IF(C142="Soldier Pile &amp; Timber Lagging",SG_Criteria!$B$34,SG_Criteria!$B$33),"No ERSS submission",IF(E142&lt;=SG_Criteria!$B$35,"QP(ST)",IF(E142&lt;=SG_Criteria!$B$36,"QP(ST) + AC","Geotechnical building works: QP(Geo) + AC"))))</f>
        <v/>
      </c>
      <c r="AQ142" s="38" t="str">
        <f aca="false">IF(C142="","",IF(LEN(IF(AND(U142&lt;&gt;"",IFERROR(VALUE(MID(U142,2,2)),0)&lt;SG_Criteria!$B$19),"FAIL: grade below C"&amp;SG_Criteria!$B$19&amp;". ","")&amp;IF(AND(LEFT(C142,3)="Con",N(H142)&lt;E142,G142="Kallang Formation (marine clay)"),"NOTE: CBP is not watertight below GWT in marine clay; consider secant / grouting. ","")&amp;IF(AND(C142="Steel Sheet Pile",D142="Permanent"),"NOTE: permanent sheet pile needs corrosion allowance. ","")&amp;IF(AND(F142="Cantilever (no support)",E142&gt;6),"NOTE: cantilever embedded wall &gt; 6 m, check deflection. ","")&amp;IF(AND(S142&lt;&gt;"",T142&lt;&gt;"",S142&gt;T142),"FAIL: deflection exceeds allowable. ",""))=0,"OK",IF(AND(U142&lt;&gt;"",IFERROR(VALUE(MID(U142,2,2)),0)&lt;SG_Criteria!$B$19),"FAIL: grade below C"&amp;SG_Criteria!$B$19&amp;". ","")&amp;IF(AND(LEFT(C142,3)="Con",N(H142)&lt;E142,G142="Kallang Formation (marine clay)"),"NOTE: CBP is not watertight below GWT in marine clay; consider secant / grouting. ","")&amp;IF(AND(C142="Steel Sheet Pile",D142="Permanent"),"NOTE: permanent sheet pile needs corrosion allowance. ","")&amp;IF(AND(F142="Cantilever (no support)",E142&gt;6),"NOTE: cantilever embedded wall &gt; 6 m, check deflection. ","")&amp;IF(AND(S142&lt;&gt;"",T142&lt;&gt;"",S142&gt;T142),"FAIL: deflection exceeds allowable. ","")))</f>
        <v/>
      </c>
      <c r="AR142" s="9"/>
      <c r="AS142" s="9"/>
      <c r="AT142" s="9"/>
      <c r="AU142" s="9"/>
      <c r="AV142" s="9"/>
      <c r="AW142" s="31"/>
      <c r="AX142" s="10" t="str">
        <f aca="false">IF(C142="","",IF(AND(Y142="Approved",ISERROR(SEARCH("FAIL",AQ142))),"Y","N"))</f>
        <v/>
      </c>
      <c r="AY142" s="10" t="str">
        <f aca="false">IF(C142="","",C142&amp;"|"&amp;E142&amp;"|"&amp;F142&amp;"|"&amp;G142&amp;"|"&amp;D142&amp;"|"&amp;AX142)</f>
        <v/>
      </c>
    </row>
    <row r="143" customFormat="false" ht="15" hidden="false" customHeight="false" outlineLevel="0" collapsed="false">
      <c r="A143" s="10" t="str">
        <f aca="false">IF(C143="","","EW-"&amp;IFERROR(VLOOKUP(C143,Lists!$P$4:$Q$22,2,0),"??")&amp;"-D"&amp;TEXT(E143*1000,"0000")&amp;"-"&amp;IFERROR(VLOOKUP(F143,Lists!$S$4:$T$21,2,0),"??")&amp;"-"&amp;IFERROR(VLOOKUP(G143,Lists!$Y$4:$Z$21,2,0),"??")&amp;"-"&amp;IFERROR(VLOOKUP(D143,Lists!$V$4:$W$16,2,0),"??")&amp;"-"&amp;X143)</f>
        <v/>
      </c>
      <c r="B143" s="10" t="str">
        <f aca="false">IF(C143="","",D143&amp;" "&amp;C143&amp;", excavation "&amp;TEXT(E143,"0.0")&amp;" m, "&amp;F143&amp;", "&amp;G143&amp;", "&amp;J143)</f>
        <v/>
      </c>
      <c r="C143" s="9"/>
      <c r="D143" s="9"/>
      <c r="E143" s="43"/>
      <c r="F143" s="9"/>
      <c r="G143" s="9"/>
      <c r="H143" s="43"/>
      <c r="I143" s="40"/>
      <c r="J143" s="9"/>
      <c r="K143" s="9"/>
      <c r="L143" s="9"/>
      <c r="M143" s="43"/>
      <c r="N143" s="43"/>
      <c r="O143" s="9"/>
      <c r="P143" s="9"/>
      <c r="Q143" s="9"/>
      <c r="R143" s="9"/>
      <c r="S143" s="40"/>
      <c r="T143" s="40"/>
      <c r="U143" s="9"/>
      <c r="V143" s="9"/>
      <c r="W143" s="9"/>
      <c r="X143" s="9"/>
      <c r="Y143" s="9"/>
      <c r="Z143" s="9"/>
      <c r="AA143" s="9"/>
      <c r="AB143" s="9"/>
      <c r="AC143" s="10" t="str">
        <f aca="false">IF(A143="","",SG_Criteria!$B$6&amp;SG_Criteria!$B$9&amp;"\"&amp;A143&amp;"\")</f>
        <v/>
      </c>
      <c r="AD143" s="10" t="str">
        <f aca="false">IF(A143="","",A143&amp;"_CAD.dwg")</f>
        <v/>
      </c>
      <c r="AE143" s="10" t="str">
        <f aca="false">IF(A143="","",A143&amp;"_DWG.pdf")</f>
        <v/>
      </c>
      <c r="AF143" s="10" t="str">
        <f aca="false">IF(A143="","",IF(AB143="Y",A143&amp;"_STAAD.std","n/a"))</f>
        <v/>
      </c>
      <c r="AG143" s="10" t="str">
        <f aca="false">IF(A143="","",A143&amp;"_CALC.xlsx")</f>
        <v/>
      </c>
      <c r="AH143" s="10" t="str">
        <f aca="false">IF(A143="","",A143&amp;"_CALC.pdf")</f>
        <v/>
      </c>
      <c r="AI143" s="9"/>
      <c r="AJ143" s="9"/>
      <c r="AK143" s="41"/>
      <c r="AL143" s="41"/>
      <c r="AM143" s="41"/>
      <c r="AN143" s="41"/>
      <c r="AO143" s="41"/>
      <c r="AP143" s="38" t="str">
        <f aca="false">IF(OR(C143="",E143=""),"",IF(E143&lt;=IF(C143="Soldier Pile &amp; Timber Lagging",SG_Criteria!$B$34,SG_Criteria!$B$33),"No ERSS submission",IF(E143&lt;=SG_Criteria!$B$35,"QP(ST)",IF(E143&lt;=SG_Criteria!$B$36,"QP(ST) + AC","Geotechnical building works: QP(Geo) + AC"))))</f>
        <v/>
      </c>
      <c r="AQ143" s="38" t="str">
        <f aca="false">IF(C143="","",IF(LEN(IF(AND(U143&lt;&gt;"",IFERROR(VALUE(MID(U143,2,2)),0)&lt;SG_Criteria!$B$19),"FAIL: grade below C"&amp;SG_Criteria!$B$19&amp;". ","")&amp;IF(AND(LEFT(C143,3)="Con",N(H143)&lt;E143,G143="Kallang Formation (marine clay)"),"NOTE: CBP is not watertight below GWT in marine clay; consider secant / grouting. ","")&amp;IF(AND(C143="Steel Sheet Pile",D143="Permanent"),"NOTE: permanent sheet pile needs corrosion allowance. ","")&amp;IF(AND(F143="Cantilever (no support)",E143&gt;6),"NOTE: cantilever embedded wall &gt; 6 m, check deflection. ","")&amp;IF(AND(S143&lt;&gt;"",T143&lt;&gt;"",S143&gt;T143),"FAIL: deflection exceeds allowable. ",""))=0,"OK",IF(AND(U143&lt;&gt;"",IFERROR(VALUE(MID(U143,2,2)),0)&lt;SG_Criteria!$B$19),"FAIL: grade below C"&amp;SG_Criteria!$B$19&amp;". ","")&amp;IF(AND(LEFT(C143,3)="Con",N(H143)&lt;E143,G143="Kallang Formation (marine clay)"),"NOTE: CBP is not watertight below GWT in marine clay; consider secant / grouting. ","")&amp;IF(AND(C143="Steel Sheet Pile",D143="Permanent"),"NOTE: permanent sheet pile needs corrosion allowance. ","")&amp;IF(AND(F143="Cantilever (no support)",E143&gt;6),"NOTE: cantilever embedded wall &gt; 6 m, check deflection. ","")&amp;IF(AND(S143&lt;&gt;"",T143&lt;&gt;"",S143&gt;T143),"FAIL: deflection exceeds allowable. ","")))</f>
        <v/>
      </c>
      <c r="AR143" s="9"/>
      <c r="AS143" s="9"/>
      <c r="AT143" s="9"/>
      <c r="AU143" s="9"/>
      <c r="AV143" s="9"/>
      <c r="AW143" s="31"/>
      <c r="AX143" s="10" t="str">
        <f aca="false">IF(C143="","",IF(AND(Y143="Approved",ISERROR(SEARCH("FAIL",AQ143))),"Y","N"))</f>
        <v/>
      </c>
      <c r="AY143" s="10" t="str">
        <f aca="false">IF(C143="","",C143&amp;"|"&amp;E143&amp;"|"&amp;F143&amp;"|"&amp;G143&amp;"|"&amp;D143&amp;"|"&amp;AX143)</f>
        <v/>
      </c>
    </row>
    <row r="144" customFormat="false" ht="15" hidden="false" customHeight="false" outlineLevel="0" collapsed="false">
      <c r="A144" s="10" t="str">
        <f aca="false">IF(C144="","","EW-"&amp;IFERROR(VLOOKUP(C144,Lists!$P$4:$Q$22,2,0),"??")&amp;"-D"&amp;TEXT(E144*1000,"0000")&amp;"-"&amp;IFERROR(VLOOKUP(F144,Lists!$S$4:$T$21,2,0),"??")&amp;"-"&amp;IFERROR(VLOOKUP(G144,Lists!$Y$4:$Z$21,2,0),"??")&amp;"-"&amp;IFERROR(VLOOKUP(D144,Lists!$V$4:$W$16,2,0),"??")&amp;"-"&amp;X144)</f>
        <v/>
      </c>
      <c r="B144" s="10" t="str">
        <f aca="false">IF(C144="","",D144&amp;" "&amp;C144&amp;", excavation "&amp;TEXT(E144,"0.0")&amp;" m, "&amp;F144&amp;", "&amp;G144&amp;", "&amp;J144)</f>
        <v/>
      </c>
      <c r="C144" s="9"/>
      <c r="D144" s="9"/>
      <c r="E144" s="43"/>
      <c r="F144" s="9"/>
      <c r="G144" s="9"/>
      <c r="H144" s="43"/>
      <c r="I144" s="40"/>
      <c r="J144" s="9"/>
      <c r="K144" s="9"/>
      <c r="L144" s="9"/>
      <c r="M144" s="43"/>
      <c r="N144" s="43"/>
      <c r="O144" s="9"/>
      <c r="P144" s="9"/>
      <c r="Q144" s="9"/>
      <c r="R144" s="9"/>
      <c r="S144" s="40"/>
      <c r="T144" s="40"/>
      <c r="U144" s="9"/>
      <c r="V144" s="9"/>
      <c r="W144" s="9"/>
      <c r="X144" s="9"/>
      <c r="Y144" s="9"/>
      <c r="Z144" s="9"/>
      <c r="AA144" s="9"/>
      <c r="AB144" s="9"/>
      <c r="AC144" s="10" t="str">
        <f aca="false">IF(A144="","",SG_Criteria!$B$6&amp;SG_Criteria!$B$9&amp;"\"&amp;A144&amp;"\")</f>
        <v/>
      </c>
      <c r="AD144" s="10" t="str">
        <f aca="false">IF(A144="","",A144&amp;"_CAD.dwg")</f>
        <v/>
      </c>
      <c r="AE144" s="10" t="str">
        <f aca="false">IF(A144="","",A144&amp;"_DWG.pdf")</f>
        <v/>
      </c>
      <c r="AF144" s="10" t="str">
        <f aca="false">IF(A144="","",IF(AB144="Y",A144&amp;"_STAAD.std","n/a"))</f>
        <v/>
      </c>
      <c r="AG144" s="10" t="str">
        <f aca="false">IF(A144="","",A144&amp;"_CALC.xlsx")</f>
        <v/>
      </c>
      <c r="AH144" s="10" t="str">
        <f aca="false">IF(A144="","",A144&amp;"_CALC.pdf")</f>
        <v/>
      </c>
      <c r="AI144" s="9"/>
      <c r="AJ144" s="9"/>
      <c r="AK144" s="41"/>
      <c r="AL144" s="41"/>
      <c r="AM144" s="41"/>
      <c r="AN144" s="41"/>
      <c r="AO144" s="41"/>
      <c r="AP144" s="38" t="str">
        <f aca="false">IF(OR(C144="",E144=""),"",IF(E144&lt;=IF(C144="Soldier Pile &amp; Timber Lagging",SG_Criteria!$B$34,SG_Criteria!$B$33),"No ERSS submission",IF(E144&lt;=SG_Criteria!$B$35,"QP(ST)",IF(E144&lt;=SG_Criteria!$B$36,"QP(ST) + AC","Geotechnical building works: QP(Geo) + AC"))))</f>
        <v/>
      </c>
      <c r="AQ144" s="38" t="str">
        <f aca="false">IF(C144="","",IF(LEN(IF(AND(U144&lt;&gt;"",IFERROR(VALUE(MID(U144,2,2)),0)&lt;SG_Criteria!$B$19),"FAIL: grade below C"&amp;SG_Criteria!$B$19&amp;". ","")&amp;IF(AND(LEFT(C144,3)="Con",N(H144)&lt;E144,G144="Kallang Formation (marine clay)"),"NOTE: CBP is not watertight below GWT in marine clay; consider secant / grouting. ","")&amp;IF(AND(C144="Steel Sheet Pile",D144="Permanent"),"NOTE: permanent sheet pile needs corrosion allowance. ","")&amp;IF(AND(F144="Cantilever (no support)",E144&gt;6),"NOTE: cantilever embedded wall &gt; 6 m, check deflection. ","")&amp;IF(AND(S144&lt;&gt;"",T144&lt;&gt;"",S144&gt;T144),"FAIL: deflection exceeds allowable. ",""))=0,"OK",IF(AND(U144&lt;&gt;"",IFERROR(VALUE(MID(U144,2,2)),0)&lt;SG_Criteria!$B$19),"FAIL: grade below C"&amp;SG_Criteria!$B$19&amp;". ","")&amp;IF(AND(LEFT(C144,3)="Con",N(H144)&lt;E144,G144="Kallang Formation (marine clay)"),"NOTE: CBP is not watertight below GWT in marine clay; consider secant / grouting. ","")&amp;IF(AND(C144="Steel Sheet Pile",D144="Permanent"),"NOTE: permanent sheet pile needs corrosion allowance. ","")&amp;IF(AND(F144="Cantilever (no support)",E144&gt;6),"NOTE: cantilever embedded wall &gt; 6 m, check deflection. ","")&amp;IF(AND(S144&lt;&gt;"",T144&lt;&gt;"",S144&gt;T144),"FAIL: deflection exceeds allowable. ","")))</f>
        <v/>
      </c>
      <c r="AR144" s="9"/>
      <c r="AS144" s="9"/>
      <c r="AT144" s="9"/>
      <c r="AU144" s="9"/>
      <c r="AV144" s="9"/>
      <c r="AW144" s="31"/>
      <c r="AX144" s="10" t="str">
        <f aca="false">IF(C144="","",IF(AND(Y144="Approved",ISERROR(SEARCH("FAIL",AQ144))),"Y","N"))</f>
        <v/>
      </c>
      <c r="AY144" s="10" t="str">
        <f aca="false">IF(C144="","",C144&amp;"|"&amp;E144&amp;"|"&amp;F144&amp;"|"&amp;G144&amp;"|"&amp;D144&amp;"|"&amp;AX144)</f>
        <v/>
      </c>
    </row>
    <row r="145" customFormat="false" ht="15" hidden="false" customHeight="false" outlineLevel="0" collapsed="false">
      <c r="A145" s="10" t="str">
        <f aca="false">IF(C145="","","EW-"&amp;IFERROR(VLOOKUP(C145,Lists!$P$4:$Q$22,2,0),"??")&amp;"-D"&amp;TEXT(E145*1000,"0000")&amp;"-"&amp;IFERROR(VLOOKUP(F145,Lists!$S$4:$T$21,2,0),"??")&amp;"-"&amp;IFERROR(VLOOKUP(G145,Lists!$Y$4:$Z$21,2,0),"??")&amp;"-"&amp;IFERROR(VLOOKUP(D145,Lists!$V$4:$W$16,2,0),"??")&amp;"-"&amp;X145)</f>
        <v/>
      </c>
      <c r="B145" s="10" t="str">
        <f aca="false">IF(C145="","",D145&amp;" "&amp;C145&amp;", excavation "&amp;TEXT(E145,"0.0")&amp;" m, "&amp;F145&amp;", "&amp;G145&amp;", "&amp;J145)</f>
        <v/>
      </c>
      <c r="C145" s="9"/>
      <c r="D145" s="9"/>
      <c r="E145" s="43"/>
      <c r="F145" s="9"/>
      <c r="G145" s="9"/>
      <c r="H145" s="43"/>
      <c r="I145" s="40"/>
      <c r="J145" s="9"/>
      <c r="K145" s="9"/>
      <c r="L145" s="9"/>
      <c r="M145" s="43"/>
      <c r="N145" s="43"/>
      <c r="O145" s="9"/>
      <c r="P145" s="9"/>
      <c r="Q145" s="9"/>
      <c r="R145" s="9"/>
      <c r="S145" s="40"/>
      <c r="T145" s="40"/>
      <c r="U145" s="9"/>
      <c r="V145" s="9"/>
      <c r="W145" s="9"/>
      <c r="X145" s="9"/>
      <c r="Y145" s="9"/>
      <c r="Z145" s="9"/>
      <c r="AA145" s="9"/>
      <c r="AB145" s="9"/>
      <c r="AC145" s="10" t="str">
        <f aca="false">IF(A145="","",SG_Criteria!$B$6&amp;SG_Criteria!$B$9&amp;"\"&amp;A145&amp;"\")</f>
        <v/>
      </c>
      <c r="AD145" s="10" t="str">
        <f aca="false">IF(A145="","",A145&amp;"_CAD.dwg")</f>
        <v/>
      </c>
      <c r="AE145" s="10" t="str">
        <f aca="false">IF(A145="","",A145&amp;"_DWG.pdf")</f>
        <v/>
      </c>
      <c r="AF145" s="10" t="str">
        <f aca="false">IF(A145="","",IF(AB145="Y",A145&amp;"_STAAD.std","n/a"))</f>
        <v/>
      </c>
      <c r="AG145" s="10" t="str">
        <f aca="false">IF(A145="","",A145&amp;"_CALC.xlsx")</f>
        <v/>
      </c>
      <c r="AH145" s="10" t="str">
        <f aca="false">IF(A145="","",A145&amp;"_CALC.pdf")</f>
        <v/>
      </c>
      <c r="AI145" s="9"/>
      <c r="AJ145" s="9"/>
      <c r="AK145" s="41"/>
      <c r="AL145" s="41"/>
      <c r="AM145" s="41"/>
      <c r="AN145" s="41"/>
      <c r="AO145" s="41"/>
      <c r="AP145" s="38" t="str">
        <f aca="false">IF(OR(C145="",E145=""),"",IF(E145&lt;=IF(C145="Soldier Pile &amp; Timber Lagging",SG_Criteria!$B$34,SG_Criteria!$B$33),"No ERSS submission",IF(E145&lt;=SG_Criteria!$B$35,"QP(ST)",IF(E145&lt;=SG_Criteria!$B$36,"QP(ST) + AC","Geotechnical building works: QP(Geo) + AC"))))</f>
        <v/>
      </c>
      <c r="AQ145" s="38" t="str">
        <f aca="false">IF(C145="","",IF(LEN(IF(AND(U145&lt;&gt;"",IFERROR(VALUE(MID(U145,2,2)),0)&lt;SG_Criteria!$B$19),"FAIL: grade below C"&amp;SG_Criteria!$B$19&amp;". ","")&amp;IF(AND(LEFT(C145,3)="Con",N(H145)&lt;E145,G145="Kallang Formation (marine clay)"),"NOTE: CBP is not watertight below GWT in marine clay; consider secant / grouting. ","")&amp;IF(AND(C145="Steel Sheet Pile",D145="Permanent"),"NOTE: permanent sheet pile needs corrosion allowance. ","")&amp;IF(AND(F145="Cantilever (no support)",E145&gt;6),"NOTE: cantilever embedded wall &gt; 6 m, check deflection. ","")&amp;IF(AND(S145&lt;&gt;"",T145&lt;&gt;"",S145&gt;T145),"FAIL: deflection exceeds allowable. ",""))=0,"OK",IF(AND(U145&lt;&gt;"",IFERROR(VALUE(MID(U145,2,2)),0)&lt;SG_Criteria!$B$19),"FAIL: grade below C"&amp;SG_Criteria!$B$19&amp;". ","")&amp;IF(AND(LEFT(C145,3)="Con",N(H145)&lt;E145,G145="Kallang Formation (marine clay)"),"NOTE: CBP is not watertight below GWT in marine clay; consider secant / grouting. ","")&amp;IF(AND(C145="Steel Sheet Pile",D145="Permanent"),"NOTE: permanent sheet pile needs corrosion allowance. ","")&amp;IF(AND(F145="Cantilever (no support)",E145&gt;6),"NOTE: cantilever embedded wall &gt; 6 m, check deflection. ","")&amp;IF(AND(S145&lt;&gt;"",T145&lt;&gt;"",S145&gt;T145),"FAIL: deflection exceeds allowable. ","")))</f>
        <v/>
      </c>
      <c r="AR145" s="9"/>
      <c r="AS145" s="9"/>
      <c r="AT145" s="9"/>
      <c r="AU145" s="9"/>
      <c r="AV145" s="9"/>
      <c r="AW145" s="31"/>
      <c r="AX145" s="10" t="str">
        <f aca="false">IF(C145="","",IF(AND(Y145="Approved",ISERROR(SEARCH("FAIL",AQ145))),"Y","N"))</f>
        <v/>
      </c>
      <c r="AY145" s="10" t="str">
        <f aca="false">IF(C145="","",C145&amp;"|"&amp;E145&amp;"|"&amp;F145&amp;"|"&amp;G145&amp;"|"&amp;D145&amp;"|"&amp;AX145)</f>
        <v/>
      </c>
    </row>
    <row r="146" customFormat="false" ht="15" hidden="false" customHeight="false" outlineLevel="0" collapsed="false">
      <c r="A146" s="10" t="str">
        <f aca="false">IF(C146="","","EW-"&amp;IFERROR(VLOOKUP(C146,Lists!$P$4:$Q$22,2,0),"??")&amp;"-D"&amp;TEXT(E146*1000,"0000")&amp;"-"&amp;IFERROR(VLOOKUP(F146,Lists!$S$4:$T$21,2,0),"??")&amp;"-"&amp;IFERROR(VLOOKUP(G146,Lists!$Y$4:$Z$21,2,0),"??")&amp;"-"&amp;IFERROR(VLOOKUP(D146,Lists!$V$4:$W$16,2,0),"??")&amp;"-"&amp;X146)</f>
        <v/>
      </c>
      <c r="B146" s="10" t="str">
        <f aca="false">IF(C146="","",D146&amp;" "&amp;C146&amp;", excavation "&amp;TEXT(E146,"0.0")&amp;" m, "&amp;F146&amp;", "&amp;G146&amp;", "&amp;J146)</f>
        <v/>
      </c>
      <c r="C146" s="9"/>
      <c r="D146" s="9"/>
      <c r="E146" s="43"/>
      <c r="F146" s="9"/>
      <c r="G146" s="9"/>
      <c r="H146" s="43"/>
      <c r="I146" s="40"/>
      <c r="J146" s="9"/>
      <c r="K146" s="9"/>
      <c r="L146" s="9"/>
      <c r="M146" s="43"/>
      <c r="N146" s="43"/>
      <c r="O146" s="9"/>
      <c r="P146" s="9"/>
      <c r="Q146" s="9"/>
      <c r="R146" s="9"/>
      <c r="S146" s="40"/>
      <c r="T146" s="40"/>
      <c r="U146" s="9"/>
      <c r="V146" s="9"/>
      <c r="W146" s="9"/>
      <c r="X146" s="9"/>
      <c r="Y146" s="9"/>
      <c r="Z146" s="9"/>
      <c r="AA146" s="9"/>
      <c r="AB146" s="9"/>
      <c r="AC146" s="10" t="str">
        <f aca="false">IF(A146="","",SG_Criteria!$B$6&amp;SG_Criteria!$B$9&amp;"\"&amp;A146&amp;"\")</f>
        <v/>
      </c>
      <c r="AD146" s="10" t="str">
        <f aca="false">IF(A146="","",A146&amp;"_CAD.dwg")</f>
        <v/>
      </c>
      <c r="AE146" s="10" t="str">
        <f aca="false">IF(A146="","",A146&amp;"_DWG.pdf")</f>
        <v/>
      </c>
      <c r="AF146" s="10" t="str">
        <f aca="false">IF(A146="","",IF(AB146="Y",A146&amp;"_STAAD.std","n/a"))</f>
        <v/>
      </c>
      <c r="AG146" s="10" t="str">
        <f aca="false">IF(A146="","",A146&amp;"_CALC.xlsx")</f>
        <v/>
      </c>
      <c r="AH146" s="10" t="str">
        <f aca="false">IF(A146="","",A146&amp;"_CALC.pdf")</f>
        <v/>
      </c>
      <c r="AI146" s="9"/>
      <c r="AJ146" s="9"/>
      <c r="AK146" s="41"/>
      <c r="AL146" s="41"/>
      <c r="AM146" s="41"/>
      <c r="AN146" s="41"/>
      <c r="AO146" s="41"/>
      <c r="AP146" s="38" t="str">
        <f aca="false">IF(OR(C146="",E146=""),"",IF(E146&lt;=IF(C146="Soldier Pile &amp; Timber Lagging",SG_Criteria!$B$34,SG_Criteria!$B$33),"No ERSS submission",IF(E146&lt;=SG_Criteria!$B$35,"QP(ST)",IF(E146&lt;=SG_Criteria!$B$36,"QP(ST) + AC","Geotechnical building works: QP(Geo) + AC"))))</f>
        <v/>
      </c>
      <c r="AQ146" s="38" t="str">
        <f aca="false">IF(C146="","",IF(LEN(IF(AND(U146&lt;&gt;"",IFERROR(VALUE(MID(U146,2,2)),0)&lt;SG_Criteria!$B$19),"FAIL: grade below C"&amp;SG_Criteria!$B$19&amp;". ","")&amp;IF(AND(LEFT(C146,3)="Con",N(H146)&lt;E146,G146="Kallang Formation (marine clay)"),"NOTE: CBP is not watertight below GWT in marine clay; consider secant / grouting. ","")&amp;IF(AND(C146="Steel Sheet Pile",D146="Permanent"),"NOTE: permanent sheet pile needs corrosion allowance. ","")&amp;IF(AND(F146="Cantilever (no support)",E146&gt;6),"NOTE: cantilever embedded wall &gt; 6 m, check deflection. ","")&amp;IF(AND(S146&lt;&gt;"",T146&lt;&gt;"",S146&gt;T146),"FAIL: deflection exceeds allowable. ",""))=0,"OK",IF(AND(U146&lt;&gt;"",IFERROR(VALUE(MID(U146,2,2)),0)&lt;SG_Criteria!$B$19),"FAIL: grade below C"&amp;SG_Criteria!$B$19&amp;". ","")&amp;IF(AND(LEFT(C146,3)="Con",N(H146)&lt;E146,G146="Kallang Formation (marine clay)"),"NOTE: CBP is not watertight below GWT in marine clay; consider secant / grouting. ","")&amp;IF(AND(C146="Steel Sheet Pile",D146="Permanent"),"NOTE: permanent sheet pile needs corrosion allowance. ","")&amp;IF(AND(F146="Cantilever (no support)",E146&gt;6),"NOTE: cantilever embedded wall &gt; 6 m, check deflection. ","")&amp;IF(AND(S146&lt;&gt;"",T146&lt;&gt;"",S146&gt;T146),"FAIL: deflection exceeds allowable. ","")))</f>
        <v/>
      </c>
      <c r="AR146" s="9"/>
      <c r="AS146" s="9"/>
      <c r="AT146" s="9"/>
      <c r="AU146" s="9"/>
      <c r="AV146" s="9"/>
      <c r="AW146" s="31"/>
      <c r="AX146" s="10" t="str">
        <f aca="false">IF(C146="","",IF(AND(Y146="Approved",ISERROR(SEARCH("FAIL",AQ146))),"Y","N"))</f>
        <v/>
      </c>
      <c r="AY146" s="10" t="str">
        <f aca="false">IF(C146="","",C146&amp;"|"&amp;E146&amp;"|"&amp;F146&amp;"|"&amp;G146&amp;"|"&amp;D146&amp;"|"&amp;AX146)</f>
        <v/>
      </c>
    </row>
    <row r="147" customFormat="false" ht="15" hidden="false" customHeight="false" outlineLevel="0" collapsed="false">
      <c r="A147" s="10" t="str">
        <f aca="false">IF(C147="","","EW-"&amp;IFERROR(VLOOKUP(C147,Lists!$P$4:$Q$22,2,0),"??")&amp;"-D"&amp;TEXT(E147*1000,"0000")&amp;"-"&amp;IFERROR(VLOOKUP(F147,Lists!$S$4:$T$21,2,0),"??")&amp;"-"&amp;IFERROR(VLOOKUP(G147,Lists!$Y$4:$Z$21,2,0),"??")&amp;"-"&amp;IFERROR(VLOOKUP(D147,Lists!$V$4:$W$16,2,0),"??")&amp;"-"&amp;X147)</f>
        <v/>
      </c>
      <c r="B147" s="10" t="str">
        <f aca="false">IF(C147="","",D147&amp;" "&amp;C147&amp;", excavation "&amp;TEXT(E147,"0.0")&amp;" m, "&amp;F147&amp;", "&amp;G147&amp;", "&amp;J147)</f>
        <v/>
      </c>
      <c r="C147" s="9"/>
      <c r="D147" s="9"/>
      <c r="E147" s="43"/>
      <c r="F147" s="9"/>
      <c r="G147" s="9"/>
      <c r="H147" s="43"/>
      <c r="I147" s="40"/>
      <c r="J147" s="9"/>
      <c r="K147" s="9"/>
      <c r="L147" s="9"/>
      <c r="M147" s="43"/>
      <c r="N147" s="43"/>
      <c r="O147" s="9"/>
      <c r="P147" s="9"/>
      <c r="Q147" s="9"/>
      <c r="R147" s="9"/>
      <c r="S147" s="40"/>
      <c r="T147" s="40"/>
      <c r="U147" s="9"/>
      <c r="V147" s="9"/>
      <c r="W147" s="9"/>
      <c r="X147" s="9"/>
      <c r="Y147" s="9"/>
      <c r="Z147" s="9"/>
      <c r="AA147" s="9"/>
      <c r="AB147" s="9"/>
      <c r="AC147" s="10" t="str">
        <f aca="false">IF(A147="","",SG_Criteria!$B$6&amp;SG_Criteria!$B$9&amp;"\"&amp;A147&amp;"\")</f>
        <v/>
      </c>
      <c r="AD147" s="10" t="str">
        <f aca="false">IF(A147="","",A147&amp;"_CAD.dwg")</f>
        <v/>
      </c>
      <c r="AE147" s="10" t="str">
        <f aca="false">IF(A147="","",A147&amp;"_DWG.pdf")</f>
        <v/>
      </c>
      <c r="AF147" s="10" t="str">
        <f aca="false">IF(A147="","",IF(AB147="Y",A147&amp;"_STAAD.std","n/a"))</f>
        <v/>
      </c>
      <c r="AG147" s="10" t="str">
        <f aca="false">IF(A147="","",A147&amp;"_CALC.xlsx")</f>
        <v/>
      </c>
      <c r="AH147" s="10" t="str">
        <f aca="false">IF(A147="","",A147&amp;"_CALC.pdf")</f>
        <v/>
      </c>
      <c r="AI147" s="9"/>
      <c r="AJ147" s="9"/>
      <c r="AK147" s="41"/>
      <c r="AL147" s="41"/>
      <c r="AM147" s="41"/>
      <c r="AN147" s="41"/>
      <c r="AO147" s="41"/>
      <c r="AP147" s="38" t="str">
        <f aca="false">IF(OR(C147="",E147=""),"",IF(E147&lt;=IF(C147="Soldier Pile &amp; Timber Lagging",SG_Criteria!$B$34,SG_Criteria!$B$33),"No ERSS submission",IF(E147&lt;=SG_Criteria!$B$35,"QP(ST)",IF(E147&lt;=SG_Criteria!$B$36,"QP(ST) + AC","Geotechnical building works: QP(Geo) + AC"))))</f>
        <v/>
      </c>
      <c r="AQ147" s="38" t="str">
        <f aca="false">IF(C147="","",IF(LEN(IF(AND(U147&lt;&gt;"",IFERROR(VALUE(MID(U147,2,2)),0)&lt;SG_Criteria!$B$19),"FAIL: grade below C"&amp;SG_Criteria!$B$19&amp;". ","")&amp;IF(AND(LEFT(C147,3)="Con",N(H147)&lt;E147,G147="Kallang Formation (marine clay)"),"NOTE: CBP is not watertight below GWT in marine clay; consider secant / grouting. ","")&amp;IF(AND(C147="Steel Sheet Pile",D147="Permanent"),"NOTE: permanent sheet pile needs corrosion allowance. ","")&amp;IF(AND(F147="Cantilever (no support)",E147&gt;6),"NOTE: cantilever embedded wall &gt; 6 m, check deflection. ","")&amp;IF(AND(S147&lt;&gt;"",T147&lt;&gt;"",S147&gt;T147),"FAIL: deflection exceeds allowable. ",""))=0,"OK",IF(AND(U147&lt;&gt;"",IFERROR(VALUE(MID(U147,2,2)),0)&lt;SG_Criteria!$B$19),"FAIL: grade below C"&amp;SG_Criteria!$B$19&amp;". ","")&amp;IF(AND(LEFT(C147,3)="Con",N(H147)&lt;E147,G147="Kallang Formation (marine clay)"),"NOTE: CBP is not watertight below GWT in marine clay; consider secant / grouting. ","")&amp;IF(AND(C147="Steel Sheet Pile",D147="Permanent"),"NOTE: permanent sheet pile needs corrosion allowance. ","")&amp;IF(AND(F147="Cantilever (no support)",E147&gt;6),"NOTE: cantilever embedded wall &gt; 6 m, check deflection. ","")&amp;IF(AND(S147&lt;&gt;"",T147&lt;&gt;"",S147&gt;T147),"FAIL: deflection exceeds allowable. ","")))</f>
        <v/>
      </c>
      <c r="AR147" s="9"/>
      <c r="AS147" s="9"/>
      <c r="AT147" s="9"/>
      <c r="AU147" s="9"/>
      <c r="AV147" s="9"/>
      <c r="AW147" s="31"/>
      <c r="AX147" s="10" t="str">
        <f aca="false">IF(C147="","",IF(AND(Y147="Approved",ISERROR(SEARCH("FAIL",AQ147))),"Y","N"))</f>
        <v/>
      </c>
      <c r="AY147" s="10" t="str">
        <f aca="false">IF(C147="","",C147&amp;"|"&amp;E147&amp;"|"&amp;F147&amp;"|"&amp;G147&amp;"|"&amp;D147&amp;"|"&amp;AX147)</f>
        <v/>
      </c>
    </row>
    <row r="148" customFormat="false" ht="15" hidden="false" customHeight="false" outlineLevel="0" collapsed="false">
      <c r="A148" s="10" t="str">
        <f aca="false">IF(C148="","","EW-"&amp;IFERROR(VLOOKUP(C148,Lists!$P$4:$Q$22,2,0),"??")&amp;"-D"&amp;TEXT(E148*1000,"0000")&amp;"-"&amp;IFERROR(VLOOKUP(F148,Lists!$S$4:$T$21,2,0),"??")&amp;"-"&amp;IFERROR(VLOOKUP(G148,Lists!$Y$4:$Z$21,2,0),"??")&amp;"-"&amp;IFERROR(VLOOKUP(D148,Lists!$V$4:$W$16,2,0),"??")&amp;"-"&amp;X148)</f>
        <v/>
      </c>
      <c r="B148" s="10" t="str">
        <f aca="false">IF(C148="","",D148&amp;" "&amp;C148&amp;", excavation "&amp;TEXT(E148,"0.0")&amp;" m, "&amp;F148&amp;", "&amp;G148&amp;", "&amp;J148)</f>
        <v/>
      </c>
      <c r="C148" s="9"/>
      <c r="D148" s="9"/>
      <c r="E148" s="43"/>
      <c r="F148" s="9"/>
      <c r="G148" s="9"/>
      <c r="H148" s="43"/>
      <c r="I148" s="40"/>
      <c r="J148" s="9"/>
      <c r="K148" s="9"/>
      <c r="L148" s="9"/>
      <c r="M148" s="43"/>
      <c r="N148" s="43"/>
      <c r="O148" s="9"/>
      <c r="P148" s="9"/>
      <c r="Q148" s="9"/>
      <c r="R148" s="9"/>
      <c r="S148" s="40"/>
      <c r="T148" s="40"/>
      <c r="U148" s="9"/>
      <c r="V148" s="9"/>
      <c r="W148" s="9"/>
      <c r="X148" s="9"/>
      <c r="Y148" s="9"/>
      <c r="Z148" s="9"/>
      <c r="AA148" s="9"/>
      <c r="AB148" s="9"/>
      <c r="AC148" s="10" t="str">
        <f aca="false">IF(A148="","",SG_Criteria!$B$6&amp;SG_Criteria!$B$9&amp;"\"&amp;A148&amp;"\")</f>
        <v/>
      </c>
      <c r="AD148" s="10" t="str">
        <f aca="false">IF(A148="","",A148&amp;"_CAD.dwg")</f>
        <v/>
      </c>
      <c r="AE148" s="10" t="str">
        <f aca="false">IF(A148="","",A148&amp;"_DWG.pdf")</f>
        <v/>
      </c>
      <c r="AF148" s="10" t="str">
        <f aca="false">IF(A148="","",IF(AB148="Y",A148&amp;"_STAAD.std","n/a"))</f>
        <v/>
      </c>
      <c r="AG148" s="10" t="str">
        <f aca="false">IF(A148="","",A148&amp;"_CALC.xlsx")</f>
        <v/>
      </c>
      <c r="AH148" s="10" t="str">
        <f aca="false">IF(A148="","",A148&amp;"_CALC.pdf")</f>
        <v/>
      </c>
      <c r="AI148" s="9"/>
      <c r="AJ148" s="9"/>
      <c r="AK148" s="41"/>
      <c r="AL148" s="41"/>
      <c r="AM148" s="41"/>
      <c r="AN148" s="41"/>
      <c r="AO148" s="41"/>
      <c r="AP148" s="38" t="str">
        <f aca="false">IF(OR(C148="",E148=""),"",IF(E148&lt;=IF(C148="Soldier Pile &amp; Timber Lagging",SG_Criteria!$B$34,SG_Criteria!$B$33),"No ERSS submission",IF(E148&lt;=SG_Criteria!$B$35,"QP(ST)",IF(E148&lt;=SG_Criteria!$B$36,"QP(ST) + AC","Geotechnical building works: QP(Geo) + AC"))))</f>
        <v/>
      </c>
      <c r="AQ148" s="38" t="str">
        <f aca="false">IF(C148="","",IF(LEN(IF(AND(U148&lt;&gt;"",IFERROR(VALUE(MID(U148,2,2)),0)&lt;SG_Criteria!$B$19),"FAIL: grade below C"&amp;SG_Criteria!$B$19&amp;". ","")&amp;IF(AND(LEFT(C148,3)="Con",N(H148)&lt;E148,G148="Kallang Formation (marine clay)"),"NOTE: CBP is not watertight below GWT in marine clay; consider secant / grouting. ","")&amp;IF(AND(C148="Steel Sheet Pile",D148="Permanent"),"NOTE: permanent sheet pile needs corrosion allowance. ","")&amp;IF(AND(F148="Cantilever (no support)",E148&gt;6),"NOTE: cantilever embedded wall &gt; 6 m, check deflection. ","")&amp;IF(AND(S148&lt;&gt;"",T148&lt;&gt;"",S148&gt;T148),"FAIL: deflection exceeds allowable. ",""))=0,"OK",IF(AND(U148&lt;&gt;"",IFERROR(VALUE(MID(U148,2,2)),0)&lt;SG_Criteria!$B$19),"FAIL: grade below C"&amp;SG_Criteria!$B$19&amp;". ","")&amp;IF(AND(LEFT(C148,3)="Con",N(H148)&lt;E148,G148="Kallang Formation (marine clay)"),"NOTE: CBP is not watertight below GWT in marine clay; consider secant / grouting. ","")&amp;IF(AND(C148="Steel Sheet Pile",D148="Permanent"),"NOTE: permanent sheet pile needs corrosion allowance. ","")&amp;IF(AND(F148="Cantilever (no support)",E148&gt;6),"NOTE: cantilever embedded wall &gt; 6 m, check deflection. ","")&amp;IF(AND(S148&lt;&gt;"",T148&lt;&gt;"",S148&gt;T148),"FAIL: deflection exceeds allowable. ","")))</f>
        <v/>
      </c>
      <c r="AR148" s="9"/>
      <c r="AS148" s="9"/>
      <c r="AT148" s="9"/>
      <c r="AU148" s="9"/>
      <c r="AV148" s="9"/>
      <c r="AW148" s="31"/>
      <c r="AX148" s="10" t="str">
        <f aca="false">IF(C148="","",IF(AND(Y148="Approved",ISERROR(SEARCH("FAIL",AQ148))),"Y","N"))</f>
        <v/>
      </c>
      <c r="AY148" s="10" t="str">
        <f aca="false">IF(C148="","",C148&amp;"|"&amp;E148&amp;"|"&amp;F148&amp;"|"&amp;G148&amp;"|"&amp;D148&amp;"|"&amp;AX148)</f>
        <v/>
      </c>
    </row>
    <row r="149" customFormat="false" ht="15" hidden="false" customHeight="false" outlineLevel="0" collapsed="false">
      <c r="A149" s="10" t="str">
        <f aca="false">IF(C149="","","EW-"&amp;IFERROR(VLOOKUP(C149,Lists!$P$4:$Q$22,2,0),"??")&amp;"-D"&amp;TEXT(E149*1000,"0000")&amp;"-"&amp;IFERROR(VLOOKUP(F149,Lists!$S$4:$T$21,2,0),"??")&amp;"-"&amp;IFERROR(VLOOKUP(G149,Lists!$Y$4:$Z$21,2,0),"??")&amp;"-"&amp;IFERROR(VLOOKUP(D149,Lists!$V$4:$W$16,2,0),"??")&amp;"-"&amp;X149)</f>
        <v/>
      </c>
      <c r="B149" s="10" t="str">
        <f aca="false">IF(C149="","",D149&amp;" "&amp;C149&amp;", excavation "&amp;TEXT(E149,"0.0")&amp;" m, "&amp;F149&amp;", "&amp;G149&amp;", "&amp;J149)</f>
        <v/>
      </c>
      <c r="C149" s="9"/>
      <c r="D149" s="9"/>
      <c r="E149" s="43"/>
      <c r="F149" s="9"/>
      <c r="G149" s="9"/>
      <c r="H149" s="43"/>
      <c r="I149" s="40"/>
      <c r="J149" s="9"/>
      <c r="K149" s="9"/>
      <c r="L149" s="9"/>
      <c r="M149" s="43"/>
      <c r="N149" s="43"/>
      <c r="O149" s="9"/>
      <c r="P149" s="9"/>
      <c r="Q149" s="9"/>
      <c r="R149" s="9"/>
      <c r="S149" s="40"/>
      <c r="T149" s="40"/>
      <c r="U149" s="9"/>
      <c r="V149" s="9"/>
      <c r="W149" s="9"/>
      <c r="X149" s="9"/>
      <c r="Y149" s="9"/>
      <c r="Z149" s="9"/>
      <c r="AA149" s="9"/>
      <c r="AB149" s="9"/>
      <c r="AC149" s="10" t="str">
        <f aca="false">IF(A149="","",SG_Criteria!$B$6&amp;SG_Criteria!$B$9&amp;"\"&amp;A149&amp;"\")</f>
        <v/>
      </c>
      <c r="AD149" s="10" t="str">
        <f aca="false">IF(A149="","",A149&amp;"_CAD.dwg")</f>
        <v/>
      </c>
      <c r="AE149" s="10" t="str">
        <f aca="false">IF(A149="","",A149&amp;"_DWG.pdf")</f>
        <v/>
      </c>
      <c r="AF149" s="10" t="str">
        <f aca="false">IF(A149="","",IF(AB149="Y",A149&amp;"_STAAD.std","n/a"))</f>
        <v/>
      </c>
      <c r="AG149" s="10" t="str">
        <f aca="false">IF(A149="","",A149&amp;"_CALC.xlsx")</f>
        <v/>
      </c>
      <c r="AH149" s="10" t="str">
        <f aca="false">IF(A149="","",A149&amp;"_CALC.pdf")</f>
        <v/>
      </c>
      <c r="AI149" s="9"/>
      <c r="AJ149" s="9"/>
      <c r="AK149" s="41"/>
      <c r="AL149" s="41"/>
      <c r="AM149" s="41"/>
      <c r="AN149" s="41"/>
      <c r="AO149" s="41"/>
      <c r="AP149" s="38" t="str">
        <f aca="false">IF(OR(C149="",E149=""),"",IF(E149&lt;=IF(C149="Soldier Pile &amp; Timber Lagging",SG_Criteria!$B$34,SG_Criteria!$B$33),"No ERSS submission",IF(E149&lt;=SG_Criteria!$B$35,"QP(ST)",IF(E149&lt;=SG_Criteria!$B$36,"QP(ST) + AC","Geotechnical building works: QP(Geo) + AC"))))</f>
        <v/>
      </c>
      <c r="AQ149" s="38" t="str">
        <f aca="false">IF(C149="","",IF(LEN(IF(AND(U149&lt;&gt;"",IFERROR(VALUE(MID(U149,2,2)),0)&lt;SG_Criteria!$B$19),"FAIL: grade below C"&amp;SG_Criteria!$B$19&amp;". ","")&amp;IF(AND(LEFT(C149,3)="Con",N(H149)&lt;E149,G149="Kallang Formation (marine clay)"),"NOTE: CBP is not watertight below GWT in marine clay; consider secant / grouting. ","")&amp;IF(AND(C149="Steel Sheet Pile",D149="Permanent"),"NOTE: permanent sheet pile needs corrosion allowance. ","")&amp;IF(AND(F149="Cantilever (no support)",E149&gt;6),"NOTE: cantilever embedded wall &gt; 6 m, check deflection. ","")&amp;IF(AND(S149&lt;&gt;"",T149&lt;&gt;"",S149&gt;T149),"FAIL: deflection exceeds allowable. ",""))=0,"OK",IF(AND(U149&lt;&gt;"",IFERROR(VALUE(MID(U149,2,2)),0)&lt;SG_Criteria!$B$19),"FAIL: grade below C"&amp;SG_Criteria!$B$19&amp;". ","")&amp;IF(AND(LEFT(C149,3)="Con",N(H149)&lt;E149,G149="Kallang Formation (marine clay)"),"NOTE: CBP is not watertight below GWT in marine clay; consider secant / grouting. ","")&amp;IF(AND(C149="Steel Sheet Pile",D149="Permanent"),"NOTE: permanent sheet pile needs corrosion allowance. ","")&amp;IF(AND(F149="Cantilever (no support)",E149&gt;6),"NOTE: cantilever embedded wall &gt; 6 m, check deflection. ","")&amp;IF(AND(S149&lt;&gt;"",T149&lt;&gt;"",S149&gt;T149),"FAIL: deflection exceeds allowable. ","")))</f>
        <v/>
      </c>
      <c r="AR149" s="9"/>
      <c r="AS149" s="9"/>
      <c r="AT149" s="9"/>
      <c r="AU149" s="9"/>
      <c r="AV149" s="9"/>
      <c r="AW149" s="31"/>
      <c r="AX149" s="10" t="str">
        <f aca="false">IF(C149="","",IF(AND(Y149="Approved",ISERROR(SEARCH("FAIL",AQ149))),"Y","N"))</f>
        <v/>
      </c>
      <c r="AY149" s="10" t="str">
        <f aca="false">IF(C149="","",C149&amp;"|"&amp;E149&amp;"|"&amp;F149&amp;"|"&amp;G149&amp;"|"&amp;D149&amp;"|"&amp;AX149)</f>
        <v/>
      </c>
    </row>
    <row r="150" customFormat="false" ht="15" hidden="false" customHeight="false" outlineLevel="0" collapsed="false">
      <c r="A150" s="10" t="str">
        <f aca="false">IF(C150="","","EW-"&amp;IFERROR(VLOOKUP(C150,Lists!$P$4:$Q$22,2,0),"??")&amp;"-D"&amp;TEXT(E150*1000,"0000")&amp;"-"&amp;IFERROR(VLOOKUP(F150,Lists!$S$4:$T$21,2,0),"??")&amp;"-"&amp;IFERROR(VLOOKUP(G150,Lists!$Y$4:$Z$21,2,0),"??")&amp;"-"&amp;IFERROR(VLOOKUP(D150,Lists!$V$4:$W$16,2,0),"??")&amp;"-"&amp;X150)</f>
        <v/>
      </c>
      <c r="B150" s="10" t="str">
        <f aca="false">IF(C150="","",D150&amp;" "&amp;C150&amp;", excavation "&amp;TEXT(E150,"0.0")&amp;" m, "&amp;F150&amp;", "&amp;G150&amp;", "&amp;J150)</f>
        <v/>
      </c>
      <c r="C150" s="9"/>
      <c r="D150" s="9"/>
      <c r="E150" s="43"/>
      <c r="F150" s="9"/>
      <c r="G150" s="9"/>
      <c r="H150" s="43"/>
      <c r="I150" s="40"/>
      <c r="J150" s="9"/>
      <c r="K150" s="9"/>
      <c r="L150" s="9"/>
      <c r="M150" s="43"/>
      <c r="N150" s="43"/>
      <c r="O150" s="9"/>
      <c r="P150" s="9"/>
      <c r="Q150" s="9"/>
      <c r="R150" s="9"/>
      <c r="S150" s="40"/>
      <c r="T150" s="40"/>
      <c r="U150" s="9"/>
      <c r="V150" s="9"/>
      <c r="W150" s="9"/>
      <c r="X150" s="9"/>
      <c r="Y150" s="9"/>
      <c r="Z150" s="9"/>
      <c r="AA150" s="9"/>
      <c r="AB150" s="9"/>
      <c r="AC150" s="10" t="str">
        <f aca="false">IF(A150="","",SG_Criteria!$B$6&amp;SG_Criteria!$B$9&amp;"\"&amp;A150&amp;"\")</f>
        <v/>
      </c>
      <c r="AD150" s="10" t="str">
        <f aca="false">IF(A150="","",A150&amp;"_CAD.dwg")</f>
        <v/>
      </c>
      <c r="AE150" s="10" t="str">
        <f aca="false">IF(A150="","",A150&amp;"_DWG.pdf")</f>
        <v/>
      </c>
      <c r="AF150" s="10" t="str">
        <f aca="false">IF(A150="","",IF(AB150="Y",A150&amp;"_STAAD.std","n/a"))</f>
        <v/>
      </c>
      <c r="AG150" s="10" t="str">
        <f aca="false">IF(A150="","",A150&amp;"_CALC.xlsx")</f>
        <v/>
      </c>
      <c r="AH150" s="10" t="str">
        <f aca="false">IF(A150="","",A150&amp;"_CALC.pdf")</f>
        <v/>
      </c>
      <c r="AI150" s="9"/>
      <c r="AJ150" s="9"/>
      <c r="AK150" s="41"/>
      <c r="AL150" s="41"/>
      <c r="AM150" s="41"/>
      <c r="AN150" s="41"/>
      <c r="AO150" s="41"/>
      <c r="AP150" s="38" t="str">
        <f aca="false">IF(OR(C150="",E150=""),"",IF(E150&lt;=IF(C150="Soldier Pile &amp; Timber Lagging",SG_Criteria!$B$34,SG_Criteria!$B$33),"No ERSS submission",IF(E150&lt;=SG_Criteria!$B$35,"QP(ST)",IF(E150&lt;=SG_Criteria!$B$36,"QP(ST) + AC","Geotechnical building works: QP(Geo) + AC"))))</f>
        <v/>
      </c>
      <c r="AQ150" s="38" t="str">
        <f aca="false">IF(C150="","",IF(LEN(IF(AND(U150&lt;&gt;"",IFERROR(VALUE(MID(U150,2,2)),0)&lt;SG_Criteria!$B$19),"FAIL: grade below C"&amp;SG_Criteria!$B$19&amp;". ","")&amp;IF(AND(LEFT(C150,3)="Con",N(H150)&lt;E150,G150="Kallang Formation (marine clay)"),"NOTE: CBP is not watertight below GWT in marine clay; consider secant / grouting. ","")&amp;IF(AND(C150="Steel Sheet Pile",D150="Permanent"),"NOTE: permanent sheet pile needs corrosion allowance. ","")&amp;IF(AND(F150="Cantilever (no support)",E150&gt;6),"NOTE: cantilever embedded wall &gt; 6 m, check deflection. ","")&amp;IF(AND(S150&lt;&gt;"",T150&lt;&gt;"",S150&gt;T150),"FAIL: deflection exceeds allowable. ",""))=0,"OK",IF(AND(U150&lt;&gt;"",IFERROR(VALUE(MID(U150,2,2)),0)&lt;SG_Criteria!$B$19),"FAIL: grade below C"&amp;SG_Criteria!$B$19&amp;". ","")&amp;IF(AND(LEFT(C150,3)="Con",N(H150)&lt;E150,G150="Kallang Formation (marine clay)"),"NOTE: CBP is not watertight below GWT in marine clay; consider secant / grouting. ","")&amp;IF(AND(C150="Steel Sheet Pile",D150="Permanent"),"NOTE: permanent sheet pile needs corrosion allowance. ","")&amp;IF(AND(F150="Cantilever (no support)",E150&gt;6),"NOTE: cantilever embedded wall &gt; 6 m, check deflection. ","")&amp;IF(AND(S150&lt;&gt;"",T150&lt;&gt;"",S150&gt;T150),"FAIL: deflection exceeds allowable. ","")))</f>
        <v/>
      </c>
      <c r="AR150" s="9"/>
      <c r="AS150" s="9"/>
      <c r="AT150" s="9"/>
      <c r="AU150" s="9"/>
      <c r="AV150" s="9"/>
      <c r="AW150" s="31"/>
      <c r="AX150" s="10" t="str">
        <f aca="false">IF(C150="","",IF(AND(Y150="Approved",ISERROR(SEARCH("FAIL",AQ150))),"Y","N"))</f>
        <v/>
      </c>
      <c r="AY150" s="10" t="str">
        <f aca="false">IF(C150="","",C150&amp;"|"&amp;E150&amp;"|"&amp;F150&amp;"|"&amp;G150&amp;"|"&amp;D150&amp;"|"&amp;AX150)</f>
        <v/>
      </c>
    </row>
    <row r="151" customFormat="false" ht="15" hidden="false" customHeight="false" outlineLevel="0" collapsed="false">
      <c r="A151" s="10" t="str">
        <f aca="false">IF(C151="","","EW-"&amp;IFERROR(VLOOKUP(C151,Lists!$P$4:$Q$22,2,0),"??")&amp;"-D"&amp;TEXT(E151*1000,"0000")&amp;"-"&amp;IFERROR(VLOOKUP(F151,Lists!$S$4:$T$21,2,0),"??")&amp;"-"&amp;IFERROR(VLOOKUP(G151,Lists!$Y$4:$Z$21,2,0),"??")&amp;"-"&amp;IFERROR(VLOOKUP(D151,Lists!$V$4:$W$16,2,0),"??")&amp;"-"&amp;X151)</f>
        <v/>
      </c>
      <c r="B151" s="10" t="str">
        <f aca="false">IF(C151="","",D151&amp;" "&amp;C151&amp;", excavation "&amp;TEXT(E151,"0.0")&amp;" m, "&amp;F151&amp;", "&amp;G151&amp;", "&amp;J151)</f>
        <v/>
      </c>
      <c r="C151" s="9"/>
      <c r="D151" s="9"/>
      <c r="E151" s="43"/>
      <c r="F151" s="9"/>
      <c r="G151" s="9"/>
      <c r="H151" s="43"/>
      <c r="I151" s="40"/>
      <c r="J151" s="9"/>
      <c r="K151" s="9"/>
      <c r="L151" s="9"/>
      <c r="M151" s="43"/>
      <c r="N151" s="43"/>
      <c r="O151" s="9"/>
      <c r="P151" s="9"/>
      <c r="Q151" s="9"/>
      <c r="R151" s="9"/>
      <c r="S151" s="40"/>
      <c r="T151" s="40"/>
      <c r="U151" s="9"/>
      <c r="V151" s="9"/>
      <c r="W151" s="9"/>
      <c r="X151" s="9"/>
      <c r="Y151" s="9"/>
      <c r="Z151" s="9"/>
      <c r="AA151" s="9"/>
      <c r="AB151" s="9"/>
      <c r="AC151" s="10" t="str">
        <f aca="false">IF(A151="","",SG_Criteria!$B$6&amp;SG_Criteria!$B$9&amp;"\"&amp;A151&amp;"\")</f>
        <v/>
      </c>
      <c r="AD151" s="10" t="str">
        <f aca="false">IF(A151="","",A151&amp;"_CAD.dwg")</f>
        <v/>
      </c>
      <c r="AE151" s="10" t="str">
        <f aca="false">IF(A151="","",A151&amp;"_DWG.pdf")</f>
        <v/>
      </c>
      <c r="AF151" s="10" t="str">
        <f aca="false">IF(A151="","",IF(AB151="Y",A151&amp;"_STAAD.std","n/a"))</f>
        <v/>
      </c>
      <c r="AG151" s="10" t="str">
        <f aca="false">IF(A151="","",A151&amp;"_CALC.xlsx")</f>
        <v/>
      </c>
      <c r="AH151" s="10" t="str">
        <f aca="false">IF(A151="","",A151&amp;"_CALC.pdf")</f>
        <v/>
      </c>
      <c r="AI151" s="9"/>
      <c r="AJ151" s="9"/>
      <c r="AK151" s="41"/>
      <c r="AL151" s="41"/>
      <c r="AM151" s="41"/>
      <c r="AN151" s="41"/>
      <c r="AO151" s="41"/>
      <c r="AP151" s="38" t="str">
        <f aca="false">IF(OR(C151="",E151=""),"",IF(E151&lt;=IF(C151="Soldier Pile &amp; Timber Lagging",SG_Criteria!$B$34,SG_Criteria!$B$33),"No ERSS submission",IF(E151&lt;=SG_Criteria!$B$35,"QP(ST)",IF(E151&lt;=SG_Criteria!$B$36,"QP(ST) + AC","Geotechnical building works: QP(Geo) + AC"))))</f>
        <v/>
      </c>
      <c r="AQ151" s="38" t="str">
        <f aca="false">IF(C151="","",IF(LEN(IF(AND(U151&lt;&gt;"",IFERROR(VALUE(MID(U151,2,2)),0)&lt;SG_Criteria!$B$19),"FAIL: grade below C"&amp;SG_Criteria!$B$19&amp;". ","")&amp;IF(AND(LEFT(C151,3)="Con",N(H151)&lt;E151,G151="Kallang Formation (marine clay)"),"NOTE: CBP is not watertight below GWT in marine clay; consider secant / grouting. ","")&amp;IF(AND(C151="Steel Sheet Pile",D151="Permanent"),"NOTE: permanent sheet pile needs corrosion allowance. ","")&amp;IF(AND(F151="Cantilever (no support)",E151&gt;6),"NOTE: cantilever embedded wall &gt; 6 m, check deflection. ","")&amp;IF(AND(S151&lt;&gt;"",T151&lt;&gt;"",S151&gt;T151),"FAIL: deflection exceeds allowable. ",""))=0,"OK",IF(AND(U151&lt;&gt;"",IFERROR(VALUE(MID(U151,2,2)),0)&lt;SG_Criteria!$B$19),"FAIL: grade below C"&amp;SG_Criteria!$B$19&amp;". ","")&amp;IF(AND(LEFT(C151,3)="Con",N(H151)&lt;E151,G151="Kallang Formation (marine clay)"),"NOTE: CBP is not watertight below GWT in marine clay; consider secant / grouting. ","")&amp;IF(AND(C151="Steel Sheet Pile",D151="Permanent"),"NOTE: permanent sheet pile needs corrosion allowance. ","")&amp;IF(AND(F151="Cantilever (no support)",E151&gt;6),"NOTE: cantilever embedded wall &gt; 6 m, check deflection. ","")&amp;IF(AND(S151&lt;&gt;"",T151&lt;&gt;"",S151&gt;T151),"FAIL: deflection exceeds allowable. ","")))</f>
        <v/>
      </c>
      <c r="AR151" s="9"/>
      <c r="AS151" s="9"/>
      <c r="AT151" s="9"/>
      <c r="AU151" s="9"/>
      <c r="AV151" s="9"/>
      <c r="AW151" s="31"/>
      <c r="AX151" s="10" t="str">
        <f aca="false">IF(C151="","",IF(AND(Y151="Approved",ISERROR(SEARCH("FAIL",AQ151))),"Y","N"))</f>
        <v/>
      </c>
      <c r="AY151" s="10" t="str">
        <f aca="false">IF(C151="","",C151&amp;"|"&amp;E151&amp;"|"&amp;F151&amp;"|"&amp;G151&amp;"|"&amp;D151&amp;"|"&amp;AX151)</f>
        <v/>
      </c>
    </row>
    <row r="152" customFormat="false" ht="15" hidden="false" customHeight="false" outlineLevel="0" collapsed="false">
      <c r="A152" s="10" t="str">
        <f aca="false">IF(C152="","","EW-"&amp;IFERROR(VLOOKUP(C152,Lists!$P$4:$Q$22,2,0),"??")&amp;"-D"&amp;TEXT(E152*1000,"0000")&amp;"-"&amp;IFERROR(VLOOKUP(F152,Lists!$S$4:$T$21,2,0),"??")&amp;"-"&amp;IFERROR(VLOOKUP(G152,Lists!$Y$4:$Z$21,2,0),"??")&amp;"-"&amp;IFERROR(VLOOKUP(D152,Lists!$V$4:$W$16,2,0),"??")&amp;"-"&amp;X152)</f>
        <v/>
      </c>
      <c r="B152" s="10" t="str">
        <f aca="false">IF(C152="","",D152&amp;" "&amp;C152&amp;", excavation "&amp;TEXT(E152,"0.0")&amp;" m, "&amp;F152&amp;", "&amp;G152&amp;", "&amp;J152)</f>
        <v/>
      </c>
      <c r="C152" s="9"/>
      <c r="D152" s="9"/>
      <c r="E152" s="43"/>
      <c r="F152" s="9"/>
      <c r="G152" s="9"/>
      <c r="H152" s="43"/>
      <c r="I152" s="40"/>
      <c r="J152" s="9"/>
      <c r="K152" s="9"/>
      <c r="L152" s="9"/>
      <c r="M152" s="43"/>
      <c r="N152" s="43"/>
      <c r="O152" s="9"/>
      <c r="P152" s="9"/>
      <c r="Q152" s="9"/>
      <c r="R152" s="9"/>
      <c r="S152" s="40"/>
      <c r="T152" s="40"/>
      <c r="U152" s="9"/>
      <c r="V152" s="9"/>
      <c r="W152" s="9"/>
      <c r="X152" s="9"/>
      <c r="Y152" s="9"/>
      <c r="Z152" s="9"/>
      <c r="AA152" s="9"/>
      <c r="AB152" s="9"/>
      <c r="AC152" s="10" t="str">
        <f aca="false">IF(A152="","",SG_Criteria!$B$6&amp;SG_Criteria!$B$9&amp;"\"&amp;A152&amp;"\")</f>
        <v/>
      </c>
      <c r="AD152" s="10" t="str">
        <f aca="false">IF(A152="","",A152&amp;"_CAD.dwg")</f>
        <v/>
      </c>
      <c r="AE152" s="10" t="str">
        <f aca="false">IF(A152="","",A152&amp;"_DWG.pdf")</f>
        <v/>
      </c>
      <c r="AF152" s="10" t="str">
        <f aca="false">IF(A152="","",IF(AB152="Y",A152&amp;"_STAAD.std","n/a"))</f>
        <v/>
      </c>
      <c r="AG152" s="10" t="str">
        <f aca="false">IF(A152="","",A152&amp;"_CALC.xlsx")</f>
        <v/>
      </c>
      <c r="AH152" s="10" t="str">
        <f aca="false">IF(A152="","",A152&amp;"_CALC.pdf")</f>
        <v/>
      </c>
      <c r="AI152" s="9"/>
      <c r="AJ152" s="9"/>
      <c r="AK152" s="41"/>
      <c r="AL152" s="41"/>
      <c r="AM152" s="41"/>
      <c r="AN152" s="41"/>
      <c r="AO152" s="41"/>
      <c r="AP152" s="38" t="str">
        <f aca="false">IF(OR(C152="",E152=""),"",IF(E152&lt;=IF(C152="Soldier Pile &amp; Timber Lagging",SG_Criteria!$B$34,SG_Criteria!$B$33),"No ERSS submission",IF(E152&lt;=SG_Criteria!$B$35,"QP(ST)",IF(E152&lt;=SG_Criteria!$B$36,"QP(ST) + AC","Geotechnical building works: QP(Geo) + AC"))))</f>
        <v/>
      </c>
      <c r="AQ152" s="38" t="str">
        <f aca="false">IF(C152="","",IF(LEN(IF(AND(U152&lt;&gt;"",IFERROR(VALUE(MID(U152,2,2)),0)&lt;SG_Criteria!$B$19),"FAIL: grade below C"&amp;SG_Criteria!$B$19&amp;". ","")&amp;IF(AND(LEFT(C152,3)="Con",N(H152)&lt;E152,G152="Kallang Formation (marine clay)"),"NOTE: CBP is not watertight below GWT in marine clay; consider secant / grouting. ","")&amp;IF(AND(C152="Steel Sheet Pile",D152="Permanent"),"NOTE: permanent sheet pile needs corrosion allowance. ","")&amp;IF(AND(F152="Cantilever (no support)",E152&gt;6),"NOTE: cantilever embedded wall &gt; 6 m, check deflection. ","")&amp;IF(AND(S152&lt;&gt;"",T152&lt;&gt;"",S152&gt;T152),"FAIL: deflection exceeds allowable. ",""))=0,"OK",IF(AND(U152&lt;&gt;"",IFERROR(VALUE(MID(U152,2,2)),0)&lt;SG_Criteria!$B$19),"FAIL: grade below C"&amp;SG_Criteria!$B$19&amp;". ","")&amp;IF(AND(LEFT(C152,3)="Con",N(H152)&lt;E152,G152="Kallang Formation (marine clay)"),"NOTE: CBP is not watertight below GWT in marine clay; consider secant / grouting. ","")&amp;IF(AND(C152="Steel Sheet Pile",D152="Permanent"),"NOTE: permanent sheet pile needs corrosion allowance. ","")&amp;IF(AND(F152="Cantilever (no support)",E152&gt;6),"NOTE: cantilever embedded wall &gt; 6 m, check deflection. ","")&amp;IF(AND(S152&lt;&gt;"",T152&lt;&gt;"",S152&gt;T152),"FAIL: deflection exceeds allowable. ","")))</f>
        <v/>
      </c>
      <c r="AR152" s="9"/>
      <c r="AS152" s="9"/>
      <c r="AT152" s="9"/>
      <c r="AU152" s="9"/>
      <c r="AV152" s="9"/>
      <c r="AW152" s="31"/>
      <c r="AX152" s="10" t="str">
        <f aca="false">IF(C152="","",IF(AND(Y152="Approved",ISERROR(SEARCH("FAIL",AQ152))),"Y","N"))</f>
        <v/>
      </c>
      <c r="AY152" s="10" t="str">
        <f aca="false">IF(C152="","",C152&amp;"|"&amp;E152&amp;"|"&amp;F152&amp;"|"&amp;G152&amp;"|"&amp;D152&amp;"|"&amp;AX152)</f>
        <v/>
      </c>
    </row>
    <row r="153" customFormat="false" ht="15" hidden="false" customHeight="false" outlineLevel="0" collapsed="false">
      <c r="A153" s="10" t="str">
        <f aca="false">IF(C153="","","EW-"&amp;IFERROR(VLOOKUP(C153,Lists!$P$4:$Q$22,2,0),"??")&amp;"-D"&amp;TEXT(E153*1000,"0000")&amp;"-"&amp;IFERROR(VLOOKUP(F153,Lists!$S$4:$T$21,2,0),"??")&amp;"-"&amp;IFERROR(VLOOKUP(G153,Lists!$Y$4:$Z$21,2,0),"??")&amp;"-"&amp;IFERROR(VLOOKUP(D153,Lists!$V$4:$W$16,2,0),"??")&amp;"-"&amp;X153)</f>
        <v/>
      </c>
      <c r="B153" s="10" t="str">
        <f aca="false">IF(C153="","",D153&amp;" "&amp;C153&amp;", excavation "&amp;TEXT(E153,"0.0")&amp;" m, "&amp;F153&amp;", "&amp;G153&amp;", "&amp;J153)</f>
        <v/>
      </c>
      <c r="C153" s="9"/>
      <c r="D153" s="9"/>
      <c r="E153" s="43"/>
      <c r="F153" s="9"/>
      <c r="G153" s="9"/>
      <c r="H153" s="43"/>
      <c r="I153" s="40"/>
      <c r="J153" s="9"/>
      <c r="K153" s="9"/>
      <c r="L153" s="9"/>
      <c r="M153" s="43"/>
      <c r="N153" s="43"/>
      <c r="O153" s="9"/>
      <c r="P153" s="9"/>
      <c r="Q153" s="9"/>
      <c r="R153" s="9"/>
      <c r="S153" s="40"/>
      <c r="T153" s="40"/>
      <c r="U153" s="9"/>
      <c r="V153" s="9"/>
      <c r="W153" s="9"/>
      <c r="X153" s="9"/>
      <c r="Y153" s="9"/>
      <c r="Z153" s="9"/>
      <c r="AA153" s="9"/>
      <c r="AB153" s="9"/>
      <c r="AC153" s="10" t="str">
        <f aca="false">IF(A153="","",SG_Criteria!$B$6&amp;SG_Criteria!$B$9&amp;"\"&amp;A153&amp;"\")</f>
        <v/>
      </c>
      <c r="AD153" s="10" t="str">
        <f aca="false">IF(A153="","",A153&amp;"_CAD.dwg")</f>
        <v/>
      </c>
      <c r="AE153" s="10" t="str">
        <f aca="false">IF(A153="","",A153&amp;"_DWG.pdf")</f>
        <v/>
      </c>
      <c r="AF153" s="10" t="str">
        <f aca="false">IF(A153="","",IF(AB153="Y",A153&amp;"_STAAD.std","n/a"))</f>
        <v/>
      </c>
      <c r="AG153" s="10" t="str">
        <f aca="false">IF(A153="","",A153&amp;"_CALC.xlsx")</f>
        <v/>
      </c>
      <c r="AH153" s="10" t="str">
        <f aca="false">IF(A153="","",A153&amp;"_CALC.pdf")</f>
        <v/>
      </c>
      <c r="AI153" s="9"/>
      <c r="AJ153" s="9"/>
      <c r="AK153" s="41"/>
      <c r="AL153" s="41"/>
      <c r="AM153" s="41"/>
      <c r="AN153" s="41"/>
      <c r="AO153" s="41"/>
      <c r="AP153" s="38" t="str">
        <f aca="false">IF(OR(C153="",E153=""),"",IF(E153&lt;=IF(C153="Soldier Pile &amp; Timber Lagging",SG_Criteria!$B$34,SG_Criteria!$B$33),"No ERSS submission",IF(E153&lt;=SG_Criteria!$B$35,"QP(ST)",IF(E153&lt;=SG_Criteria!$B$36,"QP(ST) + AC","Geotechnical building works: QP(Geo) + AC"))))</f>
        <v/>
      </c>
      <c r="AQ153" s="38" t="str">
        <f aca="false">IF(C153="","",IF(LEN(IF(AND(U153&lt;&gt;"",IFERROR(VALUE(MID(U153,2,2)),0)&lt;SG_Criteria!$B$19),"FAIL: grade below C"&amp;SG_Criteria!$B$19&amp;". ","")&amp;IF(AND(LEFT(C153,3)="Con",N(H153)&lt;E153,G153="Kallang Formation (marine clay)"),"NOTE: CBP is not watertight below GWT in marine clay; consider secant / grouting. ","")&amp;IF(AND(C153="Steel Sheet Pile",D153="Permanent"),"NOTE: permanent sheet pile needs corrosion allowance. ","")&amp;IF(AND(F153="Cantilever (no support)",E153&gt;6),"NOTE: cantilever embedded wall &gt; 6 m, check deflection. ","")&amp;IF(AND(S153&lt;&gt;"",T153&lt;&gt;"",S153&gt;T153),"FAIL: deflection exceeds allowable. ",""))=0,"OK",IF(AND(U153&lt;&gt;"",IFERROR(VALUE(MID(U153,2,2)),0)&lt;SG_Criteria!$B$19),"FAIL: grade below C"&amp;SG_Criteria!$B$19&amp;". ","")&amp;IF(AND(LEFT(C153,3)="Con",N(H153)&lt;E153,G153="Kallang Formation (marine clay)"),"NOTE: CBP is not watertight below GWT in marine clay; consider secant / grouting. ","")&amp;IF(AND(C153="Steel Sheet Pile",D153="Permanent"),"NOTE: permanent sheet pile needs corrosion allowance. ","")&amp;IF(AND(F153="Cantilever (no support)",E153&gt;6),"NOTE: cantilever embedded wall &gt; 6 m, check deflection. ","")&amp;IF(AND(S153&lt;&gt;"",T153&lt;&gt;"",S153&gt;T153),"FAIL: deflection exceeds allowable. ","")))</f>
        <v/>
      </c>
      <c r="AR153" s="9"/>
      <c r="AS153" s="9"/>
      <c r="AT153" s="9"/>
      <c r="AU153" s="9"/>
      <c r="AV153" s="9"/>
      <c r="AW153" s="31"/>
      <c r="AX153" s="10" t="str">
        <f aca="false">IF(C153="","",IF(AND(Y153="Approved",ISERROR(SEARCH("FAIL",AQ153))),"Y","N"))</f>
        <v/>
      </c>
      <c r="AY153" s="10" t="str">
        <f aca="false">IF(C153="","",C153&amp;"|"&amp;E153&amp;"|"&amp;F153&amp;"|"&amp;G153&amp;"|"&amp;D153&amp;"|"&amp;AX153)</f>
        <v/>
      </c>
    </row>
    <row r="154" customFormat="false" ht="15" hidden="false" customHeight="false" outlineLevel="0" collapsed="false">
      <c r="A154" s="10" t="str">
        <f aca="false">IF(C154="","","EW-"&amp;IFERROR(VLOOKUP(C154,Lists!$P$4:$Q$22,2,0),"??")&amp;"-D"&amp;TEXT(E154*1000,"0000")&amp;"-"&amp;IFERROR(VLOOKUP(F154,Lists!$S$4:$T$21,2,0),"??")&amp;"-"&amp;IFERROR(VLOOKUP(G154,Lists!$Y$4:$Z$21,2,0),"??")&amp;"-"&amp;IFERROR(VLOOKUP(D154,Lists!$V$4:$W$16,2,0),"??")&amp;"-"&amp;X154)</f>
        <v/>
      </c>
      <c r="B154" s="10" t="str">
        <f aca="false">IF(C154="","",D154&amp;" "&amp;C154&amp;", excavation "&amp;TEXT(E154,"0.0")&amp;" m, "&amp;F154&amp;", "&amp;G154&amp;", "&amp;J154)</f>
        <v/>
      </c>
      <c r="C154" s="9"/>
      <c r="D154" s="9"/>
      <c r="E154" s="43"/>
      <c r="F154" s="9"/>
      <c r="G154" s="9"/>
      <c r="H154" s="43"/>
      <c r="I154" s="40"/>
      <c r="J154" s="9"/>
      <c r="K154" s="9"/>
      <c r="L154" s="9"/>
      <c r="M154" s="43"/>
      <c r="N154" s="43"/>
      <c r="O154" s="9"/>
      <c r="P154" s="9"/>
      <c r="Q154" s="9"/>
      <c r="R154" s="9"/>
      <c r="S154" s="40"/>
      <c r="T154" s="40"/>
      <c r="U154" s="9"/>
      <c r="V154" s="9"/>
      <c r="W154" s="9"/>
      <c r="X154" s="9"/>
      <c r="Y154" s="9"/>
      <c r="Z154" s="9"/>
      <c r="AA154" s="9"/>
      <c r="AB154" s="9"/>
      <c r="AC154" s="10" t="str">
        <f aca="false">IF(A154="","",SG_Criteria!$B$6&amp;SG_Criteria!$B$9&amp;"\"&amp;A154&amp;"\")</f>
        <v/>
      </c>
      <c r="AD154" s="10" t="str">
        <f aca="false">IF(A154="","",A154&amp;"_CAD.dwg")</f>
        <v/>
      </c>
      <c r="AE154" s="10" t="str">
        <f aca="false">IF(A154="","",A154&amp;"_DWG.pdf")</f>
        <v/>
      </c>
      <c r="AF154" s="10" t="str">
        <f aca="false">IF(A154="","",IF(AB154="Y",A154&amp;"_STAAD.std","n/a"))</f>
        <v/>
      </c>
      <c r="AG154" s="10" t="str">
        <f aca="false">IF(A154="","",A154&amp;"_CALC.xlsx")</f>
        <v/>
      </c>
      <c r="AH154" s="10" t="str">
        <f aca="false">IF(A154="","",A154&amp;"_CALC.pdf")</f>
        <v/>
      </c>
      <c r="AI154" s="9"/>
      <c r="AJ154" s="9"/>
      <c r="AK154" s="41"/>
      <c r="AL154" s="41"/>
      <c r="AM154" s="41"/>
      <c r="AN154" s="41"/>
      <c r="AO154" s="41"/>
      <c r="AP154" s="38" t="str">
        <f aca="false">IF(OR(C154="",E154=""),"",IF(E154&lt;=IF(C154="Soldier Pile &amp; Timber Lagging",SG_Criteria!$B$34,SG_Criteria!$B$33),"No ERSS submission",IF(E154&lt;=SG_Criteria!$B$35,"QP(ST)",IF(E154&lt;=SG_Criteria!$B$36,"QP(ST) + AC","Geotechnical building works: QP(Geo) + AC"))))</f>
        <v/>
      </c>
      <c r="AQ154" s="38" t="str">
        <f aca="false">IF(C154="","",IF(LEN(IF(AND(U154&lt;&gt;"",IFERROR(VALUE(MID(U154,2,2)),0)&lt;SG_Criteria!$B$19),"FAIL: grade below C"&amp;SG_Criteria!$B$19&amp;". ","")&amp;IF(AND(LEFT(C154,3)="Con",N(H154)&lt;E154,G154="Kallang Formation (marine clay)"),"NOTE: CBP is not watertight below GWT in marine clay; consider secant / grouting. ","")&amp;IF(AND(C154="Steel Sheet Pile",D154="Permanent"),"NOTE: permanent sheet pile needs corrosion allowance. ","")&amp;IF(AND(F154="Cantilever (no support)",E154&gt;6),"NOTE: cantilever embedded wall &gt; 6 m, check deflection. ","")&amp;IF(AND(S154&lt;&gt;"",T154&lt;&gt;"",S154&gt;T154),"FAIL: deflection exceeds allowable. ",""))=0,"OK",IF(AND(U154&lt;&gt;"",IFERROR(VALUE(MID(U154,2,2)),0)&lt;SG_Criteria!$B$19),"FAIL: grade below C"&amp;SG_Criteria!$B$19&amp;". ","")&amp;IF(AND(LEFT(C154,3)="Con",N(H154)&lt;E154,G154="Kallang Formation (marine clay)"),"NOTE: CBP is not watertight below GWT in marine clay; consider secant / grouting. ","")&amp;IF(AND(C154="Steel Sheet Pile",D154="Permanent"),"NOTE: permanent sheet pile needs corrosion allowance. ","")&amp;IF(AND(F154="Cantilever (no support)",E154&gt;6),"NOTE: cantilever embedded wall &gt; 6 m, check deflection. ","")&amp;IF(AND(S154&lt;&gt;"",T154&lt;&gt;"",S154&gt;T154),"FAIL: deflection exceeds allowable. ","")))</f>
        <v/>
      </c>
      <c r="AR154" s="9"/>
      <c r="AS154" s="9"/>
      <c r="AT154" s="9"/>
      <c r="AU154" s="9"/>
      <c r="AV154" s="9"/>
      <c r="AW154" s="31"/>
      <c r="AX154" s="10" t="str">
        <f aca="false">IF(C154="","",IF(AND(Y154="Approved",ISERROR(SEARCH("FAIL",AQ154))),"Y","N"))</f>
        <v/>
      </c>
      <c r="AY154" s="10" t="str">
        <f aca="false">IF(C154="","",C154&amp;"|"&amp;E154&amp;"|"&amp;F154&amp;"|"&amp;G154&amp;"|"&amp;D154&amp;"|"&amp;AX154)</f>
        <v/>
      </c>
    </row>
    <row r="155" customFormat="false" ht="15" hidden="false" customHeight="false" outlineLevel="0" collapsed="false">
      <c r="A155" s="10" t="str">
        <f aca="false">IF(C155="","","EW-"&amp;IFERROR(VLOOKUP(C155,Lists!$P$4:$Q$22,2,0),"??")&amp;"-D"&amp;TEXT(E155*1000,"0000")&amp;"-"&amp;IFERROR(VLOOKUP(F155,Lists!$S$4:$T$21,2,0),"??")&amp;"-"&amp;IFERROR(VLOOKUP(G155,Lists!$Y$4:$Z$21,2,0),"??")&amp;"-"&amp;IFERROR(VLOOKUP(D155,Lists!$V$4:$W$16,2,0),"??")&amp;"-"&amp;X155)</f>
        <v/>
      </c>
      <c r="B155" s="10" t="str">
        <f aca="false">IF(C155="","",D155&amp;" "&amp;C155&amp;", excavation "&amp;TEXT(E155,"0.0")&amp;" m, "&amp;F155&amp;", "&amp;G155&amp;", "&amp;J155)</f>
        <v/>
      </c>
      <c r="C155" s="9"/>
      <c r="D155" s="9"/>
      <c r="E155" s="43"/>
      <c r="F155" s="9"/>
      <c r="G155" s="9"/>
      <c r="H155" s="43"/>
      <c r="I155" s="40"/>
      <c r="J155" s="9"/>
      <c r="K155" s="9"/>
      <c r="L155" s="9"/>
      <c r="M155" s="43"/>
      <c r="N155" s="43"/>
      <c r="O155" s="9"/>
      <c r="P155" s="9"/>
      <c r="Q155" s="9"/>
      <c r="R155" s="9"/>
      <c r="S155" s="40"/>
      <c r="T155" s="40"/>
      <c r="U155" s="9"/>
      <c r="V155" s="9"/>
      <c r="W155" s="9"/>
      <c r="X155" s="9"/>
      <c r="Y155" s="9"/>
      <c r="Z155" s="9"/>
      <c r="AA155" s="9"/>
      <c r="AB155" s="9"/>
      <c r="AC155" s="10" t="str">
        <f aca="false">IF(A155="","",SG_Criteria!$B$6&amp;SG_Criteria!$B$9&amp;"\"&amp;A155&amp;"\")</f>
        <v/>
      </c>
      <c r="AD155" s="10" t="str">
        <f aca="false">IF(A155="","",A155&amp;"_CAD.dwg")</f>
        <v/>
      </c>
      <c r="AE155" s="10" t="str">
        <f aca="false">IF(A155="","",A155&amp;"_DWG.pdf")</f>
        <v/>
      </c>
      <c r="AF155" s="10" t="str">
        <f aca="false">IF(A155="","",IF(AB155="Y",A155&amp;"_STAAD.std","n/a"))</f>
        <v/>
      </c>
      <c r="AG155" s="10" t="str">
        <f aca="false">IF(A155="","",A155&amp;"_CALC.xlsx")</f>
        <v/>
      </c>
      <c r="AH155" s="10" t="str">
        <f aca="false">IF(A155="","",A155&amp;"_CALC.pdf")</f>
        <v/>
      </c>
      <c r="AI155" s="9"/>
      <c r="AJ155" s="9"/>
      <c r="AK155" s="41"/>
      <c r="AL155" s="41"/>
      <c r="AM155" s="41"/>
      <c r="AN155" s="41"/>
      <c r="AO155" s="41"/>
      <c r="AP155" s="38" t="str">
        <f aca="false">IF(OR(C155="",E155=""),"",IF(E155&lt;=IF(C155="Soldier Pile &amp; Timber Lagging",SG_Criteria!$B$34,SG_Criteria!$B$33),"No ERSS submission",IF(E155&lt;=SG_Criteria!$B$35,"QP(ST)",IF(E155&lt;=SG_Criteria!$B$36,"QP(ST) + AC","Geotechnical building works: QP(Geo) + AC"))))</f>
        <v/>
      </c>
      <c r="AQ155" s="38" t="str">
        <f aca="false">IF(C155="","",IF(LEN(IF(AND(U155&lt;&gt;"",IFERROR(VALUE(MID(U155,2,2)),0)&lt;SG_Criteria!$B$19),"FAIL: grade below C"&amp;SG_Criteria!$B$19&amp;". ","")&amp;IF(AND(LEFT(C155,3)="Con",N(H155)&lt;E155,G155="Kallang Formation (marine clay)"),"NOTE: CBP is not watertight below GWT in marine clay; consider secant / grouting. ","")&amp;IF(AND(C155="Steel Sheet Pile",D155="Permanent"),"NOTE: permanent sheet pile needs corrosion allowance. ","")&amp;IF(AND(F155="Cantilever (no support)",E155&gt;6),"NOTE: cantilever embedded wall &gt; 6 m, check deflection. ","")&amp;IF(AND(S155&lt;&gt;"",T155&lt;&gt;"",S155&gt;T155),"FAIL: deflection exceeds allowable. ",""))=0,"OK",IF(AND(U155&lt;&gt;"",IFERROR(VALUE(MID(U155,2,2)),0)&lt;SG_Criteria!$B$19),"FAIL: grade below C"&amp;SG_Criteria!$B$19&amp;". ","")&amp;IF(AND(LEFT(C155,3)="Con",N(H155)&lt;E155,G155="Kallang Formation (marine clay)"),"NOTE: CBP is not watertight below GWT in marine clay; consider secant / grouting. ","")&amp;IF(AND(C155="Steel Sheet Pile",D155="Permanent"),"NOTE: permanent sheet pile needs corrosion allowance. ","")&amp;IF(AND(F155="Cantilever (no support)",E155&gt;6),"NOTE: cantilever embedded wall &gt; 6 m, check deflection. ","")&amp;IF(AND(S155&lt;&gt;"",T155&lt;&gt;"",S155&gt;T155),"FAIL: deflection exceeds allowable. ","")))</f>
        <v/>
      </c>
      <c r="AR155" s="9"/>
      <c r="AS155" s="9"/>
      <c r="AT155" s="9"/>
      <c r="AU155" s="9"/>
      <c r="AV155" s="9"/>
      <c r="AW155" s="31"/>
      <c r="AX155" s="10" t="str">
        <f aca="false">IF(C155="","",IF(AND(Y155="Approved",ISERROR(SEARCH("FAIL",AQ155))),"Y","N"))</f>
        <v/>
      </c>
      <c r="AY155" s="10" t="str">
        <f aca="false">IF(C155="","",C155&amp;"|"&amp;E155&amp;"|"&amp;F155&amp;"|"&amp;G155&amp;"|"&amp;D155&amp;"|"&amp;AX155)</f>
        <v/>
      </c>
    </row>
    <row r="156" customFormat="false" ht="15" hidden="false" customHeight="false" outlineLevel="0" collapsed="false">
      <c r="A156" s="10" t="str">
        <f aca="false">IF(C156="","","EW-"&amp;IFERROR(VLOOKUP(C156,Lists!$P$4:$Q$22,2,0),"??")&amp;"-D"&amp;TEXT(E156*1000,"0000")&amp;"-"&amp;IFERROR(VLOOKUP(F156,Lists!$S$4:$T$21,2,0),"??")&amp;"-"&amp;IFERROR(VLOOKUP(G156,Lists!$Y$4:$Z$21,2,0),"??")&amp;"-"&amp;IFERROR(VLOOKUP(D156,Lists!$V$4:$W$16,2,0),"??")&amp;"-"&amp;X156)</f>
        <v/>
      </c>
      <c r="B156" s="10" t="str">
        <f aca="false">IF(C156="","",D156&amp;" "&amp;C156&amp;", excavation "&amp;TEXT(E156,"0.0")&amp;" m, "&amp;F156&amp;", "&amp;G156&amp;", "&amp;J156)</f>
        <v/>
      </c>
      <c r="C156" s="9"/>
      <c r="D156" s="9"/>
      <c r="E156" s="43"/>
      <c r="F156" s="9"/>
      <c r="G156" s="9"/>
      <c r="H156" s="43"/>
      <c r="I156" s="40"/>
      <c r="J156" s="9"/>
      <c r="K156" s="9"/>
      <c r="L156" s="9"/>
      <c r="M156" s="43"/>
      <c r="N156" s="43"/>
      <c r="O156" s="9"/>
      <c r="P156" s="9"/>
      <c r="Q156" s="9"/>
      <c r="R156" s="9"/>
      <c r="S156" s="40"/>
      <c r="T156" s="40"/>
      <c r="U156" s="9"/>
      <c r="V156" s="9"/>
      <c r="W156" s="9"/>
      <c r="X156" s="9"/>
      <c r="Y156" s="9"/>
      <c r="Z156" s="9"/>
      <c r="AA156" s="9"/>
      <c r="AB156" s="9"/>
      <c r="AC156" s="10" t="str">
        <f aca="false">IF(A156="","",SG_Criteria!$B$6&amp;SG_Criteria!$B$9&amp;"\"&amp;A156&amp;"\")</f>
        <v/>
      </c>
      <c r="AD156" s="10" t="str">
        <f aca="false">IF(A156="","",A156&amp;"_CAD.dwg")</f>
        <v/>
      </c>
      <c r="AE156" s="10" t="str">
        <f aca="false">IF(A156="","",A156&amp;"_DWG.pdf")</f>
        <v/>
      </c>
      <c r="AF156" s="10" t="str">
        <f aca="false">IF(A156="","",IF(AB156="Y",A156&amp;"_STAAD.std","n/a"))</f>
        <v/>
      </c>
      <c r="AG156" s="10" t="str">
        <f aca="false">IF(A156="","",A156&amp;"_CALC.xlsx")</f>
        <v/>
      </c>
      <c r="AH156" s="10" t="str">
        <f aca="false">IF(A156="","",A156&amp;"_CALC.pdf")</f>
        <v/>
      </c>
      <c r="AI156" s="9"/>
      <c r="AJ156" s="9"/>
      <c r="AK156" s="41"/>
      <c r="AL156" s="41"/>
      <c r="AM156" s="41"/>
      <c r="AN156" s="41"/>
      <c r="AO156" s="41"/>
      <c r="AP156" s="38" t="str">
        <f aca="false">IF(OR(C156="",E156=""),"",IF(E156&lt;=IF(C156="Soldier Pile &amp; Timber Lagging",SG_Criteria!$B$34,SG_Criteria!$B$33),"No ERSS submission",IF(E156&lt;=SG_Criteria!$B$35,"QP(ST)",IF(E156&lt;=SG_Criteria!$B$36,"QP(ST) + AC","Geotechnical building works: QP(Geo) + AC"))))</f>
        <v/>
      </c>
      <c r="AQ156" s="38" t="str">
        <f aca="false">IF(C156="","",IF(LEN(IF(AND(U156&lt;&gt;"",IFERROR(VALUE(MID(U156,2,2)),0)&lt;SG_Criteria!$B$19),"FAIL: grade below C"&amp;SG_Criteria!$B$19&amp;". ","")&amp;IF(AND(LEFT(C156,3)="Con",N(H156)&lt;E156,G156="Kallang Formation (marine clay)"),"NOTE: CBP is not watertight below GWT in marine clay; consider secant / grouting. ","")&amp;IF(AND(C156="Steel Sheet Pile",D156="Permanent"),"NOTE: permanent sheet pile needs corrosion allowance. ","")&amp;IF(AND(F156="Cantilever (no support)",E156&gt;6),"NOTE: cantilever embedded wall &gt; 6 m, check deflection. ","")&amp;IF(AND(S156&lt;&gt;"",T156&lt;&gt;"",S156&gt;T156),"FAIL: deflection exceeds allowable. ",""))=0,"OK",IF(AND(U156&lt;&gt;"",IFERROR(VALUE(MID(U156,2,2)),0)&lt;SG_Criteria!$B$19),"FAIL: grade below C"&amp;SG_Criteria!$B$19&amp;". ","")&amp;IF(AND(LEFT(C156,3)="Con",N(H156)&lt;E156,G156="Kallang Formation (marine clay)"),"NOTE: CBP is not watertight below GWT in marine clay; consider secant / grouting. ","")&amp;IF(AND(C156="Steel Sheet Pile",D156="Permanent"),"NOTE: permanent sheet pile needs corrosion allowance. ","")&amp;IF(AND(F156="Cantilever (no support)",E156&gt;6),"NOTE: cantilever embedded wall &gt; 6 m, check deflection. ","")&amp;IF(AND(S156&lt;&gt;"",T156&lt;&gt;"",S156&gt;T156),"FAIL: deflection exceeds allowable. ","")))</f>
        <v/>
      </c>
      <c r="AR156" s="9"/>
      <c r="AS156" s="9"/>
      <c r="AT156" s="9"/>
      <c r="AU156" s="9"/>
      <c r="AV156" s="9"/>
      <c r="AW156" s="31"/>
      <c r="AX156" s="10" t="str">
        <f aca="false">IF(C156="","",IF(AND(Y156="Approved",ISERROR(SEARCH("FAIL",AQ156))),"Y","N"))</f>
        <v/>
      </c>
      <c r="AY156" s="10" t="str">
        <f aca="false">IF(C156="","",C156&amp;"|"&amp;E156&amp;"|"&amp;F156&amp;"|"&amp;G156&amp;"|"&amp;D156&amp;"|"&amp;AX156)</f>
        <v/>
      </c>
    </row>
    <row r="157" customFormat="false" ht="15" hidden="false" customHeight="false" outlineLevel="0" collapsed="false">
      <c r="A157" s="10" t="str">
        <f aca="false">IF(C157="","","EW-"&amp;IFERROR(VLOOKUP(C157,Lists!$P$4:$Q$22,2,0),"??")&amp;"-D"&amp;TEXT(E157*1000,"0000")&amp;"-"&amp;IFERROR(VLOOKUP(F157,Lists!$S$4:$T$21,2,0),"??")&amp;"-"&amp;IFERROR(VLOOKUP(G157,Lists!$Y$4:$Z$21,2,0),"??")&amp;"-"&amp;IFERROR(VLOOKUP(D157,Lists!$V$4:$W$16,2,0),"??")&amp;"-"&amp;X157)</f>
        <v/>
      </c>
      <c r="B157" s="10" t="str">
        <f aca="false">IF(C157="","",D157&amp;" "&amp;C157&amp;", excavation "&amp;TEXT(E157,"0.0")&amp;" m, "&amp;F157&amp;", "&amp;G157&amp;", "&amp;J157)</f>
        <v/>
      </c>
      <c r="C157" s="9"/>
      <c r="D157" s="9"/>
      <c r="E157" s="43"/>
      <c r="F157" s="9"/>
      <c r="G157" s="9"/>
      <c r="H157" s="43"/>
      <c r="I157" s="40"/>
      <c r="J157" s="9"/>
      <c r="K157" s="9"/>
      <c r="L157" s="9"/>
      <c r="M157" s="43"/>
      <c r="N157" s="43"/>
      <c r="O157" s="9"/>
      <c r="P157" s="9"/>
      <c r="Q157" s="9"/>
      <c r="R157" s="9"/>
      <c r="S157" s="40"/>
      <c r="T157" s="40"/>
      <c r="U157" s="9"/>
      <c r="V157" s="9"/>
      <c r="W157" s="9"/>
      <c r="X157" s="9"/>
      <c r="Y157" s="9"/>
      <c r="Z157" s="9"/>
      <c r="AA157" s="9"/>
      <c r="AB157" s="9"/>
      <c r="AC157" s="10" t="str">
        <f aca="false">IF(A157="","",SG_Criteria!$B$6&amp;SG_Criteria!$B$9&amp;"\"&amp;A157&amp;"\")</f>
        <v/>
      </c>
      <c r="AD157" s="10" t="str">
        <f aca="false">IF(A157="","",A157&amp;"_CAD.dwg")</f>
        <v/>
      </c>
      <c r="AE157" s="10" t="str">
        <f aca="false">IF(A157="","",A157&amp;"_DWG.pdf")</f>
        <v/>
      </c>
      <c r="AF157" s="10" t="str">
        <f aca="false">IF(A157="","",IF(AB157="Y",A157&amp;"_STAAD.std","n/a"))</f>
        <v/>
      </c>
      <c r="AG157" s="10" t="str">
        <f aca="false">IF(A157="","",A157&amp;"_CALC.xlsx")</f>
        <v/>
      </c>
      <c r="AH157" s="10" t="str">
        <f aca="false">IF(A157="","",A157&amp;"_CALC.pdf")</f>
        <v/>
      </c>
      <c r="AI157" s="9"/>
      <c r="AJ157" s="9"/>
      <c r="AK157" s="41"/>
      <c r="AL157" s="41"/>
      <c r="AM157" s="41"/>
      <c r="AN157" s="41"/>
      <c r="AO157" s="41"/>
      <c r="AP157" s="38" t="str">
        <f aca="false">IF(OR(C157="",E157=""),"",IF(E157&lt;=IF(C157="Soldier Pile &amp; Timber Lagging",SG_Criteria!$B$34,SG_Criteria!$B$33),"No ERSS submission",IF(E157&lt;=SG_Criteria!$B$35,"QP(ST)",IF(E157&lt;=SG_Criteria!$B$36,"QP(ST) + AC","Geotechnical building works: QP(Geo) + AC"))))</f>
        <v/>
      </c>
      <c r="AQ157" s="38" t="str">
        <f aca="false">IF(C157="","",IF(LEN(IF(AND(U157&lt;&gt;"",IFERROR(VALUE(MID(U157,2,2)),0)&lt;SG_Criteria!$B$19),"FAIL: grade below C"&amp;SG_Criteria!$B$19&amp;". ","")&amp;IF(AND(LEFT(C157,3)="Con",N(H157)&lt;E157,G157="Kallang Formation (marine clay)"),"NOTE: CBP is not watertight below GWT in marine clay; consider secant / grouting. ","")&amp;IF(AND(C157="Steel Sheet Pile",D157="Permanent"),"NOTE: permanent sheet pile needs corrosion allowance. ","")&amp;IF(AND(F157="Cantilever (no support)",E157&gt;6),"NOTE: cantilever embedded wall &gt; 6 m, check deflection. ","")&amp;IF(AND(S157&lt;&gt;"",T157&lt;&gt;"",S157&gt;T157),"FAIL: deflection exceeds allowable. ",""))=0,"OK",IF(AND(U157&lt;&gt;"",IFERROR(VALUE(MID(U157,2,2)),0)&lt;SG_Criteria!$B$19),"FAIL: grade below C"&amp;SG_Criteria!$B$19&amp;". ","")&amp;IF(AND(LEFT(C157,3)="Con",N(H157)&lt;E157,G157="Kallang Formation (marine clay)"),"NOTE: CBP is not watertight below GWT in marine clay; consider secant / grouting. ","")&amp;IF(AND(C157="Steel Sheet Pile",D157="Permanent"),"NOTE: permanent sheet pile needs corrosion allowance. ","")&amp;IF(AND(F157="Cantilever (no support)",E157&gt;6),"NOTE: cantilever embedded wall &gt; 6 m, check deflection. ","")&amp;IF(AND(S157&lt;&gt;"",T157&lt;&gt;"",S157&gt;T157),"FAIL: deflection exceeds allowable. ","")))</f>
        <v/>
      </c>
      <c r="AR157" s="9"/>
      <c r="AS157" s="9"/>
      <c r="AT157" s="9"/>
      <c r="AU157" s="9"/>
      <c r="AV157" s="9"/>
      <c r="AW157" s="31"/>
      <c r="AX157" s="10" t="str">
        <f aca="false">IF(C157="","",IF(AND(Y157="Approved",ISERROR(SEARCH("FAIL",AQ157))),"Y","N"))</f>
        <v/>
      </c>
      <c r="AY157" s="10" t="str">
        <f aca="false">IF(C157="","",C157&amp;"|"&amp;E157&amp;"|"&amp;F157&amp;"|"&amp;G157&amp;"|"&amp;D157&amp;"|"&amp;AX157)</f>
        <v/>
      </c>
    </row>
    <row r="158" customFormat="false" ht="15" hidden="false" customHeight="false" outlineLevel="0" collapsed="false">
      <c r="A158" s="10" t="str">
        <f aca="false">IF(C158="","","EW-"&amp;IFERROR(VLOOKUP(C158,Lists!$P$4:$Q$22,2,0),"??")&amp;"-D"&amp;TEXT(E158*1000,"0000")&amp;"-"&amp;IFERROR(VLOOKUP(F158,Lists!$S$4:$T$21,2,0),"??")&amp;"-"&amp;IFERROR(VLOOKUP(G158,Lists!$Y$4:$Z$21,2,0),"??")&amp;"-"&amp;IFERROR(VLOOKUP(D158,Lists!$V$4:$W$16,2,0),"??")&amp;"-"&amp;X158)</f>
        <v/>
      </c>
      <c r="B158" s="10" t="str">
        <f aca="false">IF(C158="","",D158&amp;" "&amp;C158&amp;", excavation "&amp;TEXT(E158,"0.0")&amp;" m, "&amp;F158&amp;", "&amp;G158&amp;", "&amp;J158)</f>
        <v/>
      </c>
      <c r="C158" s="9"/>
      <c r="D158" s="9"/>
      <c r="E158" s="43"/>
      <c r="F158" s="9"/>
      <c r="G158" s="9"/>
      <c r="H158" s="43"/>
      <c r="I158" s="40"/>
      <c r="J158" s="9"/>
      <c r="K158" s="9"/>
      <c r="L158" s="9"/>
      <c r="M158" s="43"/>
      <c r="N158" s="43"/>
      <c r="O158" s="9"/>
      <c r="P158" s="9"/>
      <c r="Q158" s="9"/>
      <c r="R158" s="9"/>
      <c r="S158" s="40"/>
      <c r="T158" s="40"/>
      <c r="U158" s="9"/>
      <c r="V158" s="9"/>
      <c r="W158" s="9"/>
      <c r="X158" s="9"/>
      <c r="Y158" s="9"/>
      <c r="Z158" s="9"/>
      <c r="AA158" s="9"/>
      <c r="AB158" s="9"/>
      <c r="AC158" s="10" t="str">
        <f aca="false">IF(A158="","",SG_Criteria!$B$6&amp;SG_Criteria!$B$9&amp;"\"&amp;A158&amp;"\")</f>
        <v/>
      </c>
      <c r="AD158" s="10" t="str">
        <f aca="false">IF(A158="","",A158&amp;"_CAD.dwg")</f>
        <v/>
      </c>
      <c r="AE158" s="10" t="str">
        <f aca="false">IF(A158="","",A158&amp;"_DWG.pdf")</f>
        <v/>
      </c>
      <c r="AF158" s="10" t="str">
        <f aca="false">IF(A158="","",IF(AB158="Y",A158&amp;"_STAAD.std","n/a"))</f>
        <v/>
      </c>
      <c r="AG158" s="10" t="str">
        <f aca="false">IF(A158="","",A158&amp;"_CALC.xlsx")</f>
        <v/>
      </c>
      <c r="AH158" s="10" t="str">
        <f aca="false">IF(A158="","",A158&amp;"_CALC.pdf")</f>
        <v/>
      </c>
      <c r="AI158" s="9"/>
      <c r="AJ158" s="9"/>
      <c r="AK158" s="41"/>
      <c r="AL158" s="41"/>
      <c r="AM158" s="41"/>
      <c r="AN158" s="41"/>
      <c r="AO158" s="41"/>
      <c r="AP158" s="38" t="str">
        <f aca="false">IF(OR(C158="",E158=""),"",IF(E158&lt;=IF(C158="Soldier Pile &amp; Timber Lagging",SG_Criteria!$B$34,SG_Criteria!$B$33),"No ERSS submission",IF(E158&lt;=SG_Criteria!$B$35,"QP(ST)",IF(E158&lt;=SG_Criteria!$B$36,"QP(ST) + AC","Geotechnical building works: QP(Geo) + AC"))))</f>
        <v/>
      </c>
      <c r="AQ158" s="38" t="str">
        <f aca="false">IF(C158="","",IF(LEN(IF(AND(U158&lt;&gt;"",IFERROR(VALUE(MID(U158,2,2)),0)&lt;SG_Criteria!$B$19),"FAIL: grade below C"&amp;SG_Criteria!$B$19&amp;". ","")&amp;IF(AND(LEFT(C158,3)="Con",N(H158)&lt;E158,G158="Kallang Formation (marine clay)"),"NOTE: CBP is not watertight below GWT in marine clay; consider secant / grouting. ","")&amp;IF(AND(C158="Steel Sheet Pile",D158="Permanent"),"NOTE: permanent sheet pile needs corrosion allowance. ","")&amp;IF(AND(F158="Cantilever (no support)",E158&gt;6),"NOTE: cantilever embedded wall &gt; 6 m, check deflection. ","")&amp;IF(AND(S158&lt;&gt;"",T158&lt;&gt;"",S158&gt;T158),"FAIL: deflection exceeds allowable. ",""))=0,"OK",IF(AND(U158&lt;&gt;"",IFERROR(VALUE(MID(U158,2,2)),0)&lt;SG_Criteria!$B$19),"FAIL: grade below C"&amp;SG_Criteria!$B$19&amp;". ","")&amp;IF(AND(LEFT(C158,3)="Con",N(H158)&lt;E158,G158="Kallang Formation (marine clay)"),"NOTE: CBP is not watertight below GWT in marine clay; consider secant / grouting. ","")&amp;IF(AND(C158="Steel Sheet Pile",D158="Permanent"),"NOTE: permanent sheet pile needs corrosion allowance. ","")&amp;IF(AND(F158="Cantilever (no support)",E158&gt;6),"NOTE: cantilever embedded wall &gt; 6 m, check deflection. ","")&amp;IF(AND(S158&lt;&gt;"",T158&lt;&gt;"",S158&gt;T158),"FAIL: deflection exceeds allowable. ","")))</f>
        <v/>
      </c>
      <c r="AR158" s="9"/>
      <c r="AS158" s="9"/>
      <c r="AT158" s="9"/>
      <c r="AU158" s="9"/>
      <c r="AV158" s="9"/>
      <c r="AW158" s="31"/>
      <c r="AX158" s="10" t="str">
        <f aca="false">IF(C158="","",IF(AND(Y158="Approved",ISERROR(SEARCH("FAIL",AQ158))),"Y","N"))</f>
        <v/>
      </c>
      <c r="AY158" s="10" t="str">
        <f aca="false">IF(C158="","",C158&amp;"|"&amp;E158&amp;"|"&amp;F158&amp;"|"&amp;G158&amp;"|"&amp;D158&amp;"|"&amp;AX158)</f>
        <v/>
      </c>
    </row>
    <row r="159" customFormat="false" ht="15" hidden="false" customHeight="false" outlineLevel="0" collapsed="false">
      <c r="A159" s="10" t="str">
        <f aca="false">IF(C159="","","EW-"&amp;IFERROR(VLOOKUP(C159,Lists!$P$4:$Q$22,2,0),"??")&amp;"-D"&amp;TEXT(E159*1000,"0000")&amp;"-"&amp;IFERROR(VLOOKUP(F159,Lists!$S$4:$T$21,2,0),"??")&amp;"-"&amp;IFERROR(VLOOKUP(G159,Lists!$Y$4:$Z$21,2,0),"??")&amp;"-"&amp;IFERROR(VLOOKUP(D159,Lists!$V$4:$W$16,2,0),"??")&amp;"-"&amp;X159)</f>
        <v/>
      </c>
      <c r="B159" s="10" t="str">
        <f aca="false">IF(C159="","",D159&amp;" "&amp;C159&amp;", excavation "&amp;TEXT(E159,"0.0")&amp;" m, "&amp;F159&amp;", "&amp;G159&amp;", "&amp;J159)</f>
        <v/>
      </c>
      <c r="C159" s="9"/>
      <c r="D159" s="9"/>
      <c r="E159" s="43"/>
      <c r="F159" s="9"/>
      <c r="G159" s="9"/>
      <c r="H159" s="43"/>
      <c r="I159" s="40"/>
      <c r="J159" s="9"/>
      <c r="K159" s="9"/>
      <c r="L159" s="9"/>
      <c r="M159" s="43"/>
      <c r="N159" s="43"/>
      <c r="O159" s="9"/>
      <c r="P159" s="9"/>
      <c r="Q159" s="9"/>
      <c r="R159" s="9"/>
      <c r="S159" s="40"/>
      <c r="T159" s="40"/>
      <c r="U159" s="9"/>
      <c r="V159" s="9"/>
      <c r="W159" s="9"/>
      <c r="X159" s="9"/>
      <c r="Y159" s="9"/>
      <c r="Z159" s="9"/>
      <c r="AA159" s="9"/>
      <c r="AB159" s="9"/>
      <c r="AC159" s="10" t="str">
        <f aca="false">IF(A159="","",SG_Criteria!$B$6&amp;SG_Criteria!$B$9&amp;"\"&amp;A159&amp;"\")</f>
        <v/>
      </c>
      <c r="AD159" s="10" t="str">
        <f aca="false">IF(A159="","",A159&amp;"_CAD.dwg")</f>
        <v/>
      </c>
      <c r="AE159" s="10" t="str">
        <f aca="false">IF(A159="","",A159&amp;"_DWG.pdf")</f>
        <v/>
      </c>
      <c r="AF159" s="10" t="str">
        <f aca="false">IF(A159="","",IF(AB159="Y",A159&amp;"_STAAD.std","n/a"))</f>
        <v/>
      </c>
      <c r="AG159" s="10" t="str">
        <f aca="false">IF(A159="","",A159&amp;"_CALC.xlsx")</f>
        <v/>
      </c>
      <c r="AH159" s="10" t="str">
        <f aca="false">IF(A159="","",A159&amp;"_CALC.pdf")</f>
        <v/>
      </c>
      <c r="AI159" s="9"/>
      <c r="AJ159" s="9"/>
      <c r="AK159" s="41"/>
      <c r="AL159" s="41"/>
      <c r="AM159" s="41"/>
      <c r="AN159" s="41"/>
      <c r="AO159" s="41"/>
      <c r="AP159" s="38" t="str">
        <f aca="false">IF(OR(C159="",E159=""),"",IF(E159&lt;=IF(C159="Soldier Pile &amp; Timber Lagging",SG_Criteria!$B$34,SG_Criteria!$B$33),"No ERSS submission",IF(E159&lt;=SG_Criteria!$B$35,"QP(ST)",IF(E159&lt;=SG_Criteria!$B$36,"QP(ST) + AC","Geotechnical building works: QP(Geo) + AC"))))</f>
        <v/>
      </c>
      <c r="AQ159" s="38" t="str">
        <f aca="false">IF(C159="","",IF(LEN(IF(AND(U159&lt;&gt;"",IFERROR(VALUE(MID(U159,2,2)),0)&lt;SG_Criteria!$B$19),"FAIL: grade below C"&amp;SG_Criteria!$B$19&amp;". ","")&amp;IF(AND(LEFT(C159,3)="Con",N(H159)&lt;E159,G159="Kallang Formation (marine clay)"),"NOTE: CBP is not watertight below GWT in marine clay; consider secant / grouting. ","")&amp;IF(AND(C159="Steel Sheet Pile",D159="Permanent"),"NOTE: permanent sheet pile needs corrosion allowance. ","")&amp;IF(AND(F159="Cantilever (no support)",E159&gt;6),"NOTE: cantilever embedded wall &gt; 6 m, check deflection. ","")&amp;IF(AND(S159&lt;&gt;"",T159&lt;&gt;"",S159&gt;T159),"FAIL: deflection exceeds allowable. ",""))=0,"OK",IF(AND(U159&lt;&gt;"",IFERROR(VALUE(MID(U159,2,2)),0)&lt;SG_Criteria!$B$19),"FAIL: grade below C"&amp;SG_Criteria!$B$19&amp;". ","")&amp;IF(AND(LEFT(C159,3)="Con",N(H159)&lt;E159,G159="Kallang Formation (marine clay)"),"NOTE: CBP is not watertight below GWT in marine clay; consider secant / grouting. ","")&amp;IF(AND(C159="Steel Sheet Pile",D159="Permanent"),"NOTE: permanent sheet pile needs corrosion allowance. ","")&amp;IF(AND(F159="Cantilever (no support)",E159&gt;6),"NOTE: cantilever embedded wall &gt; 6 m, check deflection. ","")&amp;IF(AND(S159&lt;&gt;"",T159&lt;&gt;"",S159&gt;T159),"FAIL: deflection exceeds allowable. ","")))</f>
        <v/>
      </c>
      <c r="AR159" s="9"/>
      <c r="AS159" s="9"/>
      <c r="AT159" s="9"/>
      <c r="AU159" s="9"/>
      <c r="AV159" s="9"/>
      <c r="AW159" s="31"/>
      <c r="AX159" s="10" t="str">
        <f aca="false">IF(C159="","",IF(AND(Y159="Approved",ISERROR(SEARCH("FAIL",AQ159))),"Y","N"))</f>
        <v/>
      </c>
      <c r="AY159" s="10" t="str">
        <f aca="false">IF(C159="","",C159&amp;"|"&amp;E159&amp;"|"&amp;F159&amp;"|"&amp;G159&amp;"|"&amp;D159&amp;"|"&amp;AX159)</f>
        <v/>
      </c>
    </row>
    <row r="160" customFormat="false" ht="15" hidden="false" customHeight="false" outlineLevel="0" collapsed="false">
      <c r="A160" s="10" t="str">
        <f aca="false">IF(C160="","","EW-"&amp;IFERROR(VLOOKUP(C160,Lists!$P$4:$Q$22,2,0),"??")&amp;"-D"&amp;TEXT(E160*1000,"0000")&amp;"-"&amp;IFERROR(VLOOKUP(F160,Lists!$S$4:$T$21,2,0),"??")&amp;"-"&amp;IFERROR(VLOOKUP(G160,Lists!$Y$4:$Z$21,2,0),"??")&amp;"-"&amp;IFERROR(VLOOKUP(D160,Lists!$V$4:$W$16,2,0),"??")&amp;"-"&amp;X160)</f>
        <v/>
      </c>
      <c r="B160" s="10" t="str">
        <f aca="false">IF(C160="","",D160&amp;" "&amp;C160&amp;", excavation "&amp;TEXT(E160,"0.0")&amp;" m, "&amp;F160&amp;", "&amp;G160&amp;", "&amp;J160)</f>
        <v/>
      </c>
      <c r="C160" s="9"/>
      <c r="D160" s="9"/>
      <c r="E160" s="43"/>
      <c r="F160" s="9"/>
      <c r="G160" s="9"/>
      <c r="H160" s="43"/>
      <c r="I160" s="40"/>
      <c r="J160" s="9"/>
      <c r="K160" s="9"/>
      <c r="L160" s="9"/>
      <c r="M160" s="43"/>
      <c r="N160" s="43"/>
      <c r="O160" s="9"/>
      <c r="P160" s="9"/>
      <c r="Q160" s="9"/>
      <c r="R160" s="9"/>
      <c r="S160" s="40"/>
      <c r="T160" s="40"/>
      <c r="U160" s="9"/>
      <c r="V160" s="9"/>
      <c r="W160" s="9"/>
      <c r="X160" s="9"/>
      <c r="Y160" s="9"/>
      <c r="Z160" s="9"/>
      <c r="AA160" s="9"/>
      <c r="AB160" s="9"/>
      <c r="AC160" s="10" t="str">
        <f aca="false">IF(A160="","",SG_Criteria!$B$6&amp;SG_Criteria!$B$9&amp;"\"&amp;A160&amp;"\")</f>
        <v/>
      </c>
      <c r="AD160" s="10" t="str">
        <f aca="false">IF(A160="","",A160&amp;"_CAD.dwg")</f>
        <v/>
      </c>
      <c r="AE160" s="10" t="str">
        <f aca="false">IF(A160="","",A160&amp;"_DWG.pdf")</f>
        <v/>
      </c>
      <c r="AF160" s="10" t="str">
        <f aca="false">IF(A160="","",IF(AB160="Y",A160&amp;"_STAAD.std","n/a"))</f>
        <v/>
      </c>
      <c r="AG160" s="10" t="str">
        <f aca="false">IF(A160="","",A160&amp;"_CALC.xlsx")</f>
        <v/>
      </c>
      <c r="AH160" s="10" t="str">
        <f aca="false">IF(A160="","",A160&amp;"_CALC.pdf")</f>
        <v/>
      </c>
      <c r="AI160" s="9"/>
      <c r="AJ160" s="9"/>
      <c r="AK160" s="41"/>
      <c r="AL160" s="41"/>
      <c r="AM160" s="41"/>
      <c r="AN160" s="41"/>
      <c r="AO160" s="41"/>
      <c r="AP160" s="38" t="str">
        <f aca="false">IF(OR(C160="",E160=""),"",IF(E160&lt;=IF(C160="Soldier Pile &amp; Timber Lagging",SG_Criteria!$B$34,SG_Criteria!$B$33),"No ERSS submission",IF(E160&lt;=SG_Criteria!$B$35,"QP(ST)",IF(E160&lt;=SG_Criteria!$B$36,"QP(ST) + AC","Geotechnical building works: QP(Geo) + AC"))))</f>
        <v/>
      </c>
      <c r="AQ160" s="38" t="str">
        <f aca="false">IF(C160="","",IF(LEN(IF(AND(U160&lt;&gt;"",IFERROR(VALUE(MID(U160,2,2)),0)&lt;SG_Criteria!$B$19),"FAIL: grade below C"&amp;SG_Criteria!$B$19&amp;". ","")&amp;IF(AND(LEFT(C160,3)="Con",N(H160)&lt;E160,G160="Kallang Formation (marine clay)"),"NOTE: CBP is not watertight below GWT in marine clay; consider secant / grouting. ","")&amp;IF(AND(C160="Steel Sheet Pile",D160="Permanent"),"NOTE: permanent sheet pile needs corrosion allowance. ","")&amp;IF(AND(F160="Cantilever (no support)",E160&gt;6),"NOTE: cantilever embedded wall &gt; 6 m, check deflection. ","")&amp;IF(AND(S160&lt;&gt;"",T160&lt;&gt;"",S160&gt;T160),"FAIL: deflection exceeds allowable. ",""))=0,"OK",IF(AND(U160&lt;&gt;"",IFERROR(VALUE(MID(U160,2,2)),0)&lt;SG_Criteria!$B$19),"FAIL: grade below C"&amp;SG_Criteria!$B$19&amp;". ","")&amp;IF(AND(LEFT(C160,3)="Con",N(H160)&lt;E160,G160="Kallang Formation (marine clay)"),"NOTE: CBP is not watertight below GWT in marine clay; consider secant / grouting. ","")&amp;IF(AND(C160="Steel Sheet Pile",D160="Permanent"),"NOTE: permanent sheet pile needs corrosion allowance. ","")&amp;IF(AND(F160="Cantilever (no support)",E160&gt;6),"NOTE: cantilever embedded wall &gt; 6 m, check deflection. ","")&amp;IF(AND(S160&lt;&gt;"",T160&lt;&gt;"",S160&gt;T160),"FAIL: deflection exceeds allowable. ","")))</f>
        <v/>
      </c>
      <c r="AR160" s="9"/>
      <c r="AS160" s="9"/>
      <c r="AT160" s="9"/>
      <c r="AU160" s="9"/>
      <c r="AV160" s="9"/>
      <c r="AW160" s="31"/>
      <c r="AX160" s="10" t="str">
        <f aca="false">IF(C160="","",IF(AND(Y160="Approved",ISERROR(SEARCH("FAIL",AQ160))),"Y","N"))</f>
        <v/>
      </c>
      <c r="AY160" s="10" t="str">
        <f aca="false">IF(C160="","",C160&amp;"|"&amp;E160&amp;"|"&amp;F160&amp;"|"&amp;G160&amp;"|"&amp;D160&amp;"|"&amp;AX160)</f>
        <v/>
      </c>
    </row>
    <row r="161" customFormat="false" ht="15" hidden="false" customHeight="false" outlineLevel="0" collapsed="false">
      <c r="A161" s="10" t="str">
        <f aca="false">IF(C161="","","EW-"&amp;IFERROR(VLOOKUP(C161,Lists!$P$4:$Q$22,2,0),"??")&amp;"-D"&amp;TEXT(E161*1000,"0000")&amp;"-"&amp;IFERROR(VLOOKUP(F161,Lists!$S$4:$T$21,2,0),"??")&amp;"-"&amp;IFERROR(VLOOKUP(G161,Lists!$Y$4:$Z$21,2,0),"??")&amp;"-"&amp;IFERROR(VLOOKUP(D161,Lists!$V$4:$W$16,2,0),"??")&amp;"-"&amp;X161)</f>
        <v/>
      </c>
      <c r="B161" s="10" t="str">
        <f aca="false">IF(C161="","",D161&amp;" "&amp;C161&amp;", excavation "&amp;TEXT(E161,"0.0")&amp;" m, "&amp;F161&amp;", "&amp;G161&amp;", "&amp;J161)</f>
        <v/>
      </c>
      <c r="C161" s="9"/>
      <c r="D161" s="9"/>
      <c r="E161" s="43"/>
      <c r="F161" s="9"/>
      <c r="G161" s="9"/>
      <c r="H161" s="43"/>
      <c r="I161" s="40"/>
      <c r="J161" s="9"/>
      <c r="K161" s="9"/>
      <c r="L161" s="9"/>
      <c r="M161" s="43"/>
      <c r="N161" s="43"/>
      <c r="O161" s="9"/>
      <c r="P161" s="9"/>
      <c r="Q161" s="9"/>
      <c r="R161" s="9"/>
      <c r="S161" s="40"/>
      <c r="T161" s="40"/>
      <c r="U161" s="9"/>
      <c r="V161" s="9"/>
      <c r="W161" s="9"/>
      <c r="X161" s="9"/>
      <c r="Y161" s="9"/>
      <c r="Z161" s="9"/>
      <c r="AA161" s="9"/>
      <c r="AB161" s="9"/>
      <c r="AC161" s="10" t="str">
        <f aca="false">IF(A161="","",SG_Criteria!$B$6&amp;SG_Criteria!$B$9&amp;"\"&amp;A161&amp;"\")</f>
        <v/>
      </c>
      <c r="AD161" s="10" t="str">
        <f aca="false">IF(A161="","",A161&amp;"_CAD.dwg")</f>
        <v/>
      </c>
      <c r="AE161" s="10" t="str">
        <f aca="false">IF(A161="","",A161&amp;"_DWG.pdf")</f>
        <v/>
      </c>
      <c r="AF161" s="10" t="str">
        <f aca="false">IF(A161="","",IF(AB161="Y",A161&amp;"_STAAD.std","n/a"))</f>
        <v/>
      </c>
      <c r="AG161" s="10" t="str">
        <f aca="false">IF(A161="","",A161&amp;"_CALC.xlsx")</f>
        <v/>
      </c>
      <c r="AH161" s="10" t="str">
        <f aca="false">IF(A161="","",A161&amp;"_CALC.pdf")</f>
        <v/>
      </c>
      <c r="AI161" s="9"/>
      <c r="AJ161" s="9"/>
      <c r="AK161" s="41"/>
      <c r="AL161" s="41"/>
      <c r="AM161" s="41"/>
      <c r="AN161" s="41"/>
      <c r="AO161" s="41"/>
      <c r="AP161" s="38" t="str">
        <f aca="false">IF(OR(C161="",E161=""),"",IF(E161&lt;=IF(C161="Soldier Pile &amp; Timber Lagging",SG_Criteria!$B$34,SG_Criteria!$B$33),"No ERSS submission",IF(E161&lt;=SG_Criteria!$B$35,"QP(ST)",IF(E161&lt;=SG_Criteria!$B$36,"QP(ST) + AC","Geotechnical building works: QP(Geo) + AC"))))</f>
        <v/>
      </c>
      <c r="AQ161" s="38" t="str">
        <f aca="false">IF(C161="","",IF(LEN(IF(AND(U161&lt;&gt;"",IFERROR(VALUE(MID(U161,2,2)),0)&lt;SG_Criteria!$B$19),"FAIL: grade below C"&amp;SG_Criteria!$B$19&amp;". ","")&amp;IF(AND(LEFT(C161,3)="Con",N(H161)&lt;E161,G161="Kallang Formation (marine clay)"),"NOTE: CBP is not watertight below GWT in marine clay; consider secant / grouting. ","")&amp;IF(AND(C161="Steel Sheet Pile",D161="Permanent"),"NOTE: permanent sheet pile needs corrosion allowance. ","")&amp;IF(AND(F161="Cantilever (no support)",E161&gt;6),"NOTE: cantilever embedded wall &gt; 6 m, check deflection. ","")&amp;IF(AND(S161&lt;&gt;"",T161&lt;&gt;"",S161&gt;T161),"FAIL: deflection exceeds allowable. ",""))=0,"OK",IF(AND(U161&lt;&gt;"",IFERROR(VALUE(MID(U161,2,2)),0)&lt;SG_Criteria!$B$19),"FAIL: grade below C"&amp;SG_Criteria!$B$19&amp;". ","")&amp;IF(AND(LEFT(C161,3)="Con",N(H161)&lt;E161,G161="Kallang Formation (marine clay)"),"NOTE: CBP is not watertight below GWT in marine clay; consider secant / grouting. ","")&amp;IF(AND(C161="Steel Sheet Pile",D161="Permanent"),"NOTE: permanent sheet pile needs corrosion allowance. ","")&amp;IF(AND(F161="Cantilever (no support)",E161&gt;6),"NOTE: cantilever embedded wall &gt; 6 m, check deflection. ","")&amp;IF(AND(S161&lt;&gt;"",T161&lt;&gt;"",S161&gt;T161),"FAIL: deflection exceeds allowable. ","")))</f>
        <v/>
      </c>
      <c r="AR161" s="9"/>
      <c r="AS161" s="9"/>
      <c r="AT161" s="9"/>
      <c r="AU161" s="9"/>
      <c r="AV161" s="9"/>
      <c r="AW161" s="31"/>
      <c r="AX161" s="10" t="str">
        <f aca="false">IF(C161="","",IF(AND(Y161="Approved",ISERROR(SEARCH("FAIL",AQ161))),"Y","N"))</f>
        <v/>
      </c>
      <c r="AY161" s="10" t="str">
        <f aca="false">IF(C161="","",C161&amp;"|"&amp;E161&amp;"|"&amp;F161&amp;"|"&amp;G161&amp;"|"&amp;D161&amp;"|"&amp;AX161)</f>
        <v/>
      </c>
    </row>
    <row r="162" customFormat="false" ht="15" hidden="false" customHeight="false" outlineLevel="0" collapsed="false">
      <c r="A162" s="10" t="str">
        <f aca="false">IF(C162="","","EW-"&amp;IFERROR(VLOOKUP(C162,Lists!$P$4:$Q$22,2,0),"??")&amp;"-D"&amp;TEXT(E162*1000,"0000")&amp;"-"&amp;IFERROR(VLOOKUP(F162,Lists!$S$4:$T$21,2,0),"??")&amp;"-"&amp;IFERROR(VLOOKUP(G162,Lists!$Y$4:$Z$21,2,0),"??")&amp;"-"&amp;IFERROR(VLOOKUP(D162,Lists!$V$4:$W$16,2,0),"??")&amp;"-"&amp;X162)</f>
        <v/>
      </c>
      <c r="B162" s="10" t="str">
        <f aca="false">IF(C162="","",D162&amp;" "&amp;C162&amp;", excavation "&amp;TEXT(E162,"0.0")&amp;" m, "&amp;F162&amp;", "&amp;G162&amp;", "&amp;J162)</f>
        <v/>
      </c>
      <c r="C162" s="9"/>
      <c r="D162" s="9"/>
      <c r="E162" s="43"/>
      <c r="F162" s="9"/>
      <c r="G162" s="9"/>
      <c r="H162" s="43"/>
      <c r="I162" s="40"/>
      <c r="J162" s="9"/>
      <c r="K162" s="9"/>
      <c r="L162" s="9"/>
      <c r="M162" s="43"/>
      <c r="N162" s="43"/>
      <c r="O162" s="9"/>
      <c r="P162" s="9"/>
      <c r="Q162" s="9"/>
      <c r="R162" s="9"/>
      <c r="S162" s="40"/>
      <c r="T162" s="40"/>
      <c r="U162" s="9"/>
      <c r="V162" s="9"/>
      <c r="W162" s="9"/>
      <c r="X162" s="9"/>
      <c r="Y162" s="9"/>
      <c r="Z162" s="9"/>
      <c r="AA162" s="9"/>
      <c r="AB162" s="9"/>
      <c r="AC162" s="10" t="str">
        <f aca="false">IF(A162="","",SG_Criteria!$B$6&amp;SG_Criteria!$B$9&amp;"\"&amp;A162&amp;"\")</f>
        <v/>
      </c>
      <c r="AD162" s="10" t="str">
        <f aca="false">IF(A162="","",A162&amp;"_CAD.dwg")</f>
        <v/>
      </c>
      <c r="AE162" s="10" t="str">
        <f aca="false">IF(A162="","",A162&amp;"_DWG.pdf")</f>
        <v/>
      </c>
      <c r="AF162" s="10" t="str">
        <f aca="false">IF(A162="","",IF(AB162="Y",A162&amp;"_STAAD.std","n/a"))</f>
        <v/>
      </c>
      <c r="AG162" s="10" t="str">
        <f aca="false">IF(A162="","",A162&amp;"_CALC.xlsx")</f>
        <v/>
      </c>
      <c r="AH162" s="10" t="str">
        <f aca="false">IF(A162="","",A162&amp;"_CALC.pdf")</f>
        <v/>
      </c>
      <c r="AI162" s="9"/>
      <c r="AJ162" s="9"/>
      <c r="AK162" s="41"/>
      <c r="AL162" s="41"/>
      <c r="AM162" s="41"/>
      <c r="AN162" s="41"/>
      <c r="AO162" s="41"/>
      <c r="AP162" s="38" t="str">
        <f aca="false">IF(OR(C162="",E162=""),"",IF(E162&lt;=IF(C162="Soldier Pile &amp; Timber Lagging",SG_Criteria!$B$34,SG_Criteria!$B$33),"No ERSS submission",IF(E162&lt;=SG_Criteria!$B$35,"QP(ST)",IF(E162&lt;=SG_Criteria!$B$36,"QP(ST) + AC","Geotechnical building works: QP(Geo) + AC"))))</f>
        <v/>
      </c>
      <c r="AQ162" s="38" t="str">
        <f aca="false">IF(C162="","",IF(LEN(IF(AND(U162&lt;&gt;"",IFERROR(VALUE(MID(U162,2,2)),0)&lt;SG_Criteria!$B$19),"FAIL: grade below C"&amp;SG_Criteria!$B$19&amp;". ","")&amp;IF(AND(LEFT(C162,3)="Con",N(H162)&lt;E162,G162="Kallang Formation (marine clay)"),"NOTE: CBP is not watertight below GWT in marine clay; consider secant / grouting. ","")&amp;IF(AND(C162="Steel Sheet Pile",D162="Permanent"),"NOTE: permanent sheet pile needs corrosion allowance. ","")&amp;IF(AND(F162="Cantilever (no support)",E162&gt;6),"NOTE: cantilever embedded wall &gt; 6 m, check deflection. ","")&amp;IF(AND(S162&lt;&gt;"",T162&lt;&gt;"",S162&gt;T162),"FAIL: deflection exceeds allowable. ",""))=0,"OK",IF(AND(U162&lt;&gt;"",IFERROR(VALUE(MID(U162,2,2)),0)&lt;SG_Criteria!$B$19),"FAIL: grade below C"&amp;SG_Criteria!$B$19&amp;". ","")&amp;IF(AND(LEFT(C162,3)="Con",N(H162)&lt;E162,G162="Kallang Formation (marine clay)"),"NOTE: CBP is not watertight below GWT in marine clay; consider secant / grouting. ","")&amp;IF(AND(C162="Steel Sheet Pile",D162="Permanent"),"NOTE: permanent sheet pile needs corrosion allowance. ","")&amp;IF(AND(F162="Cantilever (no support)",E162&gt;6),"NOTE: cantilever embedded wall &gt; 6 m, check deflection. ","")&amp;IF(AND(S162&lt;&gt;"",T162&lt;&gt;"",S162&gt;T162),"FAIL: deflection exceeds allowable. ","")))</f>
        <v/>
      </c>
      <c r="AR162" s="9"/>
      <c r="AS162" s="9"/>
      <c r="AT162" s="9"/>
      <c r="AU162" s="9"/>
      <c r="AV162" s="9"/>
      <c r="AW162" s="31"/>
      <c r="AX162" s="10" t="str">
        <f aca="false">IF(C162="","",IF(AND(Y162="Approved",ISERROR(SEARCH("FAIL",AQ162))),"Y","N"))</f>
        <v/>
      </c>
      <c r="AY162" s="10" t="str">
        <f aca="false">IF(C162="","",C162&amp;"|"&amp;E162&amp;"|"&amp;F162&amp;"|"&amp;G162&amp;"|"&amp;D162&amp;"|"&amp;AX162)</f>
        <v/>
      </c>
    </row>
    <row r="163" customFormat="false" ht="15" hidden="false" customHeight="false" outlineLevel="0" collapsed="false">
      <c r="A163" s="10" t="str">
        <f aca="false">IF(C163="","","EW-"&amp;IFERROR(VLOOKUP(C163,Lists!$P$4:$Q$22,2,0),"??")&amp;"-D"&amp;TEXT(E163*1000,"0000")&amp;"-"&amp;IFERROR(VLOOKUP(F163,Lists!$S$4:$T$21,2,0),"??")&amp;"-"&amp;IFERROR(VLOOKUP(G163,Lists!$Y$4:$Z$21,2,0),"??")&amp;"-"&amp;IFERROR(VLOOKUP(D163,Lists!$V$4:$W$16,2,0),"??")&amp;"-"&amp;X163)</f>
        <v/>
      </c>
      <c r="B163" s="10" t="str">
        <f aca="false">IF(C163="","",D163&amp;" "&amp;C163&amp;", excavation "&amp;TEXT(E163,"0.0")&amp;" m, "&amp;F163&amp;", "&amp;G163&amp;", "&amp;J163)</f>
        <v/>
      </c>
      <c r="C163" s="9"/>
      <c r="D163" s="9"/>
      <c r="E163" s="43"/>
      <c r="F163" s="9"/>
      <c r="G163" s="9"/>
      <c r="H163" s="43"/>
      <c r="I163" s="40"/>
      <c r="J163" s="9"/>
      <c r="K163" s="9"/>
      <c r="L163" s="9"/>
      <c r="M163" s="43"/>
      <c r="N163" s="43"/>
      <c r="O163" s="9"/>
      <c r="P163" s="9"/>
      <c r="Q163" s="9"/>
      <c r="R163" s="9"/>
      <c r="S163" s="40"/>
      <c r="T163" s="40"/>
      <c r="U163" s="9"/>
      <c r="V163" s="9"/>
      <c r="W163" s="9"/>
      <c r="X163" s="9"/>
      <c r="Y163" s="9"/>
      <c r="Z163" s="9"/>
      <c r="AA163" s="9"/>
      <c r="AB163" s="9"/>
      <c r="AC163" s="10" t="str">
        <f aca="false">IF(A163="","",SG_Criteria!$B$6&amp;SG_Criteria!$B$9&amp;"\"&amp;A163&amp;"\")</f>
        <v/>
      </c>
      <c r="AD163" s="10" t="str">
        <f aca="false">IF(A163="","",A163&amp;"_CAD.dwg")</f>
        <v/>
      </c>
      <c r="AE163" s="10" t="str">
        <f aca="false">IF(A163="","",A163&amp;"_DWG.pdf")</f>
        <v/>
      </c>
      <c r="AF163" s="10" t="str">
        <f aca="false">IF(A163="","",IF(AB163="Y",A163&amp;"_STAAD.std","n/a"))</f>
        <v/>
      </c>
      <c r="AG163" s="10" t="str">
        <f aca="false">IF(A163="","",A163&amp;"_CALC.xlsx")</f>
        <v/>
      </c>
      <c r="AH163" s="10" t="str">
        <f aca="false">IF(A163="","",A163&amp;"_CALC.pdf")</f>
        <v/>
      </c>
      <c r="AI163" s="9"/>
      <c r="AJ163" s="9"/>
      <c r="AK163" s="41"/>
      <c r="AL163" s="41"/>
      <c r="AM163" s="41"/>
      <c r="AN163" s="41"/>
      <c r="AO163" s="41"/>
      <c r="AP163" s="38" t="str">
        <f aca="false">IF(OR(C163="",E163=""),"",IF(E163&lt;=IF(C163="Soldier Pile &amp; Timber Lagging",SG_Criteria!$B$34,SG_Criteria!$B$33),"No ERSS submission",IF(E163&lt;=SG_Criteria!$B$35,"QP(ST)",IF(E163&lt;=SG_Criteria!$B$36,"QP(ST) + AC","Geotechnical building works: QP(Geo) + AC"))))</f>
        <v/>
      </c>
      <c r="AQ163" s="38" t="str">
        <f aca="false">IF(C163="","",IF(LEN(IF(AND(U163&lt;&gt;"",IFERROR(VALUE(MID(U163,2,2)),0)&lt;SG_Criteria!$B$19),"FAIL: grade below C"&amp;SG_Criteria!$B$19&amp;". ","")&amp;IF(AND(LEFT(C163,3)="Con",N(H163)&lt;E163,G163="Kallang Formation (marine clay)"),"NOTE: CBP is not watertight below GWT in marine clay; consider secant / grouting. ","")&amp;IF(AND(C163="Steel Sheet Pile",D163="Permanent"),"NOTE: permanent sheet pile needs corrosion allowance. ","")&amp;IF(AND(F163="Cantilever (no support)",E163&gt;6),"NOTE: cantilever embedded wall &gt; 6 m, check deflection. ","")&amp;IF(AND(S163&lt;&gt;"",T163&lt;&gt;"",S163&gt;T163),"FAIL: deflection exceeds allowable. ",""))=0,"OK",IF(AND(U163&lt;&gt;"",IFERROR(VALUE(MID(U163,2,2)),0)&lt;SG_Criteria!$B$19),"FAIL: grade below C"&amp;SG_Criteria!$B$19&amp;". ","")&amp;IF(AND(LEFT(C163,3)="Con",N(H163)&lt;E163,G163="Kallang Formation (marine clay)"),"NOTE: CBP is not watertight below GWT in marine clay; consider secant / grouting. ","")&amp;IF(AND(C163="Steel Sheet Pile",D163="Permanent"),"NOTE: permanent sheet pile needs corrosion allowance. ","")&amp;IF(AND(F163="Cantilever (no support)",E163&gt;6),"NOTE: cantilever embedded wall &gt; 6 m, check deflection. ","")&amp;IF(AND(S163&lt;&gt;"",T163&lt;&gt;"",S163&gt;T163),"FAIL: deflection exceeds allowable. ","")))</f>
        <v/>
      </c>
      <c r="AR163" s="9"/>
      <c r="AS163" s="9"/>
      <c r="AT163" s="9"/>
      <c r="AU163" s="9"/>
      <c r="AV163" s="9"/>
      <c r="AW163" s="31"/>
      <c r="AX163" s="10" t="str">
        <f aca="false">IF(C163="","",IF(AND(Y163="Approved",ISERROR(SEARCH("FAIL",AQ163))),"Y","N"))</f>
        <v/>
      </c>
      <c r="AY163" s="10" t="str">
        <f aca="false">IF(C163="","",C163&amp;"|"&amp;E163&amp;"|"&amp;F163&amp;"|"&amp;G163&amp;"|"&amp;D163&amp;"|"&amp;AX163)</f>
        <v/>
      </c>
    </row>
    <row r="164" customFormat="false" ht="15" hidden="false" customHeight="false" outlineLevel="0" collapsed="false">
      <c r="A164" s="10" t="str">
        <f aca="false">IF(C164="","","EW-"&amp;IFERROR(VLOOKUP(C164,Lists!$P$4:$Q$22,2,0),"??")&amp;"-D"&amp;TEXT(E164*1000,"0000")&amp;"-"&amp;IFERROR(VLOOKUP(F164,Lists!$S$4:$T$21,2,0),"??")&amp;"-"&amp;IFERROR(VLOOKUP(G164,Lists!$Y$4:$Z$21,2,0),"??")&amp;"-"&amp;IFERROR(VLOOKUP(D164,Lists!$V$4:$W$16,2,0),"??")&amp;"-"&amp;X164)</f>
        <v/>
      </c>
      <c r="B164" s="10" t="str">
        <f aca="false">IF(C164="","",D164&amp;" "&amp;C164&amp;", excavation "&amp;TEXT(E164,"0.0")&amp;" m, "&amp;F164&amp;", "&amp;G164&amp;", "&amp;J164)</f>
        <v/>
      </c>
      <c r="C164" s="9"/>
      <c r="D164" s="9"/>
      <c r="E164" s="43"/>
      <c r="F164" s="9"/>
      <c r="G164" s="9"/>
      <c r="H164" s="43"/>
      <c r="I164" s="40"/>
      <c r="J164" s="9"/>
      <c r="K164" s="9"/>
      <c r="L164" s="9"/>
      <c r="M164" s="43"/>
      <c r="N164" s="43"/>
      <c r="O164" s="9"/>
      <c r="P164" s="9"/>
      <c r="Q164" s="9"/>
      <c r="R164" s="9"/>
      <c r="S164" s="40"/>
      <c r="T164" s="40"/>
      <c r="U164" s="9"/>
      <c r="V164" s="9"/>
      <c r="W164" s="9"/>
      <c r="X164" s="9"/>
      <c r="Y164" s="9"/>
      <c r="Z164" s="9"/>
      <c r="AA164" s="9"/>
      <c r="AB164" s="9"/>
      <c r="AC164" s="10" t="str">
        <f aca="false">IF(A164="","",SG_Criteria!$B$6&amp;SG_Criteria!$B$9&amp;"\"&amp;A164&amp;"\")</f>
        <v/>
      </c>
      <c r="AD164" s="10" t="str">
        <f aca="false">IF(A164="","",A164&amp;"_CAD.dwg")</f>
        <v/>
      </c>
      <c r="AE164" s="10" t="str">
        <f aca="false">IF(A164="","",A164&amp;"_DWG.pdf")</f>
        <v/>
      </c>
      <c r="AF164" s="10" t="str">
        <f aca="false">IF(A164="","",IF(AB164="Y",A164&amp;"_STAAD.std","n/a"))</f>
        <v/>
      </c>
      <c r="AG164" s="10" t="str">
        <f aca="false">IF(A164="","",A164&amp;"_CALC.xlsx")</f>
        <v/>
      </c>
      <c r="AH164" s="10" t="str">
        <f aca="false">IF(A164="","",A164&amp;"_CALC.pdf")</f>
        <v/>
      </c>
      <c r="AI164" s="9"/>
      <c r="AJ164" s="9"/>
      <c r="AK164" s="41"/>
      <c r="AL164" s="41"/>
      <c r="AM164" s="41"/>
      <c r="AN164" s="41"/>
      <c r="AO164" s="41"/>
      <c r="AP164" s="38" t="str">
        <f aca="false">IF(OR(C164="",E164=""),"",IF(E164&lt;=IF(C164="Soldier Pile &amp; Timber Lagging",SG_Criteria!$B$34,SG_Criteria!$B$33),"No ERSS submission",IF(E164&lt;=SG_Criteria!$B$35,"QP(ST)",IF(E164&lt;=SG_Criteria!$B$36,"QP(ST) + AC","Geotechnical building works: QP(Geo) + AC"))))</f>
        <v/>
      </c>
      <c r="AQ164" s="38" t="str">
        <f aca="false">IF(C164="","",IF(LEN(IF(AND(U164&lt;&gt;"",IFERROR(VALUE(MID(U164,2,2)),0)&lt;SG_Criteria!$B$19),"FAIL: grade below C"&amp;SG_Criteria!$B$19&amp;". ","")&amp;IF(AND(LEFT(C164,3)="Con",N(H164)&lt;E164,G164="Kallang Formation (marine clay)"),"NOTE: CBP is not watertight below GWT in marine clay; consider secant / grouting. ","")&amp;IF(AND(C164="Steel Sheet Pile",D164="Permanent"),"NOTE: permanent sheet pile needs corrosion allowance. ","")&amp;IF(AND(F164="Cantilever (no support)",E164&gt;6),"NOTE: cantilever embedded wall &gt; 6 m, check deflection. ","")&amp;IF(AND(S164&lt;&gt;"",T164&lt;&gt;"",S164&gt;T164),"FAIL: deflection exceeds allowable. ",""))=0,"OK",IF(AND(U164&lt;&gt;"",IFERROR(VALUE(MID(U164,2,2)),0)&lt;SG_Criteria!$B$19),"FAIL: grade below C"&amp;SG_Criteria!$B$19&amp;". ","")&amp;IF(AND(LEFT(C164,3)="Con",N(H164)&lt;E164,G164="Kallang Formation (marine clay)"),"NOTE: CBP is not watertight below GWT in marine clay; consider secant / grouting. ","")&amp;IF(AND(C164="Steel Sheet Pile",D164="Permanent"),"NOTE: permanent sheet pile needs corrosion allowance. ","")&amp;IF(AND(F164="Cantilever (no support)",E164&gt;6),"NOTE: cantilever embedded wall &gt; 6 m, check deflection. ","")&amp;IF(AND(S164&lt;&gt;"",T164&lt;&gt;"",S164&gt;T164),"FAIL: deflection exceeds allowable. ","")))</f>
        <v/>
      </c>
      <c r="AR164" s="9"/>
      <c r="AS164" s="9"/>
      <c r="AT164" s="9"/>
      <c r="AU164" s="9"/>
      <c r="AV164" s="9"/>
      <c r="AW164" s="31"/>
      <c r="AX164" s="10" t="str">
        <f aca="false">IF(C164="","",IF(AND(Y164="Approved",ISERROR(SEARCH("FAIL",AQ164))),"Y","N"))</f>
        <v/>
      </c>
      <c r="AY164" s="10" t="str">
        <f aca="false">IF(C164="","",C164&amp;"|"&amp;E164&amp;"|"&amp;F164&amp;"|"&amp;G164&amp;"|"&amp;D164&amp;"|"&amp;AX164)</f>
        <v/>
      </c>
    </row>
    <row r="165" customFormat="false" ht="15" hidden="false" customHeight="false" outlineLevel="0" collapsed="false">
      <c r="A165" s="10" t="str">
        <f aca="false">IF(C165="","","EW-"&amp;IFERROR(VLOOKUP(C165,Lists!$P$4:$Q$22,2,0),"??")&amp;"-D"&amp;TEXT(E165*1000,"0000")&amp;"-"&amp;IFERROR(VLOOKUP(F165,Lists!$S$4:$T$21,2,0),"??")&amp;"-"&amp;IFERROR(VLOOKUP(G165,Lists!$Y$4:$Z$21,2,0),"??")&amp;"-"&amp;IFERROR(VLOOKUP(D165,Lists!$V$4:$W$16,2,0),"??")&amp;"-"&amp;X165)</f>
        <v/>
      </c>
      <c r="B165" s="10" t="str">
        <f aca="false">IF(C165="","",D165&amp;" "&amp;C165&amp;", excavation "&amp;TEXT(E165,"0.0")&amp;" m, "&amp;F165&amp;", "&amp;G165&amp;", "&amp;J165)</f>
        <v/>
      </c>
      <c r="C165" s="9"/>
      <c r="D165" s="9"/>
      <c r="E165" s="43"/>
      <c r="F165" s="9"/>
      <c r="G165" s="9"/>
      <c r="H165" s="43"/>
      <c r="I165" s="40"/>
      <c r="J165" s="9"/>
      <c r="K165" s="9"/>
      <c r="L165" s="9"/>
      <c r="M165" s="43"/>
      <c r="N165" s="43"/>
      <c r="O165" s="9"/>
      <c r="P165" s="9"/>
      <c r="Q165" s="9"/>
      <c r="R165" s="9"/>
      <c r="S165" s="40"/>
      <c r="T165" s="40"/>
      <c r="U165" s="9"/>
      <c r="V165" s="9"/>
      <c r="W165" s="9"/>
      <c r="X165" s="9"/>
      <c r="Y165" s="9"/>
      <c r="Z165" s="9"/>
      <c r="AA165" s="9"/>
      <c r="AB165" s="9"/>
      <c r="AC165" s="10" t="str">
        <f aca="false">IF(A165="","",SG_Criteria!$B$6&amp;SG_Criteria!$B$9&amp;"\"&amp;A165&amp;"\")</f>
        <v/>
      </c>
      <c r="AD165" s="10" t="str">
        <f aca="false">IF(A165="","",A165&amp;"_CAD.dwg")</f>
        <v/>
      </c>
      <c r="AE165" s="10" t="str">
        <f aca="false">IF(A165="","",A165&amp;"_DWG.pdf")</f>
        <v/>
      </c>
      <c r="AF165" s="10" t="str">
        <f aca="false">IF(A165="","",IF(AB165="Y",A165&amp;"_STAAD.std","n/a"))</f>
        <v/>
      </c>
      <c r="AG165" s="10" t="str">
        <f aca="false">IF(A165="","",A165&amp;"_CALC.xlsx")</f>
        <v/>
      </c>
      <c r="AH165" s="10" t="str">
        <f aca="false">IF(A165="","",A165&amp;"_CALC.pdf")</f>
        <v/>
      </c>
      <c r="AI165" s="9"/>
      <c r="AJ165" s="9"/>
      <c r="AK165" s="41"/>
      <c r="AL165" s="41"/>
      <c r="AM165" s="41"/>
      <c r="AN165" s="41"/>
      <c r="AO165" s="41"/>
      <c r="AP165" s="38" t="str">
        <f aca="false">IF(OR(C165="",E165=""),"",IF(E165&lt;=IF(C165="Soldier Pile &amp; Timber Lagging",SG_Criteria!$B$34,SG_Criteria!$B$33),"No ERSS submission",IF(E165&lt;=SG_Criteria!$B$35,"QP(ST)",IF(E165&lt;=SG_Criteria!$B$36,"QP(ST) + AC","Geotechnical building works: QP(Geo) + AC"))))</f>
        <v/>
      </c>
      <c r="AQ165" s="38" t="str">
        <f aca="false">IF(C165="","",IF(LEN(IF(AND(U165&lt;&gt;"",IFERROR(VALUE(MID(U165,2,2)),0)&lt;SG_Criteria!$B$19),"FAIL: grade below C"&amp;SG_Criteria!$B$19&amp;". ","")&amp;IF(AND(LEFT(C165,3)="Con",N(H165)&lt;E165,G165="Kallang Formation (marine clay)"),"NOTE: CBP is not watertight below GWT in marine clay; consider secant / grouting. ","")&amp;IF(AND(C165="Steel Sheet Pile",D165="Permanent"),"NOTE: permanent sheet pile needs corrosion allowance. ","")&amp;IF(AND(F165="Cantilever (no support)",E165&gt;6),"NOTE: cantilever embedded wall &gt; 6 m, check deflection. ","")&amp;IF(AND(S165&lt;&gt;"",T165&lt;&gt;"",S165&gt;T165),"FAIL: deflection exceeds allowable. ",""))=0,"OK",IF(AND(U165&lt;&gt;"",IFERROR(VALUE(MID(U165,2,2)),0)&lt;SG_Criteria!$B$19),"FAIL: grade below C"&amp;SG_Criteria!$B$19&amp;". ","")&amp;IF(AND(LEFT(C165,3)="Con",N(H165)&lt;E165,G165="Kallang Formation (marine clay)"),"NOTE: CBP is not watertight below GWT in marine clay; consider secant / grouting. ","")&amp;IF(AND(C165="Steel Sheet Pile",D165="Permanent"),"NOTE: permanent sheet pile needs corrosion allowance. ","")&amp;IF(AND(F165="Cantilever (no support)",E165&gt;6),"NOTE: cantilever embedded wall &gt; 6 m, check deflection. ","")&amp;IF(AND(S165&lt;&gt;"",T165&lt;&gt;"",S165&gt;T165),"FAIL: deflection exceeds allowable. ","")))</f>
        <v/>
      </c>
      <c r="AR165" s="9"/>
      <c r="AS165" s="9"/>
      <c r="AT165" s="9"/>
      <c r="AU165" s="9"/>
      <c r="AV165" s="9"/>
      <c r="AW165" s="31"/>
      <c r="AX165" s="10" t="str">
        <f aca="false">IF(C165="","",IF(AND(Y165="Approved",ISERROR(SEARCH("FAIL",AQ165))),"Y","N"))</f>
        <v/>
      </c>
      <c r="AY165" s="10" t="str">
        <f aca="false">IF(C165="","",C165&amp;"|"&amp;E165&amp;"|"&amp;F165&amp;"|"&amp;G165&amp;"|"&amp;D165&amp;"|"&amp;AX165)</f>
        <v/>
      </c>
    </row>
    <row r="166" customFormat="false" ht="15" hidden="false" customHeight="false" outlineLevel="0" collapsed="false">
      <c r="A166" s="10" t="str">
        <f aca="false">IF(C166="","","EW-"&amp;IFERROR(VLOOKUP(C166,Lists!$P$4:$Q$22,2,0),"??")&amp;"-D"&amp;TEXT(E166*1000,"0000")&amp;"-"&amp;IFERROR(VLOOKUP(F166,Lists!$S$4:$T$21,2,0),"??")&amp;"-"&amp;IFERROR(VLOOKUP(G166,Lists!$Y$4:$Z$21,2,0),"??")&amp;"-"&amp;IFERROR(VLOOKUP(D166,Lists!$V$4:$W$16,2,0),"??")&amp;"-"&amp;X166)</f>
        <v/>
      </c>
      <c r="B166" s="10" t="str">
        <f aca="false">IF(C166="","",D166&amp;" "&amp;C166&amp;", excavation "&amp;TEXT(E166,"0.0")&amp;" m, "&amp;F166&amp;", "&amp;G166&amp;", "&amp;J166)</f>
        <v/>
      </c>
      <c r="C166" s="9"/>
      <c r="D166" s="9"/>
      <c r="E166" s="43"/>
      <c r="F166" s="9"/>
      <c r="G166" s="9"/>
      <c r="H166" s="43"/>
      <c r="I166" s="40"/>
      <c r="J166" s="9"/>
      <c r="K166" s="9"/>
      <c r="L166" s="9"/>
      <c r="M166" s="43"/>
      <c r="N166" s="43"/>
      <c r="O166" s="9"/>
      <c r="P166" s="9"/>
      <c r="Q166" s="9"/>
      <c r="R166" s="9"/>
      <c r="S166" s="40"/>
      <c r="T166" s="40"/>
      <c r="U166" s="9"/>
      <c r="V166" s="9"/>
      <c r="W166" s="9"/>
      <c r="X166" s="9"/>
      <c r="Y166" s="9"/>
      <c r="Z166" s="9"/>
      <c r="AA166" s="9"/>
      <c r="AB166" s="9"/>
      <c r="AC166" s="10" t="str">
        <f aca="false">IF(A166="","",SG_Criteria!$B$6&amp;SG_Criteria!$B$9&amp;"\"&amp;A166&amp;"\")</f>
        <v/>
      </c>
      <c r="AD166" s="10" t="str">
        <f aca="false">IF(A166="","",A166&amp;"_CAD.dwg")</f>
        <v/>
      </c>
      <c r="AE166" s="10" t="str">
        <f aca="false">IF(A166="","",A166&amp;"_DWG.pdf")</f>
        <v/>
      </c>
      <c r="AF166" s="10" t="str">
        <f aca="false">IF(A166="","",IF(AB166="Y",A166&amp;"_STAAD.std","n/a"))</f>
        <v/>
      </c>
      <c r="AG166" s="10" t="str">
        <f aca="false">IF(A166="","",A166&amp;"_CALC.xlsx")</f>
        <v/>
      </c>
      <c r="AH166" s="10" t="str">
        <f aca="false">IF(A166="","",A166&amp;"_CALC.pdf")</f>
        <v/>
      </c>
      <c r="AI166" s="9"/>
      <c r="AJ166" s="9"/>
      <c r="AK166" s="41"/>
      <c r="AL166" s="41"/>
      <c r="AM166" s="41"/>
      <c r="AN166" s="41"/>
      <c r="AO166" s="41"/>
      <c r="AP166" s="38" t="str">
        <f aca="false">IF(OR(C166="",E166=""),"",IF(E166&lt;=IF(C166="Soldier Pile &amp; Timber Lagging",SG_Criteria!$B$34,SG_Criteria!$B$33),"No ERSS submission",IF(E166&lt;=SG_Criteria!$B$35,"QP(ST)",IF(E166&lt;=SG_Criteria!$B$36,"QP(ST) + AC","Geotechnical building works: QP(Geo) + AC"))))</f>
        <v/>
      </c>
      <c r="AQ166" s="38" t="str">
        <f aca="false">IF(C166="","",IF(LEN(IF(AND(U166&lt;&gt;"",IFERROR(VALUE(MID(U166,2,2)),0)&lt;SG_Criteria!$B$19),"FAIL: grade below C"&amp;SG_Criteria!$B$19&amp;". ","")&amp;IF(AND(LEFT(C166,3)="Con",N(H166)&lt;E166,G166="Kallang Formation (marine clay)"),"NOTE: CBP is not watertight below GWT in marine clay; consider secant / grouting. ","")&amp;IF(AND(C166="Steel Sheet Pile",D166="Permanent"),"NOTE: permanent sheet pile needs corrosion allowance. ","")&amp;IF(AND(F166="Cantilever (no support)",E166&gt;6),"NOTE: cantilever embedded wall &gt; 6 m, check deflection. ","")&amp;IF(AND(S166&lt;&gt;"",T166&lt;&gt;"",S166&gt;T166),"FAIL: deflection exceeds allowable. ",""))=0,"OK",IF(AND(U166&lt;&gt;"",IFERROR(VALUE(MID(U166,2,2)),0)&lt;SG_Criteria!$B$19),"FAIL: grade below C"&amp;SG_Criteria!$B$19&amp;". ","")&amp;IF(AND(LEFT(C166,3)="Con",N(H166)&lt;E166,G166="Kallang Formation (marine clay)"),"NOTE: CBP is not watertight below GWT in marine clay; consider secant / grouting. ","")&amp;IF(AND(C166="Steel Sheet Pile",D166="Permanent"),"NOTE: permanent sheet pile needs corrosion allowance. ","")&amp;IF(AND(F166="Cantilever (no support)",E166&gt;6),"NOTE: cantilever embedded wall &gt; 6 m, check deflection. ","")&amp;IF(AND(S166&lt;&gt;"",T166&lt;&gt;"",S166&gt;T166),"FAIL: deflection exceeds allowable. ","")))</f>
        <v/>
      </c>
      <c r="AR166" s="9"/>
      <c r="AS166" s="9"/>
      <c r="AT166" s="9"/>
      <c r="AU166" s="9"/>
      <c r="AV166" s="9"/>
      <c r="AW166" s="31"/>
      <c r="AX166" s="10" t="str">
        <f aca="false">IF(C166="","",IF(AND(Y166="Approved",ISERROR(SEARCH("FAIL",AQ166))),"Y","N"))</f>
        <v/>
      </c>
      <c r="AY166" s="10" t="str">
        <f aca="false">IF(C166="","",C166&amp;"|"&amp;E166&amp;"|"&amp;F166&amp;"|"&amp;G166&amp;"|"&amp;D166&amp;"|"&amp;AX166)</f>
        <v/>
      </c>
    </row>
    <row r="167" customFormat="false" ht="15" hidden="false" customHeight="false" outlineLevel="0" collapsed="false">
      <c r="A167" s="10" t="str">
        <f aca="false">IF(C167="","","EW-"&amp;IFERROR(VLOOKUP(C167,Lists!$P$4:$Q$22,2,0),"??")&amp;"-D"&amp;TEXT(E167*1000,"0000")&amp;"-"&amp;IFERROR(VLOOKUP(F167,Lists!$S$4:$T$21,2,0),"??")&amp;"-"&amp;IFERROR(VLOOKUP(G167,Lists!$Y$4:$Z$21,2,0),"??")&amp;"-"&amp;IFERROR(VLOOKUP(D167,Lists!$V$4:$W$16,2,0),"??")&amp;"-"&amp;X167)</f>
        <v/>
      </c>
      <c r="B167" s="10" t="str">
        <f aca="false">IF(C167="","",D167&amp;" "&amp;C167&amp;", excavation "&amp;TEXT(E167,"0.0")&amp;" m, "&amp;F167&amp;", "&amp;G167&amp;", "&amp;J167)</f>
        <v/>
      </c>
      <c r="C167" s="9"/>
      <c r="D167" s="9"/>
      <c r="E167" s="43"/>
      <c r="F167" s="9"/>
      <c r="G167" s="9"/>
      <c r="H167" s="43"/>
      <c r="I167" s="40"/>
      <c r="J167" s="9"/>
      <c r="K167" s="9"/>
      <c r="L167" s="9"/>
      <c r="M167" s="43"/>
      <c r="N167" s="43"/>
      <c r="O167" s="9"/>
      <c r="P167" s="9"/>
      <c r="Q167" s="9"/>
      <c r="R167" s="9"/>
      <c r="S167" s="40"/>
      <c r="T167" s="40"/>
      <c r="U167" s="9"/>
      <c r="V167" s="9"/>
      <c r="W167" s="9"/>
      <c r="X167" s="9"/>
      <c r="Y167" s="9"/>
      <c r="Z167" s="9"/>
      <c r="AA167" s="9"/>
      <c r="AB167" s="9"/>
      <c r="AC167" s="10" t="str">
        <f aca="false">IF(A167="","",SG_Criteria!$B$6&amp;SG_Criteria!$B$9&amp;"\"&amp;A167&amp;"\")</f>
        <v/>
      </c>
      <c r="AD167" s="10" t="str">
        <f aca="false">IF(A167="","",A167&amp;"_CAD.dwg")</f>
        <v/>
      </c>
      <c r="AE167" s="10" t="str">
        <f aca="false">IF(A167="","",A167&amp;"_DWG.pdf")</f>
        <v/>
      </c>
      <c r="AF167" s="10" t="str">
        <f aca="false">IF(A167="","",IF(AB167="Y",A167&amp;"_STAAD.std","n/a"))</f>
        <v/>
      </c>
      <c r="AG167" s="10" t="str">
        <f aca="false">IF(A167="","",A167&amp;"_CALC.xlsx")</f>
        <v/>
      </c>
      <c r="AH167" s="10" t="str">
        <f aca="false">IF(A167="","",A167&amp;"_CALC.pdf")</f>
        <v/>
      </c>
      <c r="AI167" s="9"/>
      <c r="AJ167" s="9"/>
      <c r="AK167" s="41"/>
      <c r="AL167" s="41"/>
      <c r="AM167" s="41"/>
      <c r="AN167" s="41"/>
      <c r="AO167" s="41"/>
      <c r="AP167" s="38" t="str">
        <f aca="false">IF(OR(C167="",E167=""),"",IF(E167&lt;=IF(C167="Soldier Pile &amp; Timber Lagging",SG_Criteria!$B$34,SG_Criteria!$B$33),"No ERSS submission",IF(E167&lt;=SG_Criteria!$B$35,"QP(ST)",IF(E167&lt;=SG_Criteria!$B$36,"QP(ST) + AC","Geotechnical building works: QP(Geo) + AC"))))</f>
        <v/>
      </c>
      <c r="AQ167" s="38" t="str">
        <f aca="false">IF(C167="","",IF(LEN(IF(AND(U167&lt;&gt;"",IFERROR(VALUE(MID(U167,2,2)),0)&lt;SG_Criteria!$B$19),"FAIL: grade below C"&amp;SG_Criteria!$B$19&amp;". ","")&amp;IF(AND(LEFT(C167,3)="Con",N(H167)&lt;E167,G167="Kallang Formation (marine clay)"),"NOTE: CBP is not watertight below GWT in marine clay; consider secant / grouting. ","")&amp;IF(AND(C167="Steel Sheet Pile",D167="Permanent"),"NOTE: permanent sheet pile needs corrosion allowance. ","")&amp;IF(AND(F167="Cantilever (no support)",E167&gt;6),"NOTE: cantilever embedded wall &gt; 6 m, check deflection. ","")&amp;IF(AND(S167&lt;&gt;"",T167&lt;&gt;"",S167&gt;T167),"FAIL: deflection exceeds allowable. ",""))=0,"OK",IF(AND(U167&lt;&gt;"",IFERROR(VALUE(MID(U167,2,2)),0)&lt;SG_Criteria!$B$19),"FAIL: grade below C"&amp;SG_Criteria!$B$19&amp;". ","")&amp;IF(AND(LEFT(C167,3)="Con",N(H167)&lt;E167,G167="Kallang Formation (marine clay)"),"NOTE: CBP is not watertight below GWT in marine clay; consider secant / grouting. ","")&amp;IF(AND(C167="Steel Sheet Pile",D167="Permanent"),"NOTE: permanent sheet pile needs corrosion allowance. ","")&amp;IF(AND(F167="Cantilever (no support)",E167&gt;6),"NOTE: cantilever embedded wall &gt; 6 m, check deflection. ","")&amp;IF(AND(S167&lt;&gt;"",T167&lt;&gt;"",S167&gt;T167),"FAIL: deflection exceeds allowable. ","")))</f>
        <v/>
      </c>
      <c r="AR167" s="9"/>
      <c r="AS167" s="9"/>
      <c r="AT167" s="9"/>
      <c r="AU167" s="9"/>
      <c r="AV167" s="9"/>
      <c r="AW167" s="31"/>
      <c r="AX167" s="10" t="str">
        <f aca="false">IF(C167="","",IF(AND(Y167="Approved",ISERROR(SEARCH("FAIL",AQ167))),"Y","N"))</f>
        <v/>
      </c>
      <c r="AY167" s="10" t="str">
        <f aca="false">IF(C167="","",C167&amp;"|"&amp;E167&amp;"|"&amp;F167&amp;"|"&amp;G167&amp;"|"&amp;D167&amp;"|"&amp;AX167)</f>
        <v/>
      </c>
    </row>
    <row r="168" customFormat="false" ht="15" hidden="false" customHeight="false" outlineLevel="0" collapsed="false">
      <c r="A168" s="10" t="str">
        <f aca="false">IF(C168="","","EW-"&amp;IFERROR(VLOOKUP(C168,Lists!$P$4:$Q$22,2,0),"??")&amp;"-D"&amp;TEXT(E168*1000,"0000")&amp;"-"&amp;IFERROR(VLOOKUP(F168,Lists!$S$4:$T$21,2,0),"??")&amp;"-"&amp;IFERROR(VLOOKUP(G168,Lists!$Y$4:$Z$21,2,0),"??")&amp;"-"&amp;IFERROR(VLOOKUP(D168,Lists!$V$4:$W$16,2,0),"??")&amp;"-"&amp;X168)</f>
        <v/>
      </c>
      <c r="B168" s="10" t="str">
        <f aca="false">IF(C168="","",D168&amp;" "&amp;C168&amp;", excavation "&amp;TEXT(E168,"0.0")&amp;" m, "&amp;F168&amp;", "&amp;G168&amp;", "&amp;J168)</f>
        <v/>
      </c>
      <c r="C168" s="9"/>
      <c r="D168" s="9"/>
      <c r="E168" s="43"/>
      <c r="F168" s="9"/>
      <c r="G168" s="9"/>
      <c r="H168" s="43"/>
      <c r="I168" s="40"/>
      <c r="J168" s="9"/>
      <c r="K168" s="9"/>
      <c r="L168" s="9"/>
      <c r="M168" s="43"/>
      <c r="N168" s="43"/>
      <c r="O168" s="9"/>
      <c r="P168" s="9"/>
      <c r="Q168" s="9"/>
      <c r="R168" s="9"/>
      <c r="S168" s="40"/>
      <c r="T168" s="40"/>
      <c r="U168" s="9"/>
      <c r="V168" s="9"/>
      <c r="W168" s="9"/>
      <c r="X168" s="9"/>
      <c r="Y168" s="9"/>
      <c r="Z168" s="9"/>
      <c r="AA168" s="9"/>
      <c r="AB168" s="9"/>
      <c r="AC168" s="10" t="str">
        <f aca="false">IF(A168="","",SG_Criteria!$B$6&amp;SG_Criteria!$B$9&amp;"\"&amp;A168&amp;"\")</f>
        <v/>
      </c>
      <c r="AD168" s="10" t="str">
        <f aca="false">IF(A168="","",A168&amp;"_CAD.dwg")</f>
        <v/>
      </c>
      <c r="AE168" s="10" t="str">
        <f aca="false">IF(A168="","",A168&amp;"_DWG.pdf")</f>
        <v/>
      </c>
      <c r="AF168" s="10" t="str">
        <f aca="false">IF(A168="","",IF(AB168="Y",A168&amp;"_STAAD.std","n/a"))</f>
        <v/>
      </c>
      <c r="AG168" s="10" t="str">
        <f aca="false">IF(A168="","",A168&amp;"_CALC.xlsx")</f>
        <v/>
      </c>
      <c r="AH168" s="10" t="str">
        <f aca="false">IF(A168="","",A168&amp;"_CALC.pdf")</f>
        <v/>
      </c>
      <c r="AI168" s="9"/>
      <c r="AJ168" s="9"/>
      <c r="AK168" s="41"/>
      <c r="AL168" s="41"/>
      <c r="AM168" s="41"/>
      <c r="AN168" s="41"/>
      <c r="AO168" s="41"/>
      <c r="AP168" s="38" t="str">
        <f aca="false">IF(OR(C168="",E168=""),"",IF(E168&lt;=IF(C168="Soldier Pile &amp; Timber Lagging",SG_Criteria!$B$34,SG_Criteria!$B$33),"No ERSS submission",IF(E168&lt;=SG_Criteria!$B$35,"QP(ST)",IF(E168&lt;=SG_Criteria!$B$36,"QP(ST) + AC","Geotechnical building works: QP(Geo) + AC"))))</f>
        <v/>
      </c>
      <c r="AQ168" s="38" t="str">
        <f aca="false">IF(C168="","",IF(LEN(IF(AND(U168&lt;&gt;"",IFERROR(VALUE(MID(U168,2,2)),0)&lt;SG_Criteria!$B$19),"FAIL: grade below C"&amp;SG_Criteria!$B$19&amp;". ","")&amp;IF(AND(LEFT(C168,3)="Con",N(H168)&lt;E168,G168="Kallang Formation (marine clay)"),"NOTE: CBP is not watertight below GWT in marine clay; consider secant / grouting. ","")&amp;IF(AND(C168="Steel Sheet Pile",D168="Permanent"),"NOTE: permanent sheet pile needs corrosion allowance. ","")&amp;IF(AND(F168="Cantilever (no support)",E168&gt;6),"NOTE: cantilever embedded wall &gt; 6 m, check deflection. ","")&amp;IF(AND(S168&lt;&gt;"",T168&lt;&gt;"",S168&gt;T168),"FAIL: deflection exceeds allowable. ",""))=0,"OK",IF(AND(U168&lt;&gt;"",IFERROR(VALUE(MID(U168,2,2)),0)&lt;SG_Criteria!$B$19),"FAIL: grade below C"&amp;SG_Criteria!$B$19&amp;". ","")&amp;IF(AND(LEFT(C168,3)="Con",N(H168)&lt;E168,G168="Kallang Formation (marine clay)"),"NOTE: CBP is not watertight below GWT in marine clay; consider secant / grouting. ","")&amp;IF(AND(C168="Steel Sheet Pile",D168="Permanent"),"NOTE: permanent sheet pile needs corrosion allowance. ","")&amp;IF(AND(F168="Cantilever (no support)",E168&gt;6),"NOTE: cantilever embedded wall &gt; 6 m, check deflection. ","")&amp;IF(AND(S168&lt;&gt;"",T168&lt;&gt;"",S168&gt;T168),"FAIL: deflection exceeds allowable. ","")))</f>
        <v/>
      </c>
      <c r="AR168" s="9"/>
      <c r="AS168" s="9"/>
      <c r="AT168" s="9"/>
      <c r="AU168" s="9"/>
      <c r="AV168" s="9"/>
      <c r="AW168" s="31"/>
      <c r="AX168" s="10" t="str">
        <f aca="false">IF(C168="","",IF(AND(Y168="Approved",ISERROR(SEARCH("FAIL",AQ168))),"Y","N"))</f>
        <v/>
      </c>
      <c r="AY168" s="10" t="str">
        <f aca="false">IF(C168="","",C168&amp;"|"&amp;E168&amp;"|"&amp;F168&amp;"|"&amp;G168&amp;"|"&amp;D168&amp;"|"&amp;AX168)</f>
        <v/>
      </c>
    </row>
    <row r="169" customFormat="false" ht="15" hidden="false" customHeight="false" outlineLevel="0" collapsed="false">
      <c r="A169" s="10" t="str">
        <f aca="false">IF(C169="","","EW-"&amp;IFERROR(VLOOKUP(C169,Lists!$P$4:$Q$22,2,0),"??")&amp;"-D"&amp;TEXT(E169*1000,"0000")&amp;"-"&amp;IFERROR(VLOOKUP(F169,Lists!$S$4:$T$21,2,0),"??")&amp;"-"&amp;IFERROR(VLOOKUP(G169,Lists!$Y$4:$Z$21,2,0),"??")&amp;"-"&amp;IFERROR(VLOOKUP(D169,Lists!$V$4:$W$16,2,0),"??")&amp;"-"&amp;X169)</f>
        <v/>
      </c>
      <c r="B169" s="10" t="str">
        <f aca="false">IF(C169="","",D169&amp;" "&amp;C169&amp;", excavation "&amp;TEXT(E169,"0.0")&amp;" m, "&amp;F169&amp;", "&amp;G169&amp;", "&amp;J169)</f>
        <v/>
      </c>
      <c r="C169" s="9"/>
      <c r="D169" s="9"/>
      <c r="E169" s="43"/>
      <c r="F169" s="9"/>
      <c r="G169" s="9"/>
      <c r="H169" s="43"/>
      <c r="I169" s="40"/>
      <c r="J169" s="9"/>
      <c r="K169" s="9"/>
      <c r="L169" s="9"/>
      <c r="M169" s="43"/>
      <c r="N169" s="43"/>
      <c r="O169" s="9"/>
      <c r="P169" s="9"/>
      <c r="Q169" s="9"/>
      <c r="R169" s="9"/>
      <c r="S169" s="40"/>
      <c r="T169" s="40"/>
      <c r="U169" s="9"/>
      <c r="V169" s="9"/>
      <c r="W169" s="9"/>
      <c r="X169" s="9"/>
      <c r="Y169" s="9"/>
      <c r="Z169" s="9"/>
      <c r="AA169" s="9"/>
      <c r="AB169" s="9"/>
      <c r="AC169" s="10" t="str">
        <f aca="false">IF(A169="","",SG_Criteria!$B$6&amp;SG_Criteria!$B$9&amp;"\"&amp;A169&amp;"\")</f>
        <v/>
      </c>
      <c r="AD169" s="10" t="str">
        <f aca="false">IF(A169="","",A169&amp;"_CAD.dwg")</f>
        <v/>
      </c>
      <c r="AE169" s="10" t="str">
        <f aca="false">IF(A169="","",A169&amp;"_DWG.pdf")</f>
        <v/>
      </c>
      <c r="AF169" s="10" t="str">
        <f aca="false">IF(A169="","",IF(AB169="Y",A169&amp;"_STAAD.std","n/a"))</f>
        <v/>
      </c>
      <c r="AG169" s="10" t="str">
        <f aca="false">IF(A169="","",A169&amp;"_CALC.xlsx")</f>
        <v/>
      </c>
      <c r="AH169" s="10" t="str">
        <f aca="false">IF(A169="","",A169&amp;"_CALC.pdf")</f>
        <v/>
      </c>
      <c r="AI169" s="9"/>
      <c r="AJ169" s="9"/>
      <c r="AK169" s="41"/>
      <c r="AL169" s="41"/>
      <c r="AM169" s="41"/>
      <c r="AN169" s="41"/>
      <c r="AO169" s="41"/>
      <c r="AP169" s="38" t="str">
        <f aca="false">IF(OR(C169="",E169=""),"",IF(E169&lt;=IF(C169="Soldier Pile &amp; Timber Lagging",SG_Criteria!$B$34,SG_Criteria!$B$33),"No ERSS submission",IF(E169&lt;=SG_Criteria!$B$35,"QP(ST)",IF(E169&lt;=SG_Criteria!$B$36,"QP(ST) + AC","Geotechnical building works: QP(Geo) + AC"))))</f>
        <v/>
      </c>
      <c r="AQ169" s="38" t="str">
        <f aca="false">IF(C169="","",IF(LEN(IF(AND(U169&lt;&gt;"",IFERROR(VALUE(MID(U169,2,2)),0)&lt;SG_Criteria!$B$19),"FAIL: grade below C"&amp;SG_Criteria!$B$19&amp;". ","")&amp;IF(AND(LEFT(C169,3)="Con",N(H169)&lt;E169,G169="Kallang Formation (marine clay)"),"NOTE: CBP is not watertight below GWT in marine clay; consider secant / grouting. ","")&amp;IF(AND(C169="Steel Sheet Pile",D169="Permanent"),"NOTE: permanent sheet pile needs corrosion allowance. ","")&amp;IF(AND(F169="Cantilever (no support)",E169&gt;6),"NOTE: cantilever embedded wall &gt; 6 m, check deflection. ","")&amp;IF(AND(S169&lt;&gt;"",T169&lt;&gt;"",S169&gt;T169),"FAIL: deflection exceeds allowable. ",""))=0,"OK",IF(AND(U169&lt;&gt;"",IFERROR(VALUE(MID(U169,2,2)),0)&lt;SG_Criteria!$B$19),"FAIL: grade below C"&amp;SG_Criteria!$B$19&amp;". ","")&amp;IF(AND(LEFT(C169,3)="Con",N(H169)&lt;E169,G169="Kallang Formation (marine clay)"),"NOTE: CBP is not watertight below GWT in marine clay; consider secant / grouting. ","")&amp;IF(AND(C169="Steel Sheet Pile",D169="Permanent"),"NOTE: permanent sheet pile needs corrosion allowance. ","")&amp;IF(AND(F169="Cantilever (no support)",E169&gt;6),"NOTE: cantilever embedded wall &gt; 6 m, check deflection. ","")&amp;IF(AND(S169&lt;&gt;"",T169&lt;&gt;"",S169&gt;T169),"FAIL: deflection exceeds allowable. ","")))</f>
        <v/>
      </c>
      <c r="AR169" s="9"/>
      <c r="AS169" s="9"/>
      <c r="AT169" s="9"/>
      <c r="AU169" s="9"/>
      <c r="AV169" s="9"/>
      <c r="AW169" s="31"/>
      <c r="AX169" s="10" t="str">
        <f aca="false">IF(C169="","",IF(AND(Y169="Approved",ISERROR(SEARCH("FAIL",AQ169))),"Y","N"))</f>
        <v/>
      </c>
      <c r="AY169" s="10" t="str">
        <f aca="false">IF(C169="","",C169&amp;"|"&amp;E169&amp;"|"&amp;F169&amp;"|"&amp;G169&amp;"|"&amp;D169&amp;"|"&amp;AX169)</f>
        <v/>
      </c>
    </row>
    <row r="170" customFormat="false" ht="15" hidden="false" customHeight="false" outlineLevel="0" collapsed="false">
      <c r="A170" s="10" t="str">
        <f aca="false">IF(C170="","","EW-"&amp;IFERROR(VLOOKUP(C170,Lists!$P$4:$Q$22,2,0),"??")&amp;"-D"&amp;TEXT(E170*1000,"0000")&amp;"-"&amp;IFERROR(VLOOKUP(F170,Lists!$S$4:$T$21,2,0),"??")&amp;"-"&amp;IFERROR(VLOOKUP(G170,Lists!$Y$4:$Z$21,2,0),"??")&amp;"-"&amp;IFERROR(VLOOKUP(D170,Lists!$V$4:$W$16,2,0),"??")&amp;"-"&amp;X170)</f>
        <v/>
      </c>
      <c r="B170" s="10" t="str">
        <f aca="false">IF(C170="","",D170&amp;" "&amp;C170&amp;", excavation "&amp;TEXT(E170,"0.0")&amp;" m, "&amp;F170&amp;", "&amp;G170&amp;", "&amp;J170)</f>
        <v/>
      </c>
      <c r="C170" s="9"/>
      <c r="D170" s="9"/>
      <c r="E170" s="43"/>
      <c r="F170" s="9"/>
      <c r="G170" s="9"/>
      <c r="H170" s="43"/>
      <c r="I170" s="40"/>
      <c r="J170" s="9"/>
      <c r="K170" s="9"/>
      <c r="L170" s="9"/>
      <c r="M170" s="43"/>
      <c r="N170" s="43"/>
      <c r="O170" s="9"/>
      <c r="P170" s="9"/>
      <c r="Q170" s="9"/>
      <c r="R170" s="9"/>
      <c r="S170" s="40"/>
      <c r="T170" s="40"/>
      <c r="U170" s="9"/>
      <c r="V170" s="9"/>
      <c r="W170" s="9"/>
      <c r="X170" s="9"/>
      <c r="Y170" s="9"/>
      <c r="Z170" s="9"/>
      <c r="AA170" s="9"/>
      <c r="AB170" s="9"/>
      <c r="AC170" s="10" t="str">
        <f aca="false">IF(A170="","",SG_Criteria!$B$6&amp;SG_Criteria!$B$9&amp;"\"&amp;A170&amp;"\")</f>
        <v/>
      </c>
      <c r="AD170" s="10" t="str">
        <f aca="false">IF(A170="","",A170&amp;"_CAD.dwg")</f>
        <v/>
      </c>
      <c r="AE170" s="10" t="str">
        <f aca="false">IF(A170="","",A170&amp;"_DWG.pdf")</f>
        <v/>
      </c>
      <c r="AF170" s="10" t="str">
        <f aca="false">IF(A170="","",IF(AB170="Y",A170&amp;"_STAAD.std","n/a"))</f>
        <v/>
      </c>
      <c r="AG170" s="10" t="str">
        <f aca="false">IF(A170="","",A170&amp;"_CALC.xlsx")</f>
        <v/>
      </c>
      <c r="AH170" s="10" t="str">
        <f aca="false">IF(A170="","",A170&amp;"_CALC.pdf")</f>
        <v/>
      </c>
      <c r="AI170" s="9"/>
      <c r="AJ170" s="9"/>
      <c r="AK170" s="41"/>
      <c r="AL170" s="41"/>
      <c r="AM170" s="41"/>
      <c r="AN170" s="41"/>
      <c r="AO170" s="41"/>
      <c r="AP170" s="38" t="str">
        <f aca="false">IF(OR(C170="",E170=""),"",IF(E170&lt;=IF(C170="Soldier Pile &amp; Timber Lagging",SG_Criteria!$B$34,SG_Criteria!$B$33),"No ERSS submission",IF(E170&lt;=SG_Criteria!$B$35,"QP(ST)",IF(E170&lt;=SG_Criteria!$B$36,"QP(ST) + AC","Geotechnical building works: QP(Geo) + AC"))))</f>
        <v/>
      </c>
      <c r="AQ170" s="38" t="str">
        <f aca="false">IF(C170="","",IF(LEN(IF(AND(U170&lt;&gt;"",IFERROR(VALUE(MID(U170,2,2)),0)&lt;SG_Criteria!$B$19),"FAIL: grade below C"&amp;SG_Criteria!$B$19&amp;". ","")&amp;IF(AND(LEFT(C170,3)="Con",N(H170)&lt;E170,G170="Kallang Formation (marine clay)"),"NOTE: CBP is not watertight below GWT in marine clay; consider secant / grouting. ","")&amp;IF(AND(C170="Steel Sheet Pile",D170="Permanent"),"NOTE: permanent sheet pile needs corrosion allowance. ","")&amp;IF(AND(F170="Cantilever (no support)",E170&gt;6),"NOTE: cantilever embedded wall &gt; 6 m, check deflection. ","")&amp;IF(AND(S170&lt;&gt;"",T170&lt;&gt;"",S170&gt;T170),"FAIL: deflection exceeds allowable. ",""))=0,"OK",IF(AND(U170&lt;&gt;"",IFERROR(VALUE(MID(U170,2,2)),0)&lt;SG_Criteria!$B$19),"FAIL: grade below C"&amp;SG_Criteria!$B$19&amp;". ","")&amp;IF(AND(LEFT(C170,3)="Con",N(H170)&lt;E170,G170="Kallang Formation (marine clay)"),"NOTE: CBP is not watertight below GWT in marine clay; consider secant / grouting. ","")&amp;IF(AND(C170="Steel Sheet Pile",D170="Permanent"),"NOTE: permanent sheet pile needs corrosion allowance. ","")&amp;IF(AND(F170="Cantilever (no support)",E170&gt;6),"NOTE: cantilever embedded wall &gt; 6 m, check deflection. ","")&amp;IF(AND(S170&lt;&gt;"",T170&lt;&gt;"",S170&gt;T170),"FAIL: deflection exceeds allowable. ","")))</f>
        <v/>
      </c>
      <c r="AR170" s="9"/>
      <c r="AS170" s="9"/>
      <c r="AT170" s="9"/>
      <c r="AU170" s="9"/>
      <c r="AV170" s="9"/>
      <c r="AW170" s="31"/>
      <c r="AX170" s="10" t="str">
        <f aca="false">IF(C170="","",IF(AND(Y170="Approved",ISERROR(SEARCH("FAIL",AQ170))),"Y","N"))</f>
        <v/>
      </c>
      <c r="AY170" s="10" t="str">
        <f aca="false">IF(C170="","",C170&amp;"|"&amp;E170&amp;"|"&amp;F170&amp;"|"&amp;G170&amp;"|"&amp;D170&amp;"|"&amp;AX170)</f>
        <v/>
      </c>
    </row>
    <row r="171" customFormat="false" ht="15" hidden="false" customHeight="false" outlineLevel="0" collapsed="false">
      <c r="A171" s="10" t="str">
        <f aca="false">IF(C171="","","EW-"&amp;IFERROR(VLOOKUP(C171,Lists!$P$4:$Q$22,2,0),"??")&amp;"-D"&amp;TEXT(E171*1000,"0000")&amp;"-"&amp;IFERROR(VLOOKUP(F171,Lists!$S$4:$T$21,2,0),"??")&amp;"-"&amp;IFERROR(VLOOKUP(G171,Lists!$Y$4:$Z$21,2,0),"??")&amp;"-"&amp;IFERROR(VLOOKUP(D171,Lists!$V$4:$W$16,2,0),"??")&amp;"-"&amp;X171)</f>
        <v/>
      </c>
      <c r="B171" s="10" t="str">
        <f aca="false">IF(C171="","",D171&amp;" "&amp;C171&amp;", excavation "&amp;TEXT(E171,"0.0")&amp;" m, "&amp;F171&amp;", "&amp;G171&amp;", "&amp;J171)</f>
        <v/>
      </c>
      <c r="C171" s="9"/>
      <c r="D171" s="9"/>
      <c r="E171" s="43"/>
      <c r="F171" s="9"/>
      <c r="G171" s="9"/>
      <c r="H171" s="43"/>
      <c r="I171" s="40"/>
      <c r="J171" s="9"/>
      <c r="K171" s="9"/>
      <c r="L171" s="9"/>
      <c r="M171" s="43"/>
      <c r="N171" s="43"/>
      <c r="O171" s="9"/>
      <c r="P171" s="9"/>
      <c r="Q171" s="9"/>
      <c r="R171" s="9"/>
      <c r="S171" s="40"/>
      <c r="T171" s="40"/>
      <c r="U171" s="9"/>
      <c r="V171" s="9"/>
      <c r="W171" s="9"/>
      <c r="X171" s="9"/>
      <c r="Y171" s="9"/>
      <c r="Z171" s="9"/>
      <c r="AA171" s="9"/>
      <c r="AB171" s="9"/>
      <c r="AC171" s="10" t="str">
        <f aca="false">IF(A171="","",SG_Criteria!$B$6&amp;SG_Criteria!$B$9&amp;"\"&amp;A171&amp;"\")</f>
        <v/>
      </c>
      <c r="AD171" s="10" t="str">
        <f aca="false">IF(A171="","",A171&amp;"_CAD.dwg")</f>
        <v/>
      </c>
      <c r="AE171" s="10" t="str">
        <f aca="false">IF(A171="","",A171&amp;"_DWG.pdf")</f>
        <v/>
      </c>
      <c r="AF171" s="10" t="str">
        <f aca="false">IF(A171="","",IF(AB171="Y",A171&amp;"_STAAD.std","n/a"))</f>
        <v/>
      </c>
      <c r="AG171" s="10" t="str">
        <f aca="false">IF(A171="","",A171&amp;"_CALC.xlsx")</f>
        <v/>
      </c>
      <c r="AH171" s="10" t="str">
        <f aca="false">IF(A171="","",A171&amp;"_CALC.pdf")</f>
        <v/>
      </c>
      <c r="AI171" s="9"/>
      <c r="AJ171" s="9"/>
      <c r="AK171" s="41"/>
      <c r="AL171" s="41"/>
      <c r="AM171" s="41"/>
      <c r="AN171" s="41"/>
      <c r="AO171" s="41"/>
      <c r="AP171" s="38" t="str">
        <f aca="false">IF(OR(C171="",E171=""),"",IF(E171&lt;=IF(C171="Soldier Pile &amp; Timber Lagging",SG_Criteria!$B$34,SG_Criteria!$B$33),"No ERSS submission",IF(E171&lt;=SG_Criteria!$B$35,"QP(ST)",IF(E171&lt;=SG_Criteria!$B$36,"QP(ST) + AC","Geotechnical building works: QP(Geo) + AC"))))</f>
        <v/>
      </c>
      <c r="AQ171" s="38" t="str">
        <f aca="false">IF(C171="","",IF(LEN(IF(AND(U171&lt;&gt;"",IFERROR(VALUE(MID(U171,2,2)),0)&lt;SG_Criteria!$B$19),"FAIL: grade below C"&amp;SG_Criteria!$B$19&amp;". ","")&amp;IF(AND(LEFT(C171,3)="Con",N(H171)&lt;E171,G171="Kallang Formation (marine clay)"),"NOTE: CBP is not watertight below GWT in marine clay; consider secant / grouting. ","")&amp;IF(AND(C171="Steel Sheet Pile",D171="Permanent"),"NOTE: permanent sheet pile needs corrosion allowance. ","")&amp;IF(AND(F171="Cantilever (no support)",E171&gt;6),"NOTE: cantilever embedded wall &gt; 6 m, check deflection. ","")&amp;IF(AND(S171&lt;&gt;"",T171&lt;&gt;"",S171&gt;T171),"FAIL: deflection exceeds allowable. ",""))=0,"OK",IF(AND(U171&lt;&gt;"",IFERROR(VALUE(MID(U171,2,2)),0)&lt;SG_Criteria!$B$19),"FAIL: grade below C"&amp;SG_Criteria!$B$19&amp;". ","")&amp;IF(AND(LEFT(C171,3)="Con",N(H171)&lt;E171,G171="Kallang Formation (marine clay)"),"NOTE: CBP is not watertight below GWT in marine clay; consider secant / grouting. ","")&amp;IF(AND(C171="Steel Sheet Pile",D171="Permanent"),"NOTE: permanent sheet pile needs corrosion allowance. ","")&amp;IF(AND(F171="Cantilever (no support)",E171&gt;6),"NOTE: cantilever embedded wall &gt; 6 m, check deflection. ","")&amp;IF(AND(S171&lt;&gt;"",T171&lt;&gt;"",S171&gt;T171),"FAIL: deflection exceeds allowable. ","")))</f>
        <v/>
      </c>
      <c r="AR171" s="9"/>
      <c r="AS171" s="9"/>
      <c r="AT171" s="9"/>
      <c r="AU171" s="9"/>
      <c r="AV171" s="9"/>
      <c r="AW171" s="31"/>
      <c r="AX171" s="10" t="str">
        <f aca="false">IF(C171="","",IF(AND(Y171="Approved",ISERROR(SEARCH("FAIL",AQ171))),"Y","N"))</f>
        <v/>
      </c>
      <c r="AY171" s="10" t="str">
        <f aca="false">IF(C171="","",C171&amp;"|"&amp;E171&amp;"|"&amp;F171&amp;"|"&amp;G171&amp;"|"&amp;D171&amp;"|"&amp;AX171)</f>
        <v/>
      </c>
    </row>
    <row r="172" customFormat="false" ht="15" hidden="false" customHeight="false" outlineLevel="0" collapsed="false">
      <c r="A172" s="10" t="str">
        <f aca="false">IF(C172="","","EW-"&amp;IFERROR(VLOOKUP(C172,Lists!$P$4:$Q$22,2,0),"??")&amp;"-D"&amp;TEXT(E172*1000,"0000")&amp;"-"&amp;IFERROR(VLOOKUP(F172,Lists!$S$4:$T$21,2,0),"??")&amp;"-"&amp;IFERROR(VLOOKUP(G172,Lists!$Y$4:$Z$21,2,0),"??")&amp;"-"&amp;IFERROR(VLOOKUP(D172,Lists!$V$4:$W$16,2,0),"??")&amp;"-"&amp;X172)</f>
        <v/>
      </c>
      <c r="B172" s="10" t="str">
        <f aca="false">IF(C172="","",D172&amp;" "&amp;C172&amp;", excavation "&amp;TEXT(E172,"0.0")&amp;" m, "&amp;F172&amp;", "&amp;G172&amp;", "&amp;J172)</f>
        <v/>
      </c>
      <c r="C172" s="9"/>
      <c r="D172" s="9"/>
      <c r="E172" s="43"/>
      <c r="F172" s="9"/>
      <c r="G172" s="9"/>
      <c r="H172" s="43"/>
      <c r="I172" s="40"/>
      <c r="J172" s="9"/>
      <c r="K172" s="9"/>
      <c r="L172" s="9"/>
      <c r="M172" s="43"/>
      <c r="N172" s="43"/>
      <c r="O172" s="9"/>
      <c r="P172" s="9"/>
      <c r="Q172" s="9"/>
      <c r="R172" s="9"/>
      <c r="S172" s="40"/>
      <c r="T172" s="40"/>
      <c r="U172" s="9"/>
      <c r="V172" s="9"/>
      <c r="W172" s="9"/>
      <c r="X172" s="9"/>
      <c r="Y172" s="9"/>
      <c r="Z172" s="9"/>
      <c r="AA172" s="9"/>
      <c r="AB172" s="9"/>
      <c r="AC172" s="10" t="str">
        <f aca="false">IF(A172="","",SG_Criteria!$B$6&amp;SG_Criteria!$B$9&amp;"\"&amp;A172&amp;"\")</f>
        <v/>
      </c>
      <c r="AD172" s="10" t="str">
        <f aca="false">IF(A172="","",A172&amp;"_CAD.dwg")</f>
        <v/>
      </c>
      <c r="AE172" s="10" t="str">
        <f aca="false">IF(A172="","",A172&amp;"_DWG.pdf")</f>
        <v/>
      </c>
      <c r="AF172" s="10" t="str">
        <f aca="false">IF(A172="","",IF(AB172="Y",A172&amp;"_STAAD.std","n/a"))</f>
        <v/>
      </c>
      <c r="AG172" s="10" t="str">
        <f aca="false">IF(A172="","",A172&amp;"_CALC.xlsx")</f>
        <v/>
      </c>
      <c r="AH172" s="10" t="str">
        <f aca="false">IF(A172="","",A172&amp;"_CALC.pdf")</f>
        <v/>
      </c>
      <c r="AI172" s="9"/>
      <c r="AJ172" s="9"/>
      <c r="AK172" s="41"/>
      <c r="AL172" s="41"/>
      <c r="AM172" s="41"/>
      <c r="AN172" s="41"/>
      <c r="AO172" s="41"/>
      <c r="AP172" s="38" t="str">
        <f aca="false">IF(OR(C172="",E172=""),"",IF(E172&lt;=IF(C172="Soldier Pile &amp; Timber Lagging",SG_Criteria!$B$34,SG_Criteria!$B$33),"No ERSS submission",IF(E172&lt;=SG_Criteria!$B$35,"QP(ST)",IF(E172&lt;=SG_Criteria!$B$36,"QP(ST) + AC","Geotechnical building works: QP(Geo) + AC"))))</f>
        <v/>
      </c>
      <c r="AQ172" s="38" t="str">
        <f aca="false">IF(C172="","",IF(LEN(IF(AND(U172&lt;&gt;"",IFERROR(VALUE(MID(U172,2,2)),0)&lt;SG_Criteria!$B$19),"FAIL: grade below C"&amp;SG_Criteria!$B$19&amp;". ","")&amp;IF(AND(LEFT(C172,3)="Con",N(H172)&lt;E172,G172="Kallang Formation (marine clay)"),"NOTE: CBP is not watertight below GWT in marine clay; consider secant / grouting. ","")&amp;IF(AND(C172="Steel Sheet Pile",D172="Permanent"),"NOTE: permanent sheet pile needs corrosion allowance. ","")&amp;IF(AND(F172="Cantilever (no support)",E172&gt;6),"NOTE: cantilever embedded wall &gt; 6 m, check deflection. ","")&amp;IF(AND(S172&lt;&gt;"",T172&lt;&gt;"",S172&gt;T172),"FAIL: deflection exceeds allowable. ",""))=0,"OK",IF(AND(U172&lt;&gt;"",IFERROR(VALUE(MID(U172,2,2)),0)&lt;SG_Criteria!$B$19),"FAIL: grade below C"&amp;SG_Criteria!$B$19&amp;". ","")&amp;IF(AND(LEFT(C172,3)="Con",N(H172)&lt;E172,G172="Kallang Formation (marine clay)"),"NOTE: CBP is not watertight below GWT in marine clay; consider secant / grouting. ","")&amp;IF(AND(C172="Steel Sheet Pile",D172="Permanent"),"NOTE: permanent sheet pile needs corrosion allowance. ","")&amp;IF(AND(F172="Cantilever (no support)",E172&gt;6),"NOTE: cantilever embedded wall &gt; 6 m, check deflection. ","")&amp;IF(AND(S172&lt;&gt;"",T172&lt;&gt;"",S172&gt;T172),"FAIL: deflection exceeds allowable. ","")))</f>
        <v/>
      </c>
      <c r="AR172" s="9"/>
      <c r="AS172" s="9"/>
      <c r="AT172" s="9"/>
      <c r="AU172" s="9"/>
      <c r="AV172" s="9"/>
      <c r="AW172" s="31"/>
      <c r="AX172" s="10" t="str">
        <f aca="false">IF(C172="","",IF(AND(Y172="Approved",ISERROR(SEARCH("FAIL",AQ172))),"Y","N"))</f>
        <v/>
      </c>
      <c r="AY172" s="10" t="str">
        <f aca="false">IF(C172="","",C172&amp;"|"&amp;E172&amp;"|"&amp;F172&amp;"|"&amp;G172&amp;"|"&amp;D172&amp;"|"&amp;AX172)</f>
        <v/>
      </c>
    </row>
    <row r="173" customFormat="false" ht="15" hidden="false" customHeight="false" outlineLevel="0" collapsed="false">
      <c r="A173" s="10" t="str">
        <f aca="false">IF(C173="","","EW-"&amp;IFERROR(VLOOKUP(C173,Lists!$P$4:$Q$22,2,0),"??")&amp;"-D"&amp;TEXT(E173*1000,"0000")&amp;"-"&amp;IFERROR(VLOOKUP(F173,Lists!$S$4:$T$21,2,0),"??")&amp;"-"&amp;IFERROR(VLOOKUP(G173,Lists!$Y$4:$Z$21,2,0),"??")&amp;"-"&amp;IFERROR(VLOOKUP(D173,Lists!$V$4:$W$16,2,0),"??")&amp;"-"&amp;X173)</f>
        <v/>
      </c>
      <c r="B173" s="10" t="str">
        <f aca="false">IF(C173="","",D173&amp;" "&amp;C173&amp;", excavation "&amp;TEXT(E173,"0.0")&amp;" m, "&amp;F173&amp;", "&amp;G173&amp;", "&amp;J173)</f>
        <v/>
      </c>
      <c r="C173" s="9"/>
      <c r="D173" s="9"/>
      <c r="E173" s="43"/>
      <c r="F173" s="9"/>
      <c r="G173" s="9"/>
      <c r="H173" s="43"/>
      <c r="I173" s="40"/>
      <c r="J173" s="9"/>
      <c r="K173" s="9"/>
      <c r="L173" s="9"/>
      <c r="M173" s="43"/>
      <c r="N173" s="43"/>
      <c r="O173" s="9"/>
      <c r="P173" s="9"/>
      <c r="Q173" s="9"/>
      <c r="R173" s="9"/>
      <c r="S173" s="40"/>
      <c r="T173" s="40"/>
      <c r="U173" s="9"/>
      <c r="V173" s="9"/>
      <c r="W173" s="9"/>
      <c r="X173" s="9"/>
      <c r="Y173" s="9"/>
      <c r="Z173" s="9"/>
      <c r="AA173" s="9"/>
      <c r="AB173" s="9"/>
      <c r="AC173" s="10" t="str">
        <f aca="false">IF(A173="","",SG_Criteria!$B$6&amp;SG_Criteria!$B$9&amp;"\"&amp;A173&amp;"\")</f>
        <v/>
      </c>
      <c r="AD173" s="10" t="str">
        <f aca="false">IF(A173="","",A173&amp;"_CAD.dwg")</f>
        <v/>
      </c>
      <c r="AE173" s="10" t="str">
        <f aca="false">IF(A173="","",A173&amp;"_DWG.pdf")</f>
        <v/>
      </c>
      <c r="AF173" s="10" t="str">
        <f aca="false">IF(A173="","",IF(AB173="Y",A173&amp;"_STAAD.std","n/a"))</f>
        <v/>
      </c>
      <c r="AG173" s="10" t="str">
        <f aca="false">IF(A173="","",A173&amp;"_CALC.xlsx")</f>
        <v/>
      </c>
      <c r="AH173" s="10" t="str">
        <f aca="false">IF(A173="","",A173&amp;"_CALC.pdf")</f>
        <v/>
      </c>
      <c r="AI173" s="9"/>
      <c r="AJ173" s="9"/>
      <c r="AK173" s="41"/>
      <c r="AL173" s="41"/>
      <c r="AM173" s="41"/>
      <c r="AN173" s="41"/>
      <c r="AO173" s="41"/>
      <c r="AP173" s="38" t="str">
        <f aca="false">IF(OR(C173="",E173=""),"",IF(E173&lt;=IF(C173="Soldier Pile &amp; Timber Lagging",SG_Criteria!$B$34,SG_Criteria!$B$33),"No ERSS submission",IF(E173&lt;=SG_Criteria!$B$35,"QP(ST)",IF(E173&lt;=SG_Criteria!$B$36,"QP(ST) + AC","Geotechnical building works: QP(Geo) + AC"))))</f>
        <v/>
      </c>
      <c r="AQ173" s="38" t="str">
        <f aca="false">IF(C173="","",IF(LEN(IF(AND(U173&lt;&gt;"",IFERROR(VALUE(MID(U173,2,2)),0)&lt;SG_Criteria!$B$19),"FAIL: grade below C"&amp;SG_Criteria!$B$19&amp;". ","")&amp;IF(AND(LEFT(C173,3)="Con",N(H173)&lt;E173,G173="Kallang Formation (marine clay)"),"NOTE: CBP is not watertight below GWT in marine clay; consider secant / grouting. ","")&amp;IF(AND(C173="Steel Sheet Pile",D173="Permanent"),"NOTE: permanent sheet pile needs corrosion allowance. ","")&amp;IF(AND(F173="Cantilever (no support)",E173&gt;6),"NOTE: cantilever embedded wall &gt; 6 m, check deflection. ","")&amp;IF(AND(S173&lt;&gt;"",T173&lt;&gt;"",S173&gt;T173),"FAIL: deflection exceeds allowable. ",""))=0,"OK",IF(AND(U173&lt;&gt;"",IFERROR(VALUE(MID(U173,2,2)),0)&lt;SG_Criteria!$B$19),"FAIL: grade below C"&amp;SG_Criteria!$B$19&amp;". ","")&amp;IF(AND(LEFT(C173,3)="Con",N(H173)&lt;E173,G173="Kallang Formation (marine clay)"),"NOTE: CBP is not watertight below GWT in marine clay; consider secant / grouting. ","")&amp;IF(AND(C173="Steel Sheet Pile",D173="Permanent"),"NOTE: permanent sheet pile needs corrosion allowance. ","")&amp;IF(AND(F173="Cantilever (no support)",E173&gt;6),"NOTE: cantilever embedded wall &gt; 6 m, check deflection. ","")&amp;IF(AND(S173&lt;&gt;"",T173&lt;&gt;"",S173&gt;T173),"FAIL: deflection exceeds allowable. ","")))</f>
        <v/>
      </c>
      <c r="AR173" s="9"/>
      <c r="AS173" s="9"/>
      <c r="AT173" s="9"/>
      <c r="AU173" s="9"/>
      <c r="AV173" s="9"/>
      <c r="AW173" s="31"/>
      <c r="AX173" s="10" t="str">
        <f aca="false">IF(C173="","",IF(AND(Y173="Approved",ISERROR(SEARCH("FAIL",AQ173))),"Y","N"))</f>
        <v/>
      </c>
      <c r="AY173" s="10" t="str">
        <f aca="false">IF(C173="","",C173&amp;"|"&amp;E173&amp;"|"&amp;F173&amp;"|"&amp;G173&amp;"|"&amp;D173&amp;"|"&amp;AX173)</f>
        <v/>
      </c>
    </row>
    <row r="174" customFormat="false" ht="15" hidden="false" customHeight="false" outlineLevel="0" collapsed="false">
      <c r="A174" s="10" t="str">
        <f aca="false">IF(C174="","","EW-"&amp;IFERROR(VLOOKUP(C174,Lists!$P$4:$Q$22,2,0),"??")&amp;"-D"&amp;TEXT(E174*1000,"0000")&amp;"-"&amp;IFERROR(VLOOKUP(F174,Lists!$S$4:$T$21,2,0),"??")&amp;"-"&amp;IFERROR(VLOOKUP(G174,Lists!$Y$4:$Z$21,2,0),"??")&amp;"-"&amp;IFERROR(VLOOKUP(D174,Lists!$V$4:$W$16,2,0),"??")&amp;"-"&amp;X174)</f>
        <v/>
      </c>
      <c r="B174" s="10" t="str">
        <f aca="false">IF(C174="","",D174&amp;" "&amp;C174&amp;", excavation "&amp;TEXT(E174,"0.0")&amp;" m, "&amp;F174&amp;", "&amp;G174&amp;", "&amp;J174)</f>
        <v/>
      </c>
      <c r="C174" s="9"/>
      <c r="D174" s="9"/>
      <c r="E174" s="43"/>
      <c r="F174" s="9"/>
      <c r="G174" s="9"/>
      <c r="H174" s="43"/>
      <c r="I174" s="40"/>
      <c r="J174" s="9"/>
      <c r="K174" s="9"/>
      <c r="L174" s="9"/>
      <c r="M174" s="43"/>
      <c r="N174" s="43"/>
      <c r="O174" s="9"/>
      <c r="P174" s="9"/>
      <c r="Q174" s="9"/>
      <c r="R174" s="9"/>
      <c r="S174" s="40"/>
      <c r="T174" s="40"/>
      <c r="U174" s="9"/>
      <c r="V174" s="9"/>
      <c r="W174" s="9"/>
      <c r="X174" s="9"/>
      <c r="Y174" s="9"/>
      <c r="Z174" s="9"/>
      <c r="AA174" s="9"/>
      <c r="AB174" s="9"/>
      <c r="AC174" s="10" t="str">
        <f aca="false">IF(A174="","",SG_Criteria!$B$6&amp;SG_Criteria!$B$9&amp;"\"&amp;A174&amp;"\")</f>
        <v/>
      </c>
      <c r="AD174" s="10" t="str">
        <f aca="false">IF(A174="","",A174&amp;"_CAD.dwg")</f>
        <v/>
      </c>
      <c r="AE174" s="10" t="str">
        <f aca="false">IF(A174="","",A174&amp;"_DWG.pdf")</f>
        <v/>
      </c>
      <c r="AF174" s="10" t="str">
        <f aca="false">IF(A174="","",IF(AB174="Y",A174&amp;"_STAAD.std","n/a"))</f>
        <v/>
      </c>
      <c r="AG174" s="10" t="str">
        <f aca="false">IF(A174="","",A174&amp;"_CALC.xlsx")</f>
        <v/>
      </c>
      <c r="AH174" s="10" t="str">
        <f aca="false">IF(A174="","",A174&amp;"_CALC.pdf")</f>
        <v/>
      </c>
      <c r="AI174" s="9"/>
      <c r="AJ174" s="9"/>
      <c r="AK174" s="41"/>
      <c r="AL174" s="41"/>
      <c r="AM174" s="41"/>
      <c r="AN174" s="41"/>
      <c r="AO174" s="41"/>
      <c r="AP174" s="38" t="str">
        <f aca="false">IF(OR(C174="",E174=""),"",IF(E174&lt;=IF(C174="Soldier Pile &amp; Timber Lagging",SG_Criteria!$B$34,SG_Criteria!$B$33),"No ERSS submission",IF(E174&lt;=SG_Criteria!$B$35,"QP(ST)",IF(E174&lt;=SG_Criteria!$B$36,"QP(ST) + AC","Geotechnical building works: QP(Geo) + AC"))))</f>
        <v/>
      </c>
      <c r="AQ174" s="38" t="str">
        <f aca="false">IF(C174="","",IF(LEN(IF(AND(U174&lt;&gt;"",IFERROR(VALUE(MID(U174,2,2)),0)&lt;SG_Criteria!$B$19),"FAIL: grade below C"&amp;SG_Criteria!$B$19&amp;". ","")&amp;IF(AND(LEFT(C174,3)="Con",N(H174)&lt;E174,G174="Kallang Formation (marine clay)"),"NOTE: CBP is not watertight below GWT in marine clay; consider secant / grouting. ","")&amp;IF(AND(C174="Steel Sheet Pile",D174="Permanent"),"NOTE: permanent sheet pile needs corrosion allowance. ","")&amp;IF(AND(F174="Cantilever (no support)",E174&gt;6),"NOTE: cantilever embedded wall &gt; 6 m, check deflection. ","")&amp;IF(AND(S174&lt;&gt;"",T174&lt;&gt;"",S174&gt;T174),"FAIL: deflection exceeds allowable. ",""))=0,"OK",IF(AND(U174&lt;&gt;"",IFERROR(VALUE(MID(U174,2,2)),0)&lt;SG_Criteria!$B$19),"FAIL: grade below C"&amp;SG_Criteria!$B$19&amp;". ","")&amp;IF(AND(LEFT(C174,3)="Con",N(H174)&lt;E174,G174="Kallang Formation (marine clay)"),"NOTE: CBP is not watertight below GWT in marine clay; consider secant / grouting. ","")&amp;IF(AND(C174="Steel Sheet Pile",D174="Permanent"),"NOTE: permanent sheet pile needs corrosion allowance. ","")&amp;IF(AND(F174="Cantilever (no support)",E174&gt;6),"NOTE: cantilever embedded wall &gt; 6 m, check deflection. ","")&amp;IF(AND(S174&lt;&gt;"",T174&lt;&gt;"",S174&gt;T174),"FAIL: deflection exceeds allowable. ","")))</f>
        <v/>
      </c>
      <c r="AR174" s="9"/>
      <c r="AS174" s="9"/>
      <c r="AT174" s="9"/>
      <c r="AU174" s="9"/>
      <c r="AV174" s="9"/>
      <c r="AW174" s="31"/>
      <c r="AX174" s="10" t="str">
        <f aca="false">IF(C174="","",IF(AND(Y174="Approved",ISERROR(SEARCH("FAIL",AQ174))),"Y","N"))</f>
        <v/>
      </c>
      <c r="AY174" s="10" t="str">
        <f aca="false">IF(C174="","",C174&amp;"|"&amp;E174&amp;"|"&amp;F174&amp;"|"&amp;G174&amp;"|"&amp;D174&amp;"|"&amp;AX174)</f>
        <v/>
      </c>
    </row>
    <row r="175" customFormat="false" ht="15" hidden="false" customHeight="false" outlineLevel="0" collapsed="false">
      <c r="A175" s="10" t="str">
        <f aca="false">IF(C175="","","EW-"&amp;IFERROR(VLOOKUP(C175,Lists!$P$4:$Q$22,2,0),"??")&amp;"-D"&amp;TEXT(E175*1000,"0000")&amp;"-"&amp;IFERROR(VLOOKUP(F175,Lists!$S$4:$T$21,2,0),"??")&amp;"-"&amp;IFERROR(VLOOKUP(G175,Lists!$Y$4:$Z$21,2,0),"??")&amp;"-"&amp;IFERROR(VLOOKUP(D175,Lists!$V$4:$W$16,2,0),"??")&amp;"-"&amp;X175)</f>
        <v/>
      </c>
      <c r="B175" s="10" t="str">
        <f aca="false">IF(C175="","",D175&amp;" "&amp;C175&amp;", excavation "&amp;TEXT(E175,"0.0")&amp;" m, "&amp;F175&amp;", "&amp;G175&amp;", "&amp;J175)</f>
        <v/>
      </c>
      <c r="C175" s="9"/>
      <c r="D175" s="9"/>
      <c r="E175" s="43"/>
      <c r="F175" s="9"/>
      <c r="G175" s="9"/>
      <c r="H175" s="43"/>
      <c r="I175" s="40"/>
      <c r="J175" s="9"/>
      <c r="K175" s="9"/>
      <c r="L175" s="9"/>
      <c r="M175" s="43"/>
      <c r="N175" s="43"/>
      <c r="O175" s="9"/>
      <c r="P175" s="9"/>
      <c r="Q175" s="9"/>
      <c r="R175" s="9"/>
      <c r="S175" s="40"/>
      <c r="T175" s="40"/>
      <c r="U175" s="9"/>
      <c r="V175" s="9"/>
      <c r="W175" s="9"/>
      <c r="X175" s="9"/>
      <c r="Y175" s="9"/>
      <c r="Z175" s="9"/>
      <c r="AA175" s="9"/>
      <c r="AB175" s="9"/>
      <c r="AC175" s="10" t="str">
        <f aca="false">IF(A175="","",SG_Criteria!$B$6&amp;SG_Criteria!$B$9&amp;"\"&amp;A175&amp;"\")</f>
        <v/>
      </c>
      <c r="AD175" s="10" t="str">
        <f aca="false">IF(A175="","",A175&amp;"_CAD.dwg")</f>
        <v/>
      </c>
      <c r="AE175" s="10" t="str">
        <f aca="false">IF(A175="","",A175&amp;"_DWG.pdf")</f>
        <v/>
      </c>
      <c r="AF175" s="10" t="str">
        <f aca="false">IF(A175="","",IF(AB175="Y",A175&amp;"_STAAD.std","n/a"))</f>
        <v/>
      </c>
      <c r="AG175" s="10" t="str">
        <f aca="false">IF(A175="","",A175&amp;"_CALC.xlsx")</f>
        <v/>
      </c>
      <c r="AH175" s="10" t="str">
        <f aca="false">IF(A175="","",A175&amp;"_CALC.pdf")</f>
        <v/>
      </c>
      <c r="AI175" s="9"/>
      <c r="AJ175" s="9"/>
      <c r="AK175" s="41"/>
      <c r="AL175" s="41"/>
      <c r="AM175" s="41"/>
      <c r="AN175" s="41"/>
      <c r="AO175" s="41"/>
      <c r="AP175" s="38" t="str">
        <f aca="false">IF(OR(C175="",E175=""),"",IF(E175&lt;=IF(C175="Soldier Pile &amp; Timber Lagging",SG_Criteria!$B$34,SG_Criteria!$B$33),"No ERSS submission",IF(E175&lt;=SG_Criteria!$B$35,"QP(ST)",IF(E175&lt;=SG_Criteria!$B$36,"QP(ST) + AC","Geotechnical building works: QP(Geo) + AC"))))</f>
        <v/>
      </c>
      <c r="AQ175" s="38" t="str">
        <f aca="false">IF(C175="","",IF(LEN(IF(AND(U175&lt;&gt;"",IFERROR(VALUE(MID(U175,2,2)),0)&lt;SG_Criteria!$B$19),"FAIL: grade below C"&amp;SG_Criteria!$B$19&amp;". ","")&amp;IF(AND(LEFT(C175,3)="Con",N(H175)&lt;E175,G175="Kallang Formation (marine clay)"),"NOTE: CBP is not watertight below GWT in marine clay; consider secant / grouting. ","")&amp;IF(AND(C175="Steel Sheet Pile",D175="Permanent"),"NOTE: permanent sheet pile needs corrosion allowance. ","")&amp;IF(AND(F175="Cantilever (no support)",E175&gt;6),"NOTE: cantilever embedded wall &gt; 6 m, check deflection. ","")&amp;IF(AND(S175&lt;&gt;"",T175&lt;&gt;"",S175&gt;T175),"FAIL: deflection exceeds allowable. ",""))=0,"OK",IF(AND(U175&lt;&gt;"",IFERROR(VALUE(MID(U175,2,2)),0)&lt;SG_Criteria!$B$19),"FAIL: grade below C"&amp;SG_Criteria!$B$19&amp;". ","")&amp;IF(AND(LEFT(C175,3)="Con",N(H175)&lt;E175,G175="Kallang Formation (marine clay)"),"NOTE: CBP is not watertight below GWT in marine clay; consider secant / grouting. ","")&amp;IF(AND(C175="Steel Sheet Pile",D175="Permanent"),"NOTE: permanent sheet pile needs corrosion allowance. ","")&amp;IF(AND(F175="Cantilever (no support)",E175&gt;6),"NOTE: cantilever embedded wall &gt; 6 m, check deflection. ","")&amp;IF(AND(S175&lt;&gt;"",T175&lt;&gt;"",S175&gt;T175),"FAIL: deflection exceeds allowable. ","")))</f>
        <v/>
      </c>
      <c r="AR175" s="9"/>
      <c r="AS175" s="9"/>
      <c r="AT175" s="9"/>
      <c r="AU175" s="9"/>
      <c r="AV175" s="9"/>
      <c r="AW175" s="31"/>
      <c r="AX175" s="10" t="str">
        <f aca="false">IF(C175="","",IF(AND(Y175="Approved",ISERROR(SEARCH("FAIL",AQ175))),"Y","N"))</f>
        <v/>
      </c>
      <c r="AY175" s="10" t="str">
        <f aca="false">IF(C175="","",C175&amp;"|"&amp;E175&amp;"|"&amp;F175&amp;"|"&amp;G175&amp;"|"&amp;D175&amp;"|"&amp;AX175)</f>
        <v/>
      </c>
    </row>
    <row r="176" customFormat="false" ht="15" hidden="false" customHeight="false" outlineLevel="0" collapsed="false">
      <c r="A176" s="10" t="str">
        <f aca="false">IF(C176="","","EW-"&amp;IFERROR(VLOOKUP(C176,Lists!$P$4:$Q$22,2,0),"??")&amp;"-D"&amp;TEXT(E176*1000,"0000")&amp;"-"&amp;IFERROR(VLOOKUP(F176,Lists!$S$4:$T$21,2,0),"??")&amp;"-"&amp;IFERROR(VLOOKUP(G176,Lists!$Y$4:$Z$21,2,0),"??")&amp;"-"&amp;IFERROR(VLOOKUP(D176,Lists!$V$4:$W$16,2,0),"??")&amp;"-"&amp;X176)</f>
        <v/>
      </c>
      <c r="B176" s="10" t="str">
        <f aca="false">IF(C176="","",D176&amp;" "&amp;C176&amp;", excavation "&amp;TEXT(E176,"0.0")&amp;" m, "&amp;F176&amp;", "&amp;G176&amp;", "&amp;J176)</f>
        <v/>
      </c>
      <c r="C176" s="9"/>
      <c r="D176" s="9"/>
      <c r="E176" s="43"/>
      <c r="F176" s="9"/>
      <c r="G176" s="9"/>
      <c r="H176" s="43"/>
      <c r="I176" s="40"/>
      <c r="J176" s="9"/>
      <c r="K176" s="9"/>
      <c r="L176" s="9"/>
      <c r="M176" s="43"/>
      <c r="N176" s="43"/>
      <c r="O176" s="9"/>
      <c r="P176" s="9"/>
      <c r="Q176" s="9"/>
      <c r="R176" s="9"/>
      <c r="S176" s="40"/>
      <c r="T176" s="40"/>
      <c r="U176" s="9"/>
      <c r="V176" s="9"/>
      <c r="W176" s="9"/>
      <c r="X176" s="9"/>
      <c r="Y176" s="9"/>
      <c r="Z176" s="9"/>
      <c r="AA176" s="9"/>
      <c r="AB176" s="9"/>
      <c r="AC176" s="10" t="str">
        <f aca="false">IF(A176="","",SG_Criteria!$B$6&amp;SG_Criteria!$B$9&amp;"\"&amp;A176&amp;"\")</f>
        <v/>
      </c>
      <c r="AD176" s="10" t="str">
        <f aca="false">IF(A176="","",A176&amp;"_CAD.dwg")</f>
        <v/>
      </c>
      <c r="AE176" s="10" t="str">
        <f aca="false">IF(A176="","",A176&amp;"_DWG.pdf")</f>
        <v/>
      </c>
      <c r="AF176" s="10" t="str">
        <f aca="false">IF(A176="","",IF(AB176="Y",A176&amp;"_STAAD.std","n/a"))</f>
        <v/>
      </c>
      <c r="AG176" s="10" t="str">
        <f aca="false">IF(A176="","",A176&amp;"_CALC.xlsx")</f>
        <v/>
      </c>
      <c r="AH176" s="10" t="str">
        <f aca="false">IF(A176="","",A176&amp;"_CALC.pdf")</f>
        <v/>
      </c>
      <c r="AI176" s="9"/>
      <c r="AJ176" s="9"/>
      <c r="AK176" s="41"/>
      <c r="AL176" s="41"/>
      <c r="AM176" s="41"/>
      <c r="AN176" s="41"/>
      <c r="AO176" s="41"/>
      <c r="AP176" s="38" t="str">
        <f aca="false">IF(OR(C176="",E176=""),"",IF(E176&lt;=IF(C176="Soldier Pile &amp; Timber Lagging",SG_Criteria!$B$34,SG_Criteria!$B$33),"No ERSS submission",IF(E176&lt;=SG_Criteria!$B$35,"QP(ST)",IF(E176&lt;=SG_Criteria!$B$36,"QP(ST) + AC","Geotechnical building works: QP(Geo) + AC"))))</f>
        <v/>
      </c>
      <c r="AQ176" s="38" t="str">
        <f aca="false">IF(C176="","",IF(LEN(IF(AND(U176&lt;&gt;"",IFERROR(VALUE(MID(U176,2,2)),0)&lt;SG_Criteria!$B$19),"FAIL: grade below C"&amp;SG_Criteria!$B$19&amp;". ","")&amp;IF(AND(LEFT(C176,3)="Con",N(H176)&lt;E176,G176="Kallang Formation (marine clay)"),"NOTE: CBP is not watertight below GWT in marine clay; consider secant / grouting. ","")&amp;IF(AND(C176="Steel Sheet Pile",D176="Permanent"),"NOTE: permanent sheet pile needs corrosion allowance. ","")&amp;IF(AND(F176="Cantilever (no support)",E176&gt;6),"NOTE: cantilever embedded wall &gt; 6 m, check deflection. ","")&amp;IF(AND(S176&lt;&gt;"",T176&lt;&gt;"",S176&gt;T176),"FAIL: deflection exceeds allowable. ",""))=0,"OK",IF(AND(U176&lt;&gt;"",IFERROR(VALUE(MID(U176,2,2)),0)&lt;SG_Criteria!$B$19),"FAIL: grade below C"&amp;SG_Criteria!$B$19&amp;". ","")&amp;IF(AND(LEFT(C176,3)="Con",N(H176)&lt;E176,G176="Kallang Formation (marine clay)"),"NOTE: CBP is not watertight below GWT in marine clay; consider secant / grouting. ","")&amp;IF(AND(C176="Steel Sheet Pile",D176="Permanent"),"NOTE: permanent sheet pile needs corrosion allowance. ","")&amp;IF(AND(F176="Cantilever (no support)",E176&gt;6),"NOTE: cantilever embedded wall &gt; 6 m, check deflection. ","")&amp;IF(AND(S176&lt;&gt;"",T176&lt;&gt;"",S176&gt;T176),"FAIL: deflection exceeds allowable. ","")))</f>
        <v/>
      </c>
      <c r="AR176" s="9"/>
      <c r="AS176" s="9"/>
      <c r="AT176" s="9"/>
      <c r="AU176" s="9"/>
      <c r="AV176" s="9"/>
      <c r="AW176" s="31"/>
      <c r="AX176" s="10" t="str">
        <f aca="false">IF(C176="","",IF(AND(Y176="Approved",ISERROR(SEARCH("FAIL",AQ176))),"Y","N"))</f>
        <v/>
      </c>
      <c r="AY176" s="10" t="str">
        <f aca="false">IF(C176="","",C176&amp;"|"&amp;E176&amp;"|"&amp;F176&amp;"|"&amp;G176&amp;"|"&amp;D176&amp;"|"&amp;AX176)</f>
        <v/>
      </c>
    </row>
    <row r="177" customFormat="false" ht="15" hidden="false" customHeight="false" outlineLevel="0" collapsed="false">
      <c r="A177" s="10" t="str">
        <f aca="false">IF(C177="","","EW-"&amp;IFERROR(VLOOKUP(C177,Lists!$P$4:$Q$22,2,0),"??")&amp;"-D"&amp;TEXT(E177*1000,"0000")&amp;"-"&amp;IFERROR(VLOOKUP(F177,Lists!$S$4:$T$21,2,0),"??")&amp;"-"&amp;IFERROR(VLOOKUP(G177,Lists!$Y$4:$Z$21,2,0),"??")&amp;"-"&amp;IFERROR(VLOOKUP(D177,Lists!$V$4:$W$16,2,0),"??")&amp;"-"&amp;X177)</f>
        <v/>
      </c>
      <c r="B177" s="10" t="str">
        <f aca="false">IF(C177="","",D177&amp;" "&amp;C177&amp;", excavation "&amp;TEXT(E177,"0.0")&amp;" m, "&amp;F177&amp;", "&amp;G177&amp;", "&amp;J177)</f>
        <v/>
      </c>
      <c r="C177" s="9"/>
      <c r="D177" s="9"/>
      <c r="E177" s="43"/>
      <c r="F177" s="9"/>
      <c r="G177" s="9"/>
      <c r="H177" s="43"/>
      <c r="I177" s="40"/>
      <c r="J177" s="9"/>
      <c r="K177" s="9"/>
      <c r="L177" s="9"/>
      <c r="M177" s="43"/>
      <c r="N177" s="43"/>
      <c r="O177" s="9"/>
      <c r="P177" s="9"/>
      <c r="Q177" s="9"/>
      <c r="R177" s="9"/>
      <c r="S177" s="40"/>
      <c r="T177" s="40"/>
      <c r="U177" s="9"/>
      <c r="V177" s="9"/>
      <c r="W177" s="9"/>
      <c r="X177" s="9"/>
      <c r="Y177" s="9"/>
      <c r="Z177" s="9"/>
      <c r="AA177" s="9"/>
      <c r="AB177" s="9"/>
      <c r="AC177" s="10" t="str">
        <f aca="false">IF(A177="","",SG_Criteria!$B$6&amp;SG_Criteria!$B$9&amp;"\"&amp;A177&amp;"\")</f>
        <v/>
      </c>
      <c r="AD177" s="10" t="str">
        <f aca="false">IF(A177="","",A177&amp;"_CAD.dwg")</f>
        <v/>
      </c>
      <c r="AE177" s="10" t="str">
        <f aca="false">IF(A177="","",A177&amp;"_DWG.pdf")</f>
        <v/>
      </c>
      <c r="AF177" s="10" t="str">
        <f aca="false">IF(A177="","",IF(AB177="Y",A177&amp;"_STAAD.std","n/a"))</f>
        <v/>
      </c>
      <c r="AG177" s="10" t="str">
        <f aca="false">IF(A177="","",A177&amp;"_CALC.xlsx")</f>
        <v/>
      </c>
      <c r="AH177" s="10" t="str">
        <f aca="false">IF(A177="","",A177&amp;"_CALC.pdf")</f>
        <v/>
      </c>
      <c r="AI177" s="9"/>
      <c r="AJ177" s="9"/>
      <c r="AK177" s="41"/>
      <c r="AL177" s="41"/>
      <c r="AM177" s="41"/>
      <c r="AN177" s="41"/>
      <c r="AO177" s="41"/>
      <c r="AP177" s="38" t="str">
        <f aca="false">IF(OR(C177="",E177=""),"",IF(E177&lt;=IF(C177="Soldier Pile &amp; Timber Lagging",SG_Criteria!$B$34,SG_Criteria!$B$33),"No ERSS submission",IF(E177&lt;=SG_Criteria!$B$35,"QP(ST)",IF(E177&lt;=SG_Criteria!$B$36,"QP(ST) + AC","Geotechnical building works: QP(Geo) + AC"))))</f>
        <v/>
      </c>
      <c r="AQ177" s="38" t="str">
        <f aca="false">IF(C177="","",IF(LEN(IF(AND(U177&lt;&gt;"",IFERROR(VALUE(MID(U177,2,2)),0)&lt;SG_Criteria!$B$19),"FAIL: grade below C"&amp;SG_Criteria!$B$19&amp;". ","")&amp;IF(AND(LEFT(C177,3)="Con",N(H177)&lt;E177,G177="Kallang Formation (marine clay)"),"NOTE: CBP is not watertight below GWT in marine clay; consider secant / grouting. ","")&amp;IF(AND(C177="Steel Sheet Pile",D177="Permanent"),"NOTE: permanent sheet pile needs corrosion allowance. ","")&amp;IF(AND(F177="Cantilever (no support)",E177&gt;6),"NOTE: cantilever embedded wall &gt; 6 m, check deflection. ","")&amp;IF(AND(S177&lt;&gt;"",T177&lt;&gt;"",S177&gt;T177),"FAIL: deflection exceeds allowable. ",""))=0,"OK",IF(AND(U177&lt;&gt;"",IFERROR(VALUE(MID(U177,2,2)),0)&lt;SG_Criteria!$B$19),"FAIL: grade below C"&amp;SG_Criteria!$B$19&amp;". ","")&amp;IF(AND(LEFT(C177,3)="Con",N(H177)&lt;E177,G177="Kallang Formation (marine clay)"),"NOTE: CBP is not watertight below GWT in marine clay; consider secant / grouting. ","")&amp;IF(AND(C177="Steel Sheet Pile",D177="Permanent"),"NOTE: permanent sheet pile needs corrosion allowance. ","")&amp;IF(AND(F177="Cantilever (no support)",E177&gt;6),"NOTE: cantilever embedded wall &gt; 6 m, check deflection. ","")&amp;IF(AND(S177&lt;&gt;"",T177&lt;&gt;"",S177&gt;T177),"FAIL: deflection exceeds allowable. ","")))</f>
        <v/>
      </c>
      <c r="AR177" s="9"/>
      <c r="AS177" s="9"/>
      <c r="AT177" s="9"/>
      <c r="AU177" s="9"/>
      <c r="AV177" s="9"/>
      <c r="AW177" s="31"/>
      <c r="AX177" s="10" t="str">
        <f aca="false">IF(C177="","",IF(AND(Y177="Approved",ISERROR(SEARCH("FAIL",AQ177))),"Y","N"))</f>
        <v/>
      </c>
      <c r="AY177" s="10" t="str">
        <f aca="false">IF(C177="","",C177&amp;"|"&amp;E177&amp;"|"&amp;F177&amp;"|"&amp;G177&amp;"|"&amp;D177&amp;"|"&amp;AX177)</f>
        <v/>
      </c>
    </row>
    <row r="178" customFormat="false" ht="15" hidden="false" customHeight="false" outlineLevel="0" collapsed="false">
      <c r="A178" s="10" t="str">
        <f aca="false">IF(C178="","","EW-"&amp;IFERROR(VLOOKUP(C178,Lists!$P$4:$Q$22,2,0),"??")&amp;"-D"&amp;TEXT(E178*1000,"0000")&amp;"-"&amp;IFERROR(VLOOKUP(F178,Lists!$S$4:$T$21,2,0),"??")&amp;"-"&amp;IFERROR(VLOOKUP(G178,Lists!$Y$4:$Z$21,2,0),"??")&amp;"-"&amp;IFERROR(VLOOKUP(D178,Lists!$V$4:$W$16,2,0),"??")&amp;"-"&amp;X178)</f>
        <v/>
      </c>
      <c r="B178" s="10" t="str">
        <f aca="false">IF(C178="","",D178&amp;" "&amp;C178&amp;", excavation "&amp;TEXT(E178,"0.0")&amp;" m, "&amp;F178&amp;", "&amp;G178&amp;", "&amp;J178)</f>
        <v/>
      </c>
      <c r="C178" s="9"/>
      <c r="D178" s="9"/>
      <c r="E178" s="43"/>
      <c r="F178" s="9"/>
      <c r="G178" s="9"/>
      <c r="H178" s="43"/>
      <c r="I178" s="40"/>
      <c r="J178" s="9"/>
      <c r="K178" s="9"/>
      <c r="L178" s="9"/>
      <c r="M178" s="43"/>
      <c r="N178" s="43"/>
      <c r="O178" s="9"/>
      <c r="P178" s="9"/>
      <c r="Q178" s="9"/>
      <c r="R178" s="9"/>
      <c r="S178" s="40"/>
      <c r="T178" s="40"/>
      <c r="U178" s="9"/>
      <c r="V178" s="9"/>
      <c r="W178" s="9"/>
      <c r="X178" s="9"/>
      <c r="Y178" s="9"/>
      <c r="Z178" s="9"/>
      <c r="AA178" s="9"/>
      <c r="AB178" s="9"/>
      <c r="AC178" s="10" t="str">
        <f aca="false">IF(A178="","",SG_Criteria!$B$6&amp;SG_Criteria!$B$9&amp;"\"&amp;A178&amp;"\")</f>
        <v/>
      </c>
      <c r="AD178" s="10" t="str">
        <f aca="false">IF(A178="","",A178&amp;"_CAD.dwg")</f>
        <v/>
      </c>
      <c r="AE178" s="10" t="str">
        <f aca="false">IF(A178="","",A178&amp;"_DWG.pdf")</f>
        <v/>
      </c>
      <c r="AF178" s="10" t="str">
        <f aca="false">IF(A178="","",IF(AB178="Y",A178&amp;"_STAAD.std","n/a"))</f>
        <v/>
      </c>
      <c r="AG178" s="10" t="str">
        <f aca="false">IF(A178="","",A178&amp;"_CALC.xlsx")</f>
        <v/>
      </c>
      <c r="AH178" s="10" t="str">
        <f aca="false">IF(A178="","",A178&amp;"_CALC.pdf")</f>
        <v/>
      </c>
      <c r="AI178" s="9"/>
      <c r="AJ178" s="9"/>
      <c r="AK178" s="41"/>
      <c r="AL178" s="41"/>
      <c r="AM178" s="41"/>
      <c r="AN178" s="41"/>
      <c r="AO178" s="41"/>
      <c r="AP178" s="38" t="str">
        <f aca="false">IF(OR(C178="",E178=""),"",IF(E178&lt;=IF(C178="Soldier Pile &amp; Timber Lagging",SG_Criteria!$B$34,SG_Criteria!$B$33),"No ERSS submission",IF(E178&lt;=SG_Criteria!$B$35,"QP(ST)",IF(E178&lt;=SG_Criteria!$B$36,"QP(ST) + AC","Geotechnical building works: QP(Geo) + AC"))))</f>
        <v/>
      </c>
      <c r="AQ178" s="38" t="str">
        <f aca="false">IF(C178="","",IF(LEN(IF(AND(U178&lt;&gt;"",IFERROR(VALUE(MID(U178,2,2)),0)&lt;SG_Criteria!$B$19),"FAIL: grade below C"&amp;SG_Criteria!$B$19&amp;". ","")&amp;IF(AND(LEFT(C178,3)="Con",N(H178)&lt;E178,G178="Kallang Formation (marine clay)"),"NOTE: CBP is not watertight below GWT in marine clay; consider secant / grouting. ","")&amp;IF(AND(C178="Steel Sheet Pile",D178="Permanent"),"NOTE: permanent sheet pile needs corrosion allowance. ","")&amp;IF(AND(F178="Cantilever (no support)",E178&gt;6),"NOTE: cantilever embedded wall &gt; 6 m, check deflection. ","")&amp;IF(AND(S178&lt;&gt;"",T178&lt;&gt;"",S178&gt;T178),"FAIL: deflection exceeds allowable. ",""))=0,"OK",IF(AND(U178&lt;&gt;"",IFERROR(VALUE(MID(U178,2,2)),0)&lt;SG_Criteria!$B$19),"FAIL: grade below C"&amp;SG_Criteria!$B$19&amp;". ","")&amp;IF(AND(LEFT(C178,3)="Con",N(H178)&lt;E178,G178="Kallang Formation (marine clay)"),"NOTE: CBP is not watertight below GWT in marine clay; consider secant / grouting. ","")&amp;IF(AND(C178="Steel Sheet Pile",D178="Permanent"),"NOTE: permanent sheet pile needs corrosion allowance. ","")&amp;IF(AND(F178="Cantilever (no support)",E178&gt;6),"NOTE: cantilever embedded wall &gt; 6 m, check deflection. ","")&amp;IF(AND(S178&lt;&gt;"",T178&lt;&gt;"",S178&gt;T178),"FAIL: deflection exceeds allowable. ","")))</f>
        <v/>
      </c>
      <c r="AR178" s="9"/>
      <c r="AS178" s="9"/>
      <c r="AT178" s="9"/>
      <c r="AU178" s="9"/>
      <c r="AV178" s="9"/>
      <c r="AW178" s="31"/>
      <c r="AX178" s="10" t="str">
        <f aca="false">IF(C178="","",IF(AND(Y178="Approved",ISERROR(SEARCH("FAIL",AQ178))),"Y","N"))</f>
        <v/>
      </c>
      <c r="AY178" s="10" t="str">
        <f aca="false">IF(C178="","",C178&amp;"|"&amp;E178&amp;"|"&amp;F178&amp;"|"&amp;G178&amp;"|"&amp;D178&amp;"|"&amp;AX178)</f>
        <v/>
      </c>
    </row>
    <row r="179" customFormat="false" ht="15" hidden="false" customHeight="false" outlineLevel="0" collapsed="false">
      <c r="A179" s="10" t="str">
        <f aca="false">IF(C179="","","EW-"&amp;IFERROR(VLOOKUP(C179,Lists!$P$4:$Q$22,2,0),"??")&amp;"-D"&amp;TEXT(E179*1000,"0000")&amp;"-"&amp;IFERROR(VLOOKUP(F179,Lists!$S$4:$T$21,2,0),"??")&amp;"-"&amp;IFERROR(VLOOKUP(G179,Lists!$Y$4:$Z$21,2,0),"??")&amp;"-"&amp;IFERROR(VLOOKUP(D179,Lists!$V$4:$W$16,2,0),"??")&amp;"-"&amp;X179)</f>
        <v/>
      </c>
      <c r="B179" s="10" t="str">
        <f aca="false">IF(C179="","",D179&amp;" "&amp;C179&amp;", excavation "&amp;TEXT(E179,"0.0")&amp;" m, "&amp;F179&amp;", "&amp;G179&amp;", "&amp;J179)</f>
        <v/>
      </c>
      <c r="C179" s="9"/>
      <c r="D179" s="9"/>
      <c r="E179" s="43"/>
      <c r="F179" s="9"/>
      <c r="G179" s="9"/>
      <c r="H179" s="43"/>
      <c r="I179" s="40"/>
      <c r="J179" s="9"/>
      <c r="K179" s="9"/>
      <c r="L179" s="9"/>
      <c r="M179" s="43"/>
      <c r="N179" s="43"/>
      <c r="O179" s="9"/>
      <c r="P179" s="9"/>
      <c r="Q179" s="9"/>
      <c r="R179" s="9"/>
      <c r="S179" s="40"/>
      <c r="T179" s="40"/>
      <c r="U179" s="9"/>
      <c r="V179" s="9"/>
      <c r="W179" s="9"/>
      <c r="X179" s="9"/>
      <c r="Y179" s="9"/>
      <c r="Z179" s="9"/>
      <c r="AA179" s="9"/>
      <c r="AB179" s="9"/>
      <c r="AC179" s="10" t="str">
        <f aca="false">IF(A179="","",SG_Criteria!$B$6&amp;SG_Criteria!$B$9&amp;"\"&amp;A179&amp;"\")</f>
        <v/>
      </c>
      <c r="AD179" s="10" t="str">
        <f aca="false">IF(A179="","",A179&amp;"_CAD.dwg")</f>
        <v/>
      </c>
      <c r="AE179" s="10" t="str">
        <f aca="false">IF(A179="","",A179&amp;"_DWG.pdf")</f>
        <v/>
      </c>
      <c r="AF179" s="10" t="str">
        <f aca="false">IF(A179="","",IF(AB179="Y",A179&amp;"_STAAD.std","n/a"))</f>
        <v/>
      </c>
      <c r="AG179" s="10" t="str">
        <f aca="false">IF(A179="","",A179&amp;"_CALC.xlsx")</f>
        <v/>
      </c>
      <c r="AH179" s="10" t="str">
        <f aca="false">IF(A179="","",A179&amp;"_CALC.pdf")</f>
        <v/>
      </c>
      <c r="AI179" s="9"/>
      <c r="AJ179" s="9"/>
      <c r="AK179" s="41"/>
      <c r="AL179" s="41"/>
      <c r="AM179" s="41"/>
      <c r="AN179" s="41"/>
      <c r="AO179" s="41"/>
      <c r="AP179" s="38" t="str">
        <f aca="false">IF(OR(C179="",E179=""),"",IF(E179&lt;=IF(C179="Soldier Pile &amp; Timber Lagging",SG_Criteria!$B$34,SG_Criteria!$B$33),"No ERSS submission",IF(E179&lt;=SG_Criteria!$B$35,"QP(ST)",IF(E179&lt;=SG_Criteria!$B$36,"QP(ST) + AC","Geotechnical building works: QP(Geo) + AC"))))</f>
        <v/>
      </c>
      <c r="AQ179" s="38" t="str">
        <f aca="false">IF(C179="","",IF(LEN(IF(AND(U179&lt;&gt;"",IFERROR(VALUE(MID(U179,2,2)),0)&lt;SG_Criteria!$B$19),"FAIL: grade below C"&amp;SG_Criteria!$B$19&amp;". ","")&amp;IF(AND(LEFT(C179,3)="Con",N(H179)&lt;E179,G179="Kallang Formation (marine clay)"),"NOTE: CBP is not watertight below GWT in marine clay; consider secant / grouting. ","")&amp;IF(AND(C179="Steel Sheet Pile",D179="Permanent"),"NOTE: permanent sheet pile needs corrosion allowance. ","")&amp;IF(AND(F179="Cantilever (no support)",E179&gt;6),"NOTE: cantilever embedded wall &gt; 6 m, check deflection. ","")&amp;IF(AND(S179&lt;&gt;"",T179&lt;&gt;"",S179&gt;T179),"FAIL: deflection exceeds allowable. ",""))=0,"OK",IF(AND(U179&lt;&gt;"",IFERROR(VALUE(MID(U179,2,2)),0)&lt;SG_Criteria!$B$19),"FAIL: grade below C"&amp;SG_Criteria!$B$19&amp;". ","")&amp;IF(AND(LEFT(C179,3)="Con",N(H179)&lt;E179,G179="Kallang Formation (marine clay)"),"NOTE: CBP is not watertight below GWT in marine clay; consider secant / grouting. ","")&amp;IF(AND(C179="Steel Sheet Pile",D179="Permanent"),"NOTE: permanent sheet pile needs corrosion allowance. ","")&amp;IF(AND(F179="Cantilever (no support)",E179&gt;6),"NOTE: cantilever embedded wall &gt; 6 m, check deflection. ","")&amp;IF(AND(S179&lt;&gt;"",T179&lt;&gt;"",S179&gt;T179),"FAIL: deflection exceeds allowable. ","")))</f>
        <v/>
      </c>
      <c r="AR179" s="9"/>
      <c r="AS179" s="9"/>
      <c r="AT179" s="9"/>
      <c r="AU179" s="9"/>
      <c r="AV179" s="9"/>
      <c r="AW179" s="31"/>
      <c r="AX179" s="10" t="str">
        <f aca="false">IF(C179="","",IF(AND(Y179="Approved",ISERROR(SEARCH("FAIL",AQ179))),"Y","N"))</f>
        <v/>
      </c>
      <c r="AY179" s="10" t="str">
        <f aca="false">IF(C179="","",C179&amp;"|"&amp;E179&amp;"|"&amp;F179&amp;"|"&amp;G179&amp;"|"&amp;D179&amp;"|"&amp;AX179)</f>
        <v/>
      </c>
    </row>
    <row r="180" customFormat="false" ht="15" hidden="false" customHeight="false" outlineLevel="0" collapsed="false">
      <c r="A180" s="10" t="str">
        <f aca="false">IF(C180="","","EW-"&amp;IFERROR(VLOOKUP(C180,Lists!$P$4:$Q$22,2,0),"??")&amp;"-D"&amp;TEXT(E180*1000,"0000")&amp;"-"&amp;IFERROR(VLOOKUP(F180,Lists!$S$4:$T$21,2,0),"??")&amp;"-"&amp;IFERROR(VLOOKUP(G180,Lists!$Y$4:$Z$21,2,0),"??")&amp;"-"&amp;IFERROR(VLOOKUP(D180,Lists!$V$4:$W$16,2,0),"??")&amp;"-"&amp;X180)</f>
        <v/>
      </c>
      <c r="B180" s="10" t="str">
        <f aca="false">IF(C180="","",D180&amp;" "&amp;C180&amp;", excavation "&amp;TEXT(E180,"0.0")&amp;" m, "&amp;F180&amp;", "&amp;G180&amp;", "&amp;J180)</f>
        <v/>
      </c>
      <c r="C180" s="9"/>
      <c r="D180" s="9"/>
      <c r="E180" s="43"/>
      <c r="F180" s="9"/>
      <c r="G180" s="9"/>
      <c r="H180" s="43"/>
      <c r="I180" s="40"/>
      <c r="J180" s="9"/>
      <c r="K180" s="9"/>
      <c r="L180" s="9"/>
      <c r="M180" s="43"/>
      <c r="N180" s="43"/>
      <c r="O180" s="9"/>
      <c r="P180" s="9"/>
      <c r="Q180" s="9"/>
      <c r="R180" s="9"/>
      <c r="S180" s="40"/>
      <c r="T180" s="40"/>
      <c r="U180" s="9"/>
      <c r="V180" s="9"/>
      <c r="W180" s="9"/>
      <c r="X180" s="9"/>
      <c r="Y180" s="9"/>
      <c r="Z180" s="9"/>
      <c r="AA180" s="9"/>
      <c r="AB180" s="9"/>
      <c r="AC180" s="10" t="str">
        <f aca="false">IF(A180="","",SG_Criteria!$B$6&amp;SG_Criteria!$B$9&amp;"\"&amp;A180&amp;"\")</f>
        <v/>
      </c>
      <c r="AD180" s="10" t="str">
        <f aca="false">IF(A180="","",A180&amp;"_CAD.dwg")</f>
        <v/>
      </c>
      <c r="AE180" s="10" t="str">
        <f aca="false">IF(A180="","",A180&amp;"_DWG.pdf")</f>
        <v/>
      </c>
      <c r="AF180" s="10" t="str">
        <f aca="false">IF(A180="","",IF(AB180="Y",A180&amp;"_STAAD.std","n/a"))</f>
        <v/>
      </c>
      <c r="AG180" s="10" t="str">
        <f aca="false">IF(A180="","",A180&amp;"_CALC.xlsx")</f>
        <v/>
      </c>
      <c r="AH180" s="10" t="str">
        <f aca="false">IF(A180="","",A180&amp;"_CALC.pdf")</f>
        <v/>
      </c>
      <c r="AI180" s="9"/>
      <c r="AJ180" s="9"/>
      <c r="AK180" s="41"/>
      <c r="AL180" s="41"/>
      <c r="AM180" s="41"/>
      <c r="AN180" s="41"/>
      <c r="AO180" s="41"/>
      <c r="AP180" s="38" t="str">
        <f aca="false">IF(OR(C180="",E180=""),"",IF(E180&lt;=IF(C180="Soldier Pile &amp; Timber Lagging",SG_Criteria!$B$34,SG_Criteria!$B$33),"No ERSS submission",IF(E180&lt;=SG_Criteria!$B$35,"QP(ST)",IF(E180&lt;=SG_Criteria!$B$36,"QP(ST) + AC","Geotechnical building works: QP(Geo) + AC"))))</f>
        <v/>
      </c>
      <c r="AQ180" s="38" t="str">
        <f aca="false">IF(C180="","",IF(LEN(IF(AND(U180&lt;&gt;"",IFERROR(VALUE(MID(U180,2,2)),0)&lt;SG_Criteria!$B$19),"FAIL: grade below C"&amp;SG_Criteria!$B$19&amp;". ","")&amp;IF(AND(LEFT(C180,3)="Con",N(H180)&lt;E180,G180="Kallang Formation (marine clay)"),"NOTE: CBP is not watertight below GWT in marine clay; consider secant / grouting. ","")&amp;IF(AND(C180="Steel Sheet Pile",D180="Permanent"),"NOTE: permanent sheet pile needs corrosion allowance. ","")&amp;IF(AND(F180="Cantilever (no support)",E180&gt;6),"NOTE: cantilever embedded wall &gt; 6 m, check deflection. ","")&amp;IF(AND(S180&lt;&gt;"",T180&lt;&gt;"",S180&gt;T180),"FAIL: deflection exceeds allowable. ",""))=0,"OK",IF(AND(U180&lt;&gt;"",IFERROR(VALUE(MID(U180,2,2)),0)&lt;SG_Criteria!$B$19),"FAIL: grade below C"&amp;SG_Criteria!$B$19&amp;". ","")&amp;IF(AND(LEFT(C180,3)="Con",N(H180)&lt;E180,G180="Kallang Formation (marine clay)"),"NOTE: CBP is not watertight below GWT in marine clay; consider secant / grouting. ","")&amp;IF(AND(C180="Steel Sheet Pile",D180="Permanent"),"NOTE: permanent sheet pile needs corrosion allowance. ","")&amp;IF(AND(F180="Cantilever (no support)",E180&gt;6),"NOTE: cantilever embedded wall &gt; 6 m, check deflection. ","")&amp;IF(AND(S180&lt;&gt;"",T180&lt;&gt;"",S180&gt;T180),"FAIL: deflection exceeds allowable. ","")))</f>
        <v/>
      </c>
      <c r="AR180" s="9"/>
      <c r="AS180" s="9"/>
      <c r="AT180" s="9"/>
      <c r="AU180" s="9"/>
      <c r="AV180" s="9"/>
      <c r="AW180" s="31"/>
      <c r="AX180" s="10" t="str">
        <f aca="false">IF(C180="","",IF(AND(Y180="Approved",ISERROR(SEARCH("FAIL",AQ180))),"Y","N"))</f>
        <v/>
      </c>
      <c r="AY180" s="10" t="str">
        <f aca="false">IF(C180="","",C180&amp;"|"&amp;E180&amp;"|"&amp;F180&amp;"|"&amp;G180&amp;"|"&amp;D180&amp;"|"&amp;AX180)</f>
        <v/>
      </c>
    </row>
    <row r="181" customFormat="false" ht="15" hidden="false" customHeight="false" outlineLevel="0" collapsed="false">
      <c r="A181" s="10" t="str">
        <f aca="false">IF(C181="","","EW-"&amp;IFERROR(VLOOKUP(C181,Lists!$P$4:$Q$22,2,0),"??")&amp;"-D"&amp;TEXT(E181*1000,"0000")&amp;"-"&amp;IFERROR(VLOOKUP(F181,Lists!$S$4:$T$21,2,0),"??")&amp;"-"&amp;IFERROR(VLOOKUP(G181,Lists!$Y$4:$Z$21,2,0),"??")&amp;"-"&amp;IFERROR(VLOOKUP(D181,Lists!$V$4:$W$16,2,0),"??")&amp;"-"&amp;X181)</f>
        <v/>
      </c>
      <c r="B181" s="10" t="str">
        <f aca="false">IF(C181="","",D181&amp;" "&amp;C181&amp;", excavation "&amp;TEXT(E181,"0.0")&amp;" m, "&amp;F181&amp;", "&amp;G181&amp;", "&amp;J181)</f>
        <v/>
      </c>
      <c r="C181" s="9"/>
      <c r="D181" s="9"/>
      <c r="E181" s="43"/>
      <c r="F181" s="9"/>
      <c r="G181" s="9"/>
      <c r="H181" s="43"/>
      <c r="I181" s="40"/>
      <c r="J181" s="9"/>
      <c r="K181" s="9"/>
      <c r="L181" s="9"/>
      <c r="M181" s="43"/>
      <c r="N181" s="43"/>
      <c r="O181" s="9"/>
      <c r="P181" s="9"/>
      <c r="Q181" s="9"/>
      <c r="R181" s="9"/>
      <c r="S181" s="40"/>
      <c r="T181" s="40"/>
      <c r="U181" s="9"/>
      <c r="V181" s="9"/>
      <c r="W181" s="9"/>
      <c r="X181" s="9"/>
      <c r="Y181" s="9"/>
      <c r="Z181" s="9"/>
      <c r="AA181" s="9"/>
      <c r="AB181" s="9"/>
      <c r="AC181" s="10" t="str">
        <f aca="false">IF(A181="","",SG_Criteria!$B$6&amp;SG_Criteria!$B$9&amp;"\"&amp;A181&amp;"\")</f>
        <v/>
      </c>
      <c r="AD181" s="10" t="str">
        <f aca="false">IF(A181="","",A181&amp;"_CAD.dwg")</f>
        <v/>
      </c>
      <c r="AE181" s="10" t="str">
        <f aca="false">IF(A181="","",A181&amp;"_DWG.pdf")</f>
        <v/>
      </c>
      <c r="AF181" s="10" t="str">
        <f aca="false">IF(A181="","",IF(AB181="Y",A181&amp;"_STAAD.std","n/a"))</f>
        <v/>
      </c>
      <c r="AG181" s="10" t="str">
        <f aca="false">IF(A181="","",A181&amp;"_CALC.xlsx")</f>
        <v/>
      </c>
      <c r="AH181" s="10" t="str">
        <f aca="false">IF(A181="","",A181&amp;"_CALC.pdf")</f>
        <v/>
      </c>
      <c r="AI181" s="9"/>
      <c r="AJ181" s="9"/>
      <c r="AK181" s="41"/>
      <c r="AL181" s="41"/>
      <c r="AM181" s="41"/>
      <c r="AN181" s="41"/>
      <c r="AO181" s="41"/>
      <c r="AP181" s="38" t="str">
        <f aca="false">IF(OR(C181="",E181=""),"",IF(E181&lt;=IF(C181="Soldier Pile &amp; Timber Lagging",SG_Criteria!$B$34,SG_Criteria!$B$33),"No ERSS submission",IF(E181&lt;=SG_Criteria!$B$35,"QP(ST)",IF(E181&lt;=SG_Criteria!$B$36,"QP(ST) + AC","Geotechnical building works: QP(Geo) + AC"))))</f>
        <v/>
      </c>
      <c r="AQ181" s="38" t="str">
        <f aca="false">IF(C181="","",IF(LEN(IF(AND(U181&lt;&gt;"",IFERROR(VALUE(MID(U181,2,2)),0)&lt;SG_Criteria!$B$19),"FAIL: grade below C"&amp;SG_Criteria!$B$19&amp;". ","")&amp;IF(AND(LEFT(C181,3)="Con",N(H181)&lt;E181,G181="Kallang Formation (marine clay)"),"NOTE: CBP is not watertight below GWT in marine clay; consider secant / grouting. ","")&amp;IF(AND(C181="Steel Sheet Pile",D181="Permanent"),"NOTE: permanent sheet pile needs corrosion allowance. ","")&amp;IF(AND(F181="Cantilever (no support)",E181&gt;6),"NOTE: cantilever embedded wall &gt; 6 m, check deflection. ","")&amp;IF(AND(S181&lt;&gt;"",T181&lt;&gt;"",S181&gt;T181),"FAIL: deflection exceeds allowable. ",""))=0,"OK",IF(AND(U181&lt;&gt;"",IFERROR(VALUE(MID(U181,2,2)),0)&lt;SG_Criteria!$B$19),"FAIL: grade below C"&amp;SG_Criteria!$B$19&amp;". ","")&amp;IF(AND(LEFT(C181,3)="Con",N(H181)&lt;E181,G181="Kallang Formation (marine clay)"),"NOTE: CBP is not watertight below GWT in marine clay; consider secant / grouting. ","")&amp;IF(AND(C181="Steel Sheet Pile",D181="Permanent"),"NOTE: permanent sheet pile needs corrosion allowance. ","")&amp;IF(AND(F181="Cantilever (no support)",E181&gt;6),"NOTE: cantilever embedded wall &gt; 6 m, check deflection. ","")&amp;IF(AND(S181&lt;&gt;"",T181&lt;&gt;"",S181&gt;T181),"FAIL: deflection exceeds allowable. ","")))</f>
        <v/>
      </c>
      <c r="AR181" s="9"/>
      <c r="AS181" s="9"/>
      <c r="AT181" s="9"/>
      <c r="AU181" s="9"/>
      <c r="AV181" s="9"/>
      <c r="AW181" s="31"/>
      <c r="AX181" s="10" t="str">
        <f aca="false">IF(C181="","",IF(AND(Y181="Approved",ISERROR(SEARCH("FAIL",AQ181))),"Y","N"))</f>
        <v/>
      </c>
      <c r="AY181" s="10" t="str">
        <f aca="false">IF(C181="","",C181&amp;"|"&amp;E181&amp;"|"&amp;F181&amp;"|"&amp;G181&amp;"|"&amp;D181&amp;"|"&amp;AX181)</f>
        <v/>
      </c>
    </row>
    <row r="182" customFormat="false" ht="15" hidden="false" customHeight="false" outlineLevel="0" collapsed="false">
      <c r="A182" s="10" t="str">
        <f aca="false">IF(C182="","","EW-"&amp;IFERROR(VLOOKUP(C182,Lists!$P$4:$Q$22,2,0),"??")&amp;"-D"&amp;TEXT(E182*1000,"0000")&amp;"-"&amp;IFERROR(VLOOKUP(F182,Lists!$S$4:$T$21,2,0),"??")&amp;"-"&amp;IFERROR(VLOOKUP(G182,Lists!$Y$4:$Z$21,2,0),"??")&amp;"-"&amp;IFERROR(VLOOKUP(D182,Lists!$V$4:$W$16,2,0),"??")&amp;"-"&amp;X182)</f>
        <v/>
      </c>
      <c r="B182" s="10" t="str">
        <f aca="false">IF(C182="","",D182&amp;" "&amp;C182&amp;", excavation "&amp;TEXT(E182,"0.0")&amp;" m, "&amp;F182&amp;", "&amp;G182&amp;", "&amp;J182)</f>
        <v/>
      </c>
      <c r="C182" s="9"/>
      <c r="D182" s="9"/>
      <c r="E182" s="43"/>
      <c r="F182" s="9"/>
      <c r="G182" s="9"/>
      <c r="H182" s="43"/>
      <c r="I182" s="40"/>
      <c r="J182" s="9"/>
      <c r="K182" s="9"/>
      <c r="L182" s="9"/>
      <c r="M182" s="43"/>
      <c r="N182" s="43"/>
      <c r="O182" s="9"/>
      <c r="P182" s="9"/>
      <c r="Q182" s="9"/>
      <c r="R182" s="9"/>
      <c r="S182" s="40"/>
      <c r="T182" s="40"/>
      <c r="U182" s="9"/>
      <c r="V182" s="9"/>
      <c r="W182" s="9"/>
      <c r="X182" s="9"/>
      <c r="Y182" s="9"/>
      <c r="Z182" s="9"/>
      <c r="AA182" s="9"/>
      <c r="AB182" s="9"/>
      <c r="AC182" s="10" t="str">
        <f aca="false">IF(A182="","",SG_Criteria!$B$6&amp;SG_Criteria!$B$9&amp;"\"&amp;A182&amp;"\")</f>
        <v/>
      </c>
      <c r="AD182" s="10" t="str">
        <f aca="false">IF(A182="","",A182&amp;"_CAD.dwg")</f>
        <v/>
      </c>
      <c r="AE182" s="10" t="str">
        <f aca="false">IF(A182="","",A182&amp;"_DWG.pdf")</f>
        <v/>
      </c>
      <c r="AF182" s="10" t="str">
        <f aca="false">IF(A182="","",IF(AB182="Y",A182&amp;"_STAAD.std","n/a"))</f>
        <v/>
      </c>
      <c r="AG182" s="10" t="str">
        <f aca="false">IF(A182="","",A182&amp;"_CALC.xlsx")</f>
        <v/>
      </c>
      <c r="AH182" s="10" t="str">
        <f aca="false">IF(A182="","",A182&amp;"_CALC.pdf")</f>
        <v/>
      </c>
      <c r="AI182" s="9"/>
      <c r="AJ182" s="9"/>
      <c r="AK182" s="41"/>
      <c r="AL182" s="41"/>
      <c r="AM182" s="41"/>
      <c r="AN182" s="41"/>
      <c r="AO182" s="41"/>
      <c r="AP182" s="38" t="str">
        <f aca="false">IF(OR(C182="",E182=""),"",IF(E182&lt;=IF(C182="Soldier Pile &amp; Timber Lagging",SG_Criteria!$B$34,SG_Criteria!$B$33),"No ERSS submission",IF(E182&lt;=SG_Criteria!$B$35,"QP(ST)",IF(E182&lt;=SG_Criteria!$B$36,"QP(ST) + AC","Geotechnical building works: QP(Geo) + AC"))))</f>
        <v/>
      </c>
      <c r="AQ182" s="38" t="str">
        <f aca="false">IF(C182="","",IF(LEN(IF(AND(U182&lt;&gt;"",IFERROR(VALUE(MID(U182,2,2)),0)&lt;SG_Criteria!$B$19),"FAIL: grade below C"&amp;SG_Criteria!$B$19&amp;". ","")&amp;IF(AND(LEFT(C182,3)="Con",N(H182)&lt;E182,G182="Kallang Formation (marine clay)"),"NOTE: CBP is not watertight below GWT in marine clay; consider secant / grouting. ","")&amp;IF(AND(C182="Steel Sheet Pile",D182="Permanent"),"NOTE: permanent sheet pile needs corrosion allowance. ","")&amp;IF(AND(F182="Cantilever (no support)",E182&gt;6),"NOTE: cantilever embedded wall &gt; 6 m, check deflection. ","")&amp;IF(AND(S182&lt;&gt;"",T182&lt;&gt;"",S182&gt;T182),"FAIL: deflection exceeds allowable. ",""))=0,"OK",IF(AND(U182&lt;&gt;"",IFERROR(VALUE(MID(U182,2,2)),0)&lt;SG_Criteria!$B$19),"FAIL: grade below C"&amp;SG_Criteria!$B$19&amp;". ","")&amp;IF(AND(LEFT(C182,3)="Con",N(H182)&lt;E182,G182="Kallang Formation (marine clay)"),"NOTE: CBP is not watertight below GWT in marine clay; consider secant / grouting. ","")&amp;IF(AND(C182="Steel Sheet Pile",D182="Permanent"),"NOTE: permanent sheet pile needs corrosion allowance. ","")&amp;IF(AND(F182="Cantilever (no support)",E182&gt;6),"NOTE: cantilever embedded wall &gt; 6 m, check deflection. ","")&amp;IF(AND(S182&lt;&gt;"",T182&lt;&gt;"",S182&gt;T182),"FAIL: deflection exceeds allowable. ","")))</f>
        <v/>
      </c>
      <c r="AR182" s="9"/>
      <c r="AS182" s="9"/>
      <c r="AT182" s="9"/>
      <c r="AU182" s="9"/>
      <c r="AV182" s="9"/>
      <c r="AW182" s="31"/>
      <c r="AX182" s="10" t="str">
        <f aca="false">IF(C182="","",IF(AND(Y182="Approved",ISERROR(SEARCH("FAIL",AQ182))),"Y","N"))</f>
        <v/>
      </c>
      <c r="AY182" s="10" t="str">
        <f aca="false">IF(C182="","",C182&amp;"|"&amp;E182&amp;"|"&amp;F182&amp;"|"&amp;G182&amp;"|"&amp;D182&amp;"|"&amp;AX182)</f>
        <v/>
      </c>
    </row>
    <row r="183" customFormat="false" ht="15" hidden="false" customHeight="false" outlineLevel="0" collapsed="false">
      <c r="A183" s="10" t="str">
        <f aca="false">IF(C183="","","EW-"&amp;IFERROR(VLOOKUP(C183,Lists!$P$4:$Q$22,2,0),"??")&amp;"-D"&amp;TEXT(E183*1000,"0000")&amp;"-"&amp;IFERROR(VLOOKUP(F183,Lists!$S$4:$T$21,2,0),"??")&amp;"-"&amp;IFERROR(VLOOKUP(G183,Lists!$Y$4:$Z$21,2,0),"??")&amp;"-"&amp;IFERROR(VLOOKUP(D183,Lists!$V$4:$W$16,2,0),"??")&amp;"-"&amp;X183)</f>
        <v/>
      </c>
      <c r="B183" s="10" t="str">
        <f aca="false">IF(C183="","",D183&amp;" "&amp;C183&amp;", excavation "&amp;TEXT(E183,"0.0")&amp;" m, "&amp;F183&amp;", "&amp;G183&amp;", "&amp;J183)</f>
        <v/>
      </c>
      <c r="C183" s="9"/>
      <c r="D183" s="9"/>
      <c r="E183" s="43"/>
      <c r="F183" s="9"/>
      <c r="G183" s="9"/>
      <c r="H183" s="43"/>
      <c r="I183" s="40"/>
      <c r="J183" s="9"/>
      <c r="K183" s="9"/>
      <c r="L183" s="9"/>
      <c r="M183" s="43"/>
      <c r="N183" s="43"/>
      <c r="O183" s="9"/>
      <c r="P183" s="9"/>
      <c r="Q183" s="9"/>
      <c r="R183" s="9"/>
      <c r="S183" s="40"/>
      <c r="T183" s="40"/>
      <c r="U183" s="9"/>
      <c r="V183" s="9"/>
      <c r="W183" s="9"/>
      <c r="X183" s="9"/>
      <c r="Y183" s="9"/>
      <c r="Z183" s="9"/>
      <c r="AA183" s="9"/>
      <c r="AB183" s="9"/>
      <c r="AC183" s="10" t="str">
        <f aca="false">IF(A183="","",SG_Criteria!$B$6&amp;SG_Criteria!$B$9&amp;"\"&amp;A183&amp;"\")</f>
        <v/>
      </c>
      <c r="AD183" s="10" t="str">
        <f aca="false">IF(A183="","",A183&amp;"_CAD.dwg")</f>
        <v/>
      </c>
      <c r="AE183" s="10" t="str">
        <f aca="false">IF(A183="","",A183&amp;"_DWG.pdf")</f>
        <v/>
      </c>
      <c r="AF183" s="10" t="str">
        <f aca="false">IF(A183="","",IF(AB183="Y",A183&amp;"_STAAD.std","n/a"))</f>
        <v/>
      </c>
      <c r="AG183" s="10" t="str">
        <f aca="false">IF(A183="","",A183&amp;"_CALC.xlsx")</f>
        <v/>
      </c>
      <c r="AH183" s="10" t="str">
        <f aca="false">IF(A183="","",A183&amp;"_CALC.pdf")</f>
        <v/>
      </c>
      <c r="AI183" s="9"/>
      <c r="AJ183" s="9"/>
      <c r="AK183" s="41"/>
      <c r="AL183" s="41"/>
      <c r="AM183" s="41"/>
      <c r="AN183" s="41"/>
      <c r="AO183" s="41"/>
      <c r="AP183" s="38" t="str">
        <f aca="false">IF(OR(C183="",E183=""),"",IF(E183&lt;=IF(C183="Soldier Pile &amp; Timber Lagging",SG_Criteria!$B$34,SG_Criteria!$B$33),"No ERSS submission",IF(E183&lt;=SG_Criteria!$B$35,"QP(ST)",IF(E183&lt;=SG_Criteria!$B$36,"QP(ST) + AC","Geotechnical building works: QP(Geo) + AC"))))</f>
        <v/>
      </c>
      <c r="AQ183" s="38" t="str">
        <f aca="false">IF(C183="","",IF(LEN(IF(AND(U183&lt;&gt;"",IFERROR(VALUE(MID(U183,2,2)),0)&lt;SG_Criteria!$B$19),"FAIL: grade below C"&amp;SG_Criteria!$B$19&amp;". ","")&amp;IF(AND(LEFT(C183,3)="Con",N(H183)&lt;E183,G183="Kallang Formation (marine clay)"),"NOTE: CBP is not watertight below GWT in marine clay; consider secant / grouting. ","")&amp;IF(AND(C183="Steel Sheet Pile",D183="Permanent"),"NOTE: permanent sheet pile needs corrosion allowance. ","")&amp;IF(AND(F183="Cantilever (no support)",E183&gt;6),"NOTE: cantilever embedded wall &gt; 6 m, check deflection. ","")&amp;IF(AND(S183&lt;&gt;"",T183&lt;&gt;"",S183&gt;T183),"FAIL: deflection exceeds allowable. ",""))=0,"OK",IF(AND(U183&lt;&gt;"",IFERROR(VALUE(MID(U183,2,2)),0)&lt;SG_Criteria!$B$19),"FAIL: grade below C"&amp;SG_Criteria!$B$19&amp;". ","")&amp;IF(AND(LEFT(C183,3)="Con",N(H183)&lt;E183,G183="Kallang Formation (marine clay)"),"NOTE: CBP is not watertight below GWT in marine clay; consider secant / grouting. ","")&amp;IF(AND(C183="Steel Sheet Pile",D183="Permanent"),"NOTE: permanent sheet pile needs corrosion allowance. ","")&amp;IF(AND(F183="Cantilever (no support)",E183&gt;6),"NOTE: cantilever embedded wall &gt; 6 m, check deflection. ","")&amp;IF(AND(S183&lt;&gt;"",T183&lt;&gt;"",S183&gt;T183),"FAIL: deflection exceeds allowable. ","")))</f>
        <v/>
      </c>
      <c r="AR183" s="9"/>
      <c r="AS183" s="9"/>
      <c r="AT183" s="9"/>
      <c r="AU183" s="9"/>
      <c r="AV183" s="9"/>
      <c r="AW183" s="31"/>
      <c r="AX183" s="10" t="str">
        <f aca="false">IF(C183="","",IF(AND(Y183="Approved",ISERROR(SEARCH("FAIL",AQ183))),"Y","N"))</f>
        <v/>
      </c>
      <c r="AY183" s="10" t="str">
        <f aca="false">IF(C183="","",C183&amp;"|"&amp;E183&amp;"|"&amp;F183&amp;"|"&amp;G183&amp;"|"&amp;D183&amp;"|"&amp;AX183)</f>
        <v/>
      </c>
    </row>
    <row r="184" customFormat="false" ht="15" hidden="false" customHeight="false" outlineLevel="0" collapsed="false">
      <c r="A184" s="10" t="str">
        <f aca="false">IF(C184="","","EW-"&amp;IFERROR(VLOOKUP(C184,Lists!$P$4:$Q$22,2,0),"??")&amp;"-D"&amp;TEXT(E184*1000,"0000")&amp;"-"&amp;IFERROR(VLOOKUP(F184,Lists!$S$4:$T$21,2,0),"??")&amp;"-"&amp;IFERROR(VLOOKUP(G184,Lists!$Y$4:$Z$21,2,0),"??")&amp;"-"&amp;IFERROR(VLOOKUP(D184,Lists!$V$4:$W$16,2,0),"??")&amp;"-"&amp;X184)</f>
        <v/>
      </c>
      <c r="B184" s="10" t="str">
        <f aca="false">IF(C184="","",D184&amp;" "&amp;C184&amp;", excavation "&amp;TEXT(E184,"0.0")&amp;" m, "&amp;F184&amp;", "&amp;G184&amp;", "&amp;J184)</f>
        <v/>
      </c>
      <c r="C184" s="9"/>
      <c r="D184" s="9"/>
      <c r="E184" s="43"/>
      <c r="F184" s="9"/>
      <c r="G184" s="9"/>
      <c r="H184" s="43"/>
      <c r="I184" s="40"/>
      <c r="J184" s="9"/>
      <c r="K184" s="9"/>
      <c r="L184" s="9"/>
      <c r="M184" s="43"/>
      <c r="N184" s="43"/>
      <c r="O184" s="9"/>
      <c r="P184" s="9"/>
      <c r="Q184" s="9"/>
      <c r="R184" s="9"/>
      <c r="S184" s="40"/>
      <c r="T184" s="40"/>
      <c r="U184" s="9"/>
      <c r="V184" s="9"/>
      <c r="W184" s="9"/>
      <c r="X184" s="9"/>
      <c r="Y184" s="9"/>
      <c r="Z184" s="9"/>
      <c r="AA184" s="9"/>
      <c r="AB184" s="9"/>
      <c r="AC184" s="10" t="str">
        <f aca="false">IF(A184="","",SG_Criteria!$B$6&amp;SG_Criteria!$B$9&amp;"\"&amp;A184&amp;"\")</f>
        <v/>
      </c>
      <c r="AD184" s="10" t="str">
        <f aca="false">IF(A184="","",A184&amp;"_CAD.dwg")</f>
        <v/>
      </c>
      <c r="AE184" s="10" t="str">
        <f aca="false">IF(A184="","",A184&amp;"_DWG.pdf")</f>
        <v/>
      </c>
      <c r="AF184" s="10" t="str">
        <f aca="false">IF(A184="","",IF(AB184="Y",A184&amp;"_STAAD.std","n/a"))</f>
        <v/>
      </c>
      <c r="AG184" s="10" t="str">
        <f aca="false">IF(A184="","",A184&amp;"_CALC.xlsx")</f>
        <v/>
      </c>
      <c r="AH184" s="10" t="str">
        <f aca="false">IF(A184="","",A184&amp;"_CALC.pdf")</f>
        <v/>
      </c>
      <c r="AI184" s="9"/>
      <c r="AJ184" s="9"/>
      <c r="AK184" s="41"/>
      <c r="AL184" s="41"/>
      <c r="AM184" s="41"/>
      <c r="AN184" s="41"/>
      <c r="AO184" s="41"/>
      <c r="AP184" s="38" t="str">
        <f aca="false">IF(OR(C184="",E184=""),"",IF(E184&lt;=IF(C184="Soldier Pile &amp; Timber Lagging",SG_Criteria!$B$34,SG_Criteria!$B$33),"No ERSS submission",IF(E184&lt;=SG_Criteria!$B$35,"QP(ST)",IF(E184&lt;=SG_Criteria!$B$36,"QP(ST) + AC","Geotechnical building works: QP(Geo) + AC"))))</f>
        <v/>
      </c>
      <c r="AQ184" s="38" t="str">
        <f aca="false">IF(C184="","",IF(LEN(IF(AND(U184&lt;&gt;"",IFERROR(VALUE(MID(U184,2,2)),0)&lt;SG_Criteria!$B$19),"FAIL: grade below C"&amp;SG_Criteria!$B$19&amp;". ","")&amp;IF(AND(LEFT(C184,3)="Con",N(H184)&lt;E184,G184="Kallang Formation (marine clay)"),"NOTE: CBP is not watertight below GWT in marine clay; consider secant / grouting. ","")&amp;IF(AND(C184="Steel Sheet Pile",D184="Permanent"),"NOTE: permanent sheet pile needs corrosion allowance. ","")&amp;IF(AND(F184="Cantilever (no support)",E184&gt;6),"NOTE: cantilever embedded wall &gt; 6 m, check deflection. ","")&amp;IF(AND(S184&lt;&gt;"",T184&lt;&gt;"",S184&gt;T184),"FAIL: deflection exceeds allowable. ",""))=0,"OK",IF(AND(U184&lt;&gt;"",IFERROR(VALUE(MID(U184,2,2)),0)&lt;SG_Criteria!$B$19),"FAIL: grade below C"&amp;SG_Criteria!$B$19&amp;". ","")&amp;IF(AND(LEFT(C184,3)="Con",N(H184)&lt;E184,G184="Kallang Formation (marine clay)"),"NOTE: CBP is not watertight below GWT in marine clay; consider secant / grouting. ","")&amp;IF(AND(C184="Steel Sheet Pile",D184="Permanent"),"NOTE: permanent sheet pile needs corrosion allowance. ","")&amp;IF(AND(F184="Cantilever (no support)",E184&gt;6),"NOTE: cantilever embedded wall &gt; 6 m, check deflection. ","")&amp;IF(AND(S184&lt;&gt;"",T184&lt;&gt;"",S184&gt;T184),"FAIL: deflection exceeds allowable. ","")))</f>
        <v/>
      </c>
      <c r="AR184" s="9"/>
      <c r="AS184" s="9"/>
      <c r="AT184" s="9"/>
      <c r="AU184" s="9"/>
      <c r="AV184" s="9"/>
      <c r="AW184" s="31"/>
      <c r="AX184" s="10" t="str">
        <f aca="false">IF(C184="","",IF(AND(Y184="Approved",ISERROR(SEARCH("FAIL",AQ184))),"Y","N"))</f>
        <v/>
      </c>
      <c r="AY184" s="10" t="str">
        <f aca="false">IF(C184="","",C184&amp;"|"&amp;E184&amp;"|"&amp;F184&amp;"|"&amp;G184&amp;"|"&amp;D184&amp;"|"&amp;AX184)</f>
        <v/>
      </c>
    </row>
    <row r="185" customFormat="false" ht="15" hidden="false" customHeight="false" outlineLevel="0" collapsed="false">
      <c r="A185" s="10" t="str">
        <f aca="false">IF(C185="","","EW-"&amp;IFERROR(VLOOKUP(C185,Lists!$P$4:$Q$22,2,0),"??")&amp;"-D"&amp;TEXT(E185*1000,"0000")&amp;"-"&amp;IFERROR(VLOOKUP(F185,Lists!$S$4:$T$21,2,0),"??")&amp;"-"&amp;IFERROR(VLOOKUP(G185,Lists!$Y$4:$Z$21,2,0),"??")&amp;"-"&amp;IFERROR(VLOOKUP(D185,Lists!$V$4:$W$16,2,0),"??")&amp;"-"&amp;X185)</f>
        <v/>
      </c>
      <c r="B185" s="10" t="str">
        <f aca="false">IF(C185="","",D185&amp;" "&amp;C185&amp;", excavation "&amp;TEXT(E185,"0.0")&amp;" m, "&amp;F185&amp;", "&amp;G185&amp;", "&amp;J185)</f>
        <v/>
      </c>
      <c r="C185" s="9"/>
      <c r="D185" s="9"/>
      <c r="E185" s="43"/>
      <c r="F185" s="9"/>
      <c r="G185" s="9"/>
      <c r="H185" s="43"/>
      <c r="I185" s="40"/>
      <c r="J185" s="9"/>
      <c r="K185" s="9"/>
      <c r="L185" s="9"/>
      <c r="M185" s="43"/>
      <c r="N185" s="43"/>
      <c r="O185" s="9"/>
      <c r="P185" s="9"/>
      <c r="Q185" s="9"/>
      <c r="R185" s="9"/>
      <c r="S185" s="40"/>
      <c r="T185" s="40"/>
      <c r="U185" s="9"/>
      <c r="V185" s="9"/>
      <c r="W185" s="9"/>
      <c r="X185" s="9"/>
      <c r="Y185" s="9"/>
      <c r="Z185" s="9"/>
      <c r="AA185" s="9"/>
      <c r="AB185" s="9"/>
      <c r="AC185" s="10" t="str">
        <f aca="false">IF(A185="","",SG_Criteria!$B$6&amp;SG_Criteria!$B$9&amp;"\"&amp;A185&amp;"\")</f>
        <v/>
      </c>
      <c r="AD185" s="10" t="str">
        <f aca="false">IF(A185="","",A185&amp;"_CAD.dwg")</f>
        <v/>
      </c>
      <c r="AE185" s="10" t="str">
        <f aca="false">IF(A185="","",A185&amp;"_DWG.pdf")</f>
        <v/>
      </c>
      <c r="AF185" s="10" t="str">
        <f aca="false">IF(A185="","",IF(AB185="Y",A185&amp;"_STAAD.std","n/a"))</f>
        <v/>
      </c>
      <c r="AG185" s="10" t="str">
        <f aca="false">IF(A185="","",A185&amp;"_CALC.xlsx")</f>
        <v/>
      </c>
      <c r="AH185" s="10" t="str">
        <f aca="false">IF(A185="","",A185&amp;"_CALC.pdf")</f>
        <v/>
      </c>
      <c r="AI185" s="9"/>
      <c r="AJ185" s="9"/>
      <c r="AK185" s="41"/>
      <c r="AL185" s="41"/>
      <c r="AM185" s="41"/>
      <c r="AN185" s="41"/>
      <c r="AO185" s="41"/>
      <c r="AP185" s="38" t="str">
        <f aca="false">IF(OR(C185="",E185=""),"",IF(E185&lt;=IF(C185="Soldier Pile &amp; Timber Lagging",SG_Criteria!$B$34,SG_Criteria!$B$33),"No ERSS submission",IF(E185&lt;=SG_Criteria!$B$35,"QP(ST)",IF(E185&lt;=SG_Criteria!$B$36,"QP(ST) + AC","Geotechnical building works: QP(Geo) + AC"))))</f>
        <v/>
      </c>
      <c r="AQ185" s="38" t="str">
        <f aca="false">IF(C185="","",IF(LEN(IF(AND(U185&lt;&gt;"",IFERROR(VALUE(MID(U185,2,2)),0)&lt;SG_Criteria!$B$19),"FAIL: grade below C"&amp;SG_Criteria!$B$19&amp;". ","")&amp;IF(AND(LEFT(C185,3)="Con",N(H185)&lt;E185,G185="Kallang Formation (marine clay)"),"NOTE: CBP is not watertight below GWT in marine clay; consider secant / grouting. ","")&amp;IF(AND(C185="Steel Sheet Pile",D185="Permanent"),"NOTE: permanent sheet pile needs corrosion allowance. ","")&amp;IF(AND(F185="Cantilever (no support)",E185&gt;6),"NOTE: cantilever embedded wall &gt; 6 m, check deflection. ","")&amp;IF(AND(S185&lt;&gt;"",T185&lt;&gt;"",S185&gt;T185),"FAIL: deflection exceeds allowable. ",""))=0,"OK",IF(AND(U185&lt;&gt;"",IFERROR(VALUE(MID(U185,2,2)),0)&lt;SG_Criteria!$B$19),"FAIL: grade below C"&amp;SG_Criteria!$B$19&amp;". ","")&amp;IF(AND(LEFT(C185,3)="Con",N(H185)&lt;E185,G185="Kallang Formation (marine clay)"),"NOTE: CBP is not watertight below GWT in marine clay; consider secant / grouting. ","")&amp;IF(AND(C185="Steel Sheet Pile",D185="Permanent"),"NOTE: permanent sheet pile needs corrosion allowance. ","")&amp;IF(AND(F185="Cantilever (no support)",E185&gt;6),"NOTE: cantilever embedded wall &gt; 6 m, check deflection. ","")&amp;IF(AND(S185&lt;&gt;"",T185&lt;&gt;"",S185&gt;T185),"FAIL: deflection exceeds allowable. ","")))</f>
        <v/>
      </c>
      <c r="AR185" s="9"/>
      <c r="AS185" s="9"/>
      <c r="AT185" s="9"/>
      <c r="AU185" s="9"/>
      <c r="AV185" s="9"/>
      <c r="AW185" s="31"/>
      <c r="AX185" s="10" t="str">
        <f aca="false">IF(C185="","",IF(AND(Y185="Approved",ISERROR(SEARCH("FAIL",AQ185))),"Y","N"))</f>
        <v/>
      </c>
      <c r="AY185" s="10" t="str">
        <f aca="false">IF(C185="","",C185&amp;"|"&amp;E185&amp;"|"&amp;F185&amp;"|"&amp;G185&amp;"|"&amp;D185&amp;"|"&amp;AX185)</f>
        <v/>
      </c>
    </row>
    <row r="186" customFormat="false" ht="15" hidden="false" customHeight="false" outlineLevel="0" collapsed="false">
      <c r="A186" s="10" t="str">
        <f aca="false">IF(C186="","","EW-"&amp;IFERROR(VLOOKUP(C186,Lists!$P$4:$Q$22,2,0),"??")&amp;"-D"&amp;TEXT(E186*1000,"0000")&amp;"-"&amp;IFERROR(VLOOKUP(F186,Lists!$S$4:$T$21,2,0),"??")&amp;"-"&amp;IFERROR(VLOOKUP(G186,Lists!$Y$4:$Z$21,2,0),"??")&amp;"-"&amp;IFERROR(VLOOKUP(D186,Lists!$V$4:$W$16,2,0),"??")&amp;"-"&amp;X186)</f>
        <v/>
      </c>
      <c r="B186" s="10" t="str">
        <f aca="false">IF(C186="","",D186&amp;" "&amp;C186&amp;", excavation "&amp;TEXT(E186,"0.0")&amp;" m, "&amp;F186&amp;", "&amp;G186&amp;", "&amp;J186)</f>
        <v/>
      </c>
      <c r="C186" s="9"/>
      <c r="D186" s="9"/>
      <c r="E186" s="43"/>
      <c r="F186" s="9"/>
      <c r="G186" s="9"/>
      <c r="H186" s="43"/>
      <c r="I186" s="40"/>
      <c r="J186" s="9"/>
      <c r="K186" s="9"/>
      <c r="L186" s="9"/>
      <c r="M186" s="43"/>
      <c r="N186" s="43"/>
      <c r="O186" s="9"/>
      <c r="P186" s="9"/>
      <c r="Q186" s="9"/>
      <c r="R186" s="9"/>
      <c r="S186" s="40"/>
      <c r="T186" s="40"/>
      <c r="U186" s="9"/>
      <c r="V186" s="9"/>
      <c r="W186" s="9"/>
      <c r="X186" s="9"/>
      <c r="Y186" s="9"/>
      <c r="Z186" s="9"/>
      <c r="AA186" s="9"/>
      <c r="AB186" s="9"/>
      <c r="AC186" s="10" t="str">
        <f aca="false">IF(A186="","",SG_Criteria!$B$6&amp;SG_Criteria!$B$9&amp;"\"&amp;A186&amp;"\")</f>
        <v/>
      </c>
      <c r="AD186" s="10" t="str">
        <f aca="false">IF(A186="","",A186&amp;"_CAD.dwg")</f>
        <v/>
      </c>
      <c r="AE186" s="10" t="str">
        <f aca="false">IF(A186="","",A186&amp;"_DWG.pdf")</f>
        <v/>
      </c>
      <c r="AF186" s="10" t="str">
        <f aca="false">IF(A186="","",IF(AB186="Y",A186&amp;"_STAAD.std","n/a"))</f>
        <v/>
      </c>
      <c r="AG186" s="10" t="str">
        <f aca="false">IF(A186="","",A186&amp;"_CALC.xlsx")</f>
        <v/>
      </c>
      <c r="AH186" s="10" t="str">
        <f aca="false">IF(A186="","",A186&amp;"_CALC.pdf")</f>
        <v/>
      </c>
      <c r="AI186" s="9"/>
      <c r="AJ186" s="9"/>
      <c r="AK186" s="41"/>
      <c r="AL186" s="41"/>
      <c r="AM186" s="41"/>
      <c r="AN186" s="41"/>
      <c r="AO186" s="41"/>
      <c r="AP186" s="38" t="str">
        <f aca="false">IF(OR(C186="",E186=""),"",IF(E186&lt;=IF(C186="Soldier Pile &amp; Timber Lagging",SG_Criteria!$B$34,SG_Criteria!$B$33),"No ERSS submission",IF(E186&lt;=SG_Criteria!$B$35,"QP(ST)",IF(E186&lt;=SG_Criteria!$B$36,"QP(ST) + AC","Geotechnical building works: QP(Geo) + AC"))))</f>
        <v/>
      </c>
      <c r="AQ186" s="38" t="str">
        <f aca="false">IF(C186="","",IF(LEN(IF(AND(U186&lt;&gt;"",IFERROR(VALUE(MID(U186,2,2)),0)&lt;SG_Criteria!$B$19),"FAIL: grade below C"&amp;SG_Criteria!$B$19&amp;". ","")&amp;IF(AND(LEFT(C186,3)="Con",N(H186)&lt;E186,G186="Kallang Formation (marine clay)"),"NOTE: CBP is not watertight below GWT in marine clay; consider secant / grouting. ","")&amp;IF(AND(C186="Steel Sheet Pile",D186="Permanent"),"NOTE: permanent sheet pile needs corrosion allowance. ","")&amp;IF(AND(F186="Cantilever (no support)",E186&gt;6),"NOTE: cantilever embedded wall &gt; 6 m, check deflection. ","")&amp;IF(AND(S186&lt;&gt;"",T186&lt;&gt;"",S186&gt;T186),"FAIL: deflection exceeds allowable. ",""))=0,"OK",IF(AND(U186&lt;&gt;"",IFERROR(VALUE(MID(U186,2,2)),0)&lt;SG_Criteria!$B$19),"FAIL: grade below C"&amp;SG_Criteria!$B$19&amp;". ","")&amp;IF(AND(LEFT(C186,3)="Con",N(H186)&lt;E186,G186="Kallang Formation (marine clay)"),"NOTE: CBP is not watertight below GWT in marine clay; consider secant / grouting. ","")&amp;IF(AND(C186="Steel Sheet Pile",D186="Permanent"),"NOTE: permanent sheet pile needs corrosion allowance. ","")&amp;IF(AND(F186="Cantilever (no support)",E186&gt;6),"NOTE: cantilever embedded wall &gt; 6 m, check deflection. ","")&amp;IF(AND(S186&lt;&gt;"",T186&lt;&gt;"",S186&gt;T186),"FAIL: deflection exceeds allowable. ","")))</f>
        <v/>
      </c>
      <c r="AR186" s="9"/>
      <c r="AS186" s="9"/>
      <c r="AT186" s="9"/>
      <c r="AU186" s="9"/>
      <c r="AV186" s="9"/>
      <c r="AW186" s="31"/>
      <c r="AX186" s="10" t="str">
        <f aca="false">IF(C186="","",IF(AND(Y186="Approved",ISERROR(SEARCH("FAIL",AQ186))),"Y","N"))</f>
        <v/>
      </c>
      <c r="AY186" s="10" t="str">
        <f aca="false">IF(C186="","",C186&amp;"|"&amp;E186&amp;"|"&amp;F186&amp;"|"&amp;G186&amp;"|"&amp;D186&amp;"|"&amp;AX186)</f>
        <v/>
      </c>
    </row>
    <row r="187" customFormat="false" ht="15" hidden="false" customHeight="false" outlineLevel="0" collapsed="false">
      <c r="A187" s="10" t="str">
        <f aca="false">IF(C187="","","EW-"&amp;IFERROR(VLOOKUP(C187,Lists!$P$4:$Q$22,2,0),"??")&amp;"-D"&amp;TEXT(E187*1000,"0000")&amp;"-"&amp;IFERROR(VLOOKUP(F187,Lists!$S$4:$T$21,2,0),"??")&amp;"-"&amp;IFERROR(VLOOKUP(G187,Lists!$Y$4:$Z$21,2,0),"??")&amp;"-"&amp;IFERROR(VLOOKUP(D187,Lists!$V$4:$W$16,2,0),"??")&amp;"-"&amp;X187)</f>
        <v/>
      </c>
      <c r="B187" s="10" t="str">
        <f aca="false">IF(C187="","",D187&amp;" "&amp;C187&amp;", excavation "&amp;TEXT(E187,"0.0")&amp;" m, "&amp;F187&amp;", "&amp;G187&amp;", "&amp;J187)</f>
        <v/>
      </c>
      <c r="C187" s="9"/>
      <c r="D187" s="9"/>
      <c r="E187" s="43"/>
      <c r="F187" s="9"/>
      <c r="G187" s="9"/>
      <c r="H187" s="43"/>
      <c r="I187" s="40"/>
      <c r="J187" s="9"/>
      <c r="K187" s="9"/>
      <c r="L187" s="9"/>
      <c r="M187" s="43"/>
      <c r="N187" s="43"/>
      <c r="O187" s="9"/>
      <c r="P187" s="9"/>
      <c r="Q187" s="9"/>
      <c r="R187" s="9"/>
      <c r="S187" s="40"/>
      <c r="T187" s="40"/>
      <c r="U187" s="9"/>
      <c r="V187" s="9"/>
      <c r="W187" s="9"/>
      <c r="X187" s="9"/>
      <c r="Y187" s="9"/>
      <c r="Z187" s="9"/>
      <c r="AA187" s="9"/>
      <c r="AB187" s="9"/>
      <c r="AC187" s="10" t="str">
        <f aca="false">IF(A187="","",SG_Criteria!$B$6&amp;SG_Criteria!$B$9&amp;"\"&amp;A187&amp;"\")</f>
        <v/>
      </c>
      <c r="AD187" s="10" t="str">
        <f aca="false">IF(A187="","",A187&amp;"_CAD.dwg")</f>
        <v/>
      </c>
      <c r="AE187" s="10" t="str">
        <f aca="false">IF(A187="","",A187&amp;"_DWG.pdf")</f>
        <v/>
      </c>
      <c r="AF187" s="10" t="str">
        <f aca="false">IF(A187="","",IF(AB187="Y",A187&amp;"_STAAD.std","n/a"))</f>
        <v/>
      </c>
      <c r="AG187" s="10" t="str">
        <f aca="false">IF(A187="","",A187&amp;"_CALC.xlsx")</f>
        <v/>
      </c>
      <c r="AH187" s="10" t="str">
        <f aca="false">IF(A187="","",A187&amp;"_CALC.pdf")</f>
        <v/>
      </c>
      <c r="AI187" s="9"/>
      <c r="AJ187" s="9"/>
      <c r="AK187" s="41"/>
      <c r="AL187" s="41"/>
      <c r="AM187" s="41"/>
      <c r="AN187" s="41"/>
      <c r="AO187" s="41"/>
      <c r="AP187" s="38" t="str">
        <f aca="false">IF(OR(C187="",E187=""),"",IF(E187&lt;=IF(C187="Soldier Pile &amp; Timber Lagging",SG_Criteria!$B$34,SG_Criteria!$B$33),"No ERSS submission",IF(E187&lt;=SG_Criteria!$B$35,"QP(ST)",IF(E187&lt;=SG_Criteria!$B$36,"QP(ST) + AC","Geotechnical building works: QP(Geo) + AC"))))</f>
        <v/>
      </c>
      <c r="AQ187" s="38" t="str">
        <f aca="false">IF(C187="","",IF(LEN(IF(AND(U187&lt;&gt;"",IFERROR(VALUE(MID(U187,2,2)),0)&lt;SG_Criteria!$B$19),"FAIL: grade below C"&amp;SG_Criteria!$B$19&amp;". ","")&amp;IF(AND(LEFT(C187,3)="Con",N(H187)&lt;E187,G187="Kallang Formation (marine clay)"),"NOTE: CBP is not watertight below GWT in marine clay; consider secant / grouting. ","")&amp;IF(AND(C187="Steel Sheet Pile",D187="Permanent"),"NOTE: permanent sheet pile needs corrosion allowance. ","")&amp;IF(AND(F187="Cantilever (no support)",E187&gt;6),"NOTE: cantilever embedded wall &gt; 6 m, check deflection. ","")&amp;IF(AND(S187&lt;&gt;"",T187&lt;&gt;"",S187&gt;T187),"FAIL: deflection exceeds allowable. ",""))=0,"OK",IF(AND(U187&lt;&gt;"",IFERROR(VALUE(MID(U187,2,2)),0)&lt;SG_Criteria!$B$19),"FAIL: grade below C"&amp;SG_Criteria!$B$19&amp;". ","")&amp;IF(AND(LEFT(C187,3)="Con",N(H187)&lt;E187,G187="Kallang Formation (marine clay)"),"NOTE: CBP is not watertight below GWT in marine clay; consider secant / grouting. ","")&amp;IF(AND(C187="Steel Sheet Pile",D187="Permanent"),"NOTE: permanent sheet pile needs corrosion allowance. ","")&amp;IF(AND(F187="Cantilever (no support)",E187&gt;6),"NOTE: cantilever embedded wall &gt; 6 m, check deflection. ","")&amp;IF(AND(S187&lt;&gt;"",T187&lt;&gt;"",S187&gt;T187),"FAIL: deflection exceeds allowable. ","")))</f>
        <v/>
      </c>
      <c r="AR187" s="9"/>
      <c r="AS187" s="9"/>
      <c r="AT187" s="9"/>
      <c r="AU187" s="9"/>
      <c r="AV187" s="9"/>
      <c r="AW187" s="31"/>
      <c r="AX187" s="10" t="str">
        <f aca="false">IF(C187="","",IF(AND(Y187="Approved",ISERROR(SEARCH("FAIL",AQ187))),"Y","N"))</f>
        <v/>
      </c>
      <c r="AY187" s="10" t="str">
        <f aca="false">IF(C187="","",C187&amp;"|"&amp;E187&amp;"|"&amp;F187&amp;"|"&amp;G187&amp;"|"&amp;D187&amp;"|"&amp;AX187)</f>
        <v/>
      </c>
    </row>
    <row r="188" customFormat="false" ht="15" hidden="false" customHeight="false" outlineLevel="0" collapsed="false">
      <c r="A188" s="10" t="str">
        <f aca="false">IF(C188="","","EW-"&amp;IFERROR(VLOOKUP(C188,Lists!$P$4:$Q$22,2,0),"??")&amp;"-D"&amp;TEXT(E188*1000,"0000")&amp;"-"&amp;IFERROR(VLOOKUP(F188,Lists!$S$4:$T$21,2,0),"??")&amp;"-"&amp;IFERROR(VLOOKUP(G188,Lists!$Y$4:$Z$21,2,0),"??")&amp;"-"&amp;IFERROR(VLOOKUP(D188,Lists!$V$4:$W$16,2,0),"??")&amp;"-"&amp;X188)</f>
        <v/>
      </c>
      <c r="B188" s="10" t="str">
        <f aca="false">IF(C188="","",D188&amp;" "&amp;C188&amp;", excavation "&amp;TEXT(E188,"0.0")&amp;" m, "&amp;F188&amp;", "&amp;G188&amp;", "&amp;J188)</f>
        <v/>
      </c>
      <c r="C188" s="9"/>
      <c r="D188" s="9"/>
      <c r="E188" s="43"/>
      <c r="F188" s="9"/>
      <c r="G188" s="9"/>
      <c r="H188" s="43"/>
      <c r="I188" s="40"/>
      <c r="J188" s="9"/>
      <c r="K188" s="9"/>
      <c r="L188" s="9"/>
      <c r="M188" s="43"/>
      <c r="N188" s="43"/>
      <c r="O188" s="9"/>
      <c r="P188" s="9"/>
      <c r="Q188" s="9"/>
      <c r="R188" s="9"/>
      <c r="S188" s="40"/>
      <c r="T188" s="40"/>
      <c r="U188" s="9"/>
      <c r="V188" s="9"/>
      <c r="W188" s="9"/>
      <c r="X188" s="9"/>
      <c r="Y188" s="9"/>
      <c r="Z188" s="9"/>
      <c r="AA188" s="9"/>
      <c r="AB188" s="9"/>
      <c r="AC188" s="10" t="str">
        <f aca="false">IF(A188="","",SG_Criteria!$B$6&amp;SG_Criteria!$B$9&amp;"\"&amp;A188&amp;"\")</f>
        <v/>
      </c>
      <c r="AD188" s="10" t="str">
        <f aca="false">IF(A188="","",A188&amp;"_CAD.dwg")</f>
        <v/>
      </c>
      <c r="AE188" s="10" t="str">
        <f aca="false">IF(A188="","",A188&amp;"_DWG.pdf")</f>
        <v/>
      </c>
      <c r="AF188" s="10" t="str">
        <f aca="false">IF(A188="","",IF(AB188="Y",A188&amp;"_STAAD.std","n/a"))</f>
        <v/>
      </c>
      <c r="AG188" s="10" t="str">
        <f aca="false">IF(A188="","",A188&amp;"_CALC.xlsx")</f>
        <v/>
      </c>
      <c r="AH188" s="10" t="str">
        <f aca="false">IF(A188="","",A188&amp;"_CALC.pdf")</f>
        <v/>
      </c>
      <c r="AI188" s="9"/>
      <c r="AJ188" s="9"/>
      <c r="AK188" s="41"/>
      <c r="AL188" s="41"/>
      <c r="AM188" s="41"/>
      <c r="AN188" s="41"/>
      <c r="AO188" s="41"/>
      <c r="AP188" s="38" t="str">
        <f aca="false">IF(OR(C188="",E188=""),"",IF(E188&lt;=IF(C188="Soldier Pile &amp; Timber Lagging",SG_Criteria!$B$34,SG_Criteria!$B$33),"No ERSS submission",IF(E188&lt;=SG_Criteria!$B$35,"QP(ST)",IF(E188&lt;=SG_Criteria!$B$36,"QP(ST) + AC","Geotechnical building works: QP(Geo) + AC"))))</f>
        <v/>
      </c>
      <c r="AQ188" s="38" t="str">
        <f aca="false">IF(C188="","",IF(LEN(IF(AND(U188&lt;&gt;"",IFERROR(VALUE(MID(U188,2,2)),0)&lt;SG_Criteria!$B$19),"FAIL: grade below C"&amp;SG_Criteria!$B$19&amp;". ","")&amp;IF(AND(LEFT(C188,3)="Con",N(H188)&lt;E188,G188="Kallang Formation (marine clay)"),"NOTE: CBP is not watertight below GWT in marine clay; consider secant / grouting. ","")&amp;IF(AND(C188="Steel Sheet Pile",D188="Permanent"),"NOTE: permanent sheet pile needs corrosion allowance. ","")&amp;IF(AND(F188="Cantilever (no support)",E188&gt;6),"NOTE: cantilever embedded wall &gt; 6 m, check deflection. ","")&amp;IF(AND(S188&lt;&gt;"",T188&lt;&gt;"",S188&gt;T188),"FAIL: deflection exceeds allowable. ",""))=0,"OK",IF(AND(U188&lt;&gt;"",IFERROR(VALUE(MID(U188,2,2)),0)&lt;SG_Criteria!$B$19),"FAIL: grade below C"&amp;SG_Criteria!$B$19&amp;". ","")&amp;IF(AND(LEFT(C188,3)="Con",N(H188)&lt;E188,G188="Kallang Formation (marine clay)"),"NOTE: CBP is not watertight below GWT in marine clay; consider secant / grouting. ","")&amp;IF(AND(C188="Steel Sheet Pile",D188="Permanent"),"NOTE: permanent sheet pile needs corrosion allowance. ","")&amp;IF(AND(F188="Cantilever (no support)",E188&gt;6),"NOTE: cantilever embedded wall &gt; 6 m, check deflection. ","")&amp;IF(AND(S188&lt;&gt;"",T188&lt;&gt;"",S188&gt;T188),"FAIL: deflection exceeds allowable. ","")))</f>
        <v/>
      </c>
      <c r="AR188" s="9"/>
      <c r="AS188" s="9"/>
      <c r="AT188" s="9"/>
      <c r="AU188" s="9"/>
      <c r="AV188" s="9"/>
      <c r="AW188" s="31"/>
      <c r="AX188" s="10" t="str">
        <f aca="false">IF(C188="","",IF(AND(Y188="Approved",ISERROR(SEARCH("FAIL",AQ188))),"Y","N"))</f>
        <v/>
      </c>
      <c r="AY188" s="10" t="str">
        <f aca="false">IF(C188="","",C188&amp;"|"&amp;E188&amp;"|"&amp;F188&amp;"|"&amp;G188&amp;"|"&amp;D188&amp;"|"&amp;AX188)</f>
        <v/>
      </c>
    </row>
    <row r="189" customFormat="false" ht="15" hidden="false" customHeight="false" outlineLevel="0" collapsed="false">
      <c r="A189" s="10" t="str">
        <f aca="false">IF(C189="","","EW-"&amp;IFERROR(VLOOKUP(C189,Lists!$P$4:$Q$22,2,0),"??")&amp;"-D"&amp;TEXT(E189*1000,"0000")&amp;"-"&amp;IFERROR(VLOOKUP(F189,Lists!$S$4:$T$21,2,0),"??")&amp;"-"&amp;IFERROR(VLOOKUP(G189,Lists!$Y$4:$Z$21,2,0),"??")&amp;"-"&amp;IFERROR(VLOOKUP(D189,Lists!$V$4:$W$16,2,0),"??")&amp;"-"&amp;X189)</f>
        <v/>
      </c>
      <c r="B189" s="10" t="str">
        <f aca="false">IF(C189="","",D189&amp;" "&amp;C189&amp;", excavation "&amp;TEXT(E189,"0.0")&amp;" m, "&amp;F189&amp;", "&amp;G189&amp;", "&amp;J189)</f>
        <v/>
      </c>
      <c r="C189" s="9"/>
      <c r="D189" s="9"/>
      <c r="E189" s="43"/>
      <c r="F189" s="9"/>
      <c r="G189" s="9"/>
      <c r="H189" s="43"/>
      <c r="I189" s="40"/>
      <c r="J189" s="9"/>
      <c r="K189" s="9"/>
      <c r="L189" s="9"/>
      <c r="M189" s="43"/>
      <c r="N189" s="43"/>
      <c r="O189" s="9"/>
      <c r="P189" s="9"/>
      <c r="Q189" s="9"/>
      <c r="R189" s="9"/>
      <c r="S189" s="40"/>
      <c r="T189" s="40"/>
      <c r="U189" s="9"/>
      <c r="V189" s="9"/>
      <c r="W189" s="9"/>
      <c r="X189" s="9"/>
      <c r="Y189" s="9"/>
      <c r="Z189" s="9"/>
      <c r="AA189" s="9"/>
      <c r="AB189" s="9"/>
      <c r="AC189" s="10" t="str">
        <f aca="false">IF(A189="","",SG_Criteria!$B$6&amp;SG_Criteria!$B$9&amp;"\"&amp;A189&amp;"\")</f>
        <v/>
      </c>
      <c r="AD189" s="10" t="str">
        <f aca="false">IF(A189="","",A189&amp;"_CAD.dwg")</f>
        <v/>
      </c>
      <c r="AE189" s="10" t="str">
        <f aca="false">IF(A189="","",A189&amp;"_DWG.pdf")</f>
        <v/>
      </c>
      <c r="AF189" s="10" t="str">
        <f aca="false">IF(A189="","",IF(AB189="Y",A189&amp;"_STAAD.std","n/a"))</f>
        <v/>
      </c>
      <c r="AG189" s="10" t="str">
        <f aca="false">IF(A189="","",A189&amp;"_CALC.xlsx")</f>
        <v/>
      </c>
      <c r="AH189" s="10" t="str">
        <f aca="false">IF(A189="","",A189&amp;"_CALC.pdf")</f>
        <v/>
      </c>
      <c r="AI189" s="9"/>
      <c r="AJ189" s="9"/>
      <c r="AK189" s="41"/>
      <c r="AL189" s="41"/>
      <c r="AM189" s="41"/>
      <c r="AN189" s="41"/>
      <c r="AO189" s="41"/>
      <c r="AP189" s="38" t="str">
        <f aca="false">IF(OR(C189="",E189=""),"",IF(E189&lt;=IF(C189="Soldier Pile &amp; Timber Lagging",SG_Criteria!$B$34,SG_Criteria!$B$33),"No ERSS submission",IF(E189&lt;=SG_Criteria!$B$35,"QP(ST)",IF(E189&lt;=SG_Criteria!$B$36,"QP(ST) + AC","Geotechnical building works: QP(Geo) + AC"))))</f>
        <v/>
      </c>
      <c r="AQ189" s="38" t="str">
        <f aca="false">IF(C189="","",IF(LEN(IF(AND(U189&lt;&gt;"",IFERROR(VALUE(MID(U189,2,2)),0)&lt;SG_Criteria!$B$19),"FAIL: grade below C"&amp;SG_Criteria!$B$19&amp;". ","")&amp;IF(AND(LEFT(C189,3)="Con",N(H189)&lt;E189,G189="Kallang Formation (marine clay)"),"NOTE: CBP is not watertight below GWT in marine clay; consider secant / grouting. ","")&amp;IF(AND(C189="Steel Sheet Pile",D189="Permanent"),"NOTE: permanent sheet pile needs corrosion allowance. ","")&amp;IF(AND(F189="Cantilever (no support)",E189&gt;6),"NOTE: cantilever embedded wall &gt; 6 m, check deflection. ","")&amp;IF(AND(S189&lt;&gt;"",T189&lt;&gt;"",S189&gt;T189),"FAIL: deflection exceeds allowable. ",""))=0,"OK",IF(AND(U189&lt;&gt;"",IFERROR(VALUE(MID(U189,2,2)),0)&lt;SG_Criteria!$B$19),"FAIL: grade below C"&amp;SG_Criteria!$B$19&amp;". ","")&amp;IF(AND(LEFT(C189,3)="Con",N(H189)&lt;E189,G189="Kallang Formation (marine clay)"),"NOTE: CBP is not watertight below GWT in marine clay; consider secant / grouting. ","")&amp;IF(AND(C189="Steel Sheet Pile",D189="Permanent"),"NOTE: permanent sheet pile needs corrosion allowance. ","")&amp;IF(AND(F189="Cantilever (no support)",E189&gt;6),"NOTE: cantilever embedded wall &gt; 6 m, check deflection. ","")&amp;IF(AND(S189&lt;&gt;"",T189&lt;&gt;"",S189&gt;T189),"FAIL: deflection exceeds allowable. ","")))</f>
        <v/>
      </c>
      <c r="AR189" s="9"/>
      <c r="AS189" s="9"/>
      <c r="AT189" s="9"/>
      <c r="AU189" s="9"/>
      <c r="AV189" s="9"/>
      <c r="AW189" s="31"/>
      <c r="AX189" s="10" t="str">
        <f aca="false">IF(C189="","",IF(AND(Y189="Approved",ISERROR(SEARCH("FAIL",AQ189))),"Y","N"))</f>
        <v/>
      </c>
      <c r="AY189" s="10" t="str">
        <f aca="false">IF(C189="","",C189&amp;"|"&amp;E189&amp;"|"&amp;F189&amp;"|"&amp;G189&amp;"|"&amp;D189&amp;"|"&amp;AX189)</f>
        <v/>
      </c>
    </row>
    <row r="190" customFormat="false" ht="15" hidden="false" customHeight="false" outlineLevel="0" collapsed="false">
      <c r="A190" s="10" t="str">
        <f aca="false">IF(C190="","","EW-"&amp;IFERROR(VLOOKUP(C190,Lists!$P$4:$Q$22,2,0),"??")&amp;"-D"&amp;TEXT(E190*1000,"0000")&amp;"-"&amp;IFERROR(VLOOKUP(F190,Lists!$S$4:$T$21,2,0),"??")&amp;"-"&amp;IFERROR(VLOOKUP(G190,Lists!$Y$4:$Z$21,2,0),"??")&amp;"-"&amp;IFERROR(VLOOKUP(D190,Lists!$V$4:$W$16,2,0),"??")&amp;"-"&amp;X190)</f>
        <v/>
      </c>
      <c r="B190" s="10" t="str">
        <f aca="false">IF(C190="","",D190&amp;" "&amp;C190&amp;", excavation "&amp;TEXT(E190,"0.0")&amp;" m, "&amp;F190&amp;", "&amp;G190&amp;", "&amp;J190)</f>
        <v/>
      </c>
      <c r="C190" s="9"/>
      <c r="D190" s="9"/>
      <c r="E190" s="43"/>
      <c r="F190" s="9"/>
      <c r="G190" s="9"/>
      <c r="H190" s="43"/>
      <c r="I190" s="40"/>
      <c r="J190" s="9"/>
      <c r="K190" s="9"/>
      <c r="L190" s="9"/>
      <c r="M190" s="43"/>
      <c r="N190" s="43"/>
      <c r="O190" s="9"/>
      <c r="P190" s="9"/>
      <c r="Q190" s="9"/>
      <c r="R190" s="9"/>
      <c r="S190" s="40"/>
      <c r="T190" s="40"/>
      <c r="U190" s="9"/>
      <c r="V190" s="9"/>
      <c r="W190" s="9"/>
      <c r="X190" s="9"/>
      <c r="Y190" s="9"/>
      <c r="Z190" s="9"/>
      <c r="AA190" s="9"/>
      <c r="AB190" s="9"/>
      <c r="AC190" s="10" t="str">
        <f aca="false">IF(A190="","",SG_Criteria!$B$6&amp;SG_Criteria!$B$9&amp;"\"&amp;A190&amp;"\")</f>
        <v/>
      </c>
      <c r="AD190" s="10" t="str">
        <f aca="false">IF(A190="","",A190&amp;"_CAD.dwg")</f>
        <v/>
      </c>
      <c r="AE190" s="10" t="str">
        <f aca="false">IF(A190="","",A190&amp;"_DWG.pdf")</f>
        <v/>
      </c>
      <c r="AF190" s="10" t="str">
        <f aca="false">IF(A190="","",IF(AB190="Y",A190&amp;"_STAAD.std","n/a"))</f>
        <v/>
      </c>
      <c r="AG190" s="10" t="str">
        <f aca="false">IF(A190="","",A190&amp;"_CALC.xlsx")</f>
        <v/>
      </c>
      <c r="AH190" s="10" t="str">
        <f aca="false">IF(A190="","",A190&amp;"_CALC.pdf")</f>
        <v/>
      </c>
      <c r="AI190" s="9"/>
      <c r="AJ190" s="9"/>
      <c r="AK190" s="41"/>
      <c r="AL190" s="41"/>
      <c r="AM190" s="41"/>
      <c r="AN190" s="41"/>
      <c r="AO190" s="41"/>
      <c r="AP190" s="38" t="str">
        <f aca="false">IF(OR(C190="",E190=""),"",IF(E190&lt;=IF(C190="Soldier Pile &amp; Timber Lagging",SG_Criteria!$B$34,SG_Criteria!$B$33),"No ERSS submission",IF(E190&lt;=SG_Criteria!$B$35,"QP(ST)",IF(E190&lt;=SG_Criteria!$B$36,"QP(ST) + AC","Geotechnical building works: QP(Geo) + AC"))))</f>
        <v/>
      </c>
      <c r="AQ190" s="38" t="str">
        <f aca="false">IF(C190="","",IF(LEN(IF(AND(U190&lt;&gt;"",IFERROR(VALUE(MID(U190,2,2)),0)&lt;SG_Criteria!$B$19),"FAIL: grade below C"&amp;SG_Criteria!$B$19&amp;". ","")&amp;IF(AND(LEFT(C190,3)="Con",N(H190)&lt;E190,G190="Kallang Formation (marine clay)"),"NOTE: CBP is not watertight below GWT in marine clay; consider secant / grouting. ","")&amp;IF(AND(C190="Steel Sheet Pile",D190="Permanent"),"NOTE: permanent sheet pile needs corrosion allowance. ","")&amp;IF(AND(F190="Cantilever (no support)",E190&gt;6),"NOTE: cantilever embedded wall &gt; 6 m, check deflection. ","")&amp;IF(AND(S190&lt;&gt;"",T190&lt;&gt;"",S190&gt;T190),"FAIL: deflection exceeds allowable. ",""))=0,"OK",IF(AND(U190&lt;&gt;"",IFERROR(VALUE(MID(U190,2,2)),0)&lt;SG_Criteria!$B$19),"FAIL: grade below C"&amp;SG_Criteria!$B$19&amp;". ","")&amp;IF(AND(LEFT(C190,3)="Con",N(H190)&lt;E190,G190="Kallang Formation (marine clay)"),"NOTE: CBP is not watertight below GWT in marine clay; consider secant / grouting. ","")&amp;IF(AND(C190="Steel Sheet Pile",D190="Permanent"),"NOTE: permanent sheet pile needs corrosion allowance. ","")&amp;IF(AND(F190="Cantilever (no support)",E190&gt;6),"NOTE: cantilever embedded wall &gt; 6 m, check deflection. ","")&amp;IF(AND(S190&lt;&gt;"",T190&lt;&gt;"",S190&gt;T190),"FAIL: deflection exceeds allowable. ","")))</f>
        <v/>
      </c>
      <c r="AR190" s="9"/>
      <c r="AS190" s="9"/>
      <c r="AT190" s="9"/>
      <c r="AU190" s="9"/>
      <c r="AV190" s="9"/>
      <c r="AW190" s="31"/>
      <c r="AX190" s="10" t="str">
        <f aca="false">IF(C190="","",IF(AND(Y190="Approved",ISERROR(SEARCH("FAIL",AQ190))),"Y","N"))</f>
        <v/>
      </c>
      <c r="AY190" s="10" t="str">
        <f aca="false">IF(C190="","",C190&amp;"|"&amp;E190&amp;"|"&amp;F190&amp;"|"&amp;G190&amp;"|"&amp;D190&amp;"|"&amp;AX190)</f>
        <v/>
      </c>
    </row>
    <row r="191" customFormat="false" ht="15" hidden="false" customHeight="false" outlineLevel="0" collapsed="false">
      <c r="A191" s="10" t="str">
        <f aca="false">IF(C191="","","EW-"&amp;IFERROR(VLOOKUP(C191,Lists!$P$4:$Q$22,2,0),"??")&amp;"-D"&amp;TEXT(E191*1000,"0000")&amp;"-"&amp;IFERROR(VLOOKUP(F191,Lists!$S$4:$T$21,2,0),"??")&amp;"-"&amp;IFERROR(VLOOKUP(G191,Lists!$Y$4:$Z$21,2,0),"??")&amp;"-"&amp;IFERROR(VLOOKUP(D191,Lists!$V$4:$W$16,2,0),"??")&amp;"-"&amp;X191)</f>
        <v/>
      </c>
      <c r="B191" s="10" t="str">
        <f aca="false">IF(C191="","",D191&amp;" "&amp;C191&amp;", excavation "&amp;TEXT(E191,"0.0")&amp;" m, "&amp;F191&amp;", "&amp;G191&amp;", "&amp;J191)</f>
        <v/>
      </c>
      <c r="C191" s="9"/>
      <c r="D191" s="9"/>
      <c r="E191" s="43"/>
      <c r="F191" s="9"/>
      <c r="G191" s="9"/>
      <c r="H191" s="43"/>
      <c r="I191" s="40"/>
      <c r="J191" s="9"/>
      <c r="K191" s="9"/>
      <c r="L191" s="9"/>
      <c r="M191" s="43"/>
      <c r="N191" s="43"/>
      <c r="O191" s="9"/>
      <c r="P191" s="9"/>
      <c r="Q191" s="9"/>
      <c r="R191" s="9"/>
      <c r="S191" s="40"/>
      <c r="T191" s="40"/>
      <c r="U191" s="9"/>
      <c r="V191" s="9"/>
      <c r="W191" s="9"/>
      <c r="X191" s="9"/>
      <c r="Y191" s="9"/>
      <c r="Z191" s="9"/>
      <c r="AA191" s="9"/>
      <c r="AB191" s="9"/>
      <c r="AC191" s="10" t="str">
        <f aca="false">IF(A191="","",SG_Criteria!$B$6&amp;SG_Criteria!$B$9&amp;"\"&amp;A191&amp;"\")</f>
        <v/>
      </c>
      <c r="AD191" s="10" t="str">
        <f aca="false">IF(A191="","",A191&amp;"_CAD.dwg")</f>
        <v/>
      </c>
      <c r="AE191" s="10" t="str">
        <f aca="false">IF(A191="","",A191&amp;"_DWG.pdf")</f>
        <v/>
      </c>
      <c r="AF191" s="10" t="str">
        <f aca="false">IF(A191="","",IF(AB191="Y",A191&amp;"_STAAD.std","n/a"))</f>
        <v/>
      </c>
      <c r="AG191" s="10" t="str">
        <f aca="false">IF(A191="","",A191&amp;"_CALC.xlsx")</f>
        <v/>
      </c>
      <c r="AH191" s="10" t="str">
        <f aca="false">IF(A191="","",A191&amp;"_CALC.pdf")</f>
        <v/>
      </c>
      <c r="AI191" s="9"/>
      <c r="AJ191" s="9"/>
      <c r="AK191" s="41"/>
      <c r="AL191" s="41"/>
      <c r="AM191" s="41"/>
      <c r="AN191" s="41"/>
      <c r="AO191" s="41"/>
      <c r="AP191" s="38" t="str">
        <f aca="false">IF(OR(C191="",E191=""),"",IF(E191&lt;=IF(C191="Soldier Pile &amp; Timber Lagging",SG_Criteria!$B$34,SG_Criteria!$B$33),"No ERSS submission",IF(E191&lt;=SG_Criteria!$B$35,"QP(ST)",IF(E191&lt;=SG_Criteria!$B$36,"QP(ST) + AC","Geotechnical building works: QP(Geo) + AC"))))</f>
        <v/>
      </c>
      <c r="AQ191" s="38" t="str">
        <f aca="false">IF(C191="","",IF(LEN(IF(AND(U191&lt;&gt;"",IFERROR(VALUE(MID(U191,2,2)),0)&lt;SG_Criteria!$B$19),"FAIL: grade below C"&amp;SG_Criteria!$B$19&amp;". ","")&amp;IF(AND(LEFT(C191,3)="Con",N(H191)&lt;E191,G191="Kallang Formation (marine clay)"),"NOTE: CBP is not watertight below GWT in marine clay; consider secant / grouting. ","")&amp;IF(AND(C191="Steel Sheet Pile",D191="Permanent"),"NOTE: permanent sheet pile needs corrosion allowance. ","")&amp;IF(AND(F191="Cantilever (no support)",E191&gt;6),"NOTE: cantilever embedded wall &gt; 6 m, check deflection. ","")&amp;IF(AND(S191&lt;&gt;"",T191&lt;&gt;"",S191&gt;T191),"FAIL: deflection exceeds allowable. ",""))=0,"OK",IF(AND(U191&lt;&gt;"",IFERROR(VALUE(MID(U191,2,2)),0)&lt;SG_Criteria!$B$19),"FAIL: grade below C"&amp;SG_Criteria!$B$19&amp;". ","")&amp;IF(AND(LEFT(C191,3)="Con",N(H191)&lt;E191,G191="Kallang Formation (marine clay)"),"NOTE: CBP is not watertight below GWT in marine clay; consider secant / grouting. ","")&amp;IF(AND(C191="Steel Sheet Pile",D191="Permanent"),"NOTE: permanent sheet pile needs corrosion allowance. ","")&amp;IF(AND(F191="Cantilever (no support)",E191&gt;6),"NOTE: cantilever embedded wall &gt; 6 m, check deflection. ","")&amp;IF(AND(S191&lt;&gt;"",T191&lt;&gt;"",S191&gt;T191),"FAIL: deflection exceeds allowable. ","")))</f>
        <v/>
      </c>
      <c r="AR191" s="9"/>
      <c r="AS191" s="9"/>
      <c r="AT191" s="9"/>
      <c r="AU191" s="9"/>
      <c r="AV191" s="9"/>
      <c r="AW191" s="31"/>
      <c r="AX191" s="10" t="str">
        <f aca="false">IF(C191="","",IF(AND(Y191="Approved",ISERROR(SEARCH("FAIL",AQ191))),"Y","N"))</f>
        <v/>
      </c>
      <c r="AY191" s="10" t="str">
        <f aca="false">IF(C191="","",C191&amp;"|"&amp;E191&amp;"|"&amp;F191&amp;"|"&amp;G191&amp;"|"&amp;D191&amp;"|"&amp;AX191)</f>
        <v/>
      </c>
    </row>
    <row r="192" customFormat="false" ht="15" hidden="false" customHeight="false" outlineLevel="0" collapsed="false">
      <c r="A192" s="10" t="str">
        <f aca="false">IF(C192="","","EW-"&amp;IFERROR(VLOOKUP(C192,Lists!$P$4:$Q$22,2,0),"??")&amp;"-D"&amp;TEXT(E192*1000,"0000")&amp;"-"&amp;IFERROR(VLOOKUP(F192,Lists!$S$4:$T$21,2,0),"??")&amp;"-"&amp;IFERROR(VLOOKUP(G192,Lists!$Y$4:$Z$21,2,0),"??")&amp;"-"&amp;IFERROR(VLOOKUP(D192,Lists!$V$4:$W$16,2,0),"??")&amp;"-"&amp;X192)</f>
        <v/>
      </c>
      <c r="B192" s="10" t="str">
        <f aca="false">IF(C192="","",D192&amp;" "&amp;C192&amp;", excavation "&amp;TEXT(E192,"0.0")&amp;" m, "&amp;F192&amp;", "&amp;G192&amp;", "&amp;J192)</f>
        <v/>
      </c>
      <c r="C192" s="9"/>
      <c r="D192" s="9"/>
      <c r="E192" s="43"/>
      <c r="F192" s="9"/>
      <c r="G192" s="9"/>
      <c r="H192" s="43"/>
      <c r="I192" s="40"/>
      <c r="J192" s="9"/>
      <c r="K192" s="9"/>
      <c r="L192" s="9"/>
      <c r="M192" s="43"/>
      <c r="N192" s="43"/>
      <c r="O192" s="9"/>
      <c r="P192" s="9"/>
      <c r="Q192" s="9"/>
      <c r="R192" s="9"/>
      <c r="S192" s="40"/>
      <c r="T192" s="40"/>
      <c r="U192" s="9"/>
      <c r="V192" s="9"/>
      <c r="W192" s="9"/>
      <c r="X192" s="9"/>
      <c r="Y192" s="9"/>
      <c r="Z192" s="9"/>
      <c r="AA192" s="9"/>
      <c r="AB192" s="9"/>
      <c r="AC192" s="10" t="str">
        <f aca="false">IF(A192="","",SG_Criteria!$B$6&amp;SG_Criteria!$B$9&amp;"\"&amp;A192&amp;"\")</f>
        <v/>
      </c>
      <c r="AD192" s="10" t="str">
        <f aca="false">IF(A192="","",A192&amp;"_CAD.dwg")</f>
        <v/>
      </c>
      <c r="AE192" s="10" t="str">
        <f aca="false">IF(A192="","",A192&amp;"_DWG.pdf")</f>
        <v/>
      </c>
      <c r="AF192" s="10" t="str">
        <f aca="false">IF(A192="","",IF(AB192="Y",A192&amp;"_STAAD.std","n/a"))</f>
        <v/>
      </c>
      <c r="AG192" s="10" t="str">
        <f aca="false">IF(A192="","",A192&amp;"_CALC.xlsx")</f>
        <v/>
      </c>
      <c r="AH192" s="10" t="str">
        <f aca="false">IF(A192="","",A192&amp;"_CALC.pdf")</f>
        <v/>
      </c>
      <c r="AI192" s="9"/>
      <c r="AJ192" s="9"/>
      <c r="AK192" s="41"/>
      <c r="AL192" s="41"/>
      <c r="AM192" s="41"/>
      <c r="AN192" s="41"/>
      <c r="AO192" s="41"/>
      <c r="AP192" s="38" t="str">
        <f aca="false">IF(OR(C192="",E192=""),"",IF(E192&lt;=IF(C192="Soldier Pile &amp; Timber Lagging",SG_Criteria!$B$34,SG_Criteria!$B$33),"No ERSS submission",IF(E192&lt;=SG_Criteria!$B$35,"QP(ST)",IF(E192&lt;=SG_Criteria!$B$36,"QP(ST) + AC","Geotechnical building works: QP(Geo) + AC"))))</f>
        <v/>
      </c>
      <c r="AQ192" s="38" t="str">
        <f aca="false">IF(C192="","",IF(LEN(IF(AND(U192&lt;&gt;"",IFERROR(VALUE(MID(U192,2,2)),0)&lt;SG_Criteria!$B$19),"FAIL: grade below C"&amp;SG_Criteria!$B$19&amp;". ","")&amp;IF(AND(LEFT(C192,3)="Con",N(H192)&lt;E192,G192="Kallang Formation (marine clay)"),"NOTE: CBP is not watertight below GWT in marine clay; consider secant / grouting. ","")&amp;IF(AND(C192="Steel Sheet Pile",D192="Permanent"),"NOTE: permanent sheet pile needs corrosion allowance. ","")&amp;IF(AND(F192="Cantilever (no support)",E192&gt;6),"NOTE: cantilever embedded wall &gt; 6 m, check deflection. ","")&amp;IF(AND(S192&lt;&gt;"",T192&lt;&gt;"",S192&gt;T192),"FAIL: deflection exceeds allowable. ",""))=0,"OK",IF(AND(U192&lt;&gt;"",IFERROR(VALUE(MID(U192,2,2)),0)&lt;SG_Criteria!$B$19),"FAIL: grade below C"&amp;SG_Criteria!$B$19&amp;". ","")&amp;IF(AND(LEFT(C192,3)="Con",N(H192)&lt;E192,G192="Kallang Formation (marine clay)"),"NOTE: CBP is not watertight below GWT in marine clay; consider secant / grouting. ","")&amp;IF(AND(C192="Steel Sheet Pile",D192="Permanent"),"NOTE: permanent sheet pile needs corrosion allowance. ","")&amp;IF(AND(F192="Cantilever (no support)",E192&gt;6),"NOTE: cantilever embedded wall &gt; 6 m, check deflection. ","")&amp;IF(AND(S192&lt;&gt;"",T192&lt;&gt;"",S192&gt;T192),"FAIL: deflection exceeds allowable. ","")))</f>
        <v/>
      </c>
      <c r="AR192" s="9"/>
      <c r="AS192" s="9"/>
      <c r="AT192" s="9"/>
      <c r="AU192" s="9"/>
      <c r="AV192" s="9"/>
      <c r="AW192" s="31"/>
      <c r="AX192" s="10" t="str">
        <f aca="false">IF(C192="","",IF(AND(Y192="Approved",ISERROR(SEARCH("FAIL",AQ192))),"Y","N"))</f>
        <v/>
      </c>
      <c r="AY192" s="10" t="str">
        <f aca="false">IF(C192="","",C192&amp;"|"&amp;E192&amp;"|"&amp;F192&amp;"|"&amp;G192&amp;"|"&amp;D192&amp;"|"&amp;AX192)</f>
        <v/>
      </c>
    </row>
    <row r="193" customFormat="false" ht="15" hidden="false" customHeight="false" outlineLevel="0" collapsed="false">
      <c r="A193" s="10" t="str">
        <f aca="false">IF(C193="","","EW-"&amp;IFERROR(VLOOKUP(C193,Lists!$P$4:$Q$22,2,0),"??")&amp;"-D"&amp;TEXT(E193*1000,"0000")&amp;"-"&amp;IFERROR(VLOOKUP(F193,Lists!$S$4:$T$21,2,0),"??")&amp;"-"&amp;IFERROR(VLOOKUP(G193,Lists!$Y$4:$Z$21,2,0),"??")&amp;"-"&amp;IFERROR(VLOOKUP(D193,Lists!$V$4:$W$16,2,0),"??")&amp;"-"&amp;X193)</f>
        <v/>
      </c>
      <c r="B193" s="10" t="str">
        <f aca="false">IF(C193="","",D193&amp;" "&amp;C193&amp;", excavation "&amp;TEXT(E193,"0.0")&amp;" m, "&amp;F193&amp;", "&amp;G193&amp;", "&amp;J193)</f>
        <v/>
      </c>
      <c r="C193" s="9"/>
      <c r="D193" s="9"/>
      <c r="E193" s="43"/>
      <c r="F193" s="9"/>
      <c r="G193" s="9"/>
      <c r="H193" s="43"/>
      <c r="I193" s="40"/>
      <c r="J193" s="9"/>
      <c r="K193" s="9"/>
      <c r="L193" s="9"/>
      <c r="M193" s="43"/>
      <c r="N193" s="43"/>
      <c r="O193" s="9"/>
      <c r="P193" s="9"/>
      <c r="Q193" s="9"/>
      <c r="R193" s="9"/>
      <c r="S193" s="40"/>
      <c r="T193" s="40"/>
      <c r="U193" s="9"/>
      <c r="V193" s="9"/>
      <c r="W193" s="9"/>
      <c r="X193" s="9"/>
      <c r="Y193" s="9"/>
      <c r="Z193" s="9"/>
      <c r="AA193" s="9"/>
      <c r="AB193" s="9"/>
      <c r="AC193" s="10" t="str">
        <f aca="false">IF(A193="","",SG_Criteria!$B$6&amp;SG_Criteria!$B$9&amp;"\"&amp;A193&amp;"\")</f>
        <v/>
      </c>
      <c r="AD193" s="10" t="str">
        <f aca="false">IF(A193="","",A193&amp;"_CAD.dwg")</f>
        <v/>
      </c>
      <c r="AE193" s="10" t="str">
        <f aca="false">IF(A193="","",A193&amp;"_DWG.pdf")</f>
        <v/>
      </c>
      <c r="AF193" s="10" t="str">
        <f aca="false">IF(A193="","",IF(AB193="Y",A193&amp;"_STAAD.std","n/a"))</f>
        <v/>
      </c>
      <c r="AG193" s="10" t="str">
        <f aca="false">IF(A193="","",A193&amp;"_CALC.xlsx")</f>
        <v/>
      </c>
      <c r="AH193" s="10" t="str">
        <f aca="false">IF(A193="","",A193&amp;"_CALC.pdf")</f>
        <v/>
      </c>
      <c r="AI193" s="9"/>
      <c r="AJ193" s="9"/>
      <c r="AK193" s="41"/>
      <c r="AL193" s="41"/>
      <c r="AM193" s="41"/>
      <c r="AN193" s="41"/>
      <c r="AO193" s="41"/>
      <c r="AP193" s="38" t="str">
        <f aca="false">IF(OR(C193="",E193=""),"",IF(E193&lt;=IF(C193="Soldier Pile &amp; Timber Lagging",SG_Criteria!$B$34,SG_Criteria!$B$33),"No ERSS submission",IF(E193&lt;=SG_Criteria!$B$35,"QP(ST)",IF(E193&lt;=SG_Criteria!$B$36,"QP(ST) + AC","Geotechnical building works: QP(Geo) + AC"))))</f>
        <v/>
      </c>
      <c r="AQ193" s="38" t="str">
        <f aca="false">IF(C193="","",IF(LEN(IF(AND(U193&lt;&gt;"",IFERROR(VALUE(MID(U193,2,2)),0)&lt;SG_Criteria!$B$19),"FAIL: grade below C"&amp;SG_Criteria!$B$19&amp;". ","")&amp;IF(AND(LEFT(C193,3)="Con",N(H193)&lt;E193,G193="Kallang Formation (marine clay)"),"NOTE: CBP is not watertight below GWT in marine clay; consider secant / grouting. ","")&amp;IF(AND(C193="Steel Sheet Pile",D193="Permanent"),"NOTE: permanent sheet pile needs corrosion allowance. ","")&amp;IF(AND(F193="Cantilever (no support)",E193&gt;6),"NOTE: cantilever embedded wall &gt; 6 m, check deflection. ","")&amp;IF(AND(S193&lt;&gt;"",T193&lt;&gt;"",S193&gt;T193),"FAIL: deflection exceeds allowable. ",""))=0,"OK",IF(AND(U193&lt;&gt;"",IFERROR(VALUE(MID(U193,2,2)),0)&lt;SG_Criteria!$B$19),"FAIL: grade below C"&amp;SG_Criteria!$B$19&amp;". ","")&amp;IF(AND(LEFT(C193,3)="Con",N(H193)&lt;E193,G193="Kallang Formation (marine clay)"),"NOTE: CBP is not watertight below GWT in marine clay; consider secant / grouting. ","")&amp;IF(AND(C193="Steel Sheet Pile",D193="Permanent"),"NOTE: permanent sheet pile needs corrosion allowance. ","")&amp;IF(AND(F193="Cantilever (no support)",E193&gt;6),"NOTE: cantilever embedded wall &gt; 6 m, check deflection. ","")&amp;IF(AND(S193&lt;&gt;"",T193&lt;&gt;"",S193&gt;T193),"FAIL: deflection exceeds allowable. ","")))</f>
        <v/>
      </c>
      <c r="AR193" s="9"/>
      <c r="AS193" s="9"/>
      <c r="AT193" s="9"/>
      <c r="AU193" s="9"/>
      <c r="AV193" s="9"/>
      <c r="AW193" s="31"/>
      <c r="AX193" s="10" t="str">
        <f aca="false">IF(C193="","",IF(AND(Y193="Approved",ISERROR(SEARCH("FAIL",AQ193))),"Y","N"))</f>
        <v/>
      </c>
      <c r="AY193" s="10" t="str">
        <f aca="false">IF(C193="","",C193&amp;"|"&amp;E193&amp;"|"&amp;F193&amp;"|"&amp;G193&amp;"|"&amp;D193&amp;"|"&amp;AX193)</f>
        <v/>
      </c>
    </row>
    <row r="194" customFormat="false" ht="15" hidden="false" customHeight="false" outlineLevel="0" collapsed="false">
      <c r="A194" s="10" t="str">
        <f aca="false">IF(C194="","","EW-"&amp;IFERROR(VLOOKUP(C194,Lists!$P$4:$Q$22,2,0),"??")&amp;"-D"&amp;TEXT(E194*1000,"0000")&amp;"-"&amp;IFERROR(VLOOKUP(F194,Lists!$S$4:$T$21,2,0),"??")&amp;"-"&amp;IFERROR(VLOOKUP(G194,Lists!$Y$4:$Z$21,2,0),"??")&amp;"-"&amp;IFERROR(VLOOKUP(D194,Lists!$V$4:$W$16,2,0),"??")&amp;"-"&amp;X194)</f>
        <v/>
      </c>
      <c r="B194" s="10" t="str">
        <f aca="false">IF(C194="","",D194&amp;" "&amp;C194&amp;", excavation "&amp;TEXT(E194,"0.0")&amp;" m, "&amp;F194&amp;", "&amp;G194&amp;", "&amp;J194)</f>
        <v/>
      </c>
      <c r="C194" s="9"/>
      <c r="D194" s="9"/>
      <c r="E194" s="43"/>
      <c r="F194" s="9"/>
      <c r="G194" s="9"/>
      <c r="H194" s="43"/>
      <c r="I194" s="40"/>
      <c r="J194" s="9"/>
      <c r="K194" s="9"/>
      <c r="L194" s="9"/>
      <c r="M194" s="43"/>
      <c r="N194" s="43"/>
      <c r="O194" s="9"/>
      <c r="P194" s="9"/>
      <c r="Q194" s="9"/>
      <c r="R194" s="9"/>
      <c r="S194" s="40"/>
      <c r="T194" s="40"/>
      <c r="U194" s="9"/>
      <c r="V194" s="9"/>
      <c r="W194" s="9"/>
      <c r="X194" s="9"/>
      <c r="Y194" s="9"/>
      <c r="Z194" s="9"/>
      <c r="AA194" s="9"/>
      <c r="AB194" s="9"/>
      <c r="AC194" s="10" t="str">
        <f aca="false">IF(A194="","",SG_Criteria!$B$6&amp;SG_Criteria!$B$9&amp;"\"&amp;A194&amp;"\")</f>
        <v/>
      </c>
      <c r="AD194" s="10" t="str">
        <f aca="false">IF(A194="","",A194&amp;"_CAD.dwg")</f>
        <v/>
      </c>
      <c r="AE194" s="10" t="str">
        <f aca="false">IF(A194="","",A194&amp;"_DWG.pdf")</f>
        <v/>
      </c>
      <c r="AF194" s="10" t="str">
        <f aca="false">IF(A194="","",IF(AB194="Y",A194&amp;"_STAAD.std","n/a"))</f>
        <v/>
      </c>
      <c r="AG194" s="10" t="str">
        <f aca="false">IF(A194="","",A194&amp;"_CALC.xlsx")</f>
        <v/>
      </c>
      <c r="AH194" s="10" t="str">
        <f aca="false">IF(A194="","",A194&amp;"_CALC.pdf")</f>
        <v/>
      </c>
      <c r="AI194" s="9"/>
      <c r="AJ194" s="9"/>
      <c r="AK194" s="41"/>
      <c r="AL194" s="41"/>
      <c r="AM194" s="41"/>
      <c r="AN194" s="41"/>
      <c r="AO194" s="41"/>
      <c r="AP194" s="38" t="str">
        <f aca="false">IF(OR(C194="",E194=""),"",IF(E194&lt;=IF(C194="Soldier Pile &amp; Timber Lagging",SG_Criteria!$B$34,SG_Criteria!$B$33),"No ERSS submission",IF(E194&lt;=SG_Criteria!$B$35,"QP(ST)",IF(E194&lt;=SG_Criteria!$B$36,"QP(ST) + AC","Geotechnical building works: QP(Geo) + AC"))))</f>
        <v/>
      </c>
      <c r="AQ194" s="38" t="str">
        <f aca="false">IF(C194="","",IF(LEN(IF(AND(U194&lt;&gt;"",IFERROR(VALUE(MID(U194,2,2)),0)&lt;SG_Criteria!$B$19),"FAIL: grade below C"&amp;SG_Criteria!$B$19&amp;". ","")&amp;IF(AND(LEFT(C194,3)="Con",N(H194)&lt;E194,G194="Kallang Formation (marine clay)"),"NOTE: CBP is not watertight below GWT in marine clay; consider secant / grouting. ","")&amp;IF(AND(C194="Steel Sheet Pile",D194="Permanent"),"NOTE: permanent sheet pile needs corrosion allowance. ","")&amp;IF(AND(F194="Cantilever (no support)",E194&gt;6),"NOTE: cantilever embedded wall &gt; 6 m, check deflection. ","")&amp;IF(AND(S194&lt;&gt;"",T194&lt;&gt;"",S194&gt;T194),"FAIL: deflection exceeds allowable. ",""))=0,"OK",IF(AND(U194&lt;&gt;"",IFERROR(VALUE(MID(U194,2,2)),0)&lt;SG_Criteria!$B$19),"FAIL: grade below C"&amp;SG_Criteria!$B$19&amp;". ","")&amp;IF(AND(LEFT(C194,3)="Con",N(H194)&lt;E194,G194="Kallang Formation (marine clay)"),"NOTE: CBP is not watertight below GWT in marine clay; consider secant / grouting. ","")&amp;IF(AND(C194="Steel Sheet Pile",D194="Permanent"),"NOTE: permanent sheet pile needs corrosion allowance. ","")&amp;IF(AND(F194="Cantilever (no support)",E194&gt;6),"NOTE: cantilever embedded wall &gt; 6 m, check deflection. ","")&amp;IF(AND(S194&lt;&gt;"",T194&lt;&gt;"",S194&gt;T194),"FAIL: deflection exceeds allowable. ","")))</f>
        <v/>
      </c>
      <c r="AR194" s="9"/>
      <c r="AS194" s="9"/>
      <c r="AT194" s="9"/>
      <c r="AU194" s="9"/>
      <c r="AV194" s="9"/>
      <c r="AW194" s="31"/>
      <c r="AX194" s="10" t="str">
        <f aca="false">IF(C194="","",IF(AND(Y194="Approved",ISERROR(SEARCH("FAIL",AQ194))),"Y","N"))</f>
        <v/>
      </c>
      <c r="AY194" s="10" t="str">
        <f aca="false">IF(C194="","",C194&amp;"|"&amp;E194&amp;"|"&amp;F194&amp;"|"&amp;G194&amp;"|"&amp;D194&amp;"|"&amp;AX194)</f>
        <v/>
      </c>
    </row>
    <row r="195" customFormat="false" ht="15" hidden="false" customHeight="false" outlineLevel="0" collapsed="false">
      <c r="A195" s="10" t="str">
        <f aca="false">IF(C195="","","EW-"&amp;IFERROR(VLOOKUP(C195,Lists!$P$4:$Q$22,2,0),"??")&amp;"-D"&amp;TEXT(E195*1000,"0000")&amp;"-"&amp;IFERROR(VLOOKUP(F195,Lists!$S$4:$T$21,2,0),"??")&amp;"-"&amp;IFERROR(VLOOKUP(G195,Lists!$Y$4:$Z$21,2,0),"??")&amp;"-"&amp;IFERROR(VLOOKUP(D195,Lists!$V$4:$W$16,2,0),"??")&amp;"-"&amp;X195)</f>
        <v/>
      </c>
      <c r="B195" s="10" t="str">
        <f aca="false">IF(C195="","",D195&amp;" "&amp;C195&amp;", excavation "&amp;TEXT(E195,"0.0")&amp;" m, "&amp;F195&amp;", "&amp;G195&amp;", "&amp;J195)</f>
        <v/>
      </c>
      <c r="C195" s="9"/>
      <c r="D195" s="9"/>
      <c r="E195" s="43"/>
      <c r="F195" s="9"/>
      <c r="G195" s="9"/>
      <c r="H195" s="43"/>
      <c r="I195" s="40"/>
      <c r="J195" s="9"/>
      <c r="K195" s="9"/>
      <c r="L195" s="9"/>
      <c r="M195" s="43"/>
      <c r="N195" s="43"/>
      <c r="O195" s="9"/>
      <c r="P195" s="9"/>
      <c r="Q195" s="9"/>
      <c r="R195" s="9"/>
      <c r="S195" s="40"/>
      <c r="T195" s="40"/>
      <c r="U195" s="9"/>
      <c r="V195" s="9"/>
      <c r="W195" s="9"/>
      <c r="X195" s="9"/>
      <c r="Y195" s="9"/>
      <c r="Z195" s="9"/>
      <c r="AA195" s="9"/>
      <c r="AB195" s="9"/>
      <c r="AC195" s="10" t="str">
        <f aca="false">IF(A195="","",SG_Criteria!$B$6&amp;SG_Criteria!$B$9&amp;"\"&amp;A195&amp;"\")</f>
        <v/>
      </c>
      <c r="AD195" s="10" t="str">
        <f aca="false">IF(A195="","",A195&amp;"_CAD.dwg")</f>
        <v/>
      </c>
      <c r="AE195" s="10" t="str">
        <f aca="false">IF(A195="","",A195&amp;"_DWG.pdf")</f>
        <v/>
      </c>
      <c r="AF195" s="10" t="str">
        <f aca="false">IF(A195="","",IF(AB195="Y",A195&amp;"_STAAD.std","n/a"))</f>
        <v/>
      </c>
      <c r="AG195" s="10" t="str">
        <f aca="false">IF(A195="","",A195&amp;"_CALC.xlsx")</f>
        <v/>
      </c>
      <c r="AH195" s="10" t="str">
        <f aca="false">IF(A195="","",A195&amp;"_CALC.pdf")</f>
        <v/>
      </c>
      <c r="AI195" s="9"/>
      <c r="AJ195" s="9"/>
      <c r="AK195" s="41"/>
      <c r="AL195" s="41"/>
      <c r="AM195" s="41"/>
      <c r="AN195" s="41"/>
      <c r="AO195" s="41"/>
      <c r="AP195" s="38" t="str">
        <f aca="false">IF(OR(C195="",E195=""),"",IF(E195&lt;=IF(C195="Soldier Pile &amp; Timber Lagging",SG_Criteria!$B$34,SG_Criteria!$B$33),"No ERSS submission",IF(E195&lt;=SG_Criteria!$B$35,"QP(ST)",IF(E195&lt;=SG_Criteria!$B$36,"QP(ST) + AC","Geotechnical building works: QP(Geo) + AC"))))</f>
        <v/>
      </c>
      <c r="AQ195" s="38" t="str">
        <f aca="false">IF(C195="","",IF(LEN(IF(AND(U195&lt;&gt;"",IFERROR(VALUE(MID(U195,2,2)),0)&lt;SG_Criteria!$B$19),"FAIL: grade below C"&amp;SG_Criteria!$B$19&amp;". ","")&amp;IF(AND(LEFT(C195,3)="Con",N(H195)&lt;E195,G195="Kallang Formation (marine clay)"),"NOTE: CBP is not watertight below GWT in marine clay; consider secant / grouting. ","")&amp;IF(AND(C195="Steel Sheet Pile",D195="Permanent"),"NOTE: permanent sheet pile needs corrosion allowance. ","")&amp;IF(AND(F195="Cantilever (no support)",E195&gt;6),"NOTE: cantilever embedded wall &gt; 6 m, check deflection. ","")&amp;IF(AND(S195&lt;&gt;"",T195&lt;&gt;"",S195&gt;T195),"FAIL: deflection exceeds allowable. ",""))=0,"OK",IF(AND(U195&lt;&gt;"",IFERROR(VALUE(MID(U195,2,2)),0)&lt;SG_Criteria!$B$19),"FAIL: grade below C"&amp;SG_Criteria!$B$19&amp;". ","")&amp;IF(AND(LEFT(C195,3)="Con",N(H195)&lt;E195,G195="Kallang Formation (marine clay)"),"NOTE: CBP is not watertight below GWT in marine clay; consider secant / grouting. ","")&amp;IF(AND(C195="Steel Sheet Pile",D195="Permanent"),"NOTE: permanent sheet pile needs corrosion allowance. ","")&amp;IF(AND(F195="Cantilever (no support)",E195&gt;6),"NOTE: cantilever embedded wall &gt; 6 m, check deflection. ","")&amp;IF(AND(S195&lt;&gt;"",T195&lt;&gt;"",S195&gt;T195),"FAIL: deflection exceeds allowable. ","")))</f>
        <v/>
      </c>
      <c r="AR195" s="9"/>
      <c r="AS195" s="9"/>
      <c r="AT195" s="9"/>
      <c r="AU195" s="9"/>
      <c r="AV195" s="9"/>
      <c r="AW195" s="31"/>
      <c r="AX195" s="10" t="str">
        <f aca="false">IF(C195="","",IF(AND(Y195="Approved",ISERROR(SEARCH("FAIL",AQ195))),"Y","N"))</f>
        <v/>
      </c>
      <c r="AY195" s="10" t="str">
        <f aca="false">IF(C195="","",C195&amp;"|"&amp;E195&amp;"|"&amp;F195&amp;"|"&amp;G195&amp;"|"&amp;D195&amp;"|"&amp;AX195)</f>
        <v/>
      </c>
    </row>
    <row r="196" customFormat="false" ht="15" hidden="false" customHeight="false" outlineLevel="0" collapsed="false">
      <c r="A196" s="10" t="str">
        <f aca="false">IF(C196="","","EW-"&amp;IFERROR(VLOOKUP(C196,Lists!$P$4:$Q$22,2,0),"??")&amp;"-D"&amp;TEXT(E196*1000,"0000")&amp;"-"&amp;IFERROR(VLOOKUP(F196,Lists!$S$4:$T$21,2,0),"??")&amp;"-"&amp;IFERROR(VLOOKUP(G196,Lists!$Y$4:$Z$21,2,0),"??")&amp;"-"&amp;IFERROR(VLOOKUP(D196,Lists!$V$4:$W$16,2,0),"??")&amp;"-"&amp;X196)</f>
        <v/>
      </c>
      <c r="B196" s="10" t="str">
        <f aca="false">IF(C196="","",D196&amp;" "&amp;C196&amp;", excavation "&amp;TEXT(E196,"0.0")&amp;" m, "&amp;F196&amp;", "&amp;G196&amp;", "&amp;J196)</f>
        <v/>
      </c>
      <c r="C196" s="9"/>
      <c r="D196" s="9"/>
      <c r="E196" s="43"/>
      <c r="F196" s="9"/>
      <c r="G196" s="9"/>
      <c r="H196" s="43"/>
      <c r="I196" s="40"/>
      <c r="J196" s="9"/>
      <c r="K196" s="9"/>
      <c r="L196" s="9"/>
      <c r="M196" s="43"/>
      <c r="N196" s="43"/>
      <c r="O196" s="9"/>
      <c r="P196" s="9"/>
      <c r="Q196" s="9"/>
      <c r="R196" s="9"/>
      <c r="S196" s="40"/>
      <c r="T196" s="40"/>
      <c r="U196" s="9"/>
      <c r="V196" s="9"/>
      <c r="W196" s="9"/>
      <c r="X196" s="9"/>
      <c r="Y196" s="9"/>
      <c r="Z196" s="9"/>
      <c r="AA196" s="9"/>
      <c r="AB196" s="9"/>
      <c r="AC196" s="10" t="str">
        <f aca="false">IF(A196="","",SG_Criteria!$B$6&amp;SG_Criteria!$B$9&amp;"\"&amp;A196&amp;"\")</f>
        <v/>
      </c>
      <c r="AD196" s="10" t="str">
        <f aca="false">IF(A196="","",A196&amp;"_CAD.dwg")</f>
        <v/>
      </c>
      <c r="AE196" s="10" t="str">
        <f aca="false">IF(A196="","",A196&amp;"_DWG.pdf")</f>
        <v/>
      </c>
      <c r="AF196" s="10" t="str">
        <f aca="false">IF(A196="","",IF(AB196="Y",A196&amp;"_STAAD.std","n/a"))</f>
        <v/>
      </c>
      <c r="AG196" s="10" t="str">
        <f aca="false">IF(A196="","",A196&amp;"_CALC.xlsx")</f>
        <v/>
      </c>
      <c r="AH196" s="10" t="str">
        <f aca="false">IF(A196="","",A196&amp;"_CALC.pdf")</f>
        <v/>
      </c>
      <c r="AI196" s="9"/>
      <c r="AJ196" s="9"/>
      <c r="AK196" s="41"/>
      <c r="AL196" s="41"/>
      <c r="AM196" s="41"/>
      <c r="AN196" s="41"/>
      <c r="AO196" s="41"/>
      <c r="AP196" s="38" t="str">
        <f aca="false">IF(OR(C196="",E196=""),"",IF(E196&lt;=IF(C196="Soldier Pile &amp; Timber Lagging",SG_Criteria!$B$34,SG_Criteria!$B$33),"No ERSS submission",IF(E196&lt;=SG_Criteria!$B$35,"QP(ST)",IF(E196&lt;=SG_Criteria!$B$36,"QP(ST) + AC","Geotechnical building works: QP(Geo) + AC"))))</f>
        <v/>
      </c>
      <c r="AQ196" s="38" t="str">
        <f aca="false">IF(C196="","",IF(LEN(IF(AND(U196&lt;&gt;"",IFERROR(VALUE(MID(U196,2,2)),0)&lt;SG_Criteria!$B$19),"FAIL: grade below C"&amp;SG_Criteria!$B$19&amp;". ","")&amp;IF(AND(LEFT(C196,3)="Con",N(H196)&lt;E196,G196="Kallang Formation (marine clay)"),"NOTE: CBP is not watertight below GWT in marine clay; consider secant / grouting. ","")&amp;IF(AND(C196="Steel Sheet Pile",D196="Permanent"),"NOTE: permanent sheet pile needs corrosion allowance. ","")&amp;IF(AND(F196="Cantilever (no support)",E196&gt;6),"NOTE: cantilever embedded wall &gt; 6 m, check deflection. ","")&amp;IF(AND(S196&lt;&gt;"",T196&lt;&gt;"",S196&gt;T196),"FAIL: deflection exceeds allowable. ",""))=0,"OK",IF(AND(U196&lt;&gt;"",IFERROR(VALUE(MID(U196,2,2)),0)&lt;SG_Criteria!$B$19),"FAIL: grade below C"&amp;SG_Criteria!$B$19&amp;". ","")&amp;IF(AND(LEFT(C196,3)="Con",N(H196)&lt;E196,G196="Kallang Formation (marine clay)"),"NOTE: CBP is not watertight below GWT in marine clay; consider secant / grouting. ","")&amp;IF(AND(C196="Steel Sheet Pile",D196="Permanent"),"NOTE: permanent sheet pile needs corrosion allowance. ","")&amp;IF(AND(F196="Cantilever (no support)",E196&gt;6),"NOTE: cantilever embedded wall &gt; 6 m, check deflection. ","")&amp;IF(AND(S196&lt;&gt;"",T196&lt;&gt;"",S196&gt;T196),"FAIL: deflection exceeds allowable. ","")))</f>
        <v/>
      </c>
      <c r="AR196" s="9"/>
      <c r="AS196" s="9"/>
      <c r="AT196" s="9"/>
      <c r="AU196" s="9"/>
      <c r="AV196" s="9"/>
      <c r="AW196" s="31"/>
      <c r="AX196" s="10" t="str">
        <f aca="false">IF(C196="","",IF(AND(Y196="Approved",ISERROR(SEARCH("FAIL",AQ196))),"Y","N"))</f>
        <v/>
      </c>
      <c r="AY196" s="10" t="str">
        <f aca="false">IF(C196="","",C196&amp;"|"&amp;E196&amp;"|"&amp;F196&amp;"|"&amp;G196&amp;"|"&amp;D196&amp;"|"&amp;AX196)</f>
        <v/>
      </c>
    </row>
    <row r="197" customFormat="false" ht="15" hidden="false" customHeight="false" outlineLevel="0" collapsed="false">
      <c r="A197" s="10" t="str">
        <f aca="false">IF(C197="","","EW-"&amp;IFERROR(VLOOKUP(C197,Lists!$P$4:$Q$22,2,0),"??")&amp;"-D"&amp;TEXT(E197*1000,"0000")&amp;"-"&amp;IFERROR(VLOOKUP(F197,Lists!$S$4:$T$21,2,0),"??")&amp;"-"&amp;IFERROR(VLOOKUP(G197,Lists!$Y$4:$Z$21,2,0),"??")&amp;"-"&amp;IFERROR(VLOOKUP(D197,Lists!$V$4:$W$16,2,0),"??")&amp;"-"&amp;X197)</f>
        <v/>
      </c>
      <c r="B197" s="10" t="str">
        <f aca="false">IF(C197="","",D197&amp;" "&amp;C197&amp;", excavation "&amp;TEXT(E197,"0.0")&amp;" m, "&amp;F197&amp;", "&amp;G197&amp;", "&amp;J197)</f>
        <v/>
      </c>
      <c r="C197" s="9"/>
      <c r="D197" s="9"/>
      <c r="E197" s="43"/>
      <c r="F197" s="9"/>
      <c r="G197" s="9"/>
      <c r="H197" s="43"/>
      <c r="I197" s="40"/>
      <c r="J197" s="9"/>
      <c r="K197" s="9"/>
      <c r="L197" s="9"/>
      <c r="M197" s="43"/>
      <c r="N197" s="43"/>
      <c r="O197" s="9"/>
      <c r="P197" s="9"/>
      <c r="Q197" s="9"/>
      <c r="R197" s="9"/>
      <c r="S197" s="40"/>
      <c r="T197" s="40"/>
      <c r="U197" s="9"/>
      <c r="V197" s="9"/>
      <c r="W197" s="9"/>
      <c r="X197" s="9"/>
      <c r="Y197" s="9"/>
      <c r="Z197" s="9"/>
      <c r="AA197" s="9"/>
      <c r="AB197" s="9"/>
      <c r="AC197" s="10" t="str">
        <f aca="false">IF(A197="","",SG_Criteria!$B$6&amp;SG_Criteria!$B$9&amp;"\"&amp;A197&amp;"\")</f>
        <v/>
      </c>
      <c r="AD197" s="10" t="str">
        <f aca="false">IF(A197="","",A197&amp;"_CAD.dwg")</f>
        <v/>
      </c>
      <c r="AE197" s="10" t="str">
        <f aca="false">IF(A197="","",A197&amp;"_DWG.pdf")</f>
        <v/>
      </c>
      <c r="AF197" s="10" t="str">
        <f aca="false">IF(A197="","",IF(AB197="Y",A197&amp;"_STAAD.std","n/a"))</f>
        <v/>
      </c>
      <c r="AG197" s="10" t="str">
        <f aca="false">IF(A197="","",A197&amp;"_CALC.xlsx")</f>
        <v/>
      </c>
      <c r="AH197" s="10" t="str">
        <f aca="false">IF(A197="","",A197&amp;"_CALC.pdf")</f>
        <v/>
      </c>
      <c r="AI197" s="9"/>
      <c r="AJ197" s="9"/>
      <c r="AK197" s="41"/>
      <c r="AL197" s="41"/>
      <c r="AM197" s="41"/>
      <c r="AN197" s="41"/>
      <c r="AO197" s="41"/>
      <c r="AP197" s="38" t="str">
        <f aca="false">IF(OR(C197="",E197=""),"",IF(E197&lt;=IF(C197="Soldier Pile &amp; Timber Lagging",SG_Criteria!$B$34,SG_Criteria!$B$33),"No ERSS submission",IF(E197&lt;=SG_Criteria!$B$35,"QP(ST)",IF(E197&lt;=SG_Criteria!$B$36,"QP(ST) + AC","Geotechnical building works: QP(Geo) + AC"))))</f>
        <v/>
      </c>
      <c r="AQ197" s="38" t="str">
        <f aca="false">IF(C197="","",IF(LEN(IF(AND(U197&lt;&gt;"",IFERROR(VALUE(MID(U197,2,2)),0)&lt;SG_Criteria!$B$19),"FAIL: grade below C"&amp;SG_Criteria!$B$19&amp;". ","")&amp;IF(AND(LEFT(C197,3)="Con",N(H197)&lt;E197,G197="Kallang Formation (marine clay)"),"NOTE: CBP is not watertight below GWT in marine clay; consider secant / grouting. ","")&amp;IF(AND(C197="Steel Sheet Pile",D197="Permanent"),"NOTE: permanent sheet pile needs corrosion allowance. ","")&amp;IF(AND(F197="Cantilever (no support)",E197&gt;6),"NOTE: cantilever embedded wall &gt; 6 m, check deflection. ","")&amp;IF(AND(S197&lt;&gt;"",T197&lt;&gt;"",S197&gt;T197),"FAIL: deflection exceeds allowable. ",""))=0,"OK",IF(AND(U197&lt;&gt;"",IFERROR(VALUE(MID(U197,2,2)),0)&lt;SG_Criteria!$B$19),"FAIL: grade below C"&amp;SG_Criteria!$B$19&amp;". ","")&amp;IF(AND(LEFT(C197,3)="Con",N(H197)&lt;E197,G197="Kallang Formation (marine clay)"),"NOTE: CBP is not watertight below GWT in marine clay; consider secant / grouting. ","")&amp;IF(AND(C197="Steel Sheet Pile",D197="Permanent"),"NOTE: permanent sheet pile needs corrosion allowance. ","")&amp;IF(AND(F197="Cantilever (no support)",E197&gt;6),"NOTE: cantilever embedded wall &gt; 6 m, check deflection. ","")&amp;IF(AND(S197&lt;&gt;"",T197&lt;&gt;"",S197&gt;T197),"FAIL: deflection exceeds allowable. ","")))</f>
        <v/>
      </c>
      <c r="AR197" s="9"/>
      <c r="AS197" s="9"/>
      <c r="AT197" s="9"/>
      <c r="AU197" s="9"/>
      <c r="AV197" s="9"/>
      <c r="AW197" s="31"/>
      <c r="AX197" s="10" t="str">
        <f aca="false">IF(C197="","",IF(AND(Y197="Approved",ISERROR(SEARCH("FAIL",AQ197))),"Y","N"))</f>
        <v/>
      </c>
      <c r="AY197" s="10" t="str">
        <f aca="false">IF(C197="","",C197&amp;"|"&amp;E197&amp;"|"&amp;F197&amp;"|"&amp;G197&amp;"|"&amp;D197&amp;"|"&amp;AX197)</f>
        <v/>
      </c>
    </row>
    <row r="198" customFormat="false" ht="15" hidden="false" customHeight="false" outlineLevel="0" collapsed="false">
      <c r="A198" s="10" t="str">
        <f aca="false">IF(C198="","","EW-"&amp;IFERROR(VLOOKUP(C198,Lists!$P$4:$Q$22,2,0),"??")&amp;"-D"&amp;TEXT(E198*1000,"0000")&amp;"-"&amp;IFERROR(VLOOKUP(F198,Lists!$S$4:$T$21,2,0),"??")&amp;"-"&amp;IFERROR(VLOOKUP(G198,Lists!$Y$4:$Z$21,2,0),"??")&amp;"-"&amp;IFERROR(VLOOKUP(D198,Lists!$V$4:$W$16,2,0),"??")&amp;"-"&amp;X198)</f>
        <v/>
      </c>
      <c r="B198" s="10" t="str">
        <f aca="false">IF(C198="","",D198&amp;" "&amp;C198&amp;", excavation "&amp;TEXT(E198,"0.0")&amp;" m, "&amp;F198&amp;", "&amp;G198&amp;", "&amp;J198)</f>
        <v/>
      </c>
      <c r="C198" s="9"/>
      <c r="D198" s="9"/>
      <c r="E198" s="43"/>
      <c r="F198" s="9"/>
      <c r="G198" s="9"/>
      <c r="H198" s="43"/>
      <c r="I198" s="40"/>
      <c r="J198" s="9"/>
      <c r="K198" s="9"/>
      <c r="L198" s="9"/>
      <c r="M198" s="43"/>
      <c r="N198" s="43"/>
      <c r="O198" s="9"/>
      <c r="P198" s="9"/>
      <c r="Q198" s="9"/>
      <c r="R198" s="9"/>
      <c r="S198" s="40"/>
      <c r="T198" s="40"/>
      <c r="U198" s="9"/>
      <c r="V198" s="9"/>
      <c r="W198" s="9"/>
      <c r="X198" s="9"/>
      <c r="Y198" s="9"/>
      <c r="Z198" s="9"/>
      <c r="AA198" s="9"/>
      <c r="AB198" s="9"/>
      <c r="AC198" s="10" t="str">
        <f aca="false">IF(A198="","",SG_Criteria!$B$6&amp;SG_Criteria!$B$9&amp;"\"&amp;A198&amp;"\")</f>
        <v/>
      </c>
      <c r="AD198" s="10" t="str">
        <f aca="false">IF(A198="","",A198&amp;"_CAD.dwg")</f>
        <v/>
      </c>
      <c r="AE198" s="10" t="str">
        <f aca="false">IF(A198="","",A198&amp;"_DWG.pdf")</f>
        <v/>
      </c>
      <c r="AF198" s="10" t="str">
        <f aca="false">IF(A198="","",IF(AB198="Y",A198&amp;"_STAAD.std","n/a"))</f>
        <v/>
      </c>
      <c r="AG198" s="10" t="str">
        <f aca="false">IF(A198="","",A198&amp;"_CALC.xlsx")</f>
        <v/>
      </c>
      <c r="AH198" s="10" t="str">
        <f aca="false">IF(A198="","",A198&amp;"_CALC.pdf")</f>
        <v/>
      </c>
      <c r="AI198" s="9"/>
      <c r="AJ198" s="9"/>
      <c r="AK198" s="41"/>
      <c r="AL198" s="41"/>
      <c r="AM198" s="41"/>
      <c r="AN198" s="41"/>
      <c r="AO198" s="41"/>
      <c r="AP198" s="38" t="str">
        <f aca="false">IF(OR(C198="",E198=""),"",IF(E198&lt;=IF(C198="Soldier Pile &amp; Timber Lagging",SG_Criteria!$B$34,SG_Criteria!$B$33),"No ERSS submission",IF(E198&lt;=SG_Criteria!$B$35,"QP(ST)",IF(E198&lt;=SG_Criteria!$B$36,"QP(ST) + AC","Geotechnical building works: QP(Geo) + AC"))))</f>
        <v/>
      </c>
      <c r="AQ198" s="38" t="str">
        <f aca="false">IF(C198="","",IF(LEN(IF(AND(U198&lt;&gt;"",IFERROR(VALUE(MID(U198,2,2)),0)&lt;SG_Criteria!$B$19),"FAIL: grade below C"&amp;SG_Criteria!$B$19&amp;". ","")&amp;IF(AND(LEFT(C198,3)="Con",N(H198)&lt;E198,G198="Kallang Formation (marine clay)"),"NOTE: CBP is not watertight below GWT in marine clay; consider secant / grouting. ","")&amp;IF(AND(C198="Steel Sheet Pile",D198="Permanent"),"NOTE: permanent sheet pile needs corrosion allowance. ","")&amp;IF(AND(F198="Cantilever (no support)",E198&gt;6),"NOTE: cantilever embedded wall &gt; 6 m, check deflection. ","")&amp;IF(AND(S198&lt;&gt;"",T198&lt;&gt;"",S198&gt;T198),"FAIL: deflection exceeds allowable. ",""))=0,"OK",IF(AND(U198&lt;&gt;"",IFERROR(VALUE(MID(U198,2,2)),0)&lt;SG_Criteria!$B$19),"FAIL: grade below C"&amp;SG_Criteria!$B$19&amp;". ","")&amp;IF(AND(LEFT(C198,3)="Con",N(H198)&lt;E198,G198="Kallang Formation (marine clay)"),"NOTE: CBP is not watertight below GWT in marine clay; consider secant / grouting. ","")&amp;IF(AND(C198="Steel Sheet Pile",D198="Permanent"),"NOTE: permanent sheet pile needs corrosion allowance. ","")&amp;IF(AND(F198="Cantilever (no support)",E198&gt;6),"NOTE: cantilever embedded wall &gt; 6 m, check deflection. ","")&amp;IF(AND(S198&lt;&gt;"",T198&lt;&gt;"",S198&gt;T198),"FAIL: deflection exceeds allowable. ","")))</f>
        <v/>
      </c>
      <c r="AR198" s="9"/>
      <c r="AS198" s="9"/>
      <c r="AT198" s="9"/>
      <c r="AU198" s="9"/>
      <c r="AV198" s="9"/>
      <c r="AW198" s="31"/>
      <c r="AX198" s="10" t="str">
        <f aca="false">IF(C198="","",IF(AND(Y198="Approved",ISERROR(SEARCH("FAIL",AQ198))),"Y","N"))</f>
        <v/>
      </c>
      <c r="AY198" s="10" t="str">
        <f aca="false">IF(C198="","",C198&amp;"|"&amp;E198&amp;"|"&amp;F198&amp;"|"&amp;G198&amp;"|"&amp;D198&amp;"|"&amp;AX198)</f>
        <v/>
      </c>
    </row>
    <row r="199" customFormat="false" ht="15" hidden="false" customHeight="false" outlineLevel="0" collapsed="false">
      <c r="A199" s="10" t="str">
        <f aca="false">IF(C199="","","EW-"&amp;IFERROR(VLOOKUP(C199,Lists!$P$4:$Q$22,2,0),"??")&amp;"-D"&amp;TEXT(E199*1000,"0000")&amp;"-"&amp;IFERROR(VLOOKUP(F199,Lists!$S$4:$T$21,2,0),"??")&amp;"-"&amp;IFERROR(VLOOKUP(G199,Lists!$Y$4:$Z$21,2,0),"??")&amp;"-"&amp;IFERROR(VLOOKUP(D199,Lists!$V$4:$W$16,2,0),"??")&amp;"-"&amp;X199)</f>
        <v/>
      </c>
      <c r="B199" s="10" t="str">
        <f aca="false">IF(C199="","",D199&amp;" "&amp;C199&amp;", excavation "&amp;TEXT(E199,"0.0")&amp;" m, "&amp;F199&amp;", "&amp;G199&amp;", "&amp;J199)</f>
        <v/>
      </c>
      <c r="C199" s="9"/>
      <c r="D199" s="9"/>
      <c r="E199" s="43"/>
      <c r="F199" s="9"/>
      <c r="G199" s="9"/>
      <c r="H199" s="43"/>
      <c r="I199" s="40"/>
      <c r="J199" s="9"/>
      <c r="K199" s="9"/>
      <c r="L199" s="9"/>
      <c r="M199" s="43"/>
      <c r="N199" s="43"/>
      <c r="O199" s="9"/>
      <c r="P199" s="9"/>
      <c r="Q199" s="9"/>
      <c r="R199" s="9"/>
      <c r="S199" s="40"/>
      <c r="T199" s="40"/>
      <c r="U199" s="9"/>
      <c r="V199" s="9"/>
      <c r="W199" s="9"/>
      <c r="X199" s="9"/>
      <c r="Y199" s="9"/>
      <c r="Z199" s="9"/>
      <c r="AA199" s="9"/>
      <c r="AB199" s="9"/>
      <c r="AC199" s="10" t="str">
        <f aca="false">IF(A199="","",SG_Criteria!$B$6&amp;SG_Criteria!$B$9&amp;"\"&amp;A199&amp;"\")</f>
        <v/>
      </c>
      <c r="AD199" s="10" t="str">
        <f aca="false">IF(A199="","",A199&amp;"_CAD.dwg")</f>
        <v/>
      </c>
      <c r="AE199" s="10" t="str">
        <f aca="false">IF(A199="","",A199&amp;"_DWG.pdf")</f>
        <v/>
      </c>
      <c r="AF199" s="10" t="str">
        <f aca="false">IF(A199="","",IF(AB199="Y",A199&amp;"_STAAD.std","n/a"))</f>
        <v/>
      </c>
      <c r="AG199" s="10" t="str">
        <f aca="false">IF(A199="","",A199&amp;"_CALC.xlsx")</f>
        <v/>
      </c>
      <c r="AH199" s="10" t="str">
        <f aca="false">IF(A199="","",A199&amp;"_CALC.pdf")</f>
        <v/>
      </c>
      <c r="AI199" s="9"/>
      <c r="AJ199" s="9"/>
      <c r="AK199" s="41"/>
      <c r="AL199" s="41"/>
      <c r="AM199" s="41"/>
      <c r="AN199" s="41"/>
      <c r="AO199" s="41"/>
      <c r="AP199" s="38" t="str">
        <f aca="false">IF(OR(C199="",E199=""),"",IF(E199&lt;=IF(C199="Soldier Pile &amp; Timber Lagging",SG_Criteria!$B$34,SG_Criteria!$B$33),"No ERSS submission",IF(E199&lt;=SG_Criteria!$B$35,"QP(ST)",IF(E199&lt;=SG_Criteria!$B$36,"QP(ST) + AC","Geotechnical building works: QP(Geo) + AC"))))</f>
        <v/>
      </c>
      <c r="AQ199" s="38" t="str">
        <f aca="false">IF(C199="","",IF(LEN(IF(AND(U199&lt;&gt;"",IFERROR(VALUE(MID(U199,2,2)),0)&lt;SG_Criteria!$B$19),"FAIL: grade below C"&amp;SG_Criteria!$B$19&amp;". ","")&amp;IF(AND(LEFT(C199,3)="Con",N(H199)&lt;E199,G199="Kallang Formation (marine clay)"),"NOTE: CBP is not watertight below GWT in marine clay; consider secant / grouting. ","")&amp;IF(AND(C199="Steel Sheet Pile",D199="Permanent"),"NOTE: permanent sheet pile needs corrosion allowance. ","")&amp;IF(AND(F199="Cantilever (no support)",E199&gt;6),"NOTE: cantilever embedded wall &gt; 6 m, check deflection. ","")&amp;IF(AND(S199&lt;&gt;"",T199&lt;&gt;"",S199&gt;T199),"FAIL: deflection exceeds allowable. ",""))=0,"OK",IF(AND(U199&lt;&gt;"",IFERROR(VALUE(MID(U199,2,2)),0)&lt;SG_Criteria!$B$19),"FAIL: grade below C"&amp;SG_Criteria!$B$19&amp;". ","")&amp;IF(AND(LEFT(C199,3)="Con",N(H199)&lt;E199,G199="Kallang Formation (marine clay)"),"NOTE: CBP is not watertight below GWT in marine clay; consider secant / grouting. ","")&amp;IF(AND(C199="Steel Sheet Pile",D199="Permanent"),"NOTE: permanent sheet pile needs corrosion allowance. ","")&amp;IF(AND(F199="Cantilever (no support)",E199&gt;6),"NOTE: cantilever embedded wall &gt; 6 m, check deflection. ","")&amp;IF(AND(S199&lt;&gt;"",T199&lt;&gt;"",S199&gt;T199),"FAIL: deflection exceeds allowable. ","")))</f>
        <v/>
      </c>
      <c r="AR199" s="9"/>
      <c r="AS199" s="9"/>
      <c r="AT199" s="9"/>
      <c r="AU199" s="9"/>
      <c r="AV199" s="9"/>
      <c r="AW199" s="31"/>
      <c r="AX199" s="10" t="str">
        <f aca="false">IF(C199="","",IF(AND(Y199="Approved",ISERROR(SEARCH("FAIL",AQ199))),"Y","N"))</f>
        <v/>
      </c>
      <c r="AY199" s="10" t="str">
        <f aca="false">IF(C199="","",C199&amp;"|"&amp;E199&amp;"|"&amp;F199&amp;"|"&amp;G199&amp;"|"&amp;D199&amp;"|"&amp;AX199)</f>
        <v/>
      </c>
    </row>
    <row r="200" customFormat="false" ht="15" hidden="false" customHeight="false" outlineLevel="0" collapsed="false">
      <c r="A200" s="10" t="str">
        <f aca="false">IF(C200="","","EW-"&amp;IFERROR(VLOOKUP(C200,Lists!$P$4:$Q$22,2,0),"??")&amp;"-D"&amp;TEXT(E200*1000,"0000")&amp;"-"&amp;IFERROR(VLOOKUP(F200,Lists!$S$4:$T$21,2,0),"??")&amp;"-"&amp;IFERROR(VLOOKUP(G200,Lists!$Y$4:$Z$21,2,0),"??")&amp;"-"&amp;IFERROR(VLOOKUP(D200,Lists!$V$4:$W$16,2,0),"??")&amp;"-"&amp;X200)</f>
        <v/>
      </c>
      <c r="B200" s="10" t="str">
        <f aca="false">IF(C200="","",D200&amp;" "&amp;C200&amp;", excavation "&amp;TEXT(E200,"0.0")&amp;" m, "&amp;F200&amp;", "&amp;G200&amp;", "&amp;J200)</f>
        <v/>
      </c>
      <c r="C200" s="9"/>
      <c r="D200" s="9"/>
      <c r="E200" s="43"/>
      <c r="F200" s="9"/>
      <c r="G200" s="9"/>
      <c r="H200" s="43"/>
      <c r="I200" s="40"/>
      <c r="J200" s="9"/>
      <c r="K200" s="9"/>
      <c r="L200" s="9"/>
      <c r="M200" s="43"/>
      <c r="N200" s="43"/>
      <c r="O200" s="9"/>
      <c r="P200" s="9"/>
      <c r="Q200" s="9"/>
      <c r="R200" s="9"/>
      <c r="S200" s="40"/>
      <c r="T200" s="40"/>
      <c r="U200" s="9"/>
      <c r="V200" s="9"/>
      <c r="W200" s="9"/>
      <c r="X200" s="9"/>
      <c r="Y200" s="9"/>
      <c r="Z200" s="9"/>
      <c r="AA200" s="9"/>
      <c r="AB200" s="9"/>
      <c r="AC200" s="10" t="str">
        <f aca="false">IF(A200="","",SG_Criteria!$B$6&amp;SG_Criteria!$B$9&amp;"\"&amp;A200&amp;"\")</f>
        <v/>
      </c>
      <c r="AD200" s="10" t="str">
        <f aca="false">IF(A200="","",A200&amp;"_CAD.dwg")</f>
        <v/>
      </c>
      <c r="AE200" s="10" t="str">
        <f aca="false">IF(A200="","",A200&amp;"_DWG.pdf")</f>
        <v/>
      </c>
      <c r="AF200" s="10" t="str">
        <f aca="false">IF(A200="","",IF(AB200="Y",A200&amp;"_STAAD.std","n/a"))</f>
        <v/>
      </c>
      <c r="AG200" s="10" t="str">
        <f aca="false">IF(A200="","",A200&amp;"_CALC.xlsx")</f>
        <v/>
      </c>
      <c r="AH200" s="10" t="str">
        <f aca="false">IF(A200="","",A200&amp;"_CALC.pdf")</f>
        <v/>
      </c>
      <c r="AI200" s="9"/>
      <c r="AJ200" s="9"/>
      <c r="AK200" s="41"/>
      <c r="AL200" s="41"/>
      <c r="AM200" s="41"/>
      <c r="AN200" s="41"/>
      <c r="AO200" s="41"/>
      <c r="AP200" s="38" t="str">
        <f aca="false">IF(OR(C200="",E200=""),"",IF(E200&lt;=IF(C200="Soldier Pile &amp; Timber Lagging",SG_Criteria!$B$34,SG_Criteria!$B$33),"No ERSS submission",IF(E200&lt;=SG_Criteria!$B$35,"QP(ST)",IF(E200&lt;=SG_Criteria!$B$36,"QP(ST) + AC","Geotechnical building works: QP(Geo) + AC"))))</f>
        <v/>
      </c>
      <c r="AQ200" s="38" t="str">
        <f aca="false">IF(C200="","",IF(LEN(IF(AND(U200&lt;&gt;"",IFERROR(VALUE(MID(U200,2,2)),0)&lt;SG_Criteria!$B$19),"FAIL: grade below C"&amp;SG_Criteria!$B$19&amp;". ","")&amp;IF(AND(LEFT(C200,3)="Con",N(H200)&lt;E200,G200="Kallang Formation (marine clay)"),"NOTE: CBP is not watertight below GWT in marine clay; consider secant / grouting. ","")&amp;IF(AND(C200="Steel Sheet Pile",D200="Permanent"),"NOTE: permanent sheet pile needs corrosion allowance. ","")&amp;IF(AND(F200="Cantilever (no support)",E200&gt;6),"NOTE: cantilever embedded wall &gt; 6 m, check deflection. ","")&amp;IF(AND(S200&lt;&gt;"",T200&lt;&gt;"",S200&gt;T200),"FAIL: deflection exceeds allowable. ",""))=0,"OK",IF(AND(U200&lt;&gt;"",IFERROR(VALUE(MID(U200,2,2)),0)&lt;SG_Criteria!$B$19),"FAIL: grade below C"&amp;SG_Criteria!$B$19&amp;". ","")&amp;IF(AND(LEFT(C200,3)="Con",N(H200)&lt;E200,G200="Kallang Formation (marine clay)"),"NOTE: CBP is not watertight below GWT in marine clay; consider secant / grouting. ","")&amp;IF(AND(C200="Steel Sheet Pile",D200="Permanent"),"NOTE: permanent sheet pile needs corrosion allowance. ","")&amp;IF(AND(F200="Cantilever (no support)",E200&gt;6),"NOTE: cantilever embedded wall &gt; 6 m, check deflection. ","")&amp;IF(AND(S200&lt;&gt;"",T200&lt;&gt;"",S200&gt;T200),"FAIL: deflection exceeds allowable. ","")))</f>
        <v/>
      </c>
      <c r="AR200" s="9"/>
      <c r="AS200" s="9"/>
      <c r="AT200" s="9"/>
      <c r="AU200" s="9"/>
      <c r="AV200" s="9"/>
      <c r="AW200" s="31"/>
      <c r="AX200" s="10" t="str">
        <f aca="false">IF(C200="","",IF(AND(Y200="Approved",ISERROR(SEARCH("FAIL",AQ200))),"Y","N"))</f>
        <v/>
      </c>
      <c r="AY200" s="10" t="str">
        <f aca="false">IF(C200="","",C200&amp;"|"&amp;E200&amp;"|"&amp;F200&amp;"|"&amp;G200&amp;"|"&amp;D200&amp;"|"&amp;AX200)</f>
        <v/>
      </c>
    </row>
    <row r="201" customFormat="false" ht="15" hidden="false" customHeight="false" outlineLevel="0" collapsed="false">
      <c r="A201" s="10" t="str">
        <f aca="false">IF(C201="","","EW-"&amp;IFERROR(VLOOKUP(C201,Lists!$P$4:$Q$22,2,0),"??")&amp;"-D"&amp;TEXT(E201*1000,"0000")&amp;"-"&amp;IFERROR(VLOOKUP(F201,Lists!$S$4:$T$21,2,0),"??")&amp;"-"&amp;IFERROR(VLOOKUP(G201,Lists!$Y$4:$Z$21,2,0),"??")&amp;"-"&amp;IFERROR(VLOOKUP(D201,Lists!$V$4:$W$16,2,0),"??")&amp;"-"&amp;X201)</f>
        <v/>
      </c>
      <c r="B201" s="10" t="str">
        <f aca="false">IF(C201="","",D201&amp;" "&amp;C201&amp;", excavation "&amp;TEXT(E201,"0.0")&amp;" m, "&amp;F201&amp;", "&amp;G201&amp;", "&amp;J201)</f>
        <v/>
      </c>
      <c r="C201" s="9"/>
      <c r="D201" s="9"/>
      <c r="E201" s="43"/>
      <c r="F201" s="9"/>
      <c r="G201" s="9"/>
      <c r="H201" s="43"/>
      <c r="I201" s="40"/>
      <c r="J201" s="9"/>
      <c r="K201" s="9"/>
      <c r="L201" s="9"/>
      <c r="M201" s="43"/>
      <c r="N201" s="43"/>
      <c r="O201" s="9"/>
      <c r="P201" s="9"/>
      <c r="Q201" s="9"/>
      <c r="R201" s="9"/>
      <c r="S201" s="40"/>
      <c r="T201" s="40"/>
      <c r="U201" s="9"/>
      <c r="V201" s="9"/>
      <c r="W201" s="9"/>
      <c r="X201" s="9"/>
      <c r="Y201" s="9"/>
      <c r="Z201" s="9"/>
      <c r="AA201" s="9"/>
      <c r="AB201" s="9"/>
      <c r="AC201" s="10" t="str">
        <f aca="false">IF(A201="","",SG_Criteria!$B$6&amp;SG_Criteria!$B$9&amp;"\"&amp;A201&amp;"\")</f>
        <v/>
      </c>
      <c r="AD201" s="10" t="str">
        <f aca="false">IF(A201="","",A201&amp;"_CAD.dwg")</f>
        <v/>
      </c>
      <c r="AE201" s="10" t="str">
        <f aca="false">IF(A201="","",A201&amp;"_DWG.pdf")</f>
        <v/>
      </c>
      <c r="AF201" s="10" t="str">
        <f aca="false">IF(A201="","",IF(AB201="Y",A201&amp;"_STAAD.std","n/a"))</f>
        <v/>
      </c>
      <c r="AG201" s="10" t="str">
        <f aca="false">IF(A201="","",A201&amp;"_CALC.xlsx")</f>
        <v/>
      </c>
      <c r="AH201" s="10" t="str">
        <f aca="false">IF(A201="","",A201&amp;"_CALC.pdf")</f>
        <v/>
      </c>
      <c r="AI201" s="9"/>
      <c r="AJ201" s="9"/>
      <c r="AK201" s="41"/>
      <c r="AL201" s="41"/>
      <c r="AM201" s="41"/>
      <c r="AN201" s="41"/>
      <c r="AO201" s="41"/>
      <c r="AP201" s="38" t="str">
        <f aca="false">IF(OR(C201="",E201=""),"",IF(E201&lt;=IF(C201="Soldier Pile &amp; Timber Lagging",SG_Criteria!$B$34,SG_Criteria!$B$33),"No ERSS submission",IF(E201&lt;=SG_Criteria!$B$35,"QP(ST)",IF(E201&lt;=SG_Criteria!$B$36,"QP(ST) + AC","Geotechnical building works: QP(Geo) + AC"))))</f>
        <v/>
      </c>
      <c r="AQ201" s="38" t="str">
        <f aca="false">IF(C201="","",IF(LEN(IF(AND(U201&lt;&gt;"",IFERROR(VALUE(MID(U201,2,2)),0)&lt;SG_Criteria!$B$19),"FAIL: grade below C"&amp;SG_Criteria!$B$19&amp;". ","")&amp;IF(AND(LEFT(C201,3)="Con",N(H201)&lt;E201,G201="Kallang Formation (marine clay)"),"NOTE: CBP is not watertight below GWT in marine clay; consider secant / grouting. ","")&amp;IF(AND(C201="Steel Sheet Pile",D201="Permanent"),"NOTE: permanent sheet pile needs corrosion allowance. ","")&amp;IF(AND(F201="Cantilever (no support)",E201&gt;6),"NOTE: cantilever embedded wall &gt; 6 m, check deflection. ","")&amp;IF(AND(S201&lt;&gt;"",T201&lt;&gt;"",S201&gt;T201),"FAIL: deflection exceeds allowable. ",""))=0,"OK",IF(AND(U201&lt;&gt;"",IFERROR(VALUE(MID(U201,2,2)),0)&lt;SG_Criteria!$B$19),"FAIL: grade below C"&amp;SG_Criteria!$B$19&amp;". ","")&amp;IF(AND(LEFT(C201,3)="Con",N(H201)&lt;E201,G201="Kallang Formation (marine clay)"),"NOTE: CBP is not watertight below GWT in marine clay; consider secant / grouting. ","")&amp;IF(AND(C201="Steel Sheet Pile",D201="Permanent"),"NOTE: permanent sheet pile needs corrosion allowance. ","")&amp;IF(AND(F201="Cantilever (no support)",E201&gt;6),"NOTE: cantilever embedded wall &gt; 6 m, check deflection. ","")&amp;IF(AND(S201&lt;&gt;"",T201&lt;&gt;"",S201&gt;T201),"FAIL: deflection exceeds allowable. ","")))</f>
        <v/>
      </c>
      <c r="AR201" s="9"/>
      <c r="AS201" s="9"/>
      <c r="AT201" s="9"/>
      <c r="AU201" s="9"/>
      <c r="AV201" s="9"/>
      <c r="AW201" s="31"/>
      <c r="AX201" s="10" t="str">
        <f aca="false">IF(C201="","",IF(AND(Y201="Approved",ISERROR(SEARCH("FAIL",AQ201))),"Y","N"))</f>
        <v/>
      </c>
      <c r="AY201" s="10" t="str">
        <f aca="false">IF(C201="","",C201&amp;"|"&amp;E201&amp;"|"&amp;F201&amp;"|"&amp;G201&amp;"|"&amp;D201&amp;"|"&amp;AX201)</f>
        <v/>
      </c>
    </row>
    <row r="202" customFormat="false" ht="15" hidden="false" customHeight="false" outlineLevel="0" collapsed="false">
      <c r="A202" s="10" t="str">
        <f aca="false">IF(C202="","","EW-"&amp;IFERROR(VLOOKUP(C202,Lists!$P$4:$Q$22,2,0),"??")&amp;"-D"&amp;TEXT(E202*1000,"0000")&amp;"-"&amp;IFERROR(VLOOKUP(F202,Lists!$S$4:$T$21,2,0),"??")&amp;"-"&amp;IFERROR(VLOOKUP(G202,Lists!$Y$4:$Z$21,2,0),"??")&amp;"-"&amp;IFERROR(VLOOKUP(D202,Lists!$V$4:$W$16,2,0),"??")&amp;"-"&amp;X202)</f>
        <v/>
      </c>
      <c r="B202" s="10" t="str">
        <f aca="false">IF(C202="","",D202&amp;" "&amp;C202&amp;", excavation "&amp;TEXT(E202,"0.0")&amp;" m, "&amp;F202&amp;", "&amp;G202&amp;", "&amp;J202)</f>
        <v/>
      </c>
      <c r="C202" s="9"/>
      <c r="D202" s="9"/>
      <c r="E202" s="43"/>
      <c r="F202" s="9"/>
      <c r="G202" s="9"/>
      <c r="H202" s="43"/>
      <c r="I202" s="40"/>
      <c r="J202" s="9"/>
      <c r="K202" s="9"/>
      <c r="L202" s="9"/>
      <c r="M202" s="43"/>
      <c r="N202" s="43"/>
      <c r="O202" s="9"/>
      <c r="P202" s="9"/>
      <c r="Q202" s="9"/>
      <c r="R202" s="9"/>
      <c r="S202" s="40"/>
      <c r="T202" s="40"/>
      <c r="U202" s="9"/>
      <c r="V202" s="9"/>
      <c r="W202" s="9"/>
      <c r="X202" s="9"/>
      <c r="Y202" s="9"/>
      <c r="Z202" s="9"/>
      <c r="AA202" s="9"/>
      <c r="AB202" s="9"/>
      <c r="AC202" s="10" t="str">
        <f aca="false">IF(A202="","",SG_Criteria!$B$6&amp;SG_Criteria!$B$9&amp;"\"&amp;A202&amp;"\")</f>
        <v/>
      </c>
      <c r="AD202" s="10" t="str">
        <f aca="false">IF(A202="","",A202&amp;"_CAD.dwg")</f>
        <v/>
      </c>
      <c r="AE202" s="10" t="str">
        <f aca="false">IF(A202="","",A202&amp;"_DWG.pdf")</f>
        <v/>
      </c>
      <c r="AF202" s="10" t="str">
        <f aca="false">IF(A202="","",IF(AB202="Y",A202&amp;"_STAAD.std","n/a"))</f>
        <v/>
      </c>
      <c r="AG202" s="10" t="str">
        <f aca="false">IF(A202="","",A202&amp;"_CALC.xlsx")</f>
        <v/>
      </c>
      <c r="AH202" s="10" t="str">
        <f aca="false">IF(A202="","",A202&amp;"_CALC.pdf")</f>
        <v/>
      </c>
      <c r="AI202" s="9"/>
      <c r="AJ202" s="9"/>
      <c r="AK202" s="41"/>
      <c r="AL202" s="41"/>
      <c r="AM202" s="41"/>
      <c r="AN202" s="41"/>
      <c r="AO202" s="41"/>
      <c r="AP202" s="38" t="str">
        <f aca="false">IF(OR(C202="",E202=""),"",IF(E202&lt;=IF(C202="Soldier Pile &amp; Timber Lagging",SG_Criteria!$B$34,SG_Criteria!$B$33),"No ERSS submission",IF(E202&lt;=SG_Criteria!$B$35,"QP(ST)",IF(E202&lt;=SG_Criteria!$B$36,"QP(ST) + AC","Geotechnical building works: QP(Geo) + AC"))))</f>
        <v/>
      </c>
      <c r="AQ202" s="38" t="str">
        <f aca="false">IF(C202="","",IF(LEN(IF(AND(U202&lt;&gt;"",IFERROR(VALUE(MID(U202,2,2)),0)&lt;SG_Criteria!$B$19),"FAIL: grade below C"&amp;SG_Criteria!$B$19&amp;". ","")&amp;IF(AND(LEFT(C202,3)="Con",N(H202)&lt;E202,G202="Kallang Formation (marine clay)"),"NOTE: CBP is not watertight below GWT in marine clay; consider secant / grouting. ","")&amp;IF(AND(C202="Steel Sheet Pile",D202="Permanent"),"NOTE: permanent sheet pile needs corrosion allowance. ","")&amp;IF(AND(F202="Cantilever (no support)",E202&gt;6),"NOTE: cantilever embedded wall &gt; 6 m, check deflection. ","")&amp;IF(AND(S202&lt;&gt;"",T202&lt;&gt;"",S202&gt;T202),"FAIL: deflection exceeds allowable. ",""))=0,"OK",IF(AND(U202&lt;&gt;"",IFERROR(VALUE(MID(U202,2,2)),0)&lt;SG_Criteria!$B$19),"FAIL: grade below C"&amp;SG_Criteria!$B$19&amp;". ","")&amp;IF(AND(LEFT(C202,3)="Con",N(H202)&lt;E202,G202="Kallang Formation (marine clay)"),"NOTE: CBP is not watertight below GWT in marine clay; consider secant / grouting. ","")&amp;IF(AND(C202="Steel Sheet Pile",D202="Permanent"),"NOTE: permanent sheet pile needs corrosion allowance. ","")&amp;IF(AND(F202="Cantilever (no support)",E202&gt;6),"NOTE: cantilever embedded wall &gt; 6 m, check deflection. ","")&amp;IF(AND(S202&lt;&gt;"",T202&lt;&gt;"",S202&gt;T202),"FAIL: deflection exceeds allowable. ","")))</f>
        <v/>
      </c>
      <c r="AR202" s="9"/>
      <c r="AS202" s="9"/>
      <c r="AT202" s="9"/>
      <c r="AU202" s="9"/>
      <c r="AV202" s="9"/>
      <c r="AW202" s="31"/>
      <c r="AX202" s="10" t="str">
        <f aca="false">IF(C202="","",IF(AND(Y202="Approved",ISERROR(SEARCH("FAIL",AQ202))),"Y","N"))</f>
        <v/>
      </c>
      <c r="AY202" s="10" t="str">
        <f aca="false">IF(C202="","",C202&amp;"|"&amp;E202&amp;"|"&amp;F202&amp;"|"&amp;G202&amp;"|"&amp;D202&amp;"|"&amp;AX202)</f>
        <v/>
      </c>
    </row>
    <row r="203" customFormat="false" ht="15" hidden="false" customHeight="false" outlineLevel="0" collapsed="false">
      <c r="A203" s="10" t="str">
        <f aca="false">IF(C203="","","EW-"&amp;IFERROR(VLOOKUP(C203,Lists!$P$4:$Q$22,2,0),"??")&amp;"-D"&amp;TEXT(E203*1000,"0000")&amp;"-"&amp;IFERROR(VLOOKUP(F203,Lists!$S$4:$T$21,2,0),"??")&amp;"-"&amp;IFERROR(VLOOKUP(G203,Lists!$Y$4:$Z$21,2,0),"??")&amp;"-"&amp;IFERROR(VLOOKUP(D203,Lists!$V$4:$W$16,2,0),"??")&amp;"-"&amp;X203)</f>
        <v/>
      </c>
      <c r="B203" s="10" t="str">
        <f aca="false">IF(C203="","",D203&amp;" "&amp;C203&amp;", excavation "&amp;TEXT(E203,"0.0")&amp;" m, "&amp;F203&amp;", "&amp;G203&amp;", "&amp;J203)</f>
        <v/>
      </c>
      <c r="C203" s="9"/>
      <c r="D203" s="9"/>
      <c r="E203" s="43"/>
      <c r="F203" s="9"/>
      <c r="G203" s="9"/>
      <c r="H203" s="43"/>
      <c r="I203" s="40"/>
      <c r="J203" s="9"/>
      <c r="K203" s="9"/>
      <c r="L203" s="9"/>
      <c r="M203" s="43"/>
      <c r="N203" s="43"/>
      <c r="O203" s="9"/>
      <c r="P203" s="9"/>
      <c r="Q203" s="9"/>
      <c r="R203" s="9"/>
      <c r="S203" s="40"/>
      <c r="T203" s="40"/>
      <c r="U203" s="9"/>
      <c r="V203" s="9"/>
      <c r="W203" s="9"/>
      <c r="X203" s="9"/>
      <c r="Y203" s="9"/>
      <c r="Z203" s="9"/>
      <c r="AA203" s="9"/>
      <c r="AB203" s="9"/>
      <c r="AC203" s="10" t="str">
        <f aca="false">IF(A203="","",SG_Criteria!$B$6&amp;SG_Criteria!$B$9&amp;"\"&amp;A203&amp;"\")</f>
        <v/>
      </c>
      <c r="AD203" s="10" t="str">
        <f aca="false">IF(A203="","",A203&amp;"_CAD.dwg")</f>
        <v/>
      </c>
      <c r="AE203" s="10" t="str">
        <f aca="false">IF(A203="","",A203&amp;"_DWG.pdf")</f>
        <v/>
      </c>
      <c r="AF203" s="10" t="str">
        <f aca="false">IF(A203="","",IF(AB203="Y",A203&amp;"_STAAD.std","n/a"))</f>
        <v/>
      </c>
      <c r="AG203" s="10" t="str">
        <f aca="false">IF(A203="","",A203&amp;"_CALC.xlsx")</f>
        <v/>
      </c>
      <c r="AH203" s="10" t="str">
        <f aca="false">IF(A203="","",A203&amp;"_CALC.pdf")</f>
        <v/>
      </c>
      <c r="AI203" s="9"/>
      <c r="AJ203" s="9"/>
      <c r="AK203" s="41"/>
      <c r="AL203" s="41"/>
      <c r="AM203" s="41"/>
      <c r="AN203" s="41"/>
      <c r="AO203" s="41"/>
      <c r="AP203" s="38" t="str">
        <f aca="false">IF(OR(C203="",E203=""),"",IF(E203&lt;=IF(C203="Soldier Pile &amp; Timber Lagging",SG_Criteria!$B$34,SG_Criteria!$B$33),"No ERSS submission",IF(E203&lt;=SG_Criteria!$B$35,"QP(ST)",IF(E203&lt;=SG_Criteria!$B$36,"QP(ST) + AC","Geotechnical building works: QP(Geo) + AC"))))</f>
        <v/>
      </c>
      <c r="AQ203" s="38" t="str">
        <f aca="false">IF(C203="","",IF(LEN(IF(AND(U203&lt;&gt;"",IFERROR(VALUE(MID(U203,2,2)),0)&lt;SG_Criteria!$B$19),"FAIL: grade below C"&amp;SG_Criteria!$B$19&amp;". ","")&amp;IF(AND(LEFT(C203,3)="Con",N(H203)&lt;E203,G203="Kallang Formation (marine clay)"),"NOTE: CBP is not watertight below GWT in marine clay; consider secant / grouting. ","")&amp;IF(AND(C203="Steel Sheet Pile",D203="Permanent"),"NOTE: permanent sheet pile needs corrosion allowance. ","")&amp;IF(AND(F203="Cantilever (no support)",E203&gt;6),"NOTE: cantilever embedded wall &gt; 6 m, check deflection. ","")&amp;IF(AND(S203&lt;&gt;"",T203&lt;&gt;"",S203&gt;T203),"FAIL: deflection exceeds allowable. ",""))=0,"OK",IF(AND(U203&lt;&gt;"",IFERROR(VALUE(MID(U203,2,2)),0)&lt;SG_Criteria!$B$19),"FAIL: grade below C"&amp;SG_Criteria!$B$19&amp;". ","")&amp;IF(AND(LEFT(C203,3)="Con",N(H203)&lt;E203,G203="Kallang Formation (marine clay)"),"NOTE: CBP is not watertight below GWT in marine clay; consider secant / grouting. ","")&amp;IF(AND(C203="Steel Sheet Pile",D203="Permanent"),"NOTE: permanent sheet pile needs corrosion allowance. ","")&amp;IF(AND(F203="Cantilever (no support)",E203&gt;6),"NOTE: cantilever embedded wall &gt; 6 m, check deflection. ","")&amp;IF(AND(S203&lt;&gt;"",T203&lt;&gt;"",S203&gt;T203),"FAIL: deflection exceeds allowable. ","")))</f>
        <v/>
      </c>
      <c r="AR203" s="9"/>
      <c r="AS203" s="9"/>
      <c r="AT203" s="9"/>
      <c r="AU203" s="9"/>
      <c r="AV203" s="9"/>
      <c r="AW203" s="31"/>
      <c r="AX203" s="10" t="str">
        <f aca="false">IF(C203="","",IF(AND(Y203="Approved",ISERROR(SEARCH("FAIL",AQ203))),"Y","N"))</f>
        <v/>
      </c>
      <c r="AY203" s="10" t="str">
        <f aca="false">IF(C203="","",C203&amp;"|"&amp;E203&amp;"|"&amp;F203&amp;"|"&amp;G203&amp;"|"&amp;D203&amp;"|"&amp;AX203)</f>
        <v/>
      </c>
    </row>
    <row r="204" customFormat="false" ht="15" hidden="false" customHeight="false" outlineLevel="0" collapsed="false">
      <c r="A204" s="10" t="str">
        <f aca="false">IF(C204="","","EW-"&amp;IFERROR(VLOOKUP(C204,Lists!$P$4:$Q$22,2,0),"??")&amp;"-D"&amp;TEXT(E204*1000,"0000")&amp;"-"&amp;IFERROR(VLOOKUP(F204,Lists!$S$4:$T$21,2,0),"??")&amp;"-"&amp;IFERROR(VLOOKUP(G204,Lists!$Y$4:$Z$21,2,0),"??")&amp;"-"&amp;IFERROR(VLOOKUP(D204,Lists!$V$4:$W$16,2,0),"??")&amp;"-"&amp;X204)</f>
        <v/>
      </c>
      <c r="B204" s="10" t="str">
        <f aca="false">IF(C204="","",D204&amp;" "&amp;C204&amp;", excavation "&amp;TEXT(E204,"0.0")&amp;" m, "&amp;F204&amp;", "&amp;G204&amp;", "&amp;J204)</f>
        <v/>
      </c>
      <c r="C204" s="9"/>
      <c r="D204" s="9"/>
      <c r="E204" s="43"/>
      <c r="F204" s="9"/>
      <c r="G204" s="9"/>
      <c r="H204" s="43"/>
      <c r="I204" s="40"/>
      <c r="J204" s="9"/>
      <c r="K204" s="9"/>
      <c r="L204" s="9"/>
      <c r="M204" s="43"/>
      <c r="N204" s="43"/>
      <c r="O204" s="9"/>
      <c r="P204" s="9"/>
      <c r="Q204" s="9"/>
      <c r="R204" s="9"/>
      <c r="S204" s="40"/>
      <c r="T204" s="40"/>
      <c r="U204" s="9"/>
      <c r="V204" s="9"/>
      <c r="W204" s="9"/>
      <c r="X204" s="9"/>
      <c r="Y204" s="9"/>
      <c r="Z204" s="9"/>
      <c r="AA204" s="9"/>
      <c r="AB204" s="9"/>
      <c r="AC204" s="10" t="str">
        <f aca="false">IF(A204="","",SG_Criteria!$B$6&amp;SG_Criteria!$B$9&amp;"\"&amp;A204&amp;"\")</f>
        <v/>
      </c>
      <c r="AD204" s="10" t="str">
        <f aca="false">IF(A204="","",A204&amp;"_CAD.dwg")</f>
        <v/>
      </c>
      <c r="AE204" s="10" t="str">
        <f aca="false">IF(A204="","",A204&amp;"_DWG.pdf")</f>
        <v/>
      </c>
      <c r="AF204" s="10" t="str">
        <f aca="false">IF(A204="","",IF(AB204="Y",A204&amp;"_STAAD.std","n/a"))</f>
        <v/>
      </c>
      <c r="AG204" s="10" t="str">
        <f aca="false">IF(A204="","",A204&amp;"_CALC.xlsx")</f>
        <v/>
      </c>
      <c r="AH204" s="10" t="str">
        <f aca="false">IF(A204="","",A204&amp;"_CALC.pdf")</f>
        <v/>
      </c>
      <c r="AI204" s="9"/>
      <c r="AJ204" s="9"/>
      <c r="AK204" s="41"/>
      <c r="AL204" s="41"/>
      <c r="AM204" s="41"/>
      <c r="AN204" s="41"/>
      <c r="AO204" s="41"/>
      <c r="AP204" s="38" t="str">
        <f aca="false">IF(OR(C204="",E204=""),"",IF(E204&lt;=IF(C204="Soldier Pile &amp; Timber Lagging",SG_Criteria!$B$34,SG_Criteria!$B$33),"No ERSS submission",IF(E204&lt;=SG_Criteria!$B$35,"QP(ST)",IF(E204&lt;=SG_Criteria!$B$36,"QP(ST) + AC","Geotechnical building works: QP(Geo) + AC"))))</f>
        <v/>
      </c>
      <c r="AQ204" s="38" t="str">
        <f aca="false">IF(C204="","",IF(LEN(IF(AND(U204&lt;&gt;"",IFERROR(VALUE(MID(U204,2,2)),0)&lt;SG_Criteria!$B$19),"FAIL: grade below C"&amp;SG_Criteria!$B$19&amp;". ","")&amp;IF(AND(LEFT(C204,3)="Con",N(H204)&lt;E204,G204="Kallang Formation (marine clay)"),"NOTE: CBP is not watertight below GWT in marine clay; consider secant / grouting. ","")&amp;IF(AND(C204="Steel Sheet Pile",D204="Permanent"),"NOTE: permanent sheet pile needs corrosion allowance. ","")&amp;IF(AND(F204="Cantilever (no support)",E204&gt;6),"NOTE: cantilever embedded wall &gt; 6 m, check deflection. ","")&amp;IF(AND(S204&lt;&gt;"",T204&lt;&gt;"",S204&gt;T204),"FAIL: deflection exceeds allowable. ",""))=0,"OK",IF(AND(U204&lt;&gt;"",IFERROR(VALUE(MID(U204,2,2)),0)&lt;SG_Criteria!$B$19),"FAIL: grade below C"&amp;SG_Criteria!$B$19&amp;". ","")&amp;IF(AND(LEFT(C204,3)="Con",N(H204)&lt;E204,G204="Kallang Formation (marine clay)"),"NOTE: CBP is not watertight below GWT in marine clay; consider secant / grouting. ","")&amp;IF(AND(C204="Steel Sheet Pile",D204="Permanent"),"NOTE: permanent sheet pile needs corrosion allowance. ","")&amp;IF(AND(F204="Cantilever (no support)",E204&gt;6),"NOTE: cantilever embedded wall &gt; 6 m, check deflection. ","")&amp;IF(AND(S204&lt;&gt;"",T204&lt;&gt;"",S204&gt;T204),"FAIL: deflection exceeds allowable. ","")))</f>
        <v/>
      </c>
      <c r="AR204" s="9"/>
      <c r="AS204" s="9"/>
      <c r="AT204" s="9"/>
      <c r="AU204" s="9"/>
      <c r="AV204" s="9"/>
      <c r="AW204" s="31"/>
      <c r="AX204" s="10" t="str">
        <f aca="false">IF(C204="","",IF(AND(Y204="Approved",ISERROR(SEARCH("FAIL",AQ204))),"Y","N"))</f>
        <v/>
      </c>
      <c r="AY204" s="10" t="str">
        <f aca="false">IF(C204="","",C204&amp;"|"&amp;E204&amp;"|"&amp;F204&amp;"|"&amp;G204&amp;"|"&amp;D204&amp;"|"&amp;AX204)</f>
        <v/>
      </c>
    </row>
    <row r="205" customFormat="false" ht="15" hidden="false" customHeight="false" outlineLevel="0" collapsed="false">
      <c r="A205" s="10" t="str">
        <f aca="false">IF(C205="","","EW-"&amp;IFERROR(VLOOKUP(C205,Lists!$P$4:$Q$22,2,0),"??")&amp;"-D"&amp;TEXT(E205*1000,"0000")&amp;"-"&amp;IFERROR(VLOOKUP(F205,Lists!$S$4:$T$21,2,0),"??")&amp;"-"&amp;IFERROR(VLOOKUP(G205,Lists!$Y$4:$Z$21,2,0),"??")&amp;"-"&amp;IFERROR(VLOOKUP(D205,Lists!$V$4:$W$16,2,0),"??")&amp;"-"&amp;X205)</f>
        <v/>
      </c>
      <c r="B205" s="10" t="str">
        <f aca="false">IF(C205="","",D205&amp;" "&amp;C205&amp;", excavation "&amp;TEXT(E205,"0.0")&amp;" m, "&amp;F205&amp;", "&amp;G205&amp;", "&amp;J205)</f>
        <v/>
      </c>
      <c r="C205" s="9"/>
      <c r="D205" s="9"/>
      <c r="E205" s="43"/>
      <c r="F205" s="9"/>
      <c r="G205" s="9"/>
      <c r="H205" s="43"/>
      <c r="I205" s="40"/>
      <c r="J205" s="9"/>
      <c r="K205" s="9"/>
      <c r="L205" s="9"/>
      <c r="M205" s="43"/>
      <c r="N205" s="43"/>
      <c r="O205" s="9"/>
      <c r="P205" s="9"/>
      <c r="Q205" s="9"/>
      <c r="R205" s="9"/>
      <c r="S205" s="40"/>
      <c r="T205" s="40"/>
      <c r="U205" s="9"/>
      <c r="V205" s="9"/>
      <c r="W205" s="9"/>
      <c r="X205" s="9"/>
      <c r="Y205" s="9"/>
      <c r="Z205" s="9"/>
      <c r="AA205" s="9"/>
      <c r="AB205" s="9"/>
      <c r="AC205" s="10" t="str">
        <f aca="false">IF(A205="","",SG_Criteria!$B$6&amp;SG_Criteria!$B$9&amp;"\"&amp;A205&amp;"\")</f>
        <v/>
      </c>
      <c r="AD205" s="10" t="str">
        <f aca="false">IF(A205="","",A205&amp;"_CAD.dwg")</f>
        <v/>
      </c>
      <c r="AE205" s="10" t="str">
        <f aca="false">IF(A205="","",A205&amp;"_DWG.pdf")</f>
        <v/>
      </c>
      <c r="AF205" s="10" t="str">
        <f aca="false">IF(A205="","",IF(AB205="Y",A205&amp;"_STAAD.std","n/a"))</f>
        <v/>
      </c>
      <c r="AG205" s="10" t="str">
        <f aca="false">IF(A205="","",A205&amp;"_CALC.xlsx")</f>
        <v/>
      </c>
      <c r="AH205" s="10" t="str">
        <f aca="false">IF(A205="","",A205&amp;"_CALC.pdf")</f>
        <v/>
      </c>
      <c r="AI205" s="9"/>
      <c r="AJ205" s="9"/>
      <c r="AK205" s="41"/>
      <c r="AL205" s="41"/>
      <c r="AM205" s="41"/>
      <c r="AN205" s="41"/>
      <c r="AO205" s="41"/>
      <c r="AP205" s="38" t="str">
        <f aca="false">IF(OR(C205="",E205=""),"",IF(E205&lt;=IF(C205="Soldier Pile &amp; Timber Lagging",SG_Criteria!$B$34,SG_Criteria!$B$33),"No ERSS submission",IF(E205&lt;=SG_Criteria!$B$35,"QP(ST)",IF(E205&lt;=SG_Criteria!$B$36,"QP(ST) + AC","Geotechnical building works: QP(Geo) + AC"))))</f>
        <v/>
      </c>
      <c r="AQ205" s="38" t="str">
        <f aca="false">IF(C205="","",IF(LEN(IF(AND(U205&lt;&gt;"",IFERROR(VALUE(MID(U205,2,2)),0)&lt;SG_Criteria!$B$19),"FAIL: grade below C"&amp;SG_Criteria!$B$19&amp;". ","")&amp;IF(AND(LEFT(C205,3)="Con",N(H205)&lt;E205,G205="Kallang Formation (marine clay)"),"NOTE: CBP is not watertight below GWT in marine clay; consider secant / grouting. ","")&amp;IF(AND(C205="Steel Sheet Pile",D205="Permanent"),"NOTE: permanent sheet pile needs corrosion allowance. ","")&amp;IF(AND(F205="Cantilever (no support)",E205&gt;6),"NOTE: cantilever embedded wall &gt; 6 m, check deflection. ","")&amp;IF(AND(S205&lt;&gt;"",T205&lt;&gt;"",S205&gt;T205),"FAIL: deflection exceeds allowable. ",""))=0,"OK",IF(AND(U205&lt;&gt;"",IFERROR(VALUE(MID(U205,2,2)),0)&lt;SG_Criteria!$B$19),"FAIL: grade below C"&amp;SG_Criteria!$B$19&amp;". ","")&amp;IF(AND(LEFT(C205,3)="Con",N(H205)&lt;E205,G205="Kallang Formation (marine clay)"),"NOTE: CBP is not watertight below GWT in marine clay; consider secant / grouting. ","")&amp;IF(AND(C205="Steel Sheet Pile",D205="Permanent"),"NOTE: permanent sheet pile needs corrosion allowance. ","")&amp;IF(AND(F205="Cantilever (no support)",E205&gt;6),"NOTE: cantilever embedded wall &gt; 6 m, check deflection. ","")&amp;IF(AND(S205&lt;&gt;"",T205&lt;&gt;"",S205&gt;T205),"FAIL: deflection exceeds allowable. ","")))</f>
        <v/>
      </c>
      <c r="AR205" s="9"/>
      <c r="AS205" s="9"/>
      <c r="AT205" s="9"/>
      <c r="AU205" s="9"/>
      <c r="AV205" s="9"/>
      <c r="AW205" s="31"/>
      <c r="AX205" s="10" t="str">
        <f aca="false">IF(C205="","",IF(AND(Y205="Approved",ISERROR(SEARCH("FAIL",AQ205))),"Y","N"))</f>
        <v/>
      </c>
      <c r="AY205" s="10" t="str">
        <f aca="false">IF(C205="","",C205&amp;"|"&amp;E205&amp;"|"&amp;F205&amp;"|"&amp;G205&amp;"|"&amp;D205&amp;"|"&amp;AX205)</f>
        <v/>
      </c>
    </row>
    <row r="206" customFormat="false" ht="15" hidden="false" customHeight="false" outlineLevel="0" collapsed="false">
      <c r="A206" s="10" t="str">
        <f aca="false">IF(C206="","","EW-"&amp;IFERROR(VLOOKUP(C206,Lists!$P$4:$Q$22,2,0),"??")&amp;"-D"&amp;TEXT(E206*1000,"0000")&amp;"-"&amp;IFERROR(VLOOKUP(F206,Lists!$S$4:$T$21,2,0),"??")&amp;"-"&amp;IFERROR(VLOOKUP(G206,Lists!$Y$4:$Z$21,2,0),"??")&amp;"-"&amp;IFERROR(VLOOKUP(D206,Lists!$V$4:$W$16,2,0),"??")&amp;"-"&amp;X206)</f>
        <v/>
      </c>
      <c r="B206" s="10" t="str">
        <f aca="false">IF(C206="","",D206&amp;" "&amp;C206&amp;", excavation "&amp;TEXT(E206,"0.0")&amp;" m, "&amp;F206&amp;", "&amp;G206&amp;", "&amp;J206)</f>
        <v/>
      </c>
      <c r="C206" s="9"/>
      <c r="D206" s="9"/>
      <c r="E206" s="43"/>
      <c r="F206" s="9"/>
      <c r="G206" s="9"/>
      <c r="H206" s="43"/>
      <c r="I206" s="40"/>
      <c r="J206" s="9"/>
      <c r="K206" s="9"/>
      <c r="L206" s="9"/>
      <c r="M206" s="43"/>
      <c r="N206" s="43"/>
      <c r="O206" s="9"/>
      <c r="P206" s="9"/>
      <c r="Q206" s="9"/>
      <c r="R206" s="9"/>
      <c r="S206" s="40"/>
      <c r="T206" s="40"/>
      <c r="U206" s="9"/>
      <c r="V206" s="9"/>
      <c r="W206" s="9"/>
      <c r="X206" s="9"/>
      <c r="Y206" s="9"/>
      <c r="Z206" s="9"/>
      <c r="AA206" s="9"/>
      <c r="AB206" s="9"/>
      <c r="AC206" s="10" t="str">
        <f aca="false">IF(A206="","",SG_Criteria!$B$6&amp;SG_Criteria!$B$9&amp;"\"&amp;A206&amp;"\")</f>
        <v/>
      </c>
      <c r="AD206" s="10" t="str">
        <f aca="false">IF(A206="","",A206&amp;"_CAD.dwg")</f>
        <v/>
      </c>
      <c r="AE206" s="10" t="str">
        <f aca="false">IF(A206="","",A206&amp;"_DWG.pdf")</f>
        <v/>
      </c>
      <c r="AF206" s="10" t="str">
        <f aca="false">IF(A206="","",IF(AB206="Y",A206&amp;"_STAAD.std","n/a"))</f>
        <v/>
      </c>
      <c r="AG206" s="10" t="str">
        <f aca="false">IF(A206="","",A206&amp;"_CALC.xlsx")</f>
        <v/>
      </c>
      <c r="AH206" s="10" t="str">
        <f aca="false">IF(A206="","",A206&amp;"_CALC.pdf")</f>
        <v/>
      </c>
      <c r="AI206" s="9"/>
      <c r="AJ206" s="9"/>
      <c r="AK206" s="41"/>
      <c r="AL206" s="41"/>
      <c r="AM206" s="41"/>
      <c r="AN206" s="41"/>
      <c r="AO206" s="41"/>
      <c r="AP206" s="38" t="str">
        <f aca="false">IF(OR(C206="",E206=""),"",IF(E206&lt;=IF(C206="Soldier Pile &amp; Timber Lagging",SG_Criteria!$B$34,SG_Criteria!$B$33),"No ERSS submission",IF(E206&lt;=SG_Criteria!$B$35,"QP(ST)",IF(E206&lt;=SG_Criteria!$B$36,"QP(ST) + AC","Geotechnical building works: QP(Geo) + AC"))))</f>
        <v/>
      </c>
      <c r="AQ206" s="38" t="str">
        <f aca="false">IF(C206="","",IF(LEN(IF(AND(U206&lt;&gt;"",IFERROR(VALUE(MID(U206,2,2)),0)&lt;SG_Criteria!$B$19),"FAIL: grade below C"&amp;SG_Criteria!$B$19&amp;". ","")&amp;IF(AND(LEFT(C206,3)="Con",N(H206)&lt;E206,G206="Kallang Formation (marine clay)"),"NOTE: CBP is not watertight below GWT in marine clay; consider secant / grouting. ","")&amp;IF(AND(C206="Steel Sheet Pile",D206="Permanent"),"NOTE: permanent sheet pile needs corrosion allowance. ","")&amp;IF(AND(F206="Cantilever (no support)",E206&gt;6),"NOTE: cantilever embedded wall &gt; 6 m, check deflection. ","")&amp;IF(AND(S206&lt;&gt;"",T206&lt;&gt;"",S206&gt;T206),"FAIL: deflection exceeds allowable. ",""))=0,"OK",IF(AND(U206&lt;&gt;"",IFERROR(VALUE(MID(U206,2,2)),0)&lt;SG_Criteria!$B$19),"FAIL: grade below C"&amp;SG_Criteria!$B$19&amp;". ","")&amp;IF(AND(LEFT(C206,3)="Con",N(H206)&lt;E206,G206="Kallang Formation (marine clay)"),"NOTE: CBP is not watertight below GWT in marine clay; consider secant / grouting. ","")&amp;IF(AND(C206="Steel Sheet Pile",D206="Permanent"),"NOTE: permanent sheet pile needs corrosion allowance. ","")&amp;IF(AND(F206="Cantilever (no support)",E206&gt;6),"NOTE: cantilever embedded wall &gt; 6 m, check deflection. ","")&amp;IF(AND(S206&lt;&gt;"",T206&lt;&gt;"",S206&gt;T206),"FAIL: deflection exceeds allowable. ","")))</f>
        <v/>
      </c>
      <c r="AR206" s="9"/>
      <c r="AS206" s="9"/>
      <c r="AT206" s="9"/>
      <c r="AU206" s="9"/>
      <c r="AV206" s="9"/>
      <c r="AW206" s="31"/>
      <c r="AX206" s="10" t="str">
        <f aca="false">IF(C206="","",IF(AND(Y206="Approved",ISERROR(SEARCH("FAIL",AQ206))),"Y","N"))</f>
        <v/>
      </c>
      <c r="AY206" s="10" t="str">
        <f aca="false">IF(C206="","",C206&amp;"|"&amp;E206&amp;"|"&amp;F206&amp;"|"&amp;G206&amp;"|"&amp;D206&amp;"|"&amp;AX206)</f>
        <v/>
      </c>
    </row>
    <row r="207" customFormat="false" ht="15" hidden="false" customHeight="false" outlineLevel="0" collapsed="false">
      <c r="A207" s="10" t="str">
        <f aca="false">IF(C207="","","EW-"&amp;IFERROR(VLOOKUP(C207,Lists!$P$4:$Q$22,2,0),"??")&amp;"-D"&amp;TEXT(E207*1000,"0000")&amp;"-"&amp;IFERROR(VLOOKUP(F207,Lists!$S$4:$T$21,2,0),"??")&amp;"-"&amp;IFERROR(VLOOKUP(G207,Lists!$Y$4:$Z$21,2,0),"??")&amp;"-"&amp;IFERROR(VLOOKUP(D207,Lists!$V$4:$W$16,2,0),"??")&amp;"-"&amp;X207)</f>
        <v/>
      </c>
      <c r="B207" s="10" t="str">
        <f aca="false">IF(C207="","",D207&amp;" "&amp;C207&amp;", excavation "&amp;TEXT(E207,"0.0")&amp;" m, "&amp;F207&amp;", "&amp;G207&amp;", "&amp;J207)</f>
        <v/>
      </c>
      <c r="C207" s="9"/>
      <c r="D207" s="9"/>
      <c r="E207" s="43"/>
      <c r="F207" s="9"/>
      <c r="G207" s="9"/>
      <c r="H207" s="43"/>
      <c r="I207" s="40"/>
      <c r="J207" s="9"/>
      <c r="K207" s="9"/>
      <c r="L207" s="9"/>
      <c r="M207" s="43"/>
      <c r="N207" s="43"/>
      <c r="O207" s="9"/>
      <c r="P207" s="9"/>
      <c r="Q207" s="9"/>
      <c r="R207" s="9"/>
      <c r="S207" s="40"/>
      <c r="T207" s="40"/>
      <c r="U207" s="9"/>
      <c r="V207" s="9"/>
      <c r="W207" s="9"/>
      <c r="X207" s="9"/>
      <c r="Y207" s="9"/>
      <c r="Z207" s="9"/>
      <c r="AA207" s="9"/>
      <c r="AB207" s="9"/>
      <c r="AC207" s="10" t="str">
        <f aca="false">IF(A207="","",SG_Criteria!$B$6&amp;SG_Criteria!$B$9&amp;"\"&amp;A207&amp;"\")</f>
        <v/>
      </c>
      <c r="AD207" s="10" t="str">
        <f aca="false">IF(A207="","",A207&amp;"_CAD.dwg")</f>
        <v/>
      </c>
      <c r="AE207" s="10" t="str">
        <f aca="false">IF(A207="","",A207&amp;"_DWG.pdf")</f>
        <v/>
      </c>
      <c r="AF207" s="10" t="str">
        <f aca="false">IF(A207="","",IF(AB207="Y",A207&amp;"_STAAD.std","n/a"))</f>
        <v/>
      </c>
      <c r="AG207" s="10" t="str">
        <f aca="false">IF(A207="","",A207&amp;"_CALC.xlsx")</f>
        <v/>
      </c>
      <c r="AH207" s="10" t="str">
        <f aca="false">IF(A207="","",A207&amp;"_CALC.pdf")</f>
        <v/>
      </c>
      <c r="AI207" s="9"/>
      <c r="AJ207" s="9"/>
      <c r="AK207" s="41"/>
      <c r="AL207" s="41"/>
      <c r="AM207" s="41"/>
      <c r="AN207" s="41"/>
      <c r="AO207" s="41"/>
      <c r="AP207" s="38" t="str">
        <f aca="false">IF(OR(C207="",E207=""),"",IF(E207&lt;=IF(C207="Soldier Pile &amp; Timber Lagging",SG_Criteria!$B$34,SG_Criteria!$B$33),"No ERSS submission",IF(E207&lt;=SG_Criteria!$B$35,"QP(ST)",IF(E207&lt;=SG_Criteria!$B$36,"QP(ST) + AC","Geotechnical building works: QP(Geo) + AC"))))</f>
        <v/>
      </c>
      <c r="AQ207" s="38" t="str">
        <f aca="false">IF(C207="","",IF(LEN(IF(AND(U207&lt;&gt;"",IFERROR(VALUE(MID(U207,2,2)),0)&lt;SG_Criteria!$B$19),"FAIL: grade below C"&amp;SG_Criteria!$B$19&amp;". ","")&amp;IF(AND(LEFT(C207,3)="Con",N(H207)&lt;E207,G207="Kallang Formation (marine clay)"),"NOTE: CBP is not watertight below GWT in marine clay; consider secant / grouting. ","")&amp;IF(AND(C207="Steel Sheet Pile",D207="Permanent"),"NOTE: permanent sheet pile needs corrosion allowance. ","")&amp;IF(AND(F207="Cantilever (no support)",E207&gt;6),"NOTE: cantilever embedded wall &gt; 6 m, check deflection. ","")&amp;IF(AND(S207&lt;&gt;"",T207&lt;&gt;"",S207&gt;T207),"FAIL: deflection exceeds allowable. ",""))=0,"OK",IF(AND(U207&lt;&gt;"",IFERROR(VALUE(MID(U207,2,2)),0)&lt;SG_Criteria!$B$19),"FAIL: grade below C"&amp;SG_Criteria!$B$19&amp;". ","")&amp;IF(AND(LEFT(C207,3)="Con",N(H207)&lt;E207,G207="Kallang Formation (marine clay)"),"NOTE: CBP is not watertight below GWT in marine clay; consider secant / grouting. ","")&amp;IF(AND(C207="Steel Sheet Pile",D207="Permanent"),"NOTE: permanent sheet pile needs corrosion allowance. ","")&amp;IF(AND(F207="Cantilever (no support)",E207&gt;6),"NOTE: cantilever embedded wall &gt; 6 m, check deflection. ","")&amp;IF(AND(S207&lt;&gt;"",T207&lt;&gt;"",S207&gt;T207),"FAIL: deflection exceeds allowable. ","")))</f>
        <v/>
      </c>
      <c r="AR207" s="9"/>
      <c r="AS207" s="9"/>
      <c r="AT207" s="9"/>
      <c r="AU207" s="9"/>
      <c r="AV207" s="9"/>
      <c r="AW207" s="31"/>
      <c r="AX207" s="10" t="str">
        <f aca="false">IF(C207="","",IF(AND(Y207="Approved",ISERROR(SEARCH("FAIL",AQ207))),"Y","N"))</f>
        <v/>
      </c>
      <c r="AY207" s="10" t="str">
        <f aca="false">IF(C207="","",C207&amp;"|"&amp;E207&amp;"|"&amp;F207&amp;"|"&amp;G207&amp;"|"&amp;D207&amp;"|"&amp;AX207)</f>
        <v/>
      </c>
    </row>
    <row r="208" customFormat="false" ht="15" hidden="false" customHeight="false" outlineLevel="0" collapsed="false">
      <c r="A208" s="10" t="str">
        <f aca="false">IF(C208="","","EW-"&amp;IFERROR(VLOOKUP(C208,Lists!$P$4:$Q$22,2,0),"??")&amp;"-D"&amp;TEXT(E208*1000,"0000")&amp;"-"&amp;IFERROR(VLOOKUP(F208,Lists!$S$4:$T$21,2,0),"??")&amp;"-"&amp;IFERROR(VLOOKUP(G208,Lists!$Y$4:$Z$21,2,0),"??")&amp;"-"&amp;IFERROR(VLOOKUP(D208,Lists!$V$4:$W$16,2,0),"??")&amp;"-"&amp;X208)</f>
        <v/>
      </c>
      <c r="B208" s="10" t="str">
        <f aca="false">IF(C208="","",D208&amp;" "&amp;C208&amp;", excavation "&amp;TEXT(E208,"0.0")&amp;" m, "&amp;F208&amp;", "&amp;G208&amp;", "&amp;J208)</f>
        <v/>
      </c>
      <c r="C208" s="9"/>
      <c r="D208" s="9"/>
      <c r="E208" s="43"/>
      <c r="F208" s="9"/>
      <c r="G208" s="9"/>
      <c r="H208" s="43"/>
      <c r="I208" s="40"/>
      <c r="J208" s="9"/>
      <c r="K208" s="9"/>
      <c r="L208" s="9"/>
      <c r="M208" s="43"/>
      <c r="N208" s="43"/>
      <c r="O208" s="9"/>
      <c r="P208" s="9"/>
      <c r="Q208" s="9"/>
      <c r="R208" s="9"/>
      <c r="S208" s="40"/>
      <c r="T208" s="40"/>
      <c r="U208" s="9"/>
      <c r="V208" s="9"/>
      <c r="W208" s="9"/>
      <c r="X208" s="9"/>
      <c r="Y208" s="9"/>
      <c r="Z208" s="9"/>
      <c r="AA208" s="9"/>
      <c r="AB208" s="9"/>
      <c r="AC208" s="10" t="str">
        <f aca="false">IF(A208="","",SG_Criteria!$B$6&amp;SG_Criteria!$B$9&amp;"\"&amp;A208&amp;"\")</f>
        <v/>
      </c>
      <c r="AD208" s="10" t="str">
        <f aca="false">IF(A208="","",A208&amp;"_CAD.dwg")</f>
        <v/>
      </c>
      <c r="AE208" s="10" t="str">
        <f aca="false">IF(A208="","",A208&amp;"_DWG.pdf")</f>
        <v/>
      </c>
      <c r="AF208" s="10" t="str">
        <f aca="false">IF(A208="","",IF(AB208="Y",A208&amp;"_STAAD.std","n/a"))</f>
        <v/>
      </c>
      <c r="AG208" s="10" t="str">
        <f aca="false">IF(A208="","",A208&amp;"_CALC.xlsx")</f>
        <v/>
      </c>
      <c r="AH208" s="10" t="str">
        <f aca="false">IF(A208="","",A208&amp;"_CALC.pdf")</f>
        <v/>
      </c>
      <c r="AI208" s="9"/>
      <c r="AJ208" s="9"/>
      <c r="AK208" s="41"/>
      <c r="AL208" s="41"/>
      <c r="AM208" s="41"/>
      <c r="AN208" s="41"/>
      <c r="AO208" s="41"/>
      <c r="AP208" s="38" t="str">
        <f aca="false">IF(OR(C208="",E208=""),"",IF(E208&lt;=IF(C208="Soldier Pile &amp; Timber Lagging",SG_Criteria!$B$34,SG_Criteria!$B$33),"No ERSS submission",IF(E208&lt;=SG_Criteria!$B$35,"QP(ST)",IF(E208&lt;=SG_Criteria!$B$36,"QP(ST) + AC","Geotechnical building works: QP(Geo) + AC"))))</f>
        <v/>
      </c>
      <c r="AQ208" s="38" t="str">
        <f aca="false">IF(C208="","",IF(LEN(IF(AND(U208&lt;&gt;"",IFERROR(VALUE(MID(U208,2,2)),0)&lt;SG_Criteria!$B$19),"FAIL: grade below C"&amp;SG_Criteria!$B$19&amp;". ","")&amp;IF(AND(LEFT(C208,3)="Con",N(H208)&lt;E208,G208="Kallang Formation (marine clay)"),"NOTE: CBP is not watertight below GWT in marine clay; consider secant / grouting. ","")&amp;IF(AND(C208="Steel Sheet Pile",D208="Permanent"),"NOTE: permanent sheet pile needs corrosion allowance. ","")&amp;IF(AND(F208="Cantilever (no support)",E208&gt;6),"NOTE: cantilever embedded wall &gt; 6 m, check deflection. ","")&amp;IF(AND(S208&lt;&gt;"",T208&lt;&gt;"",S208&gt;T208),"FAIL: deflection exceeds allowable. ",""))=0,"OK",IF(AND(U208&lt;&gt;"",IFERROR(VALUE(MID(U208,2,2)),0)&lt;SG_Criteria!$B$19),"FAIL: grade below C"&amp;SG_Criteria!$B$19&amp;". ","")&amp;IF(AND(LEFT(C208,3)="Con",N(H208)&lt;E208,G208="Kallang Formation (marine clay)"),"NOTE: CBP is not watertight below GWT in marine clay; consider secant / grouting. ","")&amp;IF(AND(C208="Steel Sheet Pile",D208="Permanent"),"NOTE: permanent sheet pile needs corrosion allowance. ","")&amp;IF(AND(F208="Cantilever (no support)",E208&gt;6),"NOTE: cantilever embedded wall &gt; 6 m, check deflection. ","")&amp;IF(AND(S208&lt;&gt;"",T208&lt;&gt;"",S208&gt;T208),"FAIL: deflection exceeds allowable. ","")))</f>
        <v/>
      </c>
      <c r="AR208" s="9"/>
      <c r="AS208" s="9"/>
      <c r="AT208" s="9"/>
      <c r="AU208" s="9"/>
      <c r="AV208" s="9"/>
      <c r="AW208" s="31"/>
      <c r="AX208" s="10" t="str">
        <f aca="false">IF(C208="","",IF(AND(Y208="Approved",ISERROR(SEARCH("FAIL",AQ208))),"Y","N"))</f>
        <v/>
      </c>
      <c r="AY208" s="10" t="str">
        <f aca="false">IF(C208="","",C208&amp;"|"&amp;E208&amp;"|"&amp;F208&amp;"|"&amp;G208&amp;"|"&amp;D208&amp;"|"&amp;AX208)</f>
        <v/>
      </c>
    </row>
    <row r="209" customFormat="false" ht="15" hidden="false" customHeight="false" outlineLevel="0" collapsed="false">
      <c r="A209" s="10" t="str">
        <f aca="false">IF(C209="","","EW-"&amp;IFERROR(VLOOKUP(C209,Lists!$P$4:$Q$22,2,0),"??")&amp;"-D"&amp;TEXT(E209*1000,"0000")&amp;"-"&amp;IFERROR(VLOOKUP(F209,Lists!$S$4:$T$21,2,0),"??")&amp;"-"&amp;IFERROR(VLOOKUP(G209,Lists!$Y$4:$Z$21,2,0),"??")&amp;"-"&amp;IFERROR(VLOOKUP(D209,Lists!$V$4:$W$16,2,0),"??")&amp;"-"&amp;X209)</f>
        <v/>
      </c>
      <c r="B209" s="10" t="str">
        <f aca="false">IF(C209="","",D209&amp;" "&amp;C209&amp;", excavation "&amp;TEXT(E209,"0.0")&amp;" m, "&amp;F209&amp;", "&amp;G209&amp;", "&amp;J209)</f>
        <v/>
      </c>
      <c r="C209" s="9"/>
      <c r="D209" s="9"/>
      <c r="E209" s="43"/>
      <c r="F209" s="9"/>
      <c r="G209" s="9"/>
      <c r="H209" s="43"/>
      <c r="I209" s="40"/>
      <c r="J209" s="9"/>
      <c r="K209" s="9"/>
      <c r="L209" s="9"/>
      <c r="M209" s="43"/>
      <c r="N209" s="43"/>
      <c r="O209" s="9"/>
      <c r="P209" s="9"/>
      <c r="Q209" s="9"/>
      <c r="R209" s="9"/>
      <c r="S209" s="40"/>
      <c r="T209" s="40"/>
      <c r="U209" s="9"/>
      <c r="V209" s="9"/>
      <c r="W209" s="9"/>
      <c r="X209" s="9"/>
      <c r="Y209" s="9"/>
      <c r="Z209" s="9"/>
      <c r="AA209" s="9"/>
      <c r="AB209" s="9"/>
      <c r="AC209" s="10" t="str">
        <f aca="false">IF(A209="","",SG_Criteria!$B$6&amp;SG_Criteria!$B$9&amp;"\"&amp;A209&amp;"\")</f>
        <v/>
      </c>
      <c r="AD209" s="10" t="str">
        <f aca="false">IF(A209="","",A209&amp;"_CAD.dwg")</f>
        <v/>
      </c>
      <c r="AE209" s="10" t="str">
        <f aca="false">IF(A209="","",A209&amp;"_DWG.pdf")</f>
        <v/>
      </c>
      <c r="AF209" s="10" t="str">
        <f aca="false">IF(A209="","",IF(AB209="Y",A209&amp;"_STAAD.std","n/a"))</f>
        <v/>
      </c>
      <c r="AG209" s="10" t="str">
        <f aca="false">IF(A209="","",A209&amp;"_CALC.xlsx")</f>
        <v/>
      </c>
      <c r="AH209" s="10" t="str">
        <f aca="false">IF(A209="","",A209&amp;"_CALC.pdf")</f>
        <v/>
      </c>
      <c r="AI209" s="9"/>
      <c r="AJ209" s="9"/>
      <c r="AK209" s="41"/>
      <c r="AL209" s="41"/>
      <c r="AM209" s="41"/>
      <c r="AN209" s="41"/>
      <c r="AO209" s="41"/>
      <c r="AP209" s="38" t="str">
        <f aca="false">IF(OR(C209="",E209=""),"",IF(E209&lt;=IF(C209="Soldier Pile &amp; Timber Lagging",SG_Criteria!$B$34,SG_Criteria!$B$33),"No ERSS submission",IF(E209&lt;=SG_Criteria!$B$35,"QP(ST)",IF(E209&lt;=SG_Criteria!$B$36,"QP(ST) + AC","Geotechnical building works: QP(Geo) + AC"))))</f>
        <v/>
      </c>
      <c r="AQ209" s="38" t="str">
        <f aca="false">IF(C209="","",IF(LEN(IF(AND(U209&lt;&gt;"",IFERROR(VALUE(MID(U209,2,2)),0)&lt;SG_Criteria!$B$19),"FAIL: grade below C"&amp;SG_Criteria!$B$19&amp;". ","")&amp;IF(AND(LEFT(C209,3)="Con",N(H209)&lt;E209,G209="Kallang Formation (marine clay)"),"NOTE: CBP is not watertight below GWT in marine clay; consider secant / grouting. ","")&amp;IF(AND(C209="Steel Sheet Pile",D209="Permanent"),"NOTE: permanent sheet pile needs corrosion allowance. ","")&amp;IF(AND(F209="Cantilever (no support)",E209&gt;6),"NOTE: cantilever embedded wall &gt; 6 m, check deflection. ","")&amp;IF(AND(S209&lt;&gt;"",T209&lt;&gt;"",S209&gt;T209),"FAIL: deflection exceeds allowable. ",""))=0,"OK",IF(AND(U209&lt;&gt;"",IFERROR(VALUE(MID(U209,2,2)),0)&lt;SG_Criteria!$B$19),"FAIL: grade below C"&amp;SG_Criteria!$B$19&amp;". ","")&amp;IF(AND(LEFT(C209,3)="Con",N(H209)&lt;E209,G209="Kallang Formation (marine clay)"),"NOTE: CBP is not watertight below GWT in marine clay; consider secant / grouting. ","")&amp;IF(AND(C209="Steel Sheet Pile",D209="Permanent"),"NOTE: permanent sheet pile needs corrosion allowance. ","")&amp;IF(AND(F209="Cantilever (no support)",E209&gt;6),"NOTE: cantilever embedded wall &gt; 6 m, check deflection. ","")&amp;IF(AND(S209&lt;&gt;"",T209&lt;&gt;"",S209&gt;T209),"FAIL: deflection exceeds allowable. ","")))</f>
        <v/>
      </c>
      <c r="AR209" s="9"/>
      <c r="AS209" s="9"/>
      <c r="AT209" s="9"/>
      <c r="AU209" s="9"/>
      <c r="AV209" s="9"/>
      <c r="AW209" s="31"/>
      <c r="AX209" s="10" t="str">
        <f aca="false">IF(C209="","",IF(AND(Y209="Approved",ISERROR(SEARCH("FAIL",AQ209))),"Y","N"))</f>
        <v/>
      </c>
      <c r="AY209" s="10" t="str">
        <f aca="false">IF(C209="","",C209&amp;"|"&amp;E209&amp;"|"&amp;F209&amp;"|"&amp;G209&amp;"|"&amp;D209&amp;"|"&amp;AX209)</f>
        <v/>
      </c>
    </row>
    <row r="210" customFormat="false" ht="15" hidden="false" customHeight="false" outlineLevel="0" collapsed="false">
      <c r="A210" s="10" t="str">
        <f aca="false">IF(C210="","","EW-"&amp;IFERROR(VLOOKUP(C210,Lists!$P$4:$Q$22,2,0),"??")&amp;"-D"&amp;TEXT(E210*1000,"0000")&amp;"-"&amp;IFERROR(VLOOKUP(F210,Lists!$S$4:$T$21,2,0),"??")&amp;"-"&amp;IFERROR(VLOOKUP(G210,Lists!$Y$4:$Z$21,2,0),"??")&amp;"-"&amp;IFERROR(VLOOKUP(D210,Lists!$V$4:$W$16,2,0),"??")&amp;"-"&amp;X210)</f>
        <v/>
      </c>
      <c r="B210" s="10" t="str">
        <f aca="false">IF(C210="","",D210&amp;" "&amp;C210&amp;", excavation "&amp;TEXT(E210,"0.0")&amp;" m, "&amp;F210&amp;", "&amp;G210&amp;", "&amp;J210)</f>
        <v/>
      </c>
      <c r="C210" s="9"/>
      <c r="D210" s="9"/>
      <c r="E210" s="43"/>
      <c r="F210" s="9"/>
      <c r="G210" s="9"/>
      <c r="H210" s="43"/>
      <c r="I210" s="40"/>
      <c r="J210" s="9"/>
      <c r="K210" s="9"/>
      <c r="L210" s="9"/>
      <c r="M210" s="43"/>
      <c r="N210" s="43"/>
      <c r="O210" s="9"/>
      <c r="P210" s="9"/>
      <c r="Q210" s="9"/>
      <c r="R210" s="9"/>
      <c r="S210" s="40"/>
      <c r="T210" s="40"/>
      <c r="U210" s="9"/>
      <c r="V210" s="9"/>
      <c r="W210" s="9"/>
      <c r="X210" s="9"/>
      <c r="Y210" s="9"/>
      <c r="Z210" s="9"/>
      <c r="AA210" s="9"/>
      <c r="AB210" s="9"/>
      <c r="AC210" s="10" t="str">
        <f aca="false">IF(A210="","",SG_Criteria!$B$6&amp;SG_Criteria!$B$9&amp;"\"&amp;A210&amp;"\")</f>
        <v/>
      </c>
      <c r="AD210" s="10" t="str">
        <f aca="false">IF(A210="","",A210&amp;"_CAD.dwg")</f>
        <v/>
      </c>
      <c r="AE210" s="10" t="str">
        <f aca="false">IF(A210="","",A210&amp;"_DWG.pdf")</f>
        <v/>
      </c>
      <c r="AF210" s="10" t="str">
        <f aca="false">IF(A210="","",IF(AB210="Y",A210&amp;"_STAAD.std","n/a"))</f>
        <v/>
      </c>
      <c r="AG210" s="10" t="str">
        <f aca="false">IF(A210="","",A210&amp;"_CALC.xlsx")</f>
        <v/>
      </c>
      <c r="AH210" s="10" t="str">
        <f aca="false">IF(A210="","",A210&amp;"_CALC.pdf")</f>
        <v/>
      </c>
      <c r="AI210" s="9"/>
      <c r="AJ210" s="9"/>
      <c r="AK210" s="41"/>
      <c r="AL210" s="41"/>
      <c r="AM210" s="41"/>
      <c r="AN210" s="41"/>
      <c r="AO210" s="41"/>
      <c r="AP210" s="38" t="str">
        <f aca="false">IF(OR(C210="",E210=""),"",IF(E210&lt;=IF(C210="Soldier Pile &amp; Timber Lagging",SG_Criteria!$B$34,SG_Criteria!$B$33),"No ERSS submission",IF(E210&lt;=SG_Criteria!$B$35,"QP(ST)",IF(E210&lt;=SG_Criteria!$B$36,"QP(ST) + AC","Geotechnical building works: QP(Geo) + AC"))))</f>
        <v/>
      </c>
      <c r="AQ210" s="38" t="str">
        <f aca="false">IF(C210="","",IF(LEN(IF(AND(U210&lt;&gt;"",IFERROR(VALUE(MID(U210,2,2)),0)&lt;SG_Criteria!$B$19),"FAIL: grade below C"&amp;SG_Criteria!$B$19&amp;". ","")&amp;IF(AND(LEFT(C210,3)="Con",N(H210)&lt;E210,G210="Kallang Formation (marine clay)"),"NOTE: CBP is not watertight below GWT in marine clay; consider secant / grouting. ","")&amp;IF(AND(C210="Steel Sheet Pile",D210="Permanent"),"NOTE: permanent sheet pile needs corrosion allowance. ","")&amp;IF(AND(F210="Cantilever (no support)",E210&gt;6),"NOTE: cantilever embedded wall &gt; 6 m, check deflection. ","")&amp;IF(AND(S210&lt;&gt;"",T210&lt;&gt;"",S210&gt;T210),"FAIL: deflection exceeds allowable. ",""))=0,"OK",IF(AND(U210&lt;&gt;"",IFERROR(VALUE(MID(U210,2,2)),0)&lt;SG_Criteria!$B$19),"FAIL: grade below C"&amp;SG_Criteria!$B$19&amp;". ","")&amp;IF(AND(LEFT(C210,3)="Con",N(H210)&lt;E210,G210="Kallang Formation (marine clay)"),"NOTE: CBP is not watertight below GWT in marine clay; consider secant / grouting. ","")&amp;IF(AND(C210="Steel Sheet Pile",D210="Permanent"),"NOTE: permanent sheet pile needs corrosion allowance. ","")&amp;IF(AND(F210="Cantilever (no support)",E210&gt;6),"NOTE: cantilever embedded wall &gt; 6 m, check deflection. ","")&amp;IF(AND(S210&lt;&gt;"",T210&lt;&gt;"",S210&gt;T210),"FAIL: deflection exceeds allowable. ","")))</f>
        <v/>
      </c>
      <c r="AR210" s="9"/>
      <c r="AS210" s="9"/>
      <c r="AT210" s="9"/>
      <c r="AU210" s="9"/>
      <c r="AV210" s="9"/>
      <c r="AW210" s="31"/>
      <c r="AX210" s="10" t="str">
        <f aca="false">IF(C210="","",IF(AND(Y210="Approved",ISERROR(SEARCH("FAIL",AQ210))),"Y","N"))</f>
        <v/>
      </c>
      <c r="AY210" s="10" t="str">
        <f aca="false">IF(C210="","",C210&amp;"|"&amp;E210&amp;"|"&amp;F210&amp;"|"&amp;G210&amp;"|"&amp;D210&amp;"|"&amp;AX210)</f>
        <v/>
      </c>
    </row>
    <row r="211" customFormat="false" ht="15" hidden="false" customHeight="false" outlineLevel="0" collapsed="false">
      <c r="A211" s="10" t="str">
        <f aca="false">IF(C211="","","EW-"&amp;IFERROR(VLOOKUP(C211,Lists!$P$4:$Q$22,2,0),"??")&amp;"-D"&amp;TEXT(E211*1000,"0000")&amp;"-"&amp;IFERROR(VLOOKUP(F211,Lists!$S$4:$T$21,2,0),"??")&amp;"-"&amp;IFERROR(VLOOKUP(G211,Lists!$Y$4:$Z$21,2,0),"??")&amp;"-"&amp;IFERROR(VLOOKUP(D211,Lists!$V$4:$W$16,2,0),"??")&amp;"-"&amp;X211)</f>
        <v/>
      </c>
      <c r="B211" s="10" t="str">
        <f aca="false">IF(C211="","",D211&amp;" "&amp;C211&amp;", excavation "&amp;TEXT(E211,"0.0")&amp;" m, "&amp;F211&amp;", "&amp;G211&amp;", "&amp;J211)</f>
        <v/>
      </c>
      <c r="C211" s="9"/>
      <c r="D211" s="9"/>
      <c r="E211" s="43"/>
      <c r="F211" s="9"/>
      <c r="G211" s="9"/>
      <c r="H211" s="43"/>
      <c r="I211" s="40"/>
      <c r="J211" s="9"/>
      <c r="K211" s="9"/>
      <c r="L211" s="9"/>
      <c r="M211" s="43"/>
      <c r="N211" s="43"/>
      <c r="O211" s="9"/>
      <c r="P211" s="9"/>
      <c r="Q211" s="9"/>
      <c r="R211" s="9"/>
      <c r="S211" s="40"/>
      <c r="T211" s="40"/>
      <c r="U211" s="9"/>
      <c r="V211" s="9"/>
      <c r="W211" s="9"/>
      <c r="X211" s="9"/>
      <c r="Y211" s="9"/>
      <c r="Z211" s="9"/>
      <c r="AA211" s="9"/>
      <c r="AB211" s="9"/>
      <c r="AC211" s="10" t="str">
        <f aca="false">IF(A211="","",SG_Criteria!$B$6&amp;SG_Criteria!$B$9&amp;"\"&amp;A211&amp;"\")</f>
        <v/>
      </c>
      <c r="AD211" s="10" t="str">
        <f aca="false">IF(A211="","",A211&amp;"_CAD.dwg")</f>
        <v/>
      </c>
      <c r="AE211" s="10" t="str">
        <f aca="false">IF(A211="","",A211&amp;"_DWG.pdf")</f>
        <v/>
      </c>
      <c r="AF211" s="10" t="str">
        <f aca="false">IF(A211="","",IF(AB211="Y",A211&amp;"_STAAD.std","n/a"))</f>
        <v/>
      </c>
      <c r="AG211" s="10" t="str">
        <f aca="false">IF(A211="","",A211&amp;"_CALC.xlsx")</f>
        <v/>
      </c>
      <c r="AH211" s="10" t="str">
        <f aca="false">IF(A211="","",A211&amp;"_CALC.pdf")</f>
        <v/>
      </c>
      <c r="AI211" s="9"/>
      <c r="AJ211" s="9"/>
      <c r="AK211" s="41"/>
      <c r="AL211" s="41"/>
      <c r="AM211" s="41"/>
      <c r="AN211" s="41"/>
      <c r="AO211" s="41"/>
      <c r="AP211" s="38" t="str">
        <f aca="false">IF(OR(C211="",E211=""),"",IF(E211&lt;=IF(C211="Soldier Pile &amp; Timber Lagging",SG_Criteria!$B$34,SG_Criteria!$B$33),"No ERSS submission",IF(E211&lt;=SG_Criteria!$B$35,"QP(ST)",IF(E211&lt;=SG_Criteria!$B$36,"QP(ST) + AC","Geotechnical building works: QP(Geo) + AC"))))</f>
        <v/>
      </c>
      <c r="AQ211" s="38" t="str">
        <f aca="false">IF(C211="","",IF(LEN(IF(AND(U211&lt;&gt;"",IFERROR(VALUE(MID(U211,2,2)),0)&lt;SG_Criteria!$B$19),"FAIL: grade below C"&amp;SG_Criteria!$B$19&amp;". ","")&amp;IF(AND(LEFT(C211,3)="Con",N(H211)&lt;E211,G211="Kallang Formation (marine clay)"),"NOTE: CBP is not watertight below GWT in marine clay; consider secant / grouting. ","")&amp;IF(AND(C211="Steel Sheet Pile",D211="Permanent"),"NOTE: permanent sheet pile needs corrosion allowance. ","")&amp;IF(AND(F211="Cantilever (no support)",E211&gt;6),"NOTE: cantilever embedded wall &gt; 6 m, check deflection. ","")&amp;IF(AND(S211&lt;&gt;"",T211&lt;&gt;"",S211&gt;T211),"FAIL: deflection exceeds allowable. ",""))=0,"OK",IF(AND(U211&lt;&gt;"",IFERROR(VALUE(MID(U211,2,2)),0)&lt;SG_Criteria!$B$19),"FAIL: grade below C"&amp;SG_Criteria!$B$19&amp;". ","")&amp;IF(AND(LEFT(C211,3)="Con",N(H211)&lt;E211,G211="Kallang Formation (marine clay)"),"NOTE: CBP is not watertight below GWT in marine clay; consider secant / grouting. ","")&amp;IF(AND(C211="Steel Sheet Pile",D211="Permanent"),"NOTE: permanent sheet pile needs corrosion allowance. ","")&amp;IF(AND(F211="Cantilever (no support)",E211&gt;6),"NOTE: cantilever embedded wall &gt; 6 m, check deflection. ","")&amp;IF(AND(S211&lt;&gt;"",T211&lt;&gt;"",S211&gt;T211),"FAIL: deflection exceeds allowable. ","")))</f>
        <v/>
      </c>
      <c r="AR211" s="9"/>
      <c r="AS211" s="9"/>
      <c r="AT211" s="9"/>
      <c r="AU211" s="9"/>
      <c r="AV211" s="9"/>
      <c r="AW211" s="31"/>
      <c r="AX211" s="10" t="str">
        <f aca="false">IF(C211="","",IF(AND(Y211="Approved",ISERROR(SEARCH("FAIL",AQ211))),"Y","N"))</f>
        <v/>
      </c>
      <c r="AY211" s="10" t="str">
        <f aca="false">IF(C211="","",C211&amp;"|"&amp;E211&amp;"|"&amp;F211&amp;"|"&amp;G211&amp;"|"&amp;D211&amp;"|"&amp;AX211)</f>
        <v/>
      </c>
    </row>
    <row r="212" customFormat="false" ht="15" hidden="false" customHeight="false" outlineLevel="0" collapsed="false">
      <c r="A212" s="10" t="str">
        <f aca="false">IF(C212="","","EW-"&amp;IFERROR(VLOOKUP(C212,Lists!$P$4:$Q$22,2,0),"??")&amp;"-D"&amp;TEXT(E212*1000,"0000")&amp;"-"&amp;IFERROR(VLOOKUP(F212,Lists!$S$4:$T$21,2,0),"??")&amp;"-"&amp;IFERROR(VLOOKUP(G212,Lists!$Y$4:$Z$21,2,0),"??")&amp;"-"&amp;IFERROR(VLOOKUP(D212,Lists!$V$4:$W$16,2,0),"??")&amp;"-"&amp;X212)</f>
        <v/>
      </c>
      <c r="B212" s="10" t="str">
        <f aca="false">IF(C212="","",D212&amp;" "&amp;C212&amp;", excavation "&amp;TEXT(E212,"0.0")&amp;" m, "&amp;F212&amp;", "&amp;G212&amp;", "&amp;J212)</f>
        <v/>
      </c>
      <c r="C212" s="9"/>
      <c r="D212" s="9"/>
      <c r="E212" s="43"/>
      <c r="F212" s="9"/>
      <c r="G212" s="9"/>
      <c r="H212" s="43"/>
      <c r="I212" s="40"/>
      <c r="J212" s="9"/>
      <c r="K212" s="9"/>
      <c r="L212" s="9"/>
      <c r="M212" s="43"/>
      <c r="N212" s="43"/>
      <c r="O212" s="9"/>
      <c r="P212" s="9"/>
      <c r="Q212" s="9"/>
      <c r="R212" s="9"/>
      <c r="S212" s="40"/>
      <c r="T212" s="40"/>
      <c r="U212" s="9"/>
      <c r="V212" s="9"/>
      <c r="W212" s="9"/>
      <c r="X212" s="9"/>
      <c r="Y212" s="9"/>
      <c r="Z212" s="9"/>
      <c r="AA212" s="9"/>
      <c r="AB212" s="9"/>
      <c r="AC212" s="10" t="str">
        <f aca="false">IF(A212="","",SG_Criteria!$B$6&amp;SG_Criteria!$B$9&amp;"\"&amp;A212&amp;"\")</f>
        <v/>
      </c>
      <c r="AD212" s="10" t="str">
        <f aca="false">IF(A212="","",A212&amp;"_CAD.dwg")</f>
        <v/>
      </c>
      <c r="AE212" s="10" t="str">
        <f aca="false">IF(A212="","",A212&amp;"_DWG.pdf")</f>
        <v/>
      </c>
      <c r="AF212" s="10" t="str">
        <f aca="false">IF(A212="","",IF(AB212="Y",A212&amp;"_STAAD.std","n/a"))</f>
        <v/>
      </c>
      <c r="AG212" s="10" t="str">
        <f aca="false">IF(A212="","",A212&amp;"_CALC.xlsx")</f>
        <v/>
      </c>
      <c r="AH212" s="10" t="str">
        <f aca="false">IF(A212="","",A212&amp;"_CALC.pdf")</f>
        <v/>
      </c>
      <c r="AI212" s="9"/>
      <c r="AJ212" s="9"/>
      <c r="AK212" s="41"/>
      <c r="AL212" s="41"/>
      <c r="AM212" s="41"/>
      <c r="AN212" s="41"/>
      <c r="AO212" s="41"/>
      <c r="AP212" s="38" t="str">
        <f aca="false">IF(OR(C212="",E212=""),"",IF(E212&lt;=IF(C212="Soldier Pile &amp; Timber Lagging",SG_Criteria!$B$34,SG_Criteria!$B$33),"No ERSS submission",IF(E212&lt;=SG_Criteria!$B$35,"QP(ST)",IF(E212&lt;=SG_Criteria!$B$36,"QP(ST) + AC","Geotechnical building works: QP(Geo) + AC"))))</f>
        <v/>
      </c>
      <c r="AQ212" s="38" t="str">
        <f aca="false">IF(C212="","",IF(LEN(IF(AND(U212&lt;&gt;"",IFERROR(VALUE(MID(U212,2,2)),0)&lt;SG_Criteria!$B$19),"FAIL: grade below C"&amp;SG_Criteria!$B$19&amp;". ","")&amp;IF(AND(LEFT(C212,3)="Con",N(H212)&lt;E212,G212="Kallang Formation (marine clay)"),"NOTE: CBP is not watertight below GWT in marine clay; consider secant / grouting. ","")&amp;IF(AND(C212="Steel Sheet Pile",D212="Permanent"),"NOTE: permanent sheet pile needs corrosion allowance. ","")&amp;IF(AND(F212="Cantilever (no support)",E212&gt;6),"NOTE: cantilever embedded wall &gt; 6 m, check deflection. ","")&amp;IF(AND(S212&lt;&gt;"",T212&lt;&gt;"",S212&gt;T212),"FAIL: deflection exceeds allowable. ",""))=0,"OK",IF(AND(U212&lt;&gt;"",IFERROR(VALUE(MID(U212,2,2)),0)&lt;SG_Criteria!$B$19),"FAIL: grade below C"&amp;SG_Criteria!$B$19&amp;". ","")&amp;IF(AND(LEFT(C212,3)="Con",N(H212)&lt;E212,G212="Kallang Formation (marine clay)"),"NOTE: CBP is not watertight below GWT in marine clay; consider secant / grouting. ","")&amp;IF(AND(C212="Steel Sheet Pile",D212="Permanent"),"NOTE: permanent sheet pile needs corrosion allowance. ","")&amp;IF(AND(F212="Cantilever (no support)",E212&gt;6),"NOTE: cantilever embedded wall &gt; 6 m, check deflection. ","")&amp;IF(AND(S212&lt;&gt;"",T212&lt;&gt;"",S212&gt;T212),"FAIL: deflection exceeds allowable. ","")))</f>
        <v/>
      </c>
      <c r="AR212" s="9"/>
      <c r="AS212" s="9"/>
      <c r="AT212" s="9"/>
      <c r="AU212" s="9"/>
      <c r="AV212" s="9"/>
      <c r="AW212" s="31"/>
      <c r="AX212" s="10" t="str">
        <f aca="false">IF(C212="","",IF(AND(Y212="Approved",ISERROR(SEARCH("FAIL",AQ212))),"Y","N"))</f>
        <v/>
      </c>
      <c r="AY212" s="10" t="str">
        <f aca="false">IF(C212="","",C212&amp;"|"&amp;E212&amp;"|"&amp;F212&amp;"|"&amp;G212&amp;"|"&amp;D212&amp;"|"&amp;AX212)</f>
        <v/>
      </c>
    </row>
    <row r="213" customFormat="false" ht="15" hidden="false" customHeight="false" outlineLevel="0" collapsed="false">
      <c r="A213" s="10" t="str">
        <f aca="false">IF(C213="","","EW-"&amp;IFERROR(VLOOKUP(C213,Lists!$P$4:$Q$22,2,0),"??")&amp;"-D"&amp;TEXT(E213*1000,"0000")&amp;"-"&amp;IFERROR(VLOOKUP(F213,Lists!$S$4:$T$21,2,0),"??")&amp;"-"&amp;IFERROR(VLOOKUP(G213,Lists!$Y$4:$Z$21,2,0),"??")&amp;"-"&amp;IFERROR(VLOOKUP(D213,Lists!$V$4:$W$16,2,0),"??")&amp;"-"&amp;X213)</f>
        <v/>
      </c>
      <c r="B213" s="10" t="str">
        <f aca="false">IF(C213="","",D213&amp;" "&amp;C213&amp;", excavation "&amp;TEXT(E213,"0.0")&amp;" m, "&amp;F213&amp;", "&amp;G213&amp;", "&amp;J213)</f>
        <v/>
      </c>
      <c r="C213" s="9"/>
      <c r="D213" s="9"/>
      <c r="E213" s="43"/>
      <c r="F213" s="9"/>
      <c r="G213" s="9"/>
      <c r="H213" s="43"/>
      <c r="I213" s="40"/>
      <c r="J213" s="9"/>
      <c r="K213" s="9"/>
      <c r="L213" s="9"/>
      <c r="M213" s="43"/>
      <c r="N213" s="43"/>
      <c r="O213" s="9"/>
      <c r="P213" s="9"/>
      <c r="Q213" s="9"/>
      <c r="R213" s="9"/>
      <c r="S213" s="40"/>
      <c r="T213" s="40"/>
      <c r="U213" s="9"/>
      <c r="V213" s="9"/>
      <c r="W213" s="9"/>
      <c r="X213" s="9"/>
      <c r="Y213" s="9"/>
      <c r="Z213" s="9"/>
      <c r="AA213" s="9"/>
      <c r="AB213" s="9"/>
      <c r="AC213" s="10" t="str">
        <f aca="false">IF(A213="","",SG_Criteria!$B$6&amp;SG_Criteria!$B$9&amp;"\"&amp;A213&amp;"\")</f>
        <v/>
      </c>
      <c r="AD213" s="10" t="str">
        <f aca="false">IF(A213="","",A213&amp;"_CAD.dwg")</f>
        <v/>
      </c>
      <c r="AE213" s="10" t="str">
        <f aca="false">IF(A213="","",A213&amp;"_DWG.pdf")</f>
        <v/>
      </c>
      <c r="AF213" s="10" t="str">
        <f aca="false">IF(A213="","",IF(AB213="Y",A213&amp;"_STAAD.std","n/a"))</f>
        <v/>
      </c>
      <c r="AG213" s="10" t="str">
        <f aca="false">IF(A213="","",A213&amp;"_CALC.xlsx")</f>
        <v/>
      </c>
      <c r="AH213" s="10" t="str">
        <f aca="false">IF(A213="","",A213&amp;"_CALC.pdf")</f>
        <v/>
      </c>
      <c r="AI213" s="9"/>
      <c r="AJ213" s="9"/>
      <c r="AK213" s="41"/>
      <c r="AL213" s="41"/>
      <c r="AM213" s="41"/>
      <c r="AN213" s="41"/>
      <c r="AO213" s="41"/>
      <c r="AP213" s="38" t="str">
        <f aca="false">IF(OR(C213="",E213=""),"",IF(E213&lt;=IF(C213="Soldier Pile &amp; Timber Lagging",SG_Criteria!$B$34,SG_Criteria!$B$33),"No ERSS submission",IF(E213&lt;=SG_Criteria!$B$35,"QP(ST)",IF(E213&lt;=SG_Criteria!$B$36,"QP(ST) + AC","Geotechnical building works: QP(Geo) + AC"))))</f>
        <v/>
      </c>
      <c r="AQ213" s="38" t="str">
        <f aca="false">IF(C213="","",IF(LEN(IF(AND(U213&lt;&gt;"",IFERROR(VALUE(MID(U213,2,2)),0)&lt;SG_Criteria!$B$19),"FAIL: grade below C"&amp;SG_Criteria!$B$19&amp;". ","")&amp;IF(AND(LEFT(C213,3)="Con",N(H213)&lt;E213,G213="Kallang Formation (marine clay)"),"NOTE: CBP is not watertight below GWT in marine clay; consider secant / grouting. ","")&amp;IF(AND(C213="Steel Sheet Pile",D213="Permanent"),"NOTE: permanent sheet pile needs corrosion allowance. ","")&amp;IF(AND(F213="Cantilever (no support)",E213&gt;6),"NOTE: cantilever embedded wall &gt; 6 m, check deflection. ","")&amp;IF(AND(S213&lt;&gt;"",T213&lt;&gt;"",S213&gt;T213),"FAIL: deflection exceeds allowable. ",""))=0,"OK",IF(AND(U213&lt;&gt;"",IFERROR(VALUE(MID(U213,2,2)),0)&lt;SG_Criteria!$B$19),"FAIL: grade below C"&amp;SG_Criteria!$B$19&amp;". ","")&amp;IF(AND(LEFT(C213,3)="Con",N(H213)&lt;E213,G213="Kallang Formation (marine clay)"),"NOTE: CBP is not watertight below GWT in marine clay; consider secant / grouting. ","")&amp;IF(AND(C213="Steel Sheet Pile",D213="Permanent"),"NOTE: permanent sheet pile needs corrosion allowance. ","")&amp;IF(AND(F213="Cantilever (no support)",E213&gt;6),"NOTE: cantilever embedded wall &gt; 6 m, check deflection. ","")&amp;IF(AND(S213&lt;&gt;"",T213&lt;&gt;"",S213&gt;T213),"FAIL: deflection exceeds allowable. ","")))</f>
        <v/>
      </c>
      <c r="AR213" s="9"/>
      <c r="AS213" s="9"/>
      <c r="AT213" s="9"/>
      <c r="AU213" s="9"/>
      <c r="AV213" s="9"/>
      <c r="AW213" s="31"/>
      <c r="AX213" s="10" t="str">
        <f aca="false">IF(C213="","",IF(AND(Y213="Approved",ISERROR(SEARCH("FAIL",AQ213))),"Y","N"))</f>
        <v/>
      </c>
      <c r="AY213" s="10" t="str">
        <f aca="false">IF(C213="","",C213&amp;"|"&amp;E213&amp;"|"&amp;F213&amp;"|"&amp;G213&amp;"|"&amp;D213&amp;"|"&amp;AX213)</f>
        <v/>
      </c>
    </row>
    <row r="214" customFormat="false" ht="15" hidden="false" customHeight="false" outlineLevel="0" collapsed="false">
      <c r="A214" s="10" t="str">
        <f aca="false">IF(C214="","","EW-"&amp;IFERROR(VLOOKUP(C214,Lists!$P$4:$Q$22,2,0),"??")&amp;"-D"&amp;TEXT(E214*1000,"0000")&amp;"-"&amp;IFERROR(VLOOKUP(F214,Lists!$S$4:$T$21,2,0),"??")&amp;"-"&amp;IFERROR(VLOOKUP(G214,Lists!$Y$4:$Z$21,2,0),"??")&amp;"-"&amp;IFERROR(VLOOKUP(D214,Lists!$V$4:$W$16,2,0),"??")&amp;"-"&amp;X214)</f>
        <v/>
      </c>
      <c r="B214" s="10" t="str">
        <f aca="false">IF(C214="","",D214&amp;" "&amp;C214&amp;", excavation "&amp;TEXT(E214,"0.0")&amp;" m, "&amp;F214&amp;", "&amp;G214&amp;", "&amp;J214)</f>
        <v/>
      </c>
      <c r="C214" s="9"/>
      <c r="D214" s="9"/>
      <c r="E214" s="43"/>
      <c r="F214" s="9"/>
      <c r="G214" s="9"/>
      <c r="H214" s="43"/>
      <c r="I214" s="40"/>
      <c r="J214" s="9"/>
      <c r="K214" s="9"/>
      <c r="L214" s="9"/>
      <c r="M214" s="43"/>
      <c r="N214" s="43"/>
      <c r="O214" s="9"/>
      <c r="P214" s="9"/>
      <c r="Q214" s="9"/>
      <c r="R214" s="9"/>
      <c r="S214" s="40"/>
      <c r="T214" s="40"/>
      <c r="U214" s="9"/>
      <c r="V214" s="9"/>
      <c r="W214" s="9"/>
      <c r="X214" s="9"/>
      <c r="Y214" s="9"/>
      <c r="Z214" s="9"/>
      <c r="AA214" s="9"/>
      <c r="AB214" s="9"/>
      <c r="AC214" s="10" t="str">
        <f aca="false">IF(A214="","",SG_Criteria!$B$6&amp;SG_Criteria!$B$9&amp;"\"&amp;A214&amp;"\")</f>
        <v/>
      </c>
      <c r="AD214" s="10" t="str">
        <f aca="false">IF(A214="","",A214&amp;"_CAD.dwg")</f>
        <v/>
      </c>
      <c r="AE214" s="10" t="str">
        <f aca="false">IF(A214="","",A214&amp;"_DWG.pdf")</f>
        <v/>
      </c>
      <c r="AF214" s="10" t="str">
        <f aca="false">IF(A214="","",IF(AB214="Y",A214&amp;"_STAAD.std","n/a"))</f>
        <v/>
      </c>
      <c r="AG214" s="10" t="str">
        <f aca="false">IF(A214="","",A214&amp;"_CALC.xlsx")</f>
        <v/>
      </c>
      <c r="AH214" s="10" t="str">
        <f aca="false">IF(A214="","",A214&amp;"_CALC.pdf")</f>
        <v/>
      </c>
      <c r="AI214" s="9"/>
      <c r="AJ214" s="9"/>
      <c r="AK214" s="41"/>
      <c r="AL214" s="41"/>
      <c r="AM214" s="41"/>
      <c r="AN214" s="41"/>
      <c r="AO214" s="41"/>
      <c r="AP214" s="38" t="str">
        <f aca="false">IF(OR(C214="",E214=""),"",IF(E214&lt;=IF(C214="Soldier Pile &amp; Timber Lagging",SG_Criteria!$B$34,SG_Criteria!$B$33),"No ERSS submission",IF(E214&lt;=SG_Criteria!$B$35,"QP(ST)",IF(E214&lt;=SG_Criteria!$B$36,"QP(ST) + AC","Geotechnical building works: QP(Geo) + AC"))))</f>
        <v/>
      </c>
      <c r="AQ214" s="38" t="str">
        <f aca="false">IF(C214="","",IF(LEN(IF(AND(U214&lt;&gt;"",IFERROR(VALUE(MID(U214,2,2)),0)&lt;SG_Criteria!$B$19),"FAIL: grade below C"&amp;SG_Criteria!$B$19&amp;". ","")&amp;IF(AND(LEFT(C214,3)="Con",N(H214)&lt;E214,G214="Kallang Formation (marine clay)"),"NOTE: CBP is not watertight below GWT in marine clay; consider secant / grouting. ","")&amp;IF(AND(C214="Steel Sheet Pile",D214="Permanent"),"NOTE: permanent sheet pile needs corrosion allowance. ","")&amp;IF(AND(F214="Cantilever (no support)",E214&gt;6),"NOTE: cantilever embedded wall &gt; 6 m, check deflection. ","")&amp;IF(AND(S214&lt;&gt;"",T214&lt;&gt;"",S214&gt;T214),"FAIL: deflection exceeds allowable. ",""))=0,"OK",IF(AND(U214&lt;&gt;"",IFERROR(VALUE(MID(U214,2,2)),0)&lt;SG_Criteria!$B$19),"FAIL: grade below C"&amp;SG_Criteria!$B$19&amp;". ","")&amp;IF(AND(LEFT(C214,3)="Con",N(H214)&lt;E214,G214="Kallang Formation (marine clay)"),"NOTE: CBP is not watertight below GWT in marine clay; consider secant / grouting. ","")&amp;IF(AND(C214="Steel Sheet Pile",D214="Permanent"),"NOTE: permanent sheet pile needs corrosion allowance. ","")&amp;IF(AND(F214="Cantilever (no support)",E214&gt;6),"NOTE: cantilever embedded wall &gt; 6 m, check deflection. ","")&amp;IF(AND(S214&lt;&gt;"",T214&lt;&gt;"",S214&gt;T214),"FAIL: deflection exceeds allowable. ","")))</f>
        <v/>
      </c>
      <c r="AR214" s="9"/>
      <c r="AS214" s="9"/>
      <c r="AT214" s="9"/>
      <c r="AU214" s="9"/>
      <c r="AV214" s="9"/>
      <c r="AW214" s="31"/>
      <c r="AX214" s="10" t="str">
        <f aca="false">IF(C214="","",IF(AND(Y214="Approved",ISERROR(SEARCH("FAIL",AQ214))),"Y","N"))</f>
        <v/>
      </c>
      <c r="AY214" s="10" t="str">
        <f aca="false">IF(C214="","",C214&amp;"|"&amp;E214&amp;"|"&amp;F214&amp;"|"&amp;G214&amp;"|"&amp;D214&amp;"|"&amp;AX214)</f>
        <v/>
      </c>
    </row>
    <row r="215" customFormat="false" ht="15" hidden="false" customHeight="false" outlineLevel="0" collapsed="false">
      <c r="A215" s="10" t="str">
        <f aca="false">IF(C215="","","EW-"&amp;IFERROR(VLOOKUP(C215,Lists!$P$4:$Q$22,2,0),"??")&amp;"-D"&amp;TEXT(E215*1000,"0000")&amp;"-"&amp;IFERROR(VLOOKUP(F215,Lists!$S$4:$T$21,2,0),"??")&amp;"-"&amp;IFERROR(VLOOKUP(G215,Lists!$Y$4:$Z$21,2,0),"??")&amp;"-"&amp;IFERROR(VLOOKUP(D215,Lists!$V$4:$W$16,2,0),"??")&amp;"-"&amp;X215)</f>
        <v/>
      </c>
      <c r="B215" s="10" t="str">
        <f aca="false">IF(C215="","",D215&amp;" "&amp;C215&amp;", excavation "&amp;TEXT(E215,"0.0")&amp;" m, "&amp;F215&amp;", "&amp;G215&amp;", "&amp;J215)</f>
        <v/>
      </c>
      <c r="C215" s="9"/>
      <c r="D215" s="9"/>
      <c r="E215" s="43"/>
      <c r="F215" s="9"/>
      <c r="G215" s="9"/>
      <c r="H215" s="43"/>
      <c r="I215" s="40"/>
      <c r="J215" s="9"/>
      <c r="K215" s="9"/>
      <c r="L215" s="9"/>
      <c r="M215" s="43"/>
      <c r="N215" s="43"/>
      <c r="O215" s="9"/>
      <c r="P215" s="9"/>
      <c r="Q215" s="9"/>
      <c r="R215" s="9"/>
      <c r="S215" s="40"/>
      <c r="T215" s="40"/>
      <c r="U215" s="9"/>
      <c r="V215" s="9"/>
      <c r="W215" s="9"/>
      <c r="X215" s="9"/>
      <c r="Y215" s="9"/>
      <c r="Z215" s="9"/>
      <c r="AA215" s="9"/>
      <c r="AB215" s="9"/>
      <c r="AC215" s="10" t="str">
        <f aca="false">IF(A215="","",SG_Criteria!$B$6&amp;SG_Criteria!$B$9&amp;"\"&amp;A215&amp;"\")</f>
        <v/>
      </c>
      <c r="AD215" s="10" t="str">
        <f aca="false">IF(A215="","",A215&amp;"_CAD.dwg")</f>
        <v/>
      </c>
      <c r="AE215" s="10" t="str">
        <f aca="false">IF(A215="","",A215&amp;"_DWG.pdf")</f>
        <v/>
      </c>
      <c r="AF215" s="10" t="str">
        <f aca="false">IF(A215="","",IF(AB215="Y",A215&amp;"_STAAD.std","n/a"))</f>
        <v/>
      </c>
      <c r="AG215" s="10" t="str">
        <f aca="false">IF(A215="","",A215&amp;"_CALC.xlsx")</f>
        <v/>
      </c>
      <c r="AH215" s="10" t="str">
        <f aca="false">IF(A215="","",A215&amp;"_CALC.pdf")</f>
        <v/>
      </c>
      <c r="AI215" s="9"/>
      <c r="AJ215" s="9"/>
      <c r="AK215" s="41"/>
      <c r="AL215" s="41"/>
      <c r="AM215" s="41"/>
      <c r="AN215" s="41"/>
      <c r="AO215" s="41"/>
      <c r="AP215" s="38" t="str">
        <f aca="false">IF(OR(C215="",E215=""),"",IF(E215&lt;=IF(C215="Soldier Pile &amp; Timber Lagging",SG_Criteria!$B$34,SG_Criteria!$B$33),"No ERSS submission",IF(E215&lt;=SG_Criteria!$B$35,"QP(ST)",IF(E215&lt;=SG_Criteria!$B$36,"QP(ST) + AC","Geotechnical building works: QP(Geo) + AC"))))</f>
        <v/>
      </c>
      <c r="AQ215" s="38" t="str">
        <f aca="false">IF(C215="","",IF(LEN(IF(AND(U215&lt;&gt;"",IFERROR(VALUE(MID(U215,2,2)),0)&lt;SG_Criteria!$B$19),"FAIL: grade below C"&amp;SG_Criteria!$B$19&amp;". ","")&amp;IF(AND(LEFT(C215,3)="Con",N(H215)&lt;E215,G215="Kallang Formation (marine clay)"),"NOTE: CBP is not watertight below GWT in marine clay; consider secant / grouting. ","")&amp;IF(AND(C215="Steel Sheet Pile",D215="Permanent"),"NOTE: permanent sheet pile needs corrosion allowance. ","")&amp;IF(AND(F215="Cantilever (no support)",E215&gt;6),"NOTE: cantilever embedded wall &gt; 6 m, check deflection. ","")&amp;IF(AND(S215&lt;&gt;"",T215&lt;&gt;"",S215&gt;T215),"FAIL: deflection exceeds allowable. ",""))=0,"OK",IF(AND(U215&lt;&gt;"",IFERROR(VALUE(MID(U215,2,2)),0)&lt;SG_Criteria!$B$19),"FAIL: grade below C"&amp;SG_Criteria!$B$19&amp;". ","")&amp;IF(AND(LEFT(C215,3)="Con",N(H215)&lt;E215,G215="Kallang Formation (marine clay)"),"NOTE: CBP is not watertight below GWT in marine clay; consider secant / grouting. ","")&amp;IF(AND(C215="Steel Sheet Pile",D215="Permanent"),"NOTE: permanent sheet pile needs corrosion allowance. ","")&amp;IF(AND(F215="Cantilever (no support)",E215&gt;6),"NOTE: cantilever embedded wall &gt; 6 m, check deflection. ","")&amp;IF(AND(S215&lt;&gt;"",T215&lt;&gt;"",S215&gt;T215),"FAIL: deflection exceeds allowable. ","")))</f>
        <v/>
      </c>
      <c r="AR215" s="9"/>
      <c r="AS215" s="9"/>
      <c r="AT215" s="9"/>
      <c r="AU215" s="9"/>
      <c r="AV215" s="9"/>
      <c r="AW215" s="31"/>
      <c r="AX215" s="10" t="str">
        <f aca="false">IF(C215="","",IF(AND(Y215="Approved",ISERROR(SEARCH("FAIL",AQ215))),"Y","N"))</f>
        <v/>
      </c>
      <c r="AY215" s="10" t="str">
        <f aca="false">IF(C215="","",C215&amp;"|"&amp;E215&amp;"|"&amp;F215&amp;"|"&amp;G215&amp;"|"&amp;D215&amp;"|"&amp;AX215)</f>
        <v/>
      </c>
    </row>
    <row r="216" customFormat="false" ht="15" hidden="false" customHeight="false" outlineLevel="0" collapsed="false">
      <c r="A216" s="10" t="str">
        <f aca="false">IF(C216="","","EW-"&amp;IFERROR(VLOOKUP(C216,Lists!$P$4:$Q$22,2,0),"??")&amp;"-D"&amp;TEXT(E216*1000,"0000")&amp;"-"&amp;IFERROR(VLOOKUP(F216,Lists!$S$4:$T$21,2,0),"??")&amp;"-"&amp;IFERROR(VLOOKUP(G216,Lists!$Y$4:$Z$21,2,0),"??")&amp;"-"&amp;IFERROR(VLOOKUP(D216,Lists!$V$4:$W$16,2,0),"??")&amp;"-"&amp;X216)</f>
        <v/>
      </c>
      <c r="B216" s="10" t="str">
        <f aca="false">IF(C216="","",D216&amp;" "&amp;C216&amp;", excavation "&amp;TEXT(E216,"0.0")&amp;" m, "&amp;F216&amp;", "&amp;G216&amp;", "&amp;J216)</f>
        <v/>
      </c>
      <c r="C216" s="9"/>
      <c r="D216" s="9"/>
      <c r="E216" s="43"/>
      <c r="F216" s="9"/>
      <c r="G216" s="9"/>
      <c r="H216" s="43"/>
      <c r="I216" s="40"/>
      <c r="J216" s="9"/>
      <c r="K216" s="9"/>
      <c r="L216" s="9"/>
      <c r="M216" s="43"/>
      <c r="N216" s="43"/>
      <c r="O216" s="9"/>
      <c r="P216" s="9"/>
      <c r="Q216" s="9"/>
      <c r="R216" s="9"/>
      <c r="S216" s="40"/>
      <c r="T216" s="40"/>
      <c r="U216" s="9"/>
      <c r="V216" s="9"/>
      <c r="W216" s="9"/>
      <c r="X216" s="9"/>
      <c r="Y216" s="9"/>
      <c r="Z216" s="9"/>
      <c r="AA216" s="9"/>
      <c r="AB216" s="9"/>
      <c r="AC216" s="10" t="str">
        <f aca="false">IF(A216="","",SG_Criteria!$B$6&amp;SG_Criteria!$B$9&amp;"\"&amp;A216&amp;"\")</f>
        <v/>
      </c>
      <c r="AD216" s="10" t="str">
        <f aca="false">IF(A216="","",A216&amp;"_CAD.dwg")</f>
        <v/>
      </c>
      <c r="AE216" s="10" t="str">
        <f aca="false">IF(A216="","",A216&amp;"_DWG.pdf")</f>
        <v/>
      </c>
      <c r="AF216" s="10" t="str">
        <f aca="false">IF(A216="","",IF(AB216="Y",A216&amp;"_STAAD.std","n/a"))</f>
        <v/>
      </c>
      <c r="AG216" s="10" t="str">
        <f aca="false">IF(A216="","",A216&amp;"_CALC.xlsx")</f>
        <v/>
      </c>
      <c r="AH216" s="10" t="str">
        <f aca="false">IF(A216="","",A216&amp;"_CALC.pdf")</f>
        <v/>
      </c>
      <c r="AI216" s="9"/>
      <c r="AJ216" s="9"/>
      <c r="AK216" s="41"/>
      <c r="AL216" s="41"/>
      <c r="AM216" s="41"/>
      <c r="AN216" s="41"/>
      <c r="AO216" s="41"/>
      <c r="AP216" s="38" t="str">
        <f aca="false">IF(OR(C216="",E216=""),"",IF(E216&lt;=IF(C216="Soldier Pile &amp; Timber Lagging",SG_Criteria!$B$34,SG_Criteria!$B$33),"No ERSS submission",IF(E216&lt;=SG_Criteria!$B$35,"QP(ST)",IF(E216&lt;=SG_Criteria!$B$36,"QP(ST) + AC","Geotechnical building works: QP(Geo) + AC"))))</f>
        <v/>
      </c>
      <c r="AQ216" s="38" t="str">
        <f aca="false">IF(C216="","",IF(LEN(IF(AND(U216&lt;&gt;"",IFERROR(VALUE(MID(U216,2,2)),0)&lt;SG_Criteria!$B$19),"FAIL: grade below C"&amp;SG_Criteria!$B$19&amp;". ","")&amp;IF(AND(LEFT(C216,3)="Con",N(H216)&lt;E216,G216="Kallang Formation (marine clay)"),"NOTE: CBP is not watertight below GWT in marine clay; consider secant / grouting. ","")&amp;IF(AND(C216="Steel Sheet Pile",D216="Permanent"),"NOTE: permanent sheet pile needs corrosion allowance. ","")&amp;IF(AND(F216="Cantilever (no support)",E216&gt;6),"NOTE: cantilever embedded wall &gt; 6 m, check deflection. ","")&amp;IF(AND(S216&lt;&gt;"",T216&lt;&gt;"",S216&gt;T216),"FAIL: deflection exceeds allowable. ",""))=0,"OK",IF(AND(U216&lt;&gt;"",IFERROR(VALUE(MID(U216,2,2)),0)&lt;SG_Criteria!$B$19),"FAIL: grade below C"&amp;SG_Criteria!$B$19&amp;". ","")&amp;IF(AND(LEFT(C216,3)="Con",N(H216)&lt;E216,G216="Kallang Formation (marine clay)"),"NOTE: CBP is not watertight below GWT in marine clay; consider secant / grouting. ","")&amp;IF(AND(C216="Steel Sheet Pile",D216="Permanent"),"NOTE: permanent sheet pile needs corrosion allowance. ","")&amp;IF(AND(F216="Cantilever (no support)",E216&gt;6),"NOTE: cantilever embedded wall &gt; 6 m, check deflection. ","")&amp;IF(AND(S216&lt;&gt;"",T216&lt;&gt;"",S216&gt;T216),"FAIL: deflection exceeds allowable. ","")))</f>
        <v/>
      </c>
      <c r="AR216" s="9"/>
      <c r="AS216" s="9"/>
      <c r="AT216" s="9"/>
      <c r="AU216" s="9"/>
      <c r="AV216" s="9"/>
      <c r="AW216" s="31"/>
      <c r="AX216" s="10" t="str">
        <f aca="false">IF(C216="","",IF(AND(Y216="Approved",ISERROR(SEARCH("FAIL",AQ216))),"Y","N"))</f>
        <v/>
      </c>
      <c r="AY216" s="10" t="str">
        <f aca="false">IF(C216="","",C216&amp;"|"&amp;E216&amp;"|"&amp;F216&amp;"|"&amp;G216&amp;"|"&amp;D216&amp;"|"&amp;AX216)</f>
        <v/>
      </c>
    </row>
    <row r="217" customFormat="false" ht="15" hidden="false" customHeight="false" outlineLevel="0" collapsed="false">
      <c r="A217" s="10" t="str">
        <f aca="false">IF(C217="","","EW-"&amp;IFERROR(VLOOKUP(C217,Lists!$P$4:$Q$22,2,0),"??")&amp;"-D"&amp;TEXT(E217*1000,"0000")&amp;"-"&amp;IFERROR(VLOOKUP(F217,Lists!$S$4:$T$21,2,0),"??")&amp;"-"&amp;IFERROR(VLOOKUP(G217,Lists!$Y$4:$Z$21,2,0),"??")&amp;"-"&amp;IFERROR(VLOOKUP(D217,Lists!$V$4:$W$16,2,0),"??")&amp;"-"&amp;X217)</f>
        <v/>
      </c>
      <c r="B217" s="10" t="str">
        <f aca="false">IF(C217="","",D217&amp;" "&amp;C217&amp;", excavation "&amp;TEXT(E217,"0.0")&amp;" m, "&amp;F217&amp;", "&amp;G217&amp;", "&amp;J217)</f>
        <v/>
      </c>
      <c r="C217" s="9"/>
      <c r="D217" s="9"/>
      <c r="E217" s="43"/>
      <c r="F217" s="9"/>
      <c r="G217" s="9"/>
      <c r="H217" s="43"/>
      <c r="I217" s="40"/>
      <c r="J217" s="9"/>
      <c r="K217" s="9"/>
      <c r="L217" s="9"/>
      <c r="M217" s="43"/>
      <c r="N217" s="43"/>
      <c r="O217" s="9"/>
      <c r="P217" s="9"/>
      <c r="Q217" s="9"/>
      <c r="R217" s="9"/>
      <c r="S217" s="40"/>
      <c r="T217" s="40"/>
      <c r="U217" s="9"/>
      <c r="V217" s="9"/>
      <c r="W217" s="9"/>
      <c r="X217" s="9"/>
      <c r="Y217" s="9"/>
      <c r="Z217" s="9"/>
      <c r="AA217" s="9"/>
      <c r="AB217" s="9"/>
      <c r="AC217" s="10" t="str">
        <f aca="false">IF(A217="","",SG_Criteria!$B$6&amp;SG_Criteria!$B$9&amp;"\"&amp;A217&amp;"\")</f>
        <v/>
      </c>
      <c r="AD217" s="10" t="str">
        <f aca="false">IF(A217="","",A217&amp;"_CAD.dwg")</f>
        <v/>
      </c>
      <c r="AE217" s="10" t="str">
        <f aca="false">IF(A217="","",A217&amp;"_DWG.pdf")</f>
        <v/>
      </c>
      <c r="AF217" s="10" t="str">
        <f aca="false">IF(A217="","",IF(AB217="Y",A217&amp;"_STAAD.std","n/a"))</f>
        <v/>
      </c>
      <c r="AG217" s="10" t="str">
        <f aca="false">IF(A217="","",A217&amp;"_CALC.xlsx")</f>
        <v/>
      </c>
      <c r="AH217" s="10" t="str">
        <f aca="false">IF(A217="","",A217&amp;"_CALC.pdf")</f>
        <v/>
      </c>
      <c r="AI217" s="9"/>
      <c r="AJ217" s="9"/>
      <c r="AK217" s="41"/>
      <c r="AL217" s="41"/>
      <c r="AM217" s="41"/>
      <c r="AN217" s="41"/>
      <c r="AO217" s="41"/>
      <c r="AP217" s="38" t="str">
        <f aca="false">IF(OR(C217="",E217=""),"",IF(E217&lt;=IF(C217="Soldier Pile &amp; Timber Lagging",SG_Criteria!$B$34,SG_Criteria!$B$33),"No ERSS submission",IF(E217&lt;=SG_Criteria!$B$35,"QP(ST)",IF(E217&lt;=SG_Criteria!$B$36,"QP(ST) + AC","Geotechnical building works: QP(Geo) + AC"))))</f>
        <v/>
      </c>
      <c r="AQ217" s="38" t="str">
        <f aca="false">IF(C217="","",IF(LEN(IF(AND(U217&lt;&gt;"",IFERROR(VALUE(MID(U217,2,2)),0)&lt;SG_Criteria!$B$19),"FAIL: grade below C"&amp;SG_Criteria!$B$19&amp;". ","")&amp;IF(AND(LEFT(C217,3)="Con",N(H217)&lt;E217,G217="Kallang Formation (marine clay)"),"NOTE: CBP is not watertight below GWT in marine clay; consider secant / grouting. ","")&amp;IF(AND(C217="Steel Sheet Pile",D217="Permanent"),"NOTE: permanent sheet pile needs corrosion allowance. ","")&amp;IF(AND(F217="Cantilever (no support)",E217&gt;6),"NOTE: cantilever embedded wall &gt; 6 m, check deflection. ","")&amp;IF(AND(S217&lt;&gt;"",T217&lt;&gt;"",S217&gt;T217),"FAIL: deflection exceeds allowable. ",""))=0,"OK",IF(AND(U217&lt;&gt;"",IFERROR(VALUE(MID(U217,2,2)),0)&lt;SG_Criteria!$B$19),"FAIL: grade below C"&amp;SG_Criteria!$B$19&amp;". ","")&amp;IF(AND(LEFT(C217,3)="Con",N(H217)&lt;E217,G217="Kallang Formation (marine clay)"),"NOTE: CBP is not watertight below GWT in marine clay; consider secant / grouting. ","")&amp;IF(AND(C217="Steel Sheet Pile",D217="Permanent"),"NOTE: permanent sheet pile needs corrosion allowance. ","")&amp;IF(AND(F217="Cantilever (no support)",E217&gt;6),"NOTE: cantilever embedded wall &gt; 6 m, check deflection. ","")&amp;IF(AND(S217&lt;&gt;"",T217&lt;&gt;"",S217&gt;T217),"FAIL: deflection exceeds allowable. ","")))</f>
        <v/>
      </c>
      <c r="AR217" s="9"/>
      <c r="AS217" s="9"/>
      <c r="AT217" s="9"/>
      <c r="AU217" s="9"/>
      <c r="AV217" s="9"/>
      <c r="AW217" s="31"/>
      <c r="AX217" s="10" t="str">
        <f aca="false">IF(C217="","",IF(AND(Y217="Approved",ISERROR(SEARCH("FAIL",AQ217))),"Y","N"))</f>
        <v/>
      </c>
      <c r="AY217" s="10" t="str">
        <f aca="false">IF(C217="","",C217&amp;"|"&amp;E217&amp;"|"&amp;F217&amp;"|"&amp;G217&amp;"|"&amp;D217&amp;"|"&amp;AX217)</f>
        <v/>
      </c>
    </row>
    <row r="218" customFormat="false" ht="15" hidden="false" customHeight="false" outlineLevel="0" collapsed="false">
      <c r="A218" s="10" t="str">
        <f aca="false">IF(C218="","","EW-"&amp;IFERROR(VLOOKUP(C218,Lists!$P$4:$Q$22,2,0),"??")&amp;"-D"&amp;TEXT(E218*1000,"0000")&amp;"-"&amp;IFERROR(VLOOKUP(F218,Lists!$S$4:$T$21,2,0),"??")&amp;"-"&amp;IFERROR(VLOOKUP(G218,Lists!$Y$4:$Z$21,2,0),"??")&amp;"-"&amp;IFERROR(VLOOKUP(D218,Lists!$V$4:$W$16,2,0),"??")&amp;"-"&amp;X218)</f>
        <v/>
      </c>
      <c r="B218" s="10" t="str">
        <f aca="false">IF(C218="","",D218&amp;" "&amp;C218&amp;", excavation "&amp;TEXT(E218,"0.0")&amp;" m, "&amp;F218&amp;", "&amp;G218&amp;", "&amp;J218)</f>
        <v/>
      </c>
      <c r="C218" s="9"/>
      <c r="D218" s="9"/>
      <c r="E218" s="43"/>
      <c r="F218" s="9"/>
      <c r="G218" s="9"/>
      <c r="H218" s="43"/>
      <c r="I218" s="40"/>
      <c r="J218" s="9"/>
      <c r="K218" s="9"/>
      <c r="L218" s="9"/>
      <c r="M218" s="43"/>
      <c r="N218" s="43"/>
      <c r="O218" s="9"/>
      <c r="P218" s="9"/>
      <c r="Q218" s="9"/>
      <c r="R218" s="9"/>
      <c r="S218" s="40"/>
      <c r="T218" s="40"/>
      <c r="U218" s="9"/>
      <c r="V218" s="9"/>
      <c r="W218" s="9"/>
      <c r="X218" s="9"/>
      <c r="Y218" s="9"/>
      <c r="Z218" s="9"/>
      <c r="AA218" s="9"/>
      <c r="AB218" s="9"/>
      <c r="AC218" s="10" t="str">
        <f aca="false">IF(A218="","",SG_Criteria!$B$6&amp;SG_Criteria!$B$9&amp;"\"&amp;A218&amp;"\")</f>
        <v/>
      </c>
      <c r="AD218" s="10" t="str">
        <f aca="false">IF(A218="","",A218&amp;"_CAD.dwg")</f>
        <v/>
      </c>
      <c r="AE218" s="10" t="str">
        <f aca="false">IF(A218="","",A218&amp;"_DWG.pdf")</f>
        <v/>
      </c>
      <c r="AF218" s="10" t="str">
        <f aca="false">IF(A218="","",IF(AB218="Y",A218&amp;"_STAAD.std","n/a"))</f>
        <v/>
      </c>
      <c r="AG218" s="10" t="str">
        <f aca="false">IF(A218="","",A218&amp;"_CALC.xlsx")</f>
        <v/>
      </c>
      <c r="AH218" s="10" t="str">
        <f aca="false">IF(A218="","",A218&amp;"_CALC.pdf")</f>
        <v/>
      </c>
      <c r="AI218" s="9"/>
      <c r="AJ218" s="9"/>
      <c r="AK218" s="41"/>
      <c r="AL218" s="41"/>
      <c r="AM218" s="41"/>
      <c r="AN218" s="41"/>
      <c r="AO218" s="41"/>
      <c r="AP218" s="38" t="str">
        <f aca="false">IF(OR(C218="",E218=""),"",IF(E218&lt;=IF(C218="Soldier Pile &amp; Timber Lagging",SG_Criteria!$B$34,SG_Criteria!$B$33),"No ERSS submission",IF(E218&lt;=SG_Criteria!$B$35,"QP(ST)",IF(E218&lt;=SG_Criteria!$B$36,"QP(ST) + AC","Geotechnical building works: QP(Geo) + AC"))))</f>
        <v/>
      </c>
      <c r="AQ218" s="38" t="str">
        <f aca="false">IF(C218="","",IF(LEN(IF(AND(U218&lt;&gt;"",IFERROR(VALUE(MID(U218,2,2)),0)&lt;SG_Criteria!$B$19),"FAIL: grade below C"&amp;SG_Criteria!$B$19&amp;". ","")&amp;IF(AND(LEFT(C218,3)="Con",N(H218)&lt;E218,G218="Kallang Formation (marine clay)"),"NOTE: CBP is not watertight below GWT in marine clay; consider secant / grouting. ","")&amp;IF(AND(C218="Steel Sheet Pile",D218="Permanent"),"NOTE: permanent sheet pile needs corrosion allowance. ","")&amp;IF(AND(F218="Cantilever (no support)",E218&gt;6),"NOTE: cantilever embedded wall &gt; 6 m, check deflection. ","")&amp;IF(AND(S218&lt;&gt;"",T218&lt;&gt;"",S218&gt;T218),"FAIL: deflection exceeds allowable. ",""))=0,"OK",IF(AND(U218&lt;&gt;"",IFERROR(VALUE(MID(U218,2,2)),0)&lt;SG_Criteria!$B$19),"FAIL: grade below C"&amp;SG_Criteria!$B$19&amp;". ","")&amp;IF(AND(LEFT(C218,3)="Con",N(H218)&lt;E218,G218="Kallang Formation (marine clay)"),"NOTE: CBP is not watertight below GWT in marine clay; consider secant / grouting. ","")&amp;IF(AND(C218="Steel Sheet Pile",D218="Permanent"),"NOTE: permanent sheet pile needs corrosion allowance. ","")&amp;IF(AND(F218="Cantilever (no support)",E218&gt;6),"NOTE: cantilever embedded wall &gt; 6 m, check deflection. ","")&amp;IF(AND(S218&lt;&gt;"",T218&lt;&gt;"",S218&gt;T218),"FAIL: deflection exceeds allowable. ","")))</f>
        <v/>
      </c>
      <c r="AR218" s="9"/>
      <c r="AS218" s="9"/>
      <c r="AT218" s="9"/>
      <c r="AU218" s="9"/>
      <c r="AV218" s="9"/>
      <c r="AW218" s="31"/>
      <c r="AX218" s="10" t="str">
        <f aca="false">IF(C218="","",IF(AND(Y218="Approved",ISERROR(SEARCH("FAIL",AQ218))),"Y","N"))</f>
        <v/>
      </c>
      <c r="AY218" s="10" t="str">
        <f aca="false">IF(C218="","",C218&amp;"|"&amp;E218&amp;"|"&amp;F218&amp;"|"&amp;G218&amp;"|"&amp;D218&amp;"|"&amp;AX218)</f>
        <v/>
      </c>
    </row>
    <row r="219" customFormat="false" ht="15" hidden="false" customHeight="false" outlineLevel="0" collapsed="false">
      <c r="A219" s="10" t="str">
        <f aca="false">IF(C219="","","EW-"&amp;IFERROR(VLOOKUP(C219,Lists!$P$4:$Q$22,2,0),"??")&amp;"-D"&amp;TEXT(E219*1000,"0000")&amp;"-"&amp;IFERROR(VLOOKUP(F219,Lists!$S$4:$T$21,2,0),"??")&amp;"-"&amp;IFERROR(VLOOKUP(G219,Lists!$Y$4:$Z$21,2,0),"??")&amp;"-"&amp;IFERROR(VLOOKUP(D219,Lists!$V$4:$W$16,2,0),"??")&amp;"-"&amp;X219)</f>
        <v/>
      </c>
      <c r="B219" s="10" t="str">
        <f aca="false">IF(C219="","",D219&amp;" "&amp;C219&amp;", excavation "&amp;TEXT(E219,"0.0")&amp;" m, "&amp;F219&amp;", "&amp;G219&amp;", "&amp;J219)</f>
        <v/>
      </c>
      <c r="C219" s="9"/>
      <c r="D219" s="9"/>
      <c r="E219" s="43"/>
      <c r="F219" s="9"/>
      <c r="G219" s="9"/>
      <c r="H219" s="43"/>
      <c r="I219" s="40"/>
      <c r="J219" s="9"/>
      <c r="K219" s="9"/>
      <c r="L219" s="9"/>
      <c r="M219" s="43"/>
      <c r="N219" s="43"/>
      <c r="O219" s="9"/>
      <c r="P219" s="9"/>
      <c r="Q219" s="9"/>
      <c r="R219" s="9"/>
      <c r="S219" s="40"/>
      <c r="T219" s="40"/>
      <c r="U219" s="9"/>
      <c r="V219" s="9"/>
      <c r="W219" s="9"/>
      <c r="X219" s="9"/>
      <c r="Y219" s="9"/>
      <c r="Z219" s="9"/>
      <c r="AA219" s="9"/>
      <c r="AB219" s="9"/>
      <c r="AC219" s="10" t="str">
        <f aca="false">IF(A219="","",SG_Criteria!$B$6&amp;SG_Criteria!$B$9&amp;"\"&amp;A219&amp;"\")</f>
        <v/>
      </c>
      <c r="AD219" s="10" t="str">
        <f aca="false">IF(A219="","",A219&amp;"_CAD.dwg")</f>
        <v/>
      </c>
      <c r="AE219" s="10" t="str">
        <f aca="false">IF(A219="","",A219&amp;"_DWG.pdf")</f>
        <v/>
      </c>
      <c r="AF219" s="10" t="str">
        <f aca="false">IF(A219="","",IF(AB219="Y",A219&amp;"_STAAD.std","n/a"))</f>
        <v/>
      </c>
      <c r="AG219" s="10" t="str">
        <f aca="false">IF(A219="","",A219&amp;"_CALC.xlsx")</f>
        <v/>
      </c>
      <c r="AH219" s="10" t="str">
        <f aca="false">IF(A219="","",A219&amp;"_CALC.pdf")</f>
        <v/>
      </c>
      <c r="AI219" s="9"/>
      <c r="AJ219" s="9"/>
      <c r="AK219" s="41"/>
      <c r="AL219" s="41"/>
      <c r="AM219" s="41"/>
      <c r="AN219" s="41"/>
      <c r="AO219" s="41"/>
      <c r="AP219" s="38" t="str">
        <f aca="false">IF(OR(C219="",E219=""),"",IF(E219&lt;=IF(C219="Soldier Pile &amp; Timber Lagging",SG_Criteria!$B$34,SG_Criteria!$B$33),"No ERSS submission",IF(E219&lt;=SG_Criteria!$B$35,"QP(ST)",IF(E219&lt;=SG_Criteria!$B$36,"QP(ST) + AC","Geotechnical building works: QP(Geo) + AC"))))</f>
        <v/>
      </c>
      <c r="AQ219" s="38" t="str">
        <f aca="false">IF(C219="","",IF(LEN(IF(AND(U219&lt;&gt;"",IFERROR(VALUE(MID(U219,2,2)),0)&lt;SG_Criteria!$B$19),"FAIL: grade below C"&amp;SG_Criteria!$B$19&amp;". ","")&amp;IF(AND(LEFT(C219,3)="Con",N(H219)&lt;E219,G219="Kallang Formation (marine clay)"),"NOTE: CBP is not watertight below GWT in marine clay; consider secant / grouting. ","")&amp;IF(AND(C219="Steel Sheet Pile",D219="Permanent"),"NOTE: permanent sheet pile needs corrosion allowance. ","")&amp;IF(AND(F219="Cantilever (no support)",E219&gt;6),"NOTE: cantilever embedded wall &gt; 6 m, check deflection. ","")&amp;IF(AND(S219&lt;&gt;"",T219&lt;&gt;"",S219&gt;T219),"FAIL: deflection exceeds allowable. ",""))=0,"OK",IF(AND(U219&lt;&gt;"",IFERROR(VALUE(MID(U219,2,2)),0)&lt;SG_Criteria!$B$19),"FAIL: grade below C"&amp;SG_Criteria!$B$19&amp;". ","")&amp;IF(AND(LEFT(C219,3)="Con",N(H219)&lt;E219,G219="Kallang Formation (marine clay)"),"NOTE: CBP is not watertight below GWT in marine clay; consider secant / grouting. ","")&amp;IF(AND(C219="Steel Sheet Pile",D219="Permanent"),"NOTE: permanent sheet pile needs corrosion allowance. ","")&amp;IF(AND(F219="Cantilever (no support)",E219&gt;6),"NOTE: cantilever embedded wall &gt; 6 m, check deflection. ","")&amp;IF(AND(S219&lt;&gt;"",T219&lt;&gt;"",S219&gt;T219),"FAIL: deflection exceeds allowable. ","")))</f>
        <v/>
      </c>
      <c r="AR219" s="9"/>
      <c r="AS219" s="9"/>
      <c r="AT219" s="9"/>
      <c r="AU219" s="9"/>
      <c r="AV219" s="9"/>
      <c r="AW219" s="31"/>
      <c r="AX219" s="10" t="str">
        <f aca="false">IF(C219="","",IF(AND(Y219="Approved",ISERROR(SEARCH("FAIL",AQ219))),"Y","N"))</f>
        <v/>
      </c>
      <c r="AY219" s="10" t="str">
        <f aca="false">IF(C219="","",C219&amp;"|"&amp;E219&amp;"|"&amp;F219&amp;"|"&amp;G219&amp;"|"&amp;D219&amp;"|"&amp;AX219)</f>
        <v/>
      </c>
    </row>
    <row r="220" customFormat="false" ht="15" hidden="false" customHeight="false" outlineLevel="0" collapsed="false">
      <c r="A220" s="10" t="str">
        <f aca="false">IF(C220="","","EW-"&amp;IFERROR(VLOOKUP(C220,Lists!$P$4:$Q$22,2,0),"??")&amp;"-D"&amp;TEXT(E220*1000,"0000")&amp;"-"&amp;IFERROR(VLOOKUP(F220,Lists!$S$4:$T$21,2,0),"??")&amp;"-"&amp;IFERROR(VLOOKUP(G220,Lists!$Y$4:$Z$21,2,0),"??")&amp;"-"&amp;IFERROR(VLOOKUP(D220,Lists!$V$4:$W$16,2,0),"??")&amp;"-"&amp;X220)</f>
        <v/>
      </c>
      <c r="B220" s="10" t="str">
        <f aca="false">IF(C220="","",D220&amp;" "&amp;C220&amp;", excavation "&amp;TEXT(E220,"0.0")&amp;" m, "&amp;F220&amp;", "&amp;G220&amp;", "&amp;J220)</f>
        <v/>
      </c>
      <c r="C220" s="9"/>
      <c r="D220" s="9"/>
      <c r="E220" s="43"/>
      <c r="F220" s="9"/>
      <c r="G220" s="9"/>
      <c r="H220" s="43"/>
      <c r="I220" s="40"/>
      <c r="J220" s="9"/>
      <c r="K220" s="9"/>
      <c r="L220" s="9"/>
      <c r="M220" s="43"/>
      <c r="N220" s="43"/>
      <c r="O220" s="9"/>
      <c r="P220" s="9"/>
      <c r="Q220" s="9"/>
      <c r="R220" s="9"/>
      <c r="S220" s="40"/>
      <c r="T220" s="40"/>
      <c r="U220" s="9"/>
      <c r="V220" s="9"/>
      <c r="W220" s="9"/>
      <c r="X220" s="9"/>
      <c r="Y220" s="9"/>
      <c r="Z220" s="9"/>
      <c r="AA220" s="9"/>
      <c r="AB220" s="9"/>
      <c r="AC220" s="10" t="str">
        <f aca="false">IF(A220="","",SG_Criteria!$B$6&amp;SG_Criteria!$B$9&amp;"\"&amp;A220&amp;"\")</f>
        <v/>
      </c>
      <c r="AD220" s="10" t="str">
        <f aca="false">IF(A220="","",A220&amp;"_CAD.dwg")</f>
        <v/>
      </c>
      <c r="AE220" s="10" t="str">
        <f aca="false">IF(A220="","",A220&amp;"_DWG.pdf")</f>
        <v/>
      </c>
      <c r="AF220" s="10" t="str">
        <f aca="false">IF(A220="","",IF(AB220="Y",A220&amp;"_STAAD.std","n/a"))</f>
        <v/>
      </c>
      <c r="AG220" s="10" t="str">
        <f aca="false">IF(A220="","",A220&amp;"_CALC.xlsx")</f>
        <v/>
      </c>
      <c r="AH220" s="10" t="str">
        <f aca="false">IF(A220="","",A220&amp;"_CALC.pdf")</f>
        <v/>
      </c>
      <c r="AI220" s="9"/>
      <c r="AJ220" s="9"/>
      <c r="AK220" s="41"/>
      <c r="AL220" s="41"/>
      <c r="AM220" s="41"/>
      <c r="AN220" s="41"/>
      <c r="AO220" s="41"/>
      <c r="AP220" s="38" t="str">
        <f aca="false">IF(OR(C220="",E220=""),"",IF(E220&lt;=IF(C220="Soldier Pile &amp; Timber Lagging",SG_Criteria!$B$34,SG_Criteria!$B$33),"No ERSS submission",IF(E220&lt;=SG_Criteria!$B$35,"QP(ST)",IF(E220&lt;=SG_Criteria!$B$36,"QP(ST) + AC","Geotechnical building works: QP(Geo) + AC"))))</f>
        <v/>
      </c>
      <c r="AQ220" s="38" t="str">
        <f aca="false">IF(C220="","",IF(LEN(IF(AND(U220&lt;&gt;"",IFERROR(VALUE(MID(U220,2,2)),0)&lt;SG_Criteria!$B$19),"FAIL: grade below C"&amp;SG_Criteria!$B$19&amp;". ","")&amp;IF(AND(LEFT(C220,3)="Con",N(H220)&lt;E220,G220="Kallang Formation (marine clay)"),"NOTE: CBP is not watertight below GWT in marine clay; consider secant / grouting. ","")&amp;IF(AND(C220="Steel Sheet Pile",D220="Permanent"),"NOTE: permanent sheet pile needs corrosion allowance. ","")&amp;IF(AND(F220="Cantilever (no support)",E220&gt;6),"NOTE: cantilever embedded wall &gt; 6 m, check deflection. ","")&amp;IF(AND(S220&lt;&gt;"",T220&lt;&gt;"",S220&gt;T220),"FAIL: deflection exceeds allowable. ",""))=0,"OK",IF(AND(U220&lt;&gt;"",IFERROR(VALUE(MID(U220,2,2)),0)&lt;SG_Criteria!$B$19),"FAIL: grade below C"&amp;SG_Criteria!$B$19&amp;". ","")&amp;IF(AND(LEFT(C220,3)="Con",N(H220)&lt;E220,G220="Kallang Formation (marine clay)"),"NOTE: CBP is not watertight below GWT in marine clay; consider secant / grouting. ","")&amp;IF(AND(C220="Steel Sheet Pile",D220="Permanent"),"NOTE: permanent sheet pile needs corrosion allowance. ","")&amp;IF(AND(F220="Cantilever (no support)",E220&gt;6),"NOTE: cantilever embedded wall &gt; 6 m, check deflection. ","")&amp;IF(AND(S220&lt;&gt;"",T220&lt;&gt;"",S220&gt;T220),"FAIL: deflection exceeds allowable. ","")))</f>
        <v/>
      </c>
      <c r="AR220" s="9"/>
      <c r="AS220" s="9"/>
      <c r="AT220" s="9"/>
      <c r="AU220" s="9"/>
      <c r="AV220" s="9"/>
      <c r="AW220" s="31"/>
      <c r="AX220" s="10" t="str">
        <f aca="false">IF(C220="","",IF(AND(Y220="Approved",ISERROR(SEARCH("FAIL",AQ220))),"Y","N"))</f>
        <v/>
      </c>
      <c r="AY220" s="10" t="str">
        <f aca="false">IF(C220="","",C220&amp;"|"&amp;E220&amp;"|"&amp;F220&amp;"|"&amp;G220&amp;"|"&amp;D220&amp;"|"&amp;AX220)</f>
        <v/>
      </c>
    </row>
    <row r="221" customFormat="false" ht="15" hidden="false" customHeight="false" outlineLevel="0" collapsed="false">
      <c r="A221" s="10" t="str">
        <f aca="false">IF(C221="","","EW-"&amp;IFERROR(VLOOKUP(C221,Lists!$P$4:$Q$22,2,0),"??")&amp;"-D"&amp;TEXT(E221*1000,"0000")&amp;"-"&amp;IFERROR(VLOOKUP(F221,Lists!$S$4:$T$21,2,0),"??")&amp;"-"&amp;IFERROR(VLOOKUP(G221,Lists!$Y$4:$Z$21,2,0),"??")&amp;"-"&amp;IFERROR(VLOOKUP(D221,Lists!$V$4:$W$16,2,0),"??")&amp;"-"&amp;X221)</f>
        <v/>
      </c>
      <c r="B221" s="10" t="str">
        <f aca="false">IF(C221="","",D221&amp;" "&amp;C221&amp;", excavation "&amp;TEXT(E221,"0.0")&amp;" m, "&amp;F221&amp;", "&amp;G221&amp;", "&amp;J221)</f>
        <v/>
      </c>
      <c r="C221" s="9"/>
      <c r="D221" s="9"/>
      <c r="E221" s="43"/>
      <c r="F221" s="9"/>
      <c r="G221" s="9"/>
      <c r="H221" s="43"/>
      <c r="I221" s="40"/>
      <c r="J221" s="9"/>
      <c r="K221" s="9"/>
      <c r="L221" s="9"/>
      <c r="M221" s="43"/>
      <c r="N221" s="43"/>
      <c r="O221" s="9"/>
      <c r="P221" s="9"/>
      <c r="Q221" s="9"/>
      <c r="R221" s="9"/>
      <c r="S221" s="40"/>
      <c r="T221" s="40"/>
      <c r="U221" s="9"/>
      <c r="V221" s="9"/>
      <c r="W221" s="9"/>
      <c r="X221" s="9"/>
      <c r="Y221" s="9"/>
      <c r="Z221" s="9"/>
      <c r="AA221" s="9"/>
      <c r="AB221" s="9"/>
      <c r="AC221" s="10" t="str">
        <f aca="false">IF(A221="","",SG_Criteria!$B$6&amp;SG_Criteria!$B$9&amp;"\"&amp;A221&amp;"\")</f>
        <v/>
      </c>
      <c r="AD221" s="10" t="str">
        <f aca="false">IF(A221="","",A221&amp;"_CAD.dwg")</f>
        <v/>
      </c>
      <c r="AE221" s="10" t="str">
        <f aca="false">IF(A221="","",A221&amp;"_DWG.pdf")</f>
        <v/>
      </c>
      <c r="AF221" s="10" t="str">
        <f aca="false">IF(A221="","",IF(AB221="Y",A221&amp;"_STAAD.std","n/a"))</f>
        <v/>
      </c>
      <c r="AG221" s="10" t="str">
        <f aca="false">IF(A221="","",A221&amp;"_CALC.xlsx")</f>
        <v/>
      </c>
      <c r="AH221" s="10" t="str">
        <f aca="false">IF(A221="","",A221&amp;"_CALC.pdf")</f>
        <v/>
      </c>
      <c r="AI221" s="9"/>
      <c r="AJ221" s="9"/>
      <c r="AK221" s="41"/>
      <c r="AL221" s="41"/>
      <c r="AM221" s="41"/>
      <c r="AN221" s="41"/>
      <c r="AO221" s="41"/>
      <c r="AP221" s="38" t="str">
        <f aca="false">IF(OR(C221="",E221=""),"",IF(E221&lt;=IF(C221="Soldier Pile &amp; Timber Lagging",SG_Criteria!$B$34,SG_Criteria!$B$33),"No ERSS submission",IF(E221&lt;=SG_Criteria!$B$35,"QP(ST)",IF(E221&lt;=SG_Criteria!$B$36,"QP(ST) + AC","Geotechnical building works: QP(Geo) + AC"))))</f>
        <v/>
      </c>
      <c r="AQ221" s="38" t="str">
        <f aca="false">IF(C221="","",IF(LEN(IF(AND(U221&lt;&gt;"",IFERROR(VALUE(MID(U221,2,2)),0)&lt;SG_Criteria!$B$19),"FAIL: grade below C"&amp;SG_Criteria!$B$19&amp;". ","")&amp;IF(AND(LEFT(C221,3)="Con",N(H221)&lt;E221,G221="Kallang Formation (marine clay)"),"NOTE: CBP is not watertight below GWT in marine clay; consider secant / grouting. ","")&amp;IF(AND(C221="Steel Sheet Pile",D221="Permanent"),"NOTE: permanent sheet pile needs corrosion allowance. ","")&amp;IF(AND(F221="Cantilever (no support)",E221&gt;6),"NOTE: cantilever embedded wall &gt; 6 m, check deflection. ","")&amp;IF(AND(S221&lt;&gt;"",T221&lt;&gt;"",S221&gt;T221),"FAIL: deflection exceeds allowable. ",""))=0,"OK",IF(AND(U221&lt;&gt;"",IFERROR(VALUE(MID(U221,2,2)),0)&lt;SG_Criteria!$B$19),"FAIL: grade below C"&amp;SG_Criteria!$B$19&amp;". ","")&amp;IF(AND(LEFT(C221,3)="Con",N(H221)&lt;E221,G221="Kallang Formation (marine clay)"),"NOTE: CBP is not watertight below GWT in marine clay; consider secant / grouting. ","")&amp;IF(AND(C221="Steel Sheet Pile",D221="Permanent"),"NOTE: permanent sheet pile needs corrosion allowance. ","")&amp;IF(AND(F221="Cantilever (no support)",E221&gt;6),"NOTE: cantilever embedded wall &gt; 6 m, check deflection. ","")&amp;IF(AND(S221&lt;&gt;"",T221&lt;&gt;"",S221&gt;T221),"FAIL: deflection exceeds allowable. ","")))</f>
        <v/>
      </c>
      <c r="AR221" s="9"/>
      <c r="AS221" s="9"/>
      <c r="AT221" s="9"/>
      <c r="AU221" s="9"/>
      <c r="AV221" s="9"/>
      <c r="AW221" s="31"/>
      <c r="AX221" s="10" t="str">
        <f aca="false">IF(C221="","",IF(AND(Y221="Approved",ISERROR(SEARCH("FAIL",AQ221))),"Y","N"))</f>
        <v/>
      </c>
      <c r="AY221" s="10" t="str">
        <f aca="false">IF(C221="","",C221&amp;"|"&amp;E221&amp;"|"&amp;F221&amp;"|"&amp;G221&amp;"|"&amp;D221&amp;"|"&amp;AX221)</f>
        <v/>
      </c>
    </row>
    <row r="222" customFormat="false" ht="15" hidden="false" customHeight="false" outlineLevel="0" collapsed="false">
      <c r="A222" s="10" t="str">
        <f aca="false">IF(C222="","","EW-"&amp;IFERROR(VLOOKUP(C222,Lists!$P$4:$Q$22,2,0),"??")&amp;"-D"&amp;TEXT(E222*1000,"0000")&amp;"-"&amp;IFERROR(VLOOKUP(F222,Lists!$S$4:$T$21,2,0),"??")&amp;"-"&amp;IFERROR(VLOOKUP(G222,Lists!$Y$4:$Z$21,2,0),"??")&amp;"-"&amp;IFERROR(VLOOKUP(D222,Lists!$V$4:$W$16,2,0),"??")&amp;"-"&amp;X222)</f>
        <v/>
      </c>
      <c r="B222" s="10" t="str">
        <f aca="false">IF(C222="","",D222&amp;" "&amp;C222&amp;", excavation "&amp;TEXT(E222,"0.0")&amp;" m, "&amp;F222&amp;", "&amp;G222&amp;", "&amp;J222)</f>
        <v/>
      </c>
      <c r="C222" s="9"/>
      <c r="D222" s="9"/>
      <c r="E222" s="43"/>
      <c r="F222" s="9"/>
      <c r="G222" s="9"/>
      <c r="H222" s="43"/>
      <c r="I222" s="40"/>
      <c r="J222" s="9"/>
      <c r="K222" s="9"/>
      <c r="L222" s="9"/>
      <c r="M222" s="43"/>
      <c r="N222" s="43"/>
      <c r="O222" s="9"/>
      <c r="P222" s="9"/>
      <c r="Q222" s="9"/>
      <c r="R222" s="9"/>
      <c r="S222" s="40"/>
      <c r="T222" s="40"/>
      <c r="U222" s="9"/>
      <c r="V222" s="9"/>
      <c r="W222" s="9"/>
      <c r="X222" s="9"/>
      <c r="Y222" s="9"/>
      <c r="Z222" s="9"/>
      <c r="AA222" s="9"/>
      <c r="AB222" s="9"/>
      <c r="AC222" s="10" t="str">
        <f aca="false">IF(A222="","",SG_Criteria!$B$6&amp;SG_Criteria!$B$9&amp;"\"&amp;A222&amp;"\")</f>
        <v/>
      </c>
      <c r="AD222" s="10" t="str">
        <f aca="false">IF(A222="","",A222&amp;"_CAD.dwg")</f>
        <v/>
      </c>
      <c r="AE222" s="10" t="str">
        <f aca="false">IF(A222="","",A222&amp;"_DWG.pdf")</f>
        <v/>
      </c>
      <c r="AF222" s="10" t="str">
        <f aca="false">IF(A222="","",IF(AB222="Y",A222&amp;"_STAAD.std","n/a"))</f>
        <v/>
      </c>
      <c r="AG222" s="10" t="str">
        <f aca="false">IF(A222="","",A222&amp;"_CALC.xlsx")</f>
        <v/>
      </c>
      <c r="AH222" s="10" t="str">
        <f aca="false">IF(A222="","",A222&amp;"_CALC.pdf")</f>
        <v/>
      </c>
      <c r="AI222" s="9"/>
      <c r="AJ222" s="9"/>
      <c r="AK222" s="41"/>
      <c r="AL222" s="41"/>
      <c r="AM222" s="41"/>
      <c r="AN222" s="41"/>
      <c r="AO222" s="41"/>
      <c r="AP222" s="38" t="str">
        <f aca="false">IF(OR(C222="",E222=""),"",IF(E222&lt;=IF(C222="Soldier Pile &amp; Timber Lagging",SG_Criteria!$B$34,SG_Criteria!$B$33),"No ERSS submission",IF(E222&lt;=SG_Criteria!$B$35,"QP(ST)",IF(E222&lt;=SG_Criteria!$B$36,"QP(ST) + AC","Geotechnical building works: QP(Geo) + AC"))))</f>
        <v/>
      </c>
      <c r="AQ222" s="38" t="str">
        <f aca="false">IF(C222="","",IF(LEN(IF(AND(U222&lt;&gt;"",IFERROR(VALUE(MID(U222,2,2)),0)&lt;SG_Criteria!$B$19),"FAIL: grade below C"&amp;SG_Criteria!$B$19&amp;". ","")&amp;IF(AND(LEFT(C222,3)="Con",N(H222)&lt;E222,G222="Kallang Formation (marine clay)"),"NOTE: CBP is not watertight below GWT in marine clay; consider secant / grouting. ","")&amp;IF(AND(C222="Steel Sheet Pile",D222="Permanent"),"NOTE: permanent sheet pile needs corrosion allowance. ","")&amp;IF(AND(F222="Cantilever (no support)",E222&gt;6),"NOTE: cantilever embedded wall &gt; 6 m, check deflection. ","")&amp;IF(AND(S222&lt;&gt;"",T222&lt;&gt;"",S222&gt;T222),"FAIL: deflection exceeds allowable. ",""))=0,"OK",IF(AND(U222&lt;&gt;"",IFERROR(VALUE(MID(U222,2,2)),0)&lt;SG_Criteria!$B$19),"FAIL: grade below C"&amp;SG_Criteria!$B$19&amp;". ","")&amp;IF(AND(LEFT(C222,3)="Con",N(H222)&lt;E222,G222="Kallang Formation (marine clay)"),"NOTE: CBP is not watertight below GWT in marine clay; consider secant / grouting. ","")&amp;IF(AND(C222="Steel Sheet Pile",D222="Permanent"),"NOTE: permanent sheet pile needs corrosion allowance. ","")&amp;IF(AND(F222="Cantilever (no support)",E222&gt;6),"NOTE: cantilever embedded wall &gt; 6 m, check deflection. ","")&amp;IF(AND(S222&lt;&gt;"",T222&lt;&gt;"",S222&gt;T222),"FAIL: deflection exceeds allowable. ","")))</f>
        <v/>
      </c>
      <c r="AR222" s="9"/>
      <c r="AS222" s="9"/>
      <c r="AT222" s="9"/>
      <c r="AU222" s="9"/>
      <c r="AV222" s="9"/>
      <c r="AW222" s="31"/>
      <c r="AX222" s="10" t="str">
        <f aca="false">IF(C222="","",IF(AND(Y222="Approved",ISERROR(SEARCH("FAIL",AQ222))),"Y","N"))</f>
        <v/>
      </c>
      <c r="AY222" s="10" t="str">
        <f aca="false">IF(C222="","",C222&amp;"|"&amp;E222&amp;"|"&amp;F222&amp;"|"&amp;G222&amp;"|"&amp;D222&amp;"|"&amp;AX222)</f>
        <v/>
      </c>
    </row>
    <row r="223" customFormat="false" ht="15" hidden="false" customHeight="false" outlineLevel="0" collapsed="false">
      <c r="A223" s="10" t="str">
        <f aca="false">IF(C223="","","EW-"&amp;IFERROR(VLOOKUP(C223,Lists!$P$4:$Q$22,2,0),"??")&amp;"-D"&amp;TEXT(E223*1000,"0000")&amp;"-"&amp;IFERROR(VLOOKUP(F223,Lists!$S$4:$T$21,2,0),"??")&amp;"-"&amp;IFERROR(VLOOKUP(G223,Lists!$Y$4:$Z$21,2,0),"??")&amp;"-"&amp;IFERROR(VLOOKUP(D223,Lists!$V$4:$W$16,2,0),"??")&amp;"-"&amp;X223)</f>
        <v/>
      </c>
      <c r="B223" s="10" t="str">
        <f aca="false">IF(C223="","",D223&amp;" "&amp;C223&amp;", excavation "&amp;TEXT(E223,"0.0")&amp;" m, "&amp;F223&amp;", "&amp;G223&amp;", "&amp;J223)</f>
        <v/>
      </c>
      <c r="C223" s="9"/>
      <c r="D223" s="9"/>
      <c r="E223" s="43"/>
      <c r="F223" s="9"/>
      <c r="G223" s="9"/>
      <c r="H223" s="43"/>
      <c r="I223" s="40"/>
      <c r="J223" s="9"/>
      <c r="K223" s="9"/>
      <c r="L223" s="9"/>
      <c r="M223" s="43"/>
      <c r="N223" s="43"/>
      <c r="O223" s="9"/>
      <c r="P223" s="9"/>
      <c r="Q223" s="9"/>
      <c r="R223" s="9"/>
      <c r="S223" s="40"/>
      <c r="T223" s="40"/>
      <c r="U223" s="9"/>
      <c r="V223" s="9"/>
      <c r="W223" s="9"/>
      <c r="X223" s="9"/>
      <c r="Y223" s="9"/>
      <c r="Z223" s="9"/>
      <c r="AA223" s="9"/>
      <c r="AB223" s="9"/>
      <c r="AC223" s="10" t="str">
        <f aca="false">IF(A223="","",SG_Criteria!$B$6&amp;SG_Criteria!$B$9&amp;"\"&amp;A223&amp;"\")</f>
        <v/>
      </c>
      <c r="AD223" s="10" t="str">
        <f aca="false">IF(A223="","",A223&amp;"_CAD.dwg")</f>
        <v/>
      </c>
      <c r="AE223" s="10" t="str">
        <f aca="false">IF(A223="","",A223&amp;"_DWG.pdf")</f>
        <v/>
      </c>
      <c r="AF223" s="10" t="str">
        <f aca="false">IF(A223="","",IF(AB223="Y",A223&amp;"_STAAD.std","n/a"))</f>
        <v/>
      </c>
      <c r="AG223" s="10" t="str">
        <f aca="false">IF(A223="","",A223&amp;"_CALC.xlsx")</f>
        <v/>
      </c>
      <c r="AH223" s="10" t="str">
        <f aca="false">IF(A223="","",A223&amp;"_CALC.pdf")</f>
        <v/>
      </c>
      <c r="AI223" s="9"/>
      <c r="AJ223" s="9"/>
      <c r="AK223" s="41"/>
      <c r="AL223" s="41"/>
      <c r="AM223" s="41"/>
      <c r="AN223" s="41"/>
      <c r="AO223" s="41"/>
      <c r="AP223" s="38" t="str">
        <f aca="false">IF(OR(C223="",E223=""),"",IF(E223&lt;=IF(C223="Soldier Pile &amp; Timber Lagging",SG_Criteria!$B$34,SG_Criteria!$B$33),"No ERSS submission",IF(E223&lt;=SG_Criteria!$B$35,"QP(ST)",IF(E223&lt;=SG_Criteria!$B$36,"QP(ST) + AC","Geotechnical building works: QP(Geo) + AC"))))</f>
        <v/>
      </c>
      <c r="AQ223" s="38" t="str">
        <f aca="false">IF(C223="","",IF(LEN(IF(AND(U223&lt;&gt;"",IFERROR(VALUE(MID(U223,2,2)),0)&lt;SG_Criteria!$B$19),"FAIL: grade below C"&amp;SG_Criteria!$B$19&amp;". ","")&amp;IF(AND(LEFT(C223,3)="Con",N(H223)&lt;E223,G223="Kallang Formation (marine clay)"),"NOTE: CBP is not watertight below GWT in marine clay; consider secant / grouting. ","")&amp;IF(AND(C223="Steel Sheet Pile",D223="Permanent"),"NOTE: permanent sheet pile needs corrosion allowance. ","")&amp;IF(AND(F223="Cantilever (no support)",E223&gt;6),"NOTE: cantilever embedded wall &gt; 6 m, check deflection. ","")&amp;IF(AND(S223&lt;&gt;"",T223&lt;&gt;"",S223&gt;T223),"FAIL: deflection exceeds allowable. ",""))=0,"OK",IF(AND(U223&lt;&gt;"",IFERROR(VALUE(MID(U223,2,2)),0)&lt;SG_Criteria!$B$19),"FAIL: grade below C"&amp;SG_Criteria!$B$19&amp;". ","")&amp;IF(AND(LEFT(C223,3)="Con",N(H223)&lt;E223,G223="Kallang Formation (marine clay)"),"NOTE: CBP is not watertight below GWT in marine clay; consider secant / grouting. ","")&amp;IF(AND(C223="Steel Sheet Pile",D223="Permanent"),"NOTE: permanent sheet pile needs corrosion allowance. ","")&amp;IF(AND(F223="Cantilever (no support)",E223&gt;6),"NOTE: cantilever embedded wall &gt; 6 m, check deflection. ","")&amp;IF(AND(S223&lt;&gt;"",T223&lt;&gt;"",S223&gt;T223),"FAIL: deflection exceeds allowable. ","")))</f>
        <v/>
      </c>
      <c r="AR223" s="9"/>
      <c r="AS223" s="9"/>
      <c r="AT223" s="9"/>
      <c r="AU223" s="9"/>
      <c r="AV223" s="9"/>
      <c r="AW223" s="31"/>
      <c r="AX223" s="10" t="str">
        <f aca="false">IF(C223="","",IF(AND(Y223="Approved",ISERROR(SEARCH("FAIL",AQ223))),"Y","N"))</f>
        <v/>
      </c>
      <c r="AY223" s="10" t="str">
        <f aca="false">IF(C223="","",C223&amp;"|"&amp;E223&amp;"|"&amp;F223&amp;"|"&amp;G223&amp;"|"&amp;D223&amp;"|"&amp;AX223)</f>
        <v/>
      </c>
    </row>
    <row r="224" customFormat="false" ht="15" hidden="false" customHeight="false" outlineLevel="0" collapsed="false">
      <c r="A224" s="10" t="str">
        <f aca="false">IF(C224="","","EW-"&amp;IFERROR(VLOOKUP(C224,Lists!$P$4:$Q$22,2,0),"??")&amp;"-D"&amp;TEXT(E224*1000,"0000")&amp;"-"&amp;IFERROR(VLOOKUP(F224,Lists!$S$4:$T$21,2,0),"??")&amp;"-"&amp;IFERROR(VLOOKUP(G224,Lists!$Y$4:$Z$21,2,0),"??")&amp;"-"&amp;IFERROR(VLOOKUP(D224,Lists!$V$4:$W$16,2,0),"??")&amp;"-"&amp;X224)</f>
        <v/>
      </c>
      <c r="B224" s="10" t="str">
        <f aca="false">IF(C224="","",D224&amp;" "&amp;C224&amp;", excavation "&amp;TEXT(E224,"0.0")&amp;" m, "&amp;F224&amp;", "&amp;G224&amp;", "&amp;J224)</f>
        <v/>
      </c>
      <c r="C224" s="9"/>
      <c r="D224" s="9"/>
      <c r="E224" s="43"/>
      <c r="F224" s="9"/>
      <c r="G224" s="9"/>
      <c r="H224" s="43"/>
      <c r="I224" s="40"/>
      <c r="J224" s="9"/>
      <c r="K224" s="9"/>
      <c r="L224" s="9"/>
      <c r="M224" s="43"/>
      <c r="N224" s="43"/>
      <c r="O224" s="9"/>
      <c r="P224" s="9"/>
      <c r="Q224" s="9"/>
      <c r="R224" s="9"/>
      <c r="S224" s="40"/>
      <c r="T224" s="40"/>
      <c r="U224" s="9"/>
      <c r="V224" s="9"/>
      <c r="W224" s="9"/>
      <c r="X224" s="9"/>
      <c r="Y224" s="9"/>
      <c r="Z224" s="9"/>
      <c r="AA224" s="9"/>
      <c r="AB224" s="9"/>
      <c r="AC224" s="10" t="str">
        <f aca="false">IF(A224="","",SG_Criteria!$B$6&amp;SG_Criteria!$B$9&amp;"\"&amp;A224&amp;"\")</f>
        <v/>
      </c>
      <c r="AD224" s="10" t="str">
        <f aca="false">IF(A224="","",A224&amp;"_CAD.dwg")</f>
        <v/>
      </c>
      <c r="AE224" s="10" t="str">
        <f aca="false">IF(A224="","",A224&amp;"_DWG.pdf")</f>
        <v/>
      </c>
      <c r="AF224" s="10" t="str">
        <f aca="false">IF(A224="","",IF(AB224="Y",A224&amp;"_STAAD.std","n/a"))</f>
        <v/>
      </c>
      <c r="AG224" s="10" t="str">
        <f aca="false">IF(A224="","",A224&amp;"_CALC.xlsx")</f>
        <v/>
      </c>
      <c r="AH224" s="10" t="str">
        <f aca="false">IF(A224="","",A224&amp;"_CALC.pdf")</f>
        <v/>
      </c>
      <c r="AI224" s="9"/>
      <c r="AJ224" s="9"/>
      <c r="AK224" s="41"/>
      <c r="AL224" s="41"/>
      <c r="AM224" s="41"/>
      <c r="AN224" s="41"/>
      <c r="AO224" s="41"/>
      <c r="AP224" s="38" t="str">
        <f aca="false">IF(OR(C224="",E224=""),"",IF(E224&lt;=IF(C224="Soldier Pile &amp; Timber Lagging",SG_Criteria!$B$34,SG_Criteria!$B$33),"No ERSS submission",IF(E224&lt;=SG_Criteria!$B$35,"QP(ST)",IF(E224&lt;=SG_Criteria!$B$36,"QP(ST) + AC","Geotechnical building works: QP(Geo) + AC"))))</f>
        <v/>
      </c>
      <c r="AQ224" s="38" t="str">
        <f aca="false">IF(C224="","",IF(LEN(IF(AND(U224&lt;&gt;"",IFERROR(VALUE(MID(U224,2,2)),0)&lt;SG_Criteria!$B$19),"FAIL: grade below C"&amp;SG_Criteria!$B$19&amp;". ","")&amp;IF(AND(LEFT(C224,3)="Con",N(H224)&lt;E224,G224="Kallang Formation (marine clay)"),"NOTE: CBP is not watertight below GWT in marine clay; consider secant / grouting. ","")&amp;IF(AND(C224="Steel Sheet Pile",D224="Permanent"),"NOTE: permanent sheet pile needs corrosion allowance. ","")&amp;IF(AND(F224="Cantilever (no support)",E224&gt;6),"NOTE: cantilever embedded wall &gt; 6 m, check deflection. ","")&amp;IF(AND(S224&lt;&gt;"",T224&lt;&gt;"",S224&gt;T224),"FAIL: deflection exceeds allowable. ",""))=0,"OK",IF(AND(U224&lt;&gt;"",IFERROR(VALUE(MID(U224,2,2)),0)&lt;SG_Criteria!$B$19),"FAIL: grade below C"&amp;SG_Criteria!$B$19&amp;". ","")&amp;IF(AND(LEFT(C224,3)="Con",N(H224)&lt;E224,G224="Kallang Formation (marine clay)"),"NOTE: CBP is not watertight below GWT in marine clay; consider secant / grouting. ","")&amp;IF(AND(C224="Steel Sheet Pile",D224="Permanent"),"NOTE: permanent sheet pile needs corrosion allowance. ","")&amp;IF(AND(F224="Cantilever (no support)",E224&gt;6),"NOTE: cantilever embedded wall &gt; 6 m, check deflection. ","")&amp;IF(AND(S224&lt;&gt;"",T224&lt;&gt;"",S224&gt;T224),"FAIL: deflection exceeds allowable. ","")))</f>
        <v/>
      </c>
      <c r="AR224" s="9"/>
      <c r="AS224" s="9"/>
      <c r="AT224" s="9"/>
      <c r="AU224" s="9"/>
      <c r="AV224" s="9"/>
      <c r="AW224" s="31"/>
      <c r="AX224" s="10" t="str">
        <f aca="false">IF(C224="","",IF(AND(Y224="Approved",ISERROR(SEARCH("FAIL",AQ224))),"Y","N"))</f>
        <v/>
      </c>
      <c r="AY224" s="10" t="str">
        <f aca="false">IF(C224="","",C224&amp;"|"&amp;E224&amp;"|"&amp;F224&amp;"|"&amp;G224&amp;"|"&amp;D224&amp;"|"&amp;AX224)</f>
        <v/>
      </c>
    </row>
    <row r="225" customFormat="false" ht="15" hidden="false" customHeight="false" outlineLevel="0" collapsed="false">
      <c r="A225" s="10" t="str">
        <f aca="false">IF(C225="","","EW-"&amp;IFERROR(VLOOKUP(C225,Lists!$P$4:$Q$22,2,0),"??")&amp;"-D"&amp;TEXT(E225*1000,"0000")&amp;"-"&amp;IFERROR(VLOOKUP(F225,Lists!$S$4:$T$21,2,0),"??")&amp;"-"&amp;IFERROR(VLOOKUP(G225,Lists!$Y$4:$Z$21,2,0),"??")&amp;"-"&amp;IFERROR(VLOOKUP(D225,Lists!$V$4:$W$16,2,0),"??")&amp;"-"&amp;X225)</f>
        <v/>
      </c>
      <c r="B225" s="10" t="str">
        <f aca="false">IF(C225="","",D225&amp;" "&amp;C225&amp;", excavation "&amp;TEXT(E225,"0.0")&amp;" m, "&amp;F225&amp;", "&amp;G225&amp;", "&amp;J225)</f>
        <v/>
      </c>
      <c r="C225" s="9"/>
      <c r="D225" s="9"/>
      <c r="E225" s="43"/>
      <c r="F225" s="9"/>
      <c r="G225" s="9"/>
      <c r="H225" s="43"/>
      <c r="I225" s="40"/>
      <c r="J225" s="9"/>
      <c r="K225" s="9"/>
      <c r="L225" s="9"/>
      <c r="M225" s="43"/>
      <c r="N225" s="43"/>
      <c r="O225" s="9"/>
      <c r="P225" s="9"/>
      <c r="Q225" s="9"/>
      <c r="R225" s="9"/>
      <c r="S225" s="40"/>
      <c r="T225" s="40"/>
      <c r="U225" s="9"/>
      <c r="V225" s="9"/>
      <c r="W225" s="9"/>
      <c r="X225" s="9"/>
      <c r="Y225" s="9"/>
      <c r="Z225" s="9"/>
      <c r="AA225" s="9"/>
      <c r="AB225" s="9"/>
      <c r="AC225" s="10" t="str">
        <f aca="false">IF(A225="","",SG_Criteria!$B$6&amp;SG_Criteria!$B$9&amp;"\"&amp;A225&amp;"\")</f>
        <v/>
      </c>
      <c r="AD225" s="10" t="str">
        <f aca="false">IF(A225="","",A225&amp;"_CAD.dwg")</f>
        <v/>
      </c>
      <c r="AE225" s="10" t="str">
        <f aca="false">IF(A225="","",A225&amp;"_DWG.pdf")</f>
        <v/>
      </c>
      <c r="AF225" s="10" t="str">
        <f aca="false">IF(A225="","",IF(AB225="Y",A225&amp;"_STAAD.std","n/a"))</f>
        <v/>
      </c>
      <c r="AG225" s="10" t="str">
        <f aca="false">IF(A225="","",A225&amp;"_CALC.xlsx")</f>
        <v/>
      </c>
      <c r="AH225" s="10" t="str">
        <f aca="false">IF(A225="","",A225&amp;"_CALC.pdf")</f>
        <v/>
      </c>
      <c r="AI225" s="9"/>
      <c r="AJ225" s="9"/>
      <c r="AK225" s="41"/>
      <c r="AL225" s="41"/>
      <c r="AM225" s="41"/>
      <c r="AN225" s="41"/>
      <c r="AO225" s="41"/>
      <c r="AP225" s="38" t="str">
        <f aca="false">IF(OR(C225="",E225=""),"",IF(E225&lt;=IF(C225="Soldier Pile &amp; Timber Lagging",SG_Criteria!$B$34,SG_Criteria!$B$33),"No ERSS submission",IF(E225&lt;=SG_Criteria!$B$35,"QP(ST)",IF(E225&lt;=SG_Criteria!$B$36,"QP(ST) + AC","Geotechnical building works: QP(Geo) + AC"))))</f>
        <v/>
      </c>
      <c r="AQ225" s="38" t="str">
        <f aca="false">IF(C225="","",IF(LEN(IF(AND(U225&lt;&gt;"",IFERROR(VALUE(MID(U225,2,2)),0)&lt;SG_Criteria!$B$19),"FAIL: grade below C"&amp;SG_Criteria!$B$19&amp;". ","")&amp;IF(AND(LEFT(C225,3)="Con",N(H225)&lt;E225,G225="Kallang Formation (marine clay)"),"NOTE: CBP is not watertight below GWT in marine clay; consider secant / grouting. ","")&amp;IF(AND(C225="Steel Sheet Pile",D225="Permanent"),"NOTE: permanent sheet pile needs corrosion allowance. ","")&amp;IF(AND(F225="Cantilever (no support)",E225&gt;6),"NOTE: cantilever embedded wall &gt; 6 m, check deflection. ","")&amp;IF(AND(S225&lt;&gt;"",T225&lt;&gt;"",S225&gt;T225),"FAIL: deflection exceeds allowable. ",""))=0,"OK",IF(AND(U225&lt;&gt;"",IFERROR(VALUE(MID(U225,2,2)),0)&lt;SG_Criteria!$B$19),"FAIL: grade below C"&amp;SG_Criteria!$B$19&amp;". ","")&amp;IF(AND(LEFT(C225,3)="Con",N(H225)&lt;E225,G225="Kallang Formation (marine clay)"),"NOTE: CBP is not watertight below GWT in marine clay; consider secant / grouting. ","")&amp;IF(AND(C225="Steel Sheet Pile",D225="Permanent"),"NOTE: permanent sheet pile needs corrosion allowance. ","")&amp;IF(AND(F225="Cantilever (no support)",E225&gt;6),"NOTE: cantilever embedded wall &gt; 6 m, check deflection. ","")&amp;IF(AND(S225&lt;&gt;"",T225&lt;&gt;"",S225&gt;T225),"FAIL: deflection exceeds allowable. ","")))</f>
        <v/>
      </c>
      <c r="AR225" s="9"/>
      <c r="AS225" s="9"/>
      <c r="AT225" s="9"/>
      <c r="AU225" s="9"/>
      <c r="AV225" s="9"/>
      <c r="AW225" s="31"/>
      <c r="AX225" s="10" t="str">
        <f aca="false">IF(C225="","",IF(AND(Y225="Approved",ISERROR(SEARCH("FAIL",AQ225))),"Y","N"))</f>
        <v/>
      </c>
      <c r="AY225" s="10" t="str">
        <f aca="false">IF(C225="","",C225&amp;"|"&amp;E225&amp;"|"&amp;F225&amp;"|"&amp;G225&amp;"|"&amp;D225&amp;"|"&amp;AX225)</f>
        <v/>
      </c>
    </row>
    <row r="226" customFormat="false" ht="15" hidden="false" customHeight="false" outlineLevel="0" collapsed="false">
      <c r="A226" s="10" t="str">
        <f aca="false">IF(C226="","","EW-"&amp;IFERROR(VLOOKUP(C226,Lists!$P$4:$Q$22,2,0),"??")&amp;"-D"&amp;TEXT(E226*1000,"0000")&amp;"-"&amp;IFERROR(VLOOKUP(F226,Lists!$S$4:$T$21,2,0),"??")&amp;"-"&amp;IFERROR(VLOOKUP(G226,Lists!$Y$4:$Z$21,2,0),"??")&amp;"-"&amp;IFERROR(VLOOKUP(D226,Lists!$V$4:$W$16,2,0),"??")&amp;"-"&amp;X226)</f>
        <v/>
      </c>
      <c r="B226" s="10" t="str">
        <f aca="false">IF(C226="","",D226&amp;" "&amp;C226&amp;", excavation "&amp;TEXT(E226,"0.0")&amp;" m, "&amp;F226&amp;", "&amp;G226&amp;", "&amp;J226)</f>
        <v/>
      </c>
      <c r="C226" s="9"/>
      <c r="D226" s="9"/>
      <c r="E226" s="43"/>
      <c r="F226" s="9"/>
      <c r="G226" s="9"/>
      <c r="H226" s="43"/>
      <c r="I226" s="40"/>
      <c r="J226" s="9"/>
      <c r="K226" s="9"/>
      <c r="L226" s="9"/>
      <c r="M226" s="43"/>
      <c r="N226" s="43"/>
      <c r="O226" s="9"/>
      <c r="P226" s="9"/>
      <c r="Q226" s="9"/>
      <c r="R226" s="9"/>
      <c r="S226" s="40"/>
      <c r="T226" s="40"/>
      <c r="U226" s="9"/>
      <c r="V226" s="9"/>
      <c r="W226" s="9"/>
      <c r="X226" s="9"/>
      <c r="Y226" s="9"/>
      <c r="Z226" s="9"/>
      <c r="AA226" s="9"/>
      <c r="AB226" s="9"/>
      <c r="AC226" s="10" t="str">
        <f aca="false">IF(A226="","",SG_Criteria!$B$6&amp;SG_Criteria!$B$9&amp;"\"&amp;A226&amp;"\")</f>
        <v/>
      </c>
      <c r="AD226" s="10" t="str">
        <f aca="false">IF(A226="","",A226&amp;"_CAD.dwg")</f>
        <v/>
      </c>
      <c r="AE226" s="10" t="str">
        <f aca="false">IF(A226="","",A226&amp;"_DWG.pdf")</f>
        <v/>
      </c>
      <c r="AF226" s="10" t="str">
        <f aca="false">IF(A226="","",IF(AB226="Y",A226&amp;"_STAAD.std","n/a"))</f>
        <v/>
      </c>
      <c r="AG226" s="10" t="str">
        <f aca="false">IF(A226="","",A226&amp;"_CALC.xlsx")</f>
        <v/>
      </c>
      <c r="AH226" s="10" t="str">
        <f aca="false">IF(A226="","",A226&amp;"_CALC.pdf")</f>
        <v/>
      </c>
      <c r="AI226" s="9"/>
      <c r="AJ226" s="9"/>
      <c r="AK226" s="41"/>
      <c r="AL226" s="41"/>
      <c r="AM226" s="41"/>
      <c r="AN226" s="41"/>
      <c r="AO226" s="41"/>
      <c r="AP226" s="38" t="str">
        <f aca="false">IF(OR(C226="",E226=""),"",IF(E226&lt;=IF(C226="Soldier Pile &amp; Timber Lagging",SG_Criteria!$B$34,SG_Criteria!$B$33),"No ERSS submission",IF(E226&lt;=SG_Criteria!$B$35,"QP(ST)",IF(E226&lt;=SG_Criteria!$B$36,"QP(ST) + AC","Geotechnical building works: QP(Geo) + AC"))))</f>
        <v/>
      </c>
      <c r="AQ226" s="38" t="str">
        <f aca="false">IF(C226="","",IF(LEN(IF(AND(U226&lt;&gt;"",IFERROR(VALUE(MID(U226,2,2)),0)&lt;SG_Criteria!$B$19),"FAIL: grade below C"&amp;SG_Criteria!$B$19&amp;". ","")&amp;IF(AND(LEFT(C226,3)="Con",N(H226)&lt;E226,G226="Kallang Formation (marine clay)"),"NOTE: CBP is not watertight below GWT in marine clay; consider secant / grouting. ","")&amp;IF(AND(C226="Steel Sheet Pile",D226="Permanent"),"NOTE: permanent sheet pile needs corrosion allowance. ","")&amp;IF(AND(F226="Cantilever (no support)",E226&gt;6),"NOTE: cantilever embedded wall &gt; 6 m, check deflection. ","")&amp;IF(AND(S226&lt;&gt;"",T226&lt;&gt;"",S226&gt;T226),"FAIL: deflection exceeds allowable. ",""))=0,"OK",IF(AND(U226&lt;&gt;"",IFERROR(VALUE(MID(U226,2,2)),0)&lt;SG_Criteria!$B$19),"FAIL: grade below C"&amp;SG_Criteria!$B$19&amp;". ","")&amp;IF(AND(LEFT(C226,3)="Con",N(H226)&lt;E226,G226="Kallang Formation (marine clay)"),"NOTE: CBP is not watertight below GWT in marine clay; consider secant / grouting. ","")&amp;IF(AND(C226="Steel Sheet Pile",D226="Permanent"),"NOTE: permanent sheet pile needs corrosion allowance. ","")&amp;IF(AND(F226="Cantilever (no support)",E226&gt;6),"NOTE: cantilever embedded wall &gt; 6 m, check deflection. ","")&amp;IF(AND(S226&lt;&gt;"",T226&lt;&gt;"",S226&gt;T226),"FAIL: deflection exceeds allowable. ","")))</f>
        <v/>
      </c>
      <c r="AR226" s="9"/>
      <c r="AS226" s="9"/>
      <c r="AT226" s="9"/>
      <c r="AU226" s="9"/>
      <c r="AV226" s="9"/>
      <c r="AW226" s="31"/>
      <c r="AX226" s="10" t="str">
        <f aca="false">IF(C226="","",IF(AND(Y226="Approved",ISERROR(SEARCH("FAIL",AQ226))),"Y","N"))</f>
        <v/>
      </c>
      <c r="AY226" s="10" t="str">
        <f aca="false">IF(C226="","",C226&amp;"|"&amp;E226&amp;"|"&amp;F226&amp;"|"&amp;G226&amp;"|"&amp;D226&amp;"|"&amp;AX226)</f>
        <v/>
      </c>
    </row>
    <row r="227" customFormat="false" ht="15" hidden="false" customHeight="false" outlineLevel="0" collapsed="false">
      <c r="A227" s="10" t="str">
        <f aca="false">IF(C227="","","EW-"&amp;IFERROR(VLOOKUP(C227,Lists!$P$4:$Q$22,2,0),"??")&amp;"-D"&amp;TEXT(E227*1000,"0000")&amp;"-"&amp;IFERROR(VLOOKUP(F227,Lists!$S$4:$T$21,2,0),"??")&amp;"-"&amp;IFERROR(VLOOKUP(G227,Lists!$Y$4:$Z$21,2,0),"??")&amp;"-"&amp;IFERROR(VLOOKUP(D227,Lists!$V$4:$W$16,2,0),"??")&amp;"-"&amp;X227)</f>
        <v/>
      </c>
      <c r="B227" s="10" t="str">
        <f aca="false">IF(C227="","",D227&amp;" "&amp;C227&amp;", excavation "&amp;TEXT(E227,"0.0")&amp;" m, "&amp;F227&amp;", "&amp;G227&amp;", "&amp;J227)</f>
        <v/>
      </c>
      <c r="C227" s="9"/>
      <c r="D227" s="9"/>
      <c r="E227" s="43"/>
      <c r="F227" s="9"/>
      <c r="G227" s="9"/>
      <c r="H227" s="43"/>
      <c r="I227" s="40"/>
      <c r="J227" s="9"/>
      <c r="K227" s="9"/>
      <c r="L227" s="9"/>
      <c r="M227" s="43"/>
      <c r="N227" s="43"/>
      <c r="O227" s="9"/>
      <c r="P227" s="9"/>
      <c r="Q227" s="9"/>
      <c r="R227" s="9"/>
      <c r="S227" s="40"/>
      <c r="T227" s="40"/>
      <c r="U227" s="9"/>
      <c r="V227" s="9"/>
      <c r="W227" s="9"/>
      <c r="X227" s="9"/>
      <c r="Y227" s="9"/>
      <c r="Z227" s="9"/>
      <c r="AA227" s="9"/>
      <c r="AB227" s="9"/>
      <c r="AC227" s="10" t="str">
        <f aca="false">IF(A227="","",SG_Criteria!$B$6&amp;SG_Criteria!$B$9&amp;"\"&amp;A227&amp;"\")</f>
        <v/>
      </c>
      <c r="AD227" s="10" t="str">
        <f aca="false">IF(A227="","",A227&amp;"_CAD.dwg")</f>
        <v/>
      </c>
      <c r="AE227" s="10" t="str">
        <f aca="false">IF(A227="","",A227&amp;"_DWG.pdf")</f>
        <v/>
      </c>
      <c r="AF227" s="10" t="str">
        <f aca="false">IF(A227="","",IF(AB227="Y",A227&amp;"_STAAD.std","n/a"))</f>
        <v/>
      </c>
      <c r="AG227" s="10" t="str">
        <f aca="false">IF(A227="","",A227&amp;"_CALC.xlsx")</f>
        <v/>
      </c>
      <c r="AH227" s="10" t="str">
        <f aca="false">IF(A227="","",A227&amp;"_CALC.pdf")</f>
        <v/>
      </c>
      <c r="AI227" s="9"/>
      <c r="AJ227" s="9"/>
      <c r="AK227" s="41"/>
      <c r="AL227" s="41"/>
      <c r="AM227" s="41"/>
      <c r="AN227" s="41"/>
      <c r="AO227" s="41"/>
      <c r="AP227" s="38" t="str">
        <f aca="false">IF(OR(C227="",E227=""),"",IF(E227&lt;=IF(C227="Soldier Pile &amp; Timber Lagging",SG_Criteria!$B$34,SG_Criteria!$B$33),"No ERSS submission",IF(E227&lt;=SG_Criteria!$B$35,"QP(ST)",IF(E227&lt;=SG_Criteria!$B$36,"QP(ST) + AC","Geotechnical building works: QP(Geo) + AC"))))</f>
        <v/>
      </c>
      <c r="AQ227" s="38" t="str">
        <f aca="false">IF(C227="","",IF(LEN(IF(AND(U227&lt;&gt;"",IFERROR(VALUE(MID(U227,2,2)),0)&lt;SG_Criteria!$B$19),"FAIL: grade below C"&amp;SG_Criteria!$B$19&amp;". ","")&amp;IF(AND(LEFT(C227,3)="Con",N(H227)&lt;E227,G227="Kallang Formation (marine clay)"),"NOTE: CBP is not watertight below GWT in marine clay; consider secant / grouting. ","")&amp;IF(AND(C227="Steel Sheet Pile",D227="Permanent"),"NOTE: permanent sheet pile needs corrosion allowance. ","")&amp;IF(AND(F227="Cantilever (no support)",E227&gt;6),"NOTE: cantilever embedded wall &gt; 6 m, check deflection. ","")&amp;IF(AND(S227&lt;&gt;"",T227&lt;&gt;"",S227&gt;T227),"FAIL: deflection exceeds allowable. ",""))=0,"OK",IF(AND(U227&lt;&gt;"",IFERROR(VALUE(MID(U227,2,2)),0)&lt;SG_Criteria!$B$19),"FAIL: grade below C"&amp;SG_Criteria!$B$19&amp;". ","")&amp;IF(AND(LEFT(C227,3)="Con",N(H227)&lt;E227,G227="Kallang Formation (marine clay)"),"NOTE: CBP is not watertight below GWT in marine clay; consider secant / grouting. ","")&amp;IF(AND(C227="Steel Sheet Pile",D227="Permanent"),"NOTE: permanent sheet pile needs corrosion allowance. ","")&amp;IF(AND(F227="Cantilever (no support)",E227&gt;6),"NOTE: cantilever embedded wall &gt; 6 m, check deflection. ","")&amp;IF(AND(S227&lt;&gt;"",T227&lt;&gt;"",S227&gt;T227),"FAIL: deflection exceeds allowable. ","")))</f>
        <v/>
      </c>
      <c r="AR227" s="9"/>
      <c r="AS227" s="9"/>
      <c r="AT227" s="9"/>
      <c r="AU227" s="9"/>
      <c r="AV227" s="9"/>
      <c r="AW227" s="31"/>
      <c r="AX227" s="10" t="str">
        <f aca="false">IF(C227="","",IF(AND(Y227="Approved",ISERROR(SEARCH("FAIL",AQ227))),"Y","N"))</f>
        <v/>
      </c>
      <c r="AY227" s="10" t="str">
        <f aca="false">IF(C227="","",C227&amp;"|"&amp;E227&amp;"|"&amp;F227&amp;"|"&amp;G227&amp;"|"&amp;D227&amp;"|"&amp;AX227)</f>
        <v/>
      </c>
    </row>
    <row r="228" customFormat="false" ht="15" hidden="false" customHeight="false" outlineLevel="0" collapsed="false">
      <c r="A228" s="10" t="str">
        <f aca="false">IF(C228="","","EW-"&amp;IFERROR(VLOOKUP(C228,Lists!$P$4:$Q$22,2,0),"??")&amp;"-D"&amp;TEXT(E228*1000,"0000")&amp;"-"&amp;IFERROR(VLOOKUP(F228,Lists!$S$4:$T$21,2,0),"??")&amp;"-"&amp;IFERROR(VLOOKUP(G228,Lists!$Y$4:$Z$21,2,0),"??")&amp;"-"&amp;IFERROR(VLOOKUP(D228,Lists!$V$4:$W$16,2,0),"??")&amp;"-"&amp;X228)</f>
        <v/>
      </c>
      <c r="B228" s="10" t="str">
        <f aca="false">IF(C228="","",D228&amp;" "&amp;C228&amp;", excavation "&amp;TEXT(E228,"0.0")&amp;" m, "&amp;F228&amp;", "&amp;G228&amp;", "&amp;J228)</f>
        <v/>
      </c>
      <c r="C228" s="9"/>
      <c r="D228" s="9"/>
      <c r="E228" s="43"/>
      <c r="F228" s="9"/>
      <c r="G228" s="9"/>
      <c r="H228" s="43"/>
      <c r="I228" s="40"/>
      <c r="J228" s="9"/>
      <c r="K228" s="9"/>
      <c r="L228" s="9"/>
      <c r="M228" s="43"/>
      <c r="N228" s="43"/>
      <c r="O228" s="9"/>
      <c r="P228" s="9"/>
      <c r="Q228" s="9"/>
      <c r="R228" s="9"/>
      <c r="S228" s="40"/>
      <c r="T228" s="40"/>
      <c r="U228" s="9"/>
      <c r="V228" s="9"/>
      <c r="W228" s="9"/>
      <c r="X228" s="9"/>
      <c r="Y228" s="9"/>
      <c r="Z228" s="9"/>
      <c r="AA228" s="9"/>
      <c r="AB228" s="9"/>
      <c r="AC228" s="10" t="str">
        <f aca="false">IF(A228="","",SG_Criteria!$B$6&amp;SG_Criteria!$B$9&amp;"\"&amp;A228&amp;"\")</f>
        <v/>
      </c>
      <c r="AD228" s="10" t="str">
        <f aca="false">IF(A228="","",A228&amp;"_CAD.dwg")</f>
        <v/>
      </c>
      <c r="AE228" s="10" t="str">
        <f aca="false">IF(A228="","",A228&amp;"_DWG.pdf")</f>
        <v/>
      </c>
      <c r="AF228" s="10" t="str">
        <f aca="false">IF(A228="","",IF(AB228="Y",A228&amp;"_STAAD.std","n/a"))</f>
        <v/>
      </c>
      <c r="AG228" s="10" t="str">
        <f aca="false">IF(A228="","",A228&amp;"_CALC.xlsx")</f>
        <v/>
      </c>
      <c r="AH228" s="10" t="str">
        <f aca="false">IF(A228="","",A228&amp;"_CALC.pdf")</f>
        <v/>
      </c>
      <c r="AI228" s="9"/>
      <c r="AJ228" s="9"/>
      <c r="AK228" s="41"/>
      <c r="AL228" s="41"/>
      <c r="AM228" s="41"/>
      <c r="AN228" s="41"/>
      <c r="AO228" s="41"/>
      <c r="AP228" s="38" t="str">
        <f aca="false">IF(OR(C228="",E228=""),"",IF(E228&lt;=IF(C228="Soldier Pile &amp; Timber Lagging",SG_Criteria!$B$34,SG_Criteria!$B$33),"No ERSS submission",IF(E228&lt;=SG_Criteria!$B$35,"QP(ST)",IF(E228&lt;=SG_Criteria!$B$36,"QP(ST) + AC","Geotechnical building works: QP(Geo) + AC"))))</f>
        <v/>
      </c>
      <c r="AQ228" s="38" t="str">
        <f aca="false">IF(C228="","",IF(LEN(IF(AND(U228&lt;&gt;"",IFERROR(VALUE(MID(U228,2,2)),0)&lt;SG_Criteria!$B$19),"FAIL: grade below C"&amp;SG_Criteria!$B$19&amp;". ","")&amp;IF(AND(LEFT(C228,3)="Con",N(H228)&lt;E228,G228="Kallang Formation (marine clay)"),"NOTE: CBP is not watertight below GWT in marine clay; consider secant / grouting. ","")&amp;IF(AND(C228="Steel Sheet Pile",D228="Permanent"),"NOTE: permanent sheet pile needs corrosion allowance. ","")&amp;IF(AND(F228="Cantilever (no support)",E228&gt;6),"NOTE: cantilever embedded wall &gt; 6 m, check deflection. ","")&amp;IF(AND(S228&lt;&gt;"",T228&lt;&gt;"",S228&gt;T228),"FAIL: deflection exceeds allowable. ",""))=0,"OK",IF(AND(U228&lt;&gt;"",IFERROR(VALUE(MID(U228,2,2)),0)&lt;SG_Criteria!$B$19),"FAIL: grade below C"&amp;SG_Criteria!$B$19&amp;". ","")&amp;IF(AND(LEFT(C228,3)="Con",N(H228)&lt;E228,G228="Kallang Formation (marine clay)"),"NOTE: CBP is not watertight below GWT in marine clay; consider secant / grouting. ","")&amp;IF(AND(C228="Steel Sheet Pile",D228="Permanent"),"NOTE: permanent sheet pile needs corrosion allowance. ","")&amp;IF(AND(F228="Cantilever (no support)",E228&gt;6),"NOTE: cantilever embedded wall &gt; 6 m, check deflection. ","")&amp;IF(AND(S228&lt;&gt;"",T228&lt;&gt;"",S228&gt;T228),"FAIL: deflection exceeds allowable. ","")))</f>
        <v/>
      </c>
      <c r="AR228" s="9"/>
      <c r="AS228" s="9"/>
      <c r="AT228" s="9"/>
      <c r="AU228" s="9"/>
      <c r="AV228" s="9"/>
      <c r="AW228" s="31"/>
      <c r="AX228" s="10" t="str">
        <f aca="false">IF(C228="","",IF(AND(Y228="Approved",ISERROR(SEARCH("FAIL",AQ228))),"Y","N"))</f>
        <v/>
      </c>
      <c r="AY228" s="10" t="str">
        <f aca="false">IF(C228="","",C228&amp;"|"&amp;E228&amp;"|"&amp;F228&amp;"|"&amp;G228&amp;"|"&amp;D228&amp;"|"&amp;AX228)</f>
        <v/>
      </c>
    </row>
    <row r="229" customFormat="false" ht="15" hidden="false" customHeight="false" outlineLevel="0" collapsed="false">
      <c r="A229" s="10" t="str">
        <f aca="false">IF(C229="","","EW-"&amp;IFERROR(VLOOKUP(C229,Lists!$P$4:$Q$22,2,0),"??")&amp;"-D"&amp;TEXT(E229*1000,"0000")&amp;"-"&amp;IFERROR(VLOOKUP(F229,Lists!$S$4:$T$21,2,0),"??")&amp;"-"&amp;IFERROR(VLOOKUP(G229,Lists!$Y$4:$Z$21,2,0),"??")&amp;"-"&amp;IFERROR(VLOOKUP(D229,Lists!$V$4:$W$16,2,0),"??")&amp;"-"&amp;X229)</f>
        <v/>
      </c>
      <c r="B229" s="10" t="str">
        <f aca="false">IF(C229="","",D229&amp;" "&amp;C229&amp;", excavation "&amp;TEXT(E229,"0.0")&amp;" m, "&amp;F229&amp;", "&amp;G229&amp;", "&amp;J229)</f>
        <v/>
      </c>
      <c r="C229" s="9"/>
      <c r="D229" s="9"/>
      <c r="E229" s="43"/>
      <c r="F229" s="9"/>
      <c r="G229" s="9"/>
      <c r="H229" s="43"/>
      <c r="I229" s="40"/>
      <c r="J229" s="9"/>
      <c r="K229" s="9"/>
      <c r="L229" s="9"/>
      <c r="M229" s="43"/>
      <c r="N229" s="43"/>
      <c r="O229" s="9"/>
      <c r="P229" s="9"/>
      <c r="Q229" s="9"/>
      <c r="R229" s="9"/>
      <c r="S229" s="40"/>
      <c r="T229" s="40"/>
      <c r="U229" s="9"/>
      <c r="V229" s="9"/>
      <c r="W229" s="9"/>
      <c r="X229" s="9"/>
      <c r="Y229" s="9"/>
      <c r="Z229" s="9"/>
      <c r="AA229" s="9"/>
      <c r="AB229" s="9"/>
      <c r="AC229" s="10" t="str">
        <f aca="false">IF(A229="","",SG_Criteria!$B$6&amp;SG_Criteria!$B$9&amp;"\"&amp;A229&amp;"\")</f>
        <v/>
      </c>
      <c r="AD229" s="10" t="str">
        <f aca="false">IF(A229="","",A229&amp;"_CAD.dwg")</f>
        <v/>
      </c>
      <c r="AE229" s="10" t="str">
        <f aca="false">IF(A229="","",A229&amp;"_DWG.pdf")</f>
        <v/>
      </c>
      <c r="AF229" s="10" t="str">
        <f aca="false">IF(A229="","",IF(AB229="Y",A229&amp;"_STAAD.std","n/a"))</f>
        <v/>
      </c>
      <c r="AG229" s="10" t="str">
        <f aca="false">IF(A229="","",A229&amp;"_CALC.xlsx")</f>
        <v/>
      </c>
      <c r="AH229" s="10" t="str">
        <f aca="false">IF(A229="","",A229&amp;"_CALC.pdf")</f>
        <v/>
      </c>
      <c r="AI229" s="9"/>
      <c r="AJ229" s="9"/>
      <c r="AK229" s="41"/>
      <c r="AL229" s="41"/>
      <c r="AM229" s="41"/>
      <c r="AN229" s="41"/>
      <c r="AO229" s="41"/>
      <c r="AP229" s="38" t="str">
        <f aca="false">IF(OR(C229="",E229=""),"",IF(E229&lt;=IF(C229="Soldier Pile &amp; Timber Lagging",SG_Criteria!$B$34,SG_Criteria!$B$33),"No ERSS submission",IF(E229&lt;=SG_Criteria!$B$35,"QP(ST)",IF(E229&lt;=SG_Criteria!$B$36,"QP(ST) + AC","Geotechnical building works: QP(Geo) + AC"))))</f>
        <v/>
      </c>
      <c r="AQ229" s="38" t="str">
        <f aca="false">IF(C229="","",IF(LEN(IF(AND(U229&lt;&gt;"",IFERROR(VALUE(MID(U229,2,2)),0)&lt;SG_Criteria!$B$19),"FAIL: grade below C"&amp;SG_Criteria!$B$19&amp;". ","")&amp;IF(AND(LEFT(C229,3)="Con",N(H229)&lt;E229,G229="Kallang Formation (marine clay)"),"NOTE: CBP is not watertight below GWT in marine clay; consider secant / grouting. ","")&amp;IF(AND(C229="Steel Sheet Pile",D229="Permanent"),"NOTE: permanent sheet pile needs corrosion allowance. ","")&amp;IF(AND(F229="Cantilever (no support)",E229&gt;6),"NOTE: cantilever embedded wall &gt; 6 m, check deflection. ","")&amp;IF(AND(S229&lt;&gt;"",T229&lt;&gt;"",S229&gt;T229),"FAIL: deflection exceeds allowable. ",""))=0,"OK",IF(AND(U229&lt;&gt;"",IFERROR(VALUE(MID(U229,2,2)),0)&lt;SG_Criteria!$B$19),"FAIL: grade below C"&amp;SG_Criteria!$B$19&amp;". ","")&amp;IF(AND(LEFT(C229,3)="Con",N(H229)&lt;E229,G229="Kallang Formation (marine clay)"),"NOTE: CBP is not watertight below GWT in marine clay; consider secant / grouting. ","")&amp;IF(AND(C229="Steel Sheet Pile",D229="Permanent"),"NOTE: permanent sheet pile needs corrosion allowance. ","")&amp;IF(AND(F229="Cantilever (no support)",E229&gt;6),"NOTE: cantilever embedded wall &gt; 6 m, check deflection. ","")&amp;IF(AND(S229&lt;&gt;"",T229&lt;&gt;"",S229&gt;T229),"FAIL: deflection exceeds allowable. ","")))</f>
        <v/>
      </c>
      <c r="AR229" s="9"/>
      <c r="AS229" s="9"/>
      <c r="AT229" s="9"/>
      <c r="AU229" s="9"/>
      <c r="AV229" s="9"/>
      <c r="AW229" s="31"/>
      <c r="AX229" s="10" t="str">
        <f aca="false">IF(C229="","",IF(AND(Y229="Approved",ISERROR(SEARCH("FAIL",AQ229))),"Y","N"))</f>
        <v/>
      </c>
      <c r="AY229" s="10" t="str">
        <f aca="false">IF(C229="","",C229&amp;"|"&amp;E229&amp;"|"&amp;F229&amp;"|"&amp;G229&amp;"|"&amp;D229&amp;"|"&amp;AX229)</f>
        <v/>
      </c>
    </row>
    <row r="230" customFormat="false" ht="15" hidden="false" customHeight="false" outlineLevel="0" collapsed="false">
      <c r="A230" s="10" t="str">
        <f aca="false">IF(C230="","","EW-"&amp;IFERROR(VLOOKUP(C230,Lists!$P$4:$Q$22,2,0),"??")&amp;"-D"&amp;TEXT(E230*1000,"0000")&amp;"-"&amp;IFERROR(VLOOKUP(F230,Lists!$S$4:$T$21,2,0),"??")&amp;"-"&amp;IFERROR(VLOOKUP(G230,Lists!$Y$4:$Z$21,2,0),"??")&amp;"-"&amp;IFERROR(VLOOKUP(D230,Lists!$V$4:$W$16,2,0),"??")&amp;"-"&amp;X230)</f>
        <v/>
      </c>
      <c r="B230" s="10" t="str">
        <f aca="false">IF(C230="","",D230&amp;" "&amp;C230&amp;", excavation "&amp;TEXT(E230,"0.0")&amp;" m, "&amp;F230&amp;", "&amp;G230&amp;", "&amp;J230)</f>
        <v/>
      </c>
      <c r="C230" s="9"/>
      <c r="D230" s="9"/>
      <c r="E230" s="43"/>
      <c r="F230" s="9"/>
      <c r="G230" s="9"/>
      <c r="H230" s="43"/>
      <c r="I230" s="40"/>
      <c r="J230" s="9"/>
      <c r="K230" s="9"/>
      <c r="L230" s="9"/>
      <c r="M230" s="43"/>
      <c r="N230" s="43"/>
      <c r="O230" s="9"/>
      <c r="P230" s="9"/>
      <c r="Q230" s="9"/>
      <c r="R230" s="9"/>
      <c r="S230" s="40"/>
      <c r="T230" s="40"/>
      <c r="U230" s="9"/>
      <c r="V230" s="9"/>
      <c r="W230" s="9"/>
      <c r="X230" s="9"/>
      <c r="Y230" s="9"/>
      <c r="Z230" s="9"/>
      <c r="AA230" s="9"/>
      <c r="AB230" s="9"/>
      <c r="AC230" s="10" t="str">
        <f aca="false">IF(A230="","",SG_Criteria!$B$6&amp;SG_Criteria!$B$9&amp;"\"&amp;A230&amp;"\")</f>
        <v/>
      </c>
      <c r="AD230" s="10" t="str">
        <f aca="false">IF(A230="","",A230&amp;"_CAD.dwg")</f>
        <v/>
      </c>
      <c r="AE230" s="10" t="str">
        <f aca="false">IF(A230="","",A230&amp;"_DWG.pdf")</f>
        <v/>
      </c>
      <c r="AF230" s="10" t="str">
        <f aca="false">IF(A230="","",IF(AB230="Y",A230&amp;"_STAAD.std","n/a"))</f>
        <v/>
      </c>
      <c r="AG230" s="10" t="str">
        <f aca="false">IF(A230="","",A230&amp;"_CALC.xlsx")</f>
        <v/>
      </c>
      <c r="AH230" s="10" t="str">
        <f aca="false">IF(A230="","",A230&amp;"_CALC.pdf")</f>
        <v/>
      </c>
      <c r="AI230" s="9"/>
      <c r="AJ230" s="9"/>
      <c r="AK230" s="41"/>
      <c r="AL230" s="41"/>
      <c r="AM230" s="41"/>
      <c r="AN230" s="41"/>
      <c r="AO230" s="41"/>
      <c r="AP230" s="38" t="str">
        <f aca="false">IF(OR(C230="",E230=""),"",IF(E230&lt;=IF(C230="Soldier Pile &amp; Timber Lagging",SG_Criteria!$B$34,SG_Criteria!$B$33),"No ERSS submission",IF(E230&lt;=SG_Criteria!$B$35,"QP(ST)",IF(E230&lt;=SG_Criteria!$B$36,"QP(ST) + AC","Geotechnical building works: QP(Geo) + AC"))))</f>
        <v/>
      </c>
      <c r="AQ230" s="38" t="str">
        <f aca="false">IF(C230="","",IF(LEN(IF(AND(U230&lt;&gt;"",IFERROR(VALUE(MID(U230,2,2)),0)&lt;SG_Criteria!$B$19),"FAIL: grade below C"&amp;SG_Criteria!$B$19&amp;". ","")&amp;IF(AND(LEFT(C230,3)="Con",N(H230)&lt;E230,G230="Kallang Formation (marine clay)"),"NOTE: CBP is not watertight below GWT in marine clay; consider secant / grouting. ","")&amp;IF(AND(C230="Steel Sheet Pile",D230="Permanent"),"NOTE: permanent sheet pile needs corrosion allowance. ","")&amp;IF(AND(F230="Cantilever (no support)",E230&gt;6),"NOTE: cantilever embedded wall &gt; 6 m, check deflection. ","")&amp;IF(AND(S230&lt;&gt;"",T230&lt;&gt;"",S230&gt;T230),"FAIL: deflection exceeds allowable. ",""))=0,"OK",IF(AND(U230&lt;&gt;"",IFERROR(VALUE(MID(U230,2,2)),0)&lt;SG_Criteria!$B$19),"FAIL: grade below C"&amp;SG_Criteria!$B$19&amp;". ","")&amp;IF(AND(LEFT(C230,3)="Con",N(H230)&lt;E230,G230="Kallang Formation (marine clay)"),"NOTE: CBP is not watertight below GWT in marine clay; consider secant / grouting. ","")&amp;IF(AND(C230="Steel Sheet Pile",D230="Permanent"),"NOTE: permanent sheet pile needs corrosion allowance. ","")&amp;IF(AND(F230="Cantilever (no support)",E230&gt;6),"NOTE: cantilever embedded wall &gt; 6 m, check deflection. ","")&amp;IF(AND(S230&lt;&gt;"",T230&lt;&gt;"",S230&gt;T230),"FAIL: deflection exceeds allowable. ","")))</f>
        <v/>
      </c>
      <c r="AR230" s="9"/>
      <c r="AS230" s="9"/>
      <c r="AT230" s="9"/>
      <c r="AU230" s="9"/>
      <c r="AV230" s="9"/>
      <c r="AW230" s="31"/>
      <c r="AX230" s="10" t="str">
        <f aca="false">IF(C230="","",IF(AND(Y230="Approved",ISERROR(SEARCH("FAIL",AQ230))),"Y","N"))</f>
        <v/>
      </c>
      <c r="AY230" s="10" t="str">
        <f aca="false">IF(C230="","",C230&amp;"|"&amp;E230&amp;"|"&amp;F230&amp;"|"&amp;G230&amp;"|"&amp;D230&amp;"|"&amp;AX230)</f>
        <v/>
      </c>
    </row>
    <row r="231" customFormat="false" ht="15" hidden="false" customHeight="false" outlineLevel="0" collapsed="false">
      <c r="A231" s="10" t="str">
        <f aca="false">IF(C231="","","EW-"&amp;IFERROR(VLOOKUP(C231,Lists!$P$4:$Q$22,2,0),"??")&amp;"-D"&amp;TEXT(E231*1000,"0000")&amp;"-"&amp;IFERROR(VLOOKUP(F231,Lists!$S$4:$T$21,2,0),"??")&amp;"-"&amp;IFERROR(VLOOKUP(G231,Lists!$Y$4:$Z$21,2,0),"??")&amp;"-"&amp;IFERROR(VLOOKUP(D231,Lists!$V$4:$W$16,2,0),"??")&amp;"-"&amp;X231)</f>
        <v/>
      </c>
      <c r="B231" s="10" t="str">
        <f aca="false">IF(C231="","",D231&amp;" "&amp;C231&amp;", excavation "&amp;TEXT(E231,"0.0")&amp;" m, "&amp;F231&amp;", "&amp;G231&amp;", "&amp;J231)</f>
        <v/>
      </c>
      <c r="C231" s="9"/>
      <c r="D231" s="9"/>
      <c r="E231" s="43"/>
      <c r="F231" s="9"/>
      <c r="G231" s="9"/>
      <c r="H231" s="43"/>
      <c r="I231" s="40"/>
      <c r="J231" s="9"/>
      <c r="K231" s="9"/>
      <c r="L231" s="9"/>
      <c r="M231" s="43"/>
      <c r="N231" s="43"/>
      <c r="O231" s="9"/>
      <c r="P231" s="9"/>
      <c r="Q231" s="9"/>
      <c r="R231" s="9"/>
      <c r="S231" s="40"/>
      <c r="T231" s="40"/>
      <c r="U231" s="9"/>
      <c r="V231" s="9"/>
      <c r="W231" s="9"/>
      <c r="X231" s="9"/>
      <c r="Y231" s="9"/>
      <c r="Z231" s="9"/>
      <c r="AA231" s="9"/>
      <c r="AB231" s="9"/>
      <c r="AC231" s="10" t="str">
        <f aca="false">IF(A231="","",SG_Criteria!$B$6&amp;SG_Criteria!$B$9&amp;"\"&amp;A231&amp;"\")</f>
        <v/>
      </c>
      <c r="AD231" s="10" t="str">
        <f aca="false">IF(A231="","",A231&amp;"_CAD.dwg")</f>
        <v/>
      </c>
      <c r="AE231" s="10" t="str">
        <f aca="false">IF(A231="","",A231&amp;"_DWG.pdf")</f>
        <v/>
      </c>
      <c r="AF231" s="10" t="str">
        <f aca="false">IF(A231="","",IF(AB231="Y",A231&amp;"_STAAD.std","n/a"))</f>
        <v/>
      </c>
      <c r="AG231" s="10" t="str">
        <f aca="false">IF(A231="","",A231&amp;"_CALC.xlsx")</f>
        <v/>
      </c>
      <c r="AH231" s="10" t="str">
        <f aca="false">IF(A231="","",A231&amp;"_CALC.pdf")</f>
        <v/>
      </c>
      <c r="AI231" s="9"/>
      <c r="AJ231" s="9"/>
      <c r="AK231" s="41"/>
      <c r="AL231" s="41"/>
      <c r="AM231" s="41"/>
      <c r="AN231" s="41"/>
      <c r="AO231" s="41"/>
      <c r="AP231" s="38" t="str">
        <f aca="false">IF(OR(C231="",E231=""),"",IF(E231&lt;=IF(C231="Soldier Pile &amp; Timber Lagging",SG_Criteria!$B$34,SG_Criteria!$B$33),"No ERSS submission",IF(E231&lt;=SG_Criteria!$B$35,"QP(ST)",IF(E231&lt;=SG_Criteria!$B$36,"QP(ST) + AC","Geotechnical building works: QP(Geo) + AC"))))</f>
        <v/>
      </c>
      <c r="AQ231" s="38" t="str">
        <f aca="false">IF(C231="","",IF(LEN(IF(AND(U231&lt;&gt;"",IFERROR(VALUE(MID(U231,2,2)),0)&lt;SG_Criteria!$B$19),"FAIL: grade below C"&amp;SG_Criteria!$B$19&amp;". ","")&amp;IF(AND(LEFT(C231,3)="Con",N(H231)&lt;E231,G231="Kallang Formation (marine clay)"),"NOTE: CBP is not watertight below GWT in marine clay; consider secant / grouting. ","")&amp;IF(AND(C231="Steel Sheet Pile",D231="Permanent"),"NOTE: permanent sheet pile needs corrosion allowance. ","")&amp;IF(AND(F231="Cantilever (no support)",E231&gt;6),"NOTE: cantilever embedded wall &gt; 6 m, check deflection. ","")&amp;IF(AND(S231&lt;&gt;"",T231&lt;&gt;"",S231&gt;T231),"FAIL: deflection exceeds allowable. ",""))=0,"OK",IF(AND(U231&lt;&gt;"",IFERROR(VALUE(MID(U231,2,2)),0)&lt;SG_Criteria!$B$19),"FAIL: grade below C"&amp;SG_Criteria!$B$19&amp;". ","")&amp;IF(AND(LEFT(C231,3)="Con",N(H231)&lt;E231,G231="Kallang Formation (marine clay)"),"NOTE: CBP is not watertight below GWT in marine clay; consider secant / grouting. ","")&amp;IF(AND(C231="Steel Sheet Pile",D231="Permanent"),"NOTE: permanent sheet pile needs corrosion allowance. ","")&amp;IF(AND(F231="Cantilever (no support)",E231&gt;6),"NOTE: cantilever embedded wall &gt; 6 m, check deflection. ","")&amp;IF(AND(S231&lt;&gt;"",T231&lt;&gt;"",S231&gt;T231),"FAIL: deflection exceeds allowable. ","")))</f>
        <v/>
      </c>
      <c r="AR231" s="9"/>
      <c r="AS231" s="9"/>
      <c r="AT231" s="9"/>
      <c r="AU231" s="9"/>
      <c r="AV231" s="9"/>
      <c r="AW231" s="31"/>
      <c r="AX231" s="10" t="str">
        <f aca="false">IF(C231="","",IF(AND(Y231="Approved",ISERROR(SEARCH("FAIL",AQ231))),"Y","N"))</f>
        <v/>
      </c>
      <c r="AY231" s="10" t="str">
        <f aca="false">IF(C231="","",C231&amp;"|"&amp;E231&amp;"|"&amp;F231&amp;"|"&amp;G231&amp;"|"&amp;D231&amp;"|"&amp;AX231)</f>
        <v/>
      </c>
    </row>
    <row r="232" customFormat="false" ht="15" hidden="false" customHeight="false" outlineLevel="0" collapsed="false">
      <c r="A232" s="10" t="str">
        <f aca="false">IF(C232="","","EW-"&amp;IFERROR(VLOOKUP(C232,Lists!$P$4:$Q$22,2,0),"??")&amp;"-D"&amp;TEXT(E232*1000,"0000")&amp;"-"&amp;IFERROR(VLOOKUP(F232,Lists!$S$4:$T$21,2,0),"??")&amp;"-"&amp;IFERROR(VLOOKUP(G232,Lists!$Y$4:$Z$21,2,0),"??")&amp;"-"&amp;IFERROR(VLOOKUP(D232,Lists!$V$4:$W$16,2,0),"??")&amp;"-"&amp;X232)</f>
        <v/>
      </c>
      <c r="B232" s="10" t="str">
        <f aca="false">IF(C232="","",D232&amp;" "&amp;C232&amp;", excavation "&amp;TEXT(E232,"0.0")&amp;" m, "&amp;F232&amp;", "&amp;G232&amp;", "&amp;J232)</f>
        <v/>
      </c>
      <c r="C232" s="9"/>
      <c r="D232" s="9"/>
      <c r="E232" s="43"/>
      <c r="F232" s="9"/>
      <c r="G232" s="9"/>
      <c r="H232" s="43"/>
      <c r="I232" s="40"/>
      <c r="J232" s="9"/>
      <c r="K232" s="9"/>
      <c r="L232" s="9"/>
      <c r="M232" s="43"/>
      <c r="N232" s="43"/>
      <c r="O232" s="9"/>
      <c r="P232" s="9"/>
      <c r="Q232" s="9"/>
      <c r="R232" s="9"/>
      <c r="S232" s="40"/>
      <c r="T232" s="40"/>
      <c r="U232" s="9"/>
      <c r="V232" s="9"/>
      <c r="W232" s="9"/>
      <c r="X232" s="9"/>
      <c r="Y232" s="9"/>
      <c r="Z232" s="9"/>
      <c r="AA232" s="9"/>
      <c r="AB232" s="9"/>
      <c r="AC232" s="10" t="str">
        <f aca="false">IF(A232="","",SG_Criteria!$B$6&amp;SG_Criteria!$B$9&amp;"\"&amp;A232&amp;"\")</f>
        <v/>
      </c>
      <c r="AD232" s="10" t="str">
        <f aca="false">IF(A232="","",A232&amp;"_CAD.dwg")</f>
        <v/>
      </c>
      <c r="AE232" s="10" t="str">
        <f aca="false">IF(A232="","",A232&amp;"_DWG.pdf")</f>
        <v/>
      </c>
      <c r="AF232" s="10" t="str">
        <f aca="false">IF(A232="","",IF(AB232="Y",A232&amp;"_STAAD.std","n/a"))</f>
        <v/>
      </c>
      <c r="AG232" s="10" t="str">
        <f aca="false">IF(A232="","",A232&amp;"_CALC.xlsx")</f>
        <v/>
      </c>
      <c r="AH232" s="10" t="str">
        <f aca="false">IF(A232="","",A232&amp;"_CALC.pdf")</f>
        <v/>
      </c>
      <c r="AI232" s="9"/>
      <c r="AJ232" s="9"/>
      <c r="AK232" s="41"/>
      <c r="AL232" s="41"/>
      <c r="AM232" s="41"/>
      <c r="AN232" s="41"/>
      <c r="AO232" s="41"/>
      <c r="AP232" s="38" t="str">
        <f aca="false">IF(OR(C232="",E232=""),"",IF(E232&lt;=IF(C232="Soldier Pile &amp; Timber Lagging",SG_Criteria!$B$34,SG_Criteria!$B$33),"No ERSS submission",IF(E232&lt;=SG_Criteria!$B$35,"QP(ST)",IF(E232&lt;=SG_Criteria!$B$36,"QP(ST) + AC","Geotechnical building works: QP(Geo) + AC"))))</f>
        <v/>
      </c>
      <c r="AQ232" s="38" t="str">
        <f aca="false">IF(C232="","",IF(LEN(IF(AND(U232&lt;&gt;"",IFERROR(VALUE(MID(U232,2,2)),0)&lt;SG_Criteria!$B$19),"FAIL: grade below C"&amp;SG_Criteria!$B$19&amp;". ","")&amp;IF(AND(LEFT(C232,3)="Con",N(H232)&lt;E232,G232="Kallang Formation (marine clay)"),"NOTE: CBP is not watertight below GWT in marine clay; consider secant / grouting. ","")&amp;IF(AND(C232="Steel Sheet Pile",D232="Permanent"),"NOTE: permanent sheet pile needs corrosion allowance. ","")&amp;IF(AND(F232="Cantilever (no support)",E232&gt;6),"NOTE: cantilever embedded wall &gt; 6 m, check deflection. ","")&amp;IF(AND(S232&lt;&gt;"",T232&lt;&gt;"",S232&gt;T232),"FAIL: deflection exceeds allowable. ",""))=0,"OK",IF(AND(U232&lt;&gt;"",IFERROR(VALUE(MID(U232,2,2)),0)&lt;SG_Criteria!$B$19),"FAIL: grade below C"&amp;SG_Criteria!$B$19&amp;". ","")&amp;IF(AND(LEFT(C232,3)="Con",N(H232)&lt;E232,G232="Kallang Formation (marine clay)"),"NOTE: CBP is not watertight below GWT in marine clay; consider secant / grouting. ","")&amp;IF(AND(C232="Steel Sheet Pile",D232="Permanent"),"NOTE: permanent sheet pile needs corrosion allowance. ","")&amp;IF(AND(F232="Cantilever (no support)",E232&gt;6),"NOTE: cantilever embedded wall &gt; 6 m, check deflection. ","")&amp;IF(AND(S232&lt;&gt;"",T232&lt;&gt;"",S232&gt;T232),"FAIL: deflection exceeds allowable. ","")))</f>
        <v/>
      </c>
      <c r="AR232" s="9"/>
      <c r="AS232" s="9"/>
      <c r="AT232" s="9"/>
      <c r="AU232" s="9"/>
      <c r="AV232" s="9"/>
      <c r="AW232" s="31"/>
      <c r="AX232" s="10" t="str">
        <f aca="false">IF(C232="","",IF(AND(Y232="Approved",ISERROR(SEARCH("FAIL",AQ232))),"Y","N"))</f>
        <v/>
      </c>
      <c r="AY232" s="10" t="str">
        <f aca="false">IF(C232="","",C232&amp;"|"&amp;E232&amp;"|"&amp;F232&amp;"|"&amp;G232&amp;"|"&amp;D232&amp;"|"&amp;AX232)</f>
        <v/>
      </c>
    </row>
    <row r="233" customFormat="false" ht="15" hidden="false" customHeight="false" outlineLevel="0" collapsed="false">
      <c r="A233" s="10" t="str">
        <f aca="false">IF(C233="","","EW-"&amp;IFERROR(VLOOKUP(C233,Lists!$P$4:$Q$22,2,0),"??")&amp;"-D"&amp;TEXT(E233*1000,"0000")&amp;"-"&amp;IFERROR(VLOOKUP(F233,Lists!$S$4:$T$21,2,0),"??")&amp;"-"&amp;IFERROR(VLOOKUP(G233,Lists!$Y$4:$Z$21,2,0),"??")&amp;"-"&amp;IFERROR(VLOOKUP(D233,Lists!$V$4:$W$16,2,0),"??")&amp;"-"&amp;X233)</f>
        <v/>
      </c>
      <c r="B233" s="10" t="str">
        <f aca="false">IF(C233="","",D233&amp;" "&amp;C233&amp;", excavation "&amp;TEXT(E233,"0.0")&amp;" m, "&amp;F233&amp;", "&amp;G233&amp;", "&amp;J233)</f>
        <v/>
      </c>
      <c r="C233" s="9"/>
      <c r="D233" s="9"/>
      <c r="E233" s="43"/>
      <c r="F233" s="9"/>
      <c r="G233" s="9"/>
      <c r="H233" s="43"/>
      <c r="I233" s="40"/>
      <c r="J233" s="9"/>
      <c r="K233" s="9"/>
      <c r="L233" s="9"/>
      <c r="M233" s="43"/>
      <c r="N233" s="43"/>
      <c r="O233" s="9"/>
      <c r="P233" s="9"/>
      <c r="Q233" s="9"/>
      <c r="R233" s="9"/>
      <c r="S233" s="40"/>
      <c r="T233" s="40"/>
      <c r="U233" s="9"/>
      <c r="V233" s="9"/>
      <c r="W233" s="9"/>
      <c r="X233" s="9"/>
      <c r="Y233" s="9"/>
      <c r="Z233" s="9"/>
      <c r="AA233" s="9"/>
      <c r="AB233" s="9"/>
      <c r="AC233" s="10" t="str">
        <f aca="false">IF(A233="","",SG_Criteria!$B$6&amp;SG_Criteria!$B$9&amp;"\"&amp;A233&amp;"\")</f>
        <v/>
      </c>
      <c r="AD233" s="10" t="str">
        <f aca="false">IF(A233="","",A233&amp;"_CAD.dwg")</f>
        <v/>
      </c>
      <c r="AE233" s="10" t="str">
        <f aca="false">IF(A233="","",A233&amp;"_DWG.pdf")</f>
        <v/>
      </c>
      <c r="AF233" s="10" t="str">
        <f aca="false">IF(A233="","",IF(AB233="Y",A233&amp;"_STAAD.std","n/a"))</f>
        <v/>
      </c>
      <c r="AG233" s="10" t="str">
        <f aca="false">IF(A233="","",A233&amp;"_CALC.xlsx")</f>
        <v/>
      </c>
      <c r="AH233" s="10" t="str">
        <f aca="false">IF(A233="","",A233&amp;"_CALC.pdf")</f>
        <v/>
      </c>
      <c r="AI233" s="9"/>
      <c r="AJ233" s="9"/>
      <c r="AK233" s="41"/>
      <c r="AL233" s="41"/>
      <c r="AM233" s="41"/>
      <c r="AN233" s="41"/>
      <c r="AO233" s="41"/>
      <c r="AP233" s="38" t="str">
        <f aca="false">IF(OR(C233="",E233=""),"",IF(E233&lt;=IF(C233="Soldier Pile &amp; Timber Lagging",SG_Criteria!$B$34,SG_Criteria!$B$33),"No ERSS submission",IF(E233&lt;=SG_Criteria!$B$35,"QP(ST)",IF(E233&lt;=SG_Criteria!$B$36,"QP(ST) + AC","Geotechnical building works: QP(Geo) + AC"))))</f>
        <v/>
      </c>
      <c r="AQ233" s="38" t="str">
        <f aca="false">IF(C233="","",IF(LEN(IF(AND(U233&lt;&gt;"",IFERROR(VALUE(MID(U233,2,2)),0)&lt;SG_Criteria!$B$19),"FAIL: grade below C"&amp;SG_Criteria!$B$19&amp;". ","")&amp;IF(AND(LEFT(C233,3)="Con",N(H233)&lt;E233,G233="Kallang Formation (marine clay)"),"NOTE: CBP is not watertight below GWT in marine clay; consider secant / grouting. ","")&amp;IF(AND(C233="Steel Sheet Pile",D233="Permanent"),"NOTE: permanent sheet pile needs corrosion allowance. ","")&amp;IF(AND(F233="Cantilever (no support)",E233&gt;6),"NOTE: cantilever embedded wall &gt; 6 m, check deflection. ","")&amp;IF(AND(S233&lt;&gt;"",T233&lt;&gt;"",S233&gt;T233),"FAIL: deflection exceeds allowable. ",""))=0,"OK",IF(AND(U233&lt;&gt;"",IFERROR(VALUE(MID(U233,2,2)),0)&lt;SG_Criteria!$B$19),"FAIL: grade below C"&amp;SG_Criteria!$B$19&amp;". ","")&amp;IF(AND(LEFT(C233,3)="Con",N(H233)&lt;E233,G233="Kallang Formation (marine clay)"),"NOTE: CBP is not watertight below GWT in marine clay; consider secant / grouting. ","")&amp;IF(AND(C233="Steel Sheet Pile",D233="Permanent"),"NOTE: permanent sheet pile needs corrosion allowance. ","")&amp;IF(AND(F233="Cantilever (no support)",E233&gt;6),"NOTE: cantilever embedded wall &gt; 6 m, check deflection. ","")&amp;IF(AND(S233&lt;&gt;"",T233&lt;&gt;"",S233&gt;T233),"FAIL: deflection exceeds allowable. ","")))</f>
        <v/>
      </c>
      <c r="AR233" s="9"/>
      <c r="AS233" s="9"/>
      <c r="AT233" s="9"/>
      <c r="AU233" s="9"/>
      <c r="AV233" s="9"/>
      <c r="AW233" s="31"/>
      <c r="AX233" s="10" t="str">
        <f aca="false">IF(C233="","",IF(AND(Y233="Approved",ISERROR(SEARCH("FAIL",AQ233))),"Y","N"))</f>
        <v/>
      </c>
      <c r="AY233" s="10" t="str">
        <f aca="false">IF(C233="","",C233&amp;"|"&amp;E233&amp;"|"&amp;F233&amp;"|"&amp;G233&amp;"|"&amp;D233&amp;"|"&amp;AX233)</f>
        <v/>
      </c>
    </row>
    <row r="234" customFormat="false" ht="15" hidden="false" customHeight="false" outlineLevel="0" collapsed="false">
      <c r="A234" s="10" t="str">
        <f aca="false">IF(C234="","","EW-"&amp;IFERROR(VLOOKUP(C234,Lists!$P$4:$Q$22,2,0),"??")&amp;"-D"&amp;TEXT(E234*1000,"0000")&amp;"-"&amp;IFERROR(VLOOKUP(F234,Lists!$S$4:$T$21,2,0),"??")&amp;"-"&amp;IFERROR(VLOOKUP(G234,Lists!$Y$4:$Z$21,2,0),"??")&amp;"-"&amp;IFERROR(VLOOKUP(D234,Lists!$V$4:$W$16,2,0),"??")&amp;"-"&amp;X234)</f>
        <v/>
      </c>
      <c r="B234" s="10" t="str">
        <f aca="false">IF(C234="","",D234&amp;" "&amp;C234&amp;", excavation "&amp;TEXT(E234,"0.0")&amp;" m, "&amp;F234&amp;", "&amp;G234&amp;", "&amp;J234)</f>
        <v/>
      </c>
      <c r="C234" s="9"/>
      <c r="D234" s="9"/>
      <c r="E234" s="43"/>
      <c r="F234" s="9"/>
      <c r="G234" s="9"/>
      <c r="H234" s="43"/>
      <c r="I234" s="40"/>
      <c r="J234" s="9"/>
      <c r="K234" s="9"/>
      <c r="L234" s="9"/>
      <c r="M234" s="43"/>
      <c r="N234" s="43"/>
      <c r="O234" s="9"/>
      <c r="P234" s="9"/>
      <c r="Q234" s="9"/>
      <c r="R234" s="9"/>
      <c r="S234" s="40"/>
      <c r="T234" s="40"/>
      <c r="U234" s="9"/>
      <c r="V234" s="9"/>
      <c r="W234" s="9"/>
      <c r="X234" s="9"/>
      <c r="Y234" s="9"/>
      <c r="Z234" s="9"/>
      <c r="AA234" s="9"/>
      <c r="AB234" s="9"/>
      <c r="AC234" s="10" t="str">
        <f aca="false">IF(A234="","",SG_Criteria!$B$6&amp;SG_Criteria!$B$9&amp;"\"&amp;A234&amp;"\")</f>
        <v/>
      </c>
      <c r="AD234" s="10" t="str">
        <f aca="false">IF(A234="","",A234&amp;"_CAD.dwg")</f>
        <v/>
      </c>
      <c r="AE234" s="10" t="str">
        <f aca="false">IF(A234="","",A234&amp;"_DWG.pdf")</f>
        <v/>
      </c>
      <c r="AF234" s="10" t="str">
        <f aca="false">IF(A234="","",IF(AB234="Y",A234&amp;"_STAAD.std","n/a"))</f>
        <v/>
      </c>
      <c r="AG234" s="10" t="str">
        <f aca="false">IF(A234="","",A234&amp;"_CALC.xlsx")</f>
        <v/>
      </c>
      <c r="AH234" s="10" t="str">
        <f aca="false">IF(A234="","",A234&amp;"_CALC.pdf")</f>
        <v/>
      </c>
      <c r="AI234" s="9"/>
      <c r="AJ234" s="9"/>
      <c r="AK234" s="41"/>
      <c r="AL234" s="41"/>
      <c r="AM234" s="41"/>
      <c r="AN234" s="41"/>
      <c r="AO234" s="41"/>
      <c r="AP234" s="38" t="str">
        <f aca="false">IF(OR(C234="",E234=""),"",IF(E234&lt;=IF(C234="Soldier Pile &amp; Timber Lagging",SG_Criteria!$B$34,SG_Criteria!$B$33),"No ERSS submission",IF(E234&lt;=SG_Criteria!$B$35,"QP(ST)",IF(E234&lt;=SG_Criteria!$B$36,"QP(ST) + AC","Geotechnical building works: QP(Geo) + AC"))))</f>
        <v/>
      </c>
      <c r="AQ234" s="38" t="str">
        <f aca="false">IF(C234="","",IF(LEN(IF(AND(U234&lt;&gt;"",IFERROR(VALUE(MID(U234,2,2)),0)&lt;SG_Criteria!$B$19),"FAIL: grade below C"&amp;SG_Criteria!$B$19&amp;". ","")&amp;IF(AND(LEFT(C234,3)="Con",N(H234)&lt;E234,G234="Kallang Formation (marine clay)"),"NOTE: CBP is not watertight below GWT in marine clay; consider secant / grouting. ","")&amp;IF(AND(C234="Steel Sheet Pile",D234="Permanent"),"NOTE: permanent sheet pile needs corrosion allowance. ","")&amp;IF(AND(F234="Cantilever (no support)",E234&gt;6),"NOTE: cantilever embedded wall &gt; 6 m, check deflection. ","")&amp;IF(AND(S234&lt;&gt;"",T234&lt;&gt;"",S234&gt;T234),"FAIL: deflection exceeds allowable. ",""))=0,"OK",IF(AND(U234&lt;&gt;"",IFERROR(VALUE(MID(U234,2,2)),0)&lt;SG_Criteria!$B$19),"FAIL: grade below C"&amp;SG_Criteria!$B$19&amp;". ","")&amp;IF(AND(LEFT(C234,3)="Con",N(H234)&lt;E234,G234="Kallang Formation (marine clay)"),"NOTE: CBP is not watertight below GWT in marine clay; consider secant / grouting. ","")&amp;IF(AND(C234="Steel Sheet Pile",D234="Permanent"),"NOTE: permanent sheet pile needs corrosion allowance. ","")&amp;IF(AND(F234="Cantilever (no support)",E234&gt;6),"NOTE: cantilever embedded wall &gt; 6 m, check deflection. ","")&amp;IF(AND(S234&lt;&gt;"",T234&lt;&gt;"",S234&gt;T234),"FAIL: deflection exceeds allowable. ","")))</f>
        <v/>
      </c>
      <c r="AR234" s="9"/>
      <c r="AS234" s="9"/>
      <c r="AT234" s="9"/>
      <c r="AU234" s="9"/>
      <c r="AV234" s="9"/>
      <c r="AW234" s="31"/>
      <c r="AX234" s="10" t="str">
        <f aca="false">IF(C234="","",IF(AND(Y234="Approved",ISERROR(SEARCH("FAIL",AQ234))),"Y","N"))</f>
        <v/>
      </c>
      <c r="AY234" s="10" t="str">
        <f aca="false">IF(C234="","",C234&amp;"|"&amp;E234&amp;"|"&amp;F234&amp;"|"&amp;G234&amp;"|"&amp;D234&amp;"|"&amp;AX234)</f>
        <v/>
      </c>
    </row>
    <row r="235" customFormat="false" ht="15" hidden="false" customHeight="false" outlineLevel="0" collapsed="false">
      <c r="A235" s="10" t="str">
        <f aca="false">IF(C235="","","EW-"&amp;IFERROR(VLOOKUP(C235,Lists!$P$4:$Q$22,2,0),"??")&amp;"-D"&amp;TEXT(E235*1000,"0000")&amp;"-"&amp;IFERROR(VLOOKUP(F235,Lists!$S$4:$T$21,2,0),"??")&amp;"-"&amp;IFERROR(VLOOKUP(G235,Lists!$Y$4:$Z$21,2,0),"??")&amp;"-"&amp;IFERROR(VLOOKUP(D235,Lists!$V$4:$W$16,2,0),"??")&amp;"-"&amp;X235)</f>
        <v/>
      </c>
      <c r="B235" s="10" t="str">
        <f aca="false">IF(C235="","",D235&amp;" "&amp;C235&amp;", excavation "&amp;TEXT(E235,"0.0")&amp;" m, "&amp;F235&amp;", "&amp;G235&amp;", "&amp;J235)</f>
        <v/>
      </c>
      <c r="C235" s="9"/>
      <c r="D235" s="9"/>
      <c r="E235" s="43"/>
      <c r="F235" s="9"/>
      <c r="G235" s="9"/>
      <c r="H235" s="43"/>
      <c r="I235" s="40"/>
      <c r="J235" s="9"/>
      <c r="K235" s="9"/>
      <c r="L235" s="9"/>
      <c r="M235" s="43"/>
      <c r="N235" s="43"/>
      <c r="O235" s="9"/>
      <c r="P235" s="9"/>
      <c r="Q235" s="9"/>
      <c r="R235" s="9"/>
      <c r="S235" s="40"/>
      <c r="T235" s="40"/>
      <c r="U235" s="9"/>
      <c r="V235" s="9"/>
      <c r="W235" s="9"/>
      <c r="X235" s="9"/>
      <c r="Y235" s="9"/>
      <c r="Z235" s="9"/>
      <c r="AA235" s="9"/>
      <c r="AB235" s="9"/>
      <c r="AC235" s="10" t="str">
        <f aca="false">IF(A235="","",SG_Criteria!$B$6&amp;SG_Criteria!$B$9&amp;"\"&amp;A235&amp;"\")</f>
        <v/>
      </c>
      <c r="AD235" s="10" t="str">
        <f aca="false">IF(A235="","",A235&amp;"_CAD.dwg")</f>
        <v/>
      </c>
      <c r="AE235" s="10" t="str">
        <f aca="false">IF(A235="","",A235&amp;"_DWG.pdf")</f>
        <v/>
      </c>
      <c r="AF235" s="10" t="str">
        <f aca="false">IF(A235="","",IF(AB235="Y",A235&amp;"_STAAD.std","n/a"))</f>
        <v/>
      </c>
      <c r="AG235" s="10" t="str">
        <f aca="false">IF(A235="","",A235&amp;"_CALC.xlsx")</f>
        <v/>
      </c>
      <c r="AH235" s="10" t="str">
        <f aca="false">IF(A235="","",A235&amp;"_CALC.pdf")</f>
        <v/>
      </c>
      <c r="AI235" s="9"/>
      <c r="AJ235" s="9"/>
      <c r="AK235" s="41"/>
      <c r="AL235" s="41"/>
      <c r="AM235" s="41"/>
      <c r="AN235" s="41"/>
      <c r="AO235" s="41"/>
      <c r="AP235" s="38" t="str">
        <f aca="false">IF(OR(C235="",E235=""),"",IF(E235&lt;=IF(C235="Soldier Pile &amp; Timber Lagging",SG_Criteria!$B$34,SG_Criteria!$B$33),"No ERSS submission",IF(E235&lt;=SG_Criteria!$B$35,"QP(ST)",IF(E235&lt;=SG_Criteria!$B$36,"QP(ST) + AC","Geotechnical building works: QP(Geo) + AC"))))</f>
        <v/>
      </c>
      <c r="AQ235" s="38" t="str">
        <f aca="false">IF(C235="","",IF(LEN(IF(AND(U235&lt;&gt;"",IFERROR(VALUE(MID(U235,2,2)),0)&lt;SG_Criteria!$B$19),"FAIL: grade below C"&amp;SG_Criteria!$B$19&amp;". ","")&amp;IF(AND(LEFT(C235,3)="Con",N(H235)&lt;E235,G235="Kallang Formation (marine clay)"),"NOTE: CBP is not watertight below GWT in marine clay; consider secant / grouting. ","")&amp;IF(AND(C235="Steel Sheet Pile",D235="Permanent"),"NOTE: permanent sheet pile needs corrosion allowance. ","")&amp;IF(AND(F235="Cantilever (no support)",E235&gt;6),"NOTE: cantilever embedded wall &gt; 6 m, check deflection. ","")&amp;IF(AND(S235&lt;&gt;"",T235&lt;&gt;"",S235&gt;T235),"FAIL: deflection exceeds allowable. ",""))=0,"OK",IF(AND(U235&lt;&gt;"",IFERROR(VALUE(MID(U235,2,2)),0)&lt;SG_Criteria!$B$19),"FAIL: grade below C"&amp;SG_Criteria!$B$19&amp;". ","")&amp;IF(AND(LEFT(C235,3)="Con",N(H235)&lt;E235,G235="Kallang Formation (marine clay)"),"NOTE: CBP is not watertight below GWT in marine clay; consider secant / grouting. ","")&amp;IF(AND(C235="Steel Sheet Pile",D235="Permanent"),"NOTE: permanent sheet pile needs corrosion allowance. ","")&amp;IF(AND(F235="Cantilever (no support)",E235&gt;6),"NOTE: cantilever embedded wall &gt; 6 m, check deflection. ","")&amp;IF(AND(S235&lt;&gt;"",T235&lt;&gt;"",S235&gt;T235),"FAIL: deflection exceeds allowable. ","")))</f>
        <v/>
      </c>
      <c r="AR235" s="9"/>
      <c r="AS235" s="9"/>
      <c r="AT235" s="9"/>
      <c r="AU235" s="9"/>
      <c r="AV235" s="9"/>
      <c r="AW235" s="31"/>
      <c r="AX235" s="10" t="str">
        <f aca="false">IF(C235="","",IF(AND(Y235="Approved",ISERROR(SEARCH("FAIL",AQ235))),"Y","N"))</f>
        <v/>
      </c>
      <c r="AY235" s="10" t="str">
        <f aca="false">IF(C235="","",C235&amp;"|"&amp;E235&amp;"|"&amp;F235&amp;"|"&amp;G235&amp;"|"&amp;D235&amp;"|"&amp;AX235)</f>
        <v/>
      </c>
    </row>
    <row r="236" customFormat="false" ht="15" hidden="false" customHeight="false" outlineLevel="0" collapsed="false">
      <c r="A236" s="10" t="str">
        <f aca="false">IF(C236="","","EW-"&amp;IFERROR(VLOOKUP(C236,Lists!$P$4:$Q$22,2,0),"??")&amp;"-D"&amp;TEXT(E236*1000,"0000")&amp;"-"&amp;IFERROR(VLOOKUP(F236,Lists!$S$4:$T$21,2,0),"??")&amp;"-"&amp;IFERROR(VLOOKUP(G236,Lists!$Y$4:$Z$21,2,0),"??")&amp;"-"&amp;IFERROR(VLOOKUP(D236,Lists!$V$4:$W$16,2,0),"??")&amp;"-"&amp;X236)</f>
        <v/>
      </c>
      <c r="B236" s="10" t="str">
        <f aca="false">IF(C236="","",D236&amp;" "&amp;C236&amp;", excavation "&amp;TEXT(E236,"0.0")&amp;" m, "&amp;F236&amp;", "&amp;G236&amp;", "&amp;J236)</f>
        <v/>
      </c>
      <c r="C236" s="9"/>
      <c r="D236" s="9"/>
      <c r="E236" s="43"/>
      <c r="F236" s="9"/>
      <c r="G236" s="9"/>
      <c r="H236" s="43"/>
      <c r="I236" s="40"/>
      <c r="J236" s="9"/>
      <c r="K236" s="9"/>
      <c r="L236" s="9"/>
      <c r="M236" s="43"/>
      <c r="N236" s="43"/>
      <c r="O236" s="9"/>
      <c r="P236" s="9"/>
      <c r="Q236" s="9"/>
      <c r="R236" s="9"/>
      <c r="S236" s="40"/>
      <c r="T236" s="40"/>
      <c r="U236" s="9"/>
      <c r="V236" s="9"/>
      <c r="W236" s="9"/>
      <c r="X236" s="9"/>
      <c r="Y236" s="9"/>
      <c r="Z236" s="9"/>
      <c r="AA236" s="9"/>
      <c r="AB236" s="9"/>
      <c r="AC236" s="10" t="str">
        <f aca="false">IF(A236="","",SG_Criteria!$B$6&amp;SG_Criteria!$B$9&amp;"\"&amp;A236&amp;"\")</f>
        <v/>
      </c>
      <c r="AD236" s="10" t="str">
        <f aca="false">IF(A236="","",A236&amp;"_CAD.dwg")</f>
        <v/>
      </c>
      <c r="AE236" s="10" t="str">
        <f aca="false">IF(A236="","",A236&amp;"_DWG.pdf")</f>
        <v/>
      </c>
      <c r="AF236" s="10" t="str">
        <f aca="false">IF(A236="","",IF(AB236="Y",A236&amp;"_STAAD.std","n/a"))</f>
        <v/>
      </c>
      <c r="AG236" s="10" t="str">
        <f aca="false">IF(A236="","",A236&amp;"_CALC.xlsx")</f>
        <v/>
      </c>
      <c r="AH236" s="10" t="str">
        <f aca="false">IF(A236="","",A236&amp;"_CALC.pdf")</f>
        <v/>
      </c>
      <c r="AI236" s="9"/>
      <c r="AJ236" s="9"/>
      <c r="AK236" s="41"/>
      <c r="AL236" s="41"/>
      <c r="AM236" s="41"/>
      <c r="AN236" s="41"/>
      <c r="AO236" s="41"/>
      <c r="AP236" s="38" t="str">
        <f aca="false">IF(OR(C236="",E236=""),"",IF(E236&lt;=IF(C236="Soldier Pile &amp; Timber Lagging",SG_Criteria!$B$34,SG_Criteria!$B$33),"No ERSS submission",IF(E236&lt;=SG_Criteria!$B$35,"QP(ST)",IF(E236&lt;=SG_Criteria!$B$36,"QP(ST) + AC","Geotechnical building works: QP(Geo) + AC"))))</f>
        <v/>
      </c>
      <c r="AQ236" s="38" t="str">
        <f aca="false">IF(C236="","",IF(LEN(IF(AND(U236&lt;&gt;"",IFERROR(VALUE(MID(U236,2,2)),0)&lt;SG_Criteria!$B$19),"FAIL: grade below C"&amp;SG_Criteria!$B$19&amp;". ","")&amp;IF(AND(LEFT(C236,3)="Con",N(H236)&lt;E236,G236="Kallang Formation (marine clay)"),"NOTE: CBP is not watertight below GWT in marine clay; consider secant / grouting. ","")&amp;IF(AND(C236="Steel Sheet Pile",D236="Permanent"),"NOTE: permanent sheet pile needs corrosion allowance. ","")&amp;IF(AND(F236="Cantilever (no support)",E236&gt;6),"NOTE: cantilever embedded wall &gt; 6 m, check deflection. ","")&amp;IF(AND(S236&lt;&gt;"",T236&lt;&gt;"",S236&gt;T236),"FAIL: deflection exceeds allowable. ",""))=0,"OK",IF(AND(U236&lt;&gt;"",IFERROR(VALUE(MID(U236,2,2)),0)&lt;SG_Criteria!$B$19),"FAIL: grade below C"&amp;SG_Criteria!$B$19&amp;". ","")&amp;IF(AND(LEFT(C236,3)="Con",N(H236)&lt;E236,G236="Kallang Formation (marine clay)"),"NOTE: CBP is not watertight below GWT in marine clay; consider secant / grouting. ","")&amp;IF(AND(C236="Steel Sheet Pile",D236="Permanent"),"NOTE: permanent sheet pile needs corrosion allowance. ","")&amp;IF(AND(F236="Cantilever (no support)",E236&gt;6),"NOTE: cantilever embedded wall &gt; 6 m, check deflection. ","")&amp;IF(AND(S236&lt;&gt;"",T236&lt;&gt;"",S236&gt;T236),"FAIL: deflection exceeds allowable. ","")))</f>
        <v/>
      </c>
      <c r="AR236" s="9"/>
      <c r="AS236" s="9"/>
      <c r="AT236" s="9"/>
      <c r="AU236" s="9"/>
      <c r="AV236" s="9"/>
      <c r="AW236" s="31"/>
      <c r="AX236" s="10" t="str">
        <f aca="false">IF(C236="","",IF(AND(Y236="Approved",ISERROR(SEARCH("FAIL",AQ236))),"Y","N"))</f>
        <v/>
      </c>
      <c r="AY236" s="10" t="str">
        <f aca="false">IF(C236="","",C236&amp;"|"&amp;E236&amp;"|"&amp;F236&amp;"|"&amp;G236&amp;"|"&amp;D236&amp;"|"&amp;AX236)</f>
        <v/>
      </c>
    </row>
    <row r="237" customFormat="false" ht="15" hidden="false" customHeight="false" outlineLevel="0" collapsed="false">
      <c r="A237" s="10" t="str">
        <f aca="false">IF(C237="","","EW-"&amp;IFERROR(VLOOKUP(C237,Lists!$P$4:$Q$22,2,0),"??")&amp;"-D"&amp;TEXT(E237*1000,"0000")&amp;"-"&amp;IFERROR(VLOOKUP(F237,Lists!$S$4:$T$21,2,0),"??")&amp;"-"&amp;IFERROR(VLOOKUP(G237,Lists!$Y$4:$Z$21,2,0),"??")&amp;"-"&amp;IFERROR(VLOOKUP(D237,Lists!$V$4:$W$16,2,0),"??")&amp;"-"&amp;X237)</f>
        <v/>
      </c>
      <c r="B237" s="10" t="str">
        <f aca="false">IF(C237="","",D237&amp;" "&amp;C237&amp;", excavation "&amp;TEXT(E237,"0.0")&amp;" m, "&amp;F237&amp;", "&amp;G237&amp;", "&amp;J237)</f>
        <v/>
      </c>
      <c r="C237" s="9"/>
      <c r="D237" s="9"/>
      <c r="E237" s="43"/>
      <c r="F237" s="9"/>
      <c r="G237" s="9"/>
      <c r="H237" s="43"/>
      <c r="I237" s="40"/>
      <c r="J237" s="9"/>
      <c r="K237" s="9"/>
      <c r="L237" s="9"/>
      <c r="M237" s="43"/>
      <c r="N237" s="43"/>
      <c r="O237" s="9"/>
      <c r="P237" s="9"/>
      <c r="Q237" s="9"/>
      <c r="R237" s="9"/>
      <c r="S237" s="40"/>
      <c r="T237" s="40"/>
      <c r="U237" s="9"/>
      <c r="V237" s="9"/>
      <c r="W237" s="9"/>
      <c r="X237" s="9"/>
      <c r="Y237" s="9"/>
      <c r="Z237" s="9"/>
      <c r="AA237" s="9"/>
      <c r="AB237" s="9"/>
      <c r="AC237" s="10" t="str">
        <f aca="false">IF(A237="","",SG_Criteria!$B$6&amp;SG_Criteria!$B$9&amp;"\"&amp;A237&amp;"\")</f>
        <v/>
      </c>
      <c r="AD237" s="10" t="str">
        <f aca="false">IF(A237="","",A237&amp;"_CAD.dwg")</f>
        <v/>
      </c>
      <c r="AE237" s="10" t="str">
        <f aca="false">IF(A237="","",A237&amp;"_DWG.pdf")</f>
        <v/>
      </c>
      <c r="AF237" s="10" t="str">
        <f aca="false">IF(A237="","",IF(AB237="Y",A237&amp;"_STAAD.std","n/a"))</f>
        <v/>
      </c>
      <c r="AG237" s="10" t="str">
        <f aca="false">IF(A237="","",A237&amp;"_CALC.xlsx")</f>
        <v/>
      </c>
      <c r="AH237" s="10" t="str">
        <f aca="false">IF(A237="","",A237&amp;"_CALC.pdf")</f>
        <v/>
      </c>
      <c r="AI237" s="9"/>
      <c r="AJ237" s="9"/>
      <c r="AK237" s="41"/>
      <c r="AL237" s="41"/>
      <c r="AM237" s="41"/>
      <c r="AN237" s="41"/>
      <c r="AO237" s="41"/>
      <c r="AP237" s="38" t="str">
        <f aca="false">IF(OR(C237="",E237=""),"",IF(E237&lt;=IF(C237="Soldier Pile &amp; Timber Lagging",SG_Criteria!$B$34,SG_Criteria!$B$33),"No ERSS submission",IF(E237&lt;=SG_Criteria!$B$35,"QP(ST)",IF(E237&lt;=SG_Criteria!$B$36,"QP(ST) + AC","Geotechnical building works: QP(Geo) + AC"))))</f>
        <v/>
      </c>
      <c r="AQ237" s="38" t="str">
        <f aca="false">IF(C237="","",IF(LEN(IF(AND(U237&lt;&gt;"",IFERROR(VALUE(MID(U237,2,2)),0)&lt;SG_Criteria!$B$19),"FAIL: grade below C"&amp;SG_Criteria!$B$19&amp;". ","")&amp;IF(AND(LEFT(C237,3)="Con",N(H237)&lt;E237,G237="Kallang Formation (marine clay)"),"NOTE: CBP is not watertight below GWT in marine clay; consider secant / grouting. ","")&amp;IF(AND(C237="Steel Sheet Pile",D237="Permanent"),"NOTE: permanent sheet pile needs corrosion allowance. ","")&amp;IF(AND(F237="Cantilever (no support)",E237&gt;6),"NOTE: cantilever embedded wall &gt; 6 m, check deflection. ","")&amp;IF(AND(S237&lt;&gt;"",T237&lt;&gt;"",S237&gt;T237),"FAIL: deflection exceeds allowable. ",""))=0,"OK",IF(AND(U237&lt;&gt;"",IFERROR(VALUE(MID(U237,2,2)),0)&lt;SG_Criteria!$B$19),"FAIL: grade below C"&amp;SG_Criteria!$B$19&amp;". ","")&amp;IF(AND(LEFT(C237,3)="Con",N(H237)&lt;E237,G237="Kallang Formation (marine clay)"),"NOTE: CBP is not watertight below GWT in marine clay; consider secant / grouting. ","")&amp;IF(AND(C237="Steel Sheet Pile",D237="Permanent"),"NOTE: permanent sheet pile needs corrosion allowance. ","")&amp;IF(AND(F237="Cantilever (no support)",E237&gt;6),"NOTE: cantilever embedded wall &gt; 6 m, check deflection. ","")&amp;IF(AND(S237&lt;&gt;"",T237&lt;&gt;"",S237&gt;T237),"FAIL: deflection exceeds allowable. ","")))</f>
        <v/>
      </c>
      <c r="AR237" s="9"/>
      <c r="AS237" s="9"/>
      <c r="AT237" s="9"/>
      <c r="AU237" s="9"/>
      <c r="AV237" s="9"/>
      <c r="AW237" s="31"/>
      <c r="AX237" s="10" t="str">
        <f aca="false">IF(C237="","",IF(AND(Y237="Approved",ISERROR(SEARCH("FAIL",AQ237))),"Y","N"))</f>
        <v/>
      </c>
      <c r="AY237" s="10" t="str">
        <f aca="false">IF(C237="","",C237&amp;"|"&amp;E237&amp;"|"&amp;F237&amp;"|"&amp;G237&amp;"|"&amp;D237&amp;"|"&amp;AX237)</f>
        <v/>
      </c>
    </row>
    <row r="238" customFormat="false" ht="15" hidden="false" customHeight="false" outlineLevel="0" collapsed="false">
      <c r="A238" s="10" t="str">
        <f aca="false">IF(C238="","","EW-"&amp;IFERROR(VLOOKUP(C238,Lists!$P$4:$Q$22,2,0),"??")&amp;"-D"&amp;TEXT(E238*1000,"0000")&amp;"-"&amp;IFERROR(VLOOKUP(F238,Lists!$S$4:$T$21,2,0),"??")&amp;"-"&amp;IFERROR(VLOOKUP(G238,Lists!$Y$4:$Z$21,2,0),"??")&amp;"-"&amp;IFERROR(VLOOKUP(D238,Lists!$V$4:$W$16,2,0),"??")&amp;"-"&amp;X238)</f>
        <v/>
      </c>
      <c r="B238" s="10" t="str">
        <f aca="false">IF(C238="","",D238&amp;" "&amp;C238&amp;", excavation "&amp;TEXT(E238,"0.0")&amp;" m, "&amp;F238&amp;", "&amp;G238&amp;", "&amp;J238)</f>
        <v/>
      </c>
      <c r="C238" s="9"/>
      <c r="D238" s="9"/>
      <c r="E238" s="43"/>
      <c r="F238" s="9"/>
      <c r="G238" s="9"/>
      <c r="H238" s="43"/>
      <c r="I238" s="40"/>
      <c r="J238" s="9"/>
      <c r="K238" s="9"/>
      <c r="L238" s="9"/>
      <c r="M238" s="43"/>
      <c r="N238" s="43"/>
      <c r="O238" s="9"/>
      <c r="P238" s="9"/>
      <c r="Q238" s="9"/>
      <c r="R238" s="9"/>
      <c r="S238" s="40"/>
      <c r="T238" s="40"/>
      <c r="U238" s="9"/>
      <c r="V238" s="9"/>
      <c r="W238" s="9"/>
      <c r="X238" s="9"/>
      <c r="Y238" s="9"/>
      <c r="Z238" s="9"/>
      <c r="AA238" s="9"/>
      <c r="AB238" s="9"/>
      <c r="AC238" s="10" t="str">
        <f aca="false">IF(A238="","",SG_Criteria!$B$6&amp;SG_Criteria!$B$9&amp;"\"&amp;A238&amp;"\")</f>
        <v/>
      </c>
      <c r="AD238" s="10" t="str">
        <f aca="false">IF(A238="","",A238&amp;"_CAD.dwg")</f>
        <v/>
      </c>
      <c r="AE238" s="10" t="str">
        <f aca="false">IF(A238="","",A238&amp;"_DWG.pdf")</f>
        <v/>
      </c>
      <c r="AF238" s="10" t="str">
        <f aca="false">IF(A238="","",IF(AB238="Y",A238&amp;"_STAAD.std","n/a"))</f>
        <v/>
      </c>
      <c r="AG238" s="10" t="str">
        <f aca="false">IF(A238="","",A238&amp;"_CALC.xlsx")</f>
        <v/>
      </c>
      <c r="AH238" s="10" t="str">
        <f aca="false">IF(A238="","",A238&amp;"_CALC.pdf")</f>
        <v/>
      </c>
      <c r="AI238" s="9"/>
      <c r="AJ238" s="9"/>
      <c r="AK238" s="41"/>
      <c r="AL238" s="41"/>
      <c r="AM238" s="41"/>
      <c r="AN238" s="41"/>
      <c r="AO238" s="41"/>
      <c r="AP238" s="38" t="str">
        <f aca="false">IF(OR(C238="",E238=""),"",IF(E238&lt;=IF(C238="Soldier Pile &amp; Timber Lagging",SG_Criteria!$B$34,SG_Criteria!$B$33),"No ERSS submission",IF(E238&lt;=SG_Criteria!$B$35,"QP(ST)",IF(E238&lt;=SG_Criteria!$B$36,"QP(ST) + AC","Geotechnical building works: QP(Geo) + AC"))))</f>
        <v/>
      </c>
      <c r="AQ238" s="38" t="str">
        <f aca="false">IF(C238="","",IF(LEN(IF(AND(U238&lt;&gt;"",IFERROR(VALUE(MID(U238,2,2)),0)&lt;SG_Criteria!$B$19),"FAIL: grade below C"&amp;SG_Criteria!$B$19&amp;". ","")&amp;IF(AND(LEFT(C238,3)="Con",N(H238)&lt;E238,G238="Kallang Formation (marine clay)"),"NOTE: CBP is not watertight below GWT in marine clay; consider secant / grouting. ","")&amp;IF(AND(C238="Steel Sheet Pile",D238="Permanent"),"NOTE: permanent sheet pile needs corrosion allowance. ","")&amp;IF(AND(F238="Cantilever (no support)",E238&gt;6),"NOTE: cantilever embedded wall &gt; 6 m, check deflection. ","")&amp;IF(AND(S238&lt;&gt;"",T238&lt;&gt;"",S238&gt;T238),"FAIL: deflection exceeds allowable. ",""))=0,"OK",IF(AND(U238&lt;&gt;"",IFERROR(VALUE(MID(U238,2,2)),0)&lt;SG_Criteria!$B$19),"FAIL: grade below C"&amp;SG_Criteria!$B$19&amp;". ","")&amp;IF(AND(LEFT(C238,3)="Con",N(H238)&lt;E238,G238="Kallang Formation (marine clay)"),"NOTE: CBP is not watertight below GWT in marine clay; consider secant / grouting. ","")&amp;IF(AND(C238="Steel Sheet Pile",D238="Permanent"),"NOTE: permanent sheet pile needs corrosion allowance. ","")&amp;IF(AND(F238="Cantilever (no support)",E238&gt;6),"NOTE: cantilever embedded wall &gt; 6 m, check deflection. ","")&amp;IF(AND(S238&lt;&gt;"",T238&lt;&gt;"",S238&gt;T238),"FAIL: deflection exceeds allowable. ","")))</f>
        <v/>
      </c>
      <c r="AR238" s="9"/>
      <c r="AS238" s="9"/>
      <c r="AT238" s="9"/>
      <c r="AU238" s="9"/>
      <c r="AV238" s="9"/>
      <c r="AW238" s="31"/>
      <c r="AX238" s="10" t="str">
        <f aca="false">IF(C238="","",IF(AND(Y238="Approved",ISERROR(SEARCH("FAIL",AQ238))),"Y","N"))</f>
        <v/>
      </c>
      <c r="AY238" s="10" t="str">
        <f aca="false">IF(C238="","",C238&amp;"|"&amp;E238&amp;"|"&amp;F238&amp;"|"&amp;G238&amp;"|"&amp;D238&amp;"|"&amp;AX238)</f>
        <v/>
      </c>
    </row>
    <row r="239" customFormat="false" ht="15" hidden="false" customHeight="false" outlineLevel="0" collapsed="false">
      <c r="A239" s="10" t="str">
        <f aca="false">IF(C239="","","EW-"&amp;IFERROR(VLOOKUP(C239,Lists!$P$4:$Q$22,2,0),"??")&amp;"-D"&amp;TEXT(E239*1000,"0000")&amp;"-"&amp;IFERROR(VLOOKUP(F239,Lists!$S$4:$T$21,2,0),"??")&amp;"-"&amp;IFERROR(VLOOKUP(G239,Lists!$Y$4:$Z$21,2,0),"??")&amp;"-"&amp;IFERROR(VLOOKUP(D239,Lists!$V$4:$W$16,2,0),"??")&amp;"-"&amp;X239)</f>
        <v/>
      </c>
      <c r="B239" s="10" t="str">
        <f aca="false">IF(C239="","",D239&amp;" "&amp;C239&amp;", excavation "&amp;TEXT(E239,"0.0")&amp;" m, "&amp;F239&amp;", "&amp;G239&amp;", "&amp;J239)</f>
        <v/>
      </c>
      <c r="C239" s="9"/>
      <c r="D239" s="9"/>
      <c r="E239" s="43"/>
      <c r="F239" s="9"/>
      <c r="G239" s="9"/>
      <c r="H239" s="43"/>
      <c r="I239" s="40"/>
      <c r="J239" s="9"/>
      <c r="K239" s="9"/>
      <c r="L239" s="9"/>
      <c r="M239" s="43"/>
      <c r="N239" s="43"/>
      <c r="O239" s="9"/>
      <c r="P239" s="9"/>
      <c r="Q239" s="9"/>
      <c r="R239" s="9"/>
      <c r="S239" s="40"/>
      <c r="T239" s="40"/>
      <c r="U239" s="9"/>
      <c r="V239" s="9"/>
      <c r="W239" s="9"/>
      <c r="X239" s="9"/>
      <c r="Y239" s="9"/>
      <c r="Z239" s="9"/>
      <c r="AA239" s="9"/>
      <c r="AB239" s="9"/>
      <c r="AC239" s="10" t="str">
        <f aca="false">IF(A239="","",SG_Criteria!$B$6&amp;SG_Criteria!$B$9&amp;"\"&amp;A239&amp;"\")</f>
        <v/>
      </c>
      <c r="AD239" s="10" t="str">
        <f aca="false">IF(A239="","",A239&amp;"_CAD.dwg")</f>
        <v/>
      </c>
      <c r="AE239" s="10" t="str">
        <f aca="false">IF(A239="","",A239&amp;"_DWG.pdf")</f>
        <v/>
      </c>
      <c r="AF239" s="10" t="str">
        <f aca="false">IF(A239="","",IF(AB239="Y",A239&amp;"_STAAD.std","n/a"))</f>
        <v/>
      </c>
      <c r="AG239" s="10" t="str">
        <f aca="false">IF(A239="","",A239&amp;"_CALC.xlsx")</f>
        <v/>
      </c>
      <c r="AH239" s="10" t="str">
        <f aca="false">IF(A239="","",A239&amp;"_CALC.pdf")</f>
        <v/>
      </c>
      <c r="AI239" s="9"/>
      <c r="AJ239" s="9"/>
      <c r="AK239" s="41"/>
      <c r="AL239" s="41"/>
      <c r="AM239" s="41"/>
      <c r="AN239" s="41"/>
      <c r="AO239" s="41"/>
      <c r="AP239" s="38" t="str">
        <f aca="false">IF(OR(C239="",E239=""),"",IF(E239&lt;=IF(C239="Soldier Pile &amp; Timber Lagging",SG_Criteria!$B$34,SG_Criteria!$B$33),"No ERSS submission",IF(E239&lt;=SG_Criteria!$B$35,"QP(ST)",IF(E239&lt;=SG_Criteria!$B$36,"QP(ST) + AC","Geotechnical building works: QP(Geo) + AC"))))</f>
        <v/>
      </c>
      <c r="AQ239" s="38" t="str">
        <f aca="false">IF(C239="","",IF(LEN(IF(AND(U239&lt;&gt;"",IFERROR(VALUE(MID(U239,2,2)),0)&lt;SG_Criteria!$B$19),"FAIL: grade below C"&amp;SG_Criteria!$B$19&amp;". ","")&amp;IF(AND(LEFT(C239,3)="Con",N(H239)&lt;E239,G239="Kallang Formation (marine clay)"),"NOTE: CBP is not watertight below GWT in marine clay; consider secant / grouting. ","")&amp;IF(AND(C239="Steel Sheet Pile",D239="Permanent"),"NOTE: permanent sheet pile needs corrosion allowance. ","")&amp;IF(AND(F239="Cantilever (no support)",E239&gt;6),"NOTE: cantilever embedded wall &gt; 6 m, check deflection. ","")&amp;IF(AND(S239&lt;&gt;"",T239&lt;&gt;"",S239&gt;T239),"FAIL: deflection exceeds allowable. ",""))=0,"OK",IF(AND(U239&lt;&gt;"",IFERROR(VALUE(MID(U239,2,2)),0)&lt;SG_Criteria!$B$19),"FAIL: grade below C"&amp;SG_Criteria!$B$19&amp;". ","")&amp;IF(AND(LEFT(C239,3)="Con",N(H239)&lt;E239,G239="Kallang Formation (marine clay)"),"NOTE: CBP is not watertight below GWT in marine clay; consider secant / grouting. ","")&amp;IF(AND(C239="Steel Sheet Pile",D239="Permanent"),"NOTE: permanent sheet pile needs corrosion allowance. ","")&amp;IF(AND(F239="Cantilever (no support)",E239&gt;6),"NOTE: cantilever embedded wall &gt; 6 m, check deflection. ","")&amp;IF(AND(S239&lt;&gt;"",T239&lt;&gt;"",S239&gt;T239),"FAIL: deflection exceeds allowable. ","")))</f>
        <v/>
      </c>
      <c r="AR239" s="9"/>
      <c r="AS239" s="9"/>
      <c r="AT239" s="9"/>
      <c r="AU239" s="9"/>
      <c r="AV239" s="9"/>
      <c r="AW239" s="31"/>
      <c r="AX239" s="10" t="str">
        <f aca="false">IF(C239="","",IF(AND(Y239="Approved",ISERROR(SEARCH("FAIL",AQ239))),"Y","N"))</f>
        <v/>
      </c>
      <c r="AY239" s="10" t="str">
        <f aca="false">IF(C239="","",C239&amp;"|"&amp;E239&amp;"|"&amp;F239&amp;"|"&amp;G239&amp;"|"&amp;D239&amp;"|"&amp;AX239)</f>
        <v/>
      </c>
    </row>
    <row r="240" customFormat="false" ht="15" hidden="false" customHeight="false" outlineLevel="0" collapsed="false">
      <c r="A240" s="10" t="str">
        <f aca="false">IF(C240="","","EW-"&amp;IFERROR(VLOOKUP(C240,Lists!$P$4:$Q$22,2,0),"??")&amp;"-D"&amp;TEXT(E240*1000,"0000")&amp;"-"&amp;IFERROR(VLOOKUP(F240,Lists!$S$4:$T$21,2,0),"??")&amp;"-"&amp;IFERROR(VLOOKUP(G240,Lists!$Y$4:$Z$21,2,0),"??")&amp;"-"&amp;IFERROR(VLOOKUP(D240,Lists!$V$4:$W$16,2,0),"??")&amp;"-"&amp;X240)</f>
        <v/>
      </c>
      <c r="B240" s="10" t="str">
        <f aca="false">IF(C240="","",D240&amp;" "&amp;C240&amp;", excavation "&amp;TEXT(E240,"0.0")&amp;" m, "&amp;F240&amp;", "&amp;G240&amp;", "&amp;J240)</f>
        <v/>
      </c>
      <c r="C240" s="9"/>
      <c r="D240" s="9"/>
      <c r="E240" s="43"/>
      <c r="F240" s="9"/>
      <c r="G240" s="9"/>
      <c r="H240" s="43"/>
      <c r="I240" s="40"/>
      <c r="J240" s="9"/>
      <c r="K240" s="9"/>
      <c r="L240" s="9"/>
      <c r="M240" s="43"/>
      <c r="N240" s="43"/>
      <c r="O240" s="9"/>
      <c r="P240" s="9"/>
      <c r="Q240" s="9"/>
      <c r="R240" s="9"/>
      <c r="S240" s="40"/>
      <c r="T240" s="40"/>
      <c r="U240" s="9"/>
      <c r="V240" s="9"/>
      <c r="W240" s="9"/>
      <c r="X240" s="9"/>
      <c r="Y240" s="9"/>
      <c r="Z240" s="9"/>
      <c r="AA240" s="9"/>
      <c r="AB240" s="9"/>
      <c r="AC240" s="10" t="str">
        <f aca="false">IF(A240="","",SG_Criteria!$B$6&amp;SG_Criteria!$B$9&amp;"\"&amp;A240&amp;"\")</f>
        <v/>
      </c>
      <c r="AD240" s="10" t="str">
        <f aca="false">IF(A240="","",A240&amp;"_CAD.dwg")</f>
        <v/>
      </c>
      <c r="AE240" s="10" t="str">
        <f aca="false">IF(A240="","",A240&amp;"_DWG.pdf")</f>
        <v/>
      </c>
      <c r="AF240" s="10" t="str">
        <f aca="false">IF(A240="","",IF(AB240="Y",A240&amp;"_STAAD.std","n/a"))</f>
        <v/>
      </c>
      <c r="AG240" s="10" t="str">
        <f aca="false">IF(A240="","",A240&amp;"_CALC.xlsx")</f>
        <v/>
      </c>
      <c r="AH240" s="10" t="str">
        <f aca="false">IF(A240="","",A240&amp;"_CALC.pdf")</f>
        <v/>
      </c>
      <c r="AI240" s="9"/>
      <c r="AJ240" s="9"/>
      <c r="AK240" s="41"/>
      <c r="AL240" s="41"/>
      <c r="AM240" s="41"/>
      <c r="AN240" s="41"/>
      <c r="AO240" s="41"/>
      <c r="AP240" s="38" t="str">
        <f aca="false">IF(OR(C240="",E240=""),"",IF(E240&lt;=IF(C240="Soldier Pile &amp; Timber Lagging",SG_Criteria!$B$34,SG_Criteria!$B$33),"No ERSS submission",IF(E240&lt;=SG_Criteria!$B$35,"QP(ST)",IF(E240&lt;=SG_Criteria!$B$36,"QP(ST) + AC","Geotechnical building works: QP(Geo) + AC"))))</f>
        <v/>
      </c>
      <c r="AQ240" s="38" t="str">
        <f aca="false">IF(C240="","",IF(LEN(IF(AND(U240&lt;&gt;"",IFERROR(VALUE(MID(U240,2,2)),0)&lt;SG_Criteria!$B$19),"FAIL: grade below C"&amp;SG_Criteria!$B$19&amp;". ","")&amp;IF(AND(LEFT(C240,3)="Con",N(H240)&lt;E240,G240="Kallang Formation (marine clay)"),"NOTE: CBP is not watertight below GWT in marine clay; consider secant / grouting. ","")&amp;IF(AND(C240="Steel Sheet Pile",D240="Permanent"),"NOTE: permanent sheet pile needs corrosion allowance. ","")&amp;IF(AND(F240="Cantilever (no support)",E240&gt;6),"NOTE: cantilever embedded wall &gt; 6 m, check deflection. ","")&amp;IF(AND(S240&lt;&gt;"",T240&lt;&gt;"",S240&gt;T240),"FAIL: deflection exceeds allowable. ",""))=0,"OK",IF(AND(U240&lt;&gt;"",IFERROR(VALUE(MID(U240,2,2)),0)&lt;SG_Criteria!$B$19),"FAIL: grade below C"&amp;SG_Criteria!$B$19&amp;". ","")&amp;IF(AND(LEFT(C240,3)="Con",N(H240)&lt;E240,G240="Kallang Formation (marine clay)"),"NOTE: CBP is not watertight below GWT in marine clay; consider secant / grouting. ","")&amp;IF(AND(C240="Steel Sheet Pile",D240="Permanent"),"NOTE: permanent sheet pile needs corrosion allowance. ","")&amp;IF(AND(F240="Cantilever (no support)",E240&gt;6),"NOTE: cantilever embedded wall &gt; 6 m, check deflection. ","")&amp;IF(AND(S240&lt;&gt;"",T240&lt;&gt;"",S240&gt;T240),"FAIL: deflection exceeds allowable. ","")))</f>
        <v/>
      </c>
      <c r="AR240" s="9"/>
      <c r="AS240" s="9"/>
      <c r="AT240" s="9"/>
      <c r="AU240" s="9"/>
      <c r="AV240" s="9"/>
      <c r="AW240" s="31"/>
      <c r="AX240" s="10" t="str">
        <f aca="false">IF(C240="","",IF(AND(Y240="Approved",ISERROR(SEARCH("FAIL",AQ240))),"Y","N"))</f>
        <v/>
      </c>
      <c r="AY240" s="10" t="str">
        <f aca="false">IF(C240="","",C240&amp;"|"&amp;E240&amp;"|"&amp;F240&amp;"|"&amp;G240&amp;"|"&amp;D240&amp;"|"&amp;AX240)</f>
        <v/>
      </c>
    </row>
    <row r="241" customFormat="false" ht="15" hidden="false" customHeight="false" outlineLevel="0" collapsed="false">
      <c r="A241" s="10" t="str">
        <f aca="false">IF(C241="","","EW-"&amp;IFERROR(VLOOKUP(C241,Lists!$P$4:$Q$22,2,0),"??")&amp;"-D"&amp;TEXT(E241*1000,"0000")&amp;"-"&amp;IFERROR(VLOOKUP(F241,Lists!$S$4:$T$21,2,0),"??")&amp;"-"&amp;IFERROR(VLOOKUP(G241,Lists!$Y$4:$Z$21,2,0),"??")&amp;"-"&amp;IFERROR(VLOOKUP(D241,Lists!$V$4:$W$16,2,0),"??")&amp;"-"&amp;X241)</f>
        <v/>
      </c>
      <c r="B241" s="10" t="str">
        <f aca="false">IF(C241="","",D241&amp;" "&amp;C241&amp;", excavation "&amp;TEXT(E241,"0.0")&amp;" m, "&amp;F241&amp;", "&amp;G241&amp;", "&amp;J241)</f>
        <v/>
      </c>
      <c r="C241" s="9"/>
      <c r="D241" s="9"/>
      <c r="E241" s="43"/>
      <c r="F241" s="9"/>
      <c r="G241" s="9"/>
      <c r="H241" s="43"/>
      <c r="I241" s="40"/>
      <c r="J241" s="9"/>
      <c r="K241" s="9"/>
      <c r="L241" s="9"/>
      <c r="M241" s="43"/>
      <c r="N241" s="43"/>
      <c r="O241" s="9"/>
      <c r="P241" s="9"/>
      <c r="Q241" s="9"/>
      <c r="R241" s="9"/>
      <c r="S241" s="40"/>
      <c r="T241" s="40"/>
      <c r="U241" s="9"/>
      <c r="V241" s="9"/>
      <c r="W241" s="9"/>
      <c r="X241" s="9"/>
      <c r="Y241" s="9"/>
      <c r="Z241" s="9"/>
      <c r="AA241" s="9"/>
      <c r="AB241" s="9"/>
      <c r="AC241" s="10" t="str">
        <f aca="false">IF(A241="","",SG_Criteria!$B$6&amp;SG_Criteria!$B$9&amp;"\"&amp;A241&amp;"\")</f>
        <v/>
      </c>
      <c r="AD241" s="10" t="str">
        <f aca="false">IF(A241="","",A241&amp;"_CAD.dwg")</f>
        <v/>
      </c>
      <c r="AE241" s="10" t="str">
        <f aca="false">IF(A241="","",A241&amp;"_DWG.pdf")</f>
        <v/>
      </c>
      <c r="AF241" s="10" t="str">
        <f aca="false">IF(A241="","",IF(AB241="Y",A241&amp;"_STAAD.std","n/a"))</f>
        <v/>
      </c>
      <c r="AG241" s="10" t="str">
        <f aca="false">IF(A241="","",A241&amp;"_CALC.xlsx")</f>
        <v/>
      </c>
      <c r="AH241" s="10" t="str">
        <f aca="false">IF(A241="","",A241&amp;"_CALC.pdf")</f>
        <v/>
      </c>
      <c r="AI241" s="9"/>
      <c r="AJ241" s="9"/>
      <c r="AK241" s="41"/>
      <c r="AL241" s="41"/>
      <c r="AM241" s="41"/>
      <c r="AN241" s="41"/>
      <c r="AO241" s="41"/>
      <c r="AP241" s="38" t="str">
        <f aca="false">IF(OR(C241="",E241=""),"",IF(E241&lt;=IF(C241="Soldier Pile &amp; Timber Lagging",SG_Criteria!$B$34,SG_Criteria!$B$33),"No ERSS submission",IF(E241&lt;=SG_Criteria!$B$35,"QP(ST)",IF(E241&lt;=SG_Criteria!$B$36,"QP(ST) + AC","Geotechnical building works: QP(Geo) + AC"))))</f>
        <v/>
      </c>
      <c r="AQ241" s="38" t="str">
        <f aca="false">IF(C241="","",IF(LEN(IF(AND(U241&lt;&gt;"",IFERROR(VALUE(MID(U241,2,2)),0)&lt;SG_Criteria!$B$19),"FAIL: grade below C"&amp;SG_Criteria!$B$19&amp;". ","")&amp;IF(AND(LEFT(C241,3)="Con",N(H241)&lt;E241,G241="Kallang Formation (marine clay)"),"NOTE: CBP is not watertight below GWT in marine clay; consider secant / grouting. ","")&amp;IF(AND(C241="Steel Sheet Pile",D241="Permanent"),"NOTE: permanent sheet pile needs corrosion allowance. ","")&amp;IF(AND(F241="Cantilever (no support)",E241&gt;6),"NOTE: cantilever embedded wall &gt; 6 m, check deflection. ","")&amp;IF(AND(S241&lt;&gt;"",T241&lt;&gt;"",S241&gt;T241),"FAIL: deflection exceeds allowable. ",""))=0,"OK",IF(AND(U241&lt;&gt;"",IFERROR(VALUE(MID(U241,2,2)),0)&lt;SG_Criteria!$B$19),"FAIL: grade below C"&amp;SG_Criteria!$B$19&amp;". ","")&amp;IF(AND(LEFT(C241,3)="Con",N(H241)&lt;E241,G241="Kallang Formation (marine clay)"),"NOTE: CBP is not watertight below GWT in marine clay; consider secant / grouting. ","")&amp;IF(AND(C241="Steel Sheet Pile",D241="Permanent"),"NOTE: permanent sheet pile needs corrosion allowance. ","")&amp;IF(AND(F241="Cantilever (no support)",E241&gt;6),"NOTE: cantilever embedded wall &gt; 6 m, check deflection. ","")&amp;IF(AND(S241&lt;&gt;"",T241&lt;&gt;"",S241&gt;T241),"FAIL: deflection exceeds allowable. ","")))</f>
        <v/>
      </c>
      <c r="AR241" s="9"/>
      <c r="AS241" s="9"/>
      <c r="AT241" s="9"/>
      <c r="AU241" s="9"/>
      <c r="AV241" s="9"/>
      <c r="AW241" s="31"/>
      <c r="AX241" s="10" t="str">
        <f aca="false">IF(C241="","",IF(AND(Y241="Approved",ISERROR(SEARCH("FAIL",AQ241))),"Y","N"))</f>
        <v/>
      </c>
      <c r="AY241" s="10" t="str">
        <f aca="false">IF(C241="","",C241&amp;"|"&amp;E241&amp;"|"&amp;F241&amp;"|"&amp;G241&amp;"|"&amp;D241&amp;"|"&amp;AX241)</f>
        <v/>
      </c>
    </row>
    <row r="242" customFormat="false" ht="15" hidden="false" customHeight="false" outlineLevel="0" collapsed="false">
      <c r="A242" s="10" t="str">
        <f aca="false">IF(C242="","","EW-"&amp;IFERROR(VLOOKUP(C242,Lists!$P$4:$Q$22,2,0),"??")&amp;"-D"&amp;TEXT(E242*1000,"0000")&amp;"-"&amp;IFERROR(VLOOKUP(F242,Lists!$S$4:$T$21,2,0),"??")&amp;"-"&amp;IFERROR(VLOOKUP(G242,Lists!$Y$4:$Z$21,2,0),"??")&amp;"-"&amp;IFERROR(VLOOKUP(D242,Lists!$V$4:$W$16,2,0),"??")&amp;"-"&amp;X242)</f>
        <v/>
      </c>
      <c r="B242" s="10" t="str">
        <f aca="false">IF(C242="","",D242&amp;" "&amp;C242&amp;", excavation "&amp;TEXT(E242,"0.0")&amp;" m, "&amp;F242&amp;", "&amp;G242&amp;", "&amp;J242)</f>
        <v/>
      </c>
      <c r="C242" s="9"/>
      <c r="D242" s="9"/>
      <c r="E242" s="43"/>
      <c r="F242" s="9"/>
      <c r="G242" s="9"/>
      <c r="H242" s="43"/>
      <c r="I242" s="40"/>
      <c r="J242" s="9"/>
      <c r="K242" s="9"/>
      <c r="L242" s="9"/>
      <c r="M242" s="43"/>
      <c r="N242" s="43"/>
      <c r="O242" s="9"/>
      <c r="P242" s="9"/>
      <c r="Q242" s="9"/>
      <c r="R242" s="9"/>
      <c r="S242" s="40"/>
      <c r="T242" s="40"/>
      <c r="U242" s="9"/>
      <c r="V242" s="9"/>
      <c r="W242" s="9"/>
      <c r="X242" s="9"/>
      <c r="Y242" s="9"/>
      <c r="Z242" s="9"/>
      <c r="AA242" s="9"/>
      <c r="AB242" s="9"/>
      <c r="AC242" s="10" t="str">
        <f aca="false">IF(A242="","",SG_Criteria!$B$6&amp;SG_Criteria!$B$9&amp;"\"&amp;A242&amp;"\")</f>
        <v/>
      </c>
      <c r="AD242" s="10" t="str">
        <f aca="false">IF(A242="","",A242&amp;"_CAD.dwg")</f>
        <v/>
      </c>
      <c r="AE242" s="10" t="str">
        <f aca="false">IF(A242="","",A242&amp;"_DWG.pdf")</f>
        <v/>
      </c>
      <c r="AF242" s="10" t="str">
        <f aca="false">IF(A242="","",IF(AB242="Y",A242&amp;"_STAAD.std","n/a"))</f>
        <v/>
      </c>
      <c r="AG242" s="10" t="str">
        <f aca="false">IF(A242="","",A242&amp;"_CALC.xlsx")</f>
        <v/>
      </c>
      <c r="AH242" s="10" t="str">
        <f aca="false">IF(A242="","",A242&amp;"_CALC.pdf")</f>
        <v/>
      </c>
      <c r="AI242" s="9"/>
      <c r="AJ242" s="9"/>
      <c r="AK242" s="41"/>
      <c r="AL242" s="41"/>
      <c r="AM242" s="41"/>
      <c r="AN242" s="41"/>
      <c r="AO242" s="41"/>
      <c r="AP242" s="38" t="str">
        <f aca="false">IF(OR(C242="",E242=""),"",IF(E242&lt;=IF(C242="Soldier Pile &amp; Timber Lagging",SG_Criteria!$B$34,SG_Criteria!$B$33),"No ERSS submission",IF(E242&lt;=SG_Criteria!$B$35,"QP(ST)",IF(E242&lt;=SG_Criteria!$B$36,"QP(ST) + AC","Geotechnical building works: QP(Geo) + AC"))))</f>
        <v/>
      </c>
      <c r="AQ242" s="38" t="str">
        <f aca="false">IF(C242="","",IF(LEN(IF(AND(U242&lt;&gt;"",IFERROR(VALUE(MID(U242,2,2)),0)&lt;SG_Criteria!$B$19),"FAIL: grade below C"&amp;SG_Criteria!$B$19&amp;". ","")&amp;IF(AND(LEFT(C242,3)="Con",N(H242)&lt;E242,G242="Kallang Formation (marine clay)"),"NOTE: CBP is not watertight below GWT in marine clay; consider secant / grouting. ","")&amp;IF(AND(C242="Steel Sheet Pile",D242="Permanent"),"NOTE: permanent sheet pile needs corrosion allowance. ","")&amp;IF(AND(F242="Cantilever (no support)",E242&gt;6),"NOTE: cantilever embedded wall &gt; 6 m, check deflection. ","")&amp;IF(AND(S242&lt;&gt;"",T242&lt;&gt;"",S242&gt;T242),"FAIL: deflection exceeds allowable. ",""))=0,"OK",IF(AND(U242&lt;&gt;"",IFERROR(VALUE(MID(U242,2,2)),0)&lt;SG_Criteria!$B$19),"FAIL: grade below C"&amp;SG_Criteria!$B$19&amp;". ","")&amp;IF(AND(LEFT(C242,3)="Con",N(H242)&lt;E242,G242="Kallang Formation (marine clay)"),"NOTE: CBP is not watertight below GWT in marine clay; consider secant / grouting. ","")&amp;IF(AND(C242="Steel Sheet Pile",D242="Permanent"),"NOTE: permanent sheet pile needs corrosion allowance. ","")&amp;IF(AND(F242="Cantilever (no support)",E242&gt;6),"NOTE: cantilever embedded wall &gt; 6 m, check deflection. ","")&amp;IF(AND(S242&lt;&gt;"",T242&lt;&gt;"",S242&gt;T242),"FAIL: deflection exceeds allowable. ","")))</f>
        <v/>
      </c>
      <c r="AR242" s="9"/>
      <c r="AS242" s="9"/>
      <c r="AT242" s="9"/>
      <c r="AU242" s="9"/>
      <c r="AV242" s="9"/>
      <c r="AW242" s="31"/>
      <c r="AX242" s="10" t="str">
        <f aca="false">IF(C242="","",IF(AND(Y242="Approved",ISERROR(SEARCH("FAIL",AQ242))),"Y","N"))</f>
        <v/>
      </c>
      <c r="AY242" s="10" t="str">
        <f aca="false">IF(C242="","",C242&amp;"|"&amp;E242&amp;"|"&amp;F242&amp;"|"&amp;G242&amp;"|"&amp;D242&amp;"|"&amp;AX242)</f>
        <v/>
      </c>
    </row>
    <row r="243" customFormat="false" ht="15" hidden="false" customHeight="false" outlineLevel="0" collapsed="false">
      <c r="A243" s="10" t="str">
        <f aca="false">IF(C243="","","EW-"&amp;IFERROR(VLOOKUP(C243,Lists!$P$4:$Q$22,2,0),"??")&amp;"-D"&amp;TEXT(E243*1000,"0000")&amp;"-"&amp;IFERROR(VLOOKUP(F243,Lists!$S$4:$T$21,2,0),"??")&amp;"-"&amp;IFERROR(VLOOKUP(G243,Lists!$Y$4:$Z$21,2,0),"??")&amp;"-"&amp;IFERROR(VLOOKUP(D243,Lists!$V$4:$W$16,2,0),"??")&amp;"-"&amp;X243)</f>
        <v/>
      </c>
      <c r="B243" s="10" t="str">
        <f aca="false">IF(C243="","",D243&amp;" "&amp;C243&amp;", excavation "&amp;TEXT(E243,"0.0")&amp;" m, "&amp;F243&amp;", "&amp;G243&amp;", "&amp;J243)</f>
        <v/>
      </c>
      <c r="C243" s="9"/>
      <c r="D243" s="9"/>
      <c r="E243" s="43"/>
      <c r="F243" s="9"/>
      <c r="G243" s="9"/>
      <c r="H243" s="43"/>
      <c r="I243" s="40"/>
      <c r="J243" s="9"/>
      <c r="K243" s="9"/>
      <c r="L243" s="9"/>
      <c r="M243" s="43"/>
      <c r="N243" s="43"/>
      <c r="O243" s="9"/>
      <c r="P243" s="9"/>
      <c r="Q243" s="9"/>
      <c r="R243" s="9"/>
      <c r="S243" s="40"/>
      <c r="T243" s="40"/>
      <c r="U243" s="9"/>
      <c r="V243" s="9"/>
      <c r="W243" s="9"/>
      <c r="X243" s="9"/>
      <c r="Y243" s="9"/>
      <c r="Z243" s="9"/>
      <c r="AA243" s="9"/>
      <c r="AB243" s="9"/>
      <c r="AC243" s="10" t="str">
        <f aca="false">IF(A243="","",SG_Criteria!$B$6&amp;SG_Criteria!$B$9&amp;"\"&amp;A243&amp;"\")</f>
        <v/>
      </c>
      <c r="AD243" s="10" t="str">
        <f aca="false">IF(A243="","",A243&amp;"_CAD.dwg")</f>
        <v/>
      </c>
      <c r="AE243" s="10" t="str">
        <f aca="false">IF(A243="","",A243&amp;"_DWG.pdf")</f>
        <v/>
      </c>
      <c r="AF243" s="10" t="str">
        <f aca="false">IF(A243="","",IF(AB243="Y",A243&amp;"_STAAD.std","n/a"))</f>
        <v/>
      </c>
      <c r="AG243" s="10" t="str">
        <f aca="false">IF(A243="","",A243&amp;"_CALC.xlsx")</f>
        <v/>
      </c>
      <c r="AH243" s="10" t="str">
        <f aca="false">IF(A243="","",A243&amp;"_CALC.pdf")</f>
        <v/>
      </c>
      <c r="AI243" s="9"/>
      <c r="AJ243" s="9"/>
      <c r="AK243" s="41"/>
      <c r="AL243" s="41"/>
      <c r="AM243" s="41"/>
      <c r="AN243" s="41"/>
      <c r="AO243" s="41"/>
      <c r="AP243" s="38" t="str">
        <f aca="false">IF(OR(C243="",E243=""),"",IF(E243&lt;=IF(C243="Soldier Pile &amp; Timber Lagging",SG_Criteria!$B$34,SG_Criteria!$B$33),"No ERSS submission",IF(E243&lt;=SG_Criteria!$B$35,"QP(ST)",IF(E243&lt;=SG_Criteria!$B$36,"QP(ST) + AC","Geotechnical building works: QP(Geo) + AC"))))</f>
        <v/>
      </c>
      <c r="AQ243" s="38" t="str">
        <f aca="false">IF(C243="","",IF(LEN(IF(AND(U243&lt;&gt;"",IFERROR(VALUE(MID(U243,2,2)),0)&lt;SG_Criteria!$B$19),"FAIL: grade below C"&amp;SG_Criteria!$B$19&amp;". ","")&amp;IF(AND(LEFT(C243,3)="Con",N(H243)&lt;E243,G243="Kallang Formation (marine clay)"),"NOTE: CBP is not watertight below GWT in marine clay; consider secant / grouting. ","")&amp;IF(AND(C243="Steel Sheet Pile",D243="Permanent"),"NOTE: permanent sheet pile needs corrosion allowance. ","")&amp;IF(AND(F243="Cantilever (no support)",E243&gt;6),"NOTE: cantilever embedded wall &gt; 6 m, check deflection. ","")&amp;IF(AND(S243&lt;&gt;"",T243&lt;&gt;"",S243&gt;T243),"FAIL: deflection exceeds allowable. ",""))=0,"OK",IF(AND(U243&lt;&gt;"",IFERROR(VALUE(MID(U243,2,2)),0)&lt;SG_Criteria!$B$19),"FAIL: grade below C"&amp;SG_Criteria!$B$19&amp;". ","")&amp;IF(AND(LEFT(C243,3)="Con",N(H243)&lt;E243,G243="Kallang Formation (marine clay)"),"NOTE: CBP is not watertight below GWT in marine clay; consider secant / grouting. ","")&amp;IF(AND(C243="Steel Sheet Pile",D243="Permanent"),"NOTE: permanent sheet pile needs corrosion allowance. ","")&amp;IF(AND(F243="Cantilever (no support)",E243&gt;6),"NOTE: cantilever embedded wall &gt; 6 m, check deflection. ","")&amp;IF(AND(S243&lt;&gt;"",T243&lt;&gt;"",S243&gt;T243),"FAIL: deflection exceeds allowable. ","")))</f>
        <v/>
      </c>
      <c r="AR243" s="9"/>
      <c r="AS243" s="9"/>
      <c r="AT243" s="9"/>
      <c r="AU243" s="9"/>
      <c r="AV243" s="9"/>
      <c r="AW243" s="31"/>
      <c r="AX243" s="10" t="str">
        <f aca="false">IF(C243="","",IF(AND(Y243="Approved",ISERROR(SEARCH("FAIL",AQ243))),"Y","N"))</f>
        <v/>
      </c>
      <c r="AY243" s="10" t="str">
        <f aca="false">IF(C243="","",C243&amp;"|"&amp;E243&amp;"|"&amp;F243&amp;"|"&amp;G243&amp;"|"&amp;D243&amp;"|"&amp;AX243)</f>
        <v/>
      </c>
    </row>
    <row r="244" customFormat="false" ht="15" hidden="false" customHeight="false" outlineLevel="0" collapsed="false">
      <c r="A244" s="10" t="str">
        <f aca="false">IF(C244="","","EW-"&amp;IFERROR(VLOOKUP(C244,Lists!$P$4:$Q$22,2,0),"??")&amp;"-D"&amp;TEXT(E244*1000,"0000")&amp;"-"&amp;IFERROR(VLOOKUP(F244,Lists!$S$4:$T$21,2,0),"??")&amp;"-"&amp;IFERROR(VLOOKUP(G244,Lists!$Y$4:$Z$21,2,0),"??")&amp;"-"&amp;IFERROR(VLOOKUP(D244,Lists!$V$4:$W$16,2,0),"??")&amp;"-"&amp;X244)</f>
        <v/>
      </c>
      <c r="B244" s="10" t="str">
        <f aca="false">IF(C244="","",D244&amp;" "&amp;C244&amp;", excavation "&amp;TEXT(E244,"0.0")&amp;" m, "&amp;F244&amp;", "&amp;G244&amp;", "&amp;J244)</f>
        <v/>
      </c>
      <c r="C244" s="9"/>
      <c r="D244" s="9"/>
      <c r="E244" s="43"/>
      <c r="F244" s="9"/>
      <c r="G244" s="9"/>
      <c r="H244" s="43"/>
      <c r="I244" s="40"/>
      <c r="J244" s="9"/>
      <c r="K244" s="9"/>
      <c r="L244" s="9"/>
      <c r="M244" s="43"/>
      <c r="N244" s="43"/>
      <c r="O244" s="9"/>
      <c r="P244" s="9"/>
      <c r="Q244" s="9"/>
      <c r="R244" s="9"/>
      <c r="S244" s="40"/>
      <c r="T244" s="40"/>
      <c r="U244" s="9"/>
      <c r="V244" s="9"/>
      <c r="W244" s="9"/>
      <c r="X244" s="9"/>
      <c r="Y244" s="9"/>
      <c r="Z244" s="9"/>
      <c r="AA244" s="9"/>
      <c r="AB244" s="9"/>
      <c r="AC244" s="10" t="str">
        <f aca="false">IF(A244="","",SG_Criteria!$B$6&amp;SG_Criteria!$B$9&amp;"\"&amp;A244&amp;"\")</f>
        <v/>
      </c>
      <c r="AD244" s="10" t="str">
        <f aca="false">IF(A244="","",A244&amp;"_CAD.dwg")</f>
        <v/>
      </c>
      <c r="AE244" s="10" t="str">
        <f aca="false">IF(A244="","",A244&amp;"_DWG.pdf")</f>
        <v/>
      </c>
      <c r="AF244" s="10" t="str">
        <f aca="false">IF(A244="","",IF(AB244="Y",A244&amp;"_STAAD.std","n/a"))</f>
        <v/>
      </c>
      <c r="AG244" s="10" t="str">
        <f aca="false">IF(A244="","",A244&amp;"_CALC.xlsx")</f>
        <v/>
      </c>
      <c r="AH244" s="10" t="str">
        <f aca="false">IF(A244="","",A244&amp;"_CALC.pdf")</f>
        <v/>
      </c>
      <c r="AI244" s="9"/>
      <c r="AJ244" s="9"/>
      <c r="AK244" s="41"/>
      <c r="AL244" s="41"/>
      <c r="AM244" s="41"/>
      <c r="AN244" s="41"/>
      <c r="AO244" s="41"/>
      <c r="AP244" s="38" t="str">
        <f aca="false">IF(OR(C244="",E244=""),"",IF(E244&lt;=IF(C244="Soldier Pile &amp; Timber Lagging",SG_Criteria!$B$34,SG_Criteria!$B$33),"No ERSS submission",IF(E244&lt;=SG_Criteria!$B$35,"QP(ST)",IF(E244&lt;=SG_Criteria!$B$36,"QP(ST) + AC","Geotechnical building works: QP(Geo) + AC"))))</f>
        <v/>
      </c>
      <c r="AQ244" s="38" t="str">
        <f aca="false">IF(C244="","",IF(LEN(IF(AND(U244&lt;&gt;"",IFERROR(VALUE(MID(U244,2,2)),0)&lt;SG_Criteria!$B$19),"FAIL: grade below C"&amp;SG_Criteria!$B$19&amp;". ","")&amp;IF(AND(LEFT(C244,3)="Con",N(H244)&lt;E244,G244="Kallang Formation (marine clay)"),"NOTE: CBP is not watertight below GWT in marine clay; consider secant / grouting. ","")&amp;IF(AND(C244="Steel Sheet Pile",D244="Permanent"),"NOTE: permanent sheet pile needs corrosion allowance. ","")&amp;IF(AND(F244="Cantilever (no support)",E244&gt;6),"NOTE: cantilever embedded wall &gt; 6 m, check deflection. ","")&amp;IF(AND(S244&lt;&gt;"",T244&lt;&gt;"",S244&gt;T244),"FAIL: deflection exceeds allowable. ",""))=0,"OK",IF(AND(U244&lt;&gt;"",IFERROR(VALUE(MID(U244,2,2)),0)&lt;SG_Criteria!$B$19),"FAIL: grade below C"&amp;SG_Criteria!$B$19&amp;". ","")&amp;IF(AND(LEFT(C244,3)="Con",N(H244)&lt;E244,G244="Kallang Formation (marine clay)"),"NOTE: CBP is not watertight below GWT in marine clay; consider secant / grouting. ","")&amp;IF(AND(C244="Steel Sheet Pile",D244="Permanent"),"NOTE: permanent sheet pile needs corrosion allowance. ","")&amp;IF(AND(F244="Cantilever (no support)",E244&gt;6),"NOTE: cantilever embedded wall &gt; 6 m, check deflection. ","")&amp;IF(AND(S244&lt;&gt;"",T244&lt;&gt;"",S244&gt;T244),"FAIL: deflection exceeds allowable. ","")))</f>
        <v/>
      </c>
      <c r="AR244" s="9"/>
      <c r="AS244" s="9"/>
      <c r="AT244" s="9"/>
      <c r="AU244" s="9"/>
      <c r="AV244" s="9"/>
      <c r="AW244" s="31"/>
      <c r="AX244" s="10" t="str">
        <f aca="false">IF(C244="","",IF(AND(Y244="Approved",ISERROR(SEARCH("FAIL",AQ244))),"Y","N"))</f>
        <v/>
      </c>
      <c r="AY244" s="10" t="str">
        <f aca="false">IF(C244="","",C244&amp;"|"&amp;E244&amp;"|"&amp;F244&amp;"|"&amp;G244&amp;"|"&amp;D244&amp;"|"&amp;AX244)</f>
        <v/>
      </c>
    </row>
    <row r="245" customFormat="false" ht="15" hidden="false" customHeight="false" outlineLevel="0" collapsed="false">
      <c r="A245" s="10" t="str">
        <f aca="false">IF(C245="","","EW-"&amp;IFERROR(VLOOKUP(C245,Lists!$P$4:$Q$22,2,0),"??")&amp;"-D"&amp;TEXT(E245*1000,"0000")&amp;"-"&amp;IFERROR(VLOOKUP(F245,Lists!$S$4:$T$21,2,0),"??")&amp;"-"&amp;IFERROR(VLOOKUP(G245,Lists!$Y$4:$Z$21,2,0),"??")&amp;"-"&amp;IFERROR(VLOOKUP(D245,Lists!$V$4:$W$16,2,0),"??")&amp;"-"&amp;X245)</f>
        <v/>
      </c>
      <c r="B245" s="10" t="str">
        <f aca="false">IF(C245="","",D245&amp;" "&amp;C245&amp;", excavation "&amp;TEXT(E245,"0.0")&amp;" m, "&amp;F245&amp;", "&amp;G245&amp;", "&amp;J245)</f>
        <v/>
      </c>
      <c r="C245" s="9"/>
      <c r="D245" s="9"/>
      <c r="E245" s="43"/>
      <c r="F245" s="9"/>
      <c r="G245" s="9"/>
      <c r="H245" s="43"/>
      <c r="I245" s="40"/>
      <c r="J245" s="9"/>
      <c r="K245" s="9"/>
      <c r="L245" s="9"/>
      <c r="M245" s="43"/>
      <c r="N245" s="43"/>
      <c r="O245" s="9"/>
      <c r="P245" s="9"/>
      <c r="Q245" s="9"/>
      <c r="R245" s="9"/>
      <c r="S245" s="40"/>
      <c r="T245" s="40"/>
      <c r="U245" s="9"/>
      <c r="V245" s="9"/>
      <c r="W245" s="9"/>
      <c r="X245" s="9"/>
      <c r="Y245" s="9"/>
      <c r="Z245" s="9"/>
      <c r="AA245" s="9"/>
      <c r="AB245" s="9"/>
      <c r="AC245" s="10" t="str">
        <f aca="false">IF(A245="","",SG_Criteria!$B$6&amp;SG_Criteria!$B$9&amp;"\"&amp;A245&amp;"\")</f>
        <v/>
      </c>
      <c r="AD245" s="10" t="str">
        <f aca="false">IF(A245="","",A245&amp;"_CAD.dwg")</f>
        <v/>
      </c>
      <c r="AE245" s="10" t="str">
        <f aca="false">IF(A245="","",A245&amp;"_DWG.pdf")</f>
        <v/>
      </c>
      <c r="AF245" s="10" t="str">
        <f aca="false">IF(A245="","",IF(AB245="Y",A245&amp;"_STAAD.std","n/a"))</f>
        <v/>
      </c>
      <c r="AG245" s="10" t="str">
        <f aca="false">IF(A245="","",A245&amp;"_CALC.xlsx")</f>
        <v/>
      </c>
      <c r="AH245" s="10" t="str">
        <f aca="false">IF(A245="","",A245&amp;"_CALC.pdf")</f>
        <v/>
      </c>
      <c r="AI245" s="9"/>
      <c r="AJ245" s="9"/>
      <c r="AK245" s="41"/>
      <c r="AL245" s="41"/>
      <c r="AM245" s="41"/>
      <c r="AN245" s="41"/>
      <c r="AO245" s="41"/>
      <c r="AP245" s="38" t="str">
        <f aca="false">IF(OR(C245="",E245=""),"",IF(E245&lt;=IF(C245="Soldier Pile &amp; Timber Lagging",SG_Criteria!$B$34,SG_Criteria!$B$33),"No ERSS submission",IF(E245&lt;=SG_Criteria!$B$35,"QP(ST)",IF(E245&lt;=SG_Criteria!$B$36,"QP(ST) + AC","Geotechnical building works: QP(Geo) + AC"))))</f>
        <v/>
      </c>
      <c r="AQ245" s="38" t="str">
        <f aca="false">IF(C245="","",IF(LEN(IF(AND(U245&lt;&gt;"",IFERROR(VALUE(MID(U245,2,2)),0)&lt;SG_Criteria!$B$19),"FAIL: grade below C"&amp;SG_Criteria!$B$19&amp;". ","")&amp;IF(AND(LEFT(C245,3)="Con",N(H245)&lt;E245,G245="Kallang Formation (marine clay)"),"NOTE: CBP is not watertight below GWT in marine clay; consider secant / grouting. ","")&amp;IF(AND(C245="Steel Sheet Pile",D245="Permanent"),"NOTE: permanent sheet pile needs corrosion allowance. ","")&amp;IF(AND(F245="Cantilever (no support)",E245&gt;6),"NOTE: cantilever embedded wall &gt; 6 m, check deflection. ","")&amp;IF(AND(S245&lt;&gt;"",T245&lt;&gt;"",S245&gt;T245),"FAIL: deflection exceeds allowable. ",""))=0,"OK",IF(AND(U245&lt;&gt;"",IFERROR(VALUE(MID(U245,2,2)),0)&lt;SG_Criteria!$B$19),"FAIL: grade below C"&amp;SG_Criteria!$B$19&amp;". ","")&amp;IF(AND(LEFT(C245,3)="Con",N(H245)&lt;E245,G245="Kallang Formation (marine clay)"),"NOTE: CBP is not watertight below GWT in marine clay; consider secant / grouting. ","")&amp;IF(AND(C245="Steel Sheet Pile",D245="Permanent"),"NOTE: permanent sheet pile needs corrosion allowance. ","")&amp;IF(AND(F245="Cantilever (no support)",E245&gt;6),"NOTE: cantilever embedded wall &gt; 6 m, check deflection. ","")&amp;IF(AND(S245&lt;&gt;"",T245&lt;&gt;"",S245&gt;T245),"FAIL: deflection exceeds allowable. ","")))</f>
        <v/>
      </c>
      <c r="AR245" s="9"/>
      <c r="AS245" s="9"/>
      <c r="AT245" s="9"/>
      <c r="AU245" s="9"/>
      <c r="AV245" s="9"/>
      <c r="AW245" s="31"/>
      <c r="AX245" s="10" t="str">
        <f aca="false">IF(C245="","",IF(AND(Y245="Approved",ISERROR(SEARCH("FAIL",AQ245))),"Y","N"))</f>
        <v/>
      </c>
      <c r="AY245" s="10" t="str">
        <f aca="false">IF(C245="","",C245&amp;"|"&amp;E245&amp;"|"&amp;F245&amp;"|"&amp;G245&amp;"|"&amp;D245&amp;"|"&amp;AX245)</f>
        <v/>
      </c>
    </row>
    <row r="246" customFormat="false" ht="15" hidden="false" customHeight="false" outlineLevel="0" collapsed="false">
      <c r="A246" s="10" t="str">
        <f aca="false">IF(C246="","","EW-"&amp;IFERROR(VLOOKUP(C246,Lists!$P$4:$Q$22,2,0),"??")&amp;"-D"&amp;TEXT(E246*1000,"0000")&amp;"-"&amp;IFERROR(VLOOKUP(F246,Lists!$S$4:$T$21,2,0),"??")&amp;"-"&amp;IFERROR(VLOOKUP(G246,Lists!$Y$4:$Z$21,2,0),"??")&amp;"-"&amp;IFERROR(VLOOKUP(D246,Lists!$V$4:$W$16,2,0),"??")&amp;"-"&amp;X246)</f>
        <v/>
      </c>
      <c r="B246" s="10" t="str">
        <f aca="false">IF(C246="","",D246&amp;" "&amp;C246&amp;", excavation "&amp;TEXT(E246,"0.0")&amp;" m, "&amp;F246&amp;", "&amp;G246&amp;", "&amp;J246)</f>
        <v/>
      </c>
      <c r="C246" s="9"/>
      <c r="D246" s="9"/>
      <c r="E246" s="43"/>
      <c r="F246" s="9"/>
      <c r="G246" s="9"/>
      <c r="H246" s="43"/>
      <c r="I246" s="40"/>
      <c r="J246" s="9"/>
      <c r="K246" s="9"/>
      <c r="L246" s="9"/>
      <c r="M246" s="43"/>
      <c r="N246" s="43"/>
      <c r="O246" s="9"/>
      <c r="P246" s="9"/>
      <c r="Q246" s="9"/>
      <c r="R246" s="9"/>
      <c r="S246" s="40"/>
      <c r="T246" s="40"/>
      <c r="U246" s="9"/>
      <c r="V246" s="9"/>
      <c r="W246" s="9"/>
      <c r="X246" s="9"/>
      <c r="Y246" s="9"/>
      <c r="Z246" s="9"/>
      <c r="AA246" s="9"/>
      <c r="AB246" s="9"/>
      <c r="AC246" s="10" t="str">
        <f aca="false">IF(A246="","",SG_Criteria!$B$6&amp;SG_Criteria!$B$9&amp;"\"&amp;A246&amp;"\")</f>
        <v/>
      </c>
      <c r="AD246" s="10" t="str">
        <f aca="false">IF(A246="","",A246&amp;"_CAD.dwg")</f>
        <v/>
      </c>
      <c r="AE246" s="10" t="str">
        <f aca="false">IF(A246="","",A246&amp;"_DWG.pdf")</f>
        <v/>
      </c>
      <c r="AF246" s="10" t="str">
        <f aca="false">IF(A246="","",IF(AB246="Y",A246&amp;"_STAAD.std","n/a"))</f>
        <v/>
      </c>
      <c r="AG246" s="10" t="str">
        <f aca="false">IF(A246="","",A246&amp;"_CALC.xlsx")</f>
        <v/>
      </c>
      <c r="AH246" s="10" t="str">
        <f aca="false">IF(A246="","",A246&amp;"_CALC.pdf")</f>
        <v/>
      </c>
      <c r="AI246" s="9"/>
      <c r="AJ246" s="9"/>
      <c r="AK246" s="41"/>
      <c r="AL246" s="41"/>
      <c r="AM246" s="41"/>
      <c r="AN246" s="41"/>
      <c r="AO246" s="41"/>
      <c r="AP246" s="38" t="str">
        <f aca="false">IF(OR(C246="",E246=""),"",IF(E246&lt;=IF(C246="Soldier Pile &amp; Timber Lagging",SG_Criteria!$B$34,SG_Criteria!$B$33),"No ERSS submission",IF(E246&lt;=SG_Criteria!$B$35,"QP(ST)",IF(E246&lt;=SG_Criteria!$B$36,"QP(ST) + AC","Geotechnical building works: QP(Geo) + AC"))))</f>
        <v/>
      </c>
      <c r="AQ246" s="38" t="str">
        <f aca="false">IF(C246="","",IF(LEN(IF(AND(U246&lt;&gt;"",IFERROR(VALUE(MID(U246,2,2)),0)&lt;SG_Criteria!$B$19),"FAIL: grade below C"&amp;SG_Criteria!$B$19&amp;". ","")&amp;IF(AND(LEFT(C246,3)="Con",N(H246)&lt;E246,G246="Kallang Formation (marine clay)"),"NOTE: CBP is not watertight below GWT in marine clay; consider secant / grouting. ","")&amp;IF(AND(C246="Steel Sheet Pile",D246="Permanent"),"NOTE: permanent sheet pile needs corrosion allowance. ","")&amp;IF(AND(F246="Cantilever (no support)",E246&gt;6),"NOTE: cantilever embedded wall &gt; 6 m, check deflection. ","")&amp;IF(AND(S246&lt;&gt;"",T246&lt;&gt;"",S246&gt;T246),"FAIL: deflection exceeds allowable. ",""))=0,"OK",IF(AND(U246&lt;&gt;"",IFERROR(VALUE(MID(U246,2,2)),0)&lt;SG_Criteria!$B$19),"FAIL: grade below C"&amp;SG_Criteria!$B$19&amp;". ","")&amp;IF(AND(LEFT(C246,3)="Con",N(H246)&lt;E246,G246="Kallang Formation (marine clay)"),"NOTE: CBP is not watertight below GWT in marine clay; consider secant / grouting. ","")&amp;IF(AND(C246="Steel Sheet Pile",D246="Permanent"),"NOTE: permanent sheet pile needs corrosion allowance. ","")&amp;IF(AND(F246="Cantilever (no support)",E246&gt;6),"NOTE: cantilever embedded wall &gt; 6 m, check deflection. ","")&amp;IF(AND(S246&lt;&gt;"",T246&lt;&gt;"",S246&gt;T246),"FAIL: deflection exceeds allowable. ","")))</f>
        <v/>
      </c>
      <c r="AR246" s="9"/>
      <c r="AS246" s="9"/>
      <c r="AT246" s="9"/>
      <c r="AU246" s="9"/>
      <c r="AV246" s="9"/>
      <c r="AW246" s="31"/>
      <c r="AX246" s="10" t="str">
        <f aca="false">IF(C246="","",IF(AND(Y246="Approved",ISERROR(SEARCH("FAIL",AQ246))),"Y","N"))</f>
        <v/>
      </c>
      <c r="AY246" s="10" t="str">
        <f aca="false">IF(C246="","",C246&amp;"|"&amp;E246&amp;"|"&amp;F246&amp;"|"&amp;G246&amp;"|"&amp;D246&amp;"|"&amp;AX246)</f>
        <v/>
      </c>
    </row>
    <row r="247" customFormat="false" ht="15" hidden="false" customHeight="false" outlineLevel="0" collapsed="false">
      <c r="A247" s="10" t="str">
        <f aca="false">IF(C247="","","EW-"&amp;IFERROR(VLOOKUP(C247,Lists!$P$4:$Q$22,2,0),"??")&amp;"-D"&amp;TEXT(E247*1000,"0000")&amp;"-"&amp;IFERROR(VLOOKUP(F247,Lists!$S$4:$T$21,2,0),"??")&amp;"-"&amp;IFERROR(VLOOKUP(G247,Lists!$Y$4:$Z$21,2,0),"??")&amp;"-"&amp;IFERROR(VLOOKUP(D247,Lists!$V$4:$W$16,2,0),"??")&amp;"-"&amp;X247)</f>
        <v/>
      </c>
      <c r="B247" s="10" t="str">
        <f aca="false">IF(C247="","",D247&amp;" "&amp;C247&amp;", excavation "&amp;TEXT(E247,"0.0")&amp;" m, "&amp;F247&amp;", "&amp;G247&amp;", "&amp;J247)</f>
        <v/>
      </c>
      <c r="C247" s="9"/>
      <c r="D247" s="9"/>
      <c r="E247" s="43"/>
      <c r="F247" s="9"/>
      <c r="G247" s="9"/>
      <c r="H247" s="43"/>
      <c r="I247" s="40"/>
      <c r="J247" s="9"/>
      <c r="K247" s="9"/>
      <c r="L247" s="9"/>
      <c r="M247" s="43"/>
      <c r="N247" s="43"/>
      <c r="O247" s="9"/>
      <c r="P247" s="9"/>
      <c r="Q247" s="9"/>
      <c r="R247" s="9"/>
      <c r="S247" s="40"/>
      <c r="T247" s="40"/>
      <c r="U247" s="9"/>
      <c r="V247" s="9"/>
      <c r="W247" s="9"/>
      <c r="X247" s="9"/>
      <c r="Y247" s="9"/>
      <c r="Z247" s="9"/>
      <c r="AA247" s="9"/>
      <c r="AB247" s="9"/>
      <c r="AC247" s="10" t="str">
        <f aca="false">IF(A247="","",SG_Criteria!$B$6&amp;SG_Criteria!$B$9&amp;"\"&amp;A247&amp;"\")</f>
        <v/>
      </c>
      <c r="AD247" s="10" t="str">
        <f aca="false">IF(A247="","",A247&amp;"_CAD.dwg")</f>
        <v/>
      </c>
      <c r="AE247" s="10" t="str">
        <f aca="false">IF(A247="","",A247&amp;"_DWG.pdf")</f>
        <v/>
      </c>
      <c r="AF247" s="10" t="str">
        <f aca="false">IF(A247="","",IF(AB247="Y",A247&amp;"_STAAD.std","n/a"))</f>
        <v/>
      </c>
      <c r="AG247" s="10" t="str">
        <f aca="false">IF(A247="","",A247&amp;"_CALC.xlsx")</f>
        <v/>
      </c>
      <c r="AH247" s="10" t="str">
        <f aca="false">IF(A247="","",A247&amp;"_CALC.pdf")</f>
        <v/>
      </c>
      <c r="AI247" s="9"/>
      <c r="AJ247" s="9"/>
      <c r="AK247" s="41"/>
      <c r="AL247" s="41"/>
      <c r="AM247" s="41"/>
      <c r="AN247" s="41"/>
      <c r="AO247" s="41"/>
      <c r="AP247" s="38" t="str">
        <f aca="false">IF(OR(C247="",E247=""),"",IF(E247&lt;=IF(C247="Soldier Pile &amp; Timber Lagging",SG_Criteria!$B$34,SG_Criteria!$B$33),"No ERSS submission",IF(E247&lt;=SG_Criteria!$B$35,"QP(ST)",IF(E247&lt;=SG_Criteria!$B$36,"QP(ST) + AC","Geotechnical building works: QP(Geo) + AC"))))</f>
        <v/>
      </c>
      <c r="AQ247" s="38" t="str">
        <f aca="false">IF(C247="","",IF(LEN(IF(AND(U247&lt;&gt;"",IFERROR(VALUE(MID(U247,2,2)),0)&lt;SG_Criteria!$B$19),"FAIL: grade below C"&amp;SG_Criteria!$B$19&amp;". ","")&amp;IF(AND(LEFT(C247,3)="Con",N(H247)&lt;E247,G247="Kallang Formation (marine clay)"),"NOTE: CBP is not watertight below GWT in marine clay; consider secant / grouting. ","")&amp;IF(AND(C247="Steel Sheet Pile",D247="Permanent"),"NOTE: permanent sheet pile needs corrosion allowance. ","")&amp;IF(AND(F247="Cantilever (no support)",E247&gt;6),"NOTE: cantilever embedded wall &gt; 6 m, check deflection. ","")&amp;IF(AND(S247&lt;&gt;"",T247&lt;&gt;"",S247&gt;T247),"FAIL: deflection exceeds allowable. ",""))=0,"OK",IF(AND(U247&lt;&gt;"",IFERROR(VALUE(MID(U247,2,2)),0)&lt;SG_Criteria!$B$19),"FAIL: grade below C"&amp;SG_Criteria!$B$19&amp;". ","")&amp;IF(AND(LEFT(C247,3)="Con",N(H247)&lt;E247,G247="Kallang Formation (marine clay)"),"NOTE: CBP is not watertight below GWT in marine clay; consider secant / grouting. ","")&amp;IF(AND(C247="Steel Sheet Pile",D247="Permanent"),"NOTE: permanent sheet pile needs corrosion allowance. ","")&amp;IF(AND(F247="Cantilever (no support)",E247&gt;6),"NOTE: cantilever embedded wall &gt; 6 m, check deflection. ","")&amp;IF(AND(S247&lt;&gt;"",T247&lt;&gt;"",S247&gt;T247),"FAIL: deflection exceeds allowable. ","")))</f>
        <v/>
      </c>
      <c r="AR247" s="9"/>
      <c r="AS247" s="9"/>
      <c r="AT247" s="9"/>
      <c r="AU247" s="9"/>
      <c r="AV247" s="9"/>
      <c r="AW247" s="31"/>
      <c r="AX247" s="10" t="str">
        <f aca="false">IF(C247="","",IF(AND(Y247="Approved",ISERROR(SEARCH("FAIL",AQ247))),"Y","N"))</f>
        <v/>
      </c>
      <c r="AY247" s="10" t="str">
        <f aca="false">IF(C247="","",C247&amp;"|"&amp;E247&amp;"|"&amp;F247&amp;"|"&amp;G247&amp;"|"&amp;D247&amp;"|"&amp;AX247)</f>
        <v/>
      </c>
    </row>
    <row r="248" customFormat="false" ht="15" hidden="false" customHeight="false" outlineLevel="0" collapsed="false">
      <c r="A248" s="10" t="str">
        <f aca="false">IF(C248="","","EW-"&amp;IFERROR(VLOOKUP(C248,Lists!$P$4:$Q$22,2,0),"??")&amp;"-D"&amp;TEXT(E248*1000,"0000")&amp;"-"&amp;IFERROR(VLOOKUP(F248,Lists!$S$4:$T$21,2,0),"??")&amp;"-"&amp;IFERROR(VLOOKUP(G248,Lists!$Y$4:$Z$21,2,0),"??")&amp;"-"&amp;IFERROR(VLOOKUP(D248,Lists!$V$4:$W$16,2,0),"??")&amp;"-"&amp;X248)</f>
        <v/>
      </c>
      <c r="B248" s="10" t="str">
        <f aca="false">IF(C248="","",D248&amp;" "&amp;C248&amp;", excavation "&amp;TEXT(E248,"0.0")&amp;" m, "&amp;F248&amp;", "&amp;G248&amp;", "&amp;J248)</f>
        <v/>
      </c>
      <c r="C248" s="9"/>
      <c r="D248" s="9"/>
      <c r="E248" s="43"/>
      <c r="F248" s="9"/>
      <c r="G248" s="9"/>
      <c r="H248" s="43"/>
      <c r="I248" s="40"/>
      <c r="J248" s="9"/>
      <c r="K248" s="9"/>
      <c r="L248" s="9"/>
      <c r="M248" s="43"/>
      <c r="N248" s="43"/>
      <c r="O248" s="9"/>
      <c r="P248" s="9"/>
      <c r="Q248" s="9"/>
      <c r="R248" s="9"/>
      <c r="S248" s="40"/>
      <c r="T248" s="40"/>
      <c r="U248" s="9"/>
      <c r="V248" s="9"/>
      <c r="W248" s="9"/>
      <c r="X248" s="9"/>
      <c r="Y248" s="9"/>
      <c r="Z248" s="9"/>
      <c r="AA248" s="9"/>
      <c r="AB248" s="9"/>
      <c r="AC248" s="10" t="str">
        <f aca="false">IF(A248="","",SG_Criteria!$B$6&amp;SG_Criteria!$B$9&amp;"\"&amp;A248&amp;"\")</f>
        <v/>
      </c>
      <c r="AD248" s="10" t="str">
        <f aca="false">IF(A248="","",A248&amp;"_CAD.dwg")</f>
        <v/>
      </c>
      <c r="AE248" s="10" t="str">
        <f aca="false">IF(A248="","",A248&amp;"_DWG.pdf")</f>
        <v/>
      </c>
      <c r="AF248" s="10" t="str">
        <f aca="false">IF(A248="","",IF(AB248="Y",A248&amp;"_STAAD.std","n/a"))</f>
        <v/>
      </c>
      <c r="AG248" s="10" t="str">
        <f aca="false">IF(A248="","",A248&amp;"_CALC.xlsx")</f>
        <v/>
      </c>
      <c r="AH248" s="10" t="str">
        <f aca="false">IF(A248="","",A248&amp;"_CALC.pdf")</f>
        <v/>
      </c>
      <c r="AI248" s="9"/>
      <c r="AJ248" s="9"/>
      <c r="AK248" s="41"/>
      <c r="AL248" s="41"/>
      <c r="AM248" s="41"/>
      <c r="AN248" s="41"/>
      <c r="AO248" s="41"/>
      <c r="AP248" s="38" t="str">
        <f aca="false">IF(OR(C248="",E248=""),"",IF(E248&lt;=IF(C248="Soldier Pile &amp; Timber Lagging",SG_Criteria!$B$34,SG_Criteria!$B$33),"No ERSS submission",IF(E248&lt;=SG_Criteria!$B$35,"QP(ST)",IF(E248&lt;=SG_Criteria!$B$36,"QP(ST) + AC","Geotechnical building works: QP(Geo) + AC"))))</f>
        <v/>
      </c>
      <c r="AQ248" s="38" t="str">
        <f aca="false">IF(C248="","",IF(LEN(IF(AND(U248&lt;&gt;"",IFERROR(VALUE(MID(U248,2,2)),0)&lt;SG_Criteria!$B$19),"FAIL: grade below C"&amp;SG_Criteria!$B$19&amp;". ","")&amp;IF(AND(LEFT(C248,3)="Con",N(H248)&lt;E248,G248="Kallang Formation (marine clay)"),"NOTE: CBP is not watertight below GWT in marine clay; consider secant / grouting. ","")&amp;IF(AND(C248="Steel Sheet Pile",D248="Permanent"),"NOTE: permanent sheet pile needs corrosion allowance. ","")&amp;IF(AND(F248="Cantilever (no support)",E248&gt;6),"NOTE: cantilever embedded wall &gt; 6 m, check deflection. ","")&amp;IF(AND(S248&lt;&gt;"",T248&lt;&gt;"",S248&gt;T248),"FAIL: deflection exceeds allowable. ",""))=0,"OK",IF(AND(U248&lt;&gt;"",IFERROR(VALUE(MID(U248,2,2)),0)&lt;SG_Criteria!$B$19),"FAIL: grade below C"&amp;SG_Criteria!$B$19&amp;". ","")&amp;IF(AND(LEFT(C248,3)="Con",N(H248)&lt;E248,G248="Kallang Formation (marine clay)"),"NOTE: CBP is not watertight below GWT in marine clay; consider secant / grouting. ","")&amp;IF(AND(C248="Steel Sheet Pile",D248="Permanent"),"NOTE: permanent sheet pile needs corrosion allowance. ","")&amp;IF(AND(F248="Cantilever (no support)",E248&gt;6),"NOTE: cantilever embedded wall &gt; 6 m, check deflection. ","")&amp;IF(AND(S248&lt;&gt;"",T248&lt;&gt;"",S248&gt;T248),"FAIL: deflection exceeds allowable. ","")))</f>
        <v/>
      </c>
      <c r="AR248" s="9"/>
      <c r="AS248" s="9"/>
      <c r="AT248" s="9"/>
      <c r="AU248" s="9"/>
      <c r="AV248" s="9"/>
      <c r="AW248" s="31"/>
      <c r="AX248" s="10" t="str">
        <f aca="false">IF(C248="","",IF(AND(Y248="Approved",ISERROR(SEARCH("FAIL",AQ248))),"Y","N"))</f>
        <v/>
      </c>
      <c r="AY248" s="10" t="str">
        <f aca="false">IF(C248="","",C248&amp;"|"&amp;E248&amp;"|"&amp;F248&amp;"|"&amp;G248&amp;"|"&amp;D248&amp;"|"&amp;AX248)</f>
        <v/>
      </c>
    </row>
    <row r="249" customFormat="false" ht="15" hidden="false" customHeight="false" outlineLevel="0" collapsed="false">
      <c r="A249" s="10" t="str">
        <f aca="false">IF(C249="","","EW-"&amp;IFERROR(VLOOKUP(C249,Lists!$P$4:$Q$22,2,0),"??")&amp;"-D"&amp;TEXT(E249*1000,"0000")&amp;"-"&amp;IFERROR(VLOOKUP(F249,Lists!$S$4:$T$21,2,0),"??")&amp;"-"&amp;IFERROR(VLOOKUP(G249,Lists!$Y$4:$Z$21,2,0),"??")&amp;"-"&amp;IFERROR(VLOOKUP(D249,Lists!$V$4:$W$16,2,0),"??")&amp;"-"&amp;X249)</f>
        <v/>
      </c>
      <c r="B249" s="10" t="str">
        <f aca="false">IF(C249="","",D249&amp;" "&amp;C249&amp;", excavation "&amp;TEXT(E249,"0.0")&amp;" m, "&amp;F249&amp;", "&amp;G249&amp;", "&amp;J249)</f>
        <v/>
      </c>
      <c r="C249" s="9"/>
      <c r="D249" s="9"/>
      <c r="E249" s="43"/>
      <c r="F249" s="9"/>
      <c r="G249" s="9"/>
      <c r="H249" s="43"/>
      <c r="I249" s="40"/>
      <c r="J249" s="9"/>
      <c r="K249" s="9"/>
      <c r="L249" s="9"/>
      <c r="M249" s="43"/>
      <c r="N249" s="43"/>
      <c r="O249" s="9"/>
      <c r="P249" s="9"/>
      <c r="Q249" s="9"/>
      <c r="R249" s="9"/>
      <c r="S249" s="40"/>
      <c r="T249" s="40"/>
      <c r="U249" s="9"/>
      <c r="V249" s="9"/>
      <c r="W249" s="9"/>
      <c r="X249" s="9"/>
      <c r="Y249" s="9"/>
      <c r="Z249" s="9"/>
      <c r="AA249" s="9"/>
      <c r="AB249" s="9"/>
      <c r="AC249" s="10" t="str">
        <f aca="false">IF(A249="","",SG_Criteria!$B$6&amp;SG_Criteria!$B$9&amp;"\"&amp;A249&amp;"\")</f>
        <v/>
      </c>
      <c r="AD249" s="10" t="str">
        <f aca="false">IF(A249="","",A249&amp;"_CAD.dwg")</f>
        <v/>
      </c>
      <c r="AE249" s="10" t="str">
        <f aca="false">IF(A249="","",A249&amp;"_DWG.pdf")</f>
        <v/>
      </c>
      <c r="AF249" s="10" t="str">
        <f aca="false">IF(A249="","",IF(AB249="Y",A249&amp;"_STAAD.std","n/a"))</f>
        <v/>
      </c>
      <c r="AG249" s="10" t="str">
        <f aca="false">IF(A249="","",A249&amp;"_CALC.xlsx")</f>
        <v/>
      </c>
      <c r="AH249" s="10" t="str">
        <f aca="false">IF(A249="","",A249&amp;"_CALC.pdf")</f>
        <v/>
      </c>
      <c r="AI249" s="9"/>
      <c r="AJ249" s="9"/>
      <c r="AK249" s="41"/>
      <c r="AL249" s="41"/>
      <c r="AM249" s="41"/>
      <c r="AN249" s="41"/>
      <c r="AO249" s="41"/>
      <c r="AP249" s="38" t="str">
        <f aca="false">IF(OR(C249="",E249=""),"",IF(E249&lt;=IF(C249="Soldier Pile &amp; Timber Lagging",SG_Criteria!$B$34,SG_Criteria!$B$33),"No ERSS submission",IF(E249&lt;=SG_Criteria!$B$35,"QP(ST)",IF(E249&lt;=SG_Criteria!$B$36,"QP(ST) + AC","Geotechnical building works: QP(Geo) + AC"))))</f>
        <v/>
      </c>
      <c r="AQ249" s="38" t="str">
        <f aca="false">IF(C249="","",IF(LEN(IF(AND(U249&lt;&gt;"",IFERROR(VALUE(MID(U249,2,2)),0)&lt;SG_Criteria!$B$19),"FAIL: grade below C"&amp;SG_Criteria!$B$19&amp;". ","")&amp;IF(AND(LEFT(C249,3)="Con",N(H249)&lt;E249,G249="Kallang Formation (marine clay)"),"NOTE: CBP is not watertight below GWT in marine clay; consider secant / grouting. ","")&amp;IF(AND(C249="Steel Sheet Pile",D249="Permanent"),"NOTE: permanent sheet pile needs corrosion allowance. ","")&amp;IF(AND(F249="Cantilever (no support)",E249&gt;6),"NOTE: cantilever embedded wall &gt; 6 m, check deflection. ","")&amp;IF(AND(S249&lt;&gt;"",T249&lt;&gt;"",S249&gt;T249),"FAIL: deflection exceeds allowable. ",""))=0,"OK",IF(AND(U249&lt;&gt;"",IFERROR(VALUE(MID(U249,2,2)),0)&lt;SG_Criteria!$B$19),"FAIL: grade below C"&amp;SG_Criteria!$B$19&amp;". ","")&amp;IF(AND(LEFT(C249,3)="Con",N(H249)&lt;E249,G249="Kallang Formation (marine clay)"),"NOTE: CBP is not watertight below GWT in marine clay; consider secant / grouting. ","")&amp;IF(AND(C249="Steel Sheet Pile",D249="Permanent"),"NOTE: permanent sheet pile needs corrosion allowance. ","")&amp;IF(AND(F249="Cantilever (no support)",E249&gt;6),"NOTE: cantilever embedded wall &gt; 6 m, check deflection. ","")&amp;IF(AND(S249&lt;&gt;"",T249&lt;&gt;"",S249&gt;T249),"FAIL: deflection exceeds allowable. ","")))</f>
        <v/>
      </c>
      <c r="AR249" s="9"/>
      <c r="AS249" s="9"/>
      <c r="AT249" s="9"/>
      <c r="AU249" s="9"/>
      <c r="AV249" s="9"/>
      <c r="AW249" s="31"/>
      <c r="AX249" s="10" t="str">
        <f aca="false">IF(C249="","",IF(AND(Y249="Approved",ISERROR(SEARCH("FAIL",AQ249))),"Y","N"))</f>
        <v/>
      </c>
      <c r="AY249" s="10" t="str">
        <f aca="false">IF(C249="","",C249&amp;"|"&amp;E249&amp;"|"&amp;F249&amp;"|"&amp;G249&amp;"|"&amp;D249&amp;"|"&amp;AX249)</f>
        <v/>
      </c>
    </row>
    <row r="250" customFormat="false" ht="15" hidden="false" customHeight="false" outlineLevel="0" collapsed="false">
      <c r="A250" s="10" t="str">
        <f aca="false">IF(C250="","","EW-"&amp;IFERROR(VLOOKUP(C250,Lists!$P$4:$Q$22,2,0),"??")&amp;"-D"&amp;TEXT(E250*1000,"0000")&amp;"-"&amp;IFERROR(VLOOKUP(F250,Lists!$S$4:$T$21,2,0),"??")&amp;"-"&amp;IFERROR(VLOOKUP(G250,Lists!$Y$4:$Z$21,2,0),"??")&amp;"-"&amp;IFERROR(VLOOKUP(D250,Lists!$V$4:$W$16,2,0),"??")&amp;"-"&amp;X250)</f>
        <v/>
      </c>
      <c r="B250" s="10" t="str">
        <f aca="false">IF(C250="","",D250&amp;" "&amp;C250&amp;", excavation "&amp;TEXT(E250,"0.0")&amp;" m, "&amp;F250&amp;", "&amp;G250&amp;", "&amp;J250)</f>
        <v/>
      </c>
      <c r="C250" s="9"/>
      <c r="D250" s="9"/>
      <c r="E250" s="43"/>
      <c r="F250" s="9"/>
      <c r="G250" s="9"/>
      <c r="H250" s="43"/>
      <c r="I250" s="40"/>
      <c r="J250" s="9"/>
      <c r="K250" s="9"/>
      <c r="L250" s="9"/>
      <c r="M250" s="43"/>
      <c r="N250" s="43"/>
      <c r="O250" s="9"/>
      <c r="P250" s="9"/>
      <c r="Q250" s="9"/>
      <c r="R250" s="9"/>
      <c r="S250" s="40"/>
      <c r="T250" s="40"/>
      <c r="U250" s="9"/>
      <c r="V250" s="9"/>
      <c r="W250" s="9"/>
      <c r="X250" s="9"/>
      <c r="Y250" s="9"/>
      <c r="Z250" s="9"/>
      <c r="AA250" s="9"/>
      <c r="AB250" s="9"/>
      <c r="AC250" s="10" t="str">
        <f aca="false">IF(A250="","",SG_Criteria!$B$6&amp;SG_Criteria!$B$9&amp;"\"&amp;A250&amp;"\")</f>
        <v/>
      </c>
      <c r="AD250" s="10" t="str">
        <f aca="false">IF(A250="","",A250&amp;"_CAD.dwg")</f>
        <v/>
      </c>
      <c r="AE250" s="10" t="str">
        <f aca="false">IF(A250="","",A250&amp;"_DWG.pdf")</f>
        <v/>
      </c>
      <c r="AF250" s="10" t="str">
        <f aca="false">IF(A250="","",IF(AB250="Y",A250&amp;"_STAAD.std","n/a"))</f>
        <v/>
      </c>
      <c r="AG250" s="10" t="str">
        <f aca="false">IF(A250="","",A250&amp;"_CALC.xlsx")</f>
        <v/>
      </c>
      <c r="AH250" s="10" t="str">
        <f aca="false">IF(A250="","",A250&amp;"_CALC.pdf")</f>
        <v/>
      </c>
      <c r="AI250" s="9"/>
      <c r="AJ250" s="9"/>
      <c r="AK250" s="41"/>
      <c r="AL250" s="41"/>
      <c r="AM250" s="41"/>
      <c r="AN250" s="41"/>
      <c r="AO250" s="41"/>
      <c r="AP250" s="38" t="str">
        <f aca="false">IF(OR(C250="",E250=""),"",IF(E250&lt;=IF(C250="Soldier Pile &amp; Timber Lagging",SG_Criteria!$B$34,SG_Criteria!$B$33),"No ERSS submission",IF(E250&lt;=SG_Criteria!$B$35,"QP(ST)",IF(E250&lt;=SG_Criteria!$B$36,"QP(ST) + AC","Geotechnical building works: QP(Geo) + AC"))))</f>
        <v/>
      </c>
      <c r="AQ250" s="38" t="str">
        <f aca="false">IF(C250="","",IF(LEN(IF(AND(U250&lt;&gt;"",IFERROR(VALUE(MID(U250,2,2)),0)&lt;SG_Criteria!$B$19),"FAIL: grade below C"&amp;SG_Criteria!$B$19&amp;". ","")&amp;IF(AND(LEFT(C250,3)="Con",N(H250)&lt;E250,G250="Kallang Formation (marine clay)"),"NOTE: CBP is not watertight below GWT in marine clay; consider secant / grouting. ","")&amp;IF(AND(C250="Steel Sheet Pile",D250="Permanent"),"NOTE: permanent sheet pile needs corrosion allowance. ","")&amp;IF(AND(F250="Cantilever (no support)",E250&gt;6),"NOTE: cantilever embedded wall &gt; 6 m, check deflection. ","")&amp;IF(AND(S250&lt;&gt;"",T250&lt;&gt;"",S250&gt;T250),"FAIL: deflection exceeds allowable. ",""))=0,"OK",IF(AND(U250&lt;&gt;"",IFERROR(VALUE(MID(U250,2,2)),0)&lt;SG_Criteria!$B$19),"FAIL: grade below C"&amp;SG_Criteria!$B$19&amp;". ","")&amp;IF(AND(LEFT(C250,3)="Con",N(H250)&lt;E250,G250="Kallang Formation (marine clay)"),"NOTE: CBP is not watertight below GWT in marine clay; consider secant / grouting. ","")&amp;IF(AND(C250="Steel Sheet Pile",D250="Permanent"),"NOTE: permanent sheet pile needs corrosion allowance. ","")&amp;IF(AND(F250="Cantilever (no support)",E250&gt;6),"NOTE: cantilever embedded wall &gt; 6 m, check deflection. ","")&amp;IF(AND(S250&lt;&gt;"",T250&lt;&gt;"",S250&gt;T250),"FAIL: deflection exceeds allowable. ","")))</f>
        <v/>
      </c>
      <c r="AR250" s="9"/>
      <c r="AS250" s="9"/>
      <c r="AT250" s="9"/>
      <c r="AU250" s="9"/>
      <c r="AV250" s="9"/>
      <c r="AW250" s="31"/>
      <c r="AX250" s="10" t="str">
        <f aca="false">IF(C250="","",IF(AND(Y250="Approved",ISERROR(SEARCH("FAIL",AQ250))),"Y","N"))</f>
        <v/>
      </c>
      <c r="AY250" s="10" t="str">
        <f aca="false">IF(C250="","",C250&amp;"|"&amp;E250&amp;"|"&amp;F250&amp;"|"&amp;G250&amp;"|"&amp;D250&amp;"|"&amp;AX250)</f>
        <v/>
      </c>
    </row>
    <row r="251" customFormat="false" ht="15" hidden="false" customHeight="false" outlineLevel="0" collapsed="false">
      <c r="A251" s="10" t="str">
        <f aca="false">IF(C251="","","EW-"&amp;IFERROR(VLOOKUP(C251,Lists!$P$4:$Q$22,2,0),"??")&amp;"-D"&amp;TEXT(E251*1000,"0000")&amp;"-"&amp;IFERROR(VLOOKUP(F251,Lists!$S$4:$T$21,2,0),"??")&amp;"-"&amp;IFERROR(VLOOKUP(G251,Lists!$Y$4:$Z$21,2,0),"??")&amp;"-"&amp;IFERROR(VLOOKUP(D251,Lists!$V$4:$W$16,2,0),"??")&amp;"-"&amp;X251)</f>
        <v/>
      </c>
      <c r="B251" s="10" t="str">
        <f aca="false">IF(C251="","",D251&amp;" "&amp;C251&amp;", excavation "&amp;TEXT(E251,"0.0")&amp;" m, "&amp;F251&amp;", "&amp;G251&amp;", "&amp;J251)</f>
        <v/>
      </c>
      <c r="C251" s="9"/>
      <c r="D251" s="9"/>
      <c r="E251" s="43"/>
      <c r="F251" s="9"/>
      <c r="G251" s="9"/>
      <c r="H251" s="43"/>
      <c r="I251" s="40"/>
      <c r="J251" s="9"/>
      <c r="K251" s="9"/>
      <c r="L251" s="9"/>
      <c r="M251" s="43"/>
      <c r="N251" s="43"/>
      <c r="O251" s="9"/>
      <c r="P251" s="9"/>
      <c r="Q251" s="9"/>
      <c r="R251" s="9"/>
      <c r="S251" s="40"/>
      <c r="T251" s="40"/>
      <c r="U251" s="9"/>
      <c r="V251" s="9"/>
      <c r="W251" s="9"/>
      <c r="X251" s="9"/>
      <c r="Y251" s="9"/>
      <c r="Z251" s="9"/>
      <c r="AA251" s="9"/>
      <c r="AB251" s="9"/>
      <c r="AC251" s="10" t="str">
        <f aca="false">IF(A251="","",SG_Criteria!$B$6&amp;SG_Criteria!$B$9&amp;"\"&amp;A251&amp;"\")</f>
        <v/>
      </c>
      <c r="AD251" s="10" t="str">
        <f aca="false">IF(A251="","",A251&amp;"_CAD.dwg")</f>
        <v/>
      </c>
      <c r="AE251" s="10" t="str">
        <f aca="false">IF(A251="","",A251&amp;"_DWG.pdf")</f>
        <v/>
      </c>
      <c r="AF251" s="10" t="str">
        <f aca="false">IF(A251="","",IF(AB251="Y",A251&amp;"_STAAD.std","n/a"))</f>
        <v/>
      </c>
      <c r="AG251" s="10" t="str">
        <f aca="false">IF(A251="","",A251&amp;"_CALC.xlsx")</f>
        <v/>
      </c>
      <c r="AH251" s="10" t="str">
        <f aca="false">IF(A251="","",A251&amp;"_CALC.pdf")</f>
        <v/>
      </c>
      <c r="AI251" s="9"/>
      <c r="AJ251" s="9"/>
      <c r="AK251" s="41"/>
      <c r="AL251" s="41"/>
      <c r="AM251" s="41"/>
      <c r="AN251" s="41"/>
      <c r="AO251" s="41"/>
      <c r="AP251" s="38" t="str">
        <f aca="false">IF(OR(C251="",E251=""),"",IF(E251&lt;=IF(C251="Soldier Pile &amp; Timber Lagging",SG_Criteria!$B$34,SG_Criteria!$B$33),"No ERSS submission",IF(E251&lt;=SG_Criteria!$B$35,"QP(ST)",IF(E251&lt;=SG_Criteria!$B$36,"QP(ST) + AC","Geotechnical building works: QP(Geo) + AC"))))</f>
        <v/>
      </c>
      <c r="AQ251" s="38" t="str">
        <f aca="false">IF(C251="","",IF(LEN(IF(AND(U251&lt;&gt;"",IFERROR(VALUE(MID(U251,2,2)),0)&lt;SG_Criteria!$B$19),"FAIL: grade below C"&amp;SG_Criteria!$B$19&amp;". ","")&amp;IF(AND(LEFT(C251,3)="Con",N(H251)&lt;E251,G251="Kallang Formation (marine clay)"),"NOTE: CBP is not watertight below GWT in marine clay; consider secant / grouting. ","")&amp;IF(AND(C251="Steel Sheet Pile",D251="Permanent"),"NOTE: permanent sheet pile needs corrosion allowance. ","")&amp;IF(AND(F251="Cantilever (no support)",E251&gt;6),"NOTE: cantilever embedded wall &gt; 6 m, check deflection. ","")&amp;IF(AND(S251&lt;&gt;"",T251&lt;&gt;"",S251&gt;T251),"FAIL: deflection exceeds allowable. ",""))=0,"OK",IF(AND(U251&lt;&gt;"",IFERROR(VALUE(MID(U251,2,2)),0)&lt;SG_Criteria!$B$19),"FAIL: grade below C"&amp;SG_Criteria!$B$19&amp;". ","")&amp;IF(AND(LEFT(C251,3)="Con",N(H251)&lt;E251,G251="Kallang Formation (marine clay)"),"NOTE: CBP is not watertight below GWT in marine clay; consider secant / grouting. ","")&amp;IF(AND(C251="Steel Sheet Pile",D251="Permanent"),"NOTE: permanent sheet pile needs corrosion allowance. ","")&amp;IF(AND(F251="Cantilever (no support)",E251&gt;6),"NOTE: cantilever embedded wall &gt; 6 m, check deflection. ","")&amp;IF(AND(S251&lt;&gt;"",T251&lt;&gt;"",S251&gt;T251),"FAIL: deflection exceeds allowable. ","")))</f>
        <v/>
      </c>
      <c r="AR251" s="9"/>
      <c r="AS251" s="9"/>
      <c r="AT251" s="9"/>
      <c r="AU251" s="9"/>
      <c r="AV251" s="9"/>
      <c r="AW251" s="31"/>
      <c r="AX251" s="10" t="str">
        <f aca="false">IF(C251="","",IF(AND(Y251="Approved",ISERROR(SEARCH("FAIL",AQ251))),"Y","N"))</f>
        <v/>
      </c>
      <c r="AY251" s="10" t="str">
        <f aca="false">IF(C251="","",C251&amp;"|"&amp;E251&amp;"|"&amp;F251&amp;"|"&amp;G251&amp;"|"&amp;D251&amp;"|"&amp;AX251)</f>
        <v/>
      </c>
    </row>
    <row r="252" customFormat="false" ht="15" hidden="false" customHeight="false" outlineLevel="0" collapsed="false">
      <c r="A252" s="10" t="str">
        <f aca="false">IF(C252="","","EW-"&amp;IFERROR(VLOOKUP(C252,Lists!$P$4:$Q$22,2,0),"??")&amp;"-D"&amp;TEXT(E252*1000,"0000")&amp;"-"&amp;IFERROR(VLOOKUP(F252,Lists!$S$4:$T$21,2,0),"??")&amp;"-"&amp;IFERROR(VLOOKUP(G252,Lists!$Y$4:$Z$21,2,0),"??")&amp;"-"&amp;IFERROR(VLOOKUP(D252,Lists!$V$4:$W$16,2,0),"??")&amp;"-"&amp;X252)</f>
        <v/>
      </c>
      <c r="B252" s="10" t="str">
        <f aca="false">IF(C252="","",D252&amp;" "&amp;C252&amp;", excavation "&amp;TEXT(E252,"0.0")&amp;" m, "&amp;F252&amp;", "&amp;G252&amp;", "&amp;J252)</f>
        <v/>
      </c>
      <c r="C252" s="9"/>
      <c r="D252" s="9"/>
      <c r="E252" s="43"/>
      <c r="F252" s="9"/>
      <c r="G252" s="9"/>
      <c r="H252" s="43"/>
      <c r="I252" s="40"/>
      <c r="J252" s="9"/>
      <c r="K252" s="9"/>
      <c r="L252" s="9"/>
      <c r="M252" s="43"/>
      <c r="N252" s="43"/>
      <c r="O252" s="9"/>
      <c r="P252" s="9"/>
      <c r="Q252" s="9"/>
      <c r="R252" s="9"/>
      <c r="S252" s="40"/>
      <c r="T252" s="40"/>
      <c r="U252" s="9"/>
      <c r="V252" s="9"/>
      <c r="W252" s="9"/>
      <c r="X252" s="9"/>
      <c r="Y252" s="9"/>
      <c r="Z252" s="9"/>
      <c r="AA252" s="9"/>
      <c r="AB252" s="9"/>
      <c r="AC252" s="10" t="str">
        <f aca="false">IF(A252="","",SG_Criteria!$B$6&amp;SG_Criteria!$B$9&amp;"\"&amp;A252&amp;"\")</f>
        <v/>
      </c>
      <c r="AD252" s="10" t="str">
        <f aca="false">IF(A252="","",A252&amp;"_CAD.dwg")</f>
        <v/>
      </c>
      <c r="AE252" s="10" t="str">
        <f aca="false">IF(A252="","",A252&amp;"_DWG.pdf")</f>
        <v/>
      </c>
      <c r="AF252" s="10" t="str">
        <f aca="false">IF(A252="","",IF(AB252="Y",A252&amp;"_STAAD.std","n/a"))</f>
        <v/>
      </c>
      <c r="AG252" s="10" t="str">
        <f aca="false">IF(A252="","",A252&amp;"_CALC.xlsx")</f>
        <v/>
      </c>
      <c r="AH252" s="10" t="str">
        <f aca="false">IF(A252="","",A252&amp;"_CALC.pdf")</f>
        <v/>
      </c>
      <c r="AI252" s="9"/>
      <c r="AJ252" s="9"/>
      <c r="AK252" s="41"/>
      <c r="AL252" s="41"/>
      <c r="AM252" s="41"/>
      <c r="AN252" s="41"/>
      <c r="AO252" s="41"/>
      <c r="AP252" s="38" t="str">
        <f aca="false">IF(OR(C252="",E252=""),"",IF(E252&lt;=IF(C252="Soldier Pile &amp; Timber Lagging",SG_Criteria!$B$34,SG_Criteria!$B$33),"No ERSS submission",IF(E252&lt;=SG_Criteria!$B$35,"QP(ST)",IF(E252&lt;=SG_Criteria!$B$36,"QP(ST) + AC","Geotechnical building works: QP(Geo) + AC"))))</f>
        <v/>
      </c>
      <c r="AQ252" s="38" t="str">
        <f aca="false">IF(C252="","",IF(LEN(IF(AND(U252&lt;&gt;"",IFERROR(VALUE(MID(U252,2,2)),0)&lt;SG_Criteria!$B$19),"FAIL: grade below C"&amp;SG_Criteria!$B$19&amp;". ","")&amp;IF(AND(LEFT(C252,3)="Con",N(H252)&lt;E252,G252="Kallang Formation (marine clay)"),"NOTE: CBP is not watertight below GWT in marine clay; consider secant / grouting. ","")&amp;IF(AND(C252="Steel Sheet Pile",D252="Permanent"),"NOTE: permanent sheet pile needs corrosion allowance. ","")&amp;IF(AND(F252="Cantilever (no support)",E252&gt;6),"NOTE: cantilever embedded wall &gt; 6 m, check deflection. ","")&amp;IF(AND(S252&lt;&gt;"",T252&lt;&gt;"",S252&gt;T252),"FAIL: deflection exceeds allowable. ",""))=0,"OK",IF(AND(U252&lt;&gt;"",IFERROR(VALUE(MID(U252,2,2)),0)&lt;SG_Criteria!$B$19),"FAIL: grade below C"&amp;SG_Criteria!$B$19&amp;". ","")&amp;IF(AND(LEFT(C252,3)="Con",N(H252)&lt;E252,G252="Kallang Formation (marine clay)"),"NOTE: CBP is not watertight below GWT in marine clay; consider secant / grouting. ","")&amp;IF(AND(C252="Steel Sheet Pile",D252="Permanent"),"NOTE: permanent sheet pile needs corrosion allowance. ","")&amp;IF(AND(F252="Cantilever (no support)",E252&gt;6),"NOTE: cantilever embedded wall &gt; 6 m, check deflection. ","")&amp;IF(AND(S252&lt;&gt;"",T252&lt;&gt;"",S252&gt;T252),"FAIL: deflection exceeds allowable. ","")))</f>
        <v/>
      </c>
      <c r="AR252" s="9"/>
      <c r="AS252" s="9"/>
      <c r="AT252" s="9"/>
      <c r="AU252" s="9"/>
      <c r="AV252" s="9"/>
      <c r="AW252" s="31"/>
      <c r="AX252" s="10" t="str">
        <f aca="false">IF(C252="","",IF(AND(Y252="Approved",ISERROR(SEARCH("FAIL",AQ252))),"Y","N"))</f>
        <v/>
      </c>
      <c r="AY252" s="10" t="str">
        <f aca="false">IF(C252="","",C252&amp;"|"&amp;E252&amp;"|"&amp;F252&amp;"|"&amp;G252&amp;"|"&amp;D252&amp;"|"&amp;AX252)</f>
        <v/>
      </c>
    </row>
    <row r="253" customFormat="false" ht="15" hidden="false" customHeight="false" outlineLevel="0" collapsed="false">
      <c r="A253" s="10" t="str">
        <f aca="false">IF(C253="","","EW-"&amp;IFERROR(VLOOKUP(C253,Lists!$P$4:$Q$22,2,0),"??")&amp;"-D"&amp;TEXT(E253*1000,"0000")&amp;"-"&amp;IFERROR(VLOOKUP(F253,Lists!$S$4:$T$21,2,0),"??")&amp;"-"&amp;IFERROR(VLOOKUP(G253,Lists!$Y$4:$Z$21,2,0),"??")&amp;"-"&amp;IFERROR(VLOOKUP(D253,Lists!$V$4:$W$16,2,0),"??")&amp;"-"&amp;X253)</f>
        <v/>
      </c>
      <c r="B253" s="10" t="str">
        <f aca="false">IF(C253="","",D253&amp;" "&amp;C253&amp;", excavation "&amp;TEXT(E253,"0.0")&amp;" m, "&amp;F253&amp;", "&amp;G253&amp;", "&amp;J253)</f>
        <v/>
      </c>
      <c r="C253" s="9"/>
      <c r="D253" s="9"/>
      <c r="E253" s="43"/>
      <c r="F253" s="9"/>
      <c r="G253" s="9"/>
      <c r="H253" s="43"/>
      <c r="I253" s="40"/>
      <c r="J253" s="9"/>
      <c r="K253" s="9"/>
      <c r="L253" s="9"/>
      <c r="M253" s="43"/>
      <c r="N253" s="43"/>
      <c r="O253" s="9"/>
      <c r="P253" s="9"/>
      <c r="Q253" s="9"/>
      <c r="R253" s="9"/>
      <c r="S253" s="40"/>
      <c r="T253" s="40"/>
      <c r="U253" s="9"/>
      <c r="V253" s="9"/>
      <c r="W253" s="9"/>
      <c r="X253" s="9"/>
      <c r="Y253" s="9"/>
      <c r="Z253" s="9"/>
      <c r="AA253" s="9"/>
      <c r="AB253" s="9"/>
      <c r="AC253" s="10" t="str">
        <f aca="false">IF(A253="","",SG_Criteria!$B$6&amp;SG_Criteria!$B$9&amp;"\"&amp;A253&amp;"\")</f>
        <v/>
      </c>
      <c r="AD253" s="10" t="str">
        <f aca="false">IF(A253="","",A253&amp;"_CAD.dwg")</f>
        <v/>
      </c>
      <c r="AE253" s="10" t="str">
        <f aca="false">IF(A253="","",A253&amp;"_DWG.pdf")</f>
        <v/>
      </c>
      <c r="AF253" s="10" t="str">
        <f aca="false">IF(A253="","",IF(AB253="Y",A253&amp;"_STAAD.std","n/a"))</f>
        <v/>
      </c>
      <c r="AG253" s="10" t="str">
        <f aca="false">IF(A253="","",A253&amp;"_CALC.xlsx")</f>
        <v/>
      </c>
      <c r="AH253" s="10" t="str">
        <f aca="false">IF(A253="","",A253&amp;"_CALC.pdf")</f>
        <v/>
      </c>
      <c r="AI253" s="9"/>
      <c r="AJ253" s="9"/>
      <c r="AK253" s="41"/>
      <c r="AL253" s="41"/>
      <c r="AM253" s="41"/>
      <c r="AN253" s="41"/>
      <c r="AO253" s="41"/>
      <c r="AP253" s="38" t="str">
        <f aca="false">IF(OR(C253="",E253=""),"",IF(E253&lt;=IF(C253="Soldier Pile &amp; Timber Lagging",SG_Criteria!$B$34,SG_Criteria!$B$33),"No ERSS submission",IF(E253&lt;=SG_Criteria!$B$35,"QP(ST)",IF(E253&lt;=SG_Criteria!$B$36,"QP(ST) + AC","Geotechnical building works: QP(Geo) + AC"))))</f>
        <v/>
      </c>
      <c r="AQ253" s="38" t="str">
        <f aca="false">IF(C253="","",IF(LEN(IF(AND(U253&lt;&gt;"",IFERROR(VALUE(MID(U253,2,2)),0)&lt;SG_Criteria!$B$19),"FAIL: grade below C"&amp;SG_Criteria!$B$19&amp;". ","")&amp;IF(AND(LEFT(C253,3)="Con",N(H253)&lt;E253,G253="Kallang Formation (marine clay)"),"NOTE: CBP is not watertight below GWT in marine clay; consider secant / grouting. ","")&amp;IF(AND(C253="Steel Sheet Pile",D253="Permanent"),"NOTE: permanent sheet pile needs corrosion allowance. ","")&amp;IF(AND(F253="Cantilever (no support)",E253&gt;6),"NOTE: cantilever embedded wall &gt; 6 m, check deflection. ","")&amp;IF(AND(S253&lt;&gt;"",T253&lt;&gt;"",S253&gt;T253),"FAIL: deflection exceeds allowable. ",""))=0,"OK",IF(AND(U253&lt;&gt;"",IFERROR(VALUE(MID(U253,2,2)),0)&lt;SG_Criteria!$B$19),"FAIL: grade below C"&amp;SG_Criteria!$B$19&amp;". ","")&amp;IF(AND(LEFT(C253,3)="Con",N(H253)&lt;E253,G253="Kallang Formation (marine clay)"),"NOTE: CBP is not watertight below GWT in marine clay; consider secant / grouting. ","")&amp;IF(AND(C253="Steel Sheet Pile",D253="Permanent"),"NOTE: permanent sheet pile needs corrosion allowance. ","")&amp;IF(AND(F253="Cantilever (no support)",E253&gt;6),"NOTE: cantilever embedded wall &gt; 6 m, check deflection. ","")&amp;IF(AND(S253&lt;&gt;"",T253&lt;&gt;"",S253&gt;T253),"FAIL: deflection exceeds allowable. ","")))</f>
        <v/>
      </c>
      <c r="AR253" s="9"/>
      <c r="AS253" s="9"/>
      <c r="AT253" s="9"/>
      <c r="AU253" s="9"/>
      <c r="AV253" s="9"/>
      <c r="AW253" s="31"/>
      <c r="AX253" s="10" t="str">
        <f aca="false">IF(C253="","",IF(AND(Y253="Approved",ISERROR(SEARCH("FAIL",AQ253))),"Y","N"))</f>
        <v/>
      </c>
      <c r="AY253" s="10" t="str">
        <f aca="false">IF(C253="","",C253&amp;"|"&amp;E253&amp;"|"&amp;F253&amp;"|"&amp;G253&amp;"|"&amp;D253&amp;"|"&amp;AX253)</f>
        <v/>
      </c>
    </row>
    <row r="254" customFormat="false" ht="15" hidden="false" customHeight="false" outlineLevel="0" collapsed="false">
      <c r="A254" s="10" t="str">
        <f aca="false">IF(C254="","","EW-"&amp;IFERROR(VLOOKUP(C254,Lists!$P$4:$Q$22,2,0),"??")&amp;"-D"&amp;TEXT(E254*1000,"0000")&amp;"-"&amp;IFERROR(VLOOKUP(F254,Lists!$S$4:$T$21,2,0),"??")&amp;"-"&amp;IFERROR(VLOOKUP(G254,Lists!$Y$4:$Z$21,2,0),"??")&amp;"-"&amp;IFERROR(VLOOKUP(D254,Lists!$V$4:$W$16,2,0),"??")&amp;"-"&amp;X254)</f>
        <v/>
      </c>
      <c r="B254" s="10" t="str">
        <f aca="false">IF(C254="","",D254&amp;" "&amp;C254&amp;", excavation "&amp;TEXT(E254,"0.0")&amp;" m, "&amp;F254&amp;", "&amp;G254&amp;", "&amp;J254)</f>
        <v/>
      </c>
      <c r="C254" s="9"/>
      <c r="D254" s="9"/>
      <c r="E254" s="43"/>
      <c r="F254" s="9"/>
      <c r="G254" s="9"/>
      <c r="H254" s="43"/>
      <c r="I254" s="40"/>
      <c r="J254" s="9"/>
      <c r="K254" s="9"/>
      <c r="L254" s="9"/>
      <c r="M254" s="43"/>
      <c r="N254" s="43"/>
      <c r="O254" s="9"/>
      <c r="P254" s="9"/>
      <c r="Q254" s="9"/>
      <c r="R254" s="9"/>
      <c r="S254" s="40"/>
      <c r="T254" s="40"/>
      <c r="U254" s="9"/>
      <c r="V254" s="9"/>
      <c r="W254" s="9"/>
      <c r="X254" s="9"/>
      <c r="Y254" s="9"/>
      <c r="Z254" s="9"/>
      <c r="AA254" s="9"/>
      <c r="AB254" s="9"/>
      <c r="AC254" s="10" t="str">
        <f aca="false">IF(A254="","",SG_Criteria!$B$6&amp;SG_Criteria!$B$9&amp;"\"&amp;A254&amp;"\")</f>
        <v/>
      </c>
      <c r="AD254" s="10" t="str">
        <f aca="false">IF(A254="","",A254&amp;"_CAD.dwg")</f>
        <v/>
      </c>
      <c r="AE254" s="10" t="str">
        <f aca="false">IF(A254="","",A254&amp;"_DWG.pdf")</f>
        <v/>
      </c>
      <c r="AF254" s="10" t="str">
        <f aca="false">IF(A254="","",IF(AB254="Y",A254&amp;"_STAAD.std","n/a"))</f>
        <v/>
      </c>
      <c r="AG254" s="10" t="str">
        <f aca="false">IF(A254="","",A254&amp;"_CALC.xlsx")</f>
        <v/>
      </c>
      <c r="AH254" s="10" t="str">
        <f aca="false">IF(A254="","",A254&amp;"_CALC.pdf")</f>
        <v/>
      </c>
      <c r="AI254" s="9"/>
      <c r="AJ254" s="9"/>
      <c r="AK254" s="41"/>
      <c r="AL254" s="41"/>
      <c r="AM254" s="41"/>
      <c r="AN254" s="41"/>
      <c r="AO254" s="41"/>
      <c r="AP254" s="38" t="str">
        <f aca="false">IF(OR(C254="",E254=""),"",IF(E254&lt;=IF(C254="Soldier Pile &amp; Timber Lagging",SG_Criteria!$B$34,SG_Criteria!$B$33),"No ERSS submission",IF(E254&lt;=SG_Criteria!$B$35,"QP(ST)",IF(E254&lt;=SG_Criteria!$B$36,"QP(ST) + AC","Geotechnical building works: QP(Geo) + AC"))))</f>
        <v/>
      </c>
      <c r="AQ254" s="38" t="str">
        <f aca="false">IF(C254="","",IF(LEN(IF(AND(U254&lt;&gt;"",IFERROR(VALUE(MID(U254,2,2)),0)&lt;SG_Criteria!$B$19),"FAIL: grade below C"&amp;SG_Criteria!$B$19&amp;". ","")&amp;IF(AND(LEFT(C254,3)="Con",N(H254)&lt;E254,G254="Kallang Formation (marine clay)"),"NOTE: CBP is not watertight below GWT in marine clay; consider secant / grouting. ","")&amp;IF(AND(C254="Steel Sheet Pile",D254="Permanent"),"NOTE: permanent sheet pile needs corrosion allowance. ","")&amp;IF(AND(F254="Cantilever (no support)",E254&gt;6),"NOTE: cantilever embedded wall &gt; 6 m, check deflection. ","")&amp;IF(AND(S254&lt;&gt;"",T254&lt;&gt;"",S254&gt;T254),"FAIL: deflection exceeds allowable. ",""))=0,"OK",IF(AND(U254&lt;&gt;"",IFERROR(VALUE(MID(U254,2,2)),0)&lt;SG_Criteria!$B$19),"FAIL: grade below C"&amp;SG_Criteria!$B$19&amp;". ","")&amp;IF(AND(LEFT(C254,3)="Con",N(H254)&lt;E254,G254="Kallang Formation (marine clay)"),"NOTE: CBP is not watertight below GWT in marine clay; consider secant / grouting. ","")&amp;IF(AND(C254="Steel Sheet Pile",D254="Permanent"),"NOTE: permanent sheet pile needs corrosion allowance. ","")&amp;IF(AND(F254="Cantilever (no support)",E254&gt;6),"NOTE: cantilever embedded wall &gt; 6 m, check deflection. ","")&amp;IF(AND(S254&lt;&gt;"",T254&lt;&gt;"",S254&gt;T254),"FAIL: deflection exceeds allowable. ","")))</f>
        <v/>
      </c>
      <c r="AR254" s="9"/>
      <c r="AS254" s="9"/>
      <c r="AT254" s="9"/>
      <c r="AU254" s="9"/>
      <c r="AV254" s="9"/>
      <c r="AW254" s="31"/>
      <c r="AX254" s="10" t="str">
        <f aca="false">IF(C254="","",IF(AND(Y254="Approved",ISERROR(SEARCH("FAIL",AQ254))),"Y","N"))</f>
        <v/>
      </c>
      <c r="AY254" s="10" t="str">
        <f aca="false">IF(C254="","",C254&amp;"|"&amp;E254&amp;"|"&amp;F254&amp;"|"&amp;G254&amp;"|"&amp;D254&amp;"|"&amp;AX254)</f>
        <v/>
      </c>
    </row>
    <row r="255" customFormat="false" ht="15" hidden="false" customHeight="false" outlineLevel="0" collapsed="false">
      <c r="A255" s="10" t="str">
        <f aca="false">IF(C255="","","EW-"&amp;IFERROR(VLOOKUP(C255,Lists!$P$4:$Q$22,2,0),"??")&amp;"-D"&amp;TEXT(E255*1000,"0000")&amp;"-"&amp;IFERROR(VLOOKUP(F255,Lists!$S$4:$T$21,2,0),"??")&amp;"-"&amp;IFERROR(VLOOKUP(G255,Lists!$Y$4:$Z$21,2,0),"??")&amp;"-"&amp;IFERROR(VLOOKUP(D255,Lists!$V$4:$W$16,2,0),"??")&amp;"-"&amp;X255)</f>
        <v/>
      </c>
      <c r="B255" s="10" t="str">
        <f aca="false">IF(C255="","",D255&amp;" "&amp;C255&amp;", excavation "&amp;TEXT(E255,"0.0")&amp;" m, "&amp;F255&amp;", "&amp;G255&amp;", "&amp;J255)</f>
        <v/>
      </c>
      <c r="C255" s="9"/>
      <c r="D255" s="9"/>
      <c r="E255" s="43"/>
      <c r="F255" s="9"/>
      <c r="G255" s="9"/>
      <c r="H255" s="43"/>
      <c r="I255" s="40"/>
      <c r="J255" s="9"/>
      <c r="K255" s="9"/>
      <c r="L255" s="9"/>
      <c r="M255" s="43"/>
      <c r="N255" s="43"/>
      <c r="O255" s="9"/>
      <c r="P255" s="9"/>
      <c r="Q255" s="9"/>
      <c r="R255" s="9"/>
      <c r="S255" s="40"/>
      <c r="T255" s="40"/>
      <c r="U255" s="9"/>
      <c r="V255" s="9"/>
      <c r="W255" s="9"/>
      <c r="X255" s="9"/>
      <c r="Y255" s="9"/>
      <c r="Z255" s="9"/>
      <c r="AA255" s="9"/>
      <c r="AB255" s="9"/>
      <c r="AC255" s="10" t="str">
        <f aca="false">IF(A255="","",SG_Criteria!$B$6&amp;SG_Criteria!$B$9&amp;"\"&amp;A255&amp;"\")</f>
        <v/>
      </c>
      <c r="AD255" s="10" t="str">
        <f aca="false">IF(A255="","",A255&amp;"_CAD.dwg")</f>
        <v/>
      </c>
      <c r="AE255" s="10" t="str">
        <f aca="false">IF(A255="","",A255&amp;"_DWG.pdf")</f>
        <v/>
      </c>
      <c r="AF255" s="10" t="str">
        <f aca="false">IF(A255="","",IF(AB255="Y",A255&amp;"_STAAD.std","n/a"))</f>
        <v/>
      </c>
      <c r="AG255" s="10" t="str">
        <f aca="false">IF(A255="","",A255&amp;"_CALC.xlsx")</f>
        <v/>
      </c>
      <c r="AH255" s="10" t="str">
        <f aca="false">IF(A255="","",A255&amp;"_CALC.pdf")</f>
        <v/>
      </c>
      <c r="AI255" s="9"/>
      <c r="AJ255" s="9"/>
      <c r="AK255" s="41"/>
      <c r="AL255" s="41"/>
      <c r="AM255" s="41"/>
      <c r="AN255" s="41"/>
      <c r="AO255" s="41"/>
      <c r="AP255" s="38" t="str">
        <f aca="false">IF(OR(C255="",E255=""),"",IF(E255&lt;=IF(C255="Soldier Pile &amp; Timber Lagging",SG_Criteria!$B$34,SG_Criteria!$B$33),"No ERSS submission",IF(E255&lt;=SG_Criteria!$B$35,"QP(ST)",IF(E255&lt;=SG_Criteria!$B$36,"QP(ST) + AC","Geotechnical building works: QP(Geo) + AC"))))</f>
        <v/>
      </c>
      <c r="AQ255" s="38" t="str">
        <f aca="false">IF(C255="","",IF(LEN(IF(AND(U255&lt;&gt;"",IFERROR(VALUE(MID(U255,2,2)),0)&lt;SG_Criteria!$B$19),"FAIL: grade below C"&amp;SG_Criteria!$B$19&amp;". ","")&amp;IF(AND(LEFT(C255,3)="Con",N(H255)&lt;E255,G255="Kallang Formation (marine clay)"),"NOTE: CBP is not watertight below GWT in marine clay; consider secant / grouting. ","")&amp;IF(AND(C255="Steel Sheet Pile",D255="Permanent"),"NOTE: permanent sheet pile needs corrosion allowance. ","")&amp;IF(AND(F255="Cantilever (no support)",E255&gt;6),"NOTE: cantilever embedded wall &gt; 6 m, check deflection. ","")&amp;IF(AND(S255&lt;&gt;"",T255&lt;&gt;"",S255&gt;T255),"FAIL: deflection exceeds allowable. ",""))=0,"OK",IF(AND(U255&lt;&gt;"",IFERROR(VALUE(MID(U255,2,2)),0)&lt;SG_Criteria!$B$19),"FAIL: grade below C"&amp;SG_Criteria!$B$19&amp;". ","")&amp;IF(AND(LEFT(C255,3)="Con",N(H255)&lt;E255,G255="Kallang Formation (marine clay)"),"NOTE: CBP is not watertight below GWT in marine clay; consider secant / grouting. ","")&amp;IF(AND(C255="Steel Sheet Pile",D255="Permanent"),"NOTE: permanent sheet pile needs corrosion allowance. ","")&amp;IF(AND(F255="Cantilever (no support)",E255&gt;6),"NOTE: cantilever embedded wall &gt; 6 m, check deflection. ","")&amp;IF(AND(S255&lt;&gt;"",T255&lt;&gt;"",S255&gt;T255),"FAIL: deflection exceeds allowable. ","")))</f>
        <v/>
      </c>
      <c r="AR255" s="9"/>
      <c r="AS255" s="9"/>
      <c r="AT255" s="9"/>
      <c r="AU255" s="9"/>
      <c r="AV255" s="9"/>
      <c r="AW255" s="31"/>
      <c r="AX255" s="10" t="str">
        <f aca="false">IF(C255="","",IF(AND(Y255="Approved",ISERROR(SEARCH("FAIL",AQ255))),"Y","N"))</f>
        <v/>
      </c>
      <c r="AY255" s="10" t="str">
        <f aca="false">IF(C255="","",C255&amp;"|"&amp;E255&amp;"|"&amp;F255&amp;"|"&amp;G255&amp;"|"&amp;D255&amp;"|"&amp;AX255)</f>
        <v/>
      </c>
    </row>
    <row r="256" customFormat="false" ht="15" hidden="false" customHeight="false" outlineLevel="0" collapsed="false">
      <c r="A256" s="10" t="str">
        <f aca="false">IF(C256="","","EW-"&amp;IFERROR(VLOOKUP(C256,Lists!$P$4:$Q$22,2,0),"??")&amp;"-D"&amp;TEXT(E256*1000,"0000")&amp;"-"&amp;IFERROR(VLOOKUP(F256,Lists!$S$4:$T$21,2,0),"??")&amp;"-"&amp;IFERROR(VLOOKUP(G256,Lists!$Y$4:$Z$21,2,0),"??")&amp;"-"&amp;IFERROR(VLOOKUP(D256,Lists!$V$4:$W$16,2,0),"??")&amp;"-"&amp;X256)</f>
        <v/>
      </c>
      <c r="B256" s="10" t="str">
        <f aca="false">IF(C256="","",D256&amp;" "&amp;C256&amp;", excavation "&amp;TEXT(E256,"0.0")&amp;" m, "&amp;F256&amp;", "&amp;G256&amp;", "&amp;J256)</f>
        <v/>
      </c>
      <c r="C256" s="9"/>
      <c r="D256" s="9"/>
      <c r="E256" s="43"/>
      <c r="F256" s="9"/>
      <c r="G256" s="9"/>
      <c r="H256" s="43"/>
      <c r="I256" s="40"/>
      <c r="J256" s="9"/>
      <c r="K256" s="9"/>
      <c r="L256" s="9"/>
      <c r="M256" s="43"/>
      <c r="N256" s="43"/>
      <c r="O256" s="9"/>
      <c r="P256" s="9"/>
      <c r="Q256" s="9"/>
      <c r="R256" s="9"/>
      <c r="S256" s="40"/>
      <c r="T256" s="40"/>
      <c r="U256" s="9"/>
      <c r="V256" s="9"/>
      <c r="W256" s="9"/>
      <c r="X256" s="9"/>
      <c r="Y256" s="9"/>
      <c r="Z256" s="9"/>
      <c r="AA256" s="9"/>
      <c r="AB256" s="9"/>
      <c r="AC256" s="10" t="str">
        <f aca="false">IF(A256="","",SG_Criteria!$B$6&amp;SG_Criteria!$B$9&amp;"\"&amp;A256&amp;"\")</f>
        <v/>
      </c>
      <c r="AD256" s="10" t="str">
        <f aca="false">IF(A256="","",A256&amp;"_CAD.dwg")</f>
        <v/>
      </c>
      <c r="AE256" s="10" t="str">
        <f aca="false">IF(A256="","",A256&amp;"_DWG.pdf")</f>
        <v/>
      </c>
      <c r="AF256" s="10" t="str">
        <f aca="false">IF(A256="","",IF(AB256="Y",A256&amp;"_STAAD.std","n/a"))</f>
        <v/>
      </c>
      <c r="AG256" s="10" t="str">
        <f aca="false">IF(A256="","",A256&amp;"_CALC.xlsx")</f>
        <v/>
      </c>
      <c r="AH256" s="10" t="str">
        <f aca="false">IF(A256="","",A256&amp;"_CALC.pdf")</f>
        <v/>
      </c>
      <c r="AI256" s="9"/>
      <c r="AJ256" s="9"/>
      <c r="AK256" s="41"/>
      <c r="AL256" s="41"/>
      <c r="AM256" s="41"/>
      <c r="AN256" s="41"/>
      <c r="AO256" s="41"/>
      <c r="AP256" s="38" t="str">
        <f aca="false">IF(OR(C256="",E256=""),"",IF(E256&lt;=IF(C256="Soldier Pile &amp; Timber Lagging",SG_Criteria!$B$34,SG_Criteria!$B$33),"No ERSS submission",IF(E256&lt;=SG_Criteria!$B$35,"QP(ST)",IF(E256&lt;=SG_Criteria!$B$36,"QP(ST) + AC","Geotechnical building works: QP(Geo) + AC"))))</f>
        <v/>
      </c>
      <c r="AQ256" s="38" t="str">
        <f aca="false">IF(C256="","",IF(LEN(IF(AND(U256&lt;&gt;"",IFERROR(VALUE(MID(U256,2,2)),0)&lt;SG_Criteria!$B$19),"FAIL: grade below C"&amp;SG_Criteria!$B$19&amp;". ","")&amp;IF(AND(LEFT(C256,3)="Con",N(H256)&lt;E256,G256="Kallang Formation (marine clay)"),"NOTE: CBP is not watertight below GWT in marine clay; consider secant / grouting. ","")&amp;IF(AND(C256="Steel Sheet Pile",D256="Permanent"),"NOTE: permanent sheet pile needs corrosion allowance. ","")&amp;IF(AND(F256="Cantilever (no support)",E256&gt;6),"NOTE: cantilever embedded wall &gt; 6 m, check deflection. ","")&amp;IF(AND(S256&lt;&gt;"",T256&lt;&gt;"",S256&gt;T256),"FAIL: deflection exceeds allowable. ",""))=0,"OK",IF(AND(U256&lt;&gt;"",IFERROR(VALUE(MID(U256,2,2)),0)&lt;SG_Criteria!$B$19),"FAIL: grade below C"&amp;SG_Criteria!$B$19&amp;". ","")&amp;IF(AND(LEFT(C256,3)="Con",N(H256)&lt;E256,G256="Kallang Formation (marine clay)"),"NOTE: CBP is not watertight below GWT in marine clay; consider secant / grouting. ","")&amp;IF(AND(C256="Steel Sheet Pile",D256="Permanent"),"NOTE: permanent sheet pile needs corrosion allowance. ","")&amp;IF(AND(F256="Cantilever (no support)",E256&gt;6),"NOTE: cantilever embedded wall &gt; 6 m, check deflection. ","")&amp;IF(AND(S256&lt;&gt;"",T256&lt;&gt;"",S256&gt;T256),"FAIL: deflection exceeds allowable. ","")))</f>
        <v/>
      </c>
      <c r="AR256" s="9"/>
      <c r="AS256" s="9"/>
      <c r="AT256" s="9"/>
      <c r="AU256" s="9"/>
      <c r="AV256" s="9"/>
      <c r="AW256" s="31"/>
      <c r="AX256" s="10" t="str">
        <f aca="false">IF(C256="","",IF(AND(Y256="Approved",ISERROR(SEARCH("FAIL",AQ256))),"Y","N"))</f>
        <v/>
      </c>
      <c r="AY256" s="10" t="str">
        <f aca="false">IF(C256="","",C256&amp;"|"&amp;E256&amp;"|"&amp;F256&amp;"|"&amp;G256&amp;"|"&amp;D256&amp;"|"&amp;AX256)</f>
        <v/>
      </c>
    </row>
    <row r="257" customFormat="false" ht="15" hidden="false" customHeight="false" outlineLevel="0" collapsed="false">
      <c r="A257" s="10" t="str">
        <f aca="false">IF(C257="","","EW-"&amp;IFERROR(VLOOKUP(C257,Lists!$P$4:$Q$22,2,0),"??")&amp;"-D"&amp;TEXT(E257*1000,"0000")&amp;"-"&amp;IFERROR(VLOOKUP(F257,Lists!$S$4:$T$21,2,0),"??")&amp;"-"&amp;IFERROR(VLOOKUP(G257,Lists!$Y$4:$Z$21,2,0),"??")&amp;"-"&amp;IFERROR(VLOOKUP(D257,Lists!$V$4:$W$16,2,0),"??")&amp;"-"&amp;X257)</f>
        <v/>
      </c>
      <c r="B257" s="10" t="str">
        <f aca="false">IF(C257="","",D257&amp;" "&amp;C257&amp;", excavation "&amp;TEXT(E257,"0.0")&amp;" m, "&amp;F257&amp;", "&amp;G257&amp;", "&amp;J257)</f>
        <v/>
      </c>
      <c r="C257" s="9"/>
      <c r="D257" s="9"/>
      <c r="E257" s="43"/>
      <c r="F257" s="9"/>
      <c r="G257" s="9"/>
      <c r="H257" s="43"/>
      <c r="I257" s="40"/>
      <c r="J257" s="9"/>
      <c r="K257" s="9"/>
      <c r="L257" s="9"/>
      <c r="M257" s="43"/>
      <c r="N257" s="43"/>
      <c r="O257" s="9"/>
      <c r="P257" s="9"/>
      <c r="Q257" s="9"/>
      <c r="R257" s="9"/>
      <c r="S257" s="40"/>
      <c r="T257" s="40"/>
      <c r="U257" s="9"/>
      <c r="V257" s="9"/>
      <c r="W257" s="9"/>
      <c r="X257" s="9"/>
      <c r="Y257" s="9"/>
      <c r="Z257" s="9"/>
      <c r="AA257" s="9"/>
      <c r="AB257" s="9"/>
      <c r="AC257" s="10" t="str">
        <f aca="false">IF(A257="","",SG_Criteria!$B$6&amp;SG_Criteria!$B$9&amp;"\"&amp;A257&amp;"\")</f>
        <v/>
      </c>
      <c r="AD257" s="10" t="str">
        <f aca="false">IF(A257="","",A257&amp;"_CAD.dwg")</f>
        <v/>
      </c>
      <c r="AE257" s="10" t="str">
        <f aca="false">IF(A257="","",A257&amp;"_DWG.pdf")</f>
        <v/>
      </c>
      <c r="AF257" s="10" t="str">
        <f aca="false">IF(A257="","",IF(AB257="Y",A257&amp;"_STAAD.std","n/a"))</f>
        <v/>
      </c>
      <c r="AG257" s="10" t="str">
        <f aca="false">IF(A257="","",A257&amp;"_CALC.xlsx")</f>
        <v/>
      </c>
      <c r="AH257" s="10" t="str">
        <f aca="false">IF(A257="","",A257&amp;"_CALC.pdf")</f>
        <v/>
      </c>
      <c r="AI257" s="9"/>
      <c r="AJ257" s="9"/>
      <c r="AK257" s="41"/>
      <c r="AL257" s="41"/>
      <c r="AM257" s="41"/>
      <c r="AN257" s="41"/>
      <c r="AO257" s="41"/>
      <c r="AP257" s="38" t="str">
        <f aca="false">IF(OR(C257="",E257=""),"",IF(E257&lt;=IF(C257="Soldier Pile &amp; Timber Lagging",SG_Criteria!$B$34,SG_Criteria!$B$33),"No ERSS submission",IF(E257&lt;=SG_Criteria!$B$35,"QP(ST)",IF(E257&lt;=SG_Criteria!$B$36,"QP(ST) + AC","Geotechnical building works: QP(Geo) + AC"))))</f>
        <v/>
      </c>
      <c r="AQ257" s="38" t="str">
        <f aca="false">IF(C257="","",IF(LEN(IF(AND(U257&lt;&gt;"",IFERROR(VALUE(MID(U257,2,2)),0)&lt;SG_Criteria!$B$19),"FAIL: grade below C"&amp;SG_Criteria!$B$19&amp;". ","")&amp;IF(AND(LEFT(C257,3)="Con",N(H257)&lt;E257,G257="Kallang Formation (marine clay)"),"NOTE: CBP is not watertight below GWT in marine clay; consider secant / grouting. ","")&amp;IF(AND(C257="Steel Sheet Pile",D257="Permanent"),"NOTE: permanent sheet pile needs corrosion allowance. ","")&amp;IF(AND(F257="Cantilever (no support)",E257&gt;6),"NOTE: cantilever embedded wall &gt; 6 m, check deflection. ","")&amp;IF(AND(S257&lt;&gt;"",T257&lt;&gt;"",S257&gt;T257),"FAIL: deflection exceeds allowable. ",""))=0,"OK",IF(AND(U257&lt;&gt;"",IFERROR(VALUE(MID(U257,2,2)),0)&lt;SG_Criteria!$B$19),"FAIL: grade below C"&amp;SG_Criteria!$B$19&amp;". ","")&amp;IF(AND(LEFT(C257,3)="Con",N(H257)&lt;E257,G257="Kallang Formation (marine clay)"),"NOTE: CBP is not watertight below GWT in marine clay; consider secant / grouting. ","")&amp;IF(AND(C257="Steel Sheet Pile",D257="Permanent"),"NOTE: permanent sheet pile needs corrosion allowance. ","")&amp;IF(AND(F257="Cantilever (no support)",E257&gt;6),"NOTE: cantilever embedded wall &gt; 6 m, check deflection. ","")&amp;IF(AND(S257&lt;&gt;"",T257&lt;&gt;"",S257&gt;T257),"FAIL: deflection exceeds allowable. ","")))</f>
        <v/>
      </c>
      <c r="AR257" s="9"/>
      <c r="AS257" s="9"/>
      <c r="AT257" s="9"/>
      <c r="AU257" s="9"/>
      <c r="AV257" s="9"/>
      <c r="AW257" s="31"/>
      <c r="AX257" s="10" t="str">
        <f aca="false">IF(C257="","",IF(AND(Y257="Approved",ISERROR(SEARCH("FAIL",AQ257))),"Y","N"))</f>
        <v/>
      </c>
      <c r="AY257" s="10" t="str">
        <f aca="false">IF(C257="","",C257&amp;"|"&amp;E257&amp;"|"&amp;F257&amp;"|"&amp;G257&amp;"|"&amp;D257&amp;"|"&amp;AX257)</f>
        <v/>
      </c>
    </row>
    <row r="258" customFormat="false" ht="15" hidden="false" customHeight="false" outlineLevel="0" collapsed="false">
      <c r="A258" s="10" t="str">
        <f aca="false">IF(C258="","","EW-"&amp;IFERROR(VLOOKUP(C258,Lists!$P$4:$Q$22,2,0),"??")&amp;"-D"&amp;TEXT(E258*1000,"0000")&amp;"-"&amp;IFERROR(VLOOKUP(F258,Lists!$S$4:$T$21,2,0),"??")&amp;"-"&amp;IFERROR(VLOOKUP(G258,Lists!$Y$4:$Z$21,2,0),"??")&amp;"-"&amp;IFERROR(VLOOKUP(D258,Lists!$V$4:$W$16,2,0),"??")&amp;"-"&amp;X258)</f>
        <v/>
      </c>
      <c r="B258" s="10" t="str">
        <f aca="false">IF(C258="","",D258&amp;" "&amp;C258&amp;", excavation "&amp;TEXT(E258,"0.0")&amp;" m, "&amp;F258&amp;", "&amp;G258&amp;", "&amp;J258)</f>
        <v/>
      </c>
      <c r="C258" s="9"/>
      <c r="D258" s="9"/>
      <c r="E258" s="43"/>
      <c r="F258" s="9"/>
      <c r="G258" s="9"/>
      <c r="H258" s="43"/>
      <c r="I258" s="40"/>
      <c r="J258" s="9"/>
      <c r="K258" s="9"/>
      <c r="L258" s="9"/>
      <c r="M258" s="43"/>
      <c r="N258" s="43"/>
      <c r="O258" s="9"/>
      <c r="P258" s="9"/>
      <c r="Q258" s="9"/>
      <c r="R258" s="9"/>
      <c r="S258" s="40"/>
      <c r="T258" s="40"/>
      <c r="U258" s="9"/>
      <c r="V258" s="9"/>
      <c r="W258" s="9"/>
      <c r="X258" s="9"/>
      <c r="Y258" s="9"/>
      <c r="Z258" s="9"/>
      <c r="AA258" s="9"/>
      <c r="AB258" s="9"/>
      <c r="AC258" s="10" t="str">
        <f aca="false">IF(A258="","",SG_Criteria!$B$6&amp;SG_Criteria!$B$9&amp;"\"&amp;A258&amp;"\")</f>
        <v/>
      </c>
      <c r="AD258" s="10" t="str">
        <f aca="false">IF(A258="","",A258&amp;"_CAD.dwg")</f>
        <v/>
      </c>
      <c r="AE258" s="10" t="str">
        <f aca="false">IF(A258="","",A258&amp;"_DWG.pdf")</f>
        <v/>
      </c>
      <c r="AF258" s="10" t="str">
        <f aca="false">IF(A258="","",IF(AB258="Y",A258&amp;"_STAAD.std","n/a"))</f>
        <v/>
      </c>
      <c r="AG258" s="10" t="str">
        <f aca="false">IF(A258="","",A258&amp;"_CALC.xlsx")</f>
        <v/>
      </c>
      <c r="AH258" s="10" t="str">
        <f aca="false">IF(A258="","",A258&amp;"_CALC.pdf")</f>
        <v/>
      </c>
      <c r="AI258" s="9"/>
      <c r="AJ258" s="9"/>
      <c r="AK258" s="41"/>
      <c r="AL258" s="41"/>
      <c r="AM258" s="41"/>
      <c r="AN258" s="41"/>
      <c r="AO258" s="41"/>
      <c r="AP258" s="38" t="str">
        <f aca="false">IF(OR(C258="",E258=""),"",IF(E258&lt;=IF(C258="Soldier Pile &amp; Timber Lagging",SG_Criteria!$B$34,SG_Criteria!$B$33),"No ERSS submission",IF(E258&lt;=SG_Criteria!$B$35,"QP(ST)",IF(E258&lt;=SG_Criteria!$B$36,"QP(ST) + AC","Geotechnical building works: QP(Geo) + AC"))))</f>
        <v/>
      </c>
      <c r="AQ258" s="38" t="str">
        <f aca="false">IF(C258="","",IF(LEN(IF(AND(U258&lt;&gt;"",IFERROR(VALUE(MID(U258,2,2)),0)&lt;SG_Criteria!$B$19),"FAIL: grade below C"&amp;SG_Criteria!$B$19&amp;". ","")&amp;IF(AND(LEFT(C258,3)="Con",N(H258)&lt;E258,G258="Kallang Formation (marine clay)"),"NOTE: CBP is not watertight below GWT in marine clay; consider secant / grouting. ","")&amp;IF(AND(C258="Steel Sheet Pile",D258="Permanent"),"NOTE: permanent sheet pile needs corrosion allowance. ","")&amp;IF(AND(F258="Cantilever (no support)",E258&gt;6),"NOTE: cantilever embedded wall &gt; 6 m, check deflection. ","")&amp;IF(AND(S258&lt;&gt;"",T258&lt;&gt;"",S258&gt;T258),"FAIL: deflection exceeds allowable. ",""))=0,"OK",IF(AND(U258&lt;&gt;"",IFERROR(VALUE(MID(U258,2,2)),0)&lt;SG_Criteria!$B$19),"FAIL: grade below C"&amp;SG_Criteria!$B$19&amp;". ","")&amp;IF(AND(LEFT(C258,3)="Con",N(H258)&lt;E258,G258="Kallang Formation (marine clay)"),"NOTE: CBP is not watertight below GWT in marine clay; consider secant / grouting. ","")&amp;IF(AND(C258="Steel Sheet Pile",D258="Permanent"),"NOTE: permanent sheet pile needs corrosion allowance. ","")&amp;IF(AND(F258="Cantilever (no support)",E258&gt;6),"NOTE: cantilever embedded wall &gt; 6 m, check deflection. ","")&amp;IF(AND(S258&lt;&gt;"",T258&lt;&gt;"",S258&gt;T258),"FAIL: deflection exceeds allowable. ","")))</f>
        <v/>
      </c>
      <c r="AR258" s="9"/>
      <c r="AS258" s="9"/>
      <c r="AT258" s="9"/>
      <c r="AU258" s="9"/>
      <c r="AV258" s="9"/>
      <c r="AW258" s="31"/>
      <c r="AX258" s="10" t="str">
        <f aca="false">IF(C258="","",IF(AND(Y258="Approved",ISERROR(SEARCH("FAIL",AQ258))),"Y","N"))</f>
        <v/>
      </c>
      <c r="AY258" s="10" t="str">
        <f aca="false">IF(C258="","",C258&amp;"|"&amp;E258&amp;"|"&amp;F258&amp;"|"&amp;G258&amp;"|"&amp;D258&amp;"|"&amp;AX258)</f>
        <v/>
      </c>
    </row>
    <row r="259" customFormat="false" ht="15" hidden="false" customHeight="false" outlineLevel="0" collapsed="false">
      <c r="A259" s="10" t="str">
        <f aca="false">IF(C259="","","EW-"&amp;IFERROR(VLOOKUP(C259,Lists!$P$4:$Q$22,2,0),"??")&amp;"-D"&amp;TEXT(E259*1000,"0000")&amp;"-"&amp;IFERROR(VLOOKUP(F259,Lists!$S$4:$T$21,2,0),"??")&amp;"-"&amp;IFERROR(VLOOKUP(G259,Lists!$Y$4:$Z$21,2,0),"??")&amp;"-"&amp;IFERROR(VLOOKUP(D259,Lists!$V$4:$W$16,2,0),"??")&amp;"-"&amp;X259)</f>
        <v/>
      </c>
      <c r="B259" s="10" t="str">
        <f aca="false">IF(C259="","",D259&amp;" "&amp;C259&amp;", excavation "&amp;TEXT(E259,"0.0")&amp;" m, "&amp;F259&amp;", "&amp;G259&amp;", "&amp;J259)</f>
        <v/>
      </c>
      <c r="C259" s="9"/>
      <c r="D259" s="9"/>
      <c r="E259" s="43"/>
      <c r="F259" s="9"/>
      <c r="G259" s="9"/>
      <c r="H259" s="43"/>
      <c r="I259" s="40"/>
      <c r="J259" s="9"/>
      <c r="K259" s="9"/>
      <c r="L259" s="9"/>
      <c r="M259" s="43"/>
      <c r="N259" s="43"/>
      <c r="O259" s="9"/>
      <c r="P259" s="9"/>
      <c r="Q259" s="9"/>
      <c r="R259" s="9"/>
      <c r="S259" s="40"/>
      <c r="T259" s="40"/>
      <c r="U259" s="9"/>
      <c r="V259" s="9"/>
      <c r="W259" s="9"/>
      <c r="X259" s="9"/>
      <c r="Y259" s="9"/>
      <c r="Z259" s="9"/>
      <c r="AA259" s="9"/>
      <c r="AB259" s="9"/>
      <c r="AC259" s="10" t="str">
        <f aca="false">IF(A259="","",SG_Criteria!$B$6&amp;SG_Criteria!$B$9&amp;"\"&amp;A259&amp;"\")</f>
        <v/>
      </c>
      <c r="AD259" s="10" t="str">
        <f aca="false">IF(A259="","",A259&amp;"_CAD.dwg")</f>
        <v/>
      </c>
      <c r="AE259" s="10" t="str">
        <f aca="false">IF(A259="","",A259&amp;"_DWG.pdf")</f>
        <v/>
      </c>
      <c r="AF259" s="10" t="str">
        <f aca="false">IF(A259="","",IF(AB259="Y",A259&amp;"_STAAD.std","n/a"))</f>
        <v/>
      </c>
      <c r="AG259" s="10" t="str">
        <f aca="false">IF(A259="","",A259&amp;"_CALC.xlsx")</f>
        <v/>
      </c>
      <c r="AH259" s="10" t="str">
        <f aca="false">IF(A259="","",A259&amp;"_CALC.pdf")</f>
        <v/>
      </c>
      <c r="AI259" s="9"/>
      <c r="AJ259" s="9"/>
      <c r="AK259" s="41"/>
      <c r="AL259" s="41"/>
      <c r="AM259" s="41"/>
      <c r="AN259" s="41"/>
      <c r="AO259" s="41"/>
      <c r="AP259" s="38" t="str">
        <f aca="false">IF(OR(C259="",E259=""),"",IF(E259&lt;=IF(C259="Soldier Pile &amp; Timber Lagging",SG_Criteria!$B$34,SG_Criteria!$B$33),"No ERSS submission",IF(E259&lt;=SG_Criteria!$B$35,"QP(ST)",IF(E259&lt;=SG_Criteria!$B$36,"QP(ST) + AC","Geotechnical building works: QP(Geo) + AC"))))</f>
        <v/>
      </c>
      <c r="AQ259" s="38" t="str">
        <f aca="false">IF(C259="","",IF(LEN(IF(AND(U259&lt;&gt;"",IFERROR(VALUE(MID(U259,2,2)),0)&lt;SG_Criteria!$B$19),"FAIL: grade below C"&amp;SG_Criteria!$B$19&amp;". ","")&amp;IF(AND(LEFT(C259,3)="Con",N(H259)&lt;E259,G259="Kallang Formation (marine clay)"),"NOTE: CBP is not watertight below GWT in marine clay; consider secant / grouting. ","")&amp;IF(AND(C259="Steel Sheet Pile",D259="Permanent"),"NOTE: permanent sheet pile needs corrosion allowance. ","")&amp;IF(AND(F259="Cantilever (no support)",E259&gt;6),"NOTE: cantilever embedded wall &gt; 6 m, check deflection. ","")&amp;IF(AND(S259&lt;&gt;"",T259&lt;&gt;"",S259&gt;T259),"FAIL: deflection exceeds allowable. ",""))=0,"OK",IF(AND(U259&lt;&gt;"",IFERROR(VALUE(MID(U259,2,2)),0)&lt;SG_Criteria!$B$19),"FAIL: grade below C"&amp;SG_Criteria!$B$19&amp;". ","")&amp;IF(AND(LEFT(C259,3)="Con",N(H259)&lt;E259,G259="Kallang Formation (marine clay)"),"NOTE: CBP is not watertight below GWT in marine clay; consider secant / grouting. ","")&amp;IF(AND(C259="Steel Sheet Pile",D259="Permanent"),"NOTE: permanent sheet pile needs corrosion allowance. ","")&amp;IF(AND(F259="Cantilever (no support)",E259&gt;6),"NOTE: cantilever embedded wall &gt; 6 m, check deflection. ","")&amp;IF(AND(S259&lt;&gt;"",T259&lt;&gt;"",S259&gt;T259),"FAIL: deflection exceeds allowable. ","")))</f>
        <v/>
      </c>
      <c r="AR259" s="9"/>
      <c r="AS259" s="9"/>
      <c r="AT259" s="9"/>
      <c r="AU259" s="9"/>
      <c r="AV259" s="9"/>
      <c r="AW259" s="31"/>
      <c r="AX259" s="10" t="str">
        <f aca="false">IF(C259="","",IF(AND(Y259="Approved",ISERROR(SEARCH("FAIL",AQ259))),"Y","N"))</f>
        <v/>
      </c>
      <c r="AY259" s="10" t="str">
        <f aca="false">IF(C259="","",C259&amp;"|"&amp;E259&amp;"|"&amp;F259&amp;"|"&amp;G259&amp;"|"&amp;D259&amp;"|"&amp;AX259)</f>
        <v/>
      </c>
    </row>
    <row r="260" customFormat="false" ht="15" hidden="false" customHeight="false" outlineLevel="0" collapsed="false">
      <c r="A260" s="10" t="str">
        <f aca="false">IF(C260="","","EW-"&amp;IFERROR(VLOOKUP(C260,Lists!$P$4:$Q$22,2,0),"??")&amp;"-D"&amp;TEXT(E260*1000,"0000")&amp;"-"&amp;IFERROR(VLOOKUP(F260,Lists!$S$4:$T$21,2,0),"??")&amp;"-"&amp;IFERROR(VLOOKUP(G260,Lists!$Y$4:$Z$21,2,0),"??")&amp;"-"&amp;IFERROR(VLOOKUP(D260,Lists!$V$4:$W$16,2,0),"??")&amp;"-"&amp;X260)</f>
        <v/>
      </c>
      <c r="B260" s="10" t="str">
        <f aca="false">IF(C260="","",D260&amp;" "&amp;C260&amp;", excavation "&amp;TEXT(E260,"0.0")&amp;" m, "&amp;F260&amp;", "&amp;G260&amp;", "&amp;J260)</f>
        <v/>
      </c>
      <c r="C260" s="9"/>
      <c r="D260" s="9"/>
      <c r="E260" s="43"/>
      <c r="F260" s="9"/>
      <c r="G260" s="9"/>
      <c r="H260" s="43"/>
      <c r="I260" s="40"/>
      <c r="J260" s="9"/>
      <c r="K260" s="9"/>
      <c r="L260" s="9"/>
      <c r="M260" s="43"/>
      <c r="N260" s="43"/>
      <c r="O260" s="9"/>
      <c r="P260" s="9"/>
      <c r="Q260" s="9"/>
      <c r="R260" s="9"/>
      <c r="S260" s="40"/>
      <c r="T260" s="40"/>
      <c r="U260" s="9"/>
      <c r="V260" s="9"/>
      <c r="W260" s="9"/>
      <c r="X260" s="9"/>
      <c r="Y260" s="9"/>
      <c r="Z260" s="9"/>
      <c r="AA260" s="9"/>
      <c r="AB260" s="9"/>
      <c r="AC260" s="10" t="str">
        <f aca="false">IF(A260="","",SG_Criteria!$B$6&amp;SG_Criteria!$B$9&amp;"\"&amp;A260&amp;"\")</f>
        <v/>
      </c>
      <c r="AD260" s="10" t="str">
        <f aca="false">IF(A260="","",A260&amp;"_CAD.dwg")</f>
        <v/>
      </c>
      <c r="AE260" s="10" t="str">
        <f aca="false">IF(A260="","",A260&amp;"_DWG.pdf")</f>
        <v/>
      </c>
      <c r="AF260" s="10" t="str">
        <f aca="false">IF(A260="","",IF(AB260="Y",A260&amp;"_STAAD.std","n/a"))</f>
        <v/>
      </c>
      <c r="AG260" s="10" t="str">
        <f aca="false">IF(A260="","",A260&amp;"_CALC.xlsx")</f>
        <v/>
      </c>
      <c r="AH260" s="10" t="str">
        <f aca="false">IF(A260="","",A260&amp;"_CALC.pdf")</f>
        <v/>
      </c>
      <c r="AI260" s="9"/>
      <c r="AJ260" s="9"/>
      <c r="AK260" s="41"/>
      <c r="AL260" s="41"/>
      <c r="AM260" s="41"/>
      <c r="AN260" s="41"/>
      <c r="AO260" s="41"/>
      <c r="AP260" s="38" t="str">
        <f aca="false">IF(OR(C260="",E260=""),"",IF(E260&lt;=IF(C260="Soldier Pile &amp; Timber Lagging",SG_Criteria!$B$34,SG_Criteria!$B$33),"No ERSS submission",IF(E260&lt;=SG_Criteria!$B$35,"QP(ST)",IF(E260&lt;=SG_Criteria!$B$36,"QP(ST) + AC","Geotechnical building works: QP(Geo) + AC"))))</f>
        <v/>
      </c>
      <c r="AQ260" s="38" t="str">
        <f aca="false">IF(C260="","",IF(LEN(IF(AND(U260&lt;&gt;"",IFERROR(VALUE(MID(U260,2,2)),0)&lt;SG_Criteria!$B$19),"FAIL: grade below C"&amp;SG_Criteria!$B$19&amp;". ","")&amp;IF(AND(LEFT(C260,3)="Con",N(H260)&lt;E260,G260="Kallang Formation (marine clay)"),"NOTE: CBP is not watertight below GWT in marine clay; consider secant / grouting. ","")&amp;IF(AND(C260="Steel Sheet Pile",D260="Permanent"),"NOTE: permanent sheet pile needs corrosion allowance. ","")&amp;IF(AND(F260="Cantilever (no support)",E260&gt;6),"NOTE: cantilever embedded wall &gt; 6 m, check deflection. ","")&amp;IF(AND(S260&lt;&gt;"",T260&lt;&gt;"",S260&gt;T260),"FAIL: deflection exceeds allowable. ",""))=0,"OK",IF(AND(U260&lt;&gt;"",IFERROR(VALUE(MID(U260,2,2)),0)&lt;SG_Criteria!$B$19),"FAIL: grade below C"&amp;SG_Criteria!$B$19&amp;". ","")&amp;IF(AND(LEFT(C260,3)="Con",N(H260)&lt;E260,G260="Kallang Formation (marine clay)"),"NOTE: CBP is not watertight below GWT in marine clay; consider secant / grouting. ","")&amp;IF(AND(C260="Steel Sheet Pile",D260="Permanent"),"NOTE: permanent sheet pile needs corrosion allowance. ","")&amp;IF(AND(F260="Cantilever (no support)",E260&gt;6),"NOTE: cantilever embedded wall &gt; 6 m, check deflection. ","")&amp;IF(AND(S260&lt;&gt;"",T260&lt;&gt;"",S260&gt;T260),"FAIL: deflection exceeds allowable. ","")))</f>
        <v/>
      </c>
      <c r="AR260" s="9"/>
      <c r="AS260" s="9"/>
      <c r="AT260" s="9"/>
      <c r="AU260" s="9"/>
      <c r="AV260" s="9"/>
      <c r="AW260" s="31"/>
      <c r="AX260" s="10" t="str">
        <f aca="false">IF(C260="","",IF(AND(Y260="Approved",ISERROR(SEARCH("FAIL",AQ260))),"Y","N"))</f>
        <v/>
      </c>
      <c r="AY260" s="10" t="str">
        <f aca="false">IF(C260="","",C260&amp;"|"&amp;E260&amp;"|"&amp;F260&amp;"|"&amp;G260&amp;"|"&amp;D260&amp;"|"&amp;AX260)</f>
        <v/>
      </c>
    </row>
    <row r="261" customFormat="false" ht="15" hidden="false" customHeight="false" outlineLevel="0" collapsed="false">
      <c r="A261" s="10" t="str">
        <f aca="false">IF(C261="","","EW-"&amp;IFERROR(VLOOKUP(C261,Lists!$P$4:$Q$22,2,0),"??")&amp;"-D"&amp;TEXT(E261*1000,"0000")&amp;"-"&amp;IFERROR(VLOOKUP(F261,Lists!$S$4:$T$21,2,0),"??")&amp;"-"&amp;IFERROR(VLOOKUP(G261,Lists!$Y$4:$Z$21,2,0),"??")&amp;"-"&amp;IFERROR(VLOOKUP(D261,Lists!$V$4:$W$16,2,0),"??")&amp;"-"&amp;X261)</f>
        <v/>
      </c>
      <c r="B261" s="10" t="str">
        <f aca="false">IF(C261="","",D261&amp;" "&amp;C261&amp;", excavation "&amp;TEXT(E261,"0.0")&amp;" m, "&amp;F261&amp;", "&amp;G261&amp;", "&amp;J261)</f>
        <v/>
      </c>
      <c r="C261" s="9"/>
      <c r="D261" s="9"/>
      <c r="E261" s="43"/>
      <c r="F261" s="9"/>
      <c r="G261" s="9"/>
      <c r="H261" s="43"/>
      <c r="I261" s="40"/>
      <c r="J261" s="9"/>
      <c r="K261" s="9"/>
      <c r="L261" s="9"/>
      <c r="M261" s="43"/>
      <c r="N261" s="43"/>
      <c r="O261" s="9"/>
      <c r="P261" s="9"/>
      <c r="Q261" s="9"/>
      <c r="R261" s="9"/>
      <c r="S261" s="40"/>
      <c r="T261" s="40"/>
      <c r="U261" s="9"/>
      <c r="V261" s="9"/>
      <c r="W261" s="9"/>
      <c r="X261" s="9"/>
      <c r="Y261" s="9"/>
      <c r="Z261" s="9"/>
      <c r="AA261" s="9"/>
      <c r="AB261" s="9"/>
      <c r="AC261" s="10" t="str">
        <f aca="false">IF(A261="","",SG_Criteria!$B$6&amp;SG_Criteria!$B$9&amp;"\"&amp;A261&amp;"\")</f>
        <v/>
      </c>
      <c r="AD261" s="10" t="str">
        <f aca="false">IF(A261="","",A261&amp;"_CAD.dwg")</f>
        <v/>
      </c>
      <c r="AE261" s="10" t="str">
        <f aca="false">IF(A261="","",A261&amp;"_DWG.pdf")</f>
        <v/>
      </c>
      <c r="AF261" s="10" t="str">
        <f aca="false">IF(A261="","",IF(AB261="Y",A261&amp;"_STAAD.std","n/a"))</f>
        <v/>
      </c>
      <c r="AG261" s="10" t="str">
        <f aca="false">IF(A261="","",A261&amp;"_CALC.xlsx")</f>
        <v/>
      </c>
      <c r="AH261" s="10" t="str">
        <f aca="false">IF(A261="","",A261&amp;"_CALC.pdf")</f>
        <v/>
      </c>
      <c r="AI261" s="9"/>
      <c r="AJ261" s="9"/>
      <c r="AK261" s="41"/>
      <c r="AL261" s="41"/>
      <c r="AM261" s="41"/>
      <c r="AN261" s="41"/>
      <c r="AO261" s="41"/>
      <c r="AP261" s="38" t="str">
        <f aca="false">IF(OR(C261="",E261=""),"",IF(E261&lt;=IF(C261="Soldier Pile &amp; Timber Lagging",SG_Criteria!$B$34,SG_Criteria!$B$33),"No ERSS submission",IF(E261&lt;=SG_Criteria!$B$35,"QP(ST)",IF(E261&lt;=SG_Criteria!$B$36,"QP(ST) + AC","Geotechnical building works: QP(Geo) + AC"))))</f>
        <v/>
      </c>
      <c r="AQ261" s="38" t="str">
        <f aca="false">IF(C261="","",IF(LEN(IF(AND(U261&lt;&gt;"",IFERROR(VALUE(MID(U261,2,2)),0)&lt;SG_Criteria!$B$19),"FAIL: grade below C"&amp;SG_Criteria!$B$19&amp;". ","")&amp;IF(AND(LEFT(C261,3)="Con",N(H261)&lt;E261,G261="Kallang Formation (marine clay)"),"NOTE: CBP is not watertight below GWT in marine clay; consider secant / grouting. ","")&amp;IF(AND(C261="Steel Sheet Pile",D261="Permanent"),"NOTE: permanent sheet pile needs corrosion allowance. ","")&amp;IF(AND(F261="Cantilever (no support)",E261&gt;6),"NOTE: cantilever embedded wall &gt; 6 m, check deflection. ","")&amp;IF(AND(S261&lt;&gt;"",T261&lt;&gt;"",S261&gt;T261),"FAIL: deflection exceeds allowable. ",""))=0,"OK",IF(AND(U261&lt;&gt;"",IFERROR(VALUE(MID(U261,2,2)),0)&lt;SG_Criteria!$B$19),"FAIL: grade below C"&amp;SG_Criteria!$B$19&amp;". ","")&amp;IF(AND(LEFT(C261,3)="Con",N(H261)&lt;E261,G261="Kallang Formation (marine clay)"),"NOTE: CBP is not watertight below GWT in marine clay; consider secant / grouting. ","")&amp;IF(AND(C261="Steel Sheet Pile",D261="Permanent"),"NOTE: permanent sheet pile needs corrosion allowance. ","")&amp;IF(AND(F261="Cantilever (no support)",E261&gt;6),"NOTE: cantilever embedded wall &gt; 6 m, check deflection. ","")&amp;IF(AND(S261&lt;&gt;"",T261&lt;&gt;"",S261&gt;T261),"FAIL: deflection exceeds allowable. ","")))</f>
        <v/>
      </c>
      <c r="AR261" s="9"/>
      <c r="AS261" s="9"/>
      <c r="AT261" s="9"/>
      <c r="AU261" s="9"/>
      <c r="AV261" s="9"/>
      <c r="AW261" s="31"/>
      <c r="AX261" s="10" t="str">
        <f aca="false">IF(C261="","",IF(AND(Y261="Approved",ISERROR(SEARCH("FAIL",AQ261))),"Y","N"))</f>
        <v/>
      </c>
      <c r="AY261" s="10" t="str">
        <f aca="false">IF(C261="","",C261&amp;"|"&amp;E261&amp;"|"&amp;F261&amp;"|"&amp;G261&amp;"|"&amp;D261&amp;"|"&amp;AX261)</f>
        <v/>
      </c>
    </row>
    <row r="262" customFormat="false" ht="15" hidden="false" customHeight="false" outlineLevel="0" collapsed="false">
      <c r="A262" s="10" t="str">
        <f aca="false">IF(C262="","","EW-"&amp;IFERROR(VLOOKUP(C262,Lists!$P$4:$Q$22,2,0),"??")&amp;"-D"&amp;TEXT(E262*1000,"0000")&amp;"-"&amp;IFERROR(VLOOKUP(F262,Lists!$S$4:$T$21,2,0),"??")&amp;"-"&amp;IFERROR(VLOOKUP(G262,Lists!$Y$4:$Z$21,2,0),"??")&amp;"-"&amp;IFERROR(VLOOKUP(D262,Lists!$V$4:$W$16,2,0),"??")&amp;"-"&amp;X262)</f>
        <v/>
      </c>
      <c r="B262" s="10" t="str">
        <f aca="false">IF(C262="","",D262&amp;" "&amp;C262&amp;", excavation "&amp;TEXT(E262,"0.0")&amp;" m, "&amp;F262&amp;", "&amp;G262&amp;", "&amp;J262)</f>
        <v/>
      </c>
      <c r="C262" s="9"/>
      <c r="D262" s="9"/>
      <c r="E262" s="43"/>
      <c r="F262" s="9"/>
      <c r="G262" s="9"/>
      <c r="H262" s="43"/>
      <c r="I262" s="40"/>
      <c r="J262" s="9"/>
      <c r="K262" s="9"/>
      <c r="L262" s="9"/>
      <c r="M262" s="43"/>
      <c r="N262" s="43"/>
      <c r="O262" s="9"/>
      <c r="P262" s="9"/>
      <c r="Q262" s="9"/>
      <c r="R262" s="9"/>
      <c r="S262" s="40"/>
      <c r="T262" s="40"/>
      <c r="U262" s="9"/>
      <c r="V262" s="9"/>
      <c r="W262" s="9"/>
      <c r="X262" s="9"/>
      <c r="Y262" s="9"/>
      <c r="Z262" s="9"/>
      <c r="AA262" s="9"/>
      <c r="AB262" s="9"/>
      <c r="AC262" s="10" t="str">
        <f aca="false">IF(A262="","",SG_Criteria!$B$6&amp;SG_Criteria!$B$9&amp;"\"&amp;A262&amp;"\")</f>
        <v/>
      </c>
      <c r="AD262" s="10" t="str">
        <f aca="false">IF(A262="","",A262&amp;"_CAD.dwg")</f>
        <v/>
      </c>
      <c r="AE262" s="10" t="str">
        <f aca="false">IF(A262="","",A262&amp;"_DWG.pdf")</f>
        <v/>
      </c>
      <c r="AF262" s="10" t="str">
        <f aca="false">IF(A262="","",IF(AB262="Y",A262&amp;"_STAAD.std","n/a"))</f>
        <v/>
      </c>
      <c r="AG262" s="10" t="str">
        <f aca="false">IF(A262="","",A262&amp;"_CALC.xlsx")</f>
        <v/>
      </c>
      <c r="AH262" s="10" t="str">
        <f aca="false">IF(A262="","",A262&amp;"_CALC.pdf")</f>
        <v/>
      </c>
      <c r="AI262" s="9"/>
      <c r="AJ262" s="9"/>
      <c r="AK262" s="41"/>
      <c r="AL262" s="41"/>
      <c r="AM262" s="41"/>
      <c r="AN262" s="41"/>
      <c r="AO262" s="41"/>
      <c r="AP262" s="38" t="str">
        <f aca="false">IF(OR(C262="",E262=""),"",IF(E262&lt;=IF(C262="Soldier Pile &amp; Timber Lagging",SG_Criteria!$B$34,SG_Criteria!$B$33),"No ERSS submission",IF(E262&lt;=SG_Criteria!$B$35,"QP(ST)",IF(E262&lt;=SG_Criteria!$B$36,"QP(ST) + AC","Geotechnical building works: QP(Geo) + AC"))))</f>
        <v/>
      </c>
      <c r="AQ262" s="38" t="str">
        <f aca="false">IF(C262="","",IF(LEN(IF(AND(U262&lt;&gt;"",IFERROR(VALUE(MID(U262,2,2)),0)&lt;SG_Criteria!$B$19),"FAIL: grade below C"&amp;SG_Criteria!$B$19&amp;". ","")&amp;IF(AND(LEFT(C262,3)="Con",N(H262)&lt;E262,G262="Kallang Formation (marine clay)"),"NOTE: CBP is not watertight below GWT in marine clay; consider secant / grouting. ","")&amp;IF(AND(C262="Steel Sheet Pile",D262="Permanent"),"NOTE: permanent sheet pile needs corrosion allowance. ","")&amp;IF(AND(F262="Cantilever (no support)",E262&gt;6),"NOTE: cantilever embedded wall &gt; 6 m, check deflection. ","")&amp;IF(AND(S262&lt;&gt;"",T262&lt;&gt;"",S262&gt;T262),"FAIL: deflection exceeds allowable. ",""))=0,"OK",IF(AND(U262&lt;&gt;"",IFERROR(VALUE(MID(U262,2,2)),0)&lt;SG_Criteria!$B$19),"FAIL: grade below C"&amp;SG_Criteria!$B$19&amp;". ","")&amp;IF(AND(LEFT(C262,3)="Con",N(H262)&lt;E262,G262="Kallang Formation (marine clay)"),"NOTE: CBP is not watertight below GWT in marine clay; consider secant / grouting. ","")&amp;IF(AND(C262="Steel Sheet Pile",D262="Permanent"),"NOTE: permanent sheet pile needs corrosion allowance. ","")&amp;IF(AND(F262="Cantilever (no support)",E262&gt;6),"NOTE: cantilever embedded wall &gt; 6 m, check deflection. ","")&amp;IF(AND(S262&lt;&gt;"",T262&lt;&gt;"",S262&gt;T262),"FAIL: deflection exceeds allowable. ","")))</f>
        <v/>
      </c>
      <c r="AR262" s="9"/>
      <c r="AS262" s="9"/>
      <c r="AT262" s="9"/>
      <c r="AU262" s="9"/>
      <c r="AV262" s="9"/>
      <c r="AW262" s="31"/>
      <c r="AX262" s="10" t="str">
        <f aca="false">IF(C262="","",IF(AND(Y262="Approved",ISERROR(SEARCH("FAIL",AQ262))),"Y","N"))</f>
        <v/>
      </c>
      <c r="AY262" s="10" t="str">
        <f aca="false">IF(C262="","",C262&amp;"|"&amp;E262&amp;"|"&amp;F262&amp;"|"&amp;G262&amp;"|"&amp;D262&amp;"|"&amp;AX262)</f>
        <v/>
      </c>
    </row>
    <row r="263" customFormat="false" ht="15" hidden="false" customHeight="false" outlineLevel="0" collapsed="false">
      <c r="A263" s="10" t="str">
        <f aca="false">IF(C263="","","EW-"&amp;IFERROR(VLOOKUP(C263,Lists!$P$4:$Q$22,2,0),"??")&amp;"-D"&amp;TEXT(E263*1000,"0000")&amp;"-"&amp;IFERROR(VLOOKUP(F263,Lists!$S$4:$T$21,2,0),"??")&amp;"-"&amp;IFERROR(VLOOKUP(G263,Lists!$Y$4:$Z$21,2,0),"??")&amp;"-"&amp;IFERROR(VLOOKUP(D263,Lists!$V$4:$W$16,2,0),"??")&amp;"-"&amp;X263)</f>
        <v/>
      </c>
      <c r="B263" s="10" t="str">
        <f aca="false">IF(C263="","",D263&amp;" "&amp;C263&amp;", excavation "&amp;TEXT(E263,"0.0")&amp;" m, "&amp;F263&amp;", "&amp;G263&amp;", "&amp;J263)</f>
        <v/>
      </c>
      <c r="C263" s="9"/>
      <c r="D263" s="9"/>
      <c r="E263" s="43"/>
      <c r="F263" s="9"/>
      <c r="G263" s="9"/>
      <c r="H263" s="43"/>
      <c r="I263" s="40"/>
      <c r="J263" s="9"/>
      <c r="K263" s="9"/>
      <c r="L263" s="9"/>
      <c r="M263" s="43"/>
      <c r="N263" s="43"/>
      <c r="O263" s="9"/>
      <c r="P263" s="9"/>
      <c r="Q263" s="9"/>
      <c r="R263" s="9"/>
      <c r="S263" s="40"/>
      <c r="T263" s="40"/>
      <c r="U263" s="9"/>
      <c r="V263" s="9"/>
      <c r="W263" s="9"/>
      <c r="X263" s="9"/>
      <c r="Y263" s="9"/>
      <c r="Z263" s="9"/>
      <c r="AA263" s="9"/>
      <c r="AB263" s="9"/>
      <c r="AC263" s="10" t="str">
        <f aca="false">IF(A263="","",SG_Criteria!$B$6&amp;SG_Criteria!$B$9&amp;"\"&amp;A263&amp;"\")</f>
        <v/>
      </c>
      <c r="AD263" s="10" t="str">
        <f aca="false">IF(A263="","",A263&amp;"_CAD.dwg")</f>
        <v/>
      </c>
      <c r="AE263" s="10" t="str">
        <f aca="false">IF(A263="","",A263&amp;"_DWG.pdf")</f>
        <v/>
      </c>
      <c r="AF263" s="10" t="str">
        <f aca="false">IF(A263="","",IF(AB263="Y",A263&amp;"_STAAD.std","n/a"))</f>
        <v/>
      </c>
      <c r="AG263" s="10" t="str">
        <f aca="false">IF(A263="","",A263&amp;"_CALC.xlsx")</f>
        <v/>
      </c>
      <c r="AH263" s="10" t="str">
        <f aca="false">IF(A263="","",A263&amp;"_CALC.pdf")</f>
        <v/>
      </c>
      <c r="AI263" s="9"/>
      <c r="AJ263" s="9"/>
      <c r="AK263" s="41"/>
      <c r="AL263" s="41"/>
      <c r="AM263" s="41"/>
      <c r="AN263" s="41"/>
      <c r="AO263" s="41"/>
      <c r="AP263" s="38" t="str">
        <f aca="false">IF(OR(C263="",E263=""),"",IF(E263&lt;=IF(C263="Soldier Pile &amp; Timber Lagging",SG_Criteria!$B$34,SG_Criteria!$B$33),"No ERSS submission",IF(E263&lt;=SG_Criteria!$B$35,"QP(ST)",IF(E263&lt;=SG_Criteria!$B$36,"QP(ST) + AC","Geotechnical building works: QP(Geo) + AC"))))</f>
        <v/>
      </c>
      <c r="AQ263" s="38" t="str">
        <f aca="false">IF(C263="","",IF(LEN(IF(AND(U263&lt;&gt;"",IFERROR(VALUE(MID(U263,2,2)),0)&lt;SG_Criteria!$B$19),"FAIL: grade below C"&amp;SG_Criteria!$B$19&amp;". ","")&amp;IF(AND(LEFT(C263,3)="Con",N(H263)&lt;E263,G263="Kallang Formation (marine clay)"),"NOTE: CBP is not watertight below GWT in marine clay; consider secant / grouting. ","")&amp;IF(AND(C263="Steel Sheet Pile",D263="Permanent"),"NOTE: permanent sheet pile needs corrosion allowance. ","")&amp;IF(AND(F263="Cantilever (no support)",E263&gt;6),"NOTE: cantilever embedded wall &gt; 6 m, check deflection. ","")&amp;IF(AND(S263&lt;&gt;"",T263&lt;&gt;"",S263&gt;T263),"FAIL: deflection exceeds allowable. ",""))=0,"OK",IF(AND(U263&lt;&gt;"",IFERROR(VALUE(MID(U263,2,2)),0)&lt;SG_Criteria!$B$19),"FAIL: grade below C"&amp;SG_Criteria!$B$19&amp;". ","")&amp;IF(AND(LEFT(C263,3)="Con",N(H263)&lt;E263,G263="Kallang Formation (marine clay)"),"NOTE: CBP is not watertight below GWT in marine clay; consider secant / grouting. ","")&amp;IF(AND(C263="Steel Sheet Pile",D263="Permanent"),"NOTE: permanent sheet pile needs corrosion allowance. ","")&amp;IF(AND(F263="Cantilever (no support)",E263&gt;6),"NOTE: cantilever embedded wall &gt; 6 m, check deflection. ","")&amp;IF(AND(S263&lt;&gt;"",T263&lt;&gt;"",S263&gt;T263),"FAIL: deflection exceeds allowable. ","")))</f>
        <v/>
      </c>
      <c r="AR263" s="9"/>
      <c r="AS263" s="9"/>
      <c r="AT263" s="9"/>
      <c r="AU263" s="9"/>
      <c r="AV263" s="9"/>
      <c r="AW263" s="31"/>
      <c r="AX263" s="10" t="str">
        <f aca="false">IF(C263="","",IF(AND(Y263="Approved",ISERROR(SEARCH("FAIL",AQ263))),"Y","N"))</f>
        <v/>
      </c>
      <c r="AY263" s="10" t="str">
        <f aca="false">IF(C263="","",C263&amp;"|"&amp;E263&amp;"|"&amp;F263&amp;"|"&amp;G263&amp;"|"&amp;D263&amp;"|"&amp;AX263)</f>
        <v/>
      </c>
    </row>
    <row r="264" customFormat="false" ht="15" hidden="false" customHeight="false" outlineLevel="0" collapsed="false">
      <c r="A264" s="10" t="str">
        <f aca="false">IF(C264="","","EW-"&amp;IFERROR(VLOOKUP(C264,Lists!$P$4:$Q$22,2,0),"??")&amp;"-D"&amp;TEXT(E264*1000,"0000")&amp;"-"&amp;IFERROR(VLOOKUP(F264,Lists!$S$4:$T$21,2,0),"??")&amp;"-"&amp;IFERROR(VLOOKUP(G264,Lists!$Y$4:$Z$21,2,0),"??")&amp;"-"&amp;IFERROR(VLOOKUP(D264,Lists!$V$4:$W$16,2,0),"??")&amp;"-"&amp;X264)</f>
        <v/>
      </c>
      <c r="B264" s="10" t="str">
        <f aca="false">IF(C264="","",D264&amp;" "&amp;C264&amp;", excavation "&amp;TEXT(E264,"0.0")&amp;" m, "&amp;F264&amp;", "&amp;G264&amp;", "&amp;J264)</f>
        <v/>
      </c>
      <c r="C264" s="9"/>
      <c r="D264" s="9"/>
      <c r="E264" s="43"/>
      <c r="F264" s="9"/>
      <c r="G264" s="9"/>
      <c r="H264" s="43"/>
      <c r="I264" s="40"/>
      <c r="J264" s="9"/>
      <c r="K264" s="9"/>
      <c r="L264" s="9"/>
      <c r="M264" s="43"/>
      <c r="N264" s="43"/>
      <c r="O264" s="9"/>
      <c r="P264" s="9"/>
      <c r="Q264" s="9"/>
      <c r="R264" s="9"/>
      <c r="S264" s="40"/>
      <c r="T264" s="40"/>
      <c r="U264" s="9"/>
      <c r="V264" s="9"/>
      <c r="W264" s="9"/>
      <c r="X264" s="9"/>
      <c r="Y264" s="9"/>
      <c r="Z264" s="9"/>
      <c r="AA264" s="9"/>
      <c r="AB264" s="9"/>
      <c r="AC264" s="10" t="str">
        <f aca="false">IF(A264="","",SG_Criteria!$B$6&amp;SG_Criteria!$B$9&amp;"\"&amp;A264&amp;"\")</f>
        <v/>
      </c>
      <c r="AD264" s="10" t="str">
        <f aca="false">IF(A264="","",A264&amp;"_CAD.dwg")</f>
        <v/>
      </c>
      <c r="AE264" s="10" t="str">
        <f aca="false">IF(A264="","",A264&amp;"_DWG.pdf")</f>
        <v/>
      </c>
      <c r="AF264" s="10" t="str">
        <f aca="false">IF(A264="","",IF(AB264="Y",A264&amp;"_STAAD.std","n/a"))</f>
        <v/>
      </c>
      <c r="AG264" s="10" t="str">
        <f aca="false">IF(A264="","",A264&amp;"_CALC.xlsx")</f>
        <v/>
      </c>
      <c r="AH264" s="10" t="str">
        <f aca="false">IF(A264="","",A264&amp;"_CALC.pdf")</f>
        <v/>
      </c>
      <c r="AI264" s="9"/>
      <c r="AJ264" s="9"/>
      <c r="AK264" s="41"/>
      <c r="AL264" s="41"/>
      <c r="AM264" s="41"/>
      <c r="AN264" s="41"/>
      <c r="AO264" s="41"/>
      <c r="AP264" s="38" t="str">
        <f aca="false">IF(OR(C264="",E264=""),"",IF(E264&lt;=IF(C264="Soldier Pile &amp; Timber Lagging",SG_Criteria!$B$34,SG_Criteria!$B$33),"No ERSS submission",IF(E264&lt;=SG_Criteria!$B$35,"QP(ST)",IF(E264&lt;=SG_Criteria!$B$36,"QP(ST) + AC","Geotechnical building works: QP(Geo) + AC"))))</f>
        <v/>
      </c>
      <c r="AQ264" s="38" t="str">
        <f aca="false">IF(C264="","",IF(LEN(IF(AND(U264&lt;&gt;"",IFERROR(VALUE(MID(U264,2,2)),0)&lt;SG_Criteria!$B$19),"FAIL: grade below C"&amp;SG_Criteria!$B$19&amp;". ","")&amp;IF(AND(LEFT(C264,3)="Con",N(H264)&lt;E264,G264="Kallang Formation (marine clay)"),"NOTE: CBP is not watertight below GWT in marine clay; consider secant / grouting. ","")&amp;IF(AND(C264="Steel Sheet Pile",D264="Permanent"),"NOTE: permanent sheet pile needs corrosion allowance. ","")&amp;IF(AND(F264="Cantilever (no support)",E264&gt;6),"NOTE: cantilever embedded wall &gt; 6 m, check deflection. ","")&amp;IF(AND(S264&lt;&gt;"",T264&lt;&gt;"",S264&gt;T264),"FAIL: deflection exceeds allowable. ",""))=0,"OK",IF(AND(U264&lt;&gt;"",IFERROR(VALUE(MID(U264,2,2)),0)&lt;SG_Criteria!$B$19),"FAIL: grade below C"&amp;SG_Criteria!$B$19&amp;". ","")&amp;IF(AND(LEFT(C264,3)="Con",N(H264)&lt;E264,G264="Kallang Formation (marine clay)"),"NOTE: CBP is not watertight below GWT in marine clay; consider secant / grouting. ","")&amp;IF(AND(C264="Steel Sheet Pile",D264="Permanent"),"NOTE: permanent sheet pile needs corrosion allowance. ","")&amp;IF(AND(F264="Cantilever (no support)",E264&gt;6),"NOTE: cantilever embedded wall &gt; 6 m, check deflection. ","")&amp;IF(AND(S264&lt;&gt;"",T264&lt;&gt;"",S264&gt;T264),"FAIL: deflection exceeds allowable. ","")))</f>
        <v/>
      </c>
      <c r="AR264" s="9"/>
      <c r="AS264" s="9"/>
      <c r="AT264" s="9"/>
      <c r="AU264" s="9"/>
      <c r="AV264" s="9"/>
      <c r="AW264" s="31"/>
      <c r="AX264" s="10" t="str">
        <f aca="false">IF(C264="","",IF(AND(Y264="Approved",ISERROR(SEARCH("FAIL",AQ264))),"Y","N"))</f>
        <v/>
      </c>
      <c r="AY264" s="10" t="str">
        <f aca="false">IF(C264="","",C264&amp;"|"&amp;E264&amp;"|"&amp;F264&amp;"|"&amp;G264&amp;"|"&amp;D264&amp;"|"&amp;AX264)</f>
        <v/>
      </c>
    </row>
    <row r="265" customFormat="false" ht="15" hidden="false" customHeight="false" outlineLevel="0" collapsed="false">
      <c r="A265" s="10" t="str">
        <f aca="false">IF(C265="","","EW-"&amp;IFERROR(VLOOKUP(C265,Lists!$P$4:$Q$22,2,0),"??")&amp;"-D"&amp;TEXT(E265*1000,"0000")&amp;"-"&amp;IFERROR(VLOOKUP(F265,Lists!$S$4:$T$21,2,0),"??")&amp;"-"&amp;IFERROR(VLOOKUP(G265,Lists!$Y$4:$Z$21,2,0),"??")&amp;"-"&amp;IFERROR(VLOOKUP(D265,Lists!$V$4:$W$16,2,0),"??")&amp;"-"&amp;X265)</f>
        <v/>
      </c>
      <c r="B265" s="10" t="str">
        <f aca="false">IF(C265="","",D265&amp;" "&amp;C265&amp;", excavation "&amp;TEXT(E265,"0.0")&amp;" m, "&amp;F265&amp;", "&amp;G265&amp;", "&amp;J265)</f>
        <v/>
      </c>
      <c r="C265" s="9"/>
      <c r="D265" s="9"/>
      <c r="E265" s="43"/>
      <c r="F265" s="9"/>
      <c r="G265" s="9"/>
      <c r="H265" s="43"/>
      <c r="I265" s="40"/>
      <c r="J265" s="9"/>
      <c r="K265" s="9"/>
      <c r="L265" s="9"/>
      <c r="M265" s="43"/>
      <c r="N265" s="43"/>
      <c r="O265" s="9"/>
      <c r="P265" s="9"/>
      <c r="Q265" s="9"/>
      <c r="R265" s="9"/>
      <c r="S265" s="40"/>
      <c r="T265" s="40"/>
      <c r="U265" s="9"/>
      <c r="V265" s="9"/>
      <c r="W265" s="9"/>
      <c r="X265" s="9"/>
      <c r="Y265" s="9"/>
      <c r="Z265" s="9"/>
      <c r="AA265" s="9"/>
      <c r="AB265" s="9"/>
      <c r="AC265" s="10" t="str">
        <f aca="false">IF(A265="","",SG_Criteria!$B$6&amp;SG_Criteria!$B$9&amp;"\"&amp;A265&amp;"\")</f>
        <v/>
      </c>
      <c r="AD265" s="10" t="str">
        <f aca="false">IF(A265="","",A265&amp;"_CAD.dwg")</f>
        <v/>
      </c>
      <c r="AE265" s="10" t="str">
        <f aca="false">IF(A265="","",A265&amp;"_DWG.pdf")</f>
        <v/>
      </c>
      <c r="AF265" s="10" t="str">
        <f aca="false">IF(A265="","",IF(AB265="Y",A265&amp;"_STAAD.std","n/a"))</f>
        <v/>
      </c>
      <c r="AG265" s="10" t="str">
        <f aca="false">IF(A265="","",A265&amp;"_CALC.xlsx")</f>
        <v/>
      </c>
      <c r="AH265" s="10" t="str">
        <f aca="false">IF(A265="","",A265&amp;"_CALC.pdf")</f>
        <v/>
      </c>
      <c r="AI265" s="9"/>
      <c r="AJ265" s="9"/>
      <c r="AK265" s="41"/>
      <c r="AL265" s="41"/>
      <c r="AM265" s="41"/>
      <c r="AN265" s="41"/>
      <c r="AO265" s="41"/>
      <c r="AP265" s="38" t="str">
        <f aca="false">IF(OR(C265="",E265=""),"",IF(E265&lt;=IF(C265="Soldier Pile &amp; Timber Lagging",SG_Criteria!$B$34,SG_Criteria!$B$33),"No ERSS submission",IF(E265&lt;=SG_Criteria!$B$35,"QP(ST)",IF(E265&lt;=SG_Criteria!$B$36,"QP(ST) + AC","Geotechnical building works: QP(Geo) + AC"))))</f>
        <v/>
      </c>
      <c r="AQ265" s="38" t="str">
        <f aca="false">IF(C265="","",IF(LEN(IF(AND(U265&lt;&gt;"",IFERROR(VALUE(MID(U265,2,2)),0)&lt;SG_Criteria!$B$19),"FAIL: grade below C"&amp;SG_Criteria!$B$19&amp;". ","")&amp;IF(AND(LEFT(C265,3)="Con",N(H265)&lt;E265,G265="Kallang Formation (marine clay)"),"NOTE: CBP is not watertight below GWT in marine clay; consider secant / grouting. ","")&amp;IF(AND(C265="Steel Sheet Pile",D265="Permanent"),"NOTE: permanent sheet pile needs corrosion allowance. ","")&amp;IF(AND(F265="Cantilever (no support)",E265&gt;6),"NOTE: cantilever embedded wall &gt; 6 m, check deflection. ","")&amp;IF(AND(S265&lt;&gt;"",T265&lt;&gt;"",S265&gt;T265),"FAIL: deflection exceeds allowable. ",""))=0,"OK",IF(AND(U265&lt;&gt;"",IFERROR(VALUE(MID(U265,2,2)),0)&lt;SG_Criteria!$B$19),"FAIL: grade below C"&amp;SG_Criteria!$B$19&amp;". ","")&amp;IF(AND(LEFT(C265,3)="Con",N(H265)&lt;E265,G265="Kallang Formation (marine clay)"),"NOTE: CBP is not watertight below GWT in marine clay; consider secant / grouting. ","")&amp;IF(AND(C265="Steel Sheet Pile",D265="Permanent"),"NOTE: permanent sheet pile needs corrosion allowance. ","")&amp;IF(AND(F265="Cantilever (no support)",E265&gt;6),"NOTE: cantilever embedded wall &gt; 6 m, check deflection. ","")&amp;IF(AND(S265&lt;&gt;"",T265&lt;&gt;"",S265&gt;T265),"FAIL: deflection exceeds allowable. ","")))</f>
        <v/>
      </c>
      <c r="AR265" s="9"/>
      <c r="AS265" s="9"/>
      <c r="AT265" s="9"/>
      <c r="AU265" s="9"/>
      <c r="AV265" s="9"/>
      <c r="AW265" s="31"/>
      <c r="AX265" s="10" t="str">
        <f aca="false">IF(C265="","",IF(AND(Y265="Approved",ISERROR(SEARCH("FAIL",AQ265))),"Y","N"))</f>
        <v/>
      </c>
      <c r="AY265" s="10" t="str">
        <f aca="false">IF(C265="","",C265&amp;"|"&amp;E265&amp;"|"&amp;F265&amp;"|"&amp;G265&amp;"|"&amp;D265&amp;"|"&amp;AX265)</f>
        <v/>
      </c>
    </row>
    <row r="266" customFormat="false" ht="15" hidden="false" customHeight="false" outlineLevel="0" collapsed="false">
      <c r="A266" s="10" t="str">
        <f aca="false">IF(C266="","","EW-"&amp;IFERROR(VLOOKUP(C266,Lists!$P$4:$Q$22,2,0),"??")&amp;"-D"&amp;TEXT(E266*1000,"0000")&amp;"-"&amp;IFERROR(VLOOKUP(F266,Lists!$S$4:$T$21,2,0),"??")&amp;"-"&amp;IFERROR(VLOOKUP(G266,Lists!$Y$4:$Z$21,2,0),"??")&amp;"-"&amp;IFERROR(VLOOKUP(D266,Lists!$V$4:$W$16,2,0),"??")&amp;"-"&amp;X266)</f>
        <v/>
      </c>
      <c r="B266" s="10" t="str">
        <f aca="false">IF(C266="","",D266&amp;" "&amp;C266&amp;", excavation "&amp;TEXT(E266,"0.0")&amp;" m, "&amp;F266&amp;", "&amp;G266&amp;", "&amp;J266)</f>
        <v/>
      </c>
      <c r="C266" s="9"/>
      <c r="D266" s="9"/>
      <c r="E266" s="43"/>
      <c r="F266" s="9"/>
      <c r="G266" s="9"/>
      <c r="H266" s="43"/>
      <c r="I266" s="40"/>
      <c r="J266" s="9"/>
      <c r="K266" s="9"/>
      <c r="L266" s="9"/>
      <c r="M266" s="43"/>
      <c r="N266" s="43"/>
      <c r="O266" s="9"/>
      <c r="P266" s="9"/>
      <c r="Q266" s="9"/>
      <c r="R266" s="9"/>
      <c r="S266" s="40"/>
      <c r="T266" s="40"/>
      <c r="U266" s="9"/>
      <c r="V266" s="9"/>
      <c r="W266" s="9"/>
      <c r="X266" s="9"/>
      <c r="Y266" s="9"/>
      <c r="Z266" s="9"/>
      <c r="AA266" s="9"/>
      <c r="AB266" s="9"/>
      <c r="AC266" s="10" t="str">
        <f aca="false">IF(A266="","",SG_Criteria!$B$6&amp;SG_Criteria!$B$9&amp;"\"&amp;A266&amp;"\")</f>
        <v/>
      </c>
      <c r="AD266" s="10" t="str">
        <f aca="false">IF(A266="","",A266&amp;"_CAD.dwg")</f>
        <v/>
      </c>
      <c r="AE266" s="10" t="str">
        <f aca="false">IF(A266="","",A266&amp;"_DWG.pdf")</f>
        <v/>
      </c>
      <c r="AF266" s="10" t="str">
        <f aca="false">IF(A266="","",IF(AB266="Y",A266&amp;"_STAAD.std","n/a"))</f>
        <v/>
      </c>
      <c r="AG266" s="10" t="str">
        <f aca="false">IF(A266="","",A266&amp;"_CALC.xlsx")</f>
        <v/>
      </c>
      <c r="AH266" s="10" t="str">
        <f aca="false">IF(A266="","",A266&amp;"_CALC.pdf")</f>
        <v/>
      </c>
      <c r="AI266" s="9"/>
      <c r="AJ266" s="9"/>
      <c r="AK266" s="41"/>
      <c r="AL266" s="41"/>
      <c r="AM266" s="41"/>
      <c r="AN266" s="41"/>
      <c r="AO266" s="41"/>
      <c r="AP266" s="38" t="str">
        <f aca="false">IF(OR(C266="",E266=""),"",IF(E266&lt;=IF(C266="Soldier Pile &amp; Timber Lagging",SG_Criteria!$B$34,SG_Criteria!$B$33),"No ERSS submission",IF(E266&lt;=SG_Criteria!$B$35,"QP(ST)",IF(E266&lt;=SG_Criteria!$B$36,"QP(ST) + AC","Geotechnical building works: QP(Geo) + AC"))))</f>
        <v/>
      </c>
      <c r="AQ266" s="38" t="str">
        <f aca="false">IF(C266="","",IF(LEN(IF(AND(U266&lt;&gt;"",IFERROR(VALUE(MID(U266,2,2)),0)&lt;SG_Criteria!$B$19),"FAIL: grade below C"&amp;SG_Criteria!$B$19&amp;". ","")&amp;IF(AND(LEFT(C266,3)="Con",N(H266)&lt;E266,G266="Kallang Formation (marine clay)"),"NOTE: CBP is not watertight below GWT in marine clay; consider secant / grouting. ","")&amp;IF(AND(C266="Steel Sheet Pile",D266="Permanent"),"NOTE: permanent sheet pile needs corrosion allowance. ","")&amp;IF(AND(F266="Cantilever (no support)",E266&gt;6),"NOTE: cantilever embedded wall &gt; 6 m, check deflection. ","")&amp;IF(AND(S266&lt;&gt;"",T266&lt;&gt;"",S266&gt;T266),"FAIL: deflection exceeds allowable. ",""))=0,"OK",IF(AND(U266&lt;&gt;"",IFERROR(VALUE(MID(U266,2,2)),0)&lt;SG_Criteria!$B$19),"FAIL: grade below C"&amp;SG_Criteria!$B$19&amp;". ","")&amp;IF(AND(LEFT(C266,3)="Con",N(H266)&lt;E266,G266="Kallang Formation (marine clay)"),"NOTE: CBP is not watertight below GWT in marine clay; consider secant / grouting. ","")&amp;IF(AND(C266="Steel Sheet Pile",D266="Permanent"),"NOTE: permanent sheet pile needs corrosion allowance. ","")&amp;IF(AND(F266="Cantilever (no support)",E266&gt;6),"NOTE: cantilever embedded wall &gt; 6 m, check deflection. ","")&amp;IF(AND(S266&lt;&gt;"",T266&lt;&gt;"",S266&gt;T266),"FAIL: deflection exceeds allowable. ","")))</f>
        <v/>
      </c>
      <c r="AR266" s="9"/>
      <c r="AS266" s="9"/>
      <c r="AT266" s="9"/>
      <c r="AU266" s="9"/>
      <c r="AV266" s="9"/>
      <c r="AW266" s="31"/>
      <c r="AX266" s="10" t="str">
        <f aca="false">IF(C266="","",IF(AND(Y266="Approved",ISERROR(SEARCH("FAIL",AQ266))),"Y","N"))</f>
        <v/>
      </c>
      <c r="AY266" s="10" t="str">
        <f aca="false">IF(C266="","",C266&amp;"|"&amp;E266&amp;"|"&amp;F266&amp;"|"&amp;G266&amp;"|"&amp;D266&amp;"|"&amp;AX266)</f>
        <v/>
      </c>
    </row>
    <row r="267" customFormat="false" ht="15" hidden="false" customHeight="false" outlineLevel="0" collapsed="false">
      <c r="A267" s="10" t="str">
        <f aca="false">IF(C267="","","EW-"&amp;IFERROR(VLOOKUP(C267,Lists!$P$4:$Q$22,2,0),"??")&amp;"-D"&amp;TEXT(E267*1000,"0000")&amp;"-"&amp;IFERROR(VLOOKUP(F267,Lists!$S$4:$T$21,2,0),"??")&amp;"-"&amp;IFERROR(VLOOKUP(G267,Lists!$Y$4:$Z$21,2,0),"??")&amp;"-"&amp;IFERROR(VLOOKUP(D267,Lists!$V$4:$W$16,2,0),"??")&amp;"-"&amp;X267)</f>
        <v/>
      </c>
      <c r="B267" s="10" t="str">
        <f aca="false">IF(C267="","",D267&amp;" "&amp;C267&amp;", excavation "&amp;TEXT(E267,"0.0")&amp;" m, "&amp;F267&amp;", "&amp;G267&amp;", "&amp;J267)</f>
        <v/>
      </c>
      <c r="C267" s="9"/>
      <c r="D267" s="9"/>
      <c r="E267" s="43"/>
      <c r="F267" s="9"/>
      <c r="G267" s="9"/>
      <c r="H267" s="43"/>
      <c r="I267" s="40"/>
      <c r="J267" s="9"/>
      <c r="K267" s="9"/>
      <c r="L267" s="9"/>
      <c r="M267" s="43"/>
      <c r="N267" s="43"/>
      <c r="O267" s="9"/>
      <c r="P267" s="9"/>
      <c r="Q267" s="9"/>
      <c r="R267" s="9"/>
      <c r="S267" s="40"/>
      <c r="T267" s="40"/>
      <c r="U267" s="9"/>
      <c r="V267" s="9"/>
      <c r="W267" s="9"/>
      <c r="X267" s="9"/>
      <c r="Y267" s="9"/>
      <c r="Z267" s="9"/>
      <c r="AA267" s="9"/>
      <c r="AB267" s="9"/>
      <c r="AC267" s="10" t="str">
        <f aca="false">IF(A267="","",SG_Criteria!$B$6&amp;SG_Criteria!$B$9&amp;"\"&amp;A267&amp;"\")</f>
        <v/>
      </c>
      <c r="AD267" s="10" t="str">
        <f aca="false">IF(A267="","",A267&amp;"_CAD.dwg")</f>
        <v/>
      </c>
      <c r="AE267" s="10" t="str">
        <f aca="false">IF(A267="","",A267&amp;"_DWG.pdf")</f>
        <v/>
      </c>
      <c r="AF267" s="10" t="str">
        <f aca="false">IF(A267="","",IF(AB267="Y",A267&amp;"_STAAD.std","n/a"))</f>
        <v/>
      </c>
      <c r="AG267" s="10" t="str">
        <f aca="false">IF(A267="","",A267&amp;"_CALC.xlsx")</f>
        <v/>
      </c>
      <c r="AH267" s="10" t="str">
        <f aca="false">IF(A267="","",A267&amp;"_CALC.pdf")</f>
        <v/>
      </c>
      <c r="AI267" s="9"/>
      <c r="AJ267" s="9"/>
      <c r="AK267" s="41"/>
      <c r="AL267" s="41"/>
      <c r="AM267" s="41"/>
      <c r="AN267" s="41"/>
      <c r="AO267" s="41"/>
      <c r="AP267" s="38" t="str">
        <f aca="false">IF(OR(C267="",E267=""),"",IF(E267&lt;=IF(C267="Soldier Pile &amp; Timber Lagging",SG_Criteria!$B$34,SG_Criteria!$B$33),"No ERSS submission",IF(E267&lt;=SG_Criteria!$B$35,"QP(ST)",IF(E267&lt;=SG_Criteria!$B$36,"QP(ST) + AC","Geotechnical building works: QP(Geo) + AC"))))</f>
        <v/>
      </c>
      <c r="AQ267" s="38" t="str">
        <f aca="false">IF(C267="","",IF(LEN(IF(AND(U267&lt;&gt;"",IFERROR(VALUE(MID(U267,2,2)),0)&lt;SG_Criteria!$B$19),"FAIL: grade below C"&amp;SG_Criteria!$B$19&amp;". ","")&amp;IF(AND(LEFT(C267,3)="Con",N(H267)&lt;E267,G267="Kallang Formation (marine clay)"),"NOTE: CBP is not watertight below GWT in marine clay; consider secant / grouting. ","")&amp;IF(AND(C267="Steel Sheet Pile",D267="Permanent"),"NOTE: permanent sheet pile needs corrosion allowance. ","")&amp;IF(AND(F267="Cantilever (no support)",E267&gt;6),"NOTE: cantilever embedded wall &gt; 6 m, check deflection. ","")&amp;IF(AND(S267&lt;&gt;"",T267&lt;&gt;"",S267&gt;T267),"FAIL: deflection exceeds allowable. ",""))=0,"OK",IF(AND(U267&lt;&gt;"",IFERROR(VALUE(MID(U267,2,2)),0)&lt;SG_Criteria!$B$19),"FAIL: grade below C"&amp;SG_Criteria!$B$19&amp;". ","")&amp;IF(AND(LEFT(C267,3)="Con",N(H267)&lt;E267,G267="Kallang Formation (marine clay)"),"NOTE: CBP is not watertight below GWT in marine clay; consider secant / grouting. ","")&amp;IF(AND(C267="Steel Sheet Pile",D267="Permanent"),"NOTE: permanent sheet pile needs corrosion allowance. ","")&amp;IF(AND(F267="Cantilever (no support)",E267&gt;6),"NOTE: cantilever embedded wall &gt; 6 m, check deflection. ","")&amp;IF(AND(S267&lt;&gt;"",T267&lt;&gt;"",S267&gt;T267),"FAIL: deflection exceeds allowable. ","")))</f>
        <v/>
      </c>
      <c r="AR267" s="9"/>
      <c r="AS267" s="9"/>
      <c r="AT267" s="9"/>
      <c r="AU267" s="9"/>
      <c r="AV267" s="9"/>
      <c r="AW267" s="31"/>
      <c r="AX267" s="10" t="str">
        <f aca="false">IF(C267="","",IF(AND(Y267="Approved",ISERROR(SEARCH("FAIL",AQ267))),"Y","N"))</f>
        <v/>
      </c>
      <c r="AY267" s="10" t="str">
        <f aca="false">IF(C267="","",C267&amp;"|"&amp;E267&amp;"|"&amp;F267&amp;"|"&amp;G267&amp;"|"&amp;D267&amp;"|"&amp;AX267)</f>
        <v/>
      </c>
    </row>
    <row r="268" customFormat="false" ht="15" hidden="false" customHeight="false" outlineLevel="0" collapsed="false">
      <c r="A268" s="10" t="str">
        <f aca="false">IF(C268="","","EW-"&amp;IFERROR(VLOOKUP(C268,Lists!$P$4:$Q$22,2,0),"??")&amp;"-D"&amp;TEXT(E268*1000,"0000")&amp;"-"&amp;IFERROR(VLOOKUP(F268,Lists!$S$4:$T$21,2,0),"??")&amp;"-"&amp;IFERROR(VLOOKUP(G268,Lists!$Y$4:$Z$21,2,0),"??")&amp;"-"&amp;IFERROR(VLOOKUP(D268,Lists!$V$4:$W$16,2,0),"??")&amp;"-"&amp;X268)</f>
        <v/>
      </c>
      <c r="B268" s="10" t="str">
        <f aca="false">IF(C268="","",D268&amp;" "&amp;C268&amp;", excavation "&amp;TEXT(E268,"0.0")&amp;" m, "&amp;F268&amp;", "&amp;G268&amp;", "&amp;J268)</f>
        <v/>
      </c>
      <c r="C268" s="9"/>
      <c r="D268" s="9"/>
      <c r="E268" s="43"/>
      <c r="F268" s="9"/>
      <c r="G268" s="9"/>
      <c r="H268" s="43"/>
      <c r="I268" s="40"/>
      <c r="J268" s="9"/>
      <c r="K268" s="9"/>
      <c r="L268" s="9"/>
      <c r="M268" s="43"/>
      <c r="N268" s="43"/>
      <c r="O268" s="9"/>
      <c r="P268" s="9"/>
      <c r="Q268" s="9"/>
      <c r="R268" s="9"/>
      <c r="S268" s="40"/>
      <c r="T268" s="40"/>
      <c r="U268" s="9"/>
      <c r="V268" s="9"/>
      <c r="W268" s="9"/>
      <c r="X268" s="9"/>
      <c r="Y268" s="9"/>
      <c r="Z268" s="9"/>
      <c r="AA268" s="9"/>
      <c r="AB268" s="9"/>
      <c r="AC268" s="10" t="str">
        <f aca="false">IF(A268="","",SG_Criteria!$B$6&amp;SG_Criteria!$B$9&amp;"\"&amp;A268&amp;"\")</f>
        <v/>
      </c>
      <c r="AD268" s="10" t="str">
        <f aca="false">IF(A268="","",A268&amp;"_CAD.dwg")</f>
        <v/>
      </c>
      <c r="AE268" s="10" t="str">
        <f aca="false">IF(A268="","",A268&amp;"_DWG.pdf")</f>
        <v/>
      </c>
      <c r="AF268" s="10" t="str">
        <f aca="false">IF(A268="","",IF(AB268="Y",A268&amp;"_STAAD.std","n/a"))</f>
        <v/>
      </c>
      <c r="AG268" s="10" t="str">
        <f aca="false">IF(A268="","",A268&amp;"_CALC.xlsx")</f>
        <v/>
      </c>
      <c r="AH268" s="10" t="str">
        <f aca="false">IF(A268="","",A268&amp;"_CALC.pdf")</f>
        <v/>
      </c>
      <c r="AI268" s="9"/>
      <c r="AJ268" s="9"/>
      <c r="AK268" s="41"/>
      <c r="AL268" s="41"/>
      <c r="AM268" s="41"/>
      <c r="AN268" s="41"/>
      <c r="AO268" s="41"/>
      <c r="AP268" s="38" t="str">
        <f aca="false">IF(OR(C268="",E268=""),"",IF(E268&lt;=IF(C268="Soldier Pile &amp; Timber Lagging",SG_Criteria!$B$34,SG_Criteria!$B$33),"No ERSS submission",IF(E268&lt;=SG_Criteria!$B$35,"QP(ST)",IF(E268&lt;=SG_Criteria!$B$36,"QP(ST) + AC","Geotechnical building works: QP(Geo) + AC"))))</f>
        <v/>
      </c>
      <c r="AQ268" s="38" t="str">
        <f aca="false">IF(C268="","",IF(LEN(IF(AND(U268&lt;&gt;"",IFERROR(VALUE(MID(U268,2,2)),0)&lt;SG_Criteria!$B$19),"FAIL: grade below C"&amp;SG_Criteria!$B$19&amp;". ","")&amp;IF(AND(LEFT(C268,3)="Con",N(H268)&lt;E268,G268="Kallang Formation (marine clay)"),"NOTE: CBP is not watertight below GWT in marine clay; consider secant / grouting. ","")&amp;IF(AND(C268="Steel Sheet Pile",D268="Permanent"),"NOTE: permanent sheet pile needs corrosion allowance. ","")&amp;IF(AND(F268="Cantilever (no support)",E268&gt;6),"NOTE: cantilever embedded wall &gt; 6 m, check deflection. ","")&amp;IF(AND(S268&lt;&gt;"",T268&lt;&gt;"",S268&gt;T268),"FAIL: deflection exceeds allowable. ",""))=0,"OK",IF(AND(U268&lt;&gt;"",IFERROR(VALUE(MID(U268,2,2)),0)&lt;SG_Criteria!$B$19),"FAIL: grade below C"&amp;SG_Criteria!$B$19&amp;". ","")&amp;IF(AND(LEFT(C268,3)="Con",N(H268)&lt;E268,G268="Kallang Formation (marine clay)"),"NOTE: CBP is not watertight below GWT in marine clay; consider secant / grouting. ","")&amp;IF(AND(C268="Steel Sheet Pile",D268="Permanent"),"NOTE: permanent sheet pile needs corrosion allowance. ","")&amp;IF(AND(F268="Cantilever (no support)",E268&gt;6),"NOTE: cantilever embedded wall &gt; 6 m, check deflection. ","")&amp;IF(AND(S268&lt;&gt;"",T268&lt;&gt;"",S268&gt;T268),"FAIL: deflection exceeds allowable. ","")))</f>
        <v/>
      </c>
      <c r="AR268" s="9"/>
      <c r="AS268" s="9"/>
      <c r="AT268" s="9"/>
      <c r="AU268" s="9"/>
      <c r="AV268" s="9"/>
      <c r="AW268" s="31"/>
      <c r="AX268" s="10" t="str">
        <f aca="false">IF(C268="","",IF(AND(Y268="Approved",ISERROR(SEARCH("FAIL",AQ268))),"Y","N"))</f>
        <v/>
      </c>
      <c r="AY268" s="10" t="str">
        <f aca="false">IF(C268="","",C268&amp;"|"&amp;E268&amp;"|"&amp;F268&amp;"|"&amp;G268&amp;"|"&amp;D268&amp;"|"&amp;AX268)</f>
        <v/>
      </c>
    </row>
    <row r="269" customFormat="false" ht="15" hidden="false" customHeight="false" outlineLevel="0" collapsed="false">
      <c r="A269" s="10" t="str">
        <f aca="false">IF(C269="","","EW-"&amp;IFERROR(VLOOKUP(C269,Lists!$P$4:$Q$22,2,0),"??")&amp;"-D"&amp;TEXT(E269*1000,"0000")&amp;"-"&amp;IFERROR(VLOOKUP(F269,Lists!$S$4:$T$21,2,0),"??")&amp;"-"&amp;IFERROR(VLOOKUP(G269,Lists!$Y$4:$Z$21,2,0),"??")&amp;"-"&amp;IFERROR(VLOOKUP(D269,Lists!$V$4:$W$16,2,0),"??")&amp;"-"&amp;X269)</f>
        <v/>
      </c>
      <c r="B269" s="10" t="str">
        <f aca="false">IF(C269="","",D269&amp;" "&amp;C269&amp;", excavation "&amp;TEXT(E269,"0.0")&amp;" m, "&amp;F269&amp;", "&amp;G269&amp;", "&amp;J269)</f>
        <v/>
      </c>
      <c r="C269" s="9"/>
      <c r="D269" s="9"/>
      <c r="E269" s="43"/>
      <c r="F269" s="9"/>
      <c r="G269" s="9"/>
      <c r="H269" s="43"/>
      <c r="I269" s="40"/>
      <c r="J269" s="9"/>
      <c r="K269" s="9"/>
      <c r="L269" s="9"/>
      <c r="M269" s="43"/>
      <c r="N269" s="43"/>
      <c r="O269" s="9"/>
      <c r="P269" s="9"/>
      <c r="Q269" s="9"/>
      <c r="R269" s="9"/>
      <c r="S269" s="40"/>
      <c r="T269" s="40"/>
      <c r="U269" s="9"/>
      <c r="V269" s="9"/>
      <c r="W269" s="9"/>
      <c r="X269" s="9"/>
      <c r="Y269" s="9"/>
      <c r="Z269" s="9"/>
      <c r="AA269" s="9"/>
      <c r="AB269" s="9"/>
      <c r="AC269" s="10" t="str">
        <f aca="false">IF(A269="","",SG_Criteria!$B$6&amp;SG_Criteria!$B$9&amp;"\"&amp;A269&amp;"\")</f>
        <v/>
      </c>
      <c r="AD269" s="10" t="str">
        <f aca="false">IF(A269="","",A269&amp;"_CAD.dwg")</f>
        <v/>
      </c>
      <c r="AE269" s="10" t="str">
        <f aca="false">IF(A269="","",A269&amp;"_DWG.pdf")</f>
        <v/>
      </c>
      <c r="AF269" s="10" t="str">
        <f aca="false">IF(A269="","",IF(AB269="Y",A269&amp;"_STAAD.std","n/a"))</f>
        <v/>
      </c>
      <c r="AG269" s="10" t="str">
        <f aca="false">IF(A269="","",A269&amp;"_CALC.xlsx")</f>
        <v/>
      </c>
      <c r="AH269" s="10" t="str">
        <f aca="false">IF(A269="","",A269&amp;"_CALC.pdf")</f>
        <v/>
      </c>
      <c r="AI269" s="9"/>
      <c r="AJ269" s="9"/>
      <c r="AK269" s="41"/>
      <c r="AL269" s="41"/>
      <c r="AM269" s="41"/>
      <c r="AN269" s="41"/>
      <c r="AO269" s="41"/>
      <c r="AP269" s="38" t="str">
        <f aca="false">IF(OR(C269="",E269=""),"",IF(E269&lt;=IF(C269="Soldier Pile &amp; Timber Lagging",SG_Criteria!$B$34,SG_Criteria!$B$33),"No ERSS submission",IF(E269&lt;=SG_Criteria!$B$35,"QP(ST)",IF(E269&lt;=SG_Criteria!$B$36,"QP(ST) + AC","Geotechnical building works: QP(Geo) + AC"))))</f>
        <v/>
      </c>
      <c r="AQ269" s="38" t="str">
        <f aca="false">IF(C269="","",IF(LEN(IF(AND(U269&lt;&gt;"",IFERROR(VALUE(MID(U269,2,2)),0)&lt;SG_Criteria!$B$19),"FAIL: grade below C"&amp;SG_Criteria!$B$19&amp;". ","")&amp;IF(AND(LEFT(C269,3)="Con",N(H269)&lt;E269,G269="Kallang Formation (marine clay)"),"NOTE: CBP is not watertight below GWT in marine clay; consider secant / grouting. ","")&amp;IF(AND(C269="Steel Sheet Pile",D269="Permanent"),"NOTE: permanent sheet pile needs corrosion allowance. ","")&amp;IF(AND(F269="Cantilever (no support)",E269&gt;6),"NOTE: cantilever embedded wall &gt; 6 m, check deflection. ","")&amp;IF(AND(S269&lt;&gt;"",T269&lt;&gt;"",S269&gt;T269),"FAIL: deflection exceeds allowable. ",""))=0,"OK",IF(AND(U269&lt;&gt;"",IFERROR(VALUE(MID(U269,2,2)),0)&lt;SG_Criteria!$B$19),"FAIL: grade below C"&amp;SG_Criteria!$B$19&amp;". ","")&amp;IF(AND(LEFT(C269,3)="Con",N(H269)&lt;E269,G269="Kallang Formation (marine clay)"),"NOTE: CBP is not watertight below GWT in marine clay; consider secant / grouting. ","")&amp;IF(AND(C269="Steel Sheet Pile",D269="Permanent"),"NOTE: permanent sheet pile needs corrosion allowance. ","")&amp;IF(AND(F269="Cantilever (no support)",E269&gt;6),"NOTE: cantilever embedded wall &gt; 6 m, check deflection. ","")&amp;IF(AND(S269&lt;&gt;"",T269&lt;&gt;"",S269&gt;T269),"FAIL: deflection exceeds allowable. ","")))</f>
        <v/>
      </c>
      <c r="AR269" s="9"/>
      <c r="AS269" s="9"/>
      <c r="AT269" s="9"/>
      <c r="AU269" s="9"/>
      <c r="AV269" s="9"/>
      <c r="AW269" s="31"/>
      <c r="AX269" s="10" t="str">
        <f aca="false">IF(C269="","",IF(AND(Y269="Approved",ISERROR(SEARCH("FAIL",AQ269))),"Y","N"))</f>
        <v/>
      </c>
      <c r="AY269" s="10" t="str">
        <f aca="false">IF(C269="","",C269&amp;"|"&amp;E269&amp;"|"&amp;F269&amp;"|"&amp;G269&amp;"|"&amp;D269&amp;"|"&amp;AX269)</f>
        <v/>
      </c>
    </row>
    <row r="270" customFormat="false" ht="15" hidden="false" customHeight="false" outlineLevel="0" collapsed="false">
      <c r="A270" s="10" t="str">
        <f aca="false">IF(C270="","","EW-"&amp;IFERROR(VLOOKUP(C270,Lists!$P$4:$Q$22,2,0),"??")&amp;"-D"&amp;TEXT(E270*1000,"0000")&amp;"-"&amp;IFERROR(VLOOKUP(F270,Lists!$S$4:$T$21,2,0),"??")&amp;"-"&amp;IFERROR(VLOOKUP(G270,Lists!$Y$4:$Z$21,2,0),"??")&amp;"-"&amp;IFERROR(VLOOKUP(D270,Lists!$V$4:$W$16,2,0),"??")&amp;"-"&amp;X270)</f>
        <v/>
      </c>
      <c r="B270" s="10" t="str">
        <f aca="false">IF(C270="","",D270&amp;" "&amp;C270&amp;", excavation "&amp;TEXT(E270,"0.0")&amp;" m, "&amp;F270&amp;", "&amp;G270&amp;", "&amp;J270)</f>
        <v/>
      </c>
      <c r="C270" s="9"/>
      <c r="D270" s="9"/>
      <c r="E270" s="43"/>
      <c r="F270" s="9"/>
      <c r="G270" s="9"/>
      <c r="H270" s="43"/>
      <c r="I270" s="40"/>
      <c r="J270" s="9"/>
      <c r="K270" s="9"/>
      <c r="L270" s="9"/>
      <c r="M270" s="43"/>
      <c r="N270" s="43"/>
      <c r="O270" s="9"/>
      <c r="P270" s="9"/>
      <c r="Q270" s="9"/>
      <c r="R270" s="9"/>
      <c r="S270" s="40"/>
      <c r="T270" s="40"/>
      <c r="U270" s="9"/>
      <c r="V270" s="9"/>
      <c r="W270" s="9"/>
      <c r="X270" s="9"/>
      <c r="Y270" s="9"/>
      <c r="Z270" s="9"/>
      <c r="AA270" s="9"/>
      <c r="AB270" s="9"/>
      <c r="AC270" s="10" t="str">
        <f aca="false">IF(A270="","",SG_Criteria!$B$6&amp;SG_Criteria!$B$9&amp;"\"&amp;A270&amp;"\")</f>
        <v/>
      </c>
      <c r="AD270" s="10" t="str">
        <f aca="false">IF(A270="","",A270&amp;"_CAD.dwg")</f>
        <v/>
      </c>
      <c r="AE270" s="10" t="str">
        <f aca="false">IF(A270="","",A270&amp;"_DWG.pdf")</f>
        <v/>
      </c>
      <c r="AF270" s="10" t="str">
        <f aca="false">IF(A270="","",IF(AB270="Y",A270&amp;"_STAAD.std","n/a"))</f>
        <v/>
      </c>
      <c r="AG270" s="10" t="str">
        <f aca="false">IF(A270="","",A270&amp;"_CALC.xlsx")</f>
        <v/>
      </c>
      <c r="AH270" s="10" t="str">
        <f aca="false">IF(A270="","",A270&amp;"_CALC.pdf")</f>
        <v/>
      </c>
      <c r="AI270" s="9"/>
      <c r="AJ270" s="9"/>
      <c r="AK270" s="41"/>
      <c r="AL270" s="41"/>
      <c r="AM270" s="41"/>
      <c r="AN270" s="41"/>
      <c r="AO270" s="41"/>
      <c r="AP270" s="38" t="str">
        <f aca="false">IF(OR(C270="",E270=""),"",IF(E270&lt;=IF(C270="Soldier Pile &amp; Timber Lagging",SG_Criteria!$B$34,SG_Criteria!$B$33),"No ERSS submission",IF(E270&lt;=SG_Criteria!$B$35,"QP(ST)",IF(E270&lt;=SG_Criteria!$B$36,"QP(ST) + AC","Geotechnical building works: QP(Geo) + AC"))))</f>
        <v/>
      </c>
      <c r="AQ270" s="38" t="str">
        <f aca="false">IF(C270="","",IF(LEN(IF(AND(U270&lt;&gt;"",IFERROR(VALUE(MID(U270,2,2)),0)&lt;SG_Criteria!$B$19),"FAIL: grade below C"&amp;SG_Criteria!$B$19&amp;". ","")&amp;IF(AND(LEFT(C270,3)="Con",N(H270)&lt;E270,G270="Kallang Formation (marine clay)"),"NOTE: CBP is not watertight below GWT in marine clay; consider secant / grouting. ","")&amp;IF(AND(C270="Steel Sheet Pile",D270="Permanent"),"NOTE: permanent sheet pile needs corrosion allowance. ","")&amp;IF(AND(F270="Cantilever (no support)",E270&gt;6),"NOTE: cantilever embedded wall &gt; 6 m, check deflection. ","")&amp;IF(AND(S270&lt;&gt;"",T270&lt;&gt;"",S270&gt;T270),"FAIL: deflection exceeds allowable. ",""))=0,"OK",IF(AND(U270&lt;&gt;"",IFERROR(VALUE(MID(U270,2,2)),0)&lt;SG_Criteria!$B$19),"FAIL: grade below C"&amp;SG_Criteria!$B$19&amp;". ","")&amp;IF(AND(LEFT(C270,3)="Con",N(H270)&lt;E270,G270="Kallang Formation (marine clay)"),"NOTE: CBP is not watertight below GWT in marine clay; consider secant / grouting. ","")&amp;IF(AND(C270="Steel Sheet Pile",D270="Permanent"),"NOTE: permanent sheet pile needs corrosion allowance. ","")&amp;IF(AND(F270="Cantilever (no support)",E270&gt;6),"NOTE: cantilever embedded wall &gt; 6 m, check deflection. ","")&amp;IF(AND(S270&lt;&gt;"",T270&lt;&gt;"",S270&gt;T270),"FAIL: deflection exceeds allowable. ","")))</f>
        <v/>
      </c>
      <c r="AR270" s="9"/>
      <c r="AS270" s="9"/>
      <c r="AT270" s="9"/>
      <c r="AU270" s="9"/>
      <c r="AV270" s="9"/>
      <c r="AW270" s="31"/>
      <c r="AX270" s="10" t="str">
        <f aca="false">IF(C270="","",IF(AND(Y270="Approved",ISERROR(SEARCH("FAIL",AQ270))),"Y","N"))</f>
        <v/>
      </c>
      <c r="AY270" s="10" t="str">
        <f aca="false">IF(C270="","",C270&amp;"|"&amp;E270&amp;"|"&amp;F270&amp;"|"&amp;G270&amp;"|"&amp;D270&amp;"|"&amp;AX270)</f>
        <v/>
      </c>
    </row>
    <row r="271" customFormat="false" ht="15" hidden="false" customHeight="false" outlineLevel="0" collapsed="false">
      <c r="A271" s="10" t="str">
        <f aca="false">IF(C271="","","EW-"&amp;IFERROR(VLOOKUP(C271,Lists!$P$4:$Q$22,2,0),"??")&amp;"-D"&amp;TEXT(E271*1000,"0000")&amp;"-"&amp;IFERROR(VLOOKUP(F271,Lists!$S$4:$T$21,2,0),"??")&amp;"-"&amp;IFERROR(VLOOKUP(G271,Lists!$Y$4:$Z$21,2,0),"??")&amp;"-"&amp;IFERROR(VLOOKUP(D271,Lists!$V$4:$W$16,2,0),"??")&amp;"-"&amp;X271)</f>
        <v/>
      </c>
      <c r="B271" s="10" t="str">
        <f aca="false">IF(C271="","",D271&amp;" "&amp;C271&amp;", excavation "&amp;TEXT(E271,"0.0")&amp;" m, "&amp;F271&amp;", "&amp;G271&amp;", "&amp;J271)</f>
        <v/>
      </c>
      <c r="C271" s="9"/>
      <c r="D271" s="9"/>
      <c r="E271" s="43"/>
      <c r="F271" s="9"/>
      <c r="G271" s="9"/>
      <c r="H271" s="43"/>
      <c r="I271" s="40"/>
      <c r="J271" s="9"/>
      <c r="K271" s="9"/>
      <c r="L271" s="9"/>
      <c r="M271" s="43"/>
      <c r="N271" s="43"/>
      <c r="O271" s="9"/>
      <c r="P271" s="9"/>
      <c r="Q271" s="9"/>
      <c r="R271" s="9"/>
      <c r="S271" s="40"/>
      <c r="T271" s="40"/>
      <c r="U271" s="9"/>
      <c r="V271" s="9"/>
      <c r="W271" s="9"/>
      <c r="X271" s="9"/>
      <c r="Y271" s="9"/>
      <c r="Z271" s="9"/>
      <c r="AA271" s="9"/>
      <c r="AB271" s="9"/>
      <c r="AC271" s="10" t="str">
        <f aca="false">IF(A271="","",SG_Criteria!$B$6&amp;SG_Criteria!$B$9&amp;"\"&amp;A271&amp;"\")</f>
        <v/>
      </c>
      <c r="AD271" s="10" t="str">
        <f aca="false">IF(A271="","",A271&amp;"_CAD.dwg")</f>
        <v/>
      </c>
      <c r="AE271" s="10" t="str">
        <f aca="false">IF(A271="","",A271&amp;"_DWG.pdf")</f>
        <v/>
      </c>
      <c r="AF271" s="10" t="str">
        <f aca="false">IF(A271="","",IF(AB271="Y",A271&amp;"_STAAD.std","n/a"))</f>
        <v/>
      </c>
      <c r="AG271" s="10" t="str">
        <f aca="false">IF(A271="","",A271&amp;"_CALC.xlsx")</f>
        <v/>
      </c>
      <c r="AH271" s="10" t="str">
        <f aca="false">IF(A271="","",A271&amp;"_CALC.pdf")</f>
        <v/>
      </c>
      <c r="AI271" s="9"/>
      <c r="AJ271" s="9"/>
      <c r="AK271" s="41"/>
      <c r="AL271" s="41"/>
      <c r="AM271" s="41"/>
      <c r="AN271" s="41"/>
      <c r="AO271" s="41"/>
      <c r="AP271" s="38" t="str">
        <f aca="false">IF(OR(C271="",E271=""),"",IF(E271&lt;=IF(C271="Soldier Pile &amp; Timber Lagging",SG_Criteria!$B$34,SG_Criteria!$B$33),"No ERSS submission",IF(E271&lt;=SG_Criteria!$B$35,"QP(ST)",IF(E271&lt;=SG_Criteria!$B$36,"QP(ST) + AC","Geotechnical building works: QP(Geo) + AC"))))</f>
        <v/>
      </c>
      <c r="AQ271" s="38" t="str">
        <f aca="false">IF(C271="","",IF(LEN(IF(AND(U271&lt;&gt;"",IFERROR(VALUE(MID(U271,2,2)),0)&lt;SG_Criteria!$B$19),"FAIL: grade below C"&amp;SG_Criteria!$B$19&amp;". ","")&amp;IF(AND(LEFT(C271,3)="Con",N(H271)&lt;E271,G271="Kallang Formation (marine clay)"),"NOTE: CBP is not watertight below GWT in marine clay; consider secant / grouting. ","")&amp;IF(AND(C271="Steel Sheet Pile",D271="Permanent"),"NOTE: permanent sheet pile needs corrosion allowance. ","")&amp;IF(AND(F271="Cantilever (no support)",E271&gt;6),"NOTE: cantilever embedded wall &gt; 6 m, check deflection. ","")&amp;IF(AND(S271&lt;&gt;"",T271&lt;&gt;"",S271&gt;T271),"FAIL: deflection exceeds allowable. ",""))=0,"OK",IF(AND(U271&lt;&gt;"",IFERROR(VALUE(MID(U271,2,2)),0)&lt;SG_Criteria!$B$19),"FAIL: grade below C"&amp;SG_Criteria!$B$19&amp;". ","")&amp;IF(AND(LEFT(C271,3)="Con",N(H271)&lt;E271,G271="Kallang Formation (marine clay)"),"NOTE: CBP is not watertight below GWT in marine clay; consider secant / grouting. ","")&amp;IF(AND(C271="Steel Sheet Pile",D271="Permanent"),"NOTE: permanent sheet pile needs corrosion allowance. ","")&amp;IF(AND(F271="Cantilever (no support)",E271&gt;6),"NOTE: cantilever embedded wall &gt; 6 m, check deflection. ","")&amp;IF(AND(S271&lt;&gt;"",T271&lt;&gt;"",S271&gt;T271),"FAIL: deflection exceeds allowable. ","")))</f>
        <v/>
      </c>
      <c r="AR271" s="9"/>
      <c r="AS271" s="9"/>
      <c r="AT271" s="9"/>
      <c r="AU271" s="9"/>
      <c r="AV271" s="9"/>
      <c r="AW271" s="31"/>
      <c r="AX271" s="10" t="str">
        <f aca="false">IF(C271="","",IF(AND(Y271="Approved",ISERROR(SEARCH("FAIL",AQ271))),"Y","N"))</f>
        <v/>
      </c>
      <c r="AY271" s="10" t="str">
        <f aca="false">IF(C271="","",C271&amp;"|"&amp;E271&amp;"|"&amp;F271&amp;"|"&amp;G271&amp;"|"&amp;D271&amp;"|"&amp;AX271)</f>
        <v/>
      </c>
    </row>
    <row r="272" customFormat="false" ht="15" hidden="false" customHeight="false" outlineLevel="0" collapsed="false">
      <c r="A272" s="10" t="str">
        <f aca="false">IF(C272="","","EW-"&amp;IFERROR(VLOOKUP(C272,Lists!$P$4:$Q$22,2,0),"??")&amp;"-D"&amp;TEXT(E272*1000,"0000")&amp;"-"&amp;IFERROR(VLOOKUP(F272,Lists!$S$4:$T$21,2,0),"??")&amp;"-"&amp;IFERROR(VLOOKUP(G272,Lists!$Y$4:$Z$21,2,0),"??")&amp;"-"&amp;IFERROR(VLOOKUP(D272,Lists!$V$4:$W$16,2,0),"??")&amp;"-"&amp;X272)</f>
        <v/>
      </c>
      <c r="B272" s="10" t="str">
        <f aca="false">IF(C272="","",D272&amp;" "&amp;C272&amp;", excavation "&amp;TEXT(E272,"0.0")&amp;" m, "&amp;F272&amp;", "&amp;G272&amp;", "&amp;J272)</f>
        <v/>
      </c>
      <c r="C272" s="9"/>
      <c r="D272" s="9"/>
      <c r="E272" s="43"/>
      <c r="F272" s="9"/>
      <c r="G272" s="9"/>
      <c r="H272" s="43"/>
      <c r="I272" s="40"/>
      <c r="J272" s="9"/>
      <c r="K272" s="9"/>
      <c r="L272" s="9"/>
      <c r="M272" s="43"/>
      <c r="N272" s="43"/>
      <c r="O272" s="9"/>
      <c r="P272" s="9"/>
      <c r="Q272" s="9"/>
      <c r="R272" s="9"/>
      <c r="S272" s="40"/>
      <c r="T272" s="40"/>
      <c r="U272" s="9"/>
      <c r="V272" s="9"/>
      <c r="W272" s="9"/>
      <c r="X272" s="9"/>
      <c r="Y272" s="9"/>
      <c r="Z272" s="9"/>
      <c r="AA272" s="9"/>
      <c r="AB272" s="9"/>
      <c r="AC272" s="10" t="str">
        <f aca="false">IF(A272="","",SG_Criteria!$B$6&amp;SG_Criteria!$B$9&amp;"\"&amp;A272&amp;"\")</f>
        <v/>
      </c>
      <c r="AD272" s="10" t="str">
        <f aca="false">IF(A272="","",A272&amp;"_CAD.dwg")</f>
        <v/>
      </c>
      <c r="AE272" s="10" t="str">
        <f aca="false">IF(A272="","",A272&amp;"_DWG.pdf")</f>
        <v/>
      </c>
      <c r="AF272" s="10" t="str">
        <f aca="false">IF(A272="","",IF(AB272="Y",A272&amp;"_STAAD.std","n/a"))</f>
        <v/>
      </c>
      <c r="AG272" s="10" t="str">
        <f aca="false">IF(A272="","",A272&amp;"_CALC.xlsx")</f>
        <v/>
      </c>
      <c r="AH272" s="10" t="str">
        <f aca="false">IF(A272="","",A272&amp;"_CALC.pdf")</f>
        <v/>
      </c>
      <c r="AI272" s="9"/>
      <c r="AJ272" s="9"/>
      <c r="AK272" s="41"/>
      <c r="AL272" s="41"/>
      <c r="AM272" s="41"/>
      <c r="AN272" s="41"/>
      <c r="AO272" s="41"/>
      <c r="AP272" s="38" t="str">
        <f aca="false">IF(OR(C272="",E272=""),"",IF(E272&lt;=IF(C272="Soldier Pile &amp; Timber Lagging",SG_Criteria!$B$34,SG_Criteria!$B$33),"No ERSS submission",IF(E272&lt;=SG_Criteria!$B$35,"QP(ST)",IF(E272&lt;=SG_Criteria!$B$36,"QP(ST) + AC","Geotechnical building works: QP(Geo) + AC"))))</f>
        <v/>
      </c>
      <c r="AQ272" s="38" t="str">
        <f aca="false">IF(C272="","",IF(LEN(IF(AND(U272&lt;&gt;"",IFERROR(VALUE(MID(U272,2,2)),0)&lt;SG_Criteria!$B$19),"FAIL: grade below C"&amp;SG_Criteria!$B$19&amp;". ","")&amp;IF(AND(LEFT(C272,3)="Con",N(H272)&lt;E272,G272="Kallang Formation (marine clay)"),"NOTE: CBP is not watertight below GWT in marine clay; consider secant / grouting. ","")&amp;IF(AND(C272="Steel Sheet Pile",D272="Permanent"),"NOTE: permanent sheet pile needs corrosion allowance. ","")&amp;IF(AND(F272="Cantilever (no support)",E272&gt;6),"NOTE: cantilever embedded wall &gt; 6 m, check deflection. ","")&amp;IF(AND(S272&lt;&gt;"",T272&lt;&gt;"",S272&gt;T272),"FAIL: deflection exceeds allowable. ",""))=0,"OK",IF(AND(U272&lt;&gt;"",IFERROR(VALUE(MID(U272,2,2)),0)&lt;SG_Criteria!$B$19),"FAIL: grade below C"&amp;SG_Criteria!$B$19&amp;". ","")&amp;IF(AND(LEFT(C272,3)="Con",N(H272)&lt;E272,G272="Kallang Formation (marine clay)"),"NOTE: CBP is not watertight below GWT in marine clay; consider secant / grouting. ","")&amp;IF(AND(C272="Steel Sheet Pile",D272="Permanent"),"NOTE: permanent sheet pile needs corrosion allowance. ","")&amp;IF(AND(F272="Cantilever (no support)",E272&gt;6),"NOTE: cantilever embedded wall &gt; 6 m, check deflection. ","")&amp;IF(AND(S272&lt;&gt;"",T272&lt;&gt;"",S272&gt;T272),"FAIL: deflection exceeds allowable. ","")))</f>
        <v/>
      </c>
      <c r="AR272" s="9"/>
      <c r="AS272" s="9"/>
      <c r="AT272" s="9"/>
      <c r="AU272" s="9"/>
      <c r="AV272" s="9"/>
      <c r="AW272" s="31"/>
      <c r="AX272" s="10" t="str">
        <f aca="false">IF(C272="","",IF(AND(Y272="Approved",ISERROR(SEARCH("FAIL",AQ272))),"Y","N"))</f>
        <v/>
      </c>
      <c r="AY272" s="10" t="str">
        <f aca="false">IF(C272="","",C272&amp;"|"&amp;E272&amp;"|"&amp;F272&amp;"|"&amp;G272&amp;"|"&amp;D272&amp;"|"&amp;AX272)</f>
        <v/>
      </c>
    </row>
    <row r="273" customFormat="false" ht="15" hidden="false" customHeight="false" outlineLevel="0" collapsed="false">
      <c r="A273" s="10" t="str">
        <f aca="false">IF(C273="","","EW-"&amp;IFERROR(VLOOKUP(C273,Lists!$P$4:$Q$22,2,0),"??")&amp;"-D"&amp;TEXT(E273*1000,"0000")&amp;"-"&amp;IFERROR(VLOOKUP(F273,Lists!$S$4:$T$21,2,0),"??")&amp;"-"&amp;IFERROR(VLOOKUP(G273,Lists!$Y$4:$Z$21,2,0),"??")&amp;"-"&amp;IFERROR(VLOOKUP(D273,Lists!$V$4:$W$16,2,0),"??")&amp;"-"&amp;X273)</f>
        <v/>
      </c>
      <c r="B273" s="10" t="str">
        <f aca="false">IF(C273="","",D273&amp;" "&amp;C273&amp;", excavation "&amp;TEXT(E273,"0.0")&amp;" m, "&amp;F273&amp;", "&amp;G273&amp;", "&amp;J273)</f>
        <v/>
      </c>
      <c r="C273" s="9"/>
      <c r="D273" s="9"/>
      <c r="E273" s="43"/>
      <c r="F273" s="9"/>
      <c r="G273" s="9"/>
      <c r="H273" s="43"/>
      <c r="I273" s="40"/>
      <c r="J273" s="9"/>
      <c r="K273" s="9"/>
      <c r="L273" s="9"/>
      <c r="M273" s="43"/>
      <c r="N273" s="43"/>
      <c r="O273" s="9"/>
      <c r="P273" s="9"/>
      <c r="Q273" s="9"/>
      <c r="R273" s="9"/>
      <c r="S273" s="40"/>
      <c r="T273" s="40"/>
      <c r="U273" s="9"/>
      <c r="V273" s="9"/>
      <c r="W273" s="9"/>
      <c r="X273" s="9"/>
      <c r="Y273" s="9"/>
      <c r="Z273" s="9"/>
      <c r="AA273" s="9"/>
      <c r="AB273" s="9"/>
      <c r="AC273" s="10" t="str">
        <f aca="false">IF(A273="","",SG_Criteria!$B$6&amp;SG_Criteria!$B$9&amp;"\"&amp;A273&amp;"\")</f>
        <v/>
      </c>
      <c r="AD273" s="10" t="str">
        <f aca="false">IF(A273="","",A273&amp;"_CAD.dwg")</f>
        <v/>
      </c>
      <c r="AE273" s="10" t="str">
        <f aca="false">IF(A273="","",A273&amp;"_DWG.pdf")</f>
        <v/>
      </c>
      <c r="AF273" s="10" t="str">
        <f aca="false">IF(A273="","",IF(AB273="Y",A273&amp;"_STAAD.std","n/a"))</f>
        <v/>
      </c>
      <c r="AG273" s="10" t="str">
        <f aca="false">IF(A273="","",A273&amp;"_CALC.xlsx")</f>
        <v/>
      </c>
      <c r="AH273" s="10" t="str">
        <f aca="false">IF(A273="","",A273&amp;"_CALC.pdf")</f>
        <v/>
      </c>
      <c r="AI273" s="9"/>
      <c r="AJ273" s="9"/>
      <c r="AK273" s="41"/>
      <c r="AL273" s="41"/>
      <c r="AM273" s="41"/>
      <c r="AN273" s="41"/>
      <c r="AO273" s="41"/>
      <c r="AP273" s="38" t="str">
        <f aca="false">IF(OR(C273="",E273=""),"",IF(E273&lt;=IF(C273="Soldier Pile &amp; Timber Lagging",SG_Criteria!$B$34,SG_Criteria!$B$33),"No ERSS submission",IF(E273&lt;=SG_Criteria!$B$35,"QP(ST)",IF(E273&lt;=SG_Criteria!$B$36,"QP(ST) + AC","Geotechnical building works: QP(Geo) + AC"))))</f>
        <v/>
      </c>
      <c r="AQ273" s="38" t="str">
        <f aca="false">IF(C273="","",IF(LEN(IF(AND(U273&lt;&gt;"",IFERROR(VALUE(MID(U273,2,2)),0)&lt;SG_Criteria!$B$19),"FAIL: grade below C"&amp;SG_Criteria!$B$19&amp;". ","")&amp;IF(AND(LEFT(C273,3)="Con",N(H273)&lt;E273,G273="Kallang Formation (marine clay)"),"NOTE: CBP is not watertight below GWT in marine clay; consider secant / grouting. ","")&amp;IF(AND(C273="Steel Sheet Pile",D273="Permanent"),"NOTE: permanent sheet pile needs corrosion allowance. ","")&amp;IF(AND(F273="Cantilever (no support)",E273&gt;6),"NOTE: cantilever embedded wall &gt; 6 m, check deflection. ","")&amp;IF(AND(S273&lt;&gt;"",T273&lt;&gt;"",S273&gt;T273),"FAIL: deflection exceeds allowable. ",""))=0,"OK",IF(AND(U273&lt;&gt;"",IFERROR(VALUE(MID(U273,2,2)),0)&lt;SG_Criteria!$B$19),"FAIL: grade below C"&amp;SG_Criteria!$B$19&amp;". ","")&amp;IF(AND(LEFT(C273,3)="Con",N(H273)&lt;E273,G273="Kallang Formation (marine clay)"),"NOTE: CBP is not watertight below GWT in marine clay; consider secant / grouting. ","")&amp;IF(AND(C273="Steel Sheet Pile",D273="Permanent"),"NOTE: permanent sheet pile needs corrosion allowance. ","")&amp;IF(AND(F273="Cantilever (no support)",E273&gt;6),"NOTE: cantilever embedded wall &gt; 6 m, check deflection. ","")&amp;IF(AND(S273&lt;&gt;"",T273&lt;&gt;"",S273&gt;T273),"FAIL: deflection exceeds allowable. ","")))</f>
        <v/>
      </c>
      <c r="AR273" s="9"/>
      <c r="AS273" s="9"/>
      <c r="AT273" s="9"/>
      <c r="AU273" s="9"/>
      <c r="AV273" s="9"/>
      <c r="AW273" s="31"/>
      <c r="AX273" s="10" t="str">
        <f aca="false">IF(C273="","",IF(AND(Y273="Approved",ISERROR(SEARCH("FAIL",AQ273))),"Y","N"))</f>
        <v/>
      </c>
      <c r="AY273" s="10" t="str">
        <f aca="false">IF(C273="","",C273&amp;"|"&amp;E273&amp;"|"&amp;F273&amp;"|"&amp;G273&amp;"|"&amp;D273&amp;"|"&amp;AX273)</f>
        <v/>
      </c>
    </row>
    <row r="274" customFormat="false" ht="15" hidden="false" customHeight="false" outlineLevel="0" collapsed="false">
      <c r="A274" s="10" t="str">
        <f aca="false">IF(C274="","","EW-"&amp;IFERROR(VLOOKUP(C274,Lists!$P$4:$Q$22,2,0),"??")&amp;"-D"&amp;TEXT(E274*1000,"0000")&amp;"-"&amp;IFERROR(VLOOKUP(F274,Lists!$S$4:$T$21,2,0),"??")&amp;"-"&amp;IFERROR(VLOOKUP(G274,Lists!$Y$4:$Z$21,2,0),"??")&amp;"-"&amp;IFERROR(VLOOKUP(D274,Lists!$V$4:$W$16,2,0),"??")&amp;"-"&amp;X274)</f>
        <v/>
      </c>
      <c r="B274" s="10" t="str">
        <f aca="false">IF(C274="","",D274&amp;" "&amp;C274&amp;", excavation "&amp;TEXT(E274,"0.0")&amp;" m, "&amp;F274&amp;", "&amp;G274&amp;", "&amp;J274)</f>
        <v/>
      </c>
      <c r="C274" s="9"/>
      <c r="D274" s="9"/>
      <c r="E274" s="43"/>
      <c r="F274" s="9"/>
      <c r="G274" s="9"/>
      <c r="H274" s="43"/>
      <c r="I274" s="40"/>
      <c r="J274" s="9"/>
      <c r="K274" s="9"/>
      <c r="L274" s="9"/>
      <c r="M274" s="43"/>
      <c r="N274" s="43"/>
      <c r="O274" s="9"/>
      <c r="P274" s="9"/>
      <c r="Q274" s="9"/>
      <c r="R274" s="9"/>
      <c r="S274" s="40"/>
      <c r="T274" s="40"/>
      <c r="U274" s="9"/>
      <c r="V274" s="9"/>
      <c r="W274" s="9"/>
      <c r="X274" s="9"/>
      <c r="Y274" s="9"/>
      <c r="Z274" s="9"/>
      <c r="AA274" s="9"/>
      <c r="AB274" s="9"/>
      <c r="AC274" s="10" t="str">
        <f aca="false">IF(A274="","",SG_Criteria!$B$6&amp;SG_Criteria!$B$9&amp;"\"&amp;A274&amp;"\")</f>
        <v/>
      </c>
      <c r="AD274" s="10" t="str">
        <f aca="false">IF(A274="","",A274&amp;"_CAD.dwg")</f>
        <v/>
      </c>
      <c r="AE274" s="10" t="str">
        <f aca="false">IF(A274="","",A274&amp;"_DWG.pdf")</f>
        <v/>
      </c>
      <c r="AF274" s="10" t="str">
        <f aca="false">IF(A274="","",IF(AB274="Y",A274&amp;"_STAAD.std","n/a"))</f>
        <v/>
      </c>
      <c r="AG274" s="10" t="str">
        <f aca="false">IF(A274="","",A274&amp;"_CALC.xlsx")</f>
        <v/>
      </c>
      <c r="AH274" s="10" t="str">
        <f aca="false">IF(A274="","",A274&amp;"_CALC.pdf")</f>
        <v/>
      </c>
      <c r="AI274" s="9"/>
      <c r="AJ274" s="9"/>
      <c r="AK274" s="41"/>
      <c r="AL274" s="41"/>
      <c r="AM274" s="41"/>
      <c r="AN274" s="41"/>
      <c r="AO274" s="41"/>
      <c r="AP274" s="38" t="str">
        <f aca="false">IF(OR(C274="",E274=""),"",IF(E274&lt;=IF(C274="Soldier Pile &amp; Timber Lagging",SG_Criteria!$B$34,SG_Criteria!$B$33),"No ERSS submission",IF(E274&lt;=SG_Criteria!$B$35,"QP(ST)",IF(E274&lt;=SG_Criteria!$B$36,"QP(ST) + AC","Geotechnical building works: QP(Geo) + AC"))))</f>
        <v/>
      </c>
      <c r="AQ274" s="38" t="str">
        <f aca="false">IF(C274="","",IF(LEN(IF(AND(U274&lt;&gt;"",IFERROR(VALUE(MID(U274,2,2)),0)&lt;SG_Criteria!$B$19),"FAIL: grade below C"&amp;SG_Criteria!$B$19&amp;". ","")&amp;IF(AND(LEFT(C274,3)="Con",N(H274)&lt;E274,G274="Kallang Formation (marine clay)"),"NOTE: CBP is not watertight below GWT in marine clay; consider secant / grouting. ","")&amp;IF(AND(C274="Steel Sheet Pile",D274="Permanent"),"NOTE: permanent sheet pile needs corrosion allowance. ","")&amp;IF(AND(F274="Cantilever (no support)",E274&gt;6),"NOTE: cantilever embedded wall &gt; 6 m, check deflection. ","")&amp;IF(AND(S274&lt;&gt;"",T274&lt;&gt;"",S274&gt;T274),"FAIL: deflection exceeds allowable. ",""))=0,"OK",IF(AND(U274&lt;&gt;"",IFERROR(VALUE(MID(U274,2,2)),0)&lt;SG_Criteria!$B$19),"FAIL: grade below C"&amp;SG_Criteria!$B$19&amp;". ","")&amp;IF(AND(LEFT(C274,3)="Con",N(H274)&lt;E274,G274="Kallang Formation (marine clay)"),"NOTE: CBP is not watertight below GWT in marine clay; consider secant / grouting. ","")&amp;IF(AND(C274="Steel Sheet Pile",D274="Permanent"),"NOTE: permanent sheet pile needs corrosion allowance. ","")&amp;IF(AND(F274="Cantilever (no support)",E274&gt;6),"NOTE: cantilever embedded wall &gt; 6 m, check deflection. ","")&amp;IF(AND(S274&lt;&gt;"",T274&lt;&gt;"",S274&gt;T274),"FAIL: deflection exceeds allowable. ","")))</f>
        <v/>
      </c>
      <c r="AR274" s="9"/>
      <c r="AS274" s="9"/>
      <c r="AT274" s="9"/>
      <c r="AU274" s="9"/>
      <c r="AV274" s="9"/>
      <c r="AW274" s="31"/>
      <c r="AX274" s="10" t="str">
        <f aca="false">IF(C274="","",IF(AND(Y274="Approved",ISERROR(SEARCH("FAIL",AQ274))),"Y","N"))</f>
        <v/>
      </c>
      <c r="AY274" s="10" t="str">
        <f aca="false">IF(C274="","",C274&amp;"|"&amp;E274&amp;"|"&amp;F274&amp;"|"&amp;G274&amp;"|"&amp;D274&amp;"|"&amp;AX274)</f>
        <v/>
      </c>
    </row>
    <row r="275" customFormat="false" ht="15" hidden="false" customHeight="false" outlineLevel="0" collapsed="false">
      <c r="A275" s="10" t="str">
        <f aca="false">IF(C275="","","EW-"&amp;IFERROR(VLOOKUP(C275,Lists!$P$4:$Q$22,2,0),"??")&amp;"-D"&amp;TEXT(E275*1000,"0000")&amp;"-"&amp;IFERROR(VLOOKUP(F275,Lists!$S$4:$T$21,2,0),"??")&amp;"-"&amp;IFERROR(VLOOKUP(G275,Lists!$Y$4:$Z$21,2,0),"??")&amp;"-"&amp;IFERROR(VLOOKUP(D275,Lists!$V$4:$W$16,2,0),"??")&amp;"-"&amp;X275)</f>
        <v/>
      </c>
      <c r="B275" s="10" t="str">
        <f aca="false">IF(C275="","",D275&amp;" "&amp;C275&amp;", excavation "&amp;TEXT(E275,"0.0")&amp;" m, "&amp;F275&amp;", "&amp;G275&amp;", "&amp;J275)</f>
        <v/>
      </c>
      <c r="C275" s="9"/>
      <c r="D275" s="9"/>
      <c r="E275" s="43"/>
      <c r="F275" s="9"/>
      <c r="G275" s="9"/>
      <c r="H275" s="43"/>
      <c r="I275" s="40"/>
      <c r="J275" s="9"/>
      <c r="K275" s="9"/>
      <c r="L275" s="9"/>
      <c r="M275" s="43"/>
      <c r="N275" s="43"/>
      <c r="O275" s="9"/>
      <c r="P275" s="9"/>
      <c r="Q275" s="9"/>
      <c r="R275" s="9"/>
      <c r="S275" s="40"/>
      <c r="T275" s="40"/>
      <c r="U275" s="9"/>
      <c r="V275" s="9"/>
      <c r="W275" s="9"/>
      <c r="X275" s="9"/>
      <c r="Y275" s="9"/>
      <c r="Z275" s="9"/>
      <c r="AA275" s="9"/>
      <c r="AB275" s="9"/>
      <c r="AC275" s="10" t="str">
        <f aca="false">IF(A275="","",SG_Criteria!$B$6&amp;SG_Criteria!$B$9&amp;"\"&amp;A275&amp;"\")</f>
        <v/>
      </c>
      <c r="AD275" s="10" t="str">
        <f aca="false">IF(A275="","",A275&amp;"_CAD.dwg")</f>
        <v/>
      </c>
      <c r="AE275" s="10" t="str">
        <f aca="false">IF(A275="","",A275&amp;"_DWG.pdf")</f>
        <v/>
      </c>
      <c r="AF275" s="10" t="str">
        <f aca="false">IF(A275="","",IF(AB275="Y",A275&amp;"_STAAD.std","n/a"))</f>
        <v/>
      </c>
      <c r="AG275" s="10" t="str">
        <f aca="false">IF(A275="","",A275&amp;"_CALC.xlsx")</f>
        <v/>
      </c>
      <c r="AH275" s="10" t="str">
        <f aca="false">IF(A275="","",A275&amp;"_CALC.pdf")</f>
        <v/>
      </c>
      <c r="AI275" s="9"/>
      <c r="AJ275" s="9"/>
      <c r="AK275" s="41"/>
      <c r="AL275" s="41"/>
      <c r="AM275" s="41"/>
      <c r="AN275" s="41"/>
      <c r="AO275" s="41"/>
      <c r="AP275" s="38" t="str">
        <f aca="false">IF(OR(C275="",E275=""),"",IF(E275&lt;=IF(C275="Soldier Pile &amp; Timber Lagging",SG_Criteria!$B$34,SG_Criteria!$B$33),"No ERSS submission",IF(E275&lt;=SG_Criteria!$B$35,"QP(ST)",IF(E275&lt;=SG_Criteria!$B$36,"QP(ST) + AC","Geotechnical building works: QP(Geo) + AC"))))</f>
        <v/>
      </c>
      <c r="AQ275" s="38" t="str">
        <f aca="false">IF(C275="","",IF(LEN(IF(AND(U275&lt;&gt;"",IFERROR(VALUE(MID(U275,2,2)),0)&lt;SG_Criteria!$B$19),"FAIL: grade below C"&amp;SG_Criteria!$B$19&amp;". ","")&amp;IF(AND(LEFT(C275,3)="Con",N(H275)&lt;E275,G275="Kallang Formation (marine clay)"),"NOTE: CBP is not watertight below GWT in marine clay; consider secant / grouting. ","")&amp;IF(AND(C275="Steel Sheet Pile",D275="Permanent"),"NOTE: permanent sheet pile needs corrosion allowance. ","")&amp;IF(AND(F275="Cantilever (no support)",E275&gt;6),"NOTE: cantilever embedded wall &gt; 6 m, check deflection. ","")&amp;IF(AND(S275&lt;&gt;"",T275&lt;&gt;"",S275&gt;T275),"FAIL: deflection exceeds allowable. ",""))=0,"OK",IF(AND(U275&lt;&gt;"",IFERROR(VALUE(MID(U275,2,2)),0)&lt;SG_Criteria!$B$19),"FAIL: grade below C"&amp;SG_Criteria!$B$19&amp;". ","")&amp;IF(AND(LEFT(C275,3)="Con",N(H275)&lt;E275,G275="Kallang Formation (marine clay)"),"NOTE: CBP is not watertight below GWT in marine clay; consider secant / grouting. ","")&amp;IF(AND(C275="Steel Sheet Pile",D275="Permanent"),"NOTE: permanent sheet pile needs corrosion allowance. ","")&amp;IF(AND(F275="Cantilever (no support)",E275&gt;6),"NOTE: cantilever embedded wall &gt; 6 m, check deflection. ","")&amp;IF(AND(S275&lt;&gt;"",T275&lt;&gt;"",S275&gt;T275),"FAIL: deflection exceeds allowable. ","")))</f>
        <v/>
      </c>
      <c r="AR275" s="9"/>
      <c r="AS275" s="9"/>
      <c r="AT275" s="9"/>
      <c r="AU275" s="9"/>
      <c r="AV275" s="9"/>
      <c r="AW275" s="31"/>
      <c r="AX275" s="10" t="str">
        <f aca="false">IF(C275="","",IF(AND(Y275="Approved",ISERROR(SEARCH("FAIL",AQ275))),"Y","N"))</f>
        <v/>
      </c>
      <c r="AY275" s="10" t="str">
        <f aca="false">IF(C275="","",C275&amp;"|"&amp;E275&amp;"|"&amp;F275&amp;"|"&amp;G275&amp;"|"&amp;D275&amp;"|"&amp;AX275)</f>
        <v/>
      </c>
    </row>
    <row r="276" customFormat="false" ht="15" hidden="false" customHeight="false" outlineLevel="0" collapsed="false">
      <c r="A276" s="10" t="str">
        <f aca="false">IF(C276="","","EW-"&amp;IFERROR(VLOOKUP(C276,Lists!$P$4:$Q$22,2,0),"??")&amp;"-D"&amp;TEXT(E276*1000,"0000")&amp;"-"&amp;IFERROR(VLOOKUP(F276,Lists!$S$4:$T$21,2,0),"??")&amp;"-"&amp;IFERROR(VLOOKUP(G276,Lists!$Y$4:$Z$21,2,0),"??")&amp;"-"&amp;IFERROR(VLOOKUP(D276,Lists!$V$4:$W$16,2,0),"??")&amp;"-"&amp;X276)</f>
        <v/>
      </c>
      <c r="B276" s="10" t="str">
        <f aca="false">IF(C276="","",D276&amp;" "&amp;C276&amp;", excavation "&amp;TEXT(E276,"0.0")&amp;" m, "&amp;F276&amp;", "&amp;G276&amp;", "&amp;J276)</f>
        <v/>
      </c>
      <c r="C276" s="9"/>
      <c r="D276" s="9"/>
      <c r="E276" s="43"/>
      <c r="F276" s="9"/>
      <c r="G276" s="9"/>
      <c r="H276" s="43"/>
      <c r="I276" s="40"/>
      <c r="J276" s="9"/>
      <c r="K276" s="9"/>
      <c r="L276" s="9"/>
      <c r="M276" s="43"/>
      <c r="N276" s="43"/>
      <c r="O276" s="9"/>
      <c r="P276" s="9"/>
      <c r="Q276" s="9"/>
      <c r="R276" s="9"/>
      <c r="S276" s="40"/>
      <c r="T276" s="40"/>
      <c r="U276" s="9"/>
      <c r="V276" s="9"/>
      <c r="W276" s="9"/>
      <c r="X276" s="9"/>
      <c r="Y276" s="9"/>
      <c r="Z276" s="9"/>
      <c r="AA276" s="9"/>
      <c r="AB276" s="9"/>
      <c r="AC276" s="10" t="str">
        <f aca="false">IF(A276="","",SG_Criteria!$B$6&amp;SG_Criteria!$B$9&amp;"\"&amp;A276&amp;"\")</f>
        <v/>
      </c>
      <c r="AD276" s="10" t="str">
        <f aca="false">IF(A276="","",A276&amp;"_CAD.dwg")</f>
        <v/>
      </c>
      <c r="AE276" s="10" t="str">
        <f aca="false">IF(A276="","",A276&amp;"_DWG.pdf")</f>
        <v/>
      </c>
      <c r="AF276" s="10" t="str">
        <f aca="false">IF(A276="","",IF(AB276="Y",A276&amp;"_STAAD.std","n/a"))</f>
        <v/>
      </c>
      <c r="AG276" s="10" t="str">
        <f aca="false">IF(A276="","",A276&amp;"_CALC.xlsx")</f>
        <v/>
      </c>
      <c r="AH276" s="10" t="str">
        <f aca="false">IF(A276="","",A276&amp;"_CALC.pdf")</f>
        <v/>
      </c>
      <c r="AI276" s="9"/>
      <c r="AJ276" s="9"/>
      <c r="AK276" s="41"/>
      <c r="AL276" s="41"/>
      <c r="AM276" s="41"/>
      <c r="AN276" s="41"/>
      <c r="AO276" s="41"/>
      <c r="AP276" s="38" t="str">
        <f aca="false">IF(OR(C276="",E276=""),"",IF(E276&lt;=IF(C276="Soldier Pile &amp; Timber Lagging",SG_Criteria!$B$34,SG_Criteria!$B$33),"No ERSS submission",IF(E276&lt;=SG_Criteria!$B$35,"QP(ST)",IF(E276&lt;=SG_Criteria!$B$36,"QP(ST) + AC","Geotechnical building works: QP(Geo) + AC"))))</f>
        <v/>
      </c>
      <c r="AQ276" s="38" t="str">
        <f aca="false">IF(C276="","",IF(LEN(IF(AND(U276&lt;&gt;"",IFERROR(VALUE(MID(U276,2,2)),0)&lt;SG_Criteria!$B$19),"FAIL: grade below C"&amp;SG_Criteria!$B$19&amp;". ","")&amp;IF(AND(LEFT(C276,3)="Con",N(H276)&lt;E276,G276="Kallang Formation (marine clay)"),"NOTE: CBP is not watertight below GWT in marine clay; consider secant / grouting. ","")&amp;IF(AND(C276="Steel Sheet Pile",D276="Permanent"),"NOTE: permanent sheet pile needs corrosion allowance. ","")&amp;IF(AND(F276="Cantilever (no support)",E276&gt;6),"NOTE: cantilever embedded wall &gt; 6 m, check deflection. ","")&amp;IF(AND(S276&lt;&gt;"",T276&lt;&gt;"",S276&gt;T276),"FAIL: deflection exceeds allowable. ",""))=0,"OK",IF(AND(U276&lt;&gt;"",IFERROR(VALUE(MID(U276,2,2)),0)&lt;SG_Criteria!$B$19),"FAIL: grade below C"&amp;SG_Criteria!$B$19&amp;". ","")&amp;IF(AND(LEFT(C276,3)="Con",N(H276)&lt;E276,G276="Kallang Formation (marine clay)"),"NOTE: CBP is not watertight below GWT in marine clay; consider secant / grouting. ","")&amp;IF(AND(C276="Steel Sheet Pile",D276="Permanent"),"NOTE: permanent sheet pile needs corrosion allowance. ","")&amp;IF(AND(F276="Cantilever (no support)",E276&gt;6),"NOTE: cantilever embedded wall &gt; 6 m, check deflection. ","")&amp;IF(AND(S276&lt;&gt;"",T276&lt;&gt;"",S276&gt;T276),"FAIL: deflection exceeds allowable. ","")))</f>
        <v/>
      </c>
      <c r="AR276" s="9"/>
      <c r="AS276" s="9"/>
      <c r="AT276" s="9"/>
      <c r="AU276" s="9"/>
      <c r="AV276" s="9"/>
      <c r="AW276" s="31"/>
      <c r="AX276" s="10" t="str">
        <f aca="false">IF(C276="","",IF(AND(Y276="Approved",ISERROR(SEARCH("FAIL",AQ276))),"Y","N"))</f>
        <v/>
      </c>
      <c r="AY276" s="10" t="str">
        <f aca="false">IF(C276="","",C276&amp;"|"&amp;E276&amp;"|"&amp;F276&amp;"|"&amp;G276&amp;"|"&amp;D276&amp;"|"&amp;AX276)</f>
        <v/>
      </c>
    </row>
    <row r="277" customFormat="false" ht="15" hidden="false" customHeight="false" outlineLevel="0" collapsed="false">
      <c r="A277" s="10" t="str">
        <f aca="false">IF(C277="","","EW-"&amp;IFERROR(VLOOKUP(C277,Lists!$P$4:$Q$22,2,0),"??")&amp;"-D"&amp;TEXT(E277*1000,"0000")&amp;"-"&amp;IFERROR(VLOOKUP(F277,Lists!$S$4:$T$21,2,0),"??")&amp;"-"&amp;IFERROR(VLOOKUP(G277,Lists!$Y$4:$Z$21,2,0),"??")&amp;"-"&amp;IFERROR(VLOOKUP(D277,Lists!$V$4:$W$16,2,0),"??")&amp;"-"&amp;X277)</f>
        <v/>
      </c>
      <c r="B277" s="10" t="str">
        <f aca="false">IF(C277="","",D277&amp;" "&amp;C277&amp;", excavation "&amp;TEXT(E277,"0.0")&amp;" m, "&amp;F277&amp;", "&amp;G277&amp;", "&amp;J277)</f>
        <v/>
      </c>
      <c r="C277" s="9"/>
      <c r="D277" s="9"/>
      <c r="E277" s="43"/>
      <c r="F277" s="9"/>
      <c r="G277" s="9"/>
      <c r="H277" s="43"/>
      <c r="I277" s="40"/>
      <c r="J277" s="9"/>
      <c r="K277" s="9"/>
      <c r="L277" s="9"/>
      <c r="M277" s="43"/>
      <c r="N277" s="43"/>
      <c r="O277" s="9"/>
      <c r="P277" s="9"/>
      <c r="Q277" s="9"/>
      <c r="R277" s="9"/>
      <c r="S277" s="40"/>
      <c r="T277" s="40"/>
      <c r="U277" s="9"/>
      <c r="V277" s="9"/>
      <c r="W277" s="9"/>
      <c r="X277" s="9"/>
      <c r="Y277" s="9"/>
      <c r="Z277" s="9"/>
      <c r="AA277" s="9"/>
      <c r="AB277" s="9"/>
      <c r="AC277" s="10" t="str">
        <f aca="false">IF(A277="","",SG_Criteria!$B$6&amp;SG_Criteria!$B$9&amp;"\"&amp;A277&amp;"\")</f>
        <v/>
      </c>
      <c r="AD277" s="10" t="str">
        <f aca="false">IF(A277="","",A277&amp;"_CAD.dwg")</f>
        <v/>
      </c>
      <c r="AE277" s="10" t="str">
        <f aca="false">IF(A277="","",A277&amp;"_DWG.pdf")</f>
        <v/>
      </c>
      <c r="AF277" s="10" t="str">
        <f aca="false">IF(A277="","",IF(AB277="Y",A277&amp;"_STAAD.std","n/a"))</f>
        <v/>
      </c>
      <c r="AG277" s="10" t="str">
        <f aca="false">IF(A277="","",A277&amp;"_CALC.xlsx")</f>
        <v/>
      </c>
      <c r="AH277" s="10" t="str">
        <f aca="false">IF(A277="","",A277&amp;"_CALC.pdf")</f>
        <v/>
      </c>
      <c r="AI277" s="9"/>
      <c r="AJ277" s="9"/>
      <c r="AK277" s="41"/>
      <c r="AL277" s="41"/>
      <c r="AM277" s="41"/>
      <c r="AN277" s="41"/>
      <c r="AO277" s="41"/>
      <c r="AP277" s="38" t="str">
        <f aca="false">IF(OR(C277="",E277=""),"",IF(E277&lt;=IF(C277="Soldier Pile &amp; Timber Lagging",SG_Criteria!$B$34,SG_Criteria!$B$33),"No ERSS submission",IF(E277&lt;=SG_Criteria!$B$35,"QP(ST)",IF(E277&lt;=SG_Criteria!$B$36,"QP(ST) + AC","Geotechnical building works: QP(Geo) + AC"))))</f>
        <v/>
      </c>
      <c r="AQ277" s="38" t="str">
        <f aca="false">IF(C277="","",IF(LEN(IF(AND(U277&lt;&gt;"",IFERROR(VALUE(MID(U277,2,2)),0)&lt;SG_Criteria!$B$19),"FAIL: grade below C"&amp;SG_Criteria!$B$19&amp;". ","")&amp;IF(AND(LEFT(C277,3)="Con",N(H277)&lt;E277,G277="Kallang Formation (marine clay)"),"NOTE: CBP is not watertight below GWT in marine clay; consider secant / grouting. ","")&amp;IF(AND(C277="Steel Sheet Pile",D277="Permanent"),"NOTE: permanent sheet pile needs corrosion allowance. ","")&amp;IF(AND(F277="Cantilever (no support)",E277&gt;6),"NOTE: cantilever embedded wall &gt; 6 m, check deflection. ","")&amp;IF(AND(S277&lt;&gt;"",T277&lt;&gt;"",S277&gt;T277),"FAIL: deflection exceeds allowable. ",""))=0,"OK",IF(AND(U277&lt;&gt;"",IFERROR(VALUE(MID(U277,2,2)),0)&lt;SG_Criteria!$B$19),"FAIL: grade below C"&amp;SG_Criteria!$B$19&amp;". ","")&amp;IF(AND(LEFT(C277,3)="Con",N(H277)&lt;E277,G277="Kallang Formation (marine clay)"),"NOTE: CBP is not watertight below GWT in marine clay; consider secant / grouting. ","")&amp;IF(AND(C277="Steel Sheet Pile",D277="Permanent"),"NOTE: permanent sheet pile needs corrosion allowance. ","")&amp;IF(AND(F277="Cantilever (no support)",E277&gt;6),"NOTE: cantilever embedded wall &gt; 6 m, check deflection. ","")&amp;IF(AND(S277&lt;&gt;"",T277&lt;&gt;"",S277&gt;T277),"FAIL: deflection exceeds allowable. ","")))</f>
        <v/>
      </c>
      <c r="AR277" s="9"/>
      <c r="AS277" s="9"/>
      <c r="AT277" s="9"/>
      <c r="AU277" s="9"/>
      <c r="AV277" s="9"/>
      <c r="AW277" s="31"/>
      <c r="AX277" s="10" t="str">
        <f aca="false">IF(C277="","",IF(AND(Y277="Approved",ISERROR(SEARCH("FAIL",AQ277))),"Y","N"))</f>
        <v/>
      </c>
      <c r="AY277" s="10" t="str">
        <f aca="false">IF(C277="","",C277&amp;"|"&amp;E277&amp;"|"&amp;F277&amp;"|"&amp;G277&amp;"|"&amp;D277&amp;"|"&amp;AX277)</f>
        <v/>
      </c>
    </row>
    <row r="278" customFormat="false" ht="15" hidden="false" customHeight="false" outlineLevel="0" collapsed="false">
      <c r="A278" s="10" t="str">
        <f aca="false">IF(C278="","","EW-"&amp;IFERROR(VLOOKUP(C278,Lists!$P$4:$Q$22,2,0),"??")&amp;"-D"&amp;TEXT(E278*1000,"0000")&amp;"-"&amp;IFERROR(VLOOKUP(F278,Lists!$S$4:$T$21,2,0),"??")&amp;"-"&amp;IFERROR(VLOOKUP(G278,Lists!$Y$4:$Z$21,2,0),"??")&amp;"-"&amp;IFERROR(VLOOKUP(D278,Lists!$V$4:$W$16,2,0),"??")&amp;"-"&amp;X278)</f>
        <v/>
      </c>
      <c r="B278" s="10" t="str">
        <f aca="false">IF(C278="","",D278&amp;" "&amp;C278&amp;", excavation "&amp;TEXT(E278,"0.0")&amp;" m, "&amp;F278&amp;", "&amp;G278&amp;", "&amp;J278)</f>
        <v/>
      </c>
      <c r="C278" s="9"/>
      <c r="D278" s="9"/>
      <c r="E278" s="43"/>
      <c r="F278" s="9"/>
      <c r="G278" s="9"/>
      <c r="H278" s="43"/>
      <c r="I278" s="40"/>
      <c r="J278" s="9"/>
      <c r="K278" s="9"/>
      <c r="L278" s="9"/>
      <c r="M278" s="43"/>
      <c r="N278" s="43"/>
      <c r="O278" s="9"/>
      <c r="P278" s="9"/>
      <c r="Q278" s="9"/>
      <c r="R278" s="9"/>
      <c r="S278" s="40"/>
      <c r="T278" s="40"/>
      <c r="U278" s="9"/>
      <c r="V278" s="9"/>
      <c r="W278" s="9"/>
      <c r="X278" s="9"/>
      <c r="Y278" s="9"/>
      <c r="Z278" s="9"/>
      <c r="AA278" s="9"/>
      <c r="AB278" s="9"/>
      <c r="AC278" s="10" t="str">
        <f aca="false">IF(A278="","",SG_Criteria!$B$6&amp;SG_Criteria!$B$9&amp;"\"&amp;A278&amp;"\")</f>
        <v/>
      </c>
      <c r="AD278" s="10" t="str">
        <f aca="false">IF(A278="","",A278&amp;"_CAD.dwg")</f>
        <v/>
      </c>
      <c r="AE278" s="10" t="str">
        <f aca="false">IF(A278="","",A278&amp;"_DWG.pdf")</f>
        <v/>
      </c>
      <c r="AF278" s="10" t="str">
        <f aca="false">IF(A278="","",IF(AB278="Y",A278&amp;"_STAAD.std","n/a"))</f>
        <v/>
      </c>
      <c r="AG278" s="10" t="str">
        <f aca="false">IF(A278="","",A278&amp;"_CALC.xlsx")</f>
        <v/>
      </c>
      <c r="AH278" s="10" t="str">
        <f aca="false">IF(A278="","",A278&amp;"_CALC.pdf")</f>
        <v/>
      </c>
      <c r="AI278" s="9"/>
      <c r="AJ278" s="9"/>
      <c r="AK278" s="41"/>
      <c r="AL278" s="41"/>
      <c r="AM278" s="41"/>
      <c r="AN278" s="41"/>
      <c r="AO278" s="41"/>
      <c r="AP278" s="38" t="str">
        <f aca="false">IF(OR(C278="",E278=""),"",IF(E278&lt;=IF(C278="Soldier Pile &amp; Timber Lagging",SG_Criteria!$B$34,SG_Criteria!$B$33),"No ERSS submission",IF(E278&lt;=SG_Criteria!$B$35,"QP(ST)",IF(E278&lt;=SG_Criteria!$B$36,"QP(ST) + AC","Geotechnical building works: QP(Geo) + AC"))))</f>
        <v/>
      </c>
      <c r="AQ278" s="38" t="str">
        <f aca="false">IF(C278="","",IF(LEN(IF(AND(U278&lt;&gt;"",IFERROR(VALUE(MID(U278,2,2)),0)&lt;SG_Criteria!$B$19),"FAIL: grade below C"&amp;SG_Criteria!$B$19&amp;". ","")&amp;IF(AND(LEFT(C278,3)="Con",N(H278)&lt;E278,G278="Kallang Formation (marine clay)"),"NOTE: CBP is not watertight below GWT in marine clay; consider secant / grouting. ","")&amp;IF(AND(C278="Steel Sheet Pile",D278="Permanent"),"NOTE: permanent sheet pile needs corrosion allowance. ","")&amp;IF(AND(F278="Cantilever (no support)",E278&gt;6),"NOTE: cantilever embedded wall &gt; 6 m, check deflection. ","")&amp;IF(AND(S278&lt;&gt;"",T278&lt;&gt;"",S278&gt;T278),"FAIL: deflection exceeds allowable. ",""))=0,"OK",IF(AND(U278&lt;&gt;"",IFERROR(VALUE(MID(U278,2,2)),0)&lt;SG_Criteria!$B$19),"FAIL: grade below C"&amp;SG_Criteria!$B$19&amp;". ","")&amp;IF(AND(LEFT(C278,3)="Con",N(H278)&lt;E278,G278="Kallang Formation (marine clay)"),"NOTE: CBP is not watertight below GWT in marine clay; consider secant / grouting. ","")&amp;IF(AND(C278="Steel Sheet Pile",D278="Permanent"),"NOTE: permanent sheet pile needs corrosion allowance. ","")&amp;IF(AND(F278="Cantilever (no support)",E278&gt;6),"NOTE: cantilever embedded wall &gt; 6 m, check deflection. ","")&amp;IF(AND(S278&lt;&gt;"",T278&lt;&gt;"",S278&gt;T278),"FAIL: deflection exceeds allowable. ","")))</f>
        <v/>
      </c>
      <c r="AR278" s="9"/>
      <c r="AS278" s="9"/>
      <c r="AT278" s="9"/>
      <c r="AU278" s="9"/>
      <c r="AV278" s="9"/>
      <c r="AW278" s="31"/>
      <c r="AX278" s="10" t="str">
        <f aca="false">IF(C278="","",IF(AND(Y278="Approved",ISERROR(SEARCH("FAIL",AQ278))),"Y","N"))</f>
        <v/>
      </c>
      <c r="AY278" s="10" t="str">
        <f aca="false">IF(C278="","",C278&amp;"|"&amp;E278&amp;"|"&amp;F278&amp;"|"&amp;G278&amp;"|"&amp;D278&amp;"|"&amp;AX278)</f>
        <v/>
      </c>
    </row>
    <row r="279" customFormat="false" ht="15" hidden="false" customHeight="false" outlineLevel="0" collapsed="false">
      <c r="A279" s="10" t="str">
        <f aca="false">IF(C279="","","EW-"&amp;IFERROR(VLOOKUP(C279,Lists!$P$4:$Q$22,2,0),"??")&amp;"-D"&amp;TEXT(E279*1000,"0000")&amp;"-"&amp;IFERROR(VLOOKUP(F279,Lists!$S$4:$T$21,2,0),"??")&amp;"-"&amp;IFERROR(VLOOKUP(G279,Lists!$Y$4:$Z$21,2,0),"??")&amp;"-"&amp;IFERROR(VLOOKUP(D279,Lists!$V$4:$W$16,2,0),"??")&amp;"-"&amp;X279)</f>
        <v/>
      </c>
      <c r="B279" s="10" t="str">
        <f aca="false">IF(C279="","",D279&amp;" "&amp;C279&amp;", excavation "&amp;TEXT(E279,"0.0")&amp;" m, "&amp;F279&amp;", "&amp;G279&amp;", "&amp;J279)</f>
        <v/>
      </c>
      <c r="C279" s="9"/>
      <c r="D279" s="9"/>
      <c r="E279" s="43"/>
      <c r="F279" s="9"/>
      <c r="G279" s="9"/>
      <c r="H279" s="43"/>
      <c r="I279" s="40"/>
      <c r="J279" s="9"/>
      <c r="K279" s="9"/>
      <c r="L279" s="9"/>
      <c r="M279" s="43"/>
      <c r="N279" s="43"/>
      <c r="O279" s="9"/>
      <c r="P279" s="9"/>
      <c r="Q279" s="9"/>
      <c r="R279" s="9"/>
      <c r="S279" s="40"/>
      <c r="T279" s="40"/>
      <c r="U279" s="9"/>
      <c r="V279" s="9"/>
      <c r="W279" s="9"/>
      <c r="X279" s="9"/>
      <c r="Y279" s="9"/>
      <c r="Z279" s="9"/>
      <c r="AA279" s="9"/>
      <c r="AB279" s="9"/>
      <c r="AC279" s="10" t="str">
        <f aca="false">IF(A279="","",SG_Criteria!$B$6&amp;SG_Criteria!$B$9&amp;"\"&amp;A279&amp;"\")</f>
        <v/>
      </c>
      <c r="AD279" s="10" t="str">
        <f aca="false">IF(A279="","",A279&amp;"_CAD.dwg")</f>
        <v/>
      </c>
      <c r="AE279" s="10" t="str">
        <f aca="false">IF(A279="","",A279&amp;"_DWG.pdf")</f>
        <v/>
      </c>
      <c r="AF279" s="10" t="str">
        <f aca="false">IF(A279="","",IF(AB279="Y",A279&amp;"_STAAD.std","n/a"))</f>
        <v/>
      </c>
      <c r="AG279" s="10" t="str">
        <f aca="false">IF(A279="","",A279&amp;"_CALC.xlsx")</f>
        <v/>
      </c>
      <c r="AH279" s="10" t="str">
        <f aca="false">IF(A279="","",A279&amp;"_CALC.pdf")</f>
        <v/>
      </c>
      <c r="AI279" s="9"/>
      <c r="AJ279" s="9"/>
      <c r="AK279" s="41"/>
      <c r="AL279" s="41"/>
      <c r="AM279" s="41"/>
      <c r="AN279" s="41"/>
      <c r="AO279" s="41"/>
      <c r="AP279" s="38" t="str">
        <f aca="false">IF(OR(C279="",E279=""),"",IF(E279&lt;=IF(C279="Soldier Pile &amp; Timber Lagging",SG_Criteria!$B$34,SG_Criteria!$B$33),"No ERSS submission",IF(E279&lt;=SG_Criteria!$B$35,"QP(ST)",IF(E279&lt;=SG_Criteria!$B$36,"QP(ST) + AC","Geotechnical building works: QP(Geo) + AC"))))</f>
        <v/>
      </c>
      <c r="AQ279" s="38" t="str">
        <f aca="false">IF(C279="","",IF(LEN(IF(AND(U279&lt;&gt;"",IFERROR(VALUE(MID(U279,2,2)),0)&lt;SG_Criteria!$B$19),"FAIL: grade below C"&amp;SG_Criteria!$B$19&amp;". ","")&amp;IF(AND(LEFT(C279,3)="Con",N(H279)&lt;E279,G279="Kallang Formation (marine clay)"),"NOTE: CBP is not watertight below GWT in marine clay; consider secant / grouting. ","")&amp;IF(AND(C279="Steel Sheet Pile",D279="Permanent"),"NOTE: permanent sheet pile needs corrosion allowance. ","")&amp;IF(AND(F279="Cantilever (no support)",E279&gt;6),"NOTE: cantilever embedded wall &gt; 6 m, check deflection. ","")&amp;IF(AND(S279&lt;&gt;"",T279&lt;&gt;"",S279&gt;T279),"FAIL: deflection exceeds allowable. ",""))=0,"OK",IF(AND(U279&lt;&gt;"",IFERROR(VALUE(MID(U279,2,2)),0)&lt;SG_Criteria!$B$19),"FAIL: grade below C"&amp;SG_Criteria!$B$19&amp;". ","")&amp;IF(AND(LEFT(C279,3)="Con",N(H279)&lt;E279,G279="Kallang Formation (marine clay)"),"NOTE: CBP is not watertight below GWT in marine clay; consider secant / grouting. ","")&amp;IF(AND(C279="Steel Sheet Pile",D279="Permanent"),"NOTE: permanent sheet pile needs corrosion allowance. ","")&amp;IF(AND(F279="Cantilever (no support)",E279&gt;6),"NOTE: cantilever embedded wall &gt; 6 m, check deflection. ","")&amp;IF(AND(S279&lt;&gt;"",T279&lt;&gt;"",S279&gt;T279),"FAIL: deflection exceeds allowable. ","")))</f>
        <v/>
      </c>
      <c r="AR279" s="9"/>
      <c r="AS279" s="9"/>
      <c r="AT279" s="9"/>
      <c r="AU279" s="9"/>
      <c r="AV279" s="9"/>
      <c r="AW279" s="31"/>
      <c r="AX279" s="10" t="str">
        <f aca="false">IF(C279="","",IF(AND(Y279="Approved",ISERROR(SEARCH("FAIL",AQ279))),"Y","N"))</f>
        <v/>
      </c>
      <c r="AY279" s="10" t="str">
        <f aca="false">IF(C279="","",C279&amp;"|"&amp;E279&amp;"|"&amp;F279&amp;"|"&amp;G279&amp;"|"&amp;D279&amp;"|"&amp;AX279)</f>
        <v/>
      </c>
    </row>
    <row r="280" customFormat="false" ht="15" hidden="false" customHeight="false" outlineLevel="0" collapsed="false">
      <c r="A280" s="10" t="str">
        <f aca="false">IF(C280="","","EW-"&amp;IFERROR(VLOOKUP(C280,Lists!$P$4:$Q$22,2,0),"??")&amp;"-D"&amp;TEXT(E280*1000,"0000")&amp;"-"&amp;IFERROR(VLOOKUP(F280,Lists!$S$4:$T$21,2,0),"??")&amp;"-"&amp;IFERROR(VLOOKUP(G280,Lists!$Y$4:$Z$21,2,0),"??")&amp;"-"&amp;IFERROR(VLOOKUP(D280,Lists!$V$4:$W$16,2,0),"??")&amp;"-"&amp;X280)</f>
        <v/>
      </c>
      <c r="B280" s="10" t="str">
        <f aca="false">IF(C280="","",D280&amp;" "&amp;C280&amp;", excavation "&amp;TEXT(E280,"0.0")&amp;" m, "&amp;F280&amp;", "&amp;G280&amp;", "&amp;J280)</f>
        <v/>
      </c>
      <c r="C280" s="9"/>
      <c r="D280" s="9"/>
      <c r="E280" s="43"/>
      <c r="F280" s="9"/>
      <c r="G280" s="9"/>
      <c r="H280" s="43"/>
      <c r="I280" s="40"/>
      <c r="J280" s="9"/>
      <c r="K280" s="9"/>
      <c r="L280" s="9"/>
      <c r="M280" s="43"/>
      <c r="N280" s="43"/>
      <c r="O280" s="9"/>
      <c r="P280" s="9"/>
      <c r="Q280" s="9"/>
      <c r="R280" s="9"/>
      <c r="S280" s="40"/>
      <c r="T280" s="40"/>
      <c r="U280" s="9"/>
      <c r="V280" s="9"/>
      <c r="W280" s="9"/>
      <c r="X280" s="9"/>
      <c r="Y280" s="9"/>
      <c r="Z280" s="9"/>
      <c r="AA280" s="9"/>
      <c r="AB280" s="9"/>
      <c r="AC280" s="10" t="str">
        <f aca="false">IF(A280="","",SG_Criteria!$B$6&amp;SG_Criteria!$B$9&amp;"\"&amp;A280&amp;"\")</f>
        <v/>
      </c>
      <c r="AD280" s="10" t="str">
        <f aca="false">IF(A280="","",A280&amp;"_CAD.dwg")</f>
        <v/>
      </c>
      <c r="AE280" s="10" t="str">
        <f aca="false">IF(A280="","",A280&amp;"_DWG.pdf")</f>
        <v/>
      </c>
      <c r="AF280" s="10" t="str">
        <f aca="false">IF(A280="","",IF(AB280="Y",A280&amp;"_STAAD.std","n/a"))</f>
        <v/>
      </c>
      <c r="AG280" s="10" t="str">
        <f aca="false">IF(A280="","",A280&amp;"_CALC.xlsx")</f>
        <v/>
      </c>
      <c r="AH280" s="10" t="str">
        <f aca="false">IF(A280="","",A280&amp;"_CALC.pdf")</f>
        <v/>
      </c>
      <c r="AI280" s="9"/>
      <c r="AJ280" s="9"/>
      <c r="AK280" s="41"/>
      <c r="AL280" s="41"/>
      <c r="AM280" s="41"/>
      <c r="AN280" s="41"/>
      <c r="AO280" s="41"/>
      <c r="AP280" s="38" t="str">
        <f aca="false">IF(OR(C280="",E280=""),"",IF(E280&lt;=IF(C280="Soldier Pile &amp; Timber Lagging",SG_Criteria!$B$34,SG_Criteria!$B$33),"No ERSS submission",IF(E280&lt;=SG_Criteria!$B$35,"QP(ST)",IF(E280&lt;=SG_Criteria!$B$36,"QP(ST) + AC","Geotechnical building works: QP(Geo) + AC"))))</f>
        <v/>
      </c>
      <c r="AQ280" s="38" t="str">
        <f aca="false">IF(C280="","",IF(LEN(IF(AND(U280&lt;&gt;"",IFERROR(VALUE(MID(U280,2,2)),0)&lt;SG_Criteria!$B$19),"FAIL: grade below C"&amp;SG_Criteria!$B$19&amp;". ","")&amp;IF(AND(LEFT(C280,3)="Con",N(H280)&lt;E280,G280="Kallang Formation (marine clay)"),"NOTE: CBP is not watertight below GWT in marine clay; consider secant / grouting. ","")&amp;IF(AND(C280="Steel Sheet Pile",D280="Permanent"),"NOTE: permanent sheet pile needs corrosion allowance. ","")&amp;IF(AND(F280="Cantilever (no support)",E280&gt;6),"NOTE: cantilever embedded wall &gt; 6 m, check deflection. ","")&amp;IF(AND(S280&lt;&gt;"",T280&lt;&gt;"",S280&gt;T280),"FAIL: deflection exceeds allowable. ",""))=0,"OK",IF(AND(U280&lt;&gt;"",IFERROR(VALUE(MID(U280,2,2)),0)&lt;SG_Criteria!$B$19),"FAIL: grade below C"&amp;SG_Criteria!$B$19&amp;". ","")&amp;IF(AND(LEFT(C280,3)="Con",N(H280)&lt;E280,G280="Kallang Formation (marine clay)"),"NOTE: CBP is not watertight below GWT in marine clay; consider secant / grouting. ","")&amp;IF(AND(C280="Steel Sheet Pile",D280="Permanent"),"NOTE: permanent sheet pile needs corrosion allowance. ","")&amp;IF(AND(F280="Cantilever (no support)",E280&gt;6),"NOTE: cantilever embedded wall &gt; 6 m, check deflection. ","")&amp;IF(AND(S280&lt;&gt;"",T280&lt;&gt;"",S280&gt;T280),"FAIL: deflection exceeds allowable. ","")))</f>
        <v/>
      </c>
      <c r="AR280" s="9"/>
      <c r="AS280" s="9"/>
      <c r="AT280" s="9"/>
      <c r="AU280" s="9"/>
      <c r="AV280" s="9"/>
      <c r="AW280" s="31"/>
      <c r="AX280" s="10" t="str">
        <f aca="false">IF(C280="","",IF(AND(Y280="Approved",ISERROR(SEARCH("FAIL",AQ280))),"Y","N"))</f>
        <v/>
      </c>
      <c r="AY280" s="10" t="str">
        <f aca="false">IF(C280="","",C280&amp;"|"&amp;E280&amp;"|"&amp;F280&amp;"|"&amp;G280&amp;"|"&amp;D280&amp;"|"&amp;AX280)</f>
        <v/>
      </c>
    </row>
    <row r="281" customFormat="false" ht="15" hidden="false" customHeight="false" outlineLevel="0" collapsed="false">
      <c r="A281" s="10" t="str">
        <f aca="false">IF(C281="","","EW-"&amp;IFERROR(VLOOKUP(C281,Lists!$P$4:$Q$22,2,0),"??")&amp;"-D"&amp;TEXT(E281*1000,"0000")&amp;"-"&amp;IFERROR(VLOOKUP(F281,Lists!$S$4:$T$21,2,0),"??")&amp;"-"&amp;IFERROR(VLOOKUP(G281,Lists!$Y$4:$Z$21,2,0),"??")&amp;"-"&amp;IFERROR(VLOOKUP(D281,Lists!$V$4:$W$16,2,0),"??")&amp;"-"&amp;X281)</f>
        <v/>
      </c>
      <c r="B281" s="10" t="str">
        <f aca="false">IF(C281="","",D281&amp;" "&amp;C281&amp;", excavation "&amp;TEXT(E281,"0.0")&amp;" m, "&amp;F281&amp;", "&amp;G281&amp;", "&amp;J281)</f>
        <v/>
      </c>
      <c r="C281" s="9"/>
      <c r="D281" s="9"/>
      <c r="E281" s="43"/>
      <c r="F281" s="9"/>
      <c r="G281" s="9"/>
      <c r="H281" s="43"/>
      <c r="I281" s="40"/>
      <c r="J281" s="9"/>
      <c r="K281" s="9"/>
      <c r="L281" s="9"/>
      <c r="M281" s="43"/>
      <c r="N281" s="43"/>
      <c r="O281" s="9"/>
      <c r="P281" s="9"/>
      <c r="Q281" s="9"/>
      <c r="R281" s="9"/>
      <c r="S281" s="40"/>
      <c r="T281" s="40"/>
      <c r="U281" s="9"/>
      <c r="V281" s="9"/>
      <c r="W281" s="9"/>
      <c r="X281" s="9"/>
      <c r="Y281" s="9"/>
      <c r="Z281" s="9"/>
      <c r="AA281" s="9"/>
      <c r="AB281" s="9"/>
      <c r="AC281" s="10" t="str">
        <f aca="false">IF(A281="","",SG_Criteria!$B$6&amp;SG_Criteria!$B$9&amp;"\"&amp;A281&amp;"\")</f>
        <v/>
      </c>
      <c r="AD281" s="10" t="str">
        <f aca="false">IF(A281="","",A281&amp;"_CAD.dwg")</f>
        <v/>
      </c>
      <c r="AE281" s="10" t="str">
        <f aca="false">IF(A281="","",A281&amp;"_DWG.pdf")</f>
        <v/>
      </c>
      <c r="AF281" s="10" t="str">
        <f aca="false">IF(A281="","",IF(AB281="Y",A281&amp;"_STAAD.std","n/a"))</f>
        <v/>
      </c>
      <c r="AG281" s="10" t="str">
        <f aca="false">IF(A281="","",A281&amp;"_CALC.xlsx")</f>
        <v/>
      </c>
      <c r="AH281" s="10" t="str">
        <f aca="false">IF(A281="","",A281&amp;"_CALC.pdf")</f>
        <v/>
      </c>
      <c r="AI281" s="9"/>
      <c r="AJ281" s="9"/>
      <c r="AK281" s="41"/>
      <c r="AL281" s="41"/>
      <c r="AM281" s="41"/>
      <c r="AN281" s="41"/>
      <c r="AO281" s="41"/>
      <c r="AP281" s="38" t="str">
        <f aca="false">IF(OR(C281="",E281=""),"",IF(E281&lt;=IF(C281="Soldier Pile &amp; Timber Lagging",SG_Criteria!$B$34,SG_Criteria!$B$33),"No ERSS submission",IF(E281&lt;=SG_Criteria!$B$35,"QP(ST)",IF(E281&lt;=SG_Criteria!$B$36,"QP(ST) + AC","Geotechnical building works: QP(Geo) + AC"))))</f>
        <v/>
      </c>
      <c r="AQ281" s="38" t="str">
        <f aca="false">IF(C281="","",IF(LEN(IF(AND(U281&lt;&gt;"",IFERROR(VALUE(MID(U281,2,2)),0)&lt;SG_Criteria!$B$19),"FAIL: grade below C"&amp;SG_Criteria!$B$19&amp;". ","")&amp;IF(AND(LEFT(C281,3)="Con",N(H281)&lt;E281,G281="Kallang Formation (marine clay)"),"NOTE: CBP is not watertight below GWT in marine clay; consider secant / grouting. ","")&amp;IF(AND(C281="Steel Sheet Pile",D281="Permanent"),"NOTE: permanent sheet pile needs corrosion allowance. ","")&amp;IF(AND(F281="Cantilever (no support)",E281&gt;6),"NOTE: cantilever embedded wall &gt; 6 m, check deflection. ","")&amp;IF(AND(S281&lt;&gt;"",T281&lt;&gt;"",S281&gt;T281),"FAIL: deflection exceeds allowable. ",""))=0,"OK",IF(AND(U281&lt;&gt;"",IFERROR(VALUE(MID(U281,2,2)),0)&lt;SG_Criteria!$B$19),"FAIL: grade below C"&amp;SG_Criteria!$B$19&amp;". ","")&amp;IF(AND(LEFT(C281,3)="Con",N(H281)&lt;E281,G281="Kallang Formation (marine clay)"),"NOTE: CBP is not watertight below GWT in marine clay; consider secant / grouting. ","")&amp;IF(AND(C281="Steel Sheet Pile",D281="Permanent"),"NOTE: permanent sheet pile needs corrosion allowance. ","")&amp;IF(AND(F281="Cantilever (no support)",E281&gt;6),"NOTE: cantilever embedded wall &gt; 6 m, check deflection. ","")&amp;IF(AND(S281&lt;&gt;"",T281&lt;&gt;"",S281&gt;T281),"FAIL: deflection exceeds allowable. ","")))</f>
        <v/>
      </c>
      <c r="AR281" s="9"/>
      <c r="AS281" s="9"/>
      <c r="AT281" s="9"/>
      <c r="AU281" s="9"/>
      <c r="AV281" s="9"/>
      <c r="AW281" s="31"/>
      <c r="AX281" s="10" t="str">
        <f aca="false">IF(C281="","",IF(AND(Y281="Approved",ISERROR(SEARCH("FAIL",AQ281))),"Y","N"))</f>
        <v/>
      </c>
      <c r="AY281" s="10" t="str">
        <f aca="false">IF(C281="","",C281&amp;"|"&amp;E281&amp;"|"&amp;F281&amp;"|"&amp;G281&amp;"|"&amp;D281&amp;"|"&amp;AX281)</f>
        <v/>
      </c>
    </row>
    <row r="282" customFormat="false" ht="15" hidden="false" customHeight="false" outlineLevel="0" collapsed="false">
      <c r="A282" s="10" t="str">
        <f aca="false">IF(C282="","","EW-"&amp;IFERROR(VLOOKUP(C282,Lists!$P$4:$Q$22,2,0),"??")&amp;"-D"&amp;TEXT(E282*1000,"0000")&amp;"-"&amp;IFERROR(VLOOKUP(F282,Lists!$S$4:$T$21,2,0),"??")&amp;"-"&amp;IFERROR(VLOOKUP(G282,Lists!$Y$4:$Z$21,2,0),"??")&amp;"-"&amp;IFERROR(VLOOKUP(D282,Lists!$V$4:$W$16,2,0),"??")&amp;"-"&amp;X282)</f>
        <v/>
      </c>
      <c r="B282" s="10" t="str">
        <f aca="false">IF(C282="","",D282&amp;" "&amp;C282&amp;", excavation "&amp;TEXT(E282,"0.0")&amp;" m, "&amp;F282&amp;", "&amp;G282&amp;", "&amp;J282)</f>
        <v/>
      </c>
      <c r="C282" s="9"/>
      <c r="D282" s="9"/>
      <c r="E282" s="43"/>
      <c r="F282" s="9"/>
      <c r="G282" s="9"/>
      <c r="H282" s="43"/>
      <c r="I282" s="40"/>
      <c r="J282" s="9"/>
      <c r="K282" s="9"/>
      <c r="L282" s="9"/>
      <c r="M282" s="43"/>
      <c r="N282" s="43"/>
      <c r="O282" s="9"/>
      <c r="P282" s="9"/>
      <c r="Q282" s="9"/>
      <c r="R282" s="9"/>
      <c r="S282" s="40"/>
      <c r="T282" s="40"/>
      <c r="U282" s="9"/>
      <c r="V282" s="9"/>
      <c r="W282" s="9"/>
      <c r="X282" s="9"/>
      <c r="Y282" s="9"/>
      <c r="Z282" s="9"/>
      <c r="AA282" s="9"/>
      <c r="AB282" s="9"/>
      <c r="AC282" s="10" t="str">
        <f aca="false">IF(A282="","",SG_Criteria!$B$6&amp;SG_Criteria!$B$9&amp;"\"&amp;A282&amp;"\")</f>
        <v/>
      </c>
      <c r="AD282" s="10" t="str">
        <f aca="false">IF(A282="","",A282&amp;"_CAD.dwg")</f>
        <v/>
      </c>
      <c r="AE282" s="10" t="str">
        <f aca="false">IF(A282="","",A282&amp;"_DWG.pdf")</f>
        <v/>
      </c>
      <c r="AF282" s="10" t="str">
        <f aca="false">IF(A282="","",IF(AB282="Y",A282&amp;"_STAAD.std","n/a"))</f>
        <v/>
      </c>
      <c r="AG282" s="10" t="str">
        <f aca="false">IF(A282="","",A282&amp;"_CALC.xlsx")</f>
        <v/>
      </c>
      <c r="AH282" s="10" t="str">
        <f aca="false">IF(A282="","",A282&amp;"_CALC.pdf")</f>
        <v/>
      </c>
      <c r="AI282" s="9"/>
      <c r="AJ282" s="9"/>
      <c r="AK282" s="41"/>
      <c r="AL282" s="41"/>
      <c r="AM282" s="41"/>
      <c r="AN282" s="41"/>
      <c r="AO282" s="41"/>
      <c r="AP282" s="38" t="str">
        <f aca="false">IF(OR(C282="",E282=""),"",IF(E282&lt;=IF(C282="Soldier Pile &amp; Timber Lagging",SG_Criteria!$B$34,SG_Criteria!$B$33),"No ERSS submission",IF(E282&lt;=SG_Criteria!$B$35,"QP(ST)",IF(E282&lt;=SG_Criteria!$B$36,"QP(ST) + AC","Geotechnical building works: QP(Geo) + AC"))))</f>
        <v/>
      </c>
      <c r="AQ282" s="38" t="str">
        <f aca="false">IF(C282="","",IF(LEN(IF(AND(U282&lt;&gt;"",IFERROR(VALUE(MID(U282,2,2)),0)&lt;SG_Criteria!$B$19),"FAIL: grade below C"&amp;SG_Criteria!$B$19&amp;". ","")&amp;IF(AND(LEFT(C282,3)="Con",N(H282)&lt;E282,G282="Kallang Formation (marine clay)"),"NOTE: CBP is not watertight below GWT in marine clay; consider secant / grouting. ","")&amp;IF(AND(C282="Steel Sheet Pile",D282="Permanent"),"NOTE: permanent sheet pile needs corrosion allowance. ","")&amp;IF(AND(F282="Cantilever (no support)",E282&gt;6),"NOTE: cantilever embedded wall &gt; 6 m, check deflection. ","")&amp;IF(AND(S282&lt;&gt;"",T282&lt;&gt;"",S282&gt;T282),"FAIL: deflection exceeds allowable. ",""))=0,"OK",IF(AND(U282&lt;&gt;"",IFERROR(VALUE(MID(U282,2,2)),0)&lt;SG_Criteria!$B$19),"FAIL: grade below C"&amp;SG_Criteria!$B$19&amp;". ","")&amp;IF(AND(LEFT(C282,3)="Con",N(H282)&lt;E282,G282="Kallang Formation (marine clay)"),"NOTE: CBP is not watertight below GWT in marine clay; consider secant / grouting. ","")&amp;IF(AND(C282="Steel Sheet Pile",D282="Permanent"),"NOTE: permanent sheet pile needs corrosion allowance. ","")&amp;IF(AND(F282="Cantilever (no support)",E282&gt;6),"NOTE: cantilever embedded wall &gt; 6 m, check deflection. ","")&amp;IF(AND(S282&lt;&gt;"",T282&lt;&gt;"",S282&gt;T282),"FAIL: deflection exceeds allowable. ","")))</f>
        <v/>
      </c>
      <c r="AR282" s="9"/>
      <c r="AS282" s="9"/>
      <c r="AT282" s="9"/>
      <c r="AU282" s="9"/>
      <c r="AV282" s="9"/>
      <c r="AW282" s="31"/>
      <c r="AX282" s="10" t="str">
        <f aca="false">IF(C282="","",IF(AND(Y282="Approved",ISERROR(SEARCH("FAIL",AQ282))),"Y","N"))</f>
        <v/>
      </c>
      <c r="AY282" s="10" t="str">
        <f aca="false">IF(C282="","",C282&amp;"|"&amp;E282&amp;"|"&amp;F282&amp;"|"&amp;G282&amp;"|"&amp;D282&amp;"|"&amp;AX282)</f>
        <v/>
      </c>
    </row>
    <row r="283" customFormat="false" ht="15" hidden="false" customHeight="false" outlineLevel="0" collapsed="false">
      <c r="A283" s="10" t="str">
        <f aca="false">IF(C283="","","EW-"&amp;IFERROR(VLOOKUP(C283,Lists!$P$4:$Q$22,2,0),"??")&amp;"-D"&amp;TEXT(E283*1000,"0000")&amp;"-"&amp;IFERROR(VLOOKUP(F283,Lists!$S$4:$T$21,2,0),"??")&amp;"-"&amp;IFERROR(VLOOKUP(G283,Lists!$Y$4:$Z$21,2,0),"??")&amp;"-"&amp;IFERROR(VLOOKUP(D283,Lists!$V$4:$W$16,2,0),"??")&amp;"-"&amp;X283)</f>
        <v/>
      </c>
      <c r="B283" s="10" t="str">
        <f aca="false">IF(C283="","",D283&amp;" "&amp;C283&amp;", excavation "&amp;TEXT(E283,"0.0")&amp;" m, "&amp;F283&amp;", "&amp;G283&amp;", "&amp;J283)</f>
        <v/>
      </c>
      <c r="C283" s="9"/>
      <c r="D283" s="9"/>
      <c r="E283" s="43"/>
      <c r="F283" s="9"/>
      <c r="G283" s="9"/>
      <c r="H283" s="43"/>
      <c r="I283" s="40"/>
      <c r="J283" s="9"/>
      <c r="K283" s="9"/>
      <c r="L283" s="9"/>
      <c r="M283" s="43"/>
      <c r="N283" s="43"/>
      <c r="O283" s="9"/>
      <c r="P283" s="9"/>
      <c r="Q283" s="9"/>
      <c r="R283" s="9"/>
      <c r="S283" s="40"/>
      <c r="T283" s="40"/>
      <c r="U283" s="9"/>
      <c r="V283" s="9"/>
      <c r="W283" s="9"/>
      <c r="X283" s="9"/>
      <c r="Y283" s="9"/>
      <c r="Z283" s="9"/>
      <c r="AA283" s="9"/>
      <c r="AB283" s="9"/>
      <c r="AC283" s="10" t="str">
        <f aca="false">IF(A283="","",SG_Criteria!$B$6&amp;SG_Criteria!$B$9&amp;"\"&amp;A283&amp;"\")</f>
        <v/>
      </c>
      <c r="AD283" s="10" t="str">
        <f aca="false">IF(A283="","",A283&amp;"_CAD.dwg")</f>
        <v/>
      </c>
      <c r="AE283" s="10" t="str">
        <f aca="false">IF(A283="","",A283&amp;"_DWG.pdf")</f>
        <v/>
      </c>
      <c r="AF283" s="10" t="str">
        <f aca="false">IF(A283="","",IF(AB283="Y",A283&amp;"_STAAD.std","n/a"))</f>
        <v/>
      </c>
      <c r="AG283" s="10" t="str">
        <f aca="false">IF(A283="","",A283&amp;"_CALC.xlsx")</f>
        <v/>
      </c>
      <c r="AH283" s="10" t="str">
        <f aca="false">IF(A283="","",A283&amp;"_CALC.pdf")</f>
        <v/>
      </c>
      <c r="AI283" s="9"/>
      <c r="AJ283" s="9"/>
      <c r="AK283" s="41"/>
      <c r="AL283" s="41"/>
      <c r="AM283" s="41"/>
      <c r="AN283" s="41"/>
      <c r="AO283" s="41"/>
      <c r="AP283" s="38" t="str">
        <f aca="false">IF(OR(C283="",E283=""),"",IF(E283&lt;=IF(C283="Soldier Pile &amp; Timber Lagging",SG_Criteria!$B$34,SG_Criteria!$B$33),"No ERSS submission",IF(E283&lt;=SG_Criteria!$B$35,"QP(ST)",IF(E283&lt;=SG_Criteria!$B$36,"QP(ST) + AC","Geotechnical building works: QP(Geo) + AC"))))</f>
        <v/>
      </c>
      <c r="AQ283" s="38" t="str">
        <f aca="false">IF(C283="","",IF(LEN(IF(AND(U283&lt;&gt;"",IFERROR(VALUE(MID(U283,2,2)),0)&lt;SG_Criteria!$B$19),"FAIL: grade below C"&amp;SG_Criteria!$B$19&amp;". ","")&amp;IF(AND(LEFT(C283,3)="Con",N(H283)&lt;E283,G283="Kallang Formation (marine clay)"),"NOTE: CBP is not watertight below GWT in marine clay; consider secant / grouting. ","")&amp;IF(AND(C283="Steel Sheet Pile",D283="Permanent"),"NOTE: permanent sheet pile needs corrosion allowance. ","")&amp;IF(AND(F283="Cantilever (no support)",E283&gt;6),"NOTE: cantilever embedded wall &gt; 6 m, check deflection. ","")&amp;IF(AND(S283&lt;&gt;"",T283&lt;&gt;"",S283&gt;T283),"FAIL: deflection exceeds allowable. ",""))=0,"OK",IF(AND(U283&lt;&gt;"",IFERROR(VALUE(MID(U283,2,2)),0)&lt;SG_Criteria!$B$19),"FAIL: grade below C"&amp;SG_Criteria!$B$19&amp;". ","")&amp;IF(AND(LEFT(C283,3)="Con",N(H283)&lt;E283,G283="Kallang Formation (marine clay)"),"NOTE: CBP is not watertight below GWT in marine clay; consider secant / grouting. ","")&amp;IF(AND(C283="Steel Sheet Pile",D283="Permanent"),"NOTE: permanent sheet pile needs corrosion allowance. ","")&amp;IF(AND(F283="Cantilever (no support)",E283&gt;6),"NOTE: cantilever embedded wall &gt; 6 m, check deflection. ","")&amp;IF(AND(S283&lt;&gt;"",T283&lt;&gt;"",S283&gt;T283),"FAIL: deflection exceeds allowable. ","")))</f>
        <v/>
      </c>
      <c r="AR283" s="9"/>
      <c r="AS283" s="9"/>
      <c r="AT283" s="9"/>
      <c r="AU283" s="9"/>
      <c r="AV283" s="9"/>
      <c r="AW283" s="31"/>
      <c r="AX283" s="10" t="str">
        <f aca="false">IF(C283="","",IF(AND(Y283="Approved",ISERROR(SEARCH("FAIL",AQ283))),"Y","N"))</f>
        <v/>
      </c>
      <c r="AY283" s="10" t="str">
        <f aca="false">IF(C283="","",C283&amp;"|"&amp;E283&amp;"|"&amp;F283&amp;"|"&amp;G283&amp;"|"&amp;D283&amp;"|"&amp;AX283)</f>
        <v/>
      </c>
    </row>
    <row r="284" customFormat="false" ht="15" hidden="false" customHeight="false" outlineLevel="0" collapsed="false">
      <c r="A284" s="10" t="str">
        <f aca="false">IF(C284="","","EW-"&amp;IFERROR(VLOOKUP(C284,Lists!$P$4:$Q$22,2,0),"??")&amp;"-D"&amp;TEXT(E284*1000,"0000")&amp;"-"&amp;IFERROR(VLOOKUP(F284,Lists!$S$4:$T$21,2,0),"??")&amp;"-"&amp;IFERROR(VLOOKUP(G284,Lists!$Y$4:$Z$21,2,0),"??")&amp;"-"&amp;IFERROR(VLOOKUP(D284,Lists!$V$4:$W$16,2,0),"??")&amp;"-"&amp;X284)</f>
        <v/>
      </c>
      <c r="B284" s="10" t="str">
        <f aca="false">IF(C284="","",D284&amp;" "&amp;C284&amp;", excavation "&amp;TEXT(E284,"0.0")&amp;" m, "&amp;F284&amp;", "&amp;G284&amp;", "&amp;J284)</f>
        <v/>
      </c>
      <c r="C284" s="9"/>
      <c r="D284" s="9"/>
      <c r="E284" s="43"/>
      <c r="F284" s="9"/>
      <c r="G284" s="9"/>
      <c r="H284" s="43"/>
      <c r="I284" s="40"/>
      <c r="J284" s="9"/>
      <c r="K284" s="9"/>
      <c r="L284" s="9"/>
      <c r="M284" s="43"/>
      <c r="N284" s="43"/>
      <c r="O284" s="9"/>
      <c r="P284" s="9"/>
      <c r="Q284" s="9"/>
      <c r="R284" s="9"/>
      <c r="S284" s="40"/>
      <c r="T284" s="40"/>
      <c r="U284" s="9"/>
      <c r="V284" s="9"/>
      <c r="W284" s="9"/>
      <c r="X284" s="9"/>
      <c r="Y284" s="9"/>
      <c r="Z284" s="9"/>
      <c r="AA284" s="9"/>
      <c r="AB284" s="9"/>
      <c r="AC284" s="10" t="str">
        <f aca="false">IF(A284="","",SG_Criteria!$B$6&amp;SG_Criteria!$B$9&amp;"\"&amp;A284&amp;"\")</f>
        <v/>
      </c>
      <c r="AD284" s="10" t="str">
        <f aca="false">IF(A284="","",A284&amp;"_CAD.dwg")</f>
        <v/>
      </c>
      <c r="AE284" s="10" t="str">
        <f aca="false">IF(A284="","",A284&amp;"_DWG.pdf")</f>
        <v/>
      </c>
      <c r="AF284" s="10" t="str">
        <f aca="false">IF(A284="","",IF(AB284="Y",A284&amp;"_STAAD.std","n/a"))</f>
        <v/>
      </c>
      <c r="AG284" s="10" t="str">
        <f aca="false">IF(A284="","",A284&amp;"_CALC.xlsx")</f>
        <v/>
      </c>
      <c r="AH284" s="10" t="str">
        <f aca="false">IF(A284="","",A284&amp;"_CALC.pdf")</f>
        <v/>
      </c>
      <c r="AI284" s="9"/>
      <c r="AJ284" s="9"/>
      <c r="AK284" s="41"/>
      <c r="AL284" s="41"/>
      <c r="AM284" s="41"/>
      <c r="AN284" s="41"/>
      <c r="AO284" s="41"/>
      <c r="AP284" s="38" t="str">
        <f aca="false">IF(OR(C284="",E284=""),"",IF(E284&lt;=IF(C284="Soldier Pile &amp; Timber Lagging",SG_Criteria!$B$34,SG_Criteria!$B$33),"No ERSS submission",IF(E284&lt;=SG_Criteria!$B$35,"QP(ST)",IF(E284&lt;=SG_Criteria!$B$36,"QP(ST) + AC","Geotechnical building works: QP(Geo) + AC"))))</f>
        <v/>
      </c>
      <c r="AQ284" s="38" t="str">
        <f aca="false">IF(C284="","",IF(LEN(IF(AND(U284&lt;&gt;"",IFERROR(VALUE(MID(U284,2,2)),0)&lt;SG_Criteria!$B$19),"FAIL: grade below C"&amp;SG_Criteria!$B$19&amp;". ","")&amp;IF(AND(LEFT(C284,3)="Con",N(H284)&lt;E284,G284="Kallang Formation (marine clay)"),"NOTE: CBP is not watertight below GWT in marine clay; consider secant / grouting. ","")&amp;IF(AND(C284="Steel Sheet Pile",D284="Permanent"),"NOTE: permanent sheet pile needs corrosion allowance. ","")&amp;IF(AND(F284="Cantilever (no support)",E284&gt;6),"NOTE: cantilever embedded wall &gt; 6 m, check deflection. ","")&amp;IF(AND(S284&lt;&gt;"",T284&lt;&gt;"",S284&gt;T284),"FAIL: deflection exceeds allowable. ",""))=0,"OK",IF(AND(U284&lt;&gt;"",IFERROR(VALUE(MID(U284,2,2)),0)&lt;SG_Criteria!$B$19),"FAIL: grade below C"&amp;SG_Criteria!$B$19&amp;". ","")&amp;IF(AND(LEFT(C284,3)="Con",N(H284)&lt;E284,G284="Kallang Formation (marine clay)"),"NOTE: CBP is not watertight below GWT in marine clay; consider secant / grouting. ","")&amp;IF(AND(C284="Steel Sheet Pile",D284="Permanent"),"NOTE: permanent sheet pile needs corrosion allowance. ","")&amp;IF(AND(F284="Cantilever (no support)",E284&gt;6),"NOTE: cantilever embedded wall &gt; 6 m, check deflection. ","")&amp;IF(AND(S284&lt;&gt;"",T284&lt;&gt;"",S284&gt;T284),"FAIL: deflection exceeds allowable. ","")))</f>
        <v/>
      </c>
      <c r="AR284" s="9"/>
      <c r="AS284" s="9"/>
      <c r="AT284" s="9"/>
      <c r="AU284" s="9"/>
      <c r="AV284" s="9"/>
      <c r="AW284" s="31"/>
      <c r="AX284" s="10" t="str">
        <f aca="false">IF(C284="","",IF(AND(Y284="Approved",ISERROR(SEARCH("FAIL",AQ284))),"Y","N"))</f>
        <v/>
      </c>
      <c r="AY284" s="10" t="str">
        <f aca="false">IF(C284="","",C284&amp;"|"&amp;E284&amp;"|"&amp;F284&amp;"|"&amp;G284&amp;"|"&amp;D284&amp;"|"&amp;AX284)</f>
        <v/>
      </c>
    </row>
    <row r="285" customFormat="false" ht="15" hidden="false" customHeight="false" outlineLevel="0" collapsed="false">
      <c r="A285" s="10" t="str">
        <f aca="false">IF(C285="","","EW-"&amp;IFERROR(VLOOKUP(C285,Lists!$P$4:$Q$22,2,0),"??")&amp;"-D"&amp;TEXT(E285*1000,"0000")&amp;"-"&amp;IFERROR(VLOOKUP(F285,Lists!$S$4:$T$21,2,0),"??")&amp;"-"&amp;IFERROR(VLOOKUP(G285,Lists!$Y$4:$Z$21,2,0),"??")&amp;"-"&amp;IFERROR(VLOOKUP(D285,Lists!$V$4:$W$16,2,0),"??")&amp;"-"&amp;X285)</f>
        <v/>
      </c>
      <c r="B285" s="10" t="str">
        <f aca="false">IF(C285="","",D285&amp;" "&amp;C285&amp;", excavation "&amp;TEXT(E285,"0.0")&amp;" m, "&amp;F285&amp;", "&amp;G285&amp;", "&amp;J285)</f>
        <v/>
      </c>
      <c r="C285" s="9"/>
      <c r="D285" s="9"/>
      <c r="E285" s="43"/>
      <c r="F285" s="9"/>
      <c r="G285" s="9"/>
      <c r="H285" s="43"/>
      <c r="I285" s="40"/>
      <c r="J285" s="9"/>
      <c r="K285" s="9"/>
      <c r="L285" s="9"/>
      <c r="M285" s="43"/>
      <c r="N285" s="43"/>
      <c r="O285" s="9"/>
      <c r="P285" s="9"/>
      <c r="Q285" s="9"/>
      <c r="R285" s="9"/>
      <c r="S285" s="40"/>
      <c r="T285" s="40"/>
      <c r="U285" s="9"/>
      <c r="V285" s="9"/>
      <c r="W285" s="9"/>
      <c r="X285" s="9"/>
      <c r="Y285" s="9"/>
      <c r="Z285" s="9"/>
      <c r="AA285" s="9"/>
      <c r="AB285" s="9"/>
      <c r="AC285" s="10" t="str">
        <f aca="false">IF(A285="","",SG_Criteria!$B$6&amp;SG_Criteria!$B$9&amp;"\"&amp;A285&amp;"\")</f>
        <v/>
      </c>
      <c r="AD285" s="10" t="str">
        <f aca="false">IF(A285="","",A285&amp;"_CAD.dwg")</f>
        <v/>
      </c>
      <c r="AE285" s="10" t="str">
        <f aca="false">IF(A285="","",A285&amp;"_DWG.pdf")</f>
        <v/>
      </c>
      <c r="AF285" s="10" t="str">
        <f aca="false">IF(A285="","",IF(AB285="Y",A285&amp;"_STAAD.std","n/a"))</f>
        <v/>
      </c>
      <c r="AG285" s="10" t="str">
        <f aca="false">IF(A285="","",A285&amp;"_CALC.xlsx")</f>
        <v/>
      </c>
      <c r="AH285" s="10" t="str">
        <f aca="false">IF(A285="","",A285&amp;"_CALC.pdf")</f>
        <v/>
      </c>
      <c r="AI285" s="9"/>
      <c r="AJ285" s="9"/>
      <c r="AK285" s="41"/>
      <c r="AL285" s="41"/>
      <c r="AM285" s="41"/>
      <c r="AN285" s="41"/>
      <c r="AO285" s="41"/>
      <c r="AP285" s="38" t="str">
        <f aca="false">IF(OR(C285="",E285=""),"",IF(E285&lt;=IF(C285="Soldier Pile &amp; Timber Lagging",SG_Criteria!$B$34,SG_Criteria!$B$33),"No ERSS submission",IF(E285&lt;=SG_Criteria!$B$35,"QP(ST)",IF(E285&lt;=SG_Criteria!$B$36,"QP(ST) + AC","Geotechnical building works: QP(Geo) + AC"))))</f>
        <v/>
      </c>
      <c r="AQ285" s="38" t="str">
        <f aca="false">IF(C285="","",IF(LEN(IF(AND(U285&lt;&gt;"",IFERROR(VALUE(MID(U285,2,2)),0)&lt;SG_Criteria!$B$19),"FAIL: grade below C"&amp;SG_Criteria!$B$19&amp;". ","")&amp;IF(AND(LEFT(C285,3)="Con",N(H285)&lt;E285,G285="Kallang Formation (marine clay)"),"NOTE: CBP is not watertight below GWT in marine clay; consider secant / grouting. ","")&amp;IF(AND(C285="Steel Sheet Pile",D285="Permanent"),"NOTE: permanent sheet pile needs corrosion allowance. ","")&amp;IF(AND(F285="Cantilever (no support)",E285&gt;6),"NOTE: cantilever embedded wall &gt; 6 m, check deflection. ","")&amp;IF(AND(S285&lt;&gt;"",T285&lt;&gt;"",S285&gt;T285),"FAIL: deflection exceeds allowable. ",""))=0,"OK",IF(AND(U285&lt;&gt;"",IFERROR(VALUE(MID(U285,2,2)),0)&lt;SG_Criteria!$B$19),"FAIL: grade below C"&amp;SG_Criteria!$B$19&amp;". ","")&amp;IF(AND(LEFT(C285,3)="Con",N(H285)&lt;E285,G285="Kallang Formation (marine clay)"),"NOTE: CBP is not watertight below GWT in marine clay; consider secant / grouting. ","")&amp;IF(AND(C285="Steel Sheet Pile",D285="Permanent"),"NOTE: permanent sheet pile needs corrosion allowance. ","")&amp;IF(AND(F285="Cantilever (no support)",E285&gt;6),"NOTE: cantilever embedded wall &gt; 6 m, check deflection. ","")&amp;IF(AND(S285&lt;&gt;"",T285&lt;&gt;"",S285&gt;T285),"FAIL: deflection exceeds allowable. ","")))</f>
        <v/>
      </c>
      <c r="AR285" s="9"/>
      <c r="AS285" s="9"/>
      <c r="AT285" s="9"/>
      <c r="AU285" s="9"/>
      <c r="AV285" s="9"/>
      <c r="AW285" s="31"/>
      <c r="AX285" s="10" t="str">
        <f aca="false">IF(C285="","",IF(AND(Y285="Approved",ISERROR(SEARCH("FAIL",AQ285))),"Y","N"))</f>
        <v/>
      </c>
      <c r="AY285" s="10" t="str">
        <f aca="false">IF(C285="","",C285&amp;"|"&amp;E285&amp;"|"&amp;F285&amp;"|"&amp;G285&amp;"|"&amp;D285&amp;"|"&amp;AX285)</f>
        <v/>
      </c>
    </row>
    <row r="286" customFormat="false" ht="15" hidden="false" customHeight="false" outlineLevel="0" collapsed="false">
      <c r="A286" s="10" t="str">
        <f aca="false">IF(C286="","","EW-"&amp;IFERROR(VLOOKUP(C286,Lists!$P$4:$Q$22,2,0),"??")&amp;"-D"&amp;TEXT(E286*1000,"0000")&amp;"-"&amp;IFERROR(VLOOKUP(F286,Lists!$S$4:$T$21,2,0),"??")&amp;"-"&amp;IFERROR(VLOOKUP(G286,Lists!$Y$4:$Z$21,2,0),"??")&amp;"-"&amp;IFERROR(VLOOKUP(D286,Lists!$V$4:$W$16,2,0),"??")&amp;"-"&amp;X286)</f>
        <v/>
      </c>
      <c r="B286" s="10" t="str">
        <f aca="false">IF(C286="","",D286&amp;" "&amp;C286&amp;", excavation "&amp;TEXT(E286,"0.0")&amp;" m, "&amp;F286&amp;", "&amp;G286&amp;", "&amp;J286)</f>
        <v/>
      </c>
      <c r="C286" s="9"/>
      <c r="D286" s="9"/>
      <c r="E286" s="43"/>
      <c r="F286" s="9"/>
      <c r="G286" s="9"/>
      <c r="H286" s="43"/>
      <c r="I286" s="40"/>
      <c r="J286" s="9"/>
      <c r="K286" s="9"/>
      <c r="L286" s="9"/>
      <c r="M286" s="43"/>
      <c r="N286" s="43"/>
      <c r="O286" s="9"/>
      <c r="P286" s="9"/>
      <c r="Q286" s="9"/>
      <c r="R286" s="9"/>
      <c r="S286" s="40"/>
      <c r="T286" s="40"/>
      <c r="U286" s="9"/>
      <c r="V286" s="9"/>
      <c r="W286" s="9"/>
      <c r="X286" s="9"/>
      <c r="Y286" s="9"/>
      <c r="Z286" s="9"/>
      <c r="AA286" s="9"/>
      <c r="AB286" s="9"/>
      <c r="AC286" s="10" t="str">
        <f aca="false">IF(A286="","",SG_Criteria!$B$6&amp;SG_Criteria!$B$9&amp;"\"&amp;A286&amp;"\")</f>
        <v/>
      </c>
      <c r="AD286" s="10" t="str">
        <f aca="false">IF(A286="","",A286&amp;"_CAD.dwg")</f>
        <v/>
      </c>
      <c r="AE286" s="10" t="str">
        <f aca="false">IF(A286="","",A286&amp;"_DWG.pdf")</f>
        <v/>
      </c>
      <c r="AF286" s="10" t="str">
        <f aca="false">IF(A286="","",IF(AB286="Y",A286&amp;"_STAAD.std","n/a"))</f>
        <v/>
      </c>
      <c r="AG286" s="10" t="str">
        <f aca="false">IF(A286="","",A286&amp;"_CALC.xlsx")</f>
        <v/>
      </c>
      <c r="AH286" s="10" t="str">
        <f aca="false">IF(A286="","",A286&amp;"_CALC.pdf")</f>
        <v/>
      </c>
      <c r="AI286" s="9"/>
      <c r="AJ286" s="9"/>
      <c r="AK286" s="41"/>
      <c r="AL286" s="41"/>
      <c r="AM286" s="41"/>
      <c r="AN286" s="41"/>
      <c r="AO286" s="41"/>
      <c r="AP286" s="38" t="str">
        <f aca="false">IF(OR(C286="",E286=""),"",IF(E286&lt;=IF(C286="Soldier Pile &amp; Timber Lagging",SG_Criteria!$B$34,SG_Criteria!$B$33),"No ERSS submission",IF(E286&lt;=SG_Criteria!$B$35,"QP(ST)",IF(E286&lt;=SG_Criteria!$B$36,"QP(ST) + AC","Geotechnical building works: QP(Geo) + AC"))))</f>
        <v/>
      </c>
      <c r="AQ286" s="38" t="str">
        <f aca="false">IF(C286="","",IF(LEN(IF(AND(U286&lt;&gt;"",IFERROR(VALUE(MID(U286,2,2)),0)&lt;SG_Criteria!$B$19),"FAIL: grade below C"&amp;SG_Criteria!$B$19&amp;". ","")&amp;IF(AND(LEFT(C286,3)="Con",N(H286)&lt;E286,G286="Kallang Formation (marine clay)"),"NOTE: CBP is not watertight below GWT in marine clay; consider secant / grouting. ","")&amp;IF(AND(C286="Steel Sheet Pile",D286="Permanent"),"NOTE: permanent sheet pile needs corrosion allowance. ","")&amp;IF(AND(F286="Cantilever (no support)",E286&gt;6),"NOTE: cantilever embedded wall &gt; 6 m, check deflection. ","")&amp;IF(AND(S286&lt;&gt;"",T286&lt;&gt;"",S286&gt;T286),"FAIL: deflection exceeds allowable. ",""))=0,"OK",IF(AND(U286&lt;&gt;"",IFERROR(VALUE(MID(U286,2,2)),0)&lt;SG_Criteria!$B$19),"FAIL: grade below C"&amp;SG_Criteria!$B$19&amp;". ","")&amp;IF(AND(LEFT(C286,3)="Con",N(H286)&lt;E286,G286="Kallang Formation (marine clay)"),"NOTE: CBP is not watertight below GWT in marine clay; consider secant / grouting. ","")&amp;IF(AND(C286="Steel Sheet Pile",D286="Permanent"),"NOTE: permanent sheet pile needs corrosion allowance. ","")&amp;IF(AND(F286="Cantilever (no support)",E286&gt;6),"NOTE: cantilever embedded wall &gt; 6 m, check deflection. ","")&amp;IF(AND(S286&lt;&gt;"",T286&lt;&gt;"",S286&gt;T286),"FAIL: deflection exceeds allowable. ","")))</f>
        <v/>
      </c>
      <c r="AR286" s="9"/>
      <c r="AS286" s="9"/>
      <c r="AT286" s="9"/>
      <c r="AU286" s="9"/>
      <c r="AV286" s="9"/>
      <c r="AW286" s="31"/>
      <c r="AX286" s="10" t="str">
        <f aca="false">IF(C286="","",IF(AND(Y286="Approved",ISERROR(SEARCH("FAIL",AQ286))),"Y","N"))</f>
        <v/>
      </c>
      <c r="AY286" s="10" t="str">
        <f aca="false">IF(C286="","",C286&amp;"|"&amp;E286&amp;"|"&amp;F286&amp;"|"&amp;G286&amp;"|"&amp;D286&amp;"|"&amp;AX286)</f>
        <v/>
      </c>
    </row>
    <row r="287" customFormat="false" ht="15" hidden="false" customHeight="false" outlineLevel="0" collapsed="false">
      <c r="A287" s="10" t="str">
        <f aca="false">IF(C287="","","EW-"&amp;IFERROR(VLOOKUP(C287,Lists!$P$4:$Q$22,2,0),"??")&amp;"-D"&amp;TEXT(E287*1000,"0000")&amp;"-"&amp;IFERROR(VLOOKUP(F287,Lists!$S$4:$T$21,2,0),"??")&amp;"-"&amp;IFERROR(VLOOKUP(G287,Lists!$Y$4:$Z$21,2,0),"??")&amp;"-"&amp;IFERROR(VLOOKUP(D287,Lists!$V$4:$W$16,2,0),"??")&amp;"-"&amp;X287)</f>
        <v/>
      </c>
      <c r="B287" s="10" t="str">
        <f aca="false">IF(C287="","",D287&amp;" "&amp;C287&amp;", excavation "&amp;TEXT(E287,"0.0")&amp;" m, "&amp;F287&amp;", "&amp;G287&amp;", "&amp;J287)</f>
        <v/>
      </c>
      <c r="C287" s="9"/>
      <c r="D287" s="9"/>
      <c r="E287" s="43"/>
      <c r="F287" s="9"/>
      <c r="G287" s="9"/>
      <c r="H287" s="43"/>
      <c r="I287" s="40"/>
      <c r="J287" s="9"/>
      <c r="K287" s="9"/>
      <c r="L287" s="9"/>
      <c r="M287" s="43"/>
      <c r="N287" s="43"/>
      <c r="O287" s="9"/>
      <c r="P287" s="9"/>
      <c r="Q287" s="9"/>
      <c r="R287" s="9"/>
      <c r="S287" s="40"/>
      <c r="T287" s="40"/>
      <c r="U287" s="9"/>
      <c r="V287" s="9"/>
      <c r="W287" s="9"/>
      <c r="X287" s="9"/>
      <c r="Y287" s="9"/>
      <c r="Z287" s="9"/>
      <c r="AA287" s="9"/>
      <c r="AB287" s="9"/>
      <c r="AC287" s="10" t="str">
        <f aca="false">IF(A287="","",SG_Criteria!$B$6&amp;SG_Criteria!$B$9&amp;"\"&amp;A287&amp;"\")</f>
        <v/>
      </c>
      <c r="AD287" s="10" t="str">
        <f aca="false">IF(A287="","",A287&amp;"_CAD.dwg")</f>
        <v/>
      </c>
      <c r="AE287" s="10" t="str">
        <f aca="false">IF(A287="","",A287&amp;"_DWG.pdf")</f>
        <v/>
      </c>
      <c r="AF287" s="10" t="str">
        <f aca="false">IF(A287="","",IF(AB287="Y",A287&amp;"_STAAD.std","n/a"))</f>
        <v/>
      </c>
      <c r="AG287" s="10" t="str">
        <f aca="false">IF(A287="","",A287&amp;"_CALC.xlsx")</f>
        <v/>
      </c>
      <c r="AH287" s="10" t="str">
        <f aca="false">IF(A287="","",A287&amp;"_CALC.pdf")</f>
        <v/>
      </c>
      <c r="AI287" s="9"/>
      <c r="AJ287" s="9"/>
      <c r="AK287" s="41"/>
      <c r="AL287" s="41"/>
      <c r="AM287" s="41"/>
      <c r="AN287" s="41"/>
      <c r="AO287" s="41"/>
      <c r="AP287" s="38" t="str">
        <f aca="false">IF(OR(C287="",E287=""),"",IF(E287&lt;=IF(C287="Soldier Pile &amp; Timber Lagging",SG_Criteria!$B$34,SG_Criteria!$B$33),"No ERSS submission",IF(E287&lt;=SG_Criteria!$B$35,"QP(ST)",IF(E287&lt;=SG_Criteria!$B$36,"QP(ST) + AC","Geotechnical building works: QP(Geo) + AC"))))</f>
        <v/>
      </c>
      <c r="AQ287" s="38" t="str">
        <f aca="false">IF(C287="","",IF(LEN(IF(AND(U287&lt;&gt;"",IFERROR(VALUE(MID(U287,2,2)),0)&lt;SG_Criteria!$B$19),"FAIL: grade below C"&amp;SG_Criteria!$B$19&amp;". ","")&amp;IF(AND(LEFT(C287,3)="Con",N(H287)&lt;E287,G287="Kallang Formation (marine clay)"),"NOTE: CBP is not watertight below GWT in marine clay; consider secant / grouting. ","")&amp;IF(AND(C287="Steel Sheet Pile",D287="Permanent"),"NOTE: permanent sheet pile needs corrosion allowance. ","")&amp;IF(AND(F287="Cantilever (no support)",E287&gt;6),"NOTE: cantilever embedded wall &gt; 6 m, check deflection. ","")&amp;IF(AND(S287&lt;&gt;"",T287&lt;&gt;"",S287&gt;T287),"FAIL: deflection exceeds allowable. ",""))=0,"OK",IF(AND(U287&lt;&gt;"",IFERROR(VALUE(MID(U287,2,2)),0)&lt;SG_Criteria!$B$19),"FAIL: grade below C"&amp;SG_Criteria!$B$19&amp;". ","")&amp;IF(AND(LEFT(C287,3)="Con",N(H287)&lt;E287,G287="Kallang Formation (marine clay)"),"NOTE: CBP is not watertight below GWT in marine clay; consider secant / grouting. ","")&amp;IF(AND(C287="Steel Sheet Pile",D287="Permanent"),"NOTE: permanent sheet pile needs corrosion allowance. ","")&amp;IF(AND(F287="Cantilever (no support)",E287&gt;6),"NOTE: cantilever embedded wall &gt; 6 m, check deflection. ","")&amp;IF(AND(S287&lt;&gt;"",T287&lt;&gt;"",S287&gt;T287),"FAIL: deflection exceeds allowable. ","")))</f>
        <v/>
      </c>
      <c r="AR287" s="9"/>
      <c r="AS287" s="9"/>
      <c r="AT287" s="9"/>
      <c r="AU287" s="9"/>
      <c r="AV287" s="9"/>
      <c r="AW287" s="31"/>
      <c r="AX287" s="10" t="str">
        <f aca="false">IF(C287="","",IF(AND(Y287="Approved",ISERROR(SEARCH("FAIL",AQ287))),"Y","N"))</f>
        <v/>
      </c>
      <c r="AY287" s="10" t="str">
        <f aca="false">IF(C287="","",C287&amp;"|"&amp;E287&amp;"|"&amp;F287&amp;"|"&amp;G287&amp;"|"&amp;D287&amp;"|"&amp;AX287)</f>
        <v/>
      </c>
    </row>
    <row r="288" customFormat="false" ht="15" hidden="false" customHeight="false" outlineLevel="0" collapsed="false">
      <c r="A288" s="10" t="str">
        <f aca="false">IF(C288="","","EW-"&amp;IFERROR(VLOOKUP(C288,Lists!$P$4:$Q$22,2,0),"??")&amp;"-D"&amp;TEXT(E288*1000,"0000")&amp;"-"&amp;IFERROR(VLOOKUP(F288,Lists!$S$4:$T$21,2,0),"??")&amp;"-"&amp;IFERROR(VLOOKUP(G288,Lists!$Y$4:$Z$21,2,0),"??")&amp;"-"&amp;IFERROR(VLOOKUP(D288,Lists!$V$4:$W$16,2,0),"??")&amp;"-"&amp;X288)</f>
        <v/>
      </c>
      <c r="B288" s="10" t="str">
        <f aca="false">IF(C288="","",D288&amp;" "&amp;C288&amp;", excavation "&amp;TEXT(E288,"0.0")&amp;" m, "&amp;F288&amp;", "&amp;G288&amp;", "&amp;J288)</f>
        <v/>
      </c>
      <c r="C288" s="9"/>
      <c r="D288" s="9"/>
      <c r="E288" s="43"/>
      <c r="F288" s="9"/>
      <c r="G288" s="9"/>
      <c r="H288" s="43"/>
      <c r="I288" s="40"/>
      <c r="J288" s="9"/>
      <c r="K288" s="9"/>
      <c r="L288" s="9"/>
      <c r="M288" s="43"/>
      <c r="N288" s="43"/>
      <c r="O288" s="9"/>
      <c r="P288" s="9"/>
      <c r="Q288" s="9"/>
      <c r="R288" s="9"/>
      <c r="S288" s="40"/>
      <c r="T288" s="40"/>
      <c r="U288" s="9"/>
      <c r="V288" s="9"/>
      <c r="W288" s="9"/>
      <c r="X288" s="9"/>
      <c r="Y288" s="9"/>
      <c r="Z288" s="9"/>
      <c r="AA288" s="9"/>
      <c r="AB288" s="9"/>
      <c r="AC288" s="10" t="str">
        <f aca="false">IF(A288="","",SG_Criteria!$B$6&amp;SG_Criteria!$B$9&amp;"\"&amp;A288&amp;"\")</f>
        <v/>
      </c>
      <c r="AD288" s="10" t="str">
        <f aca="false">IF(A288="","",A288&amp;"_CAD.dwg")</f>
        <v/>
      </c>
      <c r="AE288" s="10" t="str">
        <f aca="false">IF(A288="","",A288&amp;"_DWG.pdf")</f>
        <v/>
      </c>
      <c r="AF288" s="10" t="str">
        <f aca="false">IF(A288="","",IF(AB288="Y",A288&amp;"_STAAD.std","n/a"))</f>
        <v/>
      </c>
      <c r="AG288" s="10" t="str">
        <f aca="false">IF(A288="","",A288&amp;"_CALC.xlsx")</f>
        <v/>
      </c>
      <c r="AH288" s="10" t="str">
        <f aca="false">IF(A288="","",A288&amp;"_CALC.pdf")</f>
        <v/>
      </c>
      <c r="AI288" s="9"/>
      <c r="AJ288" s="9"/>
      <c r="AK288" s="41"/>
      <c r="AL288" s="41"/>
      <c r="AM288" s="41"/>
      <c r="AN288" s="41"/>
      <c r="AO288" s="41"/>
      <c r="AP288" s="38" t="str">
        <f aca="false">IF(OR(C288="",E288=""),"",IF(E288&lt;=IF(C288="Soldier Pile &amp; Timber Lagging",SG_Criteria!$B$34,SG_Criteria!$B$33),"No ERSS submission",IF(E288&lt;=SG_Criteria!$B$35,"QP(ST)",IF(E288&lt;=SG_Criteria!$B$36,"QP(ST) + AC","Geotechnical building works: QP(Geo) + AC"))))</f>
        <v/>
      </c>
      <c r="AQ288" s="38" t="str">
        <f aca="false">IF(C288="","",IF(LEN(IF(AND(U288&lt;&gt;"",IFERROR(VALUE(MID(U288,2,2)),0)&lt;SG_Criteria!$B$19),"FAIL: grade below C"&amp;SG_Criteria!$B$19&amp;". ","")&amp;IF(AND(LEFT(C288,3)="Con",N(H288)&lt;E288,G288="Kallang Formation (marine clay)"),"NOTE: CBP is not watertight below GWT in marine clay; consider secant / grouting. ","")&amp;IF(AND(C288="Steel Sheet Pile",D288="Permanent"),"NOTE: permanent sheet pile needs corrosion allowance. ","")&amp;IF(AND(F288="Cantilever (no support)",E288&gt;6),"NOTE: cantilever embedded wall &gt; 6 m, check deflection. ","")&amp;IF(AND(S288&lt;&gt;"",T288&lt;&gt;"",S288&gt;T288),"FAIL: deflection exceeds allowable. ",""))=0,"OK",IF(AND(U288&lt;&gt;"",IFERROR(VALUE(MID(U288,2,2)),0)&lt;SG_Criteria!$B$19),"FAIL: grade below C"&amp;SG_Criteria!$B$19&amp;". ","")&amp;IF(AND(LEFT(C288,3)="Con",N(H288)&lt;E288,G288="Kallang Formation (marine clay)"),"NOTE: CBP is not watertight below GWT in marine clay; consider secant / grouting. ","")&amp;IF(AND(C288="Steel Sheet Pile",D288="Permanent"),"NOTE: permanent sheet pile needs corrosion allowance. ","")&amp;IF(AND(F288="Cantilever (no support)",E288&gt;6),"NOTE: cantilever embedded wall &gt; 6 m, check deflection. ","")&amp;IF(AND(S288&lt;&gt;"",T288&lt;&gt;"",S288&gt;T288),"FAIL: deflection exceeds allowable. ","")))</f>
        <v/>
      </c>
      <c r="AR288" s="9"/>
      <c r="AS288" s="9"/>
      <c r="AT288" s="9"/>
      <c r="AU288" s="9"/>
      <c r="AV288" s="9"/>
      <c r="AW288" s="31"/>
      <c r="AX288" s="10" t="str">
        <f aca="false">IF(C288="","",IF(AND(Y288="Approved",ISERROR(SEARCH("FAIL",AQ288))),"Y","N"))</f>
        <v/>
      </c>
      <c r="AY288" s="10" t="str">
        <f aca="false">IF(C288="","",C288&amp;"|"&amp;E288&amp;"|"&amp;F288&amp;"|"&amp;G288&amp;"|"&amp;D288&amp;"|"&amp;AX288)</f>
        <v/>
      </c>
    </row>
    <row r="289" customFormat="false" ht="15" hidden="false" customHeight="false" outlineLevel="0" collapsed="false">
      <c r="A289" s="10" t="str">
        <f aca="false">IF(C289="","","EW-"&amp;IFERROR(VLOOKUP(C289,Lists!$P$4:$Q$22,2,0),"??")&amp;"-D"&amp;TEXT(E289*1000,"0000")&amp;"-"&amp;IFERROR(VLOOKUP(F289,Lists!$S$4:$T$21,2,0),"??")&amp;"-"&amp;IFERROR(VLOOKUP(G289,Lists!$Y$4:$Z$21,2,0),"??")&amp;"-"&amp;IFERROR(VLOOKUP(D289,Lists!$V$4:$W$16,2,0),"??")&amp;"-"&amp;X289)</f>
        <v/>
      </c>
      <c r="B289" s="10" t="str">
        <f aca="false">IF(C289="","",D289&amp;" "&amp;C289&amp;", excavation "&amp;TEXT(E289,"0.0")&amp;" m, "&amp;F289&amp;", "&amp;G289&amp;", "&amp;J289)</f>
        <v/>
      </c>
      <c r="C289" s="9"/>
      <c r="D289" s="9"/>
      <c r="E289" s="43"/>
      <c r="F289" s="9"/>
      <c r="G289" s="9"/>
      <c r="H289" s="43"/>
      <c r="I289" s="40"/>
      <c r="J289" s="9"/>
      <c r="K289" s="9"/>
      <c r="L289" s="9"/>
      <c r="M289" s="43"/>
      <c r="N289" s="43"/>
      <c r="O289" s="9"/>
      <c r="P289" s="9"/>
      <c r="Q289" s="9"/>
      <c r="R289" s="9"/>
      <c r="S289" s="40"/>
      <c r="T289" s="40"/>
      <c r="U289" s="9"/>
      <c r="V289" s="9"/>
      <c r="W289" s="9"/>
      <c r="X289" s="9"/>
      <c r="Y289" s="9"/>
      <c r="Z289" s="9"/>
      <c r="AA289" s="9"/>
      <c r="AB289" s="9"/>
      <c r="AC289" s="10" t="str">
        <f aca="false">IF(A289="","",SG_Criteria!$B$6&amp;SG_Criteria!$B$9&amp;"\"&amp;A289&amp;"\")</f>
        <v/>
      </c>
      <c r="AD289" s="10" t="str">
        <f aca="false">IF(A289="","",A289&amp;"_CAD.dwg")</f>
        <v/>
      </c>
      <c r="AE289" s="10" t="str">
        <f aca="false">IF(A289="","",A289&amp;"_DWG.pdf")</f>
        <v/>
      </c>
      <c r="AF289" s="10" t="str">
        <f aca="false">IF(A289="","",IF(AB289="Y",A289&amp;"_STAAD.std","n/a"))</f>
        <v/>
      </c>
      <c r="AG289" s="10" t="str">
        <f aca="false">IF(A289="","",A289&amp;"_CALC.xlsx")</f>
        <v/>
      </c>
      <c r="AH289" s="10" t="str">
        <f aca="false">IF(A289="","",A289&amp;"_CALC.pdf")</f>
        <v/>
      </c>
      <c r="AI289" s="9"/>
      <c r="AJ289" s="9"/>
      <c r="AK289" s="41"/>
      <c r="AL289" s="41"/>
      <c r="AM289" s="41"/>
      <c r="AN289" s="41"/>
      <c r="AO289" s="41"/>
      <c r="AP289" s="38" t="str">
        <f aca="false">IF(OR(C289="",E289=""),"",IF(E289&lt;=IF(C289="Soldier Pile &amp; Timber Lagging",SG_Criteria!$B$34,SG_Criteria!$B$33),"No ERSS submission",IF(E289&lt;=SG_Criteria!$B$35,"QP(ST)",IF(E289&lt;=SG_Criteria!$B$36,"QP(ST) + AC","Geotechnical building works: QP(Geo) + AC"))))</f>
        <v/>
      </c>
      <c r="AQ289" s="38" t="str">
        <f aca="false">IF(C289="","",IF(LEN(IF(AND(U289&lt;&gt;"",IFERROR(VALUE(MID(U289,2,2)),0)&lt;SG_Criteria!$B$19),"FAIL: grade below C"&amp;SG_Criteria!$B$19&amp;". ","")&amp;IF(AND(LEFT(C289,3)="Con",N(H289)&lt;E289,G289="Kallang Formation (marine clay)"),"NOTE: CBP is not watertight below GWT in marine clay; consider secant / grouting. ","")&amp;IF(AND(C289="Steel Sheet Pile",D289="Permanent"),"NOTE: permanent sheet pile needs corrosion allowance. ","")&amp;IF(AND(F289="Cantilever (no support)",E289&gt;6),"NOTE: cantilever embedded wall &gt; 6 m, check deflection. ","")&amp;IF(AND(S289&lt;&gt;"",T289&lt;&gt;"",S289&gt;T289),"FAIL: deflection exceeds allowable. ",""))=0,"OK",IF(AND(U289&lt;&gt;"",IFERROR(VALUE(MID(U289,2,2)),0)&lt;SG_Criteria!$B$19),"FAIL: grade below C"&amp;SG_Criteria!$B$19&amp;". ","")&amp;IF(AND(LEFT(C289,3)="Con",N(H289)&lt;E289,G289="Kallang Formation (marine clay)"),"NOTE: CBP is not watertight below GWT in marine clay; consider secant / grouting. ","")&amp;IF(AND(C289="Steel Sheet Pile",D289="Permanent"),"NOTE: permanent sheet pile needs corrosion allowance. ","")&amp;IF(AND(F289="Cantilever (no support)",E289&gt;6),"NOTE: cantilever embedded wall &gt; 6 m, check deflection. ","")&amp;IF(AND(S289&lt;&gt;"",T289&lt;&gt;"",S289&gt;T289),"FAIL: deflection exceeds allowable. ","")))</f>
        <v/>
      </c>
      <c r="AR289" s="9"/>
      <c r="AS289" s="9"/>
      <c r="AT289" s="9"/>
      <c r="AU289" s="9"/>
      <c r="AV289" s="9"/>
      <c r="AW289" s="31"/>
      <c r="AX289" s="10" t="str">
        <f aca="false">IF(C289="","",IF(AND(Y289="Approved",ISERROR(SEARCH("FAIL",AQ289))),"Y","N"))</f>
        <v/>
      </c>
      <c r="AY289" s="10" t="str">
        <f aca="false">IF(C289="","",C289&amp;"|"&amp;E289&amp;"|"&amp;F289&amp;"|"&amp;G289&amp;"|"&amp;D289&amp;"|"&amp;AX289)</f>
        <v/>
      </c>
    </row>
    <row r="290" customFormat="false" ht="15" hidden="false" customHeight="false" outlineLevel="0" collapsed="false">
      <c r="A290" s="10" t="str">
        <f aca="false">IF(C290="","","EW-"&amp;IFERROR(VLOOKUP(C290,Lists!$P$4:$Q$22,2,0),"??")&amp;"-D"&amp;TEXT(E290*1000,"0000")&amp;"-"&amp;IFERROR(VLOOKUP(F290,Lists!$S$4:$T$21,2,0),"??")&amp;"-"&amp;IFERROR(VLOOKUP(G290,Lists!$Y$4:$Z$21,2,0),"??")&amp;"-"&amp;IFERROR(VLOOKUP(D290,Lists!$V$4:$W$16,2,0),"??")&amp;"-"&amp;X290)</f>
        <v/>
      </c>
      <c r="B290" s="10" t="str">
        <f aca="false">IF(C290="","",D290&amp;" "&amp;C290&amp;", excavation "&amp;TEXT(E290,"0.0")&amp;" m, "&amp;F290&amp;", "&amp;G290&amp;", "&amp;J290)</f>
        <v/>
      </c>
      <c r="C290" s="9"/>
      <c r="D290" s="9"/>
      <c r="E290" s="43"/>
      <c r="F290" s="9"/>
      <c r="G290" s="9"/>
      <c r="H290" s="43"/>
      <c r="I290" s="40"/>
      <c r="J290" s="9"/>
      <c r="K290" s="9"/>
      <c r="L290" s="9"/>
      <c r="M290" s="43"/>
      <c r="N290" s="43"/>
      <c r="O290" s="9"/>
      <c r="P290" s="9"/>
      <c r="Q290" s="9"/>
      <c r="R290" s="9"/>
      <c r="S290" s="40"/>
      <c r="T290" s="40"/>
      <c r="U290" s="9"/>
      <c r="V290" s="9"/>
      <c r="W290" s="9"/>
      <c r="X290" s="9"/>
      <c r="Y290" s="9"/>
      <c r="Z290" s="9"/>
      <c r="AA290" s="9"/>
      <c r="AB290" s="9"/>
      <c r="AC290" s="10" t="str">
        <f aca="false">IF(A290="","",SG_Criteria!$B$6&amp;SG_Criteria!$B$9&amp;"\"&amp;A290&amp;"\")</f>
        <v/>
      </c>
      <c r="AD290" s="10" t="str">
        <f aca="false">IF(A290="","",A290&amp;"_CAD.dwg")</f>
        <v/>
      </c>
      <c r="AE290" s="10" t="str">
        <f aca="false">IF(A290="","",A290&amp;"_DWG.pdf")</f>
        <v/>
      </c>
      <c r="AF290" s="10" t="str">
        <f aca="false">IF(A290="","",IF(AB290="Y",A290&amp;"_STAAD.std","n/a"))</f>
        <v/>
      </c>
      <c r="AG290" s="10" t="str">
        <f aca="false">IF(A290="","",A290&amp;"_CALC.xlsx")</f>
        <v/>
      </c>
      <c r="AH290" s="10" t="str">
        <f aca="false">IF(A290="","",A290&amp;"_CALC.pdf")</f>
        <v/>
      </c>
      <c r="AI290" s="9"/>
      <c r="AJ290" s="9"/>
      <c r="AK290" s="41"/>
      <c r="AL290" s="41"/>
      <c r="AM290" s="41"/>
      <c r="AN290" s="41"/>
      <c r="AO290" s="41"/>
      <c r="AP290" s="38" t="str">
        <f aca="false">IF(OR(C290="",E290=""),"",IF(E290&lt;=IF(C290="Soldier Pile &amp; Timber Lagging",SG_Criteria!$B$34,SG_Criteria!$B$33),"No ERSS submission",IF(E290&lt;=SG_Criteria!$B$35,"QP(ST)",IF(E290&lt;=SG_Criteria!$B$36,"QP(ST) + AC","Geotechnical building works: QP(Geo) + AC"))))</f>
        <v/>
      </c>
      <c r="AQ290" s="38" t="str">
        <f aca="false">IF(C290="","",IF(LEN(IF(AND(U290&lt;&gt;"",IFERROR(VALUE(MID(U290,2,2)),0)&lt;SG_Criteria!$B$19),"FAIL: grade below C"&amp;SG_Criteria!$B$19&amp;". ","")&amp;IF(AND(LEFT(C290,3)="Con",N(H290)&lt;E290,G290="Kallang Formation (marine clay)"),"NOTE: CBP is not watertight below GWT in marine clay; consider secant / grouting. ","")&amp;IF(AND(C290="Steel Sheet Pile",D290="Permanent"),"NOTE: permanent sheet pile needs corrosion allowance. ","")&amp;IF(AND(F290="Cantilever (no support)",E290&gt;6),"NOTE: cantilever embedded wall &gt; 6 m, check deflection. ","")&amp;IF(AND(S290&lt;&gt;"",T290&lt;&gt;"",S290&gt;T290),"FAIL: deflection exceeds allowable. ",""))=0,"OK",IF(AND(U290&lt;&gt;"",IFERROR(VALUE(MID(U290,2,2)),0)&lt;SG_Criteria!$B$19),"FAIL: grade below C"&amp;SG_Criteria!$B$19&amp;". ","")&amp;IF(AND(LEFT(C290,3)="Con",N(H290)&lt;E290,G290="Kallang Formation (marine clay)"),"NOTE: CBP is not watertight below GWT in marine clay; consider secant / grouting. ","")&amp;IF(AND(C290="Steel Sheet Pile",D290="Permanent"),"NOTE: permanent sheet pile needs corrosion allowance. ","")&amp;IF(AND(F290="Cantilever (no support)",E290&gt;6),"NOTE: cantilever embedded wall &gt; 6 m, check deflection. ","")&amp;IF(AND(S290&lt;&gt;"",T290&lt;&gt;"",S290&gt;T290),"FAIL: deflection exceeds allowable. ","")))</f>
        <v/>
      </c>
      <c r="AR290" s="9"/>
      <c r="AS290" s="9"/>
      <c r="AT290" s="9"/>
      <c r="AU290" s="9"/>
      <c r="AV290" s="9"/>
      <c r="AW290" s="31"/>
      <c r="AX290" s="10" t="str">
        <f aca="false">IF(C290="","",IF(AND(Y290="Approved",ISERROR(SEARCH("FAIL",AQ290))),"Y","N"))</f>
        <v/>
      </c>
      <c r="AY290" s="10" t="str">
        <f aca="false">IF(C290="","",C290&amp;"|"&amp;E290&amp;"|"&amp;F290&amp;"|"&amp;G290&amp;"|"&amp;D290&amp;"|"&amp;AX290)</f>
        <v/>
      </c>
    </row>
    <row r="291" customFormat="false" ht="15" hidden="false" customHeight="false" outlineLevel="0" collapsed="false">
      <c r="A291" s="10" t="str">
        <f aca="false">IF(C291="","","EW-"&amp;IFERROR(VLOOKUP(C291,Lists!$P$4:$Q$22,2,0),"??")&amp;"-D"&amp;TEXT(E291*1000,"0000")&amp;"-"&amp;IFERROR(VLOOKUP(F291,Lists!$S$4:$T$21,2,0),"??")&amp;"-"&amp;IFERROR(VLOOKUP(G291,Lists!$Y$4:$Z$21,2,0),"??")&amp;"-"&amp;IFERROR(VLOOKUP(D291,Lists!$V$4:$W$16,2,0),"??")&amp;"-"&amp;X291)</f>
        <v/>
      </c>
      <c r="B291" s="10" t="str">
        <f aca="false">IF(C291="","",D291&amp;" "&amp;C291&amp;", excavation "&amp;TEXT(E291,"0.0")&amp;" m, "&amp;F291&amp;", "&amp;G291&amp;", "&amp;J291)</f>
        <v/>
      </c>
      <c r="C291" s="9"/>
      <c r="D291" s="9"/>
      <c r="E291" s="43"/>
      <c r="F291" s="9"/>
      <c r="G291" s="9"/>
      <c r="H291" s="43"/>
      <c r="I291" s="40"/>
      <c r="J291" s="9"/>
      <c r="K291" s="9"/>
      <c r="L291" s="9"/>
      <c r="M291" s="43"/>
      <c r="N291" s="43"/>
      <c r="O291" s="9"/>
      <c r="P291" s="9"/>
      <c r="Q291" s="9"/>
      <c r="R291" s="9"/>
      <c r="S291" s="40"/>
      <c r="T291" s="40"/>
      <c r="U291" s="9"/>
      <c r="V291" s="9"/>
      <c r="W291" s="9"/>
      <c r="X291" s="9"/>
      <c r="Y291" s="9"/>
      <c r="Z291" s="9"/>
      <c r="AA291" s="9"/>
      <c r="AB291" s="9"/>
      <c r="AC291" s="10" t="str">
        <f aca="false">IF(A291="","",SG_Criteria!$B$6&amp;SG_Criteria!$B$9&amp;"\"&amp;A291&amp;"\")</f>
        <v/>
      </c>
      <c r="AD291" s="10" t="str">
        <f aca="false">IF(A291="","",A291&amp;"_CAD.dwg")</f>
        <v/>
      </c>
      <c r="AE291" s="10" t="str">
        <f aca="false">IF(A291="","",A291&amp;"_DWG.pdf")</f>
        <v/>
      </c>
      <c r="AF291" s="10" t="str">
        <f aca="false">IF(A291="","",IF(AB291="Y",A291&amp;"_STAAD.std","n/a"))</f>
        <v/>
      </c>
      <c r="AG291" s="10" t="str">
        <f aca="false">IF(A291="","",A291&amp;"_CALC.xlsx")</f>
        <v/>
      </c>
      <c r="AH291" s="10" t="str">
        <f aca="false">IF(A291="","",A291&amp;"_CALC.pdf")</f>
        <v/>
      </c>
      <c r="AI291" s="9"/>
      <c r="AJ291" s="9"/>
      <c r="AK291" s="41"/>
      <c r="AL291" s="41"/>
      <c r="AM291" s="41"/>
      <c r="AN291" s="41"/>
      <c r="AO291" s="41"/>
      <c r="AP291" s="38" t="str">
        <f aca="false">IF(OR(C291="",E291=""),"",IF(E291&lt;=IF(C291="Soldier Pile &amp; Timber Lagging",SG_Criteria!$B$34,SG_Criteria!$B$33),"No ERSS submission",IF(E291&lt;=SG_Criteria!$B$35,"QP(ST)",IF(E291&lt;=SG_Criteria!$B$36,"QP(ST) + AC","Geotechnical building works: QP(Geo) + AC"))))</f>
        <v/>
      </c>
      <c r="AQ291" s="38" t="str">
        <f aca="false">IF(C291="","",IF(LEN(IF(AND(U291&lt;&gt;"",IFERROR(VALUE(MID(U291,2,2)),0)&lt;SG_Criteria!$B$19),"FAIL: grade below C"&amp;SG_Criteria!$B$19&amp;". ","")&amp;IF(AND(LEFT(C291,3)="Con",N(H291)&lt;E291,G291="Kallang Formation (marine clay)"),"NOTE: CBP is not watertight below GWT in marine clay; consider secant / grouting. ","")&amp;IF(AND(C291="Steel Sheet Pile",D291="Permanent"),"NOTE: permanent sheet pile needs corrosion allowance. ","")&amp;IF(AND(F291="Cantilever (no support)",E291&gt;6),"NOTE: cantilever embedded wall &gt; 6 m, check deflection. ","")&amp;IF(AND(S291&lt;&gt;"",T291&lt;&gt;"",S291&gt;T291),"FAIL: deflection exceeds allowable. ",""))=0,"OK",IF(AND(U291&lt;&gt;"",IFERROR(VALUE(MID(U291,2,2)),0)&lt;SG_Criteria!$B$19),"FAIL: grade below C"&amp;SG_Criteria!$B$19&amp;". ","")&amp;IF(AND(LEFT(C291,3)="Con",N(H291)&lt;E291,G291="Kallang Formation (marine clay)"),"NOTE: CBP is not watertight below GWT in marine clay; consider secant / grouting. ","")&amp;IF(AND(C291="Steel Sheet Pile",D291="Permanent"),"NOTE: permanent sheet pile needs corrosion allowance. ","")&amp;IF(AND(F291="Cantilever (no support)",E291&gt;6),"NOTE: cantilever embedded wall &gt; 6 m, check deflection. ","")&amp;IF(AND(S291&lt;&gt;"",T291&lt;&gt;"",S291&gt;T291),"FAIL: deflection exceeds allowable. ","")))</f>
        <v/>
      </c>
      <c r="AR291" s="9"/>
      <c r="AS291" s="9"/>
      <c r="AT291" s="9"/>
      <c r="AU291" s="9"/>
      <c r="AV291" s="9"/>
      <c r="AW291" s="31"/>
      <c r="AX291" s="10" t="str">
        <f aca="false">IF(C291="","",IF(AND(Y291="Approved",ISERROR(SEARCH("FAIL",AQ291))),"Y","N"))</f>
        <v/>
      </c>
      <c r="AY291" s="10" t="str">
        <f aca="false">IF(C291="","",C291&amp;"|"&amp;E291&amp;"|"&amp;F291&amp;"|"&amp;G291&amp;"|"&amp;D291&amp;"|"&amp;AX291)</f>
        <v/>
      </c>
    </row>
    <row r="292" customFormat="false" ht="15" hidden="false" customHeight="false" outlineLevel="0" collapsed="false">
      <c r="A292" s="10" t="str">
        <f aca="false">IF(C292="","","EW-"&amp;IFERROR(VLOOKUP(C292,Lists!$P$4:$Q$22,2,0),"??")&amp;"-D"&amp;TEXT(E292*1000,"0000")&amp;"-"&amp;IFERROR(VLOOKUP(F292,Lists!$S$4:$T$21,2,0),"??")&amp;"-"&amp;IFERROR(VLOOKUP(G292,Lists!$Y$4:$Z$21,2,0),"??")&amp;"-"&amp;IFERROR(VLOOKUP(D292,Lists!$V$4:$W$16,2,0),"??")&amp;"-"&amp;X292)</f>
        <v/>
      </c>
      <c r="B292" s="10" t="str">
        <f aca="false">IF(C292="","",D292&amp;" "&amp;C292&amp;", excavation "&amp;TEXT(E292,"0.0")&amp;" m, "&amp;F292&amp;", "&amp;G292&amp;", "&amp;J292)</f>
        <v/>
      </c>
      <c r="C292" s="9"/>
      <c r="D292" s="9"/>
      <c r="E292" s="43"/>
      <c r="F292" s="9"/>
      <c r="G292" s="9"/>
      <c r="H292" s="43"/>
      <c r="I292" s="40"/>
      <c r="J292" s="9"/>
      <c r="K292" s="9"/>
      <c r="L292" s="9"/>
      <c r="M292" s="43"/>
      <c r="N292" s="43"/>
      <c r="O292" s="9"/>
      <c r="P292" s="9"/>
      <c r="Q292" s="9"/>
      <c r="R292" s="9"/>
      <c r="S292" s="40"/>
      <c r="T292" s="40"/>
      <c r="U292" s="9"/>
      <c r="V292" s="9"/>
      <c r="W292" s="9"/>
      <c r="X292" s="9"/>
      <c r="Y292" s="9"/>
      <c r="Z292" s="9"/>
      <c r="AA292" s="9"/>
      <c r="AB292" s="9"/>
      <c r="AC292" s="10" t="str">
        <f aca="false">IF(A292="","",SG_Criteria!$B$6&amp;SG_Criteria!$B$9&amp;"\"&amp;A292&amp;"\")</f>
        <v/>
      </c>
      <c r="AD292" s="10" t="str">
        <f aca="false">IF(A292="","",A292&amp;"_CAD.dwg")</f>
        <v/>
      </c>
      <c r="AE292" s="10" t="str">
        <f aca="false">IF(A292="","",A292&amp;"_DWG.pdf")</f>
        <v/>
      </c>
      <c r="AF292" s="10" t="str">
        <f aca="false">IF(A292="","",IF(AB292="Y",A292&amp;"_STAAD.std","n/a"))</f>
        <v/>
      </c>
      <c r="AG292" s="10" t="str">
        <f aca="false">IF(A292="","",A292&amp;"_CALC.xlsx")</f>
        <v/>
      </c>
      <c r="AH292" s="10" t="str">
        <f aca="false">IF(A292="","",A292&amp;"_CALC.pdf")</f>
        <v/>
      </c>
      <c r="AI292" s="9"/>
      <c r="AJ292" s="9"/>
      <c r="AK292" s="41"/>
      <c r="AL292" s="41"/>
      <c r="AM292" s="41"/>
      <c r="AN292" s="41"/>
      <c r="AO292" s="41"/>
      <c r="AP292" s="38" t="str">
        <f aca="false">IF(OR(C292="",E292=""),"",IF(E292&lt;=IF(C292="Soldier Pile &amp; Timber Lagging",SG_Criteria!$B$34,SG_Criteria!$B$33),"No ERSS submission",IF(E292&lt;=SG_Criteria!$B$35,"QP(ST)",IF(E292&lt;=SG_Criteria!$B$36,"QP(ST) + AC","Geotechnical building works: QP(Geo) + AC"))))</f>
        <v/>
      </c>
      <c r="AQ292" s="38" t="str">
        <f aca="false">IF(C292="","",IF(LEN(IF(AND(U292&lt;&gt;"",IFERROR(VALUE(MID(U292,2,2)),0)&lt;SG_Criteria!$B$19),"FAIL: grade below C"&amp;SG_Criteria!$B$19&amp;". ","")&amp;IF(AND(LEFT(C292,3)="Con",N(H292)&lt;E292,G292="Kallang Formation (marine clay)"),"NOTE: CBP is not watertight below GWT in marine clay; consider secant / grouting. ","")&amp;IF(AND(C292="Steel Sheet Pile",D292="Permanent"),"NOTE: permanent sheet pile needs corrosion allowance. ","")&amp;IF(AND(F292="Cantilever (no support)",E292&gt;6),"NOTE: cantilever embedded wall &gt; 6 m, check deflection. ","")&amp;IF(AND(S292&lt;&gt;"",T292&lt;&gt;"",S292&gt;T292),"FAIL: deflection exceeds allowable. ",""))=0,"OK",IF(AND(U292&lt;&gt;"",IFERROR(VALUE(MID(U292,2,2)),0)&lt;SG_Criteria!$B$19),"FAIL: grade below C"&amp;SG_Criteria!$B$19&amp;". ","")&amp;IF(AND(LEFT(C292,3)="Con",N(H292)&lt;E292,G292="Kallang Formation (marine clay)"),"NOTE: CBP is not watertight below GWT in marine clay; consider secant / grouting. ","")&amp;IF(AND(C292="Steel Sheet Pile",D292="Permanent"),"NOTE: permanent sheet pile needs corrosion allowance. ","")&amp;IF(AND(F292="Cantilever (no support)",E292&gt;6),"NOTE: cantilever embedded wall &gt; 6 m, check deflection. ","")&amp;IF(AND(S292&lt;&gt;"",T292&lt;&gt;"",S292&gt;T292),"FAIL: deflection exceeds allowable. ","")))</f>
        <v/>
      </c>
      <c r="AR292" s="9"/>
      <c r="AS292" s="9"/>
      <c r="AT292" s="9"/>
      <c r="AU292" s="9"/>
      <c r="AV292" s="9"/>
      <c r="AW292" s="31"/>
      <c r="AX292" s="10" t="str">
        <f aca="false">IF(C292="","",IF(AND(Y292="Approved",ISERROR(SEARCH("FAIL",AQ292))),"Y","N"))</f>
        <v/>
      </c>
      <c r="AY292" s="10" t="str">
        <f aca="false">IF(C292="","",C292&amp;"|"&amp;E292&amp;"|"&amp;F292&amp;"|"&amp;G292&amp;"|"&amp;D292&amp;"|"&amp;AX292)</f>
        <v/>
      </c>
    </row>
    <row r="293" customFormat="false" ht="15" hidden="false" customHeight="false" outlineLevel="0" collapsed="false">
      <c r="A293" s="10" t="str">
        <f aca="false">IF(C293="","","EW-"&amp;IFERROR(VLOOKUP(C293,Lists!$P$4:$Q$22,2,0),"??")&amp;"-D"&amp;TEXT(E293*1000,"0000")&amp;"-"&amp;IFERROR(VLOOKUP(F293,Lists!$S$4:$T$21,2,0),"??")&amp;"-"&amp;IFERROR(VLOOKUP(G293,Lists!$Y$4:$Z$21,2,0),"??")&amp;"-"&amp;IFERROR(VLOOKUP(D293,Lists!$V$4:$W$16,2,0),"??")&amp;"-"&amp;X293)</f>
        <v/>
      </c>
      <c r="B293" s="10" t="str">
        <f aca="false">IF(C293="","",D293&amp;" "&amp;C293&amp;", excavation "&amp;TEXT(E293,"0.0")&amp;" m, "&amp;F293&amp;", "&amp;G293&amp;", "&amp;J293)</f>
        <v/>
      </c>
      <c r="C293" s="9"/>
      <c r="D293" s="9"/>
      <c r="E293" s="43"/>
      <c r="F293" s="9"/>
      <c r="G293" s="9"/>
      <c r="H293" s="43"/>
      <c r="I293" s="40"/>
      <c r="J293" s="9"/>
      <c r="K293" s="9"/>
      <c r="L293" s="9"/>
      <c r="M293" s="43"/>
      <c r="N293" s="43"/>
      <c r="O293" s="9"/>
      <c r="P293" s="9"/>
      <c r="Q293" s="9"/>
      <c r="R293" s="9"/>
      <c r="S293" s="40"/>
      <c r="T293" s="40"/>
      <c r="U293" s="9"/>
      <c r="V293" s="9"/>
      <c r="W293" s="9"/>
      <c r="X293" s="9"/>
      <c r="Y293" s="9"/>
      <c r="Z293" s="9"/>
      <c r="AA293" s="9"/>
      <c r="AB293" s="9"/>
      <c r="AC293" s="10" t="str">
        <f aca="false">IF(A293="","",SG_Criteria!$B$6&amp;SG_Criteria!$B$9&amp;"\"&amp;A293&amp;"\")</f>
        <v/>
      </c>
      <c r="AD293" s="10" t="str">
        <f aca="false">IF(A293="","",A293&amp;"_CAD.dwg")</f>
        <v/>
      </c>
      <c r="AE293" s="10" t="str">
        <f aca="false">IF(A293="","",A293&amp;"_DWG.pdf")</f>
        <v/>
      </c>
      <c r="AF293" s="10" t="str">
        <f aca="false">IF(A293="","",IF(AB293="Y",A293&amp;"_STAAD.std","n/a"))</f>
        <v/>
      </c>
      <c r="AG293" s="10" t="str">
        <f aca="false">IF(A293="","",A293&amp;"_CALC.xlsx")</f>
        <v/>
      </c>
      <c r="AH293" s="10" t="str">
        <f aca="false">IF(A293="","",A293&amp;"_CALC.pdf")</f>
        <v/>
      </c>
      <c r="AI293" s="9"/>
      <c r="AJ293" s="9"/>
      <c r="AK293" s="41"/>
      <c r="AL293" s="41"/>
      <c r="AM293" s="41"/>
      <c r="AN293" s="41"/>
      <c r="AO293" s="41"/>
      <c r="AP293" s="38" t="str">
        <f aca="false">IF(OR(C293="",E293=""),"",IF(E293&lt;=IF(C293="Soldier Pile &amp; Timber Lagging",SG_Criteria!$B$34,SG_Criteria!$B$33),"No ERSS submission",IF(E293&lt;=SG_Criteria!$B$35,"QP(ST)",IF(E293&lt;=SG_Criteria!$B$36,"QP(ST) + AC","Geotechnical building works: QP(Geo) + AC"))))</f>
        <v/>
      </c>
      <c r="AQ293" s="38" t="str">
        <f aca="false">IF(C293="","",IF(LEN(IF(AND(U293&lt;&gt;"",IFERROR(VALUE(MID(U293,2,2)),0)&lt;SG_Criteria!$B$19),"FAIL: grade below C"&amp;SG_Criteria!$B$19&amp;". ","")&amp;IF(AND(LEFT(C293,3)="Con",N(H293)&lt;E293,G293="Kallang Formation (marine clay)"),"NOTE: CBP is not watertight below GWT in marine clay; consider secant / grouting. ","")&amp;IF(AND(C293="Steel Sheet Pile",D293="Permanent"),"NOTE: permanent sheet pile needs corrosion allowance. ","")&amp;IF(AND(F293="Cantilever (no support)",E293&gt;6),"NOTE: cantilever embedded wall &gt; 6 m, check deflection. ","")&amp;IF(AND(S293&lt;&gt;"",T293&lt;&gt;"",S293&gt;T293),"FAIL: deflection exceeds allowable. ",""))=0,"OK",IF(AND(U293&lt;&gt;"",IFERROR(VALUE(MID(U293,2,2)),0)&lt;SG_Criteria!$B$19),"FAIL: grade below C"&amp;SG_Criteria!$B$19&amp;". ","")&amp;IF(AND(LEFT(C293,3)="Con",N(H293)&lt;E293,G293="Kallang Formation (marine clay)"),"NOTE: CBP is not watertight below GWT in marine clay; consider secant / grouting. ","")&amp;IF(AND(C293="Steel Sheet Pile",D293="Permanent"),"NOTE: permanent sheet pile needs corrosion allowance. ","")&amp;IF(AND(F293="Cantilever (no support)",E293&gt;6),"NOTE: cantilever embedded wall &gt; 6 m, check deflection. ","")&amp;IF(AND(S293&lt;&gt;"",T293&lt;&gt;"",S293&gt;T293),"FAIL: deflection exceeds allowable. ","")))</f>
        <v/>
      </c>
      <c r="AR293" s="9"/>
      <c r="AS293" s="9"/>
      <c r="AT293" s="9"/>
      <c r="AU293" s="9"/>
      <c r="AV293" s="9"/>
      <c r="AW293" s="31"/>
      <c r="AX293" s="10" t="str">
        <f aca="false">IF(C293="","",IF(AND(Y293="Approved",ISERROR(SEARCH("FAIL",AQ293))),"Y","N"))</f>
        <v/>
      </c>
      <c r="AY293" s="10" t="str">
        <f aca="false">IF(C293="","",C293&amp;"|"&amp;E293&amp;"|"&amp;F293&amp;"|"&amp;G293&amp;"|"&amp;D293&amp;"|"&amp;AX293)</f>
        <v/>
      </c>
    </row>
    <row r="294" customFormat="false" ht="15" hidden="false" customHeight="false" outlineLevel="0" collapsed="false">
      <c r="A294" s="10" t="str">
        <f aca="false">IF(C294="","","EW-"&amp;IFERROR(VLOOKUP(C294,Lists!$P$4:$Q$22,2,0),"??")&amp;"-D"&amp;TEXT(E294*1000,"0000")&amp;"-"&amp;IFERROR(VLOOKUP(F294,Lists!$S$4:$T$21,2,0),"??")&amp;"-"&amp;IFERROR(VLOOKUP(G294,Lists!$Y$4:$Z$21,2,0),"??")&amp;"-"&amp;IFERROR(VLOOKUP(D294,Lists!$V$4:$W$16,2,0),"??")&amp;"-"&amp;X294)</f>
        <v/>
      </c>
      <c r="B294" s="10" t="str">
        <f aca="false">IF(C294="","",D294&amp;" "&amp;C294&amp;", excavation "&amp;TEXT(E294,"0.0")&amp;" m, "&amp;F294&amp;", "&amp;G294&amp;", "&amp;J294)</f>
        <v/>
      </c>
      <c r="C294" s="9"/>
      <c r="D294" s="9"/>
      <c r="E294" s="43"/>
      <c r="F294" s="9"/>
      <c r="G294" s="9"/>
      <c r="H294" s="43"/>
      <c r="I294" s="40"/>
      <c r="J294" s="9"/>
      <c r="K294" s="9"/>
      <c r="L294" s="9"/>
      <c r="M294" s="43"/>
      <c r="N294" s="43"/>
      <c r="O294" s="9"/>
      <c r="P294" s="9"/>
      <c r="Q294" s="9"/>
      <c r="R294" s="9"/>
      <c r="S294" s="40"/>
      <c r="T294" s="40"/>
      <c r="U294" s="9"/>
      <c r="V294" s="9"/>
      <c r="W294" s="9"/>
      <c r="X294" s="9"/>
      <c r="Y294" s="9"/>
      <c r="Z294" s="9"/>
      <c r="AA294" s="9"/>
      <c r="AB294" s="9"/>
      <c r="AC294" s="10" t="str">
        <f aca="false">IF(A294="","",SG_Criteria!$B$6&amp;SG_Criteria!$B$9&amp;"\"&amp;A294&amp;"\")</f>
        <v/>
      </c>
      <c r="AD294" s="10" t="str">
        <f aca="false">IF(A294="","",A294&amp;"_CAD.dwg")</f>
        <v/>
      </c>
      <c r="AE294" s="10" t="str">
        <f aca="false">IF(A294="","",A294&amp;"_DWG.pdf")</f>
        <v/>
      </c>
      <c r="AF294" s="10" t="str">
        <f aca="false">IF(A294="","",IF(AB294="Y",A294&amp;"_STAAD.std","n/a"))</f>
        <v/>
      </c>
      <c r="AG294" s="10" t="str">
        <f aca="false">IF(A294="","",A294&amp;"_CALC.xlsx")</f>
        <v/>
      </c>
      <c r="AH294" s="10" t="str">
        <f aca="false">IF(A294="","",A294&amp;"_CALC.pdf")</f>
        <v/>
      </c>
      <c r="AI294" s="9"/>
      <c r="AJ294" s="9"/>
      <c r="AK294" s="41"/>
      <c r="AL294" s="41"/>
      <c r="AM294" s="41"/>
      <c r="AN294" s="41"/>
      <c r="AO294" s="41"/>
      <c r="AP294" s="38" t="str">
        <f aca="false">IF(OR(C294="",E294=""),"",IF(E294&lt;=IF(C294="Soldier Pile &amp; Timber Lagging",SG_Criteria!$B$34,SG_Criteria!$B$33),"No ERSS submission",IF(E294&lt;=SG_Criteria!$B$35,"QP(ST)",IF(E294&lt;=SG_Criteria!$B$36,"QP(ST) + AC","Geotechnical building works: QP(Geo) + AC"))))</f>
        <v/>
      </c>
      <c r="AQ294" s="38" t="str">
        <f aca="false">IF(C294="","",IF(LEN(IF(AND(U294&lt;&gt;"",IFERROR(VALUE(MID(U294,2,2)),0)&lt;SG_Criteria!$B$19),"FAIL: grade below C"&amp;SG_Criteria!$B$19&amp;". ","")&amp;IF(AND(LEFT(C294,3)="Con",N(H294)&lt;E294,G294="Kallang Formation (marine clay)"),"NOTE: CBP is not watertight below GWT in marine clay; consider secant / grouting. ","")&amp;IF(AND(C294="Steel Sheet Pile",D294="Permanent"),"NOTE: permanent sheet pile needs corrosion allowance. ","")&amp;IF(AND(F294="Cantilever (no support)",E294&gt;6),"NOTE: cantilever embedded wall &gt; 6 m, check deflection. ","")&amp;IF(AND(S294&lt;&gt;"",T294&lt;&gt;"",S294&gt;T294),"FAIL: deflection exceeds allowable. ",""))=0,"OK",IF(AND(U294&lt;&gt;"",IFERROR(VALUE(MID(U294,2,2)),0)&lt;SG_Criteria!$B$19),"FAIL: grade below C"&amp;SG_Criteria!$B$19&amp;". ","")&amp;IF(AND(LEFT(C294,3)="Con",N(H294)&lt;E294,G294="Kallang Formation (marine clay)"),"NOTE: CBP is not watertight below GWT in marine clay; consider secant / grouting. ","")&amp;IF(AND(C294="Steel Sheet Pile",D294="Permanent"),"NOTE: permanent sheet pile needs corrosion allowance. ","")&amp;IF(AND(F294="Cantilever (no support)",E294&gt;6),"NOTE: cantilever embedded wall &gt; 6 m, check deflection. ","")&amp;IF(AND(S294&lt;&gt;"",T294&lt;&gt;"",S294&gt;T294),"FAIL: deflection exceeds allowable. ","")))</f>
        <v/>
      </c>
      <c r="AR294" s="9"/>
      <c r="AS294" s="9"/>
      <c r="AT294" s="9"/>
      <c r="AU294" s="9"/>
      <c r="AV294" s="9"/>
      <c r="AW294" s="31"/>
      <c r="AX294" s="10" t="str">
        <f aca="false">IF(C294="","",IF(AND(Y294="Approved",ISERROR(SEARCH("FAIL",AQ294))),"Y","N"))</f>
        <v/>
      </c>
      <c r="AY294" s="10" t="str">
        <f aca="false">IF(C294="","",C294&amp;"|"&amp;E294&amp;"|"&amp;F294&amp;"|"&amp;G294&amp;"|"&amp;D294&amp;"|"&amp;AX294)</f>
        <v/>
      </c>
    </row>
    <row r="295" customFormat="false" ht="15" hidden="false" customHeight="false" outlineLevel="0" collapsed="false">
      <c r="A295" s="10" t="str">
        <f aca="false">IF(C295="","","EW-"&amp;IFERROR(VLOOKUP(C295,Lists!$P$4:$Q$22,2,0),"??")&amp;"-D"&amp;TEXT(E295*1000,"0000")&amp;"-"&amp;IFERROR(VLOOKUP(F295,Lists!$S$4:$T$21,2,0),"??")&amp;"-"&amp;IFERROR(VLOOKUP(G295,Lists!$Y$4:$Z$21,2,0),"??")&amp;"-"&amp;IFERROR(VLOOKUP(D295,Lists!$V$4:$W$16,2,0),"??")&amp;"-"&amp;X295)</f>
        <v/>
      </c>
      <c r="B295" s="10" t="str">
        <f aca="false">IF(C295="","",D295&amp;" "&amp;C295&amp;", excavation "&amp;TEXT(E295,"0.0")&amp;" m, "&amp;F295&amp;", "&amp;G295&amp;", "&amp;J295)</f>
        <v/>
      </c>
      <c r="C295" s="9"/>
      <c r="D295" s="9"/>
      <c r="E295" s="43"/>
      <c r="F295" s="9"/>
      <c r="G295" s="9"/>
      <c r="H295" s="43"/>
      <c r="I295" s="40"/>
      <c r="J295" s="9"/>
      <c r="K295" s="9"/>
      <c r="L295" s="9"/>
      <c r="M295" s="43"/>
      <c r="N295" s="43"/>
      <c r="O295" s="9"/>
      <c r="P295" s="9"/>
      <c r="Q295" s="9"/>
      <c r="R295" s="9"/>
      <c r="S295" s="40"/>
      <c r="T295" s="40"/>
      <c r="U295" s="9"/>
      <c r="V295" s="9"/>
      <c r="W295" s="9"/>
      <c r="X295" s="9"/>
      <c r="Y295" s="9"/>
      <c r="Z295" s="9"/>
      <c r="AA295" s="9"/>
      <c r="AB295" s="9"/>
      <c r="AC295" s="10" t="str">
        <f aca="false">IF(A295="","",SG_Criteria!$B$6&amp;SG_Criteria!$B$9&amp;"\"&amp;A295&amp;"\")</f>
        <v/>
      </c>
      <c r="AD295" s="10" t="str">
        <f aca="false">IF(A295="","",A295&amp;"_CAD.dwg")</f>
        <v/>
      </c>
      <c r="AE295" s="10" t="str">
        <f aca="false">IF(A295="","",A295&amp;"_DWG.pdf")</f>
        <v/>
      </c>
      <c r="AF295" s="10" t="str">
        <f aca="false">IF(A295="","",IF(AB295="Y",A295&amp;"_STAAD.std","n/a"))</f>
        <v/>
      </c>
      <c r="AG295" s="10" t="str">
        <f aca="false">IF(A295="","",A295&amp;"_CALC.xlsx")</f>
        <v/>
      </c>
      <c r="AH295" s="10" t="str">
        <f aca="false">IF(A295="","",A295&amp;"_CALC.pdf")</f>
        <v/>
      </c>
      <c r="AI295" s="9"/>
      <c r="AJ295" s="9"/>
      <c r="AK295" s="41"/>
      <c r="AL295" s="41"/>
      <c r="AM295" s="41"/>
      <c r="AN295" s="41"/>
      <c r="AO295" s="41"/>
      <c r="AP295" s="38" t="str">
        <f aca="false">IF(OR(C295="",E295=""),"",IF(E295&lt;=IF(C295="Soldier Pile &amp; Timber Lagging",SG_Criteria!$B$34,SG_Criteria!$B$33),"No ERSS submission",IF(E295&lt;=SG_Criteria!$B$35,"QP(ST)",IF(E295&lt;=SG_Criteria!$B$36,"QP(ST) + AC","Geotechnical building works: QP(Geo) + AC"))))</f>
        <v/>
      </c>
      <c r="AQ295" s="38" t="str">
        <f aca="false">IF(C295="","",IF(LEN(IF(AND(U295&lt;&gt;"",IFERROR(VALUE(MID(U295,2,2)),0)&lt;SG_Criteria!$B$19),"FAIL: grade below C"&amp;SG_Criteria!$B$19&amp;". ","")&amp;IF(AND(LEFT(C295,3)="Con",N(H295)&lt;E295,G295="Kallang Formation (marine clay)"),"NOTE: CBP is not watertight below GWT in marine clay; consider secant / grouting. ","")&amp;IF(AND(C295="Steel Sheet Pile",D295="Permanent"),"NOTE: permanent sheet pile needs corrosion allowance. ","")&amp;IF(AND(F295="Cantilever (no support)",E295&gt;6),"NOTE: cantilever embedded wall &gt; 6 m, check deflection. ","")&amp;IF(AND(S295&lt;&gt;"",T295&lt;&gt;"",S295&gt;T295),"FAIL: deflection exceeds allowable. ",""))=0,"OK",IF(AND(U295&lt;&gt;"",IFERROR(VALUE(MID(U295,2,2)),0)&lt;SG_Criteria!$B$19),"FAIL: grade below C"&amp;SG_Criteria!$B$19&amp;". ","")&amp;IF(AND(LEFT(C295,3)="Con",N(H295)&lt;E295,G295="Kallang Formation (marine clay)"),"NOTE: CBP is not watertight below GWT in marine clay; consider secant / grouting. ","")&amp;IF(AND(C295="Steel Sheet Pile",D295="Permanent"),"NOTE: permanent sheet pile needs corrosion allowance. ","")&amp;IF(AND(F295="Cantilever (no support)",E295&gt;6),"NOTE: cantilever embedded wall &gt; 6 m, check deflection. ","")&amp;IF(AND(S295&lt;&gt;"",T295&lt;&gt;"",S295&gt;T295),"FAIL: deflection exceeds allowable. ","")))</f>
        <v/>
      </c>
      <c r="AR295" s="9"/>
      <c r="AS295" s="9"/>
      <c r="AT295" s="9"/>
      <c r="AU295" s="9"/>
      <c r="AV295" s="9"/>
      <c r="AW295" s="31"/>
      <c r="AX295" s="10" t="str">
        <f aca="false">IF(C295="","",IF(AND(Y295="Approved",ISERROR(SEARCH("FAIL",AQ295))),"Y","N"))</f>
        <v/>
      </c>
      <c r="AY295" s="10" t="str">
        <f aca="false">IF(C295="","",C295&amp;"|"&amp;E295&amp;"|"&amp;F295&amp;"|"&amp;G295&amp;"|"&amp;D295&amp;"|"&amp;AX295)</f>
        <v/>
      </c>
    </row>
    <row r="296" customFormat="false" ht="15" hidden="false" customHeight="false" outlineLevel="0" collapsed="false">
      <c r="A296" s="10" t="str">
        <f aca="false">IF(C296="","","EW-"&amp;IFERROR(VLOOKUP(C296,Lists!$P$4:$Q$22,2,0),"??")&amp;"-D"&amp;TEXT(E296*1000,"0000")&amp;"-"&amp;IFERROR(VLOOKUP(F296,Lists!$S$4:$T$21,2,0),"??")&amp;"-"&amp;IFERROR(VLOOKUP(G296,Lists!$Y$4:$Z$21,2,0),"??")&amp;"-"&amp;IFERROR(VLOOKUP(D296,Lists!$V$4:$W$16,2,0),"??")&amp;"-"&amp;X296)</f>
        <v/>
      </c>
      <c r="B296" s="10" t="str">
        <f aca="false">IF(C296="","",D296&amp;" "&amp;C296&amp;", excavation "&amp;TEXT(E296,"0.0")&amp;" m, "&amp;F296&amp;", "&amp;G296&amp;", "&amp;J296)</f>
        <v/>
      </c>
      <c r="C296" s="9"/>
      <c r="D296" s="9"/>
      <c r="E296" s="43"/>
      <c r="F296" s="9"/>
      <c r="G296" s="9"/>
      <c r="H296" s="43"/>
      <c r="I296" s="40"/>
      <c r="J296" s="9"/>
      <c r="K296" s="9"/>
      <c r="L296" s="9"/>
      <c r="M296" s="43"/>
      <c r="N296" s="43"/>
      <c r="O296" s="9"/>
      <c r="P296" s="9"/>
      <c r="Q296" s="9"/>
      <c r="R296" s="9"/>
      <c r="S296" s="40"/>
      <c r="T296" s="40"/>
      <c r="U296" s="9"/>
      <c r="V296" s="9"/>
      <c r="W296" s="9"/>
      <c r="X296" s="9"/>
      <c r="Y296" s="9"/>
      <c r="Z296" s="9"/>
      <c r="AA296" s="9"/>
      <c r="AB296" s="9"/>
      <c r="AC296" s="10" t="str">
        <f aca="false">IF(A296="","",SG_Criteria!$B$6&amp;SG_Criteria!$B$9&amp;"\"&amp;A296&amp;"\")</f>
        <v/>
      </c>
      <c r="AD296" s="10" t="str">
        <f aca="false">IF(A296="","",A296&amp;"_CAD.dwg")</f>
        <v/>
      </c>
      <c r="AE296" s="10" t="str">
        <f aca="false">IF(A296="","",A296&amp;"_DWG.pdf")</f>
        <v/>
      </c>
      <c r="AF296" s="10" t="str">
        <f aca="false">IF(A296="","",IF(AB296="Y",A296&amp;"_STAAD.std","n/a"))</f>
        <v/>
      </c>
      <c r="AG296" s="10" t="str">
        <f aca="false">IF(A296="","",A296&amp;"_CALC.xlsx")</f>
        <v/>
      </c>
      <c r="AH296" s="10" t="str">
        <f aca="false">IF(A296="","",A296&amp;"_CALC.pdf")</f>
        <v/>
      </c>
      <c r="AI296" s="9"/>
      <c r="AJ296" s="9"/>
      <c r="AK296" s="41"/>
      <c r="AL296" s="41"/>
      <c r="AM296" s="41"/>
      <c r="AN296" s="41"/>
      <c r="AO296" s="41"/>
      <c r="AP296" s="38" t="str">
        <f aca="false">IF(OR(C296="",E296=""),"",IF(E296&lt;=IF(C296="Soldier Pile &amp; Timber Lagging",SG_Criteria!$B$34,SG_Criteria!$B$33),"No ERSS submission",IF(E296&lt;=SG_Criteria!$B$35,"QP(ST)",IF(E296&lt;=SG_Criteria!$B$36,"QP(ST) + AC","Geotechnical building works: QP(Geo) + AC"))))</f>
        <v/>
      </c>
      <c r="AQ296" s="38" t="str">
        <f aca="false">IF(C296="","",IF(LEN(IF(AND(U296&lt;&gt;"",IFERROR(VALUE(MID(U296,2,2)),0)&lt;SG_Criteria!$B$19),"FAIL: grade below C"&amp;SG_Criteria!$B$19&amp;". ","")&amp;IF(AND(LEFT(C296,3)="Con",N(H296)&lt;E296,G296="Kallang Formation (marine clay)"),"NOTE: CBP is not watertight below GWT in marine clay; consider secant / grouting. ","")&amp;IF(AND(C296="Steel Sheet Pile",D296="Permanent"),"NOTE: permanent sheet pile needs corrosion allowance. ","")&amp;IF(AND(F296="Cantilever (no support)",E296&gt;6),"NOTE: cantilever embedded wall &gt; 6 m, check deflection. ","")&amp;IF(AND(S296&lt;&gt;"",T296&lt;&gt;"",S296&gt;T296),"FAIL: deflection exceeds allowable. ",""))=0,"OK",IF(AND(U296&lt;&gt;"",IFERROR(VALUE(MID(U296,2,2)),0)&lt;SG_Criteria!$B$19),"FAIL: grade below C"&amp;SG_Criteria!$B$19&amp;". ","")&amp;IF(AND(LEFT(C296,3)="Con",N(H296)&lt;E296,G296="Kallang Formation (marine clay)"),"NOTE: CBP is not watertight below GWT in marine clay; consider secant / grouting. ","")&amp;IF(AND(C296="Steel Sheet Pile",D296="Permanent"),"NOTE: permanent sheet pile needs corrosion allowance. ","")&amp;IF(AND(F296="Cantilever (no support)",E296&gt;6),"NOTE: cantilever embedded wall &gt; 6 m, check deflection. ","")&amp;IF(AND(S296&lt;&gt;"",T296&lt;&gt;"",S296&gt;T296),"FAIL: deflection exceeds allowable. ","")))</f>
        <v/>
      </c>
      <c r="AR296" s="9"/>
      <c r="AS296" s="9"/>
      <c r="AT296" s="9"/>
      <c r="AU296" s="9"/>
      <c r="AV296" s="9"/>
      <c r="AW296" s="31"/>
      <c r="AX296" s="10" t="str">
        <f aca="false">IF(C296="","",IF(AND(Y296="Approved",ISERROR(SEARCH("FAIL",AQ296))),"Y","N"))</f>
        <v/>
      </c>
      <c r="AY296" s="10" t="str">
        <f aca="false">IF(C296="","",C296&amp;"|"&amp;E296&amp;"|"&amp;F296&amp;"|"&amp;G296&amp;"|"&amp;D296&amp;"|"&amp;AX296)</f>
        <v/>
      </c>
    </row>
    <row r="297" customFormat="false" ht="15" hidden="false" customHeight="false" outlineLevel="0" collapsed="false">
      <c r="A297" s="10" t="str">
        <f aca="false">IF(C297="","","EW-"&amp;IFERROR(VLOOKUP(C297,Lists!$P$4:$Q$22,2,0),"??")&amp;"-D"&amp;TEXT(E297*1000,"0000")&amp;"-"&amp;IFERROR(VLOOKUP(F297,Lists!$S$4:$T$21,2,0),"??")&amp;"-"&amp;IFERROR(VLOOKUP(G297,Lists!$Y$4:$Z$21,2,0),"??")&amp;"-"&amp;IFERROR(VLOOKUP(D297,Lists!$V$4:$W$16,2,0),"??")&amp;"-"&amp;X297)</f>
        <v/>
      </c>
      <c r="B297" s="10" t="str">
        <f aca="false">IF(C297="","",D297&amp;" "&amp;C297&amp;", excavation "&amp;TEXT(E297,"0.0")&amp;" m, "&amp;F297&amp;", "&amp;G297&amp;", "&amp;J297)</f>
        <v/>
      </c>
      <c r="C297" s="9"/>
      <c r="D297" s="9"/>
      <c r="E297" s="43"/>
      <c r="F297" s="9"/>
      <c r="G297" s="9"/>
      <c r="H297" s="43"/>
      <c r="I297" s="40"/>
      <c r="J297" s="9"/>
      <c r="K297" s="9"/>
      <c r="L297" s="9"/>
      <c r="M297" s="43"/>
      <c r="N297" s="43"/>
      <c r="O297" s="9"/>
      <c r="P297" s="9"/>
      <c r="Q297" s="9"/>
      <c r="R297" s="9"/>
      <c r="S297" s="40"/>
      <c r="T297" s="40"/>
      <c r="U297" s="9"/>
      <c r="V297" s="9"/>
      <c r="W297" s="9"/>
      <c r="X297" s="9"/>
      <c r="Y297" s="9"/>
      <c r="Z297" s="9"/>
      <c r="AA297" s="9"/>
      <c r="AB297" s="9"/>
      <c r="AC297" s="10" t="str">
        <f aca="false">IF(A297="","",SG_Criteria!$B$6&amp;SG_Criteria!$B$9&amp;"\"&amp;A297&amp;"\")</f>
        <v/>
      </c>
      <c r="AD297" s="10" t="str">
        <f aca="false">IF(A297="","",A297&amp;"_CAD.dwg")</f>
        <v/>
      </c>
      <c r="AE297" s="10" t="str">
        <f aca="false">IF(A297="","",A297&amp;"_DWG.pdf")</f>
        <v/>
      </c>
      <c r="AF297" s="10" t="str">
        <f aca="false">IF(A297="","",IF(AB297="Y",A297&amp;"_STAAD.std","n/a"))</f>
        <v/>
      </c>
      <c r="AG297" s="10" t="str">
        <f aca="false">IF(A297="","",A297&amp;"_CALC.xlsx")</f>
        <v/>
      </c>
      <c r="AH297" s="10" t="str">
        <f aca="false">IF(A297="","",A297&amp;"_CALC.pdf")</f>
        <v/>
      </c>
      <c r="AI297" s="9"/>
      <c r="AJ297" s="9"/>
      <c r="AK297" s="41"/>
      <c r="AL297" s="41"/>
      <c r="AM297" s="41"/>
      <c r="AN297" s="41"/>
      <c r="AO297" s="41"/>
      <c r="AP297" s="38" t="str">
        <f aca="false">IF(OR(C297="",E297=""),"",IF(E297&lt;=IF(C297="Soldier Pile &amp; Timber Lagging",SG_Criteria!$B$34,SG_Criteria!$B$33),"No ERSS submission",IF(E297&lt;=SG_Criteria!$B$35,"QP(ST)",IF(E297&lt;=SG_Criteria!$B$36,"QP(ST) + AC","Geotechnical building works: QP(Geo) + AC"))))</f>
        <v/>
      </c>
      <c r="AQ297" s="38" t="str">
        <f aca="false">IF(C297="","",IF(LEN(IF(AND(U297&lt;&gt;"",IFERROR(VALUE(MID(U297,2,2)),0)&lt;SG_Criteria!$B$19),"FAIL: grade below C"&amp;SG_Criteria!$B$19&amp;". ","")&amp;IF(AND(LEFT(C297,3)="Con",N(H297)&lt;E297,G297="Kallang Formation (marine clay)"),"NOTE: CBP is not watertight below GWT in marine clay; consider secant / grouting. ","")&amp;IF(AND(C297="Steel Sheet Pile",D297="Permanent"),"NOTE: permanent sheet pile needs corrosion allowance. ","")&amp;IF(AND(F297="Cantilever (no support)",E297&gt;6),"NOTE: cantilever embedded wall &gt; 6 m, check deflection. ","")&amp;IF(AND(S297&lt;&gt;"",T297&lt;&gt;"",S297&gt;T297),"FAIL: deflection exceeds allowable. ",""))=0,"OK",IF(AND(U297&lt;&gt;"",IFERROR(VALUE(MID(U297,2,2)),0)&lt;SG_Criteria!$B$19),"FAIL: grade below C"&amp;SG_Criteria!$B$19&amp;". ","")&amp;IF(AND(LEFT(C297,3)="Con",N(H297)&lt;E297,G297="Kallang Formation (marine clay)"),"NOTE: CBP is not watertight below GWT in marine clay; consider secant / grouting. ","")&amp;IF(AND(C297="Steel Sheet Pile",D297="Permanent"),"NOTE: permanent sheet pile needs corrosion allowance. ","")&amp;IF(AND(F297="Cantilever (no support)",E297&gt;6),"NOTE: cantilever embedded wall &gt; 6 m, check deflection. ","")&amp;IF(AND(S297&lt;&gt;"",T297&lt;&gt;"",S297&gt;T297),"FAIL: deflection exceeds allowable. ","")))</f>
        <v/>
      </c>
      <c r="AR297" s="9"/>
      <c r="AS297" s="9"/>
      <c r="AT297" s="9"/>
      <c r="AU297" s="9"/>
      <c r="AV297" s="9"/>
      <c r="AW297" s="31"/>
      <c r="AX297" s="10" t="str">
        <f aca="false">IF(C297="","",IF(AND(Y297="Approved",ISERROR(SEARCH("FAIL",AQ297))),"Y","N"))</f>
        <v/>
      </c>
      <c r="AY297" s="10" t="str">
        <f aca="false">IF(C297="","",C297&amp;"|"&amp;E297&amp;"|"&amp;F297&amp;"|"&amp;G297&amp;"|"&amp;D297&amp;"|"&amp;AX297)</f>
        <v/>
      </c>
    </row>
    <row r="298" customFormat="false" ht="15" hidden="false" customHeight="false" outlineLevel="0" collapsed="false">
      <c r="A298" s="10" t="str">
        <f aca="false">IF(C298="","","EW-"&amp;IFERROR(VLOOKUP(C298,Lists!$P$4:$Q$22,2,0),"??")&amp;"-D"&amp;TEXT(E298*1000,"0000")&amp;"-"&amp;IFERROR(VLOOKUP(F298,Lists!$S$4:$T$21,2,0),"??")&amp;"-"&amp;IFERROR(VLOOKUP(G298,Lists!$Y$4:$Z$21,2,0),"??")&amp;"-"&amp;IFERROR(VLOOKUP(D298,Lists!$V$4:$W$16,2,0),"??")&amp;"-"&amp;X298)</f>
        <v/>
      </c>
      <c r="B298" s="10" t="str">
        <f aca="false">IF(C298="","",D298&amp;" "&amp;C298&amp;", excavation "&amp;TEXT(E298,"0.0")&amp;" m, "&amp;F298&amp;", "&amp;G298&amp;", "&amp;J298)</f>
        <v/>
      </c>
      <c r="C298" s="9"/>
      <c r="D298" s="9"/>
      <c r="E298" s="43"/>
      <c r="F298" s="9"/>
      <c r="G298" s="9"/>
      <c r="H298" s="43"/>
      <c r="I298" s="40"/>
      <c r="J298" s="9"/>
      <c r="K298" s="9"/>
      <c r="L298" s="9"/>
      <c r="M298" s="43"/>
      <c r="N298" s="43"/>
      <c r="O298" s="9"/>
      <c r="P298" s="9"/>
      <c r="Q298" s="9"/>
      <c r="R298" s="9"/>
      <c r="S298" s="40"/>
      <c r="T298" s="40"/>
      <c r="U298" s="9"/>
      <c r="V298" s="9"/>
      <c r="W298" s="9"/>
      <c r="X298" s="9"/>
      <c r="Y298" s="9"/>
      <c r="Z298" s="9"/>
      <c r="AA298" s="9"/>
      <c r="AB298" s="9"/>
      <c r="AC298" s="10" t="str">
        <f aca="false">IF(A298="","",SG_Criteria!$B$6&amp;SG_Criteria!$B$9&amp;"\"&amp;A298&amp;"\")</f>
        <v/>
      </c>
      <c r="AD298" s="10" t="str">
        <f aca="false">IF(A298="","",A298&amp;"_CAD.dwg")</f>
        <v/>
      </c>
      <c r="AE298" s="10" t="str">
        <f aca="false">IF(A298="","",A298&amp;"_DWG.pdf")</f>
        <v/>
      </c>
      <c r="AF298" s="10" t="str">
        <f aca="false">IF(A298="","",IF(AB298="Y",A298&amp;"_STAAD.std","n/a"))</f>
        <v/>
      </c>
      <c r="AG298" s="10" t="str">
        <f aca="false">IF(A298="","",A298&amp;"_CALC.xlsx")</f>
        <v/>
      </c>
      <c r="AH298" s="10" t="str">
        <f aca="false">IF(A298="","",A298&amp;"_CALC.pdf")</f>
        <v/>
      </c>
      <c r="AI298" s="9"/>
      <c r="AJ298" s="9"/>
      <c r="AK298" s="41"/>
      <c r="AL298" s="41"/>
      <c r="AM298" s="41"/>
      <c r="AN298" s="41"/>
      <c r="AO298" s="41"/>
      <c r="AP298" s="38" t="str">
        <f aca="false">IF(OR(C298="",E298=""),"",IF(E298&lt;=IF(C298="Soldier Pile &amp; Timber Lagging",SG_Criteria!$B$34,SG_Criteria!$B$33),"No ERSS submission",IF(E298&lt;=SG_Criteria!$B$35,"QP(ST)",IF(E298&lt;=SG_Criteria!$B$36,"QP(ST) + AC","Geotechnical building works: QP(Geo) + AC"))))</f>
        <v/>
      </c>
      <c r="AQ298" s="38" t="str">
        <f aca="false">IF(C298="","",IF(LEN(IF(AND(U298&lt;&gt;"",IFERROR(VALUE(MID(U298,2,2)),0)&lt;SG_Criteria!$B$19),"FAIL: grade below C"&amp;SG_Criteria!$B$19&amp;". ","")&amp;IF(AND(LEFT(C298,3)="Con",N(H298)&lt;E298,G298="Kallang Formation (marine clay)"),"NOTE: CBP is not watertight below GWT in marine clay; consider secant / grouting. ","")&amp;IF(AND(C298="Steel Sheet Pile",D298="Permanent"),"NOTE: permanent sheet pile needs corrosion allowance. ","")&amp;IF(AND(F298="Cantilever (no support)",E298&gt;6),"NOTE: cantilever embedded wall &gt; 6 m, check deflection. ","")&amp;IF(AND(S298&lt;&gt;"",T298&lt;&gt;"",S298&gt;T298),"FAIL: deflection exceeds allowable. ",""))=0,"OK",IF(AND(U298&lt;&gt;"",IFERROR(VALUE(MID(U298,2,2)),0)&lt;SG_Criteria!$B$19),"FAIL: grade below C"&amp;SG_Criteria!$B$19&amp;". ","")&amp;IF(AND(LEFT(C298,3)="Con",N(H298)&lt;E298,G298="Kallang Formation (marine clay)"),"NOTE: CBP is not watertight below GWT in marine clay; consider secant / grouting. ","")&amp;IF(AND(C298="Steel Sheet Pile",D298="Permanent"),"NOTE: permanent sheet pile needs corrosion allowance. ","")&amp;IF(AND(F298="Cantilever (no support)",E298&gt;6),"NOTE: cantilever embedded wall &gt; 6 m, check deflection. ","")&amp;IF(AND(S298&lt;&gt;"",T298&lt;&gt;"",S298&gt;T298),"FAIL: deflection exceeds allowable. ","")))</f>
        <v/>
      </c>
      <c r="AR298" s="9"/>
      <c r="AS298" s="9"/>
      <c r="AT298" s="9"/>
      <c r="AU298" s="9"/>
      <c r="AV298" s="9"/>
      <c r="AW298" s="31"/>
      <c r="AX298" s="10" t="str">
        <f aca="false">IF(C298="","",IF(AND(Y298="Approved",ISERROR(SEARCH("FAIL",AQ298))),"Y","N"))</f>
        <v/>
      </c>
      <c r="AY298" s="10" t="str">
        <f aca="false">IF(C298="","",C298&amp;"|"&amp;E298&amp;"|"&amp;F298&amp;"|"&amp;G298&amp;"|"&amp;D298&amp;"|"&amp;AX298)</f>
        <v/>
      </c>
    </row>
    <row r="299" customFormat="false" ht="15" hidden="false" customHeight="false" outlineLevel="0" collapsed="false">
      <c r="A299" s="10" t="str">
        <f aca="false">IF(C299="","","EW-"&amp;IFERROR(VLOOKUP(C299,Lists!$P$4:$Q$22,2,0),"??")&amp;"-D"&amp;TEXT(E299*1000,"0000")&amp;"-"&amp;IFERROR(VLOOKUP(F299,Lists!$S$4:$T$21,2,0),"??")&amp;"-"&amp;IFERROR(VLOOKUP(G299,Lists!$Y$4:$Z$21,2,0),"??")&amp;"-"&amp;IFERROR(VLOOKUP(D299,Lists!$V$4:$W$16,2,0),"??")&amp;"-"&amp;X299)</f>
        <v/>
      </c>
      <c r="B299" s="10" t="str">
        <f aca="false">IF(C299="","",D299&amp;" "&amp;C299&amp;", excavation "&amp;TEXT(E299,"0.0")&amp;" m, "&amp;F299&amp;", "&amp;G299&amp;", "&amp;J299)</f>
        <v/>
      </c>
      <c r="C299" s="9"/>
      <c r="D299" s="9"/>
      <c r="E299" s="43"/>
      <c r="F299" s="9"/>
      <c r="G299" s="9"/>
      <c r="H299" s="43"/>
      <c r="I299" s="40"/>
      <c r="J299" s="9"/>
      <c r="K299" s="9"/>
      <c r="L299" s="9"/>
      <c r="M299" s="43"/>
      <c r="N299" s="43"/>
      <c r="O299" s="9"/>
      <c r="P299" s="9"/>
      <c r="Q299" s="9"/>
      <c r="R299" s="9"/>
      <c r="S299" s="40"/>
      <c r="T299" s="40"/>
      <c r="U299" s="9"/>
      <c r="V299" s="9"/>
      <c r="W299" s="9"/>
      <c r="X299" s="9"/>
      <c r="Y299" s="9"/>
      <c r="Z299" s="9"/>
      <c r="AA299" s="9"/>
      <c r="AB299" s="9"/>
      <c r="AC299" s="10" t="str">
        <f aca="false">IF(A299="","",SG_Criteria!$B$6&amp;SG_Criteria!$B$9&amp;"\"&amp;A299&amp;"\")</f>
        <v/>
      </c>
      <c r="AD299" s="10" t="str">
        <f aca="false">IF(A299="","",A299&amp;"_CAD.dwg")</f>
        <v/>
      </c>
      <c r="AE299" s="10" t="str">
        <f aca="false">IF(A299="","",A299&amp;"_DWG.pdf")</f>
        <v/>
      </c>
      <c r="AF299" s="10" t="str">
        <f aca="false">IF(A299="","",IF(AB299="Y",A299&amp;"_STAAD.std","n/a"))</f>
        <v/>
      </c>
      <c r="AG299" s="10" t="str">
        <f aca="false">IF(A299="","",A299&amp;"_CALC.xlsx")</f>
        <v/>
      </c>
      <c r="AH299" s="10" t="str">
        <f aca="false">IF(A299="","",A299&amp;"_CALC.pdf")</f>
        <v/>
      </c>
      <c r="AI299" s="9"/>
      <c r="AJ299" s="9"/>
      <c r="AK299" s="41"/>
      <c r="AL299" s="41"/>
      <c r="AM299" s="41"/>
      <c r="AN299" s="41"/>
      <c r="AO299" s="41"/>
      <c r="AP299" s="38" t="str">
        <f aca="false">IF(OR(C299="",E299=""),"",IF(E299&lt;=IF(C299="Soldier Pile &amp; Timber Lagging",SG_Criteria!$B$34,SG_Criteria!$B$33),"No ERSS submission",IF(E299&lt;=SG_Criteria!$B$35,"QP(ST)",IF(E299&lt;=SG_Criteria!$B$36,"QP(ST) + AC","Geotechnical building works: QP(Geo) + AC"))))</f>
        <v/>
      </c>
      <c r="AQ299" s="38" t="str">
        <f aca="false">IF(C299="","",IF(LEN(IF(AND(U299&lt;&gt;"",IFERROR(VALUE(MID(U299,2,2)),0)&lt;SG_Criteria!$B$19),"FAIL: grade below C"&amp;SG_Criteria!$B$19&amp;". ","")&amp;IF(AND(LEFT(C299,3)="Con",N(H299)&lt;E299,G299="Kallang Formation (marine clay)"),"NOTE: CBP is not watertight below GWT in marine clay; consider secant / grouting. ","")&amp;IF(AND(C299="Steel Sheet Pile",D299="Permanent"),"NOTE: permanent sheet pile needs corrosion allowance. ","")&amp;IF(AND(F299="Cantilever (no support)",E299&gt;6),"NOTE: cantilever embedded wall &gt; 6 m, check deflection. ","")&amp;IF(AND(S299&lt;&gt;"",T299&lt;&gt;"",S299&gt;T299),"FAIL: deflection exceeds allowable. ",""))=0,"OK",IF(AND(U299&lt;&gt;"",IFERROR(VALUE(MID(U299,2,2)),0)&lt;SG_Criteria!$B$19),"FAIL: grade below C"&amp;SG_Criteria!$B$19&amp;". ","")&amp;IF(AND(LEFT(C299,3)="Con",N(H299)&lt;E299,G299="Kallang Formation (marine clay)"),"NOTE: CBP is not watertight below GWT in marine clay; consider secant / grouting. ","")&amp;IF(AND(C299="Steel Sheet Pile",D299="Permanent"),"NOTE: permanent sheet pile needs corrosion allowance. ","")&amp;IF(AND(F299="Cantilever (no support)",E299&gt;6),"NOTE: cantilever embedded wall &gt; 6 m, check deflection. ","")&amp;IF(AND(S299&lt;&gt;"",T299&lt;&gt;"",S299&gt;T299),"FAIL: deflection exceeds allowable. ","")))</f>
        <v/>
      </c>
      <c r="AR299" s="9"/>
      <c r="AS299" s="9"/>
      <c r="AT299" s="9"/>
      <c r="AU299" s="9"/>
      <c r="AV299" s="9"/>
      <c r="AW299" s="31"/>
      <c r="AX299" s="10" t="str">
        <f aca="false">IF(C299="","",IF(AND(Y299="Approved",ISERROR(SEARCH("FAIL",AQ299))),"Y","N"))</f>
        <v/>
      </c>
      <c r="AY299" s="10" t="str">
        <f aca="false">IF(C299="","",C299&amp;"|"&amp;E299&amp;"|"&amp;F299&amp;"|"&amp;G299&amp;"|"&amp;D299&amp;"|"&amp;AX299)</f>
        <v/>
      </c>
    </row>
    <row r="300" customFormat="false" ht="15" hidden="false" customHeight="false" outlineLevel="0" collapsed="false">
      <c r="A300" s="10" t="str">
        <f aca="false">IF(C300="","","EW-"&amp;IFERROR(VLOOKUP(C300,Lists!$P$4:$Q$22,2,0),"??")&amp;"-D"&amp;TEXT(E300*1000,"0000")&amp;"-"&amp;IFERROR(VLOOKUP(F300,Lists!$S$4:$T$21,2,0),"??")&amp;"-"&amp;IFERROR(VLOOKUP(G300,Lists!$Y$4:$Z$21,2,0),"??")&amp;"-"&amp;IFERROR(VLOOKUP(D300,Lists!$V$4:$W$16,2,0),"??")&amp;"-"&amp;X300)</f>
        <v/>
      </c>
      <c r="B300" s="10" t="str">
        <f aca="false">IF(C300="","",D300&amp;" "&amp;C300&amp;", excavation "&amp;TEXT(E300,"0.0")&amp;" m, "&amp;F300&amp;", "&amp;G300&amp;", "&amp;J300)</f>
        <v/>
      </c>
      <c r="C300" s="9"/>
      <c r="D300" s="9"/>
      <c r="E300" s="43"/>
      <c r="F300" s="9"/>
      <c r="G300" s="9"/>
      <c r="H300" s="43"/>
      <c r="I300" s="40"/>
      <c r="J300" s="9"/>
      <c r="K300" s="9"/>
      <c r="L300" s="9"/>
      <c r="M300" s="43"/>
      <c r="N300" s="43"/>
      <c r="O300" s="9"/>
      <c r="P300" s="9"/>
      <c r="Q300" s="9"/>
      <c r="R300" s="9"/>
      <c r="S300" s="40"/>
      <c r="T300" s="40"/>
      <c r="U300" s="9"/>
      <c r="V300" s="9"/>
      <c r="W300" s="9"/>
      <c r="X300" s="9"/>
      <c r="Y300" s="9"/>
      <c r="Z300" s="9"/>
      <c r="AA300" s="9"/>
      <c r="AB300" s="9"/>
      <c r="AC300" s="10" t="str">
        <f aca="false">IF(A300="","",SG_Criteria!$B$6&amp;SG_Criteria!$B$9&amp;"\"&amp;A300&amp;"\")</f>
        <v/>
      </c>
      <c r="AD300" s="10" t="str">
        <f aca="false">IF(A300="","",A300&amp;"_CAD.dwg")</f>
        <v/>
      </c>
      <c r="AE300" s="10" t="str">
        <f aca="false">IF(A300="","",A300&amp;"_DWG.pdf")</f>
        <v/>
      </c>
      <c r="AF300" s="10" t="str">
        <f aca="false">IF(A300="","",IF(AB300="Y",A300&amp;"_STAAD.std","n/a"))</f>
        <v/>
      </c>
      <c r="AG300" s="10" t="str">
        <f aca="false">IF(A300="","",A300&amp;"_CALC.xlsx")</f>
        <v/>
      </c>
      <c r="AH300" s="10" t="str">
        <f aca="false">IF(A300="","",A300&amp;"_CALC.pdf")</f>
        <v/>
      </c>
      <c r="AI300" s="9"/>
      <c r="AJ300" s="9"/>
      <c r="AK300" s="41"/>
      <c r="AL300" s="41"/>
      <c r="AM300" s="41"/>
      <c r="AN300" s="41"/>
      <c r="AO300" s="41"/>
      <c r="AP300" s="38" t="str">
        <f aca="false">IF(OR(C300="",E300=""),"",IF(E300&lt;=IF(C300="Soldier Pile &amp; Timber Lagging",SG_Criteria!$B$34,SG_Criteria!$B$33),"No ERSS submission",IF(E300&lt;=SG_Criteria!$B$35,"QP(ST)",IF(E300&lt;=SG_Criteria!$B$36,"QP(ST) + AC","Geotechnical building works: QP(Geo) + AC"))))</f>
        <v/>
      </c>
      <c r="AQ300" s="38" t="str">
        <f aca="false">IF(C300="","",IF(LEN(IF(AND(U300&lt;&gt;"",IFERROR(VALUE(MID(U300,2,2)),0)&lt;SG_Criteria!$B$19),"FAIL: grade below C"&amp;SG_Criteria!$B$19&amp;". ","")&amp;IF(AND(LEFT(C300,3)="Con",N(H300)&lt;E300,G300="Kallang Formation (marine clay)"),"NOTE: CBP is not watertight below GWT in marine clay; consider secant / grouting. ","")&amp;IF(AND(C300="Steel Sheet Pile",D300="Permanent"),"NOTE: permanent sheet pile needs corrosion allowance. ","")&amp;IF(AND(F300="Cantilever (no support)",E300&gt;6),"NOTE: cantilever embedded wall &gt; 6 m, check deflection. ","")&amp;IF(AND(S300&lt;&gt;"",T300&lt;&gt;"",S300&gt;T300),"FAIL: deflection exceeds allowable. ",""))=0,"OK",IF(AND(U300&lt;&gt;"",IFERROR(VALUE(MID(U300,2,2)),0)&lt;SG_Criteria!$B$19),"FAIL: grade below C"&amp;SG_Criteria!$B$19&amp;". ","")&amp;IF(AND(LEFT(C300,3)="Con",N(H300)&lt;E300,G300="Kallang Formation (marine clay)"),"NOTE: CBP is not watertight below GWT in marine clay; consider secant / grouting. ","")&amp;IF(AND(C300="Steel Sheet Pile",D300="Permanent"),"NOTE: permanent sheet pile needs corrosion allowance. ","")&amp;IF(AND(F300="Cantilever (no support)",E300&gt;6),"NOTE: cantilever embedded wall &gt; 6 m, check deflection. ","")&amp;IF(AND(S300&lt;&gt;"",T300&lt;&gt;"",S300&gt;T300),"FAIL: deflection exceeds allowable. ","")))</f>
        <v/>
      </c>
      <c r="AR300" s="9"/>
      <c r="AS300" s="9"/>
      <c r="AT300" s="9"/>
      <c r="AU300" s="9"/>
      <c r="AV300" s="9"/>
      <c r="AW300" s="31"/>
      <c r="AX300" s="10" t="str">
        <f aca="false">IF(C300="","",IF(AND(Y300="Approved",ISERROR(SEARCH("FAIL",AQ300))),"Y","N"))</f>
        <v/>
      </c>
      <c r="AY300" s="10" t="str">
        <f aca="false">IF(C300="","",C300&amp;"|"&amp;E300&amp;"|"&amp;F300&amp;"|"&amp;G300&amp;"|"&amp;D300&amp;"|"&amp;AX300)</f>
        <v/>
      </c>
    </row>
    <row r="301" customFormat="false" ht="15" hidden="false" customHeight="false" outlineLevel="0" collapsed="false">
      <c r="A301" s="10" t="str">
        <f aca="false">IF(C301="","","EW-"&amp;IFERROR(VLOOKUP(C301,Lists!$P$4:$Q$22,2,0),"??")&amp;"-D"&amp;TEXT(E301*1000,"0000")&amp;"-"&amp;IFERROR(VLOOKUP(F301,Lists!$S$4:$T$21,2,0),"??")&amp;"-"&amp;IFERROR(VLOOKUP(G301,Lists!$Y$4:$Z$21,2,0),"??")&amp;"-"&amp;IFERROR(VLOOKUP(D301,Lists!$V$4:$W$16,2,0),"??")&amp;"-"&amp;X301)</f>
        <v/>
      </c>
      <c r="B301" s="10" t="str">
        <f aca="false">IF(C301="","",D301&amp;" "&amp;C301&amp;", excavation "&amp;TEXT(E301,"0.0")&amp;" m, "&amp;F301&amp;", "&amp;G301&amp;", "&amp;J301)</f>
        <v/>
      </c>
      <c r="C301" s="9"/>
      <c r="D301" s="9"/>
      <c r="E301" s="43"/>
      <c r="F301" s="9"/>
      <c r="G301" s="9"/>
      <c r="H301" s="43"/>
      <c r="I301" s="40"/>
      <c r="J301" s="9"/>
      <c r="K301" s="9"/>
      <c r="L301" s="9"/>
      <c r="M301" s="43"/>
      <c r="N301" s="43"/>
      <c r="O301" s="9"/>
      <c r="P301" s="9"/>
      <c r="Q301" s="9"/>
      <c r="R301" s="9"/>
      <c r="S301" s="40"/>
      <c r="T301" s="40"/>
      <c r="U301" s="9"/>
      <c r="V301" s="9"/>
      <c r="W301" s="9"/>
      <c r="X301" s="9"/>
      <c r="Y301" s="9"/>
      <c r="Z301" s="9"/>
      <c r="AA301" s="9"/>
      <c r="AB301" s="9"/>
      <c r="AC301" s="10" t="str">
        <f aca="false">IF(A301="","",SG_Criteria!$B$6&amp;SG_Criteria!$B$9&amp;"\"&amp;A301&amp;"\")</f>
        <v/>
      </c>
      <c r="AD301" s="10" t="str">
        <f aca="false">IF(A301="","",A301&amp;"_CAD.dwg")</f>
        <v/>
      </c>
      <c r="AE301" s="10" t="str">
        <f aca="false">IF(A301="","",A301&amp;"_DWG.pdf")</f>
        <v/>
      </c>
      <c r="AF301" s="10" t="str">
        <f aca="false">IF(A301="","",IF(AB301="Y",A301&amp;"_STAAD.std","n/a"))</f>
        <v/>
      </c>
      <c r="AG301" s="10" t="str">
        <f aca="false">IF(A301="","",A301&amp;"_CALC.xlsx")</f>
        <v/>
      </c>
      <c r="AH301" s="10" t="str">
        <f aca="false">IF(A301="","",A301&amp;"_CALC.pdf")</f>
        <v/>
      </c>
      <c r="AI301" s="9"/>
      <c r="AJ301" s="9"/>
      <c r="AK301" s="41"/>
      <c r="AL301" s="41"/>
      <c r="AM301" s="41"/>
      <c r="AN301" s="41"/>
      <c r="AO301" s="41"/>
      <c r="AP301" s="38" t="str">
        <f aca="false">IF(OR(C301="",E301=""),"",IF(E301&lt;=IF(C301="Soldier Pile &amp; Timber Lagging",SG_Criteria!$B$34,SG_Criteria!$B$33),"No ERSS submission",IF(E301&lt;=SG_Criteria!$B$35,"QP(ST)",IF(E301&lt;=SG_Criteria!$B$36,"QP(ST) + AC","Geotechnical building works: QP(Geo) + AC"))))</f>
        <v/>
      </c>
      <c r="AQ301" s="38" t="str">
        <f aca="false">IF(C301="","",IF(LEN(IF(AND(U301&lt;&gt;"",IFERROR(VALUE(MID(U301,2,2)),0)&lt;SG_Criteria!$B$19),"FAIL: grade below C"&amp;SG_Criteria!$B$19&amp;". ","")&amp;IF(AND(LEFT(C301,3)="Con",N(H301)&lt;E301,G301="Kallang Formation (marine clay)"),"NOTE: CBP is not watertight below GWT in marine clay; consider secant / grouting. ","")&amp;IF(AND(C301="Steel Sheet Pile",D301="Permanent"),"NOTE: permanent sheet pile needs corrosion allowance. ","")&amp;IF(AND(F301="Cantilever (no support)",E301&gt;6),"NOTE: cantilever embedded wall &gt; 6 m, check deflection. ","")&amp;IF(AND(S301&lt;&gt;"",T301&lt;&gt;"",S301&gt;T301),"FAIL: deflection exceeds allowable. ",""))=0,"OK",IF(AND(U301&lt;&gt;"",IFERROR(VALUE(MID(U301,2,2)),0)&lt;SG_Criteria!$B$19),"FAIL: grade below C"&amp;SG_Criteria!$B$19&amp;". ","")&amp;IF(AND(LEFT(C301,3)="Con",N(H301)&lt;E301,G301="Kallang Formation (marine clay)"),"NOTE: CBP is not watertight below GWT in marine clay; consider secant / grouting. ","")&amp;IF(AND(C301="Steel Sheet Pile",D301="Permanent"),"NOTE: permanent sheet pile needs corrosion allowance. ","")&amp;IF(AND(F301="Cantilever (no support)",E301&gt;6),"NOTE: cantilever embedded wall &gt; 6 m, check deflection. ","")&amp;IF(AND(S301&lt;&gt;"",T301&lt;&gt;"",S301&gt;T301),"FAIL: deflection exceeds allowable. ","")))</f>
        <v/>
      </c>
      <c r="AR301" s="9"/>
      <c r="AS301" s="9"/>
      <c r="AT301" s="9"/>
      <c r="AU301" s="9"/>
      <c r="AV301" s="9"/>
      <c r="AW301" s="31"/>
      <c r="AX301" s="10" t="str">
        <f aca="false">IF(C301="","",IF(AND(Y301="Approved",ISERROR(SEARCH("FAIL",AQ301))),"Y","N"))</f>
        <v/>
      </c>
      <c r="AY301" s="10" t="str">
        <f aca="false">IF(C301="","",C301&amp;"|"&amp;E301&amp;"|"&amp;F301&amp;"|"&amp;G301&amp;"|"&amp;D301&amp;"|"&amp;AX301)</f>
        <v/>
      </c>
    </row>
    <row r="302" customFormat="false" ht="15" hidden="false" customHeight="false" outlineLevel="0" collapsed="false">
      <c r="A302" s="10" t="str">
        <f aca="false">IF(C302="","","EW-"&amp;IFERROR(VLOOKUP(C302,Lists!$P$4:$Q$22,2,0),"??")&amp;"-D"&amp;TEXT(E302*1000,"0000")&amp;"-"&amp;IFERROR(VLOOKUP(F302,Lists!$S$4:$T$21,2,0),"??")&amp;"-"&amp;IFERROR(VLOOKUP(G302,Lists!$Y$4:$Z$21,2,0),"??")&amp;"-"&amp;IFERROR(VLOOKUP(D302,Lists!$V$4:$W$16,2,0),"??")&amp;"-"&amp;X302)</f>
        <v/>
      </c>
      <c r="B302" s="10" t="str">
        <f aca="false">IF(C302="","",D302&amp;" "&amp;C302&amp;", excavation "&amp;TEXT(E302,"0.0")&amp;" m, "&amp;F302&amp;", "&amp;G302&amp;", "&amp;J302)</f>
        <v/>
      </c>
      <c r="C302" s="9"/>
      <c r="D302" s="9"/>
      <c r="E302" s="43"/>
      <c r="F302" s="9"/>
      <c r="G302" s="9"/>
      <c r="H302" s="43"/>
      <c r="I302" s="40"/>
      <c r="J302" s="9"/>
      <c r="K302" s="9"/>
      <c r="L302" s="9"/>
      <c r="M302" s="43"/>
      <c r="N302" s="43"/>
      <c r="O302" s="9"/>
      <c r="P302" s="9"/>
      <c r="Q302" s="9"/>
      <c r="R302" s="9"/>
      <c r="S302" s="40"/>
      <c r="T302" s="40"/>
      <c r="U302" s="9"/>
      <c r="V302" s="9"/>
      <c r="W302" s="9"/>
      <c r="X302" s="9"/>
      <c r="Y302" s="9"/>
      <c r="Z302" s="9"/>
      <c r="AA302" s="9"/>
      <c r="AB302" s="9"/>
      <c r="AC302" s="10" t="str">
        <f aca="false">IF(A302="","",SG_Criteria!$B$6&amp;SG_Criteria!$B$9&amp;"\"&amp;A302&amp;"\")</f>
        <v/>
      </c>
      <c r="AD302" s="10" t="str">
        <f aca="false">IF(A302="","",A302&amp;"_CAD.dwg")</f>
        <v/>
      </c>
      <c r="AE302" s="10" t="str">
        <f aca="false">IF(A302="","",A302&amp;"_DWG.pdf")</f>
        <v/>
      </c>
      <c r="AF302" s="10" t="str">
        <f aca="false">IF(A302="","",IF(AB302="Y",A302&amp;"_STAAD.std","n/a"))</f>
        <v/>
      </c>
      <c r="AG302" s="10" t="str">
        <f aca="false">IF(A302="","",A302&amp;"_CALC.xlsx")</f>
        <v/>
      </c>
      <c r="AH302" s="10" t="str">
        <f aca="false">IF(A302="","",A302&amp;"_CALC.pdf")</f>
        <v/>
      </c>
      <c r="AI302" s="9"/>
      <c r="AJ302" s="9"/>
      <c r="AK302" s="41"/>
      <c r="AL302" s="41"/>
      <c r="AM302" s="41"/>
      <c r="AN302" s="41"/>
      <c r="AO302" s="41"/>
      <c r="AP302" s="38" t="str">
        <f aca="false">IF(OR(C302="",E302=""),"",IF(E302&lt;=IF(C302="Soldier Pile &amp; Timber Lagging",SG_Criteria!$B$34,SG_Criteria!$B$33),"No ERSS submission",IF(E302&lt;=SG_Criteria!$B$35,"QP(ST)",IF(E302&lt;=SG_Criteria!$B$36,"QP(ST) + AC","Geotechnical building works: QP(Geo) + AC"))))</f>
        <v/>
      </c>
      <c r="AQ302" s="38" t="str">
        <f aca="false">IF(C302="","",IF(LEN(IF(AND(U302&lt;&gt;"",IFERROR(VALUE(MID(U302,2,2)),0)&lt;SG_Criteria!$B$19),"FAIL: grade below C"&amp;SG_Criteria!$B$19&amp;". ","")&amp;IF(AND(LEFT(C302,3)="Con",N(H302)&lt;E302,G302="Kallang Formation (marine clay)"),"NOTE: CBP is not watertight below GWT in marine clay; consider secant / grouting. ","")&amp;IF(AND(C302="Steel Sheet Pile",D302="Permanent"),"NOTE: permanent sheet pile needs corrosion allowance. ","")&amp;IF(AND(F302="Cantilever (no support)",E302&gt;6),"NOTE: cantilever embedded wall &gt; 6 m, check deflection. ","")&amp;IF(AND(S302&lt;&gt;"",T302&lt;&gt;"",S302&gt;T302),"FAIL: deflection exceeds allowable. ",""))=0,"OK",IF(AND(U302&lt;&gt;"",IFERROR(VALUE(MID(U302,2,2)),0)&lt;SG_Criteria!$B$19),"FAIL: grade below C"&amp;SG_Criteria!$B$19&amp;". ","")&amp;IF(AND(LEFT(C302,3)="Con",N(H302)&lt;E302,G302="Kallang Formation (marine clay)"),"NOTE: CBP is not watertight below GWT in marine clay; consider secant / grouting. ","")&amp;IF(AND(C302="Steel Sheet Pile",D302="Permanent"),"NOTE: permanent sheet pile needs corrosion allowance. ","")&amp;IF(AND(F302="Cantilever (no support)",E302&gt;6),"NOTE: cantilever embedded wall &gt; 6 m, check deflection. ","")&amp;IF(AND(S302&lt;&gt;"",T302&lt;&gt;"",S302&gt;T302),"FAIL: deflection exceeds allowable. ","")))</f>
        <v/>
      </c>
      <c r="AR302" s="9"/>
      <c r="AS302" s="9"/>
      <c r="AT302" s="9"/>
      <c r="AU302" s="9"/>
      <c r="AV302" s="9"/>
      <c r="AW302" s="31"/>
      <c r="AX302" s="10" t="str">
        <f aca="false">IF(C302="","",IF(AND(Y302="Approved",ISERROR(SEARCH("FAIL",AQ302))),"Y","N"))</f>
        <v/>
      </c>
      <c r="AY302" s="10" t="str">
        <f aca="false">IF(C302="","",C302&amp;"|"&amp;E302&amp;"|"&amp;F302&amp;"|"&amp;G302&amp;"|"&amp;D302&amp;"|"&amp;AX302)</f>
        <v/>
      </c>
    </row>
    <row r="303" customFormat="false" ht="15" hidden="false" customHeight="false" outlineLevel="0" collapsed="false">
      <c r="A303" s="10" t="str">
        <f aca="false">IF(C303="","","EW-"&amp;IFERROR(VLOOKUP(C303,Lists!$P$4:$Q$22,2,0),"??")&amp;"-D"&amp;TEXT(E303*1000,"0000")&amp;"-"&amp;IFERROR(VLOOKUP(F303,Lists!$S$4:$T$21,2,0),"??")&amp;"-"&amp;IFERROR(VLOOKUP(G303,Lists!$Y$4:$Z$21,2,0),"??")&amp;"-"&amp;IFERROR(VLOOKUP(D303,Lists!$V$4:$W$16,2,0),"??")&amp;"-"&amp;X303)</f>
        <v/>
      </c>
      <c r="B303" s="10" t="str">
        <f aca="false">IF(C303="","",D303&amp;" "&amp;C303&amp;", excavation "&amp;TEXT(E303,"0.0")&amp;" m, "&amp;F303&amp;", "&amp;G303&amp;", "&amp;J303)</f>
        <v/>
      </c>
      <c r="C303" s="9"/>
      <c r="D303" s="9"/>
      <c r="E303" s="43"/>
      <c r="F303" s="9"/>
      <c r="G303" s="9"/>
      <c r="H303" s="43"/>
      <c r="I303" s="40"/>
      <c r="J303" s="9"/>
      <c r="K303" s="9"/>
      <c r="L303" s="9"/>
      <c r="M303" s="43"/>
      <c r="N303" s="43"/>
      <c r="O303" s="9"/>
      <c r="P303" s="9"/>
      <c r="Q303" s="9"/>
      <c r="R303" s="9"/>
      <c r="S303" s="40"/>
      <c r="T303" s="40"/>
      <c r="U303" s="9"/>
      <c r="V303" s="9"/>
      <c r="W303" s="9"/>
      <c r="X303" s="9"/>
      <c r="Y303" s="9"/>
      <c r="Z303" s="9"/>
      <c r="AA303" s="9"/>
      <c r="AB303" s="9"/>
      <c r="AC303" s="10" t="str">
        <f aca="false">IF(A303="","",SG_Criteria!$B$6&amp;SG_Criteria!$B$9&amp;"\"&amp;A303&amp;"\")</f>
        <v/>
      </c>
      <c r="AD303" s="10" t="str">
        <f aca="false">IF(A303="","",A303&amp;"_CAD.dwg")</f>
        <v/>
      </c>
      <c r="AE303" s="10" t="str">
        <f aca="false">IF(A303="","",A303&amp;"_DWG.pdf")</f>
        <v/>
      </c>
      <c r="AF303" s="10" t="str">
        <f aca="false">IF(A303="","",IF(AB303="Y",A303&amp;"_STAAD.std","n/a"))</f>
        <v/>
      </c>
      <c r="AG303" s="10" t="str">
        <f aca="false">IF(A303="","",A303&amp;"_CALC.xlsx")</f>
        <v/>
      </c>
      <c r="AH303" s="10" t="str">
        <f aca="false">IF(A303="","",A303&amp;"_CALC.pdf")</f>
        <v/>
      </c>
      <c r="AI303" s="9"/>
      <c r="AJ303" s="9"/>
      <c r="AK303" s="41"/>
      <c r="AL303" s="41"/>
      <c r="AM303" s="41"/>
      <c r="AN303" s="41"/>
      <c r="AO303" s="41"/>
      <c r="AP303" s="38" t="str">
        <f aca="false">IF(OR(C303="",E303=""),"",IF(E303&lt;=IF(C303="Soldier Pile &amp; Timber Lagging",SG_Criteria!$B$34,SG_Criteria!$B$33),"No ERSS submission",IF(E303&lt;=SG_Criteria!$B$35,"QP(ST)",IF(E303&lt;=SG_Criteria!$B$36,"QP(ST) + AC","Geotechnical building works: QP(Geo) + AC"))))</f>
        <v/>
      </c>
      <c r="AQ303" s="38" t="str">
        <f aca="false">IF(C303="","",IF(LEN(IF(AND(U303&lt;&gt;"",IFERROR(VALUE(MID(U303,2,2)),0)&lt;SG_Criteria!$B$19),"FAIL: grade below C"&amp;SG_Criteria!$B$19&amp;". ","")&amp;IF(AND(LEFT(C303,3)="Con",N(H303)&lt;E303,G303="Kallang Formation (marine clay)"),"NOTE: CBP is not watertight below GWT in marine clay; consider secant / grouting. ","")&amp;IF(AND(C303="Steel Sheet Pile",D303="Permanent"),"NOTE: permanent sheet pile needs corrosion allowance. ","")&amp;IF(AND(F303="Cantilever (no support)",E303&gt;6),"NOTE: cantilever embedded wall &gt; 6 m, check deflection. ","")&amp;IF(AND(S303&lt;&gt;"",T303&lt;&gt;"",S303&gt;T303),"FAIL: deflection exceeds allowable. ",""))=0,"OK",IF(AND(U303&lt;&gt;"",IFERROR(VALUE(MID(U303,2,2)),0)&lt;SG_Criteria!$B$19),"FAIL: grade below C"&amp;SG_Criteria!$B$19&amp;". ","")&amp;IF(AND(LEFT(C303,3)="Con",N(H303)&lt;E303,G303="Kallang Formation (marine clay)"),"NOTE: CBP is not watertight below GWT in marine clay; consider secant / grouting. ","")&amp;IF(AND(C303="Steel Sheet Pile",D303="Permanent"),"NOTE: permanent sheet pile needs corrosion allowance. ","")&amp;IF(AND(F303="Cantilever (no support)",E303&gt;6),"NOTE: cantilever embedded wall &gt; 6 m, check deflection. ","")&amp;IF(AND(S303&lt;&gt;"",T303&lt;&gt;"",S303&gt;T303),"FAIL: deflection exceeds allowable. ","")))</f>
        <v/>
      </c>
      <c r="AR303" s="9"/>
      <c r="AS303" s="9"/>
      <c r="AT303" s="9"/>
      <c r="AU303" s="9"/>
      <c r="AV303" s="9"/>
      <c r="AW303" s="31"/>
      <c r="AX303" s="10" t="str">
        <f aca="false">IF(C303="","",IF(AND(Y303="Approved",ISERROR(SEARCH("FAIL",AQ303))),"Y","N"))</f>
        <v/>
      </c>
      <c r="AY303" s="10" t="str">
        <f aca="false">IF(C303="","",C303&amp;"|"&amp;E303&amp;"|"&amp;F303&amp;"|"&amp;G303&amp;"|"&amp;D303&amp;"|"&amp;AX303)</f>
        <v/>
      </c>
    </row>
    <row r="304" customFormat="false" ht="15" hidden="false" customHeight="false" outlineLevel="0" collapsed="false">
      <c r="A304" s="10" t="str">
        <f aca="false">IF(C304="","","EW-"&amp;IFERROR(VLOOKUP(C304,Lists!$P$4:$Q$22,2,0),"??")&amp;"-D"&amp;TEXT(E304*1000,"0000")&amp;"-"&amp;IFERROR(VLOOKUP(F304,Lists!$S$4:$T$21,2,0),"??")&amp;"-"&amp;IFERROR(VLOOKUP(G304,Lists!$Y$4:$Z$21,2,0),"??")&amp;"-"&amp;IFERROR(VLOOKUP(D304,Lists!$V$4:$W$16,2,0),"??")&amp;"-"&amp;X304)</f>
        <v/>
      </c>
      <c r="B304" s="10" t="str">
        <f aca="false">IF(C304="","",D304&amp;" "&amp;C304&amp;", excavation "&amp;TEXT(E304,"0.0")&amp;" m, "&amp;F304&amp;", "&amp;G304&amp;", "&amp;J304)</f>
        <v/>
      </c>
      <c r="C304" s="9"/>
      <c r="D304" s="9"/>
      <c r="E304" s="43"/>
      <c r="F304" s="9"/>
      <c r="G304" s="9"/>
      <c r="H304" s="43"/>
      <c r="I304" s="40"/>
      <c r="J304" s="9"/>
      <c r="K304" s="9"/>
      <c r="L304" s="9"/>
      <c r="M304" s="43"/>
      <c r="N304" s="43"/>
      <c r="O304" s="9"/>
      <c r="P304" s="9"/>
      <c r="Q304" s="9"/>
      <c r="R304" s="9"/>
      <c r="S304" s="40"/>
      <c r="T304" s="40"/>
      <c r="U304" s="9"/>
      <c r="V304" s="9"/>
      <c r="W304" s="9"/>
      <c r="X304" s="9"/>
      <c r="Y304" s="9"/>
      <c r="Z304" s="9"/>
      <c r="AA304" s="9"/>
      <c r="AB304" s="9"/>
      <c r="AC304" s="10" t="str">
        <f aca="false">IF(A304="","",SG_Criteria!$B$6&amp;SG_Criteria!$B$9&amp;"\"&amp;A304&amp;"\")</f>
        <v/>
      </c>
      <c r="AD304" s="10" t="str">
        <f aca="false">IF(A304="","",A304&amp;"_CAD.dwg")</f>
        <v/>
      </c>
      <c r="AE304" s="10" t="str">
        <f aca="false">IF(A304="","",A304&amp;"_DWG.pdf")</f>
        <v/>
      </c>
      <c r="AF304" s="10" t="str">
        <f aca="false">IF(A304="","",IF(AB304="Y",A304&amp;"_STAAD.std","n/a"))</f>
        <v/>
      </c>
      <c r="AG304" s="10" t="str">
        <f aca="false">IF(A304="","",A304&amp;"_CALC.xlsx")</f>
        <v/>
      </c>
      <c r="AH304" s="10" t="str">
        <f aca="false">IF(A304="","",A304&amp;"_CALC.pdf")</f>
        <v/>
      </c>
      <c r="AI304" s="9"/>
      <c r="AJ304" s="9"/>
      <c r="AK304" s="41"/>
      <c r="AL304" s="41"/>
      <c r="AM304" s="41"/>
      <c r="AN304" s="41"/>
      <c r="AO304" s="41"/>
      <c r="AP304" s="38" t="str">
        <f aca="false">IF(OR(C304="",E304=""),"",IF(E304&lt;=IF(C304="Soldier Pile &amp; Timber Lagging",SG_Criteria!$B$34,SG_Criteria!$B$33),"No ERSS submission",IF(E304&lt;=SG_Criteria!$B$35,"QP(ST)",IF(E304&lt;=SG_Criteria!$B$36,"QP(ST) + AC","Geotechnical building works: QP(Geo) + AC"))))</f>
        <v/>
      </c>
      <c r="AQ304" s="38" t="str">
        <f aca="false">IF(C304="","",IF(LEN(IF(AND(U304&lt;&gt;"",IFERROR(VALUE(MID(U304,2,2)),0)&lt;SG_Criteria!$B$19),"FAIL: grade below C"&amp;SG_Criteria!$B$19&amp;". ","")&amp;IF(AND(LEFT(C304,3)="Con",N(H304)&lt;E304,G304="Kallang Formation (marine clay)"),"NOTE: CBP is not watertight below GWT in marine clay; consider secant / grouting. ","")&amp;IF(AND(C304="Steel Sheet Pile",D304="Permanent"),"NOTE: permanent sheet pile needs corrosion allowance. ","")&amp;IF(AND(F304="Cantilever (no support)",E304&gt;6),"NOTE: cantilever embedded wall &gt; 6 m, check deflection. ","")&amp;IF(AND(S304&lt;&gt;"",T304&lt;&gt;"",S304&gt;T304),"FAIL: deflection exceeds allowable. ",""))=0,"OK",IF(AND(U304&lt;&gt;"",IFERROR(VALUE(MID(U304,2,2)),0)&lt;SG_Criteria!$B$19),"FAIL: grade below C"&amp;SG_Criteria!$B$19&amp;". ","")&amp;IF(AND(LEFT(C304,3)="Con",N(H304)&lt;E304,G304="Kallang Formation (marine clay)"),"NOTE: CBP is not watertight below GWT in marine clay; consider secant / grouting. ","")&amp;IF(AND(C304="Steel Sheet Pile",D304="Permanent"),"NOTE: permanent sheet pile needs corrosion allowance. ","")&amp;IF(AND(F304="Cantilever (no support)",E304&gt;6),"NOTE: cantilever embedded wall &gt; 6 m, check deflection. ","")&amp;IF(AND(S304&lt;&gt;"",T304&lt;&gt;"",S304&gt;T304),"FAIL: deflection exceeds allowable. ","")))</f>
        <v/>
      </c>
      <c r="AR304" s="9"/>
      <c r="AS304" s="9"/>
      <c r="AT304" s="9"/>
      <c r="AU304" s="9"/>
      <c r="AV304" s="9"/>
      <c r="AW304" s="31"/>
      <c r="AX304" s="10" t="str">
        <f aca="false">IF(C304="","",IF(AND(Y304="Approved",ISERROR(SEARCH("FAIL",AQ304))),"Y","N"))</f>
        <v/>
      </c>
      <c r="AY304" s="10" t="str">
        <f aca="false">IF(C304="","",C304&amp;"|"&amp;E304&amp;"|"&amp;F304&amp;"|"&amp;G304&amp;"|"&amp;D304&amp;"|"&amp;AX304)</f>
        <v/>
      </c>
    </row>
  </sheetData>
  <conditionalFormatting sqref="AQ5:AQ304">
    <cfRule type="expression" priority="2" aboveAverage="0" equalAverage="0" bottom="0" percent="0" rank="0" text="" dxfId="0">
      <formula>ISNUMBER(SEARCH("FAIL",AQ5))</formula>
    </cfRule>
    <cfRule type="expression" priority="3" aboveAverage="0" equalAverage="0" bottom="0" percent="0" rank="0" text="" dxfId="15">
      <formula>ISNUMBER(SEARCH("NOTE",AQ5))</formula>
    </cfRule>
    <cfRule type="expression" priority="4" aboveAverage="0" equalAverage="0" bottom="0" percent="0" rank="0" text="" dxfId="1">
      <formula>AQ5="OK"</formula>
    </cfRule>
  </conditionalFormatting>
  <conditionalFormatting sqref="AP5:AP304">
    <cfRule type="expression" priority="5" aboveAverage="0" equalAverage="0" bottom="0" percent="0" rank="0" text="" dxfId="0">
      <formula>ISNUMBER(SEARCH("FAIL",AP5))</formula>
    </cfRule>
    <cfRule type="expression" priority="6" aboveAverage="0" equalAverage="0" bottom="0" percent="0" rank="0" text="" dxfId="15">
      <formula>ISNUMBER(SEARCH("NOTE",AP5))</formula>
    </cfRule>
    <cfRule type="expression" priority="7" aboveAverage="0" equalAverage="0" bottom="0" percent="0" rank="0" text="" dxfId="1">
      <formula>AP5="OK"</formula>
    </cfRule>
  </conditionalFormatting>
  <dataValidations count="10">
    <dataValidation allowBlank="true" error="Pick a value from the list (add new values on the Lists sheet)." errorStyle="stop" errorTitle="Not in list" operator="between" showDropDown="false" showErrorMessage="false" showInputMessage="false" sqref="C5:C304" type="list">
      <formula1>Lists!$P$4:$P$22</formula1>
      <formula2>0</formula2>
    </dataValidation>
    <dataValidation allowBlank="true" error="Pick a value from the list (add new values on the Lists sheet)." errorStyle="stop" errorTitle="Not in list" operator="between" showDropDown="false" showErrorMessage="false" showInputMessage="false" sqref="D5:D304" type="list">
      <formula1>Lists!$V$4:$V$16</formula1>
      <formula2>0</formula2>
    </dataValidation>
    <dataValidation allowBlank="true" error="Pick a value from the list (add new values on the Lists sheet)." errorStyle="stop" errorTitle="Not in list" operator="between" showDropDown="false" showErrorMessage="false" showInputMessage="false" sqref="F5:F304" type="list">
      <formula1>Lists!$S$4:$S$21</formula1>
      <formula2>0</formula2>
    </dataValidation>
    <dataValidation allowBlank="true" error="Pick a value from the list (add new values on the Lists sheet)." errorStyle="stop" errorTitle="Not in list" operator="between" showDropDown="false" showErrorMessage="false" showInputMessage="false" sqref="G5:G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U5:U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Y5:Y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A5:AA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B5:AB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J5:AJ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BA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54"/>
    <col collapsed="false" customWidth="true" hidden="false" outlineLevel="0" max="3" min="3" style="0" width="26"/>
    <col collapsed="false" customWidth="true" hidden="false" outlineLevel="0" max="4" min="4" style="0" width="11"/>
    <col collapsed="false" customWidth="true" hidden="false" outlineLevel="0" max="5" min="5" style="0" width="10"/>
    <col collapsed="false" customWidth="true" hidden="false" outlineLevel="0" max="6" min="6" style="0" width="9"/>
    <col collapsed="false" customWidth="true" hidden="false" outlineLevel="0" max="7" min="7" style="0" width="8"/>
    <col collapsed="false" customWidth="true" hidden="false" outlineLevel="0" max="9" min="8" style="0" width="7"/>
    <col collapsed="false" customWidth="true" hidden="false" outlineLevel="0" max="10" min="10" style="0" width="8"/>
    <col collapsed="false" customWidth="true" hidden="false" outlineLevel="0" max="13" min="11" style="0" width="7"/>
    <col collapsed="false" customWidth="true" hidden="false" outlineLevel="0" max="14" min="14" style="0" width="16"/>
    <col collapsed="false" customWidth="true" hidden="false" outlineLevel="0" max="16" min="15" style="0" width="14"/>
    <col collapsed="false" customWidth="true" hidden="false" outlineLevel="0" max="17" min="17" style="0" width="20"/>
    <col collapsed="false" customWidth="true" hidden="false" outlineLevel="0" max="18" min="18" style="0" width="7"/>
    <col collapsed="false" customWidth="true" hidden="false" outlineLevel="0" max="19" min="19" style="0" width="8"/>
    <col collapsed="false" customWidth="true" hidden="false" outlineLevel="0" max="20" min="20" style="0" width="6"/>
    <col collapsed="false" customWidth="true" hidden="false" outlineLevel="0" max="23" min="21" style="0" width="10"/>
    <col collapsed="false" customWidth="true" hidden="false" outlineLevel="0" max="24" min="24" style="0" width="16"/>
    <col collapsed="false" customWidth="true" hidden="false" outlineLevel="0" max="26" min="25" style="0" width="30"/>
    <col collapsed="false" customWidth="true" hidden="false" outlineLevel="0" max="27" min="27" style="0" width="5"/>
    <col collapsed="false" customWidth="true" hidden="false" outlineLevel="0" max="28" min="28" style="0" width="10"/>
    <col collapsed="false" customWidth="true" hidden="false" outlineLevel="0" max="29" min="29" style="0" width="14"/>
    <col collapsed="false" customWidth="true" hidden="false" outlineLevel="0" max="30" min="30" style="0" width="8"/>
    <col collapsed="false" customWidth="true" hidden="false" outlineLevel="0" max="31" min="31" style="0" width="9"/>
    <col collapsed="false" customWidth="true" hidden="false" outlineLevel="0" max="32" min="32" style="0" width="46"/>
    <col collapsed="false" customWidth="true" hidden="false" outlineLevel="0" max="37" min="33" style="0" width="30"/>
    <col collapsed="false" customWidth="true" hidden="false" outlineLevel="0" max="38" min="38" style="0" width="9"/>
    <col collapsed="false" customWidth="true" hidden="false" outlineLevel="0" max="39" min="39" style="0" width="6"/>
    <col collapsed="false" customWidth="true" hidden="false" outlineLevel="0" max="44" min="40" style="0" width="9"/>
    <col collapsed="false" customWidth="true" hidden="false" outlineLevel="0" max="45" min="45" style="0" width="44"/>
    <col collapsed="false" customWidth="true" hidden="false" outlineLevel="0" max="46" min="46" style="0" width="36"/>
    <col collapsed="false" customWidth="true" hidden="false" outlineLevel="0" max="47" min="47" style="0" width="22"/>
    <col collapsed="false" customWidth="true" hidden="false" outlineLevel="0" max="49" min="48" style="0" width="10"/>
    <col collapsed="false" customWidth="true" hidden="false" outlineLevel="0" max="51" min="50" style="0" width="11"/>
    <col collapsed="false" customWidth="true" hidden="false" outlineLevel="0" max="52" min="52" style="0" width="8"/>
    <col collapsed="false" customWidth="true" hidden="false" outlineLevel="0" max="53" min="53" style="0" width="40"/>
  </cols>
  <sheetData>
    <row r="1" customFormat="false" ht="17.35" hidden="false" customHeight="false" outlineLevel="0" collapsed="false">
      <c r="A1" s="5" t="s">
        <v>764</v>
      </c>
    </row>
    <row r="2" customFormat="false" ht="15" hidden="false" customHeight="false" outlineLevel="0" collapsed="false">
      <c r="A2" s="6" t="s">
        <v>765</v>
      </c>
    </row>
    <row r="3" customFormat="false" ht="15" hidden="false" customHeight="false" outlineLevel="0" collapsed="false">
      <c r="A3" s="6" t="s">
        <v>581</v>
      </c>
    </row>
    <row r="4" customFormat="false" ht="54" hidden="false" customHeight="true" outlineLevel="0" collapsed="false">
      <c r="A4" s="16" t="s">
        <v>92</v>
      </c>
      <c r="B4" s="16" t="s">
        <v>93</v>
      </c>
      <c r="C4" s="15" t="s">
        <v>766</v>
      </c>
      <c r="D4" s="15" t="s">
        <v>767</v>
      </c>
      <c r="E4" s="15" t="s">
        <v>435</v>
      </c>
      <c r="F4" s="15" t="s">
        <v>768</v>
      </c>
      <c r="G4" s="15" t="s">
        <v>584</v>
      </c>
      <c r="H4" s="15" t="s">
        <v>769</v>
      </c>
      <c r="I4" s="15" t="s">
        <v>770</v>
      </c>
      <c r="J4" s="15" t="s">
        <v>771</v>
      </c>
      <c r="K4" s="15" t="s">
        <v>587</v>
      </c>
      <c r="L4" s="15" t="s">
        <v>588</v>
      </c>
      <c r="M4" s="15" t="s">
        <v>772</v>
      </c>
      <c r="N4" s="15" t="s">
        <v>773</v>
      </c>
      <c r="O4" s="15" t="s">
        <v>774</v>
      </c>
      <c r="P4" s="15" t="s">
        <v>775</v>
      </c>
      <c r="Q4" s="15" t="s">
        <v>71</v>
      </c>
      <c r="R4" s="15" t="s">
        <v>776</v>
      </c>
      <c r="S4" s="15" t="s">
        <v>591</v>
      </c>
      <c r="T4" s="15" t="s">
        <v>592</v>
      </c>
      <c r="U4" s="15" t="s">
        <v>777</v>
      </c>
      <c r="V4" s="15" t="s">
        <v>778</v>
      </c>
      <c r="W4" s="15" t="s">
        <v>779</v>
      </c>
      <c r="X4" s="15" t="s">
        <v>780</v>
      </c>
      <c r="Y4" s="15" t="s">
        <v>781</v>
      </c>
      <c r="Z4" s="15" t="s">
        <v>597</v>
      </c>
      <c r="AA4" s="15" t="s">
        <v>121</v>
      </c>
      <c r="AB4" s="15" t="s">
        <v>122</v>
      </c>
      <c r="AC4" s="15" t="s">
        <v>123</v>
      </c>
      <c r="AD4" s="15" t="s">
        <v>598</v>
      </c>
      <c r="AE4" s="15" t="s">
        <v>599</v>
      </c>
      <c r="AF4" s="34" t="s">
        <v>600</v>
      </c>
      <c r="AG4" s="34" t="s">
        <v>601</v>
      </c>
      <c r="AH4" s="34" t="s">
        <v>602</v>
      </c>
      <c r="AI4" s="34" t="s">
        <v>603</v>
      </c>
      <c r="AJ4" s="34" t="s">
        <v>604</v>
      </c>
      <c r="AK4" s="34" t="s">
        <v>605</v>
      </c>
      <c r="AL4" s="15" t="s">
        <v>606</v>
      </c>
      <c r="AM4" s="15" t="s">
        <v>607</v>
      </c>
      <c r="AN4" s="17" t="s">
        <v>608</v>
      </c>
      <c r="AO4" s="17" t="s">
        <v>609</v>
      </c>
      <c r="AP4" s="17" t="s">
        <v>610</v>
      </c>
      <c r="AQ4" s="17" t="s">
        <v>611</v>
      </c>
      <c r="AR4" s="17" t="s">
        <v>612</v>
      </c>
      <c r="AS4" s="16" t="s">
        <v>615</v>
      </c>
      <c r="AT4" s="15" t="s">
        <v>616</v>
      </c>
      <c r="AU4" s="15" t="s">
        <v>617</v>
      </c>
      <c r="AV4" s="15" t="s">
        <v>618</v>
      </c>
      <c r="AW4" s="15" t="s">
        <v>619</v>
      </c>
      <c r="AX4" s="15" t="s">
        <v>620</v>
      </c>
      <c r="AY4" s="15" t="s">
        <v>621</v>
      </c>
      <c r="AZ4" s="16" t="s">
        <v>622</v>
      </c>
      <c r="BA4" s="16" t="s">
        <v>623</v>
      </c>
    </row>
    <row r="5" customFormat="false" ht="15" hidden="false" customHeight="false" outlineLevel="0" collapsed="false">
      <c r="A5" s="10" t="str">
        <f aca="false">IF(C5="","","MH-"&amp;IFERROR(VLOOKUP(C5,Lists!$AB$4:$AC$20,2,0),"??")&amp;"-"&amp;TEXT(F5,"0000")&amp;IF(E5="Circular","D","x"&amp;TEXT(G5,"0000"))&amp;"-D"&amp;TEXT(I5*1000,"0000")&amp;"-"&amp;IFERROR(VLOOKUP(D5,Lists!$AE$4:$AF$16,2,0),"??")&amp;"-"&amp;AA5)</f>
        <v>MH-SM-1200x0900-D3000-C-A</v>
      </c>
      <c r="B5" s="10" t="str">
        <f aca="false">IF(C5="","",C5&amp;", "&amp;D5&amp;", "&amp;IF(E5="Circular",F5&amp;" dia",F5&amp;" x "&amp;G5)&amp;", depth "&amp;TEXT(H5,"0.0")&amp;"-"&amp;TEXT(I5,"0.0")&amp;" m, pipe up to "&amp;J5&amp;" dia")</f>
        <v>Standard Manhole (PUB 001C), Cast-in-situ, 1200 x 900, depth 1.5-3.0 m, pipe up to 300 dia</v>
      </c>
      <c r="C5" s="18" t="s">
        <v>61</v>
      </c>
      <c r="D5" s="18" t="s">
        <v>459</v>
      </c>
      <c r="E5" s="18" t="s">
        <v>461</v>
      </c>
      <c r="F5" s="35" t="n">
        <v>1200</v>
      </c>
      <c r="G5" s="35" t="n">
        <v>900</v>
      </c>
      <c r="H5" s="42" t="n">
        <v>1.5</v>
      </c>
      <c r="I5" s="42" t="n">
        <v>3</v>
      </c>
      <c r="J5" s="35" t="n">
        <v>300</v>
      </c>
      <c r="K5" s="35" t="n">
        <v>200</v>
      </c>
      <c r="L5" s="35" t="n">
        <v>250</v>
      </c>
      <c r="M5" s="35" t="n">
        <v>200</v>
      </c>
      <c r="N5" s="18" t="s">
        <v>782</v>
      </c>
      <c r="O5" s="18" t="s">
        <v>783</v>
      </c>
      <c r="P5" s="18" t="s">
        <v>784</v>
      </c>
      <c r="Q5" s="18" t="s">
        <v>518</v>
      </c>
      <c r="R5" s="36" t="n">
        <v>1.3</v>
      </c>
      <c r="S5" s="18" t="s">
        <v>531</v>
      </c>
      <c r="T5" s="35" t="n">
        <v>40</v>
      </c>
      <c r="U5" s="18" t="s">
        <v>644</v>
      </c>
      <c r="V5" s="18" t="s">
        <v>644</v>
      </c>
      <c r="W5" s="18" t="s">
        <v>640</v>
      </c>
      <c r="X5" s="18" t="s">
        <v>785</v>
      </c>
      <c r="Y5" s="18" t="s">
        <v>786</v>
      </c>
      <c r="Z5" s="18" t="s">
        <v>787</v>
      </c>
      <c r="AA5" s="18" t="s">
        <v>628</v>
      </c>
      <c r="AB5" s="18" t="s">
        <v>244</v>
      </c>
      <c r="AC5" s="18" t="s">
        <v>788</v>
      </c>
      <c r="AD5" s="18" t="n">
        <v>25</v>
      </c>
      <c r="AE5" s="18" t="s">
        <v>74</v>
      </c>
      <c r="AF5" s="10" t="str">
        <f aca="false">IF(A5="","",SG_Criteria!$B$6&amp;SG_Criteria!$B$10&amp;"\"&amp;A5&amp;"\")</f>
        <v>C:\Users\yourname\YourCompany\Design Library - Documents\04_Sewer_Manhole\MH-SM-1200x0900-D3000-C-A\</v>
      </c>
      <c r="AG5" s="10" t="str">
        <f aca="false">IF(A5="","",A5&amp;"_CAD.dwg")</f>
        <v>MH-SM-1200x0900-D3000-C-A_CAD.dwg</v>
      </c>
      <c r="AH5" s="10" t="str">
        <f aca="false">IF(A5="","",A5&amp;"_DWG.pdf")</f>
        <v>MH-SM-1200x0900-D3000-C-A_DWG.pdf</v>
      </c>
      <c r="AI5" s="10" t="str">
        <f aca="false">IF(A5="","",IF(AE5="Y",A5&amp;"_STAAD.std","n/a"))</f>
        <v>n/a</v>
      </c>
      <c r="AJ5" s="10" t="str">
        <f aca="false">IF(A5="","",A5&amp;"_CALC.xlsx")</f>
        <v>MH-SM-1200x0900-D3000-C-A_CALC.xlsx</v>
      </c>
      <c r="AK5" s="10" t="str">
        <f aca="false">IF(A5="","",A5&amp;"_CALC.pdf")</f>
        <v>MH-SM-1200x0900-D3000-C-A_CALC.pdf</v>
      </c>
      <c r="AL5" s="18" t="s">
        <v>74</v>
      </c>
      <c r="AM5" s="18" t="s">
        <v>493</v>
      </c>
      <c r="AN5" s="36" t="n">
        <v>3.4</v>
      </c>
      <c r="AO5" s="36" t="n">
        <v>260</v>
      </c>
      <c r="AP5" s="36" t="n">
        <v>0</v>
      </c>
      <c r="AQ5" s="36" t="n">
        <v>26</v>
      </c>
      <c r="AR5" s="36" t="n">
        <v>28</v>
      </c>
      <c r="AS5" s="38" t="str">
        <f aca="false">IF(C5="","",IF(LEN(IF(AND(S5&lt;&gt;"",IFERROR(VALUE(MID(S5,2,2)),0)&lt;SG_Criteria!$B$19),"FAIL: grade below C"&amp;SG_Criteria!$B$19&amp;". ","")&amp;IF(AND(T5&lt;&gt;"",T5&lt;SG_Criteria!$B$20),"FAIL: cover &lt; "&amp;SG_Criteria!$B$20&amp;" mm. ","")&amp;IF(AND(H5&lt;&gt;"",H5&lt;SG_Criteria!$B$39),"NOTE: min depth below PUB "&amp;SG_Criteria!$B$39&amp;" m. ","")&amp;IF(AND(LEFT(C5,8)="Standard",I5&gt;SG_Criteria!$B$42),"FAIL: PUB 001C covers manholes up to "&amp;SG_Criteria!$B$42&amp;" m deep only. ","")&amp;IF(AND(LEFT(C5,11)="Rectangular",J5&lt;SG_Criteria!$B$43),"NOTE: 004C is for sewers &gt;= "&amp;SG_Criteria!$B$43&amp;" dia. ","")&amp;IF(AND(LEFT(C5,7)="Precast",I5&lt;=SG_Criteria!$B$42),"NOTE: 006C is for manholes &gt; "&amp;SG_Criteria!$B$42&amp;" m deep. ","")&amp;IF(AND(J5&lt;&gt;"",J5&lt;SG_Criteria!$B$40,C5&lt;&gt;"Inspection Chamber"),"NOTE: public sewer min dia "&amp;SG_Criteria!$B$40&amp;" mm. ","")&amp;IF(AND(R5&lt;&gt;"",R5&lt;SG_Criteria!$B$44),"FAIL: uplift FOS below "&amp;SG_Criteria!$B$44&amp;". ",""))=0,"OK",IF(AND(S5&lt;&gt;"",IFERROR(VALUE(MID(S5,2,2)),0)&lt;SG_Criteria!$B$19),"FAIL: grade below C"&amp;SG_Criteria!$B$19&amp;". ","")&amp;IF(AND(T5&lt;&gt;"",T5&lt;SG_Criteria!$B$20),"FAIL: cover &lt; "&amp;SG_Criteria!$B$20&amp;" mm. ","")&amp;IF(AND(H5&lt;&gt;"",H5&lt;SG_Criteria!$B$39),"NOTE: min depth below PUB "&amp;SG_Criteria!$B$39&amp;" m. ","")&amp;IF(AND(LEFT(C5,8)="Standard",I5&gt;SG_Criteria!$B$42),"FAIL: PUB 001C covers manholes up to "&amp;SG_Criteria!$B$42&amp;" m deep only. ","")&amp;IF(AND(LEFT(C5,11)="Rectangular",J5&lt;SG_Criteria!$B$43),"NOTE: 004C is for sewers &gt;= "&amp;SG_Criteria!$B$43&amp;" dia. ","")&amp;IF(AND(LEFT(C5,7)="Precast",I5&lt;=SG_Criteria!$B$42),"NOTE: 006C is for manholes &gt; "&amp;SG_Criteria!$B$42&amp;" m deep. ","")&amp;IF(AND(J5&lt;&gt;"",J5&lt;SG_Criteria!$B$40,C5&lt;&gt;"Inspection Chamber"),"NOTE: public sewer min dia "&amp;SG_Criteria!$B$40&amp;" mm. ","")&amp;IF(AND(R5&lt;&gt;"",R5&lt;SG_Criteria!$B$44),"FAIL: uplift FOS below "&amp;SG_Criteria!$B$44&amp;". ","")))</f>
        <v>OK</v>
      </c>
      <c r="AT5" s="18" t="s">
        <v>789</v>
      </c>
      <c r="AU5" s="18"/>
      <c r="AV5" s="18" t="s">
        <v>631</v>
      </c>
      <c r="AW5" s="18" t="s">
        <v>631</v>
      </c>
      <c r="AX5" s="18" t="s">
        <v>631</v>
      </c>
      <c r="AY5" s="39" t="n">
        <v>46309</v>
      </c>
      <c r="AZ5" s="10" t="str">
        <f aca="false">IF(C5="","",IF(AND(AB5="Approved",ISERROR(SEARCH("FAIL",AS5))),"Y","N"))</f>
        <v>Y</v>
      </c>
      <c r="BA5" s="10" t="str">
        <f aca="false">IF(C5="","",C5&amp;"|"&amp;I5&amp;"|"&amp;F5&amp;"|"&amp;AZ5)</f>
        <v>Standard Manhole (PUB 001C)|3|1200|Y</v>
      </c>
    </row>
    <row r="6" customFormat="false" ht="15" hidden="false" customHeight="false" outlineLevel="0" collapsed="false">
      <c r="A6" s="10" t="str">
        <f aca="false">IF(C6="","","MH-"&amp;IFERROR(VLOOKUP(C6,Lists!$AB$4:$AC$20,2,0),"??")&amp;"-"&amp;TEXT(F6,"0000")&amp;IF(E6="Circular","D","x"&amp;TEXT(G6,"0000"))&amp;"-D"&amp;TEXT(I6*1000,"0000")&amp;"-"&amp;IFERROR(VLOOKUP(D6,Lists!$AE$4:$AF$16,2,0),"??")&amp;"-"&amp;AA6)</f>
        <v>MH-SM-1500x1200-D6000-C-A</v>
      </c>
      <c r="B6" s="10" t="str">
        <f aca="false">IF(C6="","",C6&amp;", "&amp;D6&amp;", "&amp;IF(E6="Circular",F6&amp;" dia",F6&amp;" x "&amp;G6)&amp;", depth "&amp;TEXT(H6,"0.0")&amp;"-"&amp;TEXT(I6,"0.0")&amp;" m, pipe up to "&amp;J6&amp;" dia")</f>
        <v>Standard Manhole (PUB 001C), Cast-in-situ, 1500 x 1200, depth 3.0-6.0 m, pipe up to 600 dia</v>
      </c>
      <c r="C6" s="18" t="s">
        <v>61</v>
      </c>
      <c r="D6" s="18" t="s">
        <v>459</v>
      </c>
      <c r="E6" s="18" t="s">
        <v>461</v>
      </c>
      <c r="F6" s="35" t="n">
        <v>1500</v>
      </c>
      <c r="G6" s="35" t="n">
        <v>1200</v>
      </c>
      <c r="H6" s="42" t="n">
        <v>3</v>
      </c>
      <c r="I6" s="42" t="n">
        <v>6</v>
      </c>
      <c r="J6" s="35" t="n">
        <v>600</v>
      </c>
      <c r="K6" s="35" t="n">
        <v>250</v>
      </c>
      <c r="L6" s="35" t="n">
        <v>300</v>
      </c>
      <c r="M6" s="35" t="n">
        <v>250</v>
      </c>
      <c r="N6" s="18" t="s">
        <v>782</v>
      </c>
      <c r="O6" s="18" t="s">
        <v>783</v>
      </c>
      <c r="P6" s="18" t="s">
        <v>784</v>
      </c>
      <c r="Q6" s="18" t="s">
        <v>518</v>
      </c>
      <c r="R6" s="36" t="n">
        <v>1.2</v>
      </c>
      <c r="S6" s="18" t="s">
        <v>531</v>
      </c>
      <c r="T6" s="35" t="n">
        <v>40</v>
      </c>
      <c r="U6" s="18" t="s">
        <v>790</v>
      </c>
      <c r="V6" s="18" t="s">
        <v>790</v>
      </c>
      <c r="W6" s="18" t="s">
        <v>643</v>
      </c>
      <c r="X6" s="18" t="s">
        <v>785</v>
      </c>
      <c r="Y6" s="18" t="s">
        <v>146</v>
      </c>
      <c r="Z6" s="18" t="s">
        <v>787</v>
      </c>
      <c r="AA6" s="18" t="s">
        <v>628</v>
      </c>
      <c r="AB6" s="18" t="s">
        <v>244</v>
      </c>
      <c r="AC6" s="18" t="s">
        <v>791</v>
      </c>
      <c r="AD6" s="18" t="n">
        <v>25</v>
      </c>
      <c r="AE6" s="18" t="s">
        <v>467</v>
      </c>
      <c r="AF6" s="10" t="str">
        <f aca="false">IF(A6="","",SG_Criteria!$B$6&amp;SG_Criteria!$B$10&amp;"\"&amp;A6&amp;"\")</f>
        <v>C:\Users\yourname\YourCompany\Design Library - Documents\04_Sewer_Manhole\MH-SM-1500x1200-D6000-C-A\</v>
      </c>
      <c r="AG6" s="10" t="str">
        <f aca="false">IF(A6="","",A6&amp;"_CAD.dwg")</f>
        <v>MH-SM-1500x1200-D6000-C-A_CAD.dwg</v>
      </c>
      <c r="AH6" s="10" t="str">
        <f aca="false">IF(A6="","",A6&amp;"_DWG.pdf")</f>
        <v>MH-SM-1500x1200-D6000-C-A_DWG.pdf</v>
      </c>
      <c r="AI6" s="10" t="str">
        <f aca="false">IF(A6="","",IF(AE6="Y",A6&amp;"_STAAD.std","n/a"))</f>
        <v>MH-SM-1500x1200-D6000-C-A_STAAD.std</v>
      </c>
      <c r="AJ6" s="10" t="str">
        <f aca="false">IF(A6="","",A6&amp;"_CALC.xlsx")</f>
        <v>MH-SM-1500x1200-D6000-C-A_CALC.xlsx</v>
      </c>
      <c r="AK6" s="10" t="str">
        <f aca="false">IF(A6="","",A6&amp;"_CALC.pdf")</f>
        <v>MH-SM-1500x1200-D6000-C-A_CALC.pdf</v>
      </c>
      <c r="AL6" s="18" t="s">
        <v>74</v>
      </c>
      <c r="AM6" s="18" t="s">
        <v>493</v>
      </c>
      <c r="AN6" s="36" t="n">
        <v>9.8</v>
      </c>
      <c r="AO6" s="36" t="n">
        <v>820</v>
      </c>
      <c r="AP6" s="36" t="n">
        <v>0</v>
      </c>
      <c r="AQ6" s="36" t="n">
        <v>62</v>
      </c>
      <c r="AR6" s="36" t="n">
        <v>92</v>
      </c>
      <c r="AS6" s="38" t="str">
        <f aca="false">IF(C6="","",IF(LEN(IF(AND(S6&lt;&gt;"",IFERROR(VALUE(MID(S6,2,2)),0)&lt;SG_Criteria!$B$19),"FAIL: grade below C"&amp;SG_Criteria!$B$19&amp;". ","")&amp;IF(AND(T6&lt;&gt;"",T6&lt;SG_Criteria!$B$20),"FAIL: cover &lt; "&amp;SG_Criteria!$B$20&amp;" mm. ","")&amp;IF(AND(H6&lt;&gt;"",H6&lt;SG_Criteria!$B$39),"NOTE: min depth below PUB "&amp;SG_Criteria!$B$39&amp;" m. ","")&amp;IF(AND(LEFT(C6,8)="Standard",I6&gt;SG_Criteria!$B$42),"FAIL: PUB 001C covers manholes up to "&amp;SG_Criteria!$B$42&amp;" m deep only. ","")&amp;IF(AND(LEFT(C6,11)="Rectangular",J6&lt;SG_Criteria!$B$43),"NOTE: 004C is for sewers &gt;= "&amp;SG_Criteria!$B$43&amp;" dia. ","")&amp;IF(AND(LEFT(C6,7)="Precast",I6&lt;=SG_Criteria!$B$42),"NOTE: 006C is for manholes &gt; "&amp;SG_Criteria!$B$42&amp;" m deep. ","")&amp;IF(AND(J6&lt;&gt;"",J6&lt;SG_Criteria!$B$40,C6&lt;&gt;"Inspection Chamber"),"NOTE: public sewer min dia "&amp;SG_Criteria!$B$40&amp;" mm. ","")&amp;IF(AND(R6&lt;&gt;"",R6&lt;SG_Criteria!$B$44),"FAIL: uplift FOS below "&amp;SG_Criteria!$B$44&amp;". ",""))=0,"OK",IF(AND(S6&lt;&gt;"",IFERROR(VALUE(MID(S6,2,2)),0)&lt;SG_Criteria!$B$19),"FAIL: grade below C"&amp;SG_Criteria!$B$19&amp;". ","")&amp;IF(AND(T6&lt;&gt;"",T6&lt;SG_Criteria!$B$20),"FAIL: cover &lt; "&amp;SG_Criteria!$B$20&amp;" mm. ","")&amp;IF(AND(H6&lt;&gt;"",H6&lt;SG_Criteria!$B$39),"NOTE: min depth below PUB "&amp;SG_Criteria!$B$39&amp;" m. ","")&amp;IF(AND(LEFT(C6,8)="Standard",I6&gt;SG_Criteria!$B$42),"FAIL: PUB 001C covers manholes up to "&amp;SG_Criteria!$B$42&amp;" m deep only. ","")&amp;IF(AND(LEFT(C6,11)="Rectangular",J6&lt;SG_Criteria!$B$43),"NOTE: 004C is for sewers &gt;= "&amp;SG_Criteria!$B$43&amp;" dia. ","")&amp;IF(AND(LEFT(C6,7)="Precast",I6&lt;=SG_Criteria!$B$42),"NOTE: 006C is for manholes &gt; "&amp;SG_Criteria!$B$42&amp;" m deep. ","")&amp;IF(AND(J6&lt;&gt;"",J6&lt;SG_Criteria!$B$40,C6&lt;&gt;"Inspection Chamber"),"NOTE: public sewer min dia "&amp;SG_Criteria!$B$40&amp;" mm. ","")&amp;IF(AND(R6&lt;&gt;"",R6&lt;SG_Criteria!$B$44),"FAIL: uplift FOS below "&amp;SG_Criteria!$B$44&amp;". ","")))</f>
        <v>OK</v>
      </c>
      <c r="AT6" s="18" t="s">
        <v>789</v>
      </c>
      <c r="AU6" s="18"/>
      <c r="AV6" s="18" t="s">
        <v>631</v>
      </c>
      <c r="AW6" s="18" t="s">
        <v>631</v>
      </c>
      <c r="AX6" s="18" t="s">
        <v>631</v>
      </c>
      <c r="AY6" s="39" t="n">
        <v>46309</v>
      </c>
      <c r="AZ6" s="10" t="str">
        <f aca="false">IF(C6="","",IF(AND(AB6="Approved",ISERROR(SEARCH("FAIL",AS6))),"Y","N"))</f>
        <v>Y</v>
      </c>
      <c r="BA6" s="10" t="str">
        <f aca="false">IF(C6="","",C6&amp;"|"&amp;I6&amp;"|"&amp;F6&amp;"|"&amp;AZ6)</f>
        <v>Standard Manhole (PUB 001C)|6|1500|Y</v>
      </c>
    </row>
    <row r="7" customFormat="false" ht="15" hidden="false" customHeight="false" outlineLevel="0" collapsed="false">
      <c r="A7" s="10" t="str">
        <f aca="false">IF(C7="","","MH-"&amp;IFERROR(VLOOKUP(C7,Lists!$AB$4:$AC$20,2,0),"??")&amp;"-"&amp;TEXT(F7,"0000")&amp;IF(E7="Circular","D","x"&amp;TEXT(G7,"0000"))&amp;"-D"&amp;TEXT(I7*1000,"0000")&amp;"-"&amp;IFERROR(VLOOKUP(D7,Lists!$AE$4:$AF$16,2,0),"??")&amp;"-"&amp;AA7)</f>
        <v>MH-RM-2400x1800-D6000-C-A</v>
      </c>
      <c r="B7" s="10" t="str">
        <f aca="false">IF(C7="","",C7&amp;", "&amp;D7&amp;", "&amp;IF(E7="Circular",F7&amp;" dia",F7&amp;" x "&amp;G7)&amp;", depth "&amp;TEXT(H7,"0.0")&amp;"-"&amp;TEXT(I7,"0.0")&amp;" m, pipe up to "&amp;J7&amp;" dia")</f>
        <v>Rectangular Manhole, sewer &gt;= 1000 dia (PUB 004C), Cast-in-situ, 2400 x 1800, depth 3.0-6.0 m, pipe up to 1200 dia</v>
      </c>
      <c r="C7" s="18" t="s">
        <v>221</v>
      </c>
      <c r="D7" s="18" t="s">
        <v>459</v>
      </c>
      <c r="E7" s="18" t="s">
        <v>461</v>
      </c>
      <c r="F7" s="35" t="n">
        <v>2400</v>
      </c>
      <c r="G7" s="35" t="n">
        <v>1800</v>
      </c>
      <c r="H7" s="42" t="n">
        <v>3</v>
      </c>
      <c r="I7" s="42" t="n">
        <v>6</v>
      </c>
      <c r="J7" s="35" t="n">
        <v>1200</v>
      </c>
      <c r="K7" s="35" t="n">
        <v>300</v>
      </c>
      <c r="L7" s="35" t="n">
        <v>400</v>
      </c>
      <c r="M7" s="35" t="n">
        <v>300</v>
      </c>
      <c r="N7" s="18" t="s">
        <v>782</v>
      </c>
      <c r="O7" s="18" t="s">
        <v>783</v>
      </c>
      <c r="P7" s="18" t="s">
        <v>784</v>
      </c>
      <c r="Q7" s="18" t="s">
        <v>518</v>
      </c>
      <c r="R7" s="36" t="n">
        <v>1.15</v>
      </c>
      <c r="S7" s="18" t="s">
        <v>531</v>
      </c>
      <c r="T7" s="35" t="n">
        <v>40</v>
      </c>
      <c r="U7" s="18" t="s">
        <v>652</v>
      </c>
      <c r="V7" s="18" t="s">
        <v>652</v>
      </c>
      <c r="W7" s="18" t="s">
        <v>652</v>
      </c>
      <c r="X7" s="18" t="s">
        <v>375</v>
      </c>
      <c r="Y7" s="18" t="s">
        <v>146</v>
      </c>
      <c r="Z7" s="18" t="s">
        <v>787</v>
      </c>
      <c r="AA7" s="18" t="s">
        <v>628</v>
      </c>
      <c r="AB7" s="18" t="s">
        <v>244</v>
      </c>
      <c r="AC7" s="18" t="s">
        <v>792</v>
      </c>
      <c r="AD7" s="18" t="n">
        <v>50</v>
      </c>
      <c r="AE7" s="18" t="s">
        <v>467</v>
      </c>
      <c r="AF7" s="10" t="str">
        <f aca="false">IF(A7="","",SG_Criteria!$B$6&amp;SG_Criteria!$B$10&amp;"\"&amp;A7&amp;"\")</f>
        <v>C:\Users\yourname\YourCompany\Design Library - Documents\04_Sewer_Manhole\MH-RM-2400x1800-D6000-C-A\</v>
      </c>
      <c r="AG7" s="10" t="str">
        <f aca="false">IF(A7="","",A7&amp;"_CAD.dwg")</f>
        <v>MH-RM-2400x1800-D6000-C-A_CAD.dwg</v>
      </c>
      <c r="AH7" s="10" t="str">
        <f aca="false">IF(A7="","",A7&amp;"_DWG.pdf")</f>
        <v>MH-RM-2400x1800-D6000-C-A_DWG.pdf</v>
      </c>
      <c r="AI7" s="10" t="str">
        <f aca="false">IF(A7="","",IF(AE7="Y",A7&amp;"_STAAD.std","n/a"))</f>
        <v>MH-RM-2400x1800-D6000-C-A_STAAD.std</v>
      </c>
      <c r="AJ7" s="10" t="str">
        <f aca="false">IF(A7="","",A7&amp;"_CALC.xlsx")</f>
        <v>MH-RM-2400x1800-D6000-C-A_CALC.xlsx</v>
      </c>
      <c r="AK7" s="10" t="str">
        <f aca="false">IF(A7="","",A7&amp;"_CALC.pdf")</f>
        <v>MH-RM-2400x1800-D6000-C-A_CALC.pdf</v>
      </c>
      <c r="AL7" s="18" t="s">
        <v>74</v>
      </c>
      <c r="AM7" s="18" t="s">
        <v>493</v>
      </c>
      <c r="AN7" s="36" t="n">
        <v>19.5</v>
      </c>
      <c r="AO7" s="36" t="n">
        <v>1900</v>
      </c>
      <c r="AP7" s="36" t="n">
        <v>0</v>
      </c>
      <c r="AQ7" s="36" t="n">
        <v>95</v>
      </c>
      <c r="AR7" s="36" t="n">
        <v>140</v>
      </c>
      <c r="AS7" s="38" t="str">
        <f aca="false">IF(C7="","",IF(LEN(IF(AND(S7&lt;&gt;"",IFERROR(VALUE(MID(S7,2,2)),0)&lt;SG_Criteria!$B$19),"FAIL: grade below C"&amp;SG_Criteria!$B$19&amp;". ","")&amp;IF(AND(T7&lt;&gt;"",T7&lt;SG_Criteria!$B$20),"FAIL: cover &lt; "&amp;SG_Criteria!$B$20&amp;" mm. ","")&amp;IF(AND(H7&lt;&gt;"",H7&lt;SG_Criteria!$B$39),"NOTE: min depth below PUB "&amp;SG_Criteria!$B$39&amp;" m. ","")&amp;IF(AND(LEFT(C7,8)="Standard",I7&gt;SG_Criteria!$B$42),"FAIL: PUB 001C covers manholes up to "&amp;SG_Criteria!$B$42&amp;" m deep only. ","")&amp;IF(AND(LEFT(C7,11)="Rectangular",J7&lt;SG_Criteria!$B$43),"NOTE: 004C is for sewers &gt;= "&amp;SG_Criteria!$B$43&amp;" dia. ","")&amp;IF(AND(LEFT(C7,7)="Precast",I7&lt;=SG_Criteria!$B$42),"NOTE: 006C is for manholes &gt; "&amp;SG_Criteria!$B$42&amp;" m deep. ","")&amp;IF(AND(J7&lt;&gt;"",J7&lt;SG_Criteria!$B$40,C7&lt;&gt;"Inspection Chamber"),"NOTE: public sewer min dia "&amp;SG_Criteria!$B$40&amp;" mm. ","")&amp;IF(AND(R7&lt;&gt;"",R7&lt;SG_Criteria!$B$44),"FAIL: uplift FOS below "&amp;SG_Criteria!$B$44&amp;". ",""))=0,"OK",IF(AND(S7&lt;&gt;"",IFERROR(VALUE(MID(S7,2,2)),0)&lt;SG_Criteria!$B$19),"FAIL: grade below C"&amp;SG_Criteria!$B$19&amp;". ","")&amp;IF(AND(T7&lt;&gt;"",T7&lt;SG_Criteria!$B$20),"FAIL: cover &lt; "&amp;SG_Criteria!$B$20&amp;" mm. ","")&amp;IF(AND(H7&lt;&gt;"",H7&lt;SG_Criteria!$B$39),"NOTE: min depth below PUB "&amp;SG_Criteria!$B$39&amp;" m. ","")&amp;IF(AND(LEFT(C7,8)="Standard",I7&gt;SG_Criteria!$B$42),"FAIL: PUB 001C covers manholes up to "&amp;SG_Criteria!$B$42&amp;" m deep only. ","")&amp;IF(AND(LEFT(C7,11)="Rectangular",J7&lt;SG_Criteria!$B$43),"NOTE: 004C is for sewers &gt;= "&amp;SG_Criteria!$B$43&amp;" dia. ","")&amp;IF(AND(LEFT(C7,7)="Precast",I7&lt;=SG_Criteria!$B$42),"NOTE: 006C is for manholes &gt; "&amp;SG_Criteria!$B$42&amp;" m deep. ","")&amp;IF(AND(J7&lt;&gt;"",J7&lt;SG_Criteria!$B$40,C7&lt;&gt;"Inspection Chamber"),"NOTE: public sewer min dia "&amp;SG_Criteria!$B$40&amp;" mm. ","")&amp;IF(AND(R7&lt;&gt;"",R7&lt;SG_Criteria!$B$44),"FAIL: uplift FOS below "&amp;SG_Criteria!$B$44&amp;". ","")))</f>
        <v>OK</v>
      </c>
      <c r="AT7" s="18" t="s">
        <v>634</v>
      </c>
      <c r="AU7" s="18"/>
      <c r="AV7" s="18" t="s">
        <v>631</v>
      </c>
      <c r="AW7" s="18" t="s">
        <v>631</v>
      </c>
      <c r="AX7" s="18" t="s">
        <v>631</v>
      </c>
      <c r="AY7" s="39" t="n">
        <v>46309</v>
      </c>
      <c r="AZ7" s="10" t="str">
        <f aca="false">IF(C7="","",IF(AND(AB7="Approved",ISERROR(SEARCH("FAIL",AS7))),"Y","N"))</f>
        <v>Y</v>
      </c>
      <c r="BA7" s="10" t="str">
        <f aca="false">IF(C7="","",C7&amp;"|"&amp;I7&amp;"|"&amp;F7&amp;"|"&amp;AZ7)</f>
        <v>Rectangular Manhole, sewer &gt;= 1000 dia (PUB 004C)|6|2400|Y</v>
      </c>
    </row>
    <row r="8" customFormat="false" ht="15" hidden="false" customHeight="false" outlineLevel="0" collapsed="false">
      <c r="A8" s="10" t="str">
        <f aca="false">IF(C8="","","MH-"&amp;IFERROR(VLOOKUP(C8,Lists!$AB$4:$AC$20,2,0),"??")&amp;"-"&amp;TEXT(F8,"0000")&amp;IF(E8="Circular","D","x"&amp;TEXT(G8,"0000"))&amp;"-D"&amp;TEXT(I8*1000,"0000")&amp;"-"&amp;IFERROR(VLOOKUP(D8,Lists!$AE$4:$AF$16,2,0),"??")&amp;"-"&amp;AA8)</f>
        <v>MH-PM-1800D-D10000-P-A</v>
      </c>
      <c r="B8" s="10" t="str">
        <f aca="false">IF(C8="","",C8&amp;", "&amp;D8&amp;", "&amp;IF(E8="Circular",F8&amp;" dia",F8&amp;" x "&amp;G8)&amp;", depth "&amp;TEXT(H8,"0.0")&amp;"-"&amp;TEXT(I8,"0.0")&amp;" m, pipe up to "&amp;J8&amp;" dia")</f>
        <v>Precast Manhole &gt; 6 m (PUB 006C), Precast, 1800 dia, depth 6.0-10.0 m, pipe up to 600 dia</v>
      </c>
      <c r="C8" s="18" t="s">
        <v>222</v>
      </c>
      <c r="D8" s="18" t="s">
        <v>483</v>
      </c>
      <c r="E8" s="18" t="s">
        <v>484</v>
      </c>
      <c r="F8" s="35" t="n">
        <v>1800</v>
      </c>
      <c r="G8" s="35"/>
      <c r="H8" s="42" t="n">
        <v>6</v>
      </c>
      <c r="I8" s="42" t="n">
        <v>10</v>
      </c>
      <c r="J8" s="35" t="n">
        <v>600</v>
      </c>
      <c r="K8" s="35" t="n">
        <v>200</v>
      </c>
      <c r="L8" s="35" t="n">
        <v>400</v>
      </c>
      <c r="M8" s="35" t="n">
        <v>250</v>
      </c>
      <c r="N8" s="18" t="s">
        <v>782</v>
      </c>
      <c r="O8" s="18" t="s">
        <v>783</v>
      </c>
      <c r="P8" s="18" t="s">
        <v>784</v>
      </c>
      <c r="Q8" s="18" t="s">
        <v>518</v>
      </c>
      <c r="R8" s="36" t="n">
        <v>1.25</v>
      </c>
      <c r="S8" s="18" t="s">
        <v>531</v>
      </c>
      <c r="T8" s="35" t="n">
        <v>40</v>
      </c>
      <c r="U8" s="18" t="s">
        <v>793</v>
      </c>
      <c r="V8" s="18" t="s">
        <v>652</v>
      </c>
      <c r="W8" s="18" t="s">
        <v>643</v>
      </c>
      <c r="X8" s="18" t="s">
        <v>794</v>
      </c>
      <c r="Y8" s="18" t="s">
        <v>795</v>
      </c>
      <c r="Z8" s="18" t="s">
        <v>787</v>
      </c>
      <c r="AA8" s="18" t="s">
        <v>628</v>
      </c>
      <c r="AB8" s="18" t="s">
        <v>245</v>
      </c>
      <c r="AC8" s="18" t="s">
        <v>796</v>
      </c>
      <c r="AD8" s="18" t="n">
        <v>50</v>
      </c>
      <c r="AE8" s="18" t="s">
        <v>467</v>
      </c>
      <c r="AF8" s="10" t="str">
        <f aca="false">IF(A8="","",SG_Criteria!$B$6&amp;SG_Criteria!$B$10&amp;"\"&amp;A8&amp;"\")</f>
        <v>C:\Users\yourname\YourCompany\Design Library - Documents\04_Sewer_Manhole\MH-PM-1800D-D10000-P-A\</v>
      </c>
      <c r="AG8" s="10" t="str">
        <f aca="false">IF(A8="","",A8&amp;"_CAD.dwg")</f>
        <v>MH-PM-1800D-D10000-P-A_CAD.dwg</v>
      </c>
      <c r="AH8" s="10" t="str">
        <f aca="false">IF(A8="","",A8&amp;"_DWG.pdf")</f>
        <v>MH-PM-1800D-D10000-P-A_DWG.pdf</v>
      </c>
      <c r="AI8" s="10" t="str">
        <f aca="false">IF(A8="","",IF(AE8="Y",A8&amp;"_STAAD.std","n/a"))</f>
        <v>MH-PM-1800D-D10000-P-A_STAAD.std</v>
      </c>
      <c r="AJ8" s="10" t="str">
        <f aca="false">IF(A8="","",A8&amp;"_CALC.xlsx")</f>
        <v>MH-PM-1800D-D10000-P-A_CALC.xlsx</v>
      </c>
      <c r="AK8" s="10" t="str">
        <f aca="false">IF(A8="","",A8&amp;"_CALC.pdf")</f>
        <v>MH-PM-1800D-D10000-P-A_CALC.pdf</v>
      </c>
      <c r="AL8" s="18" t="s">
        <v>74</v>
      </c>
      <c r="AM8" s="18" t="s">
        <v>493</v>
      </c>
      <c r="AN8" s="36" t="n">
        <v>12</v>
      </c>
      <c r="AO8" s="36" t="n">
        <v>950</v>
      </c>
      <c r="AP8" s="36" t="n">
        <v>0</v>
      </c>
      <c r="AQ8" s="36" t="n">
        <v>20</v>
      </c>
      <c r="AR8" s="36" t="n">
        <v>85</v>
      </c>
      <c r="AS8" s="38" t="str">
        <f aca="false">IF(C8="","",IF(LEN(IF(AND(S8&lt;&gt;"",IFERROR(VALUE(MID(S8,2,2)),0)&lt;SG_Criteria!$B$19),"FAIL: grade below C"&amp;SG_Criteria!$B$19&amp;". ","")&amp;IF(AND(T8&lt;&gt;"",T8&lt;SG_Criteria!$B$20),"FAIL: cover &lt; "&amp;SG_Criteria!$B$20&amp;" mm. ","")&amp;IF(AND(H8&lt;&gt;"",H8&lt;SG_Criteria!$B$39),"NOTE: min depth below PUB "&amp;SG_Criteria!$B$39&amp;" m. ","")&amp;IF(AND(LEFT(C8,8)="Standard",I8&gt;SG_Criteria!$B$42),"FAIL: PUB 001C covers manholes up to "&amp;SG_Criteria!$B$42&amp;" m deep only. ","")&amp;IF(AND(LEFT(C8,11)="Rectangular",J8&lt;SG_Criteria!$B$43),"NOTE: 004C is for sewers &gt;= "&amp;SG_Criteria!$B$43&amp;" dia. ","")&amp;IF(AND(LEFT(C8,7)="Precast",I8&lt;=SG_Criteria!$B$42),"NOTE: 006C is for manholes &gt; "&amp;SG_Criteria!$B$42&amp;" m deep. ","")&amp;IF(AND(J8&lt;&gt;"",J8&lt;SG_Criteria!$B$40,C8&lt;&gt;"Inspection Chamber"),"NOTE: public sewer min dia "&amp;SG_Criteria!$B$40&amp;" mm. ","")&amp;IF(AND(R8&lt;&gt;"",R8&lt;SG_Criteria!$B$44),"FAIL: uplift FOS below "&amp;SG_Criteria!$B$44&amp;". ",""))=0,"OK",IF(AND(S8&lt;&gt;"",IFERROR(VALUE(MID(S8,2,2)),0)&lt;SG_Criteria!$B$19),"FAIL: grade below C"&amp;SG_Criteria!$B$19&amp;". ","")&amp;IF(AND(T8&lt;&gt;"",T8&lt;SG_Criteria!$B$20),"FAIL: cover &lt; "&amp;SG_Criteria!$B$20&amp;" mm. ","")&amp;IF(AND(H8&lt;&gt;"",H8&lt;SG_Criteria!$B$39),"NOTE: min depth below PUB "&amp;SG_Criteria!$B$39&amp;" m. ","")&amp;IF(AND(LEFT(C8,8)="Standard",I8&gt;SG_Criteria!$B$42),"FAIL: PUB 001C covers manholes up to "&amp;SG_Criteria!$B$42&amp;" m deep only. ","")&amp;IF(AND(LEFT(C8,11)="Rectangular",J8&lt;SG_Criteria!$B$43),"NOTE: 004C is for sewers &gt;= "&amp;SG_Criteria!$B$43&amp;" dia. ","")&amp;IF(AND(LEFT(C8,7)="Precast",I8&lt;=SG_Criteria!$B$42),"NOTE: 006C is for manholes &gt; "&amp;SG_Criteria!$B$42&amp;" m deep. ","")&amp;IF(AND(J8&lt;&gt;"",J8&lt;SG_Criteria!$B$40,C8&lt;&gt;"Inspection Chamber"),"NOTE: public sewer min dia "&amp;SG_Criteria!$B$40&amp;" mm. ","")&amp;IF(AND(R8&lt;&gt;"",R8&lt;SG_Criteria!$B$44),"FAIL: uplift FOS below "&amp;SG_Criteria!$B$44&amp;". ","")))</f>
        <v>OK</v>
      </c>
      <c r="AT8" s="18" t="s">
        <v>646</v>
      </c>
      <c r="AU8" s="18"/>
      <c r="AV8" s="18" t="s">
        <v>631</v>
      </c>
      <c r="AW8" s="18" t="s">
        <v>631</v>
      </c>
      <c r="AX8" s="18" t="s">
        <v>631</v>
      </c>
      <c r="AY8" s="39" t="n">
        <v>46309</v>
      </c>
      <c r="AZ8" s="10" t="str">
        <f aca="false">IF(C8="","",IF(AND(AB8="Approved",ISERROR(SEARCH("FAIL",AS8))),"Y","N"))</f>
        <v>N</v>
      </c>
      <c r="BA8" s="10" t="str">
        <f aca="false">IF(C8="","",C8&amp;"|"&amp;I8&amp;"|"&amp;F8&amp;"|"&amp;AZ8)</f>
        <v>Precast Manhole &gt; 6 m (PUB 006C)|10|1800|N</v>
      </c>
    </row>
    <row r="9" customFormat="false" ht="15" hidden="false" customHeight="false" outlineLevel="0" collapsed="false">
      <c r="A9" s="10" t="str">
        <f aca="false">IF(C9="","","MH-"&amp;IFERROR(VLOOKUP(C9,Lists!$AB$4:$AC$20,2,0),"??")&amp;"-"&amp;TEXT(F9,"0000")&amp;IF(E9="Circular","D","x"&amp;TEXT(G9,"0000"))&amp;"-D"&amp;TEXT(I9*1000,"0000")&amp;"-"&amp;IFERROR(VLOOKUP(D9,Lists!$AE$4:$AF$16,2,0),"??")&amp;"-"&amp;AA9)</f>
        <v>MH-SM-1200x0900-D7500-C-A</v>
      </c>
      <c r="B9" s="10" t="str">
        <f aca="false">IF(C9="","",C9&amp;", "&amp;D9&amp;", "&amp;IF(E9="Circular",F9&amp;" dia",F9&amp;" x "&amp;G9)&amp;", depth "&amp;TEXT(H9,"0.0")&amp;"-"&amp;TEXT(I9,"0.0")&amp;" m, pipe up to "&amp;J9&amp;" dia")</f>
        <v>Standard Manhole (PUB 001C), Cast-in-situ, 1200 x 900, depth 1.5-7.5 m, pipe up to 300 dia</v>
      </c>
      <c r="C9" s="18" t="s">
        <v>61</v>
      </c>
      <c r="D9" s="18" t="s">
        <v>459</v>
      </c>
      <c r="E9" s="18" t="s">
        <v>461</v>
      </c>
      <c r="F9" s="35" t="n">
        <v>1200</v>
      </c>
      <c r="G9" s="35" t="n">
        <v>900</v>
      </c>
      <c r="H9" s="42" t="n">
        <v>1.5</v>
      </c>
      <c r="I9" s="42" t="n">
        <v>7.5</v>
      </c>
      <c r="J9" s="35" t="n">
        <v>300</v>
      </c>
      <c r="K9" s="35" t="n">
        <v>200</v>
      </c>
      <c r="L9" s="35" t="n">
        <v>250</v>
      </c>
      <c r="M9" s="35" t="n">
        <v>200</v>
      </c>
      <c r="N9" s="18" t="s">
        <v>782</v>
      </c>
      <c r="O9" s="18" t="s">
        <v>783</v>
      </c>
      <c r="P9" s="18" t="s">
        <v>784</v>
      </c>
      <c r="Q9" s="18" t="s">
        <v>518</v>
      </c>
      <c r="R9" s="36" t="n">
        <v>1.3</v>
      </c>
      <c r="S9" s="18" t="s">
        <v>531</v>
      </c>
      <c r="T9" s="35" t="n">
        <v>40</v>
      </c>
      <c r="U9" s="18" t="s">
        <v>644</v>
      </c>
      <c r="V9" s="18" t="s">
        <v>644</v>
      </c>
      <c r="W9" s="18" t="s">
        <v>640</v>
      </c>
      <c r="X9" s="18" t="s">
        <v>785</v>
      </c>
      <c r="Y9" s="18"/>
      <c r="Z9" s="18" t="s">
        <v>787</v>
      </c>
      <c r="AA9" s="18" t="s">
        <v>628</v>
      </c>
      <c r="AB9" s="18" t="s">
        <v>246</v>
      </c>
      <c r="AC9" s="18" t="s">
        <v>797</v>
      </c>
      <c r="AD9" s="18" t="n">
        <v>25</v>
      </c>
      <c r="AE9" s="18" t="s">
        <v>74</v>
      </c>
      <c r="AF9" s="10" t="str">
        <f aca="false">IF(A9="","",SG_Criteria!$B$6&amp;SG_Criteria!$B$10&amp;"\"&amp;A9&amp;"\")</f>
        <v>C:\Users\yourname\YourCompany\Design Library - Documents\04_Sewer_Manhole\MH-SM-1200x0900-D7500-C-A\</v>
      </c>
      <c r="AG9" s="10" t="str">
        <f aca="false">IF(A9="","",A9&amp;"_CAD.dwg")</f>
        <v>MH-SM-1200x0900-D7500-C-A_CAD.dwg</v>
      </c>
      <c r="AH9" s="10" t="str">
        <f aca="false">IF(A9="","",A9&amp;"_DWG.pdf")</f>
        <v>MH-SM-1200x0900-D7500-C-A_DWG.pdf</v>
      </c>
      <c r="AI9" s="10" t="str">
        <f aca="false">IF(A9="","",IF(AE9="Y",A9&amp;"_STAAD.std","n/a"))</f>
        <v>n/a</v>
      </c>
      <c r="AJ9" s="10" t="str">
        <f aca="false">IF(A9="","",A9&amp;"_CALC.xlsx")</f>
        <v>MH-SM-1200x0900-D7500-C-A_CALC.xlsx</v>
      </c>
      <c r="AK9" s="10" t="str">
        <f aca="false">IF(A9="","",A9&amp;"_CALC.pdf")</f>
        <v>MH-SM-1200x0900-D7500-C-A_CALC.pdf</v>
      </c>
      <c r="AL9" s="18" t="s">
        <v>74</v>
      </c>
      <c r="AM9" s="18" t="s">
        <v>493</v>
      </c>
      <c r="AN9" s="36" t="n">
        <v>5</v>
      </c>
      <c r="AO9" s="36" t="n">
        <v>380</v>
      </c>
      <c r="AP9" s="36" t="n">
        <v>0</v>
      </c>
      <c r="AQ9" s="36" t="n">
        <v>40</v>
      </c>
      <c r="AR9" s="36" t="n">
        <v>60</v>
      </c>
      <c r="AS9" s="38" t="str">
        <f aca="false">IF(C9="","",IF(LEN(IF(AND(S9&lt;&gt;"",IFERROR(VALUE(MID(S9,2,2)),0)&lt;SG_Criteria!$B$19),"FAIL: grade below C"&amp;SG_Criteria!$B$19&amp;". ","")&amp;IF(AND(T9&lt;&gt;"",T9&lt;SG_Criteria!$B$20),"FAIL: cover &lt; "&amp;SG_Criteria!$B$20&amp;" mm. ","")&amp;IF(AND(H9&lt;&gt;"",H9&lt;SG_Criteria!$B$39),"NOTE: min depth below PUB "&amp;SG_Criteria!$B$39&amp;" m. ","")&amp;IF(AND(LEFT(C9,8)="Standard",I9&gt;SG_Criteria!$B$42),"FAIL: PUB 001C covers manholes up to "&amp;SG_Criteria!$B$42&amp;" m deep only. ","")&amp;IF(AND(LEFT(C9,11)="Rectangular",J9&lt;SG_Criteria!$B$43),"NOTE: 004C is for sewers &gt;= "&amp;SG_Criteria!$B$43&amp;" dia. ","")&amp;IF(AND(LEFT(C9,7)="Precast",I9&lt;=SG_Criteria!$B$42),"NOTE: 006C is for manholes &gt; "&amp;SG_Criteria!$B$42&amp;" m deep. ","")&amp;IF(AND(J9&lt;&gt;"",J9&lt;SG_Criteria!$B$40,C9&lt;&gt;"Inspection Chamber"),"NOTE: public sewer min dia "&amp;SG_Criteria!$B$40&amp;" mm. ","")&amp;IF(AND(R9&lt;&gt;"",R9&lt;SG_Criteria!$B$44),"FAIL: uplift FOS below "&amp;SG_Criteria!$B$44&amp;". ",""))=0,"OK",IF(AND(S9&lt;&gt;"",IFERROR(VALUE(MID(S9,2,2)),0)&lt;SG_Criteria!$B$19),"FAIL: grade below C"&amp;SG_Criteria!$B$19&amp;". ","")&amp;IF(AND(T9&lt;&gt;"",T9&lt;SG_Criteria!$B$20),"FAIL: cover &lt; "&amp;SG_Criteria!$B$20&amp;" mm. ","")&amp;IF(AND(H9&lt;&gt;"",H9&lt;SG_Criteria!$B$39),"NOTE: min depth below PUB "&amp;SG_Criteria!$B$39&amp;" m. ","")&amp;IF(AND(LEFT(C9,8)="Standard",I9&gt;SG_Criteria!$B$42),"FAIL: PUB 001C covers manholes up to "&amp;SG_Criteria!$B$42&amp;" m deep only. ","")&amp;IF(AND(LEFT(C9,11)="Rectangular",J9&lt;SG_Criteria!$B$43),"NOTE: 004C is for sewers &gt;= "&amp;SG_Criteria!$B$43&amp;" dia. ","")&amp;IF(AND(LEFT(C9,7)="Precast",I9&lt;=SG_Criteria!$B$42),"NOTE: 006C is for manholes &gt; "&amp;SG_Criteria!$B$42&amp;" m deep. ","")&amp;IF(AND(J9&lt;&gt;"",J9&lt;SG_Criteria!$B$40,C9&lt;&gt;"Inspection Chamber"),"NOTE: public sewer min dia "&amp;SG_Criteria!$B$40&amp;" mm. ","")&amp;IF(AND(R9&lt;&gt;"",R9&lt;SG_Criteria!$B$44),"FAIL: uplift FOS below "&amp;SG_Criteria!$B$44&amp;". ","")))</f>
        <v>FAIL: PUB 001C covers manholes up to 6 m deep only. </v>
      </c>
      <c r="AT9" s="18" t="s">
        <v>798</v>
      </c>
      <c r="AU9" s="18"/>
      <c r="AV9" s="18" t="s">
        <v>631</v>
      </c>
      <c r="AW9" s="18" t="s">
        <v>631</v>
      </c>
      <c r="AX9" s="18" t="s">
        <v>631</v>
      </c>
      <c r="AY9" s="39" t="n">
        <v>46309</v>
      </c>
      <c r="AZ9" s="10" t="str">
        <f aca="false">IF(C9="","",IF(AND(AB9="Approved",ISERROR(SEARCH("FAIL",AS9))),"Y","N"))</f>
        <v>N</v>
      </c>
      <c r="BA9" s="10" t="str">
        <f aca="false">IF(C9="","",C9&amp;"|"&amp;I9&amp;"|"&amp;F9&amp;"|"&amp;AZ9)</f>
        <v>Standard Manhole (PUB 001C)|7.5|1200|N</v>
      </c>
    </row>
    <row r="10" customFormat="false" ht="15" hidden="false" customHeight="false" outlineLevel="0" collapsed="false">
      <c r="A10" s="10" t="str">
        <f aca="false">IF(C10="","","MH-"&amp;IFERROR(VLOOKUP(C10,Lists!$AB$4:$AC$20,2,0),"??")&amp;"-"&amp;TEXT(F10,"0000")&amp;IF(E10="Circular","D","x"&amp;TEXT(G10,"0000"))&amp;"-D"&amp;TEXT(I10*1000,"0000")&amp;"-"&amp;IFERROR(VLOOKUP(D10,Lists!$AE$4:$AF$16,2,0),"??")&amp;"-"&amp;AA10)</f>
        <v/>
      </c>
      <c r="B10" s="10" t="str">
        <f aca="false">IF(C10="","",C10&amp;", "&amp;D10&amp;", "&amp;IF(E10="Circular",F10&amp;" dia",F10&amp;" x "&amp;G10)&amp;", depth "&amp;TEXT(H10,"0.0")&amp;"-"&amp;TEXT(I10,"0.0")&amp;" m, pipe up to "&amp;J10&amp;" dia")</f>
        <v/>
      </c>
      <c r="C10" s="9"/>
      <c r="D10" s="9"/>
      <c r="E10" s="9"/>
      <c r="F10" s="40"/>
      <c r="G10" s="40"/>
      <c r="H10" s="43"/>
      <c r="I10" s="43"/>
      <c r="J10" s="40"/>
      <c r="K10" s="40"/>
      <c r="L10" s="40"/>
      <c r="M10" s="40"/>
      <c r="N10" s="9"/>
      <c r="O10" s="9"/>
      <c r="P10" s="9"/>
      <c r="Q10" s="9"/>
      <c r="R10" s="41"/>
      <c r="S10" s="9"/>
      <c r="T10" s="40"/>
      <c r="U10" s="9"/>
      <c r="V10" s="9"/>
      <c r="W10" s="9"/>
      <c r="X10" s="9"/>
      <c r="Y10" s="9"/>
      <c r="Z10" s="9"/>
      <c r="AA10" s="9"/>
      <c r="AB10" s="9"/>
      <c r="AC10" s="9"/>
      <c r="AD10" s="9"/>
      <c r="AE10" s="9"/>
      <c r="AF10" s="10" t="str">
        <f aca="false">IF(A10="","",SG_Criteria!$B$6&amp;SG_Criteria!$B$10&amp;"\"&amp;A10&amp;"\")</f>
        <v/>
      </c>
      <c r="AG10" s="10" t="str">
        <f aca="false">IF(A10="","",A10&amp;"_CAD.dwg")</f>
        <v/>
      </c>
      <c r="AH10" s="10" t="str">
        <f aca="false">IF(A10="","",A10&amp;"_DWG.pdf")</f>
        <v/>
      </c>
      <c r="AI10" s="10" t="str">
        <f aca="false">IF(A10="","",IF(AE10="Y",A10&amp;"_STAAD.std","n/a"))</f>
        <v/>
      </c>
      <c r="AJ10" s="10" t="str">
        <f aca="false">IF(A10="","",A10&amp;"_CALC.xlsx")</f>
        <v/>
      </c>
      <c r="AK10" s="10" t="str">
        <f aca="false">IF(A10="","",A10&amp;"_CALC.pdf")</f>
        <v/>
      </c>
      <c r="AL10" s="9"/>
      <c r="AM10" s="9"/>
      <c r="AN10" s="41"/>
      <c r="AO10" s="41"/>
      <c r="AP10" s="41"/>
      <c r="AQ10" s="41"/>
      <c r="AR10" s="41"/>
      <c r="AS10" s="38" t="str">
        <f aca="false">IF(C10="","",IF(LEN(IF(AND(S10&lt;&gt;"",IFERROR(VALUE(MID(S10,2,2)),0)&lt;SG_Criteria!$B$19),"FAIL: grade below C"&amp;SG_Criteria!$B$19&amp;". ","")&amp;IF(AND(T10&lt;&gt;"",T10&lt;SG_Criteria!$B$20),"FAIL: cover &lt; "&amp;SG_Criteria!$B$20&amp;" mm. ","")&amp;IF(AND(H10&lt;&gt;"",H10&lt;SG_Criteria!$B$39),"NOTE: min depth below PUB "&amp;SG_Criteria!$B$39&amp;" m. ","")&amp;IF(AND(LEFT(C10,8)="Standard",I10&gt;SG_Criteria!$B$42),"FAIL: PUB 001C covers manholes up to "&amp;SG_Criteria!$B$42&amp;" m deep only. ","")&amp;IF(AND(LEFT(C10,11)="Rectangular",J10&lt;SG_Criteria!$B$43),"NOTE: 004C is for sewers &gt;= "&amp;SG_Criteria!$B$43&amp;" dia. ","")&amp;IF(AND(LEFT(C10,7)="Precast",I10&lt;=SG_Criteria!$B$42),"NOTE: 006C is for manholes &gt; "&amp;SG_Criteria!$B$42&amp;" m deep. ","")&amp;IF(AND(J10&lt;&gt;"",J10&lt;SG_Criteria!$B$40,C10&lt;&gt;"Inspection Chamber"),"NOTE: public sewer min dia "&amp;SG_Criteria!$B$40&amp;" mm. ","")&amp;IF(AND(R10&lt;&gt;"",R10&lt;SG_Criteria!$B$44),"FAIL: uplift FOS below "&amp;SG_Criteria!$B$44&amp;". ",""))=0,"OK",IF(AND(S10&lt;&gt;"",IFERROR(VALUE(MID(S10,2,2)),0)&lt;SG_Criteria!$B$19),"FAIL: grade below C"&amp;SG_Criteria!$B$19&amp;". ","")&amp;IF(AND(T10&lt;&gt;"",T10&lt;SG_Criteria!$B$20),"FAIL: cover &lt; "&amp;SG_Criteria!$B$20&amp;" mm. ","")&amp;IF(AND(H10&lt;&gt;"",H10&lt;SG_Criteria!$B$39),"NOTE: min depth below PUB "&amp;SG_Criteria!$B$39&amp;" m. ","")&amp;IF(AND(LEFT(C10,8)="Standard",I10&gt;SG_Criteria!$B$42),"FAIL: PUB 001C covers manholes up to "&amp;SG_Criteria!$B$42&amp;" m deep only. ","")&amp;IF(AND(LEFT(C10,11)="Rectangular",J10&lt;SG_Criteria!$B$43),"NOTE: 004C is for sewers &gt;= "&amp;SG_Criteria!$B$43&amp;" dia. ","")&amp;IF(AND(LEFT(C10,7)="Precast",I10&lt;=SG_Criteria!$B$42),"NOTE: 006C is for manholes &gt; "&amp;SG_Criteria!$B$42&amp;" m deep. ","")&amp;IF(AND(J10&lt;&gt;"",J10&lt;SG_Criteria!$B$40,C10&lt;&gt;"Inspection Chamber"),"NOTE: public sewer min dia "&amp;SG_Criteria!$B$40&amp;" mm. ","")&amp;IF(AND(R10&lt;&gt;"",R10&lt;SG_Criteria!$B$44),"FAIL: uplift FOS below "&amp;SG_Criteria!$B$44&amp;". ","")))</f>
        <v/>
      </c>
      <c r="AT10" s="9"/>
      <c r="AU10" s="9"/>
      <c r="AV10" s="9"/>
      <c r="AW10" s="9"/>
      <c r="AX10" s="9"/>
      <c r="AY10" s="31"/>
      <c r="AZ10" s="10" t="str">
        <f aca="false">IF(C10="","",IF(AND(AB10="Approved",ISERROR(SEARCH("FAIL",AS10))),"Y","N"))</f>
        <v/>
      </c>
      <c r="BA10" s="10" t="str">
        <f aca="false">IF(C10="","",C10&amp;"|"&amp;I10&amp;"|"&amp;F10&amp;"|"&amp;AZ10)</f>
        <v/>
      </c>
    </row>
    <row r="11" customFormat="false" ht="15" hidden="false" customHeight="false" outlineLevel="0" collapsed="false">
      <c r="A11" s="10" t="str">
        <f aca="false">IF(C11="","","MH-"&amp;IFERROR(VLOOKUP(C11,Lists!$AB$4:$AC$20,2,0),"??")&amp;"-"&amp;TEXT(F11,"0000")&amp;IF(E11="Circular","D","x"&amp;TEXT(G11,"0000"))&amp;"-D"&amp;TEXT(I11*1000,"0000")&amp;"-"&amp;IFERROR(VLOOKUP(D11,Lists!$AE$4:$AF$16,2,0),"??")&amp;"-"&amp;AA11)</f>
        <v/>
      </c>
      <c r="B11" s="10" t="str">
        <f aca="false">IF(C11="","",C11&amp;", "&amp;D11&amp;", "&amp;IF(E11="Circular",F11&amp;" dia",F11&amp;" x "&amp;G11)&amp;", depth "&amp;TEXT(H11,"0.0")&amp;"-"&amp;TEXT(I11,"0.0")&amp;" m, pipe up to "&amp;J11&amp;" dia")</f>
        <v/>
      </c>
      <c r="C11" s="9"/>
      <c r="D11" s="9"/>
      <c r="E11" s="9"/>
      <c r="F11" s="40"/>
      <c r="G11" s="40"/>
      <c r="H11" s="43"/>
      <c r="I11" s="43"/>
      <c r="J11" s="40"/>
      <c r="K11" s="40"/>
      <c r="L11" s="40"/>
      <c r="M11" s="40"/>
      <c r="N11" s="9"/>
      <c r="O11" s="9"/>
      <c r="P11" s="9"/>
      <c r="Q11" s="9"/>
      <c r="R11" s="41"/>
      <c r="S11" s="9"/>
      <c r="T11" s="40"/>
      <c r="U11" s="9"/>
      <c r="V11" s="9"/>
      <c r="W11" s="9"/>
      <c r="X11" s="9"/>
      <c r="Y11" s="9"/>
      <c r="Z11" s="9"/>
      <c r="AA11" s="9"/>
      <c r="AB11" s="9"/>
      <c r="AC11" s="9"/>
      <c r="AD11" s="9"/>
      <c r="AE11" s="9"/>
      <c r="AF11" s="10" t="str">
        <f aca="false">IF(A11="","",SG_Criteria!$B$6&amp;SG_Criteria!$B$10&amp;"\"&amp;A11&amp;"\")</f>
        <v/>
      </c>
      <c r="AG11" s="10" t="str">
        <f aca="false">IF(A11="","",A11&amp;"_CAD.dwg")</f>
        <v/>
      </c>
      <c r="AH11" s="10" t="str">
        <f aca="false">IF(A11="","",A11&amp;"_DWG.pdf")</f>
        <v/>
      </c>
      <c r="AI11" s="10" t="str">
        <f aca="false">IF(A11="","",IF(AE11="Y",A11&amp;"_STAAD.std","n/a"))</f>
        <v/>
      </c>
      <c r="AJ11" s="10" t="str">
        <f aca="false">IF(A11="","",A11&amp;"_CALC.xlsx")</f>
        <v/>
      </c>
      <c r="AK11" s="10" t="str">
        <f aca="false">IF(A11="","",A11&amp;"_CALC.pdf")</f>
        <v/>
      </c>
      <c r="AL11" s="9"/>
      <c r="AM11" s="9"/>
      <c r="AN11" s="41"/>
      <c r="AO11" s="41"/>
      <c r="AP11" s="41"/>
      <c r="AQ11" s="41"/>
      <c r="AR11" s="41"/>
      <c r="AS11" s="38" t="str">
        <f aca="false">IF(C11="","",IF(LEN(IF(AND(S11&lt;&gt;"",IFERROR(VALUE(MID(S11,2,2)),0)&lt;SG_Criteria!$B$19),"FAIL: grade below C"&amp;SG_Criteria!$B$19&amp;". ","")&amp;IF(AND(T11&lt;&gt;"",T11&lt;SG_Criteria!$B$20),"FAIL: cover &lt; "&amp;SG_Criteria!$B$20&amp;" mm. ","")&amp;IF(AND(H11&lt;&gt;"",H11&lt;SG_Criteria!$B$39),"NOTE: min depth below PUB "&amp;SG_Criteria!$B$39&amp;" m. ","")&amp;IF(AND(LEFT(C11,8)="Standard",I11&gt;SG_Criteria!$B$42),"FAIL: PUB 001C covers manholes up to "&amp;SG_Criteria!$B$42&amp;" m deep only. ","")&amp;IF(AND(LEFT(C11,11)="Rectangular",J11&lt;SG_Criteria!$B$43),"NOTE: 004C is for sewers &gt;= "&amp;SG_Criteria!$B$43&amp;" dia. ","")&amp;IF(AND(LEFT(C11,7)="Precast",I11&lt;=SG_Criteria!$B$42),"NOTE: 006C is for manholes &gt; "&amp;SG_Criteria!$B$42&amp;" m deep. ","")&amp;IF(AND(J11&lt;&gt;"",J11&lt;SG_Criteria!$B$40,C11&lt;&gt;"Inspection Chamber"),"NOTE: public sewer min dia "&amp;SG_Criteria!$B$40&amp;" mm. ","")&amp;IF(AND(R11&lt;&gt;"",R11&lt;SG_Criteria!$B$44),"FAIL: uplift FOS below "&amp;SG_Criteria!$B$44&amp;". ",""))=0,"OK",IF(AND(S11&lt;&gt;"",IFERROR(VALUE(MID(S11,2,2)),0)&lt;SG_Criteria!$B$19),"FAIL: grade below C"&amp;SG_Criteria!$B$19&amp;". ","")&amp;IF(AND(T11&lt;&gt;"",T11&lt;SG_Criteria!$B$20),"FAIL: cover &lt; "&amp;SG_Criteria!$B$20&amp;" mm. ","")&amp;IF(AND(H11&lt;&gt;"",H11&lt;SG_Criteria!$B$39),"NOTE: min depth below PUB "&amp;SG_Criteria!$B$39&amp;" m. ","")&amp;IF(AND(LEFT(C11,8)="Standard",I11&gt;SG_Criteria!$B$42),"FAIL: PUB 001C covers manholes up to "&amp;SG_Criteria!$B$42&amp;" m deep only. ","")&amp;IF(AND(LEFT(C11,11)="Rectangular",J11&lt;SG_Criteria!$B$43),"NOTE: 004C is for sewers &gt;= "&amp;SG_Criteria!$B$43&amp;" dia. ","")&amp;IF(AND(LEFT(C11,7)="Precast",I11&lt;=SG_Criteria!$B$42),"NOTE: 006C is for manholes &gt; "&amp;SG_Criteria!$B$42&amp;" m deep. ","")&amp;IF(AND(J11&lt;&gt;"",J11&lt;SG_Criteria!$B$40,C11&lt;&gt;"Inspection Chamber"),"NOTE: public sewer min dia "&amp;SG_Criteria!$B$40&amp;" mm. ","")&amp;IF(AND(R11&lt;&gt;"",R11&lt;SG_Criteria!$B$44),"FAIL: uplift FOS below "&amp;SG_Criteria!$B$44&amp;". ","")))</f>
        <v/>
      </c>
      <c r="AT11" s="9"/>
      <c r="AU11" s="9"/>
      <c r="AV11" s="9"/>
      <c r="AW11" s="9"/>
      <c r="AX11" s="9"/>
      <c r="AY11" s="31"/>
      <c r="AZ11" s="10" t="str">
        <f aca="false">IF(C11="","",IF(AND(AB11="Approved",ISERROR(SEARCH("FAIL",AS11))),"Y","N"))</f>
        <v/>
      </c>
      <c r="BA11" s="10" t="str">
        <f aca="false">IF(C11="","",C11&amp;"|"&amp;I11&amp;"|"&amp;F11&amp;"|"&amp;AZ11)</f>
        <v/>
      </c>
    </row>
    <row r="12" customFormat="false" ht="15" hidden="false" customHeight="false" outlineLevel="0" collapsed="false">
      <c r="A12" s="10" t="str">
        <f aca="false">IF(C12="","","MH-"&amp;IFERROR(VLOOKUP(C12,Lists!$AB$4:$AC$20,2,0),"??")&amp;"-"&amp;TEXT(F12,"0000")&amp;IF(E12="Circular","D","x"&amp;TEXT(G12,"0000"))&amp;"-D"&amp;TEXT(I12*1000,"0000")&amp;"-"&amp;IFERROR(VLOOKUP(D12,Lists!$AE$4:$AF$16,2,0),"??")&amp;"-"&amp;AA12)</f>
        <v/>
      </c>
      <c r="B12" s="10" t="str">
        <f aca="false">IF(C12="","",C12&amp;", "&amp;D12&amp;", "&amp;IF(E12="Circular",F12&amp;" dia",F12&amp;" x "&amp;G12)&amp;", depth "&amp;TEXT(H12,"0.0")&amp;"-"&amp;TEXT(I12,"0.0")&amp;" m, pipe up to "&amp;J12&amp;" dia")</f>
        <v/>
      </c>
      <c r="C12" s="9"/>
      <c r="D12" s="9"/>
      <c r="E12" s="9"/>
      <c r="F12" s="40"/>
      <c r="G12" s="40"/>
      <c r="H12" s="43"/>
      <c r="I12" s="43"/>
      <c r="J12" s="40"/>
      <c r="K12" s="40"/>
      <c r="L12" s="40"/>
      <c r="M12" s="40"/>
      <c r="N12" s="9"/>
      <c r="O12" s="9"/>
      <c r="P12" s="9"/>
      <c r="Q12" s="9"/>
      <c r="R12" s="41"/>
      <c r="S12" s="9"/>
      <c r="T12" s="40"/>
      <c r="U12" s="9"/>
      <c r="V12" s="9"/>
      <c r="W12" s="9"/>
      <c r="X12" s="9"/>
      <c r="Y12" s="9"/>
      <c r="Z12" s="9"/>
      <c r="AA12" s="9"/>
      <c r="AB12" s="9"/>
      <c r="AC12" s="9"/>
      <c r="AD12" s="9"/>
      <c r="AE12" s="9"/>
      <c r="AF12" s="10" t="str">
        <f aca="false">IF(A12="","",SG_Criteria!$B$6&amp;SG_Criteria!$B$10&amp;"\"&amp;A12&amp;"\")</f>
        <v/>
      </c>
      <c r="AG12" s="10" t="str">
        <f aca="false">IF(A12="","",A12&amp;"_CAD.dwg")</f>
        <v/>
      </c>
      <c r="AH12" s="10" t="str">
        <f aca="false">IF(A12="","",A12&amp;"_DWG.pdf")</f>
        <v/>
      </c>
      <c r="AI12" s="10" t="str">
        <f aca="false">IF(A12="","",IF(AE12="Y",A12&amp;"_STAAD.std","n/a"))</f>
        <v/>
      </c>
      <c r="AJ12" s="10" t="str">
        <f aca="false">IF(A12="","",A12&amp;"_CALC.xlsx")</f>
        <v/>
      </c>
      <c r="AK12" s="10" t="str">
        <f aca="false">IF(A12="","",A12&amp;"_CALC.pdf")</f>
        <v/>
      </c>
      <c r="AL12" s="9"/>
      <c r="AM12" s="9"/>
      <c r="AN12" s="41"/>
      <c r="AO12" s="41"/>
      <c r="AP12" s="41"/>
      <c r="AQ12" s="41"/>
      <c r="AR12" s="41"/>
      <c r="AS12" s="38" t="str">
        <f aca="false">IF(C12="","",IF(LEN(IF(AND(S12&lt;&gt;"",IFERROR(VALUE(MID(S12,2,2)),0)&lt;SG_Criteria!$B$19),"FAIL: grade below C"&amp;SG_Criteria!$B$19&amp;". ","")&amp;IF(AND(T12&lt;&gt;"",T12&lt;SG_Criteria!$B$20),"FAIL: cover &lt; "&amp;SG_Criteria!$B$20&amp;" mm. ","")&amp;IF(AND(H12&lt;&gt;"",H12&lt;SG_Criteria!$B$39),"NOTE: min depth below PUB "&amp;SG_Criteria!$B$39&amp;" m. ","")&amp;IF(AND(LEFT(C12,8)="Standard",I12&gt;SG_Criteria!$B$42),"FAIL: PUB 001C covers manholes up to "&amp;SG_Criteria!$B$42&amp;" m deep only. ","")&amp;IF(AND(LEFT(C12,11)="Rectangular",J12&lt;SG_Criteria!$B$43),"NOTE: 004C is for sewers &gt;= "&amp;SG_Criteria!$B$43&amp;" dia. ","")&amp;IF(AND(LEFT(C12,7)="Precast",I12&lt;=SG_Criteria!$B$42),"NOTE: 006C is for manholes &gt; "&amp;SG_Criteria!$B$42&amp;" m deep. ","")&amp;IF(AND(J12&lt;&gt;"",J12&lt;SG_Criteria!$B$40,C12&lt;&gt;"Inspection Chamber"),"NOTE: public sewer min dia "&amp;SG_Criteria!$B$40&amp;" mm. ","")&amp;IF(AND(R12&lt;&gt;"",R12&lt;SG_Criteria!$B$44),"FAIL: uplift FOS below "&amp;SG_Criteria!$B$44&amp;". ",""))=0,"OK",IF(AND(S12&lt;&gt;"",IFERROR(VALUE(MID(S12,2,2)),0)&lt;SG_Criteria!$B$19),"FAIL: grade below C"&amp;SG_Criteria!$B$19&amp;". ","")&amp;IF(AND(T12&lt;&gt;"",T12&lt;SG_Criteria!$B$20),"FAIL: cover &lt; "&amp;SG_Criteria!$B$20&amp;" mm. ","")&amp;IF(AND(H12&lt;&gt;"",H12&lt;SG_Criteria!$B$39),"NOTE: min depth below PUB "&amp;SG_Criteria!$B$39&amp;" m. ","")&amp;IF(AND(LEFT(C12,8)="Standard",I12&gt;SG_Criteria!$B$42),"FAIL: PUB 001C covers manholes up to "&amp;SG_Criteria!$B$42&amp;" m deep only. ","")&amp;IF(AND(LEFT(C12,11)="Rectangular",J12&lt;SG_Criteria!$B$43),"NOTE: 004C is for sewers &gt;= "&amp;SG_Criteria!$B$43&amp;" dia. ","")&amp;IF(AND(LEFT(C12,7)="Precast",I12&lt;=SG_Criteria!$B$42),"NOTE: 006C is for manholes &gt; "&amp;SG_Criteria!$B$42&amp;" m deep. ","")&amp;IF(AND(J12&lt;&gt;"",J12&lt;SG_Criteria!$B$40,C12&lt;&gt;"Inspection Chamber"),"NOTE: public sewer min dia "&amp;SG_Criteria!$B$40&amp;" mm. ","")&amp;IF(AND(R12&lt;&gt;"",R12&lt;SG_Criteria!$B$44),"FAIL: uplift FOS below "&amp;SG_Criteria!$B$44&amp;". ","")))</f>
        <v/>
      </c>
      <c r="AT12" s="9"/>
      <c r="AU12" s="9"/>
      <c r="AV12" s="9"/>
      <c r="AW12" s="9"/>
      <c r="AX12" s="9"/>
      <c r="AY12" s="31"/>
      <c r="AZ12" s="10" t="str">
        <f aca="false">IF(C12="","",IF(AND(AB12="Approved",ISERROR(SEARCH("FAIL",AS12))),"Y","N"))</f>
        <v/>
      </c>
      <c r="BA12" s="10" t="str">
        <f aca="false">IF(C12="","",C12&amp;"|"&amp;I12&amp;"|"&amp;F12&amp;"|"&amp;AZ12)</f>
        <v/>
      </c>
    </row>
    <row r="13" customFormat="false" ht="15" hidden="false" customHeight="false" outlineLevel="0" collapsed="false">
      <c r="A13" s="10" t="str">
        <f aca="false">IF(C13="","","MH-"&amp;IFERROR(VLOOKUP(C13,Lists!$AB$4:$AC$20,2,0),"??")&amp;"-"&amp;TEXT(F13,"0000")&amp;IF(E13="Circular","D","x"&amp;TEXT(G13,"0000"))&amp;"-D"&amp;TEXT(I13*1000,"0000")&amp;"-"&amp;IFERROR(VLOOKUP(D13,Lists!$AE$4:$AF$16,2,0),"??")&amp;"-"&amp;AA13)</f>
        <v/>
      </c>
      <c r="B13" s="10" t="str">
        <f aca="false">IF(C13="","",C13&amp;", "&amp;D13&amp;", "&amp;IF(E13="Circular",F13&amp;" dia",F13&amp;" x "&amp;G13)&amp;", depth "&amp;TEXT(H13,"0.0")&amp;"-"&amp;TEXT(I13,"0.0")&amp;" m, pipe up to "&amp;J13&amp;" dia")</f>
        <v/>
      </c>
      <c r="C13" s="9"/>
      <c r="D13" s="9"/>
      <c r="E13" s="9"/>
      <c r="F13" s="40"/>
      <c r="G13" s="40"/>
      <c r="H13" s="43"/>
      <c r="I13" s="43"/>
      <c r="J13" s="40"/>
      <c r="K13" s="40"/>
      <c r="L13" s="40"/>
      <c r="M13" s="40"/>
      <c r="N13" s="9"/>
      <c r="O13" s="9"/>
      <c r="P13" s="9"/>
      <c r="Q13" s="9"/>
      <c r="R13" s="41"/>
      <c r="S13" s="9"/>
      <c r="T13" s="40"/>
      <c r="U13" s="9"/>
      <c r="V13" s="9"/>
      <c r="W13" s="9"/>
      <c r="X13" s="9"/>
      <c r="Y13" s="9"/>
      <c r="Z13" s="9"/>
      <c r="AA13" s="9"/>
      <c r="AB13" s="9"/>
      <c r="AC13" s="9"/>
      <c r="AD13" s="9"/>
      <c r="AE13" s="9"/>
      <c r="AF13" s="10" t="str">
        <f aca="false">IF(A13="","",SG_Criteria!$B$6&amp;SG_Criteria!$B$10&amp;"\"&amp;A13&amp;"\")</f>
        <v/>
      </c>
      <c r="AG13" s="10" t="str">
        <f aca="false">IF(A13="","",A13&amp;"_CAD.dwg")</f>
        <v/>
      </c>
      <c r="AH13" s="10" t="str">
        <f aca="false">IF(A13="","",A13&amp;"_DWG.pdf")</f>
        <v/>
      </c>
      <c r="AI13" s="10" t="str">
        <f aca="false">IF(A13="","",IF(AE13="Y",A13&amp;"_STAAD.std","n/a"))</f>
        <v/>
      </c>
      <c r="AJ13" s="10" t="str">
        <f aca="false">IF(A13="","",A13&amp;"_CALC.xlsx")</f>
        <v/>
      </c>
      <c r="AK13" s="10" t="str">
        <f aca="false">IF(A13="","",A13&amp;"_CALC.pdf")</f>
        <v/>
      </c>
      <c r="AL13" s="9"/>
      <c r="AM13" s="9"/>
      <c r="AN13" s="41"/>
      <c r="AO13" s="41"/>
      <c r="AP13" s="41"/>
      <c r="AQ13" s="41"/>
      <c r="AR13" s="41"/>
      <c r="AS13" s="38" t="str">
        <f aca="false">IF(C13="","",IF(LEN(IF(AND(S13&lt;&gt;"",IFERROR(VALUE(MID(S13,2,2)),0)&lt;SG_Criteria!$B$19),"FAIL: grade below C"&amp;SG_Criteria!$B$19&amp;". ","")&amp;IF(AND(T13&lt;&gt;"",T13&lt;SG_Criteria!$B$20),"FAIL: cover &lt; "&amp;SG_Criteria!$B$20&amp;" mm. ","")&amp;IF(AND(H13&lt;&gt;"",H13&lt;SG_Criteria!$B$39),"NOTE: min depth below PUB "&amp;SG_Criteria!$B$39&amp;" m. ","")&amp;IF(AND(LEFT(C13,8)="Standard",I13&gt;SG_Criteria!$B$42),"FAIL: PUB 001C covers manholes up to "&amp;SG_Criteria!$B$42&amp;" m deep only. ","")&amp;IF(AND(LEFT(C13,11)="Rectangular",J13&lt;SG_Criteria!$B$43),"NOTE: 004C is for sewers &gt;= "&amp;SG_Criteria!$B$43&amp;" dia. ","")&amp;IF(AND(LEFT(C13,7)="Precast",I13&lt;=SG_Criteria!$B$42),"NOTE: 006C is for manholes &gt; "&amp;SG_Criteria!$B$42&amp;" m deep. ","")&amp;IF(AND(J13&lt;&gt;"",J13&lt;SG_Criteria!$B$40,C13&lt;&gt;"Inspection Chamber"),"NOTE: public sewer min dia "&amp;SG_Criteria!$B$40&amp;" mm. ","")&amp;IF(AND(R13&lt;&gt;"",R13&lt;SG_Criteria!$B$44),"FAIL: uplift FOS below "&amp;SG_Criteria!$B$44&amp;". ",""))=0,"OK",IF(AND(S13&lt;&gt;"",IFERROR(VALUE(MID(S13,2,2)),0)&lt;SG_Criteria!$B$19),"FAIL: grade below C"&amp;SG_Criteria!$B$19&amp;". ","")&amp;IF(AND(T13&lt;&gt;"",T13&lt;SG_Criteria!$B$20),"FAIL: cover &lt; "&amp;SG_Criteria!$B$20&amp;" mm. ","")&amp;IF(AND(H13&lt;&gt;"",H13&lt;SG_Criteria!$B$39),"NOTE: min depth below PUB "&amp;SG_Criteria!$B$39&amp;" m. ","")&amp;IF(AND(LEFT(C13,8)="Standard",I13&gt;SG_Criteria!$B$42),"FAIL: PUB 001C covers manholes up to "&amp;SG_Criteria!$B$42&amp;" m deep only. ","")&amp;IF(AND(LEFT(C13,11)="Rectangular",J13&lt;SG_Criteria!$B$43),"NOTE: 004C is for sewers &gt;= "&amp;SG_Criteria!$B$43&amp;" dia. ","")&amp;IF(AND(LEFT(C13,7)="Precast",I13&lt;=SG_Criteria!$B$42),"NOTE: 006C is for manholes &gt; "&amp;SG_Criteria!$B$42&amp;" m deep. ","")&amp;IF(AND(J13&lt;&gt;"",J13&lt;SG_Criteria!$B$40,C13&lt;&gt;"Inspection Chamber"),"NOTE: public sewer min dia "&amp;SG_Criteria!$B$40&amp;" mm. ","")&amp;IF(AND(R13&lt;&gt;"",R13&lt;SG_Criteria!$B$44),"FAIL: uplift FOS below "&amp;SG_Criteria!$B$44&amp;". ","")))</f>
        <v/>
      </c>
      <c r="AT13" s="9"/>
      <c r="AU13" s="9"/>
      <c r="AV13" s="9"/>
      <c r="AW13" s="9"/>
      <c r="AX13" s="9"/>
      <c r="AY13" s="31"/>
      <c r="AZ13" s="10" t="str">
        <f aca="false">IF(C13="","",IF(AND(AB13="Approved",ISERROR(SEARCH("FAIL",AS13))),"Y","N"))</f>
        <v/>
      </c>
      <c r="BA13" s="10" t="str">
        <f aca="false">IF(C13="","",C13&amp;"|"&amp;I13&amp;"|"&amp;F13&amp;"|"&amp;AZ13)</f>
        <v/>
      </c>
    </row>
    <row r="14" customFormat="false" ht="15" hidden="false" customHeight="false" outlineLevel="0" collapsed="false">
      <c r="A14" s="10" t="str">
        <f aca="false">IF(C14="","","MH-"&amp;IFERROR(VLOOKUP(C14,Lists!$AB$4:$AC$20,2,0),"??")&amp;"-"&amp;TEXT(F14,"0000")&amp;IF(E14="Circular","D","x"&amp;TEXT(G14,"0000"))&amp;"-D"&amp;TEXT(I14*1000,"0000")&amp;"-"&amp;IFERROR(VLOOKUP(D14,Lists!$AE$4:$AF$16,2,0),"??")&amp;"-"&amp;AA14)</f>
        <v/>
      </c>
      <c r="B14" s="10" t="str">
        <f aca="false">IF(C14="","",C14&amp;", "&amp;D14&amp;", "&amp;IF(E14="Circular",F14&amp;" dia",F14&amp;" x "&amp;G14)&amp;", depth "&amp;TEXT(H14,"0.0")&amp;"-"&amp;TEXT(I14,"0.0")&amp;" m, pipe up to "&amp;J14&amp;" dia")</f>
        <v/>
      </c>
      <c r="C14" s="9"/>
      <c r="D14" s="9"/>
      <c r="E14" s="9"/>
      <c r="F14" s="40"/>
      <c r="G14" s="40"/>
      <c r="H14" s="43"/>
      <c r="I14" s="43"/>
      <c r="J14" s="40"/>
      <c r="K14" s="40"/>
      <c r="L14" s="40"/>
      <c r="M14" s="40"/>
      <c r="N14" s="9"/>
      <c r="O14" s="9"/>
      <c r="P14" s="9"/>
      <c r="Q14" s="9"/>
      <c r="R14" s="41"/>
      <c r="S14" s="9"/>
      <c r="T14" s="40"/>
      <c r="U14" s="9"/>
      <c r="V14" s="9"/>
      <c r="W14" s="9"/>
      <c r="X14" s="9"/>
      <c r="Y14" s="9"/>
      <c r="Z14" s="9"/>
      <c r="AA14" s="9"/>
      <c r="AB14" s="9"/>
      <c r="AC14" s="9"/>
      <c r="AD14" s="9"/>
      <c r="AE14" s="9"/>
      <c r="AF14" s="10" t="str">
        <f aca="false">IF(A14="","",SG_Criteria!$B$6&amp;SG_Criteria!$B$10&amp;"\"&amp;A14&amp;"\")</f>
        <v/>
      </c>
      <c r="AG14" s="10" t="str">
        <f aca="false">IF(A14="","",A14&amp;"_CAD.dwg")</f>
        <v/>
      </c>
      <c r="AH14" s="10" t="str">
        <f aca="false">IF(A14="","",A14&amp;"_DWG.pdf")</f>
        <v/>
      </c>
      <c r="AI14" s="10" t="str">
        <f aca="false">IF(A14="","",IF(AE14="Y",A14&amp;"_STAAD.std","n/a"))</f>
        <v/>
      </c>
      <c r="AJ14" s="10" t="str">
        <f aca="false">IF(A14="","",A14&amp;"_CALC.xlsx")</f>
        <v/>
      </c>
      <c r="AK14" s="10" t="str">
        <f aca="false">IF(A14="","",A14&amp;"_CALC.pdf")</f>
        <v/>
      </c>
      <c r="AL14" s="9"/>
      <c r="AM14" s="9"/>
      <c r="AN14" s="41"/>
      <c r="AO14" s="41"/>
      <c r="AP14" s="41"/>
      <c r="AQ14" s="41"/>
      <c r="AR14" s="41"/>
      <c r="AS14" s="38" t="str">
        <f aca="false">IF(C14="","",IF(LEN(IF(AND(S14&lt;&gt;"",IFERROR(VALUE(MID(S14,2,2)),0)&lt;SG_Criteria!$B$19),"FAIL: grade below C"&amp;SG_Criteria!$B$19&amp;". ","")&amp;IF(AND(T14&lt;&gt;"",T14&lt;SG_Criteria!$B$20),"FAIL: cover &lt; "&amp;SG_Criteria!$B$20&amp;" mm. ","")&amp;IF(AND(H14&lt;&gt;"",H14&lt;SG_Criteria!$B$39),"NOTE: min depth below PUB "&amp;SG_Criteria!$B$39&amp;" m. ","")&amp;IF(AND(LEFT(C14,8)="Standard",I14&gt;SG_Criteria!$B$42),"FAIL: PUB 001C covers manholes up to "&amp;SG_Criteria!$B$42&amp;" m deep only. ","")&amp;IF(AND(LEFT(C14,11)="Rectangular",J14&lt;SG_Criteria!$B$43),"NOTE: 004C is for sewers &gt;= "&amp;SG_Criteria!$B$43&amp;" dia. ","")&amp;IF(AND(LEFT(C14,7)="Precast",I14&lt;=SG_Criteria!$B$42),"NOTE: 006C is for manholes &gt; "&amp;SG_Criteria!$B$42&amp;" m deep. ","")&amp;IF(AND(J14&lt;&gt;"",J14&lt;SG_Criteria!$B$40,C14&lt;&gt;"Inspection Chamber"),"NOTE: public sewer min dia "&amp;SG_Criteria!$B$40&amp;" mm. ","")&amp;IF(AND(R14&lt;&gt;"",R14&lt;SG_Criteria!$B$44),"FAIL: uplift FOS below "&amp;SG_Criteria!$B$44&amp;". ",""))=0,"OK",IF(AND(S14&lt;&gt;"",IFERROR(VALUE(MID(S14,2,2)),0)&lt;SG_Criteria!$B$19),"FAIL: grade below C"&amp;SG_Criteria!$B$19&amp;". ","")&amp;IF(AND(T14&lt;&gt;"",T14&lt;SG_Criteria!$B$20),"FAIL: cover &lt; "&amp;SG_Criteria!$B$20&amp;" mm. ","")&amp;IF(AND(H14&lt;&gt;"",H14&lt;SG_Criteria!$B$39),"NOTE: min depth below PUB "&amp;SG_Criteria!$B$39&amp;" m. ","")&amp;IF(AND(LEFT(C14,8)="Standard",I14&gt;SG_Criteria!$B$42),"FAIL: PUB 001C covers manholes up to "&amp;SG_Criteria!$B$42&amp;" m deep only. ","")&amp;IF(AND(LEFT(C14,11)="Rectangular",J14&lt;SG_Criteria!$B$43),"NOTE: 004C is for sewers &gt;= "&amp;SG_Criteria!$B$43&amp;" dia. ","")&amp;IF(AND(LEFT(C14,7)="Precast",I14&lt;=SG_Criteria!$B$42),"NOTE: 006C is for manholes &gt; "&amp;SG_Criteria!$B$42&amp;" m deep. ","")&amp;IF(AND(J14&lt;&gt;"",J14&lt;SG_Criteria!$B$40,C14&lt;&gt;"Inspection Chamber"),"NOTE: public sewer min dia "&amp;SG_Criteria!$B$40&amp;" mm. ","")&amp;IF(AND(R14&lt;&gt;"",R14&lt;SG_Criteria!$B$44),"FAIL: uplift FOS below "&amp;SG_Criteria!$B$44&amp;". ","")))</f>
        <v/>
      </c>
      <c r="AT14" s="9"/>
      <c r="AU14" s="9"/>
      <c r="AV14" s="9"/>
      <c r="AW14" s="9"/>
      <c r="AX14" s="9"/>
      <c r="AY14" s="31"/>
      <c r="AZ14" s="10" t="str">
        <f aca="false">IF(C14="","",IF(AND(AB14="Approved",ISERROR(SEARCH("FAIL",AS14))),"Y","N"))</f>
        <v/>
      </c>
      <c r="BA14" s="10" t="str">
        <f aca="false">IF(C14="","",C14&amp;"|"&amp;I14&amp;"|"&amp;F14&amp;"|"&amp;AZ14)</f>
        <v/>
      </c>
    </row>
    <row r="15" customFormat="false" ht="15" hidden="false" customHeight="false" outlineLevel="0" collapsed="false">
      <c r="A15" s="10" t="str">
        <f aca="false">IF(C15="","","MH-"&amp;IFERROR(VLOOKUP(C15,Lists!$AB$4:$AC$20,2,0),"??")&amp;"-"&amp;TEXT(F15,"0000")&amp;IF(E15="Circular","D","x"&amp;TEXT(G15,"0000"))&amp;"-D"&amp;TEXT(I15*1000,"0000")&amp;"-"&amp;IFERROR(VLOOKUP(D15,Lists!$AE$4:$AF$16,2,0),"??")&amp;"-"&amp;AA15)</f>
        <v/>
      </c>
      <c r="B15" s="10" t="str">
        <f aca="false">IF(C15="","",C15&amp;", "&amp;D15&amp;", "&amp;IF(E15="Circular",F15&amp;" dia",F15&amp;" x "&amp;G15)&amp;", depth "&amp;TEXT(H15,"0.0")&amp;"-"&amp;TEXT(I15,"0.0")&amp;" m, pipe up to "&amp;J15&amp;" dia")</f>
        <v/>
      </c>
      <c r="C15" s="9"/>
      <c r="D15" s="9"/>
      <c r="E15" s="9"/>
      <c r="F15" s="40"/>
      <c r="G15" s="40"/>
      <c r="H15" s="43"/>
      <c r="I15" s="43"/>
      <c r="J15" s="40"/>
      <c r="K15" s="40"/>
      <c r="L15" s="40"/>
      <c r="M15" s="40"/>
      <c r="N15" s="9"/>
      <c r="O15" s="9"/>
      <c r="P15" s="9"/>
      <c r="Q15" s="9"/>
      <c r="R15" s="41"/>
      <c r="S15" s="9"/>
      <c r="T15" s="40"/>
      <c r="U15" s="9"/>
      <c r="V15" s="9"/>
      <c r="W15" s="9"/>
      <c r="X15" s="9"/>
      <c r="Y15" s="9"/>
      <c r="Z15" s="9"/>
      <c r="AA15" s="9"/>
      <c r="AB15" s="9"/>
      <c r="AC15" s="9"/>
      <c r="AD15" s="9"/>
      <c r="AE15" s="9"/>
      <c r="AF15" s="10" t="str">
        <f aca="false">IF(A15="","",SG_Criteria!$B$6&amp;SG_Criteria!$B$10&amp;"\"&amp;A15&amp;"\")</f>
        <v/>
      </c>
      <c r="AG15" s="10" t="str">
        <f aca="false">IF(A15="","",A15&amp;"_CAD.dwg")</f>
        <v/>
      </c>
      <c r="AH15" s="10" t="str">
        <f aca="false">IF(A15="","",A15&amp;"_DWG.pdf")</f>
        <v/>
      </c>
      <c r="AI15" s="10" t="str">
        <f aca="false">IF(A15="","",IF(AE15="Y",A15&amp;"_STAAD.std","n/a"))</f>
        <v/>
      </c>
      <c r="AJ15" s="10" t="str">
        <f aca="false">IF(A15="","",A15&amp;"_CALC.xlsx")</f>
        <v/>
      </c>
      <c r="AK15" s="10" t="str">
        <f aca="false">IF(A15="","",A15&amp;"_CALC.pdf")</f>
        <v/>
      </c>
      <c r="AL15" s="9"/>
      <c r="AM15" s="9"/>
      <c r="AN15" s="41"/>
      <c r="AO15" s="41"/>
      <c r="AP15" s="41"/>
      <c r="AQ15" s="41"/>
      <c r="AR15" s="41"/>
      <c r="AS15" s="38" t="str">
        <f aca="false">IF(C15="","",IF(LEN(IF(AND(S15&lt;&gt;"",IFERROR(VALUE(MID(S15,2,2)),0)&lt;SG_Criteria!$B$19),"FAIL: grade below C"&amp;SG_Criteria!$B$19&amp;". ","")&amp;IF(AND(T15&lt;&gt;"",T15&lt;SG_Criteria!$B$20),"FAIL: cover &lt; "&amp;SG_Criteria!$B$20&amp;" mm. ","")&amp;IF(AND(H15&lt;&gt;"",H15&lt;SG_Criteria!$B$39),"NOTE: min depth below PUB "&amp;SG_Criteria!$B$39&amp;" m. ","")&amp;IF(AND(LEFT(C15,8)="Standard",I15&gt;SG_Criteria!$B$42),"FAIL: PUB 001C covers manholes up to "&amp;SG_Criteria!$B$42&amp;" m deep only. ","")&amp;IF(AND(LEFT(C15,11)="Rectangular",J15&lt;SG_Criteria!$B$43),"NOTE: 004C is for sewers &gt;= "&amp;SG_Criteria!$B$43&amp;" dia. ","")&amp;IF(AND(LEFT(C15,7)="Precast",I15&lt;=SG_Criteria!$B$42),"NOTE: 006C is for manholes &gt; "&amp;SG_Criteria!$B$42&amp;" m deep. ","")&amp;IF(AND(J15&lt;&gt;"",J15&lt;SG_Criteria!$B$40,C15&lt;&gt;"Inspection Chamber"),"NOTE: public sewer min dia "&amp;SG_Criteria!$B$40&amp;" mm. ","")&amp;IF(AND(R15&lt;&gt;"",R15&lt;SG_Criteria!$B$44),"FAIL: uplift FOS below "&amp;SG_Criteria!$B$44&amp;". ",""))=0,"OK",IF(AND(S15&lt;&gt;"",IFERROR(VALUE(MID(S15,2,2)),0)&lt;SG_Criteria!$B$19),"FAIL: grade below C"&amp;SG_Criteria!$B$19&amp;". ","")&amp;IF(AND(T15&lt;&gt;"",T15&lt;SG_Criteria!$B$20),"FAIL: cover &lt; "&amp;SG_Criteria!$B$20&amp;" mm. ","")&amp;IF(AND(H15&lt;&gt;"",H15&lt;SG_Criteria!$B$39),"NOTE: min depth below PUB "&amp;SG_Criteria!$B$39&amp;" m. ","")&amp;IF(AND(LEFT(C15,8)="Standard",I15&gt;SG_Criteria!$B$42),"FAIL: PUB 001C covers manholes up to "&amp;SG_Criteria!$B$42&amp;" m deep only. ","")&amp;IF(AND(LEFT(C15,11)="Rectangular",J15&lt;SG_Criteria!$B$43),"NOTE: 004C is for sewers &gt;= "&amp;SG_Criteria!$B$43&amp;" dia. ","")&amp;IF(AND(LEFT(C15,7)="Precast",I15&lt;=SG_Criteria!$B$42),"NOTE: 006C is for manholes &gt; "&amp;SG_Criteria!$B$42&amp;" m deep. ","")&amp;IF(AND(J15&lt;&gt;"",J15&lt;SG_Criteria!$B$40,C15&lt;&gt;"Inspection Chamber"),"NOTE: public sewer min dia "&amp;SG_Criteria!$B$40&amp;" mm. ","")&amp;IF(AND(R15&lt;&gt;"",R15&lt;SG_Criteria!$B$44),"FAIL: uplift FOS below "&amp;SG_Criteria!$B$44&amp;". ","")))</f>
        <v/>
      </c>
      <c r="AT15" s="9"/>
      <c r="AU15" s="9"/>
      <c r="AV15" s="9"/>
      <c r="AW15" s="9"/>
      <c r="AX15" s="9"/>
      <c r="AY15" s="31"/>
      <c r="AZ15" s="10" t="str">
        <f aca="false">IF(C15="","",IF(AND(AB15="Approved",ISERROR(SEARCH("FAIL",AS15))),"Y","N"))</f>
        <v/>
      </c>
      <c r="BA15" s="10" t="str">
        <f aca="false">IF(C15="","",C15&amp;"|"&amp;I15&amp;"|"&amp;F15&amp;"|"&amp;AZ15)</f>
        <v/>
      </c>
    </row>
    <row r="16" customFormat="false" ht="15" hidden="false" customHeight="false" outlineLevel="0" collapsed="false">
      <c r="A16" s="10" t="str">
        <f aca="false">IF(C16="","","MH-"&amp;IFERROR(VLOOKUP(C16,Lists!$AB$4:$AC$20,2,0),"??")&amp;"-"&amp;TEXT(F16,"0000")&amp;IF(E16="Circular","D","x"&amp;TEXT(G16,"0000"))&amp;"-D"&amp;TEXT(I16*1000,"0000")&amp;"-"&amp;IFERROR(VLOOKUP(D16,Lists!$AE$4:$AF$16,2,0),"??")&amp;"-"&amp;AA16)</f>
        <v/>
      </c>
      <c r="B16" s="10" t="str">
        <f aca="false">IF(C16="","",C16&amp;", "&amp;D16&amp;", "&amp;IF(E16="Circular",F16&amp;" dia",F16&amp;" x "&amp;G16)&amp;", depth "&amp;TEXT(H16,"0.0")&amp;"-"&amp;TEXT(I16,"0.0")&amp;" m, pipe up to "&amp;J16&amp;" dia")</f>
        <v/>
      </c>
      <c r="C16" s="9"/>
      <c r="D16" s="9"/>
      <c r="E16" s="9"/>
      <c r="F16" s="40"/>
      <c r="G16" s="40"/>
      <c r="H16" s="43"/>
      <c r="I16" s="43"/>
      <c r="J16" s="40"/>
      <c r="K16" s="40"/>
      <c r="L16" s="40"/>
      <c r="M16" s="40"/>
      <c r="N16" s="9"/>
      <c r="O16" s="9"/>
      <c r="P16" s="9"/>
      <c r="Q16" s="9"/>
      <c r="R16" s="41"/>
      <c r="S16" s="9"/>
      <c r="T16" s="40"/>
      <c r="U16" s="9"/>
      <c r="V16" s="9"/>
      <c r="W16" s="9"/>
      <c r="X16" s="9"/>
      <c r="Y16" s="9"/>
      <c r="Z16" s="9"/>
      <c r="AA16" s="9"/>
      <c r="AB16" s="9"/>
      <c r="AC16" s="9"/>
      <c r="AD16" s="9"/>
      <c r="AE16" s="9"/>
      <c r="AF16" s="10" t="str">
        <f aca="false">IF(A16="","",SG_Criteria!$B$6&amp;SG_Criteria!$B$10&amp;"\"&amp;A16&amp;"\")</f>
        <v/>
      </c>
      <c r="AG16" s="10" t="str">
        <f aca="false">IF(A16="","",A16&amp;"_CAD.dwg")</f>
        <v/>
      </c>
      <c r="AH16" s="10" t="str">
        <f aca="false">IF(A16="","",A16&amp;"_DWG.pdf")</f>
        <v/>
      </c>
      <c r="AI16" s="10" t="str">
        <f aca="false">IF(A16="","",IF(AE16="Y",A16&amp;"_STAAD.std","n/a"))</f>
        <v/>
      </c>
      <c r="AJ16" s="10" t="str">
        <f aca="false">IF(A16="","",A16&amp;"_CALC.xlsx")</f>
        <v/>
      </c>
      <c r="AK16" s="10" t="str">
        <f aca="false">IF(A16="","",A16&amp;"_CALC.pdf")</f>
        <v/>
      </c>
      <c r="AL16" s="9"/>
      <c r="AM16" s="9"/>
      <c r="AN16" s="41"/>
      <c r="AO16" s="41"/>
      <c r="AP16" s="41"/>
      <c r="AQ16" s="41"/>
      <c r="AR16" s="41"/>
      <c r="AS16" s="38" t="str">
        <f aca="false">IF(C16="","",IF(LEN(IF(AND(S16&lt;&gt;"",IFERROR(VALUE(MID(S16,2,2)),0)&lt;SG_Criteria!$B$19),"FAIL: grade below C"&amp;SG_Criteria!$B$19&amp;". ","")&amp;IF(AND(T16&lt;&gt;"",T16&lt;SG_Criteria!$B$20),"FAIL: cover &lt; "&amp;SG_Criteria!$B$20&amp;" mm. ","")&amp;IF(AND(H16&lt;&gt;"",H16&lt;SG_Criteria!$B$39),"NOTE: min depth below PUB "&amp;SG_Criteria!$B$39&amp;" m. ","")&amp;IF(AND(LEFT(C16,8)="Standard",I16&gt;SG_Criteria!$B$42),"FAIL: PUB 001C covers manholes up to "&amp;SG_Criteria!$B$42&amp;" m deep only. ","")&amp;IF(AND(LEFT(C16,11)="Rectangular",J16&lt;SG_Criteria!$B$43),"NOTE: 004C is for sewers &gt;= "&amp;SG_Criteria!$B$43&amp;" dia. ","")&amp;IF(AND(LEFT(C16,7)="Precast",I16&lt;=SG_Criteria!$B$42),"NOTE: 006C is for manholes &gt; "&amp;SG_Criteria!$B$42&amp;" m deep. ","")&amp;IF(AND(J16&lt;&gt;"",J16&lt;SG_Criteria!$B$40,C16&lt;&gt;"Inspection Chamber"),"NOTE: public sewer min dia "&amp;SG_Criteria!$B$40&amp;" mm. ","")&amp;IF(AND(R16&lt;&gt;"",R16&lt;SG_Criteria!$B$44),"FAIL: uplift FOS below "&amp;SG_Criteria!$B$44&amp;". ",""))=0,"OK",IF(AND(S16&lt;&gt;"",IFERROR(VALUE(MID(S16,2,2)),0)&lt;SG_Criteria!$B$19),"FAIL: grade below C"&amp;SG_Criteria!$B$19&amp;". ","")&amp;IF(AND(T16&lt;&gt;"",T16&lt;SG_Criteria!$B$20),"FAIL: cover &lt; "&amp;SG_Criteria!$B$20&amp;" mm. ","")&amp;IF(AND(H16&lt;&gt;"",H16&lt;SG_Criteria!$B$39),"NOTE: min depth below PUB "&amp;SG_Criteria!$B$39&amp;" m. ","")&amp;IF(AND(LEFT(C16,8)="Standard",I16&gt;SG_Criteria!$B$42),"FAIL: PUB 001C covers manholes up to "&amp;SG_Criteria!$B$42&amp;" m deep only. ","")&amp;IF(AND(LEFT(C16,11)="Rectangular",J16&lt;SG_Criteria!$B$43),"NOTE: 004C is for sewers &gt;= "&amp;SG_Criteria!$B$43&amp;" dia. ","")&amp;IF(AND(LEFT(C16,7)="Precast",I16&lt;=SG_Criteria!$B$42),"NOTE: 006C is for manholes &gt; "&amp;SG_Criteria!$B$42&amp;" m deep. ","")&amp;IF(AND(J16&lt;&gt;"",J16&lt;SG_Criteria!$B$40,C16&lt;&gt;"Inspection Chamber"),"NOTE: public sewer min dia "&amp;SG_Criteria!$B$40&amp;" mm. ","")&amp;IF(AND(R16&lt;&gt;"",R16&lt;SG_Criteria!$B$44),"FAIL: uplift FOS below "&amp;SG_Criteria!$B$44&amp;". ","")))</f>
        <v/>
      </c>
      <c r="AT16" s="9"/>
      <c r="AU16" s="9"/>
      <c r="AV16" s="9"/>
      <c r="AW16" s="9"/>
      <c r="AX16" s="9"/>
      <c r="AY16" s="31"/>
      <c r="AZ16" s="10" t="str">
        <f aca="false">IF(C16="","",IF(AND(AB16="Approved",ISERROR(SEARCH("FAIL",AS16))),"Y","N"))</f>
        <v/>
      </c>
      <c r="BA16" s="10" t="str">
        <f aca="false">IF(C16="","",C16&amp;"|"&amp;I16&amp;"|"&amp;F16&amp;"|"&amp;AZ16)</f>
        <v/>
      </c>
    </row>
    <row r="17" customFormat="false" ht="15" hidden="false" customHeight="false" outlineLevel="0" collapsed="false">
      <c r="A17" s="10" t="str">
        <f aca="false">IF(C17="","","MH-"&amp;IFERROR(VLOOKUP(C17,Lists!$AB$4:$AC$20,2,0),"??")&amp;"-"&amp;TEXT(F17,"0000")&amp;IF(E17="Circular","D","x"&amp;TEXT(G17,"0000"))&amp;"-D"&amp;TEXT(I17*1000,"0000")&amp;"-"&amp;IFERROR(VLOOKUP(D17,Lists!$AE$4:$AF$16,2,0),"??")&amp;"-"&amp;AA17)</f>
        <v/>
      </c>
      <c r="B17" s="10" t="str">
        <f aca="false">IF(C17="","",C17&amp;", "&amp;D17&amp;", "&amp;IF(E17="Circular",F17&amp;" dia",F17&amp;" x "&amp;G17)&amp;", depth "&amp;TEXT(H17,"0.0")&amp;"-"&amp;TEXT(I17,"0.0")&amp;" m, pipe up to "&amp;J17&amp;" dia")</f>
        <v/>
      </c>
      <c r="C17" s="9"/>
      <c r="D17" s="9"/>
      <c r="E17" s="9"/>
      <c r="F17" s="40"/>
      <c r="G17" s="40"/>
      <c r="H17" s="43"/>
      <c r="I17" s="43"/>
      <c r="J17" s="40"/>
      <c r="K17" s="40"/>
      <c r="L17" s="40"/>
      <c r="M17" s="40"/>
      <c r="N17" s="9"/>
      <c r="O17" s="9"/>
      <c r="P17" s="9"/>
      <c r="Q17" s="9"/>
      <c r="R17" s="41"/>
      <c r="S17" s="9"/>
      <c r="T17" s="40"/>
      <c r="U17" s="9"/>
      <c r="V17" s="9"/>
      <c r="W17" s="9"/>
      <c r="X17" s="9"/>
      <c r="Y17" s="9"/>
      <c r="Z17" s="9"/>
      <c r="AA17" s="9"/>
      <c r="AB17" s="9"/>
      <c r="AC17" s="9"/>
      <c r="AD17" s="9"/>
      <c r="AE17" s="9"/>
      <c r="AF17" s="10" t="str">
        <f aca="false">IF(A17="","",SG_Criteria!$B$6&amp;SG_Criteria!$B$10&amp;"\"&amp;A17&amp;"\")</f>
        <v/>
      </c>
      <c r="AG17" s="10" t="str">
        <f aca="false">IF(A17="","",A17&amp;"_CAD.dwg")</f>
        <v/>
      </c>
      <c r="AH17" s="10" t="str">
        <f aca="false">IF(A17="","",A17&amp;"_DWG.pdf")</f>
        <v/>
      </c>
      <c r="AI17" s="10" t="str">
        <f aca="false">IF(A17="","",IF(AE17="Y",A17&amp;"_STAAD.std","n/a"))</f>
        <v/>
      </c>
      <c r="AJ17" s="10" t="str">
        <f aca="false">IF(A17="","",A17&amp;"_CALC.xlsx")</f>
        <v/>
      </c>
      <c r="AK17" s="10" t="str">
        <f aca="false">IF(A17="","",A17&amp;"_CALC.pdf")</f>
        <v/>
      </c>
      <c r="AL17" s="9"/>
      <c r="AM17" s="9"/>
      <c r="AN17" s="41"/>
      <c r="AO17" s="41"/>
      <c r="AP17" s="41"/>
      <c r="AQ17" s="41"/>
      <c r="AR17" s="41"/>
      <c r="AS17" s="38" t="str">
        <f aca="false">IF(C17="","",IF(LEN(IF(AND(S17&lt;&gt;"",IFERROR(VALUE(MID(S17,2,2)),0)&lt;SG_Criteria!$B$19),"FAIL: grade below C"&amp;SG_Criteria!$B$19&amp;". ","")&amp;IF(AND(T17&lt;&gt;"",T17&lt;SG_Criteria!$B$20),"FAIL: cover &lt; "&amp;SG_Criteria!$B$20&amp;" mm. ","")&amp;IF(AND(H17&lt;&gt;"",H17&lt;SG_Criteria!$B$39),"NOTE: min depth below PUB "&amp;SG_Criteria!$B$39&amp;" m. ","")&amp;IF(AND(LEFT(C17,8)="Standard",I17&gt;SG_Criteria!$B$42),"FAIL: PUB 001C covers manholes up to "&amp;SG_Criteria!$B$42&amp;" m deep only. ","")&amp;IF(AND(LEFT(C17,11)="Rectangular",J17&lt;SG_Criteria!$B$43),"NOTE: 004C is for sewers &gt;= "&amp;SG_Criteria!$B$43&amp;" dia. ","")&amp;IF(AND(LEFT(C17,7)="Precast",I17&lt;=SG_Criteria!$B$42),"NOTE: 006C is for manholes &gt; "&amp;SG_Criteria!$B$42&amp;" m deep. ","")&amp;IF(AND(J17&lt;&gt;"",J17&lt;SG_Criteria!$B$40,C17&lt;&gt;"Inspection Chamber"),"NOTE: public sewer min dia "&amp;SG_Criteria!$B$40&amp;" mm. ","")&amp;IF(AND(R17&lt;&gt;"",R17&lt;SG_Criteria!$B$44),"FAIL: uplift FOS below "&amp;SG_Criteria!$B$44&amp;". ",""))=0,"OK",IF(AND(S17&lt;&gt;"",IFERROR(VALUE(MID(S17,2,2)),0)&lt;SG_Criteria!$B$19),"FAIL: grade below C"&amp;SG_Criteria!$B$19&amp;". ","")&amp;IF(AND(T17&lt;&gt;"",T17&lt;SG_Criteria!$B$20),"FAIL: cover &lt; "&amp;SG_Criteria!$B$20&amp;" mm. ","")&amp;IF(AND(H17&lt;&gt;"",H17&lt;SG_Criteria!$B$39),"NOTE: min depth below PUB "&amp;SG_Criteria!$B$39&amp;" m. ","")&amp;IF(AND(LEFT(C17,8)="Standard",I17&gt;SG_Criteria!$B$42),"FAIL: PUB 001C covers manholes up to "&amp;SG_Criteria!$B$42&amp;" m deep only. ","")&amp;IF(AND(LEFT(C17,11)="Rectangular",J17&lt;SG_Criteria!$B$43),"NOTE: 004C is for sewers &gt;= "&amp;SG_Criteria!$B$43&amp;" dia. ","")&amp;IF(AND(LEFT(C17,7)="Precast",I17&lt;=SG_Criteria!$B$42),"NOTE: 006C is for manholes &gt; "&amp;SG_Criteria!$B$42&amp;" m deep. ","")&amp;IF(AND(J17&lt;&gt;"",J17&lt;SG_Criteria!$B$40,C17&lt;&gt;"Inspection Chamber"),"NOTE: public sewer min dia "&amp;SG_Criteria!$B$40&amp;" mm. ","")&amp;IF(AND(R17&lt;&gt;"",R17&lt;SG_Criteria!$B$44),"FAIL: uplift FOS below "&amp;SG_Criteria!$B$44&amp;". ","")))</f>
        <v/>
      </c>
      <c r="AT17" s="9"/>
      <c r="AU17" s="9"/>
      <c r="AV17" s="9"/>
      <c r="AW17" s="9"/>
      <c r="AX17" s="9"/>
      <c r="AY17" s="31"/>
      <c r="AZ17" s="10" t="str">
        <f aca="false">IF(C17="","",IF(AND(AB17="Approved",ISERROR(SEARCH("FAIL",AS17))),"Y","N"))</f>
        <v/>
      </c>
      <c r="BA17" s="10" t="str">
        <f aca="false">IF(C17="","",C17&amp;"|"&amp;I17&amp;"|"&amp;F17&amp;"|"&amp;AZ17)</f>
        <v/>
      </c>
    </row>
    <row r="18" customFormat="false" ht="15" hidden="false" customHeight="false" outlineLevel="0" collapsed="false">
      <c r="A18" s="10" t="str">
        <f aca="false">IF(C18="","","MH-"&amp;IFERROR(VLOOKUP(C18,Lists!$AB$4:$AC$20,2,0),"??")&amp;"-"&amp;TEXT(F18,"0000")&amp;IF(E18="Circular","D","x"&amp;TEXT(G18,"0000"))&amp;"-D"&amp;TEXT(I18*1000,"0000")&amp;"-"&amp;IFERROR(VLOOKUP(D18,Lists!$AE$4:$AF$16,2,0),"??")&amp;"-"&amp;AA18)</f>
        <v/>
      </c>
      <c r="B18" s="10" t="str">
        <f aca="false">IF(C18="","",C18&amp;", "&amp;D18&amp;", "&amp;IF(E18="Circular",F18&amp;" dia",F18&amp;" x "&amp;G18)&amp;", depth "&amp;TEXT(H18,"0.0")&amp;"-"&amp;TEXT(I18,"0.0")&amp;" m, pipe up to "&amp;J18&amp;" dia")</f>
        <v/>
      </c>
      <c r="C18" s="9"/>
      <c r="D18" s="9"/>
      <c r="E18" s="9"/>
      <c r="F18" s="40"/>
      <c r="G18" s="40"/>
      <c r="H18" s="43"/>
      <c r="I18" s="43"/>
      <c r="J18" s="40"/>
      <c r="K18" s="40"/>
      <c r="L18" s="40"/>
      <c r="M18" s="40"/>
      <c r="N18" s="9"/>
      <c r="O18" s="9"/>
      <c r="P18" s="9"/>
      <c r="Q18" s="9"/>
      <c r="R18" s="41"/>
      <c r="S18" s="9"/>
      <c r="T18" s="40"/>
      <c r="U18" s="9"/>
      <c r="V18" s="9"/>
      <c r="W18" s="9"/>
      <c r="X18" s="9"/>
      <c r="Y18" s="9"/>
      <c r="Z18" s="9"/>
      <c r="AA18" s="9"/>
      <c r="AB18" s="9"/>
      <c r="AC18" s="9"/>
      <c r="AD18" s="9"/>
      <c r="AE18" s="9"/>
      <c r="AF18" s="10" t="str">
        <f aca="false">IF(A18="","",SG_Criteria!$B$6&amp;SG_Criteria!$B$10&amp;"\"&amp;A18&amp;"\")</f>
        <v/>
      </c>
      <c r="AG18" s="10" t="str">
        <f aca="false">IF(A18="","",A18&amp;"_CAD.dwg")</f>
        <v/>
      </c>
      <c r="AH18" s="10" t="str">
        <f aca="false">IF(A18="","",A18&amp;"_DWG.pdf")</f>
        <v/>
      </c>
      <c r="AI18" s="10" t="str">
        <f aca="false">IF(A18="","",IF(AE18="Y",A18&amp;"_STAAD.std","n/a"))</f>
        <v/>
      </c>
      <c r="AJ18" s="10" t="str">
        <f aca="false">IF(A18="","",A18&amp;"_CALC.xlsx")</f>
        <v/>
      </c>
      <c r="AK18" s="10" t="str">
        <f aca="false">IF(A18="","",A18&amp;"_CALC.pdf")</f>
        <v/>
      </c>
      <c r="AL18" s="9"/>
      <c r="AM18" s="9"/>
      <c r="AN18" s="41"/>
      <c r="AO18" s="41"/>
      <c r="AP18" s="41"/>
      <c r="AQ18" s="41"/>
      <c r="AR18" s="41"/>
      <c r="AS18" s="38" t="str">
        <f aca="false">IF(C18="","",IF(LEN(IF(AND(S18&lt;&gt;"",IFERROR(VALUE(MID(S18,2,2)),0)&lt;SG_Criteria!$B$19),"FAIL: grade below C"&amp;SG_Criteria!$B$19&amp;". ","")&amp;IF(AND(T18&lt;&gt;"",T18&lt;SG_Criteria!$B$20),"FAIL: cover &lt; "&amp;SG_Criteria!$B$20&amp;" mm. ","")&amp;IF(AND(H18&lt;&gt;"",H18&lt;SG_Criteria!$B$39),"NOTE: min depth below PUB "&amp;SG_Criteria!$B$39&amp;" m. ","")&amp;IF(AND(LEFT(C18,8)="Standard",I18&gt;SG_Criteria!$B$42),"FAIL: PUB 001C covers manholes up to "&amp;SG_Criteria!$B$42&amp;" m deep only. ","")&amp;IF(AND(LEFT(C18,11)="Rectangular",J18&lt;SG_Criteria!$B$43),"NOTE: 004C is for sewers &gt;= "&amp;SG_Criteria!$B$43&amp;" dia. ","")&amp;IF(AND(LEFT(C18,7)="Precast",I18&lt;=SG_Criteria!$B$42),"NOTE: 006C is for manholes &gt; "&amp;SG_Criteria!$B$42&amp;" m deep. ","")&amp;IF(AND(J18&lt;&gt;"",J18&lt;SG_Criteria!$B$40,C18&lt;&gt;"Inspection Chamber"),"NOTE: public sewer min dia "&amp;SG_Criteria!$B$40&amp;" mm. ","")&amp;IF(AND(R18&lt;&gt;"",R18&lt;SG_Criteria!$B$44),"FAIL: uplift FOS below "&amp;SG_Criteria!$B$44&amp;". ",""))=0,"OK",IF(AND(S18&lt;&gt;"",IFERROR(VALUE(MID(S18,2,2)),0)&lt;SG_Criteria!$B$19),"FAIL: grade below C"&amp;SG_Criteria!$B$19&amp;". ","")&amp;IF(AND(T18&lt;&gt;"",T18&lt;SG_Criteria!$B$20),"FAIL: cover &lt; "&amp;SG_Criteria!$B$20&amp;" mm. ","")&amp;IF(AND(H18&lt;&gt;"",H18&lt;SG_Criteria!$B$39),"NOTE: min depth below PUB "&amp;SG_Criteria!$B$39&amp;" m. ","")&amp;IF(AND(LEFT(C18,8)="Standard",I18&gt;SG_Criteria!$B$42),"FAIL: PUB 001C covers manholes up to "&amp;SG_Criteria!$B$42&amp;" m deep only. ","")&amp;IF(AND(LEFT(C18,11)="Rectangular",J18&lt;SG_Criteria!$B$43),"NOTE: 004C is for sewers &gt;= "&amp;SG_Criteria!$B$43&amp;" dia. ","")&amp;IF(AND(LEFT(C18,7)="Precast",I18&lt;=SG_Criteria!$B$42),"NOTE: 006C is for manholes &gt; "&amp;SG_Criteria!$B$42&amp;" m deep. ","")&amp;IF(AND(J18&lt;&gt;"",J18&lt;SG_Criteria!$B$40,C18&lt;&gt;"Inspection Chamber"),"NOTE: public sewer min dia "&amp;SG_Criteria!$B$40&amp;" mm. ","")&amp;IF(AND(R18&lt;&gt;"",R18&lt;SG_Criteria!$B$44),"FAIL: uplift FOS below "&amp;SG_Criteria!$B$44&amp;". ","")))</f>
        <v/>
      </c>
      <c r="AT18" s="9"/>
      <c r="AU18" s="9"/>
      <c r="AV18" s="9"/>
      <c r="AW18" s="9"/>
      <c r="AX18" s="9"/>
      <c r="AY18" s="31"/>
      <c r="AZ18" s="10" t="str">
        <f aca="false">IF(C18="","",IF(AND(AB18="Approved",ISERROR(SEARCH("FAIL",AS18))),"Y","N"))</f>
        <v/>
      </c>
      <c r="BA18" s="10" t="str">
        <f aca="false">IF(C18="","",C18&amp;"|"&amp;I18&amp;"|"&amp;F18&amp;"|"&amp;AZ18)</f>
        <v/>
      </c>
    </row>
    <row r="19" customFormat="false" ht="15" hidden="false" customHeight="false" outlineLevel="0" collapsed="false">
      <c r="A19" s="10" t="str">
        <f aca="false">IF(C19="","","MH-"&amp;IFERROR(VLOOKUP(C19,Lists!$AB$4:$AC$20,2,0),"??")&amp;"-"&amp;TEXT(F19,"0000")&amp;IF(E19="Circular","D","x"&amp;TEXT(G19,"0000"))&amp;"-D"&amp;TEXT(I19*1000,"0000")&amp;"-"&amp;IFERROR(VLOOKUP(D19,Lists!$AE$4:$AF$16,2,0),"??")&amp;"-"&amp;AA19)</f>
        <v/>
      </c>
      <c r="B19" s="10" t="str">
        <f aca="false">IF(C19="","",C19&amp;", "&amp;D19&amp;", "&amp;IF(E19="Circular",F19&amp;" dia",F19&amp;" x "&amp;G19)&amp;", depth "&amp;TEXT(H19,"0.0")&amp;"-"&amp;TEXT(I19,"0.0")&amp;" m, pipe up to "&amp;J19&amp;" dia")</f>
        <v/>
      </c>
      <c r="C19" s="9"/>
      <c r="D19" s="9"/>
      <c r="E19" s="9"/>
      <c r="F19" s="40"/>
      <c r="G19" s="40"/>
      <c r="H19" s="43"/>
      <c r="I19" s="43"/>
      <c r="J19" s="40"/>
      <c r="K19" s="40"/>
      <c r="L19" s="40"/>
      <c r="M19" s="40"/>
      <c r="N19" s="9"/>
      <c r="O19" s="9"/>
      <c r="P19" s="9"/>
      <c r="Q19" s="9"/>
      <c r="R19" s="41"/>
      <c r="S19" s="9"/>
      <c r="T19" s="40"/>
      <c r="U19" s="9"/>
      <c r="V19" s="9"/>
      <c r="W19" s="9"/>
      <c r="X19" s="9"/>
      <c r="Y19" s="9"/>
      <c r="Z19" s="9"/>
      <c r="AA19" s="9"/>
      <c r="AB19" s="9"/>
      <c r="AC19" s="9"/>
      <c r="AD19" s="9"/>
      <c r="AE19" s="9"/>
      <c r="AF19" s="10" t="str">
        <f aca="false">IF(A19="","",SG_Criteria!$B$6&amp;SG_Criteria!$B$10&amp;"\"&amp;A19&amp;"\")</f>
        <v/>
      </c>
      <c r="AG19" s="10" t="str">
        <f aca="false">IF(A19="","",A19&amp;"_CAD.dwg")</f>
        <v/>
      </c>
      <c r="AH19" s="10" t="str">
        <f aca="false">IF(A19="","",A19&amp;"_DWG.pdf")</f>
        <v/>
      </c>
      <c r="AI19" s="10" t="str">
        <f aca="false">IF(A19="","",IF(AE19="Y",A19&amp;"_STAAD.std","n/a"))</f>
        <v/>
      </c>
      <c r="AJ19" s="10" t="str">
        <f aca="false">IF(A19="","",A19&amp;"_CALC.xlsx")</f>
        <v/>
      </c>
      <c r="AK19" s="10" t="str">
        <f aca="false">IF(A19="","",A19&amp;"_CALC.pdf")</f>
        <v/>
      </c>
      <c r="AL19" s="9"/>
      <c r="AM19" s="9"/>
      <c r="AN19" s="41"/>
      <c r="AO19" s="41"/>
      <c r="AP19" s="41"/>
      <c r="AQ19" s="41"/>
      <c r="AR19" s="41"/>
      <c r="AS19" s="38" t="str">
        <f aca="false">IF(C19="","",IF(LEN(IF(AND(S19&lt;&gt;"",IFERROR(VALUE(MID(S19,2,2)),0)&lt;SG_Criteria!$B$19),"FAIL: grade below C"&amp;SG_Criteria!$B$19&amp;". ","")&amp;IF(AND(T19&lt;&gt;"",T19&lt;SG_Criteria!$B$20),"FAIL: cover &lt; "&amp;SG_Criteria!$B$20&amp;" mm. ","")&amp;IF(AND(H19&lt;&gt;"",H19&lt;SG_Criteria!$B$39),"NOTE: min depth below PUB "&amp;SG_Criteria!$B$39&amp;" m. ","")&amp;IF(AND(LEFT(C19,8)="Standard",I19&gt;SG_Criteria!$B$42),"FAIL: PUB 001C covers manholes up to "&amp;SG_Criteria!$B$42&amp;" m deep only. ","")&amp;IF(AND(LEFT(C19,11)="Rectangular",J19&lt;SG_Criteria!$B$43),"NOTE: 004C is for sewers &gt;= "&amp;SG_Criteria!$B$43&amp;" dia. ","")&amp;IF(AND(LEFT(C19,7)="Precast",I19&lt;=SG_Criteria!$B$42),"NOTE: 006C is for manholes &gt; "&amp;SG_Criteria!$B$42&amp;" m deep. ","")&amp;IF(AND(J19&lt;&gt;"",J19&lt;SG_Criteria!$B$40,C19&lt;&gt;"Inspection Chamber"),"NOTE: public sewer min dia "&amp;SG_Criteria!$B$40&amp;" mm. ","")&amp;IF(AND(R19&lt;&gt;"",R19&lt;SG_Criteria!$B$44),"FAIL: uplift FOS below "&amp;SG_Criteria!$B$44&amp;". ",""))=0,"OK",IF(AND(S19&lt;&gt;"",IFERROR(VALUE(MID(S19,2,2)),0)&lt;SG_Criteria!$B$19),"FAIL: grade below C"&amp;SG_Criteria!$B$19&amp;". ","")&amp;IF(AND(T19&lt;&gt;"",T19&lt;SG_Criteria!$B$20),"FAIL: cover &lt; "&amp;SG_Criteria!$B$20&amp;" mm. ","")&amp;IF(AND(H19&lt;&gt;"",H19&lt;SG_Criteria!$B$39),"NOTE: min depth below PUB "&amp;SG_Criteria!$B$39&amp;" m. ","")&amp;IF(AND(LEFT(C19,8)="Standard",I19&gt;SG_Criteria!$B$42),"FAIL: PUB 001C covers manholes up to "&amp;SG_Criteria!$B$42&amp;" m deep only. ","")&amp;IF(AND(LEFT(C19,11)="Rectangular",J19&lt;SG_Criteria!$B$43),"NOTE: 004C is for sewers &gt;= "&amp;SG_Criteria!$B$43&amp;" dia. ","")&amp;IF(AND(LEFT(C19,7)="Precast",I19&lt;=SG_Criteria!$B$42),"NOTE: 006C is for manholes &gt; "&amp;SG_Criteria!$B$42&amp;" m deep. ","")&amp;IF(AND(J19&lt;&gt;"",J19&lt;SG_Criteria!$B$40,C19&lt;&gt;"Inspection Chamber"),"NOTE: public sewer min dia "&amp;SG_Criteria!$B$40&amp;" mm. ","")&amp;IF(AND(R19&lt;&gt;"",R19&lt;SG_Criteria!$B$44),"FAIL: uplift FOS below "&amp;SG_Criteria!$B$44&amp;". ","")))</f>
        <v/>
      </c>
      <c r="AT19" s="9"/>
      <c r="AU19" s="9"/>
      <c r="AV19" s="9"/>
      <c r="AW19" s="9"/>
      <c r="AX19" s="9"/>
      <c r="AY19" s="31"/>
      <c r="AZ19" s="10" t="str">
        <f aca="false">IF(C19="","",IF(AND(AB19="Approved",ISERROR(SEARCH("FAIL",AS19))),"Y","N"))</f>
        <v/>
      </c>
      <c r="BA19" s="10" t="str">
        <f aca="false">IF(C19="","",C19&amp;"|"&amp;I19&amp;"|"&amp;F19&amp;"|"&amp;AZ19)</f>
        <v/>
      </c>
    </row>
    <row r="20" customFormat="false" ht="15" hidden="false" customHeight="false" outlineLevel="0" collapsed="false">
      <c r="A20" s="10" t="str">
        <f aca="false">IF(C20="","","MH-"&amp;IFERROR(VLOOKUP(C20,Lists!$AB$4:$AC$20,2,0),"??")&amp;"-"&amp;TEXT(F20,"0000")&amp;IF(E20="Circular","D","x"&amp;TEXT(G20,"0000"))&amp;"-D"&amp;TEXT(I20*1000,"0000")&amp;"-"&amp;IFERROR(VLOOKUP(D20,Lists!$AE$4:$AF$16,2,0),"??")&amp;"-"&amp;AA20)</f>
        <v/>
      </c>
      <c r="B20" s="10" t="str">
        <f aca="false">IF(C20="","",C20&amp;", "&amp;D20&amp;", "&amp;IF(E20="Circular",F20&amp;" dia",F20&amp;" x "&amp;G20)&amp;", depth "&amp;TEXT(H20,"0.0")&amp;"-"&amp;TEXT(I20,"0.0")&amp;" m, pipe up to "&amp;J20&amp;" dia")</f>
        <v/>
      </c>
      <c r="C20" s="9"/>
      <c r="D20" s="9"/>
      <c r="E20" s="9"/>
      <c r="F20" s="40"/>
      <c r="G20" s="40"/>
      <c r="H20" s="43"/>
      <c r="I20" s="43"/>
      <c r="J20" s="40"/>
      <c r="K20" s="40"/>
      <c r="L20" s="40"/>
      <c r="M20" s="40"/>
      <c r="N20" s="9"/>
      <c r="O20" s="9"/>
      <c r="P20" s="9"/>
      <c r="Q20" s="9"/>
      <c r="R20" s="41"/>
      <c r="S20" s="9"/>
      <c r="T20" s="40"/>
      <c r="U20" s="9"/>
      <c r="V20" s="9"/>
      <c r="W20" s="9"/>
      <c r="X20" s="9"/>
      <c r="Y20" s="9"/>
      <c r="Z20" s="9"/>
      <c r="AA20" s="9"/>
      <c r="AB20" s="9"/>
      <c r="AC20" s="9"/>
      <c r="AD20" s="9"/>
      <c r="AE20" s="9"/>
      <c r="AF20" s="10" t="str">
        <f aca="false">IF(A20="","",SG_Criteria!$B$6&amp;SG_Criteria!$B$10&amp;"\"&amp;A20&amp;"\")</f>
        <v/>
      </c>
      <c r="AG20" s="10" t="str">
        <f aca="false">IF(A20="","",A20&amp;"_CAD.dwg")</f>
        <v/>
      </c>
      <c r="AH20" s="10" t="str">
        <f aca="false">IF(A20="","",A20&amp;"_DWG.pdf")</f>
        <v/>
      </c>
      <c r="AI20" s="10" t="str">
        <f aca="false">IF(A20="","",IF(AE20="Y",A20&amp;"_STAAD.std","n/a"))</f>
        <v/>
      </c>
      <c r="AJ20" s="10" t="str">
        <f aca="false">IF(A20="","",A20&amp;"_CALC.xlsx")</f>
        <v/>
      </c>
      <c r="AK20" s="10" t="str">
        <f aca="false">IF(A20="","",A20&amp;"_CALC.pdf")</f>
        <v/>
      </c>
      <c r="AL20" s="9"/>
      <c r="AM20" s="9"/>
      <c r="AN20" s="41"/>
      <c r="AO20" s="41"/>
      <c r="AP20" s="41"/>
      <c r="AQ20" s="41"/>
      <c r="AR20" s="41"/>
      <c r="AS20" s="38" t="str">
        <f aca="false">IF(C20="","",IF(LEN(IF(AND(S20&lt;&gt;"",IFERROR(VALUE(MID(S20,2,2)),0)&lt;SG_Criteria!$B$19),"FAIL: grade below C"&amp;SG_Criteria!$B$19&amp;". ","")&amp;IF(AND(T20&lt;&gt;"",T20&lt;SG_Criteria!$B$20),"FAIL: cover &lt; "&amp;SG_Criteria!$B$20&amp;" mm. ","")&amp;IF(AND(H20&lt;&gt;"",H20&lt;SG_Criteria!$B$39),"NOTE: min depth below PUB "&amp;SG_Criteria!$B$39&amp;" m. ","")&amp;IF(AND(LEFT(C20,8)="Standard",I20&gt;SG_Criteria!$B$42),"FAIL: PUB 001C covers manholes up to "&amp;SG_Criteria!$B$42&amp;" m deep only. ","")&amp;IF(AND(LEFT(C20,11)="Rectangular",J20&lt;SG_Criteria!$B$43),"NOTE: 004C is for sewers &gt;= "&amp;SG_Criteria!$B$43&amp;" dia. ","")&amp;IF(AND(LEFT(C20,7)="Precast",I20&lt;=SG_Criteria!$B$42),"NOTE: 006C is for manholes &gt; "&amp;SG_Criteria!$B$42&amp;" m deep. ","")&amp;IF(AND(J20&lt;&gt;"",J20&lt;SG_Criteria!$B$40,C20&lt;&gt;"Inspection Chamber"),"NOTE: public sewer min dia "&amp;SG_Criteria!$B$40&amp;" mm. ","")&amp;IF(AND(R20&lt;&gt;"",R20&lt;SG_Criteria!$B$44),"FAIL: uplift FOS below "&amp;SG_Criteria!$B$44&amp;". ",""))=0,"OK",IF(AND(S20&lt;&gt;"",IFERROR(VALUE(MID(S20,2,2)),0)&lt;SG_Criteria!$B$19),"FAIL: grade below C"&amp;SG_Criteria!$B$19&amp;". ","")&amp;IF(AND(T20&lt;&gt;"",T20&lt;SG_Criteria!$B$20),"FAIL: cover &lt; "&amp;SG_Criteria!$B$20&amp;" mm. ","")&amp;IF(AND(H20&lt;&gt;"",H20&lt;SG_Criteria!$B$39),"NOTE: min depth below PUB "&amp;SG_Criteria!$B$39&amp;" m. ","")&amp;IF(AND(LEFT(C20,8)="Standard",I20&gt;SG_Criteria!$B$42),"FAIL: PUB 001C covers manholes up to "&amp;SG_Criteria!$B$42&amp;" m deep only. ","")&amp;IF(AND(LEFT(C20,11)="Rectangular",J20&lt;SG_Criteria!$B$43),"NOTE: 004C is for sewers &gt;= "&amp;SG_Criteria!$B$43&amp;" dia. ","")&amp;IF(AND(LEFT(C20,7)="Precast",I20&lt;=SG_Criteria!$B$42),"NOTE: 006C is for manholes &gt; "&amp;SG_Criteria!$B$42&amp;" m deep. ","")&amp;IF(AND(J20&lt;&gt;"",J20&lt;SG_Criteria!$B$40,C20&lt;&gt;"Inspection Chamber"),"NOTE: public sewer min dia "&amp;SG_Criteria!$B$40&amp;" mm. ","")&amp;IF(AND(R20&lt;&gt;"",R20&lt;SG_Criteria!$B$44),"FAIL: uplift FOS below "&amp;SG_Criteria!$B$44&amp;". ","")))</f>
        <v/>
      </c>
      <c r="AT20" s="9"/>
      <c r="AU20" s="9"/>
      <c r="AV20" s="9"/>
      <c r="AW20" s="9"/>
      <c r="AX20" s="9"/>
      <c r="AY20" s="31"/>
      <c r="AZ20" s="10" t="str">
        <f aca="false">IF(C20="","",IF(AND(AB20="Approved",ISERROR(SEARCH("FAIL",AS20))),"Y","N"))</f>
        <v/>
      </c>
      <c r="BA20" s="10" t="str">
        <f aca="false">IF(C20="","",C20&amp;"|"&amp;I20&amp;"|"&amp;F20&amp;"|"&amp;AZ20)</f>
        <v/>
      </c>
    </row>
    <row r="21" customFormat="false" ht="15" hidden="false" customHeight="false" outlineLevel="0" collapsed="false">
      <c r="A21" s="10" t="str">
        <f aca="false">IF(C21="","","MH-"&amp;IFERROR(VLOOKUP(C21,Lists!$AB$4:$AC$20,2,0),"??")&amp;"-"&amp;TEXT(F21,"0000")&amp;IF(E21="Circular","D","x"&amp;TEXT(G21,"0000"))&amp;"-D"&amp;TEXT(I21*1000,"0000")&amp;"-"&amp;IFERROR(VLOOKUP(D21,Lists!$AE$4:$AF$16,2,0),"??")&amp;"-"&amp;AA21)</f>
        <v/>
      </c>
      <c r="B21" s="10" t="str">
        <f aca="false">IF(C21="","",C21&amp;", "&amp;D21&amp;", "&amp;IF(E21="Circular",F21&amp;" dia",F21&amp;" x "&amp;G21)&amp;", depth "&amp;TEXT(H21,"0.0")&amp;"-"&amp;TEXT(I21,"0.0")&amp;" m, pipe up to "&amp;J21&amp;" dia")</f>
        <v/>
      </c>
      <c r="C21" s="9"/>
      <c r="D21" s="9"/>
      <c r="E21" s="9"/>
      <c r="F21" s="40"/>
      <c r="G21" s="40"/>
      <c r="H21" s="43"/>
      <c r="I21" s="43"/>
      <c r="J21" s="40"/>
      <c r="K21" s="40"/>
      <c r="L21" s="40"/>
      <c r="M21" s="40"/>
      <c r="N21" s="9"/>
      <c r="O21" s="9"/>
      <c r="P21" s="9"/>
      <c r="Q21" s="9"/>
      <c r="R21" s="41"/>
      <c r="S21" s="9"/>
      <c r="T21" s="40"/>
      <c r="U21" s="9"/>
      <c r="V21" s="9"/>
      <c r="W21" s="9"/>
      <c r="X21" s="9"/>
      <c r="Y21" s="9"/>
      <c r="Z21" s="9"/>
      <c r="AA21" s="9"/>
      <c r="AB21" s="9"/>
      <c r="AC21" s="9"/>
      <c r="AD21" s="9"/>
      <c r="AE21" s="9"/>
      <c r="AF21" s="10" t="str">
        <f aca="false">IF(A21="","",SG_Criteria!$B$6&amp;SG_Criteria!$B$10&amp;"\"&amp;A21&amp;"\")</f>
        <v/>
      </c>
      <c r="AG21" s="10" t="str">
        <f aca="false">IF(A21="","",A21&amp;"_CAD.dwg")</f>
        <v/>
      </c>
      <c r="AH21" s="10" t="str">
        <f aca="false">IF(A21="","",A21&amp;"_DWG.pdf")</f>
        <v/>
      </c>
      <c r="AI21" s="10" t="str">
        <f aca="false">IF(A21="","",IF(AE21="Y",A21&amp;"_STAAD.std","n/a"))</f>
        <v/>
      </c>
      <c r="AJ21" s="10" t="str">
        <f aca="false">IF(A21="","",A21&amp;"_CALC.xlsx")</f>
        <v/>
      </c>
      <c r="AK21" s="10" t="str">
        <f aca="false">IF(A21="","",A21&amp;"_CALC.pdf")</f>
        <v/>
      </c>
      <c r="AL21" s="9"/>
      <c r="AM21" s="9"/>
      <c r="AN21" s="41"/>
      <c r="AO21" s="41"/>
      <c r="AP21" s="41"/>
      <c r="AQ21" s="41"/>
      <c r="AR21" s="41"/>
      <c r="AS21" s="38" t="str">
        <f aca="false">IF(C21="","",IF(LEN(IF(AND(S21&lt;&gt;"",IFERROR(VALUE(MID(S21,2,2)),0)&lt;SG_Criteria!$B$19),"FAIL: grade below C"&amp;SG_Criteria!$B$19&amp;". ","")&amp;IF(AND(T21&lt;&gt;"",T21&lt;SG_Criteria!$B$20),"FAIL: cover &lt; "&amp;SG_Criteria!$B$20&amp;" mm. ","")&amp;IF(AND(H21&lt;&gt;"",H21&lt;SG_Criteria!$B$39),"NOTE: min depth below PUB "&amp;SG_Criteria!$B$39&amp;" m. ","")&amp;IF(AND(LEFT(C21,8)="Standard",I21&gt;SG_Criteria!$B$42),"FAIL: PUB 001C covers manholes up to "&amp;SG_Criteria!$B$42&amp;" m deep only. ","")&amp;IF(AND(LEFT(C21,11)="Rectangular",J21&lt;SG_Criteria!$B$43),"NOTE: 004C is for sewers &gt;= "&amp;SG_Criteria!$B$43&amp;" dia. ","")&amp;IF(AND(LEFT(C21,7)="Precast",I21&lt;=SG_Criteria!$B$42),"NOTE: 006C is for manholes &gt; "&amp;SG_Criteria!$B$42&amp;" m deep. ","")&amp;IF(AND(J21&lt;&gt;"",J21&lt;SG_Criteria!$B$40,C21&lt;&gt;"Inspection Chamber"),"NOTE: public sewer min dia "&amp;SG_Criteria!$B$40&amp;" mm. ","")&amp;IF(AND(R21&lt;&gt;"",R21&lt;SG_Criteria!$B$44),"FAIL: uplift FOS below "&amp;SG_Criteria!$B$44&amp;". ",""))=0,"OK",IF(AND(S21&lt;&gt;"",IFERROR(VALUE(MID(S21,2,2)),0)&lt;SG_Criteria!$B$19),"FAIL: grade below C"&amp;SG_Criteria!$B$19&amp;". ","")&amp;IF(AND(T21&lt;&gt;"",T21&lt;SG_Criteria!$B$20),"FAIL: cover &lt; "&amp;SG_Criteria!$B$20&amp;" mm. ","")&amp;IF(AND(H21&lt;&gt;"",H21&lt;SG_Criteria!$B$39),"NOTE: min depth below PUB "&amp;SG_Criteria!$B$39&amp;" m. ","")&amp;IF(AND(LEFT(C21,8)="Standard",I21&gt;SG_Criteria!$B$42),"FAIL: PUB 001C covers manholes up to "&amp;SG_Criteria!$B$42&amp;" m deep only. ","")&amp;IF(AND(LEFT(C21,11)="Rectangular",J21&lt;SG_Criteria!$B$43),"NOTE: 004C is for sewers &gt;= "&amp;SG_Criteria!$B$43&amp;" dia. ","")&amp;IF(AND(LEFT(C21,7)="Precast",I21&lt;=SG_Criteria!$B$42),"NOTE: 006C is for manholes &gt; "&amp;SG_Criteria!$B$42&amp;" m deep. ","")&amp;IF(AND(J21&lt;&gt;"",J21&lt;SG_Criteria!$B$40,C21&lt;&gt;"Inspection Chamber"),"NOTE: public sewer min dia "&amp;SG_Criteria!$B$40&amp;" mm. ","")&amp;IF(AND(R21&lt;&gt;"",R21&lt;SG_Criteria!$B$44),"FAIL: uplift FOS below "&amp;SG_Criteria!$B$44&amp;". ","")))</f>
        <v/>
      </c>
      <c r="AT21" s="9"/>
      <c r="AU21" s="9"/>
      <c r="AV21" s="9"/>
      <c r="AW21" s="9"/>
      <c r="AX21" s="9"/>
      <c r="AY21" s="31"/>
      <c r="AZ21" s="10" t="str">
        <f aca="false">IF(C21="","",IF(AND(AB21="Approved",ISERROR(SEARCH("FAIL",AS21))),"Y","N"))</f>
        <v/>
      </c>
      <c r="BA21" s="10" t="str">
        <f aca="false">IF(C21="","",C21&amp;"|"&amp;I21&amp;"|"&amp;F21&amp;"|"&amp;AZ21)</f>
        <v/>
      </c>
    </row>
    <row r="22" customFormat="false" ht="15" hidden="false" customHeight="false" outlineLevel="0" collapsed="false">
      <c r="A22" s="10" t="str">
        <f aca="false">IF(C22="","","MH-"&amp;IFERROR(VLOOKUP(C22,Lists!$AB$4:$AC$20,2,0),"??")&amp;"-"&amp;TEXT(F22,"0000")&amp;IF(E22="Circular","D","x"&amp;TEXT(G22,"0000"))&amp;"-D"&amp;TEXT(I22*1000,"0000")&amp;"-"&amp;IFERROR(VLOOKUP(D22,Lists!$AE$4:$AF$16,2,0),"??")&amp;"-"&amp;AA22)</f>
        <v/>
      </c>
      <c r="B22" s="10" t="str">
        <f aca="false">IF(C22="","",C22&amp;", "&amp;D22&amp;", "&amp;IF(E22="Circular",F22&amp;" dia",F22&amp;" x "&amp;G22)&amp;", depth "&amp;TEXT(H22,"0.0")&amp;"-"&amp;TEXT(I22,"0.0")&amp;" m, pipe up to "&amp;J22&amp;" dia")</f>
        <v/>
      </c>
      <c r="C22" s="9"/>
      <c r="D22" s="9"/>
      <c r="E22" s="9"/>
      <c r="F22" s="40"/>
      <c r="G22" s="40"/>
      <c r="H22" s="43"/>
      <c r="I22" s="43"/>
      <c r="J22" s="40"/>
      <c r="K22" s="40"/>
      <c r="L22" s="40"/>
      <c r="M22" s="40"/>
      <c r="N22" s="9"/>
      <c r="O22" s="9"/>
      <c r="P22" s="9"/>
      <c r="Q22" s="9"/>
      <c r="R22" s="41"/>
      <c r="S22" s="9"/>
      <c r="T22" s="40"/>
      <c r="U22" s="9"/>
      <c r="V22" s="9"/>
      <c r="W22" s="9"/>
      <c r="X22" s="9"/>
      <c r="Y22" s="9"/>
      <c r="Z22" s="9"/>
      <c r="AA22" s="9"/>
      <c r="AB22" s="9"/>
      <c r="AC22" s="9"/>
      <c r="AD22" s="9"/>
      <c r="AE22" s="9"/>
      <c r="AF22" s="10" t="str">
        <f aca="false">IF(A22="","",SG_Criteria!$B$6&amp;SG_Criteria!$B$10&amp;"\"&amp;A22&amp;"\")</f>
        <v/>
      </c>
      <c r="AG22" s="10" t="str">
        <f aca="false">IF(A22="","",A22&amp;"_CAD.dwg")</f>
        <v/>
      </c>
      <c r="AH22" s="10" t="str">
        <f aca="false">IF(A22="","",A22&amp;"_DWG.pdf")</f>
        <v/>
      </c>
      <c r="AI22" s="10" t="str">
        <f aca="false">IF(A22="","",IF(AE22="Y",A22&amp;"_STAAD.std","n/a"))</f>
        <v/>
      </c>
      <c r="AJ22" s="10" t="str">
        <f aca="false">IF(A22="","",A22&amp;"_CALC.xlsx")</f>
        <v/>
      </c>
      <c r="AK22" s="10" t="str">
        <f aca="false">IF(A22="","",A22&amp;"_CALC.pdf")</f>
        <v/>
      </c>
      <c r="AL22" s="9"/>
      <c r="AM22" s="9"/>
      <c r="AN22" s="41"/>
      <c r="AO22" s="41"/>
      <c r="AP22" s="41"/>
      <c r="AQ22" s="41"/>
      <c r="AR22" s="41"/>
      <c r="AS22" s="38" t="str">
        <f aca="false">IF(C22="","",IF(LEN(IF(AND(S22&lt;&gt;"",IFERROR(VALUE(MID(S22,2,2)),0)&lt;SG_Criteria!$B$19),"FAIL: grade below C"&amp;SG_Criteria!$B$19&amp;". ","")&amp;IF(AND(T22&lt;&gt;"",T22&lt;SG_Criteria!$B$20),"FAIL: cover &lt; "&amp;SG_Criteria!$B$20&amp;" mm. ","")&amp;IF(AND(H22&lt;&gt;"",H22&lt;SG_Criteria!$B$39),"NOTE: min depth below PUB "&amp;SG_Criteria!$B$39&amp;" m. ","")&amp;IF(AND(LEFT(C22,8)="Standard",I22&gt;SG_Criteria!$B$42),"FAIL: PUB 001C covers manholes up to "&amp;SG_Criteria!$B$42&amp;" m deep only. ","")&amp;IF(AND(LEFT(C22,11)="Rectangular",J22&lt;SG_Criteria!$B$43),"NOTE: 004C is for sewers &gt;= "&amp;SG_Criteria!$B$43&amp;" dia. ","")&amp;IF(AND(LEFT(C22,7)="Precast",I22&lt;=SG_Criteria!$B$42),"NOTE: 006C is for manholes &gt; "&amp;SG_Criteria!$B$42&amp;" m deep. ","")&amp;IF(AND(J22&lt;&gt;"",J22&lt;SG_Criteria!$B$40,C22&lt;&gt;"Inspection Chamber"),"NOTE: public sewer min dia "&amp;SG_Criteria!$B$40&amp;" mm. ","")&amp;IF(AND(R22&lt;&gt;"",R22&lt;SG_Criteria!$B$44),"FAIL: uplift FOS below "&amp;SG_Criteria!$B$44&amp;". ",""))=0,"OK",IF(AND(S22&lt;&gt;"",IFERROR(VALUE(MID(S22,2,2)),0)&lt;SG_Criteria!$B$19),"FAIL: grade below C"&amp;SG_Criteria!$B$19&amp;". ","")&amp;IF(AND(T22&lt;&gt;"",T22&lt;SG_Criteria!$B$20),"FAIL: cover &lt; "&amp;SG_Criteria!$B$20&amp;" mm. ","")&amp;IF(AND(H22&lt;&gt;"",H22&lt;SG_Criteria!$B$39),"NOTE: min depth below PUB "&amp;SG_Criteria!$B$39&amp;" m. ","")&amp;IF(AND(LEFT(C22,8)="Standard",I22&gt;SG_Criteria!$B$42),"FAIL: PUB 001C covers manholes up to "&amp;SG_Criteria!$B$42&amp;" m deep only. ","")&amp;IF(AND(LEFT(C22,11)="Rectangular",J22&lt;SG_Criteria!$B$43),"NOTE: 004C is for sewers &gt;= "&amp;SG_Criteria!$B$43&amp;" dia. ","")&amp;IF(AND(LEFT(C22,7)="Precast",I22&lt;=SG_Criteria!$B$42),"NOTE: 006C is for manholes &gt; "&amp;SG_Criteria!$B$42&amp;" m deep. ","")&amp;IF(AND(J22&lt;&gt;"",J22&lt;SG_Criteria!$B$40,C22&lt;&gt;"Inspection Chamber"),"NOTE: public sewer min dia "&amp;SG_Criteria!$B$40&amp;" mm. ","")&amp;IF(AND(R22&lt;&gt;"",R22&lt;SG_Criteria!$B$44),"FAIL: uplift FOS below "&amp;SG_Criteria!$B$44&amp;". ","")))</f>
        <v/>
      </c>
      <c r="AT22" s="9"/>
      <c r="AU22" s="9"/>
      <c r="AV22" s="9"/>
      <c r="AW22" s="9"/>
      <c r="AX22" s="9"/>
      <c r="AY22" s="31"/>
      <c r="AZ22" s="10" t="str">
        <f aca="false">IF(C22="","",IF(AND(AB22="Approved",ISERROR(SEARCH("FAIL",AS22))),"Y","N"))</f>
        <v/>
      </c>
      <c r="BA22" s="10" t="str">
        <f aca="false">IF(C22="","",C22&amp;"|"&amp;I22&amp;"|"&amp;F22&amp;"|"&amp;AZ22)</f>
        <v/>
      </c>
    </row>
    <row r="23" customFormat="false" ht="15" hidden="false" customHeight="false" outlineLevel="0" collapsed="false">
      <c r="A23" s="10" t="str">
        <f aca="false">IF(C23="","","MH-"&amp;IFERROR(VLOOKUP(C23,Lists!$AB$4:$AC$20,2,0),"??")&amp;"-"&amp;TEXT(F23,"0000")&amp;IF(E23="Circular","D","x"&amp;TEXT(G23,"0000"))&amp;"-D"&amp;TEXT(I23*1000,"0000")&amp;"-"&amp;IFERROR(VLOOKUP(D23,Lists!$AE$4:$AF$16,2,0),"??")&amp;"-"&amp;AA23)</f>
        <v/>
      </c>
      <c r="B23" s="10" t="str">
        <f aca="false">IF(C23="","",C23&amp;", "&amp;D23&amp;", "&amp;IF(E23="Circular",F23&amp;" dia",F23&amp;" x "&amp;G23)&amp;", depth "&amp;TEXT(H23,"0.0")&amp;"-"&amp;TEXT(I23,"0.0")&amp;" m, pipe up to "&amp;J23&amp;" dia")</f>
        <v/>
      </c>
      <c r="C23" s="9"/>
      <c r="D23" s="9"/>
      <c r="E23" s="9"/>
      <c r="F23" s="40"/>
      <c r="G23" s="40"/>
      <c r="H23" s="43"/>
      <c r="I23" s="43"/>
      <c r="J23" s="40"/>
      <c r="K23" s="40"/>
      <c r="L23" s="40"/>
      <c r="M23" s="40"/>
      <c r="N23" s="9"/>
      <c r="O23" s="9"/>
      <c r="P23" s="9"/>
      <c r="Q23" s="9"/>
      <c r="R23" s="41"/>
      <c r="S23" s="9"/>
      <c r="T23" s="40"/>
      <c r="U23" s="9"/>
      <c r="V23" s="9"/>
      <c r="W23" s="9"/>
      <c r="X23" s="9"/>
      <c r="Y23" s="9"/>
      <c r="Z23" s="9"/>
      <c r="AA23" s="9"/>
      <c r="AB23" s="9"/>
      <c r="AC23" s="9"/>
      <c r="AD23" s="9"/>
      <c r="AE23" s="9"/>
      <c r="AF23" s="10" t="str">
        <f aca="false">IF(A23="","",SG_Criteria!$B$6&amp;SG_Criteria!$B$10&amp;"\"&amp;A23&amp;"\")</f>
        <v/>
      </c>
      <c r="AG23" s="10" t="str">
        <f aca="false">IF(A23="","",A23&amp;"_CAD.dwg")</f>
        <v/>
      </c>
      <c r="AH23" s="10" t="str">
        <f aca="false">IF(A23="","",A23&amp;"_DWG.pdf")</f>
        <v/>
      </c>
      <c r="AI23" s="10" t="str">
        <f aca="false">IF(A23="","",IF(AE23="Y",A23&amp;"_STAAD.std","n/a"))</f>
        <v/>
      </c>
      <c r="AJ23" s="10" t="str">
        <f aca="false">IF(A23="","",A23&amp;"_CALC.xlsx")</f>
        <v/>
      </c>
      <c r="AK23" s="10" t="str">
        <f aca="false">IF(A23="","",A23&amp;"_CALC.pdf")</f>
        <v/>
      </c>
      <c r="AL23" s="9"/>
      <c r="AM23" s="9"/>
      <c r="AN23" s="41"/>
      <c r="AO23" s="41"/>
      <c r="AP23" s="41"/>
      <c r="AQ23" s="41"/>
      <c r="AR23" s="41"/>
      <c r="AS23" s="38" t="str">
        <f aca="false">IF(C23="","",IF(LEN(IF(AND(S23&lt;&gt;"",IFERROR(VALUE(MID(S23,2,2)),0)&lt;SG_Criteria!$B$19),"FAIL: grade below C"&amp;SG_Criteria!$B$19&amp;". ","")&amp;IF(AND(T23&lt;&gt;"",T23&lt;SG_Criteria!$B$20),"FAIL: cover &lt; "&amp;SG_Criteria!$B$20&amp;" mm. ","")&amp;IF(AND(H23&lt;&gt;"",H23&lt;SG_Criteria!$B$39),"NOTE: min depth below PUB "&amp;SG_Criteria!$B$39&amp;" m. ","")&amp;IF(AND(LEFT(C23,8)="Standard",I23&gt;SG_Criteria!$B$42),"FAIL: PUB 001C covers manholes up to "&amp;SG_Criteria!$B$42&amp;" m deep only. ","")&amp;IF(AND(LEFT(C23,11)="Rectangular",J23&lt;SG_Criteria!$B$43),"NOTE: 004C is for sewers &gt;= "&amp;SG_Criteria!$B$43&amp;" dia. ","")&amp;IF(AND(LEFT(C23,7)="Precast",I23&lt;=SG_Criteria!$B$42),"NOTE: 006C is for manholes &gt; "&amp;SG_Criteria!$B$42&amp;" m deep. ","")&amp;IF(AND(J23&lt;&gt;"",J23&lt;SG_Criteria!$B$40,C23&lt;&gt;"Inspection Chamber"),"NOTE: public sewer min dia "&amp;SG_Criteria!$B$40&amp;" mm. ","")&amp;IF(AND(R23&lt;&gt;"",R23&lt;SG_Criteria!$B$44),"FAIL: uplift FOS below "&amp;SG_Criteria!$B$44&amp;". ",""))=0,"OK",IF(AND(S23&lt;&gt;"",IFERROR(VALUE(MID(S23,2,2)),0)&lt;SG_Criteria!$B$19),"FAIL: grade below C"&amp;SG_Criteria!$B$19&amp;". ","")&amp;IF(AND(T23&lt;&gt;"",T23&lt;SG_Criteria!$B$20),"FAIL: cover &lt; "&amp;SG_Criteria!$B$20&amp;" mm. ","")&amp;IF(AND(H23&lt;&gt;"",H23&lt;SG_Criteria!$B$39),"NOTE: min depth below PUB "&amp;SG_Criteria!$B$39&amp;" m. ","")&amp;IF(AND(LEFT(C23,8)="Standard",I23&gt;SG_Criteria!$B$42),"FAIL: PUB 001C covers manholes up to "&amp;SG_Criteria!$B$42&amp;" m deep only. ","")&amp;IF(AND(LEFT(C23,11)="Rectangular",J23&lt;SG_Criteria!$B$43),"NOTE: 004C is for sewers &gt;= "&amp;SG_Criteria!$B$43&amp;" dia. ","")&amp;IF(AND(LEFT(C23,7)="Precast",I23&lt;=SG_Criteria!$B$42),"NOTE: 006C is for manholes &gt; "&amp;SG_Criteria!$B$42&amp;" m deep. ","")&amp;IF(AND(J23&lt;&gt;"",J23&lt;SG_Criteria!$B$40,C23&lt;&gt;"Inspection Chamber"),"NOTE: public sewer min dia "&amp;SG_Criteria!$B$40&amp;" mm. ","")&amp;IF(AND(R23&lt;&gt;"",R23&lt;SG_Criteria!$B$44),"FAIL: uplift FOS below "&amp;SG_Criteria!$B$44&amp;". ","")))</f>
        <v/>
      </c>
      <c r="AT23" s="9"/>
      <c r="AU23" s="9"/>
      <c r="AV23" s="9"/>
      <c r="AW23" s="9"/>
      <c r="AX23" s="9"/>
      <c r="AY23" s="31"/>
      <c r="AZ23" s="10" t="str">
        <f aca="false">IF(C23="","",IF(AND(AB23="Approved",ISERROR(SEARCH("FAIL",AS23))),"Y","N"))</f>
        <v/>
      </c>
      <c r="BA23" s="10" t="str">
        <f aca="false">IF(C23="","",C23&amp;"|"&amp;I23&amp;"|"&amp;F23&amp;"|"&amp;AZ23)</f>
        <v/>
      </c>
    </row>
    <row r="24" customFormat="false" ht="15" hidden="false" customHeight="false" outlineLevel="0" collapsed="false">
      <c r="A24" s="10" t="str">
        <f aca="false">IF(C24="","","MH-"&amp;IFERROR(VLOOKUP(C24,Lists!$AB$4:$AC$20,2,0),"??")&amp;"-"&amp;TEXT(F24,"0000")&amp;IF(E24="Circular","D","x"&amp;TEXT(G24,"0000"))&amp;"-D"&amp;TEXT(I24*1000,"0000")&amp;"-"&amp;IFERROR(VLOOKUP(D24,Lists!$AE$4:$AF$16,2,0),"??")&amp;"-"&amp;AA24)</f>
        <v/>
      </c>
      <c r="B24" s="10" t="str">
        <f aca="false">IF(C24="","",C24&amp;", "&amp;D24&amp;", "&amp;IF(E24="Circular",F24&amp;" dia",F24&amp;" x "&amp;G24)&amp;", depth "&amp;TEXT(H24,"0.0")&amp;"-"&amp;TEXT(I24,"0.0")&amp;" m, pipe up to "&amp;J24&amp;" dia")</f>
        <v/>
      </c>
      <c r="C24" s="9"/>
      <c r="D24" s="9"/>
      <c r="E24" s="9"/>
      <c r="F24" s="40"/>
      <c r="G24" s="40"/>
      <c r="H24" s="43"/>
      <c r="I24" s="43"/>
      <c r="J24" s="40"/>
      <c r="K24" s="40"/>
      <c r="L24" s="40"/>
      <c r="M24" s="40"/>
      <c r="N24" s="9"/>
      <c r="O24" s="9"/>
      <c r="P24" s="9"/>
      <c r="Q24" s="9"/>
      <c r="R24" s="41"/>
      <c r="S24" s="9"/>
      <c r="T24" s="40"/>
      <c r="U24" s="9"/>
      <c r="V24" s="9"/>
      <c r="W24" s="9"/>
      <c r="X24" s="9"/>
      <c r="Y24" s="9"/>
      <c r="Z24" s="9"/>
      <c r="AA24" s="9"/>
      <c r="AB24" s="9"/>
      <c r="AC24" s="9"/>
      <c r="AD24" s="9"/>
      <c r="AE24" s="9"/>
      <c r="AF24" s="10" t="str">
        <f aca="false">IF(A24="","",SG_Criteria!$B$6&amp;SG_Criteria!$B$10&amp;"\"&amp;A24&amp;"\")</f>
        <v/>
      </c>
      <c r="AG24" s="10" t="str">
        <f aca="false">IF(A24="","",A24&amp;"_CAD.dwg")</f>
        <v/>
      </c>
      <c r="AH24" s="10" t="str">
        <f aca="false">IF(A24="","",A24&amp;"_DWG.pdf")</f>
        <v/>
      </c>
      <c r="AI24" s="10" t="str">
        <f aca="false">IF(A24="","",IF(AE24="Y",A24&amp;"_STAAD.std","n/a"))</f>
        <v/>
      </c>
      <c r="AJ24" s="10" t="str">
        <f aca="false">IF(A24="","",A24&amp;"_CALC.xlsx")</f>
        <v/>
      </c>
      <c r="AK24" s="10" t="str">
        <f aca="false">IF(A24="","",A24&amp;"_CALC.pdf")</f>
        <v/>
      </c>
      <c r="AL24" s="9"/>
      <c r="AM24" s="9"/>
      <c r="AN24" s="41"/>
      <c r="AO24" s="41"/>
      <c r="AP24" s="41"/>
      <c r="AQ24" s="41"/>
      <c r="AR24" s="41"/>
      <c r="AS24" s="38" t="str">
        <f aca="false">IF(C24="","",IF(LEN(IF(AND(S24&lt;&gt;"",IFERROR(VALUE(MID(S24,2,2)),0)&lt;SG_Criteria!$B$19),"FAIL: grade below C"&amp;SG_Criteria!$B$19&amp;". ","")&amp;IF(AND(T24&lt;&gt;"",T24&lt;SG_Criteria!$B$20),"FAIL: cover &lt; "&amp;SG_Criteria!$B$20&amp;" mm. ","")&amp;IF(AND(H24&lt;&gt;"",H24&lt;SG_Criteria!$B$39),"NOTE: min depth below PUB "&amp;SG_Criteria!$B$39&amp;" m. ","")&amp;IF(AND(LEFT(C24,8)="Standard",I24&gt;SG_Criteria!$B$42),"FAIL: PUB 001C covers manholes up to "&amp;SG_Criteria!$B$42&amp;" m deep only. ","")&amp;IF(AND(LEFT(C24,11)="Rectangular",J24&lt;SG_Criteria!$B$43),"NOTE: 004C is for sewers &gt;= "&amp;SG_Criteria!$B$43&amp;" dia. ","")&amp;IF(AND(LEFT(C24,7)="Precast",I24&lt;=SG_Criteria!$B$42),"NOTE: 006C is for manholes &gt; "&amp;SG_Criteria!$B$42&amp;" m deep. ","")&amp;IF(AND(J24&lt;&gt;"",J24&lt;SG_Criteria!$B$40,C24&lt;&gt;"Inspection Chamber"),"NOTE: public sewer min dia "&amp;SG_Criteria!$B$40&amp;" mm. ","")&amp;IF(AND(R24&lt;&gt;"",R24&lt;SG_Criteria!$B$44),"FAIL: uplift FOS below "&amp;SG_Criteria!$B$44&amp;". ",""))=0,"OK",IF(AND(S24&lt;&gt;"",IFERROR(VALUE(MID(S24,2,2)),0)&lt;SG_Criteria!$B$19),"FAIL: grade below C"&amp;SG_Criteria!$B$19&amp;". ","")&amp;IF(AND(T24&lt;&gt;"",T24&lt;SG_Criteria!$B$20),"FAIL: cover &lt; "&amp;SG_Criteria!$B$20&amp;" mm. ","")&amp;IF(AND(H24&lt;&gt;"",H24&lt;SG_Criteria!$B$39),"NOTE: min depth below PUB "&amp;SG_Criteria!$B$39&amp;" m. ","")&amp;IF(AND(LEFT(C24,8)="Standard",I24&gt;SG_Criteria!$B$42),"FAIL: PUB 001C covers manholes up to "&amp;SG_Criteria!$B$42&amp;" m deep only. ","")&amp;IF(AND(LEFT(C24,11)="Rectangular",J24&lt;SG_Criteria!$B$43),"NOTE: 004C is for sewers &gt;= "&amp;SG_Criteria!$B$43&amp;" dia. ","")&amp;IF(AND(LEFT(C24,7)="Precast",I24&lt;=SG_Criteria!$B$42),"NOTE: 006C is for manholes &gt; "&amp;SG_Criteria!$B$42&amp;" m deep. ","")&amp;IF(AND(J24&lt;&gt;"",J24&lt;SG_Criteria!$B$40,C24&lt;&gt;"Inspection Chamber"),"NOTE: public sewer min dia "&amp;SG_Criteria!$B$40&amp;" mm. ","")&amp;IF(AND(R24&lt;&gt;"",R24&lt;SG_Criteria!$B$44),"FAIL: uplift FOS below "&amp;SG_Criteria!$B$44&amp;". ","")))</f>
        <v/>
      </c>
      <c r="AT24" s="9"/>
      <c r="AU24" s="9"/>
      <c r="AV24" s="9"/>
      <c r="AW24" s="9"/>
      <c r="AX24" s="9"/>
      <c r="AY24" s="31"/>
      <c r="AZ24" s="10" t="str">
        <f aca="false">IF(C24="","",IF(AND(AB24="Approved",ISERROR(SEARCH("FAIL",AS24))),"Y","N"))</f>
        <v/>
      </c>
      <c r="BA24" s="10" t="str">
        <f aca="false">IF(C24="","",C24&amp;"|"&amp;I24&amp;"|"&amp;F24&amp;"|"&amp;AZ24)</f>
        <v/>
      </c>
    </row>
    <row r="25" customFormat="false" ht="15" hidden="false" customHeight="false" outlineLevel="0" collapsed="false">
      <c r="A25" s="10" t="str">
        <f aca="false">IF(C25="","","MH-"&amp;IFERROR(VLOOKUP(C25,Lists!$AB$4:$AC$20,2,0),"??")&amp;"-"&amp;TEXT(F25,"0000")&amp;IF(E25="Circular","D","x"&amp;TEXT(G25,"0000"))&amp;"-D"&amp;TEXT(I25*1000,"0000")&amp;"-"&amp;IFERROR(VLOOKUP(D25,Lists!$AE$4:$AF$16,2,0),"??")&amp;"-"&amp;AA25)</f>
        <v/>
      </c>
      <c r="B25" s="10" t="str">
        <f aca="false">IF(C25="","",C25&amp;", "&amp;D25&amp;", "&amp;IF(E25="Circular",F25&amp;" dia",F25&amp;" x "&amp;G25)&amp;", depth "&amp;TEXT(H25,"0.0")&amp;"-"&amp;TEXT(I25,"0.0")&amp;" m, pipe up to "&amp;J25&amp;" dia")</f>
        <v/>
      </c>
      <c r="C25" s="9"/>
      <c r="D25" s="9"/>
      <c r="E25" s="9"/>
      <c r="F25" s="40"/>
      <c r="G25" s="40"/>
      <c r="H25" s="43"/>
      <c r="I25" s="43"/>
      <c r="J25" s="40"/>
      <c r="K25" s="40"/>
      <c r="L25" s="40"/>
      <c r="M25" s="40"/>
      <c r="N25" s="9"/>
      <c r="O25" s="9"/>
      <c r="P25" s="9"/>
      <c r="Q25" s="9"/>
      <c r="R25" s="41"/>
      <c r="S25" s="9"/>
      <c r="T25" s="40"/>
      <c r="U25" s="9"/>
      <c r="V25" s="9"/>
      <c r="W25" s="9"/>
      <c r="X25" s="9"/>
      <c r="Y25" s="9"/>
      <c r="Z25" s="9"/>
      <c r="AA25" s="9"/>
      <c r="AB25" s="9"/>
      <c r="AC25" s="9"/>
      <c r="AD25" s="9"/>
      <c r="AE25" s="9"/>
      <c r="AF25" s="10" t="str">
        <f aca="false">IF(A25="","",SG_Criteria!$B$6&amp;SG_Criteria!$B$10&amp;"\"&amp;A25&amp;"\")</f>
        <v/>
      </c>
      <c r="AG25" s="10" t="str">
        <f aca="false">IF(A25="","",A25&amp;"_CAD.dwg")</f>
        <v/>
      </c>
      <c r="AH25" s="10" t="str">
        <f aca="false">IF(A25="","",A25&amp;"_DWG.pdf")</f>
        <v/>
      </c>
      <c r="AI25" s="10" t="str">
        <f aca="false">IF(A25="","",IF(AE25="Y",A25&amp;"_STAAD.std","n/a"))</f>
        <v/>
      </c>
      <c r="AJ25" s="10" t="str">
        <f aca="false">IF(A25="","",A25&amp;"_CALC.xlsx")</f>
        <v/>
      </c>
      <c r="AK25" s="10" t="str">
        <f aca="false">IF(A25="","",A25&amp;"_CALC.pdf")</f>
        <v/>
      </c>
      <c r="AL25" s="9"/>
      <c r="AM25" s="9"/>
      <c r="AN25" s="41"/>
      <c r="AO25" s="41"/>
      <c r="AP25" s="41"/>
      <c r="AQ25" s="41"/>
      <c r="AR25" s="41"/>
      <c r="AS25" s="38" t="str">
        <f aca="false">IF(C25="","",IF(LEN(IF(AND(S25&lt;&gt;"",IFERROR(VALUE(MID(S25,2,2)),0)&lt;SG_Criteria!$B$19),"FAIL: grade below C"&amp;SG_Criteria!$B$19&amp;". ","")&amp;IF(AND(T25&lt;&gt;"",T25&lt;SG_Criteria!$B$20),"FAIL: cover &lt; "&amp;SG_Criteria!$B$20&amp;" mm. ","")&amp;IF(AND(H25&lt;&gt;"",H25&lt;SG_Criteria!$B$39),"NOTE: min depth below PUB "&amp;SG_Criteria!$B$39&amp;" m. ","")&amp;IF(AND(LEFT(C25,8)="Standard",I25&gt;SG_Criteria!$B$42),"FAIL: PUB 001C covers manholes up to "&amp;SG_Criteria!$B$42&amp;" m deep only. ","")&amp;IF(AND(LEFT(C25,11)="Rectangular",J25&lt;SG_Criteria!$B$43),"NOTE: 004C is for sewers &gt;= "&amp;SG_Criteria!$B$43&amp;" dia. ","")&amp;IF(AND(LEFT(C25,7)="Precast",I25&lt;=SG_Criteria!$B$42),"NOTE: 006C is for manholes &gt; "&amp;SG_Criteria!$B$42&amp;" m deep. ","")&amp;IF(AND(J25&lt;&gt;"",J25&lt;SG_Criteria!$B$40,C25&lt;&gt;"Inspection Chamber"),"NOTE: public sewer min dia "&amp;SG_Criteria!$B$40&amp;" mm. ","")&amp;IF(AND(R25&lt;&gt;"",R25&lt;SG_Criteria!$B$44),"FAIL: uplift FOS below "&amp;SG_Criteria!$B$44&amp;". ",""))=0,"OK",IF(AND(S25&lt;&gt;"",IFERROR(VALUE(MID(S25,2,2)),0)&lt;SG_Criteria!$B$19),"FAIL: grade below C"&amp;SG_Criteria!$B$19&amp;". ","")&amp;IF(AND(T25&lt;&gt;"",T25&lt;SG_Criteria!$B$20),"FAIL: cover &lt; "&amp;SG_Criteria!$B$20&amp;" mm. ","")&amp;IF(AND(H25&lt;&gt;"",H25&lt;SG_Criteria!$B$39),"NOTE: min depth below PUB "&amp;SG_Criteria!$B$39&amp;" m. ","")&amp;IF(AND(LEFT(C25,8)="Standard",I25&gt;SG_Criteria!$B$42),"FAIL: PUB 001C covers manholes up to "&amp;SG_Criteria!$B$42&amp;" m deep only. ","")&amp;IF(AND(LEFT(C25,11)="Rectangular",J25&lt;SG_Criteria!$B$43),"NOTE: 004C is for sewers &gt;= "&amp;SG_Criteria!$B$43&amp;" dia. ","")&amp;IF(AND(LEFT(C25,7)="Precast",I25&lt;=SG_Criteria!$B$42),"NOTE: 006C is for manholes &gt; "&amp;SG_Criteria!$B$42&amp;" m deep. ","")&amp;IF(AND(J25&lt;&gt;"",J25&lt;SG_Criteria!$B$40,C25&lt;&gt;"Inspection Chamber"),"NOTE: public sewer min dia "&amp;SG_Criteria!$B$40&amp;" mm. ","")&amp;IF(AND(R25&lt;&gt;"",R25&lt;SG_Criteria!$B$44),"FAIL: uplift FOS below "&amp;SG_Criteria!$B$44&amp;". ","")))</f>
        <v/>
      </c>
      <c r="AT25" s="9"/>
      <c r="AU25" s="9"/>
      <c r="AV25" s="9"/>
      <c r="AW25" s="9"/>
      <c r="AX25" s="9"/>
      <c r="AY25" s="31"/>
      <c r="AZ25" s="10" t="str">
        <f aca="false">IF(C25="","",IF(AND(AB25="Approved",ISERROR(SEARCH("FAIL",AS25))),"Y","N"))</f>
        <v/>
      </c>
      <c r="BA25" s="10" t="str">
        <f aca="false">IF(C25="","",C25&amp;"|"&amp;I25&amp;"|"&amp;F25&amp;"|"&amp;AZ25)</f>
        <v/>
      </c>
    </row>
    <row r="26" customFormat="false" ht="15" hidden="false" customHeight="false" outlineLevel="0" collapsed="false">
      <c r="A26" s="10" t="str">
        <f aca="false">IF(C26="","","MH-"&amp;IFERROR(VLOOKUP(C26,Lists!$AB$4:$AC$20,2,0),"??")&amp;"-"&amp;TEXT(F26,"0000")&amp;IF(E26="Circular","D","x"&amp;TEXT(G26,"0000"))&amp;"-D"&amp;TEXT(I26*1000,"0000")&amp;"-"&amp;IFERROR(VLOOKUP(D26,Lists!$AE$4:$AF$16,2,0),"??")&amp;"-"&amp;AA26)</f>
        <v/>
      </c>
      <c r="B26" s="10" t="str">
        <f aca="false">IF(C26="","",C26&amp;", "&amp;D26&amp;", "&amp;IF(E26="Circular",F26&amp;" dia",F26&amp;" x "&amp;G26)&amp;", depth "&amp;TEXT(H26,"0.0")&amp;"-"&amp;TEXT(I26,"0.0")&amp;" m, pipe up to "&amp;J26&amp;" dia")</f>
        <v/>
      </c>
      <c r="C26" s="9"/>
      <c r="D26" s="9"/>
      <c r="E26" s="9"/>
      <c r="F26" s="40"/>
      <c r="G26" s="40"/>
      <c r="H26" s="43"/>
      <c r="I26" s="43"/>
      <c r="J26" s="40"/>
      <c r="K26" s="40"/>
      <c r="L26" s="40"/>
      <c r="M26" s="40"/>
      <c r="N26" s="9"/>
      <c r="O26" s="9"/>
      <c r="P26" s="9"/>
      <c r="Q26" s="9"/>
      <c r="R26" s="41"/>
      <c r="S26" s="9"/>
      <c r="T26" s="40"/>
      <c r="U26" s="9"/>
      <c r="V26" s="9"/>
      <c r="W26" s="9"/>
      <c r="X26" s="9"/>
      <c r="Y26" s="9"/>
      <c r="Z26" s="9"/>
      <c r="AA26" s="9"/>
      <c r="AB26" s="9"/>
      <c r="AC26" s="9"/>
      <c r="AD26" s="9"/>
      <c r="AE26" s="9"/>
      <c r="AF26" s="10" t="str">
        <f aca="false">IF(A26="","",SG_Criteria!$B$6&amp;SG_Criteria!$B$10&amp;"\"&amp;A26&amp;"\")</f>
        <v/>
      </c>
      <c r="AG26" s="10" t="str">
        <f aca="false">IF(A26="","",A26&amp;"_CAD.dwg")</f>
        <v/>
      </c>
      <c r="AH26" s="10" t="str">
        <f aca="false">IF(A26="","",A26&amp;"_DWG.pdf")</f>
        <v/>
      </c>
      <c r="AI26" s="10" t="str">
        <f aca="false">IF(A26="","",IF(AE26="Y",A26&amp;"_STAAD.std","n/a"))</f>
        <v/>
      </c>
      <c r="AJ26" s="10" t="str">
        <f aca="false">IF(A26="","",A26&amp;"_CALC.xlsx")</f>
        <v/>
      </c>
      <c r="AK26" s="10" t="str">
        <f aca="false">IF(A26="","",A26&amp;"_CALC.pdf")</f>
        <v/>
      </c>
      <c r="AL26" s="9"/>
      <c r="AM26" s="9"/>
      <c r="AN26" s="41"/>
      <c r="AO26" s="41"/>
      <c r="AP26" s="41"/>
      <c r="AQ26" s="41"/>
      <c r="AR26" s="41"/>
      <c r="AS26" s="38" t="str">
        <f aca="false">IF(C26="","",IF(LEN(IF(AND(S26&lt;&gt;"",IFERROR(VALUE(MID(S26,2,2)),0)&lt;SG_Criteria!$B$19),"FAIL: grade below C"&amp;SG_Criteria!$B$19&amp;". ","")&amp;IF(AND(T26&lt;&gt;"",T26&lt;SG_Criteria!$B$20),"FAIL: cover &lt; "&amp;SG_Criteria!$B$20&amp;" mm. ","")&amp;IF(AND(H26&lt;&gt;"",H26&lt;SG_Criteria!$B$39),"NOTE: min depth below PUB "&amp;SG_Criteria!$B$39&amp;" m. ","")&amp;IF(AND(LEFT(C26,8)="Standard",I26&gt;SG_Criteria!$B$42),"FAIL: PUB 001C covers manholes up to "&amp;SG_Criteria!$B$42&amp;" m deep only. ","")&amp;IF(AND(LEFT(C26,11)="Rectangular",J26&lt;SG_Criteria!$B$43),"NOTE: 004C is for sewers &gt;= "&amp;SG_Criteria!$B$43&amp;" dia. ","")&amp;IF(AND(LEFT(C26,7)="Precast",I26&lt;=SG_Criteria!$B$42),"NOTE: 006C is for manholes &gt; "&amp;SG_Criteria!$B$42&amp;" m deep. ","")&amp;IF(AND(J26&lt;&gt;"",J26&lt;SG_Criteria!$B$40,C26&lt;&gt;"Inspection Chamber"),"NOTE: public sewer min dia "&amp;SG_Criteria!$B$40&amp;" mm. ","")&amp;IF(AND(R26&lt;&gt;"",R26&lt;SG_Criteria!$B$44),"FAIL: uplift FOS below "&amp;SG_Criteria!$B$44&amp;". ",""))=0,"OK",IF(AND(S26&lt;&gt;"",IFERROR(VALUE(MID(S26,2,2)),0)&lt;SG_Criteria!$B$19),"FAIL: grade below C"&amp;SG_Criteria!$B$19&amp;". ","")&amp;IF(AND(T26&lt;&gt;"",T26&lt;SG_Criteria!$B$20),"FAIL: cover &lt; "&amp;SG_Criteria!$B$20&amp;" mm. ","")&amp;IF(AND(H26&lt;&gt;"",H26&lt;SG_Criteria!$B$39),"NOTE: min depth below PUB "&amp;SG_Criteria!$B$39&amp;" m. ","")&amp;IF(AND(LEFT(C26,8)="Standard",I26&gt;SG_Criteria!$B$42),"FAIL: PUB 001C covers manholes up to "&amp;SG_Criteria!$B$42&amp;" m deep only. ","")&amp;IF(AND(LEFT(C26,11)="Rectangular",J26&lt;SG_Criteria!$B$43),"NOTE: 004C is for sewers &gt;= "&amp;SG_Criteria!$B$43&amp;" dia. ","")&amp;IF(AND(LEFT(C26,7)="Precast",I26&lt;=SG_Criteria!$B$42),"NOTE: 006C is for manholes &gt; "&amp;SG_Criteria!$B$42&amp;" m deep. ","")&amp;IF(AND(J26&lt;&gt;"",J26&lt;SG_Criteria!$B$40,C26&lt;&gt;"Inspection Chamber"),"NOTE: public sewer min dia "&amp;SG_Criteria!$B$40&amp;" mm. ","")&amp;IF(AND(R26&lt;&gt;"",R26&lt;SG_Criteria!$B$44),"FAIL: uplift FOS below "&amp;SG_Criteria!$B$44&amp;". ","")))</f>
        <v/>
      </c>
      <c r="AT26" s="9"/>
      <c r="AU26" s="9"/>
      <c r="AV26" s="9"/>
      <c r="AW26" s="9"/>
      <c r="AX26" s="9"/>
      <c r="AY26" s="31"/>
      <c r="AZ26" s="10" t="str">
        <f aca="false">IF(C26="","",IF(AND(AB26="Approved",ISERROR(SEARCH("FAIL",AS26))),"Y","N"))</f>
        <v/>
      </c>
      <c r="BA26" s="10" t="str">
        <f aca="false">IF(C26="","",C26&amp;"|"&amp;I26&amp;"|"&amp;F26&amp;"|"&amp;AZ26)</f>
        <v/>
      </c>
    </row>
    <row r="27" customFormat="false" ht="15" hidden="false" customHeight="false" outlineLevel="0" collapsed="false">
      <c r="A27" s="10" t="str">
        <f aca="false">IF(C27="","","MH-"&amp;IFERROR(VLOOKUP(C27,Lists!$AB$4:$AC$20,2,0),"??")&amp;"-"&amp;TEXT(F27,"0000")&amp;IF(E27="Circular","D","x"&amp;TEXT(G27,"0000"))&amp;"-D"&amp;TEXT(I27*1000,"0000")&amp;"-"&amp;IFERROR(VLOOKUP(D27,Lists!$AE$4:$AF$16,2,0),"??")&amp;"-"&amp;AA27)</f>
        <v/>
      </c>
      <c r="B27" s="10" t="str">
        <f aca="false">IF(C27="","",C27&amp;", "&amp;D27&amp;", "&amp;IF(E27="Circular",F27&amp;" dia",F27&amp;" x "&amp;G27)&amp;", depth "&amp;TEXT(H27,"0.0")&amp;"-"&amp;TEXT(I27,"0.0")&amp;" m, pipe up to "&amp;J27&amp;" dia")</f>
        <v/>
      </c>
      <c r="C27" s="9"/>
      <c r="D27" s="9"/>
      <c r="E27" s="9"/>
      <c r="F27" s="40"/>
      <c r="G27" s="40"/>
      <c r="H27" s="43"/>
      <c r="I27" s="43"/>
      <c r="J27" s="40"/>
      <c r="K27" s="40"/>
      <c r="L27" s="40"/>
      <c r="M27" s="40"/>
      <c r="N27" s="9"/>
      <c r="O27" s="9"/>
      <c r="P27" s="9"/>
      <c r="Q27" s="9"/>
      <c r="R27" s="41"/>
      <c r="S27" s="9"/>
      <c r="T27" s="40"/>
      <c r="U27" s="9"/>
      <c r="V27" s="9"/>
      <c r="W27" s="9"/>
      <c r="X27" s="9"/>
      <c r="Y27" s="9"/>
      <c r="Z27" s="9"/>
      <c r="AA27" s="9"/>
      <c r="AB27" s="9"/>
      <c r="AC27" s="9"/>
      <c r="AD27" s="9"/>
      <c r="AE27" s="9"/>
      <c r="AF27" s="10" t="str">
        <f aca="false">IF(A27="","",SG_Criteria!$B$6&amp;SG_Criteria!$B$10&amp;"\"&amp;A27&amp;"\")</f>
        <v/>
      </c>
      <c r="AG27" s="10" t="str">
        <f aca="false">IF(A27="","",A27&amp;"_CAD.dwg")</f>
        <v/>
      </c>
      <c r="AH27" s="10" t="str">
        <f aca="false">IF(A27="","",A27&amp;"_DWG.pdf")</f>
        <v/>
      </c>
      <c r="AI27" s="10" t="str">
        <f aca="false">IF(A27="","",IF(AE27="Y",A27&amp;"_STAAD.std","n/a"))</f>
        <v/>
      </c>
      <c r="AJ27" s="10" t="str">
        <f aca="false">IF(A27="","",A27&amp;"_CALC.xlsx")</f>
        <v/>
      </c>
      <c r="AK27" s="10" t="str">
        <f aca="false">IF(A27="","",A27&amp;"_CALC.pdf")</f>
        <v/>
      </c>
      <c r="AL27" s="9"/>
      <c r="AM27" s="9"/>
      <c r="AN27" s="41"/>
      <c r="AO27" s="41"/>
      <c r="AP27" s="41"/>
      <c r="AQ27" s="41"/>
      <c r="AR27" s="41"/>
      <c r="AS27" s="38" t="str">
        <f aca="false">IF(C27="","",IF(LEN(IF(AND(S27&lt;&gt;"",IFERROR(VALUE(MID(S27,2,2)),0)&lt;SG_Criteria!$B$19),"FAIL: grade below C"&amp;SG_Criteria!$B$19&amp;". ","")&amp;IF(AND(T27&lt;&gt;"",T27&lt;SG_Criteria!$B$20),"FAIL: cover &lt; "&amp;SG_Criteria!$B$20&amp;" mm. ","")&amp;IF(AND(H27&lt;&gt;"",H27&lt;SG_Criteria!$B$39),"NOTE: min depth below PUB "&amp;SG_Criteria!$B$39&amp;" m. ","")&amp;IF(AND(LEFT(C27,8)="Standard",I27&gt;SG_Criteria!$B$42),"FAIL: PUB 001C covers manholes up to "&amp;SG_Criteria!$B$42&amp;" m deep only. ","")&amp;IF(AND(LEFT(C27,11)="Rectangular",J27&lt;SG_Criteria!$B$43),"NOTE: 004C is for sewers &gt;= "&amp;SG_Criteria!$B$43&amp;" dia. ","")&amp;IF(AND(LEFT(C27,7)="Precast",I27&lt;=SG_Criteria!$B$42),"NOTE: 006C is for manholes &gt; "&amp;SG_Criteria!$B$42&amp;" m deep. ","")&amp;IF(AND(J27&lt;&gt;"",J27&lt;SG_Criteria!$B$40,C27&lt;&gt;"Inspection Chamber"),"NOTE: public sewer min dia "&amp;SG_Criteria!$B$40&amp;" mm. ","")&amp;IF(AND(R27&lt;&gt;"",R27&lt;SG_Criteria!$B$44),"FAIL: uplift FOS below "&amp;SG_Criteria!$B$44&amp;". ",""))=0,"OK",IF(AND(S27&lt;&gt;"",IFERROR(VALUE(MID(S27,2,2)),0)&lt;SG_Criteria!$B$19),"FAIL: grade below C"&amp;SG_Criteria!$B$19&amp;". ","")&amp;IF(AND(T27&lt;&gt;"",T27&lt;SG_Criteria!$B$20),"FAIL: cover &lt; "&amp;SG_Criteria!$B$20&amp;" mm. ","")&amp;IF(AND(H27&lt;&gt;"",H27&lt;SG_Criteria!$B$39),"NOTE: min depth below PUB "&amp;SG_Criteria!$B$39&amp;" m. ","")&amp;IF(AND(LEFT(C27,8)="Standard",I27&gt;SG_Criteria!$B$42),"FAIL: PUB 001C covers manholes up to "&amp;SG_Criteria!$B$42&amp;" m deep only. ","")&amp;IF(AND(LEFT(C27,11)="Rectangular",J27&lt;SG_Criteria!$B$43),"NOTE: 004C is for sewers &gt;= "&amp;SG_Criteria!$B$43&amp;" dia. ","")&amp;IF(AND(LEFT(C27,7)="Precast",I27&lt;=SG_Criteria!$B$42),"NOTE: 006C is for manholes &gt; "&amp;SG_Criteria!$B$42&amp;" m deep. ","")&amp;IF(AND(J27&lt;&gt;"",J27&lt;SG_Criteria!$B$40,C27&lt;&gt;"Inspection Chamber"),"NOTE: public sewer min dia "&amp;SG_Criteria!$B$40&amp;" mm. ","")&amp;IF(AND(R27&lt;&gt;"",R27&lt;SG_Criteria!$B$44),"FAIL: uplift FOS below "&amp;SG_Criteria!$B$44&amp;". ","")))</f>
        <v/>
      </c>
      <c r="AT27" s="9"/>
      <c r="AU27" s="9"/>
      <c r="AV27" s="9"/>
      <c r="AW27" s="9"/>
      <c r="AX27" s="9"/>
      <c r="AY27" s="31"/>
      <c r="AZ27" s="10" t="str">
        <f aca="false">IF(C27="","",IF(AND(AB27="Approved",ISERROR(SEARCH("FAIL",AS27))),"Y","N"))</f>
        <v/>
      </c>
      <c r="BA27" s="10" t="str">
        <f aca="false">IF(C27="","",C27&amp;"|"&amp;I27&amp;"|"&amp;F27&amp;"|"&amp;AZ27)</f>
        <v/>
      </c>
    </row>
    <row r="28" customFormat="false" ht="15" hidden="false" customHeight="false" outlineLevel="0" collapsed="false">
      <c r="A28" s="10" t="str">
        <f aca="false">IF(C28="","","MH-"&amp;IFERROR(VLOOKUP(C28,Lists!$AB$4:$AC$20,2,0),"??")&amp;"-"&amp;TEXT(F28,"0000")&amp;IF(E28="Circular","D","x"&amp;TEXT(G28,"0000"))&amp;"-D"&amp;TEXT(I28*1000,"0000")&amp;"-"&amp;IFERROR(VLOOKUP(D28,Lists!$AE$4:$AF$16,2,0),"??")&amp;"-"&amp;AA28)</f>
        <v/>
      </c>
      <c r="B28" s="10" t="str">
        <f aca="false">IF(C28="","",C28&amp;", "&amp;D28&amp;", "&amp;IF(E28="Circular",F28&amp;" dia",F28&amp;" x "&amp;G28)&amp;", depth "&amp;TEXT(H28,"0.0")&amp;"-"&amp;TEXT(I28,"0.0")&amp;" m, pipe up to "&amp;J28&amp;" dia")</f>
        <v/>
      </c>
      <c r="C28" s="9"/>
      <c r="D28" s="9"/>
      <c r="E28" s="9"/>
      <c r="F28" s="40"/>
      <c r="G28" s="40"/>
      <c r="H28" s="43"/>
      <c r="I28" s="43"/>
      <c r="J28" s="40"/>
      <c r="K28" s="40"/>
      <c r="L28" s="40"/>
      <c r="M28" s="40"/>
      <c r="N28" s="9"/>
      <c r="O28" s="9"/>
      <c r="P28" s="9"/>
      <c r="Q28" s="9"/>
      <c r="R28" s="41"/>
      <c r="S28" s="9"/>
      <c r="T28" s="40"/>
      <c r="U28" s="9"/>
      <c r="V28" s="9"/>
      <c r="W28" s="9"/>
      <c r="X28" s="9"/>
      <c r="Y28" s="9"/>
      <c r="Z28" s="9"/>
      <c r="AA28" s="9"/>
      <c r="AB28" s="9"/>
      <c r="AC28" s="9"/>
      <c r="AD28" s="9"/>
      <c r="AE28" s="9"/>
      <c r="AF28" s="10" t="str">
        <f aca="false">IF(A28="","",SG_Criteria!$B$6&amp;SG_Criteria!$B$10&amp;"\"&amp;A28&amp;"\")</f>
        <v/>
      </c>
      <c r="AG28" s="10" t="str">
        <f aca="false">IF(A28="","",A28&amp;"_CAD.dwg")</f>
        <v/>
      </c>
      <c r="AH28" s="10" t="str">
        <f aca="false">IF(A28="","",A28&amp;"_DWG.pdf")</f>
        <v/>
      </c>
      <c r="AI28" s="10" t="str">
        <f aca="false">IF(A28="","",IF(AE28="Y",A28&amp;"_STAAD.std","n/a"))</f>
        <v/>
      </c>
      <c r="AJ28" s="10" t="str">
        <f aca="false">IF(A28="","",A28&amp;"_CALC.xlsx")</f>
        <v/>
      </c>
      <c r="AK28" s="10" t="str">
        <f aca="false">IF(A28="","",A28&amp;"_CALC.pdf")</f>
        <v/>
      </c>
      <c r="AL28" s="9"/>
      <c r="AM28" s="9"/>
      <c r="AN28" s="41"/>
      <c r="AO28" s="41"/>
      <c r="AP28" s="41"/>
      <c r="AQ28" s="41"/>
      <c r="AR28" s="41"/>
      <c r="AS28" s="38" t="str">
        <f aca="false">IF(C28="","",IF(LEN(IF(AND(S28&lt;&gt;"",IFERROR(VALUE(MID(S28,2,2)),0)&lt;SG_Criteria!$B$19),"FAIL: grade below C"&amp;SG_Criteria!$B$19&amp;". ","")&amp;IF(AND(T28&lt;&gt;"",T28&lt;SG_Criteria!$B$20),"FAIL: cover &lt; "&amp;SG_Criteria!$B$20&amp;" mm. ","")&amp;IF(AND(H28&lt;&gt;"",H28&lt;SG_Criteria!$B$39),"NOTE: min depth below PUB "&amp;SG_Criteria!$B$39&amp;" m. ","")&amp;IF(AND(LEFT(C28,8)="Standard",I28&gt;SG_Criteria!$B$42),"FAIL: PUB 001C covers manholes up to "&amp;SG_Criteria!$B$42&amp;" m deep only. ","")&amp;IF(AND(LEFT(C28,11)="Rectangular",J28&lt;SG_Criteria!$B$43),"NOTE: 004C is for sewers &gt;= "&amp;SG_Criteria!$B$43&amp;" dia. ","")&amp;IF(AND(LEFT(C28,7)="Precast",I28&lt;=SG_Criteria!$B$42),"NOTE: 006C is for manholes &gt; "&amp;SG_Criteria!$B$42&amp;" m deep. ","")&amp;IF(AND(J28&lt;&gt;"",J28&lt;SG_Criteria!$B$40,C28&lt;&gt;"Inspection Chamber"),"NOTE: public sewer min dia "&amp;SG_Criteria!$B$40&amp;" mm. ","")&amp;IF(AND(R28&lt;&gt;"",R28&lt;SG_Criteria!$B$44),"FAIL: uplift FOS below "&amp;SG_Criteria!$B$44&amp;". ",""))=0,"OK",IF(AND(S28&lt;&gt;"",IFERROR(VALUE(MID(S28,2,2)),0)&lt;SG_Criteria!$B$19),"FAIL: grade below C"&amp;SG_Criteria!$B$19&amp;". ","")&amp;IF(AND(T28&lt;&gt;"",T28&lt;SG_Criteria!$B$20),"FAIL: cover &lt; "&amp;SG_Criteria!$B$20&amp;" mm. ","")&amp;IF(AND(H28&lt;&gt;"",H28&lt;SG_Criteria!$B$39),"NOTE: min depth below PUB "&amp;SG_Criteria!$B$39&amp;" m. ","")&amp;IF(AND(LEFT(C28,8)="Standard",I28&gt;SG_Criteria!$B$42),"FAIL: PUB 001C covers manholes up to "&amp;SG_Criteria!$B$42&amp;" m deep only. ","")&amp;IF(AND(LEFT(C28,11)="Rectangular",J28&lt;SG_Criteria!$B$43),"NOTE: 004C is for sewers &gt;= "&amp;SG_Criteria!$B$43&amp;" dia. ","")&amp;IF(AND(LEFT(C28,7)="Precast",I28&lt;=SG_Criteria!$B$42),"NOTE: 006C is for manholes &gt; "&amp;SG_Criteria!$B$42&amp;" m deep. ","")&amp;IF(AND(J28&lt;&gt;"",J28&lt;SG_Criteria!$B$40,C28&lt;&gt;"Inspection Chamber"),"NOTE: public sewer min dia "&amp;SG_Criteria!$B$40&amp;" mm. ","")&amp;IF(AND(R28&lt;&gt;"",R28&lt;SG_Criteria!$B$44),"FAIL: uplift FOS below "&amp;SG_Criteria!$B$44&amp;". ","")))</f>
        <v/>
      </c>
      <c r="AT28" s="9"/>
      <c r="AU28" s="9"/>
      <c r="AV28" s="9"/>
      <c r="AW28" s="9"/>
      <c r="AX28" s="9"/>
      <c r="AY28" s="31"/>
      <c r="AZ28" s="10" t="str">
        <f aca="false">IF(C28="","",IF(AND(AB28="Approved",ISERROR(SEARCH("FAIL",AS28))),"Y","N"))</f>
        <v/>
      </c>
      <c r="BA28" s="10" t="str">
        <f aca="false">IF(C28="","",C28&amp;"|"&amp;I28&amp;"|"&amp;F28&amp;"|"&amp;AZ28)</f>
        <v/>
      </c>
    </row>
    <row r="29" customFormat="false" ht="15" hidden="false" customHeight="false" outlineLevel="0" collapsed="false">
      <c r="A29" s="10" t="str">
        <f aca="false">IF(C29="","","MH-"&amp;IFERROR(VLOOKUP(C29,Lists!$AB$4:$AC$20,2,0),"??")&amp;"-"&amp;TEXT(F29,"0000")&amp;IF(E29="Circular","D","x"&amp;TEXT(G29,"0000"))&amp;"-D"&amp;TEXT(I29*1000,"0000")&amp;"-"&amp;IFERROR(VLOOKUP(D29,Lists!$AE$4:$AF$16,2,0),"??")&amp;"-"&amp;AA29)</f>
        <v/>
      </c>
      <c r="B29" s="10" t="str">
        <f aca="false">IF(C29="","",C29&amp;", "&amp;D29&amp;", "&amp;IF(E29="Circular",F29&amp;" dia",F29&amp;" x "&amp;G29)&amp;", depth "&amp;TEXT(H29,"0.0")&amp;"-"&amp;TEXT(I29,"0.0")&amp;" m, pipe up to "&amp;J29&amp;" dia")</f>
        <v/>
      </c>
      <c r="C29" s="9"/>
      <c r="D29" s="9"/>
      <c r="E29" s="9"/>
      <c r="F29" s="40"/>
      <c r="G29" s="40"/>
      <c r="H29" s="43"/>
      <c r="I29" s="43"/>
      <c r="J29" s="40"/>
      <c r="K29" s="40"/>
      <c r="L29" s="40"/>
      <c r="M29" s="40"/>
      <c r="N29" s="9"/>
      <c r="O29" s="9"/>
      <c r="P29" s="9"/>
      <c r="Q29" s="9"/>
      <c r="R29" s="41"/>
      <c r="S29" s="9"/>
      <c r="T29" s="40"/>
      <c r="U29" s="9"/>
      <c r="V29" s="9"/>
      <c r="W29" s="9"/>
      <c r="X29" s="9"/>
      <c r="Y29" s="9"/>
      <c r="Z29" s="9"/>
      <c r="AA29" s="9"/>
      <c r="AB29" s="9"/>
      <c r="AC29" s="9"/>
      <c r="AD29" s="9"/>
      <c r="AE29" s="9"/>
      <c r="AF29" s="10" t="str">
        <f aca="false">IF(A29="","",SG_Criteria!$B$6&amp;SG_Criteria!$B$10&amp;"\"&amp;A29&amp;"\")</f>
        <v/>
      </c>
      <c r="AG29" s="10" t="str">
        <f aca="false">IF(A29="","",A29&amp;"_CAD.dwg")</f>
        <v/>
      </c>
      <c r="AH29" s="10" t="str">
        <f aca="false">IF(A29="","",A29&amp;"_DWG.pdf")</f>
        <v/>
      </c>
      <c r="AI29" s="10" t="str">
        <f aca="false">IF(A29="","",IF(AE29="Y",A29&amp;"_STAAD.std","n/a"))</f>
        <v/>
      </c>
      <c r="AJ29" s="10" t="str">
        <f aca="false">IF(A29="","",A29&amp;"_CALC.xlsx")</f>
        <v/>
      </c>
      <c r="AK29" s="10" t="str">
        <f aca="false">IF(A29="","",A29&amp;"_CALC.pdf")</f>
        <v/>
      </c>
      <c r="AL29" s="9"/>
      <c r="AM29" s="9"/>
      <c r="AN29" s="41"/>
      <c r="AO29" s="41"/>
      <c r="AP29" s="41"/>
      <c r="AQ29" s="41"/>
      <c r="AR29" s="41"/>
      <c r="AS29" s="38" t="str">
        <f aca="false">IF(C29="","",IF(LEN(IF(AND(S29&lt;&gt;"",IFERROR(VALUE(MID(S29,2,2)),0)&lt;SG_Criteria!$B$19),"FAIL: grade below C"&amp;SG_Criteria!$B$19&amp;". ","")&amp;IF(AND(T29&lt;&gt;"",T29&lt;SG_Criteria!$B$20),"FAIL: cover &lt; "&amp;SG_Criteria!$B$20&amp;" mm. ","")&amp;IF(AND(H29&lt;&gt;"",H29&lt;SG_Criteria!$B$39),"NOTE: min depth below PUB "&amp;SG_Criteria!$B$39&amp;" m. ","")&amp;IF(AND(LEFT(C29,8)="Standard",I29&gt;SG_Criteria!$B$42),"FAIL: PUB 001C covers manholes up to "&amp;SG_Criteria!$B$42&amp;" m deep only. ","")&amp;IF(AND(LEFT(C29,11)="Rectangular",J29&lt;SG_Criteria!$B$43),"NOTE: 004C is for sewers &gt;= "&amp;SG_Criteria!$B$43&amp;" dia. ","")&amp;IF(AND(LEFT(C29,7)="Precast",I29&lt;=SG_Criteria!$B$42),"NOTE: 006C is for manholes &gt; "&amp;SG_Criteria!$B$42&amp;" m deep. ","")&amp;IF(AND(J29&lt;&gt;"",J29&lt;SG_Criteria!$B$40,C29&lt;&gt;"Inspection Chamber"),"NOTE: public sewer min dia "&amp;SG_Criteria!$B$40&amp;" mm. ","")&amp;IF(AND(R29&lt;&gt;"",R29&lt;SG_Criteria!$B$44),"FAIL: uplift FOS below "&amp;SG_Criteria!$B$44&amp;". ",""))=0,"OK",IF(AND(S29&lt;&gt;"",IFERROR(VALUE(MID(S29,2,2)),0)&lt;SG_Criteria!$B$19),"FAIL: grade below C"&amp;SG_Criteria!$B$19&amp;". ","")&amp;IF(AND(T29&lt;&gt;"",T29&lt;SG_Criteria!$B$20),"FAIL: cover &lt; "&amp;SG_Criteria!$B$20&amp;" mm. ","")&amp;IF(AND(H29&lt;&gt;"",H29&lt;SG_Criteria!$B$39),"NOTE: min depth below PUB "&amp;SG_Criteria!$B$39&amp;" m. ","")&amp;IF(AND(LEFT(C29,8)="Standard",I29&gt;SG_Criteria!$B$42),"FAIL: PUB 001C covers manholes up to "&amp;SG_Criteria!$B$42&amp;" m deep only. ","")&amp;IF(AND(LEFT(C29,11)="Rectangular",J29&lt;SG_Criteria!$B$43),"NOTE: 004C is for sewers &gt;= "&amp;SG_Criteria!$B$43&amp;" dia. ","")&amp;IF(AND(LEFT(C29,7)="Precast",I29&lt;=SG_Criteria!$B$42),"NOTE: 006C is for manholes &gt; "&amp;SG_Criteria!$B$42&amp;" m deep. ","")&amp;IF(AND(J29&lt;&gt;"",J29&lt;SG_Criteria!$B$40,C29&lt;&gt;"Inspection Chamber"),"NOTE: public sewer min dia "&amp;SG_Criteria!$B$40&amp;" mm. ","")&amp;IF(AND(R29&lt;&gt;"",R29&lt;SG_Criteria!$B$44),"FAIL: uplift FOS below "&amp;SG_Criteria!$B$44&amp;". ","")))</f>
        <v/>
      </c>
      <c r="AT29" s="9"/>
      <c r="AU29" s="9"/>
      <c r="AV29" s="9"/>
      <c r="AW29" s="9"/>
      <c r="AX29" s="9"/>
      <c r="AY29" s="31"/>
      <c r="AZ29" s="10" t="str">
        <f aca="false">IF(C29="","",IF(AND(AB29="Approved",ISERROR(SEARCH("FAIL",AS29))),"Y","N"))</f>
        <v/>
      </c>
      <c r="BA29" s="10" t="str">
        <f aca="false">IF(C29="","",C29&amp;"|"&amp;I29&amp;"|"&amp;F29&amp;"|"&amp;AZ29)</f>
        <v/>
      </c>
    </row>
    <row r="30" customFormat="false" ht="15" hidden="false" customHeight="false" outlineLevel="0" collapsed="false">
      <c r="A30" s="10" t="str">
        <f aca="false">IF(C30="","","MH-"&amp;IFERROR(VLOOKUP(C30,Lists!$AB$4:$AC$20,2,0),"??")&amp;"-"&amp;TEXT(F30,"0000")&amp;IF(E30="Circular","D","x"&amp;TEXT(G30,"0000"))&amp;"-D"&amp;TEXT(I30*1000,"0000")&amp;"-"&amp;IFERROR(VLOOKUP(D30,Lists!$AE$4:$AF$16,2,0),"??")&amp;"-"&amp;AA30)</f>
        <v/>
      </c>
      <c r="B30" s="10" t="str">
        <f aca="false">IF(C30="","",C30&amp;", "&amp;D30&amp;", "&amp;IF(E30="Circular",F30&amp;" dia",F30&amp;" x "&amp;G30)&amp;", depth "&amp;TEXT(H30,"0.0")&amp;"-"&amp;TEXT(I30,"0.0")&amp;" m, pipe up to "&amp;J30&amp;" dia")</f>
        <v/>
      </c>
      <c r="C30" s="9"/>
      <c r="D30" s="9"/>
      <c r="E30" s="9"/>
      <c r="F30" s="40"/>
      <c r="G30" s="40"/>
      <c r="H30" s="43"/>
      <c r="I30" s="43"/>
      <c r="J30" s="40"/>
      <c r="K30" s="40"/>
      <c r="L30" s="40"/>
      <c r="M30" s="40"/>
      <c r="N30" s="9"/>
      <c r="O30" s="9"/>
      <c r="P30" s="9"/>
      <c r="Q30" s="9"/>
      <c r="R30" s="41"/>
      <c r="S30" s="9"/>
      <c r="T30" s="40"/>
      <c r="U30" s="9"/>
      <c r="V30" s="9"/>
      <c r="W30" s="9"/>
      <c r="X30" s="9"/>
      <c r="Y30" s="9"/>
      <c r="Z30" s="9"/>
      <c r="AA30" s="9"/>
      <c r="AB30" s="9"/>
      <c r="AC30" s="9"/>
      <c r="AD30" s="9"/>
      <c r="AE30" s="9"/>
      <c r="AF30" s="10" t="str">
        <f aca="false">IF(A30="","",SG_Criteria!$B$6&amp;SG_Criteria!$B$10&amp;"\"&amp;A30&amp;"\")</f>
        <v/>
      </c>
      <c r="AG30" s="10" t="str">
        <f aca="false">IF(A30="","",A30&amp;"_CAD.dwg")</f>
        <v/>
      </c>
      <c r="AH30" s="10" t="str">
        <f aca="false">IF(A30="","",A30&amp;"_DWG.pdf")</f>
        <v/>
      </c>
      <c r="AI30" s="10" t="str">
        <f aca="false">IF(A30="","",IF(AE30="Y",A30&amp;"_STAAD.std","n/a"))</f>
        <v/>
      </c>
      <c r="AJ30" s="10" t="str">
        <f aca="false">IF(A30="","",A30&amp;"_CALC.xlsx")</f>
        <v/>
      </c>
      <c r="AK30" s="10" t="str">
        <f aca="false">IF(A30="","",A30&amp;"_CALC.pdf")</f>
        <v/>
      </c>
      <c r="AL30" s="9"/>
      <c r="AM30" s="9"/>
      <c r="AN30" s="41"/>
      <c r="AO30" s="41"/>
      <c r="AP30" s="41"/>
      <c r="AQ30" s="41"/>
      <c r="AR30" s="41"/>
      <c r="AS30" s="38" t="str">
        <f aca="false">IF(C30="","",IF(LEN(IF(AND(S30&lt;&gt;"",IFERROR(VALUE(MID(S30,2,2)),0)&lt;SG_Criteria!$B$19),"FAIL: grade below C"&amp;SG_Criteria!$B$19&amp;". ","")&amp;IF(AND(T30&lt;&gt;"",T30&lt;SG_Criteria!$B$20),"FAIL: cover &lt; "&amp;SG_Criteria!$B$20&amp;" mm. ","")&amp;IF(AND(H30&lt;&gt;"",H30&lt;SG_Criteria!$B$39),"NOTE: min depth below PUB "&amp;SG_Criteria!$B$39&amp;" m. ","")&amp;IF(AND(LEFT(C30,8)="Standard",I30&gt;SG_Criteria!$B$42),"FAIL: PUB 001C covers manholes up to "&amp;SG_Criteria!$B$42&amp;" m deep only. ","")&amp;IF(AND(LEFT(C30,11)="Rectangular",J30&lt;SG_Criteria!$B$43),"NOTE: 004C is for sewers &gt;= "&amp;SG_Criteria!$B$43&amp;" dia. ","")&amp;IF(AND(LEFT(C30,7)="Precast",I30&lt;=SG_Criteria!$B$42),"NOTE: 006C is for manholes &gt; "&amp;SG_Criteria!$B$42&amp;" m deep. ","")&amp;IF(AND(J30&lt;&gt;"",J30&lt;SG_Criteria!$B$40,C30&lt;&gt;"Inspection Chamber"),"NOTE: public sewer min dia "&amp;SG_Criteria!$B$40&amp;" mm. ","")&amp;IF(AND(R30&lt;&gt;"",R30&lt;SG_Criteria!$B$44),"FAIL: uplift FOS below "&amp;SG_Criteria!$B$44&amp;". ",""))=0,"OK",IF(AND(S30&lt;&gt;"",IFERROR(VALUE(MID(S30,2,2)),0)&lt;SG_Criteria!$B$19),"FAIL: grade below C"&amp;SG_Criteria!$B$19&amp;". ","")&amp;IF(AND(T30&lt;&gt;"",T30&lt;SG_Criteria!$B$20),"FAIL: cover &lt; "&amp;SG_Criteria!$B$20&amp;" mm. ","")&amp;IF(AND(H30&lt;&gt;"",H30&lt;SG_Criteria!$B$39),"NOTE: min depth below PUB "&amp;SG_Criteria!$B$39&amp;" m. ","")&amp;IF(AND(LEFT(C30,8)="Standard",I30&gt;SG_Criteria!$B$42),"FAIL: PUB 001C covers manholes up to "&amp;SG_Criteria!$B$42&amp;" m deep only. ","")&amp;IF(AND(LEFT(C30,11)="Rectangular",J30&lt;SG_Criteria!$B$43),"NOTE: 004C is for sewers &gt;= "&amp;SG_Criteria!$B$43&amp;" dia. ","")&amp;IF(AND(LEFT(C30,7)="Precast",I30&lt;=SG_Criteria!$B$42),"NOTE: 006C is for manholes &gt; "&amp;SG_Criteria!$B$42&amp;" m deep. ","")&amp;IF(AND(J30&lt;&gt;"",J30&lt;SG_Criteria!$B$40,C30&lt;&gt;"Inspection Chamber"),"NOTE: public sewer min dia "&amp;SG_Criteria!$B$40&amp;" mm. ","")&amp;IF(AND(R30&lt;&gt;"",R30&lt;SG_Criteria!$B$44),"FAIL: uplift FOS below "&amp;SG_Criteria!$B$44&amp;". ","")))</f>
        <v/>
      </c>
      <c r="AT30" s="9"/>
      <c r="AU30" s="9"/>
      <c r="AV30" s="9"/>
      <c r="AW30" s="9"/>
      <c r="AX30" s="9"/>
      <c r="AY30" s="31"/>
      <c r="AZ30" s="10" t="str">
        <f aca="false">IF(C30="","",IF(AND(AB30="Approved",ISERROR(SEARCH("FAIL",AS30))),"Y","N"))</f>
        <v/>
      </c>
      <c r="BA30" s="10" t="str">
        <f aca="false">IF(C30="","",C30&amp;"|"&amp;I30&amp;"|"&amp;F30&amp;"|"&amp;AZ30)</f>
        <v/>
      </c>
    </row>
    <row r="31" customFormat="false" ht="15" hidden="false" customHeight="false" outlineLevel="0" collapsed="false">
      <c r="A31" s="10" t="str">
        <f aca="false">IF(C31="","","MH-"&amp;IFERROR(VLOOKUP(C31,Lists!$AB$4:$AC$20,2,0),"??")&amp;"-"&amp;TEXT(F31,"0000")&amp;IF(E31="Circular","D","x"&amp;TEXT(G31,"0000"))&amp;"-D"&amp;TEXT(I31*1000,"0000")&amp;"-"&amp;IFERROR(VLOOKUP(D31,Lists!$AE$4:$AF$16,2,0),"??")&amp;"-"&amp;AA31)</f>
        <v/>
      </c>
      <c r="B31" s="10" t="str">
        <f aca="false">IF(C31="","",C31&amp;", "&amp;D31&amp;", "&amp;IF(E31="Circular",F31&amp;" dia",F31&amp;" x "&amp;G31)&amp;", depth "&amp;TEXT(H31,"0.0")&amp;"-"&amp;TEXT(I31,"0.0")&amp;" m, pipe up to "&amp;J31&amp;" dia")</f>
        <v/>
      </c>
      <c r="C31" s="9"/>
      <c r="D31" s="9"/>
      <c r="E31" s="9"/>
      <c r="F31" s="40"/>
      <c r="G31" s="40"/>
      <c r="H31" s="43"/>
      <c r="I31" s="43"/>
      <c r="J31" s="40"/>
      <c r="K31" s="40"/>
      <c r="L31" s="40"/>
      <c r="M31" s="40"/>
      <c r="N31" s="9"/>
      <c r="O31" s="9"/>
      <c r="P31" s="9"/>
      <c r="Q31" s="9"/>
      <c r="R31" s="41"/>
      <c r="S31" s="9"/>
      <c r="T31" s="40"/>
      <c r="U31" s="9"/>
      <c r="V31" s="9"/>
      <c r="W31" s="9"/>
      <c r="X31" s="9"/>
      <c r="Y31" s="9"/>
      <c r="Z31" s="9"/>
      <c r="AA31" s="9"/>
      <c r="AB31" s="9"/>
      <c r="AC31" s="9"/>
      <c r="AD31" s="9"/>
      <c r="AE31" s="9"/>
      <c r="AF31" s="10" t="str">
        <f aca="false">IF(A31="","",SG_Criteria!$B$6&amp;SG_Criteria!$B$10&amp;"\"&amp;A31&amp;"\")</f>
        <v/>
      </c>
      <c r="AG31" s="10" t="str">
        <f aca="false">IF(A31="","",A31&amp;"_CAD.dwg")</f>
        <v/>
      </c>
      <c r="AH31" s="10" t="str">
        <f aca="false">IF(A31="","",A31&amp;"_DWG.pdf")</f>
        <v/>
      </c>
      <c r="AI31" s="10" t="str">
        <f aca="false">IF(A31="","",IF(AE31="Y",A31&amp;"_STAAD.std","n/a"))</f>
        <v/>
      </c>
      <c r="AJ31" s="10" t="str">
        <f aca="false">IF(A31="","",A31&amp;"_CALC.xlsx")</f>
        <v/>
      </c>
      <c r="AK31" s="10" t="str">
        <f aca="false">IF(A31="","",A31&amp;"_CALC.pdf")</f>
        <v/>
      </c>
      <c r="AL31" s="9"/>
      <c r="AM31" s="9"/>
      <c r="AN31" s="41"/>
      <c r="AO31" s="41"/>
      <c r="AP31" s="41"/>
      <c r="AQ31" s="41"/>
      <c r="AR31" s="41"/>
      <c r="AS31" s="38" t="str">
        <f aca="false">IF(C31="","",IF(LEN(IF(AND(S31&lt;&gt;"",IFERROR(VALUE(MID(S31,2,2)),0)&lt;SG_Criteria!$B$19),"FAIL: grade below C"&amp;SG_Criteria!$B$19&amp;". ","")&amp;IF(AND(T31&lt;&gt;"",T31&lt;SG_Criteria!$B$20),"FAIL: cover &lt; "&amp;SG_Criteria!$B$20&amp;" mm. ","")&amp;IF(AND(H31&lt;&gt;"",H31&lt;SG_Criteria!$B$39),"NOTE: min depth below PUB "&amp;SG_Criteria!$B$39&amp;" m. ","")&amp;IF(AND(LEFT(C31,8)="Standard",I31&gt;SG_Criteria!$B$42),"FAIL: PUB 001C covers manholes up to "&amp;SG_Criteria!$B$42&amp;" m deep only. ","")&amp;IF(AND(LEFT(C31,11)="Rectangular",J31&lt;SG_Criteria!$B$43),"NOTE: 004C is for sewers &gt;= "&amp;SG_Criteria!$B$43&amp;" dia. ","")&amp;IF(AND(LEFT(C31,7)="Precast",I31&lt;=SG_Criteria!$B$42),"NOTE: 006C is for manholes &gt; "&amp;SG_Criteria!$B$42&amp;" m deep. ","")&amp;IF(AND(J31&lt;&gt;"",J31&lt;SG_Criteria!$B$40,C31&lt;&gt;"Inspection Chamber"),"NOTE: public sewer min dia "&amp;SG_Criteria!$B$40&amp;" mm. ","")&amp;IF(AND(R31&lt;&gt;"",R31&lt;SG_Criteria!$B$44),"FAIL: uplift FOS below "&amp;SG_Criteria!$B$44&amp;". ",""))=0,"OK",IF(AND(S31&lt;&gt;"",IFERROR(VALUE(MID(S31,2,2)),0)&lt;SG_Criteria!$B$19),"FAIL: grade below C"&amp;SG_Criteria!$B$19&amp;". ","")&amp;IF(AND(T31&lt;&gt;"",T31&lt;SG_Criteria!$B$20),"FAIL: cover &lt; "&amp;SG_Criteria!$B$20&amp;" mm. ","")&amp;IF(AND(H31&lt;&gt;"",H31&lt;SG_Criteria!$B$39),"NOTE: min depth below PUB "&amp;SG_Criteria!$B$39&amp;" m. ","")&amp;IF(AND(LEFT(C31,8)="Standard",I31&gt;SG_Criteria!$B$42),"FAIL: PUB 001C covers manholes up to "&amp;SG_Criteria!$B$42&amp;" m deep only. ","")&amp;IF(AND(LEFT(C31,11)="Rectangular",J31&lt;SG_Criteria!$B$43),"NOTE: 004C is for sewers &gt;= "&amp;SG_Criteria!$B$43&amp;" dia. ","")&amp;IF(AND(LEFT(C31,7)="Precast",I31&lt;=SG_Criteria!$B$42),"NOTE: 006C is for manholes &gt; "&amp;SG_Criteria!$B$42&amp;" m deep. ","")&amp;IF(AND(J31&lt;&gt;"",J31&lt;SG_Criteria!$B$40,C31&lt;&gt;"Inspection Chamber"),"NOTE: public sewer min dia "&amp;SG_Criteria!$B$40&amp;" mm. ","")&amp;IF(AND(R31&lt;&gt;"",R31&lt;SG_Criteria!$B$44),"FAIL: uplift FOS below "&amp;SG_Criteria!$B$44&amp;". ","")))</f>
        <v/>
      </c>
      <c r="AT31" s="9"/>
      <c r="AU31" s="9"/>
      <c r="AV31" s="9"/>
      <c r="AW31" s="9"/>
      <c r="AX31" s="9"/>
      <c r="AY31" s="31"/>
      <c r="AZ31" s="10" t="str">
        <f aca="false">IF(C31="","",IF(AND(AB31="Approved",ISERROR(SEARCH("FAIL",AS31))),"Y","N"))</f>
        <v/>
      </c>
      <c r="BA31" s="10" t="str">
        <f aca="false">IF(C31="","",C31&amp;"|"&amp;I31&amp;"|"&amp;F31&amp;"|"&amp;AZ31)</f>
        <v/>
      </c>
    </row>
    <row r="32" customFormat="false" ht="15" hidden="false" customHeight="false" outlineLevel="0" collapsed="false">
      <c r="A32" s="10" t="str">
        <f aca="false">IF(C32="","","MH-"&amp;IFERROR(VLOOKUP(C32,Lists!$AB$4:$AC$20,2,0),"??")&amp;"-"&amp;TEXT(F32,"0000")&amp;IF(E32="Circular","D","x"&amp;TEXT(G32,"0000"))&amp;"-D"&amp;TEXT(I32*1000,"0000")&amp;"-"&amp;IFERROR(VLOOKUP(D32,Lists!$AE$4:$AF$16,2,0),"??")&amp;"-"&amp;AA32)</f>
        <v/>
      </c>
      <c r="B32" s="10" t="str">
        <f aca="false">IF(C32="","",C32&amp;", "&amp;D32&amp;", "&amp;IF(E32="Circular",F32&amp;" dia",F32&amp;" x "&amp;G32)&amp;", depth "&amp;TEXT(H32,"0.0")&amp;"-"&amp;TEXT(I32,"0.0")&amp;" m, pipe up to "&amp;J32&amp;" dia")</f>
        <v/>
      </c>
      <c r="C32" s="9"/>
      <c r="D32" s="9"/>
      <c r="E32" s="9"/>
      <c r="F32" s="40"/>
      <c r="G32" s="40"/>
      <c r="H32" s="43"/>
      <c r="I32" s="43"/>
      <c r="J32" s="40"/>
      <c r="K32" s="40"/>
      <c r="L32" s="40"/>
      <c r="M32" s="40"/>
      <c r="N32" s="9"/>
      <c r="O32" s="9"/>
      <c r="P32" s="9"/>
      <c r="Q32" s="9"/>
      <c r="R32" s="41"/>
      <c r="S32" s="9"/>
      <c r="T32" s="40"/>
      <c r="U32" s="9"/>
      <c r="V32" s="9"/>
      <c r="W32" s="9"/>
      <c r="X32" s="9"/>
      <c r="Y32" s="9"/>
      <c r="Z32" s="9"/>
      <c r="AA32" s="9"/>
      <c r="AB32" s="9"/>
      <c r="AC32" s="9"/>
      <c r="AD32" s="9"/>
      <c r="AE32" s="9"/>
      <c r="AF32" s="10" t="str">
        <f aca="false">IF(A32="","",SG_Criteria!$B$6&amp;SG_Criteria!$B$10&amp;"\"&amp;A32&amp;"\")</f>
        <v/>
      </c>
      <c r="AG32" s="10" t="str">
        <f aca="false">IF(A32="","",A32&amp;"_CAD.dwg")</f>
        <v/>
      </c>
      <c r="AH32" s="10" t="str">
        <f aca="false">IF(A32="","",A32&amp;"_DWG.pdf")</f>
        <v/>
      </c>
      <c r="AI32" s="10" t="str">
        <f aca="false">IF(A32="","",IF(AE32="Y",A32&amp;"_STAAD.std","n/a"))</f>
        <v/>
      </c>
      <c r="AJ32" s="10" t="str">
        <f aca="false">IF(A32="","",A32&amp;"_CALC.xlsx")</f>
        <v/>
      </c>
      <c r="AK32" s="10" t="str">
        <f aca="false">IF(A32="","",A32&amp;"_CALC.pdf")</f>
        <v/>
      </c>
      <c r="AL32" s="9"/>
      <c r="AM32" s="9"/>
      <c r="AN32" s="41"/>
      <c r="AO32" s="41"/>
      <c r="AP32" s="41"/>
      <c r="AQ32" s="41"/>
      <c r="AR32" s="41"/>
      <c r="AS32" s="38" t="str">
        <f aca="false">IF(C32="","",IF(LEN(IF(AND(S32&lt;&gt;"",IFERROR(VALUE(MID(S32,2,2)),0)&lt;SG_Criteria!$B$19),"FAIL: grade below C"&amp;SG_Criteria!$B$19&amp;". ","")&amp;IF(AND(T32&lt;&gt;"",T32&lt;SG_Criteria!$B$20),"FAIL: cover &lt; "&amp;SG_Criteria!$B$20&amp;" mm. ","")&amp;IF(AND(H32&lt;&gt;"",H32&lt;SG_Criteria!$B$39),"NOTE: min depth below PUB "&amp;SG_Criteria!$B$39&amp;" m. ","")&amp;IF(AND(LEFT(C32,8)="Standard",I32&gt;SG_Criteria!$B$42),"FAIL: PUB 001C covers manholes up to "&amp;SG_Criteria!$B$42&amp;" m deep only. ","")&amp;IF(AND(LEFT(C32,11)="Rectangular",J32&lt;SG_Criteria!$B$43),"NOTE: 004C is for sewers &gt;= "&amp;SG_Criteria!$B$43&amp;" dia. ","")&amp;IF(AND(LEFT(C32,7)="Precast",I32&lt;=SG_Criteria!$B$42),"NOTE: 006C is for manholes &gt; "&amp;SG_Criteria!$B$42&amp;" m deep. ","")&amp;IF(AND(J32&lt;&gt;"",J32&lt;SG_Criteria!$B$40,C32&lt;&gt;"Inspection Chamber"),"NOTE: public sewer min dia "&amp;SG_Criteria!$B$40&amp;" mm. ","")&amp;IF(AND(R32&lt;&gt;"",R32&lt;SG_Criteria!$B$44),"FAIL: uplift FOS below "&amp;SG_Criteria!$B$44&amp;". ",""))=0,"OK",IF(AND(S32&lt;&gt;"",IFERROR(VALUE(MID(S32,2,2)),0)&lt;SG_Criteria!$B$19),"FAIL: grade below C"&amp;SG_Criteria!$B$19&amp;". ","")&amp;IF(AND(T32&lt;&gt;"",T32&lt;SG_Criteria!$B$20),"FAIL: cover &lt; "&amp;SG_Criteria!$B$20&amp;" mm. ","")&amp;IF(AND(H32&lt;&gt;"",H32&lt;SG_Criteria!$B$39),"NOTE: min depth below PUB "&amp;SG_Criteria!$B$39&amp;" m. ","")&amp;IF(AND(LEFT(C32,8)="Standard",I32&gt;SG_Criteria!$B$42),"FAIL: PUB 001C covers manholes up to "&amp;SG_Criteria!$B$42&amp;" m deep only. ","")&amp;IF(AND(LEFT(C32,11)="Rectangular",J32&lt;SG_Criteria!$B$43),"NOTE: 004C is for sewers &gt;= "&amp;SG_Criteria!$B$43&amp;" dia. ","")&amp;IF(AND(LEFT(C32,7)="Precast",I32&lt;=SG_Criteria!$B$42),"NOTE: 006C is for manholes &gt; "&amp;SG_Criteria!$B$42&amp;" m deep. ","")&amp;IF(AND(J32&lt;&gt;"",J32&lt;SG_Criteria!$B$40,C32&lt;&gt;"Inspection Chamber"),"NOTE: public sewer min dia "&amp;SG_Criteria!$B$40&amp;" mm. ","")&amp;IF(AND(R32&lt;&gt;"",R32&lt;SG_Criteria!$B$44),"FAIL: uplift FOS below "&amp;SG_Criteria!$B$44&amp;". ","")))</f>
        <v/>
      </c>
      <c r="AT32" s="9"/>
      <c r="AU32" s="9"/>
      <c r="AV32" s="9"/>
      <c r="AW32" s="9"/>
      <c r="AX32" s="9"/>
      <c r="AY32" s="31"/>
      <c r="AZ32" s="10" t="str">
        <f aca="false">IF(C32="","",IF(AND(AB32="Approved",ISERROR(SEARCH("FAIL",AS32))),"Y","N"))</f>
        <v/>
      </c>
      <c r="BA32" s="10" t="str">
        <f aca="false">IF(C32="","",C32&amp;"|"&amp;I32&amp;"|"&amp;F32&amp;"|"&amp;AZ32)</f>
        <v/>
      </c>
    </row>
    <row r="33" customFormat="false" ht="15" hidden="false" customHeight="false" outlineLevel="0" collapsed="false">
      <c r="A33" s="10" t="str">
        <f aca="false">IF(C33="","","MH-"&amp;IFERROR(VLOOKUP(C33,Lists!$AB$4:$AC$20,2,0),"??")&amp;"-"&amp;TEXT(F33,"0000")&amp;IF(E33="Circular","D","x"&amp;TEXT(G33,"0000"))&amp;"-D"&amp;TEXT(I33*1000,"0000")&amp;"-"&amp;IFERROR(VLOOKUP(D33,Lists!$AE$4:$AF$16,2,0),"??")&amp;"-"&amp;AA33)</f>
        <v/>
      </c>
      <c r="B33" s="10" t="str">
        <f aca="false">IF(C33="","",C33&amp;", "&amp;D33&amp;", "&amp;IF(E33="Circular",F33&amp;" dia",F33&amp;" x "&amp;G33)&amp;", depth "&amp;TEXT(H33,"0.0")&amp;"-"&amp;TEXT(I33,"0.0")&amp;" m, pipe up to "&amp;J33&amp;" dia")</f>
        <v/>
      </c>
      <c r="C33" s="9"/>
      <c r="D33" s="9"/>
      <c r="E33" s="9"/>
      <c r="F33" s="40"/>
      <c r="G33" s="40"/>
      <c r="H33" s="43"/>
      <c r="I33" s="43"/>
      <c r="J33" s="40"/>
      <c r="K33" s="40"/>
      <c r="L33" s="40"/>
      <c r="M33" s="40"/>
      <c r="N33" s="9"/>
      <c r="O33" s="9"/>
      <c r="P33" s="9"/>
      <c r="Q33" s="9"/>
      <c r="R33" s="41"/>
      <c r="S33" s="9"/>
      <c r="T33" s="40"/>
      <c r="U33" s="9"/>
      <c r="V33" s="9"/>
      <c r="W33" s="9"/>
      <c r="X33" s="9"/>
      <c r="Y33" s="9"/>
      <c r="Z33" s="9"/>
      <c r="AA33" s="9"/>
      <c r="AB33" s="9"/>
      <c r="AC33" s="9"/>
      <c r="AD33" s="9"/>
      <c r="AE33" s="9"/>
      <c r="AF33" s="10" t="str">
        <f aca="false">IF(A33="","",SG_Criteria!$B$6&amp;SG_Criteria!$B$10&amp;"\"&amp;A33&amp;"\")</f>
        <v/>
      </c>
      <c r="AG33" s="10" t="str">
        <f aca="false">IF(A33="","",A33&amp;"_CAD.dwg")</f>
        <v/>
      </c>
      <c r="AH33" s="10" t="str">
        <f aca="false">IF(A33="","",A33&amp;"_DWG.pdf")</f>
        <v/>
      </c>
      <c r="AI33" s="10" t="str">
        <f aca="false">IF(A33="","",IF(AE33="Y",A33&amp;"_STAAD.std","n/a"))</f>
        <v/>
      </c>
      <c r="AJ33" s="10" t="str">
        <f aca="false">IF(A33="","",A33&amp;"_CALC.xlsx")</f>
        <v/>
      </c>
      <c r="AK33" s="10" t="str">
        <f aca="false">IF(A33="","",A33&amp;"_CALC.pdf")</f>
        <v/>
      </c>
      <c r="AL33" s="9"/>
      <c r="AM33" s="9"/>
      <c r="AN33" s="41"/>
      <c r="AO33" s="41"/>
      <c r="AP33" s="41"/>
      <c r="AQ33" s="41"/>
      <c r="AR33" s="41"/>
      <c r="AS33" s="38" t="str">
        <f aca="false">IF(C33="","",IF(LEN(IF(AND(S33&lt;&gt;"",IFERROR(VALUE(MID(S33,2,2)),0)&lt;SG_Criteria!$B$19),"FAIL: grade below C"&amp;SG_Criteria!$B$19&amp;". ","")&amp;IF(AND(T33&lt;&gt;"",T33&lt;SG_Criteria!$B$20),"FAIL: cover &lt; "&amp;SG_Criteria!$B$20&amp;" mm. ","")&amp;IF(AND(H33&lt;&gt;"",H33&lt;SG_Criteria!$B$39),"NOTE: min depth below PUB "&amp;SG_Criteria!$B$39&amp;" m. ","")&amp;IF(AND(LEFT(C33,8)="Standard",I33&gt;SG_Criteria!$B$42),"FAIL: PUB 001C covers manholes up to "&amp;SG_Criteria!$B$42&amp;" m deep only. ","")&amp;IF(AND(LEFT(C33,11)="Rectangular",J33&lt;SG_Criteria!$B$43),"NOTE: 004C is for sewers &gt;= "&amp;SG_Criteria!$B$43&amp;" dia. ","")&amp;IF(AND(LEFT(C33,7)="Precast",I33&lt;=SG_Criteria!$B$42),"NOTE: 006C is for manholes &gt; "&amp;SG_Criteria!$B$42&amp;" m deep. ","")&amp;IF(AND(J33&lt;&gt;"",J33&lt;SG_Criteria!$B$40,C33&lt;&gt;"Inspection Chamber"),"NOTE: public sewer min dia "&amp;SG_Criteria!$B$40&amp;" mm. ","")&amp;IF(AND(R33&lt;&gt;"",R33&lt;SG_Criteria!$B$44),"FAIL: uplift FOS below "&amp;SG_Criteria!$B$44&amp;". ",""))=0,"OK",IF(AND(S33&lt;&gt;"",IFERROR(VALUE(MID(S33,2,2)),0)&lt;SG_Criteria!$B$19),"FAIL: grade below C"&amp;SG_Criteria!$B$19&amp;". ","")&amp;IF(AND(T33&lt;&gt;"",T33&lt;SG_Criteria!$B$20),"FAIL: cover &lt; "&amp;SG_Criteria!$B$20&amp;" mm. ","")&amp;IF(AND(H33&lt;&gt;"",H33&lt;SG_Criteria!$B$39),"NOTE: min depth below PUB "&amp;SG_Criteria!$B$39&amp;" m. ","")&amp;IF(AND(LEFT(C33,8)="Standard",I33&gt;SG_Criteria!$B$42),"FAIL: PUB 001C covers manholes up to "&amp;SG_Criteria!$B$42&amp;" m deep only. ","")&amp;IF(AND(LEFT(C33,11)="Rectangular",J33&lt;SG_Criteria!$B$43),"NOTE: 004C is for sewers &gt;= "&amp;SG_Criteria!$B$43&amp;" dia. ","")&amp;IF(AND(LEFT(C33,7)="Precast",I33&lt;=SG_Criteria!$B$42),"NOTE: 006C is for manholes &gt; "&amp;SG_Criteria!$B$42&amp;" m deep. ","")&amp;IF(AND(J33&lt;&gt;"",J33&lt;SG_Criteria!$B$40,C33&lt;&gt;"Inspection Chamber"),"NOTE: public sewer min dia "&amp;SG_Criteria!$B$40&amp;" mm. ","")&amp;IF(AND(R33&lt;&gt;"",R33&lt;SG_Criteria!$B$44),"FAIL: uplift FOS below "&amp;SG_Criteria!$B$44&amp;". ","")))</f>
        <v/>
      </c>
      <c r="AT33" s="9"/>
      <c r="AU33" s="9"/>
      <c r="AV33" s="9"/>
      <c r="AW33" s="9"/>
      <c r="AX33" s="9"/>
      <c r="AY33" s="31"/>
      <c r="AZ33" s="10" t="str">
        <f aca="false">IF(C33="","",IF(AND(AB33="Approved",ISERROR(SEARCH("FAIL",AS33))),"Y","N"))</f>
        <v/>
      </c>
      <c r="BA33" s="10" t="str">
        <f aca="false">IF(C33="","",C33&amp;"|"&amp;I33&amp;"|"&amp;F33&amp;"|"&amp;AZ33)</f>
        <v/>
      </c>
    </row>
    <row r="34" customFormat="false" ht="15" hidden="false" customHeight="false" outlineLevel="0" collapsed="false">
      <c r="A34" s="10" t="str">
        <f aca="false">IF(C34="","","MH-"&amp;IFERROR(VLOOKUP(C34,Lists!$AB$4:$AC$20,2,0),"??")&amp;"-"&amp;TEXT(F34,"0000")&amp;IF(E34="Circular","D","x"&amp;TEXT(G34,"0000"))&amp;"-D"&amp;TEXT(I34*1000,"0000")&amp;"-"&amp;IFERROR(VLOOKUP(D34,Lists!$AE$4:$AF$16,2,0),"??")&amp;"-"&amp;AA34)</f>
        <v/>
      </c>
      <c r="B34" s="10" t="str">
        <f aca="false">IF(C34="","",C34&amp;", "&amp;D34&amp;", "&amp;IF(E34="Circular",F34&amp;" dia",F34&amp;" x "&amp;G34)&amp;", depth "&amp;TEXT(H34,"0.0")&amp;"-"&amp;TEXT(I34,"0.0")&amp;" m, pipe up to "&amp;J34&amp;" dia")</f>
        <v/>
      </c>
      <c r="C34" s="9"/>
      <c r="D34" s="9"/>
      <c r="E34" s="9"/>
      <c r="F34" s="40"/>
      <c r="G34" s="40"/>
      <c r="H34" s="43"/>
      <c r="I34" s="43"/>
      <c r="J34" s="40"/>
      <c r="K34" s="40"/>
      <c r="L34" s="40"/>
      <c r="M34" s="40"/>
      <c r="N34" s="9"/>
      <c r="O34" s="9"/>
      <c r="P34" s="9"/>
      <c r="Q34" s="9"/>
      <c r="R34" s="41"/>
      <c r="S34" s="9"/>
      <c r="T34" s="40"/>
      <c r="U34" s="9"/>
      <c r="V34" s="9"/>
      <c r="W34" s="9"/>
      <c r="X34" s="9"/>
      <c r="Y34" s="9"/>
      <c r="Z34" s="9"/>
      <c r="AA34" s="9"/>
      <c r="AB34" s="9"/>
      <c r="AC34" s="9"/>
      <c r="AD34" s="9"/>
      <c r="AE34" s="9"/>
      <c r="AF34" s="10" t="str">
        <f aca="false">IF(A34="","",SG_Criteria!$B$6&amp;SG_Criteria!$B$10&amp;"\"&amp;A34&amp;"\")</f>
        <v/>
      </c>
      <c r="AG34" s="10" t="str">
        <f aca="false">IF(A34="","",A34&amp;"_CAD.dwg")</f>
        <v/>
      </c>
      <c r="AH34" s="10" t="str">
        <f aca="false">IF(A34="","",A34&amp;"_DWG.pdf")</f>
        <v/>
      </c>
      <c r="AI34" s="10" t="str">
        <f aca="false">IF(A34="","",IF(AE34="Y",A34&amp;"_STAAD.std","n/a"))</f>
        <v/>
      </c>
      <c r="AJ34" s="10" t="str">
        <f aca="false">IF(A34="","",A34&amp;"_CALC.xlsx")</f>
        <v/>
      </c>
      <c r="AK34" s="10" t="str">
        <f aca="false">IF(A34="","",A34&amp;"_CALC.pdf")</f>
        <v/>
      </c>
      <c r="AL34" s="9"/>
      <c r="AM34" s="9"/>
      <c r="AN34" s="41"/>
      <c r="AO34" s="41"/>
      <c r="AP34" s="41"/>
      <c r="AQ34" s="41"/>
      <c r="AR34" s="41"/>
      <c r="AS34" s="38" t="str">
        <f aca="false">IF(C34="","",IF(LEN(IF(AND(S34&lt;&gt;"",IFERROR(VALUE(MID(S34,2,2)),0)&lt;SG_Criteria!$B$19),"FAIL: grade below C"&amp;SG_Criteria!$B$19&amp;". ","")&amp;IF(AND(T34&lt;&gt;"",T34&lt;SG_Criteria!$B$20),"FAIL: cover &lt; "&amp;SG_Criteria!$B$20&amp;" mm. ","")&amp;IF(AND(H34&lt;&gt;"",H34&lt;SG_Criteria!$B$39),"NOTE: min depth below PUB "&amp;SG_Criteria!$B$39&amp;" m. ","")&amp;IF(AND(LEFT(C34,8)="Standard",I34&gt;SG_Criteria!$B$42),"FAIL: PUB 001C covers manholes up to "&amp;SG_Criteria!$B$42&amp;" m deep only. ","")&amp;IF(AND(LEFT(C34,11)="Rectangular",J34&lt;SG_Criteria!$B$43),"NOTE: 004C is for sewers &gt;= "&amp;SG_Criteria!$B$43&amp;" dia. ","")&amp;IF(AND(LEFT(C34,7)="Precast",I34&lt;=SG_Criteria!$B$42),"NOTE: 006C is for manholes &gt; "&amp;SG_Criteria!$B$42&amp;" m deep. ","")&amp;IF(AND(J34&lt;&gt;"",J34&lt;SG_Criteria!$B$40,C34&lt;&gt;"Inspection Chamber"),"NOTE: public sewer min dia "&amp;SG_Criteria!$B$40&amp;" mm. ","")&amp;IF(AND(R34&lt;&gt;"",R34&lt;SG_Criteria!$B$44),"FAIL: uplift FOS below "&amp;SG_Criteria!$B$44&amp;". ",""))=0,"OK",IF(AND(S34&lt;&gt;"",IFERROR(VALUE(MID(S34,2,2)),0)&lt;SG_Criteria!$B$19),"FAIL: grade below C"&amp;SG_Criteria!$B$19&amp;". ","")&amp;IF(AND(T34&lt;&gt;"",T34&lt;SG_Criteria!$B$20),"FAIL: cover &lt; "&amp;SG_Criteria!$B$20&amp;" mm. ","")&amp;IF(AND(H34&lt;&gt;"",H34&lt;SG_Criteria!$B$39),"NOTE: min depth below PUB "&amp;SG_Criteria!$B$39&amp;" m. ","")&amp;IF(AND(LEFT(C34,8)="Standard",I34&gt;SG_Criteria!$B$42),"FAIL: PUB 001C covers manholes up to "&amp;SG_Criteria!$B$42&amp;" m deep only. ","")&amp;IF(AND(LEFT(C34,11)="Rectangular",J34&lt;SG_Criteria!$B$43),"NOTE: 004C is for sewers &gt;= "&amp;SG_Criteria!$B$43&amp;" dia. ","")&amp;IF(AND(LEFT(C34,7)="Precast",I34&lt;=SG_Criteria!$B$42),"NOTE: 006C is for manholes &gt; "&amp;SG_Criteria!$B$42&amp;" m deep. ","")&amp;IF(AND(J34&lt;&gt;"",J34&lt;SG_Criteria!$B$40,C34&lt;&gt;"Inspection Chamber"),"NOTE: public sewer min dia "&amp;SG_Criteria!$B$40&amp;" mm. ","")&amp;IF(AND(R34&lt;&gt;"",R34&lt;SG_Criteria!$B$44),"FAIL: uplift FOS below "&amp;SG_Criteria!$B$44&amp;". ","")))</f>
        <v/>
      </c>
      <c r="AT34" s="9"/>
      <c r="AU34" s="9"/>
      <c r="AV34" s="9"/>
      <c r="AW34" s="9"/>
      <c r="AX34" s="9"/>
      <c r="AY34" s="31"/>
      <c r="AZ34" s="10" t="str">
        <f aca="false">IF(C34="","",IF(AND(AB34="Approved",ISERROR(SEARCH("FAIL",AS34))),"Y","N"))</f>
        <v/>
      </c>
      <c r="BA34" s="10" t="str">
        <f aca="false">IF(C34="","",C34&amp;"|"&amp;I34&amp;"|"&amp;F34&amp;"|"&amp;AZ34)</f>
        <v/>
      </c>
    </row>
    <row r="35" customFormat="false" ht="15" hidden="false" customHeight="false" outlineLevel="0" collapsed="false">
      <c r="A35" s="10" t="str">
        <f aca="false">IF(C35="","","MH-"&amp;IFERROR(VLOOKUP(C35,Lists!$AB$4:$AC$20,2,0),"??")&amp;"-"&amp;TEXT(F35,"0000")&amp;IF(E35="Circular","D","x"&amp;TEXT(G35,"0000"))&amp;"-D"&amp;TEXT(I35*1000,"0000")&amp;"-"&amp;IFERROR(VLOOKUP(D35,Lists!$AE$4:$AF$16,2,0),"??")&amp;"-"&amp;AA35)</f>
        <v/>
      </c>
      <c r="B35" s="10" t="str">
        <f aca="false">IF(C35="","",C35&amp;", "&amp;D35&amp;", "&amp;IF(E35="Circular",F35&amp;" dia",F35&amp;" x "&amp;G35)&amp;", depth "&amp;TEXT(H35,"0.0")&amp;"-"&amp;TEXT(I35,"0.0")&amp;" m, pipe up to "&amp;J35&amp;" dia")</f>
        <v/>
      </c>
      <c r="C35" s="9"/>
      <c r="D35" s="9"/>
      <c r="E35" s="9"/>
      <c r="F35" s="40"/>
      <c r="G35" s="40"/>
      <c r="H35" s="43"/>
      <c r="I35" s="43"/>
      <c r="J35" s="40"/>
      <c r="K35" s="40"/>
      <c r="L35" s="40"/>
      <c r="M35" s="40"/>
      <c r="N35" s="9"/>
      <c r="O35" s="9"/>
      <c r="P35" s="9"/>
      <c r="Q35" s="9"/>
      <c r="R35" s="41"/>
      <c r="S35" s="9"/>
      <c r="T35" s="40"/>
      <c r="U35" s="9"/>
      <c r="V35" s="9"/>
      <c r="W35" s="9"/>
      <c r="X35" s="9"/>
      <c r="Y35" s="9"/>
      <c r="Z35" s="9"/>
      <c r="AA35" s="9"/>
      <c r="AB35" s="9"/>
      <c r="AC35" s="9"/>
      <c r="AD35" s="9"/>
      <c r="AE35" s="9"/>
      <c r="AF35" s="10" t="str">
        <f aca="false">IF(A35="","",SG_Criteria!$B$6&amp;SG_Criteria!$B$10&amp;"\"&amp;A35&amp;"\")</f>
        <v/>
      </c>
      <c r="AG35" s="10" t="str">
        <f aca="false">IF(A35="","",A35&amp;"_CAD.dwg")</f>
        <v/>
      </c>
      <c r="AH35" s="10" t="str">
        <f aca="false">IF(A35="","",A35&amp;"_DWG.pdf")</f>
        <v/>
      </c>
      <c r="AI35" s="10" t="str">
        <f aca="false">IF(A35="","",IF(AE35="Y",A35&amp;"_STAAD.std","n/a"))</f>
        <v/>
      </c>
      <c r="AJ35" s="10" t="str">
        <f aca="false">IF(A35="","",A35&amp;"_CALC.xlsx")</f>
        <v/>
      </c>
      <c r="AK35" s="10" t="str">
        <f aca="false">IF(A35="","",A35&amp;"_CALC.pdf")</f>
        <v/>
      </c>
      <c r="AL35" s="9"/>
      <c r="AM35" s="9"/>
      <c r="AN35" s="41"/>
      <c r="AO35" s="41"/>
      <c r="AP35" s="41"/>
      <c r="AQ35" s="41"/>
      <c r="AR35" s="41"/>
      <c r="AS35" s="38" t="str">
        <f aca="false">IF(C35="","",IF(LEN(IF(AND(S35&lt;&gt;"",IFERROR(VALUE(MID(S35,2,2)),0)&lt;SG_Criteria!$B$19),"FAIL: grade below C"&amp;SG_Criteria!$B$19&amp;". ","")&amp;IF(AND(T35&lt;&gt;"",T35&lt;SG_Criteria!$B$20),"FAIL: cover &lt; "&amp;SG_Criteria!$B$20&amp;" mm. ","")&amp;IF(AND(H35&lt;&gt;"",H35&lt;SG_Criteria!$B$39),"NOTE: min depth below PUB "&amp;SG_Criteria!$B$39&amp;" m. ","")&amp;IF(AND(LEFT(C35,8)="Standard",I35&gt;SG_Criteria!$B$42),"FAIL: PUB 001C covers manholes up to "&amp;SG_Criteria!$B$42&amp;" m deep only. ","")&amp;IF(AND(LEFT(C35,11)="Rectangular",J35&lt;SG_Criteria!$B$43),"NOTE: 004C is for sewers &gt;= "&amp;SG_Criteria!$B$43&amp;" dia. ","")&amp;IF(AND(LEFT(C35,7)="Precast",I35&lt;=SG_Criteria!$B$42),"NOTE: 006C is for manholes &gt; "&amp;SG_Criteria!$B$42&amp;" m deep. ","")&amp;IF(AND(J35&lt;&gt;"",J35&lt;SG_Criteria!$B$40,C35&lt;&gt;"Inspection Chamber"),"NOTE: public sewer min dia "&amp;SG_Criteria!$B$40&amp;" mm. ","")&amp;IF(AND(R35&lt;&gt;"",R35&lt;SG_Criteria!$B$44),"FAIL: uplift FOS below "&amp;SG_Criteria!$B$44&amp;". ",""))=0,"OK",IF(AND(S35&lt;&gt;"",IFERROR(VALUE(MID(S35,2,2)),0)&lt;SG_Criteria!$B$19),"FAIL: grade below C"&amp;SG_Criteria!$B$19&amp;". ","")&amp;IF(AND(T35&lt;&gt;"",T35&lt;SG_Criteria!$B$20),"FAIL: cover &lt; "&amp;SG_Criteria!$B$20&amp;" mm. ","")&amp;IF(AND(H35&lt;&gt;"",H35&lt;SG_Criteria!$B$39),"NOTE: min depth below PUB "&amp;SG_Criteria!$B$39&amp;" m. ","")&amp;IF(AND(LEFT(C35,8)="Standard",I35&gt;SG_Criteria!$B$42),"FAIL: PUB 001C covers manholes up to "&amp;SG_Criteria!$B$42&amp;" m deep only. ","")&amp;IF(AND(LEFT(C35,11)="Rectangular",J35&lt;SG_Criteria!$B$43),"NOTE: 004C is for sewers &gt;= "&amp;SG_Criteria!$B$43&amp;" dia. ","")&amp;IF(AND(LEFT(C35,7)="Precast",I35&lt;=SG_Criteria!$B$42),"NOTE: 006C is for manholes &gt; "&amp;SG_Criteria!$B$42&amp;" m deep. ","")&amp;IF(AND(J35&lt;&gt;"",J35&lt;SG_Criteria!$B$40,C35&lt;&gt;"Inspection Chamber"),"NOTE: public sewer min dia "&amp;SG_Criteria!$B$40&amp;" mm. ","")&amp;IF(AND(R35&lt;&gt;"",R35&lt;SG_Criteria!$B$44),"FAIL: uplift FOS below "&amp;SG_Criteria!$B$44&amp;". ","")))</f>
        <v/>
      </c>
      <c r="AT35" s="9"/>
      <c r="AU35" s="9"/>
      <c r="AV35" s="9"/>
      <c r="AW35" s="9"/>
      <c r="AX35" s="9"/>
      <c r="AY35" s="31"/>
      <c r="AZ35" s="10" t="str">
        <f aca="false">IF(C35="","",IF(AND(AB35="Approved",ISERROR(SEARCH("FAIL",AS35))),"Y","N"))</f>
        <v/>
      </c>
      <c r="BA35" s="10" t="str">
        <f aca="false">IF(C35="","",C35&amp;"|"&amp;I35&amp;"|"&amp;F35&amp;"|"&amp;AZ35)</f>
        <v/>
      </c>
    </row>
    <row r="36" customFormat="false" ht="15" hidden="false" customHeight="false" outlineLevel="0" collapsed="false">
      <c r="A36" s="10" t="str">
        <f aca="false">IF(C36="","","MH-"&amp;IFERROR(VLOOKUP(C36,Lists!$AB$4:$AC$20,2,0),"??")&amp;"-"&amp;TEXT(F36,"0000")&amp;IF(E36="Circular","D","x"&amp;TEXT(G36,"0000"))&amp;"-D"&amp;TEXT(I36*1000,"0000")&amp;"-"&amp;IFERROR(VLOOKUP(D36,Lists!$AE$4:$AF$16,2,0),"??")&amp;"-"&amp;AA36)</f>
        <v/>
      </c>
      <c r="B36" s="10" t="str">
        <f aca="false">IF(C36="","",C36&amp;", "&amp;D36&amp;", "&amp;IF(E36="Circular",F36&amp;" dia",F36&amp;" x "&amp;G36)&amp;", depth "&amp;TEXT(H36,"0.0")&amp;"-"&amp;TEXT(I36,"0.0")&amp;" m, pipe up to "&amp;J36&amp;" dia")</f>
        <v/>
      </c>
      <c r="C36" s="9"/>
      <c r="D36" s="9"/>
      <c r="E36" s="9"/>
      <c r="F36" s="40"/>
      <c r="G36" s="40"/>
      <c r="H36" s="43"/>
      <c r="I36" s="43"/>
      <c r="J36" s="40"/>
      <c r="K36" s="40"/>
      <c r="L36" s="40"/>
      <c r="M36" s="40"/>
      <c r="N36" s="9"/>
      <c r="O36" s="9"/>
      <c r="P36" s="9"/>
      <c r="Q36" s="9"/>
      <c r="R36" s="41"/>
      <c r="S36" s="9"/>
      <c r="T36" s="40"/>
      <c r="U36" s="9"/>
      <c r="V36" s="9"/>
      <c r="W36" s="9"/>
      <c r="X36" s="9"/>
      <c r="Y36" s="9"/>
      <c r="Z36" s="9"/>
      <c r="AA36" s="9"/>
      <c r="AB36" s="9"/>
      <c r="AC36" s="9"/>
      <c r="AD36" s="9"/>
      <c r="AE36" s="9"/>
      <c r="AF36" s="10" t="str">
        <f aca="false">IF(A36="","",SG_Criteria!$B$6&amp;SG_Criteria!$B$10&amp;"\"&amp;A36&amp;"\")</f>
        <v/>
      </c>
      <c r="AG36" s="10" t="str">
        <f aca="false">IF(A36="","",A36&amp;"_CAD.dwg")</f>
        <v/>
      </c>
      <c r="AH36" s="10" t="str">
        <f aca="false">IF(A36="","",A36&amp;"_DWG.pdf")</f>
        <v/>
      </c>
      <c r="AI36" s="10" t="str">
        <f aca="false">IF(A36="","",IF(AE36="Y",A36&amp;"_STAAD.std","n/a"))</f>
        <v/>
      </c>
      <c r="AJ36" s="10" t="str">
        <f aca="false">IF(A36="","",A36&amp;"_CALC.xlsx")</f>
        <v/>
      </c>
      <c r="AK36" s="10" t="str">
        <f aca="false">IF(A36="","",A36&amp;"_CALC.pdf")</f>
        <v/>
      </c>
      <c r="AL36" s="9"/>
      <c r="AM36" s="9"/>
      <c r="AN36" s="41"/>
      <c r="AO36" s="41"/>
      <c r="AP36" s="41"/>
      <c r="AQ36" s="41"/>
      <c r="AR36" s="41"/>
      <c r="AS36" s="38" t="str">
        <f aca="false">IF(C36="","",IF(LEN(IF(AND(S36&lt;&gt;"",IFERROR(VALUE(MID(S36,2,2)),0)&lt;SG_Criteria!$B$19),"FAIL: grade below C"&amp;SG_Criteria!$B$19&amp;". ","")&amp;IF(AND(T36&lt;&gt;"",T36&lt;SG_Criteria!$B$20),"FAIL: cover &lt; "&amp;SG_Criteria!$B$20&amp;" mm. ","")&amp;IF(AND(H36&lt;&gt;"",H36&lt;SG_Criteria!$B$39),"NOTE: min depth below PUB "&amp;SG_Criteria!$B$39&amp;" m. ","")&amp;IF(AND(LEFT(C36,8)="Standard",I36&gt;SG_Criteria!$B$42),"FAIL: PUB 001C covers manholes up to "&amp;SG_Criteria!$B$42&amp;" m deep only. ","")&amp;IF(AND(LEFT(C36,11)="Rectangular",J36&lt;SG_Criteria!$B$43),"NOTE: 004C is for sewers &gt;= "&amp;SG_Criteria!$B$43&amp;" dia. ","")&amp;IF(AND(LEFT(C36,7)="Precast",I36&lt;=SG_Criteria!$B$42),"NOTE: 006C is for manholes &gt; "&amp;SG_Criteria!$B$42&amp;" m deep. ","")&amp;IF(AND(J36&lt;&gt;"",J36&lt;SG_Criteria!$B$40,C36&lt;&gt;"Inspection Chamber"),"NOTE: public sewer min dia "&amp;SG_Criteria!$B$40&amp;" mm. ","")&amp;IF(AND(R36&lt;&gt;"",R36&lt;SG_Criteria!$B$44),"FAIL: uplift FOS below "&amp;SG_Criteria!$B$44&amp;". ",""))=0,"OK",IF(AND(S36&lt;&gt;"",IFERROR(VALUE(MID(S36,2,2)),0)&lt;SG_Criteria!$B$19),"FAIL: grade below C"&amp;SG_Criteria!$B$19&amp;". ","")&amp;IF(AND(T36&lt;&gt;"",T36&lt;SG_Criteria!$B$20),"FAIL: cover &lt; "&amp;SG_Criteria!$B$20&amp;" mm. ","")&amp;IF(AND(H36&lt;&gt;"",H36&lt;SG_Criteria!$B$39),"NOTE: min depth below PUB "&amp;SG_Criteria!$B$39&amp;" m. ","")&amp;IF(AND(LEFT(C36,8)="Standard",I36&gt;SG_Criteria!$B$42),"FAIL: PUB 001C covers manholes up to "&amp;SG_Criteria!$B$42&amp;" m deep only. ","")&amp;IF(AND(LEFT(C36,11)="Rectangular",J36&lt;SG_Criteria!$B$43),"NOTE: 004C is for sewers &gt;= "&amp;SG_Criteria!$B$43&amp;" dia. ","")&amp;IF(AND(LEFT(C36,7)="Precast",I36&lt;=SG_Criteria!$B$42),"NOTE: 006C is for manholes &gt; "&amp;SG_Criteria!$B$42&amp;" m deep. ","")&amp;IF(AND(J36&lt;&gt;"",J36&lt;SG_Criteria!$B$40,C36&lt;&gt;"Inspection Chamber"),"NOTE: public sewer min dia "&amp;SG_Criteria!$B$40&amp;" mm. ","")&amp;IF(AND(R36&lt;&gt;"",R36&lt;SG_Criteria!$B$44),"FAIL: uplift FOS below "&amp;SG_Criteria!$B$44&amp;". ","")))</f>
        <v/>
      </c>
      <c r="AT36" s="9"/>
      <c r="AU36" s="9"/>
      <c r="AV36" s="9"/>
      <c r="AW36" s="9"/>
      <c r="AX36" s="9"/>
      <c r="AY36" s="31"/>
      <c r="AZ36" s="10" t="str">
        <f aca="false">IF(C36="","",IF(AND(AB36="Approved",ISERROR(SEARCH("FAIL",AS36))),"Y","N"))</f>
        <v/>
      </c>
      <c r="BA36" s="10" t="str">
        <f aca="false">IF(C36="","",C36&amp;"|"&amp;I36&amp;"|"&amp;F36&amp;"|"&amp;AZ36)</f>
        <v/>
      </c>
    </row>
    <row r="37" customFormat="false" ht="15" hidden="false" customHeight="false" outlineLevel="0" collapsed="false">
      <c r="A37" s="10" t="str">
        <f aca="false">IF(C37="","","MH-"&amp;IFERROR(VLOOKUP(C37,Lists!$AB$4:$AC$20,2,0),"??")&amp;"-"&amp;TEXT(F37,"0000")&amp;IF(E37="Circular","D","x"&amp;TEXT(G37,"0000"))&amp;"-D"&amp;TEXT(I37*1000,"0000")&amp;"-"&amp;IFERROR(VLOOKUP(D37,Lists!$AE$4:$AF$16,2,0),"??")&amp;"-"&amp;AA37)</f>
        <v/>
      </c>
      <c r="B37" s="10" t="str">
        <f aca="false">IF(C37="","",C37&amp;", "&amp;D37&amp;", "&amp;IF(E37="Circular",F37&amp;" dia",F37&amp;" x "&amp;G37)&amp;", depth "&amp;TEXT(H37,"0.0")&amp;"-"&amp;TEXT(I37,"0.0")&amp;" m, pipe up to "&amp;J37&amp;" dia")</f>
        <v/>
      </c>
      <c r="C37" s="9"/>
      <c r="D37" s="9"/>
      <c r="E37" s="9"/>
      <c r="F37" s="40"/>
      <c r="G37" s="40"/>
      <c r="H37" s="43"/>
      <c r="I37" s="43"/>
      <c r="J37" s="40"/>
      <c r="K37" s="40"/>
      <c r="L37" s="40"/>
      <c r="M37" s="40"/>
      <c r="N37" s="9"/>
      <c r="O37" s="9"/>
      <c r="P37" s="9"/>
      <c r="Q37" s="9"/>
      <c r="R37" s="41"/>
      <c r="S37" s="9"/>
      <c r="T37" s="40"/>
      <c r="U37" s="9"/>
      <c r="V37" s="9"/>
      <c r="W37" s="9"/>
      <c r="X37" s="9"/>
      <c r="Y37" s="9"/>
      <c r="Z37" s="9"/>
      <c r="AA37" s="9"/>
      <c r="AB37" s="9"/>
      <c r="AC37" s="9"/>
      <c r="AD37" s="9"/>
      <c r="AE37" s="9"/>
      <c r="AF37" s="10" t="str">
        <f aca="false">IF(A37="","",SG_Criteria!$B$6&amp;SG_Criteria!$B$10&amp;"\"&amp;A37&amp;"\")</f>
        <v/>
      </c>
      <c r="AG37" s="10" t="str">
        <f aca="false">IF(A37="","",A37&amp;"_CAD.dwg")</f>
        <v/>
      </c>
      <c r="AH37" s="10" t="str">
        <f aca="false">IF(A37="","",A37&amp;"_DWG.pdf")</f>
        <v/>
      </c>
      <c r="AI37" s="10" t="str">
        <f aca="false">IF(A37="","",IF(AE37="Y",A37&amp;"_STAAD.std","n/a"))</f>
        <v/>
      </c>
      <c r="AJ37" s="10" t="str">
        <f aca="false">IF(A37="","",A37&amp;"_CALC.xlsx")</f>
        <v/>
      </c>
      <c r="AK37" s="10" t="str">
        <f aca="false">IF(A37="","",A37&amp;"_CALC.pdf")</f>
        <v/>
      </c>
      <c r="AL37" s="9"/>
      <c r="AM37" s="9"/>
      <c r="AN37" s="41"/>
      <c r="AO37" s="41"/>
      <c r="AP37" s="41"/>
      <c r="AQ37" s="41"/>
      <c r="AR37" s="41"/>
      <c r="AS37" s="38" t="str">
        <f aca="false">IF(C37="","",IF(LEN(IF(AND(S37&lt;&gt;"",IFERROR(VALUE(MID(S37,2,2)),0)&lt;SG_Criteria!$B$19),"FAIL: grade below C"&amp;SG_Criteria!$B$19&amp;". ","")&amp;IF(AND(T37&lt;&gt;"",T37&lt;SG_Criteria!$B$20),"FAIL: cover &lt; "&amp;SG_Criteria!$B$20&amp;" mm. ","")&amp;IF(AND(H37&lt;&gt;"",H37&lt;SG_Criteria!$B$39),"NOTE: min depth below PUB "&amp;SG_Criteria!$B$39&amp;" m. ","")&amp;IF(AND(LEFT(C37,8)="Standard",I37&gt;SG_Criteria!$B$42),"FAIL: PUB 001C covers manholes up to "&amp;SG_Criteria!$B$42&amp;" m deep only. ","")&amp;IF(AND(LEFT(C37,11)="Rectangular",J37&lt;SG_Criteria!$B$43),"NOTE: 004C is for sewers &gt;= "&amp;SG_Criteria!$B$43&amp;" dia. ","")&amp;IF(AND(LEFT(C37,7)="Precast",I37&lt;=SG_Criteria!$B$42),"NOTE: 006C is for manholes &gt; "&amp;SG_Criteria!$B$42&amp;" m deep. ","")&amp;IF(AND(J37&lt;&gt;"",J37&lt;SG_Criteria!$B$40,C37&lt;&gt;"Inspection Chamber"),"NOTE: public sewer min dia "&amp;SG_Criteria!$B$40&amp;" mm. ","")&amp;IF(AND(R37&lt;&gt;"",R37&lt;SG_Criteria!$B$44),"FAIL: uplift FOS below "&amp;SG_Criteria!$B$44&amp;". ",""))=0,"OK",IF(AND(S37&lt;&gt;"",IFERROR(VALUE(MID(S37,2,2)),0)&lt;SG_Criteria!$B$19),"FAIL: grade below C"&amp;SG_Criteria!$B$19&amp;". ","")&amp;IF(AND(T37&lt;&gt;"",T37&lt;SG_Criteria!$B$20),"FAIL: cover &lt; "&amp;SG_Criteria!$B$20&amp;" mm. ","")&amp;IF(AND(H37&lt;&gt;"",H37&lt;SG_Criteria!$B$39),"NOTE: min depth below PUB "&amp;SG_Criteria!$B$39&amp;" m. ","")&amp;IF(AND(LEFT(C37,8)="Standard",I37&gt;SG_Criteria!$B$42),"FAIL: PUB 001C covers manholes up to "&amp;SG_Criteria!$B$42&amp;" m deep only. ","")&amp;IF(AND(LEFT(C37,11)="Rectangular",J37&lt;SG_Criteria!$B$43),"NOTE: 004C is for sewers &gt;= "&amp;SG_Criteria!$B$43&amp;" dia. ","")&amp;IF(AND(LEFT(C37,7)="Precast",I37&lt;=SG_Criteria!$B$42),"NOTE: 006C is for manholes &gt; "&amp;SG_Criteria!$B$42&amp;" m deep. ","")&amp;IF(AND(J37&lt;&gt;"",J37&lt;SG_Criteria!$B$40,C37&lt;&gt;"Inspection Chamber"),"NOTE: public sewer min dia "&amp;SG_Criteria!$B$40&amp;" mm. ","")&amp;IF(AND(R37&lt;&gt;"",R37&lt;SG_Criteria!$B$44),"FAIL: uplift FOS below "&amp;SG_Criteria!$B$44&amp;". ","")))</f>
        <v/>
      </c>
      <c r="AT37" s="9"/>
      <c r="AU37" s="9"/>
      <c r="AV37" s="9"/>
      <c r="AW37" s="9"/>
      <c r="AX37" s="9"/>
      <c r="AY37" s="31"/>
      <c r="AZ37" s="10" t="str">
        <f aca="false">IF(C37="","",IF(AND(AB37="Approved",ISERROR(SEARCH("FAIL",AS37))),"Y","N"))</f>
        <v/>
      </c>
      <c r="BA37" s="10" t="str">
        <f aca="false">IF(C37="","",C37&amp;"|"&amp;I37&amp;"|"&amp;F37&amp;"|"&amp;AZ37)</f>
        <v/>
      </c>
    </row>
    <row r="38" customFormat="false" ht="15" hidden="false" customHeight="false" outlineLevel="0" collapsed="false">
      <c r="A38" s="10" t="str">
        <f aca="false">IF(C38="","","MH-"&amp;IFERROR(VLOOKUP(C38,Lists!$AB$4:$AC$20,2,0),"??")&amp;"-"&amp;TEXT(F38,"0000")&amp;IF(E38="Circular","D","x"&amp;TEXT(G38,"0000"))&amp;"-D"&amp;TEXT(I38*1000,"0000")&amp;"-"&amp;IFERROR(VLOOKUP(D38,Lists!$AE$4:$AF$16,2,0),"??")&amp;"-"&amp;AA38)</f>
        <v/>
      </c>
      <c r="B38" s="10" t="str">
        <f aca="false">IF(C38="","",C38&amp;", "&amp;D38&amp;", "&amp;IF(E38="Circular",F38&amp;" dia",F38&amp;" x "&amp;G38)&amp;", depth "&amp;TEXT(H38,"0.0")&amp;"-"&amp;TEXT(I38,"0.0")&amp;" m, pipe up to "&amp;J38&amp;" dia")</f>
        <v/>
      </c>
      <c r="C38" s="9"/>
      <c r="D38" s="9"/>
      <c r="E38" s="9"/>
      <c r="F38" s="40"/>
      <c r="G38" s="40"/>
      <c r="H38" s="43"/>
      <c r="I38" s="43"/>
      <c r="J38" s="40"/>
      <c r="K38" s="40"/>
      <c r="L38" s="40"/>
      <c r="M38" s="40"/>
      <c r="N38" s="9"/>
      <c r="O38" s="9"/>
      <c r="P38" s="9"/>
      <c r="Q38" s="9"/>
      <c r="R38" s="41"/>
      <c r="S38" s="9"/>
      <c r="T38" s="40"/>
      <c r="U38" s="9"/>
      <c r="V38" s="9"/>
      <c r="W38" s="9"/>
      <c r="X38" s="9"/>
      <c r="Y38" s="9"/>
      <c r="Z38" s="9"/>
      <c r="AA38" s="9"/>
      <c r="AB38" s="9"/>
      <c r="AC38" s="9"/>
      <c r="AD38" s="9"/>
      <c r="AE38" s="9"/>
      <c r="AF38" s="10" t="str">
        <f aca="false">IF(A38="","",SG_Criteria!$B$6&amp;SG_Criteria!$B$10&amp;"\"&amp;A38&amp;"\")</f>
        <v/>
      </c>
      <c r="AG38" s="10" t="str">
        <f aca="false">IF(A38="","",A38&amp;"_CAD.dwg")</f>
        <v/>
      </c>
      <c r="AH38" s="10" t="str">
        <f aca="false">IF(A38="","",A38&amp;"_DWG.pdf")</f>
        <v/>
      </c>
      <c r="AI38" s="10" t="str">
        <f aca="false">IF(A38="","",IF(AE38="Y",A38&amp;"_STAAD.std","n/a"))</f>
        <v/>
      </c>
      <c r="AJ38" s="10" t="str">
        <f aca="false">IF(A38="","",A38&amp;"_CALC.xlsx")</f>
        <v/>
      </c>
      <c r="AK38" s="10" t="str">
        <f aca="false">IF(A38="","",A38&amp;"_CALC.pdf")</f>
        <v/>
      </c>
      <c r="AL38" s="9"/>
      <c r="AM38" s="9"/>
      <c r="AN38" s="41"/>
      <c r="AO38" s="41"/>
      <c r="AP38" s="41"/>
      <c r="AQ38" s="41"/>
      <c r="AR38" s="41"/>
      <c r="AS38" s="38" t="str">
        <f aca="false">IF(C38="","",IF(LEN(IF(AND(S38&lt;&gt;"",IFERROR(VALUE(MID(S38,2,2)),0)&lt;SG_Criteria!$B$19),"FAIL: grade below C"&amp;SG_Criteria!$B$19&amp;". ","")&amp;IF(AND(T38&lt;&gt;"",T38&lt;SG_Criteria!$B$20),"FAIL: cover &lt; "&amp;SG_Criteria!$B$20&amp;" mm. ","")&amp;IF(AND(H38&lt;&gt;"",H38&lt;SG_Criteria!$B$39),"NOTE: min depth below PUB "&amp;SG_Criteria!$B$39&amp;" m. ","")&amp;IF(AND(LEFT(C38,8)="Standard",I38&gt;SG_Criteria!$B$42),"FAIL: PUB 001C covers manholes up to "&amp;SG_Criteria!$B$42&amp;" m deep only. ","")&amp;IF(AND(LEFT(C38,11)="Rectangular",J38&lt;SG_Criteria!$B$43),"NOTE: 004C is for sewers &gt;= "&amp;SG_Criteria!$B$43&amp;" dia. ","")&amp;IF(AND(LEFT(C38,7)="Precast",I38&lt;=SG_Criteria!$B$42),"NOTE: 006C is for manholes &gt; "&amp;SG_Criteria!$B$42&amp;" m deep. ","")&amp;IF(AND(J38&lt;&gt;"",J38&lt;SG_Criteria!$B$40,C38&lt;&gt;"Inspection Chamber"),"NOTE: public sewer min dia "&amp;SG_Criteria!$B$40&amp;" mm. ","")&amp;IF(AND(R38&lt;&gt;"",R38&lt;SG_Criteria!$B$44),"FAIL: uplift FOS below "&amp;SG_Criteria!$B$44&amp;". ",""))=0,"OK",IF(AND(S38&lt;&gt;"",IFERROR(VALUE(MID(S38,2,2)),0)&lt;SG_Criteria!$B$19),"FAIL: grade below C"&amp;SG_Criteria!$B$19&amp;". ","")&amp;IF(AND(T38&lt;&gt;"",T38&lt;SG_Criteria!$B$20),"FAIL: cover &lt; "&amp;SG_Criteria!$B$20&amp;" mm. ","")&amp;IF(AND(H38&lt;&gt;"",H38&lt;SG_Criteria!$B$39),"NOTE: min depth below PUB "&amp;SG_Criteria!$B$39&amp;" m. ","")&amp;IF(AND(LEFT(C38,8)="Standard",I38&gt;SG_Criteria!$B$42),"FAIL: PUB 001C covers manholes up to "&amp;SG_Criteria!$B$42&amp;" m deep only. ","")&amp;IF(AND(LEFT(C38,11)="Rectangular",J38&lt;SG_Criteria!$B$43),"NOTE: 004C is for sewers &gt;= "&amp;SG_Criteria!$B$43&amp;" dia. ","")&amp;IF(AND(LEFT(C38,7)="Precast",I38&lt;=SG_Criteria!$B$42),"NOTE: 006C is for manholes &gt; "&amp;SG_Criteria!$B$42&amp;" m deep. ","")&amp;IF(AND(J38&lt;&gt;"",J38&lt;SG_Criteria!$B$40,C38&lt;&gt;"Inspection Chamber"),"NOTE: public sewer min dia "&amp;SG_Criteria!$B$40&amp;" mm. ","")&amp;IF(AND(R38&lt;&gt;"",R38&lt;SG_Criteria!$B$44),"FAIL: uplift FOS below "&amp;SG_Criteria!$B$44&amp;". ","")))</f>
        <v/>
      </c>
      <c r="AT38" s="9"/>
      <c r="AU38" s="9"/>
      <c r="AV38" s="9"/>
      <c r="AW38" s="9"/>
      <c r="AX38" s="9"/>
      <c r="AY38" s="31"/>
      <c r="AZ38" s="10" t="str">
        <f aca="false">IF(C38="","",IF(AND(AB38="Approved",ISERROR(SEARCH("FAIL",AS38))),"Y","N"))</f>
        <v/>
      </c>
      <c r="BA38" s="10" t="str">
        <f aca="false">IF(C38="","",C38&amp;"|"&amp;I38&amp;"|"&amp;F38&amp;"|"&amp;AZ38)</f>
        <v/>
      </c>
    </row>
    <row r="39" customFormat="false" ht="15" hidden="false" customHeight="false" outlineLevel="0" collapsed="false">
      <c r="A39" s="10" t="str">
        <f aca="false">IF(C39="","","MH-"&amp;IFERROR(VLOOKUP(C39,Lists!$AB$4:$AC$20,2,0),"??")&amp;"-"&amp;TEXT(F39,"0000")&amp;IF(E39="Circular","D","x"&amp;TEXT(G39,"0000"))&amp;"-D"&amp;TEXT(I39*1000,"0000")&amp;"-"&amp;IFERROR(VLOOKUP(D39,Lists!$AE$4:$AF$16,2,0),"??")&amp;"-"&amp;AA39)</f>
        <v/>
      </c>
      <c r="B39" s="10" t="str">
        <f aca="false">IF(C39="","",C39&amp;", "&amp;D39&amp;", "&amp;IF(E39="Circular",F39&amp;" dia",F39&amp;" x "&amp;G39)&amp;", depth "&amp;TEXT(H39,"0.0")&amp;"-"&amp;TEXT(I39,"0.0")&amp;" m, pipe up to "&amp;J39&amp;" dia")</f>
        <v/>
      </c>
      <c r="C39" s="9"/>
      <c r="D39" s="9"/>
      <c r="E39" s="9"/>
      <c r="F39" s="40"/>
      <c r="G39" s="40"/>
      <c r="H39" s="43"/>
      <c r="I39" s="43"/>
      <c r="J39" s="40"/>
      <c r="K39" s="40"/>
      <c r="L39" s="40"/>
      <c r="M39" s="40"/>
      <c r="N39" s="9"/>
      <c r="O39" s="9"/>
      <c r="P39" s="9"/>
      <c r="Q39" s="9"/>
      <c r="R39" s="41"/>
      <c r="S39" s="9"/>
      <c r="T39" s="40"/>
      <c r="U39" s="9"/>
      <c r="V39" s="9"/>
      <c r="W39" s="9"/>
      <c r="X39" s="9"/>
      <c r="Y39" s="9"/>
      <c r="Z39" s="9"/>
      <c r="AA39" s="9"/>
      <c r="AB39" s="9"/>
      <c r="AC39" s="9"/>
      <c r="AD39" s="9"/>
      <c r="AE39" s="9"/>
      <c r="AF39" s="10" t="str">
        <f aca="false">IF(A39="","",SG_Criteria!$B$6&amp;SG_Criteria!$B$10&amp;"\"&amp;A39&amp;"\")</f>
        <v/>
      </c>
      <c r="AG39" s="10" t="str">
        <f aca="false">IF(A39="","",A39&amp;"_CAD.dwg")</f>
        <v/>
      </c>
      <c r="AH39" s="10" t="str">
        <f aca="false">IF(A39="","",A39&amp;"_DWG.pdf")</f>
        <v/>
      </c>
      <c r="AI39" s="10" t="str">
        <f aca="false">IF(A39="","",IF(AE39="Y",A39&amp;"_STAAD.std","n/a"))</f>
        <v/>
      </c>
      <c r="AJ39" s="10" t="str">
        <f aca="false">IF(A39="","",A39&amp;"_CALC.xlsx")</f>
        <v/>
      </c>
      <c r="AK39" s="10" t="str">
        <f aca="false">IF(A39="","",A39&amp;"_CALC.pdf")</f>
        <v/>
      </c>
      <c r="AL39" s="9"/>
      <c r="AM39" s="9"/>
      <c r="AN39" s="41"/>
      <c r="AO39" s="41"/>
      <c r="AP39" s="41"/>
      <c r="AQ39" s="41"/>
      <c r="AR39" s="41"/>
      <c r="AS39" s="38" t="str">
        <f aca="false">IF(C39="","",IF(LEN(IF(AND(S39&lt;&gt;"",IFERROR(VALUE(MID(S39,2,2)),0)&lt;SG_Criteria!$B$19),"FAIL: grade below C"&amp;SG_Criteria!$B$19&amp;". ","")&amp;IF(AND(T39&lt;&gt;"",T39&lt;SG_Criteria!$B$20),"FAIL: cover &lt; "&amp;SG_Criteria!$B$20&amp;" mm. ","")&amp;IF(AND(H39&lt;&gt;"",H39&lt;SG_Criteria!$B$39),"NOTE: min depth below PUB "&amp;SG_Criteria!$B$39&amp;" m. ","")&amp;IF(AND(LEFT(C39,8)="Standard",I39&gt;SG_Criteria!$B$42),"FAIL: PUB 001C covers manholes up to "&amp;SG_Criteria!$B$42&amp;" m deep only. ","")&amp;IF(AND(LEFT(C39,11)="Rectangular",J39&lt;SG_Criteria!$B$43),"NOTE: 004C is for sewers &gt;= "&amp;SG_Criteria!$B$43&amp;" dia. ","")&amp;IF(AND(LEFT(C39,7)="Precast",I39&lt;=SG_Criteria!$B$42),"NOTE: 006C is for manholes &gt; "&amp;SG_Criteria!$B$42&amp;" m deep. ","")&amp;IF(AND(J39&lt;&gt;"",J39&lt;SG_Criteria!$B$40,C39&lt;&gt;"Inspection Chamber"),"NOTE: public sewer min dia "&amp;SG_Criteria!$B$40&amp;" mm. ","")&amp;IF(AND(R39&lt;&gt;"",R39&lt;SG_Criteria!$B$44),"FAIL: uplift FOS below "&amp;SG_Criteria!$B$44&amp;". ",""))=0,"OK",IF(AND(S39&lt;&gt;"",IFERROR(VALUE(MID(S39,2,2)),0)&lt;SG_Criteria!$B$19),"FAIL: grade below C"&amp;SG_Criteria!$B$19&amp;". ","")&amp;IF(AND(T39&lt;&gt;"",T39&lt;SG_Criteria!$B$20),"FAIL: cover &lt; "&amp;SG_Criteria!$B$20&amp;" mm. ","")&amp;IF(AND(H39&lt;&gt;"",H39&lt;SG_Criteria!$B$39),"NOTE: min depth below PUB "&amp;SG_Criteria!$B$39&amp;" m. ","")&amp;IF(AND(LEFT(C39,8)="Standard",I39&gt;SG_Criteria!$B$42),"FAIL: PUB 001C covers manholes up to "&amp;SG_Criteria!$B$42&amp;" m deep only. ","")&amp;IF(AND(LEFT(C39,11)="Rectangular",J39&lt;SG_Criteria!$B$43),"NOTE: 004C is for sewers &gt;= "&amp;SG_Criteria!$B$43&amp;" dia. ","")&amp;IF(AND(LEFT(C39,7)="Precast",I39&lt;=SG_Criteria!$B$42),"NOTE: 006C is for manholes &gt; "&amp;SG_Criteria!$B$42&amp;" m deep. ","")&amp;IF(AND(J39&lt;&gt;"",J39&lt;SG_Criteria!$B$40,C39&lt;&gt;"Inspection Chamber"),"NOTE: public sewer min dia "&amp;SG_Criteria!$B$40&amp;" mm. ","")&amp;IF(AND(R39&lt;&gt;"",R39&lt;SG_Criteria!$B$44),"FAIL: uplift FOS below "&amp;SG_Criteria!$B$44&amp;". ","")))</f>
        <v/>
      </c>
      <c r="AT39" s="9"/>
      <c r="AU39" s="9"/>
      <c r="AV39" s="9"/>
      <c r="AW39" s="9"/>
      <c r="AX39" s="9"/>
      <c r="AY39" s="31"/>
      <c r="AZ39" s="10" t="str">
        <f aca="false">IF(C39="","",IF(AND(AB39="Approved",ISERROR(SEARCH("FAIL",AS39))),"Y","N"))</f>
        <v/>
      </c>
      <c r="BA39" s="10" t="str">
        <f aca="false">IF(C39="","",C39&amp;"|"&amp;I39&amp;"|"&amp;F39&amp;"|"&amp;AZ39)</f>
        <v/>
      </c>
    </row>
    <row r="40" customFormat="false" ht="15" hidden="false" customHeight="false" outlineLevel="0" collapsed="false">
      <c r="A40" s="10" t="str">
        <f aca="false">IF(C40="","","MH-"&amp;IFERROR(VLOOKUP(C40,Lists!$AB$4:$AC$20,2,0),"??")&amp;"-"&amp;TEXT(F40,"0000")&amp;IF(E40="Circular","D","x"&amp;TEXT(G40,"0000"))&amp;"-D"&amp;TEXT(I40*1000,"0000")&amp;"-"&amp;IFERROR(VLOOKUP(D40,Lists!$AE$4:$AF$16,2,0),"??")&amp;"-"&amp;AA40)</f>
        <v/>
      </c>
      <c r="B40" s="10" t="str">
        <f aca="false">IF(C40="","",C40&amp;", "&amp;D40&amp;", "&amp;IF(E40="Circular",F40&amp;" dia",F40&amp;" x "&amp;G40)&amp;", depth "&amp;TEXT(H40,"0.0")&amp;"-"&amp;TEXT(I40,"0.0")&amp;" m, pipe up to "&amp;J40&amp;" dia")</f>
        <v/>
      </c>
      <c r="C40" s="9"/>
      <c r="D40" s="9"/>
      <c r="E40" s="9"/>
      <c r="F40" s="40"/>
      <c r="G40" s="40"/>
      <c r="H40" s="43"/>
      <c r="I40" s="43"/>
      <c r="J40" s="40"/>
      <c r="K40" s="40"/>
      <c r="L40" s="40"/>
      <c r="M40" s="40"/>
      <c r="N40" s="9"/>
      <c r="O40" s="9"/>
      <c r="P40" s="9"/>
      <c r="Q40" s="9"/>
      <c r="R40" s="41"/>
      <c r="S40" s="9"/>
      <c r="T40" s="40"/>
      <c r="U40" s="9"/>
      <c r="V40" s="9"/>
      <c r="W40" s="9"/>
      <c r="X40" s="9"/>
      <c r="Y40" s="9"/>
      <c r="Z40" s="9"/>
      <c r="AA40" s="9"/>
      <c r="AB40" s="9"/>
      <c r="AC40" s="9"/>
      <c r="AD40" s="9"/>
      <c r="AE40" s="9"/>
      <c r="AF40" s="10" t="str">
        <f aca="false">IF(A40="","",SG_Criteria!$B$6&amp;SG_Criteria!$B$10&amp;"\"&amp;A40&amp;"\")</f>
        <v/>
      </c>
      <c r="AG40" s="10" t="str">
        <f aca="false">IF(A40="","",A40&amp;"_CAD.dwg")</f>
        <v/>
      </c>
      <c r="AH40" s="10" t="str">
        <f aca="false">IF(A40="","",A40&amp;"_DWG.pdf")</f>
        <v/>
      </c>
      <c r="AI40" s="10" t="str">
        <f aca="false">IF(A40="","",IF(AE40="Y",A40&amp;"_STAAD.std","n/a"))</f>
        <v/>
      </c>
      <c r="AJ40" s="10" t="str">
        <f aca="false">IF(A40="","",A40&amp;"_CALC.xlsx")</f>
        <v/>
      </c>
      <c r="AK40" s="10" t="str">
        <f aca="false">IF(A40="","",A40&amp;"_CALC.pdf")</f>
        <v/>
      </c>
      <c r="AL40" s="9"/>
      <c r="AM40" s="9"/>
      <c r="AN40" s="41"/>
      <c r="AO40" s="41"/>
      <c r="AP40" s="41"/>
      <c r="AQ40" s="41"/>
      <c r="AR40" s="41"/>
      <c r="AS40" s="38" t="str">
        <f aca="false">IF(C40="","",IF(LEN(IF(AND(S40&lt;&gt;"",IFERROR(VALUE(MID(S40,2,2)),0)&lt;SG_Criteria!$B$19),"FAIL: grade below C"&amp;SG_Criteria!$B$19&amp;". ","")&amp;IF(AND(T40&lt;&gt;"",T40&lt;SG_Criteria!$B$20),"FAIL: cover &lt; "&amp;SG_Criteria!$B$20&amp;" mm. ","")&amp;IF(AND(H40&lt;&gt;"",H40&lt;SG_Criteria!$B$39),"NOTE: min depth below PUB "&amp;SG_Criteria!$B$39&amp;" m. ","")&amp;IF(AND(LEFT(C40,8)="Standard",I40&gt;SG_Criteria!$B$42),"FAIL: PUB 001C covers manholes up to "&amp;SG_Criteria!$B$42&amp;" m deep only. ","")&amp;IF(AND(LEFT(C40,11)="Rectangular",J40&lt;SG_Criteria!$B$43),"NOTE: 004C is for sewers &gt;= "&amp;SG_Criteria!$B$43&amp;" dia. ","")&amp;IF(AND(LEFT(C40,7)="Precast",I40&lt;=SG_Criteria!$B$42),"NOTE: 006C is for manholes &gt; "&amp;SG_Criteria!$B$42&amp;" m deep. ","")&amp;IF(AND(J40&lt;&gt;"",J40&lt;SG_Criteria!$B$40,C40&lt;&gt;"Inspection Chamber"),"NOTE: public sewer min dia "&amp;SG_Criteria!$B$40&amp;" mm. ","")&amp;IF(AND(R40&lt;&gt;"",R40&lt;SG_Criteria!$B$44),"FAIL: uplift FOS below "&amp;SG_Criteria!$B$44&amp;". ",""))=0,"OK",IF(AND(S40&lt;&gt;"",IFERROR(VALUE(MID(S40,2,2)),0)&lt;SG_Criteria!$B$19),"FAIL: grade below C"&amp;SG_Criteria!$B$19&amp;". ","")&amp;IF(AND(T40&lt;&gt;"",T40&lt;SG_Criteria!$B$20),"FAIL: cover &lt; "&amp;SG_Criteria!$B$20&amp;" mm. ","")&amp;IF(AND(H40&lt;&gt;"",H40&lt;SG_Criteria!$B$39),"NOTE: min depth below PUB "&amp;SG_Criteria!$B$39&amp;" m. ","")&amp;IF(AND(LEFT(C40,8)="Standard",I40&gt;SG_Criteria!$B$42),"FAIL: PUB 001C covers manholes up to "&amp;SG_Criteria!$B$42&amp;" m deep only. ","")&amp;IF(AND(LEFT(C40,11)="Rectangular",J40&lt;SG_Criteria!$B$43),"NOTE: 004C is for sewers &gt;= "&amp;SG_Criteria!$B$43&amp;" dia. ","")&amp;IF(AND(LEFT(C40,7)="Precast",I40&lt;=SG_Criteria!$B$42),"NOTE: 006C is for manholes &gt; "&amp;SG_Criteria!$B$42&amp;" m deep. ","")&amp;IF(AND(J40&lt;&gt;"",J40&lt;SG_Criteria!$B$40,C40&lt;&gt;"Inspection Chamber"),"NOTE: public sewer min dia "&amp;SG_Criteria!$B$40&amp;" mm. ","")&amp;IF(AND(R40&lt;&gt;"",R40&lt;SG_Criteria!$B$44),"FAIL: uplift FOS below "&amp;SG_Criteria!$B$44&amp;". ","")))</f>
        <v/>
      </c>
      <c r="AT40" s="9"/>
      <c r="AU40" s="9"/>
      <c r="AV40" s="9"/>
      <c r="AW40" s="9"/>
      <c r="AX40" s="9"/>
      <c r="AY40" s="31"/>
      <c r="AZ40" s="10" t="str">
        <f aca="false">IF(C40="","",IF(AND(AB40="Approved",ISERROR(SEARCH("FAIL",AS40))),"Y","N"))</f>
        <v/>
      </c>
      <c r="BA40" s="10" t="str">
        <f aca="false">IF(C40="","",C40&amp;"|"&amp;I40&amp;"|"&amp;F40&amp;"|"&amp;AZ40)</f>
        <v/>
      </c>
    </row>
    <row r="41" customFormat="false" ht="15" hidden="false" customHeight="false" outlineLevel="0" collapsed="false">
      <c r="A41" s="10" t="str">
        <f aca="false">IF(C41="","","MH-"&amp;IFERROR(VLOOKUP(C41,Lists!$AB$4:$AC$20,2,0),"??")&amp;"-"&amp;TEXT(F41,"0000")&amp;IF(E41="Circular","D","x"&amp;TEXT(G41,"0000"))&amp;"-D"&amp;TEXT(I41*1000,"0000")&amp;"-"&amp;IFERROR(VLOOKUP(D41,Lists!$AE$4:$AF$16,2,0),"??")&amp;"-"&amp;AA41)</f>
        <v/>
      </c>
      <c r="B41" s="10" t="str">
        <f aca="false">IF(C41="","",C41&amp;", "&amp;D41&amp;", "&amp;IF(E41="Circular",F41&amp;" dia",F41&amp;" x "&amp;G41)&amp;", depth "&amp;TEXT(H41,"0.0")&amp;"-"&amp;TEXT(I41,"0.0")&amp;" m, pipe up to "&amp;J41&amp;" dia")</f>
        <v/>
      </c>
      <c r="C41" s="9"/>
      <c r="D41" s="9"/>
      <c r="E41" s="9"/>
      <c r="F41" s="40"/>
      <c r="G41" s="40"/>
      <c r="H41" s="43"/>
      <c r="I41" s="43"/>
      <c r="J41" s="40"/>
      <c r="K41" s="40"/>
      <c r="L41" s="40"/>
      <c r="M41" s="40"/>
      <c r="N41" s="9"/>
      <c r="O41" s="9"/>
      <c r="P41" s="9"/>
      <c r="Q41" s="9"/>
      <c r="R41" s="41"/>
      <c r="S41" s="9"/>
      <c r="T41" s="40"/>
      <c r="U41" s="9"/>
      <c r="V41" s="9"/>
      <c r="W41" s="9"/>
      <c r="X41" s="9"/>
      <c r="Y41" s="9"/>
      <c r="Z41" s="9"/>
      <c r="AA41" s="9"/>
      <c r="AB41" s="9"/>
      <c r="AC41" s="9"/>
      <c r="AD41" s="9"/>
      <c r="AE41" s="9"/>
      <c r="AF41" s="10" t="str">
        <f aca="false">IF(A41="","",SG_Criteria!$B$6&amp;SG_Criteria!$B$10&amp;"\"&amp;A41&amp;"\")</f>
        <v/>
      </c>
      <c r="AG41" s="10" t="str">
        <f aca="false">IF(A41="","",A41&amp;"_CAD.dwg")</f>
        <v/>
      </c>
      <c r="AH41" s="10" t="str">
        <f aca="false">IF(A41="","",A41&amp;"_DWG.pdf")</f>
        <v/>
      </c>
      <c r="AI41" s="10" t="str">
        <f aca="false">IF(A41="","",IF(AE41="Y",A41&amp;"_STAAD.std","n/a"))</f>
        <v/>
      </c>
      <c r="AJ41" s="10" t="str">
        <f aca="false">IF(A41="","",A41&amp;"_CALC.xlsx")</f>
        <v/>
      </c>
      <c r="AK41" s="10" t="str">
        <f aca="false">IF(A41="","",A41&amp;"_CALC.pdf")</f>
        <v/>
      </c>
      <c r="AL41" s="9"/>
      <c r="AM41" s="9"/>
      <c r="AN41" s="41"/>
      <c r="AO41" s="41"/>
      <c r="AP41" s="41"/>
      <c r="AQ41" s="41"/>
      <c r="AR41" s="41"/>
      <c r="AS41" s="38" t="str">
        <f aca="false">IF(C41="","",IF(LEN(IF(AND(S41&lt;&gt;"",IFERROR(VALUE(MID(S41,2,2)),0)&lt;SG_Criteria!$B$19),"FAIL: grade below C"&amp;SG_Criteria!$B$19&amp;". ","")&amp;IF(AND(T41&lt;&gt;"",T41&lt;SG_Criteria!$B$20),"FAIL: cover &lt; "&amp;SG_Criteria!$B$20&amp;" mm. ","")&amp;IF(AND(H41&lt;&gt;"",H41&lt;SG_Criteria!$B$39),"NOTE: min depth below PUB "&amp;SG_Criteria!$B$39&amp;" m. ","")&amp;IF(AND(LEFT(C41,8)="Standard",I41&gt;SG_Criteria!$B$42),"FAIL: PUB 001C covers manholes up to "&amp;SG_Criteria!$B$42&amp;" m deep only. ","")&amp;IF(AND(LEFT(C41,11)="Rectangular",J41&lt;SG_Criteria!$B$43),"NOTE: 004C is for sewers &gt;= "&amp;SG_Criteria!$B$43&amp;" dia. ","")&amp;IF(AND(LEFT(C41,7)="Precast",I41&lt;=SG_Criteria!$B$42),"NOTE: 006C is for manholes &gt; "&amp;SG_Criteria!$B$42&amp;" m deep. ","")&amp;IF(AND(J41&lt;&gt;"",J41&lt;SG_Criteria!$B$40,C41&lt;&gt;"Inspection Chamber"),"NOTE: public sewer min dia "&amp;SG_Criteria!$B$40&amp;" mm. ","")&amp;IF(AND(R41&lt;&gt;"",R41&lt;SG_Criteria!$B$44),"FAIL: uplift FOS below "&amp;SG_Criteria!$B$44&amp;". ",""))=0,"OK",IF(AND(S41&lt;&gt;"",IFERROR(VALUE(MID(S41,2,2)),0)&lt;SG_Criteria!$B$19),"FAIL: grade below C"&amp;SG_Criteria!$B$19&amp;". ","")&amp;IF(AND(T41&lt;&gt;"",T41&lt;SG_Criteria!$B$20),"FAIL: cover &lt; "&amp;SG_Criteria!$B$20&amp;" mm. ","")&amp;IF(AND(H41&lt;&gt;"",H41&lt;SG_Criteria!$B$39),"NOTE: min depth below PUB "&amp;SG_Criteria!$B$39&amp;" m. ","")&amp;IF(AND(LEFT(C41,8)="Standard",I41&gt;SG_Criteria!$B$42),"FAIL: PUB 001C covers manholes up to "&amp;SG_Criteria!$B$42&amp;" m deep only. ","")&amp;IF(AND(LEFT(C41,11)="Rectangular",J41&lt;SG_Criteria!$B$43),"NOTE: 004C is for sewers &gt;= "&amp;SG_Criteria!$B$43&amp;" dia. ","")&amp;IF(AND(LEFT(C41,7)="Precast",I41&lt;=SG_Criteria!$B$42),"NOTE: 006C is for manholes &gt; "&amp;SG_Criteria!$B$42&amp;" m deep. ","")&amp;IF(AND(J41&lt;&gt;"",J41&lt;SG_Criteria!$B$40,C41&lt;&gt;"Inspection Chamber"),"NOTE: public sewer min dia "&amp;SG_Criteria!$B$40&amp;" mm. ","")&amp;IF(AND(R41&lt;&gt;"",R41&lt;SG_Criteria!$B$44),"FAIL: uplift FOS below "&amp;SG_Criteria!$B$44&amp;". ","")))</f>
        <v/>
      </c>
      <c r="AT41" s="9"/>
      <c r="AU41" s="9"/>
      <c r="AV41" s="9"/>
      <c r="AW41" s="9"/>
      <c r="AX41" s="9"/>
      <c r="AY41" s="31"/>
      <c r="AZ41" s="10" t="str">
        <f aca="false">IF(C41="","",IF(AND(AB41="Approved",ISERROR(SEARCH("FAIL",AS41))),"Y","N"))</f>
        <v/>
      </c>
      <c r="BA41" s="10" t="str">
        <f aca="false">IF(C41="","",C41&amp;"|"&amp;I41&amp;"|"&amp;F41&amp;"|"&amp;AZ41)</f>
        <v/>
      </c>
    </row>
    <row r="42" customFormat="false" ht="15" hidden="false" customHeight="false" outlineLevel="0" collapsed="false">
      <c r="A42" s="10" t="str">
        <f aca="false">IF(C42="","","MH-"&amp;IFERROR(VLOOKUP(C42,Lists!$AB$4:$AC$20,2,0),"??")&amp;"-"&amp;TEXT(F42,"0000")&amp;IF(E42="Circular","D","x"&amp;TEXT(G42,"0000"))&amp;"-D"&amp;TEXT(I42*1000,"0000")&amp;"-"&amp;IFERROR(VLOOKUP(D42,Lists!$AE$4:$AF$16,2,0),"??")&amp;"-"&amp;AA42)</f>
        <v/>
      </c>
      <c r="B42" s="10" t="str">
        <f aca="false">IF(C42="","",C42&amp;", "&amp;D42&amp;", "&amp;IF(E42="Circular",F42&amp;" dia",F42&amp;" x "&amp;G42)&amp;", depth "&amp;TEXT(H42,"0.0")&amp;"-"&amp;TEXT(I42,"0.0")&amp;" m, pipe up to "&amp;J42&amp;" dia")</f>
        <v/>
      </c>
      <c r="C42" s="9"/>
      <c r="D42" s="9"/>
      <c r="E42" s="9"/>
      <c r="F42" s="40"/>
      <c r="G42" s="40"/>
      <c r="H42" s="43"/>
      <c r="I42" s="43"/>
      <c r="J42" s="40"/>
      <c r="K42" s="40"/>
      <c r="L42" s="40"/>
      <c r="M42" s="40"/>
      <c r="N42" s="9"/>
      <c r="O42" s="9"/>
      <c r="P42" s="9"/>
      <c r="Q42" s="9"/>
      <c r="R42" s="41"/>
      <c r="S42" s="9"/>
      <c r="T42" s="40"/>
      <c r="U42" s="9"/>
      <c r="V42" s="9"/>
      <c r="W42" s="9"/>
      <c r="X42" s="9"/>
      <c r="Y42" s="9"/>
      <c r="Z42" s="9"/>
      <c r="AA42" s="9"/>
      <c r="AB42" s="9"/>
      <c r="AC42" s="9"/>
      <c r="AD42" s="9"/>
      <c r="AE42" s="9"/>
      <c r="AF42" s="10" t="str">
        <f aca="false">IF(A42="","",SG_Criteria!$B$6&amp;SG_Criteria!$B$10&amp;"\"&amp;A42&amp;"\")</f>
        <v/>
      </c>
      <c r="AG42" s="10" t="str">
        <f aca="false">IF(A42="","",A42&amp;"_CAD.dwg")</f>
        <v/>
      </c>
      <c r="AH42" s="10" t="str">
        <f aca="false">IF(A42="","",A42&amp;"_DWG.pdf")</f>
        <v/>
      </c>
      <c r="AI42" s="10" t="str">
        <f aca="false">IF(A42="","",IF(AE42="Y",A42&amp;"_STAAD.std","n/a"))</f>
        <v/>
      </c>
      <c r="AJ42" s="10" t="str">
        <f aca="false">IF(A42="","",A42&amp;"_CALC.xlsx")</f>
        <v/>
      </c>
      <c r="AK42" s="10" t="str">
        <f aca="false">IF(A42="","",A42&amp;"_CALC.pdf")</f>
        <v/>
      </c>
      <c r="AL42" s="9"/>
      <c r="AM42" s="9"/>
      <c r="AN42" s="41"/>
      <c r="AO42" s="41"/>
      <c r="AP42" s="41"/>
      <c r="AQ42" s="41"/>
      <c r="AR42" s="41"/>
      <c r="AS42" s="38" t="str">
        <f aca="false">IF(C42="","",IF(LEN(IF(AND(S42&lt;&gt;"",IFERROR(VALUE(MID(S42,2,2)),0)&lt;SG_Criteria!$B$19),"FAIL: grade below C"&amp;SG_Criteria!$B$19&amp;". ","")&amp;IF(AND(T42&lt;&gt;"",T42&lt;SG_Criteria!$B$20),"FAIL: cover &lt; "&amp;SG_Criteria!$B$20&amp;" mm. ","")&amp;IF(AND(H42&lt;&gt;"",H42&lt;SG_Criteria!$B$39),"NOTE: min depth below PUB "&amp;SG_Criteria!$B$39&amp;" m. ","")&amp;IF(AND(LEFT(C42,8)="Standard",I42&gt;SG_Criteria!$B$42),"FAIL: PUB 001C covers manholes up to "&amp;SG_Criteria!$B$42&amp;" m deep only. ","")&amp;IF(AND(LEFT(C42,11)="Rectangular",J42&lt;SG_Criteria!$B$43),"NOTE: 004C is for sewers &gt;= "&amp;SG_Criteria!$B$43&amp;" dia. ","")&amp;IF(AND(LEFT(C42,7)="Precast",I42&lt;=SG_Criteria!$B$42),"NOTE: 006C is for manholes &gt; "&amp;SG_Criteria!$B$42&amp;" m deep. ","")&amp;IF(AND(J42&lt;&gt;"",J42&lt;SG_Criteria!$B$40,C42&lt;&gt;"Inspection Chamber"),"NOTE: public sewer min dia "&amp;SG_Criteria!$B$40&amp;" mm. ","")&amp;IF(AND(R42&lt;&gt;"",R42&lt;SG_Criteria!$B$44),"FAIL: uplift FOS below "&amp;SG_Criteria!$B$44&amp;". ",""))=0,"OK",IF(AND(S42&lt;&gt;"",IFERROR(VALUE(MID(S42,2,2)),0)&lt;SG_Criteria!$B$19),"FAIL: grade below C"&amp;SG_Criteria!$B$19&amp;". ","")&amp;IF(AND(T42&lt;&gt;"",T42&lt;SG_Criteria!$B$20),"FAIL: cover &lt; "&amp;SG_Criteria!$B$20&amp;" mm. ","")&amp;IF(AND(H42&lt;&gt;"",H42&lt;SG_Criteria!$B$39),"NOTE: min depth below PUB "&amp;SG_Criteria!$B$39&amp;" m. ","")&amp;IF(AND(LEFT(C42,8)="Standard",I42&gt;SG_Criteria!$B$42),"FAIL: PUB 001C covers manholes up to "&amp;SG_Criteria!$B$42&amp;" m deep only. ","")&amp;IF(AND(LEFT(C42,11)="Rectangular",J42&lt;SG_Criteria!$B$43),"NOTE: 004C is for sewers &gt;= "&amp;SG_Criteria!$B$43&amp;" dia. ","")&amp;IF(AND(LEFT(C42,7)="Precast",I42&lt;=SG_Criteria!$B$42),"NOTE: 006C is for manholes &gt; "&amp;SG_Criteria!$B$42&amp;" m deep. ","")&amp;IF(AND(J42&lt;&gt;"",J42&lt;SG_Criteria!$B$40,C42&lt;&gt;"Inspection Chamber"),"NOTE: public sewer min dia "&amp;SG_Criteria!$B$40&amp;" mm. ","")&amp;IF(AND(R42&lt;&gt;"",R42&lt;SG_Criteria!$B$44),"FAIL: uplift FOS below "&amp;SG_Criteria!$B$44&amp;". ","")))</f>
        <v/>
      </c>
      <c r="AT42" s="9"/>
      <c r="AU42" s="9"/>
      <c r="AV42" s="9"/>
      <c r="AW42" s="9"/>
      <c r="AX42" s="9"/>
      <c r="AY42" s="31"/>
      <c r="AZ42" s="10" t="str">
        <f aca="false">IF(C42="","",IF(AND(AB42="Approved",ISERROR(SEARCH("FAIL",AS42))),"Y","N"))</f>
        <v/>
      </c>
      <c r="BA42" s="10" t="str">
        <f aca="false">IF(C42="","",C42&amp;"|"&amp;I42&amp;"|"&amp;F42&amp;"|"&amp;AZ42)</f>
        <v/>
      </c>
    </row>
    <row r="43" customFormat="false" ht="15" hidden="false" customHeight="false" outlineLevel="0" collapsed="false">
      <c r="A43" s="10" t="str">
        <f aca="false">IF(C43="","","MH-"&amp;IFERROR(VLOOKUP(C43,Lists!$AB$4:$AC$20,2,0),"??")&amp;"-"&amp;TEXT(F43,"0000")&amp;IF(E43="Circular","D","x"&amp;TEXT(G43,"0000"))&amp;"-D"&amp;TEXT(I43*1000,"0000")&amp;"-"&amp;IFERROR(VLOOKUP(D43,Lists!$AE$4:$AF$16,2,0),"??")&amp;"-"&amp;AA43)</f>
        <v/>
      </c>
      <c r="B43" s="10" t="str">
        <f aca="false">IF(C43="","",C43&amp;", "&amp;D43&amp;", "&amp;IF(E43="Circular",F43&amp;" dia",F43&amp;" x "&amp;G43)&amp;", depth "&amp;TEXT(H43,"0.0")&amp;"-"&amp;TEXT(I43,"0.0")&amp;" m, pipe up to "&amp;J43&amp;" dia")</f>
        <v/>
      </c>
      <c r="C43" s="9"/>
      <c r="D43" s="9"/>
      <c r="E43" s="9"/>
      <c r="F43" s="40"/>
      <c r="G43" s="40"/>
      <c r="H43" s="43"/>
      <c r="I43" s="43"/>
      <c r="J43" s="40"/>
      <c r="K43" s="40"/>
      <c r="L43" s="40"/>
      <c r="M43" s="40"/>
      <c r="N43" s="9"/>
      <c r="O43" s="9"/>
      <c r="P43" s="9"/>
      <c r="Q43" s="9"/>
      <c r="R43" s="41"/>
      <c r="S43" s="9"/>
      <c r="T43" s="40"/>
      <c r="U43" s="9"/>
      <c r="V43" s="9"/>
      <c r="W43" s="9"/>
      <c r="X43" s="9"/>
      <c r="Y43" s="9"/>
      <c r="Z43" s="9"/>
      <c r="AA43" s="9"/>
      <c r="AB43" s="9"/>
      <c r="AC43" s="9"/>
      <c r="AD43" s="9"/>
      <c r="AE43" s="9"/>
      <c r="AF43" s="10" t="str">
        <f aca="false">IF(A43="","",SG_Criteria!$B$6&amp;SG_Criteria!$B$10&amp;"\"&amp;A43&amp;"\")</f>
        <v/>
      </c>
      <c r="AG43" s="10" t="str">
        <f aca="false">IF(A43="","",A43&amp;"_CAD.dwg")</f>
        <v/>
      </c>
      <c r="AH43" s="10" t="str">
        <f aca="false">IF(A43="","",A43&amp;"_DWG.pdf")</f>
        <v/>
      </c>
      <c r="AI43" s="10" t="str">
        <f aca="false">IF(A43="","",IF(AE43="Y",A43&amp;"_STAAD.std","n/a"))</f>
        <v/>
      </c>
      <c r="AJ43" s="10" t="str">
        <f aca="false">IF(A43="","",A43&amp;"_CALC.xlsx")</f>
        <v/>
      </c>
      <c r="AK43" s="10" t="str">
        <f aca="false">IF(A43="","",A43&amp;"_CALC.pdf")</f>
        <v/>
      </c>
      <c r="AL43" s="9"/>
      <c r="AM43" s="9"/>
      <c r="AN43" s="41"/>
      <c r="AO43" s="41"/>
      <c r="AP43" s="41"/>
      <c r="AQ43" s="41"/>
      <c r="AR43" s="41"/>
      <c r="AS43" s="38" t="str">
        <f aca="false">IF(C43="","",IF(LEN(IF(AND(S43&lt;&gt;"",IFERROR(VALUE(MID(S43,2,2)),0)&lt;SG_Criteria!$B$19),"FAIL: grade below C"&amp;SG_Criteria!$B$19&amp;". ","")&amp;IF(AND(T43&lt;&gt;"",T43&lt;SG_Criteria!$B$20),"FAIL: cover &lt; "&amp;SG_Criteria!$B$20&amp;" mm. ","")&amp;IF(AND(H43&lt;&gt;"",H43&lt;SG_Criteria!$B$39),"NOTE: min depth below PUB "&amp;SG_Criteria!$B$39&amp;" m. ","")&amp;IF(AND(LEFT(C43,8)="Standard",I43&gt;SG_Criteria!$B$42),"FAIL: PUB 001C covers manholes up to "&amp;SG_Criteria!$B$42&amp;" m deep only. ","")&amp;IF(AND(LEFT(C43,11)="Rectangular",J43&lt;SG_Criteria!$B$43),"NOTE: 004C is for sewers &gt;= "&amp;SG_Criteria!$B$43&amp;" dia. ","")&amp;IF(AND(LEFT(C43,7)="Precast",I43&lt;=SG_Criteria!$B$42),"NOTE: 006C is for manholes &gt; "&amp;SG_Criteria!$B$42&amp;" m deep. ","")&amp;IF(AND(J43&lt;&gt;"",J43&lt;SG_Criteria!$B$40,C43&lt;&gt;"Inspection Chamber"),"NOTE: public sewer min dia "&amp;SG_Criteria!$B$40&amp;" mm. ","")&amp;IF(AND(R43&lt;&gt;"",R43&lt;SG_Criteria!$B$44),"FAIL: uplift FOS below "&amp;SG_Criteria!$B$44&amp;". ",""))=0,"OK",IF(AND(S43&lt;&gt;"",IFERROR(VALUE(MID(S43,2,2)),0)&lt;SG_Criteria!$B$19),"FAIL: grade below C"&amp;SG_Criteria!$B$19&amp;". ","")&amp;IF(AND(T43&lt;&gt;"",T43&lt;SG_Criteria!$B$20),"FAIL: cover &lt; "&amp;SG_Criteria!$B$20&amp;" mm. ","")&amp;IF(AND(H43&lt;&gt;"",H43&lt;SG_Criteria!$B$39),"NOTE: min depth below PUB "&amp;SG_Criteria!$B$39&amp;" m. ","")&amp;IF(AND(LEFT(C43,8)="Standard",I43&gt;SG_Criteria!$B$42),"FAIL: PUB 001C covers manholes up to "&amp;SG_Criteria!$B$42&amp;" m deep only. ","")&amp;IF(AND(LEFT(C43,11)="Rectangular",J43&lt;SG_Criteria!$B$43),"NOTE: 004C is for sewers &gt;= "&amp;SG_Criteria!$B$43&amp;" dia. ","")&amp;IF(AND(LEFT(C43,7)="Precast",I43&lt;=SG_Criteria!$B$42),"NOTE: 006C is for manholes &gt; "&amp;SG_Criteria!$B$42&amp;" m deep. ","")&amp;IF(AND(J43&lt;&gt;"",J43&lt;SG_Criteria!$B$40,C43&lt;&gt;"Inspection Chamber"),"NOTE: public sewer min dia "&amp;SG_Criteria!$B$40&amp;" mm. ","")&amp;IF(AND(R43&lt;&gt;"",R43&lt;SG_Criteria!$B$44),"FAIL: uplift FOS below "&amp;SG_Criteria!$B$44&amp;". ","")))</f>
        <v/>
      </c>
      <c r="AT43" s="9"/>
      <c r="AU43" s="9"/>
      <c r="AV43" s="9"/>
      <c r="AW43" s="9"/>
      <c r="AX43" s="9"/>
      <c r="AY43" s="31"/>
      <c r="AZ43" s="10" t="str">
        <f aca="false">IF(C43="","",IF(AND(AB43="Approved",ISERROR(SEARCH("FAIL",AS43))),"Y","N"))</f>
        <v/>
      </c>
      <c r="BA43" s="10" t="str">
        <f aca="false">IF(C43="","",C43&amp;"|"&amp;I43&amp;"|"&amp;F43&amp;"|"&amp;AZ43)</f>
        <v/>
      </c>
    </row>
    <row r="44" customFormat="false" ht="15" hidden="false" customHeight="false" outlineLevel="0" collapsed="false">
      <c r="A44" s="10" t="str">
        <f aca="false">IF(C44="","","MH-"&amp;IFERROR(VLOOKUP(C44,Lists!$AB$4:$AC$20,2,0),"??")&amp;"-"&amp;TEXT(F44,"0000")&amp;IF(E44="Circular","D","x"&amp;TEXT(G44,"0000"))&amp;"-D"&amp;TEXT(I44*1000,"0000")&amp;"-"&amp;IFERROR(VLOOKUP(D44,Lists!$AE$4:$AF$16,2,0),"??")&amp;"-"&amp;AA44)</f>
        <v/>
      </c>
      <c r="B44" s="10" t="str">
        <f aca="false">IF(C44="","",C44&amp;", "&amp;D44&amp;", "&amp;IF(E44="Circular",F44&amp;" dia",F44&amp;" x "&amp;G44)&amp;", depth "&amp;TEXT(H44,"0.0")&amp;"-"&amp;TEXT(I44,"0.0")&amp;" m, pipe up to "&amp;J44&amp;" dia")</f>
        <v/>
      </c>
      <c r="C44" s="9"/>
      <c r="D44" s="9"/>
      <c r="E44" s="9"/>
      <c r="F44" s="40"/>
      <c r="G44" s="40"/>
      <c r="H44" s="43"/>
      <c r="I44" s="43"/>
      <c r="J44" s="40"/>
      <c r="K44" s="40"/>
      <c r="L44" s="40"/>
      <c r="M44" s="40"/>
      <c r="N44" s="9"/>
      <c r="O44" s="9"/>
      <c r="P44" s="9"/>
      <c r="Q44" s="9"/>
      <c r="R44" s="41"/>
      <c r="S44" s="9"/>
      <c r="T44" s="40"/>
      <c r="U44" s="9"/>
      <c r="V44" s="9"/>
      <c r="W44" s="9"/>
      <c r="X44" s="9"/>
      <c r="Y44" s="9"/>
      <c r="Z44" s="9"/>
      <c r="AA44" s="9"/>
      <c r="AB44" s="9"/>
      <c r="AC44" s="9"/>
      <c r="AD44" s="9"/>
      <c r="AE44" s="9"/>
      <c r="AF44" s="10" t="str">
        <f aca="false">IF(A44="","",SG_Criteria!$B$6&amp;SG_Criteria!$B$10&amp;"\"&amp;A44&amp;"\")</f>
        <v/>
      </c>
      <c r="AG44" s="10" t="str">
        <f aca="false">IF(A44="","",A44&amp;"_CAD.dwg")</f>
        <v/>
      </c>
      <c r="AH44" s="10" t="str">
        <f aca="false">IF(A44="","",A44&amp;"_DWG.pdf")</f>
        <v/>
      </c>
      <c r="AI44" s="10" t="str">
        <f aca="false">IF(A44="","",IF(AE44="Y",A44&amp;"_STAAD.std","n/a"))</f>
        <v/>
      </c>
      <c r="AJ44" s="10" t="str">
        <f aca="false">IF(A44="","",A44&amp;"_CALC.xlsx")</f>
        <v/>
      </c>
      <c r="AK44" s="10" t="str">
        <f aca="false">IF(A44="","",A44&amp;"_CALC.pdf")</f>
        <v/>
      </c>
      <c r="AL44" s="9"/>
      <c r="AM44" s="9"/>
      <c r="AN44" s="41"/>
      <c r="AO44" s="41"/>
      <c r="AP44" s="41"/>
      <c r="AQ44" s="41"/>
      <c r="AR44" s="41"/>
      <c r="AS44" s="38" t="str">
        <f aca="false">IF(C44="","",IF(LEN(IF(AND(S44&lt;&gt;"",IFERROR(VALUE(MID(S44,2,2)),0)&lt;SG_Criteria!$B$19),"FAIL: grade below C"&amp;SG_Criteria!$B$19&amp;". ","")&amp;IF(AND(T44&lt;&gt;"",T44&lt;SG_Criteria!$B$20),"FAIL: cover &lt; "&amp;SG_Criteria!$B$20&amp;" mm. ","")&amp;IF(AND(H44&lt;&gt;"",H44&lt;SG_Criteria!$B$39),"NOTE: min depth below PUB "&amp;SG_Criteria!$B$39&amp;" m. ","")&amp;IF(AND(LEFT(C44,8)="Standard",I44&gt;SG_Criteria!$B$42),"FAIL: PUB 001C covers manholes up to "&amp;SG_Criteria!$B$42&amp;" m deep only. ","")&amp;IF(AND(LEFT(C44,11)="Rectangular",J44&lt;SG_Criteria!$B$43),"NOTE: 004C is for sewers &gt;= "&amp;SG_Criteria!$B$43&amp;" dia. ","")&amp;IF(AND(LEFT(C44,7)="Precast",I44&lt;=SG_Criteria!$B$42),"NOTE: 006C is for manholes &gt; "&amp;SG_Criteria!$B$42&amp;" m deep. ","")&amp;IF(AND(J44&lt;&gt;"",J44&lt;SG_Criteria!$B$40,C44&lt;&gt;"Inspection Chamber"),"NOTE: public sewer min dia "&amp;SG_Criteria!$B$40&amp;" mm. ","")&amp;IF(AND(R44&lt;&gt;"",R44&lt;SG_Criteria!$B$44),"FAIL: uplift FOS below "&amp;SG_Criteria!$B$44&amp;". ",""))=0,"OK",IF(AND(S44&lt;&gt;"",IFERROR(VALUE(MID(S44,2,2)),0)&lt;SG_Criteria!$B$19),"FAIL: grade below C"&amp;SG_Criteria!$B$19&amp;". ","")&amp;IF(AND(T44&lt;&gt;"",T44&lt;SG_Criteria!$B$20),"FAIL: cover &lt; "&amp;SG_Criteria!$B$20&amp;" mm. ","")&amp;IF(AND(H44&lt;&gt;"",H44&lt;SG_Criteria!$B$39),"NOTE: min depth below PUB "&amp;SG_Criteria!$B$39&amp;" m. ","")&amp;IF(AND(LEFT(C44,8)="Standard",I44&gt;SG_Criteria!$B$42),"FAIL: PUB 001C covers manholes up to "&amp;SG_Criteria!$B$42&amp;" m deep only. ","")&amp;IF(AND(LEFT(C44,11)="Rectangular",J44&lt;SG_Criteria!$B$43),"NOTE: 004C is for sewers &gt;= "&amp;SG_Criteria!$B$43&amp;" dia. ","")&amp;IF(AND(LEFT(C44,7)="Precast",I44&lt;=SG_Criteria!$B$42),"NOTE: 006C is for manholes &gt; "&amp;SG_Criteria!$B$42&amp;" m deep. ","")&amp;IF(AND(J44&lt;&gt;"",J44&lt;SG_Criteria!$B$40,C44&lt;&gt;"Inspection Chamber"),"NOTE: public sewer min dia "&amp;SG_Criteria!$B$40&amp;" mm. ","")&amp;IF(AND(R44&lt;&gt;"",R44&lt;SG_Criteria!$B$44),"FAIL: uplift FOS below "&amp;SG_Criteria!$B$44&amp;". ","")))</f>
        <v/>
      </c>
      <c r="AT44" s="9"/>
      <c r="AU44" s="9"/>
      <c r="AV44" s="9"/>
      <c r="AW44" s="9"/>
      <c r="AX44" s="9"/>
      <c r="AY44" s="31"/>
      <c r="AZ44" s="10" t="str">
        <f aca="false">IF(C44="","",IF(AND(AB44="Approved",ISERROR(SEARCH("FAIL",AS44))),"Y","N"))</f>
        <v/>
      </c>
      <c r="BA44" s="10" t="str">
        <f aca="false">IF(C44="","",C44&amp;"|"&amp;I44&amp;"|"&amp;F44&amp;"|"&amp;AZ44)</f>
        <v/>
      </c>
    </row>
    <row r="45" customFormat="false" ht="15" hidden="false" customHeight="false" outlineLevel="0" collapsed="false">
      <c r="A45" s="10" t="str">
        <f aca="false">IF(C45="","","MH-"&amp;IFERROR(VLOOKUP(C45,Lists!$AB$4:$AC$20,2,0),"??")&amp;"-"&amp;TEXT(F45,"0000")&amp;IF(E45="Circular","D","x"&amp;TEXT(G45,"0000"))&amp;"-D"&amp;TEXT(I45*1000,"0000")&amp;"-"&amp;IFERROR(VLOOKUP(D45,Lists!$AE$4:$AF$16,2,0),"??")&amp;"-"&amp;AA45)</f>
        <v/>
      </c>
      <c r="B45" s="10" t="str">
        <f aca="false">IF(C45="","",C45&amp;", "&amp;D45&amp;", "&amp;IF(E45="Circular",F45&amp;" dia",F45&amp;" x "&amp;G45)&amp;", depth "&amp;TEXT(H45,"0.0")&amp;"-"&amp;TEXT(I45,"0.0")&amp;" m, pipe up to "&amp;J45&amp;" dia")</f>
        <v/>
      </c>
      <c r="C45" s="9"/>
      <c r="D45" s="9"/>
      <c r="E45" s="9"/>
      <c r="F45" s="40"/>
      <c r="G45" s="40"/>
      <c r="H45" s="43"/>
      <c r="I45" s="43"/>
      <c r="J45" s="40"/>
      <c r="K45" s="40"/>
      <c r="L45" s="40"/>
      <c r="M45" s="40"/>
      <c r="N45" s="9"/>
      <c r="O45" s="9"/>
      <c r="P45" s="9"/>
      <c r="Q45" s="9"/>
      <c r="R45" s="41"/>
      <c r="S45" s="9"/>
      <c r="T45" s="40"/>
      <c r="U45" s="9"/>
      <c r="V45" s="9"/>
      <c r="W45" s="9"/>
      <c r="X45" s="9"/>
      <c r="Y45" s="9"/>
      <c r="Z45" s="9"/>
      <c r="AA45" s="9"/>
      <c r="AB45" s="9"/>
      <c r="AC45" s="9"/>
      <c r="AD45" s="9"/>
      <c r="AE45" s="9"/>
      <c r="AF45" s="10" t="str">
        <f aca="false">IF(A45="","",SG_Criteria!$B$6&amp;SG_Criteria!$B$10&amp;"\"&amp;A45&amp;"\")</f>
        <v/>
      </c>
      <c r="AG45" s="10" t="str">
        <f aca="false">IF(A45="","",A45&amp;"_CAD.dwg")</f>
        <v/>
      </c>
      <c r="AH45" s="10" t="str">
        <f aca="false">IF(A45="","",A45&amp;"_DWG.pdf")</f>
        <v/>
      </c>
      <c r="AI45" s="10" t="str">
        <f aca="false">IF(A45="","",IF(AE45="Y",A45&amp;"_STAAD.std","n/a"))</f>
        <v/>
      </c>
      <c r="AJ45" s="10" t="str">
        <f aca="false">IF(A45="","",A45&amp;"_CALC.xlsx")</f>
        <v/>
      </c>
      <c r="AK45" s="10" t="str">
        <f aca="false">IF(A45="","",A45&amp;"_CALC.pdf")</f>
        <v/>
      </c>
      <c r="AL45" s="9"/>
      <c r="AM45" s="9"/>
      <c r="AN45" s="41"/>
      <c r="AO45" s="41"/>
      <c r="AP45" s="41"/>
      <c r="AQ45" s="41"/>
      <c r="AR45" s="41"/>
      <c r="AS45" s="38" t="str">
        <f aca="false">IF(C45="","",IF(LEN(IF(AND(S45&lt;&gt;"",IFERROR(VALUE(MID(S45,2,2)),0)&lt;SG_Criteria!$B$19),"FAIL: grade below C"&amp;SG_Criteria!$B$19&amp;". ","")&amp;IF(AND(T45&lt;&gt;"",T45&lt;SG_Criteria!$B$20),"FAIL: cover &lt; "&amp;SG_Criteria!$B$20&amp;" mm. ","")&amp;IF(AND(H45&lt;&gt;"",H45&lt;SG_Criteria!$B$39),"NOTE: min depth below PUB "&amp;SG_Criteria!$B$39&amp;" m. ","")&amp;IF(AND(LEFT(C45,8)="Standard",I45&gt;SG_Criteria!$B$42),"FAIL: PUB 001C covers manholes up to "&amp;SG_Criteria!$B$42&amp;" m deep only. ","")&amp;IF(AND(LEFT(C45,11)="Rectangular",J45&lt;SG_Criteria!$B$43),"NOTE: 004C is for sewers &gt;= "&amp;SG_Criteria!$B$43&amp;" dia. ","")&amp;IF(AND(LEFT(C45,7)="Precast",I45&lt;=SG_Criteria!$B$42),"NOTE: 006C is for manholes &gt; "&amp;SG_Criteria!$B$42&amp;" m deep. ","")&amp;IF(AND(J45&lt;&gt;"",J45&lt;SG_Criteria!$B$40,C45&lt;&gt;"Inspection Chamber"),"NOTE: public sewer min dia "&amp;SG_Criteria!$B$40&amp;" mm. ","")&amp;IF(AND(R45&lt;&gt;"",R45&lt;SG_Criteria!$B$44),"FAIL: uplift FOS below "&amp;SG_Criteria!$B$44&amp;". ",""))=0,"OK",IF(AND(S45&lt;&gt;"",IFERROR(VALUE(MID(S45,2,2)),0)&lt;SG_Criteria!$B$19),"FAIL: grade below C"&amp;SG_Criteria!$B$19&amp;". ","")&amp;IF(AND(T45&lt;&gt;"",T45&lt;SG_Criteria!$B$20),"FAIL: cover &lt; "&amp;SG_Criteria!$B$20&amp;" mm. ","")&amp;IF(AND(H45&lt;&gt;"",H45&lt;SG_Criteria!$B$39),"NOTE: min depth below PUB "&amp;SG_Criteria!$B$39&amp;" m. ","")&amp;IF(AND(LEFT(C45,8)="Standard",I45&gt;SG_Criteria!$B$42),"FAIL: PUB 001C covers manholes up to "&amp;SG_Criteria!$B$42&amp;" m deep only. ","")&amp;IF(AND(LEFT(C45,11)="Rectangular",J45&lt;SG_Criteria!$B$43),"NOTE: 004C is for sewers &gt;= "&amp;SG_Criteria!$B$43&amp;" dia. ","")&amp;IF(AND(LEFT(C45,7)="Precast",I45&lt;=SG_Criteria!$B$42),"NOTE: 006C is for manholes &gt; "&amp;SG_Criteria!$B$42&amp;" m deep. ","")&amp;IF(AND(J45&lt;&gt;"",J45&lt;SG_Criteria!$B$40,C45&lt;&gt;"Inspection Chamber"),"NOTE: public sewer min dia "&amp;SG_Criteria!$B$40&amp;" mm. ","")&amp;IF(AND(R45&lt;&gt;"",R45&lt;SG_Criteria!$B$44),"FAIL: uplift FOS below "&amp;SG_Criteria!$B$44&amp;". ","")))</f>
        <v/>
      </c>
      <c r="AT45" s="9"/>
      <c r="AU45" s="9"/>
      <c r="AV45" s="9"/>
      <c r="AW45" s="9"/>
      <c r="AX45" s="9"/>
      <c r="AY45" s="31"/>
      <c r="AZ45" s="10" t="str">
        <f aca="false">IF(C45="","",IF(AND(AB45="Approved",ISERROR(SEARCH("FAIL",AS45))),"Y","N"))</f>
        <v/>
      </c>
      <c r="BA45" s="10" t="str">
        <f aca="false">IF(C45="","",C45&amp;"|"&amp;I45&amp;"|"&amp;F45&amp;"|"&amp;AZ45)</f>
        <v/>
      </c>
    </row>
    <row r="46" customFormat="false" ht="15" hidden="false" customHeight="false" outlineLevel="0" collapsed="false">
      <c r="A46" s="10" t="str">
        <f aca="false">IF(C46="","","MH-"&amp;IFERROR(VLOOKUP(C46,Lists!$AB$4:$AC$20,2,0),"??")&amp;"-"&amp;TEXT(F46,"0000")&amp;IF(E46="Circular","D","x"&amp;TEXT(G46,"0000"))&amp;"-D"&amp;TEXT(I46*1000,"0000")&amp;"-"&amp;IFERROR(VLOOKUP(D46,Lists!$AE$4:$AF$16,2,0),"??")&amp;"-"&amp;AA46)</f>
        <v/>
      </c>
      <c r="B46" s="10" t="str">
        <f aca="false">IF(C46="","",C46&amp;", "&amp;D46&amp;", "&amp;IF(E46="Circular",F46&amp;" dia",F46&amp;" x "&amp;G46)&amp;", depth "&amp;TEXT(H46,"0.0")&amp;"-"&amp;TEXT(I46,"0.0")&amp;" m, pipe up to "&amp;J46&amp;" dia")</f>
        <v/>
      </c>
      <c r="C46" s="9"/>
      <c r="D46" s="9"/>
      <c r="E46" s="9"/>
      <c r="F46" s="40"/>
      <c r="G46" s="40"/>
      <c r="H46" s="43"/>
      <c r="I46" s="43"/>
      <c r="J46" s="40"/>
      <c r="K46" s="40"/>
      <c r="L46" s="40"/>
      <c r="M46" s="40"/>
      <c r="N46" s="9"/>
      <c r="O46" s="9"/>
      <c r="P46" s="9"/>
      <c r="Q46" s="9"/>
      <c r="R46" s="41"/>
      <c r="S46" s="9"/>
      <c r="T46" s="40"/>
      <c r="U46" s="9"/>
      <c r="V46" s="9"/>
      <c r="W46" s="9"/>
      <c r="X46" s="9"/>
      <c r="Y46" s="9"/>
      <c r="Z46" s="9"/>
      <c r="AA46" s="9"/>
      <c r="AB46" s="9"/>
      <c r="AC46" s="9"/>
      <c r="AD46" s="9"/>
      <c r="AE46" s="9"/>
      <c r="AF46" s="10" t="str">
        <f aca="false">IF(A46="","",SG_Criteria!$B$6&amp;SG_Criteria!$B$10&amp;"\"&amp;A46&amp;"\")</f>
        <v/>
      </c>
      <c r="AG46" s="10" t="str">
        <f aca="false">IF(A46="","",A46&amp;"_CAD.dwg")</f>
        <v/>
      </c>
      <c r="AH46" s="10" t="str">
        <f aca="false">IF(A46="","",A46&amp;"_DWG.pdf")</f>
        <v/>
      </c>
      <c r="AI46" s="10" t="str">
        <f aca="false">IF(A46="","",IF(AE46="Y",A46&amp;"_STAAD.std","n/a"))</f>
        <v/>
      </c>
      <c r="AJ46" s="10" t="str">
        <f aca="false">IF(A46="","",A46&amp;"_CALC.xlsx")</f>
        <v/>
      </c>
      <c r="AK46" s="10" t="str">
        <f aca="false">IF(A46="","",A46&amp;"_CALC.pdf")</f>
        <v/>
      </c>
      <c r="AL46" s="9"/>
      <c r="AM46" s="9"/>
      <c r="AN46" s="41"/>
      <c r="AO46" s="41"/>
      <c r="AP46" s="41"/>
      <c r="AQ46" s="41"/>
      <c r="AR46" s="41"/>
      <c r="AS46" s="38" t="str">
        <f aca="false">IF(C46="","",IF(LEN(IF(AND(S46&lt;&gt;"",IFERROR(VALUE(MID(S46,2,2)),0)&lt;SG_Criteria!$B$19),"FAIL: grade below C"&amp;SG_Criteria!$B$19&amp;". ","")&amp;IF(AND(T46&lt;&gt;"",T46&lt;SG_Criteria!$B$20),"FAIL: cover &lt; "&amp;SG_Criteria!$B$20&amp;" mm. ","")&amp;IF(AND(H46&lt;&gt;"",H46&lt;SG_Criteria!$B$39),"NOTE: min depth below PUB "&amp;SG_Criteria!$B$39&amp;" m. ","")&amp;IF(AND(LEFT(C46,8)="Standard",I46&gt;SG_Criteria!$B$42),"FAIL: PUB 001C covers manholes up to "&amp;SG_Criteria!$B$42&amp;" m deep only. ","")&amp;IF(AND(LEFT(C46,11)="Rectangular",J46&lt;SG_Criteria!$B$43),"NOTE: 004C is for sewers &gt;= "&amp;SG_Criteria!$B$43&amp;" dia. ","")&amp;IF(AND(LEFT(C46,7)="Precast",I46&lt;=SG_Criteria!$B$42),"NOTE: 006C is for manholes &gt; "&amp;SG_Criteria!$B$42&amp;" m deep. ","")&amp;IF(AND(J46&lt;&gt;"",J46&lt;SG_Criteria!$B$40,C46&lt;&gt;"Inspection Chamber"),"NOTE: public sewer min dia "&amp;SG_Criteria!$B$40&amp;" mm. ","")&amp;IF(AND(R46&lt;&gt;"",R46&lt;SG_Criteria!$B$44),"FAIL: uplift FOS below "&amp;SG_Criteria!$B$44&amp;". ",""))=0,"OK",IF(AND(S46&lt;&gt;"",IFERROR(VALUE(MID(S46,2,2)),0)&lt;SG_Criteria!$B$19),"FAIL: grade below C"&amp;SG_Criteria!$B$19&amp;". ","")&amp;IF(AND(T46&lt;&gt;"",T46&lt;SG_Criteria!$B$20),"FAIL: cover &lt; "&amp;SG_Criteria!$B$20&amp;" mm. ","")&amp;IF(AND(H46&lt;&gt;"",H46&lt;SG_Criteria!$B$39),"NOTE: min depth below PUB "&amp;SG_Criteria!$B$39&amp;" m. ","")&amp;IF(AND(LEFT(C46,8)="Standard",I46&gt;SG_Criteria!$B$42),"FAIL: PUB 001C covers manholes up to "&amp;SG_Criteria!$B$42&amp;" m deep only. ","")&amp;IF(AND(LEFT(C46,11)="Rectangular",J46&lt;SG_Criteria!$B$43),"NOTE: 004C is for sewers &gt;= "&amp;SG_Criteria!$B$43&amp;" dia. ","")&amp;IF(AND(LEFT(C46,7)="Precast",I46&lt;=SG_Criteria!$B$42),"NOTE: 006C is for manholes &gt; "&amp;SG_Criteria!$B$42&amp;" m deep. ","")&amp;IF(AND(J46&lt;&gt;"",J46&lt;SG_Criteria!$B$40,C46&lt;&gt;"Inspection Chamber"),"NOTE: public sewer min dia "&amp;SG_Criteria!$B$40&amp;" mm. ","")&amp;IF(AND(R46&lt;&gt;"",R46&lt;SG_Criteria!$B$44),"FAIL: uplift FOS below "&amp;SG_Criteria!$B$44&amp;". ","")))</f>
        <v/>
      </c>
      <c r="AT46" s="9"/>
      <c r="AU46" s="9"/>
      <c r="AV46" s="9"/>
      <c r="AW46" s="9"/>
      <c r="AX46" s="9"/>
      <c r="AY46" s="31"/>
      <c r="AZ46" s="10" t="str">
        <f aca="false">IF(C46="","",IF(AND(AB46="Approved",ISERROR(SEARCH("FAIL",AS46))),"Y","N"))</f>
        <v/>
      </c>
      <c r="BA46" s="10" t="str">
        <f aca="false">IF(C46="","",C46&amp;"|"&amp;I46&amp;"|"&amp;F46&amp;"|"&amp;AZ46)</f>
        <v/>
      </c>
    </row>
    <row r="47" customFormat="false" ht="15" hidden="false" customHeight="false" outlineLevel="0" collapsed="false">
      <c r="A47" s="10" t="str">
        <f aca="false">IF(C47="","","MH-"&amp;IFERROR(VLOOKUP(C47,Lists!$AB$4:$AC$20,2,0),"??")&amp;"-"&amp;TEXT(F47,"0000")&amp;IF(E47="Circular","D","x"&amp;TEXT(G47,"0000"))&amp;"-D"&amp;TEXT(I47*1000,"0000")&amp;"-"&amp;IFERROR(VLOOKUP(D47,Lists!$AE$4:$AF$16,2,0),"??")&amp;"-"&amp;AA47)</f>
        <v/>
      </c>
      <c r="B47" s="10" t="str">
        <f aca="false">IF(C47="","",C47&amp;", "&amp;D47&amp;", "&amp;IF(E47="Circular",F47&amp;" dia",F47&amp;" x "&amp;G47)&amp;", depth "&amp;TEXT(H47,"0.0")&amp;"-"&amp;TEXT(I47,"0.0")&amp;" m, pipe up to "&amp;J47&amp;" dia")</f>
        <v/>
      </c>
      <c r="C47" s="9"/>
      <c r="D47" s="9"/>
      <c r="E47" s="9"/>
      <c r="F47" s="40"/>
      <c r="G47" s="40"/>
      <c r="H47" s="43"/>
      <c r="I47" s="43"/>
      <c r="J47" s="40"/>
      <c r="K47" s="40"/>
      <c r="L47" s="40"/>
      <c r="M47" s="40"/>
      <c r="N47" s="9"/>
      <c r="O47" s="9"/>
      <c r="P47" s="9"/>
      <c r="Q47" s="9"/>
      <c r="R47" s="41"/>
      <c r="S47" s="9"/>
      <c r="T47" s="40"/>
      <c r="U47" s="9"/>
      <c r="V47" s="9"/>
      <c r="W47" s="9"/>
      <c r="X47" s="9"/>
      <c r="Y47" s="9"/>
      <c r="Z47" s="9"/>
      <c r="AA47" s="9"/>
      <c r="AB47" s="9"/>
      <c r="AC47" s="9"/>
      <c r="AD47" s="9"/>
      <c r="AE47" s="9"/>
      <c r="AF47" s="10" t="str">
        <f aca="false">IF(A47="","",SG_Criteria!$B$6&amp;SG_Criteria!$B$10&amp;"\"&amp;A47&amp;"\")</f>
        <v/>
      </c>
      <c r="AG47" s="10" t="str">
        <f aca="false">IF(A47="","",A47&amp;"_CAD.dwg")</f>
        <v/>
      </c>
      <c r="AH47" s="10" t="str">
        <f aca="false">IF(A47="","",A47&amp;"_DWG.pdf")</f>
        <v/>
      </c>
      <c r="AI47" s="10" t="str">
        <f aca="false">IF(A47="","",IF(AE47="Y",A47&amp;"_STAAD.std","n/a"))</f>
        <v/>
      </c>
      <c r="AJ47" s="10" t="str">
        <f aca="false">IF(A47="","",A47&amp;"_CALC.xlsx")</f>
        <v/>
      </c>
      <c r="AK47" s="10" t="str">
        <f aca="false">IF(A47="","",A47&amp;"_CALC.pdf")</f>
        <v/>
      </c>
      <c r="AL47" s="9"/>
      <c r="AM47" s="9"/>
      <c r="AN47" s="41"/>
      <c r="AO47" s="41"/>
      <c r="AP47" s="41"/>
      <c r="AQ47" s="41"/>
      <c r="AR47" s="41"/>
      <c r="AS47" s="38" t="str">
        <f aca="false">IF(C47="","",IF(LEN(IF(AND(S47&lt;&gt;"",IFERROR(VALUE(MID(S47,2,2)),0)&lt;SG_Criteria!$B$19),"FAIL: grade below C"&amp;SG_Criteria!$B$19&amp;". ","")&amp;IF(AND(T47&lt;&gt;"",T47&lt;SG_Criteria!$B$20),"FAIL: cover &lt; "&amp;SG_Criteria!$B$20&amp;" mm. ","")&amp;IF(AND(H47&lt;&gt;"",H47&lt;SG_Criteria!$B$39),"NOTE: min depth below PUB "&amp;SG_Criteria!$B$39&amp;" m. ","")&amp;IF(AND(LEFT(C47,8)="Standard",I47&gt;SG_Criteria!$B$42),"FAIL: PUB 001C covers manholes up to "&amp;SG_Criteria!$B$42&amp;" m deep only. ","")&amp;IF(AND(LEFT(C47,11)="Rectangular",J47&lt;SG_Criteria!$B$43),"NOTE: 004C is for sewers &gt;= "&amp;SG_Criteria!$B$43&amp;" dia. ","")&amp;IF(AND(LEFT(C47,7)="Precast",I47&lt;=SG_Criteria!$B$42),"NOTE: 006C is for manholes &gt; "&amp;SG_Criteria!$B$42&amp;" m deep. ","")&amp;IF(AND(J47&lt;&gt;"",J47&lt;SG_Criteria!$B$40,C47&lt;&gt;"Inspection Chamber"),"NOTE: public sewer min dia "&amp;SG_Criteria!$B$40&amp;" mm. ","")&amp;IF(AND(R47&lt;&gt;"",R47&lt;SG_Criteria!$B$44),"FAIL: uplift FOS below "&amp;SG_Criteria!$B$44&amp;". ",""))=0,"OK",IF(AND(S47&lt;&gt;"",IFERROR(VALUE(MID(S47,2,2)),0)&lt;SG_Criteria!$B$19),"FAIL: grade below C"&amp;SG_Criteria!$B$19&amp;". ","")&amp;IF(AND(T47&lt;&gt;"",T47&lt;SG_Criteria!$B$20),"FAIL: cover &lt; "&amp;SG_Criteria!$B$20&amp;" mm. ","")&amp;IF(AND(H47&lt;&gt;"",H47&lt;SG_Criteria!$B$39),"NOTE: min depth below PUB "&amp;SG_Criteria!$B$39&amp;" m. ","")&amp;IF(AND(LEFT(C47,8)="Standard",I47&gt;SG_Criteria!$B$42),"FAIL: PUB 001C covers manholes up to "&amp;SG_Criteria!$B$42&amp;" m deep only. ","")&amp;IF(AND(LEFT(C47,11)="Rectangular",J47&lt;SG_Criteria!$B$43),"NOTE: 004C is for sewers &gt;= "&amp;SG_Criteria!$B$43&amp;" dia. ","")&amp;IF(AND(LEFT(C47,7)="Precast",I47&lt;=SG_Criteria!$B$42),"NOTE: 006C is for manholes &gt; "&amp;SG_Criteria!$B$42&amp;" m deep. ","")&amp;IF(AND(J47&lt;&gt;"",J47&lt;SG_Criteria!$B$40,C47&lt;&gt;"Inspection Chamber"),"NOTE: public sewer min dia "&amp;SG_Criteria!$B$40&amp;" mm. ","")&amp;IF(AND(R47&lt;&gt;"",R47&lt;SG_Criteria!$B$44),"FAIL: uplift FOS below "&amp;SG_Criteria!$B$44&amp;". ","")))</f>
        <v/>
      </c>
      <c r="AT47" s="9"/>
      <c r="AU47" s="9"/>
      <c r="AV47" s="9"/>
      <c r="AW47" s="9"/>
      <c r="AX47" s="9"/>
      <c r="AY47" s="31"/>
      <c r="AZ47" s="10" t="str">
        <f aca="false">IF(C47="","",IF(AND(AB47="Approved",ISERROR(SEARCH("FAIL",AS47))),"Y","N"))</f>
        <v/>
      </c>
      <c r="BA47" s="10" t="str">
        <f aca="false">IF(C47="","",C47&amp;"|"&amp;I47&amp;"|"&amp;F47&amp;"|"&amp;AZ47)</f>
        <v/>
      </c>
    </row>
    <row r="48" customFormat="false" ht="15" hidden="false" customHeight="false" outlineLevel="0" collapsed="false">
      <c r="A48" s="10" t="str">
        <f aca="false">IF(C48="","","MH-"&amp;IFERROR(VLOOKUP(C48,Lists!$AB$4:$AC$20,2,0),"??")&amp;"-"&amp;TEXT(F48,"0000")&amp;IF(E48="Circular","D","x"&amp;TEXT(G48,"0000"))&amp;"-D"&amp;TEXT(I48*1000,"0000")&amp;"-"&amp;IFERROR(VLOOKUP(D48,Lists!$AE$4:$AF$16,2,0),"??")&amp;"-"&amp;AA48)</f>
        <v/>
      </c>
      <c r="B48" s="10" t="str">
        <f aca="false">IF(C48="","",C48&amp;", "&amp;D48&amp;", "&amp;IF(E48="Circular",F48&amp;" dia",F48&amp;" x "&amp;G48)&amp;", depth "&amp;TEXT(H48,"0.0")&amp;"-"&amp;TEXT(I48,"0.0")&amp;" m, pipe up to "&amp;J48&amp;" dia")</f>
        <v/>
      </c>
      <c r="C48" s="9"/>
      <c r="D48" s="9"/>
      <c r="E48" s="9"/>
      <c r="F48" s="40"/>
      <c r="G48" s="40"/>
      <c r="H48" s="43"/>
      <c r="I48" s="43"/>
      <c r="J48" s="40"/>
      <c r="K48" s="40"/>
      <c r="L48" s="40"/>
      <c r="M48" s="40"/>
      <c r="N48" s="9"/>
      <c r="O48" s="9"/>
      <c r="P48" s="9"/>
      <c r="Q48" s="9"/>
      <c r="R48" s="41"/>
      <c r="S48" s="9"/>
      <c r="T48" s="40"/>
      <c r="U48" s="9"/>
      <c r="V48" s="9"/>
      <c r="W48" s="9"/>
      <c r="X48" s="9"/>
      <c r="Y48" s="9"/>
      <c r="Z48" s="9"/>
      <c r="AA48" s="9"/>
      <c r="AB48" s="9"/>
      <c r="AC48" s="9"/>
      <c r="AD48" s="9"/>
      <c r="AE48" s="9"/>
      <c r="AF48" s="10" t="str">
        <f aca="false">IF(A48="","",SG_Criteria!$B$6&amp;SG_Criteria!$B$10&amp;"\"&amp;A48&amp;"\")</f>
        <v/>
      </c>
      <c r="AG48" s="10" t="str">
        <f aca="false">IF(A48="","",A48&amp;"_CAD.dwg")</f>
        <v/>
      </c>
      <c r="AH48" s="10" t="str">
        <f aca="false">IF(A48="","",A48&amp;"_DWG.pdf")</f>
        <v/>
      </c>
      <c r="AI48" s="10" t="str">
        <f aca="false">IF(A48="","",IF(AE48="Y",A48&amp;"_STAAD.std","n/a"))</f>
        <v/>
      </c>
      <c r="AJ48" s="10" t="str">
        <f aca="false">IF(A48="","",A48&amp;"_CALC.xlsx")</f>
        <v/>
      </c>
      <c r="AK48" s="10" t="str">
        <f aca="false">IF(A48="","",A48&amp;"_CALC.pdf")</f>
        <v/>
      </c>
      <c r="AL48" s="9"/>
      <c r="AM48" s="9"/>
      <c r="AN48" s="41"/>
      <c r="AO48" s="41"/>
      <c r="AP48" s="41"/>
      <c r="AQ48" s="41"/>
      <c r="AR48" s="41"/>
      <c r="AS48" s="38" t="str">
        <f aca="false">IF(C48="","",IF(LEN(IF(AND(S48&lt;&gt;"",IFERROR(VALUE(MID(S48,2,2)),0)&lt;SG_Criteria!$B$19),"FAIL: grade below C"&amp;SG_Criteria!$B$19&amp;". ","")&amp;IF(AND(T48&lt;&gt;"",T48&lt;SG_Criteria!$B$20),"FAIL: cover &lt; "&amp;SG_Criteria!$B$20&amp;" mm. ","")&amp;IF(AND(H48&lt;&gt;"",H48&lt;SG_Criteria!$B$39),"NOTE: min depth below PUB "&amp;SG_Criteria!$B$39&amp;" m. ","")&amp;IF(AND(LEFT(C48,8)="Standard",I48&gt;SG_Criteria!$B$42),"FAIL: PUB 001C covers manholes up to "&amp;SG_Criteria!$B$42&amp;" m deep only. ","")&amp;IF(AND(LEFT(C48,11)="Rectangular",J48&lt;SG_Criteria!$B$43),"NOTE: 004C is for sewers &gt;= "&amp;SG_Criteria!$B$43&amp;" dia. ","")&amp;IF(AND(LEFT(C48,7)="Precast",I48&lt;=SG_Criteria!$B$42),"NOTE: 006C is for manholes &gt; "&amp;SG_Criteria!$B$42&amp;" m deep. ","")&amp;IF(AND(J48&lt;&gt;"",J48&lt;SG_Criteria!$B$40,C48&lt;&gt;"Inspection Chamber"),"NOTE: public sewer min dia "&amp;SG_Criteria!$B$40&amp;" mm. ","")&amp;IF(AND(R48&lt;&gt;"",R48&lt;SG_Criteria!$B$44),"FAIL: uplift FOS below "&amp;SG_Criteria!$B$44&amp;". ",""))=0,"OK",IF(AND(S48&lt;&gt;"",IFERROR(VALUE(MID(S48,2,2)),0)&lt;SG_Criteria!$B$19),"FAIL: grade below C"&amp;SG_Criteria!$B$19&amp;". ","")&amp;IF(AND(T48&lt;&gt;"",T48&lt;SG_Criteria!$B$20),"FAIL: cover &lt; "&amp;SG_Criteria!$B$20&amp;" mm. ","")&amp;IF(AND(H48&lt;&gt;"",H48&lt;SG_Criteria!$B$39),"NOTE: min depth below PUB "&amp;SG_Criteria!$B$39&amp;" m. ","")&amp;IF(AND(LEFT(C48,8)="Standard",I48&gt;SG_Criteria!$B$42),"FAIL: PUB 001C covers manholes up to "&amp;SG_Criteria!$B$42&amp;" m deep only. ","")&amp;IF(AND(LEFT(C48,11)="Rectangular",J48&lt;SG_Criteria!$B$43),"NOTE: 004C is for sewers &gt;= "&amp;SG_Criteria!$B$43&amp;" dia. ","")&amp;IF(AND(LEFT(C48,7)="Precast",I48&lt;=SG_Criteria!$B$42),"NOTE: 006C is for manholes &gt; "&amp;SG_Criteria!$B$42&amp;" m deep. ","")&amp;IF(AND(J48&lt;&gt;"",J48&lt;SG_Criteria!$B$40,C48&lt;&gt;"Inspection Chamber"),"NOTE: public sewer min dia "&amp;SG_Criteria!$B$40&amp;" mm. ","")&amp;IF(AND(R48&lt;&gt;"",R48&lt;SG_Criteria!$B$44),"FAIL: uplift FOS below "&amp;SG_Criteria!$B$44&amp;". ","")))</f>
        <v/>
      </c>
      <c r="AT48" s="9"/>
      <c r="AU48" s="9"/>
      <c r="AV48" s="9"/>
      <c r="AW48" s="9"/>
      <c r="AX48" s="9"/>
      <c r="AY48" s="31"/>
      <c r="AZ48" s="10" t="str">
        <f aca="false">IF(C48="","",IF(AND(AB48="Approved",ISERROR(SEARCH("FAIL",AS48))),"Y","N"))</f>
        <v/>
      </c>
      <c r="BA48" s="10" t="str">
        <f aca="false">IF(C48="","",C48&amp;"|"&amp;I48&amp;"|"&amp;F48&amp;"|"&amp;AZ48)</f>
        <v/>
      </c>
    </row>
    <row r="49" customFormat="false" ht="15" hidden="false" customHeight="false" outlineLevel="0" collapsed="false">
      <c r="A49" s="10" t="str">
        <f aca="false">IF(C49="","","MH-"&amp;IFERROR(VLOOKUP(C49,Lists!$AB$4:$AC$20,2,0),"??")&amp;"-"&amp;TEXT(F49,"0000")&amp;IF(E49="Circular","D","x"&amp;TEXT(G49,"0000"))&amp;"-D"&amp;TEXT(I49*1000,"0000")&amp;"-"&amp;IFERROR(VLOOKUP(D49,Lists!$AE$4:$AF$16,2,0),"??")&amp;"-"&amp;AA49)</f>
        <v/>
      </c>
      <c r="B49" s="10" t="str">
        <f aca="false">IF(C49="","",C49&amp;", "&amp;D49&amp;", "&amp;IF(E49="Circular",F49&amp;" dia",F49&amp;" x "&amp;G49)&amp;", depth "&amp;TEXT(H49,"0.0")&amp;"-"&amp;TEXT(I49,"0.0")&amp;" m, pipe up to "&amp;J49&amp;" dia")</f>
        <v/>
      </c>
      <c r="C49" s="9"/>
      <c r="D49" s="9"/>
      <c r="E49" s="9"/>
      <c r="F49" s="40"/>
      <c r="G49" s="40"/>
      <c r="H49" s="43"/>
      <c r="I49" s="43"/>
      <c r="J49" s="40"/>
      <c r="K49" s="40"/>
      <c r="L49" s="40"/>
      <c r="M49" s="40"/>
      <c r="N49" s="9"/>
      <c r="O49" s="9"/>
      <c r="P49" s="9"/>
      <c r="Q49" s="9"/>
      <c r="R49" s="41"/>
      <c r="S49" s="9"/>
      <c r="T49" s="40"/>
      <c r="U49" s="9"/>
      <c r="V49" s="9"/>
      <c r="W49" s="9"/>
      <c r="X49" s="9"/>
      <c r="Y49" s="9"/>
      <c r="Z49" s="9"/>
      <c r="AA49" s="9"/>
      <c r="AB49" s="9"/>
      <c r="AC49" s="9"/>
      <c r="AD49" s="9"/>
      <c r="AE49" s="9"/>
      <c r="AF49" s="10" t="str">
        <f aca="false">IF(A49="","",SG_Criteria!$B$6&amp;SG_Criteria!$B$10&amp;"\"&amp;A49&amp;"\")</f>
        <v/>
      </c>
      <c r="AG49" s="10" t="str">
        <f aca="false">IF(A49="","",A49&amp;"_CAD.dwg")</f>
        <v/>
      </c>
      <c r="AH49" s="10" t="str">
        <f aca="false">IF(A49="","",A49&amp;"_DWG.pdf")</f>
        <v/>
      </c>
      <c r="AI49" s="10" t="str">
        <f aca="false">IF(A49="","",IF(AE49="Y",A49&amp;"_STAAD.std","n/a"))</f>
        <v/>
      </c>
      <c r="AJ49" s="10" t="str">
        <f aca="false">IF(A49="","",A49&amp;"_CALC.xlsx")</f>
        <v/>
      </c>
      <c r="AK49" s="10" t="str">
        <f aca="false">IF(A49="","",A49&amp;"_CALC.pdf")</f>
        <v/>
      </c>
      <c r="AL49" s="9"/>
      <c r="AM49" s="9"/>
      <c r="AN49" s="41"/>
      <c r="AO49" s="41"/>
      <c r="AP49" s="41"/>
      <c r="AQ49" s="41"/>
      <c r="AR49" s="41"/>
      <c r="AS49" s="38" t="str">
        <f aca="false">IF(C49="","",IF(LEN(IF(AND(S49&lt;&gt;"",IFERROR(VALUE(MID(S49,2,2)),0)&lt;SG_Criteria!$B$19),"FAIL: grade below C"&amp;SG_Criteria!$B$19&amp;". ","")&amp;IF(AND(T49&lt;&gt;"",T49&lt;SG_Criteria!$B$20),"FAIL: cover &lt; "&amp;SG_Criteria!$B$20&amp;" mm. ","")&amp;IF(AND(H49&lt;&gt;"",H49&lt;SG_Criteria!$B$39),"NOTE: min depth below PUB "&amp;SG_Criteria!$B$39&amp;" m. ","")&amp;IF(AND(LEFT(C49,8)="Standard",I49&gt;SG_Criteria!$B$42),"FAIL: PUB 001C covers manholes up to "&amp;SG_Criteria!$B$42&amp;" m deep only. ","")&amp;IF(AND(LEFT(C49,11)="Rectangular",J49&lt;SG_Criteria!$B$43),"NOTE: 004C is for sewers &gt;= "&amp;SG_Criteria!$B$43&amp;" dia. ","")&amp;IF(AND(LEFT(C49,7)="Precast",I49&lt;=SG_Criteria!$B$42),"NOTE: 006C is for manholes &gt; "&amp;SG_Criteria!$B$42&amp;" m deep. ","")&amp;IF(AND(J49&lt;&gt;"",J49&lt;SG_Criteria!$B$40,C49&lt;&gt;"Inspection Chamber"),"NOTE: public sewer min dia "&amp;SG_Criteria!$B$40&amp;" mm. ","")&amp;IF(AND(R49&lt;&gt;"",R49&lt;SG_Criteria!$B$44),"FAIL: uplift FOS below "&amp;SG_Criteria!$B$44&amp;". ",""))=0,"OK",IF(AND(S49&lt;&gt;"",IFERROR(VALUE(MID(S49,2,2)),0)&lt;SG_Criteria!$B$19),"FAIL: grade below C"&amp;SG_Criteria!$B$19&amp;". ","")&amp;IF(AND(T49&lt;&gt;"",T49&lt;SG_Criteria!$B$20),"FAIL: cover &lt; "&amp;SG_Criteria!$B$20&amp;" mm. ","")&amp;IF(AND(H49&lt;&gt;"",H49&lt;SG_Criteria!$B$39),"NOTE: min depth below PUB "&amp;SG_Criteria!$B$39&amp;" m. ","")&amp;IF(AND(LEFT(C49,8)="Standard",I49&gt;SG_Criteria!$B$42),"FAIL: PUB 001C covers manholes up to "&amp;SG_Criteria!$B$42&amp;" m deep only. ","")&amp;IF(AND(LEFT(C49,11)="Rectangular",J49&lt;SG_Criteria!$B$43),"NOTE: 004C is for sewers &gt;= "&amp;SG_Criteria!$B$43&amp;" dia. ","")&amp;IF(AND(LEFT(C49,7)="Precast",I49&lt;=SG_Criteria!$B$42),"NOTE: 006C is for manholes &gt; "&amp;SG_Criteria!$B$42&amp;" m deep. ","")&amp;IF(AND(J49&lt;&gt;"",J49&lt;SG_Criteria!$B$40,C49&lt;&gt;"Inspection Chamber"),"NOTE: public sewer min dia "&amp;SG_Criteria!$B$40&amp;" mm. ","")&amp;IF(AND(R49&lt;&gt;"",R49&lt;SG_Criteria!$B$44),"FAIL: uplift FOS below "&amp;SG_Criteria!$B$44&amp;". ","")))</f>
        <v/>
      </c>
      <c r="AT49" s="9"/>
      <c r="AU49" s="9"/>
      <c r="AV49" s="9"/>
      <c r="AW49" s="9"/>
      <c r="AX49" s="9"/>
      <c r="AY49" s="31"/>
      <c r="AZ49" s="10" t="str">
        <f aca="false">IF(C49="","",IF(AND(AB49="Approved",ISERROR(SEARCH("FAIL",AS49))),"Y","N"))</f>
        <v/>
      </c>
      <c r="BA49" s="10" t="str">
        <f aca="false">IF(C49="","",C49&amp;"|"&amp;I49&amp;"|"&amp;F49&amp;"|"&amp;AZ49)</f>
        <v/>
      </c>
    </row>
    <row r="50" customFormat="false" ht="15" hidden="false" customHeight="false" outlineLevel="0" collapsed="false">
      <c r="A50" s="10" t="str">
        <f aca="false">IF(C50="","","MH-"&amp;IFERROR(VLOOKUP(C50,Lists!$AB$4:$AC$20,2,0),"??")&amp;"-"&amp;TEXT(F50,"0000")&amp;IF(E50="Circular","D","x"&amp;TEXT(G50,"0000"))&amp;"-D"&amp;TEXT(I50*1000,"0000")&amp;"-"&amp;IFERROR(VLOOKUP(D50,Lists!$AE$4:$AF$16,2,0),"??")&amp;"-"&amp;AA50)</f>
        <v/>
      </c>
      <c r="B50" s="10" t="str">
        <f aca="false">IF(C50="","",C50&amp;", "&amp;D50&amp;", "&amp;IF(E50="Circular",F50&amp;" dia",F50&amp;" x "&amp;G50)&amp;", depth "&amp;TEXT(H50,"0.0")&amp;"-"&amp;TEXT(I50,"0.0")&amp;" m, pipe up to "&amp;J50&amp;" dia")</f>
        <v/>
      </c>
      <c r="C50" s="9"/>
      <c r="D50" s="9"/>
      <c r="E50" s="9"/>
      <c r="F50" s="40"/>
      <c r="G50" s="40"/>
      <c r="H50" s="43"/>
      <c r="I50" s="43"/>
      <c r="J50" s="40"/>
      <c r="K50" s="40"/>
      <c r="L50" s="40"/>
      <c r="M50" s="40"/>
      <c r="N50" s="9"/>
      <c r="O50" s="9"/>
      <c r="P50" s="9"/>
      <c r="Q50" s="9"/>
      <c r="R50" s="41"/>
      <c r="S50" s="9"/>
      <c r="T50" s="40"/>
      <c r="U50" s="9"/>
      <c r="V50" s="9"/>
      <c r="W50" s="9"/>
      <c r="X50" s="9"/>
      <c r="Y50" s="9"/>
      <c r="Z50" s="9"/>
      <c r="AA50" s="9"/>
      <c r="AB50" s="9"/>
      <c r="AC50" s="9"/>
      <c r="AD50" s="9"/>
      <c r="AE50" s="9"/>
      <c r="AF50" s="10" t="str">
        <f aca="false">IF(A50="","",SG_Criteria!$B$6&amp;SG_Criteria!$B$10&amp;"\"&amp;A50&amp;"\")</f>
        <v/>
      </c>
      <c r="AG50" s="10" t="str">
        <f aca="false">IF(A50="","",A50&amp;"_CAD.dwg")</f>
        <v/>
      </c>
      <c r="AH50" s="10" t="str">
        <f aca="false">IF(A50="","",A50&amp;"_DWG.pdf")</f>
        <v/>
      </c>
      <c r="AI50" s="10" t="str">
        <f aca="false">IF(A50="","",IF(AE50="Y",A50&amp;"_STAAD.std","n/a"))</f>
        <v/>
      </c>
      <c r="AJ50" s="10" t="str">
        <f aca="false">IF(A50="","",A50&amp;"_CALC.xlsx")</f>
        <v/>
      </c>
      <c r="AK50" s="10" t="str">
        <f aca="false">IF(A50="","",A50&amp;"_CALC.pdf")</f>
        <v/>
      </c>
      <c r="AL50" s="9"/>
      <c r="AM50" s="9"/>
      <c r="AN50" s="41"/>
      <c r="AO50" s="41"/>
      <c r="AP50" s="41"/>
      <c r="AQ50" s="41"/>
      <c r="AR50" s="41"/>
      <c r="AS50" s="38" t="str">
        <f aca="false">IF(C50="","",IF(LEN(IF(AND(S50&lt;&gt;"",IFERROR(VALUE(MID(S50,2,2)),0)&lt;SG_Criteria!$B$19),"FAIL: grade below C"&amp;SG_Criteria!$B$19&amp;". ","")&amp;IF(AND(T50&lt;&gt;"",T50&lt;SG_Criteria!$B$20),"FAIL: cover &lt; "&amp;SG_Criteria!$B$20&amp;" mm. ","")&amp;IF(AND(H50&lt;&gt;"",H50&lt;SG_Criteria!$B$39),"NOTE: min depth below PUB "&amp;SG_Criteria!$B$39&amp;" m. ","")&amp;IF(AND(LEFT(C50,8)="Standard",I50&gt;SG_Criteria!$B$42),"FAIL: PUB 001C covers manholes up to "&amp;SG_Criteria!$B$42&amp;" m deep only. ","")&amp;IF(AND(LEFT(C50,11)="Rectangular",J50&lt;SG_Criteria!$B$43),"NOTE: 004C is for sewers &gt;= "&amp;SG_Criteria!$B$43&amp;" dia. ","")&amp;IF(AND(LEFT(C50,7)="Precast",I50&lt;=SG_Criteria!$B$42),"NOTE: 006C is for manholes &gt; "&amp;SG_Criteria!$B$42&amp;" m deep. ","")&amp;IF(AND(J50&lt;&gt;"",J50&lt;SG_Criteria!$B$40,C50&lt;&gt;"Inspection Chamber"),"NOTE: public sewer min dia "&amp;SG_Criteria!$B$40&amp;" mm. ","")&amp;IF(AND(R50&lt;&gt;"",R50&lt;SG_Criteria!$B$44),"FAIL: uplift FOS below "&amp;SG_Criteria!$B$44&amp;". ",""))=0,"OK",IF(AND(S50&lt;&gt;"",IFERROR(VALUE(MID(S50,2,2)),0)&lt;SG_Criteria!$B$19),"FAIL: grade below C"&amp;SG_Criteria!$B$19&amp;". ","")&amp;IF(AND(T50&lt;&gt;"",T50&lt;SG_Criteria!$B$20),"FAIL: cover &lt; "&amp;SG_Criteria!$B$20&amp;" mm. ","")&amp;IF(AND(H50&lt;&gt;"",H50&lt;SG_Criteria!$B$39),"NOTE: min depth below PUB "&amp;SG_Criteria!$B$39&amp;" m. ","")&amp;IF(AND(LEFT(C50,8)="Standard",I50&gt;SG_Criteria!$B$42),"FAIL: PUB 001C covers manholes up to "&amp;SG_Criteria!$B$42&amp;" m deep only. ","")&amp;IF(AND(LEFT(C50,11)="Rectangular",J50&lt;SG_Criteria!$B$43),"NOTE: 004C is for sewers &gt;= "&amp;SG_Criteria!$B$43&amp;" dia. ","")&amp;IF(AND(LEFT(C50,7)="Precast",I50&lt;=SG_Criteria!$B$42),"NOTE: 006C is for manholes &gt; "&amp;SG_Criteria!$B$42&amp;" m deep. ","")&amp;IF(AND(J50&lt;&gt;"",J50&lt;SG_Criteria!$B$40,C50&lt;&gt;"Inspection Chamber"),"NOTE: public sewer min dia "&amp;SG_Criteria!$B$40&amp;" mm. ","")&amp;IF(AND(R50&lt;&gt;"",R50&lt;SG_Criteria!$B$44),"FAIL: uplift FOS below "&amp;SG_Criteria!$B$44&amp;". ","")))</f>
        <v/>
      </c>
      <c r="AT50" s="9"/>
      <c r="AU50" s="9"/>
      <c r="AV50" s="9"/>
      <c r="AW50" s="9"/>
      <c r="AX50" s="9"/>
      <c r="AY50" s="31"/>
      <c r="AZ50" s="10" t="str">
        <f aca="false">IF(C50="","",IF(AND(AB50="Approved",ISERROR(SEARCH("FAIL",AS50))),"Y","N"))</f>
        <v/>
      </c>
      <c r="BA50" s="10" t="str">
        <f aca="false">IF(C50="","",C50&amp;"|"&amp;I50&amp;"|"&amp;F50&amp;"|"&amp;AZ50)</f>
        <v/>
      </c>
    </row>
    <row r="51" customFormat="false" ht="15" hidden="false" customHeight="false" outlineLevel="0" collapsed="false">
      <c r="A51" s="10" t="str">
        <f aca="false">IF(C51="","","MH-"&amp;IFERROR(VLOOKUP(C51,Lists!$AB$4:$AC$20,2,0),"??")&amp;"-"&amp;TEXT(F51,"0000")&amp;IF(E51="Circular","D","x"&amp;TEXT(G51,"0000"))&amp;"-D"&amp;TEXT(I51*1000,"0000")&amp;"-"&amp;IFERROR(VLOOKUP(D51,Lists!$AE$4:$AF$16,2,0),"??")&amp;"-"&amp;AA51)</f>
        <v/>
      </c>
      <c r="B51" s="10" t="str">
        <f aca="false">IF(C51="","",C51&amp;", "&amp;D51&amp;", "&amp;IF(E51="Circular",F51&amp;" dia",F51&amp;" x "&amp;G51)&amp;", depth "&amp;TEXT(H51,"0.0")&amp;"-"&amp;TEXT(I51,"0.0")&amp;" m, pipe up to "&amp;J51&amp;" dia")</f>
        <v/>
      </c>
      <c r="C51" s="9"/>
      <c r="D51" s="9"/>
      <c r="E51" s="9"/>
      <c r="F51" s="40"/>
      <c r="G51" s="40"/>
      <c r="H51" s="43"/>
      <c r="I51" s="43"/>
      <c r="J51" s="40"/>
      <c r="K51" s="40"/>
      <c r="L51" s="40"/>
      <c r="M51" s="40"/>
      <c r="N51" s="9"/>
      <c r="O51" s="9"/>
      <c r="P51" s="9"/>
      <c r="Q51" s="9"/>
      <c r="R51" s="41"/>
      <c r="S51" s="9"/>
      <c r="T51" s="40"/>
      <c r="U51" s="9"/>
      <c r="V51" s="9"/>
      <c r="W51" s="9"/>
      <c r="X51" s="9"/>
      <c r="Y51" s="9"/>
      <c r="Z51" s="9"/>
      <c r="AA51" s="9"/>
      <c r="AB51" s="9"/>
      <c r="AC51" s="9"/>
      <c r="AD51" s="9"/>
      <c r="AE51" s="9"/>
      <c r="AF51" s="10" t="str">
        <f aca="false">IF(A51="","",SG_Criteria!$B$6&amp;SG_Criteria!$B$10&amp;"\"&amp;A51&amp;"\")</f>
        <v/>
      </c>
      <c r="AG51" s="10" t="str">
        <f aca="false">IF(A51="","",A51&amp;"_CAD.dwg")</f>
        <v/>
      </c>
      <c r="AH51" s="10" t="str">
        <f aca="false">IF(A51="","",A51&amp;"_DWG.pdf")</f>
        <v/>
      </c>
      <c r="AI51" s="10" t="str">
        <f aca="false">IF(A51="","",IF(AE51="Y",A51&amp;"_STAAD.std","n/a"))</f>
        <v/>
      </c>
      <c r="AJ51" s="10" t="str">
        <f aca="false">IF(A51="","",A51&amp;"_CALC.xlsx")</f>
        <v/>
      </c>
      <c r="AK51" s="10" t="str">
        <f aca="false">IF(A51="","",A51&amp;"_CALC.pdf")</f>
        <v/>
      </c>
      <c r="AL51" s="9"/>
      <c r="AM51" s="9"/>
      <c r="AN51" s="41"/>
      <c r="AO51" s="41"/>
      <c r="AP51" s="41"/>
      <c r="AQ51" s="41"/>
      <c r="AR51" s="41"/>
      <c r="AS51" s="38" t="str">
        <f aca="false">IF(C51="","",IF(LEN(IF(AND(S51&lt;&gt;"",IFERROR(VALUE(MID(S51,2,2)),0)&lt;SG_Criteria!$B$19),"FAIL: grade below C"&amp;SG_Criteria!$B$19&amp;". ","")&amp;IF(AND(T51&lt;&gt;"",T51&lt;SG_Criteria!$B$20),"FAIL: cover &lt; "&amp;SG_Criteria!$B$20&amp;" mm. ","")&amp;IF(AND(H51&lt;&gt;"",H51&lt;SG_Criteria!$B$39),"NOTE: min depth below PUB "&amp;SG_Criteria!$B$39&amp;" m. ","")&amp;IF(AND(LEFT(C51,8)="Standard",I51&gt;SG_Criteria!$B$42),"FAIL: PUB 001C covers manholes up to "&amp;SG_Criteria!$B$42&amp;" m deep only. ","")&amp;IF(AND(LEFT(C51,11)="Rectangular",J51&lt;SG_Criteria!$B$43),"NOTE: 004C is for sewers &gt;= "&amp;SG_Criteria!$B$43&amp;" dia. ","")&amp;IF(AND(LEFT(C51,7)="Precast",I51&lt;=SG_Criteria!$B$42),"NOTE: 006C is for manholes &gt; "&amp;SG_Criteria!$B$42&amp;" m deep. ","")&amp;IF(AND(J51&lt;&gt;"",J51&lt;SG_Criteria!$B$40,C51&lt;&gt;"Inspection Chamber"),"NOTE: public sewer min dia "&amp;SG_Criteria!$B$40&amp;" mm. ","")&amp;IF(AND(R51&lt;&gt;"",R51&lt;SG_Criteria!$B$44),"FAIL: uplift FOS below "&amp;SG_Criteria!$B$44&amp;". ",""))=0,"OK",IF(AND(S51&lt;&gt;"",IFERROR(VALUE(MID(S51,2,2)),0)&lt;SG_Criteria!$B$19),"FAIL: grade below C"&amp;SG_Criteria!$B$19&amp;". ","")&amp;IF(AND(T51&lt;&gt;"",T51&lt;SG_Criteria!$B$20),"FAIL: cover &lt; "&amp;SG_Criteria!$B$20&amp;" mm. ","")&amp;IF(AND(H51&lt;&gt;"",H51&lt;SG_Criteria!$B$39),"NOTE: min depth below PUB "&amp;SG_Criteria!$B$39&amp;" m. ","")&amp;IF(AND(LEFT(C51,8)="Standard",I51&gt;SG_Criteria!$B$42),"FAIL: PUB 001C covers manholes up to "&amp;SG_Criteria!$B$42&amp;" m deep only. ","")&amp;IF(AND(LEFT(C51,11)="Rectangular",J51&lt;SG_Criteria!$B$43),"NOTE: 004C is for sewers &gt;= "&amp;SG_Criteria!$B$43&amp;" dia. ","")&amp;IF(AND(LEFT(C51,7)="Precast",I51&lt;=SG_Criteria!$B$42),"NOTE: 006C is for manholes &gt; "&amp;SG_Criteria!$B$42&amp;" m deep. ","")&amp;IF(AND(J51&lt;&gt;"",J51&lt;SG_Criteria!$B$40,C51&lt;&gt;"Inspection Chamber"),"NOTE: public sewer min dia "&amp;SG_Criteria!$B$40&amp;" mm. ","")&amp;IF(AND(R51&lt;&gt;"",R51&lt;SG_Criteria!$B$44),"FAIL: uplift FOS below "&amp;SG_Criteria!$B$44&amp;". ","")))</f>
        <v/>
      </c>
      <c r="AT51" s="9"/>
      <c r="AU51" s="9"/>
      <c r="AV51" s="9"/>
      <c r="AW51" s="9"/>
      <c r="AX51" s="9"/>
      <c r="AY51" s="31"/>
      <c r="AZ51" s="10" t="str">
        <f aca="false">IF(C51="","",IF(AND(AB51="Approved",ISERROR(SEARCH("FAIL",AS51))),"Y","N"))</f>
        <v/>
      </c>
      <c r="BA51" s="10" t="str">
        <f aca="false">IF(C51="","",C51&amp;"|"&amp;I51&amp;"|"&amp;F51&amp;"|"&amp;AZ51)</f>
        <v/>
      </c>
    </row>
    <row r="52" customFormat="false" ht="15" hidden="false" customHeight="false" outlineLevel="0" collapsed="false">
      <c r="A52" s="10" t="str">
        <f aca="false">IF(C52="","","MH-"&amp;IFERROR(VLOOKUP(C52,Lists!$AB$4:$AC$20,2,0),"??")&amp;"-"&amp;TEXT(F52,"0000")&amp;IF(E52="Circular","D","x"&amp;TEXT(G52,"0000"))&amp;"-D"&amp;TEXT(I52*1000,"0000")&amp;"-"&amp;IFERROR(VLOOKUP(D52,Lists!$AE$4:$AF$16,2,0),"??")&amp;"-"&amp;AA52)</f>
        <v/>
      </c>
      <c r="B52" s="10" t="str">
        <f aca="false">IF(C52="","",C52&amp;", "&amp;D52&amp;", "&amp;IF(E52="Circular",F52&amp;" dia",F52&amp;" x "&amp;G52)&amp;", depth "&amp;TEXT(H52,"0.0")&amp;"-"&amp;TEXT(I52,"0.0")&amp;" m, pipe up to "&amp;J52&amp;" dia")</f>
        <v/>
      </c>
      <c r="C52" s="9"/>
      <c r="D52" s="9"/>
      <c r="E52" s="9"/>
      <c r="F52" s="40"/>
      <c r="G52" s="40"/>
      <c r="H52" s="43"/>
      <c r="I52" s="43"/>
      <c r="J52" s="40"/>
      <c r="K52" s="40"/>
      <c r="L52" s="40"/>
      <c r="M52" s="40"/>
      <c r="N52" s="9"/>
      <c r="O52" s="9"/>
      <c r="P52" s="9"/>
      <c r="Q52" s="9"/>
      <c r="R52" s="41"/>
      <c r="S52" s="9"/>
      <c r="T52" s="40"/>
      <c r="U52" s="9"/>
      <c r="V52" s="9"/>
      <c r="W52" s="9"/>
      <c r="X52" s="9"/>
      <c r="Y52" s="9"/>
      <c r="Z52" s="9"/>
      <c r="AA52" s="9"/>
      <c r="AB52" s="9"/>
      <c r="AC52" s="9"/>
      <c r="AD52" s="9"/>
      <c r="AE52" s="9"/>
      <c r="AF52" s="10" t="str">
        <f aca="false">IF(A52="","",SG_Criteria!$B$6&amp;SG_Criteria!$B$10&amp;"\"&amp;A52&amp;"\")</f>
        <v/>
      </c>
      <c r="AG52" s="10" t="str">
        <f aca="false">IF(A52="","",A52&amp;"_CAD.dwg")</f>
        <v/>
      </c>
      <c r="AH52" s="10" t="str">
        <f aca="false">IF(A52="","",A52&amp;"_DWG.pdf")</f>
        <v/>
      </c>
      <c r="AI52" s="10" t="str">
        <f aca="false">IF(A52="","",IF(AE52="Y",A52&amp;"_STAAD.std","n/a"))</f>
        <v/>
      </c>
      <c r="AJ52" s="10" t="str">
        <f aca="false">IF(A52="","",A52&amp;"_CALC.xlsx")</f>
        <v/>
      </c>
      <c r="AK52" s="10" t="str">
        <f aca="false">IF(A52="","",A52&amp;"_CALC.pdf")</f>
        <v/>
      </c>
      <c r="AL52" s="9"/>
      <c r="AM52" s="9"/>
      <c r="AN52" s="41"/>
      <c r="AO52" s="41"/>
      <c r="AP52" s="41"/>
      <c r="AQ52" s="41"/>
      <c r="AR52" s="41"/>
      <c r="AS52" s="38" t="str">
        <f aca="false">IF(C52="","",IF(LEN(IF(AND(S52&lt;&gt;"",IFERROR(VALUE(MID(S52,2,2)),0)&lt;SG_Criteria!$B$19),"FAIL: grade below C"&amp;SG_Criteria!$B$19&amp;". ","")&amp;IF(AND(T52&lt;&gt;"",T52&lt;SG_Criteria!$B$20),"FAIL: cover &lt; "&amp;SG_Criteria!$B$20&amp;" mm. ","")&amp;IF(AND(H52&lt;&gt;"",H52&lt;SG_Criteria!$B$39),"NOTE: min depth below PUB "&amp;SG_Criteria!$B$39&amp;" m. ","")&amp;IF(AND(LEFT(C52,8)="Standard",I52&gt;SG_Criteria!$B$42),"FAIL: PUB 001C covers manholes up to "&amp;SG_Criteria!$B$42&amp;" m deep only. ","")&amp;IF(AND(LEFT(C52,11)="Rectangular",J52&lt;SG_Criteria!$B$43),"NOTE: 004C is for sewers &gt;= "&amp;SG_Criteria!$B$43&amp;" dia. ","")&amp;IF(AND(LEFT(C52,7)="Precast",I52&lt;=SG_Criteria!$B$42),"NOTE: 006C is for manholes &gt; "&amp;SG_Criteria!$B$42&amp;" m deep. ","")&amp;IF(AND(J52&lt;&gt;"",J52&lt;SG_Criteria!$B$40,C52&lt;&gt;"Inspection Chamber"),"NOTE: public sewer min dia "&amp;SG_Criteria!$B$40&amp;" mm. ","")&amp;IF(AND(R52&lt;&gt;"",R52&lt;SG_Criteria!$B$44),"FAIL: uplift FOS below "&amp;SG_Criteria!$B$44&amp;". ",""))=0,"OK",IF(AND(S52&lt;&gt;"",IFERROR(VALUE(MID(S52,2,2)),0)&lt;SG_Criteria!$B$19),"FAIL: grade below C"&amp;SG_Criteria!$B$19&amp;". ","")&amp;IF(AND(T52&lt;&gt;"",T52&lt;SG_Criteria!$B$20),"FAIL: cover &lt; "&amp;SG_Criteria!$B$20&amp;" mm. ","")&amp;IF(AND(H52&lt;&gt;"",H52&lt;SG_Criteria!$B$39),"NOTE: min depth below PUB "&amp;SG_Criteria!$B$39&amp;" m. ","")&amp;IF(AND(LEFT(C52,8)="Standard",I52&gt;SG_Criteria!$B$42),"FAIL: PUB 001C covers manholes up to "&amp;SG_Criteria!$B$42&amp;" m deep only. ","")&amp;IF(AND(LEFT(C52,11)="Rectangular",J52&lt;SG_Criteria!$B$43),"NOTE: 004C is for sewers &gt;= "&amp;SG_Criteria!$B$43&amp;" dia. ","")&amp;IF(AND(LEFT(C52,7)="Precast",I52&lt;=SG_Criteria!$B$42),"NOTE: 006C is for manholes &gt; "&amp;SG_Criteria!$B$42&amp;" m deep. ","")&amp;IF(AND(J52&lt;&gt;"",J52&lt;SG_Criteria!$B$40,C52&lt;&gt;"Inspection Chamber"),"NOTE: public sewer min dia "&amp;SG_Criteria!$B$40&amp;" mm. ","")&amp;IF(AND(R52&lt;&gt;"",R52&lt;SG_Criteria!$B$44),"FAIL: uplift FOS below "&amp;SG_Criteria!$B$44&amp;". ","")))</f>
        <v/>
      </c>
      <c r="AT52" s="9"/>
      <c r="AU52" s="9"/>
      <c r="AV52" s="9"/>
      <c r="AW52" s="9"/>
      <c r="AX52" s="9"/>
      <c r="AY52" s="31"/>
      <c r="AZ52" s="10" t="str">
        <f aca="false">IF(C52="","",IF(AND(AB52="Approved",ISERROR(SEARCH("FAIL",AS52))),"Y","N"))</f>
        <v/>
      </c>
      <c r="BA52" s="10" t="str">
        <f aca="false">IF(C52="","",C52&amp;"|"&amp;I52&amp;"|"&amp;F52&amp;"|"&amp;AZ52)</f>
        <v/>
      </c>
    </row>
    <row r="53" customFormat="false" ht="15" hidden="false" customHeight="false" outlineLevel="0" collapsed="false">
      <c r="A53" s="10" t="str">
        <f aca="false">IF(C53="","","MH-"&amp;IFERROR(VLOOKUP(C53,Lists!$AB$4:$AC$20,2,0),"??")&amp;"-"&amp;TEXT(F53,"0000")&amp;IF(E53="Circular","D","x"&amp;TEXT(G53,"0000"))&amp;"-D"&amp;TEXT(I53*1000,"0000")&amp;"-"&amp;IFERROR(VLOOKUP(D53,Lists!$AE$4:$AF$16,2,0),"??")&amp;"-"&amp;AA53)</f>
        <v/>
      </c>
      <c r="B53" s="10" t="str">
        <f aca="false">IF(C53="","",C53&amp;", "&amp;D53&amp;", "&amp;IF(E53="Circular",F53&amp;" dia",F53&amp;" x "&amp;G53)&amp;", depth "&amp;TEXT(H53,"0.0")&amp;"-"&amp;TEXT(I53,"0.0")&amp;" m, pipe up to "&amp;J53&amp;" dia")</f>
        <v/>
      </c>
      <c r="C53" s="9"/>
      <c r="D53" s="9"/>
      <c r="E53" s="9"/>
      <c r="F53" s="40"/>
      <c r="G53" s="40"/>
      <c r="H53" s="43"/>
      <c r="I53" s="43"/>
      <c r="J53" s="40"/>
      <c r="K53" s="40"/>
      <c r="L53" s="40"/>
      <c r="M53" s="40"/>
      <c r="N53" s="9"/>
      <c r="O53" s="9"/>
      <c r="P53" s="9"/>
      <c r="Q53" s="9"/>
      <c r="R53" s="41"/>
      <c r="S53" s="9"/>
      <c r="T53" s="40"/>
      <c r="U53" s="9"/>
      <c r="V53" s="9"/>
      <c r="W53" s="9"/>
      <c r="X53" s="9"/>
      <c r="Y53" s="9"/>
      <c r="Z53" s="9"/>
      <c r="AA53" s="9"/>
      <c r="AB53" s="9"/>
      <c r="AC53" s="9"/>
      <c r="AD53" s="9"/>
      <c r="AE53" s="9"/>
      <c r="AF53" s="10" t="str">
        <f aca="false">IF(A53="","",SG_Criteria!$B$6&amp;SG_Criteria!$B$10&amp;"\"&amp;A53&amp;"\")</f>
        <v/>
      </c>
      <c r="AG53" s="10" t="str">
        <f aca="false">IF(A53="","",A53&amp;"_CAD.dwg")</f>
        <v/>
      </c>
      <c r="AH53" s="10" t="str">
        <f aca="false">IF(A53="","",A53&amp;"_DWG.pdf")</f>
        <v/>
      </c>
      <c r="AI53" s="10" t="str">
        <f aca="false">IF(A53="","",IF(AE53="Y",A53&amp;"_STAAD.std","n/a"))</f>
        <v/>
      </c>
      <c r="AJ53" s="10" t="str">
        <f aca="false">IF(A53="","",A53&amp;"_CALC.xlsx")</f>
        <v/>
      </c>
      <c r="AK53" s="10" t="str">
        <f aca="false">IF(A53="","",A53&amp;"_CALC.pdf")</f>
        <v/>
      </c>
      <c r="AL53" s="9"/>
      <c r="AM53" s="9"/>
      <c r="AN53" s="41"/>
      <c r="AO53" s="41"/>
      <c r="AP53" s="41"/>
      <c r="AQ53" s="41"/>
      <c r="AR53" s="41"/>
      <c r="AS53" s="38" t="str">
        <f aca="false">IF(C53="","",IF(LEN(IF(AND(S53&lt;&gt;"",IFERROR(VALUE(MID(S53,2,2)),0)&lt;SG_Criteria!$B$19),"FAIL: grade below C"&amp;SG_Criteria!$B$19&amp;". ","")&amp;IF(AND(T53&lt;&gt;"",T53&lt;SG_Criteria!$B$20),"FAIL: cover &lt; "&amp;SG_Criteria!$B$20&amp;" mm. ","")&amp;IF(AND(H53&lt;&gt;"",H53&lt;SG_Criteria!$B$39),"NOTE: min depth below PUB "&amp;SG_Criteria!$B$39&amp;" m. ","")&amp;IF(AND(LEFT(C53,8)="Standard",I53&gt;SG_Criteria!$B$42),"FAIL: PUB 001C covers manholes up to "&amp;SG_Criteria!$B$42&amp;" m deep only. ","")&amp;IF(AND(LEFT(C53,11)="Rectangular",J53&lt;SG_Criteria!$B$43),"NOTE: 004C is for sewers &gt;= "&amp;SG_Criteria!$B$43&amp;" dia. ","")&amp;IF(AND(LEFT(C53,7)="Precast",I53&lt;=SG_Criteria!$B$42),"NOTE: 006C is for manholes &gt; "&amp;SG_Criteria!$B$42&amp;" m deep. ","")&amp;IF(AND(J53&lt;&gt;"",J53&lt;SG_Criteria!$B$40,C53&lt;&gt;"Inspection Chamber"),"NOTE: public sewer min dia "&amp;SG_Criteria!$B$40&amp;" mm. ","")&amp;IF(AND(R53&lt;&gt;"",R53&lt;SG_Criteria!$B$44),"FAIL: uplift FOS below "&amp;SG_Criteria!$B$44&amp;". ",""))=0,"OK",IF(AND(S53&lt;&gt;"",IFERROR(VALUE(MID(S53,2,2)),0)&lt;SG_Criteria!$B$19),"FAIL: grade below C"&amp;SG_Criteria!$B$19&amp;". ","")&amp;IF(AND(T53&lt;&gt;"",T53&lt;SG_Criteria!$B$20),"FAIL: cover &lt; "&amp;SG_Criteria!$B$20&amp;" mm. ","")&amp;IF(AND(H53&lt;&gt;"",H53&lt;SG_Criteria!$B$39),"NOTE: min depth below PUB "&amp;SG_Criteria!$B$39&amp;" m. ","")&amp;IF(AND(LEFT(C53,8)="Standard",I53&gt;SG_Criteria!$B$42),"FAIL: PUB 001C covers manholes up to "&amp;SG_Criteria!$B$42&amp;" m deep only. ","")&amp;IF(AND(LEFT(C53,11)="Rectangular",J53&lt;SG_Criteria!$B$43),"NOTE: 004C is for sewers &gt;= "&amp;SG_Criteria!$B$43&amp;" dia. ","")&amp;IF(AND(LEFT(C53,7)="Precast",I53&lt;=SG_Criteria!$B$42),"NOTE: 006C is for manholes &gt; "&amp;SG_Criteria!$B$42&amp;" m deep. ","")&amp;IF(AND(J53&lt;&gt;"",J53&lt;SG_Criteria!$B$40,C53&lt;&gt;"Inspection Chamber"),"NOTE: public sewer min dia "&amp;SG_Criteria!$B$40&amp;" mm. ","")&amp;IF(AND(R53&lt;&gt;"",R53&lt;SG_Criteria!$B$44),"FAIL: uplift FOS below "&amp;SG_Criteria!$B$44&amp;". ","")))</f>
        <v/>
      </c>
      <c r="AT53" s="9"/>
      <c r="AU53" s="9"/>
      <c r="AV53" s="9"/>
      <c r="AW53" s="9"/>
      <c r="AX53" s="9"/>
      <c r="AY53" s="31"/>
      <c r="AZ53" s="10" t="str">
        <f aca="false">IF(C53="","",IF(AND(AB53="Approved",ISERROR(SEARCH("FAIL",AS53))),"Y","N"))</f>
        <v/>
      </c>
      <c r="BA53" s="10" t="str">
        <f aca="false">IF(C53="","",C53&amp;"|"&amp;I53&amp;"|"&amp;F53&amp;"|"&amp;AZ53)</f>
        <v/>
      </c>
    </row>
    <row r="54" customFormat="false" ht="15" hidden="false" customHeight="false" outlineLevel="0" collapsed="false">
      <c r="A54" s="10" t="str">
        <f aca="false">IF(C54="","","MH-"&amp;IFERROR(VLOOKUP(C54,Lists!$AB$4:$AC$20,2,0),"??")&amp;"-"&amp;TEXT(F54,"0000")&amp;IF(E54="Circular","D","x"&amp;TEXT(G54,"0000"))&amp;"-D"&amp;TEXT(I54*1000,"0000")&amp;"-"&amp;IFERROR(VLOOKUP(D54,Lists!$AE$4:$AF$16,2,0),"??")&amp;"-"&amp;AA54)</f>
        <v/>
      </c>
      <c r="B54" s="10" t="str">
        <f aca="false">IF(C54="","",C54&amp;", "&amp;D54&amp;", "&amp;IF(E54="Circular",F54&amp;" dia",F54&amp;" x "&amp;G54)&amp;", depth "&amp;TEXT(H54,"0.0")&amp;"-"&amp;TEXT(I54,"0.0")&amp;" m, pipe up to "&amp;J54&amp;" dia")</f>
        <v/>
      </c>
      <c r="C54" s="9"/>
      <c r="D54" s="9"/>
      <c r="E54" s="9"/>
      <c r="F54" s="40"/>
      <c r="G54" s="40"/>
      <c r="H54" s="43"/>
      <c r="I54" s="43"/>
      <c r="J54" s="40"/>
      <c r="K54" s="40"/>
      <c r="L54" s="40"/>
      <c r="M54" s="40"/>
      <c r="N54" s="9"/>
      <c r="O54" s="9"/>
      <c r="P54" s="9"/>
      <c r="Q54" s="9"/>
      <c r="R54" s="41"/>
      <c r="S54" s="9"/>
      <c r="T54" s="40"/>
      <c r="U54" s="9"/>
      <c r="V54" s="9"/>
      <c r="W54" s="9"/>
      <c r="X54" s="9"/>
      <c r="Y54" s="9"/>
      <c r="Z54" s="9"/>
      <c r="AA54" s="9"/>
      <c r="AB54" s="9"/>
      <c r="AC54" s="9"/>
      <c r="AD54" s="9"/>
      <c r="AE54" s="9"/>
      <c r="AF54" s="10" t="str">
        <f aca="false">IF(A54="","",SG_Criteria!$B$6&amp;SG_Criteria!$B$10&amp;"\"&amp;A54&amp;"\")</f>
        <v/>
      </c>
      <c r="AG54" s="10" t="str">
        <f aca="false">IF(A54="","",A54&amp;"_CAD.dwg")</f>
        <v/>
      </c>
      <c r="AH54" s="10" t="str">
        <f aca="false">IF(A54="","",A54&amp;"_DWG.pdf")</f>
        <v/>
      </c>
      <c r="AI54" s="10" t="str">
        <f aca="false">IF(A54="","",IF(AE54="Y",A54&amp;"_STAAD.std","n/a"))</f>
        <v/>
      </c>
      <c r="AJ54" s="10" t="str">
        <f aca="false">IF(A54="","",A54&amp;"_CALC.xlsx")</f>
        <v/>
      </c>
      <c r="AK54" s="10" t="str">
        <f aca="false">IF(A54="","",A54&amp;"_CALC.pdf")</f>
        <v/>
      </c>
      <c r="AL54" s="9"/>
      <c r="AM54" s="9"/>
      <c r="AN54" s="41"/>
      <c r="AO54" s="41"/>
      <c r="AP54" s="41"/>
      <c r="AQ54" s="41"/>
      <c r="AR54" s="41"/>
      <c r="AS54" s="38" t="str">
        <f aca="false">IF(C54="","",IF(LEN(IF(AND(S54&lt;&gt;"",IFERROR(VALUE(MID(S54,2,2)),0)&lt;SG_Criteria!$B$19),"FAIL: grade below C"&amp;SG_Criteria!$B$19&amp;". ","")&amp;IF(AND(T54&lt;&gt;"",T54&lt;SG_Criteria!$B$20),"FAIL: cover &lt; "&amp;SG_Criteria!$B$20&amp;" mm. ","")&amp;IF(AND(H54&lt;&gt;"",H54&lt;SG_Criteria!$B$39),"NOTE: min depth below PUB "&amp;SG_Criteria!$B$39&amp;" m. ","")&amp;IF(AND(LEFT(C54,8)="Standard",I54&gt;SG_Criteria!$B$42),"FAIL: PUB 001C covers manholes up to "&amp;SG_Criteria!$B$42&amp;" m deep only. ","")&amp;IF(AND(LEFT(C54,11)="Rectangular",J54&lt;SG_Criteria!$B$43),"NOTE: 004C is for sewers &gt;= "&amp;SG_Criteria!$B$43&amp;" dia. ","")&amp;IF(AND(LEFT(C54,7)="Precast",I54&lt;=SG_Criteria!$B$42),"NOTE: 006C is for manholes &gt; "&amp;SG_Criteria!$B$42&amp;" m deep. ","")&amp;IF(AND(J54&lt;&gt;"",J54&lt;SG_Criteria!$B$40,C54&lt;&gt;"Inspection Chamber"),"NOTE: public sewer min dia "&amp;SG_Criteria!$B$40&amp;" mm. ","")&amp;IF(AND(R54&lt;&gt;"",R54&lt;SG_Criteria!$B$44),"FAIL: uplift FOS below "&amp;SG_Criteria!$B$44&amp;". ",""))=0,"OK",IF(AND(S54&lt;&gt;"",IFERROR(VALUE(MID(S54,2,2)),0)&lt;SG_Criteria!$B$19),"FAIL: grade below C"&amp;SG_Criteria!$B$19&amp;". ","")&amp;IF(AND(T54&lt;&gt;"",T54&lt;SG_Criteria!$B$20),"FAIL: cover &lt; "&amp;SG_Criteria!$B$20&amp;" mm. ","")&amp;IF(AND(H54&lt;&gt;"",H54&lt;SG_Criteria!$B$39),"NOTE: min depth below PUB "&amp;SG_Criteria!$B$39&amp;" m. ","")&amp;IF(AND(LEFT(C54,8)="Standard",I54&gt;SG_Criteria!$B$42),"FAIL: PUB 001C covers manholes up to "&amp;SG_Criteria!$B$42&amp;" m deep only. ","")&amp;IF(AND(LEFT(C54,11)="Rectangular",J54&lt;SG_Criteria!$B$43),"NOTE: 004C is for sewers &gt;= "&amp;SG_Criteria!$B$43&amp;" dia. ","")&amp;IF(AND(LEFT(C54,7)="Precast",I54&lt;=SG_Criteria!$B$42),"NOTE: 006C is for manholes &gt; "&amp;SG_Criteria!$B$42&amp;" m deep. ","")&amp;IF(AND(J54&lt;&gt;"",J54&lt;SG_Criteria!$B$40,C54&lt;&gt;"Inspection Chamber"),"NOTE: public sewer min dia "&amp;SG_Criteria!$B$40&amp;" mm. ","")&amp;IF(AND(R54&lt;&gt;"",R54&lt;SG_Criteria!$B$44),"FAIL: uplift FOS below "&amp;SG_Criteria!$B$44&amp;". ","")))</f>
        <v/>
      </c>
      <c r="AT54" s="9"/>
      <c r="AU54" s="9"/>
      <c r="AV54" s="9"/>
      <c r="AW54" s="9"/>
      <c r="AX54" s="9"/>
      <c r="AY54" s="31"/>
      <c r="AZ54" s="10" t="str">
        <f aca="false">IF(C54="","",IF(AND(AB54="Approved",ISERROR(SEARCH("FAIL",AS54))),"Y","N"))</f>
        <v/>
      </c>
      <c r="BA54" s="10" t="str">
        <f aca="false">IF(C54="","",C54&amp;"|"&amp;I54&amp;"|"&amp;F54&amp;"|"&amp;AZ54)</f>
        <v/>
      </c>
    </row>
    <row r="55" customFormat="false" ht="15" hidden="false" customHeight="false" outlineLevel="0" collapsed="false">
      <c r="A55" s="10" t="str">
        <f aca="false">IF(C55="","","MH-"&amp;IFERROR(VLOOKUP(C55,Lists!$AB$4:$AC$20,2,0),"??")&amp;"-"&amp;TEXT(F55,"0000")&amp;IF(E55="Circular","D","x"&amp;TEXT(G55,"0000"))&amp;"-D"&amp;TEXT(I55*1000,"0000")&amp;"-"&amp;IFERROR(VLOOKUP(D55,Lists!$AE$4:$AF$16,2,0),"??")&amp;"-"&amp;AA55)</f>
        <v/>
      </c>
      <c r="B55" s="10" t="str">
        <f aca="false">IF(C55="","",C55&amp;", "&amp;D55&amp;", "&amp;IF(E55="Circular",F55&amp;" dia",F55&amp;" x "&amp;G55)&amp;", depth "&amp;TEXT(H55,"0.0")&amp;"-"&amp;TEXT(I55,"0.0")&amp;" m, pipe up to "&amp;J55&amp;" dia")</f>
        <v/>
      </c>
      <c r="C55" s="9"/>
      <c r="D55" s="9"/>
      <c r="E55" s="9"/>
      <c r="F55" s="40"/>
      <c r="G55" s="40"/>
      <c r="H55" s="43"/>
      <c r="I55" s="43"/>
      <c r="J55" s="40"/>
      <c r="K55" s="40"/>
      <c r="L55" s="40"/>
      <c r="M55" s="40"/>
      <c r="N55" s="9"/>
      <c r="O55" s="9"/>
      <c r="P55" s="9"/>
      <c r="Q55" s="9"/>
      <c r="R55" s="41"/>
      <c r="S55" s="9"/>
      <c r="T55" s="40"/>
      <c r="U55" s="9"/>
      <c r="V55" s="9"/>
      <c r="W55" s="9"/>
      <c r="X55" s="9"/>
      <c r="Y55" s="9"/>
      <c r="Z55" s="9"/>
      <c r="AA55" s="9"/>
      <c r="AB55" s="9"/>
      <c r="AC55" s="9"/>
      <c r="AD55" s="9"/>
      <c r="AE55" s="9"/>
      <c r="AF55" s="10" t="str">
        <f aca="false">IF(A55="","",SG_Criteria!$B$6&amp;SG_Criteria!$B$10&amp;"\"&amp;A55&amp;"\")</f>
        <v/>
      </c>
      <c r="AG55" s="10" t="str">
        <f aca="false">IF(A55="","",A55&amp;"_CAD.dwg")</f>
        <v/>
      </c>
      <c r="AH55" s="10" t="str">
        <f aca="false">IF(A55="","",A55&amp;"_DWG.pdf")</f>
        <v/>
      </c>
      <c r="AI55" s="10" t="str">
        <f aca="false">IF(A55="","",IF(AE55="Y",A55&amp;"_STAAD.std","n/a"))</f>
        <v/>
      </c>
      <c r="AJ55" s="10" t="str">
        <f aca="false">IF(A55="","",A55&amp;"_CALC.xlsx")</f>
        <v/>
      </c>
      <c r="AK55" s="10" t="str">
        <f aca="false">IF(A55="","",A55&amp;"_CALC.pdf")</f>
        <v/>
      </c>
      <c r="AL55" s="9"/>
      <c r="AM55" s="9"/>
      <c r="AN55" s="41"/>
      <c r="AO55" s="41"/>
      <c r="AP55" s="41"/>
      <c r="AQ55" s="41"/>
      <c r="AR55" s="41"/>
      <c r="AS55" s="38" t="str">
        <f aca="false">IF(C55="","",IF(LEN(IF(AND(S55&lt;&gt;"",IFERROR(VALUE(MID(S55,2,2)),0)&lt;SG_Criteria!$B$19),"FAIL: grade below C"&amp;SG_Criteria!$B$19&amp;". ","")&amp;IF(AND(T55&lt;&gt;"",T55&lt;SG_Criteria!$B$20),"FAIL: cover &lt; "&amp;SG_Criteria!$B$20&amp;" mm. ","")&amp;IF(AND(H55&lt;&gt;"",H55&lt;SG_Criteria!$B$39),"NOTE: min depth below PUB "&amp;SG_Criteria!$B$39&amp;" m. ","")&amp;IF(AND(LEFT(C55,8)="Standard",I55&gt;SG_Criteria!$B$42),"FAIL: PUB 001C covers manholes up to "&amp;SG_Criteria!$B$42&amp;" m deep only. ","")&amp;IF(AND(LEFT(C55,11)="Rectangular",J55&lt;SG_Criteria!$B$43),"NOTE: 004C is for sewers &gt;= "&amp;SG_Criteria!$B$43&amp;" dia. ","")&amp;IF(AND(LEFT(C55,7)="Precast",I55&lt;=SG_Criteria!$B$42),"NOTE: 006C is for manholes &gt; "&amp;SG_Criteria!$B$42&amp;" m deep. ","")&amp;IF(AND(J55&lt;&gt;"",J55&lt;SG_Criteria!$B$40,C55&lt;&gt;"Inspection Chamber"),"NOTE: public sewer min dia "&amp;SG_Criteria!$B$40&amp;" mm. ","")&amp;IF(AND(R55&lt;&gt;"",R55&lt;SG_Criteria!$B$44),"FAIL: uplift FOS below "&amp;SG_Criteria!$B$44&amp;". ",""))=0,"OK",IF(AND(S55&lt;&gt;"",IFERROR(VALUE(MID(S55,2,2)),0)&lt;SG_Criteria!$B$19),"FAIL: grade below C"&amp;SG_Criteria!$B$19&amp;". ","")&amp;IF(AND(T55&lt;&gt;"",T55&lt;SG_Criteria!$B$20),"FAIL: cover &lt; "&amp;SG_Criteria!$B$20&amp;" mm. ","")&amp;IF(AND(H55&lt;&gt;"",H55&lt;SG_Criteria!$B$39),"NOTE: min depth below PUB "&amp;SG_Criteria!$B$39&amp;" m. ","")&amp;IF(AND(LEFT(C55,8)="Standard",I55&gt;SG_Criteria!$B$42),"FAIL: PUB 001C covers manholes up to "&amp;SG_Criteria!$B$42&amp;" m deep only. ","")&amp;IF(AND(LEFT(C55,11)="Rectangular",J55&lt;SG_Criteria!$B$43),"NOTE: 004C is for sewers &gt;= "&amp;SG_Criteria!$B$43&amp;" dia. ","")&amp;IF(AND(LEFT(C55,7)="Precast",I55&lt;=SG_Criteria!$B$42),"NOTE: 006C is for manholes &gt; "&amp;SG_Criteria!$B$42&amp;" m deep. ","")&amp;IF(AND(J55&lt;&gt;"",J55&lt;SG_Criteria!$B$40,C55&lt;&gt;"Inspection Chamber"),"NOTE: public sewer min dia "&amp;SG_Criteria!$B$40&amp;" mm. ","")&amp;IF(AND(R55&lt;&gt;"",R55&lt;SG_Criteria!$B$44),"FAIL: uplift FOS below "&amp;SG_Criteria!$B$44&amp;". ","")))</f>
        <v/>
      </c>
      <c r="AT55" s="9"/>
      <c r="AU55" s="9"/>
      <c r="AV55" s="9"/>
      <c r="AW55" s="9"/>
      <c r="AX55" s="9"/>
      <c r="AY55" s="31"/>
      <c r="AZ55" s="10" t="str">
        <f aca="false">IF(C55="","",IF(AND(AB55="Approved",ISERROR(SEARCH("FAIL",AS55))),"Y","N"))</f>
        <v/>
      </c>
      <c r="BA55" s="10" t="str">
        <f aca="false">IF(C55="","",C55&amp;"|"&amp;I55&amp;"|"&amp;F55&amp;"|"&amp;AZ55)</f>
        <v/>
      </c>
    </row>
    <row r="56" customFormat="false" ht="15" hidden="false" customHeight="false" outlineLevel="0" collapsed="false">
      <c r="A56" s="10" t="str">
        <f aca="false">IF(C56="","","MH-"&amp;IFERROR(VLOOKUP(C56,Lists!$AB$4:$AC$20,2,0),"??")&amp;"-"&amp;TEXT(F56,"0000")&amp;IF(E56="Circular","D","x"&amp;TEXT(G56,"0000"))&amp;"-D"&amp;TEXT(I56*1000,"0000")&amp;"-"&amp;IFERROR(VLOOKUP(D56,Lists!$AE$4:$AF$16,2,0),"??")&amp;"-"&amp;AA56)</f>
        <v/>
      </c>
      <c r="B56" s="10" t="str">
        <f aca="false">IF(C56="","",C56&amp;", "&amp;D56&amp;", "&amp;IF(E56="Circular",F56&amp;" dia",F56&amp;" x "&amp;G56)&amp;", depth "&amp;TEXT(H56,"0.0")&amp;"-"&amp;TEXT(I56,"0.0")&amp;" m, pipe up to "&amp;J56&amp;" dia")</f>
        <v/>
      </c>
      <c r="C56" s="9"/>
      <c r="D56" s="9"/>
      <c r="E56" s="9"/>
      <c r="F56" s="40"/>
      <c r="G56" s="40"/>
      <c r="H56" s="43"/>
      <c r="I56" s="43"/>
      <c r="J56" s="40"/>
      <c r="K56" s="40"/>
      <c r="L56" s="40"/>
      <c r="M56" s="40"/>
      <c r="N56" s="9"/>
      <c r="O56" s="9"/>
      <c r="P56" s="9"/>
      <c r="Q56" s="9"/>
      <c r="R56" s="41"/>
      <c r="S56" s="9"/>
      <c r="T56" s="40"/>
      <c r="U56" s="9"/>
      <c r="V56" s="9"/>
      <c r="W56" s="9"/>
      <c r="X56" s="9"/>
      <c r="Y56" s="9"/>
      <c r="Z56" s="9"/>
      <c r="AA56" s="9"/>
      <c r="AB56" s="9"/>
      <c r="AC56" s="9"/>
      <c r="AD56" s="9"/>
      <c r="AE56" s="9"/>
      <c r="AF56" s="10" t="str">
        <f aca="false">IF(A56="","",SG_Criteria!$B$6&amp;SG_Criteria!$B$10&amp;"\"&amp;A56&amp;"\")</f>
        <v/>
      </c>
      <c r="AG56" s="10" t="str">
        <f aca="false">IF(A56="","",A56&amp;"_CAD.dwg")</f>
        <v/>
      </c>
      <c r="AH56" s="10" t="str">
        <f aca="false">IF(A56="","",A56&amp;"_DWG.pdf")</f>
        <v/>
      </c>
      <c r="AI56" s="10" t="str">
        <f aca="false">IF(A56="","",IF(AE56="Y",A56&amp;"_STAAD.std","n/a"))</f>
        <v/>
      </c>
      <c r="AJ56" s="10" t="str">
        <f aca="false">IF(A56="","",A56&amp;"_CALC.xlsx")</f>
        <v/>
      </c>
      <c r="AK56" s="10" t="str">
        <f aca="false">IF(A56="","",A56&amp;"_CALC.pdf")</f>
        <v/>
      </c>
      <c r="AL56" s="9"/>
      <c r="AM56" s="9"/>
      <c r="AN56" s="41"/>
      <c r="AO56" s="41"/>
      <c r="AP56" s="41"/>
      <c r="AQ56" s="41"/>
      <c r="AR56" s="41"/>
      <c r="AS56" s="38" t="str">
        <f aca="false">IF(C56="","",IF(LEN(IF(AND(S56&lt;&gt;"",IFERROR(VALUE(MID(S56,2,2)),0)&lt;SG_Criteria!$B$19),"FAIL: grade below C"&amp;SG_Criteria!$B$19&amp;". ","")&amp;IF(AND(T56&lt;&gt;"",T56&lt;SG_Criteria!$B$20),"FAIL: cover &lt; "&amp;SG_Criteria!$B$20&amp;" mm. ","")&amp;IF(AND(H56&lt;&gt;"",H56&lt;SG_Criteria!$B$39),"NOTE: min depth below PUB "&amp;SG_Criteria!$B$39&amp;" m. ","")&amp;IF(AND(LEFT(C56,8)="Standard",I56&gt;SG_Criteria!$B$42),"FAIL: PUB 001C covers manholes up to "&amp;SG_Criteria!$B$42&amp;" m deep only. ","")&amp;IF(AND(LEFT(C56,11)="Rectangular",J56&lt;SG_Criteria!$B$43),"NOTE: 004C is for sewers &gt;= "&amp;SG_Criteria!$B$43&amp;" dia. ","")&amp;IF(AND(LEFT(C56,7)="Precast",I56&lt;=SG_Criteria!$B$42),"NOTE: 006C is for manholes &gt; "&amp;SG_Criteria!$B$42&amp;" m deep. ","")&amp;IF(AND(J56&lt;&gt;"",J56&lt;SG_Criteria!$B$40,C56&lt;&gt;"Inspection Chamber"),"NOTE: public sewer min dia "&amp;SG_Criteria!$B$40&amp;" mm. ","")&amp;IF(AND(R56&lt;&gt;"",R56&lt;SG_Criteria!$B$44),"FAIL: uplift FOS below "&amp;SG_Criteria!$B$44&amp;". ",""))=0,"OK",IF(AND(S56&lt;&gt;"",IFERROR(VALUE(MID(S56,2,2)),0)&lt;SG_Criteria!$B$19),"FAIL: grade below C"&amp;SG_Criteria!$B$19&amp;". ","")&amp;IF(AND(T56&lt;&gt;"",T56&lt;SG_Criteria!$B$20),"FAIL: cover &lt; "&amp;SG_Criteria!$B$20&amp;" mm. ","")&amp;IF(AND(H56&lt;&gt;"",H56&lt;SG_Criteria!$B$39),"NOTE: min depth below PUB "&amp;SG_Criteria!$B$39&amp;" m. ","")&amp;IF(AND(LEFT(C56,8)="Standard",I56&gt;SG_Criteria!$B$42),"FAIL: PUB 001C covers manholes up to "&amp;SG_Criteria!$B$42&amp;" m deep only. ","")&amp;IF(AND(LEFT(C56,11)="Rectangular",J56&lt;SG_Criteria!$B$43),"NOTE: 004C is for sewers &gt;= "&amp;SG_Criteria!$B$43&amp;" dia. ","")&amp;IF(AND(LEFT(C56,7)="Precast",I56&lt;=SG_Criteria!$B$42),"NOTE: 006C is for manholes &gt; "&amp;SG_Criteria!$B$42&amp;" m deep. ","")&amp;IF(AND(J56&lt;&gt;"",J56&lt;SG_Criteria!$B$40,C56&lt;&gt;"Inspection Chamber"),"NOTE: public sewer min dia "&amp;SG_Criteria!$B$40&amp;" mm. ","")&amp;IF(AND(R56&lt;&gt;"",R56&lt;SG_Criteria!$B$44),"FAIL: uplift FOS below "&amp;SG_Criteria!$B$44&amp;". ","")))</f>
        <v/>
      </c>
      <c r="AT56" s="9"/>
      <c r="AU56" s="9"/>
      <c r="AV56" s="9"/>
      <c r="AW56" s="9"/>
      <c r="AX56" s="9"/>
      <c r="AY56" s="31"/>
      <c r="AZ56" s="10" t="str">
        <f aca="false">IF(C56="","",IF(AND(AB56="Approved",ISERROR(SEARCH("FAIL",AS56))),"Y","N"))</f>
        <v/>
      </c>
      <c r="BA56" s="10" t="str">
        <f aca="false">IF(C56="","",C56&amp;"|"&amp;I56&amp;"|"&amp;F56&amp;"|"&amp;AZ56)</f>
        <v/>
      </c>
    </row>
    <row r="57" customFormat="false" ht="15" hidden="false" customHeight="false" outlineLevel="0" collapsed="false">
      <c r="A57" s="10" t="str">
        <f aca="false">IF(C57="","","MH-"&amp;IFERROR(VLOOKUP(C57,Lists!$AB$4:$AC$20,2,0),"??")&amp;"-"&amp;TEXT(F57,"0000")&amp;IF(E57="Circular","D","x"&amp;TEXT(G57,"0000"))&amp;"-D"&amp;TEXT(I57*1000,"0000")&amp;"-"&amp;IFERROR(VLOOKUP(D57,Lists!$AE$4:$AF$16,2,0),"??")&amp;"-"&amp;AA57)</f>
        <v/>
      </c>
      <c r="B57" s="10" t="str">
        <f aca="false">IF(C57="","",C57&amp;", "&amp;D57&amp;", "&amp;IF(E57="Circular",F57&amp;" dia",F57&amp;" x "&amp;G57)&amp;", depth "&amp;TEXT(H57,"0.0")&amp;"-"&amp;TEXT(I57,"0.0")&amp;" m, pipe up to "&amp;J57&amp;" dia")</f>
        <v/>
      </c>
      <c r="C57" s="9"/>
      <c r="D57" s="9"/>
      <c r="E57" s="9"/>
      <c r="F57" s="40"/>
      <c r="G57" s="40"/>
      <c r="H57" s="43"/>
      <c r="I57" s="43"/>
      <c r="J57" s="40"/>
      <c r="K57" s="40"/>
      <c r="L57" s="40"/>
      <c r="M57" s="40"/>
      <c r="N57" s="9"/>
      <c r="O57" s="9"/>
      <c r="P57" s="9"/>
      <c r="Q57" s="9"/>
      <c r="R57" s="41"/>
      <c r="S57" s="9"/>
      <c r="T57" s="40"/>
      <c r="U57" s="9"/>
      <c r="V57" s="9"/>
      <c r="W57" s="9"/>
      <c r="X57" s="9"/>
      <c r="Y57" s="9"/>
      <c r="Z57" s="9"/>
      <c r="AA57" s="9"/>
      <c r="AB57" s="9"/>
      <c r="AC57" s="9"/>
      <c r="AD57" s="9"/>
      <c r="AE57" s="9"/>
      <c r="AF57" s="10" t="str">
        <f aca="false">IF(A57="","",SG_Criteria!$B$6&amp;SG_Criteria!$B$10&amp;"\"&amp;A57&amp;"\")</f>
        <v/>
      </c>
      <c r="AG57" s="10" t="str">
        <f aca="false">IF(A57="","",A57&amp;"_CAD.dwg")</f>
        <v/>
      </c>
      <c r="AH57" s="10" t="str">
        <f aca="false">IF(A57="","",A57&amp;"_DWG.pdf")</f>
        <v/>
      </c>
      <c r="AI57" s="10" t="str">
        <f aca="false">IF(A57="","",IF(AE57="Y",A57&amp;"_STAAD.std","n/a"))</f>
        <v/>
      </c>
      <c r="AJ57" s="10" t="str">
        <f aca="false">IF(A57="","",A57&amp;"_CALC.xlsx")</f>
        <v/>
      </c>
      <c r="AK57" s="10" t="str">
        <f aca="false">IF(A57="","",A57&amp;"_CALC.pdf")</f>
        <v/>
      </c>
      <c r="AL57" s="9"/>
      <c r="AM57" s="9"/>
      <c r="AN57" s="41"/>
      <c r="AO57" s="41"/>
      <c r="AP57" s="41"/>
      <c r="AQ57" s="41"/>
      <c r="AR57" s="41"/>
      <c r="AS57" s="38" t="str">
        <f aca="false">IF(C57="","",IF(LEN(IF(AND(S57&lt;&gt;"",IFERROR(VALUE(MID(S57,2,2)),0)&lt;SG_Criteria!$B$19),"FAIL: grade below C"&amp;SG_Criteria!$B$19&amp;". ","")&amp;IF(AND(T57&lt;&gt;"",T57&lt;SG_Criteria!$B$20),"FAIL: cover &lt; "&amp;SG_Criteria!$B$20&amp;" mm. ","")&amp;IF(AND(H57&lt;&gt;"",H57&lt;SG_Criteria!$B$39),"NOTE: min depth below PUB "&amp;SG_Criteria!$B$39&amp;" m. ","")&amp;IF(AND(LEFT(C57,8)="Standard",I57&gt;SG_Criteria!$B$42),"FAIL: PUB 001C covers manholes up to "&amp;SG_Criteria!$B$42&amp;" m deep only. ","")&amp;IF(AND(LEFT(C57,11)="Rectangular",J57&lt;SG_Criteria!$B$43),"NOTE: 004C is for sewers &gt;= "&amp;SG_Criteria!$B$43&amp;" dia. ","")&amp;IF(AND(LEFT(C57,7)="Precast",I57&lt;=SG_Criteria!$B$42),"NOTE: 006C is for manholes &gt; "&amp;SG_Criteria!$B$42&amp;" m deep. ","")&amp;IF(AND(J57&lt;&gt;"",J57&lt;SG_Criteria!$B$40,C57&lt;&gt;"Inspection Chamber"),"NOTE: public sewer min dia "&amp;SG_Criteria!$B$40&amp;" mm. ","")&amp;IF(AND(R57&lt;&gt;"",R57&lt;SG_Criteria!$B$44),"FAIL: uplift FOS below "&amp;SG_Criteria!$B$44&amp;". ",""))=0,"OK",IF(AND(S57&lt;&gt;"",IFERROR(VALUE(MID(S57,2,2)),0)&lt;SG_Criteria!$B$19),"FAIL: grade below C"&amp;SG_Criteria!$B$19&amp;". ","")&amp;IF(AND(T57&lt;&gt;"",T57&lt;SG_Criteria!$B$20),"FAIL: cover &lt; "&amp;SG_Criteria!$B$20&amp;" mm. ","")&amp;IF(AND(H57&lt;&gt;"",H57&lt;SG_Criteria!$B$39),"NOTE: min depth below PUB "&amp;SG_Criteria!$B$39&amp;" m. ","")&amp;IF(AND(LEFT(C57,8)="Standard",I57&gt;SG_Criteria!$B$42),"FAIL: PUB 001C covers manholes up to "&amp;SG_Criteria!$B$42&amp;" m deep only. ","")&amp;IF(AND(LEFT(C57,11)="Rectangular",J57&lt;SG_Criteria!$B$43),"NOTE: 004C is for sewers &gt;= "&amp;SG_Criteria!$B$43&amp;" dia. ","")&amp;IF(AND(LEFT(C57,7)="Precast",I57&lt;=SG_Criteria!$B$42),"NOTE: 006C is for manholes &gt; "&amp;SG_Criteria!$B$42&amp;" m deep. ","")&amp;IF(AND(J57&lt;&gt;"",J57&lt;SG_Criteria!$B$40,C57&lt;&gt;"Inspection Chamber"),"NOTE: public sewer min dia "&amp;SG_Criteria!$B$40&amp;" mm. ","")&amp;IF(AND(R57&lt;&gt;"",R57&lt;SG_Criteria!$B$44),"FAIL: uplift FOS below "&amp;SG_Criteria!$B$44&amp;". ","")))</f>
        <v/>
      </c>
      <c r="AT57" s="9"/>
      <c r="AU57" s="9"/>
      <c r="AV57" s="9"/>
      <c r="AW57" s="9"/>
      <c r="AX57" s="9"/>
      <c r="AY57" s="31"/>
      <c r="AZ57" s="10" t="str">
        <f aca="false">IF(C57="","",IF(AND(AB57="Approved",ISERROR(SEARCH("FAIL",AS57))),"Y","N"))</f>
        <v/>
      </c>
      <c r="BA57" s="10" t="str">
        <f aca="false">IF(C57="","",C57&amp;"|"&amp;I57&amp;"|"&amp;F57&amp;"|"&amp;AZ57)</f>
        <v/>
      </c>
    </row>
    <row r="58" customFormat="false" ht="15" hidden="false" customHeight="false" outlineLevel="0" collapsed="false">
      <c r="A58" s="10" t="str">
        <f aca="false">IF(C58="","","MH-"&amp;IFERROR(VLOOKUP(C58,Lists!$AB$4:$AC$20,2,0),"??")&amp;"-"&amp;TEXT(F58,"0000")&amp;IF(E58="Circular","D","x"&amp;TEXT(G58,"0000"))&amp;"-D"&amp;TEXT(I58*1000,"0000")&amp;"-"&amp;IFERROR(VLOOKUP(D58,Lists!$AE$4:$AF$16,2,0),"??")&amp;"-"&amp;AA58)</f>
        <v/>
      </c>
      <c r="B58" s="10" t="str">
        <f aca="false">IF(C58="","",C58&amp;", "&amp;D58&amp;", "&amp;IF(E58="Circular",F58&amp;" dia",F58&amp;" x "&amp;G58)&amp;", depth "&amp;TEXT(H58,"0.0")&amp;"-"&amp;TEXT(I58,"0.0")&amp;" m, pipe up to "&amp;J58&amp;" dia")</f>
        <v/>
      </c>
      <c r="C58" s="9"/>
      <c r="D58" s="9"/>
      <c r="E58" s="9"/>
      <c r="F58" s="40"/>
      <c r="G58" s="40"/>
      <c r="H58" s="43"/>
      <c r="I58" s="43"/>
      <c r="J58" s="40"/>
      <c r="K58" s="40"/>
      <c r="L58" s="40"/>
      <c r="M58" s="40"/>
      <c r="N58" s="9"/>
      <c r="O58" s="9"/>
      <c r="P58" s="9"/>
      <c r="Q58" s="9"/>
      <c r="R58" s="41"/>
      <c r="S58" s="9"/>
      <c r="T58" s="40"/>
      <c r="U58" s="9"/>
      <c r="V58" s="9"/>
      <c r="W58" s="9"/>
      <c r="X58" s="9"/>
      <c r="Y58" s="9"/>
      <c r="Z58" s="9"/>
      <c r="AA58" s="9"/>
      <c r="AB58" s="9"/>
      <c r="AC58" s="9"/>
      <c r="AD58" s="9"/>
      <c r="AE58" s="9"/>
      <c r="AF58" s="10" t="str">
        <f aca="false">IF(A58="","",SG_Criteria!$B$6&amp;SG_Criteria!$B$10&amp;"\"&amp;A58&amp;"\")</f>
        <v/>
      </c>
      <c r="AG58" s="10" t="str">
        <f aca="false">IF(A58="","",A58&amp;"_CAD.dwg")</f>
        <v/>
      </c>
      <c r="AH58" s="10" t="str">
        <f aca="false">IF(A58="","",A58&amp;"_DWG.pdf")</f>
        <v/>
      </c>
      <c r="AI58" s="10" t="str">
        <f aca="false">IF(A58="","",IF(AE58="Y",A58&amp;"_STAAD.std","n/a"))</f>
        <v/>
      </c>
      <c r="AJ58" s="10" t="str">
        <f aca="false">IF(A58="","",A58&amp;"_CALC.xlsx")</f>
        <v/>
      </c>
      <c r="AK58" s="10" t="str">
        <f aca="false">IF(A58="","",A58&amp;"_CALC.pdf")</f>
        <v/>
      </c>
      <c r="AL58" s="9"/>
      <c r="AM58" s="9"/>
      <c r="AN58" s="41"/>
      <c r="AO58" s="41"/>
      <c r="AP58" s="41"/>
      <c r="AQ58" s="41"/>
      <c r="AR58" s="41"/>
      <c r="AS58" s="38" t="str">
        <f aca="false">IF(C58="","",IF(LEN(IF(AND(S58&lt;&gt;"",IFERROR(VALUE(MID(S58,2,2)),0)&lt;SG_Criteria!$B$19),"FAIL: grade below C"&amp;SG_Criteria!$B$19&amp;". ","")&amp;IF(AND(T58&lt;&gt;"",T58&lt;SG_Criteria!$B$20),"FAIL: cover &lt; "&amp;SG_Criteria!$B$20&amp;" mm. ","")&amp;IF(AND(H58&lt;&gt;"",H58&lt;SG_Criteria!$B$39),"NOTE: min depth below PUB "&amp;SG_Criteria!$B$39&amp;" m. ","")&amp;IF(AND(LEFT(C58,8)="Standard",I58&gt;SG_Criteria!$B$42),"FAIL: PUB 001C covers manholes up to "&amp;SG_Criteria!$B$42&amp;" m deep only. ","")&amp;IF(AND(LEFT(C58,11)="Rectangular",J58&lt;SG_Criteria!$B$43),"NOTE: 004C is for sewers &gt;= "&amp;SG_Criteria!$B$43&amp;" dia. ","")&amp;IF(AND(LEFT(C58,7)="Precast",I58&lt;=SG_Criteria!$B$42),"NOTE: 006C is for manholes &gt; "&amp;SG_Criteria!$B$42&amp;" m deep. ","")&amp;IF(AND(J58&lt;&gt;"",J58&lt;SG_Criteria!$B$40,C58&lt;&gt;"Inspection Chamber"),"NOTE: public sewer min dia "&amp;SG_Criteria!$B$40&amp;" mm. ","")&amp;IF(AND(R58&lt;&gt;"",R58&lt;SG_Criteria!$B$44),"FAIL: uplift FOS below "&amp;SG_Criteria!$B$44&amp;". ",""))=0,"OK",IF(AND(S58&lt;&gt;"",IFERROR(VALUE(MID(S58,2,2)),0)&lt;SG_Criteria!$B$19),"FAIL: grade below C"&amp;SG_Criteria!$B$19&amp;". ","")&amp;IF(AND(T58&lt;&gt;"",T58&lt;SG_Criteria!$B$20),"FAIL: cover &lt; "&amp;SG_Criteria!$B$20&amp;" mm. ","")&amp;IF(AND(H58&lt;&gt;"",H58&lt;SG_Criteria!$B$39),"NOTE: min depth below PUB "&amp;SG_Criteria!$B$39&amp;" m. ","")&amp;IF(AND(LEFT(C58,8)="Standard",I58&gt;SG_Criteria!$B$42),"FAIL: PUB 001C covers manholes up to "&amp;SG_Criteria!$B$42&amp;" m deep only. ","")&amp;IF(AND(LEFT(C58,11)="Rectangular",J58&lt;SG_Criteria!$B$43),"NOTE: 004C is for sewers &gt;= "&amp;SG_Criteria!$B$43&amp;" dia. ","")&amp;IF(AND(LEFT(C58,7)="Precast",I58&lt;=SG_Criteria!$B$42),"NOTE: 006C is for manholes &gt; "&amp;SG_Criteria!$B$42&amp;" m deep. ","")&amp;IF(AND(J58&lt;&gt;"",J58&lt;SG_Criteria!$B$40,C58&lt;&gt;"Inspection Chamber"),"NOTE: public sewer min dia "&amp;SG_Criteria!$B$40&amp;" mm. ","")&amp;IF(AND(R58&lt;&gt;"",R58&lt;SG_Criteria!$B$44),"FAIL: uplift FOS below "&amp;SG_Criteria!$B$44&amp;". ","")))</f>
        <v/>
      </c>
      <c r="AT58" s="9"/>
      <c r="AU58" s="9"/>
      <c r="AV58" s="9"/>
      <c r="AW58" s="9"/>
      <c r="AX58" s="9"/>
      <c r="AY58" s="31"/>
      <c r="AZ58" s="10" t="str">
        <f aca="false">IF(C58="","",IF(AND(AB58="Approved",ISERROR(SEARCH("FAIL",AS58))),"Y","N"))</f>
        <v/>
      </c>
      <c r="BA58" s="10" t="str">
        <f aca="false">IF(C58="","",C58&amp;"|"&amp;I58&amp;"|"&amp;F58&amp;"|"&amp;AZ58)</f>
        <v/>
      </c>
    </row>
    <row r="59" customFormat="false" ht="15" hidden="false" customHeight="false" outlineLevel="0" collapsed="false">
      <c r="A59" s="10" t="str">
        <f aca="false">IF(C59="","","MH-"&amp;IFERROR(VLOOKUP(C59,Lists!$AB$4:$AC$20,2,0),"??")&amp;"-"&amp;TEXT(F59,"0000")&amp;IF(E59="Circular","D","x"&amp;TEXT(G59,"0000"))&amp;"-D"&amp;TEXT(I59*1000,"0000")&amp;"-"&amp;IFERROR(VLOOKUP(D59,Lists!$AE$4:$AF$16,2,0),"??")&amp;"-"&amp;AA59)</f>
        <v/>
      </c>
      <c r="B59" s="10" t="str">
        <f aca="false">IF(C59="","",C59&amp;", "&amp;D59&amp;", "&amp;IF(E59="Circular",F59&amp;" dia",F59&amp;" x "&amp;G59)&amp;", depth "&amp;TEXT(H59,"0.0")&amp;"-"&amp;TEXT(I59,"0.0")&amp;" m, pipe up to "&amp;J59&amp;" dia")</f>
        <v/>
      </c>
      <c r="C59" s="9"/>
      <c r="D59" s="9"/>
      <c r="E59" s="9"/>
      <c r="F59" s="40"/>
      <c r="G59" s="40"/>
      <c r="H59" s="43"/>
      <c r="I59" s="43"/>
      <c r="J59" s="40"/>
      <c r="K59" s="40"/>
      <c r="L59" s="40"/>
      <c r="M59" s="40"/>
      <c r="N59" s="9"/>
      <c r="O59" s="9"/>
      <c r="P59" s="9"/>
      <c r="Q59" s="9"/>
      <c r="R59" s="41"/>
      <c r="S59" s="9"/>
      <c r="T59" s="40"/>
      <c r="U59" s="9"/>
      <c r="V59" s="9"/>
      <c r="W59" s="9"/>
      <c r="X59" s="9"/>
      <c r="Y59" s="9"/>
      <c r="Z59" s="9"/>
      <c r="AA59" s="9"/>
      <c r="AB59" s="9"/>
      <c r="AC59" s="9"/>
      <c r="AD59" s="9"/>
      <c r="AE59" s="9"/>
      <c r="AF59" s="10" t="str">
        <f aca="false">IF(A59="","",SG_Criteria!$B$6&amp;SG_Criteria!$B$10&amp;"\"&amp;A59&amp;"\")</f>
        <v/>
      </c>
      <c r="AG59" s="10" t="str">
        <f aca="false">IF(A59="","",A59&amp;"_CAD.dwg")</f>
        <v/>
      </c>
      <c r="AH59" s="10" t="str">
        <f aca="false">IF(A59="","",A59&amp;"_DWG.pdf")</f>
        <v/>
      </c>
      <c r="AI59" s="10" t="str">
        <f aca="false">IF(A59="","",IF(AE59="Y",A59&amp;"_STAAD.std","n/a"))</f>
        <v/>
      </c>
      <c r="AJ59" s="10" t="str">
        <f aca="false">IF(A59="","",A59&amp;"_CALC.xlsx")</f>
        <v/>
      </c>
      <c r="AK59" s="10" t="str">
        <f aca="false">IF(A59="","",A59&amp;"_CALC.pdf")</f>
        <v/>
      </c>
      <c r="AL59" s="9"/>
      <c r="AM59" s="9"/>
      <c r="AN59" s="41"/>
      <c r="AO59" s="41"/>
      <c r="AP59" s="41"/>
      <c r="AQ59" s="41"/>
      <c r="AR59" s="41"/>
      <c r="AS59" s="38" t="str">
        <f aca="false">IF(C59="","",IF(LEN(IF(AND(S59&lt;&gt;"",IFERROR(VALUE(MID(S59,2,2)),0)&lt;SG_Criteria!$B$19),"FAIL: grade below C"&amp;SG_Criteria!$B$19&amp;". ","")&amp;IF(AND(T59&lt;&gt;"",T59&lt;SG_Criteria!$B$20),"FAIL: cover &lt; "&amp;SG_Criteria!$B$20&amp;" mm. ","")&amp;IF(AND(H59&lt;&gt;"",H59&lt;SG_Criteria!$B$39),"NOTE: min depth below PUB "&amp;SG_Criteria!$B$39&amp;" m. ","")&amp;IF(AND(LEFT(C59,8)="Standard",I59&gt;SG_Criteria!$B$42),"FAIL: PUB 001C covers manholes up to "&amp;SG_Criteria!$B$42&amp;" m deep only. ","")&amp;IF(AND(LEFT(C59,11)="Rectangular",J59&lt;SG_Criteria!$B$43),"NOTE: 004C is for sewers &gt;= "&amp;SG_Criteria!$B$43&amp;" dia. ","")&amp;IF(AND(LEFT(C59,7)="Precast",I59&lt;=SG_Criteria!$B$42),"NOTE: 006C is for manholes &gt; "&amp;SG_Criteria!$B$42&amp;" m deep. ","")&amp;IF(AND(J59&lt;&gt;"",J59&lt;SG_Criteria!$B$40,C59&lt;&gt;"Inspection Chamber"),"NOTE: public sewer min dia "&amp;SG_Criteria!$B$40&amp;" mm. ","")&amp;IF(AND(R59&lt;&gt;"",R59&lt;SG_Criteria!$B$44),"FAIL: uplift FOS below "&amp;SG_Criteria!$B$44&amp;". ",""))=0,"OK",IF(AND(S59&lt;&gt;"",IFERROR(VALUE(MID(S59,2,2)),0)&lt;SG_Criteria!$B$19),"FAIL: grade below C"&amp;SG_Criteria!$B$19&amp;". ","")&amp;IF(AND(T59&lt;&gt;"",T59&lt;SG_Criteria!$B$20),"FAIL: cover &lt; "&amp;SG_Criteria!$B$20&amp;" mm. ","")&amp;IF(AND(H59&lt;&gt;"",H59&lt;SG_Criteria!$B$39),"NOTE: min depth below PUB "&amp;SG_Criteria!$B$39&amp;" m. ","")&amp;IF(AND(LEFT(C59,8)="Standard",I59&gt;SG_Criteria!$B$42),"FAIL: PUB 001C covers manholes up to "&amp;SG_Criteria!$B$42&amp;" m deep only. ","")&amp;IF(AND(LEFT(C59,11)="Rectangular",J59&lt;SG_Criteria!$B$43),"NOTE: 004C is for sewers &gt;= "&amp;SG_Criteria!$B$43&amp;" dia. ","")&amp;IF(AND(LEFT(C59,7)="Precast",I59&lt;=SG_Criteria!$B$42),"NOTE: 006C is for manholes &gt; "&amp;SG_Criteria!$B$42&amp;" m deep. ","")&amp;IF(AND(J59&lt;&gt;"",J59&lt;SG_Criteria!$B$40,C59&lt;&gt;"Inspection Chamber"),"NOTE: public sewer min dia "&amp;SG_Criteria!$B$40&amp;" mm. ","")&amp;IF(AND(R59&lt;&gt;"",R59&lt;SG_Criteria!$B$44),"FAIL: uplift FOS below "&amp;SG_Criteria!$B$44&amp;". ","")))</f>
        <v/>
      </c>
      <c r="AT59" s="9"/>
      <c r="AU59" s="9"/>
      <c r="AV59" s="9"/>
      <c r="AW59" s="9"/>
      <c r="AX59" s="9"/>
      <c r="AY59" s="31"/>
      <c r="AZ59" s="10" t="str">
        <f aca="false">IF(C59="","",IF(AND(AB59="Approved",ISERROR(SEARCH("FAIL",AS59))),"Y","N"))</f>
        <v/>
      </c>
      <c r="BA59" s="10" t="str">
        <f aca="false">IF(C59="","",C59&amp;"|"&amp;I59&amp;"|"&amp;F59&amp;"|"&amp;AZ59)</f>
        <v/>
      </c>
    </row>
    <row r="60" customFormat="false" ht="15" hidden="false" customHeight="false" outlineLevel="0" collapsed="false">
      <c r="A60" s="10" t="str">
        <f aca="false">IF(C60="","","MH-"&amp;IFERROR(VLOOKUP(C60,Lists!$AB$4:$AC$20,2,0),"??")&amp;"-"&amp;TEXT(F60,"0000")&amp;IF(E60="Circular","D","x"&amp;TEXT(G60,"0000"))&amp;"-D"&amp;TEXT(I60*1000,"0000")&amp;"-"&amp;IFERROR(VLOOKUP(D60,Lists!$AE$4:$AF$16,2,0),"??")&amp;"-"&amp;AA60)</f>
        <v/>
      </c>
      <c r="B60" s="10" t="str">
        <f aca="false">IF(C60="","",C60&amp;", "&amp;D60&amp;", "&amp;IF(E60="Circular",F60&amp;" dia",F60&amp;" x "&amp;G60)&amp;", depth "&amp;TEXT(H60,"0.0")&amp;"-"&amp;TEXT(I60,"0.0")&amp;" m, pipe up to "&amp;J60&amp;" dia")</f>
        <v/>
      </c>
      <c r="C60" s="9"/>
      <c r="D60" s="9"/>
      <c r="E60" s="9"/>
      <c r="F60" s="40"/>
      <c r="G60" s="40"/>
      <c r="H60" s="43"/>
      <c r="I60" s="43"/>
      <c r="J60" s="40"/>
      <c r="K60" s="40"/>
      <c r="L60" s="40"/>
      <c r="M60" s="40"/>
      <c r="N60" s="9"/>
      <c r="O60" s="9"/>
      <c r="P60" s="9"/>
      <c r="Q60" s="9"/>
      <c r="R60" s="41"/>
      <c r="S60" s="9"/>
      <c r="T60" s="40"/>
      <c r="U60" s="9"/>
      <c r="V60" s="9"/>
      <c r="W60" s="9"/>
      <c r="X60" s="9"/>
      <c r="Y60" s="9"/>
      <c r="Z60" s="9"/>
      <c r="AA60" s="9"/>
      <c r="AB60" s="9"/>
      <c r="AC60" s="9"/>
      <c r="AD60" s="9"/>
      <c r="AE60" s="9"/>
      <c r="AF60" s="10" t="str">
        <f aca="false">IF(A60="","",SG_Criteria!$B$6&amp;SG_Criteria!$B$10&amp;"\"&amp;A60&amp;"\")</f>
        <v/>
      </c>
      <c r="AG60" s="10" t="str">
        <f aca="false">IF(A60="","",A60&amp;"_CAD.dwg")</f>
        <v/>
      </c>
      <c r="AH60" s="10" t="str">
        <f aca="false">IF(A60="","",A60&amp;"_DWG.pdf")</f>
        <v/>
      </c>
      <c r="AI60" s="10" t="str">
        <f aca="false">IF(A60="","",IF(AE60="Y",A60&amp;"_STAAD.std","n/a"))</f>
        <v/>
      </c>
      <c r="AJ60" s="10" t="str">
        <f aca="false">IF(A60="","",A60&amp;"_CALC.xlsx")</f>
        <v/>
      </c>
      <c r="AK60" s="10" t="str">
        <f aca="false">IF(A60="","",A60&amp;"_CALC.pdf")</f>
        <v/>
      </c>
      <c r="AL60" s="9"/>
      <c r="AM60" s="9"/>
      <c r="AN60" s="41"/>
      <c r="AO60" s="41"/>
      <c r="AP60" s="41"/>
      <c r="AQ60" s="41"/>
      <c r="AR60" s="41"/>
      <c r="AS60" s="38" t="str">
        <f aca="false">IF(C60="","",IF(LEN(IF(AND(S60&lt;&gt;"",IFERROR(VALUE(MID(S60,2,2)),0)&lt;SG_Criteria!$B$19),"FAIL: grade below C"&amp;SG_Criteria!$B$19&amp;". ","")&amp;IF(AND(T60&lt;&gt;"",T60&lt;SG_Criteria!$B$20),"FAIL: cover &lt; "&amp;SG_Criteria!$B$20&amp;" mm. ","")&amp;IF(AND(H60&lt;&gt;"",H60&lt;SG_Criteria!$B$39),"NOTE: min depth below PUB "&amp;SG_Criteria!$B$39&amp;" m. ","")&amp;IF(AND(LEFT(C60,8)="Standard",I60&gt;SG_Criteria!$B$42),"FAIL: PUB 001C covers manholes up to "&amp;SG_Criteria!$B$42&amp;" m deep only. ","")&amp;IF(AND(LEFT(C60,11)="Rectangular",J60&lt;SG_Criteria!$B$43),"NOTE: 004C is for sewers &gt;= "&amp;SG_Criteria!$B$43&amp;" dia. ","")&amp;IF(AND(LEFT(C60,7)="Precast",I60&lt;=SG_Criteria!$B$42),"NOTE: 006C is for manholes &gt; "&amp;SG_Criteria!$B$42&amp;" m deep. ","")&amp;IF(AND(J60&lt;&gt;"",J60&lt;SG_Criteria!$B$40,C60&lt;&gt;"Inspection Chamber"),"NOTE: public sewer min dia "&amp;SG_Criteria!$B$40&amp;" mm. ","")&amp;IF(AND(R60&lt;&gt;"",R60&lt;SG_Criteria!$B$44),"FAIL: uplift FOS below "&amp;SG_Criteria!$B$44&amp;". ",""))=0,"OK",IF(AND(S60&lt;&gt;"",IFERROR(VALUE(MID(S60,2,2)),0)&lt;SG_Criteria!$B$19),"FAIL: grade below C"&amp;SG_Criteria!$B$19&amp;". ","")&amp;IF(AND(T60&lt;&gt;"",T60&lt;SG_Criteria!$B$20),"FAIL: cover &lt; "&amp;SG_Criteria!$B$20&amp;" mm. ","")&amp;IF(AND(H60&lt;&gt;"",H60&lt;SG_Criteria!$B$39),"NOTE: min depth below PUB "&amp;SG_Criteria!$B$39&amp;" m. ","")&amp;IF(AND(LEFT(C60,8)="Standard",I60&gt;SG_Criteria!$B$42),"FAIL: PUB 001C covers manholes up to "&amp;SG_Criteria!$B$42&amp;" m deep only. ","")&amp;IF(AND(LEFT(C60,11)="Rectangular",J60&lt;SG_Criteria!$B$43),"NOTE: 004C is for sewers &gt;= "&amp;SG_Criteria!$B$43&amp;" dia. ","")&amp;IF(AND(LEFT(C60,7)="Precast",I60&lt;=SG_Criteria!$B$42),"NOTE: 006C is for manholes &gt; "&amp;SG_Criteria!$B$42&amp;" m deep. ","")&amp;IF(AND(J60&lt;&gt;"",J60&lt;SG_Criteria!$B$40,C60&lt;&gt;"Inspection Chamber"),"NOTE: public sewer min dia "&amp;SG_Criteria!$B$40&amp;" mm. ","")&amp;IF(AND(R60&lt;&gt;"",R60&lt;SG_Criteria!$B$44),"FAIL: uplift FOS below "&amp;SG_Criteria!$B$44&amp;". ","")))</f>
        <v/>
      </c>
      <c r="AT60" s="9"/>
      <c r="AU60" s="9"/>
      <c r="AV60" s="9"/>
      <c r="AW60" s="9"/>
      <c r="AX60" s="9"/>
      <c r="AY60" s="31"/>
      <c r="AZ60" s="10" t="str">
        <f aca="false">IF(C60="","",IF(AND(AB60="Approved",ISERROR(SEARCH("FAIL",AS60))),"Y","N"))</f>
        <v/>
      </c>
      <c r="BA60" s="10" t="str">
        <f aca="false">IF(C60="","",C60&amp;"|"&amp;I60&amp;"|"&amp;F60&amp;"|"&amp;AZ60)</f>
        <v/>
      </c>
    </row>
    <row r="61" customFormat="false" ht="15" hidden="false" customHeight="false" outlineLevel="0" collapsed="false">
      <c r="A61" s="10" t="str">
        <f aca="false">IF(C61="","","MH-"&amp;IFERROR(VLOOKUP(C61,Lists!$AB$4:$AC$20,2,0),"??")&amp;"-"&amp;TEXT(F61,"0000")&amp;IF(E61="Circular","D","x"&amp;TEXT(G61,"0000"))&amp;"-D"&amp;TEXT(I61*1000,"0000")&amp;"-"&amp;IFERROR(VLOOKUP(D61,Lists!$AE$4:$AF$16,2,0),"??")&amp;"-"&amp;AA61)</f>
        <v/>
      </c>
      <c r="B61" s="10" t="str">
        <f aca="false">IF(C61="","",C61&amp;", "&amp;D61&amp;", "&amp;IF(E61="Circular",F61&amp;" dia",F61&amp;" x "&amp;G61)&amp;", depth "&amp;TEXT(H61,"0.0")&amp;"-"&amp;TEXT(I61,"0.0")&amp;" m, pipe up to "&amp;J61&amp;" dia")</f>
        <v/>
      </c>
      <c r="C61" s="9"/>
      <c r="D61" s="9"/>
      <c r="E61" s="9"/>
      <c r="F61" s="40"/>
      <c r="G61" s="40"/>
      <c r="H61" s="43"/>
      <c r="I61" s="43"/>
      <c r="J61" s="40"/>
      <c r="K61" s="40"/>
      <c r="L61" s="40"/>
      <c r="M61" s="40"/>
      <c r="N61" s="9"/>
      <c r="O61" s="9"/>
      <c r="P61" s="9"/>
      <c r="Q61" s="9"/>
      <c r="R61" s="41"/>
      <c r="S61" s="9"/>
      <c r="T61" s="40"/>
      <c r="U61" s="9"/>
      <c r="V61" s="9"/>
      <c r="W61" s="9"/>
      <c r="X61" s="9"/>
      <c r="Y61" s="9"/>
      <c r="Z61" s="9"/>
      <c r="AA61" s="9"/>
      <c r="AB61" s="9"/>
      <c r="AC61" s="9"/>
      <c r="AD61" s="9"/>
      <c r="AE61" s="9"/>
      <c r="AF61" s="10" t="str">
        <f aca="false">IF(A61="","",SG_Criteria!$B$6&amp;SG_Criteria!$B$10&amp;"\"&amp;A61&amp;"\")</f>
        <v/>
      </c>
      <c r="AG61" s="10" t="str">
        <f aca="false">IF(A61="","",A61&amp;"_CAD.dwg")</f>
        <v/>
      </c>
      <c r="AH61" s="10" t="str">
        <f aca="false">IF(A61="","",A61&amp;"_DWG.pdf")</f>
        <v/>
      </c>
      <c r="AI61" s="10" t="str">
        <f aca="false">IF(A61="","",IF(AE61="Y",A61&amp;"_STAAD.std","n/a"))</f>
        <v/>
      </c>
      <c r="AJ61" s="10" t="str">
        <f aca="false">IF(A61="","",A61&amp;"_CALC.xlsx")</f>
        <v/>
      </c>
      <c r="AK61" s="10" t="str">
        <f aca="false">IF(A61="","",A61&amp;"_CALC.pdf")</f>
        <v/>
      </c>
      <c r="AL61" s="9"/>
      <c r="AM61" s="9"/>
      <c r="AN61" s="41"/>
      <c r="AO61" s="41"/>
      <c r="AP61" s="41"/>
      <c r="AQ61" s="41"/>
      <c r="AR61" s="41"/>
      <c r="AS61" s="38" t="str">
        <f aca="false">IF(C61="","",IF(LEN(IF(AND(S61&lt;&gt;"",IFERROR(VALUE(MID(S61,2,2)),0)&lt;SG_Criteria!$B$19),"FAIL: grade below C"&amp;SG_Criteria!$B$19&amp;". ","")&amp;IF(AND(T61&lt;&gt;"",T61&lt;SG_Criteria!$B$20),"FAIL: cover &lt; "&amp;SG_Criteria!$B$20&amp;" mm. ","")&amp;IF(AND(H61&lt;&gt;"",H61&lt;SG_Criteria!$B$39),"NOTE: min depth below PUB "&amp;SG_Criteria!$B$39&amp;" m. ","")&amp;IF(AND(LEFT(C61,8)="Standard",I61&gt;SG_Criteria!$B$42),"FAIL: PUB 001C covers manholes up to "&amp;SG_Criteria!$B$42&amp;" m deep only. ","")&amp;IF(AND(LEFT(C61,11)="Rectangular",J61&lt;SG_Criteria!$B$43),"NOTE: 004C is for sewers &gt;= "&amp;SG_Criteria!$B$43&amp;" dia. ","")&amp;IF(AND(LEFT(C61,7)="Precast",I61&lt;=SG_Criteria!$B$42),"NOTE: 006C is for manholes &gt; "&amp;SG_Criteria!$B$42&amp;" m deep. ","")&amp;IF(AND(J61&lt;&gt;"",J61&lt;SG_Criteria!$B$40,C61&lt;&gt;"Inspection Chamber"),"NOTE: public sewer min dia "&amp;SG_Criteria!$B$40&amp;" mm. ","")&amp;IF(AND(R61&lt;&gt;"",R61&lt;SG_Criteria!$B$44),"FAIL: uplift FOS below "&amp;SG_Criteria!$B$44&amp;". ",""))=0,"OK",IF(AND(S61&lt;&gt;"",IFERROR(VALUE(MID(S61,2,2)),0)&lt;SG_Criteria!$B$19),"FAIL: grade below C"&amp;SG_Criteria!$B$19&amp;". ","")&amp;IF(AND(T61&lt;&gt;"",T61&lt;SG_Criteria!$B$20),"FAIL: cover &lt; "&amp;SG_Criteria!$B$20&amp;" mm. ","")&amp;IF(AND(H61&lt;&gt;"",H61&lt;SG_Criteria!$B$39),"NOTE: min depth below PUB "&amp;SG_Criteria!$B$39&amp;" m. ","")&amp;IF(AND(LEFT(C61,8)="Standard",I61&gt;SG_Criteria!$B$42),"FAIL: PUB 001C covers manholes up to "&amp;SG_Criteria!$B$42&amp;" m deep only. ","")&amp;IF(AND(LEFT(C61,11)="Rectangular",J61&lt;SG_Criteria!$B$43),"NOTE: 004C is for sewers &gt;= "&amp;SG_Criteria!$B$43&amp;" dia. ","")&amp;IF(AND(LEFT(C61,7)="Precast",I61&lt;=SG_Criteria!$B$42),"NOTE: 006C is for manholes &gt; "&amp;SG_Criteria!$B$42&amp;" m deep. ","")&amp;IF(AND(J61&lt;&gt;"",J61&lt;SG_Criteria!$B$40,C61&lt;&gt;"Inspection Chamber"),"NOTE: public sewer min dia "&amp;SG_Criteria!$B$40&amp;" mm. ","")&amp;IF(AND(R61&lt;&gt;"",R61&lt;SG_Criteria!$B$44),"FAIL: uplift FOS below "&amp;SG_Criteria!$B$44&amp;". ","")))</f>
        <v/>
      </c>
      <c r="AT61" s="9"/>
      <c r="AU61" s="9"/>
      <c r="AV61" s="9"/>
      <c r="AW61" s="9"/>
      <c r="AX61" s="9"/>
      <c r="AY61" s="31"/>
      <c r="AZ61" s="10" t="str">
        <f aca="false">IF(C61="","",IF(AND(AB61="Approved",ISERROR(SEARCH("FAIL",AS61))),"Y","N"))</f>
        <v/>
      </c>
      <c r="BA61" s="10" t="str">
        <f aca="false">IF(C61="","",C61&amp;"|"&amp;I61&amp;"|"&amp;F61&amp;"|"&amp;AZ61)</f>
        <v/>
      </c>
    </row>
    <row r="62" customFormat="false" ht="15" hidden="false" customHeight="false" outlineLevel="0" collapsed="false">
      <c r="A62" s="10" t="str">
        <f aca="false">IF(C62="","","MH-"&amp;IFERROR(VLOOKUP(C62,Lists!$AB$4:$AC$20,2,0),"??")&amp;"-"&amp;TEXT(F62,"0000")&amp;IF(E62="Circular","D","x"&amp;TEXT(G62,"0000"))&amp;"-D"&amp;TEXT(I62*1000,"0000")&amp;"-"&amp;IFERROR(VLOOKUP(D62,Lists!$AE$4:$AF$16,2,0),"??")&amp;"-"&amp;AA62)</f>
        <v/>
      </c>
      <c r="B62" s="10" t="str">
        <f aca="false">IF(C62="","",C62&amp;", "&amp;D62&amp;", "&amp;IF(E62="Circular",F62&amp;" dia",F62&amp;" x "&amp;G62)&amp;", depth "&amp;TEXT(H62,"0.0")&amp;"-"&amp;TEXT(I62,"0.0")&amp;" m, pipe up to "&amp;J62&amp;" dia")</f>
        <v/>
      </c>
      <c r="C62" s="9"/>
      <c r="D62" s="9"/>
      <c r="E62" s="9"/>
      <c r="F62" s="40"/>
      <c r="G62" s="40"/>
      <c r="H62" s="43"/>
      <c r="I62" s="43"/>
      <c r="J62" s="40"/>
      <c r="K62" s="40"/>
      <c r="L62" s="40"/>
      <c r="M62" s="40"/>
      <c r="N62" s="9"/>
      <c r="O62" s="9"/>
      <c r="P62" s="9"/>
      <c r="Q62" s="9"/>
      <c r="R62" s="41"/>
      <c r="S62" s="9"/>
      <c r="T62" s="40"/>
      <c r="U62" s="9"/>
      <c r="V62" s="9"/>
      <c r="W62" s="9"/>
      <c r="X62" s="9"/>
      <c r="Y62" s="9"/>
      <c r="Z62" s="9"/>
      <c r="AA62" s="9"/>
      <c r="AB62" s="9"/>
      <c r="AC62" s="9"/>
      <c r="AD62" s="9"/>
      <c r="AE62" s="9"/>
      <c r="AF62" s="10" t="str">
        <f aca="false">IF(A62="","",SG_Criteria!$B$6&amp;SG_Criteria!$B$10&amp;"\"&amp;A62&amp;"\")</f>
        <v/>
      </c>
      <c r="AG62" s="10" t="str">
        <f aca="false">IF(A62="","",A62&amp;"_CAD.dwg")</f>
        <v/>
      </c>
      <c r="AH62" s="10" t="str">
        <f aca="false">IF(A62="","",A62&amp;"_DWG.pdf")</f>
        <v/>
      </c>
      <c r="AI62" s="10" t="str">
        <f aca="false">IF(A62="","",IF(AE62="Y",A62&amp;"_STAAD.std","n/a"))</f>
        <v/>
      </c>
      <c r="AJ62" s="10" t="str">
        <f aca="false">IF(A62="","",A62&amp;"_CALC.xlsx")</f>
        <v/>
      </c>
      <c r="AK62" s="10" t="str">
        <f aca="false">IF(A62="","",A62&amp;"_CALC.pdf")</f>
        <v/>
      </c>
      <c r="AL62" s="9"/>
      <c r="AM62" s="9"/>
      <c r="AN62" s="41"/>
      <c r="AO62" s="41"/>
      <c r="AP62" s="41"/>
      <c r="AQ62" s="41"/>
      <c r="AR62" s="41"/>
      <c r="AS62" s="38" t="str">
        <f aca="false">IF(C62="","",IF(LEN(IF(AND(S62&lt;&gt;"",IFERROR(VALUE(MID(S62,2,2)),0)&lt;SG_Criteria!$B$19),"FAIL: grade below C"&amp;SG_Criteria!$B$19&amp;". ","")&amp;IF(AND(T62&lt;&gt;"",T62&lt;SG_Criteria!$B$20),"FAIL: cover &lt; "&amp;SG_Criteria!$B$20&amp;" mm. ","")&amp;IF(AND(H62&lt;&gt;"",H62&lt;SG_Criteria!$B$39),"NOTE: min depth below PUB "&amp;SG_Criteria!$B$39&amp;" m. ","")&amp;IF(AND(LEFT(C62,8)="Standard",I62&gt;SG_Criteria!$B$42),"FAIL: PUB 001C covers manholes up to "&amp;SG_Criteria!$B$42&amp;" m deep only. ","")&amp;IF(AND(LEFT(C62,11)="Rectangular",J62&lt;SG_Criteria!$B$43),"NOTE: 004C is for sewers &gt;= "&amp;SG_Criteria!$B$43&amp;" dia. ","")&amp;IF(AND(LEFT(C62,7)="Precast",I62&lt;=SG_Criteria!$B$42),"NOTE: 006C is for manholes &gt; "&amp;SG_Criteria!$B$42&amp;" m deep. ","")&amp;IF(AND(J62&lt;&gt;"",J62&lt;SG_Criteria!$B$40,C62&lt;&gt;"Inspection Chamber"),"NOTE: public sewer min dia "&amp;SG_Criteria!$B$40&amp;" mm. ","")&amp;IF(AND(R62&lt;&gt;"",R62&lt;SG_Criteria!$B$44),"FAIL: uplift FOS below "&amp;SG_Criteria!$B$44&amp;". ",""))=0,"OK",IF(AND(S62&lt;&gt;"",IFERROR(VALUE(MID(S62,2,2)),0)&lt;SG_Criteria!$B$19),"FAIL: grade below C"&amp;SG_Criteria!$B$19&amp;". ","")&amp;IF(AND(T62&lt;&gt;"",T62&lt;SG_Criteria!$B$20),"FAIL: cover &lt; "&amp;SG_Criteria!$B$20&amp;" mm. ","")&amp;IF(AND(H62&lt;&gt;"",H62&lt;SG_Criteria!$B$39),"NOTE: min depth below PUB "&amp;SG_Criteria!$B$39&amp;" m. ","")&amp;IF(AND(LEFT(C62,8)="Standard",I62&gt;SG_Criteria!$B$42),"FAIL: PUB 001C covers manholes up to "&amp;SG_Criteria!$B$42&amp;" m deep only. ","")&amp;IF(AND(LEFT(C62,11)="Rectangular",J62&lt;SG_Criteria!$B$43),"NOTE: 004C is for sewers &gt;= "&amp;SG_Criteria!$B$43&amp;" dia. ","")&amp;IF(AND(LEFT(C62,7)="Precast",I62&lt;=SG_Criteria!$B$42),"NOTE: 006C is for manholes &gt; "&amp;SG_Criteria!$B$42&amp;" m deep. ","")&amp;IF(AND(J62&lt;&gt;"",J62&lt;SG_Criteria!$B$40,C62&lt;&gt;"Inspection Chamber"),"NOTE: public sewer min dia "&amp;SG_Criteria!$B$40&amp;" mm. ","")&amp;IF(AND(R62&lt;&gt;"",R62&lt;SG_Criteria!$B$44),"FAIL: uplift FOS below "&amp;SG_Criteria!$B$44&amp;". ","")))</f>
        <v/>
      </c>
      <c r="AT62" s="9"/>
      <c r="AU62" s="9"/>
      <c r="AV62" s="9"/>
      <c r="AW62" s="9"/>
      <c r="AX62" s="9"/>
      <c r="AY62" s="31"/>
      <c r="AZ62" s="10" t="str">
        <f aca="false">IF(C62="","",IF(AND(AB62="Approved",ISERROR(SEARCH("FAIL",AS62))),"Y","N"))</f>
        <v/>
      </c>
      <c r="BA62" s="10" t="str">
        <f aca="false">IF(C62="","",C62&amp;"|"&amp;I62&amp;"|"&amp;F62&amp;"|"&amp;AZ62)</f>
        <v/>
      </c>
    </row>
    <row r="63" customFormat="false" ht="15" hidden="false" customHeight="false" outlineLevel="0" collapsed="false">
      <c r="A63" s="10" t="str">
        <f aca="false">IF(C63="","","MH-"&amp;IFERROR(VLOOKUP(C63,Lists!$AB$4:$AC$20,2,0),"??")&amp;"-"&amp;TEXT(F63,"0000")&amp;IF(E63="Circular","D","x"&amp;TEXT(G63,"0000"))&amp;"-D"&amp;TEXT(I63*1000,"0000")&amp;"-"&amp;IFERROR(VLOOKUP(D63,Lists!$AE$4:$AF$16,2,0),"??")&amp;"-"&amp;AA63)</f>
        <v/>
      </c>
      <c r="B63" s="10" t="str">
        <f aca="false">IF(C63="","",C63&amp;", "&amp;D63&amp;", "&amp;IF(E63="Circular",F63&amp;" dia",F63&amp;" x "&amp;G63)&amp;", depth "&amp;TEXT(H63,"0.0")&amp;"-"&amp;TEXT(I63,"0.0")&amp;" m, pipe up to "&amp;J63&amp;" dia")</f>
        <v/>
      </c>
      <c r="C63" s="9"/>
      <c r="D63" s="9"/>
      <c r="E63" s="9"/>
      <c r="F63" s="40"/>
      <c r="G63" s="40"/>
      <c r="H63" s="43"/>
      <c r="I63" s="43"/>
      <c r="J63" s="40"/>
      <c r="K63" s="40"/>
      <c r="L63" s="40"/>
      <c r="M63" s="40"/>
      <c r="N63" s="9"/>
      <c r="O63" s="9"/>
      <c r="P63" s="9"/>
      <c r="Q63" s="9"/>
      <c r="R63" s="41"/>
      <c r="S63" s="9"/>
      <c r="T63" s="40"/>
      <c r="U63" s="9"/>
      <c r="V63" s="9"/>
      <c r="W63" s="9"/>
      <c r="X63" s="9"/>
      <c r="Y63" s="9"/>
      <c r="Z63" s="9"/>
      <c r="AA63" s="9"/>
      <c r="AB63" s="9"/>
      <c r="AC63" s="9"/>
      <c r="AD63" s="9"/>
      <c r="AE63" s="9"/>
      <c r="AF63" s="10" t="str">
        <f aca="false">IF(A63="","",SG_Criteria!$B$6&amp;SG_Criteria!$B$10&amp;"\"&amp;A63&amp;"\")</f>
        <v/>
      </c>
      <c r="AG63" s="10" t="str">
        <f aca="false">IF(A63="","",A63&amp;"_CAD.dwg")</f>
        <v/>
      </c>
      <c r="AH63" s="10" t="str">
        <f aca="false">IF(A63="","",A63&amp;"_DWG.pdf")</f>
        <v/>
      </c>
      <c r="AI63" s="10" t="str">
        <f aca="false">IF(A63="","",IF(AE63="Y",A63&amp;"_STAAD.std","n/a"))</f>
        <v/>
      </c>
      <c r="AJ63" s="10" t="str">
        <f aca="false">IF(A63="","",A63&amp;"_CALC.xlsx")</f>
        <v/>
      </c>
      <c r="AK63" s="10" t="str">
        <f aca="false">IF(A63="","",A63&amp;"_CALC.pdf")</f>
        <v/>
      </c>
      <c r="AL63" s="9"/>
      <c r="AM63" s="9"/>
      <c r="AN63" s="41"/>
      <c r="AO63" s="41"/>
      <c r="AP63" s="41"/>
      <c r="AQ63" s="41"/>
      <c r="AR63" s="41"/>
      <c r="AS63" s="38" t="str">
        <f aca="false">IF(C63="","",IF(LEN(IF(AND(S63&lt;&gt;"",IFERROR(VALUE(MID(S63,2,2)),0)&lt;SG_Criteria!$B$19),"FAIL: grade below C"&amp;SG_Criteria!$B$19&amp;". ","")&amp;IF(AND(T63&lt;&gt;"",T63&lt;SG_Criteria!$B$20),"FAIL: cover &lt; "&amp;SG_Criteria!$B$20&amp;" mm. ","")&amp;IF(AND(H63&lt;&gt;"",H63&lt;SG_Criteria!$B$39),"NOTE: min depth below PUB "&amp;SG_Criteria!$B$39&amp;" m. ","")&amp;IF(AND(LEFT(C63,8)="Standard",I63&gt;SG_Criteria!$B$42),"FAIL: PUB 001C covers manholes up to "&amp;SG_Criteria!$B$42&amp;" m deep only. ","")&amp;IF(AND(LEFT(C63,11)="Rectangular",J63&lt;SG_Criteria!$B$43),"NOTE: 004C is for sewers &gt;= "&amp;SG_Criteria!$B$43&amp;" dia. ","")&amp;IF(AND(LEFT(C63,7)="Precast",I63&lt;=SG_Criteria!$B$42),"NOTE: 006C is for manholes &gt; "&amp;SG_Criteria!$B$42&amp;" m deep. ","")&amp;IF(AND(J63&lt;&gt;"",J63&lt;SG_Criteria!$B$40,C63&lt;&gt;"Inspection Chamber"),"NOTE: public sewer min dia "&amp;SG_Criteria!$B$40&amp;" mm. ","")&amp;IF(AND(R63&lt;&gt;"",R63&lt;SG_Criteria!$B$44),"FAIL: uplift FOS below "&amp;SG_Criteria!$B$44&amp;". ",""))=0,"OK",IF(AND(S63&lt;&gt;"",IFERROR(VALUE(MID(S63,2,2)),0)&lt;SG_Criteria!$B$19),"FAIL: grade below C"&amp;SG_Criteria!$B$19&amp;". ","")&amp;IF(AND(T63&lt;&gt;"",T63&lt;SG_Criteria!$B$20),"FAIL: cover &lt; "&amp;SG_Criteria!$B$20&amp;" mm. ","")&amp;IF(AND(H63&lt;&gt;"",H63&lt;SG_Criteria!$B$39),"NOTE: min depth below PUB "&amp;SG_Criteria!$B$39&amp;" m. ","")&amp;IF(AND(LEFT(C63,8)="Standard",I63&gt;SG_Criteria!$B$42),"FAIL: PUB 001C covers manholes up to "&amp;SG_Criteria!$B$42&amp;" m deep only. ","")&amp;IF(AND(LEFT(C63,11)="Rectangular",J63&lt;SG_Criteria!$B$43),"NOTE: 004C is for sewers &gt;= "&amp;SG_Criteria!$B$43&amp;" dia. ","")&amp;IF(AND(LEFT(C63,7)="Precast",I63&lt;=SG_Criteria!$B$42),"NOTE: 006C is for manholes &gt; "&amp;SG_Criteria!$B$42&amp;" m deep. ","")&amp;IF(AND(J63&lt;&gt;"",J63&lt;SG_Criteria!$B$40,C63&lt;&gt;"Inspection Chamber"),"NOTE: public sewer min dia "&amp;SG_Criteria!$B$40&amp;" mm. ","")&amp;IF(AND(R63&lt;&gt;"",R63&lt;SG_Criteria!$B$44),"FAIL: uplift FOS below "&amp;SG_Criteria!$B$44&amp;". ","")))</f>
        <v/>
      </c>
      <c r="AT63" s="9"/>
      <c r="AU63" s="9"/>
      <c r="AV63" s="9"/>
      <c r="AW63" s="9"/>
      <c r="AX63" s="9"/>
      <c r="AY63" s="31"/>
      <c r="AZ63" s="10" t="str">
        <f aca="false">IF(C63="","",IF(AND(AB63="Approved",ISERROR(SEARCH("FAIL",AS63))),"Y","N"))</f>
        <v/>
      </c>
      <c r="BA63" s="10" t="str">
        <f aca="false">IF(C63="","",C63&amp;"|"&amp;I63&amp;"|"&amp;F63&amp;"|"&amp;AZ63)</f>
        <v/>
      </c>
    </row>
    <row r="64" customFormat="false" ht="15" hidden="false" customHeight="false" outlineLevel="0" collapsed="false">
      <c r="A64" s="10" t="str">
        <f aca="false">IF(C64="","","MH-"&amp;IFERROR(VLOOKUP(C64,Lists!$AB$4:$AC$20,2,0),"??")&amp;"-"&amp;TEXT(F64,"0000")&amp;IF(E64="Circular","D","x"&amp;TEXT(G64,"0000"))&amp;"-D"&amp;TEXT(I64*1000,"0000")&amp;"-"&amp;IFERROR(VLOOKUP(D64,Lists!$AE$4:$AF$16,2,0),"??")&amp;"-"&amp;AA64)</f>
        <v/>
      </c>
      <c r="B64" s="10" t="str">
        <f aca="false">IF(C64="","",C64&amp;", "&amp;D64&amp;", "&amp;IF(E64="Circular",F64&amp;" dia",F64&amp;" x "&amp;G64)&amp;", depth "&amp;TEXT(H64,"0.0")&amp;"-"&amp;TEXT(I64,"0.0")&amp;" m, pipe up to "&amp;J64&amp;" dia")</f>
        <v/>
      </c>
      <c r="C64" s="9"/>
      <c r="D64" s="9"/>
      <c r="E64" s="9"/>
      <c r="F64" s="40"/>
      <c r="G64" s="40"/>
      <c r="H64" s="43"/>
      <c r="I64" s="43"/>
      <c r="J64" s="40"/>
      <c r="K64" s="40"/>
      <c r="L64" s="40"/>
      <c r="M64" s="40"/>
      <c r="N64" s="9"/>
      <c r="O64" s="9"/>
      <c r="P64" s="9"/>
      <c r="Q64" s="9"/>
      <c r="R64" s="41"/>
      <c r="S64" s="9"/>
      <c r="T64" s="40"/>
      <c r="U64" s="9"/>
      <c r="V64" s="9"/>
      <c r="W64" s="9"/>
      <c r="X64" s="9"/>
      <c r="Y64" s="9"/>
      <c r="Z64" s="9"/>
      <c r="AA64" s="9"/>
      <c r="AB64" s="9"/>
      <c r="AC64" s="9"/>
      <c r="AD64" s="9"/>
      <c r="AE64" s="9"/>
      <c r="AF64" s="10" t="str">
        <f aca="false">IF(A64="","",SG_Criteria!$B$6&amp;SG_Criteria!$B$10&amp;"\"&amp;A64&amp;"\")</f>
        <v/>
      </c>
      <c r="AG64" s="10" t="str">
        <f aca="false">IF(A64="","",A64&amp;"_CAD.dwg")</f>
        <v/>
      </c>
      <c r="AH64" s="10" t="str">
        <f aca="false">IF(A64="","",A64&amp;"_DWG.pdf")</f>
        <v/>
      </c>
      <c r="AI64" s="10" t="str">
        <f aca="false">IF(A64="","",IF(AE64="Y",A64&amp;"_STAAD.std","n/a"))</f>
        <v/>
      </c>
      <c r="AJ64" s="10" t="str">
        <f aca="false">IF(A64="","",A64&amp;"_CALC.xlsx")</f>
        <v/>
      </c>
      <c r="AK64" s="10" t="str">
        <f aca="false">IF(A64="","",A64&amp;"_CALC.pdf")</f>
        <v/>
      </c>
      <c r="AL64" s="9"/>
      <c r="AM64" s="9"/>
      <c r="AN64" s="41"/>
      <c r="AO64" s="41"/>
      <c r="AP64" s="41"/>
      <c r="AQ64" s="41"/>
      <c r="AR64" s="41"/>
      <c r="AS64" s="38" t="str">
        <f aca="false">IF(C64="","",IF(LEN(IF(AND(S64&lt;&gt;"",IFERROR(VALUE(MID(S64,2,2)),0)&lt;SG_Criteria!$B$19),"FAIL: grade below C"&amp;SG_Criteria!$B$19&amp;". ","")&amp;IF(AND(T64&lt;&gt;"",T64&lt;SG_Criteria!$B$20),"FAIL: cover &lt; "&amp;SG_Criteria!$B$20&amp;" mm. ","")&amp;IF(AND(H64&lt;&gt;"",H64&lt;SG_Criteria!$B$39),"NOTE: min depth below PUB "&amp;SG_Criteria!$B$39&amp;" m. ","")&amp;IF(AND(LEFT(C64,8)="Standard",I64&gt;SG_Criteria!$B$42),"FAIL: PUB 001C covers manholes up to "&amp;SG_Criteria!$B$42&amp;" m deep only. ","")&amp;IF(AND(LEFT(C64,11)="Rectangular",J64&lt;SG_Criteria!$B$43),"NOTE: 004C is for sewers &gt;= "&amp;SG_Criteria!$B$43&amp;" dia. ","")&amp;IF(AND(LEFT(C64,7)="Precast",I64&lt;=SG_Criteria!$B$42),"NOTE: 006C is for manholes &gt; "&amp;SG_Criteria!$B$42&amp;" m deep. ","")&amp;IF(AND(J64&lt;&gt;"",J64&lt;SG_Criteria!$B$40,C64&lt;&gt;"Inspection Chamber"),"NOTE: public sewer min dia "&amp;SG_Criteria!$B$40&amp;" mm. ","")&amp;IF(AND(R64&lt;&gt;"",R64&lt;SG_Criteria!$B$44),"FAIL: uplift FOS below "&amp;SG_Criteria!$B$44&amp;". ",""))=0,"OK",IF(AND(S64&lt;&gt;"",IFERROR(VALUE(MID(S64,2,2)),0)&lt;SG_Criteria!$B$19),"FAIL: grade below C"&amp;SG_Criteria!$B$19&amp;". ","")&amp;IF(AND(T64&lt;&gt;"",T64&lt;SG_Criteria!$B$20),"FAIL: cover &lt; "&amp;SG_Criteria!$B$20&amp;" mm. ","")&amp;IF(AND(H64&lt;&gt;"",H64&lt;SG_Criteria!$B$39),"NOTE: min depth below PUB "&amp;SG_Criteria!$B$39&amp;" m. ","")&amp;IF(AND(LEFT(C64,8)="Standard",I64&gt;SG_Criteria!$B$42),"FAIL: PUB 001C covers manholes up to "&amp;SG_Criteria!$B$42&amp;" m deep only. ","")&amp;IF(AND(LEFT(C64,11)="Rectangular",J64&lt;SG_Criteria!$B$43),"NOTE: 004C is for sewers &gt;= "&amp;SG_Criteria!$B$43&amp;" dia. ","")&amp;IF(AND(LEFT(C64,7)="Precast",I64&lt;=SG_Criteria!$B$42),"NOTE: 006C is for manholes &gt; "&amp;SG_Criteria!$B$42&amp;" m deep. ","")&amp;IF(AND(J64&lt;&gt;"",J64&lt;SG_Criteria!$B$40,C64&lt;&gt;"Inspection Chamber"),"NOTE: public sewer min dia "&amp;SG_Criteria!$B$40&amp;" mm. ","")&amp;IF(AND(R64&lt;&gt;"",R64&lt;SG_Criteria!$B$44),"FAIL: uplift FOS below "&amp;SG_Criteria!$B$44&amp;". ","")))</f>
        <v/>
      </c>
      <c r="AT64" s="9"/>
      <c r="AU64" s="9"/>
      <c r="AV64" s="9"/>
      <c r="AW64" s="9"/>
      <c r="AX64" s="9"/>
      <c r="AY64" s="31"/>
      <c r="AZ64" s="10" t="str">
        <f aca="false">IF(C64="","",IF(AND(AB64="Approved",ISERROR(SEARCH("FAIL",AS64))),"Y","N"))</f>
        <v/>
      </c>
      <c r="BA64" s="10" t="str">
        <f aca="false">IF(C64="","",C64&amp;"|"&amp;I64&amp;"|"&amp;F64&amp;"|"&amp;AZ64)</f>
        <v/>
      </c>
    </row>
    <row r="65" customFormat="false" ht="15" hidden="false" customHeight="false" outlineLevel="0" collapsed="false">
      <c r="A65" s="10" t="str">
        <f aca="false">IF(C65="","","MH-"&amp;IFERROR(VLOOKUP(C65,Lists!$AB$4:$AC$20,2,0),"??")&amp;"-"&amp;TEXT(F65,"0000")&amp;IF(E65="Circular","D","x"&amp;TEXT(G65,"0000"))&amp;"-D"&amp;TEXT(I65*1000,"0000")&amp;"-"&amp;IFERROR(VLOOKUP(D65,Lists!$AE$4:$AF$16,2,0),"??")&amp;"-"&amp;AA65)</f>
        <v/>
      </c>
      <c r="B65" s="10" t="str">
        <f aca="false">IF(C65="","",C65&amp;", "&amp;D65&amp;", "&amp;IF(E65="Circular",F65&amp;" dia",F65&amp;" x "&amp;G65)&amp;", depth "&amp;TEXT(H65,"0.0")&amp;"-"&amp;TEXT(I65,"0.0")&amp;" m, pipe up to "&amp;J65&amp;" dia")</f>
        <v/>
      </c>
      <c r="C65" s="9"/>
      <c r="D65" s="9"/>
      <c r="E65" s="9"/>
      <c r="F65" s="40"/>
      <c r="G65" s="40"/>
      <c r="H65" s="43"/>
      <c r="I65" s="43"/>
      <c r="J65" s="40"/>
      <c r="K65" s="40"/>
      <c r="L65" s="40"/>
      <c r="M65" s="40"/>
      <c r="N65" s="9"/>
      <c r="O65" s="9"/>
      <c r="P65" s="9"/>
      <c r="Q65" s="9"/>
      <c r="R65" s="41"/>
      <c r="S65" s="9"/>
      <c r="T65" s="40"/>
      <c r="U65" s="9"/>
      <c r="V65" s="9"/>
      <c r="W65" s="9"/>
      <c r="X65" s="9"/>
      <c r="Y65" s="9"/>
      <c r="Z65" s="9"/>
      <c r="AA65" s="9"/>
      <c r="AB65" s="9"/>
      <c r="AC65" s="9"/>
      <c r="AD65" s="9"/>
      <c r="AE65" s="9"/>
      <c r="AF65" s="10" t="str">
        <f aca="false">IF(A65="","",SG_Criteria!$B$6&amp;SG_Criteria!$B$10&amp;"\"&amp;A65&amp;"\")</f>
        <v/>
      </c>
      <c r="AG65" s="10" t="str">
        <f aca="false">IF(A65="","",A65&amp;"_CAD.dwg")</f>
        <v/>
      </c>
      <c r="AH65" s="10" t="str">
        <f aca="false">IF(A65="","",A65&amp;"_DWG.pdf")</f>
        <v/>
      </c>
      <c r="AI65" s="10" t="str">
        <f aca="false">IF(A65="","",IF(AE65="Y",A65&amp;"_STAAD.std","n/a"))</f>
        <v/>
      </c>
      <c r="AJ65" s="10" t="str">
        <f aca="false">IF(A65="","",A65&amp;"_CALC.xlsx")</f>
        <v/>
      </c>
      <c r="AK65" s="10" t="str">
        <f aca="false">IF(A65="","",A65&amp;"_CALC.pdf")</f>
        <v/>
      </c>
      <c r="AL65" s="9"/>
      <c r="AM65" s="9"/>
      <c r="AN65" s="41"/>
      <c r="AO65" s="41"/>
      <c r="AP65" s="41"/>
      <c r="AQ65" s="41"/>
      <c r="AR65" s="41"/>
      <c r="AS65" s="38" t="str">
        <f aca="false">IF(C65="","",IF(LEN(IF(AND(S65&lt;&gt;"",IFERROR(VALUE(MID(S65,2,2)),0)&lt;SG_Criteria!$B$19),"FAIL: grade below C"&amp;SG_Criteria!$B$19&amp;". ","")&amp;IF(AND(T65&lt;&gt;"",T65&lt;SG_Criteria!$B$20),"FAIL: cover &lt; "&amp;SG_Criteria!$B$20&amp;" mm. ","")&amp;IF(AND(H65&lt;&gt;"",H65&lt;SG_Criteria!$B$39),"NOTE: min depth below PUB "&amp;SG_Criteria!$B$39&amp;" m. ","")&amp;IF(AND(LEFT(C65,8)="Standard",I65&gt;SG_Criteria!$B$42),"FAIL: PUB 001C covers manholes up to "&amp;SG_Criteria!$B$42&amp;" m deep only. ","")&amp;IF(AND(LEFT(C65,11)="Rectangular",J65&lt;SG_Criteria!$B$43),"NOTE: 004C is for sewers &gt;= "&amp;SG_Criteria!$B$43&amp;" dia. ","")&amp;IF(AND(LEFT(C65,7)="Precast",I65&lt;=SG_Criteria!$B$42),"NOTE: 006C is for manholes &gt; "&amp;SG_Criteria!$B$42&amp;" m deep. ","")&amp;IF(AND(J65&lt;&gt;"",J65&lt;SG_Criteria!$B$40,C65&lt;&gt;"Inspection Chamber"),"NOTE: public sewer min dia "&amp;SG_Criteria!$B$40&amp;" mm. ","")&amp;IF(AND(R65&lt;&gt;"",R65&lt;SG_Criteria!$B$44),"FAIL: uplift FOS below "&amp;SG_Criteria!$B$44&amp;". ",""))=0,"OK",IF(AND(S65&lt;&gt;"",IFERROR(VALUE(MID(S65,2,2)),0)&lt;SG_Criteria!$B$19),"FAIL: grade below C"&amp;SG_Criteria!$B$19&amp;". ","")&amp;IF(AND(T65&lt;&gt;"",T65&lt;SG_Criteria!$B$20),"FAIL: cover &lt; "&amp;SG_Criteria!$B$20&amp;" mm. ","")&amp;IF(AND(H65&lt;&gt;"",H65&lt;SG_Criteria!$B$39),"NOTE: min depth below PUB "&amp;SG_Criteria!$B$39&amp;" m. ","")&amp;IF(AND(LEFT(C65,8)="Standard",I65&gt;SG_Criteria!$B$42),"FAIL: PUB 001C covers manholes up to "&amp;SG_Criteria!$B$42&amp;" m deep only. ","")&amp;IF(AND(LEFT(C65,11)="Rectangular",J65&lt;SG_Criteria!$B$43),"NOTE: 004C is for sewers &gt;= "&amp;SG_Criteria!$B$43&amp;" dia. ","")&amp;IF(AND(LEFT(C65,7)="Precast",I65&lt;=SG_Criteria!$B$42),"NOTE: 006C is for manholes &gt; "&amp;SG_Criteria!$B$42&amp;" m deep. ","")&amp;IF(AND(J65&lt;&gt;"",J65&lt;SG_Criteria!$B$40,C65&lt;&gt;"Inspection Chamber"),"NOTE: public sewer min dia "&amp;SG_Criteria!$B$40&amp;" mm. ","")&amp;IF(AND(R65&lt;&gt;"",R65&lt;SG_Criteria!$B$44),"FAIL: uplift FOS below "&amp;SG_Criteria!$B$44&amp;". ","")))</f>
        <v/>
      </c>
      <c r="AT65" s="9"/>
      <c r="AU65" s="9"/>
      <c r="AV65" s="9"/>
      <c r="AW65" s="9"/>
      <c r="AX65" s="9"/>
      <c r="AY65" s="31"/>
      <c r="AZ65" s="10" t="str">
        <f aca="false">IF(C65="","",IF(AND(AB65="Approved",ISERROR(SEARCH("FAIL",AS65))),"Y","N"))</f>
        <v/>
      </c>
      <c r="BA65" s="10" t="str">
        <f aca="false">IF(C65="","",C65&amp;"|"&amp;I65&amp;"|"&amp;F65&amp;"|"&amp;AZ65)</f>
        <v/>
      </c>
    </row>
    <row r="66" customFormat="false" ht="15" hidden="false" customHeight="false" outlineLevel="0" collapsed="false">
      <c r="A66" s="10" t="str">
        <f aca="false">IF(C66="","","MH-"&amp;IFERROR(VLOOKUP(C66,Lists!$AB$4:$AC$20,2,0),"??")&amp;"-"&amp;TEXT(F66,"0000")&amp;IF(E66="Circular","D","x"&amp;TEXT(G66,"0000"))&amp;"-D"&amp;TEXT(I66*1000,"0000")&amp;"-"&amp;IFERROR(VLOOKUP(D66,Lists!$AE$4:$AF$16,2,0),"??")&amp;"-"&amp;AA66)</f>
        <v/>
      </c>
      <c r="B66" s="10" t="str">
        <f aca="false">IF(C66="","",C66&amp;", "&amp;D66&amp;", "&amp;IF(E66="Circular",F66&amp;" dia",F66&amp;" x "&amp;G66)&amp;", depth "&amp;TEXT(H66,"0.0")&amp;"-"&amp;TEXT(I66,"0.0")&amp;" m, pipe up to "&amp;J66&amp;" dia")</f>
        <v/>
      </c>
      <c r="C66" s="9"/>
      <c r="D66" s="9"/>
      <c r="E66" s="9"/>
      <c r="F66" s="40"/>
      <c r="G66" s="40"/>
      <c r="H66" s="43"/>
      <c r="I66" s="43"/>
      <c r="J66" s="40"/>
      <c r="K66" s="40"/>
      <c r="L66" s="40"/>
      <c r="M66" s="40"/>
      <c r="N66" s="9"/>
      <c r="O66" s="9"/>
      <c r="P66" s="9"/>
      <c r="Q66" s="9"/>
      <c r="R66" s="41"/>
      <c r="S66" s="9"/>
      <c r="T66" s="40"/>
      <c r="U66" s="9"/>
      <c r="V66" s="9"/>
      <c r="W66" s="9"/>
      <c r="X66" s="9"/>
      <c r="Y66" s="9"/>
      <c r="Z66" s="9"/>
      <c r="AA66" s="9"/>
      <c r="AB66" s="9"/>
      <c r="AC66" s="9"/>
      <c r="AD66" s="9"/>
      <c r="AE66" s="9"/>
      <c r="AF66" s="10" t="str">
        <f aca="false">IF(A66="","",SG_Criteria!$B$6&amp;SG_Criteria!$B$10&amp;"\"&amp;A66&amp;"\")</f>
        <v/>
      </c>
      <c r="AG66" s="10" t="str">
        <f aca="false">IF(A66="","",A66&amp;"_CAD.dwg")</f>
        <v/>
      </c>
      <c r="AH66" s="10" t="str">
        <f aca="false">IF(A66="","",A66&amp;"_DWG.pdf")</f>
        <v/>
      </c>
      <c r="AI66" s="10" t="str">
        <f aca="false">IF(A66="","",IF(AE66="Y",A66&amp;"_STAAD.std","n/a"))</f>
        <v/>
      </c>
      <c r="AJ66" s="10" t="str">
        <f aca="false">IF(A66="","",A66&amp;"_CALC.xlsx")</f>
        <v/>
      </c>
      <c r="AK66" s="10" t="str">
        <f aca="false">IF(A66="","",A66&amp;"_CALC.pdf")</f>
        <v/>
      </c>
      <c r="AL66" s="9"/>
      <c r="AM66" s="9"/>
      <c r="AN66" s="41"/>
      <c r="AO66" s="41"/>
      <c r="AP66" s="41"/>
      <c r="AQ66" s="41"/>
      <c r="AR66" s="41"/>
      <c r="AS66" s="38" t="str">
        <f aca="false">IF(C66="","",IF(LEN(IF(AND(S66&lt;&gt;"",IFERROR(VALUE(MID(S66,2,2)),0)&lt;SG_Criteria!$B$19),"FAIL: grade below C"&amp;SG_Criteria!$B$19&amp;". ","")&amp;IF(AND(T66&lt;&gt;"",T66&lt;SG_Criteria!$B$20),"FAIL: cover &lt; "&amp;SG_Criteria!$B$20&amp;" mm. ","")&amp;IF(AND(H66&lt;&gt;"",H66&lt;SG_Criteria!$B$39),"NOTE: min depth below PUB "&amp;SG_Criteria!$B$39&amp;" m. ","")&amp;IF(AND(LEFT(C66,8)="Standard",I66&gt;SG_Criteria!$B$42),"FAIL: PUB 001C covers manholes up to "&amp;SG_Criteria!$B$42&amp;" m deep only. ","")&amp;IF(AND(LEFT(C66,11)="Rectangular",J66&lt;SG_Criteria!$B$43),"NOTE: 004C is for sewers &gt;= "&amp;SG_Criteria!$B$43&amp;" dia. ","")&amp;IF(AND(LEFT(C66,7)="Precast",I66&lt;=SG_Criteria!$B$42),"NOTE: 006C is for manholes &gt; "&amp;SG_Criteria!$B$42&amp;" m deep. ","")&amp;IF(AND(J66&lt;&gt;"",J66&lt;SG_Criteria!$B$40,C66&lt;&gt;"Inspection Chamber"),"NOTE: public sewer min dia "&amp;SG_Criteria!$B$40&amp;" mm. ","")&amp;IF(AND(R66&lt;&gt;"",R66&lt;SG_Criteria!$B$44),"FAIL: uplift FOS below "&amp;SG_Criteria!$B$44&amp;". ",""))=0,"OK",IF(AND(S66&lt;&gt;"",IFERROR(VALUE(MID(S66,2,2)),0)&lt;SG_Criteria!$B$19),"FAIL: grade below C"&amp;SG_Criteria!$B$19&amp;". ","")&amp;IF(AND(T66&lt;&gt;"",T66&lt;SG_Criteria!$B$20),"FAIL: cover &lt; "&amp;SG_Criteria!$B$20&amp;" mm. ","")&amp;IF(AND(H66&lt;&gt;"",H66&lt;SG_Criteria!$B$39),"NOTE: min depth below PUB "&amp;SG_Criteria!$B$39&amp;" m. ","")&amp;IF(AND(LEFT(C66,8)="Standard",I66&gt;SG_Criteria!$B$42),"FAIL: PUB 001C covers manholes up to "&amp;SG_Criteria!$B$42&amp;" m deep only. ","")&amp;IF(AND(LEFT(C66,11)="Rectangular",J66&lt;SG_Criteria!$B$43),"NOTE: 004C is for sewers &gt;= "&amp;SG_Criteria!$B$43&amp;" dia. ","")&amp;IF(AND(LEFT(C66,7)="Precast",I66&lt;=SG_Criteria!$B$42),"NOTE: 006C is for manholes &gt; "&amp;SG_Criteria!$B$42&amp;" m deep. ","")&amp;IF(AND(J66&lt;&gt;"",J66&lt;SG_Criteria!$B$40,C66&lt;&gt;"Inspection Chamber"),"NOTE: public sewer min dia "&amp;SG_Criteria!$B$40&amp;" mm. ","")&amp;IF(AND(R66&lt;&gt;"",R66&lt;SG_Criteria!$B$44),"FAIL: uplift FOS below "&amp;SG_Criteria!$B$44&amp;". ","")))</f>
        <v/>
      </c>
      <c r="AT66" s="9"/>
      <c r="AU66" s="9"/>
      <c r="AV66" s="9"/>
      <c r="AW66" s="9"/>
      <c r="AX66" s="9"/>
      <c r="AY66" s="31"/>
      <c r="AZ66" s="10" t="str">
        <f aca="false">IF(C66="","",IF(AND(AB66="Approved",ISERROR(SEARCH("FAIL",AS66))),"Y","N"))</f>
        <v/>
      </c>
      <c r="BA66" s="10" t="str">
        <f aca="false">IF(C66="","",C66&amp;"|"&amp;I66&amp;"|"&amp;F66&amp;"|"&amp;AZ66)</f>
        <v/>
      </c>
    </row>
    <row r="67" customFormat="false" ht="15" hidden="false" customHeight="false" outlineLevel="0" collapsed="false">
      <c r="A67" s="10" t="str">
        <f aca="false">IF(C67="","","MH-"&amp;IFERROR(VLOOKUP(C67,Lists!$AB$4:$AC$20,2,0),"??")&amp;"-"&amp;TEXT(F67,"0000")&amp;IF(E67="Circular","D","x"&amp;TEXT(G67,"0000"))&amp;"-D"&amp;TEXT(I67*1000,"0000")&amp;"-"&amp;IFERROR(VLOOKUP(D67,Lists!$AE$4:$AF$16,2,0),"??")&amp;"-"&amp;AA67)</f>
        <v/>
      </c>
      <c r="B67" s="10" t="str">
        <f aca="false">IF(C67="","",C67&amp;", "&amp;D67&amp;", "&amp;IF(E67="Circular",F67&amp;" dia",F67&amp;" x "&amp;G67)&amp;", depth "&amp;TEXT(H67,"0.0")&amp;"-"&amp;TEXT(I67,"0.0")&amp;" m, pipe up to "&amp;J67&amp;" dia")</f>
        <v/>
      </c>
      <c r="C67" s="9"/>
      <c r="D67" s="9"/>
      <c r="E67" s="9"/>
      <c r="F67" s="40"/>
      <c r="G67" s="40"/>
      <c r="H67" s="43"/>
      <c r="I67" s="43"/>
      <c r="J67" s="40"/>
      <c r="K67" s="40"/>
      <c r="L67" s="40"/>
      <c r="M67" s="40"/>
      <c r="N67" s="9"/>
      <c r="O67" s="9"/>
      <c r="P67" s="9"/>
      <c r="Q67" s="9"/>
      <c r="R67" s="41"/>
      <c r="S67" s="9"/>
      <c r="T67" s="40"/>
      <c r="U67" s="9"/>
      <c r="V67" s="9"/>
      <c r="W67" s="9"/>
      <c r="X67" s="9"/>
      <c r="Y67" s="9"/>
      <c r="Z67" s="9"/>
      <c r="AA67" s="9"/>
      <c r="AB67" s="9"/>
      <c r="AC67" s="9"/>
      <c r="AD67" s="9"/>
      <c r="AE67" s="9"/>
      <c r="AF67" s="10" t="str">
        <f aca="false">IF(A67="","",SG_Criteria!$B$6&amp;SG_Criteria!$B$10&amp;"\"&amp;A67&amp;"\")</f>
        <v/>
      </c>
      <c r="AG67" s="10" t="str">
        <f aca="false">IF(A67="","",A67&amp;"_CAD.dwg")</f>
        <v/>
      </c>
      <c r="AH67" s="10" t="str">
        <f aca="false">IF(A67="","",A67&amp;"_DWG.pdf")</f>
        <v/>
      </c>
      <c r="AI67" s="10" t="str">
        <f aca="false">IF(A67="","",IF(AE67="Y",A67&amp;"_STAAD.std","n/a"))</f>
        <v/>
      </c>
      <c r="AJ67" s="10" t="str">
        <f aca="false">IF(A67="","",A67&amp;"_CALC.xlsx")</f>
        <v/>
      </c>
      <c r="AK67" s="10" t="str">
        <f aca="false">IF(A67="","",A67&amp;"_CALC.pdf")</f>
        <v/>
      </c>
      <c r="AL67" s="9"/>
      <c r="AM67" s="9"/>
      <c r="AN67" s="41"/>
      <c r="AO67" s="41"/>
      <c r="AP67" s="41"/>
      <c r="AQ67" s="41"/>
      <c r="AR67" s="41"/>
      <c r="AS67" s="38" t="str">
        <f aca="false">IF(C67="","",IF(LEN(IF(AND(S67&lt;&gt;"",IFERROR(VALUE(MID(S67,2,2)),0)&lt;SG_Criteria!$B$19),"FAIL: grade below C"&amp;SG_Criteria!$B$19&amp;". ","")&amp;IF(AND(T67&lt;&gt;"",T67&lt;SG_Criteria!$B$20),"FAIL: cover &lt; "&amp;SG_Criteria!$B$20&amp;" mm. ","")&amp;IF(AND(H67&lt;&gt;"",H67&lt;SG_Criteria!$B$39),"NOTE: min depth below PUB "&amp;SG_Criteria!$B$39&amp;" m. ","")&amp;IF(AND(LEFT(C67,8)="Standard",I67&gt;SG_Criteria!$B$42),"FAIL: PUB 001C covers manholes up to "&amp;SG_Criteria!$B$42&amp;" m deep only. ","")&amp;IF(AND(LEFT(C67,11)="Rectangular",J67&lt;SG_Criteria!$B$43),"NOTE: 004C is for sewers &gt;= "&amp;SG_Criteria!$B$43&amp;" dia. ","")&amp;IF(AND(LEFT(C67,7)="Precast",I67&lt;=SG_Criteria!$B$42),"NOTE: 006C is for manholes &gt; "&amp;SG_Criteria!$B$42&amp;" m deep. ","")&amp;IF(AND(J67&lt;&gt;"",J67&lt;SG_Criteria!$B$40,C67&lt;&gt;"Inspection Chamber"),"NOTE: public sewer min dia "&amp;SG_Criteria!$B$40&amp;" mm. ","")&amp;IF(AND(R67&lt;&gt;"",R67&lt;SG_Criteria!$B$44),"FAIL: uplift FOS below "&amp;SG_Criteria!$B$44&amp;". ",""))=0,"OK",IF(AND(S67&lt;&gt;"",IFERROR(VALUE(MID(S67,2,2)),0)&lt;SG_Criteria!$B$19),"FAIL: grade below C"&amp;SG_Criteria!$B$19&amp;". ","")&amp;IF(AND(T67&lt;&gt;"",T67&lt;SG_Criteria!$B$20),"FAIL: cover &lt; "&amp;SG_Criteria!$B$20&amp;" mm. ","")&amp;IF(AND(H67&lt;&gt;"",H67&lt;SG_Criteria!$B$39),"NOTE: min depth below PUB "&amp;SG_Criteria!$B$39&amp;" m. ","")&amp;IF(AND(LEFT(C67,8)="Standard",I67&gt;SG_Criteria!$B$42),"FAIL: PUB 001C covers manholes up to "&amp;SG_Criteria!$B$42&amp;" m deep only. ","")&amp;IF(AND(LEFT(C67,11)="Rectangular",J67&lt;SG_Criteria!$B$43),"NOTE: 004C is for sewers &gt;= "&amp;SG_Criteria!$B$43&amp;" dia. ","")&amp;IF(AND(LEFT(C67,7)="Precast",I67&lt;=SG_Criteria!$B$42),"NOTE: 006C is for manholes &gt; "&amp;SG_Criteria!$B$42&amp;" m deep. ","")&amp;IF(AND(J67&lt;&gt;"",J67&lt;SG_Criteria!$B$40,C67&lt;&gt;"Inspection Chamber"),"NOTE: public sewer min dia "&amp;SG_Criteria!$B$40&amp;" mm. ","")&amp;IF(AND(R67&lt;&gt;"",R67&lt;SG_Criteria!$B$44),"FAIL: uplift FOS below "&amp;SG_Criteria!$B$44&amp;". ","")))</f>
        <v/>
      </c>
      <c r="AT67" s="9"/>
      <c r="AU67" s="9"/>
      <c r="AV67" s="9"/>
      <c r="AW67" s="9"/>
      <c r="AX67" s="9"/>
      <c r="AY67" s="31"/>
      <c r="AZ67" s="10" t="str">
        <f aca="false">IF(C67="","",IF(AND(AB67="Approved",ISERROR(SEARCH("FAIL",AS67))),"Y","N"))</f>
        <v/>
      </c>
      <c r="BA67" s="10" t="str">
        <f aca="false">IF(C67="","",C67&amp;"|"&amp;I67&amp;"|"&amp;F67&amp;"|"&amp;AZ67)</f>
        <v/>
      </c>
    </row>
    <row r="68" customFormat="false" ht="15" hidden="false" customHeight="false" outlineLevel="0" collapsed="false">
      <c r="A68" s="10" t="str">
        <f aca="false">IF(C68="","","MH-"&amp;IFERROR(VLOOKUP(C68,Lists!$AB$4:$AC$20,2,0),"??")&amp;"-"&amp;TEXT(F68,"0000")&amp;IF(E68="Circular","D","x"&amp;TEXT(G68,"0000"))&amp;"-D"&amp;TEXT(I68*1000,"0000")&amp;"-"&amp;IFERROR(VLOOKUP(D68,Lists!$AE$4:$AF$16,2,0),"??")&amp;"-"&amp;AA68)</f>
        <v/>
      </c>
      <c r="B68" s="10" t="str">
        <f aca="false">IF(C68="","",C68&amp;", "&amp;D68&amp;", "&amp;IF(E68="Circular",F68&amp;" dia",F68&amp;" x "&amp;G68)&amp;", depth "&amp;TEXT(H68,"0.0")&amp;"-"&amp;TEXT(I68,"0.0")&amp;" m, pipe up to "&amp;J68&amp;" dia")</f>
        <v/>
      </c>
      <c r="C68" s="9"/>
      <c r="D68" s="9"/>
      <c r="E68" s="9"/>
      <c r="F68" s="40"/>
      <c r="G68" s="40"/>
      <c r="H68" s="43"/>
      <c r="I68" s="43"/>
      <c r="J68" s="40"/>
      <c r="K68" s="40"/>
      <c r="L68" s="40"/>
      <c r="M68" s="40"/>
      <c r="N68" s="9"/>
      <c r="O68" s="9"/>
      <c r="P68" s="9"/>
      <c r="Q68" s="9"/>
      <c r="R68" s="41"/>
      <c r="S68" s="9"/>
      <c r="T68" s="40"/>
      <c r="U68" s="9"/>
      <c r="V68" s="9"/>
      <c r="W68" s="9"/>
      <c r="X68" s="9"/>
      <c r="Y68" s="9"/>
      <c r="Z68" s="9"/>
      <c r="AA68" s="9"/>
      <c r="AB68" s="9"/>
      <c r="AC68" s="9"/>
      <c r="AD68" s="9"/>
      <c r="AE68" s="9"/>
      <c r="AF68" s="10" t="str">
        <f aca="false">IF(A68="","",SG_Criteria!$B$6&amp;SG_Criteria!$B$10&amp;"\"&amp;A68&amp;"\")</f>
        <v/>
      </c>
      <c r="AG68" s="10" t="str">
        <f aca="false">IF(A68="","",A68&amp;"_CAD.dwg")</f>
        <v/>
      </c>
      <c r="AH68" s="10" t="str">
        <f aca="false">IF(A68="","",A68&amp;"_DWG.pdf")</f>
        <v/>
      </c>
      <c r="AI68" s="10" t="str">
        <f aca="false">IF(A68="","",IF(AE68="Y",A68&amp;"_STAAD.std","n/a"))</f>
        <v/>
      </c>
      <c r="AJ68" s="10" t="str">
        <f aca="false">IF(A68="","",A68&amp;"_CALC.xlsx")</f>
        <v/>
      </c>
      <c r="AK68" s="10" t="str">
        <f aca="false">IF(A68="","",A68&amp;"_CALC.pdf")</f>
        <v/>
      </c>
      <c r="AL68" s="9"/>
      <c r="AM68" s="9"/>
      <c r="AN68" s="41"/>
      <c r="AO68" s="41"/>
      <c r="AP68" s="41"/>
      <c r="AQ68" s="41"/>
      <c r="AR68" s="41"/>
      <c r="AS68" s="38" t="str">
        <f aca="false">IF(C68="","",IF(LEN(IF(AND(S68&lt;&gt;"",IFERROR(VALUE(MID(S68,2,2)),0)&lt;SG_Criteria!$B$19),"FAIL: grade below C"&amp;SG_Criteria!$B$19&amp;". ","")&amp;IF(AND(T68&lt;&gt;"",T68&lt;SG_Criteria!$B$20),"FAIL: cover &lt; "&amp;SG_Criteria!$B$20&amp;" mm. ","")&amp;IF(AND(H68&lt;&gt;"",H68&lt;SG_Criteria!$B$39),"NOTE: min depth below PUB "&amp;SG_Criteria!$B$39&amp;" m. ","")&amp;IF(AND(LEFT(C68,8)="Standard",I68&gt;SG_Criteria!$B$42),"FAIL: PUB 001C covers manholes up to "&amp;SG_Criteria!$B$42&amp;" m deep only. ","")&amp;IF(AND(LEFT(C68,11)="Rectangular",J68&lt;SG_Criteria!$B$43),"NOTE: 004C is for sewers &gt;= "&amp;SG_Criteria!$B$43&amp;" dia. ","")&amp;IF(AND(LEFT(C68,7)="Precast",I68&lt;=SG_Criteria!$B$42),"NOTE: 006C is for manholes &gt; "&amp;SG_Criteria!$B$42&amp;" m deep. ","")&amp;IF(AND(J68&lt;&gt;"",J68&lt;SG_Criteria!$B$40,C68&lt;&gt;"Inspection Chamber"),"NOTE: public sewer min dia "&amp;SG_Criteria!$B$40&amp;" mm. ","")&amp;IF(AND(R68&lt;&gt;"",R68&lt;SG_Criteria!$B$44),"FAIL: uplift FOS below "&amp;SG_Criteria!$B$44&amp;". ",""))=0,"OK",IF(AND(S68&lt;&gt;"",IFERROR(VALUE(MID(S68,2,2)),0)&lt;SG_Criteria!$B$19),"FAIL: grade below C"&amp;SG_Criteria!$B$19&amp;". ","")&amp;IF(AND(T68&lt;&gt;"",T68&lt;SG_Criteria!$B$20),"FAIL: cover &lt; "&amp;SG_Criteria!$B$20&amp;" mm. ","")&amp;IF(AND(H68&lt;&gt;"",H68&lt;SG_Criteria!$B$39),"NOTE: min depth below PUB "&amp;SG_Criteria!$B$39&amp;" m. ","")&amp;IF(AND(LEFT(C68,8)="Standard",I68&gt;SG_Criteria!$B$42),"FAIL: PUB 001C covers manholes up to "&amp;SG_Criteria!$B$42&amp;" m deep only. ","")&amp;IF(AND(LEFT(C68,11)="Rectangular",J68&lt;SG_Criteria!$B$43),"NOTE: 004C is for sewers &gt;= "&amp;SG_Criteria!$B$43&amp;" dia. ","")&amp;IF(AND(LEFT(C68,7)="Precast",I68&lt;=SG_Criteria!$B$42),"NOTE: 006C is for manholes &gt; "&amp;SG_Criteria!$B$42&amp;" m deep. ","")&amp;IF(AND(J68&lt;&gt;"",J68&lt;SG_Criteria!$B$40,C68&lt;&gt;"Inspection Chamber"),"NOTE: public sewer min dia "&amp;SG_Criteria!$B$40&amp;" mm. ","")&amp;IF(AND(R68&lt;&gt;"",R68&lt;SG_Criteria!$B$44),"FAIL: uplift FOS below "&amp;SG_Criteria!$B$44&amp;". ","")))</f>
        <v/>
      </c>
      <c r="AT68" s="9"/>
      <c r="AU68" s="9"/>
      <c r="AV68" s="9"/>
      <c r="AW68" s="9"/>
      <c r="AX68" s="9"/>
      <c r="AY68" s="31"/>
      <c r="AZ68" s="10" t="str">
        <f aca="false">IF(C68="","",IF(AND(AB68="Approved",ISERROR(SEARCH("FAIL",AS68))),"Y","N"))</f>
        <v/>
      </c>
      <c r="BA68" s="10" t="str">
        <f aca="false">IF(C68="","",C68&amp;"|"&amp;I68&amp;"|"&amp;F68&amp;"|"&amp;AZ68)</f>
        <v/>
      </c>
    </row>
    <row r="69" customFormat="false" ht="15" hidden="false" customHeight="false" outlineLevel="0" collapsed="false">
      <c r="A69" s="10" t="str">
        <f aca="false">IF(C69="","","MH-"&amp;IFERROR(VLOOKUP(C69,Lists!$AB$4:$AC$20,2,0),"??")&amp;"-"&amp;TEXT(F69,"0000")&amp;IF(E69="Circular","D","x"&amp;TEXT(G69,"0000"))&amp;"-D"&amp;TEXT(I69*1000,"0000")&amp;"-"&amp;IFERROR(VLOOKUP(D69,Lists!$AE$4:$AF$16,2,0),"??")&amp;"-"&amp;AA69)</f>
        <v/>
      </c>
      <c r="B69" s="10" t="str">
        <f aca="false">IF(C69="","",C69&amp;", "&amp;D69&amp;", "&amp;IF(E69="Circular",F69&amp;" dia",F69&amp;" x "&amp;G69)&amp;", depth "&amp;TEXT(H69,"0.0")&amp;"-"&amp;TEXT(I69,"0.0")&amp;" m, pipe up to "&amp;J69&amp;" dia")</f>
        <v/>
      </c>
      <c r="C69" s="9"/>
      <c r="D69" s="9"/>
      <c r="E69" s="9"/>
      <c r="F69" s="40"/>
      <c r="G69" s="40"/>
      <c r="H69" s="43"/>
      <c r="I69" s="43"/>
      <c r="J69" s="40"/>
      <c r="K69" s="40"/>
      <c r="L69" s="40"/>
      <c r="M69" s="40"/>
      <c r="N69" s="9"/>
      <c r="O69" s="9"/>
      <c r="P69" s="9"/>
      <c r="Q69" s="9"/>
      <c r="R69" s="41"/>
      <c r="S69" s="9"/>
      <c r="T69" s="40"/>
      <c r="U69" s="9"/>
      <c r="V69" s="9"/>
      <c r="W69" s="9"/>
      <c r="X69" s="9"/>
      <c r="Y69" s="9"/>
      <c r="Z69" s="9"/>
      <c r="AA69" s="9"/>
      <c r="AB69" s="9"/>
      <c r="AC69" s="9"/>
      <c r="AD69" s="9"/>
      <c r="AE69" s="9"/>
      <c r="AF69" s="10" t="str">
        <f aca="false">IF(A69="","",SG_Criteria!$B$6&amp;SG_Criteria!$B$10&amp;"\"&amp;A69&amp;"\")</f>
        <v/>
      </c>
      <c r="AG69" s="10" t="str">
        <f aca="false">IF(A69="","",A69&amp;"_CAD.dwg")</f>
        <v/>
      </c>
      <c r="AH69" s="10" t="str">
        <f aca="false">IF(A69="","",A69&amp;"_DWG.pdf")</f>
        <v/>
      </c>
      <c r="AI69" s="10" t="str">
        <f aca="false">IF(A69="","",IF(AE69="Y",A69&amp;"_STAAD.std","n/a"))</f>
        <v/>
      </c>
      <c r="AJ69" s="10" t="str">
        <f aca="false">IF(A69="","",A69&amp;"_CALC.xlsx")</f>
        <v/>
      </c>
      <c r="AK69" s="10" t="str">
        <f aca="false">IF(A69="","",A69&amp;"_CALC.pdf")</f>
        <v/>
      </c>
      <c r="AL69" s="9"/>
      <c r="AM69" s="9"/>
      <c r="AN69" s="41"/>
      <c r="AO69" s="41"/>
      <c r="AP69" s="41"/>
      <c r="AQ69" s="41"/>
      <c r="AR69" s="41"/>
      <c r="AS69" s="38" t="str">
        <f aca="false">IF(C69="","",IF(LEN(IF(AND(S69&lt;&gt;"",IFERROR(VALUE(MID(S69,2,2)),0)&lt;SG_Criteria!$B$19),"FAIL: grade below C"&amp;SG_Criteria!$B$19&amp;". ","")&amp;IF(AND(T69&lt;&gt;"",T69&lt;SG_Criteria!$B$20),"FAIL: cover &lt; "&amp;SG_Criteria!$B$20&amp;" mm. ","")&amp;IF(AND(H69&lt;&gt;"",H69&lt;SG_Criteria!$B$39),"NOTE: min depth below PUB "&amp;SG_Criteria!$B$39&amp;" m. ","")&amp;IF(AND(LEFT(C69,8)="Standard",I69&gt;SG_Criteria!$B$42),"FAIL: PUB 001C covers manholes up to "&amp;SG_Criteria!$B$42&amp;" m deep only. ","")&amp;IF(AND(LEFT(C69,11)="Rectangular",J69&lt;SG_Criteria!$B$43),"NOTE: 004C is for sewers &gt;= "&amp;SG_Criteria!$B$43&amp;" dia. ","")&amp;IF(AND(LEFT(C69,7)="Precast",I69&lt;=SG_Criteria!$B$42),"NOTE: 006C is for manholes &gt; "&amp;SG_Criteria!$B$42&amp;" m deep. ","")&amp;IF(AND(J69&lt;&gt;"",J69&lt;SG_Criteria!$B$40,C69&lt;&gt;"Inspection Chamber"),"NOTE: public sewer min dia "&amp;SG_Criteria!$B$40&amp;" mm. ","")&amp;IF(AND(R69&lt;&gt;"",R69&lt;SG_Criteria!$B$44),"FAIL: uplift FOS below "&amp;SG_Criteria!$B$44&amp;". ",""))=0,"OK",IF(AND(S69&lt;&gt;"",IFERROR(VALUE(MID(S69,2,2)),0)&lt;SG_Criteria!$B$19),"FAIL: grade below C"&amp;SG_Criteria!$B$19&amp;". ","")&amp;IF(AND(T69&lt;&gt;"",T69&lt;SG_Criteria!$B$20),"FAIL: cover &lt; "&amp;SG_Criteria!$B$20&amp;" mm. ","")&amp;IF(AND(H69&lt;&gt;"",H69&lt;SG_Criteria!$B$39),"NOTE: min depth below PUB "&amp;SG_Criteria!$B$39&amp;" m. ","")&amp;IF(AND(LEFT(C69,8)="Standard",I69&gt;SG_Criteria!$B$42),"FAIL: PUB 001C covers manholes up to "&amp;SG_Criteria!$B$42&amp;" m deep only. ","")&amp;IF(AND(LEFT(C69,11)="Rectangular",J69&lt;SG_Criteria!$B$43),"NOTE: 004C is for sewers &gt;= "&amp;SG_Criteria!$B$43&amp;" dia. ","")&amp;IF(AND(LEFT(C69,7)="Precast",I69&lt;=SG_Criteria!$B$42),"NOTE: 006C is for manholes &gt; "&amp;SG_Criteria!$B$42&amp;" m deep. ","")&amp;IF(AND(J69&lt;&gt;"",J69&lt;SG_Criteria!$B$40,C69&lt;&gt;"Inspection Chamber"),"NOTE: public sewer min dia "&amp;SG_Criteria!$B$40&amp;" mm. ","")&amp;IF(AND(R69&lt;&gt;"",R69&lt;SG_Criteria!$B$44),"FAIL: uplift FOS below "&amp;SG_Criteria!$B$44&amp;". ","")))</f>
        <v/>
      </c>
      <c r="AT69" s="9"/>
      <c r="AU69" s="9"/>
      <c r="AV69" s="9"/>
      <c r="AW69" s="9"/>
      <c r="AX69" s="9"/>
      <c r="AY69" s="31"/>
      <c r="AZ69" s="10" t="str">
        <f aca="false">IF(C69="","",IF(AND(AB69="Approved",ISERROR(SEARCH("FAIL",AS69))),"Y","N"))</f>
        <v/>
      </c>
      <c r="BA69" s="10" t="str">
        <f aca="false">IF(C69="","",C69&amp;"|"&amp;I69&amp;"|"&amp;F69&amp;"|"&amp;AZ69)</f>
        <v/>
      </c>
    </row>
    <row r="70" customFormat="false" ht="15" hidden="false" customHeight="false" outlineLevel="0" collapsed="false">
      <c r="A70" s="10" t="str">
        <f aca="false">IF(C70="","","MH-"&amp;IFERROR(VLOOKUP(C70,Lists!$AB$4:$AC$20,2,0),"??")&amp;"-"&amp;TEXT(F70,"0000")&amp;IF(E70="Circular","D","x"&amp;TEXT(G70,"0000"))&amp;"-D"&amp;TEXT(I70*1000,"0000")&amp;"-"&amp;IFERROR(VLOOKUP(D70,Lists!$AE$4:$AF$16,2,0),"??")&amp;"-"&amp;AA70)</f>
        <v/>
      </c>
      <c r="B70" s="10" t="str">
        <f aca="false">IF(C70="","",C70&amp;", "&amp;D70&amp;", "&amp;IF(E70="Circular",F70&amp;" dia",F70&amp;" x "&amp;G70)&amp;", depth "&amp;TEXT(H70,"0.0")&amp;"-"&amp;TEXT(I70,"0.0")&amp;" m, pipe up to "&amp;J70&amp;" dia")</f>
        <v/>
      </c>
      <c r="C70" s="9"/>
      <c r="D70" s="9"/>
      <c r="E70" s="9"/>
      <c r="F70" s="40"/>
      <c r="G70" s="40"/>
      <c r="H70" s="43"/>
      <c r="I70" s="43"/>
      <c r="J70" s="40"/>
      <c r="K70" s="40"/>
      <c r="L70" s="40"/>
      <c r="M70" s="40"/>
      <c r="N70" s="9"/>
      <c r="O70" s="9"/>
      <c r="P70" s="9"/>
      <c r="Q70" s="9"/>
      <c r="R70" s="41"/>
      <c r="S70" s="9"/>
      <c r="T70" s="40"/>
      <c r="U70" s="9"/>
      <c r="V70" s="9"/>
      <c r="W70" s="9"/>
      <c r="X70" s="9"/>
      <c r="Y70" s="9"/>
      <c r="Z70" s="9"/>
      <c r="AA70" s="9"/>
      <c r="AB70" s="9"/>
      <c r="AC70" s="9"/>
      <c r="AD70" s="9"/>
      <c r="AE70" s="9"/>
      <c r="AF70" s="10" t="str">
        <f aca="false">IF(A70="","",SG_Criteria!$B$6&amp;SG_Criteria!$B$10&amp;"\"&amp;A70&amp;"\")</f>
        <v/>
      </c>
      <c r="AG70" s="10" t="str">
        <f aca="false">IF(A70="","",A70&amp;"_CAD.dwg")</f>
        <v/>
      </c>
      <c r="AH70" s="10" t="str">
        <f aca="false">IF(A70="","",A70&amp;"_DWG.pdf")</f>
        <v/>
      </c>
      <c r="AI70" s="10" t="str">
        <f aca="false">IF(A70="","",IF(AE70="Y",A70&amp;"_STAAD.std","n/a"))</f>
        <v/>
      </c>
      <c r="AJ70" s="10" t="str">
        <f aca="false">IF(A70="","",A70&amp;"_CALC.xlsx")</f>
        <v/>
      </c>
      <c r="AK70" s="10" t="str">
        <f aca="false">IF(A70="","",A70&amp;"_CALC.pdf")</f>
        <v/>
      </c>
      <c r="AL70" s="9"/>
      <c r="AM70" s="9"/>
      <c r="AN70" s="41"/>
      <c r="AO70" s="41"/>
      <c r="AP70" s="41"/>
      <c r="AQ70" s="41"/>
      <c r="AR70" s="41"/>
      <c r="AS70" s="38" t="str">
        <f aca="false">IF(C70="","",IF(LEN(IF(AND(S70&lt;&gt;"",IFERROR(VALUE(MID(S70,2,2)),0)&lt;SG_Criteria!$B$19),"FAIL: grade below C"&amp;SG_Criteria!$B$19&amp;". ","")&amp;IF(AND(T70&lt;&gt;"",T70&lt;SG_Criteria!$B$20),"FAIL: cover &lt; "&amp;SG_Criteria!$B$20&amp;" mm. ","")&amp;IF(AND(H70&lt;&gt;"",H70&lt;SG_Criteria!$B$39),"NOTE: min depth below PUB "&amp;SG_Criteria!$B$39&amp;" m. ","")&amp;IF(AND(LEFT(C70,8)="Standard",I70&gt;SG_Criteria!$B$42),"FAIL: PUB 001C covers manholes up to "&amp;SG_Criteria!$B$42&amp;" m deep only. ","")&amp;IF(AND(LEFT(C70,11)="Rectangular",J70&lt;SG_Criteria!$B$43),"NOTE: 004C is for sewers &gt;= "&amp;SG_Criteria!$B$43&amp;" dia. ","")&amp;IF(AND(LEFT(C70,7)="Precast",I70&lt;=SG_Criteria!$B$42),"NOTE: 006C is for manholes &gt; "&amp;SG_Criteria!$B$42&amp;" m deep. ","")&amp;IF(AND(J70&lt;&gt;"",J70&lt;SG_Criteria!$B$40,C70&lt;&gt;"Inspection Chamber"),"NOTE: public sewer min dia "&amp;SG_Criteria!$B$40&amp;" mm. ","")&amp;IF(AND(R70&lt;&gt;"",R70&lt;SG_Criteria!$B$44),"FAIL: uplift FOS below "&amp;SG_Criteria!$B$44&amp;". ",""))=0,"OK",IF(AND(S70&lt;&gt;"",IFERROR(VALUE(MID(S70,2,2)),0)&lt;SG_Criteria!$B$19),"FAIL: grade below C"&amp;SG_Criteria!$B$19&amp;". ","")&amp;IF(AND(T70&lt;&gt;"",T70&lt;SG_Criteria!$B$20),"FAIL: cover &lt; "&amp;SG_Criteria!$B$20&amp;" mm. ","")&amp;IF(AND(H70&lt;&gt;"",H70&lt;SG_Criteria!$B$39),"NOTE: min depth below PUB "&amp;SG_Criteria!$B$39&amp;" m. ","")&amp;IF(AND(LEFT(C70,8)="Standard",I70&gt;SG_Criteria!$B$42),"FAIL: PUB 001C covers manholes up to "&amp;SG_Criteria!$B$42&amp;" m deep only. ","")&amp;IF(AND(LEFT(C70,11)="Rectangular",J70&lt;SG_Criteria!$B$43),"NOTE: 004C is for sewers &gt;= "&amp;SG_Criteria!$B$43&amp;" dia. ","")&amp;IF(AND(LEFT(C70,7)="Precast",I70&lt;=SG_Criteria!$B$42),"NOTE: 006C is for manholes &gt; "&amp;SG_Criteria!$B$42&amp;" m deep. ","")&amp;IF(AND(J70&lt;&gt;"",J70&lt;SG_Criteria!$B$40,C70&lt;&gt;"Inspection Chamber"),"NOTE: public sewer min dia "&amp;SG_Criteria!$B$40&amp;" mm. ","")&amp;IF(AND(R70&lt;&gt;"",R70&lt;SG_Criteria!$B$44),"FAIL: uplift FOS below "&amp;SG_Criteria!$B$44&amp;". ","")))</f>
        <v/>
      </c>
      <c r="AT70" s="9"/>
      <c r="AU70" s="9"/>
      <c r="AV70" s="9"/>
      <c r="AW70" s="9"/>
      <c r="AX70" s="9"/>
      <c r="AY70" s="31"/>
      <c r="AZ70" s="10" t="str">
        <f aca="false">IF(C70="","",IF(AND(AB70="Approved",ISERROR(SEARCH("FAIL",AS70))),"Y","N"))</f>
        <v/>
      </c>
      <c r="BA70" s="10" t="str">
        <f aca="false">IF(C70="","",C70&amp;"|"&amp;I70&amp;"|"&amp;F70&amp;"|"&amp;AZ70)</f>
        <v/>
      </c>
    </row>
    <row r="71" customFormat="false" ht="15" hidden="false" customHeight="false" outlineLevel="0" collapsed="false">
      <c r="A71" s="10" t="str">
        <f aca="false">IF(C71="","","MH-"&amp;IFERROR(VLOOKUP(C71,Lists!$AB$4:$AC$20,2,0),"??")&amp;"-"&amp;TEXT(F71,"0000")&amp;IF(E71="Circular","D","x"&amp;TEXT(G71,"0000"))&amp;"-D"&amp;TEXT(I71*1000,"0000")&amp;"-"&amp;IFERROR(VLOOKUP(D71,Lists!$AE$4:$AF$16,2,0),"??")&amp;"-"&amp;AA71)</f>
        <v/>
      </c>
      <c r="B71" s="10" t="str">
        <f aca="false">IF(C71="","",C71&amp;", "&amp;D71&amp;", "&amp;IF(E71="Circular",F71&amp;" dia",F71&amp;" x "&amp;G71)&amp;", depth "&amp;TEXT(H71,"0.0")&amp;"-"&amp;TEXT(I71,"0.0")&amp;" m, pipe up to "&amp;J71&amp;" dia")</f>
        <v/>
      </c>
      <c r="C71" s="9"/>
      <c r="D71" s="9"/>
      <c r="E71" s="9"/>
      <c r="F71" s="40"/>
      <c r="G71" s="40"/>
      <c r="H71" s="43"/>
      <c r="I71" s="43"/>
      <c r="J71" s="40"/>
      <c r="K71" s="40"/>
      <c r="L71" s="40"/>
      <c r="M71" s="40"/>
      <c r="N71" s="9"/>
      <c r="O71" s="9"/>
      <c r="P71" s="9"/>
      <c r="Q71" s="9"/>
      <c r="R71" s="41"/>
      <c r="S71" s="9"/>
      <c r="T71" s="40"/>
      <c r="U71" s="9"/>
      <c r="V71" s="9"/>
      <c r="W71" s="9"/>
      <c r="X71" s="9"/>
      <c r="Y71" s="9"/>
      <c r="Z71" s="9"/>
      <c r="AA71" s="9"/>
      <c r="AB71" s="9"/>
      <c r="AC71" s="9"/>
      <c r="AD71" s="9"/>
      <c r="AE71" s="9"/>
      <c r="AF71" s="10" t="str">
        <f aca="false">IF(A71="","",SG_Criteria!$B$6&amp;SG_Criteria!$B$10&amp;"\"&amp;A71&amp;"\")</f>
        <v/>
      </c>
      <c r="AG71" s="10" t="str">
        <f aca="false">IF(A71="","",A71&amp;"_CAD.dwg")</f>
        <v/>
      </c>
      <c r="AH71" s="10" t="str">
        <f aca="false">IF(A71="","",A71&amp;"_DWG.pdf")</f>
        <v/>
      </c>
      <c r="AI71" s="10" t="str">
        <f aca="false">IF(A71="","",IF(AE71="Y",A71&amp;"_STAAD.std","n/a"))</f>
        <v/>
      </c>
      <c r="AJ71" s="10" t="str">
        <f aca="false">IF(A71="","",A71&amp;"_CALC.xlsx")</f>
        <v/>
      </c>
      <c r="AK71" s="10" t="str">
        <f aca="false">IF(A71="","",A71&amp;"_CALC.pdf")</f>
        <v/>
      </c>
      <c r="AL71" s="9"/>
      <c r="AM71" s="9"/>
      <c r="AN71" s="41"/>
      <c r="AO71" s="41"/>
      <c r="AP71" s="41"/>
      <c r="AQ71" s="41"/>
      <c r="AR71" s="41"/>
      <c r="AS71" s="38" t="str">
        <f aca="false">IF(C71="","",IF(LEN(IF(AND(S71&lt;&gt;"",IFERROR(VALUE(MID(S71,2,2)),0)&lt;SG_Criteria!$B$19),"FAIL: grade below C"&amp;SG_Criteria!$B$19&amp;". ","")&amp;IF(AND(T71&lt;&gt;"",T71&lt;SG_Criteria!$B$20),"FAIL: cover &lt; "&amp;SG_Criteria!$B$20&amp;" mm. ","")&amp;IF(AND(H71&lt;&gt;"",H71&lt;SG_Criteria!$B$39),"NOTE: min depth below PUB "&amp;SG_Criteria!$B$39&amp;" m. ","")&amp;IF(AND(LEFT(C71,8)="Standard",I71&gt;SG_Criteria!$B$42),"FAIL: PUB 001C covers manholes up to "&amp;SG_Criteria!$B$42&amp;" m deep only. ","")&amp;IF(AND(LEFT(C71,11)="Rectangular",J71&lt;SG_Criteria!$B$43),"NOTE: 004C is for sewers &gt;= "&amp;SG_Criteria!$B$43&amp;" dia. ","")&amp;IF(AND(LEFT(C71,7)="Precast",I71&lt;=SG_Criteria!$B$42),"NOTE: 006C is for manholes &gt; "&amp;SG_Criteria!$B$42&amp;" m deep. ","")&amp;IF(AND(J71&lt;&gt;"",J71&lt;SG_Criteria!$B$40,C71&lt;&gt;"Inspection Chamber"),"NOTE: public sewer min dia "&amp;SG_Criteria!$B$40&amp;" mm. ","")&amp;IF(AND(R71&lt;&gt;"",R71&lt;SG_Criteria!$B$44),"FAIL: uplift FOS below "&amp;SG_Criteria!$B$44&amp;". ",""))=0,"OK",IF(AND(S71&lt;&gt;"",IFERROR(VALUE(MID(S71,2,2)),0)&lt;SG_Criteria!$B$19),"FAIL: grade below C"&amp;SG_Criteria!$B$19&amp;". ","")&amp;IF(AND(T71&lt;&gt;"",T71&lt;SG_Criteria!$B$20),"FAIL: cover &lt; "&amp;SG_Criteria!$B$20&amp;" mm. ","")&amp;IF(AND(H71&lt;&gt;"",H71&lt;SG_Criteria!$B$39),"NOTE: min depth below PUB "&amp;SG_Criteria!$B$39&amp;" m. ","")&amp;IF(AND(LEFT(C71,8)="Standard",I71&gt;SG_Criteria!$B$42),"FAIL: PUB 001C covers manholes up to "&amp;SG_Criteria!$B$42&amp;" m deep only. ","")&amp;IF(AND(LEFT(C71,11)="Rectangular",J71&lt;SG_Criteria!$B$43),"NOTE: 004C is for sewers &gt;= "&amp;SG_Criteria!$B$43&amp;" dia. ","")&amp;IF(AND(LEFT(C71,7)="Precast",I71&lt;=SG_Criteria!$B$42),"NOTE: 006C is for manholes &gt; "&amp;SG_Criteria!$B$42&amp;" m deep. ","")&amp;IF(AND(J71&lt;&gt;"",J71&lt;SG_Criteria!$B$40,C71&lt;&gt;"Inspection Chamber"),"NOTE: public sewer min dia "&amp;SG_Criteria!$B$40&amp;" mm. ","")&amp;IF(AND(R71&lt;&gt;"",R71&lt;SG_Criteria!$B$44),"FAIL: uplift FOS below "&amp;SG_Criteria!$B$44&amp;". ","")))</f>
        <v/>
      </c>
      <c r="AT71" s="9"/>
      <c r="AU71" s="9"/>
      <c r="AV71" s="9"/>
      <c r="AW71" s="9"/>
      <c r="AX71" s="9"/>
      <c r="AY71" s="31"/>
      <c r="AZ71" s="10" t="str">
        <f aca="false">IF(C71="","",IF(AND(AB71="Approved",ISERROR(SEARCH("FAIL",AS71))),"Y","N"))</f>
        <v/>
      </c>
      <c r="BA71" s="10" t="str">
        <f aca="false">IF(C71="","",C71&amp;"|"&amp;I71&amp;"|"&amp;F71&amp;"|"&amp;AZ71)</f>
        <v/>
      </c>
    </row>
    <row r="72" customFormat="false" ht="15" hidden="false" customHeight="false" outlineLevel="0" collapsed="false">
      <c r="A72" s="10" t="str">
        <f aca="false">IF(C72="","","MH-"&amp;IFERROR(VLOOKUP(C72,Lists!$AB$4:$AC$20,2,0),"??")&amp;"-"&amp;TEXT(F72,"0000")&amp;IF(E72="Circular","D","x"&amp;TEXT(G72,"0000"))&amp;"-D"&amp;TEXT(I72*1000,"0000")&amp;"-"&amp;IFERROR(VLOOKUP(D72,Lists!$AE$4:$AF$16,2,0),"??")&amp;"-"&amp;AA72)</f>
        <v/>
      </c>
      <c r="B72" s="10" t="str">
        <f aca="false">IF(C72="","",C72&amp;", "&amp;D72&amp;", "&amp;IF(E72="Circular",F72&amp;" dia",F72&amp;" x "&amp;G72)&amp;", depth "&amp;TEXT(H72,"0.0")&amp;"-"&amp;TEXT(I72,"0.0")&amp;" m, pipe up to "&amp;J72&amp;" dia")</f>
        <v/>
      </c>
      <c r="C72" s="9"/>
      <c r="D72" s="9"/>
      <c r="E72" s="9"/>
      <c r="F72" s="40"/>
      <c r="G72" s="40"/>
      <c r="H72" s="43"/>
      <c r="I72" s="43"/>
      <c r="J72" s="40"/>
      <c r="K72" s="40"/>
      <c r="L72" s="40"/>
      <c r="M72" s="40"/>
      <c r="N72" s="9"/>
      <c r="O72" s="9"/>
      <c r="P72" s="9"/>
      <c r="Q72" s="9"/>
      <c r="R72" s="41"/>
      <c r="S72" s="9"/>
      <c r="T72" s="40"/>
      <c r="U72" s="9"/>
      <c r="V72" s="9"/>
      <c r="W72" s="9"/>
      <c r="X72" s="9"/>
      <c r="Y72" s="9"/>
      <c r="Z72" s="9"/>
      <c r="AA72" s="9"/>
      <c r="AB72" s="9"/>
      <c r="AC72" s="9"/>
      <c r="AD72" s="9"/>
      <c r="AE72" s="9"/>
      <c r="AF72" s="10" t="str">
        <f aca="false">IF(A72="","",SG_Criteria!$B$6&amp;SG_Criteria!$B$10&amp;"\"&amp;A72&amp;"\")</f>
        <v/>
      </c>
      <c r="AG72" s="10" t="str">
        <f aca="false">IF(A72="","",A72&amp;"_CAD.dwg")</f>
        <v/>
      </c>
      <c r="AH72" s="10" t="str">
        <f aca="false">IF(A72="","",A72&amp;"_DWG.pdf")</f>
        <v/>
      </c>
      <c r="AI72" s="10" t="str">
        <f aca="false">IF(A72="","",IF(AE72="Y",A72&amp;"_STAAD.std","n/a"))</f>
        <v/>
      </c>
      <c r="AJ72" s="10" t="str">
        <f aca="false">IF(A72="","",A72&amp;"_CALC.xlsx")</f>
        <v/>
      </c>
      <c r="AK72" s="10" t="str">
        <f aca="false">IF(A72="","",A72&amp;"_CALC.pdf")</f>
        <v/>
      </c>
      <c r="AL72" s="9"/>
      <c r="AM72" s="9"/>
      <c r="AN72" s="41"/>
      <c r="AO72" s="41"/>
      <c r="AP72" s="41"/>
      <c r="AQ72" s="41"/>
      <c r="AR72" s="41"/>
      <c r="AS72" s="38" t="str">
        <f aca="false">IF(C72="","",IF(LEN(IF(AND(S72&lt;&gt;"",IFERROR(VALUE(MID(S72,2,2)),0)&lt;SG_Criteria!$B$19),"FAIL: grade below C"&amp;SG_Criteria!$B$19&amp;". ","")&amp;IF(AND(T72&lt;&gt;"",T72&lt;SG_Criteria!$B$20),"FAIL: cover &lt; "&amp;SG_Criteria!$B$20&amp;" mm. ","")&amp;IF(AND(H72&lt;&gt;"",H72&lt;SG_Criteria!$B$39),"NOTE: min depth below PUB "&amp;SG_Criteria!$B$39&amp;" m. ","")&amp;IF(AND(LEFT(C72,8)="Standard",I72&gt;SG_Criteria!$B$42),"FAIL: PUB 001C covers manholes up to "&amp;SG_Criteria!$B$42&amp;" m deep only. ","")&amp;IF(AND(LEFT(C72,11)="Rectangular",J72&lt;SG_Criteria!$B$43),"NOTE: 004C is for sewers &gt;= "&amp;SG_Criteria!$B$43&amp;" dia. ","")&amp;IF(AND(LEFT(C72,7)="Precast",I72&lt;=SG_Criteria!$B$42),"NOTE: 006C is for manholes &gt; "&amp;SG_Criteria!$B$42&amp;" m deep. ","")&amp;IF(AND(J72&lt;&gt;"",J72&lt;SG_Criteria!$B$40,C72&lt;&gt;"Inspection Chamber"),"NOTE: public sewer min dia "&amp;SG_Criteria!$B$40&amp;" mm. ","")&amp;IF(AND(R72&lt;&gt;"",R72&lt;SG_Criteria!$B$44),"FAIL: uplift FOS below "&amp;SG_Criteria!$B$44&amp;". ",""))=0,"OK",IF(AND(S72&lt;&gt;"",IFERROR(VALUE(MID(S72,2,2)),0)&lt;SG_Criteria!$B$19),"FAIL: grade below C"&amp;SG_Criteria!$B$19&amp;". ","")&amp;IF(AND(T72&lt;&gt;"",T72&lt;SG_Criteria!$B$20),"FAIL: cover &lt; "&amp;SG_Criteria!$B$20&amp;" mm. ","")&amp;IF(AND(H72&lt;&gt;"",H72&lt;SG_Criteria!$B$39),"NOTE: min depth below PUB "&amp;SG_Criteria!$B$39&amp;" m. ","")&amp;IF(AND(LEFT(C72,8)="Standard",I72&gt;SG_Criteria!$B$42),"FAIL: PUB 001C covers manholes up to "&amp;SG_Criteria!$B$42&amp;" m deep only. ","")&amp;IF(AND(LEFT(C72,11)="Rectangular",J72&lt;SG_Criteria!$B$43),"NOTE: 004C is for sewers &gt;= "&amp;SG_Criteria!$B$43&amp;" dia. ","")&amp;IF(AND(LEFT(C72,7)="Precast",I72&lt;=SG_Criteria!$B$42),"NOTE: 006C is for manholes &gt; "&amp;SG_Criteria!$B$42&amp;" m deep. ","")&amp;IF(AND(J72&lt;&gt;"",J72&lt;SG_Criteria!$B$40,C72&lt;&gt;"Inspection Chamber"),"NOTE: public sewer min dia "&amp;SG_Criteria!$B$40&amp;" mm. ","")&amp;IF(AND(R72&lt;&gt;"",R72&lt;SG_Criteria!$B$44),"FAIL: uplift FOS below "&amp;SG_Criteria!$B$44&amp;". ","")))</f>
        <v/>
      </c>
      <c r="AT72" s="9"/>
      <c r="AU72" s="9"/>
      <c r="AV72" s="9"/>
      <c r="AW72" s="9"/>
      <c r="AX72" s="9"/>
      <c r="AY72" s="31"/>
      <c r="AZ72" s="10" t="str">
        <f aca="false">IF(C72="","",IF(AND(AB72="Approved",ISERROR(SEARCH("FAIL",AS72))),"Y","N"))</f>
        <v/>
      </c>
      <c r="BA72" s="10" t="str">
        <f aca="false">IF(C72="","",C72&amp;"|"&amp;I72&amp;"|"&amp;F72&amp;"|"&amp;AZ72)</f>
        <v/>
      </c>
    </row>
    <row r="73" customFormat="false" ht="15" hidden="false" customHeight="false" outlineLevel="0" collapsed="false">
      <c r="A73" s="10" t="str">
        <f aca="false">IF(C73="","","MH-"&amp;IFERROR(VLOOKUP(C73,Lists!$AB$4:$AC$20,2,0),"??")&amp;"-"&amp;TEXT(F73,"0000")&amp;IF(E73="Circular","D","x"&amp;TEXT(G73,"0000"))&amp;"-D"&amp;TEXT(I73*1000,"0000")&amp;"-"&amp;IFERROR(VLOOKUP(D73,Lists!$AE$4:$AF$16,2,0),"??")&amp;"-"&amp;AA73)</f>
        <v/>
      </c>
      <c r="B73" s="10" t="str">
        <f aca="false">IF(C73="","",C73&amp;", "&amp;D73&amp;", "&amp;IF(E73="Circular",F73&amp;" dia",F73&amp;" x "&amp;G73)&amp;", depth "&amp;TEXT(H73,"0.0")&amp;"-"&amp;TEXT(I73,"0.0")&amp;" m, pipe up to "&amp;J73&amp;" dia")</f>
        <v/>
      </c>
      <c r="C73" s="9"/>
      <c r="D73" s="9"/>
      <c r="E73" s="9"/>
      <c r="F73" s="40"/>
      <c r="G73" s="40"/>
      <c r="H73" s="43"/>
      <c r="I73" s="43"/>
      <c r="J73" s="40"/>
      <c r="K73" s="40"/>
      <c r="L73" s="40"/>
      <c r="M73" s="40"/>
      <c r="N73" s="9"/>
      <c r="O73" s="9"/>
      <c r="P73" s="9"/>
      <c r="Q73" s="9"/>
      <c r="R73" s="41"/>
      <c r="S73" s="9"/>
      <c r="T73" s="40"/>
      <c r="U73" s="9"/>
      <c r="V73" s="9"/>
      <c r="W73" s="9"/>
      <c r="X73" s="9"/>
      <c r="Y73" s="9"/>
      <c r="Z73" s="9"/>
      <c r="AA73" s="9"/>
      <c r="AB73" s="9"/>
      <c r="AC73" s="9"/>
      <c r="AD73" s="9"/>
      <c r="AE73" s="9"/>
      <c r="AF73" s="10" t="str">
        <f aca="false">IF(A73="","",SG_Criteria!$B$6&amp;SG_Criteria!$B$10&amp;"\"&amp;A73&amp;"\")</f>
        <v/>
      </c>
      <c r="AG73" s="10" t="str">
        <f aca="false">IF(A73="","",A73&amp;"_CAD.dwg")</f>
        <v/>
      </c>
      <c r="AH73" s="10" t="str">
        <f aca="false">IF(A73="","",A73&amp;"_DWG.pdf")</f>
        <v/>
      </c>
      <c r="AI73" s="10" t="str">
        <f aca="false">IF(A73="","",IF(AE73="Y",A73&amp;"_STAAD.std","n/a"))</f>
        <v/>
      </c>
      <c r="AJ73" s="10" t="str">
        <f aca="false">IF(A73="","",A73&amp;"_CALC.xlsx")</f>
        <v/>
      </c>
      <c r="AK73" s="10" t="str">
        <f aca="false">IF(A73="","",A73&amp;"_CALC.pdf")</f>
        <v/>
      </c>
      <c r="AL73" s="9"/>
      <c r="AM73" s="9"/>
      <c r="AN73" s="41"/>
      <c r="AO73" s="41"/>
      <c r="AP73" s="41"/>
      <c r="AQ73" s="41"/>
      <c r="AR73" s="41"/>
      <c r="AS73" s="38" t="str">
        <f aca="false">IF(C73="","",IF(LEN(IF(AND(S73&lt;&gt;"",IFERROR(VALUE(MID(S73,2,2)),0)&lt;SG_Criteria!$B$19),"FAIL: grade below C"&amp;SG_Criteria!$B$19&amp;". ","")&amp;IF(AND(T73&lt;&gt;"",T73&lt;SG_Criteria!$B$20),"FAIL: cover &lt; "&amp;SG_Criteria!$B$20&amp;" mm. ","")&amp;IF(AND(H73&lt;&gt;"",H73&lt;SG_Criteria!$B$39),"NOTE: min depth below PUB "&amp;SG_Criteria!$B$39&amp;" m. ","")&amp;IF(AND(LEFT(C73,8)="Standard",I73&gt;SG_Criteria!$B$42),"FAIL: PUB 001C covers manholes up to "&amp;SG_Criteria!$B$42&amp;" m deep only. ","")&amp;IF(AND(LEFT(C73,11)="Rectangular",J73&lt;SG_Criteria!$B$43),"NOTE: 004C is for sewers &gt;= "&amp;SG_Criteria!$B$43&amp;" dia. ","")&amp;IF(AND(LEFT(C73,7)="Precast",I73&lt;=SG_Criteria!$B$42),"NOTE: 006C is for manholes &gt; "&amp;SG_Criteria!$B$42&amp;" m deep. ","")&amp;IF(AND(J73&lt;&gt;"",J73&lt;SG_Criteria!$B$40,C73&lt;&gt;"Inspection Chamber"),"NOTE: public sewer min dia "&amp;SG_Criteria!$B$40&amp;" mm. ","")&amp;IF(AND(R73&lt;&gt;"",R73&lt;SG_Criteria!$B$44),"FAIL: uplift FOS below "&amp;SG_Criteria!$B$44&amp;". ",""))=0,"OK",IF(AND(S73&lt;&gt;"",IFERROR(VALUE(MID(S73,2,2)),0)&lt;SG_Criteria!$B$19),"FAIL: grade below C"&amp;SG_Criteria!$B$19&amp;". ","")&amp;IF(AND(T73&lt;&gt;"",T73&lt;SG_Criteria!$B$20),"FAIL: cover &lt; "&amp;SG_Criteria!$B$20&amp;" mm. ","")&amp;IF(AND(H73&lt;&gt;"",H73&lt;SG_Criteria!$B$39),"NOTE: min depth below PUB "&amp;SG_Criteria!$B$39&amp;" m. ","")&amp;IF(AND(LEFT(C73,8)="Standard",I73&gt;SG_Criteria!$B$42),"FAIL: PUB 001C covers manholes up to "&amp;SG_Criteria!$B$42&amp;" m deep only. ","")&amp;IF(AND(LEFT(C73,11)="Rectangular",J73&lt;SG_Criteria!$B$43),"NOTE: 004C is for sewers &gt;= "&amp;SG_Criteria!$B$43&amp;" dia. ","")&amp;IF(AND(LEFT(C73,7)="Precast",I73&lt;=SG_Criteria!$B$42),"NOTE: 006C is for manholes &gt; "&amp;SG_Criteria!$B$42&amp;" m deep. ","")&amp;IF(AND(J73&lt;&gt;"",J73&lt;SG_Criteria!$B$40,C73&lt;&gt;"Inspection Chamber"),"NOTE: public sewer min dia "&amp;SG_Criteria!$B$40&amp;" mm. ","")&amp;IF(AND(R73&lt;&gt;"",R73&lt;SG_Criteria!$B$44),"FAIL: uplift FOS below "&amp;SG_Criteria!$B$44&amp;". ","")))</f>
        <v/>
      </c>
      <c r="AT73" s="9"/>
      <c r="AU73" s="9"/>
      <c r="AV73" s="9"/>
      <c r="AW73" s="9"/>
      <c r="AX73" s="9"/>
      <c r="AY73" s="31"/>
      <c r="AZ73" s="10" t="str">
        <f aca="false">IF(C73="","",IF(AND(AB73="Approved",ISERROR(SEARCH("FAIL",AS73))),"Y","N"))</f>
        <v/>
      </c>
      <c r="BA73" s="10" t="str">
        <f aca="false">IF(C73="","",C73&amp;"|"&amp;I73&amp;"|"&amp;F73&amp;"|"&amp;AZ73)</f>
        <v/>
      </c>
    </row>
    <row r="74" customFormat="false" ht="15" hidden="false" customHeight="false" outlineLevel="0" collapsed="false">
      <c r="A74" s="10" t="str">
        <f aca="false">IF(C74="","","MH-"&amp;IFERROR(VLOOKUP(C74,Lists!$AB$4:$AC$20,2,0),"??")&amp;"-"&amp;TEXT(F74,"0000")&amp;IF(E74="Circular","D","x"&amp;TEXT(G74,"0000"))&amp;"-D"&amp;TEXT(I74*1000,"0000")&amp;"-"&amp;IFERROR(VLOOKUP(D74,Lists!$AE$4:$AF$16,2,0),"??")&amp;"-"&amp;AA74)</f>
        <v/>
      </c>
      <c r="B74" s="10" t="str">
        <f aca="false">IF(C74="","",C74&amp;", "&amp;D74&amp;", "&amp;IF(E74="Circular",F74&amp;" dia",F74&amp;" x "&amp;G74)&amp;", depth "&amp;TEXT(H74,"0.0")&amp;"-"&amp;TEXT(I74,"0.0")&amp;" m, pipe up to "&amp;J74&amp;" dia")</f>
        <v/>
      </c>
      <c r="C74" s="9"/>
      <c r="D74" s="9"/>
      <c r="E74" s="9"/>
      <c r="F74" s="40"/>
      <c r="G74" s="40"/>
      <c r="H74" s="43"/>
      <c r="I74" s="43"/>
      <c r="J74" s="40"/>
      <c r="K74" s="40"/>
      <c r="L74" s="40"/>
      <c r="M74" s="40"/>
      <c r="N74" s="9"/>
      <c r="O74" s="9"/>
      <c r="P74" s="9"/>
      <c r="Q74" s="9"/>
      <c r="R74" s="41"/>
      <c r="S74" s="9"/>
      <c r="T74" s="40"/>
      <c r="U74" s="9"/>
      <c r="V74" s="9"/>
      <c r="W74" s="9"/>
      <c r="X74" s="9"/>
      <c r="Y74" s="9"/>
      <c r="Z74" s="9"/>
      <c r="AA74" s="9"/>
      <c r="AB74" s="9"/>
      <c r="AC74" s="9"/>
      <c r="AD74" s="9"/>
      <c r="AE74" s="9"/>
      <c r="AF74" s="10" t="str">
        <f aca="false">IF(A74="","",SG_Criteria!$B$6&amp;SG_Criteria!$B$10&amp;"\"&amp;A74&amp;"\")</f>
        <v/>
      </c>
      <c r="AG74" s="10" t="str">
        <f aca="false">IF(A74="","",A74&amp;"_CAD.dwg")</f>
        <v/>
      </c>
      <c r="AH74" s="10" t="str">
        <f aca="false">IF(A74="","",A74&amp;"_DWG.pdf")</f>
        <v/>
      </c>
      <c r="AI74" s="10" t="str">
        <f aca="false">IF(A74="","",IF(AE74="Y",A74&amp;"_STAAD.std","n/a"))</f>
        <v/>
      </c>
      <c r="AJ74" s="10" t="str">
        <f aca="false">IF(A74="","",A74&amp;"_CALC.xlsx")</f>
        <v/>
      </c>
      <c r="AK74" s="10" t="str">
        <f aca="false">IF(A74="","",A74&amp;"_CALC.pdf")</f>
        <v/>
      </c>
      <c r="AL74" s="9"/>
      <c r="AM74" s="9"/>
      <c r="AN74" s="41"/>
      <c r="AO74" s="41"/>
      <c r="AP74" s="41"/>
      <c r="AQ74" s="41"/>
      <c r="AR74" s="41"/>
      <c r="AS74" s="38" t="str">
        <f aca="false">IF(C74="","",IF(LEN(IF(AND(S74&lt;&gt;"",IFERROR(VALUE(MID(S74,2,2)),0)&lt;SG_Criteria!$B$19),"FAIL: grade below C"&amp;SG_Criteria!$B$19&amp;". ","")&amp;IF(AND(T74&lt;&gt;"",T74&lt;SG_Criteria!$B$20),"FAIL: cover &lt; "&amp;SG_Criteria!$B$20&amp;" mm. ","")&amp;IF(AND(H74&lt;&gt;"",H74&lt;SG_Criteria!$B$39),"NOTE: min depth below PUB "&amp;SG_Criteria!$B$39&amp;" m. ","")&amp;IF(AND(LEFT(C74,8)="Standard",I74&gt;SG_Criteria!$B$42),"FAIL: PUB 001C covers manholes up to "&amp;SG_Criteria!$B$42&amp;" m deep only. ","")&amp;IF(AND(LEFT(C74,11)="Rectangular",J74&lt;SG_Criteria!$B$43),"NOTE: 004C is for sewers &gt;= "&amp;SG_Criteria!$B$43&amp;" dia. ","")&amp;IF(AND(LEFT(C74,7)="Precast",I74&lt;=SG_Criteria!$B$42),"NOTE: 006C is for manholes &gt; "&amp;SG_Criteria!$B$42&amp;" m deep. ","")&amp;IF(AND(J74&lt;&gt;"",J74&lt;SG_Criteria!$B$40,C74&lt;&gt;"Inspection Chamber"),"NOTE: public sewer min dia "&amp;SG_Criteria!$B$40&amp;" mm. ","")&amp;IF(AND(R74&lt;&gt;"",R74&lt;SG_Criteria!$B$44),"FAIL: uplift FOS below "&amp;SG_Criteria!$B$44&amp;". ",""))=0,"OK",IF(AND(S74&lt;&gt;"",IFERROR(VALUE(MID(S74,2,2)),0)&lt;SG_Criteria!$B$19),"FAIL: grade below C"&amp;SG_Criteria!$B$19&amp;". ","")&amp;IF(AND(T74&lt;&gt;"",T74&lt;SG_Criteria!$B$20),"FAIL: cover &lt; "&amp;SG_Criteria!$B$20&amp;" mm. ","")&amp;IF(AND(H74&lt;&gt;"",H74&lt;SG_Criteria!$B$39),"NOTE: min depth below PUB "&amp;SG_Criteria!$B$39&amp;" m. ","")&amp;IF(AND(LEFT(C74,8)="Standard",I74&gt;SG_Criteria!$B$42),"FAIL: PUB 001C covers manholes up to "&amp;SG_Criteria!$B$42&amp;" m deep only. ","")&amp;IF(AND(LEFT(C74,11)="Rectangular",J74&lt;SG_Criteria!$B$43),"NOTE: 004C is for sewers &gt;= "&amp;SG_Criteria!$B$43&amp;" dia. ","")&amp;IF(AND(LEFT(C74,7)="Precast",I74&lt;=SG_Criteria!$B$42),"NOTE: 006C is for manholes &gt; "&amp;SG_Criteria!$B$42&amp;" m deep. ","")&amp;IF(AND(J74&lt;&gt;"",J74&lt;SG_Criteria!$B$40,C74&lt;&gt;"Inspection Chamber"),"NOTE: public sewer min dia "&amp;SG_Criteria!$B$40&amp;" mm. ","")&amp;IF(AND(R74&lt;&gt;"",R74&lt;SG_Criteria!$B$44),"FAIL: uplift FOS below "&amp;SG_Criteria!$B$44&amp;". ","")))</f>
        <v/>
      </c>
      <c r="AT74" s="9"/>
      <c r="AU74" s="9"/>
      <c r="AV74" s="9"/>
      <c r="AW74" s="9"/>
      <c r="AX74" s="9"/>
      <c r="AY74" s="31"/>
      <c r="AZ74" s="10" t="str">
        <f aca="false">IF(C74="","",IF(AND(AB74="Approved",ISERROR(SEARCH("FAIL",AS74))),"Y","N"))</f>
        <v/>
      </c>
      <c r="BA74" s="10" t="str">
        <f aca="false">IF(C74="","",C74&amp;"|"&amp;I74&amp;"|"&amp;F74&amp;"|"&amp;AZ74)</f>
        <v/>
      </c>
    </row>
    <row r="75" customFormat="false" ht="15" hidden="false" customHeight="false" outlineLevel="0" collapsed="false">
      <c r="A75" s="10" t="str">
        <f aca="false">IF(C75="","","MH-"&amp;IFERROR(VLOOKUP(C75,Lists!$AB$4:$AC$20,2,0),"??")&amp;"-"&amp;TEXT(F75,"0000")&amp;IF(E75="Circular","D","x"&amp;TEXT(G75,"0000"))&amp;"-D"&amp;TEXT(I75*1000,"0000")&amp;"-"&amp;IFERROR(VLOOKUP(D75,Lists!$AE$4:$AF$16,2,0),"??")&amp;"-"&amp;AA75)</f>
        <v/>
      </c>
      <c r="B75" s="10" t="str">
        <f aca="false">IF(C75="","",C75&amp;", "&amp;D75&amp;", "&amp;IF(E75="Circular",F75&amp;" dia",F75&amp;" x "&amp;G75)&amp;", depth "&amp;TEXT(H75,"0.0")&amp;"-"&amp;TEXT(I75,"0.0")&amp;" m, pipe up to "&amp;J75&amp;" dia")</f>
        <v/>
      </c>
      <c r="C75" s="9"/>
      <c r="D75" s="9"/>
      <c r="E75" s="9"/>
      <c r="F75" s="40"/>
      <c r="G75" s="40"/>
      <c r="H75" s="43"/>
      <c r="I75" s="43"/>
      <c r="J75" s="40"/>
      <c r="K75" s="40"/>
      <c r="L75" s="40"/>
      <c r="M75" s="40"/>
      <c r="N75" s="9"/>
      <c r="O75" s="9"/>
      <c r="P75" s="9"/>
      <c r="Q75" s="9"/>
      <c r="R75" s="41"/>
      <c r="S75" s="9"/>
      <c r="T75" s="40"/>
      <c r="U75" s="9"/>
      <c r="V75" s="9"/>
      <c r="W75" s="9"/>
      <c r="X75" s="9"/>
      <c r="Y75" s="9"/>
      <c r="Z75" s="9"/>
      <c r="AA75" s="9"/>
      <c r="AB75" s="9"/>
      <c r="AC75" s="9"/>
      <c r="AD75" s="9"/>
      <c r="AE75" s="9"/>
      <c r="AF75" s="10" t="str">
        <f aca="false">IF(A75="","",SG_Criteria!$B$6&amp;SG_Criteria!$B$10&amp;"\"&amp;A75&amp;"\")</f>
        <v/>
      </c>
      <c r="AG75" s="10" t="str">
        <f aca="false">IF(A75="","",A75&amp;"_CAD.dwg")</f>
        <v/>
      </c>
      <c r="AH75" s="10" t="str">
        <f aca="false">IF(A75="","",A75&amp;"_DWG.pdf")</f>
        <v/>
      </c>
      <c r="AI75" s="10" t="str">
        <f aca="false">IF(A75="","",IF(AE75="Y",A75&amp;"_STAAD.std","n/a"))</f>
        <v/>
      </c>
      <c r="AJ75" s="10" t="str">
        <f aca="false">IF(A75="","",A75&amp;"_CALC.xlsx")</f>
        <v/>
      </c>
      <c r="AK75" s="10" t="str">
        <f aca="false">IF(A75="","",A75&amp;"_CALC.pdf")</f>
        <v/>
      </c>
      <c r="AL75" s="9"/>
      <c r="AM75" s="9"/>
      <c r="AN75" s="41"/>
      <c r="AO75" s="41"/>
      <c r="AP75" s="41"/>
      <c r="AQ75" s="41"/>
      <c r="AR75" s="41"/>
      <c r="AS75" s="38" t="str">
        <f aca="false">IF(C75="","",IF(LEN(IF(AND(S75&lt;&gt;"",IFERROR(VALUE(MID(S75,2,2)),0)&lt;SG_Criteria!$B$19),"FAIL: grade below C"&amp;SG_Criteria!$B$19&amp;". ","")&amp;IF(AND(T75&lt;&gt;"",T75&lt;SG_Criteria!$B$20),"FAIL: cover &lt; "&amp;SG_Criteria!$B$20&amp;" mm. ","")&amp;IF(AND(H75&lt;&gt;"",H75&lt;SG_Criteria!$B$39),"NOTE: min depth below PUB "&amp;SG_Criteria!$B$39&amp;" m. ","")&amp;IF(AND(LEFT(C75,8)="Standard",I75&gt;SG_Criteria!$B$42),"FAIL: PUB 001C covers manholes up to "&amp;SG_Criteria!$B$42&amp;" m deep only. ","")&amp;IF(AND(LEFT(C75,11)="Rectangular",J75&lt;SG_Criteria!$B$43),"NOTE: 004C is for sewers &gt;= "&amp;SG_Criteria!$B$43&amp;" dia. ","")&amp;IF(AND(LEFT(C75,7)="Precast",I75&lt;=SG_Criteria!$B$42),"NOTE: 006C is for manholes &gt; "&amp;SG_Criteria!$B$42&amp;" m deep. ","")&amp;IF(AND(J75&lt;&gt;"",J75&lt;SG_Criteria!$B$40,C75&lt;&gt;"Inspection Chamber"),"NOTE: public sewer min dia "&amp;SG_Criteria!$B$40&amp;" mm. ","")&amp;IF(AND(R75&lt;&gt;"",R75&lt;SG_Criteria!$B$44),"FAIL: uplift FOS below "&amp;SG_Criteria!$B$44&amp;". ",""))=0,"OK",IF(AND(S75&lt;&gt;"",IFERROR(VALUE(MID(S75,2,2)),0)&lt;SG_Criteria!$B$19),"FAIL: grade below C"&amp;SG_Criteria!$B$19&amp;". ","")&amp;IF(AND(T75&lt;&gt;"",T75&lt;SG_Criteria!$B$20),"FAIL: cover &lt; "&amp;SG_Criteria!$B$20&amp;" mm. ","")&amp;IF(AND(H75&lt;&gt;"",H75&lt;SG_Criteria!$B$39),"NOTE: min depth below PUB "&amp;SG_Criteria!$B$39&amp;" m. ","")&amp;IF(AND(LEFT(C75,8)="Standard",I75&gt;SG_Criteria!$B$42),"FAIL: PUB 001C covers manholes up to "&amp;SG_Criteria!$B$42&amp;" m deep only. ","")&amp;IF(AND(LEFT(C75,11)="Rectangular",J75&lt;SG_Criteria!$B$43),"NOTE: 004C is for sewers &gt;= "&amp;SG_Criteria!$B$43&amp;" dia. ","")&amp;IF(AND(LEFT(C75,7)="Precast",I75&lt;=SG_Criteria!$B$42),"NOTE: 006C is for manholes &gt; "&amp;SG_Criteria!$B$42&amp;" m deep. ","")&amp;IF(AND(J75&lt;&gt;"",J75&lt;SG_Criteria!$B$40,C75&lt;&gt;"Inspection Chamber"),"NOTE: public sewer min dia "&amp;SG_Criteria!$B$40&amp;" mm. ","")&amp;IF(AND(R75&lt;&gt;"",R75&lt;SG_Criteria!$B$44),"FAIL: uplift FOS below "&amp;SG_Criteria!$B$44&amp;". ","")))</f>
        <v/>
      </c>
      <c r="AT75" s="9"/>
      <c r="AU75" s="9"/>
      <c r="AV75" s="9"/>
      <c r="AW75" s="9"/>
      <c r="AX75" s="9"/>
      <c r="AY75" s="31"/>
      <c r="AZ75" s="10" t="str">
        <f aca="false">IF(C75="","",IF(AND(AB75="Approved",ISERROR(SEARCH("FAIL",AS75))),"Y","N"))</f>
        <v/>
      </c>
      <c r="BA75" s="10" t="str">
        <f aca="false">IF(C75="","",C75&amp;"|"&amp;I75&amp;"|"&amp;F75&amp;"|"&amp;AZ75)</f>
        <v/>
      </c>
    </row>
    <row r="76" customFormat="false" ht="15" hidden="false" customHeight="false" outlineLevel="0" collapsed="false">
      <c r="A76" s="10" t="str">
        <f aca="false">IF(C76="","","MH-"&amp;IFERROR(VLOOKUP(C76,Lists!$AB$4:$AC$20,2,0),"??")&amp;"-"&amp;TEXT(F76,"0000")&amp;IF(E76="Circular","D","x"&amp;TEXT(G76,"0000"))&amp;"-D"&amp;TEXT(I76*1000,"0000")&amp;"-"&amp;IFERROR(VLOOKUP(D76,Lists!$AE$4:$AF$16,2,0),"??")&amp;"-"&amp;AA76)</f>
        <v/>
      </c>
      <c r="B76" s="10" t="str">
        <f aca="false">IF(C76="","",C76&amp;", "&amp;D76&amp;", "&amp;IF(E76="Circular",F76&amp;" dia",F76&amp;" x "&amp;G76)&amp;", depth "&amp;TEXT(H76,"0.0")&amp;"-"&amp;TEXT(I76,"0.0")&amp;" m, pipe up to "&amp;J76&amp;" dia")</f>
        <v/>
      </c>
      <c r="C76" s="9"/>
      <c r="D76" s="9"/>
      <c r="E76" s="9"/>
      <c r="F76" s="40"/>
      <c r="G76" s="40"/>
      <c r="H76" s="43"/>
      <c r="I76" s="43"/>
      <c r="J76" s="40"/>
      <c r="K76" s="40"/>
      <c r="L76" s="40"/>
      <c r="M76" s="40"/>
      <c r="N76" s="9"/>
      <c r="O76" s="9"/>
      <c r="P76" s="9"/>
      <c r="Q76" s="9"/>
      <c r="R76" s="41"/>
      <c r="S76" s="9"/>
      <c r="T76" s="40"/>
      <c r="U76" s="9"/>
      <c r="V76" s="9"/>
      <c r="W76" s="9"/>
      <c r="X76" s="9"/>
      <c r="Y76" s="9"/>
      <c r="Z76" s="9"/>
      <c r="AA76" s="9"/>
      <c r="AB76" s="9"/>
      <c r="AC76" s="9"/>
      <c r="AD76" s="9"/>
      <c r="AE76" s="9"/>
      <c r="AF76" s="10" t="str">
        <f aca="false">IF(A76="","",SG_Criteria!$B$6&amp;SG_Criteria!$B$10&amp;"\"&amp;A76&amp;"\")</f>
        <v/>
      </c>
      <c r="AG76" s="10" t="str">
        <f aca="false">IF(A76="","",A76&amp;"_CAD.dwg")</f>
        <v/>
      </c>
      <c r="AH76" s="10" t="str">
        <f aca="false">IF(A76="","",A76&amp;"_DWG.pdf")</f>
        <v/>
      </c>
      <c r="AI76" s="10" t="str">
        <f aca="false">IF(A76="","",IF(AE76="Y",A76&amp;"_STAAD.std","n/a"))</f>
        <v/>
      </c>
      <c r="AJ76" s="10" t="str">
        <f aca="false">IF(A76="","",A76&amp;"_CALC.xlsx")</f>
        <v/>
      </c>
      <c r="AK76" s="10" t="str">
        <f aca="false">IF(A76="","",A76&amp;"_CALC.pdf")</f>
        <v/>
      </c>
      <c r="AL76" s="9"/>
      <c r="AM76" s="9"/>
      <c r="AN76" s="41"/>
      <c r="AO76" s="41"/>
      <c r="AP76" s="41"/>
      <c r="AQ76" s="41"/>
      <c r="AR76" s="41"/>
      <c r="AS76" s="38" t="str">
        <f aca="false">IF(C76="","",IF(LEN(IF(AND(S76&lt;&gt;"",IFERROR(VALUE(MID(S76,2,2)),0)&lt;SG_Criteria!$B$19),"FAIL: grade below C"&amp;SG_Criteria!$B$19&amp;". ","")&amp;IF(AND(T76&lt;&gt;"",T76&lt;SG_Criteria!$B$20),"FAIL: cover &lt; "&amp;SG_Criteria!$B$20&amp;" mm. ","")&amp;IF(AND(H76&lt;&gt;"",H76&lt;SG_Criteria!$B$39),"NOTE: min depth below PUB "&amp;SG_Criteria!$B$39&amp;" m. ","")&amp;IF(AND(LEFT(C76,8)="Standard",I76&gt;SG_Criteria!$B$42),"FAIL: PUB 001C covers manholes up to "&amp;SG_Criteria!$B$42&amp;" m deep only. ","")&amp;IF(AND(LEFT(C76,11)="Rectangular",J76&lt;SG_Criteria!$B$43),"NOTE: 004C is for sewers &gt;= "&amp;SG_Criteria!$B$43&amp;" dia. ","")&amp;IF(AND(LEFT(C76,7)="Precast",I76&lt;=SG_Criteria!$B$42),"NOTE: 006C is for manholes &gt; "&amp;SG_Criteria!$B$42&amp;" m deep. ","")&amp;IF(AND(J76&lt;&gt;"",J76&lt;SG_Criteria!$B$40,C76&lt;&gt;"Inspection Chamber"),"NOTE: public sewer min dia "&amp;SG_Criteria!$B$40&amp;" mm. ","")&amp;IF(AND(R76&lt;&gt;"",R76&lt;SG_Criteria!$B$44),"FAIL: uplift FOS below "&amp;SG_Criteria!$B$44&amp;". ",""))=0,"OK",IF(AND(S76&lt;&gt;"",IFERROR(VALUE(MID(S76,2,2)),0)&lt;SG_Criteria!$B$19),"FAIL: grade below C"&amp;SG_Criteria!$B$19&amp;". ","")&amp;IF(AND(T76&lt;&gt;"",T76&lt;SG_Criteria!$B$20),"FAIL: cover &lt; "&amp;SG_Criteria!$B$20&amp;" mm. ","")&amp;IF(AND(H76&lt;&gt;"",H76&lt;SG_Criteria!$B$39),"NOTE: min depth below PUB "&amp;SG_Criteria!$B$39&amp;" m. ","")&amp;IF(AND(LEFT(C76,8)="Standard",I76&gt;SG_Criteria!$B$42),"FAIL: PUB 001C covers manholes up to "&amp;SG_Criteria!$B$42&amp;" m deep only. ","")&amp;IF(AND(LEFT(C76,11)="Rectangular",J76&lt;SG_Criteria!$B$43),"NOTE: 004C is for sewers &gt;= "&amp;SG_Criteria!$B$43&amp;" dia. ","")&amp;IF(AND(LEFT(C76,7)="Precast",I76&lt;=SG_Criteria!$B$42),"NOTE: 006C is for manholes &gt; "&amp;SG_Criteria!$B$42&amp;" m deep. ","")&amp;IF(AND(J76&lt;&gt;"",J76&lt;SG_Criteria!$B$40,C76&lt;&gt;"Inspection Chamber"),"NOTE: public sewer min dia "&amp;SG_Criteria!$B$40&amp;" mm. ","")&amp;IF(AND(R76&lt;&gt;"",R76&lt;SG_Criteria!$B$44),"FAIL: uplift FOS below "&amp;SG_Criteria!$B$44&amp;". ","")))</f>
        <v/>
      </c>
      <c r="AT76" s="9"/>
      <c r="AU76" s="9"/>
      <c r="AV76" s="9"/>
      <c r="AW76" s="9"/>
      <c r="AX76" s="9"/>
      <c r="AY76" s="31"/>
      <c r="AZ76" s="10" t="str">
        <f aca="false">IF(C76="","",IF(AND(AB76="Approved",ISERROR(SEARCH("FAIL",AS76))),"Y","N"))</f>
        <v/>
      </c>
      <c r="BA76" s="10" t="str">
        <f aca="false">IF(C76="","",C76&amp;"|"&amp;I76&amp;"|"&amp;F76&amp;"|"&amp;AZ76)</f>
        <v/>
      </c>
    </row>
    <row r="77" customFormat="false" ht="15" hidden="false" customHeight="false" outlineLevel="0" collapsed="false">
      <c r="A77" s="10" t="str">
        <f aca="false">IF(C77="","","MH-"&amp;IFERROR(VLOOKUP(C77,Lists!$AB$4:$AC$20,2,0),"??")&amp;"-"&amp;TEXT(F77,"0000")&amp;IF(E77="Circular","D","x"&amp;TEXT(G77,"0000"))&amp;"-D"&amp;TEXT(I77*1000,"0000")&amp;"-"&amp;IFERROR(VLOOKUP(D77,Lists!$AE$4:$AF$16,2,0),"??")&amp;"-"&amp;AA77)</f>
        <v/>
      </c>
      <c r="B77" s="10" t="str">
        <f aca="false">IF(C77="","",C77&amp;", "&amp;D77&amp;", "&amp;IF(E77="Circular",F77&amp;" dia",F77&amp;" x "&amp;G77)&amp;", depth "&amp;TEXT(H77,"0.0")&amp;"-"&amp;TEXT(I77,"0.0")&amp;" m, pipe up to "&amp;J77&amp;" dia")</f>
        <v/>
      </c>
      <c r="C77" s="9"/>
      <c r="D77" s="9"/>
      <c r="E77" s="9"/>
      <c r="F77" s="40"/>
      <c r="G77" s="40"/>
      <c r="H77" s="43"/>
      <c r="I77" s="43"/>
      <c r="J77" s="40"/>
      <c r="K77" s="40"/>
      <c r="L77" s="40"/>
      <c r="M77" s="40"/>
      <c r="N77" s="9"/>
      <c r="O77" s="9"/>
      <c r="P77" s="9"/>
      <c r="Q77" s="9"/>
      <c r="R77" s="41"/>
      <c r="S77" s="9"/>
      <c r="T77" s="40"/>
      <c r="U77" s="9"/>
      <c r="V77" s="9"/>
      <c r="W77" s="9"/>
      <c r="X77" s="9"/>
      <c r="Y77" s="9"/>
      <c r="Z77" s="9"/>
      <c r="AA77" s="9"/>
      <c r="AB77" s="9"/>
      <c r="AC77" s="9"/>
      <c r="AD77" s="9"/>
      <c r="AE77" s="9"/>
      <c r="AF77" s="10" t="str">
        <f aca="false">IF(A77="","",SG_Criteria!$B$6&amp;SG_Criteria!$B$10&amp;"\"&amp;A77&amp;"\")</f>
        <v/>
      </c>
      <c r="AG77" s="10" t="str">
        <f aca="false">IF(A77="","",A77&amp;"_CAD.dwg")</f>
        <v/>
      </c>
      <c r="AH77" s="10" t="str">
        <f aca="false">IF(A77="","",A77&amp;"_DWG.pdf")</f>
        <v/>
      </c>
      <c r="AI77" s="10" t="str">
        <f aca="false">IF(A77="","",IF(AE77="Y",A77&amp;"_STAAD.std","n/a"))</f>
        <v/>
      </c>
      <c r="AJ77" s="10" t="str">
        <f aca="false">IF(A77="","",A77&amp;"_CALC.xlsx")</f>
        <v/>
      </c>
      <c r="AK77" s="10" t="str">
        <f aca="false">IF(A77="","",A77&amp;"_CALC.pdf")</f>
        <v/>
      </c>
      <c r="AL77" s="9"/>
      <c r="AM77" s="9"/>
      <c r="AN77" s="41"/>
      <c r="AO77" s="41"/>
      <c r="AP77" s="41"/>
      <c r="AQ77" s="41"/>
      <c r="AR77" s="41"/>
      <c r="AS77" s="38" t="str">
        <f aca="false">IF(C77="","",IF(LEN(IF(AND(S77&lt;&gt;"",IFERROR(VALUE(MID(S77,2,2)),0)&lt;SG_Criteria!$B$19),"FAIL: grade below C"&amp;SG_Criteria!$B$19&amp;". ","")&amp;IF(AND(T77&lt;&gt;"",T77&lt;SG_Criteria!$B$20),"FAIL: cover &lt; "&amp;SG_Criteria!$B$20&amp;" mm. ","")&amp;IF(AND(H77&lt;&gt;"",H77&lt;SG_Criteria!$B$39),"NOTE: min depth below PUB "&amp;SG_Criteria!$B$39&amp;" m. ","")&amp;IF(AND(LEFT(C77,8)="Standard",I77&gt;SG_Criteria!$B$42),"FAIL: PUB 001C covers manholes up to "&amp;SG_Criteria!$B$42&amp;" m deep only. ","")&amp;IF(AND(LEFT(C77,11)="Rectangular",J77&lt;SG_Criteria!$B$43),"NOTE: 004C is for sewers &gt;= "&amp;SG_Criteria!$B$43&amp;" dia. ","")&amp;IF(AND(LEFT(C77,7)="Precast",I77&lt;=SG_Criteria!$B$42),"NOTE: 006C is for manholes &gt; "&amp;SG_Criteria!$B$42&amp;" m deep. ","")&amp;IF(AND(J77&lt;&gt;"",J77&lt;SG_Criteria!$B$40,C77&lt;&gt;"Inspection Chamber"),"NOTE: public sewer min dia "&amp;SG_Criteria!$B$40&amp;" mm. ","")&amp;IF(AND(R77&lt;&gt;"",R77&lt;SG_Criteria!$B$44),"FAIL: uplift FOS below "&amp;SG_Criteria!$B$44&amp;". ",""))=0,"OK",IF(AND(S77&lt;&gt;"",IFERROR(VALUE(MID(S77,2,2)),0)&lt;SG_Criteria!$B$19),"FAIL: grade below C"&amp;SG_Criteria!$B$19&amp;". ","")&amp;IF(AND(T77&lt;&gt;"",T77&lt;SG_Criteria!$B$20),"FAIL: cover &lt; "&amp;SG_Criteria!$B$20&amp;" mm. ","")&amp;IF(AND(H77&lt;&gt;"",H77&lt;SG_Criteria!$B$39),"NOTE: min depth below PUB "&amp;SG_Criteria!$B$39&amp;" m. ","")&amp;IF(AND(LEFT(C77,8)="Standard",I77&gt;SG_Criteria!$B$42),"FAIL: PUB 001C covers manholes up to "&amp;SG_Criteria!$B$42&amp;" m deep only. ","")&amp;IF(AND(LEFT(C77,11)="Rectangular",J77&lt;SG_Criteria!$B$43),"NOTE: 004C is for sewers &gt;= "&amp;SG_Criteria!$B$43&amp;" dia. ","")&amp;IF(AND(LEFT(C77,7)="Precast",I77&lt;=SG_Criteria!$B$42),"NOTE: 006C is for manholes &gt; "&amp;SG_Criteria!$B$42&amp;" m deep. ","")&amp;IF(AND(J77&lt;&gt;"",J77&lt;SG_Criteria!$B$40,C77&lt;&gt;"Inspection Chamber"),"NOTE: public sewer min dia "&amp;SG_Criteria!$B$40&amp;" mm. ","")&amp;IF(AND(R77&lt;&gt;"",R77&lt;SG_Criteria!$B$44),"FAIL: uplift FOS below "&amp;SG_Criteria!$B$44&amp;". ","")))</f>
        <v/>
      </c>
      <c r="AT77" s="9"/>
      <c r="AU77" s="9"/>
      <c r="AV77" s="9"/>
      <c r="AW77" s="9"/>
      <c r="AX77" s="9"/>
      <c r="AY77" s="31"/>
      <c r="AZ77" s="10" t="str">
        <f aca="false">IF(C77="","",IF(AND(AB77="Approved",ISERROR(SEARCH("FAIL",AS77))),"Y","N"))</f>
        <v/>
      </c>
      <c r="BA77" s="10" t="str">
        <f aca="false">IF(C77="","",C77&amp;"|"&amp;I77&amp;"|"&amp;F77&amp;"|"&amp;AZ77)</f>
        <v/>
      </c>
    </row>
    <row r="78" customFormat="false" ht="15" hidden="false" customHeight="false" outlineLevel="0" collapsed="false">
      <c r="A78" s="10" t="str">
        <f aca="false">IF(C78="","","MH-"&amp;IFERROR(VLOOKUP(C78,Lists!$AB$4:$AC$20,2,0),"??")&amp;"-"&amp;TEXT(F78,"0000")&amp;IF(E78="Circular","D","x"&amp;TEXT(G78,"0000"))&amp;"-D"&amp;TEXT(I78*1000,"0000")&amp;"-"&amp;IFERROR(VLOOKUP(D78,Lists!$AE$4:$AF$16,2,0),"??")&amp;"-"&amp;AA78)</f>
        <v/>
      </c>
      <c r="B78" s="10" t="str">
        <f aca="false">IF(C78="","",C78&amp;", "&amp;D78&amp;", "&amp;IF(E78="Circular",F78&amp;" dia",F78&amp;" x "&amp;G78)&amp;", depth "&amp;TEXT(H78,"0.0")&amp;"-"&amp;TEXT(I78,"0.0")&amp;" m, pipe up to "&amp;J78&amp;" dia")</f>
        <v/>
      </c>
      <c r="C78" s="9"/>
      <c r="D78" s="9"/>
      <c r="E78" s="9"/>
      <c r="F78" s="40"/>
      <c r="G78" s="40"/>
      <c r="H78" s="43"/>
      <c r="I78" s="43"/>
      <c r="J78" s="40"/>
      <c r="K78" s="40"/>
      <c r="L78" s="40"/>
      <c r="M78" s="40"/>
      <c r="N78" s="9"/>
      <c r="O78" s="9"/>
      <c r="P78" s="9"/>
      <c r="Q78" s="9"/>
      <c r="R78" s="41"/>
      <c r="S78" s="9"/>
      <c r="T78" s="40"/>
      <c r="U78" s="9"/>
      <c r="V78" s="9"/>
      <c r="W78" s="9"/>
      <c r="X78" s="9"/>
      <c r="Y78" s="9"/>
      <c r="Z78" s="9"/>
      <c r="AA78" s="9"/>
      <c r="AB78" s="9"/>
      <c r="AC78" s="9"/>
      <c r="AD78" s="9"/>
      <c r="AE78" s="9"/>
      <c r="AF78" s="10" t="str">
        <f aca="false">IF(A78="","",SG_Criteria!$B$6&amp;SG_Criteria!$B$10&amp;"\"&amp;A78&amp;"\")</f>
        <v/>
      </c>
      <c r="AG78" s="10" t="str">
        <f aca="false">IF(A78="","",A78&amp;"_CAD.dwg")</f>
        <v/>
      </c>
      <c r="AH78" s="10" t="str">
        <f aca="false">IF(A78="","",A78&amp;"_DWG.pdf")</f>
        <v/>
      </c>
      <c r="AI78" s="10" t="str">
        <f aca="false">IF(A78="","",IF(AE78="Y",A78&amp;"_STAAD.std","n/a"))</f>
        <v/>
      </c>
      <c r="AJ78" s="10" t="str">
        <f aca="false">IF(A78="","",A78&amp;"_CALC.xlsx")</f>
        <v/>
      </c>
      <c r="AK78" s="10" t="str">
        <f aca="false">IF(A78="","",A78&amp;"_CALC.pdf")</f>
        <v/>
      </c>
      <c r="AL78" s="9"/>
      <c r="AM78" s="9"/>
      <c r="AN78" s="41"/>
      <c r="AO78" s="41"/>
      <c r="AP78" s="41"/>
      <c r="AQ78" s="41"/>
      <c r="AR78" s="41"/>
      <c r="AS78" s="38" t="str">
        <f aca="false">IF(C78="","",IF(LEN(IF(AND(S78&lt;&gt;"",IFERROR(VALUE(MID(S78,2,2)),0)&lt;SG_Criteria!$B$19),"FAIL: grade below C"&amp;SG_Criteria!$B$19&amp;". ","")&amp;IF(AND(T78&lt;&gt;"",T78&lt;SG_Criteria!$B$20),"FAIL: cover &lt; "&amp;SG_Criteria!$B$20&amp;" mm. ","")&amp;IF(AND(H78&lt;&gt;"",H78&lt;SG_Criteria!$B$39),"NOTE: min depth below PUB "&amp;SG_Criteria!$B$39&amp;" m. ","")&amp;IF(AND(LEFT(C78,8)="Standard",I78&gt;SG_Criteria!$B$42),"FAIL: PUB 001C covers manholes up to "&amp;SG_Criteria!$B$42&amp;" m deep only. ","")&amp;IF(AND(LEFT(C78,11)="Rectangular",J78&lt;SG_Criteria!$B$43),"NOTE: 004C is for sewers &gt;= "&amp;SG_Criteria!$B$43&amp;" dia. ","")&amp;IF(AND(LEFT(C78,7)="Precast",I78&lt;=SG_Criteria!$B$42),"NOTE: 006C is for manholes &gt; "&amp;SG_Criteria!$B$42&amp;" m deep. ","")&amp;IF(AND(J78&lt;&gt;"",J78&lt;SG_Criteria!$B$40,C78&lt;&gt;"Inspection Chamber"),"NOTE: public sewer min dia "&amp;SG_Criteria!$B$40&amp;" mm. ","")&amp;IF(AND(R78&lt;&gt;"",R78&lt;SG_Criteria!$B$44),"FAIL: uplift FOS below "&amp;SG_Criteria!$B$44&amp;". ",""))=0,"OK",IF(AND(S78&lt;&gt;"",IFERROR(VALUE(MID(S78,2,2)),0)&lt;SG_Criteria!$B$19),"FAIL: grade below C"&amp;SG_Criteria!$B$19&amp;". ","")&amp;IF(AND(T78&lt;&gt;"",T78&lt;SG_Criteria!$B$20),"FAIL: cover &lt; "&amp;SG_Criteria!$B$20&amp;" mm. ","")&amp;IF(AND(H78&lt;&gt;"",H78&lt;SG_Criteria!$B$39),"NOTE: min depth below PUB "&amp;SG_Criteria!$B$39&amp;" m. ","")&amp;IF(AND(LEFT(C78,8)="Standard",I78&gt;SG_Criteria!$B$42),"FAIL: PUB 001C covers manholes up to "&amp;SG_Criteria!$B$42&amp;" m deep only. ","")&amp;IF(AND(LEFT(C78,11)="Rectangular",J78&lt;SG_Criteria!$B$43),"NOTE: 004C is for sewers &gt;= "&amp;SG_Criteria!$B$43&amp;" dia. ","")&amp;IF(AND(LEFT(C78,7)="Precast",I78&lt;=SG_Criteria!$B$42),"NOTE: 006C is for manholes &gt; "&amp;SG_Criteria!$B$42&amp;" m deep. ","")&amp;IF(AND(J78&lt;&gt;"",J78&lt;SG_Criteria!$B$40,C78&lt;&gt;"Inspection Chamber"),"NOTE: public sewer min dia "&amp;SG_Criteria!$B$40&amp;" mm. ","")&amp;IF(AND(R78&lt;&gt;"",R78&lt;SG_Criteria!$B$44),"FAIL: uplift FOS below "&amp;SG_Criteria!$B$44&amp;". ","")))</f>
        <v/>
      </c>
      <c r="AT78" s="9"/>
      <c r="AU78" s="9"/>
      <c r="AV78" s="9"/>
      <c r="AW78" s="9"/>
      <c r="AX78" s="9"/>
      <c r="AY78" s="31"/>
      <c r="AZ78" s="10" t="str">
        <f aca="false">IF(C78="","",IF(AND(AB78="Approved",ISERROR(SEARCH("FAIL",AS78))),"Y","N"))</f>
        <v/>
      </c>
      <c r="BA78" s="10" t="str">
        <f aca="false">IF(C78="","",C78&amp;"|"&amp;I78&amp;"|"&amp;F78&amp;"|"&amp;AZ78)</f>
        <v/>
      </c>
    </row>
    <row r="79" customFormat="false" ht="15" hidden="false" customHeight="false" outlineLevel="0" collapsed="false">
      <c r="A79" s="10" t="str">
        <f aca="false">IF(C79="","","MH-"&amp;IFERROR(VLOOKUP(C79,Lists!$AB$4:$AC$20,2,0),"??")&amp;"-"&amp;TEXT(F79,"0000")&amp;IF(E79="Circular","D","x"&amp;TEXT(G79,"0000"))&amp;"-D"&amp;TEXT(I79*1000,"0000")&amp;"-"&amp;IFERROR(VLOOKUP(D79,Lists!$AE$4:$AF$16,2,0),"??")&amp;"-"&amp;AA79)</f>
        <v/>
      </c>
      <c r="B79" s="10" t="str">
        <f aca="false">IF(C79="","",C79&amp;", "&amp;D79&amp;", "&amp;IF(E79="Circular",F79&amp;" dia",F79&amp;" x "&amp;G79)&amp;", depth "&amp;TEXT(H79,"0.0")&amp;"-"&amp;TEXT(I79,"0.0")&amp;" m, pipe up to "&amp;J79&amp;" dia")</f>
        <v/>
      </c>
      <c r="C79" s="9"/>
      <c r="D79" s="9"/>
      <c r="E79" s="9"/>
      <c r="F79" s="40"/>
      <c r="G79" s="40"/>
      <c r="H79" s="43"/>
      <c r="I79" s="43"/>
      <c r="J79" s="40"/>
      <c r="K79" s="40"/>
      <c r="L79" s="40"/>
      <c r="M79" s="40"/>
      <c r="N79" s="9"/>
      <c r="O79" s="9"/>
      <c r="P79" s="9"/>
      <c r="Q79" s="9"/>
      <c r="R79" s="41"/>
      <c r="S79" s="9"/>
      <c r="T79" s="40"/>
      <c r="U79" s="9"/>
      <c r="V79" s="9"/>
      <c r="W79" s="9"/>
      <c r="X79" s="9"/>
      <c r="Y79" s="9"/>
      <c r="Z79" s="9"/>
      <c r="AA79" s="9"/>
      <c r="AB79" s="9"/>
      <c r="AC79" s="9"/>
      <c r="AD79" s="9"/>
      <c r="AE79" s="9"/>
      <c r="AF79" s="10" t="str">
        <f aca="false">IF(A79="","",SG_Criteria!$B$6&amp;SG_Criteria!$B$10&amp;"\"&amp;A79&amp;"\")</f>
        <v/>
      </c>
      <c r="AG79" s="10" t="str">
        <f aca="false">IF(A79="","",A79&amp;"_CAD.dwg")</f>
        <v/>
      </c>
      <c r="AH79" s="10" t="str">
        <f aca="false">IF(A79="","",A79&amp;"_DWG.pdf")</f>
        <v/>
      </c>
      <c r="AI79" s="10" t="str">
        <f aca="false">IF(A79="","",IF(AE79="Y",A79&amp;"_STAAD.std","n/a"))</f>
        <v/>
      </c>
      <c r="AJ79" s="10" t="str">
        <f aca="false">IF(A79="","",A79&amp;"_CALC.xlsx")</f>
        <v/>
      </c>
      <c r="AK79" s="10" t="str">
        <f aca="false">IF(A79="","",A79&amp;"_CALC.pdf")</f>
        <v/>
      </c>
      <c r="AL79" s="9"/>
      <c r="AM79" s="9"/>
      <c r="AN79" s="41"/>
      <c r="AO79" s="41"/>
      <c r="AP79" s="41"/>
      <c r="AQ79" s="41"/>
      <c r="AR79" s="41"/>
      <c r="AS79" s="38" t="str">
        <f aca="false">IF(C79="","",IF(LEN(IF(AND(S79&lt;&gt;"",IFERROR(VALUE(MID(S79,2,2)),0)&lt;SG_Criteria!$B$19),"FAIL: grade below C"&amp;SG_Criteria!$B$19&amp;". ","")&amp;IF(AND(T79&lt;&gt;"",T79&lt;SG_Criteria!$B$20),"FAIL: cover &lt; "&amp;SG_Criteria!$B$20&amp;" mm. ","")&amp;IF(AND(H79&lt;&gt;"",H79&lt;SG_Criteria!$B$39),"NOTE: min depth below PUB "&amp;SG_Criteria!$B$39&amp;" m. ","")&amp;IF(AND(LEFT(C79,8)="Standard",I79&gt;SG_Criteria!$B$42),"FAIL: PUB 001C covers manholes up to "&amp;SG_Criteria!$B$42&amp;" m deep only. ","")&amp;IF(AND(LEFT(C79,11)="Rectangular",J79&lt;SG_Criteria!$B$43),"NOTE: 004C is for sewers &gt;= "&amp;SG_Criteria!$B$43&amp;" dia. ","")&amp;IF(AND(LEFT(C79,7)="Precast",I79&lt;=SG_Criteria!$B$42),"NOTE: 006C is for manholes &gt; "&amp;SG_Criteria!$B$42&amp;" m deep. ","")&amp;IF(AND(J79&lt;&gt;"",J79&lt;SG_Criteria!$B$40,C79&lt;&gt;"Inspection Chamber"),"NOTE: public sewer min dia "&amp;SG_Criteria!$B$40&amp;" mm. ","")&amp;IF(AND(R79&lt;&gt;"",R79&lt;SG_Criteria!$B$44),"FAIL: uplift FOS below "&amp;SG_Criteria!$B$44&amp;". ",""))=0,"OK",IF(AND(S79&lt;&gt;"",IFERROR(VALUE(MID(S79,2,2)),0)&lt;SG_Criteria!$B$19),"FAIL: grade below C"&amp;SG_Criteria!$B$19&amp;". ","")&amp;IF(AND(T79&lt;&gt;"",T79&lt;SG_Criteria!$B$20),"FAIL: cover &lt; "&amp;SG_Criteria!$B$20&amp;" mm. ","")&amp;IF(AND(H79&lt;&gt;"",H79&lt;SG_Criteria!$B$39),"NOTE: min depth below PUB "&amp;SG_Criteria!$B$39&amp;" m. ","")&amp;IF(AND(LEFT(C79,8)="Standard",I79&gt;SG_Criteria!$B$42),"FAIL: PUB 001C covers manholes up to "&amp;SG_Criteria!$B$42&amp;" m deep only. ","")&amp;IF(AND(LEFT(C79,11)="Rectangular",J79&lt;SG_Criteria!$B$43),"NOTE: 004C is for sewers &gt;= "&amp;SG_Criteria!$B$43&amp;" dia. ","")&amp;IF(AND(LEFT(C79,7)="Precast",I79&lt;=SG_Criteria!$B$42),"NOTE: 006C is for manholes &gt; "&amp;SG_Criteria!$B$42&amp;" m deep. ","")&amp;IF(AND(J79&lt;&gt;"",J79&lt;SG_Criteria!$B$40,C79&lt;&gt;"Inspection Chamber"),"NOTE: public sewer min dia "&amp;SG_Criteria!$B$40&amp;" mm. ","")&amp;IF(AND(R79&lt;&gt;"",R79&lt;SG_Criteria!$B$44),"FAIL: uplift FOS below "&amp;SG_Criteria!$B$44&amp;". ","")))</f>
        <v/>
      </c>
      <c r="AT79" s="9"/>
      <c r="AU79" s="9"/>
      <c r="AV79" s="9"/>
      <c r="AW79" s="9"/>
      <c r="AX79" s="9"/>
      <c r="AY79" s="31"/>
      <c r="AZ79" s="10" t="str">
        <f aca="false">IF(C79="","",IF(AND(AB79="Approved",ISERROR(SEARCH("FAIL",AS79))),"Y","N"))</f>
        <v/>
      </c>
      <c r="BA79" s="10" t="str">
        <f aca="false">IF(C79="","",C79&amp;"|"&amp;I79&amp;"|"&amp;F79&amp;"|"&amp;AZ79)</f>
        <v/>
      </c>
    </row>
    <row r="80" customFormat="false" ht="15" hidden="false" customHeight="false" outlineLevel="0" collapsed="false">
      <c r="A80" s="10" t="str">
        <f aca="false">IF(C80="","","MH-"&amp;IFERROR(VLOOKUP(C80,Lists!$AB$4:$AC$20,2,0),"??")&amp;"-"&amp;TEXT(F80,"0000")&amp;IF(E80="Circular","D","x"&amp;TEXT(G80,"0000"))&amp;"-D"&amp;TEXT(I80*1000,"0000")&amp;"-"&amp;IFERROR(VLOOKUP(D80,Lists!$AE$4:$AF$16,2,0),"??")&amp;"-"&amp;AA80)</f>
        <v/>
      </c>
      <c r="B80" s="10" t="str">
        <f aca="false">IF(C80="","",C80&amp;", "&amp;D80&amp;", "&amp;IF(E80="Circular",F80&amp;" dia",F80&amp;" x "&amp;G80)&amp;", depth "&amp;TEXT(H80,"0.0")&amp;"-"&amp;TEXT(I80,"0.0")&amp;" m, pipe up to "&amp;J80&amp;" dia")</f>
        <v/>
      </c>
      <c r="C80" s="9"/>
      <c r="D80" s="9"/>
      <c r="E80" s="9"/>
      <c r="F80" s="40"/>
      <c r="G80" s="40"/>
      <c r="H80" s="43"/>
      <c r="I80" s="43"/>
      <c r="J80" s="40"/>
      <c r="K80" s="40"/>
      <c r="L80" s="40"/>
      <c r="M80" s="40"/>
      <c r="N80" s="9"/>
      <c r="O80" s="9"/>
      <c r="P80" s="9"/>
      <c r="Q80" s="9"/>
      <c r="R80" s="41"/>
      <c r="S80" s="9"/>
      <c r="T80" s="40"/>
      <c r="U80" s="9"/>
      <c r="V80" s="9"/>
      <c r="W80" s="9"/>
      <c r="X80" s="9"/>
      <c r="Y80" s="9"/>
      <c r="Z80" s="9"/>
      <c r="AA80" s="9"/>
      <c r="AB80" s="9"/>
      <c r="AC80" s="9"/>
      <c r="AD80" s="9"/>
      <c r="AE80" s="9"/>
      <c r="AF80" s="10" t="str">
        <f aca="false">IF(A80="","",SG_Criteria!$B$6&amp;SG_Criteria!$B$10&amp;"\"&amp;A80&amp;"\")</f>
        <v/>
      </c>
      <c r="AG80" s="10" t="str">
        <f aca="false">IF(A80="","",A80&amp;"_CAD.dwg")</f>
        <v/>
      </c>
      <c r="AH80" s="10" t="str">
        <f aca="false">IF(A80="","",A80&amp;"_DWG.pdf")</f>
        <v/>
      </c>
      <c r="AI80" s="10" t="str">
        <f aca="false">IF(A80="","",IF(AE80="Y",A80&amp;"_STAAD.std","n/a"))</f>
        <v/>
      </c>
      <c r="AJ80" s="10" t="str">
        <f aca="false">IF(A80="","",A80&amp;"_CALC.xlsx")</f>
        <v/>
      </c>
      <c r="AK80" s="10" t="str">
        <f aca="false">IF(A80="","",A80&amp;"_CALC.pdf")</f>
        <v/>
      </c>
      <c r="AL80" s="9"/>
      <c r="AM80" s="9"/>
      <c r="AN80" s="41"/>
      <c r="AO80" s="41"/>
      <c r="AP80" s="41"/>
      <c r="AQ80" s="41"/>
      <c r="AR80" s="41"/>
      <c r="AS80" s="38" t="str">
        <f aca="false">IF(C80="","",IF(LEN(IF(AND(S80&lt;&gt;"",IFERROR(VALUE(MID(S80,2,2)),0)&lt;SG_Criteria!$B$19),"FAIL: grade below C"&amp;SG_Criteria!$B$19&amp;". ","")&amp;IF(AND(T80&lt;&gt;"",T80&lt;SG_Criteria!$B$20),"FAIL: cover &lt; "&amp;SG_Criteria!$B$20&amp;" mm. ","")&amp;IF(AND(H80&lt;&gt;"",H80&lt;SG_Criteria!$B$39),"NOTE: min depth below PUB "&amp;SG_Criteria!$B$39&amp;" m. ","")&amp;IF(AND(LEFT(C80,8)="Standard",I80&gt;SG_Criteria!$B$42),"FAIL: PUB 001C covers manholes up to "&amp;SG_Criteria!$B$42&amp;" m deep only. ","")&amp;IF(AND(LEFT(C80,11)="Rectangular",J80&lt;SG_Criteria!$B$43),"NOTE: 004C is for sewers &gt;= "&amp;SG_Criteria!$B$43&amp;" dia. ","")&amp;IF(AND(LEFT(C80,7)="Precast",I80&lt;=SG_Criteria!$B$42),"NOTE: 006C is for manholes &gt; "&amp;SG_Criteria!$B$42&amp;" m deep. ","")&amp;IF(AND(J80&lt;&gt;"",J80&lt;SG_Criteria!$B$40,C80&lt;&gt;"Inspection Chamber"),"NOTE: public sewer min dia "&amp;SG_Criteria!$B$40&amp;" mm. ","")&amp;IF(AND(R80&lt;&gt;"",R80&lt;SG_Criteria!$B$44),"FAIL: uplift FOS below "&amp;SG_Criteria!$B$44&amp;". ",""))=0,"OK",IF(AND(S80&lt;&gt;"",IFERROR(VALUE(MID(S80,2,2)),0)&lt;SG_Criteria!$B$19),"FAIL: grade below C"&amp;SG_Criteria!$B$19&amp;". ","")&amp;IF(AND(T80&lt;&gt;"",T80&lt;SG_Criteria!$B$20),"FAIL: cover &lt; "&amp;SG_Criteria!$B$20&amp;" mm. ","")&amp;IF(AND(H80&lt;&gt;"",H80&lt;SG_Criteria!$B$39),"NOTE: min depth below PUB "&amp;SG_Criteria!$B$39&amp;" m. ","")&amp;IF(AND(LEFT(C80,8)="Standard",I80&gt;SG_Criteria!$B$42),"FAIL: PUB 001C covers manholes up to "&amp;SG_Criteria!$B$42&amp;" m deep only. ","")&amp;IF(AND(LEFT(C80,11)="Rectangular",J80&lt;SG_Criteria!$B$43),"NOTE: 004C is for sewers &gt;= "&amp;SG_Criteria!$B$43&amp;" dia. ","")&amp;IF(AND(LEFT(C80,7)="Precast",I80&lt;=SG_Criteria!$B$42),"NOTE: 006C is for manholes &gt; "&amp;SG_Criteria!$B$42&amp;" m deep. ","")&amp;IF(AND(J80&lt;&gt;"",J80&lt;SG_Criteria!$B$40,C80&lt;&gt;"Inspection Chamber"),"NOTE: public sewer min dia "&amp;SG_Criteria!$B$40&amp;" mm. ","")&amp;IF(AND(R80&lt;&gt;"",R80&lt;SG_Criteria!$B$44),"FAIL: uplift FOS below "&amp;SG_Criteria!$B$44&amp;". ","")))</f>
        <v/>
      </c>
      <c r="AT80" s="9"/>
      <c r="AU80" s="9"/>
      <c r="AV80" s="9"/>
      <c r="AW80" s="9"/>
      <c r="AX80" s="9"/>
      <c r="AY80" s="31"/>
      <c r="AZ80" s="10" t="str">
        <f aca="false">IF(C80="","",IF(AND(AB80="Approved",ISERROR(SEARCH("FAIL",AS80))),"Y","N"))</f>
        <v/>
      </c>
      <c r="BA80" s="10" t="str">
        <f aca="false">IF(C80="","",C80&amp;"|"&amp;I80&amp;"|"&amp;F80&amp;"|"&amp;AZ80)</f>
        <v/>
      </c>
    </row>
    <row r="81" customFormat="false" ht="15" hidden="false" customHeight="false" outlineLevel="0" collapsed="false">
      <c r="A81" s="10" t="str">
        <f aca="false">IF(C81="","","MH-"&amp;IFERROR(VLOOKUP(C81,Lists!$AB$4:$AC$20,2,0),"??")&amp;"-"&amp;TEXT(F81,"0000")&amp;IF(E81="Circular","D","x"&amp;TEXT(G81,"0000"))&amp;"-D"&amp;TEXT(I81*1000,"0000")&amp;"-"&amp;IFERROR(VLOOKUP(D81,Lists!$AE$4:$AF$16,2,0),"??")&amp;"-"&amp;AA81)</f>
        <v/>
      </c>
      <c r="B81" s="10" t="str">
        <f aca="false">IF(C81="","",C81&amp;", "&amp;D81&amp;", "&amp;IF(E81="Circular",F81&amp;" dia",F81&amp;" x "&amp;G81)&amp;", depth "&amp;TEXT(H81,"0.0")&amp;"-"&amp;TEXT(I81,"0.0")&amp;" m, pipe up to "&amp;J81&amp;" dia")</f>
        <v/>
      </c>
      <c r="C81" s="9"/>
      <c r="D81" s="9"/>
      <c r="E81" s="9"/>
      <c r="F81" s="40"/>
      <c r="G81" s="40"/>
      <c r="H81" s="43"/>
      <c r="I81" s="43"/>
      <c r="J81" s="40"/>
      <c r="K81" s="40"/>
      <c r="L81" s="40"/>
      <c r="M81" s="40"/>
      <c r="N81" s="9"/>
      <c r="O81" s="9"/>
      <c r="P81" s="9"/>
      <c r="Q81" s="9"/>
      <c r="R81" s="41"/>
      <c r="S81" s="9"/>
      <c r="T81" s="40"/>
      <c r="U81" s="9"/>
      <c r="V81" s="9"/>
      <c r="W81" s="9"/>
      <c r="X81" s="9"/>
      <c r="Y81" s="9"/>
      <c r="Z81" s="9"/>
      <c r="AA81" s="9"/>
      <c r="AB81" s="9"/>
      <c r="AC81" s="9"/>
      <c r="AD81" s="9"/>
      <c r="AE81" s="9"/>
      <c r="AF81" s="10" t="str">
        <f aca="false">IF(A81="","",SG_Criteria!$B$6&amp;SG_Criteria!$B$10&amp;"\"&amp;A81&amp;"\")</f>
        <v/>
      </c>
      <c r="AG81" s="10" t="str">
        <f aca="false">IF(A81="","",A81&amp;"_CAD.dwg")</f>
        <v/>
      </c>
      <c r="AH81" s="10" t="str">
        <f aca="false">IF(A81="","",A81&amp;"_DWG.pdf")</f>
        <v/>
      </c>
      <c r="AI81" s="10" t="str">
        <f aca="false">IF(A81="","",IF(AE81="Y",A81&amp;"_STAAD.std","n/a"))</f>
        <v/>
      </c>
      <c r="AJ81" s="10" t="str">
        <f aca="false">IF(A81="","",A81&amp;"_CALC.xlsx")</f>
        <v/>
      </c>
      <c r="AK81" s="10" t="str">
        <f aca="false">IF(A81="","",A81&amp;"_CALC.pdf")</f>
        <v/>
      </c>
      <c r="AL81" s="9"/>
      <c r="AM81" s="9"/>
      <c r="AN81" s="41"/>
      <c r="AO81" s="41"/>
      <c r="AP81" s="41"/>
      <c r="AQ81" s="41"/>
      <c r="AR81" s="41"/>
      <c r="AS81" s="38" t="str">
        <f aca="false">IF(C81="","",IF(LEN(IF(AND(S81&lt;&gt;"",IFERROR(VALUE(MID(S81,2,2)),0)&lt;SG_Criteria!$B$19),"FAIL: grade below C"&amp;SG_Criteria!$B$19&amp;". ","")&amp;IF(AND(T81&lt;&gt;"",T81&lt;SG_Criteria!$B$20),"FAIL: cover &lt; "&amp;SG_Criteria!$B$20&amp;" mm. ","")&amp;IF(AND(H81&lt;&gt;"",H81&lt;SG_Criteria!$B$39),"NOTE: min depth below PUB "&amp;SG_Criteria!$B$39&amp;" m. ","")&amp;IF(AND(LEFT(C81,8)="Standard",I81&gt;SG_Criteria!$B$42),"FAIL: PUB 001C covers manholes up to "&amp;SG_Criteria!$B$42&amp;" m deep only. ","")&amp;IF(AND(LEFT(C81,11)="Rectangular",J81&lt;SG_Criteria!$B$43),"NOTE: 004C is for sewers &gt;= "&amp;SG_Criteria!$B$43&amp;" dia. ","")&amp;IF(AND(LEFT(C81,7)="Precast",I81&lt;=SG_Criteria!$B$42),"NOTE: 006C is for manholes &gt; "&amp;SG_Criteria!$B$42&amp;" m deep. ","")&amp;IF(AND(J81&lt;&gt;"",J81&lt;SG_Criteria!$B$40,C81&lt;&gt;"Inspection Chamber"),"NOTE: public sewer min dia "&amp;SG_Criteria!$B$40&amp;" mm. ","")&amp;IF(AND(R81&lt;&gt;"",R81&lt;SG_Criteria!$B$44),"FAIL: uplift FOS below "&amp;SG_Criteria!$B$44&amp;". ",""))=0,"OK",IF(AND(S81&lt;&gt;"",IFERROR(VALUE(MID(S81,2,2)),0)&lt;SG_Criteria!$B$19),"FAIL: grade below C"&amp;SG_Criteria!$B$19&amp;". ","")&amp;IF(AND(T81&lt;&gt;"",T81&lt;SG_Criteria!$B$20),"FAIL: cover &lt; "&amp;SG_Criteria!$B$20&amp;" mm. ","")&amp;IF(AND(H81&lt;&gt;"",H81&lt;SG_Criteria!$B$39),"NOTE: min depth below PUB "&amp;SG_Criteria!$B$39&amp;" m. ","")&amp;IF(AND(LEFT(C81,8)="Standard",I81&gt;SG_Criteria!$B$42),"FAIL: PUB 001C covers manholes up to "&amp;SG_Criteria!$B$42&amp;" m deep only. ","")&amp;IF(AND(LEFT(C81,11)="Rectangular",J81&lt;SG_Criteria!$B$43),"NOTE: 004C is for sewers &gt;= "&amp;SG_Criteria!$B$43&amp;" dia. ","")&amp;IF(AND(LEFT(C81,7)="Precast",I81&lt;=SG_Criteria!$B$42),"NOTE: 006C is for manholes &gt; "&amp;SG_Criteria!$B$42&amp;" m deep. ","")&amp;IF(AND(J81&lt;&gt;"",J81&lt;SG_Criteria!$B$40,C81&lt;&gt;"Inspection Chamber"),"NOTE: public sewer min dia "&amp;SG_Criteria!$B$40&amp;" mm. ","")&amp;IF(AND(R81&lt;&gt;"",R81&lt;SG_Criteria!$B$44),"FAIL: uplift FOS below "&amp;SG_Criteria!$B$44&amp;". ","")))</f>
        <v/>
      </c>
      <c r="AT81" s="9"/>
      <c r="AU81" s="9"/>
      <c r="AV81" s="9"/>
      <c r="AW81" s="9"/>
      <c r="AX81" s="9"/>
      <c r="AY81" s="31"/>
      <c r="AZ81" s="10" t="str">
        <f aca="false">IF(C81="","",IF(AND(AB81="Approved",ISERROR(SEARCH("FAIL",AS81))),"Y","N"))</f>
        <v/>
      </c>
      <c r="BA81" s="10" t="str">
        <f aca="false">IF(C81="","",C81&amp;"|"&amp;I81&amp;"|"&amp;F81&amp;"|"&amp;AZ81)</f>
        <v/>
      </c>
    </row>
    <row r="82" customFormat="false" ht="15" hidden="false" customHeight="false" outlineLevel="0" collapsed="false">
      <c r="A82" s="10" t="str">
        <f aca="false">IF(C82="","","MH-"&amp;IFERROR(VLOOKUP(C82,Lists!$AB$4:$AC$20,2,0),"??")&amp;"-"&amp;TEXT(F82,"0000")&amp;IF(E82="Circular","D","x"&amp;TEXT(G82,"0000"))&amp;"-D"&amp;TEXT(I82*1000,"0000")&amp;"-"&amp;IFERROR(VLOOKUP(D82,Lists!$AE$4:$AF$16,2,0),"??")&amp;"-"&amp;AA82)</f>
        <v/>
      </c>
      <c r="B82" s="10" t="str">
        <f aca="false">IF(C82="","",C82&amp;", "&amp;D82&amp;", "&amp;IF(E82="Circular",F82&amp;" dia",F82&amp;" x "&amp;G82)&amp;", depth "&amp;TEXT(H82,"0.0")&amp;"-"&amp;TEXT(I82,"0.0")&amp;" m, pipe up to "&amp;J82&amp;" dia")</f>
        <v/>
      </c>
      <c r="C82" s="9"/>
      <c r="D82" s="9"/>
      <c r="E82" s="9"/>
      <c r="F82" s="40"/>
      <c r="G82" s="40"/>
      <c r="H82" s="43"/>
      <c r="I82" s="43"/>
      <c r="J82" s="40"/>
      <c r="K82" s="40"/>
      <c r="L82" s="40"/>
      <c r="M82" s="40"/>
      <c r="N82" s="9"/>
      <c r="O82" s="9"/>
      <c r="P82" s="9"/>
      <c r="Q82" s="9"/>
      <c r="R82" s="41"/>
      <c r="S82" s="9"/>
      <c r="T82" s="40"/>
      <c r="U82" s="9"/>
      <c r="V82" s="9"/>
      <c r="W82" s="9"/>
      <c r="X82" s="9"/>
      <c r="Y82" s="9"/>
      <c r="Z82" s="9"/>
      <c r="AA82" s="9"/>
      <c r="AB82" s="9"/>
      <c r="AC82" s="9"/>
      <c r="AD82" s="9"/>
      <c r="AE82" s="9"/>
      <c r="AF82" s="10" t="str">
        <f aca="false">IF(A82="","",SG_Criteria!$B$6&amp;SG_Criteria!$B$10&amp;"\"&amp;A82&amp;"\")</f>
        <v/>
      </c>
      <c r="AG82" s="10" t="str">
        <f aca="false">IF(A82="","",A82&amp;"_CAD.dwg")</f>
        <v/>
      </c>
      <c r="AH82" s="10" t="str">
        <f aca="false">IF(A82="","",A82&amp;"_DWG.pdf")</f>
        <v/>
      </c>
      <c r="AI82" s="10" t="str">
        <f aca="false">IF(A82="","",IF(AE82="Y",A82&amp;"_STAAD.std","n/a"))</f>
        <v/>
      </c>
      <c r="AJ82" s="10" t="str">
        <f aca="false">IF(A82="","",A82&amp;"_CALC.xlsx")</f>
        <v/>
      </c>
      <c r="AK82" s="10" t="str">
        <f aca="false">IF(A82="","",A82&amp;"_CALC.pdf")</f>
        <v/>
      </c>
      <c r="AL82" s="9"/>
      <c r="AM82" s="9"/>
      <c r="AN82" s="41"/>
      <c r="AO82" s="41"/>
      <c r="AP82" s="41"/>
      <c r="AQ82" s="41"/>
      <c r="AR82" s="41"/>
      <c r="AS82" s="38" t="str">
        <f aca="false">IF(C82="","",IF(LEN(IF(AND(S82&lt;&gt;"",IFERROR(VALUE(MID(S82,2,2)),0)&lt;SG_Criteria!$B$19),"FAIL: grade below C"&amp;SG_Criteria!$B$19&amp;". ","")&amp;IF(AND(T82&lt;&gt;"",T82&lt;SG_Criteria!$B$20),"FAIL: cover &lt; "&amp;SG_Criteria!$B$20&amp;" mm. ","")&amp;IF(AND(H82&lt;&gt;"",H82&lt;SG_Criteria!$B$39),"NOTE: min depth below PUB "&amp;SG_Criteria!$B$39&amp;" m. ","")&amp;IF(AND(LEFT(C82,8)="Standard",I82&gt;SG_Criteria!$B$42),"FAIL: PUB 001C covers manholes up to "&amp;SG_Criteria!$B$42&amp;" m deep only. ","")&amp;IF(AND(LEFT(C82,11)="Rectangular",J82&lt;SG_Criteria!$B$43),"NOTE: 004C is for sewers &gt;= "&amp;SG_Criteria!$B$43&amp;" dia. ","")&amp;IF(AND(LEFT(C82,7)="Precast",I82&lt;=SG_Criteria!$B$42),"NOTE: 006C is for manholes &gt; "&amp;SG_Criteria!$B$42&amp;" m deep. ","")&amp;IF(AND(J82&lt;&gt;"",J82&lt;SG_Criteria!$B$40,C82&lt;&gt;"Inspection Chamber"),"NOTE: public sewer min dia "&amp;SG_Criteria!$B$40&amp;" mm. ","")&amp;IF(AND(R82&lt;&gt;"",R82&lt;SG_Criteria!$B$44),"FAIL: uplift FOS below "&amp;SG_Criteria!$B$44&amp;". ",""))=0,"OK",IF(AND(S82&lt;&gt;"",IFERROR(VALUE(MID(S82,2,2)),0)&lt;SG_Criteria!$B$19),"FAIL: grade below C"&amp;SG_Criteria!$B$19&amp;". ","")&amp;IF(AND(T82&lt;&gt;"",T82&lt;SG_Criteria!$B$20),"FAIL: cover &lt; "&amp;SG_Criteria!$B$20&amp;" mm. ","")&amp;IF(AND(H82&lt;&gt;"",H82&lt;SG_Criteria!$B$39),"NOTE: min depth below PUB "&amp;SG_Criteria!$B$39&amp;" m. ","")&amp;IF(AND(LEFT(C82,8)="Standard",I82&gt;SG_Criteria!$B$42),"FAIL: PUB 001C covers manholes up to "&amp;SG_Criteria!$B$42&amp;" m deep only. ","")&amp;IF(AND(LEFT(C82,11)="Rectangular",J82&lt;SG_Criteria!$B$43),"NOTE: 004C is for sewers &gt;= "&amp;SG_Criteria!$B$43&amp;" dia. ","")&amp;IF(AND(LEFT(C82,7)="Precast",I82&lt;=SG_Criteria!$B$42),"NOTE: 006C is for manholes &gt; "&amp;SG_Criteria!$B$42&amp;" m deep. ","")&amp;IF(AND(J82&lt;&gt;"",J82&lt;SG_Criteria!$B$40,C82&lt;&gt;"Inspection Chamber"),"NOTE: public sewer min dia "&amp;SG_Criteria!$B$40&amp;" mm. ","")&amp;IF(AND(R82&lt;&gt;"",R82&lt;SG_Criteria!$B$44),"FAIL: uplift FOS below "&amp;SG_Criteria!$B$44&amp;". ","")))</f>
        <v/>
      </c>
      <c r="AT82" s="9"/>
      <c r="AU82" s="9"/>
      <c r="AV82" s="9"/>
      <c r="AW82" s="9"/>
      <c r="AX82" s="9"/>
      <c r="AY82" s="31"/>
      <c r="AZ82" s="10" t="str">
        <f aca="false">IF(C82="","",IF(AND(AB82="Approved",ISERROR(SEARCH("FAIL",AS82))),"Y","N"))</f>
        <v/>
      </c>
      <c r="BA82" s="10" t="str">
        <f aca="false">IF(C82="","",C82&amp;"|"&amp;I82&amp;"|"&amp;F82&amp;"|"&amp;AZ82)</f>
        <v/>
      </c>
    </row>
    <row r="83" customFormat="false" ht="15" hidden="false" customHeight="false" outlineLevel="0" collapsed="false">
      <c r="A83" s="10" t="str">
        <f aca="false">IF(C83="","","MH-"&amp;IFERROR(VLOOKUP(C83,Lists!$AB$4:$AC$20,2,0),"??")&amp;"-"&amp;TEXT(F83,"0000")&amp;IF(E83="Circular","D","x"&amp;TEXT(G83,"0000"))&amp;"-D"&amp;TEXT(I83*1000,"0000")&amp;"-"&amp;IFERROR(VLOOKUP(D83,Lists!$AE$4:$AF$16,2,0),"??")&amp;"-"&amp;AA83)</f>
        <v/>
      </c>
      <c r="B83" s="10" t="str">
        <f aca="false">IF(C83="","",C83&amp;", "&amp;D83&amp;", "&amp;IF(E83="Circular",F83&amp;" dia",F83&amp;" x "&amp;G83)&amp;", depth "&amp;TEXT(H83,"0.0")&amp;"-"&amp;TEXT(I83,"0.0")&amp;" m, pipe up to "&amp;J83&amp;" dia")</f>
        <v/>
      </c>
      <c r="C83" s="9"/>
      <c r="D83" s="9"/>
      <c r="E83" s="9"/>
      <c r="F83" s="40"/>
      <c r="G83" s="40"/>
      <c r="H83" s="43"/>
      <c r="I83" s="43"/>
      <c r="J83" s="40"/>
      <c r="K83" s="40"/>
      <c r="L83" s="40"/>
      <c r="M83" s="40"/>
      <c r="N83" s="9"/>
      <c r="O83" s="9"/>
      <c r="P83" s="9"/>
      <c r="Q83" s="9"/>
      <c r="R83" s="41"/>
      <c r="S83" s="9"/>
      <c r="T83" s="40"/>
      <c r="U83" s="9"/>
      <c r="V83" s="9"/>
      <c r="W83" s="9"/>
      <c r="X83" s="9"/>
      <c r="Y83" s="9"/>
      <c r="Z83" s="9"/>
      <c r="AA83" s="9"/>
      <c r="AB83" s="9"/>
      <c r="AC83" s="9"/>
      <c r="AD83" s="9"/>
      <c r="AE83" s="9"/>
      <c r="AF83" s="10" t="str">
        <f aca="false">IF(A83="","",SG_Criteria!$B$6&amp;SG_Criteria!$B$10&amp;"\"&amp;A83&amp;"\")</f>
        <v/>
      </c>
      <c r="AG83" s="10" t="str">
        <f aca="false">IF(A83="","",A83&amp;"_CAD.dwg")</f>
        <v/>
      </c>
      <c r="AH83" s="10" t="str">
        <f aca="false">IF(A83="","",A83&amp;"_DWG.pdf")</f>
        <v/>
      </c>
      <c r="AI83" s="10" t="str">
        <f aca="false">IF(A83="","",IF(AE83="Y",A83&amp;"_STAAD.std","n/a"))</f>
        <v/>
      </c>
      <c r="AJ83" s="10" t="str">
        <f aca="false">IF(A83="","",A83&amp;"_CALC.xlsx")</f>
        <v/>
      </c>
      <c r="AK83" s="10" t="str">
        <f aca="false">IF(A83="","",A83&amp;"_CALC.pdf")</f>
        <v/>
      </c>
      <c r="AL83" s="9"/>
      <c r="AM83" s="9"/>
      <c r="AN83" s="41"/>
      <c r="AO83" s="41"/>
      <c r="AP83" s="41"/>
      <c r="AQ83" s="41"/>
      <c r="AR83" s="41"/>
      <c r="AS83" s="38" t="str">
        <f aca="false">IF(C83="","",IF(LEN(IF(AND(S83&lt;&gt;"",IFERROR(VALUE(MID(S83,2,2)),0)&lt;SG_Criteria!$B$19),"FAIL: grade below C"&amp;SG_Criteria!$B$19&amp;". ","")&amp;IF(AND(T83&lt;&gt;"",T83&lt;SG_Criteria!$B$20),"FAIL: cover &lt; "&amp;SG_Criteria!$B$20&amp;" mm. ","")&amp;IF(AND(H83&lt;&gt;"",H83&lt;SG_Criteria!$B$39),"NOTE: min depth below PUB "&amp;SG_Criteria!$B$39&amp;" m. ","")&amp;IF(AND(LEFT(C83,8)="Standard",I83&gt;SG_Criteria!$B$42),"FAIL: PUB 001C covers manholes up to "&amp;SG_Criteria!$B$42&amp;" m deep only. ","")&amp;IF(AND(LEFT(C83,11)="Rectangular",J83&lt;SG_Criteria!$B$43),"NOTE: 004C is for sewers &gt;= "&amp;SG_Criteria!$B$43&amp;" dia. ","")&amp;IF(AND(LEFT(C83,7)="Precast",I83&lt;=SG_Criteria!$B$42),"NOTE: 006C is for manholes &gt; "&amp;SG_Criteria!$B$42&amp;" m deep. ","")&amp;IF(AND(J83&lt;&gt;"",J83&lt;SG_Criteria!$B$40,C83&lt;&gt;"Inspection Chamber"),"NOTE: public sewer min dia "&amp;SG_Criteria!$B$40&amp;" mm. ","")&amp;IF(AND(R83&lt;&gt;"",R83&lt;SG_Criteria!$B$44),"FAIL: uplift FOS below "&amp;SG_Criteria!$B$44&amp;". ",""))=0,"OK",IF(AND(S83&lt;&gt;"",IFERROR(VALUE(MID(S83,2,2)),0)&lt;SG_Criteria!$B$19),"FAIL: grade below C"&amp;SG_Criteria!$B$19&amp;". ","")&amp;IF(AND(T83&lt;&gt;"",T83&lt;SG_Criteria!$B$20),"FAIL: cover &lt; "&amp;SG_Criteria!$B$20&amp;" mm. ","")&amp;IF(AND(H83&lt;&gt;"",H83&lt;SG_Criteria!$B$39),"NOTE: min depth below PUB "&amp;SG_Criteria!$B$39&amp;" m. ","")&amp;IF(AND(LEFT(C83,8)="Standard",I83&gt;SG_Criteria!$B$42),"FAIL: PUB 001C covers manholes up to "&amp;SG_Criteria!$B$42&amp;" m deep only. ","")&amp;IF(AND(LEFT(C83,11)="Rectangular",J83&lt;SG_Criteria!$B$43),"NOTE: 004C is for sewers &gt;= "&amp;SG_Criteria!$B$43&amp;" dia. ","")&amp;IF(AND(LEFT(C83,7)="Precast",I83&lt;=SG_Criteria!$B$42),"NOTE: 006C is for manholes &gt; "&amp;SG_Criteria!$B$42&amp;" m deep. ","")&amp;IF(AND(J83&lt;&gt;"",J83&lt;SG_Criteria!$B$40,C83&lt;&gt;"Inspection Chamber"),"NOTE: public sewer min dia "&amp;SG_Criteria!$B$40&amp;" mm. ","")&amp;IF(AND(R83&lt;&gt;"",R83&lt;SG_Criteria!$B$44),"FAIL: uplift FOS below "&amp;SG_Criteria!$B$44&amp;". ","")))</f>
        <v/>
      </c>
      <c r="AT83" s="9"/>
      <c r="AU83" s="9"/>
      <c r="AV83" s="9"/>
      <c r="AW83" s="9"/>
      <c r="AX83" s="9"/>
      <c r="AY83" s="31"/>
      <c r="AZ83" s="10" t="str">
        <f aca="false">IF(C83="","",IF(AND(AB83="Approved",ISERROR(SEARCH("FAIL",AS83))),"Y","N"))</f>
        <v/>
      </c>
      <c r="BA83" s="10" t="str">
        <f aca="false">IF(C83="","",C83&amp;"|"&amp;I83&amp;"|"&amp;F83&amp;"|"&amp;AZ83)</f>
        <v/>
      </c>
    </row>
    <row r="84" customFormat="false" ht="15" hidden="false" customHeight="false" outlineLevel="0" collapsed="false">
      <c r="A84" s="10" t="str">
        <f aca="false">IF(C84="","","MH-"&amp;IFERROR(VLOOKUP(C84,Lists!$AB$4:$AC$20,2,0),"??")&amp;"-"&amp;TEXT(F84,"0000")&amp;IF(E84="Circular","D","x"&amp;TEXT(G84,"0000"))&amp;"-D"&amp;TEXT(I84*1000,"0000")&amp;"-"&amp;IFERROR(VLOOKUP(D84,Lists!$AE$4:$AF$16,2,0),"??")&amp;"-"&amp;AA84)</f>
        <v/>
      </c>
      <c r="B84" s="10" t="str">
        <f aca="false">IF(C84="","",C84&amp;", "&amp;D84&amp;", "&amp;IF(E84="Circular",F84&amp;" dia",F84&amp;" x "&amp;G84)&amp;", depth "&amp;TEXT(H84,"0.0")&amp;"-"&amp;TEXT(I84,"0.0")&amp;" m, pipe up to "&amp;J84&amp;" dia")</f>
        <v/>
      </c>
      <c r="C84" s="9"/>
      <c r="D84" s="9"/>
      <c r="E84" s="9"/>
      <c r="F84" s="40"/>
      <c r="G84" s="40"/>
      <c r="H84" s="43"/>
      <c r="I84" s="43"/>
      <c r="J84" s="40"/>
      <c r="K84" s="40"/>
      <c r="L84" s="40"/>
      <c r="M84" s="40"/>
      <c r="N84" s="9"/>
      <c r="O84" s="9"/>
      <c r="P84" s="9"/>
      <c r="Q84" s="9"/>
      <c r="R84" s="41"/>
      <c r="S84" s="9"/>
      <c r="T84" s="40"/>
      <c r="U84" s="9"/>
      <c r="V84" s="9"/>
      <c r="W84" s="9"/>
      <c r="X84" s="9"/>
      <c r="Y84" s="9"/>
      <c r="Z84" s="9"/>
      <c r="AA84" s="9"/>
      <c r="AB84" s="9"/>
      <c r="AC84" s="9"/>
      <c r="AD84" s="9"/>
      <c r="AE84" s="9"/>
      <c r="AF84" s="10" t="str">
        <f aca="false">IF(A84="","",SG_Criteria!$B$6&amp;SG_Criteria!$B$10&amp;"\"&amp;A84&amp;"\")</f>
        <v/>
      </c>
      <c r="AG84" s="10" t="str">
        <f aca="false">IF(A84="","",A84&amp;"_CAD.dwg")</f>
        <v/>
      </c>
      <c r="AH84" s="10" t="str">
        <f aca="false">IF(A84="","",A84&amp;"_DWG.pdf")</f>
        <v/>
      </c>
      <c r="AI84" s="10" t="str">
        <f aca="false">IF(A84="","",IF(AE84="Y",A84&amp;"_STAAD.std","n/a"))</f>
        <v/>
      </c>
      <c r="AJ84" s="10" t="str">
        <f aca="false">IF(A84="","",A84&amp;"_CALC.xlsx")</f>
        <v/>
      </c>
      <c r="AK84" s="10" t="str">
        <f aca="false">IF(A84="","",A84&amp;"_CALC.pdf")</f>
        <v/>
      </c>
      <c r="AL84" s="9"/>
      <c r="AM84" s="9"/>
      <c r="AN84" s="41"/>
      <c r="AO84" s="41"/>
      <c r="AP84" s="41"/>
      <c r="AQ84" s="41"/>
      <c r="AR84" s="41"/>
      <c r="AS84" s="38" t="str">
        <f aca="false">IF(C84="","",IF(LEN(IF(AND(S84&lt;&gt;"",IFERROR(VALUE(MID(S84,2,2)),0)&lt;SG_Criteria!$B$19),"FAIL: grade below C"&amp;SG_Criteria!$B$19&amp;". ","")&amp;IF(AND(T84&lt;&gt;"",T84&lt;SG_Criteria!$B$20),"FAIL: cover &lt; "&amp;SG_Criteria!$B$20&amp;" mm. ","")&amp;IF(AND(H84&lt;&gt;"",H84&lt;SG_Criteria!$B$39),"NOTE: min depth below PUB "&amp;SG_Criteria!$B$39&amp;" m. ","")&amp;IF(AND(LEFT(C84,8)="Standard",I84&gt;SG_Criteria!$B$42),"FAIL: PUB 001C covers manholes up to "&amp;SG_Criteria!$B$42&amp;" m deep only. ","")&amp;IF(AND(LEFT(C84,11)="Rectangular",J84&lt;SG_Criteria!$B$43),"NOTE: 004C is for sewers &gt;= "&amp;SG_Criteria!$B$43&amp;" dia. ","")&amp;IF(AND(LEFT(C84,7)="Precast",I84&lt;=SG_Criteria!$B$42),"NOTE: 006C is for manholes &gt; "&amp;SG_Criteria!$B$42&amp;" m deep. ","")&amp;IF(AND(J84&lt;&gt;"",J84&lt;SG_Criteria!$B$40,C84&lt;&gt;"Inspection Chamber"),"NOTE: public sewer min dia "&amp;SG_Criteria!$B$40&amp;" mm. ","")&amp;IF(AND(R84&lt;&gt;"",R84&lt;SG_Criteria!$B$44),"FAIL: uplift FOS below "&amp;SG_Criteria!$B$44&amp;". ",""))=0,"OK",IF(AND(S84&lt;&gt;"",IFERROR(VALUE(MID(S84,2,2)),0)&lt;SG_Criteria!$B$19),"FAIL: grade below C"&amp;SG_Criteria!$B$19&amp;". ","")&amp;IF(AND(T84&lt;&gt;"",T84&lt;SG_Criteria!$B$20),"FAIL: cover &lt; "&amp;SG_Criteria!$B$20&amp;" mm. ","")&amp;IF(AND(H84&lt;&gt;"",H84&lt;SG_Criteria!$B$39),"NOTE: min depth below PUB "&amp;SG_Criteria!$B$39&amp;" m. ","")&amp;IF(AND(LEFT(C84,8)="Standard",I84&gt;SG_Criteria!$B$42),"FAIL: PUB 001C covers manholes up to "&amp;SG_Criteria!$B$42&amp;" m deep only. ","")&amp;IF(AND(LEFT(C84,11)="Rectangular",J84&lt;SG_Criteria!$B$43),"NOTE: 004C is for sewers &gt;= "&amp;SG_Criteria!$B$43&amp;" dia. ","")&amp;IF(AND(LEFT(C84,7)="Precast",I84&lt;=SG_Criteria!$B$42),"NOTE: 006C is for manholes &gt; "&amp;SG_Criteria!$B$42&amp;" m deep. ","")&amp;IF(AND(J84&lt;&gt;"",J84&lt;SG_Criteria!$B$40,C84&lt;&gt;"Inspection Chamber"),"NOTE: public sewer min dia "&amp;SG_Criteria!$B$40&amp;" mm. ","")&amp;IF(AND(R84&lt;&gt;"",R84&lt;SG_Criteria!$B$44),"FAIL: uplift FOS below "&amp;SG_Criteria!$B$44&amp;". ","")))</f>
        <v/>
      </c>
      <c r="AT84" s="9"/>
      <c r="AU84" s="9"/>
      <c r="AV84" s="9"/>
      <c r="AW84" s="9"/>
      <c r="AX84" s="9"/>
      <c r="AY84" s="31"/>
      <c r="AZ84" s="10" t="str">
        <f aca="false">IF(C84="","",IF(AND(AB84="Approved",ISERROR(SEARCH("FAIL",AS84))),"Y","N"))</f>
        <v/>
      </c>
      <c r="BA84" s="10" t="str">
        <f aca="false">IF(C84="","",C84&amp;"|"&amp;I84&amp;"|"&amp;F84&amp;"|"&amp;AZ84)</f>
        <v/>
      </c>
    </row>
    <row r="85" customFormat="false" ht="15" hidden="false" customHeight="false" outlineLevel="0" collapsed="false">
      <c r="A85" s="10" t="str">
        <f aca="false">IF(C85="","","MH-"&amp;IFERROR(VLOOKUP(C85,Lists!$AB$4:$AC$20,2,0),"??")&amp;"-"&amp;TEXT(F85,"0000")&amp;IF(E85="Circular","D","x"&amp;TEXT(G85,"0000"))&amp;"-D"&amp;TEXT(I85*1000,"0000")&amp;"-"&amp;IFERROR(VLOOKUP(D85,Lists!$AE$4:$AF$16,2,0),"??")&amp;"-"&amp;AA85)</f>
        <v/>
      </c>
      <c r="B85" s="10" t="str">
        <f aca="false">IF(C85="","",C85&amp;", "&amp;D85&amp;", "&amp;IF(E85="Circular",F85&amp;" dia",F85&amp;" x "&amp;G85)&amp;", depth "&amp;TEXT(H85,"0.0")&amp;"-"&amp;TEXT(I85,"0.0")&amp;" m, pipe up to "&amp;J85&amp;" dia")</f>
        <v/>
      </c>
      <c r="C85" s="9"/>
      <c r="D85" s="9"/>
      <c r="E85" s="9"/>
      <c r="F85" s="40"/>
      <c r="G85" s="40"/>
      <c r="H85" s="43"/>
      <c r="I85" s="43"/>
      <c r="J85" s="40"/>
      <c r="K85" s="40"/>
      <c r="L85" s="40"/>
      <c r="M85" s="40"/>
      <c r="N85" s="9"/>
      <c r="O85" s="9"/>
      <c r="P85" s="9"/>
      <c r="Q85" s="9"/>
      <c r="R85" s="41"/>
      <c r="S85" s="9"/>
      <c r="T85" s="40"/>
      <c r="U85" s="9"/>
      <c r="V85" s="9"/>
      <c r="W85" s="9"/>
      <c r="X85" s="9"/>
      <c r="Y85" s="9"/>
      <c r="Z85" s="9"/>
      <c r="AA85" s="9"/>
      <c r="AB85" s="9"/>
      <c r="AC85" s="9"/>
      <c r="AD85" s="9"/>
      <c r="AE85" s="9"/>
      <c r="AF85" s="10" t="str">
        <f aca="false">IF(A85="","",SG_Criteria!$B$6&amp;SG_Criteria!$B$10&amp;"\"&amp;A85&amp;"\")</f>
        <v/>
      </c>
      <c r="AG85" s="10" t="str">
        <f aca="false">IF(A85="","",A85&amp;"_CAD.dwg")</f>
        <v/>
      </c>
      <c r="AH85" s="10" t="str">
        <f aca="false">IF(A85="","",A85&amp;"_DWG.pdf")</f>
        <v/>
      </c>
      <c r="AI85" s="10" t="str">
        <f aca="false">IF(A85="","",IF(AE85="Y",A85&amp;"_STAAD.std","n/a"))</f>
        <v/>
      </c>
      <c r="AJ85" s="10" t="str">
        <f aca="false">IF(A85="","",A85&amp;"_CALC.xlsx")</f>
        <v/>
      </c>
      <c r="AK85" s="10" t="str">
        <f aca="false">IF(A85="","",A85&amp;"_CALC.pdf")</f>
        <v/>
      </c>
      <c r="AL85" s="9"/>
      <c r="AM85" s="9"/>
      <c r="AN85" s="41"/>
      <c r="AO85" s="41"/>
      <c r="AP85" s="41"/>
      <c r="AQ85" s="41"/>
      <c r="AR85" s="41"/>
      <c r="AS85" s="38" t="str">
        <f aca="false">IF(C85="","",IF(LEN(IF(AND(S85&lt;&gt;"",IFERROR(VALUE(MID(S85,2,2)),0)&lt;SG_Criteria!$B$19),"FAIL: grade below C"&amp;SG_Criteria!$B$19&amp;". ","")&amp;IF(AND(T85&lt;&gt;"",T85&lt;SG_Criteria!$B$20),"FAIL: cover &lt; "&amp;SG_Criteria!$B$20&amp;" mm. ","")&amp;IF(AND(H85&lt;&gt;"",H85&lt;SG_Criteria!$B$39),"NOTE: min depth below PUB "&amp;SG_Criteria!$B$39&amp;" m. ","")&amp;IF(AND(LEFT(C85,8)="Standard",I85&gt;SG_Criteria!$B$42),"FAIL: PUB 001C covers manholes up to "&amp;SG_Criteria!$B$42&amp;" m deep only. ","")&amp;IF(AND(LEFT(C85,11)="Rectangular",J85&lt;SG_Criteria!$B$43),"NOTE: 004C is for sewers &gt;= "&amp;SG_Criteria!$B$43&amp;" dia. ","")&amp;IF(AND(LEFT(C85,7)="Precast",I85&lt;=SG_Criteria!$B$42),"NOTE: 006C is for manholes &gt; "&amp;SG_Criteria!$B$42&amp;" m deep. ","")&amp;IF(AND(J85&lt;&gt;"",J85&lt;SG_Criteria!$B$40,C85&lt;&gt;"Inspection Chamber"),"NOTE: public sewer min dia "&amp;SG_Criteria!$B$40&amp;" mm. ","")&amp;IF(AND(R85&lt;&gt;"",R85&lt;SG_Criteria!$B$44),"FAIL: uplift FOS below "&amp;SG_Criteria!$B$44&amp;". ",""))=0,"OK",IF(AND(S85&lt;&gt;"",IFERROR(VALUE(MID(S85,2,2)),0)&lt;SG_Criteria!$B$19),"FAIL: grade below C"&amp;SG_Criteria!$B$19&amp;". ","")&amp;IF(AND(T85&lt;&gt;"",T85&lt;SG_Criteria!$B$20),"FAIL: cover &lt; "&amp;SG_Criteria!$B$20&amp;" mm. ","")&amp;IF(AND(H85&lt;&gt;"",H85&lt;SG_Criteria!$B$39),"NOTE: min depth below PUB "&amp;SG_Criteria!$B$39&amp;" m. ","")&amp;IF(AND(LEFT(C85,8)="Standard",I85&gt;SG_Criteria!$B$42),"FAIL: PUB 001C covers manholes up to "&amp;SG_Criteria!$B$42&amp;" m deep only. ","")&amp;IF(AND(LEFT(C85,11)="Rectangular",J85&lt;SG_Criteria!$B$43),"NOTE: 004C is for sewers &gt;= "&amp;SG_Criteria!$B$43&amp;" dia. ","")&amp;IF(AND(LEFT(C85,7)="Precast",I85&lt;=SG_Criteria!$B$42),"NOTE: 006C is for manholes &gt; "&amp;SG_Criteria!$B$42&amp;" m deep. ","")&amp;IF(AND(J85&lt;&gt;"",J85&lt;SG_Criteria!$B$40,C85&lt;&gt;"Inspection Chamber"),"NOTE: public sewer min dia "&amp;SG_Criteria!$B$40&amp;" mm. ","")&amp;IF(AND(R85&lt;&gt;"",R85&lt;SG_Criteria!$B$44),"FAIL: uplift FOS below "&amp;SG_Criteria!$B$44&amp;". ","")))</f>
        <v/>
      </c>
      <c r="AT85" s="9"/>
      <c r="AU85" s="9"/>
      <c r="AV85" s="9"/>
      <c r="AW85" s="9"/>
      <c r="AX85" s="9"/>
      <c r="AY85" s="31"/>
      <c r="AZ85" s="10" t="str">
        <f aca="false">IF(C85="","",IF(AND(AB85="Approved",ISERROR(SEARCH("FAIL",AS85))),"Y","N"))</f>
        <v/>
      </c>
      <c r="BA85" s="10" t="str">
        <f aca="false">IF(C85="","",C85&amp;"|"&amp;I85&amp;"|"&amp;F85&amp;"|"&amp;AZ85)</f>
        <v/>
      </c>
    </row>
    <row r="86" customFormat="false" ht="15" hidden="false" customHeight="false" outlineLevel="0" collapsed="false">
      <c r="A86" s="10" t="str">
        <f aca="false">IF(C86="","","MH-"&amp;IFERROR(VLOOKUP(C86,Lists!$AB$4:$AC$20,2,0),"??")&amp;"-"&amp;TEXT(F86,"0000")&amp;IF(E86="Circular","D","x"&amp;TEXT(G86,"0000"))&amp;"-D"&amp;TEXT(I86*1000,"0000")&amp;"-"&amp;IFERROR(VLOOKUP(D86,Lists!$AE$4:$AF$16,2,0),"??")&amp;"-"&amp;AA86)</f>
        <v/>
      </c>
      <c r="B86" s="10" t="str">
        <f aca="false">IF(C86="","",C86&amp;", "&amp;D86&amp;", "&amp;IF(E86="Circular",F86&amp;" dia",F86&amp;" x "&amp;G86)&amp;", depth "&amp;TEXT(H86,"0.0")&amp;"-"&amp;TEXT(I86,"0.0")&amp;" m, pipe up to "&amp;J86&amp;" dia")</f>
        <v/>
      </c>
      <c r="C86" s="9"/>
      <c r="D86" s="9"/>
      <c r="E86" s="9"/>
      <c r="F86" s="40"/>
      <c r="G86" s="40"/>
      <c r="H86" s="43"/>
      <c r="I86" s="43"/>
      <c r="J86" s="40"/>
      <c r="K86" s="40"/>
      <c r="L86" s="40"/>
      <c r="M86" s="40"/>
      <c r="N86" s="9"/>
      <c r="O86" s="9"/>
      <c r="P86" s="9"/>
      <c r="Q86" s="9"/>
      <c r="R86" s="41"/>
      <c r="S86" s="9"/>
      <c r="T86" s="40"/>
      <c r="U86" s="9"/>
      <c r="V86" s="9"/>
      <c r="W86" s="9"/>
      <c r="X86" s="9"/>
      <c r="Y86" s="9"/>
      <c r="Z86" s="9"/>
      <c r="AA86" s="9"/>
      <c r="AB86" s="9"/>
      <c r="AC86" s="9"/>
      <c r="AD86" s="9"/>
      <c r="AE86" s="9"/>
      <c r="AF86" s="10" t="str">
        <f aca="false">IF(A86="","",SG_Criteria!$B$6&amp;SG_Criteria!$B$10&amp;"\"&amp;A86&amp;"\")</f>
        <v/>
      </c>
      <c r="AG86" s="10" t="str">
        <f aca="false">IF(A86="","",A86&amp;"_CAD.dwg")</f>
        <v/>
      </c>
      <c r="AH86" s="10" t="str">
        <f aca="false">IF(A86="","",A86&amp;"_DWG.pdf")</f>
        <v/>
      </c>
      <c r="AI86" s="10" t="str">
        <f aca="false">IF(A86="","",IF(AE86="Y",A86&amp;"_STAAD.std","n/a"))</f>
        <v/>
      </c>
      <c r="AJ86" s="10" t="str">
        <f aca="false">IF(A86="","",A86&amp;"_CALC.xlsx")</f>
        <v/>
      </c>
      <c r="AK86" s="10" t="str">
        <f aca="false">IF(A86="","",A86&amp;"_CALC.pdf")</f>
        <v/>
      </c>
      <c r="AL86" s="9"/>
      <c r="AM86" s="9"/>
      <c r="AN86" s="41"/>
      <c r="AO86" s="41"/>
      <c r="AP86" s="41"/>
      <c r="AQ86" s="41"/>
      <c r="AR86" s="41"/>
      <c r="AS86" s="38" t="str">
        <f aca="false">IF(C86="","",IF(LEN(IF(AND(S86&lt;&gt;"",IFERROR(VALUE(MID(S86,2,2)),0)&lt;SG_Criteria!$B$19),"FAIL: grade below C"&amp;SG_Criteria!$B$19&amp;". ","")&amp;IF(AND(T86&lt;&gt;"",T86&lt;SG_Criteria!$B$20),"FAIL: cover &lt; "&amp;SG_Criteria!$B$20&amp;" mm. ","")&amp;IF(AND(H86&lt;&gt;"",H86&lt;SG_Criteria!$B$39),"NOTE: min depth below PUB "&amp;SG_Criteria!$B$39&amp;" m. ","")&amp;IF(AND(LEFT(C86,8)="Standard",I86&gt;SG_Criteria!$B$42),"FAIL: PUB 001C covers manholes up to "&amp;SG_Criteria!$B$42&amp;" m deep only. ","")&amp;IF(AND(LEFT(C86,11)="Rectangular",J86&lt;SG_Criteria!$B$43),"NOTE: 004C is for sewers &gt;= "&amp;SG_Criteria!$B$43&amp;" dia. ","")&amp;IF(AND(LEFT(C86,7)="Precast",I86&lt;=SG_Criteria!$B$42),"NOTE: 006C is for manholes &gt; "&amp;SG_Criteria!$B$42&amp;" m deep. ","")&amp;IF(AND(J86&lt;&gt;"",J86&lt;SG_Criteria!$B$40,C86&lt;&gt;"Inspection Chamber"),"NOTE: public sewer min dia "&amp;SG_Criteria!$B$40&amp;" mm. ","")&amp;IF(AND(R86&lt;&gt;"",R86&lt;SG_Criteria!$B$44),"FAIL: uplift FOS below "&amp;SG_Criteria!$B$44&amp;". ",""))=0,"OK",IF(AND(S86&lt;&gt;"",IFERROR(VALUE(MID(S86,2,2)),0)&lt;SG_Criteria!$B$19),"FAIL: grade below C"&amp;SG_Criteria!$B$19&amp;". ","")&amp;IF(AND(T86&lt;&gt;"",T86&lt;SG_Criteria!$B$20),"FAIL: cover &lt; "&amp;SG_Criteria!$B$20&amp;" mm. ","")&amp;IF(AND(H86&lt;&gt;"",H86&lt;SG_Criteria!$B$39),"NOTE: min depth below PUB "&amp;SG_Criteria!$B$39&amp;" m. ","")&amp;IF(AND(LEFT(C86,8)="Standard",I86&gt;SG_Criteria!$B$42),"FAIL: PUB 001C covers manholes up to "&amp;SG_Criteria!$B$42&amp;" m deep only. ","")&amp;IF(AND(LEFT(C86,11)="Rectangular",J86&lt;SG_Criteria!$B$43),"NOTE: 004C is for sewers &gt;= "&amp;SG_Criteria!$B$43&amp;" dia. ","")&amp;IF(AND(LEFT(C86,7)="Precast",I86&lt;=SG_Criteria!$B$42),"NOTE: 006C is for manholes &gt; "&amp;SG_Criteria!$B$42&amp;" m deep. ","")&amp;IF(AND(J86&lt;&gt;"",J86&lt;SG_Criteria!$B$40,C86&lt;&gt;"Inspection Chamber"),"NOTE: public sewer min dia "&amp;SG_Criteria!$B$40&amp;" mm. ","")&amp;IF(AND(R86&lt;&gt;"",R86&lt;SG_Criteria!$B$44),"FAIL: uplift FOS below "&amp;SG_Criteria!$B$44&amp;". ","")))</f>
        <v/>
      </c>
      <c r="AT86" s="9"/>
      <c r="AU86" s="9"/>
      <c r="AV86" s="9"/>
      <c r="AW86" s="9"/>
      <c r="AX86" s="9"/>
      <c r="AY86" s="31"/>
      <c r="AZ86" s="10" t="str">
        <f aca="false">IF(C86="","",IF(AND(AB86="Approved",ISERROR(SEARCH("FAIL",AS86))),"Y","N"))</f>
        <v/>
      </c>
      <c r="BA86" s="10" t="str">
        <f aca="false">IF(C86="","",C86&amp;"|"&amp;I86&amp;"|"&amp;F86&amp;"|"&amp;AZ86)</f>
        <v/>
      </c>
    </row>
    <row r="87" customFormat="false" ht="15" hidden="false" customHeight="false" outlineLevel="0" collapsed="false">
      <c r="A87" s="10" t="str">
        <f aca="false">IF(C87="","","MH-"&amp;IFERROR(VLOOKUP(C87,Lists!$AB$4:$AC$20,2,0),"??")&amp;"-"&amp;TEXT(F87,"0000")&amp;IF(E87="Circular","D","x"&amp;TEXT(G87,"0000"))&amp;"-D"&amp;TEXT(I87*1000,"0000")&amp;"-"&amp;IFERROR(VLOOKUP(D87,Lists!$AE$4:$AF$16,2,0),"??")&amp;"-"&amp;AA87)</f>
        <v/>
      </c>
      <c r="B87" s="10" t="str">
        <f aca="false">IF(C87="","",C87&amp;", "&amp;D87&amp;", "&amp;IF(E87="Circular",F87&amp;" dia",F87&amp;" x "&amp;G87)&amp;", depth "&amp;TEXT(H87,"0.0")&amp;"-"&amp;TEXT(I87,"0.0")&amp;" m, pipe up to "&amp;J87&amp;" dia")</f>
        <v/>
      </c>
      <c r="C87" s="9"/>
      <c r="D87" s="9"/>
      <c r="E87" s="9"/>
      <c r="F87" s="40"/>
      <c r="G87" s="40"/>
      <c r="H87" s="43"/>
      <c r="I87" s="43"/>
      <c r="J87" s="40"/>
      <c r="K87" s="40"/>
      <c r="L87" s="40"/>
      <c r="M87" s="40"/>
      <c r="N87" s="9"/>
      <c r="O87" s="9"/>
      <c r="P87" s="9"/>
      <c r="Q87" s="9"/>
      <c r="R87" s="41"/>
      <c r="S87" s="9"/>
      <c r="T87" s="40"/>
      <c r="U87" s="9"/>
      <c r="V87" s="9"/>
      <c r="W87" s="9"/>
      <c r="X87" s="9"/>
      <c r="Y87" s="9"/>
      <c r="Z87" s="9"/>
      <c r="AA87" s="9"/>
      <c r="AB87" s="9"/>
      <c r="AC87" s="9"/>
      <c r="AD87" s="9"/>
      <c r="AE87" s="9"/>
      <c r="AF87" s="10" t="str">
        <f aca="false">IF(A87="","",SG_Criteria!$B$6&amp;SG_Criteria!$B$10&amp;"\"&amp;A87&amp;"\")</f>
        <v/>
      </c>
      <c r="AG87" s="10" t="str">
        <f aca="false">IF(A87="","",A87&amp;"_CAD.dwg")</f>
        <v/>
      </c>
      <c r="AH87" s="10" t="str">
        <f aca="false">IF(A87="","",A87&amp;"_DWG.pdf")</f>
        <v/>
      </c>
      <c r="AI87" s="10" t="str">
        <f aca="false">IF(A87="","",IF(AE87="Y",A87&amp;"_STAAD.std","n/a"))</f>
        <v/>
      </c>
      <c r="AJ87" s="10" t="str">
        <f aca="false">IF(A87="","",A87&amp;"_CALC.xlsx")</f>
        <v/>
      </c>
      <c r="AK87" s="10" t="str">
        <f aca="false">IF(A87="","",A87&amp;"_CALC.pdf")</f>
        <v/>
      </c>
      <c r="AL87" s="9"/>
      <c r="AM87" s="9"/>
      <c r="AN87" s="41"/>
      <c r="AO87" s="41"/>
      <c r="AP87" s="41"/>
      <c r="AQ87" s="41"/>
      <c r="AR87" s="41"/>
      <c r="AS87" s="38" t="str">
        <f aca="false">IF(C87="","",IF(LEN(IF(AND(S87&lt;&gt;"",IFERROR(VALUE(MID(S87,2,2)),0)&lt;SG_Criteria!$B$19),"FAIL: grade below C"&amp;SG_Criteria!$B$19&amp;". ","")&amp;IF(AND(T87&lt;&gt;"",T87&lt;SG_Criteria!$B$20),"FAIL: cover &lt; "&amp;SG_Criteria!$B$20&amp;" mm. ","")&amp;IF(AND(H87&lt;&gt;"",H87&lt;SG_Criteria!$B$39),"NOTE: min depth below PUB "&amp;SG_Criteria!$B$39&amp;" m. ","")&amp;IF(AND(LEFT(C87,8)="Standard",I87&gt;SG_Criteria!$B$42),"FAIL: PUB 001C covers manholes up to "&amp;SG_Criteria!$B$42&amp;" m deep only. ","")&amp;IF(AND(LEFT(C87,11)="Rectangular",J87&lt;SG_Criteria!$B$43),"NOTE: 004C is for sewers &gt;= "&amp;SG_Criteria!$B$43&amp;" dia. ","")&amp;IF(AND(LEFT(C87,7)="Precast",I87&lt;=SG_Criteria!$B$42),"NOTE: 006C is for manholes &gt; "&amp;SG_Criteria!$B$42&amp;" m deep. ","")&amp;IF(AND(J87&lt;&gt;"",J87&lt;SG_Criteria!$B$40,C87&lt;&gt;"Inspection Chamber"),"NOTE: public sewer min dia "&amp;SG_Criteria!$B$40&amp;" mm. ","")&amp;IF(AND(R87&lt;&gt;"",R87&lt;SG_Criteria!$B$44),"FAIL: uplift FOS below "&amp;SG_Criteria!$B$44&amp;". ",""))=0,"OK",IF(AND(S87&lt;&gt;"",IFERROR(VALUE(MID(S87,2,2)),0)&lt;SG_Criteria!$B$19),"FAIL: grade below C"&amp;SG_Criteria!$B$19&amp;". ","")&amp;IF(AND(T87&lt;&gt;"",T87&lt;SG_Criteria!$B$20),"FAIL: cover &lt; "&amp;SG_Criteria!$B$20&amp;" mm. ","")&amp;IF(AND(H87&lt;&gt;"",H87&lt;SG_Criteria!$B$39),"NOTE: min depth below PUB "&amp;SG_Criteria!$B$39&amp;" m. ","")&amp;IF(AND(LEFT(C87,8)="Standard",I87&gt;SG_Criteria!$B$42),"FAIL: PUB 001C covers manholes up to "&amp;SG_Criteria!$B$42&amp;" m deep only. ","")&amp;IF(AND(LEFT(C87,11)="Rectangular",J87&lt;SG_Criteria!$B$43),"NOTE: 004C is for sewers &gt;= "&amp;SG_Criteria!$B$43&amp;" dia. ","")&amp;IF(AND(LEFT(C87,7)="Precast",I87&lt;=SG_Criteria!$B$42),"NOTE: 006C is for manholes &gt; "&amp;SG_Criteria!$B$42&amp;" m deep. ","")&amp;IF(AND(J87&lt;&gt;"",J87&lt;SG_Criteria!$B$40,C87&lt;&gt;"Inspection Chamber"),"NOTE: public sewer min dia "&amp;SG_Criteria!$B$40&amp;" mm. ","")&amp;IF(AND(R87&lt;&gt;"",R87&lt;SG_Criteria!$B$44),"FAIL: uplift FOS below "&amp;SG_Criteria!$B$44&amp;". ","")))</f>
        <v/>
      </c>
      <c r="AT87" s="9"/>
      <c r="AU87" s="9"/>
      <c r="AV87" s="9"/>
      <c r="AW87" s="9"/>
      <c r="AX87" s="9"/>
      <c r="AY87" s="31"/>
      <c r="AZ87" s="10" t="str">
        <f aca="false">IF(C87="","",IF(AND(AB87="Approved",ISERROR(SEARCH("FAIL",AS87))),"Y","N"))</f>
        <v/>
      </c>
      <c r="BA87" s="10" t="str">
        <f aca="false">IF(C87="","",C87&amp;"|"&amp;I87&amp;"|"&amp;F87&amp;"|"&amp;AZ87)</f>
        <v/>
      </c>
    </row>
    <row r="88" customFormat="false" ht="15" hidden="false" customHeight="false" outlineLevel="0" collapsed="false">
      <c r="A88" s="10" t="str">
        <f aca="false">IF(C88="","","MH-"&amp;IFERROR(VLOOKUP(C88,Lists!$AB$4:$AC$20,2,0),"??")&amp;"-"&amp;TEXT(F88,"0000")&amp;IF(E88="Circular","D","x"&amp;TEXT(G88,"0000"))&amp;"-D"&amp;TEXT(I88*1000,"0000")&amp;"-"&amp;IFERROR(VLOOKUP(D88,Lists!$AE$4:$AF$16,2,0),"??")&amp;"-"&amp;AA88)</f>
        <v/>
      </c>
      <c r="B88" s="10" t="str">
        <f aca="false">IF(C88="","",C88&amp;", "&amp;D88&amp;", "&amp;IF(E88="Circular",F88&amp;" dia",F88&amp;" x "&amp;G88)&amp;", depth "&amp;TEXT(H88,"0.0")&amp;"-"&amp;TEXT(I88,"0.0")&amp;" m, pipe up to "&amp;J88&amp;" dia")</f>
        <v/>
      </c>
      <c r="C88" s="9"/>
      <c r="D88" s="9"/>
      <c r="E88" s="9"/>
      <c r="F88" s="40"/>
      <c r="G88" s="40"/>
      <c r="H88" s="43"/>
      <c r="I88" s="43"/>
      <c r="J88" s="40"/>
      <c r="K88" s="40"/>
      <c r="L88" s="40"/>
      <c r="M88" s="40"/>
      <c r="N88" s="9"/>
      <c r="O88" s="9"/>
      <c r="P88" s="9"/>
      <c r="Q88" s="9"/>
      <c r="R88" s="41"/>
      <c r="S88" s="9"/>
      <c r="T88" s="40"/>
      <c r="U88" s="9"/>
      <c r="V88" s="9"/>
      <c r="W88" s="9"/>
      <c r="X88" s="9"/>
      <c r="Y88" s="9"/>
      <c r="Z88" s="9"/>
      <c r="AA88" s="9"/>
      <c r="AB88" s="9"/>
      <c r="AC88" s="9"/>
      <c r="AD88" s="9"/>
      <c r="AE88" s="9"/>
      <c r="AF88" s="10" t="str">
        <f aca="false">IF(A88="","",SG_Criteria!$B$6&amp;SG_Criteria!$B$10&amp;"\"&amp;A88&amp;"\")</f>
        <v/>
      </c>
      <c r="AG88" s="10" t="str">
        <f aca="false">IF(A88="","",A88&amp;"_CAD.dwg")</f>
        <v/>
      </c>
      <c r="AH88" s="10" t="str">
        <f aca="false">IF(A88="","",A88&amp;"_DWG.pdf")</f>
        <v/>
      </c>
      <c r="AI88" s="10" t="str">
        <f aca="false">IF(A88="","",IF(AE88="Y",A88&amp;"_STAAD.std","n/a"))</f>
        <v/>
      </c>
      <c r="AJ88" s="10" t="str">
        <f aca="false">IF(A88="","",A88&amp;"_CALC.xlsx")</f>
        <v/>
      </c>
      <c r="AK88" s="10" t="str">
        <f aca="false">IF(A88="","",A88&amp;"_CALC.pdf")</f>
        <v/>
      </c>
      <c r="AL88" s="9"/>
      <c r="AM88" s="9"/>
      <c r="AN88" s="41"/>
      <c r="AO88" s="41"/>
      <c r="AP88" s="41"/>
      <c r="AQ88" s="41"/>
      <c r="AR88" s="41"/>
      <c r="AS88" s="38" t="str">
        <f aca="false">IF(C88="","",IF(LEN(IF(AND(S88&lt;&gt;"",IFERROR(VALUE(MID(S88,2,2)),0)&lt;SG_Criteria!$B$19),"FAIL: grade below C"&amp;SG_Criteria!$B$19&amp;". ","")&amp;IF(AND(T88&lt;&gt;"",T88&lt;SG_Criteria!$B$20),"FAIL: cover &lt; "&amp;SG_Criteria!$B$20&amp;" mm. ","")&amp;IF(AND(H88&lt;&gt;"",H88&lt;SG_Criteria!$B$39),"NOTE: min depth below PUB "&amp;SG_Criteria!$B$39&amp;" m. ","")&amp;IF(AND(LEFT(C88,8)="Standard",I88&gt;SG_Criteria!$B$42),"FAIL: PUB 001C covers manholes up to "&amp;SG_Criteria!$B$42&amp;" m deep only. ","")&amp;IF(AND(LEFT(C88,11)="Rectangular",J88&lt;SG_Criteria!$B$43),"NOTE: 004C is for sewers &gt;= "&amp;SG_Criteria!$B$43&amp;" dia. ","")&amp;IF(AND(LEFT(C88,7)="Precast",I88&lt;=SG_Criteria!$B$42),"NOTE: 006C is for manholes &gt; "&amp;SG_Criteria!$B$42&amp;" m deep. ","")&amp;IF(AND(J88&lt;&gt;"",J88&lt;SG_Criteria!$B$40,C88&lt;&gt;"Inspection Chamber"),"NOTE: public sewer min dia "&amp;SG_Criteria!$B$40&amp;" mm. ","")&amp;IF(AND(R88&lt;&gt;"",R88&lt;SG_Criteria!$B$44),"FAIL: uplift FOS below "&amp;SG_Criteria!$B$44&amp;". ",""))=0,"OK",IF(AND(S88&lt;&gt;"",IFERROR(VALUE(MID(S88,2,2)),0)&lt;SG_Criteria!$B$19),"FAIL: grade below C"&amp;SG_Criteria!$B$19&amp;". ","")&amp;IF(AND(T88&lt;&gt;"",T88&lt;SG_Criteria!$B$20),"FAIL: cover &lt; "&amp;SG_Criteria!$B$20&amp;" mm. ","")&amp;IF(AND(H88&lt;&gt;"",H88&lt;SG_Criteria!$B$39),"NOTE: min depth below PUB "&amp;SG_Criteria!$B$39&amp;" m. ","")&amp;IF(AND(LEFT(C88,8)="Standard",I88&gt;SG_Criteria!$B$42),"FAIL: PUB 001C covers manholes up to "&amp;SG_Criteria!$B$42&amp;" m deep only. ","")&amp;IF(AND(LEFT(C88,11)="Rectangular",J88&lt;SG_Criteria!$B$43),"NOTE: 004C is for sewers &gt;= "&amp;SG_Criteria!$B$43&amp;" dia. ","")&amp;IF(AND(LEFT(C88,7)="Precast",I88&lt;=SG_Criteria!$B$42),"NOTE: 006C is for manholes &gt; "&amp;SG_Criteria!$B$42&amp;" m deep. ","")&amp;IF(AND(J88&lt;&gt;"",J88&lt;SG_Criteria!$B$40,C88&lt;&gt;"Inspection Chamber"),"NOTE: public sewer min dia "&amp;SG_Criteria!$B$40&amp;" mm. ","")&amp;IF(AND(R88&lt;&gt;"",R88&lt;SG_Criteria!$B$44),"FAIL: uplift FOS below "&amp;SG_Criteria!$B$44&amp;". ","")))</f>
        <v/>
      </c>
      <c r="AT88" s="9"/>
      <c r="AU88" s="9"/>
      <c r="AV88" s="9"/>
      <c r="AW88" s="9"/>
      <c r="AX88" s="9"/>
      <c r="AY88" s="31"/>
      <c r="AZ88" s="10" t="str">
        <f aca="false">IF(C88="","",IF(AND(AB88="Approved",ISERROR(SEARCH("FAIL",AS88))),"Y","N"))</f>
        <v/>
      </c>
      <c r="BA88" s="10" t="str">
        <f aca="false">IF(C88="","",C88&amp;"|"&amp;I88&amp;"|"&amp;F88&amp;"|"&amp;AZ88)</f>
        <v/>
      </c>
    </row>
    <row r="89" customFormat="false" ht="15" hidden="false" customHeight="false" outlineLevel="0" collapsed="false">
      <c r="A89" s="10" t="str">
        <f aca="false">IF(C89="","","MH-"&amp;IFERROR(VLOOKUP(C89,Lists!$AB$4:$AC$20,2,0),"??")&amp;"-"&amp;TEXT(F89,"0000")&amp;IF(E89="Circular","D","x"&amp;TEXT(G89,"0000"))&amp;"-D"&amp;TEXT(I89*1000,"0000")&amp;"-"&amp;IFERROR(VLOOKUP(D89,Lists!$AE$4:$AF$16,2,0),"??")&amp;"-"&amp;AA89)</f>
        <v/>
      </c>
      <c r="B89" s="10" t="str">
        <f aca="false">IF(C89="","",C89&amp;", "&amp;D89&amp;", "&amp;IF(E89="Circular",F89&amp;" dia",F89&amp;" x "&amp;G89)&amp;", depth "&amp;TEXT(H89,"0.0")&amp;"-"&amp;TEXT(I89,"0.0")&amp;" m, pipe up to "&amp;J89&amp;" dia")</f>
        <v/>
      </c>
      <c r="C89" s="9"/>
      <c r="D89" s="9"/>
      <c r="E89" s="9"/>
      <c r="F89" s="40"/>
      <c r="G89" s="40"/>
      <c r="H89" s="43"/>
      <c r="I89" s="43"/>
      <c r="J89" s="40"/>
      <c r="K89" s="40"/>
      <c r="L89" s="40"/>
      <c r="M89" s="40"/>
      <c r="N89" s="9"/>
      <c r="O89" s="9"/>
      <c r="P89" s="9"/>
      <c r="Q89" s="9"/>
      <c r="R89" s="41"/>
      <c r="S89" s="9"/>
      <c r="T89" s="40"/>
      <c r="U89" s="9"/>
      <c r="V89" s="9"/>
      <c r="W89" s="9"/>
      <c r="X89" s="9"/>
      <c r="Y89" s="9"/>
      <c r="Z89" s="9"/>
      <c r="AA89" s="9"/>
      <c r="AB89" s="9"/>
      <c r="AC89" s="9"/>
      <c r="AD89" s="9"/>
      <c r="AE89" s="9"/>
      <c r="AF89" s="10" t="str">
        <f aca="false">IF(A89="","",SG_Criteria!$B$6&amp;SG_Criteria!$B$10&amp;"\"&amp;A89&amp;"\")</f>
        <v/>
      </c>
      <c r="AG89" s="10" t="str">
        <f aca="false">IF(A89="","",A89&amp;"_CAD.dwg")</f>
        <v/>
      </c>
      <c r="AH89" s="10" t="str">
        <f aca="false">IF(A89="","",A89&amp;"_DWG.pdf")</f>
        <v/>
      </c>
      <c r="AI89" s="10" t="str">
        <f aca="false">IF(A89="","",IF(AE89="Y",A89&amp;"_STAAD.std","n/a"))</f>
        <v/>
      </c>
      <c r="AJ89" s="10" t="str">
        <f aca="false">IF(A89="","",A89&amp;"_CALC.xlsx")</f>
        <v/>
      </c>
      <c r="AK89" s="10" t="str">
        <f aca="false">IF(A89="","",A89&amp;"_CALC.pdf")</f>
        <v/>
      </c>
      <c r="AL89" s="9"/>
      <c r="AM89" s="9"/>
      <c r="AN89" s="41"/>
      <c r="AO89" s="41"/>
      <c r="AP89" s="41"/>
      <c r="AQ89" s="41"/>
      <c r="AR89" s="41"/>
      <c r="AS89" s="38" t="str">
        <f aca="false">IF(C89="","",IF(LEN(IF(AND(S89&lt;&gt;"",IFERROR(VALUE(MID(S89,2,2)),0)&lt;SG_Criteria!$B$19),"FAIL: grade below C"&amp;SG_Criteria!$B$19&amp;". ","")&amp;IF(AND(T89&lt;&gt;"",T89&lt;SG_Criteria!$B$20),"FAIL: cover &lt; "&amp;SG_Criteria!$B$20&amp;" mm. ","")&amp;IF(AND(H89&lt;&gt;"",H89&lt;SG_Criteria!$B$39),"NOTE: min depth below PUB "&amp;SG_Criteria!$B$39&amp;" m. ","")&amp;IF(AND(LEFT(C89,8)="Standard",I89&gt;SG_Criteria!$B$42),"FAIL: PUB 001C covers manholes up to "&amp;SG_Criteria!$B$42&amp;" m deep only. ","")&amp;IF(AND(LEFT(C89,11)="Rectangular",J89&lt;SG_Criteria!$B$43),"NOTE: 004C is for sewers &gt;= "&amp;SG_Criteria!$B$43&amp;" dia. ","")&amp;IF(AND(LEFT(C89,7)="Precast",I89&lt;=SG_Criteria!$B$42),"NOTE: 006C is for manholes &gt; "&amp;SG_Criteria!$B$42&amp;" m deep. ","")&amp;IF(AND(J89&lt;&gt;"",J89&lt;SG_Criteria!$B$40,C89&lt;&gt;"Inspection Chamber"),"NOTE: public sewer min dia "&amp;SG_Criteria!$B$40&amp;" mm. ","")&amp;IF(AND(R89&lt;&gt;"",R89&lt;SG_Criteria!$B$44),"FAIL: uplift FOS below "&amp;SG_Criteria!$B$44&amp;". ",""))=0,"OK",IF(AND(S89&lt;&gt;"",IFERROR(VALUE(MID(S89,2,2)),0)&lt;SG_Criteria!$B$19),"FAIL: grade below C"&amp;SG_Criteria!$B$19&amp;". ","")&amp;IF(AND(T89&lt;&gt;"",T89&lt;SG_Criteria!$B$20),"FAIL: cover &lt; "&amp;SG_Criteria!$B$20&amp;" mm. ","")&amp;IF(AND(H89&lt;&gt;"",H89&lt;SG_Criteria!$B$39),"NOTE: min depth below PUB "&amp;SG_Criteria!$B$39&amp;" m. ","")&amp;IF(AND(LEFT(C89,8)="Standard",I89&gt;SG_Criteria!$B$42),"FAIL: PUB 001C covers manholes up to "&amp;SG_Criteria!$B$42&amp;" m deep only. ","")&amp;IF(AND(LEFT(C89,11)="Rectangular",J89&lt;SG_Criteria!$B$43),"NOTE: 004C is for sewers &gt;= "&amp;SG_Criteria!$B$43&amp;" dia. ","")&amp;IF(AND(LEFT(C89,7)="Precast",I89&lt;=SG_Criteria!$B$42),"NOTE: 006C is for manholes &gt; "&amp;SG_Criteria!$B$42&amp;" m deep. ","")&amp;IF(AND(J89&lt;&gt;"",J89&lt;SG_Criteria!$B$40,C89&lt;&gt;"Inspection Chamber"),"NOTE: public sewer min dia "&amp;SG_Criteria!$B$40&amp;" mm. ","")&amp;IF(AND(R89&lt;&gt;"",R89&lt;SG_Criteria!$B$44),"FAIL: uplift FOS below "&amp;SG_Criteria!$B$44&amp;". ","")))</f>
        <v/>
      </c>
      <c r="AT89" s="9"/>
      <c r="AU89" s="9"/>
      <c r="AV89" s="9"/>
      <c r="AW89" s="9"/>
      <c r="AX89" s="9"/>
      <c r="AY89" s="31"/>
      <c r="AZ89" s="10" t="str">
        <f aca="false">IF(C89="","",IF(AND(AB89="Approved",ISERROR(SEARCH("FAIL",AS89))),"Y","N"))</f>
        <v/>
      </c>
      <c r="BA89" s="10" t="str">
        <f aca="false">IF(C89="","",C89&amp;"|"&amp;I89&amp;"|"&amp;F89&amp;"|"&amp;AZ89)</f>
        <v/>
      </c>
    </row>
    <row r="90" customFormat="false" ht="15" hidden="false" customHeight="false" outlineLevel="0" collapsed="false">
      <c r="A90" s="10" t="str">
        <f aca="false">IF(C90="","","MH-"&amp;IFERROR(VLOOKUP(C90,Lists!$AB$4:$AC$20,2,0),"??")&amp;"-"&amp;TEXT(F90,"0000")&amp;IF(E90="Circular","D","x"&amp;TEXT(G90,"0000"))&amp;"-D"&amp;TEXT(I90*1000,"0000")&amp;"-"&amp;IFERROR(VLOOKUP(D90,Lists!$AE$4:$AF$16,2,0),"??")&amp;"-"&amp;AA90)</f>
        <v/>
      </c>
      <c r="B90" s="10" t="str">
        <f aca="false">IF(C90="","",C90&amp;", "&amp;D90&amp;", "&amp;IF(E90="Circular",F90&amp;" dia",F90&amp;" x "&amp;G90)&amp;", depth "&amp;TEXT(H90,"0.0")&amp;"-"&amp;TEXT(I90,"0.0")&amp;" m, pipe up to "&amp;J90&amp;" dia")</f>
        <v/>
      </c>
      <c r="C90" s="9"/>
      <c r="D90" s="9"/>
      <c r="E90" s="9"/>
      <c r="F90" s="40"/>
      <c r="G90" s="40"/>
      <c r="H90" s="43"/>
      <c r="I90" s="43"/>
      <c r="J90" s="40"/>
      <c r="K90" s="40"/>
      <c r="L90" s="40"/>
      <c r="M90" s="40"/>
      <c r="N90" s="9"/>
      <c r="O90" s="9"/>
      <c r="P90" s="9"/>
      <c r="Q90" s="9"/>
      <c r="R90" s="41"/>
      <c r="S90" s="9"/>
      <c r="T90" s="40"/>
      <c r="U90" s="9"/>
      <c r="V90" s="9"/>
      <c r="W90" s="9"/>
      <c r="X90" s="9"/>
      <c r="Y90" s="9"/>
      <c r="Z90" s="9"/>
      <c r="AA90" s="9"/>
      <c r="AB90" s="9"/>
      <c r="AC90" s="9"/>
      <c r="AD90" s="9"/>
      <c r="AE90" s="9"/>
      <c r="AF90" s="10" t="str">
        <f aca="false">IF(A90="","",SG_Criteria!$B$6&amp;SG_Criteria!$B$10&amp;"\"&amp;A90&amp;"\")</f>
        <v/>
      </c>
      <c r="AG90" s="10" t="str">
        <f aca="false">IF(A90="","",A90&amp;"_CAD.dwg")</f>
        <v/>
      </c>
      <c r="AH90" s="10" t="str">
        <f aca="false">IF(A90="","",A90&amp;"_DWG.pdf")</f>
        <v/>
      </c>
      <c r="AI90" s="10" t="str">
        <f aca="false">IF(A90="","",IF(AE90="Y",A90&amp;"_STAAD.std","n/a"))</f>
        <v/>
      </c>
      <c r="AJ90" s="10" t="str">
        <f aca="false">IF(A90="","",A90&amp;"_CALC.xlsx")</f>
        <v/>
      </c>
      <c r="AK90" s="10" t="str">
        <f aca="false">IF(A90="","",A90&amp;"_CALC.pdf")</f>
        <v/>
      </c>
      <c r="AL90" s="9"/>
      <c r="AM90" s="9"/>
      <c r="AN90" s="41"/>
      <c r="AO90" s="41"/>
      <c r="AP90" s="41"/>
      <c r="AQ90" s="41"/>
      <c r="AR90" s="41"/>
      <c r="AS90" s="38" t="str">
        <f aca="false">IF(C90="","",IF(LEN(IF(AND(S90&lt;&gt;"",IFERROR(VALUE(MID(S90,2,2)),0)&lt;SG_Criteria!$B$19),"FAIL: grade below C"&amp;SG_Criteria!$B$19&amp;". ","")&amp;IF(AND(T90&lt;&gt;"",T90&lt;SG_Criteria!$B$20),"FAIL: cover &lt; "&amp;SG_Criteria!$B$20&amp;" mm. ","")&amp;IF(AND(H90&lt;&gt;"",H90&lt;SG_Criteria!$B$39),"NOTE: min depth below PUB "&amp;SG_Criteria!$B$39&amp;" m. ","")&amp;IF(AND(LEFT(C90,8)="Standard",I90&gt;SG_Criteria!$B$42),"FAIL: PUB 001C covers manholes up to "&amp;SG_Criteria!$B$42&amp;" m deep only. ","")&amp;IF(AND(LEFT(C90,11)="Rectangular",J90&lt;SG_Criteria!$B$43),"NOTE: 004C is for sewers &gt;= "&amp;SG_Criteria!$B$43&amp;" dia. ","")&amp;IF(AND(LEFT(C90,7)="Precast",I90&lt;=SG_Criteria!$B$42),"NOTE: 006C is for manholes &gt; "&amp;SG_Criteria!$B$42&amp;" m deep. ","")&amp;IF(AND(J90&lt;&gt;"",J90&lt;SG_Criteria!$B$40,C90&lt;&gt;"Inspection Chamber"),"NOTE: public sewer min dia "&amp;SG_Criteria!$B$40&amp;" mm. ","")&amp;IF(AND(R90&lt;&gt;"",R90&lt;SG_Criteria!$B$44),"FAIL: uplift FOS below "&amp;SG_Criteria!$B$44&amp;". ",""))=0,"OK",IF(AND(S90&lt;&gt;"",IFERROR(VALUE(MID(S90,2,2)),0)&lt;SG_Criteria!$B$19),"FAIL: grade below C"&amp;SG_Criteria!$B$19&amp;". ","")&amp;IF(AND(T90&lt;&gt;"",T90&lt;SG_Criteria!$B$20),"FAIL: cover &lt; "&amp;SG_Criteria!$B$20&amp;" mm. ","")&amp;IF(AND(H90&lt;&gt;"",H90&lt;SG_Criteria!$B$39),"NOTE: min depth below PUB "&amp;SG_Criteria!$B$39&amp;" m. ","")&amp;IF(AND(LEFT(C90,8)="Standard",I90&gt;SG_Criteria!$B$42),"FAIL: PUB 001C covers manholes up to "&amp;SG_Criteria!$B$42&amp;" m deep only. ","")&amp;IF(AND(LEFT(C90,11)="Rectangular",J90&lt;SG_Criteria!$B$43),"NOTE: 004C is for sewers &gt;= "&amp;SG_Criteria!$B$43&amp;" dia. ","")&amp;IF(AND(LEFT(C90,7)="Precast",I90&lt;=SG_Criteria!$B$42),"NOTE: 006C is for manholes &gt; "&amp;SG_Criteria!$B$42&amp;" m deep. ","")&amp;IF(AND(J90&lt;&gt;"",J90&lt;SG_Criteria!$B$40,C90&lt;&gt;"Inspection Chamber"),"NOTE: public sewer min dia "&amp;SG_Criteria!$B$40&amp;" mm. ","")&amp;IF(AND(R90&lt;&gt;"",R90&lt;SG_Criteria!$B$44),"FAIL: uplift FOS below "&amp;SG_Criteria!$B$44&amp;". ","")))</f>
        <v/>
      </c>
      <c r="AT90" s="9"/>
      <c r="AU90" s="9"/>
      <c r="AV90" s="9"/>
      <c r="AW90" s="9"/>
      <c r="AX90" s="9"/>
      <c r="AY90" s="31"/>
      <c r="AZ90" s="10" t="str">
        <f aca="false">IF(C90="","",IF(AND(AB90="Approved",ISERROR(SEARCH("FAIL",AS90))),"Y","N"))</f>
        <v/>
      </c>
      <c r="BA90" s="10" t="str">
        <f aca="false">IF(C90="","",C90&amp;"|"&amp;I90&amp;"|"&amp;F90&amp;"|"&amp;AZ90)</f>
        <v/>
      </c>
    </row>
    <row r="91" customFormat="false" ht="15" hidden="false" customHeight="false" outlineLevel="0" collapsed="false">
      <c r="A91" s="10" t="str">
        <f aca="false">IF(C91="","","MH-"&amp;IFERROR(VLOOKUP(C91,Lists!$AB$4:$AC$20,2,0),"??")&amp;"-"&amp;TEXT(F91,"0000")&amp;IF(E91="Circular","D","x"&amp;TEXT(G91,"0000"))&amp;"-D"&amp;TEXT(I91*1000,"0000")&amp;"-"&amp;IFERROR(VLOOKUP(D91,Lists!$AE$4:$AF$16,2,0),"??")&amp;"-"&amp;AA91)</f>
        <v/>
      </c>
      <c r="B91" s="10" t="str">
        <f aca="false">IF(C91="","",C91&amp;", "&amp;D91&amp;", "&amp;IF(E91="Circular",F91&amp;" dia",F91&amp;" x "&amp;G91)&amp;", depth "&amp;TEXT(H91,"0.0")&amp;"-"&amp;TEXT(I91,"0.0")&amp;" m, pipe up to "&amp;J91&amp;" dia")</f>
        <v/>
      </c>
      <c r="C91" s="9"/>
      <c r="D91" s="9"/>
      <c r="E91" s="9"/>
      <c r="F91" s="40"/>
      <c r="G91" s="40"/>
      <c r="H91" s="43"/>
      <c r="I91" s="43"/>
      <c r="J91" s="40"/>
      <c r="K91" s="40"/>
      <c r="L91" s="40"/>
      <c r="M91" s="40"/>
      <c r="N91" s="9"/>
      <c r="O91" s="9"/>
      <c r="P91" s="9"/>
      <c r="Q91" s="9"/>
      <c r="R91" s="41"/>
      <c r="S91" s="9"/>
      <c r="T91" s="40"/>
      <c r="U91" s="9"/>
      <c r="V91" s="9"/>
      <c r="W91" s="9"/>
      <c r="X91" s="9"/>
      <c r="Y91" s="9"/>
      <c r="Z91" s="9"/>
      <c r="AA91" s="9"/>
      <c r="AB91" s="9"/>
      <c r="AC91" s="9"/>
      <c r="AD91" s="9"/>
      <c r="AE91" s="9"/>
      <c r="AF91" s="10" t="str">
        <f aca="false">IF(A91="","",SG_Criteria!$B$6&amp;SG_Criteria!$B$10&amp;"\"&amp;A91&amp;"\")</f>
        <v/>
      </c>
      <c r="AG91" s="10" t="str">
        <f aca="false">IF(A91="","",A91&amp;"_CAD.dwg")</f>
        <v/>
      </c>
      <c r="AH91" s="10" t="str">
        <f aca="false">IF(A91="","",A91&amp;"_DWG.pdf")</f>
        <v/>
      </c>
      <c r="AI91" s="10" t="str">
        <f aca="false">IF(A91="","",IF(AE91="Y",A91&amp;"_STAAD.std","n/a"))</f>
        <v/>
      </c>
      <c r="AJ91" s="10" t="str">
        <f aca="false">IF(A91="","",A91&amp;"_CALC.xlsx")</f>
        <v/>
      </c>
      <c r="AK91" s="10" t="str">
        <f aca="false">IF(A91="","",A91&amp;"_CALC.pdf")</f>
        <v/>
      </c>
      <c r="AL91" s="9"/>
      <c r="AM91" s="9"/>
      <c r="AN91" s="41"/>
      <c r="AO91" s="41"/>
      <c r="AP91" s="41"/>
      <c r="AQ91" s="41"/>
      <c r="AR91" s="41"/>
      <c r="AS91" s="38" t="str">
        <f aca="false">IF(C91="","",IF(LEN(IF(AND(S91&lt;&gt;"",IFERROR(VALUE(MID(S91,2,2)),0)&lt;SG_Criteria!$B$19),"FAIL: grade below C"&amp;SG_Criteria!$B$19&amp;". ","")&amp;IF(AND(T91&lt;&gt;"",T91&lt;SG_Criteria!$B$20),"FAIL: cover &lt; "&amp;SG_Criteria!$B$20&amp;" mm. ","")&amp;IF(AND(H91&lt;&gt;"",H91&lt;SG_Criteria!$B$39),"NOTE: min depth below PUB "&amp;SG_Criteria!$B$39&amp;" m. ","")&amp;IF(AND(LEFT(C91,8)="Standard",I91&gt;SG_Criteria!$B$42),"FAIL: PUB 001C covers manholes up to "&amp;SG_Criteria!$B$42&amp;" m deep only. ","")&amp;IF(AND(LEFT(C91,11)="Rectangular",J91&lt;SG_Criteria!$B$43),"NOTE: 004C is for sewers &gt;= "&amp;SG_Criteria!$B$43&amp;" dia. ","")&amp;IF(AND(LEFT(C91,7)="Precast",I91&lt;=SG_Criteria!$B$42),"NOTE: 006C is for manholes &gt; "&amp;SG_Criteria!$B$42&amp;" m deep. ","")&amp;IF(AND(J91&lt;&gt;"",J91&lt;SG_Criteria!$B$40,C91&lt;&gt;"Inspection Chamber"),"NOTE: public sewer min dia "&amp;SG_Criteria!$B$40&amp;" mm. ","")&amp;IF(AND(R91&lt;&gt;"",R91&lt;SG_Criteria!$B$44),"FAIL: uplift FOS below "&amp;SG_Criteria!$B$44&amp;". ",""))=0,"OK",IF(AND(S91&lt;&gt;"",IFERROR(VALUE(MID(S91,2,2)),0)&lt;SG_Criteria!$B$19),"FAIL: grade below C"&amp;SG_Criteria!$B$19&amp;". ","")&amp;IF(AND(T91&lt;&gt;"",T91&lt;SG_Criteria!$B$20),"FAIL: cover &lt; "&amp;SG_Criteria!$B$20&amp;" mm. ","")&amp;IF(AND(H91&lt;&gt;"",H91&lt;SG_Criteria!$B$39),"NOTE: min depth below PUB "&amp;SG_Criteria!$B$39&amp;" m. ","")&amp;IF(AND(LEFT(C91,8)="Standard",I91&gt;SG_Criteria!$B$42),"FAIL: PUB 001C covers manholes up to "&amp;SG_Criteria!$B$42&amp;" m deep only. ","")&amp;IF(AND(LEFT(C91,11)="Rectangular",J91&lt;SG_Criteria!$B$43),"NOTE: 004C is for sewers &gt;= "&amp;SG_Criteria!$B$43&amp;" dia. ","")&amp;IF(AND(LEFT(C91,7)="Precast",I91&lt;=SG_Criteria!$B$42),"NOTE: 006C is for manholes &gt; "&amp;SG_Criteria!$B$42&amp;" m deep. ","")&amp;IF(AND(J91&lt;&gt;"",J91&lt;SG_Criteria!$B$40,C91&lt;&gt;"Inspection Chamber"),"NOTE: public sewer min dia "&amp;SG_Criteria!$B$40&amp;" mm. ","")&amp;IF(AND(R91&lt;&gt;"",R91&lt;SG_Criteria!$B$44),"FAIL: uplift FOS below "&amp;SG_Criteria!$B$44&amp;". ","")))</f>
        <v/>
      </c>
      <c r="AT91" s="9"/>
      <c r="AU91" s="9"/>
      <c r="AV91" s="9"/>
      <c r="AW91" s="9"/>
      <c r="AX91" s="9"/>
      <c r="AY91" s="31"/>
      <c r="AZ91" s="10" t="str">
        <f aca="false">IF(C91="","",IF(AND(AB91="Approved",ISERROR(SEARCH("FAIL",AS91))),"Y","N"))</f>
        <v/>
      </c>
      <c r="BA91" s="10" t="str">
        <f aca="false">IF(C91="","",C91&amp;"|"&amp;I91&amp;"|"&amp;F91&amp;"|"&amp;AZ91)</f>
        <v/>
      </c>
    </row>
    <row r="92" customFormat="false" ht="15" hidden="false" customHeight="false" outlineLevel="0" collapsed="false">
      <c r="A92" s="10" t="str">
        <f aca="false">IF(C92="","","MH-"&amp;IFERROR(VLOOKUP(C92,Lists!$AB$4:$AC$20,2,0),"??")&amp;"-"&amp;TEXT(F92,"0000")&amp;IF(E92="Circular","D","x"&amp;TEXT(G92,"0000"))&amp;"-D"&amp;TEXT(I92*1000,"0000")&amp;"-"&amp;IFERROR(VLOOKUP(D92,Lists!$AE$4:$AF$16,2,0),"??")&amp;"-"&amp;AA92)</f>
        <v/>
      </c>
      <c r="B92" s="10" t="str">
        <f aca="false">IF(C92="","",C92&amp;", "&amp;D92&amp;", "&amp;IF(E92="Circular",F92&amp;" dia",F92&amp;" x "&amp;G92)&amp;", depth "&amp;TEXT(H92,"0.0")&amp;"-"&amp;TEXT(I92,"0.0")&amp;" m, pipe up to "&amp;J92&amp;" dia")</f>
        <v/>
      </c>
      <c r="C92" s="9"/>
      <c r="D92" s="9"/>
      <c r="E92" s="9"/>
      <c r="F92" s="40"/>
      <c r="G92" s="40"/>
      <c r="H92" s="43"/>
      <c r="I92" s="43"/>
      <c r="J92" s="40"/>
      <c r="K92" s="40"/>
      <c r="L92" s="40"/>
      <c r="M92" s="40"/>
      <c r="N92" s="9"/>
      <c r="O92" s="9"/>
      <c r="P92" s="9"/>
      <c r="Q92" s="9"/>
      <c r="R92" s="41"/>
      <c r="S92" s="9"/>
      <c r="T92" s="40"/>
      <c r="U92" s="9"/>
      <c r="V92" s="9"/>
      <c r="W92" s="9"/>
      <c r="X92" s="9"/>
      <c r="Y92" s="9"/>
      <c r="Z92" s="9"/>
      <c r="AA92" s="9"/>
      <c r="AB92" s="9"/>
      <c r="AC92" s="9"/>
      <c r="AD92" s="9"/>
      <c r="AE92" s="9"/>
      <c r="AF92" s="10" t="str">
        <f aca="false">IF(A92="","",SG_Criteria!$B$6&amp;SG_Criteria!$B$10&amp;"\"&amp;A92&amp;"\")</f>
        <v/>
      </c>
      <c r="AG92" s="10" t="str">
        <f aca="false">IF(A92="","",A92&amp;"_CAD.dwg")</f>
        <v/>
      </c>
      <c r="AH92" s="10" t="str">
        <f aca="false">IF(A92="","",A92&amp;"_DWG.pdf")</f>
        <v/>
      </c>
      <c r="AI92" s="10" t="str">
        <f aca="false">IF(A92="","",IF(AE92="Y",A92&amp;"_STAAD.std","n/a"))</f>
        <v/>
      </c>
      <c r="AJ92" s="10" t="str">
        <f aca="false">IF(A92="","",A92&amp;"_CALC.xlsx")</f>
        <v/>
      </c>
      <c r="AK92" s="10" t="str">
        <f aca="false">IF(A92="","",A92&amp;"_CALC.pdf")</f>
        <v/>
      </c>
      <c r="AL92" s="9"/>
      <c r="AM92" s="9"/>
      <c r="AN92" s="41"/>
      <c r="AO92" s="41"/>
      <c r="AP92" s="41"/>
      <c r="AQ92" s="41"/>
      <c r="AR92" s="41"/>
      <c r="AS92" s="38" t="str">
        <f aca="false">IF(C92="","",IF(LEN(IF(AND(S92&lt;&gt;"",IFERROR(VALUE(MID(S92,2,2)),0)&lt;SG_Criteria!$B$19),"FAIL: grade below C"&amp;SG_Criteria!$B$19&amp;". ","")&amp;IF(AND(T92&lt;&gt;"",T92&lt;SG_Criteria!$B$20),"FAIL: cover &lt; "&amp;SG_Criteria!$B$20&amp;" mm. ","")&amp;IF(AND(H92&lt;&gt;"",H92&lt;SG_Criteria!$B$39),"NOTE: min depth below PUB "&amp;SG_Criteria!$B$39&amp;" m. ","")&amp;IF(AND(LEFT(C92,8)="Standard",I92&gt;SG_Criteria!$B$42),"FAIL: PUB 001C covers manholes up to "&amp;SG_Criteria!$B$42&amp;" m deep only. ","")&amp;IF(AND(LEFT(C92,11)="Rectangular",J92&lt;SG_Criteria!$B$43),"NOTE: 004C is for sewers &gt;= "&amp;SG_Criteria!$B$43&amp;" dia. ","")&amp;IF(AND(LEFT(C92,7)="Precast",I92&lt;=SG_Criteria!$B$42),"NOTE: 006C is for manholes &gt; "&amp;SG_Criteria!$B$42&amp;" m deep. ","")&amp;IF(AND(J92&lt;&gt;"",J92&lt;SG_Criteria!$B$40,C92&lt;&gt;"Inspection Chamber"),"NOTE: public sewer min dia "&amp;SG_Criteria!$B$40&amp;" mm. ","")&amp;IF(AND(R92&lt;&gt;"",R92&lt;SG_Criteria!$B$44),"FAIL: uplift FOS below "&amp;SG_Criteria!$B$44&amp;". ",""))=0,"OK",IF(AND(S92&lt;&gt;"",IFERROR(VALUE(MID(S92,2,2)),0)&lt;SG_Criteria!$B$19),"FAIL: grade below C"&amp;SG_Criteria!$B$19&amp;". ","")&amp;IF(AND(T92&lt;&gt;"",T92&lt;SG_Criteria!$B$20),"FAIL: cover &lt; "&amp;SG_Criteria!$B$20&amp;" mm. ","")&amp;IF(AND(H92&lt;&gt;"",H92&lt;SG_Criteria!$B$39),"NOTE: min depth below PUB "&amp;SG_Criteria!$B$39&amp;" m. ","")&amp;IF(AND(LEFT(C92,8)="Standard",I92&gt;SG_Criteria!$B$42),"FAIL: PUB 001C covers manholes up to "&amp;SG_Criteria!$B$42&amp;" m deep only. ","")&amp;IF(AND(LEFT(C92,11)="Rectangular",J92&lt;SG_Criteria!$B$43),"NOTE: 004C is for sewers &gt;= "&amp;SG_Criteria!$B$43&amp;" dia. ","")&amp;IF(AND(LEFT(C92,7)="Precast",I92&lt;=SG_Criteria!$B$42),"NOTE: 006C is for manholes &gt; "&amp;SG_Criteria!$B$42&amp;" m deep. ","")&amp;IF(AND(J92&lt;&gt;"",J92&lt;SG_Criteria!$B$40,C92&lt;&gt;"Inspection Chamber"),"NOTE: public sewer min dia "&amp;SG_Criteria!$B$40&amp;" mm. ","")&amp;IF(AND(R92&lt;&gt;"",R92&lt;SG_Criteria!$B$44),"FAIL: uplift FOS below "&amp;SG_Criteria!$B$44&amp;". ","")))</f>
        <v/>
      </c>
      <c r="AT92" s="9"/>
      <c r="AU92" s="9"/>
      <c r="AV92" s="9"/>
      <c r="AW92" s="9"/>
      <c r="AX92" s="9"/>
      <c r="AY92" s="31"/>
      <c r="AZ92" s="10" t="str">
        <f aca="false">IF(C92="","",IF(AND(AB92="Approved",ISERROR(SEARCH("FAIL",AS92))),"Y","N"))</f>
        <v/>
      </c>
      <c r="BA92" s="10" t="str">
        <f aca="false">IF(C92="","",C92&amp;"|"&amp;I92&amp;"|"&amp;F92&amp;"|"&amp;AZ92)</f>
        <v/>
      </c>
    </row>
    <row r="93" customFormat="false" ht="15" hidden="false" customHeight="false" outlineLevel="0" collapsed="false">
      <c r="A93" s="10" t="str">
        <f aca="false">IF(C93="","","MH-"&amp;IFERROR(VLOOKUP(C93,Lists!$AB$4:$AC$20,2,0),"??")&amp;"-"&amp;TEXT(F93,"0000")&amp;IF(E93="Circular","D","x"&amp;TEXT(G93,"0000"))&amp;"-D"&amp;TEXT(I93*1000,"0000")&amp;"-"&amp;IFERROR(VLOOKUP(D93,Lists!$AE$4:$AF$16,2,0),"??")&amp;"-"&amp;AA93)</f>
        <v/>
      </c>
      <c r="B93" s="10" t="str">
        <f aca="false">IF(C93="","",C93&amp;", "&amp;D93&amp;", "&amp;IF(E93="Circular",F93&amp;" dia",F93&amp;" x "&amp;G93)&amp;", depth "&amp;TEXT(H93,"0.0")&amp;"-"&amp;TEXT(I93,"0.0")&amp;" m, pipe up to "&amp;J93&amp;" dia")</f>
        <v/>
      </c>
      <c r="C93" s="9"/>
      <c r="D93" s="9"/>
      <c r="E93" s="9"/>
      <c r="F93" s="40"/>
      <c r="G93" s="40"/>
      <c r="H93" s="43"/>
      <c r="I93" s="43"/>
      <c r="J93" s="40"/>
      <c r="K93" s="40"/>
      <c r="L93" s="40"/>
      <c r="M93" s="40"/>
      <c r="N93" s="9"/>
      <c r="O93" s="9"/>
      <c r="P93" s="9"/>
      <c r="Q93" s="9"/>
      <c r="R93" s="41"/>
      <c r="S93" s="9"/>
      <c r="T93" s="40"/>
      <c r="U93" s="9"/>
      <c r="V93" s="9"/>
      <c r="W93" s="9"/>
      <c r="X93" s="9"/>
      <c r="Y93" s="9"/>
      <c r="Z93" s="9"/>
      <c r="AA93" s="9"/>
      <c r="AB93" s="9"/>
      <c r="AC93" s="9"/>
      <c r="AD93" s="9"/>
      <c r="AE93" s="9"/>
      <c r="AF93" s="10" t="str">
        <f aca="false">IF(A93="","",SG_Criteria!$B$6&amp;SG_Criteria!$B$10&amp;"\"&amp;A93&amp;"\")</f>
        <v/>
      </c>
      <c r="AG93" s="10" t="str">
        <f aca="false">IF(A93="","",A93&amp;"_CAD.dwg")</f>
        <v/>
      </c>
      <c r="AH93" s="10" t="str">
        <f aca="false">IF(A93="","",A93&amp;"_DWG.pdf")</f>
        <v/>
      </c>
      <c r="AI93" s="10" t="str">
        <f aca="false">IF(A93="","",IF(AE93="Y",A93&amp;"_STAAD.std","n/a"))</f>
        <v/>
      </c>
      <c r="AJ93" s="10" t="str">
        <f aca="false">IF(A93="","",A93&amp;"_CALC.xlsx")</f>
        <v/>
      </c>
      <c r="AK93" s="10" t="str">
        <f aca="false">IF(A93="","",A93&amp;"_CALC.pdf")</f>
        <v/>
      </c>
      <c r="AL93" s="9"/>
      <c r="AM93" s="9"/>
      <c r="AN93" s="41"/>
      <c r="AO93" s="41"/>
      <c r="AP93" s="41"/>
      <c r="AQ93" s="41"/>
      <c r="AR93" s="41"/>
      <c r="AS93" s="38" t="str">
        <f aca="false">IF(C93="","",IF(LEN(IF(AND(S93&lt;&gt;"",IFERROR(VALUE(MID(S93,2,2)),0)&lt;SG_Criteria!$B$19),"FAIL: grade below C"&amp;SG_Criteria!$B$19&amp;". ","")&amp;IF(AND(T93&lt;&gt;"",T93&lt;SG_Criteria!$B$20),"FAIL: cover &lt; "&amp;SG_Criteria!$B$20&amp;" mm. ","")&amp;IF(AND(H93&lt;&gt;"",H93&lt;SG_Criteria!$B$39),"NOTE: min depth below PUB "&amp;SG_Criteria!$B$39&amp;" m. ","")&amp;IF(AND(LEFT(C93,8)="Standard",I93&gt;SG_Criteria!$B$42),"FAIL: PUB 001C covers manholes up to "&amp;SG_Criteria!$B$42&amp;" m deep only. ","")&amp;IF(AND(LEFT(C93,11)="Rectangular",J93&lt;SG_Criteria!$B$43),"NOTE: 004C is for sewers &gt;= "&amp;SG_Criteria!$B$43&amp;" dia. ","")&amp;IF(AND(LEFT(C93,7)="Precast",I93&lt;=SG_Criteria!$B$42),"NOTE: 006C is for manholes &gt; "&amp;SG_Criteria!$B$42&amp;" m deep. ","")&amp;IF(AND(J93&lt;&gt;"",J93&lt;SG_Criteria!$B$40,C93&lt;&gt;"Inspection Chamber"),"NOTE: public sewer min dia "&amp;SG_Criteria!$B$40&amp;" mm. ","")&amp;IF(AND(R93&lt;&gt;"",R93&lt;SG_Criteria!$B$44),"FAIL: uplift FOS below "&amp;SG_Criteria!$B$44&amp;". ",""))=0,"OK",IF(AND(S93&lt;&gt;"",IFERROR(VALUE(MID(S93,2,2)),0)&lt;SG_Criteria!$B$19),"FAIL: grade below C"&amp;SG_Criteria!$B$19&amp;". ","")&amp;IF(AND(T93&lt;&gt;"",T93&lt;SG_Criteria!$B$20),"FAIL: cover &lt; "&amp;SG_Criteria!$B$20&amp;" mm. ","")&amp;IF(AND(H93&lt;&gt;"",H93&lt;SG_Criteria!$B$39),"NOTE: min depth below PUB "&amp;SG_Criteria!$B$39&amp;" m. ","")&amp;IF(AND(LEFT(C93,8)="Standard",I93&gt;SG_Criteria!$B$42),"FAIL: PUB 001C covers manholes up to "&amp;SG_Criteria!$B$42&amp;" m deep only. ","")&amp;IF(AND(LEFT(C93,11)="Rectangular",J93&lt;SG_Criteria!$B$43),"NOTE: 004C is for sewers &gt;= "&amp;SG_Criteria!$B$43&amp;" dia. ","")&amp;IF(AND(LEFT(C93,7)="Precast",I93&lt;=SG_Criteria!$B$42),"NOTE: 006C is for manholes &gt; "&amp;SG_Criteria!$B$42&amp;" m deep. ","")&amp;IF(AND(J93&lt;&gt;"",J93&lt;SG_Criteria!$B$40,C93&lt;&gt;"Inspection Chamber"),"NOTE: public sewer min dia "&amp;SG_Criteria!$B$40&amp;" mm. ","")&amp;IF(AND(R93&lt;&gt;"",R93&lt;SG_Criteria!$B$44),"FAIL: uplift FOS below "&amp;SG_Criteria!$B$44&amp;". ","")))</f>
        <v/>
      </c>
      <c r="AT93" s="9"/>
      <c r="AU93" s="9"/>
      <c r="AV93" s="9"/>
      <c r="AW93" s="9"/>
      <c r="AX93" s="9"/>
      <c r="AY93" s="31"/>
      <c r="AZ93" s="10" t="str">
        <f aca="false">IF(C93="","",IF(AND(AB93="Approved",ISERROR(SEARCH("FAIL",AS93))),"Y","N"))</f>
        <v/>
      </c>
      <c r="BA93" s="10" t="str">
        <f aca="false">IF(C93="","",C93&amp;"|"&amp;I93&amp;"|"&amp;F93&amp;"|"&amp;AZ93)</f>
        <v/>
      </c>
    </row>
    <row r="94" customFormat="false" ht="15" hidden="false" customHeight="false" outlineLevel="0" collapsed="false">
      <c r="A94" s="10" t="str">
        <f aca="false">IF(C94="","","MH-"&amp;IFERROR(VLOOKUP(C94,Lists!$AB$4:$AC$20,2,0),"??")&amp;"-"&amp;TEXT(F94,"0000")&amp;IF(E94="Circular","D","x"&amp;TEXT(G94,"0000"))&amp;"-D"&amp;TEXT(I94*1000,"0000")&amp;"-"&amp;IFERROR(VLOOKUP(D94,Lists!$AE$4:$AF$16,2,0),"??")&amp;"-"&amp;AA94)</f>
        <v/>
      </c>
      <c r="B94" s="10" t="str">
        <f aca="false">IF(C94="","",C94&amp;", "&amp;D94&amp;", "&amp;IF(E94="Circular",F94&amp;" dia",F94&amp;" x "&amp;G94)&amp;", depth "&amp;TEXT(H94,"0.0")&amp;"-"&amp;TEXT(I94,"0.0")&amp;" m, pipe up to "&amp;J94&amp;" dia")</f>
        <v/>
      </c>
      <c r="C94" s="9"/>
      <c r="D94" s="9"/>
      <c r="E94" s="9"/>
      <c r="F94" s="40"/>
      <c r="G94" s="40"/>
      <c r="H94" s="43"/>
      <c r="I94" s="43"/>
      <c r="J94" s="40"/>
      <c r="K94" s="40"/>
      <c r="L94" s="40"/>
      <c r="M94" s="40"/>
      <c r="N94" s="9"/>
      <c r="O94" s="9"/>
      <c r="P94" s="9"/>
      <c r="Q94" s="9"/>
      <c r="R94" s="41"/>
      <c r="S94" s="9"/>
      <c r="T94" s="40"/>
      <c r="U94" s="9"/>
      <c r="V94" s="9"/>
      <c r="W94" s="9"/>
      <c r="X94" s="9"/>
      <c r="Y94" s="9"/>
      <c r="Z94" s="9"/>
      <c r="AA94" s="9"/>
      <c r="AB94" s="9"/>
      <c r="AC94" s="9"/>
      <c r="AD94" s="9"/>
      <c r="AE94" s="9"/>
      <c r="AF94" s="10" t="str">
        <f aca="false">IF(A94="","",SG_Criteria!$B$6&amp;SG_Criteria!$B$10&amp;"\"&amp;A94&amp;"\")</f>
        <v/>
      </c>
      <c r="AG94" s="10" t="str">
        <f aca="false">IF(A94="","",A94&amp;"_CAD.dwg")</f>
        <v/>
      </c>
      <c r="AH94" s="10" t="str">
        <f aca="false">IF(A94="","",A94&amp;"_DWG.pdf")</f>
        <v/>
      </c>
      <c r="AI94" s="10" t="str">
        <f aca="false">IF(A94="","",IF(AE94="Y",A94&amp;"_STAAD.std","n/a"))</f>
        <v/>
      </c>
      <c r="AJ94" s="10" t="str">
        <f aca="false">IF(A94="","",A94&amp;"_CALC.xlsx")</f>
        <v/>
      </c>
      <c r="AK94" s="10" t="str">
        <f aca="false">IF(A94="","",A94&amp;"_CALC.pdf")</f>
        <v/>
      </c>
      <c r="AL94" s="9"/>
      <c r="AM94" s="9"/>
      <c r="AN94" s="41"/>
      <c r="AO94" s="41"/>
      <c r="AP94" s="41"/>
      <c r="AQ94" s="41"/>
      <c r="AR94" s="41"/>
      <c r="AS94" s="38" t="str">
        <f aca="false">IF(C94="","",IF(LEN(IF(AND(S94&lt;&gt;"",IFERROR(VALUE(MID(S94,2,2)),0)&lt;SG_Criteria!$B$19),"FAIL: grade below C"&amp;SG_Criteria!$B$19&amp;". ","")&amp;IF(AND(T94&lt;&gt;"",T94&lt;SG_Criteria!$B$20),"FAIL: cover &lt; "&amp;SG_Criteria!$B$20&amp;" mm. ","")&amp;IF(AND(H94&lt;&gt;"",H94&lt;SG_Criteria!$B$39),"NOTE: min depth below PUB "&amp;SG_Criteria!$B$39&amp;" m. ","")&amp;IF(AND(LEFT(C94,8)="Standard",I94&gt;SG_Criteria!$B$42),"FAIL: PUB 001C covers manholes up to "&amp;SG_Criteria!$B$42&amp;" m deep only. ","")&amp;IF(AND(LEFT(C94,11)="Rectangular",J94&lt;SG_Criteria!$B$43),"NOTE: 004C is for sewers &gt;= "&amp;SG_Criteria!$B$43&amp;" dia. ","")&amp;IF(AND(LEFT(C94,7)="Precast",I94&lt;=SG_Criteria!$B$42),"NOTE: 006C is for manholes &gt; "&amp;SG_Criteria!$B$42&amp;" m deep. ","")&amp;IF(AND(J94&lt;&gt;"",J94&lt;SG_Criteria!$B$40,C94&lt;&gt;"Inspection Chamber"),"NOTE: public sewer min dia "&amp;SG_Criteria!$B$40&amp;" mm. ","")&amp;IF(AND(R94&lt;&gt;"",R94&lt;SG_Criteria!$B$44),"FAIL: uplift FOS below "&amp;SG_Criteria!$B$44&amp;". ",""))=0,"OK",IF(AND(S94&lt;&gt;"",IFERROR(VALUE(MID(S94,2,2)),0)&lt;SG_Criteria!$B$19),"FAIL: grade below C"&amp;SG_Criteria!$B$19&amp;". ","")&amp;IF(AND(T94&lt;&gt;"",T94&lt;SG_Criteria!$B$20),"FAIL: cover &lt; "&amp;SG_Criteria!$B$20&amp;" mm. ","")&amp;IF(AND(H94&lt;&gt;"",H94&lt;SG_Criteria!$B$39),"NOTE: min depth below PUB "&amp;SG_Criteria!$B$39&amp;" m. ","")&amp;IF(AND(LEFT(C94,8)="Standard",I94&gt;SG_Criteria!$B$42),"FAIL: PUB 001C covers manholes up to "&amp;SG_Criteria!$B$42&amp;" m deep only. ","")&amp;IF(AND(LEFT(C94,11)="Rectangular",J94&lt;SG_Criteria!$B$43),"NOTE: 004C is for sewers &gt;= "&amp;SG_Criteria!$B$43&amp;" dia. ","")&amp;IF(AND(LEFT(C94,7)="Precast",I94&lt;=SG_Criteria!$B$42),"NOTE: 006C is for manholes &gt; "&amp;SG_Criteria!$B$42&amp;" m deep. ","")&amp;IF(AND(J94&lt;&gt;"",J94&lt;SG_Criteria!$B$40,C94&lt;&gt;"Inspection Chamber"),"NOTE: public sewer min dia "&amp;SG_Criteria!$B$40&amp;" mm. ","")&amp;IF(AND(R94&lt;&gt;"",R94&lt;SG_Criteria!$B$44),"FAIL: uplift FOS below "&amp;SG_Criteria!$B$44&amp;". ","")))</f>
        <v/>
      </c>
      <c r="AT94" s="9"/>
      <c r="AU94" s="9"/>
      <c r="AV94" s="9"/>
      <c r="AW94" s="9"/>
      <c r="AX94" s="9"/>
      <c r="AY94" s="31"/>
      <c r="AZ94" s="10" t="str">
        <f aca="false">IF(C94="","",IF(AND(AB94="Approved",ISERROR(SEARCH("FAIL",AS94))),"Y","N"))</f>
        <v/>
      </c>
      <c r="BA94" s="10" t="str">
        <f aca="false">IF(C94="","",C94&amp;"|"&amp;I94&amp;"|"&amp;F94&amp;"|"&amp;AZ94)</f>
        <v/>
      </c>
    </row>
    <row r="95" customFormat="false" ht="15" hidden="false" customHeight="false" outlineLevel="0" collapsed="false">
      <c r="A95" s="10" t="str">
        <f aca="false">IF(C95="","","MH-"&amp;IFERROR(VLOOKUP(C95,Lists!$AB$4:$AC$20,2,0),"??")&amp;"-"&amp;TEXT(F95,"0000")&amp;IF(E95="Circular","D","x"&amp;TEXT(G95,"0000"))&amp;"-D"&amp;TEXT(I95*1000,"0000")&amp;"-"&amp;IFERROR(VLOOKUP(D95,Lists!$AE$4:$AF$16,2,0),"??")&amp;"-"&amp;AA95)</f>
        <v/>
      </c>
      <c r="B95" s="10" t="str">
        <f aca="false">IF(C95="","",C95&amp;", "&amp;D95&amp;", "&amp;IF(E95="Circular",F95&amp;" dia",F95&amp;" x "&amp;G95)&amp;", depth "&amp;TEXT(H95,"0.0")&amp;"-"&amp;TEXT(I95,"0.0")&amp;" m, pipe up to "&amp;J95&amp;" dia")</f>
        <v/>
      </c>
      <c r="C95" s="9"/>
      <c r="D95" s="9"/>
      <c r="E95" s="9"/>
      <c r="F95" s="40"/>
      <c r="G95" s="40"/>
      <c r="H95" s="43"/>
      <c r="I95" s="43"/>
      <c r="J95" s="40"/>
      <c r="K95" s="40"/>
      <c r="L95" s="40"/>
      <c r="M95" s="40"/>
      <c r="N95" s="9"/>
      <c r="O95" s="9"/>
      <c r="P95" s="9"/>
      <c r="Q95" s="9"/>
      <c r="R95" s="41"/>
      <c r="S95" s="9"/>
      <c r="T95" s="40"/>
      <c r="U95" s="9"/>
      <c r="V95" s="9"/>
      <c r="W95" s="9"/>
      <c r="X95" s="9"/>
      <c r="Y95" s="9"/>
      <c r="Z95" s="9"/>
      <c r="AA95" s="9"/>
      <c r="AB95" s="9"/>
      <c r="AC95" s="9"/>
      <c r="AD95" s="9"/>
      <c r="AE95" s="9"/>
      <c r="AF95" s="10" t="str">
        <f aca="false">IF(A95="","",SG_Criteria!$B$6&amp;SG_Criteria!$B$10&amp;"\"&amp;A95&amp;"\")</f>
        <v/>
      </c>
      <c r="AG95" s="10" t="str">
        <f aca="false">IF(A95="","",A95&amp;"_CAD.dwg")</f>
        <v/>
      </c>
      <c r="AH95" s="10" t="str">
        <f aca="false">IF(A95="","",A95&amp;"_DWG.pdf")</f>
        <v/>
      </c>
      <c r="AI95" s="10" t="str">
        <f aca="false">IF(A95="","",IF(AE95="Y",A95&amp;"_STAAD.std","n/a"))</f>
        <v/>
      </c>
      <c r="AJ95" s="10" t="str">
        <f aca="false">IF(A95="","",A95&amp;"_CALC.xlsx")</f>
        <v/>
      </c>
      <c r="AK95" s="10" t="str">
        <f aca="false">IF(A95="","",A95&amp;"_CALC.pdf")</f>
        <v/>
      </c>
      <c r="AL95" s="9"/>
      <c r="AM95" s="9"/>
      <c r="AN95" s="41"/>
      <c r="AO95" s="41"/>
      <c r="AP95" s="41"/>
      <c r="AQ95" s="41"/>
      <c r="AR95" s="41"/>
      <c r="AS95" s="38" t="str">
        <f aca="false">IF(C95="","",IF(LEN(IF(AND(S95&lt;&gt;"",IFERROR(VALUE(MID(S95,2,2)),0)&lt;SG_Criteria!$B$19),"FAIL: grade below C"&amp;SG_Criteria!$B$19&amp;". ","")&amp;IF(AND(T95&lt;&gt;"",T95&lt;SG_Criteria!$B$20),"FAIL: cover &lt; "&amp;SG_Criteria!$B$20&amp;" mm. ","")&amp;IF(AND(H95&lt;&gt;"",H95&lt;SG_Criteria!$B$39),"NOTE: min depth below PUB "&amp;SG_Criteria!$B$39&amp;" m. ","")&amp;IF(AND(LEFT(C95,8)="Standard",I95&gt;SG_Criteria!$B$42),"FAIL: PUB 001C covers manholes up to "&amp;SG_Criteria!$B$42&amp;" m deep only. ","")&amp;IF(AND(LEFT(C95,11)="Rectangular",J95&lt;SG_Criteria!$B$43),"NOTE: 004C is for sewers &gt;= "&amp;SG_Criteria!$B$43&amp;" dia. ","")&amp;IF(AND(LEFT(C95,7)="Precast",I95&lt;=SG_Criteria!$B$42),"NOTE: 006C is for manholes &gt; "&amp;SG_Criteria!$B$42&amp;" m deep. ","")&amp;IF(AND(J95&lt;&gt;"",J95&lt;SG_Criteria!$B$40,C95&lt;&gt;"Inspection Chamber"),"NOTE: public sewer min dia "&amp;SG_Criteria!$B$40&amp;" mm. ","")&amp;IF(AND(R95&lt;&gt;"",R95&lt;SG_Criteria!$B$44),"FAIL: uplift FOS below "&amp;SG_Criteria!$B$44&amp;". ",""))=0,"OK",IF(AND(S95&lt;&gt;"",IFERROR(VALUE(MID(S95,2,2)),0)&lt;SG_Criteria!$B$19),"FAIL: grade below C"&amp;SG_Criteria!$B$19&amp;". ","")&amp;IF(AND(T95&lt;&gt;"",T95&lt;SG_Criteria!$B$20),"FAIL: cover &lt; "&amp;SG_Criteria!$B$20&amp;" mm. ","")&amp;IF(AND(H95&lt;&gt;"",H95&lt;SG_Criteria!$B$39),"NOTE: min depth below PUB "&amp;SG_Criteria!$B$39&amp;" m. ","")&amp;IF(AND(LEFT(C95,8)="Standard",I95&gt;SG_Criteria!$B$42),"FAIL: PUB 001C covers manholes up to "&amp;SG_Criteria!$B$42&amp;" m deep only. ","")&amp;IF(AND(LEFT(C95,11)="Rectangular",J95&lt;SG_Criteria!$B$43),"NOTE: 004C is for sewers &gt;= "&amp;SG_Criteria!$B$43&amp;" dia. ","")&amp;IF(AND(LEFT(C95,7)="Precast",I95&lt;=SG_Criteria!$B$42),"NOTE: 006C is for manholes &gt; "&amp;SG_Criteria!$B$42&amp;" m deep. ","")&amp;IF(AND(J95&lt;&gt;"",J95&lt;SG_Criteria!$B$40,C95&lt;&gt;"Inspection Chamber"),"NOTE: public sewer min dia "&amp;SG_Criteria!$B$40&amp;" mm. ","")&amp;IF(AND(R95&lt;&gt;"",R95&lt;SG_Criteria!$B$44),"FAIL: uplift FOS below "&amp;SG_Criteria!$B$44&amp;". ","")))</f>
        <v/>
      </c>
      <c r="AT95" s="9"/>
      <c r="AU95" s="9"/>
      <c r="AV95" s="9"/>
      <c r="AW95" s="9"/>
      <c r="AX95" s="9"/>
      <c r="AY95" s="31"/>
      <c r="AZ95" s="10" t="str">
        <f aca="false">IF(C95="","",IF(AND(AB95="Approved",ISERROR(SEARCH("FAIL",AS95))),"Y","N"))</f>
        <v/>
      </c>
      <c r="BA95" s="10" t="str">
        <f aca="false">IF(C95="","",C95&amp;"|"&amp;I95&amp;"|"&amp;F95&amp;"|"&amp;AZ95)</f>
        <v/>
      </c>
    </row>
    <row r="96" customFormat="false" ht="15" hidden="false" customHeight="false" outlineLevel="0" collapsed="false">
      <c r="A96" s="10" t="str">
        <f aca="false">IF(C96="","","MH-"&amp;IFERROR(VLOOKUP(C96,Lists!$AB$4:$AC$20,2,0),"??")&amp;"-"&amp;TEXT(F96,"0000")&amp;IF(E96="Circular","D","x"&amp;TEXT(G96,"0000"))&amp;"-D"&amp;TEXT(I96*1000,"0000")&amp;"-"&amp;IFERROR(VLOOKUP(D96,Lists!$AE$4:$AF$16,2,0),"??")&amp;"-"&amp;AA96)</f>
        <v/>
      </c>
      <c r="B96" s="10" t="str">
        <f aca="false">IF(C96="","",C96&amp;", "&amp;D96&amp;", "&amp;IF(E96="Circular",F96&amp;" dia",F96&amp;" x "&amp;G96)&amp;", depth "&amp;TEXT(H96,"0.0")&amp;"-"&amp;TEXT(I96,"0.0")&amp;" m, pipe up to "&amp;J96&amp;" dia")</f>
        <v/>
      </c>
      <c r="C96" s="9"/>
      <c r="D96" s="9"/>
      <c r="E96" s="9"/>
      <c r="F96" s="40"/>
      <c r="G96" s="40"/>
      <c r="H96" s="43"/>
      <c r="I96" s="43"/>
      <c r="J96" s="40"/>
      <c r="K96" s="40"/>
      <c r="L96" s="40"/>
      <c r="M96" s="40"/>
      <c r="N96" s="9"/>
      <c r="O96" s="9"/>
      <c r="P96" s="9"/>
      <c r="Q96" s="9"/>
      <c r="R96" s="41"/>
      <c r="S96" s="9"/>
      <c r="T96" s="40"/>
      <c r="U96" s="9"/>
      <c r="V96" s="9"/>
      <c r="W96" s="9"/>
      <c r="X96" s="9"/>
      <c r="Y96" s="9"/>
      <c r="Z96" s="9"/>
      <c r="AA96" s="9"/>
      <c r="AB96" s="9"/>
      <c r="AC96" s="9"/>
      <c r="AD96" s="9"/>
      <c r="AE96" s="9"/>
      <c r="AF96" s="10" t="str">
        <f aca="false">IF(A96="","",SG_Criteria!$B$6&amp;SG_Criteria!$B$10&amp;"\"&amp;A96&amp;"\")</f>
        <v/>
      </c>
      <c r="AG96" s="10" t="str">
        <f aca="false">IF(A96="","",A96&amp;"_CAD.dwg")</f>
        <v/>
      </c>
      <c r="AH96" s="10" t="str">
        <f aca="false">IF(A96="","",A96&amp;"_DWG.pdf")</f>
        <v/>
      </c>
      <c r="AI96" s="10" t="str">
        <f aca="false">IF(A96="","",IF(AE96="Y",A96&amp;"_STAAD.std","n/a"))</f>
        <v/>
      </c>
      <c r="AJ96" s="10" t="str">
        <f aca="false">IF(A96="","",A96&amp;"_CALC.xlsx")</f>
        <v/>
      </c>
      <c r="AK96" s="10" t="str">
        <f aca="false">IF(A96="","",A96&amp;"_CALC.pdf")</f>
        <v/>
      </c>
      <c r="AL96" s="9"/>
      <c r="AM96" s="9"/>
      <c r="AN96" s="41"/>
      <c r="AO96" s="41"/>
      <c r="AP96" s="41"/>
      <c r="AQ96" s="41"/>
      <c r="AR96" s="41"/>
      <c r="AS96" s="38" t="str">
        <f aca="false">IF(C96="","",IF(LEN(IF(AND(S96&lt;&gt;"",IFERROR(VALUE(MID(S96,2,2)),0)&lt;SG_Criteria!$B$19),"FAIL: grade below C"&amp;SG_Criteria!$B$19&amp;". ","")&amp;IF(AND(T96&lt;&gt;"",T96&lt;SG_Criteria!$B$20),"FAIL: cover &lt; "&amp;SG_Criteria!$B$20&amp;" mm. ","")&amp;IF(AND(H96&lt;&gt;"",H96&lt;SG_Criteria!$B$39),"NOTE: min depth below PUB "&amp;SG_Criteria!$B$39&amp;" m. ","")&amp;IF(AND(LEFT(C96,8)="Standard",I96&gt;SG_Criteria!$B$42),"FAIL: PUB 001C covers manholes up to "&amp;SG_Criteria!$B$42&amp;" m deep only. ","")&amp;IF(AND(LEFT(C96,11)="Rectangular",J96&lt;SG_Criteria!$B$43),"NOTE: 004C is for sewers &gt;= "&amp;SG_Criteria!$B$43&amp;" dia. ","")&amp;IF(AND(LEFT(C96,7)="Precast",I96&lt;=SG_Criteria!$B$42),"NOTE: 006C is for manholes &gt; "&amp;SG_Criteria!$B$42&amp;" m deep. ","")&amp;IF(AND(J96&lt;&gt;"",J96&lt;SG_Criteria!$B$40,C96&lt;&gt;"Inspection Chamber"),"NOTE: public sewer min dia "&amp;SG_Criteria!$B$40&amp;" mm. ","")&amp;IF(AND(R96&lt;&gt;"",R96&lt;SG_Criteria!$B$44),"FAIL: uplift FOS below "&amp;SG_Criteria!$B$44&amp;". ",""))=0,"OK",IF(AND(S96&lt;&gt;"",IFERROR(VALUE(MID(S96,2,2)),0)&lt;SG_Criteria!$B$19),"FAIL: grade below C"&amp;SG_Criteria!$B$19&amp;". ","")&amp;IF(AND(T96&lt;&gt;"",T96&lt;SG_Criteria!$B$20),"FAIL: cover &lt; "&amp;SG_Criteria!$B$20&amp;" mm. ","")&amp;IF(AND(H96&lt;&gt;"",H96&lt;SG_Criteria!$B$39),"NOTE: min depth below PUB "&amp;SG_Criteria!$B$39&amp;" m. ","")&amp;IF(AND(LEFT(C96,8)="Standard",I96&gt;SG_Criteria!$B$42),"FAIL: PUB 001C covers manholes up to "&amp;SG_Criteria!$B$42&amp;" m deep only. ","")&amp;IF(AND(LEFT(C96,11)="Rectangular",J96&lt;SG_Criteria!$B$43),"NOTE: 004C is for sewers &gt;= "&amp;SG_Criteria!$B$43&amp;" dia. ","")&amp;IF(AND(LEFT(C96,7)="Precast",I96&lt;=SG_Criteria!$B$42),"NOTE: 006C is for manholes &gt; "&amp;SG_Criteria!$B$42&amp;" m deep. ","")&amp;IF(AND(J96&lt;&gt;"",J96&lt;SG_Criteria!$B$40,C96&lt;&gt;"Inspection Chamber"),"NOTE: public sewer min dia "&amp;SG_Criteria!$B$40&amp;" mm. ","")&amp;IF(AND(R96&lt;&gt;"",R96&lt;SG_Criteria!$B$44),"FAIL: uplift FOS below "&amp;SG_Criteria!$B$44&amp;". ","")))</f>
        <v/>
      </c>
      <c r="AT96" s="9"/>
      <c r="AU96" s="9"/>
      <c r="AV96" s="9"/>
      <c r="AW96" s="9"/>
      <c r="AX96" s="9"/>
      <c r="AY96" s="31"/>
      <c r="AZ96" s="10" t="str">
        <f aca="false">IF(C96="","",IF(AND(AB96="Approved",ISERROR(SEARCH("FAIL",AS96))),"Y","N"))</f>
        <v/>
      </c>
      <c r="BA96" s="10" t="str">
        <f aca="false">IF(C96="","",C96&amp;"|"&amp;I96&amp;"|"&amp;F96&amp;"|"&amp;AZ96)</f>
        <v/>
      </c>
    </row>
    <row r="97" customFormat="false" ht="15" hidden="false" customHeight="false" outlineLevel="0" collapsed="false">
      <c r="A97" s="10" t="str">
        <f aca="false">IF(C97="","","MH-"&amp;IFERROR(VLOOKUP(C97,Lists!$AB$4:$AC$20,2,0),"??")&amp;"-"&amp;TEXT(F97,"0000")&amp;IF(E97="Circular","D","x"&amp;TEXT(G97,"0000"))&amp;"-D"&amp;TEXT(I97*1000,"0000")&amp;"-"&amp;IFERROR(VLOOKUP(D97,Lists!$AE$4:$AF$16,2,0),"??")&amp;"-"&amp;AA97)</f>
        <v/>
      </c>
      <c r="B97" s="10" t="str">
        <f aca="false">IF(C97="","",C97&amp;", "&amp;D97&amp;", "&amp;IF(E97="Circular",F97&amp;" dia",F97&amp;" x "&amp;G97)&amp;", depth "&amp;TEXT(H97,"0.0")&amp;"-"&amp;TEXT(I97,"0.0")&amp;" m, pipe up to "&amp;J97&amp;" dia")</f>
        <v/>
      </c>
      <c r="C97" s="9"/>
      <c r="D97" s="9"/>
      <c r="E97" s="9"/>
      <c r="F97" s="40"/>
      <c r="G97" s="40"/>
      <c r="H97" s="43"/>
      <c r="I97" s="43"/>
      <c r="J97" s="40"/>
      <c r="K97" s="40"/>
      <c r="L97" s="40"/>
      <c r="M97" s="40"/>
      <c r="N97" s="9"/>
      <c r="O97" s="9"/>
      <c r="P97" s="9"/>
      <c r="Q97" s="9"/>
      <c r="R97" s="41"/>
      <c r="S97" s="9"/>
      <c r="T97" s="40"/>
      <c r="U97" s="9"/>
      <c r="V97" s="9"/>
      <c r="W97" s="9"/>
      <c r="X97" s="9"/>
      <c r="Y97" s="9"/>
      <c r="Z97" s="9"/>
      <c r="AA97" s="9"/>
      <c r="AB97" s="9"/>
      <c r="AC97" s="9"/>
      <c r="AD97" s="9"/>
      <c r="AE97" s="9"/>
      <c r="AF97" s="10" t="str">
        <f aca="false">IF(A97="","",SG_Criteria!$B$6&amp;SG_Criteria!$B$10&amp;"\"&amp;A97&amp;"\")</f>
        <v/>
      </c>
      <c r="AG97" s="10" t="str">
        <f aca="false">IF(A97="","",A97&amp;"_CAD.dwg")</f>
        <v/>
      </c>
      <c r="AH97" s="10" t="str">
        <f aca="false">IF(A97="","",A97&amp;"_DWG.pdf")</f>
        <v/>
      </c>
      <c r="AI97" s="10" t="str">
        <f aca="false">IF(A97="","",IF(AE97="Y",A97&amp;"_STAAD.std","n/a"))</f>
        <v/>
      </c>
      <c r="AJ97" s="10" t="str">
        <f aca="false">IF(A97="","",A97&amp;"_CALC.xlsx")</f>
        <v/>
      </c>
      <c r="AK97" s="10" t="str">
        <f aca="false">IF(A97="","",A97&amp;"_CALC.pdf")</f>
        <v/>
      </c>
      <c r="AL97" s="9"/>
      <c r="AM97" s="9"/>
      <c r="AN97" s="41"/>
      <c r="AO97" s="41"/>
      <c r="AP97" s="41"/>
      <c r="AQ97" s="41"/>
      <c r="AR97" s="41"/>
      <c r="AS97" s="38" t="str">
        <f aca="false">IF(C97="","",IF(LEN(IF(AND(S97&lt;&gt;"",IFERROR(VALUE(MID(S97,2,2)),0)&lt;SG_Criteria!$B$19),"FAIL: grade below C"&amp;SG_Criteria!$B$19&amp;". ","")&amp;IF(AND(T97&lt;&gt;"",T97&lt;SG_Criteria!$B$20),"FAIL: cover &lt; "&amp;SG_Criteria!$B$20&amp;" mm. ","")&amp;IF(AND(H97&lt;&gt;"",H97&lt;SG_Criteria!$B$39),"NOTE: min depth below PUB "&amp;SG_Criteria!$B$39&amp;" m. ","")&amp;IF(AND(LEFT(C97,8)="Standard",I97&gt;SG_Criteria!$B$42),"FAIL: PUB 001C covers manholes up to "&amp;SG_Criteria!$B$42&amp;" m deep only. ","")&amp;IF(AND(LEFT(C97,11)="Rectangular",J97&lt;SG_Criteria!$B$43),"NOTE: 004C is for sewers &gt;= "&amp;SG_Criteria!$B$43&amp;" dia. ","")&amp;IF(AND(LEFT(C97,7)="Precast",I97&lt;=SG_Criteria!$B$42),"NOTE: 006C is for manholes &gt; "&amp;SG_Criteria!$B$42&amp;" m deep. ","")&amp;IF(AND(J97&lt;&gt;"",J97&lt;SG_Criteria!$B$40,C97&lt;&gt;"Inspection Chamber"),"NOTE: public sewer min dia "&amp;SG_Criteria!$B$40&amp;" mm. ","")&amp;IF(AND(R97&lt;&gt;"",R97&lt;SG_Criteria!$B$44),"FAIL: uplift FOS below "&amp;SG_Criteria!$B$44&amp;". ",""))=0,"OK",IF(AND(S97&lt;&gt;"",IFERROR(VALUE(MID(S97,2,2)),0)&lt;SG_Criteria!$B$19),"FAIL: grade below C"&amp;SG_Criteria!$B$19&amp;". ","")&amp;IF(AND(T97&lt;&gt;"",T97&lt;SG_Criteria!$B$20),"FAIL: cover &lt; "&amp;SG_Criteria!$B$20&amp;" mm. ","")&amp;IF(AND(H97&lt;&gt;"",H97&lt;SG_Criteria!$B$39),"NOTE: min depth below PUB "&amp;SG_Criteria!$B$39&amp;" m. ","")&amp;IF(AND(LEFT(C97,8)="Standard",I97&gt;SG_Criteria!$B$42),"FAIL: PUB 001C covers manholes up to "&amp;SG_Criteria!$B$42&amp;" m deep only. ","")&amp;IF(AND(LEFT(C97,11)="Rectangular",J97&lt;SG_Criteria!$B$43),"NOTE: 004C is for sewers &gt;= "&amp;SG_Criteria!$B$43&amp;" dia. ","")&amp;IF(AND(LEFT(C97,7)="Precast",I97&lt;=SG_Criteria!$B$42),"NOTE: 006C is for manholes &gt; "&amp;SG_Criteria!$B$42&amp;" m deep. ","")&amp;IF(AND(J97&lt;&gt;"",J97&lt;SG_Criteria!$B$40,C97&lt;&gt;"Inspection Chamber"),"NOTE: public sewer min dia "&amp;SG_Criteria!$B$40&amp;" mm. ","")&amp;IF(AND(R97&lt;&gt;"",R97&lt;SG_Criteria!$B$44),"FAIL: uplift FOS below "&amp;SG_Criteria!$B$44&amp;". ","")))</f>
        <v/>
      </c>
      <c r="AT97" s="9"/>
      <c r="AU97" s="9"/>
      <c r="AV97" s="9"/>
      <c r="AW97" s="9"/>
      <c r="AX97" s="9"/>
      <c r="AY97" s="31"/>
      <c r="AZ97" s="10" t="str">
        <f aca="false">IF(C97="","",IF(AND(AB97="Approved",ISERROR(SEARCH("FAIL",AS97))),"Y","N"))</f>
        <v/>
      </c>
      <c r="BA97" s="10" t="str">
        <f aca="false">IF(C97="","",C97&amp;"|"&amp;I97&amp;"|"&amp;F97&amp;"|"&amp;AZ97)</f>
        <v/>
      </c>
    </row>
    <row r="98" customFormat="false" ht="15" hidden="false" customHeight="false" outlineLevel="0" collapsed="false">
      <c r="A98" s="10" t="str">
        <f aca="false">IF(C98="","","MH-"&amp;IFERROR(VLOOKUP(C98,Lists!$AB$4:$AC$20,2,0),"??")&amp;"-"&amp;TEXT(F98,"0000")&amp;IF(E98="Circular","D","x"&amp;TEXT(G98,"0000"))&amp;"-D"&amp;TEXT(I98*1000,"0000")&amp;"-"&amp;IFERROR(VLOOKUP(D98,Lists!$AE$4:$AF$16,2,0),"??")&amp;"-"&amp;AA98)</f>
        <v/>
      </c>
      <c r="B98" s="10" t="str">
        <f aca="false">IF(C98="","",C98&amp;", "&amp;D98&amp;", "&amp;IF(E98="Circular",F98&amp;" dia",F98&amp;" x "&amp;G98)&amp;", depth "&amp;TEXT(H98,"0.0")&amp;"-"&amp;TEXT(I98,"0.0")&amp;" m, pipe up to "&amp;J98&amp;" dia")</f>
        <v/>
      </c>
      <c r="C98" s="9"/>
      <c r="D98" s="9"/>
      <c r="E98" s="9"/>
      <c r="F98" s="40"/>
      <c r="G98" s="40"/>
      <c r="H98" s="43"/>
      <c r="I98" s="43"/>
      <c r="J98" s="40"/>
      <c r="K98" s="40"/>
      <c r="L98" s="40"/>
      <c r="M98" s="40"/>
      <c r="N98" s="9"/>
      <c r="O98" s="9"/>
      <c r="P98" s="9"/>
      <c r="Q98" s="9"/>
      <c r="R98" s="41"/>
      <c r="S98" s="9"/>
      <c r="T98" s="40"/>
      <c r="U98" s="9"/>
      <c r="V98" s="9"/>
      <c r="W98" s="9"/>
      <c r="X98" s="9"/>
      <c r="Y98" s="9"/>
      <c r="Z98" s="9"/>
      <c r="AA98" s="9"/>
      <c r="AB98" s="9"/>
      <c r="AC98" s="9"/>
      <c r="AD98" s="9"/>
      <c r="AE98" s="9"/>
      <c r="AF98" s="10" t="str">
        <f aca="false">IF(A98="","",SG_Criteria!$B$6&amp;SG_Criteria!$B$10&amp;"\"&amp;A98&amp;"\")</f>
        <v/>
      </c>
      <c r="AG98" s="10" t="str">
        <f aca="false">IF(A98="","",A98&amp;"_CAD.dwg")</f>
        <v/>
      </c>
      <c r="AH98" s="10" t="str">
        <f aca="false">IF(A98="","",A98&amp;"_DWG.pdf")</f>
        <v/>
      </c>
      <c r="AI98" s="10" t="str">
        <f aca="false">IF(A98="","",IF(AE98="Y",A98&amp;"_STAAD.std","n/a"))</f>
        <v/>
      </c>
      <c r="AJ98" s="10" t="str">
        <f aca="false">IF(A98="","",A98&amp;"_CALC.xlsx")</f>
        <v/>
      </c>
      <c r="AK98" s="10" t="str">
        <f aca="false">IF(A98="","",A98&amp;"_CALC.pdf")</f>
        <v/>
      </c>
      <c r="AL98" s="9"/>
      <c r="AM98" s="9"/>
      <c r="AN98" s="41"/>
      <c r="AO98" s="41"/>
      <c r="AP98" s="41"/>
      <c r="AQ98" s="41"/>
      <c r="AR98" s="41"/>
      <c r="AS98" s="38" t="str">
        <f aca="false">IF(C98="","",IF(LEN(IF(AND(S98&lt;&gt;"",IFERROR(VALUE(MID(S98,2,2)),0)&lt;SG_Criteria!$B$19),"FAIL: grade below C"&amp;SG_Criteria!$B$19&amp;". ","")&amp;IF(AND(T98&lt;&gt;"",T98&lt;SG_Criteria!$B$20),"FAIL: cover &lt; "&amp;SG_Criteria!$B$20&amp;" mm. ","")&amp;IF(AND(H98&lt;&gt;"",H98&lt;SG_Criteria!$B$39),"NOTE: min depth below PUB "&amp;SG_Criteria!$B$39&amp;" m. ","")&amp;IF(AND(LEFT(C98,8)="Standard",I98&gt;SG_Criteria!$B$42),"FAIL: PUB 001C covers manholes up to "&amp;SG_Criteria!$B$42&amp;" m deep only. ","")&amp;IF(AND(LEFT(C98,11)="Rectangular",J98&lt;SG_Criteria!$B$43),"NOTE: 004C is for sewers &gt;= "&amp;SG_Criteria!$B$43&amp;" dia. ","")&amp;IF(AND(LEFT(C98,7)="Precast",I98&lt;=SG_Criteria!$B$42),"NOTE: 006C is for manholes &gt; "&amp;SG_Criteria!$B$42&amp;" m deep. ","")&amp;IF(AND(J98&lt;&gt;"",J98&lt;SG_Criteria!$B$40,C98&lt;&gt;"Inspection Chamber"),"NOTE: public sewer min dia "&amp;SG_Criteria!$B$40&amp;" mm. ","")&amp;IF(AND(R98&lt;&gt;"",R98&lt;SG_Criteria!$B$44),"FAIL: uplift FOS below "&amp;SG_Criteria!$B$44&amp;". ",""))=0,"OK",IF(AND(S98&lt;&gt;"",IFERROR(VALUE(MID(S98,2,2)),0)&lt;SG_Criteria!$B$19),"FAIL: grade below C"&amp;SG_Criteria!$B$19&amp;". ","")&amp;IF(AND(T98&lt;&gt;"",T98&lt;SG_Criteria!$B$20),"FAIL: cover &lt; "&amp;SG_Criteria!$B$20&amp;" mm. ","")&amp;IF(AND(H98&lt;&gt;"",H98&lt;SG_Criteria!$B$39),"NOTE: min depth below PUB "&amp;SG_Criteria!$B$39&amp;" m. ","")&amp;IF(AND(LEFT(C98,8)="Standard",I98&gt;SG_Criteria!$B$42),"FAIL: PUB 001C covers manholes up to "&amp;SG_Criteria!$B$42&amp;" m deep only. ","")&amp;IF(AND(LEFT(C98,11)="Rectangular",J98&lt;SG_Criteria!$B$43),"NOTE: 004C is for sewers &gt;= "&amp;SG_Criteria!$B$43&amp;" dia. ","")&amp;IF(AND(LEFT(C98,7)="Precast",I98&lt;=SG_Criteria!$B$42),"NOTE: 006C is for manholes &gt; "&amp;SG_Criteria!$B$42&amp;" m deep. ","")&amp;IF(AND(J98&lt;&gt;"",J98&lt;SG_Criteria!$B$40,C98&lt;&gt;"Inspection Chamber"),"NOTE: public sewer min dia "&amp;SG_Criteria!$B$40&amp;" mm. ","")&amp;IF(AND(R98&lt;&gt;"",R98&lt;SG_Criteria!$B$44),"FAIL: uplift FOS below "&amp;SG_Criteria!$B$44&amp;". ","")))</f>
        <v/>
      </c>
      <c r="AT98" s="9"/>
      <c r="AU98" s="9"/>
      <c r="AV98" s="9"/>
      <c r="AW98" s="9"/>
      <c r="AX98" s="9"/>
      <c r="AY98" s="31"/>
      <c r="AZ98" s="10" t="str">
        <f aca="false">IF(C98="","",IF(AND(AB98="Approved",ISERROR(SEARCH("FAIL",AS98))),"Y","N"))</f>
        <v/>
      </c>
      <c r="BA98" s="10" t="str">
        <f aca="false">IF(C98="","",C98&amp;"|"&amp;I98&amp;"|"&amp;F98&amp;"|"&amp;AZ98)</f>
        <v/>
      </c>
    </row>
    <row r="99" customFormat="false" ht="15" hidden="false" customHeight="false" outlineLevel="0" collapsed="false">
      <c r="A99" s="10" t="str">
        <f aca="false">IF(C99="","","MH-"&amp;IFERROR(VLOOKUP(C99,Lists!$AB$4:$AC$20,2,0),"??")&amp;"-"&amp;TEXT(F99,"0000")&amp;IF(E99="Circular","D","x"&amp;TEXT(G99,"0000"))&amp;"-D"&amp;TEXT(I99*1000,"0000")&amp;"-"&amp;IFERROR(VLOOKUP(D99,Lists!$AE$4:$AF$16,2,0),"??")&amp;"-"&amp;AA99)</f>
        <v/>
      </c>
      <c r="B99" s="10" t="str">
        <f aca="false">IF(C99="","",C99&amp;", "&amp;D99&amp;", "&amp;IF(E99="Circular",F99&amp;" dia",F99&amp;" x "&amp;G99)&amp;", depth "&amp;TEXT(H99,"0.0")&amp;"-"&amp;TEXT(I99,"0.0")&amp;" m, pipe up to "&amp;J99&amp;" dia")</f>
        <v/>
      </c>
      <c r="C99" s="9"/>
      <c r="D99" s="9"/>
      <c r="E99" s="9"/>
      <c r="F99" s="40"/>
      <c r="G99" s="40"/>
      <c r="H99" s="43"/>
      <c r="I99" s="43"/>
      <c r="J99" s="40"/>
      <c r="K99" s="40"/>
      <c r="L99" s="40"/>
      <c r="M99" s="40"/>
      <c r="N99" s="9"/>
      <c r="O99" s="9"/>
      <c r="P99" s="9"/>
      <c r="Q99" s="9"/>
      <c r="R99" s="41"/>
      <c r="S99" s="9"/>
      <c r="T99" s="40"/>
      <c r="U99" s="9"/>
      <c r="V99" s="9"/>
      <c r="W99" s="9"/>
      <c r="X99" s="9"/>
      <c r="Y99" s="9"/>
      <c r="Z99" s="9"/>
      <c r="AA99" s="9"/>
      <c r="AB99" s="9"/>
      <c r="AC99" s="9"/>
      <c r="AD99" s="9"/>
      <c r="AE99" s="9"/>
      <c r="AF99" s="10" t="str">
        <f aca="false">IF(A99="","",SG_Criteria!$B$6&amp;SG_Criteria!$B$10&amp;"\"&amp;A99&amp;"\")</f>
        <v/>
      </c>
      <c r="AG99" s="10" t="str">
        <f aca="false">IF(A99="","",A99&amp;"_CAD.dwg")</f>
        <v/>
      </c>
      <c r="AH99" s="10" t="str">
        <f aca="false">IF(A99="","",A99&amp;"_DWG.pdf")</f>
        <v/>
      </c>
      <c r="AI99" s="10" t="str">
        <f aca="false">IF(A99="","",IF(AE99="Y",A99&amp;"_STAAD.std","n/a"))</f>
        <v/>
      </c>
      <c r="AJ99" s="10" t="str">
        <f aca="false">IF(A99="","",A99&amp;"_CALC.xlsx")</f>
        <v/>
      </c>
      <c r="AK99" s="10" t="str">
        <f aca="false">IF(A99="","",A99&amp;"_CALC.pdf")</f>
        <v/>
      </c>
      <c r="AL99" s="9"/>
      <c r="AM99" s="9"/>
      <c r="AN99" s="41"/>
      <c r="AO99" s="41"/>
      <c r="AP99" s="41"/>
      <c r="AQ99" s="41"/>
      <c r="AR99" s="41"/>
      <c r="AS99" s="38" t="str">
        <f aca="false">IF(C99="","",IF(LEN(IF(AND(S99&lt;&gt;"",IFERROR(VALUE(MID(S99,2,2)),0)&lt;SG_Criteria!$B$19),"FAIL: grade below C"&amp;SG_Criteria!$B$19&amp;". ","")&amp;IF(AND(T99&lt;&gt;"",T99&lt;SG_Criteria!$B$20),"FAIL: cover &lt; "&amp;SG_Criteria!$B$20&amp;" mm. ","")&amp;IF(AND(H99&lt;&gt;"",H99&lt;SG_Criteria!$B$39),"NOTE: min depth below PUB "&amp;SG_Criteria!$B$39&amp;" m. ","")&amp;IF(AND(LEFT(C99,8)="Standard",I99&gt;SG_Criteria!$B$42),"FAIL: PUB 001C covers manholes up to "&amp;SG_Criteria!$B$42&amp;" m deep only. ","")&amp;IF(AND(LEFT(C99,11)="Rectangular",J99&lt;SG_Criteria!$B$43),"NOTE: 004C is for sewers &gt;= "&amp;SG_Criteria!$B$43&amp;" dia. ","")&amp;IF(AND(LEFT(C99,7)="Precast",I99&lt;=SG_Criteria!$B$42),"NOTE: 006C is for manholes &gt; "&amp;SG_Criteria!$B$42&amp;" m deep. ","")&amp;IF(AND(J99&lt;&gt;"",J99&lt;SG_Criteria!$B$40,C99&lt;&gt;"Inspection Chamber"),"NOTE: public sewer min dia "&amp;SG_Criteria!$B$40&amp;" mm. ","")&amp;IF(AND(R99&lt;&gt;"",R99&lt;SG_Criteria!$B$44),"FAIL: uplift FOS below "&amp;SG_Criteria!$B$44&amp;". ",""))=0,"OK",IF(AND(S99&lt;&gt;"",IFERROR(VALUE(MID(S99,2,2)),0)&lt;SG_Criteria!$B$19),"FAIL: grade below C"&amp;SG_Criteria!$B$19&amp;". ","")&amp;IF(AND(T99&lt;&gt;"",T99&lt;SG_Criteria!$B$20),"FAIL: cover &lt; "&amp;SG_Criteria!$B$20&amp;" mm. ","")&amp;IF(AND(H99&lt;&gt;"",H99&lt;SG_Criteria!$B$39),"NOTE: min depth below PUB "&amp;SG_Criteria!$B$39&amp;" m. ","")&amp;IF(AND(LEFT(C99,8)="Standard",I99&gt;SG_Criteria!$B$42),"FAIL: PUB 001C covers manholes up to "&amp;SG_Criteria!$B$42&amp;" m deep only. ","")&amp;IF(AND(LEFT(C99,11)="Rectangular",J99&lt;SG_Criteria!$B$43),"NOTE: 004C is for sewers &gt;= "&amp;SG_Criteria!$B$43&amp;" dia. ","")&amp;IF(AND(LEFT(C99,7)="Precast",I99&lt;=SG_Criteria!$B$42),"NOTE: 006C is for manholes &gt; "&amp;SG_Criteria!$B$42&amp;" m deep. ","")&amp;IF(AND(J99&lt;&gt;"",J99&lt;SG_Criteria!$B$40,C99&lt;&gt;"Inspection Chamber"),"NOTE: public sewer min dia "&amp;SG_Criteria!$B$40&amp;" mm. ","")&amp;IF(AND(R99&lt;&gt;"",R99&lt;SG_Criteria!$B$44),"FAIL: uplift FOS below "&amp;SG_Criteria!$B$44&amp;". ","")))</f>
        <v/>
      </c>
      <c r="AT99" s="9"/>
      <c r="AU99" s="9"/>
      <c r="AV99" s="9"/>
      <c r="AW99" s="9"/>
      <c r="AX99" s="9"/>
      <c r="AY99" s="31"/>
      <c r="AZ99" s="10" t="str">
        <f aca="false">IF(C99="","",IF(AND(AB99="Approved",ISERROR(SEARCH("FAIL",AS99))),"Y","N"))</f>
        <v/>
      </c>
      <c r="BA99" s="10" t="str">
        <f aca="false">IF(C99="","",C99&amp;"|"&amp;I99&amp;"|"&amp;F99&amp;"|"&amp;AZ99)</f>
        <v/>
      </c>
    </row>
    <row r="100" customFormat="false" ht="15" hidden="false" customHeight="false" outlineLevel="0" collapsed="false">
      <c r="A100" s="10" t="str">
        <f aca="false">IF(C100="","","MH-"&amp;IFERROR(VLOOKUP(C100,Lists!$AB$4:$AC$20,2,0),"??")&amp;"-"&amp;TEXT(F100,"0000")&amp;IF(E100="Circular","D","x"&amp;TEXT(G100,"0000"))&amp;"-D"&amp;TEXT(I100*1000,"0000")&amp;"-"&amp;IFERROR(VLOOKUP(D100,Lists!$AE$4:$AF$16,2,0),"??")&amp;"-"&amp;AA100)</f>
        <v/>
      </c>
      <c r="B100" s="10" t="str">
        <f aca="false">IF(C100="","",C100&amp;", "&amp;D100&amp;", "&amp;IF(E100="Circular",F100&amp;" dia",F100&amp;" x "&amp;G100)&amp;", depth "&amp;TEXT(H100,"0.0")&amp;"-"&amp;TEXT(I100,"0.0")&amp;" m, pipe up to "&amp;J100&amp;" dia")</f>
        <v/>
      </c>
      <c r="C100" s="9"/>
      <c r="D100" s="9"/>
      <c r="E100" s="9"/>
      <c r="F100" s="40"/>
      <c r="G100" s="40"/>
      <c r="H100" s="43"/>
      <c r="I100" s="43"/>
      <c r="J100" s="40"/>
      <c r="K100" s="40"/>
      <c r="L100" s="40"/>
      <c r="M100" s="40"/>
      <c r="N100" s="9"/>
      <c r="O100" s="9"/>
      <c r="P100" s="9"/>
      <c r="Q100" s="9"/>
      <c r="R100" s="41"/>
      <c r="S100" s="9"/>
      <c r="T100" s="40"/>
      <c r="U100" s="9"/>
      <c r="V100" s="9"/>
      <c r="W100" s="9"/>
      <c r="X100" s="9"/>
      <c r="Y100" s="9"/>
      <c r="Z100" s="9"/>
      <c r="AA100" s="9"/>
      <c r="AB100" s="9"/>
      <c r="AC100" s="9"/>
      <c r="AD100" s="9"/>
      <c r="AE100" s="9"/>
      <c r="AF100" s="10" t="str">
        <f aca="false">IF(A100="","",SG_Criteria!$B$6&amp;SG_Criteria!$B$10&amp;"\"&amp;A100&amp;"\")</f>
        <v/>
      </c>
      <c r="AG100" s="10" t="str">
        <f aca="false">IF(A100="","",A100&amp;"_CAD.dwg")</f>
        <v/>
      </c>
      <c r="AH100" s="10" t="str">
        <f aca="false">IF(A100="","",A100&amp;"_DWG.pdf")</f>
        <v/>
      </c>
      <c r="AI100" s="10" t="str">
        <f aca="false">IF(A100="","",IF(AE100="Y",A100&amp;"_STAAD.std","n/a"))</f>
        <v/>
      </c>
      <c r="AJ100" s="10" t="str">
        <f aca="false">IF(A100="","",A100&amp;"_CALC.xlsx")</f>
        <v/>
      </c>
      <c r="AK100" s="10" t="str">
        <f aca="false">IF(A100="","",A100&amp;"_CALC.pdf")</f>
        <v/>
      </c>
      <c r="AL100" s="9"/>
      <c r="AM100" s="9"/>
      <c r="AN100" s="41"/>
      <c r="AO100" s="41"/>
      <c r="AP100" s="41"/>
      <c r="AQ100" s="41"/>
      <c r="AR100" s="41"/>
      <c r="AS100" s="38" t="str">
        <f aca="false">IF(C100="","",IF(LEN(IF(AND(S100&lt;&gt;"",IFERROR(VALUE(MID(S100,2,2)),0)&lt;SG_Criteria!$B$19),"FAIL: grade below C"&amp;SG_Criteria!$B$19&amp;". ","")&amp;IF(AND(T100&lt;&gt;"",T100&lt;SG_Criteria!$B$20),"FAIL: cover &lt; "&amp;SG_Criteria!$B$20&amp;" mm. ","")&amp;IF(AND(H100&lt;&gt;"",H100&lt;SG_Criteria!$B$39),"NOTE: min depth below PUB "&amp;SG_Criteria!$B$39&amp;" m. ","")&amp;IF(AND(LEFT(C100,8)="Standard",I100&gt;SG_Criteria!$B$42),"FAIL: PUB 001C covers manholes up to "&amp;SG_Criteria!$B$42&amp;" m deep only. ","")&amp;IF(AND(LEFT(C100,11)="Rectangular",J100&lt;SG_Criteria!$B$43),"NOTE: 004C is for sewers &gt;= "&amp;SG_Criteria!$B$43&amp;" dia. ","")&amp;IF(AND(LEFT(C100,7)="Precast",I100&lt;=SG_Criteria!$B$42),"NOTE: 006C is for manholes &gt; "&amp;SG_Criteria!$B$42&amp;" m deep. ","")&amp;IF(AND(J100&lt;&gt;"",J100&lt;SG_Criteria!$B$40,C100&lt;&gt;"Inspection Chamber"),"NOTE: public sewer min dia "&amp;SG_Criteria!$B$40&amp;" mm. ","")&amp;IF(AND(R100&lt;&gt;"",R100&lt;SG_Criteria!$B$44),"FAIL: uplift FOS below "&amp;SG_Criteria!$B$44&amp;". ",""))=0,"OK",IF(AND(S100&lt;&gt;"",IFERROR(VALUE(MID(S100,2,2)),0)&lt;SG_Criteria!$B$19),"FAIL: grade below C"&amp;SG_Criteria!$B$19&amp;". ","")&amp;IF(AND(T100&lt;&gt;"",T100&lt;SG_Criteria!$B$20),"FAIL: cover &lt; "&amp;SG_Criteria!$B$20&amp;" mm. ","")&amp;IF(AND(H100&lt;&gt;"",H100&lt;SG_Criteria!$B$39),"NOTE: min depth below PUB "&amp;SG_Criteria!$B$39&amp;" m. ","")&amp;IF(AND(LEFT(C100,8)="Standard",I100&gt;SG_Criteria!$B$42),"FAIL: PUB 001C covers manholes up to "&amp;SG_Criteria!$B$42&amp;" m deep only. ","")&amp;IF(AND(LEFT(C100,11)="Rectangular",J100&lt;SG_Criteria!$B$43),"NOTE: 004C is for sewers &gt;= "&amp;SG_Criteria!$B$43&amp;" dia. ","")&amp;IF(AND(LEFT(C100,7)="Precast",I100&lt;=SG_Criteria!$B$42),"NOTE: 006C is for manholes &gt; "&amp;SG_Criteria!$B$42&amp;" m deep. ","")&amp;IF(AND(J100&lt;&gt;"",J100&lt;SG_Criteria!$B$40,C100&lt;&gt;"Inspection Chamber"),"NOTE: public sewer min dia "&amp;SG_Criteria!$B$40&amp;" mm. ","")&amp;IF(AND(R100&lt;&gt;"",R100&lt;SG_Criteria!$B$44),"FAIL: uplift FOS below "&amp;SG_Criteria!$B$44&amp;". ","")))</f>
        <v/>
      </c>
      <c r="AT100" s="9"/>
      <c r="AU100" s="9"/>
      <c r="AV100" s="9"/>
      <c r="AW100" s="9"/>
      <c r="AX100" s="9"/>
      <c r="AY100" s="31"/>
      <c r="AZ100" s="10" t="str">
        <f aca="false">IF(C100="","",IF(AND(AB100="Approved",ISERROR(SEARCH("FAIL",AS100))),"Y","N"))</f>
        <v/>
      </c>
      <c r="BA100" s="10" t="str">
        <f aca="false">IF(C100="","",C100&amp;"|"&amp;I100&amp;"|"&amp;F100&amp;"|"&amp;AZ100)</f>
        <v/>
      </c>
    </row>
    <row r="101" customFormat="false" ht="15" hidden="false" customHeight="false" outlineLevel="0" collapsed="false">
      <c r="A101" s="10" t="str">
        <f aca="false">IF(C101="","","MH-"&amp;IFERROR(VLOOKUP(C101,Lists!$AB$4:$AC$20,2,0),"??")&amp;"-"&amp;TEXT(F101,"0000")&amp;IF(E101="Circular","D","x"&amp;TEXT(G101,"0000"))&amp;"-D"&amp;TEXT(I101*1000,"0000")&amp;"-"&amp;IFERROR(VLOOKUP(D101,Lists!$AE$4:$AF$16,2,0),"??")&amp;"-"&amp;AA101)</f>
        <v/>
      </c>
      <c r="B101" s="10" t="str">
        <f aca="false">IF(C101="","",C101&amp;", "&amp;D101&amp;", "&amp;IF(E101="Circular",F101&amp;" dia",F101&amp;" x "&amp;G101)&amp;", depth "&amp;TEXT(H101,"0.0")&amp;"-"&amp;TEXT(I101,"0.0")&amp;" m, pipe up to "&amp;J101&amp;" dia")</f>
        <v/>
      </c>
      <c r="C101" s="9"/>
      <c r="D101" s="9"/>
      <c r="E101" s="9"/>
      <c r="F101" s="40"/>
      <c r="G101" s="40"/>
      <c r="H101" s="43"/>
      <c r="I101" s="43"/>
      <c r="J101" s="40"/>
      <c r="K101" s="40"/>
      <c r="L101" s="40"/>
      <c r="M101" s="40"/>
      <c r="N101" s="9"/>
      <c r="O101" s="9"/>
      <c r="P101" s="9"/>
      <c r="Q101" s="9"/>
      <c r="R101" s="41"/>
      <c r="S101" s="9"/>
      <c r="T101" s="40"/>
      <c r="U101" s="9"/>
      <c r="V101" s="9"/>
      <c r="W101" s="9"/>
      <c r="X101" s="9"/>
      <c r="Y101" s="9"/>
      <c r="Z101" s="9"/>
      <c r="AA101" s="9"/>
      <c r="AB101" s="9"/>
      <c r="AC101" s="9"/>
      <c r="AD101" s="9"/>
      <c r="AE101" s="9"/>
      <c r="AF101" s="10" t="str">
        <f aca="false">IF(A101="","",SG_Criteria!$B$6&amp;SG_Criteria!$B$10&amp;"\"&amp;A101&amp;"\")</f>
        <v/>
      </c>
      <c r="AG101" s="10" t="str">
        <f aca="false">IF(A101="","",A101&amp;"_CAD.dwg")</f>
        <v/>
      </c>
      <c r="AH101" s="10" t="str">
        <f aca="false">IF(A101="","",A101&amp;"_DWG.pdf")</f>
        <v/>
      </c>
      <c r="AI101" s="10" t="str">
        <f aca="false">IF(A101="","",IF(AE101="Y",A101&amp;"_STAAD.std","n/a"))</f>
        <v/>
      </c>
      <c r="AJ101" s="10" t="str">
        <f aca="false">IF(A101="","",A101&amp;"_CALC.xlsx")</f>
        <v/>
      </c>
      <c r="AK101" s="10" t="str">
        <f aca="false">IF(A101="","",A101&amp;"_CALC.pdf")</f>
        <v/>
      </c>
      <c r="AL101" s="9"/>
      <c r="AM101" s="9"/>
      <c r="AN101" s="41"/>
      <c r="AO101" s="41"/>
      <c r="AP101" s="41"/>
      <c r="AQ101" s="41"/>
      <c r="AR101" s="41"/>
      <c r="AS101" s="38" t="str">
        <f aca="false">IF(C101="","",IF(LEN(IF(AND(S101&lt;&gt;"",IFERROR(VALUE(MID(S101,2,2)),0)&lt;SG_Criteria!$B$19),"FAIL: grade below C"&amp;SG_Criteria!$B$19&amp;". ","")&amp;IF(AND(T101&lt;&gt;"",T101&lt;SG_Criteria!$B$20),"FAIL: cover &lt; "&amp;SG_Criteria!$B$20&amp;" mm. ","")&amp;IF(AND(H101&lt;&gt;"",H101&lt;SG_Criteria!$B$39),"NOTE: min depth below PUB "&amp;SG_Criteria!$B$39&amp;" m. ","")&amp;IF(AND(LEFT(C101,8)="Standard",I101&gt;SG_Criteria!$B$42),"FAIL: PUB 001C covers manholes up to "&amp;SG_Criteria!$B$42&amp;" m deep only. ","")&amp;IF(AND(LEFT(C101,11)="Rectangular",J101&lt;SG_Criteria!$B$43),"NOTE: 004C is for sewers &gt;= "&amp;SG_Criteria!$B$43&amp;" dia. ","")&amp;IF(AND(LEFT(C101,7)="Precast",I101&lt;=SG_Criteria!$B$42),"NOTE: 006C is for manholes &gt; "&amp;SG_Criteria!$B$42&amp;" m deep. ","")&amp;IF(AND(J101&lt;&gt;"",J101&lt;SG_Criteria!$B$40,C101&lt;&gt;"Inspection Chamber"),"NOTE: public sewer min dia "&amp;SG_Criteria!$B$40&amp;" mm. ","")&amp;IF(AND(R101&lt;&gt;"",R101&lt;SG_Criteria!$B$44),"FAIL: uplift FOS below "&amp;SG_Criteria!$B$44&amp;". ",""))=0,"OK",IF(AND(S101&lt;&gt;"",IFERROR(VALUE(MID(S101,2,2)),0)&lt;SG_Criteria!$B$19),"FAIL: grade below C"&amp;SG_Criteria!$B$19&amp;". ","")&amp;IF(AND(T101&lt;&gt;"",T101&lt;SG_Criteria!$B$20),"FAIL: cover &lt; "&amp;SG_Criteria!$B$20&amp;" mm. ","")&amp;IF(AND(H101&lt;&gt;"",H101&lt;SG_Criteria!$B$39),"NOTE: min depth below PUB "&amp;SG_Criteria!$B$39&amp;" m. ","")&amp;IF(AND(LEFT(C101,8)="Standard",I101&gt;SG_Criteria!$B$42),"FAIL: PUB 001C covers manholes up to "&amp;SG_Criteria!$B$42&amp;" m deep only. ","")&amp;IF(AND(LEFT(C101,11)="Rectangular",J101&lt;SG_Criteria!$B$43),"NOTE: 004C is for sewers &gt;= "&amp;SG_Criteria!$B$43&amp;" dia. ","")&amp;IF(AND(LEFT(C101,7)="Precast",I101&lt;=SG_Criteria!$B$42),"NOTE: 006C is for manholes &gt; "&amp;SG_Criteria!$B$42&amp;" m deep. ","")&amp;IF(AND(J101&lt;&gt;"",J101&lt;SG_Criteria!$B$40,C101&lt;&gt;"Inspection Chamber"),"NOTE: public sewer min dia "&amp;SG_Criteria!$B$40&amp;" mm. ","")&amp;IF(AND(R101&lt;&gt;"",R101&lt;SG_Criteria!$B$44),"FAIL: uplift FOS below "&amp;SG_Criteria!$B$44&amp;". ","")))</f>
        <v/>
      </c>
      <c r="AT101" s="9"/>
      <c r="AU101" s="9"/>
      <c r="AV101" s="9"/>
      <c r="AW101" s="9"/>
      <c r="AX101" s="9"/>
      <c r="AY101" s="31"/>
      <c r="AZ101" s="10" t="str">
        <f aca="false">IF(C101="","",IF(AND(AB101="Approved",ISERROR(SEARCH("FAIL",AS101))),"Y","N"))</f>
        <v/>
      </c>
      <c r="BA101" s="10" t="str">
        <f aca="false">IF(C101="","",C101&amp;"|"&amp;I101&amp;"|"&amp;F101&amp;"|"&amp;AZ101)</f>
        <v/>
      </c>
    </row>
    <row r="102" customFormat="false" ht="15" hidden="false" customHeight="false" outlineLevel="0" collapsed="false">
      <c r="A102" s="10" t="str">
        <f aca="false">IF(C102="","","MH-"&amp;IFERROR(VLOOKUP(C102,Lists!$AB$4:$AC$20,2,0),"??")&amp;"-"&amp;TEXT(F102,"0000")&amp;IF(E102="Circular","D","x"&amp;TEXT(G102,"0000"))&amp;"-D"&amp;TEXT(I102*1000,"0000")&amp;"-"&amp;IFERROR(VLOOKUP(D102,Lists!$AE$4:$AF$16,2,0),"??")&amp;"-"&amp;AA102)</f>
        <v/>
      </c>
      <c r="B102" s="10" t="str">
        <f aca="false">IF(C102="","",C102&amp;", "&amp;D102&amp;", "&amp;IF(E102="Circular",F102&amp;" dia",F102&amp;" x "&amp;G102)&amp;", depth "&amp;TEXT(H102,"0.0")&amp;"-"&amp;TEXT(I102,"0.0")&amp;" m, pipe up to "&amp;J102&amp;" dia")</f>
        <v/>
      </c>
      <c r="C102" s="9"/>
      <c r="D102" s="9"/>
      <c r="E102" s="9"/>
      <c r="F102" s="40"/>
      <c r="G102" s="40"/>
      <c r="H102" s="43"/>
      <c r="I102" s="43"/>
      <c r="J102" s="40"/>
      <c r="K102" s="40"/>
      <c r="L102" s="40"/>
      <c r="M102" s="40"/>
      <c r="N102" s="9"/>
      <c r="O102" s="9"/>
      <c r="P102" s="9"/>
      <c r="Q102" s="9"/>
      <c r="R102" s="41"/>
      <c r="S102" s="9"/>
      <c r="T102" s="40"/>
      <c r="U102" s="9"/>
      <c r="V102" s="9"/>
      <c r="W102" s="9"/>
      <c r="X102" s="9"/>
      <c r="Y102" s="9"/>
      <c r="Z102" s="9"/>
      <c r="AA102" s="9"/>
      <c r="AB102" s="9"/>
      <c r="AC102" s="9"/>
      <c r="AD102" s="9"/>
      <c r="AE102" s="9"/>
      <c r="AF102" s="10" t="str">
        <f aca="false">IF(A102="","",SG_Criteria!$B$6&amp;SG_Criteria!$B$10&amp;"\"&amp;A102&amp;"\")</f>
        <v/>
      </c>
      <c r="AG102" s="10" t="str">
        <f aca="false">IF(A102="","",A102&amp;"_CAD.dwg")</f>
        <v/>
      </c>
      <c r="AH102" s="10" t="str">
        <f aca="false">IF(A102="","",A102&amp;"_DWG.pdf")</f>
        <v/>
      </c>
      <c r="AI102" s="10" t="str">
        <f aca="false">IF(A102="","",IF(AE102="Y",A102&amp;"_STAAD.std","n/a"))</f>
        <v/>
      </c>
      <c r="AJ102" s="10" t="str">
        <f aca="false">IF(A102="","",A102&amp;"_CALC.xlsx")</f>
        <v/>
      </c>
      <c r="AK102" s="10" t="str">
        <f aca="false">IF(A102="","",A102&amp;"_CALC.pdf")</f>
        <v/>
      </c>
      <c r="AL102" s="9"/>
      <c r="AM102" s="9"/>
      <c r="AN102" s="41"/>
      <c r="AO102" s="41"/>
      <c r="AP102" s="41"/>
      <c r="AQ102" s="41"/>
      <c r="AR102" s="41"/>
      <c r="AS102" s="38" t="str">
        <f aca="false">IF(C102="","",IF(LEN(IF(AND(S102&lt;&gt;"",IFERROR(VALUE(MID(S102,2,2)),0)&lt;SG_Criteria!$B$19),"FAIL: grade below C"&amp;SG_Criteria!$B$19&amp;". ","")&amp;IF(AND(T102&lt;&gt;"",T102&lt;SG_Criteria!$B$20),"FAIL: cover &lt; "&amp;SG_Criteria!$B$20&amp;" mm. ","")&amp;IF(AND(H102&lt;&gt;"",H102&lt;SG_Criteria!$B$39),"NOTE: min depth below PUB "&amp;SG_Criteria!$B$39&amp;" m. ","")&amp;IF(AND(LEFT(C102,8)="Standard",I102&gt;SG_Criteria!$B$42),"FAIL: PUB 001C covers manholes up to "&amp;SG_Criteria!$B$42&amp;" m deep only. ","")&amp;IF(AND(LEFT(C102,11)="Rectangular",J102&lt;SG_Criteria!$B$43),"NOTE: 004C is for sewers &gt;= "&amp;SG_Criteria!$B$43&amp;" dia. ","")&amp;IF(AND(LEFT(C102,7)="Precast",I102&lt;=SG_Criteria!$B$42),"NOTE: 006C is for manholes &gt; "&amp;SG_Criteria!$B$42&amp;" m deep. ","")&amp;IF(AND(J102&lt;&gt;"",J102&lt;SG_Criteria!$B$40,C102&lt;&gt;"Inspection Chamber"),"NOTE: public sewer min dia "&amp;SG_Criteria!$B$40&amp;" mm. ","")&amp;IF(AND(R102&lt;&gt;"",R102&lt;SG_Criteria!$B$44),"FAIL: uplift FOS below "&amp;SG_Criteria!$B$44&amp;". ",""))=0,"OK",IF(AND(S102&lt;&gt;"",IFERROR(VALUE(MID(S102,2,2)),0)&lt;SG_Criteria!$B$19),"FAIL: grade below C"&amp;SG_Criteria!$B$19&amp;". ","")&amp;IF(AND(T102&lt;&gt;"",T102&lt;SG_Criteria!$B$20),"FAIL: cover &lt; "&amp;SG_Criteria!$B$20&amp;" mm. ","")&amp;IF(AND(H102&lt;&gt;"",H102&lt;SG_Criteria!$B$39),"NOTE: min depth below PUB "&amp;SG_Criteria!$B$39&amp;" m. ","")&amp;IF(AND(LEFT(C102,8)="Standard",I102&gt;SG_Criteria!$B$42),"FAIL: PUB 001C covers manholes up to "&amp;SG_Criteria!$B$42&amp;" m deep only. ","")&amp;IF(AND(LEFT(C102,11)="Rectangular",J102&lt;SG_Criteria!$B$43),"NOTE: 004C is for sewers &gt;= "&amp;SG_Criteria!$B$43&amp;" dia. ","")&amp;IF(AND(LEFT(C102,7)="Precast",I102&lt;=SG_Criteria!$B$42),"NOTE: 006C is for manholes &gt; "&amp;SG_Criteria!$B$42&amp;" m deep. ","")&amp;IF(AND(J102&lt;&gt;"",J102&lt;SG_Criteria!$B$40,C102&lt;&gt;"Inspection Chamber"),"NOTE: public sewer min dia "&amp;SG_Criteria!$B$40&amp;" mm. ","")&amp;IF(AND(R102&lt;&gt;"",R102&lt;SG_Criteria!$B$44),"FAIL: uplift FOS below "&amp;SG_Criteria!$B$44&amp;". ","")))</f>
        <v/>
      </c>
      <c r="AT102" s="9"/>
      <c r="AU102" s="9"/>
      <c r="AV102" s="9"/>
      <c r="AW102" s="9"/>
      <c r="AX102" s="9"/>
      <c r="AY102" s="31"/>
      <c r="AZ102" s="10" t="str">
        <f aca="false">IF(C102="","",IF(AND(AB102="Approved",ISERROR(SEARCH("FAIL",AS102))),"Y","N"))</f>
        <v/>
      </c>
      <c r="BA102" s="10" t="str">
        <f aca="false">IF(C102="","",C102&amp;"|"&amp;I102&amp;"|"&amp;F102&amp;"|"&amp;AZ102)</f>
        <v/>
      </c>
    </row>
    <row r="103" customFormat="false" ht="15" hidden="false" customHeight="false" outlineLevel="0" collapsed="false">
      <c r="A103" s="10" t="str">
        <f aca="false">IF(C103="","","MH-"&amp;IFERROR(VLOOKUP(C103,Lists!$AB$4:$AC$20,2,0),"??")&amp;"-"&amp;TEXT(F103,"0000")&amp;IF(E103="Circular","D","x"&amp;TEXT(G103,"0000"))&amp;"-D"&amp;TEXT(I103*1000,"0000")&amp;"-"&amp;IFERROR(VLOOKUP(D103,Lists!$AE$4:$AF$16,2,0),"??")&amp;"-"&amp;AA103)</f>
        <v/>
      </c>
      <c r="B103" s="10" t="str">
        <f aca="false">IF(C103="","",C103&amp;", "&amp;D103&amp;", "&amp;IF(E103="Circular",F103&amp;" dia",F103&amp;" x "&amp;G103)&amp;", depth "&amp;TEXT(H103,"0.0")&amp;"-"&amp;TEXT(I103,"0.0")&amp;" m, pipe up to "&amp;J103&amp;" dia")</f>
        <v/>
      </c>
      <c r="C103" s="9"/>
      <c r="D103" s="9"/>
      <c r="E103" s="9"/>
      <c r="F103" s="40"/>
      <c r="G103" s="40"/>
      <c r="H103" s="43"/>
      <c r="I103" s="43"/>
      <c r="J103" s="40"/>
      <c r="K103" s="40"/>
      <c r="L103" s="40"/>
      <c r="M103" s="40"/>
      <c r="N103" s="9"/>
      <c r="O103" s="9"/>
      <c r="P103" s="9"/>
      <c r="Q103" s="9"/>
      <c r="R103" s="41"/>
      <c r="S103" s="9"/>
      <c r="T103" s="40"/>
      <c r="U103" s="9"/>
      <c r="V103" s="9"/>
      <c r="W103" s="9"/>
      <c r="X103" s="9"/>
      <c r="Y103" s="9"/>
      <c r="Z103" s="9"/>
      <c r="AA103" s="9"/>
      <c r="AB103" s="9"/>
      <c r="AC103" s="9"/>
      <c r="AD103" s="9"/>
      <c r="AE103" s="9"/>
      <c r="AF103" s="10" t="str">
        <f aca="false">IF(A103="","",SG_Criteria!$B$6&amp;SG_Criteria!$B$10&amp;"\"&amp;A103&amp;"\")</f>
        <v/>
      </c>
      <c r="AG103" s="10" t="str">
        <f aca="false">IF(A103="","",A103&amp;"_CAD.dwg")</f>
        <v/>
      </c>
      <c r="AH103" s="10" t="str">
        <f aca="false">IF(A103="","",A103&amp;"_DWG.pdf")</f>
        <v/>
      </c>
      <c r="AI103" s="10" t="str">
        <f aca="false">IF(A103="","",IF(AE103="Y",A103&amp;"_STAAD.std","n/a"))</f>
        <v/>
      </c>
      <c r="AJ103" s="10" t="str">
        <f aca="false">IF(A103="","",A103&amp;"_CALC.xlsx")</f>
        <v/>
      </c>
      <c r="AK103" s="10" t="str">
        <f aca="false">IF(A103="","",A103&amp;"_CALC.pdf")</f>
        <v/>
      </c>
      <c r="AL103" s="9"/>
      <c r="AM103" s="9"/>
      <c r="AN103" s="41"/>
      <c r="AO103" s="41"/>
      <c r="AP103" s="41"/>
      <c r="AQ103" s="41"/>
      <c r="AR103" s="41"/>
      <c r="AS103" s="38" t="str">
        <f aca="false">IF(C103="","",IF(LEN(IF(AND(S103&lt;&gt;"",IFERROR(VALUE(MID(S103,2,2)),0)&lt;SG_Criteria!$B$19),"FAIL: grade below C"&amp;SG_Criteria!$B$19&amp;". ","")&amp;IF(AND(T103&lt;&gt;"",T103&lt;SG_Criteria!$B$20),"FAIL: cover &lt; "&amp;SG_Criteria!$B$20&amp;" mm. ","")&amp;IF(AND(H103&lt;&gt;"",H103&lt;SG_Criteria!$B$39),"NOTE: min depth below PUB "&amp;SG_Criteria!$B$39&amp;" m. ","")&amp;IF(AND(LEFT(C103,8)="Standard",I103&gt;SG_Criteria!$B$42),"FAIL: PUB 001C covers manholes up to "&amp;SG_Criteria!$B$42&amp;" m deep only. ","")&amp;IF(AND(LEFT(C103,11)="Rectangular",J103&lt;SG_Criteria!$B$43),"NOTE: 004C is for sewers &gt;= "&amp;SG_Criteria!$B$43&amp;" dia. ","")&amp;IF(AND(LEFT(C103,7)="Precast",I103&lt;=SG_Criteria!$B$42),"NOTE: 006C is for manholes &gt; "&amp;SG_Criteria!$B$42&amp;" m deep. ","")&amp;IF(AND(J103&lt;&gt;"",J103&lt;SG_Criteria!$B$40,C103&lt;&gt;"Inspection Chamber"),"NOTE: public sewer min dia "&amp;SG_Criteria!$B$40&amp;" mm. ","")&amp;IF(AND(R103&lt;&gt;"",R103&lt;SG_Criteria!$B$44),"FAIL: uplift FOS below "&amp;SG_Criteria!$B$44&amp;". ",""))=0,"OK",IF(AND(S103&lt;&gt;"",IFERROR(VALUE(MID(S103,2,2)),0)&lt;SG_Criteria!$B$19),"FAIL: grade below C"&amp;SG_Criteria!$B$19&amp;". ","")&amp;IF(AND(T103&lt;&gt;"",T103&lt;SG_Criteria!$B$20),"FAIL: cover &lt; "&amp;SG_Criteria!$B$20&amp;" mm. ","")&amp;IF(AND(H103&lt;&gt;"",H103&lt;SG_Criteria!$B$39),"NOTE: min depth below PUB "&amp;SG_Criteria!$B$39&amp;" m. ","")&amp;IF(AND(LEFT(C103,8)="Standard",I103&gt;SG_Criteria!$B$42),"FAIL: PUB 001C covers manholes up to "&amp;SG_Criteria!$B$42&amp;" m deep only. ","")&amp;IF(AND(LEFT(C103,11)="Rectangular",J103&lt;SG_Criteria!$B$43),"NOTE: 004C is for sewers &gt;= "&amp;SG_Criteria!$B$43&amp;" dia. ","")&amp;IF(AND(LEFT(C103,7)="Precast",I103&lt;=SG_Criteria!$B$42),"NOTE: 006C is for manholes &gt; "&amp;SG_Criteria!$B$42&amp;" m deep. ","")&amp;IF(AND(J103&lt;&gt;"",J103&lt;SG_Criteria!$B$40,C103&lt;&gt;"Inspection Chamber"),"NOTE: public sewer min dia "&amp;SG_Criteria!$B$40&amp;" mm. ","")&amp;IF(AND(R103&lt;&gt;"",R103&lt;SG_Criteria!$B$44),"FAIL: uplift FOS below "&amp;SG_Criteria!$B$44&amp;". ","")))</f>
        <v/>
      </c>
      <c r="AT103" s="9"/>
      <c r="AU103" s="9"/>
      <c r="AV103" s="9"/>
      <c r="AW103" s="9"/>
      <c r="AX103" s="9"/>
      <c r="AY103" s="31"/>
      <c r="AZ103" s="10" t="str">
        <f aca="false">IF(C103="","",IF(AND(AB103="Approved",ISERROR(SEARCH("FAIL",AS103))),"Y","N"))</f>
        <v/>
      </c>
      <c r="BA103" s="10" t="str">
        <f aca="false">IF(C103="","",C103&amp;"|"&amp;I103&amp;"|"&amp;F103&amp;"|"&amp;AZ103)</f>
        <v/>
      </c>
    </row>
    <row r="104" customFormat="false" ht="15" hidden="false" customHeight="false" outlineLevel="0" collapsed="false">
      <c r="A104" s="10" t="str">
        <f aca="false">IF(C104="","","MH-"&amp;IFERROR(VLOOKUP(C104,Lists!$AB$4:$AC$20,2,0),"??")&amp;"-"&amp;TEXT(F104,"0000")&amp;IF(E104="Circular","D","x"&amp;TEXT(G104,"0000"))&amp;"-D"&amp;TEXT(I104*1000,"0000")&amp;"-"&amp;IFERROR(VLOOKUP(D104,Lists!$AE$4:$AF$16,2,0),"??")&amp;"-"&amp;AA104)</f>
        <v/>
      </c>
      <c r="B104" s="10" t="str">
        <f aca="false">IF(C104="","",C104&amp;", "&amp;D104&amp;", "&amp;IF(E104="Circular",F104&amp;" dia",F104&amp;" x "&amp;G104)&amp;", depth "&amp;TEXT(H104,"0.0")&amp;"-"&amp;TEXT(I104,"0.0")&amp;" m, pipe up to "&amp;J104&amp;" dia")</f>
        <v/>
      </c>
      <c r="C104" s="9"/>
      <c r="D104" s="9"/>
      <c r="E104" s="9"/>
      <c r="F104" s="40"/>
      <c r="G104" s="40"/>
      <c r="H104" s="43"/>
      <c r="I104" s="43"/>
      <c r="J104" s="40"/>
      <c r="K104" s="40"/>
      <c r="L104" s="40"/>
      <c r="M104" s="40"/>
      <c r="N104" s="9"/>
      <c r="O104" s="9"/>
      <c r="P104" s="9"/>
      <c r="Q104" s="9"/>
      <c r="R104" s="41"/>
      <c r="S104" s="9"/>
      <c r="T104" s="40"/>
      <c r="U104" s="9"/>
      <c r="V104" s="9"/>
      <c r="W104" s="9"/>
      <c r="X104" s="9"/>
      <c r="Y104" s="9"/>
      <c r="Z104" s="9"/>
      <c r="AA104" s="9"/>
      <c r="AB104" s="9"/>
      <c r="AC104" s="9"/>
      <c r="AD104" s="9"/>
      <c r="AE104" s="9"/>
      <c r="AF104" s="10" t="str">
        <f aca="false">IF(A104="","",SG_Criteria!$B$6&amp;SG_Criteria!$B$10&amp;"\"&amp;A104&amp;"\")</f>
        <v/>
      </c>
      <c r="AG104" s="10" t="str">
        <f aca="false">IF(A104="","",A104&amp;"_CAD.dwg")</f>
        <v/>
      </c>
      <c r="AH104" s="10" t="str">
        <f aca="false">IF(A104="","",A104&amp;"_DWG.pdf")</f>
        <v/>
      </c>
      <c r="AI104" s="10" t="str">
        <f aca="false">IF(A104="","",IF(AE104="Y",A104&amp;"_STAAD.std","n/a"))</f>
        <v/>
      </c>
      <c r="AJ104" s="10" t="str">
        <f aca="false">IF(A104="","",A104&amp;"_CALC.xlsx")</f>
        <v/>
      </c>
      <c r="AK104" s="10" t="str">
        <f aca="false">IF(A104="","",A104&amp;"_CALC.pdf")</f>
        <v/>
      </c>
      <c r="AL104" s="9"/>
      <c r="AM104" s="9"/>
      <c r="AN104" s="41"/>
      <c r="AO104" s="41"/>
      <c r="AP104" s="41"/>
      <c r="AQ104" s="41"/>
      <c r="AR104" s="41"/>
      <c r="AS104" s="38" t="str">
        <f aca="false">IF(C104="","",IF(LEN(IF(AND(S104&lt;&gt;"",IFERROR(VALUE(MID(S104,2,2)),0)&lt;SG_Criteria!$B$19),"FAIL: grade below C"&amp;SG_Criteria!$B$19&amp;". ","")&amp;IF(AND(T104&lt;&gt;"",T104&lt;SG_Criteria!$B$20),"FAIL: cover &lt; "&amp;SG_Criteria!$B$20&amp;" mm. ","")&amp;IF(AND(H104&lt;&gt;"",H104&lt;SG_Criteria!$B$39),"NOTE: min depth below PUB "&amp;SG_Criteria!$B$39&amp;" m. ","")&amp;IF(AND(LEFT(C104,8)="Standard",I104&gt;SG_Criteria!$B$42),"FAIL: PUB 001C covers manholes up to "&amp;SG_Criteria!$B$42&amp;" m deep only. ","")&amp;IF(AND(LEFT(C104,11)="Rectangular",J104&lt;SG_Criteria!$B$43),"NOTE: 004C is for sewers &gt;= "&amp;SG_Criteria!$B$43&amp;" dia. ","")&amp;IF(AND(LEFT(C104,7)="Precast",I104&lt;=SG_Criteria!$B$42),"NOTE: 006C is for manholes &gt; "&amp;SG_Criteria!$B$42&amp;" m deep. ","")&amp;IF(AND(J104&lt;&gt;"",J104&lt;SG_Criteria!$B$40,C104&lt;&gt;"Inspection Chamber"),"NOTE: public sewer min dia "&amp;SG_Criteria!$B$40&amp;" mm. ","")&amp;IF(AND(R104&lt;&gt;"",R104&lt;SG_Criteria!$B$44),"FAIL: uplift FOS below "&amp;SG_Criteria!$B$44&amp;". ",""))=0,"OK",IF(AND(S104&lt;&gt;"",IFERROR(VALUE(MID(S104,2,2)),0)&lt;SG_Criteria!$B$19),"FAIL: grade below C"&amp;SG_Criteria!$B$19&amp;". ","")&amp;IF(AND(T104&lt;&gt;"",T104&lt;SG_Criteria!$B$20),"FAIL: cover &lt; "&amp;SG_Criteria!$B$20&amp;" mm. ","")&amp;IF(AND(H104&lt;&gt;"",H104&lt;SG_Criteria!$B$39),"NOTE: min depth below PUB "&amp;SG_Criteria!$B$39&amp;" m. ","")&amp;IF(AND(LEFT(C104,8)="Standard",I104&gt;SG_Criteria!$B$42),"FAIL: PUB 001C covers manholes up to "&amp;SG_Criteria!$B$42&amp;" m deep only. ","")&amp;IF(AND(LEFT(C104,11)="Rectangular",J104&lt;SG_Criteria!$B$43),"NOTE: 004C is for sewers &gt;= "&amp;SG_Criteria!$B$43&amp;" dia. ","")&amp;IF(AND(LEFT(C104,7)="Precast",I104&lt;=SG_Criteria!$B$42),"NOTE: 006C is for manholes &gt; "&amp;SG_Criteria!$B$42&amp;" m deep. ","")&amp;IF(AND(J104&lt;&gt;"",J104&lt;SG_Criteria!$B$40,C104&lt;&gt;"Inspection Chamber"),"NOTE: public sewer min dia "&amp;SG_Criteria!$B$40&amp;" mm. ","")&amp;IF(AND(R104&lt;&gt;"",R104&lt;SG_Criteria!$B$44),"FAIL: uplift FOS below "&amp;SG_Criteria!$B$44&amp;". ","")))</f>
        <v/>
      </c>
      <c r="AT104" s="9"/>
      <c r="AU104" s="9"/>
      <c r="AV104" s="9"/>
      <c r="AW104" s="9"/>
      <c r="AX104" s="9"/>
      <c r="AY104" s="31"/>
      <c r="AZ104" s="10" t="str">
        <f aca="false">IF(C104="","",IF(AND(AB104="Approved",ISERROR(SEARCH("FAIL",AS104))),"Y","N"))</f>
        <v/>
      </c>
      <c r="BA104" s="10" t="str">
        <f aca="false">IF(C104="","",C104&amp;"|"&amp;I104&amp;"|"&amp;F104&amp;"|"&amp;AZ104)</f>
        <v/>
      </c>
    </row>
    <row r="105" customFormat="false" ht="15" hidden="false" customHeight="false" outlineLevel="0" collapsed="false">
      <c r="A105" s="10" t="str">
        <f aca="false">IF(C105="","","MH-"&amp;IFERROR(VLOOKUP(C105,Lists!$AB$4:$AC$20,2,0),"??")&amp;"-"&amp;TEXT(F105,"0000")&amp;IF(E105="Circular","D","x"&amp;TEXT(G105,"0000"))&amp;"-D"&amp;TEXT(I105*1000,"0000")&amp;"-"&amp;IFERROR(VLOOKUP(D105,Lists!$AE$4:$AF$16,2,0),"??")&amp;"-"&amp;AA105)</f>
        <v/>
      </c>
      <c r="B105" s="10" t="str">
        <f aca="false">IF(C105="","",C105&amp;", "&amp;D105&amp;", "&amp;IF(E105="Circular",F105&amp;" dia",F105&amp;" x "&amp;G105)&amp;", depth "&amp;TEXT(H105,"0.0")&amp;"-"&amp;TEXT(I105,"0.0")&amp;" m, pipe up to "&amp;J105&amp;" dia")</f>
        <v/>
      </c>
      <c r="C105" s="9"/>
      <c r="D105" s="9"/>
      <c r="E105" s="9"/>
      <c r="F105" s="40"/>
      <c r="G105" s="40"/>
      <c r="H105" s="43"/>
      <c r="I105" s="43"/>
      <c r="J105" s="40"/>
      <c r="K105" s="40"/>
      <c r="L105" s="40"/>
      <c r="M105" s="40"/>
      <c r="N105" s="9"/>
      <c r="O105" s="9"/>
      <c r="P105" s="9"/>
      <c r="Q105" s="9"/>
      <c r="R105" s="41"/>
      <c r="S105" s="9"/>
      <c r="T105" s="40"/>
      <c r="U105" s="9"/>
      <c r="V105" s="9"/>
      <c r="W105" s="9"/>
      <c r="X105" s="9"/>
      <c r="Y105" s="9"/>
      <c r="Z105" s="9"/>
      <c r="AA105" s="9"/>
      <c r="AB105" s="9"/>
      <c r="AC105" s="9"/>
      <c r="AD105" s="9"/>
      <c r="AE105" s="9"/>
      <c r="AF105" s="10" t="str">
        <f aca="false">IF(A105="","",SG_Criteria!$B$6&amp;SG_Criteria!$B$10&amp;"\"&amp;A105&amp;"\")</f>
        <v/>
      </c>
      <c r="AG105" s="10" t="str">
        <f aca="false">IF(A105="","",A105&amp;"_CAD.dwg")</f>
        <v/>
      </c>
      <c r="AH105" s="10" t="str">
        <f aca="false">IF(A105="","",A105&amp;"_DWG.pdf")</f>
        <v/>
      </c>
      <c r="AI105" s="10" t="str">
        <f aca="false">IF(A105="","",IF(AE105="Y",A105&amp;"_STAAD.std","n/a"))</f>
        <v/>
      </c>
      <c r="AJ105" s="10" t="str">
        <f aca="false">IF(A105="","",A105&amp;"_CALC.xlsx")</f>
        <v/>
      </c>
      <c r="AK105" s="10" t="str">
        <f aca="false">IF(A105="","",A105&amp;"_CALC.pdf")</f>
        <v/>
      </c>
      <c r="AL105" s="9"/>
      <c r="AM105" s="9"/>
      <c r="AN105" s="41"/>
      <c r="AO105" s="41"/>
      <c r="AP105" s="41"/>
      <c r="AQ105" s="41"/>
      <c r="AR105" s="41"/>
      <c r="AS105" s="38" t="str">
        <f aca="false">IF(C105="","",IF(LEN(IF(AND(S105&lt;&gt;"",IFERROR(VALUE(MID(S105,2,2)),0)&lt;SG_Criteria!$B$19),"FAIL: grade below C"&amp;SG_Criteria!$B$19&amp;". ","")&amp;IF(AND(T105&lt;&gt;"",T105&lt;SG_Criteria!$B$20),"FAIL: cover &lt; "&amp;SG_Criteria!$B$20&amp;" mm. ","")&amp;IF(AND(H105&lt;&gt;"",H105&lt;SG_Criteria!$B$39),"NOTE: min depth below PUB "&amp;SG_Criteria!$B$39&amp;" m. ","")&amp;IF(AND(LEFT(C105,8)="Standard",I105&gt;SG_Criteria!$B$42),"FAIL: PUB 001C covers manholes up to "&amp;SG_Criteria!$B$42&amp;" m deep only. ","")&amp;IF(AND(LEFT(C105,11)="Rectangular",J105&lt;SG_Criteria!$B$43),"NOTE: 004C is for sewers &gt;= "&amp;SG_Criteria!$B$43&amp;" dia. ","")&amp;IF(AND(LEFT(C105,7)="Precast",I105&lt;=SG_Criteria!$B$42),"NOTE: 006C is for manholes &gt; "&amp;SG_Criteria!$B$42&amp;" m deep. ","")&amp;IF(AND(J105&lt;&gt;"",J105&lt;SG_Criteria!$B$40,C105&lt;&gt;"Inspection Chamber"),"NOTE: public sewer min dia "&amp;SG_Criteria!$B$40&amp;" mm. ","")&amp;IF(AND(R105&lt;&gt;"",R105&lt;SG_Criteria!$B$44),"FAIL: uplift FOS below "&amp;SG_Criteria!$B$44&amp;". ",""))=0,"OK",IF(AND(S105&lt;&gt;"",IFERROR(VALUE(MID(S105,2,2)),0)&lt;SG_Criteria!$B$19),"FAIL: grade below C"&amp;SG_Criteria!$B$19&amp;". ","")&amp;IF(AND(T105&lt;&gt;"",T105&lt;SG_Criteria!$B$20),"FAIL: cover &lt; "&amp;SG_Criteria!$B$20&amp;" mm. ","")&amp;IF(AND(H105&lt;&gt;"",H105&lt;SG_Criteria!$B$39),"NOTE: min depth below PUB "&amp;SG_Criteria!$B$39&amp;" m. ","")&amp;IF(AND(LEFT(C105,8)="Standard",I105&gt;SG_Criteria!$B$42),"FAIL: PUB 001C covers manholes up to "&amp;SG_Criteria!$B$42&amp;" m deep only. ","")&amp;IF(AND(LEFT(C105,11)="Rectangular",J105&lt;SG_Criteria!$B$43),"NOTE: 004C is for sewers &gt;= "&amp;SG_Criteria!$B$43&amp;" dia. ","")&amp;IF(AND(LEFT(C105,7)="Precast",I105&lt;=SG_Criteria!$B$42),"NOTE: 006C is for manholes &gt; "&amp;SG_Criteria!$B$42&amp;" m deep. ","")&amp;IF(AND(J105&lt;&gt;"",J105&lt;SG_Criteria!$B$40,C105&lt;&gt;"Inspection Chamber"),"NOTE: public sewer min dia "&amp;SG_Criteria!$B$40&amp;" mm. ","")&amp;IF(AND(R105&lt;&gt;"",R105&lt;SG_Criteria!$B$44),"FAIL: uplift FOS below "&amp;SG_Criteria!$B$44&amp;". ","")))</f>
        <v/>
      </c>
      <c r="AT105" s="9"/>
      <c r="AU105" s="9"/>
      <c r="AV105" s="9"/>
      <c r="AW105" s="9"/>
      <c r="AX105" s="9"/>
      <c r="AY105" s="31"/>
      <c r="AZ105" s="10" t="str">
        <f aca="false">IF(C105="","",IF(AND(AB105="Approved",ISERROR(SEARCH("FAIL",AS105))),"Y","N"))</f>
        <v/>
      </c>
      <c r="BA105" s="10" t="str">
        <f aca="false">IF(C105="","",C105&amp;"|"&amp;I105&amp;"|"&amp;F105&amp;"|"&amp;AZ105)</f>
        <v/>
      </c>
    </row>
    <row r="106" customFormat="false" ht="15" hidden="false" customHeight="false" outlineLevel="0" collapsed="false">
      <c r="A106" s="10" t="str">
        <f aca="false">IF(C106="","","MH-"&amp;IFERROR(VLOOKUP(C106,Lists!$AB$4:$AC$20,2,0),"??")&amp;"-"&amp;TEXT(F106,"0000")&amp;IF(E106="Circular","D","x"&amp;TEXT(G106,"0000"))&amp;"-D"&amp;TEXT(I106*1000,"0000")&amp;"-"&amp;IFERROR(VLOOKUP(D106,Lists!$AE$4:$AF$16,2,0),"??")&amp;"-"&amp;AA106)</f>
        <v/>
      </c>
      <c r="B106" s="10" t="str">
        <f aca="false">IF(C106="","",C106&amp;", "&amp;D106&amp;", "&amp;IF(E106="Circular",F106&amp;" dia",F106&amp;" x "&amp;G106)&amp;", depth "&amp;TEXT(H106,"0.0")&amp;"-"&amp;TEXT(I106,"0.0")&amp;" m, pipe up to "&amp;J106&amp;" dia")</f>
        <v/>
      </c>
      <c r="C106" s="9"/>
      <c r="D106" s="9"/>
      <c r="E106" s="9"/>
      <c r="F106" s="40"/>
      <c r="G106" s="40"/>
      <c r="H106" s="43"/>
      <c r="I106" s="43"/>
      <c r="J106" s="40"/>
      <c r="K106" s="40"/>
      <c r="L106" s="40"/>
      <c r="M106" s="40"/>
      <c r="N106" s="9"/>
      <c r="O106" s="9"/>
      <c r="P106" s="9"/>
      <c r="Q106" s="9"/>
      <c r="R106" s="41"/>
      <c r="S106" s="9"/>
      <c r="T106" s="40"/>
      <c r="U106" s="9"/>
      <c r="V106" s="9"/>
      <c r="W106" s="9"/>
      <c r="X106" s="9"/>
      <c r="Y106" s="9"/>
      <c r="Z106" s="9"/>
      <c r="AA106" s="9"/>
      <c r="AB106" s="9"/>
      <c r="AC106" s="9"/>
      <c r="AD106" s="9"/>
      <c r="AE106" s="9"/>
      <c r="AF106" s="10" t="str">
        <f aca="false">IF(A106="","",SG_Criteria!$B$6&amp;SG_Criteria!$B$10&amp;"\"&amp;A106&amp;"\")</f>
        <v/>
      </c>
      <c r="AG106" s="10" t="str">
        <f aca="false">IF(A106="","",A106&amp;"_CAD.dwg")</f>
        <v/>
      </c>
      <c r="AH106" s="10" t="str">
        <f aca="false">IF(A106="","",A106&amp;"_DWG.pdf")</f>
        <v/>
      </c>
      <c r="AI106" s="10" t="str">
        <f aca="false">IF(A106="","",IF(AE106="Y",A106&amp;"_STAAD.std","n/a"))</f>
        <v/>
      </c>
      <c r="AJ106" s="10" t="str">
        <f aca="false">IF(A106="","",A106&amp;"_CALC.xlsx")</f>
        <v/>
      </c>
      <c r="AK106" s="10" t="str">
        <f aca="false">IF(A106="","",A106&amp;"_CALC.pdf")</f>
        <v/>
      </c>
      <c r="AL106" s="9"/>
      <c r="AM106" s="9"/>
      <c r="AN106" s="41"/>
      <c r="AO106" s="41"/>
      <c r="AP106" s="41"/>
      <c r="AQ106" s="41"/>
      <c r="AR106" s="41"/>
      <c r="AS106" s="38" t="str">
        <f aca="false">IF(C106="","",IF(LEN(IF(AND(S106&lt;&gt;"",IFERROR(VALUE(MID(S106,2,2)),0)&lt;SG_Criteria!$B$19),"FAIL: grade below C"&amp;SG_Criteria!$B$19&amp;". ","")&amp;IF(AND(T106&lt;&gt;"",T106&lt;SG_Criteria!$B$20),"FAIL: cover &lt; "&amp;SG_Criteria!$B$20&amp;" mm. ","")&amp;IF(AND(H106&lt;&gt;"",H106&lt;SG_Criteria!$B$39),"NOTE: min depth below PUB "&amp;SG_Criteria!$B$39&amp;" m. ","")&amp;IF(AND(LEFT(C106,8)="Standard",I106&gt;SG_Criteria!$B$42),"FAIL: PUB 001C covers manholes up to "&amp;SG_Criteria!$B$42&amp;" m deep only. ","")&amp;IF(AND(LEFT(C106,11)="Rectangular",J106&lt;SG_Criteria!$B$43),"NOTE: 004C is for sewers &gt;= "&amp;SG_Criteria!$B$43&amp;" dia. ","")&amp;IF(AND(LEFT(C106,7)="Precast",I106&lt;=SG_Criteria!$B$42),"NOTE: 006C is for manholes &gt; "&amp;SG_Criteria!$B$42&amp;" m deep. ","")&amp;IF(AND(J106&lt;&gt;"",J106&lt;SG_Criteria!$B$40,C106&lt;&gt;"Inspection Chamber"),"NOTE: public sewer min dia "&amp;SG_Criteria!$B$40&amp;" mm. ","")&amp;IF(AND(R106&lt;&gt;"",R106&lt;SG_Criteria!$B$44),"FAIL: uplift FOS below "&amp;SG_Criteria!$B$44&amp;". ",""))=0,"OK",IF(AND(S106&lt;&gt;"",IFERROR(VALUE(MID(S106,2,2)),0)&lt;SG_Criteria!$B$19),"FAIL: grade below C"&amp;SG_Criteria!$B$19&amp;". ","")&amp;IF(AND(T106&lt;&gt;"",T106&lt;SG_Criteria!$B$20),"FAIL: cover &lt; "&amp;SG_Criteria!$B$20&amp;" mm. ","")&amp;IF(AND(H106&lt;&gt;"",H106&lt;SG_Criteria!$B$39),"NOTE: min depth below PUB "&amp;SG_Criteria!$B$39&amp;" m. ","")&amp;IF(AND(LEFT(C106,8)="Standard",I106&gt;SG_Criteria!$B$42),"FAIL: PUB 001C covers manholes up to "&amp;SG_Criteria!$B$42&amp;" m deep only. ","")&amp;IF(AND(LEFT(C106,11)="Rectangular",J106&lt;SG_Criteria!$B$43),"NOTE: 004C is for sewers &gt;= "&amp;SG_Criteria!$B$43&amp;" dia. ","")&amp;IF(AND(LEFT(C106,7)="Precast",I106&lt;=SG_Criteria!$B$42),"NOTE: 006C is for manholes &gt; "&amp;SG_Criteria!$B$42&amp;" m deep. ","")&amp;IF(AND(J106&lt;&gt;"",J106&lt;SG_Criteria!$B$40,C106&lt;&gt;"Inspection Chamber"),"NOTE: public sewer min dia "&amp;SG_Criteria!$B$40&amp;" mm. ","")&amp;IF(AND(R106&lt;&gt;"",R106&lt;SG_Criteria!$B$44),"FAIL: uplift FOS below "&amp;SG_Criteria!$B$44&amp;". ","")))</f>
        <v/>
      </c>
      <c r="AT106" s="9"/>
      <c r="AU106" s="9"/>
      <c r="AV106" s="9"/>
      <c r="AW106" s="9"/>
      <c r="AX106" s="9"/>
      <c r="AY106" s="31"/>
      <c r="AZ106" s="10" t="str">
        <f aca="false">IF(C106="","",IF(AND(AB106="Approved",ISERROR(SEARCH("FAIL",AS106))),"Y","N"))</f>
        <v/>
      </c>
      <c r="BA106" s="10" t="str">
        <f aca="false">IF(C106="","",C106&amp;"|"&amp;I106&amp;"|"&amp;F106&amp;"|"&amp;AZ106)</f>
        <v/>
      </c>
    </row>
    <row r="107" customFormat="false" ht="15" hidden="false" customHeight="false" outlineLevel="0" collapsed="false">
      <c r="A107" s="10" t="str">
        <f aca="false">IF(C107="","","MH-"&amp;IFERROR(VLOOKUP(C107,Lists!$AB$4:$AC$20,2,0),"??")&amp;"-"&amp;TEXT(F107,"0000")&amp;IF(E107="Circular","D","x"&amp;TEXT(G107,"0000"))&amp;"-D"&amp;TEXT(I107*1000,"0000")&amp;"-"&amp;IFERROR(VLOOKUP(D107,Lists!$AE$4:$AF$16,2,0),"??")&amp;"-"&amp;AA107)</f>
        <v/>
      </c>
      <c r="B107" s="10" t="str">
        <f aca="false">IF(C107="","",C107&amp;", "&amp;D107&amp;", "&amp;IF(E107="Circular",F107&amp;" dia",F107&amp;" x "&amp;G107)&amp;", depth "&amp;TEXT(H107,"0.0")&amp;"-"&amp;TEXT(I107,"0.0")&amp;" m, pipe up to "&amp;J107&amp;" dia")</f>
        <v/>
      </c>
      <c r="C107" s="9"/>
      <c r="D107" s="9"/>
      <c r="E107" s="9"/>
      <c r="F107" s="40"/>
      <c r="G107" s="40"/>
      <c r="H107" s="43"/>
      <c r="I107" s="43"/>
      <c r="J107" s="40"/>
      <c r="K107" s="40"/>
      <c r="L107" s="40"/>
      <c r="M107" s="40"/>
      <c r="N107" s="9"/>
      <c r="O107" s="9"/>
      <c r="P107" s="9"/>
      <c r="Q107" s="9"/>
      <c r="R107" s="41"/>
      <c r="S107" s="9"/>
      <c r="T107" s="40"/>
      <c r="U107" s="9"/>
      <c r="V107" s="9"/>
      <c r="W107" s="9"/>
      <c r="X107" s="9"/>
      <c r="Y107" s="9"/>
      <c r="Z107" s="9"/>
      <c r="AA107" s="9"/>
      <c r="AB107" s="9"/>
      <c r="AC107" s="9"/>
      <c r="AD107" s="9"/>
      <c r="AE107" s="9"/>
      <c r="AF107" s="10" t="str">
        <f aca="false">IF(A107="","",SG_Criteria!$B$6&amp;SG_Criteria!$B$10&amp;"\"&amp;A107&amp;"\")</f>
        <v/>
      </c>
      <c r="AG107" s="10" t="str">
        <f aca="false">IF(A107="","",A107&amp;"_CAD.dwg")</f>
        <v/>
      </c>
      <c r="AH107" s="10" t="str">
        <f aca="false">IF(A107="","",A107&amp;"_DWG.pdf")</f>
        <v/>
      </c>
      <c r="AI107" s="10" t="str">
        <f aca="false">IF(A107="","",IF(AE107="Y",A107&amp;"_STAAD.std","n/a"))</f>
        <v/>
      </c>
      <c r="AJ107" s="10" t="str">
        <f aca="false">IF(A107="","",A107&amp;"_CALC.xlsx")</f>
        <v/>
      </c>
      <c r="AK107" s="10" t="str">
        <f aca="false">IF(A107="","",A107&amp;"_CALC.pdf")</f>
        <v/>
      </c>
      <c r="AL107" s="9"/>
      <c r="AM107" s="9"/>
      <c r="AN107" s="41"/>
      <c r="AO107" s="41"/>
      <c r="AP107" s="41"/>
      <c r="AQ107" s="41"/>
      <c r="AR107" s="41"/>
      <c r="AS107" s="38" t="str">
        <f aca="false">IF(C107="","",IF(LEN(IF(AND(S107&lt;&gt;"",IFERROR(VALUE(MID(S107,2,2)),0)&lt;SG_Criteria!$B$19),"FAIL: grade below C"&amp;SG_Criteria!$B$19&amp;". ","")&amp;IF(AND(T107&lt;&gt;"",T107&lt;SG_Criteria!$B$20),"FAIL: cover &lt; "&amp;SG_Criteria!$B$20&amp;" mm. ","")&amp;IF(AND(H107&lt;&gt;"",H107&lt;SG_Criteria!$B$39),"NOTE: min depth below PUB "&amp;SG_Criteria!$B$39&amp;" m. ","")&amp;IF(AND(LEFT(C107,8)="Standard",I107&gt;SG_Criteria!$B$42),"FAIL: PUB 001C covers manholes up to "&amp;SG_Criteria!$B$42&amp;" m deep only. ","")&amp;IF(AND(LEFT(C107,11)="Rectangular",J107&lt;SG_Criteria!$B$43),"NOTE: 004C is for sewers &gt;= "&amp;SG_Criteria!$B$43&amp;" dia. ","")&amp;IF(AND(LEFT(C107,7)="Precast",I107&lt;=SG_Criteria!$B$42),"NOTE: 006C is for manholes &gt; "&amp;SG_Criteria!$B$42&amp;" m deep. ","")&amp;IF(AND(J107&lt;&gt;"",J107&lt;SG_Criteria!$B$40,C107&lt;&gt;"Inspection Chamber"),"NOTE: public sewer min dia "&amp;SG_Criteria!$B$40&amp;" mm. ","")&amp;IF(AND(R107&lt;&gt;"",R107&lt;SG_Criteria!$B$44),"FAIL: uplift FOS below "&amp;SG_Criteria!$B$44&amp;". ",""))=0,"OK",IF(AND(S107&lt;&gt;"",IFERROR(VALUE(MID(S107,2,2)),0)&lt;SG_Criteria!$B$19),"FAIL: grade below C"&amp;SG_Criteria!$B$19&amp;". ","")&amp;IF(AND(T107&lt;&gt;"",T107&lt;SG_Criteria!$B$20),"FAIL: cover &lt; "&amp;SG_Criteria!$B$20&amp;" mm. ","")&amp;IF(AND(H107&lt;&gt;"",H107&lt;SG_Criteria!$B$39),"NOTE: min depth below PUB "&amp;SG_Criteria!$B$39&amp;" m. ","")&amp;IF(AND(LEFT(C107,8)="Standard",I107&gt;SG_Criteria!$B$42),"FAIL: PUB 001C covers manholes up to "&amp;SG_Criteria!$B$42&amp;" m deep only. ","")&amp;IF(AND(LEFT(C107,11)="Rectangular",J107&lt;SG_Criteria!$B$43),"NOTE: 004C is for sewers &gt;= "&amp;SG_Criteria!$B$43&amp;" dia. ","")&amp;IF(AND(LEFT(C107,7)="Precast",I107&lt;=SG_Criteria!$B$42),"NOTE: 006C is for manholes &gt; "&amp;SG_Criteria!$B$42&amp;" m deep. ","")&amp;IF(AND(J107&lt;&gt;"",J107&lt;SG_Criteria!$B$40,C107&lt;&gt;"Inspection Chamber"),"NOTE: public sewer min dia "&amp;SG_Criteria!$B$40&amp;" mm. ","")&amp;IF(AND(R107&lt;&gt;"",R107&lt;SG_Criteria!$B$44),"FAIL: uplift FOS below "&amp;SG_Criteria!$B$44&amp;". ","")))</f>
        <v/>
      </c>
      <c r="AT107" s="9"/>
      <c r="AU107" s="9"/>
      <c r="AV107" s="9"/>
      <c r="AW107" s="9"/>
      <c r="AX107" s="9"/>
      <c r="AY107" s="31"/>
      <c r="AZ107" s="10" t="str">
        <f aca="false">IF(C107="","",IF(AND(AB107="Approved",ISERROR(SEARCH("FAIL",AS107))),"Y","N"))</f>
        <v/>
      </c>
      <c r="BA107" s="10" t="str">
        <f aca="false">IF(C107="","",C107&amp;"|"&amp;I107&amp;"|"&amp;F107&amp;"|"&amp;AZ107)</f>
        <v/>
      </c>
    </row>
    <row r="108" customFormat="false" ht="15" hidden="false" customHeight="false" outlineLevel="0" collapsed="false">
      <c r="A108" s="10" t="str">
        <f aca="false">IF(C108="","","MH-"&amp;IFERROR(VLOOKUP(C108,Lists!$AB$4:$AC$20,2,0),"??")&amp;"-"&amp;TEXT(F108,"0000")&amp;IF(E108="Circular","D","x"&amp;TEXT(G108,"0000"))&amp;"-D"&amp;TEXT(I108*1000,"0000")&amp;"-"&amp;IFERROR(VLOOKUP(D108,Lists!$AE$4:$AF$16,2,0),"??")&amp;"-"&amp;AA108)</f>
        <v/>
      </c>
      <c r="B108" s="10" t="str">
        <f aca="false">IF(C108="","",C108&amp;", "&amp;D108&amp;", "&amp;IF(E108="Circular",F108&amp;" dia",F108&amp;" x "&amp;G108)&amp;", depth "&amp;TEXT(H108,"0.0")&amp;"-"&amp;TEXT(I108,"0.0")&amp;" m, pipe up to "&amp;J108&amp;" dia")</f>
        <v/>
      </c>
      <c r="C108" s="9"/>
      <c r="D108" s="9"/>
      <c r="E108" s="9"/>
      <c r="F108" s="40"/>
      <c r="G108" s="40"/>
      <c r="H108" s="43"/>
      <c r="I108" s="43"/>
      <c r="J108" s="40"/>
      <c r="K108" s="40"/>
      <c r="L108" s="40"/>
      <c r="M108" s="40"/>
      <c r="N108" s="9"/>
      <c r="O108" s="9"/>
      <c r="P108" s="9"/>
      <c r="Q108" s="9"/>
      <c r="R108" s="41"/>
      <c r="S108" s="9"/>
      <c r="T108" s="40"/>
      <c r="U108" s="9"/>
      <c r="V108" s="9"/>
      <c r="W108" s="9"/>
      <c r="X108" s="9"/>
      <c r="Y108" s="9"/>
      <c r="Z108" s="9"/>
      <c r="AA108" s="9"/>
      <c r="AB108" s="9"/>
      <c r="AC108" s="9"/>
      <c r="AD108" s="9"/>
      <c r="AE108" s="9"/>
      <c r="AF108" s="10" t="str">
        <f aca="false">IF(A108="","",SG_Criteria!$B$6&amp;SG_Criteria!$B$10&amp;"\"&amp;A108&amp;"\")</f>
        <v/>
      </c>
      <c r="AG108" s="10" t="str">
        <f aca="false">IF(A108="","",A108&amp;"_CAD.dwg")</f>
        <v/>
      </c>
      <c r="AH108" s="10" t="str">
        <f aca="false">IF(A108="","",A108&amp;"_DWG.pdf")</f>
        <v/>
      </c>
      <c r="AI108" s="10" t="str">
        <f aca="false">IF(A108="","",IF(AE108="Y",A108&amp;"_STAAD.std","n/a"))</f>
        <v/>
      </c>
      <c r="AJ108" s="10" t="str">
        <f aca="false">IF(A108="","",A108&amp;"_CALC.xlsx")</f>
        <v/>
      </c>
      <c r="AK108" s="10" t="str">
        <f aca="false">IF(A108="","",A108&amp;"_CALC.pdf")</f>
        <v/>
      </c>
      <c r="AL108" s="9"/>
      <c r="AM108" s="9"/>
      <c r="AN108" s="41"/>
      <c r="AO108" s="41"/>
      <c r="AP108" s="41"/>
      <c r="AQ108" s="41"/>
      <c r="AR108" s="41"/>
      <c r="AS108" s="38" t="str">
        <f aca="false">IF(C108="","",IF(LEN(IF(AND(S108&lt;&gt;"",IFERROR(VALUE(MID(S108,2,2)),0)&lt;SG_Criteria!$B$19),"FAIL: grade below C"&amp;SG_Criteria!$B$19&amp;". ","")&amp;IF(AND(T108&lt;&gt;"",T108&lt;SG_Criteria!$B$20),"FAIL: cover &lt; "&amp;SG_Criteria!$B$20&amp;" mm. ","")&amp;IF(AND(H108&lt;&gt;"",H108&lt;SG_Criteria!$B$39),"NOTE: min depth below PUB "&amp;SG_Criteria!$B$39&amp;" m. ","")&amp;IF(AND(LEFT(C108,8)="Standard",I108&gt;SG_Criteria!$B$42),"FAIL: PUB 001C covers manholes up to "&amp;SG_Criteria!$B$42&amp;" m deep only. ","")&amp;IF(AND(LEFT(C108,11)="Rectangular",J108&lt;SG_Criteria!$B$43),"NOTE: 004C is for sewers &gt;= "&amp;SG_Criteria!$B$43&amp;" dia. ","")&amp;IF(AND(LEFT(C108,7)="Precast",I108&lt;=SG_Criteria!$B$42),"NOTE: 006C is for manholes &gt; "&amp;SG_Criteria!$B$42&amp;" m deep. ","")&amp;IF(AND(J108&lt;&gt;"",J108&lt;SG_Criteria!$B$40,C108&lt;&gt;"Inspection Chamber"),"NOTE: public sewer min dia "&amp;SG_Criteria!$B$40&amp;" mm. ","")&amp;IF(AND(R108&lt;&gt;"",R108&lt;SG_Criteria!$B$44),"FAIL: uplift FOS below "&amp;SG_Criteria!$B$44&amp;". ",""))=0,"OK",IF(AND(S108&lt;&gt;"",IFERROR(VALUE(MID(S108,2,2)),0)&lt;SG_Criteria!$B$19),"FAIL: grade below C"&amp;SG_Criteria!$B$19&amp;". ","")&amp;IF(AND(T108&lt;&gt;"",T108&lt;SG_Criteria!$B$20),"FAIL: cover &lt; "&amp;SG_Criteria!$B$20&amp;" mm. ","")&amp;IF(AND(H108&lt;&gt;"",H108&lt;SG_Criteria!$B$39),"NOTE: min depth below PUB "&amp;SG_Criteria!$B$39&amp;" m. ","")&amp;IF(AND(LEFT(C108,8)="Standard",I108&gt;SG_Criteria!$B$42),"FAIL: PUB 001C covers manholes up to "&amp;SG_Criteria!$B$42&amp;" m deep only. ","")&amp;IF(AND(LEFT(C108,11)="Rectangular",J108&lt;SG_Criteria!$B$43),"NOTE: 004C is for sewers &gt;= "&amp;SG_Criteria!$B$43&amp;" dia. ","")&amp;IF(AND(LEFT(C108,7)="Precast",I108&lt;=SG_Criteria!$B$42),"NOTE: 006C is for manholes &gt; "&amp;SG_Criteria!$B$42&amp;" m deep. ","")&amp;IF(AND(J108&lt;&gt;"",J108&lt;SG_Criteria!$B$40,C108&lt;&gt;"Inspection Chamber"),"NOTE: public sewer min dia "&amp;SG_Criteria!$B$40&amp;" mm. ","")&amp;IF(AND(R108&lt;&gt;"",R108&lt;SG_Criteria!$B$44),"FAIL: uplift FOS below "&amp;SG_Criteria!$B$44&amp;". ","")))</f>
        <v/>
      </c>
      <c r="AT108" s="9"/>
      <c r="AU108" s="9"/>
      <c r="AV108" s="9"/>
      <c r="AW108" s="9"/>
      <c r="AX108" s="9"/>
      <c r="AY108" s="31"/>
      <c r="AZ108" s="10" t="str">
        <f aca="false">IF(C108="","",IF(AND(AB108="Approved",ISERROR(SEARCH("FAIL",AS108))),"Y","N"))</f>
        <v/>
      </c>
      <c r="BA108" s="10" t="str">
        <f aca="false">IF(C108="","",C108&amp;"|"&amp;I108&amp;"|"&amp;F108&amp;"|"&amp;AZ108)</f>
        <v/>
      </c>
    </row>
    <row r="109" customFormat="false" ht="15" hidden="false" customHeight="false" outlineLevel="0" collapsed="false">
      <c r="A109" s="10" t="str">
        <f aca="false">IF(C109="","","MH-"&amp;IFERROR(VLOOKUP(C109,Lists!$AB$4:$AC$20,2,0),"??")&amp;"-"&amp;TEXT(F109,"0000")&amp;IF(E109="Circular","D","x"&amp;TEXT(G109,"0000"))&amp;"-D"&amp;TEXT(I109*1000,"0000")&amp;"-"&amp;IFERROR(VLOOKUP(D109,Lists!$AE$4:$AF$16,2,0),"??")&amp;"-"&amp;AA109)</f>
        <v/>
      </c>
      <c r="B109" s="10" t="str">
        <f aca="false">IF(C109="","",C109&amp;", "&amp;D109&amp;", "&amp;IF(E109="Circular",F109&amp;" dia",F109&amp;" x "&amp;G109)&amp;", depth "&amp;TEXT(H109,"0.0")&amp;"-"&amp;TEXT(I109,"0.0")&amp;" m, pipe up to "&amp;J109&amp;" dia")</f>
        <v/>
      </c>
      <c r="C109" s="9"/>
      <c r="D109" s="9"/>
      <c r="E109" s="9"/>
      <c r="F109" s="40"/>
      <c r="G109" s="40"/>
      <c r="H109" s="43"/>
      <c r="I109" s="43"/>
      <c r="J109" s="40"/>
      <c r="K109" s="40"/>
      <c r="L109" s="40"/>
      <c r="M109" s="40"/>
      <c r="N109" s="9"/>
      <c r="O109" s="9"/>
      <c r="P109" s="9"/>
      <c r="Q109" s="9"/>
      <c r="R109" s="41"/>
      <c r="S109" s="9"/>
      <c r="T109" s="40"/>
      <c r="U109" s="9"/>
      <c r="V109" s="9"/>
      <c r="W109" s="9"/>
      <c r="X109" s="9"/>
      <c r="Y109" s="9"/>
      <c r="Z109" s="9"/>
      <c r="AA109" s="9"/>
      <c r="AB109" s="9"/>
      <c r="AC109" s="9"/>
      <c r="AD109" s="9"/>
      <c r="AE109" s="9"/>
      <c r="AF109" s="10" t="str">
        <f aca="false">IF(A109="","",SG_Criteria!$B$6&amp;SG_Criteria!$B$10&amp;"\"&amp;A109&amp;"\")</f>
        <v/>
      </c>
      <c r="AG109" s="10" t="str">
        <f aca="false">IF(A109="","",A109&amp;"_CAD.dwg")</f>
        <v/>
      </c>
      <c r="AH109" s="10" t="str">
        <f aca="false">IF(A109="","",A109&amp;"_DWG.pdf")</f>
        <v/>
      </c>
      <c r="AI109" s="10" t="str">
        <f aca="false">IF(A109="","",IF(AE109="Y",A109&amp;"_STAAD.std","n/a"))</f>
        <v/>
      </c>
      <c r="AJ109" s="10" t="str">
        <f aca="false">IF(A109="","",A109&amp;"_CALC.xlsx")</f>
        <v/>
      </c>
      <c r="AK109" s="10" t="str">
        <f aca="false">IF(A109="","",A109&amp;"_CALC.pdf")</f>
        <v/>
      </c>
      <c r="AL109" s="9"/>
      <c r="AM109" s="9"/>
      <c r="AN109" s="41"/>
      <c r="AO109" s="41"/>
      <c r="AP109" s="41"/>
      <c r="AQ109" s="41"/>
      <c r="AR109" s="41"/>
      <c r="AS109" s="38" t="str">
        <f aca="false">IF(C109="","",IF(LEN(IF(AND(S109&lt;&gt;"",IFERROR(VALUE(MID(S109,2,2)),0)&lt;SG_Criteria!$B$19),"FAIL: grade below C"&amp;SG_Criteria!$B$19&amp;". ","")&amp;IF(AND(T109&lt;&gt;"",T109&lt;SG_Criteria!$B$20),"FAIL: cover &lt; "&amp;SG_Criteria!$B$20&amp;" mm. ","")&amp;IF(AND(H109&lt;&gt;"",H109&lt;SG_Criteria!$B$39),"NOTE: min depth below PUB "&amp;SG_Criteria!$B$39&amp;" m. ","")&amp;IF(AND(LEFT(C109,8)="Standard",I109&gt;SG_Criteria!$B$42),"FAIL: PUB 001C covers manholes up to "&amp;SG_Criteria!$B$42&amp;" m deep only. ","")&amp;IF(AND(LEFT(C109,11)="Rectangular",J109&lt;SG_Criteria!$B$43),"NOTE: 004C is for sewers &gt;= "&amp;SG_Criteria!$B$43&amp;" dia. ","")&amp;IF(AND(LEFT(C109,7)="Precast",I109&lt;=SG_Criteria!$B$42),"NOTE: 006C is for manholes &gt; "&amp;SG_Criteria!$B$42&amp;" m deep. ","")&amp;IF(AND(J109&lt;&gt;"",J109&lt;SG_Criteria!$B$40,C109&lt;&gt;"Inspection Chamber"),"NOTE: public sewer min dia "&amp;SG_Criteria!$B$40&amp;" mm. ","")&amp;IF(AND(R109&lt;&gt;"",R109&lt;SG_Criteria!$B$44),"FAIL: uplift FOS below "&amp;SG_Criteria!$B$44&amp;". ",""))=0,"OK",IF(AND(S109&lt;&gt;"",IFERROR(VALUE(MID(S109,2,2)),0)&lt;SG_Criteria!$B$19),"FAIL: grade below C"&amp;SG_Criteria!$B$19&amp;". ","")&amp;IF(AND(T109&lt;&gt;"",T109&lt;SG_Criteria!$B$20),"FAIL: cover &lt; "&amp;SG_Criteria!$B$20&amp;" mm. ","")&amp;IF(AND(H109&lt;&gt;"",H109&lt;SG_Criteria!$B$39),"NOTE: min depth below PUB "&amp;SG_Criteria!$B$39&amp;" m. ","")&amp;IF(AND(LEFT(C109,8)="Standard",I109&gt;SG_Criteria!$B$42),"FAIL: PUB 001C covers manholes up to "&amp;SG_Criteria!$B$42&amp;" m deep only. ","")&amp;IF(AND(LEFT(C109,11)="Rectangular",J109&lt;SG_Criteria!$B$43),"NOTE: 004C is for sewers &gt;= "&amp;SG_Criteria!$B$43&amp;" dia. ","")&amp;IF(AND(LEFT(C109,7)="Precast",I109&lt;=SG_Criteria!$B$42),"NOTE: 006C is for manholes &gt; "&amp;SG_Criteria!$B$42&amp;" m deep. ","")&amp;IF(AND(J109&lt;&gt;"",J109&lt;SG_Criteria!$B$40,C109&lt;&gt;"Inspection Chamber"),"NOTE: public sewer min dia "&amp;SG_Criteria!$B$40&amp;" mm. ","")&amp;IF(AND(R109&lt;&gt;"",R109&lt;SG_Criteria!$B$44),"FAIL: uplift FOS below "&amp;SG_Criteria!$B$44&amp;". ","")))</f>
        <v/>
      </c>
      <c r="AT109" s="9"/>
      <c r="AU109" s="9"/>
      <c r="AV109" s="9"/>
      <c r="AW109" s="9"/>
      <c r="AX109" s="9"/>
      <c r="AY109" s="31"/>
      <c r="AZ109" s="10" t="str">
        <f aca="false">IF(C109="","",IF(AND(AB109="Approved",ISERROR(SEARCH("FAIL",AS109))),"Y","N"))</f>
        <v/>
      </c>
      <c r="BA109" s="10" t="str">
        <f aca="false">IF(C109="","",C109&amp;"|"&amp;I109&amp;"|"&amp;F109&amp;"|"&amp;AZ109)</f>
        <v/>
      </c>
    </row>
    <row r="110" customFormat="false" ht="15" hidden="false" customHeight="false" outlineLevel="0" collapsed="false">
      <c r="A110" s="10" t="str">
        <f aca="false">IF(C110="","","MH-"&amp;IFERROR(VLOOKUP(C110,Lists!$AB$4:$AC$20,2,0),"??")&amp;"-"&amp;TEXT(F110,"0000")&amp;IF(E110="Circular","D","x"&amp;TEXT(G110,"0000"))&amp;"-D"&amp;TEXT(I110*1000,"0000")&amp;"-"&amp;IFERROR(VLOOKUP(D110,Lists!$AE$4:$AF$16,2,0),"??")&amp;"-"&amp;AA110)</f>
        <v/>
      </c>
      <c r="B110" s="10" t="str">
        <f aca="false">IF(C110="","",C110&amp;", "&amp;D110&amp;", "&amp;IF(E110="Circular",F110&amp;" dia",F110&amp;" x "&amp;G110)&amp;", depth "&amp;TEXT(H110,"0.0")&amp;"-"&amp;TEXT(I110,"0.0")&amp;" m, pipe up to "&amp;J110&amp;" dia")</f>
        <v/>
      </c>
      <c r="C110" s="9"/>
      <c r="D110" s="9"/>
      <c r="E110" s="9"/>
      <c r="F110" s="40"/>
      <c r="G110" s="40"/>
      <c r="H110" s="43"/>
      <c r="I110" s="43"/>
      <c r="J110" s="40"/>
      <c r="K110" s="40"/>
      <c r="L110" s="40"/>
      <c r="M110" s="40"/>
      <c r="N110" s="9"/>
      <c r="O110" s="9"/>
      <c r="P110" s="9"/>
      <c r="Q110" s="9"/>
      <c r="R110" s="41"/>
      <c r="S110" s="9"/>
      <c r="T110" s="40"/>
      <c r="U110" s="9"/>
      <c r="V110" s="9"/>
      <c r="W110" s="9"/>
      <c r="X110" s="9"/>
      <c r="Y110" s="9"/>
      <c r="Z110" s="9"/>
      <c r="AA110" s="9"/>
      <c r="AB110" s="9"/>
      <c r="AC110" s="9"/>
      <c r="AD110" s="9"/>
      <c r="AE110" s="9"/>
      <c r="AF110" s="10" t="str">
        <f aca="false">IF(A110="","",SG_Criteria!$B$6&amp;SG_Criteria!$B$10&amp;"\"&amp;A110&amp;"\")</f>
        <v/>
      </c>
      <c r="AG110" s="10" t="str">
        <f aca="false">IF(A110="","",A110&amp;"_CAD.dwg")</f>
        <v/>
      </c>
      <c r="AH110" s="10" t="str">
        <f aca="false">IF(A110="","",A110&amp;"_DWG.pdf")</f>
        <v/>
      </c>
      <c r="AI110" s="10" t="str">
        <f aca="false">IF(A110="","",IF(AE110="Y",A110&amp;"_STAAD.std","n/a"))</f>
        <v/>
      </c>
      <c r="AJ110" s="10" t="str">
        <f aca="false">IF(A110="","",A110&amp;"_CALC.xlsx")</f>
        <v/>
      </c>
      <c r="AK110" s="10" t="str">
        <f aca="false">IF(A110="","",A110&amp;"_CALC.pdf")</f>
        <v/>
      </c>
      <c r="AL110" s="9"/>
      <c r="AM110" s="9"/>
      <c r="AN110" s="41"/>
      <c r="AO110" s="41"/>
      <c r="AP110" s="41"/>
      <c r="AQ110" s="41"/>
      <c r="AR110" s="41"/>
      <c r="AS110" s="38" t="str">
        <f aca="false">IF(C110="","",IF(LEN(IF(AND(S110&lt;&gt;"",IFERROR(VALUE(MID(S110,2,2)),0)&lt;SG_Criteria!$B$19),"FAIL: grade below C"&amp;SG_Criteria!$B$19&amp;". ","")&amp;IF(AND(T110&lt;&gt;"",T110&lt;SG_Criteria!$B$20),"FAIL: cover &lt; "&amp;SG_Criteria!$B$20&amp;" mm. ","")&amp;IF(AND(H110&lt;&gt;"",H110&lt;SG_Criteria!$B$39),"NOTE: min depth below PUB "&amp;SG_Criteria!$B$39&amp;" m. ","")&amp;IF(AND(LEFT(C110,8)="Standard",I110&gt;SG_Criteria!$B$42),"FAIL: PUB 001C covers manholes up to "&amp;SG_Criteria!$B$42&amp;" m deep only. ","")&amp;IF(AND(LEFT(C110,11)="Rectangular",J110&lt;SG_Criteria!$B$43),"NOTE: 004C is for sewers &gt;= "&amp;SG_Criteria!$B$43&amp;" dia. ","")&amp;IF(AND(LEFT(C110,7)="Precast",I110&lt;=SG_Criteria!$B$42),"NOTE: 006C is for manholes &gt; "&amp;SG_Criteria!$B$42&amp;" m deep. ","")&amp;IF(AND(J110&lt;&gt;"",J110&lt;SG_Criteria!$B$40,C110&lt;&gt;"Inspection Chamber"),"NOTE: public sewer min dia "&amp;SG_Criteria!$B$40&amp;" mm. ","")&amp;IF(AND(R110&lt;&gt;"",R110&lt;SG_Criteria!$B$44),"FAIL: uplift FOS below "&amp;SG_Criteria!$B$44&amp;". ",""))=0,"OK",IF(AND(S110&lt;&gt;"",IFERROR(VALUE(MID(S110,2,2)),0)&lt;SG_Criteria!$B$19),"FAIL: grade below C"&amp;SG_Criteria!$B$19&amp;". ","")&amp;IF(AND(T110&lt;&gt;"",T110&lt;SG_Criteria!$B$20),"FAIL: cover &lt; "&amp;SG_Criteria!$B$20&amp;" mm. ","")&amp;IF(AND(H110&lt;&gt;"",H110&lt;SG_Criteria!$B$39),"NOTE: min depth below PUB "&amp;SG_Criteria!$B$39&amp;" m. ","")&amp;IF(AND(LEFT(C110,8)="Standard",I110&gt;SG_Criteria!$B$42),"FAIL: PUB 001C covers manholes up to "&amp;SG_Criteria!$B$42&amp;" m deep only. ","")&amp;IF(AND(LEFT(C110,11)="Rectangular",J110&lt;SG_Criteria!$B$43),"NOTE: 004C is for sewers &gt;= "&amp;SG_Criteria!$B$43&amp;" dia. ","")&amp;IF(AND(LEFT(C110,7)="Precast",I110&lt;=SG_Criteria!$B$42),"NOTE: 006C is for manholes &gt; "&amp;SG_Criteria!$B$42&amp;" m deep. ","")&amp;IF(AND(J110&lt;&gt;"",J110&lt;SG_Criteria!$B$40,C110&lt;&gt;"Inspection Chamber"),"NOTE: public sewer min dia "&amp;SG_Criteria!$B$40&amp;" mm. ","")&amp;IF(AND(R110&lt;&gt;"",R110&lt;SG_Criteria!$B$44),"FAIL: uplift FOS below "&amp;SG_Criteria!$B$44&amp;". ","")))</f>
        <v/>
      </c>
      <c r="AT110" s="9"/>
      <c r="AU110" s="9"/>
      <c r="AV110" s="9"/>
      <c r="AW110" s="9"/>
      <c r="AX110" s="9"/>
      <c r="AY110" s="31"/>
      <c r="AZ110" s="10" t="str">
        <f aca="false">IF(C110="","",IF(AND(AB110="Approved",ISERROR(SEARCH("FAIL",AS110))),"Y","N"))</f>
        <v/>
      </c>
      <c r="BA110" s="10" t="str">
        <f aca="false">IF(C110="","",C110&amp;"|"&amp;I110&amp;"|"&amp;F110&amp;"|"&amp;AZ110)</f>
        <v/>
      </c>
    </row>
    <row r="111" customFormat="false" ht="15" hidden="false" customHeight="false" outlineLevel="0" collapsed="false">
      <c r="A111" s="10" t="str">
        <f aca="false">IF(C111="","","MH-"&amp;IFERROR(VLOOKUP(C111,Lists!$AB$4:$AC$20,2,0),"??")&amp;"-"&amp;TEXT(F111,"0000")&amp;IF(E111="Circular","D","x"&amp;TEXT(G111,"0000"))&amp;"-D"&amp;TEXT(I111*1000,"0000")&amp;"-"&amp;IFERROR(VLOOKUP(D111,Lists!$AE$4:$AF$16,2,0),"??")&amp;"-"&amp;AA111)</f>
        <v/>
      </c>
      <c r="B111" s="10" t="str">
        <f aca="false">IF(C111="","",C111&amp;", "&amp;D111&amp;", "&amp;IF(E111="Circular",F111&amp;" dia",F111&amp;" x "&amp;G111)&amp;", depth "&amp;TEXT(H111,"0.0")&amp;"-"&amp;TEXT(I111,"0.0")&amp;" m, pipe up to "&amp;J111&amp;" dia")</f>
        <v/>
      </c>
      <c r="C111" s="9"/>
      <c r="D111" s="9"/>
      <c r="E111" s="9"/>
      <c r="F111" s="40"/>
      <c r="G111" s="40"/>
      <c r="H111" s="43"/>
      <c r="I111" s="43"/>
      <c r="J111" s="40"/>
      <c r="K111" s="40"/>
      <c r="L111" s="40"/>
      <c r="M111" s="40"/>
      <c r="N111" s="9"/>
      <c r="O111" s="9"/>
      <c r="P111" s="9"/>
      <c r="Q111" s="9"/>
      <c r="R111" s="41"/>
      <c r="S111" s="9"/>
      <c r="T111" s="40"/>
      <c r="U111" s="9"/>
      <c r="V111" s="9"/>
      <c r="W111" s="9"/>
      <c r="X111" s="9"/>
      <c r="Y111" s="9"/>
      <c r="Z111" s="9"/>
      <c r="AA111" s="9"/>
      <c r="AB111" s="9"/>
      <c r="AC111" s="9"/>
      <c r="AD111" s="9"/>
      <c r="AE111" s="9"/>
      <c r="AF111" s="10" t="str">
        <f aca="false">IF(A111="","",SG_Criteria!$B$6&amp;SG_Criteria!$B$10&amp;"\"&amp;A111&amp;"\")</f>
        <v/>
      </c>
      <c r="AG111" s="10" t="str">
        <f aca="false">IF(A111="","",A111&amp;"_CAD.dwg")</f>
        <v/>
      </c>
      <c r="AH111" s="10" t="str">
        <f aca="false">IF(A111="","",A111&amp;"_DWG.pdf")</f>
        <v/>
      </c>
      <c r="AI111" s="10" t="str">
        <f aca="false">IF(A111="","",IF(AE111="Y",A111&amp;"_STAAD.std","n/a"))</f>
        <v/>
      </c>
      <c r="AJ111" s="10" t="str">
        <f aca="false">IF(A111="","",A111&amp;"_CALC.xlsx")</f>
        <v/>
      </c>
      <c r="AK111" s="10" t="str">
        <f aca="false">IF(A111="","",A111&amp;"_CALC.pdf")</f>
        <v/>
      </c>
      <c r="AL111" s="9"/>
      <c r="AM111" s="9"/>
      <c r="AN111" s="41"/>
      <c r="AO111" s="41"/>
      <c r="AP111" s="41"/>
      <c r="AQ111" s="41"/>
      <c r="AR111" s="41"/>
      <c r="AS111" s="38" t="str">
        <f aca="false">IF(C111="","",IF(LEN(IF(AND(S111&lt;&gt;"",IFERROR(VALUE(MID(S111,2,2)),0)&lt;SG_Criteria!$B$19),"FAIL: grade below C"&amp;SG_Criteria!$B$19&amp;". ","")&amp;IF(AND(T111&lt;&gt;"",T111&lt;SG_Criteria!$B$20),"FAIL: cover &lt; "&amp;SG_Criteria!$B$20&amp;" mm. ","")&amp;IF(AND(H111&lt;&gt;"",H111&lt;SG_Criteria!$B$39),"NOTE: min depth below PUB "&amp;SG_Criteria!$B$39&amp;" m. ","")&amp;IF(AND(LEFT(C111,8)="Standard",I111&gt;SG_Criteria!$B$42),"FAIL: PUB 001C covers manholes up to "&amp;SG_Criteria!$B$42&amp;" m deep only. ","")&amp;IF(AND(LEFT(C111,11)="Rectangular",J111&lt;SG_Criteria!$B$43),"NOTE: 004C is for sewers &gt;= "&amp;SG_Criteria!$B$43&amp;" dia. ","")&amp;IF(AND(LEFT(C111,7)="Precast",I111&lt;=SG_Criteria!$B$42),"NOTE: 006C is for manholes &gt; "&amp;SG_Criteria!$B$42&amp;" m deep. ","")&amp;IF(AND(J111&lt;&gt;"",J111&lt;SG_Criteria!$B$40,C111&lt;&gt;"Inspection Chamber"),"NOTE: public sewer min dia "&amp;SG_Criteria!$B$40&amp;" mm. ","")&amp;IF(AND(R111&lt;&gt;"",R111&lt;SG_Criteria!$B$44),"FAIL: uplift FOS below "&amp;SG_Criteria!$B$44&amp;". ",""))=0,"OK",IF(AND(S111&lt;&gt;"",IFERROR(VALUE(MID(S111,2,2)),0)&lt;SG_Criteria!$B$19),"FAIL: grade below C"&amp;SG_Criteria!$B$19&amp;". ","")&amp;IF(AND(T111&lt;&gt;"",T111&lt;SG_Criteria!$B$20),"FAIL: cover &lt; "&amp;SG_Criteria!$B$20&amp;" mm. ","")&amp;IF(AND(H111&lt;&gt;"",H111&lt;SG_Criteria!$B$39),"NOTE: min depth below PUB "&amp;SG_Criteria!$B$39&amp;" m. ","")&amp;IF(AND(LEFT(C111,8)="Standard",I111&gt;SG_Criteria!$B$42),"FAIL: PUB 001C covers manholes up to "&amp;SG_Criteria!$B$42&amp;" m deep only. ","")&amp;IF(AND(LEFT(C111,11)="Rectangular",J111&lt;SG_Criteria!$B$43),"NOTE: 004C is for sewers &gt;= "&amp;SG_Criteria!$B$43&amp;" dia. ","")&amp;IF(AND(LEFT(C111,7)="Precast",I111&lt;=SG_Criteria!$B$42),"NOTE: 006C is for manholes &gt; "&amp;SG_Criteria!$B$42&amp;" m deep. ","")&amp;IF(AND(J111&lt;&gt;"",J111&lt;SG_Criteria!$B$40,C111&lt;&gt;"Inspection Chamber"),"NOTE: public sewer min dia "&amp;SG_Criteria!$B$40&amp;" mm. ","")&amp;IF(AND(R111&lt;&gt;"",R111&lt;SG_Criteria!$B$44),"FAIL: uplift FOS below "&amp;SG_Criteria!$B$44&amp;". ","")))</f>
        <v/>
      </c>
      <c r="AT111" s="9"/>
      <c r="AU111" s="9"/>
      <c r="AV111" s="9"/>
      <c r="AW111" s="9"/>
      <c r="AX111" s="9"/>
      <c r="AY111" s="31"/>
      <c r="AZ111" s="10" t="str">
        <f aca="false">IF(C111="","",IF(AND(AB111="Approved",ISERROR(SEARCH("FAIL",AS111))),"Y","N"))</f>
        <v/>
      </c>
      <c r="BA111" s="10" t="str">
        <f aca="false">IF(C111="","",C111&amp;"|"&amp;I111&amp;"|"&amp;F111&amp;"|"&amp;AZ111)</f>
        <v/>
      </c>
    </row>
    <row r="112" customFormat="false" ht="15" hidden="false" customHeight="false" outlineLevel="0" collapsed="false">
      <c r="A112" s="10" t="str">
        <f aca="false">IF(C112="","","MH-"&amp;IFERROR(VLOOKUP(C112,Lists!$AB$4:$AC$20,2,0),"??")&amp;"-"&amp;TEXT(F112,"0000")&amp;IF(E112="Circular","D","x"&amp;TEXT(G112,"0000"))&amp;"-D"&amp;TEXT(I112*1000,"0000")&amp;"-"&amp;IFERROR(VLOOKUP(D112,Lists!$AE$4:$AF$16,2,0),"??")&amp;"-"&amp;AA112)</f>
        <v/>
      </c>
      <c r="B112" s="10" t="str">
        <f aca="false">IF(C112="","",C112&amp;", "&amp;D112&amp;", "&amp;IF(E112="Circular",F112&amp;" dia",F112&amp;" x "&amp;G112)&amp;", depth "&amp;TEXT(H112,"0.0")&amp;"-"&amp;TEXT(I112,"0.0")&amp;" m, pipe up to "&amp;J112&amp;" dia")</f>
        <v/>
      </c>
      <c r="C112" s="9"/>
      <c r="D112" s="9"/>
      <c r="E112" s="9"/>
      <c r="F112" s="40"/>
      <c r="G112" s="40"/>
      <c r="H112" s="43"/>
      <c r="I112" s="43"/>
      <c r="J112" s="40"/>
      <c r="K112" s="40"/>
      <c r="L112" s="40"/>
      <c r="M112" s="40"/>
      <c r="N112" s="9"/>
      <c r="O112" s="9"/>
      <c r="P112" s="9"/>
      <c r="Q112" s="9"/>
      <c r="R112" s="41"/>
      <c r="S112" s="9"/>
      <c r="T112" s="40"/>
      <c r="U112" s="9"/>
      <c r="V112" s="9"/>
      <c r="W112" s="9"/>
      <c r="X112" s="9"/>
      <c r="Y112" s="9"/>
      <c r="Z112" s="9"/>
      <c r="AA112" s="9"/>
      <c r="AB112" s="9"/>
      <c r="AC112" s="9"/>
      <c r="AD112" s="9"/>
      <c r="AE112" s="9"/>
      <c r="AF112" s="10" t="str">
        <f aca="false">IF(A112="","",SG_Criteria!$B$6&amp;SG_Criteria!$B$10&amp;"\"&amp;A112&amp;"\")</f>
        <v/>
      </c>
      <c r="AG112" s="10" t="str">
        <f aca="false">IF(A112="","",A112&amp;"_CAD.dwg")</f>
        <v/>
      </c>
      <c r="AH112" s="10" t="str">
        <f aca="false">IF(A112="","",A112&amp;"_DWG.pdf")</f>
        <v/>
      </c>
      <c r="AI112" s="10" t="str">
        <f aca="false">IF(A112="","",IF(AE112="Y",A112&amp;"_STAAD.std","n/a"))</f>
        <v/>
      </c>
      <c r="AJ112" s="10" t="str">
        <f aca="false">IF(A112="","",A112&amp;"_CALC.xlsx")</f>
        <v/>
      </c>
      <c r="AK112" s="10" t="str">
        <f aca="false">IF(A112="","",A112&amp;"_CALC.pdf")</f>
        <v/>
      </c>
      <c r="AL112" s="9"/>
      <c r="AM112" s="9"/>
      <c r="AN112" s="41"/>
      <c r="AO112" s="41"/>
      <c r="AP112" s="41"/>
      <c r="AQ112" s="41"/>
      <c r="AR112" s="41"/>
      <c r="AS112" s="38" t="str">
        <f aca="false">IF(C112="","",IF(LEN(IF(AND(S112&lt;&gt;"",IFERROR(VALUE(MID(S112,2,2)),0)&lt;SG_Criteria!$B$19),"FAIL: grade below C"&amp;SG_Criteria!$B$19&amp;". ","")&amp;IF(AND(T112&lt;&gt;"",T112&lt;SG_Criteria!$B$20),"FAIL: cover &lt; "&amp;SG_Criteria!$B$20&amp;" mm. ","")&amp;IF(AND(H112&lt;&gt;"",H112&lt;SG_Criteria!$B$39),"NOTE: min depth below PUB "&amp;SG_Criteria!$B$39&amp;" m. ","")&amp;IF(AND(LEFT(C112,8)="Standard",I112&gt;SG_Criteria!$B$42),"FAIL: PUB 001C covers manholes up to "&amp;SG_Criteria!$B$42&amp;" m deep only. ","")&amp;IF(AND(LEFT(C112,11)="Rectangular",J112&lt;SG_Criteria!$B$43),"NOTE: 004C is for sewers &gt;= "&amp;SG_Criteria!$B$43&amp;" dia. ","")&amp;IF(AND(LEFT(C112,7)="Precast",I112&lt;=SG_Criteria!$B$42),"NOTE: 006C is for manholes &gt; "&amp;SG_Criteria!$B$42&amp;" m deep. ","")&amp;IF(AND(J112&lt;&gt;"",J112&lt;SG_Criteria!$B$40,C112&lt;&gt;"Inspection Chamber"),"NOTE: public sewer min dia "&amp;SG_Criteria!$B$40&amp;" mm. ","")&amp;IF(AND(R112&lt;&gt;"",R112&lt;SG_Criteria!$B$44),"FAIL: uplift FOS below "&amp;SG_Criteria!$B$44&amp;". ",""))=0,"OK",IF(AND(S112&lt;&gt;"",IFERROR(VALUE(MID(S112,2,2)),0)&lt;SG_Criteria!$B$19),"FAIL: grade below C"&amp;SG_Criteria!$B$19&amp;". ","")&amp;IF(AND(T112&lt;&gt;"",T112&lt;SG_Criteria!$B$20),"FAIL: cover &lt; "&amp;SG_Criteria!$B$20&amp;" mm. ","")&amp;IF(AND(H112&lt;&gt;"",H112&lt;SG_Criteria!$B$39),"NOTE: min depth below PUB "&amp;SG_Criteria!$B$39&amp;" m. ","")&amp;IF(AND(LEFT(C112,8)="Standard",I112&gt;SG_Criteria!$B$42),"FAIL: PUB 001C covers manholes up to "&amp;SG_Criteria!$B$42&amp;" m deep only. ","")&amp;IF(AND(LEFT(C112,11)="Rectangular",J112&lt;SG_Criteria!$B$43),"NOTE: 004C is for sewers &gt;= "&amp;SG_Criteria!$B$43&amp;" dia. ","")&amp;IF(AND(LEFT(C112,7)="Precast",I112&lt;=SG_Criteria!$B$42),"NOTE: 006C is for manholes &gt; "&amp;SG_Criteria!$B$42&amp;" m deep. ","")&amp;IF(AND(J112&lt;&gt;"",J112&lt;SG_Criteria!$B$40,C112&lt;&gt;"Inspection Chamber"),"NOTE: public sewer min dia "&amp;SG_Criteria!$B$40&amp;" mm. ","")&amp;IF(AND(R112&lt;&gt;"",R112&lt;SG_Criteria!$B$44),"FAIL: uplift FOS below "&amp;SG_Criteria!$B$44&amp;". ","")))</f>
        <v/>
      </c>
      <c r="AT112" s="9"/>
      <c r="AU112" s="9"/>
      <c r="AV112" s="9"/>
      <c r="AW112" s="9"/>
      <c r="AX112" s="9"/>
      <c r="AY112" s="31"/>
      <c r="AZ112" s="10" t="str">
        <f aca="false">IF(C112="","",IF(AND(AB112="Approved",ISERROR(SEARCH("FAIL",AS112))),"Y","N"))</f>
        <v/>
      </c>
      <c r="BA112" s="10" t="str">
        <f aca="false">IF(C112="","",C112&amp;"|"&amp;I112&amp;"|"&amp;F112&amp;"|"&amp;AZ112)</f>
        <v/>
      </c>
    </row>
    <row r="113" customFormat="false" ht="15" hidden="false" customHeight="false" outlineLevel="0" collapsed="false">
      <c r="A113" s="10" t="str">
        <f aca="false">IF(C113="","","MH-"&amp;IFERROR(VLOOKUP(C113,Lists!$AB$4:$AC$20,2,0),"??")&amp;"-"&amp;TEXT(F113,"0000")&amp;IF(E113="Circular","D","x"&amp;TEXT(G113,"0000"))&amp;"-D"&amp;TEXT(I113*1000,"0000")&amp;"-"&amp;IFERROR(VLOOKUP(D113,Lists!$AE$4:$AF$16,2,0),"??")&amp;"-"&amp;AA113)</f>
        <v/>
      </c>
      <c r="B113" s="10" t="str">
        <f aca="false">IF(C113="","",C113&amp;", "&amp;D113&amp;", "&amp;IF(E113="Circular",F113&amp;" dia",F113&amp;" x "&amp;G113)&amp;", depth "&amp;TEXT(H113,"0.0")&amp;"-"&amp;TEXT(I113,"0.0")&amp;" m, pipe up to "&amp;J113&amp;" dia")</f>
        <v/>
      </c>
      <c r="C113" s="9"/>
      <c r="D113" s="9"/>
      <c r="E113" s="9"/>
      <c r="F113" s="40"/>
      <c r="G113" s="40"/>
      <c r="H113" s="43"/>
      <c r="I113" s="43"/>
      <c r="J113" s="40"/>
      <c r="K113" s="40"/>
      <c r="L113" s="40"/>
      <c r="M113" s="40"/>
      <c r="N113" s="9"/>
      <c r="O113" s="9"/>
      <c r="P113" s="9"/>
      <c r="Q113" s="9"/>
      <c r="R113" s="41"/>
      <c r="S113" s="9"/>
      <c r="T113" s="40"/>
      <c r="U113" s="9"/>
      <c r="V113" s="9"/>
      <c r="W113" s="9"/>
      <c r="X113" s="9"/>
      <c r="Y113" s="9"/>
      <c r="Z113" s="9"/>
      <c r="AA113" s="9"/>
      <c r="AB113" s="9"/>
      <c r="AC113" s="9"/>
      <c r="AD113" s="9"/>
      <c r="AE113" s="9"/>
      <c r="AF113" s="10" t="str">
        <f aca="false">IF(A113="","",SG_Criteria!$B$6&amp;SG_Criteria!$B$10&amp;"\"&amp;A113&amp;"\")</f>
        <v/>
      </c>
      <c r="AG113" s="10" t="str">
        <f aca="false">IF(A113="","",A113&amp;"_CAD.dwg")</f>
        <v/>
      </c>
      <c r="AH113" s="10" t="str">
        <f aca="false">IF(A113="","",A113&amp;"_DWG.pdf")</f>
        <v/>
      </c>
      <c r="AI113" s="10" t="str">
        <f aca="false">IF(A113="","",IF(AE113="Y",A113&amp;"_STAAD.std","n/a"))</f>
        <v/>
      </c>
      <c r="AJ113" s="10" t="str">
        <f aca="false">IF(A113="","",A113&amp;"_CALC.xlsx")</f>
        <v/>
      </c>
      <c r="AK113" s="10" t="str">
        <f aca="false">IF(A113="","",A113&amp;"_CALC.pdf")</f>
        <v/>
      </c>
      <c r="AL113" s="9"/>
      <c r="AM113" s="9"/>
      <c r="AN113" s="41"/>
      <c r="AO113" s="41"/>
      <c r="AP113" s="41"/>
      <c r="AQ113" s="41"/>
      <c r="AR113" s="41"/>
      <c r="AS113" s="38" t="str">
        <f aca="false">IF(C113="","",IF(LEN(IF(AND(S113&lt;&gt;"",IFERROR(VALUE(MID(S113,2,2)),0)&lt;SG_Criteria!$B$19),"FAIL: grade below C"&amp;SG_Criteria!$B$19&amp;". ","")&amp;IF(AND(T113&lt;&gt;"",T113&lt;SG_Criteria!$B$20),"FAIL: cover &lt; "&amp;SG_Criteria!$B$20&amp;" mm. ","")&amp;IF(AND(H113&lt;&gt;"",H113&lt;SG_Criteria!$B$39),"NOTE: min depth below PUB "&amp;SG_Criteria!$B$39&amp;" m. ","")&amp;IF(AND(LEFT(C113,8)="Standard",I113&gt;SG_Criteria!$B$42),"FAIL: PUB 001C covers manholes up to "&amp;SG_Criteria!$B$42&amp;" m deep only. ","")&amp;IF(AND(LEFT(C113,11)="Rectangular",J113&lt;SG_Criteria!$B$43),"NOTE: 004C is for sewers &gt;= "&amp;SG_Criteria!$B$43&amp;" dia. ","")&amp;IF(AND(LEFT(C113,7)="Precast",I113&lt;=SG_Criteria!$B$42),"NOTE: 006C is for manholes &gt; "&amp;SG_Criteria!$B$42&amp;" m deep. ","")&amp;IF(AND(J113&lt;&gt;"",J113&lt;SG_Criteria!$B$40,C113&lt;&gt;"Inspection Chamber"),"NOTE: public sewer min dia "&amp;SG_Criteria!$B$40&amp;" mm. ","")&amp;IF(AND(R113&lt;&gt;"",R113&lt;SG_Criteria!$B$44),"FAIL: uplift FOS below "&amp;SG_Criteria!$B$44&amp;". ",""))=0,"OK",IF(AND(S113&lt;&gt;"",IFERROR(VALUE(MID(S113,2,2)),0)&lt;SG_Criteria!$B$19),"FAIL: grade below C"&amp;SG_Criteria!$B$19&amp;". ","")&amp;IF(AND(T113&lt;&gt;"",T113&lt;SG_Criteria!$B$20),"FAIL: cover &lt; "&amp;SG_Criteria!$B$20&amp;" mm. ","")&amp;IF(AND(H113&lt;&gt;"",H113&lt;SG_Criteria!$B$39),"NOTE: min depth below PUB "&amp;SG_Criteria!$B$39&amp;" m. ","")&amp;IF(AND(LEFT(C113,8)="Standard",I113&gt;SG_Criteria!$B$42),"FAIL: PUB 001C covers manholes up to "&amp;SG_Criteria!$B$42&amp;" m deep only. ","")&amp;IF(AND(LEFT(C113,11)="Rectangular",J113&lt;SG_Criteria!$B$43),"NOTE: 004C is for sewers &gt;= "&amp;SG_Criteria!$B$43&amp;" dia. ","")&amp;IF(AND(LEFT(C113,7)="Precast",I113&lt;=SG_Criteria!$B$42),"NOTE: 006C is for manholes &gt; "&amp;SG_Criteria!$B$42&amp;" m deep. ","")&amp;IF(AND(J113&lt;&gt;"",J113&lt;SG_Criteria!$B$40,C113&lt;&gt;"Inspection Chamber"),"NOTE: public sewer min dia "&amp;SG_Criteria!$B$40&amp;" mm. ","")&amp;IF(AND(R113&lt;&gt;"",R113&lt;SG_Criteria!$B$44),"FAIL: uplift FOS below "&amp;SG_Criteria!$B$44&amp;". ","")))</f>
        <v/>
      </c>
      <c r="AT113" s="9"/>
      <c r="AU113" s="9"/>
      <c r="AV113" s="9"/>
      <c r="AW113" s="9"/>
      <c r="AX113" s="9"/>
      <c r="AY113" s="31"/>
      <c r="AZ113" s="10" t="str">
        <f aca="false">IF(C113="","",IF(AND(AB113="Approved",ISERROR(SEARCH("FAIL",AS113))),"Y","N"))</f>
        <v/>
      </c>
      <c r="BA113" s="10" t="str">
        <f aca="false">IF(C113="","",C113&amp;"|"&amp;I113&amp;"|"&amp;F113&amp;"|"&amp;AZ113)</f>
        <v/>
      </c>
    </row>
    <row r="114" customFormat="false" ht="15" hidden="false" customHeight="false" outlineLevel="0" collapsed="false">
      <c r="A114" s="10" t="str">
        <f aca="false">IF(C114="","","MH-"&amp;IFERROR(VLOOKUP(C114,Lists!$AB$4:$AC$20,2,0),"??")&amp;"-"&amp;TEXT(F114,"0000")&amp;IF(E114="Circular","D","x"&amp;TEXT(G114,"0000"))&amp;"-D"&amp;TEXT(I114*1000,"0000")&amp;"-"&amp;IFERROR(VLOOKUP(D114,Lists!$AE$4:$AF$16,2,0),"??")&amp;"-"&amp;AA114)</f>
        <v/>
      </c>
      <c r="B114" s="10" t="str">
        <f aca="false">IF(C114="","",C114&amp;", "&amp;D114&amp;", "&amp;IF(E114="Circular",F114&amp;" dia",F114&amp;" x "&amp;G114)&amp;", depth "&amp;TEXT(H114,"0.0")&amp;"-"&amp;TEXT(I114,"0.0")&amp;" m, pipe up to "&amp;J114&amp;" dia")</f>
        <v/>
      </c>
      <c r="C114" s="9"/>
      <c r="D114" s="9"/>
      <c r="E114" s="9"/>
      <c r="F114" s="40"/>
      <c r="G114" s="40"/>
      <c r="H114" s="43"/>
      <c r="I114" s="43"/>
      <c r="J114" s="40"/>
      <c r="K114" s="40"/>
      <c r="L114" s="40"/>
      <c r="M114" s="40"/>
      <c r="N114" s="9"/>
      <c r="O114" s="9"/>
      <c r="P114" s="9"/>
      <c r="Q114" s="9"/>
      <c r="R114" s="41"/>
      <c r="S114" s="9"/>
      <c r="T114" s="40"/>
      <c r="U114" s="9"/>
      <c r="V114" s="9"/>
      <c r="W114" s="9"/>
      <c r="X114" s="9"/>
      <c r="Y114" s="9"/>
      <c r="Z114" s="9"/>
      <c r="AA114" s="9"/>
      <c r="AB114" s="9"/>
      <c r="AC114" s="9"/>
      <c r="AD114" s="9"/>
      <c r="AE114" s="9"/>
      <c r="AF114" s="10" t="str">
        <f aca="false">IF(A114="","",SG_Criteria!$B$6&amp;SG_Criteria!$B$10&amp;"\"&amp;A114&amp;"\")</f>
        <v/>
      </c>
      <c r="AG114" s="10" t="str">
        <f aca="false">IF(A114="","",A114&amp;"_CAD.dwg")</f>
        <v/>
      </c>
      <c r="AH114" s="10" t="str">
        <f aca="false">IF(A114="","",A114&amp;"_DWG.pdf")</f>
        <v/>
      </c>
      <c r="AI114" s="10" t="str">
        <f aca="false">IF(A114="","",IF(AE114="Y",A114&amp;"_STAAD.std","n/a"))</f>
        <v/>
      </c>
      <c r="AJ114" s="10" t="str">
        <f aca="false">IF(A114="","",A114&amp;"_CALC.xlsx")</f>
        <v/>
      </c>
      <c r="AK114" s="10" t="str">
        <f aca="false">IF(A114="","",A114&amp;"_CALC.pdf")</f>
        <v/>
      </c>
      <c r="AL114" s="9"/>
      <c r="AM114" s="9"/>
      <c r="AN114" s="41"/>
      <c r="AO114" s="41"/>
      <c r="AP114" s="41"/>
      <c r="AQ114" s="41"/>
      <c r="AR114" s="41"/>
      <c r="AS114" s="38" t="str">
        <f aca="false">IF(C114="","",IF(LEN(IF(AND(S114&lt;&gt;"",IFERROR(VALUE(MID(S114,2,2)),0)&lt;SG_Criteria!$B$19),"FAIL: grade below C"&amp;SG_Criteria!$B$19&amp;". ","")&amp;IF(AND(T114&lt;&gt;"",T114&lt;SG_Criteria!$B$20),"FAIL: cover &lt; "&amp;SG_Criteria!$B$20&amp;" mm. ","")&amp;IF(AND(H114&lt;&gt;"",H114&lt;SG_Criteria!$B$39),"NOTE: min depth below PUB "&amp;SG_Criteria!$B$39&amp;" m. ","")&amp;IF(AND(LEFT(C114,8)="Standard",I114&gt;SG_Criteria!$B$42),"FAIL: PUB 001C covers manholes up to "&amp;SG_Criteria!$B$42&amp;" m deep only. ","")&amp;IF(AND(LEFT(C114,11)="Rectangular",J114&lt;SG_Criteria!$B$43),"NOTE: 004C is for sewers &gt;= "&amp;SG_Criteria!$B$43&amp;" dia. ","")&amp;IF(AND(LEFT(C114,7)="Precast",I114&lt;=SG_Criteria!$B$42),"NOTE: 006C is for manholes &gt; "&amp;SG_Criteria!$B$42&amp;" m deep. ","")&amp;IF(AND(J114&lt;&gt;"",J114&lt;SG_Criteria!$B$40,C114&lt;&gt;"Inspection Chamber"),"NOTE: public sewer min dia "&amp;SG_Criteria!$B$40&amp;" mm. ","")&amp;IF(AND(R114&lt;&gt;"",R114&lt;SG_Criteria!$B$44),"FAIL: uplift FOS below "&amp;SG_Criteria!$B$44&amp;". ",""))=0,"OK",IF(AND(S114&lt;&gt;"",IFERROR(VALUE(MID(S114,2,2)),0)&lt;SG_Criteria!$B$19),"FAIL: grade below C"&amp;SG_Criteria!$B$19&amp;". ","")&amp;IF(AND(T114&lt;&gt;"",T114&lt;SG_Criteria!$B$20),"FAIL: cover &lt; "&amp;SG_Criteria!$B$20&amp;" mm. ","")&amp;IF(AND(H114&lt;&gt;"",H114&lt;SG_Criteria!$B$39),"NOTE: min depth below PUB "&amp;SG_Criteria!$B$39&amp;" m. ","")&amp;IF(AND(LEFT(C114,8)="Standard",I114&gt;SG_Criteria!$B$42),"FAIL: PUB 001C covers manholes up to "&amp;SG_Criteria!$B$42&amp;" m deep only. ","")&amp;IF(AND(LEFT(C114,11)="Rectangular",J114&lt;SG_Criteria!$B$43),"NOTE: 004C is for sewers &gt;= "&amp;SG_Criteria!$B$43&amp;" dia. ","")&amp;IF(AND(LEFT(C114,7)="Precast",I114&lt;=SG_Criteria!$B$42),"NOTE: 006C is for manholes &gt; "&amp;SG_Criteria!$B$42&amp;" m deep. ","")&amp;IF(AND(J114&lt;&gt;"",J114&lt;SG_Criteria!$B$40,C114&lt;&gt;"Inspection Chamber"),"NOTE: public sewer min dia "&amp;SG_Criteria!$B$40&amp;" mm. ","")&amp;IF(AND(R114&lt;&gt;"",R114&lt;SG_Criteria!$B$44),"FAIL: uplift FOS below "&amp;SG_Criteria!$B$44&amp;". ","")))</f>
        <v/>
      </c>
      <c r="AT114" s="9"/>
      <c r="AU114" s="9"/>
      <c r="AV114" s="9"/>
      <c r="AW114" s="9"/>
      <c r="AX114" s="9"/>
      <c r="AY114" s="31"/>
      <c r="AZ114" s="10" t="str">
        <f aca="false">IF(C114="","",IF(AND(AB114="Approved",ISERROR(SEARCH("FAIL",AS114))),"Y","N"))</f>
        <v/>
      </c>
      <c r="BA114" s="10" t="str">
        <f aca="false">IF(C114="","",C114&amp;"|"&amp;I114&amp;"|"&amp;F114&amp;"|"&amp;AZ114)</f>
        <v/>
      </c>
    </row>
    <row r="115" customFormat="false" ht="15" hidden="false" customHeight="false" outlineLevel="0" collapsed="false">
      <c r="A115" s="10" t="str">
        <f aca="false">IF(C115="","","MH-"&amp;IFERROR(VLOOKUP(C115,Lists!$AB$4:$AC$20,2,0),"??")&amp;"-"&amp;TEXT(F115,"0000")&amp;IF(E115="Circular","D","x"&amp;TEXT(G115,"0000"))&amp;"-D"&amp;TEXT(I115*1000,"0000")&amp;"-"&amp;IFERROR(VLOOKUP(D115,Lists!$AE$4:$AF$16,2,0),"??")&amp;"-"&amp;AA115)</f>
        <v/>
      </c>
      <c r="B115" s="10" t="str">
        <f aca="false">IF(C115="","",C115&amp;", "&amp;D115&amp;", "&amp;IF(E115="Circular",F115&amp;" dia",F115&amp;" x "&amp;G115)&amp;", depth "&amp;TEXT(H115,"0.0")&amp;"-"&amp;TEXT(I115,"0.0")&amp;" m, pipe up to "&amp;J115&amp;" dia")</f>
        <v/>
      </c>
      <c r="C115" s="9"/>
      <c r="D115" s="9"/>
      <c r="E115" s="9"/>
      <c r="F115" s="40"/>
      <c r="G115" s="40"/>
      <c r="H115" s="43"/>
      <c r="I115" s="43"/>
      <c r="J115" s="40"/>
      <c r="K115" s="40"/>
      <c r="L115" s="40"/>
      <c r="M115" s="40"/>
      <c r="N115" s="9"/>
      <c r="O115" s="9"/>
      <c r="P115" s="9"/>
      <c r="Q115" s="9"/>
      <c r="R115" s="41"/>
      <c r="S115" s="9"/>
      <c r="T115" s="40"/>
      <c r="U115" s="9"/>
      <c r="V115" s="9"/>
      <c r="W115" s="9"/>
      <c r="X115" s="9"/>
      <c r="Y115" s="9"/>
      <c r="Z115" s="9"/>
      <c r="AA115" s="9"/>
      <c r="AB115" s="9"/>
      <c r="AC115" s="9"/>
      <c r="AD115" s="9"/>
      <c r="AE115" s="9"/>
      <c r="AF115" s="10" t="str">
        <f aca="false">IF(A115="","",SG_Criteria!$B$6&amp;SG_Criteria!$B$10&amp;"\"&amp;A115&amp;"\")</f>
        <v/>
      </c>
      <c r="AG115" s="10" t="str">
        <f aca="false">IF(A115="","",A115&amp;"_CAD.dwg")</f>
        <v/>
      </c>
      <c r="AH115" s="10" t="str">
        <f aca="false">IF(A115="","",A115&amp;"_DWG.pdf")</f>
        <v/>
      </c>
      <c r="AI115" s="10" t="str">
        <f aca="false">IF(A115="","",IF(AE115="Y",A115&amp;"_STAAD.std","n/a"))</f>
        <v/>
      </c>
      <c r="AJ115" s="10" t="str">
        <f aca="false">IF(A115="","",A115&amp;"_CALC.xlsx")</f>
        <v/>
      </c>
      <c r="AK115" s="10" t="str">
        <f aca="false">IF(A115="","",A115&amp;"_CALC.pdf")</f>
        <v/>
      </c>
      <c r="AL115" s="9"/>
      <c r="AM115" s="9"/>
      <c r="AN115" s="41"/>
      <c r="AO115" s="41"/>
      <c r="AP115" s="41"/>
      <c r="AQ115" s="41"/>
      <c r="AR115" s="41"/>
      <c r="AS115" s="38" t="str">
        <f aca="false">IF(C115="","",IF(LEN(IF(AND(S115&lt;&gt;"",IFERROR(VALUE(MID(S115,2,2)),0)&lt;SG_Criteria!$B$19),"FAIL: grade below C"&amp;SG_Criteria!$B$19&amp;". ","")&amp;IF(AND(T115&lt;&gt;"",T115&lt;SG_Criteria!$B$20),"FAIL: cover &lt; "&amp;SG_Criteria!$B$20&amp;" mm. ","")&amp;IF(AND(H115&lt;&gt;"",H115&lt;SG_Criteria!$B$39),"NOTE: min depth below PUB "&amp;SG_Criteria!$B$39&amp;" m. ","")&amp;IF(AND(LEFT(C115,8)="Standard",I115&gt;SG_Criteria!$B$42),"FAIL: PUB 001C covers manholes up to "&amp;SG_Criteria!$B$42&amp;" m deep only. ","")&amp;IF(AND(LEFT(C115,11)="Rectangular",J115&lt;SG_Criteria!$B$43),"NOTE: 004C is for sewers &gt;= "&amp;SG_Criteria!$B$43&amp;" dia. ","")&amp;IF(AND(LEFT(C115,7)="Precast",I115&lt;=SG_Criteria!$B$42),"NOTE: 006C is for manholes &gt; "&amp;SG_Criteria!$B$42&amp;" m deep. ","")&amp;IF(AND(J115&lt;&gt;"",J115&lt;SG_Criteria!$B$40,C115&lt;&gt;"Inspection Chamber"),"NOTE: public sewer min dia "&amp;SG_Criteria!$B$40&amp;" mm. ","")&amp;IF(AND(R115&lt;&gt;"",R115&lt;SG_Criteria!$B$44),"FAIL: uplift FOS below "&amp;SG_Criteria!$B$44&amp;". ",""))=0,"OK",IF(AND(S115&lt;&gt;"",IFERROR(VALUE(MID(S115,2,2)),0)&lt;SG_Criteria!$B$19),"FAIL: grade below C"&amp;SG_Criteria!$B$19&amp;". ","")&amp;IF(AND(T115&lt;&gt;"",T115&lt;SG_Criteria!$B$20),"FAIL: cover &lt; "&amp;SG_Criteria!$B$20&amp;" mm. ","")&amp;IF(AND(H115&lt;&gt;"",H115&lt;SG_Criteria!$B$39),"NOTE: min depth below PUB "&amp;SG_Criteria!$B$39&amp;" m. ","")&amp;IF(AND(LEFT(C115,8)="Standard",I115&gt;SG_Criteria!$B$42),"FAIL: PUB 001C covers manholes up to "&amp;SG_Criteria!$B$42&amp;" m deep only. ","")&amp;IF(AND(LEFT(C115,11)="Rectangular",J115&lt;SG_Criteria!$B$43),"NOTE: 004C is for sewers &gt;= "&amp;SG_Criteria!$B$43&amp;" dia. ","")&amp;IF(AND(LEFT(C115,7)="Precast",I115&lt;=SG_Criteria!$B$42),"NOTE: 006C is for manholes &gt; "&amp;SG_Criteria!$B$42&amp;" m deep. ","")&amp;IF(AND(J115&lt;&gt;"",J115&lt;SG_Criteria!$B$40,C115&lt;&gt;"Inspection Chamber"),"NOTE: public sewer min dia "&amp;SG_Criteria!$B$40&amp;" mm. ","")&amp;IF(AND(R115&lt;&gt;"",R115&lt;SG_Criteria!$B$44),"FAIL: uplift FOS below "&amp;SG_Criteria!$B$44&amp;". ","")))</f>
        <v/>
      </c>
      <c r="AT115" s="9"/>
      <c r="AU115" s="9"/>
      <c r="AV115" s="9"/>
      <c r="AW115" s="9"/>
      <c r="AX115" s="9"/>
      <c r="AY115" s="31"/>
      <c r="AZ115" s="10" t="str">
        <f aca="false">IF(C115="","",IF(AND(AB115="Approved",ISERROR(SEARCH("FAIL",AS115))),"Y","N"))</f>
        <v/>
      </c>
      <c r="BA115" s="10" t="str">
        <f aca="false">IF(C115="","",C115&amp;"|"&amp;I115&amp;"|"&amp;F115&amp;"|"&amp;AZ115)</f>
        <v/>
      </c>
    </row>
    <row r="116" customFormat="false" ht="15" hidden="false" customHeight="false" outlineLevel="0" collapsed="false">
      <c r="A116" s="10" t="str">
        <f aca="false">IF(C116="","","MH-"&amp;IFERROR(VLOOKUP(C116,Lists!$AB$4:$AC$20,2,0),"??")&amp;"-"&amp;TEXT(F116,"0000")&amp;IF(E116="Circular","D","x"&amp;TEXT(G116,"0000"))&amp;"-D"&amp;TEXT(I116*1000,"0000")&amp;"-"&amp;IFERROR(VLOOKUP(D116,Lists!$AE$4:$AF$16,2,0),"??")&amp;"-"&amp;AA116)</f>
        <v/>
      </c>
      <c r="B116" s="10" t="str">
        <f aca="false">IF(C116="","",C116&amp;", "&amp;D116&amp;", "&amp;IF(E116="Circular",F116&amp;" dia",F116&amp;" x "&amp;G116)&amp;", depth "&amp;TEXT(H116,"0.0")&amp;"-"&amp;TEXT(I116,"0.0")&amp;" m, pipe up to "&amp;J116&amp;" dia")</f>
        <v/>
      </c>
      <c r="C116" s="9"/>
      <c r="D116" s="9"/>
      <c r="E116" s="9"/>
      <c r="F116" s="40"/>
      <c r="G116" s="40"/>
      <c r="H116" s="43"/>
      <c r="I116" s="43"/>
      <c r="J116" s="40"/>
      <c r="K116" s="40"/>
      <c r="L116" s="40"/>
      <c r="M116" s="40"/>
      <c r="N116" s="9"/>
      <c r="O116" s="9"/>
      <c r="P116" s="9"/>
      <c r="Q116" s="9"/>
      <c r="R116" s="41"/>
      <c r="S116" s="9"/>
      <c r="T116" s="40"/>
      <c r="U116" s="9"/>
      <c r="V116" s="9"/>
      <c r="W116" s="9"/>
      <c r="X116" s="9"/>
      <c r="Y116" s="9"/>
      <c r="Z116" s="9"/>
      <c r="AA116" s="9"/>
      <c r="AB116" s="9"/>
      <c r="AC116" s="9"/>
      <c r="AD116" s="9"/>
      <c r="AE116" s="9"/>
      <c r="AF116" s="10" t="str">
        <f aca="false">IF(A116="","",SG_Criteria!$B$6&amp;SG_Criteria!$B$10&amp;"\"&amp;A116&amp;"\")</f>
        <v/>
      </c>
      <c r="AG116" s="10" t="str">
        <f aca="false">IF(A116="","",A116&amp;"_CAD.dwg")</f>
        <v/>
      </c>
      <c r="AH116" s="10" t="str">
        <f aca="false">IF(A116="","",A116&amp;"_DWG.pdf")</f>
        <v/>
      </c>
      <c r="AI116" s="10" t="str">
        <f aca="false">IF(A116="","",IF(AE116="Y",A116&amp;"_STAAD.std","n/a"))</f>
        <v/>
      </c>
      <c r="AJ116" s="10" t="str">
        <f aca="false">IF(A116="","",A116&amp;"_CALC.xlsx")</f>
        <v/>
      </c>
      <c r="AK116" s="10" t="str">
        <f aca="false">IF(A116="","",A116&amp;"_CALC.pdf")</f>
        <v/>
      </c>
      <c r="AL116" s="9"/>
      <c r="AM116" s="9"/>
      <c r="AN116" s="41"/>
      <c r="AO116" s="41"/>
      <c r="AP116" s="41"/>
      <c r="AQ116" s="41"/>
      <c r="AR116" s="41"/>
      <c r="AS116" s="38" t="str">
        <f aca="false">IF(C116="","",IF(LEN(IF(AND(S116&lt;&gt;"",IFERROR(VALUE(MID(S116,2,2)),0)&lt;SG_Criteria!$B$19),"FAIL: grade below C"&amp;SG_Criteria!$B$19&amp;". ","")&amp;IF(AND(T116&lt;&gt;"",T116&lt;SG_Criteria!$B$20),"FAIL: cover &lt; "&amp;SG_Criteria!$B$20&amp;" mm. ","")&amp;IF(AND(H116&lt;&gt;"",H116&lt;SG_Criteria!$B$39),"NOTE: min depth below PUB "&amp;SG_Criteria!$B$39&amp;" m. ","")&amp;IF(AND(LEFT(C116,8)="Standard",I116&gt;SG_Criteria!$B$42),"FAIL: PUB 001C covers manholes up to "&amp;SG_Criteria!$B$42&amp;" m deep only. ","")&amp;IF(AND(LEFT(C116,11)="Rectangular",J116&lt;SG_Criteria!$B$43),"NOTE: 004C is for sewers &gt;= "&amp;SG_Criteria!$B$43&amp;" dia. ","")&amp;IF(AND(LEFT(C116,7)="Precast",I116&lt;=SG_Criteria!$B$42),"NOTE: 006C is for manholes &gt; "&amp;SG_Criteria!$B$42&amp;" m deep. ","")&amp;IF(AND(J116&lt;&gt;"",J116&lt;SG_Criteria!$B$40,C116&lt;&gt;"Inspection Chamber"),"NOTE: public sewer min dia "&amp;SG_Criteria!$B$40&amp;" mm. ","")&amp;IF(AND(R116&lt;&gt;"",R116&lt;SG_Criteria!$B$44),"FAIL: uplift FOS below "&amp;SG_Criteria!$B$44&amp;". ",""))=0,"OK",IF(AND(S116&lt;&gt;"",IFERROR(VALUE(MID(S116,2,2)),0)&lt;SG_Criteria!$B$19),"FAIL: grade below C"&amp;SG_Criteria!$B$19&amp;". ","")&amp;IF(AND(T116&lt;&gt;"",T116&lt;SG_Criteria!$B$20),"FAIL: cover &lt; "&amp;SG_Criteria!$B$20&amp;" mm. ","")&amp;IF(AND(H116&lt;&gt;"",H116&lt;SG_Criteria!$B$39),"NOTE: min depth below PUB "&amp;SG_Criteria!$B$39&amp;" m. ","")&amp;IF(AND(LEFT(C116,8)="Standard",I116&gt;SG_Criteria!$B$42),"FAIL: PUB 001C covers manholes up to "&amp;SG_Criteria!$B$42&amp;" m deep only. ","")&amp;IF(AND(LEFT(C116,11)="Rectangular",J116&lt;SG_Criteria!$B$43),"NOTE: 004C is for sewers &gt;= "&amp;SG_Criteria!$B$43&amp;" dia. ","")&amp;IF(AND(LEFT(C116,7)="Precast",I116&lt;=SG_Criteria!$B$42),"NOTE: 006C is for manholes &gt; "&amp;SG_Criteria!$B$42&amp;" m deep. ","")&amp;IF(AND(J116&lt;&gt;"",J116&lt;SG_Criteria!$B$40,C116&lt;&gt;"Inspection Chamber"),"NOTE: public sewer min dia "&amp;SG_Criteria!$B$40&amp;" mm. ","")&amp;IF(AND(R116&lt;&gt;"",R116&lt;SG_Criteria!$B$44),"FAIL: uplift FOS below "&amp;SG_Criteria!$B$44&amp;". ","")))</f>
        <v/>
      </c>
      <c r="AT116" s="9"/>
      <c r="AU116" s="9"/>
      <c r="AV116" s="9"/>
      <c r="AW116" s="9"/>
      <c r="AX116" s="9"/>
      <c r="AY116" s="31"/>
      <c r="AZ116" s="10" t="str">
        <f aca="false">IF(C116="","",IF(AND(AB116="Approved",ISERROR(SEARCH("FAIL",AS116))),"Y","N"))</f>
        <v/>
      </c>
      <c r="BA116" s="10" t="str">
        <f aca="false">IF(C116="","",C116&amp;"|"&amp;I116&amp;"|"&amp;F116&amp;"|"&amp;AZ116)</f>
        <v/>
      </c>
    </row>
    <row r="117" customFormat="false" ht="15" hidden="false" customHeight="false" outlineLevel="0" collapsed="false">
      <c r="A117" s="10" t="str">
        <f aca="false">IF(C117="","","MH-"&amp;IFERROR(VLOOKUP(C117,Lists!$AB$4:$AC$20,2,0),"??")&amp;"-"&amp;TEXT(F117,"0000")&amp;IF(E117="Circular","D","x"&amp;TEXT(G117,"0000"))&amp;"-D"&amp;TEXT(I117*1000,"0000")&amp;"-"&amp;IFERROR(VLOOKUP(D117,Lists!$AE$4:$AF$16,2,0),"??")&amp;"-"&amp;AA117)</f>
        <v/>
      </c>
      <c r="B117" s="10" t="str">
        <f aca="false">IF(C117="","",C117&amp;", "&amp;D117&amp;", "&amp;IF(E117="Circular",F117&amp;" dia",F117&amp;" x "&amp;G117)&amp;", depth "&amp;TEXT(H117,"0.0")&amp;"-"&amp;TEXT(I117,"0.0")&amp;" m, pipe up to "&amp;J117&amp;" dia")</f>
        <v/>
      </c>
      <c r="C117" s="9"/>
      <c r="D117" s="9"/>
      <c r="E117" s="9"/>
      <c r="F117" s="40"/>
      <c r="G117" s="40"/>
      <c r="H117" s="43"/>
      <c r="I117" s="43"/>
      <c r="J117" s="40"/>
      <c r="K117" s="40"/>
      <c r="L117" s="40"/>
      <c r="M117" s="40"/>
      <c r="N117" s="9"/>
      <c r="O117" s="9"/>
      <c r="P117" s="9"/>
      <c r="Q117" s="9"/>
      <c r="R117" s="41"/>
      <c r="S117" s="9"/>
      <c r="T117" s="40"/>
      <c r="U117" s="9"/>
      <c r="V117" s="9"/>
      <c r="W117" s="9"/>
      <c r="X117" s="9"/>
      <c r="Y117" s="9"/>
      <c r="Z117" s="9"/>
      <c r="AA117" s="9"/>
      <c r="AB117" s="9"/>
      <c r="AC117" s="9"/>
      <c r="AD117" s="9"/>
      <c r="AE117" s="9"/>
      <c r="AF117" s="10" t="str">
        <f aca="false">IF(A117="","",SG_Criteria!$B$6&amp;SG_Criteria!$B$10&amp;"\"&amp;A117&amp;"\")</f>
        <v/>
      </c>
      <c r="AG117" s="10" t="str">
        <f aca="false">IF(A117="","",A117&amp;"_CAD.dwg")</f>
        <v/>
      </c>
      <c r="AH117" s="10" t="str">
        <f aca="false">IF(A117="","",A117&amp;"_DWG.pdf")</f>
        <v/>
      </c>
      <c r="AI117" s="10" t="str">
        <f aca="false">IF(A117="","",IF(AE117="Y",A117&amp;"_STAAD.std","n/a"))</f>
        <v/>
      </c>
      <c r="AJ117" s="10" t="str">
        <f aca="false">IF(A117="","",A117&amp;"_CALC.xlsx")</f>
        <v/>
      </c>
      <c r="AK117" s="10" t="str">
        <f aca="false">IF(A117="","",A117&amp;"_CALC.pdf")</f>
        <v/>
      </c>
      <c r="AL117" s="9"/>
      <c r="AM117" s="9"/>
      <c r="AN117" s="41"/>
      <c r="AO117" s="41"/>
      <c r="AP117" s="41"/>
      <c r="AQ117" s="41"/>
      <c r="AR117" s="41"/>
      <c r="AS117" s="38" t="str">
        <f aca="false">IF(C117="","",IF(LEN(IF(AND(S117&lt;&gt;"",IFERROR(VALUE(MID(S117,2,2)),0)&lt;SG_Criteria!$B$19),"FAIL: grade below C"&amp;SG_Criteria!$B$19&amp;". ","")&amp;IF(AND(T117&lt;&gt;"",T117&lt;SG_Criteria!$B$20),"FAIL: cover &lt; "&amp;SG_Criteria!$B$20&amp;" mm. ","")&amp;IF(AND(H117&lt;&gt;"",H117&lt;SG_Criteria!$B$39),"NOTE: min depth below PUB "&amp;SG_Criteria!$B$39&amp;" m. ","")&amp;IF(AND(LEFT(C117,8)="Standard",I117&gt;SG_Criteria!$B$42),"FAIL: PUB 001C covers manholes up to "&amp;SG_Criteria!$B$42&amp;" m deep only. ","")&amp;IF(AND(LEFT(C117,11)="Rectangular",J117&lt;SG_Criteria!$B$43),"NOTE: 004C is for sewers &gt;= "&amp;SG_Criteria!$B$43&amp;" dia. ","")&amp;IF(AND(LEFT(C117,7)="Precast",I117&lt;=SG_Criteria!$B$42),"NOTE: 006C is for manholes &gt; "&amp;SG_Criteria!$B$42&amp;" m deep. ","")&amp;IF(AND(J117&lt;&gt;"",J117&lt;SG_Criteria!$B$40,C117&lt;&gt;"Inspection Chamber"),"NOTE: public sewer min dia "&amp;SG_Criteria!$B$40&amp;" mm. ","")&amp;IF(AND(R117&lt;&gt;"",R117&lt;SG_Criteria!$B$44),"FAIL: uplift FOS below "&amp;SG_Criteria!$B$44&amp;". ",""))=0,"OK",IF(AND(S117&lt;&gt;"",IFERROR(VALUE(MID(S117,2,2)),0)&lt;SG_Criteria!$B$19),"FAIL: grade below C"&amp;SG_Criteria!$B$19&amp;". ","")&amp;IF(AND(T117&lt;&gt;"",T117&lt;SG_Criteria!$B$20),"FAIL: cover &lt; "&amp;SG_Criteria!$B$20&amp;" mm. ","")&amp;IF(AND(H117&lt;&gt;"",H117&lt;SG_Criteria!$B$39),"NOTE: min depth below PUB "&amp;SG_Criteria!$B$39&amp;" m. ","")&amp;IF(AND(LEFT(C117,8)="Standard",I117&gt;SG_Criteria!$B$42),"FAIL: PUB 001C covers manholes up to "&amp;SG_Criteria!$B$42&amp;" m deep only. ","")&amp;IF(AND(LEFT(C117,11)="Rectangular",J117&lt;SG_Criteria!$B$43),"NOTE: 004C is for sewers &gt;= "&amp;SG_Criteria!$B$43&amp;" dia. ","")&amp;IF(AND(LEFT(C117,7)="Precast",I117&lt;=SG_Criteria!$B$42),"NOTE: 006C is for manholes &gt; "&amp;SG_Criteria!$B$42&amp;" m deep. ","")&amp;IF(AND(J117&lt;&gt;"",J117&lt;SG_Criteria!$B$40,C117&lt;&gt;"Inspection Chamber"),"NOTE: public sewer min dia "&amp;SG_Criteria!$B$40&amp;" mm. ","")&amp;IF(AND(R117&lt;&gt;"",R117&lt;SG_Criteria!$B$44),"FAIL: uplift FOS below "&amp;SG_Criteria!$B$44&amp;". ","")))</f>
        <v/>
      </c>
      <c r="AT117" s="9"/>
      <c r="AU117" s="9"/>
      <c r="AV117" s="9"/>
      <c r="AW117" s="9"/>
      <c r="AX117" s="9"/>
      <c r="AY117" s="31"/>
      <c r="AZ117" s="10" t="str">
        <f aca="false">IF(C117="","",IF(AND(AB117="Approved",ISERROR(SEARCH("FAIL",AS117))),"Y","N"))</f>
        <v/>
      </c>
      <c r="BA117" s="10" t="str">
        <f aca="false">IF(C117="","",C117&amp;"|"&amp;I117&amp;"|"&amp;F117&amp;"|"&amp;AZ117)</f>
        <v/>
      </c>
    </row>
    <row r="118" customFormat="false" ht="15" hidden="false" customHeight="false" outlineLevel="0" collapsed="false">
      <c r="A118" s="10" t="str">
        <f aca="false">IF(C118="","","MH-"&amp;IFERROR(VLOOKUP(C118,Lists!$AB$4:$AC$20,2,0),"??")&amp;"-"&amp;TEXT(F118,"0000")&amp;IF(E118="Circular","D","x"&amp;TEXT(G118,"0000"))&amp;"-D"&amp;TEXT(I118*1000,"0000")&amp;"-"&amp;IFERROR(VLOOKUP(D118,Lists!$AE$4:$AF$16,2,0),"??")&amp;"-"&amp;AA118)</f>
        <v/>
      </c>
      <c r="B118" s="10" t="str">
        <f aca="false">IF(C118="","",C118&amp;", "&amp;D118&amp;", "&amp;IF(E118="Circular",F118&amp;" dia",F118&amp;" x "&amp;G118)&amp;", depth "&amp;TEXT(H118,"0.0")&amp;"-"&amp;TEXT(I118,"0.0")&amp;" m, pipe up to "&amp;J118&amp;" dia")</f>
        <v/>
      </c>
      <c r="C118" s="9"/>
      <c r="D118" s="9"/>
      <c r="E118" s="9"/>
      <c r="F118" s="40"/>
      <c r="G118" s="40"/>
      <c r="H118" s="43"/>
      <c r="I118" s="43"/>
      <c r="J118" s="40"/>
      <c r="K118" s="40"/>
      <c r="L118" s="40"/>
      <c r="M118" s="40"/>
      <c r="N118" s="9"/>
      <c r="O118" s="9"/>
      <c r="P118" s="9"/>
      <c r="Q118" s="9"/>
      <c r="R118" s="41"/>
      <c r="S118" s="9"/>
      <c r="T118" s="40"/>
      <c r="U118" s="9"/>
      <c r="V118" s="9"/>
      <c r="W118" s="9"/>
      <c r="X118" s="9"/>
      <c r="Y118" s="9"/>
      <c r="Z118" s="9"/>
      <c r="AA118" s="9"/>
      <c r="AB118" s="9"/>
      <c r="AC118" s="9"/>
      <c r="AD118" s="9"/>
      <c r="AE118" s="9"/>
      <c r="AF118" s="10" t="str">
        <f aca="false">IF(A118="","",SG_Criteria!$B$6&amp;SG_Criteria!$B$10&amp;"\"&amp;A118&amp;"\")</f>
        <v/>
      </c>
      <c r="AG118" s="10" t="str">
        <f aca="false">IF(A118="","",A118&amp;"_CAD.dwg")</f>
        <v/>
      </c>
      <c r="AH118" s="10" t="str">
        <f aca="false">IF(A118="","",A118&amp;"_DWG.pdf")</f>
        <v/>
      </c>
      <c r="AI118" s="10" t="str">
        <f aca="false">IF(A118="","",IF(AE118="Y",A118&amp;"_STAAD.std","n/a"))</f>
        <v/>
      </c>
      <c r="AJ118" s="10" t="str">
        <f aca="false">IF(A118="","",A118&amp;"_CALC.xlsx")</f>
        <v/>
      </c>
      <c r="AK118" s="10" t="str">
        <f aca="false">IF(A118="","",A118&amp;"_CALC.pdf")</f>
        <v/>
      </c>
      <c r="AL118" s="9"/>
      <c r="AM118" s="9"/>
      <c r="AN118" s="41"/>
      <c r="AO118" s="41"/>
      <c r="AP118" s="41"/>
      <c r="AQ118" s="41"/>
      <c r="AR118" s="41"/>
      <c r="AS118" s="38" t="str">
        <f aca="false">IF(C118="","",IF(LEN(IF(AND(S118&lt;&gt;"",IFERROR(VALUE(MID(S118,2,2)),0)&lt;SG_Criteria!$B$19),"FAIL: grade below C"&amp;SG_Criteria!$B$19&amp;". ","")&amp;IF(AND(T118&lt;&gt;"",T118&lt;SG_Criteria!$B$20),"FAIL: cover &lt; "&amp;SG_Criteria!$B$20&amp;" mm. ","")&amp;IF(AND(H118&lt;&gt;"",H118&lt;SG_Criteria!$B$39),"NOTE: min depth below PUB "&amp;SG_Criteria!$B$39&amp;" m. ","")&amp;IF(AND(LEFT(C118,8)="Standard",I118&gt;SG_Criteria!$B$42),"FAIL: PUB 001C covers manholes up to "&amp;SG_Criteria!$B$42&amp;" m deep only. ","")&amp;IF(AND(LEFT(C118,11)="Rectangular",J118&lt;SG_Criteria!$B$43),"NOTE: 004C is for sewers &gt;= "&amp;SG_Criteria!$B$43&amp;" dia. ","")&amp;IF(AND(LEFT(C118,7)="Precast",I118&lt;=SG_Criteria!$B$42),"NOTE: 006C is for manholes &gt; "&amp;SG_Criteria!$B$42&amp;" m deep. ","")&amp;IF(AND(J118&lt;&gt;"",J118&lt;SG_Criteria!$B$40,C118&lt;&gt;"Inspection Chamber"),"NOTE: public sewer min dia "&amp;SG_Criteria!$B$40&amp;" mm. ","")&amp;IF(AND(R118&lt;&gt;"",R118&lt;SG_Criteria!$B$44),"FAIL: uplift FOS below "&amp;SG_Criteria!$B$44&amp;". ",""))=0,"OK",IF(AND(S118&lt;&gt;"",IFERROR(VALUE(MID(S118,2,2)),0)&lt;SG_Criteria!$B$19),"FAIL: grade below C"&amp;SG_Criteria!$B$19&amp;". ","")&amp;IF(AND(T118&lt;&gt;"",T118&lt;SG_Criteria!$B$20),"FAIL: cover &lt; "&amp;SG_Criteria!$B$20&amp;" mm. ","")&amp;IF(AND(H118&lt;&gt;"",H118&lt;SG_Criteria!$B$39),"NOTE: min depth below PUB "&amp;SG_Criteria!$B$39&amp;" m. ","")&amp;IF(AND(LEFT(C118,8)="Standard",I118&gt;SG_Criteria!$B$42),"FAIL: PUB 001C covers manholes up to "&amp;SG_Criteria!$B$42&amp;" m deep only. ","")&amp;IF(AND(LEFT(C118,11)="Rectangular",J118&lt;SG_Criteria!$B$43),"NOTE: 004C is for sewers &gt;= "&amp;SG_Criteria!$B$43&amp;" dia. ","")&amp;IF(AND(LEFT(C118,7)="Precast",I118&lt;=SG_Criteria!$B$42),"NOTE: 006C is for manholes &gt; "&amp;SG_Criteria!$B$42&amp;" m deep. ","")&amp;IF(AND(J118&lt;&gt;"",J118&lt;SG_Criteria!$B$40,C118&lt;&gt;"Inspection Chamber"),"NOTE: public sewer min dia "&amp;SG_Criteria!$B$40&amp;" mm. ","")&amp;IF(AND(R118&lt;&gt;"",R118&lt;SG_Criteria!$B$44),"FAIL: uplift FOS below "&amp;SG_Criteria!$B$44&amp;". ","")))</f>
        <v/>
      </c>
      <c r="AT118" s="9"/>
      <c r="AU118" s="9"/>
      <c r="AV118" s="9"/>
      <c r="AW118" s="9"/>
      <c r="AX118" s="9"/>
      <c r="AY118" s="31"/>
      <c r="AZ118" s="10" t="str">
        <f aca="false">IF(C118="","",IF(AND(AB118="Approved",ISERROR(SEARCH("FAIL",AS118))),"Y","N"))</f>
        <v/>
      </c>
      <c r="BA118" s="10" t="str">
        <f aca="false">IF(C118="","",C118&amp;"|"&amp;I118&amp;"|"&amp;F118&amp;"|"&amp;AZ118)</f>
        <v/>
      </c>
    </row>
    <row r="119" customFormat="false" ht="15" hidden="false" customHeight="false" outlineLevel="0" collapsed="false">
      <c r="A119" s="10" t="str">
        <f aca="false">IF(C119="","","MH-"&amp;IFERROR(VLOOKUP(C119,Lists!$AB$4:$AC$20,2,0),"??")&amp;"-"&amp;TEXT(F119,"0000")&amp;IF(E119="Circular","D","x"&amp;TEXT(G119,"0000"))&amp;"-D"&amp;TEXT(I119*1000,"0000")&amp;"-"&amp;IFERROR(VLOOKUP(D119,Lists!$AE$4:$AF$16,2,0),"??")&amp;"-"&amp;AA119)</f>
        <v/>
      </c>
      <c r="B119" s="10" t="str">
        <f aca="false">IF(C119="","",C119&amp;", "&amp;D119&amp;", "&amp;IF(E119="Circular",F119&amp;" dia",F119&amp;" x "&amp;G119)&amp;", depth "&amp;TEXT(H119,"0.0")&amp;"-"&amp;TEXT(I119,"0.0")&amp;" m, pipe up to "&amp;J119&amp;" dia")</f>
        <v/>
      </c>
      <c r="C119" s="9"/>
      <c r="D119" s="9"/>
      <c r="E119" s="9"/>
      <c r="F119" s="40"/>
      <c r="G119" s="40"/>
      <c r="H119" s="43"/>
      <c r="I119" s="43"/>
      <c r="J119" s="40"/>
      <c r="K119" s="40"/>
      <c r="L119" s="40"/>
      <c r="M119" s="40"/>
      <c r="N119" s="9"/>
      <c r="O119" s="9"/>
      <c r="P119" s="9"/>
      <c r="Q119" s="9"/>
      <c r="R119" s="41"/>
      <c r="S119" s="9"/>
      <c r="T119" s="40"/>
      <c r="U119" s="9"/>
      <c r="V119" s="9"/>
      <c r="W119" s="9"/>
      <c r="X119" s="9"/>
      <c r="Y119" s="9"/>
      <c r="Z119" s="9"/>
      <c r="AA119" s="9"/>
      <c r="AB119" s="9"/>
      <c r="AC119" s="9"/>
      <c r="AD119" s="9"/>
      <c r="AE119" s="9"/>
      <c r="AF119" s="10" t="str">
        <f aca="false">IF(A119="","",SG_Criteria!$B$6&amp;SG_Criteria!$B$10&amp;"\"&amp;A119&amp;"\")</f>
        <v/>
      </c>
      <c r="AG119" s="10" t="str">
        <f aca="false">IF(A119="","",A119&amp;"_CAD.dwg")</f>
        <v/>
      </c>
      <c r="AH119" s="10" t="str">
        <f aca="false">IF(A119="","",A119&amp;"_DWG.pdf")</f>
        <v/>
      </c>
      <c r="AI119" s="10" t="str">
        <f aca="false">IF(A119="","",IF(AE119="Y",A119&amp;"_STAAD.std","n/a"))</f>
        <v/>
      </c>
      <c r="AJ119" s="10" t="str">
        <f aca="false">IF(A119="","",A119&amp;"_CALC.xlsx")</f>
        <v/>
      </c>
      <c r="AK119" s="10" t="str">
        <f aca="false">IF(A119="","",A119&amp;"_CALC.pdf")</f>
        <v/>
      </c>
      <c r="AL119" s="9"/>
      <c r="AM119" s="9"/>
      <c r="AN119" s="41"/>
      <c r="AO119" s="41"/>
      <c r="AP119" s="41"/>
      <c r="AQ119" s="41"/>
      <c r="AR119" s="41"/>
      <c r="AS119" s="38" t="str">
        <f aca="false">IF(C119="","",IF(LEN(IF(AND(S119&lt;&gt;"",IFERROR(VALUE(MID(S119,2,2)),0)&lt;SG_Criteria!$B$19),"FAIL: grade below C"&amp;SG_Criteria!$B$19&amp;". ","")&amp;IF(AND(T119&lt;&gt;"",T119&lt;SG_Criteria!$B$20),"FAIL: cover &lt; "&amp;SG_Criteria!$B$20&amp;" mm. ","")&amp;IF(AND(H119&lt;&gt;"",H119&lt;SG_Criteria!$B$39),"NOTE: min depth below PUB "&amp;SG_Criteria!$B$39&amp;" m. ","")&amp;IF(AND(LEFT(C119,8)="Standard",I119&gt;SG_Criteria!$B$42),"FAIL: PUB 001C covers manholes up to "&amp;SG_Criteria!$B$42&amp;" m deep only. ","")&amp;IF(AND(LEFT(C119,11)="Rectangular",J119&lt;SG_Criteria!$B$43),"NOTE: 004C is for sewers &gt;= "&amp;SG_Criteria!$B$43&amp;" dia. ","")&amp;IF(AND(LEFT(C119,7)="Precast",I119&lt;=SG_Criteria!$B$42),"NOTE: 006C is for manholes &gt; "&amp;SG_Criteria!$B$42&amp;" m deep. ","")&amp;IF(AND(J119&lt;&gt;"",J119&lt;SG_Criteria!$B$40,C119&lt;&gt;"Inspection Chamber"),"NOTE: public sewer min dia "&amp;SG_Criteria!$B$40&amp;" mm. ","")&amp;IF(AND(R119&lt;&gt;"",R119&lt;SG_Criteria!$B$44),"FAIL: uplift FOS below "&amp;SG_Criteria!$B$44&amp;". ",""))=0,"OK",IF(AND(S119&lt;&gt;"",IFERROR(VALUE(MID(S119,2,2)),0)&lt;SG_Criteria!$B$19),"FAIL: grade below C"&amp;SG_Criteria!$B$19&amp;". ","")&amp;IF(AND(T119&lt;&gt;"",T119&lt;SG_Criteria!$B$20),"FAIL: cover &lt; "&amp;SG_Criteria!$B$20&amp;" mm. ","")&amp;IF(AND(H119&lt;&gt;"",H119&lt;SG_Criteria!$B$39),"NOTE: min depth below PUB "&amp;SG_Criteria!$B$39&amp;" m. ","")&amp;IF(AND(LEFT(C119,8)="Standard",I119&gt;SG_Criteria!$B$42),"FAIL: PUB 001C covers manholes up to "&amp;SG_Criteria!$B$42&amp;" m deep only. ","")&amp;IF(AND(LEFT(C119,11)="Rectangular",J119&lt;SG_Criteria!$B$43),"NOTE: 004C is for sewers &gt;= "&amp;SG_Criteria!$B$43&amp;" dia. ","")&amp;IF(AND(LEFT(C119,7)="Precast",I119&lt;=SG_Criteria!$B$42),"NOTE: 006C is for manholes &gt; "&amp;SG_Criteria!$B$42&amp;" m deep. ","")&amp;IF(AND(J119&lt;&gt;"",J119&lt;SG_Criteria!$B$40,C119&lt;&gt;"Inspection Chamber"),"NOTE: public sewer min dia "&amp;SG_Criteria!$B$40&amp;" mm. ","")&amp;IF(AND(R119&lt;&gt;"",R119&lt;SG_Criteria!$B$44),"FAIL: uplift FOS below "&amp;SG_Criteria!$B$44&amp;". ","")))</f>
        <v/>
      </c>
      <c r="AT119" s="9"/>
      <c r="AU119" s="9"/>
      <c r="AV119" s="9"/>
      <c r="AW119" s="9"/>
      <c r="AX119" s="9"/>
      <c r="AY119" s="31"/>
      <c r="AZ119" s="10" t="str">
        <f aca="false">IF(C119="","",IF(AND(AB119="Approved",ISERROR(SEARCH("FAIL",AS119))),"Y","N"))</f>
        <v/>
      </c>
      <c r="BA119" s="10" t="str">
        <f aca="false">IF(C119="","",C119&amp;"|"&amp;I119&amp;"|"&amp;F119&amp;"|"&amp;AZ119)</f>
        <v/>
      </c>
    </row>
    <row r="120" customFormat="false" ht="15" hidden="false" customHeight="false" outlineLevel="0" collapsed="false">
      <c r="A120" s="10" t="str">
        <f aca="false">IF(C120="","","MH-"&amp;IFERROR(VLOOKUP(C120,Lists!$AB$4:$AC$20,2,0),"??")&amp;"-"&amp;TEXT(F120,"0000")&amp;IF(E120="Circular","D","x"&amp;TEXT(G120,"0000"))&amp;"-D"&amp;TEXT(I120*1000,"0000")&amp;"-"&amp;IFERROR(VLOOKUP(D120,Lists!$AE$4:$AF$16,2,0),"??")&amp;"-"&amp;AA120)</f>
        <v/>
      </c>
      <c r="B120" s="10" t="str">
        <f aca="false">IF(C120="","",C120&amp;", "&amp;D120&amp;", "&amp;IF(E120="Circular",F120&amp;" dia",F120&amp;" x "&amp;G120)&amp;", depth "&amp;TEXT(H120,"0.0")&amp;"-"&amp;TEXT(I120,"0.0")&amp;" m, pipe up to "&amp;J120&amp;" dia")</f>
        <v/>
      </c>
      <c r="C120" s="9"/>
      <c r="D120" s="9"/>
      <c r="E120" s="9"/>
      <c r="F120" s="40"/>
      <c r="G120" s="40"/>
      <c r="H120" s="43"/>
      <c r="I120" s="43"/>
      <c r="J120" s="40"/>
      <c r="K120" s="40"/>
      <c r="L120" s="40"/>
      <c r="M120" s="40"/>
      <c r="N120" s="9"/>
      <c r="O120" s="9"/>
      <c r="P120" s="9"/>
      <c r="Q120" s="9"/>
      <c r="R120" s="41"/>
      <c r="S120" s="9"/>
      <c r="T120" s="40"/>
      <c r="U120" s="9"/>
      <c r="V120" s="9"/>
      <c r="W120" s="9"/>
      <c r="X120" s="9"/>
      <c r="Y120" s="9"/>
      <c r="Z120" s="9"/>
      <c r="AA120" s="9"/>
      <c r="AB120" s="9"/>
      <c r="AC120" s="9"/>
      <c r="AD120" s="9"/>
      <c r="AE120" s="9"/>
      <c r="AF120" s="10" t="str">
        <f aca="false">IF(A120="","",SG_Criteria!$B$6&amp;SG_Criteria!$B$10&amp;"\"&amp;A120&amp;"\")</f>
        <v/>
      </c>
      <c r="AG120" s="10" t="str">
        <f aca="false">IF(A120="","",A120&amp;"_CAD.dwg")</f>
        <v/>
      </c>
      <c r="AH120" s="10" t="str">
        <f aca="false">IF(A120="","",A120&amp;"_DWG.pdf")</f>
        <v/>
      </c>
      <c r="AI120" s="10" t="str">
        <f aca="false">IF(A120="","",IF(AE120="Y",A120&amp;"_STAAD.std","n/a"))</f>
        <v/>
      </c>
      <c r="AJ120" s="10" t="str">
        <f aca="false">IF(A120="","",A120&amp;"_CALC.xlsx")</f>
        <v/>
      </c>
      <c r="AK120" s="10" t="str">
        <f aca="false">IF(A120="","",A120&amp;"_CALC.pdf")</f>
        <v/>
      </c>
      <c r="AL120" s="9"/>
      <c r="AM120" s="9"/>
      <c r="AN120" s="41"/>
      <c r="AO120" s="41"/>
      <c r="AP120" s="41"/>
      <c r="AQ120" s="41"/>
      <c r="AR120" s="41"/>
      <c r="AS120" s="38" t="str">
        <f aca="false">IF(C120="","",IF(LEN(IF(AND(S120&lt;&gt;"",IFERROR(VALUE(MID(S120,2,2)),0)&lt;SG_Criteria!$B$19),"FAIL: grade below C"&amp;SG_Criteria!$B$19&amp;". ","")&amp;IF(AND(T120&lt;&gt;"",T120&lt;SG_Criteria!$B$20),"FAIL: cover &lt; "&amp;SG_Criteria!$B$20&amp;" mm. ","")&amp;IF(AND(H120&lt;&gt;"",H120&lt;SG_Criteria!$B$39),"NOTE: min depth below PUB "&amp;SG_Criteria!$B$39&amp;" m. ","")&amp;IF(AND(LEFT(C120,8)="Standard",I120&gt;SG_Criteria!$B$42),"FAIL: PUB 001C covers manholes up to "&amp;SG_Criteria!$B$42&amp;" m deep only. ","")&amp;IF(AND(LEFT(C120,11)="Rectangular",J120&lt;SG_Criteria!$B$43),"NOTE: 004C is for sewers &gt;= "&amp;SG_Criteria!$B$43&amp;" dia. ","")&amp;IF(AND(LEFT(C120,7)="Precast",I120&lt;=SG_Criteria!$B$42),"NOTE: 006C is for manholes &gt; "&amp;SG_Criteria!$B$42&amp;" m deep. ","")&amp;IF(AND(J120&lt;&gt;"",J120&lt;SG_Criteria!$B$40,C120&lt;&gt;"Inspection Chamber"),"NOTE: public sewer min dia "&amp;SG_Criteria!$B$40&amp;" mm. ","")&amp;IF(AND(R120&lt;&gt;"",R120&lt;SG_Criteria!$B$44),"FAIL: uplift FOS below "&amp;SG_Criteria!$B$44&amp;". ",""))=0,"OK",IF(AND(S120&lt;&gt;"",IFERROR(VALUE(MID(S120,2,2)),0)&lt;SG_Criteria!$B$19),"FAIL: grade below C"&amp;SG_Criteria!$B$19&amp;". ","")&amp;IF(AND(T120&lt;&gt;"",T120&lt;SG_Criteria!$B$20),"FAIL: cover &lt; "&amp;SG_Criteria!$B$20&amp;" mm. ","")&amp;IF(AND(H120&lt;&gt;"",H120&lt;SG_Criteria!$B$39),"NOTE: min depth below PUB "&amp;SG_Criteria!$B$39&amp;" m. ","")&amp;IF(AND(LEFT(C120,8)="Standard",I120&gt;SG_Criteria!$B$42),"FAIL: PUB 001C covers manholes up to "&amp;SG_Criteria!$B$42&amp;" m deep only. ","")&amp;IF(AND(LEFT(C120,11)="Rectangular",J120&lt;SG_Criteria!$B$43),"NOTE: 004C is for sewers &gt;= "&amp;SG_Criteria!$B$43&amp;" dia. ","")&amp;IF(AND(LEFT(C120,7)="Precast",I120&lt;=SG_Criteria!$B$42),"NOTE: 006C is for manholes &gt; "&amp;SG_Criteria!$B$42&amp;" m deep. ","")&amp;IF(AND(J120&lt;&gt;"",J120&lt;SG_Criteria!$B$40,C120&lt;&gt;"Inspection Chamber"),"NOTE: public sewer min dia "&amp;SG_Criteria!$B$40&amp;" mm. ","")&amp;IF(AND(R120&lt;&gt;"",R120&lt;SG_Criteria!$B$44),"FAIL: uplift FOS below "&amp;SG_Criteria!$B$44&amp;". ","")))</f>
        <v/>
      </c>
      <c r="AT120" s="9"/>
      <c r="AU120" s="9"/>
      <c r="AV120" s="9"/>
      <c r="AW120" s="9"/>
      <c r="AX120" s="9"/>
      <c r="AY120" s="31"/>
      <c r="AZ120" s="10" t="str">
        <f aca="false">IF(C120="","",IF(AND(AB120="Approved",ISERROR(SEARCH("FAIL",AS120))),"Y","N"))</f>
        <v/>
      </c>
      <c r="BA120" s="10" t="str">
        <f aca="false">IF(C120="","",C120&amp;"|"&amp;I120&amp;"|"&amp;F120&amp;"|"&amp;AZ120)</f>
        <v/>
      </c>
    </row>
    <row r="121" customFormat="false" ht="15" hidden="false" customHeight="false" outlineLevel="0" collapsed="false">
      <c r="A121" s="10" t="str">
        <f aca="false">IF(C121="","","MH-"&amp;IFERROR(VLOOKUP(C121,Lists!$AB$4:$AC$20,2,0),"??")&amp;"-"&amp;TEXT(F121,"0000")&amp;IF(E121="Circular","D","x"&amp;TEXT(G121,"0000"))&amp;"-D"&amp;TEXT(I121*1000,"0000")&amp;"-"&amp;IFERROR(VLOOKUP(D121,Lists!$AE$4:$AF$16,2,0),"??")&amp;"-"&amp;AA121)</f>
        <v/>
      </c>
      <c r="B121" s="10" t="str">
        <f aca="false">IF(C121="","",C121&amp;", "&amp;D121&amp;", "&amp;IF(E121="Circular",F121&amp;" dia",F121&amp;" x "&amp;G121)&amp;", depth "&amp;TEXT(H121,"0.0")&amp;"-"&amp;TEXT(I121,"0.0")&amp;" m, pipe up to "&amp;J121&amp;" dia")</f>
        <v/>
      </c>
      <c r="C121" s="9"/>
      <c r="D121" s="9"/>
      <c r="E121" s="9"/>
      <c r="F121" s="40"/>
      <c r="G121" s="40"/>
      <c r="H121" s="43"/>
      <c r="I121" s="43"/>
      <c r="J121" s="40"/>
      <c r="K121" s="40"/>
      <c r="L121" s="40"/>
      <c r="M121" s="40"/>
      <c r="N121" s="9"/>
      <c r="O121" s="9"/>
      <c r="P121" s="9"/>
      <c r="Q121" s="9"/>
      <c r="R121" s="41"/>
      <c r="S121" s="9"/>
      <c r="T121" s="40"/>
      <c r="U121" s="9"/>
      <c r="V121" s="9"/>
      <c r="W121" s="9"/>
      <c r="X121" s="9"/>
      <c r="Y121" s="9"/>
      <c r="Z121" s="9"/>
      <c r="AA121" s="9"/>
      <c r="AB121" s="9"/>
      <c r="AC121" s="9"/>
      <c r="AD121" s="9"/>
      <c r="AE121" s="9"/>
      <c r="AF121" s="10" t="str">
        <f aca="false">IF(A121="","",SG_Criteria!$B$6&amp;SG_Criteria!$B$10&amp;"\"&amp;A121&amp;"\")</f>
        <v/>
      </c>
      <c r="AG121" s="10" t="str">
        <f aca="false">IF(A121="","",A121&amp;"_CAD.dwg")</f>
        <v/>
      </c>
      <c r="AH121" s="10" t="str">
        <f aca="false">IF(A121="","",A121&amp;"_DWG.pdf")</f>
        <v/>
      </c>
      <c r="AI121" s="10" t="str">
        <f aca="false">IF(A121="","",IF(AE121="Y",A121&amp;"_STAAD.std","n/a"))</f>
        <v/>
      </c>
      <c r="AJ121" s="10" t="str">
        <f aca="false">IF(A121="","",A121&amp;"_CALC.xlsx")</f>
        <v/>
      </c>
      <c r="AK121" s="10" t="str">
        <f aca="false">IF(A121="","",A121&amp;"_CALC.pdf")</f>
        <v/>
      </c>
      <c r="AL121" s="9"/>
      <c r="AM121" s="9"/>
      <c r="AN121" s="41"/>
      <c r="AO121" s="41"/>
      <c r="AP121" s="41"/>
      <c r="AQ121" s="41"/>
      <c r="AR121" s="41"/>
      <c r="AS121" s="38" t="str">
        <f aca="false">IF(C121="","",IF(LEN(IF(AND(S121&lt;&gt;"",IFERROR(VALUE(MID(S121,2,2)),0)&lt;SG_Criteria!$B$19),"FAIL: grade below C"&amp;SG_Criteria!$B$19&amp;". ","")&amp;IF(AND(T121&lt;&gt;"",T121&lt;SG_Criteria!$B$20),"FAIL: cover &lt; "&amp;SG_Criteria!$B$20&amp;" mm. ","")&amp;IF(AND(H121&lt;&gt;"",H121&lt;SG_Criteria!$B$39),"NOTE: min depth below PUB "&amp;SG_Criteria!$B$39&amp;" m. ","")&amp;IF(AND(LEFT(C121,8)="Standard",I121&gt;SG_Criteria!$B$42),"FAIL: PUB 001C covers manholes up to "&amp;SG_Criteria!$B$42&amp;" m deep only. ","")&amp;IF(AND(LEFT(C121,11)="Rectangular",J121&lt;SG_Criteria!$B$43),"NOTE: 004C is for sewers &gt;= "&amp;SG_Criteria!$B$43&amp;" dia. ","")&amp;IF(AND(LEFT(C121,7)="Precast",I121&lt;=SG_Criteria!$B$42),"NOTE: 006C is for manholes &gt; "&amp;SG_Criteria!$B$42&amp;" m deep. ","")&amp;IF(AND(J121&lt;&gt;"",J121&lt;SG_Criteria!$B$40,C121&lt;&gt;"Inspection Chamber"),"NOTE: public sewer min dia "&amp;SG_Criteria!$B$40&amp;" mm. ","")&amp;IF(AND(R121&lt;&gt;"",R121&lt;SG_Criteria!$B$44),"FAIL: uplift FOS below "&amp;SG_Criteria!$B$44&amp;". ",""))=0,"OK",IF(AND(S121&lt;&gt;"",IFERROR(VALUE(MID(S121,2,2)),0)&lt;SG_Criteria!$B$19),"FAIL: grade below C"&amp;SG_Criteria!$B$19&amp;". ","")&amp;IF(AND(T121&lt;&gt;"",T121&lt;SG_Criteria!$B$20),"FAIL: cover &lt; "&amp;SG_Criteria!$B$20&amp;" mm. ","")&amp;IF(AND(H121&lt;&gt;"",H121&lt;SG_Criteria!$B$39),"NOTE: min depth below PUB "&amp;SG_Criteria!$B$39&amp;" m. ","")&amp;IF(AND(LEFT(C121,8)="Standard",I121&gt;SG_Criteria!$B$42),"FAIL: PUB 001C covers manholes up to "&amp;SG_Criteria!$B$42&amp;" m deep only. ","")&amp;IF(AND(LEFT(C121,11)="Rectangular",J121&lt;SG_Criteria!$B$43),"NOTE: 004C is for sewers &gt;= "&amp;SG_Criteria!$B$43&amp;" dia. ","")&amp;IF(AND(LEFT(C121,7)="Precast",I121&lt;=SG_Criteria!$B$42),"NOTE: 006C is for manholes &gt; "&amp;SG_Criteria!$B$42&amp;" m deep. ","")&amp;IF(AND(J121&lt;&gt;"",J121&lt;SG_Criteria!$B$40,C121&lt;&gt;"Inspection Chamber"),"NOTE: public sewer min dia "&amp;SG_Criteria!$B$40&amp;" mm. ","")&amp;IF(AND(R121&lt;&gt;"",R121&lt;SG_Criteria!$B$44),"FAIL: uplift FOS below "&amp;SG_Criteria!$B$44&amp;". ","")))</f>
        <v/>
      </c>
      <c r="AT121" s="9"/>
      <c r="AU121" s="9"/>
      <c r="AV121" s="9"/>
      <c r="AW121" s="9"/>
      <c r="AX121" s="9"/>
      <c r="AY121" s="31"/>
      <c r="AZ121" s="10" t="str">
        <f aca="false">IF(C121="","",IF(AND(AB121="Approved",ISERROR(SEARCH("FAIL",AS121))),"Y","N"))</f>
        <v/>
      </c>
      <c r="BA121" s="10" t="str">
        <f aca="false">IF(C121="","",C121&amp;"|"&amp;I121&amp;"|"&amp;F121&amp;"|"&amp;AZ121)</f>
        <v/>
      </c>
    </row>
    <row r="122" customFormat="false" ht="15" hidden="false" customHeight="false" outlineLevel="0" collapsed="false">
      <c r="A122" s="10" t="str">
        <f aca="false">IF(C122="","","MH-"&amp;IFERROR(VLOOKUP(C122,Lists!$AB$4:$AC$20,2,0),"??")&amp;"-"&amp;TEXT(F122,"0000")&amp;IF(E122="Circular","D","x"&amp;TEXT(G122,"0000"))&amp;"-D"&amp;TEXT(I122*1000,"0000")&amp;"-"&amp;IFERROR(VLOOKUP(D122,Lists!$AE$4:$AF$16,2,0),"??")&amp;"-"&amp;AA122)</f>
        <v/>
      </c>
      <c r="B122" s="10" t="str">
        <f aca="false">IF(C122="","",C122&amp;", "&amp;D122&amp;", "&amp;IF(E122="Circular",F122&amp;" dia",F122&amp;" x "&amp;G122)&amp;", depth "&amp;TEXT(H122,"0.0")&amp;"-"&amp;TEXT(I122,"0.0")&amp;" m, pipe up to "&amp;J122&amp;" dia")</f>
        <v/>
      </c>
      <c r="C122" s="9"/>
      <c r="D122" s="9"/>
      <c r="E122" s="9"/>
      <c r="F122" s="40"/>
      <c r="G122" s="40"/>
      <c r="H122" s="43"/>
      <c r="I122" s="43"/>
      <c r="J122" s="40"/>
      <c r="K122" s="40"/>
      <c r="L122" s="40"/>
      <c r="M122" s="40"/>
      <c r="N122" s="9"/>
      <c r="O122" s="9"/>
      <c r="P122" s="9"/>
      <c r="Q122" s="9"/>
      <c r="R122" s="41"/>
      <c r="S122" s="9"/>
      <c r="T122" s="40"/>
      <c r="U122" s="9"/>
      <c r="V122" s="9"/>
      <c r="W122" s="9"/>
      <c r="X122" s="9"/>
      <c r="Y122" s="9"/>
      <c r="Z122" s="9"/>
      <c r="AA122" s="9"/>
      <c r="AB122" s="9"/>
      <c r="AC122" s="9"/>
      <c r="AD122" s="9"/>
      <c r="AE122" s="9"/>
      <c r="AF122" s="10" t="str">
        <f aca="false">IF(A122="","",SG_Criteria!$B$6&amp;SG_Criteria!$B$10&amp;"\"&amp;A122&amp;"\")</f>
        <v/>
      </c>
      <c r="AG122" s="10" t="str">
        <f aca="false">IF(A122="","",A122&amp;"_CAD.dwg")</f>
        <v/>
      </c>
      <c r="AH122" s="10" t="str">
        <f aca="false">IF(A122="","",A122&amp;"_DWG.pdf")</f>
        <v/>
      </c>
      <c r="AI122" s="10" t="str">
        <f aca="false">IF(A122="","",IF(AE122="Y",A122&amp;"_STAAD.std","n/a"))</f>
        <v/>
      </c>
      <c r="AJ122" s="10" t="str">
        <f aca="false">IF(A122="","",A122&amp;"_CALC.xlsx")</f>
        <v/>
      </c>
      <c r="AK122" s="10" t="str">
        <f aca="false">IF(A122="","",A122&amp;"_CALC.pdf")</f>
        <v/>
      </c>
      <c r="AL122" s="9"/>
      <c r="AM122" s="9"/>
      <c r="AN122" s="41"/>
      <c r="AO122" s="41"/>
      <c r="AP122" s="41"/>
      <c r="AQ122" s="41"/>
      <c r="AR122" s="41"/>
      <c r="AS122" s="38" t="str">
        <f aca="false">IF(C122="","",IF(LEN(IF(AND(S122&lt;&gt;"",IFERROR(VALUE(MID(S122,2,2)),0)&lt;SG_Criteria!$B$19),"FAIL: grade below C"&amp;SG_Criteria!$B$19&amp;". ","")&amp;IF(AND(T122&lt;&gt;"",T122&lt;SG_Criteria!$B$20),"FAIL: cover &lt; "&amp;SG_Criteria!$B$20&amp;" mm. ","")&amp;IF(AND(H122&lt;&gt;"",H122&lt;SG_Criteria!$B$39),"NOTE: min depth below PUB "&amp;SG_Criteria!$B$39&amp;" m. ","")&amp;IF(AND(LEFT(C122,8)="Standard",I122&gt;SG_Criteria!$B$42),"FAIL: PUB 001C covers manholes up to "&amp;SG_Criteria!$B$42&amp;" m deep only. ","")&amp;IF(AND(LEFT(C122,11)="Rectangular",J122&lt;SG_Criteria!$B$43),"NOTE: 004C is for sewers &gt;= "&amp;SG_Criteria!$B$43&amp;" dia. ","")&amp;IF(AND(LEFT(C122,7)="Precast",I122&lt;=SG_Criteria!$B$42),"NOTE: 006C is for manholes &gt; "&amp;SG_Criteria!$B$42&amp;" m deep. ","")&amp;IF(AND(J122&lt;&gt;"",J122&lt;SG_Criteria!$B$40,C122&lt;&gt;"Inspection Chamber"),"NOTE: public sewer min dia "&amp;SG_Criteria!$B$40&amp;" mm. ","")&amp;IF(AND(R122&lt;&gt;"",R122&lt;SG_Criteria!$B$44),"FAIL: uplift FOS below "&amp;SG_Criteria!$B$44&amp;". ",""))=0,"OK",IF(AND(S122&lt;&gt;"",IFERROR(VALUE(MID(S122,2,2)),0)&lt;SG_Criteria!$B$19),"FAIL: grade below C"&amp;SG_Criteria!$B$19&amp;". ","")&amp;IF(AND(T122&lt;&gt;"",T122&lt;SG_Criteria!$B$20),"FAIL: cover &lt; "&amp;SG_Criteria!$B$20&amp;" mm. ","")&amp;IF(AND(H122&lt;&gt;"",H122&lt;SG_Criteria!$B$39),"NOTE: min depth below PUB "&amp;SG_Criteria!$B$39&amp;" m. ","")&amp;IF(AND(LEFT(C122,8)="Standard",I122&gt;SG_Criteria!$B$42),"FAIL: PUB 001C covers manholes up to "&amp;SG_Criteria!$B$42&amp;" m deep only. ","")&amp;IF(AND(LEFT(C122,11)="Rectangular",J122&lt;SG_Criteria!$B$43),"NOTE: 004C is for sewers &gt;= "&amp;SG_Criteria!$B$43&amp;" dia. ","")&amp;IF(AND(LEFT(C122,7)="Precast",I122&lt;=SG_Criteria!$B$42),"NOTE: 006C is for manholes &gt; "&amp;SG_Criteria!$B$42&amp;" m deep. ","")&amp;IF(AND(J122&lt;&gt;"",J122&lt;SG_Criteria!$B$40,C122&lt;&gt;"Inspection Chamber"),"NOTE: public sewer min dia "&amp;SG_Criteria!$B$40&amp;" mm. ","")&amp;IF(AND(R122&lt;&gt;"",R122&lt;SG_Criteria!$B$44),"FAIL: uplift FOS below "&amp;SG_Criteria!$B$44&amp;". ","")))</f>
        <v/>
      </c>
      <c r="AT122" s="9"/>
      <c r="AU122" s="9"/>
      <c r="AV122" s="9"/>
      <c r="AW122" s="9"/>
      <c r="AX122" s="9"/>
      <c r="AY122" s="31"/>
      <c r="AZ122" s="10" t="str">
        <f aca="false">IF(C122="","",IF(AND(AB122="Approved",ISERROR(SEARCH("FAIL",AS122))),"Y","N"))</f>
        <v/>
      </c>
      <c r="BA122" s="10" t="str">
        <f aca="false">IF(C122="","",C122&amp;"|"&amp;I122&amp;"|"&amp;F122&amp;"|"&amp;AZ122)</f>
        <v/>
      </c>
    </row>
    <row r="123" customFormat="false" ht="15" hidden="false" customHeight="false" outlineLevel="0" collapsed="false">
      <c r="A123" s="10" t="str">
        <f aca="false">IF(C123="","","MH-"&amp;IFERROR(VLOOKUP(C123,Lists!$AB$4:$AC$20,2,0),"??")&amp;"-"&amp;TEXT(F123,"0000")&amp;IF(E123="Circular","D","x"&amp;TEXT(G123,"0000"))&amp;"-D"&amp;TEXT(I123*1000,"0000")&amp;"-"&amp;IFERROR(VLOOKUP(D123,Lists!$AE$4:$AF$16,2,0),"??")&amp;"-"&amp;AA123)</f>
        <v/>
      </c>
      <c r="B123" s="10" t="str">
        <f aca="false">IF(C123="","",C123&amp;", "&amp;D123&amp;", "&amp;IF(E123="Circular",F123&amp;" dia",F123&amp;" x "&amp;G123)&amp;", depth "&amp;TEXT(H123,"0.0")&amp;"-"&amp;TEXT(I123,"0.0")&amp;" m, pipe up to "&amp;J123&amp;" dia")</f>
        <v/>
      </c>
      <c r="C123" s="9"/>
      <c r="D123" s="9"/>
      <c r="E123" s="9"/>
      <c r="F123" s="40"/>
      <c r="G123" s="40"/>
      <c r="H123" s="43"/>
      <c r="I123" s="43"/>
      <c r="J123" s="40"/>
      <c r="K123" s="40"/>
      <c r="L123" s="40"/>
      <c r="M123" s="40"/>
      <c r="N123" s="9"/>
      <c r="O123" s="9"/>
      <c r="P123" s="9"/>
      <c r="Q123" s="9"/>
      <c r="R123" s="41"/>
      <c r="S123" s="9"/>
      <c r="T123" s="40"/>
      <c r="U123" s="9"/>
      <c r="V123" s="9"/>
      <c r="W123" s="9"/>
      <c r="X123" s="9"/>
      <c r="Y123" s="9"/>
      <c r="Z123" s="9"/>
      <c r="AA123" s="9"/>
      <c r="AB123" s="9"/>
      <c r="AC123" s="9"/>
      <c r="AD123" s="9"/>
      <c r="AE123" s="9"/>
      <c r="AF123" s="10" t="str">
        <f aca="false">IF(A123="","",SG_Criteria!$B$6&amp;SG_Criteria!$B$10&amp;"\"&amp;A123&amp;"\")</f>
        <v/>
      </c>
      <c r="AG123" s="10" t="str">
        <f aca="false">IF(A123="","",A123&amp;"_CAD.dwg")</f>
        <v/>
      </c>
      <c r="AH123" s="10" t="str">
        <f aca="false">IF(A123="","",A123&amp;"_DWG.pdf")</f>
        <v/>
      </c>
      <c r="AI123" s="10" t="str">
        <f aca="false">IF(A123="","",IF(AE123="Y",A123&amp;"_STAAD.std","n/a"))</f>
        <v/>
      </c>
      <c r="AJ123" s="10" t="str">
        <f aca="false">IF(A123="","",A123&amp;"_CALC.xlsx")</f>
        <v/>
      </c>
      <c r="AK123" s="10" t="str">
        <f aca="false">IF(A123="","",A123&amp;"_CALC.pdf")</f>
        <v/>
      </c>
      <c r="AL123" s="9"/>
      <c r="AM123" s="9"/>
      <c r="AN123" s="41"/>
      <c r="AO123" s="41"/>
      <c r="AP123" s="41"/>
      <c r="AQ123" s="41"/>
      <c r="AR123" s="41"/>
      <c r="AS123" s="38" t="str">
        <f aca="false">IF(C123="","",IF(LEN(IF(AND(S123&lt;&gt;"",IFERROR(VALUE(MID(S123,2,2)),0)&lt;SG_Criteria!$B$19),"FAIL: grade below C"&amp;SG_Criteria!$B$19&amp;". ","")&amp;IF(AND(T123&lt;&gt;"",T123&lt;SG_Criteria!$B$20),"FAIL: cover &lt; "&amp;SG_Criteria!$B$20&amp;" mm. ","")&amp;IF(AND(H123&lt;&gt;"",H123&lt;SG_Criteria!$B$39),"NOTE: min depth below PUB "&amp;SG_Criteria!$B$39&amp;" m. ","")&amp;IF(AND(LEFT(C123,8)="Standard",I123&gt;SG_Criteria!$B$42),"FAIL: PUB 001C covers manholes up to "&amp;SG_Criteria!$B$42&amp;" m deep only. ","")&amp;IF(AND(LEFT(C123,11)="Rectangular",J123&lt;SG_Criteria!$B$43),"NOTE: 004C is for sewers &gt;= "&amp;SG_Criteria!$B$43&amp;" dia. ","")&amp;IF(AND(LEFT(C123,7)="Precast",I123&lt;=SG_Criteria!$B$42),"NOTE: 006C is for manholes &gt; "&amp;SG_Criteria!$B$42&amp;" m deep. ","")&amp;IF(AND(J123&lt;&gt;"",J123&lt;SG_Criteria!$B$40,C123&lt;&gt;"Inspection Chamber"),"NOTE: public sewer min dia "&amp;SG_Criteria!$B$40&amp;" mm. ","")&amp;IF(AND(R123&lt;&gt;"",R123&lt;SG_Criteria!$B$44),"FAIL: uplift FOS below "&amp;SG_Criteria!$B$44&amp;". ",""))=0,"OK",IF(AND(S123&lt;&gt;"",IFERROR(VALUE(MID(S123,2,2)),0)&lt;SG_Criteria!$B$19),"FAIL: grade below C"&amp;SG_Criteria!$B$19&amp;". ","")&amp;IF(AND(T123&lt;&gt;"",T123&lt;SG_Criteria!$B$20),"FAIL: cover &lt; "&amp;SG_Criteria!$B$20&amp;" mm. ","")&amp;IF(AND(H123&lt;&gt;"",H123&lt;SG_Criteria!$B$39),"NOTE: min depth below PUB "&amp;SG_Criteria!$B$39&amp;" m. ","")&amp;IF(AND(LEFT(C123,8)="Standard",I123&gt;SG_Criteria!$B$42),"FAIL: PUB 001C covers manholes up to "&amp;SG_Criteria!$B$42&amp;" m deep only. ","")&amp;IF(AND(LEFT(C123,11)="Rectangular",J123&lt;SG_Criteria!$B$43),"NOTE: 004C is for sewers &gt;= "&amp;SG_Criteria!$B$43&amp;" dia. ","")&amp;IF(AND(LEFT(C123,7)="Precast",I123&lt;=SG_Criteria!$B$42),"NOTE: 006C is for manholes &gt; "&amp;SG_Criteria!$B$42&amp;" m deep. ","")&amp;IF(AND(J123&lt;&gt;"",J123&lt;SG_Criteria!$B$40,C123&lt;&gt;"Inspection Chamber"),"NOTE: public sewer min dia "&amp;SG_Criteria!$B$40&amp;" mm. ","")&amp;IF(AND(R123&lt;&gt;"",R123&lt;SG_Criteria!$B$44),"FAIL: uplift FOS below "&amp;SG_Criteria!$B$44&amp;". ","")))</f>
        <v/>
      </c>
      <c r="AT123" s="9"/>
      <c r="AU123" s="9"/>
      <c r="AV123" s="9"/>
      <c r="AW123" s="9"/>
      <c r="AX123" s="9"/>
      <c r="AY123" s="31"/>
      <c r="AZ123" s="10" t="str">
        <f aca="false">IF(C123="","",IF(AND(AB123="Approved",ISERROR(SEARCH("FAIL",AS123))),"Y","N"))</f>
        <v/>
      </c>
      <c r="BA123" s="10" t="str">
        <f aca="false">IF(C123="","",C123&amp;"|"&amp;I123&amp;"|"&amp;F123&amp;"|"&amp;AZ123)</f>
        <v/>
      </c>
    </row>
    <row r="124" customFormat="false" ht="15" hidden="false" customHeight="false" outlineLevel="0" collapsed="false">
      <c r="A124" s="10" t="str">
        <f aca="false">IF(C124="","","MH-"&amp;IFERROR(VLOOKUP(C124,Lists!$AB$4:$AC$20,2,0),"??")&amp;"-"&amp;TEXT(F124,"0000")&amp;IF(E124="Circular","D","x"&amp;TEXT(G124,"0000"))&amp;"-D"&amp;TEXT(I124*1000,"0000")&amp;"-"&amp;IFERROR(VLOOKUP(D124,Lists!$AE$4:$AF$16,2,0),"??")&amp;"-"&amp;AA124)</f>
        <v/>
      </c>
      <c r="B124" s="10" t="str">
        <f aca="false">IF(C124="","",C124&amp;", "&amp;D124&amp;", "&amp;IF(E124="Circular",F124&amp;" dia",F124&amp;" x "&amp;G124)&amp;", depth "&amp;TEXT(H124,"0.0")&amp;"-"&amp;TEXT(I124,"0.0")&amp;" m, pipe up to "&amp;J124&amp;" dia")</f>
        <v/>
      </c>
      <c r="C124" s="9"/>
      <c r="D124" s="9"/>
      <c r="E124" s="9"/>
      <c r="F124" s="40"/>
      <c r="G124" s="40"/>
      <c r="H124" s="43"/>
      <c r="I124" s="43"/>
      <c r="J124" s="40"/>
      <c r="K124" s="40"/>
      <c r="L124" s="40"/>
      <c r="M124" s="40"/>
      <c r="N124" s="9"/>
      <c r="O124" s="9"/>
      <c r="P124" s="9"/>
      <c r="Q124" s="9"/>
      <c r="R124" s="41"/>
      <c r="S124" s="9"/>
      <c r="T124" s="40"/>
      <c r="U124" s="9"/>
      <c r="V124" s="9"/>
      <c r="W124" s="9"/>
      <c r="X124" s="9"/>
      <c r="Y124" s="9"/>
      <c r="Z124" s="9"/>
      <c r="AA124" s="9"/>
      <c r="AB124" s="9"/>
      <c r="AC124" s="9"/>
      <c r="AD124" s="9"/>
      <c r="AE124" s="9"/>
      <c r="AF124" s="10" t="str">
        <f aca="false">IF(A124="","",SG_Criteria!$B$6&amp;SG_Criteria!$B$10&amp;"\"&amp;A124&amp;"\")</f>
        <v/>
      </c>
      <c r="AG124" s="10" t="str">
        <f aca="false">IF(A124="","",A124&amp;"_CAD.dwg")</f>
        <v/>
      </c>
      <c r="AH124" s="10" t="str">
        <f aca="false">IF(A124="","",A124&amp;"_DWG.pdf")</f>
        <v/>
      </c>
      <c r="AI124" s="10" t="str">
        <f aca="false">IF(A124="","",IF(AE124="Y",A124&amp;"_STAAD.std","n/a"))</f>
        <v/>
      </c>
      <c r="AJ124" s="10" t="str">
        <f aca="false">IF(A124="","",A124&amp;"_CALC.xlsx")</f>
        <v/>
      </c>
      <c r="AK124" s="10" t="str">
        <f aca="false">IF(A124="","",A124&amp;"_CALC.pdf")</f>
        <v/>
      </c>
      <c r="AL124" s="9"/>
      <c r="AM124" s="9"/>
      <c r="AN124" s="41"/>
      <c r="AO124" s="41"/>
      <c r="AP124" s="41"/>
      <c r="AQ124" s="41"/>
      <c r="AR124" s="41"/>
      <c r="AS124" s="38" t="str">
        <f aca="false">IF(C124="","",IF(LEN(IF(AND(S124&lt;&gt;"",IFERROR(VALUE(MID(S124,2,2)),0)&lt;SG_Criteria!$B$19),"FAIL: grade below C"&amp;SG_Criteria!$B$19&amp;". ","")&amp;IF(AND(T124&lt;&gt;"",T124&lt;SG_Criteria!$B$20),"FAIL: cover &lt; "&amp;SG_Criteria!$B$20&amp;" mm. ","")&amp;IF(AND(H124&lt;&gt;"",H124&lt;SG_Criteria!$B$39),"NOTE: min depth below PUB "&amp;SG_Criteria!$B$39&amp;" m. ","")&amp;IF(AND(LEFT(C124,8)="Standard",I124&gt;SG_Criteria!$B$42),"FAIL: PUB 001C covers manholes up to "&amp;SG_Criteria!$B$42&amp;" m deep only. ","")&amp;IF(AND(LEFT(C124,11)="Rectangular",J124&lt;SG_Criteria!$B$43),"NOTE: 004C is for sewers &gt;= "&amp;SG_Criteria!$B$43&amp;" dia. ","")&amp;IF(AND(LEFT(C124,7)="Precast",I124&lt;=SG_Criteria!$B$42),"NOTE: 006C is for manholes &gt; "&amp;SG_Criteria!$B$42&amp;" m deep. ","")&amp;IF(AND(J124&lt;&gt;"",J124&lt;SG_Criteria!$B$40,C124&lt;&gt;"Inspection Chamber"),"NOTE: public sewer min dia "&amp;SG_Criteria!$B$40&amp;" mm. ","")&amp;IF(AND(R124&lt;&gt;"",R124&lt;SG_Criteria!$B$44),"FAIL: uplift FOS below "&amp;SG_Criteria!$B$44&amp;". ",""))=0,"OK",IF(AND(S124&lt;&gt;"",IFERROR(VALUE(MID(S124,2,2)),0)&lt;SG_Criteria!$B$19),"FAIL: grade below C"&amp;SG_Criteria!$B$19&amp;". ","")&amp;IF(AND(T124&lt;&gt;"",T124&lt;SG_Criteria!$B$20),"FAIL: cover &lt; "&amp;SG_Criteria!$B$20&amp;" mm. ","")&amp;IF(AND(H124&lt;&gt;"",H124&lt;SG_Criteria!$B$39),"NOTE: min depth below PUB "&amp;SG_Criteria!$B$39&amp;" m. ","")&amp;IF(AND(LEFT(C124,8)="Standard",I124&gt;SG_Criteria!$B$42),"FAIL: PUB 001C covers manholes up to "&amp;SG_Criteria!$B$42&amp;" m deep only. ","")&amp;IF(AND(LEFT(C124,11)="Rectangular",J124&lt;SG_Criteria!$B$43),"NOTE: 004C is for sewers &gt;= "&amp;SG_Criteria!$B$43&amp;" dia. ","")&amp;IF(AND(LEFT(C124,7)="Precast",I124&lt;=SG_Criteria!$B$42),"NOTE: 006C is for manholes &gt; "&amp;SG_Criteria!$B$42&amp;" m deep. ","")&amp;IF(AND(J124&lt;&gt;"",J124&lt;SG_Criteria!$B$40,C124&lt;&gt;"Inspection Chamber"),"NOTE: public sewer min dia "&amp;SG_Criteria!$B$40&amp;" mm. ","")&amp;IF(AND(R124&lt;&gt;"",R124&lt;SG_Criteria!$B$44),"FAIL: uplift FOS below "&amp;SG_Criteria!$B$44&amp;". ","")))</f>
        <v/>
      </c>
      <c r="AT124" s="9"/>
      <c r="AU124" s="9"/>
      <c r="AV124" s="9"/>
      <c r="AW124" s="9"/>
      <c r="AX124" s="9"/>
      <c r="AY124" s="31"/>
      <c r="AZ124" s="10" t="str">
        <f aca="false">IF(C124="","",IF(AND(AB124="Approved",ISERROR(SEARCH("FAIL",AS124))),"Y","N"))</f>
        <v/>
      </c>
      <c r="BA124" s="10" t="str">
        <f aca="false">IF(C124="","",C124&amp;"|"&amp;I124&amp;"|"&amp;F124&amp;"|"&amp;AZ124)</f>
        <v/>
      </c>
    </row>
    <row r="125" customFormat="false" ht="15" hidden="false" customHeight="false" outlineLevel="0" collapsed="false">
      <c r="A125" s="10" t="str">
        <f aca="false">IF(C125="","","MH-"&amp;IFERROR(VLOOKUP(C125,Lists!$AB$4:$AC$20,2,0),"??")&amp;"-"&amp;TEXT(F125,"0000")&amp;IF(E125="Circular","D","x"&amp;TEXT(G125,"0000"))&amp;"-D"&amp;TEXT(I125*1000,"0000")&amp;"-"&amp;IFERROR(VLOOKUP(D125,Lists!$AE$4:$AF$16,2,0),"??")&amp;"-"&amp;AA125)</f>
        <v/>
      </c>
      <c r="B125" s="10" t="str">
        <f aca="false">IF(C125="","",C125&amp;", "&amp;D125&amp;", "&amp;IF(E125="Circular",F125&amp;" dia",F125&amp;" x "&amp;G125)&amp;", depth "&amp;TEXT(H125,"0.0")&amp;"-"&amp;TEXT(I125,"0.0")&amp;" m, pipe up to "&amp;J125&amp;" dia")</f>
        <v/>
      </c>
      <c r="C125" s="9"/>
      <c r="D125" s="9"/>
      <c r="E125" s="9"/>
      <c r="F125" s="40"/>
      <c r="G125" s="40"/>
      <c r="H125" s="43"/>
      <c r="I125" s="43"/>
      <c r="J125" s="40"/>
      <c r="K125" s="40"/>
      <c r="L125" s="40"/>
      <c r="M125" s="40"/>
      <c r="N125" s="9"/>
      <c r="O125" s="9"/>
      <c r="P125" s="9"/>
      <c r="Q125" s="9"/>
      <c r="R125" s="41"/>
      <c r="S125" s="9"/>
      <c r="T125" s="40"/>
      <c r="U125" s="9"/>
      <c r="V125" s="9"/>
      <c r="W125" s="9"/>
      <c r="X125" s="9"/>
      <c r="Y125" s="9"/>
      <c r="Z125" s="9"/>
      <c r="AA125" s="9"/>
      <c r="AB125" s="9"/>
      <c r="AC125" s="9"/>
      <c r="AD125" s="9"/>
      <c r="AE125" s="9"/>
      <c r="AF125" s="10" t="str">
        <f aca="false">IF(A125="","",SG_Criteria!$B$6&amp;SG_Criteria!$B$10&amp;"\"&amp;A125&amp;"\")</f>
        <v/>
      </c>
      <c r="AG125" s="10" t="str">
        <f aca="false">IF(A125="","",A125&amp;"_CAD.dwg")</f>
        <v/>
      </c>
      <c r="AH125" s="10" t="str">
        <f aca="false">IF(A125="","",A125&amp;"_DWG.pdf")</f>
        <v/>
      </c>
      <c r="AI125" s="10" t="str">
        <f aca="false">IF(A125="","",IF(AE125="Y",A125&amp;"_STAAD.std","n/a"))</f>
        <v/>
      </c>
      <c r="AJ125" s="10" t="str">
        <f aca="false">IF(A125="","",A125&amp;"_CALC.xlsx")</f>
        <v/>
      </c>
      <c r="AK125" s="10" t="str">
        <f aca="false">IF(A125="","",A125&amp;"_CALC.pdf")</f>
        <v/>
      </c>
      <c r="AL125" s="9"/>
      <c r="AM125" s="9"/>
      <c r="AN125" s="41"/>
      <c r="AO125" s="41"/>
      <c r="AP125" s="41"/>
      <c r="AQ125" s="41"/>
      <c r="AR125" s="41"/>
      <c r="AS125" s="38" t="str">
        <f aca="false">IF(C125="","",IF(LEN(IF(AND(S125&lt;&gt;"",IFERROR(VALUE(MID(S125,2,2)),0)&lt;SG_Criteria!$B$19),"FAIL: grade below C"&amp;SG_Criteria!$B$19&amp;". ","")&amp;IF(AND(T125&lt;&gt;"",T125&lt;SG_Criteria!$B$20),"FAIL: cover &lt; "&amp;SG_Criteria!$B$20&amp;" mm. ","")&amp;IF(AND(H125&lt;&gt;"",H125&lt;SG_Criteria!$B$39),"NOTE: min depth below PUB "&amp;SG_Criteria!$B$39&amp;" m. ","")&amp;IF(AND(LEFT(C125,8)="Standard",I125&gt;SG_Criteria!$B$42),"FAIL: PUB 001C covers manholes up to "&amp;SG_Criteria!$B$42&amp;" m deep only. ","")&amp;IF(AND(LEFT(C125,11)="Rectangular",J125&lt;SG_Criteria!$B$43),"NOTE: 004C is for sewers &gt;= "&amp;SG_Criteria!$B$43&amp;" dia. ","")&amp;IF(AND(LEFT(C125,7)="Precast",I125&lt;=SG_Criteria!$B$42),"NOTE: 006C is for manholes &gt; "&amp;SG_Criteria!$B$42&amp;" m deep. ","")&amp;IF(AND(J125&lt;&gt;"",J125&lt;SG_Criteria!$B$40,C125&lt;&gt;"Inspection Chamber"),"NOTE: public sewer min dia "&amp;SG_Criteria!$B$40&amp;" mm. ","")&amp;IF(AND(R125&lt;&gt;"",R125&lt;SG_Criteria!$B$44),"FAIL: uplift FOS below "&amp;SG_Criteria!$B$44&amp;". ",""))=0,"OK",IF(AND(S125&lt;&gt;"",IFERROR(VALUE(MID(S125,2,2)),0)&lt;SG_Criteria!$B$19),"FAIL: grade below C"&amp;SG_Criteria!$B$19&amp;". ","")&amp;IF(AND(T125&lt;&gt;"",T125&lt;SG_Criteria!$B$20),"FAIL: cover &lt; "&amp;SG_Criteria!$B$20&amp;" mm. ","")&amp;IF(AND(H125&lt;&gt;"",H125&lt;SG_Criteria!$B$39),"NOTE: min depth below PUB "&amp;SG_Criteria!$B$39&amp;" m. ","")&amp;IF(AND(LEFT(C125,8)="Standard",I125&gt;SG_Criteria!$B$42),"FAIL: PUB 001C covers manholes up to "&amp;SG_Criteria!$B$42&amp;" m deep only. ","")&amp;IF(AND(LEFT(C125,11)="Rectangular",J125&lt;SG_Criteria!$B$43),"NOTE: 004C is for sewers &gt;= "&amp;SG_Criteria!$B$43&amp;" dia. ","")&amp;IF(AND(LEFT(C125,7)="Precast",I125&lt;=SG_Criteria!$B$42),"NOTE: 006C is for manholes &gt; "&amp;SG_Criteria!$B$42&amp;" m deep. ","")&amp;IF(AND(J125&lt;&gt;"",J125&lt;SG_Criteria!$B$40,C125&lt;&gt;"Inspection Chamber"),"NOTE: public sewer min dia "&amp;SG_Criteria!$B$40&amp;" mm. ","")&amp;IF(AND(R125&lt;&gt;"",R125&lt;SG_Criteria!$B$44),"FAIL: uplift FOS below "&amp;SG_Criteria!$B$44&amp;". ","")))</f>
        <v/>
      </c>
      <c r="AT125" s="9"/>
      <c r="AU125" s="9"/>
      <c r="AV125" s="9"/>
      <c r="AW125" s="9"/>
      <c r="AX125" s="9"/>
      <c r="AY125" s="31"/>
      <c r="AZ125" s="10" t="str">
        <f aca="false">IF(C125="","",IF(AND(AB125="Approved",ISERROR(SEARCH("FAIL",AS125))),"Y","N"))</f>
        <v/>
      </c>
      <c r="BA125" s="10" t="str">
        <f aca="false">IF(C125="","",C125&amp;"|"&amp;I125&amp;"|"&amp;F125&amp;"|"&amp;AZ125)</f>
        <v/>
      </c>
    </row>
    <row r="126" customFormat="false" ht="15" hidden="false" customHeight="false" outlineLevel="0" collapsed="false">
      <c r="A126" s="10" t="str">
        <f aca="false">IF(C126="","","MH-"&amp;IFERROR(VLOOKUP(C126,Lists!$AB$4:$AC$20,2,0),"??")&amp;"-"&amp;TEXT(F126,"0000")&amp;IF(E126="Circular","D","x"&amp;TEXT(G126,"0000"))&amp;"-D"&amp;TEXT(I126*1000,"0000")&amp;"-"&amp;IFERROR(VLOOKUP(D126,Lists!$AE$4:$AF$16,2,0),"??")&amp;"-"&amp;AA126)</f>
        <v/>
      </c>
      <c r="B126" s="10" t="str">
        <f aca="false">IF(C126="","",C126&amp;", "&amp;D126&amp;", "&amp;IF(E126="Circular",F126&amp;" dia",F126&amp;" x "&amp;G126)&amp;", depth "&amp;TEXT(H126,"0.0")&amp;"-"&amp;TEXT(I126,"0.0")&amp;" m, pipe up to "&amp;J126&amp;" dia")</f>
        <v/>
      </c>
      <c r="C126" s="9"/>
      <c r="D126" s="9"/>
      <c r="E126" s="9"/>
      <c r="F126" s="40"/>
      <c r="G126" s="40"/>
      <c r="H126" s="43"/>
      <c r="I126" s="43"/>
      <c r="J126" s="40"/>
      <c r="K126" s="40"/>
      <c r="L126" s="40"/>
      <c r="M126" s="40"/>
      <c r="N126" s="9"/>
      <c r="O126" s="9"/>
      <c r="P126" s="9"/>
      <c r="Q126" s="9"/>
      <c r="R126" s="41"/>
      <c r="S126" s="9"/>
      <c r="T126" s="40"/>
      <c r="U126" s="9"/>
      <c r="V126" s="9"/>
      <c r="W126" s="9"/>
      <c r="X126" s="9"/>
      <c r="Y126" s="9"/>
      <c r="Z126" s="9"/>
      <c r="AA126" s="9"/>
      <c r="AB126" s="9"/>
      <c r="AC126" s="9"/>
      <c r="AD126" s="9"/>
      <c r="AE126" s="9"/>
      <c r="AF126" s="10" t="str">
        <f aca="false">IF(A126="","",SG_Criteria!$B$6&amp;SG_Criteria!$B$10&amp;"\"&amp;A126&amp;"\")</f>
        <v/>
      </c>
      <c r="AG126" s="10" t="str">
        <f aca="false">IF(A126="","",A126&amp;"_CAD.dwg")</f>
        <v/>
      </c>
      <c r="AH126" s="10" t="str">
        <f aca="false">IF(A126="","",A126&amp;"_DWG.pdf")</f>
        <v/>
      </c>
      <c r="AI126" s="10" t="str">
        <f aca="false">IF(A126="","",IF(AE126="Y",A126&amp;"_STAAD.std","n/a"))</f>
        <v/>
      </c>
      <c r="AJ126" s="10" t="str">
        <f aca="false">IF(A126="","",A126&amp;"_CALC.xlsx")</f>
        <v/>
      </c>
      <c r="AK126" s="10" t="str">
        <f aca="false">IF(A126="","",A126&amp;"_CALC.pdf")</f>
        <v/>
      </c>
      <c r="AL126" s="9"/>
      <c r="AM126" s="9"/>
      <c r="AN126" s="41"/>
      <c r="AO126" s="41"/>
      <c r="AP126" s="41"/>
      <c r="AQ126" s="41"/>
      <c r="AR126" s="41"/>
      <c r="AS126" s="38" t="str">
        <f aca="false">IF(C126="","",IF(LEN(IF(AND(S126&lt;&gt;"",IFERROR(VALUE(MID(S126,2,2)),0)&lt;SG_Criteria!$B$19),"FAIL: grade below C"&amp;SG_Criteria!$B$19&amp;". ","")&amp;IF(AND(T126&lt;&gt;"",T126&lt;SG_Criteria!$B$20),"FAIL: cover &lt; "&amp;SG_Criteria!$B$20&amp;" mm. ","")&amp;IF(AND(H126&lt;&gt;"",H126&lt;SG_Criteria!$B$39),"NOTE: min depth below PUB "&amp;SG_Criteria!$B$39&amp;" m. ","")&amp;IF(AND(LEFT(C126,8)="Standard",I126&gt;SG_Criteria!$B$42),"FAIL: PUB 001C covers manholes up to "&amp;SG_Criteria!$B$42&amp;" m deep only. ","")&amp;IF(AND(LEFT(C126,11)="Rectangular",J126&lt;SG_Criteria!$B$43),"NOTE: 004C is for sewers &gt;= "&amp;SG_Criteria!$B$43&amp;" dia. ","")&amp;IF(AND(LEFT(C126,7)="Precast",I126&lt;=SG_Criteria!$B$42),"NOTE: 006C is for manholes &gt; "&amp;SG_Criteria!$B$42&amp;" m deep. ","")&amp;IF(AND(J126&lt;&gt;"",J126&lt;SG_Criteria!$B$40,C126&lt;&gt;"Inspection Chamber"),"NOTE: public sewer min dia "&amp;SG_Criteria!$B$40&amp;" mm. ","")&amp;IF(AND(R126&lt;&gt;"",R126&lt;SG_Criteria!$B$44),"FAIL: uplift FOS below "&amp;SG_Criteria!$B$44&amp;". ",""))=0,"OK",IF(AND(S126&lt;&gt;"",IFERROR(VALUE(MID(S126,2,2)),0)&lt;SG_Criteria!$B$19),"FAIL: grade below C"&amp;SG_Criteria!$B$19&amp;". ","")&amp;IF(AND(T126&lt;&gt;"",T126&lt;SG_Criteria!$B$20),"FAIL: cover &lt; "&amp;SG_Criteria!$B$20&amp;" mm. ","")&amp;IF(AND(H126&lt;&gt;"",H126&lt;SG_Criteria!$B$39),"NOTE: min depth below PUB "&amp;SG_Criteria!$B$39&amp;" m. ","")&amp;IF(AND(LEFT(C126,8)="Standard",I126&gt;SG_Criteria!$B$42),"FAIL: PUB 001C covers manholes up to "&amp;SG_Criteria!$B$42&amp;" m deep only. ","")&amp;IF(AND(LEFT(C126,11)="Rectangular",J126&lt;SG_Criteria!$B$43),"NOTE: 004C is for sewers &gt;= "&amp;SG_Criteria!$B$43&amp;" dia. ","")&amp;IF(AND(LEFT(C126,7)="Precast",I126&lt;=SG_Criteria!$B$42),"NOTE: 006C is for manholes &gt; "&amp;SG_Criteria!$B$42&amp;" m deep. ","")&amp;IF(AND(J126&lt;&gt;"",J126&lt;SG_Criteria!$B$40,C126&lt;&gt;"Inspection Chamber"),"NOTE: public sewer min dia "&amp;SG_Criteria!$B$40&amp;" mm. ","")&amp;IF(AND(R126&lt;&gt;"",R126&lt;SG_Criteria!$B$44),"FAIL: uplift FOS below "&amp;SG_Criteria!$B$44&amp;". ","")))</f>
        <v/>
      </c>
      <c r="AT126" s="9"/>
      <c r="AU126" s="9"/>
      <c r="AV126" s="9"/>
      <c r="AW126" s="9"/>
      <c r="AX126" s="9"/>
      <c r="AY126" s="31"/>
      <c r="AZ126" s="10" t="str">
        <f aca="false">IF(C126="","",IF(AND(AB126="Approved",ISERROR(SEARCH("FAIL",AS126))),"Y","N"))</f>
        <v/>
      </c>
      <c r="BA126" s="10" t="str">
        <f aca="false">IF(C126="","",C126&amp;"|"&amp;I126&amp;"|"&amp;F126&amp;"|"&amp;AZ126)</f>
        <v/>
      </c>
    </row>
    <row r="127" customFormat="false" ht="15" hidden="false" customHeight="false" outlineLevel="0" collapsed="false">
      <c r="A127" s="10" t="str">
        <f aca="false">IF(C127="","","MH-"&amp;IFERROR(VLOOKUP(C127,Lists!$AB$4:$AC$20,2,0),"??")&amp;"-"&amp;TEXT(F127,"0000")&amp;IF(E127="Circular","D","x"&amp;TEXT(G127,"0000"))&amp;"-D"&amp;TEXT(I127*1000,"0000")&amp;"-"&amp;IFERROR(VLOOKUP(D127,Lists!$AE$4:$AF$16,2,0),"??")&amp;"-"&amp;AA127)</f>
        <v/>
      </c>
      <c r="B127" s="10" t="str">
        <f aca="false">IF(C127="","",C127&amp;", "&amp;D127&amp;", "&amp;IF(E127="Circular",F127&amp;" dia",F127&amp;" x "&amp;G127)&amp;", depth "&amp;TEXT(H127,"0.0")&amp;"-"&amp;TEXT(I127,"0.0")&amp;" m, pipe up to "&amp;J127&amp;" dia")</f>
        <v/>
      </c>
      <c r="C127" s="9"/>
      <c r="D127" s="9"/>
      <c r="E127" s="9"/>
      <c r="F127" s="40"/>
      <c r="G127" s="40"/>
      <c r="H127" s="43"/>
      <c r="I127" s="43"/>
      <c r="J127" s="40"/>
      <c r="K127" s="40"/>
      <c r="L127" s="40"/>
      <c r="M127" s="40"/>
      <c r="N127" s="9"/>
      <c r="O127" s="9"/>
      <c r="P127" s="9"/>
      <c r="Q127" s="9"/>
      <c r="R127" s="41"/>
      <c r="S127" s="9"/>
      <c r="T127" s="40"/>
      <c r="U127" s="9"/>
      <c r="V127" s="9"/>
      <c r="W127" s="9"/>
      <c r="X127" s="9"/>
      <c r="Y127" s="9"/>
      <c r="Z127" s="9"/>
      <c r="AA127" s="9"/>
      <c r="AB127" s="9"/>
      <c r="AC127" s="9"/>
      <c r="AD127" s="9"/>
      <c r="AE127" s="9"/>
      <c r="AF127" s="10" t="str">
        <f aca="false">IF(A127="","",SG_Criteria!$B$6&amp;SG_Criteria!$B$10&amp;"\"&amp;A127&amp;"\")</f>
        <v/>
      </c>
      <c r="AG127" s="10" t="str">
        <f aca="false">IF(A127="","",A127&amp;"_CAD.dwg")</f>
        <v/>
      </c>
      <c r="AH127" s="10" t="str">
        <f aca="false">IF(A127="","",A127&amp;"_DWG.pdf")</f>
        <v/>
      </c>
      <c r="AI127" s="10" t="str">
        <f aca="false">IF(A127="","",IF(AE127="Y",A127&amp;"_STAAD.std","n/a"))</f>
        <v/>
      </c>
      <c r="AJ127" s="10" t="str">
        <f aca="false">IF(A127="","",A127&amp;"_CALC.xlsx")</f>
        <v/>
      </c>
      <c r="AK127" s="10" t="str">
        <f aca="false">IF(A127="","",A127&amp;"_CALC.pdf")</f>
        <v/>
      </c>
      <c r="AL127" s="9"/>
      <c r="AM127" s="9"/>
      <c r="AN127" s="41"/>
      <c r="AO127" s="41"/>
      <c r="AP127" s="41"/>
      <c r="AQ127" s="41"/>
      <c r="AR127" s="41"/>
      <c r="AS127" s="38" t="str">
        <f aca="false">IF(C127="","",IF(LEN(IF(AND(S127&lt;&gt;"",IFERROR(VALUE(MID(S127,2,2)),0)&lt;SG_Criteria!$B$19),"FAIL: grade below C"&amp;SG_Criteria!$B$19&amp;". ","")&amp;IF(AND(T127&lt;&gt;"",T127&lt;SG_Criteria!$B$20),"FAIL: cover &lt; "&amp;SG_Criteria!$B$20&amp;" mm. ","")&amp;IF(AND(H127&lt;&gt;"",H127&lt;SG_Criteria!$B$39),"NOTE: min depth below PUB "&amp;SG_Criteria!$B$39&amp;" m. ","")&amp;IF(AND(LEFT(C127,8)="Standard",I127&gt;SG_Criteria!$B$42),"FAIL: PUB 001C covers manholes up to "&amp;SG_Criteria!$B$42&amp;" m deep only. ","")&amp;IF(AND(LEFT(C127,11)="Rectangular",J127&lt;SG_Criteria!$B$43),"NOTE: 004C is for sewers &gt;= "&amp;SG_Criteria!$B$43&amp;" dia. ","")&amp;IF(AND(LEFT(C127,7)="Precast",I127&lt;=SG_Criteria!$B$42),"NOTE: 006C is for manholes &gt; "&amp;SG_Criteria!$B$42&amp;" m deep. ","")&amp;IF(AND(J127&lt;&gt;"",J127&lt;SG_Criteria!$B$40,C127&lt;&gt;"Inspection Chamber"),"NOTE: public sewer min dia "&amp;SG_Criteria!$B$40&amp;" mm. ","")&amp;IF(AND(R127&lt;&gt;"",R127&lt;SG_Criteria!$B$44),"FAIL: uplift FOS below "&amp;SG_Criteria!$B$44&amp;". ",""))=0,"OK",IF(AND(S127&lt;&gt;"",IFERROR(VALUE(MID(S127,2,2)),0)&lt;SG_Criteria!$B$19),"FAIL: grade below C"&amp;SG_Criteria!$B$19&amp;". ","")&amp;IF(AND(T127&lt;&gt;"",T127&lt;SG_Criteria!$B$20),"FAIL: cover &lt; "&amp;SG_Criteria!$B$20&amp;" mm. ","")&amp;IF(AND(H127&lt;&gt;"",H127&lt;SG_Criteria!$B$39),"NOTE: min depth below PUB "&amp;SG_Criteria!$B$39&amp;" m. ","")&amp;IF(AND(LEFT(C127,8)="Standard",I127&gt;SG_Criteria!$B$42),"FAIL: PUB 001C covers manholes up to "&amp;SG_Criteria!$B$42&amp;" m deep only. ","")&amp;IF(AND(LEFT(C127,11)="Rectangular",J127&lt;SG_Criteria!$B$43),"NOTE: 004C is for sewers &gt;= "&amp;SG_Criteria!$B$43&amp;" dia. ","")&amp;IF(AND(LEFT(C127,7)="Precast",I127&lt;=SG_Criteria!$B$42),"NOTE: 006C is for manholes &gt; "&amp;SG_Criteria!$B$42&amp;" m deep. ","")&amp;IF(AND(J127&lt;&gt;"",J127&lt;SG_Criteria!$B$40,C127&lt;&gt;"Inspection Chamber"),"NOTE: public sewer min dia "&amp;SG_Criteria!$B$40&amp;" mm. ","")&amp;IF(AND(R127&lt;&gt;"",R127&lt;SG_Criteria!$B$44),"FAIL: uplift FOS below "&amp;SG_Criteria!$B$44&amp;". ","")))</f>
        <v/>
      </c>
      <c r="AT127" s="9"/>
      <c r="AU127" s="9"/>
      <c r="AV127" s="9"/>
      <c r="AW127" s="9"/>
      <c r="AX127" s="9"/>
      <c r="AY127" s="31"/>
      <c r="AZ127" s="10" t="str">
        <f aca="false">IF(C127="","",IF(AND(AB127="Approved",ISERROR(SEARCH("FAIL",AS127))),"Y","N"))</f>
        <v/>
      </c>
      <c r="BA127" s="10" t="str">
        <f aca="false">IF(C127="","",C127&amp;"|"&amp;I127&amp;"|"&amp;F127&amp;"|"&amp;AZ127)</f>
        <v/>
      </c>
    </row>
    <row r="128" customFormat="false" ht="15" hidden="false" customHeight="false" outlineLevel="0" collapsed="false">
      <c r="A128" s="10" t="str">
        <f aca="false">IF(C128="","","MH-"&amp;IFERROR(VLOOKUP(C128,Lists!$AB$4:$AC$20,2,0),"??")&amp;"-"&amp;TEXT(F128,"0000")&amp;IF(E128="Circular","D","x"&amp;TEXT(G128,"0000"))&amp;"-D"&amp;TEXT(I128*1000,"0000")&amp;"-"&amp;IFERROR(VLOOKUP(D128,Lists!$AE$4:$AF$16,2,0),"??")&amp;"-"&amp;AA128)</f>
        <v/>
      </c>
      <c r="B128" s="10" t="str">
        <f aca="false">IF(C128="","",C128&amp;", "&amp;D128&amp;", "&amp;IF(E128="Circular",F128&amp;" dia",F128&amp;" x "&amp;G128)&amp;", depth "&amp;TEXT(H128,"0.0")&amp;"-"&amp;TEXT(I128,"0.0")&amp;" m, pipe up to "&amp;J128&amp;" dia")</f>
        <v/>
      </c>
      <c r="C128" s="9"/>
      <c r="D128" s="9"/>
      <c r="E128" s="9"/>
      <c r="F128" s="40"/>
      <c r="G128" s="40"/>
      <c r="H128" s="43"/>
      <c r="I128" s="43"/>
      <c r="J128" s="40"/>
      <c r="K128" s="40"/>
      <c r="L128" s="40"/>
      <c r="M128" s="40"/>
      <c r="N128" s="9"/>
      <c r="O128" s="9"/>
      <c r="P128" s="9"/>
      <c r="Q128" s="9"/>
      <c r="R128" s="41"/>
      <c r="S128" s="9"/>
      <c r="T128" s="40"/>
      <c r="U128" s="9"/>
      <c r="V128" s="9"/>
      <c r="W128" s="9"/>
      <c r="X128" s="9"/>
      <c r="Y128" s="9"/>
      <c r="Z128" s="9"/>
      <c r="AA128" s="9"/>
      <c r="AB128" s="9"/>
      <c r="AC128" s="9"/>
      <c r="AD128" s="9"/>
      <c r="AE128" s="9"/>
      <c r="AF128" s="10" t="str">
        <f aca="false">IF(A128="","",SG_Criteria!$B$6&amp;SG_Criteria!$B$10&amp;"\"&amp;A128&amp;"\")</f>
        <v/>
      </c>
      <c r="AG128" s="10" t="str">
        <f aca="false">IF(A128="","",A128&amp;"_CAD.dwg")</f>
        <v/>
      </c>
      <c r="AH128" s="10" t="str">
        <f aca="false">IF(A128="","",A128&amp;"_DWG.pdf")</f>
        <v/>
      </c>
      <c r="AI128" s="10" t="str">
        <f aca="false">IF(A128="","",IF(AE128="Y",A128&amp;"_STAAD.std","n/a"))</f>
        <v/>
      </c>
      <c r="AJ128" s="10" t="str">
        <f aca="false">IF(A128="","",A128&amp;"_CALC.xlsx")</f>
        <v/>
      </c>
      <c r="AK128" s="10" t="str">
        <f aca="false">IF(A128="","",A128&amp;"_CALC.pdf")</f>
        <v/>
      </c>
      <c r="AL128" s="9"/>
      <c r="AM128" s="9"/>
      <c r="AN128" s="41"/>
      <c r="AO128" s="41"/>
      <c r="AP128" s="41"/>
      <c r="AQ128" s="41"/>
      <c r="AR128" s="41"/>
      <c r="AS128" s="38" t="str">
        <f aca="false">IF(C128="","",IF(LEN(IF(AND(S128&lt;&gt;"",IFERROR(VALUE(MID(S128,2,2)),0)&lt;SG_Criteria!$B$19),"FAIL: grade below C"&amp;SG_Criteria!$B$19&amp;". ","")&amp;IF(AND(T128&lt;&gt;"",T128&lt;SG_Criteria!$B$20),"FAIL: cover &lt; "&amp;SG_Criteria!$B$20&amp;" mm. ","")&amp;IF(AND(H128&lt;&gt;"",H128&lt;SG_Criteria!$B$39),"NOTE: min depth below PUB "&amp;SG_Criteria!$B$39&amp;" m. ","")&amp;IF(AND(LEFT(C128,8)="Standard",I128&gt;SG_Criteria!$B$42),"FAIL: PUB 001C covers manholes up to "&amp;SG_Criteria!$B$42&amp;" m deep only. ","")&amp;IF(AND(LEFT(C128,11)="Rectangular",J128&lt;SG_Criteria!$B$43),"NOTE: 004C is for sewers &gt;= "&amp;SG_Criteria!$B$43&amp;" dia. ","")&amp;IF(AND(LEFT(C128,7)="Precast",I128&lt;=SG_Criteria!$B$42),"NOTE: 006C is for manholes &gt; "&amp;SG_Criteria!$B$42&amp;" m deep. ","")&amp;IF(AND(J128&lt;&gt;"",J128&lt;SG_Criteria!$B$40,C128&lt;&gt;"Inspection Chamber"),"NOTE: public sewer min dia "&amp;SG_Criteria!$B$40&amp;" mm. ","")&amp;IF(AND(R128&lt;&gt;"",R128&lt;SG_Criteria!$B$44),"FAIL: uplift FOS below "&amp;SG_Criteria!$B$44&amp;". ",""))=0,"OK",IF(AND(S128&lt;&gt;"",IFERROR(VALUE(MID(S128,2,2)),0)&lt;SG_Criteria!$B$19),"FAIL: grade below C"&amp;SG_Criteria!$B$19&amp;". ","")&amp;IF(AND(T128&lt;&gt;"",T128&lt;SG_Criteria!$B$20),"FAIL: cover &lt; "&amp;SG_Criteria!$B$20&amp;" mm. ","")&amp;IF(AND(H128&lt;&gt;"",H128&lt;SG_Criteria!$B$39),"NOTE: min depth below PUB "&amp;SG_Criteria!$B$39&amp;" m. ","")&amp;IF(AND(LEFT(C128,8)="Standard",I128&gt;SG_Criteria!$B$42),"FAIL: PUB 001C covers manholes up to "&amp;SG_Criteria!$B$42&amp;" m deep only. ","")&amp;IF(AND(LEFT(C128,11)="Rectangular",J128&lt;SG_Criteria!$B$43),"NOTE: 004C is for sewers &gt;= "&amp;SG_Criteria!$B$43&amp;" dia. ","")&amp;IF(AND(LEFT(C128,7)="Precast",I128&lt;=SG_Criteria!$B$42),"NOTE: 006C is for manholes &gt; "&amp;SG_Criteria!$B$42&amp;" m deep. ","")&amp;IF(AND(J128&lt;&gt;"",J128&lt;SG_Criteria!$B$40,C128&lt;&gt;"Inspection Chamber"),"NOTE: public sewer min dia "&amp;SG_Criteria!$B$40&amp;" mm. ","")&amp;IF(AND(R128&lt;&gt;"",R128&lt;SG_Criteria!$B$44),"FAIL: uplift FOS below "&amp;SG_Criteria!$B$44&amp;". ","")))</f>
        <v/>
      </c>
      <c r="AT128" s="9"/>
      <c r="AU128" s="9"/>
      <c r="AV128" s="9"/>
      <c r="AW128" s="9"/>
      <c r="AX128" s="9"/>
      <c r="AY128" s="31"/>
      <c r="AZ128" s="10" t="str">
        <f aca="false">IF(C128="","",IF(AND(AB128="Approved",ISERROR(SEARCH("FAIL",AS128))),"Y","N"))</f>
        <v/>
      </c>
      <c r="BA128" s="10" t="str">
        <f aca="false">IF(C128="","",C128&amp;"|"&amp;I128&amp;"|"&amp;F128&amp;"|"&amp;AZ128)</f>
        <v/>
      </c>
    </row>
    <row r="129" customFormat="false" ht="15" hidden="false" customHeight="false" outlineLevel="0" collapsed="false">
      <c r="A129" s="10" t="str">
        <f aca="false">IF(C129="","","MH-"&amp;IFERROR(VLOOKUP(C129,Lists!$AB$4:$AC$20,2,0),"??")&amp;"-"&amp;TEXT(F129,"0000")&amp;IF(E129="Circular","D","x"&amp;TEXT(G129,"0000"))&amp;"-D"&amp;TEXT(I129*1000,"0000")&amp;"-"&amp;IFERROR(VLOOKUP(D129,Lists!$AE$4:$AF$16,2,0),"??")&amp;"-"&amp;AA129)</f>
        <v/>
      </c>
      <c r="B129" s="10" t="str">
        <f aca="false">IF(C129="","",C129&amp;", "&amp;D129&amp;", "&amp;IF(E129="Circular",F129&amp;" dia",F129&amp;" x "&amp;G129)&amp;", depth "&amp;TEXT(H129,"0.0")&amp;"-"&amp;TEXT(I129,"0.0")&amp;" m, pipe up to "&amp;J129&amp;" dia")</f>
        <v/>
      </c>
      <c r="C129" s="9"/>
      <c r="D129" s="9"/>
      <c r="E129" s="9"/>
      <c r="F129" s="40"/>
      <c r="G129" s="40"/>
      <c r="H129" s="43"/>
      <c r="I129" s="43"/>
      <c r="J129" s="40"/>
      <c r="K129" s="40"/>
      <c r="L129" s="40"/>
      <c r="M129" s="40"/>
      <c r="N129" s="9"/>
      <c r="O129" s="9"/>
      <c r="P129" s="9"/>
      <c r="Q129" s="9"/>
      <c r="R129" s="41"/>
      <c r="S129" s="9"/>
      <c r="T129" s="40"/>
      <c r="U129" s="9"/>
      <c r="V129" s="9"/>
      <c r="W129" s="9"/>
      <c r="X129" s="9"/>
      <c r="Y129" s="9"/>
      <c r="Z129" s="9"/>
      <c r="AA129" s="9"/>
      <c r="AB129" s="9"/>
      <c r="AC129" s="9"/>
      <c r="AD129" s="9"/>
      <c r="AE129" s="9"/>
      <c r="AF129" s="10" t="str">
        <f aca="false">IF(A129="","",SG_Criteria!$B$6&amp;SG_Criteria!$B$10&amp;"\"&amp;A129&amp;"\")</f>
        <v/>
      </c>
      <c r="AG129" s="10" t="str">
        <f aca="false">IF(A129="","",A129&amp;"_CAD.dwg")</f>
        <v/>
      </c>
      <c r="AH129" s="10" t="str">
        <f aca="false">IF(A129="","",A129&amp;"_DWG.pdf")</f>
        <v/>
      </c>
      <c r="AI129" s="10" t="str">
        <f aca="false">IF(A129="","",IF(AE129="Y",A129&amp;"_STAAD.std","n/a"))</f>
        <v/>
      </c>
      <c r="AJ129" s="10" t="str">
        <f aca="false">IF(A129="","",A129&amp;"_CALC.xlsx")</f>
        <v/>
      </c>
      <c r="AK129" s="10" t="str">
        <f aca="false">IF(A129="","",A129&amp;"_CALC.pdf")</f>
        <v/>
      </c>
      <c r="AL129" s="9"/>
      <c r="AM129" s="9"/>
      <c r="AN129" s="41"/>
      <c r="AO129" s="41"/>
      <c r="AP129" s="41"/>
      <c r="AQ129" s="41"/>
      <c r="AR129" s="41"/>
      <c r="AS129" s="38" t="str">
        <f aca="false">IF(C129="","",IF(LEN(IF(AND(S129&lt;&gt;"",IFERROR(VALUE(MID(S129,2,2)),0)&lt;SG_Criteria!$B$19),"FAIL: grade below C"&amp;SG_Criteria!$B$19&amp;". ","")&amp;IF(AND(T129&lt;&gt;"",T129&lt;SG_Criteria!$B$20),"FAIL: cover &lt; "&amp;SG_Criteria!$B$20&amp;" mm. ","")&amp;IF(AND(H129&lt;&gt;"",H129&lt;SG_Criteria!$B$39),"NOTE: min depth below PUB "&amp;SG_Criteria!$B$39&amp;" m. ","")&amp;IF(AND(LEFT(C129,8)="Standard",I129&gt;SG_Criteria!$B$42),"FAIL: PUB 001C covers manholes up to "&amp;SG_Criteria!$B$42&amp;" m deep only. ","")&amp;IF(AND(LEFT(C129,11)="Rectangular",J129&lt;SG_Criteria!$B$43),"NOTE: 004C is for sewers &gt;= "&amp;SG_Criteria!$B$43&amp;" dia. ","")&amp;IF(AND(LEFT(C129,7)="Precast",I129&lt;=SG_Criteria!$B$42),"NOTE: 006C is for manholes &gt; "&amp;SG_Criteria!$B$42&amp;" m deep. ","")&amp;IF(AND(J129&lt;&gt;"",J129&lt;SG_Criteria!$B$40,C129&lt;&gt;"Inspection Chamber"),"NOTE: public sewer min dia "&amp;SG_Criteria!$B$40&amp;" mm. ","")&amp;IF(AND(R129&lt;&gt;"",R129&lt;SG_Criteria!$B$44),"FAIL: uplift FOS below "&amp;SG_Criteria!$B$44&amp;". ",""))=0,"OK",IF(AND(S129&lt;&gt;"",IFERROR(VALUE(MID(S129,2,2)),0)&lt;SG_Criteria!$B$19),"FAIL: grade below C"&amp;SG_Criteria!$B$19&amp;". ","")&amp;IF(AND(T129&lt;&gt;"",T129&lt;SG_Criteria!$B$20),"FAIL: cover &lt; "&amp;SG_Criteria!$B$20&amp;" mm. ","")&amp;IF(AND(H129&lt;&gt;"",H129&lt;SG_Criteria!$B$39),"NOTE: min depth below PUB "&amp;SG_Criteria!$B$39&amp;" m. ","")&amp;IF(AND(LEFT(C129,8)="Standard",I129&gt;SG_Criteria!$B$42),"FAIL: PUB 001C covers manholes up to "&amp;SG_Criteria!$B$42&amp;" m deep only. ","")&amp;IF(AND(LEFT(C129,11)="Rectangular",J129&lt;SG_Criteria!$B$43),"NOTE: 004C is for sewers &gt;= "&amp;SG_Criteria!$B$43&amp;" dia. ","")&amp;IF(AND(LEFT(C129,7)="Precast",I129&lt;=SG_Criteria!$B$42),"NOTE: 006C is for manholes &gt; "&amp;SG_Criteria!$B$42&amp;" m deep. ","")&amp;IF(AND(J129&lt;&gt;"",J129&lt;SG_Criteria!$B$40,C129&lt;&gt;"Inspection Chamber"),"NOTE: public sewer min dia "&amp;SG_Criteria!$B$40&amp;" mm. ","")&amp;IF(AND(R129&lt;&gt;"",R129&lt;SG_Criteria!$B$44),"FAIL: uplift FOS below "&amp;SG_Criteria!$B$44&amp;". ","")))</f>
        <v/>
      </c>
      <c r="AT129" s="9"/>
      <c r="AU129" s="9"/>
      <c r="AV129" s="9"/>
      <c r="AW129" s="9"/>
      <c r="AX129" s="9"/>
      <c r="AY129" s="31"/>
      <c r="AZ129" s="10" t="str">
        <f aca="false">IF(C129="","",IF(AND(AB129="Approved",ISERROR(SEARCH("FAIL",AS129))),"Y","N"))</f>
        <v/>
      </c>
      <c r="BA129" s="10" t="str">
        <f aca="false">IF(C129="","",C129&amp;"|"&amp;I129&amp;"|"&amp;F129&amp;"|"&amp;AZ129)</f>
        <v/>
      </c>
    </row>
    <row r="130" customFormat="false" ht="15" hidden="false" customHeight="false" outlineLevel="0" collapsed="false">
      <c r="A130" s="10" t="str">
        <f aca="false">IF(C130="","","MH-"&amp;IFERROR(VLOOKUP(C130,Lists!$AB$4:$AC$20,2,0),"??")&amp;"-"&amp;TEXT(F130,"0000")&amp;IF(E130="Circular","D","x"&amp;TEXT(G130,"0000"))&amp;"-D"&amp;TEXT(I130*1000,"0000")&amp;"-"&amp;IFERROR(VLOOKUP(D130,Lists!$AE$4:$AF$16,2,0),"??")&amp;"-"&amp;AA130)</f>
        <v/>
      </c>
      <c r="B130" s="10" t="str">
        <f aca="false">IF(C130="","",C130&amp;", "&amp;D130&amp;", "&amp;IF(E130="Circular",F130&amp;" dia",F130&amp;" x "&amp;G130)&amp;", depth "&amp;TEXT(H130,"0.0")&amp;"-"&amp;TEXT(I130,"0.0")&amp;" m, pipe up to "&amp;J130&amp;" dia")</f>
        <v/>
      </c>
      <c r="C130" s="9"/>
      <c r="D130" s="9"/>
      <c r="E130" s="9"/>
      <c r="F130" s="40"/>
      <c r="G130" s="40"/>
      <c r="H130" s="43"/>
      <c r="I130" s="43"/>
      <c r="J130" s="40"/>
      <c r="K130" s="40"/>
      <c r="L130" s="40"/>
      <c r="M130" s="40"/>
      <c r="N130" s="9"/>
      <c r="O130" s="9"/>
      <c r="P130" s="9"/>
      <c r="Q130" s="9"/>
      <c r="R130" s="41"/>
      <c r="S130" s="9"/>
      <c r="T130" s="40"/>
      <c r="U130" s="9"/>
      <c r="V130" s="9"/>
      <c r="W130" s="9"/>
      <c r="X130" s="9"/>
      <c r="Y130" s="9"/>
      <c r="Z130" s="9"/>
      <c r="AA130" s="9"/>
      <c r="AB130" s="9"/>
      <c r="AC130" s="9"/>
      <c r="AD130" s="9"/>
      <c r="AE130" s="9"/>
      <c r="AF130" s="10" t="str">
        <f aca="false">IF(A130="","",SG_Criteria!$B$6&amp;SG_Criteria!$B$10&amp;"\"&amp;A130&amp;"\")</f>
        <v/>
      </c>
      <c r="AG130" s="10" t="str">
        <f aca="false">IF(A130="","",A130&amp;"_CAD.dwg")</f>
        <v/>
      </c>
      <c r="AH130" s="10" t="str">
        <f aca="false">IF(A130="","",A130&amp;"_DWG.pdf")</f>
        <v/>
      </c>
      <c r="AI130" s="10" t="str">
        <f aca="false">IF(A130="","",IF(AE130="Y",A130&amp;"_STAAD.std","n/a"))</f>
        <v/>
      </c>
      <c r="AJ130" s="10" t="str">
        <f aca="false">IF(A130="","",A130&amp;"_CALC.xlsx")</f>
        <v/>
      </c>
      <c r="AK130" s="10" t="str">
        <f aca="false">IF(A130="","",A130&amp;"_CALC.pdf")</f>
        <v/>
      </c>
      <c r="AL130" s="9"/>
      <c r="AM130" s="9"/>
      <c r="AN130" s="41"/>
      <c r="AO130" s="41"/>
      <c r="AP130" s="41"/>
      <c r="AQ130" s="41"/>
      <c r="AR130" s="41"/>
      <c r="AS130" s="38" t="str">
        <f aca="false">IF(C130="","",IF(LEN(IF(AND(S130&lt;&gt;"",IFERROR(VALUE(MID(S130,2,2)),0)&lt;SG_Criteria!$B$19),"FAIL: grade below C"&amp;SG_Criteria!$B$19&amp;". ","")&amp;IF(AND(T130&lt;&gt;"",T130&lt;SG_Criteria!$B$20),"FAIL: cover &lt; "&amp;SG_Criteria!$B$20&amp;" mm. ","")&amp;IF(AND(H130&lt;&gt;"",H130&lt;SG_Criteria!$B$39),"NOTE: min depth below PUB "&amp;SG_Criteria!$B$39&amp;" m. ","")&amp;IF(AND(LEFT(C130,8)="Standard",I130&gt;SG_Criteria!$B$42),"FAIL: PUB 001C covers manholes up to "&amp;SG_Criteria!$B$42&amp;" m deep only. ","")&amp;IF(AND(LEFT(C130,11)="Rectangular",J130&lt;SG_Criteria!$B$43),"NOTE: 004C is for sewers &gt;= "&amp;SG_Criteria!$B$43&amp;" dia. ","")&amp;IF(AND(LEFT(C130,7)="Precast",I130&lt;=SG_Criteria!$B$42),"NOTE: 006C is for manholes &gt; "&amp;SG_Criteria!$B$42&amp;" m deep. ","")&amp;IF(AND(J130&lt;&gt;"",J130&lt;SG_Criteria!$B$40,C130&lt;&gt;"Inspection Chamber"),"NOTE: public sewer min dia "&amp;SG_Criteria!$B$40&amp;" mm. ","")&amp;IF(AND(R130&lt;&gt;"",R130&lt;SG_Criteria!$B$44),"FAIL: uplift FOS below "&amp;SG_Criteria!$B$44&amp;". ",""))=0,"OK",IF(AND(S130&lt;&gt;"",IFERROR(VALUE(MID(S130,2,2)),0)&lt;SG_Criteria!$B$19),"FAIL: grade below C"&amp;SG_Criteria!$B$19&amp;". ","")&amp;IF(AND(T130&lt;&gt;"",T130&lt;SG_Criteria!$B$20),"FAIL: cover &lt; "&amp;SG_Criteria!$B$20&amp;" mm. ","")&amp;IF(AND(H130&lt;&gt;"",H130&lt;SG_Criteria!$B$39),"NOTE: min depth below PUB "&amp;SG_Criteria!$B$39&amp;" m. ","")&amp;IF(AND(LEFT(C130,8)="Standard",I130&gt;SG_Criteria!$B$42),"FAIL: PUB 001C covers manholes up to "&amp;SG_Criteria!$B$42&amp;" m deep only. ","")&amp;IF(AND(LEFT(C130,11)="Rectangular",J130&lt;SG_Criteria!$B$43),"NOTE: 004C is for sewers &gt;= "&amp;SG_Criteria!$B$43&amp;" dia. ","")&amp;IF(AND(LEFT(C130,7)="Precast",I130&lt;=SG_Criteria!$B$42),"NOTE: 006C is for manholes &gt; "&amp;SG_Criteria!$B$42&amp;" m deep. ","")&amp;IF(AND(J130&lt;&gt;"",J130&lt;SG_Criteria!$B$40,C130&lt;&gt;"Inspection Chamber"),"NOTE: public sewer min dia "&amp;SG_Criteria!$B$40&amp;" mm. ","")&amp;IF(AND(R130&lt;&gt;"",R130&lt;SG_Criteria!$B$44),"FAIL: uplift FOS below "&amp;SG_Criteria!$B$44&amp;". ","")))</f>
        <v/>
      </c>
      <c r="AT130" s="9"/>
      <c r="AU130" s="9"/>
      <c r="AV130" s="9"/>
      <c r="AW130" s="9"/>
      <c r="AX130" s="9"/>
      <c r="AY130" s="31"/>
      <c r="AZ130" s="10" t="str">
        <f aca="false">IF(C130="","",IF(AND(AB130="Approved",ISERROR(SEARCH("FAIL",AS130))),"Y","N"))</f>
        <v/>
      </c>
      <c r="BA130" s="10" t="str">
        <f aca="false">IF(C130="","",C130&amp;"|"&amp;I130&amp;"|"&amp;F130&amp;"|"&amp;AZ130)</f>
        <v/>
      </c>
    </row>
    <row r="131" customFormat="false" ht="15" hidden="false" customHeight="false" outlineLevel="0" collapsed="false">
      <c r="A131" s="10" t="str">
        <f aca="false">IF(C131="","","MH-"&amp;IFERROR(VLOOKUP(C131,Lists!$AB$4:$AC$20,2,0),"??")&amp;"-"&amp;TEXT(F131,"0000")&amp;IF(E131="Circular","D","x"&amp;TEXT(G131,"0000"))&amp;"-D"&amp;TEXT(I131*1000,"0000")&amp;"-"&amp;IFERROR(VLOOKUP(D131,Lists!$AE$4:$AF$16,2,0),"??")&amp;"-"&amp;AA131)</f>
        <v/>
      </c>
      <c r="B131" s="10" t="str">
        <f aca="false">IF(C131="","",C131&amp;", "&amp;D131&amp;", "&amp;IF(E131="Circular",F131&amp;" dia",F131&amp;" x "&amp;G131)&amp;", depth "&amp;TEXT(H131,"0.0")&amp;"-"&amp;TEXT(I131,"0.0")&amp;" m, pipe up to "&amp;J131&amp;" dia")</f>
        <v/>
      </c>
      <c r="C131" s="9"/>
      <c r="D131" s="9"/>
      <c r="E131" s="9"/>
      <c r="F131" s="40"/>
      <c r="G131" s="40"/>
      <c r="H131" s="43"/>
      <c r="I131" s="43"/>
      <c r="J131" s="40"/>
      <c r="K131" s="40"/>
      <c r="L131" s="40"/>
      <c r="M131" s="40"/>
      <c r="N131" s="9"/>
      <c r="O131" s="9"/>
      <c r="P131" s="9"/>
      <c r="Q131" s="9"/>
      <c r="R131" s="41"/>
      <c r="S131" s="9"/>
      <c r="T131" s="40"/>
      <c r="U131" s="9"/>
      <c r="V131" s="9"/>
      <c r="W131" s="9"/>
      <c r="X131" s="9"/>
      <c r="Y131" s="9"/>
      <c r="Z131" s="9"/>
      <c r="AA131" s="9"/>
      <c r="AB131" s="9"/>
      <c r="AC131" s="9"/>
      <c r="AD131" s="9"/>
      <c r="AE131" s="9"/>
      <c r="AF131" s="10" t="str">
        <f aca="false">IF(A131="","",SG_Criteria!$B$6&amp;SG_Criteria!$B$10&amp;"\"&amp;A131&amp;"\")</f>
        <v/>
      </c>
      <c r="AG131" s="10" t="str">
        <f aca="false">IF(A131="","",A131&amp;"_CAD.dwg")</f>
        <v/>
      </c>
      <c r="AH131" s="10" t="str">
        <f aca="false">IF(A131="","",A131&amp;"_DWG.pdf")</f>
        <v/>
      </c>
      <c r="AI131" s="10" t="str">
        <f aca="false">IF(A131="","",IF(AE131="Y",A131&amp;"_STAAD.std","n/a"))</f>
        <v/>
      </c>
      <c r="AJ131" s="10" t="str">
        <f aca="false">IF(A131="","",A131&amp;"_CALC.xlsx")</f>
        <v/>
      </c>
      <c r="AK131" s="10" t="str">
        <f aca="false">IF(A131="","",A131&amp;"_CALC.pdf")</f>
        <v/>
      </c>
      <c r="AL131" s="9"/>
      <c r="AM131" s="9"/>
      <c r="AN131" s="41"/>
      <c r="AO131" s="41"/>
      <c r="AP131" s="41"/>
      <c r="AQ131" s="41"/>
      <c r="AR131" s="41"/>
      <c r="AS131" s="38" t="str">
        <f aca="false">IF(C131="","",IF(LEN(IF(AND(S131&lt;&gt;"",IFERROR(VALUE(MID(S131,2,2)),0)&lt;SG_Criteria!$B$19),"FAIL: grade below C"&amp;SG_Criteria!$B$19&amp;". ","")&amp;IF(AND(T131&lt;&gt;"",T131&lt;SG_Criteria!$B$20),"FAIL: cover &lt; "&amp;SG_Criteria!$B$20&amp;" mm. ","")&amp;IF(AND(H131&lt;&gt;"",H131&lt;SG_Criteria!$B$39),"NOTE: min depth below PUB "&amp;SG_Criteria!$B$39&amp;" m. ","")&amp;IF(AND(LEFT(C131,8)="Standard",I131&gt;SG_Criteria!$B$42),"FAIL: PUB 001C covers manholes up to "&amp;SG_Criteria!$B$42&amp;" m deep only. ","")&amp;IF(AND(LEFT(C131,11)="Rectangular",J131&lt;SG_Criteria!$B$43),"NOTE: 004C is for sewers &gt;= "&amp;SG_Criteria!$B$43&amp;" dia. ","")&amp;IF(AND(LEFT(C131,7)="Precast",I131&lt;=SG_Criteria!$B$42),"NOTE: 006C is for manholes &gt; "&amp;SG_Criteria!$B$42&amp;" m deep. ","")&amp;IF(AND(J131&lt;&gt;"",J131&lt;SG_Criteria!$B$40,C131&lt;&gt;"Inspection Chamber"),"NOTE: public sewer min dia "&amp;SG_Criteria!$B$40&amp;" mm. ","")&amp;IF(AND(R131&lt;&gt;"",R131&lt;SG_Criteria!$B$44),"FAIL: uplift FOS below "&amp;SG_Criteria!$B$44&amp;". ",""))=0,"OK",IF(AND(S131&lt;&gt;"",IFERROR(VALUE(MID(S131,2,2)),0)&lt;SG_Criteria!$B$19),"FAIL: grade below C"&amp;SG_Criteria!$B$19&amp;". ","")&amp;IF(AND(T131&lt;&gt;"",T131&lt;SG_Criteria!$B$20),"FAIL: cover &lt; "&amp;SG_Criteria!$B$20&amp;" mm. ","")&amp;IF(AND(H131&lt;&gt;"",H131&lt;SG_Criteria!$B$39),"NOTE: min depth below PUB "&amp;SG_Criteria!$B$39&amp;" m. ","")&amp;IF(AND(LEFT(C131,8)="Standard",I131&gt;SG_Criteria!$B$42),"FAIL: PUB 001C covers manholes up to "&amp;SG_Criteria!$B$42&amp;" m deep only. ","")&amp;IF(AND(LEFT(C131,11)="Rectangular",J131&lt;SG_Criteria!$B$43),"NOTE: 004C is for sewers &gt;= "&amp;SG_Criteria!$B$43&amp;" dia. ","")&amp;IF(AND(LEFT(C131,7)="Precast",I131&lt;=SG_Criteria!$B$42),"NOTE: 006C is for manholes &gt; "&amp;SG_Criteria!$B$42&amp;" m deep. ","")&amp;IF(AND(J131&lt;&gt;"",J131&lt;SG_Criteria!$B$40,C131&lt;&gt;"Inspection Chamber"),"NOTE: public sewer min dia "&amp;SG_Criteria!$B$40&amp;" mm. ","")&amp;IF(AND(R131&lt;&gt;"",R131&lt;SG_Criteria!$B$44),"FAIL: uplift FOS below "&amp;SG_Criteria!$B$44&amp;". ","")))</f>
        <v/>
      </c>
      <c r="AT131" s="9"/>
      <c r="AU131" s="9"/>
      <c r="AV131" s="9"/>
      <c r="AW131" s="9"/>
      <c r="AX131" s="9"/>
      <c r="AY131" s="31"/>
      <c r="AZ131" s="10" t="str">
        <f aca="false">IF(C131="","",IF(AND(AB131="Approved",ISERROR(SEARCH("FAIL",AS131))),"Y","N"))</f>
        <v/>
      </c>
      <c r="BA131" s="10" t="str">
        <f aca="false">IF(C131="","",C131&amp;"|"&amp;I131&amp;"|"&amp;F131&amp;"|"&amp;AZ131)</f>
        <v/>
      </c>
    </row>
    <row r="132" customFormat="false" ht="15" hidden="false" customHeight="false" outlineLevel="0" collapsed="false">
      <c r="A132" s="10" t="str">
        <f aca="false">IF(C132="","","MH-"&amp;IFERROR(VLOOKUP(C132,Lists!$AB$4:$AC$20,2,0),"??")&amp;"-"&amp;TEXT(F132,"0000")&amp;IF(E132="Circular","D","x"&amp;TEXT(G132,"0000"))&amp;"-D"&amp;TEXT(I132*1000,"0000")&amp;"-"&amp;IFERROR(VLOOKUP(D132,Lists!$AE$4:$AF$16,2,0),"??")&amp;"-"&amp;AA132)</f>
        <v/>
      </c>
      <c r="B132" s="10" t="str">
        <f aca="false">IF(C132="","",C132&amp;", "&amp;D132&amp;", "&amp;IF(E132="Circular",F132&amp;" dia",F132&amp;" x "&amp;G132)&amp;", depth "&amp;TEXT(H132,"0.0")&amp;"-"&amp;TEXT(I132,"0.0")&amp;" m, pipe up to "&amp;J132&amp;" dia")</f>
        <v/>
      </c>
      <c r="C132" s="9"/>
      <c r="D132" s="9"/>
      <c r="E132" s="9"/>
      <c r="F132" s="40"/>
      <c r="G132" s="40"/>
      <c r="H132" s="43"/>
      <c r="I132" s="43"/>
      <c r="J132" s="40"/>
      <c r="K132" s="40"/>
      <c r="L132" s="40"/>
      <c r="M132" s="40"/>
      <c r="N132" s="9"/>
      <c r="O132" s="9"/>
      <c r="P132" s="9"/>
      <c r="Q132" s="9"/>
      <c r="R132" s="41"/>
      <c r="S132" s="9"/>
      <c r="T132" s="40"/>
      <c r="U132" s="9"/>
      <c r="V132" s="9"/>
      <c r="W132" s="9"/>
      <c r="X132" s="9"/>
      <c r="Y132" s="9"/>
      <c r="Z132" s="9"/>
      <c r="AA132" s="9"/>
      <c r="AB132" s="9"/>
      <c r="AC132" s="9"/>
      <c r="AD132" s="9"/>
      <c r="AE132" s="9"/>
      <c r="AF132" s="10" t="str">
        <f aca="false">IF(A132="","",SG_Criteria!$B$6&amp;SG_Criteria!$B$10&amp;"\"&amp;A132&amp;"\")</f>
        <v/>
      </c>
      <c r="AG132" s="10" t="str">
        <f aca="false">IF(A132="","",A132&amp;"_CAD.dwg")</f>
        <v/>
      </c>
      <c r="AH132" s="10" t="str">
        <f aca="false">IF(A132="","",A132&amp;"_DWG.pdf")</f>
        <v/>
      </c>
      <c r="AI132" s="10" t="str">
        <f aca="false">IF(A132="","",IF(AE132="Y",A132&amp;"_STAAD.std","n/a"))</f>
        <v/>
      </c>
      <c r="AJ132" s="10" t="str">
        <f aca="false">IF(A132="","",A132&amp;"_CALC.xlsx")</f>
        <v/>
      </c>
      <c r="AK132" s="10" t="str">
        <f aca="false">IF(A132="","",A132&amp;"_CALC.pdf")</f>
        <v/>
      </c>
      <c r="AL132" s="9"/>
      <c r="AM132" s="9"/>
      <c r="AN132" s="41"/>
      <c r="AO132" s="41"/>
      <c r="AP132" s="41"/>
      <c r="AQ132" s="41"/>
      <c r="AR132" s="41"/>
      <c r="AS132" s="38" t="str">
        <f aca="false">IF(C132="","",IF(LEN(IF(AND(S132&lt;&gt;"",IFERROR(VALUE(MID(S132,2,2)),0)&lt;SG_Criteria!$B$19),"FAIL: grade below C"&amp;SG_Criteria!$B$19&amp;". ","")&amp;IF(AND(T132&lt;&gt;"",T132&lt;SG_Criteria!$B$20),"FAIL: cover &lt; "&amp;SG_Criteria!$B$20&amp;" mm. ","")&amp;IF(AND(H132&lt;&gt;"",H132&lt;SG_Criteria!$B$39),"NOTE: min depth below PUB "&amp;SG_Criteria!$B$39&amp;" m. ","")&amp;IF(AND(LEFT(C132,8)="Standard",I132&gt;SG_Criteria!$B$42),"FAIL: PUB 001C covers manholes up to "&amp;SG_Criteria!$B$42&amp;" m deep only. ","")&amp;IF(AND(LEFT(C132,11)="Rectangular",J132&lt;SG_Criteria!$B$43),"NOTE: 004C is for sewers &gt;= "&amp;SG_Criteria!$B$43&amp;" dia. ","")&amp;IF(AND(LEFT(C132,7)="Precast",I132&lt;=SG_Criteria!$B$42),"NOTE: 006C is for manholes &gt; "&amp;SG_Criteria!$B$42&amp;" m deep. ","")&amp;IF(AND(J132&lt;&gt;"",J132&lt;SG_Criteria!$B$40,C132&lt;&gt;"Inspection Chamber"),"NOTE: public sewer min dia "&amp;SG_Criteria!$B$40&amp;" mm. ","")&amp;IF(AND(R132&lt;&gt;"",R132&lt;SG_Criteria!$B$44),"FAIL: uplift FOS below "&amp;SG_Criteria!$B$44&amp;". ",""))=0,"OK",IF(AND(S132&lt;&gt;"",IFERROR(VALUE(MID(S132,2,2)),0)&lt;SG_Criteria!$B$19),"FAIL: grade below C"&amp;SG_Criteria!$B$19&amp;". ","")&amp;IF(AND(T132&lt;&gt;"",T132&lt;SG_Criteria!$B$20),"FAIL: cover &lt; "&amp;SG_Criteria!$B$20&amp;" mm. ","")&amp;IF(AND(H132&lt;&gt;"",H132&lt;SG_Criteria!$B$39),"NOTE: min depth below PUB "&amp;SG_Criteria!$B$39&amp;" m. ","")&amp;IF(AND(LEFT(C132,8)="Standard",I132&gt;SG_Criteria!$B$42),"FAIL: PUB 001C covers manholes up to "&amp;SG_Criteria!$B$42&amp;" m deep only. ","")&amp;IF(AND(LEFT(C132,11)="Rectangular",J132&lt;SG_Criteria!$B$43),"NOTE: 004C is for sewers &gt;= "&amp;SG_Criteria!$B$43&amp;" dia. ","")&amp;IF(AND(LEFT(C132,7)="Precast",I132&lt;=SG_Criteria!$B$42),"NOTE: 006C is for manholes &gt; "&amp;SG_Criteria!$B$42&amp;" m deep. ","")&amp;IF(AND(J132&lt;&gt;"",J132&lt;SG_Criteria!$B$40,C132&lt;&gt;"Inspection Chamber"),"NOTE: public sewer min dia "&amp;SG_Criteria!$B$40&amp;" mm. ","")&amp;IF(AND(R132&lt;&gt;"",R132&lt;SG_Criteria!$B$44),"FAIL: uplift FOS below "&amp;SG_Criteria!$B$44&amp;". ","")))</f>
        <v/>
      </c>
      <c r="AT132" s="9"/>
      <c r="AU132" s="9"/>
      <c r="AV132" s="9"/>
      <c r="AW132" s="9"/>
      <c r="AX132" s="9"/>
      <c r="AY132" s="31"/>
      <c r="AZ132" s="10" t="str">
        <f aca="false">IF(C132="","",IF(AND(AB132="Approved",ISERROR(SEARCH("FAIL",AS132))),"Y","N"))</f>
        <v/>
      </c>
      <c r="BA132" s="10" t="str">
        <f aca="false">IF(C132="","",C132&amp;"|"&amp;I132&amp;"|"&amp;F132&amp;"|"&amp;AZ132)</f>
        <v/>
      </c>
    </row>
    <row r="133" customFormat="false" ht="15" hidden="false" customHeight="false" outlineLevel="0" collapsed="false">
      <c r="A133" s="10" t="str">
        <f aca="false">IF(C133="","","MH-"&amp;IFERROR(VLOOKUP(C133,Lists!$AB$4:$AC$20,2,0),"??")&amp;"-"&amp;TEXT(F133,"0000")&amp;IF(E133="Circular","D","x"&amp;TEXT(G133,"0000"))&amp;"-D"&amp;TEXT(I133*1000,"0000")&amp;"-"&amp;IFERROR(VLOOKUP(D133,Lists!$AE$4:$AF$16,2,0),"??")&amp;"-"&amp;AA133)</f>
        <v/>
      </c>
      <c r="B133" s="10" t="str">
        <f aca="false">IF(C133="","",C133&amp;", "&amp;D133&amp;", "&amp;IF(E133="Circular",F133&amp;" dia",F133&amp;" x "&amp;G133)&amp;", depth "&amp;TEXT(H133,"0.0")&amp;"-"&amp;TEXT(I133,"0.0")&amp;" m, pipe up to "&amp;J133&amp;" dia")</f>
        <v/>
      </c>
      <c r="C133" s="9"/>
      <c r="D133" s="9"/>
      <c r="E133" s="9"/>
      <c r="F133" s="40"/>
      <c r="G133" s="40"/>
      <c r="H133" s="43"/>
      <c r="I133" s="43"/>
      <c r="J133" s="40"/>
      <c r="K133" s="40"/>
      <c r="L133" s="40"/>
      <c r="M133" s="40"/>
      <c r="N133" s="9"/>
      <c r="O133" s="9"/>
      <c r="P133" s="9"/>
      <c r="Q133" s="9"/>
      <c r="R133" s="41"/>
      <c r="S133" s="9"/>
      <c r="T133" s="40"/>
      <c r="U133" s="9"/>
      <c r="V133" s="9"/>
      <c r="W133" s="9"/>
      <c r="X133" s="9"/>
      <c r="Y133" s="9"/>
      <c r="Z133" s="9"/>
      <c r="AA133" s="9"/>
      <c r="AB133" s="9"/>
      <c r="AC133" s="9"/>
      <c r="AD133" s="9"/>
      <c r="AE133" s="9"/>
      <c r="AF133" s="10" t="str">
        <f aca="false">IF(A133="","",SG_Criteria!$B$6&amp;SG_Criteria!$B$10&amp;"\"&amp;A133&amp;"\")</f>
        <v/>
      </c>
      <c r="AG133" s="10" t="str">
        <f aca="false">IF(A133="","",A133&amp;"_CAD.dwg")</f>
        <v/>
      </c>
      <c r="AH133" s="10" t="str">
        <f aca="false">IF(A133="","",A133&amp;"_DWG.pdf")</f>
        <v/>
      </c>
      <c r="AI133" s="10" t="str">
        <f aca="false">IF(A133="","",IF(AE133="Y",A133&amp;"_STAAD.std","n/a"))</f>
        <v/>
      </c>
      <c r="AJ133" s="10" t="str">
        <f aca="false">IF(A133="","",A133&amp;"_CALC.xlsx")</f>
        <v/>
      </c>
      <c r="AK133" s="10" t="str">
        <f aca="false">IF(A133="","",A133&amp;"_CALC.pdf")</f>
        <v/>
      </c>
      <c r="AL133" s="9"/>
      <c r="AM133" s="9"/>
      <c r="AN133" s="41"/>
      <c r="AO133" s="41"/>
      <c r="AP133" s="41"/>
      <c r="AQ133" s="41"/>
      <c r="AR133" s="41"/>
      <c r="AS133" s="38" t="str">
        <f aca="false">IF(C133="","",IF(LEN(IF(AND(S133&lt;&gt;"",IFERROR(VALUE(MID(S133,2,2)),0)&lt;SG_Criteria!$B$19),"FAIL: grade below C"&amp;SG_Criteria!$B$19&amp;". ","")&amp;IF(AND(T133&lt;&gt;"",T133&lt;SG_Criteria!$B$20),"FAIL: cover &lt; "&amp;SG_Criteria!$B$20&amp;" mm. ","")&amp;IF(AND(H133&lt;&gt;"",H133&lt;SG_Criteria!$B$39),"NOTE: min depth below PUB "&amp;SG_Criteria!$B$39&amp;" m. ","")&amp;IF(AND(LEFT(C133,8)="Standard",I133&gt;SG_Criteria!$B$42),"FAIL: PUB 001C covers manholes up to "&amp;SG_Criteria!$B$42&amp;" m deep only. ","")&amp;IF(AND(LEFT(C133,11)="Rectangular",J133&lt;SG_Criteria!$B$43),"NOTE: 004C is for sewers &gt;= "&amp;SG_Criteria!$B$43&amp;" dia. ","")&amp;IF(AND(LEFT(C133,7)="Precast",I133&lt;=SG_Criteria!$B$42),"NOTE: 006C is for manholes &gt; "&amp;SG_Criteria!$B$42&amp;" m deep. ","")&amp;IF(AND(J133&lt;&gt;"",J133&lt;SG_Criteria!$B$40,C133&lt;&gt;"Inspection Chamber"),"NOTE: public sewer min dia "&amp;SG_Criteria!$B$40&amp;" mm. ","")&amp;IF(AND(R133&lt;&gt;"",R133&lt;SG_Criteria!$B$44),"FAIL: uplift FOS below "&amp;SG_Criteria!$B$44&amp;". ",""))=0,"OK",IF(AND(S133&lt;&gt;"",IFERROR(VALUE(MID(S133,2,2)),0)&lt;SG_Criteria!$B$19),"FAIL: grade below C"&amp;SG_Criteria!$B$19&amp;". ","")&amp;IF(AND(T133&lt;&gt;"",T133&lt;SG_Criteria!$B$20),"FAIL: cover &lt; "&amp;SG_Criteria!$B$20&amp;" mm. ","")&amp;IF(AND(H133&lt;&gt;"",H133&lt;SG_Criteria!$B$39),"NOTE: min depth below PUB "&amp;SG_Criteria!$B$39&amp;" m. ","")&amp;IF(AND(LEFT(C133,8)="Standard",I133&gt;SG_Criteria!$B$42),"FAIL: PUB 001C covers manholes up to "&amp;SG_Criteria!$B$42&amp;" m deep only. ","")&amp;IF(AND(LEFT(C133,11)="Rectangular",J133&lt;SG_Criteria!$B$43),"NOTE: 004C is for sewers &gt;= "&amp;SG_Criteria!$B$43&amp;" dia. ","")&amp;IF(AND(LEFT(C133,7)="Precast",I133&lt;=SG_Criteria!$B$42),"NOTE: 006C is for manholes &gt; "&amp;SG_Criteria!$B$42&amp;" m deep. ","")&amp;IF(AND(J133&lt;&gt;"",J133&lt;SG_Criteria!$B$40,C133&lt;&gt;"Inspection Chamber"),"NOTE: public sewer min dia "&amp;SG_Criteria!$B$40&amp;" mm. ","")&amp;IF(AND(R133&lt;&gt;"",R133&lt;SG_Criteria!$B$44),"FAIL: uplift FOS below "&amp;SG_Criteria!$B$44&amp;". ","")))</f>
        <v/>
      </c>
      <c r="AT133" s="9"/>
      <c r="AU133" s="9"/>
      <c r="AV133" s="9"/>
      <c r="AW133" s="9"/>
      <c r="AX133" s="9"/>
      <c r="AY133" s="31"/>
      <c r="AZ133" s="10" t="str">
        <f aca="false">IF(C133="","",IF(AND(AB133="Approved",ISERROR(SEARCH("FAIL",AS133))),"Y","N"))</f>
        <v/>
      </c>
      <c r="BA133" s="10" t="str">
        <f aca="false">IF(C133="","",C133&amp;"|"&amp;I133&amp;"|"&amp;F133&amp;"|"&amp;AZ133)</f>
        <v/>
      </c>
    </row>
    <row r="134" customFormat="false" ht="15" hidden="false" customHeight="false" outlineLevel="0" collapsed="false">
      <c r="A134" s="10" t="str">
        <f aca="false">IF(C134="","","MH-"&amp;IFERROR(VLOOKUP(C134,Lists!$AB$4:$AC$20,2,0),"??")&amp;"-"&amp;TEXT(F134,"0000")&amp;IF(E134="Circular","D","x"&amp;TEXT(G134,"0000"))&amp;"-D"&amp;TEXT(I134*1000,"0000")&amp;"-"&amp;IFERROR(VLOOKUP(D134,Lists!$AE$4:$AF$16,2,0),"??")&amp;"-"&amp;AA134)</f>
        <v/>
      </c>
      <c r="B134" s="10" t="str">
        <f aca="false">IF(C134="","",C134&amp;", "&amp;D134&amp;", "&amp;IF(E134="Circular",F134&amp;" dia",F134&amp;" x "&amp;G134)&amp;", depth "&amp;TEXT(H134,"0.0")&amp;"-"&amp;TEXT(I134,"0.0")&amp;" m, pipe up to "&amp;J134&amp;" dia")</f>
        <v/>
      </c>
      <c r="C134" s="9"/>
      <c r="D134" s="9"/>
      <c r="E134" s="9"/>
      <c r="F134" s="40"/>
      <c r="G134" s="40"/>
      <c r="H134" s="43"/>
      <c r="I134" s="43"/>
      <c r="J134" s="40"/>
      <c r="K134" s="40"/>
      <c r="L134" s="40"/>
      <c r="M134" s="40"/>
      <c r="N134" s="9"/>
      <c r="O134" s="9"/>
      <c r="P134" s="9"/>
      <c r="Q134" s="9"/>
      <c r="R134" s="41"/>
      <c r="S134" s="9"/>
      <c r="T134" s="40"/>
      <c r="U134" s="9"/>
      <c r="V134" s="9"/>
      <c r="W134" s="9"/>
      <c r="X134" s="9"/>
      <c r="Y134" s="9"/>
      <c r="Z134" s="9"/>
      <c r="AA134" s="9"/>
      <c r="AB134" s="9"/>
      <c r="AC134" s="9"/>
      <c r="AD134" s="9"/>
      <c r="AE134" s="9"/>
      <c r="AF134" s="10" t="str">
        <f aca="false">IF(A134="","",SG_Criteria!$B$6&amp;SG_Criteria!$B$10&amp;"\"&amp;A134&amp;"\")</f>
        <v/>
      </c>
      <c r="AG134" s="10" t="str">
        <f aca="false">IF(A134="","",A134&amp;"_CAD.dwg")</f>
        <v/>
      </c>
      <c r="AH134" s="10" t="str">
        <f aca="false">IF(A134="","",A134&amp;"_DWG.pdf")</f>
        <v/>
      </c>
      <c r="AI134" s="10" t="str">
        <f aca="false">IF(A134="","",IF(AE134="Y",A134&amp;"_STAAD.std","n/a"))</f>
        <v/>
      </c>
      <c r="AJ134" s="10" t="str">
        <f aca="false">IF(A134="","",A134&amp;"_CALC.xlsx")</f>
        <v/>
      </c>
      <c r="AK134" s="10" t="str">
        <f aca="false">IF(A134="","",A134&amp;"_CALC.pdf")</f>
        <v/>
      </c>
      <c r="AL134" s="9"/>
      <c r="AM134" s="9"/>
      <c r="AN134" s="41"/>
      <c r="AO134" s="41"/>
      <c r="AP134" s="41"/>
      <c r="AQ134" s="41"/>
      <c r="AR134" s="41"/>
      <c r="AS134" s="38" t="str">
        <f aca="false">IF(C134="","",IF(LEN(IF(AND(S134&lt;&gt;"",IFERROR(VALUE(MID(S134,2,2)),0)&lt;SG_Criteria!$B$19),"FAIL: grade below C"&amp;SG_Criteria!$B$19&amp;". ","")&amp;IF(AND(T134&lt;&gt;"",T134&lt;SG_Criteria!$B$20),"FAIL: cover &lt; "&amp;SG_Criteria!$B$20&amp;" mm. ","")&amp;IF(AND(H134&lt;&gt;"",H134&lt;SG_Criteria!$B$39),"NOTE: min depth below PUB "&amp;SG_Criteria!$B$39&amp;" m. ","")&amp;IF(AND(LEFT(C134,8)="Standard",I134&gt;SG_Criteria!$B$42),"FAIL: PUB 001C covers manholes up to "&amp;SG_Criteria!$B$42&amp;" m deep only. ","")&amp;IF(AND(LEFT(C134,11)="Rectangular",J134&lt;SG_Criteria!$B$43),"NOTE: 004C is for sewers &gt;= "&amp;SG_Criteria!$B$43&amp;" dia. ","")&amp;IF(AND(LEFT(C134,7)="Precast",I134&lt;=SG_Criteria!$B$42),"NOTE: 006C is for manholes &gt; "&amp;SG_Criteria!$B$42&amp;" m deep. ","")&amp;IF(AND(J134&lt;&gt;"",J134&lt;SG_Criteria!$B$40,C134&lt;&gt;"Inspection Chamber"),"NOTE: public sewer min dia "&amp;SG_Criteria!$B$40&amp;" mm. ","")&amp;IF(AND(R134&lt;&gt;"",R134&lt;SG_Criteria!$B$44),"FAIL: uplift FOS below "&amp;SG_Criteria!$B$44&amp;". ",""))=0,"OK",IF(AND(S134&lt;&gt;"",IFERROR(VALUE(MID(S134,2,2)),0)&lt;SG_Criteria!$B$19),"FAIL: grade below C"&amp;SG_Criteria!$B$19&amp;". ","")&amp;IF(AND(T134&lt;&gt;"",T134&lt;SG_Criteria!$B$20),"FAIL: cover &lt; "&amp;SG_Criteria!$B$20&amp;" mm. ","")&amp;IF(AND(H134&lt;&gt;"",H134&lt;SG_Criteria!$B$39),"NOTE: min depth below PUB "&amp;SG_Criteria!$B$39&amp;" m. ","")&amp;IF(AND(LEFT(C134,8)="Standard",I134&gt;SG_Criteria!$B$42),"FAIL: PUB 001C covers manholes up to "&amp;SG_Criteria!$B$42&amp;" m deep only. ","")&amp;IF(AND(LEFT(C134,11)="Rectangular",J134&lt;SG_Criteria!$B$43),"NOTE: 004C is for sewers &gt;= "&amp;SG_Criteria!$B$43&amp;" dia. ","")&amp;IF(AND(LEFT(C134,7)="Precast",I134&lt;=SG_Criteria!$B$42),"NOTE: 006C is for manholes &gt; "&amp;SG_Criteria!$B$42&amp;" m deep. ","")&amp;IF(AND(J134&lt;&gt;"",J134&lt;SG_Criteria!$B$40,C134&lt;&gt;"Inspection Chamber"),"NOTE: public sewer min dia "&amp;SG_Criteria!$B$40&amp;" mm. ","")&amp;IF(AND(R134&lt;&gt;"",R134&lt;SG_Criteria!$B$44),"FAIL: uplift FOS below "&amp;SG_Criteria!$B$44&amp;". ","")))</f>
        <v/>
      </c>
      <c r="AT134" s="9"/>
      <c r="AU134" s="9"/>
      <c r="AV134" s="9"/>
      <c r="AW134" s="9"/>
      <c r="AX134" s="9"/>
      <c r="AY134" s="31"/>
      <c r="AZ134" s="10" t="str">
        <f aca="false">IF(C134="","",IF(AND(AB134="Approved",ISERROR(SEARCH("FAIL",AS134))),"Y","N"))</f>
        <v/>
      </c>
      <c r="BA134" s="10" t="str">
        <f aca="false">IF(C134="","",C134&amp;"|"&amp;I134&amp;"|"&amp;F134&amp;"|"&amp;AZ134)</f>
        <v/>
      </c>
    </row>
    <row r="135" customFormat="false" ht="15" hidden="false" customHeight="false" outlineLevel="0" collapsed="false">
      <c r="A135" s="10" t="str">
        <f aca="false">IF(C135="","","MH-"&amp;IFERROR(VLOOKUP(C135,Lists!$AB$4:$AC$20,2,0),"??")&amp;"-"&amp;TEXT(F135,"0000")&amp;IF(E135="Circular","D","x"&amp;TEXT(G135,"0000"))&amp;"-D"&amp;TEXT(I135*1000,"0000")&amp;"-"&amp;IFERROR(VLOOKUP(D135,Lists!$AE$4:$AF$16,2,0),"??")&amp;"-"&amp;AA135)</f>
        <v/>
      </c>
      <c r="B135" s="10" t="str">
        <f aca="false">IF(C135="","",C135&amp;", "&amp;D135&amp;", "&amp;IF(E135="Circular",F135&amp;" dia",F135&amp;" x "&amp;G135)&amp;", depth "&amp;TEXT(H135,"0.0")&amp;"-"&amp;TEXT(I135,"0.0")&amp;" m, pipe up to "&amp;J135&amp;" dia")</f>
        <v/>
      </c>
      <c r="C135" s="9"/>
      <c r="D135" s="9"/>
      <c r="E135" s="9"/>
      <c r="F135" s="40"/>
      <c r="G135" s="40"/>
      <c r="H135" s="43"/>
      <c r="I135" s="43"/>
      <c r="J135" s="40"/>
      <c r="K135" s="40"/>
      <c r="L135" s="40"/>
      <c r="M135" s="40"/>
      <c r="N135" s="9"/>
      <c r="O135" s="9"/>
      <c r="P135" s="9"/>
      <c r="Q135" s="9"/>
      <c r="R135" s="41"/>
      <c r="S135" s="9"/>
      <c r="T135" s="40"/>
      <c r="U135" s="9"/>
      <c r="V135" s="9"/>
      <c r="W135" s="9"/>
      <c r="X135" s="9"/>
      <c r="Y135" s="9"/>
      <c r="Z135" s="9"/>
      <c r="AA135" s="9"/>
      <c r="AB135" s="9"/>
      <c r="AC135" s="9"/>
      <c r="AD135" s="9"/>
      <c r="AE135" s="9"/>
      <c r="AF135" s="10" t="str">
        <f aca="false">IF(A135="","",SG_Criteria!$B$6&amp;SG_Criteria!$B$10&amp;"\"&amp;A135&amp;"\")</f>
        <v/>
      </c>
      <c r="AG135" s="10" t="str">
        <f aca="false">IF(A135="","",A135&amp;"_CAD.dwg")</f>
        <v/>
      </c>
      <c r="AH135" s="10" t="str">
        <f aca="false">IF(A135="","",A135&amp;"_DWG.pdf")</f>
        <v/>
      </c>
      <c r="AI135" s="10" t="str">
        <f aca="false">IF(A135="","",IF(AE135="Y",A135&amp;"_STAAD.std","n/a"))</f>
        <v/>
      </c>
      <c r="AJ135" s="10" t="str">
        <f aca="false">IF(A135="","",A135&amp;"_CALC.xlsx")</f>
        <v/>
      </c>
      <c r="AK135" s="10" t="str">
        <f aca="false">IF(A135="","",A135&amp;"_CALC.pdf")</f>
        <v/>
      </c>
      <c r="AL135" s="9"/>
      <c r="AM135" s="9"/>
      <c r="AN135" s="41"/>
      <c r="AO135" s="41"/>
      <c r="AP135" s="41"/>
      <c r="AQ135" s="41"/>
      <c r="AR135" s="41"/>
      <c r="AS135" s="38" t="str">
        <f aca="false">IF(C135="","",IF(LEN(IF(AND(S135&lt;&gt;"",IFERROR(VALUE(MID(S135,2,2)),0)&lt;SG_Criteria!$B$19),"FAIL: grade below C"&amp;SG_Criteria!$B$19&amp;". ","")&amp;IF(AND(T135&lt;&gt;"",T135&lt;SG_Criteria!$B$20),"FAIL: cover &lt; "&amp;SG_Criteria!$B$20&amp;" mm. ","")&amp;IF(AND(H135&lt;&gt;"",H135&lt;SG_Criteria!$B$39),"NOTE: min depth below PUB "&amp;SG_Criteria!$B$39&amp;" m. ","")&amp;IF(AND(LEFT(C135,8)="Standard",I135&gt;SG_Criteria!$B$42),"FAIL: PUB 001C covers manholes up to "&amp;SG_Criteria!$B$42&amp;" m deep only. ","")&amp;IF(AND(LEFT(C135,11)="Rectangular",J135&lt;SG_Criteria!$B$43),"NOTE: 004C is for sewers &gt;= "&amp;SG_Criteria!$B$43&amp;" dia. ","")&amp;IF(AND(LEFT(C135,7)="Precast",I135&lt;=SG_Criteria!$B$42),"NOTE: 006C is for manholes &gt; "&amp;SG_Criteria!$B$42&amp;" m deep. ","")&amp;IF(AND(J135&lt;&gt;"",J135&lt;SG_Criteria!$B$40,C135&lt;&gt;"Inspection Chamber"),"NOTE: public sewer min dia "&amp;SG_Criteria!$B$40&amp;" mm. ","")&amp;IF(AND(R135&lt;&gt;"",R135&lt;SG_Criteria!$B$44),"FAIL: uplift FOS below "&amp;SG_Criteria!$B$44&amp;". ",""))=0,"OK",IF(AND(S135&lt;&gt;"",IFERROR(VALUE(MID(S135,2,2)),0)&lt;SG_Criteria!$B$19),"FAIL: grade below C"&amp;SG_Criteria!$B$19&amp;". ","")&amp;IF(AND(T135&lt;&gt;"",T135&lt;SG_Criteria!$B$20),"FAIL: cover &lt; "&amp;SG_Criteria!$B$20&amp;" mm. ","")&amp;IF(AND(H135&lt;&gt;"",H135&lt;SG_Criteria!$B$39),"NOTE: min depth below PUB "&amp;SG_Criteria!$B$39&amp;" m. ","")&amp;IF(AND(LEFT(C135,8)="Standard",I135&gt;SG_Criteria!$B$42),"FAIL: PUB 001C covers manholes up to "&amp;SG_Criteria!$B$42&amp;" m deep only. ","")&amp;IF(AND(LEFT(C135,11)="Rectangular",J135&lt;SG_Criteria!$B$43),"NOTE: 004C is for sewers &gt;= "&amp;SG_Criteria!$B$43&amp;" dia. ","")&amp;IF(AND(LEFT(C135,7)="Precast",I135&lt;=SG_Criteria!$B$42),"NOTE: 006C is for manholes &gt; "&amp;SG_Criteria!$B$42&amp;" m deep. ","")&amp;IF(AND(J135&lt;&gt;"",J135&lt;SG_Criteria!$B$40,C135&lt;&gt;"Inspection Chamber"),"NOTE: public sewer min dia "&amp;SG_Criteria!$B$40&amp;" mm. ","")&amp;IF(AND(R135&lt;&gt;"",R135&lt;SG_Criteria!$B$44),"FAIL: uplift FOS below "&amp;SG_Criteria!$B$44&amp;". ","")))</f>
        <v/>
      </c>
      <c r="AT135" s="9"/>
      <c r="AU135" s="9"/>
      <c r="AV135" s="9"/>
      <c r="AW135" s="9"/>
      <c r="AX135" s="9"/>
      <c r="AY135" s="31"/>
      <c r="AZ135" s="10" t="str">
        <f aca="false">IF(C135="","",IF(AND(AB135="Approved",ISERROR(SEARCH("FAIL",AS135))),"Y","N"))</f>
        <v/>
      </c>
      <c r="BA135" s="10" t="str">
        <f aca="false">IF(C135="","",C135&amp;"|"&amp;I135&amp;"|"&amp;F135&amp;"|"&amp;AZ135)</f>
        <v/>
      </c>
    </row>
    <row r="136" customFormat="false" ht="15" hidden="false" customHeight="false" outlineLevel="0" collapsed="false">
      <c r="A136" s="10" t="str">
        <f aca="false">IF(C136="","","MH-"&amp;IFERROR(VLOOKUP(C136,Lists!$AB$4:$AC$20,2,0),"??")&amp;"-"&amp;TEXT(F136,"0000")&amp;IF(E136="Circular","D","x"&amp;TEXT(G136,"0000"))&amp;"-D"&amp;TEXT(I136*1000,"0000")&amp;"-"&amp;IFERROR(VLOOKUP(D136,Lists!$AE$4:$AF$16,2,0),"??")&amp;"-"&amp;AA136)</f>
        <v/>
      </c>
      <c r="B136" s="10" t="str">
        <f aca="false">IF(C136="","",C136&amp;", "&amp;D136&amp;", "&amp;IF(E136="Circular",F136&amp;" dia",F136&amp;" x "&amp;G136)&amp;", depth "&amp;TEXT(H136,"0.0")&amp;"-"&amp;TEXT(I136,"0.0")&amp;" m, pipe up to "&amp;J136&amp;" dia")</f>
        <v/>
      </c>
      <c r="C136" s="9"/>
      <c r="D136" s="9"/>
      <c r="E136" s="9"/>
      <c r="F136" s="40"/>
      <c r="G136" s="40"/>
      <c r="H136" s="43"/>
      <c r="I136" s="43"/>
      <c r="J136" s="40"/>
      <c r="K136" s="40"/>
      <c r="L136" s="40"/>
      <c r="M136" s="40"/>
      <c r="N136" s="9"/>
      <c r="O136" s="9"/>
      <c r="P136" s="9"/>
      <c r="Q136" s="9"/>
      <c r="R136" s="41"/>
      <c r="S136" s="9"/>
      <c r="T136" s="40"/>
      <c r="U136" s="9"/>
      <c r="V136" s="9"/>
      <c r="W136" s="9"/>
      <c r="X136" s="9"/>
      <c r="Y136" s="9"/>
      <c r="Z136" s="9"/>
      <c r="AA136" s="9"/>
      <c r="AB136" s="9"/>
      <c r="AC136" s="9"/>
      <c r="AD136" s="9"/>
      <c r="AE136" s="9"/>
      <c r="AF136" s="10" t="str">
        <f aca="false">IF(A136="","",SG_Criteria!$B$6&amp;SG_Criteria!$B$10&amp;"\"&amp;A136&amp;"\")</f>
        <v/>
      </c>
      <c r="AG136" s="10" t="str">
        <f aca="false">IF(A136="","",A136&amp;"_CAD.dwg")</f>
        <v/>
      </c>
      <c r="AH136" s="10" t="str">
        <f aca="false">IF(A136="","",A136&amp;"_DWG.pdf")</f>
        <v/>
      </c>
      <c r="AI136" s="10" t="str">
        <f aca="false">IF(A136="","",IF(AE136="Y",A136&amp;"_STAAD.std","n/a"))</f>
        <v/>
      </c>
      <c r="AJ136" s="10" t="str">
        <f aca="false">IF(A136="","",A136&amp;"_CALC.xlsx")</f>
        <v/>
      </c>
      <c r="AK136" s="10" t="str">
        <f aca="false">IF(A136="","",A136&amp;"_CALC.pdf")</f>
        <v/>
      </c>
      <c r="AL136" s="9"/>
      <c r="AM136" s="9"/>
      <c r="AN136" s="41"/>
      <c r="AO136" s="41"/>
      <c r="AP136" s="41"/>
      <c r="AQ136" s="41"/>
      <c r="AR136" s="41"/>
      <c r="AS136" s="38" t="str">
        <f aca="false">IF(C136="","",IF(LEN(IF(AND(S136&lt;&gt;"",IFERROR(VALUE(MID(S136,2,2)),0)&lt;SG_Criteria!$B$19),"FAIL: grade below C"&amp;SG_Criteria!$B$19&amp;". ","")&amp;IF(AND(T136&lt;&gt;"",T136&lt;SG_Criteria!$B$20),"FAIL: cover &lt; "&amp;SG_Criteria!$B$20&amp;" mm. ","")&amp;IF(AND(H136&lt;&gt;"",H136&lt;SG_Criteria!$B$39),"NOTE: min depth below PUB "&amp;SG_Criteria!$B$39&amp;" m. ","")&amp;IF(AND(LEFT(C136,8)="Standard",I136&gt;SG_Criteria!$B$42),"FAIL: PUB 001C covers manholes up to "&amp;SG_Criteria!$B$42&amp;" m deep only. ","")&amp;IF(AND(LEFT(C136,11)="Rectangular",J136&lt;SG_Criteria!$B$43),"NOTE: 004C is for sewers &gt;= "&amp;SG_Criteria!$B$43&amp;" dia. ","")&amp;IF(AND(LEFT(C136,7)="Precast",I136&lt;=SG_Criteria!$B$42),"NOTE: 006C is for manholes &gt; "&amp;SG_Criteria!$B$42&amp;" m deep. ","")&amp;IF(AND(J136&lt;&gt;"",J136&lt;SG_Criteria!$B$40,C136&lt;&gt;"Inspection Chamber"),"NOTE: public sewer min dia "&amp;SG_Criteria!$B$40&amp;" mm. ","")&amp;IF(AND(R136&lt;&gt;"",R136&lt;SG_Criteria!$B$44),"FAIL: uplift FOS below "&amp;SG_Criteria!$B$44&amp;". ",""))=0,"OK",IF(AND(S136&lt;&gt;"",IFERROR(VALUE(MID(S136,2,2)),0)&lt;SG_Criteria!$B$19),"FAIL: grade below C"&amp;SG_Criteria!$B$19&amp;". ","")&amp;IF(AND(T136&lt;&gt;"",T136&lt;SG_Criteria!$B$20),"FAIL: cover &lt; "&amp;SG_Criteria!$B$20&amp;" mm. ","")&amp;IF(AND(H136&lt;&gt;"",H136&lt;SG_Criteria!$B$39),"NOTE: min depth below PUB "&amp;SG_Criteria!$B$39&amp;" m. ","")&amp;IF(AND(LEFT(C136,8)="Standard",I136&gt;SG_Criteria!$B$42),"FAIL: PUB 001C covers manholes up to "&amp;SG_Criteria!$B$42&amp;" m deep only. ","")&amp;IF(AND(LEFT(C136,11)="Rectangular",J136&lt;SG_Criteria!$B$43),"NOTE: 004C is for sewers &gt;= "&amp;SG_Criteria!$B$43&amp;" dia. ","")&amp;IF(AND(LEFT(C136,7)="Precast",I136&lt;=SG_Criteria!$B$42),"NOTE: 006C is for manholes &gt; "&amp;SG_Criteria!$B$42&amp;" m deep. ","")&amp;IF(AND(J136&lt;&gt;"",J136&lt;SG_Criteria!$B$40,C136&lt;&gt;"Inspection Chamber"),"NOTE: public sewer min dia "&amp;SG_Criteria!$B$40&amp;" mm. ","")&amp;IF(AND(R136&lt;&gt;"",R136&lt;SG_Criteria!$B$44),"FAIL: uplift FOS below "&amp;SG_Criteria!$B$44&amp;". ","")))</f>
        <v/>
      </c>
      <c r="AT136" s="9"/>
      <c r="AU136" s="9"/>
      <c r="AV136" s="9"/>
      <c r="AW136" s="9"/>
      <c r="AX136" s="9"/>
      <c r="AY136" s="31"/>
      <c r="AZ136" s="10" t="str">
        <f aca="false">IF(C136="","",IF(AND(AB136="Approved",ISERROR(SEARCH("FAIL",AS136))),"Y","N"))</f>
        <v/>
      </c>
      <c r="BA136" s="10" t="str">
        <f aca="false">IF(C136="","",C136&amp;"|"&amp;I136&amp;"|"&amp;F136&amp;"|"&amp;AZ136)</f>
        <v/>
      </c>
    </row>
    <row r="137" customFormat="false" ht="15" hidden="false" customHeight="false" outlineLevel="0" collapsed="false">
      <c r="A137" s="10" t="str">
        <f aca="false">IF(C137="","","MH-"&amp;IFERROR(VLOOKUP(C137,Lists!$AB$4:$AC$20,2,0),"??")&amp;"-"&amp;TEXT(F137,"0000")&amp;IF(E137="Circular","D","x"&amp;TEXT(G137,"0000"))&amp;"-D"&amp;TEXT(I137*1000,"0000")&amp;"-"&amp;IFERROR(VLOOKUP(D137,Lists!$AE$4:$AF$16,2,0),"??")&amp;"-"&amp;AA137)</f>
        <v/>
      </c>
      <c r="B137" s="10" t="str">
        <f aca="false">IF(C137="","",C137&amp;", "&amp;D137&amp;", "&amp;IF(E137="Circular",F137&amp;" dia",F137&amp;" x "&amp;G137)&amp;", depth "&amp;TEXT(H137,"0.0")&amp;"-"&amp;TEXT(I137,"0.0")&amp;" m, pipe up to "&amp;J137&amp;" dia")</f>
        <v/>
      </c>
      <c r="C137" s="9"/>
      <c r="D137" s="9"/>
      <c r="E137" s="9"/>
      <c r="F137" s="40"/>
      <c r="G137" s="40"/>
      <c r="H137" s="43"/>
      <c r="I137" s="43"/>
      <c r="J137" s="40"/>
      <c r="K137" s="40"/>
      <c r="L137" s="40"/>
      <c r="M137" s="40"/>
      <c r="N137" s="9"/>
      <c r="O137" s="9"/>
      <c r="P137" s="9"/>
      <c r="Q137" s="9"/>
      <c r="R137" s="41"/>
      <c r="S137" s="9"/>
      <c r="T137" s="40"/>
      <c r="U137" s="9"/>
      <c r="V137" s="9"/>
      <c r="W137" s="9"/>
      <c r="X137" s="9"/>
      <c r="Y137" s="9"/>
      <c r="Z137" s="9"/>
      <c r="AA137" s="9"/>
      <c r="AB137" s="9"/>
      <c r="AC137" s="9"/>
      <c r="AD137" s="9"/>
      <c r="AE137" s="9"/>
      <c r="AF137" s="10" t="str">
        <f aca="false">IF(A137="","",SG_Criteria!$B$6&amp;SG_Criteria!$B$10&amp;"\"&amp;A137&amp;"\")</f>
        <v/>
      </c>
      <c r="AG137" s="10" t="str">
        <f aca="false">IF(A137="","",A137&amp;"_CAD.dwg")</f>
        <v/>
      </c>
      <c r="AH137" s="10" t="str">
        <f aca="false">IF(A137="","",A137&amp;"_DWG.pdf")</f>
        <v/>
      </c>
      <c r="AI137" s="10" t="str">
        <f aca="false">IF(A137="","",IF(AE137="Y",A137&amp;"_STAAD.std","n/a"))</f>
        <v/>
      </c>
      <c r="AJ137" s="10" t="str">
        <f aca="false">IF(A137="","",A137&amp;"_CALC.xlsx")</f>
        <v/>
      </c>
      <c r="AK137" s="10" t="str">
        <f aca="false">IF(A137="","",A137&amp;"_CALC.pdf")</f>
        <v/>
      </c>
      <c r="AL137" s="9"/>
      <c r="AM137" s="9"/>
      <c r="AN137" s="41"/>
      <c r="AO137" s="41"/>
      <c r="AP137" s="41"/>
      <c r="AQ137" s="41"/>
      <c r="AR137" s="41"/>
      <c r="AS137" s="38" t="str">
        <f aca="false">IF(C137="","",IF(LEN(IF(AND(S137&lt;&gt;"",IFERROR(VALUE(MID(S137,2,2)),0)&lt;SG_Criteria!$B$19),"FAIL: grade below C"&amp;SG_Criteria!$B$19&amp;". ","")&amp;IF(AND(T137&lt;&gt;"",T137&lt;SG_Criteria!$B$20),"FAIL: cover &lt; "&amp;SG_Criteria!$B$20&amp;" mm. ","")&amp;IF(AND(H137&lt;&gt;"",H137&lt;SG_Criteria!$B$39),"NOTE: min depth below PUB "&amp;SG_Criteria!$B$39&amp;" m. ","")&amp;IF(AND(LEFT(C137,8)="Standard",I137&gt;SG_Criteria!$B$42),"FAIL: PUB 001C covers manholes up to "&amp;SG_Criteria!$B$42&amp;" m deep only. ","")&amp;IF(AND(LEFT(C137,11)="Rectangular",J137&lt;SG_Criteria!$B$43),"NOTE: 004C is for sewers &gt;= "&amp;SG_Criteria!$B$43&amp;" dia. ","")&amp;IF(AND(LEFT(C137,7)="Precast",I137&lt;=SG_Criteria!$B$42),"NOTE: 006C is for manholes &gt; "&amp;SG_Criteria!$B$42&amp;" m deep. ","")&amp;IF(AND(J137&lt;&gt;"",J137&lt;SG_Criteria!$B$40,C137&lt;&gt;"Inspection Chamber"),"NOTE: public sewer min dia "&amp;SG_Criteria!$B$40&amp;" mm. ","")&amp;IF(AND(R137&lt;&gt;"",R137&lt;SG_Criteria!$B$44),"FAIL: uplift FOS below "&amp;SG_Criteria!$B$44&amp;". ",""))=0,"OK",IF(AND(S137&lt;&gt;"",IFERROR(VALUE(MID(S137,2,2)),0)&lt;SG_Criteria!$B$19),"FAIL: grade below C"&amp;SG_Criteria!$B$19&amp;". ","")&amp;IF(AND(T137&lt;&gt;"",T137&lt;SG_Criteria!$B$20),"FAIL: cover &lt; "&amp;SG_Criteria!$B$20&amp;" mm. ","")&amp;IF(AND(H137&lt;&gt;"",H137&lt;SG_Criteria!$B$39),"NOTE: min depth below PUB "&amp;SG_Criteria!$B$39&amp;" m. ","")&amp;IF(AND(LEFT(C137,8)="Standard",I137&gt;SG_Criteria!$B$42),"FAIL: PUB 001C covers manholes up to "&amp;SG_Criteria!$B$42&amp;" m deep only. ","")&amp;IF(AND(LEFT(C137,11)="Rectangular",J137&lt;SG_Criteria!$B$43),"NOTE: 004C is for sewers &gt;= "&amp;SG_Criteria!$B$43&amp;" dia. ","")&amp;IF(AND(LEFT(C137,7)="Precast",I137&lt;=SG_Criteria!$B$42),"NOTE: 006C is for manholes &gt; "&amp;SG_Criteria!$B$42&amp;" m deep. ","")&amp;IF(AND(J137&lt;&gt;"",J137&lt;SG_Criteria!$B$40,C137&lt;&gt;"Inspection Chamber"),"NOTE: public sewer min dia "&amp;SG_Criteria!$B$40&amp;" mm. ","")&amp;IF(AND(R137&lt;&gt;"",R137&lt;SG_Criteria!$B$44),"FAIL: uplift FOS below "&amp;SG_Criteria!$B$44&amp;". ","")))</f>
        <v/>
      </c>
      <c r="AT137" s="9"/>
      <c r="AU137" s="9"/>
      <c r="AV137" s="9"/>
      <c r="AW137" s="9"/>
      <c r="AX137" s="9"/>
      <c r="AY137" s="31"/>
      <c r="AZ137" s="10" t="str">
        <f aca="false">IF(C137="","",IF(AND(AB137="Approved",ISERROR(SEARCH("FAIL",AS137))),"Y","N"))</f>
        <v/>
      </c>
      <c r="BA137" s="10" t="str">
        <f aca="false">IF(C137="","",C137&amp;"|"&amp;I137&amp;"|"&amp;F137&amp;"|"&amp;AZ137)</f>
        <v/>
      </c>
    </row>
    <row r="138" customFormat="false" ht="15" hidden="false" customHeight="false" outlineLevel="0" collapsed="false">
      <c r="A138" s="10" t="str">
        <f aca="false">IF(C138="","","MH-"&amp;IFERROR(VLOOKUP(C138,Lists!$AB$4:$AC$20,2,0),"??")&amp;"-"&amp;TEXT(F138,"0000")&amp;IF(E138="Circular","D","x"&amp;TEXT(G138,"0000"))&amp;"-D"&amp;TEXT(I138*1000,"0000")&amp;"-"&amp;IFERROR(VLOOKUP(D138,Lists!$AE$4:$AF$16,2,0),"??")&amp;"-"&amp;AA138)</f>
        <v/>
      </c>
      <c r="B138" s="10" t="str">
        <f aca="false">IF(C138="","",C138&amp;", "&amp;D138&amp;", "&amp;IF(E138="Circular",F138&amp;" dia",F138&amp;" x "&amp;G138)&amp;", depth "&amp;TEXT(H138,"0.0")&amp;"-"&amp;TEXT(I138,"0.0")&amp;" m, pipe up to "&amp;J138&amp;" dia")</f>
        <v/>
      </c>
      <c r="C138" s="9"/>
      <c r="D138" s="9"/>
      <c r="E138" s="9"/>
      <c r="F138" s="40"/>
      <c r="G138" s="40"/>
      <c r="H138" s="43"/>
      <c r="I138" s="43"/>
      <c r="J138" s="40"/>
      <c r="K138" s="40"/>
      <c r="L138" s="40"/>
      <c r="M138" s="40"/>
      <c r="N138" s="9"/>
      <c r="O138" s="9"/>
      <c r="P138" s="9"/>
      <c r="Q138" s="9"/>
      <c r="R138" s="41"/>
      <c r="S138" s="9"/>
      <c r="T138" s="40"/>
      <c r="U138" s="9"/>
      <c r="V138" s="9"/>
      <c r="W138" s="9"/>
      <c r="X138" s="9"/>
      <c r="Y138" s="9"/>
      <c r="Z138" s="9"/>
      <c r="AA138" s="9"/>
      <c r="AB138" s="9"/>
      <c r="AC138" s="9"/>
      <c r="AD138" s="9"/>
      <c r="AE138" s="9"/>
      <c r="AF138" s="10" t="str">
        <f aca="false">IF(A138="","",SG_Criteria!$B$6&amp;SG_Criteria!$B$10&amp;"\"&amp;A138&amp;"\")</f>
        <v/>
      </c>
      <c r="AG138" s="10" t="str">
        <f aca="false">IF(A138="","",A138&amp;"_CAD.dwg")</f>
        <v/>
      </c>
      <c r="AH138" s="10" t="str">
        <f aca="false">IF(A138="","",A138&amp;"_DWG.pdf")</f>
        <v/>
      </c>
      <c r="AI138" s="10" t="str">
        <f aca="false">IF(A138="","",IF(AE138="Y",A138&amp;"_STAAD.std","n/a"))</f>
        <v/>
      </c>
      <c r="AJ138" s="10" t="str">
        <f aca="false">IF(A138="","",A138&amp;"_CALC.xlsx")</f>
        <v/>
      </c>
      <c r="AK138" s="10" t="str">
        <f aca="false">IF(A138="","",A138&amp;"_CALC.pdf")</f>
        <v/>
      </c>
      <c r="AL138" s="9"/>
      <c r="AM138" s="9"/>
      <c r="AN138" s="41"/>
      <c r="AO138" s="41"/>
      <c r="AP138" s="41"/>
      <c r="AQ138" s="41"/>
      <c r="AR138" s="41"/>
      <c r="AS138" s="38" t="str">
        <f aca="false">IF(C138="","",IF(LEN(IF(AND(S138&lt;&gt;"",IFERROR(VALUE(MID(S138,2,2)),0)&lt;SG_Criteria!$B$19),"FAIL: grade below C"&amp;SG_Criteria!$B$19&amp;". ","")&amp;IF(AND(T138&lt;&gt;"",T138&lt;SG_Criteria!$B$20),"FAIL: cover &lt; "&amp;SG_Criteria!$B$20&amp;" mm. ","")&amp;IF(AND(H138&lt;&gt;"",H138&lt;SG_Criteria!$B$39),"NOTE: min depth below PUB "&amp;SG_Criteria!$B$39&amp;" m. ","")&amp;IF(AND(LEFT(C138,8)="Standard",I138&gt;SG_Criteria!$B$42),"FAIL: PUB 001C covers manholes up to "&amp;SG_Criteria!$B$42&amp;" m deep only. ","")&amp;IF(AND(LEFT(C138,11)="Rectangular",J138&lt;SG_Criteria!$B$43),"NOTE: 004C is for sewers &gt;= "&amp;SG_Criteria!$B$43&amp;" dia. ","")&amp;IF(AND(LEFT(C138,7)="Precast",I138&lt;=SG_Criteria!$B$42),"NOTE: 006C is for manholes &gt; "&amp;SG_Criteria!$B$42&amp;" m deep. ","")&amp;IF(AND(J138&lt;&gt;"",J138&lt;SG_Criteria!$B$40,C138&lt;&gt;"Inspection Chamber"),"NOTE: public sewer min dia "&amp;SG_Criteria!$B$40&amp;" mm. ","")&amp;IF(AND(R138&lt;&gt;"",R138&lt;SG_Criteria!$B$44),"FAIL: uplift FOS below "&amp;SG_Criteria!$B$44&amp;". ",""))=0,"OK",IF(AND(S138&lt;&gt;"",IFERROR(VALUE(MID(S138,2,2)),0)&lt;SG_Criteria!$B$19),"FAIL: grade below C"&amp;SG_Criteria!$B$19&amp;". ","")&amp;IF(AND(T138&lt;&gt;"",T138&lt;SG_Criteria!$B$20),"FAIL: cover &lt; "&amp;SG_Criteria!$B$20&amp;" mm. ","")&amp;IF(AND(H138&lt;&gt;"",H138&lt;SG_Criteria!$B$39),"NOTE: min depth below PUB "&amp;SG_Criteria!$B$39&amp;" m. ","")&amp;IF(AND(LEFT(C138,8)="Standard",I138&gt;SG_Criteria!$B$42),"FAIL: PUB 001C covers manholes up to "&amp;SG_Criteria!$B$42&amp;" m deep only. ","")&amp;IF(AND(LEFT(C138,11)="Rectangular",J138&lt;SG_Criteria!$B$43),"NOTE: 004C is for sewers &gt;= "&amp;SG_Criteria!$B$43&amp;" dia. ","")&amp;IF(AND(LEFT(C138,7)="Precast",I138&lt;=SG_Criteria!$B$42),"NOTE: 006C is for manholes &gt; "&amp;SG_Criteria!$B$42&amp;" m deep. ","")&amp;IF(AND(J138&lt;&gt;"",J138&lt;SG_Criteria!$B$40,C138&lt;&gt;"Inspection Chamber"),"NOTE: public sewer min dia "&amp;SG_Criteria!$B$40&amp;" mm. ","")&amp;IF(AND(R138&lt;&gt;"",R138&lt;SG_Criteria!$B$44),"FAIL: uplift FOS below "&amp;SG_Criteria!$B$44&amp;". ","")))</f>
        <v/>
      </c>
      <c r="AT138" s="9"/>
      <c r="AU138" s="9"/>
      <c r="AV138" s="9"/>
      <c r="AW138" s="9"/>
      <c r="AX138" s="9"/>
      <c r="AY138" s="31"/>
      <c r="AZ138" s="10" t="str">
        <f aca="false">IF(C138="","",IF(AND(AB138="Approved",ISERROR(SEARCH("FAIL",AS138))),"Y","N"))</f>
        <v/>
      </c>
      <c r="BA138" s="10" t="str">
        <f aca="false">IF(C138="","",C138&amp;"|"&amp;I138&amp;"|"&amp;F138&amp;"|"&amp;AZ138)</f>
        <v/>
      </c>
    </row>
    <row r="139" customFormat="false" ht="15" hidden="false" customHeight="false" outlineLevel="0" collapsed="false">
      <c r="A139" s="10" t="str">
        <f aca="false">IF(C139="","","MH-"&amp;IFERROR(VLOOKUP(C139,Lists!$AB$4:$AC$20,2,0),"??")&amp;"-"&amp;TEXT(F139,"0000")&amp;IF(E139="Circular","D","x"&amp;TEXT(G139,"0000"))&amp;"-D"&amp;TEXT(I139*1000,"0000")&amp;"-"&amp;IFERROR(VLOOKUP(D139,Lists!$AE$4:$AF$16,2,0),"??")&amp;"-"&amp;AA139)</f>
        <v/>
      </c>
      <c r="B139" s="10" t="str">
        <f aca="false">IF(C139="","",C139&amp;", "&amp;D139&amp;", "&amp;IF(E139="Circular",F139&amp;" dia",F139&amp;" x "&amp;G139)&amp;", depth "&amp;TEXT(H139,"0.0")&amp;"-"&amp;TEXT(I139,"0.0")&amp;" m, pipe up to "&amp;J139&amp;" dia")</f>
        <v/>
      </c>
      <c r="C139" s="9"/>
      <c r="D139" s="9"/>
      <c r="E139" s="9"/>
      <c r="F139" s="40"/>
      <c r="G139" s="40"/>
      <c r="H139" s="43"/>
      <c r="I139" s="43"/>
      <c r="J139" s="40"/>
      <c r="K139" s="40"/>
      <c r="L139" s="40"/>
      <c r="M139" s="40"/>
      <c r="N139" s="9"/>
      <c r="O139" s="9"/>
      <c r="P139" s="9"/>
      <c r="Q139" s="9"/>
      <c r="R139" s="41"/>
      <c r="S139" s="9"/>
      <c r="T139" s="40"/>
      <c r="U139" s="9"/>
      <c r="V139" s="9"/>
      <c r="W139" s="9"/>
      <c r="X139" s="9"/>
      <c r="Y139" s="9"/>
      <c r="Z139" s="9"/>
      <c r="AA139" s="9"/>
      <c r="AB139" s="9"/>
      <c r="AC139" s="9"/>
      <c r="AD139" s="9"/>
      <c r="AE139" s="9"/>
      <c r="AF139" s="10" t="str">
        <f aca="false">IF(A139="","",SG_Criteria!$B$6&amp;SG_Criteria!$B$10&amp;"\"&amp;A139&amp;"\")</f>
        <v/>
      </c>
      <c r="AG139" s="10" t="str">
        <f aca="false">IF(A139="","",A139&amp;"_CAD.dwg")</f>
        <v/>
      </c>
      <c r="AH139" s="10" t="str">
        <f aca="false">IF(A139="","",A139&amp;"_DWG.pdf")</f>
        <v/>
      </c>
      <c r="AI139" s="10" t="str">
        <f aca="false">IF(A139="","",IF(AE139="Y",A139&amp;"_STAAD.std","n/a"))</f>
        <v/>
      </c>
      <c r="AJ139" s="10" t="str">
        <f aca="false">IF(A139="","",A139&amp;"_CALC.xlsx")</f>
        <v/>
      </c>
      <c r="AK139" s="10" t="str">
        <f aca="false">IF(A139="","",A139&amp;"_CALC.pdf")</f>
        <v/>
      </c>
      <c r="AL139" s="9"/>
      <c r="AM139" s="9"/>
      <c r="AN139" s="41"/>
      <c r="AO139" s="41"/>
      <c r="AP139" s="41"/>
      <c r="AQ139" s="41"/>
      <c r="AR139" s="41"/>
      <c r="AS139" s="38" t="str">
        <f aca="false">IF(C139="","",IF(LEN(IF(AND(S139&lt;&gt;"",IFERROR(VALUE(MID(S139,2,2)),0)&lt;SG_Criteria!$B$19),"FAIL: grade below C"&amp;SG_Criteria!$B$19&amp;". ","")&amp;IF(AND(T139&lt;&gt;"",T139&lt;SG_Criteria!$B$20),"FAIL: cover &lt; "&amp;SG_Criteria!$B$20&amp;" mm. ","")&amp;IF(AND(H139&lt;&gt;"",H139&lt;SG_Criteria!$B$39),"NOTE: min depth below PUB "&amp;SG_Criteria!$B$39&amp;" m. ","")&amp;IF(AND(LEFT(C139,8)="Standard",I139&gt;SG_Criteria!$B$42),"FAIL: PUB 001C covers manholes up to "&amp;SG_Criteria!$B$42&amp;" m deep only. ","")&amp;IF(AND(LEFT(C139,11)="Rectangular",J139&lt;SG_Criteria!$B$43),"NOTE: 004C is for sewers &gt;= "&amp;SG_Criteria!$B$43&amp;" dia. ","")&amp;IF(AND(LEFT(C139,7)="Precast",I139&lt;=SG_Criteria!$B$42),"NOTE: 006C is for manholes &gt; "&amp;SG_Criteria!$B$42&amp;" m deep. ","")&amp;IF(AND(J139&lt;&gt;"",J139&lt;SG_Criteria!$B$40,C139&lt;&gt;"Inspection Chamber"),"NOTE: public sewer min dia "&amp;SG_Criteria!$B$40&amp;" mm. ","")&amp;IF(AND(R139&lt;&gt;"",R139&lt;SG_Criteria!$B$44),"FAIL: uplift FOS below "&amp;SG_Criteria!$B$44&amp;". ",""))=0,"OK",IF(AND(S139&lt;&gt;"",IFERROR(VALUE(MID(S139,2,2)),0)&lt;SG_Criteria!$B$19),"FAIL: grade below C"&amp;SG_Criteria!$B$19&amp;". ","")&amp;IF(AND(T139&lt;&gt;"",T139&lt;SG_Criteria!$B$20),"FAIL: cover &lt; "&amp;SG_Criteria!$B$20&amp;" mm. ","")&amp;IF(AND(H139&lt;&gt;"",H139&lt;SG_Criteria!$B$39),"NOTE: min depth below PUB "&amp;SG_Criteria!$B$39&amp;" m. ","")&amp;IF(AND(LEFT(C139,8)="Standard",I139&gt;SG_Criteria!$B$42),"FAIL: PUB 001C covers manholes up to "&amp;SG_Criteria!$B$42&amp;" m deep only. ","")&amp;IF(AND(LEFT(C139,11)="Rectangular",J139&lt;SG_Criteria!$B$43),"NOTE: 004C is for sewers &gt;= "&amp;SG_Criteria!$B$43&amp;" dia. ","")&amp;IF(AND(LEFT(C139,7)="Precast",I139&lt;=SG_Criteria!$B$42),"NOTE: 006C is for manholes &gt; "&amp;SG_Criteria!$B$42&amp;" m deep. ","")&amp;IF(AND(J139&lt;&gt;"",J139&lt;SG_Criteria!$B$40,C139&lt;&gt;"Inspection Chamber"),"NOTE: public sewer min dia "&amp;SG_Criteria!$B$40&amp;" mm. ","")&amp;IF(AND(R139&lt;&gt;"",R139&lt;SG_Criteria!$B$44),"FAIL: uplift FOS below "&amp;SG_Criteria!$B$44&amp;". ","")))</f>
        <v/>
      </c>
      <c r="AT139" s="9"/>
      <c r="AU139" s="9"/>
      <c r="AV139" s="9"/>
      <c r="AW139" s="9"/>
      <c r="AX139" s="9"/>
      <c r="AY139" s="31"/>
      <c r="AZ139" s="10" t="str">
        <f aca="false">IF(C139="","",IF(AND(AB139="Approved",ISERROR(SEARCH("FAIL",AS139))),"Y","N"))</f>
        <v/>
      </c>
      <c r="BA139" s="10" t="str">
        <f aca="false">IF(C139="","",C139&amp;"|"&amp;I139&amp;"|"&amp;F139&amp;"|"&amp;AZ139)</f>
        <v/>
      </c>
    </row>
    <row r="140" customFormat="false" ht="15" hidden="false" customHeight="false" outlineLevel="0" collapsed="false">
      <c r="A140" s="10" t="str">
        <f aca="false">IF(C140="","","MH-"&amp;IFERROR(VLOOKUP(C140,Lists!$AB$4:$AC$20,2,0),"??")&amp;"-"&amp;TEXT(F140,"0000")&amp;IF(E140="Circular","D","x"&amp;TEXT(G140,"0000"))&amp;"-D"&amp;TEXT(I140*1000,"0000")&amp;"-"&amp;IFERROR(VLOOKUP(D140,Lists!$AE$4:$AF$16,2,0),"??")&amp;"-"&amp;AA140)</f>
        <v/>
      </c>
      <c r="B140" s="10" t="str">
        <f aca="false">IF(C140="","",C140&amp;", "&amp;D140&amp;", "&amp;IF(E140="Circular",F140&amp;" dia",F140&amp;" x "&amp;G140)&amp;", depth "&amp;TEXT(H140,"0.0")&amp;"-"&amp;TEXT(I140,"0.0")&amp;" m, pipe up to "&amp;J140&amp;" dia")</f>
        <v/>
      </c>
      <c r="C140" s="9"/>
      <c r="D140" s="9"/>
      <c r="E140" s="9"/>
      <c r="F140" s="40"/>
      <c r="G140" s="40"/>
      <c r="H140" s="43"/>
      <c r="I140" s="43"/>
      <c r="J140" s="40"/>
      <c r="K140" s="40"/>
      <c r="L140" s="40"/>
      <c r="M140" s="40"/>
      <c r="N140" s="9"/>
      <c r="O140" s="9"/>
      <c r="P140" s="9"/>
      <c r="Q140" s="9"/>
      <c r="R140" s="41"/>
      <c r="S140" s="9"/>
      <c r="T140" s="40"/>
      <c r="U140" s="9"/>
      <c r="V140" s="9"/>
      <c r="W140" s="9"/>
      <c r="X140" s="9"/>
      <c r="Y140" s="9"/>
      <c r="Z140" s="9"/>
      <c r="AA140" s="9"/>
      <c r="AB140" s="9"/>
      <c r="AC140" s="9"/>
      <c r="AD140" s="9"/>
      <c r="AE140" s="9"/>
      <c r="AF140" s="10" t="str">
        <f aca="false">IF(A140="","",SG_Criteria!$B$6&amp;SG_Criteria!$B$10&amp;"\"&amp;A140&amp;"\")</f>
        <v/>
      </c>
      <c r="AG140" s="10" t="str">
        <f aca="false">IF(A140="","",A140&amp;"_CAD.dwg")</f>
        <v/>
      </c>
      <c r="AH140" s="10" t="str">
        <f aca="false">IF(A140="","",A140&amp;"_DWG.pdf")</f>
        <v/>
      </c>
      <c r="AI140" s="10" t="str">
        <f aca="false">IF(A140="","",IF(AE140="Y",A140&amp;"_STAAD.std","n/a"))</f>
        <v/>
      </c>
      <c r="AJ140" s="10" t="str">
        <f aca="false">IF(A140="","",A140&amp;"_CALC.xlsx")</f>
        <v/>
      </c>
      <c r="AK140" s="10" t="str">
        <f aca="false">IF(A140="","",A140&amp;"_CALC.pdf")</f>
        <v/>
      </c>
      <c r="AL140" s="9"/>
      <c r="AM140" s="9"/>
      <c r="AN140" s="41"/>
      <c r="AO140" s="41"/>
      <c r="AP140" s="41"/>
      <c r="AQ140" s="41"/>
      <c r="AR140" s="41"/>
      <c r="AS140" s="38" t="str">
        <f aca="false">IF(C140="","",IF(LEN(IF(AND(S140&lt;&gt;"",IFERROR(VALUE(MID(S140,2,2)),0)&lt;SG_Criteria!$B$19),"FAIL: grade below C"&amp;SG_Criteria!$B$19&amp;". ","")&amp;IF(AND(T140&lt;&gt;"",T140&lt;SG_Criteria!$B$20),"FAIL: cover &lt; "&amp;SG_Criteria!$B$20&amp;" mm. ","")&amp;IF(AND(H140&lt;&gt;"",H140&lt;SG_Criteria!$B$39),"NOTE: min depth below PUB "&amp;SG_Criteria!$B$39&amp;" m. ","")&amp;IF(AND(LEFT(C140,8)="Standard",I140&gt;SG_Criteria!$B$42),"FAIL: PUB 001C covers manholes up to "&amp;SG_Criteria!$B$42&amp;" m deep only. ","")&amp;IF(AND(LEFT(C140,11)="Rectangular",J140&lt;SG_Criteria!$B$43),"NOTE: 004C is for sewers &gt;= "&amp;SG_Criteria!$B$43&amp;" dia. ","")&amp;IF(AND(LEFT(C140,7)="Precast",I140&lt;=SG_Criteria!$B$42),"NOTE: 006C is for manholes &gt; "&amp;SG_Criteria!$B$42&amp;" m deep. ","")&amp;IF(AND(J140&lt;&gt;"",J140&lt;SG_Criteria!$B$40,C140&lt;&gt;"Inspection Chamber"),"NOTE: public sewer min dia "&amp;SG_Criteria!$B$40&amp;" mm. ","")&amp;IF(AND(R140&lt;&gt;"",R140&lt;SG_Criteria!$B$44),"FAIL: uplift FOS below "&amp;SG_Criteria!$B$44&amp;". ",""))=0,"OK",IF(AND(S140&lt;&gt;"",IFERROR(VALUE(MID(S140,2,2)),0)&lt;SG_Criteria!$B$19),"FAIL: grade below C"&amp;SG_Criteria!$B$19&amp;". ","")&amp;IF(AND(T140&lt;&gt;"",T140&lt;SG_Criteria!$B$20),"FAIL: cover &lt; "&amp;SG_Criteria!$B$20&amp;" mm. ","")&amp;IF(AND(H140&lt;&gt;"",H140&lt;SG_Criteria!$B$39),"NOTE: min depth below PUB "&amp;SG_Criteria!$B$39&amp;" m. ","")&amp;IF(AND(LEFT(C140,8)="Standard",I140&gt;SG_Criteria!$B$42),"FAIL: PUB 001C covers manholes up to "&amp;SG_Criteria!$B$42&amp;" m deep only. ","")&amp;IF(AND(LEFT(C140,11)="Rectangular",J140&lt;SG_Criteria!$B$43),"NOTE: 004C is for sewers &gt;= "&amp;SG_Criteria!$B$43&amp;" dia. ","")&amp;IF(AND(LEFT(C140,7)="Precast",I140&lt;=SG_Criteria!$B$42),"NOTE: 006C is for manholes &gt; "&amp;SG_Criteria!$B$42&amp;" m deep. ","")&amp;IF(AND(J140&lt;&gt;"",J140&lt;SG_Criteria!$B$40,C140&lt;&gt;"Inspection Chamber"),"NOTE: public sewer min dia "&amp;SG_Criteria!$B$40&amp;" mm. ","")&amp;IF(AND(R140&lt;&gt;"",R140&lt;SG_Criteria!$B$44),"FAIL: uplift FOS below "&amp;SG_Criteria!$B$44&amp;". ","")))</f>
        <v/>
      </c>
      <c r="AT140" s="9"/>
      <c r="AU140" s="9"/>
      <c r="AV140" s="9"/>
      <c r="AW140" s="9"/>
      <c r="AX140" s="9"/>
      <c r="AY140" s="31"/>
      <c r="AZ140" s="10" t="str">
        <f aca="false">IF(C140="","",IF(AND(AB140="Approved",ISERROR(SEARCH("FAIL",AS140))),"Y","N"))</f>
        <v/>
      </c>
      <c r="BA140" s="10" t="str">
        <f aca="false">IF(C140="","",C140&amp;"|"&amp;I140&amp;"|"&amp;F140&amp;"|"&amp;AZ140)</f>
        <v/>
      </c>
    </row>
    <row r="141" customFormat="false" ht="15" hidden="false" customHeight="false" outlineLevel="0" collapsed="false">
      <c r="A141" s="10" t="str">
        <f aca="false">IF(C141="","","MH-"&amp;IFERROR(VLOOKUP(C141,Lists!$AB$4:$AC$20,2,0),"??")&amp;"-"&amp;TEXT(F141,"0000")&amp;IF(E141="Circular","D","x"&amp;TEXT(G141,"0000"))&amp;"-D"&amp;TEXT(I141*1000,"0000")&amp;"-"&amp;IFERROR(VLOOKUP(D141,Lists!$AE$4:$AF$16,2,0),"??")&amp;"-"&amp;AA141)</f>
        <v/>
      </c>
      <c r="B141" s="10" t="str">
        <f aca="false">IF(C141="","",C141&amp;", "&amp;D141&amp;", "&amp;IF(E141="Circular",F141&amp;" dia",F141&amp;" x "&amp;G141)&amp;", depth "&amp;TEXT(H141,"0.0")&amp;"-"&amp;TEXT(I141,"0.0")&amp;" m, pipe up to "&amp;J141&amp;" dia")</f>
        <v/>
      </c>
      <c r="C141" s="9"/>
      <c r="D141" s="9"/>
      <c r="E141" s="9"/>
      <c r="F141" s="40"/>
      <c r="G141" s="40"/>
      <c r="H141" s="43"/>
      <c r="I141" s="43"/>
      <c r="J141" s="40"/>
      <c r="K141" s="40"/>
      <c r="L141" s="40"/>
      <c r="M141" s="40"/>
      <c r="N141" s="9"/>
      <c r="O141" s="9"/>
      <c r="P141" s="9"/>
      <c r="Q141" s="9"/>
      <c r="R141" s="41"/>
      <c r="S141" s="9"/>
      <c r="T141" s="40"/>
      <c r="U141" s="9"/>
      <c r="V141" s="9"/>
      <c r="W141" s="9"/>
      <c r="X141" s="9"/>
      <c r="Y141" s="9"/>
      <c r="Z141" s="9"/>
      <c r="AA141" s="9"/>
      <c r="AB141" s="9"/>
      <c r="AC141" s="9"/>
      <c r="AD141" s="9"/>
      <c r="AE141" s="9"/>
      <c r="AF141" s="10" t="str">
        <f aca="false">IF(A141="","",SG_Criteria!$B$6&amp;SG_Criteria!$B$10&amp;"\"&amp;A141&amp;"\")</f>
        <v/>
      </c>
      <c r="AG141" s="10" t="str">
        <f aca="false">IF(A141="","",A141&amp;"_CAD.dwg")</f>
        <v/>
      </c>
      <c r="AH141" s="10" t="str">
        <f aca="false">IF(A141="","",A141&amp;"_DWG.pdf")</f>
        <v/>
      </c>
      <c r="AI141" s="10" t="str">
        <f aca="false">IF(A141="","",IF(AE141="Y",A141&amp;"_STAAD.std","n/a"))</f>
        <v/>
      </c>
      <c r="AJ141" s="10" t="str">
        <f aca="false">IF(A141="","",A141&amp;"_CALC.xlsx")</f>
        <v/>
      </c>
      <c r="AK141" s="10" t="str">
        <f aca="false">IF(A141="","",A141&amp;"_CALC.pdf")</f>
        <v/>
      </c>
      <c r="AL141" s="9"/>
      <c r="AM141" s="9"/>
      <c r="AN141" s="41"/>
      <c r="AO141" s="41"/>
      <c r="AP141" s="41"/>
      <c r="AQ141" s="41"/>
      <c r="AR141" s="41"/>
      <c r="AS141" s="38" t="str">
        <f aca="false">IF(C141="","",IF(LEN(IF(AND(S141&lt;&gt;"",IFERROR(VALUE(MID(S141,2,2)),0)&lt;SG_Criteria!$B$19),"FAIL: grade below C"&amp;SG_Criteria!$B$19&amp;". ","")&amp;IF(AND(T141&lt;&gt;"",T141&lt;SG_Criteria!$B$20),"FAIL: cover &lt; "&amp;SG_Criteria!$B$20&amp;" mm. ","")&amp;IF(AND(H141&lt;&gt;"",H141&lt;SG_Criteria!$B$39),"NOTE: min depth below PUB "&amp;SG_Criteria!$B$39&amp;" m. ","")&amp;IF(AND(LEFT(C141,8)="Standard",I141&gt;SG_Criteria!$B$42),"FAIL: PUB 001C covers manholes up to "&amp;SG_Criteria!$B$42&amp;" m deep only. ","")&amp;IF(AND(LEFT(C141,11)="Rectangular",J141&lt;SG_Criteria!$B$43),"NOTE: 004C is for sewers &gt;= "&amp;SG_Criteria!$B$43&amp;" dia. ","")&amp;IF(AND(LEFT(C141,7)="Precast",I141&lt;=SG_Criteria!$B$42),"NOTE: 006C is for manholes &gt; "&amp;SG_Criteria!$B$42&amp;" m deep. ","")&amp;IF(AND(J141&lt;&gt;"",J141&lt;SG_Criteria!$B$40,C141&lt;&gt;"Inspection Chamber"),"NOTE: public sewer min dia "&amp;SG_Criteria!$B$40&amp;" mm. ","")&amp;IF(AND(R141&lt;&gt;"",R141&lt;SG_Criteria!$B$44),"FAIL: uplift FOS below "&amp;SG_Criteria!$B$44&amp;". ",""))=0,"OK",IF(AND(S141&lt;&gt;"",IFERROR(VALUE(MID(S141,2,2)),0)&lt;SG_Criteria!$B$19),"FAIL: grade below C"&amp;SG_Criteria!$B$19&amp;". ","")&amp;IF(AND(T141&lt;&gt;"",T141&lt;SG_Criteria!$B$20),"FAIL: cover &lt; "&amp;SG_Criteria!$B$20&amp;" mm. ","")&amp;IF(AND(H141&lt;&gt;"",H141&lt;SG_Criteria!$B$39),"NOTE: min depth below PUB "&amp;SG_Criteria!$B$39&amp;" m. ","")&amp;IF(AND(LEFT(C141,8)="Standard",I141&gt;SG_Criteria!$B$42),"FAIL: PUB 001C covers manholes up to "&amp;SG_Criteria!$B$42&amp;" m deep only. ","")&amp;IF(AND(LEFT(C141,11)="Rectangular",J141&lt;SG_Criteria!$B$43),"NOTE: 004C is for sewers &gt;= "&amp;SG_Criteria!$B$43&amp;" dia. ","")&amp;IF(AND(LEFT(C141,7)="Precast",I141&lt;=SG_Criteria!$B$42),"NOTE: 006C is for manholes &gt; "&amp;SG_Criteria!$B$42&amp;" m deep. ","")&amp;IF(AND(J141&lt;&gt;"",J141&lt;SG_Criteria!$B$40,C141&lt;&gt;"Inspection Chamber"),"NOTE: public sewer min dia "&amp;SG_Criteria!$B$40&amp;" mm. ","")&amp;IF(AND(R141&lt;&gt;"",R141&lt;SG_Criteria!$B$44),"FAIL: uplift FOS below "&amp;SG_Criteria!$B$44&amp;". ","")))</f>
        <v/>
      </c>
      <c r="AT141" s="9"/>
      <c r="AU141" s="9"/>
      <c r="AV141" s="9"/>
      <c r="AW141" s="9"/>
      <c r="AX141" s="9"/>
      <c r="AY141" s="31"/>
      <c r="AZ141" s="10" t="str">
        <f aca="false">IF(C141="","",IF(AND(AB141="Approved",ISERROR(SEARCH("FAIL",AS141))),"Y","N"))</f>
        <v/>
      </c>
      <c r="BA141" s="10" t="str">
        <f aca="false">IF(C141="","",C141&amp;"|"&amp;I141&amp;"|"&amp;F141&amp;"|"&amp;AZ141)</f>
        <v/>
      </c>
    </row>
    <row r="142" customFormat="false" ht="15" hidden="false" customHeight="false" outlineLevel="0" collapsed="false">
      <c r="A142" s="10" t="str">
        <f aca="false">IF(C142="","","MH-"&amp;IFERROR(VLOOKUP(C142,Lists!$AB$4:$AC$20,2,0),"??")&amp;"-"&amp;TEXT(F142,"0000")&amp;IF(E142="Circular","D","x"&amp;TEXT(G142,"0000"))&amp;"-D"&amp;TEXT(I142*1000,"0000")&amp;"-"&amp;IFERROR(VLOOKUP(D142,Lists!$AE$4:$AF$16,2,0),"??")&amp;"-"&amp;AA142)</f>
        <v/>
      </c>
      <c r="B142" s="10" t="str">
        <f aca="false">IF(C142="","",C142&amp;", "&amp;D142&amp;", "&amp;IF(E142="Circular",F142&amp;" dia",F142&amp;" x "&amp;G142)&amp;", depth "&amp;TEXT(H142,"0.0")&amp;"-"&amp;TEXT(I142,"0.0")&amp;" m, pipe up to "&amp;J142&amp;" dia")</f>
        <v/>
      </c>
      <c r="C142" s="9"/>
      <c r="D142" s="9"/>
      <c r="E142" s="9"/>
      <c r="F142" s="40"/>
      <c r="G142" s="40"/>
      <c r="H142" s="43"/>
      <c r="I142" s="43"/>
      <c r="J142" s="40"/>
      <c r="K142" s="40"/>
      <c r="L142" s="40"/>
      <c r="M142" s="40"/>
      <c r="N142" s="9"/>
      <c r="O142" s="9"/>
      <c r="P142" s="9"/>
      <c r="Q142" s="9"/>
      <c r="R142" s="41"/>
      <c r="S142" s="9"/>
      <c r="T142" s="40"/>
      <c r="U142" s="9"/>
      <c r="V142" s="9"/>
      <c r="W142" s="9"/>
      <c r="X142" s="9"/>
      <c r="Y142" s="9"/>
      <c r="Z142" s="9"/>
      <c r="AA142" s="9"/>
      <c r="AB142" s="9"/>
      <c r="AC142" s="9"/>
      <c r="AD142" s="9"/>
      <c r="AE142" s="9"/>
      <c r="AF142" s="10" t="str">
        <f aca="false">IF(A142="","",SG_Criteria!$B$6&amp;SG_Criteria!$B$10&amp;"\"&amp;A142&amp;"\")</f>
        <v/>
      </c>
      <c r="AG142" s="10" t="str">
        <f aca="false">IF(A142="","",A142&amp;"_CAD.dwg")</f>
        <v/>
      </c>
      <c r="AH142" s="10" t="str">
        <f aca="false">IF(A142="","",A142&amp;"_DWG.pdf")</f>
        <v/>
      </c>
      <c r="AI142" s="10" t="str">
        <f aca="false">IF(A142="","",IF(AE142="Y",A142&amp;"_STAAD.std","n/a"))</f>
        <v/>
      </c>
      <c r="AJ142" s="10" t="str">
        <f aca="false">IF(A142="","",A142&amp;"_CALC.xlsx")</f>
        <v/>
      </c>
      <c r="AK142" s="10" t="str">
        <f aca="false">IF(A142="","",A142&amp;"_CALC.pdf")</f>
        <v/>
      </c>
      <c r="AL142" s="9"/>
      <c r="AM142" s="9"/>
      <c r="AN142" s="41"/>
      <c r="AO142" s="41"/>
      <c r="AP142" s="41"/>
      <c r="AQ142" s="41"/>
      <c r="AR142" s="41"/>
      <c r="AS142" s="38" t="str">
        <f aca="false">IF(C142="","",IF(LEN(IF(AND(S142&lt;&gt;"",IFERROR(VALUE(MID(S142,2,2)),0)&lt;SG_Criteria!$B$19),"FAIL: grade below C"&amp;SG_Criteria!$B$19&amp;". ","")&amp;IF(AND(T142&lt;&gt;"",T142&lt;SG_Criteria!$B$20),"FAIL: cover &lt; "&amp;SG_Criteria!$B$20&amp;" mm. ","")&amp;IF(AND(H142&lt;&gt;"",H142&lt;SG_Criteria!$B$39),"NOTE: min depth below PUB "&amp;SG_Criteria!$B$39&amp;" m. ","")&amp;IF(AND(LEFT(C142,8)="Standard",I142&gt;SG_Criteria!$B$42),"FAIL: PUB 001C covers manholes up to "&amp;SG_Criteria!$B$42&amp;" m deep only. ","")&amp;IF(AND(LEFT(C142,11)="Rectangular",J142&lt;SG_Criteria!$B$43),"NOTE: 004C is for sewers &gt;= "&amp;SG_Criteria!$B$43&amp;" dia. ","")&amp;IF(AND(LEFT(C142,7)="Precast",I142&lt;=SG_Criteria!$B$42),"NOTE: 006C is for manholes &gt; "&amp;SG_Criteria!$B$42&amp;" m deep. ","")&amp;IF(AND(J142&lt;&gt;"",J142&lt;SG_Criteria!$B$40,C142&lt;&gt;"Inspection Chamber"),"NOTE: public sewer min dia "&amp;SG_Criteria!$B$40&amp;" mm. ","")&amp;IF(AND(R142&lt;&gt;"",R142&lt;SG_Criteria!$B$44),"FAIL: uplift FOS below "&amp;SG_Criteria!$B$44&amp;". ",""))=0,"OK",IF(AND(S142&lt;&gt;"",IFERROR(VALUE(MID(S142,2,2)),0)&lt;SG_Criteria!$B$19),"FAIL: grade below C"&amp;SG_Criteria!$B$19&amp;". ","")&amp;IF(AND(T142&lt;&gt;"",T142&lt;SG_Criteria!$B$20),"FAIL: cover &lt; "&amp;SG_Criteria!$B$20&amp;" mm. ","")&amp;IF(AND(H142&lt;&gt;"",H142&lt;SG_Criteria!$B$39),"NOTE: min depth below PUB "&amp;SG_Criteria!$B$39&amp;" m. ","")&amp;IF(AND(LEFT(C142,8)="Standard",I142&gt;SG_Criteria!$B$42),"FAIL: PUB 001C covers manholes up to "&amp;SG_Criteria!$B$42&amp;" m deep only. ","")&amp;IF(AND(LEFT(C142,11)="Rectangular",J142&lt;SG_Criteria!$B$43),"NOTE: 004C is for sewers &gt;= "&amp;SG_Criteria!$B$43&amp;" dia. ","")&amp;IF(AND(LEFT(C142,7)="Precast",I142&lt;=SG_Criteria!$B$42),"NOTE: 006C is for manholes &gt; "&amp;SG_Criteria!$B$42&amp;" m deep. ","")&amp;IF(AND(J142&lt;&gt;"",J142&lt;SG_Criteria!$B$40,C142&lt;&gt;"Inspection Chamber"),"NOTE: public sewer min dia "&amp;SG_Criteria!$B$40&amp;" mm. ","")&amp;IF(AND(R142&lt;&gt;"",R142&lt;SG_Criteria!$B$44),"FAIL: uplift FOS below "&amp;SG_Criteria!$B$44&amp;". ","")))</f>
        <v/>
      </c>
      <c r="AT142" s="9"/>
      <c r="AU142" s="9"/>
      <c r="AV142" s="9"/>
      <c r="AW142" s="9"/>
      <c r="AX142" s="9"/>
      <c r="AY142" s="31"/>
      <c r="AZ142" s="10" t="str">
        <f aca="false">IF(C142="","",IF(AND(AB142="Approved",ISERROR(SEARCH("FAIL",AS142))),"Y","N"))</f>
        <v/>
      </c>
      <c r="BA142" s="10" t="str">
        <f aca="false">IF(C142="","",C142&amp;"|"&amp;I142&amp;"|"&amp;F142&amp;"|"&amp;AZ142)</f>
        <v/>
      </c>
    </row>
    <row r="143" customFormat="false" ht="15" hidden="false" customHeight="false" outlineLevel="0" collapsed="false">
      <c r="A143" s="10" t="str">
        <f aca="false">IF(C143="","","MH-"&amp;IFERROR(VLOOKUP(C143,Lists!$AB$4:$AC$20,2,0),"??")&amp;"-"&amp;TEXT(F143,"0000")&amp;IF(E143="Circular","D","x"&amp;TEXT(G143,"0000"))&amp;"-D"&amp;TEXT(I143*1000,"0000")&amp;"-"&amp;IFERROR(VLOOKUP(D143,Lists!$AE$4:$AF$16,2,0),"??")&amp;"-"&amp;AA143)</f>
        <v/>
      </c>
      <c r="B143" s="10" t="str">
        <f aca="false">IF(C143="","",C143&amp;", "&amp;D143&amp;", "&amp;IF(E143="Circular",F143&amp;" dia",F143&amp;" x "&amp;G143)&amp;", depth "&amp;TEXT(H143,"0.0")&amp;"-"&amp;TEXT(I143,"0.0")&amp;" m, pipe up to "&amp;J143&amp;" dia")</f>
        <v/>
      </c>
      <c r="C143" s="9"/>
      <c r="D143" s="9"/>
      <c r="E143" s="9"/>
      <c r="F143" s="40"/>
      <c r="G143" s="40"/>
      <c r="H143" s="43"/>
      <c r="I143" s="43"/>
      <c r="J143" s="40"/>
      <c r="K143" s="40"/>
      <c r="L143" s="40"/>
      <c r="M143" s="40"/>
      <c r="N143" s="9"/>
      <c r="O143" s="9"/>
      <c r="P143" s="9"/>
      <c r="Q143" s="9"/>
      <c r="R143" s="41"/>
      <c r="S143" s="9"/>
      <c r="T143" s="40"/>
      <c r="U143" s="9"/>
      <c r="V143" s="9"/>
      <c r="W143" s="9"/>
      <c r="X143" s="9"/>
      <c r="Y143" s="9"/>
      <c r="Z143" s="9"/>
      <c r="AA143" s="9"/>
      <c r="AB143" s="9"/>
      <c r="AC143" s="9"/>
      <c r="AD143" s="9"/>
      <c r="AE143" s="9"/>
      <c r="AF143" s="10" t="str">
        <f aca="false">IF(A143="","",SG_Criteria!$B$6&amp;SG_Criteria!$B$10&amp;"\"&amp;A143&amp;"\")</f>
        <v/>
      </c>
      <c r="AG143" s="10" t="str">
        <f aca="false">IF(A143="","",A143&amp;"_CAD.dwg")</f>
        <v/>
      </c>
      <c r="AH143" s="10" t="str">
        <f aca="false">IF(A143="","",A143&amp;"_DWG.pdf")</f>
        <v/>
      </c>
      <c r="AI143" s="10" t="str">
        <f aca="false">IF(A143="","",IF(AE143="Y",A143&amp;"_STAAD.std","n/a"))</f>
        <v/>
      </c>
      <c r="AJ143" s="10" t="str">
        <f aca="false">IF(A143="","",A143&amp;"_CALC.xlsx")</f>
        <v/>
      </c>
      <c r="AK143" s="10" t="str">
        <f aca="false">IF(A143="","",A143&amp;"_CALC.pdf")</f>
        <v/>
      </c>
      <c r="AL143" s="9"/>
      <c r="AM143" s="9"/>
      <c r="AN143" s="41"/>
      <c r="AO143" s="41"/>
      <c r="AP143" s="41"/>
      <c r="AQ143" s="41"/>
      <c r="AR143" s="41"/>
      <c r="AS143" s="38" t="str">
        <f aca="false">IF(C143="","",IF(LEN(IF(AND(S143&lt;&gt;"",IFERROR(VALUE(MID(S143,2,2)),0)&lt;SG_Criteria!$B$19),"FAIL: grade below C"&amp;SG_Criteria!$B$19&amp;". ","")&amp;IF(AND(T143&lt;&gt;"",T143&lt;SG_Criteria!$B$20),"FAIL: cover &lt; "&amp;SG_Criteria!$B$20&amp;" mm. ","")&amp;IF(AND(H143&lt;&gt;"",H143&lt;SG_Criteria!$B$39),"NOTE: min depth below PUB "&amp;SG_Criteria!$B$39&amp;" m. ","")&amp;IF(AND(LEFT(C143,8)="Standard",I143&gt;SG_Criteria!$B$42),"FAIL: PUB 001C covers manholes up to "&amp;SG_Criteria!$B$42&amp;" m deep only. ","")&amp;IF(AND(LEFT(C143,11)="Rectangular",J143&lt;SG_Criteria!$B$43),"NOTE: 004C is for sewers &gt;= "&amp;SG_Criteria!$B$43&amp;" dia. ","")&amp;IF(AND(LEFT(C143,7)="Precast",I143&lt;=SG_Criteria!$B$42),"NOTE: 006C is for manholes &gt; "&amp;SG_Criteria!$B$42&amp;" m deep. ","")&amp;IF(AND(J143&lt;&gt;"",J143&lt;SG_Criteria!$B$40,C143&lt;&gt;"Inspection Chamber"),"NOTE: public sewer min dia "&amp;SG_Criteria!$B$40&amp;" mm. ","")&amp;IF(AND(R143&lt;&gt;"",R143&lt;SG_Criteria!$B$44),"FAIL: uplift FOS below "&amp;SG_Criteria!$B$44&amp;". ",""))=0,"OK",IF(AND(S143&lt;&gt;"",IFERROR(VALUE(MID(S143,2,2)),0)&lt;SG_Criteria!$B$19),"FAIL: grade below C"&amp;SG_Criteria!$B$19&amp;". ","")&amp;IF(AND(T143&lt;&gt;"",T143&lt;SG_Criteria!$B$20),"FAIL: cover &lt; "&amp;SG_Criteria!$B$20&amp;" mm. ","")&amp;IF(AND(H143&lt;&gt;"",H143&lt;SG_Criteria!$B$39),"NOTE: min depth below PUB "&amp;SG_Criteria!$B$39&amp;" m. ","")&amp;IF(AND(LEFT(C143,8)="Standard",I143&gt;SG_Criteria!$B$42),"FAIL: PUB 001C covers manholes up to "&amp;SG_Criteria!$B$42&amp;" m deep only. ","")&amp;IF(AND(LEFT(C143,11)="Rectangular",J143&lt;SG_Criteria!$B$43),"NOTE: 004C is for sewers &gt;= "&amp;SG_Criteria!$B$43&amp;" dia. ","")&amp;IF(AND(LEFT(C143,7)="Precast",I143&lt;=SG_Criteria!$B$42),"NOTE: 006C is for manholes &gt; "&amp;SG_Criteria!$B$42&amp;" m deep. ","")&amp;IF(AND(J143&lt;&gt;"",J143&lt;SG_Criteria!$B$40,C143&lt;&gt;"Inspection Chamber"),"NOTE: public sewer min dia "&amp;SG_Criteria!$B$40&amp;" mm. ","")&amp;IF(AND(R143&lt;&gt;"",R143&lt;SG_Criteria!$B$44),"FAIL: uplift FOS below "&amp;SG_Criteria!$B$44&amp;". ","")))</f>
        <v/>
      </c>
      <c r="AT143" s="9"/>
      <c r="AU143" s="9"/>
      <c r="AV143" s="9"/>
      <c r="AW143" s="9"/>
      <c r="AX143" s="9"/>
      <c r="AY143" s="31"/>
      <c r="AZ143" s="10" t="str">
        <f aca="false">IF(C143="","",IF(AND(AB143="Approved",ISERROR(SEARCH("FAIL",AS143))),"Y","N"))</f>
        <v/>
      </c>
      <c r="BA143" s="10" t="str">
        <f aca="false">IF(C143="","",C143&amp;"|"&amp;I143&amp;"|"&amp;F143&amp;"|"&amp;AZ143)</f>
        <v/>
      </c>
    </row>
    <row r="144" customFormat="false" ht="15" hidden="false" customHeight="false" outlineLevel="0" collapsed="false">
      <c r="A144" s="10" t="str">
        <f aca="false">IF(C144="","","MH-"&amp;IFERROR(VLOOKUP(C144,Lists!$AB$4:$AC$20,2,0),"??")&amp;"-"&amp;TEXT(F144,"0000")&amp;IF(E144="Circular","D","x"&amp;TEXT(G144,"0000"))&amp;"-D"&amp;TEXT(I144*1000,"0000")&amp;"-"&amp;IFERROR(VLOOKUP(D144,Lists!$AE$4:$AF$16,2,0),"??")&amp;"-"&amp;AA144)</f>
        <v/>
      </c>
      <c r="B144" s="10" t="str">
        <f aca="false">IF(C144="","",C144&amp;", "&amp;D144&amp;", "&amp;IF(E144="Circular",F144&amp;" dia",F144&amp;" x "&amp;G144)&amp;", depth "&amp;TEXT(H144,"0.0")&amp;"-"&amp;TEXT(I144,"0.0")&amp;" m, pipe up to "&amp;J144&amp;" dia")</f>
        <v/>
      </c>
      <c r="C144" s="9"/>
      <c r="D144" s="9"/>
      <c r="E144" s="9"/>
      <c r="F144" s="40"/>
      <c r="G144" s="40"/>
      <c r="H144" s="43"/>
      <c r="I144" s="43"/>
      <c r="J144" s="40"/>
      <c r="K144" s="40"/>
      <c r="L144" s="40"/>
      <c r="M144" s="40"/>
      <c r="N144" s="9"/>
      <c r="O144" s="9"/>
      <c r="P144" s="9"/>
      <c r="Q144" s="9"/>
      <c r="R144" s="41"/>
      <c r="S144" s="9"/>
      <c r="T144" s="40"/>
      <c r="U144" s="9"/>
      <c r="V144" s="9"/>
      <c r="W144" s="9"/>
      <c r="X144" s="9"/>
      <c r="Y144" s="9"/>
      <c r="Z144" s="9"/>
      <c r="AA144" s="9"/>
      <c r="AB144" s="9"/>
      <c r="AC144" s="9"/>
      <c r="AD144" s="9"/>
      <c r="AE144" s="9"/>
      <c r="AF144" s="10" t="str">
        <f aca="false">IF(A144="","",SG_Criteria!$B$6&amp;SG_Criteria!$B$10&amp;"\"&amp;A144&amp;"\")</f>
        <v/>
      </c>
      <c r="AG144" s="10" t="str">
        <f aca="false">IF(A144="","",A144&amp;"_CAD.dwg")</f>
        <v/>
      </c>
      <c r="AH144" s="10" t="str">
        <f aca="false">IF(A144="","",A144&amp;"_DWG.pdf")</f>
        <v/>
      </c>
      <c r="AI144" s="10" t="str">
        <f aca="false">IF(A144="","",IF(AE144="Y",A144&amp;"_STAAD.std","n/a"))</f>
        <v/>
      </c>
      <c r="AJ144" s="10" t="str">
        <f aca="false">IF(A144="","",A144&amp;"_CALC.xlsx")</f>
        <v/>
      </c>
      <c r="AK144" s="10" t="str">
        <f aca="false">IF(A144="","",A144&amp;"_CALC.pdf")</f>
        <v/>
      </c>
      <c r="AL144" s="9"/>
      <c r="AM144" s="9"/>
      <c r="AN144" s="41"/>
      <c r="AO144" s="41"/>
      <c r="AP144" s="41"/>
      <c r="AQ144" s="41"/>
      <c r="AR144" s="41"/>
      <c r="AS144" s="38" t="str">
        <f aca="false">IF(C144="","",IF(LEN(IF(AND(S144&lt;&gt;"",IFERROR(VALUE(MID(S144,2,2)),0)&lt;SG_Criteria!$B$19),"FAIL: grade below C"&amp;SG_Criteria!$B$19&amp;". ","")&amp;IF(AND(T144&lt;&gt;"",T144&lt;SG_Criteria!$B$20),"FAIL: cover &lt; "&amp;SG_Criteria!$B$20&amp;" mm. ","")&amp;IF(AND(H144&lt;&gt;"",H144&lt;SG_Criteria!$B$39),"NOTE: min depth below PUB "&amp;SG_Criteria!$B$39&amp;" m. ","")&amp;IF(AND(LEFT(C144,8)="Standard",I144&gt;SG_Criteria!$B$42),"FAIL: PUB 001C covers manholes up to "&amp;SG_Criteria!$B$42&amp;" m deep only. ","")&amp;IF(AND(LEFT(C144,11)="Rectangular",J144&lt;SG_Criteria!$B$43),"NOTE: 004C is for sewers &gt;= "&amp;SG_Criteria!$B$43&amp;" dia. ","")&amp;IF(AND(LEFT(C144,7)="Precast",I144&lt;=SG_Criteria!$B$42),"NOTE: 006C is for manholes &gt; "&amp;SG_Criteria!$B$42&amp;" m deep. ","")&amp;IF(AND(J144&lt;&gt;"",J144&lt;SG_Criteria!$B$40,C144&lt;&gt;"Inspection Chamber"),"NOTE: public sewer min dia "&amp;SG_Criteria!$B$40&amp;" mm. ","")&amp;IF(AND(R144&lt;&gt;"",R144&lt;SG_Criteria!$B$44),"FAIL: uplift FOS below "&amp;SG_Criteria!$B$44&amp;". ",""))=0,"OK",IF(AND(S144&lt;&gt;"",IFERROR(VALUE(MID(S144,2,2)),0)&lt;SG_Criteria!$B$19),"FAIL: grade below C"&amp;SG_Criteria!$B$19&amp;". ","")&amp;IF(AND(T144&lt;&gt;"",T144&lt;SG_Criteria!$B$20),"FAIL: cover &lt; "&amp;SG_Criteria!$B$20&amp;" mm. ","")&amp;IF(AND(H144&lt;&gt;"",H144&lt;SG_Criteria!$B$39),"NOTE: min depth below PUB "&amp;SG_Criteria!$B$39&amp;" m. ","")&amp;IF(AND(LEFT(C144,8)="Standard",I144&gt;SG_Criteria!$B$42),"FAIL: PUB 001C covers manholes up to "&amp;SG_Criteria!$B$42&amp;" m deep only. ","")&amp;IF(AND(LEFT(C144,11)="Rectangular",J144&lt;SG_Criteria!$B$43),"NOTE: 004C is for sewers &gt;= "&amp;SG_Criteria!$B$43&amp;" dia. ","")&amp;IF(AND(LEFT(C144,7)="Precast",I144&lt;=SG_Criteria!$B$42),"NOTE: 006C is for manholes &gt; "&amp;SG_Criteria!$B$42&amp;" m deep. ","")&amp;IF(AND(J144&lt;&gt;"",J144&lt;SG_Criteria!$B$40,C144&lt;&gt;"Inspection Chamber"),"NOTE: public sewer min dia "&amp;SG_Criteria!$B$40&amp;" mm. ","")&amp;IF(AND(R144&lt;&gt;"",R144&lt;SG_Criteria!$B$44),"FAIL: uplift FOS below "&amp;SG_Criteria!$B$44&amp;". ","")))</f>
        <v/>
      </c>
      <c r="AT144" s="9"/>
      <c r="AU144" s="9"/>
      <c r="AV144" s="9"/>
      <c r="AW144" s="9"/>
      <c r="AX144" s="9"/>
      <c r="AY144" s="31"/>
      <c r="AZ144" s="10" t="str">
        <f aca="false">IF(C144="","",IF(AND(AB144="Approved",ISERROR(SEARCH("FAIL",AS144))),"Y","N"))</f>
        <v/>
      </c>
      <c r="BA144" s="10" t="str">
        <f aca="false">IF(C144="","",C144&amp;"|"&amp;I144&amp;"|"&amp;F144&amp;"|"&amp;AZ144)</f>
        <v/>
      </c>
    </row>
    <row r="145" customFormat="false" ht="15" hidden="false" customHeight="false" outlineLevel="0" collapsed="false">
      <c r="A145" s="10" t="str">
        <f aca="false">IF(C145="","","MH-"&amp;IFERROR(VLOOKUP(C145,Lists!$AB$4:$AC$20,2,0),"??")&amp;"-"&amp;TEXT(F145,"0000")&amp;IF(E145="Circular","D","x"&amp;TEXT(G145,"0000"))&amp;"-D"&amp;TEXT(I145*1000,"0000")&amp;"-"&amp;IFERROR(VLOOKUP(D145,Lists!$AE$4:$AF$16,2,0),"??")&amp;"-"&amp;AA145)</f>
        <v/>
      </c>
      <c r="B145" s="10" t="str">
        <f aca="false">IF(C145="","",C145&amp;", "&amp;D145&amp;", "&amp;IF(E145="Circular",F145&amp;" dia",F145&amp;" x "&amp;G145)&amp;", depth "&amp;TEXT(H145,"0.0")&amp;"-"&amp;TEXT(I145,"0.0")&amp;" m, pipe up to "&amp;J145&amp;" dia")</f>
        <v/>
      </c>
      <c r="C145" s="9"/>
      <c r="D145" s="9"/>
      <c r="E145" s="9"/>
      <c r="F145" s="40"/>
      <c r="G145" s="40"/>
      <c r="H145" s="43"/>
      <c r="I145" s="43"/>
      <c r="J145" s="40"/>
      <c r="K145" s="40"/>
      <c r="L145" s="40"/>
      <c r="M145" s="40"/>
      <c r="N145" s="9"/>
      <c r="O145" s="9"/>
      <c r="P145" s="9"/>
      <c r="Q145" s="9"/>
      <c r="R145" s="41"/>
      <c r="S145" s="9"/>
      <c r="T145" s="40"/>
      <c r="U145" s="9"/>
      <c r="V145" s="9"/>
      <c r="W145" s="9"/>
      <c r="X145" s="9"/>
      <c r="Y145" s="9"/>
      <c r="Z145" s="9"/>
      <c r="AA145" s="9"/>
      <c r="AB145" s="9"/>
      <c r="AC145" s="9"/>
      <c r="AD145" s="9"/>
      <c r="AE145" s="9"/>
      <c r="AF145" s="10" t="str">
        <f aca="false">IF(A145="","",SG_Criteria!$B$6&amp;SG_Criteria!$B$10&amp;"\"&amp;A145&amp;"\")</f>
        <v/>
      </c>
      <c r="AG145" s="10" t="str">
        <f aca="false">IF(A145="","",A145&amp;"_CAD.dwg")</f>
        <v/>
      </c>
      <c r="AH145" s="10" t="str">
        <f aca="false">IF(A145="","",A145&amp;"_DWG.pdf")</f>
        <v/>
      </c>
      <c r="AI145" s="10" t="str">
        <f aca="false">IF(A145="","",IF(AE145="Y",A145&amp;"_STAAD.std","n/a"))</f>
        <v/>
      </c>
      <c r="AJ145" s="10" t="str">
        <f aca="false">IF(A145="","",A145&amp;"_CALC.xlsx")</f>
        <v/>
      </c>
      <c r="AK145" s="10" t="str">
        <f aca="false">IF(A145="","",A145&amp;"_CALC.pdf")</f>
        <v/>
      </c>
      <c r="AL145" s="9"/>
      <c r="AM145" s="9"/>
      <c r="AN145" s="41"/>
      <c r="AO145" s="41"/>
      <c r="AP145" s="41"/>
      <c r="AQ145" s="41"/>
      <c r="AR145" s="41"/>
      <c r="AS145" s="38" t="str">
        <f aca="false">IF(C145="","",IF(LEN(IF(AND(S145&lt;&gt;"",IFERROR(VALUE(MID(S145,2,2)),0)&lt;SG_Criteria!$B$19),"FAIL: grade below C"&amp;SG_Criteria!$B$19&amp;". ","")&amp;IF(AND(T145&lt;&gt;"",T145&lt;SG_Criteria!$B$20),"FAIL: cover &lt; "&amp;SG_Criteria!$B$20&amp;" mm. ","")&amp;IF(AND(H145&lt;&gt;"",H145&lt;SG_Criteria!$B$39),"NOTE: min depth below PUB "&amp;SG_Criteria!$B$39&amp;" m. ","")&amp;IF(AND(LEFT(C145,8)="Standard",I145&gt;SG_Criteria!$B$42),"FAIL: PUB 001C covers manholes up to "&amp;SG_Criteria!$B$42&amp;" m deep only. ","")&amp;IF(AND(LEFT(C145,11)="Rectangular",J145&lt;SG_Criteria!$B$43),"NOTE: 004C is for sewers &gt;= "&amp;SG_Criteria!$B$43&amp;" dia. ","")&amp;IF(AND(LEFT(C145,7)="Precast",I145&lt;=SG_Criteria!$B$42),"NOTE: 006C is for manholes &gt; "&amp;SG_Criteria!$B$42&amp;" m deep. ","")&amp;IF(AND(J145&lt;&gt;"",J145&lt;SG_Criteria!$B$40,C145&lt;&gt;"Inspection Chamber"),"NOTE: public sewer min dia "&amp;SG_Criteria!$B$40&amp;" mm. ","")&amp;IF(AND(R145&lt;&gt;"",R145&lt;SG_Criteria!$B$44),"FAIL: uplift FOS below "&amp;SG_Criteria!$B$44&amp;". ",""))=0,"OK",IF(AND(S145&lt;&gt;"",IFERROR(VALUE(MID(S145,2,2)),0)&lt;SG_Criteria!$B$19),"FAIL: grade below C"&amp;SG_Criteria!$B$19&amp;". ","")&amp;IF(AND(T145&lt;&gt;"",T145&lt;SG_Criteria!$B$20),"FAIL: cover &lt; "&amp;SG_Criteria!$B$20&amp;" mm. ","")&amp;IF(AND(H145&lt;&gt;"",H145&lt;SG_Criteria!$B$39),"NOTE: min depth below PUB "&amp;SG_Criteria!$B$39&amp;" m. ","")&amp;IF(AND(LEFT(C145,8)="Standard",I145&gt;SG_Criteria!$B$42),"FAIL: PUB 001C covers manholes up to "&amp;SG_Criteria!$B$42&amp;" m deep only. ","")&amp;IF(AND(LEFT(C145,11)="Rectangular",J145&lt;SG_Criteria!$B$43),"NOTE: 004C is for sewers &gt;= "&amp;SG_Criteria!$B$43&amp;" dia. ","")&amp;IF(AND(LEFT(C145,7)="Precast",I145&lt;=SG_Criteria!$B$42),"NOTE: 006C is for manholes &gt; "&amp;SG_Criteria!$B$42&amp;" m deep. ","")&amp;IF(AND(J145&lt;&gt;"",J145&lt;SG_Criteria!$B$40,C145&lt;&gt;"Inspection Chamber"),"NOTE: public sewer min dia "&amp;SG_Criteria!$B$40&amp;" mm. ","")&amp;IF(AND(R145&lt;&gt;"",R145&lt;SG_Criteria!$B$44),"FAIL: uplift FOS below "&amp;SG_Criteria!$B$44&amp;". ","")))</f>
        <v/>
      </c>
      <c r="AT145" s="9"/>
      <c r="AU145" s="9"/>
      <c r="AV145" s="9"/>
      <c r="AW145" s="9"/>
      <c r="AX145" s="9"/>
      <c r="AY145" s="31"/>
      <c r="AZ145" s="10" t="str">
        <f aca="false">IF(C145="","",IF(AND(AB145="Approved",ISERROR(SEARCH("FAIL",AS145))),"Y","N"))</f>
        <v/>
      </c>
      <c r="BA145" s="10" t="str">
        <f aca="false">IF(C145="","",C145&amp;"|"&amp;I145&amp;"|"&amp;F145&amp;"|"&amp;AZ145)</f>
        <v/>
      </c>
    </row>
    <row r="146" customFormat="false" ht="15" hidden="false" customHeight="false" outlineLevel="0" collapsed="false">
      <c r="A146" s="10" t="str">
        <f aca="false">IF(C146="","","MH-"&amp;IFERROR(VLOOKUP(C146,Lists!$AB$4:$AC$20,2,0),"??")&amp;"-"&amp;TEXT(F146,"0000")&amp;IF(E146="Circular","D","x"&amp;TEXT(G146,"0000"))&amp;"-D"&amp;TEXT(I146*1000,"0000")&amp;"-"&amp;IFERROR(VLOOKUP(D146,Lists!$AE$4:$AF$16,2,0),"??")&amp;"-"&amp;AA146)</f>
        <v/>
      </c>
      <c r="B146" s="10" t="str">
        <f aca="false">IF(C146="","",C146&amp;", "&amp;D146&amp;", "&amp;IF(E146="Circular",F146&amp;" dia",F146&amp;" x "&amp;G146)&amp;", depth "&amp;TEXT(H146,"0.0")&amp;"-"&amp;TEXT(I146,"0.0")&amp;" m, pipe up to "&amp;J146&amp;" dia")</f>
        <v/>
      </c>
      <c r="C146" s="9"/>
      <c r="D146" s="9"/>
      <c r="E146" s="9"/>
      <c r="F146" s="40"/>
      <c r="G146" s="40"/>
      <c r="H146" s="43"/>
      <c r="I146" s="43"/>
      <c r="J146" s="40"/>
      <c r="K146" s="40"/>
      <c r="L146" s="40"/>
      <c r="M146" s="40"/>
      <c r="N146" s="9"/>
      <c r="O146" s="9"/>
      <c r="P146" s="9"/>
      <c r="Q146" s="9"/>
      <c r="R146" s="41"/>
      <c r="S146" s="9"/>
      <c r="T146" s="40"/>
      <c r="U146" s="9"/>
      <c r="V146" s="9"/>
      <c r="W146" s="9"/>
      <c r="X146" s="9"/>
      <c r="Y146" s="9"/>
      <c r="Z146" s="9"/>
      <c r="AA146" s="9"/>
      <c r="AB146" s="9"/>
      <c r="AC146" s="9"/>
      <c r="AD146" s="9"/>
      <c r="AE146" s="9"/>
      <c r="AF146" s="10" t="str">
        <f aca="false">IF(A146="","",SG_Criteria!$B$6&amp;SG_Criteria!$B$10&amp;"\"&amp;A146&amp;"\")</f>
        <v/>
      </c>
      <c r="AG146" s="10" t="str">
        <f aca="false">IF(A146="","",A146&amp;"_CAD.dwg")</f>
        <v/>
      </c>
      <c r="AH146" s="10" t="str">
        <f aca="false">IF(A146="","",A146&amp;"_DWG.pdf")</f>
        <v/>
      </c>
      <c r="AI146" s="10" t="str">
        <f aca="false">IF(A146="","",IF(AE146="Y",A146&amp;"_STAAD.std","n/a"))</f>
        <v/>
      </c>
      <c r="AJ146" s="10" t="str">
        <f aca="false">IF(A146="","",A146&amp;"_CALC.xlsx")</f>
        <v/>
      </c>
      <c r="AK146" s="10" t="str">
        <f aca="false">IF(A146="","",A146&amp;"_CALC.pdf")</f>
        <v/>
      </c>
      <c r="AL146" s="9"/>
      <c r="AM146" s="9"/>
      <c r="AN146" s="41"/>
      <c r="AO146" s="41"/>
      <c r="AP146" s="41"/>
      <c r="AQ146" s="41"/>
      <c r="AR146" s="41"/>
      <c r="AS146" s="38" t="str">
        <f aca="false">IF(C146="","",IF(LEN(IF(AND(S146&lt;&gt;"",IFERROR(VALUE(MID(S146,2,2)),0)&lt;SG_Criteria!$B$19),"FAIL: grade below C"&amp;SG_Criteria!$B$19&amp;". ","")&amp;IF(AND(T146&lt;&gt;"",T146&lt;SG_Criteria!$B$20),"FAIL: cover &lt; "&amp;SG_Criteria!$B$20&amp;" mm. ","")&amp;IF(AND(H146&lt;&gt;"",H146&lt;SG_Criteria!$B$39),"NOTE: min depth below PUB "&amp;SG_Criteria!$B$39&amp;" m. ","")&amp;IF(AND(LEFT(C146,8)="Standard",I146&gt;SG_Criteria!$B$42),"FAIL: PUB 001C covers manholes up to "&amp;SG_Criteria!$B$42&amp;" m deep only. ","")&amp;IF(AND(LEFT(C146,11)="Rectangular",J146&lt;SG_Criteria!$B$43),"NOTE: 004C is for sewers &gt;= "&amp;SG_Criteria!$B$43&amp;" dia. ","")&amp;IF(AND(LEFT(C146,7)="Precast",I146&lt;=SG_Criteria!$B$42),"NOTE: 006C is for manholes &gt; "&amp;SG_Criteria!$B$42&amp;" m deep. ","")&amp;IF(AND(J146&lt;&gt;"",J146&lt;SG_Criteria!$B$40,C146&lt;&gt;"Inspection Chamber"),"NOTE: public sewer min dia "&amp;SG_Criteria!$B$40&amp;" mm. ","")&amp;IF(AND(R146&lt;&gt;"",R146&lt;SG_Criteria!$B$44),"FAIL: uplift FOS below "&amp;SG_Criteria!$B$44&amp;". ",""))=0,"OK",IF(AND(S146&lt;&gt;"",IFERROR(VALUE(MID(S146,2,2)),0)&lt;SG_Criteria!$B$19),"FAIL: grade below C"&amp;SG_Criteria!$B$19&amp;". ","")&amp;IF(AND(T146&lt;&gt;"",T146&lt;SG_Criteria!$B$20),"FAIL: cover &lt; "&amp;SG_Criteria!$B$20&amp;" mm. ","")&amp;IF(AND(H146&lt;&gt;"",H146&lt;SG_Criteria!$B$39),"NOTE: min depth below PUB "&amp;SG_Criteria!$B$39&amp;" m. ","")&amp;IF(AND(LEFT(C146,8)="Standard",I146&gt;SG_Criteria!$B$42),"FAIL: PUB 001C covers manholes up to "&amp;SG_Criteria!$B$42&amp;" m deep only. ","")&amp;IF(AND(LEFT(C146,11)="Rectangular",J146&lt;SG_Criteria!$B$43),"NOTE: 004C is for sewers &gt;= "&amp;SG_Criteria!$B$43&amp;" dia. ","")&amp;IF(AND(LEFT(C146,7)="Precast",I146&lt;=SG_Criteria!$B$42),"NOTE: 006C is for manholes &gt; "&amp;SG_Criteria!$B$42&amp;" m deep. ","")&amp;IF(AND(J146&lt;&gt;"",J146&lt;SG_Criteria!$B$40,C146&lt;&gt;"Inspection Chamber"),"NOTE: public sewer min dia "&amp;SG_Criteria!$B$40&amp;" mm. ","")&amp;IF(AND(R146&lt;&gt;"",R146&lt;SG_Criteria!$B$44),"FAIL: uplift FOS below "&amp;SG_Criteria!$B$44&amp;". ","")))</f>
        <v/>
      </c>
      <c r="AT146" s="9"/>
      <c r="AU146" s="9"/>
      <c r="AV146" s="9"/>
      <c r="AW146" s="9"/>
      <c r="AX146" s="9"/>
      <c r="AY146" s="31"/>
      <c r="AZ146" s="10" t="str">
        <f aca="false">IF(C146="","",IF(AND(AB146="Approved",ISERROR(SEARCH("FAIL",AS146))),"Y","N"))</f>
        <v/>
      </c>
      <c r="BA146" s="10" t="str">
        <f aca="false">IF(C146="","",C146&amp;"|"&amp;I146&amp;"|"&amp;F146&amp;"|"&amp;AZ146)</f>
        <v/>
      </c>
    </row>
    <row r="147" customFormat="false" ht="15" hidden="false" customHeight="false" outlineLevel="0" collapsed="false">
      <c r="A147" s="10" t="str">
        <f aca="false">IF(C147="","","MH-"&amp;IFERROR(VLOOKUP(C147,Lists!$AB$4:$AC$20,2,0),"??")&amp;"-"&amp;TEXT(F147,"0000")&amp;IF(E147="Circular","D","x"&amp;TEXT(G147,"0000"))&amp;"-D"&amp;TEXT(I147*1000,"0000")&amp;"-"&amp;IFERROR(VLOOKUP(D147,Lists!$AE$4:$AF$16,2,0),"??")&amp;"-"&amp;AA147)</f>
        <v/>
      </c>
      <c r="B147" s="10" t="str">
        <f aca="false">IF(C147="","",C147&amp;", "&amp;D147&amp;", "&amp;IF(E147="Circular",F147&amp;" dia",F147&amp;" x "&amp;G147)&amp;", depth "&amp;TEXT(H147,"0.0")&amp;"-"&amp;TEXT(I147,"0.0")&amp;" m, pipe up to "&amp;J147&amp;" dia")</f>
        <v/>
      </c>
      <c r="C147" s="9"/>
      <c r="D147" s="9"/>
      <c r="E147" s="9"/>
      <c r="F147" s="40"/>
      <c r="G147" s="40"/>
      <c r="H147" s="43"/>
      <c r="I147" s="43"/>
      <c r="J147" s="40"/>
      <c r="K147" s="40"/>
      <c r="L147" s="40"/>
      <c r="M147" s="40"/>
      <c r="N147" s="9"/>
      <c r="O147" s="9"/>
      <c r="P147" s="9"/>
      <c r="Q147" s="9"/>
      <c r="R147" s="41"/>
      <c r="S147" s="9"/>
      <c r="T147" s="40"/>
      <c r="U147" s="9"/>
      <c r="V147" s="9"/>
      <c r="W147" s="9"/>
      <c r="X147" s="9"/>
      <c r="Y147" s="9"/>
      <c r="Z147" s="9"/>
      <c r="AA147" s="9"/>
      <c r="AB147" s="9"/>
      <c r="AC147" s="9"/>
      <c r="AD147" s="9"/>
      <c r="AE147" s="9"/>
      <c r="AF147" s="10" t="str">
        <f aca="false">IF(A147="","",SG_Criteria!$B$6&amp;SG_Criteria!$B$10&amp;"\"&amp;A147&amp;"\")</f>
        <v/>
      </c>
      <c r="AG147" s="10" t="str">
        <f aca="false">IF(A147="","",A147&amp;"_CAD.dwg")</f>
        <v/>
      </c>
      <c r="AH147" s="10" t="str">
        <f aca="false">IF(A147="","",A147&amp;"_DWG.pdf")</f>
        <v/>
      </c>
      <c r="AI147" s="10" t="str">
        <f aca="false">IF(A147="","",IF(AE147="Y",A147&amp;"_STAAD.std","n/a"))</f>
        <v/>
      </c>
      <c r="AJ147" s="10" t="str">
        <f aca="false">IF(A147="","",A147&amp;"_CALC.xlsx")</f>
        <v/>
      </c>
      <c r="AK147" s="10" t="str">
        <f aca="false">IF(A147="","",A147&amp;"_CALC.pdf")</f>
        <v/>
      </c>
      <c r="AL147" s="9"/>
      <c r="AM147" s="9"/>
      <c r="AN147" s="41"/>
      <c r="AO147" s="41"/>
      <c r="AP147" s="41"/>
      <c r="AQ147" s="41"/>
      <c r="AR147" s="41"/>
      <c r="AS147" s="38" t="str">
        <f aca="false">IF(C147="","",IF(LEN(IF(AND(S147&lt;&gt;"",IFERROR(VALUE(MID(S147,2,2)),0)&lt;SG_Criteria!$B$19),"FAIL: grade below C"&amp;SG_Criteria!$B$19&amp;". ","")&amp;IF(AND(T147&lt;&gt;"",T147&lt;SG_Criteria!$B$20),"FAIL: cover &lt; "&amp;SG_Criteria!$B$20&amp;" mm. ","")&amp;IF(AND(H147&lt;&gt;"",H147&lt;SG_Criteria!$B$39),"NOTE: min depth below PUB "&amp;SG_Criteria!$B$39&amp;" m. ","")&amp;IF(AND(LEFT(C147,8)="Standard",I147&gt;SG_Criteria!$B$42),"FAIL: PUB 001C covers manholes up to "&amp;SG_Criteria!$B$42&amp;" m deep only. ","")&amp;IF(AND(LEFT(C147,11)="Rectangular",J147&lt;SG_Criteria!$B$43),"NOTE: 004C is for sewers &gt;= "&amp;SG_Criteria!$B$43&amp;" dia. ","")&amp;IF(AND(LEFT(C147,7)="Precast",I147&lt;=SG_Criteria!$B$42),"NOTE: 006C is for manholes &gt; "&amp;SG_Criteria!$B$42&amp;" m deep. ","")&amp;IF(AND(J147&lt;&gt;"",J147&lt;SG_Criteria!$B$40,C147&lt;&gt;"Inspection Chamber"),"NOTE: public sewer min dia "&amp;SG_Criteria!$B$40&amp;" mm. ","")&amp;IF(AND(R147&lt;&gt;"",R147&lt;SG_Criteria!$B$44),"FAIL: uplift FOS below "&amp;SG_Criteria!$B$44&amp;". ",""))=0,"OK",IF(AND(S147&lt;&gt;"",IFERROR(VALUE(MID(S147,2,2)),0)&lt;SG_Criteria!$B$19),"FAIL: grade below C"&amp;SG_Criteria!$B$19&amp;". ","")&amp;IF(AND(T147&lt;&gt;"",T147&lt;SG_Criteria!$B$20),"FAIL: cover &lt; "&amp;SG_Criteria!$B$20&amp;" mm. ","")&amp;IF(AND(H147&lt;&gt;"",H147&lt;SG_Criteria!$B$39),"NOTE: min depth below PUB "&amp;SG_Criteria!$B$39&amp;" m. ","")&amp;IF(AND(LEFT(C147,8)="Standard",I147&gt;SG_Criteria!$B$42),"FAIL: PUB 001C covers manholes up to "&amp;SG_Criteria!$B$42&amp;" m deep only. ","")&amp;IF(AND(LEFT(C147,11)="Rectangular",J147&lt;SG_Criteria!$B$43),"NOTE: 004C is for sewers &gt;= "&amp;SG_Criteria!$B$43&amp;" dia. ","")&amp;IF(AND(LEFT(C147,7)="Precast",I147&lt;=SG_Criteria!$B$42),"NOTE: 006C is for manholes &gt; "&amp;SG_Criteria!$B$42&amp;" m deep. ","")&amp;IF(AND(J147&lt;&gt;"",J147&lt;SG_Criteria!$B$40,C147&lt;&gt;"Inspection Chamber"),"NOTE: public sewer min dia "&amp;SG_Criteria!$B$40&amp;" mm. ","")&amp;IF(AND(R147&lt;&gt;"",R147&lt;SG_Criteria!$B$44),"FAIL: uplift FOS below "&amp;SG_Criteria!$B$44&amp;". ","")))</f>
        <v/>
      </c>
      <c r="AT147" s="9"/>
      <c r="AU147" s="9"/>
      <c r="AV147" s="9"/>
      <c r="AW147" s="9"/>
      <c r="AX147" s="9"/>
      <c r="AY147" s="31"/>
      <c r="AZ147" s="10" t="str">
        <f aca="false">IF(C147="","",IF(AND(AB147="Approved",ISERROR(SEARCH("FAIL",AS147))),"Y","N"))</f>
        <v/>
      </c>
      <c r="BA147" s="10" t="str">
        <f aca="false">IF(C147="","",C147&amp;"|"&amp;I147&amp;"|"&amp;F147&amp;"|"&amp;AZ147)</f>
        <v/>
      </c>
    </row>
    <row r="148" customFormat="false" ht="15" hidden="false" customHeight="false" outlineLevel="0" collapsed="false">
      <c r="A148" s="10" t="str">
        <f aca="false">IF(C148="","","MH-"&amp;IFERROR(VLOOKUP(C148,Lists!$AB$4:$AC$20,2,0),"??")&amp;"-"&amp;TEXT(F148,"0000")&amp;IF(E148="Circular","D","x"&amp;TEXT(G148,"0000"))&amp;"-D"&amp;TEXT(I148*1000,"0000")&amp;"-"&amp;IFERROR(VLOOKUP(D148,Lists!$AE$4:$AF$16,2,0),"??")&amp;"-"&amp;AA148)</f>
        <v/>
      </c>
      <c r="B148" s="10" t="str">
        <f aca="false">IF(C148="","",C148&amp;", "&amp;D148&amp;", "&amp;IF(E148="Circular",F148&amp;" dia",F148&amp;" x "&amp;G148)&amp;", depth "&amp;TEXT(H148,"0.0")&amp;"-"&amp;TEXT(I148,"0.0")&amp;" m, pipe up to "&amp;J148&amp;" dia")</f>
        <v/>
      </c>
      <c r="C148" s="9"/>
      <c r="D148" s="9"/>
      <c r="E148" s="9"/>
      <c r="F148" s="40"/>
      <c r="G148" s="40"/>
      <c r="H148" s="43"/>
      <c r="I148" s="43"/>
      <c r="J148" s="40"/>
      <c r="K148" s="40"/>
      <c r="L148" s="40"/>
      <c r="M148" s="40"/>
      <c r="N148" s="9"/>
      <c r="O148" s="9"/>
      <c r="P148" s="9"/>
      <c r="Q148" s="9"/>
      <c r="R148" s="41"/>
      <c r="S148" s="9"/>
      <c r="T148" s="40"/>
      <c r="U148" s="9"/>
      <c r="V148" s="9"/>
      <c r="W148" s="9"/>
      <c r="X148" s="9"/>
      <c r="Y148" s="9"/>
      <c r="Z148" s="9"/>
      <c r="AA148" s="9"/>
      <c r="AB148" s="9"/>
      <c r="AC148" s="9"/>
      <c r="AD148" s="9"/>
      <c r="AE148" s="9"/>
      <c r="AF148" s="10" t="str">
        <f aca="false">IF(A148="","",SG_Criteria!$B$6&amp;SG_Criteria!$B$10&amp;"\"&amp;A148&amp;"\")</f>
        <v/>
      </c>
      <c r="AG148" s="10" t="str">
        <f aca="false">IF(A148="","",A148&amp;"_CAD.dwg")</f>
        <v/>
      </c>
      <c r="AH148" s="10" t="str">
        <f aca="false">IF(A148="","",A148&amp;"_DWG.pdf")</f>
        <v/>
      </c>
      <c r="AI148" s="10" t="str">
        <f aca="false">IF(A148="","",IF(AE148="Y",A148&amp;"_STAAD.std","n/a"))</f>
        <v/>
      </c>
      <c r="AJ148" s="10" t="str">
        <f aca="false">IF(A148="","",A148&amp;"_CALC.xlsx")</f>
        <v/>
      </c>
      <c r="AK148" s="10" t="str">
        <f aca="false">IF(A148="","",A148&amp;"_CALC.pdf")</f>
        <v/>
      </c>
      <c r="AL148" s="9"/>
      <c r="AM148" s="9"/>
      <c r="AN148" s="41"/>
      <c r="AO148" s="41"/>
      <c r="AP148" s="41"/>
      <c r="AQ148" s="41"/>
      <c r="AR148" s="41"/>
      <c r="AS148" s="38" t="str">
        <f aca="false">IF(C148="","",IF(LEN(IF(AND(S148&lt;&gt;"",IFERROR(VALUE(MID(S148,2,2)),0)&lt;SG_Criteria!$B$19),"FAIL: grade below C"&amp;SG_Criteria!$B$19&amp;". ","")&amp;IF(AND(T148&lt;&gt;"",T148&lt;SG_Criteria!$B$20),"FAIL: cover &lt; "&amp;SG_Criteria!$B$20&amp;" mm. ","")&amp;IF(AND(H148&lt;&gt;"",H148&lt;SG_Criteria!$B$39),"NOTE: min depth below PUB "&amp;SG_Criteria!$B$39&amp;" m. ","")&amp;IF(AND(LEFT(C148,8)="Standard",I148&gt;SG_Criteria!$B$42),"FAIL: PUB 001C covers manholes up to "&amp;SG_Criteria!$B$42&amp;" m deep only. ","")&amp;IF(AND(LEFT(C148,11)="Rectangular",J148&lt;SG_Criteria!$B$43),"NOTE: 004C is for sewers &gt;= "&amp;SG_Criteria!$B$43&amp;" dia. ","")&amp;IF(AND(LEFT(C148,7)="Precast",I148&lt;=SG_Criteria!$B$42),"NOTE: 006C is for manholes &gt; "&amp;SG_Criteria!$B$42&amp;" m deep. ","")&amp;IF(AND(J148&lt;&gt;"",J148&lt;SG_Criteria!$B$40,C148&lt;&gt;"Inspection Chamber"),"NOTE: public sewer min dia "&amp;SG_Criteria!$B$40&amp;" mm. ","")&amp;IF(AND(R148&lt;&gt;"",R148&lt;SG_Criteria!$B$44),"FAIL: uplift FOS below "&amp;SG_Criteria!$B$44&amp;". ",""))=0,"OK",IF(AND(S148&lt;&gt;"",IFERROR(VALUE(MID(S148,2,2)),0)&lt;SG_Criteria!$B$19),"FAIL: grade below C"&amp;SG_Criteria!$B$19&amp;". ","")&amp;IF(AND(T148&lt;&gt;"",T148&lt;SG_Criteria!$B$20),"FAIL: cover &lt; "&amp;SG_Criteria!$B$20&amp;" mm. ","")&amp;IF(AND(H148&lt;&gt;"",H148&lt;SG_Criteria!$B$39),"NOTE: min depth below PUB "&amp;SG_Criteria!$B$39&amp;" m. ","")&amp;IF(AND(LEFT(C148,8)="Standard",I148&gt;SG_Criteria!$B$42),"FAIL: PUB 001C covers manholes up to "&amp;SG_Criteria!$B$42&amp;" m deep only. ","")&amp;IF(AND(LEFT(C148,11)="Rectangular",J148&lt;SG_Criteria!$B$43),"NOTE: 004C is for sewers &gt;= "&amp;SG_Criteria!$B$43&amp;" dia. ","")&amp;IF(AND(LEFT(C148,7)="Precast",I148&lt;=SG_Criteria!$B$42),"NOTE: 006C is for manholes &gt; "&amp;SG_Criteria!$B$42&amp;" m deep. ","")&amp;IF(AND(J148&lt;&gt;"",J148&lt;SG_Criteria!$B$40,C148&lt;&gt;"Inspection Chamber"),"NOTE: public sewer min dia "&amp;SG_Criteria!$B$40&amp;" mm. ","")&amp;IF(AND(R148&lt;&gt;"",R148&lt;SG_Criteria!$B$44),"FAIL: uplift FOS below "&amp;SG_Criteria!$B$44&amp;". ","")))</f>
        <v/>
      </c>
      <c r="AT148" s="9"/>
      <c r="AU148" s="9"/>
      <c r="AV148" s="9"/>
      <c r="AW148" s="9"/>
      <c r="AX148" s="9"/>
      <c r="AY148" s="31"/>
      <c r="AZ148" s="10" t="str">
        <f aca="false">IF(C148="","",IF(AND(AB148="Approved",ISERROR(SEARCH("FAIL",AS148))),"Y","N"))</f>
        <v/>
      </c>
      <c r="BA148" s="10" t="str">
        <f aca="false">IF(C148="","",C148&amp;"|"&amp;I148&amp;"|"&amp;F148&amp;"|"&amp;AZ148)</f>
        <v/>
      </c>
    </row>
    <row r="149" customFormat="false" ht="15" hidden="false" customHeight="false" outlineLevel="0" collapsed="false">
      <c r="A149" s="10" t="str">
        <f aca="false">IF(C149="","","MH-"&amp;IFERROR(VLOOKUP(C149,Lists!$AB$4:$AC$20,2,0),"??")&amp;"-"&amp;TEXT(F149,"0000")&amp;IF(E149="Circular","D","x"&amp;TEXT(G149,"0000"))&amp;"-D"&amp;TEXT(I149*1000,"0000")&amp;"-"&amp;IFERROR(VLOOKUP(D149,Lists!$AE$4:$AF$16,2,0),"??")&amp;"-"&amp;AA149)</f>
        <v/>
      </c>
      <c r="B149" s="10" t="str">
        <f aca="false">IF(C149="","",C149&amp;", "&amp;D149&amp;", "&amp;IF(E149="Circular",F149&amp;" dia",F149&amp;" x "&amp;G149)&amp;", depth "&amp;TEXT(H149,"0.0")&amp;"-"&amp;TEXT(I149,"0.0")&amp;" m, pipe up to "&amp;J149&amp;" dia")</f>
        <v/>
      </c>
      <c r="C149" s="9"/>
      <c r="D149" s="9"/>
      <c r="E149" s="9"/>
      <c r="F149" s="40"/>
      <c r="G149" s="40"/>
      <c r="H149" s="43"/>
      <c r="I149" s="43"/>
      <c r="J149" s="40"/>
      <c r="K149" s="40"/>
      <c r="L149" s="40"/>
      <c r="M149" s="40"/>
      <c r="N149" s="9"/>
      <c r="O149" s="9"/>
      <c r="P149" s="9"/>
      <c r="Q149" s="9"/>
      <c r="R149" s="41"/>
      <c r="S149" s="9"/>
      <c r="T149" s="40"/>
      <c r="U149" s="9"/>
      <c r="V149" s="9"/>
      <c r="W149" s="9"/>
      <c r="X149" s="9"/>
      <c r="Y149" s="9"/>
      <c r="Z149" s="9"/>
      <c r="AA149" s="9"/>
      <c r="AB149" s="9"/>
      <c r="AC149" s="9"/>
      <c r="AD149" s="9"/>
      <c r="AE149" s="9"/>
      <c r="AF149" s="10" t="str">
        <f aca="false">IF(A149="","",SG_Criteria!$B$6&amp;SG_Criteria!$B$10&amp;"\"&amp;A149&amp;"\")</f>
        <v/>
      </c>
      <c r="AG149" s="10" t="str">
        <f aca="false">IF(A149="","",A149&amp;"_CAD.dwg")</f>
        <v/>
      </c>
      <c r="AH149" s="10" t="str">
        <f aca="false">IF(A149="","",A149&amp;"_DWG.pdf")</f>
        <v/>
      </c>
      <c r="AI149" s="10" t="str">
        <f aca="false">IF(A149="","",IF(AE149="Y",A149&amp;"_STAAD.std","n/a"))</f>
        <v/>
      </c>
      <c r="AJ149" s="10" t="str">
        <f aca="false">IF(A149="","",A149&amp;"_CALC.xlsx")</f>
        <v/>
      </c>
      <c r="AK149" s="10" t="str">
        <f aca="false">IF(A149="","",A149&amp;"_CALC.pdf")</f>
        <v/>
      </c>
      <c r="AL149" s="9"/>
      <c r="AM149" s="9"/>
      <c r="AN149" s="41"/>
      <c r="AO149" s="41"/>
      <c r="AP149" s="41"/>
      <c r="AQ149" s="41"/>
      <c r="AR149" s="41"/>
      <c r="AS149" s="38" t="str">
        <f aca="false">IF(C149="","",IF(LEN(IF(AND(S149&lt;&gt;"",IFERROR(VALUE(MID(S149,2,2)),0)&lt;SG_Criteria!$B$19),"FAIL: grade below C"&amp;SG_Criteria!$B$19&amp;". ","")&amp;IF(AND(T149&lt;&gt;"",T149&lt;SG_Criteria!$B$20),"FAIL: cover &lt; "&amp;SG_Criteria!$B$20&amp;" mm. ","")&amp;IF(AND(H149&lt;&gt;"",H149&lt;SG_Criteria!$B$39),"NOTE: min depth below PUB "&amp;SG_Criteria!$B$39&amp;" m. ","")&amp;IF(AND(LEFT(C149,8)="Standard",I149&gt;SG_Criteria!$B$42),"FAIL: PUB 001C covers manholes up to "&amp;SG_Criteria!$B$42&amp;" m deep only. ","")&amp;IF(AND(LEFT(C149,11)="Rectangular",J149&lt;SG_Criteria!$B$43),"NOTE: 004C is for sewers &gt;= "&amp;SG_Criteria!$B$43&amp;" dia. ","")&amp;IF(AND(LEFT(C149,7)="Precast",I149&lt;=SG_Criteria!$B$42),"NOTE: 006C is for manholes &gt; "&amp;SG_Criteria!$B$42&amp;" m deep. ","")&amp;IF(AND(J149&lt;&gt;"",J149&lt;SG_Criteria!$B$40,C149&lt;&gt;"Inspection Chamber"),"NOTE: public sewer min dia "&amp;SG_Criteria!$B$40&amp;" mm. ","")&amp;IF(AND(R149&lt;&gt;"",R149&lt;SG_Criteria!$B$44),"FAIL: uplift FOS below "&amp;SG_Criteria!$B$44&amp;". ",""))=0,"OK",IF(AND(S149&lt;&gt;"",IFERROR(VALUE(MID(S149,2,2)),0)&lt;SG_Criteria!$B$19),"FAIL: grade below C"&amp;SG_Criteria!$B$19&amp;". ","")&amp;IF(AND(T149&lt;&gt;"",T149&lt;SG_Criteria!$B$20),"FAIL: cover &lt; "&amp;SG_Criteria!$B$20&amp;" mm. ","")&amp;IF(AND(H149&lt;&gt;"",H149&lt;SG_Criteria!$B$39),"NOTE: min depth below PUB "&amp;SG_Criteria!$B$39&amp;" m. ","")&amp;IF(AND(LEFT(C149,8)="Standard",I149&gt;SG_Criteria!$B$42),"FAIL: PUB 001C covers manholes up to "&amp;SG_Criteria!$B$42&amp;" m deep only. ","")&amp;IF(AND(LEFT(C149,11)="Rectangular",J149&lt;SG_Criteria!$B$43),"NOTE: 004C is for sewers &gt;= "&amp;SG_Criteria!$B$43&amp;" dia. ","")&amp;IF(AND(LEFT(C149,7)="Precast",I149&lt;=SG_Criteria!$B$42),"NOTE: 006C is for manholes &gt; "&amp;SG_Criteria!$B$42&amp;" m deep. ","")&amp;IF(AND(J149&lt;&gt;"",J149&lt;SG_Criteria!$B$40,C149&lt;&gt;"Inspection Chamber"),"NOTE: public sewer min dia "&amp;SG_Criteria!$B$40&amp;" mm. ","")&amp;IF(AND(R149&lt;&gt;"",R149&lt;SG_Criteria!$B$44),"FAIL: uplift FOS below "&amp;SG_Criteria!$B$44&amp;". ","")))</f>
        <v/>
      </c>
      <c r="AT149" s="9"/>
      <c r="AU149" s="9"/>
      <c r="AV149" s="9"/>
      <c r="AW149" s="9"/>
      <c r="AX149" s="9"/>
      <c r="AY149" s="31"/>
      <c r="AZ149" s="10" t="str">
        <f aca="false">IF(C149="","",IF(AND(AB149="Approved",ISERROR(SEARCH("FAIL",AS149))),"Y","N"))</f>
        <v/>
      </c>
      <c r="BA149" s="10" t="str">
        <f aca="false">IF(C149="","",C149&amp;"|"&amp;I149&amp;"|"&amp;F149&amp;"|"&amp;AZ149)</f>
        <v/>
      </c>
    </row>
    <row r="150" customFormat="false" ht="15" hidden="false" customHeight="false" outlineLevel="0" collapsed="false">
      <c r="A150" s="10" t="str">
        <f aca="false">IF(C150="","","MH-"&amp;IFERROR(VLOOKUP(C150,Lists!$AB$4:$AC$20,2,0),"??")&amp;"-"&amp;TEXT(F150,"0000")&amp;IF(E150="Circular","D","x"&amp;TEXT(G150,"0000"))&amp;"-D"&amp;TEXT(I150*1000,"0000")&amp;"-"&amp;IFERROR(VLOOKUP(D150,Lists!$AE$4:$AF$16,2,0),"??")&amp;"-"&amp;AA150)</f>
        <v/>
      </c>
      <c r="B150" s="10" t="str">
        <f aca="false">IF(C150="","",C150&amp;", "&amp;D150&amp;", "&amp;IF(E150="Circular",F150&amp;" dia",F150&amp;" x "&amp;G150)&amp;", depth "&amp;TEXT(H150,"0.0")&amp;"-"&amp;TEXT(I150,"0.0")&amp;" m, pipe up to "&amp;J150&amp;" dia")</f>
        <v/>
      </c>
      <c r="C150" s="9"/>
      <c r="D150" s="9"/>
      <c r="E150" s="9"/>
      <c r="F150" s="40"/>
      <c r="G150" s="40"/>
      <c r="H150" s="43"/>
      <c r="I150" s="43"/>
      <c r="J150" s="40"/>
      <c r="K150" s="40"/>
      <c r="L150" s="40"/>
      <c r="M150" s="40"/>
      <c r="N150" s="9"/>
      <c r="O150" s="9"/>
      <c r="P150" s="9"/>
      <c r="Q150" s="9"/>
      <c r="R150" s="41"/>
      <c r="S150" s="9"/>
      <c r="T150" s="40"/>
      <c r="U150" s="9"/>
      <c r="V150" s="9"/>
      <c r="W150" s="9"/>
      <c r="X150" s="9"/>
      <c r="Y150" s="9"/>
      <c r="Z150" s="9"/>
      <c r="AA150" s="9"/>
      <c r="AB150" s="9"/>
      <c r="AC150" s="9"/>
      <c r="AD150" s="9"/>
      <c r="AE150" s="9"/>
      <c r="AF150" s="10" t="str">
        <f aca="false">IF(A150="","",SG_Criteria!$B$6&amp;SG_Criteria!$B$10&amp;"\"&amp;A150&amp;"\")</f>
        <v/>
      </c>
      <c r="AG150" s="10" t="str">
        <f aca="false">IF(A150="","",A150&amp;"_CAD.dwg")</f>
        <v/>
      </c>
      <c r="AH150" s="10" t="str">
        <f aca="false">IF(A150="","",A150&amp;"_DWG.pdf")</f>
        <v/>
      </c>
      <c r="AI150" s="10" t="str">
        <f aca="false">IF(A150="","",IF(AE150="Y",A150&amp;"_STAAD.std","n/a"))</f>
        <v/>
      </c>
      <c r="AJ150" s="10" t="str">
        <f aca="false">IF(A150="","",A150&amp;"_CALC.xlsx")</f>
        <v/>
      </c>
      <c r="AK150" s="10" t="str">
        <f aca="false">IF(A150="","",A150&amp;"_CALC.pdf")</f>
        <v/>
      </c>
      <c r="AL150" s="9"/>
      <c r="AM150" s="9"/>
      <c r="AN150" s="41"/>
      <c r="AO150" s="41"/>
      <c r="AP150" s="41"/>
      <c r="AQ150" s="41"/>
      <c r="AR150" s="41"/>
      <c r="AS150" s="38" t="str">
        <f aca="false">IF(C150="","",IF(LEN(IF(AND(S150&lt;&gt;"",IFERROR(VALUE(MID(S150,2,2)),0)&lt;SG_Criteria!$B$19),"FAIL: grade below C"&amp;SG_Criteria!$B$19&amp;". ","")&amp;IF(AND(T150&lt;&gt;"",T150&lt;SG_Criteria!$B$20),"FAIL: cover &lt; "&amp;SG_Criteria!$B$20&amp;" mm. ","")&amp;IF(AND(H150&lt;&gt;"",H150&lt;SG_Criteria!$B$39),"NOTE: min depth below PUB "&amp;SG_Criteria!$B$39&amp;" m. ","")&amp;IF(AND(LEFT(C150,8)="Standard",I150&gt;SG_Criteria!$B$42),"FAIL: PUB 001C covers manholes up to "&amp;SG_Criteria!$B$42&amp;" m deep only. ","")&amp;IF(AND(LEFT(C150,11)="Rectangular",J150&lt;SG_Criteria!$B$43),"NOTE: 004C is for sewers &gt;= "&amp;SG_Criteria!$B$43&amp;" dia. ","")&amp;IF(AND(LEFT(C150,7)="Precast",I150&lt;=SG_Criteria!$B$42),"NOTE: 006C is for manholes &gt; "&amp;SG_Criteria!$B$42&amp;" m deep. ","")&amp;IF(AND(J150&lt;&gt;"",J150&lt;SG_Criteria!$B$40,C150&lt;&gt;"Inspection Chamber"),"NOTE: public sewer min dia "&amp;SG_Criteria!$B$40&amp;" mm. ","")&amp;IF(AND(R150&lt;&gt;"",R150&lt;SG_Criteria!$B$44),"FAIL: uplift FOS below "&amp;SG_Criteria!$B$44&amp;". ",""))=0,"OK",IF(AND(S150&lt;&gt;"",IFERROR(VALUE(MID(S150,2,2)),0)&lt;SG_Criteria!$B$19),"FAIL: grade below C"&amp;SG_Criteria!$B$19&amp;". ","")&amp;IF(AND(T150&lt;&gt;"",T150&lt;SG_Criteria!$B$20),"FAIL: cover &lt; "&amp;SG_Criteria!$B$20&amp;" mm. ","")&amp;IF(AND(H150&lt;&gt;"",H150&lt;SG_Criteria!$B$39),"NOTE: min depth below PUB "&amp;SG_Criteria!$B$39&amp;" m. ","")&amp;IF(AND(LEFT(C150,8)="Standard",I150&gt;SG_Criteria!$B$42),"FAIL: PUB 001C covers manholes up to "&amp;SG_Criteria!$B$42&amp;" m deep only. ","")&amp;IF(AND(LEFT(C150,11)="Rectangular",J150&lt;SG_Criteria!$B$43),"NOTE: 004C is for sewers &gt;= "&amp;SG_Criteria!$B$43&amp;" dia. ","")&amp;IF(AND(LEFT(C150,7)="Precast",I150&lt;=SG_Criteria!$B$42),"NOTE: 006C is for manholes &gt; "&amp;SG_Criteria!$B$42&amp;" m deep. ","")&amp;IF(AND(J150&lt;&gt;"",J150&lt;SG_Criteria!$B$40,C150&lt;&gt;"Inspection Chamber"),"NOTE: public sewer min dia "&amp;SG_Criteria!$B$40&amp;" mm. ","")&amp;IF(AND(R150&lt;&gt;"",R150&lt;SG_Criteria!$B$44),"FAIL: uplift FOS below "&amp;SG_Criteria!$B$44&amp;". ","")))</f>
        <v/>
      </c>
      <c r="AT150" s="9"/>
      <c r="AU150" s="9"/>
      <c r="AV150" s="9"/>
      <c r="AW150" s="9"/>
      <c r="AX150" s="9"/>
      <c r="AY150" s="31"/>
      <c r="AZ150" s="10" t="str">
        <f aca="false">IF(C150="","",IF(AND(AB150="Approved",ISERROR(SEARCH("FAIL",AS150))),"Y","N"))</f>
        <v/>
      </c>
      <c r="BA150" s="10" t="str">
        <f aca="false">IF(C150="","",C150&amp;"|"&amp;I150&amp;"|"&amp;F150&amp;"|"&amp;AZ150)</f>
        <v/>
      </c>
    </row>
    <row r="151" customFormat="false" ht="15" hidden="false" customHeight="false" outlineLevel="0" collapsed="false">
      <c r="A151" s="10" t="str">
        <f aca="false">IF(C151="","","MH-"&amp;IFERROR(VLOOKUP(C151,Lists!$AB$4:$AC$20,2,0),"??")&amp;"-"&amp;TEXT(F151,"0000")&amp;IF(E151="Circular","D","x"&amp;TEXT(G151,"0000"))&amp;"-D"&amp;TEXT(I151*1000,"0000")&amp;"-"&amp;IFERROR(VLOOKUP(D151,Lists!$AE$4:$AF$16,2,0),"??")&amp;"-"&amp;AA151)</f>
        <v/>
      </c>
      <c r="B151" s="10" t="str">
        <f aca="false">IF(C151="","",C151&amp;", "&amp;D151&amp;", "&amp;IF(E151="Circular",F151&amp;" dia",F151&amp;" x "&amp;G151)&amp;", depth "&amp;TEXT(H151,"0.0")&amp;"-"&amp;TEXT(I151,"0.0")&amp;" m, pipe up to "&amp;J151&amp;" dia")</f>
        <v/>
      </c>
      <c r="C151" s="9"/>
      <c r="D151" s="9"/>
      <c r="E151" s="9"/>
      <c r="F151" s="40"/>
      <c r="G151" s="40"/>
      <c r="H151" s="43"/>
      <c r="I151" s="43"/>
      <c r="J151" s="40"/>
      <c r="K151" s="40"/>
      <c r="L151" s="40"/>
      <c r="M151" s="40"/>
      <c r="N151" s="9"/>
      <c r="O151" s="9"/>
      <c r="P151" s="9"/>
      <c r="Q151" s="9"/>
      <c r="R151" s="41"/>
      <c r="S151" s="9"/>
      <c r="T151" s="40"/>
      <c r="U151" s="9"/>
      <c r="V151" s="9"/>
      <c r="W151" s="9"/>
      <c r="X151" s="9"/>
      <c r="Y151" s="9"/>
      <c r="Z151" s="9"/>
      <c r="AA151" s="9"/>
      <c r="AB151" s="9"/>
      <c r="AC151" s="9"/>
      <c r="AD151" s="9"/>
      <c r="AE151" s="9"/>
      <c r="AF151" s="10" t="str">
        <f aca="false">IF(A151="","",SG_Criteria!$B$6&amp;SG_Criteria!$B$10&amp;"\"&amp;A151&amp;"\")</f>
        <v/>
      </c>
      <c r="AG151" s="10" t="str">
        <f aca="false">IF(A151="","",A151&amp;"_CAD.dwg")</f>
        <v/>
      </c>
      <c r="AH151" s="10" t="str">
        <f aca="false">IF(A151="","",A151&amp;"_DWG.pdf")</f>
        <v/>
      </c>
      <c r="AI151" s="10" t="str">
        <f aca="false">IF(A151="","",IF(AE151="Y",A151&amp;"_STAAD.std","n/a"))</f>
        <v/>
      </c>
      <c r="AJ151" s="10" t="str">
        <f aca="false">IF(A151="","",A151&amp;"_CALC.xlsx")</f>
        <v/>
      </c>
      <c r="AK151" s="10" t="str">
        <f aca="false">IF(A151="","",A151&amp;"_CALC.pdf")</f>
        <v/>
      </c>
      <c r="AL151" s="9"/>
      <c r="AM151" s="9"/>
      <c r="AN151" s="41"/>
      <c r="AO151" s="41"/>
      <c r="AP151" s="41"/>
      <c r="AQ151" s="41"/>
      <c r="AR151" s="41"/>
      <c r="AS151" s="38" t="str">
        <f aca="false">IF(C151="","",IF(LEN(IF(AND(S151&lt;&gt;"",IFERROR(VALUE(MID(S151,2,2)),0)&lt;SG_Criteria!$B$19),"FAIL: grade below C"&amp;SG_Criteria!$B$19&amp;". ","")&amp;IF(AND(T151&lt;&gt;"",T151&lt;SG_Criteria!$B$20),"FAIL: cover &lt; "&amp;SG_Criteria!$B$20&amp;" mm. ","")&amp;IF(AND(H151&lt;&gt;"",H151&lt;SG_Criteria!$B$39),"NOTE: min depth below PUB "&amp;SG_Criteria!$B$39&amp;" m. ","")&amp;IF(AND(LEFT(C151,8)="Standard",I151&gt;SG_Criteria!$B$42),"FAIL: PUB 001C covers manholes up to "&amp;SG_Criteria!$B$42&amp;" m deep only. ","")&amp;IF(AND(LEFT(C151,11)="Rectangular",J151&lt;SG_Criteria!$B$43),"NOTE: 004C is for sewers &gt;= "&amp;SG_Criteria!$B$43&amp;" dia. ","")&amp;IF(AND(LEFT(C151,7)="Precast",I151&lt;=SG_Criteria!$B$42),"NOTE: 006C is for manholes &gt; "&amp;SG_Criteria!$B$42&amp;" m deep. ","")&amp;IF(AND(J151&lt;&gt;"",J151&lt;SG_Criteria!$B$40,C151&lt;&gt;"Inspection Chamber"),"NOTE: public sewer min dia "&amp;SG_Criteria!$B$40&amp;" mm. ","")&amp;IF(AND(R151&lt;&gt;"",R151&lt;SG_Criteria!$B$44),"FAIL: uplift FOS below "&amp;SG_Criteria!$B$44&amp;". ",""))=0,"OK",IF(AND(S151&lt;&gt;"",IFERROR(VALUE(MID(S151,2,2)),0)&lt;SG_Criteria!$B$19),"FAIL: grade below C"&amp;SG_Criteria!$B$19&amp;". ","")&amp;IF(AND(T151&lt;&gt;"",T151&lt;SG_Criteria!$B$20),"FAIL: cover &lt; "&amp;SG_Criteria!$B$20&amp;" mm. ","")&amp;IF(AND(H151&lt;&gt;"",H151&lt;SG_Criteria!$B$39),"NOTE: min depth below PUB "&amp;SG_Criteria!$B$39&amp;" m. ","")&amp;IF(AND(LEFT(C151,8)="Standard",I151&gt;SG_Criteria!$B$42),"FAIL: PUB 001C covers manholes up to "&amp;SG_Criteria!$B$42&amp;" m deep only. ","")&amp;IF(AND(LEFT(C151,11)="Rectangular",J151&lt;SG_Criteria!$B$43),"NOTE: 004C is for sewers &gt;= "&amp;SG_Criteria!$B$43&amp;" dia. ","")&amp;IF(AND(LEFT(C151,7)="Precast",I151&lt;=SG_Criteria!$B$42),"NOTE: 006C is for manholes &gt; "&amp;SG_Criteria!$B$42&amp;" m deep. ","")&amp;IF(AND(J151&lt;&gt;"",J151&lt;SG_Criteria!$B$40,C151&lt;&gt;"Inspection Chamber"),"NOTE: public sewer min dia "&amp;SG_Criteria!$B$40&amp;" mm. ","")&amp;IF(AND(R151&lt;&gt;"",R151&lt;SG_Criteria!$B$44),"FAIL: uplift FOS below "&amp;SG_Criteria!$B$44&amp;". ","")))</f>
        <v/>
      </c>
      <c r="AT151" s="9"/>
      <c r="AU151" s="9"/>
      <c r="AV151" s="9"/>
      <c r="AW151" s="9"/>
      <c r="AX151" s="9"/>
      <c r="AY151" s="31"/>
      <c r="AZ151" s="10" t="str">
        <f aca="false">IF(C151="","",IF(AND(AB151="Approved",ISERROR(SEARCH("FAIL",AS151))),"Y","N"))</f>
        <v/>
      </c>
      <c r="BA151" s="10" t="str">
        <f aca="false">IF(C151="","",C151&amp;"|"&amp;I151&amp;"|"&amp;F151&amp;"|"&amp;AZ151)</f>
        <v/>
      </c>
    </row>
    <row r="152" customFormat="false" ht="15" hidden="false" customHeight="false" outlineLevel="0" collapsed="false">
      <c r="A152" s="10" t="str">
        <f aca="false">IF(C152="","","MH-"&amp;IFERROR(VLOOKUP(C152,Lists!$AB$4:$AC$20,2,0),"??")&amp;"-"&amp;TEXT(F152,"0000")&amp;IF(E152="Circular","D","x"&amp;TEXT(G152,"0000"))&amp;"-D"&amp;TEXT(I152*1000,"0000")&amp;"-"&amp;IFERROR(VLOOKUP(D152,Lists!$AE$4:$AF$16,2,0),"??")&amp;"-"&amp;AA152)</f>
        <v/>
      </c>
      <c r="B152" s="10" t="str">
        <f aca="false">IF(C152="","",C152&amp;", "&amp;D152&amp;", "&amp;IF(E152="Circular",F152&amp;" dia",F152&amp;" x "&amp;G152)&amp;", depth "&amp;TEXT(H152,"0.0")&amp;"-"&amp;TEXT(I152,"0.0")&amp;" m, pipe up to "&amp;J152&amp;" dia")</f>
        <v/>
      </c>
      <c r="C152" s="9"/>
      <c r="D152" s="9"/>
      <c r="E152" s="9"/>
      <c r="F152" s="40"/>
      <c r="G152" s="40"/>
      <c r="H152" s="43"/>
      <c r="I152" s="43"/>
      <c r="J152" s="40"/>
      <c r="K152" s="40"/>
      <c r="L152" s="40"/>
      <c r="M152" s="40"/>
      <c r="N152" s="9"/>
      <c r="O152" s="9"/>
      <c r="P152" s="9"/>
      <c r="Q152" s="9"/>
      <c r="R152" s="41"/>
      <c r="S152" s="9"/>
      <c r="T152" s="40"/>
      <c r="U152" s="9"/>
      <c r="V152" s="9"/>
      <c r="W152" s="9"/>
      <c r="X152" s="9"/>
      <c r="Y152" s="9"/>
      <c r="Z152" s="9"/>
      <c r="AA152" s="9"/>
      <c r="AB152" s="9"/>
      <c r="AC152" s="9"/>
      <c r="AD152" s="9"/>
      <c r="AE152" s="9"/>
      <c r="AF152" s="10" t="str">
        <f aca="false">IF(A152="","",SG_Criteria!$B$6&amp;SG_Criteria!$B$10&amp;"\"&amp;A152&amp;"\")</f>
        <v/>
      </c>
      <c r="AG152" s="10" t="str">
        <f aca="false">IF(A152="","",A152&amp;"_CAD.dwg")</f>
        <v/>
      </c>
      <c r="AH152" s="10" t="str">
        <f aca="false">IF(A152="","",A152&amp;"_DWG.pdf")</f>
        <v/>
      </c>
      <c r="AI152" s="10" t="str">
        <f aca="false">IF(A152="","",IF(AE152="Y",A152&amp;"_STAAD.std","n/a"))</f>
        <v/>
      </c>
      <c r="AJ152" s="10" t="str">
        <f aca="false">IF(A152="","",A152&amp;"_CALC.xlsx")</f>
        <v/>
      </c>
      <c r="AK152" s="10" t="str">
        <f aca="false">IF(A152="","",A152&amp;"_CALC.pdf")</f>
        <v/>
      </c>
      <c r="AL152" s="9"/>
      <c r="AM152" s="9"/>
      <c r="AN152" s="41"/>
      <c r="AO152" s="41"/>
      <c r="AP152" s="41"/>
      <c r="AQ152" s="41"/>
      <c r="AR152" s="41"/>
      <c r="AS152" s="38" t="str">
        <f aca="false">IF(C152="","",IF(LEN(IF(AND(S152&lt;&gt;"",IFERROR(VALUE(MID(S152,2,2)),0)&lt;SG_Criteria!$B$19),"FAIL: grade below C"&amp;SG_Criteria!$B$19&amp;". ","")&amp;IF(AND(T152&lt;&gt;"",T152&lt;SG_Criteria!$B$20),"FAIL: cover &lt; "&amp;SG_Criteria!$B$20&amp;" mm. ","")&amp;IF(AND(H152&lt;&gt;"",H152&lt;SG_Criteria!$B$39),"NOTE: min depth below PUB "&amp;SG_Criteria!$B$39&amp;" m. ","")&amp;IF(AND(LEFT(C152,8)="Standard",I152&gt;SG_Criteria!$B$42),"FAIL: PUB 001C covers manholes up to "&amp;SG_Criteria!$B$42&amp;" m deep only. ","")&amp;IF(AND(LEFT(C152,11)="Rectangular",J152&lt;SG_Criteria!$B$43),"NOTE: 004C is for sewers &gt;= "&amp;SG_Criteria!$B$43&amp;" dia. ","")&amp;IF(AND(LEFT(C152,7)="Precast",I152&lt;=SG_Criteria!$B$42),"NOTE: 006C is for manholes &gt; "&amp;SG_Criteria!$B$42&amp;" m deep. ","")&amp;IF(AND(J152&lt;&gt;"",J152&lt;SG_Criteria!$B$40,C152&lt;&gt;"Inspection Chamber"),"NOTE: public sewer min dia "&amp;SG_Criteria!$B$40&amp;" mm. ","")&amp;IF(AND(R152&lt;&gt;"",R152&lt;SG_Criteria!$B$44),"FAIL: uplift FOS below "&amp;SG_Criteria!$B$44&amp;". ",""))=0,"OK",IF(AND(S152&lt;&gt;"",IFERROR(VALUE(MID(S152,2,2)),0)&lt;SG_Criteria!$B$19),"FAIL: grade below C"&amp;SG_Criteria!$B$19&amp;". ","")&amp;IF(AND(T152&lt;&gt;"",T152&lt;SG_Criteria!$B$20),"FAIL: cover &lt; "&amp;SG_Criteria!$B$20&amp;" mm. ","")&amp;IF(AND(H152&lt;&gt;"",H152&lt;SG_Criteria!$B$39),"NOTE: min depth below PUB "&amp;SG_Criteria!$B$39&amp;" m. ","")&amp;IF(AND(LEFT(C152,8)="Standard",I152&gt;SG_Criteria!$B$42),"FAIL: PUB 001C covers manholes up to "&amp;SG_Criteria!$B$42&amp;" m deep only. ","")&amp;IF(AND(LEFT(C152,11)="Rectangular",J152&lt;SG_Criteria!$B$43),"NOTE: 004C is for sewers &gt;= "&amp;SG_Criteria!$B$43&amp;" dia. ","")&amp;IF(AND(LEFT(C152,7)="Precast",I152&lt;=SG_Criteria!$B$42),"NOTE: 006C is for manholes &gt; "&amp;SG_Criteria!$B$42&amp;" m deep. ","")&amp;IF(AND(J152&lt;&gt;"",J152&lt;SG_Criteria!$B$40,C152&lt;&gt;"Inspection Chamber"),"NOTE: public sewer min dia "&amp;SG_Criteria!$B$40&amp;" mm. ","")&amp;IF(AND(R152&lt;&gt;"",R152&lt;SG_Criteria!$B$44),"FAIL: uplift FOS below "&amp;SG_Criteria!$B$44&amp;". ","")))</f>
        <v/>
      </c>
      <c r="AT152" s="9"/>
      <c r="AU152" s="9"/>
      <c r="AV152" s="9"/>
      <c r="AW152" s="9"/>
      <c r="AX152" s="9"/>
      <c r="AY152" s="31"/>
      <c r="AZ152" s="10" t="str">
        <f aca="false">IF(C152="","",IF(AND(AB152="Approved",ISERROR(SEARCH("FAIL",AS152))),"Y","N"))</f>
        <v/>
      </c>
      <c r="BA152" s="10" t="str">
        <f aca="false">IF(C152="","",C152&amp;"|"&amp;I152&amp;"|"&amp;F152&amp;"|"&amp;AZ152)</f>
        <v/>
      </c>
    </row>
    <row r="153" customFormat="false" ht="15" hidden="false" customHeight="false" outlineLevel="0" collapsed="false">
      <c r="A153" s="10" t="str">
        <f aca="false">IF(C153="","","MH-"&amp;IFERROR(VLOOKUP(C153,Lists!$AB$4:$AC$20,2,0),"??")&amp;"-"&amp;TEXT(F153,"0000")&amp;IF(E153="Circular","D","x"&amp;TEXT(G153,"0000"))&amp;"-D"&amp;TEXT(I153*1000,"0000")&amp;"-"&amp;IFERROR(VLOOKUP(D153,Lists!$AE$4:$AF$16,2,0),"??")&amp;"-"&amp;AA153)</f>
        <v/>
      </c>
      <c r="B153" s="10" t="str">
        <f aca="false">IF(C153="","",C153&amp;", "&amp;D153&amp;", "&amp;IF(E153="Circular",F153&amp;" dia",F153&amp;" x "&amp;G153)&amp;", depth "&amp;TEXT(H153,"0.0")&amp;"-"&amp;TEXT(I153,"0.0")&amp;" m, pipe up to "&amp;J153&amp;" dia")</f>
        <v/>
      </c>
      <c r="C153" s="9"/>
      <c r="D153" s="9"/>
      <c r="E153" s="9"/>
      <c r="F153" s="40"/>
      <c r="G153" s="40"/>
      <c r="H153" s="43"/>
      <c r="I153" s="43"/>
      <c r="J153" s="40"/>
      <c r="K153" s="40"/>
      <c r="L153" s="40"/>
      <c r="M153" s="40"/>
      <c r="N153" s="9"/>
      <c r="O153" s="9"/>
      <c r="P153" s="9"/>
      <c r="Q153" s="9"/>
      <c r="R153" s="41"/>
      <c r="S153" s="9"/>
      <c r="T153" s="40"/>
      <c r="U153" s="9"/>
      <c r="V153" s="9"/>
      <c r="W153" s="9"/>
      <c r="X153" s="9"/>
      <c r="Y153" s="9"/>
      <c r="Z153" s="9"/>
      <c r="AA153" s="9"/>
      <c r="AB153" s="9"/>
      <c r="AC153" s="9"/>
      <c r="AD153" s="9"/>
      <c r="AE153" s="9"/>
      <c r="AF153" s="10" t="str">
        <f aca="false">IF(A153="","",SG_Criteria!$B$6&amp;SG_Criteria!$B$10&amp;"\"&amp;A153&amp;"\")</f>
        <v/>
      </c>
      <c r="AG153" s="10" t="str">
        <f aca="false">IF(A153="","",A153&amp;"_CAD.dwg")</f>
        <v/>
      </c>
      <c r="AH153" s="10" t="str">
        <f aca="false">IF(A153="","",A153&amp;"_DWG.pdf")</f>
        <v/>
      </c>
      <c r="AI153" s="10" t="str">
        <f aca="false">IF(A153="","",IF(AE153="Y",A153&amp;"_STAAD.std","n/a"))</f>
        <v/>
      </c>
      <c r="AJ153" s="10" t="str">
        <f aca="false">IF(A153="","",A153&amp;"_CALC.xlsx")</f>
        <v/>
      </c>
      <c r="AK153" s="10" t="str">
        <f aca="false">IF(A153="","",A153&amp;"_CALC.pdf")</f>
        <v/>
      </c>
      <c r="AL153" s="9"/>
      <c r="AM153" s="9"/>
      <c r="AN153" s="41"/>
      <c r="AO153" s="41"/>
      <c r="AP153" s="41"/>
      <c r="AQ153" s="41"/>
      <c r="AR153" s="41"/>
      <c r="AS153" s="38" t="str">
        <f aca="false">IF(C153="","",IF(LEN(IF(AND(S153&lt;&gt;"",IFERROR(VALUE(MID(S153,2,2)),0)&lt;SG_Criteria!$B$19),"FAIL: grade below C"&amp;SG_Criteria!$B$19&amp;". ","")&amp;IF(AND(T153&lt;&gt;"",T153&lt;SG_Criteria!$B$20),"FAIL: cover &lt; "&amp;SG_Criteria!$B$20&amp;" mm. ","")&amp;IF(AND(H153&lt;&gt;"",H153&lt;SG_Criteria!$B$39),"NOTE: min depth below PUB "&amp;SG_Criteria!$B$39&amp;" m. ","")&amp;IF(AND(LEFT(C153,8)="Standard",I153&gt;SG_Criteria!$B$42),"FAIL: PUB 001C covers manholes up to "&amp;SG_Criteria!$B$42&amp;" m deep only. ","")&amp;IF(AND(LEFT(C153,11)="Rectangular",J153&lt;SG_Criteria!$B$43),"NOTE: 004C is for sewers &gt;= "&amp;SG_Criteria!$B$43&amp;" dia. ","")&amp;IF(AND(LEFT(C153,7)="Precast",I153&lt;=SG_Criteria!$B$42),"NOTE: 006C is for manholes &gt; "&amp;SG_Criteria!$B$42&amp;" m deep. ","")&amp;IF(AND(J153&lt;&gt;"",J153&lt;SG_Criteria!$B$40,C153&lt;&gt;"Inspection Chamber"),"NOTE: public sewer min dia "&amp;SG_Criteria!$B$40&amp;" mm. ","")&amp;IF(AND(R153&lt;&gt;"",R153&lt;SG_Criteria!$B$44),"FAIL: uplift FOS below "&amp;SG_Criteria!$B$44&amp;". ",""))=0,"OK",IF(AND(S153&lt;&gt;"",IFERROR(VALUE(MID(S153,2,2)),0)&lt;SG_Criteria!$B$19),"FAIL: grade below C"&amp;SG_Criteria!$B$19&amp;". ","")&amp;IF(AND(T153&lt;&gt;"",T153&lt;SG_Criteria!$B$20),"FAIL: cover &lt; "&amp;SG_Criteria!$B$20&amp;" mm. ","")&amp;IF(AND(H153&lt;&gt;"",H153&lt;SG_Criteria!$B$39),"NOTE: min depth below PUB "&amp;SG_Criteria!$B$39&amp;" m. ","")&amp;IF(AND(LEFT(C153,8)="Standard",I153&gt;SG_Criteria!$B$42),"FAIL: PUB 001C covers manholes up to "&amp;SG_Criteria!$B$42&amp;" m deep only. ","")&amp;IF(AND(LEFT(C153,11)="Rectangular",J153&lt;SG_Criteria!$B$43),"NOTE: 004C is for sewers &gt;= "&amp;SG_Criteria!$B$43&amp;" dia. ","")&amp;IF(AND(LEFT(C153,7)="Precast",I153&lt;=SG_Criteria!$B$42),"NOTE: 006C is for manholes &gt; "&amp;SG_Criteria!$B$42&amp;" m deep. ","")&amp;IF(AND(J153&lt;&gt;"",J153&lt;SG_Criteria!$B$40,C153&lt;&gt;"Inspection Chamber"),"NOTE: public sewer min dia "&amp;SG_Criteria!$B$40&amp;" mm. ","")&amp;IF(AND(R153&lt;&gt;"",R153&lt;SG_Criteria!$B$44),"FAIL: uplift FOS below "&amp;SG_Criteria!$B$44&amp;". ","")))</f>
        <v/>
      </c>
      <c r="AT153" s="9"/>
      <c r="AU153" s="9"/>
      <c r="AV153" s="9"/>
      <c r="AW153" s="9"/>
      <c r="AX153" s="9"/>
      <c r="AY153" s="31"/>
      <c r="AZ153" s="10" t="str">
        <f aca="false">IF(C153="","",IF(AND(AB153="Approved",ISERROR(SEARCH("FAIL",AS153))),"Y","N"))</f>
        <v/>
      </c>
      <c r="BA153" s="10" t="str">
        <f aca="false">IF(C153="","",C153&amp;"|"&amp;I153&amp;"|"&amp;F153&amp;"|"&amp;AZ153)</f>
        <v/>
      </c>
    </row>
    <row r="154" customFormat="false" ht="15" hidden="false" customHeight="false" outlineLevel="0" collapsed="false">
      <c r="A154" s="10" t="str">
        <f aca="false">IF(C154="","","MH-"&amp;IFERROR(VLOOKUP(C154,Lists!$AB$4:$AC$20,2,0),"??")&amp;"-"&amp;TEXT(F154,"0000")&amp;IF(E154="Circular","D","x"&amp;TEXT(G154,"0000"))&amp;"-D"&amp;TEXT(I154*1000,"0000")&amp;"-"&amp;IFERROR(VLOOKUP(D154,Lists!$AE$4:$AF$16,2,0),"??")&amp;"-"&amp;AA154)</f>
        <v/>
      </c>
      <c r="B154" s="10" t="str">
        <f aca="false">IF(C154="","",C154&amp;", "&amp;D154&amp;", "&amp;IF(E154="Circular",F154&amp;" dia",F154&amp;" x "&amp;G154)&amp;", depth "&amp;TEXT(H154,"0.0")&amp;"-"&amp;TEXT(I154,"0.0")&amp;" m, pipe up to "&amp;J154&amp;" dia")</f>
        <v/>
      </c>
      <c r="C154" s="9"/>
      <c r="D154" s="9"/>
      <c r="E154" s="9"/>
      <c r="F154" s="40"/>
      <c r="G154" s="40"/>
      <c r="H154" s="43"/>
      <c r="I154" s="43"/>
      <c r="J154" s="40"/>
      <c r="K154" s="40"/>
      <c r="L154" s="40"/>
      <c r="M154" s="40"/>
      <c r="N154" s="9"/>
      <c r="O154" s="9"/>
      <c r="P154" s="9"/>
      <c r="Q154" s="9"/>
      <c r="R154" s="41"/>
      <c r="S154" s="9"/>
      <c r="T154" s="40"/>
      <c r="U154" s="9"/>
      <c r="V154" s="9"/>
      <c r="W154" s="9"/>
      <c r="X154" s="9"/>
      <c r="Y154" s="9"/>
      <c r="Z154" s="9"/>
      <c r="AA154" s="9"/>
      <c r="AB154" s="9"/>
      <c r="AC154" s="9"/>
      <c r="AD154" s="9"/>
      <c r="AE154" s="9"/>
      <c r="AF154" s="10" t="str">
        <f aca="false">IF(A154="","",SG_Criteria!$B$6&amp;SG_Criteria!$B$10&amp;"\"&amp;A154&amp;"\")</f>
        <v/>
      </c>
      <c r="AG154" s="10" t="str">
        <f aca="false">IF(A154="","",A154&amp;"_CAD.dwg")</f>
        <v/>
      </c>
      <c r="AH154" s="10" t="str">
        <f aca="false">IF(A154="","",A154&amp;"_DWG.pdf")</f>
        <v/>
      </c>
      <c r="AI154" s="10" t="str">
        <f aca="false">IF(A154="","",IF(AE154="Y",A154&amp;"_STAAD.std","n/a"))</f>
        <v/>
      </c>
      <c r="AJ154" s="10" t="str">
        <f aca="false">IF(A154="","",A154&amp;"_CALC.xlsx")</f>
        <v/>
      </c>
      <c r="AK154" s="10" t="str">
        <f aca="false">IF(A154="","",A154&amp;"_CALC.pdf")</f>
        <v/>
      </c>
      <c r="AL154" s="9"/>
      <c r="AM154" s="9"/>
      <c r="AN154" s="41"/>
      <c r="AO154" s="41"/>
      <c r="AP154" s="41"/>
      <c r="AQ154" s="41"/>
      <c r="AR154" s="41"/>
      <c r="AS154" s="38" t="str">
        <f aca="false">IF(C154="","",IF(LEN(IF(AND(S154&lt;&gt;"",IFERROR(VALUE(MID(S154,2,2)),0)&lt;SG_Criteria!$B$19),"FAIL: grade below C"&amp;SG_Criteria!$B$19&amp;". ","")&amp;IF(AND(T154&lt;&gt;"",T154&lt;SG_Criteria!$B$20),"FAIL: cover &lt; "&amp;SG_Criteria!$B$20&amp;" mm. ","")&amp;IF(AND(H154&lt;&gt;"",H154&lt;SG_Criteria!$B$39),"NOTE: min depth below PUB "&amp;SG_Criteria!$B$39&amp;" m. ","")&amp;IF(AND(LEFT(C154,8)="Standard",I154&gt;SG_Criteria!$B$42),"FAIL: PUB 001C covers manholes up to "&amp;SG_Criteria!$B$42&amp;" m deep only. ","")&amp;IF(AND(LEFT(C154,11)="Rectangular",J154&lt;SG_Criteria!$B$43),"NOTE: 004C is for sewers &gt;= "&amp;SG_Criteria!$B$43&amp;" dia. ","")&amp;IF(AND(LEFT(C154,7)="Precast",I154&lt;=SG_Criteria!$B$42),"NOTE: 006C is for manholes &gt; "&amp;SG_Criteria!$B$42&amp;" m deep. ","")&amp;IF(AND(J154&lt;&gt;"",J154&lt;SG_Criteria!$B$40,C154&lt;&gt;"Inspection Chamber"),"NOTE: public sewer min dia "&amp;SG_Criteria!$B$40&amp;" mm. ","")&amp;IF(AND(R154&lt;&gt;"",R154&lt;SG_Criteria!$B$44),"FAIL: uplift FOS below "&amp;SG_Criteria!$B$44&amp;". ",""))=0,"OK",IF(AND(S154&lt;&gt;"",IFERROR(VALUE(MID(S154,2,2)),0)&lt;SG_Criteria!$B$19),"FAIL: grade below C"&amp;SG_Criteria!$B$19&amp;". ","")&amp;IF(AND(T154&lt;&gt;"",T154&lt;SG_Criteria!$B$20),"FAIL: cover &lt; "&amp;SG_Criteria!$B$20&amp;" mm. ","")&amp;IF(AND(H154&lt;&gt;"",H154&lt;SG_Criteria!$B$39),"NOTE: min depth below PUB "&amp;SG_Criteria!$B$39&amp;" m. ","")&amp;IF(AND(LEFT(C154,8)="Standard",I154&gt;SG_Criteria!$B$42),"FAIL: PUB 001C covers manholes up to "&amp;SG_Criteria!$B$42&amp;" m deep only. ","")&amp;IF(AND(LEFT(C154,11)="Rectangular",J154&lt;SG_Criteria!$B$43),"NOTE: 004C is for sewers &gt;= "&amp;SG_Criteria!$B$43&amp;" dia. ","")&amp;IF(AND(LEFT(C154,7)="Precast",I154&lt;=SG_Criteria!$B$42),"NOTE: 006C is for manholes &gt; "&amp;SG_Criteria!$B$42&amp;" m deep. ","")&amp;IF(AND(J154&lt;&gt;"",J154&lt;SG_Criteria!$B$40,C154&lt;&gt;"Inspection Chamber"),"NOTE: public sewer min dia "&amp;SG_Criteria!$B$40&amp;" mm. ","")&amp;IF(AND(R154&lt;&gt;"",R154&lt;SG_Criteria!$B$44),"FAIL: uplift FOS below "&amp;SG_Criteria!$B$44&amp;". ","")))</f>
        <v/>
      </c>
      <c r="AT154" s="9"/>
      <c r="AU154" s="9"/>
      <c r="AV154" s="9"/>
      <c r="AW154" s="9"/>
      <c r="AX154" s="9"/>
      <c r="AY154" s="31"/>
      <c r="AZ154" s="10" t="str">
        <f aca="false">IF(C154="","",IF(AND(AB154="Approved",ISERROR(SEARCH("FAIL",AS154))),"Y","N"))</f>
        <v/>
      </c>
      <c r="BA154" s="10" t="str">
        <f aca="false">IF(C154="","",C154&amp;"|"&amp;I154&amp;"|"&amp;F154&amp;"|"&amp;AZ154)</f>
        <v/>
      </c>
    </row>
    <row r="155" customFormat="false" ht="15" hidden="false" customHeight="false" outlineLevel="0" collapsed="false">
      <c r="A155" s="10" t="str">
        <f aca="false">IF(C155="","","MH-"&amp;IFERROR(VLOOKUP(C155,Lists!$AB$4:$AC$20,2,0),"??")&amp;"-"&amp;TEXT(F155,"0000")&amp;IF(E155="Circular","D","x"&amp;TEXT(G155,"0000"))&amp;"-D"&amp;TEXT(I155*1000,"0000")&amp;"-"&amp;IFERROR(VLOOKUP(D155,Lists!$AE$4:$AF$16,2,0),"??")&amp;"-"&amp;AA155)</f>
        <v/>
      </c>
      <c r="B155" s="10" t="str">
        <f aca="false">IF(C155="","",C155&amp;", "&amp;D155&amp;", "&amp;IF(E155="Circular",F155&amp;" dia",F155&amp;" x "&amp;G155)&amp;", depth "&amp;TEXT(H155,"0.0")&amp;"-"&amp;TEXT(I155,"0.0")&amp;" m, pipe up to "&amp;J155&amp;" dia")</f>
        <v/>
      </c>
      <c r="C155" s="9"/>
      <c r="D155" s="9"/>
      <c r="E155" s="9"/>
      <c r="F155" s="40"/>
      <c r="G155" s="40"/>
      <c r="H155" s="43"/>
      <c r="I155" s="43"/>
      <c r="J155" s="40"/>
      <c r="K155" s="40"/>
      <c r="L155" s="40"/>
      <c r="M155" s="40"/>
      <c r="N155" s="9"/>
      <c r="O155" s="9"/>
      <c r="P155" s="9"/>
      <c r="Q155" s="9"/>
      <c r="R155" s="41"/>
      <c r="S155" s="9"/>
      <c r="T155" s="40"/>
      <c r="U155" s="9"/>
      <c r="V155" s="9"/>
      <c r="W155" s="9"/>
      <c r="X155" s="9"/>
      <c r="Y155" s="9"/>
      <c r="Z155" s="9"/>
      <c r="AA155" s="9"/>
      <c r="AB155" s="9"/>
      <c r="AC155" s="9"/>
      <c r="AD155" s="9"/>
      <c r="AE155" s="9"/>
      <c r="AF155" s="10" t="str">
        <f aca="false">IF(A155="","",SG_Criteria!$B$6&amp;SG_Criteria!$B$10&amp;"\"&amp;A155&amp;"\")</f>
        <v/>
      </c>
      <c r="AG155" s="10" t="str">
        <f aca="false">IF(A155="","",A155&amp;"_CAD.dwg")</f>
        <v/>
      </c>
      <c r="AH155" s="10" t="str">
        <f aca="false">IF(A155="","",A155&amp;"_DWG.pdf")</f>
        <v/>
      </c>
      <c r="AI155" s="10" t="str">
        <f aca="false">IF(A155="","",IF(AE155="Y",A155&amp;"_STAAD.std","n/a"))</f>
        <v/>
      </c>
      <c r="AJ155" s="10" t="str">
        <f aca="false">IF(A155="","",A155&amp;"_CALC.xlsx")</f>
        <v/>
      </c>
      <c r="AK155" s="10" t="str">
        <f aca="false">IF(A155="","",A155&amp;"_CALC.pdf")</f>
        <v/>
      </c>
      <c r="AL155" s="9"/>
      <c r="AM155" s="9"/>
      <c r="AN155" s="41"/>
      <c r="AO155" s="41"/>
      <c r="AP155" s="41"/>
      <c r="AQ155" s="41"/>
      <c r="AR155" s="41"/>
      <c r="AS155" s="38" t="str">
        <f aca="false">IF(C155="","",IF(LEN(IF(AND(S155&lt;&gt;"",IFERROR(VALUE(MID(S155,2,2)),0)&lt;SG_Criteria!$B$19),"FAIL: grade below C"&amp;SG_Criteria!$B$19&amp;". ","")&amp;IF(AND(T155&lt;&gt;"",T155&lt;SG_Criteria!$B$20),"FAIL: cover &lt; "&amp;SG_Criteria!$B$20&amp;" mm. ","")&amp;IF(AND(H155&lt;&gt;"",H155&lt;SG_Criteria!$B$39),"NOTE: min depth below PUB "&amp;SG_Criteria!$B$39&amp;" m. ","")&amp;IF(AND(LEFT(C155,8)="Standard",I155&gt;SG_Criteria!$B$42),"FAIL: PUB 001C covers manholes up to "&amp;SG_Criteria!$B$42&amp;" m deep only. ","")&amp;IF(AND(LEFT(C155,11)="Rectangular",J155&lt;SG_Criteria!$B$43),"NOTE: 004C is for sewers &gt;= "&amp;SG_Criteria!$B$43&amp;" dia. ","")&amp;IF(AND(LEFT(C155,7)="Precast",I155&lt;=SG_Criteria!$B$42),"NOTE: 006C is for manholes &gt; "&amp;SG_Criteria!$B$42&amp;" m deep. ","")&amp;IF(AND(J155&lt;&gt;"",J155&lt;SG_Criteria!$B$40,C155&lt;&gt;"Inspection Chamber"),"NOTE: public sewer min dia "&amp;SG_Criteria!$B$40&amp;" mm. ","")&amp;IF(AND(R155&lt;&gt;"",R155&lt;SG_Criteria!$B$44),"FAIL: uplift FOS below "&amp;SG_Criteria!$B$44&amp;". ",""))=0,"OK",IF(AND(S155&lt;&gt;"",IFERROR(VALUE(MID(S155,2,2)),0)&lt;SG_Criteria!$B$19),"FAIL: grade below C"&amp;SG_Criteria!$B$19&amp;". ","")&amp;IF(AND(T155&lt;&gt;"",T155&lt;SG_Criteria!$B$20),"FAIL: cover &lt; "&amp;SG_Criteria!$B$20&amp;" mm. ","")&amp;IF(AND(H155&lt;&gt;"",H155&lt;SG_Criteria!$B$39),"NOTE: min depth below PUB "&amp;SG_Criteria!$B$39&amp;" m. ","")&amp;IF(AND(LEFT(C155,8)="Standard",I155&gt;SG_Criteria!$B$42),"FAIL: PUB 001C covers manholes up to "&amp;SG_Criteria!$B$42&amp;" m deep only. ","")&amp;IF(AND(LEFT(C155,11)="Rectangular",J155&lt;SG_Criteria!$B$43),"NOTE: 004C is for sewers &gt;= "&amp;SG_Criteria!$B$43&amp;" dia. ","")&amp;IF(AND(LEFT(C155,7)="Precast",I155&lt;=SG_Criteria!$B$42),"NOTE: 006C is for manholes &gt; "&amp;SG_Criteria!$B$42&amp;" m deep. ","")&amp;IF(AND(J155&lt;&gt;"",J155&lt;SG_Criteria!$B$40,C155&lt;&gt;"Inspection Chamber"),"NOTE: public sewer min dia "&amp;SG_Criteria!$B$40&amp;" mm. ","")&amp;IF(AND(R155&lt;&gt;"",R155&lt;SG_Criteria!$B$44),"FAIL: uplift FOS below "&amp;SG_Criteria!$B$44&amp;". ","")))</f>
        <v/>
      </c>
      <c r="AT155" s="9"/>
      <c r="AU155" s="9"/>
      <c r="AV155" s="9"/>
      <c r="AW155" s="9"/>
      <c r="AX155" s="9"/>
      <c r="AY155" s="31"/>
      <c r="AZ155" s="10" t="str">
        <f aca="false">IF(C155="","",IF(AND(AB155="Approved",ISERROR(SEARCH("FAIL",AS155))),"Y","N"))</f>
        <v/>
      </c>
      <c r="BA155" s="10" t="str">
        <f aca="false">IF(C155="","",C155&amp;"|"&amp;I155&amp;"|"&amp;F155&amp;"|"&amp;AZ155)</f>
        <v/>
      </c>
    </row>
    <row r="156" customFormat="false" ht="15" hidden="false" customHeight="false" outlineLevel="0" collapsed="false">
      <c r="A156" s="10" t="str">
        <f aca="false">IF(C156="","","MH-"&amp;IFERROR(VLOOKUP(C156,Lists!$AB$4:$AC$20,2,0),"??")&amp;"-"&amp;TEXT(F156,"0000")&amp;IF(E156="Circular","D","x"&amp;TEXT(G156,"0000"))&amp;"-D"&amp;TEXT(I156*1000,"0000")&amp;"-"&amp;IFERROR(VLOOKUP(D156,Lists!$AE$4:$AF$16,2,0),"??")&amp;"-"&amp;AA156)</f>
        <v/>
      </c>
      <c r="B156" s="10" t="str">
        <f aca="false">IF(C156="","",C156&amp;", "&amp;D156&amp;", "&amp;IF(E156="Circular",F156&amp;" dia",F156&amp;" x "&amp;G156)&amp;", depth "&amp;TEXT(H156,"0.0")&amp;"-"&amp;TEXT(I156,"0.0")&amp;" m, pipe up to "&amp;J156&amp;" dia")</f>
        <v/>
      </c>
      <c r="C156" s="9"/>
      <c r="D156" s="9"/>
      <c r="E156" s="9"/>
      <c r="F156" s="40"/>
      <c r="G156" s="40"/>
      <c r="H156" s="43"/>
      <c r="I156" s="43"/>
      <c r="J156" s="40"/>
      <c r="K156" s="40"/>
      <c r="L156" s="40"/>
      <c r="M156" s="40"/>
      <c r="N156" s="9"/>
      <c r="O156" s="9"/>
      <c r="P156" s="9"/>
      <c r="Q156" s="9"/>
      <c r="R156" s="41"/>
      <c r="S156" s="9"/>
      <c r="T156" s="40"/>
      <c r="U156" s="9"/>
      <c r="V156" s="9"/>
      <c r="W156" s="9"/>
      <c r="X156" s="9"/>
      <c r="Y156" s="9"/>
      <c r="Z156" s="9"/>
      <c r="AA156" s="9"/>
      <c r="AB156" s="9"/>
      <c r="AC156" s="9"/>
      <c r="AD156" s="9"/>
      <c r="AE156" s="9"/>
      <c r="AF156" s="10" t="str">
        <f aca="false">IF(A156="","",SG_Criteria!$B$6&amp;SG_Criteria!$B$10&amp;"\"&amp;A156&amp;"\")</f>
        <v/>
      </c>
      <c r="AG156" s="10" t="str">
        <f aca="false">IF(A156="","",A156&amp;"_CAD.dwg")</f>
        <v/>
      </c>
      <c r="AH156" s="10" t="str">
        <f aca="false">IF(A156="","",A156&amp;"_DWG.pdf")</f>
        <v/>
      </c>
      <c r="AI156" s="10" t="str">
        <f aca="false">IF(A156="","",IF(AE156="Y",A156&amp;"_STAAD.std","n/a"))</f>
        <v/>
      </c>
      <c r="AJ156" s="10" t="str">
        <f aca="false">IF(A156="","",A156&amp;"_CALC.xlsx")</f>
        <v/>
      </c>
      <c r="AK156" s="10" t="str">
        <f aca="false">IF(A156="","",A156&amp;"_CALC.pdf")</f>
        <v/>
      </c>
      <c r="AL156" s="9"/>
      <c r="AM156" s="9"/>
      <c r="AN156" s="41"/>
      <c r="AO156" s="41"/>
      <c r="AP156" s="41"/>
      <c r="AQ156" s="41"/>
      <c r="AR156" s="41"/>
      <c r="AS156" s="38" t="str">
        <f aca="false">IF(C156="","",IF(LEN(IF(AND(S156&lt;&gt;"",IFERROR(VALUE(MID(S156,2,2)),0)&lt;SG_Criteria!$B$19),"FAIL: grade below C"&amp;SG_Criteria!$B$19&amp;". ","")&amp;IF(AND(T156&lt;&gt;"",T156&lt;SG_Criteria!$B$20),"FAIL: cover &lt; "&amp;SG_Criteria!$B$20&amp;" mm. ","")&amp;IF(AND(H156&lt;&gt;"",H156&lt;SG_Criteria!$B$39),"NOTE: min depth below PUB "&amp;SG_Criteria!$B$39&amp;" m. ","")&amp;IF(AND(LEFT(C156,8)="Standard",I156&gt;SG_Criteria!$B$42),"FAIL: PUB 001C covers manholes up to "&amp;SG_Criteria!$B$42&amp;" m deep only. ","")&amp;IF(AND(LEFT(C156,11)="Rectangular",J156&lt;SG_Criteria!$B$43),"NOTE: 004C is for sewers &gt;= "&amp;SG_Criteria!$B$43&amp;" dia. ","")&amp;IF(AND(LEFT(C156,7)="Precast",I156&lt;=SG_Criteria!$B$42),"NOTE: 006C is for manholes &gt; "&amp;SG_Criteria!$B$42&amp;" m deep. ","")&amp;IF(AND(J156&lt;&gt;"",J156&lt;SG_Criteria!$B$40,C156&lt;&gt;"Inspection Chamber"),"NOTE: public sewer min dia "&amp;SG_Criteria!$B$40&amp;" mm. ","")&amp;IF(AND(R156&lt;&gt;"",R156&lt;SG_Criteria!$B$44),"FAIL: uplift FOS below "&amp;SG_Criteria!$B$44&amp;". ",""))=0,"OK",IF(AND(S156&lt;&gt;"",IFERROR(VALUE(MID(S156,2,2)),0)&lt;SG_Criteria!$B$19),"FAIL: grade below C"&amp;SG_Criteria!$B$19&amp;". ","")&amp;IF(AND(T156&lt;&gt;"",T156&lt;SG_Criteria!$B$20),"FAIL: cover &lt; "&amp;SG_Criteria!$B$20&amp;" mm. ","")&amp;IF(AND(H156&lt;&gt;"",H156&lt;SG_Criteria!$B$39),"NOTE: min depth below PUB "&amp;SG_Criteria!$B$39&amp;" m. ","")&amp;IF(AND(LEFT(C156,8)="Standard",I156&gt;SG_Criteria!$B$42),"FAIL: PUB 001C covers manholes up to "&amp;SG_Criteria!$B$42&amp;" m deep only. ","")&amp;IF(AND(LEFT(C156,11)="Rectangular",J156&lt;SG_Criteria!$B$43),"NOTE: 004C is for sewers &gt;= "&amp;SG_Criteria!$B$43&amp;" dia. ","")&amp;IF(AND(LEFT(C156,7)="Precast",I156&lt;=SG_Criteria!$B$42),"NOTE: 006C is for manholes &gt; "&amp;SG_Criteria!$B$42&amp;" m deep. ","")&amp;IF(AND(J156&lt;&gt;"",J156&lt;SG_Criteria!$B$40,C156&lt;&gt;"Inspection Chamber"),"NOTE: public sewer min dia "&amp;SG_Criteria!$B$40&amp;" mm. ","")&amp;IF(AND(R156&lt;&gt;"",R156&lt;SG_Criteria!$B$44),"FAIL: uplift FOS below "&amp;SG_Criteria!$B$44&amp;". ","")))</f>
        <v/>
      </c>
      <c r="AT156" s="9"/>
      <c r="AU156" s="9"/>
      <c r="AV156" s="9"/>
      <c r="AW156" s="9"/>
      <c r="AX156" s="9"/>
      <c r="AY156" s="31"/>
      <c r="AZ156" s="10" t="str">
        <f aca="false">IF(C156="","",IF(AND(AB156="Approved",ISERROR(SEARCH("FAIL",AS156))),"Y","N"))</f>
        <v/>
      </c>
      <c r="BA156" s="10" t="str">
        <f aca="false">IF(C156="","",C156&amp;"|"&amp;I156&amp;"|"&amp;F156&amp;"|"&amp;AZ156)</f>
        <v/>
      </c>
    </row>
    <row r="157" customFormat="false" ht="15" hidden="false" customHeight="false" outlineLevel="0" collapsed="false">
      <c r="A157" s="10" t="str">
        <f aca="false">IF(C157="","","MH-"&amp;IFERROR(VLOOKUP(C157,Lists!$AB$4:$AC$20,2,0),"??")&amp;"-"&amp;TEXT(F157,"0000")&amp;IF(E157="Circular","D","x"&amp;TEXT(G157,"0000"))&amp;"-D"&amp;TEXT(I157*1000,"0000")&amp;"-"&amp;IFERROR(VLOOKUP(D157,Lists!$AE$4:$AF$16,2,0),"??")&amp;"-"&amp;AA157)</f>
        <v/>
      </c>
      <c r="B157" s="10" t="str">
        <f aca="false">IF(C157="","",C157&amp;", "&amp;D157&amp;", "&amp;IF(E157="Circular",F157&amp;" dia",F157&amp;" x "&amp;G157)&amp;", depth "&amp;TEXT(H157,"0.0")&amp;"-"&amp;TEXT(I157,"0.0")&amp;" m, pipe up to "&amp;J157&amp;" dia")</f>
        <v/>
      </c>
      <c r="C157" s="9"/>
      <c r="D157" s="9"/>
      <c r="E157" s="9"/>
      <c r="F157" s="40"/>
      <c r="G157" s="40"/>
      <c r="H157" s="43"/>
      <c r="I157" s="43"/>
      <c r="J157" s="40"/>
      <c r="K157" s="40"/>
      <c r="L157" s="40"/>
      <c r="M157" s="40"/>
      <c r="N157" s="9"/>
      <c r="O157" s="9"/>
      <c r="P157" s="9"/>
      <c r="Q157" s="9"/>
      <c r="R157" s="41"/>
      <c r="S157" s="9"/>
      <c r="T157" s="40"/>
      <c r="U157" s="9"/>
      <c r="V157" s="9"/>
      <c r="W157" s="9"/>
      <c r="X157" s="9"/>
      <c r="Y157" s="9"/>
      <c r="Z157" s="9"/>
      <c r="AA157" s="9"/>
      <c r="AB157" s="9"/>
      <c r="AC157" s="9"/>
      <c r="AD157" s="9"/>
      <c r="AE157" s="9"/>
      <c r="AF157" s="10" t="str">
        <f aca="false">IF(A157="","",SG_Criteria!$B$6&amp;SG_Criteria!$B$10&amp;"\"&amp;A157&amp;"\")</f>
        <v/>
      </c>
      <c r="AG157" s="10" t="str">
        <f aca="false">IF(A157="","",A157&amp;"_CAD.dwg")</f>
        <v/>
      </c>
      <c r="AH157" s="10" t="str">
        <f aca="false">IF(A157="","",A157&amp;"_DWG.pdf")</f>
        <v/>
      </c>
      <c r="AI157" s="10" t="str">
        <f aca="false">IF(A157="","",IF(AE157="Y",A157&amp;"_STAAD.std","n/a"))</f>
        <v/>
      </c>
      <c r="AJ157" s="10" t="str">
        <f aca="false">IF(A157="","",A157&amp;"_CALC.xlsx")</f>
        <v/>
      </c>
      <c r="AK157" s="10" t="str">
        <f aca="false">IF(A157="","",A157&amp;"_CALC.pdf")</f>
        <v/>
      </c>
      <c r="AL157" s="9"/>
      <c r="AM157" s="9"/>
      <c r="AN157" s="41"/>
      <c r="AO157" s="41"/>
      <c r="AP157" s="41"/>
      <c r="AQ157" s="41"/>
      <c r="AR157" s="41"/>
      <c r="AS157" s="38" t="str">
        <f aca="false">IF(C157="","",IF(LEN(IF(AND(S157&lt;&gt;"",IFERROR(VALUE(MID(S157,2,2)),0)&lt;SG_Criteria!$B$19),"FAIL: grade below C"&amp;SG_Criteria!$B$19&amp;". ","")&amp;IF(AND(T157&lt;&gt;"",T157&lt;SG_Criteria!$B$20),"FAIL: cover &lt; "&amp;SG_Criteria!$B$20&amp;" mm. ","")&amp;IF(AND(H157&lt;&gt;"",H157&lt;SG_Criteria!$B$39),"NOTE: min depth below PUB "&amp;SG_Criteria!$B$39&amp;" m. ","")&amp;IF(AND(LEFT(C157,8)="Standard",I157&gt;SG_Criteria!$B$42),"FAIL: PUB 001C covers manholes up to "&amp;SG_Criteria!$B$42&amp;" m deep only. ","")&amp;IF(AND(LEFT(C157,11)="Rectangular",J157&lt;SG_Criteria!$B$43),"NOTE: 004C is for sewers &gt;= "&amp;SG_Criteria!$B$43&amp;" dia. ","")&amp;IF(AND(LEFT(C157,7)="Precast",I157&lt;=SG_Criteria!$B$42),"NOTE: 006C is for manholes &gt; "&amp;SG_Criteria!$B$42&amp;" m deep. ","")&amp;IF(AND(J157&lt;&gt;"",J157&lt;SG_Criteria!$B$40,C157&lt;&gt;"Inspection Chamber"),"NOTE: public sewer min dia "&amp;SG_Criteria!$B$40&amp;" mm. ","")&amp;IF(AND(R157&lt;&gt;"",R157&lt;SG_Criteria!$B$44),"FAIL: uplift FOS below "&amp;SG_Criteria!$B$44&amp;". ",""))=0,"OK",IF(AND(S157&lt;&gt;"",IFERROR(VALUE(MID(S157,2,2)),0)&lt;SG_Criteria!$B$19),"FAIL: grade below C"&amp;SG_Criteria!$B$19&amp;". ","")&amp;IF(AND(T157&lt;&gt;"",T157&lt;SG_Criteria!$B$20),"FAIL: cover &lt; "&amp;SG_Criteria!$B$20&amp;" mm. ","")&amp;IF(AND(H157&lt;&gt;"",H157&lt;SG_Criteria!$B$39),"NOTE: min depth below PUB "&amp;SG_Criteria!$B$39&amp;" m. ","")&amp;IF(AND(LEFT(C157,8)="Standard",I157&gt;SG_Criteria!$B$42),"FAIL: PUB 001C covers manholes up to "&amp;SG_Criteria!$B$42&amp;" m deep only. ","")&amp;IF(AND(LEFT(C157,11)="Rectangular",J157&lt;SG_Criteria!$B$43),"NOTE: 004C is for sewers &gt;= "&amp;SG_Criteria!$B$43&amp;" dia. ","")&amp;IF(AND(LEFT(C157,7)="Precast",I157&lt;=SG_Criteria!$B$42),"NOTE: 006C is for manholes &gt; "&amp;SG_Criteria!$B$42&amp;" m deep. ","")&amp;IF(AND(J157&lt;&gt;"",J157&lt;SG_Criteria!$B$40,C157&lt;&gt;"Inspection Chamber"),"NOTE: public sewer min dia "&amp;SG_Criteria!$B$40&amp;" mm. ","")&amp;IF(AND(R157&lt;&gt;"",R157&lt;SG_Criteria!$B$44),"FAIL: uplift FOS below "&amp;SG_Criteria!$B$44&amp;". ","")))</f>
        <v/>
      </c>
      <c r="AT157" s="9"/>
      <c r="AU157" s="9"/>
      <c r="AV157" s="9"/>
      <c r="AW157" s="9"/>
      <c r="AX157" s="9"/>
      <c r="AY157" s="31"/>
      <c r="AZ157" s="10" t="str">
        <f aca="false">IF(C157="","",IF(AND(AB157="Approved",ISERROR(SEARCH("FAIL",AS157))),"Y","N"))</f>
        <v/>
      </c>
      <c r="BA157" s="10" t="str">
        <f aca="false">IF(C157="","",C157&amp;"|"&amp;I157&amp;"|"&amp;F157&amp;"|"&amp;AZ157)</f>
        <v/>
      </c>
    </row>
    <row r="158" customFormat="false" ht="15" hidden="false" customHeight="false" outlineLevel="0" collapsed="false">
      <c r="A158" s="10" t="str">
        <f aca="false">IF(C158="","","MH-"&amp;IFERROR(VLOOKUP(C158,Lists!$AB$4:$AC$20,2,0),"??")&amp;"-"&amp;TEXT(F158,"0000")&amp;IF(E158="Circular","D","x"&amp;TEXT(G158,"0000"))&amp;"-D"&amp;TEXT(I158*1000,"0000")&amp;"-"&amp;IFERROR(VLOOKUP(D158,Lists!$AE$4:$AF$16,2,0),"??")&amp;"-"&amp;AA158)</f>
        <v/>
      </c>
      <c r="B158" s="10" t="str">
        <f aca="false">IF(C158="","",C158&amp;", "&amp;D158&amp;", "&amp;IF(E158="Circular",F158&amp;" dia",F158&amp;" x "&amp;G158)&amp;", depth "&amp;TEXT(H158,"0.0")&amp;"-"&amp;TEXT(I158,"0.0")&amp;" m, pipe up to "&amp;J158&amp;" dia")</f>
        <v/>
      </c>
      <c r="C158" s="9"/>
      <c r="D158" s="9"/>
      <c r="E158" s="9"/>
      <c r="F158" s="40"/>
      <c r="G158" s="40"/>
      <c r="H158" s="43"/>
      <c r="I158" s="43"/>
      <c r="J158" s="40"/>
      <c r="K158" s="40"/>
      <c r="L158" s="40"/>
      <c r="M158" s="40"/>
      <c r="N158" s="9"/>
      <c r="O158" s="9"/>
      <c r="P158" s="9"/>
      <c r="Q158" s="9"/>
      <c r="R158" s="41"/>
      <c r="S158" s="9"/>
      <c r="T158" s="40"/>
      <c r="U158" s="9"/>
      <c r="V158" s="9"/>
      <c r="W158" s="9"/>
      <c r="X158" s="9"/>
      <c r="Y158" s="9"/>
      <c r="Z158" s="9"/>
      <c r="AA158" s="9"/>
      <c r="AB158" s="9"/>
      <c r="AC158" s="9"/>
      <c r="AD158" s="9"/>
      <c r="AE158" s="9"/>
      <c r="AF158" s="10" t="str">
        <f aca="false">IF(A158="","",SG_Criteria!$B$6&amp;SG_Criteria!$B$10&amp;"\"&amp;A158&amp;"\")</f>
        <v/>
      </c>
      <c r="AG158" s="10" t="str">
        <f aca="false">IF(A158="","",A158&amp;"_CAD.dwg")</f>
        <v/>
      </c>
      <c r="AH158" s="10" t="str">
        <f aca="false">IF(A158="","",A158&amp;"_DWG.pdf")</f>
        <v/>
      </c>
      <c r="AI158" s="10" t="str">
        <f aca="false">IF(A158="","",IF(AE158="Y",A158&amp;"_STAAD.std","n/a"))</f>
        <v/>
      </c>
      <c r="AJ158" s="10" t="str">
        <f aca="false">IF(A158="","",A158&amp;"_CALC.xlsx")</f>
        <v/>
      </c>
      <c r="AK158" s="10" t="str">
        <f aca="false">IF(A158="","",A158&amp;"_CALC.pdf")</f>
        <v/>
      </c>
      <c r="AL158" s="9"/>
      <c r="AM158" s="9"/>
      <c r="AN158" s="41"/>
      <c r="AO158" s="41"/>
      <c r="AP158" s="41"/>
      <c r="AQ158" s="41"/>
      <c r="AR158" s="41"/>
      <c r="AS158" s="38" t="str">
        <f aca="false">IF(C158="","",IF(LEN(IF(AND(S158&lt;&gt;"",IFERROR(VALUE(MID(S158,2,2)),0)&lt;SG_Criteria!$B$19),"FAIL: grade below C"&amp;SG_Criteria!$B$19&amp;". ","")&amp;IF(AND(T158&lt;&gt;"",T158&lt;SG_Criteria!$B$20),"FAIL: cover &lt; "&amp;SG_Criteria!$B$20&amp;" mm. ","")&amp;IF(AND(H158&lt;&gt;"",H158&lt;SG_Criteria!$B$39),"NOTE: min depth below PUB "&amp;SG_Criteria!$B$39&amp;" m. ","")&amp;IF(AND(LEFT(C158,8)="Standard",I158&gt;SG_Criteria!$B$42),"FAIL: PUB 001C covers manholes up to "&amp;SG_Criteria!$B$42&amp;" m deep only. ","")&amp;IF(AND(LEFT(C158,11)="Rectangular",J158&lt;SG_Criteria!$B$43),"NOTE: 004C is for sewers &gt;= "&amp;SG_Criteria!$B$43&amp;" dia. ","")&amp;IF(AND(LEFT(C158,7)="Precast",I158&lt;=SG_Criteria!$B$42),"NOTE: 006C is for manholes &gt; "&amp;SG_Criteria!$B$42&amp;" m deep. ","")&amp;IF(AND(J158&lt;&gt;"",J158&lt;SG_Criteria!$B$40,C158&lt;&gt;"Inspection Chamber"),"NOTE: public sewer min dia "&amp;SG_Criteria!$B$40&amp;" mm. ","")&amp;IF(AND(R158&lt;&gt;"",R158&lt;SG_Criteria!$B$44),"FAIL: uplift FOS below "&amp;SG_Criteria!$B$44&amp;". ",""))=0,"OK",IF(AND(S158&lt;&gt;"",IFERROR(VALUE(MID(S158,2,2)),0)&lt;SG_Criteria!$B$19),"FAIL: grade below C"&amp;SG_Criteria!$B$19&amp;". ","")&amp;IF(AND(T158&lt;&gt;"",T158&lt;SG_Criteria!$B$20),"FAIL: cover &lt; "&amp;SG_Criteria!$B$20&amp;" mm. ","")&amp;IF(AND(H158&lt;&gt;"",H158&lt;SG_Criteria!$B$39),"NOTE: min depth below PUB "&amp;SG_Criteria!$B$39&amp;" m. ","")&amp;IF(AND(LEFT(C158,8)="Standard",I158&gt;SG_Criteria!$B$42),"FAIL: PUB 001C covers manholes up to "&amp;SG_Criteria!$B$42&amp;" m deep only. ","")&amp;IF(AND(LEFT(C158,11)="Rectangular",J158&lt;SG_Criteria!$B$43),"NOTE: 004C is for sewers &gt;= "&amp;SG_Criteria!$B$43&amp;" dia. ","")&amp;IF(AND(LEFT(C158,7)="Precast",I158&lt;=SG_Criteria!$B$42),"NOTE: 006C is for manholes &gt; "&amp;SG_Criteria!$B$42&amp;" m deep. ","")&amp;IF(AND(J158&lt;&gt;"",J158&lt;SG_Criteria!$B$40,C158&lt;&gt;"Inspection Chamber"),"NOTE: public sewer min dia "&amp;SG_Criteria!$B$40&amp;" mm. ","")&amp;IF(AND(R158&lt;&gt;"",R158&lt;SG_Criteria!$B$44),"FAIL: uplift FOS below "&amp;SG_Criteria!$B$44&amp;". ","")))</f>
        <v/>
      </c>
      <c r="AT158" s="9"/>
      <c r="AU158" s="9"/>
      <c r="AV158" s="9"/>
      <c r="AW158" s="9"/>
      <c r="AX158" s="9"/>
      <c r="AY158" s="31"/>
      <c r="AZ158" s="10" t="str">
        <f aca="false">IF(C158="","",IF(AND(AB158="Approved",ISERROR(SEARCH("FAIL",AS158))),"Y","N"))</f>
        <v/>
      </c>
      <c r="BA158" s="10" t="str">
        <f aca="false">IF(C158="","",C158&amp;"|"&amp;I158&amp;"|"&amp;F158&amp;"|"&amp;AZ158)</f>
        <v/>
      </c>
    </row>
    <row r="159" customFormat="false" ht="15" hidden="false" customHeight="false" outlineLevel="0" collapsed="false">
      <c r="A159" s="10" t="str">
        <f aca="false">IF(C159="","","MH-"&amp;IFERROR(VLOOKUP(C159,Lists!$AB$4:$AC$20,2,0),"??")&amp;"-"&amp;TEXT(F159,"0000")&amp;IF(E159="Circular","D","x"&amp;TEXT(G159,"0000"))&amp;"-D"&amp;TEXT(I159*1000,"0000")&amp;"-"&amp;IFERROR(VLOOKUP(D159,Lists!$AE$4:$AF$16,2,0),"??")&amp;"-"&amp;AA159)</f>
        <v/>
      </c>
      <c r="B159" s="10" t="str">
        <f aca="false">IF(C159="","",C159&amp;", "&amp;D159&amp;", "&amp;IF(E159="Circular",F159&amp;" dia",F159&amp;" x "&amp;G159)&amp;", depth "&amp;TEXT(H159,"0.0")&amp;"-"&amp;TEXT(I159,"0.0")&amp;" m, pipe up to "&amp;J159&amp;" dia")</f>
        <v/>
      </c>
      <c r="C159" s="9"/>
      <c r="D159" s="9"/>
      <c r="E159" s="9"/>
      <c r="F159" s="40"/>
      <c r="G159" s="40"/>
      <c r="H159" s="43"/>
      <c r="I159" s="43"/>
      <c r="J159" s="40"/>
      <c r="K159" s="40"/>
      <c r="L159" s="40"/>
      <c r="M159" s="40"/>
      <c r="N159" s="9"/>
      <c r="O159" s="9"/>
      <c r="P159" s="9"/>
      <c r="Q159" s="9"/>
      <c r="R159" s="41"/>
      <c r="S159" s="9"/>
      <c r="T159" s="40"/>
      <c r="U159" s="9"/>
      <c r="V159" s="9"/>
      <c r="W159" s="9"/>
      <c r="X159" s="9"/>
      <c r="Y159" s="9"/>
      <c r="Z159" s="9"/>
      <c r="AA159" s="9"/>
      <c r="AB159" s="9"/>
      <c r="AC159" s="9"/>
      <c r="AD159" s="9"/>
      <c r="AE159" s="9"/>
      <c r="AF159" s="10" t="str">
        <f aca="false">IF(A159="","",SG_Criteria!$B$6&amp;SG_Criteria!$B$10&amp;"\"&amp;A159&amp;"\")</f>
        <v/>
      </c>
      <c r="AG159" s="10" t="str">
        <f aca="false">IF(A159="","",A159&amp;"_CAD.dwg")</f>
        <v/>
      </c>
      <c r="AH159" s="10" t="str">
        <f aca="false">IF(A159="","",A159&amp;"_DWG.pdf")</f>
        <v/>
      </c>
      <c r="AI159" s="10" t="str">
        <f aca="false">IF(A159="","",IF(AE159="Y",A159&amp;"_STAAD.std","n/a"))</f>
        <v/>
      </c>
      <c r="AJ159" s="10" t="str">
        <f aca="false">IF(A159="","",A159&amp;"_CALC.xlsx")</f>
        <v/>
      </c>
      <c r="AK159" s="10" t="str">
        <f aca="false">IF(A159="","",A159&amp;"_CALC.pdf")</f>
        <v/>
      </c>
      <c r="AL159" s="9"/>
      <c r="AM159" s="9"/>
      <c r="AN159" s="41"/>
      <c r="AO159" s="41"/>
      <c r="AP159" s="41"/>
      <c r="AQ159" s="41"/>
      <c r="AR159" s="41"/>
      <c r="AS159" s="38" t="str">
        <f aca="false">IF(C159="","",IF(LEN(IF(AND(S159&lt;&gt;"",IFERROR(VALUE(MID(S159,2,2)),0)&lt;SG_Criteria!$B$19),"FAIL: grade below C"&amp;SG_Criteria!$B$19&amp;". ","")&amp;IF(AND(T159&lt;&gt;"",T159&lt;SG_Criteria!$B$20),"FAIL: cover &lt; "&amp;SG_Criteria!$B$20&amp;" mm. ","")&amp;IF(AND(H159&lt;&gt;"",H159&lt;SG_Criteria!$B$39),"NOTE: min depth below PUB "&amp;SG_Criteria!$B$39&amp;" m. ","")&amp;IF(AND(LEFT(C159,8)="Standard",I159&gt;SG_Criteria!$B$42),"FAIL: PUB 001C covers manholes up to "&amp;SG_Criteria!$B$42&amp;" m deep only. ","")&amp;IF(AND(LEFT(C159,11)="Rectangular",J159&lt;SG_Criteria!$B$43),"NOTE: 004C is for sewers &gt;= "&amp;SG_Criteria!$B$43&amp;" dia. ","")&amp;IF(AND(LEFT(C159,7)="Precast",I159&lt;=SG_Criteria!$B$42),"NOTE: 006C is for manholes &gt; "&amp;SG_Criteria!$B$42&amp;" m deep. ","")&amp;IF(AND(J159&lt;&gt;"",J159&lt;SG_Criteria!$B$40,C159&lt;&gt;"Inspection Chamber"),"NOTE: public sewer min dia "&amp;SG_Criteria!$B$40&amp;" mm. ","")&amp;IF(AND(R159&lt;&gt;"",R159&lt;SG_Criteria!$B$44),"FAIL: uplift FOS below "&amp;SG_Criteria!$B$44&amp;". ",""))=0,"OK",IF(AND(S159&lt;&gt;"",IFERROR(VALUE(MID(S159,2,2)),0)&lt;SG_Criteria!$B$19),"FAIL: grade below C"&amp;SG_Criteria!$B$19&amp;". ","")&amp;IF(AND(T159&lt;&gt;"",T159&lt;SG_Criteria!$B$20),"FAIL: cover &lt; "&amp;SG_Criteria!$B$20&amp;" mm. ","")&amp;IF(AND(H159&lt;&gt;"",H159&lt;SG_Criteria!$B$39),"NOTE: min depth below PUB "&amp;SG_Criteria!$B$39&amp;" m. ","")&amp;IF(AND(LEFT(C159,8)="Standard",I159&gt;SG_Criteria!$B$42),"FAIL: PUB 001C covers manholes up to "&amp;SG_Criteria!$B$42&amp;" m deep only. ","")&amp;IF(AND(LEFT(C159,11)="Rectangular",J159&lt;SG_Criteria!$B$43),"NOTE: 004C is for sewers &gt;= "&amp;SG_Criteria!$B$43&amp;" dia. ","")&amp;IF(AND(LEFT(C159,7)="Precast",I159&lt;=SG_Criteria!$B$42),"NOTE: 006C is for manholes &gt; "&amp;SG_Criteria!$B$42&amp;" m deep. ","")&amp;IF(AND(J159&lt;&gt;"",J159&lt;SG_Criteria!$B$40,C159&lt;&gt;"Inspection Chamber"),"NOTE: public sewer min dia "&amp;SG_Criteria!$B$40&amp;" mm. ","")&amp;IF(AND(R159&lt;&gt;"",R159&lt;SG_Criteria!$B$44),"FAIL: uplift FOS below "&amp;SG_Criteria!$B$44&amp;". ","")))</f>
        <v/>
      </c>
      <c r="AT159" s="9"/>
      <c r="AU159" s="9"/>
      <c r="AV159" s="9"/>
      <c r="AW159" s="9"/>
      <c r="AX159" s="9"/>
      <c r="AY159" s="31"/>
      <c r="AZ159" s="10" t="str">
        <f aca="false">IF(C159="","",IF(AND(AB159="Approved",ISERROR(SEARCH("FAIL",AS159))),"Y","N"))</f>
        <v/>
      </c>
      <c r="BA159" s="10" t="str">
        <f aca="false">IF(C159="","",C159&amp;"|"&amp;I159&amp;"|"&amp;F159&amp;"|"&amp;AZ159)</f>
        <v/>
      </c>
    </row>
    <row r="160" customFormat="false" ht="15" hidden="false" customHeight="false" outlineLevel="0" collapsed="false">
      <c r="A160" s="10" t="str">
        <f aca="false">IF(C160="","","MH-"&amp;IFERROR(VLOOKUP(C160,Lists!$AB$4:$AC$20,2,0),"??")&amp;"-"&amp;TEXT(F160,"0000")&amp;IF(E160="Circular","D","x"&amp;TEXT(G160,"0000"))&amp;"-D"&amp;TEXT(I160*1000,"0000")&amp;"-"&amp;IFERROR(VLOOKUP(D160,Lists!$AE$4:$AF$16,2,0),"??")&amp;"-"&amp;AA160)</f>
        <v/>
      </c>
      <c r="B160" s="10" t="str">
        <f aca="false">IF(C160="","",C160&amp;", "&amp;D160&amp;", "&amp;IF(E160="Circular",F160&amp;" dia",F160&amp;" x "&amp;G160)&amp;", depth "&amp;TEXT(H160,"0.0")&amp;"-"&amp;TEXT(I160,"0.0")&amp;" m, pipe up to "&amp;J160&amp;" dia")</f>
        <v/>
      </c>
      <c r="C160" s="9"/>
      <c r="D160" s="9"/>
      <c r="E160" s="9"/>
      <c r="F160" s="40"/>
      <c r="G160" s="40"/>
      <c r="H160" s="43"/>
      <c r="I160" s="43"/>
      <c r="J160" s="40"/>
      <c r="K160" s="40"/>
      <c r="L160" s="40"/>
      <c r="M160" s="40"/>
      <c r="N160" s="9"/>
      <c r="O160" s="9"/>
      <c r="P160" s="9"/>
      <c r="Q160" s="9"/>
      <c r="R160" s="41"/>
      <c r="S160" s="9"/>
      <c r="T160" s="40"/>
      <c r="U160" s="9"/>
      <c r="V160" s="9"/>
      <c r="W160" s="9"/>
      <c r="X160" s="9"/>
      <c r="Y160" s="9"/>
      <c r="Z160" s="9"/>
      <c r="AA160" s="9"/>
      <c r="AB160" s="9"/>
      <c r="AC160" s="9"/>
      <c r="AD160" s="9"/>
      <c r="AE160" s="9"/>
      <c r="AF160" s="10" t="str">
        <f aca="false">IF(A160="","",SG_Criteria!$B$6&amp;SG_Criteria!$B$10&amp;"\"&amp;A160&amp;"\")</f>
        <v/>
      </c>
      <c r="AG160" s="10" t="str">
        <f aca="false">IF(A160="","",A160&amp;"_CAD.dwg")</f>
        <v/>
      </c>
      <c r="AH160" s="10" t="str">
        <f aca="false">IF(A160="","",A160&amp;"_DWG.pdf")</f>
        <v/>
      </c>
      <c r="AI160" s="10" t="str">
        <f aca="false">IF(A160="","",IF(AE160="Y",A160&amp;"_STAAD.std","n/a"))</f>
        <v/>
      </c>
      <c r="AJ160" s="10" t="str">
        <f aca="false">IF(A160="","",A160&amp;"_CALC.xlsx")</f>
        <v/>
      </c>
      <c r="AK160" s="10" t="str">
        <f aca="false">IF(A160="","",A160&amp;"_CALC.pdf")</f>
        <v/>
      </c>
      <c r="AL160" s="9"/>
      <c r="AM160" s="9"/>
      <c r="AN160" s="41"/>
      <c r="AO160" s="41"/>
      <c r="AP160" s="41"/>
      <c r="AQ160" s="41"/>
      <c r="AR160" s="41"/>
      <c r="AS160" s="38" t="str">
        <f aca="false">IF(C160="","",IF(LEN(IF(AND(S160&lt;&gt;"",IFERROR(VALUE(MID(S160,2,2)),0)&lt;SG_Criteria!$B$19),"FAIL: grade below C"&amp;SG_Criteria!$B$19&amp;". ","")&amp;IF(AND(T160&lt;&gt;"",T160&lt;SG_Criteria!$B$20),"FAIL: cover &lt; "&amp;SG_Criteria!$B$20&amp;" mm. ","")&amp;IF(AND(H160&lt;&gt;"",H160&lt;SG_Criteria!$B$39),"NOTE: min depth below PUB "&amp;SG_Criteria!$B$39&amp;" m. ","")&amp;IF(AND(LEFT(C160,8)="Standard",I160&gt;SG_Criteria!$B$42),"FAIL: PUB 001C covers manholes up to "&amp;SG_Criteria!$B$42&amp;" m deep only. ","")&amp;IF(AND(LEFT(C160,11)="Rectangular",J160&lt;SG_Criteria!$B$43),"NOTE: 004C is for sewers &gt;= "&amp;SG_Criteria!$B$43&amp;" dia. ","")&amp;IF(AND(LEFT(C160,7)="Precast",I160&lt;=SG_Criteria!$B$42),"NOTE: 006C is for manholes &gt; "&amp;SG_Criteria!$B$42&amp;" m deep. ","")&amp;IF(AND(J160&lt;&gt;"",J160&lt;SG_Criteria!$B$40,C160&lt;&gt;"Inspection Chamber"),"NOTE: public sewer min dia "&amp;SG_Criteria!$B$40&amp;" mm. ","")&amp;IF(AND(R160&lt;&gt;"",R160&lt;SG_Criteria!$B$44),"FAIL: uplift FOS below "&amp;SG_Criteria!$B$44&amp;". ",""))=0,"OK",IF(AND(S160&lt;&gt;"",IFERROR(VALUE(MID(S160,2,2)),0)&lt;SG_Criteria!$B$19),"FAIL: grade below C"&amp;SG_Criteria!$B$19&amp;". ","")&amp;IF(AND(T160&lt;&gt;"",T160&lt;SG_Criteria!$B$20),"FAIL: cover &lt; "&amp;SG_Criteria!$B$20&amp;" mm. ","")&amp;IF(AND(H160&lt;&gt;"",H160&lt;SG_Criteria!$B$39),"NOTE: min depth below PUB "&amp;SG_Criteria!$B$39&amp;" m. ","")&amp;IF(AND(LEFT(C160,8)="Standard",I160&gt;SG_Criteria!$B$42),"FAIL: PUB 001C covers manholes up to "&amp;SG_Criteria!$B$42&amp;" m deep only. ","")&amp;IF(AND(LEFT(C160,11)="Rectangular",J160&lt;SG_Criteria!$B$43),"NOTE: 004C is for sewers &gt;= "&amp;SG_Criteria!$B$43&amp;" dia. ","")&amp;IF(AND(LEFT(C160,7)="Precast",I160&lt;=SG_Criteria!$B$42),"NOTE: 006C is for manholes &gt; "&amp;SG_Criteria!$B$42&amp;" m deep. ","")&amp;IF(AND(J160&lt;&gt;"",J160&lt;SG_Criteria!$B$40,C160&lt;&gt;"Inspection Chamber"),"NOTE: public sewer min dia "&amp;SG_Criteria!$B$40&amp;" mm. ","")&amp;IF(AND(R160&lt;&gt;"",R160&lt;SG_Criteria!$B$44),"FAIL: uplift FOS below "&amp;SG_Criteria!$B$44&amp;". ","")))</f>
        <v/>
      </c>
      <c r="AT160" s="9"/>
      <c r="AU160" s="9"/>
      <c r="AV160" s="9"/>
      <c r="AW160" s="9"/>
      <c r="AX160" s="9"/>
      <c r="AY160" s="31"/>
      <c r="AZ160" s="10" t="str">
        <f aca="false">IF(C160="","",IF(AND(AB160="Approved",ISERROR(SEARCH("FAIL",AS160))),"Y","N"))</f>
        <v/>
      </c>
      <c r="BA160" s="10" t="str">
        <f aca="false">IF(C160="","",C160&amp;"|"&amp;I160&amp;"|"&amp;F160&amp;"|"&amp;AZ160)</f>
        <v/>
      </c>
    </row>
    <row r="161" customFormat="false" ht="15" hidden="false" customHeight="false" outlineLevel="0" collapsed="false">
      <c r="A161" s="10" t="str">
        <f aca="false">IF(C161="","","MH-"&amp;IFERROR(VLOOKUP(C161,Lists!$AB$4:$AC$20,2,0),"??")&amp;"-"&amp;TEXT(F161,"0000")&amp;IF(E161="Circular","D","x"&amp;TEXT(G161,"0000"))&amp;"-D"&amp;TEXT(I161*1000,"0000")&amp;"-"&amp;IFERROR(VLOOKUP(D161,Lists!$AE$4:$AF$16,2,0),"??")&amp;"-"&amp;AA161)</f>
        <v/>
      </c>
      <c r="B161" s="10" t="str">
        <f aca="false">IF(C161="","",C161&amp;", "&amp;D161&amp;", "&amp;IF(E161="Circular",F161&amp;" dia",F161&amp;" x "&amp;G161)&amp;", depth "&amp;TEXT(H161,"0.0")&amp;"-"&amp;TEXT(I161,"0.0")&amp;" m, pipe up to "&amp;J161&amp;" dia")</f>
        <v/>
      </c>
      <c r="C161" s="9"/>
      <c r="D161" s="9"/>
      <c r="E161" s="9"/>
      <c r="F161" s="40"/>
      <c r="G161" s="40"/>
      <c r="H161" s="43"/>
      <c r="I161" s="43"/>
      <c r="J161" s="40"/>
      <c r="K161" s="40"/>
      <c r="L161" s="40"/>
      <c r="M161" s="40"/>
      <c r="N161" s="9"/>
      <c r="O161" s="9"/>
      <c r="P161" s="9"/>
      <c r="Q161" s="9"/>
      <c r="R161" s="41"/>
      <c r="S161" s="9"/>
      <c r="T161" s="40"/>
      <c r="U161" s="9"/>
      <c r="V161" s="9"/>
      <c r="W161" s="9"/>
      <c r="X161" s="9"/>
      <c r="Y161" s="9"/>
      <c r="Z161" s="9"/>
      <c r="AA161" s="9"/>
      <c r="AB161" s="9"/>
      <c r="AC161" s="9"/>
      <c r="AD161" s="9"/>
      <c r="AE161" s="9"/>
      <c r="AF161" s="10" t="str">
        <f aca="false">IF(A161="","",SG_Criteria!$B$6&amp;SG_Criteria!$B$10&amp;"\"&amp;A161&amp;"\")</f>
        <v/>
      </c>
      <c r="AG161" s="10" t="str">
        <f aca="false">IF(A161="","",A161&amp;"_CAD.dwg")</f>
        <v/>
      </c>
      <c r="AH161" s="10" t="str">
        <f aca="false">IF(A161="","",A161&amp;"_DWG.pdf")</f>
        <v/>
      </c>
      <c r="AI161" s="10" t="str">
        <f aca="false">IF(A161="","",IF(AE161="Y",A161&amp;"_STAAD.std","n/a"))</f>
        <v/>
      </c>
      <c r="AJ161" s="10" t="str">
        <f aca="false">IF(A161="","",A161&amp;"_CALC.xlsx")</f>
        <v/>
      </c>
      <c r="AK161" s="10" t="str">
        <f aca="false">IF(A161="","",A161&amp;"_CALC.pdf")</f>
        <v/>
      </c>
      <c r="AL161" s="9"/>
      <c r="AM161" s="9"/>
      <c r="AN161" s="41"/>
      <c r="AO161" s="41"/>
      <c r="AP161" s="41"/>
      <c r="AQ161" s="41"/>
      <c r="AR161" s="41"/>
      <c r="AS161" s="38" t="str">
        <f aca="false">IF(C161="","",IF(LEN(IF(AND(S161&lt;&gt;"",IFERROR(VALUE(MID(S161,2,2)),0)&lt;SG_Criteria!$B$19),"FAIL: grade below C"&amp;SG_Criteria!$B$19&amp;". ","")&amp;IF(AND(T161&lt;&gt;"",T161&lt;SG_Criteria!$B$20),"FAIL: cover &lt; "&amp;SG_Criteria!$B$20&amp;" mm. ","")&amp;IF(AND(H161&lt;&gt;"",H161&lt;SG_Criteria!$B$39),"NOTE: min depth below PUB "&amp;SG_Criteria!$B$39&amp;" m. ","")&amp;IF(AND(LEFT(C161,8)="Standard",I161&gt;SG_Criteria!$B$42),"FAIL: PUB 001C covers manholes up to "&amp;SG_Criteria!$B$42&amp;" m deep only. ","")&amp;IF(AND(LEFT(C161,11)="Rectangular",J161&lt;SG_Criteria!$B$43),"NOTE: 004C is for sewers &gt;= "&amp;SG_Criteria!$B$43&amp;" dia. ","")&amp;IF(AND(LEFT(C161,7)="Precast",I161&lt;=SG_Criteria!$B$42),"NOTE: 006C is for manholes &gt; "&amp;SG_Criteria!$B$42&amp;" m deep. ","")&amp;IF(AND(J161&lt;&gt;"",J161&lt;SG_Criteria!$B$40,C161&lt;&gt;"Inspection Chamber"),"NOTE: public sewer min dia "&amp;SG_Criteria!$B$40&amp;" mm. ","")&amp;IF(AND(R161&lt;&gt;"",R161&lt;SG_Criteria!$B$44),"FAIL: uplift FOS below "&amp;SG_Criteria!$B$44&amp;". ",""))=0,"OK",IF(AND(S161&lt;&gt;"",IFERROR(VALUE(MID(S161,2,2)),0)&lt;SG_Criteria!$B$19),"FAIL: grade below C"&amp;SG_Criteria!$B$19&amp;". ","")&amp;IF(AND(T161&lt;&gt;"",T161&lt;SG_Criteria!$B$20),"FAIL: cover &lt; "&amp;SG_Criteria!$B$20&amp;" mm. ","")&amp;IF(AND(H161&lt;&gt;"",H161&lt;SG_Criteria!$B$39),"NOTE: min depth below PUB "&amp;SG_Criteria!$B$39&amp;" m. ","")&amp;IF(AND(LEFT(C161,8)="Standard",I161&gt;SG_Criteria!$B$42),"FAIL: PUB 001C covers manholes up to "&amp;SG_Criteria!$B$42&amp;" m deep only. ","")&amp;IF(AND(LEFT(C161,11)="Rectangular",J161&lt;SG_Criteria!$B$43),"NOTE: 004C is for sewers &gt;= "&amp;SG_Criteria!$B$43&amp;" dia. ","")&amp;IF(AND(LEFT(C161,7)="Precast",I161&lt;=SG_Criteria!$B$42),"NOTE: 006C is for manholes &gt; "&amp;SG_Criteria!$B$42&amp;" m deep. ","")&amp;IF(AND(J161&lt;&gt;"",J161&lt;SG_Criteria!$B$40,C161&lt;&gt;"Inspection Chamber"),"NOTE: public sewer min dia "&amp;SG_Criteria!$B$40&amp;" mm. ","")&amp;IF(AND(R161&lt;&gt;"",R161&lt;SG_Criteria!$B$44),"FAIL: uplift FOS below "&amp;SG_Criteria!$B$44&amp;". ","")))</f>
        <v/>
      </c>
      <c r="AT161" s="9"/>
      <c r="AU161" s="9"/>
      <c r="AV161" s="9"/>
      <c r="AW161" s="9"/>
      <c r="AX161" s="9"/>
      <c r="AY161" s="31"/>
      <c r="AZ161" s="10" t="str">
        <f aca="false">IF(C161="","",IF(AND(AB161="Approved",ISERROR(SEARCH("FAIL",AS161))),"Y","N"))</f>
        <v/>
      </c>
      <c r="BA161" s="10" t="str">
        <f aca="false">IF(C161="","",C161&amp;"|"&amp;I161&amp;"|"&amp;F161&amp;"|"&amp;AZ161)</f>
        <v/>
      </c>
    </row>
    <row r="162" customFormat="false" ht="15" hidden="false" customHeight="false" outlineLevel="0" collapsed="false">
      <c r="A162" s="10" t="str">
        <f aca="false">IF(C162="","","MH-"&amp;IFERROR(VLOOKUP(C162,Lists!$AB$4:$AC$20,2,0),"??")&amp;"-"&amp;TEXT(F162,"0000")&amp;IF(E162="Circular","D","x"&amp;TEXT(G162,"0000"))&amp;"-D"&amp;TEXT(I162*1000,"0000")&amp;"-"&amp;IFERROR(VLOOKUP(D162,Lists!$AE$4:$AF$16,2,0),"??")&amp;"-"&amp;AA162)</f>
        <v/>
      </c>
      <c r="B162" s="10" t="str">
        <f aca="false">IF(C162="","",C162&amp;", "&amp;D162&amp;", "&amp;IF(E162="Circular",F162&amp;" dia",F162&amp;" x "&amp;G162)&amp;", depth "&amp;TEXT(H162,"0.0")&amp;"-"&amp;TEXT(I162,"0.0")&amp;" m, pipe up to "&amp;J162&amp;" dia")</f>
        <v/>
      </c>
      <c r="C162" s="9"/>
      <c r="D162" s="9"/>
      <c r="E162" s="9"/>
      <c r="F162" s="40"/>
      <c r="G162" s="40"/>
      <c r="H162" s="43"/>
      <c r="I162" s="43"/>
      <c r="J162" s="40"/>
      <c r="K162" s="40"/>
      <c r="L162" s="40"/>
      <c r="M162" s="40"/>
      <c r="N162" s="9"/>
      <c r="O162" s="9"/>
      <c r="P162" s="9"/>
      <c r="Q162" s="9"/>
      <c r="R162" s="41"/>
      <c r="S162" s="9"/>
      <c r="T162" s="40"/>
      <c r="U162" s="9"/>
      <c r="V162" s="9"/>
      <c r="W162" s="9"/>
      <c r="X162" s="9"/>
      <c r="Y162" s="9"/>
      <c r="Z162" s="9"/>
      <c r="AA162" s="9"/>
      <c r="AB162" s="9"/>
      <c r="AC162" s="9"/>
      <c r="AD162" s="9"/>
      <c r="AE162" s="9"/>
      <c r="AF162" s="10" t="str">
        <f aca="false">IF(A162="","",SG_Criteria!$B$6&amp;SG_Criteria!$B$10&amp;"\"&amp;A162&amp;"\")</f>
        <v/>
      </c>
      <c r="AG162" s="10" t="str">
        <f aca="false">IF(A162="","",A162&amp;"_CAD.dwg")</f>
        <v/>
      </c>
      <c r="AH162" s="10" t="str">
        <f aca="false">IF(A162="","",A162&amp;"_DWG.pdf")</f>
        <v/>
      </c>
      <c r="AI162" s="10" t="str">
        <f aca="false">IF(A162="","",IF(AE162="Y",A162&amp;"_STAAD.std","n/a"))</f>
        <v/>
      </c>
      <c r="AJ162" s="10" t="str">
        <f aca="false">IF(A162="","",A162&amp;"_CALC.xlsx")</f>
        <v/>
      </c>
      <c r="AK162" s="10" t="str">
        <f aca="false">IF(A162="","",A162&amp;"_CALC.pdf")</f>
        <v/>
      </c>
      <c r="AL162" s="9"/>
      <c r="AM162" s="9"/>
      <c r="AN162" s="41"/>
      <c r="AO162" s="41"/>
      <c r="AP162" s="41"/>
      <c r="AQ162" s="41"/>
      <c r="AR162" s="41"/>
      <c r="AS162" s="38" t="str">
        <f aca="false">IF(C162="","",IF(LEN(IF(AND(S162&lt;&gt;"",IFERROR(VALUE(MID(S162,2,2)),0)&lt;SG_Criteria!$B$19),"FAIL: grade below C"&amp;SG_Criteria!$B$19&amp;". ","")&amp;IF(AND(T162&lt;&gt;"",T162&lt;SG_Criteria!$B$20),"FAIL: cover &lt; "&amp;SG_Criteria!$B$20&amp;" mm. ","")&amp;IF(AND(H162&lt;&gt;"",H162&lt;SG_Criteria!$B$39),"NOTE: min depth below PUB "&amp;SG_Criteria!$B$39&amp;" m. ","")&amp;IF(AND(LEFT(C162,8)="Standard",I162&gt;SG_Criteria!$B$42),"FAIL: PUB 001C covers manholes up to "&amp;SG_Criteria!$B$42&amp;" m deep only. ","")&amp;IF(AND(LEFT(C162,11)="Rectangular",J162&lt;SG_Criteria!$B$43),"NOTE: 004C is for sewers &gt;= "&amp;SG_Criteria!$B$43&amp;" dia. ","")&amp;IF(AND(LEFT(C162,7)="Precast",I162&lt;=SG_Criteria!$B$42),"NOTE: 006C is for manholes &gt; "&amp;SG_Criteria!$B$42&amp;" m deep. ","")&amp;IF(AND(J162&lt;&gt;"",J162&lt;SG_Criteria!$B$40,C162&lt;&gt;"Inspection Chamber"),"NOTE: public sewer min dia "&amp;SG_Criteria!$B$40&amp;" mm. ","")&amp;IF(AND(R162&lt;&gt;"",R162&lt;SG_Criteria!$B$44),"FAIL: uplift FOS below "&amp;SG_Criteria!$B$44&amp;". ",""))=0,"OK",IF(AND(S162&lt;&gt;"",IFERROR(VALUE(MID(S162,2,2)),0)&lt;SG_Criteria!$B$19),"FAIL: grade below C"&amp;SG_Criteria!$B$19&amp;". ","")&amp;IF(AND(T162&lt;&gt;"",T162&lt;SG_Criteria!$B$20),"FAIL: cover &lt; "&amp;SG_Criteria!$B$20&amp;" mm. ","")&amp;IF(AND(H162&lt;&gt;"",H162&lt;SG_Criteria!$B$39),"NOTE: min depth below PUB "&amp;SG_Criteria!$B$39&amp;" m. ","")&amp;IF(AND(LEFT(C162,8)="Standard",I162&gt;SG_Criteria!$B$42),"FAIL: PUB 001C covers manholes up to "&amp;SG_Criteria!$B$42&amp;" m deep only. ","")&amp;IF(AND(LEFT(C162,11)="Rectangular",J162&lt;SG_Criteria!$B$43),"NOTE: 004C is for sewers &gt;= "&amp;SG_Criteria!$B$43&amp;" dia. ","")&amp;IF(AND(LEFT(C162,7)="Precast",I162&lt;=SG_Criteria!$B$42),"NOTE: 006C is for manholes &gt; "&amp;SG_Criteria!$B$42&amp;" m deep. ","")&amp;IF(AND(J162&lt;&gt;"",J162&lt;SG_Criteria!$B$40,C162&lt;&gt;"Inspection Chamber"),"NOTE: public sewer min dia "&amp;SG_Criteria!$B$40&amp;" mm. ","")&amp;IF(AND(R162&lt;&gt;"",R162&lt;SG_Criteria!$B$44),"FAIL: uplift FOS below "&amp;SG_Criteria!$B$44&amp;". ","")))</f>
        <v/>
      </c>
      <c r="AT162" s="9"/>
      <c r="AU162" s="9"/>
      <c r="AV162" s="9"/>
      <c r="AW162" s="9"/>
      <c r="AX162" s="9"/>
      <c r="AY162" s="31"/>
      <c r="AZ162" s="10" t="str">
        <f aca="false">IF(C162="","",IF(AND(AB162="Approved",ISERROR(SEARCH("FAIL",AS162))),"Y","N"))</f>
        <v/>
      </c>
      <c r="BA162" s="10" t="str">
        <f aca="false">IF(C162="","",C162&amp;"|"&amp;I162&amp;"|"&amp;F162&amp;"|"&amp;AZ162)</f>
        <v/>
      </c>
    </row>
    <row r="163" customFormat="false" ht="15" hidden="false" customHeight="false" outlineLevel="0" collapsed="false">
      <c r="A163" s="10" t="str">
        <f aca="false">IF(C163="","","MH-"&amp;IFERROR(VLOOKUP(C163,Lists!$AB$4:$AC$20,2,0),"??")&amp;"-"&amp;TEXT(F163,"0000")&amp;IF(E163="Circular","D","x"&amp;TEXT(G163,"0000"))&amp;"-D"&amp;TEXT(I163*1000,"0000")&amp;"-"&amp;IFERROR(VLOOKUP(D163,Lists!$AE$4:$AF$16,2,0),"??")&amp;"-"&amp;AA163)</f>
        <v/>
      </c>
      <c r="B163" s="10" t="str">
        <f aca="false">IF(C163="","",C163&amp;", "&amp;D163&amp;", "&amp;IF(E163="Circular",F163&amp;" dia",F163&amp;" x "&amp;G163)&amp;", depth "&amp;TEXT(H163,"0.0")&amp;"-"&amp;TEXT(I163,"0.0")&amp;" m, pipe up to "&amp;J163&amp;" dia")</f>
        <v/>
      </c>
      <c r="C163" s="9"/>
      <c r="D163" s="9"/>
      <c r="E163" s="9"/>
      <c r="F163" s="40"/>
      <c r="G163" s="40"/>
      <c r="H163" s="43"/>
      <c r="I163" s="43"/>
      <c r="J163" s="40"/>
      <c r="K163" s="40"/>
      <c r="L163" s="40"/>
      <c r="M163" s="40"/>
      <c r="N163" s="9"/>
      <c r="O163" s="9"/>
      <c r="P163" s="9"/>
      <c r="Q163" s="9"/>
      <c r="R163" s="41"/>
      <c r="S163" s="9"/>
      <c r="T163" s="40"/>
      <c r="U163" s="9"/>
      <c r="V163" s="9"/>
      <c r="W163" s="9"/>
      <c r="X163" s="9"/>
      <c r="Y163" s="9"/>
      <c r="Z163" s="9"/>
      <c r="AA163" s="9"/>
      <c r="AB163" s="9"/>
      <c r="AC163" s="9"/>
      <c r="AD163" s="9"/>
      <c r="AE163" s="9"/>
      <c r="AF163" s="10" t="str">
        <f aca="false">IF(A163="","",SG_Criteria!$B$6&amp;SG_Criteria!$B$10&amp;"\"&amp;A163&amp;"\")</f>
        <v/>
      </c>
      <c r="AG163" s="10" t="str">
        <f aca="false">IF(A163="","",A163&amp;"_CAD.dwg")</f>
        <v/>
      </c>
      <c r="AH163" s="10" t="str">
        <f aca="false">IF(A163="","",A163&amp;"_DWG.pdf")</f>
        <v/>
      </c>
      <c r="AI163" s="10" t="str">
        <f aca="false">IF(A163="","",IF(AE163="Y",A163&amp;"_STAAD.std","n/a"))</f>
        <v/>
      </c>
      <c r="AJ163" s="10" t="str">
        <f aca="false">IF(A163="","",A163&amp;"_CALC.xlsx")</f>
        <v/>
      </c>
      <c r="AK163" s="10" t="str">
        <f aca="false">IF(A163="","",A163&amp;"_CALC.pdf")</f>
        <v/>
      </c>
      <c r="AL163" s="9"/>
      <c r="AM163" s="9"/>
      <c r="AN163" s="41"/>
      <c r="AO163" s="41"/>
      <c r="AP163" s="41"/>
      <c r="AQ163" s="41"/>
      <c r="AR163" s="41"/>
      <c r="AS163" s="38" t="str">
        <f aca="false">IF(C163="","",IF(LEN(IF(AND(S163&lt;&gt;"",IFERROR(VALUE(MID(S163,2,2)),0)&lt;SG_Criteria!$B$19),"FAIL: grade below C"&amp;SG_Criteria!$B$19&amp;". ","")&amp;IF(AND(T163&lt;&gt;"",T163&lt;SG_Criteria!$B$20),"FAIL: cover &lt; "&amp;SG_Criteria!$B$20&amp;" mm. ","")&amp;IF(AND(H163&lt;&gt;"",H163&lt;SG_Criteria!$B$39),"NOTE: min depth below PUB "&amp;SG_Criteria!$B$39&amp;" m. ","")&amp;IF(AND(LEFT(C163,8)="Standard",I163&gt;SG_Criteria!$B$42),"FAIL: PUB 001C covers manholes up to "&amp;SG_Criteria!$B$42&amp;" m deep only. ","")&amp;IF(AND(LEFT(C163,11)="Rectangular",J163&lt;SG_Criteria!$B$43),"NOTE: 004C is for sewers &gt;= "&amp;SG_Criteria!$B$43&amp;" dia. ","")&amp;IF(AND(LEFT(C163,7)="Precast",I163&lt;=SG_Criteria!$B$42),"NOTE: 006C is for manholes &gt; "&amp;SG_Criteria!$B$42&amp;" m deep. ","")&amp;IF(AND(J163&lt;&gt;"",J163&lt;SG_Criteria!$B$40,C163&lt;&gt;"Inspection Chamber"),"NOTE: public sewer min dia "&amp;SG_Criteria!$B$40&amp;" mm. ","")&amp;IF(AND(R163&lt;&gt;"",R163&lt;SG_Criteria!$B$44),"FAIL: uplift FOS below "&amp;SG_Criteria!$B$44&amp;". ",""))=0,"OK",IF(AND(S163&lt;&gt;"",IFERROR(VALUE(MID(S163,2,2)),0)&lt;SG_Criteria!$B$19),"FAIL: grade below C"&amp;SG_Criteria!$B$19&amp;". ","")&amp;IF(AND(T163&lt;&gt;"",T163&lt;SG_Criteria!$B$20),"FAIL: cover &lt; "&amp;SG_Criteria!$B$20&amp;" mm. ","")&amp;IF(AND(H163&lt;&gt;"",H163&lt;SG_Criteria!$B$39),"NOTE: min depth below PUB "&amp;SG_Criteria!$B$39&amp;" m. ","")&amp;IF(AND(LEFT(C163,8)="Standard",I163&gt;SG_Criteria!$B$42),"FAIL: PUB 001C covers manholes up to "&amp;SG_Criteria!$B$42&amp;" m deep only. ","")&amp;IF(AND(LEFT(C163,11)="Rectangular",J163&lt;SG_Criteria!$B$43),"NOTE: 004C is for sewers &gt;= "&amp;SG_Criteria!$B$43&amp;" dia. ","")&amp;IF(AND(LEFT(C163,7)="Precast",I163&lt;=SG_Criteria!$B$42),"NOTE: 006C is for manholes &gt; "&amp;SG_Criteria!$B$42&amp;" m deep. ","")&amp;IF(AND(J163&lt;&gt;"",J163&lt;SG_Criteria!$B$40,C163&lt;&gt;"Inspection Chamber"),"NOTE: public sewer min dia "&amp;SG_Criteria!$B$40&amp;" mm. ","")&amp;IF(AND(R163&lt;&gt;"",R163&lt;SG_Criteria!$B$44),"FAIL: uplift FOS below "&amp;SG_Criteria!$B$44&amp;". ","")))</f>
        <v/>
      </c>
      <c r="AT163" s="9"/>
      <c r="AU163" s="9"/>
      <c r="AV163" s="9"/>
      <c r="AW163" s="9"/>
      <c r="AX163" s="9"/>
      <c r="AY163" s="31"/>
      <c r="AZ163" s="10" t="str">
        <f aca="false">IF(C163="","",IF(AND(AB163="Approved",ISERROR(SEARCH("FAIL",AS163))),"Y","N"))</f>
        <v/>
      </c>
      <c r="BA163" s="10" t="str">
        <f aca="false">IF(C163="","",C163&amp;"|"&amp;I163&amp;"|"&amp;F163&amp;"|"&amp;AZ163)</f>
        <v/>
      </c>
    </row>
    <row r="164" customFormat="false" ht="15" hidden="false" customHeight="false" outlineLevel="0" collapsed="false">
      <c r="A164" s="10" t="str">
        <f aca="false">IF(C164="","","MH-"&amp;IFERROR(VLOOKUP(C164,Lists!$AB$4:$AC$20,2,0),"??")&amp;"-"&amp;TEXT(F164,"0000")&amp;IF(E164="Circular","D","x"&amp;TEXT(G164,"0000"))&amp;"-D"&amp;TEXT(I164*1000,"0000")&amp;"-"&amp;IFERROR(VLOOKUP(D164,Lists!$AE$4:$AF$16,2,0),"??")&amp;"-"&amp;AA164)</f>
        <v/>
      </c>
      <c r="B164" s="10" t="str">
        <f aca="false">IF(C164="","",C164&amp;", "&amp;D164&amp;", "&amp;IF(E164="Circular",F164&amp;" dia",F164&amp;" x "&amp;G164)&amp;", depth "&amp;TEXT(H164,"0.0")&amp;"-"&amp;TEXT(I164,"0.0")&amp;" m, pipe up to "&amp;J164&amp;" dia")</f>
        <v/>
      </c>
      <c r="C164" s="9"/>
      <c r="D164" s="9"/>
      <c r="E164" s="9"/>
      <c r="F164" s="40"/>
      <c r="G164" s="40"/>
      <c r="H164" s="43"/>
      <c r="I164" s="43"/>
      <c r="J164" s="40"/>
      <c r="K164" s="40"/>
      <c r="L164" s="40"/>
      <c r="M164" s="40"/>
      <c r="N164" s="9"/>
      <c r="O164" s="9"/>
      <c r="P164" s="9"/>
      <c r="Q164" s="9"/>
      <c r="R164" s="41"/>
      <c r="S164" s="9"/>
      <c r="T164" s="40"/>
      <c r="U164" s="9"/>
      <c r="V164" s="9"/>
      <c r="W164" s="9"/>
      <c r="X164" s="9"/>
      <c r="Y164" s="9"/>
      <c r="Z164" s="9"/>
      <c r="AA164" s="9"/>
      <c r="AB164" s="9"/>
      <c r="AC164" s="9"/>
      <c r="AD164" s="9"/>
      <c r="AE164" s="9"/>
      <c r="AF164" s="10" t="str">
        <f aca="false">IF(A164="","",SG_Criteria!$B$6&amp;SG_Criteria!$B$10&amp;"\"&amp;A164&amp;"\")</f>
        <v/>
      </c>
      <c r="AG164" s="10" t="str">
        <f aca="false">IF(A164="","",A164&amp;"_CAD.dwg")</f>
        <v/>
      </c>
      <c r="AH164" s="10" t="str">
        <f aca="false">IF(A164="","",A164&amp;"_DWG.pdf")</f>
        <v/>
      </c>
      <c r="AI164" s="10" t="str">
        <f aca="false">IF(A164="","",IF(AE164="Y",A164&amp;"_STAAD.std","n/a"))</f>
        <v/>
      </c>
      <c r="AJ164" s="10" t="str">
        <f aca="false">IF(A164="","",A164&amp;"_CALC.xlsx")</f>
        <v/>
      </c>
      <c r="AK164" s="10" t="str">
        <f aca="false">IF(A164="","",A164&amp;"_CALC.pdf")</f>
        <v/>
      </c>
      <c r="AL164" s="9"/>
      <c r="AM164" s="9"/>
      <c r="AN164" s="41"/>
      <c r="AO164" s="41"/>
      <c r="AP164" s="41"/>
      <c r="AQ164" s="41"/>
      <c r="AR164" s="41"/>
      <c r="AS164" s="38" t="str">
        <f aca="false">IF(C164="","",IF(LEN(IF(AND(S164&lt;&gt;"",IFERROR(VALUE(MID(S164,2,2)),0)&lt;SG_Criteria!$B$19),"FAIL: grade below C"&amp;SG_Criteria!$B$19&amp;". ","")&amp;IF(AND(T164&lt;&gt;"",T164&lt;SG_Criteria!$B$20),"FAIL: cover &lt; "&amp;SG_Criteria!$B$20&amp;" mm. ","")&amp;IF(AND(H164&lt;&gt;"",H164&lt;SG_Criteria!$B$39),"NOTE: min depth below PUB "&amp;SG_Criteria!$B$39&amp;" m. ","")&amp;IF(AND(LEFT(C164,8)="Standard",I164&gt;SG_Criteria!$B$42),"FAIL: PUB 001C covers manholes up to "&amp;SG_Criteria!$B$42&amp;" m deep only. ","")&amp;IF(AND(LEFT(C164,11)="Rectangular",J164&lt;SG_Criteria!$B$43),"NOTE: 004C is for sewers &gt;= "&amp;SG_Criteria!$B$43&amp;" dia. ","")&amp;IF(AND(LEFT(C164,7)="Precast",I164&lt;=SG_Criteria!$B$42),"NOTE: 006C is for manholes &gt; "&amp;SG_Criteria!$B$42&amp;" m deep. ","")&amp;IF(AND(J164&lt;&gt;"",J164&lt;SG_Criteria!$B$40,C164&lt;&gt;"Inspection Chamber"),"NOTE: public sewer min dia "&amp;SG_Criteria!$B$40&amp;" mm. ","")&amp;IF(AND(R164&lt;&gt;"",R164&lt;SG_Criteria!$B$44),"FAIL: uplift FOS below "&amp;SG_Criteria!$B$44&amp;". ",""))=0,"OK",IF(AND(S164&lt;&gt;"",IFERROR(VALUE(MID(S164,2,2)),0)&lt;SG_Criteria!$B$19),"FAIL: grade below C"&amp;SG_Criteria!$B$19&amp;". ","")&amp;IF(AND(T164&lt;&gt;"",T164&lt;SG_Criteria!$B$20),"FAIL: cover &lt; "&amp;SG_Criteria!$B$20&amp;" mm. ","")&amp;IF(AND(H164&lt;&gt;"",H164&lt;SG_Criteria!$B$39),"NOTE: min depth below PUB "&amp;SG_Criteria!$B$39&amp;" m. ","")&amp;IF(AND(LEFT(C164,8)="Standard",I164&gt;SG_Criteria!$B$42),"FAIL: PUB 001C covers manholes up to "&amp;SG_Criteria!$B$42&amp;" m deep only. ","")&amp;IF(AND(LEFT(C164,11)="Rectangular",J164&lt;SG_Criteria!$B$43),"NOTE: 004C is for sewers &gt;= "&amp;SG_Criteria!$B$43&amp;" dia. ","")&amp;IF(AND(LEFT(C164,7)="Precast",I164&lt;=SG_Criteria!$B$42),"NOTE: 006C is for manholes &gt; "&amp;SG_Criteria!$B$42&amp;" m deep. ","")&amp;IF(AND(J164&lt;&gt;"",J164&lt;SG_Criteria!$B$40,C164&lt;&gt;"Inspection Chamber"),"NOTE: public sewer min dia "&amp;SG_Criteria!$B$40&amp;" mm. ","")&amp;IF(AND(R164&lt;&gt;"",R164&lt;SG_Criteria!$B$44),"FAIL: uplift FOS below "&amp;SG_Criteria!$B$44&amp;". ","")))</f>
        <v/>
      </c>
      <c r="AT164" s="9"/>
      <c r="AU164" s="9"/>
      <c r="AV164" s="9"/>
      <c r="AW164" s="9"/>
      <c r="AX164" s="9"/>
      <c r="AY164" s="31"/>
      <c r="AZ164" s="10" t="str">
        <f aca="false">IF(C164="","",IF(AND(AB164="Approved",ISERROR(SEARCH("FAIL",AS164))),"Y","N"))</f>
        <v/>
      </c>
      <c r="BA164" s="10" t="str">
        <f aca="false">IF(C164="","",C164&amp;"|"&amp;I164&amp;"|"&amp;F164&amp;"|"&amp;AZ164)</f>
        <v/>
      </c>
    </row>
    <row r="165" customFormat="false" ht="15" hidden="false" customHeight="false" outlineLevel="0" collapsed="false">
      <c r="A165" s="10" t="str">
        <f aca="false">IF(C165="","","MH-"&amp;IFERROR(VLOOKUP(C165,Lists!$AB$4:$AC$20,2,0),"??")&amp;"-"&amp;TEXT(F165,"0000")&amp;IF(E165="Circular","D","x"&amp;TEXT(G165,"0000"))&amp;"-D"&amp;TEXT(I165*1000,"0000")&amp;"-"&amp;IFERROR(VLOOKUP(D165,Lists!$AE$4:$AF$16,2,0),"??")&amp;"-"&amp;AA165)</f>
        <v/>
      </c>
      <c r="B165" s="10" t="str">
        <f aca="false">IF(C165="","",C165&amp;", "&amp;D165&amp;", "&amp;IF(E165="Circular",F165&amp;" dia",F165&amp;" x "&amp;G165)&amp;", depth "&amp;TEXT(H165,"0.0")&amp;"-"&amp;TEXT(I165,"0.0")&amp;" m, pipe up to "&amp;J165&amp;" dia")</f>
        <v/>
      </c>
      <c r="C165" s="9"/>
      <c r="D165" s="9"/>
      <c r="E165" s="9"/>
      <c r="F165" s="40"/>
      <c r="G165" s="40"/>
      <c r="H165" s="43"/>
      <c r="I165" s="43"/>
      <c r="J165" s="40"/>
      <c r="K165" s="40"/>
      <c r="L165" s="40"/>
      <c r="M165" s="40"/>
      <c r="N165" s="9"/>
      <c r="O165" s="9"/>
      <c r="P165" s="9"/>
      <c r="Q165" s="9"/>
      <c r="R165" s="41"/>
      <c r="S165" s="9"/>
      <c r="T165" s="40"/>
      <c r="U165" s="9"/>
      <c r="V165" s="9"/>
      <c r="W165" s="9"/>
      <c r="X165" s="9"/>
      <c r="Y165" s="9"/>
      <c r="Z165" s="9"/>
      <c r="AA165" s="9"/>
      <c r="AB165" s="9"/>
      <c r="AC165" s="9"/>
      <c r="AD165" s="9"/>
      <c r="AE165" s="9"/>
      <c r="AF165" s="10" t="str">
        <f aca="false">IF(A165="","",SG_Criteria!$B$6&amp;SG_Criteria!$B$10&amp;"\"&amp;A165&amp;"\")</f>
        <v/>
      </c>
      <c r="AG165" s="10" t="str">
        <f aca="false">IF(A165="","",A165&amp;"_CAD.dwg")</f>
        <v/>
      </c>
      <c r="AH165" s="10" t="str">
        <f aca="false">IF(A165="","",A165&amp;"_DWG.pdf")</f>
        <v/>
      </c>
      <c r="AI165" s="10" t="str">
        <f aca="false">IF(A165="","",IF(AE165="Y",A165&amp;"_STAAD.std","n/a"))</f>
        <v/>
      </c>
      <c r="AJ165" s="10" t="str">
        <f aca="false">IF(A165="","",A165&amp;"_CALC.xlsx")</f>
        <v/>
      </c>
      <c r="AK165" s="10" t="str">
        <f aca="false">IF(A165="","",A165&amp;"_CALC.pdf")</f>
        <v/>
      </c>
      <c r="AL165" s="9"/>
      <c r="AM165" s="9"/>
      <c r="AN165" s="41"/>
      <c r="AO165" s="41"/>
      <c r="AP165" s="41"/>
      <c r="AQ165" s="41"/>
      <c r="AR165" s="41"/>
      <c r="AS165" s="38" t="str">
        <f aca="false">IF(C165="","",IF(LEN(IF(AND(S165&lt;&gt;"",IFERROR(VALUE(MID(S165,2,2)),0)&lt;SG_Criteria!$B$19),"FAIL: grade below C"&amp;SG_Criteria!$B$19&amp;". ","")&amp;IF(AND(T165&lt;&gt;"",T165&lt;SG_Criteria!$B$20),"FAIL: cover &lt; "&amp;SG_Criteria!$B$20&amp;" mm. ","")&amp;IF(AND(H165&lt;&gt;"",H165&lt;SG_Criteria!$B$39),"NOTE: min depth below PUB "&amp;SG_Criteria!$B$39&amp;" m. ","")&amp;IF(AND(LEFT(C165,8)="Standard",I165&gt;SG_Criteria!$B$42),"FAIL: PUB 001C covers manholes up to "&amp;SG_Criteria!$B$42&amp;" m deep only. ","")&amp;IF(AND(LEFT(C165,11)="Rectangular",J165&lt;SG_Criteria!$B$43),"NOTE: 004C is for sewers &gt;= "&amp;SG_Criteria!$B$43&amp;" dia. ","")&amp;IF(AND(LEFT(C165,7)="Precast",I165&lt;=SG_Criteria!$B$42),"NOTE: 006C is for manholes &gt; "&amp;SG_Criteria!$B$42&amp;" m deep. ","")&amp;IF(AND(J165&lt;&gt;"",J165&lt;SG_Criteria!$B$40,C165&lt;&gt;"Inspection Chamber"),"NOTE: public sewer min dia "&amp;SG_Criteria!$B$40&amp;" mm. ","")&amp;IF(AND(R165&lt;&gt;"",R165&lt;SG_Criteria!$B$44),"FAIL: uplift FOS below "&amp;SG_Criteria!$B$44&amp;". ",""))=0,"OK",IF(AND(S165&lt;&gt;"",IFERROR(VALUE(MID(S165,2,2)),0)&lt;SG_Criteria!$B$19),"FAIL: grade below C"&amp;SG_Criteria!$B$19&amp;". ","")&amp;IF(AND(T165&lt;&gt;"",T165&lt;SG_Criteria!$B$20),"FAIL: cover &lt; "&amp;SG_Criteria!$B$20&amp;" mm. ","")&amp;IF(AND(H165&lt;&gt;"",H165&lt;SG_Criteria!$B$39),"NOTE: min depth below PUB "&amp;SG_Criteria!$B$39&amp;" m. ","")&amp;IF(AND(LEFT(C165,8)="Standard",I165&gt;SG_Criteria!$B$42),"FAIL: PUB 001C covers manholes up to "&amp;SG_Criteria!$B$42&amp;" m deep only. ","")&amp;IF(AND(LEFT(C165,11)="Rectangular",J165&lt;SG_Criteria!$B$43),"NOTE: 004C is for sewers &gt;= "&amp;SG_Criteria!$B$43&amp;" dia. ","")&amp;IF(AND(LEFT(C165,7)="Precast",I165&lt;=SG_Criteria!$B$42),"NOTE: 006C is for manholes &gt; "&amp;SG_Criteria!$B$42&amp;" m deep. ","")&amp;IF(AND(J165&lt;&gt;"",J165&lt;SG_Criteria!$B$40,C165&lt;&gt;"Inspection Chamber"),"NOTE: public sewer min dia "&amp;SG_Criteria!$B$40&amp;" mm. ","")&amp;IF(AND(R165&lt;&gt;"",R165&lt;SG_Criteria!$B$44),"FAIL: uplift FOS below "&amp;SG_Criteria!$B$44&amp;". ","")))</f>
        <v/>
      </c>
      <c r="AT165" s="9"/>
      <c r="AU165" s="9"/>
      <c r="AV165" s="9"/>
      <c r="AW165" s="9"/>
      <c r="AX165" s="9"/>
      <c r="AY165" s="31"/>
      <c r="AZ165" s="10" t="str">
        <f aca="false">IF(C165="","",IF(AND(AB165="Approved",ISERROR(SEARCH("FAIL",AS165))),"Y","N"))</f>
        <v/>
      </c>
      <c r="BA165" s="10" t="str">
        <f aca="false">IF(C165="","",C165&amp;"|"&amp;I165&amp;"|"&amp;F165&amp;"|"&amp;AZ165)</f>
        <v/>
      </c>
    </row>
    <row r="166" customFormat="false" ht="15" hidden="false" customHeight="false" outlineLevel="0" collapsed="false">
      <c r="A166" s="10" t="str">
        <f aca="false">IF(C166="","","MH-"&amp;IFERROR(VLOOKUP(C166,Lists!$AB$4:$AC$20,2,0),"??")&amp;"-"&amp;TEXT(F166,"0000")&amp;IF(E166="Circular","D","x"&amp;TEXT(G166,"0000"))&amp;"-D"&amp;TEXT(I166*1000,"0000")&amp;"-"&amp;IFERROR(VLOOKUP(D166,Lists!$AE$4:$AF$16,2,0),"??")&amp;"-"&amp;AA166)</f>
        <v/>
      </c>
      <c r="B166" s="10" t="str">
        <f aca="false">IF(C166="","",C166&amp;", "&amp;D166&amp;", "&amp;IF(E166="Circular",F166&amp;" dia",F166&amp;" x "&amp;G166)&amp;", depth "&amp;TEXT(H166,"0.0")&amp;"-"&amp;TEXT(I166,"0.0")&amp;" m, pipe up to "&amp;J166&amp;" dia")</f>
        <v/>
      </c>
      <c r="C166" s="9"/>
      <c r="D166" s="9"/>
      <c r="E166" s="9"/>
      <c r="F166" s="40"/>
      <c r="G166" s="40"/>
      <c r="H166" s="43"/>
      <c r="I166" s="43"/>
      <c r="J166" s="40"/>
      <c r="K166" s="40"/>
      <c r="L166" s="40"/>
      <c r="M166" s="40"/>
      <c r="N166" s="9"/>
      <c r="O166" s="9"/>
      <c r="P166" s="9"/>
      <c r="Q166" s="9"/>
      <c r="R166" s="41"/>
      <c r="S166" s="9"/>
      <c r="T166" s="40"/>
      <c r="U166" s="9"/>
      <c r="V166" s="9"/>
      <c r="W166" s="9"/>
      <c r="X166" s="9"/>
      <c r="Y166" s="9"/>
      <c r="Z166" s="9"/>
      <c r="AA166" s="9"/>
      <c r="AB166" s="9"/>
      <c r="AC166" s="9"/>
      <c r="AD166" s="9"/>
      <c r="AE166" s="9"/>
      <c r="AF166" s="10" t="str">
        <f aca="false">IF(A166="","",SG_Criteria!$B$6&amp;SG_Criteria!$B$10&amp;"\"&amp;A166&amp;"\")</f>
        <v/>
      </c>
      <c r="AG166" s="10" t="str">
        <f aca="false">IF(A166="","",A166&amp;"_CAD.dwg")</f>
        <v/>
      </c>
      <c r="AH166" s="10" t="str">
        <f aca="false">IF(A166="","",A166&amp;"_DWG.pdf")</f>
        <v/>
      </c>
      <c r="AI166" s="10" t="str">
        <f aca="false">IF(A166="","",IF(AE166="Y",A166&amp;"_STAAD.std","n/a"))</f>
        <v/>
      </c>
      <c r="AJ166" s="10" t="str">
        <f aca="false">IF(A166="","",A166&amp;"_CALC.xlsx")</f>
        <v/>
      </c>
      <c r="AK166" s="10" t="str">
        <f aca="false">IF(A166="","",A166&amp;"_CALC.pdf")</f>
        <v/>
      </c>
      <c r="AL166" s="9"/>
      <c r="AM166" s="9"/>
      <c r="AN166" s="41"/>
      <c r="AO166" s="41"/>
      <c r="AP166" s="41"/>
      <c r="AQ166" s="41"/>
      <c r="AR166" s="41"/>
      <c r="AS166" s="38" t="str">
        <f aca="false">IF(C166="","",IF(LEN(IF(AND(S166&lt;&gt;"",IFERROR(VALUE(MID(S166,2,2)),0)&lt;SG_Criteria!$B$19),"FAIL: grade below C"&amp;SG_Criteria!$B$19&amp;". ","")&amp;IF(AND(T166&lt;&gt;"",T166&lt;SG_Criteria!$B$20),"FAIL: cover &lt; "&amp;SG_Criteria!$B$20&amp;" mm. ","")&amp;IF(AND(H166&lt;&gt;"",H166&lt;SG_Criteria!$B$39),"NOTE: min depth below PUB "&amp;SG_Criteria!$B$39&amp;" m. ","")&amp;IF(AND(LEFT(C166,8)="Standard",I166&gt;SG_Criteria!$B$42),"FAIL: PUB 001C covers manholes up to "&amp;SG_Criteria!$B$42&amp;" m deep only. ","")&amp;IF(AND(LEFT(C166,11)="Rectangular",J166&lt;SG_Criteria!$B$43),"NOTE: 004C is for sewers &gt;= "&amp;SG_Criteria!$B$43&amp;" dia. ","")&amp;IF(AND(LEFT(C166,7)="Precast",I166&lt;=SG_Criteria!$B$42),"NOTE: 006C is for manholes &gt; "&amp;SG_Criteria!$B$42&amp;" m deep. ","")&amp;IF(AND(J166&lt;&gt;"",J166&lt;SG_Criteria!$B$40,C166&lt;&gt;"Inspection Chamber"),"NOTE: public sewer min dia "&amp;SG_Criteria!$B$40&amp;" mm. ","")&amp;IF(AND(R166&lt;&gt;"",R166&lt;SG_Criteria!$B$44),"FAIL: uplift FOS below "&amp;SG_Criteria!$B$44&amp;". ",""))=0,"OK",IF(AND(S166&lt;&gt;"",IFERROR(VALUE(MID(S166,2,2)),0)&lt;SG_Criteria!$B$19),"FAIL: grade below C"&amp;SG_Criteria!$B$19&amp;". ","")&amp;IF(AND(T166&lt;&gt;"",T166&lt;SG_Criteria!$B$20),"FAIL: cover &lt; "&amp;SG_Criteria!$B$20&amp;" mm. ","")&amp;IF(AND(H166&lt;&gt;"",H166&lt;SG_Criteria!$B$39),"NOTE: min depth below PUB "&amp;SG_Criteria!$B$39&amp;" m. ","")&amp;IF(AND(LEFT(C166,8)="Standard",I166&gt;SG_Criteria!$B$42),"FAIL: PUB 001C covers manholes up to "&amp;SG_Criteria!$B$42&amp;" m deep only. ","")&amp;IF(AND(LEFT(C166,11)="Rectangular",J166&lt;SG_Criteria!$B$43),"NOTE: 004C is for sewers &gt;= "&amp;SG_Criteria!$B$43&amp;" dia. ","")&amp;IF(AND(LEFT(C166,7)="Precast",I166&lt;=SG_Criteria!$B$42),"NOTE: 006C is for manholes &gt; "&amp;SG_Criteria!$B$42&amp;" m deep. ","")&amp;IF(AND(J166&lt;&gt;"",J166&lt;SG_Criteria!$B$40,C166&lt;&gt;"Inspection Chamber"),"NOTE: public sewer min dia "&amp;SG_Criteria!$B$40&amp;" mm. ","")&amp;IF(AND(R166&lt;&gt;"",R166&lt;SG_Criteria!$B$44),"FAIL: uplift FOS below "&amp;SG_Criteria!$B$44&amp;". ","")))</f>
        <v/>
      </c>
      <c r="AT166" s="9"/>
      <c r="AU166" s="9"/>
      <c r="AV166" s="9"/>
      <c r="AW166" s="9"/>
      <c r="AX166" s="9"/>
      <c r="AY166" s="31"/>
      <c r="AZ166" s="10" t="str">
        <f aca="false">IF(C166="","",IF(AND(AB166="Approved",ISERROR(SEARCH("FAIL",AS166))),"Y","N"))</f>
        <v/>
      </c>
      <c r="BA166" s="10" t="str">
        <f aca="false">IF(C166="","",C166&amp;"|"&amp;I166&amp;"|"&amp;F166&amp;"|"&amp;AZ166)</f>
        <v/>
      </c>
    </row>
    <row r="167" customFormat="false" ht="15" hidden="false" customHeight="false" outlineLevel="0" collapsed="false">
      <c r="A167" s="10" t="str">
        <f aca="false">IF(C167="","","MH-"&amp;IFERROR(VLOOKUP(C167,Lists!$AB$4:$AC$20,2,0),"??")&amp;"-"&amp;TEXT(F167,"0000")&amp;IF(E167="Circular","D","x"&amp;TEXT(G167,"0000"))&amp;"-D"&amp;TEXT(I167*1000,"0000")&amp;"-"&amp;IFERROR(VLOOKUP(D167,Lists!$AE$4:$AF$16,2,0),"??")&amp;"-"&amp;AA167)</f>
        <v/>
      </c>
      <c r="B167" s="10" t="str">
        <f aca="false">IF(C167="","",C167&amp;", "&amp;D167&amp;", "&amp;IF(E167="Circular",F167&amp;" dia",F167&amp;" x "&amp;G167)&amp;", depth "&amp;TEXT(H167,"0.0")&amp;"-"&amp;TEXT(I167,"0.0")&amp;" m, pipe up to "&amp;J167&amp;" dia")</f>
        <v/>
      </c>
      <c r="C167" s="9"/>
      <c r="D167" s="9"/>
      <c r="E167" s="9"/>
      <c r="F167" s="40"/>
      <c r="G167" s="40"/>
      <c r="H167" s="43"/>
      <c r="I167" s="43"/>
      <c r="J167" s="40"/>
      <c r="K167" s="40"/>
      <c r="L167" s="40"/>
      <c r="M167" s="40"/>
      <c r="N167" s="9"/>
      <c r="O167" s="9"/>
      <c r="P167" s="9"/>
      <c r="Q167" s="9"/>
      <c r="R167" s="41"/>
      <c r="S167" s="9"/>
      <c r="T167" s="40"/>
      <c r="U167" s="9"/>
      <c r="V167" s="9"/>
      <c r="W167" s="9"/>
      <c r="X167" s="9"/>
      <c r="Y167" s="9"/>
      <c r="Z167" s="9"/>
      <c r="AA167" s="9"/>
      <c r="AB167" s="9"/>
      <c r="AC167" s="9"/>
      <c r="AD167" s="9"/>
      <c r="AE167" s="9"/>
      <c r="AF167" s="10" t="str">
        <f aca="false">IF(A167="","",SG_Criteria!$B$6&amp;SG_Criteria!$B$10&amp;"\"&amp;A167&amp;"\")</f>
        <v/>
      </c>
      <c r="AG167" s="10" t="str">
        <f aca="false">IF(A167="","",A167&amp;"_CAD.dwg")</f>
        <v/>
      </c>
      <c r="AH167" s="10" t="str">
        <f aca="false">IF(A167="","",A167&amp;"_DWG.pdf")</f>
        <v/>
      </c>
      <c r="AI167" s="10" t="str">
        <f aca="false">IF(A167="","",IF(AE167="Y",A167&amp;"_STAAD.std","n/a"))</f>
        <v/>
      </c>
      <c r="AJ167" s="10" t="str">
        <f aca="false">IF(A167="","",A167&amp;"_CALC.xlsx")</f>
        <v/>
      </c>
      <c r="AK167" s="10" t="str">
        <f aca="false">IF(A167="","",A167&amp;"_CALC.pdf")</f>
        <v/>
      </c>
      <c r="AL167" s="9"/>
      <c r="AM167" s="9"/>
      <c r="AN167" s="41"/>
      <c r="AO167" s="41"/>
      <c r="AP167" s="41"/>
      <c r="AQ167" s="41"/>
      <c r="AR167" s="41"/>
      <c r="AS167" s="38" t="str">
        <f aca="false">IF(C167="","",IF(LEN(IF(AND(S167&lt;&gt;"",IFERROR(VALUE(MID(S167,2,2)),0)&lt;SG_Criteria!$B$19),"FAIL: grade below C"&amp;SG_Criteria!$B$19&amp;". ","")&amp;IF(AND(T167&lt;&gt;"",T167&lt;SG_Criteria!$B$20),"FAIL: cover &lt; "&amp;SG_Criteria!$B$20&amp;" mm. ","")&amp;IF(AND(H167&lt;&gt;"",H167&lt;SG_Criteria!$B$39),"NOTE: min depth below PUB "&amp;SG_Criteria!$B$39&amp;" m. ","")&amp;IF(AND(LEFT(C167,8)="Standard",I167&gt;SG_Criteria!$B$42),"FAIL: PUB 001C covers manholes up to "&amp;SG_Criteria!$B$42&amp;" m deep only. ","")&amp;IF(AND(LEFT(C167,11)="Rectangular",J167&lt;SG_Criteria!$B$43),"NOTE: 004C is for sewers &gt;= "&amp;SG_Criteria!$B$43&amp;" dia. ","")&amp;IF(AND(LEFT(C167,7)="Precast",I167&lt;=SG_Criteria!$B$42),"NOTE: 006C is for manholes &gt; "&amp;SG_Criteria!$B$42&amp;" m deep. ","")&amp;IF(AND(J167&lt;&gt;"",J167&lt;SG_Criteria!$B$40,C167&lt;&gt;"Inspection Chamber"),"NOTE: public sewer min dia "&amp;SG_Criteria!$B$40&amp;" mm. ","")&amp;IF(AND(R167&lt;&gt;"",R167&lt;SG_Criteria!$B$44),"FAIL: uplift FOS below "&amp;SG_Criteria!$B$44&amp;". ",""))=0,"OK",IF(AND(S167&lt;&gt;"",IFERROR(VALUE(MID(S167,2,2)),0)&lt;SG_Criteria!$B$19),"FAIL: grade below C"&amp;SG_Criteria!$B$19&amp;". ","")&amp;IF(AND(T167&lt;&gt;"",T167&lt;SG_Criteria!$B$20),"FAIL: cover &lt; "&amp;SG_Criteria!$B$20&amp;" mm. ","")&amp;IF(AND(H167&lt;&gt;"",H167&lt;SG_Criteria!$B$39),"NOTE: min depth below PUB "&amp;SG_Criteria!$B$39&amp;" m. ","")&amp;IF(AND(LEFT(C167,8)="Standard",I167&gt;SG_Criteria!$B$42),"FAIL: PUB 001C covers manholes up to "&amp;SG_Criteria!$B$42&amp;" m deep only. ","")&amp;IF(AND(LEFT(C167,11)="Rectangular",J167&lt;SG_Criteria!$B$43),"NOTE: 004C is for sewers &gt;= "&amp;SG_Criteria!$B$43&amp;" dia. ","")&amp;IF(AND(LEFT(C167,7)="Precast",I167&lt;=SG_Criteria!$B$42),"NOTE: 006C is for manholes &gt; "&amp;SG_Criteria!$B$42&amp;" m deep. ","")&amp;IF(AND(J167&lt;&gt;"",J167&lt;SG_Criteria!$B$40,C167&lt;&gt;"Inspection Chamber"),"NOTE: public sewer min dia "&amp;SG_Criteria!$B$40&amp;" mm. ","")&amp;IF(AND(R167&lt;&gt;"",R167&lt;SG_Criteria!$B$44),"FAIL: uplift FOS below "&amp;SG_Criteria!$B$44&amp;". ","")))</f>
        <v/>
      </c>
      <c r="AT167" s="9"/>
      <c r="AU167" s="9"/>
      <c r="AV167" s="9"/>
      <c r="AW167" s="9"/>
      <c r="AX167" s="9"/>
      <c r="AY167" s="31"/>
      <c r="AZ167" s="10" t="str">
        <f aca="false">IF(C167="","",IF(AND(AB167="Approved",ISERROR(SEARCH("FAIL",AS167))),"Y","N"))</f>
        <v/>
      </c>
      <c r="BA167" s="10" t="str">
        <f aca="false">IF(C167="","",C167&amp;"|"&amp;I167&amp;"|"&amp;F167&amp;"|"&amp;AZ167)</f>
        <v/>
      </c>
    </row>
    <row r="168" customFormat="false" ht="15" hidden="false" customHeight="false" outlineLevel="0" collapsed="false">
      <c r="A168" s="10" t="str">
        <f aca="false">IF(C168="","","MH-"&amp;IFERROR(VLOOKUP(C168,Lists!$AB$4:$AC$20,2,0),"??")&amp;"-"&amp;TEXT(F168,"0000")&amp;IF(E168="Circular","D","x"&amp;TEXT(G168,"0000"))&amp;"-D"&amp;TEXT(I168*1000,"0000")&amp;"-"&amp;IFERROR(VLOOKUP(D168,Lists!$AE$4:$AF$16,2,0),"??")&amp;"-"&amp;AA168)</f>
        <v/>
      </c>
      <c r="B168" s="10" t="str">
        <f aca="false">IF(C168="","",C168&amp;", "&amp;D168&amp;", "&amp;IF(E168="Circular",F168&amp;" dia",F168&amp;" x "&amp;G168)&amp;", depth "&amp;TEXT(H168,"0.0")&amp;"-"&amp;TEXT(I168,"0.0")&amp;" m, pipe up to "&amp;J168&amp;" dia")</f>
        <v/>
      </c>
      <c r="C168" s="9"/>
      <c r="D168" s="9"/>
      <c r="E168" s="9"/>
      <c r="F168" s="40"/>
      <c r="G168" s="40"/>
      <c r="H168" s="43"/>
      <c r="I168" s="43"/>
      <c r="J168" s="40"/>
      <c r="K168" s="40"/>
      <c r="L168" s="40"/>
      <c r="M168" s="40"/>
      <c r="N168" s="9"/>
      <c r="O168" s="9"/>
      <c r="P168" s="9"/>
      <c r="Q168" s="9"/>
      <c r="R168" s="41"/>
      <c r="S168" s="9"/>
      <c r="T168" s="40"/>
      <c r="U168" s="9"/>
      <c r="V168" s="9"/>
      <c r="W168" s="9"/>
      <c r="X168" s="9"/>
      <c r="Y168" s="9"/>
      <c r="Z168" s="9"/>
      <c r="AA168" s="9"/>
      <c r="AB168" s="9"/>
      <c r="AC168" s="9"/>
      <c r="AD168" s="9"/>
      <c r="AE168" s="9"/>
      <c r="AF168" s="10" t="str">
        <f aca="false">IF(A168="","",SG_Criteria!$B$6&amp;SG_Criteria!$B$10&amp;"\"&amp;A168&amp;"\")</f>
        <v/>
      </c>
      <c r="AG168" s="10" t="str">
        <f aca="false">IF(A168="","",A168&amp;"_CAD.dwg")</f>
        <v/>
      </c>
      <c r="AH168" s="10" t="str">
        <f aca="false">IF(A168="","",A168&amp;"_DWG.pdf")</f>
        <v/>
      </c>
      <c r="AI168" s="10" t="str">
        <f aca="false">IF(A168="","",IF(AE168="Y",A168&amp;"_STAAD.std","n/a"))</f>
        <v/>
      </c>
      <c r="AJ168" s="10" t="str">
        <f aca="false">IF(A168="","",A168&amp;"_CALC.xlsx")</f>
        <v/>
      </c>
      <c r="AK168" s="10" t="str">
        <f aca="false">IF(A168="","",A168&amp;"_CALC.pdf")</f>
        <v/>
      </c>
      <c r="AL168" s="9"/>
      <c r="AM168" s="9"/>
      <c r="AN168" s="41"/>
      <c r="AO168" s="41"/>
      <c r="AP168" s="41"/>
      <c r="AQ168" s="41"/>
      <c r="AR168" s="41"/>
      <c r="AS168" s="38" t="str">
        <f aca="false">IF(C168="","",IF(LEN(IF(AND(S168&lt;&gt;"",IFERROR(VALUE(MID(S168,2,2)),0)&lt;SG_Criteria!$B$19),"FAIL: grade below C"&amp;SG_Criteria!$B$19&amp;". ","")&amp;IF(AND(T168&lt;&gt;"",T168&lt;SG_Criteria!$B$20),"FAIL: cover &lt; "&amp;SG_Criteria!$B$20&amp;" mm. ","")&amp;IF(AND(H168&lt;&gt;"",H168&lt;SG_Criteria!$B$39),"NOTE: min depth below PUB "&amp;SG_Criteria!$B$39&amp;" m. ","")&amp;IF(AND(LEFT(C168,8)="Standard",I168&gt;SG_Criteria!$B$42),"FAIL: PUB 001C covers manholes up to "&amp;SG_Criteria!$B$42&amp;" m deep only. ","")&amp;IF(AND(LEFT(C168,11)="Rectangular",J168&lt;SG_Criteria!$B$43),"NOTE: 004C is for sewers &gt;= "&amp;SG_Criteria!$B$43&amp;" dia. ","")&amp;IF(AND(LEFT(C168,7)="Precast",I168&lt;=SG_Criteria!$B$42),"NOTE: 006C is for manholes &gt; "&amp;SG_Criteria!$B$42&amp;" m deep. ","")&amp;IF(AND(J168&lt;&gt;"",J168&lt;SG_Criteria!$B$40,C168&lt;&gt;"Inspection Chamber"),"NOTE: public sewer min dia "&amp;SG_Criteria!$B$40&amp;" mm. ","")&amp;IF(AND(R168&lt;&gt;"",R168&lt;SG_Criteria!$B$44),"FAIL: uplift FOS below "&amp;SG_Criteria!$B$44&amp;". ",""))=0,"OK",IF(AND(S168&lt;&gt;"",IFERROR(VALUE(MID(S168,2,2)),0)&lt;SG_Criteria!$B$19),"FAIL: grade below C"&amp;SG_Criteria!$B$19&amp;". ","")&amp;IF(AND(T168&lt;&gt;"",T168&lt;SG_Criteria!$B$20),"FAIL: cover &lt; "&amp;SG_Criteria!$B$20&amp;" mm. ","")&amp;IF(AND(H168&lt;&gt;"",H168&lt;SG_Criteria!$B$39),"NOTE: min depth below PUB "&amp;SG_Criteria!$B$39&amp;" m. ","")&amp;IF(AND(LEFT(C168,8)="Standard",I168&gt;SG_Criteria!$B$42),"FAIL: PUB 001C covers manholes up to "&amp;SG_Criteria!$B$42&amp;" m deep only. ","")&amp;IF(AND(LEFT(C168,11)="Rectangular",J168&lt;SG_Criteria!$B$43),"NOTE: 004C is for sewers &gt;= "&amp;SG_Criteria!$B$43&amp;" dia. ","")&amp;IF(AND(LEFT(C168,7)="Precast",I168&lt;=SG_Criteria!$B$42),"NOTE: 006C is for manholes &gt; "&amp;SG_Criteria!$B$42&amp;" m deep. ","")&amp;IF(AND(J168&lt;&gt;"",J168&lt;SG_Criteria!$B$40,C168&lt;&gt;"Inspection Chamber"),"NOTE: public sewer min dia "&amp;SG_Criteria!$B$40&amp;" mm. ","")&amp;IF(AND(R168&lt;&gt;"",R168&lt;SG_Criteria!$B$44),"FAIL: uplift FOS below "&amp;SG_Criteria!$B$44&amp;". ","")))</f>
        <v/>
      </c>
      <c r="AT168" s="9"/>
      <c r="AU168" s="9"/>
      <c r="AV168" s="9"/>
      <c r="AW168" s="9"/>
      <c r="AX168" s="9"/>
      <c r="AY168" s="31"/>
      <c r="AZ168" s="10" t="str">
        <f aca="false">IF(C168="","",IF(AND(AB168="Approved",ISERROR(SEARCH("FAIL",AS168))),"Y","N"))</f>
        <v/>
      </c>
      <c r="BA168" s="10" t="str">
        <f aca="false">IF(C168="","",C168&amp;"|"&amp;I168&amp;"|"&amp;F168&amp;"|"&amp;AZ168)</f>
        <v/>
      </c>
    </row>
    <row r="169" customFormat="false" ht="15" hidden="false" customHeight="false" outlineLevel="0" collapsed="false">
      <c r="A169" s="10" t="str">
        <f aca="false">IF(C169="","","MH-"&amp;IFERROR(VLOOKUP(C169,Lists!$AB$4:$AC$20,2,0),"??")&amp;"-"&amp;TEXT(F169,"0000")&amp;IF(E169="Circular","D","x"&amp;TEXT(G169,"0000"))&amp;"-D"&amp;TEXT(I169*1000,"0000")&amp;"-"&amp;IFERROR(VLOOKUP(D169,Lists!$AE$4:$AF$16,2,0),"??")&amp;"-"&amp;AA169)</f>
        <v/>
      </c>
      <c r="B169" s="10" t="str">
        <f aca="false">IF(C169="","",C169&amp;", "&amp;D169&amp;", "&amp;IF(E169="Circular",F169&amp;" dia",F169&amp;" x "&amp;G169)&amp;", depth "&amp;TEXT(H169,"0.0")&amp;"-"&amp;TEXT(I169,"0.0")&amp;" m, pipe up to "&amp;J169&amp;" dia")</f>
        <v/>
      </c>
      <c r="C169" s="9"/>
      <c r="D169" s="9"/>
      <c r="E169" s="9"/>
      <c r="F169" s="40"/>
      <c r="G169" s="40"/>
      <c r="H169" s="43"/>
      <c r="I169" s="43"/>
      <c r="J169" s="40"/>
      <c r="K169" s="40"/>
      <c r="L169" s="40"/>
      <c r="M169" s="40"/>
      <c r="N169" s="9"/>
      <c r="O169" s="9"/>
      <c r="P169" s="9"/>
      <c r="Q169" s="9"/>
      <c r="R169" s="41"/>
      <c r="S169" s="9"/>
      <c r="T169" s="40"/>
      <c r="U169" s="9"/>
      <c r="V169" s="9"/>
      <c r="W169" s="9"/>
      <c r="X169" s="9"/>
      <c r="Y169" s="9"/>
      <c r="Z169" s="9"/>
      <c r="AA169" s="9"/>
      <c r="AB169" s="9"/>
      <c r="AC169" s="9"/>
      <c r="AD169" s="9"/>
      <c r="AE169" s="9"/>
      <c r="AF169" s="10" t="str">
        <f aca="false">IF(A169="","",SG_Criteria!$B$6&amp;SG_Criteria!$B$10&amp;"\"&amp;A169&amp;"\")</f>
        <v/>
      </c>
      <c r="AG169" s="10" t="str">
        <f aca="false">IF(A169="","",A169&amp;"_CAD.dwg")</f>
        <v/>
      </c>
      <c r="AH169" s="10" t="str">
        <f aca="false">IF(A169="","",A169&amp;"_DWG.pdf")</f>
        <v/>
      </c>
      <c r="AI169" s="10" t="str">
        <f aca="false">IF(A169="","",IF(AE169="Y",A169&amp;"_STAAD.std","n/a"))</f>
        <v/>
      </c>
      <c r="AJ169" s="10" t="str">
        <f aca="false">IF(A169="","",A169&amp;"_CALC.xlsx")</f>
        <v/>
      </c>
      <c r="AK169" s="10" t="str">
        <f aca="false">IF(A169="","",A169&amp;"_CALC.pdf")</f>
        <v/>
      </c>
      <c r="AL169" s="9"/>
      <c r="AM169" s="9"/>
      <c r="AN169" s="41"/>
      <c r="AO169" s="41"/>
      <c r="AP169" s="41"/>
      <c r="AQ169" s="41"/>
      <c r="AR169" s="41"/>
      <c r="AS169" s="38" t="str">
        <f aca="false">IF(C169="","",IF(LEN(IF(AND(S169&lt;&gt;"",IFERROR(VALUE(MID(S169,2,2)),0)&lt;SG_Criteria!$B$19),"FAIL: grade below C"&amp;SG_Criteria!$B$19&amp;". ","")&amp;IF(AND(T169&lt;&gt;"",T169&lt;SG_Criteria!$B$20),"FAIL: cover &lt; "&amp;SG_Criteria!$B$20&amp;" mm. ","")&amp;IF(AND(H169&lt;&gt;"",H169&lt;SG_Criteria!$B$39),"NOTE: min depth below PUB "&amp;SG_Criteria!$B$39&amp;" m. ","")&amp;IF(AND(LEFT(C169,8)="Standard",I169&gt;SG_Criteria!$B$42),"FAIL: PUB 001C covers manholes up to "&amp;SG_Criteria!$B$42&amp;" m deep only. ","")&amp;IF(AND(LEFT(C169,11)="Rectangular",J169&lt;SG_Criteria!$B$43),"NOTE: 004C is for sewers &gt;= "&amp;SG_Criteria!$B$43&amp;" dia. ","")&amp;IF(AND(LEFT(C169,7)="Precast",I169&lt;=SG_Criteria!$B$42),"NOTE: 006C is for manholes &gt; "&amp;SG_Criteria!$B$42&amp;" m deep. ","")&amp;IF(AND(J169&lt;&gt;"",J169&lt;SG_Criteria!$B$40,C169&lt;&gt;"Inspection Chamber"),"NOTE: public sewer min dia "&amp;SG_Criteria!$B$40&amp;" mm. ","")&amp;IF(AND(R169&lt;&gt;"",R169&lt;SG_Criteria!$B$44),"FAIL: uplift FOS below "&amp;SG_Criteria!$B$44&amp;". ",""))=0,"OK",IF(AND(S169&lt;&gt;"",IFERROR(VALUE(MID(S169,2,2)),0)&lt;SG_Criteria!$B$19),"FAIL: grade below C"&amp;SG_Criteria!$B$19&amp;". ","")&amp;IF(AND(T169&lt;&gt;"",T169&lt;SG_Criteria!$B$20),"FAIL: cover &lt; "&amp;SG_Criteria!$B$20&amp;" mm. ","")&amp;IF(AND(H169&lt;&gt;"",H169&lt;SG_Criteria!$B$39),"NOTE: min depth below PUB "&amp;SG_Criteria!$B$39&amp;" m. ","")&amp;IF(AND(LEFT(C169,8)="Standard",I169&gt;SG_Criteria!$B$42),"FAIL: PUB 001C covers manholes up to "&amp;SG_Criteria!$B$42&amp;" m deep only. ","")&amp;IF(AND(LEFT(C169,11)="Rectangular",J169&lt;SG_Criteria!$B$43),"NOTE: 004C is for sewers &gt;= "&amp;SG_Criteria!$B$43&amp;" dia. ","")&amp;IF(AND(LEFT(C169,7)="Precast",I169&lt;=SG_Criteria!$B$42),"NOTE: 006C is for manholes &gt; "&amp;SG_Criteria!$B$42&amp;" m deep. ","")&amp;IF(AND(J169&lt;&gt;"",J169&lt;SG_Criteria!$B$40,C169&lt;&gt;"Inspection Chamber"),"NOTE: public sewer min dia "&amp;SG_Criteria!$B$40&amp;" mm. ","")&amp;IF(AND(R169&lt;&gt;"",R169&lt;SG_Criteria!$B$44),"FAIL: uplift FOS below "&amp;SG_Criteria!$B$44&amp;". ","")))</f>
        <v/>
      </c>
      <c r="AT169" s="9"/>
      <c r="AU169" s="9"/>
      <c r="AV169" s="9"/>
      <c r="AW169" s="9"/>
      <c r="AX169" s="9"/>
      <c r="AY169" s="31"/>
      <c r="AZ169" s="10" t="str">
        <f aca="false">IF(C169="","",IF(AND(AB169="Approved",ISERROR(SEARCH("FAIL",AS169))),"Y","N"))</f>
        <v/>
      </c>
      <c r="BA169" s="10" t="str">
        <f aca="false">IF(C169="","",C169&amp;"|"&amp;I169&amp;"|"&amp;F169&amp;"|"&amp;AZ169)</f>
        <v/>
      </c>
    </row>
    <row r="170" customFormat="false" ht="15" hidden="false" customHeight="false" outlineLevel="0" collapsed="false">
      <c r="A170" s="10" t="str">
        <f aca="false">IF(C170="","","MH-"&amp;IFERROR(VLOOKUP(C170,Lists!$AB$4:$AC$20,2,0),"??")&amp;"-"&amp;TEXT(F170,"0000")&amp;IF(E170="Circular","D","x"&amp;TEXT(G170,"0000"))&amp;"-D"&amp;TEXT(I170*1000,"0000")&amp;"-"&amp;IFERROR(VLOOKUP(D170,Lists!$AE$4:$AF$16,2,0),"??")&amp;"-"&amp;AA170)</f>
        <v/>
      </c>
      <c r="B170" s="10" t="str">
        <f aca="false">IF(C170="","",C170&amp;", "&amp;D170&amp;", "&amp;IF(E170="Circular",F170&amp;" dia",F170&amp;" x "&amp;G170)&amp;", depth "&amp;TEXT(H170,"0.0")&amp;"-"&amp;TEXT(I170,"0.0")&amp;" m, pipe up to "&amp;J170&amp;" dia")</f>
        <v/>
      </c>
      <c r="C170" s="9"/>
      <c r="D170" s="9"/>
      <c r="E170" s="9"/>
      <c r="F170" s="40"/>
      <c r="G170" s="40"/>
      <c r="H170" s="43"/>
      <c r="I170" s="43"/>
      <c r="J170" s="40"/>
      <c r="K170" s="40"/>
      <c r="L170" s="40"/>
      <c r="M170" s="40"/>
      <c r="N170" s="9"/>
      <c r="O170" s="9"/>
      <c r="P170" s="9"/>
      <c r="Q170" s="9"/>
      <c r="R170" s="41"/>
      <c r="S170" s="9"/>
      <c r="T170" s="40"/>
      <c r="U170" s="9"/>
      <c r="V170" s="9"/>
      <c r="W170" s="9"/>
      <c r="X170" s="9"/>
      <c r="Y170" s="9"/>
      <c r="Z170" s="9"/>
      <c r="AA170" s="9"/>
      <c r="AB170" s="9"/>
      <c r="AC170" s="9"/>
      <c r="AD170" s="9"/>
      <c r="AE170" s="9"/>
      <c r="AF170" s="10" t="str">
        <f aca="false">IF(A170="","",SG_Criteria!$B$6&amp;SG_Criteria!$B$10&amp;"\"&amp;A170&amp;"\")</f>
        <v/>
      </c>
      <c r="AG170" s="10" t="str">
        <f aca="false">IF(A170="","",A170&amp;"_CAD.dwg")</f>
        <v/>
      </c>
      <c r="AH170" s="10" t="str">
        <f aca="false">IF(A170="","",A170&amp;"_DWG.pdf")</f>
        <v/>
      </c>
      <c r="AI170" s="10" t="str">
        <f aca="false">IF(A170="","",IF(AE170="Y",A170&amp;"_STAAD.std","n/a"))</f>
        <v/>
      </c>
      <c r="AJ170" s="10" t="str">
        <f aca="false">IF(A170="","",A170&amp;"_CALC.xlsx")</f>
        <v/>
      </c>
      <c r="AK170" s="10" t="str">
        <f aca="false">IF(A170="","",A170&amp;"_CALC.pdf")</f>
        <v/>
      </c>
      <c r="AL170" s="9"/>
      <c r="AM170" s="9"/>
      <c r="AN170" s="41"/>
      <c r="AO170" s="41"/>
      <c r="AP170" s="41"/>
      <c r="AQ170" s="41"/>
      <c r="AR170" s="41"/>
      <c r="AS170" s="38" t="str">
        <f aca="false">IF(C170="","",IF(LEN(IF(AND(S170&lt;&gt;"",IFERROR(VALUE(MID(S170,2,2)),0)&lt;SG_Criteria!$B$19),"FAIL: grade below C"&amp;SG_Criteria!$B$19&amp;". ","")&amp;IF(AND(T170&lt;&gt;"",T170&lt;SG_Criteria!$B$20),"FAIL: cover &lt; "&amp;SG_Criteria!$B$20&amp;" mm. ","")&amp;IF(AND(H170&lt;&gt;"",H170&lt;SG_Criteria!$B$39),"NOTE: min depth below PUB "&amp;SG_Criteria!$B$39&amp;" m. ","")&amp;IF(AND(LEFT(C170,8)="Standard",I170&gt;SG_Criteria!$B$42),"FAIL: PUB 001C covers manholes up to "&amp;SG_Criteria!$B$42&amp;" m deep only. ","")&amp;IF(AND(LEFT(C170,11)="Rectangular",J170&lt;SG_Criteria!$B$43),"NOTE: 004C is for sewers &gt;= "&amp;SG_Criteria!$B$43&amp;" dia. ","")&amp;IF(AND(LEFT(C170,7)="Precast",I170&lt;=SG_Criteria!$B$42),"NOTE: 006C is for manholes &gt; "&amp;SG_Criteria!$B$42&amp;" m deep. ","")&amp;IF(AND(J170&lt;&gt;"",J170&lt;SG_Criteria!$B$40,C170&lt;&gt;"Inspection Chamber"),"NOTE: public sewer min dia "&amp;SG_Criteria!$B$40&amp;" mm. ","")&amp;IF(AND(R170&lt;&gt;"",R170&lt;SG_Criteria!$B$44),"FAIL: uplift FOS below "&amp;SG_Criteria!$B$44&amp;". ",""))=0,"OK",IF(AND(S170&lt;&gt;"",IFERROR(VALUE(MID(S170,2,2)),0)&lt;SG_Criteria!$B$19),"FAIL: grade below C"&amp;SG_Criteria!$B$19&amp;". ","")&amp;IF(AND(T170&lt;&gt;"",T170&lt;SG_Criteria!$B$20),"FAIL: cover &lt; "&amp;SG_Criteria!$B$20&amp;" mm. ","")&amp;IF(AND(H170&lt;&gt;"",H170&lt;SG_Criteria!$B$39),"NOTE: min depth below PUB "&amp;SG_Criteria!$B$39&amp;" m. ","")&amp;IF(AND(LEFT(C170,8)="Standard",I170&gt;SG_Criteria!$B$42),"FAIL: PUB 001C covers manholes up to "&amp;SG_Criteria!$B$42&amp;" m deep only. ","")&amp;IF(AND(LEFT(C170,11)="Rectangular",J170&lt;SG_Criteria!$B$43),"NOTE: 004C is for sewers &gt;= "&amp;SG_Criteria!$B$43&amp;" dia. ","")&amp;IF(AND(LEFT(C170,7)="Precast",I170&lt;=SG_Criteria!$B$42),"NOTE: 006C is for manholes &gt; "&amp;SG_Criteria!$B$42&amp;" m deep. ","")&amp;IF(AND(J170&lt;&gt;"",J170&lt;SG_Criteria!$B$40,C170&lt;&gt;"Inspection Chamber"),"NOTE: public sewer min dia "&amp;SG_Criteria!$B$40&amp;" mm. ","")&amp;IF(AND(R170&lt;&gt;"",R170&lt;SG_Criteria!$B$44),"FAIL: uplift FOS below "&amp;SG_Criteria!$B$44&amp;". ","")))</f>
        <v/>
      </c>
      <c r="AT170" s="9"/>
      <c r="AU170" s="9"/>
      <c r="AV170" s="9"/>
      <c r="AW170" s="9"/>
      <c r="AX170" s="9"/>
      <c r="AY170" s="31"/>
      <c r="AZ170" s="10" t="str">
        <f aca="false">IF(C170="","",IF(AND(AB170="Approved",ISERROR(SEARCH("FAIL",AS170))),"Y","N"))</f>
        <v/>
      </c>
      <c r="BA170" s="10" t="str">
        <f aca="false">IF(C170="","",C170&amp;"|"&amp;I170&amp;"|"&amp;F170&amp;"|"&amp;AZ170)</f>
        <v/>
      </c>
    </row>
    <row r="171" customFormat="false" ht="15" hidden="false" customHeight="false" outlineLevel="0" collapsed="false">
      <c r="A171" s="10" t="str">
        <f aca="false">IF(C171="","","MH-"&amp;IFERROR(VLOOKUP(C171,Lists!$AB$4:$AC$20,2,0),"??")&amp;"-"&amp;TEXT(F171,"0000")&amp;IF(E171="Circular","D","x"&amp;TEXT(G171,"0000"))&amp;"-D"&amp;TEXT(I171*1000,"0000")&amp;"-"&amp;IFERROR(VLOOKUP(D171,Lists!$AE$4:$AF$16,2,0),"??")&amp;"-"&amp;AA171)</f>
        <v/>
      </c>
      <c r="B171" s="10" t="str">
        <f aca="false">IF(C171="","",C171&amp;", "&amp;D171&amp;", "&amp;IF(E171="Circular",F171&amp;" dia",F171&amp;" x "&amp;G171)&amp;", depth "&amp;TEXT(H171,"0.0")&amp;"-"&amp;TEXT(I171,"0.0")&amp;" m, pipe up to "&amp;J171&amp;" dia")</f>
        <v/>
      </c>
      <c r="C171" s="9"/>
      <c r="D171" s="9"/>
      <c r="E171" s="9"/>
      <c r="F171" s="40"/>
      <c r="G171" s="40"/>
      <c r="H171" s="43"/>
      <c r="I171" s="43"/>
      <c r="J171" s="40"/>
      <c r="K171" s="40"/>
      <c r="L171" s="40"/>
      <c r="M171" s="40"/>
      <c r="N171" s="9"/>
      <c r="O171" s="9"/>
      <c r="P171" s="9"/>
      <c r="Q171" s="9"/>
      <c r="R171" s="41"/>
      <c r="S171" s="9"/>
      <c r="T171" s="40"/>
      <c r="U171" s="9"/>
      <c r="V171" s="9"/>
      <c r="W171" s="9"/>
      <c r="X171" s="9"/>
      <c r="Y171" s="9"/>
      <c r="Z171" s="9"/>
      <c r="AA171" s="9"/>
      <c r="AB171" s="9"/>
      <c r="AC171" s="9"/>
      <c r="AD171" s="9"/>
      <c r="AE171" s="9"/>
      <c r="AF171" s="10" t="str">
        <f aca="false">IF(A171="","",SG_Criteria!$B$6&amp;SG_Criteria!$B$10&amp;"\"&amp;A171&amp;"\")</f>
        <v/>
      </c>
      <c r="AG171" s="10" t="str">
        <f aca="false">IF(A171="","",A171&amp;"_CAD.dwg")</f>
        <v/>
      </c>
      <c r="AH171" s="10" t="str">
        <f aca="false">IF(A171="","",A171&amp;"_DWG.pdf")</f>
        <v/>
      </c>
      <c r="AI171" s="10" t="str">
        <f aca="false">IF(A171="","",IF(AE171="Y",A171&amp;"_STAAD.std","n/a"))</f>
        <v/>
      </c>
      <c r="AJ171" s="10" t="str">
        <f aca="false">IF(A171="","",A171&amp;"_CALC.xlsx")</f>
        <v/>
      </c>
      <c r="AK171" s="10" t="str">
        <f aca="false">IF(A171="","",A171&amp;"_CALC.pdf")</f>
        <v/>
      </c>
      <c r="AL171" s="9"/>
      <c r="AM171" s="9"/>
      <c r="AN171" s="41"/>
      <c r="AO171" s="41"/>
      <c r="AP171" s="41"/>
      <c r="AQ171" s="41"/>
      <c r="AR171" s="41"/>
      <c r="AS171" s="38" t="str">
        <f aca="false">IF(C171="","",IF(LEN(IF(AND(S171&lt;&gt;"",IFERROR(VALUE(MID(S171,2,2)),0)&lt;SG_Criteria!$B$19),"FAIL: grade below C"&amp;SG_Criteria!$B$19&amp;". ","")&amp;IF(AND(T171&lt;&gt;"",T171&lt;SG_Criteria!$B$20),"FAIL: cover &lt; "&amp;SG_Criteria!$B$20&amp;" mm. ","")&amp;IF(AND(H171&lt;&gt;"",H171&lt;SG_Criteria!$B$39),"NOTE: min depth below PUB "&amp;SG_Criteria!$B$39&amp;" m. ","")&amp;IF(AND(LEFT(C171,8)="Standard",I171&gt;SG_Criteria!$B$42),"FAIL: PUB 001C covers manholes up to "&amp;SG_Criteria!$B$42&amp;" m deep only. ","")&amp;IF(AND(LEFT(C171,11)="Rectangular",J171&lt;SG_Criteria!$B$43),"NOTE: 004C is for sewers &gt;= "&amp;SG_Criteria!$B$43&amp;" dia. ","")&amp;IF(AND(LEFT(C171,7)="Precast",I171&lt;=SG_Criteria!$B$42),"NOTE: 006C is for manholes &gt; "&amp;SG_Criteria!$B$42&amp;" m deep. ","")&amp;IF(AND(J171&lt;&gt;"",J171&lt;SG_Criteria!$B$40,C171&lt;&gt;"Inspection Chamber"),"NOTE: public sewer min dia "&amp;SG_Criteria!$B$40&amp;" mm. ","")&amp;IF(AND(R171&lt;&gt;"",R171&lt;SG_Criteria!$B$44),"FAIL: uplift FOS below "&amp;SG_Criteria!$B$44&amp;". ",""))=0,"OK",IF(AND(S171&lt;&gt;"",IFERROR(VALUE(MID(S171,2,2)),0)&lt;SG_Criteria!$B$19),"FAIL: grade below C"&amp;SG_Criteria!$B$19&amp;". ","")&amp;IF(AND(T171&lt;&gt;"",T171&lt;SG_Criteria!$B$20),"FAIL: cover &lt; "&amp;SG_Criteria!$B$20&amp;" mm. ","")&amp;IF(AND(H171&lt;&gt;"",H171&lt;SG_Criteria!$B$39),"NOTE: min depth below PUB "&amp;SG_Criteria!$B$39&amp;" m. ","")&amp;IF(AND(LEFT(C171,8)="Standard",I171&gt;SG_Criteria!$B$42),"FAIL: PUB 001C covers manholes up to "&amp;SG_Criteria!$B$42&amp;" m deep only. ","")&amp;IF(AND(LEFT(C171,11)="Rectangular",J171&lt;SG_Criteria!$B$43),"NOTE: 004C is for sewers &gt;= "&amp;SG_Criteria!$B$43&amp;" dia. ","")&amp;IF(AND(LEFT(C171,7)="Precast",I171&lt;=SG_Criteria!$B$42),"NOTE: 006C is for manholes &gt; "&amp;SG_Criteria!$B$42&amp;" m deep. ","")&amp;IF(AND(J171&lt;&gt;"",J171&lt;SG_Criteria!$B$40,C171&lt;&gt;"Inspection Chamber"),"NOTE: public sewer min dia "&amp;SG_Criteria!$B$40&amp;" mm. ","")&amp;IF(AND(R171&lt;&gt;"",R171&lt;SG_Criteria!$B$44),"FAIL: uplift FOS below "&amp;SG_Criteria!$B$44&amp;". ","")))</f>
        <v/>
      </c>
      <c r="AT171" s="9"/>
      <c r="AU171" s="9"/>
      <c r="AV171" s="9"/>
      <c r="AW171" s="9"/>
      <c r="AX171" s="9"/>
      <c r="AY171" s="31"/>
      <c r="AZ171" s="10" t="str">
        <f aca="false">IF(C171="","",IF(AND(AB171="Approved",ISERROR(SEARCH("FAIL",AS171))),"Y","N"))</f>
        <v/>
      </c>
      <c r="BA171" s="10" t="str">
        <f aca="false">IF(C171="","",C171&amp;"|"&amp;I171&amp;"|"&amp;F171&amp;"|"&amp;AZ171)</f>
        <v/>
      </c>
    </row>
    <row r="172" customFormat="false" ht="15" hidden="false" customHeight="false" outlineLevel="0" collapsed="false">
      <c r="A172" s="10" t="str">
        <f aca="false">IF(C172="","","MH-"&amp;IFERROR(VLOOKUP(C172,Lists!$AB$4:$AC$20,2,0),"??")&amp;"-"&amp;TEXT(F172,"0000")&amp;IF(E172="Circular","D","x"&amp;TEXT(G172,"0000"))&amp;"-D"&amp;TEXT(I172*1000,"0000")&amp;"-"&amp;IFERROR(VLOOKUP(D172,Lists!$AE$4:$AF$16,2,0),"??")&amp;"-"&amp;AA172)</f>
        <v/>
      </c>
      <c r="B172" s="10" t="str">
        <f aca="false">IF(C172="","",C172&amp;", "&amp;D172&amp;", "&amp;IF(E172="Circular",F172&amp;" dia",F172&amp;" x "&amp;G172)&amp;", depth "&amp;TEXT(H172,"0.0")&amp;"-"&amp;TEXT(I172,"0.0")&amp;" m, pipe up to "&amp;J172&amp;" dia")</f>
        <v/>
      </c>
      <c r="C172" s="9"/>
      <c r="D172" s="9"/>
      <c r="E172" s="9"/>
      <c r="F172" s="40"/>
      <c r="G172" s="40"/>
      <c r="H172" s="43"/>
      <c r="I172" s="43"/>
      <c r="J172" s="40"/>
      <c r="K172" s="40"/>
      <c r="L172" s="40"/>
      <c r="M172" s="40"/>
      <c r="N172" s="9"/>
      <c r="O172" s="9"/>
      <c r="P172" s="9"/>
      <c r="Q172" s="9"/>
      <c r="R172" s="41"/>
      <c r="S172" s="9"/>
      <c r="T172" s="40"/>
      <c r="U172" s="9"/>
      <c r="V172" s="9"/>
      <c r="W172" s="9"/>
      <c r="X172" s="9"/>
      <c r="Y172" s="9"/>
      <c r="Z172" s="9"/>
      <c r="AA172" s="9"/>
      <c r="AB172" s="9"/>
      <c r="AC172" s="9"/>
      <c r="AD172" s="9"/>
      <c r="AE172" s="9"/>
      <c r="AF172" s="10" t="str">
        <f aca="false">IF(A172="","",SG_Criteria!$B$6&amp;SG_Criteria!$B$10&amp;"\"&amp;A172&amp;"\")</f>
        <v/>
      </c>
      <c r="AG172" s="10" t="str">
        <f aca="false">IF(A172="","",A172&amp;"_CAD.dwg")</f>
        <v/>
      </c>
      <c r="AH172" s="10" t="str">
        <f aca="false">IF(A172="","",A172&amp;"_DWG.pdf")</f>
        <v/>
      </c>
      <c r="AI172" s="10" t="str">
        <f aca="false">IF(A172="","",IF(AE172="Y",A172&amp;"_STAAD.std","n/a"))</f>
        <v/>
      </c>
      <c r="AJ172" s="10" t="str">
        <f aca="false">IF(A172="","",A172&amp;"_CALC.xlsx")</f>
        <v/>
      </c>
      <c r="AK172" s="10" t="str">
        <f aca="false">IF(A172="","",A172&amp;"_CALC.pdf")</f>
        <v/>
      </c>
      <c r="AL172" s="9"/>
      <c r="AM172" s="9"/>
      <c r="AN172" s="41"/>
      <c r="AO172" s="41"/>
      <c r="AP172" s="41"/>
      <c r="AQ172" s="41"/>
      <c r="AR172" s="41"/>
      <c r="AS172" s="38" t="str">
        <f aca="false">IF(C172="","",IF(LEN(IF(AND(S172&lt;&gt;"",IFERROR(VALUE(MID(S172,2,2)),0)&lt;SG_Criteria!$B$19),"FAIL: grade below C"&amp;SG_Criteria!$B$19&amp;". ","")&amp;IF(AND(T172&lt;&gt;"",T172&lt;SG_Criteria!$B$20),"FAIL: cover &lt; "&amp;SG_Criteria!$B$20&amp;" mm. ","")&amp;IF(AND(H172&lt;&gt;"",H172&lt;SG_Criteria!$B$39),"NOTE: min depth below PUB "&amp;SG_Criteria!$B$39&amp;" m. ","")&amp;IF(AND(LEFT(C172,8)="Standard",I172&gt;SG_Criteria!$B$42),"FAIL: PUB 001C covers manholes up to "&amp;SG_Criteria!$B$42&amp;" m deep only. ","")&amp;IF(AND(LEFT(C172,11)="Rectangular",J172&lt;SG_Criteria!$B$43),"NOTE: 004C is for sewers &gt;= "&amp;SG_Criteria!$B$43&amp;" dia. ","")&amp;IF(AND(LEFT(C172,7)="Precast",I172&lt;=SG_Criteria!$B$42),"NOTE: 006C is for manholes &gt; "&amp;SG_Criteria!$B$42&amp;" m deep. ","")&amp;IF(AND(J172&lt;&gt;"",J172&lt;SG_Criteria!$B$40,C172&lt;&gt;"Inspection Chamber"),"NOTE: public sewer min dia "&amp;SG_Criteria!$B$40&amp;" mm. ","")&amp;IF(AND(R172&lt;&gt;"",R172&lt;SG_Criteria!$B$44),"FAIL: uplift FOS below "&amp;SG_Criteria!$B$44&amp;". ",""))=0,"OK",IF(AND(S172&lt;&gt;"",IFERROR(VALUE(MID(S172,2,2)),0)&lt;SG_Criteria!$B$19),"FAIL: grade below C"&amp;SG_Criteria!$B$19&amp;". ","")&amp;IF(AND(T172&lt;&gt;"",T172&lt;SG_Criteria!$B$20),"FAIL: cover &lt; "&amp;SG_Criteria!$B$20&amp;" mm. ","")&amp;IF(AND(H172&lt;&gt;"",H172&lt;SG_Criteria!$B$39),"NOTE: min depth below PUB "&amp;SG_Criteria!$B$39&amp;" m. ","")&amp;IF(AND(LEFT(C172,8)="Standard",I172&gt;SG_Criteria!$B$42),"FAIL: PUB 001C covers manholes up to "&amp;SG_Criteria!$B$42&amp;" m deep only. ","")&amp;IF(AND(LEFT(C172,11)="Rectangular",J172&lt;SG_Criteria!$B$43),"NOTE: 004C is for sewers &gt;= "&amp;SG_Criteria!$B$43&amp;" dia. ","")&amp;IF(AND(LEFT(C172,7)="Precast",I172&lt;=SG_Criteria!$B$42),"NOTE: 006C is for manholes &gt; "&amp;SG_Criteria!$B$42&amp;" m deep. ","")&amp;IF(AND(J172&lt;&gt;"",J172&lt;SG_Criteria!$B$40,C172&lt;&gt;"Inspection Chamber"),"NOTE: public sewer min dia "&amp;SG_Criteria!$B$40&amp;" mm. ","")&amp;IF(AND(R172&lt;&gt;"",R172&lt;SG_Criteria!$B$44),"FAIL: uplift FOS below "&amp;SG_Criteria!$B$44&amp;". ","")))</f>
        <v/>
      </c>
      <c r="AT172" s="9"/>
      <c r="AU172" s="9"/>
      <c r="AV172" s="9"/>
      <c r="AW172" s="9"/>
      <c r="AX172" s="9"/>
      <c r="AY172" s="31"/>
      <c r="AZ172" s="10" t="str">
        <f aca="false">IF(C172="","",IF(AND(AB172="Approved",ISERROR(SEARCH("FAIL",AS172))),"Y","N"))</f>
        <v/>
      </c>
      <c r="BA172" s="10" t="str">
        <f aca="false">IF(C172="","",C172&amp;"|"&amp;I172&amp;"|"&amp;F172&amp;"|"&amp;AZ172)</f>
        <v/>
      </c>
    </row>
    <row r="173" customFormat="false" ht="15" hidden="false" customHeight="false" outlineLevel="0" collapsed="false">
      <c r="A173" s="10" t="str">
        <f aca="false">IF(C173="","","MH-"&amp;IFERROR(VLOOKUP(C173,Lists!$AB$4:$AC$20,2,0),"??")&amp;"-"&amp;TEXT(F173,"0000")&amp;IF(E173="Circular","D","x"&amp;TEXT(G173,"0000"))&amp;"-D"&amp;TEXT(I173*1000,"0000")&amp;"-"&amp;IFERROR(VLOOKUP(D173,Lists!$AE$4:$AF$16,2,0),"??")&amp;"-"&amp;AA173)</f>
        <v/>
      </c>
      <c r="B173" s="10" t="str">
        <f aca="false">IF(C173="","",C173&amp;", "&amp;D173&amp;", "&amp;IF(E173="Circular",F173&amp;" dia",F173&amp;" x "&amp;G173)&amp;", depth "&amp;TEXT(H173,"0.0")&amp;"-"&amp;TEXT(I173,"0.0")&amp;" m, pipe up to "&amp;J173&amp;" dia")</f>
        <v/>
      </c>
      <c r="C173" s="9"/>
      <c r="D173" s="9"/>
      <c r="E173" s="9"/>
      <c r="F173" s="40"/>
      <c r="G173" s="40"/>
      <c r="H173" s="43"/>
      <c r="I173" s="43"/>
      <c r="J173" s="40"/>
      <c r="K173" s="40"/>
      <c r="L173" s="40"/>
      <c r="M173" s="40"/>
      <c r="N173" s="9"/>
      <c r="O173" s="9"/>
      <c r="P173" s="9"/>
      <c r="Q173" s="9"/>
      <c r="R173" s="41"/>
      <c r="S173" s="9"/>
      <c r="T173" s="40"/>
      <c r="U173" s="9"/>
      <c r="V173" s="9"/>
      <c r="W173" s="9"/>
      <c r="X173" s="9"/>
      <c r="Y173" s="9"/>
      <c r="Z173" s="9"/>
      <c r="AA173" s="9"/>
      <c r="AB173" s="9"/>
      <c r="AC173" s="9"/>
      <c r="AD173" s="9"/>
      <c r="AE173" s="9"/>
      <c r="AF173" s="10" t="str">
        <f aca="false">IF(A173="","",SG_Criteria!$B$6&amp;SG_Criteria!$B$10&amp;"\"&amp;A173&amp;"\")</f>
        <v/>
      </c>
      <c r="AG173" s="10" t="str">
        <f aca="false">IF(A173="","",A173&amp;"_CAD.dwg")</f>
        <v/>
      </c>
      <c r="AH173" s="10" t="str">
        <f aca="false">IF(A173="","",A173&amp;"_DWG.pdf")</f>
        <v/>
      </c>
      <c r="AI173" s="10" t="str">
        <f aca="false">IF(A173="","",IF(AE173="Y",A173&amp;"_STAAD.std","n/a"))</f>
        <v/>
      </c>
      <c r="AJ173" s="10" t="str">
        <f aca="false">IF(A173="","",A173&amp;"_CALC.xlsx")</f>
        <v/>
      </c>
      <c r="AK173" s="10" t="str">
        <f aca="false">IF(A173="","",A173&amp;"_CALC.pdf")</f>
        <v/>
      </c>
      <c r="AL173" s="9"/>
      <c r="AM173" s="9"/>
      <c r="AN173" s="41"/>
      <c r="AO173" s="41"/>
      <c r="AP173" s="41"/>
      <c r="AQ173" s="41"/>
      <c r="AR173" s="41"/>
      <c r="AS173" s="38" t="str">
        <f aca="false">IF(C173="","",IF(LEN(IF(AND(S173&lt;&gt;"",IFERROR(VALUE(MID(S173,2,2)),0)&lt;SG_Criteria!$B$19),"FAIL: grade below C"&amp;SG_Criteria!$B$19&amp;". ","")&amp;IF(AND(T173&lt;&gt;"",T173&lt;SG_Criteria!$B$20),"FAIL: cover &lt; "&amp;SG_Criteria!$B$20&amp;" mm. ","")&amp;IF(AND(H173&lt;&gt;"",H173&lt;SG_Criteria!$B$39),"NOTE: min depth below PUB "&amp;SG_Criteria!$B$39&amp;" m. ","")&amp;IF(AND(LEFT(C173,8)="Standard",I173&gt;SG_Criteria!$B$42),"FAIL: PUB 001C covers manholes up to "&amp;SG_Criteria!$B$42&amp;" m deep only. ","")&amp;IF(AND(LEFT(C173,11)="Rectangular",J173&lt;SG_Criteria!$B$43),"NOTE: 004C is for sewers &gt;= "&amp;SG_Criteria!$B$43&amp;" dia. ","")&amp;IF(AND(LEFT(C173,7)="Precast",I173&lt;=SG_Criteria!$B$42),"NOTE: 006C is for manholes &gt; "&amp;SG_Criteria!$B$42&amp;" m deep. ","")&amp;IF(AND(J173&lt;&gt;"",J173&lt;SG_Criteria!$B$40,C173&lt;&gt;"Inspection Chamber"),"NOTE: public sewer min dia "&amp;SG_Criteria!$B$40&amp;" mm. ","")&amp;IF(AND(R173&lt;&gt;"",R173&lt;SG_Criteria!$B$44),"FAIL: uplift FOS below "&amp;SG_Criteria!$B$44&amp;". ",""))=0,"OK",IF(AND(S173&lt;&gt;"",IFERROR(VALUE(MID(S173,2,2)),0)&lt;SG_Criteria!$B$19),"FAIL: grade below C"&amp;SG_Criteria!$B$19&amp;". ","")&amp;IF(AND(T173&lt;&gt;"",T173&lt;SG_Criteria!$B$20),"FAIL: cover &lt; "&amp;SG_Criteria!$B$20&amp;" mm. ","")&amp;IF(AND(H173&lt;&gt;"",H173&lt;SG_Criteria!$B$39),"NOTE: min depth below PUB "&amp;SG_Criteria!$B$39&amp;" m. ","")&amp;IF(AND(LEFT(C173,8)="Standard",I173&gt;SG_Criteria!$B$42),"FAIL: PUB 001C covers manholes up to "&amp;SG_Criteria!$B$42&amp;" m deep only. ","")&amp;IF(AND(LEFT(C173,11)="Rectangular",J173&lt;SG_Criteria!$B$43),"NOTE: 004C is for sewers &gt;= "&amp;SG_Criteria!$B$43&amp;" dia. ","")&amp;IF(AND(LEFT(C173,7)="Precast",I173&lt;=SG_Criteria!$B$42),"NOTE: 006C is for manholes &gt; "&amp;SG_Criteria!$B$42&amp;" m deep. ","")&amp;IF(AND(J173&lt;&gt;"",J173&lt;SG_Criteria!$B$40,C173&lt;&gt;"Inspection Chamber"),"NOTE: public sewer min dia "&amp;SG_Criteria!$B$40&amp;" mm. ","")&amp;IF(AND(R173&lt;&gt;"",R173&lt;SG_Criteria!$B$44),"FAIL: uplift FOS below "&amp;SG_Criteria!$B$44&amp;". ","")))</f>
        <v/>
      </c>
      <c r="AT173" s="9"/>
      <c r="AU173" s="9"/>
      <c r="AV173" s="9"/>
      <c r="AW173" s="9"/>
      <c r="AX173" s="9"/>
      <c r="AY173" s="31"/>
      <c r="AZ173" s="10" t="str">
        <f aca="false">IF(C173="","",IF(AND(AB173="Approved",ISERROR(SEARCH("FAIL",AS173))),"Y","N"))</f>
        <v/>
      </c>
      <c r="BA173" s="10" t="str">
        <f aca="false">IF(C173="","",C173&amp;"|"&amp;I173&amp;"|"&amp;F173&amp;"|"&amp;AZ173)</f>
        <v/>
      </c>
    </row>
    <row r="174" customFormat="false" ht="15" hidden="false" customHeight="false" outlineLevel="0" collapsed="false">
      <c r="A174" s="10" t="str">
        <f aca="false">IF(C174="","","MH-"&amp;IFERROR(VLOOKUP(C174,Lists!$AB$4:$AC$20,2,0),"??")&amp;"-"&amp;TEXT(F174,"0000")&amp;IF(E174="Circular","D","x"&amp;TEXT(G174,"0000"))&amp;"-D"&amp;TEXT(I174*1000,"0000")&amp;"-"&amp;IFERROR(VLOOKUP(D174,Lists!$AE$4:$AF$16,2,0),"??")&amp;"-"&amp;AA174)</f>
        <v/>
      </c>
      <c r="B174" s="10" t="str">
        <f aca="false">IF(C174="","",C174&amp;", "&amp;D174&amp;", "&amp;IF(E174="Circular",F174&amp;" dia",F174&amp;" x "&amp;G174)&amp;", depth "&amp;TEXT(H174,"0.0")&amp;"-"&amp;TEXT(I174,"0.0")&amp;" m, pipe up to "&amp;J174&amp;" dia")</f>
        <v/>
      </c>
      <c r="C174" s="9"/>
      <c r="D174" s="9"/>
      <c r="E174" s="9"/>
      <c r="F174" s="40"/>
      <c r="G174" s="40"/>
      <c r="H174" s="43"/>
      <c r="I174" s="43"/>
      <c r="J174" s="40"/>
      <c r="K174" s="40"/>
      <c r="L174" s="40"/>
      <c r="M174" s="40"/>
      <c r="N174" s="9"/>
      <c r="O174" s="9"/>
      <c r="P174" s="9"/>
      <c r="Q174" s="9"/>
      <c r="R174" s="41"/>
      <c r="S174" s="9"/>
      <c r="T174" s="40"/>
      <c r="U174" s="9"/>
      <c r="V174" s="9"/>
      <c r="W174" s="9"/>
      <c r="X174" s="9"/>
      <c r="Y174" s="9"/>
      <c r="Z174" s="9"/>
      <c r="AA174" s="9"/>
      <c r="AB174" s="9"/>
      <c r="AC174" s="9"/>
      <c r="AD174" s="9"/>
      <c r="AE174" s="9"/>
      <c r="AF174" s="10" t="str">
        <f aca="false">IF(A174="","",SG_Criteria!$B$6&amp;SG_Criteria!$B$10&amp;"\"&amp;A174&amp;"\")</f>
        <v/>
      </c>
      <c r="AG174" s="10" t="str">
        <f aca="false">IF(A174="","",A174&amp;"_CAD.dwg")</f>
        <v/>
      </c>
      <c r="AH174" s="10" t="str">
        <f aca="false">IF(A174="","",A174&amp;"_DWG.pdf")</f>
        <v/>
      </c>
      <c r="AI174" s="10" t="str">
        <f aca="false">IF(A174="","",IF(AE174="Y",A174&amp;"_STAAD.std","n/a"))</f>
        <v/>
      </c>
      <c r="AJ174" s="10" t="str">
        <f aca="false">IF(A174="","",A174&amp;"_CALC.xlsx")</f>
        <v/>
      </c>
      <c r="AK174" s="10" t="str">
        <f aca="false">IF(A174="","",A174&amp;"_CALC.pdf")</f>
        <v/>
      </c>
      <c r="AL174" s="9"/>
      <c r="AM174" s="9"/>
      <c r="AN174" s="41"/>
      <c r="AO174" s="41"/>
      <c r="AP174" s="41"/>
      <c r="AQ174" s="41"/>
      <c r="AR174" s="41"/>
      <c r="AS174" s="38" t="str">
        <f aca="false">IF(C174="","",IF(LEN(IF(AND(S174&lt;&gt;"",IFERROR(VALUE(MID(S174,2,2)),0)&lt;SG_Criteria!$B$19),"FAIL: grade below C"&amp;SG_Criteria!$B$19&amp;". ","")&amp;IF(AND(T174&lt;&gt;"",T174&lt;SG_Criteria!$B$20),"FAIL: cover &lt; "&amp;SG_Criteria!$B$20&amp;" mm. ","")&amp;IF(AND(H174&lt;&gt;"",H174&lt;SG_Criteria!$B$39),"NOTE: min depth below PUB "&amp;SG_Criteria!$B$39&amp;" m. ","")&amp;IF(AND(LEFT(C174,8)="Standard",I174&gt;SG_Criteria!$B$42),"FAIL: PUB 001C covers manholes up to "&amp;SG_Criteria!$B$42&amp;" m deep only. ","")&amp;IF(AND(LEFT(C174,11)="Rectangular",J174&lt;SG_Criteria!$B$43),"NOTE: 004C is for sewers &gt;= "&amp;SG_Criteria!$B$43&amp;" dia. ","")&amp;IF(AND(LEFT(C174,7)="Precast",I174&lt;=SG_Criteria!$B$42),"NOTE: 006C is for manholes &gt; "&amp;SG_Criteria!$B$42&amp;" m deep. ","")&amp;IF(AND(J174&lt;&gt;"",J174&lt;SG_Criteria!$B$40,C174&lt;&gt;"Inspection Chamber"),"NOTE: public sewer min dia "&amp;SG_Criteria!$B$40&amp;" mm. ","")&amp;IF(AND(R174&lt;&gt;"",R174&lt;SG_Criteria!$B$44),"FAIL: uplift FOS below "&amp;SG_Criteria!$B$44&amp;". ",""))=0,"OK",IF(AND(S174&lt;&gt;"",IFERROR(VALUE(MID(S174,2,2)),0)&lt;SG_Criteria!$B$19),"FAIL: grade below C"&amp;SG_Criteria!$B$19&amp;". ","")&amp;IF(AND(T174&lt;&gt;"",T174&lt;SG_Criteria!$B$20),"FAIL: cover &lt; "&amp;SG_Criteria!$B$20&amp;" mm. ","")&amp;IF(AND(H174&lt;&gt;"",H174&lt;SG_Criteria!$B$39),"NOTE: min depth below PUB "&amp;SG_Criteria!$B$39&amp;" m. ","")&amp;IF(AND(LEFT(C174,8)="Standard",I174&gt;SG_Criteria!$B$42),"FAIL: PUB 001C covers manholes up to "&amp;SG_Criteria!$B$42&amp;" m deep only. ","")&amp;IF(AND(LEFT(C174,11)="Rectangular",J174&lt;SG_Criteria!$B$43),"NOTE: 004C is for sewers &gt;= "&amp;SG_Criteria!$B$43&amp;" dia. ","")&amp;IF(AND(LEFT(C174,7)="Precast",I174&lt;=SG_Criteria!$B$42),"NOTE: 006C is for manholes &gt; "&amp;SG_Criteria!$B$42&amp;" m deep. ","")&amp;IF(AND(J174&lt;&gt;"",J174&lt;SG_Criteria!$B$40,C174&lt;&gt;"Inspection Chamber"),"NOTE: public sewer min dia "&amp;SG_Criteria!$B$40&amp;" mm. ","")&amp;IF(AND(R174&lt;&gt;"",R174&lt;SG_Criteria!$B$44),"FAIL: uplift FOS below "&amp;SG_Criteria!$B$44&amp;". ","")))</f>
        <v/>
      </c>
      <c r="AT174" s="9"/>
      <c r="AU174" s="9"/>
      <c r="AV174" s="9"/>
      <c r="AW174" s="9"/>
      <c r="AX174" s="9"/>
      <c r="AY174" s="31"/>
      <c r="AZ174" s="10" t="str">
        <f aca="false">IF(C174="","",IF(AND(AB174="Approved",ISERROR(SEARCH("FAIL",AS174))),"Y","N"))</f>
        <v/>
      </c>
      <c r="BA174" s="10" t="str">
        <f aca="false">IF(C174="","",C174&amp;"|"&amp;I174&amp;"|"&amp;F174&amp;"|"&amp;AZ174)</f>
        <v/>
      </c>
    </row>
    <row r="175" customFormat="false" ht="15" hidden="false" customHeight="false" outlineLevel="0" collapsed="false">
      <c r="A175" s="10" t="str">
        <f aca="false">IF(C175="","","MH-"&amp;IFERROR(VLOOKUP(C175,Lists!$AB$4:$AC$20,2,0),"??")&amp;"-"&amp;TEXT(F175,"0000")&amp;IF(E175="Circular","D","x"&amp;TEXT(G175,"0000"))&amp;"-D"&amp;TEXT(I175*1000,"0000")&amp;"-"&amp;IFERROR(VLOOKUP(D175,Lists!$AE$4:$AF$16,2,0),"??")&amp;"-"&amp;AA175)</f>
        <v/>
      </c>
      <c r="B175" s="10" t="str">
        <f aca="false">IF(C175="","",C175&amp;", "&amp;D175&amp;", "&amp;IF(E175="Circular",F175&amp;" dia",F175&amp;" x "&amp;G175)&amp;", depth "&amp;TEXT(H175,"0.0")&amp;"-"&amp;TEXT(I175,"0.0")&amp;" m, pipe up to "&amp;J175&amp;" dia")</f>
        <v/>
      </c>
      <c r="C175" s="9"/>
      <c r="D175" s="9"/>
      <c r="E175" s="9"/>
      <c r="F175" s="40"/>
      <c r="G175" s="40"/>
      <c r="H175" s="43"/>
      <c r="I175" s="43"/>
      <c r="J175" s="40"/>
      <c r="K175" s="40"/>
      <c r="L175" s="40"/>
      <c r="M175" s="40"/>
      <c r="N175" s="9"/>
      <c r="O175" s="9"/>
      <c r="P175" s="9"/>
      <c r="Q175" s="9"/>
      <c r="R175" s="41"/>
      <c r="S175" s="9"/>
      <c r="T175" s="40"/>
      <c r="U175" s="9"/>
      <c r="V175" s="9"/>
      <c r="W175" s="9"/>
      <c r="X175" s="9"/>
      <c r="Y175" s="9"/>
      <c r="Z175" s="9"/>
      <c r="AA175" s="9"/>
      <c r="AB175" s="9"/>
      <c r="AC175" s="9"/>
      <c r="AD175" s="9"/>
      <c r="AE175" s="9"/>
      <c r="AF175" s="10" t="str">
        <f aca="false">IF(A175="","",SG_Criteria!$B$6&amp;SG_Criteria!$B$10&amp;"\"&amp;A175&amp;"\")</f>
        <v/>
      </c>
      <c r="AG175" s="10" t="str">
        <f aca="false">IF(A175="","",A175&amp;"_CAD.dwg")</f>
        <v/>
      </c>
      <c r="AH175" s="10" t="str">
        <f aca="false">IF(A175="","",A175&amp;"_DWG.pdf")</f>
        <v/>
      </c>
      <c r="AI175" s="10" t="str">
        <f aca="false">IF(A175="","",IF(AE175="Y",A175&amp;"_STAAD.std","n/a"))</f>
        <v/>
      </c>
      <c r="AJ175" s="10" t="str">
        <f aca="false">IF(A175="","",A175&amp;"_CALC.xlsx")</f>
        <v/>
      </c>
      <c r="AK175" s="10" t="str">
        <f aca="false">IF(A175="","",A175&amp;"_CALC.pdf")</f>
        <v/>
      </c>
      <c r="AL175" s="9"/>
      <c r="AM175" s="9"/>
      <c r="AN175" s="41"/>
      <c r="AO175" s="41"/>
      <c r="AP175" s="41"/>
      <c r="AQ175" s="41"/>
      <c r="AR175" s="41"/>
      <c r="AS175" s="38" t="str">
        <f aca="false">IF(C175="","",IF(LEN(IF(AND(S175&lt;&gt;"",IFERROR(VALUE(MID(S175,2,2)),0)&lt;SG_Criteria!$B$19),"FAIL: grade below C"&amp;SG_Criteria!$B$19&amp;". ","")&amp;IF(AND(T175&lt;&gt;"",T175&lt;SG_Criteria!$B$20),"FAIL: cover &lt; "&amp;SG_Criteria!$B$20&amp;" mm. ","")&amp;IF(AND(H175&lt;&gt;"",H175&lt;SG_Criteria!$B$39),"NOTE: min depth below PUB "&amp;SG_Criteria!$B$39&amp;" m. ","")&amp;IF(AND(LEFT(C175,8)="Standard",I175&gt;SG_Criteria!$B$42),"FAIL: PUB 001C covers manholes up to "&amp;SG_Criteria!$B$42&amp;" m deep only. ","")&amp;IF(AND(LEFT(C175,11)="Rectangular",J175&lt;SG_Criteria!$B$43),"NOTE: 004C is for sewers &gt;= "&amp;SG_Criteria!$B$43&amp;" dia. ","")&amp;IF(AND(LEFT(C175,7)="Precast",I175&lt;=SG_Criteria!$B$42),"NOTE: 006C is for manholes &gt; "&amp;SG_Criteria!$B$42&amp;" m deep. ","")&amp;IF(AND(J175&lt;&gt;"",J175&lt;SG_Criteria!$B$40,C175&lt;&gt;"Inspection Chamber"),"NOTE: public sewer min dia "&amp;SG_Criteria!$B$40&amp;" mm. ","")&amp;IF(AND(R175&lt;&gt;"",R175&lt;SG_Criteria!$B$44),"FAIL: uplift FOS below "&amp;SG_Criteria!$B$44&amp;". ",""))=0,"OK",IF(AND(S175&lt;&gt;"",IFERROR(VALUE(MID(S175,2,2)),0)&lt;SG_Criteria!$B$19),"FAIL: grade below C"&amp;SG_Criteria!$B$19&amp;". ","")&amp;IF(AND(T175&lt;&gt;"",T175&lt;SG_Criteria!$B$20),"FAIL: cover &lt; "&amp;SG_Criteria!$B$20&amp;" mm. ","")&amp;IF(AND(H175&lt;&gt;"",H175&lt;SG_Criteria!$B$39),"NOTE: min depth below PUB "&amp;SG_Criteria!$B$39&amp;" m. ","")&amp;IF(AND(LEFT(C175,8)="Standard",I175&gt;SG_Criteria!$B$42),"FAIL: PUB 001C covers manholes up to "&amp;SG_Criteria!$B$42&amp;" m deep only. ","")&amp;IF(AND(LEFT(C175,11)="Rectangular",J175&lt;SG_Criteria!$B$43),"NOTE: 004C is for sewers &gt;= "&amp;SG_Criteria!$B$43&amp;" dia. ","")&amp;IF(AND(LEFT(C175,7)="Precast",I175&lt;=SG_Criteria!$B$42),"NOTE: 006C is for manholes &gt; "&amp;SG_Criteria!$B$42&amp;" m deep. ","")&amp;IF(AND(J175&lt;&gt;"",J175&lt;SG_Criteria!$B$40,C175&lt;&gt;"Inspection Chamber"),"NOTE: public sewer min dia "&amp;SG_Criteria!$B$40&amp;" mm. ","")&amp;IF(AND(R175&lt;&gt;"",R175&lt;SG_Criteria!$B$44),"FAIL: uplift FOS below "&amp;SG_Criteria!$B$44&amp;". ","")))</f>
        <v/>
      </c>
      <c r="AT175" s="9"/>
      <c r="AU175" s="9"/>
      <c r="AV175" s="9"/>
      <c r="AW175" s="9"/>
      <c r="AX175" s="9"/>
      <c r="AY175" s="31"/>
      <c r="AZ175" s="10" t="str">
        <f aca="false">IF(C175="","",IF(AND(AB175="Approved",ISERROR(SEARCH("FAIL",AS175))),"Y","N"))</f>
        <v/>
      </c>
      <c r="BA175" s="10" t="str">
        <f aca="false">IF(C175="","",C175&amp;"|"&amp;I175&amp;"|"&amp;F175&amp;"|"&amp;AZ175)</f>
        <v/>
      </c>
    </row>
    <row r="176" customFormat="false" ht="15" hidden="false" customHeight="false" outlineLevel="0" collapsed="false">
      <c r="A176" s="10" t="str">
        <f aca="false">IF(C176="","","MH-"&amp;IFERROR(VLOOKUP(C176,Lists!$AB$4:$AC$20,2,0),"??")&amp;"-"&amp;TEXT(F176,"0000")&amp;IF(E176="Circular","D","x"&amp;TEXT(G176,"0000"))&amp;"-D"&amp;TEXT(I176*1000,"0000")&amp;"-"&amp;IFERROR(VLOOKUP(D176,Lists!$AE$4:$AF$16,2,0),"??")&amp;"-"&amp;AA176)</f>
        <v/>
      </c>
      <c r="B176" s="10" t="str">
        <f aca="false">IF(C176="","",C176&amp;", "&amp;D176&amp;", "&amp;IF(E176="Circular",F176&amp;" dia",F176&amp;" x "&amp;G176)&amp;", depth "&amp;TEXT(H176,"0.0")&amp;"-"&amp;TEXT(I176,"0.0")&amp;" m, pipe up to "&amp;J176&amp;" dia")</f>
        <v/>
      </c>
      <c r="C176" s="9"/>
      <c r="D176" s="9"/>
      <c r="E176" s="9"/>
      <c r="F176" s="40"/>
      <c r="G176" s="40"/>
      <c r="H176" s="43"/>
      <c r="I176" s="43"/>
      <c r="J176" s="40"/>
      <c r="K176" s="40"/>
      <c r="L176" s="40"/>
      <c r="M176" s="40"/>
      <c r="N176" s="9"/>
      <c r="O176" s="9"/>
      <c r="P176" s="9"/>
      <c r="Q176" s="9"/>
      <c r="R176" s="41"/>
      <c r="S176" s="9"/>
      <c r="T176" s="40"/>
      <c r="U176" s="9"/>
      <c r="V176" s="9"/>
      <c r="W176" s="9"/>
      <c r="X176" s="9"/>
      <c r="Y176" s="9"/>
      <c r="Z176" s="9"/>
      <c r="AA176" s="9"/>
      <c r="AB176" s="9"/>
      <c r="AC176" s="9"/>
      <c r="AD176" s="9"/>
      <c r="AE176" s="9"/>
      <c r="AF176" s="10" t="str">
        <f aca="false">IF(A176="","",SG_Criteria!$B$6&amp;SG_Criteria!$B$10&amp;"\"&amp;A176&amp;"\")</f>
        <v/>
      </c>
      <c r="AG176" s="10" t="str">
        <f aca="false">IF(A176="","",A176&amp;"_CAD.dwg")</f>
        <v/>
      </c>
      <c r="AH176" s="10" t="str">
        <f aca="false">IF(A176="","",A176&amp;"_DWG.pdf")</f>
        <v/>
      </c>
      <c r="AI176" s="10" t="str">
        <f aca="false">IF(A176="","",IF(AE176="Y",A176&amp;"_STAAD.std","n/a"))</f>
        <v/>
      </c>
      <c r="AJ176" s="10" t="str">
        <f aca="false">IF(A176="","",A176&amp;"_CALC.xlsx")</f>
        <v/>
      </c>
      <c r="AK176" s="10" t="str">
        <f aca="false">IF(A176="","",A176&amp;"_CALC.pdf")</f>
        <v/>
      </c>
      <c r="AL176" s="9"/>
      <c r="AM176" s="9"/>
      <c r="AN176" s="41"/>
      <c r="AO176" s="41"/>
      <c r="AP176" s="41"/>
      <c r="AQ176" s="41"/>
      <c r="AR176" s="41"/>
      <c r="AS176" s="38" t="str">
        <f aca="false">IF(C176="","",IF(LEN(IF(AND(S176&lt;&gt;"",IFERROR(VALUE(MID(S176,2,2)),0)&lt;SG_Criteria!$B$19),"FAIL: grade below C"&amp;SG_Criteria!$B$19&amp;". ","")&amp;IF(AND(T176&lt;&gt;"",T176&lt;SG_Criteria!$B$20),"FAIL: cover &lt; "&amp;SG_Criteria!$B$20&amp;" mm. ","")&amp;IF(AND(H176&lt;&gt;"",H176&lt;SG_Criteria!$B$39),"NOTE: min depth below PUB "&amp;SG_Criteria!$B$39&amp;" m. ","")&amp;IF(AND(LEFT(C176,8)="Standard",I176&gt;SG_Criteria!$B$42),"FAIL: PUB 001C covers manholes up to "&amp;SG_Criteria!$B$42&amp;" m deep only. ","")&amp;IF(AND(LEFT(C176,11)="Rectangular",J176&lt;SG_Criteria!$B$43),"NOTE: 004C is for sewers &gt;= "&amp;SG_Criteria!$B$43&amp;" dia. ","")&amp;IF(AND(LEFT(C176,7)="Precast",I176&lt;=SG_Criteria!$B$42),"NOTE: 006C is for manholes &gt; "&amp;SG_Criteria!$B$42&amp;" m deep. ","")&amp;IF(AND(J176&lt;&gt;"",J176&lt;SG_Criteria!$B$40,C176&lt;&gt;"Inspection Chamber"),"NOTE: public sewer min dia "&amp;SG_Criteria!$B$40&amp;" mm. ","")&amp;IF(AND(R176&lt;&gt;"",R176&lt;SG_Criteria!$B$44),"FAIL: uplift FOS below "&amp;SG_Criteria!$B$44&amp;". ",""))=0,"OK",IF(AND(S176&lt;&gt;"",IFERROR(VALUE(MID(S176,2,2)),0)&lt;SG_Criteria!$B$19),"FAIL: grade below C"&amp;SG_Criteria!$B$19&amp;". ","")&amp;IF(AND(T176&lt;&gt;"",T176&lt;SG_Criteria!$B$20),"FAIL: cover &lt; "&amp;SG_Criteria!$B$20&amp;" mm. ","")&amp;IF(AND(H176&lt;&gt;"",H176&lt;SG_Criteria!$B$39),"NOTE: min depth below PUB "&amp;SG_Criteria!$B$39&amp;" m. ","")&amp;IF(AND(LEFT(C176,8)="Standard",I176&gt;SG_Criteria!$B$42),"FAIL: PUB 001C covers manholes up to "&amp;SG_Criteria!$B$42&amp;" m deep only. ","")&amp;IF(AND(LEFT(C176,11)="Rectangular",J176&lt;SG_Criteria!$B$43),"NOTE: 004C is for sewers &gt;= "&amp;SG_Criteria!$B$43&amp;" dia. ","")&amp;IF(AND(LEFT(C176,7)="Precast",I176&lt;=SG_Criteria!$B$42),"NOTE: 006C is for manholes &gt; "&amp;SG_Criteria!$B$42&amp;" m deep. ","")&amp;IF(AND(J176&lt;&gt;"",J176&lt;SG_Criteria!$B$40,C176&lt;&gt;"Inspection Chamber"),"NOTE: public sewer min dia "&amp;SG_Criteria!$B$40&amp;" mm. ","")&amp;IF(AND(R176&lt;&gt;"",R176&lt;SG_Criteria!$B$44),"FAIL: uplift FOS below "&amp;SG_Criteria!$B$44&amp;". ","")))</f>
        <v/>
      </c>
      <c r="AT176" s="9"/>
      <c r="AU176" s="9"/>
      <c r="AV176" s="9"/>
      <c r="AW176" s="9"/>
      <c r="AX176" s="9"/>
      <c r="AY176" s="31"/>
      <c r="AZ176" s="10" t="str">
        <f aca="false">IF(C176="","",IF(AND(AB176="Approved",ISERROR(SEARCH("FAIL",AS176))),"Y","N"))</f>
        <v/>
      </c>
      <c r="BA176" s="10" t="str">
        <f aca="false">IF(C176="","",C176&amp;"|"&amp;I176&amp;"|"&amp;F176&amp;"|"&amp;AZ176)</f>
        <v/>
      </c>
    </row>
    <row r="177" customFormat="false" ht="15" hidden="false" customHeight="false" outlineLevel="0" collapsed="false">
      <c r="A177" s="10" t="str">
        <f aca="false">IF(C177="","","MH-"&amp;IFERROR(VLOOKUP(C177,Lists!$AB$4:$AC$20,2,0),"??")&amp;"-"&amp;TEXT(F177,"0000")&amp;IF(E177="Circular","D","x"&amp;TEXT(G177,"0000"))&amp;"-D"&amp;TEXT(I177*1000,"0000")&amp;"-"&amp;IFERROR(VLOOKUP(D177,Lists!$AE$4:$AF$16,2,0),"??")&amp;"-"&amp;AA177)</f>
        <v/>
      </c>
      <c r="B177" s="10" t="str">
        <f aca="false">IF(C177="","",C177&amp;", "&amp;D177&amp;", "&amp;IF(E177="Circular",F177&amp;" dia",F177&amp;" x "&amp;G177)&amp;", depth "&amp;TEXT(H177,"0.0")&amp;"-"&amp;TEXT(I177,"0.0")&amp;" m, pipe up to "&amp;J177&amp;" dia")</f>
        <v/>
      </c>
      <c r="C177" s="9"/>
      <c r="D177" s="9"/>
      <c r="E177" s="9"/>
      <c r="F177" s="40"/>
      <c r="G177" s="40"/>
      <c r="H177" s="43"/>
      <c r="I177" s="43"/>
      <c r="J177" s="40"/>
      <c r="K177" s="40"/>
      <c r="L177" s="40"/>
      <c r="M177" s="40"/>
      <c r="N177" s="9"/>
      <c r="O177" s="9"/>
      <c r="P177" s="9"/>
      <c r="Q177" s="9"/>
      <c r="R177" s="41"/>
      <c r="S177" s="9"/>
      <c r="T177" s="40"/>
      <c r="U177" s="9"/>
      <c r="V177" s="9"/>
      <c r="W177" s="9"/>
      <c r="X177" s="9"/>
      <c r="Y177" s="9"/>
      <c r="Z177" s="9"/>
      <c r="AA177" s="9"/>
      <c r="AB177" s="9"/>
      <c r="AC177" s="9"/>
      <c r="AD177" s="9"/>
      <c r="AE177" s="9"/>
      <c r="AF177" s="10" t="str">
        <f aca="false">IF(A177="","",SG_Criteria!$B$6&amp;SG_Criteria!$B$10&amp;"\"&amp;A177&amp;"\")</f>
        <v/>
      </c>
      <c r="AG177" s="10" t="str">
        <f aca="false">IF(A177="","",A177&amp;"_CAD.dwg")</f>
        <v/>
      </c>
      <c r="AH177" s="10" t="str">
        <f aca="false">IF(A177="","",A177&amp;"_DWG.pdf")</f>
        <v/>
      </c>
      <c r="AI177" s="10" t="str">
        <f aca="false">IF(A177="","",IF(AE177="Y",A177&amp;"_STAAD.std","n/a"))</f>
        <v/>
      </c>
      <c r="AJ177" s="10" t="str">
        <f aca="false">IF(A177="","",A177&amp;"_CALC.xlsx")</f>
        <v/>
      </c>
      <c r="AK177" s="10" t="str">
        <f aca="false">IF(A177="","",A177&amp;"_CALC.pdf")</f>
        <v/>
      </c>
      <c r="AL177" s="9"/>
      <c r="AM177" s="9"/>
      <c r="AN177" s="41"/>
      <c r="AO177" s="41"/>
      <c r="AP177" s="41"/>
      <c r="AQ177" s="41"/>
      <c r="AR177" s="41"/>
      <c r="AS177" s="38" t="str">
        <f aca="false">IF(C177="","",IF(LEN(IF(AND(S177&lt;&gt;"",IFERROR(VALUE(MID(S177,2,2)),0)&lt;SG_Criteria!$B$19),"FAIL: grade below C"&amp;SG_Criteria!$B$19&amp;". ","")&amp;IF(AND(T177&lt;&gt;"",T177&lt;SG_Criteria!$B$20),"FAIL: cover &lt; "&amp;SG_Criteria!$B$20&amp;" mm. ","")&amp;IF(AND(H177&lt;&gt;"",H177&lt;SG_Criteria!$B$39),"NOTE: min depth below PUB "&amp;SG_Criteria!$B$39&amp;" m. ","")&amp;IF(AND(LEFT(C177,8)="Standard",I177&gt;SG_Criteria!$B$42),"FAIL: PUB 001C covers manholes up to "&amp;SG_Criteria!$B$42&amp;" m deep only. ","")&amp;IF(AND(LEFT(C177,11)="Rectangular",J177&lt;SG_Criteria!$B$43),"NOTE: 004C is for sewers &gt;= "&amp;SG_Criteria!$B$43&amp;" dia. ","")&amp;IF(AND(LEFT(C177,7)="Precast",I177&lt;=SG_Criteria!$B$42),"NOTE: 006C is for manholes &gt; "&amp;SG_Criteria!$B$42&amp;" m deep. ","")&amp;IF(AND(J177&lt;&gt;"",J177&lt;SG_Criteria!$B$40,C177&lt;&gt;"Inspection Chamber"),"NOTE: public sewer min dia "&amp;SG_Criteria!$B$40&amp;" mm. ","")&amp;IF(AND(R177&lt;&gt;"",R177&lt;SG_Criteria!$B$44),"FAIL: uplift FOS below "&amp;SG_Criteria!$B$44&amp;". ",""))=0,"OK",IF(AND(S177&lt;&gt;"",IFERROR(VALUE(MID(S177,2,2)),0)&lt;SG_Criteria!$B$19),"FAIL: grade below C"&amp;SG_Criteria!$B$19&amp;". ","")&amp;IF(AND(T177&lt;&gt;"",T177&lt;SG_Criteria!$B$20),"FAIL: cover &lt; "&amp;SG_Criteria!$B$20&amp;" mm. ","")&amp;IF(AND(H177&lt;&gt;"",H177&lt;SG_Criteria!$B$39),"NOTE: min depth below PUB "&amp;SG_Criteria!$B$39&amp;" m. ","")&amp;IF(AND(LEFT(C177,8)="Standard",I177&gt;SG_Criteria!$B$42),"FAIL: PUB 001C covers manholes up to "&amp;SG_Criteria!$B$42&amp;" m deep only. ","")&amp;IF(AND(LEFT(C177,11)="Rectangular",J177&lt;SG_Criteria!$B$43),"NOTE: 004C is for sewers &gt;= "&amp;SG_Criteria!$B$43&amp;" dia. ","")&amp;IF(AND(LEFT(C177,7)="Precast",I177&lt;=SG_Criteria!$B$42),"NOTE: 006C is for manholes &gt; "&amp;SG_Criteria!$B$42&amp;" m deep. ","")&amp;IF(AND(J177&lt;&gt;"",J177&lt;SG_Criteria!$B$40,C177&lt;&gt;"Inspection Chamber"),"NOTE: public sewer min dia "&amp;SG_Criteria!$B$40&amp;" mm. ","")&amp;IF(AND(R177&lt;&gt;"",R177&lt;SG_Criteria!$B$44),"FAIL: uplift FOS below "&amp;SG_Criteria!$B$44&amp;". ","")))</f>
        <v/>
      </c>
      <c r="AT177" s="9"/>
      <c r="AU177" s="9"/>
      <c r="AV177" s="9"/>
      <c r="AW177" s="9"/>
      <c r="AX177" s="9"/>
      <c r="AY177" s="31"/>
      <c r="AZ177" s="10" t="str">
        <f aca="false">IF(C177="","",IF(AND(AB177="Approved",ISERROR(SEARCH("FAIL",AS177))),"Y","N"))</f>
        <v/>
      </c>
      <c r="BA177" s="10" t="str">
        <f aca="false">IF(C177="","",C177&amp;"|"&amp;I177&amp;"|"&amp;F177&amp;"|"&amp;AZ177)</f>
        <v/>
      </c>
    </row>
    <row r="178" customFormat="false" ht="15" hidden="false" customHeight="false" outlineLevel="0" collapsed="false">
      <c r="A178" s="10" t="str">
        <f aca="false">IF(C178="","","MH-"&amp;IFERROR(VLOOKUP(C178,Lists!$AB$4:$AC$20,2,0),"??")&amp;"-"&amp;TEXT(F178,"0000")&amp;IF(E178="Circular","D","x"&amp;TEXT(G178,"0000"))&amp;"-D"&amp;TEXT(I178*1000,"0000")&amp;"-"&amp;IFERROR(VLOOKUP(D178,Lists!$AE$4:$AF$16,2,0),"??")&amp;"-"&amp;AA178)</f>
        <v/>
      </c>
      <c r="B178" s="10" t="str">
        <f aca="false">IF(C178="","",C178&amp;", "&amp;D178&amp;", "&amp;IF(E178="Circular",F178&amp;" dia",F178&amp;" x "&amp;G178)&amp;", depth "&amp;TEXT(H178,"0.0")&amp;"-"&amp;TEXT(I178,"0.0")&amp;" m, pipe up to "&amp;J178&amp;" dia")</f>
        <v/>
      </c>
      <c r="C178" s="9"/>
      <c r="D178" s="9"/>
      <c r="E178" s="9"/>
      <c r="F178" s="40"/>
      <c r="G178" s="40"/>
      <c r="H178" s="43"/>
      <c r="I178" s="43"/>
      <c r="J178" s="40"/>
      <c r="K178" s="40"/>
      <c r="L178" s="40"/>
      <c r="M178" s="40"/>
      <c r="N178" s="9"/>
      <c r="O178" s="9"/>
      <c r="P178" s="9"/>
      <c r="Q178" s="9"/>
      <c r="R178" s="41"/>
      <c r="S178" s="9"/>
      <c r="T178" s="40"/>
      <c r="U178" s="9"/>
      <c r="V178" s="9"/>
      <c r="W178" s="9"/>
      <c r="X178" s="9"/>
      <c r="Y178" s="9"/>
      <c r="Z178" s="9"/>
      <c r="AA178" s="9"/>
      <c r="AB178" s="9"/>
      <c r="AC178" s="9"/>
      <c r="AD178" s="9"/>
      <c r="AE178" s="9"/>
      <c r="AF178" s="10" t="str">
        <f aca="false">IF(A178="","",SG_Criteria!$B$6&amp;SG_Criteria!$B$10&amp;"\"&amp;A178&amp;"\")</f>
        <v/>
      </c>
      <c r="AG178" s="10" t="str">
        <f aca="false">IF(A178="","",A178&amp;"_CAD.dwg")</f>
        <v/>
      </c>
      <c r="AH178" s="10" t="str">
        <f aca="false">IF(A178="","",A178&amp;"_DWG.pdf")</f>
        <v/>
      </c>
      <c r="AI178" s="10" t="str">
        <f aca="false">IF(A178="","",IF(AE178="Y",A178&amp;"_STAAD.std","n/a"))</f>
        <v/>
      </c>
      <c r="AJ178" s="10" t="str">
        <f aca="false">IF(A178="","",A178&amp;"_CALC.xlsx")</f>
        <v/>
      </c>
      <c r="AK178" s="10" t="str">
        <f aca="false">IF(A178="","",A178&amp;"_CALC.pdf")</f>
        <v/>
      </c>
      <c r="AL178" s="9"/>
      <c r="AM178" s="9"/>
      <c r="AN178" s="41"/>
      <c r="AO178" s="41"/>
      <c r="AP178" s="41"/>
      <c r="AQ178" s="41"/>
      <c r="AR178" s="41"/>
      <c r="AS178" s="38" t="str">
        <f aca="false">IF(C178="","",IF(LEN(IF(AND(S178&lt;&gt;"",IFERROR(VALUE(MID(S178,2,2)),0)&lt;SG_Criteria!$B$19),"FAIL: grade below C"&amp;SG_Criteria!$B$19&amp;". ","")&amp;IF(AND(T178&lt;&gt;"",T178&lt;SG_Criteria!$B$20),"FAIL: cover &lt; "&amp;SG_Criteria!$B$20&amp;" mm. ","")&amp;IF(AND(H178&lt;&gt;"",H178&lt;SG_Criteria!$B$39),"NOTE: min depth below PUB "&amp;SG_Criteria!$B$39&amp;" m. ","")&amp;IF(AND(LEFT(C178,8)="Standard",I178&gt;SG_Criteria!$B$42),"FAIL: PUB 001C covers manholes up to "&amp;SG_Criteria!$B$42&amp;" m deep only. ","")&amp;IF(AND(LEFT(C178,11)="Rectangular",J178&lt;SG_Criteria!$B$43),"NOTE: 004C is for sewers &gt;= "&amp;SG_Criteria!$B$43&amp;" dia. ","")&amp;IF(AND(LEFT(C178,7)="Precast",I178&lt;=SG_Criteria!$B$42),"NOTE: 006C is for manholes &gt; "&amp;SG_Criteria!$B$42&amp;" m deep. ","")&amp;IF(AND(J178&lt;&gt;"",J178&lt;SG_Criteria!$B$40,C178&lt;&gt;"Inspection Chamber"),"NOTE: public sewer min dia "&amp;SG_Criteria!$B$40&amp;" mm. ","")&amp;IF(AND(R178&lt;&gt;"",R178&lt;SG_Criteria!$B$44),"FAIL: uplift FOS below "&amp;SG_Criteria!$B$44&amp;". ",""))=0,"OK",IF(AND(S178&lt;&gt;"",IFERROR(VALUE(MID(S178,2,2)),0)&lt;SG_Criteria!$B$19),"FAIL: grade below C"&amp;SG_Criteria!$B$19&amp;". ","")&amp;IF(AND(T178&lt;&gt;"",T178&lt;SG_Criteria!$B$20),"FAIL: cover &lt; "&amp;SG_Criteria!$B$20&amp;" mm. ","")&amp;IF(AND(H178&lt;&gt;"",H178&lt;SG_Criteria!$B$39),"NOTE: min depth below PUB "&amp;SG_Criteria!$B$39&amp;" m. ","")&amp;IF(AND(LEFT(C178,8)="Standard",I178&gt;SG_Criteria!$B$42),"FAIL: PUB 001C covers manholes up to "&amp;SG_Criteria!$B$42&amp;" m deep only. ","")&amp;IF(AND(LEFT(C178,11)="Rectangular",J178&lt;SG_Criteria!$B$43),"NOTE: 004C is for sewers &gt;= "&amp;SG_Criteria!$B$43&amp;" dia. ","")&amp;IF(AND(LEFT(C178,7)="Precast",I178&lt;=SG_Criteria!$B$42),"NOTE: 006C is for manholes &gt; "&amp;SG_Criteria!$B$42&amp;" m deep. ","")&amp;IF(AND(J178&lt;&gt;"",J178&lt;SG_Criteria!$B$40,C178&lt;&gt;"Inspection Chamber"),"NOTE: public sewer min dia "&amp;SG_Criteria!$B$40&amp;" mm. ","")&amp;IF(AND(R178&lt;&gt;"",R178&lt;SG_Criteria!$B$44),"FAIL: uplift FOS below "&amp;SG_Criteria!$B$44&amp;". ","")))</f>
        <v/>
      </c>
      <c r="AT178" s="9"/>
      <c r="AU178" s="9"/>
      <c r="AV178" s="9"/>
      <c r="AW178" s="9"/>
      <c r="AX178" s="9"/>
      <c r="AY178" s="31"/>
      <c r="AZ178" s="10" t="str">
        <f aca="false">IF(C178="","",IF(AND(AB178="Approved",ISERROR(SEARCH("FAIL",AS178))),"Y","N"))</f>
        <v/>
      </c>
      <c r="BA178" s="10" t="str">
        <f aca="false">IF(C178="","",C178&amp;"|"&amp;I178&amp;"|"&amp;F178&amp;"|"&amp;AZ178)</f>
        <v/>
      </c>
    </row>
    <row r="179" customFormat="false" ht="15" hidden="false" customHeight="false" outlineLevel="0" collapsed="false">
      <c r="A179" s="10" t="str">
        <f aca="false">IF(C179="","","MH-"&amp;IFERROR(VLOOKUP(C179,Lists!$AB$4:$AC$20,2,0),"??")&amp;"-"&amp;TEXT(F179,"0000")&amp;IF(E179="Circular","D","x"&amp;TEXT(G179,"0000"))&amp;"-D"&amp;TEXT(I179*1000,"0000")&amp;"-"&amp;IFERROR(VLOOKUP(D179,Lists!$AE$4:$AF$16,2,0),"??")&amp;"-"&amp;AA179)</f>
        <v/>
      </c>
      <c r="B179" s="10" t="str">
        <f aca="false">IF(C179="","",C179&amp;", "&amp;D179&amp;", "&amp;IF(E179="Circular",F179&amp;" dia",F179&amp;" x "&amp;G179)&amp;", depth "&amp;TEXT(H179,"0.0")&amp;"-"&amp;TEXT(I179,"0.0")&amp;" m, pipe up to "&amp;J179&amp;" dia")</f>
        <v/>
      </c>
      <c r="C179" s="9"/>
      <c r="D179" s="9"/>
      <c r="E179" s="9"/>
      <c r="F179" s="40"/>
      <c r="G179" s="40"/>
      <c r="H179" s="43"/>
      <c r="I179" s="43"/>
      <c r="J179" s="40"/>
      <c r="K179" s="40"/>
      <c r="L179" s="40"/>
      <c r="M179" s="40"/>
      <c r="N179" s="9"/>
      <c r="O179" s="9"/>
      <c r="P179" s="9"/>
      <c r="Q179" s="9"/>
      <c r="R179" s="41"/>
      <c r="S179" s="9"/>
      <c r="T179" s="40"/>
      <c r="U179" s="9"/>
      <c r="V179" s="9"/>
      <c r="W179" s="9"/>
      <c r="X179" s="9"/>
      <c r="Y179" s="9"/>
      <c r="Z179" s="9"/>
      <c r="AA179" s="9"/>
      <c r="AB179" s="9"/>
      <c r="AC179" s="9"/>
      <c r="AD179" s="9"/>
      <c r="AE179" s="9"/>
      <c r="AF179" s="10" t="str">
        <f aca="false">IF(A179="","",SG_Criteria!$B$6&amp;SG_Criteria!$B$10&amp;"\"&amp;A179&amp;"\")</f>
        <v/>
      </c>
      <c r="AG179" s="10" t="str">
        <f aca="false">IF(A179="","",A179&amp;"_CAD.dwg")</f>
        <v/>
      </c>
      <c r="AH179" s="10" t="str">
        <f aca="false">IF(A179="","",A179&amp;"_DWG.pdf")</f>
        <v/>
      </c>
      <c r="AI179" s="10" t="str">
        <f aca="false">IF(A179="","",IF(AE179="Y",A179&amp;"_STAAD.std","n/a"))</f>
        <v/>
      </c>
      <c r="AJ179" s="10" t="str">
        <f aca="false">IF(A179="","",A179&amp;"_CALC.xlsx")</f>
        <v/>
      </c>
      <c r="AK179" s="10" t="str">
        <f aca="false">IF(A179="","",A179&amp;"_CALC.pdf")</f>
        <v/>
      </c>
      <c r="AL179" s="9"/>
      <c r="AM179" s="9"/>
      <c r="AN179" s="41"/>
      <c r="AO179" s="41"/>
      <c r="AP179" s="41"/>
      <c r="AQ179" s="41"/>
      <c r="AR179" s="41"/>
      <c r="AS179" s="38" t="str">
        <f aca="false">IF(C179="","",IF(LEN(IF(AND(S179&lt;&gt;"",IFERROR(VALUE(MID(S179,2,2)),0)&lt;SG_Criteria!$B$19),"FAIL: grade below C"&amp;SG_Criteria!$B$19&amp;". ","")&amp;IF(AND(T179&lt;&gt;"",T179&lt;SG_Criteria!$B$20),"FAIL: cover &lt; "&amp;SG_Criteria!$B$20&amp;" mm. ","")&amp;IF(AND(H179&lt;&gt;"",H179&lt;SG_Criteria!$B$39),"NOTE: min depth below PUB "&amp;SG_Criteria!$B$39&amp;" m. ","")&amp;IF(AND(LEFT(C179,8)="Standard",I179&gt;SG_Criteria!$B$42),"FAIL: PUB 001C covers manholes up to "&amp;SG_Criteria!$B$42&amp;" m deep only. ","")&amp;IF(AND(LEFT(C179,11)="Rectangular",J179&lt;SG_Criteria!$B$43),"NOTE: 004C is for sewers &gt;= "&amp;SG_Criteria!$B$43&amp;" dia. ","")&amp;IF(AND(LEFT(C179,7)="Precast",I179&lt;=SG_Criteria!$B$42),"NOTE: 006C is for manholes &gt; "&amp;SG_Criteria!$B$42&amp;" m deep. ","")&amp;IF(AND(J179&lt;&gt;"",J179&lt;SG_Criteria!$B$40,C179&lt;&gt;"Inspection Chamber"),"NOTE: public sewer min dia "&amp;SG_Criteria!$B$40&amp;" mm. ","")&amp;IF(AND(R179&lt;&gt;"",R179&lt;SG_Criteria!$B$44),"FAIL: uplift FOS below "&amp;SG_Criteria!$B$44&amp;". ",""))=0,"OK",IF(AND(S179&lt;&gt;"",IFERROR(VALUE(MID(S179,2,2)),0)&lt;SG_Criteria!$B$19),"FAIL: grade below C"&amp;SG_Criteria!$B$19&amp;". ","")&amp;IF(AND(T179&lt;&gt;"",T179&lt;SG_Criteria!$B$20),"FAIL: cover &lt; "&amp;SG_Criteria!$B$20&amp;" mm. ","")&amp;IF(AND(H179&lt;&gt;"",H179&lt;SG_Criteria!$B$39),"NOTE: min depth below PUB "&amp;SG_Criteria!$B$39&amp;" m. ","")&amp;IF(AND(LEFT(C179,8)="Standard",I179&gt;SG_Criteria!$B$42),"FAIL: PUB 001C covers manholes up to "&amp;SG_Criteria!$B$42&amp;" m deep only. ","")&amp;IF(AND(LEFT(C179,11)="Rectangular",J179&lt;SG_Criteria!$B$43),"NOTE: 004C is for sewers &gt;= "&amp;SG_Criteria!$B$43&amp;" dia. ","")&amp;IF(AND(LEFT(C179,7)="Precast",I179&lt;=SG_Criteria!$B$42),"NOTE: 006C is for manholes &gt; "&amp;SG_Criteria!$B$42&amp;" m deep. ","")&amp;IF(AND(J179&lt;&gt;"",J179&lt;SG_Criteria!$B$40,C179&lt;&gt;"Inspection Chamber"),"NOTE: public sewer min dia "&amp;SG_Criteria!$B$40&amp;" mm. ","")&amp;IF(AND(R179&lt;&gt;"",R179&lt;SG_Criteria!$B$44),"FAIL: uplift FOS below "&amp;SG_Criteria!$B$44&amp;". ","")))</f>
        <v/>
      </c>
      <c r="AT179" s="9"/>
      <c r="AU179" s="9"/>
      <c r="AV179" s="9"/>
      <c r="AW179" s="9"/>
      <c r="AX179" s="9"/>
      <c r="AY179" s="31"/>
      <c r="AZ179" s="10" t="str">
        <f aca="false">IF(C179="","",IF(AND(AB179="Approved",ISERROR(SEARCH("FAIL",AS179))),"Y","N"))</f>
        <v/>
      </c>
      <c r="BA179" s="10" t="str">
        <f aca="false">IF(C179="","",C179&amp;"|"&amp;I179&amp;"|"&amp;F179&amp;"|"&amp;AZ179)</f>
        <v/>
      </c>
    </row>
    <row r="180" customFormat="false" ht="15" hidden="false" customHeight="false" outlineLevel="0" collapsed="false">
      <c r="A180" s="10" t="str">
        <f aca="false">IF(C180="","","MH-"&amp;IFERROR(VLOOKUP(C180,Lists!$AB$4:$AC$20,2,0),"??")&amp;"-"&amp;TEXT(F180,"0000")&amp;IF(E180="Circular","D","x"&amp;TEXT(G180,"0000"))&amp;"-D"&amp;TEXT(I180*1000,"0000")&amp;"-"&amp;IFERROR(VLOOKUP(D180,Lists!$AE$4:$AF$16,2,0),"??")&amp;"-"&amp;AA180)</f>
        <v/>
      </c>
      <c r="B180" s="10" t="str">
        <f aca="false">IF(C180="","",C180&amp;", "&amp;D180&amp;", "&amp;IF(E180="Circular",F180&amp;" dia",F180&amp;" x "&amp;G180)&amp;", depth "&amp;TEXT(H180,"0.0")&amp;"-"&amp;TEXT(I180,"0.0")&amp;" m, pipe up to "&amp;J180&amp;" dia")</f>
        <v/>
      </c>
      <c r="C180" s="9"/>
      <c r="D180" s="9"/>
      <c r="E180" s="9"/>
      <c r="F180" s="40"/>
      <c r="G180" s="40"/>
      <c r="H180" s="43"/>
      <c r="I180" s="43"/>
      <c r="J180" s="40"/>
      <c r="K180" s="40"/>
      <c r="L180" s="40"/>
      <c r="M180" s="40"/>
      <c r="N180" s="9"/>
      <c r="O180" s="9"/>
      <c r="P180" s="9"/>
      <c r="Q180" s="9"/>
      <c r="R180" s="41"/>
      <c r="S180" s="9"/>
      <c r="T180" s="40"/>
      <c r="U180" s="9"/>
      <c r="V180" s="9"/>
      <c r="W180" s="9"/>
      <c r="X180" s="9"/>
      <c r="Y180" s="9"/>
      <c r="Z180" s="9"/>
      <c r="AA180" s="9"/>
      <c r="AB180" s="9"/>
      <c r="AC180" s="9"/>
      <c r="AD180" s="9"/>
      <c r="AE180" s="9"/>
      <c r="AF180" s="10" t="str">
        <f aca="false">IF(A180="","",SG_Criteria!$B$6&amp;SG_Criteria!$B$10&amp;"\"&amp;A180&amp;"\")</f>
        <v/>
      </c>
      <c r="AG180" s="10" t="str">
        <f aca="false">IF(A180="","",A180&amp;"_CAD.dwg")</f>
        <v/>
      </c>
      <c r="AH180" s="10" t="str">
        <f aca="false">IF(A180="","",A180&amp;"_DWG.pdf")</f>
        <v/>
      </c>
      <c r="AI180" s="10" t="str">
        <f aca="false">IF(A180="","",IF(AE180="Y",A180&amp;"_STAAD.std","n/a"))</f>
        <v/>
      </c>
      <c r="AJ180" s="10" t="str">
        <f aca="false">IF(A180="","",A180&amp;"_CALC.xlsx")</f>
        <v/>
      </c>
      <c r="AK180" s="10" t="str">
        <f aca="false">IF(A180="","",A180&amp;"_CALC.pdf")</f>
        <v/>
      </c>
      <c r="AL180" s="9"/>
      <c r="AM180" s="9"/>
      <c r="AN180" s="41"/>
      <c r="AO180" s="41"/>
      <c r="AP180" s="41"/>
      <c r="AQ180" s="41"/>
      <c r="AR180" s="41"/>
      <c r="AS180" s="38" t="str">
        <f aca="false">IF(C180="","",IF(LEN(IF(AND(S180&lt;&gt;"",IFERROR(VALUE(MID(S180,2,2)),0)&lt;SG_Criteria!$B$19),"FAIL: grade below C"&amp;SG_Criteria!$B$19&amp;". ","")&amp;IF(AND(T180&lt;&gt;"",T180&lt;SG_Criteria!$B$20),"FAIL: cover &lt; "&amp;SG_Criteria!$B$20&amp;" mm. ","")&amp;IF(AND(H180&lt;&gt;"",H180&lt;SG_Criteria!$B$39),"NOTE: min depth below PUB "&amp;SG_Criteria!$B$39&amp;" m. ","")&amp;IF(AND(LEFT(C180,8)="Standard",I180&gt;SG_Criteria!$B$42),"FAIL: PUB 001C covers manholes up to "&amp;SG_Criteria!$B$42&amp;" m deep only. ","")&amp;IF(AND(LEFT(C180,11)="Rectangular",J180&lt;SG_Criteria!$B$43),"NOTE: 004C is for sewers &gt;= "&amp;SG_Criteria!$B$43&amp;" dia. ","")&amp;IF(AND(LEFT(C180,7)="Precast",I180&lt;=SG_Criteria!$B$42),"NOTE: 006C is for manholes &gt; "&amp;SG_Criteria!$B$42&amp;" m deep. ","")&amp;IF(AND(J180&lt;&gt;"",J180&lt;SG_Criteria!$B$40,C180&lt;&gt;"Inspection Chamber"),"NOTE: public sewer min dia "&amp;SG_Criteria!$B$40&amp;" mm. ","")&amp;IF(AND(R180&lt;&gt;"",R180&lt;SG_Criteria!$B$44),"FAIL: uplift FOS below "&amp;SG_Criteria!$B$44&amp;". ",""))=0,"OK",IF(AND(S180&lt;&gt;"",IFERROR(VALUE(MID(S180,2,2)),0)&lt;SG_Criteria!$B$19),"FAIL: grade below C"&amp;SG_Criteria!$B$19&amp;". ","")&amp;IF(AND(T180&lt;&gt;"",T180&lt;SG_Criteria!$B$20),"FAIL: cover &lt; "&amp;SG_Criteria!$B$20&amp;" mm. ","")&amp;IF(AND(H180&lt;&gt;"",H180&lt;SG_Criteria!$B$39),"NOTE: min depth below PUB "&amp;SG_Criteria!$B$39&amp;" m. ","")&amp;IF(AND(LEFT(C180,8)="Standard",I180&gt;SG_Criteria!$B$42),"FAIL: PUB 001C covers manholes up to "&amp;SG_Criteria!$B$42&amp;" m deep only. ","")&amp;IF(AND(LEFT(C180,11)="Rectangular",J180&lt;SG_Criteria!$B$43),"NOTE: 004C is for sewers &gt;= "&amp;SG_Criteria!$B$43&amp;" dia. ","")&amp;IF(AND(LEFT(C180,7)="Precast",I180&lt;=SG_Criteria!$B$42),"NOTE: 006C is for manholes &gt; "&amp;SG_Criteria!$B$42&amp;" m deep. ","")&amp;IF(AND(J180&lt;&gt;"",J180&lt;SG_Criteria!$B$40,C180&lt;&gt;"Inspection Chamber"),"NOTE: public sewer min dia "&amp;SG_Criteria!$B$40&amp;" mm. ","")&amp;IF(AND(R180&lt;&gt;"",R180&lt;SG_Criteria!$B$44),"FAIL: uplift FOS below "&amp;SG_Criteria!$B$44&amp;". ","")))</f>
        <v/>
      </c>
      <c r="AT180" s="9"/>
      <c r="AU180" s="9"/>
      <c r="AV180" s="9"/>
      <c r="AW180" s="9"/>
      <c r="AX180" s="9"/>
      <c r="AY180" s="31"/>
      <c r="AZ180" s="10" t="str">
        <f aca="false">IF(C180="","",IF(AND(AB180="Approved",ISERROR(SEARCH("FAIL",AS180))),"Y","N"))</f>
        <v/>
      </c>
      <c r="BA180" s="10" t="str">
        <f aca="false">IF(C180="","",C180&amp;"|"&amp;I180&amp;"|"&amp;F180&amp;"|"&amp;AZ180)</f>
        <v/>
      </c>
    </row>
    <row r="181" customFormat="false" ht="15" hidden="false" customHeight="false" outlineLevel="0" collapsed="false">
      <c r="A181" s="10" t="str">
        <f aca="false">IF(C181="","","MH-"&amp;IFERROR(VLOOKUP(C181,Lists!$AB$4:$AC$20,2,0),"??")&amp;"-"&amp;TEXT(F181,"0000")&amp;IF(E181="Circular","D","x"&amp;TEXT(G181,"0000"))&amp;"-D"&amp;TEXT(I181*1000,"0000")&amp;"-"&amp;IFERROR(VLOOKUP(D181,Lists!$AE$4:$AF$16,2,0),"??")&amp;"-"&amp;AA181)</f>
        <v/>
      </c>
      <c r="B181" s="10" t="str">
        <f aca="false">IF(C181="","",C181&amp;", "&amp;D181&amp;", "&amp;IF(E181="Circular",F181&amp;" dia",F181&amp;" x "&amp;G181)&amp;", depth "&amp;TEXT(H181,"0.0")&amp;"-"&amp;TEXT(I181,"0.0")&amp;" m, pipe up to "&amp;J181&amp;" dia")</f>
        <v/>
      </c>
      <c r="C181" s="9"/>
      <c r="D181" s="9"/>
      <c r="E181" s="9"/>
      <c r="F181" s="40"/>
      <c r="G181" s="40"/>
      <c r="H181" s="43"/>
      <c r="I181" s="43"/>
      <c r="J181" s="40"/>
      <c r="K181" s="40"/>
      <c r="L181" s="40"/>
      <c r="M181" s="40"/>
      <c r="N181" s="9"/>
      <c r="O181" s="9"/>
      <c r="P181" s="9"/>
      <c r="Q181" s="9"/>
      <c r="R181" s="41"/>
      <c r="S181" s="9"/>
      <c r="T181" s="40"/>
      <c r="U181" s="9"/>
      <c r="V181" s="9"/>
      <c r="W181" s="9"/>
      <c r="X181" s="9"/>
      <c r="Y181" s="9"/>
      <c r="Z181" s="9"/>
      <c r="AA181" s="9"/>
      <c r="AB181" s="9"/>
      <c r="AC181" s="9"/>
      <c r="AD181" s="9"/>
      <c r="AE181" s="9"/>
      <c r="AF181" s="10" t="str">
        <f aca="false">IF(A181="","",SG_Criteria!$B$6&amp;SG_Criteria!$B$10&amp;"\"&amp;A181&amp;"\")</f>
        <v/>
      </c>
      <c r="AG181" s="10" t="str">
        <f aca="false">IF(A181="","",A181&amp;"_CAD.dwg")</f>
        <v/>
      </c>
      <c r="AH181" s="10" t="str">
        <f aca="false">IF(A181="","",A181&amp;"_DWG.pdf")</f>
        <v/>
      </c>
      <c r="AI181" s="10" t="str">
        <f aca="false">IF(A181="","",IF(AE181="Y",A181&amp;"_STAAD.std","n/a"))</f>
        <v/>
      </c>
      <c r="AJ181" s="10" t="str">
        <f aca="false">IF(A181="","",A181&amp;"_CALC.xlsx")</f>
        <v/>
      </c>
      <c r="AK181" s="10" t="str">
        <f aca="false">IF(A181="","",A181&amp;"_CALC.pdf")</f>
        <v/>
      </c>
      <c r="AL181" s="9"/>
      <c r="AM181" s="9"/>
      <c r="AN181" s="41"/>
      <c r="AO181" s="41"/>
      <c r="AP181" s="41"/>
      <c r="AQ181" s="41"/>
      <c r="AR181" s="41"/>
      <c r="AS181" s="38" t="str">
        <f aca="false">IF(C181="","",IF(LEN(IF(AND(S181&lt;&gt;"",IFERROR(VALUE(MID(S181,2,2)),0)&lt;SG_Criteria!$B$19),"FAIL: grade below C"&amp;SG_Criteria!$B$19&amp;". ","")&amp;IF(AND(T181&lt;&gt;"",T181&lt;SG_Criteria!$B$20),"FAIL: cover &lt; "&amp;SG_Criteria!$B$20&amp;" mm. ","")&amp;IF(AND(H181&lt;&gt;"",H181&lt;SG_Criteria!$B$39),"NOTE: min depth below PUB "&amp;SG_Criteria!$B$39&amp;" m. ","")&amp;IF(AND(LEFT(C181,8)="Standard",I181&gt;SG_Criteria!$B$42),"FAIL: PUB 001C covers manholes up to "&amp;SG_Criteria!$B$42&amp;" m deep only. ","")&amp;IF(AND(LEFT(C181,11)="Rectangular",J181&lt;SG_Criteria!$B$43),"NOTE: 004C is for sewers &gt;= "&amp;SG_Criteria!$B$43&amp;" dia. ","")&amp;IF(AND(LEFT(C181,7)="Precast",I181&lt;=SG_Criteria!$B$42),"NOTE: 006C is for manholes &gt; "&amp;SG_Criteria!$B$42&amp;" m deep. ","")&amp;IF(AND(J181&lt;&gt;"",J181&lt;SG_Criteria!$B$40,C181&lt;&gt;"Inspection Chamber"),"NOTE: public sewer min dia "&amp;SG_Criteria!$B$40&amp;" mm. ","")&amp;IF(AND(R181&lt;&gt;"",R181&lt;SG_Criteria!$B$44),"FAIL: uplift FOS below "&amp;SG_Criteria!$B$44&amp;". ",""))=0,"OK",IF(AND(S181&lt;&gt;"",IFERROR(VALUE(MID(S181,2,2)),0)&lt;SG_Criteria!$B$19),"FAIL: grade below C"&amp;SG_Criteria!$B$19&amp;". ","")&amp;IF(AND(T181&lt;&gt;"",T181&lt;SG_Criteria!$B$20),"FAIL: cover &lt; "&amp;SG_Criteria!$B$20&amp;" mm. ","")&amp;IF(AND(H181&lt;&gt;"",H181&lt;SG_Criteria!$B$39),"NOTE: min depth below PUB "&amp;SG_Criteria!$B$39&amp;" m. ","")&amp;IF(AND(LEFT(C181,8)="Standard",I181&gt;SG_Criteria!$B$42),"FAIL: PUB 001C covers manholes up to "&amp;SG_Criteria!$B$42&amp;" m deep only. ","")&amp;IF(AND(LEFT(C181,11)="Rectangular",J181&lt;SG_Criteria!$B$43),"NOTE: 004C is for sewers &gt;= "&amp;SG_Criteria!$B$43&amp;" dia. ","")&amp;IF(AND(LEFT(C181,7)="Precast",I181&lt;=SG_Criteria!$B$42),"NOTE: 006C is for manholes &gt; "&amp;SG_Criteria!$B$42&amp;" m deep. ","")&amp;IF(AND(J181&lt;&gt;"",J181&lt;SG_Criteria!$B$40,C181&lt;&gt;"Inspection Chamber"),"NOTE: public sewer min dia "&amp;SG_Criteria!$B$40&amp;" mm. ","")&amp;IF(AND(R181&lt;&gt;"",R181&lt;SG_Criteria!$B$44),"FAIL: uplift FOS below "&amp;SG_Criteria!$B$44&amp;". ","")))</f>
        <v/>
      </c>
      <c r="AT181" s="9"/>
      <c r="AU181" s="9"/>
      <c r="AV181" s="9"/>
      <c r="AW181" s="9"/>
      <c r="AX181" s="9"/>
      <c r="AY181" s="31"/>
      <c r="AZ181" s="10" t="str">
        <f aca="false">IF(C181="","",IF(AND(AB181="Approved",ISERROR(SEARCH("FAIL",AS181))),"Y","N"))</f>
        <v/>
      </c>
      <c r="BA181" s="10" t="str">
        <f aca="false">IF(C181="","",C181&amp;"|"&amp;I181&amp;"|"&amp;F181&amp;"|"&amp;AZ181)</f>
        <v/>
      </c>
    </row>
    <row r="182" customFormat="false" ht="15" hidden="false" customHeight="false" outlineLevel="0" collapsed="false">
      <c r="A182" s="10" t="str">
        <f aca="false">IF(C182="","","MH-"&amp;IFERROR(VLOOKUP(C182,Lists!$AB$4:$AC$20,2,0),"??")&amp;"-"&amp;TEXT(F182,"0000")&amp;IF(E182="Circular","D","x"&amp;TEXT(G182,"0000"))&amp;"-D"&amp;TEXT(I182*1000,"0000")&amp;"-"&amp;IFERROR(VLOOKUP(D182,Lists!$AE$4:$AF$16,2,0),"??")&amp;"-"&amp;AA182)</f>
        <v/>
      </c>
      <c r="B182" s="10" t="str">
        <f aca="false">IF(C182="","",C182&amp;", "&amp;D182&amp;", "&amp;IF(E182="Circular",F182&amp;" dia",F182&amp;" x "&amp;G182)&amp;", depth "&amp;TEXT(H182,"0.0")&amp;"-"&amp;TEXT(I182,"0.0")&amp;" m, pipe up to "&amp;J182&amp;" dia")</f>
        <v/>
      </c>
      <c r="C182" s="9"/>
      <c r="D182" s="9"/>
      <c r="E182" s="9"/>
      <c r="F182" s="40"/>
      <c r="G182" s="40"/>
      <c r="H182" s="43"/>
      <c r="I182" s="43"/>
      <c r="J182" s="40"/>
      <c r="K182" s="40"/>
      <c r="L182" s="40"/>
      <c r="M182" s="40"/>
      <c r="N182" s="9"/>
      <c r="O182" s="9"/>
      <c r="P182" s="9"/>
      <c r="Q182" s="9"/>
      <c r="R182" s="41"/>
      <c r="S182" s="9"/>
      <c r="T182" s="40"/>
      <c r="U182" s="9"/>
      <c r="V182" s="9"/>
      <c r="W182" s="9"/>
      <c r="X182" s="9"/>
      <c r="Y182" s="9"/>
      <c r="Z182" s="9"/>
      <c r="AA182" s="9"/>
      <c r="AB182" s="9"/>
      <c r="AC182" s="9"/>
      <c r="AD182" s="9"/>
      <c r="AE182" s="9"/>
      <c r="AF182" s="10" t="str">
        <f aca="false">IF(A182="","",SG_Criteria!$B$6&amp;SG_Criteria!$B$10&amp;"\"&amp;A182&amp;"\")</f>
        <v/>
      </c>
      <c r="AG182" s="10" t="str">
        <f aca="false">IF(A182="","",A182&amp;"_CAD.dwg")</f>
        <v/>
      </c>
      <c r="AH182" s="10" t="str">
        <f aca="false">IF(A182="","",A182&amp;"_DWG.pdf")</f>
        <v/>
      </c>
      <c r="AI182" s="10" t="str">
        <f aca="false">IF(A182="","",IF(AE182="Y",A182&amp;"_STAAD.std","n/a"))</f>
        <v/>
      </c>
      <c r="AJ182" s="10" t="str">
        <f aca="false">IF(A182="","",A182&amp;"_CALC.xlsx")</f>
        <v/>
      </c>
      <c r="AK182" s="10" t="str">
        <f aca="false">IF(A182="","",A182&amp;"_CALC.pdf")</f>
        <v/>
      </c>
      <c r="AL182" s="9"/>
      <c r="AM182" s="9"/>
      <c r="AN182" s="41"/>
      <c r="AO182" s="41"/>
      <c r="AP182" s="41"/>
      <c r="AQ182" s="41"/>
      <c r="AR182" s="41"/>
      <c r="AS182" s="38" t="str">
        <f aca="false">IF(C182="","",IF(LEN(IF(AND(S182&lt;&gt;"",IFERROR(VALUE(MID(S182,2,2)),0)&lt;SG_Criteria!$B$19),"FAIL: grade below C"&amp;SG_Criteria!$B$19&amp;". ","")&amp;IF(AND(T182&lt;&gt;"",T182&lt;SG_Criteria!$B$20),"FAIL: cover &lt; "&amp;SG_Criteria!$B$20&amp;" mm. ","")&amp;IF(AND(H182&lt;&gt;"",H182&lt;SG_Criteria!$B$39),"NOTE: min depth below PUB "&amp;SG_Criteria!$B$39&amp;" m. ","")&amp;IF(AND(LEFT(C182,8)="Standard",I182&gt;SG_Criteria!$B$42),"FAIL: PUB 001C covers manholes up to "&amp;SG_Criteria!$B$42&amp;" m deep only. ","")&amp;IF(AND(LEFT(C182,11)="Rectangular",J182&lt;SG_Criteria!$B$43),"NOTE: 004C is for sewers &gt;= "&amp;SG_Criteria!$B$43&amp;" dia. ","")&amp;IF(AND(LEFT(C182,7)="Precast",I182&lt;=SG_Criteria!$B$42),"NOTE: 006C is for manholes &gt; "&amp;SG_Criteria!$B$42&amp;" m deep. ","")&amp;IF(AND(J182&lt;&gt;"",J182&lt;SG_Criteria!$B$40,C182&lt;&gt;"Inspection Chamber"),"NOTE: public sewer min dia "&amp;SG_Criteria!$B$40&amp;" mm. ","")&amp;IF(AND(R182&lt;&gt;"",R182&lt;SG_Criteria!$B$44),"FAIL: uplift FOS below "&amp;SG_Criteria!$B$44&amp;". ",""))=0,"OK",IF(AND(S182&lt;&gt;"",IFERROR(VALUE(MID(S182,2,2)),0)&lt;SG_Criteria!$B$19),"FAIL: grade below C"&amp;SG_Criteria!$B$19&amp;". ","")&amp;IF(AND(T182&lt;&gt;"",T182&lt;SG_Criteria!$B$20),"FAIL: cover &lt; "&amp;SG_Criteria!$B$20&amp;" mm. ","")&amp;IF(AND(H182&lt;&gt;"",H182&lt;SG_Criteria!$B$39),"NOTE: min depth below PUB "&amp;SG_Criteria!$B$39&amp;" m. ","")&amp;IF(AND(LEFT(C182,8)="Standard",I182&gt;SG_Criteria!$B$42),"FAIL: PUB 001C covers manholes up to "&amp;SG_Criteria!$B$42&amp;" m deep only. ","")&amp;IF(AND(LEFT(C182,11)="Rectangular",J182&lt;SG_Criteria!$B$43),"NOTE: 004C is for sewers &gt;= "&amp;SG_Criteria!$B$43&amp;" dia. ","")&amp;IF(AND(LEFT(C182,7)="Precast",I182&lt;=SG_Criteria!$B$42),"NOTE: 006C is for manholes &gt; "&amp;SG_Criteria!$B$42&amp;" m deep. ","")&amp;IF(AND(J182&lt;&gt;"",J182&lt;SG_Criteria!$B$40,C182&lt;&gt;"Inspection Chamber"),"NOTE: public sewer min dia "&amp;SG_Criteria!$B$40&amp;" mm. ","")&amp;IF(AND(R182&lt;&gt;"",R182&lt;SG_Criteria!$B$44),"FAIL: uplift FOS below "&amp;SG_Criteria!$B$44&amp;". ","")))</f>
        <v/>
      </c>
      <c r="AT182" s="9"/>
      <c r="AU182" s="9"/>
      <c r="AV182" s="9"/>
      <c r="AW182" s="9"/>
      <c r="AX182" s="9"/>
      <c r="AY182" s="31"/>
      <c r="AZ182" s="10" t="str">
        <f aca="false">IF(C182="","",IF(AND(AB182="Approved",ISERROR(SEARCH("FAIL",AS182))),"Y","N"))</f>
        <v/>
      </c>
      <c r="BA182" s="10" t="str">
        <f aca="false">IF(C182="","",C182&amp;"|"&amp;I182&amp;"|"&amp;F182&amp;"|"&amp;AZ182)</f>
        <v/>
      </c>
    </row>
    <row r="183" customFormat="false" ht="15" hidden="false" customHeight="false" outlineLevel="0" collapsed="false">
      <c r="A183" s="10" t="str">
        <f aca="false">IF(C183="","","MH-"&amp;IFERROR(VLOOKUP(C183,Lists!$AB$4:$AC$20,2,0),"??")&amp;"-"&amp;TEXT(F183,"0000")&amp;IF(E183="Circular","D","x"&amp;TEXT(G183,"0000"))&amp;"-D"&amp;TEXT(I183*1000,"0000")&amp;"-"&amp;IFERROR(VLOOKUP(D183,Lists!$AE$4:$AF$16,2,0),"??")&amp;"-"&amp;AA183)</f>
        <v/>
      </c>
      <c r="B183" s="10" t="str">
        <f aca="false">IF(C183="","",C183&amp;", "&amp;D183&amp;", "&amp;IF(E183="Circular",F183&amp;" dia",F183&amp;" x "&amp;G183)&amp;", depth "&amp;TEXT(H183,"0.0")&amp;"-"&amp;TEXT(I183,"0.0")&amp;" m, pipe up to "&amp;J183&amp;" dia")</f>
        <v/>
      </c>
      <c r="C183" s="9"/>
      <c r="D183" s="9"/>
      <c r="E183" s="9"/>
      <c r="F183" s="40"/>
      <c r="G183" s="40"/>
      <c r="H183" s="43"/>
      <c r="I183" s="43"/>
      <c r="J183" s="40"/>
      <c r="K183" s="40"/>
      <c r="L183" s="40"/>
      <c r="M183" s="40"/>
      <c r="N183" s="9"/>
      <c r="O183" s="9"/>
      <c r="P183" s="9"/>
      <c r="Q183" s="9"/>
      <c r="R183" s="41"/>
      <c r="S183" s="9"/>
      <c r="T183" s="40"/>
      <c r="U183" s="9"/>
      <c r="V183" s="9"/>
      <c r="W183" s="9"/>
      <c r="X183" s="9"/>
      <c r="Y183" s="9"/>
      <c r="Z183" s="9"/>
      <c r="AA183" s="9"/>
      <c r="AB183" s="9"/>
      <c r="AC183" s="9"/>
      <c r="AD183" s="9"/>
      <c r="AE183" s="9"/>
      <c r="AF183" s="10" t="str">
        <f aca="false">IF(A183="","",SG_Criteria!$B$6&amp;SG_Criteria!$B$10&amp;"\"&amp;A183&amp;"\")</f>
        <v/>
      </c>
      <c r="AG183" s="10" t="str">
        <f aca="false">IF(A183="","",A183&amp;"_CAD.dwg")</f>
        <v/>
      </c>
      <c r="AH183" s="10" t="str">
        <f aca="false">IF(A183="","",A183&amp;"_DWG.pdf")</f>
        <v/>
      </c>
      <c r="AI183" s="10" t="str">
        <f aca="false">IF(A183="","",IF(AE183="Y",A183&amp;"_STAAD.std","n/a"))</f>
        <v/>
      </c>
      <c r="AJ183" s="10" t="str">
        <f aca="false">IF(A183="","",A183&amp;"_CALC.xlsx")</f>
        <v/>
      </c>
      <c r="AK183" s="10" t="str">
        <f aca="false">IF(A183="","",A183&amp;"_CALC.pdf")</f>
        <v/>
      </c>
      <c r="AL183" s="9"/>
      <c r="AM183" s="9"/>
      <c r="AN183" s="41"/>
      <c r="AO183" s="41"/>
      <c r="AP183" s="41"/>
      <c r="AQ183" s="41"/>
      <c r="AR183" s="41"/>
      <c r="AS183" s="38" t="str">
        <f aca="false">IF(C183="","",IF(LEN(IF(AND(S183&lt;&gt;"",IFERROR(VALUE(MID(S183,2,2)),0)&lt;SG_Criteria!$B$19),"FAIL: grade below C"&amp;SG_Criteria!$B$19&amp;". ","")&amp;IF(AND(T183&lt;&gt;"",T183&lt;SG_Criteria!$B$20),"FAIL: cover &lt; "&amp;SG_Criteria!$B$20&amp;" mm. ","")&amp;IF(AND(H183&lt;&gt;"",H183&lt;SG_Criteria!$B$39),"NOTE: min depth below PUB "&amp;SG_Criteria!$B$39&amp;" m. ","")&amp;IF(AND(LEFT(C183,8)="Standard",I183&gt;SG_Criteria!$B$42),"FAIL: PUB 001C covers manholes up to "&amp;SG_Criteria!$B$42&amp;" m deep only. ","")&amp;IF(AND(LEFT(C183,11)="Rectangular",J183&lt;SG_Criteria!$B$43),"NOTE: 004C is for sewers &gt;= "&amp;SG_Criteria!$B$43&amp;" dia. ","")&amp;IF(AND(LEFT(C183,7)="Precast",I183&lt;=SG_Criteria!$B$42),"NOTE: 006C is for manholes &gt; "&amp;SG_Criteria!$B$42&amp;" m deep. ","")&amp;IF(AND(J183&lt;&gt;"",J183&lt;SG_Criteria!$B$40,C183&lt;&gt;"Inspection Chamber"),"NOTE: public sewer min dia "&amp;SG_Criteria!$B$40&amp;" mm. ","")&amp;IF(AND(R183&lt;&gt;"",R183&lt;SG_Criteria!$B$44),"FAIL: uplift FOS below "&amp;SG_Criteria!$B$44&amp;". ",""))=0,"OK",IF(AND(S183&lt;&gt;"",IFERROR(VALUE(MID(S183,2,2)),0)&lt;SG_Criteria!$B$19),"FAIL: grade below C"&amp;SG_Criteria!$B$19&amp;". ","")&amp;IF(AND(T183&lt;&gt;"",T183&lt;SG_Criteria!$B$20),"FAIL: cover &lt; "&amp;SG_Criteria!$B$20&amp;" mm. ","")&amp;IF(AND(H183&lt;&gt;"",H183&lt;SG_Criteria!$B$39),"NOTE: min depth below PUB "&amp;SG_Criteria!$B$39&amp;" m. ","")&amp;IF(AND(LEFT(C183,8)="Standard",I183&gt;SG_Criteria!$B$42),"FAIL: PUB 001C covers manholes up to "&amp;SG_Criteria!$B$42&amp;" m deep only. ","")&amp;IF(AND(LEFT(C183,11)="Rectangular",J183&lt;SG_Criteria!$B$43),"NOTE: 004C is for sewers &gt;= "&amp;SG_Criteria!$B$43&amp;" dia. ","")&amp;IF(AND(LEFT(C183,7)="Precast",I183&lt;=SG_Criteria!$B$42),"NOTE: 006C is for manholes &gt; "&amp;SG_Criteria!$B$42&amp;" m deep. ","")&amp;IF(AND(J183&lt;&gt;"",J183&lt;SG_Criteria!$B$40,C183&lt;&gt;"Inspection Chamber"),"NOTE: public sewer min dia "&amp;SG_Criteria!$B$40&amp;" mm. ","")&amp;IF(AND(R183&lt;&gt;"",R183&lt;SG_Criteria!$B$44),"FAIL: uplift FOS below "&amp;SG_Criteria!$B$44&amp;". ","")))</f>
        <v/>
      </c>
      <c r="AT183" s="9"/>
      <c r="AU183" s="9"/>
      <c r="AV183" s="9"/>
      <c r="AW183" s="9"/>
      <c r="AX183" s="9"/>
      <c r="AY183" s="31"/>
      <c r="AZ183" s="10" t="str">
        <f aca="false">IF(C183="","",IF(AND(AB183="Approved",ISERROR(SEARCH("FAIL",AS183))),"Y","N"))</f>
        <v/>
      </c>
      <c r="BA183" s="10" t="str">
        <f aca="false">IF(C183="","",C183&amp;"|"&amp;I183&amp;"|"&amp;F183&amp;"|"&amp;AZ183)</f>
        <v/>
      </c>
    </row>
    <row r="184" customFormat="false" ht="15" hidden="false" customHeight="false" outlineLevel="0" collapsed="false">
      <c r="A184" s="10" t="str">
        <f aca="false">IF(C184="","","MH-"&amp;IFERROR(VLOOKUP(C184,Lists!$AB$4:$AC$20,2,0),"??")&amp;"-"&amp;TEXT(F184,"0000")&amp;IF(E184="Circular","D","x"&amp;TEXT(G184,"0000"))&amp;"-D"&amp;TEXT(I184*1000,"0000")&amp;"-"&amp;IFERROR(VLOOKUP(D184,Lists!$AE$4:$AF$16,2,0),"??")&amp;"-"&amp;AA184)</f>
        <v/>
      </c>
      <c r="B184" s="10" t="str">
        <f aca="false">IF(C184="","",C184&amp;", "&amp;D184&amp;", "&amp;IF(E184="Circular",F184&amp;" dia",F184&amp;" x "&amp;G184)&amp;", depth "&amp;TEXT(H184,"0.0")&amp;"-"&amp;TEXT(I184,"0.0")&amp;" m, pipe up to "&amp;J184&amp;" dia")</f>
        <v/>
      </c>
      <c r="C184" s="9"/>
      <c r="D184" s="9"/>
      <c r="E184" s="9"/>
      <c r="F184" s="40"/>
      <c r="G184" s="40"/>
      <c r="H184" s="43"/>
      <c r="I184" s="43"/>
      <c r="J184" s="40"/>
      <c r="K184" s="40"/>
      <c r="L184" s="40"/>
      <c r="M184" s="40"/>
      <c r="N184" s="9"/>
      <c r="O184" s="9"/>
      <c r="P184" s="9"/>
      <c r="Q184" s="9"/>
      <c r="R184" s="41"/>
      <c r="S184" s="9"/>
      <c r="T184" s="40"/>
      <c r="U184" s="9"/>
      <c r="V184" s="9"/>
      <c r="W184" s="9"/>
      <c r="X184" s="9"/>
      <c r="Y184" s="9"/>
      <c r="Z184" s="9"/>
      <c r="AA184" s="9"/>
      <c r="AB184" s="9"/>
      <c r="AC184" s="9"/>
      <c r="AD184" s="9"/>
      <c r="AE184" s="9"/>
      <c r="AF184" s="10" t="str">
        <f aca="false">IF(A184="","",SG_Criteria!$B$6&amp;SG_Criteria!$B$10&amp;"\"&amp;A184&amp;"\")</f>
        <v/>
      </c>
      <c r="AG184" s="10" t="str">
        <f aca="false">IF(A184="","",A184&amp;"_CAD.dwg")</f>
        <v/>
      </c>
      <c r="AH184" s="10" t="str">
        <f aca="false">IF(A184="","",A184&amp;"_DWG.pdf")</f>
        <v/>
      </c>
      <c r="AI184" s="10" t="str">
        <f aca="false">IF(A184="","",IF(AE184="Y",A184&amp;"_STAAD.std","n/a"))</f>
        <v/>
      </c>
      <c r="AJ184" s="10" t="str">
        <f aca="false">IF(A184="","",A184&amp;"_CALC.xlsx")</f>
        <v/>
      </c>
      <c r="AK184" s="10" t="str">
        <f aca="false">IF(A184="","",A184&amp;"_CALC.pdf")</f>
        <v/>
      </c>
      <c r="AL184" s="9"/>
      <c r="AM184" s="9"/>
      <c r="AN184" s="41"/>
      <c r="AO184" s="41"/>
      <c r="AP184" s="41"/>
      <c r="AQ184" s="41"/>
      <c r="AR184" s="41"/>
      <c r="AS184" s="38" t="str">
        <f aca="false">IF(C184="","",IF(LEN(IF(AND(S184&lt;&gt;"",IFERROR(VALUE(MID(S184,2,2)),0)&lt;SG_Criteria!$B$19),"FAIL: grade below C"&amp;SG_Criteria!$B$19&amp;". ","")&amp;IF(AND(T184&lt;&gt;"",T184&lt;SG_Criteria!$B$20),"FAIL: cover &lt; "&amp;SG_Criteria!$B$20&amp;" mm. ","")&amp;IF(AND(H184&lt;&gt;"",H184&lt;SG_Criteria!$B$39),"NOTE: min depth below PUB "&amp;SG_Criteria!$B$39&amp;" m. ","")&amp;IF(AND(LEFT(C184,8)="Standard",I184&gt;SG_Criteria!$B$42),"FAIL: PUB 001C covers manholes up to "&amp;SG_Criteria!$B$42&amp;" m deep only. ","")&amp;IF(AND(LEFT(C184,11)="Rectangular",J184&lt;SG_Criteria!$B$43),"NOTE: 004C is for sewers &gt;= "&amp;SG_Criteria!$B$43&amp;" dia. ","")&amp;IF(AND(LEFT(C184,7)="Precast",I184&lt;=SG_Criteria!$B$42),"NOTE: 006C is for manholes &gt; "&amp;SG_Criteria!$B$42&amp;" m deep. ","")&amp;IF(AND(J184&lt;&gt;"",J184&lt;SG_Criteria!$B$40,C184&lt;&gt;"Inspection Chamber"),"NOTE: public sewer min dia "&amp;SG_Criteria!$B$40&amp;" mm. ","")&amp;IF(AND(R184&lt;&gt;"",R184&lt;SG_Criteria!$B$44),"FAIL: uplift FOS below "&amp;SG_Criteria!$B$44&amp;". ",""))=0,"OK",IF(AND(S184&lt;&gt;"",IFERROR(VALUE(MID(S184,2,2)),0)&lt;SG_Criteria!$B$19),"FAIL: grade below C"&amp;SG_Criteria!$B$19&amp;". ","")&amp;IF(AND(T184&lt;&gt;"",T184&lt;SG_Criteria!$B$20),"FAIL: cover &lt; "&amp;SG_Criteria!$B$20&amp;" mm. ","")&amp;IF(AND(H184&lt;&gt;"",H184&lt;SG_Criteria!$B$39),"NOTE: min depth below PUB "&amp;SG_Criteria!$B$39&amp;" m. ","")&amp;IF(AND(LEFT(C184,8)="Standard",I184&gt;SG_Criteria!$B$42),"FAIL: PUB 001C covers manholes up to "&amp;SG_Criteria!$B$42&amp;" m deep only. ","")&amp;IF(AND(LEFT(C184,11)="Rectangular",J184&lt;SG_Criteria!$B$43),"NOTE: 004C is for sewers &gt;= "&amp;SG_Criteria!$B$43&amp;" dia. ","")&amp;IF(AND(LEFT(C184,7)="Precast",I184&lt;=SG_Criteria!$B$42),"NOTE: 006C is for manholes &gt; "&amp;SG_Criteria!$B$42&amp;" m deep. ","")&amp;IF(AND(J184&lt;&gt;"",J184&lt;SG_Criteria!$B$40,C184&lt;&gt;"Inspection Chamber"),"NOTE: public sewer min dia "&amp;SG_Criteria!$B$40&amp;" mm. ","")&amp;IF(AND(R184&lt;&gt;"",R184&lt;SG_Criteria!$B$44),"FAIL: uplift FOS below "&amp;SG_Criteria!$B$44&amp;". ","")))</f>
        <v/>
      </c>
      <c r="AT184" s="9"/>
      <c r="AU184" s="9"/>
      <c r="AV184" s="9"/>
      <c r="AW184" s="9"/>
      <c r="AX184" s="9"/>
      <c r="AY184" s="31"/>
      <c r="AZ184" s="10" t="str">
        <f aca="false">IF(C184="","",IF(AND(AB184="Approved",ISERROR(SEARCH("FAIL",AS184))),"Y","N"))</f>
        <v/>
      </c>
      <c r="BA184" s="10" t="str">
        <f aca="false">IF(C184="","",C184&amp;"|"&amp;I184&amp;"|"&amp;F184&amp;"|"&amp;AZ184)</f>
        <v/>
      </c>
    </row>
    <row r="185" customFormat="false" ht="15" hidden="false" customHeight="false" outlineLevel="0" collapsed="false">
      <c r="A185" s="10" t="str">
        <f aca="false">IF(C185="","","MH-"&amp;IFERROR(VLOOKUP(C185,Lists!$AB$4:$AC$20,2,0),"??")&amp;"-"&amp;TEXT(F185,"0000")&amp;IF(E185="Circular","D","x"&amp;TEXT(G185,"0000"))&amp;"-D"&amp;TEXT(I185*1000,"0000")&amp;"-"&amp;IFERROR(VLOOKUP(D185,Lists!$AE$4:$AF$16,2,0),"??")&amp;"-"&amp;AA185)</f>
        <v/>
      </c>
      <c r="B185" s="10" t="str">
        <f aca="false">IF(C185="","",C185&amp;", "&amp;D185&amp;", "&amp;IF(E185="Circular",F185&amp;" dia",F185&amp;" x "&amp;G185)&amp;", depth "&amp;TEXT(H185,"0.0")&amp;"-"&amp;TEXT(I185,"0.0")&amp;" m, pipe up to "&amp;J185&amp;" dia")</f>
        <v/>
      </c>
      <c r="C185" s="9"/>
      <c r="D185" s="9"/>
      <c r="E185" s="9"/>
      <c r="F185" s="40"/>
      <c r="G185" s="40"/>
      <c r="H185" s="43"/>
      <c r="I185" s="43"/>
      <c r="J185" s="40"/>
      <c r="K185" s="40"/>
      <c r="L185" s="40"/>
      <c r="M185" s="40"/>
      <c r="N185" s="9"/>
      <c r="O185" s="9"/>
      <c r="P185" s="9"/>
      <c r="Q185" s="9"/>
      <c r="R185" s="41"/>
      <c r="S185" s="9"/>
      <c r="T185" s="40"/>
      <c r="U185" s="9"/>
      <c r="V185" s="9"/>
      <c r="W185" s="9"/>
      <c r="X185" s="9"/>
      <c r="Y185" s="9"/>
      <c r="Z185" s="9"/>
      <c r="AA185" s="9"/>
      <c r="AB185" s="9"/>
      <c r="AC185" s="9"/>
      <c r="AD185" s="9"/>
      <c r="AE185" s="9"/>
      <c r="AF185" s="10" t="str">
        <f aca="false">IF(A185="","",SG_Criteria!$B$6&amp;SG_Criteria!$B$10&amp;"\"&amp;A185&amp;"\")</f>
        <v/>
      </c>
      <c r="AG185" s="10" t="str">
        <f aca="false">IF(A185="","",A185&amp;"_CAD.dwg")</f>
        <v/>
      </c>
      <c r="AH185" s="10" t="str">
        <f aca="false">IF(A185="","",A185&amp;"_DWG.pdf")</f>
        <v/>
      </c>
      <c r="AI185" s="10" t="str">
        <f aca="false">IF(A185="","",IF(AE185="Y",A185&amp;"_STAAD.std","n/a"))</f>
        <v/>
      </c>
      <c r="AJ185" s="10" t="str">
        <f aca="false">IF(A185="","",A185&amp;"_CALC.xlsx")</f>
        <v/>
      </c>
      <c r="AK185" s="10" t="str">
        <f aca="false">IF(A185="","",A185&amp;"_CALC.pdf")</f>
        <v/>
      </c>
      <c r="AL185" s="9"/>
      <c r="AM185" s="9"/>
      <c r="AN185" s="41"/>
      <c r="AO185" s="41"/>
      <c r="AP185" s="41"/>
      <c r="AQ185" s="41"/>
      <c r="AR185" s="41"/>
      <c r="AS185" s="38" t="str">
        <f aca="false">IF(C185="","",IF(LEN(IF(AND(S185&lt;&gt;"",IFERROR(VALUE(MID(S185,2,2)),0)&lt;SG_Criteria!$B$19),"FAIL: grade below C"&amp;SG_Criteria!$B$19&amp;". ","")&amp;IF(AND(T185&lt;&gt;"",T185&lt;SG_Criteria!$B$20),"FAIL: cover &lt; "&amp;SG_Criteria!$B$20&amp;" mm. ","")&amp;IF(AND(H185&lt;&gt;"",H185&lt;SG_Criteria!$B$39),"NOTE: min depth below PUB "&amp;SG_Criteria!$B$39&amp;" m. ","")&amp;IF(AND(LEFT(C185,8)="Standard",I185&gt;SG_Criteria!$B$42),"FAIL: PUB 001C covers manholes up to "&amp;SG_Criteria!$B$42&amp;" m deep only. ","")&amp;IF(AND(LEFT(C185,11)="Rectangular",J185&lt;SG_Criteria!$B$43),"NOTE: 004C is for sewers &gt;= "&amp;SG_Criteria!$B$43&amp;" dia. ","")&amp;IF(AND(LEFT(C185,7)="Precast",I185&lt;=SG_Criteria!$B$42),"NOTE: 006C is for manholes &gt; "&amp;SG_Criteria!$B$42&amp;" m deep. ","")&amp;IF(AND(J185&lt;&gt;"",J185&lt;SG_Criteria!$B$40,C185&lt;&gt;"Inspection Chamber"),"NOTE: public sewer min dia "&amp;SG_Criteria!$B$40&amp;" mm. ","")&amp;IF(AND(R185&lt;&gt;"",R185&lt;SG_Criteria!$B$44),"FAIL: uplift FOS below "&amp;SG_Criteria!$B$44&amp;". ",""))=0,"OK",IF(AND(S185&lt;&gt;"",IFERROR(VALUE(MID(S185,2,2)),0)&lt;SG_Criteria!$B$19),"FAIL: grade below C"&amp;SG_Criteria!$B$19&amp;". ","")&amp;IF(AND(T185&lt;&gt;"",T185&lt;SG_Criteria!$B$20),"FAIL: cover &lt; "&amp;SG_Criteria!$B$20&amp;" mm. ","")&amp;IF(AND(H185&lt;&gt;"",H185&lt;SG_Criteria!$B$39),"NOTE: min depth below PUB "&amp;SG_Criteria!$B$39&amp;" m. ","")&amp;IF(AND(LEFT(C185,8)="Standard",I185&gt;SG_Criteria!$B$42),"FAIL: PUB 001C covers manholes up to "&amp;SG_Criteria!$B$42&amp;" m deep only. ","")&amp;IF(AND(LEFT(C185,11)="Rectangular",J185&lt;SG_Criteria!$B$43),"NOTE: 004C is for sewers &gt;= "&amp;SG_Criteria!$B$43&amp;" dia. ","")&amp;IF(AND(LEFT(C185,7)="Precast",I185&lt;=SG_Criteria!$B$42),"NOTE: 006C is for manholes &gt; "&amp;SG_Criteria!$B$42&amp;" m deep. ","")&amp;IF(AND(J185&lt;&gt;"",J185&lt;SG_Criteria!$B$40,C185&lt;&gt;"Inspection Chamber"),"NOTE: public sewer min dia "&amp;SG_Criteria!$B$40&amp;" mm. ","")&amp;IF(AND(R185&lt;&gt;"",R185&lt;SG_Criteria!$B$44),"FAIL: uplift FOS below "&amp;SG_Criteria!$B$44&amp;". ","")))</f>
        <v/>
      </c>
      <c r="AT185" s="9"/>
      <c r="AU185" s="9"/>
      <c r="AV185" s="9"/>
      <c r="AW185" s="9"/>
      <c r="AX185" s="9"/>
      <c r="AY185" s="31"/>
      <c r="AZ185" s="10" t="str">
        <f aca="false">IF(C185="","",IF(AND(AB185="Approved",ISERROR(SEARCH("FAIL",AS185))),"Y","N"))</f>
        <v/>
      </c>
      <c r="BA185" s="10" t="str">
        <f aca="false">IF(C185="","",C185&amp;"|"&amp;I185&amp;"|"&amp;F185&amp;"|"&amp;AZ185)</f>
        <v/>
      </c>
    </row>
    <row r="186" customFormat="false" ht="15" hidden="false" customHeight="false" outlineLevel="0" collapsed="false">
      <c r="A186" s="10" t="str">
        <f aca="false">IF(C186="","","MH-"&amp;IFERROR(VLOOKUP(C186,Lists!$AB$4:$AC$20,2,0),"??")&amp;"-"&amp;TEXT(F186,"0000")&amp;IF(E186="Circular","D","x"&amp;TEXT(G186,"0000"))&amp;"-D"&amp;TEXT(I186*1000,"0000")&amp;"-"&amp;IFERROR(VLOOKUP(D186,Lists!$AE$4:$AF$16,2,0),"??")&amp;"-"&amp;AA186)</f>
        <v/>
      </c>
      <c r="B186" s="10" t="str">
        <f aca="false">IF(C186="","",C186&amp;", "&amp;D186&amp;", "&amp;IF(E186="Circular",F186&amp;" dia",F186&amp;" x "&amp;G186)&amp;", depth "&amp;TEXT(H186,"0.0")&amp;"-"&amp;TEXT(I186,"0.0")&amp;" m, pipe up to "&amp;J186&amp;" dia")</f>
        <v/>
      </c>
      <c r="C186" s="9"/>
      <c r="D186" s="9"/>
      <c r="E186" s="9"/>
      <c r="F186" s="40"/>
      <c r="G186" s="40"/>
      <c r="H186" s="43"/>
      <c r="I186" s="43"/>
      <c r="J186" s="40"/>
      <c r="K186" s="40"/>
      <c r="L186" s="40"/>
      <c r="M186" s="40"/>
      <c r="N186" s="9"/>
      <c r="O186" s="9"/>
      <c r="P186" s="9"/>
      <c r="Q186" s="9"/>
      <c r="R186" s="41"/>
      <c r="S186" s="9"/>
      <c r="T186" s="40"/>
      <c r="U186" s="9"/>
      <c r="V186" s="9"/>
      <c r="W186" s="9"/>
      <c r="X186" s="9"/>
      <c r="Y186" s="9"/>
      <c r="Z186" s="9"/>
      <c r="AA186" s="9"/>
      <c r="AB186" s="9"/>
      <c r="AC186" s="9"/>
      <c r="AD186" s="9"/>
      <c r="AE186" s="9"/>
      <c r="AF186" s="10" t="str">
        <f aca="false">IF(A186="","",SG_Criteria!$B$6&amp;SG_Criteria!$B$10&amp;"\"&amp;A186&amp;"\")</f>
        <v/>
      </c>
      <c r="AG186" s="10" t="str">
        <f aca="false">IF(A186="","",A186&amp;"_CAD.dwg")</f>
        <v/>
      </c>
      <c r="AH186" s="10" t="str">
        <f aca="false">IF(A186="","",A186&amp;"_DWG.pdf")</f>
        <v/>
      </c>
      <c r="AI186" s="10" t="str">
        <f aca="false">IF(A186="","",IF(AE186="Y",A186&amp;"_STAAD.std","n/a"))</f>
        <v/>
      </c>
      <c r="AJ186" s="10" t="str">
        <f aca="false">IF(A186="","",A186&amp;"_CALC.xlsx")</f>
        <v/>
      </c>
      <c r="AK186" s="10" t="str">
        <f aca="false">IF(A186="","",A186&amp;"_CALC.pdf")</f>
        <v/>
      </c>
      <c r="AL186" s="9"/>
      <c r="AM186" s="9"/>
      <c r="AN186" s="41"/>
      <c r="AO186" s="41"/>
      <c r="AP186" s="41"/>
      <c r="AQ186" s="41"/>
      <c r="AR186" s="41"/>
      <c r="AS186" s="38" t="str">
        <f aca="false">IF(C186="","",IF(LEN(IF(AND(S186&lt;&gt;"",IFERROR(VALUE(MID(S186,2,2)),0)&lt;SG_Criteria!$B$19),"FAIL: grade below C"&amp;SG_Criteria!$B$19&amp;". ","")&amp;IF(AND(T186&lt;&gt;"",T186&lt;SG_Criteria!$B$20),"FAIL: cover &lt; "&amp;SG_Criteria!$B$20&amp;" mm. ","")&amp;IF(AND(H186&lt;&gt;"",H186&lt;SG_Criteria!$B$39),"NOTE: min depth below PUB "&amp;SG_Criteria!$B$39&amp;" m. ","")&amp;IF(AND(LEFT(C186,8)="Standard",I186&gt;SG_Criteria!$B$42),"FAIL: PUB 001C covers manholes up to "&amp;SG_Criteria!$B$42&amp;" m deep only. ","")&amp;IF(AND(LEFT(C186,11)="Rectangular",J186&lt;SG_Criteria!$B$43),"NOTE: 004C is for sewers &gt;= "&amp;SG_Criteria!$B$43&amp;" dia. ","")&amp;IF(AND(LEFT(C186,7)="Precast",I186&lt;=SG_Criteria!$B$42),"NOTE: 006C is for manholes &gt; "&amp;SG_Criteria!$B$42&amp;" m deep. ","")&amp;IF(AND(J186&lt;&gt;"",J186&lt;SG_Criteria!$B$40,C186&lt;&gt;"Inspection Chamber"),"NOTE: public sewer min dia "&amp;SG_Criteria!$B$40&amp;" mm. ","")&amp;IF(AND(R186&lt;&gt;"",R186&lt;SG_Criteria!$B$44),"FAIL: uplift FOS below "&amp;SG_Criteria!$B$44&amp;". ",""))=0,"OK",IF(AND(S186&lt;&gt;"",IFERROR(VALUE(MID(S186,2,2)),0)&lt;SG_Criteria!$B$19),"FAIL: grade below C"&amp;SG_Criteria!$B$19&amp;". ","")&amp;IF(AND(T186&lt;&gt;"",T186&lt;SG_Criteria!$B$20),"FAIL: cover &lt; "&amp;SG_Criteria!$B$20&amp;" mm. ","")&amp;IF(AND(H186&lt;&gt;"",H186&lt;SG_Criteria!$B$39),"NOTE: min depth below PUB "&amp;SG_Criteria!$B$39&amp;" m. ","")&amp;IF(AND(LEFT(C186,8)="Standard",I186&gt;SG_Criteria!$B$42),"FAIL: PUB 001C covers manholes up to "&amp;SG_Criteria!$B$42&amp;" m deep only. ","")&amp;IF(AND(LEFT(C186,11)="Rectangular",J186&lt;SG_Criteria!$B$43),"NOTE: 004C is for sewers &gt;= "&amp;SG_Criteria!$B$43&amp;" dia. ","")&amp;IF(AND(LEFT(C186,7)="Precast",I186&lt;=SG_Criteria!$B$42),"NOTE: 006C is for manholes &gt; "&amp;SG_Criteria!$B$42&amp;" m deep. ","")&amp;IF(AND(J186&lt;&gt;"",J186&lt;SG_Criteria!$B$40,C186&lt;&gt;"Inspection Chamber"),"NOTE: public sewer min dia "&amp;SG_Criteria!$B$40&amp;" mm. ","")&amp;IF(AND(R186&lt;&gt;"",R186&lt;SG_Criteria!$B$44),"FAIL: uplift FOS below "&amp;SG_Criteria!$B$44&amp;". ","")))</f>
        <v/>
      </c>
      <c r="AT186" s="9"/>
      <c r="AU186" s="9"/>
      <c r="AV186" s="9"/>
      <c r="AW186" s="9"/>
      <c r="AX186" s="9"/>
      <c r="AY186" s="31"/>
      <c r="AZ186" s="10" t="str">
        <f aca="false">IF(C186="","",IF(AND(AB186="Approved",ISERROR(SEARCH("FAIL",AS186))),"Y","N"))</f>
        <v/>
      </c>
      <c r="BA186" s="10" t="str">
        <f aca="false">IF(C186="","",C186&amp;"|"&amp;I186&amp;"|"&amp;F186&amp;"|"&amp;AZ186)</f>
        <v/>
      </c>
    </row>
    <row r="187" customFormat="false" ht="15" hidden="false" customHeight="false" outlineLevel="0" collapsed="false">
      <c r="A187" s="10" t="str">
        <f aca="false">IF(C187="","","MH-"&amp;IFERROR(VLOOKUP(C187,Lists!$AB$4:$AC$20,2,0),"??")&amp;"-"&amp;TEXT(F187,"0000")&amp;IF(E187="Circular","D","x"&amp;TEXT(G187,"0000"))&amp;"-D"&amp;TEXT(I187*1000,"0000")&amp;"-"&amp;IFERROR(VLOOKUP(D187,Lists!$AE$4:$AF$16,2,0),"??")&amp;"-"&amp;AA187)</f>
        <v/>
      </c>
      <c r="B187" s="10" t="str">
        <f aca="false">IF(C187="","",C187&amp;", "&amp;D187&amp;", "&amp;IF(E187="Circular",F187&amp;" dia",F187&amp;" x "&amp;G187)&amp;", depth "&amp;TEXT(H187,"0.0")&amp;"-"&amp;TEXT(I187,"0.0")&amp;" m, pipe up to "&amp;J187&amp;" dia")</f>
        <v/>
      </c>
      <c r="C187" s="9"/>
      <c r="D187" s="9"/>
      <c r="E187" s="9"/>
      <c r="F187" s="40"/>
      <c r="G187" s="40"/>
      <c r="H187" s="43"/>
      <c r="I187" s="43"/>
      <c r="J187" s="40"/>
      <c r="K187" s="40"/>
      <c r="L187" s="40"/>
      <c r="M187" s="40"/>
      <c r="N187" s="9"/>
      <c r="O187" s="9"/>
      <c r="P187" s="9"/>
      <c r="Q187" s="9"/>
      <c r="R187" s="41"/>
      <c r="S187" s="9"/>
      <c r="T187" s="40"/>
      <c r="U187" s="9"/>
      <c r="V187" s="9"/>
      <c r="W187" s="9"/>
      <c r="X187" s="9"/>
      <c r="Y187" s="9"/>
      <c r="Z187" s="9"/>
      <c r="AA187" s="9"/>
      <c r="AB187" s="9"/>
      <c r="AC187" s="9"/>
      <c r="AD187" s="9"/>
      <c r="AE187" s="9"/>
      <c r="AF187" s="10" t="str">
        <f aca="false">IF(A187="","",SG_Criteria!$B$6&amp;SG_Criteria!$B$10&amp;"\"&amp;A187&amp;"\")</f>
        <v/>
      </c>
      <c r="AG187" s="10" t="str">
        <f aca="false">IF(A187="","",A187&amp;"_CAD.dwg")</f>
        <v/>
      </c>
      <c r="AH187" s="10" t="str">
        <f aca="false">IF(A187="","",A187&amp;"_DWG.pdf")</f>
        <v/>
      </c>
      <c r="AI187" s="10" t="str">
        <f aca="false">IF(A187="","",IF(AE187="Y",A187&amp;"_STAAD.std","n/a"))</f>
        <v/>
      </c>
      <c r="AJ187" s="10" t="str">
        <f aca="false">IF(A187="","",A187&amp;"_CALC.xlsx")</f>
        <v/>
      </c>
      <c r="AK187" s="10" t="str">
        <f aca="false">IF(A187="","",A187&amp;"_CALC.pdf")</f>
        <v/>
      </c>
      <c r="AL187" s="9"/>
      <c r="AM187" s="9"/>
      <c r="AN187" s="41"/>
      <c r="AO187" s="41"/>
      <c r="AP187" s="41"/>
      <c r="AQ187" s="41"/>
      <c r="AR187" s="41"/>
      <c r="AS187" s="38" t="str">
        <f aca="false">IF(C187="","",IF(LEN(IF(AND(S187&lt;&gt;"",IFERROR(VALUE(MID(S187,2,2)),0)&lt;SG_Criteria!$B$19),"FAIL: grade below C"&amp;SG_Criteria!$B$19&amp;". ","")&amp;IF(AND(T187&lt;&gt;"",T187&lt;SG_Criteria!$B$20),"FAIL: cover &lt; "&amp;SG_Criteria!$B$20&amp;" mm. ","")&amp;IF(AND(H187&lt;&gt;"",H187&lt;SG_Criteria!$B$39),"NOTE: min depth below PUB "&amp;SG_Criteria!$B$39&amp;" m. ","")&amp;IF(AND(LEFT(C187,8)="Standard",I187&gt;SG_Criteria!$B$42),"FAIL: PUB 001C covers manholes up to "&amp;SG_Criteria!$B$42&amp;" m deep only. ","")&amp;IF(AND(LEFT(C187,11)="Rectangular",J187&lt;SG_Criteria!$B$43),"NOTE: 004C is for sewers &gt;= "&amp;SG_Criteria!$B$43&amp;" dia. ","")&amp;IF(AND(LEFT(C187,7)="Precast",I187&lt;=SG_Criteria!$B$42),"NOTE: 006C is for manholes &gt; "&amp;SG_Criteria!$B$42&amp;" m deep. ","")&amp;IF(AND(J187&lt;&gt;"",J187&lt;SG_Criteria!$B$40,C187&lt;&gt;"Inspection Chamber"),"NOTE: public sewer min dia "&amp;SG_Criteria!$B$40&amp;" mm. ","")&amp;IF(AND(R187&lt;&gt;"",R187&lt;SG_Criteria!$B$44),"FAIL: uplift FOS below "&amp;SG_Criteria!$B$44&amp;". ",""))=0,"OK",IF(AND(S187&lt;&gt;"",IFERROR(VALUE(MID(S187,2,2)),0)&lt;SG_Criteria!$B$19),"FAIL: grade below C"&amp;SG_Criteria!$B$19&amp;". ","")&amp;IF(AND(T187&lt;&gt;"",T187&lt;SG_Criteria!$B$20),"FAIL: cover &lt; "&amp;SG_Criteria!$B$20&amp;" mm. ","")&amp;IF(AND(H187&lt;&gt;"",H187&lt;SG_Criteria!$B$39),"NOTE: min depth below PUB "&amp;SG_Criteria!$B$39&amp;" m. ","")&amp;IF(AND(LEFT(C187,8)="Standard",I187&gt;SG_Criteria!$B$42),"FAIL: PUB 001C covers manholes up to "&amp;SG_Criteria!$B$42&amp;" m deep only. ","")&amp;IF(AND(LEFT(C187,11)="Rectangular",J187&lt;SG_Criteria!$B$43),"NOTE: 004C is for sewers &gt;= "&amp;SG_Criteria!$B$43&amp;" dia. ","")&amp;IF(AND(LEFT(C187,7)="Precast",I187&lt;=SG_Criteria!$B$42),"NOTE: 006C is for manholes &gt; "&amp;SG_Criteria!$B$42&amp;" m deep. ","")&amp;IF(AND(J187&lt;&gt;"",J187&lt;SG_Criteria!$B$40,C187&lt;&gt;"Inspection Chamber"),"NOTE: public sewer min dia "&amp;SG_Criteria!$B$40&amp;" mm. ","")&amp;IF(AND(R187&lt;&gt;"",R187&lt;SG_Criteria!$B$44),"FAIL: uplift FOS below "&amp;SG_Criteria!$B$44&amp;". ","")))</f>
        <v/>
      </c>
      <c r="AT187" s="9"/>
      <c r="AU187" s="9"/>
      <c r="AV187" s="9"/>
      <c r="AW187" s="9"/>
      <c r="AX187" s="9"/>
      <c r="AY187" s="31"/>
      <c r="AZ187" s="10" t="str">
        <f aca="false">IF(C187="","",IF(AND(AB187="Approved",ISERROR(SEARCH("FAIL",AS187))),"Y","N"))</f>
        <v/>
      </c>
      <c r="BA187" s="10" t="str">
        <f aca="false">IF(C187="","",C187&amp;"|"&amp;I187&amp;"|"&amp;F187&amp;"|"&amp;AZ187)</f>
        <v/>
      </c>
    </row>
    <row r="188" customFormat="false" ht="15" hidden="false" customHeight="false" outlineLevel="0" collapsed="false">
      <c r="A188" s="10" t="str">
        <f aca="false">IF(C188="","","MH-"&amp;IFERROR(VLOOKUP(C188,Lists!$AB$4:$AC$20,2,0),"??")&amp;"-"&amp;TEXT(F188,"0000")&amp;IF(E188="Circular","D","x"&amp;TEXT(G188,"0000"))&amp;"-D"&amp;TEXT(I188*1000,"0000")&amp;"-"&amp;IFERROR(VLOOKUP(D188,Lists!$AE$4:$AF$16,2,0),"??")&amp;"-"&amp;AA188)</f>
        <v/>
      </c>
      <c r="B188" s="10" t="str">
        <f aca="false">IF(C188="","",C188&amp;", "&amp;D188&amp;", "&amp;IF(E188="Circular",F188&amp;" dia",F188&amp;" x "&amp;G188)&amp;", depth "&amp;TEXT(H188,"0.0")&amp;"-"&amp;TEXT(I188,"0.0")&amp;" m, pipe up to "&amp;J188&amp;" dia")</f>
        <v/>
      </c>
      <c r="C188" s="9"/>
      <c r="D188" s="9"/>
      <c r="E188" s="9"/>
      <c r="F188" s="40"/>
      <c r="G188" s="40"/>
      <c r="H188" s="43"/>
      <c r="I188" s="43"/>
      <c r="J188" s="40"/>
      <c r="K188" s="40"/>
      <c r="L188" s="40"/>
      <c r="M188" s="40"/>
      <c r="N188" s="9"/>
      <c r="O188" s="9"/>
      <c r="P188" s="9"/>
      <c r="Q188" s="9"/>
      <c r="R188" s="41"/>
      <c r="S188" s="9"/>
      <c r="T188" s="40"/>
      <c r="U188" s="9"/>
      <c r="V188" s="9"/>
      <c r="W188" s="9"/>
      <c r="X188" s="9"/>
      <c r="Y188" s="9"/>
      <c r="Z188" s="9"/>
      <c r="AA188" s="9"/>
      <c r="AB188" s="9"/>
      <c r="AC188" s="9"/>
      <c r="AD188" s="9"/>
      <c r="AE188" s="9"/>
      <c r="AF188" s="10" t="str">
        <f aca="false">IF(A188="","",SG_Criteria!$B$6&amp;SG_Criteria!$B$10&amp;"\"&amp;A188&amp;"\")</f>
        <v/>
      </c>
      <c r="AG188" s="10" t="str">
        <f aca="false">IF(A188="","",A188&amp;"_CAD.dwg")</f>
        <v/>
      </c>
      <c r="AH188" s="10" t="str">
        <f aca="false">IF(A188="","",A188&amp;"_DWG.pdf")</f>
        <v/>
      </c>
      <c r="AI188" s="10" t="str">
        <f aca="false">IF(A188="","",IF(AE188="Y",A188&amp;"_STAAD.std","n/a"))</f>
        <v/>
      </c>
      <c r="AJ188" s="10" t="str">
        <f aca="false">IF(A188="","",A188&amp;"_CALC.xlsx")</f>
        <v/>
      </c>
      <c r="AK188" s="10" t="str">
        <f aca="false">IF(A188="","",A188&amp;"_CALC.pdf")</f>
        <v/>
      </c>
      <c r="AL188" s="9"/>
      <c r="AM188" s="9"/>
      <c r="AN188" s="41"/>
      <c r="AO188" s="41"/>
      <c r="AP188" s="41"/>
      <c r="AQ188" s="41"/>
      <c r="AR188" s="41"/>
      <c r="AS188" s="38" t="str">
        <f aca="false">IF(C188="","",IF(LEN(IF(AND(S188&lt;&gt;"",IFERROR(VALUE(MID(S188,2,2)),0)&lt;SG_Criteria!$B$19),"FAIL: grade below C"&amp;SG_Criteria!$B$19&amp;". ","")&amp;IF(AND(T188&lt;&gt;"",T188&lt;SG_Criteria!$B$20),"FAIL: cover &lt; "&amp;SG_Criteria!$B$20&amp;" mm. ","")&amp;IF(AND(H188&lt;&gt;"",H188&lt;SG_Criteria!$B$39),"NOTE: min depth below PUB "&amp;SG_Criteria!$B$39&amp;" m. ","")&amp;IF(AND(LEFT(C188,8)="Standard",I188&gt;SG_Criteria!$B$42),"FAIL: PUB 001C covers manholes up to "&amp;SG_Criteria!$B$42&amp;" m deep only. ","")&amp;IF(AND(LEFT(C188,11)="Rectangular",J188&lt;SG_Criteria!$B$43),"NOTE: 004C is for sewers &gt;= "&amp;SG_Criteria!$B$43&amp;" dia. ","")&amp;IF(AND(LEFT(C188,7)="Precast",I188&lt;=SG_Criteria!$B$42),"NOTE: 006C is for manholes &gt; "&amp;SG_Criteria!$B$42&amp;" m deep. ","")&amp;IF(AND(J188&lt;&gt;"",J188&lt;SG_Criteria!$B$40,C188&lt;&gt;"Inspection Chamber"),"NOTE: public sewer min dia "&amp;SG_Criteria!$B$40&amp;" mm. ","")&amp;IF(AND(R188&lt;&gt;"",R188&lt;SG_Criteria!$B$44),"FAIL: uplift FOS below "&amp;SG_Criteria!$B$44&amp;". ",""))=0,"OK",IF(AND(S188&lt;&gt;"",IFERROR(VALUE(MID(S188,2,2)),0)&lt;SG_Criteria!$B$19),"FAIL: grade below C"&amp;SG_Criteria!$B$19&amp;". ","")&amp;IF(AND(T188&lt;&gt;"",T188&lt;SG_Criteria!$B$20),"FAIL: cover &lt; "&amp;SG_Criteria!$B$20&amp;" mm. ","")&amp;IF(AND(H188&lt;&gt;"",H188&lt;SG_Criteria!$B$39),"NOTE: min depth below PUB "&amp;SG_Criteria!$B$39&amp;" m. ","")&amp;IF(AND(LEFT(C188,8)="Standard",I188&gt;SG_Criteria!$B$42),"FAIL: PUB 001C covers manholes up to "&amp;SG_Criteria!$B$42&amp;" m deep only. ","")&amp;IF(AND(LEFT(C188,11)="Rectangular",J188&lt;SG_Criteria!$B$43),"NOTE: 004C is for sewers &gt;= "&amp;SG_Criteria!$B$43&amp;" dia. ","")&amp;IF(AND(LEFT(C188,7)="Precast",I188&lt;=SG_Criteria!$B$42),"NOTE: 006C is for manholes &gt; "&amp;SG_Criteria!$B$42&amp;" m deep. ","")&amp;IF(AND(J188&lt;&gt;"",J188&lt;SG_Criteria!$B$40,C188&lt;&gt;"Inspection Chamber"),"NOTE: public sewer min dia "&amp;SG_Criteria!$B$40&amp;" mm. ","")&amp;IF(AND(R188&lt;&gt;"",R188&lt;SG_Criteria!$B$44),"FAIL: uplift FOS below "&amp;SG_Criteria!$B$44&amp;". ","")))</f>
        <v/>
      </c>
      <c r="AT188" s="9"/>
      <c r="AU188" s="9"/>
      <c r="AV188" s="9"/>
      <c r="AW188" s="9"/>
      <c r="AX188" s="9"/>
      <c r="AY188" s="31"/>
      <c r="AZ188" s="10" t="str">
        <f aca="false">IF(C188="","",IF(AND(AB188="Approved",ISERROR(SEARCH("FAIL",AS188))),"Y","N"))</f>
        <v/>
      </c>
      <c r="BA188" s="10" t="str">
        <f aca="false">IF(C188="","",C188&amp;"|"&amp;I188&amp;"|"&amp;F188&amp;"|"&amp;AZ188)</f>
        <v/>
      </c>
    </row>
    <row r="189" customFormat="false" ht="15" hidden="false" customHeight="false" outlineLevel="0" collapsed="false">
      <c r="A189" s="10" t="str">
        <f aca="false">IF(C189="","","MH-"&amp;IFERROR(VLOOKUP(C189,Lists!$AB$4:$AC$20,2,0),"??")&amp;"-"&amp;TEXT(F189,"0000")&amp;IF(E189="Circular","D","x"&amp;TEXT(G189,"0000"))&amp;"-D"&amp;TEXT(I189*1000,"0000")&amp;"-"&amp;IFERROR(VLOOKUP(D189,Lists!$AE$4:$AF$16,2,0),"??")&amp;"-"&amp;AA189)</f>
        <v/>
      </c>
      <c r="B189" s="10" t="str">
        <f aca="false">IF(C189="","",C189&amp;", "&amp;D189&amp;", "&amp;IF(E189="Circular",F189&amp;" dia",F189&amp;" x "&amp;G189)&amp;", depth "&amp;TEXT(H189,"0.0")&amp;"-"&amp;TEXT(I189,"0.0")&amp;" m, pipe up to "&amp;J189&amp;" dia")</f>
        <v/>
      </c>
      <c r="C189" s="9"/>
      <c r="D189" s="9"/>
      <c r="E189" s="9"/>
      <c r="F189" s="40"/>
      <c r="G189" s="40"/>
      <c r="H189" s="43"/>
      <c r="I189" s="43"/>
      <c r="J189" s="40"/>
      <c r="K189" s="40"/>
      <c r="L189" s="40"/>
      <c r="M189" s="40"/>
      <c r="N189" s="9"/>
      <c r="O189" s="9"/>
      <c r="P189" s="9"/>
      <c r="Q189" s="9"/>
      <c r="R189" s="41"/>
      <c r="S189" s="9"/>
      <c r="T189" s="40"/>
      <c r="U189" s="9"/>
      <c r="V189" s="9"/>
      <c r="W189" s="9"/>
      <c r="X189" s="9"/>
      <c r="Y189" s="9"/>
      <c r="Z189" s="9"/>
      <c r="AA189" s="9"/>
      <c r="AB189" s="9"/>
      <c r="AC189" s="9"/>
      <c r="AD189" s="9"/>
      <c r="AE189" s="9"/>
      <c r="AF189" s="10" t="str">
        <f aca="false">IF(A189="","",SG_Criteria!$B$6&amp;SG_Criteria!$B$10&amp;"\"&amp;A189&amp;"\")</f>
        <v/>
      </c>
      <c r="AG189" s="10" t="str">
        <f aca="false">IF(A189="","",A189&amp;"_CAD.dwg")</f>
        <v/>
      </c>
      <c r="AH189" s="10" t="str">
        <f aca="false">IF(A189="","",A189&amp;"_DWG.pdf")</f>
        <v/>
      </c>
      <c r="AI189" s="10" t="str">
        <f aca="false">IF(A189="","",IF(AE189="Y",A189&amp;"_STAAD.std","n/a"))</f>
        <v/>
      </c>
      <c r="AJ189" s="10" t="str">
        <f aca="false">IF(A189="","",A189&amp;"_CALC.xlsx")</f>
        <v/>
      </c>
      <c r="AK189" s="10" t="str">
        <f aca="false">IF(A189="","",A189&amp;"_CALC.pdf")</f>
        <v/>
      </c>
      <c r="AL189" s="9"/>
      <c r="AM189" s="9"/>
      <c r="AN189" s="41"/>
      <c r="AO189" s="41"/>
      <c r="AP189" s="41"/>
      <c r="AQ189" s="41"/>
      <c r="AR189" s="41"/>
      <c r="AS189" s="38" t="str">
        <f aca="false">IF(C189="","",IF(LEN(IF(AND(S189&lt;&gt;"",IFERROR(VALUE(MID(S189,2,2)),0)&lt;SG_Criteria!$B$19),"FAIL: grade below C"&amp;SG_Criteria!$B$19&amp;". ","")&amp;IF(AND(T189&lt;&gt;"",T189&lt;SG_Criteria!$B$20),"FAIL: cover &lt; "&amp;SG_Criteria!$B$20&amp;" mm. ","")&amp;IF(AND(H189&lt;&gt;"",H189&lt;SG_Criteria!$B$39),"NOTE: min depth below PUB "&amp;SG_Criteria!$B$39&amp;" m. ","")&amp;IF(AND(LEFT(C189,8)="Standard",I189&gt;SG_Criteria!$B$42),"FAIL: PUB 001C covers manholes up to "&amp;SG_Criteria!$B$42&amp;" m deep only. ","")&amp;IF(AND(LEFT(C189,11)="Rectangular",J189&lt;SG_Criteria!$B$43),"NOTE: 004C is for sewers &gt;= "&amp;SG_Criteria!$B$43&amp;" dia. ","")&amp;IF(AND(LEFT(C189,7)="Precast",I189&lt;=SG_Criteria!$B$42),"NOTE: 006C is for manholes &gt; "&amp;SG_Criteria!$B$42&amp;" m deep. ","")&amp;IF(AND(J189&lt;&gt;"",J189&lt;SG_Criteria!$B$40,C189&lt;&gt;"Inspection Chamber"),"NOTE: public sewer min dia "&amp;SG_Criteria!$B$40&amp;" mm. ","")&amp;IF(AND(R189&lt;&gt;"",R189&lt;SG_Criteria!$B$44),"FAIL: uplift FOS below "&amp;SG_Criteria!$B$44&amp;". ",""))=0,"OK",IF(AND(S189&lt;&gt;"",IFERROR(VALUE(MID(S189,2,2)),0)&lt;SG_Criteria!$B$19),"FAIL: grade below C"&amp;SG_Criteria!$B$19&amp;". ","")&amp;IF(AND(T189&lt;&gt;"",T189&lt;SG_Criteria!$B$20),"FAIL: cover &lt; "&amp;SG_Criteria!$B$20&amp;" mm. ","")&amp;IF(AND(H189&lt;&gt;"",H189&lt;SG_Criteria!$B$39),"NOTE: min depth below PUB "&amp;SG_Criteria!$B$39&amp;" m. ","")&amp;IF(AND(LEFT(C189,8)="Standard",I189&gt;SG_Criteria!$B$42),"FAIL: PUB 001C covers manholes up to "&amp;SG_Criteria!$B$42&amp;" m deep only. ","")&amp;IF(AND(LEFT(C189,11)="Rectangular",J189&lt;SG_Criteria!$B$43),"NOTE: 004C is for sewers &gt;= "&amp;SG_Criteria!$B$43&amp;" dia. ","")&amp;IF(AND(LEFT(C189,7)="Precast",I189&lt;=SG_Criteria!$B$42),"NOTE: 006C is for manholes &gt; "&amp;SG_Criteria!$B$42&amp;" m deep. ","")&amp;IF(AND(J189&lt;&gt;"",J189&lt;SG_Criteria!$B$40,C189&lt;&gt;"Inspection Chamber"),"NOTE: public sewer min dia "&amp;SG_Criteria!$B$40&amp;" mm. ","")&amp;IF(AND(R189&lt;&gt;"",R189&lt;SG_Criteria!$B$44),"FAIL: uplift FOS below "&amp;SG_Criteria!$B$44&amp;". ","")))</f>
        <v/>
      </c>
      <c r="AT189" s="9"/>
      <c r="AU189" s="9"/>
      <c r="AV189" s="9"/>
      <c r="AW189" s="9"/>
      <c r="AX189" s="9"/>
      <c r="AY189" s="31"/>
      <c r="AZ189" s="10" t="str">
        <f aca="false">IF(C189="","",IF(AND(AB189="Approved",ISERROR(SEARCH("FAIL",AS189))),"Y","N"))</f>
        <v/>
      </c>
      <c r="BA189" s="10" t="str">
        <f aca="false">IF(C189="","",C189&amp;"|"&amp;I189&amp;"|"&amp;F189&amp;"|"&amp;AZ189)</f>
        <v/>
      </c>
    </row>
    <row r="190" customFormat="false" ht="15" hidden="false" customHeight="false" outlineLevel="0" collapsed="false">
      <c r="A190" s="10" t="str">
        <f aca="false">IF(C190="","","MH-"&amp;IFERROR(VLOOKUP(C190,Lists!$AB$4:$AC$20,2,0),"??")&amp;"-"&amp;TEXT(F190,"0000")&amp;IF(E190="Circular","D","x"&amp;TEXT(G190,"0000"))&amp;"-D"&amp;TEXT(I190*1000,"0000")&amp;"-"&amp;IFERROR(VLOOKUP(D190,Lists!$AE$4:$AF$16,2,0),"??")&amp;"-"&amp;AA190)</f>
        <v/>
      </c>
      <c r="B190" s="10" t="str">
        <f aca="false">IF(C190="","",C190&amp;", "&amp;D190&amp;", "&amp;IF(E190="Circular",F190&amp;" dia",F190&amp;" x "&amp;G190)&amp;", depth "&amp;TEXT(H190,"0.0")&amp;"-"&amp;TEXT(I190,"0.0")&amp;" m, pipe up to "&amp;J190&amp;" dia")</f>
        <v/>
      </c>
      <c r="C190" s="9"/>
      <c r="D190" s="9"/>
      <c r="E190" s="9"/>
      <c r="F190" s="40"/>
      <c r="G190" s="40"/>
      <c r="H190" s="43"/>
      <c r="I190" s="43"/>
      <c r="J190" s="40"/>
      <c r="K190" s="40"/>
      <c r="L190" s="40"/>
      <c r="M190" s="40"/>
      <c r="N190" s="9"/>
      <c r="O190" s="9"/>
      <c r="P190" s="9"/>
      <c r="Q190" s="9"/>
      <c r="R190" s="41"/>
      <c r="S190" s="9"/>
      <c r="T190" s="40"/>
      <c r="U190" s="9"/>
      <c r="V190" s="9"/>
      <c r="W190" s="9"/>
      <c r="X190" s="9"/>
      <c r="Y190" s="9"/>
      <c r="Z190" s="9"/>
      <c r="AA190" s="9"/>
      <c r="AB190" s="9"/>
      <c r="AC190" s="9"/>
      <c r="AD190" s="9"/>
      <c r="AE190" s="9"/>
      <c r="AF190" s="10" t="str">
        <f aca="false">IF(A190="","",SG_Criteria!$B$6&amp;SG_Criteria!$B$10&amp;"\"&amp;A190&amp;"\")</f>
        <v/>
      </c>
      <c r="AG190" s="10" t="str">
        <f aca="false">IF(A190="","",A190&amp;"_CAD.dwg")</f>
        <v/>
      </c>
      <c r="AH190" s="10" t="str">
        <f aca="false">IF(A190="","",A190&amp;"_DWG.pdf")</f>
        <v/>
      </c>
      <c r="AI190" s="10" t="str">
        <f aca="false">IF(A190="","",IF(AE190="Y",A190&amp;"_STAAD.std","n/a"))</f>
        <v/>
      </c>
      <c r="AJ190" s="10" t="str">
        <f aca="false">IF(A190="","",A190&amp;"_CALC.xlsx")</f>
        <v/>
      </c>
      <c r="AK190" s="10" t="str">
        <f aca="false">IF(A190="","",A190&amp;"_CALC.pdf")</f>
        <v/>
      </c>
      <c r="AL190" s="9"/>
      <c r="AM190" s="9"/>
      <c r="AN190" s="41"/>
      <c r="AO190" s="41"/>
      <c r="AP190" s="41"/>
      <c r="AQ190" s="41"/>
      <c r="AR190" s="41"/>
      <c r="AS190" s="38" t="str">
        <f aca="false">IF(C190="","",IF(LEN(IF(AND(S190&lt;&gt;"",IFERROR(VALUE(MID(S190,2,2)),0)&lt;SG_Criteria!$B$19),"FAIL: grade below C"&amp;SG_Criteria!$B$19&amp;". ","")&amp;IF(AND(T190&lt;&gt;"",T190&lt;SG_Criteria!$B$20),"FAIL: cover &lt; "&amp;SG_Criteria!$B$20&amp;" mm. ","")&amp;IF(AND(H190&lt;&gt;"",H190&lt;SG_Criteria!$B$39),"NOTE: min depth below PUB "&amp;SG_Criteria!$B$39&amp;" m. ","")&amp;IF(AND(LEFT(C190,8)="Standard",I190&gt;SG_Criteria!$B$42),"FAIL: PUB 001C covers manholes up to "&amp;SG_Criteria!$B$42&amp;" m deep only. ","")&amp;IF(AND(LEFT(C190,11)="Rectangular",J190&lt;SG_Criteria!$B$43),"NOTE: 004C is for sewers &gt;= "&amp;SG_Criteria!$B$43&amp;" dia. ","")&amp;IF(AND(LEFT(C190,7)="Precast",I190&lt;=SG_Criteria!$B$42),"NOTE: 006C is for manholes &gt; "&amp;SG_Criteria!$B$42&amp;" m deep. ","")&amp;IF(AND(J190&lt;&gt;"",J190&lt;SG_Criteria!$B$40,C190&lt;&gt;"Inspection Chamber"),"NOTE: public sewer min dia "&amp;SG_Criteria!$B$40&amp;" mm. ","")&amp;IF(AND(R190&lt;&gt;"",R190&lt;SG_Criteria!$B$44),"FAIL: uplift FOS below "&amp;SG_Criteria!$B$44&amp;". ",""))=0,"OK",IF(AND(S190&lt;&gt;"",IFERROR(VALUE(MID(S190,2,2)),0)&lt;SG_Criteria!$B$19),"FAIL: grade below C"&amp;SG_Criteria!$B$19&amp;". ","")&amp;IF(AND(T190&lt;&gt;"",T190&lt;SG_Criteria!$B$20),"FAIL: cover &lt; "&amp;SG_Criteria!$B$20&amp;" mm. ","")&amp;IF(AND(H190&lt;&gt;"",H190&lt;SG_Criteria!$B$39),"NOTE: min depth below PUB "&amp;SG_Criteria!$B$39&amp;" m. ","")&amp;IF(AND(LEFT(C190,8)="Standard",I190&gt;SG_Criteria!$B$42),"FAIL: PUB 001C covers manholes up to "&amp;SG_Criteria!$B$42&amp;" m deep only. ","")&amp;IF(AND(LEFT(C190,11)="Rectangular",J190&lt;SG_Criteria!$B$43),"NOTE: 004C is for sewers &gt;= "&amp;SG_Criteria!$B$43&amp;" dia. ","")&amp;IF(AND(LEFT(C190,7)="Precast",I190&lt;=SG_Criteria!$B$42),"NOTE: 006C is for manholes &gt; "&amp;SG_Criteria!$B$42&amp;" m deep. ","")&amp;IF(AND(J190&lt;&gt;"",J190&lt;SG_Criteria!$B$40,C190&lt;&gt;"Inspection Chamber"),"NOTE: public sewer min dia "&amp;SG_Criteria!$B$40&amp;" mm. ","")&amp;IF(AND(R190&lt;&gt;"",R190&lt;SG_Criteria!$B$44),"FAIL: uplift FOS below "&amp;SG_Criteria!$B$44&amp;". ","")))</f>
        <v/>
      </c>
      <c r="AT190" s="9"/>
      <c r="AU190" s="9"/>
      <c r="AV190" s="9"/>
      <c r="AW190" s="9"/>
      <c r="AX190" s="9"/>
      <c r="AY190" s="31"/>
      <c r="AZ190" s="10" t="str">
        <f aca="false">IF(C190="","",IF(AND(AB190="Approved",ISERROR(SEARCH("FAIL",AS190))),"Y","N"))</f>
        <v/>
      </c>
      <c r="BA190" s="10" t="str">
        <f aca="false">IF(C190="","",C190&amp;"|"&amp;I190&amp;"|"&amp;F190&amp;"|"&amp;AZ190)</f>
        <v/>
      </c>
    </row>
    <row r="191" customFormat="false" ht="15" hidden="false" customHeight="false" outlineLevel="0" collapsed="false">
      <c r="A191" s="10" t="str">
        <f aca="false">IF(C191="","","MH-"&amp;IFERROR(VLOOKUP(C191,Lists!$AB$4:$AC$20,2,0),"??")&amp;"-"&amp;TEXT(F191,"0000")&amp;IF(E191="Circular","D","x"&amp;TEXT(G191,"0000"))&amp;"-D"&amp;TEXT(I191*1000,"0000")&amp;"-"&amp;IFERROR(VLOOKUP(D191,Lists!$AE$4:$AF$16,2,0),"??")&amp;"-"&amp;AA191)</f>
        <v/>
      </c>
      <c r="B191" s="10" t="str">
        <f aca="false">IF(C191="","",C191&amp;", "&amp;D191&amp;", "&amp;IF(E191="Circular",F191&amp;" dia",F191&amp;" x "&amp;G191)&amp;", depth "&amp;TEXT(H191,"0.0")&amp;"-"&amp;TEXT(I191,"0.0")&amp;" m, pipe up to "&amp;J191&amp;" dia")</f>
        <v/>
      </c>
      <c r="C191" s="9"/>
      <c r="D191" s="9"/>
      <c r="E191" s="9"/>
      <c r="F191" s="40"/>
      <c r="G191" s="40"/>
      <c r="H191" s="43"/>
      <c r="I191" s="43"/>
      <c r="J191" s="40"/>
      <c r="K191" s="40"/>
      <c r="L191" s="40"/>
      <c r="M191" s="40"/>
      <c r="N191" s="9"/>
      <c r="O191" s="9"/>
      <c r="P191" s="9"/>
      <c r="Q191" s="9"/>
      <c r="R191" s="41"/>
      <c r="S191" s="9"/>
      <c r="T191" s="40"/>
      <c r="U191" s="9"/>
      <c r="V191" s="9"/>
      <c r="W191" s="9"/>
      <c r="X191" s="9"/>
      <c r="Y191" s="9"/>
      <c r="Z191" s="9"/>
      <c r="AA191" s="9"/>
      <c r="AB191" s="9"/>
      <c r="AC191" s="9"/>
      <c r="AD191" s="9"/>
      <c r="AE191" s="9"/>
      <c r="AF191" s="10" t="str">
        <f aca="false">IF(A191="","",SG_Criteria!$B$6&amp;SG_Criteria!$B$10&amp;"\"&amp;A191&amp;"\")</f>
        <v/>
      </c>
      <c r="AG191" s="10" t="str">
        <f aca="false">IF(A191="","",A191&amp;"_CAD.dwg")</f>
        <v/>
      </c>
      <c r="AH191" s="10" t="str">
        <f aca="false">IF(A191="","",A191&amp;"_DWG.pdf")</f>
        <v/>
      </c>
      <c r="AI191" s="10" t="str">
        <f aca="false">IF(A191="","",IF(AE191="Y",A191&amp;"_STAAD.std","n/a"))</f>
        <v/>
      </c>
      <c r="AJ191" s="10" t="str">
        <f aca="false">IF(A191="","",A191&amp;"_CALC.xlsx")</f>
        <v/>
      </c>
      <c r="AK191" s="10" t="str">
        <f aca="false">IF(A191="","",A191&amp;"_CALC.pdf")</f>
        <v/>
      </c>
      <c r="AL191" s="9"/>
      <c r="AM191" s="9"/>
      <c r="AN191" s="41"/>
      <c r="AO191" s="41"/>
      <c r="AP191" s="41"/>
      <c r="AQ191" s="41"/>
      <c r="AR191" s="41"/>
      <c r="AS191" s="38" t="str">
        <f aca="false">IF(C191="","",IF(LEN(IF(AND(S191&lt;&gt;"",IFERROR(VALUE(MID(S191,2,2)),0)&lt;SG_Criteria!$B$19),"FAIL: grade below C"&amp;SG_Criteria!$B$19&amp;". ","")&amp;IF(AND(T191&lt;&gt;"",T191&lt;SG_Criteria!$B$20),"FAIL: cover &lt; "&amp;SG_Criteria!$B$20&amp;" mm. ","")&amp;IF(AND(H191&lt;&gt;"",H191&lt;SG_Criteria!$B$39),"NOTE: min depth below PUB "&amp;SG_Criteria!$B$39&amp;" m. ","")&amp;IF(AND(LEFT(C191,8)="Standard",I191&gt;SG_Criteria!$B$42),"FAIL: PUB 001C covers manholes up to "&amp;SG_Criteria!$B$42&amp;" m deep only. ","")&amp;IF(AND(LEFT(C191,11)="Rectangular",J191&lt;SG_Criteria!$B$43),"NOTE: 004C is for sewers &gt;= "&amp;SG_Criteria!$B$43&amp;" dia. ","")&amp;IF(AND(LEFT(C191,7)="Precast",I191&lt;=SG_Criteria!$B$42),"NOTE: 006C is for manholes &gt; "&amp;SG_Criteria!$B$42&amp;" m deep. ","")&amp;IF(AND(J191&lt;&gt;"",J191&lt;SG_Criteria!$B$40,C191&lt;&gt;"Inspection Chamber"),"NOTE: public sewer min dia "&amp;SG_Criteria!$B$40&amp;" mm. ","")&amp;IF(AND(R191&lt;&gt;"",R191&lt;SG_Criteria!$B$44),"FAIL: uplift FOS below "&amp;SG_Criteria!$B$44&amp;". ",""))=0,"OK",IF(AND(S191&lt;&gt;"",IFERROR(VALUE(MID(S191,2,2)),0)&lt;SG_Criteria!$B$19),"FAIL: grade below C"&amp;SG_Criteria!$B$19&amp;". ","")&amp;IF(AND(T191&lt;&gt;"",T191&lt;SG_Criteria!$B$20),"FAIL: cover &lt; "&amp;SG_Criteria!$B$20&amp;" mm. ","")&amp;IF(AND(H191&lt;&gt;"",H191&lt;SG_Criteria!$B$39),"NOTE: min depth below PUB "&amp;SG_Criteria!$B$39&amp;" m. ","")&amp;IF(AND(LEFT(C191,8)="Standard",I191&gt;SG_Criteria!$B$42),"FAIL: PUB 001C covers manholes up to "&amp;SG_Criteria!$B$42&amp;" m deep only. ","")&amp;IF(AND(LEFT(C191,11)="Rectangular",J191&lt;SG_Criteria!$B$43),"NOTE: 004C is for sewers &gt;= "&amp;SG_Criteria!$B$43&amp;" dia. ","")&amp;IF(AND(LEFT(C191,7)="Precast",I191&lt;=SG_Criteria!$B$42),"NOTE: 006C is for manholes &gt; "&amp;SG_Criteria!$B$42&amp;" m deep. ","")&amp;IF(AND(J191&lt;&gt;"",J191&lt;SG_Criteria!$B$40,C191&lt;&gt;"Inspection Chamber"),"NOTE: public sewer min dia "&amp;SG_Criteria!$B$40&amp;" mm. ","")&amp;IF(AND(R191&lt;&gt;"",R191&lt;SG_Criteria!$B$44),"FAIL: uplift FOS below "&amp;SG_Criteria!$B$44&amp;". ","")))</f>
        <v/>
      </c>
      <c r="AT191" s="9"/>
      <c r="AU191" s="9"/>
      <c r="AV191" s="9"/>
      <c r="AW191" s="9"/>
      <c r="AX191" s="9"/>
      <c r="AY191" s="31"/>
      <c r="AZ191" s="10" t="str">
        <f aca="false">IF(C191="","",IF(AND(AB191="Approved",ISERROR(SEARCH("FAIL",AS191))),"Y","N"))</f>
        <v/>
      </c>
      <c r="BA191" s="10" t="str">
        <f aca="false">IF(C191="","",C191&amp;"|"&amp;I191&amp;"|"&amp;F191&amp;"|"&amp;AZ191)</f>
        <v/>
      </c>
    </row>
    <row r="192" customFormat="false" ht="15" hidden="false" customHeight="false" outlineLevel="0" collapsed="false">
      <c r="A192" s="10" t="str">
        <f aca="false">IF(C192="","","MH-"&amp;IFERROR(VLOOKUP(C192,Lists!$AB$4:$AC$20,2,0),"??")&amp;"-"&amp;TEXT(F192,"0000")&amp;IF(E192="Circular","D","x"&amp;TEXT(G192,"0000"))&amp;"-D"&amp;TEXT(I192*1000,"0000")&amp;"-"&amp;IFERROR(VLOOKUP(D192,Lists!$AE$4:$AF$16,2,0),"??")&amp;"-"&amp;AA192)</f>
        <v/>
      </c>
      <c r="B192" s="10" t="str">
        <f aca="false">IF(C192="","",C192&amp;", "&amp;D192&amp;", "&amp;IF(E192="Circular",F192&amp;" dia",F192&amp;" x "&amp;G192)&amp;", depth "&amp;TEXT(H192,"0.0")&amp;"-"&amp;TEXT(I192,"0.0")&amp;" m, pipe up to "&amp;J192&amp;" dia")</f>
        <v/>
      </c>
      <c r="C192" s="9"/>
      <c r="D192" s="9"/>
      <c r="E192" s="9"/>
      <c r="F192" s="40"/>
      <c r="G192" s="40"/>
      <c r="H192" s="43"/>
      <c r="I192" s="43"/>
      <c r="J192" s="40"/>
      <c r="K192" s="40"/>
      <c r="L192" s="40"/>
      <c r="M192" s="40"/>
      <c r="N192" s="9"/>
      <c r="O192" s="9"/>
      <c r="P192" s="9"/>
      <c r="Q192" s="9"/>
      <c r="R192" s="41"/>
      <c r="S192" s="9"/>
      <c r="T192" s="40"/>
      <c r="U192" s="9"/>
      <c r="V192" s="9"/>
      <c r="W192" s="9"/>
      <c r="X192" s="9"/>
      <c r="Y192" s="9"/>
      <c r="Z192" s="9"/>
      <c r="AA192" s="9"/>
      <c r="AB192" s="9"/>
      <c r="AC192" s="9"/>
      <c r="AD192" s="9"/>
      <c r="AE192" s="9"/>
      <c r="AF192" s="10" t="str">
        <f aca="false">IF(A192="","",SG_Criteria!$B$6&amp;SG_Criteria!$B$10&amp;"\"&amp;A192&amp;"\")</f>
        <v/>
      </c>
      <c r="AG192" s="10" t="str">
        <f aca="false">IF(A192="","",A192&amp;"_CAD.dwg")</f>
        <v/>
      </c>
      <c r="AH192" s="10" t="str">
        <f aca="false">IF(A192="","",A192&amp;"_DWG.pdf")</f>
        <v/>
      </c>
      <c r="AI192" s="10" t="str">
        <f aca="false">IF(A192="","",IF(AE192="Y",A192&amp;"_STAAD.std","n/a"))</f>
        <v/>
      </c>
      <c r="AJ192" s="10" t="str">
        <f aca="false">IF(A192="","",A192&amp;"_CALC.xlsx")</f>
        <v/>
      </c>
      <c r="AK192" s="10" t="str">
        <f aca="false">IF(A192="","",A192&amp;"_CALC.pdf")</f>
        <v/>
      </c>
      <c r="AL192" s="9"/>
      <c r="AM192" s="9"/>
      <c r="AN192" s="41"/>
      <c r="AO192" s="41"/>
      <c r="AP192" s="41"/>
      <c r="AQ192" s="41"/>
      <c r="AR192" s="41"/>
      <c r="AS192" s="38" t="str">
        <f aca="false">IF(C192="","",IF(LEN(IF(AND(S192&lt;&gt;"",IFERROR(VALUE(MID(S192,2,2)),0)&lt;SG_Criteria!$B$19),"FAIL: grade below C"&amp;SG_Criteria!$B$19&amp;". ","")&amp;IF(AND(T192&lt;&gt;"",T192&lt;SG_Criteria!$B$20),"FAIL: cover &lt; "&amp;SG_Criteria!$B$20&amp;" mm. ","")&amp;IF(AND(H192&lt;&gt;"",H192&lt;SG_Criteria!$B$39),"NOTE: min depth below PUB "&amp;SG_Criteria!$B$39&amp;" m. ","")&amp;IF(AND(LEFT(C192,8)="Standard",I192&gt;SG_Criteria!$B$42),"FAIL: PUB 001C covers manholes up to "&amp;SG_Criteria!$B$42&amp;" m deep only. ","")&amp;IF(AND(LEFT(C192,11)="Rectangular",J192&lt;SG_Criteria!$B$43),"NOTE: 004C is for sewers &gt;= "&amp;SG_Criteria!$B$43&amp;" dia. ","")&amp;IF(AND(LEFT(C192,7)="Precast",I192&lt;=SG_Criteria!$B$42),"NOTE: 006C is for manholes &gt; "&amp;SG_Criteria!$B$42&amp;" m deep. ","")&amp;IF(AND(J192&lt;&gt;"",J192&lt;SG_Criteria!$B$40,C192&lt;&gt;"Inspection Chamber"),"NOTE: public sewer min dia "&amp;SG_Criteria!$B$40&amp;" mm. ","")&amp;IF(AND(R192&lt;&gt;"",R192&lt;SG_Criteria!$B$44),"FAIL: uplift FOS below "&amp;SG_Criteria!$B$44&amp;". ",""))=0,"OK",IF(AND(S192&lt;&gt;"",IFERROR(VALUE(MID(S192,2,2)),0)&lt;SG_Criteria!$B$19),"FAIL: grade below C"&amp;SG_Criteria!$B$19&amp;". ","")&amp;IF(AND(T192&lt;&gt;"",T192&lt;SG_Criteria!$B$20),"FAIL: cover &lt; "&amp;SG_Criteria!$B$20&amp;" mm. ","")&amp;IF(AND(H192&lt;&gt;"",H192&lt;SG_Criteria!$B$39),"NOTE: min depth below PUB "&amp;SG_Criteria!$B$39&amp;" m. ","")&amp;IF(AND(LEFT(C192,8)="Standard",I192&gt;SG_Criteria!$B$42),"FAIL: PUB 001C covers manholes up to "&amp;SG_Criteria!$B$42&amp;" m deep only. ","")&amp;IF(AND(LEFT(C192,11)="Rectangular",J192&lt;SG_Criteria!$B$43),"NOTE: 004C is for sewers &gt;= "&amp;SG_Criteria!$B$43&amp;" dia. ","")&amp;IF(AND(LEFT(C192,7)="Precast",I192&lt;=SG_Criteria!$B$42),"NOTE: 006C is for manholes &gt; "&amp;SG_Criteria!$B$42&amp;" m deep. ","")&amp;IF(AND(J192&lt;&gt;"",J192&lt;SG_Criteria!$B$40,C192&lt;&gt;"Inspection Chamber"),"NOTE: public sewer min dia "&amp;SG_Criteria!$B$40&amp;" mm. ","")&amp;IF(AND(R192&lt;&gt;"",R192&lt;SG_Criteria!$B$44),"FAIL: uplift FOS below "&amp;SG_Criteria!$B$44&amp;". ","")))</f>
        <v/>
      </c>
      <c r="AT192" s="9"/>
      <c r="AU192" s="9"/>
      <c r="AV192" s="9"/>
      <c r="AW192" s="9"/>
      <c r="AX192" s="9"/>
      <c r="AY192" s="31"/>
      <c r="AZ192" s="10" t="str">
        <f aca="false">IF(C192="","",IF(AND(AB192="Approved",ISERROR(SEARCH("FAIL",AS192))),"Y","N"))</f>
        <v/>
      </c>
      <c r="BA192" s="10" t="str">
        <f aca="false">IF(C192="","",C192&amp;"|"&amp;I192&amp;"|"&amp;F192&amp;"|"&amp;AZ192)</f>
        <v/>
      </c>
    </row>
    <row r="193" customFormat="false" ht="15" hidden="false" customHeight="false" outlineLevel="0" collapsed="false">
      <c r="A193" s="10" t="str">
        <f aca="false">IF(C193="","","MH-"&amp;IFERROR(VLOOKUP(C193,Lists!$AB$4:$AC$20,2,0),"??")&amp;"-"&amp;TEXT(F193,"0000")&amp;IF(E193="Circular","D","x"&amp;TEXT(G193,"0000"))&amp;"-D"&amp;TEXT(I193*1000,"0000")&amp;"-"&amp;IFERROR(VLOOKUP(D193,Lists!$AE$4:$AF$16,2,0),"??")&amp;"-"&amp;AA193)</f>
        <v/>
      </c>
      <c r="B193" s="10" t="str">
        <f aca="false">IF(C193="","",C193&amp;", "&amp;D193&amp;", "&amp;IF(E193="Circular",F193&amp;" dia",F193&amp;" x "&amp;G193)&amp;", depth "&amp;TEXT(H193,"0.0")&amp;"-"&amp;TEXT(I193,"0.0")&amp;" m, pipe up to "&amp;J193&amp;" dia")</f>
        <v/>
      </c>
      <c r="C193" s="9"/>
      <c r="D193" s="9"/>
      <c r="E193" s="9"/>
      <c r="F193" s="40"/>
      <c r="G193" s="40"/>
      <c r="H193" s="43"/>
      <c r="I193" s="43"/>
      <c r="J193" s="40"/>
      <c r="K193" s="40"/>
      <c r="L193" s="40"/>
      <c r="M193" s="40"/>
      <c r="N193" s="9"/>
      <c r="O193" s="9"/>
      <c r="P193" s="9"/>
      <c r="Q193" s="9"/>
      <c r="R193" s="41"/>
      <c r="S193" s="9"/>
      <c r="T193" s="40"/>
      <c r="U193" s="9"/>
      <c r="V193" s="9"/>
      <c r="W193" s="9"/>
      <c r="X193" s="9"/>
      <c r="Y193" s="9"/>
      <c r="Z193" s="9"/>
      <c r="AA193" s="9"/>
      <c r="AB193" s="9"/>
      <c r="AC193" s="9"/>
      <c r="AD193" s="9"/>
      <c r="AE193" s="9"/>
      <c r="AF193" s="10" t="str">
        <f aca="false">IF(A193="","",SG_Criteria!$B$6&amp;SG_Criteria!$B$10&amp;"\"&amp;A193&amp;"\")</f>
        <v/>
      </c>
      <c r="AG193" s="10" t="str">
        <f aca="false">IF(A193="","",A193&amp;"_CAD.dwg")</f>
        <v/>
      </c>
      <c r="AH193" s="10" t="str">
        <f aca="false">IF(A193="","",A193&amp;"_DWG.pdf")</f>
        <v/>
      </c>
      <c r="AI193" s="10" t="str">
        <f aca="false">IF(A193="","",IF(AE193="Y",A193&amp;"_STAAD.std","n/a"))</f>
        <v/>
      </c>
      <c r="AJ193" s="10" t="str">
        <f aca="false">IF(A193="","",A193&amp;"_CALC.xlsx")</f>
        <v/>
      </c>
      <c r="AK193" s="10" t="str">
        <f aca="false">IF(A193="","",A193&amp;"_CALC.pdf")</f>
        <v/>
      </c>
      <c r="AL193" s="9"/>
      <c r="AM193" s="9"/>
      <c r="AN193" s="41"/>
      <c r="AO193" s="41"/>
      <c r="AP193" s="41"/>
      <c r="AQ193" s="41"/>
      <c r="AR193" s="41"/>
      <c r="AS193" s="38" t="str">
        <f aca="false">IF(C193="","",IF(LEN(IF(AND(S193&lt;&gt;"",IFERROR(VALUE(MID(S193,2,2)),0)&lt;SG_Criteria!$B$19),"FAIL: grade below C"&amp;SG_Criteria!$B$19&amp;". ","")&amp;IF(AND(T193&lt;&gt;"",T193&lt;SG_Criteria!$B$20),"FAIL: cover &lt; "&amp;SG_Criteria!$B$20&amp;" mm. ","")&amp;IF(AND(H193&lt;&gt;"",H193&lt;SG_Criteria!$B$39),"NOTE: min depth below PUB "&amp;SG_Criteria!$B$39&amp;" m. ","")&amp;IF(AND(LEFT(C193,8)="Standard",I193&gt;SG_Criteria!$B$42),"FAIL: PUB 001C covers manholes up to "&amp;SG_Criteria!$B$42&amp;" m deep only. ","")&amp;IF(AND(LEFT(C193,11)="Rectangular",J193&lt;SG_Criteria!$B$43),"NOTE: 004C is for sewers &gt;= "&amp;SG_Criteria!$B$43&amp;" dia. ","")&amp;IF(AND(LEFT(C193,7)="Precast",I193&lt;=SG_Criteria!$B$42),"NOTE: 006C is for manholes &gt; "&amp;SG_Criteria!$B$42&amp;" m deep. ","")&amp;IF(AND(J193&lt;&gt;"",J193&lt;SG_Criteria!$B$40,C193&lt;&gt;"Inspection Chamber"),"NOTE: public sewer min dia "&amp;SG_Criteria!$B$40&amp;" mm. ","")&amp;IF(AND(R193&lt;&gt;"",R193&lt;SG_Criteria!$B$44),"FAIL: uplift FOS below "&amp;SG_Criteria!$B$44&amp;". ",""))=0,"OK",IF(AND(S193&lt;&gt;"",IFERROR(VALUE(MID(S193,2,2)),0)&lt;SG_Criteria!$B$19),"FAIL: grade below C"&amp;SG_Criteria!$B$19&amp;". ","")&amp;IF(AND(T193&lt;&gt;"",T193&lt;SG_Criteria!$B$20),"FAIL: cover &lt; "&amp;SG_Criteria!$B$20&amp;" mm. ","")&amp;IF(AND(H193&lt;&gt;"",H193&lt;SG_Criteria!$B$39),"NOTE: min depth below PUB "&amp;SG_Criteria!$B$39&amp;" m. ","")&amp;IF(AND(LEFT(C193,8)="Standard",I193&gt;SG_Criteria!$B$42),"FAIL: PUB 001C covers manholes up to "&amp;SG_Criteria!$B$42&amp;" m deep only. ","")&amp;IF(AND(LEFT(C193,11)="Rectangular",J193&lt;SG_Criteria!$B$43),"NOTE: 004C is for sewers &gt;= "&amp;SG_Criteria!$B$43&amp;" dia. ","")&amp;IF(AND(LEFT(C193,7)="Precast",I193&lt;=SG_Criteria!$B$42),"NOTE: 006C is for manholes &gt; "&amp;SG_Criteria!$B$42&amp;" m deep. ","")&amp;IF(AND(J193&lt;&gt;"",J193&lt;SG_Criteria!$B$40,C193&lt;&gt;"Inspection Chamber"),"NOTE: public sewer min dia "&amp;SG_Criteria!$B$40&amp;" mm. ","")&amp;IF(AND(R193&lt;&gt;"",R193&lt;SG_Criteria!$B$44),"FAIL: uplift FOS below "&amp;SG_Criteria!$B$44&amp;". ","")))</f>
        <v/>
      </c>
      <c r="AT193" s="9"/>
      <c r="AU193" s="9"/>
      <c r="AV193" s="9"/>
      <c r="AW193" s="9"/>
      <c r="AX193" s="9"/>
      <c r="AY193" s="31"/>
      <c r="AZ193" s="10" t="str">
        <f aca="false">IF(C193="","",IF(AND(AB193="Approved",ISERROR(SEARCH("FAIL",AS193))),"Y","N"))</f>
        <v/>
      </c>
      <c r="BA193" s="10" t="str">
        <f aca="false">IF(C193="","",C193&amp;"|"&amp;I193&amp;"|"&amp;F193&amp;"|"&amp;AZ193)</f>
        <v/>
      </c>
    </row>
    <row r="194" customFormat="false" ht="15" hidden="false" customHeight="false" outlineLevel="0" collapsed="false">
      <c r="A194" s="10" t="str">
        <f aca="false">IF(C194="","","MH-"&amp;IFERROR(VLOOKUP(C194,Lists!$AB$4:$AC$20,2,0),"??")&amp;"-"&amp;TEXT(F194,"0000")&amp;IF(E194="Circular","D","x"&amp;TEXT(G194,"0000"))&amp;"-D"&amp;TEXT(I194*1000,"0000")&amp;"-"&amp;IFERROR(VLOOKUP(D194,Lists!$AE$4:$AF$16,2,0),"??")&amp;"-"&amp;AA194)</f>
        <v/>
      </c>
      <c r="B194" s="10" t="str">
        <f aca="false">IF(C194="","",C194&amp;", "&amp;D194&amp;", "&amp;IF(E194="Circular",F194&amp;" dia",F194&amp;" x "&amp;G194)&amp;", depth "&amp;TEXT(H194,"0.0")&amp;"-"&amp;TEXT(I194,"0.0")&amp;" m, pipe up to "&amp;J194&amp;" dia")</f>
        <v/>
      </c>
      <c r="C194" s="9"/>
      <c r="D194" s="9"/>
      <c r="E194" s="9"/>
      <c r="F194" s="40"/>
      <c r="G194" s="40"/>
      <c r="H194" s="43"/>
      <c r="I194" s="43"/>
      <c r="J194" s="40"/>
      <c r="K194" s="40"/>
      <c r="L194" s="40"/>
      <c r="M194" s="40"/>
      <c r="N194" s="9"/>
      <c r="O194" s="9"/>
      <c r="P194" s="9"/>
      <c r="Q194" s="9"/>
      <c r="R194" s="41"/>
      <c r="S194" s="9"/>
      <c r="T194" s="40"/>
      <c r="U194" s="9"/>
      <c r="V194" s="9"/>
      <c r="W194" s="9"/>
      <c r="X194" s="9"/>
      <c r="Y194" s="9"/>
      <c r="Z194" s="9"/>
      <c r="AA194" s="9"/>
      <c r="AB194" s="9"/>
      <c r="AC194" s="9"/>
      <c r="AD194" s="9"/>
      <c r="AE194" s="9"/>
      <c r="AF194" s="10" t="str">
        <f aca="false">IF(A194="","",SG_Criteria!$B$6&amp;SG_Criteria!$B$10&amp;"\"&amp;A194&amp;"\")</f>
        <v/>
      </c>
      <c r="AG194" s="10" t="str">
        <f aca="false">IF(A194="","",A194&amp;"_CAD.dwg")</f>
        <v/>
      </c>
      <c r="AH194" s="10" t="str">
        <f aca="false">IF(A194="","",A194&amp;"_DWG.pdf")</f>
        <v/>
      </c>
      <c r="AI194" s="10" t="str">
        <f aca="false">IF(A194="","",IF(AE194="Y",A194&amp;"_STAAD.std","n/a"))</f>
        <v/>
      </c>
      <c r="AJ194" s="10" t="str">
        <f aca="false">IF(A194="","",A194&amp;"_CALC.xlsx")</f>
        <v/>
      </c>
      <c r="AK194" s="10" t="str">
        <f aca="false">IF(A194="","",A194&amp;"_CALC.pdf")</f>
        <v/>
      </c>
      <c r="AL194" s="9"/>
      <c r="AM194" s="9"/>
      <c r="AN194" s="41"/>
      <c r="AO194" s="41"/>
      <c r="AP194" s="41"/>
      <c r="AQ194" s="41"/>
      <c r="AR194" s="41"/>
      <c r="AS194" s="38" t="str">
        <f aca="false">IF(C194="","",IF(LEN(IF(AND(S194&lt;&gt;"",IFERROR(VALUE(MID(S194,2,2)),0)&lt;SG_Criteria!$B$19),"FAIL: grade below C"&amp;SG_Criteria!$B$19&amp;". ","")&amp;IF(AND(T194&lt;&gt;"",T194&lt;SG_Criteria!$B$20),"FAIL: cover &lt; "&amp;SG_Criteria!$B$20&amp;" mm. ","")&amp;IF(AND(H194&lt;&gt;"",H194&lt;SG_Criteria!$B$39),"NOTE: min depth below PUB "&amp;SG_Criteria!$B$39&amp;" m. ","")&amp;IF(AND(LEFT(C194,8)="Standard",I194&gt;SG_Criteria!$B$42),"FAIL: PUB 001C covers manholes up to "&amp;SG_Criteria!$B$42&amp;" m deep only. ","")&amp;IF(AND(LEFT(C194,11)="Rectangular",J194&lt;SG_Criteria!$B$43),"NOTE: 004C is for sewers &gt;= "&amp;SG_Criteria!$B$43&amp;" dia. ","")&amp;IF(AND(LEFT(C194,7)="Precast",I194&lt;=SG_Criteria!$B$42),"NOTE: 006C is for manholes &gt; "&amp;SG_Criteria!$B$42&amp;" m deep. ","")&amp;IF(AND(J194&lt;&gt;"",J194&lt;SG_Criteria!$B$40,C194&lt;&gt;"Inspection Chamber"),"NOTE: public sewer min dia "&amp;SG_Criteria!$B$40&amp;" mm. ","")&amp;IF(AND(R194&lt;&gt;"",R194&lt;SG_Criteria!$B$44),"FAIL: uplift FOS below "&amp;SG_Criteria!$B$44&amp;". ",""))=0,"OK",IF(AND(S194&lt;&gt;"",IFERROR(VALUE(MID(S194,2,2)),0)&lt;SG_Criteria!$B$19),"FAIL: grade below C"&amp;SG_Criteria!$B$19&amp;". ","")&amp;IF(AND(T194&lt;&gt;"",T194&lt;SG_Criteria!$B$20),"FAIL: cover &lt; "&amp;SG_Criteria!$B$20&amp;" mm. ","")&amp;IF(AND(H194&lt;&gt;"",H194&lt;SG_Criteria!$B$39),"NOTE: min depth below PUB "&amp;SG_Criteria!$B$39&amp;" m. ","")&amp;IF(AND(LEFT(C194,8)="Standard",I194&gt;SG_Criteria!$B$42),"FAIL: PUB 001C covers manholes up to "&amp;SG_Criteria!$B$42&amp;" m deep only. ","")&amp;IF(AND(LEFT(C194,11)="Rectangular",J194&lt;SG_Criteria!$B$43),"NOTE: 004C is for sewers &gt;= "&amp;SG_Criteria!$B$43&amp;" dia. ","")&amp;IF(AND(LEFT(C194,7)="Precast",I194&lt;=SG_Criteria!$B$42),"NOTE: 006C is for manholes &gt; "&amp;SG_Criteria!$B$42&amp;" m deep. ","")&amp;IF(AND(J194&lt;&gt;"",J194&lt;SG_Criteria!$B$40,C194&lt;&gt;"Inspection Chamber"),"NOTE: public sewer min dia "&amp;SG_Criteria!$B$40&amp;" mm. ","")&amp;IF(AND(R194&lt;&gt;"",R194&lt;SG_Criteria!$B$44),"FAIL: uplift FOS below "&amp;SG_Criteria!$B$44&amp;". ","")))</f>
        <v/>
      </c>
      <c r="AT194" s="9"/>
      <c r="AU194" s="9"/>
      <c r="AV194" s="9"/>
      <c r="AW194" s="9"/>
      <c r="AX194" s="9"/>
      <c r="AY194" s="31"/>
      <c r="AZ194" s="10" t="str">
        <f aca="false">IF(C194="","",IF(AND(AB194="Approved",ISERROR(SEARCH("FAIL",AS194))),"Y","N"))</f>
        <v/>
      </c>
      <c r="BA194" s="10" t="str">
        <f aca="false">IF(C194="","",C194&amp;"|"&amp;I194&amp;"|"&amp;F194&amp;"|"&amp;AZ194)</f>
        <v/>
      </c>
    </row>
    <row r="195" customFormat="false" ht="15" hidden="false" customHeight="false" outlineLevel="0" collapsed="false">
      <c r="A195" s="10" t="str">
        <f aca="false">IF(C195="","","MH-"&amp;IFERROR(VLOOKUP(C195,Lists!$AB$4:$AC$20,2,0),"??")&amp;"-"&amp;TEXT(F195,"0000")&amp;IF(E195="Circular","D","x"&amp;TEXT(G195,"0000"))&amp;"-D"&amp;TEXT(I195*1000,"0000")&amp;"-"&amp;IFERROR(VLOOKUP(D195,Lists!$AE$4:$AF$16,2,0),"??")&amp;"-"&amp;AA195)</f>
        <v/>
      </c>
      <c r="B195" s="10" t="str">
        <f aca="false">IF(C195="","",C195&amp;", "&amp;D195&amp;", "&amp;IF(E195="Circular",F195&amp;" dia",F195&amp;" x "&amp;G195)&amp;", depth "&amp;TEXT(H195,"0.0")&amp;"-"&amp;TEXT(I195,"0.0")&amp;" m, pipe up to "&amp;J195&amp;" dia")</f>
        <v/>
      </c>
      <c r="C195" s="9"/>
      <c r="D195" s="9"/>
      <c r="E195" s="9"/>
      <c r="F195" s="40"/>
      <c r="G195" s="40"/>
      <c r="H195" s="43"/>
      <c r="I195" s="43"/>
      <c r="J195" s="40"/>
      <c r="K195" s="40"/>
      <c r="L195" s="40"/>
      <c r="M195" s="40"/>
      <c r="N195" s="9"/>
      <c r="O195" s="9"/>
      <c r="P195" s="9"/>
      <c r="Q195" s="9"/>
      <c r="R195" s="41"/>
      <c r="S195" s="9"/>
      <c r="T195" s="40"/>
      <c r="U195" s="9"/>
      <c r="V195" s="9"/>
      <c r="W195" s="9"/>
      <c r="X195" s="9"/>
      <c r="Y195" s="9"/>
      <c r="Z195" s="9"/>
      <c r="AA195" s="9"/>
      <c r="AB195" s="9"/>
      <c r="AC195" s="9"/>
      <c r="AD195" s="9"/>
      <c r="AE195" s="9"/>
      <c r="AF195" s="10" t="str">
        <f aca="false">IF(A195="","",SG_Criteria!$B$6&amp;SG_Criteria!$B$10&amp;"\"&amp;A195&amp;"\")</f>
        <v/>
      </c>
      <c r="AG195" s="10" t="str">
        <f aca="false">IF(A195="","",A195&amp;"_CAD.dwg")</f>
        <v/>
      </c>
      <c r="AH195" s="10" t="str">
        <f aca="false">IF(A195="","",A195&amp;"_DWG.pdf")</f>
        <v/>
      </c>
      <c r="AI195" s="10" t="str">
        <f aca="false">IF(A195="","",IF(AE195="Y",A195&amp;"_STAAD.std","n/a"))</f>
        <v/>
      </c>
      <c r="AJ195" s="10" t="str">
        <f aca="false">IF(A195="","",A195&amp;"_CALC.xlsx")</f>
        <v/>
      </c>
      <c r="AK195" s="10" t="str">
        <f aca="false">IF(A195="","",A195&amp;"_CALC.pdf")</f>
        <v/>
      </c>
      <c r="AL195" s="9"/>
      <c r="AM195" s="9"/>
      <c r="AN195" s="41"/>
      <c r="AO195" s="41"/>
      <c r="AP195" s="41"/>
      <c r="AQ195" s="41"/>
      <c r="AR195" s="41"/>
      <c r="AS195" s="38" t="str">
        <f aca="false">IF(C195="","",IF(LEN(IF(AND(S195&lt;&gt;"",IFERROR(VALUE(MID(S195,2,2)),0)&lt;SG_Criteria!$B$19),"FAIL: grade below C"&amp;SG_Criteria!$B$19&amp;". ","")&amp;IF(AND(T195&lt;&gt;"",T195&lt;SG_Criteria!$B$20),"FAIL: cover &lt; "&amp;SG_Criteria!$B$20&amp;" mm. ","")&amp;IF(AND(H195&lt;&gt;"",H195&lt;SG_Criteria!$B$39),"NOTE: min depth below PUB "&amp;SG_Criteria!$B$39&amp;" m. ","")&amp;IF(AND(LEFT(C195,8)="Standard",I195&gt;SG_Criteria!$B$42),"FAIL: PUB 001C covers manholes up to "&amp;SG_Criteria!$B$42&amp;" m deep only. ","")&amp;IF(AND(LEFT(C195,11)="Rectangular",J195&lt;SG_Criteria!$B$43),"NOTE: 004C is for sewers &gt;= "&amp;SG_Criteria!$B$43&amp;" dia. ","")&amp;IF(AND(LEFT(C195,7)="Precast",I195&lt;=SG_Criteria!$B$42),"NOTE: 006C is for manholes &gt; "&amp;SG_Criteria!$B$42&amp;" m deep. ","")&amp;IF(AND(J195&lt;&gt;"",J195&lt;SG_Criteria!$B$40,C195&lt;&gt;"Inspection Chamber"),"NOTE: public sewer min dia "&amp;SG_Criteria!$B$40&amp;" mm. ","")&amp;IF(AND(R195&lt;&gt;"",R195&lt;SG_Criteria!$B$44),"FAIL: uplift FOS below "&amp;SG_Criteria!$B$44&amp;". ",""))=0,"OK",IF(AND(S195&lt;&gt;"",IFERROR(VALUE(MID(S195,2,2)),0)&lt;SG_Criteria!$B$19),"FAIL: grade below C"&amp;SG_Criteria!$B$19&amp;". ","")&amp;IF(AND(T195&lt;&gt;"",T195&lt;SG_Criteria!$B$20),"FAIL: cover &lt; "&amp;SG_Criteria!$B$20&amp;" mm. ","")&amp;IF(AND(H195&lt;&gt;"",H195&lt;SG_Criteria!$B$39),"NOTE: min depth below PUB "&amp;SG_Criteria!$B$39&amp;" m. ","")&amp;IF(AND(LEFT(C195,8)="Standard",I195&gt;SG_Criteria!$B$42),"FAIL: PUB 001C covers manholes up to "&amp;SG_Criteria!$B$42&amp;" m deep only. ","")&amp;IF(AND(LEFT(C195,11)="Rectangular",J195&lt;SG_Criteria!$B$43),"NOTE: 004C is for sewers &gt;= "&amp;SG_Criteria!$B$43&amp;" dia. ","")&amp;IF(AND(LEFT(C195,7)="Precast",I195&lt;=SG_Criteria!$B$42),"NOTE: 006C is for manholes &gt; "&amp;SG_Criteria!$B$42&amp;" m deep. ","")&amp;IF(AND(J195&lt;&gt;"",J195&lt;SG_Criteria!$B$40,C195&lt;&gt;"Inspection Chamber"),"NOTE: public sewer min dia "&amp;SG_Criteria!$B$40&amp;" mm. ","")&amp;IF(AND(R195&lt;&gt;"",R195&lt;SG_Criteria!$B$44),"FAIL: uplift FOS below "&amp;SG_Criteria!$B$44&amp;". ","")))</f>
        <v/>
      </c>
      <c r="AT195" s="9"/>
      <c r="AU195" s="9"/>
      <c r="AV195" s="9"/>
      <c r="AW195" s="9"/>
      <c r="AX195" s="9"/>
      <c r="AY195" s="31"/>
      <c r="AZ195" s="10" t="str">
        <f aca="false">IF(C195="","",IF(AND(AB195="Approved",ISERROR(SEARCH("FAIL",AS195))),"Y","N"))</f>
        <v/>
      </c>
      <c r="BA195" s="10" t="str">
        <f aca="false">IF(C195="","",C195&amp;"|"&amp;I195&amp;"|"&amp;F195&amp;"|"&amp;AZ195)</f>
        <v/>
      </c>
    </row>
    <row r="196" customFormat="false" ht="15" hidden="false" customHeight="false" outlineLevel="0" collapsed="false">
      <c r="A196" s="10" t="str">
        <f aca="false">IF(C196="","","MH-"&amp;IFERROR(VLOOKUP(C196,Lists!$AB$4:$AC$20,2,0),"??")&amp;"-"&amp;TEXT(F196,"0000")&amp;IF(E196="Circular","D","x"&amp;TEXT(G196,"0000"))&amp;"-D"&amp;TEXT(I196*1000,"0000")&amp;"-"&amp;IFERROR(VLOOKUP(D196,Lists!$AE$4:$AF$16,2,0),"??")&amp;"-"&amp;AA196)</f>
        <v/>
      </c>
      <c r="B196" s="10" t="str">
        <f aca="false">IF(C196="","",C196&amp;", "&amp;D196&amp;", "&amp;IF(E196="Circular",F196&amp;" dia",F196&amp;" x "&amp;G196)&amp;", depth "&amp;TEXT(H196,"0.0")&amp;"-"&amp;TEXT(I196,"0.0")&amp;" m, pipe up to "&amp;J196&amp;" dia")</f>
        <v/>
      </c>
      <c r="C196" s="9"/>
      <c r="D196" s="9"/>
      <c r="E196" s="9"/>
      <c r="F196" s="40"/>
      <c r="G196" s="40"/>
      <c r="H196" s="43"/>
      <c r="I196" s="43"/>
      <c r="J196" s="40"/>
      <c r="K196" s="40"/>
      <c r="L196" s="40"/>
      <c r="M196" s="40"/>
      <c r="N196" s="9"/>
      <c r="O196" s="9"/>
      <c r="P196" s="9"/>
      <c r="Q196" s="9"/>
      <c r="R196" s="41"/>
      <c r="S196" s="9"/>
      <c r="T196" s="40"/>
      <c r="U196" s="9"/>
      <c r="V196" s="9"/>
      <c r="W196" s="9"/>
      <c r="X196" s="9"/>
      <c r="Y196" s="9"/>
      <c r="Z196" s="9"/>
      <c r="AA196" s="9"/>
      <c r="AB196" s="9"/>
      <c r="AC196" s="9"/>
      <c r="AD196" s="9"/>
      <c r="AE196" s="9"/>
      <c r="AF196" s="10" t="str">
        <f aca="false">IF(A196="","",SG_Criteria!$B$6&amp;SG_Criteria!$B$10&amp;"\"&amp;A196&amp;"\")</f>
        <v/>
      </c>
      <c r="AG196" s="10" t="str">
        <f aca="false">IF(A196="","",A196&amp;"_CAD.dwg")</f>
        <v/>
      </c>
      <c r="AH196" s="10" t="str">
        <f aca="false">IF(A196="","",A196&amp;"_DWG.pdf")</f>
        <v/>
      </c>
      <c r="AI196" s="10" t="str">
        <f aca="false">IF(A196="","",IF(AE196="Y",A196&amp;"_STAAD.std","n/a"))</f>
        <v/>
      </c>
      <c r="AJ196" s="10" t="str">
        <f aca="false">IF(A196="","",A196&amp;"_CALC.xlsx")</f>
        <v/>
      </c>
      <c r="AK196" s="10" t="str">
        <f aca="false">IF(A196="","",A196&amp;"_CALC.pdf")</f>
        <v/>
      </c>
      <c r="AL196" s="9"/>
      <c r="AM196" s="9"/>
      <c r="AN196" s="41"/>
      <c r="AO196" s="41"/>
      <c r="AP196" s="41"/>
      <c r="AQ196" s="41"/>
      <c r="AR196" s="41"/>
      <c r="AS196" s="38" t="str">
        <f aca="false">IF(C196="","",IF(LEN(IF(AND(S196&lt;&gt;"",IFERROR(VALUE(MID(S196,2,2)),0)&lt;SG_Criteria!$B$19),"FAIL: grade below C"&amp;SG_Criteria!$B$19&amp;". ","")&amp;IF(AND(T196&lt;&gt;"",T196&lt;SG_Criteria!$B$20),"FAIL: cover &lt; "&amp;SG_Criteria!$B$20&amp;" mm. ","")&amp;IF(AND(H196&lt;&gt;"",H196&lt;SG_Criteria!$B$39),"NOTE: min depth below PUB "&amp;SG_Criteria!$B$39&amp;" m. ","")&amp;IF(AND(LEFT(C196,8)="Standard",I196&gt;SG_Criteria!$B$42),"FAIL: PUB 001C covers manholes up to "&amp;SG_Criteria!$B$42&amp;" m deep only. ","")&amp;IF(AND(LEFT(C196,11)="Rectangular",J196&lt;SG_Criteria!$B$43),"NOTE: 004C is for sewers &gt;= "&amp;SG_Criteria!$B$43&amp;" dia. ","")&amp;IF(AND(LEFT(C196,7)="Precast",I196&lt;=SG_Criteria!$B$42),"NOTE: 006C is for manholes &gt; "&amp;SG_Criteria!$B$42&amp;" m deep. ","")&amp;IF(AND(J196&lt;&gt;"",J196&lt;SG_Criteria!$B$40,C196&lt;&gt;"Inspection Chamber"),"NOTE: public sewer min dia "&amp;SG_Criteria!$B$40&amp;" mm. ","")&amp;IF(AND(R196&lt;&gt;"",R196&lt;SG_Criteria!$B$44),"FAIL: uplift FOS below "&amp;SG_Criteria!$B$44&amp;". ",""))=0,"OK",IF(AND(S196&lt;&gt;"",IFERROR(VALUE(MID(S196,2,2)),0)&lt;SG_Criteria!$B$19),"FAIL: grade below C"&amp;SG_Criteria!$B$19&amp;". ","")&amp;IF(AND(T196&lt;&gt;"",T196&lt;SG_Criteria!$B$20),"FAIL: cover &lt; "&amp;SG_Criteria!$B$20&amp;" mm. ","")&amp;IF(AND(H196&lt;&gt;"",H196&lt;SG_Criteria!$B$39),"NOTE: min depth below PUB "&amp;SG_Criteria!$B$39&amp;" m. ","")&amp;IF(AND(LEFT(C196,8)="Standard",I196&gt;SG_Criteria!$B$42),"FAIL: PUB 001C covers manholes up to "&amp;SG_Criteria!$B$42&amp;" m deep only. ","")&amp;IF(AND(LEFT(C196,11)="Rectangular",J196&lt;SG_Criteria!$B$43),"NOTE: 004C is for sewers &gt;= "&amp;SG_Criteria!$B$43&amp;" dia. ","")&amp;IF(AND(LEFT(C196,7)="Precast",I196&lt;=SG_Criteria!$B$42),"NOTE: 006C is for manholes &gt; "&amp;SG_Criteria!$B$42&amp;" m deep. ","")&amp;IF(AND(J196&lt;&gt;"",J196&lt;SG_Criteria!$B$40,C196&lt;&gt;"Inspection Chamber"),"NOTE: public sewer min dia "&amp;SG_Criteria!$B$40&amp;" mm. ","")&amp;IF(AND(R196&lt;&gt;"",R196&lt;SG_Criteria!$B$44),"FAIL: uplift FOS below "&amp;SG_Criteria!$B$44&amp;". ","")))</f>
        <v/>
      </c>
      <c r="AT196" s="9"/>
      <c r="AU196" s="9"/>
      <c r="AV196" s="9"/>
      <c r="AW196" s="9"/>
      <c r="AX196" s="9"/>
      <c r="AY196" s="31"/>
      <c r="AZ196" s="10" t="str">
        <f aca="false">IF(C196="","",IF(AND(AB196="Approved",ISERROR(SEARCH("FAIL",AS196))),"Y","N"))</f>
        <v/>
      </c>
      <c r="BA196" s="10" t="str">
        <f aca="false">IF(C196="","",C196&amp;"|"&amp;I196&amp;"|"&amp;F196&amp;"|"&amp;AZ196)</f>
        <v/>
      </c>
    </row>
    <row r="197" customFormat="false" ht="15" hidden="false" customHeight="false" outlineLevel="0" collapsed="false">
      <c r="A197" s="10" t="str">
        <f aca="false">IF(C197="","","MH-"&amp;IFERROR(VLOOKUP(C197,Lists!$AB$4:$AC$20,2,0),"??")&amp;"-"&amp;TEXT(F197,"0000")&amp;IF(E197="Circular","D","x"&amp;TEXT(G197,"0000"))&amp;"-D"&amp;TEXT(I197*1000,"0000")&amp;"-"&amp;IFERROR(VLOOKUP(D197,Lists!$AE$4:$AF$16,2,0),"??")&amp;"-"&amp;AA197)</f>
        <v/>
      </c>
      <c r="B197" s="10" t="str">
        <f aca="false">IF(C197="","",C197&amp;", "&amp;D197&amp;", "&amp;IF(E197="Circular",F197&amp;" dia",F197&amp;" x "&amp;G197)&amp;", depth "&amp;TEXT(H197,"0.0")&amp;"-"&amp;TEXT(I197,"0.0")&amp;" m, pipe up to "&amp;J197&amp;" dia")</f>
        <v/>
      </c>
      <c r="C197" s="9"/>
      <c r="D197" s="9"/>
      <c r="E197" s="9"/>
      <c r="F197" s="40"/>
      <c r="G197" s="40"/>
      <c r="H197" s="43"/>
      <c r="I197" s="43"/>
      <c r="J197" s="40"/>
      <c r="K197" s="40"/>
      <c r="L197" s="40"/>
      <c r="M197" s="40"/>
      <c r="N197" s="9"/>
      <c r="O197" s="9"/>
      <c r="P197" s="9"/>
      <c r="Q197" s="9"/>
      <c r="R197" s="41"/>
      <c r="S197" s="9"/>
      <c r="T197" s="40"/>
      <c r="U197" s="9"/>
      <c r="V197" s="9"/>
      <c r="W197" s="9"/>
      <c r="X197" s="9"/>
      <c r="Y197" s="9"/>
      <c r="Z197" s="9"/>
      <c r="AA197" s="9"/>
      <c r="AB197" s="9"/>
      <c r="AC197" s="9"/>
      <c r="AD197" s="9"/>
      <c r="AE197" s="9"/>
      <c r="AF197" s="10" t="str">
        <f aca="false">IF(A197="","",SG_Criteria!$B$6&amp;SG_Criteria!$B$10&amp;"\"&amp;A197&amp;"\")</f>
        <v/>
      </c>
      <c r="AG197" s="10" t="str">
        <f aca="false">IF(A197="","",A197&amp;"_CAD.dwg")</f>
        <v/>
      </c>
      <c r="AH197" s="10" t="str">
        <f aca="false">IF(A197="","",A197&amp;"_DWG.pdf")</f>
        <v/>
      </c>
      <c r="AI197" s="10" t="str">
        <f aca="false">IF(A197="","",IF(AE197="Y",A197&amp;"_STAAD.std","n/a"))</f>
        <v/>
      </c>
      <c r="AJ197" s="10" t="str">
        <f aca="false">IF(A197="","",A197&amp;"_CALC.xlsx")</f>
        <v/>
      </c>
      <c r="AK197" s="10" t="str">
        <f aca="false">IF(A197="","",A197&amp;"_CALC.pdf")</f>
        <v/>
      </c>
      <c r="AL197" s="9"/>
      <c r="AM197" s="9"/>
      <c r="AN197" s="41"/>
      <c r="AO197" s="41"/>
      <c r="AP197" s="41"/>
      <c r="AQ197" s="41"/>
      <c r="AR197" s="41"/>
      <c r="AS197" s="38" t="str">
        <f aca="false">IF(C197="","",IF(LEN(IF(AND(S197&lt;&gt;"",IFERROR(VALUE(MID(S197,2,2)),0)&lt;SG_Criteria!$B$19),"FAIL: grade below C"&amp;SG_Criteria!$B$19&amp;". ","")&amp;IF(AND(T197&lt;&gt;"",T197&lt;SG_Criteria!$B$20),"FAIL: cover &lt; "&amp;SG_Criteria!$B$20&amp;" mm. ","")&amp;IF(AND(H197&lt;&gt;"",H197&lt;SG_Criteria!$B$39),"NOTE: min depth below PUB "&amp;SG_Criteria!$B$39&amp;" m. ","")&amp;IF(AND(LEFT(C197,8)="Standard",I197&gt;SG_Criteria!$B$42),"FAIL: PUB 001C covers manholes up to "&amp;SG_Criteria!$B$42&amp;" m deep only. ","")&amp;IF(AND(LEFT(C197,11)="Rectangular",J197&lt;SG_Criteria!$B$43),"NOTE: 004C is for sewers &gt;= "&amp;SG_Criteria!$B$43&amp;" dia. ","")&amp;IF(AND(LEFT(C197,7)="Precast",I197&lt;=SG_Criteria!$B$42),"NOTE: 006C is for manholes &gt; "&amp;SG_Criteria!$B$42&amp;" m deep. ","")&amp;IF(AND(J197&lt;&gt;"",J197&lt;SG_Criteria!$B$40,C197&lt;&gt;"Inspection Chamber"),"NOTE: public sewer min dia "&amp;SG_Criteria!$B$40&amp;" mm. ","")&amp;IF(AND(R197&lt;&gt;"",R197&lt;SG_Criteria!$B$44),"FAIL: uplift FOS below "&amp;SG_Criteria!$B$44&amp;". ",""))=0,"OK",IF(AND(S197&lt;&gt;"",IFERROR(VALUE(MID(S197,2,2)),0)&lt;SG_Criteria!$B$19),"FAIL: grade below C"&amp;SG_Criteria!$B$19&amp;". ","")&amp;IF(AND(T197&lt;&gt;"",T197&lt;SG_Criteria!$B$20),"FAIL: cover &lt; "&amp;SG_Criteria!$B$20&amp;" mm. ","")&amp;IF(AND(H197&lt;&gt;"",H197&lt;SG_Criteria!$B$39),"NOTE: min depth below PUB "&amp;SG_Criteria!$B$39&amp;" m. ","")&amp;IF(AND(LEFT(C197,8)="Standard",I197&gt;SG_Criteria!$B$42),"FAIL: PUB 001C covers manholes up to "&amp;SG_Criteria!$B$42&amp;" m deep only. ","")&amp;IF(AND(LEFT(C197,11)="Rectangular",J197&lt;SG_Criteria!$B$43),"NOTE: 004C is for sewers &gt;= "&amp;SG_Criteria!$B$43&amp;" dia. ","")&amp;IF(AND(LEFT(C197,7)="Precast",I197&lt;=SG_Criteria!$B$42),"NOTE: 006C is for manholes &gt; "&amp;SG_Criteria!$B$42&amp;" m deep. ","")&amp;IF(AND(J197&lt;&gt;"",J197&lt;SG_Criteria!$B$40,C197&lt;&gt;"Inspection Chamber"),"NOTE: public sewer min dia "&amp;SG_Criteria!$B$40&amp;" mm. ","")&amp;IF(AND(R197&lt;&gt;"",R197&lt;SG_Criteria!$B$44),"FAIL: uplift FOS below "&amp;SG_Criteria!$B$44&amp;". ","")))</f>
        <v/>
      </c>
      <c r="AT197" s="9"/>
      <c r="AU197" s="9"/>
      <c r="AV197" s="9"/>
      <c r="AW197" s="9"/>
      <c r="AX197" s="9"/>
      <c r="AY197" s="31"/>
      <c r="AZ197" s="10" t="str">
        <f aca="false">IF(C197="","",IF(AND(AB197="Approved",ISERROR(SEARCH("FAIL",AS197))),"Y","N"))</f>
        <v/>
      </c>
      <c r="BA197" s="10" t="str">
        <f aca="false">IF(C197="","",C197&amp;"|"&amp;I197&amp;"|"&amp;F197&amp;"|"&amp;AZ197)</f>
        <v/>
      </c>
    </row>
    <row r="198" customFormat="false" ht="15" hidden="false" customHeight="false" outlineLevel="0" collapsed="false">
      <c r="A198" s="10" t="str">
        <f aca="false">IF(C198="","","MH-"&amp;IFERROR(VLOOKUP(C198,Lists!$AB$4:$AC$20,2,0),"??")&amp;"-"&amp;TEXT(F198,"0000")&amp;IF(E198="Circular","D","x"&amp;TEXT(G198,"0000"))&amp;"-D"&amp;TEXT(I198*1000,"0000")&amp;"-"&amp;IFERROR(VLOOKUP(D198,Lists!$AE$4:$AF$16,2,0),"??")&amp;"-"&amp;AA198)</f>
        <v/>
      </c>
      <c r="B198" s="10" t="str">
        <f aca="false">IF(C198="","",C198&amp;", "&amp;D198&amp;", "&amp;IF(E198="Circular",F198&amp;" dia",F198&amp;" x "&amp;G198)&amp;", depth "&amp;TEXT(H198,"0.0")&amp;"-"&amp;TEXT(I198,"0.0")&amp;" m, pipe up to "&amp;J198&amp;" dia")</f>
        <v/>
      </c>
      <c r="C198" s="9"/>
      <c r="D198" s="9"/>
      <c r="E198" s="9"/>
      <c r="F198" s="40"/>
      <c r="G198" s="40"/>
      <c r="H198" s="43"/>
      <c r="I198" s="43"/>
      <c r="J198" s="40"/>
      <c r="K198" s="40"/>
      <c r="L198" s="40"/>
      <c r="M198" s="40"/>
      <c r="N198" s="9"/>
      <c r="O198" s="9"/>
      <c r="P198" s="9"/>
      <c r="Q198" s="9"/>
      <c r="R198" s="41"/>
      <c r="S198" s="9"/>
      <c r="T198" s="40"/>
      <c r="U198" s="9"/>
      <c r="V198" s="9"/>
      <c r="W198" s="9"/>
      <c r="X198" s="9"/>
      <c r="Y198" s="9"/>
      <c r="Z198" s="9"/>
      <c r="AA198" s="9"/>
      <c r="AB198" s="9"/>
      <c r="AC198" s="9"/>
      <c r="AD198" s="9"/>
      <c r="AE198" s="9"/>
      <c r="AF198" s="10" t="str">
        <f aca="false">IF(A198="","",SG_Criteria!$B$6&amp;SG_Criteria!$B$10&amp;"\"&amp;A198&amp;"\")</f>
        <v/>
      </c>
      <c r="AG198" s="10" t="str">
        <f aca="false">IF(A198="","",A198&amp;"_CAD.dwg")</f>
        <v/>
      </c>
      <c r="AH198" s="10" t="str">
        <f aca="false">IF(A198="","",A198&amp;"_DWG.pdf")</f>
        <v/>
      </c>
      <c r="AI198" s="10" t="str">
        <f aca="false">IF(A198="","",IF(AE198="Y",A198&amp;"_STAAD.std","n/a"))</f>
        <v/>
      </c>
      <c r="AJ198" s="10" t="str">
        <f aca="false">IF(A198="","",A198&amp;"_CALC.xlsx")</f>
        <v/>
      </c>
      <c r="AK198" s="10" t="str">
        <f aca="false">IF(A198="","",A198&amp;"_CALC.pdf")</f>
        <v/>
      </c>
      <c r="AL198" s="9"/>
      <c r="AM198" s="9"/>
      <c r="AN198" s="41"/>
      <c r="AO198" s="41"/>
      <c r="AP198" s="41"/>
      <c r="AQ198" s="41"/>
      <c r="AR198" s="41"/>
      <c r="AS198" s="38" t="str">
        <f aca="false">IF(C198="","",IF(LEN(IF(AND(S198&lt;&gt;"",IFERROR(VALUE(MID(S198,2,2)),0)&lt;SG_Criteria!$B$19),"FAIL: grade below C"&amp;SG_Criteria!$B$19&amp;". ","")&amp;IF(AND(T198&lt;&gt;"",T198&lt;SG_Criteria!$B$20),"FAIL: cover &lt; "&amp;SG_Criteria!$B$20&amp;" mm. ","")&amp;IF(AND(H198&lt;&gt;"",H198&lt;SG_Criteria!$B$39),"NOTE: min depth below PUB "&amp;SG_Criteria!$B$39&amp;" m. ","")&amp;IF(AND(LEFT(C198,8)="Standard",I198&gt;SG_Criteria!$B$42),"FAIL: PUB 001C covers manholes up to "&amp;SG_Criteria!$B$42&amp;" m deep only. ","")&amp;IF(AND(LEFT(C198,11)="Rectangular",J198&lt;SG_Criteria!$B$43),"NOTE: 004C is for sewers &gt;= "&amp;SG_Criteria!$B$43&amp;" dia. ","")&amp;IF(AND(LEFT(C198,7)="Precast",I198&lt;=SG_Criteria!$B$42),"NOTE: 006C is for manholes &gt; "&amp;SG_Criteria!$B$42&amp;" m deep. ","")&amp;IF(AND(J198&lt;&gt;"",J198&lt;SG_Criteria!$B$40,C198&lt;&gt;"Inspection Chamber"),"NOTE: public sewer min dia "&amp;SG_Criteria!$B$40&amp;" mm. ","")&amp;IF(AND(R198&lt;&gt;"",R198&lt;SG_Criteria!$B$44),"FAIL: uplift FOS below "&amp;SG_Criteria!$B$44&amp;". ",""))=0,"OK",IF(AND(S198&lt;&gt;"",IFERROR(VALUE(MID(S198,2,2)),0)&lt;SG_Criteria!$B$19),"FAIL: grade below C"&amp;SG_Criteria!$B$19&amp;". ","")&amp;IF(AND(T198&lt;&gt;"",T198&lt;SG_Criteria!$B$20),"FAIL: cover &lt; "&amp;SG_Criteria!$B$20&amp;" mm. ","")&amp;IF(AND(H198&lt;&gt;"",H198&lt;SG_Criteria!$B$39),"NOTE: min depth below PUB "&amp;SG_Criteria!$B$39&amp;" m. ","")&amp;IF(AND(LEFT(C198,8)="Standard",I198&gt;SG_Criteria!$B$42),"FAIL: PUB 001C covers manholes up to "&amp;SG_Criteria!$B$42&amp;" m deep only. ","")&amp;IF(AND(LEFT(C198,11)="Rectangular",J198&lt;SG_Criteria!$B$43),"NOTE: 004C is for sewers &gt;= "&amp;SG_Criteria!$B$43&amp;" dia. ","")&amp;IF(AND(LEFT(C198,7)="Precast",I198&lt;=SG_Criteria!$B$42),"NOTE: 006C is for manholes &gt; "&amp;SG_Criteria!$B$42&amp;" m deep. ","")&amp;IF(AND(J198&lt;&gt;"",J198&lt;SG_Criteria!$B$40,C198&lt;&gt;"Inspection Chamber"),"NOTE: public sewer min dia "&amp;SG_Criteria!$B$40&amp;" mm. ","")&amp;IF(AND(R198&lt;&gt;"",R198&lt;SG_Criteria!$B$44),"FAIL: uplift FOS below "&amp;SG_Criteria!$B$44&amp;". ","")))</f>
        <v/>
      </c>
      <c r="AT198" s="9"/>
      <c r="AU198" s="9"/>
      <c r="AV198" s="9"/>
      <c r="AW198" s="9"/>
      <c r="AX198" s="9"/>
      <c r="AY198" s="31"/>
      <c r="AZ198" s="10" t="str">
        <f aca="false">IF(C198="","",IF(AND(AB198="Approved",ISERROR(SEARCH("FAIL",AS198))),"Y","N"))</f>
        <v/>
      </c>
      <c r="BA198" s="10" t="str">
        <f aca="false">IF(C198="","",C198&amp;"|"&amp;I198&amp;"|"&amp;F198&amp;"|"&amp;AZ198)</f>
        <v/>
      </c>
    </row>
    <row r="199" customFormat="false" ht="15" hidden="false" customHeight="false" outlineLevel="0" collapsed="false">
      <c r="A199" s="10" t="str">
        <f aca="false">IF(C199="","","MH-"&amp;IFERROR(VLOOKUP(C199,Lists!$AB$4:$AC$20,2,0),"??")&amp;"-"&amp;TEXT(F199,"0000")&amp;IF(E199="Circular","D","x"&amp;TEXT(G199,"0000"))&amp;"-D"&amp;TEXT(I199*1000,"0000")&amp;"-"&amp;IFERROR(VLOOKUP(D199,Lists!$AE$4:$AF$16,2,0),"??")&amp;"-"&amp;AA199)</f>
        <v/>
      </c>
      <c r="B199" s="10" t="str">
        <f aca="false">IF(C199="","",C199&amp;", "&amp;D199&amp;", "&amp;IF(E199="Circular",F199&amp;" dia",F199&amp;" x "&amp;G199)&amp;", depth "&amp;TEXT(H199,"0.0")&amp;"-"&amp;TEXT(I199,"0.0")&amp;" m, pipe up to "&amp;J199&amp;" dia")</f>
        <v/>
      </c>
      <c r="C199" s="9"/>
      <c r="D199" s="9"/>
      <c r="E199" s="9"/>
      <c r="F199" s="40"/>
      <c r="G199" s="40"/>
      <c r="H199" s="43"/>
      <c r="I199" s="43"/>
      <c r="J199" s="40"/>
      <c r="K199" s="40"/>
      <c r="L199" s="40"/>
      <c r="M199" s="40"/>
      <c r="N199" s="9"/>
      <c r="O199" s="9"/>
      <c r="P199" s="9"/>
      <c r="Q199" s="9"/>
      <c r="R199" s="41"/>
      <c r="S199" s="9"/>
      <c r="T199" s="40"/>
      <c r="U199" s="9"/>
      <c r="V199" s="9"/>
      <c r="W199" s="9"/>
      <c r="X199" s="9"/>
      <c r="Y199" s="9"/>
      <c r="Z199" s="9"/>
      <c r="AA199" s="9"/>
      <c r="AB199" s="9"/>
      <c r="AC199" s="9"/>
      <c r="AD199" s="9"/>
      <c r="AE199" s="9"/>
      <c r="AF199" s="10" t="str">
        <f aca="false">IF(A199="","",SG_Criteria!$B$6&amp;SG_Criteria!$B$10&amp;"\"&amp;A199&amp;"\")</f>
        <v/>
      </c>
      <c r="AG199" s="10" t="str">
        <f aca="false">IF(A199="","",A199&amp;"_CAD.dwg")</f>
        <v/>
      </c>
      <c r="AH199" s="10" t="str">
        <f aca="false">IF(A199="","",A199&amp;"_DWG.pdf")</f>
        <v/>
      </c>
      <c r="AI199" s="10" t="str">
        <f aca="false">IF(A199="","",IF(AE199="Y",A199&amp;"_STAAD.std","n/a"))</f>
        <v/>
      </c>
      <c r="AJ199" s="10" t="str">
        <f aca="false">IF(A199="","",A199&amp;"_CALC.xlsx")</f>
        <v/>
      </c>
      <c r="AK199" s="10" t="str">
        <f aca="false">IF(A199="","",A199&amp;"_CALC.pdf")</f>
        <v/>
      </c>
      <c r="AL199" s="9"/>
      <c r="AM199" s="9"/>
      <c r="AN199" s="41"/>
      <c r="AO199" s="41"/>
      <c r="AP199" s="41"/>
      <c r="AQ199" s="41"/>
      <c r="AR199" s="41"/>
      <c r="AS199" s="38" t="str">
        <f aca="false">IF(C199="","",IF(LEN(IF(AND(S199&lt;&gt;"",IFERROR(VALUE(MID(S199,2,2)),0)&lt;SG_Criteria!$B$19),"FAIL: grade below C"&amp;SG_Criteria!$B$19&amp;". ","")&amp;IF(AND(T199&lt;&gt;"",T199&lt;SG_Criteria!$B$20),"FAIL: cover &lt; "&amp;SG_Criteria!$B$20&amp;" mm. ","")&amp;IF(AND(H199&lt;&gt;"",H199&lt;SG_Criteria!$B$39),"NOTE: min depth below PUB "&amp;SG_Criteria!$B$39&amp;" m. ","")&amp;IF(AND(LEFT(C199,8)="Standard",I199&gt;SG_Criteria!$B$42),"FAIL: PUB 001C covers manholes up to "&amp;SG_Criteria!$B$42&amp;" m deep only. ","")&amp;IF(AND(LEFT(C199,11)="Rectangular",J199&lt;SG_Criteria!$B$43),"NOTE: 004C is for sewers &gt;= "&amp;SG_Criteria!$B$43&amp;" dia. ","")&amp;IF(AND(LEFT(C199,7)="Precast",I199&lt;=SG_Criteria!$B$42),"NOTE: 006C is for manholes &gt; "&amp;SG_Criteria!$B$42&amp;" m deep. ","")&amp;IF(AND(J199&lt;&gt;"",J199&lt;SG_Criteria!$B$40,C199&lt;&gt;"Inspection Chamber"),"NOTE: public sewer min dia "&amp;SG_Criteria!$B$40&amp;" mm. ","")&amp;IF(AND(R199&lt;&gt;"",R199&lt;SG_Criteria!$B$44),"FAIL: uplift FOS below "&amp;SG_Criteria!$B$44&amp;". ",""))=0,"OK",IF(AND(S199&lt;&gt;"",IFERROR(VALUE(MID(S199,2,2)),0)&lt;SG_Criteria!$B$19),"FAIL: grade below C"&amp;SG_Criteria!$B$19&amp;". ","")&amp;IF(AND(T199&lt;&gt;"",T199&lt;SG_Criteria!$B$20),"FAIL: cover &lt; "&amp;SG_Criteria!$B$20&amp;" mm. ","")&amp;IF(AND(H199&lt;&gt;"",H199&lt;SG_Criteria!$B$39),"NOTE: min depth below PUB "&amp;SG_Criteria!$B$39&amp;" m. ","")&amp;IF(AND(LEFT(C199,8)="Standard",I199&gt;SG_Criteria!$B$42),"FAIL: PUB 001C covers manholes up to "&amp;SG_Criteria!$B$42&amp;" m deep only. ","")&amp;IF(AND(LEFT(C199,11)="Rectangular",J199&lt;SG_Criteria!$B$43),"NOTE: 004C is for sewers &gt;= "&amp;SG_Criteria!$B$43&amp;" dia. ","")&amp;IF(AND(LEFT(C199,7)="Precast",I199&lt;=SG_Criteria!$B$42),"NOTE: 006C is for manholes &gt; "&amp;SG_Criteria!$B$42&amp;" m deep. ","")&amp;IF(AND(J199&lt;&gt;"",J199&lt;SG_Criteria!$B$40,C199&lt;&gt;"Inspection Chamber"),"NOTE: public sewer min dia "&amp;SG_Criteria!$B$40&amp;" mm. ","")&amp;IF(AND(R199&lt;&gt;"",R199&lt;SG_Criteria!$B$44),"FAIL: uplift FOS below "&amp;SG_Criteria!$B$44&amp;". ","")))</f>
        <v/>
      </c>
      <c r="AT199" s="9"/>
      <c r="AU199" s="9"/>
      <c r="AV199" s="9"/>
      <c r="AW199" s="9"/>
      <c r="AX199" s="9"/>
      <c r="AY199" s="31"/>
      <c r="AZ199" s="10" t="str">
        <f aca="false">IF(C199="","",IF(AND(AB199="Approved",ISERROR(SEARCH("FAIL",AS199))),"Y","N"))</f>
        <v/>
      </c>
      <c r="BA199" s="10" t="str">
        <f aca="false">IF(C199="","",C199&amp;"|"&amp;I199&amp;"|"&amp;F199&amp;"|"&amp;AZ199)</f>
        <v/>
      </c>
    </row>
    <row r="200" customFormat="false" ht="15" hidden="false" customHeight="false" outlineLevel="0" collapsed="false">
      <c r="A200" s="10" t="str">
        <f aca="false">IF(C200="","","MH-"&amp;IFERROR(VLOOKUP(C200,Lists!$AB$4:$AC$20,2,0),"??")&amp;"-"&amp;TEXT(F200,"0000")&amp;IF(E200="Circular","D","x"&amp;TEXT(G200,"0000"))&amp;"-D"&amp;TEXT(I200*1000,"0000")&amp;"-"&amp;IFERROR(VLOOKUP(D200,Lists!$AE$4:$AF$16,2,0),"??")&amp;"-"&amp;AA200)</f>
        <v/>
      </c>
      <c r="B200" s="10" t="str">
        <f aca="false">IF(C200="","",C200&amp;", "&amp;D200&amp;", "&amp;IF(E200="Circular",F200&amp;" dia",F200&amp;" x "&amp;G200)&amp;", depth "&amp;TEXT(H200,"0.0")&amp;"-"&amp;TEXT(I200,"0.0")&amp;" m, pipe up to "&amp;J200&amp;" dia")</f>
        <v/>
      </c>
      <c r="C200" s="9"/>
      <c r="D200" s="9"/>
      <c r="E200" s="9"/>
      <c r="F200" s="40"/>
      <c r="G200" s="40"/>
      <c r="H200" s="43"/>
      <c r="I200" s="43"/>
      <c r="J200" s="40"/>
      <c r="K200" s="40"/>
      <c r="L200" s="40"/>
      <c r="M200" s="40"/>
      <c r="N200" s="9"/>
      <c r="O200" s="9"/>
      <c r="P200" s="9"/>
      <c r="Q200" s="9"/>
      <c r="R200" s="41"/>
      <c r="S200" s="9"/>
      <c r="T200" s="40"/>
      <c r="U200" s="9"/>
      <c r="V200" s="9"/>
      <c r="W200" s="9"/>
      <c r="X200" s="9"/>
      <c r="Y200" s="9"/>
      <c r="Z200" s="9"/>
      <c r="AA200" s="9"/>
      <c r="AB200" s="9"/>
      <c r="AC200" s="9"/>
      <c r="AD200" s="9"/>
      <c r="AE200" s="9"/>
      <c r="AF200" s="10" t="str">
        <f aca="false">IF(A200="","",SG_Criteria!$B$6&amp;SG_Criteria!$B$10&amp;"\"&amp;A200&amp;"\")</f>
        <v/>
      </c>
      <c r="AG200" s="10" t="str">
        <f aca="false">IF(A200="","",A200&amp;"_CAD.dwg")</f>
        <v/>
      </c>
      <c r="AH200" s="10" t="str">
        <f aca="false">IF(A200="","",A200&amp;"_DWG.pdf")</f>
        <v/>
      </c>
      <c r="AI200" s="10" t="str">
        <f aca="false">IF(A200="","",IF(AE200="Y",A200&amp;"_STAAD.std","n/a"))</f>
        <v/>
      </c>
      <c r="AJ200" s="10" t="str">
        <f aca="false">IF(A200="","",A200&amp;"_CALC.xlsx")</f>
        <v/>
      </c>
      <c r="AK200" s="10" t="str">
        <f aca="false">IF(A200="","",A200&amp;"_CALC.pdf")</f>
        <v/>
      </c>
      <c r="AL200" s="9"/>
      <c r="AM200" s="9"/>
      <c r="AN200" s="41"/>
      <c r="AO200" s="41"/>
      <c r="AP200" s="41"/>
      <c r="AQ200" s="41"/>
      <c r="AR200" s="41"/>
      <c r="AS200" s="38" t="str">
        <f aca="false">IF(C200="","",IF(LEN(IF(AND(S200&lt;&gt;"",IFERROR(VALUE(MID(S200,2,2)),0)&lt;SG_Criteria!$B$19),"FAIL: grade below C"&amp;SG_Criteria!$B$19&amp;". ","")&amp;IF(AND(T200&lt;&gt;"",T200&lt;SG_Criteria!$B$20),"FAIL: cover &lt; "&amp;SG_Criteria!$B$20&amp;" mm. ","")&amp;IF(AND(H200&lt;&gt;"",H200&lt;SG_Criteria!$B$39),"NOTE: min depth below PUB "&amp;SG_Criteria!$B$39&amp;" m. ","")&amp;IF(AND(LEFT(C200,8)="Standard",I200&gt;SG_Criteria!$B$42),"FAIL: PUB 001C covers manholes up to "&amp;SG_Criteria!$B$42&amp;" m deep only. ","")&amp;IF(AND(LEFT(C200,11)="Rectangular",J200&lt;SG_Criteria!$B$43),"NOTE: 004C is for sewers &gt;= "&amp;SG_Criteria!$B$43&amp;" dia. ","")&amp;IF(AND(LEFT(C200,7)="Precast",I200&lt;=SG_Criteria!$B$42),"NOTE: 006C is for manholes &gt; "&amp;SG_Criteria!$B$42&amp;" m deep. ","")&amp;IF(AND(J200&lt;&gt;"",J200&lt;SG_Criteria!$B$40,C200&lt;&gt;"Inspection Chamber"),"NOTE: public sewer min dia "&amp;SG_Criteria!$B$40&amp;" mm. ","")&amp;IF(AND(R200&lt;&gt;"",R200&lt;SG_Criteria!$B$44),"FAIL: uplift FOS below "&amp;SG_Criteria!$B$44&amp;". ",""))=0,"OK",IF(AND(S200&lt;&gt;"",IFERROR(VALUE(MID(S200,2,2)),0)&lt;SG_Criteria!$B$19),"FAIL: grade below C"&amp;SG_Criteria!$B$19&amp;". ","")&amp;IF(AND(T200&lt;&gt;"",T200&lt;SG_Criteria!$B$20),"FAIL: cover &lt; "&amp;SG_Criteria!$B$20&amp;" mm. ","")&amp;IF(AND(H200&lt;&gt;"",H200&lt;SG_Criteria!$B$39),"NOTE: min depth below PUB "&amp;SG_Criteria!$B$39&amp;" m. ","")&amp;IF(AND(LEFT(C200,8)="Standard",I200&gt;SG_Criteria!$B$42),"FAIL: PUB 001C covers manholes up to "&amp;SG_Criteria!$B$42&amp;" m deep only. ","")&amp;IF(AND(LEFT(C200,11)="Rectangular",J200&lt;SG_Criteria!$B$43),"NOTE: 004C is for sewers &gt;= "&amp;SG_Criteria!$B$43&amp;" dia. ","")&amp;IF(AND(LEFT(C200,7)="Precast",I200&lt;=SG_Criteria!$B$42),"NOTE: 006C is for manholes &gt; "&amp;SG_Criteria!$B$42&amp;" m deep. ","")&amp;IF(AND(J200&lt;&gt;"",J200&lt;SG_Criteria!$B$40,C200&lt;&gt;"Inspection Chamber"),"NOTE: public sewer min dia "&amp;SG_Criteria!$B$40&amp;" mm. ","")&amp;IF(AND(R200&lt;&gt;"",R200&lt;SG_Criteria!$B$44),"FAIL: uplift FOS below "&amp;SG_Criteria!$B$44&amp;". ","")))</f>
        <v/>
      </c>
      <c r="AT200" s="9"/>
      <c r="AU200" s="9"/>
      <c r="AV200" s="9"/>
      <c r="AW200" s="9"/>
      <c r="AX200" s="9"/>
      <c r="AY200" s="31"/>
      <c r="AZ200" s="10" t="str">
        <f aca="false">IF(C200="","",IF(AND(AB200="Approved",ISERROR(SEARCH("FAIL",AS200))),"Y","N"))</f>
        <v/>
      </c>
      <c r="BA200" s="10" t="str">
        <f aca="false">IF(C200="","",C200&amp;"|"&amp;I200&amp;"|"&amp;F200&amp;"|"&amp;AZ200)</f>
        <v/>
      </c>
    </row>
    <row r="201" customFormat="false" ht="15" hidden="false" customHeight="false" outlineLevel="0" collapsed="false">
      <c r="A201" s="10" t="str">
        <f aca="false">IF(C201="","","MH-"&amp;IFERROR(VLOOKUP(C201,Lists!$AB$4:$AC$20,2,0),"??")&amp;"-"&amp;TEXT(F201,"0000")&amp;IF(E201="Circular","D","x"&amp;TEXT(G201,"0000"))&amp;"-D"&amp;TEXT(I201*1000,"0000")&amp;"-"&amp;IFERROR(VLOOKUP(D201,Lists!$AE$4:$AF$16,2,0),"??")&amp;"-"&amp;AA201)</f>
        <v/>
      </c>
      <c r="B201" s="10" t="str">
        <f aca="false">IF(C201="","",C201&amp;", "&amp;D201&amp;", "&amp;IF(E201="Circular",F201&amp;" dia",F201&amp;" x "&amp;G201)&amp;", depth "&amp;TEXT(H201,"0.0")&amp;"-"&amp;TEXT(I201,"0.0")&amp;" m, pipe up to "&amp;J201&amp;" dia")</f>
        <v/>
      </c>
      <c r="C201" s="9"/>
      <c r="D201" s="9"/>
      <c r="E201" s="9"/>
      <c r="F201" s="40"/>
      <c r="G201" s="40"/>
      <c r="H201" s="43"/>
      <c r="I201" s="43"/>
      <c r="J201" s="40"/>
      <c r="K201" s="40"/>
      <c r="L201" s="40"/>
      <c r="M201" s="40"/>
      <c r="N201" s="9"/>
      <c r="O201" s="9"/>
      <c r="P201" s="9"/>
      <c r="Q201" s="9"/>
      <c r="R201" s="41"/>
      <c r="S201" s="9"/>
      <c r="T201" s="40"/>
      <c r="U201" s="9"/>
      <c r="V201" s="9"/>
      <c r="W201" s="9"/>
      <c r="X201" s="9"/>
      <c r="Y201" s="9"/>
      <c r="Z201" s="9"/>
      <c r="AA201" s="9"/>
      <c r="AB201" s="9"/>
      <c r="AC201" s="9"/>
      <c r="AD201" s="9"/>
      <c r="AE201" s="9"/>
      <c r="AF201" s="10" t="str">
        <f aca="false">IF(A201="","",SG_Criteria!$B$6&amp;SG_Criteria!$B$10&amp;"\"&amp;A201&amp;"\")</f>
        <v/>
      </c>
      <c r="AG201" s="10" t="str">
        <f aca="false">IF(A201="","",A201&amp;"_CAD.dwg")</f>
        <v/>
      </c>
      <c r="AH201" s="10" t="str">
        <f aca="false">IF(A201="","",A201&amp;"_DWG.pdf")</f>
        <v/>
      </c>
      <c r="AI201" s="10" t="str">
        <f aca="false">IF(A201="","",IF(AE201="Y",A201&amp;"_STAAD.std","n/a"))</f>
        <v/>
      </c>
      <c r="AJ201" s="10" t="str">
        <f aca="false">IF(A201="","",A201&amp;"_CALC.xlsx")</f>
        <v/>
      </c>
      <c r="AK201" s="10" t="str">
        <f aca="false">IF(A201="","",A201&amp;"_CALC.pdf")</f>
        <v/>
      </c>
      <c r="AL201" s="9"/>
      <c r="AM201" s="9"/>
      <c r="AN201" s="41"/>
      <c r="AO201" s="41"/>
      <c r="AP201" s="41"/>
      <c r="AQ201" s="41"/>
      <c r="AR201" s="41"/>
      <c r="AS201" s="38" t="str">
        <f aca="false">IF(C201="","",IF(LEN(IF(AND(S201&lt;&gt;"",IFERROR(VALUE(MID(S201,2,2)),0)&lt;SG_Criteria!$B$19),"FAIL: grade below C"&amp;SG_Criteria!$B$19&amp;". ","")&amp;IF(AND(T201&lt;&gt;"",T201&lt;SG_Criteria!$B$20),"FAIL: cover &lt; "&amp;SG_Criteria!$B$20&amp;" mm. ","")&amp;IF(AND(H201&lt;&gt;"",H201&lt;SG_Criteria!$B$39),"NOTE: min depth below PUB "&amp;SG_Criteria!$B$39&amp;" m. ","")&amp;IF(AND(LEFT(C201,8)="Standard",I201&gt;SG_Criteria!$B$42),"FAIL: PUB 001C covers manholes up to "&amp;SG_Criteria!$B$42&amp;" m deep only. ","")&amp;IF(AND(LEFT(C201,11)="Rectangular",J201&lt;SG_Criteria!$B$43),"NOTE: 004C is for sewers &gt;= "&amp;SG_Criteria!$B$43&amp;" dia. ","")&amp;IF(AND(LEFT(C201,7)="Precast",I201&lt;=SG_Criteria!$B$42),"NOTE: 006C is for manholes &gt; "&amp;SG_Criteria!$B$42&amp;" m deep. ","")&amp;IF(AND(J201&lt;&gt;"",J201&lt;SG_Criteria!$B$40,C201&lt;&gt;"Inspection Chamber"),"NOTE: public sewer min dia "&amp;SG_Criteria!$B$40&amp;" mm. ","")&amp;IF(AND(R201&lt;&gt;"",R201&lt;SG_Criteria!$B$44),"FAIL: uplift FOS below "&amp;SG_Criteria!$B$44&amp;". ",""))=0,"OK",IF(AND(S201&lt;&gt;"",IFERROR(VALUE(MID(S201,2,2)),0)&lt;SG_Criteria!$B$19),"FAIL: grade below C"&amp;SG_Criteria!$B$19&amp;". ","")&amp;IF(AND(T201&lt;&gt;"",T201&lt;SG_Criteria!$B$20),"FAIL: cover &lt; "&amp;SG_Criteria!$B$20&amp;" mm. ","")&amp;IF(AND(H201&lt;&gt;"",H201&lt;SG_Criteria!$B$39),"NOTE: min depth below PUB "&amp;SG_Criteria!$B$39&amp;" m. ","")&amp;IF(AND(LEFT(C201,8)="Standard",I201&gt;SG_Criteria!$B$42),"FAIL: PUB 001C covers manholes up to "&amp;SG_Criteria!$B$42&amp;" m deep only. ","")&amp;IF(AND(LEFT(C201,11)="Rectangular",J201&lt;SG_Criteria!$B$43),"NOTE: 004C is for sewers &gt;= "&amp;SG_Criteria!$B$43&amp;" dia. ","")&amp;IF(AND(LEFT(C201,7)="Precast",I201&lt;=SG_Criteria!$B$42),"NOTE: 006C is for manholes &gt; "&amp;SG_Criteria!$B$42&amp;" m deep. ","")&amp;IF(AND(J201&lt;&gt;"",J201&lt;SG_Criteria!$B$40,C201&lt;&gt;"Inspection Chamber"),"NOTE: public sewer min dia "&amp;SG_Criteria!$B$40&amp;" mm. ","")&amp;IF(AND(R201&lt;&gt;"",R201&lt;SG_Criteria!$B$44),"FAIL: uplift FOS below "&amp;SG_Criteria!$B$44&amp;". ","")))</f>
        <v/>
      </c>
      <c r="AT201" s="9"/>
      <c r="AU201" s="9"/>
      <c r="AV201" s="9"/>
      <c r="AW201" s="9"/>
      <c r="AX201" s="9"/>
      <c r="AY201" s="31"/>
      <c r="AZ201" s="10" t="str">
        <f aca="false">IF(C201="","",IF(AND(AB201="Approved",ISERROR(SEARCH("FAIL",AS201))),"Y","N"))</f>
        <v/>
      </c>
      <c r="BA201" s="10" t="str">
        <f aca="false">IF(C201="","",C201&amp;"|"&amp;I201&amp;"|"&amp;F201&amp;"|"&amp;AZ201)</f>
        <v/>
      </c>
    </row>
    <row r="202" customFormat="false" ht="15" hidden="false" customHeight="false" outlineLevel="0" collapsed="false">
      <c r="A202" s="10" t="str">
        <f aca="false">IF(C202="","","MH-"&amp;IFERROR(VLOOKUP(C202,Lists!$AB$4:$AC$20,2,0),"??")&amp;"-"&amp;TEXT(F202,"0000")&amp;IF(E202="Circular","D","x"&amp;TEXT(G202,"0000"))&amp;"-D"&amp;TEXT(I202*1000,"0000")&amp;"-"&amp;IFERROR(VLOOKUP(D202,Lists!$AE$4:$AF$16,2,0),"??")&amp;"-"&amp;AA202)</f>
        <v/>
      </c>
      <c r="B202" s="10" t="str">
        <f aca="false">IF(C202="","",C202&amp;", "&amp;D202&amp;", "&amp;IF(E202="Circular",F202&amp;" dia",F202&amp;" x "&amp;G202)&amp;", depth "&amp;TEXT(H202,"0.0")&amp;"-"&amp;TEXT(I202,"0.0")&amp;" m, pipe up to "&amp;J202&amp;" dia")</f>
        <v/>
      </c>
      <c r="C202" s="9"/>
      <c r="D202" s="9"/>
      <c r="E202" s="9"/>
      <c r="F202" s="40"/>
      <c r="G202" s="40"/>
      <c r="H202" s="43"/>
      <c r="I202" s="43"/>
      <c r="J202" s="40"/>
      <c r="K202" s="40"/>
      <c r="L202" s="40"/>
      <c r="M202" s="40"/>
      <c r="N202" s="9"/>
      <c r="O202" s="9"/>
      <c r="P202" s="9"/>
      <c r="Q202" s="9"/>
      <c r="R202" s="41"/>
      <c r="S202" s="9"/>
      <c r="T202" s="40"/>
      <c r="U202" s="9"/>
      <c r="V202" s="9"/>
      <c r="W202" s="9"/>
      <c r="X202" s="9"/>
      <c r="Y202" s="9"/>
      <c r="Z202" s="9"/>
      <c r="AA202" s="9"/>
      <c r="AB202" s="9"/>
      <c r="AC202" s="9"/>
      <c r="AD202" s="9"/>
      <c r="AE202" s="9"/>
      <c r="AF202" s="10" t="str">
        <f aca="false">IF(A202="","",SG_Criteria!$B$6&amp;SG_Criteria!$B$10&amp;"\"&amp;A202&amp;"\")</f>
        <v/>
      </c>
      <c r="AG202" s="10" t="str">
        <f aca="false">IF(A202="","",A202&amp;"_CAD.dwg")</f>
        <v/>
      </c>
      <c r="AH202" s="10" t="str">
        <f aca="false">IF(A202="","",A202&amp;"_DWG.pdf")</f>
        <v/>
      </c>
      <c r="AI202" s="10" t="str">
        <f aca="false">IF(A202="","",IF(AE202="Y",A202&amp;"_STAAD.std","n/a"))</f>
        <v/>
      </c>
      <c r="AJ202" s="10" t="str">
        <f aca="false">IF(A202="","",A202&amp;"_CALC.xlsx")</f>
        <v/>
      </c>
      <c r="AK202" s="10" t="str">
        <f aca="false">IF(A202="","",A202&amp;"_CALC.pdf")</f>
        <v/>
      </c>
      <c r="AL202" s="9"/>
      <c r="AM202" s="9"/>
      <c r="AN202" s="41"/>
      <c r="AO202" s="41"/>
      <c r="AP202" s="41"/>
      <c r="AQ202" s="41"/>
      <c r="AR202" s="41"/>
      <c r="AS202" s="38" t="str">
        <f aca="false">IF(C202="","",IF(LEN(IF(AND(S202&lt;&gt;"",IFERROR(VALUE(MID(S202,2,2)),0)&lt;SG_Criteria!$B$19),"FAIL: grade below C"&amp;SG_Criteria!$B$19&amp;". ","")&amp;IF(AND(T202&lt;&gt;"",T202&lt;SG_Criteria!$B$20),"FAIL: cover &lt; "&amp;SG_Criteria!$B$20&amp;" mm. ","")&amp;IF(AND(H202&lt;&gt;"",H202&lt;SG_Criteria!$B$39),"NOTE: min depth below PUB "&amp;SG_Criteria!$B$39&amp;" m. ","")&amp;IF(AND(LEFT(C202,8)="Standard",I202&gt;SG_Criteria!$B$42),"FAIL: PUB 001C covers manholes up to "&amp;SG_Criteria!$B$42&amp;" m deep only. ","")&amp;IF(AND(LEFT(C202,11)="Rectangular",J202&lt;SG_Criteria!$B$43),"NOTE: 004C is for sewers &gt;= "&amp;SG_Criteria!$B$43&amp;" dia. ","")&amp;IF(AND(LEFT(C202,7)="Precast",I202&lt;=SG_Criteria!$B$42),"NOTE: 006C is for manholes &gt; "&amp;SG_Criteria!$B$42&amp;" m deep. ","")&amp;IF(AND(J202&lt;&gt;"",J202&lt;SG_Criteria!$B$40,C202&lt;&gt;"Inspection Chamber"),"NOTE: public sewer min dia "&amp;SG_Criteria!$B$40&amp;" mm. ","")&amp;IF(AND(R202&lt;&gt;"",R202&lt;SG_Criteria!$B$44),"FAIL: uplift FOS below "&amp;SG_Criteria!$B$44&amp;". ",""))=0,"OK",IF(AND(S202&lt;&gt;"",IFERROR(VALUE(MID(S202,2,2)),0)&lt;SG_Criteria!$B$19),"FAIL: grade below C"&amp;SG_Criteria!$B$19&amp;". ","")&amp;IF(AND(T202&lt;&gt;"",T202&lt;SG_Criteria!$B$20),"FAIL: cover &lt; "&amp;SG_Criteria!$B$20&amp;" mm. ","")&amp;IF(AND(H202&lt;&gt;"",H202&lt;SG_Criteria!$B$39),"NOTE: min depth below PUB "&amp;SG_Criteria!$B$39&amp;" m. ","")&amp;IF(AND(LEFT(C202,8)="Standard",I202&gt;SG_Criteria!$B$42),"FAIL: PUB 001C covers manholes up to "&amp;SG_Criteria!$B$42&amp;" m deep only. ","")&amp;IF(AND(LEFT(C202,11)="Rectangular",J202&lt;SG_Criteria!$B$43),"NOTE: 004C is for sewers &gt;= "&amp;SG_Criteria!$B$43&amp;" dia. ","")&amp;IF(AND(LEFT(C202,7)="Precast",I202&lt;=SG_Criteria!$B$42),"NOTE: 006C is for manholes &gt; "&amp;SG_Criteria!$B$42&amp;" m deep. ","")&amp;IF(AND(J202&lt;&gt;"",J202&lt;SG_Criteria!$B$40,C202&lt;&gt;"Inspection Chamber"),"NOTE: public sewer min dia "&amp;SG_Criteria!$B$40&amp;" mm. ","")&amp;IF(AND(R202&lt;&gt;"",R202&lt;SG_Criteria!$B$44),"FAIL: uplift FOS below "&amp;SG_Criteria!$B$44&amp;". ","")))</f>
        <v/>
      </c>
      <c r="AT202" s="9"/>
      <c r="AU202" s="9"/>
      <c r="AV202" s="9"/>
      <c r="AW202" s="9"/>
      <c r="AX202" s="9"/>
      <c r="AY202" s="31"/>
      <c r="AZ202" s="10" t="str">
        <f aca="false">IF(C202="","",IF(AND(AB202="Approved",ISERROR(SEARCH("FAIL",AS202))),"Y","N"))</f>
        <v/>
      </c>
      <c r="BA202" s="10" t="str">
        <f aca="false">IF(C202="","",C202&amp;"|"&amp;I202&amp;"|"&amp;F202&amp;"|"&amp;AZ202)</f>
        <v/>
      </c>
    </row>
    <row r="203" customFormat="false" ht="15" hidden="false" customHeight="false" outlineLevel="0" collapsed="false">
      <c r="A203" s="10" t="str">
        <f aca="false">IF(C203="","","MH-"&amp;IFERROR(VLOOKUP(C203,Lists!$AB$4:$AC$20,2,0),"??")&amp;"-"&amp;TEXT(F203,"0000")&amp;IF(E203="Circular","D","x"&amp;TEXT(G203,"0000"))&amp;"-D"&amp;TEXT(I203*1000,"0000")&amp;"-"&amp;IFERROR(VLOOKUP(D203,Lists!$AE$4:$AF$16,2,0),"??")&amp;"-"&amp;AA203)</f>
        <v/>
      </c>
      <c r="B203" s="10" t="str">
        <f aca="false">IF(C203="","",C203&amp;", "&amp;D203&amp;", "&amp;IF(E203="Circular",F203&amp;" dia",F203&amp;" x "&amp;G203)&amp;", depth "&amp;TEXT(H203,"0.0")&amp;"-"&amp;TEXT(I203,"0.0")&amp;" m, pipe up to "&amp;J203&amp;" dia")</f>
        <v/>
      </c>
      <c r="C203" s="9"/>
      <c r="D203" s="9"/>
      <c r="E203" s="9"/>
      <c r="F203" s="40"/>
      <c r="G203" s="40"/>
      <c r="H203" s="43"/>
      <c r="I203" s="43"/>
      <c r="J203" s="40"/>
      <c r="K203" s="40"/>
      <c r="L203" s="40"/>
      <c r="M203" s="40"/>
      <c r="N203" s="9"/>
      <c r="O203" s="9"/>
      <c r="P203" s="9"/>
      <c r="Q203" s="9"/>
      <c r="R203" s="41"/>
      <c r="S203" s="9"/>
      <c r="T203" s="40"/>
      <c r="U203" s="9"/>
      <c r="V203" s="9"/>
      <c r="W203" s="9"/>
      <c r="X203" s="9"/>
      <c r="Y203" s="9"/>
      <c r="Z203" s="9"/>
      <c r="AA203" s="9"/>
      <c r="AB203" s="9"/>
      <c r="AC203" s="9"/>
      <c r="AD203" s="9"/>
      <c r="AE203" s="9"/>
      <c r="AF203" s="10" t="str">
        <f aca="false">IF(A203="","",SG_Criteria!$B$6&amp;SG_Criteria!$B$10&amp;"\"&amp;A203&amp;"\")</f>
        <v/>
      </c>
      <c r="AG203" s="10" t="str">
        <f aca="false">IF(A203="","",A203&amp;"_CAD.dwg")</f>
        <v/>
      </c>
      <c r="AH203" s="10" t="str">
        <f aca="false">IF(A203="","",A203&amp;"_DWG.pdf")</f>
        <v/>
      </c>
      <c r="AI203" s="10" t="str">
        <f aca="false">IF(A203="","",IF(AE203="Y",A203&amp;"_STAAD.std","n/a"))</f>
        <v/>
      </c>
      <c r="AJ203" s="10" t="str">
        <f aca="false">IF(A203="","",A203&amp;"_CALC.xlsx")</f>
        <v/>
      </c>
      <c r="AK203" s="10" t="str">
        <f aca="false">IF(A203="","",A203&amp;"_CALC.pdf")</f>
        <v/>
      </c>
      <c r="AL203" s="9"/>
      <c r="AM203" s="9"/>
      <c r="AN203" s="41"/>
      <c r="AO203" s="41"/>
      <c r="AP203" s="41"/>
      <c r="AQ203" s="41"/>
      <c r="AR203" s="41"/>
      <c r="AS203" s="38" t="str">
        <f aca="false">IF(C203="","",IF(LEN(IF(AND(S203&lt;&gt;"",IFERROR(VALUE(MID(S203,2,2)),0)&lt;SG_Criteria!$B$19),"FAIL: grade below C"&amp;SG_Criteria!$B$19&amp;". ","")&amp;IF(AND(T203&lt;&gt;"",T203&lt;SG_Criteria!$B$20),"FAIL: cover &lt; "&amp;SG_Criteria!$B$20&amp;" mm. ","")&amp;IF(AND(H203&lt;&gt;"",H203&lt;SG_Criteria!$B$39),"NOTE: min depth below PUB "&amp;SG_Criteria!$B$39&amp;" m. ","")&amp;IF(AND(LEFT(C203,8)="Standard",I203&gt;SG_Criteria!$B$42),"FAIL: PUB 001C covers manholes up to "&amp;SG_Criteria!$B$42&amp;" m deep only. ","")&amp;IF(AND(LEFT(C203,11)="Rectangular",J203&lt;SG_Criteria!$B$43),"NOTE: 004C is for sewers &gt;= "&amp;SG_Criteria!$B$43&amp;" dia. ","")&amp;IF(AND(LEFT(C203,7)="Precast",I203&lt;=SG_Criteria!$B$42),"NOTE: 006C is for manholes &gt; "&amp;SG_Criteria!$B$42&amp;" m deep. ","")&amp;IF(AND(J203&lt;&gt;"",J203&lt;SG_Criteria!$B$40,C203&lt;&gt;"Inspection Chamber"),"NOTE: public sewer min dia "&amp;SG_Criteria!$B$40&amp;" mm. ","")&amp;IF(AND(R203&lt;&gt;"",R203&lt;SG_Criteria!$B$44),"FAIL: uplift FOS below "&amp;SG_Criteria!$B$44&amp;". ",""))=0,"OK",IF(AND(S203&lt;&gt;"",IFERROR(VALUE(MID(S203,2,2)),0)&lt;SG_Criteria!$B$19),"FAIL: grade below C"&amp;SG_Criteria!$B$19&amp;". ","")&amp;IF(AND(T203&lt;&gt;"",T203&lt;SG_Criteria!$B$20),"FAIL: cover &lt; "&amp;SG_Criteria!$B$20&amp;" mm. ","")&amp;IF(AND(H203&lt;&gt;"",H203&lt;SG_Criteria!$B$39),"NOTE: min depth below PUB "&amp;SG_Criteria!$B$39&amp;" m. ","")&amp;IF(AND(LEFT(C203,8)="Standard",I203&gt;SG_Criteria!$B$42),"FAIL: PUB 001C covers manholes up to "&amp;SG_Criteria!$B$42&amp;" m deep only. ","")&amp;IF(AND(LEFT(C203,11)="Rectangular",J203&lt;SG_Criteria!$B$43),"NOTE: 004C is for sewers &gt;= "&amp;SG_Criteria!$B$43&amp;" dia. ","")&amp;IF(AND(LEFT(C203,7)="Precast",I203&lt;=SG_Criteria!$B$42),"NOTE: 006C is for manholes &gt; "&amp;SG_Criteria!$B$42&amp;" m deep. ","")&amp;IF(AND(J203&lt;&gt;"",J203&lt;SG_Criteria!$B$40,C203&lt;&gt;"Inspection Chamber"),"NOTE: public sewer min dia "&amp;SG_Criteria!$B$40&amp;" mm. ","")&amp;IF(AND(R203&lt;&gt;"",R203&lt;SG_Criteria!$B$44),"FAIL: uplift FOS below "&amp;SG_Criteria!$B$44&amp;". ","")))</f>
        <v/>
      </c>
      <c r="AT203" s="9"/>
      <c r="AU203" s="9"/>
      <c r="AV203" s="9"/>
      <c r="AW203" s="9"/>
      <c r="AX203" s="9"/>
      <c r="AY203" s="31"/>
      <c r="AZ203" s="10" t="str">
        <f aca="false">IF(C203="","",IF(AND(AB203="Approved",ISERROR(SEARCH("FAIL",AS203))),"Y","N"))</f>
        <v/>
      </c>
      <c r="BA203" s="10" t="str">
        <f aca="false">IF(C203="","",C203&amp;"|"&amp;I203&amp;"|"&amp;F203&amp;"|"&amp;AZ203)</f>
        <v/>
      </c>
    </row>
    <row r="204" customFormat="false" ht="15" hidden="false" customHeight="false" outlineLevel="0" collapsed="false">
      <c r="A204" s="10" t="str">
        <f aca="false">IF(C204="","","MH-"&amp;IFERROR(VLOOKUP(C204,Lists!$AB$4:$AC$20,2,0),"??")&amp;"-"&amp;TEXT(F204,"0000")&amp;IF(E204="Circular","D","x"&amp;TEXT(G204,"0000"))&amp;"-D"&amp;TEXT(I204*1000,"0000")&amp;"-"&amp;IFERROR(VLOOKUP(D204,Lists!$AE$4:$AF$16,2,0),"??")&amp;"-"&amp;AA204)</f>
        <v/>
      </c>
      <c r="B204" s="10" t="str">
        <f aca="false">IF(C204="","",C204&amp;", "&amp;D204&amp;", "&amp;IF(E204="Circular",F204&amp;" dia",F204&amp;" x "&amp;G204)&amp;", depth "&amp;TEXT(H204,"0.0")&amp;"-"&amp;TEXT(I204,"0.0")&amp;" m, pipe up to "&amp;J204&amp;" dia")</f>
        <v/>
      </c>
      <c r="C204" s="9"/>
      <c r="D204" s="9"/>
      <c r="E204" s="9"/>
      <c r="F204" s="40"/>
      <c r="G204" s="40"/>
      <c r="H204" s="43"/>
      <c r="I204" s="43"/>
      <c r="J204" s="40"/>
      <c r="K204" s="40"/>
      <c r="L204" s="40"/>
      <c r="M204" s="40"/>
      <c r="N204" s="9"/>
      <c r="O204" s="9"/>
      <c r="P204" s="9"/>
      <c r="Q204" s="9"/>
      <c r="R204" s="41"/>
      <c r="S204" s="9"/>
      <c r="T204" s="40"/>
      <c r="U204" s="9"/>
      <c r="V204" s="9"/>
      <c r="W204" s="9"/>
      <c r="X204" s="9"/>
      <c r="Y204" s="9"/>
      <c r="Z204" s="9"/>
      <c r="AA204" s="9"/>
      <c r="AB204" s="9"/>
      <c r="AC204" s="9"/>
      <c r="AD204" s="9"/>
      <c r="AE204" s="9"/>
      <c r="AF204" s="10" t="str">
        <f aca="false">IF(A204="","",SG_Criteria!$B$6&amp;SG_Criteria!$B$10&amp;"\"&amp;A204&amp;"\")</f>
        <v/>
      </c>
      <c r="AG204" s="10" t="str">
        <f aca="false">IF(A204="","",A204&amp;"_CAD.dwg")</f>
        <v/>
      </c>
      <c r="AH204" s="10" t="str">
        <f aca="false">IF(A204="","",A204&amp;"_DWG.pdf")</f>
        <v/>
      </c>
      <c r="AI204" s="10" t="str">
        <f aca="false">IF(A204="","",IF(AE204="Y",A204&amp;"_STAAD.std","n/a"))</f>
        <v/>
      </c>
      <c r="AJ204" s="10" t="str">
        <f aca="false">IF(A204="","",A204&amp;"_CALC.xlsx")</f>
        <v/>
      </c>
      <c r="AK204" s="10" t="str">
        <f aca="false">IF(A204="","",A204&amp;"_CALC.pdf")</f>
        <v/>
      </c>
      <c r="AL204" s="9"/>
      <c r="AM204" s="9"/>
      <c r="AN204" s="41"/>
      <c r="AO204" s="41"/>
      <c r="AP204" s="41"/>
      <c r="AQ204" s="41"/>
      <c r="AR204" s="41"/>
      <c r="AS204" s="38" t="str">
        <f aca="false">IF(C204="","",IF(LEN(IF(AND(S204&lt;&gt;"",IFERROR(VALUE(MID(S204,2,2)),0)&lt;SG_Criteria!$B$19),"FAIL: grade below C"&amp;SG_Criteria!$B$19&amp;". ","")&amp;IF(AND(T204&lt;&gt;"",T204&lt;SG_Criteria!$B$20),"FAIL: cover &lt; "&amp;SG_Criteria!$B$20&amp;" mm. ","")&amp;IF(AND(H204&lt;&gt;"",H204&lt;SG_Criteria!$B$39),"NOTE: min depth below PUB "&amp;SG_Criteria!$B$39&amp;" m. ","")&amp;IF(AND(LEFT(C204,8)="Standard",I204&gt;SG_Criteria!$B$42),"FAIL: PUB 001C covers manholes up to "&amp;SG_Criteria!$B$42&amp;" m deep only. ","")&amp;IF(AND(LEFT(C204,11)="Rectangular",J204&lt;SG_Criteria!$B$43),"NOTE: 004C is for sewers &gt;= "&amp;SG_Criteria!$B$43&amp;" dia. ","")&amp;IF(AND(LEFT(C204,7)="Precast",I204&lt;=SG_Criteria!$B$42),"NOTE: 006C is for manholes &gt; "&amp;SG_Criteria!$B$42&amp;" m deep. ","")&amp;IF(AND(J204&lt;&gt;"",J204&lt;SG_Criteria!$B$40,C204&lt;&gt;"Inspection Chamber"),"NOTE: public sewer min dia "&amp;SG_Criteria!$B$40&amp;" mm. ","")&amp;IF(AND(R204&lt;&gt;"",R204&lt;SG_Criteria!$B$44),"FAIL: uplift FOS below "&amp;SG_Criteria!$B$44&amp;". ",""))=0,"OK",IF(AND(S204&lt;&gt;"",IFERROR(VALUE(MID(S204,2,2)),0)&lt;SG_Criteria!$B$19),"FAIL: grade below C"&amp;SG_Criteria!$B$19&amp;". ","")&amp;IF(AND(T204&lt;&gt;"",T204&lt;SG_Criteria!$B$20),"FAIL: cover &lt; "&amp;SG_Criteria!$B$20&amp;" mm. ","")&amp;IF(AND(H204&lt;&gt;"",H204&lt;SG_Criteria!$B$39),"NOTE: min depth below PUB "&amp;SG_Criteria!$B$39&amp;" m. ","")&amp;IF(AND(LEFT(C204,8)="Standard",I204&gt;SG_Criteria!$B$42),"FAIL: PUB 001C covers manholes up to "&amp;SG_Criteria!$B$42&amp;" m deep only. ","")&amp;IF(AND(LEFT(C204,11)="Rectangular",J204&lt;SG_Criteria!$B$43),"NOTE: 004C is for sewers &gt;= "&amp;SG_Criteria!$B$43&amp;" dia. ","")&amp;IF(AND(LEFT(C204,7)="Precast",I204&lt;=SG_Criteria!$B$42),"NOTE: 006C is for manholes &gt; "&amp;SG_Criteria!$B$42&amp;" m deep. ","")&amp;IF(AND(J204&lt;&gt;"",J204&lt;SG_Criteria!$B$40,C204&lt;&gt;"Inspection Chamber"),"NOTE: public sewer min dia "&amp;SG_Criteria!$B$40&amp;" mm. ","")&amp;IF(AND(R204&lt;&gt;"",R204&lt;SG_Criteria!$B$44),"FAIL: uplift FOS below "&amp;SG_Criteria!$B$44&amp;". ","")))</f>
        <v/>
      </c>
      <c r="AT204" s="9"/>
      <c r="AU204" s="9"/>
      <c r="AV204" s="9"/>
      <c r="AW204" s="9"/>
      <c r="AX204" s="9"/>
      <c r="AY204" s="31"/>
      <c r="AZ204" s="10" t="str">
        <f aca="false">IF(C204="","",IF(AND(AB204="Approved",ISERROR(SEARCH("FAIL",AS204))),"Y","N"))</f>
        <v/>
      </c>
      <c r="BA204" s="10" t="str">
        <f aca="false">IF(C204="","",C204&amp;"|"&amp;I204&amp;"|"&amp;F204&amp;"|"&amp;AZ204)</f>
        <v/>
      </c>
    </row>
    <row r="205" customFormat="false" ht="15" hidden="false" customHeight="false" outlineLevel="0" collapsed="false">
      <c r="A205" s="10" t="str">
        <f aca="false">IF(C205="","","MH-"&amp;IFERROR(VLOOKUP(C205,Lists!$AB$4:$AC$20,2,0),"??")&amp;"-"&amp;TEXT(F205,"0000")&amp;IF(E205="Circular","D","x"&amp;TEXT(G205,"0000"))&amp;"-D"&amp;TEXT(I205*1000,"0000")&amp;"-"&amp;IFERROR(VLOOKUP(D205,Lists!$AE$4:$AF$16,2,0),"??")&amp;"-"&amp;AA205)</f>
        <v/>
      </c>
      <c r="B205" s="10" t="str">
        <f aca="false">IF(C205="","",C205&amp;", "&amp;D205&amp;", "&amp;IF(E205="Circular",F205&amp;" dia",F205&amp;" x "&amp;G205)&amp;", depth "&amp;TEXT(H205,"0.0")&amp;"-"&amp;TEXT(I205,"0.0")&amp;" m, pipe up to "&amp;J205&amp;" dia")</f>
        <v/>
      </c>
      <c r="C205" s="9"/>
      <c r="D205" s="9"/>
      <c r="E205" s="9"/>
      <c r="F205" s="40"/>
      <c r="G205" s="40"/>
      <c r="H205" s="43"/>
      <c r="I205" s="43"/>
      <c r="J205" s="40"/>
      <c r="K205" s="40"/>
      <c r="L205" s="40"/>
      <c r="M205" s="40"/>
      <c r="N205" s="9"/>
      <c r="O205" s="9"/>
      <c r="P205" s="9"/>
      <c r="Q205" s="9"/>
      <c r="R205" s="41"/>
      <c r="S205" s="9"/>
      <c r="T205" s="40"/>
      <c r="U205" s="9"/>
      <c r="V205" s="9"/>
      <c r="W205" s="9"/>
      <c r="X205" s="9"/>
      <c r="Y205" s="9"/>
      <c r="Z205" s="9"/>
      <c r="AA205" s="9"/>
      <c r="AB205" s="9"/>
      <c r="AC205" s="9"/>
      <c r="AD205" s="9"/>
      <c r="AE205" s="9"/>
      <c r="AF205" s="10" t="str">
        <f aca="false">IF(A205="","",SG_Criteria!$B$6&amp;SG_Criteria!$B$10&amp;"\"&amp;A205&amp;"\")</f>
        <v/>
      </c>
      <c r="AG205" s="10" t="str">
        <f aca="false">IF(A205="","",A205&amp;"_CAD.dwg")</f>
        <v/>
      </c>
      <c r="AH205" s="10" t="str">
        <f aca="false">IF(A205="","",A205&amp;"_DWG.pdf")</f>
        <v/>
      </c>
      <c r="AI205" s="10" t="str">
        <f aca="false">IF(A205="","",IF(AE205="Y",A205&amp;"_STAAD.std","n/a"))</f>
        <v/>
      </c>
      <c r="AJ205" s="10" t="str">
        <f aca="false">IF(A205="","",A205&amp;"_CALC.xlsx")</f>
        <v/>
      </c>
      <c r="AK205" s="10" t="str">
        <f aca="false">IF(A205="","",A205&amp;"_CALC.pdf")</f>
        <v/>
      </c>
      <c r="AL205" s="9"/>
      <c r="AM205" s="9"/>
      <c r="AN205" s="41"/>
      <c r="AO205" s="41"/>
      <c r="AP205" s="41"/>
      <c r="AQ205" s="41"/>
      <c r="AR205" s="41"/>
      <c r="AS205" s="38" t="str">
        <f aca="false">IF(C205="","",IF(LEN(IF(AND(S205&lt;&gt;"",IFERROR(VALUE(MID(S205,2,2)),0)&lt;SG_Criteria!$B$19),"FAIL: grade below C"&amp;SG_Criteria!$B$19&amp;". ","")&amp;IF(AND(T205&lt;&gt;"",T205&lt;SG_Criteria!$B$20),"FAIL: cover &lt; "&amp;SG_Criteria!$B$20&amp;" mm. ","")&amp;IF(AND(H205&lt;&gt;"",H205&lt;SG_Criteria!$B$39),"NOTE: min depth below PUB "&amp;SG_Criteria!$B$39&amp;" m. ","")&amp;IF(AND(LEFT(C205,8)="Standard",I205&gt;SG_Criteria!$B$42),"FAIL: PUB 001C covers manholes up to "&amp;SG_Criteria!$B$42&amp;" m deep only. ","")&amp;IF(AND(LEFT(C205,11)="Rectangular",J205&lt;SG_Criteria!$B$43),"NOTE: 004C is for sewers &gt;= "&amp;SG_Criteria!$B$43&amp;" dia. ","")&amp;IF(AND(LEFT(C205,7)="Precast",I205&lt;=SG_Criteria!$B$42),"NOTE: 006C is for manholes &gt; "&amp;SG_Criteria!$B$42&amp;" m deep. ","")&amp;IF(AND(J205&lt;&gt;"",J205&lt;SG_Criteria!$B$40,C205&lt;&gt;"Inspection Chamber"),"NOTE: public sewer min dia "&amp;SG_Criteria!$B$40&amp;" mm. ","")&amp;IF(AND(R205&lt;&gt;"",R205&lt;SG_Criteria!$B$44),"FAIL: uplift FOS below "&amp;SG_Criteria!$B$44&amp;". ",""))=0,"OK",IF(AND(S205&lt;&gt;"",IFERROR(VALUE(MID(S205,2,2)),0)&lt;SG_Criteria!$B$19),"FAIL: grade below C"&amp;SG_Criteria!$B$19&amp;". ","")&amp;IF(AND(T205&lt;&gt;"",T205&lt;SG_Criteria!$B$20),"FAIL: cover &lt; "&amp;SG_Criteria!$B$20&amp;" mm. ","")&amp;IF(AND(H205&lt;&gt;"",H205&lt;SG_Criteria!$B$39),"NOTE: min depth below PUB "&amp;SG_Criteria!$B$39&amp;" m. ","")&amp;IF(AND(LEFT(C205,8)="Standard",I205&gt;SG_Criteria!$B$42),"FAIL: PUB 001C covers manholes up to "&amp;SG_Criteria!$B$42&amp;" m deep only. ","")&amp;IF(AND(LEFT(C205,11)="Rectangular",J205&lt;SG_Criteria!$B$43),"NOTE: 004C is for sewers &gt;= "&amp;SG_Criteria!$B$43&amp;" dia. ","")&amp;IF(AND(LEFT(C205,7)="Precast",I205&lt;=SG_Criteria!$B$42),"NOTE: 006C is for manholes &gt; "&amp;SG_Criteria!$B$42&amp;" m deep. ","")&amp;IF(AND(J205&lt;&gt;"",J205&lt;SG_Criteria!$B$40,C205&lt;&gt;"Inspection Chamber"),"NOTE: public sewer min dia "&amp;SG_Criteria!$B$40&amp;" mm. ","")&amp;IF(AND(R205&lt;&gt;"",R205&lt;SG_Criteria!$B$44),"FAIL: uplift FOS below "&amp;SG_Criteria!$B$44&amp;". ","")))</f>
        <v/>
      </c>
      <c r="AT205" s="9"/>
      <c r="AU205" s="9"/>
      <c r="AV205" s="9"/>
      <c r="AW205" s="9"/>
      <c r="AX205" s="9"/>
      <c r="AY205" s="31"/>
      <c r="AZ205" s="10" t="str">
        <f aca="false">IF(C205="","",IF(AND(AB205="Approved",ISERROR(SEARCH("FAIL",AS205))),"Y","N"))</f>
        <v/>
      </c>
      <c r="BA205" s="10" t="str">
        <f aca="false">IF(C205="","",C205&amp;"|"&amp;I205&amp;"|"&amp;F205&amp;"|"&amp;AZ205)</f>
        <v/>
      </c>
    </row>
    <row r="206" customFormat="false" ht="15" hidden="false" customHeight="false" outlineLevel="0" collapsed="false">
      <c r="A206" s="10" t="str">
        <f aca="false">IF(C206="","","MH-"&amp;IFERROR(VLOOKUP(C206,Lists!$AB$4:$AC$20,2,0),"??")&amp;"-"&amp;TEXT(F206,"0000")&amp;IF(E206="Circular","D","x"&amp;TEXT(G206,"0000"))&amp;"-D"&amp;TEXT(I206*1000,"0000")&amp;"-"&amp;IFERROR(VLOOKUP(D206,Lists!$AE$4:$AF$16,2,0),"??")&amp;"-"&amp;AA206)</f>
        <v/>
      </c>
      <c r="B206" s="10" t="str">
        <f aca="false">IF(C206="","",C206&amp;", "&amp;D206&amp;", "&amp;IF(E206="Circular",F206&amp;" dia",F206&amp;" x "&amp;G206)&amp;", depth "&amp;TEXT(H206,"0.0")&amp;"-"&amp;TEXT(I206,"0.0")&amp;" m, pipe up to "&amp;J206&amp;" dia")</f>
        <v/>
      </c>
      <c r="C206" s="9"/>
      <c r="D206" s="9"/>
      <c r="E206" s="9"/>
      <c r="F206" s="40"/>
      <c r="G206" s="40"/>
      <c r="H206" s="43"/>
      <c r="I206" s="43"/>
      <c r="J206" s="40"/>
      <c r="K206" s="40"/>
      <c r="L206" s="40"/>
      <c r="M206" s="40"/>
      <c r="N206" s="9"/>
      <c r="O206" s="9"/>
      <c r="P206" s="9"/>
      <c r="Q206" s="9"/>
      <c r="R206" s="41"/>
      <c r="S206" s="9"/>
      <c r="T206" s="40"/>
      <c r="U206" s="9"/>
      <c r="V206" s="9"/>
      <c r="W206" s="9"/>
      <c r="X206" s="9"/>
      <c r="Y206" s="9"/>
      <c r="Z206" s="9"/>
      <c r="AA206" s="9"/>
      <c r="AB206" s="9"/>
      <c r="AC206" s="9"/>
      <c r="AD206" s="9"/>
      <c r="AE206" s="9"/>
      <c r="AF206" s="10" t="str">
        <f aca="false">IF(A206="","",SG_Criteria!$B$6&amp;SG_Criteria!$B$10&amp;"\"&amp;A206&amp;"\")</f>
        <v/>
      </c>
      <c r="AG206" s="10" t="str">
        <f aca="false">IF(A206="","",A206&amp;"_CAD.dwg")</f>
        <v/>
      </c>
      <c r="AH206" s="10" t="str">
        <f aca="false">IF(A206="","",A206&amp;"_DWG.pdf")</f>
        <v/>
      </c>
      <c r="AI206" s="10" t="str">
        <f aca="false">IF(A206="","",IF(AE206="Y",A206&amp;"_STAAD.std","n/a"))</f>
        <v/>
      </c>
      <c r="AJ206" s="10" t="str">
        <f aca="false">IF(A206="","",A206&amp;"_CALC.xlsx")</f>
        <v/>
      </c>
      <c r="AK206" s="10" t="str">
        <f aca="false">IF(A206="","",A206&amp;"_CALC.pdf")</f>
        <v/>
      </c>
      <c r="AL206" s="9"/>
      <c r="AM206" s="9"/>
      <c r="AN206" s="41"/>
      <c r="AO206" s="41"/>
      <c r="AP206" s="41"/>
      <c r="AQ206" s="41"/>
      <c r="AR206" s="41"/>
      <c r="AS206" s="38" t="str">
        <f aca="false">IF(C206="","",IF(LEN(IF(AND(S206&lt;&gt;"",IFERROR(VALUE(MID(S206,2,2)),0)&lt;SG_Criteria!$B$19),"FAIL: grade below C"&amp;SG_Criteria!$B$19&amp;". ","")&amp;IF(AND(T206&lt;&gt;"",T206&lt;SG_Criteria!$B$20),"FAIL: cover &lt; "&amp;SG_Criteria!$B$20&amp;" mm. ","")&amp;IF(AND(H206&lt;&gt;"",H206&lt;SG_Criteria!$B$39),"NOTE: min depth below PUB "&amp;SG_Criteria!$B$39&amp;" m. ","")&amp;IF(AND(LEFT(C206,8)="Standard",I206&gt;SG_Criteria!$B$42),"FAIL: PUB 001C covers manholes up to "&amp;SG_Criteria!$B$42&amp;" m deep only. ","")&amp;IF(AND(LEFT(C206,11)="Rectangular",J206&lt;SG_Criteria!$B$43),"NOTE: 004C is for sewers &gt;= "&amp;SG_Criteria!$B$43&amp;" dia. ","")&amp;IF(AND(LEFT(C206,7)="Precast",I206&lt;=SG_Criteria!$B$42),"NOTE: 006C is for manholes &gt; "&amp;SG_Criteria!$B$42&amp;" m deep. ","")&amp;IF(AND(J206&lt;&gt;"",J206&lt;SG_Criteria!$B$40,C206&lt;&gt;"Inspection Chamber"),"NOTE: public sewer min dia "&amp;SG_Criteria!$B$40&amp;" mm. ","")&amp;IF(AND(R206&lt;&gt;"",R206&lt;SG_Criteria!$B$44),"FAIL: uplift FOS below "&amp;SG_Criteria!$B$44&amp;". ",""))=0,"OK",IF(AND(S206&lt;&gt;"",IFERROR(VALUE(MID(S206,2,2)),0)&lt;SG_Criteria!$B$19),"FAIL: grade below C"&amp;SG_Criteria!$B$19&amp;". ","")&amp;IF(AND(T206&lt;&gt;"",T206&lt;SG_Criteria!$B$20),"FAIL: cover &lt; "&amp;SG_Criteria!$B$20&amp;" mm. ","")&amp;IF(AND(H206&lt;&gt;"",H206&lt;SG_Criteria!$B$39),"NOTE: min depth below PUB "&amp;SG_Criteria!$B$39&amp;" m. ","")&amp;IF(AND(LEFT(C206,8)="Standard",I206&gt;SG_Criteria!$B$42),"FAIL: PUB 001C covers manholes up to "&amp;SG_Criteria!$B$42&amp;" m deep only. ","")&amp;IF(AND(LEFT(C206,11)="Rectangular",J206&lt;SG_Criteria!$B$43),"NOTE: 004C is for sewers &gt;= "&amp;SG_Criteria!$B$43&amp;" dia. ","")&amp;IF(AND(LEFT(C206,7)="Precast",I206&lt;=SG_Criteria!$B$42),"NOTE: 006C is for manholes &gt; "&amp;SG_Criteria!$B$42&amp;" m deep. ","")&amp;IF(AND(J206&lt;&gt;"",J206&lt;SG_Criteria!$B$40,C206&lt;&gt;"Inspection Chamber"),"NOTE: public sewer min dia "&amp;SG_Criteria!$B$40&amp;" mm. ","")&amp;IF(AND(R206&lt;&gt;"",R206&lt;SG_Criteria!$B$44),"FAIL: uplift FOS below "&amp;SG_Criteria!$B$44&amp;". ","")))</f>
        <v/>
      </c>
      <c r="AT206" s="9"/>
      <c r="AU206" s="9"/>
      <c r="AV206" s="9"/>
      <c r="AW206" s="9"/>
      <c r="AX206" s="9"/>
      <c r="AY206" s="31"/>
      <c r="AZ206" s="10" t="str">
        <f aca="false">IF(C206="","",IF(AND(AB206="Approved",ISERROR(SEARCH("FAIL",AS206))),"Y","N"))</f>
        <v/>
      </c>
      <c r="BA206" s="10" t="str">
        <f aca="false">IF(C206="","",C206&amp;"|"&amp;I206&amp;"|"&amp;F206&amp;"|"&amp;AZ206)</f>
        <v/>
      </c>
    </row>
    <row r="207" customFormat="false" ht="15" hidden="false" customHeight="false" outlineLevel="0" collapsed="false">
      <c r="A207" s="10" t="str">
        <f aca="false">IF(C207="","","MH-"&amp;IFERROR(VLOOKUP(C207,Lists!$AB$4:$AC$20,2,0),"??")&amp;"-"&amp;TEXT(F207,"0000")&amp;IF(E207="Circular","D","x"&amp;TEXT(G207,"0000"))&amp;"-D"&amp;TEXT(I207*1000,"0000")&amp;"-"&amp;IFERROR(VLOOKUP(D207,Lists!$AE$4:$AF$16,2,0),"??")&amp;"-"&amp;AA207)</f>
        <v/>
      </c>
      <c r="B207" s="10" t="str">
        <f aca="false">IF(C207="","",C207&amp;", "&amp;D207&amp;", "&amp;IF(E207="Circular",F207&amp;" dia",F207&amp;" x "&amp;G207)&amp;", depth "&amp;TEXT(H207,"0.0")&amp;"-"&amp;TEXT(I207,"0.0")&amp;" m, pipe up to "&amp;J207&amp;" dia")</f>
        <v/>
      </c>
      <c r="C207" s="9"/>
      <c r="D207" s="9"/>
      <c r="E207" s="9"/>
      <c r="F207" s="40"/>
      <c r="G207" s="40"/>
      <c r="H207" s="43"/>
      <c r="I207" s="43"/>
      <c r="J207" s="40"/>
      <c r="K207" s="40"/>
      <c r="L207" s="40"/>
      <c r="M207" s="40"/>
      <c r="N207" s="9"/>
      <c r="O207" s="9"/>
      <c r="P207" s="9"/>
      <c r="Q207" s="9"/>
      <c r="R207" s="41"/>
      <c r="S207" s="9"/>
      <c r="T207" s="40"/>
      <c r="U207" s="9"/>
      <c r="V207" s="9"/>
      <c r="W207" s="9"/>
      <c r="X207" s="9"/>
      <c r="Y207" s="9"/>
      <c r="Z207" s="9"/>
      <c r="AA207" s="9"/>
      <c r="AB207" s="9"/>
      <c r="AC207" s="9"/>
      <c r="AD207" s="9"/>
      <c r="AE207" s="9"/>
      <c r="AF207" s="10" t="str">
        <f aca="false">IF(A207="","",SG_Criteria!$B$6&amp;SG_Criteria!$B$10&amp;"\"&amp;A207&amp;"\")</f>
        <v/>
      </c>
      <c r="AG207" s="10" t="str">
        <f aca="false">IF(A207="","",A207&amp;"_CAD.dwg")</f>
        <v/>
      </c>
      <c r="AH207" s="10" t="str">
        <f aca="false">IF(A207="","",A207&amp;"_DWG.pdf")</f>
        <v/>
      </c>
      <c r="AI207" s="10" t="str">
        <f aca="false">IF(A207="","",IF(AE207="Y",A207&amp;"_STAAD.std","n/a"))</f>
        <v/>
      </c>
      <c r="AJ207" s="10" t="str">
        <f aca="false">IF(A207="","",A207&amp;"_CALC.xlsx")</f>
        <v/>
      </c>
      <c r="AK207" s="10" t="str">
        <f aca="false">IF(A207="","",A207&amp;"_CALC.pdf")</f>
        <v/>
      </c>
      <c r="AL207" s="9"/>
      <c r="AM207" s="9"/>
      <c r="AN207" s="41"/>
      <c r="AO207" s="41"/>
      <c r="AP207" s="41"/>
      <c r="AQ207" s="41"/>
      <c r="AR207" s="41"/>
      <c r="AS207" s="38" t="str">
        <f aca="false">IF(C207="","",IF(LEN(IF(AND(S207&lt;&gt;"",IFERROR(VALUE(MID(S207,2,2)),0)&lt;SG_Criteria!$B$19),"FAIL: grade below C"&amp;SG_Criteria!$B$19&amp;". ","")&amp;IF(AND(T207&lt;&gt;"",T207&lt;SG_Criteria!$B$20),"FAIL: cover &lt; "&amp;SG_Criteria!$B$20&amp;" mm. ","")&amp;IF(AND(H207&lt;&gt;"",H207&lt;SG_Criteria!$B$39),"NOTE: min depth below PUB "&amp;SG_Criteria!$B$39&amp;" m. ","")&amp;IF(AND(LEFT(C207,8)="Standard",I207&gt;SG_Criteria!$B$42),"FAIL: PUB 001C covers manholes up to "&amp;SG_Criteria!$B$42&amp;" m deep only. ","")&amp;IF(AND(LEFT(C207,11)="Rectangular",J207&lt;SG_Criteria!$B$43),"NOTE: 004C is for sewers &gt;= "&amp;SG_Criteria!$B$43&amp;" dia. ","")&amp;IF(AND(LEFT(C207,7)="Precast",I207&lt;=SG_Criteria!$B$42),"NOTE: 006C is for manholes &gt; "&amp;SG_Criteria!$B$42&amp;" m deep. ","")&amp;IF(AND(J207&lt;&gt;"",J207&lt;SG_Criteria!$B$40,C207&lt;&gt;"Inspection Chamber"),"NOTE: public sewer min dia "&amp;SG_Criteria!$B$40&amp;" mm. ","")&amp;IF(AND(R207&lt;&gt;"",R207&lt;SG_Criteria!$B$44),"FAIL: uplift FOS below "&amp;SG_Criteria!$B$44&amp;". ",""))=0,"OK",IF(AND(S207&lt;&gt;"",IFERROR(VALUE(MID(S207,2,2)),0)&lt;SG_Criteria!$B$19),"FAIL: grade below C"&amp;SG_Criteria!$B$19&amp;". ","")&amp;IF(AND(T207&lt;&gt;"",T207&lt;SG_Criteria!$B$20),"FAIL: cover &lt; "&amp;SG_Criteria!$B$20&amp;" mm. ","")&amp;IF(AND(H207&lt;&gt;"",H207&lt;SG_Criteria!$B$39),"NOTE: min depth below PUB "&amp;SG_Criteria!$B$39&amp;" m. ","")&amp;IF(AND(LEFT(C207,8)="Standard",I207&gt;SG_Criteria!$B$42),"FAIL: PUB 001C covers manholes up to "&amp;SG_Criteria!$B$42&amp;" m deep only. ","")&amp;IF(AND(LEFT(C207,11)="Rectangular",J207&lt;SG_Criteria!$B$43),"NOTE: 004C is for sewers &gt;= "&amp;SG_Criteria!$B$43&amp;" dia. ","")&amp;IF(AND(LEFT(C207,7)="Precast",I207&lt;=SG_Criteria!$B$42),"NOTE: 006C is for manholes &gt; "&amp;SG_Criteria!$B$42&amp;" m deep. ","")&amp;IF(AND(J207&lt;&gt;"",J207&lt;SG_Criteria!$B$40,C207&lt;&gt;"Inspection Chamber"),"NOTE: public sewer min dia "&amp;SG_Criteria!$B$40&amp;" mm. ","")&amp;IF(AND(R207&lt;&gt;"",R207&lt;SG_Criteria!$B$44),"FAIL: uplift FOS below "&amp;SG_Criteria!$B$44&amp;". ","")))</f>
        <v/>
      </c>
      <c r="AT207" s="9"/>
      <c r="AU207" s="9"/>
      <c r="AV207" s="9"/>
      <c r="AW207" s="9"/>
      <c r="AX207" s="9"/>
      <c r="AY207" s="31"/>
      <c r="AZ207" s="10" t="str">
        <f aca="false">IF(C207="","",IF(AND(AB207="Approved",ISERROR(SEARCH("FAIL",AS207))),"Y","N"))</f>
        <v/>
      </c>
      <c r="BA207" s="10" t="str">
        <f aca="false">IF(C207="","",C207&amp;"|"&amp;I207&amp;"|"&amp;F207&amp;"|"&amp;AZ207)</f>
        <v/>
      </c>
    </row>
    <row r="208" customFormat="false" ht="15" hidden="false" customHeight="false" outlineLevel="0" collapsed="false">
      <c r="A208" s="10" t="str">
        <f aca="false">IF(C208="","","MH-"&amp;IFERROR(VLOOKUP(C208,Lists!$AB$4:$AC$20,2,0),"??")&amp;"-"&amp;TEXT(F208,"0000")&amp;IF(E208="Circular","D","x"&amp;TEXT(G208,"0000"))&amp;"-D"&amp;TEXT(I208*1000,"0000")&amp;"-"&amp;IFERROR(VLOOKUP(D208,Lists!$AE$4:$AF$16,2,0),"??")&amp;"-"&amp;AA208)</f>
        <v/>
      </c>
      <c r="B208" s="10" t="str">
        <f aca="false">IF(C208="","",C208&amp;", "&amp;D208&amp;", "&amp;IF(E208="Circular",F208&amp;" dia",F208&amp;" x "&amp;G208)&amp;", depth "&amp;TEXT(H208,"0.0")&amp;"-"&amp;TEXT(I208,"0.0")&amp;" m, pipe up to "&amp;J208&amp;" dia")</f>
        <v/>
      </c>
      <c r="C208" s="9"/>
      <c r="D208" s="9"/>
      <c r="E208" s="9"/>
      <c r="F208" s="40"/>
      <c r="G208" s="40"/>
      <c r="H208" s="43"/>
      <c r="I208" s="43"/>
      <c r="J208" s="40"/>
      <c r="K208" s="40"/>
      <c r="L208" s="40"/>
      <c r="M208" s="40"/>
      <c r="N208" s="9"/>
      <c r="O208" s="9"/>
      <c r="P208" s="9"/>
      <c r="Q208" s="9"/>
      <c r="R208" s="41"/>
      <c r="S208" s="9"/>
      <c r="T208" s="40"/>
      <c r="U208" s="9"/>
      <c r="V208" s="9"/>
      <c r="W208" s="9"/>
      <c r="X208" s="9"/>
      <c r="Y208" s="9"/>
      <c r="Z208" s="9"/>
      <c r="AA208" s="9"/>
      <c r="AB208" s="9"/>
      <c r="AC208" s="9"/>
      <c r="AD208" s="9"/>
      <c r="AE208" s="9"/>
      <c r="AF208" s="10" t="str">
        <f aca="false">IF(A208="","",SG_Criteria!$B$6&amp;SG_Criteria!$B$10&amp;"\"&amp;A208&amp;"\")</f>
        <v/>
      </c>
      <c r="AG208" s="10" t="str">
        <f aca="false">IF(A208="","",A208&amp;"_CAD.dwg")</f>
        <v/>
      </c>
      <c r="AH208" s="10" t="str">
        <f aca="false">IF(A208="","",A208&amp;"_DWG.pdf")</f>
        <v/>
      </c>
      <c r="AI208" s="10" t="str">
        <f aca="false">IF(A208="","",IF(AE208="Y",A208&amp;"_STAAD.std","n/a"))</f>
        <v/>
      </c>
      <c r="AJ208" s="10" t="str">
        <f aca="false">IF(A208="","",A208&amp;"_CALC.xlsx")</f>
        <v/>
      </c>
      <c r="AK208" s="10" t="str">
        <f aca="false">IF(A208="","",A208&amp;"_CALC.pdf")</f>
        <v/>
      </c>
      <c r="AL208" s="9"/>
      <c r="AM208" s="9"/>
      <c r="AN208" s="41"/>
      <c r="AO208" s="41"/>
      <c r="AP208" s="41"/>
      <c r="AQ208" s="41"/>
      <c r="AR208" s="41"/>
      <c r="AS208" s="38" t="str">
        <f aca="false">IF(C208="","",IF(LEN(IF(AND(S208&lt;&gt;"",IFERROR(VALUE(MID(S208,2,2)),0)&lt;SG_Criteria!$B$19),"FAIL: grade below C"&amp;SG_Criteria!$B$19&amp;". ","")&amp;IF(AND(T208&lt;&gt;"",T208&lt;SG_Criteria!$B$20),"FAIL: cover &lt; "&amp;SG_Criteria!$B$20&amp;" mm. ","")&amp;IF(AND(H208&lt;&gt;"",H208&lt;SG_Criteria!$B$39),"NOTE: min depth below PUB "&amp;SG_Criteria!$B$39&amp;" m. ","")&amp;IF(AND(LEFT(C208,8)="Standard",I208&gt;SG_Criteria!$B$42),"FAIL: PUB 001C covers manholes up to "&amp;SG_Criteria!$B$42&amp;" m deep only. ","")&amp;IF(AND(LEFT(C208,11)="Rectangular",J208&lt;SG_Criteria!$B$43),"NOTE: 004C is for sewers &gt;= "&amp;SG_Criteria!$B$43&amp;" dia. ","")&amp;IF(AND(LEFT(C208,7)="Precast",I208&lt;=SG_Criteria!$B$42),"NOTE: 006C is for manholes &gt; "&amp;SG_Criteria!$B$42&amp;" m deep. ","")&amp;IF(AND(J208&lt;&gt;"",J208&lt;SG_Criteria!$B$40,C208&lt;&gt;"Inspection Chamber"),"NOTE: public sewer min dia "&amp;SG_Criteria!$B$40&amp;" mm. ","")&amp;IF(AND(R208&lt;&gt;"",R208&lt;SG_Criteria!$B$44),"FAIL: uplift FOS below "&amp;SG_Criteria!$B$44&amp;". ",""))=0,"OK",IF(AND(S208&lt;&gt;"",IFERROR(VALUE(MID(S208,2,2)),0)&lt;SG_Criteria!$B$19),"FAIL: grade below C"&amp;SG_Criteria!$B$19&amp;". ","")&amp;IF(AND(T208&lt;&gt;"",T208&lt;SG_Criteria!$B$20),"FAIL: cover &lt; "&amp;SG_Criteria!$B$20&amp;" mm. ","")&amp;IF(AND(H208&lt;&gt;"",H208&lt;SG_Criteria!$B$39),"NOTE: min depth below PUB "&amp;SG_Criteria!$B$39&amp;" m. ","")&amp;IF(AND(LEFT(C208,8)="Standard",I208&gt;SG_Criteria!$B$42),"FAIL: PUB 001C covers manholes up to "&amp;SG_Criteria!$B$42&amp;" m deep only. ","")&amp;IF(AND(LEFT(C208,11)="Rectangular",J208&lt;SG_Criteria!$B$43),"NOTE: 004C is for sewers &gt;= "&amp;SG_Criteria!$B$43&amp;" dia. ","")&amp;IF(AND(LEFT(C208,7)="Precast",I208&lt;=SG_Criteria!$B$42),"NOTE: 006C is for manholes &gt; "&amp;SG_Criteria!$B$42&amp;" m deep. ","")&amp;IF(AND(J208&lt;&gt;"",J208&lt;SG_Criteria!$B$40,C208&lt;&gt;"Inspection Chamber"),"NOTE: public sewer min dia "&amp;SG_Criteria!$B$40&amp;" mm. ","")&amp;IF(AND(R208&lt;&gt;"",R208&lt;SG_Criteria!$B$44),"FAIL: uplift FOS below "&amp;SG_Criteria!$B$44&amp;". ","")))</f>
        <v/>
      </c>
      <c r="AT208" s="9"/>
      <c r="AU208" s="9"/>
      <c r="AV208" s="9"/>
      <c r="AW208" s="9"/>
      <c r="AX208" s="9"/>
      <c r="AY208" s="31"/>
      <c r="AZ208" s="10" t="str">
        <f aca="false">IF(C208="","",IF(AND(AB208="Approved",ISERROR(SEARCH("FAIL",AS208))),"Y","N"))</f>
        <v/>
      </c>
      <c r="BA208" s="10" t="str">
        <f aca="false">IF(C208="","",C208&amp;"|"&amp;I208&amp;"|"&amp;F208&amp;"|"&amp;AZ208)</f>
        <v/>
      </c>
    </row>
    <row r="209" customFormat="false" ht="15" hidden="false" customHeight="false" outlineLevel="0" collapsed="false">
      <c r="A209" s="10" t="str">
        <f aca="false">IF(C209="","","MH-"&amp;IFERROR(VLOOKUP(C209,Lists!$AB$4:$AC$20,2,0),"??")&amp;"-"&amp;TEXT(F209,"0000")&amp;IF(E209="Circular","D","x"&amp;TEXT(G209,"0000"))&amp;"-D"&amp;TEXT(I209*1000,"0000")&amp;"-"&amp;IFERROR(VLOOKUP(D209,Lists!$AE$4:$AF$16,2,0),"??")&amp;"-"&amp;AA209)</f>
        <v/>
      </c>
      <c r="B209" s="10" t="str">
        <f aca="false">IF(C209="","",C209&amp;", "&amp;D209&amp;", "&amp;IF(E209="Circular",F209&amp;" dia",F209&amp;" x "&amp;G209)&amp;", depth "&amp;TEXT(H209,"0.0")&amp;"-"&amp;TEXT(I209,"0.0")&amp;" m, pipe up to "&amp;J209&amp;" dia")</f>
        <v/>
      </c>
      <c r="C209" s="9"/>
      <c r="D209" s="9"/>
      <c r="E209" s="9"/>
      <c r="F209" s="40"/>
      <c r="G209" s="40"/>
      <c r="H209" s="43"/>
      <c r="I209" s="43"/>
      <c r="J209" s="40"/>
      <c r="K209" s="40"/>
      <c r="L209" s="40"/>
      <c r="M209" s="40"/>
      <c r="N209" s="9"/>
      <c r="O209" s="9"/>
      <c r="P209" s="9"/>
      <c r="Q209" s="9"/>
      <c r="R209" s="41"/>
      <c r="S209" s="9"/>
      <c r="T209" s="40"/>
      <c r="U209" s="9"/>
      <c r="V209" s="9"/>
      <c r="W209" s="9"/>
      <c r="X209" s="9"/>
      <c r="Y209" s="9"/>
      <c r="Z209" s="9"/>
      <c r="AA209" s="9"/>
      <c r="AB209" s="9"/>
      <c r="AC209" s="9"/>
      <c r="AD209" s="9"/>
      <c r="AE209" s="9"/>
      <c r="AF209" s="10" t="str">
        <f aca="false">IF(A209="","",SG_Criteria!$B$6&amp;SG_Criteria!$B$10&amp;"\"&amp;A209&amp;"\")</f>
        <v/>
      </c>
      <c r="AG209" s="10" t="str">
        <f aca="false">IF(A209="","",A209&amp;"_CAD.dwg")</f>
        <v/>
      </c>
      <c r="AH209" s="10" t="str">
        <f aca="false">IF(A209="","",A209&amp;"_DWG.pdf")</f>
        <v/>
      </c>
      <c r="AI209" s="10" t="str">
        <f aca="false">IF(A209="","",IF(AE209="Y",A209&amp;"_STAAD.std","n/a"))</f>
        <v/>
      </c>
      <c r="AJ209" s="10" t="str">
        <f aca="false">IF(A209="","",A209&amp;"_CALC.xlsx")</f>
        <v/>
      </c>
      <c r="AK209" s="10" t="str">
        <f aca="false">IF(A209="","",A209&amp;"_CALC.pdf")</f>
        <v/>
      </c>
      <c r="AL209" s="9"/>
      <c r="AM209" s="9"/>
      <c r="AN209" s="41"/>
      <c r="AO209" s="41"/>
      <c r="AP209" s="41"/>
      <c r="AQ209" s="41"/>
      <c r="AR209" s="41"/>
      <c r="AS209" s="38" t="str">
        <f aca="false">IF(C209="","",IF(LEN(IF(AND(S209&lt;&gt;"",IFERROR(VALUE(MID(S209,2,2)),0)&lt;SG_Criteria!$B$19),"FAIL: grade below C"&amp;SG_Criteria!$B$19&amp;". ","")&amp;IF(AND(T209&lt;&gt;"",T209&lt;SG_Criteria!$B$20),"FAIL: cover &lt; "&amp;SG_Criteria!$B$20&amp;" mm. ","")&amp;IF(AND(H209&lt;&gt;"",H209&lt;SG_Criteria!$B$39),"NOTE: min depth below PUB "&amp;SG_Criteria!$B$39&amp;" m. ","")&amp;IF(AND(LEFT(C209,8)="Standard",I209&gt;SG_Criteria!$B$42),"FAIL: PUB 001C covers manholes up to "&amp;SG_Criteria!$B$42&amp;" m deep only. ","")&amp;IF(AND(LEFT(C209,11)="Rectangular",J209&lt;SG_Criteria!$B$43),"NOTE: 004C is for sewers &gt;= "&amp;SG_Criteria!$B$43&amp;" dia. ","")&amp;IF(AND(LEFT(C209,7)="Precast",I209&lt;=SG_Criteria!$B$42),"NOTE: 006C is for manholes &gt; "&amp;SG_Criteria!$B$42&amp;" m deep. ","")&amp;IF(AND(J209&lt;&gt;"",J209&lt;SG_Criteria!$B$40,C209&lt;&gt;"Inspection Chamber"),"NOTE: public sewer min dia "&amp;SG_Criteria!$B$40&amp;" mm. ","")&amp;IF(AND(R209&lt;&gt;"",R209&lt;SG_Criteria!$B$44),"FAIL: uplift FOS below "&amp;SG_Criteria!$B$44&amp;". ",""))=0,"OK",IF(AND(S209&lt;&gt;"",IFERROR(VALUE(MID(S209,2,2)),0)&lt;SG_Criteria!$B$19),"FAIL: grade below C"&amp;SG_Criteria!$B$19&amp;". ","")&amp;IF(AND(T209&lt;&gt;"",T209&lt;SG_Criteria!$B$20),"FAIL: cover &lt; "&amp;SG_Criteria!$B$20&amp;" mm. ","")&amp;IF(AND(H209&lt;&gt;"",H209&lt;SG_Criteria!$B$39),"NOTE: min depth below PUB "&amp;SG_Criteria!$B$39&amp;" m. ","")&amp;IF(AND(LEFT(C209,8)="Standard",I209&gt;SG_Criteria!$B$42),"FAIL: PUB 001C covers manholes up to "&amp;SG_Criteria!$B$42&amp;" m deep only. ","")&amp;IF(AND(LEFT(C209,11)="Rectangular",J209&lt;SG_Criteria!$B$43),"NOTE: 004C is for sewers &gt;= "&amp;SG_Criteria!$B$43&amp;" dia. ","")&amp;IF(AND(LEFT(C209,7)="Precast",I209&lt;=SG_Criteria!$B$42),"NOTE: 006C is for manholes &gt; "&amp;SG_Criteria!$B$42&amp;" m deep. ","")&amp;IF(AND(J209&lt;&gt;"",J209&lt;SG_Criteria!$B$40,C209&lt;&gt;"Inspection Chamber"),"NOTE: public sewer min dia "&amp;SG_Criteria!$B$40&amp;" mm. ","")&amp;IF(AND(R209&lt;&gt;"",R209&lt;SG_Criteria!$B$44),"FAIL: uplift FOS below "&amp;SG_Criteria!$B$44&amp;". ","")))</f>
        <v/>
      </c>
      <c r="AT209" s="9"/>
      <c r="AU209" s="9"/>
      <c r="AV209" s="9"/>
      <c r="AW209" s="9"/>
      <c r="AX209" s="9"/>
      <c r="AY209" s="31"/>
      <c r="AZ209" s="10" t="str">
        <f aca="false">IF(C209="","",IF(AND(AB209="Approved",ISERROR(SEARCH("FAIL",AS209))),"Y","N"))</f>
        <v/>
      </c>
      <c r="BA209" s="10" t="str">
        <f aca="false">IF(C209="","",C209&amp;"|"&amp;I209&amp;"|"&amp;F209&amp;"|"&amp;AZ209)</f>
        <v/>
      </c>
    </row>
    <row r="210" customFormat="false" ht="15" hidden="false" customHeight="false" outlineLevel="0" collapsed="false">
      <c r="A210" s="10" t="str">
        <f aca="false">IF(C210="","","MH-"&amp;IFERROR(VLOOKUP(C210,Lists!$AB$4:$AC$20,2,0),"??")&amp;"-"&amp;TEXT(F210,"0000")&amp;IF(E210="Circular","D","x"&amp;TEXT(G210,"0000"))&amp;"-D"&amp;TEXT(I210*1000,"0000")&amp;"-"&amp;IFERROR(VLOOKUP(D210,Lists!$AE$4:$AF$16,2,0),"??")&amp;"-"&amp;AA210)</f>
        <v/>
      </c>
      <c r="B210" s="10" t="str">
        <f aca="false">IF(C210="","",C210&amp;", "&amp;D210&amp;", "&amp;IF(E210="Circular",F210&amp;" dia",F210&amp;" x "&amp;G210)&amp;", depth "&amp;TEXT(H210,"0.0")&amp;"-"&amp;TEXT(I210,"0.0")&amp;" m, pipe up to "&amp;J210&amp;" dia")</f>
        <v/>
      </c>
      <c r="C210" s="9"/>
      <c r="D210" s="9"/>
      <c r="E210" s="9"/>
      <c r="F210" s="40"/>
      <c r="G210" s="40"/>
      <c r="H210" s="43"/>
      <c r="I210" s="43"/>
      <c r="J210" s="40"/>
      <c r="K210" s="40"/>
      <c r="L210" s="40"/>
      <c r="M210" s="40"/>
      <c r="N210" s="9"/>
      <c r="O210" s="9"/>
      <c r="P210" s="9"/>
      <c r="Q210" s="9"/>
      <c r="R210" s="41"/>
      <c r="S210" s="9"/>
      <c r="T210" s="40"/>
      <c r="U210" s="9"/>
      <c r="V210" s="9"/>
      <c r="W210" s="9"/>
      <c r="X210" s="9"/>
      <c r="Y210" s="9"/>
      <c r="Z210" s="9"/>
      <c r="AA210" s="9"/>
      <c r="AB210" s="9"/>
      <c r="AC210" s="9"/>
      <c r="AD210" s="9"/>
      <c r="AE210" s="9"/>
      <c r="AF210" s="10" t="str">
        <f aca="false">IF(A210="","",SG_Criteria!$B$6&amp;SG_Criteria!$B$10&amp;"\"&amp;A210&amp;"\")</f>
        <v/>
      </c>
      <c r="AG210" s="10" t="str">
        <f aca="false">IF(A210="","",A210&amp;"_CAD.dwg")</f>
        <v/>
      </c>
      <c r="AH210" s="10" t="str">
        <f aca="false">IF(A210="","",A210&amp;"_DWG.pdf")</f>
        <v/>
      </c>
      <c r="AI210" s="10" t="str">
        <f aca="false">IF(A210="","",IF(AE210="Y",A210&amp;"_STAAD.std","n/a"))</f>
        <v/>
      </c>
      <c r="AJ210" s="10" t="str">
        <f aca="false">IF(A210="","",A210&amp;"_CALC.xlsx")</f>
        <v/>
      </c>
      <c r="AK210" s="10" t="str">
        <f aca="false">IF(A210="","",A210&amp;"_CALC.pdf")</f>
        <v/>
      </c>
      <c r="AL210" s="9"/>
      <c r="AM210" s="9"/>
      <c r="AN210" s="41"/>
      <c r="AO210" s="41"/>
      <c r="AP210" s="41"/>
      <c r="AQ210" s="41"/>
      <c r="AR210" s="41"/>
      <c r="AS210" s="38" t="str">
        <f aca="false">IF(C210="","",IF(LEN(IF(AND(S210&lt;&gt;"",IFERROR(VALUE(MID(S210,2,2)),0)&lt;SG_Criteria!$B$19),"FAIL: grade below C"&amp;SG_Criteria!$B$19&amp;". ","")&amp;IF(AND(T210&lt;&gt;"",T210&lt;SG_Criteria!$B$20),"FAIL: cover &lt; "&amp;SG_Criteria!$B$20&amp;" mm. ","")&amp;IF(AND(H210&lt;&gt;"",H210&lt;SG_Criteria!$B$39),"NOTE: min depth below PUB "&amp;SG_Criteria!$B$39&amp;" m. ","")&amp;IF(AND(LEFT(C210,8)="Standard",I210&gt;SG_Criteria!$B$42),"FAIL: PUB 001C covers manholes up to "&amp;SG_Criteria!$B$42&amp;" m deep only. ","")&amp;IF(AND(LEFT(C210,11)="Rectangular",J210&lt;SG_Criteria!$B$43),"NOTE: 004C is for sewers &gt;= "&amp;SG_Criteria!$B$43&amp;" dia. ","")&amp;IF(AND(LEFT(C210,7)="Precast",I210&lt;=SG_Criteria!$B$42),"NOTE: 006C is for manholes &gt; "&amp;SG_Criteria!$B$42&amp;" m deep. ","")&amp;IF(AND(J210&lt;&gt;"",J210&lt;SG_Criteria!$B$40,C210&lt;&gt;"Inspection Chamber"),"NOTE: public sewer min dia "&amp;SG_Criteria!$B$40&amp;" mm. ","")&amp;IF(AND(R210&lt;&gt;"",R210&lt;SG_Criteria!$B$44),"FAIL: uplift FOS below "&amp;SG_Criteria!$B$44&amp;". ",""))=0,"OK",IF(AND(S210&lt;&gt;"",IFERROR(VALUE(MID(S210,2,2)),0)&lt;SG_Criteria!$B$19),"FAIL: grade below C"&amp;SG_Criteria!$B$19&amp;". ","")&amp;IF(AND(T210&lt;&gt;"",T210&lt;SG_Criteria!$B$20),"FAIL: cover &lt; "&amp;SG_Criteria!$B$20&amp;" mm. ","")&amp;IF(AND(H210&lt;&gt;"",H210&lt;SG_Criteria!$B$39),"NOTE: min depth below PUB "&amp;SG_Criteria!$B$39&amp;" m. ","")&amp;IF(AND(LEFT(C210,8)="Standard",I210&gt;SG_Criteria!$B$42),"FAIL: PUB 001C covers manholes up to "&amp;SG_Criteria!$B$42&amp;" m deep only. ","")&amp;IF(AND(LEFT(C210,11)="Rectangular",J210&lt;SG_Criteria!$B$43),"NOTE: 004C is for sewers &gt;= "&amp;SG_Criteria!$B$43&amp;" dia. ","")&amp;IF(AND(LEFT(C210,7)="Precast",I210&lt;=SG_Criteria!$B$42),"NOTE: 006C is for manholes &gt; "&amp;SG_Criteria!$B$42&amp;" m deep. ","")&amp;IF(AND(J210&lt;&gt;"",J210&lt;SG_Criteria!$B$40,C210&lt;&gt;"Inspection Chamber"),"NOTE: public sewer min dia "&amp;SG_Criteria!$B$40&amp;" mm. ","")&amp;IF(AND(R210&lt;&gt;"",R210&lt;SG_Criteria!$B$44),"FAIL: uplift FOS below "&amp;SG_Criteria!$B$44&amp;". ","")))</f>
        <v/>
      </c>
      <c r="AT210" s="9"/>
      <c r="AU210" s="9"/>
      <c r="AV210" s="9"/>
      <c r="AW210" s="9"/>
      <c r="AX210" s="9"/>
      <c r="AY210" s="31"/>
      <c r="AZ210" s="10" t="str">
        <f aca="false">IF(C210="","",IF(AND(AB210="Approved",ISERROR(SEARCH("FAIL",AS210))),"Y","N"))</f>
        <v/>
      </c>
      <c r="BA210" s="10" t="str">
        <f aca="false">IF(C210="","",C210&amp;"|"&amp;I210&amp;"|"&amp;F210&amp;"|"&amp;AZ210)</f>
        <v/>
      </c>
    </row>
    <row r="211" customFormat="false" ht="15" hidden="false" customHeight="false" outlineLevel="0" collapsed="false">
      <c r="A211" s="10" t="str">
        <f aca="false">IF(C211="","","MH-"&amp;IFERROR(VLOOKUP(C211,Lists!$AB$4:$AC$20,2,0),"??")&amp;"-"&amp;TEXT(F211,"0000")&amp;IF(E211="Circular","D","x"&amp;TEXT(G211,"0000"))&amp;"-D"&amp;TEXT(I211*1000,"0000")&amp;"-"&amp;IFERROR(VLOOKUP(D211,Lists!$AE$4:$AF$16,2,0),"??")&amp;"-"&amp;AA211)</f>
        <v/>
      </c>
      <c r="B211" s="10" t="str">
        <f aca="false">IF(C211="","",C211&amp;", "&amp;D211&amp;", "&amp;IF(E211="Circular",F211&amp;" dia",F211&amp;" x "&amp;G211)&amp;", depth "&amp;TEXT(H211,"0.0")&amp;"-"&amp;TEXT(I211,"0.0")&amp;" m, pipe up to "&amp;J211&amp;" dia")</f>
        <v/>
      </c>
      <c r="C211" s="9"/>
      <c r="D211" s="9"/>
      <c r="E211" s="9"/>
      <c r="F211" s="40"/>
      <c r="G211" s="40"/>
      <c r="H211" s="43"/>
      <c r="I211" s="43"/>
      <c r="J211" s="40"/>
      <c r="K211" s="40"/>
      <c r="L211" s="40"/>
      <c r="M211" s="40"/>
      <c r="N211" s="9"/>
      <c r="O211" s="9"/>
      <c r="P211" s="9"/>
      <c r="Q211" s="9"/>
      <c r="R211" s="41"/>
      <c r="S211" s="9"/>
      <c r="T211" s="40"/>
      <c r="U211" s="9"/>
      <c r="V211" s="9"/>
      <c r="W211" s="9"/>
      <c r="X211" s="9"/>
      <c r="Y211" s="9"/>
      <c r="Z211" s="9"/>
      <c r="AA211" s="9"/>
      <c r="AB211" s="9"/>
      <c r="AC211" s="9"/>
      <c r="AD211" s="9"/>
      <c r="AE211" s="9"/>
      <c r="AF211" s="10" t="str">
        <f aca="false">IF(A211="","",SG_Criteria!$B$6&amp;SG_Criteria!$B$10&amp;"\"&amp;A211&amp;"\")</f>
        <v/>
      </c>
      <c r="AG211" s="10" t="str">
        <f aca="false">IF(A211="","",A211&amp;"_CAD.dwg")</f>
        <v/>
      </c>
      <c r="AH211" s="10" t="str">
        <f aca="false">IF(A211="","",A211&amp;"_DWG.pdf")</f>
        <v/>
      </c>
      <c r="AI211" s="10" t="str">
        <f aca="false">IF(A211="","",IF(AE211="Y",A211&amp;"_STAAD.std","n/a"))</f>
        <v/>
      </c>
      <c r="AJ211" s="10" t="str">
        <f aca="false">IF(A211="","",A211&amp;"_CALC.xlsx")</f>
        <v/>
      </c>
      <c r="AK211" s="10" t="str">
        <f aca="false">IF(A211="","",A211&amp;"_CALC.pdf")</f>
        <v/>
      </c>
      <c r="AL211" s="9"/>
      <c r="AM211" s="9"/>
      <c r="AN211" s="41"/>
      <c r="AO211" s="41"/>
      <c r="AP211" s="41"/>
      <c r="AQ211" s="41"/>
      <c r="AR211" s="41"/>
      <c r="AS211" s="38" t="str">
        <f aca="false">IF(C211="","",IF(LEN(IF(AND(S211&lt;&gt;"",IFERROR(VALUE(MID(S211,2,2)),0)&lt;SG_Criteria!$B$19),"FAIL: grade below C"&amp;SG_Criteria!$B$19&amp;". ","")&amp;IF(AND(T211&lt;&gt;"",T211&lt;SG_Criteria!$B$20),"FAIL: cover &lt; "&amp;SG_Criteria!$B$20&amp;" mm. ","")&amp;IF(AND(H211&lt;&gt;"",H211&lt;SG_Criteria!$B$39),"NOTE: min depth below PUB "&amp;SG_Criteria!$B$39&amp;" m. ","")&amp;IF(AND(LEFT(C211,8)="Standard",I211&gt;SG_Criteria!$B$42),"FAIL: PUB 001C covers manholes up to "&amp;SG_Criteria!$B$42&amp;" m deep only. ","")&amp;IF(AND(LEFT(C211,11)="Rectangular",J211&lt;SG_Criteria!$B$43),"NOTE: 004C is for sewers &gt;= "&amp;SG_Criteria!$B$43&amp;" dia. ","")&amp;IF(AND(LEFT(C211,7)="Precast",I211&lt;=SG_Criteria!$B$42),"NOTE: 006C is for manholes &gt; "&amp;SG_Criteria!$B$42&amp;" m deep. ","")&amp;IF(AND(J211&lt;&gt;"",J211&lt;SG_Criteria!$B$40,C211&lt;&gt;"Inspection Chamber"),"NOTE: public sewer min dia "&amp;SG_Criteria!$B$40&amp;" mm. ","")&amp;IF(AND(R211&lt;&gt;"",R211&lt;SG_Criteria!$B$44),"FAIL: uplift FOS below "&amp;SG_Criteria!$B$44&amp;". ",""))=0,"OK",IF(AND(S211&lt;&gt;"",IFERROR(VALUE(MID(S211,2,2)),0)&lt;SG_Criteria!$B$19),"FAIL: grade below C"&amp;SG_Criteria!$B$19&amp;". ","")&amp;IF(AND(T211&lt;&gt;"",T211&lt;SG_Criteria!$B$20),"FAIL: cover &lt; "&amp;SG_Criteria!$B$20&amp;" mm. ","")&amp;IF(AND(H211&lt;&gt;"",H211&lt;SG_Criteria!$B$39),"NOTE: min depth below PUB "&amp;SG_Criteria!$B$39&amp;" m. ","")&amp;IF(AND(LEFT(C211,8)="Standard",I211&gt;SG_Criteria!$B$42),"FAIL: PUB 001C covers manholes up to "&amp;SG_Criteria!$B$42&amp;" m deep only. ","")&amp;IF(AND(LEFT(C211,11)="Rectangular",J211&lt;SG_Criteria!$B$43),"NOTE: 004C is for sewers &gt;= "&amp;SG_Criteria!$B$43&amp;" dia. ","")&amp;IF(AND(LEFT(C211,7)="Precast",I211&lt;=SG_Criteria!$B$42),"NOTE: 006C is for manholes &gt; "&amp;SG_Criteria!$B$42&amp;" m deep. ","")&amp;IF(AND(J211&lt;&gt;"",J211&lt;SG_Criteria!$B$40,C211&lt;&gt;"Inspection Chamber"),"NOTE: public sewer min dia "&amp;SG_Criteria!$B$40&amp;" mm. ","")&amp;IF(AND(R211&lt;&gt;"",R211&lt;SG_Criteria!$B$44),"FAIL: uplift FOS below "&amp;SG_Criteria!$B$44&amp;". ","")))</f>
        <v/>
      </c>
      <c r="AT211" s="9"/>
      <c r="AU211" s="9"/>
      <c r="AV211" s="9"/>
      <c r="AW211" s="9"/>
      <c r="AX211" s="9"/>
      <c r="AY211" s="31"/>
      <c r="AZ211" s="10" t="str">
        <f aca="false">IF(C211="","",IF(AND(AB211="Approved",ISERROR(SEARCH("FAIL",AS211))),"Y","N"))</f>
        <v/>
      </c>
      <c r="BA211" s="10" t="str">
        <f aca="false">IF(C211="","",C211&amp;"|"&amp;I211&amp;"|"&amp;F211&amp;"|"&amp;AZ211)</f>
        <v/>
      </c>
    </row>
    <row r="212" customFormat="false" ht="15" hidden="false" customHeight="false" outlineLevel="0" collapsed="false">
      <c r="A212" s="10" t="str">
        <f aca="false">IF(C212="","","MH-"&amp;IFERROR(VLOOKUP(C212,Lists!$AB$4:$AC$20,2,0),"??")&amp;"-"&amp;TEXT(F212,"0000")&amp;IF(E212="Circular","D","x"&amp;TEXT(G212,"0000"))&amp;"-D"&amp;TEXT(I212*1000,"0000")&amp;"-"&amp;IFERROR(VLOOKUP(D212,Lists!$AE$4:$AF$16,2,0),"??")&amp;"-"&amp;AA212)</f>
        <v/>
      </c>
      <c r="B212" s="10" t="str">
        <f aca="false">IF(C212="","",C212&amp;", "&amp;D212&amp;", "&amp;IF(E212="Circular",F212&amp;" dia",F212&amp;" x "&amp;G212)&amp;", depth "&amp;TEXT(H212,"0.0")&amp;"-"&amp;TEXT(I212,"0.0")&amp;" m, pipe up to "&amp;J212&amp;" dia")</f>
        <v/>
      </c>
      <c r="C212" s="9"/>
      <c r="D212" s="9"/>
      <c r="E212" s="9"/>
      <c r="F212" s="40"/>
      <c r="G212" s="40"/>
      <c r="H212" s="43"/>
      <c r="I212" s="43"/>
      <c r="J212" s="40"/>
      <c r="K212" s="40"/>
      <c r="L212" s="40"/>
      <c r="M212" s="40"/>
      <c r="N212" s="9"/>
      <c r="O212" s="9"/>
      <c r="P212" s="9"/>
      <c r="Q212" s="9"/>
      <c r="R212" s="41"/>
      <c r="S212" s="9"/>
      <c r="T212" s="40"/>
      <c r="U212" s="9"/>
      <c r="V212" s="9"/>
      <c r="W212" s="9"/>
      <c r="X212" s="9"/>
      <c r="Y212" s="9"/>
      <c r="Z212" s="9"/>
      <c r="AA212" s="9"/>
      <c r="AB212" s="9"/>
      <c r="AC212" s="9"/>
      <c r="AD212" s="9"/>
      <c r="AE212" s="9"/>
      <c r="AF212" s="10" t="str">
        <f aca="false">IF(A212="","",SG_Criteria!$B$6&amp;SG_Criteria!$B$10&amp;"\"&amp;A212&amp;"\")</f>
        <v/>
      </c>
      <c r="AG212" s="10" t="str">
        <f aca="false">IF(A212="","",A212&amp;"_CAD.dwg")</f>
        <v/>
      </c>
      <c r="AH212" s="10" t="str">
        <f aca="false">IF(A212="","",A212&amp;"_DWG.pdf")</f>
        <v/>
      </c>
      <c r="AI212" s="10" t="str">
        <f aca="false">IF(A212="","",IF(AE212="Y",A212&amp;"_STAAD.std","n/a"))</f>
        <v/>
      </c>
      <c r="AJ212" s="10" t="str">
        <f aca="false">IF(A212="","",A212&amp;"_CALC.xlsx")</f>
        <v/>
      </c>
      <c r="AK212" s="10" t="str">
        <f aca="false">IF(A212="","",A212&amp;"_CALC.pdf")</f>
        <v/>
      </c>
      <c r="AL212" s="9"/>
      <c r="AM212" s="9"/>
      <c r="AN212" s="41"/>
      <c r="AO212" s="41"/>
      <c r="AP212" s="41"/>
      <c r="AQ212" s="41"/>
      <c r="AR212" s="41"/>
      <c r="AS212" s="38" t="str">
        <f aca="false">IF(C212="","",IF(LEN(IF(AND(S212&lt;&gt;"",IFERROR(VALUE(MID(S212,2,2)),0)&lt;SG_Criteria!$B$19),"FAIL: grade below C"&amp;SG_Criteria!$B$19&amp;". ","")&amp;IF(AND(T212&lt;&gt;"",T212&lt;SG_Criteria!$B$20),"FAIL: cover &lt; "&amp;SG_Criteria!$B$20&amp;" mm. ","")&amp;IF(AND(H212&lt;&gt;"",H212&lt;SG_Criteria!$B$39),"NOTE: min depth below PUB "&amp;SG_Criteria!$B$39&amp;" m. ","")&amp;IF(AND(LEFT(C212,8)="Standard",I212&gt;SG_Criteria!$B$42),"FAIL: PUB 001C covers manholes up to "&amp;SG_Criteria!$B$42&amp;" m deep only. ","")&amp;IF(AND(LEFT(C212,11)="Rectangular",J212&lt;SG_Criteria!$B$43),"NOTE: 004C is for sewers &gt;= "&amp;SG_Criteria!$B$43&amp;" dia. ","")&amp;IF(AND(LEFT(C212,7)="Precast",I212&lt;=SG_Criteria!$B$42),"NOTE: 006C is for manholes &gt; "&amp;SG_Criteria!$B$42&amp;" m deep. ","")&amp;IF(AND(J212&lt;&gt;"",J212&lt;SG_Criteria!$B$40,C212&lt;&gt;"Inspection Chamber"),"NOTE: public sewer min dia "&amp;SG_Criteria!$B$40&amp;" mm. ","")&amp;IF(AND(R212&lt;&gt;"",R212&lt;SG_Criteria!$B$44),"FAIL: uplift FOS below "&amp;SG_Criteria!$B$44&amp;". ",""))=0,"OK",IF(AND(S212&lt;&gt;"",IFERROR(VALUE(MID(S212,2,2)),0)&lt;SG_Criteria!$B$19),"FAIL: grade below C"&amp;SG_Criteria!$B$19&amp;". ","")&amp;IF(AND(T212&lt;&gt;"",T212&lt;SG_Criteria!$B$20),"FAIL: cover &lt; "&amp;SG_Criteria!$B$20&amp;" mm. ","")&amp;IF(AND(H212&lt;&gt;"",H212&lt;SG_Criteria!$B$39),"NOTE: min depth below PUB "&amp;SG_Criteria!$B$39&amp;" m. ","")&amp;IF(AND(LEFT(C212,8)="Standard",I212&gt;SG_Criteria!$B$42),"FAIL: PUB 001C covers manholes up to "&amp;SG_Criteria!$B$42&amp;" m deep only. ","")&amp;IF(AND(LEFT(C212,11)="Rectangular",J212&lt;SG_Criteria!$B$43),"NOTE: 004C is for sewers &gt;= "&amp;SG_Criteria!$B$43&amp;" dia. ","")&amp;IF(AND(LEFT(C212,7)="Precast",I212&lt;=SG_Criteria!$B$42),"NOTE: 006C is for manholes &gt; "&amp;SG_Criteria!$B$42&amp;" m deep. ","")&amp;IF(AND(J212&lt;&gt;"",J212&lt;SG_Criteria!$B$40,C212&lt;&gt;"Inspection Chamber"),"NOTE: public sewer min dia "&amp;SG_Criteria!$B$40&amp;" mm. ","")&amp;IF(AND(R212&lt;&gt;"",R212&lt;SG_Criteria!$B$44),"FAIL: uplift FOS below "&amp;SG_Criteria!$B$44&amp;". ","")))</f>
        <v/>
      </c>
      <c r="AT212" s="9"/>
      <c r="AU212" s="9"/>
      <c r="AV212" s="9"/>
      <c r="AW212" s="9"/>
      <c r="AX212" s="9"/>
      <c r="AY212" s="31"/>
      <c r="AZ212" s="10" t="str">
        <f aca="false">IF(C212="","",IF(AND(AB212="Approved",ISERROR(SEARCH("FAIL",AS212))),"Y","N"))</f>
        <v/>
      </c>
      <c r="BA212" s="10" t="str">
        <f aca="false">IF(C212="","",C212&amp;"|"&amp;I212&amp;"|"&amp;F212&amp;"|"&amp;AZ212)</f>
        <v/>
      </c>
    </row>
    <row r="213" customFormat="false" ht="15" hidden="false" customHeight="false" outlineLevel="0" collapsed="false">
      <c r="A213" s="10" t="str">
        <f aca="false">IF(C213="","","MH-"&amp;IFERROR(VLOOKUP(C213,Lists!$AB$4:$AC$20,2,0),"??")&amp;"-"&amp;TEXT(F213,"0000")&amp;IF(E213="Circular","D","x"&amp;TEXT(G213,"0000"))&amp;"-D"&amp;TEXT(I213*1000,"0000")&amp;"-"&amp;IFERROR(VLOOKUP(D213,Lists!$AE$4:$AF$16,2,0),"??")&amp;"-"&amp;AA213)</f>
        <v/>
      </c>
      <c r="B213" s="10" t="str">
        <f aca="false">IF(C213="","",C213&amp;", "&amp;D213&amp;", "&amp;IF(E213="Circular",F213&amp;" dia",F213&amp;" x "&amp;G213)&amp;", depth "&amp;TEXT(H213,"0.0")&amp;"-"&amp;TEXT(I213,"0.0")&amp;" m, pipe up to "&amp;J213&amp;" dia")</f>
        <v/>
      </c>
      <c r="C213" s="9"/>
      <c r="D213" s="9"/>
      <c r="E213" s="9"/>
      <c r="F213" s="40"/>
      <c r="G213" s="40"/>
      <c r="H213" s="43"/>
      <c r="I213" s="43"/>
      <c r="J213" s="40"/>
      <c r="K213" s="40"/>
      <c r="L213" s="40"/>
      <c r="M213" s="40"/>
      <c r="N213" s="9"/>
      <c r="O213" s="9"/>
      <c r="P213" s="9"/>
      <c r="Q213" s="9"/>
      <c r="R213" s="41"/>
      <c r="S213" s="9"/>
      <c r="T213" s="40"/>
      <c r="U213" s="9"/>
      <c r="V213" s="9"/>
      <c r="W213" s="9"/>
      <c r="X213" s="9"/>
      <c r="Y213" s="9"/>
      <c r="Z213" s="9"/>
      <c r="AA213" s="9"/>
      <c r="AB213" s="9"/>
      <c r="AC213" s="9"/>
      <c r="AD213" s="9"/>
      <c r="AE213" s="9"/>
      <c r="AF213" s="10" t="str">
        <f aca="false">IF(A213="","",SG_Criteria!$B$6&amp;SG_Criteria!$B$10&amp;"\"&amp;A213&amp;"\")</f>
        <v/>
      </c>
      <c r="AG213" s="10" t="str">
        <f aca="false">IF(A213="","",A213&amp;"_CAD.dwg")</f>
        <v/>
      </c>
      <c r="AH213" s="10" t="str">
        <f aca="false">IF(A213="","",A213&amp;"_DWG.pdf")</f>
        <v/>
      </c>
      <c r="AI213" s="10" t="str">
        <f aca="false">IF(A213="","",IF(AE213="Y",A213&amp;"_STAAD.std","n/a"))</f>
        <v/>
      </c>
      <c r="AJ213" s="10" t="str">
        <f aca="false">IF(A213="","",A213&amp;"_CALC.xlsx")</f>
        <v/>
      </c>
      <c r="AK213" s="10" t="str">
        <f aca="false">IF(A213="","",A213&amp;"_CALC.pdf")</f>
        <v/>
      </c>
      <c r="AL213" s="9"/>
      <c r="AM213" s="9"/>
      <c r="AN213" s="41"/>
      <c r="AO213" s="41"/>
      <c r="AP213" s="41"/>
      <c r="AQ213" s="41"/>
      <c r="AR213" s="41"/>
      <c r="AS213" s="38" t="str">
        <f aca="false">IF(C213="","",IF(LEN(IF(AND(S213&lt;&gt;"",IFERROR(VALUE(MID(S213,2,2)),0)&lt;SG_Criteria!$B$19),"FAIL: grade below C"&amp;SG_Criteria!$B$19&amp;". ","")&amp;IF(AND(T213&lt;&gt;"",T213&lt;SG_Criteria!$B$20),"FAIL: cover &lt; "&amp;SG_Criteria!$B$20&amp;" mm. ","")&amp;IF(AND(H213&lt;&gt;"",H213&lt;SG_Criteria!$B$39),"NOTE: min depth below PUB "&amp;SG_Criteria!$B$39&amp;" m. ","")&amp;IF(AND(LEFT(C213,8)="Standard",I213&gt;SG_Criteria!$B$42),"FAIL: PUB 001C covers manholes up to "&amp;SG_Criteria!$B$42&amp;" m deep only. ","")&amp;IF(AND(LEFT(C213,11)="Rectangular",J213&lt;SG_Criteria!$B$43),"NOTE: 004C is for sewers &gt;= "&amp;SG_Criteria!$B$43&amp;" dia. ","")&amp;IF(AND(LEFT(C213,7)="Precast",I213&lt;=SG_Criteria!$B$42),"NOTE: 006C is for manholes &gt; "&amp;SG_Criteria!$B$42&amp;" m deep. ","")&amp;IF(AND(J213&lt;&gt;"",J213&lt;SG_Criteria!$B$40,C213&lt;&gt;"Inspection Chamber"),"NOTE: public sewer min dia "&amp;SG_Criteria!$B$40&amp;" mm. ","")&amp;IF(AND(R213&lt;&gt;"",R213&lt;SG_Criteria!$B$44),"FAIL: uplift FOS below "&amp;SG_Criteria!$B$44&amp;". ",""))=0,"OK",IF(AND(S213&lt;&gt;"",IFERROR(VALUE(MID(S213,2,2)),0)&lt;SG_Criteria!$B$19),"FAIL: grade below C"&amp;SG_Criteria!$B$19&amp;". ","")&amp;IF(AND(T213&lt;&gt;"",T213&lt;SG_Criteria!$B$20),"FAIL: cover &lt; "&amp;SG_Criteria!$B$20&amp;" mm. ","")&amp;IF(AND(H213&lt;&gt;"",H213&lt;SG_Criteria!$B$39),"NOTE: min depth below PUB "&amp;SG_Criteria!$B$39&amp;" m. ","")&amp;IF(AND(LEFT(C213,8)="Standard",I213&gt;SG_Criteria!$B$42),"FAIL: PUB 001C covers manholes up to "&amp;SG_Criteria!$B$42&amp;" m deep only. ","")&amp;IF(AND(LEFT(C213,11)="Rectangular",J213&lt;SG_Criteria!$B$43),"NOTE: 004C is for sewers &gt;= "&amp;SG_Criteria!$B$43&amp;" dia. ","")&amp;IF(AND(LEFT(C213,7)="Precast",I213&lt;=SG_Criteria!$B$42),"NOTE: 006C is for manholes &gt; "&amp;SG_Criteria!$B$42&amp;" m deep. ","")&amp;IF(AND(J213&lt;&gt;"",J213&lt;SG_Criteria!$B$40,C213&lt;&gt;"Inspection Chamber"),"NOTE: public sewer min dia "&amp;SG_Criteria!$B$40&amp;" mm. ","")&amp;IF(AND(R213&lt;&gt;"",R213&lt;SG_Criteria!$B$44),"FAIL: uplift FOS below "&amp;SG_Criteria!$B$44&amp;". ","")))</f>
        <v/>
      </c>
      <c r="AT213" s="9"/>
      <c r="AU213" s="9"/>
      <c r="AV213" s="9"/>
      <c r="AW213" s="9"/>
      <c r="AX213" s="9"/>
      <c r="AY213" s="31"/>
      <c r="AZ213" s="10" t="str">
        <f aca="false">IF(C213="","",IF(AND(AB213="Approved",ISERROR(SEARCH("FAIL",AS213))),"Y","N"))</f>
        <v/>
      </c>
      <c r="BA213" s="10" t="str">
        <f aca="false">IF(C213="","",C213&amp;"|"&amp;I213&amp;"|"&amp;F213&amp;"|"&amp;AZ213)</f>
        <v/>
      </c>
    </row>
    <row r="214" customFormat="false" ht="15" hidden="false" customHeight="false" outlineLevel="0" collapsed="false">
      <c r="A214" s="10" t="str">
        <f aca="false">IF(C214="","","MH-"&amp;IFERROR(VLOOKUP(C214,Lists!$AB$4:$AC$20,2,0),"??")&amp;"-"&amp;TEXT(F214,"0000")&amp;IF(E214="Circular","D","x"&amp;TEXT(G214,"0000"))&amp;"-D"&amp;TEXT(I214*1000,"0000")&amp;"-"&amp;IFERROR(VLOOKUP(D214,Lists!$AE$4:$AF$16,2,0),"??")&amp;"-"&amp;AA214)</f>
        <v/>
      </c>
      <c r="B214" s="10" t="str">
        <f aca="false">IF(C214="","",C214&amp;", "&amp;D214&amp;", "&amp;IF(E214="Circular",F214&amp;" dia",F214&amp;" x "&amp;G214)&amp;", depth "&amp;TEXT(H214,"0.0")&amp;"-"&amp;TEXT(I214,"0.0")&amp;" m, pipe up to "&amp;J214&amp;" dia")</f>
        <v/>
      </c>
      <c r="C214" s="9"/>
      <c r="D214" s="9"/>
      <c r="E214" s="9"/>
      <c r="F214" s="40"/>
      <c r="G214" s="40"/>
      <c r="H214" s="43"/>
      <c r="I214" s="43"/>
      <c r="J214" s="40"/>
      <c r="K214" s="40"/>
      <c r="L214" s="40"/>
      <c r="M214" s="40"/>
      <c r="N214" s="9"/>
      <c r="O214" s="9"/>
      <c r="P214" s="9"/>
      <c r="Q214" s="9"/>
      <c r="R214" s="41"/>
      <c r="S214" s="9"/>
      <c r="T214" s="40"/>
      <c r="U214" s="9"/>
      <c r="V214" s="9"/>
      <c r="W214" s="9"/>
      <c r="X214" s="9"/>
      <c r="Y214" s="9"/>
      <c r="Z214" s="9"/>
      <c r="AA214" s="9"/>
      <c r="AB214" s="9"/>
      <c r="AC214" s="9"/>
      <c r="AD214" s="9"/>
      <c r="AE214" s="9"/>
      <c r="AF214" s="10" t="str">
        <f aca="false">IF(A214="","",SG_Criteria!$B$6&amp;SG_Criteria!$B$10&amp;"\"&amp;A214&amp;"\")</f>
        <v/>
      </c>
      <c r="AG214" s="10" t="str">
        <f aca="false">IF(A214="","",A214&amp;"_CAD.dwg")</f>
        <v/>
      </c>
      <c r="AH214" s="10" t="str">
        <f aca="false">IF(A214="","",A214&amp;"_DWG.pdf")</f>
        <v/>
      </c>
      <c r="AI214" s="10" t="str">
        <f aca="false">IF(A214="","",IF(AE214="Y",A214&amp;"_STAAD.std","n/a"))</f>
        <v/>
      </c>
      <c r="AJ214" s="10" t="str">
        <f aca="false">IF(A214="","",A214&amp;"_CALC.xlsx")</f>
        <v/>
      </c>
      <c r="AK214" s="10" t="str">
        <f aca="false">IF(A214="","",A214&amp;"_CALC.pdf")</f>
        <v/>
      </c>
      <c r="AL214" s="9"/>
      <c r="AM214" s="9"/>
      <c r="AN214" s="41"/>
      <c r="AO214" s="41"/>
      <c r="AP214" s="41"/>
      <c r="AQ214" s="41"/>
      <c r="AR214" s="41"/>
      <c r="AS214" s="38" t="str">
        <f aca="false">IF(C214="","",IF(LEN(IF(AND(S214&lt;&gt;"",IFERROR(VALUE(MID(S214,2,2)),0)&lt;SG_Criteria!$B$19),"FAIL: grade below C"&amp;SG_Criteria!$B$19&amp;". ","")&amp;IF(AND(T214&lt;&gt;"",T214&lt;SG_Criteria!$B$20),"FAIL: cover &lt; "&amp;SG_Criteria!$B$20&amp;" mm. ","")&amp;IF(AND(H214&lt;&gt;"",H214&lt;SG_Criteria!$B$39),"NOTE: min depth below PUB "&amp;SG_Criteria!$B$39&amp;" m. ","")&amp;IF(AND(LEFT(C214,8)="Standard",I214&gt;SG_Criteria!$B$42),"FAIL: PUB 001C covers manholes up to "&amp;SG_Criteria!$B$42&amp;" m deep only. ","")&amp;IF(AND(LEFT(C214,11)="Rectangular",J214&lt;SG_Criteria!$B$43),"NOTE: 004C is for sewers &gt;= "&amp;SG_Criteria!$B$43&amp;" dia. ","")&amp;IF(AND(LEFT(C214,7)="Precast",I214&lt;=SG_Criteria!$B$42),"NOTE: 006C is for manholes &gt; "&amp;SG_Criteria!$B$42&amp;" m deep. ","")&amp;IF(AND(J214&lt;&gt;"",J214&lt;SG_Criteria!$B$40,C214&lt;&gt;"Inspection Chamber"),"NOTE: public sewer min dia "&amp;SG_Criteria!$B$40&amp;" mm. ","")&amp;IF(AND(R214&lt;&gt;"",R214&lt;SG_Criteria!$B$44),"FAIL: uplift FOS below "&amp;SG_Criteria!$B$44&amp;". ",""))=0,"OK",IF(AND(S214&lt;&gt;"",IFERROR(VALUE(MID(S214,2,2)),0)&lt;SG_Criteria!$B$19),"FAIL: grade below C"&amp;SG_Criteria!$B$19&amp;". ","")&amp;IF(AND(T214&lt;&gt;"",T214&lt;SG_Criteria!$B$20),"FAIL: cover &lt; "&amp;SG_Criteria!$B$20&amp;" mm. ","")&amp;IF(AND(H214&lt;&gt;"",H214&lt;SG_Criteria!$B$39),"NOTE: min depth below PUB "&amp;SG_Criteria!$B$39&amp;" m. ","")&amp;IF(AND(LEFT(C214,8)="Standard",I214&gt;SG_Criteria!$B$42),"FAIL: PUB 001C covers manholes up to "&amp;SG_Criteria!$B$42&amp;" m deep only. ","")&amp;IF(AND(LEFT(C214,11)="Rectangular",J214&lt;SG_Criteria!$B$43),"NOTE: 004C is for sewers &gt;= "&amp;SG_Criteria!$B$43&amp;" dia. ","")&amp;IF(AND(LEFT(C214,7)="Precast",I214&lt;=SG_Criteria!$B$42),"NOTE: 006C is for manholes &gt; "&amp;SG_Criteria!$B$42&amp;" m deep. ","")&amp;IF(AND(J214&lt;&gt;"",J214&lt;SG_Criteria!$B$40,C214&lt;&gt;"Inspection Chamber"),"NOTE: public sewer min dia "&amp;SG_Criteria!$B$40&amp;" mm. ","")&amp;IF(AND(R214&lt;&gt;"",R214&lt;SG_Criteria!$B$44),"FAIL: uplift FOS below "&amp;SG_Criteria!$B$44&amp;". ","")))</f>
        <v/>
      </c>
      <c r="AT214" s="9"/>
      <c r="AU214" s="9"/>
      <c r="AV214" s="9"/>
      <c r="AW214" s="9"/>
      <c r="AX214" s="9"/>
      <c r="AY214" s="31"/>
      <c r="AZ214" s="10" t="str">
        <f aca="false">IF(C214="","",IF(AND(AB214="Approved",ISERROR(SEARCH("FAIL",AS214))),"Y","N"))</f>
        <v/>
      </c>
      <c r="BA214" s="10" t="str">
        <f aca="false">IF(C214="","",C214&amp;"|"&amp;I214&amp;"|"&amp;F214&amp;"|"&amp;AZ214)</f>
        <v/>
      </c>
    </row>
    <row r="215" customFormat="false" ht="15" hidden="false" customHeight="false" outlineLevel="0" collapsed="false">
      <c r="A215" s="10" t="str">
        <f aca="false">IF(C215="","","MH-"&amp;IFERROR(VLOOKUP(C215,Lists!$AB$4:$AC$20,2,0),"??")&amp;"-"&amp;TEXT(F215,"0000")&amp;IF(E215="Circular","D","x"&amp;TEXT(G215,"0000"))&amp;"-D"&amp;TEXT(I215*1000,"0000")&amp;"-"&amp;IFERROR(VLOOKUP(D215,Lists!$AE$4:$AF$16,2,0),"??")&amp;"-"&amp;AA215)</f>
        <v/>
      </c>
      <c r="B215" s="10" t="str">
        <f aca="false">IF(C215="","",C215&amp;", "&amp;D215&amp;", "&amp;IF(E215="Circular",F215&amp;" dia",F215&amp;" x "&amp;G215)&amp;", depth "&amp;TEXT(H215,"0.0")&amp;"-"&amp;TEXT(I215,"0.0")&amp;" m, pipe up to "&amp;J215&amp;" dia")</f>
        <v/>
      </c>
      <c r="C215" s="9"/>
      <c r="D215" s="9"/>
      <c r="E215" s="9"/>
      <c r="F215" s="40"/>
      <c r="G215" s="40"/>
      <c r="H215" s="43"/>
      <c r="I215" s="43"/>
      <c r="J215" s="40"/>
      <c r="K215" s="40"/>
      <c r="L215" s="40"/>
      <c r="M215" s="40"/>
      <c r="N215" s="9"/>
      <c r="O215" s="9"/>
      <c r="P215" s="9"/>
      <c r="Q215" s="9"/>
      <c r="R215" s="41"/>
      <c r="S215" s="9"/>
      <c r="T215" s="40"/>
      <c r="U215" s="9"/>
      <c r="V215" s="9"/>
      <c r="W215" s="9"/>
      <c r="X215" s="9"/>
      <c r="Y215" s="9"/>
      <c r="Z215" s="9"/>
      <c r="AA215" s="9"/>
      <c r="AB215" s="9"/>
      <c r="AC215" s="9"/>
      <c r="AD215" s="9"/>
      <c r="AE215" s="9"/>
      <c r="AF215" s="10" t="str">
        <f aca="false">IF(A215="","",SG_Criteria!$B$6&amp;SG_Criteria!$B$10&amp;"\"&amp;A215&amp;"\")</f>
        <v/>
      </c>
      <c r="AG215" s="10" t="str">
        <f aca="false">IF(A215="","",A215&amp;"_CAD.dwg")</f>
        <v/>
      </c>
      <c r="AH215" s="10" t="str">
        <f aca="false">IF(A215="","",A215&amp;"_DWG.pdf")</f>
        <v/>
      </c>
      <c r="AI215" s="10" t="str">
        <f aca="false">IF(A215="","",IF(AE215="Y",A215&amp;"_STAAD.std","n/a"))</f>
        <v/>
      </c>
      <c r="AJ215" s="10" t="str">
        <f aca="false">IF(A215="","",A215&amp;"_CALC.xlsx")</f>
        <v/>
      </c>
      <c r="AK215" s="10" t="str">
        <f aca="false">IF(A215="","",A215&amp;"_CALC.pdf")</f>
        <v/>
      </c>
      <c r="AL215" s="9"/>
      <c r="AM215" s="9"/>
      <c r="AN215" s="41"/>
      <c r="AO215" s="41"/>
      <c r="AP215" s="41"/>
      <c r="AQ215" s="41"/>
      <c r="AR215" s="41"/>
      <c r="AS215" s="38" t="str">
        <f aca="false">IF(C215="","",IF(LEN(IF(AND(S215&lt;&gt;"",IFERROR(VALUE(MID(S215,2,2)),0)&lt;SG_Criteria!$B$19),"FAIL: grade below C"&amp;SG_Criteria!$B$19&amp;". ","")&amp;IF(AND(T215&lt;&gt;"",T215&lt;SG_Criteria!$B$20),"FAIL: cover &lt; "&amp;SG_Criteria!$B$20&amp;" mm. ","")&amp;IF(AND(H215&lt;&gt;"",H215&lt;SG_Criteria!$B$39),"NOTE: min depth below PUB "&amp;SG_Criteria!$B$39&amp;" m. ","")&amp;IF(AND(LEFT(C215,8)="Standard",I215&gt;SG_Criteria!$B$42),"FAIL: PUB 001C covers manholes up to "&amp;SG_Criteria!$B$42&amp;" m deep only. ","")&amp;IF(AND(LEFT(C215,11)="Rectangular",J215&lt;SG_Criteria!$B$43),"NOTE: 004C is for sewers &gt;= "&amp;SG_Criteria!$B$43&amp;" dia. ","")&amp;IF(AND(LEFT(C215,7)="Precast",I215&lt;=SG_Criteria!$B$42),"NOTE: 006C is for manholes &gt; "&amp;SG_Criteria!$B$42&amp;" m deep. ","")&amp;IF(AND(J215&lt;&gt;"",J215&lt;SG_Criteria!$B$40,C215&lt;&gt;"Inspection Chamber"),"NOTE: public sewer min dia "&amp;SG_Criteria!$B$40&amp;" mm. ","")&amp;IF(AND(R215&lt;&gt;"",R215&lt;SG_Criteria!$B$44),"FAIL: uplift FOS below "&amp;SG_Criteria!$B$44&amp;". ",""))=0,"OK",IF(AND(S215&lt;&gt;"",IFERROR(VALUE(MID(S215,2,2)),0)&lt;SG_Criteria!$B$19),"FAIL: grade below C"&amp;SG_Criteria!$B$19&amp;". ","")&amp;IF(AND(T215&lt;&gt;"",T215&lt;SG_Criteria!$B$20),"FAIL: cover &lt; "&amp;SG_Criteria!$B$20&amp;" mm. ","")&amp;IF(AND(H215&lt;&gt;"",H215&lt;SG_Criteria!$B$39),"NOTE: min depth below PUB "&amp;SG_Criteria!$B$39&amp;" m. ","")&amp;IF(AND(LEFT(C215,8)="Standard",I215&gt;SG_Criteria!$B$42),"FAIL: PUB 001C covers manholes up to "&amp;SG_Criteria!$B$42&amp;" m deep only. ","")&amp;IF(AND(LEFT(C215,11)="Rectangular",J215&lt;SG_Criteria!$B$43),"NOTE: 004C is for sewers &gt;= "&amp;SG_Criteria!$B$43&amp;" dia. ","")&amp;IF(AND(LEFT(C215,7)="Precast",I215&lt;=SG_Criteria!$B$42),"NOTE: 006C is for manholes &gt; "&amp;SG_Criteria!$B$42&amp;" m deep. ","")&amp;IF(AND(J215&lt;&gt;"",J215&lt;SG_Criteria!$B$40,C215&lt;&gt;"Inspection Chamber"),"NOTE: public sewer min dia "&amp;SG_Criteria!$B$40&amp;" mm. ","")&amp;IF(AND(R215&lt;&gt;"",R215&lt;SG_Criteria!$B$44),"FAIL: uplift FOS below "&amp;SG_Criteria!$B$44&amp;". ","")))</f>
        <v/>
      </c>
      <c r="AT215" s="9"/>
      <c r="AU215" s="9"/>
      <c r="AV215" s="9"/>
      <c r="AW215" s="9"/>
      <c r="AX215" s="9"/>
      <c r="AY215" s="31"/>
      <c r="AZ215" s="10" t="str">
        <f aca="false">IF(C215="","",IF(AND(AB215="Approved",ISERROR(SEARCH("FAIL",AS215))),"Y","N"))</f>
        <v/>
      </c>
      <c r="BA215" s="10" t="str">
        <f aca="false">IF(C215="","",C215&amp;"|"&amp;I215&amp;"|"&amp;F215&amp;"|"&amp;AZ215)</f>
        <v/>
      </c>
    </row>
    <row r="216" customFormat="false" ht="15" hidden="false" customHeight="false" outlineLevel="0" collapsed="false">
      <c r="A216" s="10" t="str">
        <f aca="false">IF(C216="","","MH-"&amp;IFERROR(VLOOKUP(C216,Lists!$AB$4:$AC$20,2,0),"??")&amp;"-"&amp;TEXT(F216,"0000")&amp;IF(E216="Circular","D","x"&amp;TEXT(G216,"0000"))&amp;"-D"&amp;TEXT(I216*1000,"0000")&amp;"-"&amp;IFERROR(VLOOKUP(D216,Lists!$AE$4:$AF$16,2,0),"??")&amp;"-"&amp;AA216)</f>
        <v/>
      </c>
      <c r="B216" s="10" t="str">
        <f aca="false">IF(C216="","",C216&amp;", "&amp;D216&amp;", "&amp;IF(E216="Circular",F216&amp;" dia",F216&amp;" x "&amp;G216)&amp;", depth "&amp;TEXT(H216,"0.0")&amp;"-"&amp;TEXT(I216,"0.0")&amp;" m, pipe up to "&amp;J216&amp;" dia")</f>
        <v/>
      </c>
      <c r="C216" s="9"/>
      <c r="D216" s="9"/>
      <c r="E216" s="9"/>
      <c r="F216" s="40"/>
      <c r="G216" s="40"/>
      <c r="H216" s="43"/>
      <c r="I216" s="43"/>
      <c r="J216" s="40"/>
      <c r="K216" s="40"/>
      <c r="L216" s="40"/>
      <c r="M216" s="40"/>
      <c r="N216" s="9"/>
      <c r="O216" s="9"/>
      <c r="P216" s="9"/>
      <c r="Q216" s="9"/>
      <c r="R216" s="41"/>
      <c r="S216" s="9"/>
      <c r="T216" s="40"/>
      <c r="U216" s="9"/>
      <c r="V216" s="9"/>
      <c r="W216" s="9"/>
      <c r="X216" s="9"/>
      <c r="Y216" s="9"/>
      <c r="Z216" s="9"/>
      <c r="AA216" s="9"/>
      <c r="AB216" s="9"/>
      <c r="AC216" s="9"/>
      <c r="AD216" s="9"/>
      <c r="AE216" s="9"/>
      <c r="AF216" s="10" t="str">
        <f aca="false">IF(A216="","",SG_Criteria!$B$6&amp;SG_Criteria!$B$10&amp;"\"&amp;A216&amp;"\")</f>
        <v/>
      </c>
      <c r="AG216" s="10" t="str">
        <f aca="false">IF(A216="","",A216&amp;"_CAD.dwg")</f>
        <v/>
      </c>
      <c r="AH216" s="10" t="str">
        <f aca="false">IF(A216="","",A216&amp;"_DWG.pdf")</f>
        <v/>
      </c>
      <c r="AI216" s="10" t="str">
        <f aca="false">IF(A216="","",IF(AE216="Y",A216&amp;"_STAAD.std","n/a"))</f>
        <v/>
      </c>
      <c r="AJ216" s="10" t="str">
        <f aca="false">IF(A216="","",A216&amp;"_CALC.xlsx")</f>
        <v/>
      </c>
      <c r="AK216" s="10" t="str">
        <f aca="false">IF(A216="","",A216&amp;"_CALC.pdf")</f>
        <v/>
      </c>
      <c r="AL216" s="9"/>
      <c r="AM216" s="9"/>
      <c r="AN216" s="41"/>
      <c r="AO216" s="41"/>
      <c r="AP216" s="41"/>
      <c r="AQ216" s="41"/>
      <c r="AR216" s="41"/>
      <c r="AS216" s="38" t="str">
        <f aca="false">IF(C216="","",IF(LEN(IF(AND(S216&lt;&gt;"",IFERROR(VALUE(MID(S216,2,2)),0)&lt;SG_Criteria!$B$19),"FAIL: grade below C"&amp;SG_Criteria!$B$19&amp;". ","")&amp;IF(AND(T216&lt;&gt;"",T216&lt;SG_Criteria!$B$20),"FAIL: cover &lt; "&amp;SG_Criteria!$B$20&amp;" mm. ","")&amp;IF(AND(H216&lt;&gt;"",H216&lt;SG_Criteria!$B$39),"NOTE: min depth below PUB "&amp;SG_Criteria!$B$39&amp;" m. ","")&amp;IF(AND(LEFT(C216,8)="Standard",I216&gt;SG_Criteria!$B$42),"FAIL: PUB 001C covers manholes up to "&amp;SG_Criteria!$B$42&amp;" m deep only. ","")&amp;IF(AND(LEFT(C216,11)="Rectangular",J216&lt;SG_Criteria!$B$43),"NOTE: 004C is for sewers &gt;= "&amp;SG_Criteria!$B$43&amp;" dia. ","")&amp;IF(AND(LEFT(C216,7)="Precast",I216&lt;=SG_Criteria!$B$42),"NOTE: 006C is for manholes &gt; "&amp;SG_Criteria!$B$42&amp;" m deep. ","")&amp;IF(AND(J216&lt;&gt;"",J216&lt;SG_Criteria!$B$40,C216&lt;&gt;"Inspection Chamber"),"NOTE: public sewer min dia "&amp;SG_Criteria!$B$40&amp;" mm. ","")&amp;IF(AND(R216&lt;&gt;"",R216&lt;SG_Criteria!$B$44),"FAIL: uplift FOS below "&amp;SG_Criteria!$B$44&amp;". ",""))=0,"OK",IF(AND(S216&lt;&gt;"",IFERROR(VALUE(MID(S216,2,2)),0)&lt;SG_Criteria!$B$19),"FAIL: grade below C"&amp;SG_Criteria!$B$19&amp;". ","")&amp;IF(AND(T216&lt;&gt;"",T216&lt;SG_Criteria!$B$20),"FAIL: cover &lt; "&amp;SG_Criteria!$B$20&amp;" mm. ","")&amp;IF(AND(H216&lt;&gt;"",H216&lt;SG_Criteria!$B$39),"NOTE: min depth below PUB "&amp;SG_Criteria!$B$39&amp;" m. ","")&amp;IF(AND(LEFT(C216,8)="Standard",I216&gt;SG_Criteria!$B$42),"FAIL: PUB 001C covers manholes up to "&amp;SG_Criteria!$B$42&amp;" m deep only. ","")&amp;IF(AND(LEFT(C216,11)="Rectangular",J216&lt;SG_Criteria!$B$43),"NOTE: 004C is for sewers &gt;= "&amp;SG_Criteria!$B$43&amp;" dia. ","")&amp;IF(AND(LEFT(C216,7)="Precast",I216&lt;=SG_Criteria!$B$42),"NOTE: 006C is for manholes &gt; "&amp;SG_Criteria!$B$42&amp;" m deep. ","")&amp;IF(AND(J216&lt;&gt;"",J216&lt;SG_Criteria!$B$40,C216&lt;&gt;"Inspection Chamber"),"NOTE: public sewer min dia "&amp;SG_Criteria!$B$40&amp;" mm. ","")&amp;IF(AND(R216&lt;&gt;"",R216&lt;SG_Criteria!$B$44),"FAIL: uplift FOS below "&amp;SG_Criteria!$B$44&amp;". ","")))</f>
        <v/>
      </c>
      <c r="AT216" s="9"/>
      <c r="AU216" s="9"/>
      <c r="AV216" s="9"/>
      <c r="AW216" s="9"/>
      <c r="AX216" s="9"/>
      <c r="AY216" s="31"/>
      <c r="AZ216" s="10" t="str">
        <f aca="false">IF(C216="","",IF(AND(AB216="Approved",ISERROR(SEARCH("FAIL",AS216))),"Y","N"))</f>
        <v/>
      </c>
      <c r="BA216" s="10" t="str">
        <f aca="false">IF(C216="","",C216&amp;"|"&amp;I216&amp;"|"&amp;F216&amp;"|"&amp;AZ216)</f>
        <v/>
      </c>
    </row>
    <row r="217" customFormat="false" ht="15" hidden="false" customHeight="false" outlineLevel="0" collapsed="false">
      <c r="A217" s="10" t="str">
        <f aca="false">IF(C217="","","MH-"&amp;IFERROR(VLOOKUP(C217,Lists!$AB$4:$AC$20,2,0),"??")&amp;"-"&amp;TEXT(F217,"0000")&amp;IF(E217="Circular","D","x"&amp;TEXT(G217,"0000"))&amp;"-D"&amp;TEXT(I217*1000,"0000")&amp;"-"&amp;IFERROR(VLOOKUP(D217,Lists!$AE$4:$AF$16,2,0),"??")&amp;"-"&amp;AA217)</f>
        <v/>
      </c>
      <c r="B217" s="10" t="str">
        <f aca="false">IF(C217="","",C217&amp;", "&amp;D217&amp;", "&amp;IF(E217="Circular",F217&amp;" dia",F217&amp;" x "&amp;G217)&amp;", depth "&amp;TEXT(H217,"0.0")&amp;"-"&amp;TEXT(I217,"0.0")&amp;" m, pipe up to "&amp;J217&amp;" dia")</f>
        <v/>
      </c>
      <c r="C217" s="9"/>
      <c r="D217" s="9"/>
      <c r="E217" s="9"/>
      <c r="F217" s="40"/>
      <c r="G217" s="40"/>
      <c r="H217" s="43"/>
      <c r="I217" s="43"/>
      <c r="J217" s="40"/>
      <c r="K217" s="40"/>
      <c r="L217" s="40"/>
      <c r="M217" s="40"/>
      <c r="N217" s="9"/>
      <c r="O217" s="9"/>
      <c r="P217" s="9"/>
      <c r="Q217" s="9"/>
      <c r="R217" s="41"/>
      <c r="S217" s="9"/>
      <c r="T217" s="40"/>
      <c r="U217" s="9"/>
      <c r="V217" s="9"/>
      <c r="W217" s="9"/>
      <c r="X217" s="9"/>
      <c r="Y217" s="9"/>
      <c r="Z217" s="9"/>
      <c r="AA217" s="9"/>
      <c r="AB217" s="9"/>
      <c r="AC217" s="9"/>
      <c r="AD217" s="9"/>
      <c r="AE217" s="9"/>
      <c r="AF217" s="10" t="str">
        <f aca="false">IF(A217="","",SG_Criteria!$B$6&amp;SG_Criteria!$B$10&amp;"\"&amp;A217&amp;"\")</f>
        <v/>
      </c>
      <c r="AG217" s="10" t="str">
        <f aca="false">IF(A217="","",A217&amp;"_CAD.dwg")</f>
        <v/>
      </c>
      <c r="AH217" s="10" t="str">
        <f aca="false">IF(A217="","",A217&amp;"_DWG.pdf")</f>
        <v/>
      </c>
      <c r="AI217" s="10" t="str">
        <f aca="false">IF(A217="","",IF(AE217="Y",A217&amp;"_STAAD.std","n/a"))</f>
        <v/>
      </c>
      <c r="AJ217" s="10" t="str">
        <f aca="false">IF(A217="","",A217&amp;"_CALC.xlsx")</f>
        <v/>
      </c>
      <c r="AK217" s="10" t="str">
        <f aca="false">IF(A217="","",A217&amp;"_CALC.pdf")</f>
        <v/>
      </c>
      <c r="AL217" s="9"/>
      <c r="AM217" s="9"/>
      <c r="AN217" s="41"/>
      <c r="AO217" s="41"/>
      <c r="AP217" s="41"/>
      <c r="AQ217" s="41"/>
      <c r="AR217" s="41"/>
      <c r="AS217" s="38" t="str">
        <f aca="false">IF(C217="","",IF(LEN(IF(AND(S217&lt;&gt;"",IFERROR(VALUE(MID(S217,2,2)),0)&lt;SG_Criteria!$B$19),"FAIL: grade below C"&amp;SG_Criteria!$B$19&amp;". ","")&amp;IF(AND(T217&lt;&gt;"",T217&lt;SG_Criteria!$B$20),"FAIL: cover &lt; "&amp;SG_Criteria!$B$20&amp;" mm. ","")&amp;IF(AND(H217&lt;&gt;"",H217&lt;SG_Criteria!$B$39),"NOTE: min depth below PUB "&amp;SG_Criteria!$B$39&amp;" m. ","")&amp;IF(AND(LEFT(C217,8)="Standard",I217&gt;SG_Criteria!$B$42),"FAIL: PUB 001C covers manholes up to "&amp;SG_Criteria!$B$42&amp;" m deep only. ","")&amp;IF(AND(LEFT(C217,11)="Rectangular",J217&lt;SG_Criteria!$B$43),"NOTE: 004C is for sewers &gt;= "&amp;SG_Criteria!$B$43&amp;" dia. ","")&amp;IF(AND(LEFT(C217,7)="Precast",I217&lt;=SG_Criteria!$B$42),"NOTE: 006C is for manholes &gt; "&amp;SG_Criteria!$B$42&amp;" m deep. ","")&amp;IF(AND(J217&lt;&gt;"",J217&lt;SG_Criteria!$B$40,C217&lt;&gt;"Inspection Chamber"),"NOTE: public sewer min dia "&amp;SG_Criteria!$B$40&amp;" mm. ","")&amp;IF(AND(R217&lt;&gt;"",R217&lt;SG_Criteria!$B$44),"FAIL: uplift FOS below "&amp;SG_Criteria!$B$44&amp;". ",""))=0,"OK",IF(AND(S217&lt;&gt;"",IFERROR(VALUE(MID(S217,2,2)),0)&lt;SG_Criteria!$B$19),"FAIL: grade below C"&amp;SG_Criteria!$B$19&amp;". ","")&amp;IF(AND(T217&lt;&gt;"",T217&lt;SG_Criteria!$B$20),"FAIL: cover &lt; "&amp;SG_Criteria!$B$20&amp;" mm. ","")&amp;IF(AND(H217&lt;&gt;"",H217&lt;SG_Criteria!$B$39),"NOTE: min depth below PUB "&amp;SG_Criteria!$B$39&amp;" m. ","")&amp;IF(AND(LEFT(C217,8)="Standard",I217&gt;SG_Criteria!$B$42),"FAIL: PUB 001C covers manholes up to "&amp;SG_Criteria!$B$42&amp;" m deep only. ","")&amp;IF(AND(LEFT(C217,11)="Rectangular",J217&lt;SG_Criteria!$B$43),"NOTE: 004C is for sewers &gt;= "&amp;SG_Criteria!$B$43&amp;" dia. ","")&amp;IF(AND(LEFT(C217,7)="Precast",I217&lt;=SG_Criteria!$B$42),"NOTE: 006C is for manholes &gt; "&amp;SG_Criteria!$B$42&amp;" m deep. ","")&amp;IF(AND(J217&lt;&gt;"",J217&lt;SG_Criteria!$B$40,C217&lt;&gt;"Inspection Chamber"),"NOTE: public sewer min dia "&amp;SG_Criteria!$B$40&amp;" mm. ","")&amp;IF(AND(R217&lt;&gt;"",R217&lt;SG_Criteria!$B$44),"FAIL: uplift FOS below "&amp;SG_Criteria!$B$44&amp;". ","")))</f>
        <v/>
      </c>
      <c r="AT217" s="9"/>
      <c r="AU217" s="9"/>
      <c r="AV217" s="9"/>
      <c r="AW217" s="9"/>
      <c r="AX217" s="9"/>
      <c r="AY217" s="31"/>
      <c r="AZ217" s="10" t="str">
        <f aca="false">IF(C217="","",IF(AND(AB217="Approved",ISERROR(SEARCH("FAIL",AS217))),"Y","N"))</f>
        <v/>
      </c>
      <c r="BA217" s="10" t="str">
        <f aca="false">IF(C217="","",C217&amp;"|"&amp;I217&amp;"|"&amp;F217&amp;"|"&amp;AZ217)</f>
        <v/>
      </c>
    </row>
    <row r="218" customFormat="false" ht="15" hidden="false" customHeight="false" outlineLevel="0" collapsed="false">
      <c r="A218" s="10" t="str">
        <f aca="false">IF(C218="","","MH-"&amp;IFERROR(VLOOKUP(C218,Lists!$AB$4:$AC$20,2,0),"??")&amp;"-"&amp;TEXT(F218,"0000")&amp;IF(E218="Circular","D","x"&amp;TEXT(G218,"0000"))&amp;"-D"&amp;TEXT(I218*1000,"0000")&amp;"-"&amp;IFERROR(VLOOKUP(D218,Lists!$AE$4:$AF$16,2,0),"??")&amp;"-"&amp;AA218)</f>
        <v/>
      </c>
      <c r="B218" s="10" t="str">
        <f aca="false">IF(C218="","",C218&amp;", "&amp;D218&amp;", "&amp;IF(E218="Circular",F218&amp;" dia",F218&amp;" x "&amp;G218)&amp;", depth "&amp;TEXT(H218,"0.0")&amp;"-"&amp;TEXT(I218,"0.0")&amp;" m, pipe up to "&amp;J218&amp;" dia")</f>
        <v/>
      </c>
      <c r="C218" s="9"/>
      <c r="D218" s="9"/>
      <c r="E218" s="9"/>
      <c r="F218" s="40"/>
      <c r="G218" s="40"/>
      <c r="H218" s="43"/>
      <c r="I218" s="43"/>
      <c r="J218" s="40"/>
      <c r="K218" s="40"/>
      <c r="L218" s="40"/>
      <c r="M218" s="40"/>
      <c r="N218" s="9"/>
      <c r="O218" s="9"/>
      <c r="P218" s="9"/>
      <c r="Q218" s="9"/>
      <c r="R218" s="41"/>
      <c r="S218" s="9"/>
      <c r="T218" s="40"/>
      <c r="U218" s="9"/>
      <c r="V218" s="9"/>
      <c r="W218" s="9"/>
      <c r="X218" s="9"/>
      <c r="Y218" s="9"/>
      <c r="Z218" s="9"/>
      <c r="AA218" s="9"/>
      <c r="AB218" s="9"/>
      <c r="AC218" s="9"/>
      <c r="AD218" s="9"/>
      <c r="AE218" s="9"/>
      <c r="AF218" s="10" t="str">
        <f aca="false">IF(A218="","",SG_Criteria!$B$6&amp;SG_Criteria!$B$10&amp;"\"&amp;A218&amp;"\")</f>
        <v/>
      </c>
      <c r="AG218" s="10" t="str">
        <f aca="false">IF(A218="","",A218&amp;"_CAD.dwg")</f>
        <v/>
      </c>
      <c r="AH218" s="10" t="str">
        <f aca="false">IF(A218="","",A218&amp;"_DWG.pdf")</f>
        <v/>
      </c>
      <c r="AI218" s="10" t="str">
        <f aca="false">IF(A218="","",IF(AE218="Y",A218&amp;"_STAAD.std","n/a"))</f>
        <v/>
      </c>
      <c r="AJ218" s="10" t="str">
        <f aca="false">IF(A218="","",A218&amp;"_CALC.xlsx")</f>
        <v/>
      </c>
      <c r="AK218" s="10" t="str">
        <f aca="false">IF(A218="","",A218&amp;"_CALC.pdf")</f>
        <v/>
      </c>
      <c r="AL218" s="9"/>
      <c r="AM218" s="9"/>
      <c r="AN218" s="41"/>
      <c r="AO218" s="41"/>
      <c r="AP218" s="41"/>
      <c r="AQ218" s="41"/>
      <c r="AR218" s="41"/>
      <c r="AS218" s="38" t="str">
        <f aca="false">IF(C218="","",IF(LEN(IF(AND(S218&lt;&gt;"",IFERROR(VALUE(MID(S218,2,2)),0)&lt;SG_Criteria!$B$19),"FAIL: grade below C"&amp;SG_Criteria!$B$19&amp;". ","")&amp;IF(AND(T218&lt;&gt;"",T218&lt;SG_Criteria!$B$20),"FAIL: cover &lt; "&amp;SG_Criteria!$B$20&amp;" mm. ","")&amp;IF(AND(H218&lt;&gt;"",H218&lt;SG_Criteria!$B$39),"NOTE: min depth below PUB "&amp;SG_Criteria!$B$39&amp;" m. ","")&amp;IF(AND(LEFT(C218,8)="Standard",I218&gt;SG_Criteria!$B$42),"FAIL: PUB 001C covers manholes up to "&amp;SG_Criteria!$B$42&amp;" m deep only. ","")&amp;IF(AND(LEFT(C218,11)="Rectangular",J218&lt;SG_Criteria!$B$43),"NOTE: 004C is for sewers &gt;= "&amp;SG_Criteria!$B$43&amp;" dia. ","")&amp;IF(AND(LEFT(C218,7)="Precast",I218&lt;=SG_Criteria!$B$42),"NOTE: 006C is for manholes &gt; "&amp;SG_Criteria!$B$42&amp;" m deep. ","")&amp;IF(AND(J218&lt;&gt;"",J218&lt;SG_Criteria!$B$40,C218&lt;&gt;"Inspection Chamber"),"NOTE: public sewer min dia "&amp;SG_Criteria!$B$40&amp;" mm. ","")&amp;IF(AND(R218&lt;&gt;"",R218&lt;SG_Criteria!$B$44),"FAIL: uplift FOS below "&amp;SG_Criteria!$B$44&amp;". ",""))=0,"OK",IF(AND(S218&lt;&gt;"",IFERROR(VALUE(MID(S218,2,2)),0)&lt;SG_Criteria!$B$19),"FAIL: grade below C"&amp;SG_Criteria!$B$19&amp;". ","")&amp;IF(AND(T218&lt;&gt;"",T218&lt;SG_Criteria!$B$20),"FAIL: cover &lt; "&amp;SG_Criteria!$B$20&amp;" mm. ","")&amp;IF(AND(H218&lt;&gt;"",H218&lt;SG_Criteria!$B$39),"NOTE: min depth below PUB "&amp;SG_Criteria!$B$39&amp;" m. ","")&amp;IF(AND(LEFT(C218,8)="Standard",I218&gt;SG_Criteria!$B$42),"FAIL: PUB 001C covers manholes up to "&amp;SG_Criteria!$B$42&amp;" m deep only. ","")&amp;IF(AND(LEFT(C218,11)="Rectangular",J218&lt;SG_Criteria!$B$43),"NOTE: 004C is for sewers &gt;= "&amp;SG_Criteria!$B$43&amp;" dia. ","")&amp;IF(AND(LEFT(C218,7)="Precast",I218&lt;=SG_Criteria!$B$42),"NOTE: 006C is for manholes &gt; "&amp;SG_Criteria!$B$42&amp;" m deep. ","")&amp;IF(AND(J218&lt;&gt;"",J218&lt;SG_Criteria!$B$40,C218&lt;&gt;"Inspection Chamber"),"NOTE: public sewer min dia "&amp;SG_Criteria!$B$40&amp;" mm. ","")&amp;IF(AND(R218&lt;&gt;"",R218&lt;SG_Criteria!$B$44),"FAIL: uplift FOS below "&amp;SG_Criteria!$B$44&amp;". ","")))</f>
        <v/>
      </c>
      <c r="AT218" s="9"/>
      <c r="AU218" s="9"/>
      <c r="AV218" s="9"/>
      <c r="AW218" s="9"/>
      <c r="AX218" s="9"/>
      <c r="AY218" s="31"/>
      <c r="AZ218" s="10" t="str">
        <f aca="false">IF(C218="","",IF(AND(AB218="Approved",ISERROR(SEARCH("FAIL",AS218))),"Y","N"))</f>
        <v/>
      </c>
      <c r="BA218" s="10" t="str">
        <f aca="false">IF(C218="","",C218&amp;"|"&amp;I218&amp;"|"&amp;F218&amp;"|"&amp;AZ218)</f>
        <v/>
      </c>
    </row>
    <row r="219" customFormat="false" ht="15" hidden="false" customHeight="false" outlineLevel="0" collapsed="false">
      <c r="A219" s="10" t="str">
        <f aca="false">IF(C219="","","MH-"&amp;IFERROR(VLOOKUP(C219,Lists!$AB$4:$AC$20,2,0),"??")&amp;"-"&amp;TEXT(F219,"0000")&amp;IF(E219="Circular","D","x"&amp;TEXT(G219,"0000"))&amp;"-D"&amp;TEXT(I219*1000,"0000")&amp;"-"&amp;IFERROR(VLOOKUP(D219,Lists!$AE$4:$AF$16,2,0),"??")&amp;"-"&amp;AA219)</f>
        <v/>
      </c>
      <c r="B219" s="10" t="str">
        <f aca="false">IF(C219="","",C219&amp;", "&amp;D219&amp;", "&amp;IF(E219="Circular",F219&amp;" dia",F219&amp;" x "&amp;G219)&amp;", depth "&amp;TEXT(H219,"0.0")&amp;"-"&amp;TEXT(I219,"0.0")&amp;" m, pipe up to "&amp;J219&amp;" dia")</f>
        <v/>
      </c>
      <c r="C219" s="9"/>
      <c r="D219" s="9"/>
      <c r="E219" s="9"/>
      <c r="F219" s="40"/>
      <c r="G219" s="40"/>
      <c r="H219" s="43"/>
      <c r="I219" s="43"/>
      <c r="J219" s="40"/>
      <c r="K219" s="40"/>
      <c r="L219" s="40"/>
      <c r="M219" s="40"/>
      <c r="N219" s="9"/>
      <c r="O219" s="9"/>
      <c r="P219" s="9"/>
      <c r="Q219" s="9"/>
      <c r="R219" s="41"/>
      <c r="S219" s="9"/>
      <c r="T219" s="40"/>
      <c r="U219" s="9"/>
      <c r="V219" s="9"/>
      <c r="W219" s="9"/>
      <c r="X219" s="9"/>
      <c r="Y219" s="9"/>
      <c r="Z219" s="9"/>
      <c r="AA219" s="9"/>
      <c r="AB219" s="9"/>
      <c r="AC219" s="9"/>
      <c r="AD219" s="9"/>
      <c r="AE219" s="9"/>
      <c r="AF219" s="10" t="str">
        <f aca="false">IF(A219="","",SG_Criteria!$B$6&amp;SG_Criteria!$B$10&amp;"\"&amp;A219&amp;"\")</f>
        <v/>
      </c>
      <c r="AG219" s="10" t="str">
        <f aca="false">IF(A219="","",A219&amp;"_CAD.dwg")</f>
        <v/>
      </c>
      <c r="AH219" s="10" t="str">
        <f aca="false">IF(A219="","",A219&amp;"_DWG.pdf")</f>
        <v/>
      </c>
      <c r="AI219" s="10" t="str">
        <f aca="false">IF(A219="","",IF(AE219="Y",A219&amp;"_STAAD.std","n/a"))</f>
        <v/>
      </c>
      <c r="AJ219" s="10" t="str">
        <f aca="false">IF(A219="","",A219&amp;"_CALC.xlsx")</f>
        <v/>
      </c>
      <c r="AK219" s="10" t="str">
        <f aca="false">IF(A219="","",A219&amp;"_CALC.pdf")</f>
        <v/>
      </c>
      <c r="AL219" s="9"/>
      <c r="AM219" s="9"/>
      <c r="AN219" s="41"/>
      <c r="AO219" s="41"/>
      <c r="AP219" s="41"/>
      <c r="AQ219" s="41"/>
      <c r="AR219" s="41"/>
      <c r="AS219" s="38" t="str">
        <f aca="false">IF(C219="","",IF(LEN(IF(AND(S219&lt;&gt;"",IFERROR(VALUE(MID(S219,2,2)),0)&lt;SG_Criteria!$B$19),"FAIL: grade below C"&amp;SG_Criteria!$B$19&amp;". ","")&amp;IF(AND(T219&lt;&gt;"",T219&lt;SG_Criteria!$B$20),"FAIL: cover &lt; "&amp;SG_Criteria!$B$20&amp;" mm. ","")&amp;IF(AND(H219&lt;&gt;"",H219&lt;SG_Criteria!$B$39),"NOTE: min depth below PUB "&amp;SG_Criteria!$B$39&amp;" m. ","")&amp;IF(AND(LEFT(C219,8)="Standard",I219&gt;SG_Criteria!$B$42),"FAIL: PUB 001C covers manholes up to "&amp;SG_Criteria!$B$42&amp;" m deep only. ","")&amp;IF(AND(LEFT(C219,11)="Rectangular",J219&lt;SG_Criteria!$B$43),"NOTE: 004C is for sewers &gt;= "&amp;SG_Criteria!$B$43&amp;" dia. ","")&amp;IF(AND(LEFT(C219,7)="Precast",I219&lt;=SG_Criteria!$B$42),"NOTE: 006C is for manholes &gt; "&amp;SG_Criteria!$B$42&amp;" m deep. ","")&amp;IF(AND(J219&lt;&gt;"",J219&lt;SG_Criteria!$B$40,C219&lt;&gt;"Inspection Chamber"),"NOTE: public sewer min dia "&amp;SG_Criteria!$B$40&amp;" mm. ","")&amp;IF(AND(R219&lt;&gt;"",R219&lt;SG_Criteria!$B$44),"FAIL: uplift FOS below "&amp;SG_Criteria!$B$44&amp;". ",""))=0,"OK",IF(AND(S219&lt;&gt;"",IFERROR(VALUE(MID(S219,2,2)),0)&lt;SG_Criteria!$B$19),"FAIL: grade below C"&amp;SG_Criteria!$B$19&amp;". ","")&amp;IF(AND(T219&lt;&gt;"",T219&lt;SG_Criteria!$B$20),"FAIL: cover &lt; "&amp;SG_Criteria!$B$20&amp;" mm. ","")&amp;IF(AND(H219&lt;&gt;"",H219&lt;SG_Criteria!$B$39),"NOTE: min depth below PUB "&amp;SG_Criteria!$B$39&amp;" m. ","")&amp;IF(AND(LEFT(C219,8)="Standard",I219&gt;SG_Criteria!$B$42),"FAIL: PUB 001C covers manholes up to "&amp;SG_Criteria!$B$42&amp;" m deep only. ","")&amp;IF(AND(LEFT(C219,11)="Rectangular",J219&lt;SG_Criteria!$B$43),"NOTE: 004C is for sewers &gt;= "&amp;SG_Criteria!$B$43&amp;" dia. ","")&amp;IF(AND(LEFT(C219,7)="Precast",I219&lt;=SG_Criteria!$B$42),"NOTE: 006C is for manholes &gt; "&amp;SG_Criteria!$B$42&amp;" m deep. ","")&amp;IF(AND(J219&lt;&gt;"",J219&lt;SG_Criteria!$B$40,C219&lt;&gt;"Inspection Chamber"),"NOTE: public sewer min dia "&amp;SG_Criteria!$B$40&amp;" mm. ","")&amp;IF(AND(R219&lt;&gt;"",R219&lt;SG_Criteria!$B$44),"FAIL: uplift FOS below "&amp;SG_Criteria!$B$44&amp;". ","")))</f>
        <v/>
      </c>
      <c r="AT219" s="9"/>
      <c r="AU219" s="9"/>
      <c r="AV219" s="9"/>
      <c r="AW219" s="9"/>
      <c r="AX219" s="9"/>
      <c r="AY219" s="31"/>
      <c r="AZ219" s="10" t="str">
        <f aca="false">IF(C219="","",IF(AND(AB219="Approved",ISERROR(SEARCH("FAIL",AS219))),"Y","N"))</f>
        <v/>
      </c>
      <c r="BA219" s="10" t="str">
        <f aca="false">IF(C219="","",C219&amp;"|"&amp;I219&amp;"|"&amp;F219&amp;"|"&amp;AZ219)</f>
        <v/>
      </c>
    </row>
    <row r="220" customFormat="false" ht="15" hidden="false" customHeight="false" outlineLevel="0" collapsed="false">
      <c r="A220" s="10" t="str">
        <f aca="false">IF(C220="","","MH-"&amp;IFERROR(VLOOKUP(C220,Lists!$AB$4:$AC$20,2,0),"??")&amp;"-"&amp;TEXT(F220,"0000")&amp;IF(E220="Circular","D","x"&amp;TEXT(G220,"0000"))&amp;"-D"&amp;TEXT(I220*1000,"0000")&amp;"-"&amp;IFERROR(VLOOKUP(D220,Lists!$AE$4:$AF$16,2,0),"??")&amp;"-"&amp;AA220)</f>
        <v/>
      </c>
      <c r="B220" s="10" t="str">
        <f aca="false">IF(C220="","",C220&amp;", "&amp;D220&amp;", "&amp;IF(E220="Circular",F220&amp;" dia",F220&amp;" x "&amp;G220)&amp;", depth "&amp;TEXT(H220,"0.0")&amp;"-"&amp;TEXT(I220,"0.0")&amp;" m, pipe up to "&amp;J220&amp;" dia")</f>
        <v/>
      </c>
      <c r="C220" s="9"/>
      <c r="D220" s="9"/>
      <c r="E220" s="9"/>
      <c r="F220" s="40"/>
      <c r="G220" s="40"/>
      <c r="H220" s="43"/>
      <c r="I220" s="43"/>
      <c r="J220" s="40"/>
      <c r="K220" s="40"/>
      <c r="L220" s="40"/>
      <c r="M220" s="40"/>
      <c r="N220" s="9"/>
      <c r="O220" s="9"/>
      <c r="P220" s="9"/>
      <c r="Q220" s="9"/>
      <c r="R220" s="41"/>
      <c r="S220" s="9"/>
      <c r="T220" s="40"/>
      <c r="U220" s="9"/>
      <c r="V220" s="9"/>
      <c r="W220" s="9"/>
      <c r="X220" s="9"/>
      <c r="Y220" s="9"/>
      <c r="Z220" s="9"/>
      <c r="AA220" s="9"/>
      <c r="AB220" s="9"/>
      <c r="AC220" s="9"/>
      <c r="AD220" s="9"/>
      <c r="AE220" s="9"/>
      <c r="AF220" s="10" t="str">
        <f aca="false">IF(A220="","",SG_Criteria!$B$6&amp;SG_Criteria!$B$10&amp;"\"&amp;A220&amp;"\")</f>
        <v/>
      </c>
      <c r="AG220" s="10" t="str">
        <f aca="false">IF(A220="","",A220&amp;"_CAD.dwg")</f>
        <v/>
      </c>
      <c r="AH220" s="10" t="str">
        <f aca="false">IF(A220="","",A220&amp;"_DWG.pdf")</f>
        <v/>
      </c>
      <c r="AI220" s="10" t="str">
        <f aca="false">IF(A220="","",IF(AE220="Y",A220&amp;"_STAAD.std","n/a"))</f>
        <v/>
      </c>
      <c r="AJ220" s="10" t="str">
        <f aca="false">IF(A220="","",A220&amp;"_CALC.xlsx")</f>
        <v/>
      </c>
      <c r="AK220" s="10" t="str">
        <f aca="false">IF(A220="","",A220&amp;"_CALC.pdf")</f>
        <v/>
      </c>
      <c r="AL220" s="9"/>
      <c r="AM220" s="9"/>
      <c r="AN220" s="41"/>
      <c r="AO220" s="41"/>
      <c r="AP220" s="41"/>
      <c r="AQ220" s="41"/>
      <c r="AR220" s="41"/>
      <c r="AS220" s="38" t="str">
        <f aca="false">IF(C220="","",IF(LEN(IF(AND(S220&lt;&gt;"",IFERROR(VALUE(MID(S220,2,2)),0)&lt;SG_Criteria!$B$19),"FAIL: grade below C"&amp;SG_Criteria!$B$19&amp;". ","")&amp;IF(AND(T220&lt;&gt;"",T220&lt;SG_Criteria!$B$20),"FAIL: cover &lt; "&amp;SG_Criteria!$B$20&amp;" mm. ","")&amp;IF(AND(H220&lt;&gt;"",H220&lt;SG_Criteria!$B$39),"NOTE: min depth below PUB "&amp;SG_Criteria!$B$39&amp;" m. ","")&amp;IF(AND(LEFT(C220,8)="Standard",I220&gt;SG_Criteria!$B$42),"FAIL: PUB 001C covers manholes up to "&amp;SG_Criteria!$B$42&amp;" m deep only. ","")&amp;IF(AND(LEFT(C220,11)="Rectangular",J220&lt;SG_Criteria!$B$43),"NOTE: 004C is for sewers &gt;= "&amp;SG_Criteria!$B$43&amp;" dia. ","")&amp;IF(AND(LEFT(C220,7)="Precast",I220&lt;=SG_Criteria!$B$42),"NOTE: 006C is for manholes &gt; "&amp;SG_Criteria!$B$42&amp;" m deep. ","")&amp;IF(AND(J220&lt;&gt;"",J220&lt;SG_Criteria!$B$40,C220&lt;&gt;"Inspection Chamber"),"NOTE: public sewer min dia "&amp;SG_Criteria!$B$40&amp;" mm. ","")&amp;IF(AND(R220&lt;&gt;"",R220&lt;SG_Criteria!$B$44),"FAIL: uplift FOS below "&amp;SG_Criteria!$B$44&amp;". ",""))=0,"OK",IF(AND(S220&lt;&gt;"",IFERROR(VALUE(MID(S220,2,2)),0)&lt;SG_Criteria!$B$19),"FAIL: grade below C"&amp;SG_Criteria!$B$19&amp;". ","")&amp;IF(AND(T220&lt;&gt;"",T220&lt;SG_Criteria!$B$20),"FAIL: cover &lt; "&amp;SG_Criteria!$B$20&amp;" mm. ","")&amp;IF(AND(H220&lt;&gt;"",H220&lt;SG_Criteria!$B$39),"NOTE: min depth below PUB "&amp;SG_Criteria!$B$39&amp;" m. ","")&amp;IF(AND(LEFT(C220,8)="Standard",I220&gt;SG_Criteria!$B$42),"FAIL: PUB 001C covers manholes up to "&amp;SG_Criteria!$B$42&amp;" m deep only. ","")&amp;IF(AND(LEFT(C220,11)="Rectangular",J220&lt;SG_Criteria!$B$43),"NOTE: 004C is for sewers &gt;= "&amp;SG_Criteria!$B$43&amp;" dia. ","")&amp;IF(AND(LEFT(C220,7)="Precast",I220&lt;=SG_Criteria!$B$42),"NOTE: 006C is for manholes &gt; "&amp;SG_Criteria!$B$42&amp;" m deep. ","")&amp;IF(AND(J220&lt;&gt;"",J220&lt;SG_Criteria!$B$40,C220&lt;&gt;"Inspection Chamber"),"NOTE: public sewer min dia "&amp;SG_Criteria!$B$40&amp;" mm. ","")&amp;IF(AND(R220&lt;&gt;"",R220&lt;SG_Criteria!$B$44),"FAIL: uplift FOS below "&amp;SG_Criteria!$B$44&amp;". ","")))</f>
        <v/>
      </c>
      <c r="AT220" s="9"/>
      <c r="AU220" s="9"/>
      <c r="AV220" s="9"/>
      <c r="AW220" s="9"/>
      <c r="AX220" s="9"/>
      <c r="AY220" s="31"/>
      <c r="AZ220" s="10" t="str">
        <f aca="false">IF(C220="","",IF(AND(AB220="Approved",ISERROR(SEARCH("FAIL",AS220))),"Y","N"))</f>
        <v/>
      </c>
      <c r="BA220" s="10" t="str">
        <f aca="false">IF(C220="","",C220&amp;"|"&amp;I220&amp;"|"&amp;F220&amp;"|"&amp;AZ220)</f>
        <v/>
      </c>
    </row>
    <row r="221" customFormat="false" ht="15" hidden="false" customHeight="false" outlineLevel="0" collapsed="false">
      <c r="A221" s="10" t="str">
        <f aca="false">IF(C221="","","MH-"&amp;IFERROR(VLOOKUP(C221,Lists!$AB$4:$AC$20,2,0),"??")&amp;"-"&amp;TEXT(F221,"0000")&amp;IF(E221="Circular","D","x"&amp;TEXT(G221,"0000"))&amp;"-D"&amp;TEXT(I221*1000,"0000")&amp;"-"&amp;IFERROR(VLOOKUP(D221,Lists!$AE$4:$AF$16,2,0),"??")&amp;"-"&amp;AA221)</f>
        <v/>
      </c>
      <c r="B221" s="10" t="str">
        <f aca="false">IF(C221="","",C221&amp;", "&amp;D221&amp;", "&amp;IF(E221="Circular",F221&amp;" dia",F221&amp;" x "&amp;G221)&amp;", depth "&amp;TEXT(H221,"0.0")&amp;"-"&amp;TEXT(I221,"0.0")&amp;" m, pipe up to "&amp;J221&amp;" dia")</f>
        <v/>
      </c>
      <c r="C221" s="9"/>
      <c r="D221" s="9"/>
      <c r="E221" s="9"/>
      <c r="F221" s="40"/>
      <c r="G221" s="40"/>
      <c r="H221" s="43"/>
      <c r="I221" s="43"/>
      <c r="J221" s="40"/>
      <c r="K221" s="40"/>
      <c r="L221" s="40"/>
      <c r="M221" s="40"/>
      <c r="N221" s="9"/>
      <c r="O221" s="9"/>
      <c r="P221" s="9"/>
      <c r="Q221" s="9"/>
      <c r="R221" s="41"/>
      <c r="S221" s="9"/>
      <c r="T221" s="40"/>
      <c r="U221" s="9"/>
      <c r="V221" s="9"/>
      <c r="W221" s="9"/>
      <c r="X221" s="9"/>
      <c r="Y221" s="9"/>
      <c r="Z221" s="9"/>
      <c r="AA221" s="9"/>
      <c r="AB221" s="9"/>
      <c r="AC221" s="9"/>
      <c r="AD221" s="9"/>
      <c r="AE221" s="9"/>
      <c r="AF221" s="10" t="str">
        <f aca="false">IF(A221="","",SG_Criteria!$B$6&amp;SG_Criteria!$B$10&amp;"\"&amp;A221&amp;"\")</f>
        <v/>
      </c>
      <c r="AG221" s="10" t="str">
        <f aca="false">IF(A221="","",A221&amp;"_CAD.dwg")</f>
        <v/>
      </c>
      <c r="AH221" s="10" t="str">
        <f aca="false">IF(A221="","",A221&amp;"_DWG.pdf")</f>
        <v/>
      </c>
      <c r="AI221" s="10" t="str">
        <f aca="false">IF(A221="","",IF(AE221="Y",A221&amp;"_STAAD.std","n/a"))</f>
        <v/>
      </c>
      <c r="AJ221" s="10" t="str">
        <f aca="false">IF(A221="","",A221&amp;"_CALC.xlsx")</f>
        <v/>
      </c>
      <c r="AK221" s="10" t="str">
        <f aca="false">IF(A221="","",A221&amp;"_CALC.pdf")</f>
        <v/>
      </c>
      <c r="AL221" s="9"/>
      <c r="AM221" s="9"/>
      <c r="AN221" s="41"/>
      <c r="AO221" s="41"/>
      <c r="AP221" s="41"/>
      <c r="AQ221" s="41"/>
      <c r="AR221" s="41"/>
      <c r="AS221" s="38" t="str">
        <f aca="false">IF(C221="","",IF(LEN(IF(AND(S221&lt;&gt;"",IFERROR(VALUE(MID(S221,2,2)),0)&lt;SG_Criteria!$B$19),"FAIL: grade below C"&amp;SG_Criteria!$B$19&amp;". ","")&amp;IF(AND(T221&lt;&gt;"",T221&lt;SG_Criteria!$B$20),"FAIL: cover &lt; "&amp;SG_Criteria!$B$20&amp;" mm. ","")&amp;IF(AND(H221&lt;&gt;"",H221&lt;SG_Criteria!$B$39),"NOTE: min depth below PUB "&amp;SG_Criteria!$B$39&amp;" m. ","")&amp;IF(AND(LEFT(C221,8)="Standard",I221&gt;SG_Criteria!$B$42),"FAIL: PUB 001C covers manholes up to "&amp;SG_Criteria!$B$42&amp;" m deep only. ","")&amp;IF(AND(LEFT(C221,11)="Rectangular",J221&lt;SG_Criteria!$B$43),"NOTE: 004C is for sewers &gt;= "&amp;SG_Criteria!$B$43&amp;" dia. ","")&amp;IF(AND(LEFT(C221,7)="Precast",I221&lt;=SG_Criteria!$B$42),"NOTE: 006C is for manholes &gt; "&amp;SG_Criteria!$B$42&amp;" m deep. ","")&amp;IF(AND(J221&lt;&gt;"",J221&lt;SG_Criteria!$B$40,C221&lt;&gt;"Inspection Chamber"),"NOTE: public sewer min dia "&amp;SG_Criteria!$B$40&amp;" mm. ","")&amp;IF(AND(R221&lt;&gt;"",R221&lt;SG_Criteria!$B$44),"FAIL: uplift FOS below "&amp;SG_Criteria!$B$44&amp;". ",""))=0,"OK",IF(AND(S221&lt;&gt;"",IFERROR(VALUE(MID(S221,2,2)),0)&lt;SG_Criteria!$B$19),"FAIL: grade below C"&amp;SG_Criteria!$B$19&amp;". ","")&amp;IF(AND(T221&lt;&gt;"",T221&lt;SG_Criteria!$B$20),"FAIL: cover &lt; "&amp;SG_Criteria!$B$20&amp;" mm. ","")&amp;IF(AND(H221&lt;&gt;"",H221&lt;SG_Criteria!$B$39),"NOTE: min depth below PUB "&amp;SG_Criteria!$B$39&amp;" m. ","")&amp;IF(AND(LEFT(C221,8)="Standard",I221&gt;SG_Criteria!$B$42),"FAIL: PUB 001C covers manholes up to "&amp;SG_Criteria!$B$42&amp;" m deep only. ","")&amp;IF(AND(LEFT(C221,11)="Rectangular",J221&lt;SG_Criteria!$B$43),"NOTE: 004C is for sewers &gt;= "&amp;SG_Criteria!$B$43&amp;" dia. ","")&amp;IF(AND(LEFT(C221,7)="Precast",I221&lt;=SG_Criteria!$B$42),"NOTE: 006C is for manholes &gt; "&amp;SG_Criteria!$B$42&amp;" m deep. ","")&amp;IF(AND(J221&lt;&gt;"",J221&lt;SG_Criteria!$B$40,C221&lt;&gt;"Inspection Chamber"),"NOTE: public sewer min dia "&amp;SG_Criteria!$B$40&amp;" mm. ","")&amp;IF(AND(R221&lt;&gt;"",R221&lt;SG_Criteria!$B$44),"FAIL: uplift FOS below "&amp;SG_Criteria!$B$44&amp;". ","")))</f>
        <v/>
      </c>
      <c r="AT221" s="9"/>
      <c r="AU221" s="9"/>
      <c r="AV221" s="9"/>
      <c r="AW221" s="9"/>
      <c r="AX221" s="9"/>
      <c r="AY221" s="31"/>
      <c r="AZ221" s="10" t="str">
        <f aca="false">IF(C221="","",IF(AND(AB221="Approved",ISERROR(SEARCH("FAIL",AS221))),"Y","N"))</f>
        <v/>
      </c>
      <c r="BA221" s="10" t="str">
        <f aca="false">IF(C221="","",C221&amp;"|"&amp;I221&amp;"|"&amp;F221&amp;"|"&amp;AZ221)</f>
        <v/>
      </c>
    </row>
    <row r="222" customFormat="false" ht="15" hidden="false" customHeight="false" outlineLevel="0" collapsed="false">
      <c r="A222" s="10" t="str">
        <f aca="false">IF(C222="","","MH-"&amp;IFERROR(VLOOKUP(C222,Lists!$AB$4:$AC$20,2,0),"??")&amp;"-"&amp;TEXT(F222,"0000")&amp;IF(E222="Circular","D","x"&amp;TEXT(G222,"0000"))&amp;"-D"&amp;TEXT(I222*1000,"0000")&amp;"-"&amp;IFERROR(VLOOKUP(D222,Lists!$AE$4:$AF$16,2,0),"??")&amp;"-"&amp;AA222)</f>
        <v/>
      </c>
      <c r="B222" s="10" t="str">
        <f aca="false">IF(C222="","",C222&amp;", "&amp;D222&amp;", "&amp;IF(E222="Circular",F222&amp;" dia",F222&amp;" x "&amp;G222)&amp;", depth "&amp;TEXT(H222,"0.0")&amp;"-"&amp;TEXT(I222,"0.0")&amp;" m, pipe up to "&amp;J222&amp;" dia")</f>
        <v/>
      </c>
      <c r="C222" s="9"/>
      <c r="D222" s="9"/>
      <c r="E222" s="9"/>
      <c r="F222" s="40"/>
      <c r="G222" s="40"/>
      <c r="H222" s="43"/>
      <c r="I222" s="43"/>
      <c r="J222" s="40"/>
      <c r="K222" s="40"/>
      <c r="L222" s="40"/>
      <c r="M222" s="40"/>
      <c r="N222" s="9"/>
      <c r="O222" s="9"/>
      <c r="P222" s="9"/>
      <c r="Q222" s="9"/>
      <c r="R222" s="41"/>
      <c r="S222" s="9"/>
      <c r="T222" s="40"/>
      <c r="U222" s="9"/>
      <c r="V222" s="9"/>
      <c r="W222" s="9"/>
      <c r="X222" s="9"/>
      <c r="Y222" s="9"/>
      <c r="Z222" s="9"/>
      <c r="AA222" s="9"/>
      <c r="AB222" s="9"/>
      <c r="AC222" s="9"/>
      <c r="AD222" s="9"/>
      <c r="AE222" s="9"/>
      <c r="AF222" s="10" t="str">
        <f aca="false">IF(A222="","",SG_Criteria!$B$6&amp;SG_Criteria!$B$10&amp;"\"&amp;A222&amp;"\")</f>
        <v/>
      </c>
      <c r="AG222" s="10" t="str">
        <f aca="false">IF(A222="","",A222&amp;"_CAD.dwg")</f>
        <v/>
      </c>
      <c r="AH222" s="10" t="str">
        <f aca="false">IF(A222="","",A222&amp;"_DWG.pdf")</f>
        <v/>
      </c>
      <c r="AI222" s="10" t="str">
        <f aca="false">IF(A222="","",IF(AE222="Y",A222&amp;"_STAAD.std","n/a"))</f>
        <v/>
      </c>
      <c r="AJ222" s="10" t="str">
        <f aca="false">IF(A222="","",A222&amp;"_CALC.xlsx")</f>
        <v/>
      </c>
      <c r="AK222" s="10" t="str">
        <f aca="false">IF(A222="","",A222&amp;"_CALC.pdf")</f>
        <v/>
      </c>
      <c r="AL222" s="9"/>
      <c r="AM222" s="9"/>
      <c r="AN222" s="41"/>
      <c r="AO222" s="41"/>
      <c r="AP222" s="41"/>
      <c r="AQ222" s="41"/>
      <c r="AR222" s="41"/>
      <c r="AS222" s="38" t="str">
        <f aca="false">IF(C222="","",IF(LEN(IF(AND(S222&lt;&gt;"",IFERROR(VALUE(MID(S222,2,2)),0)&lt;SG_Criteria!$B$19),"FAIL: grade below C"&amp;SG_Criteria!$B$19&amp;". ","")&amp;IF(AND(T222&lt;&gt;"",T222&lt;SG_Criteria!$B$20),"FAIL: cover &lt; "&amp;SG_Criteria!$B$20&amp;" mm. ","")&amp;IF(AND(H222&lt;&gt;"",H222&lt;SG_Criteria!$B$39),"NOTE: min depth below PUB "&amp;SG_Criteria!$B$39&amp;" m. ","")&amp;IF(AND(LEFT(C222,8)="Standard",I222&gt;SG_Criteria!$B$42),"FAIL: PUB 001C covers manholes up to "&amp;SG_Criteria!$B$42&amp;" m deep only. ","")&amp;IF(AND(LEFT(C222,11)="Rectangular",J222&lt;SG_Criteria!$B$43),"NOTE: 004C is for sewers &gt;= "&amp;SG_Criteria!$B$43&amp;" dia. ","")&amp;IF(AND(LEFT(C222,7)="Precast",I222&lt;=SG_Criteria!$B$42),"NOTE: 006C is for manholes &gt; "&amp;SG_Criteria!$B$42&amp;" m deep. ","")&amp;IF(AND(J222&lt;&gt;"",J222&lt;SG_Criteria!$B$40,C222&lt;&gt;"Inspection Chamber"),"NOTE: public sewer min dia "&amp;SG_Criteria!$B$40&amp;" mm. ","")&amp;IF(AND(R222&lt;&gt;"",R222&lt;SG_Criteria!$B$44),"FAIL: uplift FOS below "&amp;SG_Criteria!$B$44&amp;". ",""))=0,"OK",IF(AND(S222&lt;&gt;"",IFERROR(VALUE(MID(S222,2,2)),0)&lt;SG_Criteria!$B$19),"FAIL: grade below C"&amp;SG_Criteria!$B$19&amp;". ","")&amp;IF(AND(T222&lt;&gt;"",T222&lt;SG_Criteria!$B$20),"FAIL: cover &lt; "&amp;SG_Criteria!$B$20&amp;" mm. ","")&amp;IF(AND(H222&lt;&gt;"",H222&lt;SG_Criteria!$B$39),"NOTE: min depth below PUB "&amp;SG_Criteria!$B$39&amp;" m. ","")&amp;IF(AND(LEFT(C222,8)="Standard",I222&gt;SG_Criteria!$B$42),"FAIL: PUB 001C covers manholes up to "&amp;SG_Criteria!$B$42&amp;" m deep only. ","")&amp;IF(AND(LEFT(C222,11)="Rectangular",J222&lt;SG_Criteria!$B$43),"NOTE: 004C is for sewers &gt;= "&amp;SG_Criteria!$B$43&amp;" dia. ","")&amp;IF(AND(LEFT(C222,7)="Precast",I222&lt;=SG_Criteria!$B$42),"NOTE: 006C is for manholes &gt; "&amp;SG_Criteria!$B$42&amp;" m deep. ","")&amp;IF(AND(J222&lt;&gt;"",J222&lt;SG_Criteria!$B$40,C222&lt;&gt;"Inspection Chamber"),"NOTE: public sewer min dia "&amp;SG_Criteria!$B$40&amp;" mm. ","")&amp;IF(AND(R222&lt;&gt;"",R222&lt;SG_Criteria!$B$44),"FAIL: uplift FOS below "&amp;SG_Criteria!$B$44&amp;". ","")))</f>
        <v/>
      </c>
      <c r="AT222" s="9"/>
      <c r="AU222" s="9"/>
      <c r="AV222" s="9"/>
      <c r="AW222" s="9"/>
      <c r="AX222" s="9"/>
      <c r="AY222" s="31"/>
      <c r="AZ222" s="10" t="str">
        <f aca="false">IF(C222="","",IF(AND(AB222="Approved",ISERROR(SEARCH("FAIL",AS222))),"Y","N"))</f>
        <v/>
      </c>
      <c r="BA222" s="10" t="str">
        <f aca="false">IF(C222="","",C222&amp;"|"&amp;I222&amp;"|"&amp;F222&amp;"|"&amp;AZ222)</f>
        <v/>
      </c>
    </row>
    <row r="223" customFormat="false" ht="15" hidden="false" customHeight="false" outlineLevel="0" collapsed="false">
      <c r="A223" s="10" t="str">
        <f aca="false">IF(C223="","","MH-"&amp;IFERROR(VLOOKUP(C223,Lists!$AB$4:$AC$20,2,0),"??")&amp;"-"&amp;TEXT(F223,"0000")&amp;IF(E223="Circular","D","x"&amp;TEXT(G223,"0000"))&amp;"-D"&amp;TEXT(I223*1000,"0000")&amp;"-"&amp;IFERROR(VLOOKUP(D223,Lists!$AE$4:$AF$16,2,0),"??")&amp;"-"&amp;AA223)</f>
        <v/>
      </c>
      <c r="B223" s="10" t="str">
        <f aca="false">IF(C223="","",C223&amp;", "&amp;D223&amp;", "&amp;IF(E223="Circular",F223&amp;" dia",F223&amp;" x "&amp;G223)&amp;", depth "&amp;TEXT(H223,"0.0")&amp;"-"&amp;TEXT(I223,"0.0")&amp;" m, pipe up to "&amp;J223&amp;" dia")</f>
        <v/>
      </c>
      <c r="C223" s="9"/>
      <c r="D223" s="9"/>
      <c r="E223" s="9"/>
      <c r="F223" s="40"/>
      <c r="G223" s="40"/>
      <c r="H223" s="43"/>
      <c r="I223" s="43"/>
      <c r="J223" s="40"/>
      <c r="K223" s="40"/>
      <c r="L223" s="40"/>
      <c r="M223" s="40"/>
      <c r="N223" s="9"/>
      <c r="O223" s="9"/>
      <c r="P223" s="9"/>
      <c r="Q223" s="9"/>
      <c r="R223" s="41"/>
      <c r="S223" s="9"/>
      <c r="T223" s="40"/>
      <c r="U223" s="9"/>
      <c r="V223" s="9"/>
      <c r="W223" s="9"/>
      <c r="X223" s="9"/>
      <c r="Y223" s="9"/>
      <c r="Z223" s="9"/>
      <c r="AA223" s="9"/>
      <c r="AB223" s="9"/>
      <c r="AC223" s="9"/>
      <c r="AD223" s="9"/>
      <c r="AE223" s="9"/>
      <c r="AF223" s="10" t="str">
        <f aca="false">IF(A223="","",SG_Criteria!$B$6&amp;SG_Criteria!$B$10&amp;"\"&amp;A223&amp;"\")</f>
        <v/>
      </c>
      <c r="AG223" s="10" t="str">
        <f aca="false">IF(A223="","",A223&amp;"_CAD.dwg")</f>
        <v/>
      </c>
      <c r="AH223" s="10" t="str">
        <f aca="false">IF(A223="","",A223&amp;"_DWG.pdf")</f>
        <v/>
      </c>
      <c r="AI223" s="10" t="str">
        <f aca="false">IF(A223="","",IF(AE223="Y",A223&amp;"_STAAD.std","n/a"))</f>
        <v/>
      </c>
      <c r="AJ223" s="10" t="str">
        <f aca="false">IF(A223="","",A223&amp;"_CALC.xlsx")</f>
        <v/>
      </c>
      <c r="AK223" s="10" t="str">
        <f aca="false">IF(A223="","",A223&amp;"_CALC.pdf")</f>
        <v/>
      </c>
      <c r="AL223" s="9"/>
      <c r="AM223" s="9"/>
      <c r="AN223" s="41"/>
      <c r="AO223" s="41"/>
      <c r="AP223" s="41"/>
      <c r="AQ223" s="41"/>
      <c r="AR223" s="41"/>
      <c r="AS223" s="38" t="str">
        <f aca="false">IF(C223="","",IF(LEN(IF(AND(S223&lt;&gt;"",IFERROR(VALUE(MID(S223,2,2)),0)&lt;SG_Criteria!$B$19),"FAIL: grade below C"&amp;SG_Criteria!$B$19&amp;". ","")&amp;IF(AND(T223&lt;&gt;"",T223&lt;SG_Criteria!$B$20),"FAIL: cover &lt; "&amp;SG_Criteria!$B$20&amp;" mm. ","")&amp;IF(AND(H223&lt;&gt;"",H223&lt;SG_Criteria!$B$39),"NOTE: min depth below PUB "&amp;SG_Criteria!$B$39&amp;" m. ","")&amp;IF(AND(LEFT(C223,8)="Standard",I223&gt;SG_Criteria!$B$42),"FAIL: PUB 001C covers manholes up to "&amp;SG_Criteria!$B$42&amp;" m deep only. ","")&amp;IF(AND(LEFT(C223,11)="Rectangular",J223&lt;SG_Criteria!$B$43),"NOTE: 004C is for sewers &gt;= "&amp;SG_Criteria!$B$43&amp;" dia. ","")&amp;IF(AND(LEFT(C223,7)="Precast",I223&lt;=SG_Criteria!$B$42),"NOTE: 006C is for manholes &gt; "&amp;SG_Criteria!$B$42&amp;" m deep. ","")&amp;IF(AND(J223&lt;&gt;"",J223&lt;SG_Criteria!$B$40,C223&lt;&gt;"Inspection Chamber"),"NOTE: public sewer min dia "&amp;SG_Criteria!$B$40&amp;" mm. ","")&amp;IF(AND(R223&lt;&gt;"",R223&lt;SG_Criteria!$B$44),"FAIL: uplift FOS below "&amp;SG_Criteria!$B$44&amp;". ",""))=0,"OK",IF(AND(S223&lt;&gt;"",IFERROR(VALUE(MID(S223,2,2)),0)&lt;SG_Criteria!$B$19),"FAIL: grade below C"&amp;SG_Criteria!$B$19&amp;". ","")&amp;IF(AND(T223&lt;&gt;"",T223&lt;SG_Criteria!$B$20),"FAIL: cover &lt; "&amp;SG_Criteria!$B$20&amp;" mm. ","")&amp;IF(AND(H223&lt;&gt;"",H223&lt;SG_Criteria!$B$39),"NOTE: min depth below PUB "&amp;SG_Criteria!$B$39&amp;" m. ","")&amp;IF(AND(LEFT(C223,8)="Standard",I223&gt;SG_Criteria!$B$42),"FAIL: PUB 001C covers manholes up to "&amp;SG_Criteria!$B$42&amp;" m deep only. ","")&amp;IF(AND(LEFT(C223,11)="Rectangular",J223&lt;SG_Criteria!$B$43),"NOTE: 004C is for sewers &gt;= "&amp;SG_Criteria!$B$43&amp;" dia. ","")&amp;IF(AND(LEFT(C223,7)="Precast",I223&lt;=SG_Criteria!$B$42),"NOTE: 006C is for manholes &gt; "&amp;SG_Criteria!$B$42&amp;" m deep. ","")&amp;IF(AND(J223&lt;&gt;"",J223&lt;SG_Criteria!$B$40,C223&lt;&gt;"Inspection Chamber"),"NOTE: public sewer min dia "&amp;SG_Criteria!$B$40&amp;" mm. ","")&amp;IF(AND(R223&lt;&gt;"",R223&lt;SG_Criteria!$B$44),"FAIL: uplift FOS below "&amp;SG_Criteria!$B$44&amp;". ","")))</f>
        <v/>
      </c>
      <c r="AT223" s="9"/>
      <c r="AU223" s="9"/>
      <c r="AV223" s="9"/>
      <c r="AW223" s="9"/>
      <c r="AX223" s="9"/>
      <c r="AY223" s="31"/>
      <c r="AZ223" s="10" t="str">
        <f aca="false">IF(C223="","",IF(AND(AB223="Approved",ISERROR(SEARCH("FAIL",AS223))),"Y","N"))</f>
        <v/>
      </c>
      <c r="BA223" s="10" t="str">
        <f aca="false">IF(C223="","",C223&amp;"|"&amp;I223&amp;"|"&amp;F223&amp;"|"&amp;AZ223)</f>
        <v/>
      </c>
    </row>
    <row r="224" customFormat="false" ht="15" hidden="false" customHeight="false" outlineLevel="0" collapsed="false">
      <c r="A224" s="10" t="str">
        <f aca="false">IF(C224="","","MH-"&amp;IFERROR(VLOOKUP(C224,Lists!$AB$4:$AC$20,2,0),"??")&amp;"-"&amp;TEXT(F224,"0000")&amp;IF(E224="Circular","D","x"&amp;TEXT(G224,"0000"))&amp;"-D"&amp;TEXT(I224*1000,"0000")&amp;"-"&amp;IFERROR(VLOOKUP(D224,Lists!$AE$4:$AF$16,2,0),"??")&amp;"-"&amp;AA224)</f>
        <v/>
      </c>
      <c r="B224" s="10" t="str">
        <f aca="false">IF(C224="","",C224&amp;", "&amp;D224&amp;", "&amp;IF(E224="Circular",F224&amp;" dia",F224&amp;" x "&amp;G224)&amp;", depth "&amp;TEXT(H224,"0.0")&amp;"-"&amp;TEXT(I224,"0.0")&amp;" m, pipe up to "&amp;J224&amp;" dia")</f>
        <v/>
      </c>
      <c r="C224" s="9"/>
      <c r="D224" s="9"/>
      <c r="E224" s="9"/>
      <c r="F224" s="40"/>
      <c r="G224" s="40"/>
      <c r="H224" s="43"/>
      <c r="I224" s="43"/>
      <c r="J224" s="40"/>
      <c r="K224" s="40"/>
      <c r="L224" s="40"/>
      <c r="M224" s="40"/>
      <c r="N224" s="9"/>
      <c r="O224" s="9"/>
      <c r="P224" s="9"/>
      <c r="Q224" s="9"/>
      <c r="R224" s="41"/>
      <c r="S224" s="9"/>
      <c r="T224" s="40"/>
      <c r="U224" s="9"/>
      <c r="V224" s="9"/>
      <c r="W224" s="9"/>
      <c r="X224" s="9"/>
      <c r="Y224" s="9"/>
      <c r="Z224" s="9"/>
      <c r="AA224" s="9"/>
      <c r="AB224" s="9"/>
      <c r="AC224" s="9"/>
      <c r="AD224" s="9"/>
      <c r="AE224" s="9"/>
      <c r="AF224" s="10" t="str">
        <f aca="false">IF(A224="","",SG_Criteria!$B$6&amp;SG_Criteria!$B$10&amp;"\"&amp;A224&amp;"\")</f>
        <v/>
      </c>
      <c r="AG224" s="10" t="str">
        <f aca="false">IF(A224="","",A224&amp;"_CAD.dwg")</f>
        <v/>
      </c>
      <c r="AH224" s="10" t="str">
        <f aca="false">IF(A224="","",A224&amp;"_DWG.pdf")</f>
        <v/>
      </c>
      <c r="AI224" s="10" t="str">
        <f aca="false">IF(A224="","",IF(AE224="Y",A224&amp;"_STAAD.std","n/a"))</f>
        <v/>
      </c>
      <c r="AJ224" s="10" t="str">
        <f aca="false">IF(A224="","",A224&amp;"_CALC.xlsx")</f>
        <v/>
      </c>
      <c r="AK224" s="10" t="str">
        <f aca="false">IF(A224="","",A224&amp;"_CALC.pdf")</f>
        <v/>
      </c>
      <c r="AL224" s="9"/>
      <c r="AM224" s="9"/>
      <c r="AN224" s="41"/>
      <c r="AO224" s="41"/>
      <c r="AP224" s="41"/>
      <c r="AQ224" s="41"/>
      <c r="AR224" s="41"/>
      <c r="AS224" s="38" t="str">
        <f aca="false">IF(C224="","",IF(LEN(IF(AND(S224&lt;&gt;"",IFERROR(VALUE(MID(S224,2,2)),0)&lt;SG_Criteria!$B$19),"FAIL: grade below C"&amp;SG_Criteria!$B$19&amp;". ","")&amp;IF(AND(T224&lt;&gt;"",T224&lt;SG_Criteria!$B$20),"FAIL: cover &lt; "&amp;SG_Criteria!$B$20&amp;" mm. ","")&amp;IF(AND(H224&lt;&gt;"",H224&lt;SG_Criteria!$B$39),"NOTE: min depth below PUB "&amp;SG_Criteria!$B$39&amp;" m. ","")&amp;IF(AND(LEFT(C224,8)="Standard",I224&gt;SG_Criteria!$B$42),"FAIL: PUB 001C covers manholes up to "&amp;SG_Criteria!$B$42&amp;" m deep only. ","")&amp;IF(AND(LEFT(C224,11)="Rectangular",J224&lt;SG_Criteria!$B$43),"NOTE: 004C is for sewers &gt;= "&amp;SG_Criteria!$B$43&amp;" dia. ","")&amp;IF(AND(LEFT(C224,7)="Precast",I224&lt;=SG_Criteria!$B$42),"NOTE: 006C is for manholes &gt; "&amp;SG_Criteria!$B$42&amp;" m deep. ","")&amp;IF(AND(J224&lt;&gt;"",J224&lt;SG_Criteria!$B$40,C224&lt;&gt;"Inspection Chamber"),"NOTE: public sewer min dia "&amp;SG_Criteria!$B$40&amp;" mm. ","")&amp;IF(AND(R224&lt;&gt;"",R224&lt;SG_Criteria!$B$44),"FAIL: uplift FOS below "&amp;SG_Criteria!$B$44&amp;". ",""))=0,"OK",IF(AND(S224&lt;&gt;"",IFERROR(VALUE(MID(S224,2,2)),0)&lt;SG_Criteria!$B$19),"FAIL: grade below C"&amp;SG_Criteria!$B$19&amp;". ","")&amp;IF(AND(T224&lt;&gt;"",T224&lt;SG_Criteria!$B$20),"FAIL: cover &lt; "&amp;SG_Criteria!$B$20&amp;" mm. ","")&amp;IF(AND(H224&lt;&gt;"",H224&lt;SG_Criteria!$B$39),"NOTE: min depth below PUB "&amp;SG_Criteria!$B$39&amp;" m. ","")&amp;IF(AND(LEFT(C224,8)="Standard",I224&gt;SG_Criteria!$B$42),"FAIL: PUB 001C covers manholes up to "&amp;SG_Criteria!$B$42&amp;" m deep only. ","")&amp;IF(AND(LEFT(C224,11)="Rectangular",J224&lt;SG_Criteria!$B$43),"NOTE: 004C is for sewers &gt;= "&amp;SG_Criteria!$B$43&amp;" dia. ","")&amp;IF(AND(LEFT(C224,7)="Precast",I224&lt;=SG_Criteria!$B$42),"NOTE: 006C is for manholes &gt; "&amp;SG_Criteria!$B$42&amp;" m deep. ","")&amp;IF(AND(J224&lt;&gt;"",J224&lt;SG_Criteria!$B$40,C224&lt;&gt;"Inspection Chamber"),"NOTE: public sewer min dia "&amp;SG_Criteria!$B$40&amp;" mm. ","")&amp;IF(AND(R224&lt;&gt;"",R224&lt;SG_Criteria!$B$44),"FAIL: uplift FOS below "&amp;SG_Criteria!$B$44&amp;". ","")))</f>
        <v/>
      </c>
      <c r="AT224" s="9"/>
      <c r="AU224" s="9"/>
      <c r="AV224" s="9"/>
      <c r="AW224" s="9"/>
      <c r="AX224" s="9"/>
      <c r="AY224" s="31"/>
      <c r="AZ224" s="10" t="str">
        <f aca="false">IF(C224="","",IF(AND(AB224="Approved",ISERROR(SEARCH("FAIL",AS224))),"Y","N"))</f>
        <v/>
      </c>
      <c r="BA224" s="10" t="str">
        <f aca="false">IF(C224="","",C224&amp;"|"&amp;I224&amp;"|"&amp;F224&amp;"|"&amp;AZ224)</f>
        <v/>
      </c>
    </row>
    <row r="225" customFormat="false" ht="15" hidden="false" customHeight="false" outlineLevel="0" collapsed="false">
      <c r="A225" s="10" t="str">
        <f aca="false">IF(C225="","","MH-"&amp;IFERROR(VLOOKUP(C225,Lists!$AB$4:$AC$20,2,0),"??")&amp;"-"&amp;TEXT(F225,"0000")&amp;IF(E225="Circular","D","x"&amp;TEXT(G225,"0000"))&amp;"-D"&amp;TEXT(I225*1000,"0000")&amp;"-"&amp;IFERROR(VLOOKUP(D225,Lists!$AE$4:$AF$16,2,0),"??")&amp;"-"&amp;AA225)</f>
        <v/>
      </c>
      <c r="B225" s="10" t="str">
        <f aca="false">IF(C225="","",C225&amp;", "&amp;D225&amp;", "&amp;IF(E225="Circular",F225&amp;" dia",F225&amp;" x "&amp;G225)&amp;", depth "&amp;TEXT(H225,"0.0")&amp;"-"&amp;TEXT(I225,"0.0")&amp;" m, pipe up to "&amp;J225&amp;" dia")</f>
        <v/>
      </c>
      <c r="C225" s="9"/>
      <c r="D225" s="9"/>
      <c r="E225" s="9"/>
      <c r="F225" s="40"/>
      <c r="G225" s="40"/>
      <c r="H225" s="43"/>
      <c r="I225" s="43"/>
      <c r="J225" s="40"/>
      <c r="K225" s="40"/>
      <c r="L225" s="40"/>
      <c r="M225" s="40"/>
      <c r="N225" s="9"/>
      <c r="O225" s="9"/>
      <c r="P225" s="9"/>
      <c r="Q225" s="9"/>
      <c r="R225" s="41"/>
      <c r="S225" s="9"/>
      <c r="T225" s="40"/>
      <c r="U225" s="9"/>
      <c r="V225" s="9"/>
      <c r="W225" s="9"/>
      <c r="X225" s="9"/>
      <c r="Y225" s="9"/>
      <c r="Z225" s="9"/>
      <c r="AA225" s="9"/>
      <c r="AB225" s="9"/>
      <c r="AC225" s="9"/>
      <c r="AD225" s="9"/>
      <c r="AE225" s="9"/>
      <c r="AF225" s="10" t="str">
        <f aca="false">IF(A225="","",SG_Criteria!$B$6&amp;SG_Criteria!$B$10&amp;"\"&amp;A225&amp;"\")</f>
        <v/>
      </c>
      <c r="AG225" s="10" t="str">
        <f aca="false">IF(A225="","",A225&amp;"_CAD.dwg")</f>
        <v/>
      </c>
      <c r="AH225" s="10" t="str">
        <f aca="false">IF(A225="","",A225&amp;"_DWG.pdf")</f>
        <v/>
      </c>
      <c r="AI225" s="10" t="str">
        <f aca="false">IF(A225="","",IF(AE225="Y",A225&amp;"_STAAD.std","n/a"))</f>
        <v/>
      </c>
      <c r="AJ225" s="10" t="str">
        <f aca="false">IF(A225="","",A225&amp;"_CALC.xlsx")</f>
        <v/>
      </c>
      <c r="AK225" s="10" t="str">
        <f aca="false">IF(A225="","",A225&amp;"_CALC.pdf")</f>
        <v/>
      </c>
      <c r="AL225" s="9"/>
      <c r="AM225" s="9"/>
      <c r="AN225" s="41"/>
      <c r="AO225" s="41"/>
      <c r="AP225" s="41"/>
      <c r="AQ225" s="41"/>
      <c r="AR225" s="41"/>
      <c r="AS225" s="38" t="str">
        <f aca="false">IF(C225="","",IF(LEN(IF(AND(S225&lt;&gt;"",IFERROR(VALUE(MID(S225,2,2)),0)&lt;SG_Criteria!$B$19),"FAIL: grade below C"&amp;SG_Criteria!$B$19&amp;". ","")&amp;IF(AND(T225&lt;&gt;"",T225&lt;SG_Criteria!$B$20),"FAIL: cover &lt; "&amp;SG_Criteria!$B$20&amp;" mm. ","")&amp;IF(AND(H225&lt;&gt;"",H225&lt;SG_Criteria!$B$39),"NOTE: min depth below PUB "&amp;SG_Criteria!$B$39&amp;" m. ","")&amp;IF(AND(LEFT(C225,8)="Standard",I225&gt;SG_Criteria!$B$42),"FAIL: PUB 001C covers manholes up to "&amp;SG_Criteria!$B$42&amp;" m deep only. ","")&amp;IF(AND(LEFT(C225,11)="Rectangular",J225&lt;SG_Criteria!$B$43),"NOTE: 004C is for sewers &gt;= "&amp;SG_Criteria!$B$43&amp;" dia. ","")&amp;IF(AND(LEFT(C225,7)="Precast",I225&lt;=SG_Criteria!$B$42),"NOTE: 006C is for manholes &gt; "&amp;SG_Criteria!$B$42&amp;" m deep. ","")&amp;IF(AND(J225&lt;&gt;"",J225&lt;SG_Criteria!$B$40,C225&lt;&gt;"Inspection Chamber"),"NOTE: public sewer min dia "&amp;SG_Criteria!$B$40&amp;" mm. ","")&amp;IF(AND(R225&lt;&gt;"",R225&lt;SG_Criteria!$B$44),"FAIL: uplift FOS below "&amp;SG_Criteria!$B$44&amp;". ",""))=0,"OK",IF(AND(S225&lt;&gt;"",IFERROR(VALUE(MID(S225,2,2)),0)&lt;SG_Criteria!$B$19),"FAIL: grade below C"&amp;SG_Criteria!$B$19&amp;". ","")&amp;IF(AND(T225&lt;&gt;"",T225&lt;SG_Criteria!$B$20),"FAIL: cover &lt; "&amp;SG_Criteria!$B$20&amp;" mm. ","")&amp;IF(AND(H225&lt;&gt;"",H225&lt;SG_Criteria!$B$39),"NOTE: min depth below PUB "&amp;SG_Criteria!$B$39&amp;" m. ","")&amp;IF(AND(LEFT(C225,8)="Standard",I225&gt;SG_Criteria!$B$42),"FAIL: PUB 001C covers manholes up to "&amp;SG_Criteria!$B$42&amp;" m deep only. ","")&amp;IF(AND(LEFT(C225,11)="Rectangular",J225&lt;SG_Criteria!$B$43),"NOTE: 004C is for sewers &gt;= "&amp;SG_Criteria!$B$43&amp;" dia. ","")&amp;IF(AND(LEFT(C225,7)="Precast",I225&lt;=SG_Criteria!$B$42),"NOTE: 006C is for manholes &gt; "&amp;SG_Criteria!$B$42&amp;" m deep. ","")&amp;IF(AND(J225&lt;&gt;"",J225&lt;SG_Criteria!$B$40,C225&lt;&gt;"Inspection Chamber"),"NOTE: public sewer min dia "&amp;SG_Criteria!$B$40&amp;" mm. ","")&amp;IF(AND(R225&lt;&gt;"",R225&lt;SG_Criteria!$B$44),"FAIL: uplift FOS below "&amp;SG_Criteria!$B$44&amp;". ","")))</f>
        <v/>
      </c>
      <c r="AT225" s="9"/>
      <c r="AU225" s="9"/>
      <c r="AV225" s="9"/>
      <c r="AW225" s="9"/>
      <c r="AX225" s="9"/>
      <c r="AY225" s="31"/>
      <c r="AZ225" s="10" t="str">
        <f aca="false">IF(C225="","",IF(AND(AB225="Approved",ISERROR(SEARCH("FAIL",AS225))),"Y","N"))</f>
        <v/>
      </c>
      <c r="BA225" s="10" t="str">
        <f aca="false">IF(C225="","",C225&amp;"|"&amp;I225&amp;"|"&amp;F225&amp;"|"&amp;AZ225)</f>
        <v/>
      </c>
    </row>
    <row r="226" customFormat="false" ht="15" hidden="false" customHeight="false" outlineLevel="0" collapsed="false">
      <c r="A226" s="10" t="str">
        <f aca="false">IF(C226="","","MH-"&amp;IFERROR(VLOOKUP(C226,Lists!$AB$4:$AC$20,2,0),"??")&amp;"-"&amp;TEXT(F226,"0000")&amp;IF(E226="Circular","D","x"&amp;TEXT(G226,"0000"))&amp;"-D"&amp;TEXT(I226*1000,"0000")&amp;"-"&amp;IFERROR(VLOOKUP(D226,Lists!$AE$4:$AF$16,2,0),"??")&amp;"-"&amp;AA226)</f>
        <v/>
      </c>
      <c r="B226" s="10" t="str">
        <f aca="false">IF(C226="","",C226&amp;", "&amp;D226&amp;", "&amp;IF(E226="Circular",F226&amp;" dia",F226&amp;" x "&amp;G226)&amp;", depth "&amp;TEXT(H226,"0.0")&amp;"-"&amp;TEXT(I226,"0.0")&amp;" m, pipe up to "&amp;J226&amp;" dia")</f>
        <v/>
      </c>
      <c r="C226" s="9"/>
      <c r="D226" s="9"/>
      <c r="E226" s="9"/>
      <c r="F226" s="40"/>
      <c r="G226" s="40"/>
      <c r="H226" s="43"/>
      <c r="I226" s="43"/>
      <c r="J226" s="40"/>
      <c r="K226" s="40"/>
      <c r="L226" s="40"/>
      <c r="M226" s="40"/>
      <c r="N226" s="9"/>
      <c r="O226" s="9"/>
      <c r="P226" s="9"/>
      <c r="Q226" s="9"/>
      <c r="R226" s="41"/>
      <c r="S226" s="9"/>
      <c r="T226" s="40"/>
      <c r="U226" s="9"/>
      <c r="V226" s="9"/>
      <c r="W226" s="9"/>
      <c r="X226" s="9"/>
      <c r="Y226" s="9"/>
      <c r="Z226" s="9"/>
      <c r="AA226" s="9"/>
      <c r="AB226" s="9"/>
      <c r="AC226" s="9"/>
      <c r="AD226" s="9"/>
      <c r="AE226" s="9"/>
      <c r="AF226" s="10" t="str">
        <f aca="false">IF(A226="","",SG_Criteria!$B$6&amp;SG_Criteria!$B$10&amp;"\"&amp;A226&amp;"\")</f>
        <v/>
      </c>
      <c r="AG226" s="10" t="str">
        <f aca="false">IF(A226="","",A226&amp;"_CAD.dwg")</f>
        <v/>
      </c>
      <c r="AH226" s="10" t="str">
        <f aca="false">IF(A226="","",A226&amp;"_DWG.pdf")</f>
        <v/>
      </c>
      <c r="AI226" s="10" t="str">
        <f aca="false">IF(A226="","",IF(AE226="Y",A226&amp;"_STAAD.std","n/a"))</f>
        <v/>
      </c>
      <c r="AJ226" s="10" t="str">
        <f aca="false">IF(A226="","",A226&amp;"_CALC.xlsx")</f>
        <v/>
      </c>
      <c r="AK226" s="10" t="str">
        <f aca="false">IF(A226="","",A226&amp;"_CALC.pdf")</f>
        <v/>
      </c>
      <c r="AL226" s="9"/>
      <c r="AM226" s="9"/>
      <c r="AN226" s="41"/>
      <c r="AO226" s="41"/>
      <c r="AP226" s="41"/>
      <c r="AQ226" s="41"/>
      <c r="AR226" s="41"/>
      <c r="AS226" s="38" t="str">
        <f aca="false">IF(C226="","",IF(LEN(IF(AND(S226&lt;&gt;"",IFERROR(VALUE(MID(S226,2,2)),0)&lt;SG_Criteria!$B$19),"FAIL: grade below C"&amp;SG_Criteria!$B$19&amp;". ","")&amp;IF(AND(T226&lt;&gt;"",T226&lt;SG_Criteria!$B$20),"FAIL: cover &lt; "&amp;SG_Criteria!$B$20&amp;" mm. ","")&amp;IF(AND(H226&lt;&gt;"",H226&lt;SG_Criteria!$B$39),"NOTE: min depth below PUB "&amp;SG_Criteria!$B$39&amp;" m. ","")&amp;IF(AND(LEFT(C226,8)="Standard",I226&gt;SG_Criteria!$B$42),"FAIL: PUB 001C covers manholes up to "&amp;SG_Criteria!$B$42&amp;" m deep only. ","")&amp;IF(AND(LEFT(C226,11)="Rectangular",J226&lt;SG_Criteria!$B$43),"NOTE: 004C is for sewers &gt;= "&amp;SG_Criteria!$B$43&amp;" dia. ","")&amp;IF(AND(LEFT(C226,7)="Precast",I226&lt;=SG_Criteria!$B$42),"NOTE: 006C is for manholes &gt; "&amp;SG_Criteria!$B$42&amp;" m deep. ","")&amp;IF(AND(J226&lt;&gt;"",J226&lt;SG_Criteria!$B$40,C226&lt;&gt;"Inspection Chamber"),"NOTE: public sewer min dia "&amp;SG_Criteria!$B$40&amp;" mm. ","")&amp;IF(AND(R226&lt;&gt;"",R226&lt;SG_Criteria!$B$44),"FAIL: uplift FOS below "&amp;SG_Criteria!$B$44&amp;". ",""))=0,"OK",IF(AND(S226&lt;&gt;"",IFERROR(VALUE(MID(S226,2,2)),0)&lt;SG_Criteria!$B$19),"FAIL: grade below C"&amp;SG_Criteria!$B$19&amp;". ","")&amp;IF(AND(T226&lt;&gt;"",T226&lt;SG_Criteria!$B$20),"FAIL: cover &lt; "&amp;SG_Criteria!$B$20&amp;" mm. ","")&amp;IF(AND(H226&lt;&gt;"",H226&lt;SG_Criteria!$B$39),"NOTE: min depth below PUB "&amp;SG_Criteria!$B$39&amp;" m. ","")&amp;IF(AND(LEFT(C226,8)="Standard",I226&gt;SG_Criteria!$B$42),"FAIL: PUB 001C covers manholes up to "&amp;SG_Criteria!$B$42&amp;" m deep only. ","")&amp;IF(AND(LEFT(C226,11)="Rectangular",J226&lt;SG_Criteria!$B$43),"NOTE: 004C is for sewers &gt;= "&amp;SG_Criteria!$B$43&amp;" dia. ","")&amp;IF(AND(LEFT(C226,7)="Precast",I226&lt;=SG_Criteria!$B$42),"NOTE: 006C is for manholes &gt; "&amp;SG_Criteria!$B$42&amp;" m deep. ","")&amp;IF(AND(J226&lt;&gt;"",J226&lt;SG_Criteria!$B$40,C226&lt;&gt;"Inspection Chamber"),"NOTE: public sewer min dia "&amp;SG_Criteria!$B$40&amp;" mm. ","")&amp;IF(AND(R226&lt;&gt;"",R226&lt;SG_Criteria!$B$44),"FAIL: uplift FOS below "&amp;SG_Criteria!$B$44&amp;". ","")))</f>
        <v/>
      </c>
      <c r="AT226" s="9"/>
      <c r="AU226" s="9"/>
      <c r="AV226" s="9"/>
      <c r="AW226" s="9"/>
      <c r="AX226" s="9"/>
      <c r="AY226" s="31"/>
      <c r="AZ226" s="10" t="str">
        <f aca="false">IF(C226="","",IF(AND(AB226="Approved",ISERROR(SEARCH("FAIL",AS226))),"Y","N"))</f>
        <v/>
      </c>
      <c r="BA226" s="10" t="str">
        <f aca="false">IF(C226="","",C226&amp;"|"&amp;I226&amp;"|"&amp;F226&amp;"|"&amp;AZ226)</f>
        <v/>
      </c>
    </row>
    <row r="227" customFormat="false" ht="15" hidden="false" customHeight="false" outlineLevel="0" collapsed="false">
      <c r="A227" s="10" t="str">
        <f aca="false">IF(C227="","","MH-"&amp;IFERROR(VLOOKUP(C227,Lists!$AB$4:$AC$20,2,0),"??")&amp;"-"&amp;TEXT(F227,"0000")&amp;IF(E227="Circular","D","x"&amp;TEXT(G227,"0000"))&amp;"-D"&amp;TEXT(I227*1000,"0000")&amp;"-"&amp;IFERROR(VLOOKUP(D227,Lists!$AE$4:$AF$16,2,0),"??")&amp;"-"&amp;AA227)</f>
        <v/>
      </c>
      <c r="B227" s="10" t="str">
        <f aca="false">IF(C227="","",C227&amp;", "&amp;D227&amp;", "&amp;IF(E227="Circular",F227&amp;" dia",F227&amp;" x "&amp;G227)&amp;", depth "&amp;TEXT(H227,"0.0")&amp;"-"&amp;TEXT(I227,"0.0")&amp;" m, pipe up to "&amp;J227&amp;" dia")</f>
        <v/>
      </c>
      <c r="C227" s="9"/>
      <c r="D227" s="9"/>
      <c r="E227" s="9"/>
      <c r="F227" s="40"/>
      <c r="G227" s="40"/>
      <c r="H227" s="43"/>
      <c r="I227" s="43"/>
      <c r="J227" s="40"/>
      <c r="K227" s="40"/>
      <c r="L227" s="40"/>
      <c r="M227" s="40"/>
      <c r="N227" s="9"/>
      <c r="O227" s="9"/>
      <c r="P227" s="9"/>
      <c r="Q227" s="9"/>
      <c r="R227" s="41"/>
      <c r="S227" s="9"/>
      <c r="T227" s="40"/>
      <c r="U227" s="9"/>
      <c r="V227" s="9"/>
      <c r="W227" s="9"/>
      <c r="X227" s="9"/>
      <c r="Y227" s="9"/>
      <c r="Z227" s="9"/>
      <c r="AA227" s="9"/>
      <c r="AB227" s="9"/>
      <c r="AC227" s="9"/>
      <c r="AD227" s="9"/>
      <c r="AE227" s="9"/>
      <c r="AF227" s="10" t="str">
        <f aca="false">IF(A227="","",SG_Criteria!$B$6&amp;SG_Criteria!$B$10&amp;"\"&amp;A227&amp;"\")</f>
        <v/>
      </c>
      <c r="AG227" s="10" t="str">
        <f aca="false">IF(A227="","",A227&amp;"_CAD.dwg")</f>
        <v/>
      </c>
      <c r="AH227" s="10" t="str">
        <f aca="false">IF(A227="","",A227&amp;"_DWG.pdf")</f>
        <v/>
      </c>
      <c r="AI227" s="10" t="str">
        <f aca="false">IF(A227="","",IF(AE227="Y",A227&amp;"_STAAD.std","n/a"))</f>
        <v/>
      </c>
      <c r="AJ227" s="10" t="str">
        <f aca="false">IF(A227="","",A227&amp;"_CALC.xlsx")</f>
        <v/>
      </c>
      <c r="AK227" s="10" t="str">
        <f aca="false">IF(A227="","",A227&amp;"_CALC.pdf")</f>
        <v/>
      </c>
      <c r="AL227" s="9"/>
      <c r="AM227" s="9"/>
      <c r="AN227" s="41"/>
      <c r="AO227" s="41"/>
      <c r="AP227" s="41"/>
      <c r="AQ227" s="41"/>
      <c r="AR227" s="41"/>
      <c r="AS227" s="38" t="str">
        <f aca="false">IF(C227="","",IF(LEN(IF(AND(S227&lt;&gt;"",IFERROR(VALUE(MID(S227,2,2)),0)&lt;SG_Criteria!$B$19),"FAIL: grade below C"&amp;SG_Criteria!$B$19&amp;". ","")&amp;IF(AND(T227&lt;&gt;"",T227&lt;SG_Criteria!$B$20),"FAIL: cover &lt; "&amp;SG_Criteria!$B$20&amp;" mm. ","")&amp;IF(AND(H227&lt;&gt;"",H227&lt;SG_Criteria!$B$39),"NOTE: min depth below PUB "&amp;SG_Criteria!$B$39&amp;" m. ","")&amp;IF(AND(LEFT(C227,8)="Standard",I227&gt;SG_Criteria!$B$42),"FAIL: PUB 001C covers manholes up to "&amp;SG_Criteria!$B$42&amp;" m deep only. ","")&amp;IF(AND(LEFT(C227,11)="Rectangular",J227&lt;SG_Criteria!$B$43),"NOTE: 004C is for sewers &gt;= "&amp;SG_Criteria!$B$43&amp;" dia. ","")&amp;IF(AND(LEFT(C227,7)="Precast",I227&lt;=SG_Criteria!$B$42),"NOTE: 006C is for manholes &gt; "&amp;SG_Criteria!$B$42&amp;" m deep. ","")&amp;IF(AND(J227&lt;&gt;"",J227&lt;SG_Criteria!$B$40,C227&lt;&gt;"Inspection Chamber"),"NOTE: public sewer min dia "&amp;SG_Criteria!$B$40&amp;" mm. ","")&amp;IF(AND(R227&lt;&gt;"",R227&lt;SG_Criteria!$B$44),"FAIL: uplift FOS below "&amp;SG_Criteria!$B$44&amp;". ",""))=0,"OK",IF(AND(S227&lt;&gt;"",IFERROR(VALUE(MID(S227,2,2)),0)&lt;SG_Criteria!$B$19),"FAIL: grade below C"&amp;SG_Criteria!$B$19&amp;". ","")&amp;IF(AND(T227&lt;&gt;"",T227&lt;SG_Criteria!$B$20),"FAIL: cover &lt; "&amp;SG_Criteria!$B$20&amp;" mm. ","")&amp;IF(AND(H227&lt;&gt;"",H227&lt;SG_Criteria!$B$39),"NOTE: min depth below PUB "&amp;SG_Criteria!$B$39&amp;" m. ","")&amp;IF(AND(LEFT(C227,8)="Standard",I227&gt;SG_Criteria!$B$42),"FAIL: PUB 001C covers manholes up to "&amp;SG_Criteria!$B$42&amp;" m deep only. ","")&amp;IF(AND(LEFT(C227,11)="Rectangular",J227&lt;SG_Criteria!$B$43),"NOTE: 004C is for sewers &gt;= "&amp;SG_Criteria!$B$43&amp;" dia. ","")&amp;IF(AND(LEFT(C227,7)="Precast",I227&lt;=SG_Criteria!$B$42),"NOTE: 006C is for manholes &gt; "&amp;SG_Criteria!$B$42&amp;" m deep. ","")&amp;IF(AND(J227&lt;&gt;"",J227&lt;SG_Criteria!$B$40,C227&lt;&gt;"Inspection Chamber"),"NOTE: public sewer min dia "&amp;SG_Criteria!$B$40&amp;" mm. ","")&amp;IF(AND(R227&lt;&gt;"",R227&lt;SG_Criteria!$B$44),"FAIL: uplift FOS below "&amp;SG_Criteria!$B$44&amp;". ","")))</f>
        <v/>
      </c>
      <c r="AT227" s="9"/>
      <c r="AU227" s="9"/>
      <c r="AV227" s="9"/>
      <c r="AW227" s="9"/>
      <c r="AX227" s="9"/>
      <c r="AY227" s="31"/>
      <c r="AZ227" s="10" t="str">
        <f aca="false">IF(C227="","",IF(AND(AB227="Approved",ISERROR(SEARCH("FAIL",AS227))),"Y","N"))</f>
        <v/>
      </c>
      <c r="BA227" s="10" t="str">
        <f aca="false">IF(C227="","",C227&amp;"|"&amp;I227&amp;"|"&amp;F227&amp;"|"&amp;AZ227)</f>
        <v/>
      </c>
    </row>
    <row r="228" customFormat="false" ht="15" hidden="false" customHeight="false" outlineLevel="0" collapsed="false">
      <c r="A228" s="10" t="str">
        <f aca="false">IF(C228="","","MH-"&amp;IFERROR(VLOOKUP(C228,Lists!$AB$4:$AC$20,2,0),"??")&amp;"-"&amp;TEXT(F228,"0000")&amp;IF(E228="Circular","D","x"&amp;TEXT(G228,"0000"))&amp;"-D"&amp;TEXT(I228*1000,"0000")&amp;"-"&amp;IFERROR(VLOOKUP(D228,Lists!$AE$4:$AF$16,2,0),"??")&amp;"-"&amp;AA228)</f>
        <v/>
      </c>
      <c r="B228" s="10" t="str">
        <f aca="false">IF(C228="","",C228&amp;", "&amp;D228&amp;", "&amp;IF(E228="Circular",F228&amp;" dia",F228&amp;" x "&amp;G228)&amp;", depth "&amp;TEXT(H228,"0.0")&amp;"-"&amp;TEXT(I228,"0.0")&amp;" m, pipe up to "&amp;J228&amp;" dia")</f>
        <v/>
      </c>
      <c r="C228" s="9"/>
      <c r="D228" s="9"/>
      <c r="E228" s="9"/>
      <c r="F228" s="40"/>
      <c r="G228" s="40"/>
      <c r="H228" s="43"/>
      <c r="I228" s="43"/>
      <c r="J228" s="40"/>
      <c r="K228" s="40"/>
      <c r="L228" s="40"/>
      <c r="M228" s="40"/>
      <c r="N228" s="9"/>
      <c r="O228" s="9"/>
      <c r="P228" s="9"/>
      <c r="Q228" s="9"/>
      <c r="R228" s="41"/>
      <c r="S228" s="9"/>
      <c r="T228" s="40"/>
      <c r="U228" s="9"/>
      <c r="V228" s="9"/>
      <c r="W228" s="9"/>
      <c r="X228" s="9"/>
      <c r="Y228" s="9"/>
      <c r="Z228" s="9"/>
      <c r="AA228" s="9"/>
      <c r="AB228" s="9"/>
      <c r="AC228" s="9"/>
      <c r="AD228" s="9"/>
      <c r="AE228" s="9"/>
      <c r="AF228" s="10" t="str">
        <f aca="false">IF(A228="","",SG_Criteria!$B$6&amp;SG_Criteria!$B$10&amp;"\"&amp;A228&amp;"\")</f>
        <v/>
      </c>
      <c r="AG228" s="10" t="str">
        <f aca="false">IF(A228="","",A228&amp;"_CAD.dwg")</f>
        <v/>
      </c>
      <c r="AH228" s="10" t="str">
        <f aca="false">IF(A228="","",A228&amp;"_DWG.pdf")</f>
        <v/>
      </c>
      <c r="AI228" s="10" t="str">
        <f aca="false">IF(A228="","",IF(AE228="Y",A228&amp;"_STAAD.std","n/a"))</f>
        <v/>
      </c>
      <c r="AJ228" s="10" t="str">
        <f aca="false">IF(A228="","",A228&amp;"_CALC.xlsx")</f>
        <v/>
      </c>
      <c r="AK228" s="10" t="str">
        <f aca="false">IF(A228="","",A228&amp;"_CALC.pdf")</f>
        <v/>
      </c>
      <c r="AL228" s="9"/>
      <c r="AM228" s="9"/>
      <c r="AN228" s="41"/>
      <c r="AO228" s="41"/>
      <c r="AP228" s="41"/>
      <c r="AQ228" s="41"/>
      <c r="AR228" s="41"/>
      <c r="AS228" s="38" t="str">
        <f aca="false">IF(C228="","",IF(LEN(IF(AND(S228&lt;&gt;"",IFERROR(VALUE(MID(S228,2,2)),0)&lt;SG_Criteria!$B$19),"FAIL: grade below C"&amp;SG_Criteria!$B$19&amp;". ","")&amp;IF(AND(T228&lt;&gt;"",T228&lt;SG_Criteria!$B$20),"FAIL: cover &lt; "&amp;SG_Criteria!$B$20&amp;" mm. ","")&amp;IF(AND(H228&lt;&gt;"",H228&lt;SG_Criteria!$B$39),"NOTE: min depth below PUB "&amp;SG_Criteria!$B$39&amp;" m. ","")&amp;IF(AND(LEFT(C228,8)="Standard",I228&gt;SG_Criteria!$B$42),"FAIL: PUB 001C covers manholes up to "&amp;SG_Criteria!$B$42&amp;" m deep only. ","")&amp;IF(AND(LEFT(C228,11)="Rectangular",J228&lt;SG_Criteria!$B$43),"NOTE: 004C is for sewers &gt;= "&amp;SG_Criteria!$B$43&amp;" dia. ","")&amp;IF(AND(LEFT(C228,7)="Precast",I228&lt;=SG_Criteria!$B$42),"NOTE: 006C is for manholes &gt; "&amp;SG_Criteria!$B$42&amp;" m deep. ","")&amp;IF(AND(J228&lt;&gt;"",J228&lt;SG_Criteria!$B$40,C228&lt;&gt;"Inspection Chamber"),"NOTE: public sewer min dia "&amp;SG_Criteria!$B$40&amp;" mm. ","")&amp;IF(AND(R228&lt;&gt;"",R228&lt;SG_Criteria!$B$44),"FAIL: uplift FOS below "&amp;SG_Criteria!$B$44&amp;". ",""))=0,"OK",IF(AND(S228&lt;&gt;"",IFERROR(VALUE(MID(S228,2,2)),0)&lt;SG_Criteria!$B$19),"FAIL: grade below C"&amp;SG_Criteria!$B$19&amp;". ","")&amp;IF(AND(T228&lt;&gt;"",T228&lt;SG_Criteria!$B$20),"FAIL: cover &lt; "&amp;SG_Criteria!$B$20&amp;" mm. ","")&amp;IF(AND(H228&lt;&gt;"",H228&lt;SG_Criteria!$B$39),"NOTE: min depth below PUB "&amp;SG_Criteria!$B$39&amp;" m. ","")&amp;IF(AND(LEFT(C228,8)="Standard",I228&gt;SG_Criteria!$B$42),"FAIL: PUB 001C covers manholes up to "&amp;SG_Criteria!$B$42&amp;" m deep only. ","")&amp;IF(AND(LEFT(C228,11)="Rectangular",J228&lt;SG_Criteria!$B$43),"NOTE: 004C is for sewers &gt;= "&amp;SG_Criteria!$B$43&amp;" dia. ","")&amp;IF(AND(LEFT(C228,7)="Precast",I228&lt;=SG_Criteria!$B$42),"NOTE: 006C is for manholes &gt; "&amp;SG_Criteria!$B$42&amp;" m deep. ","")&amp;IF(AND(J228&lt;&gt;"",J228&lt;SG_Criteria!$B$40,C228&lt;&gt;"Inspection Chamber"),"NOTE: public sewer min dia "&amp;SG_Criteria!$B$40&amp;" mm. ","")&amp;IF(AND(R228&lt;&gt;"",R228&lt;SG_Criteria!$B$44),"FAIL: uplift FOS below "&amp;SG_Criteria!$B$44&amp;". ","")))</f>
        <v/>
      </c>
      <c r="AT228" s="9"/>
      <c r="AU228" s="9"/>
      <c r="AV228" s="9"/>
      <c r="AW228" s="9"/>
      <c r="AX228" s="9"/>
      <c r="AY228" s="31"/>
      <c r="AZ228" s="10" t="str">
        <f aca="false">IF(C228="","",IF(AND(AB228="Approved",ISERROR(SEARCH("FAIL",AS228))),"Y","N"))</f>
        <v/>
      </c>
      <c r="BA228" s="10" t="str">
        <f aca="false">IF(C228="","",C228&amp;"|"&amp;I228&amp;"|"&amp;F228&amp;"|"&amp;AZ228)</f>
        <v/>
      </c>
    </row>
    <row r="229" customFormat="false" ht="15" hidden="false" customHeight="false" outlineLevel="0" collapsed="false">
      <c r="A229" s="10" t="str">
        <f aca="false">IF(C229="","","MH-"&amp;IFERROR(VLOOKUP(C229,Lists!$AB$4:$AC$20,2,0),"??")&amp;"-"&amp;TEXT(F229,"0000")&amp;IF(E229="Circular","D","x"&amp;TEXT(G229,"0000"))&amp;"-D"&amp;TEXT(I229*1000,"0000")&amp;"-"&amp;IFERROR(VLOOKUP(D229,Lists!$AE$4:$AF$16,2,0),"??")&amp;"-"&amp;AA229)</f>
        <v/>
      </c>
      <c r="B229" s="10" t="str">
        <f aca="false">IF(C229="","",C229&amp;", "&amp;D229&amp;", "&amp;IF(E229="Circular",F229&amp;" dia",F229&amp;" x "&amp;G229)&amp;", depth "&amp;TEXT(H229,"0.0")&amp;"-"&amp;TEXT(I229,"0.0")&amp;" m, pipe up to "&amp;J229&amp;" dia")</f>
        <v/>
      </c>
      <c r="C229" s="9"/>
      <c r="D229" s="9"/>
      <c r="E229" s="9"/>
      <c r="F229" s="40"/>
      <c r="G229" s="40"/>
      <c r="H229" s="43"/>
      <c r="I229" s="43"/>
      <c r="J229" s="40"/>
      <c r="K229" s="40"/>
      <c r="L229" s="40"/>
      <c r="M229" s="40"/>
      <c r="N229" s="9"/>
      <c r="O229" s="9"/>
      <c r="P229" s="9"/>
      <c r="Q229" s="9"/>
      <c r="R229" s="41"/>
      <c r="S229" s="9"/>
      <c r="T229" s="40"/>
      <c r="U229" s="9"/>
      <c r="V229" s="9"/>
      <c r="W229" s="9"/>
      <c r="X229" s="9"/>
      <c r="Y229" s="9"/>
      <c r="Z229" s="9"/>
      <c r="AA229" s="9"/>
      <c r="AB229" s="9"/>
      <c r="AC229" s="9"/>
      <c r="AD229" s="9"/>
      <c r="AE229" s="9"/>
      <c r="AF229" s="10" t="str">
        <f aca="false">IF(A229="","",SG_Criteria!$B$6&amp;SG_Criteria!$B$10&amp;"\"&amp;A229&amp;"\")</f>
        <v/>
      </c>
      <c r="AG229" s="10" t="str">
        <f aca="false">IF(A229="","",A229&amp;"_CAD.dwg")</f>
        <v/>
      </c>
      <c r="AH229" s="10" t="str">
        <f aca="false">IF(A229="","",A229&amp;"_DWG.pdf")</f>
        <v/>
      </c>
      <c r="AI229" s="10" t="str">
        <f aca="false">IF(A229="","",IF(AE229="Y",A229&amp;"_STAAD.std","n/a"))</f>
        <v/>
      </c>
      <c r="AJ229" s="10" t="str">
        <f aca="false">IF(A229="","",A229&amp;"_CALC.xlsx")</f>
        <v/>
      </c>
      <c r="AK229" s="10" t="str">
        <f aca="false">IF(A229="","",A229&amp;"_CALC.pdf")</f>
        <v/>
      </c>
      <c r="AL229" s="9"/>
      <c r="AM229" s="9"/>
      <c r="AN229" s="41"/>
      <c r="AO229" s="41"/>
      <c r="AP229" s="41"/>
      <c r="AQ229" s="41"/>
      <c r="AR229" s="41"/>
      <c r="AS229" s="38" t="str">
        <f aca="false">IF(C229="","",IF(LEN(IF(AND(S229&lt;&gt;"",IFERROR(VALUE(MID(S229,2,2)),0)&lt;SG_Criteria!$B$19),"FAIL: grade below C"&amp;SG_Criteria!$B$19&amp;". ","")&amp;IF(AND(T229&lt;&gt;"",T229&lt;SG_Criteria!$B$20),"FAIL: cover &lt; "&amp;SG_Criteria!$B$20&amp;" mm. ","")&amp;IF(AND(H229&lt;&gt;"",H229&lt;SG_Criteria!$B$39),"NOTE: min depth below PUB "&amp;SG_Criteria!$B$39&amp;" m. ","")&amp;IF(AND(LEFT(C229,8)="Standard",I229&gt;SG_Criteria!$B$42),"FAIL: PUB 001C covers manholes up to "&amp;SG_Criteria!$B$42&amp;" m deep only. ","")&amp;IF(AND(LEFT(C229,11)="Rectangular",J229&lt;SG_Criteria!$B$43),"NOTE: 004C is for sewers &gt;= "&amp;SG_Criteria!$B$43&amp;" dia. ","")&amp;IF(AND(LEFT(C229,7)="Precast",I229&lt;=SG_Criteria!$B$42),"NOTE: 006C is for manholes &gt; "&amp;SG_Criteria!$B$42&amp;" m deep. ","")&amp;IF(AND(J229&lt;&gt;"",J229&lt;SG_Criteria!$B$40,C229&lt;&gt;"Inspection Chamber"),"NOTE: public sewer min dia "&amp;SG_Criteria!$B$40&amp;" mm. ","")&amp;IF(AND(R229&lt;&gt;"",R229&lt;SG_Criteria!$B$44),"FAIL: uplift FOS below "&amp;SG_Criteria!$B$44&amp;". ",""))=0,"OK",IF(AND(S229&lt;&gt;"",IFERROR(VALUE(MID(S229,2,2)),0)&lt;SG_Criteria!$B$19),"FAIL: grade below C"&amp;SG_Criteria!$B$19&amp;". ","")&amp;IF(AND(T229&lt;&gt;"",T229&lt;SG_Criteria!$B$20),"FAIL: cover &lt; "&amp;SG_Criteria!$B$20&amp;" mm. ","")&amp;IF(AND(H229&lt;&gt;"",H229&lt;SG_Criteria!$B$39),"NOTE: min depth below PUB "&amp;SG_Criteria!$B$39&amp;" m. ","")&amp;IF(AND(LEFT(C229,8)="Standard",I229&gt;SG_Criteria!$B$42),"FAIL: PUB 001C covers manholes up to "&amp;SG_Criteria!$B$42&amp;" m deep only. ","")&amp;IF(AND(LEFT(C229,11)="Rectangular",J229&lt;SG_Criteria!$B$43),"NOTE: 004C is for sewers &gt;= "&amp;SG_Criteria!$B$43&amp;" dia. ","")&amp;IF(AND(LEFT(C229,7)="Precast",I229&lt;=SG_Criteria!$B$42),"NOTE: 006C is for manholes &gt; "&amp;SG_Criteria!$B$42&amp;" m deep. ","")&amp;IF(AND(J229&lt;&gt;"",J229&lt;SG_Criteria!$B$40,C229&lt;&gt;"Inspection Chamber"),"NOTE: public sewer min dia "&amp;SG_Criteria!$B$40&amp;" mm. ","")&amp;IF(AND(R229&lt;&gt;"",R229&lt;SG_Criteria!$B$44),"FAIL: uplift FOS below "&amp;SG_Criteria!$B$44&amp;". ","")))</f>
        <v/>
      </c>
      <c r="AT229" s="9"/>
      <c r="AU229" s="9"/>
      <c r="AV229" s="9"/>
      <c r="AW229" s="9"/>
      <c r="AX229" s="9"/>
      <c r="AY229" s="31"/>
      <c r="AZ229" s="10" t="str">
        <f aca="false">IF(C229="","",IF(AND(AB229="Approved",ISERROR(SEARCH("FAIL",AS229))),"Y","N"))</f>
        <v/>
      </c>
      <c r="BA229" s="10" t="str">
        <f aca="false">IF(C229="","",C229&amp;"|"&amp;I229&amp;"|"&amp;F229&amp;"|"&amp;AZ229)</f>
        <v/>
      </c>
    </row>
    <row r="230" customFormat="false" ht="15" hidden="false" customHeight="false" outlineLevel="0" collapsed="false">
      <c r="A230" s="10" t="str">
        <f aca="false">IF(C230="","","MH-"&amp;IFERROR(VLOOKUP(C230,Lists!$AB$4:$AC$20,2,0),"??")&amp;"-"&amp;TEXT(F230,"0000")&amp;IF(E230="Circular","D","x"&amp;TEXT(G230,"0000"))&amp;"-D"&amp;TEXT(I230*1000,"0000")&amp;"-"&amp;IFERROR(VLOOKUP(D230,Lists!$AE$4:$AF$16,2,0),"??")&amp;"-"&amp;AA230)</f>
        <v/>
      </c>
      <c r="B230" s="10" t="str">
        <f aca="false">IF(C230="","",C230&amp;", "&amp;D230&amp;", "&amp;IF(E230="Circular",F230&amp;" dia",F230&amp;" x "&amp;G230)&amp;", depth "&amp;TEXT(H230,"0.0")&amp;"-"&amp;TEXT(I230,"0.0")&amp;" m, pipe up to "&amp;J230&amp;" dia")</f>
        <v/>
      </c>
      <c r="C230" s="9"/>
      <c r="D230" s="9"/>
      <c r="E230" s="9"/>
      <c r="F230" s="40"/>
      <c r="G230" s="40"/>
      <c r="H230" s="43"/>
      <c r="I230" s="43"/>
      <c r="J230" s="40"/>
      <c r="K230" s="40"/>
      <c r="L230" s="40"/>
      <c r="M230" s="40"/>
      <c r="N230" s="9"/>
      <c r="O230" s="9"/>
      <c r="P230" s="9"/>
      <c r="Q230" s="9"/>
      <c r="R230" s="41"/>
      <c r="S230" s="9"/>
      <c r="T230" s="40"/>
      <c r="U230" s="9"/>
      <c r="V230" s="9"/>
      <c r="W230" s="9"/>
      <c r="X230" s="9"/>
      <c r="Y230" s="9"/>
      <c r="Z230" s="9"/>
      <c r="AA230" s="9"/>
      <c r="AB230" s="9"/>
      <c r="AC230" s="9"/>
      <c r="AD230" s="9"/>
      <c r="AE230" s="9"/>
      <c r="AF230" s="10" t="str">
        <f aca="false">IF(A230="","",SG_Criteria!$B$6&amp;SG_Criteria!$B$10&amp;"\"&amp;A230&amp;"\")</f>
        <v/>
      </c>
      <c r="AG230" s="10" t="str">
        <f aca="false">IF(A230="","",A230&amp;"_CAD.dwg")</f>
        <v/>
      </c>
      <c r="AH230" s="10" t="str">
        <f aca="false">IF(A230="","",A230&amp;"_DWG.pdf")</f>
        <v/>
      </c>
      <c r="AI230" s="10" t="str">
        <f aca="false">IF(A230="","",IF(AE230="Y",A230&amp;"_STAAD.std","n/a"))</f>
        <v/>
      </c>
      <c r="AJ230" s="10" t="str">
        <f aca="false">IF(A230="","",A230&amp;"_CALC.xlsx")</f>
        <v/>
      </c>
      <c r="AK230" s="10" t="str">
        <f aca="false">IF(A230="","",A230&amp;"_CALC.pdf")</f>
        <v/>
      </c>
      <c r="AL230" s="9"/>
      <c r="AM230" s="9"/>
      <c r="AN230" s="41"/>
      <c r="AO230" s="41"/>
      <c r="AP230" s="41"/>
      <c r="AQ230" s="41"/>
      <c r="AR230" s="41"/>
      <c r="AS230" s="38" t="str">
        <f aca="false">IF(C230="","",IF(LEN(IF(AND(S230&lt;&gt;"",IFERROR(VALUE(MID(S230,2,2)),0)&lt;SG_Criteria!$B$19),"FAIL: grade below C"&amp;SG_Criteria!$B$19&amp;". ","")&amp;IF(AND(T230&lt;&gt;"",T230&lt;SG_Criteria!$B$20),"FAIL: cover &lt; "&amp;SG_Criteria!$B$20&amp;" mm. ","")&amp;IF(AND(H230&lt;&gt;"",H230&lt;SG_Criteria!$B$39),"NOTE: min depth below PUB "&amp;SG_Criteria!$B$39&amp;" m. ","")&amp;IF(AND(LEFT(C230,8)="Standard",I230&gt;SG_Criteria!$B$42),"FAIL: PUB 001C covers manholes up to "&amp;SG_Criteria!$B$42&amp;" m deep only. ","")&amp;IF(AND(LEFT(C230,11)="Rectangular",J230&lt;SG_Criteria!$B$43),"NOTE: 004C is for sewers &gt;= "&amp;SG_Criteria!$B$43&amp;" dia. ","")&amp;IF(AND(LEFT(C230,7)="Precast",I230&lt;=SG_Criteria!$B$42),"NOTE: 006C is for manholes &gt; "&amp;SG_Criteria!$B$42&amp;" m deep. ","")&amp;IF(AND(J230&lt;&gt;"",J230&lt;SG_Criteria!$B$40,C230&lt;&gt;"Inspection Chamber"),"NOTE: public sewer min dia "&amp;SG_Criteria!$B$40&amp;" mm. ","")&amp;IF(AND(R230&lt;&gt;"",R230&lt;SG_Criteria!$B$44),"FAIL: uplift FOS below "&amp;SG_Criteria!$B$44&amp;". ",""))=0,"OK",IF(AND(S230&lt;&gt;"",IFERROR(VALUE(MID(S230,2,2)),0)&lt;SG_Criteria!$B$19),"FAIL: grade below C"&amp;SG_Criteria!$B$19&amp;". ","")&amp;IF(AND(T230&lt;&gt;"",T230&lt;SG_Criteria!$B$20),"FAIL: cover &lt; "&amp;SG_Criteria!$B$20&amp;" mm. ","")&amp;IF(AND(H230&lt;&gt;"",H230&lt;SG_Criteria!$B$39),"NOTE: min depth below PUB "&amp;SG_Criteria!$B$39&amp;" m. ","")&amp;IF(AND(LEFT(C230,8)="Standard",I230&gt;SG_Criteria!$B$42),"FAIL: PUB 001C covers manholes up to "&amp;SG_Criteria!$B$42&amp;" m deep only. ","")&amp;IF(AND(LEFT(C230,11)="Rectangular",J230&lt;SG_Criteria!$B$43),"NOTE: 004C is for sewers &gt;= "&amp;SG_Criteria!$B$43&amp;" dia. ","")&amp;IF(AND(LEFT(C230,7)="Precast",I230&lt;=SG_Criteria!$B$42),"NOTE: 006C is for manholes &gt; "&amp;SG_Criteria!$B$42&amp;" m deep. ","")&amp;IF(AND(J230&lt;&gt;"",J230&lt;SG_Criteria!$B$40,C230&lt;&gt;"Inspection Chamber"),"NOTE: public sewer min dia "&amp;SG_Criteria!$B$40&amp;" mm. ","")&amp;IF(AND(R230&lt;&gt;"",R230&lt;SG_Criteria!$B$44),"FAIL: uplift FOS below "&amp;SG_Criteria!$B$44&amp;". ","")))</f>
        <v/>
      </c>
      <c r="AT230" s="9"/>
      <c r="AU230" s="9"/>
      <c r="AV230" s="9"/>
      <c r="AW230" s="9"/>
      <c r="AX230" s="9"/>
      <c r="AY230" s="31"/>
      <c r="AZ230" s="10" t="str">
        <f aca="false">IF(C230="","",IF(AND(AB230="Approved",ISERROR(SEARCH("FAIL",AS230))),"Y","N"))</f>
        <v/>
      </c>
      <c r="BA230" s="10" t="str">
        <f aca="false">IF(C230="","",C230&amp;"|"&amp;I230&amp;"|"&amp;F230&amp;"|"&amp;AZ230)</f>
        <v/>
      </c>
    </row>
    <row r="231" customFormat="false" ht="15" hidden="false" customHeight="false" outlineLevel="0" collapsed="false">
      <c r="A231" s="10" t="str">
        <f aca="false">IF(C231="","","MH-"&amp;IFERROR(VLOOKUP(C231,Lists!$AB$4:$AC$20,2,0),"??")&amp;"-"&amp;TEXT(F231,"0000")&amp;IF(E231="Circular","D","x"&amp;TEXT(G231,"0000"))&amp;"-D"&amp;TEXT(I231*1000,"0000")&amp;"-"&amp;IFERROR(VLOOKUP(D231,Lists!$AE$4:$AF$16,2,0),"??")&amp;"-"&amp;AA231)</f>
        <v/>
      </c>
      <c r="B231" s="10" t="str">
        <f aca="false">IF(C231="","",C231&amp;", "&amp;D231&amp;", "&amp;IF(E231="Circular",F231&amp;" dia",F231&amp;" x "&amp;G231)&amp;", depth "&amp;TEXT(H231,"0.0")&amp;"-"&amp;TEXT(I231,"0.0")&amp;" m, pipe up to "&amp;J231&amp;" dia")</f>
        <v/>
      </c>
      <c r="C231" s="9"/>
      <c r="D231" s="9"/>
      <c r="E231" s="9"/>
      <c r="F231" s="40"/>
      <c r="G231" s="40"/>
      <c r="H231" s="43"/>
      <c r="I231" s="43"/>
      <c r="J231" s="40"/>
      <c r="K231" s="40"/>
      <c r="L231" s="40"/>
      <c r="M231" s="40"/>
      <c r="N231" s="9"/>
      <c r="O231" s="9"/>
      <c r="P231" s="9"/>
      <c r="Q231" s="9"/>
      <c r="R231" s="41"/>
      <c r="S231" s="9"/>
      <c r="T231" s="40"/>
      <c r="U231" s="9"/>
      <c r="V231" s="9"/>
      <c r="W231" s="9"/>
      <c r="X231" s="9"/>
      <c r="Y231" s="9"/>
      <c r="Z231" s="9"/>
      <c r="AA231" s="9"/>
      <c r="AB231" s="9"/>
      <c r="AC231" s="9"/>
      <c r="AD231" s="9"/>
      <c r="AE231" s="9"/>
      <c r="AF231" s="10" t="str">
        <f aca="false">IF(A231="","",SG_Criteria!$B$6&amp;SG_Criteria!$B$10&amp;"\"&amp;A231&amp;"\")</f>
        <v/>
      </c>
      <c r="AG231" s="10" t="str">
        <f aca="false">IF(A231="","",A231&amp;"_CAD.dwg")</f>
        <v/>
      </c>
      <c r="AH231" s="10" t="str">
        <f aca="false">IF(A231="","",A231&amp;"_DWG.pdf")</f>
        <v/>
      </c>
      <c r="AI231" s="10" t="str">
        <f aca="false">IF(A231="","",IF(AE231="Y",A231&amp;"_STAAD.std","n/a"))</f>
        <v/>
      </c>
      <c r="AJ231" s="10" t="str">
        <f aca="false">IF(A231="","",A231&amp;"_CALC.xlsx")</f>
        <v/>
      </c>
      <c r="AK231" s="10" t="str">
        <f aca="false">IF(A231="","",A231&amp;"_CALC.pdf")</f>
        <v/>
      </c>
      <c r="AL231" s="9"/>
      <c r="AM231" s="9"/>
      <c r="AN231" s="41"/>
      <c r="AO231" s="41"/>
      <c r="AP231" s="41"/>
      <c r="AQ231" s="41"/>
      <c r="AR231" s="41"/>
      <c r="AS231" s="38" t="str">
        <f aca="false">IF(C231="","",IF(LEN(IF(AND(S231&lt;&gt;"",IFERROR(VALUE(MID(S231,2,2)),0)&lt;SG_Criteria!$B$19),"FAIL: grade below C"&amp;SG_Criteria!$B$19&amp;". ","")&amp;IF(AND(T231&lt;&gt;"",T231&lt;SG_Criteria!$B$20),"FAIL: cover &lt; "&amp;SG_Criteria!$B$20&amp;" mm. ","")&amp;IF(AND(H231&lt;&gt;"",H231&lt;SG_Criteria!$B$39),"NOTE: min depth below PUB "&amp;SG_Criteria!$B$39&amp;" m. ","")&amp;IF(AND(LEFT(C231,8)="Standard",I231&gt;SG_Criteria!$B$42),"FAIL: PUB 001C covers manholes up to "&amp;SG_Criteria!$B$42&amp;" m deep only. ","")&amp;IF(AND(LEFT(C231,11)="Rectangular",J231&lt;SG_Criteria!$B$43),"NOTE: 004C is for sewers &gt;= "&amp;SG_Criteria!$B$43&amp;" dia. ","")&amp;IF(AND(LEFT(C231,7)="Precast",I231&lt;=SG_Criteria!$B$42),"NOTE: 006C is for manholes &gt; "&amp;SG_Criteria!$B$42&amp;" m deep. ","")&amp;IF(AND(J231&lt;&gt;"",J231&lt;SG_Criteria!$B$40,C231&lt;&gt;"Inspection Chamber"),"NOTE: public sewer min dia "&amp;SG_Criteria!$B$40&amp;" mm. ","")&amp;IF(AND(R231&lt;&gt;"",R231&lt;SG_Criteria!$B$44),"FAIL: uplift FOS below "&amp;SG_Criteria!$B$44&amp;". ",""))=0,"OK",IF(AND(S231&lt;&gt;"",IFERROR(VALUE(MID(S231,2,2)),0)&lt;SG_Criteria!$B$19),"FAIL: grade below C"&amp;SG_Criteria!$B$19&amp;". ","")&amp;IF(AND(T231&lt;&gt;"",T231&lt;SG_Criteria!$B$20),"FAIL: cover &lt; "&amp;SG_Criteria!$B$20&amp;" mm. ","")&amp;IF(AND(H231&lt;&gt;"",H231&lt;SG_Criteria!$B$39),"NOTE: min depth below PUB "&amp;SG_Criteria!$B$39&amp;" m. ","")&amp;IF(AND(LEFT(C231,8)="Standard",I231&gt;SG_Criteria!$B$42),"FAIL: PUB 001C covers manholes up to "&amp;SG_Criteria!$B$42&amp;" m deep only. ","")&amp;IF(AND(LEFT(C231,11)="Rectangular",J231&lt;SG_Criteria!$B$43),"NOTE: 004C is for sewers &gt;= "&amp;SG_Criteria!$B$43&amp;" dia. ","")&amp;IF(AND(LEFT(C231,7)="Precast",I231&lt;=SG_Criteria!$B$42),"NOTE: 006C is for manholes &gt; "&amp;SG_Criteria!$B$42&amp;" m deep. ","")&amp;IF(AND(J231&lt;&gt;"",J231&lt;SG_Criteria!$B$40,C231&lt;&gt;"Inspection Chamber"),"NOTE: public sewer min dia "&amp;SG_Criteria!$B$40&amp;" mm. ","")&amp;IF(AND(R231&lt;&gt;"",R231&lt;SG_Criteria!$B$44),"FAIL: uplift FOS below "&amp;SG_Criteria!$B$44&amp;". ","")))</f>
        <v/>
      </c>
      <c r="AT231" s="9"/>
      <c r="AU231" s="9"/>
      <c r="AV231" s="9"/>
      <c r="AW231" s="9"/>
      <c r="AX231" s="9"/>
      <c r="AY231" s="31"/>
      <c r="AZ231" s="10" t="str">
        <f aca="false">IF(C231="","",IF(AND(AB231="Approved",ISERROR(SEARCH("FAIL",AS231))),"Y","N"))</f>
        <v/>
      </c>
      <c r="BA231" s="10" t="str">
        <f aca="false">IF(C231="","",C231&amp;"|"&amp;I231&amp;"|"&amp;F231&amp;"|"&amp;AZ231)</f>
        <v/>
      </c>
    </row>
    <row r="232" customFormat="false" ht="15" hidden="false" customHeight="false" outlineLevel="0" collapsed="false">
      <c r="A232" s="10" t="str">
        <f aca="false">IF(C232="","","MH-"&amp;IFERROR(VLOOKUP(C232,Lists!$AB$4:$AC$20,2,0),"??")&amp;"-"&amp;TEXT(F232,"0000")&amp;IF(E232="Circular","D","x"&amp;TEXT(G232,"0000"))&amp;"-D"&amp;TEXT(I232*1000,"0000")&amp;"-"&amp;IFERROR(VLOOKUP(D232,Lists!$AE$4:$AF$16,2,0),"??")&amp;"-"&amp;AA232)</f>
        <v/>
      </c>
      <c r="B232" s="10" t="str">
        <f aca="false">IF(C232="","",C232&amp;", "&amp;D232&amp;", "&amp;IF(E232="Circular",F232&amp;" dia",F232&amp;" x "&amp;G232)&amp;", depth "&amp;TEXT(H232,"0.0")&amp;"-"&amp;TEXT(I232,"0.0")&amp;" m, pipe up to "&amp;J232&amp;" dia")</f>
        <v/>
      </c>
      <c r="C232" s="9"/>
      <c r="D232" s="9"/>
      <c r="E232" s="9"/>
      <c r="F232" s="40"/>
      <c r="G232" s="40"/>
      <c r="H232" s="43"/>
      <c r="I232" s="43"/>
      <c r="J232" s="40"/>
      <c r="K232" s="40"/>
      <c r="L232" s="40"/>
      <c r="M232" s="40"/>
      <c r="N232" s="9"/>
      <c r="O232" s="9"/>
      <c r="P232" s="9"/>
      <c r="Q232" s="9"/>
      <c r="R232" s="41"/>
      <c r="S232" s="9"/>
      <c r="T232" s="40"/>
      <c r="U232" s="9"/>
      <c r="V232" s="9"/>
      <c r="W232" s="9"/>
      <c r="X232" s="9"/>
      <c r="Y232" s="9"/>
      <c r="Z232" s="9"/>
      <c r="AA232" s="9"/>
      <c r="AB232" s="9"/>
      <c r="AC232" s="9"/>
      <c r="AD232" s="9"/>
      <c r="AE232" s="9"/>
      <c r="AF232" s="10" t="str">
        <f aca="false">IF(A232="","",SG_Criteria!$B$6&amp;SG_Criteria!$B$10&amp;"\"&amp;A232&amp;"\")</f>
        <v/>
      </c>
      <c r="AG232" s="10" t="str">
        <f aca="false">IF(A232="","",A232&amp;"_CAD.dwg")</f>
        <v/>
      </c>
      <c r="AH232" s="10" t="str">
        <f aca="false">IF(A232="","",A232&amp;"_DWG.pdf")</f>
        <v/>
      </c>
      <c r="AI232" s="10" t="str">
        <f aca="false">IF(A232="","",IF(AE232="Y",A232&amp;"_STAAD.std","n/a"))</f>
        <v/>
      </c>
      <c r="AJ232" s="10" t="str">
        <f aca="false">IF(A232="","",A232&amp;"_CALC.xlsx")</f>
        <v/>
      </c>
      <c r="AK232" s="10" t="str">
        <f aca="false">IF(A232="","",A232&amp;"_CALC.pdf")</f>
        <v/>
      </c>
      <c r="AL232" s="9"/>
      <c r="AM232" s="9"/>
      <c r="AN232" s="41"/>
      <c r="AO232" s="41"/>
      <c r="AP232" s="41"/>
      <c r="AQ232" s="41"/>
      <c r="AR232" s="41"/>
      <c r="AS232" s="38" t="str">
        <f aca="false">IF(C232="","",IF(LEN(IF(AND(S232&lt;&gt;"",IFERROR(VALUE(MID(S232,2,2)),0)&lt;SG_Criteria!$B$19),"FAIL: grade below C"&amp;SG_Criteria!$B$19&amp;". ","")&amp;IF(AND(T232&lt;&gt;"",T232&lt;SG_Criteria!$B$20),"FAIL: cover &lt; "&amp;SG_Criteria!$B$20&amp;" mm. ","")&amp;IF(AND(H232&lt;&gt;"",H232&lt;SG_Criteria!$B$39),"NOTE: min depth below PUB "&amp;SG_Criteria!$B$39&amp;" m. ","")&amp;IF(AND(LEFT(C232,8)="Standard",I232&gt;SG_Criteria!$B$42),"FAIL: PUB 001C covers manholes up to "&amp;SG_Criteria!$B$42&amp;" m deep only. ","")&amp;IF(AND(LEFT(C232,11)="Rectangular",J232&lt;SG_Criteria!$B$43),"NOTE: 004C is for sewers &gt;= "&amp;SG_Criteria!$B$43&amp;" dia. ","")&amp;IF(AND(LEFT(C232,7)="Precast",I232&lt;=SG_Criteria!$B$42),"NOTE: 006C is for manholes &gt; "&amp;SG_Criteria!$B$42&amp;" m deep. ","")&amp;IF(AND(J232&lt;&gt;"",J232&lt;SG_Criteria!$B$40,C232&lt;&gt;"Inspection Chamber"),"NOTE: public sewer min dia "&amp;SG_Criteria!$B$40&amp;" mm. ","")&amp;IF(AND(R232&lt;&gt;"",R232&lt;SG_Criteria!$B$44),"FAIL: uplift FOS below "&amp;SG_Criteria!$B$44&amp;". ",""))=0,"OK",IF(AND(S232&lt;&gt;"",IFERROR(VALUE(MID(S232,2,2)),0)&lt;SG_Criteria!$B$19),"FAIL: grade below C"&amp;SG_Criteria!$B$19&amp;". ","")&amp;IF(AND(T232&lt;&gt;"",T232&lt;SG_Criteria!$B$20),"FAIL: cover &lt; "&amp;SG_Criteria!$B$20&amp;" mm. ","")&amp;IF(AND(H232&lt;&gt;"",H232&lt;SG_Criteria!$B$39),"NOTE: min depth below PUB "&amp;SG_Criteria!$B$39&amp;" m. ","")&amp;IF(AND(LEFT(C232,8)="Standard",I232&gt;SG_Criteria!$B$42),"FAIL: PUB 001C covers manholes up to "&amp;SG_Criteria!$B$42&amp;" m deep only. ","")&amp;IF(AND(LEFT(C232,11)="Rectangular",J232&lt;SG_Criteria!$B$43),"NOTE: 004C is for sewers &gt;= "&amp;SG_Criteria!$B$43&amp;" dia. ","")&amp;IF(AND(LEFT(C232,7)="Precast",I232&lt;=SG_Criteria!$B$42),"NOTE: 006C is for manholes &gt; "&amp;SG_Criteria!$B$42&amp;" m deep. ","")&amp;IF(AND(J232&lt;&gt;"",J232&lt;SG_Criteria!$B$40,C232&lt;&gt;"Inspection Chamber"),"NOTE: public sewer min dia "&amp;SG_Criteria!$B$40&amp;" mm. ","")&amp;IF(AND(R232&lt;&gt;"",R232&lt;SG_Criteria!$B$44),"FAIL: uplift FOS below "&amp;SG_Criteria!$B$44&amp;". ","")))</f>
        <v/>
      </c>
      <c r="AT232" s="9"/>
      <c r="AU232" s="9"/>
      <c r="AV232" s="9"/>
      <c r="AW232" s="9"/>
      <c r="AX232" s="9"/>
      <c r="AY232" s="31"/>
      <c r="AZ232" s="10" t="str">
        <f aca="false">IF(C232="","",IF(AND(AB232="Approved",ISERROR(SEARCH("FAIL",AS232))),"Y","N"))</f>
        <v/>
      </c>
      <c r="BA232" s="10" t="str">
        <f aca="false">IF(C232="","",C232&amp;"|"&amp;I232&amp;"|"&amp;F232&amp;"|"&amp;AZ232)</f>
        <v/>
      </c>
    </row>
    <row r="233" customFormat="false" ht="15" hidden="false" customHeight="false" outlineLevel="0" collapsed="false">
      <c r="A233" s="10" t="str">
        <f aca="false">IF(C233="","","MH-"&amp;IFERROR(VLOOKUP(C233,Lists!$AB$4:$AC$20,2,0),"??")&amp;"-"&amp;TEXT(F233,"0000")&amp;IF(E233="Circular","D","x"&amp;TEXT(G233,"0000"))&amp;"-D"&amp;TEXT(I233*1000,"0000")&amp;"-"&amp;IFERROR(VLOOKUP(D233,Lists!$AE$4:$AF$16,2,0),"??")&amp;"-"&amp;AA233)</f>
        <v/>
      </c>
      <c r="B233" s="10" t="str">
        <f aca="false">IF(C233="","",C233&amp;", "&amp;D233&amp;", "&amp;IF(E233="Circular",F233&amp;" dia",F233&amp;" x "&amp;G233)&amp;", depth "&amp;TEXT(H233,"0.0")&amp;"-"&amp;TEXT(I233,"0.0")&amp;" m, pipe up to "&amp;J233&amp;" dia")</f>
        <v/>
      </c>
      <c r="C233" s="9"/>
      <c r="D233" s="9"/>
      <c r="E233" s="9"/>
      <c r="F233" s="40"/>
      <c r="G233" s="40"/>
      <c r="H233" s="43"/>
      <c r="I233" s="43"/>
      <c r="J233" s="40"/>
      <c r="K233" s="40"/>
      <c r="L233" s="40"/>
      <c r="M233" s="40"/>
      <c r="N233" s="9"/>
      <c r="O233" s="9"/>
      <c r="P233" s="9"/>
      <c r="Q233" s="9"/>
      <c r="R233" s="41"/>
      <c r="S233" s="9"/>
      <c r="T233" s="40"/>
      <c r="U233" s="9"/>
      <c r="V233" s="9"/>
      <c r="W233" s="9"/>
      <c r="X233" s="9"/>
      <c r="Y233" s="9"/>
      <c r="Z233" s="9"/>
      <c r="AA233" s="9"/>
      <c r="AB233" s="9"/>
      <c r="AC233" s="9"/>
      <c r="AD233" s="9"/>
      <c r="AE233" s="9"/>
      <c r="AF233" s="10" t="str">
        <f aca="false">IF(A233="","",SG_Criteria!$B$6&amp;SG_Criteria!$B$10&amp;"\"&amp;A233&amp;"\")</f>
        <v/>
      </c>
      <c r="AG233" s="10" t="str">
        <f aca="false">IF(A233="","",A233&amp;"_CAD.dwg")</f>
        <v/>
      </c>
      <c r="AH233" s="10" t="str">
        <f aca="false">IF(A233="","",A233&amp;"_DWG.pdf")</f>
        <v/>
      </c>
      <c r="AI233" s="10" t="str">
        <f aca="false">IF(A233="","",IF(AE233="Y",A233&amp;"_STAAD.std","n/a"))</f>
        <v/>
      </c>
      <c r="AJ233" s="10" t="str">
        <f aca="false">IF(A233="","",A233&amp;"_CALC.xlsx")</f>
        <v/>
      </c>
      <c r="AK233" s="10" t="str">
        <f aca="false">IF(A233="","",A233&amp;"_CALC.pdf")</f>
        <v/>
      </c>
      <c r="AL233" s="9"/>
      <c r="AM233" s="9"/>
      <c r="AN233" s="41"/>
      <c r="AO233" s="41"/>
      <c r="AP233" s="41"/>
      <c r="AQ233" s="41"/>
      <c r="AR233" s="41"/>
      <c r="AS233" s="38" t="str">
        <f aca="false">IF(C233="","",IF(LEN(IF(AND(S233&lt;&gt;"",IFERROR(VALUE(MID(S233,2,2)),0)&lt;SG_Criteria!$B$19),"FAIL: grade below C"&amp;SG_Criteria!$B$19&amp;". ","")&amp;IF(AND(T233&lt;&gt;"",T233&lt;SG_Criteria!$B$20),"FAIL: cover &lt; "&amp;SG_Criteria!$B$20&amp;" mm. ","")&amp;IF(AND(H233&lt;&gt;"",H233&lt;SG_Criteria!$B$39),"NOTE: min depth below PUB "&amp;SG_Criteria!$B$39&amp;" m. ","")&amp;IF(AND(LEFT(C233,8)="Standard",I233&gt;SG_Criteria!$B$42),"FAIL: PUB 001C covers manholes up to "&amp;SG_Criteria!$B$42&amp;" m deep only. ","")&amp;IF(AND(LEFT(C233,11)="Rectangular",J233&lt;SG_Criteria!$B$43),"NOTE: 004C is for sewers &gt;= "&amp;SG_Criteria!$B$43&amp;" dia. ","")&amp;IF(AND(LEFT(C233,7)="Precast",I233&lt;=SG_Criteria!$B$42),"NOTE: 006C is for manholes &gt; "&amp;SG_Criteria!$B$42&amp;" m deep. ","")&amp;IF(AND(J233&lt;&gt;"",J233&lt;SG_Criteria!$B$40,C233&lt;&gt;"Inspection Chamber"),"NOTE: public sewer min dia "&amp;SG_Criteria!$B$40&amp;" mm. ","")&amp;IF(AND(R233&lt;&gt;"",R233&lt;SG_Criteria!$B$44),"FAIL: uplift FOS below "&amp;SG_Criteria!$B$44&amp;". ",""))=0,"OK",IF(AND(S233&lt;&gt;"",IFERROR(VALUE(MID(S233,2,2)),0)&lt;SG_Criteria!$B$19),"FAIL: grade below C"&amp;SG_Criteria!$B$19&amp;". ","")&amp;IF(AND(T233&lt;&gt;"",T233&lt;SG_Criteria!$B$20),"FAIL: cover &lt; "&amp;SG_Criteria!$B$20&amp;" mm. ","")&amp;IF(AND(H233&lt;&gt;"",H233&lt;SG_Criteria!$B$39),"NOTE: min depth below PUB "&amp;SG_Criteria!$B$39&amp;" m. ","")&amp;IF(AND(LEFT(C233,8)="Standard",I233&gt;SG_Criteria!$B$42),"FAIL: PUB 001C covers manholes up to "&amp;SG_Criteria!$B$42&amp;" m deep only. ","")&amp;IF(AND(LEFT(C233,11)="Rectangular",J233&lt;SG_Criteria!$B$43),"NOTE: 004C is for sewers &gt;= "&amp;SG_Criteria!$B$43&amp;" dia. ","")&amp;IF(AND(LEFT(C233,7)="Precast",I233&lt;=SG_Criteria!$B$42),"NOTE: 006C is for manholes &gt; "&amp;SG_Criteria!$B$42&amp;" m deep. ","")&amp;IF(AND(J233&lt;&gt;"",J233&lt;SG_Criteria!$B$40,C233&lt;&gt;"Inspection Chamber"),"NOTE: public sewer min dia "&amp;SG_Criteria!$B$40&amp;" mm. ","")&amp;IF(AND(R233&lt;&gt;"",R233&lt;SG_Criteria!$B$44),"FAIL: uplift FOS below "&amp;SG_Criteria!$B$44&amp;". ","")))</f>
        <v/>
      </c>
      <c r="AT233" s="9"/>
      <c r="AU233" s="9"/>
      <c r="AV233" s="9"/>
      <c r="AW233" s="9"/>
      <c r="AX233" s="9"/>
      <c r="AY233" s="31"/>
      <c r="AZ233" s="10" t="str">
        <f aca="false">IF(C233="","",IF(AND(AB233="Approved",ISERROR(SEARCH("FAIL",AS233))),"Y","N"))</f>
        <v/>
      </c>
      <c r="BA233" s="10" t="str">
        <f aca="false">IF(C233="","",C233&amp;"|"&amp;I233&amp;"|"&amp;F233&amp;"|"&amp;AZ233)</f>
        <v/>
      </c>
    </row>
    <row r="234" customFormat="false" ht="15" hidden="false" customHeight="false" outlineLevel="0" collapsed="false">
      <c r="A234" s="10" t="str">
        <f aca="false">IF(C234="","","MH-"&amp;IFERROR(VLOOKUP(C234,Lists!$AB$4:$AC$20,2,0),"??")&amp;"-"&amp;TEXT(F234,"0000")&amp;IF(E234="Circular","D","x"&amp;TEXT(G234,"0000"))&amp;"-D"&amp;TEXT(I234*1000,"0000")&amp;"-"&amp;IFERROR(VLOOKUP(D234,Lists!$AE$4:$AF$16,2,0),"??")&amp;"-"&amp;AA234)</f>
        <v/>
      </c>
      <c r="B234" s="10" t="str">
        <f aca="false">IF(C234="","",C234&amp;", "&amp;D234&amp;", "&amp;IF(E234="Circular",F234&amp;" dia",F234&amp;" x "&amp;G234)&amp;", depth "&amp;TEXT(H234,"0.0")&amp;"-"&amp;TEXT(I234,"0.0")&amp;" m, pipe up to "&amp;J234&amp;" dia")</f>
        <v/>
      </c>
      <c r="C234" s="9"/>
      <c r="D234" s="9"/>
      <c r="E234" s="9"/>
      <c r="F234" s="40"/>
      <c r="G234" s="40"/>
      <c r="H234" s="43"/>
      <c r="I234" s="43"/>
      <c r="J234" s="40"/>
      <c r="K234" s="40"/>
      <c r="L234" s="40"/>
      <c r="M234" s="40"/>
      <c r="N234" s="9"/>
      <c r="O234" s="9"/>
      <c r="P234" s="9"/>
      <c r="Q234" s="9"/>
      <c r="R234" s="41"/>
      <c r="S234" s="9"/>
      <c r="T234" s="40"/>
      <c r="U234" s="9"/>
      <c r="V234" s="9"/>
      <c r="W234" s="9"/>
      <c r="X234" s="9"/>
      <c r="Y234" s="9"/>
      <c r="Z234" s="9"/>
      <c r="AA234" s="9"/>
      <c r="AB234" s="9"/>
      <c r="AC234" s="9"/>
      <c r="AD234" s="9"/>
      <c r="AE234" s="9"/>
      <c r="AF234" s="10" t="str">
        <f aca="false">IF(A234="","",SG_Criteria!$B$6&amp;SG_Criteria!$B$10&amp;"\"&amp;A234&amp;"\")</f>
        <v/>
      </c>
      <c r="AG234" s="10" t="str">
        <f aca="false">IF(A234="","",A234&amp;"_CAD.dwg")</f>
        <v/>
      </c>
      <c r="AH234" s="10" t="str">
        <f aca="false">IF(A234="","",A234&amp;"_DWG.pdf")</f>
        <v/>
      </c>
      <c r="AI234" s="10" t="str">
        <f aca="false">IF(A234="","",IF(AE234="Y",A234&amp;"_STAAD.std","n/a"))</f>
        <v/>
      </c>
      <c r="AJ234" s="10" t="str">
        <f aca="false">IF(A234="","",A234&amp;"_CALC.xlsx")</f>
        <v/>
      </c>
      <c r="AK234" s="10" t="str">
        <f aca="false">IF(A234="","",A234&amp;"_CALC.pdf")</f>
        <v/>
      </c>
      <c r="AL234" s="9"/>
      <c r="AM234" s="9"/>
      <c r="AN234" s="41"/>
      <c r="AO234" s="41"/>
      <c r="AP234" s="41"/>
      <c r="AQ234" s="41"/>
      <c r="AR234" s="41"/>
      <c r="AS234" s="38" t="str">
        <f aca="false">IF(C234="","",IF(LEN(IF(AND(S234&lt;&gt;"",IFERROR(VALUE(MID(S234,2,2)),0)&lt;SG_Criteria!$B$19),"FAIL: grade below C"&amp;SG_Criteria!$B$19&amp;". ","")&amp;IF(AND(T234&lt;&gt;"",T234&lt;SG_Criteria!$B$20),"FAIL: cover &lt; "&amp;SG_Criteria!$B$20&amp;" mm. ","")&amp;IF(AND(H234&lt;&gt;"",H234&lt;SG_Criteria!$B$39),"NOTE: min depth below PUB "&amp;SG_Criteria!$B$39&amp;" m. ","")&amp;IF(AND(LEFT(C234,8)="Standard",I234&gt;SG_Criteria!$B$42),"FAIL: PUB 001C covers manholes up to "&amp;SG_Criteria!$B$42&amp;" m deep only. ","")&amp;IF(AND(LEFT(C234,11)="Rectangular",J234&lt;SG_Criteria!$B$43),"NOTE: 004C is for sewers &gt;= "&amp;SG_Criteria!$B$43&amp;" dia. ","")&amp;IF(AND(LEFT(C234,7)="Precast",I234&lt;=SG_Criteria!$B$42),"NOTE: 006C is for manholes &gt; "&amp;SG_Criteria!$B$42&amp;" m deep. ","")&amp;IF(AND(J234&lt;&gt;"",J234&lt;SG_Criteria!$B$40,C234&lt;&gt;"Inspection Chamber"),"NOTE: public sewer min dia "&amp;SG_Criteria!$B$40&amp;" mm. ","")&amp;IF(AND(R234&lt;&gt;"",R234&lt;SG_Criteria!$B$44),"FAIL: uplift FOS below "&amp;SG_Criteria!$B$44&amp;". ",""))=0,"OK",IF(AND(S234&lt;&gt;"",IFERROR(VALUE(MID(S234,2,2)),0)&lt;SG_Criteria!$B$19),"FAIL: grade below C"&amp;SG_Criteria!$B$19&amp;". ","")&amp;IF(AND(T234&lt;&gt;"",T234&lt;SG_Criteria!$B$20),"FAIL: cover &lt; "&amp;SG_Criteria!$B$20&amp;" mm. ","")&amp;IF(AND(H234&lt;&gt;"",H234&lt;SG_Criteria!$B$39),"NOTE: min depth below PUB "&amp;SG_Criteria!$B$39&amp;" m. ","")&amp;IF(AND(LEFT(C234,8)="Standard",I234&gt;SG_Criteria!$B$42),"FAIL: PUB 001C covers manholes up to "&amp;SG_Criteria!$B$42&amp;" m deep only. ","")&amp;IF(AND(LEFT(C234,11)="Rectangular",J234&lt;SG_Criteria!$B$43),"NOTE: 004C is for sewers &gt;= "&amp;SG_Criteria!$B$43&amp;" dia. ","")&amp;IF(AND(LEFT(C234,7)="Precast",I234&lt;=SG_Criteria!$B$42),"NOTE: 006C is for manholes &gt; "&amp;SG_Criteria!$B$42&amp;" m deep. ","")&amp;IF(AND(J234&lt;&gt;"",J234&lt;SG_Criteria!$B$40,C234&lt;&gt;"Inspection Chamber"),"NOTE: public sewer min dia "&amp;SG_Criteria!$B$40&amp;" mm. ","")&amp;IF(AND(R234&lt;&gt;"",R234&lt;SG_Criteria!$B$44),"FAIL: uplift FOS below "&amp;SG_Criteria!$B$44&amp;". ","")))</f>
        <v/>
      </c>
      <c r="AT234" s="9"/>
      <c r="AU234" s="9"/>
      <c r="AV234" s="9"/>
      <c r="AW234" s="9"/>
      <c r="AX234" s="9"/>
      <c r="AY234" s="31"/>
      <c r="AZ234" s="10" t="str">
        <f aca="false">IF(C234="","",IF(AND(AB234="Approved",ISERROR(SEARCH("FAIL",AS234))),"Y","N"))</f>
        <v/>
      </c>
      <c r="BA234" s="10" t="str">
        <f aca="false">IF(C234="","",C234&amp;"|"&amp;I234&amp;"|"&amp;F234&amp;"|"&amp;AZ234)</f>
        <v/>
      </c>
    </row>
    <row r="235" customFormat="false" ht="15" hidden="false" customHeight="false" outlineLevel="0" collapsed="false">
      <c r="A235" s="10" t="str">
        <f aca="false">IF(C235="","","MH-"&amp;IFERROR(VLOOKUP(C235,Lists!$AB$4:$AC$20,2,0),"??")&amp;"-"&amp;TEXT(F235,"0000")&amp;IF(E235="Circular","D","x"&amp;TEXT(G235,"0000"))&amp;"-D"&amp;TEXT(I235*1000,"0000")&amp;"-"&amp;IFERROR(VLOOKUP(D235,Lists!$AE$4:$AF$16,2,0),"??")&amp;"-"&amp;AA235)</f>
        <v/>
      </c>
      <c r="B235" s="10" t="str">
        <f aca="false">IF(C235="","",C235&amp;", "&amp;D235&amp;", "&amp;IF(E235="Circular",F235&amp;" dia",F235&amp;" x "&amp;G235)&amp;", depth "&amp;TEXT(H235,"0.0")&amp;"-"&amp;TEXT(I235,"0.0")&amp;" m, pipe up to "&amp;J235&amp;" dia")</f>
        <v/>
      </c>
      <c r="C235" s="9"/>
      <c r="D235" s="9"/>
      <c r="E235" s="9"/>
      <c r="F235" s="40"/>
      <c r="G235" s="40"/>
      <c r="H235" s="43"/>
      <c r="I235" s="43"/>
      <c r="J235" s="40"/>
      <c r="K235" s="40"/>
      <c r="L235" s="40"/>
      <c r="M235" s="40"/>
      <c r="N235" s="9"/>
      <c r="O235" s="9"/>
      <c r="P235" s="9"/>
      <c r="Q235" s="9"/>
      <c r="R235" s="41"/>
      <c r="S235" s="9"/>
      <c r="T235" s="40"/>
      <c r="U235" s="9"/>
      <c r="V235" s="9"/>
      <c r="W235" s="9"/>
      <c r="X235" s="9"/>
      <c r="Y235" s="9"/>
      <c r="Z235" s="9"/>
      <c r="AA235" s="9"/>
      <c r="AB235" s="9"/>
      <c r="AC235" s="9"/>
      <c r="AD235" s="9"/>
      <c r="AE235" s="9"/>
      <c r="AF235" s="10" t="str">
        <f aca="false">IF(A235="","",SG_Criteria!$B$6&amp;SG_Criteria!$B$10&amp;"\"&amp;A235&amp;"\")</f>
        <v/>
      </c>
      <c r="AG235" s="10" t="str">
        <f aca="false">IF(A235="","",A235&amp;"_CAD.dwg")</f>
        <v/>
      </c>
      <c r="AH235" s="10" t="str">
        <f aca="false">IF(A235="","",A235&amp;"_DWG.pdf")</f>
        <v/>
      </c>
      <c r="AI235" s="10" t="str">
        <f aca="false">IF(A235="","",IF(AE235="Y",A235&amp;"_STAAD.std","n/a"))</f>
        <v/>
      </c>
      <c r="AJ235" s="10" t="str">
        <f aca="false">IF(A235="","",A235&amp;"_CALC.xlsx")</f>
        <v/>
      </c>
      <c r="AK235" s="10" t="str">
        <f aca="false">IF(A235="","",A235&amp;"_CALC.pdf")</f>
        <v/>
      </c>
      <c r="AL235" s="9"/>
      <c r="AM235" s="9"/>
      <c r="AN235" s="41"/>
      <c r="AO235" s="41"/>
      <c r="AP235" s="41"/>
      <c r="AQ235" s="41"/>
      <c r="AR235" s="41"/>
      <c r="AS235" s="38" t="str">
        <f aca="false">IF(C235="","",IF(LEN(IF(AND(S235&lt;&gt;"",IFERROR(VALUE(MID(S235,2,2)),0)&lt;SG_Criteria!$B$19),"FAIL: grade below C"&amp;SG_Criteria!$B$19&amp;". ","")&amp;IF(AND(T235&lt;&gt;"",T235&lt;SG_Criteria!$B$20),"FAIL: cover &lt; "&amp;SG_Criteria!$B$20&amp;" mm. ","")&amp;IF(AND(H235&lt;&gt;"",H235&lt;SG_Criteria!$B$39),"NOTE: min depth below PUB "&amp;SG_Criteria!$B$39&amp;" m. ","")&amp;IF(AND(LEFT(C235,8)="Standard",I235&gt;SG_Criteria!$B$42),"FAIL: PUB 001C covers manholes up to "&amp;SG_Criteria!$B$42&amp;" m deep only. ","")&amp;IF(AND(LEFT(C235,11)="Rectangular",J235&lt;SG_Criteria!$B$43),"NOTE: 004C is for sewers &gt;= "&amp;SG_Criteria!$B$43&amp;" dia. ","")&amp;IF(AND(LEFT(C235,7)="Precast",I235&lt;=SG_Criteria!$B$42),"NOTE: 006C is for manholes &gt; "&amp;SG_Criteria!$B$42&amp;" m deep. ","")&amp;IF(AND(J235&lt;&gt;"",J235&lt;SG_Criteria!$B$40,C235&lt;&gt;"Inspection Chamber"),"NOTE: public sewer min dia "&amp;SG_Criteria!$B$40&amp;" mm. ","")&amp;IF(AND(R235&lt;&gt;"",R235&lt;SG_Criteria!$B$44),"FAIL: uplift FOS below "&amp;SG_Criteria!$B$44&amp;". ",""))=0,"OK",IF(AND(S235&lt;&gt;"",IFERROR(VALUE(MID(S235,2,2)),0)&lt;SG_Criteria!$B$19),"FAIL: grade below C"&amp;SG_Criteria!$B$19&amp;". ","")&amp;IF(AND(T235&lt;&gt;"",T235&lt;SG_Criteria!$B$20),"FAIL: cover &lt; "&amp;SG_Criteria!$B$20&amp;" mm. ","")&amp;IF(AND(H235&lt;&gt;"",H235&lt;SG_Criteria!$B$39),"NOTE: min depth below PUB "&amp;SG_Criteria!$B$39&amp;" m. ","")&amp;IF(AND(LEFT(C235,8)="Standard",I235&gt;SG_Criteria!$B$42),"FAIL: PUB 001C covers manholes up to "&amp;SG_Criteria!$B$42&amp;" m deep only. ","")&amp;IF(AND(LEFT(C235,11)="Rectangular",J235&lt;SG_Criteria!$B$43),"NOTE: 004C is for sewers &gt;= "&amp;SG_Criteria!$B$43&amp;" dia. ","")&amp;IF(AND(LEFT(C235,7)="Precast",I235&lt;=SG_Criteria!$B$42),"NOTE: 006C is for manholes &gt; "&amp;SG_Criteria!$B$42&amp;" m deep. ","")&amp;IF(AND(J235&lt;&gt;"",J235&lt;SG_Criteria!$B$40,C235&lt;&gt;"Inspection Chamber"),"NOTE: public sewer min dia "&amp;SG_Criteria!$B$40&amp;" mm. ","")&amp;IF(AND(R235&lt;&gt;"",R235&lt;SG_Criteria!$B$44),"FAIL: uplift FOS below "&amp;SG_Criteria!$B$44&amp;". ","")))</f>
        <v/>
      </c>
      <c r="AT235" s="9"/>
      <c r="AU235" s="9"/>
      <c r="AV235" s="9"/>
      <c r="AW235" s="9"/>
      <c r="AX235" s="9"/>
      <c r="AY235" s="31"/>
      <c r="AZ235" s="10" t="str">
        <f aca="false">IF(C235="","",IF(AND(AB235="Approved",ISERROR(SEARCH("FAIL",AS235))),"Y","N"))</f>
        <v/>
      </c>
      <c r="BA235" s="10" t="str">
        <f aca="false">IF(C235="","",C235&amp;"|"&amp;I235&amp;"|"&amp;F235&amp;"|"&amp;AZ235)</f>
        <v/>
      </c>
    </row>
    <row r="236" customFormat="false" ht="15" hidden="false" customHeight="false" outlineLevel="0" collapsed="false">
      <c r="A236" s="10" t="str">
        <f aca="false">IF(C236="","","MH-"&amp;IFERROR(VLOOKUP(C236,Lists!$AB$4:$AC$20,2,0),"??")&amp;"-"&amp;TEXT(F236,"0000")&amp;IF(E236="Circular","D","x"&amp;TEXT(G236,"0000"))&amp;"-D"&amp;TEXT(I236*1000,"0000")&amp;"-"&amp;IFERROR(VLOOKUP(D236,Lists!$AE$4:$AF$16,2,0),"??")&amp;"-"&amp;AA236)</f>
        <v/>
      </c>
      <c r="B236" s="10" t="str">
        <f aca="false">IF(C236="","",C236&amp;", "&amp;D236&amp;", "&amp;IF(E236="Circular",F236&amp;" dia",F236&amp;" x "&amp;G236)&amp;", depth "&amp;TEXT(H236,"0.0")&amp;"-"&amp;TEXT(I236,"0.0")&amp;" m, pipe up to "&amp;J236&amp;" dia")</f>
        <v/>
      </c>
      <c r="C236" s="9"/>
      <c r="D236" s="9"/>
      <c r="E236" s="9"/>
      <c r="F236" s="40"/>
      <c r="G236" s="40"/>
      <c r="H236" s="43"/>
      <c r="I236" s="43"/>
      <c r="J236" s="40"/>
      <c r="K236" s="40"/>
      <c r="L236" s="40"/>
      <c r="M236" s="40"/>
      <c r="N236" s="9"/>
      <c r="O236" s="9"/>
      <c r="P236" s="9"/>
      <c r="Q236" s="9"/>
      <c r="R236" s="41"/>
      <c r="S236" s="9"/>
      <c r="T236" s="40"/>
      <c r="U236" s="9"/>
      <c r="V236" s="9"/>
      <c r="W236" s="9"/>
      <c r="X236" s="9"/>
      <c r="Y236" s="9"/>
      <c r="Z236" s="9"/>
      <c r="AA236" s="9"/>
      <c r="AB236" s="9"/>
      <c r="AC236" s="9"/>
      <c r="AD236" s="9"/>
      <c r="AE236" s="9"/>
      <c r="AF236" s="10" t="str">
        <f aca="false">IF(A236="","",SG_Criteria!$B$6&amp;SG_Criteria!$B$10&amp;"\"&amp;A236&amp;"\")</f>
        <v/>
      </c>
      <c r="AG236" s="10" t="str">
        <f aca="false">IF(A236="","",A236&amp;"_CAD.dwg")</f>
        <v/>
      </c>
      <c r="AH236" s="10" t="str">
        <f aca="false">IF(A236="","",A236&amp;"_DWG.pdf")</f>
        <v/>
      </c>
      <c r="AI236" s="10" t="str">
        <f aca="false">IF(A236="","",IF(AE236="Y",A236&amp;"_STAAD.std","n/a"))</f>
        <v/>
      </c>
      <c r="AJ236" s="10" t="str">
        <f aca="false">IF(A236="","",A236&amp;"_CALC.xlsx")</f>
        <v/>
      </c>
      <c r="AK236" s="10" t="str">
        <f aca="false">IF(A236="","",A236&amp;"_CALC.pdf")</f>
        <v/>
      </c>
      <c r="AL236" s="9"/>
      <c r="AM236" s="9"/>
      <c r="AN236" s="41"/>
      <c r="AO236" s="41"/>
      <c r="AP236" s="41"/>
      <c r="AQ236" s="41"/>
      <c r="AR236" s="41"/>
      <c r="AS236" s="38" t="str">
        <f aca="false">IF(C236="","",IF(LEN(IF(AND(S236&lt;&gt;"",IFERROR(VALUE(MID(S236,2,2)),0)&lt;SG_Criteria!$B$19),"FAIL: grade below C"&amp;SG_Criteria!$B$19&amp;". ","")&amp;IF(AND(T236&lt;&gt;"",T236&lt;SG_Criteria!$B$20),"FAIL: cover &lt; "&amp;SG_Criteria!$B$20&amp;" mm. ","")&amp;IF(AND(H236&lt;&gt;"",H236&lt;SG_Criteria!$B$39),"NOTE: min depth below PUB "&amp;SG_Criteria!$B$39&amp;" m. ","")&amp;IF(AND(LEFT(C236,8)="Standard",I236&gt;SG_Criteria!$B$42),"FAIL: PUB 001C covers manholes up to "&amp;SG_Criteria!$B$42&amp;" m deep only. ","")&amp;IF(AND(LEFT(C236,11)="Rectangular",J236&lt;SG_Criteria!$B$43),"NOTE: 004C is for sewers &gt;= "&amp;SG_Criteria!$B$43&amp;" dia. ","")&amp;IF(AND(LEFT(C236,7)="Precast",I236&lt;=SG_Criteria!$B$42),"NOTE: 006C is for manholes &gt; "&amp;SG_Criteria!$B$42&amp;" m deep. ","")&amp;IF(AND(J236&lt;&gt;"",J236&lt;SG_Criteria!$B$40,C236&lt;&gt;"Inspection Chamber"),"NOTE: public sewer min dia "&amp;SG_Criteria!$B$40&amp;" mm. ","")&amp;IF(AND(R236&lt;&gt;"",R236&lt;SG_Criteria!$B$44),"FAIL: uplift FOS below "&amp;SG_Criteria!$B$44&amp;". ",""))=0,"OK",IF(AND(S236&lt;&gt;"",IFERROR(VALUE(MID(S236,2,2)),0)&lt;SG_Criteria!$B$19),"FAIL: grade below C"&amp;SG_Criteria!$B$19&amp;". ","")&amp;IF(AND(T236&lt;&gt;"",T236&lt;SG_Criteria!$B$20),"FAIL: cover &lt; "&amp;SG_Criteria!$B$20&amp;" mm. ","")&amp;IF(AND(H236&lt;&gt;"",H236&lt;SG_Criteria!$B$39),"NOTE: min depth below PUB "&amp;SG_Criteria!$B$39&amp;" m. ","")&amp;IF(AND(LEFT(C236,8)="Standard",I236&gt;SG_Criteria!$B$42),"FAIL: PUB 001C covers manholes up to "&amp;SG_Criteria!$B$42&amp;" m deep only. ","")&amp;IF(AND(LEFT(C236,11)="Rectangular",J236&lt;SG_Criteria!$B$43),"NOTE: 004C is for sewers &gt;= "&amp;SG_Criteria!$B$43&amp;" dia. ","")&amp;IF(AND(LEFT(C236,7)="Precast",I236&lt;=SG_Criteria!$B$42),"NOTE: 006C is for manholes &gt; "&amp;SG_Criteria!$B$42&amp;" m deep. ","")&amp;IF(AND(J236&lt;&gt;"",J236&lt;SG_Criteria!$B$40,C236&lt;&gt;"Inspection Chamber"),"NOTE: public sewer min dia "&amp;SG_Criteria!$B$40&amp;" mm. ","")&amp;IF(AND(R236&lt;&gt;"",R236&lt;SG_Criteria!$B$44),"FAIL: uplift FOS below "&amp;SG_Criteria!$B$44&amp;". ","")))</f>
        <v/>
      </c>
      <c r="AT236" s="9"/>
      <c r="AU236" s="9"/>
      <c r="AV236" s="9"/>
      <c r="AW236" s="9"/>
      <c r="AX236" s="9"/>
      <c r="AY236" s="31"/>
      <c r="AZ236" s="10" t="str">
        <f aca="false">IF(C236="","",IF(AND(AB236="Approved",ISERROR(SEARCH("FAIL",AS236))),"Y","N"))</f>
        <v/>
      </c>
      <c r="BA236" s="10" t="str">
        <f aca="false">IF(C236="","",C236&amp;"|"&amp;I236&amp;"|"&amp;F236&amp;"|"&amp;AZ236)</f>
        <v/>
      </c>
    </row>
    <row r="237" customFormat="false" ht="15" hidden="false" customHeight="false" outlineLevel="0" collapsed="false">
      <c r="A237" s="10" t="str">
        <f aca="false">IF(C237="","","MH-"&amp;IFERROR(VLOOKUP(C237,Lists!$AB$4:$AC$20,2,0),"??")&amp;"-"&amp;TEXT(F237,"0000")&amp;IF(E237="Circular","D","x"&amp;TEXT(G237,"0000"))&amp;"-D"&amp;TEXT(I237*1000,"0000")&amp;"-"&amp;IFERROR(VLOOKUP(D237,Lists!$AE$4:$AF$16,2,0),"??")&amp;"-"&amp;AA237)</f>
        <v/>
      </c>
      <c r="B237" s="10" t="str">
        <f aca="false">IF(C237="","",C237&amp;", "&amp;D237&amp;", "&amp;IF(E237="Circular",F237&amp;" dia",F237&amp;" x "&amp;G237)&amp;", depth "&amp;TEXT(H237,"0.0")&amp;"-"&amp;TEXT(I237,"0.0")&amp;" m, pipe up to "&amp;J237&amp;" dia")</f>
        <v/>
      </c>
      <c r="C237" s="9"/>
      <c r="D237" s="9"/>
      <c r="E237" s="9"/>
      <c r="F237" s="40"/>
      <c r="G237" s="40"/>
      <c r="H237" s="43"/>
      <c r="I237" s="43"/>
      <c r="J237" s="40"/>
      <c r="K237" s="40"/>
      <c r="L237" s="40"/>
      <c r="M237" s="40"/>
      <c r="N237" s="9"/>
      <c r="O237" s="9"/>
      <c r="P237" s="9"/>
      <c r="Q237" s="9"/>
      <c r="R237" s="41"/>
      <c r="S237" s="9"/>
      <c r="T237" s="40"/>
      <c r="U237" s="9"/>
      <c r="V237" s="9"/>
      <c r="W237" s="9"/>
      <c r="X237" s="9"/>
      <c r="Y237" s="9"/>
      <c r="Z237" s="9"/>
      <c r="AA237" s="9"/>
      <c r="AB237" s="9"/>
      <c r="AC237" s="9"/>
      <c r="AD237" s="9"/>
      <c r="AE237" s="9"/>
      <c r="AF237" s="10" t="str">
        <f aca="false">IF(A237="","",SG_Criteria!$B$6&amp;SG_Criteria!$B$10&amp;"\"&amp;A237&amp;"\")</f>
        <v/>
      </c>
      <c r="AG237" s="10" t="str">
        <f aca="false">IF(A237="","",A237&amp;"_CAD.dwg")</f>
        <v/>
      </c>
      <c r="AH237" s="10" t="str">
        <f aca="false">IF(A237="","",A237&amp;"_DWG.pdf")</f>
        <v/>
      </c>
      <c r="AI237" s="10" t="str">
        <f aca="false">IF(A237="","",IF(AE237="Y",A237&amp;"_STAAD.std","n/a"))</f>
        <v/>
      </c>
      <c r="AJ237" s="10" t="str">
        <f aca="false">IF(A237="","",A237&amp;"_CALC.xlsx")</f>
        <v/>
      </c>
      <c r="AK237" s="10" t="str">
        <f aca="false">IF(A237="","",A237&amp;"_CALC.pdf")</f>
        <v/>
      </c>
      <c r="AL237" s="9"/>
      <c r="AM237" s="9"/>
      <c r="AN237" s="41"/>
      <c r="AO237" s="41"/>
      <c r="AP237" s="41"/>
      <c r="AQ237" s="41"/>
      <c r="AR237" s="41"/>
      <c r="AS237" s="38" t="str">
        <f aca="false">IF(C237="","",IF(LEN(IF(AND(S237&lt;&gt;"",IFERROR(VALUE(MID(S237,2,2)),0)&lt;SG_Criteria!$B$19),"FAIL: grade below C"&amp;SG_Criteria!$B$19&amp;". ","")&amp;IF(AND(T237&lt;&gt;"",T237&lt;SG_Criteria!$B$20),"FAIL: cover &lt; "&amp;SG_Criteria!$B$20&amp;" mm. ","")&amp;IF(AND(H237&lt;&gt;"",H237&lt;SG_Criteria!$B$39),"NOTE: min depth below PUB "&amp;SG_Criteria!$B$39&amp;" m. ","")&amp;IF(AND(LEFT(C237,8)="Standard",I237&gt;SG_Criteria!$B$42),"FAIL: PUB 001C covers manholes up to "&amp;SG_Criteria!$B$42&amp;" m deep only. ","")&amp;IF(AND(LEFT(C237,11)="Rectangular",J237&lt;SG_Criteria!$B$43),"NOTE: 004C is for sewers &gt;= "&amp;SG_Criteria!$B$43&amp;" dia. ","")&amp;IF(AND(LEFT(C237,7)="Precast",I237&lt;=SG_Criteria!$B$42),"NOTE: 006C is for manholes &gt; "&amp;SG_Criteria!$B$42&amp;" m deep. ","")&amp;IF(AND(J237&lt;&gt;"",J237&lt;SG_Criteria!$B$40,C237&lt;&gt;"Inspection Chamber"),"NOTE: public sewer min dia "&amp;SG_Criteria!$B$40&amp;" mm. ","")&amp;IF(AND(R237&lt;&gt;"",R237&lt;SG_Criteria!$B$44),"FAIL: uplift FOS below "&amp;SG_Criteria!$B$44&amp;". ",""))=0,"OK",IF(AND(S237&lt;&gt;"",IFERROR(VALUE(MID(S237,2,2)),0)&lt;SG_Criteria!$B$19),"FAIL: grade below C"&amp;SG_Criteria!$B$19&amp;". ","")&amp;IF(AND(T237&lt;&gt;"",T237&lt;SG_Criteria!$B$20),"FAIL: cover &lt; "&amp;SG_Criteria!$B$20&amp;" mm. ","")&amp;IF(AND(H237&lt;&gt;"",H237&lt;SG_Criteria!$B$39),"NOTE: min depth below PUB "&amp;SG_Criteria!$B$39&amp;" m. ","")&amp;IF(AND(LEFT(C237,8)="Standard",I237&gt;SG_Criteria!$B$42),"FAIL: PUB 001C covers manholes up to "&amp;SG_Criteria!$B$42&amp;" m deep only. ","")&amp;IF(AND(LEFT(C237,11)="Rectangular",J237&lt;SG_Criteria!$B$43),"NOTE: 004C is for sewers &gt;= "&amp;SG_Criteria!$B$43&amp;" dia. ","")&amp;IF(AND(LEFT(C237,7)="Precast",I237&lt;=SG_Criteria!$B$42),"NOTE: 006C is for manholes &gt; "&amp;SG_Criteria!$B$42&amp;" m deep. ","")&amp;IF(AND(J237&lt;&gt;"",J237&lt;SG_Criteria!$B$40,C237&lt;&gt;"Inspection Chamber"),"NOTE: public sewer min dia "&amp;SG_Criteria!$B$40&amp;" mm. ","")&amp;IF(AND(R237&lt;&gt;"",R237&lt;SG_Criteria!$B$44),"FAIL: uplift FOS below "&amp;SG_Criteria!$B$44&amp;". ","")))</f>
        <v/>
      </c>
      <c r="AT237" s="9"/>
      <c r="AU237" s="9"/>
      <c r="AV237" s="9"/>
      <c r="AW237" s="9"/>
      <c r="AX237" s="9"/>
      <c r="AY237" s="31"/>
      <c r="AZ237" s="10" t="str">
        <f aca="false">IF(C237="","",IF(AND(AB237="Approved",ISERROR(SEARCH("FAIL",AS237))),"Y","N"))</f>
        <v/>
      </c>
      <c r="BA237" s="10" t="str">
        <f aca="false">IF(C237="","",C237&amp;"|"&amp;I237&amp;"|"&amp;F237&amp;"|"&amp;AZ237)</f>
        <v/>
      </c>
    </row>
    <row r="238" customFormat="false" ht="15" hidden="false" customHeight="false" outlineLevel="0" collapsed="false">
      <c r="A238" s="10" t="str">
        <f aca="false">IF(C238="","","MH-"&amp;IFERROR(VLOOKUP(C238,Lists!$AB$4:$AC$20,2,0),"??")&amp;"-"&amp;TEXT(F238,"0000")&amp;IF(E238="Circular","D","x"&amp;TEXT(G238,"0000"))&amp;"-D"&amp;TEXT(I238*1000,"0000")&amp;"-"&amp;IFERROR(VLOOKUP(D238,Lists!$AE$4:$AF$16,2,0),"??")&amp;"-"&amp;AA238)</f>
        <v/>
      </c>
      <c r="B238" s="10" t="str">
        <f aca="false">IF(C238="","",C238&amp;", "&amp;D238&amp;", "&amp;IF(E238="Circular",F238&amp;" dia",F238&amp;" x "&amp;G238)&amp;", depth "&amp;TEXT(H238,"0.0")&amp;"-"&amp;TEXT(I238,"0.0")&amp;" m, pipe up to "&amp;J238&amp;" dia")</f>
        <v/>
      </c>
      <c r="C238" s="9"/>
      <c r="D238" s="9"/>
      <c r="E238" s="9"/>
      <c r="F238" s="40"/>
      <c r="G238" s="40"/>
      <c r="H238" s="43"/>
      <c r="I238" s="43"/>
      <c r="J238" s="40"/>
      <c r="K238" s="40"/>
      <c r="L238" s="40"/>
      <c r="M238" s="40"/>
      <c r="N238" s="9"/>
      <c r="O238" s="9"/>
      <c r="P238" s="9"/>
      <c r="Q238" s="9"/>
      <c r="R238" s="41"/>
      <c r="S238" s="9"/>
      <c r="T238" s="40"/>
      <c r="U238" s="9"/>
      <c r="V238" s="9"/>
      <c r="W238" s="9"/>
      <c r="X238" s="9"/>
      <c r="Y238" s="9"/>
      <c r="Z238" s="9"/>
      <c r="AA238" s="9"/>
      <c r="AB238" s="9"/>
      <c r="AC238" s="9"/>
      <c r="AD238" s="9"/>
      <c r="AE238" s="9"/>
      <c r="AF238" s="10" t="str">
        <f aca="false">IF(A238="","",SG_Criteria!$B$6&amp;SG_Criteria!$B$10&amp;"\"&amp;A238&amp;"\")</f>
        <v/>
      </c>
      <c r="AG238" s="10" t="str">
        <f aca="false">IF(A238="","",A238&amp;"_CAD.dwg")</f>
        <v/>
      </c>
      <c r="AH238" s="10" t="str">
        <f aca="false">IF(A238="","",A238&amp;"_DWG.pdf")</f>
        <v/>
      </c>
      <c r="AI238" s="10" t="str">
        <f aca="false">IF(A238="","",IF(AE238="Y",A238&amp;"_STAAD.std","n/a"))</f>
        <v/>
      </c>
      <c r="AJ238" s="10" t="str">
        <f aca="false">IF(A238="","",A238&amp;"_CALC.xlsx")</f>
        <v/>
      </c>
      <c r="AK238" s="10" t="str">
        <f aca="false">IF(A238="","",A238&amp;"_CALC.pdf")</f>
        <v/>
      </c>
      <c r="AL238" s="9"/>
      <c r="AM238" s="9"/>
      <c r="AN238" s="41"/>
      <c r="AO238" s="41"/>
      <c r="AP238" s="41"/>
      <c r="AQ238" s="41"/>
      <c r="AR238" s="41"/>
      <c r="AS238" s="38" t="str">
        <f aca="false">IF(C238="","",IF(LEN(IF(AND(S238&lt;&gt;"",IFERROR(VALUE(MID(S238,2,2)),0)&lt;SG_Criteria!$B$19),"FAIL: grade below C"&amp;SG_Criteria!$B$19&amp;". ","")&amp;IF(AND(T238&lt;&gt;"",T238&lt;SG_Criteria!$B$20),"FAIL: cover &lt; "&amp;SG_Criteria!$B$20&amp;" mm. ","")&amp;IF(AND(H238&lt;&gt;"",H238&lt;SG_Criteria!$B$39),"NOTE: min depth below PUB "&amp;SG_Criteria!$B$39&amp;" m. ","")&amp;IF(AND(LEFT(C238,8)="Standard",I238&gt;SG_Criteria!$B$42),"FAIL: PUB 001C covers manholes up to "&amp;SG_Criteria!$B$42&amp;" m deep only. ","")&amp;IF(AND(LEFT(C238,11)="Rectangular",J238&lt;SG_Criteria!$B$43),"NOTE: 004C is for sewers &gt;= "&amp;SG_Criteria!$B$43&amp;" dia. ","")&amp;IF(AND(LEFT(C238,7)="Precast",I238&lt;=SG_Criteria!$B$42),"NOTE: 006C is for manholes &gt; "&amp;SG_Criteria!$B$42&amp;" m deep. ","")&amp;IF(AND(J238&lt;&gt;"",J238&lt;SG_Criteria!$B$40,C238&lt;&gt;"Inspection Chamber"),"NOTE: public sewer min dia "&amp;SG_Criteria!$B$40&amp;" mm. ","")&amp;IF(AND(R238&lt;&gt;"",R238&lt;SG_Criteria!$B$44),"FAIL: uplift FOS below "&amp;SG_Criteria!$B$44&amp;". ",""))=0,"OK",IF(AND(S238&lt;&gt;"",IFERROR(VALUE(MID(S238,2,2)),0)&lt;SG_Criteria!$B$19),"FAIL: grade below C"&amp;SG_Criteria!$B$19&amp;". ","")&amp;IF(AND(T238&lt;&gt;"",T238&lt;SG_Criteria!$B$20),"FAIL: cover &lt; "&amp;SG_Criteria!$B$20&amp;" mm. ","")&amp;IF(AND(H238&lt;&gt;"",H238&lt;SG_Criteria!$B$39),"NOTE: min depth below PUB "&amp;SG_Criteria!$B$39&amp;" m. ","")&amp;IF(AND(LEFT(C238,8)="Standard",I238&gt;SG_Criteria!$B$42),"FAIL: PUB 001C covers manholes up to "&amp;SG_Criteria!$B$42&amp;" m deep only. ","")&amp;IF(AND(LEFT(C238,11)="Rectangular",J238&lt;SG_Criteria!$B$43),"NOTE: 004C is for sewers &gt;= "&amp;SG_Criteria!$B$43&amp;" dia. ","")&amp;IF(AND(LEFT(C238,7)="Precast",I238&lt;=SG_Criteria!$B$42),"NOTE: 006C is for manholes &gt; "&amp;SG_Criteria!$B$42&amp;" m deep. ","")&amp;IF(AND(J238&lt;&gt;"",J238&lt;SG_Criteria!$B$40,C238&lt;&gt;"Inspection Chamber"),"NOTE: public sewer min dia "&amp;SG_Criteria!$B$40&amp;" mm. ","")&amp;IF(AND(R238&lt;&gt;"",R238&lt;SG_Criteria!$B$44),"FAIL: uplift FOS below "&amp;SG_Criteria!$B$44&amp;". ","")))</f>
        <v/>
      </c>
      <c r="AT238" s="9"/>
      <c r="AU238" s="9"/>
      <c r="AV238" s="9"/>
      <c r="AW238" s="9"/>
      <c r="AX238" s="9"/>
      <c r="AY238" s="31"/>
      <c r="AZ238" s="10" t="str">
        <f aca="false">IF(C238="","",IF(AND(AB238="Approved",ISERROR(SEARCH("FAIL",AS238))),"Y","N"))</f>
        <v/>
      </c>
      <c r="BA238" s="10" t="str">
        <f aca="false">IF(C238="","",C238&amp;"|"&amp;I238&amp;"|"&amp;F238&amp;"|"&amp;AZ238)</f>
        <v/>
      </c>
    </row>
    <row r="239" customFormat="false" ht="15" hidden="false" customHeight="false" outlineLevel="0" collapsed="false">
      <c r="A239" s="10" t="str">
        <f aca="false">IF(C239="","","MH-"&amp;IFERROR(VLOOKUP(C239,Lists!$AB$4:$AC$20,2,0),"??")&amp;"-"&amp;TEXT(F239,"0000")&amp;IF(E239="Circular","D","x"&amp;TEXT(G239,"0000"))&amp;"-D"&amp;TEXT(I239*1000,"0000")&amp;"-"&amp;IFERROR(VLOOKUP(D239,Lists!$AE$4:$AF$16,2,0),"??")&amp;"-"&amp;AA239)</f>
        <v/>
      </c>
      <c r="B239" s="10" t="str">
        <f aca="false">IF(C239="","",C239&amp;", "&amp;D239&amp;", "&amp;IF(E239="Circular",F239&amp;" dia",F239&amp;" x "&amp;G239)&amp;", depth "&amp;TEXT(H239,"0.0")&amp;"-"&amp;TEXT(I239,"0.0")&amp;" m, pipe up to "&amp;J239&amp;" dia")</f>
        <v/>
      </c>
      <c r="C239" s="9"/>
      <c r="D239" s="9"/>
      <c r="E239" s="9"/>
      <c r="F239" s="40"/>
      <c r="G239" s="40"/>
      <c r="H239" s="43"/>
      <c r="I239" s="43"/>
      <c r="J239" s="40"/>
      <c r="K239" s="40"/>
      <c r="L239" s="40"/>
      <c r="M239" s="40"/>
      <c r="N239" s="9"/>
      <c r="O239" s="9"/>
      <c r="P239" s="9"/>
      <c r="Q239" s="9"/>
      <c r="R239" s="41"/>
      <c r="S239" s="9"/>
      <c r="T239" s="40"/>
      <c r="U239" s="9"/>
      <c r="V239" s="9"/>
      <c r="W239" s="9"/>
      <c r="X239" s="9"/>
      <c r="Y239" s="9"/>
      <c r="Z239" s="9"/>
      <c r="AA239" s="9"/>
      <c r="AB239" s="9"/>
      <c r="AC239" s="9"/>
      <c r="AD239" s="9"/>
      <c r="AE239" s="9"/>
      <c r="AF239" s="10" t="str">
        <f aca="false">IF(A239="","",SG_Criteria!$B$6&amp;SG_Criteria!$B$10&amp;"\"&amp;A239&amp;"\")</f>
        <v/>
      </c>
      <c r="AG239" s="10" t="str">
        <f aca="false">IF(A239="","",A239&amp;"_CAD.dwg")</f>
        <v/>
      </c>
      <c r="AH239" s="10" t="str">
        <f aca="false">IF(A239="","",A239&amp;"_DWG.pdf")</f>
        <v/>
      </c>
      <c r="AI239" s="10" t="str">
        <f aca="false">IF(A239="","",IF(AE239="Y",A239&amp;"_STAAD.std","n/a"))</f>
        <v/>
      </c>
      <c r="AJ239" s="10" t="str">
        <f aca="false">IF(A239="","",A239&amp;"_CALC.xlsx")</f>
        <v/>
      </c>
      <c r="AK239" s="10" t="str">
        <f aca="false">IF(A239="","",A239&amp;"_CALC.pdf")</f>
        <v/>
      </c>
      <c r="AL239" s="9"/>
      <c r="AM239" s="9"/>
      <c r="AN239" s="41"/>
      <c r="AO239" s="41"/>
      <c r="AP239" s="41"/>
      <c r="AQ239" s="41"/>
      <c r="AR239" s="41"/>
      <c r="AS239" s="38" t="str">
        <f aca="false">IF(C239="","",IF(LEN(IF(AND(S239&lt;&gt;"",IFERROR(VALUE(MID(S239,2,2)),0)&lt;SG_Criteria!$B$19),"FAIL: grade below C"&amp;SG_Criteria!$B$19&amp;". ","")&amp;IF(AND(T239&lt;&gt;"",T239&lt;SG_Criteria!$B$20),"FAIL: cover &lt; "&amp;SG_Criteria!$B$20&amp;" mm. ","")&amp;IF(AND(H239&lt;&gt;"",H239&lt;SG_Criteria!$B$39),"NOTE: min depth below PUB "&amp;SG_Criteria!$B$39&amp;" m. ","")&amp;IF(AND(LEFT(C239,8)="Standard",I239&gt;SG_Criteria!$B$42),"FAIL: PUB 001C covers manholes up to "&amp;SG_Criteria!$B$42&amp;" m deep only. ","")&amp;IF(AND(LEFT(C239,11)="Rectangular",J239&lt;SG_Criteria!$B$43),"NOTE: 004C is for sewers &gt;= "&amp;SG_Criteria!$B$43&amp;" dia. ","")&amp;IF(AND(LEFT(C239,7)="Precast",I239&lt;=SG_Criteria!$B$42),"NOTE: 006C is for manholes &gt; "&amp;SG_Criteria!$B$42&amp;" m deep. ","")&amp;IF(AND(J239&lt;&gt;"",J239&lt;SG_Criteria!$B$40,C239&lt;&gt;"Inspection Chamber"),"NOTE: public sewer min dia "&amp;SG_Criteria!$B$40&amp;" mm. ","")&amp;IF(AND(R239&lt;&gt;"",R239&lt;SG_Criteria!$B$44),"FAIL: uplift FOS below "&amp;SG_Criteria!$B$44&amp;". ",""))=0,"OK",IF(AND(S239&lt;&gt;"",IFERROR(VALUE(MID(S239,2,2)),0)&lt;SG_Criteria!$B$19),"FAIL: grade below C"&amp;SG_Criteria!$B$19&amp;". ","")&amp;IF(AND(T239&lt;&gt;"",T239&lt;SG_Criteria!$B$20),"FAIL: cover &lt; "&amp;SG_Criteria!$B$20&amp;" mm. ","")&amp;IF(AND(H239&lt;&gt;"",H239&lt;SG_Criteria!$B$39),"NOTE: min depth below PUB "&amp;SG_Criteria!$B$39&amp;" m. ","")&amp;IF(AND(LEFT(C239,8)="Standard",I239&gt;SG_Criteria!$B$42),"FAIL: PUB 001C covers manholes up to "&amp;SG_Criteria!$B$42&amp;" m deep only. ","")&amp;IF(AND(LEFT(C239,11)="Rectangular",J239&lt;SG_Criteria!$B$43),"NOTE: 004C is for sewers &gt;= "&amp;SG_Criteria!$B$43&amp;" dia. ","")&amp;IF(AND(LEFT(C239,7)="Precast",I239&lt;=SG_Criteria!$B$42),"NOTE: 006C is for manholes &gt; "&amp;SG_Criteria!$B$42&amp;" m deep. ","")&amp;IF(AND(J239&lt;&gt;"",J239&lt;SG_Criteria!$B$40,C239&lt;&gt;"Inspection Chamber"),"NOTE: public sewer min dia "&amp;SG_Criteria!$B$40&amp;" mm. ","")&amp;IF(AND(R239&lt;&gt;"",R239&lt;SG_Criteria!$B$44),"FAIL: uplift FOS below "&amp;SG_Criteria!$B$44&amp;". ","")))</f>
        <v/>
      </c>
      <c r="AT239" s="9"/>
      <c r="AU239" s="9"/>
      <c r="AV239" s="9"/>
      <c r="AW239" s="9"/>
      <c r="AX239" s="9"/>
      <c r="AY239" s="31"/>
      <c r="AZ239" s="10" t="str">
        <f aca="false">IF(C239="","",IF(AND(AB239="Approved",ISERROR(SEARCH("FAIL",AS239))),"Y","N"))</f>
        <v/>
      </c>
      <c r="BA239" s="10" t="str">
        <f aca="false">IF(C239="","",C239&amp;"|"&amp;I239&amp;"|"&amp;F239&amp;"|"&amp;AZ239)</f>
        <v/>
      </c>
    </row>
    <row r="240" customFormat="false" ht="15" hidden="false" customHeight="false" outlineLevel="0" collapsed="false">
      <c r="A240" s="10" t="str">
        <f aca="false">IF(C240="","","MH-"&amp;IFERROR(VLOOKUP(C240,Lists!$AB$4:$AC$20,2,0),"??")&amp;"-"&amp;TEXT(F240,"0000")&amp;IF(E240="Circular","D","x"&amp;TEXT(G240,"0000"))&amp;"-D"&amp;TEXT(I240*1000,"0000")&amp;"-"&amp;IFERROR(VLOOKUP(D240,Lists!$AE$4:$AF$16,2,0),"??")&amp;"-"&amp;AA240)</f>
        <v/>
      </c>
      <c r="B240" s="10" t="str">
        <f aca="false">IF(C240="","",C240&amp;", "&amp;D240&amp;", "&amp;IF(E240="Circular",F240&amp;" dia",F240&amp;" x "&amp;G240)&amp;", depth "&amp;TEXT(H240,"0.0")&amp;"-"&amp;TEXT(I240,"0.0")&amp;" m, pipe up to "&amp;J240&amp;" dia")</f>
        <v/>
      </c>
      <c r="C240" s="9"/>
      <c r="D240" s="9"/>
      <c r="E240" s="9"/>
      <c r="F240" s="40"/>
      <c r="G240" s="40"/>
      <c r="H240" s="43"/>
      <c r="I240" s="43"/>
      <c r="J240" s="40"/>
      <c r="K240" s="40"/>
      <c r="L240" s="40"/>
      <c r="M240" s="40"/>
      <c r="N240" s="9"/>
      <c r="O240" s="9"/>
      <c r="P240" s="9"/>
      <c r="Q240" s="9"/>
      <c r="R240" s="41"/>
      <c r="S240" s="9"/>
      <c r="T240" s="40"/>
      <c r="U240" s="9"/>
      <c r="V240" s="9"/>
      <c r="W240" s="9"/>
      <c r="X240" s="9"/>
      <c r="Y240" s="9"/>
      <c r="Z240" s="9"/>
      <c r="AA240" s="9"/>
      <c r="AB240" s="9"/>
      <c r="AC240" s="9"/>
      <c r="AD240" s="9"/>
      <c r="AE240" s="9"/>
      <c r="AF240" s="10" t="str">
        <f aca="false">IF(A240="","",SG_Criteria!$B$6&amp;SG_Criteria!$B$10&amp;"\"&amp;A240&amp;"\")</f>
        <v/>
      </c>
      <c r="AG240" s="10" t="str">
        <f aca="false">IF(A240="","",A240&amp;"_CAD.dwg")</f>
        <v/>
      </c>
      <c r="AH240" s="10" t="str">
        <f aca="false">IF(A240="","",A240&amp;"_DWG.pdf")</f>
        <v/>
      </c>
      <c r="AI240" s="10" t="str">
        <f aca="false">IF(A240="","",IF(AE240="Y",A240&amp;"_STAAD.std","n/a"))</f>
        <v/>
      </c>
      <c r="AJ240" s="10" t="str">
        <f aca="false">IF(A240="","",A240&amp;"_CALC.xlsx")</f>
        <v/>
      </c>
      <c r="AK240" s="10" t="str">
        <f aca="false">IF(A240="","",A240&amp;"_CALC.pdf")</f>
        <v/>
      </c>
      <c r="AL240" s="9"/>
      <c r="AM240" s="9"/>
      <c r="AN240" s="41"/>
      <c r="AO240" s="41"/>
      <c r="AP240" s="41"/>
      <c r="AQ240" s="41"/>
      <c r="AR240" s="41"/>
      <c r="AS240" s="38" t="str">
        <f aca="false">IF(C240="","",IF(LEN(IF(AND(S240&lt;&gt;"",IFERROR(VALUE(MID(S240,2,2)),0)&lt;SG_Criteria!$B$19),"FAIL: grade below C"&amp;SG_Criteria!$B$19&amp;". ","")&amp;IF(AND(T240&lt;&gt;"",T240&lt;SG_Criteria!$B$20),"FAIL: cover &lt; "&amp;SG_Criteria!$B$20&amp;" mm. ","")&amp;IF(AND(H240&lt;&gt;"",H240&lt;SG_Criteria!$B$39),"NOTE: min depth below PUB "&amp;SG_Criteria!$B$39&amp;" m. ","")&amp;IF(AND(LEFT(C240,8)="Standard",I240&gt;SG_Criteria!$B$42),"FAIL: PUB 001C covers manholes up to "&amp;SG_Criteria!$B$42&amp;" m deep only. ","")&amp;IF(AND(LEFT(C240,11)="Rectangular",J240&lt;SG_Criteria!$B$43),"NOTE: 004C is for sewers &gt;= "&amp;SG_Criteria!$B$43&amp;" dia. ","")&amp;IF(AND(LEFT(C240,7)="Precast",I240&lt;=SG_Criteria!$B$42),"NOTE: 006C is for manholes &gt; "&amp;SG_Criteria!$B$42&amp;" m deep. ","")&amp;IF(AND(J240&lt;&gt;"",J240&lt;SG_Criteria!$B$40,C240&lt;&gt;"Inspection Chamber"),"NOTE: public sewer min dia "&amp;SG_Criteria!$B$40&amp;" mm. ","")&amp;IF(AND(R240&lt;&gt;"",R240&lt;SG_Criteria!$B$44),"FAIL: uplift FOS below "&amp;SG_Criteria!$B$44&amp;". ",""))=0,"OK",IF(AND(S240&lt;&gt;"",IFERROR(VALUE(MID(S240,2,2)),0)&lt;SG_Criteria!$B$19),"FAIL: grade below C"&amp;SG_Criteria!$B$19&amp;". ","")&amp;IF(AND(T240&lt;&gt;"",T240&lt;SG_Criteria!$B$20),"FAIL: cover &lt; "&amp;SG_Criteria!$B$20&amp;" mm. ","")&amp;IF(AND(H240&lt;&gt;"",H240&lt;SG_Criteria!$B$39),"NOTE: min depth below PUB "&amp;SG_Criteria!$B$39&amp;" m. ","")&amp;IF(AND(LEFT(C240,8)="Standard",I240&gt;SG_Criteria!$B$42),"FAIL: PUB 001C covers manholes up to "&amp;SG_Criteria!$B$42&amp;" m deep only. ","")&amp;IF(AND(LEFT(C240,11)="Rectangular",J240&lt;SG_Criteria!$B$43),"NOTE: 004C is for sewers &gt;= "&amp;SG_Criteria!$B$43&amp;" dia. ","")&amp;IF(AND(LEFT(C240,7)="Precast",I240&lt;=SG_Criteria!$B$42),"NOTE: 006C is for manholes &gt; "&amp;SG_Criteria!$B$42&amp;" m deep. ","")&amp;IF(AND(J240&lt;&gt;"",J240&lt;SG_Criteria!$B$40,C240&lt;&gt;"Inspection Chamber"),"NOTE: public sewer min dia "&amp;SG_Criteria!$B$40&amp;" mm. ","")&amp;IF(AND(R240&lt;&gt;"",R240&lt;SG_Criteria!$B$44),"FAIL: uplift FOS below "&amp;SG_Criteria!$B$44&amp;". ","")))</f>
        <v/>
      </c>
      <c r="AT240" s="9"/>
      <c r="AU240" s="9"/>
      <c r="AV240" s="9"/>
      <c r="AW240" s="9"/>
      <c r="AX240" s="9"/>
      <c r="AY240" s="31"/>
      <c r="AZ240" s="10" t="str">
        <f aca="false">IF(C240="","",IF(AND(AB240="Approved",ISERROR(SEARCH("FAIL",AS240))),"Y","N"))</f>
        <v/>
      </c>
      <c r="BA240" s="10" t="str">
        <f aca="false">IF(C240="","",C240&amp;"|"&amp;I240&amp;"|"&amp;F240&amp;"|"&amp;AZ240)</f>
        <v/>
      </c>
    </row>
    <row r="241" customFormat="false" ht="15" hidden="false" customHeight="false" outlineLevel="0" collapsed="false">
      <c r="A241" s="10" t="str">
        <f aca="false">IF(C241="","","MH-"&amp;IFERROR(VLOOKUP(C241,Lists!$AB$4:$AC$20,2,0),"??")&amp;"-"&amp;TEXT(F241,"0000")&amp;IF(E241="Circular","D","x"&amp;TEXT(G241,"0000"))&amp;"-D"&amp;TEXT(I241*1000,"0000")&amp;"-"&amp;IFERROR(VLOOKUP(D241,Lists!$AE$4:$AF$16,2,0),"??")&amp;"-"&amp;AA241)</f>
        <v/>
      </c>
      <c r="B241" s="10" t="str">
        <f aca="false">IF(C241="","",C241&amp;", "&amp;D241&amp;", "&amp;IF(E241="Circular",F241&amp;" dia",F241&amp;" x "&amp;G241)&amp;", depth "&amp;TEXT(H241,"0.0")&amp;"-"&amp;TEXT(I241,"0.0")&amp;" m, pipe up to "&amp;J241&amp;" dia")</f>
        <v/>
      </c>
      <c r="C241" s="9"/>
      <c r="D241" s="9"/>
      <c r="E241" s="9"/>
      <c r="F241" s="40"/>
      <c r="G241" s="40"/>
      <c r="H241" s="43"/>
      <c r="I241" s="43"/>
      <c r="J241" s="40"/>
      <c r="K241" s="40"/>
      <c r="L241" s="40"/>
      <c r="M241" s="40"/>
      <c r="N241" s="9"/>
      <c r="O241" s="9"/>
      <c r="P241" s="9"/>
      <c r="Q241" s="9"/>
      <c r="R241" s="41"/>
      <c r="S241" s="9"/>
      <c r="T241" s="40"/>
      <c r="U241" s="9"/>
      <c r="V241" s="9"/>
      <c r="W241" s="9"/>
      <c r="X241" s="9"/>
      <c r="Y241" s="9"/>
      <c r="Z241" s="9"/>
      <c r="AA241" s="9"/>
      <c r="AB241" s="9"/>
      <c r="AC241" s="9"/>
      <c r="AD241" s="9"/>
      <c r="AE241" s="9"/>
      <c r="AF241" s="10" t="str">
        <f aca="false">IF(A241="","",SG_Criteria!$B$6&amp;SG_Criteria!$B$10&amp;"\"&amp;A241&amp;"\")</f>
        <v/>
      </c>
      <c r="AG241" s="10" t="str">
        <f aca="false">IF(A241="","",A241&amp;"_CAD.dwg")</f>
        <v/>
      </c>
      <c r="AH241" s="10" t="str">
        <f aca="false">IF(A241="","",A241&amp;"_DWG.pdf")</f>
        <v/>
      </c>
      <c r="AI241" s="10" t="str">
        <f aca="false">IF(A241="","",IF(AE241="Y",A241&amp;"_STAAD.std","n/a"))</f>
        <v/>
      </c>
      <c r="AJ241" s="10" t="str">
        <f aca="false">IF(A241="","",A241&amp;"_CALC.xlsx")</f>
        <v/>
      </c>
      <c r="AK241" s="10" t="str">
        <f aca="false">IF(A241="","",A241&amp;"_CALC.pdf")</f>
        <v/>
      </c>
      <c r="AL241" s="9"/>
      <c r="AM241" s="9"/>
      <c r="AN241" s="41"/>
      <c r="AO241" s="41"/>
      <c r="AP241" s="41"/>
      <c r="AQ241" s="41"/>
      <c r="AR241" s="41"/>
      <c r="AS241" s="38" t="str">
        <f aca="false">IF(C241="","",IF(LEN(IF(AND(S241&lt;&gt;"",IFERROR(VALUE(MID(S241,2,2)),0)&lt;SG_Criteria!$B$19),"FAIL: grade below C"&amp;SG_Criteria!$B$19&amp;". ","")&amp;IF(AND(T241&lt;&gt;"",T241&lt;SG_Criteria!$B$20),"FAIL: cover &lt; "&amp;SG_Criteria!$B$20&amp;" mm. ","")&amp;IF(AND(H241&lt;&gt;"",H241&lt;SG_Criteria!$B$39),"NOTE: min depth below PUB "&amp;SG_Criteria!$B$39&amp;" m. ","")&amp;IF(AND(LEFT(C241,8)="Standard",I241&gt;SG_Criteria!$B$42),"FAIL: PUB 001C covers manholes up to "&amp;SG_Criteria!$B$42&amp;" m deep only. ","")&amp;IF(AND(LEFT(C241,11)="Rectangular",J241&lt;SG_Criteria!$B$43),"NOTE: 004C is for sewers &gt;= "&amp;SG_Criteria!$B$43&amp;" dia. ","")&amp;IF(AND(LEFT(C241,7)="Precast",I241&lt;=SG_Criteria!$B$42),"NOTE: 006C is for manholes &gt; "&amp;SG_Criteria!$B$42&amp;" m deep. ","")&amp;IF(AND(J241&lt;&gt;"",J241&lt;SG_Criteria!$B$40,C241&lt;&gt;"Inspection Chamber"),"NOTE: public sewer min dia "&amp;SG_Criteria!$B$40&amp;" mm. ","")&amp;IF(AND(R241&lt;&gt;"",R241&lt;SG_Criteria!$B$44),"FAIL: uplift FOS below "&amp;SG_Criteria!$B$44&amp;". ",""))=0,"OK",IF(AND(S241&lt;&gt;"",IFERROR(VALUE(MID(S241,2,2)),0)&lt;SG_Criteria!$B$19),"FAIL: grade below C"&amp;SG_Criteria!$B$19&amp;". ","")&amp;IF(AND(T241&lt;&gt;"",T241&lt;SG_Criteria!$B$20),"FAIL: cover &lt; "&amp;SG_Criteria!$B$20&amp;" mm. ","")&amp;IF(AND(H241&lt;&gt;"",H241&lt;SG_Criteria!$B$39),"NOTE: min depth below PUB "&amp;SG_Criteria!$B$39&amp;" m. ","")&amp;IF(AND(LEFT(C241,8)="Standard",I241&gt;SG_Criteria!$B$42),"FAIL: PUB 001C covers manholes up to "&amp;SG_Criteria!$B$42&amp;" m deep only. ","")&amp;IF(AND(LEFT(C241,11)="Rectangular",J241&lt;SG_Criteria!$B$43),"NOTE: 004C is for sewers &gt;= "&amp;SG_Criteria!$B$43&amp;" dia. ","")&amp;IF(AND(LEFT(C241,7)="Precast",I241&lt;=SG_Criteria!$B$42),"NOTE: 006C is for manholes &gt; "&amp;SG_Criteria!$B$42&amp;" m deep. ","")&amp;IF(AND(J241&lt;&gt;"",J241&lt;SG_Criteria!$B$40,C241&lt;&gt;"Inspection Chamber"),"NOTE: public sewer min dia "&amp;SG_Criteria!$B$40&amp;" mm. ","")&amp;IF(AND(R241&lt;&gt;"",R241&lt;SG_Criteria!$B$44),"FAIL: uplift FOS below "&amp;SG_Criteria!$B$44&amp;". ","")))</f>
        <v/>
      </c>
      <c r="AT241" s="9"/>
      <c r="AU241" s="9"/>
      <c r="AV241" s="9"/>
      <c r="AW241" s="9"/>
      <c r="AX241" s="9"/>
      <c r="AY241" s="31"/>
      <c r="AZ241" s="10" t="str">
        <f aca="false">IF(C241="","",IF(AND(AB241="Approved",ISERROR(SEARCH("FAIL",AS241))),"Y","N"))</f>
        <v/>
      </c>
      <c r="BA241" s="10" t="str">
        <f aca="false">IF(C241="","",C241&amp;"|"&amp;I241&amp;"|"&amp;F241&amp;"|"&amp;AZ241)</f>
        <v/>
      </c>
    </row>
    <row r="242" customFormat="false" ht="15" hidden="false" customHeight="false" outlineLevel="0" collapsed="false">
      <c r="A242" s="10" t="str">
        <f aca="false">IF(C242="","","MH-"&amp;IFERROR(VLOOKUP(C242,Lists!$AB$4:$AC$20,2,0),"??")&amp;"-"&amp;TEXT(F242,"0000")&amp;IF(E242="Circular","D","x"&amp;TEXT(G242,"0000"))&amp;"-D"&amp;TEXT(I242*1000,"0000")&amp;"-"&amp;IFERROR(VLOOKUP(D242,Lists!$AE$4:$AF$16,2,0),"??")&amp;"-"&amp;AA242)</f>
        <v/>
      </c>
      <c r="B242" s="10" t="str">
        <f aca="false">IF(C242="","",C242&amp;", "&amp;D242&amp;", "&amp;IF(E242="Circular",F242&amp;" dia",F242&amp;" x "&amp;G242)&amp;", depth "&amp;TEXT(H242,"0.0")&amp;"-"&amp;TEXT(I242,"0.0")&amp;" m, pipe up to "&amp;J242&amp;" dia")</f>
        <v/>
      </c>
      <c r="C242" s="9"/>
      <c r="D242" s="9"/>
      <c r="E242" s="9"/>
      <c r="F242" s="40"/>
      <c r="G242" s="40"/>
      <c r="H242" s="43"/>
      <c r="I242" s="43"/>
      <c r="J242" s="40"/>
      <c r="K242" s="40"/>
      <c r="L242" s="40"/>
      <c r="M242" s="40"/>
      <c r="N242" s="9"/>
      <c r="O242" s="9"/>
      <c r="P242" s="9"/>
      <c r="Q242" s="9"/>
      <c r="R242" s="41"/>
      <c r="S242" s="9"/>
      <c r="T242" s="40"/>
      <c r="U242" s="9"/>
      <c r="V242" s="9"/>
      <c r="W242" s="9"/>
      <c r="X242" s="9"/>
      <c r="Y242" s="9"/>
      <c r="Z242" s="9"/>
      <c r="AA242" s="9"/>
      <c r="AB242" s="9"/>
      <c r="AC242" s="9"/>
      <c r="AD242" s="9"/>
      <c r="AE242" s="9"/>
      <c r="AF242" s="10" t="str">
        <f aca="false">IF(A242="","",SG_Criteria!$B$6&amp;SG_Criteria!$B$10&amp;"\"&amp;A242&amp;"\")</f>
        <v/>
      </c>
      <c r="AG242" s="10" t="str">
        <f aca="false">IF(A242="","",A242&amp;"_CAD.dwg")</f>
        <v/>
      </c>
      <c r="AH242" s="10" t="str">
        <f aca="false">IF(A242="","",A242&amp;"_DWG.pdf")</f>
        <v/>
      </c>
      <c r="AI242" s="10" t="str">
        <f aca="false">IF(A242="","",IF(AE242="Y",A242&amp;"_STAAD.std","n/a"))</f>
        <v/>
      </c>
      <c r="AJ242" s="10" t="str">
        <f aca="false">IF(A242="","",A242&amp;"_CALC.xlsx")</f>
        <v/>
      </c>
      <c r="AK242" s="10" t="str">
        <f aca="false">IF(A242="","",A242&amp;"_CALC.pdf")</f>
        <v/>
      </c>
      <c r="AL242" s="9"/>
      <c r="AM242" s="9"/>
      <c r="AN242" s="41"/>
      <c r="AO242" s="41"/>
      <c r="AP242" s="41"/>
      <c r="AQ242" s="41"/>
      <c r="AR242" s="41"/>
      <c r="AS242" s="38" t="str">
        <f aca="false">IF(C242="","",IF(LEN(IF(AND(S242&lt;&gt;"",IFERROR(VALUE(MID(S242,2,2)),0)&lt;SG_Criteria!$B$19),"FAIL: grade below C"&amp;SG_Criteria!$B$19&amp;". ","")&amp;IF(AND(T242&lt;&gt;"",T242&lt;SG_Criteria!$B$20),"FAIL: cover &lt; "&amp;SG_Criteria!$B$20&amp;" mm. ","")&amp;IF(AND(H242&lt;&gt;"",H242&lt;SG_Criteria!$B$39),"NOTE: min depth below PUB "&amp;SG_Criteria!$B$39&amp;" m. ","")&amp;IF(AND(LEFT(C242,8)="Standard",I242&gt;SG_Criteria!$B$42),"FAIL: PUB 001C covers manholes up to "&amp;SG_Criteria!$B$42&amp;" m deep only. ","")&amp;IF(AND(LEFT(C242,11)="Rectangular",J242&lt;SG_Criteria!$B$43),"NOTE: 004C is for sewers &gt;= "&amp;SG_Criteria!$B$43&amp;" dia. ","")&amp;IF(AND(LEFT(C242,7)="Precast",I242&lt;=SG_Criteria!$B$42),"NOTE: 006C is for manholes &gt; "&amp;SG_Criteria!$B$42&amp;" m deep. ","")&amp;IF(AND(J242&lt;&gt;"",J242&lt;SG_Criteria!$B$40,C242&lt;&gt;"Inspection Chamber"),"NOTE: public sewer min dia "&amp;SG_Criteria!$B$40&amp;" mm. ","")&amp;IF(AND(R242&lt;&gt;"",R242&lt;SG_Criteria!$B$44),"FAIL: uplift FOS below "&amp;SG_Criteria!$B$44&amp;". ",""))=0,"OK",IF(AND(S242&lt;&gt;"",IFERROR(VALUE(MID(S242,2,2)),0)&lt;SG_Criteria!$B$19),"FAIL: grade below C"&amp;SG_Criteria!$B$19&amp;". ","")&amp;IF(AND(T242&lt;&gt;"",T242&lt;SG_Criteria!$B$20),"FAIL: cover &lt; "&amp;SG_Criteria!$B$20&amp;" mm. ","")&amp;IF(AND(H242&lt;&gt;"",H242&lt;SG_Criteria!$B$39),"NOTE: min depth below PUB "&amp;SG_Criteria!$B$39&amp;" m. ","")&amp;IF(AND(LEFT(C242,8)="Standard",I242&gt;SG_Criteria!$B$42),"FAIL: PUB 001C covers manholes up to "&amp;SG_Criteria!$B$42&amp;" m deep only. ","")&amp;IF(AND(LEFT(C242,11)="Rectangular",J242&lt;SG_Criteria!$B$43),"NOTE: 004C is for sewers &gt;= "&amp;SG_Criteria!$B$43&amp;" dia. ","")&amp;IF(AND(LEFT(C242,7)="Precast",I242&lt;=SG_Criteria!$B$42),"NOTE: 006C is for manholes &gt; "&amp;SG_Criteria!$B$42&amp;" m deep. ","")&amp;IF(AND(J242&lt;&gt;"",J242&lt;SG_Criteria!$B$40,C242&lt;&gt;"Inspection Chamber"),"NOTE: public sewer min dia "&amp;SG_Criteria!$B$40&amp;" mm. ","")&amp;IF(AND(R242&lt;&gt;"",R242&lt;SG_Criteria!$B$44),"FAIL: uplift FOS below "&amp;SG_Criteria!$B$44&amp;". ","")))</f>
        <v/>
      </c>
      <c r="AT242" s="9"/>
      <c r="AU242" s="9"/>
      <c r="AV242" s="9"/>
      <c r="AW242" s="9"/>
      <c r="AX242" s="9"/>
      <c r="AY242" s="31"/>
      <c r="AZ242" s="10" t="str">
        <f aca="false">IF(C242="","",IF(AND(AB242="Approved",ISERROR(SEARCH("FAIL",AS242))),"Y","N"))</f>
        <v/>
      </c>
      <c r="BA242" s="10" t="str">
        <f aca="false">IF(C242="","",C242&amp;"|"&amp;I242&amp;"|"&amp;F242&amp;"|"&amp;AZ242)</f>
        <v/>
      </c>
    </row>
    <row r="243" customFormat="false" ht="15" hidden="false" customHeight="false" outlineLevel="0" collapsed="false">
      <c r="A243" s="10" t="str">
        <f aca="false">IF(C243="","","MH-"&amp;IFERROR(VLOOKUP(C243,Lists!$AB$4:$AC$20,2,0),"??")&amp;"-"&amp;TEXT(F243,"0000")&amp;IF(E243="Circular","D","x"&amp;TEXT(G243,"0000"))&amp;"-D"&amp;TEXT(I243*1000,"0000")&amp;"-"&amp;IFERROR(VLOOKUP(D243,Lists!$AE$4:$AF$16,2,0),"??")&amp;"-"&amp;AA243)</f>
        <v/>
      </c>
      <c r="B243" s="10" t="str">
        <f aca="false">IF(C243="","",C243&amp;", "&amp;D243&amp;", "&amp;IF(E243="Circular",F243&amp;" dia",F243&amp;" x "&amp;G243)&amp;", depth "&amp;TEXT(H243,"0.0")&amp;"-"&amp;TEXT(I243,"0.0")&amp;" m, pipe up to "&amp;J243&amp;" dia")</f>
        <v/>
      </c>
      <c r="C243" s="9"/>
      <c r="D243" s="9"/>
      <c r="E243" s="9"/>
      <c r="F243" s="40"/>
      <c r="G243" s="40"/>
      <c r="H243" s="43"/>
      <c r="I243" s="43"/>
      <c r="J243" s="40"/>
      <c r="K243" s="40"/>
      <c r="L243" s="40"/>
      <c r="M243" s="40"/>
      <c r="N243" s="9"/>
      <c r="O243" s="9"/>
      <c r="P243" s="9"/>
      <c r="Q243" s="9"/>
      <c r="R243" s="41"/>
      <c r="S243" s="9"/>
      <c r="T243" s="40"/>
      <c r="U243" s="9"/>
      <c r="V243" s="9"/>
      <c r="W243" s="9"/>
      <c r="X243" s="9"/>
      <c r="Y243" s="9"/>
      <c r="Z243" s="9"/>
      <c r="AA243" s="9"/>
      <c r="AB243" s="9"/>
      <c r="AC243" s="9"/>
      <c r="AD243" s="9"/>
      <c r="AE243" s="9"/>
      <c r="AF243" s="10" t="str">
        <f aca="false">IF(A243="","",SG_Criteria!$B$6&amp;SG_Criteria!$B$10&amp;"\"&amp;A243&amp;"\")</f>
        <v/>
      </c>
      <c r="AG243" s="10" t="str">
        <f aca="false">IF(A243="","",A243&amp;"_CAD.dwg")</f>
        <v/>
      </c>
      <c r="AH243" s="10" t="str">
        <f aca="false">IF(A243="","",A243&amp;"_DWG.pdf")</f>
        <v/>
      </c>
      <c r="AI243" s="10" t="str">
        <f aca="false">IF(A243="","",IF(AE243="Y",A243&amp;"_STAAD.std","n/a"))</f>
        <v/>
      </c>
      <c r="AJ243" s="10" t="str">
        <f aca="false">IF(A243="","",A243&amp;"_CALC.xlsx")</f>
        <v/>
      </c>
      <c r="AK243" s="10" t="str">
        <f aca="false">IF(A243="","",A243&amp;"_CALC.pdf")</f>
        <v/>
      </c>
      <c r="AL243" s="9"/>
      <c r="AM243" s="9"/>
      <c r="AN243" s="41"/>
      <c r="AO243" s="41"/>
      <c r="AP243" s="41"/>
      <c r="AQ243" s="41"/>
      <c r="AR243" s="41"/>
      <c r="AS243" s="38" t="str">
        <f aca="false">IF(C243="","",IF(LEN(IF(AND(S243&lt;&gt;"",IFERROR(VALUE(MID(S243,2,2)),0)&lt;SG_Criteria!$B$19),"FAIL: grade below C"&amp;SG_Criteria!$B$19&amp;". ","")&amp;IF(AND(T243&lt;&gt;"",T243&lt;SG_Criteria!$B$20),"FAIL: cover &lt; "&amp;SG_Criteria!$B$20&amp;" mm. ","")&amp;IF(AND(H243&lt;&gt;"",H243&lt;SG_Criteria!$B$39),"NOTE: min depth below PUB "&amp;SG_Criteria!$B$39&amp;" m. ","")&amp;IF(AND(LEFT(C243,8)="Standard",I243&gt;SG_Criteria!$B$42),"FAIL: PUB 001C covers manholes up to "&amp;SG_Criteria!$B$42&amp;" m deep only. ","")&amp;IF(AND(LEFT(C243,11)="Rectangular",J243&lt;SG_Criteria!$B$43),"NOTE: 004C is for sewers &gt;= "&amp;SG_Criteria!$B$43&amp;" dia. ","")&amp;IF(AND(LEFT(C243,7)="Precast",I243&lt;=SG_Criteria!$B$42),"NOTE: 006C is for manholes &gt; "&amp;SG_Criteria!$B$42&amp;" m deep. ","")&amp;IF(AND(J243&lt;&gt;"",J243&lt;SG_Criteria!$B$40,C243&lt;&gt;"Inspection Chamber"),"NOTE: public sewer min dia "&amp;SG_Criteria!$B$40&amp;" mm. ","")&amp;IF(AND(R243&lt;&gt;"",R243&lt;SG_Criteria!$B$44),"FAIL: uplift FOS below "&amp;SG_Criteria!$B$44&amp;". ",""))=0,"OK",IF(AND(S243&lt;&gt;"",IFERROR(VALUE(MID(S243,2,2)),0)&lt;SG_Criteria!$B$19),"FAIL: grade below C"&amp;SG_Criteria!$B$19&amp;". ","")&amp;IF(AND(T243&lt;&gt;"",T243&lt;SG_Criteria!$B$20),"FAIL: cover &lt; "&amp;SG_Criteria!$B$20&amp;" mm. ","")&amp;IF(AND(H243&lt;&gt;"",H243&lt;SG_Criteria!$B$39),"NOTE: min depth below PUB "&amp;SG_Criteria!$B$39&amp;" m. ","")&amp;IF(AND(LEFT(C243,8)="Standard",I243&gt;SG_Criteria!$B$42),"FAIL: PUB 001C covers manholes up to "&amp;SG_Criteria!$B$42&amp;" m deep only. ","")&amp;IF(AND(LEFT(C243,11)="Rectangular",J243&lt;SG_Criteria!$B$43),"NOTE: 004C is for sewers &gt;= "&amp;SG_Criteria!$B$43&amp;" dia. ","")&amp;IF(AND(LEFT(C243,7)="Precast",I243&lt;=SG_Criteria!$B$42),"NOTE: 006C is for manholes &gt; "&amp;SG_Criteria!$B$42&amp;" m deep. ","")&amp;IF(AND(J243&lt;&gt;"",J243&lt;SG_Criteria!$B$40,C243&lt;&gt;"Inspection Chamber"),"NOTE: public sewer min dia "&amp;SG_Criteria!$B$40&amp;" mm. ","")&amp;IF(AND(R243&lt;&gt;"",R243&lt;SG_Criteria!$B$44),"FAIL: uplift FOS below "&amp;SG_Criteria!$B$44&amp;". ","")))</f>
        <v/>
      </c>
      <c r="AT243" s="9"/>
      <c r="AU243" s="9"/>
      <c r="AV243" s="9"/>
      <c r="AW243" s="9"/>
      <c r="AX243" s="9"/>
      <c r="AY243" s="31"/>
      <c r="AZ243" s="10" t="str">
        <f aca="false">IF(C243="","",IF(AND(AB243="Approved",ISERROR(SEARCH("FAIL",AS243))),"Y","N"))</f>
        <v/>
      </c>
      <c r="BA243" s="10" t="str">
        <f aca="false">IF(C243="","",C243&amp;"|"&amp;I243&amp;"|"&amp;F243&amp;"|"&amp;AZ243)</f>
        <v/>
      </c>
    </row>
    <row r="244" customFormat="false" ht="15" hidden="false" customHeight="false" outlineLevel="0" collapsed="false">
      <c r="A244" s="10" t="str">
        <f aca="false">IF(C244="","","MH-"&amp;IFERROR(VLOOKUP(C244,Lists!$AB$4:$AC$20,2,0),"??")&amp;"-"&amp;TEXT(F244,"0000")&amp;IF(E244="Circular","D","x"&amp;TEXT(G244,"0000"))&amp;"-D"&amp;TEXT(I244*1000,"0000")&amp;"-"&amp;IFERROR(VLOOKUP(D244,Lists!$AE$4:$AF$16,2,0),"??")&amp;"-"&amp;AA244)</f>
        <v/>
      </c>
      <c r="B244" s="10" t="str">
        <f aca="false">IF(C244="","",C244&amp;", "&amp;D244&amp;", "&amp;IF(E244="Circular",F244&amp;" dia",F244&amp;" x "&amp;G244)&amp;", depth "&amp;TEXT(H244,"0.0")&amp;"-"&amp;TEXT(I244,"0.0")&amp;" m, pipe up to "&amp;J244&amp;" dia")</f>
        <v/>
      </c>
      <c r="C244" s="9"/>
      <c r="D244" s="9"/>
      <c r="E244" s="9"/>
      <c r="F244" s="40"/>
      <c r="G244" s="40"/>
      <c r="H244" s="43"/>
      <c r="I244" s="43"/>
      <c r="J244" s="40"/>
      <c r="K244" s="40"/>
      <c r="L244" s="40"/>
      <c r="M244" s="40"/>
      <c r="N244" s="9"/>
      <c r="O244" s="9"/>
      <c r="P244" s="9"/>
      <c r="Q244" s="9"/>
      <c r="R244" s="41"/>
      <c r="S244" s="9"/>
      <c r="T244" s="40"/>
      <c r="U244" s="9"/>
      <c r="V244" s="9"/>
      <c r="W244" s="9"/>
      <c r="X244" s="9"/>
      <c r="Y244" s="9"/>
      <c r="Z244" s="9"/>
      <c r="AA244" s="9"/>
      <c r="AB244" s="9"/>
      <c r="AC244" s="9"/>
      <c r="AD244" s="9"/>
      <c r="AE244" s="9"/>
      <c r="AF244" s="10" t="str">
        <f aca="false">IF(A244="","",SG_Criteria!$B$6&amp;SG_Criteria!$B$10&amp;"\"&amp;A244&amp;"\")</f>
        <v/>
      </c>
      <c r="AG244" s="10" t="str">
        <f aca="false">IF(A244="","",A244&amp;"_CAD.dwg")</f>
        <v/>
      </c>
      <c r="AH244" s="10" t="str">
        <f aca="false">IF(A244="","",A244&amp;"_DWG.pdf")</f>
        <v/>
      </c>
      <c r="AI244" s="10" t="str">
        <f aca="false">IF(A244="","",IF(AE244="Y",A244&amp;"_STAAD.std","n/a"))</f>
        <v/>
      </c>
      <c r="AJ244" s="10" t="str">
        <f aca="false">IF(A244="","",A244&amp;"_CALC.xlsx")</f>
        <v/>
      </c>
      <c r="AK244" s="10" t="str">
        <f aca="false">IF(A244="","",A244&amp;"_CALC.pdf")</f>
        <v/>
      </c>
      <c r="AL244" s="9"/>
      <c r="AM244" s="9"/>
      <c r="AN244" s="41"/>
      <c r="AO244" s="41"/>
      <c r="AP244" s="41"/>
      <c r="AQ244" s="41"/>
      <c r="AR244" s="41"/>
      <c r="AS244" s="38" t="str">
        <f aca="false">IF(C244="","",IF(LEN(IF(AND(S244&lt;&gt;"",IFERROR(VALUE(MID(S244,2,2)),0)&lt;SG_Criteria!$B$19),"FAIL: grade below C"&amp;SG_Criteria!$B$19&amp;". ","")&amp;IF(AND(T244&lt;&gt;"",T244&lt;SG_Criteria!$B$20),"FAIL: cover &lt; "&amp;SG_Criteria!$B$20&amp;" mm. ","")&amp;IF(AND(H244&lt;&gt;"",H244&lt;SG_Criteria!$B$39),"NOTE: min depth below PUB "&amp;SG_Criteria!$B$39&amp;" m. ","")&amp;IF(AND(LEFT(C244,8)="Standard",I244&gt;SG_Criteria!$B$42),"FAIL: PUB 001C covers manholes up to "&amp;SG_Criteria!$B$42&amp;" m deep only. ","")&amp;IF(AND(LEFT(C244,11)="Rectangular",J244&lt;SG_Criteria!$B$43),"NOTE: 004C is for sewers &gt;= "&amp;SG_Criteria!$B$43&amp;" dia. ","")&amp;IF(AND(LEFT(C244,7)="Precast",I244&lt;=SG_Criteria!$B$42),"NOTE: 006C is for manholes &gt; "&amp;SG_Criteria!$B$42&amp;" m deep. ","")&amp;IF(AND(J244&lt;&gt;"",J244&lt;SG_Criteria!$B$40,C244&lt;&gt;"Inspection Chamber"),"NOTE: public sewer min dia "&amp;SG_Criteria!$B$40&amp;" mm. ","")&amp;IF(AND(R244&lt;&gt;"",R244&lt;SG_Criteria!$B$44),"FAIL: uplift FOS below "&amp;SG_Criteria!$B$44&amp;". ",""))=0,"OK",IF(AND(S244&lt;&gt;"",IFERROR(VALUE(MID(S244,2,2)),0)&lt;SG_Criteria!$B$19),"FAIL: grade below C"&amp;SG_Criteria!$B$19&amp;". ","")&amp;IF(AND(T244&lt;&gt;"",T244&lt;SG_Criteria!$B$20),"FAIL: cover &lt; "&amp;SG_Criteria!$B$20&amp;" mm. ","")&amp;IF(AND(H244&lt;&gt;"",H244&lt;SG_Criteria!$B$39),"NOTE: min depth below PUB "&amp;SG_Criteria!$B$39&amp;" m. ","")&amp;IF(AND(LEFT(C244,8)="Standard",I244&gt;SG_Criteria!$B$42),"FAIL: PUB 001C covers manholes up to "&amp;SG_Criteria!$B$42&amp;" m deep only. ","")&amp;IF(AND(LEFT(C244,11)="Rectangular",J244&lt;SG_Criteria!$B$43),"NOTE: 004C is for sewers &gt;= "&amp;SG_Criteria!$B$43&amp;" dia. ","")&amp;IF(AND(LEFT(C244,7)="Precast",I244&lt;=SG_Criteria!$B$42),"NOTE: 006C is for manholes &gt; "&amp;SG_Criteria!$B$42&amp;" m deep. ","")&amp;IF(AND(J244&lt;&gt;"",J244&lt;SG_Criteria!$B$40,C244&lt;&gt;"Inspection Chamber"),"NOTE: public sewer min dia "&amp;SG_Criteria!$B$40&amp;" mm. ","")&amp;IF(AND(R244&lt;&gt;"",R244&lt;SG_Criteria!$B$44),"FAIL: uplift FOS below "&amp;SG_Criteria!$B$44&amp;". ","")))</f>
        <v/>
      </c>
      <c r="AT244" s="9"/>
      <c r="AU244" s="9"/>
      <c r="AV244" s="9"/>
      <c r="AW244" s="9"/>
      <c r="AX244" s="9"/>
      <c r="AY244" s="31"/>
      <c r="AZ244" s="10" t="str">
        <f aca="false">IF(C244="","",IF(AND(AB244="Approved",ISERROR(SEARCH("FAIL",AS244))),"Y","N"))</f>
        <v/>
      </c>
      <c r="BA244" s="10" t="str">
        <f aca="false">IF(C244="","",C244&amp;"|"&amp;I244&amp;"|"&amp;F244&amp;"|"&amp;AZ244)</f>
        <v/>
      </c>
    </row>
    <row r="245" customFormat="false" ht="15" hidden="false" customHeight="false" outlineLevel="0" collapsed="false">
      <c r="A245" s="10" t="str">
        <f aca="false">IF(C245="","","MH-"&amp;IFERROR(VLOOKUP(C245,Lists!$AB$4:$AC$20,2,0),"??")&amp;"-"&amp;TEXT(F245,"0000")&amp;IF(E245="Circular","D","x"&amp;TEXT(G245,"0000"))&amp;"-D"&amp;TEXT(I245*1000,"0000")&amp;"-"&amp;IFERROR(VLOOKUP(D245,Lists!$AE$4:$AF$16,2,0),"??")&amp;"-"&amp;AA245)</f>
        <v/>
      </c>
      <c r="B245" s="10" t="str">
        <f aca="false">IF(C245="","",C245&amp;", "&amp;D245&amp;", "&amp;IF(E245="Circular",F245&amp;" dia",F245&amp;" x "&amp;G245)&amp;", depth "&amp;TEXT(H245,"0.0")&amp;"-"&amp;TEXT(I245,"0.0")&amp;" m, pipe up to "&amp;J245&amp;" dia")</f>
        <v/>
      </c>
      <c r="C245" s="9"/>
      <c r="D245" s="9"/>
      <c r="E245" s="9"/>
      <c r="F245" s="40"/>
      <c r="G245" s="40"/>
      <c r="H245" s="43"/>
      <c r="I245" s="43"/>
      <c r="J245" s="40"/>
      <c r="K245" s="40"/>
      <c r="L245" s="40"/>
      <c r="M245" s="40"/>
      <c r="N245" s="9"/>
      <c r="O245" s="9"/>
      <c r="P245" s="9"/>
      <c r="Q245" s="9"/>
      <c r="R245" s="41"/>
      <c r="S245" s="9"/>
      <c r="T245" s="40"/>
      <c r="U245" s="9"/>
      <c r="V245" s="9"/>
      <c r="W245" s="9"/>
      <c r="X245" s="9"/>
      <c r="Y245" s="9"/>
      <c r="Z245" s="9"/>
      <c r="AA245" s="9"/>
      <c r="AB245" s="9"/>
      <c r="AC245" s="9"/>
      <c r="AD245" s="9"/>
      <c r="AE245" s="9"/>
      <c r="AF245" s="10" t="str">
        <f aca="false">IF(A245="","",SG_Criteria!$B$6&amp;SG_Criteria!$B$10&amp;"\"&amp;A245&amp;"\")</f>
        <v/>
      </c>
      <c r="AG245" s="10" t="str">
        <f aca="false">IF(A245="","",A245&amp;"_CAD.dwg")</f>
        <v/>
      </c>
      <c r="AH245" s="10" t="str">
        <f aca="false">IF(A245="","",A245&amp;"_DWG.pdf")</f>
        <v/>
      </c>
      <c r="AI245" s="10" t="str">
        <f aca="false">IF(A245="","",IF(AE245="Y",A245&amp;"_STAAD.std","n/a"))</f>
        <v/>
      </c>
      <c r="AJ245" s="10" t="str">
        <f aca="false">IF(A245="","",A245&amp;"_CALC.xlsx")</f>
        <v/>
      </c>
      <c r="AK245" s="10" t="str">
        <f aca="false">IF(A245="","",A245&amp;"_CALC.pdf")</f>
        <v/>
      </c>
      <c r="AL245" s="9"/>
      <c r="AM245" s="9"/>
      <c r="AN245" s="41"/>
      <c r="AO245" s="41"/>
      <c r="AP245" s="41"/>
      <c r="AQ245" s="41"/>
      <c r="AR245" s="41"/>
      <c r="AS245" s="38" t="str">
        <f aca="false">IF(C245="","",IF(LEN(IF(AND(S245&lt;&gt;"",IFERROR(VALUE(MID(S245,2,2)),0)&lt;SG_Criteria!$B$19),"FAIL: grade below C"&amp;SG_Criteria!$B$19&amp;". ","")&amp;IF(AND(T245&lt;&gt;"",T245&lt;SG_Criteria!$B$20),"FAIL: cover &lt; "&amp;SG_Criteria!$B$20&amp;" mm. ","")&amp;IF(AND(H245&lt;&gt;"",H245&lt;SG_Criteria!$B$39),"NOTE: min depth below PUB "&amp;SG_Criteria!$B$39&amp;" m. ","")&amp;IF(AND(LEFT(C245,8)="Standard",I245&gt;SG_Criteria!$B$42),"FAIL: PUB 001C covers manholes up to "&amp;SG_Criteria!$B$42&amp;" m deep only. ","")&amp;IF(AND(LEFT(C245,11)="Rectangular",J245&lt;SG_Criteria!$B$43),"NOTE: 004C is for sewers &gt;= "&amp;SG_Criteria!$B$43&amp;" dia. ","")&amp;IF(AND(LEFT(C245,7)="Precast",I245&lt;=SG_Criteria!$B$42),"NOTE: 006C is for manholes &gt; "&amp;SG_Criteria!$B$42&amp;" m deep. ","")&amp;IF(AND(J245&lt;&gt;"",J245&lt;SG_Criteria!$B$40,C245&lt;&gt;"Inspection Chamber"),"NOTE: public sewer min dia "&amp;SG_Criteria!$B$40&amp;" mm. ","")&amp;IF(AND(R245&lt;&gt;"",R245&lt;SG_Criteria!$B$44),"FAIL: uplift FOS below "&amp;SG_Criteria!$B$44&amp;". ",""))=0,"OK",IF(AND(S245&lt;&gt;"",IFERROR(VALUE(MID(S245,2,2)),0)&lt;SG_Criteria!$B$19),"FAIL: grade below C"&amp;SG_Criteria!$B$19&amp;". ","")&amp;IF(AND(T245&lt;&gt;"",T245&lt;SG_Criteria!$B$20),"FAIL: cover &lt; "&amp;SG_Criteria!$B$20&amp;" mm. ","")&amp;IF(AND(H245&lt;&gt;"",H245&lt;SG_Criteria!$B$39),"NOTE: min depth below PUB "&amp;SG_Criteria!$B$39&amp;" m. ","")&amp;IF(AND(LEFT(C245,8)="Standard",I245&gt;SG_Criteria!$B$42),"FAIL: PUB 001C covers manholes up to "&amp;SG_Criteria!$B$42&amp;" m deep only. ","")&amp;IF(AND(LEFT(C245,11)="Rectangular",J245&lt;SG_Criteria!$B$43),"NOTE: 004C is for sewers &gt;= "&amp;SG_Criteria!$B$43&amp;" dia. ","")&amp;IF(AND(LEFT(C245,7)="Precast",I245&lt;=SG_Criteria!$B$42),"NOTE: 006C is for manholes &gt; "&amp;SG_Criteria!$B$42&amp;" m deep. ","")&amp;IF(AND(J245&lt;&gt;"",J245&lt;SG_Criteria!$B$40,C245&lt;&gt;"Inspection Chamber"),"NOTE: public sewer min dia "&amp;SG_Criteria!$B$40&amp;" mm. ","")&amp;IF(AND(R245&lt;&gt;"",R245&lt;SG_Criteria!$B$44),"FAIL: uplift FOS below "&amp;SG_Criteria!$B$44&amp;". ","")))</f>
        <v/>
      </c>
      <c r="AT245" s="9"/>
      <c r="AU245" s="9"/>
      <c r="AV245" s="9"/>
      <c r="AW245" s="9"/>
      <c r="AX245" s="9"/>
      <c r="AY245" s="31"/>
      <c r="AZ245" s="10" t="str">
        <f aca="false">IF(C245="","",IF(AND(AB245="Approved",ISERROR(SEARCH("FAIL",AS245))),"Y","N"))</f>
        <v/>
      </c>
      <c r="BA245" s="10" t="str">
        <f aca="false">IF(C245="","",C245&amp;"|"&amp;I245&amp;"|"&amp;F245&amp;"|"&amp;AZ245)</f>
        <v/>
      </c>
    </row>
    <row r="246" customFormat="false" ht="15" hidden="false" customHeight="false" outlineLevel="0" collapsed="false">
      <c r="A246" s="10" t="str">
        <f aca="false">IF(C246="","","MH-"&amp;IFERROR(VLOOKUP(C246,Lists!$AB$4:$AC$20,2,0),"??")&amp;"-"&amp;TEXT(F246,"0000")&amp;IF(E246="Circular","D","x"&amp;TEXT(G246,"0000"))&amp;"-D"&amp;TEXT(I246*1000,"0000")&amp;"-"&amp;IFERROR(VLOOKUP(D246,Lists!$AE$4:$AF$16,2,0),"??")&amp;"-"&amp;AA246)</f>
        <v/>
      </c>
      <c r="B246" s="10" t="str">
        <f aca="false">IF(C246="","",C246&amp;", "&amp;D246&amp;", "&amp;IF(E246="Circular",F246&amp;" dia",F246&amp;" x "&amp;G246)&amp;", depth "&amp;TEXT(H246,"0.0")&amp;"-"&amp;TEXT(I246,"0.0")&amp;" m, pipe up to "&amp;J246&amp;" dia")</f>
        <v/>
      </c>
      <c r="C246" s="9"/>
      <c r="D246" s="9"/>
      <c r="E246" s="9"/>
      <c r="F246" s="40"/>
      <c r="G246" s="40"/>
      <c r="H246" s="43"/>
      <c r="I246" s="43"/>
      <c r="J246" s="40"/>
      <c r="K246" s="40"/>
      <c r="L246" s="40"/>
      <c r="M246" s="40"/>
      <c r="N246" s="9"/>
      <c r="O246" s="9"/>
      <c r="P246" s="9"/>
      <c r="Q246" s="9"/>
      <c r="R246" s="41"/>
      <c r="S246" s="9"/>
      <c r="T246" s="40"/>
      <c r="U246" s="9"/>
      <c r="V246" s="9"/>
      <c r="W246" s="9"/>
      <c r="X246" s="9"/>
      <c r="Y246" s="9"/>
      <c r="Z246" s="9"/>
      <c r="AA246" s="9"/>
      <c r="AB246" s="9"/>
      <c r="AC246" s="9"/>
      <c r="AD246" s="9"/>
      <c r="AE246" s="9"/>
      <c r="AF246" s="10" t="str">
        <f aca="false">IF(A246="","",SG_Criteria!$B$6&amp;SG_Criteria!$B$10&amp;"\"&amp;A246&amp;"\")</f>
        <v/>
      </c>
      <c r="AG246" s="10" t="str">
        <f aca="false">IF(A246="","",A246&amp;"_CAD.dwg")</f>
        <v/>
      </c>
      <c r="AH246" s="10" t="str">
        <f aca="false">IF(A246="","",A246&amp;"_DWG.pdf")</f>
        <v/>
      </c>
      <c r="AI246" s="10" t="str">
        <f aca="false">IF(A246="","",IF(AE246="Y",A246&amp;"_STAAD.std","n/a"))</f>
        <v/>
      </c>
      <c r="AJ246" s="10" t="str">
        <f aca="false">IF(A246="","",A246&amp;"_CALC.xlsx")</f>
        <v/>
      </c>
      <c r="AK246" s="10" t="str">
        <f aca="false">IF(A246="","",A246&amp;"_CALC.pdf")</f>
        <v/>
      </c>
      <c r="AL246" s="9"/>
      <c r="AM246" s="9"/>
      <c r="AN246" s="41"/>
      <c r="AO246" s="41"/>
      <c r="AP246" s="41"/>
      <c r="AQ246" s="41"/>
      <c r="AR246" s="41"/>
      <c r="AS246" s="38" t="str">
        <f aca="false">IF(C246="","",IF(LEN(IF(AND(S246&lt;&gt;"",IFERROR(VALUE(MID(S246,2,2)),0)&lt;SG_Criteria!$B$19),"FAIL: grade below C"&amp;SG_Criteria!$B$19&amp;". ","")&amp;IF(AND(T246&lt;&gt;"",T246&lt;SG_Criteria!$B$20),"FAIL: cover &lt; "&amp;SG_Criteria!$B$20&amp;" mm. ","")&amp;IF(AND(H246&lt;&gt;"",H246&lt;SG_Criteria!$B$39),"NOTE: min depth below PUB "&amp;SG_Criteria!$B$39&amp;" m. ","")&amp;IF(AND(LEFT(C246,8)="Standard",I246&gt;SG_Criteria!$B$42),"FAIL: PUB 001C covers manholes up to "&amp;SG_Criteria!$B$42&amp;" m deep only. ","")&amp;IF(AND(LEFT(C246,11)="Rectangular",J246&lt;SG_Criteria!$B$43),"NOTE: 004C is for sewers &gt;= "&amp;SG_Criteria!$B$43&amp;" dia. ","")&amp;IF(AND(LEFT(C246,7)="Precast",I246&lt;=SG_Criteria!$B$42),"NOTE: 006C is for manholes &gt; "&amp;SG_Criteria!$B$42&amp;" m deep. ","")&amp;IF(AND(J246&lt;&gt;"",J246&lt;SG_Criteria!$B$40,C246&lt;&gt;"Inspection Chamber"),"NOTE: public sewer min dia "&amp;SG_Criteria!$B$40&amp;" mm. ","")&amp;IF(AND(R246&lt;&gt;"",R246&lt;SG_Criteria!$B$44),"FAIL: uplift FOS below "&amp;SG_Criteria!$B$44&amp;". ",""))=0,"OK",IF(AND(S246&lt;&gt;"",IFERROR(VALUE(MID(S246,2,2)),0)&lt;SG_Criteria!$B$19),"FAIL: grade below C"&amp;SG_Criteria!$B$19&amp;". ","")&amp;IF(AND(T246&lt;&gt;"",T246&lt;SG_Criteria!$B$20),"FAIL: cover &lt; "&amp;SG_Criteria!$B$20&amp;" mm. ","")&amp;IF(AND(H246&lt;&gt;"",H246&lt;SG_Criteria!$B$39),"NOTE: min depth below PUB "&amp;SG_Criteria!$B$39&amp;" m. ","")&amp;IF(AND(LEFT(C246,8)="Standard",I246&gt;SG_Criteria!$B$42),"FAIL: PUB 001C covers manholes up to "&amp;SG_Criteria!$B$42&amp;" m deep only. ","")&amp;IF(AND(LEFT(C246,11)="Rectangular",J246&lt;SG_Criteria!$B$43),"NOTE: 004C is for sewers &gt;= "&amp;SG_Criteria!$B$43&amp;" dia. ","")&amp;IF(AND(LEFT(C246,7)="Precast",I246&lt;=SG_Criteria!$B$42),"NOTE: 006C is for manholes &gt; "&amp;SG_Criteria!$B$42&amp;" m deep. ","")&amp;IF(AND(J246&lt;&gt;"",J246&lt;SG_Criteria!$B$40,C246&lt;&gt;"Inspection Chamber"),"NOTE: public sewer min dia "&amp;SG_Criteria!$B$40&amp;" mm. ","")&amp;IF(AND(R246&lt;&gt;"",R246&lt;SG_Criteria!$B$44),"FAIL: uplift FOS below "&amp;SG_Criteria!$B$44&amp;". ","")))</f>
        <v/>
      </c>
      <c r="AT246" s="9"/>
      <c r="AU246" s="9"/>
      <c r="AV246" s="9"/>
      <c r="AW246" s="9"/>
      <c r="AX246" s="9"/>
      <c r="AY246" s="31"/>
      <c r="AZ246" s="10" t="str">
        <f aca="false">IF(C246="","",IF(AND(AB246="Approved",ISERROR(SEARCH("FAIL",AS246))),"Y","N"))</f>
        <v/>
      </c>
      <c r="BA246" s="10" t="str">
        <f aca="false">IF(C246="","",C246&amp;"|"&amp;I246&amp;"|"&amp;F246&amp;"|"&amp;AZ246)</f>
        <v/>
      </c>
    </row>
    <row r="247" customFormat="false" ht="15" hidden="false" customHeight="false" outlineLevel="0" collapsed="false">
      <c r="A247" s="10" t="str">
        <f aca="false">IF(C247="","","MH-"&amp;IFERROR(VLOOKUP(C247,Lists!$AB$4:$AC$20,2,0),"??")&amp;"-"&amp;TEXT(F247,"0000")&amp;IF(E247="Circular","D","x"&amp;TEXT(G247,"0000"))&amp;"-D"&amp;TEXT(I247*1000,"0000")&amp;"-"&amp;IFERROR(VLOOKUP(D247,Lists!$AE$4:$AF$16,2,0),"??")&amp;"-"&amp;AA247)</f>
        <v/>
      </c>
      <c r="B247" s="10" t="str">
        <f aca="false">IF(C247="","",C247&amp;", "&amp;D247&amp;", "&amp;IF(E247="Circular",F247&amp;" dia",F247&amp;" x "&amp;G247)&amp;", depth "&amp;TEXT(H247,"0.0")&amp;"-"&amp;TEXT(I247,"0.0")&amp;" m, pipe up to "&amp;J247&amp;" dia")</f>
        <v/>
      </c>
      <c r="C247" s="9"/>
      <c r="D247" s="9"/>
      <c r="E247" s="9"/>
      <c r="F247" s="40"/>
      <c r="G247" s="40"/>
      <c r="H247" s="43"/>
      <c r="I247" s="43"/>
      <c r="J247" s="40"/>
      <c r="K247" s="40"/>
      <c r="L247" s="40"/>
      <c r="M247" s="40"/>
      <c r="N247" s="9"/>
      <c r="O247" s="9"/>
      <c r="P247" s="9"/>
      <c r="Q247" s="9"/>
      <c r="R247" s="41"/>
      <c r="S247" s="9"/>
      <c r="T247" s="40"/>
      <c r="U247" s="9"/>
      <c r="V247" s="9"/>
      <c r="W247" s="9"/>
      <c r="X247" s="9"/>
      <c r="Y247" s="9"/>
      <c r="Z247" s="9"/>
      <c r="AA247" s="9"/>
      <c r="AB247" s="9"/>
      <c r="AC247" s="9"/>
      <c r="AD247" s="9"/>
      <c r="AE247" s="9"/>
      <c r="AF247" s="10" t="str">
        <f aca="false">IF(A247="","",SG_Criteria!$B$6&amp;SG_Criteria!$B$10&amp;"\"&amp;A247&amp;"\")</f>
        <v/>
      </c>
      <c r="AG247" s="10" t="str">
        <f aca="false">IF(A247="","",A247&amp;"_CAD.dwg")</f>
        <v/>
      </c>
      <c r="AH247" s="10" t="str">
        <f aca="false">IF(A247="","",A247&amp;"_DWG.pdf")</f>
        <v/>
      </c>
      <c r="AI247" s="10" t="str">
        <f aca="false">IF(A247="","",IF(AE247="Y",A247&amp;"_STAAD.std","n/a"))</f>
        <v/>
      </c>
      <c r="AJ247" s="10" t="str">
        <f aca="false">IF(A247="","",A247&amp;"_CALC.xlsx")</f>
        <v/>
      </c>
      <c r="AK247" s="10" t="str">
        <f aca="false">IF(A247="","",A247&amp;"_CALC.pdf")</f>
        <v/>
      </c>
      <c r="AL247" s="9"/>
      <c r="AM247" s="9"/>
      <c r="AN247" s="41"/>
      <c r="AO247" s="41"/>
      <c r="AP247" s="41"/>
      <c r="AQ247" s="41"/>
      <c r="AR247" s="41"/>
      <c r="AS247" s="38" t="str">
        <f aca="false">IF(C247="","",IF(LEN(IF(AND(S247&lt;&gt;"",IFERROR(VALUE(MID(S247,2,2)),0)&lt;SG_Criteria!$B$19),"FAIL: grade below C"&amp;SG_Criteria!$B$19&amp;". ","")&amp;IF(AND(T247&lt;&gt;"",T247&lt;SG_Criteria!$B$20),"FAIL: cover &lt; "&amp;SG_Criteria!$B$20&amp;" mm. ","")&amp;IF(AND(H247&lt;&gt;"",H247&lt;SG_Criteria!$B$39),"NOTE: min depth below PUB "&amp;SG_Criteria!$B$39&amp;" m. ","")&amp;IF(AND(LEFT(C247,8)="Standard",I247&gt;SG_Criteria!$B$42),"FAIL: PUB 001C covers manholes up to "&amp;SG_Criteria!$B$42&amp;" m deep only. ","")&amp;IF(AND(LEFT(C247,11)="Rectangular",J247&lt;SG_Criteria!$B$43),"NOTE: 004C is for sewers &gt;= "&amp;SG_Criteria!$B$43&amp;" dia. ","")&amp;IF(AND(LEFT(C247,7)="Precast",I247&lt;=SG_Criteria!$B$42),"NOTE: 006C is for manholes &gt; "&amp;SG_Criteria!$B$42&amp;" m deep. ","")&amp;IF(AND(J247&lt;&gt;"",J247&lt;SG_Criteria!$B$40,C247&lt;&gt;"Inspection Chamber"),"NOTE: public sewer min dia "&amp;SG_Criteria!$B$40&amp;" mm. ","")&amp;IF(AND(R247&lt;&gt;"",R247&lt;SG_Criteria!$B$44),"FAIL: uplift FOS below "&amp;SG_Criteria!$B$44&amp;". ",""))=0,"OK",IF(AND(S247&lt;&gt;"",IFERROR(VALUE(MID(S247,2,2)),0)&lt;SG_Criteria!$B$19),"FAIL: grade below C"&amp;SG_Criteria!$B$19&amp;". ","")&amp;IF(AND(T247&lt;&gt;"",T247&lt;SG_Criteria!$B$20),"FAIL: cover &lt; "&amp;SG_Criteria!$B$20&amp;" mm. ","")&amp;IF(AND(H247&lt;&gt;"",H247&lt;SG_Criteria!$B$39),"NOTE: min depth below PUB "&amp;SG_Criteria!$B$39&amp;" m. ","")&amp;IF(AND(LEFT(C247,8)="Standard",I247&gt;SG_Criteria!$B$42),"FAIL: PUB 001C covers manholes up to "&amp;SG_Criteria!$B$42&amp;" m deep only. ","")&amp;IF(AND(LEFT(C247,11)="Rectangular",J247&lt;SG_Criteria!$B$43),"NOTE: 004C is for sewers &gt;= "&amp;SG_Criteria!$B$43&amp;" dia. ","")&amp;IF(AND(LEFT(C247,7)="Precast",I247&lt;=SG_Criteria!$B$42),"NOTE: 006C is for manholes &gt; "&amp;SG_Criteria!$B$42&amp;" m deep. ","")&amp;IF(AND(J247&lt;&gt;"",J247&lt;SG_Criteria!$B$40,C247&lt;&gt;"Inspection Chamber"),"NOTE: public sewer min dia "&amp;SG_Criteria!$B$40&amp;" mm. ","")&amp;IF(AND(R247&lt;&gt;"",R247&lt;SG_Criteria!$B$44),"FAIL: uplift FOS below "&amp;SG_Criteria!$B$44&amp;". ","")))</f>
        <v/>
      </c>
      <c r="AT247" s="9"/>
      <c r="AU247" s="9"/>
      <c r="AV247" s="9"/>
      <c r="AW247" s="9"/>
      <c r="AX247" s="9"/>
      <c r="AY247" s="31"/>
      <c r="AZ247" s="10" t="str">
        <f aca="false">IF(C247="","",IF(AND(AB247="Approved",ISERROR(SEARCH("FAIL",AS247))),"Y","N"))</f>
        <v/>
      </c>
      <c r="BA247" s="10" t="str">
        <f aca="false">IF(C247="","",C247&amp;"|"&amp;I247&amp;"|"&amp;F247&amp;"|"&amp;AZ247)</f>
        <v/>
      </c>
    </row>
    <row r="248" customFormat="false" ht="15" hidden="false" customHeight="false" outlineLevel="0" collapsed="false">
      <c r="A248" s="10" t="str">
        <f aca="false">IF(C248="","","MH-"&amp;IFERROR(VLOOKUP(C248,Lists!$AB$4:$AC$20,2,0),"??")&amp;"-"&amp;TEXT(F248,"0000")&amp;IF(E248="Circular","D","x"&amp;TEXT(G248,"0000"))&amp;"-D"&amp;TEXT(I248*1000,"0000")&amp;"-"&amp;IFERROR(VLOOKUP(D248,Lists!$AE$4:$AF$16,2,0),"??")&amp;"-"&amp;AA248)</f>
        <v/>
      </c>
      <c r="B248" s="10" t="str">
        <f aca="false">IF(C248="","",C248&amp;", "&amp;D248&amp;", "&amp;IF(E248="Circular",F248&amp;" dia",F248&amp;" x "&amp;G248)&amp;", depth "&amp;TEXT(H248,"0.0")&amp;"-"&amp;TEXT(I248,"0.0")&amp;" m, pipe up to "&amp;J248&amp;" dia")</f>
        <v/>
      </c>
      <c r="C248" s="9"/>
      <c r="D248" s="9"/>
      <c r="E248" s="9"/>
      <c r="F248" s="40"/>
      <c r="G248" s="40"/>
      <c r="H248" s="43"/>
      <c r="I248" s="43"/>
      <c r="J248" s="40"/>
      <c r="K248" s="40"/>
      <c r="L248" s="40"/>
      <c r="M248" s="40"/>
      <c r="N248" s="9"/>
      <c r="O248" s="9"/>
      <c r="P248" s="9"/>
      <c r="Q248" s="9"/>
      <c r="R248" s="41"/>
      <c r="S248" s="9"/>
      <c r="T248" s="40"/>
      <c r="U248" s="9"/>
      <c r="V248" s="9"/>
      <c r="W248" s="9"/>
      <c r="X248" s="9"/>
      <c r="Y248" s="9"/>
      <c r="Z248" s="9"/>
      <c r="AA248" s="9"/>
      <c r="AB248" s="9"/>
      <c r="AC248" s="9"/>
      <c r="AD248" s="9"/>
      <c r="AE248" s="9"/>
      <c r="AF248" s="10" t="str">
        <f aca="false">IF(A248="","",SG_Criteria!$B$6&amp;SG_Criteria!$B$10&amp;"\"&amp;A248&amp;"\")</f>
        <v/>
      </c>
      <c r="AG248" s="10" t="str">
        <f aca="false">IF(A248="","",A248&amp;"_CAD.dwg")</f>
        <v/>
      </c>
      <c r="AH248" s="10" t="str">
        <f aca="false">IF(A248="","",A248&amp;"_DWG.pdf")</f>
        <v/>
      </c>
      <c r="AI248" s="10" t="str">
        <f aca="false">IF(A248="","",IF(AE248="Y",A248&amp;"_STAAD.std","n/a"))</f>
        <v/>
      </c>
      <c r="AJ248" s="10" t="str">
        <f aca="false">IF(A248="","",A248&amp;"_CALC.xlsx")</f>
        <v/>
      </c>
      <c r="AK248" s="10" t="str">
        <f aca="false">IF(A248="","",A248&amp;"_CALC.pdf")</f>
        <v/>
      </c>
      <c r="AL248" s="9"/>
      <c r="AM248" s="9"/>
      <c r="AN248" s="41"/>
      <c r="AO248" s="41"/>
      <c r="AP248" s="41"/>
      <c r="AQ248" s="41"/>
      <c r="AR248" s="41"/>
      <c r="AS248" s="38" t="str">
        <f aca="false">IF(C248="","",IF(LEN(IF(AND(S248&lt;&gt;"",IFERROR(VALUE(MID(S248,2,2)),0)&lt;SG_Criteria!$B$19),"FAIL: grade below C"&amp;SG_Criteria!$B$19&amp;". ","")&amp;IF(AND(T248&lt;&gt;"",T248&lt;SG_Criteria!$B$20),"FAIL: cover &lt; "&amp;SG_Criteria!$B$20&amp;" mm. ","")&amp;IF(AND(H248&lt;&gt;"",H248&lt;SG_Criteria!$B$39),"NOTE: min depth below PUB "&amp;SG_Criteria!$B$39&amp;" m. ","")&amp;IF(AND(LEFT(C248,8)="Standard",I248&gt;SG_Criteria!$B$42),"FAIL: PUB 001C covers manholes up to "&amp;SG_Criteria!$B$42&amp;" m deep only. ","")&amp;IF(AND(LEFT(C248,11)="Rectangular",J248&lt;SG_Criteria!$B$43),"NOTE: 004C is for sewers &gt;= "&amp;SG_Criteria!$B$43&amp;" dia. ","")&amp;IF(AND(LEFT(C248,7)="Precast",I248&lt;=SG_Criteria!$B$42),"NOTE: 006C is for manholes &gt; "&amp;SG_Criteria!$B$42&amp;" m deep. ","")&amp;IF(AND(J248&lt;&gt;"",J248&lt;SG_Criteria!$B$40,C248&lt;&gt;"Inspection Chamber"),"NOTE: public sewer min dia "&amp;SG_Criteria!$B$40&amp;" mm. ","")&amp;IF(AND(R248&lt;&gt;"",R248&lt;SG_Criteria!$B$44),"FAIL: uplift FOS below "&amp;SG_Criteria!$B$44&amp;". ",""))=0,"OK",IF(AND(S248&lt;&gt;"",IFERROR(VALUE(MID(S248,2,2)),0)&lt;SG_Criteria!$B$19),"FAIL: grade below C"&amp;SG_Criteria!$B$19&amp;". ","")&amp;IF(AND(T248&lt;&gt;"",T248&lt;SG_Criteria!$B$20),"FAIL: cover &lt; "&amp;SG_Criteria!$B$20&amp;" mm. ","")&amp;IF(AND(H248&lt;&gt;"",H248&lt;SG_Criteria!$B$39),"NOTE: min depth below PUB "&amp;SG_Criteria!$B$39&amp;" m. ","")&amp;IF(AND(LEFT(C248,8)="Standard",I248&gt;SG_Criteria!$B$42),"FAIL: PUB 001C covers manholes up to "&amp;SG_Criteria!$B$42&amp;" m deep only. ","")&amp;IF(AND(LEFT(C248,11)="Rectangular",J248&lt;SG_Criteria!$B$43),"NOTE: 004C is for sewers &gt;= "&amp;SG_Criteria!$B$43&amp;" dia. ","")&amp;IF(AND(LEFT(C248,7)="Precast",I248&lt;=SG_Criteria!$B$42),"NOTE: 006C is for manholes &gt; "&amp;SG_Criteria!$B$42&amp;" m deep. ","")&amp;IF(AND(J248&lt;&gt;"",J248&lt;SG_Criteria!$B$40,C248&lt;&gt;"Inspection Chamber"),"NOTE: public sewer min dia "&amp;SG_Criteria!$B$40&amp;" mm. ","")&amp;IF(AND(R248&lt;&gt;"",R248&lt;SG_Criteria!$B$44),"FAIL: uplift FOS below "&amp;SG_Criteria!$B$44&amp;". ","")))</f>
        <v/>
      </c>
      <c r="AT248" s="9"/>
      <c r="AU248" s="9"/>
      <c r="AV248" s="9"/>
      <c r="AW248" s="9"/>
      <c r="AX248" s="9"/>
      <c r="AY248" s="31"/>
      <c r="AZ248" s="10" t="str">
        <f aca="false">IF(C248="","",IF(AND(AB248="Approved",ISERROR(SEARCH("FAIL",AS248))),"Y","N"))</f>
        <v/>
      </c>
      <c r="BA248" s="10" t="str">
        <f aca="false">IF(C248="","",C248&amp;"|"&amp;I248&amp;"|"&amp;F248&amp;"|"&amp;AZ248)</f>
        <v/>
      </c>
    </row>
    <row r="249" customFormat="false" ht="15" hidden="false" customHeight="false" outlineLevel="0" collapsed="false">
      <c r="A249" s="10" t="str">
        <f aca="false">IF(C249="","","MH-"&amp;IFERROR(VLOOKUP(C249,Lists!$AB$4:$AC$20,2,0),"??")&amp;"-"&amp;TEXT(F249,"0000")&amp;IF(E249="Circular","D","x"&amp;TEXT(G249,"0000"))&amp;"-D"&amp;TEXT(I249*1000,"0000")&amp;"-"&amp;IFERROR(VLOOKUP(D249,Lists!$AE$4:$AF$16,2,0),"??")&amp;"-"&amp;AA249)</f>
        <v/>
      </c>
      <c r="B249" s="10" t="str">
        <f aca="false">IF(C249="","",C249&amp;", "&amp;D249&amp;", "&amp;IF(E249="Circular",F249&amp;" dia",F249&amp;" x "&amp;G249)&amp;", depth "&amp;TEXT(H249,"0.0")&amp;"-"&amp;TEXT(I249,"0.0")&amp;" m, pipe up to "&amp;J249&amp;" dia")</f>
        <v/>
      </c>
      <c r="C249" s="9"/>
      <c r="D249" s="9"/>
      <c r="E249" s="9"/>
      <c r="F249" s="40"/>
      <c r="G249" s="40"/>
      <c r="H249" s="43"/>
      <c r="I249" s="43"/>
      <c r="J249" s="40"/>
      <c r="K249" s="40"/>
      <c r="L249" s="40"/>
      <c r="M249" s="40"/>
      <c r="N249" s="9"/>
      <c r="O249" s="9"/>
      <c r="P249" s="9"/>
      <c r="Q249" s="9"/>
      <c r="R249" s="41"/>
      <c r="S249" s="9"/>
      <c r="T249" s="40"/>
      <c r="U249" s="9"/>
      <c r="V249" s="9"/>
      <c r="W249" s="9"/>
      <c r="X249" s="9"/>
      <c r="Y249" s="9"/>
      <c r="Z249" s="9"/>
      <c r="AA249" s="9"/>
      <c r="AB249" s="9"/>
      <c r="AC249" s="9"/>
      <c r="AD249" s="9"/>
      <c r="AE249" s="9"/>
      <c r="AF249" s="10" t="str">
        <f aca="false">IF(A249="","",SG_Criteria!$B$6&amp;SG_Criteria!$B$10&amp;"\"&amp;A249&amp;"\")</f>
        <v/>
      </c>
      <c r="AG249" s="10" t="str">
        <f aca="false">IF(A249="","",A249&amp;"_CAD.dwg")</f>
        <v/>
      </c>
      <c r="AH249" s="10" t="str">
        <f aca="false">IF(A249="","",A249&amp;"_DWG.pdf")</f>
        <v/>
      </c>
      <c r="AI249" s="10" t="str">
        <f aca="false">IF(A249="","",IF(AE249="Y",A249&amp;"_STAAD.std","n/a"))</f>
        <v/>
      </c>
      <c r="AJ249" s="10" t="str">
        <f aca="false">IF(A249="","",A249&amp;"_CALC.xlsx")</f>
        <v/>
      </c>
      <c r="AK249" s="10" t="str">
        <f aca="false">IF(A249="","",A249&amp;"_CALC.pdf")</f>
        <v/>
      </c>
      <c r="AL249" s="9"/>
      <c r="AM249" s="9"/>
      <c r="AN249" s="41"/>
      <c r="AO249" s="41"/>
      <c r="AP249" s="41"/>
      <c r="AQ249" s="41"/>
      <c r="AR249" s="41"/>
      <c r="AS249" s="38" t="str">
        <f aca="false">IF(C249="","",IF(LEN(IF(AND(S249&lt;&gt;"",IFERROR(VALUE(MID(S249,2,2)),0)&lt;SG_Criteria!$B$19),"FAIL: grade below C"&amp;SG_Criteria!$B$19&amp;". ","")&amp;IF(AND(T249&lt;&gt;"",T249&lt;SG_Criteria!$B$20),"FAIL: cover &lt; "&amp;SG_Criteria!$B$20&amp;" mm. ","")&amp;IF(AND(H249&lt;&gt;"",H249&lt;SG_Criteria!$B$39),"NOTE: min depth below PUB "&amp;SG_Criteria!$B$39&amp;" m. ","")&amp;IF(AND(LEFT(C249,8)="Standard",I249&gt;SG_Criteria!$B$42),"FAIL: PUB 001C covers manholes up to "&amp;SG_Criteria!$B$42&amp;" m deep only. ","")&amp;IF(AND(LEFT(C249,11)="Rectangular",J249&lt;SG_Criteria!$B$43),"NOTE: 004C is for sewers &gt;= "&amp;SG_Criteria!$B$43&amp;" dia. ","")&amp;IF(AND(LEFT(C249,7)="Precast",I249&lt;=SG_Criteria!$B$42),"NOTE: 006C is for manholes &gt; "&amp;SG_Criteria!$B$42&amp;" m deep. ","")&amp;IF(AND(J249&lt;&gt;"",J249&lt;SG_Criteria!$B$40,C249&lt;&gt;"Inspection Chamber"),"NOTE: public sewer min dia "&amp;SG_Criteria!$B$40&amp;" mm. ","")&amp;IF(AND(R249&lt;&gt;"",R249&lt;SG_Criteria!$B$44),"FAIL: uplift FOS below "&amp;SG_Criteria!$B$44&amp;". ",""))=0,"OK",IF(AND(S249&lt;&gt;"",IFERROR(VALUE(MID(S249,2,2)),0)&lt;SG_Criteria!$B$19),"FAIL: grade below C"&amp;SG_Criteria!$B$19&amp;". ","")&amp;IF(AND(T249&lt;&gt;"",T249&lt;SG_Criteria!$B$20),"FAIL: cover &lt; "&amp;SG_Criteria!$B$20&amp;" mm. ","")&amp;IF(AND(H249&lt;&gt;"",H249&lt;SG_Criteria!$B$39),"NOTE: min depth below PUB "&amp;SG_Criteria!$B$39&amp;" m. ","")&amp;IF(AND(LEFT(C249,8)="Standard",I249&gt;SG_Criteria!$B$42),"FAIL: PUB 001C covers manholes up to "&amp;SG_Criteria!$B$42&amp;" m deep only. ","")&amp;IF(AND(LEFT(C249,11)="Rectangular",J249&lt;SG_Criteria!$B$43),"NOTE: 004C is for sewers &gt;= "&amp;SG_Criteria!$B$43&amp;" dia. ","")&amp;IF(AND(LEFT(C249,7)="Precast",I249&lt;=SG_Criteria!$B$42),"NOTE: 006C is for manholes &gt; "&amp;SG_Criteria!$B$42&amp;" m deep. ","")&amp;IF(AND(J249&lt;&gt;"",J249&lt;SG_Criteria!$B$40,C249&lt;&gt;"Inspection Chamber"),"NOTE: public sewer min dia "&amp;SG_Criteria!$B$40&amp;" mm. ","")&amp;IF(AND(R249&lt;&gt;"",R249&lt;SG_Criteria!$B$44),"FAIL: uplift FOS below "&amp;SG_Criteria!$B$44&amp;". ","")))</f>
        <v/>
      </c>
      <c r="AT249" s="9"/>
      <c r="AU249" s="9"/>
      <c r="AV249" s="9"/>
      <c r="AW249" s="9"/>
      <c r="AX249" s="9"/>
      <c r="AY249" s="31"/>
      <c r="AZ249" s="10" t="str">
        <f aca="false">IF(C249="","",IF(AND(AB249="Approved",ISERROR(SEARCH("FAIL",AS249))),"Y","N"))</f>
        <v/>
      </c>
      <c r="BA249" s="10" t="str">
        <f aca="false">IF(C249="","",C249&amp;"|"&amp;I249&amp;"|"&amp;F249&amp;"|"&amp;AZ249)</f>
        <v/>
      </c>
    </row>
    <row r="250" customFormat="false" ht="15" hidden="false" customHeight="false" outlineLevel="0" collapsed="false">
      <c r="A250" s="10" t="str">
        <f aca="false">IF(C250="","","MH-"&amp;IFERROR(VLOOKUP(C250,Lists!$AB$4:$AC$20,2,0),"??")&amp;"-"&amp;TEXT(F250,"0000")&amp;IF(E250="Circular","D","x"&amp;TEXT(G250,"0000"))&amp;"-D"&amp;TEXT(I250*1000,"0000")&amp;"-"&amp;IFERROR(VLOOKUP(D250,Lists!$AE$4:$AF$16,2,0),"??")&amp;"-"&amp;AA250)</f>
        <v/>
      </c>
      <c r="B250" s="10" t="str">
        <f aca="false">IF(C250="","",C250&amp;", "&amp;D250&amp;", "&amp;IF(E250="Circular",F250&amp;" dia",F250&amp;" x "&amp;G250)&amp;", depth "&amp;TEXT(H250,"0.0")&amp;"-"&amp;TEXT(I250,"0.0")&amp;" m, pipe up to "&amp;J250&amp;" dia")</f>
        <v/>
      </c>
      <c r="C250" s="9"/>
      <c r="D250" s="9"/>
      <c r="E250" s="9"/>
      <c r="F250" s="40"/>
      <c r="G250" s="40"/>
      <c r="H250" s="43"/>
      <c r="I250" s="43"/>
      <c r="J250" s="40"/>
      <c r="K250" s="40"/>
      <c r="L250" s="40"/>
      <c r="M250" s="40"/>
      <c r="N250" s="9"/>
      <c r="O250" s="9"/>
      <c r="P250" s="9"/>
      <c r="Q250" s="9"/>
      <c r="R250" s="41"/>
      <c r="S250" s="9"/>
      <c r="T250" s="40"/>
      <c r="U250" s="9"/>
      <c r="V250" s="9"/>
      <c r="W250" s="9"/>
      <c r="X250" s="9"/>
      <c r="Y250" s="9"/>
      <c r="Z250" s="9"/>
      <c r="AA250" s="9"/>
      <c r="AB250" s="9"/>
      <c r="AC250" s="9"/>
      <c r="AD250" s="9"/>
      <c r="AE250" s="9"/>
      <c r="AF250" s="10" t="str">
        <f aca="false">IF(A250="","",SG_Criteria!$B$6&amp;SG_Criteria!$B$10&amp;"\"&amp;A250&amp;"\")</f>
        <v/>
      </c>
      <c r="AG250" s="10" t="str">
        <f aca="false">IF(A250="","",A250&amp;"_CAD.dwg")</f>
        <v/>
      </c>
      <c r="AH250" s="10" t="str">
        <f aca="false">IF(A250="","",A250&amp;"_DWG.pdf")</f>
        <v/>
      </c>
      <c r="AI250" s="10" t="str">
        <f aca="false">IF(A250="","",IF(AE250="Y",A250&amp;"_STAAD.std","n/a"))</f>
        <v/>
      </c>
      <c r="AJ250" s="10" t="str">
        <f aca="false">IF(A250="","",A250&amp;"_CALC.xlsx")</f>
        <v/>
      </c>
      <c r="AK250" s="10" t="str">
        <f aca="false">IF(A250="","",A250&amp;"_CALC.pdf")</f>
        <v/>
      </c>
      <c r="AL250" s="9"/>
      <c r="AM250" s="9"/>
      <c r="AN250" s="41"/>
      <c r="AO250" s="41"/>
      <c r="AP250" s="41"/>
      <c r="AQ250" s="41"/>
      <c r="AR250" s="41"/>
      <c r="AS250" s="38" t="str">
        <f aca="false">IF(C250="","",IF(LEN(IF(AND(S250&lt;&gt;"",IFERROR(VALUE(MID(S250,2,2)),0)&lt;SG_Criteria!$B$19),"FAIL: grade below C"&amp;SG_Criteria!$B$19&amp;". ","")&amp;IF(AND(T250&lt;&gt;"",T250&lt;SG_Criteria!$B$20),"FAIL: cover &lt; "&amp;SG_Criteria!$B$20&amp;" mm. ","")&amp;IF(AND(H250&lt;&gt;"",H250&lt;SG_Criteria!$B$39),"NOTE: min depth below PUB "&amp;SG_Criteria!$B$39&amp;" m. ","")&amp;IF(AND(LEFT(C250,8)="Standard",I250&gt;SG_Criteria!$B$42),"FAIL: PUB 001C covers manholes up to "&amp;SG_Criteria!$B$42&amp;" m deep only. ","")&amp;IF(AND(LEFT(C250,11)="Rectangular",J250&lt;SG_Criteria!$B$43),"NOTE: 004C is for sewers &gt;= "&amp;SG_Criteria!$B$43&amp;" dia. ","")&amp;IF(AND(LEFT(C250,7)="Precast",I250&lt;=SG_Criteria!$B$42),"NOTE: 006C is for manholes &gt; "&amp;SG_Criteria!$B$42&amp;" m deep. ","")&amp;IF(AND(J250&lt;&gt;"",J250&lt;SG_Criteria!$B$40,C250&lt;&gt;"Inspection Chamber"),"NOTE: public sewer min dia "&amp;SG_Criteria!$B$40&amp;" mm. ","")&amp;IF(AND(R250&lt;&gt;"",R250&lt;SG_Criteria!$B$44),"FAIL: uplift FOS below "&amp;SG_Criteria!$B$44&amp;". ",""))=0,"OK",IF(AND(S250&lt;&gt;"",IFERROR(VALUE(MID(S250,2,2)),0)&lt;SG_Criteria!$B$19),"FAIL: grade below C"&amp;SG_Criteria!$B$19&amp;". ","")&amp;IF(AND(T250&lt;&gt;"",T250&lt;SG_Criteria!$B$20),"FAIL: cover &lt; "&amp;SG_Criteria!$B$20&amp;" mm. ","")&amp;IF(AND(H250&lt;&gt;"",H250&lt;SG_Criteria!$B$39),"NOTE: min depth below PUB "&amp;SG_Criteria!$B$39&amp;" m. ","")&amp;IF(AND(LEFT(C250,8)="Standard",I250&gt;SG_Criteria!$B$42),"FAIL: PUB 001C covers manholes up to "&amp;SG_Criteria!$B$42&amp;" m deep only. ","")&amp;IF(AND(LEFT(C250,11)="Rectangular",J250&lt;SG_Criteria!$B$43),"NOTE: 004C is for sewers &gt;= "&amp;SG_Criteria!$B$43&amp;" dia. ","")&amp;IF(AND(LEFT(C250,7)="Precast",I250&lt;=SG_Criteria!$B$42),"NOTE: 006C is for manholes &gt; "&amp;SG_Criteria!$B$42&amp;" m deep. ","")&amp;IF(AND(J250&lt;&gt;"",J250&lt;SG_Criteria!$B$40,C250&lt;&gt;"Inspection Chamber"),"NOTE: public sewer min dia "&amp;SG_Criteria!$B$40&amp;" mm. ","")&amp;IF(AND(R250&lt;&gt;"",R250&lt;SG_Criteria!$B$44),"FAIL: uplift FOS below "&amp;SG_Criteria!$B$44&amp;". ","")))</f>
        <v/>
      </c>
      <c r="AT250" s="9"/>
      <c r="AU250" s="9"/>
      <c r="AV250" s="9"/>
      <c r="AW250" s="9"/>
      <c r="AX250" s="9"/>
      <c r="AY250" s="31"/>
      <c r="AZ250" s="10" t="str">
        <f aca="false">IF(C250="","",IF(AND(AB250="Approved",ISERROR(SEARCH("FAIL",AS250))),"Y","N"))</f>
        <v/>
      </c>
      <c r="BA250" s="10" t="str">
        <f aca="false">IF(C250="","",C250&amp;"|"&amp;I250&amp;"|"&amp;F250&amp;"|"&amp;AZ250)</f>
        <v/>
      </c>
    </row>
    <row r="251" customFormat="false" ht="15" hidden="false" customHeight="false" outlineLevel="0" collapsed="false">
      <c r="A251" s="10" t="str">
        <f aca="false">IF(C251="","","MH-"&amp;IFERROR(VLOOKUP(C251,Lists!$AB$4:$AC$20,2,0),"??")&amp;"-"&amp;TEXT(F251,"0000")&amp;IF(E251="Circular","D","x"&amp;TEXT(G251,"0000"))&amp;"-D"&amp;TEXT(I251*1000,"0000")&amp;"-"&amp;IFERROR(VLOOKUP(D251,Lists!$AE$4:$AF$16,2,0),"??")&amp;"-"&amp;AA251)</f>
        <v/>
      </c>
      <c r="B251" s="10" t="str">
        <f aca="false">IF(C251="","",C251&amp;", "&amp;D251&amp;", "&amp;IF(E251="Circular",F251&amp;" dia",F251&amp;" x "&amp;G251)&amp;", depth "&amp;TEXT(H251,"0.0")&amp;"-"&amp;TEXT(I251,"0.0")&amp;" m, pipe up to "&amp;J251&amp;" dia")</f>
        <v/>
      </c>
      <c r="C251" s="9"/>
      <c r="D251" s="9"/>
      <c r="E251" s="9"/>
      <c r="F251" s="40"/>
      <c r="G251" s="40"/>
      <c r="H251" s="43"/>
      <c r="I251" s="43"/>
      <c r="J251" s="40"/>
      <c r="K251" s="40"/>
      <c r="L251" s="40"/>
      <c r="M251" s="40"/>
      <c r="N251" s="9"/>
      <c r="O251" s="9"/>
      <c r="P251" s="9"/>
      <c r="Q251" s="9"/>
      <c r="R251" s="41"/>
      <c r="S251" s="9"/>
      <c r="T251" s="40"/>
      <c r="U251" s="9"/>
      <c r="V251" s="9"/>
      <c r="W251" s="9"/>
      <c r="X251" s="9"/>
      <c r="Y251" s="9"/>
      <c r="Z251" s="9"/>
      <c r="AA251" s="9"/>
      <c r="AB251" s="9"/>
      <c r="AC251" s="9"/>
      <c r="AD251" s="9"/>
      <c r="AE251" s="9"/>
      <c r="AF251" s="10" t="str">
        <f aca="false">IF(A251="","",SG_Criteria!$B$6&amp;SG_Criteria!$B$10&amp;"\"&amp;A251&amp;"\")</f>
        <v/>
      </c>
      <c r="AG251" s="10" t="str">
        <f aca="false">IF(A251="","",A251&amp;"_CAD.dwg")</f>
        <v/>
      </c>
      <c r="AH251" s="10" t="str">
        <f aca="false">IF(A251="","",A251&amp;"_DWG.pdf")</f>
        <v/>
      </c>
      <c r="AI251" s="10" t="str">
        <f aca="false">IF(A251="","",IF(AE251="Y",A251&amp;"_STAAD.std","n/a"))</f>
        <v/>
      </c>
      <c r="AJ251" s="10" t="str">
        <f aca="false">IF(A251="","",A251&amp;"_CALC.xlsx")</f>
        <v/>
      </c>
      <c r="AK251" s="10" t="str">
        <f aca="false">IF(A251="","",A251&amp;"_CALC.pdf")</f>
        <v/>
      </c>
      <c r="AL251" s="9"/>
      <c r="AM251" s="9"/>
      <c r="AN251" s="41"/>
      <c r="AO251" s="41"/>
      <c r="AP251" s="41"/>
      <c r="AQ251" s="41"/>
      <c r="AR251" s="41"/>
      <c r="AS251" s="38" t="str">
        <f aca="false">IF(C251="","",IF(LEN(IF(AND(S251&lt;&gt;"",IFERROR(VALUE(MID(S251,2,2)),0)&lt;SG_Criteria!$B$19),"FAIL: grade below C"&amp;SG_Criteria!$B$19&amp;". ","")&amp;IF(AND(T251&lt;&gt;"",T251&lt;SG_Criteria!$B$20),"FAIL: cover &lt; "&amp;SG_Criteria!$B$20&amp;" mm. ","")&amp;IF(AND(H251&lt;&gt;"",H251&lt;SG_Criteria!$B$39),"NOTE: min depth below PUB "&amp;SG_Criteria!$B$39&amp;" m. ","")&amp;IF(AND(LEFT(C251,8)="Standard",I251&gt;SG_Criteria!$B$42),"FAIL: PUB 001C covers manholes up to "&amp;SG_Criteria!$B$42&amp;" m deep only. ","")&amp;IF(AND(LEFT(C251,11)="Rectangular",J251&lt;SG_Criteria!$B$43),"NOTE: 004C is for sewers &gt;= "&amp;SG_Criteria!$B$43&amp;" dia. ","")&amp;IF(AND(LEFT(C251,7)="Precast",I251&lt;=SG_Criteria!$B$42),"NOTE: 006C is for manholes &gt; "&amp;SG_Criteria!$B$42&amp;" m deep. ","")&amp;IF(AND(J251&lt;&gt;"",J251&lt;SG_Criteria!$B$40,C251&lt;&gt;"Inspection Chamber"),"NOTE: public sewer min dia "&amp;SG_Criteria!$B$40&amp;" mm. ","")&amp;IF(AND(R251&lt;&gt;"",R251&lt;SG_Criteria!$B$44),"FAIL: uplift FOS below "&amp;SG_Criteria!$B$44&amp;". ",""))=0,"OK",IF(AND(S251&lt;&gt;"",IFERROR(VALUE(MID(S251,2,2)),0)&lt;SG_Criteria!$B$19),"FAIL: grade below C"&amp;SG_Criteria!$B$19&amp;". ","")&amp;IF(AND(T251&lt;&gt;"",T251&lt;SG_Criteria!$B$20),"FAIL: cover &lt; "&amp;SG_Criteria!$B$20&amp;" mm. ","")&amp;IF(AND(H251&lt;&gt;"",H251&lt;SG_Criteria!$B$39),"NOTE: min depth below PUB "&amp;SG_Criteria!$B$39&amp;" m. ","")&amp;IF(AND(LEFT(C251,8)="Standard",I251&gt;SG_Criteria!$B$42),"FAIL: PUB 001C covers manholes up to "&amp;SG_Criteria!$B$42&amp;" m deep only. ","")&amp;IF(AND(LEFT(C251,11)="Rectangular",J251&lt;SG_Criteria!$B$43),"NOTE: 004C is for sewers &gt;= "&amp;SG_Criteria!$B$43&amp;" dia. ","")&amp;IF(AND(LEFT(C251,7)="Precast",I251&lt;=SG_Criteria!$B$42),"NOTE: 006C is for manholes &gt; "&amp;SG_Criteria!$B$42&amp;" m deep. ","")&amp;IF(AND(J251&lt;&gt;"",J251&lt;SG_Criteria!$B$40,C251&lt;&gt;"Inspection Chamber"),"NOTE: public sewer min dia "&amp;SG_Criteria!$B$40&amp;" mm. ","")&amp;IF(AND(R251&lt;&gt;"",R251&lt;SG_Criteria!$B$44),"FAIL: uplift FOS below "&amp;SG_Criteria!$B$44&amp;". ","")))</f>
        <v/>
      </c>
      <c r="AT251" s="9"/>
      <c r="AU251" s="9"/>
      <c r="AV251" s="9"/>
      <c r="AW251" s="9"/>
      <c r="AX251" s="9"/>
      <c r="AY251" s="31"/>
      <c r="AZ251" s="10" t="str">
        <f aca="false">IF(C251="","",IF(AND(AB251="Approved",ISERROR(SEARCH("FAIL",AS251))),"Y","N"))</f>
        <v/>
      </c>
      <c r="BA251" s="10" t="str">
        <f aca="false">IF(C251="","",C251&amp;"|"&amp;I251&amp;"|"&amp;F251&amp;"|"&amp;AZ251)</f>
        <v/>
      </c>
    </row>
    <row r="252" customFormat="false" ht="15" hidden="false" customHeight="false" outlineLevel="0" collapsed="false">
      <c r="A252" s="10" t="str">
        <f aca="false">IF(C252="","","MH-"&amp;IFERROR(VLOOKUP(C252,Lists!$AB$4:$AC$20,2,0),"??")&amp;"-"&amp;TEXT(F252,"0000")&amp;IF(E252="Circular","D","x"&amp;TEXT(G252,"0000"))&amp;"-D"&amp;TEXT(I252*1000,"0000")&amp;"-"&amp;IFERROR(VLOOKUP(D252,Lists!$AE$4:$AF$16,2,0),"??")&amp;"-"&amp;AA252)</f>
        <v/>
      </c>
      <c r="B252" s="10" t="str">
        <f aca="false">IF(C252="","",C252&amp;", "&amp;D252&amp;", "&amp;IF(E252="Circular",F252&amp;" dia",F252&amp;" x "&amp;G252)&amp;", depth "&amp;TEXT(H252,"0.0")&amp;"-"&amp;TEXT(I252,"0.0")&amp;" m, pipe up to "&amp;J252&amp;" dia")</f>
        <v/>
      </c>
      <c r="C252" s="9"/>
      <c r="D252" s="9"/>
      <c r="E252" s="9"/>
      <c r="F252" s="40"/>
      <c r="G252" s="40"/>
      <c r="H252" s="43"/>
      <c r="I252" s="43"/>
      <c r="J252" s="40"/>
      <c r="K252" s="40"/>
      <c r="L252" s="40"/>
      <c r="M252" s="40"/>
      <c r="N252" s="9"/>
      <c r="O252" s="9"/>
      <c r="P252" s="9"/>
      <c r="Q252" s="9"/>
      <c r="R252" s="41"/>
      <c r="S252" s="9"/>
      <c r="T252" s="40"/>
      <c r="U252" s="9"/>
      <c r="V252" s="9"/>
      <c r="W252" s="9"/>
      <c r="X252" s="9"/>
      <c r="Y252" s="9"/>
      <c r="Z252" s="9"/>
      <c r="AA252" s="9"/>
      <c r="AB252" s="9"/>
      <c r="AC252" s="9"/>
      <c r="AD252" s="9"/>
      <c r="AE252" s="9"/>
      <c r="AF252" s="10" t="str">
        <f aca="false">IF(A252="","",SG_Criteria!$B$6&amp;SG_Criteria!$B$10&amp;"\"&amp;A252&amp;"\")</f>
        <v/>
      </c>
      <c r="AG252" s="10" t="str">
        <f aca="false">IF(A252="","",A252&amp;"_CAD.dwg")</f>
        <v/>
      </c>
      <c r="AH252" s="10" t="str">
        <f aca="false">IF(A252="","",A252&amp;"_DWG.pdf")</f>
        <v/>
      </c>
      <c r="AI252" s="10" t="str">
        <f aca="false">IF(A252="","",IF(AE252="Y",A252&amp;"_STAAD.std","n/a"))</f>
        <v/>
      </c>
      <c r="AJ252" s="10" t="str">
        <f aca="false">IF(A252="","",A252&amp;"_CALC.xlsx")</f>
        <v/>
      </c>
      <c r="AK252" s="10" t="str">
        <f aca="false">IF(A252="","",A252&amp;"_CALC.pdf")</f>
        <v/>
      </c>
      <c r="AL252" s="9"/>
      <c r="AM252" s="9"/>
      <c r="AN252" s="41"/>
      <c r="AO252" s="41"/>
      <c r="AP252" s="41"/>
      <c r="AQ252" s="41"/>
      <c r="AR252" s="41"/>
      <c r="AS252" s="38" t="str">
        <f aca="false">IF(C252="","",IF(LEN(IF(AND(S252&lt;&gt;"",IFERROR(VALUE(MID(S252,2,2)),0)&lt;SG_Criteria!$B$19),"FAIL: grade below C"&amp;SG_Criteria!$B$19&amp;". ","")&amp;IF(AND(T252&lt;&gt;"",T252&lt;SG_Criteria!$B$20),"FAIL: cover &lt; "&amp;SG_Criteria!$B$20&amp;" mm. ","")&amp;IF(AND(H252&lt;&gt;"",H252&lt;SG_Criteria!$B$39),"NOTE: min depth below PUB "&amp;SG_Criteria!$B$39&amp;" m. ","")&amp;IF(AND(LEFT(C252,8)="Standard",I252&gt;SG_Criteria!$B$42),"FAIL: PUB 001C covers manholes up to "&amp;SG_Criteria!$B$42&amp;" m deep only. ","")&amp;IF(AND(LEFT(C252,11)="Rectangular",J252&lt;SG_Criteria!$B$43),"NOTE: 004C is for sewers &gt;= "&amp;SG_Criteria!$B$43&amp;" dia. ","")&amp;IF(AND(LEFT(C252,7)="Precast",I252&lt;=SG_Criteria!$B$42),"NOTE: 006C is for manholes &gt; "&amp;SG_Criteria!$B$42&amp;" m deep. ","")&amp;IF(AND(J252&lt;&gt;"",J252&lt;SG_Criteria!$B$40,C252&lt;&gt;"Inspection Chamber"),"NOTE: public sewer min dia "&amp;SG_Criteria!$B$40&amp;" mm. ","")&amp;IF(AND(R252&lt;&gt;"",R252&lt;SG_Criteria!$B$44),"FAIL: uplift FOS below "&amp;SG_Criteria!$B$44&amp;". ",""))=0,"OK",IF(AND(S252&lt;&gt;"",IFERROR(VALUE(MID(S252,2,2)),0)&lt;SG_Criteria!$B$19),"FAIL: grade below C"&amp;SG_Criteria!$B$19&amp;". ","")&amp;IF(AND(T252&lt;&gt;"",T252&lt;SG_Criteria!$B$20),"FAIL: cover &lt; "&amp;SG_Criteria!$B$20&amp;" mm. ","")&amp;IF(AND(H252&lt;&gt;"",H252&lt;SG_Criteria!$B$39),"NOTE: min depth below PUB "&amp;SG_Criteria!$B$39&amp;" m. ","")&amp;IF(AND(LEFT(C252,8)="Standard",I252&gt;SG_Criteria!$B$42),"FAIL: PUB 001C covers manholes up to "&amp;SG_Criteria!$B$42&amp;" m deep only. ","")&amp;IF(AND(LEFT(C252,11)="Rectangular",J252&lt;SG_Criteria!$B$43),"NOTE: 004C is for sewers &gt;= "&amp;SG_Criteria!$B$43&amp;" dia. ","")&amp;IF(AND(LEFT(C252,7)="Precast",I252&lt;=SG_Criteria!$B$42),"NOTE: 006C is for manholes &gt; "&amp;SG_Criteria!$B$42&amp;" m deep. ","")&amp;IF(AND(J252&lt;&gt;"",J252&lt;SG_Criteria!$B$40,C252&lt;&gt;"Inspection Chamber"),"NOTE: public sewer min dia "&amp;SG_Criteria!$B$40&amp;" mm. ","")&amp;IF(AND(R252&lt;&gt;"",R252&lt;SG_Criteria!$B$44),"FAIL: uplift FOS below "&amp;SG_Criteria!$B$44&amp;". ","")))</f>
        <v/>
      </c>
      <c r="AT252" s="9"/>
      <c r="AU252" s="9"/>
      <c r="AV252" s="9"/>
      <c r="AW252" s="9"/>
      <c r="AX252" s="9"/>
      <c r="AY252" s="31"/>
      <c r="AZ252" s="10" t="str">
        <f aca="false">IF(C252="","",IF(AND(AB252="Approved",ISERROR(SEARCH("FAIL",AS252))),"Y","N"))</f>
        <v/>
      </c>
      <c r="BA252" s="10" t="str">
        <f aca="false">IF(C252="","",C252&amp;"|"&amp;I252&amp;"|"&amp;F252&amp;"|"&amp;AZ252)</f>
        <v/>
      </c>
    </row>
    <row r="253" customFormat="false" ht="15" hidden="false" customHeight="false" outlineLevel="0" collapsed="false">
      <c r="A253" s="10" t="str">
        <f aca="false">IF(C253="","","MH-"&amp;IFERROR(VLOOKUP(C253,Lists!$AB$4:$AC$20,2,0),"??")&amp;"-"&amp;TEXT(F253,"0000")&amp;IF(E253="Circular","D","x"&amp;TEXT(G253,"0000"))&amp;"-D"&amp;TEXT(I253*1000,"0000")&amp;"-"&amp;IFERROR(VLOOKUP(D253,Lists!$AE$4:$AF$16,2,0),"??")&amp;"-"&amp;AA253)</f>
        <v/>
      </c>
      <c r="B253" s="10" t="str">
        <f aca="false">IF(C253="","",C253&amp;", "&amp;D253&amp;", "&amp;IF(E253="Circular",F253&amp;" dia",F253&amp;" x "&amp;G253)&amp;", depth "&amp;TEXT(H253,"0.0")&amp;"-"&amp;TEXT(I253,"0.0")&amp;" m, pipe up to "&amp;J253&amp;" dia")</f>
        <v/>
      </c>
      <c r="C253" s="9"/>
      <c r="D253" s="9"/>
      <c r="E253" s="9"/>
      <c r="F253" s="40"/>
      <c r="G253" s="40"/>
      <c r="H253" s="43"/>
      <c r="I253" s="43"/>
      <c r="J253" s="40"/>
      <c r="K253" s="40"/>
      <c r="L253" s="40"/>
      <c r="M253" s="40"/>
      <c r="N253" s="9"/>
      <c r="O253" s="9"/>
      <c r="P253" s="9"/>
      <c r="Q253" s="9"/>
      <c r="R253" s="41"/>
      <c r="S253" s="9"/>
      <c r="T253" s="40"/>
      <c r="U253" s="9"/>
      <c r="V253" s="9"/>
      <c r="W253" s="9"/>
      <c r="X253" s="9"/>
      <c r="Y253" s="9"/>
      <c r="Z253" s="9"/>
      <c r="AA253" s="9"/>
      <c r="AB253" s="9"/>
      <c r="AC253" s="9"/>
      <c r="AD253" s="9"/>
      <c r="AE253" s="9"/>
      <c r="AF253" s="10" t="str">
        <f aca="false">IF(A253="","",SG_Criteria!$B$6&amp;SG_Criteria!$B$10&amp;"\"&amp;A253&amp;"\")</f>
        <v/>
      </c>
      <c r="AG253" s="10" t="str">
        <f aca="false">IF(A253="","",A253&amp;"_CAD.dwg")</f>
        <v/>
      </c>
      <c r="AH253" s="10" t="str">
        <f aca="false">IF(A253="","",A253&amp;"_DWG.pdf")</f>
        <v/>
      </c>
      <c r="AI253" s="10" t="str">
        <f aca="false">IF(A253="","",IF(AE253="Y",A253&amp;"_STAAD.std","n/a"))</f>
        <v/>
      </c>
      <c r="AJ253" s="10" t="str">
        <f aca="false">IF(A253="","",A253&amp;"_CALC.xlsx")</f>
        <v/>
      </c>
      <c r="AK253" s="10" t="str">
        <f aca="false">IF(A253="","",A253&amp;"_CALC.pdf")</f>
        <v/>
      </c>
      <c r="AL253" s="9"/>
      <c r="AM253" s="9"/>
      <c r="AN253" s="41"/>
      <c r="AO253" s="41"/>
      <c r="AP253" s="41"/>
      <c r="AQ253" s="41"/>
      <c r="AR253" s="41"/>
      <c r="AS253" s="38" t="str">
        <f aca="false">IF(C253="","",IF(LEN(IF(AND(S253&lt;&gt;"",IFERROR(VALUE(MID(S253,2,2)),0)&lt;SG_Criteria!$B$19),"FAIL: grade below C"&amp;SG_Criteria!$B$19&amp;". ","")&amp;IF(AND(T253&lt;&gt;"",T253&lt;SG_Criteria!$B$20),"FAIL: cover &lt; "&amp;SG_Criteria!$B$20&amp;" mm. ","")&amp;IF(AND(H253&lt;&gt;"",H253&lt;SG_Criteria!$B$39),"NOTE: min depth below PUB "&amp;SG_Criteria!$B$39&amp;" m. ","")&amp;IF(AND(LEFT(C253,8)="Standard",I253&gt;SG_Criteria!$B$42),"FAIL: PUB 001C covers manholes up to "&amp;SG_Criteria!$B$42&amp;" m deep only. ","")&amp;IF(AND(LEFT(C253,11)="Rectangular",J253&lt;SG_Criteria!$B$43),"NOTE: 004C is for sewers &gt;= "&amp;SG_Criteria!$B$43&amp;" dia. ","")&amp;IF(AND(LEFT(C253,7)="Precast",I253&lt;=SG_Criteria!$B$42),"NOTE: 006C is for manholes &gt; "&amp;SG_Criteria!$B$42&amp;" m deep. ","")&amp;IF(AND(J253&lt;&gt;"",J253&lt;SG_Criteria!$B$40,C253&lt;&gt;"Inspection Chamber"),"NOTE: public sewer min dia "&amp;SG_Criteria!$B$40&amp;" mm. ","")&amp;IF(AND(R253&lt;&gt;"",R253&lt;SG_Criteria!$B$44),"FAIL: uplift FOS below "&amp;SG_Criteria!$B$44&amp;". ",""))=0,"OK",IF(AND(S253&lt;&gt;"",IFERROR(VALUE(MID(S253,2,2)),0)&lt;SG_Criteria!$B$19),"FAIL: grade below C"&amp;SG_Criteria!$B$19&amp;". ","")&amp;IF(AND(T253&lt;&gt;"",T253&lt;SG_Criteria!$B$20),"FAIL: cover &lt; "&amp;SG_Criteria!$B$20&amp;" mm. ","")&amp;IF(AND(H253&lt;&gt;"",H253&lt;SG_Criteria!$B$39),"NOTE: min depth below PUB "&amp;SG_Criteria!$B$39&amp;" m. ","")&amp;IF(AND(LEFT(C253,8)="Standard",I253&gt;SG_Criteria!$B$42),"FAIL: PUB 001C covers manholes up to "&amp;SG_Criteria!$B$42&amp;" m deep only. ","")&amp;IF(AND(LEFT(C253,11)="Rectangular",J253&lt;SG_Criteria!$B$43),"NOTE: 004C is for sewers &gt;= "&amp;SG_Criteria!$B$43&amp;" dia. ","")&amp;IF(AND(LEFT(C253,7)="Precast",I253&lt;=SG_Criteria!$B$42),"NOTE: 006C is for manholes &gt; "&amp;SG_Criteria!$B$42&amp;" m deep. ","")&amp;IF(AND(J253&lt;&gt;"",J253&lt;SG_Criteria!$B$40,C253&lt;&gt;"Inspection Chamber"),"NOTE: public sewer min dia "&amp;SG_Criteria!$B$40&amp;" mm. ","")&amp;IF(AND(R253&lt;&gt;"",R253&lt;SG_Criteria!$B$44),"FAIL: uplift FOS below "&amp;SG_Criteria!$B$44&amp;". ","")))</f>
        <v/>
      </c>
      <c r="AT253" s="9"/>
      <c r="AU253" s="9"/>
      <c r="AV253" s="9"/>
      <c r="AW253" s="9"/>
      <c r="AX253" s="9"/>
      <c r="AY253" s="31"/>
      <c r="AZ253" s="10" t="str">
        <f aca="false">IF(C253="","",IF(AND(AB253="Approved",ISERROR(SEARCH("FAIL",AS253))),"Y","N"))</f>
        <v/>
      </c>
      <c r="BA253" s="10" t="str">
        <f aca="false">IF(C253="","",C253&amp;"|"&amp;I253&amp;"|"&amp;F253&amp;"|"&amp;AZ253)</f>
        <v/>
      </c>
    </row>
    <row r="254" customFormat="false" ht="15" hidden="false" customHeight="false" outlineLevel="0" collapsed="false">
      <c r="A254" s="10" t="str">
        <f aca="false">IF(C254="","","MH-"&amp;IFERROR(VLOOKUP(C254,Lists!$AB$4:$AC$20,2,0),"??")&amp;"-"&amp;TEXT(F254,"0000")&amp;IF(E254="Circular","D","x"&amp;TEXT(G254,"0000"))&amp;"-D"&amp;TEXT(I254*1000,"0000")&amp;"-"&amp;IFERROR(VLOOKUP(D254,Lists!$AE$4:$AF$16,2,0),"??")&amp;"-"&amp;AA254)</f>
        <v/>
      </c>
      <c r="B254" s="10" t="str">
        <f aca="false">IF(C254="","",C254&amp;", "&amp;D254&amp;", "&amp;IF(E254="Circular",F254&amp;" dia",F254&amp;" x "&amp;G254)&amp;", depth "&amp;TEXT(H254,"0.0")&amp;"-"&amp;TEXT(I254,"0.0")&amp;" m, pipe up to "&amp;J254&amp;" dia")</f>
        <v/>
      </c>
      <c r="C254" s="9"/>
      <c r="D254" s="9"/>
      <c r="E254" s="9"/>
      <c r="F254" s="40"/>
      <c r="G254" s="40"/>
      <c r="H254" s="43"/>
      <c r="I254" s="43"/>
      <c r="J254" s="40"/>
      <c r="K254" s="40"/>
      <c r="L254" s="40"/>
      <c r="M254" s="40"/>
      <c r="N254" s="9"/>
      <c r="O254" s="9"/>
      <c r="P254" s="9"/>
      <c r="Q254" s="9"/>
      <c r="R254" s="41"/>
      <c r="S254" s="9"/>
      <c r="T254" s="40"/>
      <c r="U254" s="9"/>
      <c r="V254" s="9"/>
      <c r="W254" s="9"/>
      <c r="X254" s="9"/>
      <c r="Y254" s="9"/>
      <c r="Z254" s="9"/>
      <c r="AA254" s="9"/>
      <c r="AB254" s="9"/>
      <c r="AC254" s="9"/>
      <c r="AD254" s="9"/>
      <c r="AE254" s="9"/>
      <c r="AF254" s="10" t="str">
        <f aca="false">IF(A254="","",SG_Criteria!$B$6&amp;SG_Criteria!$B$10&amp;"\"&amp;A254&amp;"\")</f>
        <v/>
      </c>
      <c r="AG254" s="10" t="str">
        <f aca="false">IF(A254="","",A254&amp;"_CAD.dwg")</f>
        <v/>
      </c>
      <c r="AH254" s="10" t="str">
        <f aca="false">IF(A254="","",A254&amp;"_DWG.pdf")</f>
        <v/>
      </c>
      <c r="AI254" s="10" t="str">
        <f aca="false">IF(A254="","",IF(AE254="Y",A254&amp;"_STAAD.std","n/a"))</f>
        <v/>
      </c>
      <c r="AJ254" s="10" t="str">
        <f aca="false">IF(A254="","",A254&amp;"_CALC.xlsx")</f>
        <v/>
      </c>
      <c r="AK254" s="10" t="str">
        <f aca="false">IF(A254="","",A254&amp;"_CALC.pdf")</f>
        <v/>
      </c>
      <c r="AL254" s="9"/>
      <c r="AM254" s="9"/>
      <c r="AN254" s="41"/>
      <c r="AO254" s="41"/>
      <c r="AP254" s="41"/>
      <c r="AQ254" s="41"/>
      <c r="AR254" s="41"/>
      <c r="AS254" s="38" t="str">
        <f aca="false">IF(C254="","",IF(LEN(IF(AND(S254&lt;&gt;"",IFERROR(VALUE(MID(S254,2,2)),0)&lt;SG_Criteria!$B$19),"FAIL: grade below C"&amp;SG_Criteria!$B$19&amp;". ","")&amp;IF(AND(T254&lt;&gt;"",T254&lt;SG_Criteria!$B$20),"FAIL: cover &lt; "&amp;SG_Criteria!$B$20&amp;" mm. ","")&amp;IF(AND(H254&lt;&gt;"",H254&lt;SG_Criteria!$B$39),"NOTE: min depth below PUB "&amp;SG_Criteria!$B$39&amp;" m. ","")&amp;IF(AND(LEFT(C254,8)="Standard",I254&gt;SG_Criteria!$B$42),"FAIL: PUB 001C covers manholes up to "&amp;SG_Criteria!$B$42&amp;" m deep only. ","")&amp;IF(AND(LEFT(C254,11)="Rectangular",J254&lt;SG_Criteria!$B$43),"NOTE: 004C is for sewers &gt;= "&amp;SG_Criteria!$B$43&amp;" dia. ","")&amp;IF(AND(LEFT(C254,7)="Precast",I254&lt;=SG_Criteria!$B$42),"NOTE: 006C is for manholes &gt; "&amp;SG_Criteria!$B$42&amp;" m deep. ","")&amp;IF(AND(J254&lt;&gt;"",J254&lt;SG_Criteria!$B$40,C254&lt;&gt;"Inspection Chamber"),"NOTE: public sewer min dia "&amp;SG_Criteria!$B$40&amp;" mm. ","")&amp;IF(AND(R254&lt;&gt;"",R254&lt;SG_Criteria!$B$44),"FAIL: uplift FOS below "&amp;SG_Criteria!$B$44&amp;". ",""))=0,"OK",IF(AND(S254&lt;&gt;"",IFERROR(VALUE(MID(S254,2,2)),0)&lt;SG_Criteria!$B$19),"FAIL: grade below C"&amp;SG_Criteria!$B$19&amp;". ","")&amp;IF(AND(T254&lt;&gt;"",T254&lt;SG_Criteria!$B$20),"FAIL: cover &lt; "&amp;SG_Criteria!$B$20&amp;" mm. ","")&amp;IF(AND(H254&lt;&gt;"",H254&lt;SG_Criteria!$B$39),"NOTE: min depth below PUB "&amp;SG_Criteria!$B$39&amp;" m. ","")&amp;IF(AND(LEFT(C254,8)="Standard",I254&gt;SG_Criteria!$B$42),"FAIL: PUB 001C covers manholes up to "&amp;SG_Criteria!$B$42&amp;" m deep only. ","")&amp;IF(AND(LEFT(C254,11)="Rectangular",J254&lt;SG_Criteria!$B$43),"NOTE: 004C is for sewers &gt;= "&amp;SG_Criteria!$B$43&amp;" dia. ","")&amp;IF(AND(LEFT(C254,7)="Precast",I254&lt;=SG_Criteria!$B$42),"NOTE: 006C is for manholes &gt; "&amp;SG_Criteria!$B$42&amp;" m deep. ","")&amp;IF(AND(J254&lt;&gt;"",J254&lt;SG_Criteria!$B$40,C254&lt;&gt;"Inspection Chamber"),"NOTE: public sewer min dia "&amp;SG_Criteria!$B$40&amp;" mm. ","")&amp;IF(AND(R254&lt;&gt;"",R254&lt;SG_Criteria!$B$44),"FAIL: uplift FOS below "&amp;SG_Criteria!$B$44&amp;". ","")))</f>
        <v/>
      </c>
      <c r="AT254" s="9"/>
      <c r="AU254" s="9"/>
      <c r="AV254" s="9"/>
      <c r="AW254" s="9"/>
      <c r="AX254" s="9"/>
      <c r="AY254" s="31"/>
      <c r="AZ254" s="10" t="str">
        <f aca="false">IF(C254="","",IF(AND(AB254="Approved",ISERROR(SEARCH("FAIL",AS254))),"Y","N"))</f>
        <v/>
      </c>
      <c r="BA254" s="10" t="str">
        <f aca="false">IF(C254="","",C254&amp;"|"&amp;I254&amp;"|"&amp;F254&amp;"|"&amp;AZ254)</f>
        <v/>
      </c>
    </row>
    <row r="255" customFormat="false" ht="15" hidden="false" customHeight="false" outlineLevel="0" collapsed="false">
      <c r="A255" s="10" t="str">
        <f aca="false">IF(C255="","","MH-"&amp;IFERROR(VLOOKUP(C255,Lists!$AB$4:$AC$20,2,0),"??")&amp;"-"&amp;TEXT(F255,"0000")&amp;IF(E255="Circular","D","x"&amp;TEXT(G255,"0000"))&amp;"-D"&amp;TEXT(I255*1000,"0000")&amp;"-"&amp;IFERROR(VLOOKUP(D255,Lists!$AE$4:$AF$16,2,0),"??")&amp;"-"&amp;AA255)</f>
        <v/>
      </c>
      <c r="B255" s="10" t="str">
        <f aca="false">IF(C255="","",C255&amp;", "&amp;D255&amp;", "&amp;IF(E255="Circular",F255&amp;" dia",F255&amp;" x "&amp;G255)&amp;", depth "&amp;TEXT(H255,"0.0")&amp;"-"&amp;TEXT(I255,"0.0")&amp;" m, pipe up to "&amp;J255&amp;" dia")</f>
        <v/>
      </c>
      <c r="C255" s="9"/>
      <c r="D255" s="9"/>
      <c r="E255" s="9"/>
      <c r="F255" s="40"/>
      <c r="G255" s="40"/>
      <c r="H255" s="43"/>
      <c r="I255" s="43"/>
      <c r="J255" s="40"/>
      <c r="K255" s="40"/>
      <c r="L255" s="40"/>
      <c r="M255" s="40"/>
      <c r="N255" s="9"/>
      <c r="O255" s="9"/>
      <c r="P255" s="9"/>
      <c r="Q255" s="9"/>
      <c r="R255" s="41"/>
      <c r="S255" s="9"/>
      <c r="T255" s="40"/>
      <c r="U255" s="9"/>
      <c r="V255" s="9"/>
      <c r="W255" s="9"/>
      <c r="X255" s="9"/>
      <c r="Y255" s="9"/>
      <c r="Z255" s="9"/>
      <c r="AA255" s="9"/>
      <c r="AB255" s="9"/>
      <c r="AC255" s="9"/>
      <c r="AD255" s="9"/>
      <c r="AE255" s="9"/>
      <c r="AF255" s="10" t="str">
        <f aca="false">IF(A255="","",SG_Criteria!$B$6&amp;SG_Criteria!$B$10&amp;"\"&amp;A255&amp;"\")</f>
        <v/>
      </c>
      <c r="AG255" s="10" t="str">
        <f aca="false">IF(A255="","",A255&amp;"_CAD.dwg")</f>
        <v/>
      </c>
      <c r="AH255" s="10" t="str">
        <f aca="false">IF(A255="","",A255&amp;"_DWG.pdf")</f>
        <v/>
      </c>
      <c r="AI255" s="10" t="str">
        <f aca="false">IF(A255="","",IF(AE255="Y",A255&amp;"_STAAD.std","n/a"))</f>
        <v/>
      </c>
      <c r="AJ255" s="10" t="str">
        <f aca="false">IF(A255="","",A255&amp;"_CALC.xlsx")</f>
        <v/>
      </c>
      <c r="AK255" s="10" t="str">
        <f aca="false">IF(A255="","",A255&amp;"_CALC.pdf")</f>
        <v/>
      </c>
      <c r="AL255" s="9"/>
      <c r="AM255" s="9"/>
      <c r="AN255" s="41"/>
      <c r="AO255" s="41"/>
      <c r="AP255" s="41"/>
      <c r="AQ255" s="41"/>
      <c r="AR255" s="41"/>
      <c r="AS255" s="38" t="str">
        <f aca="false">IF(C255="","",IF(LEN(IF(AND(S255&lt;&gt;"",IFERROR(VALUE(MID(S255,2,2)),0)&lt;SG_Criteria!$B$19),"FAIL: grade below C"&amp;SG_Criteria!$B$19&amp;". ","")&amp;IF(AND(T255&lt;&gt;"",T255&lt;SG_Criteria!$B$20),"FAIL: cover &lt; "&amp;SG_Criteria!$B$20&amp;" mm. ","")&amp;IF(AND(H255&lt;&gt;"",H255&lt;SG_Criteria!$B$39),"NOTE: min depth below PUB "&amp;SG_Criteria!$B$39&amp;" m. ","")&amp;IF(AND(LEFT(C255,8)="Standard",I255&gt;SG_Criteria!$B$42),"FAIL: PUB 001C covers manholes up to "&amp;SG_Criteria!$B$42&amp;" m deep only. ","")&amp;IF(AND(LEFT(C255,11)="Rectangular",J255&lt;SG_Criteria!$B$43),"NOTE: 004C is for sewers &gt;= "&amp;SG_Criteria!$B$43&amp;" dia. ","")&amp;IF(AND(LEFT(C255,7)="Precast",I255&lt;=SG_Criteria!$B$42),"NOTE: 006C is for manholes &gt; "&amp;SG_Criteria!$B$42&amp;" m deep. ","")&amp;IF(AND(J255&lt;&gt;"",J255&lt;SG_Criteria!$B$40,C255&lt;&gt;"Inspection Chamber"),"NOTE: public sewer min dia "&amp;SG_Criteria!$B$40&amp;" mm. ","")&amp;IF(AND(R255&lt;&gt;"",R255&lt;SG_Criteria!$B$44),"FAIL: uplift FOS below "&amp;SG_Criteria!$B$44&amp;". ",""))=0,"OK",IF(AND(S255&lt;&gt;"",IFERROR(VALUE(MID(S255,2,2)),0)&lt;SG_Criteria!$B$19),"FAIL: grade below C"&amp;SG_Criteria!$B$19&amp;". ","")&amp;IF(AND(T255&lt;&gt;"",T255&lt;SG_Criteria!$B$20),"FAIL: cover &lt; "&amp;SG_Criteria!$B$20&amp;" mm. ","")&amp;IF(AND(H255&lt;&gt;"",H255&lt;SG_Criteria!$B$39),"NOTE: min depth below PUB "&amp;SG_Criteria!$B$39&amp;" m. ","")&amp;IF(AND(LEFT(C255,8)="Standard",I255&gt;SG_Criteria!$B$42),"FAIL: PUB 001C covers manholes up to "&amp;SG_Criteria!$B$42&amp;" m deep only. ","")&amp;IF(AND(LEFT(C255,11)="Rectangular",J255&lt;SG_Criteria!$B$43),"NOTE: 004C is for sewers &gt;= "&amp;SG_Criteria!$B$43&amp;" dia. ","")&amp;IF(AND(LEFT(C255,7)="Precast",I255&lt;=SG_Criteria!$B$42),"NOTE: 006C is for manholes &gt; "&amp;SG_Criteria!$B$42&amp;" m deep. ","")&amp;IF(AND(J255&lt;&gt;"",J255&lt;SG_Criteria!$B$40,C255&lt;&gt;"Inspection Chamber"),"NOTE: public sewer min dia "&amp;SG_Criteria!$B$40&amp;" mm. ","")&amp;IF(AND(R255&lt;&gt;"",R255&lt;SG_Criteria!$B$44),"FAIL: uplift FOS below "&amp;SG_Criteria!$B$44&amp;". ","")))</f>
        <v/>
      </c>
      <c r="AT255" s="9"/>
      <c r="AU255" s="9"/>
      <c r="AV255" s="9"/>
      <c r="AW255" s="9"/>
      <c r="AX255" s="9"/>
      <c r="AY255" s="31"/>
      <c r="AZ255" s="10" t="str">
        <f aca="false">IF(C255="","",IF(AND(AB255="Approved",ISERROR(SEARCH("FAIL",AS255))),"Y","N"))</f>
        <v/>
      </c>
      <c r="BA255" s="10" t="str">
        <f aca="false">IF(C255="","",C255&amp;"|"&amp;I255&amp;"|"&amp;F255&amp;"|"&amp;AZ255)</f>
        <v/>
      </c>
    </row>
    <row r="256" customFormat="false" ht="15" hidden="false" customHeight="false" outlineLevel="0" collapsed="false">
      <c r="A256" s="10" t="str">
        <f aca="false">IF(C256="","","MH-"&amp;IFERROR(VLOOKUP(C256,Lists!$AB$4:$AC$20,2,0),"??")&amp;"-"&amp;TEXT(F256,"0000")&amp;IF(E256="Circular","D","x"&amp;TEXT(G256,"0000"))&amp;"-D"&amp;TEXT(I256*1000,"0000")&amp;"-"&amp;IFERROR(VLOOKUP(D256,Lists!$AE$4:$AF$16,2,0),"??")&amp;"-"&amp;AA256)</f>
        <v/>
      </c>
      <c r="B256" s="10" t="str">
        <f aca="false">IF(C256="","",C256&amp;", "&amp;D256&amp;", "&amp;IF(E256="Circular",F256&amp;" dia",F256&amp;" x "&amp;G256)&amp;", depth "&amp;TEXT(H256,"0.0")&amp;"-"&amp;TEXT(I256,"0.0")&amp;" m, pipe up to "&amp;J256&amp;" dia")</f>
        <v/>
      </c>
      <c r="C256" s="9"/>
      <c r="D256" s="9"/>
      <c r="E256" s="9"/>
      <c r="F256" s="40"/>
      <c r="G256" s="40"/>
      <c r="H256" s="43"/>
      <c r="I256" s="43"/>
      <c r="J256" s="40"/>
      <c r="K256" s="40"/>
      <c r="L256" s="40"/>
      <c r="M256" s="40"/>
      <c r="N256" s="9"/>
      <c r="O256" s="9"/>
      <c r="P256" s="9"/>
      <c r="Q256" s="9"/>
      <c r="R256" s="41"/>
      <c r="S256" s="9"/>
      <c r="T256" s="40"/>
      <c r="U256" s="9"/>
      <c r="V256" s="9"/>
      <c r="W256" s="9"/>
      <c r="X256" s="9"/>
      <c r="Y256" s="9"/>
      <c r="Z256" s="9"/>
      <c r="AA256" s="9"/>
      <c r="AB256" s="9"/>
      <c r="AC256" s="9"/>
      <c r="AD256" s="9"/>
      <c r="AE256" s="9"/>
      <c r="AF256" s="10" t="str">
        <f aca="false">IF(A256="","",SG_Criteria!$B$6&amp;SG_Criteria!$B$10&amp;"\"&amp;A256&amp;"\")</f>
        <v/>
      </c>
      <c r="AG256" s="10" t="str">
        <f aca="false">IF(A256="","",A256&amp;"_CAD.dwg")</f>
        <v/>
      </c>
      <c r="AH256" s="10" t="str">
        <f aca="false">IF(A256="","",A256&amp;"_DWG.pdf")</f>
        <v/>
      </c>
      <c r="AI256" s="10" t="str">
        <f aca="false">IF(A256="","",IF(AE256="Y",A256&amp;"_STAAD.std","n/a"))</f>
        <v/>
      </c>
      <c r="AJ256" s="10" t="str">
        <f aca="false">IF(A256="","",A256&amp;"_CALC.xlsx")</f>
        <v/>
      </c>
      <c r="AK256" s="10" t="str">
        <f aca="false">IF(A256="","",A256&amp;"_CALC.pdf")</f>
        <v/>
      </c>
      <c r="AL256" s="9"/>
      <c r="AM256" s="9"/>
      <c r="AN256" s="41"/>
      <c r="AO256" s="41"/>
      <c r="AP256" s="41"/>
      <c r="AQ256" s="41"/>
      <c r="AR256" s="41"/>
      <c r="AS256" s="38" t="str">
        <f aca="false">IF(C256="","",IF(LEN(IF(AND(S256&lt;&gt;"",IFERROR(VALUE(MID(S256,2,2)),0)&lt;SG_Criteria!$B$19),"FAIL: grade below C"&amp;SG_Criteria!$B$19&amp;". ","")&amp;IF(AND(T256&lt;&gt;"",T256&lt;SG_Criteria!$B$20),"FAIL: cover &lt; "&amp;SG_Criteria!$B$20&amp;" mm. ","")&amp;IF(AND(H256&lt;&gt;"",H256&lt;SG_Criteria!$B$39),"NOTE: min depth below PUB "&amp;SG_Criteria!$B$39&amp;" m. ","")&amp;IF(AND(LEFT(C256,8)="Standard",I256&gt;SG_Criteria!$B$42),"FAIL: PUB 001C covers manholes up to "&amp;SG_Criteria!$B$42&amp;" m deep only. ","")&amp;IF(AND(LEFT(C256,11)="Rectangular",J256&lt;SG_Criteria!$B$43),"NOTE: 004C is for sewers &gt;= "&amp;SG_Criteria!$B$43&amp;" dia. ","")&amp;IF(AND(LEFT(C256,7)="Precast",I256&lt;=SG_Criteria!$B$42),"NOTE: 006C is for manholes &gt; "&amp;SG_Criteria!$B$42&amp;" m deep. ","")&amp;IF(AND(J256&lt;&gt;"",J256&lt;SG_Criteria!$B$40,C256&lt;&gt;"Inspection Chamber"),"NOTE: public sewer min dia "&amp;SG_Criteria!$B$40&amp;" mm. ","")&amp;IF(AND(R256&lt;&gt;"",R256&lt;SG_Criteria!$B$44),"FAIL: uplift FOS below "&amp;SG_Criteria!$B$44&amp;". ",""))=0,"OK",IF(AND(S256&lt;&gt;"",IFERROR(VALUE(MID(S256,2,2)),0)&lt;SG_Criteria!$B$19),"FAIL: grade below C"&amp;SG_Criteria!$B$19&amp;". ","")&amp;IF(AND(T256&lt;&gt;"",T256&lt;SG_Criteria!$B$20),"FAIL: cover &lt; "&amp;SG_Criteria!$B$20&amp;" mm. ","")&amp;IF(AND(H256&lt;&gt;"",H256&lt;SG_Criteria!$B$39),"NOTE: min depth below PUB "&amp;SG_Criteria!$B$39&amp;" m. ","")&amp;IF(AND(LEFT(C256,8)="Standard",I256&gt;SG_Criteria!$B$42),"FAIL: PUB 001C covers manholes up to "&amp;SG_Criteria!$B$42&amp;" m deep only. ","")&amp;IF(AND(LEFT(C256,11)="Rectangular",J256&lt;SG_Criteria!$B$43),"NOTE: 004C is for sewers &gt;= "&amp;SG_Criteria!$B$43&amp;" dia. ","")&amp;IF(AND(LEFT(C256,7)="Precast",I256&lt;=SG_Criteria!$B$42),"NOTE: 006C is for manholes &gt; "&amp;SG_Criteria!$B$42&amp;" m deep. ","")&amp;IF(AND(J256&lt;&gt;"",J256&lt;SG_Criteria!$B$40,C256&lt;&gt;"Inspection Chamber"),"NOTE: public sewer min dia "&amp;SG_Criteria!$B$40&amp;" mm. ","")&amp;IF(AND(R256&lt;&gt;"",R256&lt;SG_Criteria!$B$44),"FAIL: uplift FOS below "&amp;SG_Criteria!$B$44&amp;". ","")))</f>
        <v/>
      </c>
      <c r="AT256" s="9"/>
      <c r="AU256" s="9"/>
      <c r="AV256" s="9"/>
      <c r="AW256" s="9"/>
      <c r="AX256" s="9"/>
      <c r="AY256" s="31"/>
      <c r="AZ256" s="10" t="str">
        <f aca="false">IF(C256="","",IF(AND(AB256="Approved",ISERROR(SEARCH("FAIL",AS256))),"Y","N"))</f>
        <v/>
      </c>
      <c r="BA256" s="10" t="str">
        <f aca="false">IF(C256="","",C256&amp;"|"&amp;I256&amp;"|"&amp;F256&amp;"|"&amp;AZ256)</f>
        <v/>
      </c>
    </row>
    <row r="257" customFormat="false" ht="15" hidden="false" customHeight="false" outlineLevel="0" collapsed="false">
      <c r="A257" s="10" t="str">
        <f aca="false">IF(C257="","","MH-"&amp;IFERROR(VLOOKUP(C257,Lists!$AB$4:$AC$20,2,0),"??")&amp;"-"&amp;TEXT(F257,"0000")&amp;IF(E257="Circular","D","x"&amp;TEXT(G257,"0000"))&amp;"-D"&amp;TEXT(I257*1000,"0000")&amp;"-"&amp;IFERROR(VLOOKUP(D257,Lists!$AE$4:$AF$16,2,0),"??")&amp;"-"&amp;AA257)</f>
        <v/>
      </c>
      <c r="B257" s="10" t="str">
        <f aca="false">IF(C257="","",C257&amp;", "&amp;D257&amp;", "&amp;IF(E257="Circular",F257&amp;" dia",F257&amp;" x "&amp;G257)&amp;", depth "&amp;TEXT(H257,"0.0")&amp;"-"&amp;TEXT(I257,"0.0")&amp;" m, pipe up to "&amp;J257&amp;" dia")</f>
        <v/>
      </c>
      <c r="C257" s="9"/>
      <c r="D257" s="9"/>
      <c r="E257" s="9"/>
      <c r="F257" s="40"/>
      <c r="G257" s="40"/>
      <c r="H257" s="43"/>
      <c r="I257" s="43"/>
      <c r="J257" s="40"/>
      <c r="K257" s="40"/>
      <c r="L257" s="40"/>
      <c r="M257" s="40"/>
      <c r="N257" s="9"/>
      <c r="O257" s="9"/>
      <c r="P257" s="9"/>
      <c r="Q257" s="9"/>
      <c r="R257" s="41"/>
      <c r="S257" s="9"/>
      <c r="T257" s="40"/>
      <c r="U257" s="9"/>
      <c r="V257" s="9"/>
      <c r="W257" s="9"/>
      <c r="X257" s="9"/>
      <c r="Y257" s="9"/>
      <c r="Z257" s="9"/>
      <c r="AA257" s="9"/>
      <c r="AB257" s="9"/>
      <c r="AC257" s="9"/>
      <c r="AD257" s="9"/>
      <c r="AE257" s="9"/>
      <c r="AF257" s="10" t="str">
        <f aca="false">IF(A257="","",SG_Criteria!$B$6&amp;SG_Criteria!$B$10&amp;"\"&amp;A257&amp;"\")</f>
        <v/>
      </c>
      <c r="AG257" s="10" t="str">
        <f aca="false">IF(A257="","",A257&amp;"_CAD.dwg")</f>
        <v/>
      </c>
      <c r="AH257" s="10" t="str">
        <f aca="false">IF(A257="","",A257&amp;"_DWG.pdf")</f>
        <v/>
      </c>
      <c r="AI257" s="10" t="str">
        <f aca="false">IF(A257="","",IF(AE257="Y",A257&amp;"_STAAD.std","n/a"))</f>
        <v/>
      </c>
      <c r="AJ257" s="10" t="str">
        <f aca="false">IF(A257="","",A257&amp;"_CALC.xlsx")</f>
        <v/>
      </c>
      <c r="AK257" s="10" t="str">
        <f aca="false">IF(A257="","",A257&amp;"_CALC.pdf")</f>
        <v/>
      </c>
      <c r="AL257" s="9"/>
      <c r="AM257" s="9"/>
      <c r="AN257" s="41"/>
      <c r="AO257" s="41"/>
      <c r="AP257" s="41"/>
      <c r="AQ257" s="41"/>
      <c r="AR257" s="41"/>
      <c r="AS257" s="38" t="str">
        <f aca="false">IF(C257="","",IF(LEN(IF(AND(S257&lt;&gt;"",IFERROR(VALUE(MID(S257,2,2)),0)&lt;SG_Criteria!$B$19),"FAIL: grade below C"&amp;SG_Criteria!$B$19&amp;". ","")&amp;IF(AND(T257&lt;&gt;"",T257&lt;SG_Criteria!$B$20),"FAIL: cover &lt; "&amp;SG_Criteria!$B$20&amp;" mm. ","")&amp;IF(AND(H257&lt;&gt;"",H257&lt;SG_Criteria!$B$39),"NOTE: min depth below PUB "&amp;SG_Criteria!$B$39&amp;" m. ","")&amp;IF(AND(LEFT(C257,8)="Standard",I257&gt;SG_Criteria!$B$42),"FAIL: PUB 001C covers manholes up to "&amp;SG_Criteria!$B$42&amp;" m deep only. ","")&amp;IF(AND(LEFT(C257,11)="Rectangular",J257&lt;SG_Criteria!$B$43),"NOTE: 004C is for sewers &gt;= "&amp;SG_Criteria!$B$43&amp;" dia. ","")&amp;IF(AND(LEFT(C257,7)="Precast",I257&lt;=SG_Criteria!$B$42),"NOTE: 006C is for manholes &gt; "&amp;SG_Criteria!$B$42&amp;" m deep. ","")&amp;IF(AND(J257&lt;&gt;"",J257&lt;SG_Criteria!$B$40,C257&lt;&gt;"Inspection Chamber"),"NOTE: public sewer min dia "&amp;SG_Criteria!$B$40&amp;" mm. ","")&amp;IF(AND(R257&lt;&gt;"",R257&lt;SG_Criteria!$B$44),"FAIL: uplift FOS below "&amp;SG_Criteria!$B$44&amp;". ",""))=0,"OK",IF(AND(S257&lt;&gt;"",IFERROR(VALUE(MID(S257,2,2)),0)&lt;SG_Criteria!$B$19),"FAIL: grade below C"&amp;SG_Criteria!$B$19&amp;". ","")&amp;IF(AND(T257&lt;&gt;"",T257&lt;SG_Criteria!$B$20),"FAIL: cover &lt; "&amp;SG_Criteria!$B$20&amp;" mm. ","")&amp;IF(AND(H257&lt;&gt;"",H257&lt;SG_Criteria!$B$39),"NOTE: min depth below PUB "&amp;SG_Criteria!$B$39&amp;" m. ","")&amp;IF(AND(LEFT(C257,8)="Standard",I257&gt;SG_Criteria!$B$42),"FAIL: PUB 001C covers manholes up to "&amp;SG_Criteria!$B$42&amp;" m deep only. ","")&amp;IF(AND(LEFT(C257,11)="Rectangular",J257&lt;SG_Criteria!$B$43),"NOTE: 004C is for sewers &gt;= "&amp;SG_Criteria!$B$43&amp;" dia. ","")&amp;IF(AND(LEFT(C257,7)="Precast",I257&lt;=SG_Criteria!$B$42),"NOTE: 006C is for manholes &gt; "&amp;SG_Criteria!$B$42&amp;" m deep. ","")&amp;IF(AND(J257&lt;&gt;"",J257&lt;SG_Criteria!$B$40,C257&lt;&gt;"Inspection Chamber"),"NOTE: public sewer min dia "&amp;SG_Criteria!$B$40&amp;" mm. ","")&amp;IF(AND(R257&lt;&gt;"",R257&lt;SG_Criteria!$B$44),"FAIL: uplift FOS below "&amp;SG_Criteria!$B$44&amp;". ","")))</f>
        <v/>
      </c>
      <c r="AT257" s="9"/>
      <c r="AU257" s="9"/>
      <c r="AV257" s="9"/>
      <c r="AW257" s="9"/>
      <c r="AX257" s="9"/>
      <c r="AY257" s="31"/>
      <c r="AZ257" s="10" t="str">
        <f aca="false">IF(C257="","",IF(AND(AB257="Approved",ISERROR(SEARCH("FAIL",AS257))),"Y","N"))</f>
        <v/>
      </c>
      <c r="BA257" s="10" t="str">
        <f aca="false">IF(C257="","",C257&amp;"|"&amp;I257&amp;"|"&amp;F257&amp;"|"&amp;AZ257)</f>
        <v/>
      </c>
    </row>
    <row r="258" customFormat="false" ht="15" hidden="false" customHeight="false" outlineLevel="0" collapsed="false">
      <c r="A258" s="10" t="str">
        <f aca="false">IF(C258="","","MH-"&amp;IFERROR(VLOOKUP(C258,Lists!$AB$4:$AC$20,2,0),"??")&amp;"-"&amp;TEXT(F258,"0000")&amp;IF(E258="Circular","D","x"&amp;TEXT(G258,"0000"))&amp;"-D"&amp;TEXT(I258*1000,"0000")&amp;"-"&amp;IFERROR(VLOOKUP(D258,Lists!$AE$4:$AF$16,2,0),"??")&amp;"-"&amp;AA258)</f>
        <v/>
      </c>
      <c r="B258" s="10" t="str">
        <f aca="false">IF(C258="","",C258&amp;", "&amp;D258&amp;", "&amp;IF(E258="Circular",F258&amp;" dia",F258&amp;" x "&amp;G258)&amp;", depth "&amp;TEXT(H258,"0.0")&amp;"-"&amp;TEXT(I258,"0.0")&amp;" m, pipe up to "&amp;J258&amp;" dia")</f>
        <v/>
      </c>
      <c r="C258" s="9"/>
      <c r="D258" s="9"/>
      <c r="E258" s="9"/>
      <c r="F258" s="40"/>
      <c r="G258" s="40"/>
      <c r="H258" s="43"/>
      <c r="I258" s="43"/>
      <c r="J258" s="40"/>
      <c r="K258" s="40"/>
      <c r="L258" s="40"/>
      <c r="M258" s="40"/>
      <c r="N258" s="9"/>
      <c r="O258" s="9"/>
      <c r="P258" s="9"/>
      <c r="Q258" s="9"/>
      <c r="R258" s="41"/>
      <c r="S258" s="9"/>
      <c r="T258" s="40"/>
      <c r="U258" s="9"/>
      <c r="V258" s="9"/>
      <c r="W258" s="9"/>
      <c r="X258" s="9"/>
      <c r="Y258" s="9"/>
      <c r="Z258" s="9"/>
      <c r="AA258" s="9"/>
      <c r="AB258" s="9"/>
      <c r="AC258" s="9"/>
      <c r="AD258" s="9"/>
      <c r="AE258" s="9"/>
      <c r="AF258" s="10" t="str">
        <f aca="false">IF(A258="","",SG_Criteria!$B$6&amp;SG_Criteria!$B$10&amp;"\"&amp;A258&amp;"\")</f>
        <v/>
      </c>
      <c r="AG258" s="10" t="str">
        <f aca="false">IF(A258="","",A258&amp;"_CAD.dwg")</f>
        <v/>
      </c>
      <c r="AH258" s="10" t="str">
        <f aca="false">IF(A258="","",A258&amp;"_DWG.pdf")</f>
        <v/>
      </c>
      <c r="AI258" s="10" t="str">
        <f aca="false">IF(A258="","",IF(AE258="Y",A258&amp;"_STAAD.std","n/a"))</f>
        <v/>
      </c>
      <c r="AJ258" s="10" t="str">
        <f aca="false">IF(A258="","",A258&amp;"_CALC.xlsx")</f>
        <v/>
      </c>
      <c r="AK258" s="10" t="str">
        <f aca="false">IF(A258="","",A258&amp;"_CALC.pdf")</f>
        <v/>
      </c>
      <c r="AL258" s="9"/>
      <c r="AM258" s="9"/>
      <c r="AN258" s="41"/>
      <c r="AO258" s="41"/>
      <c r="AP258" s="41"/>
      <c r="AQ258" s="41"/>
      <c r="AR258" s="41"/>
      <c r="AS258" s="38" t="str">
        <f aca="false">IF(C258="","",IF(LEN(IF(AND(S258&lt;&gt;"",IFERROR(VALUE(MID(S258,2,2)),0)&lt;SG_Criteria!$B$19),"FAIL: grade below C"&amp;SG_Criteria!$B$19&amp;". ","")&amp;IF(AND(T258&lt;&gt;"",T258&lt;SG_Criteria!$B$20),"FAIL: cover &lt; "&amp;SG_Criteria!$B$20&amp;" mm. ","")&amp;IF(AND(H258&lt;&gt;"",H258&lt;SG_Criteria!$B$39),"NOTE: min depth below PUB "&amp;SG_Criteria!$B$39&amp;" m. ","")&amp;IF(AND(LEFT(C258,8)="Standard",I258&gt;SG_Criteria!$B$42),"FAIL: PUB 001C covers manholes up to "&amp;SG_Criteria!$B$42&amp;" m deep only. ","")&amp;IF(AND(LEFT(C258,11)="Rectangular",J258&lt;SG_Criteria!$B$43),"NOTE: 004C is for sewers &gt;= "&amp;SG_Criteria!$B$43&amp;" dia. ","")&amp;IF(AND(LEFT(C258,7)="Precast",I258&lt;=SG_Criteria!$B$42),"NOTE: 006C is for manholes &gt; "&amp;SG_Criteria!$B$42&amp;" m deep. ","")&amp;IF(AND(J258&lt;&gt;"",J258&lt;SG_Criteria!$B$40,C258&lt;&gt;"Inspection Chamber"),"NOTE: public sewer min dia "&amp;SG_Criteria!$B$40&amp;" mm. ","")&amp;IF(AND(R258&lt;&gt;"",R258&lt;SG_Criteria!$B$44),"FAIL: uplift FOS below "&amp;SG_Criteria!$B$44&amp;". ",""))=0,"OK",IF(AND(S258&lt;&gt;"",IFERROR(VALUE(MID(S258,2,2)),0)&lt;SG_Criteria!$B$19),"FAIL: grade below C"&amp;SG_Criteria!$B$19&amp;". ","")&amp;IF(AND(T258&lt;&gt;"",T258&lt;SG_Criteria!$B$20),"FAIL: cover &lt; "&amp;SG_Criteria!$B$20&amp;" mm. ","")&amp;IF(AND(H258&lt;&gt;"",H258&lt;SG_Criteria!$B$39),"NOTE: min depth below PUB "&amp;SG_Criteria!$B$39&amp;" m. ","")&amp;IF(AND(LEFT(C258,8)="Standard",I258&gt;SG_Criteria!$B$42),"FAIL: PUB 001C covers manholes up to "&amp;SG_Criteria!$B$42&amp;" m deep only. ","")&amp;IF(AND(LEFT(C258,11)="Rectangular",J258&lt;SG_Criteria!$B$43),"NOTE: 004C is for sewers &gt;= "&amp;SG_Criteria!$B$43&amp;" dia. ","")&amp;IF(AND(LEFT(C258,7)="Precast",I258&lt;=SG_Criteria!$B$42),"NOTE: 006C is for manholes &gt; "&amp;SG_Criteria!$B$42&amp;" m deep. ","")&amp;IF(AND(J258&lt;&gt;"",J258&lt;SG_Criteria!$B$40,C258&lt;&gt;"Inspection Chamber"),"NOTE: public sewer min dia "&amp;SG_Criteria!$B$40&amp;" mm. ","")&amp;IF(AND(R258&lt;&gt;"",R258&lt;SG_Criteria!$B$44),"FAIL: uplift FOS below "&amp;SG_Criteria!$B$44&amp;". ","")))</f>
        <v/>
      </c>
      <c r="AT258" s="9"/>
      <c r="AU258" s="9"/>
      <c r="AV258" s="9"/>
      <c r="AW258" s="9"/>
      <c r="AX258" s="9"/>
      <c r="AY258" s="31"/>
      <c r="AZ258" s="10" t="str">
        <f aca="false">IF(C258="","",IF(AND(AB258="Approved",ISERROR(SEARCH("FAIL",AS258))),"Y","N"))</f>
        <v/>
      </c>
      <c r="BA258" s="10" t="str">
        <f aca="false">IF(C258="","",C258&amp;"|"&amp;I258&amp;"|"&amp;F258&amp;"|"&amp;AZ258)</f>
        <v/>
      </c>
    </row>
    <row r="259" customFormat="false" ht="15" hidden="false" customHeight="false" outlineLevel="0" collapsed="false">
      <c r="A259" s="10" t="str">
        <f aca="false">IF(C259="","","MH-"&amp;IFERROR(VLOOKUP(C259,Lists!$AB$4:$AC$20,2,0),"??")&amp;"-"&amp;TEXT(F259,"0000")&amp;IF(E259="Circular","D","x"&amp;TEXT(G259,"0000"))&amp;"-D"&amp;TEXT(I259*1000,"0000")&amp;"-"&amp;IFERROR(VLOOKUP(D259,Lists!$AE$4:$AF$16,2,0),"??")&amp;"-"&amp;AA259)</f>
        <v/>
      </c>
      <c r="B259" s="10" t="str">
        <f aca="false">IF(C259="","",C259&amp;", "&amp;D259&amp;", "&amp;IF(E259="Circular",F259&amp;" dia",F259&amp;" x "&amp;G259)&amp;", depth "&amp;TEXT(H259,"0.0")&amp;"-"&amp;TEXT(I259,"0.0")&amp;" m, pipe up to "&amp;J259&amp;" dia")</f>
        <v/>
      </c>
      <c r="C259" s="9"/>
      <c r="D259" s="9"/>
      <c r="E259" s="9"/>
      <c r="F259" s="40"/>
      <c r="G259" s="40"/>
      <c r="H259" s="43"/>
      <c r="I259" s="43"/>
      <c r="J259" s="40"/>
      <c r="K259" s="40"/>
      <c r="L259" s="40"/>
      <c r="M259" s="40"/>
      <c r="N259" s="9"/>
      <c r="O259" s="9"/>
      <c r="P259" s="9"/>
      <c r="Q259" s="9"/>
      <c r="R259" s="41"/>
      <c r="S259" s="9"/>
      <c r="T259" s="40"/>
      <c r="U259" s="9"/>
      <c r="V259" s="9"/>
      <c r="W259" s="9"/>
      <c r="X259" s="9"/>
      <c r="Y259" s="9"/>
      <c r="Z259" s="9"/>
      <c r="AA259" s="9"/>
      <c r="AB259" s="9"/>
      <c r="AC259" s="9"/>
      <c r="AD259" s="9"/>
      <c r="AE259" s="9"/>
      <c r="AF259" s="10" t="str">
        <f aca="false">IF(A259="","",SG_Criteria!$B$6&amp;SG_Criteria!$B$10&amp;"\"&amp;A259&amp;"\")</f>
        <v/>
      </c>
      <c r="AG259" s="10" t="str">
        <f aca="false">IF(A259="","",A259&amp;"_CAD.dwg")</f>
        <v/>
      </c>
      <c r="AH259" s="10" t="str">
        <f aca="false">IF(A259="","",A259&amp;"_DWG.pdf")</f>
        <v/>
      </c>
      <c r="AI259" s="10" t="str">
        <f aca="false">IF(A259="","",IF(AE259="Y",A259&amp;"_STAAD.std","n/a"))</f>
        <v/>
      </c>
      <c r="AJ259" s="10" t="str">
        <f aca="false">IF(A259="","",A259&amp;"_CALC.xlsx")</f>
        <v/>
      </c>
      <c r="AK259" s="10" t="str">
        <f aca="false">IF(A259="","",A259&amp;"_CALC.pdf")</f>
        <v/>
      </c>
      <c r="AL259" s="9"/>
      <c r="AM259" s="9"/>
      <c r="AN259" s="41"/>
      <c r="AO259" s="41"/>
      <c r="AP259" s="41"/>
      <c r="AQ259" s="41"/>
      <c r="AR259" s="41"/>
      <c r="AS259" s="38" t="str">
        <f aca="false">IF(C259="","",IF(LEN(IF(AND(S259&lt;&gt;"",IFERROR(VALUE(MID(S259,2,2)),0)&lt;SG_Criteria!$B$19),"FAIL: grade below C"&amp;SG_Criteria!$B$19&amp;". ","")&amp;IF(AND(T259&lt;&gt;"",T259&lt;SG_Criteria!$B$20),"FAIL: cover &lt; "&amp;SG_Criteria!$B$20&amp;" mm. ","")&amp;IF(AND(H259&lt;&gt;"",H259&lt;SG_Criteria!$B$39),"NOTE: min depth below PUB "&amp;SG_Criteria!$B$39&amp;" m. ","")&amp;IF(AND(LEFT(C259,8)="Standard",I259&gt;SG_Criteria!$B$42),"FAIL: PUB 001C covers manholes up to "&amp;SG_Criteria!$B$42&amp;" m deep only. ","")&amp;IF(AND(LEFT(C259,11)="Rectangular",J259&lt;SG_Criteria!$B$43),"NOTE: 004C is for sewers &gt;= "&amp;SG_Criteria!$B$43&amp;" dia. ","")&amp;IF(AND(LEFT(C259,7)="Precast",I259&lt;=SG_Criteria!$B$42),"NOTE: 006C is for manholes &gt; "&amp;SG_Criteria!$B$42&amp;" m deep. ","")&amp;IF(AND(J259&lt;&gt;"",J259&lt;SG_Criteria!$B$40,C259&lt;&gt;"Inspection Chamber"),"NOTE: public sewer min dia "&amp;SG_Criteria!$B$40&amp;" mm. ","")&amp;IF(AND(R259&lt;&gt;"",R259&lt;SG_Criteria!$B$44),"FAIL: uplift FOS below "&amp;SG_Criteria!$B$44&amp;". ",""))=0,"OK",IF(AND(S259&lt;&gt;"",IFERROR(VALUE(MID(S259,2,2)),0)&lt;SG_Criteria!$B$19),"FAIL: grade below C"&amp;SG_Criteria!$B$19&amp;". ","")&amp;IF(AND(T259&lt;&gt;"",T259&lt;SG_Criteria!$B$20),"FAIL: cover &lt; "&amp;SG_Criteria!$B$20&amp;" mm. ","")&amp;IF(AND(H259&lt;&gt;"",H259&lt;SG_Criteria!$B$39),"NOTE: min depth below PUB "&amp;SG_Criteria!$B$39&amp;" m. ","")&amp;IF(AND(LEFT(C259,8)="Standard",I259&gt;SG_Criteria!$B$42),"FAIL: PUB 001C covers manholes up to "&amp;SG_Criteria!$B$42&amp;" m deep only. ","")&amp;IF(AND(LEFT(C259,11)="Rectangular",J259&lt;SG_Criteria!$B$43),"NOTE: 004C is for sewers &gt;= "&amp;SG_Criteria!$B$43&amp;" dia. ","")&amp;IF(AND(LEFT(C259,7)="Precast",I259&lt;=SG_Criteria!$B$42),"NOTE: 006C is for manholes &gt; "&amp;SG_Criteria!$B$42&amp;" m deep. ","")&amp;IF(AND(J259&lt;&gt;"",J259&lt;SG_Criteria!$B$40,C259&lt;&gt;"Inspection Chamber"),"NOTE: public sewer min dia "&amp;SG_Criteria!$B$40&amp;" mm. ","")&amp;IF(AND(R259&lt;&gt;"",R259&lt;SG_Criteria!$B$44),"FAIL: uplift FOS below "&amp;SG_Criteria!$B$44&amp;". ","")))</f>
        <v/>
      </c>
      <c r="AT259" s="9"/>
      <c r="AU259" s="9"/>
      <c r="AV259" s="9"/>
      <c r="AW259" s="9"/>
      <c r="AX259" s="9"/>
      <c r="AY259" s="31"/>
      <c r="AZ259" s="10" t="str">
        <f aca="false">IF(C259="","",IF(AND(AB259="Approved",ISERROR(SEARCH("FAIL",AS259))),"Y","N"))</f>
        <v/>
      </c>
      <c r="BA259" s="10" t="str">
        <f aca="false">IF(C259="","",C259&amp;"|"&amp;I259&amp;"|"&amp;F259&amp;"|"&amp;AZ259)</f>
        <v/>
      </c>
    </row>
    <row r="260" customFormat="false" ht="15" hidden="false" customHeight="false" outlineLevel="0" collapsed="false">
      <c r="A260" s="10" t="str">
        <f aca="false">IF(C260="","","MH-"&amp;IFERROR(VLOOKUP(C260,Lists!$AB$4:$AC$20,2,0),"??")&amp;"-"&amp;TEXT(F260,"0000")&amp;IF(E260="Circular","D","x"&amp;TEXT(G260,"0000"))&amp;"-D"&amp;TEXT(I260*1000,"0000")&amp;"-"&amp;IFERROR(VLOOKUP(D260,Lists!$AE$4:$AF$16,2,0),"??")&amp;"-"&amp;AA260)</f>
        <v/>
      </c>
      <c r="B260" s="10" t="str">
        <f aca="false">IF(C260="","",C260&amp;", "&amp;D260&amp;", "&amp;IF(E260="Circular",F260&amp;" dia",F260&amp;" x "&amp;G260)&amp;", depth "&amp;TEXT(H260,"0.0")&amp;"-"&amp;TEXT(I260,"0.0")&amp;" m, pipe up to "&amp;J260&amp;" dia")</f>
        <v/>
      </c>
      <c r="C260" s="9"/>
      <c r="D260" s="9"/>
      <c r="E260" s="9"/>
      <c r="F260" s="40"/>
      <c r="G260" s="40"/>
      <c r="H260" s="43"/>
      <c r="I260" s="43"/>
      <c r="J260" s="40"/>
      <c r="K260" s="40"/>
      <c r="L260" s="40"/>
      <c r="M260" s="40"/>
      <c r="N260" s="9"/>
      <c r="O260" s="9"/>
      <c r="P260" s="9"/>
      <c r="Q260" s="9"/>
      <c r="R260" s="41"/>
      <c r="S260" s="9"/>
      <c r="T260" s="40"/>
      <c r="U260" s="9"/>
      <c r="V260" s="9"/>
      <c r="W260" s="9"/>
      <c r="X260" s="9"/>
      <c r="Y260" s="9"/>
      <c r="Z260" s="9"/>
      <c r="AA260" s="9"/>
      <c r="AB260" s="9"/>
      <c r="AC260" s="9"/>
      <c r="AD260" s="9"/>
      <c r="AE260" s="9"/>
      <c r="AF260" s="10" t="str">
        <f aca="false">IF(A260="","",SG_Criteria!$B$6&amp;SG_Criteria!$B$10&amp;"\"&amp;A260&amp;"\")</f>
        <v/>
      </c>
      <c r="AG260" s="10" t="str">
        <f aca="false">IF(A260="","",A260&amp;"_CAD.dwg")</f>
        <v/>
      </c>
      <c r="AH260" s="10" t="str">
        <f aca="false">IF(A260="","",A260&amp;"_DWG.pdf")</f>
        <v/>
      </c>
      <c r="AI260" s="10" t="str">
        <f aca="false">IF(A260="","",IF(AE260="Y",A260&amp;"_STAAD.std","n/a"))</f>
        <v/>
      </c>
      <c r="AJ260" s="10" t="str">
        <f aca="false">IF(A260="","",A260&amp;"_CALC.xlsx")</f>
        <v/>
      </c>
      <c r="AK260" s="10" t="str">
        <f aca="false">IF(A260="","",A260&amp;"_CALC.pdf")</f>
        <v/>
      </c>
      <c r="AL260" s="9"/>
      <c r="AM260" s="9"/>
      <c r="AN260" s="41"/>
      <c r="AO260" s="41"/>
      <c r="AP260" s="41"/>
      <c r="AQ260" s="41"/>
      <c r="AR260" s="41"/>
      <c r="AS260" s="38" t="str">
        <f aca="false">IF(C260="","",IF(LEN(IF(AND(S260&lt;&gt;"",IFERROR(VALUE(MID(S260,2,2)),0)&lt;SG_Criteria!$B$19),"FAIL: grade below C"&amp;SG_Criteria!$B$19&amp;". ","")&amp;IF(AND(T260&lt;&gt;"",T260&lt;SG_Criteria!$B$20),"FAIL: cover &lt; "&amp;SG_Criteria!$B$20&amp;" mm. ","")&amp;IF(AND(H260&lt;&gt;"",H260&lt;SG_Criteria!$B$39),"NOTE: min depth below PUB "&amp;SG_Criteria!$B$39&amp;" m. ","")&amp;IF(AND(LEFT(C260,8)="Standard",I260&gt;SG_Criteria!$B$42),"FAIL: PUB 001C covers manholes up to "&amp;SG_Criteria!$B$42&amp;" m deep only. ","")&amp;IF(AND(LEFT(C260,11)="Rectangular",J260&lt;SG_Criteria!$B$43),"NOTE: 004C is for sewers &gt;= "&amp;SG_Criteria!$B$43&amp;" dia. ","")&amp;IF(AND(LEFT(C260,7)="Precast",I260&lt;=SG_Criteria!$B$42),"NOTE: 006C is for manholes &gt; "&amp;SG_Criteria!$B$42&amp;" m deep. ","")&amp;IF(AND(J260&lt;&gt;"",J260&lt;SG_Criteria!$B$40,C260&lt;&gt;"Inspection Chamber"),"NOTE: public sewer min dia "&amp;SG_Criteria!$B$40&amp;" mm. ","")&amp;IF(AND(R260&lt;&gt;"",R260&lt;SG_Criteria!$B$44),"FAIL: uplift FOS below "&amp;SG_Criteria!$B$44&amp;". ",""))=0,"OK",IF(AND(S260&lt;&gt;"",IFERROR(VALUE(MID(S260,2,2)),0)&lt;SG_Criteria!$B$19),"FAIL: grade below C"&amp;SG_Criteria!$B$19&amp;". ","")&amp;IF(AND(T260&lt;&gt;"",T260&lt;SG_Criteria!$B$20),"FAIL: cover &lt; "&amp;SG_Criteria!$B$20&amp;" mm. ","")&amp;IF(AND(H260&lt;&gt;"",H260&lt;SG_Criteria!$B$39),"NOTE: min depth below PUB "&amp;SG_Criteria!$B$39&amp;" m. ","")&amp;IF(AND(LEFT(C260,8)="Standard",I260&gt;SG_Criteria!$B$42),"FAIL: PUB 001C covers manholes up to "&amp;SG_Criteria!$B$42&amp;" m deep only. ","")&amp;IF(AND(LEFT(C260,11)="Rectangular",J260&lt;SG_Criteria!$B$43),"NOTE: 004C is for sewers &gt;= "&amp;SG_Criteria!$B$43&amp;" dia. ","")&amp;IF(AND(LEFT(C260,7)="Precast",I260&lt;=SG_Criteria!$B$42),"NOTE: 006C is for manholes &gt; "&amp;SG_Criteria!$B$42&amp;" m deep. ","")&amp;IF(AND(J260&lt;&gt;"",J260&lt;SG_Criteria!$B$40,C260&lt;&gt;"Inspection Chamber"),"NOTE: public sewer min dia "&amp;SG_Criteria!$B$40&amp;" mm. ","")&amp;IF(AND(R260&lt;&gt;"",R260&lt;SG_Criteria!$B$44),"FAIL: uplift FOS below "&amp;SG_Criteria!$B$44&amp;". ","")))</f>
        <v/>
      </c>
      <c r="AT260" s="9"/>
      <c r="AU260" s="9"/>
      <c r="AV260" s="9"/>
      <c r="AW260" s="9"/>
      <c r="AX260" s="9"/>
      <c r="AY260" s="31"/>
      <c r="AZ260" s="10" t="str">
        <f aca="false">IF(C260="","",IF(AND(AB260="Approved",ISERROR(SEARCH("FAIL",AS260))),"Y","N"))</f>
        <v/>
      </c>
      <c r="BA260" s="10" t="str">
        <f aca="false">IF(C260="","",C260&amp;"|"&amp;I260&amp;"|"&amp;F260&amp;"|"&amp;AZ260)</f>
        <v/>
      </c>
    </row>
    <row r="261" customFormat="false" ht="15" hidden="false" customHeight="false" outlineLevel="0" collapsed="false">
      <c r="A261" s="10" t="str">
        <f aca="false">IF(C261="","","MH-"&amp;IFERROR(VLOOKUP(C261,Lists!$AB$4:$AC$20,2,0),"??")&amp;"-"&amp;TEXT(F261,"0000")&amp;IF(E261="Circular","D","x"&amp;TEXT(G261,"0000"))&amp;"-D"&amp;TEXT(I261*1000,"0000")&amp;"-"&amp;IFERROR(VLOOKUP(D261,Lists!$AE$4:$AF$16,2,0),"??")&amp;"-"&amp;AA261)</f>
        <v/>
      </c>
      <c r="B261" s="10" t="str">
        <f aca="false">IF(C261="","",C261&amp;", "&amp;D261&amp;", "&amp;IF(E261="Circular",F261&amp;" dia",F261&amp;" x "&amp;G261)&amp;", depth "&amp;TEXT(H261,"0.0")&amp;"-"&amp;TEXT(I261,"0.0")&amp;" m, pipe up to "&amp;J261&amp;" dia")</f>
        <v/>
      </c>
      <c r="C261" s="9"/>
      <c r="D261" s="9"/>
      <c r="E261" s="9"/>
      <c r="F261" s="40"/>
      <c r="G261" s="40"/>
      <c r="H261" s="43"/>
      <c r="I261" s="43"/>
      <c r="J261" s="40"/>
      <c r="K261" s="40"/>
      <c r="L261" s="40"/>
      <c r="M261" s="40"/>
      <c r="N261" s="9"/>
      <c r="O261" s="9"/>
      <c r="P261" s="9"/>
      <c r="Q261" s="9"/>
      <c r="R261" s="41"/>
      <c r="S261" s="9"/>
      <c r="T261" s="40"/>
      <c r="U261" s="9"/>
      <c r="V261" s="9"/>
      <c r="W261" s="9"/>
      <c r="X261" s="9"/>
      <c r="Y261" s="9"/>
      <c r="Z261" s="9"/>
      <c r="AA261" s="9"/>
      <c r="AB261" s="9"/>
      <c r="AC261" s="9"/>
      <c r="AD261" s="9"/>
      <c r="AE261" s="9"/>
      <c r="AF261" s="10" t="str">
        <f aca="false">IF(A261="","",SG_Criteria!$B$6&amp;SG_Criteria!$B$10&amp;"\"&amp;A261&amp;"\")</f>
        <v/>
      </c>
      <c r="AG261" s="10" t="str">
        <f aca="false">IF(A261="","",A261&amp;"_CAD.dwg")</f>
        <v/>
      </c>
      <c r="AH261" s="10" t="str">
        <f aca="false">IF(A261="","",A261&amp;"_DWG.pdf")</f>
        <v/>
      </c>
      <c r="AI261" s="10" t="str">
        <f aca="false">IF(A261="","",IF(AE261="Y",A261&amp;"_STAAD.std","n/a"))</f>
        <v/>
      </c>
      <c r="AJ261" s="10" t="str">
        <f aca="false">IF(A261="","",A261&amp;"_CALC.xlsx")</f>
        <v/>
      </c>
      <c r="AK261" s="10" t="str">
        <f aca="false">IF(A261="","",A261&amp;"_CALC.pdf")</f>
        <v/>
      </c>
      <c r="AL261" s="9"/>
      <c r="AM261" s="9"/>
      <c r="AN261" s="41"/>
      <c r="AO261" s="41"/>
      <c r="AP261" s="41"/>
      <c r="AQ261" s="41"/>
      <c r="AR261" s="41"/>
      <c r="AS261" s="38" t="str">
        <f aca="false">IF(C261="","",IF(LEN(IF(AND(S261&lt;&gt;"",IFERROR(VALUE(MID(S261,2,2)),0)&lt;SG_Criteria!$B$19),"FAIL: grade below C"&amp;SG_Criteria!$B$19&amp;". ","")&amp;IF(AND(T261&lt;&gt;"",T261&lt;SG_Criteria!$B$20),"FAIL: cover &lt; "&amp;SG_Criteria!$B$20&amp;" mm. ","")&amp;IF(AND(H261&lt;&gt;"",H261&lt;SG_Criteria!$B$39),"NOTE: min depth below PUB "&amp;SG_Criteria!$B$39&amp;" m. ","")&amp;IF(AND(LEFT(C261,8)="Standard",I261&gt;SG_Criteria!$B$42),"FAIL: PUB 001C covers manholes up to "&amp;SG_Criteria!$B$42&amp;" m deep only. ","")&amp;IF(AND(LEFT(C261,11)="Rectangular",J261&lt;SG_Criteria!$B$43),"NOTE: 004C is for sewers &gt;= "&amp;SG_Criteria!$B$43&amp;" dia. ","")&amp;IF(AND(LEFT(C261,7)="Precast",I261&lt;=SG_Criteria!$B$42),"NOTE: 006C is for manholes &gt; "&amp;SG_Criteria!$B$42&amp;" m deep. ","")&amp;IF(AND(J261&lt;&gt;"",J261&lt;SG_Criteria!$B$40,C261&lt;&gt;"Inspection Chamber"),"NOTE: public sewer min dia "&amp;SG_Criteria!$B$40&amp;" mm. ","")&amp;IF(AND(R261&lt;&gt;"",R261&lt;SG_Criteria!$B$44),"FAIL: uplift FOS below "&amp;SG_Criteria!$B$44&amp;". ",""))=0,"OK",IF(AND(S261&lt;&gt;"",IFERROR(VALUE(MID(S261,2,2)),0)&lt;SG_Criteria!$B$19),"FAIL: grade below C"&amp;SG_Criteria!$B$19&amp;". ","")&amp;IF(AND(T261&lt;&gt;"",T261&lt;SG_Criteria!$B$20),"FAIL: cover &lt; "&amp;SG_Criteria!$B$20&amp;" mm. ","")&amp;IF(AND(H261&lt;&gt;"",H261&lt;SG_Criteria!$B$39),"NOTE: min depth below PUB "&amp;SG_Criteria!$B$39&amp;" m. ","")&amp;IF(AND(LEFT(C261,8)="Standard",I261&gt;SG_Criteria!$B$42),"FAIL: PUB 001C covers manholes up to "&amp;SG_Criteria!$B$42&amp;" m deep only. ","")&amp;IF(AND(LEFT(C261,11)="Rectangular",J261&lt;SG_Criteria!$B$43),"NOTE: 004C is for sewers &gt;= "&amp;SG_Criteria!$B$43&amp;" dia. ","")&amp;IF(AND(LEFT(C261,7)="Precast",I261&lt;=SG_Criteria!$B$42),"NOTE: 006C is for manholes &gt; "&amp;SG_Criteria!$B$42&amp;" m deep. ","")&amp;IF(AND(J261&lt;&gt;"",J261&lt;SG_Criteria!$B$40,C261&lt;&gt;"Inspection Chamber"),"NOTE: public sewer min dia "&amp;SG_Criteria!$B$40&amp;" mm. ","")&amp;IF(AND(R261&lt;&gt;"",R261&lt;SG_Criteria!$B$44),"FAIL: uplift FOS below "&amp;SG_Criteria!$B$44&amp;". ","")))</f>
        <v/>
      </c>
      <c r="AT261" s="9"/>
      <c r="AU261" s="9"/>
      <c r="AV261" s="9"/>
      <c r="AW261" s="9"/>
      <c r="AX261" s="9"/>
      <c r="AY261" s="31"/>
      <c r="AZ261" s="10" t="str">
        <f aca="false">IF(C261="","",IF(AND(AB261="Approved",ISERROR(SEARCH("FAIL",AS261))),"Y","N"))</f>
        <v/>
      </c>
      <c r="BA261" s="10" t="str">
        <f aca="false">IF(C261="","",C261&amp;"|"&amp;I261&amp;"|"&amp;F261&amp;"|"&amp;AZ261)</f>
        <v/>
      </c>
    </row>
    <row r="262" customFormat="false" ht="15" hidden="false" customHeight="false" outlineLevel="0" collapsed="false">
      <c r="A262" s="10" t="str">
        <f aca="false">IF(C262="","","MH-"&amp;IFERROR(VLOOKUP(C262,Lists!$AB$4:$AC$20,2,0),"??")&amp;"-"&amp;TEXT(F262,"0000")&amp;IF(E262="Circular","D","x"&amp;TEXT(G262,"0000"))&amp;"-D"&amp;TEXT(I262*1000,"0000")&amp;"-"&amp;IFERROR(VLOOKUP(D262,Lists!$AE$4:$AF$16,2,0),"??")&amp;"-"&amp;AA262)</f>
        <v/>
      </c>
      <c r="B262" s="10" t="str">
        <f aca="false">IF(C262="","",C262&amp;", "&amp;D262&amp;", "&amp;IF(E262="Circular",F262&amp;" dia",F262&amp;" x "&amp;G262)&amp;", depth "&amp;TEXT(H262,"0.0")&amp;"-"&amp;TEXT(I262,"0.0")&amp;" m, pipe up to "&amp;J262&amp;" dia")</f>
        <v/>
      </c>
      <c r="C262" s="9"/>
      <c r="D262" s="9"/>
      <c r="E262" s="9"/>
      <c r="F262" s="40"/>
      <c r="G262" s="40"/>
      <c r="H262" s="43"/>
      <c r="I262" s="43"/>
      <c r="J262" s="40"/>
      <c r="K262" s="40"/>
      <c r="L262" s="40"/>
      <c r="M262" s="40"/>
      <c r="N262" s="9"/>
      <c r="O262" s="9"/>
      <c r="P262" s="9"/>
      <c r="Q262" s="9"/>
      <c r="R262" s="41"/>
      <c r="S262" s="9"/>
      <c r="T262" s="40"/>
      <c r="U262" s="9"/>
      <c r="V262" s="9"/>
      <c r="W262" s="9"/>
      <c r="X262" s="9"/>
      <c r="Y262" s="9"/>
      <c r="Z262" s="9"/>
      <c r="AA262" s="9"/>
      <c r="AB262" s="9"/>
      <c r="AC262" s="9"/>
      <c r="AD262" s="9"/>
      <c r="AE262" s="9"/>
      <c r="AF262" s="10" t="str">
        <f aca="false">IF(A262="","",SG_Criteria!$B$6&amp;SG_Criteria!$B$10&amp;"\"&amp;A262&amp;"\")</f>
        <v/>
      </c>
      <c r="AG262" s="10" t="str">
        <f aca="false">IF(A262="","",A262&amp;"_CAD.dwg")</f>
        <v/>
      </c>
      <c r="AH262" s="10" t="str">
        <f aca="false">IF(A262="","",A262&amp;"_DWG.pdf")</f>
        <v/>
      </c>
      <c r="AI262" s="10" t="str">
        <f aca="false">IF(A262="","",IF(AE262="Y",A262&amp;"_STAAD.std","n/a"))</f>
        <v/>
      </c>
      <c r="AJ262" s="10" t="str">
        <f aca="false">IF(A262="","",A262&amp;"_CALC.xlsx")</f>
        <v/>
      </c>
      <c r="AK262" s="10" t="str">
        <f aca="false">IF(A262="","",A262&amp;"_CALC.pdf")</f>
        <v/>
      </c>
      <c r="AL262" s="9"/>
      <c r="AM262" s="9"/>
      <c r="AN262" s="41"/>
      <c r="AO262" s="41"/>
      <c r="AP262" s="41"/>
      <c r="AQ262" s="41"/>
      <c r="AR262" s="41"/>
      <c r="AS262" s="38" t="str">
        <f aca="false">IF(C262="","",IF(LEN(IF(AND(S262&lt;&gt;"",IFERROR(VALUE(MID(S262,2,2)),0)&lt;SG_Criteria!$B$19),"FAIL: grade below C"&amp;SG_Criteria!$B$19&amp;". ","")&amp;IF(AND(T262&lt;&gt;"",T262&lt;SG_Criteria!$B$20),"FAIL: cover &lt; "&amp;SG_Criteria!$B$20&amp;" mm. ","")&amp;IF(AND(H262&lt;&gt;"",H262&lt;SG_Criteria!$B$39),"NOTE: min depth below PUB "&amp;SG_Criteria!$B$39&amp;" m. ","")&amp;IF(AND(LEFT(C262,8)="Standard",I262&gt;SG_Criteria!$B$42),"FAIL: PUB 001C covers manholes up to "&amp;SG_Criteria!$B$42&amp;" m deep only. ","")&amp;IF(AND(LEFT(C262,11)="Rectangular",J262&lt;SG_Criteria!$B$43),"NOTE: 004C is for sewers &gt;= "&amp;SG_Criteria!$B$43&amp;" dia. ","")&amp;IF(AND(LEFT(C262,7)="Precast",I262&lt;=SG_Criteria!$B$42),"NOTE: 006C is for manholes &gt; "&amp;SG_Criteria!$B$42&amp;" m deep. ","")&amp;IF(AND(J262&lt;&gt;"",J262&lt;SG_Criteria!$B$40,C262&lt;&gt;"Inspection Chamber"),"NOTE: public sewer min dia "&amp;SG_Criteria!$B$40&amp;" mm. ","")&amp;IF(AND(R262&lt;&gt;"",R262&lt;SG_Criteria!$B$44),"FAIL: uplift FOS below "&amp;SG_Criteria!$B$44&amp;". ",""))=0,"OK",IF(AND(S262&lt;&gt;"",IFERROR(VALUE(MID(S262,2,2)),0)&lt;SG_Criteria!$B$19),"FAIL: grade below C"&amp;SG_Criteria!$B$19&amp;". ","")&amp;IF(AND(T262&lt;&gt;"",T262&lt;SG_Criteria!$B$20),"FAIL: cover &lt; "&amp;SG_Criteria!$B$20&amp;" mm. ","")&amp;IF(AND(H262&lt;&gt;"",H262&lt;SG_Criteria!$B$39),"NOTE: min depth below PUB "&amp;SG_Criteria!$B$39&amp;" m. ","")&amp;IF(AND(LEFT(C262,8)="Standard",I262&gt;SG_Criteria!$B$42),"FAIL: PUB 001C covers manholes up to "&amp;SG_Criteria!$B$42&amp;" m deep only. ","")&amp;IF(AND(LEFT(C262,11)="Rectangular",J262&lt;SG_Criteria!$B$43),"NOTE: 004C is for sewers &gt;= "&amp;SG_Criteria!$B$43&amp;" dia. ","")&amp;IF(AND(LEFT(C262,7)="Precast",I262&lt;=SG_Criteria!$B$42),"NOTE: 006C is for manholes &gt; "&amp;SG_Criteria!$B$42&amp;" m deep. ","")&amp;IF(AND(J262&lt;&gt;"",J262&lt;SG_Criteria!$B$40,C262&lt;&gt;"Inspection Chamber"),"NOTE: public sewer min dia "&amp;SG_Criteria!$B$40&amp;" mm. ","")&amp;IF(AND(R262&lt;&gt;"",R262&lt;SG_Criteria!$B$44),"FAIL: uplift FOS below "&amp;SG_Criteria!$B$44&amp;". ","")))</f>
        <v/>
      </c>
      <c r="AT262" s="9"/>
      <c r="AU262" s="9"/>
      <c r="AV262" s="9"/>
      <c r="AW262" s="9"/>
      <c r="AX262" s="9"/>
      <c r="AY262" s="31"/>
      <c r="AZ262" s="10" t="str">
        <f aca="false">IF(C262="","",IF(AND(AB262="Approved",ISERROR(SEARCH("FAIL",AS262))),"Y","N"))</f>
        <v/>
      </c>
      <c r="BA262" s="10" t="str">
        <f aca="false">IF(C262="","",C262&amp;"|"&amp;I262&amp;"|"&amp;F262&amp;"|"&amp;AZ262)</f>
        <v/>
      </c>
    </row>
    <row r="263" customFormat="false" ht="15" hidden="false" customHeight="false" outlineLevel="0" collapsed="false">
      <c r="A263" s="10" t="str">
        <f aca="false">IF(C263="","","MH-"&amp;IFERROR(VLOOKUP(C263,Lists!$AB$4:$AC$20,2,0),"??")&amp;"-"&amp;TEXT(F263,"0000")&amp;IF(E263="Circular","D","x"&amp;TEXT(G263,"0000"))&amp;"-D"&amp;TEXT(I263*1000,"0000")&amp;"-"&amp;IFERROR(VLOOKUP(D263,Lists!$AE$4:$AF$16,2,0),"??")&amp;"-"&amp;AA263)</f>
        <v/>
      </c>
      <c r="B263" s="10" t="str">
        <f aca="false">IF(C263="","",C263&amp;", "&amp;D263&amp;", "&amp;IF(E263="Circular",F263&amp;" dia",F263&amp;" x "&amp;G263)&amp;", depth "&amp;TEXT(H263,"0.0")&amp;"-"&amp;TEXT(I263,"0.0")&amp;" m, pipe up to "&amp;J263&amp;" dia")</f>
        <v/>
      </c>
      <c r="C263" s="9"/>
      <c r="D263" s="9"/>
      <c r="E263" s="9"/>
      <c r="F263" s="40"/>
      <c r="G263" s="40"/>
      <c r="H263" s="43"/>
      <c r="I263" s="43"/>
      <c r="J263" s="40"/>
      <c r="K263" s="40"/>
      <c r="L263" s="40"/>
      <c r="M263" s="40"/>
      <c r="N263" s="9"/>
      <c r="O263" s="9"/>
      <c r="P263" s="9"/>
      <c r="Q263" s="9"/>
      <c r="R263" s="41"/>
      <c r="S263" s="9"/>
      <c r="T263" s="40"/>
      <c r="U263" s="9"/>
      <c r="V263" s="9"/>
      <c r="W263" s="9"/>
      <c r="X263" s="9"/>
      <c r="Y263" s="9"/>
      <c r="Z263" s="9"/>
      <c r="AA263" s="9"/>
      <c r="AB263" s="9"/>
      <c r="AC263" s="9"/>
      <c r="AD263" s="9"/>
      <c r="AE263" s="9"/>
      <c r="AF263" s="10" t="str">
        <f aca="false">IF(A263="","",SG_Criteria!$B$6&amp;SG_Criteria!$B$10&amp;"\"&amp;A263&amp;"\")</f>
        <v/>
      </c>
      <c r="AG263" s="10" t="str">
        <f aca="false">IF(A263="","",A263&amp;"_CAD.dwg")</f>
        <v/>
      </c>
      <c r="AH263" s="10" t="str">
        <f aca="false">IF(A263="","",A263&amp;"_DWG.pdf")</f>
        <v/>
      </c>
      <c r="AI263" s="10" t="str">
        <f aca="false">IF(A263="","",IF(AE263="Y",A263&amp;"_STAAD.std","n/a"))</f>
        <v/>
      </c>
      <c r="AJ263" s="10" t="str">
        <f aca="false">IF(A263="","",A263&amp;"_CALC.xlsx")</f>
        <v/>
      </c>
      <c r="AK263" s="10" t="str">
        <f aca="false">IF(A263="","",A263&amp;"_CALC.pdf")</f>
        <v/>
      </c>
      <c r="AL263" s="9"/>
      <c r="AM263" s="9"/>
      <c r="AN263" s="41"/>
      <c r="AO263" s="41"/>
      <c r="AP263" s="41"/>
      <c r="AQ263" s="41"/>
      <c r="AR263" s="41"/>
      <c r="AS263" s="38" t="str">
        <f aca="false">IF(C263="","",IF(LEN(IF(AND(S263&lt;&gt;"",IFERROR(VALUE(MID(S263,2,2)),0)&lt;SG_Criteria!$B$19),"FAIL: grade below C"&amp;SG_Criteria!$B$19&amp;". ","")&amp;IF(AND(T263&lt;&gt;"",T263&lt;SG_Criteria!$B$20),"FAIL: cover &lt; "&amp;SG_Criteria!$B$20&amp;" mm. ","")&amp;IF(AND(H263&lt;&gt;"",H263&lt;SG_Criteria!$B$39),"NOTE: min depth below PUB "&amp;SG_Criteria!$B$39&amp;" m. ","")&amp;IF(AND(LEFT(C263,8)="Standard",I263&gt;SG_Criteria!$B$42),"FAIL: PUB 001C covers manholes up to "&amp;SG_Criteria!$B$42&amp;" m deep only. ","")&amp;IF(AND(LEFT(C263,11)="Rectangular",J263&lt;SG_Criteria!$B$43),"NOTE: 004C is for sewers &gt;= "&amp;SG_Criteria!$B$43&amp;" dia. ","")&amp;IF(AND(LEFT(C263,7)="Precast",I263&lt;=SG_Criteria!$B$42),"NOTE: 006C is for manholes &gt; "&amp;SG_Criteria!$B$42&amp;" m deep. ","")&amp;IF(AND(J263&lt;&gt;"",J263&lt;SG_Criteria!$B$40,C263&lt;&gt;"Inspection Chamber"),"NOTE: public sewer min dia "&amp;SG_Criteria!$B$40&amp;" mm. ","")&amp;IF(AND(R263&lt;&gt;"",R263&lt;SG_Criteria!$B$44),"FAIL: uplift FOS below "&amp;SG_Criteria!$B$44&amp;". ",""))=0,"OK",IF(AND(S263&lt;&gt;"",IFERROR(VALUE(MID(S263,2,2)),0)&lt;SG_Criteria!$B$19),"FAIL: grade below C"&amp;SG_Criteria!$B$19&amp;". ","")&amp;IF(AND(T263&lt;&gt;"",T263&lt;SG_Criteria!$B$20),"FAIL: cover &lt; "&amp;SG_Criteria!$B$20&amp;" mm. ","")&amp;IF(AND(H263&lt;&gt;"",H263&lt;SG_Criteria!$B$39),"NOTE: min depth below PUB "&amp;SG_Criteria!$B$39&amp;" m. ","")&amp;IF(AND(LEFT(C263,8)="Standard",I263&gt;SG_Criteria!$B$42),"FAIL: PUB 001C covers manholes up to "&amp;SG_Criteria!$B$42&amp;" m deep only. ","")&amp;IF(AND(LEFT(C263,11)="Rectangular",J263&lt;SG_Criteria!$B$43),"NOTE: 004C is for sewers &gt;= "&amp;SG_Criteria!$B$43&amp;" dia. ","")&amp;IF(AND(LEFT(C263,7)="Precast",I263&lt;=SG_Criteria!$B$42),"NOTE: 006C is for manholes &gt; "&amp;SG_Criteria!$B$42&amp;" m deep. ","")&amp;IF(AND(J263&lt;&gt;"",J263&lt;SG_Criteria!$B$40,C263&lt;&gt;"Inspection Chamber"),"NOTE: public sewer min dia "&amp;SG_Criteria!$B$40&amp;" mm. ","")&amp;IF(AND(R263&lt;&gt;"",R263&lt;SG_Criteria!$B$44),"FAIL: uplift FOS below "&amp;SG_Criteria!$B$44&amp;". ","")))</f>
        <v/>
      </c>
      <c r="AT263" s="9"/>
      <c r="AU263" s="9"/>
      <c r="AV263" s="9"/>
      <c r="AW263" s="9"/>
      <c r="AX263" s="9"/>
      <c r="AY263" s="31"/>
      <c r="AZ263" s="10" t="str">
        <f aca="false">IF(C263="","",IF(AND(AB263="Approved",ISERROR(SEARCH("FAIL",AS263))),"Y","N"))</f>
        <v/>
      </c>
      <c r="BA263" s="10" t="str">
        <f aca="false">IF(C263="","",C263&amp;"|"&amp;I263&amp;"|"&amp;F263&amp;"|"&amp;AZ263)</f>
        <v/>
      </c>
    </row>
    <row r="264" customFormat="false" ht="15" hidden="false" customHeight="false" outlineLevel="0" collapsed="false">
      <c r="A264" s="10" t="str">
        <f aca="false">IF(C264="","","MH-"&amp;IFERROR(VLOOKUP(C264,Lists!$AB$4:$AC$20,2,0),"??")&amp;"-"&amp;TEXT(F264,"0000")&amp;IF(E264="Circular","D","x"&amp;TEXT(G264,"0000"))&amp;"-D"&amp;TEXT(I264*1000,"0000")&amp;"-"&amp;IFERROR(VLOOKUP(D264,Lists!$AE$4:$AF$16,2,0),"??")&amp;"-"&amp;AA264)</f>
        <v/>
      </c>
      <c r="B264" s="10" t="str">
        <f aca="false">IF(C264="","",C264&amp;", "&amp;D264&amp;", "&amp;IF(E264="Circular",F264&amp;" dia",F264&amp;" x "&amp;G264)&amp;", depth "&amp;TEXT(H264,"0.0")&amp;"-"&amp;TEXT(I264,"0.0")&amp;" m, pipe up to "&amp;J264&amp;" dia")</f>
        <v/>
      </c>
      <c r="C264" s="9"/>
      <c r="D264" s="9"/>
      <c r="E264" s="9"/>
      <c r="F264" s="40"/>
      <c r="G264" s="40"/>
      <c r="H264" s="43"/>
      <c r="I264" s="43"/>
      <c r="J264" s="40"/>
      <c r="K264" s="40"/>
      <c r="L264" s="40"/>
      <c r="M264" s="40"/>
      <c r="N264" s="9"/>
      <c r="O264" s="9"/>
      <c r="P264" s="9"/>
      <c r="Q264" s="9"/>
      <c r="R264" s="41"/>
      <c r="S264" s="9"/>
      <c r="T264" s="40"/>
      <c r="U264" s="9"/>
      <c r="V264" s="9"/>
      <c r="W264" s="9"/>
      <c r="X264" s="9"/>
      <c r="Y264" s="9"/>
      <c r="Z264" s="9"/>
      <c r="AA264" s="9"/>
      <c r="AB264" s="9"/>
      <c r="AC264" s="9"/>
      <c r="AD264" s="9"/>
      <c r="AE264" s="9"/>
      <c r="AF264" s="10" t="str">
        <f aca="false">IF(A264="","",SG_Criteria!$B$6&amp;SG_Criteria!$B$10&amp;"\"&amp;A264&amp;"\")</f>
        <v/>
      </c>
      <c r="AG264" s="10" t="str">
        <f aca="false">IF(A264="","",A264&amp;"_CAD.dwg")</f>
        <v/>
      </c>
      <c r="AH264" s="10" t="str">
        <f aca="false">IF(A264="","",A264&amp;"_DWG.pdf")</f>
        <v/>
      </c>
      <c r="AI264" s="10" t="str">
        <f aca="false">IF(A264="","",IF(AE264="Y",A264&amp;"_STAAD.std","n/a"))</f>
        <v/>
      </c>
      <c r="AJ264" s="10" t="str">
        <f aca="false">IF(A264="","",A264&amp;"_CALC.xlsx")</f>
        <v/>
      </c>
      <c r="AK264" s="10" t="str">
        <f aca="false">IF(A264="","",A264&amp;"_CALC.pdf")</f>
        <v/>
      </c>
      <c r="AL264" s="9"/>
      <c r="AM264" s="9"/>
      <c r="AN264" s="41"/>
      <c r="AO264" s="41"/>
      <c r="AP264" s="41"/>
      <c r="AQ264" s="41"/>
      <c r="AR264" s="41"/>
      <c r="AS264" s="38" t="str">
        <f aca="false">IF(C264="","",IF(LEN(IF(AND(S264&lt;&gt;"",IFERROR(VALUE(MID(S264,2,2)),0)&lt;SG_Criteria!$B$19),"FAIL: grade below C"&amp;SG_Criteria!$B$19&amp;". ","")&amp;IF(AND(T264&lt;&gt;"",T264&lt;SG_Criteria!$B$20),"FAIL: cover &lt; "&amp;SG_Criteria!$B$20&amp;" mm. ","")&amp;IF(AND(H264&lt;&gt;"",H264&lt;SG_Criteria!$B$39),"NOTE: min depth below PUB "&amp;SG_Criteria!$B$39&amp;" m. ","")&amp;IF(AND(LEFT(C264,8)="Standard",I264&gt;SG_Criteria!$B$42),"FAIL: PUB 001C covers manholes up to "&amp;SG_Criteria!$B$42&amp;" m deep only. ","")&amp;IF(AND(LEFT(C264,11)="Rectangular",J264&lt;SG_Criteria!$B$43),"NOTE: 004C is for sewers &gt;= "&amp;SG_Criteria!$B$43&amp;" dia. ","")&amp;IF(AND(LEFT(C264,7)="Precast",I264&lt;=SG_Criteria!$B$42),"NOTE: 006C is for manholes &gt; "&amp;SG_Criteria!$B$42&amp;" m deep. ","")&amp;IF(AND(J264&lt;&gt;"",J264&lt;SG_Criteria!$B$40,C264&lt;&gt;"Inspection Chamber"),"NOTE: public sewer min dia "&amp;SG_Criteria!$B$40&amp;" mm. ","")&amp;IF(AND(R264&lt;&gt;"",R264&lt;SG_Criteria!$B$44),"FAIL: uplift FOS below "&amp;SG_Criteria!$B$44&amp;". ",""))=0,"OK",IF(AND(S264&lt;&gt;"",IFERROR(VALUE(MID(S264,2,2)),0)&lt;SG_Criteria!$B$19),"FAIL: grade below C"&amp;SG_Criteria!$B$19&amp;". ","")&amp;IF(AND(T264&lt;&gt;"",T264&lt;SG_Criteria!$B$20),"FAIL: cover &lt; "&amp;SG_Criteria!$B$20&amp;" mm. ","")&amp;IF(AND(H264&lt;&gt;"",H264&lt;SG_Criteria!$B$39),"NOTE: min depth below PUB "&amp;SG_Criteria!$B$39&amp;" m. ","")&amp;IF(AND(LEFT(C264,8)="Standard",I264&gt;SG_Criteria!$B$42),"FAIL: PUB 001C covers manholes up to "&amp;SG_Criteria!$B$42&amp;" m deep only. ","")&amp;IF(AND(LEFT(C264,11)="Rectangular",J264&lt;SG_Criteria!$B$43),"NOTE: 004C is for sewers &gt;= "&amp;SG_Criteria!$B$43&amp;" dia. ","")&amp;IF(AND(LEFT(C264,7)="Precast",I264&lt;=SG_Criteria!$B$42),"NOTE: 006C is for manholes &gt; "&amp;SG_Criteria!$B$42&amp;" m deep. ","")&amp;IF(AND(J264&lt;&gt;"",J264&lt;SG_Criteria!$B$40,C264&lt;&gt;"Inspection Chamber"),"NOTE: public sewer min dia "&amp;SG_Criteria!$B$40&amp;" mm. ","")&amp;IF(AND(R264&lt;&gt;"",R264&lt;SG_Criteria!$B$44),"FAIL: uplift FOS below "&amp;SG_Criteria!$B$44&amp;". ","")))</f>
        <v/>
      </c>
      <c r="AT264" s="9"/>
      <c r="AU264" s="9"/>
      <c r="AV264" s="9"/>
      <c r="AW264" s="9"/>
      <c r="AX264" s="9"/>
      <c r="AY264" s="31"/>
      <c r="AZ264" s="10" t="str">
        <f aca="false">IF(C264="","",IF(AND(AB264="Approved",ISERROR(SEARCH("FAIL",AS264))),"Y","N"))</f>
        <v/>
      </c>
      <c r="BA264" s="10" t="str">
        <f aca="false">IF(C264="","",C264&amp;"|"&amp;I264&amp;"|"&amp;F264&amp;"|"&amp;AZ264)</f>
        <v/>
      </c>
    </row>
    <row r="265" customFormat="false" ht="15" hidden="false" customHeight="false" outlineLevel="0" collapsed="false">
      <c r="A265" s="10" t="str">
        <f aca="false">IF(C265="","","MH-"&amp;IFERROR(VLOOKUP(C265,Lists!$AB$4:$AC$20,2,0),"??")&amp;"-"&amp;TEXT(F265,"0000")&amp;IF(E265="Circular","D","x"&amp;TEXT(G265,"0000"))&amp;"-D"&amp;TEXT(I265*1000,"0000")&amp;"-"&amp;IFERROR(VLOOKUP(D265,Lists!$AE$4:$AF$16,2,0),"??")&amp;"-"&amp;AA265)</f>
        <v/>
      </c>
      <c r="B265" s="10" t="str">
        <f aca="false">IF(C265="","",C265&amp;", "&amp;D265&amp;", "&amp;IF(E265="Circular",F265&amp;" dia",F265&amp;" x "&amp;G265)&amp;", depth "&amp;TEXT(H265,"0.0")&amp;"-"&amp;TEXT(I265,"0.0")&amp;" m, pipe up to "&amp;J265&amp;" dia")</f>
        <v/>
      </c>
      <c r="C265" s="9"/>
      <c r="D265" s="9"/>
      <c r="E265" s="9"/>
      <c r="F265" s="40"/>
      <c r="G265" s="40"/>
      <c r="H265" s="43"/>
      <c r="I265" s="43"/>
      <c r="J265" s="40"/>
      <c r="K265" s="40"/>
      <c r="L265" s="40"/>
      <c r="M265" s="40"/>
      <c r="N265" s="9"/>
      <c r="O265" s="9"/>
      <c r="P265" s="9"/>
      <c r="Q265" s="9"/>
      <c r="R265" s="41"/>
      <c r="S265" s="9"/>
      <c r="T265" s="40"/>
      <c r="U265" s="9"/>
      <c r="V265" s="9"/>
      <c r="W265" s="9"/>
      <c r="X265" s="9"/>
      <c r="Y265" s="9"/>
      <c r="Z265" s="9"/>
      <c r="AA265" s="9"/>
      <c r="AB265" s="9"/>
      <c r="AC265" s="9"/>
      <c r="AD265" s="9"/>
      <c r="AE265" s="9"/>
      <c r="AF265" s="10" t="str">
        <f aca="false">IF(A265="","",SG_Criteria!$B$6&amp;SG_Criteria!$B$10&amp;"\"&amp;A265&amp;"\")</f>
        <v/>
      </c>
      <c r="AG265" s="10" t="str">
        <f aca="false">IF(A265="","",A265&amp;"_CAD.dwg")</f>
        <v/>
      </c>
      <c r="AH265" s="10" t="str">
        <f aca="false">IF(A265="","",A265&amp;"_DWG.pdf")</f>
        <v/>
      </c>
      <c r="AI265" s="10" t="str">
        <f aca="false">IF(A265="","",IF(AE265="Y",A265&amp;"_STAAD.std","n/a"))</f>
        <v/>
      </c>
      <c r="AJ265" s="10" t="str">
        <f aca="false">IF(A265="","",A265&amp;"_CALC.xlsx")</f>
        <v/>
      </c>
      <c r="AK265" s="10" t="str">
        <f aca="false">IF(A265="","",A265&amp;"_CALC.pdf")</f>
        <v/>
      </c>
      <c r="AL265" s="9"/>
      <c r="AM265" s="9"/>
      <c r="AN265" s="41"/>
      <c r="AO265" s="41"/>
      <c r="AP265" s="41"/>
      <c r="AQ265" s="41"/>
      <c r="AR265" s="41"/>
      <c r="AS265" s="38" t="str">
        <f aca="false">IF(C265="","",IF(LEN(IF(AND(S265&lt;&gt;"",IFERROR(VALUE(MID(S265,2,2)),0)&lt;SG_Criteria!$B$19),"FAIL: grade below C"&amp;SG_Criteria!$B$19&amp;". ","")&amp;IF(AND(T265&lt;&gt;"",T265&lt;SG_Criteria!$B$20),"FAIL: cover &lt; "&amp;SG_Criteria!$B$20&amp;" mm. ","")&amp;IF(AND(H265&lt;&gt;"",H265&lt;SG_Criteria!$B$39),"NOTE: min depth below PUB "&amp;SG_Criteria!$B$39&amp;" m. ","")&amp;IF(AND(LEFT(C265,8)="Standard",I265&gt;SG_Criteria!$B$42),"FAIL: PUB 001C covers manholes up to "&amp;SG_Criteria!$B$42&amp;" m deep only. ","")&amp;IF(AND(LEFT(C265,11)="Rectangular",J265&lt;SG_Criteria!$B$43),"NOTE: 004C is for sewers &gt;= "&amp;SG_Criteria!$B$43&amp;" dia. ","")&amp;IF(AND(LEFT(C265,7)="Precast",I265&lt;=SG_Criteria!$B$42),"NOTE: 006C is for manholes &gt; "&amp;SG_Criteria!$B$42&amp;" m deep. ","")&amp;IF(AND(J265&lt;&gt;"",J265&lt;SG_Criteria!$B$40,C265&lt;&gt;"Inspection Chamber"),"NOTE: public sewer min dia "&amp;SG_Criteria!$B$40&amp;" mm. ","")&amp;IF(AND(R265&lt;&gt;"",R265&lt;SG_Criteria!$B$44),"FAIL: uplift FOS below "&amp;SG_Criteria!$B$44&amp;". ",""))=0,"OK",IF(AND(S265&lt;&gt;"",IFERROR(VALUE(MID(S265,2,2)),0)&lt;SG_Criteria!$B$19),"FAIL: grade below C"&amp;SG_Criteria!$B$19&amp;". ","")&amp;IF(AND(T265&lt;&gt;"",T265&lt;SG_Criteria!$B$20),"FAIL: cover &lt; "&amp;SG_Criteria!$B$20&amp;" mm. ","")&amp;IF(AND(H265&lt;&gt;"",H265&lt;SG_Criteria!$B$39),"NOTE: min depth below PUB "&amp;SG_Criteria!$B$39&amp;" m. ","")&amp;IF(AND(LEFT(C265,8)="Standard",I265&gt;SG_Criteria!$B$42),"FAIL: PUB 001C covers manholes up to "&amp;SG_Criteria!$B$42&amp;" m deep only. ","")&amp;IF(AND(LEFT(C265,11)="Rectangular",J265&lt;SG_Criteria!$B$43),"NOTE: 004C is for sewers &gt;= "&amp;SG_Criteria!$B$43&amp;" dia. ","")&amp;IF(AND(LEFT(C265,7)="Precast",I265&lt;=SG_Criteria!$B$42),"NOTE: 006C is for manholes &gt; "&amp;SG_Criteria!$B$42&amp;" m deep. ","")&amp;IF(AND(J265&lt;&gt;"",J265&lt;SG_Criteria!$B$40,C265&lt;&gt;"Inspection Chamber"),"NOTE: public sewer min dia "&amp;SG_Criteria!$B$40&amp;" mm. ","")&amp;IF(AND(R265&lt;&gt;"",R265&lt;SG_Criteria!$B$44),"FAIL: uplift FOS below "&amp;SG_Criteria!$B$44&amp;". ","")))</f>
        <v/>
      </c>
      <c r="AT265" s="9"/>
      <c r="AU265" s="9"/>
      <c r="AV265" s="9"/>
      <c r="AW265" s="9"/>
      <c r="AX265" s="9"/>
      <c r="AY265" s="31"/>
      <c r="AZ265" s="10" t="str">
        <f aca="false">IF(C265="","",IF(AND(AB265="Approved",ISERROR(SEARCH("FAIL",AS265))),"Y","N"))</f>
        <v/>
      </c>
      <c r="BA265" s="10" t="str">
        <f aca="false">IF(C265="","",C265&amp;"|"&amp;I265&amp;"|"&amp;F265&amp;"|"&amp;AZ265)</f>
        <v/>
      </c>
    </row>
    <row r="266" customFormat="false" ht="15" hidden="false" customHeight="false" outlineLevel="0" collapsed="false">
      <c r="A266" s="10" t="str">
        <f aca="false">IF(C266="","","MH-"&amp;IFERROR(VLOOKUP(C266,Lists!$AB$4:$AC$20,2,0),"??")&amp;"-"&amp;TEXT(F266,"0000")&amp;IF(E266="Circular","D","x"&amp;TEXT(G266,"0000"))&amp;"-D"&amp;TEXT(I266*1000,"0000")&amp;"-"&amp;IFERROR(VLOOKUP(D266,Lists!$AE$4:$AF$16,2,0),"??")&amp;"-"&amp;AA266)</f>
        <v/>
      </c>
      <c r="B266" s="10" t="str">
        <f aca="false">IF(C266="","",C266&amp;", "&amp;D266&amp;", "&amp;IF(E266="Circular",F266&amp;" dia",F266&amp;" x "&amp;G266)&amp;", depth "&amp;TEXT(H266,"0.0")&amp;"-"&amp;TEXT(I266,"0.0")&amp;" m, pipe up to "&amp;J266&amp;" dia")</f>
        <v/>
      </c>
      <c r="C266" s="9"/>
      <c r="D266" s="9"/>
      <c r="E266" s="9"/>
      <c r="F266" s="40"/>
      <c r="G266" s="40"/>
      <c r="H266" s="43"/>
      <c r="I266" s="43"/>
      <c r="J266" s="40"/>
      <c r="K266" s="40"/>
      <c r="L266" s="40"/>
      <c r="M266" s="40"/>
      <c r="N266" s="9"/>
      <c r="O266" s="9"/>
      <c r="P266" s="9"/>
      <c r="Q266" s="9"/>
      <c r="R266" s="41"/>
      <c r="S266" s="9"/>
      <c r="T266" s="40"/>
      <c r="U266" s="9"/>
      <c r="V266" s="9"/>
      <c r="W266" s="9"/>
      <c r="X266" s="9"/>
      <c r="Y266" s="9"/>
      <c r="Z266" s="9"/>
      <c r="AA266" s="9"/>
      <c r="AB266" s="9"/>
      <c r="AC266" s="9"/>
      <c r="AD266" s="9"/>
      <c r="AE266" s="9"/>
      <c r="AF266" s="10" t="str">
        <f aca="false">IF(A266="","",SG_Criteria!$B$6&amp;SG_Criteria!$B$10&amp;"\"&amp;A266&amp;"\")</f>
        <v/>
      </c>
      <c r="AG266" s="10" t="str">
        <f aca="false">IF(A266="","",A266&amp;"_CAD.dwg")</f>
        <v/>
      </c>
      <c r="AH266" s="10" t="str">
        <f aca="false">IF(A266="","",A266&amp;"_DWG.pdf")</f>
        <v/>
      </c>
      <c r="AI266" s="10" t="str">
        <f aca="false">IF(A266="","",IF(AE266="Y",A266&amp;"_STAAD.std","n/a"))</f>
        <v/>
      </c>
      <c r="AJ266" s="10" t="str">
        <f aca="false">IF(A266="","",A266&amp;"_CALC.xlsx")</f>
        <v/>
      </c>
      <c r="AK266" s="10" t="str">
        <f aca="false">IF(A266="","",A266&amp;"_CALC.pdf")</f>
        <v/>
      </c>
      <c r="AL266" s="9"/>
      <c r="AM266" s="9"/>
      <c r="AN266" s="41"/>
      <c r="AO266" s="41"/>
      <c r="AP266" s="41"/>
      <c r="AQ266" s="41"/>
      <c r="AR266" s="41"/>
      <c r="AS266" s="38" t="str">
        <f aca="false">IF(C266="","",IF(LEN(IF(AND(S266&lt;&gt;"",IFERROR(VALUE(MID(S266,2,2)),0)&lt;SG_Criteria!$B$19),"FAIL: grade below C"&amp;SG_Criteria!$B$19&amp;". ","")&amp;IF(AND(T266&lt;&gt;"",T266&lt;SG_Criteria!$B$20),"FAIL: cover &lt; "&amp;SG_Criteria!$B$20&amp;" mm. ","")&amp;IF(AND(H266&lt;&gt;"",H266&lt;SG_Criteria!$B$39),"NOTE: min depth below PUB "&amp;SG_Criteria!$B$39&amp;" m. ","")&amp;IF(AND(LEFT(C266,8)="Standard",I266&gt;SG_Criteria!$B$42),"FAIL: PUB 001C covers manholes up to "&amp;SG_Criteria!$B$42&amp;" m deep only. ","")&amp;IF(AND(LEFT(C266,11)="Rectangular",J266&lt;SG_Criteria!$B$43),"NOTE: 004C is for sewers &gt;= "&amp;SG_Criteria!$B$43&amp;" dia. ","")&amp;IF(AND(LEFT(C266,7)="Precast",I266&lt;=SG_Criteria!$B$42),"NOTE: 006C is for manholes &gt; "&amp;SG_Criteria!$B$42&amp;" m deep. ","")&amp;IF(AND(J266&lt;&gt;"",J266&lt;SG_Criteria!$B$40,C266&lt;&gt;"Inspection Chamber"),"NOTE: public sewer min dia "&amp;SG_Criteria!$B$40&amp;" mm. ","")&amp;IF(AND(R266&lt;&gt;"",R266&lt;SG_Criteria!$B$44),"FAIL: uplift FOS below "&amp;SG_Criteria!$B$44&amp;". ",""))=0,"OK",IF(AND(S266&lt;&gt;"",IFERROR(VALUE(MID(S266,2,2)),0)&lt;SG_Criteria!$B$19),"FAIL: grade below C"&amp;SG_Criteria!$B$19&amp;". ","")&amp;IF(AND(T266&lt;&gt;"",T266&lt;SG_Criteria!$B$20),"FAIL: cover &lt; "&amp;SG_Criteria!$B$20&amp;" mm. ","")&amp;IF(AND(H266&lt;&gt;"",H266&lt;SG_Criteria!$B$39),"NOTE: min depth below PUB "&amp;SG_Criteria!$B$39&amp;" m. ","")&amp;IF(AND(LEFT(C266,8)="Standard",I266&gt;SG_Criteria!$B$42),"FAIL: PUB 001C covers manholes up to "&amp;SG_Criteria!$B$42&amp;" m deep only. ","")&amp;IF(AND(LEFT(C266,11)="Rectangular",J266&lt;SG_Criteria!$B$43),"NOTE: 004C is for sewers &gt;= "&amp;SG_Criteria!$B$43&amp;" dia. ","")&amp;IF(AND(LEFT(C266,7)="Precast",I266&lt;=SG_Criteria!$B$42),"NOTE: 006C is for manholes &gt; "&amp;SG_Criteria!$B$42&amp;" m deep. ","")&amp;IF(AND(J266&lt;&gt;"",J266&lt;SG_Criteria!$B$40,C266&lt;&gt;"Inspection Chamber"),"NOTE: public sewer min dia "&amp;SG_Criteria!$B$40&amp;" mm. ","")&amp;IF(AND(R266&lt;&gt;"",R266&lt;SG_Criteria!$B$44),"FAIL: uplift FOS below "&amp;SG_Criteria!$B$44&amp;". ","")))</f>
        <v/>
      </c>
      <c r="AT266" s="9"/>
      <c r="AU266" s="9"/>
      <c r="AV266" s="9"/>
      <c r="AW266" s="9"/>
      <c r="AX266" s="9"/>
      <c r="AY266" s="31"/>
      <c r="AZ266" s="10" t="str">
        <f aca="false">IF(C266="","",IF(AND(AB266="Approved",ISERROR(SEARCH("FAIL",AS266))),"Y","N"))</f>
        <v/>
      </c>
      <c r="BA266" s="10" t="str">
        <f aca="false">IF(C266="","",C266&amp;"|"&amp;I266&amp;"|"&amp;F266&amp;"|"&amp;AZ266)</f>
        <v/>
      </c>
    </row>
    <row r="267" customFormat="false" ht="15" hidden="false" customHeight="false" outlineLevel="0" collapsed="false">
      <c r="A267" s="10" t="str">
        <f aca="false">IF(C267="","","MH-"&amp;IFERROR(VLOOKUP(C267,Lists!$AB$4:$AC$20,2,0),"??")&amp;"-"&amp;TEXT(F267,"0000")&amp;IF(E267="Circular","D","x"&amp;TEXT(G267,"0000"))&amp;"-D"&amp;TEXT(I267*1000,"0000")&amp;"-"&amp;IFERROR(VLOOKUP(D267,Lists!$AE$4:$AF$16,2,0),"??")&amp;"-"&amp;AA267)</f>
        <v/>
      </c>
      <c r="B267" s="10" t="str">
        <f aca="false">IF(C267="","",C267&amp;", "&amp;D267&amp;", "&amp;IF(E267="Circular",F267&amp;" dia",F267&amp;" x "&amp;G267)&amp;", depth "&amp;TEXT(H267,"0.0")&amp;"-"&amp;TEXT(I267,"0.0")&amp;" m, pipe up to "&amp;J267&amp;" dia")</f>
        <v/>
      </c>
      <c r="C267" s="9"/>
      <c r="D267" s="9"/>
      <c r="E267" s="9"/>
      <c r="F267" s="40"/>
      <c r="G267" s="40"/>
      <c r="H267" s="43"/>
      <c r="I267" s="43"/>
      <c r="J267" s="40"/>
      <c r="K267" s="40"/>
      <c r="L267" s="40"/>
      <c r="M267" s="40"/>
      <c r="N267" s="9"/>
      <c r="O267" s="9"/>
      <c r="P267" s="9"/>
      <c r="Q267" s="9"/>
      <c r="R267" s="41"/>
      <c r="S267" s="9"/>
      <c r="T267" s="40"/>
      <c r="U267" s="9"/>
      <c r="V267" s="9"/>
      <c r="W267" s="9"/>
      <c r="X267" s="9"/>
      <c r="Y267" s="9"/>
      <c r="Z267" s="9"/>
      <c r="AA267" s="9"/>
      <c r="AB267" s="9"/>
      <c r="AC267" s="9"/>
      <c r="AD267" s="9"/>
      <c r="AE267" s="9"/>
      <c r="AF267" s="10" t="str">
        <f aca="false">IF(A267="","",SG_Criteria!$B$6&amp;SG_Criteria!$B$10&amp;"\"&amp;A267&amp;"\")</f>
        <v/>
      </c>
      <c r="AG267" s="10" t="str">
        <f aca="false">IF(A267="","",A267&amp;"_CAD.dwg")</f>
        <v/>
      </c>
      <c r="AH267" s="10" t="str">
        <f aca="false">IF(A267="","",A267&amp;"_DWG.pdf")</f>
        <v/>
      </c>
      <c r="AI267" s="10" t="str">
        <f aca="false">IF(A267="","",IF(AE267="Y",A267&amp;"_STAAD.std","n/a"))</f>
        <v/>
      </c>
      <c r="AJ267" s="10" t="str">
        <f aca="false">IF(A267="","",A267&amp;"_CALC.xlsx")</f>
        <v/>
      </c>
      <c r="AK267" s="10" t="str">
        <f aca="false">IF(A267="","",A267&amp;"_CALC.pdf")</f>
        <v/>
      </c>
      <c r="AL267" s="9"/>
      <c r="AM267" s="9"/>
      <c r="AN267" s="41"/>
      <c r="AO267" s="41"/>
      <c r="AP267" s="41"/>
      <c r="AQ267" s="41"/>
      <c r="AR267" s="41"/>
      <c r="AS267" s="38" t="str">
        <f aca="false">IF(C267="","",IF(LEN(IF(AND(S267&lt;&gt;"",IFERROR(VALUE(MID(S267,2,2)),0)&lt;SG_Criteria!$B$19),"FAIL: grade below C"&amp;SG_Criteria!$B$19&amp;". ","")&amp;IF(AND(T267&lt;&gt;"",T267&lt;SG_Criteria!$B$20),"FAIL: cover &lt; "&amp;SG_Criteria!$B$20&amp;" mm. ","")&amp;IF(AND(H267&lt;&gt;"",H267&lt;SG_Criteria!$B$39),"NOTE: min depth below PUB "&amp;SG_Criteria!$B$39&amp;" m. ","")&amp;IF(AND(LEFT(C267,8)="Standard",I267&gt;SG_Criteria!$B$42),"FAIL: PUB 001C covers manholes up to "&amp;SG_Criteria!$B$42&amp;" m deep only. ","")&amp;IF(AND(LEFT(C267,11)="Rectangular",J267&lt;SG_Criteria!$B$43),"NOTE: 004C is for sewers &gt;= "&amp;SG_Criteria!$B$43&amp;" dia. ","")&amp;IF(AND(LEFT(C267,7)="Precast",I267&lt;=SG_Criteria!$B$42),"NOTE: 006C is for manholes &gt; "&amp;SG_Criteria!$B$42&amp;" m deep. ","")&amp;IF(AND(J267&lt;&gt;"",J267&lt;SG_Criteria!$B$40,C267&lt;&gt;"Inspection Chamber"),"NOTE: public sewer min dia "&amp;SG_Criteria!$B$40&amp;" mm. ","")&amp;IF(AND(R267&lt;&gt;"",R267&lt;SG_Criteria!$B$44),"FAIL: uplift FOS below "&amp;SG_Criteria!$B$44&amp;". ",""))=0,"OK",IF(AND(S267&lt;&gt;"",IFERROR(VALUE(MID(S267,2,2)),0)&lt;SG_Criteria!$B$19),"FAIL: grade below C"&amp;SG_Criteria!$B$19&amp;". ","")&amp;IF(AND(T267&lt;&gt;"",T267&lt;SG_Criteria!$B$20),"FAIL: cover &lt; "&amp;SG_Criteria!$B$20&amp;" mm. ","")&amp;IF(AND(H267&lt;&gt;"",H267&lt;SG_Criteria!$B$39),"NOTE: min depth below PUB "&amp;SG_Criteria!$B$39&amp;" m. ","")&amp;IF(AND(LEFT(C267,8)="Standard",I267&gt;SG_Criteria!$B$42),"FAIL: PUB 001C covers manholes up to "&amp;SG_Criteria!$B$42&amp;" m deep only. ","")&amp;IF(AND(LEFT(C267,11)="Rectangular",J267&lt;SG_Criteria!$B$43),"NOTE: 004C is for sewers &gt;= "&amp;SG_Criteria!$B$43&amp;" dia. ","")&amp;IF(AND(LEFT(C267,7)="Precast",I267&lt;=SG_Criteria!$B$42),"NOTE: 006C is for manholes &gt; "&amp;SG_Criteria!$B$42&amp;" m deep. ","")&amp;IF(AND(J267&lt;&gt;"",J267&lt;SG_Criteria!$B$40,C267&lt;&gt;"Inspection Chamber"),"NOTE: public sewer min dia "&amp;SG_Criteria!$B$40&amp;" mm. ","")&amp;IF(AND(R267&lt;&gt;"",R267&lt;SG_Criteria!$B$44),"FAIL: uplift FOS below "&amp;SG_Criteria!$B$44&amp;". ","")))</f>
        <v/>
      </c>
      <c r="AT267" s="9"/>
      <c r="AU267" s="9"/>
      <c r="AV267" s="9"/>
      <c r="AW267" s="9"/>
      <c r="AX267" s="9"/>
      <c r="AY267" s="31"/>
      <c r="AZ267" s="10" t="str">
        <f aca="false">IF(C267="","",IF(AND(AB267="Approved",ISERROR(SEARCH("FAIL",AS267))),"Y","N"))</f>
        <v/>
      </c>
      <c r="BA267" s="10" t="str">
        <f aca="false">IF(C267="","",C267&amp;"|"&amp;I267&amp;"|"&amp;F267&amp;"|"&amp;AZ267)</f>
        <v/>
      </c>
    </row>
    <row r="268" customFormat="false" ht="15" hidden="false" customHeight="false" outlineLevel="0" collapsed="false">
      <c r="A268" s="10" t="str">
        <f aca="false">IF(C268="","","MH-"&amp;IFERROR(VLOOKUP(C268,Lists!$AB$4:$AC$20,2,0),"??")&amp;"-"&amp;TEXT(F268,"0000")&amp;IF(E268="Circular","D","x"&amp;TEXT(G268,"0000"))&amp;"-D"&amp;TEXT(I268*1000,"0000")&amp;"-"&amp;IFERROR(VLOOKUP(D268,Lists!$AE$4:$AF$16,2,0),"??")&amp;"-"&amp;AA268)</f>
        <v/>
      </c>
      <c r="B268" s="10" t="str">
        <f aca="false">IF(C268="","",C268&amp;", "&amp;D268&amp;", "&amp;IF(E268="Circular",F268&amp;" dia",F268&amp;" x "&amp;G268)&amp;", depth "&amp;TEXT(H268,"0.0")&amp;"-"&amp;TEXT(I268,"0.0")&amp;" m, pipe up to "&amp;J268&amp;" dia")</f>
        <v/>
      </c>
      <c r="C268" s="9"/>
      <c r="D268" s="9"/>
      <c r="E268" s="9"/>
      <c r="F268" s="40"/>
      <c r="G268" s="40"/>
      <c r="H268" s="43"/>
      <c r="I268" s="43"/>
      <c r="J268" s="40"/>
      <c r="K268" s="40"/>
      <c r="L268" s="40"/>
      <c r="M268" s="40"/>
      <c r="N268" s="9"/>
      <c r="O268" s="9"/>
      <c r="P268" s="9"/>
      <c r="Q268" s="9"/>
      <c r="R268" s="41"/>
      <c r="S268" s="9"/>
      <c r="T268" s="40"/>
      <c r="U268" s="9"/>
      <c r="V268" s="9"/>
      <c r="W268" s="9"/>
      <c r="X268" s="9"/>
      <c r="Y268" s="9"/>
      <c r="Z268" s="9"/>
      <c r="AA268" s="9"/>
      <c r="AB268" s="9"/>
      <c r="AC268" s="9"/>
      <c r="AD268" s="9"/>
      <c r="AE268" s="9"/>
      <c r="AF268" s="10" t="str">
        <f aca="false">IF(A268="","",SG_Criteria!$B$6&amp;SG_Criteria!$B$10&amp;"\"&amp;A268&amp;"\")</f>
        <v/>
      </c>
      <c r="AG268" s="10" t="str">
        <f aca="false">IF(A268="","",A268&amp;"_CAD.dwg")</f>
        <v/>
      </c>
      <c r="AH268" s="10" t="str">
        <f aca="false">IF(A268="","",A268&amp;"_DWG.pdf")</f>
        <v/>
      </c>
      <c r="AI268" s="10" t="str">
        <f aca="false">IF(A268="","",IF(AE268="Y",A268&amp;"_STAAD.std","n/a"))</f>
        <v/>
      </c>
      <c r="AJ268" s="10" t="str">
        <f aca="false">IF(A268="","",A268&amp;"_CALC.xlsx")</f>
        <v/>
      </c>
      <c r="AK268" s="10" t="str">
        <f aca="false">IF(A268="","",A268&amp;"_CALC.pdf")</f>
        <v/>
      </c>
      <c r="AL268" s="9"/>
      <c r="AM268" s="9"/>
      <c r="AN268" s="41"/>
      <c r="AO268" s="41"/>
      <c r="AP268" s="41"/>
      <c r="AQ268" s="41"/>
      <c r="AR268" s="41"/>
      <c r="AS268" s="38" t="str">
        <f aca="false">IF(C268="","",IF(LEN(IF(AND(S268&lt;&gt;"",IFERROR(VALUE(MID(S268,2,2)),0)&lt;SG_Criteria!$B$19),"FAIL: grade below C"&amp;SG_Criteria!$B$19&amp;". ","")&amp;IF(AND(T268&lt;&gt;"",T268&lt;SG_Criteria!$B$20),"FAIL: cover &lt; "&amp;SG_Criteria!$B$20&amp;" mm. ","")&amp;IF(AND(H268&lt;&gt;"",H268&lt;SG_Criteria!$B$39),"NOTE: min depth below PUB "&amp;SG_Criteria!$B$39&amp;" m. ","")&amp;IF(AND(LEFT(C268,8)="Standard",I268&gt;SG_Criteria!$B$42),"FAIL: PUB 001C covers manholes up to "&amp;SG_Criteria!$B$42&amp;" m deep only. ","")&amp;IF(AND(LEFT(C268,11)="Rectangular",J268&lt;SG_Criteria!$B$43),"NOTE: 004C is for sewers &gt;= "&amp;SG_Criteria!$B$43&amp;" dia. ","")&amp;IF(AND(LEFT(C268,7)="Precast",I268&lt;=SG_Criteria!$B$42),"NOTE: 006C is for manholes &gt; "&amp;SG_Criteria!$B$42&amp;" m deep. ","")&amp;IF(AND(J268&lt;&gt;"",J268&lt;SG_Criteria!$B$40,C268&lt;&gt;"Inspection Chamber"),"NOTE: public sewer min dia "&amp;SG_Criteria!$B$40&amp;" mm. ","")&amp;IF(AND(R268&lt;&gt;"",R268&lt;SG_Criteria!$B$44),"FAIL: uplift FOS below "&amp;SG_Criteria!$B$44&amp;". ",""))=0,"OK",IF(AND(S268&lt;&gt;"",IFERROR(VALUE(MID(S268,2,2)),0)&lt;SG_Criteria!$B$19),"FAIL: grade below C"&amp;SG_Criteria!$B$19&amp;". ","")&amp;IF(AND(T268&lt;&gt;"",T268&lt;SG_Criteria!$B$20),"FAIL: cover &lt; "&amp;SG_Criteria!$B$20&amp;" mm. ","")&amp;IF(AND(H268&lt;&gt;"",H268&lt;SG_Criteria!$B$39),"NOTE: min depth below PUB "&amp;SG_Criteria!$B$39&amp;" m. ","")&amp;IF(AND(LEFT(C268,8)="Standard",I268&gt;SG_Criteria!$B$42),"FAIL: PUB 001C covers manholes up to "&amp;SG_Criteria!$B$42&amp;" m deep only. ","")&amp;IF(AND(LEFT(C268,11)="Rectangular",J268&lt;SG_Criteria!$B$43),"NOTE: 004C is for sewers &gt;= "&amp;SG_Criteria!$B$43&amp;" dia. ","")&amp;IF(AND(LEFT(C268,7)="Precast",I268&lt;=SG_Criteria!$B$42),"NOTE: 006C is for manholes &gt; "&amp;SG_Criteria!$B$42&amp;" m deep. ","")&amp;IF(AND(J268&lt;&gt;"",J268&lt;SG_Criteria!$B$40,C268&lt;&gt;"Inspection Chamber"),"NOTE: public sewer min dia "&amp;SG_Criteria!$B$40&amp;" mm. ","")&amp;IF(AND(R268&lt;&gt;"",R268&lt;SG_Criteria!$B$44),"FAIL: uplift FOS below "&amp;SG_Criteria!$B$44&amp;". ","")))</f>
        <v/>
      </c>
      <c r="AT268" s="9"/>
      <c r="AU268" s="9"/>
      <c r="AV268" s="9"/>
      <c r="AW268" s="9"/>
      <c r="AX268" s="9"/>
      <c r="AY268" s="31"/>
      <c r="AZ268" s="10" t="str">
        <f aca="false">IF(C268="","",IF(AND(AB268="Approved",ISERROR(SEARCH("FAIL",AS268))),"Y","N"))</f>
        <v/>
      </c>
      <c r="BA268" s="10" t="str">
        <f aca="false">IF(C268="","",C268&amp;"|"&amp;I268&amp;"|"&amp;F268&amp;"|"&amp;AZ268)</f>
        <v/>
      </c>
    </row>
    <row r="269" customFormat="false" ht="15" hidden="false" customHeight="false" outlineLevel="0" collapsed="false">
      <c r="A269" s="10" t="str">
        <f aca="false">IF(C269="","","MH-"&amp;IFERROR(VLOOKUP(C269,Lists!$AB$4:$AC$20,2,0),"??")&amp;"-"&amp;TEXT(F269,"0000")&amp;IF(E269="Circular","D","x"&amp;TEXT(G269,"0000"))&amp;"-D"&amp;TEXT(I269*1000,"0000")&amp;"-"&amp;IFERROR(VLOOKUP(D269,Lists!$AE$4:$AF$16,2,0),"??")&amp;"-"&amp;AA269)</f>
        <v/>
      </c>
      <c r="B269" s="10" t="str">
        <f aca="false">IF(C269="","",C269&amp;", "&amp;D269&amp;", "&amp;IF(E269="Circular",F269&amp;" dia",F269&amp;" x "&amp;G269)&amp;", depth "&amp;TEXT(H269,"0.0")&amp;"-"&amp;TEXT(I269,"0.0")&amp;" m, pipe up to "&amp;J269&amp;" dia")</f>
        <v/>
      </c>
      <c r="C269" s="9"/>
      <c r="D269" s="9"/>
      <c r="E269" s="9"/>
      <c r="F269" s="40"/>
      <c r="G269" s="40"/>
      <c r="H269" s="43"/>
      <c r="I269" s="43"/>
      <c r="J269" s="40"/>
      <c r="K269" s="40"/>
      <c r="L269" s="40"/>
      <c r="M269" s="40"/>
      <c r="N269" s="9"/>
      <c r="O269" s="9"/>
      <c r="P269" s="9"/>
      <c r="Q269" s="9"/>
      <c r="R269" s="41"/>
      <c r="S269" s="9"/>
      <c r="T269" s="40"/>
      <c r="U269" s="9"/>
      <c r="V269" s="9"/>
      <c r="W269" s="9"/>
      <c r="X269" s="9"/>
      <c r="Y269" s="9"/>
      <c r="Z269" s="9"/>
      <c r="AA269" s="9"/>
      <c r="AB269" s="9"/>
      <c r="AC269" s="9"/>
      <c r="AD269" s="9"/>
      <c r="AE269" s="9"/>
      <c r="AF269" s="10" t="str">
        <f aca="false">IF(A269="","",SG_Criteria!$B$6&amp;SG_Criteria!$B$10&amp;"\"&amp;A269&amp;"\")</f>
        <v/>
      </c>
      <c r="AG269" s="10" t="str">
        <f aca="false">IF(A269="","",A269&amp;"_CAD.dwg")</f>
        <v/>
      </c>
      <c r="AH269" s="10" t="str">
        <f aca="false">IF(A269="","",A269&amp;"_DWG.pdf")</f>
        <v/>
      </c>
      <c r="AI269" s="10" t="str">
        <f aca="false">IF(A269="","",IF(AE269="Y",A269&amp;"_STAAD.std","n/a"))</f>
        <v/>
      </c>
      <c r="AJ269" s="10" t="str">
        <f aca="false">IF(A269="","",A269&amp;"_CALC.xlsx")</f>
        <v/>
      </c>
      <c r="AK269" s="10" t="str">
        <f aca="false">IF(A269="","",A269&amp;"_CALC.pdf")</f>
        <v/>
      </c>
      <c r="AL269" s="9"/>
      <c r="AM269" s="9"/>
      <c r="AN269" s="41"/>
      <c r="AO269" s="41"/>
      <c r="AP269" s="41"/>
      <c r="AQ269" s="41"/>
      <c r="AR269" s="41"/>
      <c r="AS269" s="38" t="str">
        <f aca="false">IF(C269="","",IF(LEN(IF(AND(S269&lt;&gt;"",IFERROR(VALUE(MID(S269,2,2)),0)&lt;SG_Criteria!$B$19),"FAIL: grade below C"&amp;SG_Criteria!$B$19&amp;". ","")&amp;IF(AND(T269&lt;&gt;"",T269&lt;SG_Criteria!$B$20),"FAIL: cover &lt; "&amp;SG_Criteria!$B$20&amp;" mm. ","")&amp;IF(AND(H269&lt;&gt;"",H269&lt;SG_Criteria!$B$39),"NOTE: min depth below PUB "&amp;SG_Criteria!$B$39&amp;" m. ","")&amp;IF(AND(LEFT(C269,8)="Standard",I269&gt;SG_Criteria!$B$42),"FAIL: PUB 001C covers manholes up to "&amp;SG_Criteria!$B$42&amp;" m deep only. ","")&amp;IF(AND(LEFT(C269,11)="Rectangular",J269&lt;SG_Criteria!$B$43),"NOTE: 004C is for sewers &gt;= "&amp;SG_Criteria!$B$43&amp;" dia. ","")&amp;IF(AND(LEFT(C269,7)="Precast",I269&lt;=SG_Criteria!$B$42),"NOTE: 006C is for manholes &gt; "&amp;SG_Criteria!$B$42&amp;" m deep. ","")&amp;IF(AND(J269&lt;&gt;"",J269&lt;SG_Criteria!$B$40,C269&lt;&gt;"Inspection Chamber"),"NOTE: public sewer min dia "&amp;SG_Criteria!$B$40&amp;" mm. ","")&amp;IF(AND(R269&lt;&gt;"",R269&lt;SG_Criteria!$B$44),"FAIL: uplift FOS below "&amp;SG_Criteria!$B$44&amp;". ",""))=0,"OK",IF(AND(S269&lt;&gt;"",IFERROR(VALUE(MID(S269,2,2)),0)&lt;SG_Criteria!$B$19),"FAIL: grade below C"&amp;SG_Criteria!$B$19&amp;". ","")&amp;IF(AND(T269&lt;&gt;"",T269&lt;SG_Criteria!$B$20),"FAIL: cover &lt; "&amp;SG_Criteria!$B$20&amp;" mm. ","")&amp;IF(AND(H269&lt;&gt;"",H269&lt;SG_Criteria!$B$39),"NOTE: min depth below PUB "&amp;SG_Criteria!$B$39&amp;" m. ","")&amp;IF(AND(LEFT(C269,8)="Standard",I269&gt;SG_Criteria!$B$42),"FAIL: PUB 001C covers manholes up to "&amp;SG_Criteria!$B$42&amp;" m deep only. ","")&amp;IF(AND(LEFT(C269,11)="Rectangular",J269&lt;SG_Criteria!$B$43),"NOTE: 004C is for sewers &gt;= "&amp;SG_Criteria!$B$43&amp;" dia. ","")&amp;IF(AND(LEFT(C269,7)="Precast",I269&lt;=SG_Criteria!$B$42),"NOTE: 006C is for manholes &gt; "&amp;SG_Criteria!$B$42&amp;" m deep. ","")&amp;IF(AND(J269&lt;&gt;"",J269&lt;SG_Criteria!$B$40,C269&lt;&gt;"Inspection Chamber"),"NOTE: public sewer min dia "&amp;SG_Criteria!$B$40&amp;" mm. ","")&amp;IF(AND(R269&lt;&gt;"",R269&lt;SG_Criteria!$B$44),"FAIL: uplift FOS below "&amp;SG_Criteria!$B$44&amp;". ","")))</f>
        <v/>
      </c>
      <c r="AT269" s="9"/>
      <c r="AU269" s="9"/>
      <c r="AV269" s="9"/>
      <c r="AW269" s="9"/>
      <c r="AX269" s="9"/>
      <c r="AY269" s="31"/>
      <c r="AZ269" s="10" t="str">
        <f aca="false">IF(C269="","",IF(AND(AB269="Approved",ISERROR(SEARCH("FAIL",AS269))),"Y","N"))</f>
        <v/>
      </c>
      <c r="BA269" s="10" t="str">
        <f aca="false">IF(C269="","",C269&amp;"|"&amp;I269&amp;"|"&amp;F269&amp;"|"&amp;AZ269)</f>
        <v/>
      </c>
    </row>
    <row r="270" customFormat="false" ht="15" hidden="false" customHeight="false" outlineLevel="0" collapsed="false">
      <c r="A270" s="10" t="str">
        <f aca="false">IF(C270="","","MH-"&amp;IFERROR(VLOOKUP(C270,Lists!$AB$4:$AC$20,2,0),"??")&amp;"-"&amp;TEXT(F270,"0000")&amp;IF(E270="Circular","D","x"&amp;TEXT(G270,"0000"))&amp;"-D"&amp;TEXT(I270*1000,"0000")&amp;"-"&amp;IFERROR(VLOOKUP(D270,Lists!$AE$4:$AF$16,2,0),"??")&amp;"-"&amp;AA270)</f>
        <v/>
      </c>
      <c r="B270" s="10" t="str">
        <f aca="false">IF(C270="","",C270&amp;", "&amp;D270&amp;", "&amp;IF(E270="Circular",F270&amp;" dia",F270&amp;" x "&amp;G270)&amp;", depth "&amp;TEXT(H270,"0.0")&amp;"-"&amp;TEXT(I270,"0.0")&amp;" m, pipe up to "&amp;J270&amp;" dia")</f>
        <v/>
      </c>
      <c r="C270" s="9"/>
      <c r="D270" s="9"/>
      <c r="E270" s="9"/>
      <c r="F270" s="40"/>
      <c r="G270" s="40"/>
      <c r="H270" s="43"/>
      <c r="I270" s="43"/>
      <c r="J270" s="40"/>
      <c r="K270" s="40"/>
      <c r="L270" s="40"/>
      <c r="M270" s="40"/>
      <c r="N270" s="9"/>
      <c r="O270" s="9"/>
      <c r="P270" s="9"/>
      <c r="Q270" s="9"/>
      <c r="R270" s="41"/>
      <c r="S270" s="9"/>
      <c r="T270" s="40"/>
      <c r="U270" s="9"/>
      <c r="V270" s="9"/>
      <c r="W270" s="9"/>
      <c r="X270" s="9"/>
      <c r="Y270" s="9"/>
      <c r="Z270" s="9"/>
      <c r="AA270" s="9"/>
      <c r="AB270" s="9"/>
      <c r="AC270" s="9"/>
      <c r="AD270" s="9"/>
      <c r="AE270" s="9"/>
      <c r="AF270" s="10" t="str">
        <f aca="false">IF(A270="","",SG_Criteria!$B$6&amp;SG_Criteria!$B$10&amp;"\"&amp;A270&amp;"\")</f>
        <v/>
      </c>
      <c r="AG270" s="10" t="str">
        <f aca="false">IF(A270="","",A270&amp;"_CAD.dwg")</f>
        <v/>
      </c>
      <c r="AH270" s="10" t="str">
        <f aca="false">IF(A270="","",A270&amp;"_DWG.pdf")</f>
        <v/>
      </c>
      <c r="AI270" s="10" t="str">
        <f aca="false">IF(A270="","",IF(AE270="Y",A270&amp;"_STAAD.std","n/a"))</f>
        <v/>
      </c>
      <c r="AJ270" s="10" t="str">
        <f aca="false">IF(A270="","",A270&amp;"_CALC.xlsx")</f>
        <v/>
      </c>
      <c r="AK270" s="10" t="str">
        <f aca="false">IF(A270="","",A270&amp;"_CALC.pdf")</f>
        <v/>
      </c>
      <c r="AL270" s="9"/>
      <c r="AM270" s="9"/>
      <c r="AN270" s="41"/>
      <c r="AO270" s="41"/>
      <c r="AP270" s="41"/>
      <c r="AQ270" s="41"/>
      <c r="AR270" s="41"/>
      <c r="AS270" s="38" t="str">
        <f aca="false">IF(C270="","",IF(LEN(IF(AND(S270&lt;&gt;"",IFERROR(VALUE(MID(S270,2,2)),0)&lt;SG_Criteria!$B$19),"FAIL: grade below C"&amp;SG_Criteria!$B$19&amp;". ","")&amp;IF(AND(T270&lt;&gt;"",T270&lt;SG_Criteria!$B$20),"FAIL: cover &lt; "&amp;SG_Criteria!$B$20&amp;" mm. ","")&amp;IF(AND(H270&lt;&gt;"",H270&lt;SG_Criteria!$B$39),"NOTE: min depth below PUB "&amp;SG_Criteria!$B$39&amp;" m. ","")&amp;IF(AND(LEFT(C270,8)="Standard",I270&gt;SG_Criteria!$B$42),"FAIL: PUB 001C covers manholes up to "&amp;SG_Criteria!$B$42&amp;" m deep only. ","")&amp;IF(AND(LEFT(C270,11)="Rectangular",J270&lt;SG_Criteria!$B$43),"NOTE: 004C is for sewers &gt;= "&amp;SG_Criteria!$B$43&amp;" dia. ","")&amp;IF(AND(LEFT(C270,7)="Precast",I270&lt;=SG_Criteria!$B$42),"NOTE: 006C is for manholes &gt; "&amp;SG_Criteria!$B$42&amp;" m deep. ","")&amp;IF(AND(J270&lt;&gt;"",J270&lt;SG_Criteria!$B$40,C270&lt;&gt;"Inspection Chamber"),"NOTE: public sewer min dia "&amp;SG_Criteria!$B$40&amp;" mm. ","")&amp;IF(AND(R270&lt;&gt;"",R270&lt;SG_Criteria!$B$44),"FAIL: uplift FOS below "&amp;SG_Criteria!$B$44&amp;". ",""))=0,"OK",IF(AND(S270&lt;&gt;"",IFERROR(VALUE(MID(S270,2,2)),0)&lt;SG_Criteria!$B$19),"FAIL: grade below C"&amp;SG_Criteria!$B$19&amp;". ","")&amp;IF(AND(T270&lt;&gt;"",T270&lt;SG_Criteria!$B$20),"FAIL: cover &lt; "&amp;SG_Criteria!$B$20&amp;" mm. ","")&amp;IF(AND(H270&lt;&gt;"",H270&lt;SG_Criteria!$B$39),"NOTE: min depth below PUB "&amp;SG_Criteria!$B$39&amp;" m. ","")&amp;IF(AND(LEFT(C270,8)="Standard",I270&gt;SG_Criteria!$B$42),"FAIL: PUB 001C covers manholes up to "&amp;SG_Criteria!$B$42&amp;" m deep only. ","")&amp;IF(AND(LEFT(C270,11)="Rectangular",J270&lt;SG_Criteria!$B$43),"NOTE: 004C is for sewers &gt;= "&amp;SG_Criteria!$B$43&amp;" dia. ","")&amp;IF(AND(LEFT(C270,7)="Precast",I270&lt;=SG_Criteria!$B$42),"NOTE: 006C is for manholes &gt; "&amp;SG_Criteria!$B$42&amp;" m deep. ","")&amp;IF(AND(J270&lt;&gt;"",J270&lt;SG_Criteria!$B$40,C270&lt;&gt;"Inspection Chamber"),"NOTE: public sewer min dia "&amp;SG_Criteria!$B$40&amp;" mm. ","")&amp;IF(AND(R270&lt;&gt;"",R270&lt;SG_Criteria!$B$44),"FAIL: uplift FOS below "&amp;SG_Criteria!$B$44&amp;". ","")))</f>
        <v/>
      </c>
      <c r="AT270" s="9"/>
      <c r="AU270" s="9"/>
      <c r="AV270" s="9"/>
      <c r="AW270" s="9"/>
      <c r="AX270" s="9"/>
      <c r="AY270" s="31"/>
      <c r="AZ270" s="10" t="str">
        <f aca="false">IF(C270="","",IF(AND(AB270="Approved",ISERROR(SEARCH("FAIL",AS270))),"Y","N"))</f>
        <v/>
      </c>
      <c r="BA270" s="10" t="str">
        <f aca="false">IF(C270="","",C270&amp;"|"&amp;I270&amp;"|"&amp;F270&amp;"|"&amp;AZ270)</f>
        <v/>
      </c>
    </row>
    <row r="271" customFormat="false" ht="15" hidden="false" customHeight="false" outlineLevel="0" collapsed="false">
      <c r="A271" s="10" t="str">
        <f aca="false">IF(C271="","","MH-"&amp;IFERROR(VLOOKUP(C271,Lists!$AB$4:$AC$20,2,0),"??")&amp;"-"&amp;TEXT(F271,"0000")&amp;IF(E271="Circular","D","x"&amp;TEXT(G271,"0000"))&amp;"-D"&amp;TEXT(I271*1000,"0000")&amp;"-"&amp;IFERROR(VLOOKUP(D271,Lists!$AE$4:$AF$16,2,0),"??")&amp;"-"&amp;AA271)</f>
        <v/>
      </c>
      <c r="B271" s="10" t="str">
        <f aca="false">IF(C271="","",C271&amp;", "&amp;D271&amp;", "&amp;IF(E271="Circular",F271&amp;" dia",F271&amp;" x "&amp;G271)&amp;", depth "&amp;TEXT(H271,"0.0")&amp;"-"&amp;TEXT(I271,"0.0")&amp;" m, pipe up to "&amp;J271&amp;" dia")</f>
        <v/>
      </c>
      <c r="C271" s="9"/>
      <c r="D271" s="9"/>
      <c r="E271" s="9"/>
      <c r="F271" s="40"/>
      <c r="G271" s="40"/>
      <c r="H271" s="43"/>
      <c r="I271" s="43"/>
      <c r="J271" s="40"/>
      <c r="K271" s="40"/>
      <c r="L271" s="40"/>
      <c r="M271" s="40"/>
      <c r="N271" s="9"/>
      <c r="O271" s="9"/>
      <c r="P271" s="9"/>
      <c r="Q271" s="9"/>
      <c r="R271" s="41"/>
      <c r="S271" s="9"/>
      <c r="T271" s="40"/>
      <c r="U271" s="9"/>
      <c r="V271" s="9"/>
      <c r="W271" s="9"/>
      <c r="X271" s="9"/>
      <c r="Y271" s="9"/>
      <c r="Z271" s="9"/>
      <c r="AA271" s="9"/>
      <c r="AB271" s="9"/>
      <c r="AC271" s="9"/>
      <c r="AD271" s="9"/>
      <c r="AE271" s="9"/>
      <c r="AF271" s="10" t="str">
        <f aca="false">IF(A271="","",SG_Criteria!$B$6&amp;SG_Criteria!$B$10&amp;"\"&amp;A271&amp;"\")</f>
        <v/>
      </c>
      <c r="AG271" s="10" t="str">
        <f aca="false">IF(A271="","",A271&amp;"_CAD.dwg")</f>
        <v/>
      </c>
      <c r="AH271" s="10" t="str">
        <f aca="false">IF(A271="","",A271&amp;"_DWG.pdf")</f>
        <v/>
      </c>
      <c r="AI271" s="10" t="str">
        <f aca="false">IF(A271="","",IF(AE271="Y",A271&amp;"_STAAD.std","n/a"))</f>
        <v/>
      </c>
      <c r="AJ271" s="10" t="str">
        <f aca="false">IF(A271="","",A271&amp;"_CALC.xlsx")</f>
        <v/>
      </c>
      <c r="AK271" s="10" t="str">
        <f aca="false">IF(A271="","",A271&amp;"_CALC.pdf")</f>
        <v/>
      </c>
      <c r="AL271" s="9"/>
      <c r="AM271" s="9"/>
      <c r="AN271" s="41"/>
      <c r="AO271" s="41"/>
      <c r="AP271" s="41"/>
      <c r="AQ271" s="41"/>
      <c r="AR271" s="41"/>
      <c r="AS271" s="38" t="str">
        <f aca="false">IF(C271="","",IF(LEN(IF(AND(S271&lt;&gt;"",IFERROR(VALUE(MID(S271,2,2)),0)&lt;SG_Criteria!$B$19),"FAIL: grade below C"&amp;SG_Criteria!$B$19&amp;". ","")&amp;IF(AND(T271&lt;&gt;"",T271&lt;SG_Criteria!$B$20),"FAIL: cover &lt; "&amp;SG_Criteria!$B$20&amp;" mm. ","")&amp;IF(AND(H271&lt;&gt;"",H271&lt;SG_Criteria!$B$39),"NOTE: min depth below PUB "&amp;SG_Criteria!$B$39&amp;" m. ","")&amp;IF(AND(LEFT(C271,8)="Standard",I271&gt;SG_Criteria!$B$42),"FAIL: PUB 001C covers manholes up to "&amp;SG_Criteria!$B$42&amp;" m deep only. ","")&amp;IF(AND(LEFT(C271,11)="Rectangular",J271&lt;SG_Criteria!$B$43),"NOTE: 004C is for sewers &gt;= "&amp;SG_Criteria!$B$43&amp;" dia. ","")&amp;IF(AND(LEFT(C271,7)="Precast",I271&lt;=SG_Criteria!$B$42),"NOTE: 006C is for manholes &gt; "&amp;SG_Criteria!$B$42&amp;" m deep. ","")&amp;IF(AND(J271&lt;&gt;"",J271&lt;SG_Criteria!$B$40,C271&lt;&gt;"Inspection Chamber"),"NOTE: public sewer min dia "&amp;SG_Criteria!$B$40&amp;" mm. ","")&amp;IF(AND(R271&lt;&gt;"",R271&lt;SG_Criteria!$B$44),"FAIL: uplift FOS below "&amp;SG_Criteria!$B$44&amp;". ",""))=0,"OK",IF(AND(S271&lt;&gt;"",IFERROR(VALUE(MID(S271,2,2)),0)&lt;SG_Criteria!$B$19),"FAIL: grade below C"&amp;SG_Criteria!$B$19&amp;". ","")&amp;IF(AND(T271&lt;&gt;"",T271&lt;SG_Criteria!$B$20),"FAIL: cover &lt; "&amp;SG_Criteria!$B$20&amp;" mm. ","")&amp;IF(AND(H271&lt;&gt;"",H271&lt;SG_Criteria!$B$39),"NOTE: min depth below PUB "&amp;SG_Criteria!$B$39&amp;" m. ","")&amp;IF(AND(LEFT(C271,8)="Standard",I271&gt;SG_Criteria!$B$42),"FAIL: PUB 001C covers manholes up to "&amp;SG_Criteria!$B$42&amp;" m deep only. ","")&amp;IF(AND(LEFT(C271,11)="Rectangular",J271&lt;SG_Criteria!$B$43),"NOTE: 004C is for sewers &gt;= "&amp;SG_Criteria!$B$43&amp;" dia. ","")&amp;IF(AND(LEFT(C271,7)="Precast",I271&lt;=SG_Criteria!$B$42),"NOTE: 006C is for manholes &gt; "&amp;SG_Criteria!$B$42&amp;" m deep. ","")&amp;IF(AND(J271&lt;&gt;"",J271&lt;SG_Criteria!$B$40,C271&lt;&gt;"Inspection Chamber"),"NOTE: public sewer min dia "&amp;SG_Criteria!$B$40&amp;" mm. ","")&amp;IF(AND(R271&lt;&gt;"",R271&lt;SG_Criteria!$B$44),"FAIL: uplift FOS below "&amp;SG_Criteria!$B$44&amp;". ","")))</f>
        <v/>
      </c>
      <c r="AT271" s="9"/>
      <c r="AU271" s="9"/>
      <c r="AV271" s="9"/>
      <c r="AW271" s="9"/>
      <c r="AX271" s="9"/>
      <c r="AY271" s="31"/>
      <c r="AZ271" s="10" t="str">
        <f aca="false">IF(C271="","",IF(AND(AB271="Approved",ISERROR(SEARCH("FAIL",AS271))),"Y","N"))</f>
        <v/>
      </c>
      <c r="BA271" s="10" t="str">
        <f aca="false">IF(C271="","",C271&amp;"|"&amp;I271&amp;"|"&amp;F271&amp;"|"&amp;AZ271)</f>
        <v/>
      </c>
    </row>
    <row r="272" customFormat="false" ht="15" hidden="false" customHeight="false" outlineLevel="0" collapsed="false">
      <c r="A272" s="10" t="str">
        <f aca="false">IF(C272="","","MH-"&amp;IFERROR(VLOOKUP(C272,Lists!$AB$4:$AC$20,2,0),"??")&amp;"-"&amp;TEXT(F272,"0000")&amp;IF(E272="Circular","D","x"&amp;TEXT(G272,"0000"))&amp;"-D"&amp;TEXT(I272*1000,"0000")&amp;"-"&amp;IFERROR(VLOOKUP(D272,Lists!$AE$4:$AF$16,2,0),"??")&amp;"-"&amp;AA272)</f>
        <v/>
      </c>
      <c r="B272" s="10" t="str">
        <f aca="false">IF(C272="","",C272&amp;", "&amp;D272&amp;", "&amp;IF(E272="Circular",F272&amp;" dia",F272&amp;" x "&amp;G272)&amp;", depth "&amp;TEXT(H272,"0.0")&amp;"-"&amp;TEXT(I272,"0.0")&amp;" m, pipe up to "&amp;J272&amp;" dia")</f>
        <v/>
      </c>
      <c r="C272" s="9"/>
      <c r="D272" s="9"/>
      <c r="E272" s="9"/>
      <c r="F272" s="40"/>
      <c r="G272" s="40"/>
      <c r="H272" s="43"/>
      <c r="I272" s="43"/>
      <c r="J272" s="40"/>
      <c r="K272" s="40"/>
      <c r="L272" s="40"/>
      <c r="M272" s="40"/>
      <c r="N272" s="9"/>
      <c r="O272" s="9"/>
      <c r="P272" s="9"/>
      <c r="Q272" s="9"/>
      <c r="R272" s="41"/>
      <c r="S272" s="9"/>
      <c r="T272" s="40"/>
      <c r="U272" s="9"/>
      <c r="V272" s="9"/>
      <c r="W272" s="9"/>
      <c r="X272" s="9"/>
      <c r="Y272" s="9"/>
      <c r="Z272" s="9"/>
      <c r="AA272" s="9"/>
      <c r="AB272" s="9"/>
      <c r="AC272" s="9"/>
      <c r="AD272" s="9"/>
      <c r="AE272" s="9"/>
      <c r="AF272" s="10" t="str">
        <f aca="false">IF(A272="","",SG_Criteria!$B$6&amp;SG_Criteria!$B$10&amp;"\"&amp;A272&amp;"\")</f>
        <v/>
      </c>
      <c r="AG272" s="10" t="str">
        <f aca="false">IF(A272="","",A272&amp;"_CAD.dwg")</f>
        <v/>
      </c>
      <c r="AH272" s="10" t="str">
        <f aca="false">IF(A272="","",A272&amp;"_DWG.pdf")</f>
        <v/>
      </c>
      <c r="AI272" s="10" t="str">
        <f aca="false">IF(A272="","",IF(AE272="Y",A272&amp;"_STAAD.std","n/a"))</f>
        <v/>
      </c>
      <c r="AJ272" s="10" t="str">
        <f aca="false">IF(A272="","",A272&amp;"_CALC.xlsx")</f>
        <v/>
      </c>
      <c r="AK272" s="10" t="str">
        <f aca="false">IF(A272="","",A272&amp;"_CALC.pdf")</f>
        <v/>
      </c>
      <c r="AL272" s="9"/>
      <c r="AM272" s="9"/>
      <c r="AN272" s="41"/>
      <c r="AO272" s="41"/>
      <c r="AP272" s="41"/>
      <c r="AQ272" s="41"/>
      <c r="AR272" s="41"/>
      <c r="AS272" s="38" t="str">
        <f aca="false">IF(C272="","",IF(LEN(IF(AND(S272&lt;&gt;"",IFERROR(VALUE(MID(S272,2,2)),0)&lt;SG_Criteria!$B$19),"FAIL: grade below C"&amp;SG_Criteria!$B$19&amp;". ","")&amp;IF(AND(T272&lt;&gt;"",T272&lt;SG_Criteria!$B$20),"FAIL: cover &lt; "&amp;SG_Criteria!$B$20&amp;" mm. ","")&amp;IF(AND(H272&lt;&gt;"",H272&lt;SG_Criteria!$B$39),"NOTE: min depth below PUB "&amp;SG_Criteria!$B$39&amp;" m. ","")&amp;IF(AND(LEFT(C272,8)="Standard",I272&gt;SG_Criteria!$B$42),"FAIL: PUB 001C covers manholes up to "&amp;SG_Criteria!$B$42&amp;" m deep only. ","")&amp;IF(AND(LEFT(C272,11)="Rectangular",J272&lt;SG_Criteria!$B$43),"NOTE: 004C is for sewers &gt;= "&amp;SG_Criteria!$B$43&amp;" dia. ","")&amp;IF(AND(LEFT(C272,7)="Precast",I272&lt;=SG_Criteria!$B$42),"NOTE: 006C is for manholes &gt; "&amp;SG_Criteria!$B$42&amp;" m deep. ","")&amp;IF(AND(J272&lt;&gt;"",J272&lt;SG_Criteria!$B$40,C272&lt;&gt;"Inspection Chamber"),"NOTE: public sewer min dia "&amp;SG_Criteria!$B$40&amp;" mm. ","")&amp;IF(AND(R272&lt;&gt;"",R272&lt;SG_Criteria!$B$44),"FAIL: uplift FOS below "&amp;SG_Criteria!$B$44&amp;". ",""))=0,"OK",IF(AND(S272&lt;&gt;"",IFERROR(VALUE(MID(S272,2,2)),0)&lt;SG_Criteria!$B$19),"FAIL: grade below C"&amp;SG_Criteria!$B$19&amp;". ","")&amp;IF(AND(T272&lt;&gt;"",T272&lt;SG_Criteria!$B$20),"FAIL: cover &lt; "&amp;SG_Criteria!$B$20&amp;" mm. ","")&amp;IF(AND(H272&lt;&gt;"",H272&lt;SG_Criteria!$B$39),"NOTE: min depth below PUB "&amp;SG_Criteria!$B$39&amp;" m. ","")&amp;IF(AND(LEFT(C272,8)="Standard",I272&gt;SG_Criteria!$B$42),"FAIL: PUB 001C covers manholes up to "&amp;SG_Criteria!$B$42&amp;" m deep only. ","")&amp;IF(AND(LEFT(C272,11)="Rectangular",J272&lt;SG_Criteria!$B$43),"NOTE: 004C is for sewers &gt;= "&amp;SG_Criteria!$B$43&amp;" dia. ","")&amp;IF(AND(LEFT(C272,7)="Precast",I272&lt;=SG_Criteria!$B$42),"NOTE: 006C is for manholes &gt; "&amp;SG_Criteria!$B$42&amp;" m deep. ","")&amp;IF(AND(J272&lt;&gt;"",J272&lt;SG_Criteria!$B$40,C272&lt;&gt;"Inspection Chamber"),"NOTE: public sewer min dia "&amp;SG_Criteria!$B$40&amp;" mm. ","")&amp;IF(AND(R272&lt;&gt;"",R272&lt;SG_Criteria!$B$44),"FAIL: uplift FOS below "&amp;SG_Criteria!$B$44&amp;". ","")))</f>
        <v/>
      </c>
      <c r="AT272" s="9"/>
      <c r="AU272" s="9"/>
      <c r="AV272" s="9"/>
      <c r="AW272" s="9"/>
      <c r="AX272" s="9"/>
      <c r="AY272" s="31"/>
      <c r="AZ272" s="10" t="str">
        <f aca="false">IF(C272="","",IF(AND(AB272="Approved",ISERROR(SEARCH("FAIL",AS272))),"Y","N"))</f>
        <v/>
      </c>
      <c r="BA272" s="10" t="str">
        <f aca="false">IF(C272="","",C272&amp;"|"&amp;I272&amp;"|"&amp;F272&amp;"|"&amp;AZ272)</f>
        <v/>
      </c>
    </row>
    <row r="273" customFormat="false" ht="15" hidden="false" customHeight="false" outlineLevel="0" collapsed="false">
      <c r="A273" s="10" t="str">
        <f aca="false">IF(C273="","","MH-"&amp;IFERROR(VLOOKUP(C273,Lists!$AB$4:$AC$20,2,0),"??")&amp;"-"&amp;TEXT(F273,"0000")&amp;IF(E273="Circular","D","x"&amp;TEXT(G273,"0000"))&amp;"-D"&amp;TEXT(I273*1000,"0000")&amp;"-"&amp;IFERROR(VLOOKUP(D273,Lists!$AE$4:$AF$16,2,0),"??")&amp;"-"&amp;AA273)</f>
        <v/>
      </c>
      <c r="B273" s="10" t="str">
        <f aca="false">IF(C273="","",C273&amp;", "&amp;D273&amp;", "&amp;IF(E273="Circular",F273&amp;" dia",F273&amp;" x "&amp;G273)&amp;", depth "&amp;TEXT(H273,"0.0")&amp;"-"&amp;TEXT(I273,"0.0")&amp;" m, pipe up to "&amp;J273&amp;" dia")</f>
        <v/>
      </c>
      <c r="C273" s="9"/>
      <c r="D273" s="9"/>
      <c r="E273" s="9"/>
      <c r="F273" s="40"/>
      <c r="G273" s="40"/>
      <c r="H273" s="43"/>
      <c r="I273" s="43"/>
      <c r="J273" s="40"/>
      <c r="K273" s="40"/>
      <c r="L273" s="40"/>
      <c r="M273" s="40"/>
      <c r="N273" s="9"/>
      <c r="O273" s="9"/>
      <c r="P273" s="9"/>
      <c r="Q273" s="9"/>
      <c r="R273" s="41"/>
      <c r="S273" s="9"/>
      <c r="T273" s="40"/>
      <c r="U273" s="9"/>
      <c r="V273" s="9"/>
      <c r="W273" s="9"/>
      <c r="X273" s="9"/>
      <c r="Y273" s="9"/>
      <c r="Z273" s="9"/>
      <c r="AA273" s="9"/>
      <c r="AB273" s="9"/>
      <c r="AC273" s="9"/>
      <c r="AD273" s="9"/>
      <c r="AE273" s="9"/>
      <c r="AF273" s="10" t="str">
        <f aca="false">IF(A273="","",SG_Criteria!$B$6&amp;SG_Criteria!$B$10&amp;"\"&amp;A273&amp;"\")</f>
        <v/>
      </c>
      <c r="AG273" s="10" t="str">
        <f aca="false">IF(A273="","",A273&amp;"_CAD.dwg")</f>
        <v/>
      </c>
      <c r="AH273" s="10" t="str">
        <f aca="false">IF(A273="","",A273&amp;"_DWG.pdf")</f>
        <v/>
      </c>
      <c r="AI273" s="10" t="str">
        <f aca="false">IF(A273="","",IF(AE273="Y",A273&amp;"_STAAD.std","n/a"))</f>
        <v/>
      </c>
      <c r="AJ273" s="10" t="str">
        <f aca="false">IF(A273="","",A273&amp;"_CALC.xlsx")</f>
        <v/>
      </c>
      <c r="AK273" s="10" t="str">
        <f aca="false">IF(A273="","",A273&amp;"_CALC.pdf")</f>
        <v/>
      </c>
      <c r="AL273" s="9"/>
      <c r="AM273" s="9"/>
      <c r="AN273" s="41"/>
      <c r="AO273" s="41"/>
      <c r="AP273" s="41"/>
      <c r="AQ273" s="41"/>
      <c r="AR273" s="41"/>
      <c r="AS273" s="38" t="str">
        <f aca="false">IF(C273="","",IF(LEN(IF(AND(S273&lt;&gt;"",IFERROR(VALUE(MID(S273,2,2)),0)&lt;SG_Criteria!$B$19),"FAIL: grade below C"&amp;SG_Criteria!$B$19&amp;". ","")&amp;IF(AND(T273&lt;&gt;"",T273&lt;SG_Criteria!$B$20),"FAIL: cover &lt; "&amp;SG_Criteria!$B$20&amp;" mm. ","")&amp;IF(AND(H273&lt;&gt;"",H273&lt;SG_Criteria!$B$39),"NOTE: min depth below PUB "&amp;SG_Criteria!$B$39&amp;" m. ","")&amp;IF(AND(LEFT(C273,8)="Standard",I273&gt;SG_Criteria!$B$42),"FAIL: PUB 001C covers manholes up to "&amp;SG_Criteria!$B$42&amp;" m deep only. ","")&amp;IF(AND(LEFT(C273,11)="Rectangular",J273&lt;SG_Criteria!$B$43),"NOTE: 004C is for sewers &gt;= "&amp;SG_Criteria!$B$43&amp;" dia. ","")&amp;IF(AND(LEFT(C273,7)="Precast",I273&lt;=SG_Criteria!$B$42),"NOTE: 006C is for manholes &gt; "&amp;SG_Criteria!$B$42&amp;" m deep. ","")&amp;IF(AND(J273&lt;&gt;"",J273&lt;SG_Criteria!$B$40,C273&lt;&gt;"Inspection Chamber"),"NOTE: public sewer min dia "&amp;SG_Criteria!$B$40&amp;" mm. ","")&amp;IF(AND(R273&lt;&gt;"",R273&lt;SG_Criteria!$B$44),"FAIL: uplift FOS below "&amp;SG_Criteria!$B$44&amp;". ",""))=0,"OK",IF(AND(S273&lt;&gt;"",IFERROR(VALUE(MID(S273,2,2)),0)&lt;SG_Criteria!$B$19),"FAIL: grade below C"&amp;SG_Criteria!$B$19&amp;". ","")&amp;IF(AND(T273&lt;&gt;"",T273&lt;SG_Criteria!$B$20),"FAIL: cover &lt; "&amp;SG_Criteria!$B$20&amp;" mm. ","")&amp;IF(AND(H273&lt;&gt;"",H273&lt;SG_Criteria!$B$39),"NOTE: min depth below PUB "&amp;SG_Criteria!$B$39&amp;" m. ","")&amp;IF(AND(LEFT(C273,8)="Standard",I273&gt;SG_Criteria!$B$42),"FAIL: PUB 001C covers manholes up to "&amp;SG_Criteria!$B$42&amp;" m deep only. ","")&amp;IF(AND(LEFT(C273,11)="Rectangular",J273&lt;SG_Criteria!$B$43),"NOTE: 004C is for sewers &gt;= "&amp;SG_Criteria!$B$43&amp;" dia. ","")&amp;IF(AND(LEFT(C273,7)="Precast",I273&lt;=SG_Criteria!$B$42),"NOTE: 006C is for manholes &gt; "&amp;SG_Criteria!$B$42&amp;" m deep. ","")&amp;IF(AND(J273&lt;&gt;"",J273&lt;SG_Criteria!$B$40,C273&lt;&gt;"Inspection Chamber"),"NOTE: public sewer min dia "&amp;SG_Criteria!$B$40&amp;" mm. ","")&amp;IF(AND(R273&lt;&gt;"",R273&lt;SG_Criteria!$B$44),"FAIL: uplift FOS below "&amp;SG_Criteria!$B$44&amp;". ","")))</f>
        <v/>
      </c>
      <c r="AT273" s="9"/>
      <c r="AU273" s="9"/>
      <c r="AV273" s="9"/>
      <c r="AW273" s="9"/>
      <c r="AX273" s="9"/>
      <c r="AY273" s="31"/>
      <c r="AZ273" s="10" t="str">
        <f aca="false">IF(C273="","",IF(AND(AB273="Approved",ISERROR(SEARCH("FAIL",AS273))),"Y","N"))</f>
        <v/>
      </c>
      <c r="BA273" s="10" t="str">
        <f aca="false">IF(C273="","",C273&amp;"|"&amp;I273&amp;"|"&amp;F273&amp;"|"&amp;AZ273)</f>
        <v/>
      </c>
    </row>
    <row r="274" customFormat="false" ht="15" hidden="false" customHeight="false" outlineLevel="0" collapsed="false">
      <c r="A274" s="10" t="str">
        <f aca="false">IF(C274="","","MH-"&amp;IFERROR(VLOOKUP(C274,Lists!$AB$4:$AC$20,2,0),"??")&amp;"-"&amp;TEXT(F274,"0000")&amp;IF(E274="Circular","D","x"&amp;TEXT(G274,"0000"))&amp;"-D"&amp;TEXT(I274*1000,"0000")&amp;"-"&amp;IFERROR(VLOOKUP(D274,Lists!$AE$4:$AF$16,2,0),"??")&amp;"-"&amp;AA274)</f>
        <v/>
      </c>
      <c r="B274" s="10" t="str">
        <f aca="false">IF(C274="","",C274&amp;", "&amp;D274&amp;", "&amp;IF(E274="Circular",F274&amp;" dia",F274&amp;" x "&amp;G274)&amp;", depth "&amp;TEXT(H274,"0.0")&amp;"-"&amp;TEXT(I274,"0.0")&amp;" m, pipe up to "&amp;J274&amp;" dia")</f>
        <v/>
      </c>
      <c r="C274" s="9"/>
      <c r="D274" s="9"/>
      <c r="E274" s="9"/>
      <c r="F274" s="40"/>
      <c r="G274" s="40"/>
      <c r="H274" s="43"/>
      <c r="I274" s="43"/>
      <c r="J274" s="40"/>
      <c r="K274" s="40"/>
      <c r="L274" s="40"/>
      <c r="M274" s="40"/>
      <c r="N274" s="9"/>
      <c r="O274" s="9"/>
      <c r="P274" s="9"/>
      <c r="Q274" s="9"/>
      <c r="R274" s="41"/>
      <c r="S274" s="9"/>
      <c r="T274" s="40"/>
      <c r="U274" s="9"/>
      <c r="V274" s="9"/>
      <c r="W274" s="9"/>
      <c r="X274" s="9"/>
      <c r="Y274" s="9"/>
      <c r="Z274" s="9"/>
      <c r="AA274" s="9"/>
      <c r="AB274" s="9"/>
      <c r="AC274" s="9"/>
      <c r="AD274" s="9"/>
      <c r="AE274" s="9"/>
      <c r="AF274" s="10" t="str">
        <f aca="false">IF(A274="","",SG_Criteria!$B$6&amp;SG_Criteria!$B$10&amp;"\"&amp;A274&amp;"\")</f>
        <v/>
      </c>
      <c r="AG274" s="10" t="str">
        <f aca="false">IF(A274="","",A274&amp;"_CAD.dwg")</f>
        <v/>
      </c>
      <c r="AH274" s="10" t="str">
        <f aca="false">IF(A274="","",A274&amp;"_DWG.pdf")</f>
        <v/>
      </c>
      <c r="AI274" s="10" t="str">
        <f aca="false">IF(A274="","",IF(AE274="Y",A274&amp;"_STAAD.std","n/a"))</f>
        <v/>
      </c>
      <c r="AJ274" s="10" t="str">
        <f aca="false">IF(A274="","",A274&amp;"_CALC.xlsx")</f>
        <v/>
      </c>
      <c r="AK274" s="10" t="str">
        <f aca="false">IF(A274="","",A274&amp;"_CALC.pdf")</f>
        <v/>
      </c>
      <c r="AL274" s="9"/>
      <c r="AM274" s="9"/>
      <c r="AN274" s="41"/>
      <c r="AO274" s="41"/>
      <c r="AP274" s="41"/>
      <c r="AQ274" s="41"/>
      <c r="AR274" s="41"/>
      <c r="AS274" s="38" t="str">
        <f aca="false">IF(C274="","",IF(LEN(IF(AND(S274&lt;&gt;"",IFERROR(VALUE(MID(S274,2,2)),0)&lt;SG_Criteria!$B$19),"FAIL: grade below C"&amp;SG_Criteria!$B$19&amp;". ","")&amp;IF(AND(T274&lt;&gt;"",T274&lt;SG_Criteria!$B$20),"FAIL: cover &lt; "&amp;SG_Criteria!$B$20&amp;" mm. ","")&amp;IF(AND(H274&lt;&gt;"",H274&lt;SG_Criteria!$B$39),"NOTE: min depth below PUB "&amp;SG_Criteria!$B$39&amp;" m. ","")&amp;IF(AND(LEFT(C274,8)="Standard",I274&gt;SG_Criteria!$B$42),"FAIL: PUB 001C covers manholes up to "&amp;SG_Criteria!$B$42&amp;" m deep only. ","")&amp;IF(AND(LEFT(C274,11)="Rectangular",J274&lt;SG_Criteria!$B$43),"NOTE: 004C is for sewers &gt;= "&amp;SG_Criteria!$B$43&amp;" dia. ","")&amp;IF(AND(LEFT(C274,7)="Precast",I274&lt;=SG_Criteria!$B$42),"NOTE: 006C is for manholes &gt; "&amp;SG_Criteria!$B$42&amp;" m deep. ","")&amp;IF(AND(J274&lt;&gt;"",J274&lt;SG_Criteria!$B$40,C274&lt;&gt;"Inspection Chamber"),"NOTE: public sewer min dia "&amp;SG_Criteria!$B$40&amp;" mm. ","")&amp;IF(AND(R274&lt;&gt;"",R274&lt;SG_Criteria!$B$44),"FAIL: uplift FOS below "&amp;SG_Criteria!$B$44&amp;". ",""))=0,"OK",IF(AND(S274&lt;&gt;"",IFERROR(VALUE(MID(S274,2,2)),0)&lt;SG_Criteria!$B$19),"FAIL: grade below C"&amp;SG_Criteria!$B$19&amp;". ","")&amp;IF(AND(T274&lt;&gt;"",T274&lt;SG_Criteria!$B$20),"FAIL: cover &lt; "&amp;SG_Criteria!$B$20&amp;" mm. ","")&amp;IF(AND(H274&lt;&gt;"",H274&lt;SG_Criteria!$B$39),"NOTE: min depth below PUB "&amp;SG_Criteria!$B$39&amp;" m. ","")&amp;IF(AND(LEFT(C274,8)="Standard",I274&gt;SG_Criteria!$B$42),"FAIL: PUB 001C covers manholes up to "&amp;SG_Criteria!$B$42&amp;" m deep only. ","")&amp;IF(AND(LEFT(C274,11)="Rectangular",J274&lt;SG_Criteria!$B$43),"NOTE: 004C is for sewers &gt;= "&amp;SG_Criteria!$B$43&amp;" dia. ","")&amp;IF(AND(LEFT(C274,7)="Precast",I274&lt;=SG_Criteria!$B$42),"NOTE: 006C is for manholes &gt; "&amp;SG_Criteria!$B$42&amp;" m deep. ","")&amp;IF(AND(J274&lt;&gt;"",J274&lt;SG_Criteria!$B$40,C274&lt;&gt;"Inspection Chamber"),"NOTE: public sewer min dia "&amp;SG_Criteria!$B$40&amp;" mm. ","")&amp;IF(AND(R274&lt;&gt;"",R274&lt;SG_Criteria!$B$44),"FAIL: uplift FOS below "&amp;SG_Criteria!$B$44&amp;". ","")))</f>
        <v/>
      </c>
      <c r="AT274" s="9"/>
      <c r="AU274" s="9"/>
      <c r="AV274" s="9"/>
      <c r="AW274" s="9"/>
      <c r="AX274" s="9"/>
      <c r="AY274" s="31"/>
      <c r="AZ274" s="10" t="str">
        <f aca="false">IF(C274="","",IF(AND(AB274="Approved",ISERROR(SEARCH("FAIL",AS274))),"Y","N"))</f>
        <v/>
      </c>
      <c r="BA274" s="10" t="str">
        <f aca="false">IF(C274="","",C274&amp;"|"&amp;I274&amp;"|"&amp;F274&amp;"|"&amp;AZ274)</f>
        <v/>
      </c>
    </row>
    <row r="275" customFormat="false" ht="15" hidden="false" customHeight="false" outlineLevel="0" collapsed="false">
      <c r="A275" s="10" t="str">
        <f aca="false">IF(C275="","","MH-"&amp;IFERROR(VLOOKUP(C275,Lists!$AB$4:$AC$20,2,0),"??")&amp;"-"&amp;TEXT(F275,"0000")&amp;IF(E275="Circular","D","x"&amp;TEXT(G275,"0000"))&amp;"-D"&amp;TEXT(I275*1000,"0000")&amp;"-"&amp;IFERROR(VLOOKUP(D275,Lists!$AE$4:$AF$16,2,0),"??")&amp;"-"&amp;AA275)</f>
        <v/>
      </c>
      <c r="B275" s="10" t="str">
        <f aca="false">IF(C275="","",C275&amp;", "&amp;D275&amp;", "&amp;IF(E275="Circular",F275&amp;" dia",F275&amp;" x "&amp;G275)&amp;", depth "&amp;TEXT(H275,"0.0")&amp;"-"&amp;TEXT(I275,"0.0")&amp;" m, pipe up to "&amp;J275&amp;" dia")</f>
        <v/>
      </c>
      <c r="C275" s="9"/>
      <c r="D275" s="9"/>
      <c r="E275" s="9"/>
      <c r="F275" s="40"/>
      <c r="G275" s="40"/>
      <c r="H275" s="43"/>
      <c r="I275" s="43"/>
      <c r="J275" s="40"/>
      <c r="K275" s="40"/>
      <c r="L275" s="40"/>
      <c r="M275" s="40"/>
      <c r="N275" s="9"/>
      <c r="O275" s="9"/>
      <c r="P275" s="9"/>
      <c r="Q275" s="9"/>
      <c r="R275" s="41"/>
      <c r="S275" s="9"/>
      <c r="T275" s="40"/>
      <c r="U275" s="9"/>
      <c r="V275" s="9"/>
      <c r="W275" s="9"/>
      <c r="X275" s="9"/>
      <c r="Y275" s="9"/>
      <c r="Z275" s="9"/>
      <c r="AA275" s="9"/>
      <c r="AB275" s="9"/>
      <c r="AC275" s="9"/>
      <c r="AD275" s="9"/>
      <c r="AE275" s="9"/>
      <c r="AF275" s="10" t="str">
        <f aca="false">IF(A275="","",SG_Criteria!$B$6&amp;SG_Criteria!$B$10&amp;"\"&amp;A275&amp;"\")</f>
        <v/>
      </c>
      <c r="AG275" s="10" t="str">
        <f aca="false">IF(A275="","",A275&amp;"_CAD.dwg")</f>
        <v/>
      </c>
      <c r="AH275" s="10" t="str">
        <f aca="false">IF(A275="","",A275&amp;"_DWG.pdf")</f>
        <v/>
      </c>
      <c r="AI275" s="10" t="str">
        <f aca="false">IF(A275="","",IF(AE275="Y",A275&amp;"_STAAD.std","n/a"))</f>
        <v/>
      </c>
      <c r="AJ275" s="10" t="str">
        <f aca="false">IF(A275="","",A275&amp;"_CALC.xlsx")</f>
        <v/>
      </c>
      <c r="AK275" s="10" t="str">
        <f aca="false">IF(A275="","",A275&amp;"_CALC.pdf")</f>
        <v/>
      </c>
      <c r="AL275" s="9"/>
      <c r="AM275" s="9"/>
      <c r="AN275" s="41"/>
      <c r="AO275" s="41"/>
      <c r="AP275" s="41"/>
      <c r="AQ275" s="41"/>
      <c r="AR275" s="41"/>
      <c r="AS275" s="38" t="str">
        <f aca="false">IF(C275="","",IF(LEN(IF(AND(S275&lt;&gt;"",IFERROR(VALUE(MID(S275,2,2)),0)&lt;SG_Criteria!$B$19),"FAIL: grade below C"&amp;SG_Criteria!$B$19&amp;". ","")&amp;IF(AND(T275&lt;&gt;"",T275&lt;SG_Criteria!$B$20),"FAIL: cover &lt; "&amp;SG_Criteria!$B$20&amp;" mm. ","")&amp;IF(AND(H275&lt;&gt;"",H275&lt;SG_Criteria!$B$39),"NOTE: min depth below PUB "&amp;SG_Criteria!$B$39&amp;" m. ","")&amp;IF(AND(LEFT(C275,8)="Standard",I275&gt;SG_Criteria!$B$42),"FAIL: PUB 001C covers manholes up to "&amp;SG_Criteria!$B$42&amp;" m deep only. ","")&amp;IF(AND(LEFT(C275,11)="Rectangular",J275&lt;SG_Criteria!$B$43),"NOTE: 004C is for sewers &gt;= "&amp;SG_Criteria!$B$43&amp;" dia. ","")&amp;IF(AND(LEFT(C275,7)="Precast",I275&lt;=SG_Criteria!$B$42),"NOTE: 006C is for manholes &gt; "&amp;SG_Criteria!$B$42&amp;" m deep. ","")&amp;IF(AND(J275&lt;&gt;"",J275&lt;SG_Criteria!$B$40,C275&lt;&gt;"Inspection Chamber"),"NOTE: public sewer min dia "&amp;SG_Criteria!$B$40&amp;" mm. ","")&amp;IF(AND(R275&lt;&gt;"",R275&lt;SG_Criteria!$B$44),"FAIL: uplift FOS below "&amp;SG_Criteria!$B$44&amp;". ",""))=0,"OK",IF(AND(S275&lt;&gt;"",IFERROR(VALUE(MID(S275,2,2)),0)&lt;SG_Criteria!$B$19),"FAIL: grade below C"&amp;SG_Criteria!$B$19&amp;". ","")&amp;IF(AND(T275&lt;&gt;"",T275&lt;SG_Criteria!$B$20),"FAIL: cover &lt; "&amp;SG_Criteria!$B$20&amp;" mm. ","")&amp;IF(AND(H275&lt;&gt;"",H275&lt;SG_Criteria!$B$39),"NOTE: min depth below PUB "&amp;SG_Criteria!$B$39&amp;" m. ","")&amp;IF(AND(LEFT(C275,8)="Standard",I275&gt;SG_Criteria!$B$42),"FAIL: PUB 001C covers manholes up to "&amp;SG_Criteria!$B$42&amp;" m deep only. ","")&amp;IF(AND(LEFT(C275,11)="Rectangular",J275&lt;SG_Criteria!$B$43),"NOTE: 004C is for sewers &gt;= "&amp;SG_Criteria!$B$43&amp;" dia. ","")&amp;IF(AND(LEFT(C275,7)="Precast",I275&lt;=SG_Criteria!$B$42),"NOTE: 006C is for manholes &gt; "&amp;SG_Criteria!$B$42&amp;" m deep. ","")&amp;IF(AND(J275&lt;&gt;"",J275&lt;SG_Criteria!$B$40,C275&lt;&gt;"Inspection Chamber"),"NOTE: public sewer min dia "&amp;SG_Criteria!$B$40&amp;" mm. ","")&amp;IF(AND(R275&lt;&gt;"",R275&lt;SG_Criteria!$B$44),"FAIL: uplift FOS below "&amp;SG_Criteria!$B$44&amp;". ","")))</f>
        <v/>
      </c>
      <c r="AT275" s="9"/>
      <c r="AU275" s="9"/>
      <c r="AV275" s="9"/>
      <c r="AW275" s="9"/>
      <c r="AX275" s="9"/>
      <c r="AY275" s="31"/>
      <c r="AZ275" s="10" t="str">
        <f aca="false">IF(C275="","",IF(AND(AB275="Approved",ISERROR(SEARCH("FAIL",AS275))),"Y","N"))</f>
        <v/>
      </c>
      <c r="BA275" s="10" t="str">
        <f aca="false">IF(C275="","",C275&amp;"|"&amp;I275&amp;"|"&amp;F275&amp;"|"&amp;AZ275)</f>
        <v/>
      </c>
    </row>
    <row r="276" customFormat="false" ht="15" hidden="false" customHeight="false" outlineLevel="0" collapsed="false">
      <c r="A276" s="10" t="str">
        <f aca="false">IF(C276="","","MH-"&amp;IFERROR(VLOOKUP(C276,Lists!$AB$4:$AC$20,2,0),"??")&amp;"-"&amp;TEXT(F276,"0000")&amp;IF(E276="Circular","D","x"&amp;TEXT(G276,"0000"))&amp;"-D"&amp;TEXT(I276*1000,"0000")&amp;"-"&amp;IFERROR(VLOOKUP(D276,Lists!$AE$4:$AF$16,2,0),"??")&amp;"-"&amp;AA276)</f>
        <v/>
      </c>
      <c r="B276" s="10" t="str">
        <f aca="false">IF(C276="","",C276&amp;", "&amp;D276&amp;", "&amp;IF(E276="Circular",F276&amp;" dia",F276&amp;" x "&amp;G276)&amp;", depth "&amp;TEXT(H276,"0.0")&amp;"-"&amp;TEXT(I276,"0.0")&amp;" m, pipe up to "&amp;J276&amp;" dia")</f>
        <v/>
      </c>
      <c r="C276" s="9"/>
      <c r="D276" s="9"/>
      <c r="E276" s="9"/>
      <c r="F276" s="40"/>
      <c r="G276" s="40"/>
      <c r="H276" s="43"/>
      <c r="I276" s="43"/>
      <c r="J276" s="40"/>
      <c r="K276" s="40"/>
      <c r="L276" s="40"/>
      <c r="M276" s="40"/>
      <c r="N276" s="9"/>
      <c r="O276" s="9"/>
      <c r="P276" s="9"/>
      <c r="Q276" s="9"/>
      <c r="R276" s="41"/>
      <c r="S276" s="9"/>
      <c r="T276" s="40"/>
      <c r="U276" s="9"/>
      <c r="V276" s="9"/>
      <c r="W276" s="9"/>
      <c r="X276" s="9"/>
      <c r="Y276" s="9"/>
      <c r="Z276" s="9"/>
      <c r="AA276" s="9"/>
      <c r="AB276" s="9"/>
      <c r="AC276" s="9"/>
      <c r="AD276" s="9"/>
      <c r="AE276" s="9"/>
      <c r="AF276" s="10" t="str">
        <f aca="false">IF(A276="","",SG_Criteria!$B$6&amp;SG_Criteria!$B$10&amp;"\"&amp;A276&amp;"\")</f>
        <v/>
      </c>
      <c r="AG276" s="10" t="str">
        <f aca="false">IF(A276="","",A276&amp;"_CAD.dwg")</f>
        <v/>
      </c>
      <c r="AH276" s="10" t="str">
        <f aca="false">IF(A276="","",A276&amp;"_DWG.pdf")</f>
        <v/>
      </c>
      <c r="AI276" s="10" t="str">
        <f aca="false">IF(A276="","",IF(AE276="Y",A276&amp;"_STAAD.std","n/a"))</f>
        <v/>
      </c>
      <c r="AJ276" s="10" t="str">
        <f aca="false">IF(A276="","",A276&amp;"_CALC.xlsx")</f>
        <v/>
      </c>
      <c r="AK276" s="10" t="str">
        <f aca="false">IF(A276="","",A276&amp;"_CALC.pdf")</f>
        <v/>
      </c>
      <c r="AL276" s="9"/>
      <c r="AM276" s="9"/>
      <c r="AN276" s="41"/>
      <c r="AO276" s="41"/>
      <c r="AP276" s="41"/>
      <c r="AQ276" s="41"/>
      <c r="AR276" s="41"/>
      <c r="AS276" s="38" t="str">
        <f aca="false">IF(C276="","",IF(LEN(IF(AND(S276&lt;&gt;"",IFERROR(VALUE(MID(S276,2,2)),0)&lt;SG_Criteria!$B$19),"FAIL: grade below C"&amp;SG_Criteria!$B$19&amp;". ","")&amp;IF(AND(T276&lt;&gt;"",T276&lt;SG_Criteria!$B$20),"FAIL: cover &lt; "&amp;SG_Criteria!$B$20&amp;" mm. ","")&amp;IF(AND(H276&lt;&gt;"",H276&lt;SG_Criteria!$B$39),"NOTE: min depth below PUB "&amp;SG_Criteria!$B$39&amp;" m. ","")&amp;IF(AND(LEFT(C276,8)="Standard",I276&gt;SG_Criteria!$B$42),"FAIL: PUB 001C covers manholes up to "&amp;SG_Criteria!$B$42&amp;" m deep only. ","")&amp;IF(AND(LEFT(C276,11)="Rectangular",J276&lt;SG_Criteria!$B$43),"NOTE: 004C is for sewers &gt;= "&amp;SG_Criteria!$B$43&amp;" dia. ","")&amp;IF(AND(LEFT(C276,7)="Precast",I276&lt;=SG_Criteria!$B$42),"NOTE: 006C is for manholes &gt; "&amp;SG_Criteria!$B$42&amp;" m deep. ","")&amp;IF(AND(J276&lt;&gt;"",J276&lt;SG_Criteria!$B$40,C276&lt;&gt;"Inspection Chamber"),"NOTE: public sewer min dia "&amp;SG_Criteria!$B$40&amp;" mm. ","")&amp;IF(AND(R276&lt;&gt;"",R276&lt;SG_Criteria!$B$44),"FAIL: uplift FOS below "&amp;SG_Criteria!$B$44&amp;". ",""))=0,"OK",IF(AND(S276&lt;&gt;"",IFERROR(VALUE(MID(S276,2,2)),0)&lt;SG_Criteria!$B$19),"FAIL: grade below C"&amp;SG_Criteria!$B$19&amp;". ","")&amp;IF(AND(T276&lt;&gt;"",T276&lt;SG_Criteria!$B$20),"FAIL: cover &lt; "&amp;SG_Criteria!$B$20&amp;" mm. ","")&amp;IF(AND(H276&lt;&gt;"",H276&lt;SG_Criteria!$B$39),"NOTE: min depth below PUB "&amp;SG_Criteria!$B$39&amp;" m. ","")&amp;IF(AND(LEFT(C276,8)="Standard",I276&gt;SG_Criteria!$B$42),"FAIL: PUB 001C covers manholes up to "&amp;SG_Criteria!$B$42&amp;" m deep only. ","")&amp;IF(AND(LEFT(C276,11)="Rectangular",J276&lt;SG_Criteria!$B$43),"NOTE: 004C is for sewers &gt;= "&amp;SG_Criteria!$B$43&amp;" dia. ","")&amp;IF(AND(LEFT(C276,7)="Precast",I276&lt;=SG_Criteria!$B$42),"NOTE: 006C is for manholes &gt; "&amp;SG_Criteria!$B$42&amp;" m deep. ","")&amp;IF(AND(J276&lt;&gt;"",J276&lt;SG_Criteria!$B$40,C276&lt;&gt;"Inspection Chamber"),"NOTE: public sewer min dia "&amp;SG_Criteria!$B$40&amp;" mm. ","")&amp;IF(AND(R276&lt;&gt;"",R276&lt;SG_Criteria!$B$44),"FAIL: uplift FOS below "&amp;SG_Criteria!$B$44&amp;". ","")))</f>
        <v/>
      </c>
      <c r="AT276" s="9"/>
      <c r="AU276" s="9"/>
      <c r="AV276" s="9"/>
      <c r="AW276" s="9"/>
      <c r="AX276" s="9"/>
      <c r="AY276" s="31"/>
      <c r="AZ276" s="10" t="str">
        <f aca="false">IF(C276="","",IF(AND(AB276="Approved",ISERROR(SEARCH("FAIL",AS276))),"Y","N"))</f>
        <v/>
      </c>
      <c r="BA276" s="10" t="str">
        <f aca="false">IF(C276="","",C276&amp;"|"&amp;I276&amp;"|"&amp;F276&amp;"|"&amp;AZ276)</f>
        <v/>
      </c>
    </row>
    <row r="277" customFormat="false" ht="15" hidden="false" customHeight="false" outlineLevel="0" collapsed="false">
      <c r="A277" s="10" t="str">
        <f aca="false">IF(C277="","","MH-"&amp;IFERROR(VLOOKUP(C277,Lists!$AB$4:$AC$20,2,0),"??")&amp;"-"&amp;TEXT(F277,"0000")&amp;IF(E277="Circular","D","x"&amp;TEXT(G277,"0000"))&amp;"-D"&amp;TEXT(I277*1000,"0000")&amp;"-"&amp;IFERROR(VLOOKUP(D277,Lists!$AE$4:$AF$16,2,0),"??")&amp;"-"&amp;AA277)</f>
        <v/>
      </c>
      <c r="B277" s="10" t="str">
        <f aca="false">IF(C277="","",C277&amp;", "&amp;D277&amp;", "&amp;IF(E277="Circular",F277&amp;" dia",F277&amp;" x "&amp;G277)&amp;", depth "&amp;TEXT(H277,"0.0")&amp;"-"&amp;TEXT(I277,"0.0")&amp;" m, pipe up to "&amp;J277&amp;" dia")</f>
        <v/>
      </c>
      <c r="C277" s="9"/>
      <c r="D277" s="9"/>
      <c r="E277" s="9"/>
      <c r="F277" s="40"/>
      <c r="G277" s="40"/>
      <c r="H277" s="43"/>
      <c r="I277" s="43"/>
      <c r="J277" s="40"/>
      <c r="K277" s="40"/>
      <c r="L277" s="40"/>
      <c r="M277" s="40"/>
      <c r="N277" s="9"/>
      <c r="O277" s="9"/>
      <c r="P277" s="9"/>
      <c r="Q277" s="9"/>
      <c r="R277" s="41"/>
      <c r="S277" s="9"/>
      <c r="T277" s="40"/>
      <c r="U277" s="9"/>
      <c r="V277" s="9"/>
      <c r="W277" s="9"/>
      <c r="X277" s="9"/>
      <c r="Y277" s="9"/>
      <c r="Z277" s="9"/>
      <c r="AA277" s="9"/>
      <c r="AB277" s="9"/>
      <c r="AC277" s="9"/>
      <c r="AD277" s="9"/>
      <c r="AE277" s="9"/>
      <c r="AF277" s="10" t="str">
        <f aca="false">IF(A277="","",SG_Criteria!$B$6&amp;SG_Criteria!$B$10&amp;"\"&amp;A277&amp;"\")</f>
        <v/>
      </c>
      <c r="AG277" s="10" t="str">
        <f aca="false">IF(A277="","",A277&amp;"_CAD.dwg")</f>
        <v/>
      </c>
      <c r="AH277" s="10" t="str">
        <f aca="false">IF(A277="","",A277&amp;"_DWG.pdf")</f>
        <v/>
      </c>
      <c r="AI277" s="10" t="str">
        <f aca="false">IF(A277="","",IF(AE277="Y",A277&amp;"_STAAD.std","n/a"))</f>
        <v/>
      </c>
      <c r="AJ277" s="10" t="str">
        <f aca="false">IF(A277="","",A277&amp;"_CALC.xlsx")</f>
        <v/>
      </c>
      <c r="AK277" s="10" t="str">
        <f aca="false">IF(A277="","",A277&amp;"_CALC.pdf")</f>
        <v/>
      </c>
      <c r="AL277" s="9"/>
      <c r="AM277" s="9"/>
      <c r="AN277" s="41"/>
      <c r="AO277" s="41"/>
      <c r="AP277" s="41"/>
      <c r="AQ277" s="41"/>
      <c r="AR277" s="41"/>
      <c r="AS277" s="38" t="str">
        <f aca="false">IF(C277="","",IF(LEN(IF(AND(S277&lt;&gt;"",IFERROR(VALUE(MID(S277,2,2)),0)&lt;SG_Criteria!$B$19),"FAIL: grade below C"&amp;SG_Criteria!$B$19&amp;". ","")&amp;IF(AND(T277&lt;&gt;"",T277&lt;SG_Criteria!$B$20),"FAIL: cover &lt; "&amp;SG_Criteria!$B$20&amp;" mm. ","")&amp;IF(AND(H277&lt;&gt;"",H277&lt;SG_Criteria!$B$39),"NOTE: min depth below PUB "&amp;SG_Criteria!$B$39&amp;" m. ","")&amp;IF(AND(LEFT(C277,8)="Standard",I277&gt;SG_Criteria!$B$42),"FAIL: PUB 001C covers manholes up to "&amp;SG_Criteria!$B$42&amp;" m deep only. ","")&amp;IF(AND(LEFT(C277,11)="Rectangular",J277&lt;SG_Criteria!$B$43),"NOTE: 004C is for sewers &gt;= "&amp;SG_Criteria!$B$43&amp;" dia. ","")&amp;IF(AND(LEFT(C277,7)="Precast",I277&lt;=SG_Criteria!$B$42),"NOTE: 006C is for manholes &gt; "&amp;SG_Criteria!$B$42&amp;" m deep. ","")&amp;IF(AND(J277&lt;&gt;"",J277&lt;SG_Criteria!$B$40,C277&lt;&gt;"Inspection Chamber"),"NOTE: public sewer min dia "&amp;SG_Criteria!$B$40&amp;" mm. ","")&amp;IF(AND(R277&lt;&gt;"",R277&lt;SG_Criteria!$B$44),"FAIL: uplift FOS below "&amp;SG_Criteria!$B$44&amp;". ",""))=0,"OK",IF(AND(S277&lt;&gt;"",IFERROR(VALUE(MID(S277,2,2)),0)&lt;SG_Criteria!$B$19),"FAIL: grade below C"&amp;SG_Criteria!$B$19&amp;". ","")&amp;IF(AND(T277&lt;&gt;"",T277&lt;SG_Criteria!$B$20),"FAIL: cover &lt; "&amp;SG_Criteria!$B$20&amp;" mm. ","")&amp;IF(AND(H277&lt;&gt;"",H277&lt;SG_Criteria!$B$39),"NOTE: min depth below PUB "&amp;SG_Criteria!$B$39&amp;" m. ","")&amp;IF(AND(LEFT(C277,8)="Standard",I277&gt;SG_Criteria!$B$42),"FAIL: PUB 001C covers manholes up to "&amp;SG_Criteria!$B$42&amp;" m deep only. ","")&amp;IF(AND(LEFT(C277,11)="Rectangular",J277&lt;SG_Criteria!$B$43),"NOTE: 004C is for sewers &gt;= "&amp;SG_Criteria!$B$43&amp;" dia. ","")&amp;IF(AND(LEFT(C277,7)="Precast",I277&lt;=SG_Criteria!$B$42),"NOTE: 006C is for manholes &gt; "&amp;SG_Criteria!$B$42&amp;" m deep. ","")&amp;IF(AND(J277&lt;&gt;"",J277&lt;SG_Criteria!$B$40,C277&lt;&gt;"Inspection Chamber"),"NOTE: public sewer min dia "&amp;SG_Criteria!$B$40&amp;" mm. ","")&amp;IF(AND(R277&lt;&gt;"",R277&lt;SG_Criteria!$B$44),"FAIL: uplift FOS below "&amp;SG_Criteria!$B$44&amp;". ","")))</f>
        <v/>
      </c>
      <c r="AT277" s="9"/>
      <c r="AU277" s="9"/>
      <c r="AV277" s="9"/>
      <c r="AW277" s="9"/>
      <c r="AX277" s="9"/>
      <c r="AY277" s="31"/>
      <c r="AZ277" s="10" t="str">
        <f aca="false">IF(C277="","",IF(AND(AB277="Approved",ISERROR(SEARCH("FAIL",AS277))),"Y","N"))</f>
        <v/>
      </c>
      <c r="BA277" s="10" t="str">
        <f aca="false">IF(C277="","",C277&amp;"|"&amp;I277&amp;"|"&amp;F277&amp;"|"&amp;AZ277)</f>
        <v/>
      </c>
    </row>
    <row r="278" customFormat="false" ht="15" hidden="false" customHeight="false" outlineLevel="0" collapsed="false">
      <c r="A278" s="10" t="str">
        <f aca="false">IF(C278="","","MH-"&amp;IFERROR(VLOOKUP(C278,Lists!$AB$4:$AC$20,2,0),"??")&amp;"-"&amp;TEXT(F278,"0000")&amp;IF(E278="Circular","D","x"&amp;TEXT(G278,"0000"))&amp;"-D"&amp;TEXT(I278*1000,"0000")&amp;"-"&amp;IFERROR(VLOOKUP(D278,Lists!$AE$4:$AF$16,2,0),"??")&amp;"-"&amp;AA278)</f>
        <v/>
      </c>
      <c r="B278" s="10" t="str">
        <f aca="false">IF(C278="","",C278&amp;", "&amp;D278&amp;", "&amp;IF(E278="Circular",F278&amp;" dia",F278&amp;" x "&amp;G278)&amp;", depth "&amp;TEXT(H278,"0.0")&amp;"-"&amp;TEXT(I278,"0.0")&amp;" m, pipe up to "&amp;J278&amp;" dia")</f>
        <v/>
      </c>
      <c r="C278" s="9"/>
      <c r="D278" s="9"/>
      <c r="E278" s="9"/>
      <c r="F278" s="40"/>
      <c r="G278" s="40"/>
      <c r="H278" s="43"/>
      <c r="I278" s="43"/>
      <c r="J278" s="40"/>
      <c r="K278" s="40"/>
      <c r="L278" s="40"/>
      <c r="M278" s="40"/>
      <c r="N278" s="9"/>
      <c r="O278" s="9"/>
      <c r="P278" s="9"/>
      <c r="Q278" s="9"/>
      <c r="R278" s="41"/>
      <c r="S278" s="9"/>
      <c r="T278" s="40"/>
      <c r="U278" s="9"/>
      <c r="V278" s="9"/>
      <c r="W278" s="9"/>
      <c r="X278" s="9"/>
      <c r="Y278" s="9"/>
      <c r="Z278" s="9"/>
      <c r="AA278" s="9"/>
      <c r="AB278" s="9"/>
      <c r="AC278" s="9"/>
      <c r="AD278" s="9"/>
      <c r="AE278" s="9"/>
      <c r="AF278" s="10" t="str">
        <f aca="false">IF(A278="","",SG_Criteria!$B$6&amp;SG_Criteria!$B$10&amp;"\"&amp;A278&amp;"\")</f>
        <v/>
      </c>
      <c r="AG278" s="10" t="str">
        <f aca="false">IF(A278="","",A278&amp;"_CAD.dwg")</f>
        <v/>
      </c>
      <c r="AH278" s="10" t="str">
        <f aca="false">IF(A278="","",A278&amp;"_DWG.pdf")</f>
        <v/>
      </c>
      <c r="AI278" s="10" t="str">
        <f aca="false">IF(A278="","",IF(AE278="Y",A278&amp;"_STAAD.std","n/a"))</f>
        <v/>
      </c>
      <c r="AJ278" s="10" t="str">
        <f aca="false">IF(A278="","",A278&amp;"_CALC.xlsx")</f>
        <v/>
      </c>
      <c r="AK278" s="10" t="str">
        <f aca="false">IF(A278="","",A278&amp;"_CALC.pdf")</f>
        <v/>
      </c>
      <c r="AL278" s="9"/>
      <c r="AM278" s="9"/>
      <c r="AN278" s="41"/>
      <c r="AO278" s="41"/>
      <c r="AP278" s="41"/>
      <c r="AQ278" s="41"/>
      <c r="AR278" s="41"/>
      <c r="AS278" s="38" t="str">
        <f aca="false">IF(C278="","",IF(LEN(IF(AND(S278&lt;&gt;"",IFERROR(VALUE(MID(S278,2,2)),0)&lt;SG_Criteria!$B$19),"FAIL: grade below C"&amp;SG_Criteria!$B$19&amp;". ","")&amp;IF(AND(T278&lt;&gt;"",T278&lt;SG_Criteria!$B$20),"FAIL: cover &lt; "&amp;SG_Criteria!$B$20&amp;" mm. ","")&amp;IF(AND(H278&lt;&gt;"",H278&lt;SG_Criteria!$B$39),"NOTE: min depth below PUB "&amp;SG_Criteria!$B$39&amp;" m. ","")&amp;IF(AND(LEFT(C278,8)="Standard",I278&gt;SG_Criteria!$B$42),"FAIL: PUB 001C covers manholes up to "&amp;SG_Criteria!$B$42&amp;" m deep only. ","")&amp;IF(AND(LEFT(C278,11)="Rectangular",J278&lt;SG_Criteria!$B$43),"NOTE: 004C is for sewers &gt;= "&amp;SG_Criteria!$B$43&amp;" dia. ","")&amp;IF(AND(LEFT(C278,7)="Precast",I278&lt;=SG_Criteria!$B$42),"NOTE: 006C is for manholes &gt; "&amp;SG_Criteria!$B$42&amp;" m deep. ","")&amp;IF(AND(J278&lt;&gt;"",J278&lt;SG_Criteria!$B$40,C278&lt;&gt;"Inspection Chamber"),"NOTE: public sewer min dia "&amp;SG_Criteria!$B$40&amp;" mm. ","")&amp;IF(AND(R278&lt;&gt;"",R278&lt;SG_Criteria!$B$44),"FAIL: uplift FOS below "&amp;SG_Criteria!$B$44&amp;". ",""))=0,"OK",IF(AND(S278&lt;&gt;"",IFERROR(VALUE(MID(S278,2,2)),0)&lt;SG_Criteria!$B$19),"FAIL: grade below C"&amp;SG_Criteria!$B$19&amp;". ","")&amp;IF(AND(T278&lt;&gt;"",T278&lt;SG_Criteria!$B$20),"FAIL: cover &lt; "&amp;SG_Criteria!$B$20&amp;" mm. ","")&amp;IF(AND(H278&lt;&gt;"",H278&lt;SG_Criteria!$B$39),"NOTE: min depth below PUB "&amp;SG_Criteria!$B$39&amp;" m. ","")&amp;IF(AND(LEFT(C278,8)="Standard",I278&gt;SG_Criteria!$B$42),"FAIL: PUB 001C covers manholes up to "&amp;SG_Criteria!$B$42&amp;" m deep only. ","")&amp;IF(AND(LEFT(C278,11)="Rectangular",J278&lt;SG_Criteria!$B$43),"NOTE: 004C is for sewers &gt;= "&amp;SG_Criteria!$B$43&amp;" dia. ","")&amp;IF(AND(LEFT(C278,7)="Precast",I278&lt;=SG_Criteria!$B$42),"NOTE: 006C is for manholes &gt; "&amp;SG_Criteria!$B$42&amp;" m deep. ","")&amp;IF(AND(J278&lt;&gt;"",J278&lt;SG_Criteria!$B$40,C278&lt;&gt;"Inspection Chamber"),"NOTE: public sewer min dia "&amp;SG_Criteria!$B$40&amp;" mm. ","")&amp;IF(AND(R278&lt;&gt;"",R278&lt;SG_Criteria!$B$44),"FAIL: uplift FOS below "&amp;SG_Criteria!$B$44&amp;". ","")))</f>
        <v/>
      </c>
      <c r="AT278" s="9"/>
      <c r="AU278" s="9"/>
      <c r="AV278" s="9"/>
      <c r="AW278" s="9"/>
      <c r="AX278" s="9"/>
      <c r="AY278" s="31"/>
      <c r="AZ278" s="10" t="str">
        <f aca="false">IF(C278="","",IF(AND(AB278="Approved",ISERROR(SEARCH("FAIL",AS278))),"Y","N"))</f>
        <v/>
      </c>
      <c r="BA278" s="10" t="str">
        <f aca="false">IF(C278="","",C278&amp;"|"&amp;I278&amp;"|"&amp;F278&amp;"|"&amp;AZ278)</f>
        <v/>
      </c>
    </row>
    <row r="279" customFormat="false" ht="15" hidden="false" customHeight="false" outlineLevel="0" collapsed="false">
      <c r="A279" s="10" t="str">
        <f aca="false">IF(C279="","","MH-"&amp;IFERROR(VLOOKUP(C279,Lists!$AB$4:$AC$20,2,0),"??")&amp;"-"&amp;TEXT(F279,"0000")&amp;IF(E279="Circular","D","x"&amp;TEXT(G279,"0000"))&amp;"-D"&amp;TEXT(I279*1000,"0000")&amp;"-"&amp;IFERROR(VLOOKUP(D279,Lists!$AE$4:$AF$16,2,0),"??")&amp;"-"&amp;AA279)</f>
        <v/>
      </c>
      <c r="B279" s="10" t="str">
        <f aca="false">IF(C279="","",C279&amp;", "&amp;D279&amp;", "&amp;IF(E279="Circular",F279&amp;" dia",F279&amp;" x "&amp;G279)&amp;", depth "&amp;TEXT(H279,"0.0")&amp;"-"&amp;TEXT(I279,"0.0")&amp;" m, pipe up to "&amp;J279&amp;" dia")</f>
        <v/>
      </c>
      <c r="C279" s="9"/>
      <c r="D279" s="9"/>
      <c r="E279" s="9"/>
      <c r="F279" s="40"/>
      <c r="G279" s="40"/>
      <c r="H279" s="43"/>
      <c r="I279" s="43"/>
      <c r="J279" s="40"/>
      <c r="K279" s="40"/>
      <c r="L279" s="40"/>
      <c r="M279" s="40"/>
      <c r="N279" s="9"/>
      <c r="O279" s="9"/>
      <c r="P279" s="9"/>
      <c r="Q279" s="9"/>
      <c r="R279" s="41"/>
      <c r="S279" s="9"/>
      <c r="T279" s="40"/>
      <c r="U279" s="9"/>
      <c r="V279" s="9"/>
      <c r="W279" s="9"/>
      <c r="X279" s="9"/>
      <c r="Y279" s="9"/>
      <c r="Z279" s="9"/>
      <c r="AA279" s="9"/>
      <c r="AB279" s="9"/>
      <c r="AC279" s="9"/>
      <c r="AD279" s="9"/>
      <c r="AE279" s="9"/>
      <c r="AF279" s="10" t="str">
        <f aca="false">IF(A279="","",SG_Criteria!$B$6&amp;SG_Criteria!$B$10&amp;"\"&amp;A279&amp;"\")</f>
        <v/>
      </c>
      <c r="AG279" s="10" t="str">
        <f aca="false">IF(A279="","",A279&amp;"_CAD.dwg")</f>
        <v/>
      </c>
      <c r="AH279" s="10" t="str">
        <f aca="false">IF(A279="","",A279&amp;"_DWG.pdf")</f>
        <v/>
      </c>
      <c r="AI279" s="10" t="str">
        <f aca="false">IF(A279="","",IF(AE279="Y",A279&amp;"_STAAD.std","n/a"))</f>
        <v/>
      </c>
      <c r="AJ279" s="10" t="str">
        <f aca="false">IF(A279="","",A279&amp;"_CALC.xlsx")</f>
        <v/>
      </c>
      <c r="AK279" s="10" t="str">
        <f aca="false">IF(A279="","",A279&amp;"_CALC.pdf")</f>
        <v/>
      </c>
      <c r="AL279" s="9"/>
      <c r="AM279" s="9"/>
      <c r="AN279" s="41"/>
      <c r="AO279" s="41"/>
      <c r="AP279" s="41"/>
      <c r="AQ279" s="41"/>
      <c r="AR279" s="41"/>
      <c r="AS279" s="38" t="str">
        <f aca="false">IF(C279="","",IF(LEN(IF(AND(S279&lt;&gt;"",IFERROR(VALUE(MID(S279,2,2)),0)&lt;SG_Criteria!$B$19),"FAIL: grade below C"&amp;SG_Criteria!$B$19&amp;". ","")&amp;IF(AND(T279&lt;&gt;"",T279&lt;SG_Criteria!$B$20),"FAIL: cover &lt; "&amp;SG_Criteria!$B$20&amp;" mm. ","")&amp;IF(AND(H279&lt;&gt;"",H279&lt;SG_Criteria!$B$39),"NOTE: min depth below PUB "&amp;SG_Criteria!$B$39&amp;" m. ","")&amp;IF(AND(LEFT(C279,8)="Standard",I279&gt;SG_Criteria!$B$42),"FAIL: PUB 001C covers manholes up to "&amp;SG_Criteria!$B$42&amp;" m deep only. ","")&amp;IF(AND(LEFT(C279,11)="Rectangular",J279&lt;SG_Criteria!$B$43),"NOTE: 004C is for sewers &gt;= "&amp;SG_Criteria!$B$43&amp;" dia. ","")&amp;IF(AND(LEFT(C279,7)="Precast",I279&lt;=SG_Criteria!$B$42),"NOTE: 006C is for manholes &gt; "&amp;SG_Criteria!$B$42&amp;" m deep. ","")&amp;IF(AND(J279&lt;&gt;"",J279&lt;SG_Criteria!$B$40,C279&lt;&gt;"Inspection Chamber"),"NOTE: public sewer min dia "&amp;SG_Criteria!$B$40&amp;" mm. ","")&amp;IF(AND(R279&lt;&gt;"",R279&lt;SG_Criteria!$B$44),"FAIL: uplift FOS below "&amp;SG_Criteria!$B$44&amp;". ",""))=0,"OK",IF(AND(S279&lt;&gt;"",IFERROR(VALUE(MID(S279,2,2)),0)&lt;SG_Criteria!$B$19),"FAIL: grade below C"&amp;SG_Criteria!$B$19&amp;". ","")&amp;IF(AND(T279&lt;&gt;"",T279&lt;SG_Criteria!$B$20),"FAIL: cover &lt; "&amp;SG_Criteria!$B$20&amp;" mm. ","")&amp;IF(AND(H279&lt;&gt;"",H279&lt;SG_Criteria!$B$39),"NOTE: min depth below PUB "&amp;SG_Criteria!$B$39&amp;" m. ","")&amp;IF(AND(LEFT(C279,8)="Standard",I279&gt;SG_Criteria!$B$42),"FAIL: PUB 001C covers manholes up to "&amp;SG_Criteria!$B$42&amp;" m deep only. ","")&amp;IF(AND(LEFT(C279,11)="Rectangular",J279&lt;SG_Criteria!$B$43),"NOTE: 004C is for sewers &gt;= "&amp;SG_Criteria!$B$43&amp;" dia. ","")&amp;IF(AND(LEFT(C279,7)="Precast",I279&lt;=SG_Criteria!$B$42),"NOTE: 006C is for manholes &gt; "&amp;SG_Criteria!$B$42&amp;" m deep. ","")&amp;IF(AND(J279&lt;&gt;"",J279&lt;SG_Criteria!$B$40,C279&lt;&gt;"Inspection Chamber"),"NOTE: public sewer min dia "&amp;SG_Criteria!$B$40&amp;" mm. ","")&amp;IF(AND(R279&lt;&gt;"",R279&lt;SG_Criteria!$B$44),"FAIL: uplift FOS below "&amp;SG_Criteria!$B$44&amp;". ","")))</f>
        <v/>
      </c>
      <c r="AT279" s="9"/>
      <c r="AU279" s="9"/>
      <c r="AV279" s="9"/>
      <c r="AW279" s="9"/>
      <c r="AX279" s="9"/>
      <c r="AY279" s="31"/>
      <c r="AZ279" s="10" t="str">
        <f aca="false">IF(C279="","",IF(AND(AB279="Approved",ISERROR(SEARCH("FAIL",AS279))),"Y","N"))</f>
        <v/>
      </c>
      <c r="BA279" s="10" t="str">
        <f aca="false">IF(C279="","",C279&amp;"|"&amp;I279&amp;"|"&amp;F279&amp;"|"&amp;AZ279)</f>
        <v/>
      </c>
    </row>
    <row r="280" customFormat="false" ht="15" hidden="false" customHeight="false" outlineLevel="0" collapsed="false">
      <c r="A280" s="10" t="str">
        <f aca="false">IF(C280="","","MH-"&amp;IFERROR(VLOOKUP(C280,Lists!$AB$4:$AC$20,2,0),"??")&amp;"-"&amp;TEXT(F280,"0000")&amp;IF(E280="Circular","D","x"&amp;TEXT(G280,"0000"))&amp;"-D"&amp;TEXT(I280*1000,"0000")&amp;"-"&amp;IFERROR(VLOOKUP(D280,Lists!$AE$4:$AF$16,2,0),"??")&amp;"-"&amp;AA280)</f>
        <v/>
      </c>
      <c r="B280" s="10" t="str">
        <f aca="false">IF(C280="","",C280&amp;", "&amp;D280&amp;", "&amp;IF(E280="Circular",F280&amp;" dia",F280&amp;" x "&amp;G280)&amp;", depth "&amp;TEXT(H280,"0.0")&amp;"-"&amp;TEXT(I280,"0.0")&amp;" m, pipe up to "&amp;J280&amp;" dia")</f>
        <v/>
      </c>
      <c r="C280" s="9"/>
      <c r="D280" s="9"/>
      <c r="E280" s="9"/>
      <c r="F280" s="40"/>
      <c r="G280" s="40"/>
      <c r="H280" s="43"/>
      <c r="I280" s="43"/>
      <c r="J280" s="40"/>
      <c r="K280" s="40"/>
      <c r="L280" s="40"/>
      <c r="M280" s="40"/>
      <c r="N280" s="9"/>
      <c r="O280" s="9"/>
      <c r="P280" s="9"/>
      <c r="Q280" s="9"/>
      <c r="R280" s="41"/>
      <c r="S280" s="9"/>
      <c r="T280" s="40"/>
      <c r="U280" s="9"/>
      <c r="V280" s="9"/>
      <c r="W280" s="9"/>
      <c r="X280" s="9"/>
      <c r="Y280" s="9"/>
      <c r="Z280" s="9"/>
      <c r="AA280" s="9"/>
      <c r="AB280" s="9"/>
      <c r="AC280" s="9"/>
      <c r="AD280" s="9"/>
      <c r="AE280" s="9"/>
      <c r="AF280" s="10" t="str">
        <f aca="false">IF(A280="","",SG_Criteria!$B$6&amp;SG_Criteria!$B$10&amp;"\"&amp;A280&amp;"\")</f>
        <v/>
      </c>
      <c r="AG280" s="10" t="str">
        <f aca="false">IF(A280="","",A280&amp;"_CAD.dwg")</f>
        <v/>
      </c>
      <c r="AH280" s="10" t="str">
        <f aca="false">IF(A280="","",A280&amp;"_DWG.pdf")</f>
        <v/>
      </c>
      <c r="AI280" s="10" t="str">
        <f aca="false">IF(A280="","",IF(AE280="Y",A280&amp;"_STAAD.std","n/a"))</f>
        <v/>
      </c>
      <c r="AJ280" s="10" t="str">
        <f aca="false">IF(A280="","",A280&amp;"_CALC.xlsx")</f>
        <v/>
      </c>
      <c r="AK280" s="10" t="str">
        <f aca="false">IF(A280="","",A280&amp;"_CALC.pdf")</f>
        <v/>
      </c>
      <c r="AL280" s="9"/>
      <c r="AM280" s="9"/>
      <c r="AN280" s="41"/>
      <c r="AO280" s="41"/>
      <c r="AP280" s="41"/>
      <c r="AQ280" s="41"/>
      <c r="AR280" s="41"/>
      <c r="AS280" s="38" t="str">
        <f aca="false">IF(C280="","",IF(LEN(IF(AND(S280&lt;&gt;"",IFERROR(VALUE(MID(S280,2,2)),0)&lt;SG_Criteria!$B$19),"FAIL: grade below C"&amp;SG_Criteria!$B$19&amp;". ","")&amp;IF(AND(T280&lt;&gt;"",T280&lt;SG_Criteria!$B$20),"FAIL: cover &lt; "&amp;SG_Criteria!$B$20&amp;" mm. ","")&amp;IF(AND(H280&lt;&gt;"",H280&lt;SG_Criteria!$B$39),"NOTE: min depth below PUB "&amp;SG_Criteria!$B$39&amp;" m. ","")&amp;IF(AND(LEFT(C280,8)="Standard",I280&gt;SG_Criteria!$B$42),"FAIL: PUB 001C covers manholes up to "&amp;SG_Criteria!$B$42&amp;" m deep only. ","")&amp;IF(AND(LEFT(C280,11)="Rectangular",J280&lt;SG_Criteria!$B$43),"NOTE: 004C is for sewers &gt;= "&amp;SG_Criteria!$B$43&amp;" dia. ","")&amp;IF(AND(LEFT(C280,7)="Precast",I280&lt;=SG_Criteria!$B$42),"NOTE: 006C is for manholes &gt; "&amp;SG_Criteria!$B$42&amp;" m deep. ","")&amp;IF(AND(J280&lt;&gt;"",J280&lt;SG_Criteria!$B$40,C280&lt;&gt;"Inspection Chamber"),"NOTE: public sewer min dia "&amp;SG_Criteria!$B$40&amp;" mm. ","")&amp;IF(AND(R280&lt;&gt;"",R280&lt;SG_Criteria!$B$44),"FAIL: uplift FOS below "&amp;SG_Criteria!$B$44&amp;". ",""))=0,"OK",IF(AND(S280&lt;&gt;"",IFERROR(VALUE(MID(S280,2,2)),0)&lt;SG_Criteria!$B$19),"FAIL: grade below C"&amp;SG_Criteria!$B$19&amp;". ","")&amp;IF(AND(T280&lt;&gt;"",T280&lt;SG_Criteria!$B$20),"FAIL: cover &lt; "&amp;SG_Criteria!$B$20&amp;" mm. ","")&amp;IF(AND(H280&lt;&gt;"",H280&lt;SG_Criteria!$B$39),"NOTE: min depth below PUB "&amp;SG_Criteria!$B$39&amp;" m. ","")&amp;IF(AND(LEFT(C280,8)="Standard",I280&gt;SG_Criteria!$B$42),"FAIL: PUB 001C covers manholes up to "&amp;SG_Criteria!$B$42&amp;" m deep only. ","")&amp;IF(AND(LEFT(C280,11)="Rectangular",J280&lt;SG_Criteria!$B$43),"NOTE: 004C is for sewers &gt;= "&amp;SG_Criteria!$B$43&amp;" dia. ","")&amp;IF(AND(LEFT(C280,7)="Precast",I280&lt;=SG_Criteria!$B$42),"NOTE: 006C is for manholes &gt; "&amp;SG_Criteria!$B$42&amp;" m deep. ","")&amp;IF(AND(J280&lt;&gt;"",J280&lt;SG_Criteria!$B$40,C280&lt;&gt;"Inspection Chamber"),"NOTE: public sewer min dia "&amp;SG_Criteria!$B$40&amp;" mm. ","")&amp;IF(AND(R280&lt;&gt;"",R280&lt;SG_Criteria!$B$44),"FAIL: uplift FOS below "&amp;SG_Criteria!$B$44&amp;". ","")))</f>
        <v/>
      </c>
      <c r="AT280" s="9"/>
      <c r="AU280" s="9"/>
      <c r="AV280" s="9"/>
      <c r="AW280" s="9"/>
      <c r="AX280" s="9"/>
      <c r="AY280" s="31"/>
      <c r="AZ280" s="10" t="str">
        <f aca="false">IF(C280="","",IF(AND(AB280="Approved",ISERROR(SEARCH("FAIL",AS280))),"Y","N"))</f>
        <v/>
      </c>
      <c r="BA280" s="10" t="str">
        <f aca="false">IF(C280="","",C280&amp;"|"&amp;I280&amp;"|"&amp;F280&amp;"|"&amp;AZ280)</f>
        <v/>
      </c>
    </row>
    <row r="281" customFormat="false" ht="15" hidden="false" customHeight="false" outlineLevel="0" collapsed="false">
      <c r="A281" s="10" t="str">
        <f aca="false">IF(C281="","","MH-"&amp;IFERROR(VLOOKUP(C281,Lists!$AB$4:$AC$20,2,0),"??")&amp;"-"&amp;TEXT(F281,"0000")&amp;IF(E281="Circular","D","x"&amp;TEXT(G281,"0000"))&amp;"-D"&amp;TEXT(I281*1000,"0000")&amp;"-"&amp;IFERROR(VLOOKUP(D281,Lists!$AE$4:$AF$16,2,0),"??")&amp;"-"&amp;AA281)</f>
        <v/>
      </c>
      <c r="B281" s="10" t="str">
        <f aca="false">IF(C281="","",C281&amp;", "&amp;D281&amp;", "&amp;IF(E281="Circular",F281&amp;" dia",F281&amp;" x "&amp;G281)&amp;", depth "&amp;TEXT(H281,"0.0")&amp;"-"&amp;TEXT(I281,"0.0")&amp;" m, pipe up to "&amp;J281&amp;" dia")</f>
        <v/>
      </c>
      <c r="C281" s="9"/>
      <c r="D281" s="9"/>
      <c r="E281" s="9"/>
      <c r="F281" s="40"/>
      <c r="G281" s="40"/>
      <c r="H281" s="43"/>
      <c r="I281" s="43"/>
      <c r="J281" s="40"/>
      <c r="K281" s="40"/>
      <c r="L281" s="40"/>
      <c r="M281" s="40"/>
      <c r="N281" s="9"/>
      <c r="O281" s="9"/>
      <c r="P281" s="9"/>
      <c r="Q281" s="9"/>
      <c r="R281" s="41"/>
      <c r="S281" s="9"/>
      <c r="T281" s="40"/>
      <c r="U281" s="9"/>
      <c r="V281" s="9"/>
      <c r="W281" s="9"/>
      <c r="X281" s="9"/>
      <c r="Y281" s="9"/>
      <c r="Z281" s="9"/>
      <c r="AA281" s="9"/>
      <c r="AB281" s="9"/>
      <c r="AC281" s="9"/>
      <c r="AD281" s="9"/>
      <c r="AE281" s="9"/>
      <c r="AF281" s="10" t="str">
        <f aca="false">IF(A281="","",SG_Criteria!$B$6&amp;SG_Criteria!$B$10&amp;"\"&amp;A281&amp;"\")</f>
        <v/>
      </c>
      <c r="AG281" s="10" t="str">
        <f aca="false">IF(A281="","",A281&amp;"_CAD.dwg")</f>
        <v/>
      </c>
      <c r="AH281" s="10" t="str">
        <f aca="false">IF(A281="","",A281&amp;"_DWG.pdf")</f>
        <v/>
      </c>
      <c r="AI281" s="10" t="str">
        <f aca="false">IF(A281="","",IF(AE281="Y",A281&amp;"_STAAD.std","n/a"))</f>
        <v/>
      </c>
      <c r="AJ281" s="10" t="str">
        <f aca="false">IF(A281="","",A281&amp;"_CALC.xlsx")</f>
        <v/>
      </c>
      <c r="AK281" s="10" t="str">
        <f aca="false">IF(A281="","",A281&amp;"_CALC.pdf")</f>
        <v/>
      </c>
      <c r="AL281" s="9"/>
      <c r="AM281" s="9"/>
      <c r="AN281" s="41"/>
      <c r="AO281" s="41"/>
      <c r="AP281" s="41"/>
      <c r="AQ281" s="41"/>
      <c r="AR281" s="41"/>
      <c r="AS281" s="38" t="str">
        <f aca="false">IF(C281="","",IF(LEN(IF(AND(S281&lt;&gt;"",IFERROR(VALUE(MID(S281,2,2)),0)&lt;SG_Criteria!$B$19),"FAIL: grade below C"&amp;SG_Criteria!$B$19&amp;". ","")&amp;IF(AND(T281&lt;&gt;"",T281&lt;SG_Criteria!$B$20),"FAIL: cover &lt; "&amp;SG_Criteria!$B$20&amp;" mm. ","")&amp;IF(AND(H281&lt;&gt;"",H281&lt;SG_Criteria!$B$39),"NOTE: min depth below PUB "&amp;SG_Criteria!$B$39&amp;" m. ","")&amp;IF(AND(LEFT(C281,8)="Standard",I281&gt;SG_Criteria!$B$42),"FAIL: PUB 001C covers manholes up to "&amp;SG_Criteria!$B$42&amp;" m deep only. ","")&amp;IF(AND(LEFT(C281,11)="Rectangular",J281&lt;SG_Criteria!$B$43),"NOTE: 004C is for sewers &gt;= "&amp;SG_Criteria!$B$43&amp;" dia. ","")&amp;IF(AND(LEFT(C281,7)="Precast",I281&lt;=SG_Criteria!$B$42),"NOTE: 006C is for manholes &gt; "&amp;SG_Criteria!$B$42&amp;" m deep. ","")&amp;IF(AND(J281&lt;&gt;"",J281&lt;SG_Criteria!$B$40,C281&lt;&gt;"Inspection Chamber"),"NOTE: public sewer min dia "&amp;SG_Criteria!$B$40&amp;" mm. ","")&amp;IF(AND(R281&lt;&gt;"",R281&lt;SG_Criteria!$B$44),"FAIL: uplift FOS below "&amp;SG_Criteria!$B$44&amp;". ",""))=0,"OK",IF(AND(S281&lt;&gt;"",IFERROR(VALUE(MID(S281,2,2)),0)&lt;SG_Criteria!$B$19),"FAIL: grade below C"&amp;SG_Criteria!$B$19&amp;". ","")&amp;IF(AND(T281&lt;&gt;"",T281&lt;SG_Criteria!$B$20),"FAIL: cover &lt; "&amp;SG_Criteria!$B$20&amp;" mm. ","")&amp;IF(AND(H281&lt;&gt;"",H281&lt;SG_Criteria!$B$39),"NOTE: min depth below PUB "&amp;SG_Criteria!$B$39&amp;" m. ","")&amp;IF(AND(LEFT(C281,8)="Standard",I281&gt;SG_Criteria!$B$42),"FAIL: PUB 001C covers manholes up to "&amp;SG_Criteria!$B$42&amp;" m deep only. ","")&amp;IF(AND(LEFT(C281,11)="Rectangular",J281&lt;SG_Criteria!$B$43),"NOTE: 004C is for sewers &gt;= "&amp;SG_Criteria!$B$43&amp;" dia. ","")&amp;IF(AND(LEFT(C281,7)="Precast",I281&lt;=SG_Criteria!$B$42),"NOTE: 006C is for manholes &gt; "&amp;SG_Criteria!$B$42&amp;" m deep. ","")&amp;IF(AND(J281&lt;&gt;"",J281&lt;SG_Criteria!$B$40,C281&lt;&gt;"Inspection Chamber"),"NOTE: public sewer min dia "&amp;SG_Criteria!$B$40&amp;" mm. ","")&amp;IF(AND(R281&lt;&gt;"",R281&lt;SG_Criteria!$B$44),"FAIL: uplift FOS below "&amp;SG_Criteria!$B$44&amp;". ","")))</f>
        <v/>
      </c>
      <c r="AT281" s="9"/>
      <c r="AU281" s="9"/>
      <c r="AV281" s="9"/>
      <c r="AW281" s="9"/>
      <c r="AX281" s="9"/>
      <c r="AY281" s="31"/>
      <c r="AZ281" s="10" t="str">
        <f aca="false">IF(C281="","",IF(AND(AB281="Approved",ISERROR(SEARCH("FAIL",AS281))),"Y","N"))</f>
        <v/>
      </c>
      <c r="BA281" s="10" t="str">
        <f aca="false">IF(C281="","",C281&amp;"|"&amp;I281&amp;"|"&amp;F281&amp;"|"&amp;AZ281)</f>
        <v/>
      </c>
    </row>
    <row r="282" customFormat="false" ht="15" hidden="false" customHeight="false" outlineLevel="0" collapsed="false">
      <c r="A282" s="10" t="str">
        <f aca="false">IF(C282="","","MH-"&amp;IFERROR(VLOOKUP(C282,Lists!$AB$4:$AC$20,2,0),"??")&amp;"-"&amp;TEXT(F282,"0000")&amp;IF(E282="Circular","D","x"&amp;TEXT(G282,"0000"))&amp;"-D"&amp;TEXT(I282*1000,"0000")&amp;"-"&amp;IFERROR(VLOOKUP(D282,Lists!$AE$4:$AF$16,2,0),"??")&amp;"-"&amp;AA282)</f>
        <v/>
      </c>
      <c r="B282" s="10" t="str">
        <f aca="false">IF(C282="","",C282&amp;", "&amp;D282&amp;", "&amp;IF(E282="Circular",F282&amp;" dia",F282&amp;" x "&amp;G282)&amp;", depth "&amp;TEXT(H282,"0.0")&amp;"-"&amp;TEXT(I282,"0.0")&amp;" m, pipe up to "&amp;J282&amp;" dia")</f>
        <v/>
      </c>
      <c r="C282" s="9"/>
      <c r="D282" s="9"/>
      <c r="E282" s="9"/>
      <c r="F282" s="40"/>
      <c r="G282" s="40"/>
      <c r="H282" s="43"/>
      <c r="I282" s="43"/>
      <c r="J282" s="40"/>
      <c r="K282" s="40"/>
      <c r="L282" s="40"/>
      <c r="M282" s="40"/>
      <c r="N282" s="9"/>
      <c r="O282" s="9"/>
      <c r="P282" s="9"/>
      <c r="Q282" s="9"/>
      <c r="R282" s="41"/>
      <c r="S282" s="9"/>
      <c r="T282" s="40"/>
      <c r="U282" s="9"/>
      <c r="V282" s="9"/>
      <c r="W282" s="9"/>
      <c r="X282" s="9"/>
      <c r="Y282" s="9"/>
      <c r="Z282" s="9"/>
      <c r="AA282" s="9"/>
      <c r="AB282" s="9"/>
      <c r="AC282" s="9"/>
      <c r="AD282" s="9"/>
      <c r="AE282" s="9"/>
      <c r="AF282" s="10" t="str">
        <f aca="false">IF(A282="","",SG_Criteria!$B$6&amp;SG_Criteria!$B$10&amp;"\"&amp;A282&amp;"\")</f>
        <v/>
      </c>
      <c r="AG282" s="10" t="str">
        <f aca="false">IF(A282="","",A282&amp;"_CAD.dwg")</f>
        <v/>
      </c>
      <c r="AH282" s="10" t="str">
        <f aca="false">IF(A282="","",A282&amp;"_DWG.pdf")</f>
        <v/>
      </c>
      <c r="AI282" s="10" t="str">
        <f aca="false">IF(A282="","",IF(AE282="Y",A282&amp;"_STAAD.std","n/a"))</f>
        <v/>
      </c>
      <c r="AJ282" s="10" t="str">
        <f aca="false">IF(A282="","",A282&amp;"_CALC.xlsx")</f>
        <v/>
      </c>
      <c r="AK282" s="10" t="str">
        <f aca="false">IF(A282="","",A282&amp;"_CALC.pdf")</f>
        <v/>
      </c>
      <c r="AL282" s="9"/>
      <c r="AM282" s="9"/>
      <c r="AN282" s="41"/>
      <c r="AO282" s="41"/>
      <c r="AP282" s="41"/>
      <c r="AQ282" s="41"/>
      <c r="AR282" s="41"/>
      <c r="AS282" s="38" t="str">
        <f aca="false">IF(C282="","",IF(LEN(IF(AND(S282&lt;&gt;"",IFERROR(VALUE(MID(S282,2,2)),0)&lt;SG_Criteria!$B$19),"FAIL: grade below C"&amp;SG_Criteria!$B$19&amp;". ","")&amp;IF(AND(T282&lt;&gt;"",T282&lt;SG_Criteria!$B$20),"FAIL: cover &lt; "&amp;SG_Criteria!$B$20&amp;" mm. ","")&amp;IF(AND(H282&lt;&gt;"",H282&lt;SG_Criteria!$B$39),"NOTE: min depth below PUB "&amp;SG_Criteria!$B$39&amp;" m. ","")&amp;IF(AND(LEFT(C282,8)="Standard",I282&gt;SG_Criteria!$B$42),"FAIL: PUB 001C covers manholes up to "&amp;SG_Criteria!$B$42&amp;" m deep only. ","")&amp;IF(AND(LEFT(C282,11)="Rectangular",J282&lt;SG_Criteria!$B$43),"NOTE: 004C is for sewers &gt;= "&amp;SG_Criteria!$B$43&amp;" dia. ","")&amp;IF(AND(LEFT(C282,7)="Precast",I282&lt;=SG_Criteria!$B$42),"NOTE: 006C is for manholes &gt; "&amp;SG_Criteria!$B$42&amp;" m deep. ","")&amp;IF(AND(J282&lt;&gt;"",J282&lt;SG_Criteria!$B$40,C282&lt;&gt;"Inspection Chamber"),"NOTE: public sewer min dia "&amp;SG_Criteria!$B$40&amp;" mm. ","")&amp;IF(AND(R282&lt;&gt;"",R282&lt;SG_Criteria!$B$44),"FAIL: uplift FOS below "&amp;SG_Criteria!$B$44&amp;". ",""))=0,"OK",IF(AND(S282&lt;&gt;"",IFERROR(VALUE(MID(S282,2,2)),0)&lt;SG_Criteria!$B$19),"FAIL: grade below C"&amp;SG_Criteria!$B$19&amp;". ","")&amp;IF(AND(T282&lt;&gt;"",T282&lt;SG_Criteria!$B$20),"FAIL: cover &lt; "&amp;SG_Criteria!$B$20&amp;" mm. ","")&amp;IF(AND(H282&lt;&gt;"",H282&lt;SG_Criteria!$B$39),"NOTE: min depth below PUB "&amp;SG_Criteria!$B$39&amp;" m. ","")&amp;IF(AND(LEFT(C282,8)="Standard",I282&gt;SG_Criteria!$B$42),"FAIL: PUB 001C covers manholes up to "&amp;SG_Criteria!$B$42&amp;" m deep only. ","")&amp;IF(AND(LEFT(C282,11)="Rectangular",J282&lt;SG_Criteria!$B$43),"NOTE: 004C is for sewers &gt;= "&amp;SG_Criteria!$B$43&amp;" dia. ","")&amp;IF(AND(LEFT(C282,7)="Precast",I282&lt;=SG_Criteria!$B$42),"NOTE: 006C is for manholes &gt; "&amp;SG_Criteria!$B$42&amp;" m deep. ","")&amp;IF(AND(J282&lt;&gt;"",J282&lt;SG_Criteria!$B$40,C282&lt;&gt;"Inspection Chamber"),"NOTE: public sewer min dia "&amp;SG_Criteria!$B$40&amp;" mm. ","")&amp;IF(AND(R282&lt;&gt;"",R282&lt;SG_Criteria!$B$44),"FAIL: uplift FOS below "&amp;SG_Criteria!$B$44&amp;". ","")))</f>
        <v/>
      </c>
      <c r="AT282" s="9"/>
      <c r="AU282" s="9"/>
      <c r="AV282" s="9"/>
      <c r="AW282" s="9"/>
      <c r="AX282" s="9"/>
      <c r="AY282" s="31"/>
      <c r="AZ282" s="10" t="str">
        <f aca="false">IF(C282="","",IF(AND(AB282="Approved",ISERROR(SEARCH("FAIL",AS282))),"Y","N"))</f>
        <v/>
      </c>
      <c r="BA282" s="10" t="str">
        <f aca="false">IF(C282="","",C282&amp;"|"&amp;I282&amp;"|"&amp;F282&amp;"|"&amp;AZ282)</f>
        <v/>
      </c>
    </row>
    <row r="283" customFormat="false" ht="15" hidden="false" customHeight="false" outlineLevel="0" collapsed="false">
      <c r="A283" s="10" t="str">
        <f aca="false">IF(C283="","","MH-"&amp;IFERROR(VLOOKUP(C283,Lists!$AB$4:$AC$20,2,0),"??")&amp;"-"&amp;TEXT(F283,"0000")&amp;IF(E283="Circular","D","x"&amp;TEXT(G283,"0000"))&amp;"-D"&amp;TEXT(I283*1000,"0000")&amp;"-"&amp;IFERROR(VLOOKUP(D283,Lists!$AE$4:$AF$16,2,0),"??")&amp;"-"&amp;AA283)</f>
        <v/>
      </c>
      <c r="B283" s="10" t="str">
        <f aca="false">IF(C283="","",C283&amp;", "&amp;D283&amp;", "&amp;IF(E283="Circular",F283&amp;" dia",F283&amp;" x "&amp;G283)&amp;", depth "&amp;TEXT(H283,"0.0")&amp;"-"&amp;TEXT(I283,"0.0")&amp;" m, pipe up to "&amp;J283&amp;" dia")</f>
        <v/>
      </c>
      <c r="C283" s="9"/>
      <c r="D283" s="9"/>
      <c r="E283" s="9"/>
      <c r="F283" s="40"/>
      <c r="G283" s="40"/>
      <c r="H283" s="43"/>
      <c r="I283" s="43"/>
      <c r="J283" s="40"/>
      <c r="K283" s="40"/>
      <c r="L283" s="40"/>
      <c r="M283" s="40"/>
      <c r="N283" s="9"/>
      <c r="O283" s="9"/>
      <c r="P283" s="9"/>
      <c r="Q283" s="9"/>
      <c r="R283" s="41"/>
      <c r="S283" s="9"/>
      <c r="T283" s="40"/>
      <c r="U283" s="9"/>
      <c r="V283" s="9"/>
      <c r="W283" s="9"/>
      <c r="X283" s="9"/>
      <c r="Y283" s="9"/>
      <c r="Z283" s="9"/>
      <c r="AA283" s="9"/>
      <c r="AB283" s="9"/>
      <c r="AC283" s="9"/>
      <c r="AD283" s="9"/>
      <c r="AE283" s="9"/>
      <c r="AF283" s="10" t="str">
        <f aca="false">IF(A283="","",SG_Criteria!$B$6&amp;SG_Criteria!$B$10&amp;"\"&amp;A283&amp;"\")</f>
        <v/>
      </c>
      <c r="AG283" s="10" t="str">
        <f aca="false">IF(A283="","",A283&amp;"_CAD.dwg")</f>
        <v/>
      </c>
      <c r="AH283" s="10" t="str">
        <f aca="false">IF(A283="","",A283&amp;"_DWG.pdf")</f>
        <v/>
      </c>
      <c r="AI283" s="10" t="str">
        <f aca="false">IF(A283="","",IF(AE283="Y",A283&amp;"_STAAD.std","n/a"))</f>
        <v/>
      </c>
      <c r="AJ283" s="10" t="str">
        <f aca="false">IF(A283="","",A283&amp;"_CALC.xlsx")</f>
        <v/>
      </c>
      <c r="AK283" s="10" t="str">
        <f aca="false">IF(A283="","",A283&amp;"_CALC.pdf")</f>
        <v/>
      </c>
      <c r="AL283" s="9"/>
      <c r="AM283" s="9"/>
      <c r="AN283" s="41"/>
      <c r="AO283" s="41"/>
      <c r="AP283" s="41"/>
      <c r="AQ283" s="41"/>
      <c r="AR283" s="41"/>
      <c r="AS283" s="38" t="str">
        <f aca="false">IF(C283="","",IF(LEN(IF(AND(S283&lt;&gt;"",IFERROR(VALUE(MID(S283,2,2)),0)&lt;SG_Criteria!$B$19),"FAIL: grade below C"&amp;SG_Criteria!$B$19&amp;". ","")&amp;IF(AND(T283&lt;&gt;"",T283&lt;SG_Criteria!$B$20),"FAIL: cover &lt; "&amp;SG_Criteria!$B$20&amp;" mm. ","")&amp;IF(AND(H283&lt;&gt;"",H283&lt;SG_Criteria!$B$39),"NOTE: min depth below PUB "&amp;SG_Criteria!$B$39&amp;" m. ","")&amp;IF(AND(LEFT(C283,8)="Standard",I283&gt;SG_Criteria!$B$42),"FAIL: PUB 001C covers manholes up to "&amp;SG_Criteria!$B$42&amp;" m deep only. ","")&amp;IF(AND(LEFT(C283,11)="Rectangular",J283&lt;SG_Criteria!$B$43),"NOTE: 004C is for sewers &gt;= "&amp;SG_Criteria!$B$43&amp;" dia. ","")&amp;IF(AND(LEFT(C283,7)="Precast",I283&lt;=SG_Criteria!$B$42),"NOTE: 006C is for manholes &gt; "&amp;SG_Criteria!$B$42&amp;" m deep. ","")&amp;IF(AND(J283&lt;&gt;"",J283&lt;SG_Criteria!$B$40,C283&lt;&gt;"Inspection Chamber"),"NOTE: public sewer min dia "&amp;SG_Criteria!$B$40&amp;" mm. ","")&amp;IF(AND(R283&lt;&gt;"",R283&lt;SG_Criteria!$B$44),"FAIL: uplift FOS below "&amp;SG_Criteria!$B$44&amp;". ",""))=0,"OK",IF(AND(S283&lt;&gt;"",IFERROR(VALUE(MID(S283,2,2)),0)&lt;SG_Criteria!$B$19),"FAIL: grade below C"&amp;SG_Criteria!$B$19&amp;". ","")&amp;IF(AND(T283&lt;&gt;"",T283&lt;SG_Criteria!$B$20),"FAIL: cover &lt; "&amp;SG_Criteria!$B$20&amp;" mm. ","")&amp;IF(AND(H283&lt;&gt;"",H283&lt;SG_Criteria!$B$39),"NOTE: min depth below PUB "&amp;SG_Criteria!$B$39&amp;" m. ","")&amp;IF(AND(LEFT(C283,8)="Standard",I283&gt;SG_Criteria!$B$42),"FAIL: PUB 001C covers manholes up to "&amp;SG_Criteria!$B$42&amp;" m deep only. ","")&amp;IF(AND(LEFT(C283,11)="Rectangular",J283&lt;SG_Criteria!$B$43),"NOTE: 004C is for sewers &gt;= "&amp;SG_Criteria!$B$43&amp;" dia. ","")&amp;IF(AND(LEFT(C283,7)="Precast",I283&lt;=SG_Criteria!$B$42),"NOTE: 006C is for manholes &gt; "&amp;SG_Criteria!$B$42&amp;" m deep. ","")&amp;IF(AND(J283&lt;&gt;"",J283&lt;SG_Criteria!$B$40,C283&lt;&gt;"Inspection Chamber"),"NOTE: public sewer min dia "&amp;SG_Criteria!$B$40&amp;" mm. ","")&amp;IF(AND(R283&lt;&gt;"",R283&lt;SG_Criteria!$B$44),"FAIL: uplift FOS below "&amp;SG_Criteria!$B$44&amp;". ","")))</f>
        <v/>
      </c>
      <c r="AT283" s="9"/>
      <c r="AU283" s="9"/>
      <c r="AV283" s="9"/>
      <c r="AW283" s="9"/>
      <c r="AX283" s="9"/>
      <c r="AY283" s="31"/>
      <c r="AZ283" s="10" t="str">
        <f aca="false">IF(C283="","",IF(AND(AB283="Approved",ISERROR(SEARCH("FAIL",AS283))),"Y","N"))</f>
        <v/>
      </c>
      <c r="BA283" s="10" t="str">
        <f aca="false">IF(C283="","",C283&amp;"|"&amp;I283&amp;"|"&amp;F283&amp;"|"&amp;AZ283)</f>
        <v/>
      </c>
    </row>
    <row r="284" customFormat="false" ht="15" hidden="false" customHeight="false" outlineLevel="0" collapsed="false">
      <c r="A284" s="10" t="str">
        <f aca="false">IF(C284="","","MH-"&amp;IFERROR(VLOOKUP(C284,Lists!$AB$4:$AC$20,2,0),"??")&amp;"-"&amp;TEXT(F284,"0000")&amp;IF(E284="Circular","D","x"&amp;TEXT(G284,"0000"))&amp;"-D"&amp;TEXT(I284*1000,"0000")&amp;"-"&amp;IFERROR(VLOOKUP(D284,Lists!$AE$4:$AF$16,2,0),"??")&amp;"-"&amp;AA284)</f>
        <v/>
      </c>
      <c r="B284" s="10" t="str">
        <f aca="false">IF(C284="","",C284&amp;", "&amp;D284&amp;", "&amp;IF(E284="Circular",F284&amp;" dia",F284&amp;" x "&amp;G284)&amp;", depth "&amp;TEXT(H284,"0.0")&amp;"-"&amp;TEXT(I284,"0.0")&amp;" m, pipe up to "&amp;J284&amp;" dia")</f>
        <v/>
      </c>
      <c r="C284" s="9"/>
      <c r="D284" s="9"/>
      <c r="E284" s="9"/>
      <c r="F284" s="40"/>
      <c r="G284" s="40"/>
      <c r="H284" s="43"/>
      <c r="I284" s="43"/>
      <c r="J284" s="40"/>
      <c r="K284" s="40"/>
      <c r="L284" s="40"/>
      <c r="M284" s="40"/>
      <c r="N284" s="9"/>
      <c r="O284" s="9"/>
      <c r="P284" s="9"/>
      <c r="Q284" s="9"/>
      <c r="R284" s="41"/>
      <c r="S284" s="9"/>
      <c r="T284" s="40"/>
      <c r="U284" s="9"/>
      <c r="V284" s="9"/>
      <c r="W284" s="9"/>
      <c r="X284" s="9"/>
      <c r="Y284" s="9"/>
      <c r="Z284" s="9"/>
      <c r="AA284" s="9"/>
      <c r="AB284" s="9"/>
      <c r="AC284" s="9"/>
      <c r="AD284" s="9"/>
      <c r="AE284" s="9"/>
      <c r="AF284" s="10" t="str">
        <f aca="false">IF(A284="","",SG_Criteria!$B$6&amp;SG_Criteria!$B$10&amp;"\"&amp;A284&amp;"\")</f>
        <v/>
      </c>
      <c r="AG284" s="10" t="str">
        <f aca="false">IF(A284="","",A284&amp;"_CAD.dwg")</f>
        <v/>
      </c>
      <c r="AH284" s="10" t="str">
        <f aca="false">IF(A284="","",A284&amp;"_DWG.pdf")</f>
        <v/>
      </c>
      <c r="AI284" s="10" t="str">
        <f aca="false">IF(A284="","",IF(AE284="Y",A284&amp;"_STAAD.std","n/a"))</f>
        <v/>
      </c>
      <c r="AJ284" s="10" t="str">
        <f aca="false">IF(A284="","",A284&amp;"_CALC.xlsx")</f>
        <v/>
      </c>
      <c r="AK284" s="10" t="str">
        <f aca="false">IF(A284="","",A284&amp;"_CALC.pdf")</f>
        <v/>
      </c>
      <c r="AL284" s="9"/>
      <c r="AM284" s="9"/>
      <c r="AN284" s="41"/>
      <c r="AO284" s="41"/>
      <c r="AP284" s="41"/>
      <c r="AQ284" s="41"/>
      <c r="AR284" s="41"/>
      <c r="AS284" s="38" t="str">
        <f aca="false">IF(C284="","",IF(LEN(IF(AND(S284&lt;&gt;"",IFERROR(VALUE(MID(S284,2,2)),0)&lt;SG_Criteria!$B$19),"FAIL: grade below C"&amp;SG_Criteria!$B$19&amp;". ","")&amp;IF(AND(T284&lt;&gt;"",T284&lt;SG_Criteria!$B$20),"FAIL: cover &lt; "&amp;SG_Criteria!$B$20&amp;" mm. ","")&amp;IF(AND(H284&lt;&gt;"",H284&lt;SG_Criteria!$B$39),"NOTE: min depth below PUB "&amp;SG_Criteria!$B$39&amp;" m. ","")&amp;IF(AND(LEFT(C284,8)="Standard",I284&gt;SG_Criteria!$B$42),"FAIL: PUB 001C covers manholes up to "&amp;SG_Criteria!$B$42&amp;" m deep only. ","")&amp;IF(AND(LEFT(C284,11)="Rectangular",J284&lt;SG_Criteria!$B$43),"NOTE: 004C is for sewers &gt;= "&amp;SG_Criteria!$B$43&amp;" dia. ","")&amp;IF(AND(LEFT(C284,7)="Precast",I284&lt;=SG_Criteria!$B$42),"NOTE: 006C is for manholes &gt; "&amp;SG_Criteria!$B$42&amp;" m deep. ","")&amp;IF(AND(J284&lt;&gt;"",J284&lt;SG_Criteria!$B$40,C284&lt;&gt;"Inspection Chamber"),"NOTE: public sewer min dia "&amp;SG_Criteria!$B$40&amp;" mm. ","")&amp;IF(AND(R284&lt;&gt;"",R284&lt;SG_Criteria!$B$44),"FAIL: uplift FOS below "&amp;SG_Criteria!$B$44&amp;". ",""))=0,"OK",IF(AND(S284&lt;&gt;"",IFERROR(VALUE(MID(S284,2,2)),0)&lt;SG_Criteria!$B$19),"FAIL: grade below C"&amp;SG_Criteria!$B$19&amp;". ","")&amp;IF(AND(T284&lt;&gt;"",T284&lt;SG_Criteria!$B$20),"FAIL: cover &lt; "&amp;SG_Criteria!$B$20&amp;" mm. ","")&amp;IF(AND(H284&lt;&gt;"",H284&lt;SG_Criteria!$B$39),"NOTE: min depth below PUB "&amp;SG_Criteria!$B$39&amp;" m. ","")&amp;IF(AND(LEFT(C284,8)="Standard",I284&gt;SG_Criteria!$B$42),"FAIL: PUB 001C covers manholes up to "&amp;SG_Criteria!$B$42&amp;" m deep only. ","")&amp;IF(AND(LEFT(C284,11)="Rectangular",J284&lt;SG_Criteria!$B$43),"NOTE: 004C is for sewers &gt;= "&amp;SG_Criteria!$B$43&amp;" dia. ","")&amp;IF(AND(LEFT(C284,7)="Precast",I284&lt;=SG_Criteria!$B$42),"NOTE: 006C is for manholes &gt; "&amp;SG_Criteria!$B$42&amp;" m deep. ","")&amp;IF(AND(J284&lt;&gt;"",J284&lt;SG_Criteria!$B$40,C284&lt;&gt;"Inspection Chamber"),"NOTE: public sewer min dia "&amp;SG_Criteria!$B$40&amp;" mm. ","")&amp;IF(AND(R284&lt;&gt;"",R284&lt;SG_Criteria!$B$44),"FAIL: uplift FOS below "&amp;SG_Criteria!$B$44&amp;". ","")))</f>
        <v/>
      </c>
      <c r="AT284" s="9"/>
      <c r="AU284" s="9"/>
      <c r="AV284" s="9"/>
      <c r="AW284" s="9"/>
      <c r="AX284" s="9"/>
      <c r="AY284" s="31"/>
      <c r="AZ284" s="10" t="str">
        <f aca="false">IF(C284="","",IF(AND(AB284="Approved",ISERROR(SEARCH("FAIL",AS284))),"Y","N"))</f>
        <v/>
      </c>
      <c r="BA284" s="10" t="str">
        <f aca="false">IF(C284="","",C284&amp;"|"&amp;I284&amp;"|"&amp;F284&amp;"|"&amp;AZ284)</f>
        <v/>
      </c>
    </row>
    <row r="285" customFormat="false" ht="15" hidden="false" customHeight="false" outlineLevel="0" collapsed="false">
      <c r="A285" s="10" t="str">
        <f aca="false">IF(C285="","","MH-"&amp;IFERROR(VLOOKUP(C285,Lists!$AB$4:$AC$20,2,0),"??")&amp;"-"&amp;TEXT(F285,"0000")&amp;IF(E285="Circular","D","x"&amp;TEXT(G285,"0000"))&amp;"-D"&amp;TEXT(I285*1000,"0000")&amp;"-"&amp;IFERROR(VLOOKUP(D285,Lists!$AE$4:$AF$16,2,0),"??")&amp;"-"&amp;AA285)</f>
        <v/>
      </c>
      <c r="B285" s="10" t="str">
        <f aca="false">IF(C285="","",C285&amp;", "&amp;D285&amp;", "&amp;IF(E285="Circular",F285&amp;" dia",F285&amp;" x "&amp;G285)&amp;", depth "&amp;TEXT(H285,"0.0")&amp;"-"&amp;TEXT(I285,"0.0")&amp;" m, pipe up to "&amp;J285&amp;" dia")</f>
        <v/>
      </c>
      <c r="C285" s="9"/>
      <c r="D285" s="9"/>
      <c r="E285" s="9"/>
      <c r="F285" s="40"/>
      <c r="G285" s="40"/>
      <c r="H285" s="43"/>
      <c r="I285" s="43"/>
      <c r="J285" s="40"/>
      <c r="K285" s="40"/>
      <c r="L285" s="40"/>
      <c r="M285" s="40"/>
      <c r="N285" s="9"/>
      <c r="O285" s="9"/>
      <c r="P285" s="9"/>
      <c r="Q285" s="9"/>
      <c r="R285" s="41"/>
      <c r="S285" s="9"/>
      <c r="T285" s="40"/>
      <c r="U285" s="9"/>
      <c r="V285" s="9"/>
      <c r="W285" s="9"/>
      <c r="X285" s="9"/>
      <c r="Y285" s="9"/>
      <c r="Z285" s="9"/>
      <c r="AA285" s="9"/>
      <c r="AB285" s="9"/>
      <c r="AC285" s="9"/>
      <c r="AD285" s="9"/>
      <c r="AE285" s="9"/>
      <c r="AF285" s="10" t="str">
        <f aca="false">IF(A285="","",SG_Criteria!$B$6&amp;SG_Criteria!$B$10&amp;"\"&amp;A285&amp;"\")</f>
        <v/>
      </c>
      <c r="AG285" s="10" t="str">
        <f aca="false">IF(A285="","",A285&amp;"_CAD.dwg")</f>
        <v/>
      </c>
      <c r="AH285" s="10" t="str">
        <f aca="false">IF(A285="","",A285&amp;"_DWG.pdf")</f>
        <v/>
      </c>
      <c r="AI285" s="10" t="str">
        <f aca="false">IF(A285="","",IF(AE285="Y",A285&amp;"_STAAD.std","n/a"))</f>
        <v/>
      </c>
      <c r="AJ285" s="10" t="str">
        <f aca="false">IF(A285="","",A285&amp;"_CALC.xlsx")</f>
        <v/>
      </c>
      <c r="AK285" s="10" t="str">
        <f aca="false">IF(A285="","",A285&amp;"_CALC.pdf")</f>
        <v/>
      </c>
      <c r="AL285" s="9"/>
      <c r="AM285" s="9"/>
      <c r="AN285" s="41"/>
      <c r="AO285" s="41"/>
      <c r="AP285" s="41"/>
      <c r="AQ285" s="41"/>
      <c r="AR285" s="41"/>
      <c r="AS285" s="38" t="str">
        <f aca="false">IF(C285="","",IF(LEN(IF(AND(S285&lt;&gt;"",IFERROR(VALUE(MID(S285,2,2)),0)&lt;SG_Criteria!$B$19),"FAIL: grade below C"&amp;SG_Criteria!$B$19&amp;". ","")&amp;IF(AND(T285&lt;&gt;"",T285&lt;SG_Criteria!$B$20),"FAIL: cover &lt; "&amp;SG_Criteria!$B$20&amp;" mm. ","")&amp;IF(AND(H285&lt;&gt;"",H285&lt;SG_Criteria!$B$39),"NOTE: min depth below PUB "&amp;SG_Criteria!$B$39&amp;" m. ","")&amp;IF(AND(LEFT(C285,8)="Standard",I285&gt;SG_Criteria!$B$42),"FAIL: PUB 001C covers manholes up to "&amp;SG_Criteria!$B$42&amp;" m deep only. ","")&amp;IF(AND(LEFT(C285,11)="Rectangular",J285&lt;SG_Criteria!$B$43),"NOTE: 004C is for sewers &gt;= "&amp;SG_Criteria!$B$43&amp;" dia. ","")&amp;IF(AND(LEFT(C285,7)="Precast",I285&lt;=SG_Criteria!$B$42),"NOTE: 006C is for manholes &gt; "&amp;SG_Criteria!$B$42&amp;" m deep. ","")&amp;IF(AND(J285&lt;&gt;"",J285&lt;SG_Criteria!$B$40,C285&lt;&gt;"Inspection Chamber"),"NOTE: public sewer min dia "&amp;SG_Criteria!$B$40&amp;" mm. ","")&amp;IF(AND(R285&lt;&gt;"",R285&lt;SG_Criteria!$B$44),"FAIL: uplift FOS below "&amp;SG_Criteria!$B$44&amp;". ",""))=0,"OK",IF(AND(S285&lt;&gt;"",IFERROR(VALUE(MID(S285,2,2)),0)&lt;SG_Criteria!$B$19),"FAIL: grade below C"&amp;SG_Criteria!$B$19&amp;". ","")&amp;IF(AND(T285&lt;&gt;"",T285&lt;SG_Criteria!$B$20),"FAIL: cover &lt; "&amp;SG_Criteria!$B$20&amp;" mm. ","")&amp;IF(AND(H285&lt;&gt;"",H285&lt;SG_Criteria!$B$39),"NOTE: min depth below PUB "&amp;SG_Criteria!$B$39&amp;" m. ","")&amp;IF(AND(LEFT(C285,8)="Standard",I285&gt;SG_Criteria!$B$42),"FAIL: PUB 001C covers manholes up to "&amp;SG_Criteria!$B$42&amp;" m deep only. ","")&amp;IF(AND(LEFT(C285,11)="Rectangular",J285&lt;SG_Criteria!$B$43),"NOTE: 004C is for sewers &gt;= "&amp;SG_Criteria!$B$43&amp;" dia. ","")&amp;IF(AND(LEFT(C285,7)="Precast",I285&lt;=SG_Criteria!$B$42),"NOTE: 006C is for manholes &gt; "&amp;SG_Criteria!$B$42&amp;" m deep. ","")&amp;IF(AND(J285&lt;&gt;"",J285&lt;SG_Criteria!$B$40,C285&lt;&gt;"Inspection Chamber"),"NOTE: public sewer min dia "&amp;SG_Criteria!$B$40&amp;" mm. ","")&amp;IF(AND(R285&lt;&gt;"",R285&lt;SG_Criteria!$B$44),"FAIL: uplift FOS below "&amp;SG_Criteria!$B$44&amp;". ","")))</f>
        <v/>
      </c>
      <c r="AT285" s="9"/>
      <c r="AU285" s="9"/>
      <c r="AV285" s="9"/>
      <c r="AW285" s="9"/>
      <c r="AX285" s="9"/>
      <c r="AY285" s="31"/>
      <c r="AZ285" s="10" t="str">
        <f aca="false">IF(C285="","",IF(AND(AB285="Approved",ISERROR(SEARCH("FAIL",AS285))),"Y","N"))</f>
        <v/>
      </c>
      <c r="BA285" s="10" t="str">
        <f aca="false">IF(C285="","",C285&amp;"|"&amp;I285&amp;"|"&amp;F285&amp;"|"&amp;AZ285)</f>
        <v/>
      </c>
    </row>
    <row r="286" customFormat="false" ht="15" hidden="false" customHeight="false" outlineLevel="0" collapsed="false">
      <c r="A286" s="10" t="str">
        <f aca="false">IF(C286="","","MH-"&amp;IFERROR(VLOOKUP(C286,Lists!$AB$4:$AC$20,2,0),"??")&amp;"-"&amp;TEXT(F286,"0000")&amp;IF(E286="Circular","D","x"&amp;TEXT(G286,"0000"))&amp;"-D"&amp;TEXT(I286*1000,"0000")&amp;"-"&amp;IFERROR(VLOOKUP(D286,Lists!$AE$4:$AF$16,2,0),"??")&amp;"-"&amp;AA286)</f>
        <v/>
      </c>
      <c r="B286" s="10" t="str">
        <f aca="false">IF(C286="","",C286&amp;", "&amp;D286&amp;", "&amp;IF(E286="Circular",F286&amp;" dia",F286&amp;" x "&amp;G286)&amp;", depth "&amp;TEXT(H286,"0.0")&amp;"-"&amp;TEXT(I286,"0.0")&amp;" m, pipe up to "&amp;J286&amp;" dia")</f>
        <v/>
      </c>
      <c r="C286" s="9"/>
      <c r="D286" s="9"/>
      <c r="E286" s="9"/>
      <c r="F286" s="40"/>
      <c r="G286" s="40"/>
      <c r="H286" s="43"/>
      <c r="I286" s="43"/>
      <c r="J286" s="40"/>
      <c r="K286" s="40"/>
      <c r="L286" s="40"/>
      <c r="M286" s="40"/>
      <c r="N286" s="9"/>
      <c r="O286" s="9"/>
      <c r="P286" s="9"/>
      <c r="Q286" s="9"/>
      <c r="R286" s="41"/>
      <c r="S286" s="9"/>
      <c r="T286" s="40"/>
      <c r="U286" s="9"/>
      <c r="V286" s="9"/>
      <c r="W286" s="9"/>
      <c r="X286" s="9"/>
      <c r="Y286" s="9"/>
      <c r="Z286" s="9"/>
      <c r="AA286" s="9"/>
      <c r="AB286" s="9"/>
      <c r="AC286" s="9"/>
      <c r="AD286" s="9"/>
      <c r="AE286" s="9"/>
      <c r="AF286" s="10" t="str">
        <f aca="false">IF(A286="","",SG_Criteria!$B$6&amp;SG_Criteria!$B$10&amp;"\"&amp;A286&amp;"\")</f>
        <v/>
      </c>
      <c r="AG286" s="10" t="str">
        <f aca="false">IF(A286="","",A286&amp;"_CAD.dwg")</f>
        <v/>
      </c>
      <c r="AH286" s="10" t="str">
        <f aca="false">IF(A286="","",A286&amp;"_DWG.pdf")</f>
        <v/>
      </c>
      <c r="AI286" s="10" t="str">
        <f aca="false">IF(A286="","",IF(AE286="Y",A286&amp;"_STAAD.std","n/a"))</f>
        <v/>
      </c>
      <c r="AJ286" s="10" t="str">
        <f aca="false">IF(A286="","",A286&amp;"_CALC.xlsx")</f>
        <v/>
      </c>
      <c r="AK286" s="10" t="str">
        <f aca="false">IF(A286="","",A286&amp;"_CALC.pdf")</f>
        <v/>
      </c>
      <c r="AL286" s="9"/>
      <c r="AM286" s="9"/>
      <c r="AN286" s="41"/>
      <c r="AO286" s="41"/>
      <c r="AP286" s="41"/>
      <c r="AQ286" s="41"/>
      <c r="AR286" s="41"/>
      <c r="AS286" s="38" t="str">
        <f aca="false">IF(C286="","",IF(LEN(IF(AND(S286&lt;&gt;"",IFERROR(VALUE(MID(S286,2,2)),0)&lt;SG_Criteria!$B$19),"FAIL: grade below C"&amp;SG_Criteria!$B$19&amp;". ","")&amp;IF(AND(T286&lt;&gt;"",T286&lt;SG_Criteria!$B$20),"FAIL: cover &lt; "&amp;SG_Criteria!$B$20&amp;" mm. ","")&amp;IF(AND(H286&lt;&gt;"",H286&lt;SG_Criteria!$B$39),"NOTE: min depth below PUB "&amp;SG_Criteria!$B$39&amp;" m. ","")&amp;IF(AND(LEFT(C286,8)="Standard",I286&gt;SG_Criteria!$B$42),"FAIL: PUB 001C covers manholes up to "&amp;SG_Criteria!$B$42&amp;" m deep only. ","")&amp;IF(AND(LEFT(C286,11)="Rectangular",J286&lt;SG_Criteria!$B$43),"NOTE: 004C is for sewers &gt;= "&amp;SG_Criteria!$B$43&amp;" dia. ","")&amp;IF(AND(LEFT(C286,7)="Precast",I286&lt;=SG_Criteria!$B$42),"NOTE: 006C is for manholes &gt; "&amp;SG_Criteria!$B$42&amp;" m deep. ","")&amp;IF(AND(J286&lt;&gt;"",J286&lt;SG_Criteria!$B$40,C286&lt;&gt;"Inspection Chamber"),"NOTE: public sewer min dia "&amp;SG_Criteria!$B$40&amp;" mm. ","")&amp;IF(AND(R286&lt;&gt;"",R286&lt;SG_Criteria!$B$44),"FAIL: uplift FOS below "&amp;SG_Criteria!$B$44&amp;". ",""))=0,"OK",IF(AND(S286&lt;&gt;"",IFERROR(VALUE(MID(S286,2,2)),0)&lt;SG_Criteria!$B$19),"FAIL: grade below C"&amp;SG_Criteria!$B$19&amp;". ","")&amp;IF(AND(T286&lt;&gt;"",T286&lt;SG_Criteria!$B$20),"FAIL: cover &lt; "&amp;SG_Criteria!$B$20&amp;" mm. ","")&amp;IF(AND(H286&lt;&gt;"",H286&lt;SG_Criteria!$B$39),"NOTE: min depth below PUB "&amp;SG_Criteria!$B$39&amp;" m. ","")&amp;IF(AND(LEFT(C286,8)="Standard",I286&gt;SG_Criteria!$B$42),"FAIL: PUB 001C covers manholes up to "&amp;SG_Criteria!$B$42&amp;" m deep only. ","")&amp;IF(AND(LEFT(C286,11)="Rectangular",J286&lt;SG_Criteria!$B$43),"NOTE: 004C is for sewers &gt;= "&amp;SG_Criteria!$B$43&amp;" dia. ","")&amp;IF(AND(LEFT(C286,7)="Precast",I286&lt;=SG_Criteria!$B$42),"NOTE: 006C is for manholes &gt; "&amp;SG_Criteria!$B$42&amp;" m deep. ","")&amp;IF(AND(J286&lt;&gt;"",J286&lt;SG_Criteria!$B$40,C286&lt;&gt;"Inspection Chamber"),"NOTE: public sewer min dia "&amp;SG_Criteria!$B$40&amp;" mm. ","")&amp;IF(AND(R286&lt;&gt;"",R286&lt;SG_Criteria!$B$44),"FAIL: uplift FOS below "&amp;SG_Criteria!$B$44&amp;". ","")))</f>
        <v/>
      </c>
      <c r="AT286" s="9"/>
      <c r="AU286" s="9"/>
      <c r="AV286" s="9"/>
      <c r="AW286" s="9"/>
      <c r="AX286" s="9"/>
      <c r="AY286" s="31"/>
      <c r="AZ286" s="10" t="str">
        <f aca="false">IF(C286="","",IF(AND(AB286="Approved",ISERROR(SEARCH("FAIL",AS286))),"Y","N"))</f>
        <v/>
      </c>
      <c r="BA286" s="10" t="str">
        <f aca="false">IF(C286="","",C286&amp;"|"&amp;I286&amp;"|"&amp;F286&amp;"|"&amp;AZ286)</f>
        <v/>
      </c>
    </row>
    <row r="287" customFormat="false" ht="15" hidden="false" customHeight="false" outlineLevel="0" collapsed="false">
      <c r="A287" s="10" t="str">
        <f aca="false">IF(C287="","","MH-"&amp;IFERROR(VLOOKUP(C287,Lists!$AB$4:$AC$20,2,0),"??")&amp;"-"&amp;TEXT(F287,"0000")&amp;IF(E287="Circular","D","x"&amp;TEXT(G287,"0000"))&amp;"-D"&amp;TEXT(I287*1000,"0000")&amp;"-"&amp;IFERROR(VLOOKUP(D287,Lists!$AE$4:$AF$16,2,0),"??")&amp;"-"&amp;AA287)</f>
        <v/>
      </c>
      <c r="B287" s="10" t="str">
        <f aca="false">IF(C287="","",C287&amp;", "&amp;D287&amp;", "&amp;IF(E287="Circular",F287&amp;" dia",F287&amp;" x "&amp;G287)&amp;", depth "&amp;TEXT(H287,"0.0")&amp;"-"&amp;TEXT(I287,"0.0")&amp;" m, pipe up to "&amp;J287&amp;" dia")</f>
        <v/>
      </c>
      <c r="C287" s="9"/>
      <c r="D287" s="9"/>
      <c r="E287" s="9"/>
      <c r="F287" s="40"/>
      <c r="G287" s="40"/>
      <c r="H287" s="43"/>
      <c r="I287" s="43"/>
      <c r="J287" s="40"/>
      <c r="K287" s="40"/>
      <c r="L287" s="40"/>
      <c r="M287" s="40"/>
      <c r="N287" s="9"/>
      <c r="O287" s="9"/>
      <c r="P287" s="9"/>
      <c r="Q287" s="9"/>
      <c r="R287" s="41"/>
      <c r="S287" s="9"/>
      <c r="T287" s="40"/>
      <c r="U287" s="9"/>
      <c r="V287" s="9"/>
      <c r="W287" s="9"/>
      <c r="X287" s="9"/>
      <c r="Y287" s="9"/>
      <c r="Z287" s="9"/>
      <c r="AA287" s="9"/>
      <c r="AB287" s="9"/>
      <c r="AC287" s="9"/>
      <c r="AD287" s="9"/>
      <c r="AE287" s="9"/>
      <c r="AF287" s="10" t="str">
        <f aca="false">IF(A287="","",SG_Criteria!$B$6&amp;SG_Criteria!$B$10&amp;"\"&amp;A287&amp;"\")</f>
        <v/>
      </c>
      <c r="AG287" s="10" t="str">
        <f aca="false">IF(A287="","",A287&amp;"_CAD.dwg")</f>
        <v/>
      </c>
      <c r="AH287" s="10" t="str">
        <f aca="false">IF(A287="","",A287&amp;"_DWG.pdf")</f>
        <v/>
      </c>
      <c r="AI287" s="10" t="str">
        <f aca="false">IF(A287="","",IF(AE287="Y",A287&amp;"_STAAD.std","n/a"))</f>
        <v/>
      </c>
      <c r="AJ287" s="10" t="str">
        <f aca="false">IF(A287="","",A287&amp;"_CALC.xlsx")</f>
        <v/>
      </c>
      <c r="AK287" s="10" t="str">
        <f aca="false">IF(A287="","",A287&amp;"_CALC.pdf")</f>
        <v/>
      </c>
      <c r="AL287" s="9"/>
      <c r="AM287" s="9"/>
      <c r="AN287" s="41"/>
      <c r="AO287" s="41"/>
      <c r="AP287" s="41"/>
      <c r="AQ287" s="41"/>
      <c r="AR287" s="41"/>
      <c r="AS287" s="38" t="str">
        <f aca="false">IF(C287="","",IF(LEN(IF(AND(S287&lt;&gt;"",IFERROR(VALUE(MID(S287,2,2)),0)&lt;SG_Criteria!$B$19),"FAIL: grade below C"&amp;SG_Criteria!$B$19&amp;". ","")&amp;IF(AND(T287&lt;&gt;"",T287&lt;SG_Criteria!$B$20),"FAIL: cover &lt; "&amp;SG_Criteria!$B$20&amp;" mm. ","")&amp;IF(AND(H287&lt;&gt;"",H287&lt;SG_Criteria!$B$39),"NOTE: min depth below PUB "&amp;SG_Criteria!$B$39&amp;" m. ","")&amp;IF(AND(LEFT(C287,8)="Standard",I287&gt;SG_Criteria!$B$42),"FAIL: PUB 001C covers manholes up to "&amp;SG_Criteria!$B$42&amp;" m deep only. ","")&amp;IF(AND(LEFT(C287,11)="Rectangular",J287&lt;SG_Criteria!$B$43),"NOTE: 004C is for sewers &gt;= "&amp;SG_Criteria!$B$43&amp;" dia. ","")&amp;IF(AND(LEFT(C287,7)="Precast",I287&lt;=SG_Criteria!$B$42),"NOTE: 006C is for manholes &gt; "&amp;SG_Criteria!$B$42&amp;" m deep. ","")&amp;IF(AND(J287&lt;&gt;"",J287&lt;SG_Criteria!$B$40,C287&lt;&gt;"Inspection Chamber"),"NOTE: public sewer min dia "&amp;SG_Criteria!$B$40&amp;" mm. ","")&amp;IF(AND(R287&lt;&gt;"",R287&lt;SG_Criteria!$B$44),"FAIL: uplift FOS below "&amp;SG_Criteria!$B$44&amp;". ",""))=0,"OK",IF(AND(S287&lt;&gt;"",IFERROR(VALUE(MID(S287,2,2)),0)&lt;SG_Criteria!$B$19),"FAIL: grade below C"&amp;SG_Criteria!$B$19&amp;". ","")&amp;IF(AND(T287&lt;&gt;"",T287&lt;SG_Criteria!$B$20),"FAIL: cover &lt; "&amp;SG_Criteria!$B$20&amp;" mm. ","")&amp;IF(AND(H287&lt;&gt;"",H287&lt;SG_Criteria!$B$39),"NOTE: min depth below PUB "&amp;SG_Criteria!$B$39&amp;" m. ","")&amp;IF(AND(LEFT(C287,8)="Standard",I287&gt;SG_Criteria!$B$42),"FAIL: PUB 001C covers manholes up to "&amp;SG_Criteria!$B$42&amp;" m deep only. ","")&amp;IF(AND(LEFT(C287,11)="Rectangular",J287&lt;SG_Criteria!$B$43),"NOTE: 004C is for sewers &gt;= "&amp;SG_Criteria!$B$43&amp;" dia. ","")&amp;IF(AND(LEFT(C287,7)="Precast",I287&lt;=SG_Criteria!$B$42),"NOTE: 006C is for manholes &gt; "&amp;SG_Criteria!$B$42&amp;" m deep. ","")&amp;IF(AND(J287&lt;&gt;"",J287&lt;SG_Criteria!$B$40,C287&lt;&gt;"Inspection Chamber"),"NOTE: public sewer min dia "&amp;SG_Criteria!$B$40&amp;" mm. ","")&amp;IF(AND(R287&lt;&gt;"",R287&lt;SG_Criteria!$B$44),"FAIL: uplift FOS below "&amp;SG_Criteria!$B$44&amp;". ","")))</f>
        <v/>
      </c>
      <c r="AT287" s="9"/>
      <c r="AU287" s="9"/>
      <c r="AV287" s="9"/>
      <c r="AW287" s="9"/>
      <c r="AX287" s="9"/>
      <c r="AY287" s="31"/>
      <c r="AZ287" s="10" t="str">
        <f aca="false">IF(C287="","",IF(AND(AB287="Approved",ISERROR(SEARCH("FAIL",AS287))),"Y","N"))</f>
        <v/>
      </c>
      <c r="BA287" s="10" t="str">
        <f aca="false">IF(C287="","",C287&amp;"|"&amp;I287&amp;"|"&amp;F287&amp;"|"&amp;AZ287)</f>
        <v/>
      </c>
    </row>
    <row r="288" customFormat="false" ht="15" hidden="false" customHeight="false" outlineLevel="0" collapsed="false">
      <c r="A288" s="10" t="str">
        <f aca="false">IF(C288="","","MH-"&amp;IFERROR(VLOOKUP(C288,Lists!$AB$4:$AC$20,2,0),"??")&amp;"-"&amp;TEXT(F288,"0000")&amp;IF(E288="Circular","D","x"&amp;TEXT(G288,"0000"))&amp;"-D"&amp;TEXT(I288*1000,"0000")&amp;"-"&amp;IFERROR(VLOOKUP(D288,Lists!$AE$4:$AF$16,2,0),"??")&amp;"-"&amp;AA288)</f>
        <v/>
      </c>
      <c r="B288" s="10" t="str">
        <f aca="false">IF(C288="","",C288&amp;", "&amp;D288&amp;", "&amp;IF(E288="Circular",F288&amp;" dia",F288&amp;" x "&amp;G288)&amp;", depth "&amp;TEXT(H288,"0.0")&amp;"-"&amp;TEXT(I288,"0.0")&amp;" m, pipe up to "&amp;J288&amp;" dia")</f>
        <v/>
      </c>
      <c r="C288" s="9"/>
      <c r="D288" s="9"/>
      <c r="E288" s="9"/>
      <c r="F288" s="40"/>
      <c r="G288" s="40"/>
      <c r="H288" s="43"/>
      <c r="I288" s="43"/>
      <c r="J288" s="40"/>
      <c r="K288" s="40"/>
      <c r="L288" s="40"/>
      <c r="M288" s="40"/>
      <c r="N288" s="9"/>
      <c r="O288" s="9"/>
      <c r="P288" s="9"/>
      <c r="Q288" s="9"/>
      <c r="R288" s="41"/>
      <c r="S288" s="9"/>
      <c r="T288" s="40"/>
      <c r="U288" s="9"/>
      <c r="V288" s="9"/>
      <c r="W288" s="9"/>
      <c r="X288" s="9"/>
      <c r="Y288" s="9"/>
      <c r="Z288" s="9"/>
      <c r="AA288" s="9"/>
      <c r="AB288" s="9"/>
      <c r="AC288" s="9"/>
      <c r="AD288" s="9"/>
      <c r="AE288" s="9"/>
      <c r="AF288" s="10" t="str">
        <f aca="false">IF(A288="","",SG_Criteria!$B$6&amp;SG_Criteria!$B$10&amp;"\"&amp;A288&amp;"\")</f>
        <v/>
      </c>
      <c r="AG288" s="10" t="str">
        <f aca="false">IF(A288="","",A288&amp;"_CAD.dwg")</f>
        <v/>
      </c>
      <c r="AH288" s="10" t="str">
        <f aca="false">IF(A288="","",A288&amp;"_DWG.pdf")</f>
        <v/>
      </c>
      <c r="AI288" s="10" t="str">
        <f aca="false">IF(A288="","",IF(AE288="Y",A288&amp;"_STAAD.std","n/a"))</f>
        <v/>
      </c>
      <c r="AJ288" s="10" t="str">
        <f aca="false">IF(A288="","",A288&amp;"_CALC.xlsx")</f>
        <v/>
      </c>
      <c r="AK288" s="10" t="str">
        <f aca="false">IF(A288="","",A288&amp;"_CALC.pdf")</f>
        <v/>
      </c>
      <c r="AL288" s="9"/>
      <c r="AM288" s="9"/>
      <c r="AN288" s="41"/>
      <c r="AO288" s="41"/>
      <c r="AP288" s="41"/>
      <c r="AQ288" s="41"/>
      <c r="AR288" s="41"/>
      <c r="AS288" s="38" t="str">
        <f aca="false">IF(C288="","",IF(LEN(IF(AND(S288&lt;&gt;"",IFERROR(VALUE(MID(S288,2,2)),0)&lt;SG_Criteria!$B$19),"FAIL: grade below C"&amp;SG_Criteria!$B$19&amp;". ","")&amp;IF(AND(T288&lt;&gt;"",T288&lt;SG_Criteria!$B$20),"FAIL: cover &lt; "&amp;SG_Criteria!$B$20&amp;" mm. ","")&amp;IF(AND(H288&lt;&gt;"",H288&lt;SG_Criteria!$B$39),"NOTE: min depth below PUB "&amp;SG_Criteria!$B$39&amp;" m. ","")&amp;IF(AND(LEFT(C288,8)="Standard",I288&gt;SG_Criteria!$B$42),"FAIL: PUB 001C covers manholes up to "&amp;SG_Criteria!$B$42&amp;" m deep only. ","")&amp;IF(AND(LEFT(C288,11)="Rectangular",J288&lt;SG_Criteria!$B$43),"NOTE: 004C is for sewers &gt;= "&amp;SG_Criteria!$B$43&amp;" dia. ","")&amp;IF(AND(LEFT(C288,7)="Precast",I288&lt;=SG_Criteria!$B$42),"NOTE: 006C is for manholes &gt; "&amp;SG_Criteria!$B$42&amp;" m deep. ","")&amp;IF(AND(J288&lt;&gt;"",J288&lt;SG_Criteria!$B$40,C288&lt;&gt;"Inspection Chamber"),"NOTE: public sewer min dia "&amp;SG_Criteria!$B$40&amp;" mm. ","")&amp;IF(AND(R288&lt;&gt;"",R288&lt;SG_Criteria!$B$44),"FAIL: uplift FOS below "&amp;SG_Criteria!$B$44&amp;". ",""))=0,"OK",IF(AND(S288&lt;&gt;"",IFERROR(VALUE(MID(S288,2,2)),0)&lt;SG_Criteria!$B$19),"FAIL: grade below C"&amp;SG_Criteria!$B$19&amp;". ","")&amp;IF(AND(T288&lt;&gt;"",T288&lt;SG_Criteria!$B$20),"FAIL: cover &lt; "&amp;SG_Criteria!$B$20&amp;" mm. ","")&amp;IF(AND(H288&lt;&gt;"",H288&lt;SG_Criteria!$B$39),"NOTE: min depth below PUB "&amp;SG_Criteria!$B$39&amp;" m. ","")&amp;IF(AND(LEFT(C288,8)="Standard",I288&gt;SG_Criteria!$B$42),"FAIL: PUB 001C covers manholes up to "&amp;SG_Criteria!$B$42&amp;" m deep only. ","")&amp;IF(AND(LEFT(C288,11)="Rectangular",J288&lt;SG_Criteria!$B$43),"NOTE: 004C is for sewers &gt;= "&amp;SG_Criteria!$B$43&amp;" dia. ","")&amp;IF(AND(LEFT(C288,7)="Precast",I288&lt;=SG_Criteria!$B$42),"NOTE: 006C is for manholes &gt; "&amp;SG_Criteria!$B$42&amp;" m deep. ","")&amp;IF(AND(J288&lt;&gt;"",J288&lt;SG_Criteria!$B$40,C288&lt;&gt;"Inspection Chamber"),"NOTE: public sewer min dia "&amp;SG_Criteria!$B$40&amp;" mm. ","")&amp;IF(AND(R288&lt;&gt;"",R288&lt;SG_Criteria!$B$44),"FAIL: uplift FOS below "&amp;SG_Criteria!$B$44&amp;". ","")))</f>
        <v/>
      </c>
      <c r="AT288" s="9"/>
      <c r="AU288" s="9"/>
      <c r="AV288" s="9"/>
      <c r="AW288" s="9"/>
      <c r="AX288" s="9"/>
      <c r="AY288" s="31"/>
      <c r="AZ288" s="10" t="str">
        <f aca="false">IF(C288="","",IF(AND(AB288="Approved",ISERROR(SEARCH("FAIL",AS288))),"Y","N"))</f>
        <v/>
      </c>
      <c r="BA288" s="10" t="str">
        <f aca="false">IF(C288="","",C288&amp;"|"&amp;I288&amp;"|"&amp;F288&amp;"|"&amp;AZ288)</f>
        <v/>
      </c>
    </row>
    <row r="289" customFormat="false" ht="15" hidden="false" customHeight="false" outlineLevel="0" collapsed="false">
      <c r="A289" s="10" t="str">
        <f aca="false">IF(C289="","","MH-"&amp;IFERROR(VLOOKUP(C289,Lists!$AB$4:$AC$20,2,0),"??")&amp;"-"&amp;TEXT(F289,"0000")&amp;IF(E289="Circular","D","x"&amp;TEXT(G289,"0000"))&amp;"-D"&amp;TEXT(I289*1000,"0000")&amp;"-"&amp;IFERROR(VLOOKUP(D289,Lists!$AE$4:$AF$16,2,0),"??")&amp;"-"&amp;AA289)</f>
        <v/>
      </c>
      <c r="B289" s="10" t="str">
        <f aca="false">IF(C289="","",C289&amp;", "&amp;D289&amp;", "&amp;IF(E289="Circular",F289&amp;" dia",F289&amp;" x "&amp;G289)&amp;", depth "&amp;TEXT(H289,"0.0")&amp;"-"&amp;TEXT(I289,"0.0")&amp;" m, pipe up to "&amp;J289&amp;" dia")</f>
        <v/>
      </c>
      <c r="C289" s="9"/>
      <c r="D289" s="9"/>
      <c r="E289" s="9"/>
      <c r="F289" s="40"/>
      <c r="G289" s="40"/>
      <c r="H289" s="43"/>
      <c r="I289" s="43"/>
      <c r="J289" s="40"/>
      <c r="K289" s="40"/>
      <c r="L289" s="40"/>
      <c r="M289" s="40"/>
      <c r="N289" s="9"/>
      <c r="O289" s="9"/>
      <c r="P289" s="9"/>
      <c r="Q289" s="9"/>
      <c r="R289" s="41"/>
      <c r="S289" s="9"/>
      <c r="T289" s="40"/>
      <c r="U289" s="9"/>
      <c r="V289" s="9"/>
      <c r="W289" s="9"/>
      <c r="X289" s="9"/>
      <c r="Y289" s="9"/>
      <c r="Z289" s="9"/>
      <c r="AA289" s="9"/>
      <c r="AB289" s="9"/>
      <c r="AC289" s="9"/>
      <c r="AD289" s="9"/>
      <c r="AE289" s="9"/>
      <c r="AF289" s="10" t="str">
        <f aca="false">IF(A289="","",SG_Criteria!$B$6&amp;SG_Criteria!$B$10&amp;"\"&amp;A289&amp;"\")</f>
        <v/>
      </c>
      <c r="AG289" s="10" t="str">
        <f aca="false">IF(A289="","",A289&amp;"_CAD.dwg")</f>
        <v/>
      </c>
      <c r="AH289" s="10" t="str">
        <f aca="false">IF(A289="","",A289&amp;"_DWG.pdf")</f>
        <v/>
      </c>
      <c r="AI289" s="10" t="str">
        <f aca="false">IF(A289="","",IF(AE289="Y",A289&amp;"_STAAD.std","n/a"))</f>
        <v/>
      </c>
      <c r="AJ289" s="10" t="str">
        <f aca="false">IF(A289="","",A289&amp;"_CALC.xlsx")</f>
        <v/>
      </c>
      <c r="AK289" s="10" t="str">
        <f aca="false">IF(A289="","",A289&amp;"_CALC.pdf")</f>
        <v/>
      </c>
      <c r="AL289" s="9"/>
      <c r="AM289" s="9"/>
      <c r="AN289" s="41"/>
      <c r="AO289" s="41"/>
      <c r="AP289" s="41"/>
      <c r="AQ289" s="41"/>
      <c r="AR289" s="41"/>
      <c r="AS289" s="38" t="str">
        <f aca="false">IF(C289="","",IF(LEN(IF(AND(S289&lt;&gt;"",IFERROR(VALUE(MID(S289,2,2)),0)&lt;SG_Criteria!$B$19),"FAIL: grade below C"&amp;SG_Criteria!$B$19&amp;". ","")&amp;IF(AND(T289&lt;&gt;"",T289&lt;SG_Criteria!$B$20),"FAIL: cover &lt; "&amp;SG_Criteria!$B$20&amp;" mm. ","")&amp;IF(AND(H289&lt;&gt;"",H289&lt;SG_Criteria!$B$39),"NOTE: min depth below PUB "&amp;SG_Criteria!$B$39&amp;" m. ","")&amp;IF(AND(LEFT(C289,8)="Standard",I289&gt;SG_Criteria!$B$42),"FAIL: PUB 001C covers manholes up to "&amp;SG_Criteria!$B$42&amp;" m deep only. ","")&amp;IF(AND(LEFT(C289,11)="Rectangular",J289&lt;SG_Criteria!$B$43),"NOTE: 004C is for sewers &gt;= "&amp;SG_Criteria!$B$43&amp;" dia. ","")&amp;IF(AND(LEFT(C289,7)="Precast",I289&lt;=SG_Criteria!$B$42),"NOTE: 006C is for manholes &gt; "&amp;SG_Criteria!$B$42&amp;" m deep. ","")&amp;IF(AND(J289&lt;&gt;"",J289&lt;SG_Criteria!$B$40,C289&lt;&gt;"Inspection Chamber"),"NOTE: public sewer min dia "&amp;SG_Criteria!$B$40&amp;" mm. ","")&amp;IF(AND(R289&lt;&gt;"",R289&lt;SG_Criteria!$B$44),"FAIL: uplift FOS below "&amp;SG_Criteria!$B$44&amp;". ",""))=0,"OK",IF(AND(S289&lt;&gt;"",IFERROR(VALUE(MID(S289,2,2)),0)&lt;SG_Criteria!$B$19),"FAIL: grade below C"&amp;SG_Criteria!$B$19&amp;". ","")&amp;IF(AND(T289&lt;&gt;"",T289&lt;SG_Criteria!$B$20),"FAIL: cover &lt; "&amp;SG_Criteria!$B$20&amp;" mm. ","")&amp;IF(AND(H289&lt;&gt;"",H289&lt;SG_Criteria!$B$39),"NOTE: min depth below PUB "&amp;SG_Criteria!$B$39&amp;" m. ","")&amp;IF(AND(LEFT(C289,8)="Standard",I289&gt;SG_Criteria!$B$42),"FAIL: PUB 001C covers manholes up to "&amp;SG_Criteria!$B$42&amp;" m deep only. ","")&amp;IF(AND(LEFT(C289,11)="Rectangular",J289&lt;SG_Criteria!$B$43),"NOTE: 004C is for sewers &gt;= "&amp;SG_Criteria!$B$43&amp;" dia. ","")&amp;IF(AND(LEFT(C289,7)="Precast",I289&lt;=SG_Criteria!$B$42),"NOTE: 006C is for manholes &gt; "&amp;SG_Criteria!$B$42&amp;" m deep. ","")&amp;IF(AND(J289&lt;&gt;"",J289&lt;SG_Criteria!$B$40,C289&lt;&gt;"Inspection Chamber"),"NOTE: public sewer min dia "&amp;SG_Criteria!$B$40&amp;" mm. ","")&amp;IF(AND(R289&lt;&gt;"",R289&lt;SG_Criteria!$B$44),"FAIL: uplift FOS below "&amp;SG_Criteria!$B$44&amp;". ","")))</f>
        <v/>
      </c>
      <c r="AT289" s="9"/>
      <c r="AU289" s="9"/>
      <c r="AV289" s="9"/>
      <c r="AW289" s="9"/>
      <c r="AX289" s="9"/>
      <c r="AY289" s="31"/>
      <c r="AZ289" s="10" t="str">
        <f aca="false">IF(C289="","",IF(AND(AB289="Approved",ISERROR(SEARCH("FAIL",AS289))),"Y","N"))</f>
        <v/>
      </c>
      <c r="BA289" s="10" t="str">
        <f aca="false">IF(C289="","",C289&amp;"|"&amp;I289&amp;"|"&amp;F289&amp;"|"&amp;AZ289)</f>
        <v/>
      </c>
    </row>
    <row r="290" customFormat="false" ht="15" hidden="false" customHeight="false" outlineLevel="0" collapsed="false">
      <c r="A290" s="10" t="str">
        <f aca="false">IF(C290="","","MH-"&amp;IFERROR(VLOOKUP(C290,Lists!$AB$4:$AC$20,2,0),"??")&amp;"-"&amp;TEXT(F290,"0000")&amp;IF(E290="Circular","D","x"&amp;TEXT(G290,"0000"))&amp;"-D"&amp;TEXT(I290*1000,"0000")&amp;"-"&amp;IFERROR(VLOOKUP(D290,Lists!$AE$4:$AF$16,2,0),"??")&amp;"-"&amp;AA290)</f>
        <v/>
      </c>
      <c r="B290" s="10" t="str">
        <f aca="false">IF(C290="","",C290&amp;", "&amp;D290&amp;", "&amp;IF(E290="Circular",F290&amp;" dia",F290&amp;" x "&amp;G290)&amp;", depth "&amp;TEXT(H290,"0.0")&amp;"-"&amp;TEXT(I290,"0.0")&amp;" m, pipe up to "&amp;J290&amp;" dia")</f>
        <v/>
      </c>
      <c r="C290" s="9"/>
      <c r="D290" s="9"/>
      <c r="E290" s="9"/>
      <c r="F290" s="40"/>
      <c r="G290" s="40"/>
      <c r="H290" s="43"/>
      <c r="I290" s="43"/>
      <c r="J290" s="40"/>
      <c r="K290" s="40"/>
      <c r="L290" s="40"/>
      <c r="M290" s="40"/>
      <c r="N290" s="9"/>
      <c r="O290" s="9"/>
      <c r="P290" s="9"/>
      <c r="Q290" s="9"/>
      <c r="R290" s="41"/>
      <c r="S290" s="9"/>
      <c r="T290" s="40"/>
      <c r="U290" s="9"/>
      <c r="V290" s="9"/>
      <c r="W290" s="9"/>
      <c r="X290" s="9"/>
      <c r="Y290" s="9"/>
      <c r="Z290" s="9"/>
      <c r="AA290" s="9"/>
      <c r="AB290" s="9"/>
      <c r="AC290" s="9"/>
      <c r="AD290" s="9"/>
      <c r="AE290" s="9"/>
      <c r="AF290" s="10" t="str">
        <f aca="false">IF(A290="","",SG_Criteria!$B$6&amp;SG_Criteria!$B$10&amp;"\"&amp;A290&amp;"\")</f>
        <v/>
      </c>
      <c r="AG290" s="10" t="str">
        <f aca="false">IF(A290="","",A290&amp;"_CAD.dwg")</f>
        <v/>
      </c>
      <c r="AH290" s="10" t="str">
        <f aca="false">IF(A290="","",A290&amp;"_DWG.pdf")</f>
        <v/>
      </c>
      <c r="AI290" s="10" t="str">
        <f aca="false">IF(A290="","",IF(AE290="Y",A290&amp;"_STAAD.std","n/a"))</f>
        <v/>
      </c>
      <c r="AJ290" s="10" t="str">
        <f aca="false">IF(A290="","",A290&amp;"_CALC.xlsx")</f>
        <v/>
      </c>
      <c r="AK290" s="10" t="str">
        <f aca="false">IF(A290="","",A290&amp;"_CALC.pdf")</f>
        <v/>
      </c>
      <c r="AL290" s="9"/>
      <c r="AM290" s="9"/>
      <c r="AN290" s="41"/>
      <c r="AO290" s="41"/>
      <c r="AP290" s="41"/>
      <c r="AQ290" s="41"/>
      <c r="AR290" s="41"/>
      <c r="AS290" s="38" t="str">
        <f aca="false">IF(C290="","",IF(LEN(IF(AND(S290&lt;&gt;"",IFERROR(VALUE(MID(S290,2,2)),0)&lt;SG_Criteria!$B$19),"FAIL: grade below C"&amp;SG_Criteria!$B$19&amp;". ","")&amp;IF(AND(T290&lt;&gt;"",T290&lt;SG_Criteria!$B$20),"FAIL: cover &lt; "&amp;SG_Criteria!$B$20&amp;" mm. ","")&amp;IF(AND(H290&lt;&gt;"",H290&lt;SG_Criteria!$B$39),"NOTE: min depth below PUB "&amp;SG_Criteria!$B$39&amp;" m. ","")&amp;IF(AND(LEFT(C290,8)="Standard",I290&gt;SG_Criteria!$B$42),"FAIL: PUB 001C covers manholes up to "&amp;SG_Criteria!$B$42&amp;" m deep only. ","")&amp;IF(AND(LEFT(C290,11)="Rectangular",J290&lt;SG_Criteria!$B$43),"NOTE: 004C is for sewers &gt;= "&amp;SG_Criteria!$B$43&amp;" dia. ","")&amp;IF(AND(LEFT(C290,7)="Precast",I290&lt;=SG_Criteria!$B$42),"NOTE: 006C is for manholes &gt; "&amp;SG_Criteria!$B$42&amp;" m deep. ","")&amp;IF(AND(J290&lt;&gt;"",J290&lt;SG_Criteria!$B$40,C290&lt;&gt;"Inspection Chamber"),"NOTE: public sewer min dia "&amp;SG_Criteria!$B$40&amp;" mm. ","")&amp;IF(AND(R290&lt;&gt;"",R290&lt;SG_Criteria!$B$44),"FAIL: uplift FOS below "&amp;SG_Criteria!$B$44&amp;". ",""))=0,"OK",IF(AND(S290&lt;&gt;"",IFERROR(VALUE(MID(S290,2,2)),0)&lt;SG_Criteria!$B$19),"FAIL: grade below C"&amp;SG_Criteria!$B$19&amp;". ","")&amp;IF(AND(T290&lt;&gt;"",T290&lt;SG_Criteria!$B$20),"FAIL: cover &lt; "&amp;SG_Criteria!$B$20&amp;" mm. ","")&amp;IF(AND(H290&lt;&gt;"",H290&lt;SG_Criteria!$B$39),"NOTE: min depth below PUB "&amp;SG_Criteria!$B$39&amp;" m. ","")&amp;IF(AND(LEFT(C290,8)="Standard",I290&gt;SG_Criteria!$B$42),"FAIL: PUB 001C covers manholes up to "&amp;SG_Criteria!$B$42&amp;" m deep only. ","")&amp;IF(AND(LEFT(C290,11)="Rectangular",J290&lt;SG_Criteria!$B$43),"NOTE: 004C is for sewers &gt;= "&amp;SG_Criteria!$B$43&amp;" dia. ","")&amp;IF(AND(LEFT(C290,7)="Precast",I290&lt;=SG_Criteria!$B$42),"NOTE: 006C is for manholes &gt; "&amp;SG_Criteria!$B$42&amp;" m deep. ","")&amp;IF(AND(J290&lt;&gt;"",J290&lt;SG_Criteria!$B$40,C290&lt;&gt;"Inspection Chamber"),"NOTE: public sewer min dia "&amp;SG_Criteria!$B$40&amp;" mm. ","")&amp;IF(AND(R290&lt;&gt;"",R290&lt;SG_Criteria!$B$44),"FAIL: uplift FOS below "&amp;SG_Criteria!$B$44&amp;". ","")))</f>
        <v/>
      </c>
      <c r="AT290" s="9"/>
      <c r="AU290" s="9"/>
      <c r="AV290" s="9"/>
      <c r="AW290" s="9"/>
      <c r="AX290" s="9"/>
      <c r="AY290" s="31"/>
      <c r="AZ290" s="10" t="str">
        <f aca="false">IF(C290="","",IF(AND(AB290="Approved",ISERROR(SEARCH("FAIL",AS290))),"Y","N"))</f>
        <v/>
      </c>
      <c r="BA290" s="10" t="str">
        <f aca="false">IF(C290="","",C290&amp;"|"&amp;I290&amp;"|"&amp;F290&amp;"|"&amp;AZ290)</f>
        <v/>
      </c>
    </row>
    <row r="291" customFormat="false" ht="15" hidden="false" customHeight="false" outlineLevel="0" collapsed="false">
      <c r="A291" s="10" t="str">
        <f aca="false">IF(C291="","","MH-"&amp;IFERROR(VLOOKUP(C291,Lists!$AB$4:$AC$20,2,0),"??")&amp;"-"&amp;TEXT(F291,"0000")&amp;IF(E291="Circular","D","x"&amp;TEXT(G291,"0000"))&amp;"-D"&amp;TEXT(I291*1000,"0000")&amp;"-"&amp;IFERROR(VLOOKUP(D291,Lists!$AE$4:$AF$16,2,0),"??")&amp;"-"&amp;AA291)</f>
        <v/>
      </c>
      <c r="B291" s="10" t="str">
        <f aca="false">IF(C291="","",C291&amp;", "&amp;D291&amp;", "&amp;IF(E291="Circular",F291&amp;" dia",F291&amp;" x "&amp;G291)&amp;", depth "&amp;TEXT(H291,"0.0")&amp;"-"&amp;TEXT(I291,"0.0")&amp;" m, pipe up to "&amp;J291&amp;" dia")</f>
        <v/>
      </c>
      <c r="C291" s="9"/>
      <c r="D291" s="9"/>
      <c r="E291" s="9"/>
      <c r="F291" s="40"/>
      <c r="G291" s="40"/>
      <c r="H291" s="43"/>
      <c r="I291" s="43"/>
      <c r="J291" s="40"/>
      <c r="K291" s="40"/>
      <c r="L291" s="40"/>
      <c r="M291" s="40"/>
      <c r="N291" s="9"/>
      <c r="O291" s="9"/>
      <c r="P291" s="9"/>
      <c r="Q291" s="9"/>
      <c r="R291" s="41"/>
      <c r="S291" s="9"/>
      <c r="T291" s="40"/>
      <c r="U291" s="9"/>
      <c r="V291" s="9"/>
      <c r="W291" s="9"/>
      <c r="X291" s="9"/>
      <c r="Y291" s="9"/>
      <c r="Z291" s="9"/>
      <c r="AA291" s="9"/>
      <c r="AB291" s="9"/>
      <c r="AC291" s="9"/>
      <c r="AD291" s="9"/>
      <c r="AE291" s="9"/>
      <c r="AF291" s="10" t="str">
        <f aca="false">IF(A291="","",SG_Criteria!$B$6&amp;SG_Criteria!$B$10&amp;"\"&amp;A291&amp;"\")</f>
        <v/>
      </c>
      <c r="AG291" s="10" t="str">
        <f aca="false">IF(A291="","",A291&amp;"_CAD.dwg")</f>
        <v/>
      </c>
      <c r="AH291" s="10" t="str">
        <f aca="false">IF(A291="","",A291&amp;"_DWG.pdf")</f>
        <v/>
      </c>
      <c r="AI291" s="10" t="str">
        <f aca="false">IF(A291="","",IF(AE291="Y",A291&amp;"_STAAD.std","n/a"))</f>
        <v/>
      </c>
      <c r="AJ291" s="10" t="str">
        <f aca="false">IF(A291="","",A291&amp;"_CALC.xlsx")</f>
        <v/>
      </c>
      <c r="AK291" s="10" t="str">
        <f aca="false">IF(A291="","",A291&amp;"_CALC.pdf")</f>
        <v/>
      </c>
      <c r="AL291" s="9"/>
      <c r="AM291" s="9"/>
      <c r="AN291" s="41"/>
      <c r="AO291" s="41"/>
      <c r="AP291" s="41"/>
      <c r="AQ291" s="41"/>
      <c r="AR291" s="41"/>
      <c r="AS291" s="38" t="str">
        <f aca="false">IF(C291="","",IF(LEN(IF(AND(S291&lt;&gt;"",IFERROR(VALUE(MID(S291,2,2)),0)&lt;SG_Criteria!$B$19),"FAIL: grade below C"&amp;SG_Criteria!$B$19&amp;". ","")&amp;IF(AND(T291&lt;&gt;"",T291&lt;SG_Criteria!$B$20),"FAIL: cover &lt; "&amp;SG_Criteria!$B$20&amp;" mm. ","")&amp;IF(AND(H291&lt;&gt;"",H291&lt;SG_Criteria!$B$39),"NOTE: min depth below PUB "&amp;SG_Criteria!$B$39&amp;" m. ","")&amp;IF(AND(LEFT(C291,8)="Standard",I291&gt;SG_Criteria!$B$42),"FAIL: PUB 001C covers manholes up to "&amp;SG_Criteria!$B$42&amp;" m deep only. ","")&amp;IF(AND(LEFT(C291,11)="Rectangular",J291&lt;SG_Criteria!$B$43),"NOTE: 004C is for sewers &gt;= "&amp;SG_Criteria!$B$43&amp;" dia. ","")&amp;IF(AND(LEFT(C291,7)="Precast",I291&lt;=SG_Criteria!$B$42),"NOTE: 006C is for manholes &gt; "&amp;SG_Criteria!$B$42&amp;" m deep. ","")&amp;IF(AND(J291&lt;&gt;"",J291&lt;SG_Criteria!$B$40,C291&lt;&gt;"Inspection Chamber"),"NOTE: public sewer min dia "&amp;SG_Criteria!$B$40&amp;" mm. ","")&amp;IF(AND(R291&lt;&gt;"",R291&lt;SG_Criteria!$B$44),"FAIL: uplift FOS below "&amp;SG_Criteria!$B$44&amp;". ",""))=0,"OK",IF(AND(S291&lt;&gt;"",IFERROR(VALUE(MID(S291,2,2)),0)&lt;SG_Criteria!$B$19),"FAIL: grade below C"&amp;SG_Criteria!$B$19&amp;". ","")&amp;IF(AND(T291&lt;&gt;"",T291&lt;SG_Criteria!$B$20),"FAIL: cover &lt; "&amp;SG_Criteria!$B$20&amp;" mm. ","")&amp;IF(AND(H291&lt;&gt;"",H291&lt;SG_Criteria!$B$39),"NOTE: min depth below PUB "&amp;SG_Criteria!$B$39&amp;" m. ","")&amp;IF(AND(LEFT(C291,8)="Standard",I291&gt;SG_Criteria!$B$42),"FAIL: PUB 001C covers manholes up to "&amp;SG_Criteria!$B$42&amp;" m deep only. ","")&amp;IF(AND(LEFT(C291,11)="Rectangular",J291&lt;SG_Criteria!$B$43),"NOTE: 004C is for sewers &gt;= "&amp;SG_Criteria!$B$43&amp;" dia. ","")&amp;IF(AND(LEFT(C291,7)="Precast",I291&lt;=SG_Criteria!$B$42),"NOTE: 006C is for manholes &gt; "&amp;SG_Criteria!$B$42&amp;" m deep. ","")&amp;IF(AND(J291&lt;&gt;"",J291&lt;SG_Criteria!$B$40,C291&lt;&gt;"Inspection Chamber"),"NOTE: public sewer min dia "&amp;SG_Criteria!$B$40&amp;" mm. ","")&amp;IF(AND(R291&lt;&gt;"",R291&lt;SG_Criteria!$B$44),"FAIL: uplift FOS below "&amp;SG_Criteria!$B$44&amp;". ","")))</f>
        <v/>
      </c>
      <c r="AT291" s="9"/>
      <c r="AU291" s="9"/>
      <c r="AV291" s="9"/>
      <c r="AW291" s="9"/>
      <c r="AX291" s="9"/>
      <c r="AY291" s="31"/>
      <c r="AZ291" s="10" t="str">
        <f aca="false">IF(C291="","",IF(AND(AB291="Approved",ISERROR(SEARCH("FAIL",AS291))),"Y","N"))</f>
        <v/>
      </c>
      <c r="BA291" s="10" t="str">
        <f aca="false">IF(C291="","",C291&amp;"|"&amp;I291&amp;"|"&amp;F291&amp;"|"&amp;AZ291)</f>
        <v/>
      </c>
    </row>
    <row r="292" customFormat="false" ht="15" hidden="false" customHeight="false" outlineLevel="0" collapsed="false">
      <c r="A292" s="10" t="str">
        <f aca="false">IF(C292="","","MH-"&amp;IFERROR(VLOOKUP(C292,Lists!$AB$4:$AC$20,2,0),"??")&amp;"-"&amp;TEXT(F292,"0000")&amp;IF(E292="Circular","D","x"&amp;TEXT(G292,"0000"))&amp;"-D"&amp;TEXT(I292*1000,"0000")&amp;"-"&amp;IFERROR(VLOOKUP(D292,Lists!$AE$4:$AF$16,2,0),"??")&amp;"-"&amp;AA292)</f>
        <v/>
      </c>
      <c r="B292" s="10" t="str">
        <f aca="false">IF(C292="","",C292&amp;", "&amp;D292&amp;", "&amp;IF(E292="Circular",F292&amp;" dia",F292&amp;" x "&amp;G292)&amp;", depth "&amp;TEXT(H292,"0.0")&amp;"-"&amp;TEXT(I292,"0.0")&amp;" m, pipe up to "&amp;J292&amp;" dia")</f>
        <v/>
      </c>
      <c r="C292" s="9"/>
      <c r="D292" s="9"/>
      <c r="E292" s="9"/>
      <c r="F292" s="40"/>
      <c r="G292" s="40"/>
      <c r="H292" s="43"/>
      <c r="I292" s="43"/>
      <c r="J292" s="40"/>
      <c r="K292" s="40"/>
      <c r="L292" s="40"/>
      <c r="M292" s="40"/>
      <c r="N292" s="9"/>
      <c r="O292" s="9"/>
      <c r="P292" s="9"/>
      <c r="Q292" s="9"/>
      <c r="R292" s="41"/>
      <c r="S292" s="9"/>
      <c r="T292" s="40"/>
      <c r="U292" s="9"/>
      <c r="V292" s="9"/>
      <c r="W292" s="9"/>
      <c r="X292" s="9"/>
      <c r="Y292" s="9"/>
      <c r="Z292" s="9"/>
      <c r="AA292" s="9"/>
      <c r="AB292" s="9"/>
      <c r="AC292" s="9"/>
      <c r="AD292" s="9"/>
      <c r="AE292" s="9"/>
      <c r="AF292" s="10" t="str">
        <f aca="false">IF(A292="","",SG_Criteria!$B$6&amp;SG_Criteria!$B$10&amp;"\"&amp;A292&amp;"\")</f>
        <v/>
      </c>
      <c r="AG292" s="10" t="str">
        <f aca="false">IF(A292="","",A292&amp;"_CAD.dwg")</f>
        <v/>
      </c>
      <c r="AH292" s="10" t="str">
        <f aca="false">IF(A292="","",A292&amp;"_DWG.pdf")</f>
        <v/>
      </c>
      <c r="AI292" s="10" t="str">
        <f aca="false">IF(A292="","",IF(AE292="Y",A292&amp;"_STAAD.std","n/a"))</f>
        <v/>
      </c>
      <c r="AJ292" s="10" t="str">
        <f aca="false">IF(A292="","",A292&amp;"_CALC.xlsx")</f>
        <v/>
      </c>
      <c r="AK292" s="10" t="str">
        <f aca="false">IF(A292="","",A292&amp;"_CALC.pdf")</f>
        <v/>
      </c>
      <c r="AL292" s="9"/>
      <c r="AM292" s="9"/>
      <c r="AN292" s="41"/>
      <c r="AO292" s="41"/>
      <c r="AP292" s="41"/>
      <c r="AQ292" s="41"/>
      <c r="AR292" s="41"/>
      <c r="AS292" s="38" t="str">
        <f aca="false">IF(C292="","",IF(LEN(IF(AND(S292&lt;&gt;"",IFERROR(VALUE(MID(S292,2,2)),0)&lt;SG_Criteria!$B$19),"FAIL: grade below C"&amp;SG_Criteria!$B$19&amp;". ","")&amp;IF(AND(T292&lt;&gt;"",T292&lt;SG_Criteria!$B$20),"FAIL: cover &lt; "&amp;SG_Criteria!$B$20&amp;" mm. ","")&amp;IF(AND(H292&lt;&gt;"",H292&lt;SG_Criteria!$B$39),"NOTE: min depth below PUB "&amp;SG_Criteria!$B$39&amp;" m. ","")&amp;IF(AND(LEFT(C292,8)="Standard",I292&gt;SG_Criteria!$B$42),"FAIL: PUB 001C covers manholes up to "&amp;SG_Criteria!$B$42&amp;" m deep only. ","")&amp;IF(AND(LEFT(C292,11)="Rectangular",J292&lt;SG_Criteria!$B$43),"NOTE: 004C is for sewers &gt;= "&amp;SG_Criteria!$B$43&amp;" dia. ","")&amp;IF(AND(LEFT(C292,7)="Precast",I292&lt;=SG_Criteria!$B$42),"NOTE: 006C is for manholes &gt; "&amp;SG_Criteria!$B$42&amp;" m deep. ","")&amp;IF(AND(J292&lt;&gt;"",J292&lt;SG_Criteria!$B$40,C292&lt;&gt;"Inspection Chamber"),"NOTE: public sewer min dia "&amp;SG_Criteria!$B$40&amp;" mm. ","")&amp;IF(AND(R292&lt;&gt;"",R292&lt;SG_Criteria!$B$44),"FAIL: uplift FOS below "&amp;SG_Criteria!$B$44&amp;". ",""))=0,"OK",IF(AND(S292&lt;&gt;"",IFERROR(VALUE(MID(S292,2,2)),0)&lt;SG_Criteria!$B$19),"FAIL: grade below C"&amp;SG_Criteria!$B$19&amp;". ","")&amp;IF(AND(T292&lt;&gt;"",T292&lt;SG_Criteria!$B$20),"FAIL: cover &lt; "&amp;SG_Criteria!$B$20&amp;" mm. ","")&amp;IF(AND(H292&lt;&gt;"",H292&lt;SG_Criteria!$B$39),"NOTE: min depth below PUB "&amp;SG_Criteria!$B$39&amp;" m. ","")&amp;IF(AND(LEFT(C292,8)="Standard",I292&gt;SG_Criteria!$B$42),"FAIL: PUB 001C covers manholes up to "&amp;SG_Criteria!$B$42&amp;" m deep only. ","")&amp;IF(AND(LEFT(C292,11)="Rectangular",J292&lt;SG_Criteria!$B$43),"NOTE: 004C is for sewers &gt;= "&amp;SG_Criteria!$B$43&amp;" dia. ","")&amp;IF(AND(LEFT(C292,7)="Precast",I292&lt;=SG_Criteria!$B$42),"NOTE: 006C is for manholes &gt; "&amp;SG_Criteria!$B$42&amp;" m deep. ","")&amp;IF(AND(J292&lt;&gt;"",J292&lt;SG_Criteria!$B$40,C292&lt;&gt;"Inspection Chamber"),"NOTE: public sewer min dia "&amp;SG_Criteria!$B$40&amp;" mm. ","")&amp;IF(AND(R292&lt;&gt;"",R292&lt;SG_Criteria!$B$44),"FAIL: uplift FOS below "&amp;SG_Criteria!$B$44&amp;". ","")))</f>
        <v/>
      </c>
      <c r="AT292" s="9"/>
      <c r="AU292" s="9"/>
      <c r="AV292" s="9"/>
      <c r="AW292" s="9"/>
      <c r="AX292" s="9"/>
      <c r="AY292" s="31"/>
      <c r="AZ292" s="10" t="str">
        <f aca="false">IF(C292="","",IF(AND(AB292="Approved",ISERROR(SEARCH("FAIL",AS292))),"Y","N"))</f>
        <v/>
      </c>
      <c r="BA292" s="10" t="str">
        <f aca="false">IF(C292="","",C292&amp;"|"&amp;I292&amp;"|"&amp;F292&amp;"|"&amp;AZ292)</f>
        <v/>
      </c>
    </row>
    <row r="293" customFormat="false" ht="15" hidden="false" customHeight="false" outlineLevel="0" collapsed="false">
      <c r="A293" s="10" t="str">
        <f aca="false">IF(C293="","","MH-"&amp;IFERROR(VLOOKUP(C293,Lists!$AB$4:$AC$20,2,0),"??")&amp;"-"&amp;TEXT(F293,"0000")&amp;IF(E293="Circular","D","x"&amp;TEXT(G293,"0000"))&amp;"-D"&amp;TEXT(I293*1000,"0000")&amp;"-"&amp;IFERROR(VLOOKUP(D293,Lists!$AE$4:$AF$16,2,0),"??")&amp;"-"&amp;AA293)</f>
        <v/>
      </c>
      <c r="B293" s="10" t="str">
        <f aca="false">IF(C293="","",C293&amp;", "&amp;D293&amp;", "&amp;IF(E293="Circular",F293&amp;" dia",F293&amp;" x "&amp;G293)&amp;", depth "&amp;TEXT(H293,"0.0")&amp;"-"&amp;TEXT(I293,"0.0")&amp;" m, pipe up to "&amp;J293&amp;" dia")</f>
        <v/>
      </c>
      <c r="C293" s="9"/>
      <c r="D293" s="9"/>
      <c r="E293" s="9"/>
      <c r="F293" s="40"/>
      <c r="G293" s="40"/>
      <c r="H293" s="43"/>
      <c r="I293" s="43"/>
      <c r="J293" s="40"/>
      <c r="K293" s="40"/>
      <c r="L293" s="40"/>
      <c r="M293" s="40"/>
      <c r="N293" s="9"/>
      <c r="O293" s="9"/>
      <c r="P293" s="9"/>
      <c r="Q293" s="9"/>
      <c r="R293" s="41"/>
      <c r="S293" s="9"/>
      <c r="T293" s="40"/>
      <c r="U293" s="9"/>
      <c r="V293" s="9"/>
      <c r="W293" s="9"/>
      <c r="X293" s="9"/>
      <c r="Y293" s="9"/>
      <c r="Z293" s="9"/>
      <c r="AA293" s="9"/>
      <c r="AB293" s="9"/>
      <c r="AC293" s="9"/>
      <c r="AD293" s="9"/>
      <c r="AE293" s="9"/>
      <c r="AF293" s="10" t="str">
        <f aca="false">IF(A293="","",SG_Criteria!$B$6&amp;SG_Criteria!$B$10&amp;"\"&amp;A293&amp;"\")</f>
        <v/>
      </c>
      <c r="AG293" s="10" t="str">
        <f aca="false">IF(A293="","",A293&amp;"_CAD.dwg")</f>
        <v/>
      </c>
      <c r="AH293" s="10" t="str">
        <f aca="false">IF(A293="","",A293&amp;"_DWG.pdf")</f>
        <v/>
      </c>
      <c r="AI293" s="10" t="str">
        <f aca="false">IF(A293="","",IF(AE293="Y",A293&amp;"_STAAD.std","n/a"))</f>
        <v/>
      </c>
      <c r="AJ293" s="10" t="str">
        <f aca="false">IF(A293="","",A293&amp;"_CALC.xlsx")</f>
        <v/>
      </c>
      <c r="AK293" s="10" t="str">
        <f aca="false">IF(A293="","",A293&amp;"_CALC.pdf")</f>
        <v/>
      </c>
      <c r="AL293" s="9"/>
      <c r="AM293" s="9"/>
      <c r="AN293" s="41"/>
      <c r="AO293" s="41"/>
      <c r="AP293" s="41"/>
      <c r="AQ293" s="41"/>
      <c r="AR293" s="41"/>
      <c r="AS293" s="38" t="str">
        <f aca="false">IF(C293="","",IF(LEN(IF(AND(S293&lt;&gt;"",IFERROR(VALUE(MID(S293,2,2)),0)&lt;SG_Criteria!$B$19),"FAIL: grade below C"&amp;SG_Criteria!$B$19&amp;". ","")&amp;IF(AND(T293&lt;&gt;"",T293&lt;SG_Criteria!$B$20),"FAIL: cover &lt; "&amp;SG_Criteria!$B$20&amp;" mm. ","")&amp;IF(AND(H293&lt;&gt;"",H293&lt;SG_Criteria!$B$39),"NOTE: min depth below PUB "&amp;SG_Criteria!$B$39&amp;" m. ","")&amp;IF(AND(LEFT(C293,8)="Standard",I293&gt;SG_Criteria!$B$42),"FAIL: PUB 001C covers manholes up to "&amp;SG_Criteria!$B$42&amp;" m deep only. ","")&amp;IF(AND(LEFT(C293,11)="Rectangular",J293&lt;SG_Criteria!$B$43),"NOTE: 004C is for sewers &gt;= "&amp;SG_Criteria!$B$43&amp;" dia. ","")&amp;IF(AND(LEFT(C293,7)="Precast",I293&lt;=SG_Criteria!$B$42),"NOTE: 006C is for manholes &gt; "&amp;SG_Criteria!$B$42&amp;" m deep. ","")&amp;IF(AND(J293&lt;&gt;"",J293&lt;SG_Criteria!$B$40,C293&lt;&gt;"Inspection Chamber"),"NOTE: public sewer min dia "&amp;SG_Criteria!$B$40&amp;" mm. ","")&amp;IF(AND(R293&lt;&gt;"",R293&lt;SG_Criteria!$B$44),"FAIL: uplift FOS below "&amp;SG_Criteria!$B$44&amp;". ",""))=0,"OK",IF(AND(S293&lt;&gt;"",IFERROR(VALUE(MID(S293,2,2)),0)&lt;SG_Criteria!$B$19),"FAIL: grade below C"&amp;SG_Criteria!$B$19&amp;". ","")&amp;IF(AND(T293&lt;&gt;"",T293&lt;SG_Criteria!$B$20),"FAIL: cover &lt; "&amp;SG_Criteria!$B$20&amp;" mm. ","")&amp;IF(AND(H293&lt;&gt;"",H293&lt;SG_Criteria!$B$39),"NOTE: min depth below PUB "&amp;SG_Criteria!$B$39&amp;" m. ","")&amp;IF(AND(LEFT(C293,8)="Standard",I293&gt;SG_Criteria!$B$42),"FAIL: PUB 001C covers manholes up to "&amp;SG_Criteria!$B$42&amp;" m deep only. ","")&amp;IF(AND(LEFT(C293,11)="Rectangular",J293&lt;SG_Criteria!$B$43),"NOTE: 004C is for sewers &gt;= "&amp;SG_Criteria!$B$43&amp;" dia. ","")&amp;IF(AND(LEFT(C293,7)="Precast",I293&lt;=SG_Criteria!$B$42),"NOTE: 006C is for manholes &gt; "&amp;SG_Criteria!$B$42&amp;" m deep. ","")&amp;IF(AND(J293&lt;&gt;"",J293&lt;SG_Criteria!$B$40,C293&lt;&gt;"Inspection Chamber"),"NOTE: public sewer min dia "&amp;SG_Criteria!$B$40&amp;" mm. ","")&amp;IF(AND(R293&lt;&gt;"",R293&lt;SG_Criteria!$B$44),"FAIL: uplift FOS below "&amp;SG_Criteria!$B$44&amp;". ","")))</f>
        <v/>
      </c>
      <c r="AT293" s="9"/>
      <c r="AU293" s="9"/>
      <c r="AV293" s="9"/>
      <c r="AW293" s="9"/>
      <c r="AX293" s="9"/>
      <c r="AY293" s="31"/>
      <c r="AZ293" s="10" t="str">
        <f aca="false">IF(C293="","",IF(AND(AB293="Approved",ISERROR(SEARCH("FAIL",AS293))),"Y","N"))</f>
        <v/>
      </c>
      <c r="BA293" s="10" t="str">
        <f aca="false">IF(C293="","",C293&amp;"|"&amp;I293&amp;"|"&amp;F293&amp;"|"&amp;AZ293)</f>
        <v/>
      </c>
    </row>
    <row r="294" customFormat="false" ht="15" hidden="false" customHeight="false" outlineLevel="0" collapsed="false">
      <c r="A294" s="10" t="str">
        <f aca="false">IF(C294="","","MH-"&amp;IFERROR(VLOOKUP(C294,Lists!$AB$4:$AC$20,2,0),"??")&amp;"-"&amp;TEXT(F294,"0000")&amp;IF(E294="Circular","D","x"&amp;TEXT(G294,"0000"))&amp;"-D"&amp;TEXT(I294*1000,"0000")&amp;"-"&amp;IFERROR(VLOOKUP(D294,Lists!$AE$4:$AF$16,2,0),"??")&amp;"-"&amp;AA294)</f>
        <v/>
      </c>
      <c r="B294" s="10" t="str">
        <f aca="false">IF(C294="","",C294&amp;", "&amp;D294&amp;", "&amp;IF(E294="Circular",F294&amp;" dia",F294&amp;" x "&amp;G294)&amp;", depth "&amp;TEXT(H294,"0.0")&amp;"-"&amp;TEXT(I294,"0.0")&amp;" m, pipe up to "&amp;J294&amp;" dia")</f>
        <v/>
      </c>
      <c r="C294" s="9"/>
      <c r="D294" s="9"/>
      <c r="E294" s="9"/>
      <c r="F294" s="40"/>
      <c r="G294" s="40"/>
      <c r="H294" s="43"/>
      <c r="I294" s="43"/>
      <c r="J294" s="40"/>
      <c r="K294" s="40"/>
      <c r="L294" s="40"/>
      <c r="M294" s="40"/>
      <c r="N294" s="9"/>
      <c r="O294" s="9"/>
      <c r="P294" s="9"/>
      <c r="Q294" s="9"/>
      <c r="R294" s="41"/>
      <c r="S294" s="9"/>
      <c r="T294" s="40"/>
      <c r="U294" s="9"/>
      <c r="V294" s="9"/>
      <c r="W294" s="9"/>
      <c r="X294" s="9"/>
      <c r="Y294" s="9"/>
      <c r="Z294" s="9"/>
      <c r="AA294" s="9"/>
      <c r="AB294" s="9"/>
      <c r="AC294" s="9"/>
      <c r="AD294" s="9"/>
      <c r="AE294" s="9"/>
      <c r="AF294" s="10" t="str">
        <f aca="false">IF(A294="","",SG_Criteria!$B$6&amp;SG_Criteria!$B$10&amp;"\"&amp;A294&amp;"\")</f>
        <v/>
      </c>
      <c r="AG294" s="10" t="str">
        <f aca="false">IF(A294="","",A294&amp;"_CAD.dwg")</f>
        <v/>
      </c>
      <c r="AH294" s="10" t="str">
        <f aca="false">IF(A294="","",A294&amp;"_DWG.pdf")</f>
        <v/>
      </c>
      <c r="AI294" s="10" t="str">
        <f aca="false">IF(A294="","",IF(AE294="Y",A294&amp;"_STAAD.std","n/a"))</f>
        <v/>
      </c>
      <c r="AJ294" s="10" t="str">
        <f aca="false">IF(A294="","",A294&amp;"_CALC.xlsx")</f>
        <v/>
      </c>
      <c r="AK294" s="10" t="str">
        <f aca="false">IF(A294="","",A294&amp;"_CALC.pdf")</f>
        <v/>
      </c>
      <c r="AL294" s="9"/>
      <c r="AM294" s="9"/>
      <c r="AN294" s="41"/>
      <c r="AO294" s="41"/>
      <c r="AP294" s="41"/>
      <c r="AQ294" s="41"/>
      <c r="AR294" s="41"/>
      <c r="AS294" s="38" t="str">
        <f aca="false">IF(C294="","",IF(LEN(IF(AND(S294&lt;&gt;"",IFERROR(VALUE(MID(S294,2,2)),0)&lt;SG_Criteria!$B$19),"FAIL: grade below C"&amp;SG_Criteria!$B$19&amp;". ","")&amp;IF(AND(T294&lt;&gt;"",T294&lt;SG_Criteria!$B$20),"FAIL: cover &lt; "&amp;SG_Criteria!$B$20&amp;" mm. ","")&amp;IF(AND(H294&lt;&gt;"",H294&lt;SG_Criteria!$B$39),"NOTE: min depth below PUB "&amp;SG_Criteria!$B$39&amp;" m. ","")&amp;IF(AND(LEFT(C294,8)="Standard",I294&gt;SG_Criteria!$B$42),"FAIL: PUB 001C covers manholes up to "&amp;SG_Criteria!$B$42&amp;" m deep only. ","")&amp;IF(AND(LEFT(C294,11)="Rectangular",J294&lt;SG_Criteria!$B$43),"NOTE: 004C is for sewers &gt;= "&amp;SG_Criteria!$B$43&amp;" dia. ","")&amp;IF(AND(LEFT(C294,7)="Precast",I294&lt;=SG_Criteria!$B$42),"NOTE: 006C is for manholes &gt; "&amp;SG_Criteria!$B$42&amp;" m deep. ","")&amp;IF(AND(J294&lt;&gt;"",J294&lt;SG_Criteria!$B$40,C294&lt;&gt;"Inspection Chamber"),"NOTE: public sewer min dia "&amp;SG_Criteria!$B$40&amp;" mm. ","")&amp;IF(AND(R294&lt;&gt;"",R294&lt;SG_Criteria!$B$44),"FAIL: uplift FOS below "&amp;SG_Criteria!$B$44&amp;". ",""))=0,"OK",IF(AND(S294&lt;&gt;"",IFERROR(VALUE(MID(S294,2,2)),0)&lt;SG_Criteria!$B$19),"FAIL: grade below C"&amp;SG_Criteria!$B$19&amp;". ","")&amp;IF(AND(T294&lt;&gt;"",T294&lt;SG_Criteria!$B$20),"FAIL: cover &lt; "&amp;SG_Criteria!$B$20&amp;" mm. ","")&amp;IF(AND(H294&lt;&gt;"",H294&lt;SG_Criteria!$B$39),"NOTE: min depth below PUB "&amp;SG_Criteria!$B$39&amp;" m. ","")&amp;IF(AND(LEFT(C294,8)="Standard",I294&gt;SG_Criteria!$B$42),"FAIL: PUB 001C covers manholes up to "&amp;SG_Criteria!$B$42&amp;" m deep only. ","")&amp;IF(AND(LEFT(C294,11)="Rectangular",J294&lt;SG_Criteria!$B$43),"NOTE: 004C is for sewers &gt;= "&amp;SG_Criteria!$B$43&amp;" dia. ","")&amp;IF(AND(LEFT(C294,7)="Precast",I294&lt;=SG_Criteria!$B$42),"NOTE: 006C is for manholes &gt; "&amp;SG_Criteria!$B$42&amp;" m deep. ","")&amp;IF(AND(J294&lt;&gt;"",J294&lt;SG_Criteria!$B$40,C294&lt;&gt;"Inspection Chamber"),"NOTE: public sewer min dia "&amp;SG_Criteria!$B$40&amp;" mm. ","")&amp;IF(AND(R294&lt;&gt;"",R294&lt;SG_Criteria!$B$44),"FAIL: uplift FOS below "&amp;SG_Criteria!$B$44&amp;". ","")))</f>
        <v/>
      </c>
      <c r="AT294" s="9"/>
      <c r="AU294" s="9"/>
      <c r="AV294" s="9"/>
      <c r="AW294" s="9"/>
      <c r="AX294" s="9"/>
      <c r="AY294" s="31"/>
      <c r="AZ294" s="10" t="str">
        <f aca="false">IF(C294="","",IF(AND(AB294="Approved",ISERROR(SEARCH("FAIL",AS294))),"Y","N"))</f>
        <v/>
      </c>
      <c r="BA294" s="10" t="str">
        <f aca="false">IF(C294="","",C294&amp;"|"&amp;I294&amp;"|"&amp;F294&amp;"|"&amp;AZ294)</f>
        <v/>
      </c>
    </row>
    <row r="295" customFormat="false" ht="15" hidden="false" customHeight="false" outlineLevel="0" collapsed="false">
      <c r="A295" s="10" t="str">
        <f aca="false">IF(C295="","","MH-"&amp;IFERROR(VLOOKUP(C295,Lists!$AB$4:$AC$20,2,0),"??")&amp;"-"&amp;TEXT(F295,"0000")&amp;IF(E295="Circular","D","x"&amp;TEXT(G295,"0000"))&amp;"-D"&amp;TEXT(I295*1000,"0000")&amp;"-"&amp;IFERROR(VLOOKUP(D295,Lists!$AE$4:$AF$16,2,0),"??")&amp;"-"&amp;AA295)</f>
        <v/>
      </c>
      <c r="B295" s="10" t="str">
        <f aca="false">IF(C295="","",C295&amp;", "&amp;D295&amp;", "&amp;IF(E295="Circular",F295&amp;" dia",F295&amp;" x "&amp;G295)&amp;", depth "&amp;TEXT(H295,"0.0")&amp;"-"&amp;TEXT(I295,"0.0")&amp;" m, pipe up to "&amp;J295&amp;" dia")</f>
        <v/>
      </c>
      <c r="C295" s="9"/>
      <c r="D295" s="9"/>
      <c r="E295" s="9"/>
      <c r="F295" s="40"/>
      <c r="G295" s="40"/>
      <c r="H295" s="43"/>
      <c r="I295" s="43"/>
      <c r="J295" s="40"/>
      <c r="K295" s="40"/>
      <c r="L295" s="40"/>
      <c r="M295" s="40"/>
      <c r="N295" s="9"/>
      <c r="O295" s="9"/>
      <c r="P295" s="9"/>
      <c r="Q295" s="9"/>
      <c r="R295" s="41"/>
      <c r="S295" s="9"/>
      <c r="T295" s="40"/>
      <c r="U295" s="9"/>
      <c r="V295" s="9"/>
      <c r="W295" s="9"/>
      <c r="X295" s="9"/>
      <c r="Y295" s="9"/>
      <c r="Z295" s="9"/>
      <c r="AA295" s="9"/>
      <c r="AB295" s="9"/>
      <c r="AC295" s="9"/>
      <c r="AD295" s="9"/>
      <c r="AE295" s="9"/>
      <c r="AF295" s="10" t="str">
        <f aca="false">IF(A295="","",SG_Criteria!$B$6&amp;SG_Criteria!$B$10&amp;"\"&amp;A295&amp;"\")</f>
        <v/>
      </c>
      <c r="AG295" s="10" t="str">
        <f aca="false">IF(A295="","",A295&amp;"_CAD.dwg")</f>
        <v/>
      </c>
      <c r="AH295" s="10" t="str">
        <f aca="false">IF(A295="","",A295&amp;"_DWG.pdf")</f>
        <v/>
      </c>
      <c r="AI295" s="10" t="str">
        <f aca="false">IF(A295="","",IF(AE295="Y",A295&amp;"_STAAD.std","n/a"))</f>
        <v/>
      </c>
      <c r="AJ295" s="10" t="str">
        <f aca="false">IF(A295="","",A295&amp;"_CALC.xlsx")</f>
        <v/>
      </c>
      <c r="AK295" s="10" t="str">
        <f aca="false">IF(A295="","",A295&amp;"_CALC.pdf")</f>
        <v/>
      </c>
      <c r="AL295" s="9"/>
      <c r="AM295" s="9"/>
      <c r="AN295" s="41"/>
      <c r="AO295" s="41"/>
      <c r="AP295" s="41"/>
      <c r="AQ295" s="41"/>
      <c r="AR295" s="41"/>
      <c r="AS295" s="38" t="str">
        <f aca="false">IF(C295="","",IF(LEN(IF(AND(S295&lt;&gt;"",IFERROR(VALUE(MID(S295,2,2)),0)&lt;SG_Criteria!$B$19),"FAIL: grade below C"&amp;SG_Criteria!$B$19&amp;". ","")&amp;IF(AND(T295&lt;&gt;"",T295&lt;SG_Criteria!$B$20),"FAIL: cover &lt; "&amp;SG_Criteria!$B$20&amp;" mm. ","")&amp;IF(AND(H295&lt;&gt;"",H295&lt;SG_Criteria!$B$39),"NOTE: min depth below PUB "&amp;SG_Criteria!$B$39&amp;" m. ","")&amp;IF(AND(LEFT(C295,8)="Standard",I295&gt;SG_Criteria!$B$42),"FAIL: PUB 001C covers manholes up to "&amp;SG_Criteria!$B$42&amp;" m deep only. ","")&amp;IF(AND(LEFT(C295,11)="Rectangular",J295&lt;SG_Criteria!$B$43),"NOTE: 004C is for sewers &gt;= "&amp;SG_Criteria!$B$43&amp;" dia. ","")&amp;IF(AND(LEFT(C295,7)="Precast",I295&lt;=SG_Criteria!$B$42),"NOTE: 006C is for manholes &gt; "&amp;SG_Criteria!$B$42&amp;" m deep. ","")&amp;IF(AND(J295&lt;&gt;"",J295&lt;SG_Criteria!$B$40,C295&lt;&gt;"Inspection Chamber"),"NOTE: public sewer min dia "&amp;SG_Criteria!$B$40&amp;" mm. ","")&amp;IF(AND(R295&lt;&gt;"",R295&lt;SG_Criteria!$B$44),"FAIL: uplift FOS below "&amp;SG_Criteria!$B$44&amp;". ",""))=0,"OK",IF(AND(S295&lt;&gt;"",IFERROR(VALUE(MID(S295,2,2)),0)&lt;SG_Criteria!$B$19),"FAIL: grade below C"&amp;SG_Criteria!$B$19&amp;". ","")&amp;IF(AND(T295&lt;&gt;"",T295&lt;SG_Criteria!$B$20),"FAIL: cover &lt; "&amp;SG_Criteria!$B$20&amp;" mm. ","")&amp;IF(AND(H295&lt;&gt;"",H295&lt;SG_Criteria!$B$39),"NOTE: min depth below PUB "&amp;SG_Criteria!$B$39&amp;" m. ","")&amp;IF(AND(LEFT(C295,8)="Standard",I295&gt;SG_Criteria!$B$42),"FAIL: PUB 001C covers manholes up to "&amp;SG_Criteria!$B$42&amp;" m deep only. ","")&amp;IF(AND(LEFT(C295,11)="Rectangular",J295&lt;SG_Criteria!$B$43),"NOTE: 004C is for sewers &gt;= "&amp;SG_Criteria!$B$43&amp;" dia. ","")&amp;IF(AND(LEFT(C295,7)="Precast",I295&lt;=SG_Criteria!$B$42),"NOTE: 006C is for manholes &gt; "&amp;SG_Criteria!$B$42&amp;" m deep. ","")&amp;IF(AND(J295&lt;&gt;"",J295&lt;SG_Criteria!$B$40,C295&lt;&gt;"Inspection Chamber"),"NOTE: public sewer min dia "&amp;SG_Criteria!$B$40&amp;" mm. ","")&amp;IF(AND(R295&lt;&gt;"",R295&lt;SG_Criteria!$B$44),"FAIL: uplift FOS below "&amp;SG_Criteria!$B$44&amp;". ","")))</f>
        <v/>
      </c>
      <c r="AT295" s="9"/>
      <c r="AU295" s="9"/>
      <c r="AV295" s="9"/>
      <c r="AW295" s="9"/>
      <c r="AX295" s="9"/>
      <c r="AY295" s="31"/>
      <c r="AZ295" s="10" t="str">
        <f aca="false">IF(C295="","",IF(AND(AB295="Approved",ISERROR(SEARCH("FAIL",AS295))),"Y","N"))</f>
        <v/>
      </c>
      <c r="BA295" s="10" t="str">
        <f aca="false">IF(C295="","",C295&amp;"|"&amp;I295&amp;"|"&amp;F295&amp;"|"&amp;AZ295)</f>
        <v/>
      </c>
    </row>
    <row r="296" customFormat="false" ht="15" hidden="false" customHeight="false" outlineLevel="0" collapsed="false">
      <c r="A296" s="10" t="str">
        <f aca="false">IF(C296="","","MH-"&amp;IFERROR(VLOOKUP(C296,Lists!$AB$4:$AC$20,2,0),"??")&amp;"-"&amp;TEXT(F296,"0000")&amp;IF(E296="Circular","D","x"&amp;TEXT(G296,"0000"))&amp;"-D"&amp;TEXT(I296*1000,"0000")&amp;"-"&amp;IFERROR(VLOOKUP(D296,Lists!$AE$4:$AF$16,2,0),"??")&amp;"-"&amp;AA296)</f>
        <v/>
      </c>
      <c r="B296" s="10" t="str">
        <f aca="false">IF(C296="","",C296&amp;", "&amp;D296&amp;", "&amp;IF(E296="Circular",F296&amp;" dia",F296&amp;" x "&amp;G296)&amp;", depth "&amp;TEXT(H296,"0.0")&amp;"-"&amp;TEXT(I296,"0.0")&amp;" m, pipe up to "&amp;J296&amp;" dia")</f>
        <v/>
      </c>
      <c r="C296" s="9"/>
      <c r="D296" s="9"/>
      <c r="E296" s="9"/>
      <c r="F296" s="40"/>
      <c r="G296" s="40"/>
      <c r="H296" s="43"/>
      <c r="I296" s="43"/>
      <c r="J296" s="40"/>
      <c r="K296" s="40"/>
      <c r="L296" s="40"/>
      <c r="M296" s="40"/>
      <c r="N296" s="9"/>
      <c r="O296" s="9"/>
      <c r="P296" s="9"/>
      <c r="Q296" s="9"/>
      <c r="R296" s="41"/>
      <c r="S296" s="9"/>
      <c r="T296" s="40"/>
      <c r="U296" s="9"/>
      <c r="V296" s="9"/>
      <c r="W296" s="9"/>
      <c r="X296" s="9"/>
      <c r="Y296" s="9"/>
      <c r="Z296" s="9"/>
      <c r="AA296" s="9"/>
      <c r="AB296" s="9"/>
      <c r="AC296" s="9"/>
      <c r="AD296" s="9"/>
      <c r="AE296" s="9"/>
      <c r="AF296" s="10" t="str">
        <f aca="false">IF(A296="","",SG_Criteria!$B$6&amp;SG_Criteria!$B$10&amp;"\"&amp;A296&amp;"\")</f>
        <v/>
      </c>
      <c r="AG296" s="10" t="str">
        <f aca="false">IF(A296="","",A296&amp;"_CAD.dwg")</f>
        <v/>
      </c>
      <c r="AH296" s="10" t="str">
        <f aca="false">IF(A296="","",A296&amp;"_DWG.pdf")</f>
        <v/>
      </c>
      <c r="AI296" s="10" t="str">
        <f aca="false">IF(A296="","",IF(AE296="Y",A296&amp;"_STAAD.std","n/a"))</f>
        <v/>
      </c>
      <c r="AJ296" s="10" t="str">
        <f aca="false">IF(A296="","",A296&amp;"_CALC.xlsx")</f>
        <v/>
      </c>
      <c r="AK296" s="10" t="str">
        <f aca="false">IF(A296="","",A296&amp;"_CALC.pdf")</f>
        <v/>
      </c>
      <c r="AL296" s="9"/>
      <c r="AM296" s="9"/>
      <c r="AN296" s="41"/>
      <c r="AO296" s="41"/>
      <c r="AP296" s="41"/>
      <c r="AQ296" s="41"/>
      <c r="AR296" s="41"/>
      <c r="AS296" s="38" t="str">
        <f aca="false">IF(C296="","",IF(LEN(IF(AND(S296&lt;&gt;"",IFERROR(VALUE(MID(S296,2,2)),0)&lt;SG_Criteria!$B$19),"FAIL: grade below C"&amp;SG_Criteria!$B$19&amp;". ","")&amp;IF(AND(T296&lt;&gt;"",T296&lt;SG_Criteria!$B$20),"FAIL: cover &lt; "&amp;SG_Criteria!$B$20&amp;" mm. ","")&amp;IF(AND(H296&lt;&gt;"",H296&lt;SG_Criteria!$B$39),"NOTE: min depth below PUB "&amp;SG_Criteria!$B$39&amp;" m. ","")&amp;IF(AND(LEFT(C296,8)="Standard",I296&gt;SG_Criteria!$B$42),"FAIL: PUB 001C covers manholes up to "&amp;SG_Criteria!$B$42&amp;" m deep only. ","")&amp;IF(AND(LEFT(C296,11)="Rectangular",J296&lt;SG_Criteria!$B$43),"NOTE: 004C is for sewers &gt;= "&amp;SG_Criteria!$B$43&amp;" dia. ","")&amp;IF(AND(LEFT(C296,7)="Precast",I296&lt;=SG_Criteria!$B$42),"NOTE: 006C is for manholes &gt; "&amp;SG_Criteria!$B$42&amp;" m deep. ","")&amp;IF(AND(J296&lt;&gt;"",J296&lt;SG_Criteria!$B$40,C296&lt;&gt;"Inspection Chamber"),"NOTE: public sewer min dia "&amp;SG_Criteria!$B$40&amp;" mm. ","")&amp;IF(AND(R296&lt;&gt;"",R296&lt;SG_Criteria!$B$44),"FAIL: uplift FOS below "&amp;SG_Criteria!$B$44&amp;". ",""))=0,"OK",IF(AND(S296&lt;&gt;"",IFERROR(VALUE(MID(S296,2,2)),0)&lt;SG_Criteria!$B$19),"FAIL: grade below C"&amp;SG_Criteria!$B$19&amp;". ","")&amp;IF(AND(T296&lt;&gt;"",T296&lt;SG_Criteria!$B$20),"FAIL: cover &lt; "&amp;SG_Criteria!$B$20&amp;" mm. ","")&amp;IF(AND(H296&lt;&gt;"",H296&lt;SG_Criteria!$B$39),"NOTE: min depth below PUB "&amp;SG_Criteria!$B$39&amp;" m. ","")&amp;IF(AND(LEFT(C296,8)="Standard",I296&gt;SG_Criteria!$B$42),"FAIL: PUB 001C covers manholes up to "&amp;SG_Criteria!$B$42&amp;" m deep only. ","")&amp;IF(AND(LEFT(C296,11)="Rectangular",J296&lt;SG_Criteria!$B$43),"NOTE: 004C is for sewers &gt;= "&amp;SG_Criteria!$B$43&amp;" dia. ","")&amp;IF(AND(LEFT(C296,7)="Precast",I296&lt;=SG_Criteria!$B$42),"NOTE: 006C is for manholes &gt; "&amp;SG_Criteria!$B$42&amp;" m deep. ","")&amp;IF(AND(J296&lt;&gt;"",J296&lt;SG_Criteria!$B$40,C296&lt;&gt;"Inspection Chamber"),"NOTE: public sewer min dia "&amp;SG_Criteria!$B$40&amp;" mm. ","")&amp;IF(AND(R296&lt;&gt;"",R296&lt;SG_Criteria!$B$44),"FAIL: uplift FOS below "&amp;SG_Criteria!$B$44&amp;". ","")))</f>
        <v/>
      </c>
      <c r="AT296" s="9"/>
      <c r="AU296" s="9"/>
      <c r="AV296" s="9"/>
      <c r="AW296" s="9"/>
      <c r="AX296" s="9"/>
      <c r="AY296" s="31"/>
      <c r="AZ296" s="10" t="str">
        <f aca="false">IF(C296="","",IF(AND(AB296="Approved",ISERROR(SEARCH("FAIL",AS296))),"Y","N"))</f>
        <v/>
      </c>
      <c r="BA296" s="10" t="str">
        <f aca="false">IF(C296="","",C296&amp;"|"&amp;I296&amp;"|"&amp;F296&amp;"|"&amp;AZ296)</f>
        <v/>
      </c>
    </row>
    <row r="297" customFormat="false" ht="15" hidden="false" customHeight="false" outlineLevel="0" collapsed="false">
      <c r="A297" s="10" t="str">
        <f aca="false">IF(C297="","","MH-"&amp;IFERROR(VLOOKUP(C297,Lists!$AB$4:$AC$20,2,0),"??")&amp;"-"&amp;TEXT(F297,"0000")&amp;IF(E297="Circular","D","x"&amp;TEXT(G297,"0000"))&amp;"-D"&amp;TEXT(I297*1000,"0000")&amp;"-"&amp;IFERROR(VLOOKUP(D297,Lists!$AE$4:$AF$16,2,0),"??")&amp;"-"&amp;AA297)</f>
        <v/>
      </c>
      <c r="B297" s="10" t="str">
        <f aca="false">IF(C297="","",C297&amp;", "&amp;D297&amp;", "&amp;IF(E297="Circular",F297&amp;" dia",F297&amp;" x "&amp;G297)&amp;", depth "&amp;TEXT(H297,"0.0")&amp;"-"&amp;TEXT(I297,"0.0")&amp;" m, pipe up to "&amp;J297&amp;" dia")</f>
        <v/>
      </c>
      <c r="C297" s="9"/>
      <c r="D297" s="9"/>
      <c r="E297" s="9"/>
      <c r="F297" s="40"/>
      <c r="G297" s="40"/>
      <c r="H297" s="43"/>
      <c r="I297" s="43"/>
      <c r="J297" s="40"/>
      <c r="K297" s="40"/>
      <c r="L297" s="40"/>
      <c r="M297" s="40"/>
      <c r="N297" s="9"/>
      <c r="O297" s="9"/>
      <c r="P297" s="9"/>
      <c r="Q297" s="9"/>
      <c r="R297" s="41"/>
      <c r="S297" s="9"/>
      <c r="T297" s="40"/>
      <c r="U297" s="9"/>
      <c r="V297" s="9"/>
      <c r="W297" s="9"/>
      <c r="X297" s="9"/>
      <c r="Y297" s="9"/>
      <c r="Z297" s="9"/>
      <c r="AA297" s="9"/>
      <c r="AB297" s="9"/>
      <c r="AC297" s="9"/>
      <c r="AD297" s="9"/>
      <c r="AE297" s="9"/>
      <c r="AF297" s="10" t="str">
        <f aca="false">IF(A297="","",SG_Criteria!$B$6&amp;SG_Criteria!$B$10&amp;"\"&amp;A297&amp;"\")</f>
        <v/>
      </c>
      <c r="AG297" s="10" t="str">
        <f aca="false">IF(A297="","",A297&amp;"_CAD.dwg")</f>
        <v/>
      </c>
      <c r="AH297" s="10" t="str">
        <f aca="false">IF(A297="","",A297&amp;"_DWG.pdf")</f>
        <v/>
      </c>
      <c r="AI297" s="10" t="str">
        <f aca="false">IF(A297="","",IF(AE297="Y",A297&amp;"_STAAD.std","n/a"))</f>
        <v/>
      </c>
      <c r="AJ297" s="10" t="str">
        <f aca="false">IF(A297="","",A297&amp;"_CALC.xlsx")</f>
        <v/>
      </c>
      <c r="AK297" s="10" t="str">
        <f aca="false">IF(A297="","",A297&amp;"_CALC.pdf")</f>
        <v/>
      </c>
      <c r="AL297" s="9"/>
      <c r="AM297" s="9"/>
      <c r="AN297" s="41"/>
      <c r="AO297" s="41"/>
      <c r="AP297" s="41"/>
      <c r="AQ297" s="41"/>
      <c r="AR297" s="41"/>
      <c r="AS297" s="38" t="str">
        <f aca="false">IF(C297="","",IF(LEN(IF(AND(S297&lt;&gt;"",IFERROR(VALUE(MID(S297,2,2)),0)&lt;SG_Criteria!$B$19),"FAIL: grade below C"&amp;SG_Criteria!$B$19&amp;". ","")&amp;IF(AND(T297&lt;&gt;"",T297&lt;SG_Criteria!$B$20),"FAIL: cover &lt; "&amp;SG_Criteria!$B$20&amp;" mm. ","")&amp;IF(AND(H297&lt;&gt;"",H297&lt;SG_Criteria!$B$39),"NOTE: min depth below PUB "&amp;SG_Criteria!$B$39&amp;" m. ","")&amp;IF(AND(LEFT(C297,8)="Standard",I297&gt;SG_Criteria!$B$42),"FAIL: PUB 001C covers manholes up to "&amp;SG_Criteria!$B$42&amp;" m deep only. ","")&amp;IF(AND(LEFT(C297,11)="Rectangular",J297&lt;SG_Criteria!$B$43),"NOTE: 004C is for sewers &gt;= "&amp;SG_Criteria!$B$43&amp;" dia. ","")&amp;IF(AND(LEFT(C297,7)="Precast",I297&lt;=SG_Criteria!$B$42),"NOTE: 006C is for manholes &gt; "&amp;SG_Criteria!$B$42&amp;" m deep. ","")&amp;IF(AND(J297&lt;&gt;"",J297&lt;SG_Criteria!$B$40,C297&lt;&gt;"Inspection Chamber"),"NOTE: public sewer min dia "&amp;SG_Criteria!$B$40&amp;" mm. ","")&amp;IF(AND(R297&lt;&gt;"",R297&lt;SG_Criteria!$B$44),"FAIL: uplift FOS below "&amp;SG_Criteria!$B$44&amp;". ",""))=0,"OK",IF(AND(S297&lt;&gt;"",IFERROR(VALUE(MID(S297,2,2)),0)&lt;SG_Criteria!$B$19),"FAIL: grade below C"&amp;SG_Criteria!$B$19&amp;". ","")&amp;IF(AND(T297&lt;&gt;"",T297&lt;SG_Criteria!$B$20),"FAIL: cover &lt; "&amp;SG_Criteria!$B$20&amp;" mm. ","")&amp;IF(AND(H297&lt;&gt;"",H297&lt;SG_Criteria!$B$39),"NOTE: min depth below PUB "&amp;SG_Criteria!$B$39&amp;" m. ","")&amp;IF(AND(LEFT(C297,8)="Standard",I297&gt;SG_Criteria!$B$42),"FAIL: PUB 001C covers manholes up to "&amp;SG_Criteria!$B$42&amp;" m deep only. ","")&amp;IF(AND(LEFT(C297,11)="Rectangular",J297&lt;SG_Criteria!$B$43),"NOTE: 004C is for sewers &gt;= "&amp;SG_Criteria!$B$43&amp;" dia. ","")&amp;IF(AND(LEFT(C297,7)="Precast",I297&lt;=SG_Criteria!$B$42),"NOTE: 006C is for manholes &gt; "&amp;SG_Criteria!$B$42&amp;" m deep. ","")&amp;IF(AND(J297&lt;&gt;"",J297&lt;SG_Criteria!$B$40,C297&lt;&gt;"Inspection Chamber"),"NOTE: public sewer min dia "&amp;SG_Criteria!$B$40&amp;" mm. ","")&amp;IF(AND(R297&lt;&gt;"",R297&lt;SG_Criteria!$B$44),"FAIL: uplift FOS below "&amp;SG_Criteria!$B$44&amp;". ","")))</f>
        <v/>
      </c>
      <c r="AT297" s="9"/>
      <c r="AU297" s="9"/>
      <c r="AV297" s="9"/>
      <c r="AW297" s="9"/>
      <c r="AX297" s="9"/>
      <c r="AY297" s="31"/>
      <c r="AZ297" s="10" t="str">
        <f aca="false">IF(C297="","",IF(AND(AB297="Approved",ISERROR(SEARCH("FAIL",AS297))),"Y","N"))</f>
        <v/>
      </c>
      <c r="BA297" s="10" t="str">
        <f aca="false">IF(C297="","",C297&amp;"|"&amp;I297&amp;"|"&amp;F297&amp;"|"&amp;AZ297)</f>
        <v/>
      </c>
    </row>
    <row r="298" customFormat="false" ht="15" hidden="false" customHeight="false" outlineLevel="0" collapsed="false">
      <c r="A298" s="10" t="str">
        <f aca="false">IF(C298="","","MH-"&amp;IFERROR(VLOOKUP(C298,Lists!$AB$4:$AC$20,2,0),"??")&amp;"-"&amp;TEXT(F298,"0000")&amp;IF(E298="Circular","D","x"&amp;TEXT(G298,"0000"))&amp;"-D"&amp;TEXT(I298*1000,"0000")&amp;"-"&amp;IFERROR(VLOOKUP(D298,Lists!$AE$4:$AF$16,2,0),"??")&amp;"-"&amp;AA298)</f>
        <v/>
      </c>
      <c r="B298" s="10" t="str">
        <f aca="false">IF(C298="","",C298&amp;", "&amp;D298&amp;", "&amp;IF(E298="Circular",F298&amp;" dia",F298&amp;" x "&amp;G298)&amp;", depth "&amp;TEXT(H298,"0.0")&amp;"-"&amp;TEXT(I298,"0.0")&amp;" m, pipe up to "&amp;J298&amp;" dia")</f>
        <v/>
      </c>
      <c r="C298" s="9"/>
      <c r="D298" s="9"/>
      <c r="E298" s="9"/>
      <c r="F298" s="40"/>
      <c r="G298" s="40"/>
      <c r="H298" s="43"/>
      <c r="I298" s="43"/>
      <c r="J298" s="40"/>
      <c r="K298" s="40"/>
      <c r="L298" s="40"/>
      <c r="M298" s="40"/>
      <c r="N298" s="9"/>
      <c r="O298" s="9"/>
      <c r="P298" s="9"/>
      <c r="Q298" s="9"/>
      <c r="R298" s="41"/>
      <c r="S298" s="9"/>
      <c r="T298" s="40"/>
      <c r="U298" s="9"/>
      <c r="V298" s="9"/>
      <c r="W298" s="9"/>
      <c r="X298" s="9"/>
      <c r="Y298" s="9"/>
      <c r="Z298" s="9"/>
      <c r="AA298" s="9"/>
      <c r="AB298" s="9"/>
      <c r="AC298" s="9"/>
      <c r="AD298" s="9"/>
      <c r="AE298" s="9"/>
      <c r="AF298" s="10" t="str">
        <f aca="false">IF(A298="","",SG_Criteria!$B$6&amp;SG_Criteria!$B$10&amp;"\"&amp;A298&amp;"\")</f>
        <v/>
      </c>
      <c r="AG298" s="10" t="str">
        <f aca="false">IF(A298="","",A298&amp;"_CAD.dwg")</f>
        <v/>
      </c>
      <c r="AH298" s="10" t="str">
        <f aca="false">IF(A298="","",A298&amp;"_DWG.pdf")</f>
        <v/>
      </c>
      <c r="AI298" s="10" t="str">
        <f aca="false">IF(A298="","",IF(AE298="Y",A298&amp;"_STAAD.std","n/a"))</f>
        <v/>
      </c>
      <c r="AJ298" s="10" t="str">
        <f aca="false">IF(A298="","",A298&amp;"_CALC.xlsx")</f>
        <v/>
      </c>
      <c r="AK298" s="10" t="str">
        <f aca="false">IF(A298="","",A298&amp;"_CALC.pdf")</f>
        <v/>
      </c>
      <c r="AL298" s="9"/>
      <c r="AM298" s="9"/>
      <c r="AN298" s="41"/>
      <c r="AO298" s="41"/>
      <c r="AP298" s="41"/>
      <c r="AQ298" s="41"/>
      <c r="AR298" s="41"/>
      <c r="AS298" s="38" t="str">
        <f aca="false">IF(C298="","",IF(LEN(IF(AND(S298&lt;&gt;"",IFERROR(VALUE(MID(S298,2,2)),0)&lt;SG_Criteria!$B$19),"FAIL: grade below C"&amp;SG_Criteria!$B$19&amp;". ","")&amp;IF(AND(T298&lt;&gt;"",T298&lt;SG_Criteria!$B$20),"FAIL: cover &lt; "&amp;SG_Criteria!$B$20&amp;" mm. ","")&amp;IF(AND(H298&lt;&gt;"",H298&lt;SG_Criteria!$B$39),"NOTE: min depth below PUB "&amp;SG_Criteria!$B$39&amp;" m. ","")&amp;IF(AND(LEFT(C298,8)="Standard",I298&gt;SG_Criteria!$B$42),"FAIL: PUB 001C covers manholes up to "&amp;SG_Criteria!$B$42&amp;" m deep only. ","")&amp;IF(AND(LEFT(C298,11)="Rectangular",J298&lt;SG_Criteria!$B$43),"NOTE: 004C is for sewers &gt;= "&amp;SG_Criteria!$B$43&amp;" dia. ","")&amp;IF(AND(LEFT(C298,7)="Precast",I298&lt;=SG_Criteria!$B$42),"NOTE: 006C is for manholes &gt; "&amp;SG_Criteria!$B$42&amp;" m deep. ","")&amp;IF(AND(J298&lt;&gt;"",J298&lt;SG_Criteria!$B$40,C298&lt;&gt;"Inspection Chamber"),"NOTE: public sewer min dia "&amp;SG_Criteria!$B$40&amp;" mm. ","")&amp;IF(AND(R298&lt;&gt;"",R298&lt;SG_Criteria!$B$44),"FAIL: uplift FOS below "&amp;SG_Criteria!$B$44&amp;". ",""))=0,"OK",IF(AND(S298&lt;&gt;"",IFERROR(VALUE(MID(S298,2,2)),0)&lt;SG_Criteria!$B$19),"FAIL: grade below C"&amp;SG_Criteria!$B$19&amp;". ","")&amp;IF(AND(T298&lt;&gt;"",T298&lt;SG_Criteria!$B$20),"FAIL: cover &lt; "&amp;SG_Criteria!$B$20&amp;" mm. ","")&amp;IF(AND(H298&lt;&gt;"",H298&lt;SG_Criteria!$B$39),"NOTE: min depth below PUB "&amp;SG_Criteria!$B$39&amp;" m. ","")&amp;IF(AND(LEFT(C298,8)="Standard",I298&gt;SG_Criteria!$B$42),"FAIL: PUB 001C covers manholes up to "&amp;SG_Criteria!$B$42&amp;" m deep only. ","")&amp;IF(AND(LEFT(C298,11)="Rectangular",J298&lt;SG_Criteria!$B$43),"NOTE: 004C is for sewers &gt;= "&amp;SG_Criteria!$B$43&amp;" dia. ","")&amp;IF(AND(LEFT(C298,7)="Precast",I298&lt;=SG_Criteria!$B$42),"NOTE: 006C is for manholes &gt; "&amp;SG_Criteria!$B$42&amp;" m deep. ","")&amp;IF(AND(J298&lt;&gt;"",J298&lt;SG_Criteria!$B$40,C298&lt;&gt;"Inspection Chamber"),"NOTE: public sewer min dia "&amp;SG_Criteria!$B$40&amp;" mm. ","")&amp;IF(AND(R298&lt;&gt;"",R298&lt;SG_Criteria!$B$44),"FAIL: uplift FOS below "&amp;SG_Criteria!$B$44&amp;". ","")))</f>
        <v/>
      </c>
      <c r="AT298" s="9"/>
      <c r="AU298" s="9"/>
      <c r="AV298" s="9"/>
      <c r="AW298" s="9"/>
      <c r="AX298" s="9"/>
      <c r="AY298" s="31"/>
      <c r="AZ298" s="10" t="str">
        <f aca="false">IF(C298="","",IF(AND(AB298="Approved",ISERROR(SEARCH("FAIL",AS298))),"Y","N"))</f>
        <v/>
      </c>
      <c r="BA298" s="10" t="str">
        <f aca="false">IF(C298="","",C298&amp;"|"&amp;I298&amp;"|"&amp;F298&amp;"|"&amp;AZ298)</f>
        <v/>
      </c>
    </row>
    <row r="299" customFormat="false" ht="15" hidden="false" customHeight="false" outlineLevel="0" collapsed="false">
      <c r="A299" s="10" t="str">
        <f aca="false">IF(C299="","","MH-"&amp;IFERROR(VLOOKUP(C299,Lists!$AB$4:$AC$20,2,0),"??")&amp;"-"&amp;TEXT(F299,"0000")&amp;IF(E299="Circular","D","x"&amp;TEXT(G299,"0000"))&amp;"-D"&amp;TEXT(I299*1000,"0000")&amp;"-"&amp;IFERROR(VLOOKUP(D299,Lists!$AE$4:$AF$16,2,0),"??")&amp;"-"&amp;AA299)</f>
        <v/>
      </c>
      <c r="B299" s="10" t="str">
        <f aca="false">IF(C299="","",C299&amp;", "&amp;D299&amp;", "&amp;IF(E299="Circular",F299&amp;" dia",F299&amp;" x "&amp;G299)&amp;", depth "&amp;TEXT(H299,"0.0")&amp;"-"&amp;TEXT(I299,"0.0")&amp;" m, pipe up to "&amp;J299&amp;" dia")</f>
        <v/>
      </c>
      <c r="C299" s="9"/>
      <c r="D299" s="9"/>
      <c r="E299" s="9"/>
      <c r="F299" s="40"/>
      <c r="G299" s="40"/>
      <c r="H299" s="43"/>
      <c r="I299" s="43"/>
      <c r="J299" s="40"/>
      <c r="K299" s="40"/>
      <c r="L299" s="40"/>
      <c r="M299" s="40"/>
      <c r="N299" s="9"/>
      <c r="O299" s="9"/>
      <c r="P299" s="9"/>
      <c r="Q299" s="9"/>
      <c r="R299" s="41"/>
      <c r="S299" s="9"/>
      <c r="T299" s="40"/>
      <c r="U299" s="9"/>
      <c r="V299" s="9"/>
      <c r="W299" s="9"/>
      <c r="X299" s="9"/>
      <c r="Y299" s="9"/>
      <c r="Z299" s="9"/>
      <c r="AA299" s="9"/>
      <c r="AB299" s="9"/>
      <c r="AC299" s="9"/>
      <c r="AD299" s="9"/>
      <c r="AE299" s="9"/>
      <c r="AF299" s="10" t="str">
        <f aca="false">IF(A299="","",SG_Criteria!$B$6&amp;SG_Criteria!$B$10&amp;"\"&amp;A299&amp;"\")</f>
        <v/>
      </c>
      <c r="AG299" s="10" t="str">
        <f aca="false">IF(A299="","",A299&amp;"_CAD.dwg")</f>
        <v/>
      </c>
      <c r="AH299" s="10" t="str">
        <f aca="false">IF(A299="","",A299&amp;"_DWG.pdf")</f>
        <v/>
      </c>
      <c r="AI299" s="10" t="str">
        <f aca="false">IF(A299="","",IF(AE299="Y",A299&amp;"_STAAD.std","n/a"))</f>
        <v/>
      </c>
      <c r="AJ299" s="10" t="str">
        <f aca="false">IF(A299="","",A299&amp;"_CALC.xlsx")</f>
        <v/>
      </c>
      <c r="AK299" s="10" t="str">
        <f aca="false">IF(A299="","",A299&amp;"_CALC.pdf")</f>
        <v/>
      </c>
      <c r="AL299" s="9"/>
      <c r="AM299" s="9"/>
      <c r="AN299" s="41"/>
      <c r="AO299" s="41"/>
      <c r="AP299" s="41"/>
      <c r="AQ299" s="41"/>
      <c r="AR299" s="41"/>
      <c r="AS299" s="38" t="str">
        <f aca="false">IF(C299="","",IF(LEN(IF(AND(S299&lt;&gt;"",IFERROR(VALUE(MID(S299,2,2)),0)&lt;SG_Criteria!$B$19),"FAIL: grade below C"&amp;SG_Criteria!$B$19&amp;". ","")&amp;IF(AND(T299&lt;&gt;"",T299&lt;SG_Criteria!$B$20),"FAIL: cover &lt; "&amp;SG_Criteria!$B$20&amp;" mm. ","")&amp;IF(AND(H299&lt;&gt;"",H299&lt;SG_Criteria!$B$39),"NOTE: min depth below PUB "&amp;SG_Criteria!$B$39&amp;" m. ","")&amp;IF(AND(LEFT(C299,8)="Standard",I299&gt;SG_Criteria!$B$42),"FAIL: PUB 001C covers manholes up to "&amp;SG_Criteria!$B$42&amp;" m deep only. ","")&amp;IF(AND(LEFT(C299,11)="Rectangular",J299&lt;SG_Criteria!$B$43),"NOTE: 004C is for sewers &gt;= "&amp;SG_Criteria!$B$43&amp;" dia. ","")&amp;IF(AND(LEFT(C299,7)="Precast",I299&lt;=SG_Criteria!$B$42),"NOTE: 006C is for manholes &gt; "&amp;SG_Criteria!$B$42&amp;" m deep. ","")&amp;IF(AND(J299&lt;&gt;"",J299&lt;SG_Criteria!$B$40,C299&lt;&gt;"Inspection Chamber"),"NOTE: public sewer min dia "&amp;SG_Criteria!$B$40&amp;" mm. ","")&amp;IF(AND(R299&lt;&gt;"",R299&lt;SG_Criteria!$B$44),"FAIL: uplift FOS below "&amp;SG_Criteria!$B$44&amp;". ",""))=0,"OK",IF(AND(S299&lt;&gt;"",IFERROR(VALUE(MID(S299,2,2)),0)&lt;SG_Criteria!$B$19),"FAIL: grade below C"&amp;SG_Criteria!$B$19&amp;". ","")&amp;IF(AND(T299&lt;&gt;"",T299&lt;SG_Criteria!$B$20),"FAIL: cover &lt; "&amp;SG_Criteria!$B$20&amp;" mm. ","")&amp;IF(AND(H299&lt;&gt;"",H299&lt;SG_Criteria!$B$39),"NOTE: min depth below PUB "&amp;SG_Criteria!$B$39&amp;" m. ","")&amp;IF(AND(LEFT(C299,8)="Standard",I299&gt;SG_Criteria!$B$42),"FAIL: PUB 001C covers manholes up to "&amp;SG_Criteria!$B$42&amp;" m deep only. ","")&amp;IF(AND(LEFT(C299,11)="Rectangular",J299&lt;SG_Criteria!$B$43),"NOTE: 004C is for sewers &gt;= "&amp;SG_Criteria!$B$43&amp;" dia. ","")&amp;IF(AND(LEFT(C299,7)="Precast",I299&lt;=SG_Criteria!$B$42),"NOTE: 006C is for manholes &gt; "&amp;SG_Criteria!$B$42&amp;" m deep. ","")&amp;IF(AND(J299&lt;&gt;"",J299&lt;SG_Criteria!$B$40,C299&lt;&gt;"Inspection Chamber"),"NOTE: public sewer min dia "&amp;SG_Criteria!$B$40&amp;" mm. ","")&amp;IF(AND(R299&lt;&gt;"",R299&lt;SG_Criteria!$B$44),"FAIL: uplift FOS below "&amp;SG_Criteria!$B$44&amp;". ","")))</f>
        <v/>
      </c>
      <c r="AT299" s="9"/>
      <c r="AU299" s="9"/>
      <c r="AV299" s="9"/>
      <c r="AW299" s="9"/>
      <c r="AX299" s="9"/>
      <c r="AY299" s="31"/>
      <c r="AZ299" s="10" t="str">
        <f aca="false">IF(C299="","",IF(AND(AB299="Approved",ISERROR(SEARCH("FAIL",AS299))),"Y","N"))</f>
        <v/>
      </c>
      <c r="BA299" s="10" t="str">
        <f aca="false">IF(C299="","",C299&amp;"|"&amp;I299&amp;"|"&amp;F299&amp;"|"&amp;AZ299)</f>
        <v/>
      </c>
    </row>
    <row r="300" customFormat="false" ht="15" hidden="false" customHeight="false" outlineLevel="0" collapsed="false">
      <c r="A300" s="10" t="str">
        <f aca="false">IF(C300="","","MH-"&amp;IFERROR(VLOOKUP(C300,Lists!$AB$4:$AC$20,2,0),"??")&amp;"-"&amp;TEXT(F300,"0000")&amp;IF(E300="Circular","D","x"&amp;TEXT(G300,"0000"))&amp;"-D"&amp;TEXT(I300*1000,"0000")&amp;"-"&amp;IFERROR(VLOOKUP(D300,Lists!$AE$4:$AF$16,2,0),"??")&amp;"-"&amp;AA300)</f>
        <v/>
      </c>
      <c r="B300" s="10" t="str">
        <f aca="false">IF(C300="","",C300&amp;", "&amp;D300&amp;", "&amp;IF(E300="Circular",F300&amp;" dia",F300&amp;" x "&amp;G300)&amp;", depth "&amp;TEXT(H300,"0.0")&amp;"-"&amp;TEXT(I300,"0.0")&amp;" m, pipe up to "&amp;J300&amp;" dia")</f>
        <v/>
      </c>
      <c r="C300" s="9"/>
      <c r="D300" s="9"/>
      <c r="E300" s="9"/>
      <c r="F300" s="40"/>
      <c r="G300" s="40"/>
      <c r="H300" s="43"/>
      <c r="I300" s="43"/>
      <c r="J300" s="40"/>
      <c r="K300" s="40"/>
      <c r="L300" s="40"/>
      <c r="M300" s="40"/>
      <c r="N300" s="9"/>
      <c r="O300" s="9"/>
      <c r="P300" s="9"/>
      <c r="Q300" s="9"/>
      <c r="R300" s="41"/>
      <c r="S300" s="9"/>
      <c r="T300" s="40"/>
      <c r="U300" s="9"/>
      <c r="V300" s="9"/>
      <c r="W300" s="9"/>
      <c r="X300" s="9"/>
      <c r="Y300" s="9"/>
      <c r="Z300" s="9"/>
      <c r="AA300" s="9"/>
      <c r="AB300" s="9"/>
      <c r="AC300" s="9"/>
      <c r="AD300" s="9"/>
      <c r="AE300" s="9"/>
      <c r="AF300" s="10" t="str">
        <f aca="false">IF(A300="","",SG_Criteria!$B$6&amp;SG_Criteria!$B$10&amp;"\"&amp;A300&amp;"\")</f>
        <v/>
      </c>
      <c r="AG300" s="10" t="str">
        <f aca="false">IF(A300="","",A300&amp;"_CAD.dwg")</f>
        <v/>
      </c>
      <c r="AH300" s="10" t="str">
        <f aca="false">IF(A300="","",A300&amp;"_DWG.pdf")</f>
        <v/>
      </c>
      <c r="AI300" s="10" t="str">
        <f aca="false">IF(A300="","",IF(AE300="Y",A300&amp;"_STAAD.std","n/a"))</f>
        <v/>
      </c>
      <c r="AJ300" s="10" t="str">
        <f aca="false">IF(A300="","",A300&amp;"_CALC.xlsx")</f>
        <v/>
      </c>
      <c r="AK300" s="10" t="str">
        <f aca="false">IF(A300="","",A300&amp;"_CALC.pdf")</f>
        <v/>
      </c>
      <c r="AL300" s="9"/>
      <c r="AM300" s="9"/>
      <c r="AN300" s="41"/>
      <c r="AO300" s="41"/>
      <c r="AP300" s="41"/>
      <c r="AQ300" s="41"/>
      <c r="AR300" s="41"/>
      <c r="AS300" s="38" t="str">
        <f aca="false">IF(C300="","",IF(LEN(IF(AND(S300&lt;&gt;"",IFERROR(VALUE(MID(S300,2,2)),0)&lt;SG_Criteria!$B$19),"FAIL: grade below C"&amp;SG_Criteria!$B$19&amp;". ","")&amp;IF(AND(T300&lt;&gt;"",T300&lt;SG_Criteria!$B$20),"FAIL: cover &lt; "&amp;SG_Criteria!$B$20&amp;" mm. ","")&amp;IF(AND(H300&lt;&gt;"",H300&lt;SG_Criteria!$B$39),"NOTE: min depth below PUB "&amp;SG_Criteria!$B$39&amp;" m. ","")&amp;IF(AND(LEFT(C300,8)="Standard",I300&gt;SG_Criteria!$B$42),"FAIL: PUB 001C covers manholes up to "&amp;SG_Criteria!$B$42&amp;" m deep only. ","")&amp;IF(AND(LEFT(C300,11)="Rectangular",J300&lt;SG_Criteria!$B$43),"NOTE: 004C is for sewers &gt;= "&amp;SG_Criteria!$B$43&amp;" dia. ","")&amp;IF(AND(LEFT(C300,7)="Precast",I300&lt;=SG_Criteria!$B$42),"NOTE: 006C is for manholes &gt; "&amp;SG_Criteria!$B$42&amp;" m deep. ","")&amp;IF(AND(J300&lt;&gt;"",J300&lt;SG_Criteria!$B$40,C300&lt;&gt;"Inspection Chamber"),"NOTE: public sewer min dia "&amp;SG_Criteria!$B$40&amp;" mm. ","")&amp;IF(AND(R300&lt;&gt;"",R300&lt;SG_Criteria!$B$44),"FAIL: uplift FOS below "&amp;SG_Criteria!$B$44&amp;". ",""))=0,"OK",IF(AND(S300&lt;&gt;"",IFERROR(VALUE(MID(S300,2,2)),0)&lt;SG_Criteria!$B$19),"FAIL: grade below C"&amp;SG_Criteria!$B$19&amp;". ","")&amp;IF(AND(T300&lt;&gt;"",T300&lt;SG_Criteria!$B$20),"FAIL: cover &lt; "&amp;SG_Criteria!$B$20&amp;" mm. ","")&amp;IF(AND(H300&lt;&gt;"",H300&lt;SG_Criteria!$B$39),"NOTE: min depth below PUB "&amp;SG_Criteria!$B$39&amp;" m. ","")&amp;IF(AND(LEFT(C300,8)="Standard",I300&gt;SG_Criteria!$B$42),"FAIL: PUB 001C covers manholes up to "&amp;SG_Criteria!$B$42&amp;" m deep only. ","")&amp;IF(AND(LEFT(C300,11)="Rectangular",J300&lt;SG_Criteria!$B$43),"NOTE: 004C is for sewers &gt;= "&amp;SG_Criteria!$B$43&amp;" dia. ","")&amp;IF(AND(LEFT(C300,7)="Precast",I300&lt;=SG_Criteria!$B$42),"NOTE: 006C is for manholes &gt; "&amp;SG_Criteria!$B$42&amp;" m deep. ","")&amp;IF(AND(J300&lt;&gt;"",J300&lt;SG_Criteria!$B$40,C300&lt;&gt;"Inspection Chamber"),"NOTE: public sewer min dia "&amp;SG_Criteria!$B$40&amp;" mm. ","")&amp;IF(AND(R300&lt;&gt;"",R300&lt;SG_Criteria!$B$44),"FAIL: uplift FOS below "&amp;SG_Criteria!$B$44&amp;". ","")))</f>
        <v/>
      </c>
      <c r="AT300" s="9"/>
      <c r="AU300" s="9"/>
      <c r="AV300" s="9"/>
      <c r="AW300" s="9"/>
      <c r="AX300" s="9"/>
      <c r="AY300" s="31"/>
      <c r="AZ300" s="10" t="str">
        <f aca="false">IF(C300="","",IF(AND(AB300="Approved",ISERROR(SEARCH("FAIL",AS300))),"Y","N"))</f>
        <v/>
      </c>
      <c r="BA300" s="10" t="str">
        <f aca="false">IF(C300="","",C300&amp;"|"&amp;I300&amp;"|"&amp;F300&amp;"|"&amp;AZ300)</f>
        <v/>
      </c>
    </row>
    <row r="301" customFormat="false" ht="15" hidden="false" customHeight="false" outlineLevel="0" collapsed="false">
      <c r="A301" s="10" t="str">
        <f aca="false">IF(C301="","","MH-"&amp;IFERROR(VLOOKUP(C301,Lists!$AB$4:$AC$20,2,0),"??")&amp;"-"&amp;TEXT(F301,"0000")&amp;IF(E301="Circular","D","x"&amp;TEXT(G301,"0000"))&amp;"-D"&amp;TEXT(I301*1000,"0000")&amp;"-"&amp;IFERROR(VLOOKUP(D301,Lists!$AE$4:$AF$16,2,0),"??")&amp;"-"&amp;AA301)</f>
        <v/>
      </c>
      <c r="B301" s="10" t="str">
        <f aca="false">IF(C301="","",C301&amp;", "&amp;D301&amp;", "&amp;IF(E301="Circular",F301&amp;" dia",F301&amp;" x "&amp;G301)&amp;", depth "&amp;TEXT(H301,"0.0")&amp;"-"&amp;TEXT(I301,"0.0")&amp;" m, pipe up to "&amp;J301&amp;" dia")</f>
        <v/>
      </c>
      <c r="C301" s="9"/>
      <c r="D301" s="9"/>
      <c r="E301" s="9"/>
      <c r="F301" s="40"/>
      <c r="G301" s="40"/>
      <c r="H301" s="43"/>
      <c r="I301" s="43"/>
      <c r="J301" s="40"/>
      <c r="K301" s="40"/>
      <c r="L301" s="40"/>
      <c r="M301" s="40"/>
      <c r="N301" s="9"/>
      <c r="O301" s="9"/>
      <c r="P301" s="9"/>
      <c r="Q301" s="9"/>
      <c r="R301" s="41"/>
      <c r="S301" s="9"/>
      <c r="T301" s="40"/>
      <c r="U301" s="9"/>
      <c r="V301" s="9"/>
      <c r="W301" s="9"/>
      <c r="X301" s="9"/>
      <c r="Y301" s="9"/>
      <c r="Z301" s="9"/>
      <c r="AA301" s="9"/>
      <c r="AB301" s="9"/>
      <c r="AC301" s="9"/>
      <c r="AD301" s="9"/>
      <c r="AE301" s="9"/>
      <c r="AF301" s="10" t="str">
        <f aca="false">IF(A301="","",SG_Criteria!$B$6&amp;SG_Criteria!$B$10&amp;"\"&amp;A301&amp;"\")</f>
        <v/>
      </c>
      <c r="AG301" s="10" t="str">
        <f aca="false">IF(A301="","",A301&amp;"_CAD.dwg")</f>
        <v/>
      </c>
      <c r="AH301" s="10" t="str">
        <f aca="false">IF(A301="","",A301&amp;"_DWG.pdf")</f>
        <v/>
      </c>
      <c r="AI301" s="10" t="str">
        <f aca="false">IF(A301="","",IF(AE301="Y",A301&amp;"_STAAD.std","n/a"))</f>
        <v/>
      </c>
      <c r="AJ301" s="10" t="str">
        <f aca="false">IF(A301="","",A301&amp;"_CALC.xlsx")</f>
        <v/>
      </c>
      <c r="AK301" s="10" t="str">
        <f aca="false">IF(A301="","",A301&amp;"_CALC.pdf")</f>
        <v/>
      </c>
      <c r="AL301" s="9"/>
      <c r="AM301" s="9"/>
      <c r="AN301" s="41"/>
      <c r="AO301" s="41"/>
      <c r="AP301" s="41"/>
      <c r="AQ301" s="41"/>
      <c r="AR301" s="41"/>
      <c r="AS301" s="38" t="str">
        <f aca="false">IF(C301="","",IF(LEN(IF(AND(S301&lt;&gt;"",IFERROR(VALUE(MID(S301,2,2)),0)&lt;SG_Criteria!$B$19),"FAIL: grade below C"&amp;SG_Criteria!$B$19&amp;". ","")&amp;IF(AND(T301&lt;&gt;"",T301&lt;SG_Criteria!$B$20),"FAIL: cover &lt; "&amp;SG_Criteria!$B$20&amp;" mm. ","")&amp;IF(AND(H301&lt;&gt;"",H301&lt;SG_Criteria!$B$39),"NOTE: min depth below PUB "&amp;SG_Criteria!$B$39&amp;" m. ","")&amp;IF(AND(LEFT(C301,8)="Standard",I301&gt;SG_Criteria!$B$42),"FAIL: PUB 001C covers manholes up to "&amp;SG_Criteria!$B$42&amp;" m deep only. ","")&amp;IF(AND(LEFT(C301,11)="Rectangular",J301&lt;SG_Criteria!$B$43),"NOTE: 004C is for sewers &gt;= "&amp;SG_Criteria!$B$43&amp;" dia. ","")&amp;IF(AND(LEFT(C301,7)="Precast",I301&lt;=SG_Criteria!$B$42),"NOTE: 006C is for manholes &gt; "&amp;SG_Criteria!$B$42&amp;" m deep. ","")&amp;IF(AND(J301&lt;&gt;"",J301&lt;SG_Criteria!$B$40,C301&lt;&gt;"Inspection Chamber"),"NOTE: public sewer min dia "&amp;SG_Criteria!$B$40&amp;" mm. ","")&amp;IF(AND(R301&lt;&gt;"",R301&lt;SG_Criteria!$B$44),"FAIL: uplift FOS below "&amp;SG_Criteria!$B$44&amp;". ",""))=0,"OK",IF(AND(S301&lt;&gt;"",IFERROR(VALUE(MID(S301,2,2)),0)&lt;SG_Criteria!$B$19),"FAIL: grade below C"&amp;SG_Criteria!$B$19&amp;". ","")&amp;IF(AND(T301&lt;&gt;"",T301&lt;SG_Criteria!$B$20),"FAIL: cover &lt; "&amp;SG_Criteria!$B$20&amp;" mm. ","")&amp;IF(AND(H301&lt;&gt;"",H301&lt;SG_Criteria!$B$39),"NOTE: min depth below PUB "&amp;SG_Criteria!$B$39&amp;" m. ","")&amp;IF(AND(LEFT(C301,8)="Standard",I301&gt;SG_Criteria!$B$42),"FAIL: PUB 001C covers manholes up to "&amp;SG_Criteria!$B$42&amp;" m deep only. ","")&amp;IF(AND(LEFT(C301,11)="Rectangular",J301&lt;SG_Criteria!$B$43),"NOTE: 004C is for sewers &gt;= "&amp;SG_Criteria!$B$43&amp;" dia. ","")&amp;IF(AND(LEFT(C301,7)="Precast",I301&lt;=SG_Criteria!$B$42),"NOTE: 006C is for manholes &gt; "&amp;SG_Criteria!$B$42&amp;" m deep. ","")&amp;IF(AND(J301&lt;&gt;"",J301&lt;SG_Criteria!$B$40,C301&lt;&gt;"Inspection Chamber"),"NOTE: public sewer min dia "&amp;SG_Criteria!$B$40&amp;" mm. ","")&amp;IF(AND(R301&lt;&gt;"",R301&lt;SG_Criteria!$B$44),"FAIL: uplift FOS below "&amp;SG_Criteria!$B$44&amp;". ","")))</f>
        <v/>
      </c>
      <c r="AT301" s="9"/>
      <c r="AU301" s="9"/>
      <c r="AV301" s="9"/>
      <c r="AW301" s="9"/>
      <c r="AX301" s="9"/>
      <c r="AY301" s="31"/>
      <c r="AZ301" s="10" t="str">
        <f aca="false">IF(C301="","",IF(AND(AB301="Approved",ISERROR(SEARCH("FAIL",AS301))),"Y","N"))</f>
        <v/>
      </c>
      <c r="BA301" s="10" t="str">
        <f aca="false">IF(C301="","",C301&amp;"|"&amp;I301&amp;"|"&amp;F301&amp;"|"&amp;AZ301)</f>
        <v/>
      </c>
    </row>
    <row r="302" customFormat="false" ht="15" hidden="false" customHeight="false" outlineLevel="0" collapsed="false">
      <c r="A302" s="10" t="str">
        <f aca="false">IF(C302="","","MH-"&amp;IFERROR(VLOOKUP(C302,Lists!$AB$4:$AC$20,2,0),"??")&amp;"-"&amp;TEXT(F302,"0000")&amp;IF(E302="Circular","D","x"&amp;TEXT(G302,"0000"))&amp;"-D"&amp;TEXT(I302*1000,"0000")&amp;"-"&amp;IFERROR(VLOOKUP(D302,Lists!$AE$4:$AF$16,2,0),"??")&amp;"-"&amp;AA302)</f>
        <v/>
      </c>
      <c r="B302" s="10" t="str">
        <f aca="false">IF(C302="","",C302&amp;", "&amp;D302&amp;", "&amp;IF(E302="Circular",F302&amp;" dia",F302&amp;" x "&amp;G302)&amp;", depth "&amp;TEXT(H302,"0.0")&amp;"-"&amp;TEXT(I302,"0.0")&amp;" m, pipe up to "&amp;J302&amp;" dia")</f>
        <v/>
      </c>
      <c r="C302" s="9"/>
      <c r="D302" s="9"/>
      <c r="E302" s="9"/>
      <c r="F302" s="40"/>
      <c r="G302" s="40"/>
      <c r="H302" s="43"/>
      <c r="I302" s="43"/>
      <c r="J302" s="40"/>
      <c r="K302" s="40"/>
      <c r="L302" s="40"/>
      <c r="M302" s="40"/>
      <c r="N302" s="9"/>
      <c r="O302" s="9"/>
      <c r="P302" s="9"/>
      <c r="Q302" s="9"/>
      <c r="R302" s="41"/>
      <c r="S302" s="9"/>
      <c r="T302" s="40"/>
      <c r="U302" s="9"/>
      <c r="V302" s="9"/>
      <c r="W302" s="9"/>
      <c r="X302" s="9"/>
      <c r="Y302" s="9"/>
      <c r="Z302" s="9"/>
      <c r="AA302" s="9"/>
      <c r="AB302" s="9"/>
      <c r="AC302" s="9"/>
      <c r="AD302" s="9"/>
      <c r="AE302" s="9"/>
      <c r="AF302" s="10" t="str">
        <f aca="false">IF(A302="","",SG_Criteria!$B$6&amp;SG_Criteria!$B$10&amp;"\"&amp;A302&amp;"\")</f>
        <v/>
      </c>
      <c r="AG302" s="10" t="str">
        <f aca="false">IF(A302="","",A302&amp;"_CAD.dwg")</f>
        <v/>
      </c>
      <c r="AH302" s="10" t="str">
        <f aca="false">IF(A302="","",A302&amp;"_DWG.pdf")</f>
        <v/>
      </c>
      <c r="AI302" s="10" t="str">
        <f aca="false">IF(A302="","",IF(AE302="Y",A302&amp;"_STAAD.std","n/a"))</f>
        <v/>
      </c>
      <c r="AJ302" s="10" t="str">
        <f aca="false">IF(A302="","",A302&amp;"_CALC.xlsx")</f>
        <v/>
      </c>
      <c r="AK302" s="10" t="str">
        <f aca="false">IF(A302="","",A302&amp;"_CALC.pdf")</f>
        <v/>
      </c>
      <c r="AL302" s="9"/>
      <c r="AM302" s="9"/>
      <c r="AN302" s="41"/>
      <c r="AO302" s="41"/>
      <c r="AP302" s="41"/>
      <c r="AQ302" s="41"/>
      <c r="AR302" s="41"/>
      <c r="AS302" s="38" t="str">
        <f aca="false">IF(C302="","",IF(LEN(IF(AND(S302&lt;&gt;"",IFERROR(VALUE(MID(S302,2,2)),0)&lt;SG_Criteria!$B$19),"FAIL: grade below C"&amp;SG_Criteria!$B$19&amp;". ","")&amp;IF(AND(T302&lt;&gt;"",T302&lt;SG_Criteria!$B$20),"FAIL: cover &lt; "&amp;SG_Criteria!$B$20&amp;" mm. ","")&amp;IF(AND(H302&lt;&gt;"",H302&lt;SG_Criteria!$B$39),"NOTE: min depth below PUB "&amp;SG_Criteria!$B$39&amp;" m. ","")&amp;IF(AND(LEFT(C302,8)="Standard",I302&gt;SG_Criteria!$B$42),"FAIL: PUB 001C covers manholes up to "&amp;SG_Criteria!$B$42&amp;" m deep only. ","")&amp;IF(AND(LEFT(C302,11)="Rectangular",J302&lt;SG_Criteria!$B$43),"NOTE: 004C is for sewers &gt;= "&amp;SG_Criteria!$B$43&amp;" dia. ","")&amp;IF(AND(LEFT(C302,7)="Precast",I302&lt;=SG_Criteria!$B$42),"NOTE: 006C is for manholes &gt; "&amp;SG_Criteria!$B$42&amp;" m deep. ","")&amp;IF(AND(J302&lt;&gt;"",J302&lt;SG_Criteria!$B$40,C302&lt;&gt;"Inspection Chamber"),"NOTE: public sewer min dia "&amp;SG_Criteria!$B$40&amp;" mm. ","")&amp;IF(AND(R302&lt;&gt;"",R302&lt;SG_Criteria!$B$44),"FAIL: uplift FOS below "&amp;SG_Criteria!$B$44&amp;". ",""))=0,"OK",IF(AND(S302&lt;&gt;"",IFERROR(VALUE(MID(S302,2,2)),0)&lt;SG_Criteria!$B$19),"FAIL: grade below C"&amp;SG_Criteria!$B$19&amp;". ","")&amp;IF(AND(T302&lt;&gt;"",T302&lt;SG_Criteria!$B$20),"FAIL: cover &lt; "&amp;SG_Criteria!$B$20&amp;" mm. ","")&amp;IF(AND(H302&lt;&gt;"",H302&lt;SG_Criteria!$B$39),"NOTE: min depth below PUB "&amp;SG_Criteria!$B$39&amp;" m. ","")&amp;IF(AND(LEFT(C302,8)="Standard",I302&gt;SG_Criteria!$B$42),"FAIL: PUB 001C covers manholes up to "&amp;SG_Criteria!$B$42&amp;" m deep only. ","")&amp;IF(AND(LEFT(C302,11)="Rectangular",J302&lt;SG_Criteria!$B$43),"NOTE: 004C is for sewers &gt;= "&amp;SG_Criteria!$B$43&amp;" dia. ","")&amp;IF(AND(LEFT(C302,7)="Precast",I302&lt;=SG_Criteria!$B$42),"NOTE: 006C is for manholes &gt; "&amp;SG_Criteria!$B$42&amp;" m deep. ","")&amp;IF(AND(J302&lt;&gt;"",J302&lt;SG_Criteria!$B$40,C302&lt;&gt;"Inspection Chamber"),"NOTE: public sewer min dia "&amp;SG_Criteria!$B$40&amp;" mm. ","")&amp;IF(AND(R302&lt;&gt;"",R302&lt;SG_Criteria!$B$44),"FAIL: uplift FOS below "&amp;SG_Criteria!$B$44&amp;". ","")))</f>
        <v/>
      </c>
      <c r="AT302" s="9"/>
      <c r="AU302" s="9"/>
      <c r="AV302" s="9"/>
      <c r="AW302" s="9"/>
      <c r="AX302" s="9"/>
      <c r="AY302" s="31"/>
      <c r="AZ302" s="10" t="str">
        <f aca="false">IF(C302="","",IF(AND(AB302="Approved",ISERROR(SEARCH("FAIL",AS302))),"Y","N"))</f>
        <v/>
      </c>
      <c r="BA302" s="10" t="str">
        <f aca="false">IF(C302="","",C302&amp;"|"&amp;I302&amp;"|"&amp;F302&amp;"|"&amp;AZ302)</f>
        <v/>
      </c>
    </row>
    <row r="303" customFormat="false" ht="15" hidden="false" customHeight="false" outlineLevel="0" collapsed="false">
      <c r="A303" s="10" t="str">
        <f aca="false">IF(C303="","","MH-"&amp;IFERROR(VLOOKUP(C303,Lists!$AB$4:$AC$20,2,0),"??")&amp;"-"&amp;TEXT(F303,"0000")&amp;IF(E303="Circular","D","x"&amp;TEXT(G303,"0000"))&amp;"-D"&amp;TEXT(I303*1000,"0000")&amp;"-"&amp;IFERROR(VLOOKUP(D303,Lists!$AE$4:$AF$16,2,0),"??")&amp;"-"&amp;AA303)</f>
        <v/>
      </c>
      <c r="B303" s="10" t="str">
        <f aca="false">IF(C303="","",C303&amp;", "&amp;D303&amp;", "&amp;IF(E303="Circular",F303&amp;" dia",F303&amp;" x "&amp;G303)&amp;", depth "&amp;TEXT(H303,"0.0")&amp;"-"&amp;TEXT(I303,"0.0")&amp;" m, pipe up to "&amp;J303&amp;" dia")</f>
        <v/>
      </c>
      <c r="C303" s="9"/>
      <c r="D303" s="9"/>
      <c r="E303" s="9"/>
      <c r="F303" s="40"/>
      <c r="G303" s="40"/>
      <c r="H303" s="43"/>
      <c r="I303" s="43"/>
      <c r="J303" s="40"/>
      <c r="K303" s="40"/>
      <c r="L303" s="40"/>
      <c r="M303" s="40"/>
      <c r="N303" s="9"/>
      <c r="O303" s="9"/>
      <c r="P303" s="9"/>
      <c r="Q303" s="9"/>
      <c r="R303" s="41"/>
      <c r="S303" s="9"/>
      <c r="T303" s="40"/>
      <c r="U303" s="9"/>
      <c r="V303" s="9"/>
      <c r="W303" s="9"/>
      <c r="X303" s="9"/>
      <c r="Y303" s="9"/>
      <c r="Z303" s="9"/>
      <c r="AA303" s="9"/>
      <c r="AB303" s="9"/>
      <c r="AC303" s="9"/>
      <c r="AD303" s="9"/>
      <c r="AE303" s="9"/>
      <c r="AF303" s="10" t="str">
        <f aca="false">IF(A303="","",SG_Criteria!$B$6&amp;SG_Criteria!$B$10&amp;"\"&amp;A303&amp;"\")</f>
        <v/>
      </c>
      <c r="AG303" s="10" t="str">
        <f aca="false">IF(A303="","",A303&amp;"_CAD.dwg")</f>
        <v/>
      </c>
      <c r="AH303" s="10" t="str">
        <f aca="false">IF(A303="","",A303&amp;"_DWG.pdf")</f>
        <v/>
      </c>
      <c r="AI303" s="10" t="str">
        <f aca="false">IF(A303="","",IF(AE303="Y",A303&amp;"_STAAD.std","n/a"))</f>
        <v/>
      </c>
      <c r="AJ303" s="10" t="str">
        <f aca="false">IF(A303="","",A303&amp;"_CALC.xlsx")</f>
        <v/>
      </c>
      <c r="AK303" s="10" t="str">
        <f aca="false">IF(A303="","",A303&amp;"_CALC.pdf")</f>
        <v/>
      </c>
      <c r="AL303" s="9"/>
      <c r="AM303" s="9"/>
      <c r="AN303" s="41"/>
      <c r="AO303" s="41"/>
      <c r="AP303" s="41"/>
      <c r="AQ303" s="41"/>
      <c r="AR303" s="41"/>
      <c r="AS303" s="38" t="str">
        <f aca="false">IF(C303="","",IF(LEN(IF(AND(S303&lt;&gt;"",IFERROR(VALUE(MID(S303,2,2)),0)&lt;SG_Criteria!$B$19),"FAIL: grade below C"&amp;SG_Criteria!$B$19&amp;". ","")&amp;IF(AND(T303&lt;&gt;"",T303&lt;SG_Criteria!$B$20),"FAIL: cover &lt; "&amp;SG_Criteria!$B$20&amp;" mm. ","")&amp;IF(AND(H303&lt;&gt;"",H303&lt;SG_Criteria!$B$39),"NOTE: min depth below PUB "&amp;SG_Criteria!$B$39&amp;" m. ","")&amp;IF(AND(LEFT(C303,8)="Standard",I303&gt;SG_Criteria!$B$42),"FAIL: PUB 001C covers manholes up to "&amp;SG_Criteria!$B$42&amp;" m deep only. ","")&amp;IF(AND(LEFT(C303,11)="Rectangular",J303&lt;SG_Criteria!$B$43),"NOTE: 004C is for sewers &gt;= "&amp;SG_Criteria!$B$43&amp;" dia. ","")&amp;IF(AND(LEFT(C303,7)="Precast",I303&lt;=SG_Criteria!$B$42),"NOTE: 006C is for manholes &gt; "&amp;SG_Criteria!$B$42&amp;" m deep. ","")&amp;IF(AND(J303&lt;&gt;"",J303&lt;SG_Criteria!$B$40,C303&lt;&gt;"Inspection Chamber"),"NOTE: public sewer min dia "&amp;SG_Criteria!$B$40&amp;" mm. ","")&amp;IF(AND(R303&lt;&gt;"",R303&lt;SG_Criteria!$B$44),"FAIL: uplift FOS below "&amp;SG_Criteria!$B$44&amp;". ",""))=0,"OK",IF(AND(S303&lt;&gt;"",IFERROR(VALUE(MID(S303,2,2)),0)&lt;SG_Criteria!$B$19),"FAIL: grade below C"&amp;SG_Criteria!$B$19&amp;". ","")&amp;IF(AND(T303&lt;&gt;"",T303&lt;SG_Criteria!$B$20),"FAIL: cover &lt; "&amp;SG_Criteria!$B$20&amp;" mm. ","")&amp;IF(AND(H303&lt;&gt;"",H303&lt;SG_Criteria!$B$39),"NOTE: min depth below PUB "&amp;SG_Criteria!$B$39&amp;" m. ","")&amp;IF(AND(LEFT(C303,8)="Standard",I303&gt;SG_Criteria!$B$42),"FAIL: PUB 001C covers manholes up to "&amp;SG_Criteria!$B$42&amp;" m deep only. ","")&amp;IF(AND(LEFT(C303,11)="Rectangular",J303&lt;SG_Criteria!$B$43),"NOTE: 004C is for sewers &gt;= "&amp;SG_Criteria!$B$43&amp;" dia. ","")&amp;IF(AND(LEFT(C303,7)="Precast",I303&lt;=SG_Criteria!$B$42),"NOTE: 006C is for manholes &gt; "&amp;SG_Criteria!$B$42&amp;" m deep. ","")&amp;IF(AND(J303&lt;&gt;"",J303&lt;SG_Criteria!$B$40,C303&lt;&gt;"Inspection Chamber"),"NOTE: public sewer min dia "&amp;SG_Criteria!$B$40&amp;" mm. ","")&amp;IF(AND(R303&lt;&gt;"",R303&lt;SG_Criteria!$B$44),"FAIL: uplift FOS below "&amp;SG_Criteria!$B$44&amp;". ","")))</f>
        <v/>
      </c>
      <c r="AT303" s="9"/>
      <c r="AU303" s="9"/>
      <c r="AV303" s="9"/>
      <c r="AW303" s="9"/>
      <c r="AX303" s="9"/>
      <c r="AY303" s="31"/>
      <c r="AZ303" s="10" t="str">
        <f aca="false">IF(C303="","",IF(AND(AB303="Approved",ISERROR(SEARCH("FAIL",AS303))),"Y","N"))</f>
        <v/>
      </c>
      <c r="BA303" s="10" t="str">
        <f aca="false">IF(C303="","",C303&amp;"|"&amp;I303&amp;"|"&amp;F303&amp;"|"&amp;AZ303)</f>
        <v/>
      </c>
    </row>
    <row r="304" customFormat="false" ht="15" hidden="false" customHeight="false" outlineLevel="0" collapsed="false">
      <c r="A304" s="10" t="str">
        <f aca="false">IF(C304="","","MH-"&amp;IFERROR(VLOOKUP(C304,Lists!$AB$4:$AC$20,2,0),"??")&amp;"-"&amp;TEXT(F304,"0000")&amp;IF(E304="Circular","D","x"&amp;TEXT(G304,"0000"))&amp;"-D"&amp;TEXT(I304*1000,"0000")&amp;"-"&amp;IFERROR(VLOOKUP(D304,Lists!$AE$4:$AF$16,2,0),"??")&amp;"-"&amp;AA304)</f>
        <v/>
      </c>
      <c r="B304" s="10" t="str">
        <f aca="false">IF(C304="","",C304&amp;", "&amp;D304&amp;", "&amp;IF(E304="Circular",F304&amp;" dia",F304&amp;" x "&amp;G304)&amp;", depth "&amp;TEXT(H304,"0.0")&amp;"-"&amp;TEXT(I304,"0.0")&amp;" m, pipe up to "&amp;J304&amp;" dia")</f>
        <v/>
      </c>
      <c r="C304" s="9"/>
      <c r="D304" s="9"/>
      <c r="E304" s="9"/>
      <c r="F304" s="40"/>
      <c r="G304" s="40"/>
      <c r="H304" s="43"/>
      <c r="I304" s="43"/>
      <c r="J304" s="40"/>
      <c r="K304" s="40"/>
      <c r="L304" s="40"/>
      <c r="M304" s="40"/>
      <c r="N304" s="9"/>
      <c r="O304" s="9"/>
      <c r="P304" s="9"/>
      <c r="Q304" s="9"/>
      <c r="R304" s="41"/>
      <c r="S304" s="9"/>
      <c r="T304" s="40"/>
      <c r="U304" s="9"/>
      <c r="V304" s="9"/>
      <c r="W304" s="9"/>
      <c r="X304" s="9"/>
      <c r="Y304" s="9"/>
      <c r="Z304" s="9"/>
      <c r="AA304" s="9"/>
      <c r="AB304" s="9"/>
      <c r="AC304" s="9"/>
      <c r="AD304" s="9"/>
      <c r="AE304" s="9"/>
      <c r="AF304" s="10" t="str">
        <f aca="false">IF(A304="","",SG_Criteria!$B$6&amp;SG_Criteria!$B$10&amp;"\"&amp;A304&amp;"\")</f>
        <v/>
      </c>
      <c r="AG304" s="10" t="str">
        <f aca="false">IF(A304="","",A304&amp;"_CAD.dwg")</f>
        <v/>
      </c>
      <c r="AH304" s="10" t="str">
        <f aca="false">IF(A304="","",A304&amp;"_DWG.pdf")</f>
        <v/>
      </c>
      <c r="AI304" s="10" t="str">
        <f aca="false">IF(A304="","",IF(AE304="Y",A304&amp;"_STAAD.std","n/a"))</f>
        <v/>
      </c>
      <c r="AJ304" s="10" t="str">
        <f aca="false">IF(A304="","",A304&amp;"_CALC.xlsx")</f>
        <v/>
      </c>
      <c r="AK304" s="10" t="str">
        <f aca="false">IF(A304="","",A304&amp;"_CALC.pdf")</f>
        <v/>
      </c>
      <c r="AL304" s="9"/>
      <c r="AM304" s="9"/>
      <c r="AN304" s="41"/>
      <c r="AO304" s="41"/>
      <c r="AP304" s="41"/>
      <c r="AQ304" s="41"/>
      <c r="AR304" s="41"/>
      <c r="AS304" s="38" t="str">
        <f aca="false">IF(C304="","",IF(LEN(IF(AND(S304&lt;&gt;"",IFERROR(VALUE(MID(S304,2,2)),0)&lt;SG_Criteria!$B$19),"FAIL: grade below C"&amp;SG_Criteria!$B$19&amp;". ","")&amp;IF(AND(T304&lt;&gt;"",T304&lt;SG_Criteria!$B$20),"FAIL: cover &lt; "&amp;SG_Criteria!$B$20&amp;" mm. ","")&amp;IF(AND(H304&lt;&gt;"",H304&lt;SG_Criteria!$B$39),"NOTE: min depth below PUB "&amp;SG_Criteria!$B$39&amp;" m. ","")&amp;IF(AND(LEFT(C304,8)="Standard",I304&gt;SG_Criteria!$B$42),"FAIL: PUB 001C covers manholes up to "&amp;SG_Criteria!$B$42&amp;" m deep only. ","")&amp;IF(AND(LEFT(C304,11)="Rectangular",J304&lt;SG_Criteria!$B$43),"NOTE: 004C is for sewers &gt;= "&amp;SG_Criteria!$B$43&amp;" dia. ","")&amp;IF(AND(LEFT(C304,7)="Precast",I304&lt;=SG_Criteria!$B$42),"NOTE: 006C is for manholes &gt; "&amp;SG_Criteria!$B$42&amp;" m deep. ","")&amp;IF(AND(J304&lt;&gt;"",J304&lt;SG_Criteria!$B$40,C304&lt;&gt;"Inspection Chamber"),"NOTE: public sewer min dia "&amp;SG_Criteria!$B$40&amp;" mm. ","")&amp;IF(AND(R304&lt;&gt;"",R304&lt;SG_Criteria!$B$44),"FAIL: uplift FOS below "&amp;SG_Criteria!$B$44&amp;". ",""))=0,"OK",IF(AND(S304&lt;&gt;"",IFERROR(VALUE(MID(S304,2,2)),0)&lt;SG_Criteria!$B$19),"FAIL: grade below C"&amp;SG_Criteria!$B$19&amp;". ","")&amp;IF(AND(T304&lt;&gt;"",T304&lt;SG_Criteria!$B$20),"FAIL: cover &lt; "&amp;SG_Criteria!$B$20&amp;" mm. ","")&amp;IF(AND(H304&lt;&gt;"",H304&lt;SG_Criteria!$B$39),"NOTE: min depth below PUB "&amp;SG_Criteria!$B$39&amp;" m. ","")&amp;IF(AND(LEFT(C304,8)="Standard",I304&gt;SG_Criteria!$B$42),"FAIL: PUB 001C covers manholes up to "&amp;SG_Criteria!$B$42&amp;" m deep only. ","")&amp;IF(AND(LEFT(C304,11)="Rectangular",J304&lt;SG_Criteria!$B$43),"NOTE: 004C is for sewers &gt;= "&amp;SG_Criteria!$B$43&amp;" dia. ","")&amp;IF(AND(LEFT(C304,7)="Precast",I304&lt;=SG_Criteria!$B$42),"NOTE: 006C is for manholes &gt; "&amp;SG_Criteria!$B$42&amp;" m deep. ","")&amp;IF(AND(J304&lt;&gt;"",J304&lt;SG_Criteria!$B$40,C304&lt;&gt;"Inspection Chamber"),"NOTE: public sewer min dia "&amp;SG_Criteria!$B$40&amp;" mm. ","")&amp;IF(AND(R304&lt;&gt;"",R304&lt;SG_Criteria!$B$44),"FAIL: uplift FOS below "&amp;SG_Criteria!$B$44&amp;". ","")))</f>
        <v/>
      </c>
      <c r="AT304" s="9"/>
      <c r="AU304" s="9"/>
      <c r="AV304" s="9"/>
      <c r="AW304" s="9"/>
      <c r="AX304" s="9"/>
      <c r="AY304" s="31"/>
      <c r="AZ304" s="10" t="str">
        <f aca="false">IF(C304="","",IF(AND(AB304="Approved",ISERROR(SEARCH("FAIL",AS304))),"Y","N"))</f>
        <v/>
      </c>
      <c r="BA304" s="10" t="str">
        <f aca="false">IF(C304="","",C304&amp;"|"&amp;I304&amp;"|"&amp;F304&amp;"|"&amp;AZ304)</f>
        <v/>
      </c>
    </row>
  </sheetData>
  <conditionalFormatting sqref="AS5:AS304">
    <cfRule type="expression" priority="2" aboveAverage="0" equalAverage="0" bottom="0" percent="0" rank="0" text="" dxfId="0">
      <formula>ISNUMBER(SEARCH("FAIL",AS5))</formula>
    </cfRule>
    <cfRule type="expression" priority="3" aboveAverage="0" equalAverage="0" bottom="0" percent="0" rank="0" text="" dxfId="15">
      <formula>ISNUMBER(SEARCH("NOTE",AS5))</formula>
    </cfRule>
    <cfRule type="expression" priority="4" aboveAverage="0" equalAverage="0" bottom="0" percent="0" rank="0" text="" dxfId="1">
      <formula>AS5="OK"</formula>
    </cfRule>
  </conditionalFormatting>
  <dataValidations count="10">
    <dataValidation allowBlank="true" error="Pick a value from the list (add new values on the Lists sheet)." errorStyle="stop" errorTitle="Not in list" operator="between" showDropDown="false" showErrorMessage="false" showInputMessage="false" sqref="C5:C304" type="list">
      <formula1>Lists!$AB$4:$AB$20</formula1>
      <formula2>0</formula2>
    </dataValidation>
    <dataValidation allowBlank="true" error="Pick a value from the list (add new values on the Lists sheet)." errorStyle="stop" errorTitle="Not in list" operator="between" showDropDown="false" showErrorMessage="false" showInputMessage="false" sqref="D5:D304" type="list">
      <formula1>Lists!$AE$4:$AE$16</formula1>
      <formula2>0</formula2>
    </dataValidation>
    <dataValidation allowBlank="true" error="Pick a value from the list (add new values on the Lists sheet)." errorStyle="stop" errorTitle="Not in list" operator="between" showDropDown="false" showErrorMessage="false" showInputMessage="false" sqref="E5:E304" type="list">
      <formula1>Lists!$AH$4:$AH$16</formula1>
      <formula2>0</formula2>
    </dataValidation>
    <dataValidation allowBlank="true" error="Pick a value from the list (add new values on the Lists sheet)." errorStyle="stop" errorTitle="Not in list" operator="between" showDropDown="false" showErrorMessage="false" showInputMessage="false" sqref="Q5:Q304" type="list">
      <formula1>Lists!$J$4:$J$19</formula1>
      <formula2>0</formula2>
    </dataValidation>
    <dataValidation allowBlank="true" error="Pick a value from the list (add new values on the Lists sheet)." errorStyle="stop" errorTitle="Not in list" operator="between" showDropDown="false" showErrorMessage="false" showInputMessage="false" sqref="S5:S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AB5:AB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AD5:AD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E5:AE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L5:AL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M5:AM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V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54"/>
    <col collapsed="false" customWidth="true" hidden="false" outlineLevel="0" max="3" min="3" style="0" width="22"/>
    <col collapsed="false" customWidth="true" hidden="false" outlineLevel="0" max="4" min="4" style="0" width="14"/>
    <col collapsed="false" customWidth="true" hidden="false" outlineLevel="0" max="7" min="5" style="0" width="8"/>
    <col collapsed="false" customWidth="true" hidden="false" outlineLevel="0" max="8" min="8" style="0" width="22"/>
    <col collapsed="false" customWidth="true" hidden="false" outlineLevel="0" max="10" min="9" style="0" width="8"/>
    <col collapsed="false" customWidth="true" hidden="false" outlineLevel="0" max="11" min="11" style="0" width="14"/>
    <col collapsed="false" customWidth="true" hidden="false" outlineLevel="0" max="13" min="12" style="0" width="7"/>
    <col collapsed="false" customWidth="true" hidden="false" outlineLevel="0" max="14" min="14" style="0" width="6"/>
    <col collapsed="false" customWidth="true" hidden="false" outlineLevel="0" max="15" min="15" style="0" width="12"/>
    <col collapsed="false" customWidth="true" hidden="false" outlineLevel="0" max="16" min="16" style="0" width="14"/>
    <col collapsed="false" customWidth="true" hidden="false" outlineLevel="0" max="17" min="17" style="0" width="7"/>
    <col collapsed="false" customWidth="true" hidden="false" outlineLevel="0" max="18" min="18" style="0" width="16"/>
    <col collapsed="false" customWidth="true" hidden="false" outlineLevel="0" max="19" min="19" style="0" width="8"/>
    <col collapsed="false" customWidth="true" hidden="false" outlineLevel="0" max="20" min="20" style="0" width="30"/>
    <col collapsed="false" customWidth="true" hidden="false" outlineLevel="0" max="21" min="21" style="0" width="5"/>
    <col collapsed="false" customWidth="true" hidden="false" outlineLevel="0" max="22" min="22" style="0" width="10"/>
    <col collapsed="false" customWidth="true" hidden="false" outlineLevel="0" max="23" min="23" style="0" width="14"/>
    <col collapsed="false" customWidth="true" hidden="false" outlineLevel="0" max="24" min="24" style="0" width="8"/>
    <col collapsed="false" customWidth="true" hidden="false" outlineLevel="0" max="25" min="25" style="0" width="9"/>
    <col collapsed="false" customWidth="true" hidden="false" outlineLevel="0" max="26" min="26" style="0" width="46"/>
    <col collapsed="false" customWidth="true" hidden="false" outlineLevel="0" max="31" min="27" style="0" width="30"/>
    <col collapsed="false" customWidth="true" hidden="false" outlineLevel="0" max="32" min="32" style="0" width="9"/>
    <col collapsed="false" customWidth="true" hidden="false" outlineLevel="0" max="33" min="33" style="0" width="6"/>
    <col collapsed="false" customWidth="true" hidden="false" outlineLevel="0" max="38" min="34" style="0" width="9"/>
    <col collapsed="false" customWidth="true" hidden="false" outlineLevel="0" max="39" min="39" style="0" width="24"/>
    <col collapsed="false" customWidth="true" hidden="false" outlineLevel="0" max="40" min="40" style="0" width="44"/>
    <col collapsed="false" customWidth="true" hidden="false" outlineLevel="0" max="41" min="41" style="0" width="36"/>
    <col collapsed="false" customWidth="true" hidden="false" outlineLevel="0" max="42" min="42" style="0" width="22"/>
    <col collapsed="false" customWidth="true" hidden="false" outlineLevel="0" max="44" min="43" style="0" width="10"/>
    <col collapsed="false" customWidth="true" hidden="false" outlineLevel="0" max="46" min="45" style="0" width="11"/>
    <col collapsed="false" customWidth="true" hidden="false" outlineLevel="0" max="47" min="47" style="0" width="8"/>
    <col collapsed="false" customWidth="true" hidden="false" outlineLevel="0" max="48" min="48" style="0" width="40"/>
  </cols>
  <sheetData>
    <row r="1" customFormat="false" ht="17.35" hidden="false" customHeight="false" outlineLevel="0" collapsed="false">
      <c r="A1" s="5" t="s">
        <v>799</v>
      </c>
    </row>
    <row r="2" customFormat="false" ht="15" hidden="false" customHeight="false" outlineLevel="0" collapsed="false">
      <c r="A2" s="6" t="s">
        <v>800</v>
      </c>
    </row>
    <row r="3" customFormat="false" ht="15" hidden="false" customHeight="false" outlineLevel="0" collapsed="false">
      <c r="A3" s="6" t="s">
        <v>581</v>
      </c>
    </row>
    <row r="4" customFormat="false" ht="54" hidden="false" customHeight="true" outlineLevel="0" collapsed="false">
      <c r="A4" s="16" t="s">
        <v>92</v>
      </c>
      <c r="B4" s="16" t="s">
        <v>93</v>
      </c>
      <c r="C4" s="15" t="s">
        <v>801</v>
      </c>
      <c r="D4" s="15" t="s">
        <v>1</v>
      </c>
      <c r="E4" s="15" t="s">
        <v>802</v>
      </c>
      <c r="F4" s="15" t="s">
        <v>803</v>
      </c>
      <c r="G4" s="15" t="s">
        <v>710</v>
      </c>
      <c r="H4" s="15" t="s">
        <v>712</v>
      </c>
      <c r="I4" s="15" t="s">
        <v>713</v>
      </c>
      <c r="J4" s="15" t="s">
        <v>67</v>
      </c>
      <c r="K4" s="15" t="s">
        <v>804</v>
      </c>
      <c r="L4" s="15" t="s">
        <v>805</v>
      </c>
      <c r="M4" s="15" t="s">
        <v>716</v>
      </c>
      <c r="N4" s="15" t="s">
        <v>806</v>
      </c>
      <c r="O4" s="15" t="s">
        <v>720</v>
      </c>
      <c r="P4" s="15" t="s">
        <v>807</v>
      </c>
      <c r="Q4" s="15" t="s">
        <v>808</v>
      </c>
      <c r="R4" s="15" t="s">
        <v>809</v>
      </c>
      <c r="S4" s="15" t="s">
        <v>722</v>
      </c>
      <c r="T4" s="15" t="s">
        <v>597</v>
      </c>
      <c r="U4" s="15" t="s">
        <v>121</v>
      </c>
      <c r="V4" s="15" t="s">
        <v>122</v>
      </c>
      <c r="W4" s="15" t="s">
        <v>123</v>
      </c>
      <c r="X4" s="15" t="s">
        <v>598</v>
      </c>
      <c r="Y4" s="15" t="s">
        <v>599</v>
      </c>
      <c r="Z4" s="34" t="s">
        <v>600</v>
      </c>
      <c r="AA4" s="34" t="s">
        <v>601</v>
      </c>
      <c r="AB4" s="34" t="s">
        <v>602</v>
      </c>
      <c r="AC4" s="34" t="s">
        <v>603</v>
      </c>
      <c r="AD4" s="34" t="s">
        <v>604</v>
      </c>
      <c r="AE4" s="34" t="s">
        <v>605</v>
      </c>
      <c r="AF4" s="15" t="s">
        <v>606</v>
      </c>
      <c r="AG4" s="15" t="s">
        <v>607</v>
      </c>
      <c r="AH4" s="17" t="s">
        <v>608</v>
      </c>
      <c r="AI4" s="17" t="s">
        <v>609</v>
      </c>
      <c r="AJ4" s="17" t="s">
        <v>610</v>
      </c>
      <c r="AK4" s="17" t="s">
        <v>611</v>
      </c>
      <c r="AL4" s="17" t="s">
        <v>612</v>
      </c>
      <c r="AM4" s="16" t="s">
        <v>686</v>
      </c>
      <c r="AN4" s="16" t="s">
        <v>615</v>
      </c>
      <c r="AO4" s="15" t="s">
        <v>616</v>
      </c>
      <c r="AP4" s="15" t="s">
        <v>617</v>
      </c>
      <c r="AQ4" s="15" t="s">
        <v>618</v>
      </c>
      <c r="AR4" s="15" t="s">
        <v>619</v>
      </c>
      <c r="AS4" s="15" t="s">
        <v>620</v>
      </c>
      <c r="AT4" s="15" t="s">
        <v>621</v>
      </c>
      <c r="AU4" s="16" t="s">
        <v>622</v>
      </c>
      <c r="AV4" s="16" t="s">
        <v>623</v>
      </c>
    </row>
    <row r="5" customFormat="false" ht="15" hidden="false" customHeight="false" outlineLevel="0" collapsed="false">
      <c r="A5" s="10" t="str">
        <f aca="false">IF(C5="","","ERSS-"&amp;IFERROR(VLOOKUP(C5,Lists!$AK$4:$AL$21,2,0),"??")&amp;"-"&amp;TEXT(E5,"0000")&amp;"x"&amp;TEXT(F5,"0000")&amp;"-D"&amp;TEXT(G5*1000,"0000")&amp;"-"&amp;IFERROR(VLOOKUP(H5,Lists!$Y$4:$Z$21,2,0),"??")&amp;"-"&amp;U5)</f>
        <v>ERSS-TSB-3000x2500-D3000-FSC-A</v>
      </c>
      <c r="B5" s="10" t="str">
        <f aca="false">IF(C5="","",C5&amp;" for "&amp;D5&amp;", "&amp;E5&amp;" x "&amp;F5&amp;" pit, "&amp;TEXT(G5,"0.0")&amp;" m deep, "&amp;H5)</f>
        <v>Trench Shoring Box for Manhole, 3000 x 2500 pit, 3.0 m deep, Firm/stiff clay (general)</v>
      </c>
      <c r="C5" s="18" t="s">
        <v>233</v>
      </c>
      <c r="D5" s="18" t="s">
        <v>253</v>
      </c>
      <c r="E5" s="35" t="n">
        <v>3000</v>
      </c>
      <c r="F5" s="35" t="n">
        <v>2500</v>
      </c>
      <c r="G5" s="42" t="n">
        <v>3</v>
      </c>
      <c r="H5" s="18" t="s">
        <v>568</v>
      </c>
      <c r="I5" s="42" t="n">
        <v>2</v>
      </c>
      <c r="J5" s="35" t="n">
        <v>10</v>
      </c>
      <c r="K5" s="18" t="s">
        <v>810</v>
      </c>
      <c r="L5" s="42"/>
      <c r="M5" s="42"/>
      <c r="N5" s="35" t="n">
        <v>0</v>
      </c>
      <c r="O5" s="18" t="s">
        <v>626</v>
      </c>
      <c r="P5" s="18" t="s">
        <v>811</v>
      </c>
      <c r="Q5" s="36" t="n">
        <v>2</v>
      </c>
      <c r="R5" s="18" t="s">
        <v>812</v>
      </c>
      <c r="S5" s="35" t="n">
        <v>10</v>
      </c>
      <c r="T5" s="18" t="s">
        <v>813</v>
      </c>
      <c r="U5" s="18" t="s">
        <v>628</v>
      </c>
      <c r="V5" s="18" t="s">
        <v>244</v>
      </c>
      <c r="W5" s="18" t="s">
        <v>814</v>
      </c>
      <c r="X5" s="18" t="n">
        <v>50</v>
      </c>
      <c r="Y5" s="18" t="s">
        <v>74</v>
      </c>
      <c r="Z5" s="10" t="str">
        <f aca="false">IF(A5="","",SG_Criteria!$B$6&amp;SG_Criteria!$B$11&amp;"\"&amp;A5&amp;"\")</f>
        <v>C:\Users\yourname\YourCompany\Design Library - Documents\05_ERSS_Pit\ERSS-TSB-3000x2500-D3000-FSC-A\</v>
      </c>
      <c r="AA5" s="10" t="str">
        <f aca="false">IF(A5="","",A5&amp;"_CAD.dwg")</f>
        <v>ERSS-TSB-3000x2500-D3000-FSC-A_CAD.dwg</v>
      </c>
      <c r="AB5" s="10" t="str">
        <f aca="false">IF(A5="","",A5&amp;"_DWG.pdf")</f>
        <v>ERSS-TSB-3000x2500-D3000-FSC-A_DWG.pdf</v>
      </c>
      <c r="AC5" s="10" t="str">
        <f aca="false">IF(A5="","",IF(Y5="Y",A5&amp;"_STAAD.std","n/a"))</f>
        <v>n/a</v>
      </c>
      <c r="AD5" s="10" t="str">
        <f aca="false">IF(A5="","",A5&amp;"_CALC.xlsx")</f>
        <v>ERSS-TSB-3000x2500-D3000-FSC-A_CALC.xlsx</v>
      </c>
      <c r="AE5" s="10" t="str">
        <f aca="false">IF(A5="","",A5&amp;"_CALC.pdf")</f>
        <v>ERSS-TSB-3000x2500-D3000-FSC-A_CALC.pdf</v>
      </c>
      <c r="AF5" s="18" t="s">
        <v>74</v>
      </c>
      <c r="AG5" s="18" t="s">
        <v>493</v>
      </c>
      <c r="AH5" s="36" t="n">
        <v>0.3</v>
      </c>
      <c r="AI5" s="36" t="n">
        <v>0</v>
      </c>
      <c r="AJ5" s="36" t="n">
        <v>0</v>
      </c>
      <c r="AK5" s="36" t="n">
        <v>0</v>
      </c>
      <c r="AL5" s="36" t="n">
        <v>25</v>
      </c>
      <c r="AM5" s="38" t="str">
        <f aca="false">IF(OR(C5="",G5=""),"",IF(G5&lt;=IF(OR(C5="Soldier Pile &amp; Timber Lagging",C5="Trench Shoring Box",C5="Open Cut (battered)"),SG_Criteria!$B$34,SG_Criteria!$B$33),"No ERSS submission",IF(G5&lt;=SG_Criteria!$B$35,"QP(ST)",IF(G5&lt;=SG_Criteria!$B$36,"QP(ST) + AC","Geotechnical building works: QP(Geo) + AC"))))</f>
        <v>QP(ST)</v>
      </c>
      <c r="AN5" s="38" t="str">
        <f aca="false">IF(C5="","",IF(LEN(IF(AND(Q5&lt;&gt;"",Q5&lt;SG_Criteria!$B$37),"FAIL: base stability FOS &lt; "&amp;SG_Criteria!$B$37&amp;". ","")&amp;IF(AND(D5="Manhole",G5&gt;SG_Criteria!$B$36),"NOTE: BCA lists sewer manholes (pipe &lt;= 2 m dia) &gt; 6 m as non-GBW: QP(ST) + AC. ","")&amp;IF(AND(C5="Trench Shoring Box",H5="Kallang Formation (marine clay)"),"NOTE: check base heave / ground loss for shoring box in marine clay. ","")&amp;IF(AND(C5="Steel Sheet Pile Cofferdam",N(M5)&lt;G5*0.5),"NOTE: short toe embedment, check. ",""))=0,"OK",IF(AND(Q5&lt;&gt;"",Q5&lt;SG_Criteria!$B$37),"FAIL: base stability FOS &lt; "&amp;SG_Criteria!$B$37&amp;". ","")&amp;IF(AND(D5="Manhole",G5&gt;SG_Criteria!$B$36),"NOTE: BCA lists sewer manholes (pipe &lt;= 2 m dia) &gt; 6 m as non-GBW: QP(ST) + AC. ","")&amp;IF(AND(C5="Trench Shoring Box",H5="Kallang Formation (marine clay)"),"NOTE: check base heave / ground loss for shoring box in marine clay. ","")&amp;IF(AND(C5="Steel Sheet Pile Cofferdam",N(M5)&lt;G5*0.5),"NOTE: short toe embedment, check. ","")))</f>
        <v>OK</v>
      </c>
      <c r="AO5" s="18" t="s">
        <v>815</v>
      </c>
      <c r="AP5" s="18"/>
      <c r="AQ5" s="18" t="s">
        <v>631</v>
      </c>
      <c r="AR5" s="18" t="s">
        <v>631</v>
      </c>
      <c r="AS5" s="18" t="s">
        <v>631</v>
      </c>
      <c r="AT5" s="39" t="n">
        <v>46309</v>
      </c>
      <c r="AU5" s="10" t="str">
        <f aca="false">IF(C5="","",IF(AND(V5="Approved",ISERROR(SEARCH("FAIL",AN5))),"Y","N"))</f>
        <v>Y</v>
      </c>
      <c r="AV5" s="10" t="str">
        <f aca="false">IF(C5="","",C5&amp;"|"&amp;G5&amp;"|"&amp;E5&amp;"|"&amp;H5&amp;"|"&amp;AU5)</f>
        <v>Trench Shoring Box|3|3000|Firm/stiff clay (general)|Y</v>
      </c>
    </row>
    <row r="6" customFormat="false" ht="15" hidden="false" customHeight="false" outlineLevel="0" collapsed="false">
      <c r="A6" s="10" t="str">
        <f aca="false">IF(C6="","","ERSS-"&amp;IFERROR(VLOOKUP(C6,Lists!$AK$4:$AL$21,2,0),"??")&amp;"-"&amp;TEXT(E6,"0000")&amp;"x"&amp;TEXT(F6,"0000")&amp;"-D"&amp;TEXT(G6*1000,"0000")&amp;"-"&amp;IFERROR(VLOOKUP(H6,Lists!$Y$4:$Z$21,2,0),"??")&amp;"-"&amp;U6)</f>
        <v>ERSS-SSP-4000x3500-D6000-KF-A</v>
      </c>
      <c r="B6" s="10" t="str">
        <f aca="false">IF(C6="","",C6&amp;" for "&amp;D6&amp;", "&amp;E6&amp;" x "&amp;F6&amp;" pit, "&amp;TEXT(G6,"0.0")&amp;" m deep, "&amp;H6)</f>
        <v>Steel Sheet Pile Cofferdam for Manhole, 4000 x 3500 pit, 6.0 m deep, Kallang Formation (marine clay)</v>
      </c>
      <c r="C6" s="18" t="s">
        <v>232</v>
      </c>
      <c r="D6" s="18" t="s">
        <v>253</v>
      </c>
      <c r="E6" s="35" t="n">
        <v>4000</v>
      </c>
      <c r="F6" s="35" t="n">
        <v>3500</v>
      </c>
      <c r="G6" s="42" t="n">
        <v>6</v>
      </c>
      <c r="H6" s="18" t="s">
        <v>456</v>
      </c>
      <c r="I6" s="42" t="n">
        <v>1</v>
      </c>
      <c r="J6" s="35" t="n">
        <v>20</v>
      </c>
      <c r="K6" s="18" t="s">
        <v>816</v>
      </c>
      <c r="L6" s="42" t="n">
        <v>12</v>
      </c>
      <c r="M6" s="42" t="n">
        <v>6</v>
      </c>
      <c r="N6" s="35" t="n">
        <v>2</v>
      </c>
      <c r="O6" s="18" t="s">
        <v>751</v>
      </c>
      <c r="P6" s="18" t="s">
        <v>817</v>
      </c>
      <c r="Q6" s="36" t="n">
        <v>1.6</v>
      </c>
      <c r="R6" s="18" t="s">
        <v>818</v>
      </c>
      <c r="S6" s="35" t="n">
        <v>30</v>
      </c>
      <c r="T6" s="18" t="s">
        <v>813</v>
      </c>
      <c r="U6" s="18" t="s">
        <v>628</v>
      </c>
      <c r="V6" s="18" t="s">
        <v>244</v>
      </c>
      <c r="W6" s="18" t="s">
        <v>819</v>
      </c>
      <c r="X6" s="18" t="n">
        <v>50</v>
      </c>
      <c r="Y6" s="18" t="s">
        <v>467</v>
      </c>
      <c r="Z6" s="10" t="str">
        <f aca="false">IF(A6="","",SG_Criteria!$B$6&amp;SG_Criteria!$B$11&amp;"\"&amp;A6&amp;"\")</f>
        <v>C:\Users\yourname\YourCompany\Design Library - Documents\05_ERSS_Pit\ERSS-SSP-4000x3500-D6000-KF-A\</v>
      </c>
      <c r="AA6" s="10" t="str">
        <f aca="false">IF(A6="","",A6&amp;"_CAD.dwg")</f>
        <v>ERSS-SSP-4000x3500-D6000-KF-A_CAD.dwg</v>
      </c>
      <c r="AB6" s="10" t="str">
        <f aca="false">IF(A6="","",A6&amp;"_DWG.pdf")</f>
        <v>ERSS-SSP-4000x3500-D6000-KF-A_DWG.pdf</v>
      </c>
      <c r="AC6" s="10" t="str">
        <f aca="false">IF(A6="","",IF(Y6="Y",A6&amp;"_STAAD.std","n/a"))</f>
        <v>ERSS-SSP-4000x3500-D6000-KF-A_STAAD.std</v>
      </c>
      <c r="AD6" s="10" t="str">
        <f aca="false">IF(A6="","",A6&amp;"_CALC.xlsx")</f>
        <v>ERSS-SSP-4000x3500-D6000-KF-A_CALC.xlsx</v>
      </c>
      <c r="AE6" s="10" t="str">
        <f aca="false">IF(A6="","",A6&amp;"_CALC.pdf")</f>
        <v>ERSS-SSP-4000x3500-D6000-KF-A_CALC.pdf</v>
      </c>
      <c r="AF6" s="18" t="s">
        <v>74</v>
      </c>
      <c r="AG6" s="18" t="s">
        <v>493</v>
      </c>
      <c r="AH6" s="36" t="n">
        <v>1.5</v>
      </c>
      <c r="AI6" s="36" t="n">
        <v>0</v>
      </c>
      <c r="AJ6" s="36" t="n">
        <v>9800</v>
      </c>
      <c r="AK6" s="36" t="n">
        <v>0</v>
      </c>
      <c r="AL6" s="36" t="n">
        <v>90</v>
      </c>
      <c r="AM6" s="38" t="str">
        <f aca="false">IF(OR(C6="",G6=""),"",IF(G6&lt;=IF(OR(C6="Soldier Pile &amp; Timber Lagging",C6="Trench Shoring Box",C6="Open Cut (battered)"),SG_Criteria!$B$34,SG_Criteria!$B$33),"No ERSS submission",IF(G6&lt;=SG_Criteria!$B$35,"QP(ST)",IF(G6&lt;=SG_Criteria!$B$36,"QP(ST) + AC","Geotechnical building works: QP(Geo) + AC"))))</f>
        <v>QP(ST) + AC</v>
      </c>
      <c r="AN6" s="38" t="str">
        <f aca="false">IF(C6="","",IF(LEN(IF(AND(Q6&lt;&gt;"",Q6&lt;SG_Criteria!$B$37),"FAIL: base stability FOS &lt; "&amp;SG_Criteria!$B$37&amp;". ","")&amp;IF(AND(D6="Manhole",G6&gt;SG_Criteria!$B$36),"NOTE: BCA lists sewer manholes (pipe &lt;= 2 m dia) &gt; 6 m as non-GBW: QP(ST) + AC. ","")&amp;IF(AND(C6="Trench Shoring Box",H6="Kallang Formation (marine clay)"),"NOTE: check base heave / ground loss for shoring box in marine clay. ","")&amp;IF(AND(C6="Steel Sheet Pile Cofferdam",N(M6)&lt;G6*0.5),"NOTE: short toe embedment, check. ",""))=0,"OK",IF(AND(Q6&lt;&gt;"",Q6&lt;SG_Criteria!$B$37),"FAIL: base stability FOS &lt; "&amp;SG_Criteria!$B$37&amp;". ","")&amp;IF(AND(D6="Manhole",G6&gt;SG_Criteria!$B$36),"NOTE: BCA lists sewer manholes (pipe &lt;= 2 m dia) &gt; 6 m as non-GBW: QP(ST) + AC. ","")&amp;IF(AND(C6="Trench Shoring Box",H6="Kallang Formation (marine clay)"),"NOTE: check base heave / ground loss for shoring box in marine clay. ","")&amp;IF(AND(C6="Steel Sheet Pile Cofferdam",N(M6)&lt;G6*0.5),"NOTE: short toe embedment, check. ","")))</f>
        <v>OK</v>
      </c>
      <c r="AO6" s="18" t="s">
        <v>820</v>
      </c>
      <c r="AP6" s="18"/>
      <c r="AQ6" s="18" t="s">
        <v>631</v>
      </c>
      <c r="AR6" s="18" t="s">
        <v>631</v>
      </c>
      <c r="AS6" s="18" t="s">
        <v>631</v>
      </c>
      <c r="AT6" s="39" t="n">
        <v>46309</v>
      </c>
      <c r="AU6" s="10" t="str">
        <f aca="false">IF(C6="","",IF(AND(V6="Approved",ISERROR(SEARCH("FAIL",AN6))),"Y","N"))</f>
        <v>Y</v>
      </c>
      <c r="AV6" s="10" t="str">
        <f aca="false">IF(C6="","",C6&amp;"|"&amp;G6&amp;"|"&amp;E6&amp;"|"&amp;H6&amp;"|"&amp;AU6)</f>
        <v>Steel Sheet Pile Cofferdam|6|4000|Kallang Formation (marine clay)|Y</v>
      </c>
    </row>
    <row r="7" customFormat="false" ht="15" hidden="false" customHeight="false" outlineLevel="0" collapsed="false">
      <c r="A7" s="10" t="str">
        <f aca="false">IF(C7="","","ERSS-"&amp;IFERROR(VLOOKUP(C7,Lists!$AK$4:$AL$21,2,0),"??")&amp;"-"&amp;TEXT(E7,"0000")&amp;"x"&amp;TEXT(F7,"0000")&amp;"-D"&amp;TEXT(G7*1000,"0000")&amp;"-"&amp;IFERROR(VLOOKUP(H7,Lists!$Y$4:$Z$21,2,0),"??")&amp;"-"&amp;U7)</f>
        <v>ERSS-SSP-8000x5000-D7000-KF-A</v>
      </c>
      <c r="B7" s="10" t="str">
        <f aca="false">IF(C7="","",C7&amp;" for "&amp;D7&amp;", "&amp;E7&amp;" x "&amp;F7&amp;" pit, "&amp;TEXT(G7,"0.0")&amp;" m deep, "&amp;H7)</f>
        <v>Steel Sheet Pile Cofferdam for Jacking pit, 8000 x 5000 pit, 7.0 m deep, Kallang Formation (marine clay)</v>
      </c>
      <c r="C7" s="18" t="s">
        <v>232</v>
      </c>
      <c r="D7" s="18" t="s">
        <v>486</v>
      </c>
      <c r="E7" s="35" t="n">
        <v>8000</v>
      </c>
      <c r="F7" s="35" t="n">
        <v>5000</v>
      </c>
      <c r="G7" s="42" t="n">
        <v>7</v>
      </c>
      <c r="H7" s="18" t="s">
        <v>456</v>
      </c>
      <c r="I7" s="42" t="n">
        <v>1</v>
      </c>
      <c r="J7" s="35" t="n">
        <v>20</v>
      </c>
      <c r="K7" s="18" t="s">
        <v>750</v>
      </c>
      <c r="L7" s="42" t="n">
        <v>15</v>
      </c>
      <c r="M7" s="42" t="n">
        <v>8</v>
      </c>
      <c r="N7" s="35" t="n">
        <v>2</v>
      </c>
      <c r="O7" s="18" t="s">
        <v>737</v>
      </c>
      <c r="P7" s="18" t="s">
        <v>821</v>
      </c>
      <c r="Q7" s="36" t="n">
        <v>1.5</v>
      </c>
      <c r="R7" s="18" t="s">
        <v>822</v>
      </c>
      <c r="S7" s="35" t="n">
        <v>35</v>
      </c>
      <c r="T7" s="18" t="s">
        <v>813</v>
      </c>
      <c r="U7" s="18" t="s">
        <v>628</v>
      </c>
      <c r="V7" s="18" t="s">
        <v>244</v>
      </c>
      <c r="W7" s="18" t="s">
        <v>823</v>
      </c>
      <c r="X7" s="18" t="n">
        <v>50</v>
      </c>
      <c r="Y7" s="18" t="s">
        <v>467</v>
      </c>
      <c r="Z7" s="10" t="str">
        <f aca="false">IF(A7="","",SG_Criteria!$B$6&amp;SG_Criteria!$B$11&amp;"\"&amp;A7&amp;"\")</f>
        <v>C:\Users\yourname\YourCompany\Design Library - Documents\05_ERSS_Pit\ERSS-SSP-8000x5000-D7000-KF-A\</v>
      </c>
      <c r="AA7" s="10" t="str">
        <f aca="false">IF(A7="","",A7&amp;"_CAD.dwg")</f>
        <v>ERSS-SSP-8000x5000-D7000-KF-A_CAD.dwg</v>
      </c>
      <c r="AB7" s="10" t="str">
        <f aca="false">IF(A7="","",A7&amp;"_DWG.pdf")</f>
        <v>ERSS-SSP-8000x5000-D7000-KF-A_DWG.pdf</v>
      </c>
      <c r="AC7" s="10" t="str">
        <f aca="false">IF(A7="","",IF(Y7="Y",A7&amp;"_STAAD.std","n/a"))</f>
        <v>ERSS-SSP-8000x5000-D7000-KF-A_STAAD.std</v>
      </c>
      <c r="AD7" s="10" t="str">
        <f aca="false">IF(A7="","",A7&amp;"_CALC.xlsx")</f>
        <v>ERSS-SSP-8000x5000-D7000-KF-A_CALC.xlsx</v>
      </c>
      <c r="AE7" s="10" t="str">
        <f aca="false">IF(A7="","",A7&amp;"_CALC.pdf")</f>
        <v>ERSS-SSP-8000x5000-D7000-KF-A_CALC.pdf</v>
      </c>
      <c r="AF7" s="18" t="s">
        <v>74</v>
      </c>
      <c r="AG7" s="18" t="s">
        <v>493</v>
      </c>
      <c r="AH7" s="36" t="n">
        <v>12</v>
      </c>
      <c r="AI7" s="36" t="n">
        <v>900</v>
      </c>
      <c r="AJ7" s="36" t="n">
        <v>24500</v>
      </c>
      <c r="AK7" s="36" t="n">
        <v>0</v>
      </c>
      <c r="AL7" s="36" t="n">
        <v>290</v>
      </c>
      <c r="AM7" s="38" t="str">
        <f aca="false">IF(OR(C7="",G7=""),"",IF(G7&lt;=IF(OR(C7="Soldier Pile &amp; Timber Lagging",C7="Trench Shoring Box",C7="Open Cut (battered)"),SG_Criteria!$B$34,SG_Criteria!$B$33),"No ERSS submission",IF(G7&lt;=SG_Criteria!$B$35,"QP(ST)",IF(G7&lt;=SG_Criteria!$B$36,"QP(ST) + AC","Geotechnical building works: QP(Geo) + AC"))))</f>
        <v>Geotechnical building works: QP(Geo) + AC</v>
      </c>
      <c r="AN7" s="38" t="str">
        <f aca="false">IF(C7="","",IF(LEN(IF(AND(Q7&lt;&gt;"",Q7&lt;SG_Criteria!$B$37),"FAIL: base stability FOS &lt; "&amp;SG_Criteria!$B$37&amp;". ","")&amp;IF(AND(D7="Manhole",G7&gt;SG_Criteria!$B$36),"NOTE: BCA lists sewer manholes (pipe &lt;= 2 m dia) &gt; 6 m as non-GBW: QP(ST) + AC. ","")&amp;IF(AND(C7="Trench Shoring Box",H7="Kallang Formation (marine clay)"),"NOTE: check base heave / ground loss for shoring box in marine clay. ","")&amp;IF(AND(C7="Steel Sheet Pile Cofferdam",N(M7)&lt;G7*0.5),"NOTE: short toe embedment, check. ",""))=0,"OK",IF(AND(Q7&lt;&gt;"",Q7&lt;SG_Criteria!$B$37),"FAIL: base stability FOS &lt; "&amp;SG_Criteria!$B$37&amp;". ","")&amp;IF(AND(D7="Manhole",G7&gt;SG_Criteria!$B$36),"NOTE: BCA lists sewer manholes (pipe &lt;= 2 m dia) &gt; 6 m as non-GBW: QP(ST) + AC. ","")&amp;IF(AND(C7="Trench Shoring Box",H7="Kallang Formation (marine clay)"),"NOTE: check base heave / ground loss for shoring box in marine clay. ","")&amp;IF(AND(C7="Steel Sheet Pile Cofferdam",N(M7)&lt;G7*0.5),"NOTE: short toe embedment, check. ","")))</f>
        <v>OK</v>
      </c>
      <c r="AO7" s="18" t="s">
        <v>824</v>
      </c>
      <c r="AP7" s="18"/>
      <c r="AQ7" s="18" t="s">
        <v>631</v>
      </c>
      <c r="AR7" s="18" t="s">
        <v>631</v>
      </c>
      <c r="AS7" s="18" t="s">
        <v>631</v>
      </c>
      <c r="AT7" s="39" t="n">
        <v>46309</v>
      </c>
      <c r="AU7" s="10" t="str">
        <f aca="false">IF(C7="","",IF(AND(V7="Approved",ISERROR(SEARCH("FAIL",AN7))),"Y","N"))</f>
        <v>Y</v>
      </c>
      <c r="AV7" s="10" t="str">
        <f aca="false">IF(C7="","",C7&amp;"|"&amp;G7&amp;"|"&amp;E7&amp;"|"&amp;H7&amp;"|"&amp;AU7)</f>
        <v>Steel Sheet Pile Cofferdam|7|8000|Kallang Formation (marine clay)|Y</v>
      </c>
    </row>
    <row r="8" customFormat="false" ht="15" hidden="false" customHeight="false" outlineLevel="0" collapsed="false">
      <c r="A8" s="10" t="str">
        <f aca="false">IF(C8="","","ERSS-"&amp;IFERROR(VLOOKUP(C8,Lists!$AK$4:$AL$21,2,0),"??")&amp;"-"&amp;TEXT(E8,"0000")&amp;"x"&amp;TEXT(F8,"0000")&amp;"-D"&amp;TEXT(G8*1000,"0000")&amp;"-"&amp;IFERROR(VLOOKUP(H8,Lists!$Y$4:$Z$21,2,0),"??")&amp;"-"&amp;U8)</f>
        <v>ERSS-SC-3000x3000-D10000-OA-A</v>
      </c>
      <c r="B8" s="10" t="str">
        <f aca="false">IF(C8="","",C8&amp;" for "&amp;D8&amp;", "&amp;E8&amp;" x "&amp;F8&amp;" pit, "&amp;TEXT(G8,"0.0")&amp;" m deep, "&amp;H8)</f>
        <v>Steel Caisson / Liner Plate for Manhole, 3000 x 3000 pit, 10.0 m deep, Old Alluvium</v>
      </c>
      <c r="C8" s="18" t="s">
        <v>234</v>
      </c>
      <c r="D8" s="18" t="s">
        <v>253</v>
      </c>
      <c r="E8" s="35" t="n">
        <v>3000</v>
      </c>
      <c r="F8" s="35" t="n">
        <v>3000</v>
      </c>
      <c r="G8" s="42" t="n">
        <v>10</v>
      </c>
      <c r="H8" s="18" t="s">
        <v>76</v>
      </c>
      <c r="I8" s="42" t="n">
        <v>3</v>
      </c>
      <c r="J8" s="35" t="n">
        <v>20</v>
      </c>
      <c r="K8" s="18" t="s">
        <v>825</v>
      </c>
      <c r="L8" s="42"/>
      <c r="M8" s="42"/>
      <c r="N8" s="35" t="n">
        <v>0</v>
      </c>
      <c r="O8" s="18" t="s">
        <v>826</v>
      </c>
      <c r="P8" s="18" t="s">
        <v>626</v>
      </c>
      <c r="Q8" s="36" t="n">
        <v>1.8</v>
      </c>
      <c r="R8" s="18" t="s">
        <v>827</v>
      </c>
      <c r="S8" s="35" t="n">
        <v>15</v>
      </c>
      <c r="T8" s="18" t="s">
        <v>813</v>
      </c>
      <c r="U8" s="18" t="s">
        <v>628</v>
      </c>
      <c r="V8" s="18" t="s">
        <v>245</v>
      </c>
      <c r="W8" s="18" t="s">
        <v>828</v>
      </c>
      <c r="X8" s="18" t="n">
        <v>50</v>
      </c>
      <c r="Y8" s="18" t="s">
        <v>467</v>
      </c>
      <c r="Z8" s="10" t="str">
        <f aca="false">IF(A8="","",SG_Criteria!$B$6&amp;SG_Criteria!$B$11&amp;"\"&amp;A8&amp;"\")</f>
        <v>C:\Users\yourname\YourCompany\Design Library - Documents\05_ERSS_Pit\ERSS-SC-3000x3000-D10000-OA-A\</v>
      </c>
      <c r="AA8" s="10" t="str">
        <f aca="false">IF(A8="","",A8&amp;"_CAD.dwg")</f>
        <v>ERSS-SC-3000x3000-D10000-OA-A_CAD.dwg</v>
      </c>
      <c r="AB8" s="10" t="str">
        <f aca="false">IF(A8="","",A8&amp;"_DWG.pdf")</f>
        <v>ERSS-SC-3000x3000-D10000-OA-A_DWG.pdf</v>
      </c>
      <c r="AC8" s="10" t="str">
        <f aca="false">IF(A8="","",IF(Y8="Y",A8&amp;"_STAAD.std","n/a"))</f>
        <v>ERSS-SC-3000x3000-D10000-OA-A_STAAD.std</v>
      </c>
      <c r="AD8" s="10" t="str">
        <f aca="false">IF(A8="","",A8&amp;"_CALC.xlsx")</f>
        <v>ERSS-SC-3000x3000-D10000-OA-A_CALC.xlsx</v>
      </c>
      <c r="AE8" s="10" t="str">
        <f aca="false">IF(A8="","",A8&amp;"_CALC.pdf")</f>
        <v>ERSS-SC-3000x3000-D10000-OA-A_CALC.pdf</v>
      </c>
      <c r="AF8" s="18" t="s">
        <v>74</v>
      </c>
      <c r="AG8" s="18" t="s">
        <v>493</v>
      </c>
      <c r="AH8" s="36" t="n">
        <v>2</v>
      </c>
      <c r="AI8" s="36" t="n">
        <v>0</v>
      </c>
      <c r="AJ8" s="36" t="n">
        <v>7200</v>
      </c>
      <c r="AK8" s="36" t="n">
        <v>0</v>
      </c>
      <c r="AL8" s="36" t="n">
        <v>95</v>
      </c>
      <c r="AM8" s="38" t="str">
        <f aca="false">IF(OR(C8="",G8=""),"",IF(G8&lt;=IF(OR(C8="Soldier Pile &amp; Timber Lagging",C8="Trench Shoring Box",C8="Open Cut (battered)"),SG_Criteria!$B$34,SG_Criteria!$B$33),"No ERSS submission",IF(G8&lt;=SG_Criteria!$B$35,"QP(ST)",IF(G8&lt;=SG_Criteria!$B$36,"QP(ST) + AC","Geotechnical building works: QP(Geo) + AC"))))</f>
        <v>Geotechnical building works: QP(Geo) + AC</v>
      </c>
      <c r="AN8" s="38" t="str">
        <f aca="false">IF(C8="","",IF(LEN(IF(AND(Q8&lt;&gt;"",Q8&lt;SG_Criteria!$B$37),"FAIL: base stability FOS &lt; "&amp;SG_Criteria!$B$37&amp;". ","")&amp;IF(AND(D8="Manhole",G8&gt;SG_Criteria!$B$36),"NOTE: BCA lists sewer manholes (pipe &lt;= 2 m dia) &gt; 6 m as non-GBW: QP(ST) + AC. ","")&amp;IF(AND(C8="Trench Shoring Box",H8="Kallang Formation (marine clay)"),"NOTE: check base heave / ground loss for shoring box in marine clay. ","")&amp;IF(AND(C8="Steel Sheet Pile Cofferdam",N(M8)&lt;G8*0.5),"NOTE: short toe embedment, check. ",""))=0,"OK",IF(AND(Q8&lt;&gt;"",Q8&lt;SG_Criteria!$B$37),"FAIL: base stability FOS &lt; "&amp;SG_Criteria!$B$37&amp;". ","")&amp;IF(AND(D8="Manhole",G8&gt;SG_Criteria!$B$36),"NOTE: BCA lists sewer manholes (pipe &lt;= 2 m dia) &gt; 6 m as non-GBW: QP(ST) + AC. ","")&amp;IF(AND(C8="Trench Shoring Box",H8="Kallang Formation (marine clay)"),"NOTE: check base heave / ground loss for shoring box in marine clay. ","")&amp;IF(AND(C8="Steel Sheet Pile Cofferdam",N(M8)&lt;G8*0.5),"NOTE: short toe embedment, check. ","")))</f>
        <v>NOTE: BCA lists sewer manholes (pipe &lt;= 2 m dia) &gt; 6 m as non-GBW: QP(ST) + AC. </v>
      </c>
      <c r="AO8" s="18" t="s">
        <v>646</v>
      </c>
      <c r="AP8" s="18"/>
      <c r="AQ8" s="18" t="s">
        <v>631</v>
      </c>
      <c r="AR8" s="18" t="s">
        <v>631</v>
      </c>
      <c r="AS8" s="18" t="s">
        <v>631</v>
      </c>
      <c r="AT8" s="39" t="n">
        <v>46309</v>
      </c>
      <c r="AU8" s="10" t="str">
        <f aca="false">IF(C8="","",IF(AND(V8="Approved",ISERROR(SEARCH("FAIL",AN8))),"Y","N"))</f>
        <v>N</v>
      </c>
      <c r="AV8" s="10" t="str">
        <f aca="false">IF(C8="","",C8&amp;"|"&amp;G8&amp;"|"&amp;E8&amp;"|"&amp;H8&amp;"|"&amp;AU8)</f>
        <v>Steel Caisson / Liner Plate|10|3000|Old Alluvium|N</v>
      </c>
    </row>
    <row r="9" customFormat="false" ht="15" hidden="false" customHeight="false" outlineLevel="0" collapsed="false">
      <c r="A9" s="10" t="str">
        <f aca="false">IF(C9="","","ERSS-"&amp;IFERROR(VLOOKUP(C9,Lists!$AK$4:$AL$21,2,0),"??")&amp;"-"&amp;TEXT(E9,"0000")&amp;"x"&amp;TEXT(F9,"0000")&amp;"-D"&amp;TEXT(G9*1000,"0000")&amp;"-"&amp;IFERROR(VLOOKUP(H9,Lists!$Y$4:$Z$21,2,0),"??")&amp;"-"&amp;U9)</f>
        <v/>
      </c>
      <c r="B9" s="10" t="str">
        <f aca="false">IF(C9="","",C9&amp;" for "&amp;D9&amp;", "&amp;E9&amp;" x "&amp;F9&amp;" pit, "&amp;TEXT(G9,"0.0")&amp;" m deep, "&amp;H9)</f>
        <v/>
      </c>
      <c r="C9" s="9"/>
      <c r="D9" s="9"/>
      <c r="E9" s="40"/>
      <c r="F9" s="40"/>
      <c r="G9" s="43"/>
      <c r="H9" s="9"/>
      <c r="I9" s="43"/>
      <c r="J9" s="40"/>
      <c r="K9" s="9"/>
      <c r="L9" s="43"/>
      <c r="M9" s="43"/>
      <c r="N9" s="40"/>
      <c r="O9" s="9"/>
      <c r="P9" s="9"/>
      <c r="Q9" s="41"/>
      <c r="R9" s="9"/>
      <c r="S9" s="40"/>
      <c r="T9" s="9"/>
      <c r="U9" s="9"/>
      <c r="V9" s="9"/>
      <c r="W9" s="9"/>
      <c r="X9" s="9"/>
      <c r="Y9" s="9"/>
      <c r="Z9" s="10" t="str">
        <f aca="false">IF(A9="","",SG_Criteria!$B$6&amp;SG_Criteria!$B$11&amp;"\"&amp;A9&amp;"\")</f>
        <v/>
      </c>
      <c r="AA9" s="10" t="str">
        <f aca="false">IF(A9="","",A9&amp;"_CAD.dwg")</f>
        <v/>
      </c>
      <c r="AB9" s="10" t="str">
        <f aca="false">IF(A9="","",A9&amp;"_DWG.pdf")</f>
        <v/>
      </c>
      <c r="AC9" s="10" t="str">
        <f aca="false">IF(A9="","",IF(Y9="Y",A9&amp;"_STAAD.std","n/a"))</f>
        <v/>
      </c>
      <c r="AD9" s="10" t="str">
        <f aca="false">IF(A9="","",A9&amp;"_CALC.xlsx")</f>
        <v/>
      </c>
      <c r="AE9" s="10" t="str">
        <f aca="false">IF(A9="","",A9&amp;"_CALC.pdf")</f>
        <v/>
      </c>
      <c r="AF9" s="9"/>
      <c r="AG9" s="9"/>
      <c r="AH9" s="41"/>
      <c r="AI9" s="41"/>
      <c r="AJ9" s="41"/>
      <c r="AK9" s="41"/>
      <c r="AL9" s="41"/>
      <c r="AM9" s="38" t="str">
        <f aca="false">IF(OR(C9="",G9=""),"",IF(G9&lt;=IF(OR(C9="Soldier Pile &amp; Timber Lagging",C9="Trench Shoring Box",C9="Open Cut (battered)"),SG_Criteria!$B$34,SG_Criteria!$B$33),"No ERSS submission",IF(G9&lt;=SG_Criteria!$B$35,"QP(ST)",IF(G9&lt;=SG_Criteria!$B$36,"QP(ST) + AC","Geotechnical building works: QP(Geo) + AC"))))</f>
        <v/>
      </c>
      <c r="AN9" s="38" t="str">
        <f aca="false">IF(C9="","",IF(LEN(IF(AND(Q9&lt;&gt;"",Q9&lt;SG_Criteria!$B$37),"FAIL: base stability FOS &lt; "&amp;SG_Criteria!$B$37&amp;". ","")&amp;IF(AND(D9="Manhole",G9&gt;SG_Criteria!$B$36),"NOTE: BCA lists sewer manholes (pipe &lt;= 2 m dia) &gt; 6 m as non-GBW: QP(ST) + AC. ","")&amp;IF(AND(C9="Trench Shoring Box",H9="Kallang Formation (marine clay)"),"NOTE: check base heave / ground loss for shoring box in marine clay. ","")&amp;IF(AND(C9="Steel Sheet Pile Cofferdam",N(M9)&lt;G9*0.5),"NOTE: short toe embedment, check. ",""))=0,"OK",IF(AND(Q9&lt;&gt;"",Q9&lt;SG_Criteria!$B$37),"FAIL: base stability FOS &lt; "&amp;SG_Criteria!$B$37&amp;". ","")&amp;IF(AND(D9="Manhole",G9&gt;SG_Criteria!$B$36),"NOTE: BCA lists sewer manholes (pipe &lt;= 2 m dia) &gt; 6 m as non-GBW: QP(ST) + AC. ","")&amp;IF(AND(C9="Trench Shoring Box",H9="Kallang Formation (marine clay)"),"NOTE: check base heave / ground loss for shoring box in marine clay. ","")&amp;IF(AND(C9="Steel Sheet Pile Cofferdam",N(M9)&lt;G9*0.5),"NOTE: short toe embedment, check. ","")))</f>
        <v/>
      </c>
      <c r="AO9" s="9"/>
      <c r="AP9" s="9"/>
      <c r="AQ9" s="9"/>
      <c r="AR9" s="9"/>
      <c r="AS9" s="9"/>
      <c r="AT9" s="31"/>
      <c r="AU9" s="10" t="str">
        <f aca="false">IF(C9="","",IF(AND(V9="Approved",ISERROR(SEARCH("FAIL",AN9))),"Y","N"))</f>
        <v/>
      </c>
      <c r="AV9" s="10" t="str">
        <f aca="false">IF(C9="","",C9&amp;"|"&amp;G9&amp;"|"&amp;E9&amp;"|"&amp;H9&amp;"|"&amp;AU9)</f>
        <v/>
      </c>
    </row>
    <row r="10" customFormat="false" ht="15" hidden="false" customHeight="false" outlineLevel="0" collapsed="false">
      <c r="A10" s="10" t="str">
        <f aca="false">IF(C10="","","ERSS-"&amp;IFERROR(VLOOKUP(C10,Lists!$AK$4:$AL$21,2,0),"??")&amp;"-"&amp;TEXT(E10,"0000")&amp;"x"&amp;TEXT(F10,"0000")&amp;"-D"&amp;TEXT(G10*1000,"0000")&amp;"-"&amp;IFERROR(VLOOKUP(H10,Lists!$Y$4:$Z$21,2,0),"??")&amp;"-"&amp;U10)</f>
        <v/>
      </c>
      <c r="B10" s="10" t="str">
        <f aca="false">IF(C10="","",C10&amp;" for "&amp;D10&amp;", "&amp;E10&amp;" x "&amp;F10&amp;" pit, "&amp;TEXT(G10,"0.0")&amp;" m deep, "&amp;H10)</f>
        <v/>
      </c>
      <c r="C10" s="9"/>
      <c r="D10" s="9"/>
      <c r="E10" s="40"/>
      <c r="F10" s="40"/>
      <c r="G10" s="43"/>
      <c r="H10" s="9"/>
      <c r="I10" s="43"/>
      <c r="J10" s="40"/>
      <c r="K10" s="9"/>
      <c r="L10" s="43"/>
      <c r="M10" s="43"/>
      <c r="N10" s="40"/>
      <c r="O10" s="9"/>
      <c r="P10" s="9"/>
      <c r="Q10" s="41"/>
      <c r="R10" s="9"/>
      <c r="S10" s="40"/>
      <c r="T10" s="9"/>
      <c r="U10" s="9"/>
      <c r="V10" s="9"/>
      <c r="W10" s="9"/>
      <c r="X10" s="9"/>
      <c r="Y10" s="9"/>
      <c r="Z10" s="10" t="str">
        <f aca="false">IF(A10="","",SG_Criteria!$B$6&amp;SG_Criteria!$B$11&amp;"\"&amp;A10&amp;"\")</f>
        <v/>
      </c>
      <c r="AA10" s="10" t="str">
        <f aca="false">IF(A10="","",A10&amp;"_CAD.dwg")</f>
        <v/>
      </c>
      <c r="AB10" s="10" t="str">
        <f aca="false">IF(A10="","",A10&amp;"_DWG.pdf")</f>
        <v/>
      </c>
      <c r="AC10" s="10" t="str">
        <f aca="false">IF(A10="","",IF(Y10="Y",A10&amp;"_STAAD.std","n/a"))</f>
        <v/>
      </c>
      <c r="AD10" s="10" t="str">
        <f aca="false">IF(A10="","",A10&amp;"_CALC.xlsx")</f>
        <v/>
      </c>
      <c r="AE10" s="10" t="str">
        <f aca="false">IF(A10="","",A10&amp;"_CALC.pdf")</f>
        <v/>
      </c>
      <c r="AF10" s="9"/>
      <c r="AG10" s="9"/>
      <c r="AH10" s="41"/>
      <c r="AI10" s="41"/>
      <c r="AJ10" s="41"/>
      <c r="AK10" s="41"/>
      <c r="AL10" s="41"/>
      <c r="AM10" s="38" t="str">
        <f aca="false">IF(OR(C10="",G10=""),"",IF(G10&lt;=IF(OR(C10="Soldier Pile &amp; Timber Lagging",C10="Trench Shoring Box",C10="Open Cut (battered)"),SG_Criteria!$B$34,SG_Criteria!$B$33),"No ERSS submission",IF(G10&lt;=SG_Criteria!$B$35,"QP(ST)",IF(G10&lt;=SG_Criteria!$B$36,"QP(ST) + AC","Geotechnical building works: QP(Geo) + AC"))))</f>
        <v/>
      </c>
      <c r="AN10" s="38" t="str">
        <f aca="false">IF(C10="","",IF(LEN(IF(AND(Q10&lt;&gt;"",Q10&lt;SG_Criteria!$B$37),"FAIL: base stability FOS &lt; "&amp;SG_Criteria!$B$37&amp;". ","")&amp;IF(AND(D10="Manhole",G10&gt;SG_Criteria!$B$36),"NOTE: BCA lists sewer manholes (pipe &lt;= 2 m dia) &gt; 6 m as non-GBW: QP(ST) + AC. ","")&amp;IF(AND(C10="Trench Shoring Box",H10="Kallang Formation (marine clay)"),"NOTE: check base heave / ground loss for shoring box in marine clay. ","")&amp;IF(AND(C10="Steel Sheet Pile Cofferdam",N(M10)&lt;G10*0.5),"NOTE: short toe embedment, check. ",""))=0,"OK",IF(AND(Q10&lt;&gt;"",Q10&lt;SG_Criteria!$B$37),"FAIL: base stability FOS &lt; "&amp;SG_Criteria!$B$37&amp;". ","")&amp;IF(AND(D10="Manhole",G10&gt;SG_Criteria!$B$36),"NOTE: BCA lists sewer manholes (pipe &lt;= 2 m dia) &gt; 6 m as non-GBW: QP(ST) + AC. ","")&amp;IF(AND(C10="Trench Shoring Box",H10="Kallang Formation (marine clay)"),"NOTE: check base heave / ground loss for shoring box in marine clay. ","")&amp;IF(AND(C10="Steel Sheet Pile Cofferdam",N(M10)&lt;G10*0.5),"NOTE: short toe embedment, check. ","")))</f>
        <v/>
      </c>
      <c r="AO10" s="9"/>
      <c r="AP10" s="9"/>
      <c r="AQ10" s="9"/>
      <c r="AR10" s="9"/>
      <c r="AS10" s="9"/>
      <c r="AT10" s="31"/>
      <c r="AU10" s="10" t="str">
        <f aca="false">IF(C10="","",IF(AND(V10="Approved",ISERROR(SEARCH("FAIL",AN10))),"Y","N"))</f>
        <v/>
      </c>
      <c r="AV10" s="10" t="str">
        <f aca="false">IF(C10="","",C10&amp;"|"&amp;G10&amp;"|"&amp;E10&amp;"|"&amp;H10&amp;"|"&amp;AU10)</f>
        <v/>
      </c>
    </row>
    <row r="11" customFormat="false" ht="15" hidden="false" customHeight="false" outlineLevel="0" collapsed="false">
      <c r="A11" s="10" t="str">
        <f aca="false">IF(C11="","","ERSS-"&amp;IFERROR(VLOOKUP(C11,Lists!$AK$4:$AL$21,2,0),"??")&amp;"-"&amp;TEXT(E11,"0000")&amp;"x"&amp;TEXT(F11,"0000")&amp;"-D"&amp;TEXT(G11*1000,"0000")&amp;"-"&amp;IFERROR(VLOOKUP(H11,Lists!$Y$4:$Z$21,2,0),"??")&amp;"-"&amp;U11)</f>
        <v/>
      </c>
      <c r="B11" s="10" t="str">
        <f aca="false">IF(C11="","",C11&amp;" for "&amp;D11&amp;", "&amp;E11&amp;" x "&amp;F11&amp;" pit, "&amp;TEXT(G11,"0.0")&amp;" m deep, "&amp;H11)</f>
        <v/>
      </c>
      <c r="C11" s="9"/>
      <c r="D11" s="9"/>
      <c r="E11" s="40"/>
      <c r="F11" s="40"/>
      <c r="G11" s="43"/>
      <c r="H11" s="9"/>
      <c r="I11" s="43"/>
      <c r="J11" s="40"/>
      <c r="K11" s="9"/>
      <c r="L11" s="43"/>
      <c r="M11" s="43"/>
      <c r="N11" s="40"/>
      <c r="O11" s="9"/>
      <c r="P11" s="9"/>
      <c r="Q11" s="41"/>
      <c r="R11" s="9"/>
      <c r="S11" s="40"/>
      <c r="T11" s="9"/>
      <c r="U11" s="9"/>
      <c r="V11" s="9"/>
      <c r="W11" s="9"/>
      <c r="X11" s="9"/>
      <c r="Y11" s="9"/>
      <c r="Z11" s="10" t="str">
        <f aca="false">IF(A11="","",SG_Criteria!$B$6&amp;SG_Criteria!$B$11&amp;"\"&amp;A11&amp;"\")</f>
        <v/>
      </c>
      <c r="AA11" s="10" t="str">
        <f aca="false">IF(A11="","",A11&amp;"_CAD.dwg")</f>
        <v/>
      </c>
      <c r="AB11" s="10" t="str">
        <f aca="false">IF(A11="","",A11&amp;"_DWG.pdf")</f>
        <v/>
      </c>
      <c r="AC11" s="10" t="str">
        <f aca="false">IF(A11="","",IF(Y11="Y",A11&amp;"_STAAD.std","n/a"))</f>
        <v/>
      </c>
      <c r="AD11" s="10" t="str">
        <f aca="false">IF(A11="","",A11&amp;"_CALC.xlsx")</f>
        <v/>
      </c>
      <c r="AE11" s="10" t="str">
        <f aca="false">IF(A11="","",A11&amp;"_CALC.pdf")</f>
        <v/>
      </c>
      <c r="AF11" s="9"/>
      <c r="AG11" s="9"/>
      <c r="AH11" s="41"/>
      <c r="AI11" s="41"/>
      <c r="AJ11" s="41"/>
      <c r="AK11" s="41"/>
      <c r="AL11" s="41"/>
      <c r="AM11" s="38" t="str">
        <f aca="false">IF(OR(C11="",G11=""),"",IF(G11&lt;=IF(OR(C11="Soldier Pile &amp; Timber Lagging",C11="Trench Shoring Box",C11="Open Cut (battered)"),SG_Criteria!$B$34,SG_Criteria!$B$33),"No ERSS submission",IF(G11&lt;=SG_Criteria!$B$35,"QP(ST)",IF(G11&lt;=SG_Criteria!$B$36,"QP(ST) + AC","Geotechnical building works: QP(Geo) + AC"))))</f>
        <v/>
      </c>
      <c r="AN11" s="38" t="str">
        <f aca="false">IF(C11="","",IF(LEN(IF(AND(Q11&lt;&gt;"",Q11&lt;SG_Criteria!$B$37),"FAIL: base stability FOS &lt; "&amp;SG_Criteria!$B$37&amp;". ","")&amp;IF(AND(D11="Manhole",G11&gt;SG_Criteria!$B$36),"NOTE: BCA lists sewer manholes (pipe &lt;= 2 m dia) &gt; 6 m as non-GBW: QP(ST) + AC. ","")&amp;IF(AND(C11="Trench Shoring Box",H11="Kallang Formation (marine clay)"),"NOTE: check base heave / ground loss for shoring box in marine clay. ","")&amp;IF(AND(C11="Steel Sheet Pile Cofferdam",N(M11)&lt;G11*0.5),"NOTE: short toe embedment, check. ",""))=0,"OK",IF(AND(Q11&lt;&gt;"",Q11&lt;SG_Criteria!$B$37),"FAIL: base stability FOS &lt; "&amp;SG_Criteria!$B$37&amp;". ","")&amp;IF(AND(D11="Manhole",G11&gt;SG_Criteria!$B$36),"NOTE: BCA lists sewer manholes (pipe &lt;= 2 m dia) &gt; 6 m as non-GBW: QP(ST) + AC. ","")&amp;IF(AND(C11="Trench Shoring Box",H11="Kallang Formation (marine clay)"),"NOTE: check base heave / ground loss for shoring box in marine clay. ","")&amp;IF(AND(C11="Steel Sheet Pile Cofferdam",N(M11)&lt;G11*0.5),"NOTE: short toe embedment, check. ","")))</f>
        <v/>
      </c>
      <c r="AO11" s="9"/>
      <c r="AP11" s="9"/>
      <c r="AQ11" s="9"/>
      <c r="AR11" s="9"/>
      <c r="AS11" s="9"/>
      <c r="AT11" s="31"/>
      <c r="AU11" s="10" t="str">
        <f aca="false">IF(C11="","",IF(AND(V11="Approved",ISERROR(SEARCH("FAIL",AN11))),"Y","N"))</f>
        <v/>
      </c>
      <c r="AV11" s="10" t="str">
        <f aca="false">IF(C11="","",C11&amp;"|"&amp;G11&amp;"|"&amp;E11&amp;"|"&amp;H11&amp;"|"&amp;AU11)</f>
        <v/>
      </c>
    </row>
    <row r="12" customFormat="false" ht="15" hidden="false" customHeight="false" outlineLevel="0" collapsed="false">
      <c r="A12" s="10" t="str">
        <f aca="false">IF(C12="","","ERSS-"&amp;IFERROR(VLOOKUP(C12,Lists!$AK$4:$AL$21,2,0),"??")&amp;"-"&amp;TEXT(E12,"0000")&amp;"x"&amp;TEXT(F12,"0000")&amp;"-D"&amp;TEXT(G12*1000,"0000")&amp;"-"&amp;IFERROR(VLOOKUP(H12,Lists!$Y$4:$Z$21,2,0),"??")&amp;"-"&amp;U12)</f>
        <v/>
      </c>
      <c r="B12" s="10" t="str">
        <f aca="false">IF(C12="","",C12&amp;" for "&amp;D12&amp;", "&amp;E12&amp;" x "&amp;F12&amp;" pit, "&amp;TEXT(G12,"0.0")&amp;" m deep, "&amp;H12)</f>
        <v/>
      </c>
      <c r="C12" s="9"/>
      <c r="D12" s="9"/>
      <c r="E12" s="40"/>
      <c r="F12" s="40"/>
      <c r="G12" s="43"/>
      <c r="H12" s="9"/>
      <c r="I12" s="43"/>
      <c r="J12" s="40"/>
      <c r="K12" s="9"/>
      <c r="L12" s="43"/>
      <c r="M12" s="43"/>
      <c r="N12" s="40"/>
      <c r="O12" s="9"/>
      <c r="P12" s="9"/>
      <c r="Q12" s="41"/>
      <c r="R12" s="9"/>
      <c r="S12" s="40"/>
      <c r="T12" s="9"/>
      <c r="U12" s="9"/>
      <c r="V12" s="9"/>
      <c r="W12" s="9"/>
      <c r="X12" s="9"/>
      <c r="Y12" s="9"/>
      <c r="Z12" s="10" t="str">
        <f aca="false">IF(A12="","",SG_Criteria!$B$6&amp;SG_Criteria!$B$11&amp;"\"&amp;A12&amp;"\")</f>
        <v/>
      </c>
      <c r="AA12" s="10" t="str">
        <f aca="false">IF(A12="","",A12&amp;"_CAD.dwg")</f>
        <v/>
      </c>
      <c r="AB12" s="10" t="str">
        <f aca="false">IF(A12="","",A12&amp;"_DWG.pdf")</f>
        <v/>
      </c>
      <c r="AC12" s="10" t="str">
        <f aca="false">IF(A12="","",IF(Y12="Y",A12&amp;"_STAAD.std","n/a"))</f>
        <v/>
      </c>
      <c r="AD12" s="10" t="str">
        <f aca="false">IF(A12="","",A12&amp;"_CALC.xlsx")</f>
        <v/>
      </c>
      <c r="AE12" s="10" t="str">
        <f aca="false">IF(A12="","",A12&amp;"_CALC.pdf")</f>
        <v/>
      </c>
      <c r="AF12" s="9"/>
      <c r="AG12" s="9"/>
      <c r="AH12" s="41"/>
      <c r="AI12" s="41"/>
      <c r="AJ12" s="41"/>
      <c r="AK12" s="41"/>
      <c r="AL12" s="41"/>
      <c r="AM12" s="38" t="str">
        <f aca="false">IF(OR(C12="",G12=""),"",IF(G12&lt;=IF(OR(C12="Soldier Pile &amp; Timber Lagging",C12="Trench Shoring Box",C12="Open Cut (battered)"),SG_Criteria!$B$34,SG_Criteria!$B$33),"No ERSS submission",IF(G12&lt;=SG_Criteria!$B$35,"QP(ST)",IF(G12&lt;=SG_Criteria!$B$36,"QP(ST) + AC","Geotechnical building works: QP(Geo) + AC"))))</f>
        <v/>
      </c>
      <c r="AN12" s="38" t="str">
        <f aca="false">IF(C12="","",IF(LEN(IF(AND(Q12&lt;&gt;"",Q12&lt;SG_Criteria!$B$37),"FAIL: base stability FOS &lt; "&amp;SG_Criteria!$B$37&amp;". ","")&amp;IF(AND(D12="Manhole",G12&gt;SG_Criteria!$B$36),"NOTE: BCA lists sewer manholes (pipe &lt;= 2 m dia) &gt; 6 m as non-GBW: QP(ST) + AC. ","")&amp;IF(AND(C12="Trench Shoring Box",H12="Kallang Formation (marine clay)"),"NOTE: check base heave / ground loss for shoring box in marine clay. ","")&amp;IF(AND(C12="Steel Sheet Pile Cofferdam",N(M12)&lt;G12*0.5),"NOTE: short toe embedment, check. ",""))=0,"OK",IF(AND(Q12&lt;&gt;"",Q12&lt;SG_Criteria!$B$37),"FAIL: base stability FOS &lt; "&amp;SG_Criteria!$B$37&amp;". ","")&amp;IF(AND(D12="Manhole",G12&gt;SG_Criteria!$B$36),"NOTE: BCA lists sewer manholes (pipe &lt;= 2 m dia) &gt; 6 m as non-GBW: QP(ST) + AC. ","")&amp;IF(AND(C12="Trench Shoring Box",H12="Kallang Formation (marine clay)"),"NOTE: check base heave / ground loss for shoring box in marine clay. ","")&amp;IF(AND(C12="Steel Sheet Pile Cofferdam",N(M12)&lt;G12*0.5),"NOTE: short toe embedment, check. ","")))</f>
        <v/>
      </c>
      <c r="AO12" s="9"/>
      <c r="AP12" s="9"/>
      <c r="AQ12" s="9"/>
      <c r="AR12" s="9"/>
      <c r="AS12" s="9"/>
      <c r="AT12" s="31"/>
      <c r="AU12" s="10" t="str">
        <f aca="false">IF(C12="","",IF(AND(V12="Approved",ISERROR(SEARCH("FAIL",AN12))),"Y","N"))</f>
        <v/>
      </c>
      <c r="AV12" s="10" t="str">
        <f aca="false">IF(C12="","",C12&amp;"|"&amp;G12&amp;"|"&amp;E12&amp;"|"&amp;H12&amp;"|"&amp;AU12)</f>
        <v/>
      </c>
    </row>
    <row r="13" customFormat="false" ht="15" hidden="false" customHeight="false" outlineLevel="0" collapsed="false">
      <c r="A13" s="10" t="str">
        <f aca="false">IF(C13="","","ERSS-"&amp;IFERROR(VLOOKUP(C13,Lists!$AK$4:$AL$21,2,0),"??")&amp;"-"&amp;TEXT(E13,"0000")&amp;"x"&amp;TEXT(F13,"0000")&amp;"-D"&amp;TEXT(G13*1000,"0000")&amp;"-"&amp;IFERROR(VLOOKUP(H13,Lists!$Y$4:$Z$21,2,0),"??")&amp;"-"&amp;U13)</f>
        <v/>
      </c>
      <c r="B13" s="10" t="str">
        <f aca="false">IF(C13="","",C13&amp;" for "&amp;D13&amp;", "&amp;E13&amp;" x "&amp;F13&amp;" pit, "&amp;TEXT(G13,"0.0")&amp;" m deep, "&amp;H13)</f>
        <v/>
      </c>
      <c r="C13" s="9"/>
      <c r="D13" s="9"/>
      <c r="E13" s="40"/>
      <c r="F13" s="40"/>
      <c r="G13" s="43"/>
      <c r="H13" s="9"/>
      <c r="I13" s="43"/>
      <c r="J13" s="40"/>
      <c r="K13" s="9"/>
      <c r="L13" s="43"/>
      <c r="M13" s="43"/>
      <c r="N13" s="40"/>
      <c r="O13" s="9"/>
      <c r="P13" s="9"/>
      <c r="Q13" s="41"/>
      <c r="R13" s="9"/>
      <c r="S13" s="40"/>
      <c r="T13" s="9"/>
      <c r="U13" s="9"/>
      <c r="V13" s="9"/>
      <c r="W13" s="9"/>
      <c r="X13" s="9"/>
      <c r="Y13" s="9"/>
      <c r="Z13" s="10" t="str">
        <f aca="false">IF(A13="","",SG_Criteria!$B$6&amp;SG_Criteria!$B$11&amp;"\"&amp;A13&amp;"\")</f>
        <v/>
      </c>
      <c r="AA13" s="10" t="str">
        <f aca="false">IF(A13="","",A13&amp;"_CAD.dwg")</f>
        <v/>
      </c>
      <c r="AB13" s="10" t="str">
        <f aca="false">IF(A13="","",A13&amp;"_DWG.pdf")</f>
        <v/>
      </c>
      <c r="AC13" s="10" t="str">
        <f aca="false">IF(A13="","",IF(Y13="Y",A13&amp;"_STAAD.std","n/a"))</f>
        <v/>
      </c>
      <c r="AD13" s="10" t="str">
        <f aca="false">IF(A13="","",A13&amp;"_CALC.xlsx")</f>
        <v/>
      </c>
      <c r="AE13" s="10" t="str">
        <f aca="false">IF(A13="","",A13&amp;"_CALC.pdf")</f>
        <v/>
      </c>
      <c r="AF13" s="9"/>
      <c r="AG13" s="9"/>
      <c r="AH13" s="41"/>
      <c r="AI13" s="41"/>
      <c r="AJ13" s="41"/>
      <c r="AK13" s="41"/>
      <c r="AL13" s="41"/>
      <c r="AM13" s="38" t="str">
        <f aca="false">IF(OR(C13="",G13=""),"",IF(G13&lt;=IF(OR(C13="Soldier Pile &amp; Timber Lagging",C13="Trench Shoring Box",C13="Open Cut (battered)"),SG_Criteria!$B$34,SG_Criteria!$B$33),"No ERSS submission",IF(G13&lt;=SG_Criteria!$B$35,"QP(ST)",IF(G13&lt;=SG_Criteria!$B$36,"QP(ST) + AC","Geotechnical building works: QP(Geo) + AC"))))</f>
        <v/>
      </c>
      <c r="AN13" s="38" t="str">
        <f aca="false">IF(C13="","",IF(LEN(IF(AND(Q13&lt;&gt;"",Q13&lt;SG_Criteria!$B$37),"FAIL: base stability FOS &lt; "&amp;SG_Criteria!$B$37&amp;". ","")&amp;IF(AND(D13="Manhole",G13&gt;SG_Criteria!$B$36),"NOTE: BCA lists sewer manholes (pipe &lt;= 2 m dia) &gt; 6 m as non-GBW: QP(ST) + AC. ","")&amp;IF(AND(C13="Trench Shoring Box",H13="Kallang Formation (marine clay)"),"NOTE: check base heave / ground loss for shoring box in marine clay. ","")&amp;IF(AND(C13="Steel Sheet Pile Cofferdam",N(M13)&lt;G13*0.5),"NOTE: short toe embedment, check. ",""))=0,"OK",IF(AND(Q13&lt;&gt;"",Q13&lt;SG_Criteria!$B$37),"FAIL: base stability FOS &lt; "&amp;SG_Criteria!$B$37&amp;". ","")&amp;IF(AND(D13="Manhole",G13&gt;SG_Criteria!$B$36),"NOTE: BCA lists sewer manholes (pipe &lt;= 2 m dia) &gt; 6 m as non-GBW: QP(ST) + AC. ","")&amp;IF(AND(C13="Trench Shoring Box",H13="Kallang Formation (marine clay)"),"NOTE: check base heave / ground loss for shoring box in marine clay. ","")&amp;IF(AND(C13="Steel Sheet Pile Cofferdam",N(M13)&lt;G13*0.5),"NOTE: short toe embedment, check. ","")))</f>
        <v/>
      </c>
      <c r="AO13" s="9"/>
      <c r="AP13" s="9"/>
      <c r="AQ13" s="9"/>
      <c r="AR13" s="9"/>
      <c r="AS13" s="9"/>
      <c r="AT13" s="31"/>
      <c r="AU13" s="10" t="str">
        <f aca="false">IF(C13="","",IF(AND(V13="Approved",ISERROR(SEARCH("FAIL",AN13))),"Y","N"))</f>
        <v/>
      </c>
      <c r="AV13" s="10" t="str">
        <f aca="false">IF(C13="","",C13&amp;"|"&amp;G13&amp;"|"&amp;E13&amp;"|"&amp;H13&amp;"|"&amp;AU13)</f>
        <v/>
      </c>
    </row>
    <row r="14" customFormat="false" ht="15" hidden="false" customHeight="false" outlineLevel="0" collapsed="false">
      <c r="A14" s="10" t="str">
        <f aca="false">IF(C14="","","ERSS-"&amp;IFERROR(VLOOKUP(C14,Lists!$AK$4:$AL$21,2,0),"??")&amp;"-"&amp;TEXT(E14,"0000")&amp;"x"&amp;TEXT(F14,"0000")&amp;"-D"&amp;TEXT(G14*1000,"0000")&amp;"-"&amp;IFERROR(VLOOKUP(H14,Lists!$Y$4:$Z$21,2,0),"??")&amp;"-"&amp;U14)</f>
        <v/>
      </c>
      <c r="B14" s="10" t="str">
        <f aca="false">IF(C14="","",C14&amp;" for "&amp;D14&amp;", "&amp;E14&amp;" x "&amp;F14&amp;" pit, "&amp;TEXT(G14,"0.0")&amp;" m deep, "&amp;H14)</f>
        <v/>
      </c>
      <c r="C14" s="9"/>
      <c r="D14" s="9"/>
      <c r="E14" s="40"/>
      <c r="F14" s="40"/>
      <c r="G14" s="43"/>
      <c r="H14" s="9"/>
      <c r="I14" s="43"/>
      <c r="J14" s="40"/>
      <c r="K14" s="9"/>
      <c r="L14" s="43"/>
      <c r="M14" s="43"/>
      <c r="N14" s="40"/>
      <c r="O14" s="9"/>
      <c r="P14" s="9"/>
      <c r="Q14" s="41"/>
      <c r="R14" s="9"/>
      <c r="S14" s="40"/>
      <c r="T14" s="9"/>
      <c r="U14" s="9"/>
      <c r="V14" s="9"/>
      <c r="W14" s="9"/>
      <c r="X14" s="9"/>
      <c r="Y14" s="9"/>
      <c r="Z14" s="10" t="str">
        <f aca="false">IF(A14="","",SG_Criteria!$B$6&amp;SG_Criteria!$B$11&amp;"\"&amp;A14&amp;"\")</f>
        <v/>
      </c>
      <c r="AA14" s="10" t="str">
        <f aca="false">IF(A14="","",A14&amp;"_CAD.dwg")</f>
        <v/>
      </c>
      <c r="AB14" s="10" t="str">
        <f aca="false">IF(A14="","",A14&amp;"_DWG.pdf")</f>
        <v/>
      </c>
      <c r="AC14" s="10" t="str">
        <f aca="false">IF(A14="","",IF(Y14="Y",A14&amp;"_STAAD.std","n/a"))</f>
        <v/>
      </c>
      <c r="AD14" s="10" t="str">
        <f aca="false">IF(A14="","",A14&amp;"_CALC.xlsx")</f>
        <v/>
      </c>
      <c r="AE14" s="10" t="str">
        <f aca="false">IF(A14="","",A14&amp;"_CALC.pdf")</f>
        <v/>
      </c>
      <c r="AF14" s="9"/>
      <c r="AG14" s="9"/>
      <c r="AH14" s="41"/>
      <c r="AI14" s="41"/>
      <c r="AJ14" s="41"/>
      <c r="AK14" s="41"/>
      <c r="AL14" s="41"/>
      <c r="AM14" s="38" t="str">
        <f aca="false">IF(OR(C14="",G14=""),"",IF(G14&lt;=IF(OR(C14="Soldier Pile &amp; Timber Lagging",C14="Trench Shoring Box",C14="Open Cut (battered)"),SG_Criteria!$B$34,SG_Criteria!$B$33),"No ERSS submission",IF(G14&lt;=SG_Criteria!$B$35,"QP(ST)",IF(G14&lt;=SG_Criteria!$B$36,"QP(ST) + AC","Geotechnical building works: QP(Geo) + AC"))))</f>
        <v/>
      </c>
      <c r="AN14" s="38" t="str">
        <f aca="false">IF(C14="","",IF(LEN(IF(AND(Q14&lt;&gt;"",Q14&lt;SG_Criteria!$B$37),"FAIL: base stability FOS &lt; "&amp;SG_Criteria!$B$37&amp;". ","")&amp;IF(AND(D14="Manhole",G14&gt;SG_Criteria!$B$36),"NOTE: BCA lists sewer manholes (pipe &lt;= 2 m dia) &gt; 6 m as non-GBW: QP(ST) + AC. ","")&amp;IF(AND(C14="Trench Shoring Box",H14="Kallang Formation (marine clay)"),"NOTE: check base heave / ground loss for shoring box in marine clay. ","")&amp;IF(AND(C14="Steel Sheet Pile Cofferdam",N(M14)&lt;G14*0.5),"NOTE: short toe embedment, check. ",""))=0,"OK",IF(AND(Q14&lt;&gt;"",Q14&lt;SG_Criteria!$B$37),"FAIL: base stability FOS &lt; "&amp;SG_Criteria!$B$37&amp;". ","")&amp;IF(AND(D14="Manhole",G14&gt;SG_Criteria!$B$36),"NOTE: BCA lists sewer manholes (pipe &lt;= 2 m dia) &gt; 6 m as non-GBW: QP(ST) + AC. ","")&amp;IF(AND(C14="Trench Shoring Box",H14="Kallang Formation (marine clay)"),"NOTE: check base heave / ground loss for shoring box in marine clay. ","")&amp;IF(AND(C14="Steel Sheet Pile Cofferdam",N(M14)&lt;G14*0.5),"NOTE: short toe embedment, check. ","")))</f>
        <v/>
      </c>
      <c r="AO14" s="9"/>
      <c r="AP14" s="9"/>
      <c r="AQ14" s="9"/>
      <c r="AR14" s="9"/>
      <c r="AS14" s="9"/>
      <c r="AT14" s="31"/>
      <c r="AU14" s="10" t="str">
        <f aca="false">IF(C14="","",IF(AND(V14="Approved",ISERROR(SEARCH("FAIL",AN14))),"Y","N"))</f>
        <v/>
      </c>
      <c r="AV14" s="10" t="str">
        <f aca="false">IF(C14="","",C14&amp;"|"&amp;G14&amp;"|"&amp;E14&amp;"|"&amp;H14&amp;"|"&amp;AU14)</f>
        <v/>
      </c>
    </row>
    <row r="15" customFormat="false" ht="15" hidden="false" customHeight="false" outlineLevel="0" collapsed="false">
      <c r="A15" s="10" t="str">
        <f aca="false">IF(C15="","","ERSS-"&amp;IFERROR(VLOOKUP(C15,Lists!$AK$4:$AL$21,2,0),"??")&amp;"-"&amp;TEXT(E15,"0000")&amp;"x"&amp;TEXT(F15,"0000")&amp;"-D"&amp;TEXT(G15*1000,"0000")&amp;"-"&amp;IFERROR(VLOOKUP(H15,Lists!$Y$4:$Z$21,2,0),"??")&amp;"-"&amp;U15)</f>
        <v/>
      </c>
      <c r="B15" s="10" t="str">
        <f aca="false">IF(C15="","",C15&amp;" for "&amp;D15&amp;", "&amp;E15&amp;" x "&amp;F15&amp;" pit, "&amp;TEXT(G15,"0.0")&amp;" m deep, "&amp;H15)</f>
        <v/>
      </c>
      <c r="C15" s="9"/>
      <c r="D15" s="9"/>
      <c r="E15" s="40"/>
      <c r="F15" s="40"/>
      <c r="G15" s="43"/>
      <c r="H15" s="9"/>
      <c r="I15" s="43"/>
      <c r="J15" s="40"/>
      <c r="K15" s="9"/>
      <c r="L15" s="43"/>
      <c r="M15" s="43"/>
      <c r="N15" s="40"/>
      <c r="O15" s="9"/>
      <c r="P15" s="9"/>
      <c r="Q15" s="41"/>
      <c r="R15" s="9"/>
      <c r="S15" s="40"/>
      <c r="T15" s="9"/>
      <c r="U15" s="9"/>
      <c r="V15" s="9"/>
      <c r="W15" s="9"/>
      <c r="X15" s="9"/>
      <c r="Y15" s="9"/>
      <c r="Z15" s="10" t="str">
        <f aca="false">IF(A15="","",SG_Criteria!$B$6&amp;SG_Criteria!$B$11&amp;"\"&amp;A15&amp;"\")</f>
        <v/>
      </c>
      <c r="AA15" s="10" t="str">
        <f aca="false">IF(A15="","",A15&amp;"_CAD.dwg")</f>
        <v/>
      </c>
      <c r="AB15" s="10" t="str">
        <f aca="false">IF(A15="","",A15&amp;"_DWG.pdf")</f>
        <v/>
      </c>
      <c r="AC15" s="10" t="str">
        <f aca="false">IF(A15="","",IF(Y15="Y",A15&amp;"_STAAD.std","n/a"))</f>
        <v/>
      </c>
      <c r="AD15" s="10" t="str">
        <f aca="false">IF(A15="","",A15&amp;"_CALC.xlsx")</f>
        <v/>
      </c>
      <c r="AE15" s="10" t="str">
        <f aca="false">IF(A15="","",A15&amp;"_CALC.pdf")</f>
        <v/>
      </c>
      <c r="AF15" s="9"/>
      <c r="AG15" s="9"/>
      <c r="AH15" s="41"/>
      <c r="AI15" s="41"/>
      <c r="AJ15" s="41"/>
      <c r="AK15" s="41"/>
      <c r="AL15" s="41"/>
      <c r="AM15" s="38" t="str">
        <f aca="false">IF(OR(C15="",G15=""),"",IF(G15&lt;=IF(OR(C15="Soldier Pile &amp; Timber Lagging",C15="Trench Shoring Box",C15="Open Cut (battered)"),SG_Criteria!$B$34,SG_Criteria!$B$33),"No ERSS submission",IF(G15&lt;=SG_Criteria!$B$35,"QP(ST)",IF(G15&lt;=SG_Criteria!$B$36,"QP(ST) + AC","Geotechnical building works: QP(Geo) + AC"))))</f>
        <v/>
      </c>
      <c r="AN15" s="38" t="str">
        <f aca="false">IF(C15="","",IF(LEN(IF(AND(Q15&lt;&gt;"",Q15&lt;SG_Criteria!$B$37),"FAIL: base stability FOS &lt; "&amp;SG_Criteria!$B$37&amp;". ","")&amp;IF(AND(D15="Manhole",G15&gt;SG_Criteria!$B$36),"NOTE: BCA lists sewer manholes (pipe &lt;= 2 m dia) &gt; 6 m as non-GBW: QP(ST) + AC. ","")&amp;IF(AND(C15="Trench Shoring Box",H15="Kallang Formation (marine clay)"),"NOTE: check base heave / ground loss for shoring box in marine clay. ","")&amp;IF(AND(C15="Steel Sheet Pile Cofferdam",N(M15)&lt;G15*0.5),"NOTE: short toe embedment, check. ",""))=0,"OK",IF(AND(Q15&lt;&gt;"",Q15&lt;SG_Criteria!$B$37),"FAIL: base stability FOS &lt; "&amp;SG_Criteria!$B$37&amp;". ","")&amp;IF(AND(D15="Manhole",G15&gt;SG_Criteria!$B$36),"NOTE: BCA lists sewer manholes (pipe &lt;= 2 m dia) &gt; 6 m as non-GBW: QP(ST) + AC. ","")&amp;IF(AND(C15="Trench Shoring Box",H15="Kallang Formation (marine clay)"),"NOTE: check base heave / ground loss for shoring box in marine clay. ","")&amp;IF(AND(C15="Steel Sheet Pile Cofferdam",N(M15)&lt;G15*0.5),"NOTE: short toe embedment, check. ","")))</f>
        <v/>
      </c>
      <c r="AO15" s="9"/>
      <c r="AP15" s="9"/>
      <c r="AQ15" s="9"/>
      <c r="AR15" s="9"/>
      <c r="AS15" s="9"/>
      <c r="AT15" s="31"/>
      <c r="AU15" s="10" t="str">
        <f aca="false">IF(C15="","",IF(AND(V15="Approved",ISERROR(SEARCH("FAIL",AN15))),"Y","N"))</f>
        <v/>
      </c>
      <c r="AV15" s="10" t="str">
        <f aca="false">IF(C15="","",C15&amp;"|"&amp;G15&amp;"|"&amp;E15&amp;"|"&amp;H15&amp;"|"&amp;AU15)</f>
        <v/>
      </c>
    </row>
    <row r="16" customFormat="false" ht="15" hidden="false" customHeight="false" outlineLevel="0" collapsed="false">
      <c r="A16" s="10" t="str">
        <f aca="false">IF(C16="","","ERSS-"&amp;IFERROR(VLOOKUP(C16,Lists!$AK$4:$AL$21,2,0),"??")&amp;"-"&amp;TEXT(E16,"0000")&amp;"x"&amp;TEXT(F16,"0000")&amp;"-D"&amp;TEXT(G16*1000,"0000")&amp;"-"&amp;IFERROR(VLOOKUP(H16,Lists!$Y$4:$Z$21,2,0),"??")&amp;"-"&amp;U16)</f>
        <v/>
      </c>
      <c r="B16" s="10" t="str">
        <f aca="false">IF(C16="","",C16&amp;" for "&amp;D16&amp;", "&amp;E16&amp;" x "&amp;F16&amp;" pit, "&amp;TEXT(G16,"0.0")&amp;" m deep, "&amp;H16)</f>
        <v/>
      </c>
      <c r="C16" s="9"/>
      <c r="D16" s="9"/>
      <c r="E16" s="40"/>
      <c r="F16" s="40"/>
      <c r="G16" s="43"/>
      <c r="H16" s="9"/>
      <c r="I16" s="43"/>
      <c r="J16" s="40"/>
      <c r="K16" s="9"/>
      <c r="L16" s="43"/>
      <c r="M16" s="43"/>
      <c r="N16" s="40"/>
      <c r="O16" s="9"/>
      <c r="P16" s="9"/>
      <c r="Q16" s="41"/>
      <c r="R16" s="9"/>
      <c r="S16" s="40"/>
      <c r="T16" s="9"/>
      <c r="U16" s="9"/>
      <c r="V16" s="9"/>
      <c r="W16" s="9"/>
      <c r="X16" s="9"/>
      <c r="Y16" s="9"/>
      <c r="Z16" s="10" t="str">
        <f aca="false">IF(A16="","",SG_Criteria!$B$6&amp;SG_Criteria!$B$11&amp;"\"&amp;A16&amp;"\")</f>
        <v/>
      </c>
      <c r="AA16" s="10" t="str">
        <f aca="false">IF(A16="","",A16&amp;"_CAD.dwg")</f>
        <v/>
      </c>
      <c r="AB16" s="10" t="str">
        <f aca="false">IF(A16="","",A16&amp;"_DWG.pdf")</f>
        <v/>
      </c>
      <c r="AC16" s="10" t="str">
        <f aca="false">IF(A16="","",IF(Y16="Y",A16&amp;"_STAAD.std","n/a"))</f>
        <v/>
      </c>
      <c r="AD16" s="10" t="str">
        <f aca="false">IF(A16="","",A16&amp;"_CALC.xlsx")</f>
        <v/>
      </c>
      <c r="AE16" s="10" t="str">
        <f aca="false">IF(A16="","",A16&amp;"_CALC.pdf")</f>
        <v/>
      </c>
      <c r="AF16" s="9"/>
      <c r="AG16" s="9"/>
      <c r="AH16" s="41"/>
      <c r="AI16" s="41"/>
      <c r="AJ16" s="41"/>
      <c r="AK16" s="41"/>
      <c r="AL16" s="41"/>
      <c r="AM16" s="38" t="str">
        <f aca="false">IF(OR(C16="",G16=""),"",IF(G16&lt;=IF(OR(C16="Soldier Pile &amp; Timber Lagging",C16="Trench Shoring Box",C16="Open Cut (battered)"),SG_Criteria!$B$34,SG_Criteria!$B$33),"No ERSS submission",IF(G16&lt;=SG_Criteria!$B$35,"QP(ST)",IF(G16&lt;=SG_Criteria!$B$36,"QP(ST) + AC","Geotechnical building works: QP(Geo) + AC"))))</f>
        <v/>
      </c>
      <c r="AN16" s="38" t="str">
        <f aca="false">IF(C16="","",IF(LEN(IF(AND(Q16&lt;&gt;"",Q16&lt;SG_Criteria!$B$37),"FAIL: base stability FOS &lt; "&amp;SG_Criteria!$B$37&amp;". ","")&amp;IF(AND(D16="Manhole",G16&gt;SG_Criteria!$B$36),"NOTE: BCA lists sewer manholes (pipe &lt;= 2 m dia) &gt; 6 m as non-GBW: QP(ST) + AC. ","")&amp;IF(AND(C16="Trench Shoring Box",H16="Kallang Formation (marine clay)"),"NOTE: check base heave / ground loss for shoring box in marine clay. ","")&amp;IF(AND(C16="Steel Sheet Pile Cofferdam",N(M16)&lt;G16*0.5),"NOTE: short toe embedment, check. ",""))=0,"OK",IF(AND(Q16&lt;&gt;"",Q16&lt;SG_Criteria!$B$37),"FAIL: base stability FOS &lt; "&amp;SG_Criteria!$B$37&amp;". ","")&amp;IF(AND(D16="Manhole",G16&gt;SG_Criteria!$B$36),"NOTE: BCA lists sewer manholes (pipe &lt;= 2 m dia) &gt; 6 m as non-GBW: QP(ST) + AC. ","")&amp;IF(AND(C16="Trench Shoring Box",H16="Kallang Formation (marine clay)"),"NOTE: check base heave / ground loss for shoring box in marine clay. ","")&amp;IF(AND(C16="Steel Sheet Pile Cofferdam",N(M16)&lt;G16*0.5),"NOTE: short toe embedment, check. ","")))</f>
        <v/>
      </c>
      <c r="AO16" s="9"/>
      <c r="AP16" s="9"/>
      <c r="AQ16" s="9"/>
      <c r="AR16" s="9"/>
      <c r="AS16" s="9"/>
      <c r="AT16" s="31"/>
      <c r="AU16" s="10" t="str">
        <f aca="false">IF(C16="","",IF(AND(V16="Approved",ISERROR(SEARCH("FAIL",AN16))),"Y","N"))</f>
        <v/>
      </c>
      <c r="AV16" s="10" t="str">
        <f aca="false">IF(C16="","",C16&amp;"|"&amp;G16&amp;"|"&amp;E16&amp;"|"&amp;H16&amp;"|"&amp;AU16)</f>
        <v/>
      </c>
    </row>
    <row r="17" customFormat="false" ht="15" hidden="false" customHeight="false" outlineLevel="0" collapsed="false">
      <c r="A17" s="10" t="str">
        <f aca="false">IF(C17="","","ERSS-"&amp;IFERROR(VLOOKUP(C17,Lists!$AK$4:$AL$21,2,0),"??")&amp;"-"&amp;TEXT(E17,"0000")&amp;"x"&amp;TEXT(F17,"0000")&amp;"-D"&amp;TEXT(G17*1000,"0000")&amp;"-"&amp;IFERROR(VLOOKUP(H17,Lists!$Y$4:$Z$21,2,0),"??")&amp;"-"&amp;U17)</f>
        <v/>
      </c>
      <c r="B17" s="10" t="str">
        <f aca="false">IF(C17="","",C17&amp;" for "&amp;D17&amp;", "&amp;E17&amp;" x "&amp;F17&amp;" pit, "&amp;TEXT(G17,"0.0")&amp;" m deep, "&amp;H17)</f>
        <v/>
      </c>
      <c r="C17" s="9"/>
      <c r="D17" s="9"/>
      <c r="E17" s="40"/>
      <c r="F17" s="40"/>
      <c r="G17" s="43"/>
      <c r="H17" s="9"/>
      <c r="I17" s="43"/>
      <c r="J17" s="40"/>
      <c r="K17" s="9"/>
      <c r="L17" s="43"/>
      <c r="M17" s="43"/>
      <c r="N17" s="40"/>
      <c r="O17" s="9"/>
      <c r="P17" s="9"/>
      <c r="Q17" s="41"/>
      <c r="R17" s="9"/>
      <c r="S17" s="40"/>
      <c r="T17" s="9"/>
      <c r="U17" s="9"/>
      <c r="V17" s="9"/>
      <c r="W17" s="9"/>
      <c r="X17" s="9"/>
      <c r="Y17" s="9"/>
      <c r="Z17" s="10" t="str">
        <f aca="false">IF(A17="","",SG_Criteria!$B$6&amp;SG_Criteria!$B$11&amp;"\"&amp;A17&amp;"\")</f>
        <v/>
      </c>
      <c r="AA17" s="10" t="str">
        <f aca="false">IF(A17="","",A17&amp;"_CAD.dwg")</f>
        <v/>
      </c>
      <c r="AB17" s="10" t="str">
        <f aca="false">IF(A17="","",A17&amp;"_DWG.pdf")</f>
        <v/>
      </c>
      <c r="AC17" s="10" t="str">
        <f aca="false">IF(A17="","",IF(Y17="Y",A17&amp;"_STAAD.std","n/a"))</f>
        <v/>
      </c>
      <c r="AD17" s="10" t="str">
        <f aca="false">IF(A17="","",A17&amp;"_CALC.xlsx")</f>
        <v/>
      </c>
      <c r="AE17" s="10" t="str">
        <f aca="false">IF(A17="","",A17&amp;"_CALC.pdf")</f>
        <v/>
      </c>
      <c r="AF17" s="9"/>
      <c r="AG17" s="9"/>
      <c r="AH17" s="41"/>
      <c r="AI17" s="41"/>
      <c r="AJ17" s="41"/>
      <c r="AK17" s="41"/>
      <c r="AL17" s="41"/>
      <c r="AM17" s="38" t="str">
        <f aca="false">IF(OR(C17="",G17=""),"",IF(G17&lt;=IF(OR(C17="Soldier Pile &amp; Timber Lagging",C17="Trench Shoring Box",C17="Open Cut (battered)"),SG_Criteria!$B$34,SG_Criteria!$B$33),"No ERSS submission",IF(G17&lt;=SG_Criteria!$B$35,"QP(ST)",IF(G17&lt;=SG_Criteria!$B$36,"QP(ST) + AC","Geotechnical building works: QP(Geo) + AC"))))</f>
        <v/>
      </c>
      <c r="AN17" s="38" t="str">
        <f aca="false">IF(C17="","",IF(LEN(IF(AND(Q17&lt;&gt;"",Q17&lt;SG_Criteria!$B$37),"FAIL: base stability FOS &lt; "&amp;SG_Criteria!$B$37&amp;". ","")&amp;IF(AND(D17="Manhole",G17&gt;SG_Criteria!$B$36),"NOTE: BCA lists sewer manholes (pipe &lt;= 2 m dia) &gt; 6 m as non-GBW: QP(ST) + AC. ","")&amp;IF(AND(C17="Trench Shoring Box",H17="Kallang Formation (marine clay)"),"NOTE: check base heave / ground loss for shoring box in marine clay. ","")&amp;IF(AND(C17="Steel Sheet Pile Cofferdam",N(M17)&lt;G17*0.5),"NOTE: short toe embedment, check. ",""))=0,"OK",IF(AND(Q17&lt;&gt;"",Q17&lt;SG_Criteria!$B$37),"FAIL: base stability FOS &lt; "&amp;SG_Criteria!$B$37&amp;". ","")&amp;IF(AND(D17="Manhole",G17&gt;SG_Criteria!$B$36),"NOTE: BCA lists sewer manholes (pipe &lt;= 2 m dia) &gt; 6 m as non-GBW: QP(ST) + AC. ","")&amp;IF(AND(C17="Trench Shoring Box",H17="Kallang Formation (marine clay)"),"NOTE: check base heave / ground loss for shoring box in marine clay. ","")&amp;IF(AND(C17="Steel Sheet Pile Cofferdam",N(M17)&lt;G17*0.5),"NOTE: short toe embedment, check. ","")))</f>
        <v/>
      </c>
      <c r="AO17" s="9"/>
      <c r="AP17" s="9"/>
      <c r="AQ17" s="9"/>
      <c r="AR17" s="9"/>
      <c r="AS17" s="9"/>
      <c r="AT17" s="31"/>
      <c r="AU17" s="10" t="str">
        <f aca="false">IF(C17="","",IF(AND(V17="Approved",ISERROR(SEARCH("FAIL",AN17))),"Y","N"))</f>
        <v/>
      </c>
      <c r="AV17" s="10" t="str">
        <f aca="false">IF(C17="","",C17&amp;"|"&amp;G17&amp;"|"&amp;E17&amp;"|"&amp;H17&amp;"|"&amp;AU17)</f>
        <v/>
      </c>
    </row>
    <row r="18" customFormat="false" ht="15" hidden="false" customHeight="false" outlineLevel="0" collapsed="false">
      <c r="A18" s="10" t="str">
        <f aca="false">IF(C18="","","ERSS-"&amp;IFERROR(VLOOKUP(C18,Lists!$AK$4:$AL$21,2,0),"??")&amp;"-"&amp;TEXT(E18,"0000")&amp;"x"&amp;TEXT(F18,"0000")&amp;"-D"&amp;TEXT(G18*1000,"0000")&amp;"-"&amp;IFERROR(VLOOKUP(H18,Lists!$Y$4:$Z$21,2,0),"??")&amp;"-"&amp;U18)</f>
        <v/>
      </c>
      <c r="B18" s="10" t="str">
        <f aca="false">IF(C18="","",C18&amp;" for "&amp;D18&amp;", "&amp;E18&amp;" x "&amp;F18&amp;" pit, "&amp;TEXT(G18,"0.0")&amp;" m deep, "&amp;H18)</f>
        <v/>
      </c>
      <c r="C18" s="9"/>
      <c r="D18" s="9"/>
      <c r="E18" s="40"/>
      <c r="F18" s="40"/>
      <c r="G18" s="43"/>
      <c r="H18" s="9"/>
      <c r="I18" s="43"/>
      <c r="J18" s="40"/>
      <c r="K18" s="9"/>
      <c r="L18" s="43"/>
      <c r="M18" s="43"/>
      <c r="N18" s="40"/>
      <c r="O18" s="9"/>
      <c r="P18" s="9"/>
      <c r="Q18" s="41"/>
      <c r="R18" s="9"/>
      <c r="S18" s="40"/>
      <c r="T18" s="9"/>
      <c r="U18" s="9"/>
      <c r="V18" s="9"/>
      <c r="W18" s="9"/>
      <c r="X18" s="9"/>
      <c r="Y18" s="9"/>
      <c r="Z18" s="10" t="str">
        <f aca="false">IF(A18="","",SG_Criteria!$B$6&amp;SG_Criteria!$B$11&amp;"\"&amp;A18&amp;"\")</f>
        <v/>
      </c>
      <c r="AA18" s="10" t="str">
        <f aca="false">IF(A18="","",A18&amp;"_CAD.dwg")</f>
        <v/>
      </c>
      <c r="AB18" s="10" t="str">
        <f aca="false">IF(A18="","",A18&amp;"_DWG.pdf")</f>
        <v/>
      </c>
      <c r="AC18" s="10" t="str">
        <f aca="false">IF(A18="","",IF(Y18="Y",A18&amp;"_STAAD.std","n/a"))</f>
        <v/>
      </c>
      <c r="AD18" s="10" t="str">
        <f aca="false">IF(A18="","",A18&amp;"_CALC.xlsx")</f>
        <v/>
      </c>
      <c r="AE18" s="10" t="str">
        <f aca="false">IF(A18="","",A18&amp;"_CALC.pdf")</f>
        <v/>
      </c>
      <c r="AF18" s="9"/>
      <c r="AG18" s="9"/>
      <c r="AH18" s="41"/>
      <c r="AI18" s="41"/>
      <c r="AJ18" s="41"/>
      <c r="AK18" s="41"/>
      <c r="AL18" s="41"/>
      <c r="AM18" s="38" t="str">
        <f aca="false">IF(OR(C18="",G18=""),"",IF(G18&lt;=IF(OR(C18="Soldier Pile &amp; Timber Lagging",C18="Trench Shoring Box",C18="Open Cut (battered)"),SG_Criteria!$B$34,SG_Criteria!$B$33),"No ERSS submission",IF(G18&lt;=SG_Criteria!$B$35,"QP(ST)",IF(G18&lt;=SG_Criteria!$B$36,"QP(ST) + AC","Geotechnical building works: QP(Geo) + AC"))))</f>
        <v/>
      </c>
      <c r="AN18" s="38" t="str">
        <f aca="false">IF(C18="","",IF(LEN(IF(AND(Q18&lt;&gt;"",Q18&lt;SG_Criteria!$B$37),"FAIL: base stability FOS &lt; "&amp;SG_Criteria!$B$37&amp;". ","")&amp;IF(AND(D18="Manhole",G18&gt;SG_Criteria!$B$36),"NOTE: BCA lists sewer manholes (pipe &lt;= 2 m dia) &gt; 6 m as non-GBW: QP(ST) + AC. ","")&amp;IF(AND(C18="Trench Shoring Box",H18="Kallang Formation (marine clay)"),"NOTE: check base heave / ground loss for shoring box in marine clay. ","")&amp;IF(AND(C18="Steel Sheet Pile Cofferdam",N(M18)&lt;G18*0.5),"NOTE: short toe embedment, check. ",""))=0,"OK",IF(AND(Q18&lt;&gt;"",Q18&lt;SG_Criteria!$B$37),"FAIL: base stability FOS &lt; "&amp;SG_Criteria!$B$37&amp;". ","")&amp;IF(AND(D18="Manhole",G18&gt;SG_Criteria!$B$36),"NOTE: BCA lists sewer manholes (pipe &lt;= 2 m dia) &gt; 6 m as non-GBW: QP(ST) + AC. ","")&amp;IF(AND(C18="Trench Shoring Box",H18="Kallang Formation (marine clay)"),"NOTE: check base heave / ground loss for shoring box in marine clay. ","")&amp;IF(AND(C18="Steel Sheet Pile Cofferdam",N(M18)&lt;G18*0.5),"NOTE: short toe embedment, check. ","")))</f>
        <v/>
      </c>
      <c r="AO18" s="9"/>
      <c r="AP18" s="9"/>
      <c r="AQ18" s="9"/>
      <c r="AR18" s="9"/>
      <c r="AS18" s="9"/>
      <c r="AT18" s="31"/>
      <c r="AU18" s="10" t="str">
        <f aca="false">IF(C18="","",IF(AND(V18="Approved",ISERROR(SEARCH("FAIL",AN18))),"Y","N"))</f>
        <v/>
      </c>
      <c r="AV18" s="10" t="str">
        <f aca="false">IF(C18="","",C18&amp;"|"&amp;G18&amp;"|"&amp;E18&amp;"|"&amp;H18&amp;"|"&amp;AU18)</f>
        <v/>
      </c>
    </row>
    <row r="19" customFormat="false" ht="15" hidden="false" customHeight="false" outlineLevel="0" collapsed="false">
      <c r="A19" s="10" t="str">
        <f aca="false">IF(C19="","","ERSS-"&amp;IFERROR(VLOOKUP(C19,Lists!$AK$4:$AL$21,2,0),"??")&amp;"-"&amp;TEXT(E19,"0000")&amp;"x"&amp;TEXT(F19,"0000")&amp;"-D"&amp;TEXT(G19*1000,"0000")&amp;"-"&amp;IFERROR(VLOOKUP(H19,Lists!$Y$4:$Z$21,2,0),"??")&amp;"-"&amp;U19)</f>
        <v/>
      </c>
      <c r="B19" s="10" t="str">
        <f aca="false">IF(C19="","",C19&amp;" for "&amp;D19&amp;", "&amp;E19&amp;" x "&amp;F19&amp;" pit, "&amp;TEXT(G19,"0.0")&amp;" m deep, "&amp;H19)</f>
        <v/>
      </c>
      <c r="C19" s="9"/>
      <c r="D19" s="9"/>
      <c r="E19" s="40"/>
      <c r="F19" s="40"/>
      <c r="G19" s="43"/>
      <c r="H19" s="9"/>
      <c r="I19" s="43"/>
      <c r="J19" s="40"/>
      <c r="K19" s="9"/>
      <c r="L19" s="43"/>
      <c r="M19" s="43"/>
      <c r="N19" s="40"/>
      <c r="O19" s="9"/>
      <c r="P19" s="9"/>
      <c r="Q19" s="41"/>
      <c r="R19" s="9"/>
      <c r="S19" s="40"/>
      <c r="T19" s="9"/>
      <c r="U19" s="9"/>
      <c r="V19" s="9"/>
      <c r="W19" s="9"/>
      <c r="X19" s="9"/>
      <c r="Y19" s="9"/>
      <c r="Z19" s="10" t="str">
        <f aca="false">IF(A19="","",SG_Criteria!$B$6&amp;SG_Criteria!$B$11&amp;"\"&amp;A19&amp;"\")</f>
        <v/>
      </c>
      <c r="AA19" s="10" t="str">
        <f aca="false">IF(A19="","",A19&amp;"_CAD.dwg")</f>
        <v/>
      </c>
      <c r="AB19" s="10" t="str">
        <f aca="false">IF(A19="","",A19&amp;"_DWG.pdf")</f>
        <v/>
      </c>
      <c r="AC19" s="10" t="str">
        <f aca="false">IF(A19="","",IF(Y19="Y",A19&amp;"_STAAD.std","n/a"))</f>
        <v/>
      </c>
      <c r="AD19" s="10" t="str">
        <f aca="false">IF(A19="","",A19&amp;"_CALC.xlsx")</f>
        <v/>
      </c>
      <c r="AE19" s="10" t="str">
        <f aca="false">IF(A19="","",A19&amp;"_CALC.pdf")</f>
        <v/>
      </c>
      <c r="AF19" s="9"/>
      <c r="AG19" s="9"/>
      <c r="AH19" s="41"/>
      <c r="AI19" s="41"/>
      <c r="AJ19" s="41"/>
      <c r="AK19" s="41"/>
      <c r="AL19" s="41"/>
      <c r="AM19" s="38" t="str">
        <f aca="false">IF(OR(C19="",G19=""),"",IF(G19&lt;=IF(OR(C19="Soldier Pile &amp; Timber Lagging",C19="Trench Shoring Box",C19="Open Cut (battered)"),SG_Criteria!$B$34,SG_Criteria!$B$33),"No ERSS submission",IF(G19&lt;=SG_Criteria!$B$35,"QP(ST)",IF(G19&lt;=SG_Criteria!$B$36,"QP(ST) + AC","Geotechnical building works: QP(Geo) + AC"))))</f>
        <v/>
      </c>
      <c r="AN19" s="38" t="str">
        <f aca="false">IF(C19="","",IF(LEN(IF(AND(Q19&lt;&gt;"",Q19&lt;SG_Criteria!$B$37),"FAIL: base stability FOS &lt; "&amp;SG_Criteria!$B$37&amp;". ","")&amp;IF(AND(D19="Manhole",G19&gt;SG_Criteria!$B$36),"NOTE: BCA lists sewer manholes (pipe &lt;= 2 m dia) &gt; 6 m as non-GBW: QP(ST) + AC. ","")&amp;IF(AND(C19="Trench Shoring Box",H19="Kallang Formation (marine clay)"),"NOTE: check base heave / ground loss for shoring box in marine clay. ","")&amp;IF(AND(C19="Steel Sheet Pile Cofferdam",N(M19)&lt;G19*0.5),"NOTE: short toe embedment, check. ",""))=0,"OK",IF(AND(Q19&lt;&gt;"",Q19&lt;SG_Criteria!$B$37),"FAIL: base stability FOS &lt; "&amp;SG_Criteria!$B$37&amp;". ","")&amp;IF(AND(D19="Manhole",G19&gt;SG_Criteria!$B$36),"NOTE: BCA lists sewer manholes (pipe &lt;= 2 m dia) &gt; 6 m as non-GBW: QP(ST) + AC. ","")&amp;IF(AND(C19="Trench Shoring Box",H19="Kallang Formation (marine clay)"),"NOTE: check base heave / ground loss for shoring box in marine clay. ","")&amp;IF(AND(C19="Steel Sheet Pile Cofferdam",N(M19)&lt;G19*0.5),"NOTE: short toe embedment, check. ","")))</f>
        <v/>
      </c>
      <c r="AO19" s="9"/>
      <c r="AP19" s="9"/>
      <c r="AQ19" s="9"/>
      <c r="AR19" s="9"/>
      <c r="AS19" s="9"/>
      <c r="AT19" s="31"/>
      <c r="AU19" s="10" t="str">
        <f aca="false">IF(C19="","",IF(AND(V19="Approved",ISERROR(SEARCH("FAIL",AN19))),"Y","N"))</f>
        <v/>
      </c>
      <c r="AV19" s="10" t="str">
        <f aca="false">IF(C19="","",C19&amp;"|"&amp;G19&amp;"|"&amp;E19&amp;"|"&amp;H19&amp;"|"&amp;AU19)</f>
        <v/>
      </c>
    </row>
    <row r="20" customFormat="false" ht="15" hidden="false" customHeight="false" outlineLevel="0" collapsed="false">
      <c r="A20" s="10" t="str">
        <f aca="false">IF(C20="","","ERSS-"&amp;IFERROR(VLOOKUP(C20,Lists!$AK$4:$AL$21,2,0),"??")&amp;"-"&amp;TEXT(E20,"0000")&amp;"x"&amp;TEXT(F20,"0000")&amp;"-D"&amp;TEXT(G20*1000,"0000")&amp;"-"&amp;IFERROR(VLOOKUP(H20,Lists!$Y$4:$Z$21,2,0),"??")&amp;"-"&amp;U20)</f>
        <v/>
      </c>
      <c r="B20" s="10" t="str">
        <f aca="false">IF(C20="","",C20&amp;" for "&amp;D20&amp;", "&amp;E20&amp;" x "&amp;F20&amp;" pit, "&amp;TEXT(G20,"0.0")&amp;" m deep, "&amp;H20)</f>
        <v/>
      </c>
      <c r="C20" s="9"/>
      <c r="D20" s="9"/>
      <c r="E20" s="40"/>
      <c r="F20" s="40"/>
      <c r="G20" s="43"/>
      <c r="H20" s="9"/>
      <c r="I20" s="43"/>
      <c r="J20" s="40"/>
      <c r="K20" s="9"/>
      <c r="L20" s="43"/>
      <c r="M20" s="43"/>
      <c r="N20" s="40"/>
      <c r="O20" s="9"/>
      <c r="P20" s="9"/>
      <c r="Q20" s="41"/>
      <c r="R20" s="9"/>
      <c r="S20" s="40"/>
      <c r="T20" s="9"/>
      <c r="U20" s="9"/>
      <c r="V20" s="9"/>
      <c r="W20" s="9"/>
      <c r="X20" s="9"/>
      <c r="Y20" s="9"/>
      <c r="Z20" s="10" t="str">
        <f aca="false">IF(A20="","",SG_Criteria!$B$6&amp;SG_Criteria!$B$11&amp;"\"&amp;A20&amp;"\")</f>
        <v/>
      </c>
      <c r="AA20" s="10" t="str">
        <f aca="false">IF(A20="","",A20&amp;"_CAD.dwg")</f>
        <v/>
      </c>
      <c r="AB20" s="10" t="str">
        <f aca="false">IF(A20="","",A20&amp;"_DWG.pdf")</f>
        <v/>
      </c>
      <c r="AC20" s="10" t="str">
        <f aca="false">IF(A20="","",IF(Y20="Y",A20&amp;"_STAAD.std","n/a"))</f>
        <v/>
      </c>
      <c r="AD20" s="10" t="str">
        <f aca="false">IF(A20="","",A20&amp;"_CALC.xlsx")</f>
        <v/>
      </c>
      <c r="AE20" s="10" t="str">
        <f aca="false">IF(A20="","",A20&amp;"_CALC.pdf")</f>
        <v/>
      </c>
      <c r="AF20" s="9"/>
      <c r="AG20" s="9"/>
      <c r="AH20" s="41"/>
      <c r="AI20" s="41"/>
      <c r="AJ20" s="41"/>
      <c r="AK20" s="41"/>
      <c r="AL20" s="41"/>
      <c r="AM20" s="38" t="str">
        <f aca="false">IF(OR(C20="",G20=""),"",IF(G20&lt;=IF(OR(C20="Soldier Pile &amp; Timber Lagging",C20="Trench Shoring Box",C20="Open Cut (battered)"),SG_Criteria!$B$34,SG_Criteria!$B$33),"No ERSS submission",IF(G20&lt;=SG_Criteria!$B$35,"QP(ST)",IF(G20&lt;=SG_Criteria!$B$36,"QP(ST) + AC","Geotechnical building works: QP(Geo) + AC"))))</f>
        <v/>
      </c>
      <c r="AN20" s="38" t="str">
        <f aca="false">IF(C20="","",IF(LEN(IF(AND(Q20&lt;&gt;"",Q20&lt;SG_Criteria!$B$37),"FAIL: base stability FOS &lt; "&amp;SG_Criteria!$B$37&amp;". ","")&amp;IF(AND(D20="Manhole",G20&gt;SG_Criteria!$B$36),"NOTE: BCA lists sewer manholes (pipe &lt;= 2 m dia) &gt; 6 m as non-GBW: QP(ST) + AC. ","")&amp;IF(AND(C20="Trench Shoring Box",H20="Kallang Formation (marine clay)"),"NOTE: check base heave / ground loss for shoring box in marine clay. ","")&amp;IF(AND(C20="Steel Sheet Pile Cofferdam",N(M20)&lt;G20*0.5),"NOTE: short toe embedment, check. ",""))=0,"OK",IF(AND(Q20&lt;&gt;"",Q20&lt;SG_Criteria!$B$37),"FAIL: base stability FOS &lt; "&amp;SG_Criteria!$B$37&amp;". ","")&amp;IF(AND(D20="Manhole",G20&gt;SG_Criteria!$B$36),"NOTE: BCA lists sewer manholes (pipe &lt;= 2 m dia) &gt; 6 m as non-GBW: QP(ST) + AC. ","")&amp;IF(AND(C20="Trench Shoring Box",H20="Kallang Formation (marine clay)"),"NOTE: check base heave / ground loss for shoring box in marine clay. ","")&amp;IF(AND(C20="Steel Sheet Pile Cofferdam",N(M20)&lt;G20*0.5),"NOTE: short toe embedment, check. ","")))</f>
        <v/>
      </c>
      <c r="AO20" s="9"/>
      <c r="AP20" s="9"/>
      <c r="AQ20" s="9"/>
      <c r="AR20" s="9"/>
      <c r="AS20" s="9"/>
      <c r="AT20" s="31"/>
      <c r="AU20" s="10" t="str">
        <f aca="false">IF(C20="","",IF(AND(V20="Approved",ISERROR(SEARCH("FAIL",AN20))),"Y","N"))</f>
        <v/>
      </c>
      <c r="AV20" s="10" t="str">
        <f aca="false">IF(C20="","",C20&amp;"|"&amp;G20&amp;"|"&amp;E20&amp;"|"&amp;H20&amp;"|"&amp;AU20)</f>
        <v/>
      </c>
    </row>
    <row r="21" customFormat="false" ht="15" hidden="false" customHeight="false" outlineLevel="0" collapsed="false">
      <c r="A21" s="10" t="str">
        <f aca="false">IF(C21="","","ERSS-"&amp;IFERROR(VLOOKUP(C21,Lists!$AK$4:$AL$21,2,0),"??")&amp;"-"&amp;TEXT(E21,"0000")&amp;"x"&amp;TEXT(F21,"0000")&amp;"-D"&amp;TEXT(G21*1000,"0000")&amp;"-"&amp;IFERROR(VLOOKUP(H21,Lists!$Y$4:$Z$21,2,0),"??")&amp;"-"&amp;U21)</f>
        <v/>
      </c>
      <c r="B21" s="10" t="str">
        <f aca="false">IF(C21="","",C21&amp;" for "&amp;D21&amp;", "&amp;E21&amp;" x "&amp;F21&amp;" pit, "&amp;TEXT(G21,"0.0")&amp;" m deep, "&amp;H21)</f>
        <v/>
      </c>
      <c r="C21" s="9"/>
      <c r="D21" s="9"/>
      <c r="E21" s="40"/>
      <c r="F21" s="40"/>
      <c r="G21" s="43"/>
      <c r="H21" s="9"/>
      <c r="I21" s="43"/>
      <c r="J21" s="40"/>
      <c r="K21" s="9"/>
      <c r="L21" s="43"/>
      <c r="M21" s="43"/>
      <c r="N21" s="40"/>
      <c r="O21" s="9"/>
      <c r="P21" s="9"/>
      <c r="Q21" s="41"/>
      <c r="R21" s="9"/>
      <c r="S21" s="40"/>
      <c r="T21" s="9"/>
      <c r="U21" s="9"/>
      <c r="V21" s="9"/>
      <c r="W21" s="9"/>
      <c r="X21" s="9"/>
      <c r="Y21" s="9"/>
      <c r="Z21" s="10" t="str">
        <f aca="false">IF(A21="","",SG_Criteria!$B$6&amp;SG_Criteria!$B$11&amp;"\"&amp;A21&amp;"\")</f>
        <v/>
      </c>
      <c r="AA21" s="10" t="str">
        <f aca="false">IF(A21="","",A21&amp;"_CAD.dwg")</f>
        <v/>
      </c>
      <c r="AB21" s="10" t="str">
        <f aca="false">IF(A21="","",A21&amp;"_DWG.pdf")</f>
        <v/>
      </c>
      <c r="AC21" s="10" t="str">
        <f aca="false">IF(A21="","",IF(Y21="Y",A21&amp;"_STAAD.std","n/a"))</f>
        <v/>
      </c>
      <c r="AD21" s="10" t="str">
        <f aca="false">IF(A21="","",A21&amp;"_CALC.xlsx")</f>
        <v/>
      </c>
      <c r="AE21" s="10" t="str">
        <f aca="false">IF(A21="","",A21&amp;"_CALC.pdf")</f>
        <v/>
      </c>
      <c r="AF21" s="9"/>
      <c r="AG21" s="9"/>
      <c r="AH21" s="41"/>
      <c r="AI21" s="41"/>
      <c r="AJ21" s="41"/>
      <c r="AK21" s="41"/>
      <c r="AL21" s="41"/>
      <c r="AM21" s="38" t="str">
        <f aca="false">IF(OR(C21="",G21=""),"",IF(G21&lt;=IF(OR(C21="Soldier Pile &amp; Timber Lagging",C21="Trench Shoring Box",C21="Open Cut (battered)"),SG_Criteria!$B$34,SG_Criteria!$B$33),"No ERSS submission",IF(G21&lt;=SG_Criteria!$B$35,"QP(ST)",IF(G21&lt;=SG_Criteria!$B$36,"QP(ST) + AC","Geotechnical building works: QP(Geo) + AC"))))</f>
        <v/>
      </c>
      <c r="AN21" s="38" t="str">
        <f aca="false">IF(C21="","",IF(LEN(IF(AND(Q21&lt;&gt;"",Q21&lt;SG_Criteria!$B$37),"FAIL: base stability FOS &lt; "&amp;SG_Criteria!$B$37&amp;". ","")&amp;IF(AND(D21="Manhole",G21&gt;SG_Criteria!$B$36),"NOTE: BCA lists sewer manholes (pipe &lt;= 2 m dia) &gt; 6 m as non-GBW: QP(ST) + AC. ","")&amp;IF(AND(C21="Trench Shoring Box",H21="Kallang Formation (marine clay)"),"NOTE: check base heave / ground loss for shoring box in marine clay. ","")&amp;IF(AND(C21="Steel Sheet Pile Cofferdam",N(M21)&lt;G21*0.5),"NOTE: short toe embedment, check. ",""))=0,"OK",IF(AND(Q21&lt;&gt;"",Q21&lt;SG_Criteria!$B$37),"FAIL: base stability FOS &lt; "&amp;SG_Criteria!$B$37&amp;". ","")&amp;IF(AND(D21="Manhole",G21&gt;SG_Criteria!$B$36),"NOTE: BCA lists sewer manholes (pipe &lt;= 2 m dia) &gt; 6 m as non-GBW: QP(ST) + AC. ","")&amp;IF(AND(C21="Trench Shoring Box",H21="Kallang Formation (marine clay)"),"NOTE: check base heave / ground loss for shoring box in marine clay. ","")&amp;IF(AND(C21="Steel Sheet Pile Cofferdam",N(M21)&lt;G21*0.5),"NOTE: short toe embedment, check. ","")))</f>
        <v/>
      </c>
      <c r="AO21" s="9"/>
      <c r="AP21" s="9"/>
      <c r="AQ21" s="9"/>
      <c r="AR21" s="9"/>
      <c r="AS21" s="9"/>
      <c r="AT21" s="31"/>
      <c r="AU21" s="10" t="str">
        <f aca="false">IF(C21="","",IF(AND(V21="Approved",ISERROR(SEARCH("FAIL",AN21))),"Y","N"))</f>
        <v/>
      </c>
      <c r="AV21" s="10" t="str">
        <f aca="false">IF(C21="","",C21&amp;"|"&amp;G21&amp;"|"&amp;E21&amp;"|"&amp;H21&amp;"|"&amp;AU21)</f>
        <v/>
      </c>
    </row>
    <row r="22" customFormat="false" ht="15" hidden="false" customHeight="false" outlineLevel="0" collapsed="false">
      <c r="A22" s="10" t="str">
        <f aca="false">IF(C22="","","ERSS-"&amp;IFERROR(VLOOKUP(C22,Lists!$AK$4:$AL$21,2,0),"??")&amp;"-"&amp;TEXT(E22,"0000")&amp;"x"&amp;TEXT(F22,"0000")&amp;"-D"&amp;TEXT(G22*1000,"0000")&amp;"-"&amp;IFERROR(VLOOKUP(H22,Lists!$Y$4:$Z$21,2,0),"??")&amp;"-"&amp;U22)</f>
        <v/>
      </c>
      <c r="B22" s="10" t="str">
        <f aca="false">IF(C22="","",C22&amp;" for "&amp;D22&amp;", "&amp;E22&amp;" x "&amp;F22&amp;" pit, "&amp;TEXT(G22,"0.0")&amp;" m deep, "&amp;H22)</f>
        <v/>
      </c>
      <c r="C22" s="9"/>
      <c r="D22" s="9"/>
      <c r="E22" s="40"/>
      <c r="F22" s="40"/>
      <c r="G22" s="43"/>
      <c r="H22" s="9"/>
      <c r="I22" s="43"/>
      <c r="J22" s="40"/>
      <c r="K22" s="9"/>
      <c r="L22" s="43"/>
      <c r="M22" s="43"/>
      <c r="N22" s="40"/>
      <c r="O22" s="9"/>
      <c r="P22" s="9"/>
      <c r="Q22" s="41"/>
      <c r="R22" s="9"/>
      <c r="S22" s="40"/>
      <c r="T22" s="9"/>
      <c r="U22" s="9"/>
      <c r="V22" s="9"/>
      <c r="W22" s="9"/>
      <c r="X22" s="9"/>
      <c r="Y22" s="9"/>
      <c r="Z22" s="10" t="str">
        <f aca="false">IF(A22="","",SG_Criteria!$B$6&amp;SG_Criteria!$B$11&amp;"\"&amp;A22&amp;"\")</f>
        <v/>
      </c>
      <c r="AA22" s="10" t="str">
        <f aca="false">IF(A22="","",A22&amp;"_CAD.dwg")</f>
        <v/>
      </c>
      <c r="AB22" s="10" t="str">
        <f aca="false">IF(A22="","",A22&amp;"_DWG.pdf")</f>
        <v/>
      </c>
      <c r="AC22" s="10" t="str">
        <f aca="false">IF(A22="","",IF(Y22="Y",A22&amp;"_STAAD.std","n/a"))</f>
        <v/>
      </c>
      <c r="AD22" s="10" t="str">
        <f aca="false">IF(A22="","",A22&amp;"_CALC.xlsx")</f>
        <v/>
      </c>
      <c r="AE22" s="10" t="str">
        <f aca="false">IF(A22="","",A22&amp;"_CALC.pdf")</f>
        <v/>
      </c>
      <c r="AF22" s="9"/>
      <c r="AG22" s="9"/>
      <c r="AH22" s="41"/>
      <c r="AI22" s="41"/>
      <c r="AJ22" s="41"/>
      <c r="AK22" s="41"/>
      <c r="AL22" s="41"/>
      <c r="AM22" s="38" t="str">
        <f aca="false">IF(OR(C22="",G22=""),"",IF(G22&lt;=IF(OR(C22="Soldier Pile &amp; Timber Lagging",C22="Trench Shoring Box",C22="Open Cut (battered)"),SG_Criteria!$B$34,SG_Criteria!$B$33),"No ERSS submission",IF(G22&lt;=SG_Criteria!$B$35,"QP(ST)",IF(G22&lt;=SG_Criteria!$B$36,"QP(ST) + AC","Geotechnical building works: QP(Geo) + AC"))))</f>
        <v/>
      </c>
      <c r="AN22" s="38" t="str">
        <f aca="false">IF(C22="","",IF(LEN(IF(AND(Q22&lt;&gt;"",Q22&lt;SG_Criteria!$B$37),"FAIL: base stability FOS &lt; "&amp;SG_Criteria!$B$37&amp;". ","")&amp;IF(AND(D22="Manhole",G22&gt;SG_Criteria!$B$36),"NOTE: BCA lists sewer manholes (pipe &lt;= 2 m dia) &gt; 6 m as non-GBW: QP(ST) + AC. ","")&amp;IF(AND(C22="Trench Shoring Box",H22="Kallang Formation (marine clay)"),"NOTE: check base heave / ground loss for shoring box in marine clay. ","")&amp;IF(AND(C22="Steel Sheet Pile Cofferdam",N(M22)&lt;G22*0.5),"NOTE: short toe embedment, check. ",""))=0,"OK",IF(AND(Q22&lt;&gt;"",Q22&lt;SG_Criteria!$B$37),"FAIL: base stability FOS &lt; "&amp;SG_Criteria!$B$37&amp;". ","")&amp;IF(AND(D22="Manhole",G22&gt;SG_Criteria!$B$36),"NOTE: BCA lists sewer manholes (pipe &lt;= 2 m dia) &gt; 6 m as non-GBW: QP(ST) + AC. ","")&amp;IF(AND(C22="Trench Shoring Box",H22="Kallang Formation (marine clay)"),"NOTE: check base heave / ground loss for shoring box in marine clay. ","")&amp;IF(AND(C22="Steel Sheet Pile Cofferdam",N(M22)&lt;G22*0.5),"NOTE: short toe embedment, check. ","")))</f>
        <v/>
      </c>
      <c r="AO22" s="9"/>
      <c r="AP22" s="9"/>
      <c r="AQ22" s="9"/>
      <c r="AR22" s="9"/>
      <c r="AS22" s="9"/>
      <c r="AT22" s="31"/>
      <c r="AU22" s="10" t="str">
        <f aca="false">IF(C22="","",IF(AND(V22="Approved",ISERROR(SEARCH("FAIL",AN22))),"Y","N"))</f>
        <v/>
      </c>
      <c r="AV22" s="10" t="str">
        <f aca="false">IF(C22="","",C22&amp;"|"&amp;G22&amp;"|"&amp;E22&amp;"|"&amp;H22&amp;"|"&amp;AU22)</f>
        <v/>
      </c>
    </row>
    <row r="23" customFormat="false" ht="15" hidden="false" customHeight="false" outlineLevel="0" collapsed="false">
      <c r="A23" s="10" t="str">
        <f aca="false">IF(C23="","","ERSS-"&amp;IFERROR(VLOOKUP(C23,Lists!$AK$4:$AL$21,2,0),"??")&amp;"-"&amp;TEXT(E23,"0000")&amp;"x"&amp;TEXT(F23,"0000")&amp;"-D"&amp;TEXT(G23*1000,"0000")&amp;"-"&amp;IFERROR(VLOOKUP(H23,Lists!$Y$4:$Z$21,2,0),"??")&amp;"-"&amp;U23)</f>
        <v/>
      </c>
      <c r="B23" s="10" t="str">
        <f aca="false">IF(C23="","",C23&amp;" for "&amp;D23&amp;", "&amp;E23&amp;" x "&amp;F23&amp;" pit, "&amp;TEXT(G23,"0.0")&amp;" m deep, "&amp;H23)</f>
        <v/>
      </c>
      <c r="C23" s="9"/>
      <c r="D23" s="9"/>
      <c r="E23" s="40"/>
      <c r="F23" s="40"/>
      <c r="G23" s="43"/>
      <c r="H23" s="9"/>
      <c r="I23" s="43"/>
      <c r="J23" s="40"/>
      <c r="K23" s="9"/>
      <c r="L23" s="43"/>
      <c r="M23" s="43"/>
      <c r="N23" s="40"/>
      <c r="O23" s="9"/>
      <c r="P23" s="9"/>
      <c r="Q23" s="41"/>
      <c r="R23" s="9"/>
      <c r="S23" s="40"/>
      <c r="T23" s="9"/>
      <c r="U23" s="9"/>
      <c r="V23" s="9"/>
      <c r="W23" s="9"/>
      <c r="X23" s="9"/>
      <c r="Y23" s="9"/>
      <c r="Z23" s="10" t="str">
        <f aca="false">IF(A23="","",SG_Criteria!$B$6&amp;SG_Criteria!$B$11&amp;"\"&amp;A23&amp;"\")</f>
        <v/>
      </c>
      <c r="AA23" s="10" t="str">
        <f aca="false">IF(A23="","",A23&amp;"_CAD.dwg")</f>
        <v/>
      </c>
      <c r="AB23" s="10" t="str">
        <f aca="false">IF(A23="","",A23&amp;"_DWG.pdf")</f>
        <v/>
      </c>
      <c r="AC23" s="10" t="str">
        <f aca="false">IF(A23="","",IF(Y23="Y",A23&amp;"_STAAD.std","n/a"))</f>
        <v/>
      </c>
      <c r="AD23" s="10" t="str">
        <f aca="false">IF(A23="","",A23&amp;"_CALC.xlsx")</f>
        <v/>
      </c>
      <c r="AE23" s="10" t="str">
        <f aca="false">IF(A23="","",A23&amp;"_CALC.pdf")</f>
        <v/>
      </c>
      <c r="AF23" s="9"/>
      <c r="AG23" s="9"/>
      <c r="AH23" s="41"/>
      <c r="AI23" s="41"/>
      <c r="AJ23" s="41"/>
      <c r="AK23" s="41"/>
      <c r="AL23" s="41"/>
      <c r="AM23" s="38" t="str">
        <f aca="false">IF(OR(C23="",G23=""),"",IF(G23&lt;=IF(OR(C23="Soldier Pile &amp; Timber Lagging",C23="Trench Shoring Box",C23="Open Cut (battered)"),SG_Criteria!$B$34,SG_Criteria!$B$33),"No ERSS submission",IF(G23&lt;=SG_Criteria!$B$35,"QP(ST)",IF(G23&lt;=SG_Criteria!$B$36,"QP(ST) + AC","Geotechnical building works: QP(Geo) + AC"))))</f>
        <v/>
      </c>
      <c r="AN23" s="38" t="str">
        <f aca="false">IF(C23="","",IF(LEN(IF(AND(Q23&lt;&gt;"",Q23&lt;SG_Criteria!$B$37),"FAIL: base stability FOS &lt; "&amp;SG_Criteria!$B$37&amp;". ","")&amp;IF(AND(D23="Manhole",G23&gt;SG_Criteria!$B$36),"NOTE: BCA lists sewer manholes (pipe &lt;= 2 m dia) &gt; 6 m as non-GBW: QP(ST) + AC. ","")&amp;IF(AND(C23="Trench Shoring Box",H23="Kallang Formation (marine clay)"),"NOTE: check base heave / ground loss for shoring box in marine clay. ","")&amp;IF(AND(C23="Steel Sheet Pile Cofferdam",N(M23)&lt;G23*0.5),"NOTE: short toe embedment, check. ",""))=0,"OK",IF(AND(Q23&lt;&gt;"",Q23&lt;SG_Criteria!$B$37),"FAIL: base stability FOS &lt; "&amp;SG_Criteria!$B$37&amp;". ","")&amp;IF(AND(D23="Manhole",G23&gt;SG_Criteria!$B$36),"NOTE: BCA lists sewer manholes (pipe &lt;= 2 m dia) &gt; 6 m as non-GBW: QP(ST) + AC. ","")&amp;IF(AND(C23="Trench Shoring Box",H23="Kallang Formation (marine clay)"),"NOTE: check base heave / ground loss for shoring box in marine clay. ","")&amp;IF(AND(C23="Steel Sheet Pile Cofferdam",N(M23)&lt;G23*0.5),"NOTE: short toe embedment, check. ","")))</f>
        <v/>
      </c>
      <c r="AO23" s="9"/>
      <c r="AP23" s="9"/>
      <c r="AQ23" s="9"/>
      <c r="AR23" s="9"/>
      <c r="AS23" s="9"/>
      <c r="AT23" s="31"/>
      <c r="AU23" s="10" t="str">
        <f aca="false">IF(C23="","",IF(AND(V23="Approved",ISERROR(SEARCH("FAIL",AN23))),"Y","N"))</f>
        <v/>
      </c>
      <c r="AV23" s="10" t="str">
        <f aca="false">IF(C23="","",C23&amp;"|"&amp;G23&amp;"|"&amp;E23&amp;"|"&amp;H23&amp;"|"&amp;AU23)</f>
        <v/>
      </c>
    </row>
    <row r="24" customFormat="false" ht="15" hidden="false" customHeight="false" outlineLevel="0" collapsed="false">
      <c r="A24" s="10" t="str">
        <f aca="false">IF(C24="","","ERSS-"&amp;IFERROR(VLOOKUP(C24,Lists!$AK$4:$AL$21,2,0),"??")&amp;"-"&amp;TEXT(E24,"0000")&amp;"x"&amp;TEXT(F24,"0000")&amp;"-D"&amp;TEXT(G24*1000,"0000")&amp;"-"&amp;IFERROR(VLOOKUP(H24,Lists!$Y$4:$Z$21,2,0),"??")&amp;"-"&amp;U24)</f>
        <v/>
      </c>
      <c r="B24" s="10" t="str">
        <f aca="false">IF(C24="","",C24&amp;" for "&amp;D24&amp;", "&amp;E24&amp;" x "&amp;F24&amp;" pit, "&amp;TEXT(G24,"0.0")&amp;" m deep, "&amp;H24)</f>
        <v/>
      </c>
      <c r="C24" s="9"/>
      <c r="D24" s="9"/>
      <c r="E24" s="40"/>
      <c r="F24" s="40"/>
      <c r="G24" s="43"/>
      <c r="H24" s="9"/>
      <c r="I24" s="43"/>
      <c r="J24" s="40"/>
      <c r="K24" s="9"/>
      <c r="L24" s="43"/>
      <c r="M24" s="43"/>
      <c r="N24" s="40"/>
      <c r="O24" s="9"/>
      <c r="P24" s="9"/>
      <c r="Q24" s="41"/>
      <c r="R24" s="9"/>
      <c r="S24" s="40"/>
      <c r="T24" s="9"/>
      <c r="U24" s="9"/>
      <c r="V24" s="9"/>
      <c r="W24" s="9"/>
      <c r="X24" s="9"/>
      <c r="Y24" s="9"/>
      <c r="Z24" s="10" t="str">
        <f aca="false">IF(A24="","",SG_Criteria!$B$6&amp;SG_Criteria!$B$11&amp;"\"&amp;A24&amp;"\")</f>
        <v/>
      </c>
      <c r="AA24" s="10" t="str">
        <f aca="false">IF(A24="","",A24&amp;"_CAD.dwg")</f>
        <v/>
      </c>
      <c r="AB24" s="10" t="str">
        <f aca="false">IF(A24="","",A24&amp;"_DWG.pdf")</f>
        <v/>
      </c>
      <c r="AC24" s="10" t="str">
        <f aca="false">IF(A24="","",IF(Y24="Y",A24&amp;"_STAAD.std","n/a"))</f>
        <v/>
      </c>
      <c r="AD24" s="10" t="str">
        <f aca="false">IF(A24="","",A24&amp;"_CALC.xlsx")</f>
        <v/>
      </c>
      <c r="AE24" s="10" t="str">
        <f aca="false">IF(A24="","",A24&amp;"_CALC.pdf")</f>
        <v/>
      </c>
      <c r="AF24" s="9"/>
      <c r="AG24" s="9"/>
      <c r="AH24" s="41"/>
      <c r="AI24" s="41"/>
      <c r="AJ24" s="41"/>
      <c r="AK24" s="41"/>
      <c r="AL24" s="41"/>
      <c r="AM24" s="38" t="str">
        <f aca="false">IF(OR(C24="",G24=""),"",IF(G24&lt;=IF(OR(C24="Soldier Pile &amp; Timber Lagging",C24="Trench Shoring Box",C24="Open Cut (battered)"),SG_Criteria!$B$34,SG_Criteria!$B$33),"No ERSS submission",IF(G24&lt;=SG_Criteria!$B$35,"QP(ST)",IF(G24&lt;=SG_Criteria!$B$36,"QP(ST) + AC","Geotechnical building works: QP(Geo) + AC"))))</f>
        <v/>
      </c>
      <c r="AN24" s="38" t="str">
        <f aca="false">IF(C24="","",IF(LEN(IF(AND(Q24&lt;&gt;"",Q24&lt;SG_Criteria!$B$37),"FAIL: base stability FOS &lt; "&amp;SG_Criteria!$B$37&amp;". ","")&amp;IF(AND(D24="Manhole",G24&gt;SG_Criteria!$B$36),"NOTE: BCA lists sewer manholes (pipe &lt;= 2 m dia) &gt; 6 m as non-GBW: QP(ST) + AC. ","")&amp;IF(AND(C24="Trench Shoring Box",H24="Kallang Formation (marine clay)"),"NOTE: check base heave / ground loss for shoring box in marine clay. ","")&amp;IF(AND(C24="Steel Sheet Pile Cofferdam",N(M24)&lt;G24*0.5),"NOTE: short toe embedment, check. ",""))=0,"OK",IF(AND(Q24&lt;&gt;"",Q24&lt;SG_Criteria!$B$37),"FAIL: base stability FOS &lt; "&amp;SG_Criteria!$B$37&amp;". ","")&amp;IF(AND(D24="Manhole",G24&gt;SG_Criteria!$B$36),"NOTE: BCA lists sewer manholes (pipe &lt;= 2 m dia) &gt; 6 m as non-GBW: QP(ST) + AC. ","")&amp;IF(AND(C24="Trench Shoring Box",H24="Kallang Formation (marine clay)"),"NOTE: check base heave / ground loss for shoring box in marine clay. ","")&amp;IF(AND(C24="Steel Sheet Pile Cofferdam",N(M24)&lt;G24*0.5),"NOTE: short toe embedment, check. ","")))</f>
        <v/>
      </c>
      <c r="AO24" s="9"/>
      <c r="AP24" s="9"/>
      <c r="AQ24" s="9"/>
      <c r="AR24" s="9"/>
      <c r="AS24" s="9"/>
      <c r="AT24" s="31"/>
      <c r="AU24" s="10" t="str">
        <f aca="false">IF(C24="","",IF(AND(V24="Approved",ISERROR(SEARCH("FAIL",AN24))),"Y","N"))</f>
        <v/>
      </c>
      <c r="AV24" s="10" t="str">
        <f aca="false">IF(C24="","",C24&amp;"|"&amp;G24&amp;"|"&amp;E24&amp;"|"&amp;H24&amp;"|"&amp;AU24)</f>
        <v/>
      </c>
    </row>
    <row r="25" customFormat="false" ht="15" hidden="false" customHeight="false" outlineLevel="0" collapsed="false">
      <c r="A25" s="10" t="str">
        <f aca="false">IF(C25="","","ERSS-"&amp;IFERROR(VLOOKUP(C25,Lists!$AK$4:$AL$21,2,0),"??")&amp;"-"&amp;TEXT(E25,"0000")&amp;"x"&amp;TEXT(F25,"0000")&amp;"-D"&amp;TEXT(G25*1000,"0000")&amp;"-"&amp;IFERROR(VLOOKUP(H25,Lists!$Y$4:$Z$21,2,0),"??")&amp;"-"&amp;U25)</f>
        <v/>
      </c>
      <c r="B25" s="10" t="str">
        <f aca="false">IF(C25="","",C25&amp;" for "&amp;D25&amp;", "&amp;E25&amp;" x "&amp;F25&amp;" pit, "&amp;TEXT(G25,"0.0")&amp;" m deep, "&amp;H25)</f>
        <v/>
      </c>
      <c r="C25" s="9"/>
      <c r="D25" s="9"/>
      <c r="E25" s="40"/>
      <c r="F25" s="40"/>
      <c r="G25" s="43"/>
      <c r="H25" s="9"/>
      <c r="I25" s="43"/>
      <c r="J25" s="40"/>
      <c r="K25" s="9"/>
      <c r="L25" s="43"/>
      <c r="M25" s="43"/>
      <c r="N25" s="40"/>
      <c r="O25" s="9"/>
      <c r="P25" s="9"/>
      <c r="Q25" s="41"/>
      <c r="R25" s="9"/>
      <c r="S25" s="40"/>
      <c r="T25" s="9"/>
      <c r="U25" s="9"/>
      <c r="V25" s="9"/>
      <c r="W25" s="9"/>
      <c r="X25" s="9"/>
      <c r="Y25" s="9"/>
      <c r="Z25" s="10" t="str">
        <f aca="false">IF(A25="","",SG_Criteria!$B$6&amp;SG_Criteria!$B$11&amp;"\"&amp;A25&amp;"\")</f>
        <v/>
      </c>
      <c r="AA25" s="10" t="str">
        <f aca="false">IF(A25="","",A25&amp;"_CAD.dwg")</f>
        <v/>
      </c>
      <c r="AB25" s="10" t="str">
        <f aca="false">IF(A25="","",A25&amp;"_DWG.pdf")</f>
        <v/>
      </c>
      <c r="AC25" s="10" t="str">
        <f aca="false">IF(A25="","",IF(Y25="Y",A25&amp;"_STAAD.std","n/a"))</f>
        <v/>
      </c>
      <c r="AD25" s="10" t="str">
        <f aca="false">IF(A25="","",A25&amp;"_CALC.xlsx")</f>
        <v/>
      </c>
      <c r="AE25" s="10" t="str">
        <f aca="false">IF(A25="","",A25&amp;"_CALC.pdf")</f>
        <v/>
      </c>
      <c r="AF25" s="9"/>
      <c r="AG25" s="9"/>
      <c r="AH25" s="41"/>
      <c r="AI25" s="41"/>
      <c r="AJ25" s="41"/>
      <c r="AK25" s="41"/>
      <c r="AL25" s="41"/>
      <c r="AM25" s="38" t="str">
        <f aca="false">IF(OR(C25="",G25=""),"",IF(G25&lt;=IF(OR(C25="Soldier Pile &amp; Timber Lagging",C25="Trench Shoring Box",C25="Open Cut (battered)"),SG_Criteria!$B$34,SG_Criteria!$B$33),"No ERSS submission",IF(G25&lt;=SG_Criteria!$B$35,"QP(ST)",IF(G25&lt;=SG_Criteria!$B$36,"QP(ST) + AC","Geotechnical building works: QP(Geo) + AC"))))</f>
        <v/>
      </c>
      <c r="AN25" s="38" t="str">
        <f aca="false">IF(C25="","",IF(LEN(IF(AND(Q25&lt;&gt;"",Q25&lt;SG_Criteria!$B$37),"FAIL: base stability FOS &lt; "&amp;SG_Criteria!$B$37&amp;". ","")&amp;IF(AND(D25="Manhole",G25&gt;SG_Criteria!$B$36),"NOTE: BCA lists sewer manholes (pipe &lt;= 2 m dia) &gt; 6 m as non-GBW: QP(ST) + AC. ","")&amp;IF(AND(C25="Trench Shoring Box",H25="Kallang Formation (marine clay)"),"NOTE: check base heave / ground loss for shoring box in marine clay. ","")&amp;IF(AND(C25="Steel Sheet Pile Cofferdam",N(M25)&lt;G25*0.5),"NOTE: short toe embedment, check. ",""))=0,"OK",IF(AND(Q25&lt;&gt;"",Q25&lt;SG_Criteria!$B$37),"FAIL: base stability FOS &lt; "&amp;SG_Criteria!$B$37&amp;". ","")&amp;IF(AND(D25="Manhole",G25&gt;SG_Criteria!$B$36),"NOTE: BCA lists sewer manholes (pipe &lt;= 2 m dia) &gt; 6 m as non-GBW: QP(ST) + AC. ","")&amp;IF(AND(C25="Trench Shoring Box",H25="Kallang Formation (marine clay)"),"NOTE: check base heave / ground loss for shoring box in marine clay. ","")&amp;IF(AND(C25="Steel Sheet Pile Cofferdam",N(M25)&lt;G25*0.5),"NOTE: short toe embedment, check. ","")))</f>
        <v/>
      </c>
      <c r="AO25" s="9"/>
      <c r="AP25" s="9"/>
      <c r="AQ25" s="9"/>
      <c r="AR25" s="9"/>
      <c r="AS25" s="9"/>
      <c r="AT25" s="31"/>
      <c r="AU25" s="10" t="str">
        <f aca="false">IF(C25="","",IF(AND(V25="Approved",ISERROR(SEARCH("FAIL",AN25))),"Y","N"))</f>
        <v/>
      </c>
      <c r="AV25" s="10" t="str">
        <f aca="false">IF(C25="","",C25&amp;"|"&amp;G25&amp;"|"&amp;E25&amp;"|"&amp;H25&amp;"|"&amp;AU25)</f>
        <v/>
      </c>
    </row>
    <row r="26" customFormat="false" ht="15" hidden="false" customHeight="false" outlineLevel="0" collapsed="false">
      <c r="A26" s="10" t="str">
        <f aca="false">IF(C26="","","ERSS-"&amp;IFERROR(VLOOKUP(C26,Lists!$AK$4:$AL$21,2,0),"??")&amp;"-"&amp;TEXT(E26,"0000")&amp;"x"&amp;TEXT(F26,"0000")&amp;"-D"&amp;TEXT(G26*1000,"0000")&amp;"-"&amp;IFERROR(VLOOKUP(H26,Lists!$Y$4:$Z$21,2,0),"??")&amp;"-"&amp;U26)</f>
        <v/>
      </c>
      <c r="B26" s="10" t="str">
        <f aca="false">IF(C26="","",C26&amp;" for "&amp;D26&amp;", "&amp;E26&amp;" x "&amp;F26&amp;" pit, "&amp;TEXT(G26,"0.0")&amp;" m deep, "&amp;H26)</f>
        <v/>
      </c>
      <c r="C26" s="9"/>
      <c r="D26" s="9"/>
      <c r="E26" s="40"/>
      <c r="F26" s="40"/>
      <c r="G26" s="43"/>
      <c r="H26" s="9"/>
      <c r="I26" s="43"/>
      <c r="J26" s="40"/>
      <c r="K26" s="9"/>
      <c r="L26" s="43"/>
      <c r="M26" s="43"/>
      <c r="N26" s="40"/>
      <c r="O26" s="9"/>
      <c r="P26" s="9"/>
      <c r="Q26" s="41"/>
      <c r="R26" s="9"/>
      <c r="S26" s="40"/>
      <c r="T26" s="9"/>
      <c r="U26" s="9"/>
      <c r="V26" s="9"/>
      <c r="W26" s="9"/>
      <c r="X26" s="9"/>
      <c r="Y26" s="9"/>
      <c r="Z26" s="10" t="str">
        <f aca="false">IF(A26="","",SG_Criteria!$B$6&amp;SG_Criteria!$B$11&amp;"\"&amp;A26&amp;"\")</f>
        <v/>
      </c>
      <c r="AA26" s="10" t="str">
        <f aca="false">IF(A26="","",A26&amp;"_CAD.dwg")</f>
        <v/>
      </c>
      <c r="AB26" s="10" t="str">
        <f aca="false">IF(A26="","",A26&amp;"_DWG.pdf")</f>
        <v/>
      </c>
      <c r="AC26" s="10" t="str">
        <f aca="false">IF(A26="","",IF(Y26="Y",A26&amp;"_STAAD.std","n/a"))</f>
        <v/>
      </c>
      <c r="AD26" s="10" t="str">
        <f aca="false">IF(A26="","",A26&amp;"_CALC.xlsx")</f>
        <v/>
      </c>
      <c r="AE26" s="10" t="str">
        <f aca="false">IF(A26="","",A26&amp;"_CALC.pdf")</f>
        <v/>
      </c>
      <c r="AF26" s="9"/>
      <c r="AG26" s="9"/>
      <c r="AH26" s="41"/>
      <c r="AI26" s="41"/>
      <c r="AJ26" s="41"/>
      <c r="AK26" s="41"/>
      <c r="AL26" s="41"/>
      <c r="AM26" s="38" t="str">
        <f aca="false">IF(OR(C26="",G26=""),"",IF(G26&lt;=IF(OR(C26="Soldier Pile &amp; Timber Lagging",C26="Trench Shoring Box",C26="Open Cut (battered)"),SG_Criteria!$B$34,SG_Criteria!$B$33),"No ERSS submission",IF(G26&lt;=SG_Criteria!$B$35,"QP(ST)",IF(G26&lt;=SG_Criteria!$B$36,"QP(ST) + AC","Geotechnical building works: QP(Geo) + AC"))))</f>
        <v/>
      </c>
      <c r="AN26" s="38" t="str">
        <f aca="false">IF(C26="","",IF(LEN(IF(AND(Q26&lt;&gt;"",Q26&lt;SG_Criteria!$B$37),"FAIL: base stability FOS &lt; "&amp;SG_Criteria!$B$37&amp;". ","")&amp;IF(AND(D26="Manhole",G26&gt;SG_Criteria!$B$36),"NOTE: BCA lists sewer manholes (pipe &lt;= 2 m dia) &gt; 6 m as non-GBW: QP(ST) + AC. ","")&amp;IF(AND(C26="Trench Shoring Box",H26="Kallang Formation (marine clay)"),"NOTE: check base heave / ground loss for shoring box in marine clay. ","")&amp;IF(AND(C26="Steel Sheet Pile Cofferdam",N(M26)&lt;G26*0.5),"NOTE: short toe embedment, check. ",""))=0,"OK",IF(AND(Q26&lt;&gt;"",Q26&lt;SG_Criteria!$B$37),"FAIL: base stability FOS &lt; "&amp;SG_Criteria!$B$37&amp;". ","")&amp;IF(AND(D26="Manhole",G26&gt;SG_Criteria!$B$36),"NOTE: BCA lists sewer manholes (pipe &lt;= 2 m dia) &gt; 6 m as non-GBW: QP(ST) + AC. ","")&amp;IF(AND(C26="Trench Shoring Box",H26="Kallang Formation (marine clay)"),"NOTE: check base heave / ground loss for shoring box in marine clay. ","")&amp;IF(AND(C26="Steel Sheet Pile Cofferdam",N(M26)&lt;G26*0.5),"NOTE: short toe embedment, check. ","")))</f>
        <v/>
      </c>
      <c r="AO26" s="9"/>
      <c r="AP26" s="9"/>
      <c r="AQ26" s="9"/>
      <c r="AR26" s="9"/>
      <c r="AS26" s="9"/>
      <c r="AT26" s="31"/>
      <c r="AU26" s="10" t="str">
        <f aca="false">IF(C26="","",IF(AND(V26="Approved",ISERROR(SEARCH("FAIL",AN26))),"Y","N"))</f>
        <v/>
      </c>
      <c r="AV26" s="10" t="str">
        <f aca="false">IF(C26="","",C26&amp;"|"&amp;G26&amp;"|"&amp;E26&amp;"|"&amp;H26&amp;"|"&amp;AU26)</f>
        <v/>
      </c>
    </row>
    <row r="27" customFormat="false" ht="15" hidden="false" customHeight="false" outlineLevel="0" collapsed="false">
      <c r="A27" s="10" t="str">
        <f aca="false">IF(C27="","","ERSS-"&amp;IFERROR(VLOOKUP(C27,Lists!$AK$4:$AL$21,2,0),"??")&amp;"-"&amp;TEXT(E27,"0000")&amp;"x"&amp;TEXT(F27,"0000")&amp;"-D"&amp;TEXT(G27*1000,"0000")&amp;"-"&amp;IFERROR(VLOOKUP(H27,Lists!$Y$4:$Z$21,2,0),"??")&amp;"-"&amp;U27)</f>
        <v/>
      </c>
      <c r="B27" s="10" t="str">
        <f aca="false">IF(C27="","",C27&amp;" for "&amp;D27&amp;", "&amp;E27&amp;" x "&amp;F27&amp;" pit, "&amp;TEXT(G27,"0.0")&amp;" m deep, "&amp;H27)</f>
        <v/>
      </c>
      <c r="C27" s="9"/>
      <c r="D27" s="9"/>
      <c r="E27" s="40"/>
      <c r="F27" s="40"/>
      <c r="G27" s="43"/>
      <c r="H27" s="9"/>
      <c r="I27" s="43"/>
      <c r="J27" s="40"/>
      <c r="K27" s="9"/>
      <c r="L27" s="43"/>
      <c r="M27" s="43"/>
      <c r="N27" s="40"/>
      <c r="O27" s="9"/>
      <c r="P27" s="9"/>
      <c r="Q27" s="41"/>
      <c r="R27" s="9"/>
      <c r="S27" s="40"/>
      <c r="T27" s="9"/>
      <c r="U27" s="9"/>
      <c r="V27" s="9"/>
      <c r="W27" s="9"/>
      <c r="X27" s="9"/>
      <c r="Y27" s="9"/>
      <c r="Z27" s="10" t="str">
        <f aca="false">IF(A27="","",SG_Criteria!$B$6&amp;SG_Criteria!$B$11&amp;"\"&amp;A27&amp;"\")</f>
        <v/>
      </c>
      <c r="AA27" s="10" t="str">
        <f aca="false">IF(A27="","",A27&amp;"_CAD.dwg")</f>
        <v/>
      </c>
      <c r="AB27" s="10" t="str">
        <f aca="false">IF(A27="","",A27&amp;"_DWG.pdf")</f>
        <v/>
      </c>
      <c r="AC27" s="10" t="str">
        <f aca="false">IF(A27="","",IF(Y27="Y",A27&amp;"_STAAD.std","n/a"))</f>
        <v/>
      </c>
      <c r="AD27" s="10" t="str">
        <f aca="false">IF(A27="","",A27&amp;"_CALC.xlsx")</f>
        <v/>
      </c>
      <c r="AE27" s="10" t="str">
        <f aca="false">IF(A27="","",A27&amp;"_CALC.pdf")</f>
        <v/>
      </c>
      <c r="AF27" s="9"/>
      <c r="AG27" s="9"/>
      <c r="AH27" s="41"/>
      <c r="AI27" s="41"/>
      <c r="AJ27" s="41"/>
      <c r="AK27" s="41"/>
      <c r="AL27" s="41"/>
      <c r="AM27" s="38" t="str">
        <f aca="false">IF(OR(C27="",G27=""),"",IF(G27&lt;=IF(OR(C27="Soldier Pile &amp; Timber Lagging",C27="Trench Shoring Box",C27="Open Cut (battered)"),SG_Criteria!$B$34,SG_Criteria!$B$33),"No ERSS submission",IF(G27&lt;=SG_Criteria!$B$35,"QP(ST)",IF(G27&lt;=SG_Criteria!$B$36,"QP(ST) + AC","Geotechnical building works: QP(Geo) + AC"))))</f>
        <v/>
      </c>
      <c r="AN27" s="38" t="str">
        <f aca="false">IF(C27="","",IF(LEN(IF(AND(Q27&lt;&gt;"",Q27&lt;SG_Criteria!$B$37),"FAIL: base stability FOS &lt; "&amp;SG_Criteria!$B$37&amp;". ","")&amp;IF(AND(D27="Manhole",G27&gt;SG_Criteria!$B$36),"NOTE: BCA lists sewer manholes (pipe &lt;= 2 m dia) &gt; 6 m as non-GBW: QP(ST) + AC. ","")&amp;IF(AND(C27="Trench Shoring Box",H27="Kallang Formation (marine clay)"),"NOTE: check base heave / ground loss for shoring box in marine clay. ","")&amp;IF(AND(C27="Steel Sheet Pile Cofferdam",N(M27)&lt;G27*0.5),"NOTE: short toe embedment, check. ",""))=0,"OK",IF(AND(Q27&lt;&gt;"",Q27&lt;SG_Criteria!$B$37),"FAIL: base stability FOS &lt; "&amp;SG_Criteria!$B$37&amp;". ","")&amp;IF(AND(D27="Manhole",G27&gt;SG_Criteria!$B$36),"NOTE: BCA lists sewer manholes (pipe &lt;= 2 m dia) &gt; 6 m as non-GBW: QP(ST) + AC. ","")&amp;IF(AND(C27="Trench Shoring Box",H27="Kallang Formation (marine clay)"),"NOTE: check base heave / ground loss for shoring box in marine clay. ","")&amp;IF(AND(C27="Steel Sheet Pile Cofferdam",N(M27)&lt;G27*0.5),"NOTE: short toe embedment, check. ","")))</f>
        <v/>
      </c>
      <c r="AO27" s="9"/>
      <c r="AP27" s="9"/>
      <c r="AQ27" s="9"/>
      <c r="AR27" s="9"/>
      <c r="AS27" s="9"/>
      <c r="AT27" s="31"/>
      <c r="AU27" s="10" t="str">
        <f aca="false">IF(C27="","",IF(AND(V27="Approved",ISERROR(SEARCH("FAIL",AN27))),"Y","N"))</f>
        <v/>
      </c>
      <c r="AV27" s="10" t="str">
        <f aca="false">IF(C27="","",C27&amp;"|"&amp;G27&amp;"|"&amp;E27&amp;"|"&amp;H27&amp;"|"&amp;AU27)</f>
        <v/>
      </c>
    </row>
    <row r="28" customFormat="false" ht="15" hidden="false" customHeight="false" outlineLevel="0" collapsed="false">
      <c r="A28" s="10" t="str">
        <f aca="false">IF(C28="","","ERSS-"&amp;IFERROR(VLOOKUP(C28,Lists!$AK$4:$AL$21,2,0),"??")&amp;"-"&amp;TEXT(E28,"0000")&amp;"x"&amp;TEXT(F28,"0000")&amp;"-D"&amp;TEXT(G28*1000,"0000")&amp;"-"&amp;IFERROR(VLOOKUP(H28,Lists!$Y$4:$Z$21,2,0),"??")&amp;"-"&amp;U28)</f>
        <v/>
      </c>
      <c r="B28" s="10" t="str">
        <f aca="false">IF(C28="","",C28&amp;" for "&amp;D28&amp;", "&amp;E28&amp;" x "&amp;F28&amp;" pit, "&amp;TEXT(G28,"0.0")&amp;" m deep, "&amp;H28)</f>
        <v/>
      </c>
      <c r="C28" s="9"/>
      <c r="D28" s="9"/>
      <c r="E28" s="40"/>
      <c r="F28" s="40"/>
      <c r="G28" s="43"/>
      <c r="H28" s="9"/>
      <c r="I28" s="43"/>
      <c r="J28" s="40"/>
      <c r="K28" s="9"/>
      <c r="L28" s="43"/>
      <c r="M28" s="43"/>
      <c r="N28" s="40"/>
      <c r="O28" s="9"/>
      <c r="P28" s="9"/>
      <c r="Q28" s="41"/>
      <c r="R28" s="9"/>
      <c r="S28" s="40"/>
      <c r="T28" s="9"/>
      <c r="U28" s="9"/>
      <c r="V28" s="9"/>
      <c r="W28" s="9"/>
      <c r="X28" s="9"/>
      <c r="Y28" s="9"/>
      <c r="Z28" s="10" t="str">
        <f aca="false">IF(A28="","",SG_Criteria!$B$6&amp;SG_Criteria!$B$11&amp;"\"&amp;A28&amp;"\")</f>
        <v/>
      </c>
      <c r="AA28" s="10" t="str">
        <f aca="false">IF(A28="","",A28&amp;"_CAD.dwg")</f>
        <v/>
      </c>
      <c r="AB28" s="10" t="str">
        <f aca="false">IF(A28="","",A28&amp;"_DWG.pdf")</f>
        <v/>
      </c>
      <c r="AC28" s="10" t="str">
        <f aca="false">IF(A28="","",IF(Y28="Y",A28&amp;"_STAAD.std","n/a"))</f>
        <v/>
      </c>
      <c r="AD28" s="10" t="str">
        <f aca="false">IF(A28="","",A28&amp;"_CALC.xlsx")</f>
        <v/>
      </c>
      <c r="AE28" s="10" t="str">
        <f aca="false">IF(A28="","",A28&amp;"_CALC.pdf")</f>
        <v/>
      </c>
      <c r="AF28" s="9"/>
      <c r="AG28" s="9"/>
      <c r="AH28" s="41"/>
      <c r="AI28" s="41"/>
      <c r="AJ28" s="41"/>
      <c r="AK28" s="41"/>
      <c r="AL28" s="41"/>
      <c r="AM28" s="38" t="str">
        <f aca="false">IF(OR(C28="",G28=""),"",IF(G28&lt;=IF(OR(C28="Soldier Pile &amp; Timber Lagging",C28="Trench Shoring Box",C28="Open Cut (battered)"),SG_Criteria!$B$34,SG_Criteria!$B$33),"No ERSS submission",IF(G28&lt;=SG_Criteria!$B$35,"QP(ST)",IF(G28&lt;=SG_Criteria!$B$36,"QP(ST) + AC","Geotechnical building works: QP(Geo) + AC"))))</f>
        <v/>
      </c>
      <c r="AN28" s="38" t="str">
        <f aca="false">IF(C28="","",IF(LEN(IF(AND(Q28&lt;&gt;"",Q28&lt;SG_Criteria!$B$37),"FAIL: base stability FOS &lt; "&amp;SG_Criteria!$B$37&amp;". ","")&amp;IF(AND(D28="Manhole",G28&gt;SG_Criteria!$B$36),"NOTE: BCA lists sewer manholes (pipe &lt;= 2 m dia) &gt; 6 m as non-GBW: QP(ST) + AC. ","")&amp;IF(AND(C28="Trench Shoring Box",H28="Kallang Formation (marine clay)"),"NOTE: check base heave / ground loss for shoring box in marine clay. ","")&amp;IF(AND(C28="Steel Sheet Pile Cofferdam",N(M28)&lt;G28*0.5),"NOTE: short toe embedment, check. ",""))=0,"OK",IF(AND(Q28&lt;&gt;"",Q28&lt;SG_Criteria!$B$37),"FAIL: base stability FOS &lt; "&amp;SG_Criteria!$B$37&amp;". ","")&amp;IF(AND(D28="Manhole",G28&gt;SG_Criteria!$B$36),"NOTE: BCA lists sewer manholes (pipe &lt;= 2 m dia) &gt; 6 m as non-GBW: QP(ST) + AC. ","")&amp;IF(AND(C28="Trench Shoring Box",H28="Kallang Formation (marine clay)"),"NOTE: check base heave / ground loss for shoring box in marine clay. ","")&amp;IF(AND(C28="Steel Sheet Pile Cofferdam",N(M28)&lt;G28*0.5),"NOTE: short toe embedment, check. ","")))</f>
        <v/>
      </c>
      <c r="AO28" s="9"/>
      <c r="AP28" s="9"/>
      <c r="AQ28" s="9"/>
      <c r="AR28" s="9"/>
      <c r="AS28" s="9"/>
      <c r="AT28" s="31"/>
      <c r="AU28" s="10" t="str">
        <f aca="false">IF(C28="","",IF(AND(V28="Approved",ISERROR(SEARCH("FAIL",AN28))),"Y","N"))</f>
        <v/>
      </c>
      <c r="AV28" s="10" t="str">
        <f aca="false">IF(C28="","",C28&amp;"|"&amp;G28&amp;"|"&amp;E28&amp;"|"&amp;H28&amp;"|"&amp;AU28)</f>
        <v/>
      </c>
    </row>
    <row r="29" customFormat="false" ht="15" hidden="false" customHeight="false" outlineLevel="0" collapsed="false">
      <c r="A29" s="10" t="str">
        <f aca="false">IF(C29="","","ERSS-"&amp;IFERROR(VLOOKUP(C29,Lists!$AK$4:$AL$21,2,0),"??")&amp;"-"&amp;TEXT(E29,"0000")&amp;"x"&amp;TEXT(F29,"0000")&amp;"-D"&amp;TEXT(G29*1000,"0000")&amp;"-"&amp;IFERROR(VLOOKUP(H29,Lists!$Y$4:$Z$21,2,0),"??")&amp;"-"&amp;U29)</f>
        <v/>
      </c>
      <c r="B29" s="10" t="str">
        <f aca="false">IF(C29="","",C29&amp;" for "&amp;D29&amp;", "&amp;E29&amp;" x "&amp;F29&amp;" pit, "&amp;TEXT(G29,"0.0")&amp;" m deep, "&amp;H29)</f>
        <v/>
      </c>
      <c r="C29" s="9"/>
      <c r="D29" s="9"/>
      <c r="E29" s="40"/>
      <c r="F29" s="40"/>
      <c r="G29" s="43"/>
      <c r="H29" s="9"/>
      <c r="I29" s="43"/>
      <c r="J29" s="40"/>
      <c r="K29" s="9"/>
      <c r="L29" s="43"/>
      <c r="M29" s="43"/>
      <c r="N29" s="40"/>
      <c r="O29" s="9"/>
      <c r="P29" s="9"/>
      <c r="Q29" s="41"/>
      <c r="R29" s="9"/>
      <c r="S29" s="40"/>
      <c r="T29" s="9"/>
      <c r="U29" s="9"/>
      <c r="V29" s="9"/>
      <c r="W29" s="9"/>
      <c r="X29" s="9"/>
      <c r="Y29" s="9"/>
      <c r="Z29" s="10" t="str">
        <f aca="false">IF(A29="","",SG_Criteria!$B$6&amp;SG_Criteria!$B$11&amp;"\"&amp;A29&amp;"\")</f>
        <v/>
      </c>
      <c r="AA29" s="10" t="str">
        <f aca="false">IF(A29="","",A29&amp;"_CAD.dwg")</f>
        <v/>
      </c>
      <c r="AB29" s="10" t="str">
        <f aca="false">IF(A29="","",A29&amp;"_DWG.pdf")</f>
        <v/>
      </c>
      <c r="AC29" s="10" t="str">
        <f aca="false">IF(A29="","",IF(Y29="Y",A29&amp;"_STAAD.std","n/a"))</f>
        <v/>
      </c>
      <c r="AD29" s="10" t="str">
        <f aca="false">IF(A29="","",A29&amp;"_CALC.xlsx")</f>
        <v/>
      </c>
      <c r="AE29" s="10" t="str">
        <f aca="false">IF(A29="","",A29&amp;"_CALC.pdf")</f>
        <v/>
      </c>
      <c r="AF29" s="9"/>
      <c r="AG29" s="9"/>
      <c r="AH29" s="41"/>
      <c r="AI29" s="41"/>
      <c r="AJ29" s="41"/>
      <c r="AK29" s="41"/>
      <c r="AL29" s="41"/>
      <c r="AM29" s="38" t="str">
        <f aca="false">IF(OR(C29="",G29=""),"",IF(G29&lt;=IF(OR(C29="Soldier Pile &amp; Timber Lagging",C29="Trench Shoring Box",C29="Open Cut (battered)"),SG_Criteria!$B$34,SG_Criteria!$B$33),"No ERSS submission",IF(G29&lt;=SG_Criteria!$B$35,"QP(ST)",IF(G29&lt;=SG_Criteria!$B$36,"QP(ST) + AC","Geotechnical building works: QP(Geo) + AC"))))</f>
        <v/>
      </c>
      <c r="AN29" s="38" t="str">
        <f aca="false">IF(C29="","",IF(LEN(IF(AND(Q29&lt;&gt;"",Q29&lt;SG_Criteria!$B$37),"FAIL: base stability FOS &lt; "&amp;SG_Criteria!$B$37&amp;". ","")&amp;IF(AND(D29="Manhole",G29&gt;SG_Criteria!$B$36),"NOTE: BCA lists sewer manholes (pipe &lt;= 2 m dia) &gt; 6 m as non-GBW: QP(ST) + AC. ","")&amp;IF(AND(C29="Trench Shoring Box",H29="Kallang Formation (marine clay)"),"NOTE: check base heave / ground loss for shoring box in marine clay. ","")&amp;IF(AND(C29="Steel Sheet Pile Cofferdam",N(M29)&lt;G29*0.5),"NOTE: short toe embedment, check. ",""))=0,"OK",IF(AND(Q29&lt;&gt;"",Q29&lt;SG_Criteria!$B$37),"FAIL: base stability FOS &lt; "&amp;SG_Criteria!$B$37&amp;". ","")&amp;IF(AND(D29="Manhole",G29&gt;SG_Criteria!$B$36),"NOTE: BCA lists sewer manholes (pipe &lt;= 2 m dia) &gt; 6 m as non-GBW: QP(ST) + AC. ","")&amp;IF(AND(C29="Trench Shoring Box",H29="Kallang Formation (marine clay)"),"NOTE: check base heave / ground loss for shoring box in marine clay. ","")&amp;IF(AND(C29="Steel Sheet Pile Cofferdam",N(M29)&lt;G29*0.5),"NOTE: short toe embedment, check. ","")))</f>
        <v/>
      </c>
      <c r="AO29" s="9"/>
      <c r="AP29" s="9"/>
      <c r="AQ29" s="9"/>
      <c r="AR29" s="9"/>
      <c r="AS29" s="9"/>
      <c r="AT29" s="31"/>
      <c r="AU29" s="10" t="str">
        <f aca="false">IF(C29="","",IF(AND(V29="Approved",ISERROR(SEARCH("FAIL",AN29))),"Y","N"))</f>
        <v/>
      </c>
      <c r="AV29" s="10" t="str">
        <f aca="false">IF(C29="","",C29&amp;"|"&amp;G29&amp;"|"&amp;E29&amp;"|"&amp;H29&amp;"|"&amp;AU29)</f>
        <v/>
      </c>
    </row>
    <row r="30" customFormat="false" ht="15" hidden="false" customHeight="false" outlineLevel="0" collapsed="false">
      <c r="A30" s="10" t="str">
        <f aca="false">IF(C30="","","ERSS-"&amp;IFERROR(VLOOKUP(C30,Lists!$AK$4:$AL$21,2,0),"??")&amp;"-"&amp;TEXT(E30,"0000")&amp;"x"&amp;TEXT(F30,"0000")&amp;"-D"&amp;TEXT(G30*1000,"0000")&amp;"-"&amp;IFERROR(VLOOKUP(H30,Lists!$Y$4:$Z$21,2,0),"??")&amp;"-"&amp;U30)</f>
        <v/>
      </c>
      <c r="B30" s="10" t="str">
        <f aca="false">IF(C30="","",C30&amp;" for "&amp;D30&amp;", "&amp;E30&amp;" x "&amp;F30&amp;" pit, "&amp;TEXT(G30,"0.0")&amp;" m deep, "&amp;H30)</f>
        <v/>
      </c>
      <c r="C30" s="9"/>
      <c r="D30" s="9"/>
      <c r="E30" s="40"/>
      <c r="F30" s="40"/>
      <c r="G30" s="43"/>
      <c r="H30" s="9"/>
      <c r="I30" s="43"/>
      <c r="J30" s="40"/>
      <c r="K30" s="9"/>
      <c r="L30" s="43"/>
      <c r="M30" s="43"/>
      <c r="N30" s="40"/>
      <c r="O30" s="9"/>
      <c r="P30" s="9"/>
      <c r="Q30" s="41"/>
      <c r="R30" s="9"/>
      <c r="S30" s="40"/>
      <c r="T30" s="9"/>
      <c r="U30" s="9"/>
      <c r="V30" s="9"/>
      <c r="W30" s="9"/>
      <c r="X30" s="9"/>
      <c r="Y30" s="9"/>
      <c r="Z30" s="10" t="str">
        <f aca="false">IF(A30="","",SG_Criteria!$B$6&amp;SG_Criteria!$B$11&amp;"\"&amp;A30&amp;"\")</f>
        <v/>
      </c>
      <c r="AA30" s="10" t="str">
        <f aca="false">IF(A30="","",A30&amp;"_CAD.dwg")</f>
        <v/>
      </c>
      <c r="AB30" s="10" t="str">
        <f aca="false">IF(A30="","",A30&amp;"_DWG.pdf")</f>
        <v/>
      </c>
      <c r="AC30" s="10" t="str">
        <f aca="false">IF(A30="","",IF(Y30="Y",A30&amp;"_STAAD.std","n/a"))</f>
        <v/>
      </c>
      <c r="AD30" s="10" t="str">
        <f aca="false">IF(A30="","",A30&amp;"_CALC.xlsx")</f>
        <v/>
      </c>
      <c r="AE30" s="10" t="str">
        <f aca="false">IF(A30="","",A30&amp;"_CALC.pdf")</f>
        <v/>
      </c>
      <c r="AF30" s="9"/>
      <c r="AG30" s="9"/>
      <c r="AH30" s="41"/>
      <c r="AI30" s="41"/>
      <c r="AJ30" s="41"/>
      <c r="AK30" s="41"/>
      <c r="AL30" s="41"/>
      <c r="AM30" s="38" t="str">
        <f aca="false">IF(OR(C30="",G30=""),"",IF(G30&lt;=IF(OR(C30="Soldier Pile &amp; Timber Lagging",C30="Trench Shoring Box",C30="Open Cut (battered)"),SG_Criteria!$B$34,SG_Criteria!$B$33),"No ERSS submission",IF(G30&lt;=SG_Criteria!$B$35,"QP(ST)",IF(G30&lt;=SG_Criteria!$B$36,"QP(ST) + AC","Geotechnical building works: QP(Geo) + AC"))))</f>
        <v/>
      </c>
      <c r="AN30" s="38" t="str">
        <f aca="false">IF(C30="","",IF(LEN(IF(AND(Q30&lt;&gt;"",Q30&lt;SG_Criteria!$B$37),"FAIL: base stability FOS &lt; "&amp;SG_Criteria!$B$37&amp;". ","")&amp;IF(AND(D30="Manhole",G30&gt;SG_Criteria!$B$36),"NOTE: BCA lists sewer manholes (pipe &lt;= 2 m dia) &gt; 6 m as non-GBW: QP(ST) + AC. ","")&amp;IF(AND(C30="Trench Shoring Box",H30="Kallang Formation (marine clay)"),"NOTE: check base heave / ground loss for shoring box in marine clay. ","")&amp;IF(AND(C30="Steel Sheet Pile Cofferdam",N(M30)&lt;G30*0.5),"NOTE: short toe embedment, check. ",""))=0,"OK",IF(AND(Q30&lt;&gt;"",Q30&lt;SG_Criteria!$B$37),"FAIL: base stability FOS &lt; "&amp;SG_Criteria!$B$37&amp;". ","")&amp;IF(AND(D30="Manhole",G30&gt;SG_Criteria!$B$36),"NOTE: BCA lists sewer manholes (pipe &lt;= 2 m dia) &gt; 6 m as non-GBW: QP(ST) + AC. ","")&amp;IF(AND(C30="Trench Shoring Box",H30="Kallang Formation (marine clay)"),"NOTE: check base heave / ground loss for shoring box in marine clay. ","")&amp;IF(AND(C30="Steel Sheet Pile Cofferdam",N(M30)&lt;G30*0.5),"NOTE: short toe embedment, check. ","")))</f>
        <v/>
      </c>
      <c r="AO30" s="9"/>
      <c r="AP30" s="9"/>
      <c r="AQ30" s="9"/>
      <c r="AR30" s="9"/>
      <c r="AS30" s="9"/>
      <c r="AT30" s="31"/>
      <c r="AU30" s="10" t="str">
        <f aca="false">IF(C30="","",IF(AND(V30="Approved",ISERROR(SEARCH("FAIL",AN30))),"Y","N"))</f>
        <v/>
      </c>
      <c r="AV30" s="10" t="str">
        <f aca="false">IF(C30="","",C30&amp;"|"&amp;G30&amp;"|"&amp;E30&amp;"|"&amp;H30&amp;"|"&amp;AU30)</f>
        <v/>
      </c>
    </row>
    <row r="31" customFormat="false" ht="15" hidden="false" customHeight="false" outlineLevel="0" collapsed="false">
      <c r="A31" s="10" t="str">
        <f aca="false">IF(C31="","","ERSS-"&amp;IFERROR(VLOOKUP(C31,Lists!$AK$4:$AL$21,2,0),"??")&amp;"-"&amp;TEXT(E31,"0000")&amp;"x"&amp;TEXT(F31,"0000")&amp;"-D"&amp;TEXT(G31*1000,"0000")&amp;"-"&amp;IFERROR(VLOOKUP(H31,Lists!$Y$4:$Z$21,2,0),"??")&amp;"-"&amp;U31)</f>
        <v/>
      </c>
      <c r="B31" s="10" t="str">
        <f aca="false">IF(C31="","",C31&amp;" for "&amp;D31&amp;", "&amp;E31&amp;" x "&amp;F31&amp;" pit, "&amp;TEXT(G31,"0.0")&amp;" m deep, "&amp;H31)</f>
        <v/>
      </c>
      <c r="C31" s="9"/>
      <c r="D31" s="9"/>
      <c r="E31" s="40"/>
      <c r="F31" s="40"/>
      <c r="G31" s="43"/>
      <c r="H31" s="9"/>
      <c r="I31" s="43"/>
      <c r="J31" s="40"/>
      <c r="K31" s="9"/>
      <c r="L31" s="43"/>
      <c r="M31" s="43"/>
      <c r="N31" s="40"/>
      <c r="O31" s="9"/>
      <c r="P31" s="9"/>
      <c r="Q31" s="41"/>
      <c r="R31" s="9"/>
      <c r="S31" s="40"/>
      <c r="T31" s="9"/>
      <c r="U31" s="9"/>
      <c r="V31" s="9"/>
      <c r="W31" s="9"/>
      <c r="X31" s="9"/>
      <c r="Y31" s="9"/>
      <c r="Z31" s="10" t="str">
        <f aca="false">IF(A31="","",SG_Criteria!$B$6&amp;SG_Criteria!$B$11&amp;"\"&amp;A31&amp;"\")</f>
        <v/>
      </c>
      <c r="AA31" s="10" t="str">
        <f aca="false">IF(A31="","",A31&amp;"_CAD.dwg")</f>
        <v/>
      </c>
      <c r="AB31" s="10" t="str">
        <f aca="false">IF(A31="","",A31&amp;"_DWG.pdf")</f>
        <v/>
      </c>
      <c r="AC31" s="10" t="str">
        <f aca="false">IF(A31="","",IF(Y31="Y",A31&amp;"_STAAD.std","n/a"))</f>
        <v/>
      </c>
      <c r="AD31" s="10" t="str">
        <f aca="false">IF(A31="","",A31&amp;"_CALC.xlsx")</f>
        <v/>
      </c>
      <c r="AE31" s="10" t="str">
        <f aca="false">IF(A31="","",A31&amp;"_CALC.pdf")</f>
        <v/>
      </c>
      <c r="AF31" s="9"/>
      <c r="AG31" s="9"/>
      <c r="AH31" s="41"/>
      <c r="AI31" s="41"/>
      <c r="AJ31" s="41"/>
      <c r="AK31" s="41"/>
      <c r="AL31" s="41"/>
      <c r="AM31" s="38" t="str">
        <f aca="false">IF(OR(C31="",G31=""),"",IF(G31&lt;=IF(OR(C31="Soldier Pile &amp; Timber Lagging",C31="Trench Shoring Box",C31="Open Cut (battered)"),SG_Criteria!$B$34,SG_Criteria!$B$33),"No ERSS submission",IF(G31&lt;=SG_Criteria!$B$35,"QP(ST)",IF(G31&lt;=SG_Criteria!$B$36,"QP(ST) + AC","Geotechnical building works: QP(Geo) + AC"))))</f>
        <v/>
      </c>
      <c r="AN31" s="38" t="str">
        <f aca="false">IF(C31="","",IF(LEN(IF(AND(Q31&lt;&gt;"",Q31&lt;SG_Criteria!$B$37),"FAIL: base stability FOS &lt; "&amp;SG_Criteria!$B$37&amp;". ","")&amp;IF(AND(D31="Manhole",G31&gt;SG_Criteria!$B$36),"NOTE: BCA lists sewer manholes (pipe &lt;= 2 m dia) &gt; 6 m as non-GBW: QP(ST) + AC. ","")&amp;IF(AND(C31="Trench Shoring Box",H31="Kallang Formation (marine clay)"),"NOTE: check base heave / ground loss for shoring box in marine clay. ","")&amp;IF(AND(C31="Steel Sheet Pile Cofferdam",N(M31)&lt;G31*0.5),"NOTE: short toe embedment, check. ",""))=0,"OK",IF(AND(Q31&lt;&gt;"",Q31&lt;SG_Criteria!$B$37),"FAIL: base stability FOS &lt; "&amp;SG_Criteria!$B$37&amp;". ","")&amp;IF(AND(D31="Manhole",G31&gt;SG_Criteria!$B$36),"NOTE: BCA lists sewer manholes (pipe &lt;= 2 m dia) &gt; 6 m as non-GBW: QP(ST) + AC. ","")&amp;IF(AND(C31="Trench Shoring Box",H31="Kallang Formation (marine clay)"),"NOTE: check base heave / ground loss for shoring box in marine clay. ","")&amp;IF(AND(C31="Steel Sheet Pile Cofferdam",N(M31)&lt;G31*0.5),"NOTE: short toe embedment, check. ","")))</f>
        <v/>
      </c>
      <c r="AO31" s="9"/>
      <c r="AP31" s="9"/>
      <c r="AQ31" s="9"/>
      <c r="AR31" s="9"/>
      <c r="AS31" s="9"/>
      <c r="AT31" s="31"/>
      <c r="AU31" s="10" t="str">
        <f aca="false">IF(C31="","",IF(AND(V31="Approved",ISERROR(SEARCH("FAIL",AN31))),"Y","N"))</f>
        <v/>
      </c>
      <c r="AV31" s="10" t="str">
        <f aca="false">IF(C31="","",C31&amp;"|"&amp;G31&amp;"|"&amp;E31&amp;"|"&amp;H31&amp;"|"&amp;AU31)</f>
        <v/>
      </c>
    </row>
    <row r="32" customFormat="false" ht="15" hidden="false" customHeight="false" outlineLevel="0" collapsed="false">
      <c r="A32" s="10" t="str">
        <f aca="false">IF(C32="","","ERSS-"&amp;IFERROR(VLOOKUP(C32,Lists!$AK$4:$AL$21,2,0),"??")&amp;"-"&amp;TEXT(E32,"0000")&amp;"x"&amp;TEXT(F32,"0000")&amp;"-D"&amp;TEXT(G32*1000,"0000")&amp;"-"&amp;IFERROR(VLOOKUP(H32,Lists!$Y$4:$Z$21,2,0),"??")&amp;"-"&amp;U32)</f>
        <v/>
      </c>
      <c r="B32" s="10" t="str">
        <f aca="false">IF(C32="","",C32&amp;" for "&amp;D32&amp;", "&amp;E32&amp;" x "&amp;F32&amp;" pit, "&amp;TEXT(G32,"0.0")&amp;" m deep, "&amp;H32)</f>
        <v/>
      </c>
      <c r="C32" s="9"/>
      <c r="D32" s="9"/>
      <c r="E32" s="40"/>
      <c r="F32" s="40"/>
      <c r="G32" s="43"/>
      <c r="H32" s="9"/>
      <c r="I32" s="43"/>
      <c r="J32" s="40"/>
      <c r="K32" s="9"/>
      <c r="L32" s="43"/>
      <c r="M32" s="43"/>
      <c r="N32" s="40"/>
      <c r="O32" s="9"/>
      <c r="P32" s="9"/>
      <c r="Q32" s="41"/>
      <c r="R32" s="9"/>
      <c r="S32" s="40"/>
      <c r="T32" s="9"/>
      <c r="U32" s="9"/>
      <c r="V32" s="9"/>
      <c r="W32" s="9"/>
      <c r="X32" s="9"/>
      <c r="Y32" s="9"/>
      <c r="Z32" s="10" t="str">
        <f aca="false">IF(A32="","",SG_Criteria!$B$6&amp;SG_Criteria!$B$11&amp;"\"&amp;A32&amp;"\")</f>
        <v/>
      </c>
      <c r="AA32" s="10" t="str">
        <f aca="false">IF(A32="","",A32&amp;"_CAD.dwg")</f>
        <v/>
      </c>
      <c r="AB32" s="10" t="str">
        <f aca="false">IF(A32="","",A32&amp;"_DWG.pdf")</f>
        <v/>
      </c>
      <c r="AC32" s="10" t="str">
        <f aca="false">IF(A32="","",IF(Y32="Y",A32&amp;"_STAAD.std","n/a"))</f>
        <v/>
      </c>
      <c r="AD32" s="10" t="str">
        <f aca="false">IF(A32="","",A32&amp;"_CALC.xlsx")</f>
        <v/>
      </c>
      <c r="AE32" s="10" t="str">
        <f aca="false">IF(A32="","",A32&amp;"_CALC.pdf")</f>
        <v/>
      </c>
      <c r="AF32" s="9"/>
      <c r="AG32" s="9"/>
      <c r="AH32" s="41"/>
      <c r="AI32" s="41"/>
      <c r="AJ32" s="41"/>
      <c r="AK32" s="41"/>
      <c r="AL32" s="41"/>
      <c r="AM32" s="38" t="str">
        <f aca="false">IF(OR(C32="",G32=""),"",IF(G32&lt;=IF(OR(C32="Soldier Pile &amp; Timber Lagging",C32="Trench Shoring Box",C32="Open Cut (battered)"),SG_Criteria!$B$34,SG_Criteria!$B$33),"No ERSS submission",IF(G32&lt;=SG_Criteria!$B$35,"QP(ST)",IF(G32&lt;=SG_Criteria!$B$36,"QP(ST) + AC","Geotechnical building works: QP(Geo) + AC"))))</f>
        <v/>
      </c>
      <c r="AN32" s="38" t="str">
        <f aca="false">IF(C32="","",IF(LEN(IF(AND(Q32&lt;&gt;"",Q32&lt;SG_Criteria!$B$37),"FAIL: base stability FOS &lt; "&amp;SG_Criteria!$B$37&amp;". ","")&amp;IF(AND(D32="Manhole",G32&gt;SG_Criteria!$B$36),"NOTE: BCA lists sewer manholes (pipe &lt;= 2 m dia) &gt; 6 m as non-GBW: QP(ST) + AC. ","")&amp;IF(AND(C32="Trench Shoring Box",H32="Kallang Formation (marine clay)"),"NOTE: check base heave / ground loss for shoring box in marine clay. ","")&amp;IF(AND(C32="Steel Sheet Pile Cofferdam",N(M32)&lt;G32*0.5),"NOTE: short toe embedment, check. ",""))=0,"OK",IF(AND(Q32&lt;&gt;"",Q32&lt;SG_Criteria!$B$37),"FAIL: base stability FOS &lt; "&amp;SG_Criteria!$B$37&amp;". ","")&amp;IF(AND(D32="Manhole",G32&gt;SG_Criteria!$B$36),"NOTE: BCA lists sewer manholes (pipe &lt;= 2 m dia) &gt; 6 m as non-GBW: QP(ST) + AC. ","")&amp;IF(AND(C32="Trench Shoring Box",H32="Kallang Formation (marine clay)"),"NOTE: check base heave / ground loss for shoring box in marine clay. ","")&amp;IF(AND(C32="Steel Sheet Pile Cofferdam",N(M32)&lt;G32*0.5),"NOTE: short toe embedment, check. ","")))</f>
        <v/>
      </c>
      <c r="AO32" s="9"/>
      <c r="AP32" s="9"/>
      <c r="AQ32" s="9"/>
      <c r="AR32" s="9"/>
      <c r="AS32" s="9"/>
      <c r="AT32" s="31"/>
      <c r="AU32" s="10" t="str">
        <f aca="false">IF(C32="","",IF(AND(V32="Approved",ISERROR(SEARCH("FAIL",AN32))),"Y","N"))</f>
        <v/>
      </c>
      <c r="AV32" s="10" t="str">
        <f aca="false">IF(C32="","",C32&amp;"|"&amp;G32&amp;"|"&amp;E32&amp;"|"&amp;H32&amp;"|"&amp;AU32)</f>
        <v/>
      </c>
    </row>
    <row r="33" customFormat="false" ht="15" hidden="false" customHeight="false" outlineLevel="0" collapsed="false">
      <c r="A33" s="10" t="str">
        <f aca="false">IF(C33="","","ERSS-"&amp;IFERROR(VLOOKUP(C33,Lists!$AK$4:$AL$21,2,0),"??")&amp;"-"&amp;TEXT(E33,"0000")&amp;"x"&amp;TEXT(F33,"0000")&amp;"-D"&amp;TEXT(G33*1000,"0000")&amp;"-"&amp;IFERROR(VLOOKUP(H33,Lists!$Y$4:$Z$21,2,0),"??")&amp;"-"&amp;U33)</f>
        <v/>
      </c>
      <c r="B33" s="10" t="str">
        <f aca="false">IF(C33="","",C33&amp;" for "&amp;D33&amp;", "&amp;E33&amp;" x "&amp;F33&amp;" pit, "&amp;TEXT(G33,"0.0")&amp;" m deep, "&amp;H33)</f>
        <v/>
      </c>
      <c r="C33" s="9"/>
      <c r="D33" s="9"/>
      <c r="E33" s="40"/>
      <c r="F33" s="40"/>
      <c r="G33" s="43"/>
      <c r="H33" s="9"/>
      <c r="I33" s="43"/>
      <c r="J33" s="40"/>
      <c r="K33" s="9"/>
      <c r="L33" s="43"/>
      <c r="M33" s="43"/>
      <c r="N33" s="40"/>
      <c r="O33" s="9"/>
      <c r="P33" s="9"/>
      <c r="Q33" s="41"/>
      <c r="R33" s="9"/>
      <c r="S33" s="40"/>
      <c r="T33" s="9"/>
      <c r="U33" s="9"/>
      <c r="V33" s="9"/>
      <c r="W33" s="9"/>
      <c r="X33" s="9"/>
      <c r="Y33" s="9"/>
      <c r="Z33" s="10" t="str">
        <f aca="false">IF(A33="","",SG_Criteria!$B$6&amp;SG_Criteria!$B$11&amp;"\"&amp;A33&amp;"\")</f>
        <v/>
      </c>
      <c r="AA33" s="10" t="str">
        <f aca="false">IF(A33="","",A33&amp;"_CAD.dwg")</f>
        <v/>
      </c>
      <c r="AB33" s="10" t="str">
        <f aca="false">IF(A33="","",A33&amp;"_DWG.pdf")</f>
        <v/>
      </c>
      <c r="AC33" s="10" t="str">
        <f aca="false">IF(A33="","",IF(Y33="Y",A33&amp;"_STAAD.std","n/a"))</f>
        <v/>
      </c>
      <c r="AD33" s="10" t="str">
        <f aca="false">IF(A33="","",A33&amp;"_CALC.xlsx")</f>
        <v/>
      </c>
      <c r="AE33" s="10" t="str">
        <f aca="false">IF(A33="","",A33&amp;"_CALC.pdf")</f>
        <v/>
      </c>
      <c r="AF33" s="9"/>
      <c r="AG33" s="9"/>
      <c r="AH33" s="41"/>
      <c r="AI33" s="41"/>
      <c r="AJ33" s="41"/>
      <c r="AK33" s="41"/>
      <c r="AL33" s="41"/>
      <c r="AM33" s="38" t="str">
        <f aca="false">IF(OR(C33="",G33=""),"",IF(G33&lt;=IF(OR(C33="Soldier Pile &amp; Timber Lagging",C33="Trench Shoring Box",C33="Open Cut (battered)"),SG_Criteria!$B$34,SG_Criteria!$B$33),"No ERSS submission",IF(G33&lt;=SG_Criteria!$B$35,"QP(ST)",IF(G33&lt;=SG_Criteria!$B$36,"QP(ST) + AC","Geotechnical building works: QP(Geo) + AC"))))</f>
        <v/>
      </c>
      <c r="AN33" s="38" t="str">
        <f aca="false">IF(C33="","",IF(LEN(IF(AND(Q33&lt;&gt;"",Q33&lt;SG_Criteria!$B$37),"FAIL: base stability FOS &lt; "&amp;SG_Criteria!$B$37&amp;". ","")&amp;IF(AND(D33="Manhole",G33&gt;SG_Criteria!$B$36),"NOTE: BCA lists sewer manholes (pipe &lt;= 2 m dia) &gt; 6 m as non-GBW: QP(ST) + AC. ","")&amp;IF(AND(C33="Trench Shoring Box",H33="Kallang Formation (marine clay)"),"NOTE: check base heave / ground loss for shoring box in marine clay. ","")&amp;IF(AND(C33="Steel Sheet Pile Cofferdam",N(M33)&lt;G33*0.5),"NOTE: short toe embedment, check. ",""))=0,"OK",IF(AND(Q33&lt;&gt;"",Q33&lt;SG_Criteria!$B$37),"FAIL: base stability FOS &lt; "&amp;SG_Criteria!$B$37&amp;". ","")&amp;IF(AND(D33="Manhole",G33&gt;SG_Criteria!$B$36),"NOTE: BCA lists sewer manholes (pipe &lt;= 2 m dia) &gt; 6 m as non-GBW: QP(ST) + AC. ","")&amp;IF(AND(C33="Trench Shoring Box",H33="Kallang Formation (marine clay)"),"NOTE: check base heave / ground loss for shoring box in marine clay. ","")&amp;IF(AND(C33="Steel Sheet Pile Cofferdam",N(M33)&lt;G33*0.5),"NOTE: short toe embedment, check. ","")))</f>
        <v/>
      </c>
      <c r="AO33" s="9"/>
      <c r="AP33" s="9"/>
      <c r="AQ33" s="9"/>
      <c r="AR33" s="9"/>
      <c r="AS33" s="9"/>
      <c r="AT33" s="31"/>
      <c r="AU33" s="10" t="str">
        <f aca="false">IF(C33="","",IF(AND(V33="Approved",ISERROR(SEARCH("FAIL",AN33))),"Y","N"))</f>
        <v/>
      </c>
      <c r="AV33" s="10" t="str">
        <f aca="false">IF(C33="","",C33&amp;"|"&amp;G33&amp;"|"&amp;E33&amp;"|"&amp;H33&amp;"|"&amp;AU33)</f>
        <v/>
      </c>
    </row>
    <row r="34" customFormat="false" ht="15" hidden="false" customHeight="false" outlineLevel="0" collapsed="false">
      <c r="A34" s="10" t="str">
        <f aca="false">IF(C34="","","ERSS-"&amp;IFERROR(VLOOKUP(C34,Lists!$AK$4:$AL$21,2,0),"??")&amp;"-"&amp;TEXT(E34,"0000")&amp;"x"&amp;TEXT(F34,"0000")&amp;"-D"&amp;TEXT(G34*1000,"0000")&amp;"-"&amp;IFERROR(VLOOKUP(H34,Lists!$Y$4:$Z$21,2,0),"??")&amp;"-"&amp;U34)</f>
        <v/>
      </c>
      <c r="B34" s="10" t="str">
        <f aca="false">IF(C34="","",C34&amp;" for "&amp;D34&amp;", "&amp;E34&amp;" x "&amp;F34&amp;" pit, "&amp;TEXT(G34,"0.0")&amp;" m deep, "&amp;H34)</f>
        <v/>
      </c>
      <c r="C34" s="9"/>
      <c r="D34" s="9"/>
      <c r="E34" s="40"/>
      <c r="F34" s="40"/>
      <c r="G34" s="43"/>
      <c r="H34" s="9"/>
      <c r="I34" s="43"/>
      <c r="J34" s="40"/>
      <c r="K34" s="9"/>
      <c r="L34" s="43"/>
      <c r="M34" s="43"/>
      <c r="N34" s="40"/>
      <c r="O34" s="9"/>
      <c r="P34" s="9"/>
      <c r="Q34" s="41"/>
      <c r="R34" s="9"/>
      <c r="S34" s="40"/>
      <c r="T34" s="9"/>
      <c r="U34" s="9"/>
      <c r="V34" s="9"/>
      <c r="W34" s="9"/>
      <c r="X34" s="9"/>
      <c r="Y34" s="9"/>
      <c r="Z34" s="10" t="str">
        <f aca="false">IF(A34="","",SG_Criteria!$B$6&amp;SG_Criteria!$B$11&amp;"\"&amp;A34&amp;"\")</f>
        <v/>
      </c>
      <c r="AA34" s="10" t="str">
        <f aca="false">IF(A34="","",A34&amp;"_CAD.dwg")</f>
        <v/>
      </c>
      <c r="AB34" s="10" t="str">
        <f aca="false">IF(A34="","",A34&amp;"_DWG.pdf")</f>
        <v/>
      </c>
      <c r="AC34" s="10" t="str">
        <f aca="false">IF(A34="","",IF(Y34="Y",A34&amp;"_STAAD.std","n/a"))</f>
        <v/>
      </c>
      <c r="AD34" s="10" t="str">
        <f aca="false">IF(A34="","",A34&amp;"_CALC.xlsx")</f>
        <v/>
      </c>
      <c r="AE34" s="10" t="str">
        <f aca="false">IF(A34="","",A34&amp;"_CALC.pdf")</f>
        <v/>
      </c>
      <c r="AF34" s="9"/>
      <c r="AG34" s="9"/>
      <c r="AH34" s="41"/>
      <c r="AI34" s="41"/>
      <c r="AJ34" s="41"/>
      <c r="AK34" s="41"/>
      <c r="AL34" s="41"/>
      <c r="AM34" s="38" t="str">
        <f aca="false">IF(OR(C34="",G34=""),"",IF(G34&lt;=IF(OR(C34="Soldier Pile &amp; Timber Lagging",C34="Trench Shoring Box",C34="Open Cut (battered)"),SG_Criteria!$B$34,SG_Criteria!$B$33),"No ERSS submission",IF(G34&lt;=SG_Criteria!$B$35,"QP(ST)",IF(G34&lt;=SG_Criteria!$B$36,"QP(ST) + AC","Geotechnical building works: QP(Geo) + AC"))))</f>
        <v/>
      </c>
      <c r="AN34" s="38" t="str">
        <f aca="false">IF(C34="","",IF(LEN(IF(AND(Q34&lt;&gt;"",Q34&lt;SG_Criteria!$B$37),"FAIL: base stability FOS &lt; "&amp;SG_Criteria!$B$37&amp;". ","")&amp;IF(AND(D34="Manhole",G34&gt;SG_Criteria!$B$36),"NOTE: BCA lists sewer manholes (pipe &lt;= 2 m dia) &gt; 6 m as non-GBW: QP(ST) + AC. ","")&amp;IF(AND(C34="Trench Shoring Box",H34="Kallang Formation (marine clay)"),"NOTE: check base heave / ground loss for shoring box in marine clay. ","")&amp;IF(AND(C34="Steel Sheet Pile Cofferdam",N(M34)&lt;G34*0.5),"NOTE: short toe embedment, check. ",""))=0,"OK",IF(AND(Q34&lt;&gt;"",Q34&lt;SG_Criteria!$B$37),"FAIL: base stability FOS &lt; "&amp;SG_Criteria!$B$37&amp;". ","")&amp;IF(AND(D34="Manhole",G34&gt;SG_Criteria!$B$36),"NOTE: BCA lists sewer manholes (pipe &lt;= 2 m dia) &gt; 6 m as non-GBW: QP(ST) + AC. ","")&amp;IF(AND(C34="Trench Shoring Box",H34="Kallang Formation (marine clay)"),"NOTE: check base heave / ground loss for shoring box in marine clay. ","")&amp;IF(AND(C34="Steel Sheet Pile Cofferdam",N(M34)&lt;G34*0.5),"NOTE: short toe embedment, check. ","")))</f>
        <v/>
      </c>
      <c r="AO34" s="9"/>
      <c r="AP34" s="9"/>
      <c r="AQ34" s="9"/>
      <c r="AR34" s="9"/>
      <c r="AS34" s="9"/>
      <c r="AT34" s="31"/>
      <c r="AU34" s="10" t="str">
        <f aca="false">IF(C34="","",IF(AND(V34="Approved",ISERROR(SEARCH("FAIL",AN34))),"Y","N"))</f>
        <v/>
      </c>
      <c r="AV34" s="10" t="str">
        <f aca="false">IF(C34="","",C34&amp;"|"&amp;G34&amp;"|"&amp;E34&amp;"|"&amp;H34&amp;"|"&amp;AU34)</f>
        <v/>
      </c>
    </row>
    <row r="35" customFormat="false" ht="15" hidden="false" customHeight="false" outlineLevel="0" collapsed="false">
      <c r="A35" s="10" t="str">
        <f aca="false">IF(C35="","","ERSS-"&amp;IFERROR(VLOOKUP(C35,Lists!$AK$4:$AL$21,2,0),"??")&amp;"-"&amp;TEXT(E35,"0000")&amp;"x"&amp;TEXT(F35,"0000")&amp;"-D"&amp;TEXT(G35*1000,"0000")&amp;"-"&amp;IFERROR(VLOOKUP(H35,Lists!$Y$4:$Z$21,2,0),"??")&amp;"-"&amp;U35)</f>
        <v/>
      </c>
      <c r="B35" s="10" t="str">
        <f aca="false">IF(C35="","",C35&amp;" for "&amp;D35&amp;", "&amp;E35&amp;" x "&amp;F35&amp;" pit, "&amp;TEXT(G35,"0.0")&amp;" m deep, "&amp;H35)</f>
        <v/>
      </c>
      <c r="C35" s="9"/>
      <c r="D35" s="9"/>
      <c r="E35" s="40"/>
      <c r="F35" s="40"/>
      <c r="G35" s="43"/>
      <c r="H35" s="9"/>
      <c r="I35" s="43"/>
      <c r="J35" s="40"/>
      <c r="K35" s="9"/>
      <c r="L35" s="43"/>
      <c r="M35" s="43"/>
      <c r="N35" s="40"/>
      <c r="O35" s="9"/>
      <c r="P35" s="9"/>
      <c r="Q35" s="41"/>
      <c r="R35" s="9"/>
      <c r="S35" s="40"/>
      <c r="T35" s="9"/>
      <c r="U35" s="9"/>
      <c r="V35" s="9"/>
      <c r="W35" s="9"/>
      <c r="X35" s="9"/>
      <c r="Y35" s="9"/>
      <c r="Z35" s="10" t="str">
        <f aca="false">IF(A35="","",SG_Criteria!$B$6&amp;SG_Criteria!$B$11&amp;"\"&amp;A35&amp;"\")</f>
        <v/>
      </c>
      <c r="AA35" s="10" t="str">
        <f aca="false">IF(A35="","",A35&amp;"_CAD.dwg")</f>
        <v/>
      </c>
      <c r="AB35" s="10" t="str">
        <f aca="false">IF(A35="","",A35&amp;"_DWG.pdf")</f>
        <v/>
      </c>
      <c r="AC35" s="10" t="str">
        <f aca="false">IF(A35="","",IF(Y35="Y",A35&amp;"_STAAD.std","n/a"))</f>
        <v/>
      </c>
      <c r="AD35" s="10" t="str">
        <f aca="false">IF(A35="","",A35&amp;"_CALC.xlsx")</f>
        <v/>
      </c>
      <c r="AE35" s="10" t="str">
        <f aca="false">IF(A35="","",A35&amp;"_CALC.pdf")</f>
        <v/>
      </c>
      <c r="AF35" s="9"/>
      <c r="AG35" s="9"/>
      <c r="AH35" s="41"/>
      <c r="AI35" s="41"/>
      <c r="AJ35" s="41"/>
      <c r="AK35" s="41"/>
      <c r="AL35" s="41"/>
      <c r="AM35" s="38" t="str">
        <f aca="false">IF(OR(C35="",G35=""),"",IF(G35&lt;=IF(OR(C35="Soldier Pile &amp; Timber Lagging",C35="Trench Shoring Box",C35="Open Cut (battered)"),SG_Criteria!$B$34,SG_Criteria!$B$33),"No ERSS submission",IF(G35&lt;=SG_Criteria!$B$35,"QP(ST)",IF(G35&lt;=SG_Criteria!$B$36,"QP(ST) + AC","Geotechnical building works: QP(Geo) + AC"))))</f>
        <v/>
      </c>
      <c r="AN35" s="38" t="str">
        <f aca="false">IF(C35="","",IF(LEN(IF(AND(Q35&lt;&gt;"",Q35&lt;SG_Criteria!$B$37),"FAIL: base stability FOS &lt; "&amp;SG_Criteria!$B$37&amp;". ","")&amp;IF(AND(D35="Manhole",G35&gt;SG_Criteria!$B$36),"NOTE: BCA lists sewer manholes (pipe &lt;= 2 m dia) &gt; 6 m as non-GBW: QP(ST) + AC. ","")&amp;IF(AND(C35="Trench Shoring Box",H35="Kallang Formation (marine clay)"),"NOTE: check base heave / ground loss for shoring box in marine clay. ","")&amp;IF(AND(C35="Steel Sheet Pile Cofferdam",N(M35)&lt;G35*0.5),"NOTE: short toe embedment, check. ",""))=0,"OK",IF(AND(Q35&lt;&gt;"",Q35&lt;SG_Criteria!$B$37),"FAIL: base stability FOS &lt; "&amp;SG_Criteria!$B$37&amp;". ","")&amp;IF(AND(D35="Manhole",G35&gt;SG_Criteria!$B$36),"NOTE: BCA lists sewer manholes (pipe &lt;= 2 m dia) &gt; 6 m as non-GBW: QP(ST) + AC. ","")&amp;IF(AND(C35="Trench Shoring Box",H35="Kallang Formation (marine clay)"),"NOTE: check base heave / ground loss for shoring box in marine clay. ","")&amp;IF(AND(C35="Steel Sheet Pile Cofferdam",N(M35)&lt;G35*0.5),"NOTE: short toe embedment, check. ","")))</f>
        <v/>
      </c>
      <c r="AO35" s="9"/>
      <c r="AP35" s="9"/>
      <c r="AQ35" s="9"/>
      <c r="AR35" s="9"/>
      <c r="AS35" s="9"/>
      <c r="AT35" s="31"/>
      <c r="AU35" s="10" t="str">
        <f aca="false">IF(C35="","",IF(AND(V35="Approved",ISERROR(SEARCH("FAIL",AN35))),"Y","N"))</f>
        <v/>
      </c>
      <c r="AV35" s="10" t="str">
        <f aca="false">IF(C35="","",C35&amp;"|"&amp;G35&amp;"|"&amp;E35&amp;"|"&amp;H35&amp;"|"&amp;AU35)</f>
        <v/>
      </c>
    </row>
    <row r="36" customFormat="false" ht="15" hidden="false" customHeight="false" outlineLevel="0" collapsed="false">
      <c r="A36" s="10" t="str">
        <f aca="false">IF(C36="","","ERSS-"&amp;IFERROR(VLOOKUP(C36,Lists!$AK$4:$AL$21,2,0),"??")&amp;"-"&amp;TEXT(E36,"0000")&amp;"x"&amp;TEXT(F36,"0000")&amp;"-D"&amp;TEXT(G36*1000,"0000")&amp;"-"&amp;IFERROR(VLOOKUP(H36,Lists!$Y$4:$Z$21,2,0),"??")&amp;"-"&amp;U36)</f>
        <v/>
      </c>
      <c r="B36" s="10" t="str">
        <f aca="false">IF(C36="","",C36&amp;" for "&amp;D36&amp;", "&amp;E36&amp;" x "&amp;F36&amp;" pit, "&amp;TEXT(G36,"0.0")&amp;" m deep, "&amp;H36)</f>
        <v/>
      </c>
      <c r="C36" s="9"/>
      <c r="D36" s="9"/>
      <c r="E36" s="40"/>
      <c r="F36" s="40"/>
      <c r="G36" s="43"/>
      <c r="H36" s="9"/>
      <c r="I36" s="43"/>
      <c r="J36" s="40"/>
      <c r="K36" s="9"/>
      <c r="L36" s="43"/>
      <c r="M36" s="43"/>
      <c r="N36" s="40"/>
      <c r="O36" s="9"/>
      <c r="P36" s="9"/>
      <c r="Q36" s="41"/>
      <c r="R36" s="9"/>
      <c r="S36" s="40"/>
      <c r="T36" s="9"/>
      <c r="U36" s="9"/>
      <c r="V36" s="9"/>
      <c r="W36" s="9"/>
      <c r="X36" s="9"/>
      <c r="Y36" s="9"/>
      <c r="Z36" s="10" t="str">
        <f aca="false">IF(A36="","",SG_Criteria!$B$6&amp;SG_Criteria!$B$11&amp;"\"&amp;A36&amp;"\")</f>
        <v/>
      </c>
      <c r="AA36" s="10" t="str">
        <f aca="false">IF(A36="","",A36&amp;"_CAD.dwg")</f>
        <v/>
      </c>
      <c r="AB36" s="10" t="str">
        <f aca="false">IF(A36="","",A36&amp;"_DWG.pdf")</f>
        <v/>
      </c>
      <c r="AC36" s="10" t="str">
        <f aca="false">IF(A36="","",IF(Y36="Y",A36&amp;"_STAAD.std","n/a"))</f>
        <v/>
      </c>
      <c r="AD36" s="10" t="str">
        <f aca="false">IF(A36="","",A36&amp;"_CALC.xlsx")</f>
        <v/>
      </c>
      <c r="AE36" s="10" t="str">
        <f aca="false">IF(A36="","",A36&amp;"_CALC.pdf")</f>
        <v/>
      </c>
      <c r="AF36" s="9"/>
      <c r="AG36" s="9"/>
      <c r="AH36" s="41"/>
      <c r="AI36" s="41"/>
      <c r="AJ36" s="41"/>
      <c r="AK36" s="41"/>
      <c r="AL36" s="41"/>
      <c r="AM36" s="38" t="str">
        <f aca="false">IF(OR(C36="",G36=""),"",IF(G36&lt;=IF(OR(C36="Soldier Pile &amp; Timber Lagging",C36="Trench Shoring Box",C36="Open Cut (battered)"),SG_Criteria!$B$34,SG_Criteria!$B$33),"No ERSS submission",IF(G36&lt;=SG_Criteria!$B$35,"QP(ST)",IF(G36&lt;=SG_Criteria!$B$36,"QP(ST) + AC","Geotechnical building works: QP(Geo) + AC"))))</f>
        <v/>
      </c>
      <c r="AN36" s="38" t="str">
        <f aca="false">IF(C36="","",IF(LEN(IF(AND(Q36&lt;&gt;"",Q36&lt;SG_Criteria!$B$37),"FAIL: base stability FOS &lt; "&amp;SG_Criteria!$B$37&amp;". ","")&amp;IF(AND(D36="Manhole",G36&gt;SG_Criteria!$B$36),"NOTE: BCA lists sewer manholes (pipe &lt;= 2 m dia) &gt; 6 m as non-GBW: QP(ST) + AC. ","")&amp;IF(AND(C36="Trench Shoring Box",H36="Kallang Formation (marine clay)"),"NOTE: check base heave / ground loss for shoring box in marine clay. ","")&amp;IF(AND(C36="Steel Sheet Pile Cofferdam",N(M36)&lt;G36*0.5),"NOTE: short toe embedment, check. ",""))=0,"OK",IF(AND(Q36&lt;&gt;"",Q36&lt;SG_Criteria!$B$37),"FAIL: base stability FOS &lt; "&amp;SG_Criteria!$B$37&amp;". ","")&amp;IF(AND(D36="Manhole",G36&gt;SG_Criteria!$B$36),"NOTE: BCA lists sewer manholes (pipe &lt;= 2 m dia) &gt; 6 m as non-GBW: QP(ST) + AC. ","")&amp;IF(AND(C36="Trench Shoring Box",H36="Kallang Formation (marine clay)"),"NOTE: check base heave / ground loss for shoring box in marine clay. ","")&amp;IF(AND(C36="Steel Sheet Pile Cofferdam",N(M36)&lt;G36*0.5),"NOTE: short toe embedment, check. ","")))</f>
        <v/>
      </c>
      <c r="AO36" s="9"/>
      <c r="AP36" s="9"/>
      <c r="AQ36" s="9"/>
      <c r="AR36" s="9"/>
      <c r="AS36" s="9"/>
      <c r="AT36" s="31"/>
      <c r="AU36" s="10" t="str">
        <f aca="false">IF(C36="","",IF(AND(V36="Approved",ISERROR(SEARCH("FAIL",AN36))),"Y","N"))</f>
        <v/>
      </c>
      <c r="AV36" s="10" t="str">
        <f aca="false">IF(C36="","",C36&amp;"|"&amp;G36&amp;"|"&amp;E36&amp;"|"&amp;H36&amp;"|"&amp;AU36)</f>
        <v/>
      </c>
    </row>
    <row r="37" customFormat="false" ht="15" hidden="false" customHeight="false" outlineLevel="0" collapsed="false">
      <c r="A37" s="10" t="str">
        <f aca="false">IF(C37="","","ERSS-"&amp;IFERROR(VLOOKUP(C37,Lists!$AK$4:$AL$21,2,0),"??")&amp;"-"&amp;TEXT(E37,"0000")&amp;"x"&amp;TEXT(F37,"0000")&amp;"-D"&amp;TEXT(G37*1000,"0000")&amp;"-"&amp;IFERROR(VLOOKUP(H37,Lists!$Y$4:$Z$21,2,0),"??")&amp;"-"&amp;U37)</f>
        <v/>
      </c>
      <c r="B37" s="10" t="str">
        <f aca="false">IF(C37="","",C37&amp;" for "&amp;D37&amp;", "&amp;E37&amp;" x "&amp;F37&amp;" pit, "&amp;TEXT(G37,"0.0")&amp;" m deep, "&amp;H37)</f>
        <v/>
      </c>
      <c r="C37" s="9"/>
      <c r="D37" s="9"/>
      <c r="E37" s="40"/>
      <c r="F37" s="40"/>
      <c r="G37" s="43"/>
      <c r="H37" s="9"/>
      <c r="I37" s="43"/>
      <c r="J37" s="40"/>
      <c r="K37" s="9"/>
      <c r="L37" s="43"/>
      <c r="M37" s="43"/>
      <c r="N37" s="40"/>
      <c r="O37" s="9"/>
      <c r="P37" s="9"/>
      <c r="Q37" s="41"/>
      <c r="R37" s="9"/>
      <c r="S37" s="40"/>
      <c r="T37" s="9"/>
      <c r="U37" s="9"/>
      <c r="V37" s="9"/>
      <c r="W37" s="9"/>
      <c r="X37" s="9"/>
      <c r="Y37" s="9"/>
      <c r="Z37" s="10" t="str">
        <f aca="false">IF(A37="","",SG_Criteria!$B$6&amp;SG_Criteria!$B$11&amp;"\"&amp;A37&amp;"\")</f>
        <v/>
      </c>
      <c r="AA37" s="10" t="str">
        <f aca="false">IF(A37="","",A37&amp;"_CAD.dwg")</f>
        <v/>
      </c>
      <c r="AB37" s="10" t="str">
        <f aca="false">IF(A37="","",A37&amp;"_DWG.pdf")</f>
        <v/>
      </c>
      <c r="AC37" s="10" t="str">
        <f aca="false">IF(A37="","",IF(Y37="Y",A37&amp;"_STAAD.std","n/a"))</f>
        <v/>
      </c>
      <c r="AD37" s="10" t="str">
        <f aca="false">IF(A37="","",A37&amp;"_CALC.xlsx")</f>
        <v/>
      </c>
      <c r="AE37" s="10" t="str">
        <f aca="false">IF(A37="","",A37&amp;"_CALC.pdf")</f>
        <v/>
      </c>
      <c r="AF37" s="9"/>
      <c r="AG37" s="9"/>
      <c r="AH37" s="41"/>
      <c r="AI37" s="41"/>
      <c r="AJ37" s="41"/>
      <c r="AK37" s="41"/>
      <c r="AL37" s="41"/>
      <c r="AM37" s="38" t="str">
        <f aca="false">IF(OR(C37="",G37=""),"",IF(G37&lt;=IF(OR(C37="Soldier Pile &amp; Timber Lagging",C37="Trench Shoring Box",C37="Open Cut (battered)"),SG_Criteria!$B$34,SG_Criteria!$B$33),"No ERSS submission",IF(G37&lt;=SG_Criteria!$B$35,"QP(ST)",IF(G37&lt;=SG_Criteria!$B$36,"QP(ST) + AC","Geotechnical building works: QP(Geo) + AC"))))</f>
        <v/>
      </c>
      <c r="AN37" s="38" t="str">
        <f aca="false">IF(C37="","",IF(LEN(IF(AND(Q37&lt;&gt;"",Q37&lt;SG_Criteria!$B$37),"FAIL: base stability FOS &lt; "&amp;SG_Criteria!$B$37&amp;". ","")&amp;IF(AND(D37="Manhole",G37&gt;SG_Criteria!$B$36),"NOTE: BCA lists sewer manholes (pipe &lt;= 2 m dia) &gt; 6 m as non-GBW: QP(ST) + AC. ","")&amp;IF(AND(C37="Trench Shoring Box",H37="Kallang Formation (marine clay)"),"NOTE: check base heave / ground loss for shoring box in marine clay. ","")&amp;IF(AND(C37="Steel Sheet Pile Cofferdam",N(M37)&lt;G37*0.5),"NOTE: short toe embedment, check. ",""))=0,"OK",IF(AND(Q37&lt;&gt;"",Q37&lt;SG_Criteria!$B$37),"FAIL: base stability FOS &lt; "&amp;SG_Criteria!$B$37&amp;". ","")&amp;IF(AND(D37="Manhole",G37&gt;SG_Criteria!$B$36),"NOTE: BCA lists sewer manholes (pipe &lt;= 2 m dia) &gt; 6 m as non-GBW: QP(ST) + AC. ","")&amp;IF(AND(C37="Trench Shoring Box",H37="Kallang Formation (marine clay)"),"NOTE: check base heave / ground loss for shoring box in marine clay. ","")&amp;IF(AND(C37="Steel Sheet Pile Cofferdam",N(M37)&lt;G37*0.5),"NOTE: short toe embedment, check. ","")))</f>
        <v/>
      </c>
      <c r="AO37" s="9"/>
      <c r="AP37" s="9"/>
      <c r="AQ37" s="9"/>
      <c r="AR37" s="9"/>
      <c r="AS37" s="9"/>
      <c r="AT37" s="31"/>
      <c r="AU37" s="10" t="str">
        <f aca="false">IF(C37="","",IF(AND(V37="Approved",ISERROR(SEARCH("FAIL",AN37))),"Y","N"))</f>
        <v/>
      </c>
      <c r="AV37" s="10" t="str">
        <f aca="false">IF(C37="","",C37&amp;"|"&amp;G37&amp;"|"&amp;E37&amp;"|"&amp;H37&amp;"|"&amp;AU37)</f>
        <v/>
      </c>
    </row>
    <row r="38" customFormat="false" ht="15" hidden="false" customHeight="false" outlineLevel="0" collapsed="false">
      <c r="A38" s="10" t="str">
        <f aca="false">IF(C38="","","ERSS-"&amp;IFERROR(VLOOKUP(C38,Lists!$AK$4:$AL$21,2,0),"??")&amp;"-"&amp;TEXT(E38,"0000")&amp;"x"&amp;TEXT(F38,"0000")&amp;"-D"&amp;TEXT(G38*1000,"0000")&amp;"-"&amp;IFERROR(VLOOKUP(H38,Lists!$Y$4:$Z$21,2,0),"??")&amp;"-"&amp;U38)</f>
        <v/>
      </c>
      <c r="B38" s="10" t="str">
        <f aca="false">IF(C38="","",C38&amp;" for "&amp;D38&amp;", "&amp;E38&amp;" x "&amp;F38&amp;" pit, "&amp;TEXT(G38,"0.0")&amp;" m deep, "&amp;H38)</f>
        <v/>
      </c>
      <c r="C38" s="9"/>
      <c r="D38" s="9"/>
      <c r="E38" s="40"/>
      <c r="F38" s="40"/>
      <c r="G38" s="43"/>
      <c r="H38" s="9"/>
      <c r="I38" s="43"/>
      <c r="J38" s="40"/>
      <c r="K38" s="9"/>
      <c r="L38" s="43"/>
      <c r="M38" s="43"/>
      <c r="N38" s="40"/>
      <c r="O38" s="9"/>
      <c r="P38" s="9"/>
      <c r="Q38" s="41"/>
      <c r="R38" s="9"/>
      <c r="S38" s="40"/>
      <c r="T38" s="9"/>
      <c r="U38" s="9"/>
      <c r="V38" s="9"/>
      <c r="W38" s="9"/>
      <c r="X38" s="9"/>
      <c r="Y38" s="9"/>
      <c r="Z38" s="10" t="str">
        <f aca="false">IF(A38="","",SG_Criteria!$B$6&amp;SG_Criteria!$B$11&amp;"\"&amp;A38&amp;"\")</f>
        <v/>
      </c>
      <c r="AA38" s="10" t="str">
        <f aca="false">IF(A38="","",A38&amp;"_CAD.dwg")</f>
        <v/>
      </c>
      <c r="AB38" s="10" t="str">
        <f aca="false">IF(A38="","",A38&amp;"_DWG.pdf")</f>
        <v/>
      </c>
      <c r="AC38" s="10" t="str">
        <f aca="false">IF(A38="","",IF(Y38="Y",A38&amp;"_STAAD.std","n/a"))</f>
        <v/>
      </c>
      <c r="AD38" s="10" t="str">
        <f aca="false">IF(A38="","",A38&amp;"_CALC.xlsx")</f>
        <v/>
      </c>
      <c r="AE38" s="10" t="str">
        <f aca="false">IF(A38="","",A38&amp;"_CALC.pdf")</f>
        <v/>
      </c>
      <c r="AF38" s="9"/>
      <c r="AG38" s="9"/>
      <c r="AH38" s="41"/>
      <c r="AI38" s="41"/>
      <c r="AJ38" s="41"/>
      <c r="AK38" s="41"/>
      <c r="AL38" s="41"/>
      <c r="AM38" s="38" t="str">
        <f aca="false">IF(OR(C38="",G38=""),"",IF(G38&lt;=IF(OR(C38="Soldier Pile &amp; Timber Lagging",C38="Trench Shoring Box",C38="Open Cut (battered)"),SG_Criteria!$B$34,SG_Criteria!$B$33),"No ERSS submission",IF(G38&lt;=SG_Criteria!$B$35,"QP(ST)",IF(G38&lt;=SG_Criteria!$B$36,"QP(ST) + AC","Geotechnical building works: QP(Geo) + AC"))))</f>
        <v/>
      </c>
      <c r="AN38" s="38" t="str">
        <f aca="false">IF(C38="","",IF(LEN(IF(AND(Q38&lt;&gt;"",Q38&lt;SG_Criteria!$B$37),"FAIL: base stability FOS &lt; "&amp;SG_Criteria!$B$37&amp;". ","")&amp;IF(AND(D38="Manhole",G38&gt;SG_Criteria!$B$36),"NOTE: BCA lists sewer manholes (pipe &lt;= 2 m dia) &gt; 6 m as non-GBW: QP(ST) + AC. ","")&amp;IF(AND(C38="Trench Shoring Box",H38="Kallang Formation (marine clay)"),"NOTE: check base heave / ground loss for shoring box in marine clay. ","")&amp;IF(AND(C38="Steel Sheet Pile Cofferdam",N(M38)&lt;G38*0.5),"NOTE: short toe embedment, check. ",""))=0,"OK",IF(AND(Q38&lt;&gt;"",Q38&lt;SG_Criteria!$B$37),"FAIL: base stability FOS &lt; "&amp;SG_Criteria!$B$37&amp;". ","")&amp;IF(AND(D38="Manhole",G38&gt;SG_Criteria!$B$36),"NOTE: BCA lists sewer manholes (pipe &lt;= 2 m dia) &gt; 6 m as non-GBW: QP(ST) + AC. ","")&amp;IF(AND(C38="Trench Shoring Box",H38="Kallang Formation (marine clay)"),"NOTE: check base heave / ground loss for shoring box in marine clay. ","")&amp;IF(AND(C38="Steel Sheet Pile Cofferdam",N(M38)&lt;G38*0.5),"NOTE: short toe embedment, check. ","")))</f>
        <v/>
      </c>
      <c r="AO38" s="9"/>
      <c r="AP38" s="9"/>
      <c r="AQ38" s="9"/>
      <c r="AR38" s="9"/>
      <c r="AS38" s="9"/>
      <c r="AT38" s="31"/>
      <c r="AU38" s="10" t="str">
        <f aca="false">IF(C38="","",IF(AND(V38="Approved",ISERROR(SEARCH("FAIL",AN38))),"Y","N"))</f>
        <v/>
      </c>
      <c r="AV38" s="10" t="str">
        <f aca="false">IF(C38="","",C38&amp;"|"&amp;G38&amp;"|"&amp;E38&amp;"|"&amp;H38&amp;"|"&amp;AU38)</f>
        <v/>
      </c>
    </row>
    <row r="39" customFormat="false" ht="15" hidden="false" customHeight="false" outlineLevel="0" collapsed="false">
      <c r="A39" s="10" t="str">
        <f aca="false">IF(C39="","","ERSS-"&amp;IFERROR(VLOOKUP(C39,Lists!$AK$4:$AL$21,2,0),"??")&amp;"-"&amp;TEXT(E39,"0000")&amp;"x"&amp;TEXT(F39,"0000")&amp;"-D"&amp;TEXT(G39*1000,"0000")&amp;"-"&amp;IFERROR(VLOOKUP(H39,Lists!$Y$4:$Z$21,2,0),"??")&amp;"-"&amp;U39)</f>
        <v/>
      </c>
      <c r="B39" s="10" t="str">
        <f aca="false">IF(C39="","",C39&amp;" for "&amp;D39&amp;", "&amp;E39&amp;" x "&amp;F39&amp;" pit, "&amp;TEXT(G39,"0.0")&amp;" m deep, "&amp;H39)</f>
        <v/>
      </c>
      <c r="C39" s="9"/>
      <c r="D39" s="9"/>
      <c r="E39" s="40"/>
      <c r="F39" s="40"/>
      <c r="G39" s="43"/>
      <c r="H39" s="9"/>
      <c r="I39" s="43"/>
      <c r="J39" s="40"/>
      <c r="K39" s="9"/>
      <c r="L39" s="43"/>
      <c r="M39" s="43"/>
      <c r="N39" s="40"/>
      <c r="O39" s="9"/>
      <c r="P39" s="9"/>
      <c r="Q39" s="41"/>
      <c r="R39" s="9"/>
      <c r="S39" s="40"/>
      <c r="T39" s="9"/>
      <c r="U39" s="9"/>
      <c r="V39" s="9"/>
      <c r="W39" s="9"/>
      <c r="X39" s="9"/>
      <c r="Y39" s="9"/>
      <c r="Z39" s="10" t="str">
        <f aca="false">IF(A39="","",SG_Criteria!$B$6&amp;SG_Criteria!$B$11&amp;"\"&amp;A39&amp;"\")</f>
        <v/>
      </c>
      <c r="AA39" s="10" t="str">
        <f aca="false">IF(A39="","",A39&amp;"_CAD.dwg")</f>
        <v/>
      </c>
      <c r="AB39" s="10" t="str">
        <f aca="false">IF(A39="","",A39&amp;"_DWG.pdf")</f>
        <v/>
      </c>
      <c r="AC39" s="10" t="str">
        <f aca="false">IF(A39="","",IF(Y39="Y",A39&amp;"_STAAD.std","n/a"))</f>
        <v/>
      </c>
      <c r="AD39" s="10" t="str">
        <f aca="false">IF(A39="","",A39&amp;"_CALC.xlsx")</f>
        <v/>
      </c>
      <c r="AE39" s="10" t="str">
        <f aca="false">IF(A39="","",A39&amp;"_CALC.pdf")</f>
        <v/>
      </c>
      <c r="AF39" s="9"/>
      <c r="AG39" s="9"/>
      <c r="AH39" s="41"/>
      <c r="AI39" s="41"/>
      <c r="AJ39" s="41"/>
      <c r="AK39" s="41"/>
      <c r="AL39" s="41"/>
      <c r="AM39" s="38" t="str">
        <f aca="false">IF(OR(C39="",G39=""),"",IF(G39&lt;=IF(OR(C39="Soldier Pile &amp; Timber Lagging",C39="Trench Shoring Box",C39="Open Cut (battered)"),SG_Criteria!$B$34,SG_Criteria!$B$33),"No ERSS submission",IF(G39&lt;=SG_Criteria!$B$35,"QP(ST)",IF(G39&lt;=SG_Criteria!$B$36,"QP(ST) + AC","Geotechnical building works: QP(Geo) + AC"))))</f>
        <v/>
      </c>
      <c r="AN39" s="38" t="str">
        <f aca="false">IF(C39="","",IF(LEN(IF(AND(Q39&lt;&gt;"",Q39&lt;SG_Criteria!$B$37),"FAIL: base stability FOS &lt; "&amp;SG_Criteria!$B$37&amp;". ","")&amp;IF(AND(D39="Manhole",G39&gt;SG_Criteria!$B$36),"NOTE: BCA lists sewer manholes (pipe &lt;= 2 m dia) &gt; 6 m as non-GBW: QP(ST) + AC. ","")&amp;IF(AND(C39="Trench Shoring Box",H39="Kallang Formation (marine clay)"),"NOTE: check base heave / ground loss for shoring box in marine clay. ","")&amp;IF(AND(C39="Steel Sheet Pile Cofferdam",N(M39)&lt;G39*0.5),"NOTE: short toe embedment, check. ",""))=0,"OK",IF(AND(Q39&lt;&gt;"",Q39&lt;SG_Criteria!$B$37),"FAIL: base stability FOS &lt; "&amp;SG_Criteria!$B$37&amp;". ","")&amp;IF(AND(D39="Manhole",G39&gt;SG_Criteria!$B$36),"NOTE: BCA lists sewer manholes (pipe &lt;= 2 m dia) &gt; 6 m as non-GBW: QP(ST) + AC. ","")&amp;IF(AND(C39="Trench Shoring Box",H39="Kallang Formation (marine clay)"),"NOTE: check base heave / ground loss for shoring box in marine clay. ","")&amp;IF(AND(C39="Steel Sheet Pile Cofferdam",N(M39)&lt;G39*0.5),"NOTE: short toe embedment, check. ","")))</f>
        <v/>
      </c>
      <c r="AO39" s="9"/>
      <c r="AP39" s="9"/>
      <c r="AQ39" s="9"/>
      <c r="AR39" s="9"/>
      <c r="AS39" s="9"/>
      <c r="AT39" s="31"/>
      <c r="AU39" s="10" t="str">
        <f aca="false">IF(C39="","",IF(AND(V39="Approved",ISERROR(SEARCH("FAIL",AN39))),"Y","N"))</f>
        <v/>
      </c>
      <c r="AV39" s="10" t="str">
        <f aca="false">IF(C39="","",C39&amp;"|"&amp;G39&amp;"|"&amp;E39&amp;"|"&amp;H39&amp;"|"&amp;AU39)</f>
        <v/>
      </c>
    </row>
    <row r="40" customFormat="false" ht="15" hidden="false" customHeight="false" outlineLevel="0" collapsed="false">
      <c r="A40" s="10" t="str">
        <f aca="false">IF(C40="","","ERSS-"&amp;IFERROR(VLOOKUP(C40,Lists!$AK$4:$AL$21,2,0),"??")&amp;"-"&amp;TEXT(E40,"0000")&amp;"x"&amp;TEXT(F40,"0000")&amp;"-D"&amp;TEXT(G40*1000,"0000")&amp;"-"&amp;IFERROR(VLOOKUP(H40,Lists!$Y$4:$Z$21,2,0),"??")&amp;"-"&amp;U40)</f>
        <v/>
      </c>
      <c r="B40" s="10" t="str">
        <f aca="false">IF(C40="","",C40&amp;" for "&amp;D40&amp;", "&amp;E40&amp;" x "&amp;F40&amp;" pit, "&amp;TEXT(G40,"0.0")&amp;" m deep, "&amp;H40)</f>
        <v/>
      </c>
      <c r="C40" s="9"/>
      <c r="D40" s="9"/>
      <c r="E40" s="40"/>
      <c r="F40" s="40"/>
      <c r="G40" s="43"/>
      <c r="H40" s="9"/>
      <c r="I40" s="43"/>
      <c r="J40" s="40"/>
      <c r="K40" s="9"/>
      <c r="L40" s="43"/>
      <c r="M40" s="43"/>
      <c r="N40" s="40"/>
      <c r="O40" s="9"/>
      <c r="P40" s="9"/>
      <c r="Q40" s="41"/>
      <c r="R40" s="9"/>
      <c r="S40" s="40"/>
      <c r="T40" s="9"/>
      <c r="U40" s="9"/>
      <c r="V40" s="9"/>
      <c r="W40" s="9"/>
      <c r="X40" s="9"/>
      <c r="Y40" s="9"/>
      <c r="Z40" s="10" t="str">
        <f aca="false">IF(A40="","",SG_Criteria!$B$6&amp;SG_Criteria!$B$11&amp;"\"&amp;A40&amp;"\")</f>
        <v/>
      </c>
      <c r="AA40" s="10" t="str">
        <f aca="false">IF(A40="","",A40&amp;"_CAD.dwg")</f>
        <v/>
      </c>
      <c r="AB40" s="10" t="str">
        <f aca="false">IF(A40="","",A40&amp;"_DWG.pdf")</f>
        <v/>
      </c>
      <c r="AC40" s="10" t="str">
        <f aca="false">IF(A40="","",IF(Y40="Y",A40&amp;"_STAAD.std","n/a"))</f>
        <v/>
      </c>
      <c r="AD40" s="10" t="str">
        <f aca="false">IF(A40="","",A40&amp;"_CALC.xlsx")</f>
        <v/>
      </c>
      <c r="AE40" s="10" t="str">
        <f aca="false">IF(A40="","",A40&amp;"_CALC.pdf")</f>
        <v/>
      </c>
      <c r="AF40" s="9"/>
      <c r="AG40" s="9"/>
      <c r="AH40" s="41"/>
      <c r="AI40" s="41"/>
      <c r="AJ40" s="41"/>
      <c r="AK40" s="41"/>
      <c r="AL40" s="41"/>
      <c r="AM40" s="38" t="str">
        <f aca="false">IF(OR(C40="",G40=""),"",IF(G40&lt;=IF(OR(C40="Soldier Pile &amp; Timber Lagging",C40="Trench Shoring Box",C40="Open Cut (battered)"),SG_Criteria!$B$34,SG_Criteria!$B$33),"No ERSS submission",IF(G40&lt;=SG_Criteria!$B$35,"QP(ST)",IF(G40&lt;=SG_Criteria!$B$36,"QP(ST) + AC","Geotechnical building works: QP(Geo) + AC"))))</f>
        <v/>
      </c>
      <c r="AN40" s="38" t="str">
        <f aca="false">IF(C40="","",IF(LEN(IF(AND(Q40&lt;&gt;"",Q40&lt;SG_Criteria!$B$37),"FAIL: base stability FOS &lt; "&amp;SG_Criteria!$B$37&amp;". ","")&amp;IF(AND(D40="Manhole",G40&gt;SG_Criteria!$B$36),"NOTE: BCA lists sewer manholes (pipe &lt;= 2 m dia) &gt; 6 m as non-GBW: QP(ST) + AC. ","")&amp;IF(AND(C40="Trench Shoring Box",H40="Kallang Formation (marine clay)"),"NOTE: check base heave / ground loss for shoring box in marine clay. ","")&amp;IF(AND(C40="Steel Sheet Pile Cofferdam",N(M40)&lt;G40*0.5),"NOTE: short toe embedment, check. ",""))=0,"OK",IF(AND(Q40&lt;&gt;"",Q40&lt;SG_Criteria!$B$37),"FAIL: base stability FOS &lt; "&amp;SG_Criteria!$B$37&amp;". ","")&amp;IF(AND(D40="Manhole",G40&gt;SG_Criteria!$B$36),"NOTE: BCA lists sewer manholes (pipe &lt;= 2 m dia) &gt; 6 m as non-GBW: QP(ST) + AC. ","")&amp;IF(AND(C40="Trench Shoring Box",H40="Kallang Formation (marine clay)"),"NOTE: check base heave / ground loss for shoring box in marine clay. ","")&amp;IF(AND(C40="Steel Sheet Pile Cofferdam",N(M40)&lt;G40*0.5),"NOTE: short toe embedment, check. ","")))</f>
        <v/>
      </c>
      <c r="AO40" s="9"/>
      <c r="AP40" s="9"/>
      <c r="AQ40" s="9"/>
      <c r="AR40" s="9"/>
      <c r="AS40" s="9"/>
      <c r="AT40" s="31"/>
      <c r="AU40" s="10" t="str">
        <f aca="false">IF(C40="","",IF(AND(V40="Approved",ISERROR(SEARCH("FAIL",AN40))),"Y","N"))</f>
        <v/>
      </c>
      <c r="AV40" s="10" t="str">
        <f aca="false">IF(C40="","",C40&amp;"|"&amp;G40&amp;"|"&amp;E40&amp;"|"&amp;H40&amp;"|"&amp;AU40)</f>
        <v/>
      </c>
    </row>
    <row r="41" customFormat="false" ht="15" hidden="false" customHeight="false" outlineLevel="0" collapsed="false">
      <c r="A41" s="10" t="str">
        <f aca="false">IF(C41="","","ERSS-"&amp;IFERROR(VLOOKUP(C41,Lists!$AK$4:$AL$21,2,0),"??")&amp;"-"&amp;TEXT(E41,"0000")&amp;"x"&amp;TEXT(F41,"0000")&amp;"-D"&amp;TEXT(G41*1000,"0000")&amp;"-"&amp;IFERROR(VLOOKUP(H41,Lists!$Y$4:$Z$21,2,0),"??")&amp;"-"&amp;U41)</f>
        <v/>
      </c>
      <c r="B41" s="10" t="str">
        <f aca="false">IF(C41="","",C41&amp;" for "&amp;D41&amp;", "&amp;E41&amp;" x "&amp;F41&amp;" pit, "&amp;TEXT(G41,"0.0")&amp;" m deep, "&amp;H41)</f>
        <v/>
      </c>
      <c r="C41" s="9"/>
      <c r="D41" s="9"/>
      <c r="E41" s="40"/>
      <c r="F41" s="40"/>
      <c r="G41" s="43"/>
      <c r="H41" s="9"/>
      <c r="I41" s="43"/>
      <c r="J41" s="40"/>
      <c r="K41" s="9"/>
      <c r="L41" s="43"/>
      <c r="M41" s="43"/>
      <c r="N41" s="40"/>
      <c r="O41" s="9"/>
      <c r="P41" s="9"/>
      <c r="Q41" s="41"/>
      <c r="R41" s="9"/>
      <c r="S41" s="40"/>
      <c r="T41" s="9"/>
      <c r="U41" s="9"/>
      <c r="V41" s="9"/>
      <c r="W41" s="9"/>
      <c r="X41" s="9"/>
      <c r="Y41" s="9"/>
      <c r="Z41" s="10" t="str">
        <f aca="false">IF(A41="","",SG_Criteria!$B$6&amp;SG_Criteria!$B$11&amp;"\"&amp;A41&amp;"\")</f>
        <v/>
      </c>
      <c r="AA41" s="10" t="str">
        <f aca="false">IF(A41="","",A41&amp;"_CAD.dwg")</f>
        <v/>
      </c>
      <c r="AB41" s="10" t="str">
        <f aca="false">IF(A41="","",A41&amp;"_DWG.pdf")</f>
        <v/>
      </c>
      <c r="AC41" s="10" t="str">
        <f aca="false">IF(A41="","",IF(Y41="Y",A41&amp;"_STAAD.std","n/a"))</f>
        <v/>
      </c>
      <c r="AD41" s="10" t="str">
        <f aca="false">IF(A41="","",A41&amp;"_CALC.xlsx")</f>
        <v/>
      </c>
      <c r="AE41" s="10" t="str">
        <f aca="false">IF(A41="","",A41&amp;"_CALC.pdf")</f>
        <v/>
      </c>
      <c r="AF41" s="9"/>
      <c r="AG41" s="9"/>
      <c r="AH41" s="41"/>
      <c r="AI41" s="41"/>
      <c r="AJ41" s="41"/>
      <c r="AK41" s="41"/>
      <c r="AL41" s="41"/>
      <c r="AM41" s="38" t="str">
        <f aca="false">IF(OR(C41="",G41=""),"",IF(G41&lt;=IF(OR(C41="Soldier Pile &amp; Timber Lagging",C41="Trench Shoring Box",C41="Open Cut (battered)"),SG_Criteria!$B$34,SG_Criteria!$B$33),"No ERSS submission",IF(G41&lt;=SG_Criteria!$B$35,"QP(ST)",IF(G41&lt;=SG_Criteria!$B$36,"QP(ST) + AC","Geotechnical building works: QP(Geo) + AC"))))</f>
        <v/>
      </c>
      <c r="AN41" s="38" t="str">
        <f aca="false">IF(C41="","",IF(LEN(IF(AND(Q41&lt;&gt;"",Q41&lt;SG_Criteria!$B$37),"FAIL: base stability FOS &lt; "&amp;SG_Criteria!$B$37&amp;". ","")&amp;IF(AND(D41="Manhole",G41&gt;SG_Criteria!$B$36),"NOTE: BCA lists sewer manholes (pipe &lt;= 2 m dia) &gt; 6 m as non-GBW: QP(ST) + AC. ","")&amp;IF(AND(C41="Trench Shoring Box",H41="Kallang Formation (marine clay)"),"NOTE: check base heave / ground loss for shoring box in marine clay. ","")&amp;IF(AND(C41="Steel Sheet Pile Cofferdam",N(M41)&lt;G41*0.5),"NOTE: short toe embedment, check. ",""))=0,"OK",IF(AND(Q41&lt;&gt;"",Q41&lt;SG_Criteria!$B$37),"FAIL: base stability FOS &lt; "&amp;SG_Criteria!$B$37&amp;". ","")&amp;IF(AND(D41="Manhole",G41&gt;SG_Criteria!$B$36),"NOTE: BCA lists sewer manholes (pipe &lt;= 2 m dia) &gt; 6 m as non-GBW: QP(ST) + AC. ","")&amp;IF(AND(C41="Trench Shoring Box",H41="Kallang Formation (marine clay)"),"NOTE: check base heave / ground loss for shoring box in marine clay. ","")&amp;IF(AND(C41="Steel Sheet Pile Cofferdam",N(M41)&lt;G41*0.5),"NOTE: short toe embedment, check. ","")))</f>
        <v/>
      </c>
      <c r="AO41" s="9"/>
      <c r="AP41" s="9"/>
      <c r="AQ41" s="9"/>
      <c r="AR41" s="9"/>
      <c r="AS41" s="9"/>
      <c r="AT41" s="31"/>
      <c r="AU41" s="10" t="str">
        <f aca="false">IF(C41="","",IF(AND(V41="Approved",ISERROR(SEARCH("FAIL",AN41))),"Y","N"))</f>
        <v/>
      </c>
      <c r="AV41" s="10" t="str">
        <f aca="false">IF(C41="","",C41&amp;"|"&amp;G41&amp;"|"&amp;E41&amp;"|"&amp;H41&amp;"|"&amp;AU41)</f>
        <v/>
      </c>
    </row>
    <row r="42" customFormat="false" ht="15" hidden="false" customHeight="false" outlineLevel="0" collapsed="false">
      <c r="A42" s="10" t="str">
        <f aca="false">IF(C42="","","ERSS-"&amp;IFERROR(VLOOKUP(C42,Lists!$AK$4:$AL$21,2,0),"??")&amp;"-"&amp;TEXT(E42,"0000")&amp;"x"&amp;TEXT(F42,"0000")&amp;"-D"&amp;TEXT(G42*1000,"0000")&amp;"-"&amp;IFERROR(VLOOKUP(H42,Lists!$Y$4:$Z$21,2,0),"??")&amp;"-"&amp;U42)</f>
        <v/>
      </c>
      <c r="B42" s="10" t="str">
        <f aca="false">IF(C42="","",C42&amp;" for "&amp;D42&amp;", "&amp;E42&amp;" x "&amp;F42&amp;" pit, "&amp;TEXT(G42,"0.0")&amp;" m deep, "&amp;H42)</f>
        <v/>
      </c>
      <c r="C42" s="9"/>
      <c r="D42" s="9"/>
      <c r="E42" s="40"/>
      <c r="F42" s="40"/>
      <c r="G42" s="43"/>
      <c r="H42" s="9"/>
      <c r="I42" s="43"/>
      <c r="J42" s="40"/>
      <c r="K42" s="9"/>
      <c r="L42" s="43"/>
      <c r="M42" s="43"/>
      <c r="N42" s="40"/>
      <c r="O42" s="9"/>
      <c r="P42" s="9"/>
      <c r="Q42" s="41"/>
      <c r="R42" s="9"/>
      <c r="S42" s="40"/>
      <c r="T42" s="9"/>
      <c r="U42" s="9"/>
      <c r="V42" s="9"/>
      <c r="W42" s="9"/>
      <c r="X42" s="9"/>
      <c r="Y42" s="9"/>
      <c r="Z42" s="10" t="str">
        <f aca="false">IF(A42="","",SG_Criteria!$B$6&amp;SG_Criteria!$B$11&amp;"\"&amp;A42&amp;"\")</f>
        <v/>
      </c>
      <c r="AA42" s="10" t="str">
        <f aca="false">IF(A42="","",A42&amp;"_CAD.dwg")</f>
        <v/>
      </c>
      <c r="AB42" s="10" t="str">
        <f aca="false">IF(A42="","",A42&amp;"_DWG.pdf")</f>
        <v/>
      </c>
      <c r="AC42" s="10" t="str">
        <f aca="false">IF(A42="","",IF(Y42="Y",A42&amp;"_STAAD.std","n/a"))</f>
        <v/>
      </c>
      <c r="AD42" s="10" t="str">
        <f aca="false">IF(A42="","",A42&amp;"_CALC.xlsx")</f>
        <v/>
      </c>
      <c r="AE42" s="10" t="str">
        <f aca="false">IF(A42="","",A42&amp;"_CALC.pdf")</f>
        <v/>
      </c>
      <c r="AF42" s="9"/>
      <c r="AG42" s="9"/>
      <c r="AH42" s="41"/>
      <c r="AI42" s="41"/>
      <c r="AJ42" s="41"/>
      <c r="AK42" s="41"/>
      <c r="AL42" s="41"/>
      <c r="AM42" s="38" t="str">
        <f aca="false">IF(OR(C42="",G42=""),"",IF(G42&lt;=IF(OR(C42="Soldier Pile &amp; Timber Lagging",C42="Trench Shoring Box",C42="Open Cut (battered)"),SG_Criteria!$B$34,SG_Criteria!$B$33),"No ERSS submission",IF(G42&lt;=SG_Criteria!$B$35,"QP(ST)",IF(G42&lt;=SG_Criteria!$B$36,"QP(ST) + AC","Geotechnical building works: QP(Geo) + AC"))))</f>
        <v/>
      </c>
      <c r="AN42" s="38" t="str">
        <f aca="false">IF(C42="","",IF(LEN(IF(AND(Q42&lt;&gt;"",Q42&lt;SG_Criteria!$B$37),"FAIL: base stability FOS &lt; "&amp;SG_Criteria!$B$37&amp;". ","")&amp;IF(AND(D42="Manhole",G42&gt;SG_Criteria!$B$36),"NOTE: BCA lists sewer manholes (pipe &lt;= 2 m dia) &gt; 6 m as non-GBW: QP(ST) + AC. ","")&amp;IF(AND(C42="Trench Shoring Box",H42="Kallang Formation (marine clay)"),"NOTE: check base heave / ground loss for shoring box in marine clay. ","")&amp;IF(AND(C42="Steel Sheet Pile Cofferdam",N(M42)&lt;G42*0.5),"NOTE: short toe embedment, check. ",""))=0,"OK",IF(AND(Q42&lt;&gt;"",Q42&lt;SG_Criteria!$B$37),"FAIL: base stability FOS &lt; "&amp;SG_Criteria!$B$37&amp;". ","")&amp;IF(AND(D42="Manhole",G42&gt;SG_Criteria!$B$36),"NOTE: BCA lists sewer manholes (pipe &lt;= 2 m dia) &gt; 6 m as non-GBW: QP(ST) + AC. ","")&amp;IF(AND(C42="Trench Shoring Box",H42="Kallang Formation (marine clay)"),"NOTE: check base heave / ground loss for shoring box in marine clay. ","")&amp;IF(AND(C42="Steel Sheet Pile Cofferdam",N(M42)&lt;G42*0.5),"NOTE: short toe embedment, check. ","")))</f>
        <v/>
      </c>
      <c r="AO42" s="9"/>
      <c r="AP42" s="9"/>
      <c r="AQ42" s="9"/>
      <c r="AR42" s="9"/>
      <c r="AS42" s="9"/>
      <c r="AT42" s="31"/>
      <c r="AU42" s="10" t="str">
        <f aca="false">IF(C42="","",IF(AND(V42="Approved",ISERROR(SEARCH("FAIL",AN42))),"Y","N"))</f>
        <v/>
      </c>
      <c r="AV42" s="10" t="str">
        <f aca="false">IF(C42="","",C42&amp;"|"&amp;G42&amp;"|"&amp;E42&amp;"|"&amp;H42&amp;"|"&amp;AU42)</f>
        <v/>
      </c>
    </row>
    <row r="43" customFormat="false" ht="15" hidden="false" customHeight="false" outlineLevel="0" collapsed="false">
      <c r="A43" s="10" t="str">
        <f aca="false">IF(C43="","","ERSS-"&amp;IFERROR(VLOOKUP(C43,Lists!$AK$4:$AL$21,2,0),"??")&amp;"-"&amp;TEXT(E43,"0000")&amp;"x"&amp;TEXT(F43,"0000")&amp;"-D"&amp;TEXT(G43*1000,"0000")&amp;"-"&amp;IFERROR(VLOOKUP(H43,Lists!$Y$4:$Z$21,2,0),"??")&amp;"-"&amp;U43)</f>
        <v/>
      </c>
      <c r="B43" s="10" t="str">
        <f aca="false">IF(C43="","",C43&amp;" for "&amp;D43&amp;", "&amp;E43&amp;" x "&amp;F43&amp;" pit, "&amp;TEXT(G43,"0.0")&amp;" m deep, "&amp;H43)</f>
        <v/>
      </c>
      <c r="C43" s="9"/>
      <c r="D43" s="9"/>
      <c r="E43" s="40"/>
      <c r="F43" s="40"/>
      <c r="G43" s="43"/>
      <c r="H43" s="9"/>
      <c r="I43" s="43"/>
      <c r="J43" s="40"/>
      <c r="K43" s="9"/>
      <c r="L43" s="43"/>
      <c r="M43" s="43"/>
      <c r="N43" s="40"/>
      <c r="O43" s="9"/>
      <c r="P43" s="9"/>
      <c r="Q43" s="41"/>
      <c r="R43" s="9"/>
      <c r="S43" s="40"/>
      <c r="T43" s="9"/>
      <c r="U43" s="9"/>
      <c r="V43" s="9"/>
      <c r="W43" s="9"/>
      <c r="X43" s="9"/>
      <c r="Y43" s="9"/>
      <c r="Z43" s="10" t="str">
        <f aca="false">IF(A43="","",SG_Criteria!$B$6&amp;SG_Criteria!$B$11&amp;"\"&amp;A43&amp;"\")</f>
        <v/>
      </c>
      <c r="AA43" s="10" t="str">
        <f aca="false">IF(A43="","",A43&amp;"_CAD.dwg")</f>
        <v/>
      </c>
      <c r="AB43" s="10" t="str">
        <f aca="false">IF(A43="","",A43&amp;"_DWG.pdf")</f>
        <v/>
      </c>
      <c r="AC43" s="10" t="str">
        <f aca="false">IF(A43="","",IF(Y43="Y",A43&amp;"_STAAD.std","n/a"))</f>
        <v/>
      </c>
      <c r="AD43" s="10" t="str">
        <f aca="false">IF(A43="","",A43&amp;"_CALC.xlsx")</f>
        <v/>
      </c>
      <c r="AE43" s="10" t="str">
        <f aca="false">IF(A43="","",A43&amp;"_CALC.pdf")</f>
        <v/>
      </c>
      <c r="AF43" s="9"/>
      <c r="AG43" s="9"/>
      <c r="AH43" s="41"/>
      <c r="AI43" s="41"/>
      <c r="AJ43" s="41"/>
      <c r="AK43" s="41"/>
      <c r="AL43" s="41"/>
      <c r="AM43" s="38" t="str">
        <f aca="false">IF(OR(C43="",G43=""),"",IF(G43&lt;=IF(OR(C43="Soldier Pile &amp; Timber Lagging",C43="Trench Shoring Box",C43="Open Cut (battered)"),SG_Criteria!$B$34,SG_Criteria!$B$33),"No ERSS submission",IF(G43&lt;=SG_Criteria!$B$35,"QP(ST)",IF(G43&lt;=SG_Criteria!$B$36,"QP(ST) + AC","Geotechnical building works: QP(Geo) + AC"))))</f>
        <v/>
      </c>
      <c r="AN43" s="38" t="str">
        <f aca="false">IF(C43="","",IF(LEN(IF(AND(Q43&lt;&gt;"",Q43&lt;SG_Criteria!$B$37),"FAIL: base stability FOS &lt; "&amp;SG_Criteria!$B$37&amp;". ","")&amp;IF(AND(D43="Manhole",G43&gt;SG_Criteria!$B$36),"NOTE: BCA lists sewer manholes (pipe &lt;= 2 m dia) &gt; 6 m as non-GBW: QP(ST) + AC. ","")&amp;IF(AND(C43="Trench Shoring Box",H43="Kallang Formation (marine clay)"),"NOTE: check base heave / ground loss for shoring box in marine clay. ","")&amp;IF(AND(C43="Steel Sheet Pile Cofferdam",N(M43)&lt;G43*0.5),"NOTE: short toe embedment, check. ",""))=0,"OK",IF(AND(Q43&lt;&gt;"",Q43&lt;SG_Criteria!$B$37),"FAIL: base stability FOS &lt; "&amp;SG_Criteria!$B$37&amp;". ","")&amp;IF(AND(D43="Manhole",G43&gt;SG_Criteria!$B$36),"NOTE: BCA lists sewer manholes (pipe &lt;= 2 m dia) &gt; 6 m as non-GBW: QP(ST) + AC. ","")&amp;IF(AND(C43="Trench Shoring Box",H43="Kallang Formation (marine clay)"),"NOTE: check base heave / ground loss for shoring box in marine clay. ","")&amp;IF(AND(C43="Steel Sheet Pile Cofferdam",N(M43)&lt;G43*0.5),"NOTE: short toe embedment, check. ","")))</f>
        <v/>
      </c>
      <c r="AO43" s="9"/>
      <c r="AP43" s="9"/>
      <c r="AQ43" s="9"/>
      <c r="AR43" s="9"/>
      <c r="AS43" s="9"/>
      <c r="AT43" s="31"/>
      <c r="AU43" s="10" t="str">
        <f aca="false">IF(C43="","",IF(AND(V43="Approved",ISERROR(SEARCH("FAIL",AN43))),"Y","N"))</f>
        <v/>
      </c>
      <c r="AV43" s="10" t="str">
        <f aca="false">IF(C43="","",C43&amp;"|"&amp;G43&amp;"|"&amp;E43&amp;"|"&amp;H43&amp;"|"&amp;AU43)</f>
        <v/>
      </c>
    </row>
    <row r="44" customFormat="false" ht="15" hidden="false" customHeight="false" outlineLevel="0" collapsed="false">
      <c r="A44" s="10" t="str">
        <f aca="false">IF(C44="","","ERSS-"&amp;IFERROR(VLOOKUP(C44,Lists!$AK$4:$AL$21,2,0),"??")&amp;"-"&amp;TEXT(E44,"0000")&amp;"x"&amp;TEXT(F44,"0000")&amp;"-D"&amp;TEXT(G44*1000,"0000")&amp;"-"&amp;IFERROR(VLOOKUP(H44,Lists!$Y$4:$Z$21,2,0),"??")&amp;"-"&amp;U44)</f>
        <v/>
      </c>
      <c r="B44" s="10" t="str">
        <f aca="false">IF(C44="","",C44&amp;" for "&amp;D44&amp;", "&amp;E44&amp;" x "&amp;F44&amp;" pit, "&amp;TEXT(G44,"0.0")&amp;" m deep, "&amp;H44)</f>
        <v/>
      </c>
      <c r="C44" s="9"/>
      <c r="D44" s="9"/>
      <c r="E44" s="40"/>
      <c r="F44" s="40"/>
      <c r="G44" s="43"/>
      <c r="H44" s="9"/>
      <c r="I44" s="43"/>
      <c r="J44" s="40"/>
      <c r="K44" s="9"/>
      <c r="L44" s="43"/>
      <c r="M44" s="43"/>
      <c r="N44" s="40"/>
      <c r="O44" s="9"/>
      <c r="P44" s="9"/>
      <c r="Q44" s="41"/>
      <c r="R44" s="9"/>
      <c r="S44" s="40"/>
      <c r="T44" s="9"/>
      <c r="U44" s="9"/>
      <c r="V44" s="9"/>
      <c r="W44" s="9"/>
      <c r="X44" s="9"/>
      <c r="Y44" s="9"/>
      <c r="Z44" s="10" t="str">
        <f aca="false">IF(A44="","",SG_Criteria!$B$6&amp;SG_Criteria!$B$11&amp;"\"&amp;A44&amp;"\")</f>
        <v/>
      </c>
      <c r="AA44" s="10" t="str">
        <f aca="false">IF(A44="","",A44&amp;"_CAD.dwg")</f>
        <v/>
      </c>
      <c r="AB44" s="10" t="str">
        <f aca="false">IF(A44="","",A44&amp;"_DWG.pdf")</f>
        <v/>
      </c>
      <c r="AC44" s="10" t="str">
        <f aca="false">IF(A44="","",IF(Y44="Y",A44&amp;"_STAAD.std","n/a"))</f>
        <v/>
      </c>
      <c r="AD44" s="10" t="str">
        <f aca="false">IF(A44="","",A44&amp;"_CALC.xlsx")</f>
        <v/>
      </c>
      <c r="AE44" s="10" t="str">
        <f aca="false">IF(A44="","",A44&amp;"_CALC.pdf")</f>
        <v/>
      </c>
      <c r="AF44" s="9"/>
      <c r="AG44" s="9"/>
      <c r="AH44" s="41"/>
      <c r="AI44" s="41"/>
      <c r="AJ44" s="41"/>
      <c r="AK44" s="41"/>
      <c r="AL44" s="41"/>
      <c r="AM44" s="38" t="str">
        <f aca="false">IF(OR(C44="",G44=""),"",IF(G44&lt;=IF(OR(C44="Soldier Pile &amp; Timber Lagging",C44="Trench Shoring Box",C44="Open Cut (battered)"),SG_Criteria!$B$34,SG_Criteria!$B$33),"No ERSS submission",IF(G44&lt;=SG_Criteria!$B$35,"QP(ST)",IF(G44&lt;=SG_Criteria!$B$36,"QP(ST) + AC","Geotechnical building works: QP(Geo) + AC"))))</f>
        <v/>
      </c>
      <c r="AN44" s="38" t="str">
        <f aca="false">IF(C44="","",IF(LEN(IF(AND(Q44&lt;&gt;"",Q44&lt;SG_Criteria!$B$37),"FAIL: base stability FOS &lt; "&amp;SG_Criteria!$B$37&amp;". ","")&amp;IF(AND(D44="Manhole",G44&gt;SG_Criteria!$B$36),"NOTE: BCA lists sewer manholes (pipe &lt;= 2 m dia) &gt; 6 m as non-GBW: QP(ST) + AC. ","")&amp;IF(AND(C44="Trench Shoring Box",H44="Kallang Formation (marine clay)"),"NOTE: check base heave / ground loss for shoring box in marine clay. ","")&amp;IF(AND(C44="Steel Sheet Pile Cofferdam",N(M44)&lt;G44*0.5),"NOTE: short toe embedment, check. ",""))=0,"OK",IF(AND(Q44&lt;&gt;"",Q44&lt;SG_Criteria!$B$37),"FAIL: base stability FOS &lt; "&amp;SG_Criteria!$B$37&amp;". ","")&amp;IF(AND(D44="Manhole",G44&gt;SG_Criteria!$B$36),"NOTE: BCA lists sewer manholes (pipe &lt;= 2 m dia) &gt; 6 m as non-GBW: QP(ST) + AC. ","")&amp;IF(AND(C44="Trench Shoring Box",H44="Kallang Formation (marine clay)"),"NOTE: check base heave / ground loss for shoring box in marine clay. ","")&amp;IF(AND(C44="Steel Sheet Pile Cofferdam",N(M44)&lt;G44*0.5),"NOTE: short toe embedment, check. ","")))</f>
        <v/>
      </c>
      <c r="AO44" s="9"/>
      <c r="AP44" s="9"/>
      <c r="AQ44" s="9"/>
      <c r="AR44" s="9"/>
      <c r="AS44" s="9"/>
      <c r="AT44" s="31"/>
      <c r="AU44" s="10" t="str">
        <f aca="false">IF(C44="","",IF(AND(V44="Approved",ISERROR(SEARCH("FAIL",AN44))),"Y","N"))</f>
        <v/>
      </c>
      <c r="AV44" s="10" t="str">
        <f aca="false">IF(C44="","",C44&amp;"|"&amp;G44&amp;"|"&amp;E44&amp;"|"&amp;H44&amp;"|"&amp;AU44)</f>
        <v/>
      </c>
    </row>
    <row r="45" customFormat="false" ht="15" hidden="false" customHeight="false" outlineLevel="0" collapsed="false">
      <c r="A45" s="10" t="str">
        <f aca="false">IF(C45="","","ERSS-"&amp;IFERROR(VLOOKUP(C45,Lists!$AK$4:$AL$21,2,0),"??")&amp;"-"&amp;TEXT(E45,"0000")&amp;"x"&amp;TEXT(F45,"0000")&amp;"-D"&amp;TEXT(G45*1000,"0000")&amp;"-"&amp;IFERROR(VLOOKUP(H45,Lists!$Y$4:$Z$21,2,0),"??")&amp;"-"&amp;U45)</f>
        <v/>
      </c>
      <c r="B45" s="10" t="str">
        <f aca="false">IF(C45="","",C45&amp;" for "&amp;D45&amp;", "&amp;E45&amp;" x "&amp;F45&amp;" pit, "&amp;TEXT(G45,"0.0")&amp;" m deep, "&amp;H45)</f>
        <v/>
      </c>
      <c r="C45" s="9"/>
      <c r="D45" s="9"/>
      <c r="E45" s="40"/>
      <c r="F45" s="40"/>
      <c r="G45" s="43"/>
      <c r="H45" s="9"/>
      <c r="I45" s="43"/>
      <c r="J45" s="40"/>
      <c r="K45" s="9"/>
      <c r="L45" s="43"/>
      <c r="M45" s="43"/>
      <c r="N45" s="40"/>
      <c r="O45" s="9"/>
      <c r="P45" s="9"/>
      <c r="Q45" s="41"/>
      <c r="R45" s="9"/>
      <c r="S45" s="40"/>
      <c r="T45" s="9"/>
      <c r="U45" s="9"/>
      <c r="V45" s="9"/>
      <c r="W45" s="9"/>
      <c r="X45" s="9"/>
      <c r="Y45" s="9"/>
      <c r="Z45" s="10" t="str">
        <f aca="false">IF(A45="","",SG_Criteria!$B$6&amp;SG_Criteria!$B$11&amp;"\"&amp;A45&amp;"\")</f>
        <v/>
      </c>
      <c r="AA45" s="10" t="str">
        <f aca="false">IF(A45="","",A45&amp;"_CAD.dwg")</f>
        <v/>
      </c>
      <c r="AB45" s="10" t="str">
        <f aca="false">IF(A45="","",A45&amp;"_DWG.pdf")</f>
        <v/>
      </c>
      <c r="AC45" s="10" t="str">
        <f aca="false">IF(A45="","",IF(Y45="Y",A45&amp;"_STAAD.std","n/a"))</f>
        <v/>
      </c>
      <c r="AD45" s="10" t="str">
        <f aca="false">IF(A45="","",A45&amp;"_CALC.xlsx")</f>
        <v/>
      </c>
      <c r="AE45" s="10" t="str">
        <f aca="false">IF(A45="","",A45&amp;"_CALC.pdf")</f>
        <v/>
      </c>
      <c r="AF45" s="9"/>
      <c r="AG45" s="9"/>
      <c r="AH45" s="41"/>
      <c r="AI45" s="41"/>
      <c r="AJ45" s="41"/>
      <c r="AK45" s="41"/>
      <c r="AL45" s="41"/>
      <c r="AM45" s="38" t="str">
        <f aca="false">IF(OR(C45="",G45=""),"",IF(G45&lt;=IF(OR(C45="Soldier Pile &amp; Timber Lagging",C45="Trench Shoring Box",C45="Open Cut (battered)"),SG_Criteria!$B$34,SG_Criteria!$B$33),"No ERSS submission",IF(G45&lt;=SG_Criteria!$B$35,"QP(ST)",IF(G45&lt;=SG_Criteria!$B$36,"QP(ST) + AC","Geotechnical building works: QP(Geo) + AC"))))</f>
        <v/>
      </c>
      <c r="AN45" s="38" t="str">
        <f aca="false">IF(C45="","",IF(LEN(IF(AND(Q45&lt;&gt;"",Q45&lt;SG_Criteria!$B$37),"FAIL: base stability FOS &lt; "&amp;SG_Criteria!$B$37&amp;". ","")&amp;IF(AND(D45="Manhole",G45&gt;SG_Criteria!$B$36),"NOTE: BCA lists sewer manholes (pipe &lt;= 2 m dia) &gt; 6 m as non-GBW: QP(ST) + AC. ","")&amp;IF(AND(C45="Trench Shoring Box",H45="Kallang Formation (marine clay)"),"NOTE: check base heave / ground loss for shoring box in marine clay. ","")&amp;IF(AND(C45="Steel Sheet Pile Cofferdam",N(M45)&lt;G45*0.5),"NOTE: short toe embedment, check. ",""))=0,"OK",IF(AND(Q45&lt;&gt;"",Q45&lt;SG_Criteria!$B$37),"FAIL: base stability FOS &lt; "&amp;SG_Criteria!$B$37&amp;". ","")&amp;IF(AND(D45="Manhole",G45&gt;SG_Criteria!$B$36),"NOTE: BCA lists sewer manholes (pipe &lt;= 2 m dia) &gt; 6 m as non-GBW: QP(ST) + AC. ","")&amp;IF(AND(C45="Trench Shoring Box",H45="Kallang Formation (marine clay)"),"NOTE: check base heave / ground loss for shoring box in marine clay. ","")&amp;IF(AND(C45="Steel Sheet Pile Cofferdam",N(M45)&lt;G45*0.5),"NOTE: short toe embedment, check. ","")))</f>
        <v/>
      </c>
      <c r="AO45" s="9"/>
      <c r="AP45" s="9"/>
      <c r="AQ45" s="9"/>
      <c r="AR45" s="9"/>
      <c r="AS45" s="9"/>
      <c r="AT45" s="31"/>
      <c r="AU45" s="10" t="str">
        <f aca="false">IF(C45="","",IF(AND(V45="Approved",ISERROR(SEARCH("FAIL",AN45))),"Y","N"))</f>
        <v/>
      </c>
      <c r="AV45" s="10" t="str">
        <f aca="false">IF(C45="","",C45&amp;"|"&amp;G45&amp;"|"&amp;E45&amp;"|"&amp;H45&amp;"|"&amp;AU45)</f>
        <v/>
      </c>
    </row>
    <row r="46" customFormat="false" ht="15" hidden="false" customHeight="false" outlineLevel="0" collapsed="false">
      <c r="A46" s="10" t="str">
        <f aca="false">IF(C46="","","ERSS-"&amp;IFERROR(VLOOKUP(C46,Lists!$AK$4:$AL$21,2,0),"??")&amp;"-"&amp;TEXT(E46,"0000")&amp;"x"&amp;TEXT(F46,"0000")&amp;"-D"&amp;TEXT(G46*1000,"0000")&amp;"-"&amp;IFERROR(VLOOKUP(H46,Lists!$Y$4:$Z$21,2,0),"??")&amp;"-"&amp;U46)</f>
        <v/>
      </c>
      <c r="B46" s="10" t="str">
        <f aca="false">IF(C46="","",C46&amp;" for "&amp;D46&amp;", "&amp;E46&amp;" x "&amp;F46&amp;" pit, "&amp;TEXT(G46,"0.0")&amp;" m deep, "&amp;H46)</f>
        <v/>
      </c>
      <c r="C46" s="9"/>
      <c r="D46" s="9"/>
      <c r="E46" s="40"/>
      <c r="F46" s="40"/>
      <c r="G46" s="43"/>
      <c r="H46" s="9"/>
      <c r="I46" s="43"/>
      <c r="J46" s="40"/>
      <c r="K46" s="9"/>
      <c r="L46" s="43"/>
      <c r="M46" s="43"/>
      <c r="N46" s="40"/>
      <c r="O46" s="9"/>
      <c r="P46" s="9"/>
      <c r="Q46" s="41"/>
      <c r="R46" s="9"/>
      <c r="S46" s="40"/>
      <c r="T46" s="9"/>
      <c r="U46" s="9"/>
      <c r="V46" s="9"/>
      <c r="W46" s="9"/>
      <c r="X46" s="9"/>
      <c r="Y46" s="9"/>
      <c r="Z46" s="10" t="str">
        <f aca="false">IF(A46="","",SG_Criteria!$B$6&amp;SG_Criteria!$B$11&amp;"\"&amp;A46&amp;"\")</f>
        <v/>
      </c>
      <c r="AA46" s="10" t="str">
        <f aca="false">IF(A46="","",A46&amp;"_CAD.dwg")</f>
        <v/>
      </c>
      <c r="AB46" s="10" t="str">
        <f aca="false">IF(A46="","",A46&amp;"_DWG.pdf")</f>
        <v/>
      </c>
      <c r="AC46" s="10" t="str">
        <f aca="false">IF(A46="","",IF(Y46="Y",A46&amp;"_STAAD.std","n/a"))</f>
        <v/>
      </c>
      <c r="AD46" s="10" t="str">
        <f aca="false">IF(A46="","",A46&amp;"_CALC.xlsx")</f>
        <v/>
      </c>
      <c r="AE46" s="10" t="str">
        <f aca="false">IF(A46="","",A46&amp;"_CALC.pdf")</f>
        <v/>
      </c>
      <c r="AF46" s="9"/>
      <c r="AG46" s="9"/>
      <c r="AH46" s="41"/>
      <c r="AI46" s="41"/>
      <c r="AJ46" s="41"/>
      <c r="AK46" s="41"/>
      <c r="AL46" s="41"/>
      <c r="AM46" s="38" t="str">
        <f aca="false">IF(OR(C46="",G46=""),"",IF(G46&lt;=IF(OR(C46="Soldier Pile &amp; Timber Lagging",C46="Trench Shoring Box",C46="Open Cut (battered)"),SG_Criteria!$B$34,SG_Criteria!$B$33),"No ERSS submission",IF(G46&lt;=SG_Criteria!$B$35,"QP(ST)",IF(G46&lt;=SG_Criteria!$B$36,"QP(ST) + AC","Geotechnical building works: QP(Geo) + AC"))))</f>
        <v/>
      </c>
      <c r="AN46" s="38" t="str">
        <f aca="false">IF(C46="","",IF(LEN(IF(AND(Q46&lt;&gt;"",Q46&lt;SG_Criteria!$B$37),"FAIL: base stability FOS &lt; "&amp;SG_Criteria!$B$37&amp;". ","")&amp;IF(AND(D46="Manhole",G46&gt;SG_Criteria!$B$36),"NOTE: BCA lists sewer manholes (pipe &lt;= 2 m dia) &gt; 6 m as non-GBW: QP(ST) + AC. ","")&amp;IF(AND(C46="Trench Shoring Box",H46="Kallang Formation (marine clay)"),"NOTE: check base heave / ground loss for shoring box in marine clay. ","")&amp;IF(AND(C46="Steel Sheet Pile Cofferdam",N(M46)&lt;G46*0.5),"NOTE: short toe embedment, check. ",""))=0,"OK",IF(AND(Q46&lt;&gt;"",Q46&lt;SG_Criteria!$B$37),"FAIL: base stability FOS &lt; "&amp;SG_Criteria!$B$37&amp;". ","")&amp;IF(AND(D46="Manhole",G46&gt;SG_Criteria!$B$36),"NOTE: BCA lists sewer manholes (pipe &lt;= 2 m dia) &gt; 6 m as non-GBW: QP(ST) + AC. ","")&amp;IF(AND(C46="Trench Shoring Box",H46="Kallang Formation (marine clay)"),"NOTE: check base heave / ground loss for shoring box in marine clay. ","")&amp;IF(AND(C46="Steel Sheet Pile Cofferdam",N(M46)&lt;G46*0.5),"NOTE: short toe embedment, check. ","")))</f>
        <v/>
      </c>
      <c r="AO46" s="9"/>
      <c r="AP46" s="9"/>
      <c r="AQ46" s="9"/>
      <c r="AR46" s="9"/>
      <c r="AS46" s="9"/>
      <c r="AT46" s="31"/>
      <c r="AU46" s="10" t="str">
        <f aca="false">IF(C46="","",IF(AND(V46="Approved",ISERROR(SEARCH("FAIL",AN46))),"Y","N"))</f>
        <v/>
      </c>
      <c r="AV46" s="10" t="str">
        <f aca="false">IF(C46="","",C46&amp;"|"&amp;G46&amp;"|"&amp;E46&amp;"|"&amp;H46&amp;"|"&amp;AU46)</f>
        <v/>
      </c>
    </row>
    <row r="47" customFormat="false" ht="15" hidden="false" customHeight="false" outlineLevel="0" collapsed="false">
      <c r="A47" s="10" t="str">
        <f aca="false">IF(C47="","","ERSS-"&amp;IFERROR(VLOOKUP(C47,Lists!$AK$4:$AL$21,2,0),"??")&amp;"-"&amp;TEXT(E47,"0000")&amp;"x"&amp;TEXT(F47,"0000")&amp;"-D"&amp;TEXT(G47*1000,"0000")&amp;"-"&amp;IFERROR(VLOOKUP(H47,Lists!$Y$4:$Z$21,2,0),"??")&amp;"-"&amp;U47)</f>
        <v/>
      </c>
      <c r="B47" s="10" t="str">
        <f aca="false">IF(C47="","",C47&amp;" for "&amp;D47&amp;", "&amp;E47&amp;" x "&amp;F47&amp;" pit, "&amp;TEXT(G47,"0.0")&amp;" m deep, "&amp;H47)</f>
        <v/>
      </c>
      <c r="C47" s="9"/>
      <c r="D47" s="9"/>
      <c r="E47" s="40"/>
      <c r="F47" s="40"/>
      <c r="G47" s="43"/>
      <c r="H47" s="9"/>
      <c r="I47" s="43"/>
      <c r="J47" s="40"/>
      <c r="K47" s="9"/>
      <c r="L47" s="43"/>
      <c r="M47" s="43"/>
      <c r="N47" s="40"/>
      <c r="O47" s="9"/>
      <c r="P47" s="9"/>
      <c r="Q47" s="41"/>
      <c r="R47" s="9"/>
      <c r="S47" s="40"/>
      <c r="T47" s="9"/>
      <c r="U47" s="9"/>
      <c r="V47" s="9"/>
      <c r="W47" s="9"/>
      <c r="X47" s="9"/>
      <c r="Y47" s="9"/>
      <c r="Z47" s="10" t="str">
        <f aca="false">IF(A47="","",SG_Criteria!$B$6&amp;SG_Criteria!$B$11&amp;"\"&amp;A47&amp;"\")</f>
        <v/>
      </c>
      <c r="AA47" s="10" t="str">
        <f aca="false">IF(A47="","",A47&amp;"_CAD.dwg")</f>
        <v/>
      </c>
      <c r="AB47" s="10" t="str">
        <f aca="false">IF(A47="","",A47&amp;"_DWG.pdf")</f>
        <v/>
      </c>
      <c r="AC47" s="10" t="str">
        <f aca="false">IF(A47="","",IF(Y47="Y",A47&amp;"_STAAD.std","n/a"))</f>
        <v/>
      </c>
      <c r="AD47" s="10" t="str">
        <f aca="false">IF(A47="","",A47&amp;"_CALC.xlsx")</f>
        <v/>
      </c>
      <c r="AE47" s="10" t="str">
        <f aca="false">IF(A47="","",A47&amp;"_CALC.pdf")</f>
        <v/>
      </c>
      <c r="AF47" s="9"/>
      <c r="AG47" s="9"/>
      <c r="AH47" s="41"/>
      <c r="AI47" s="41"/>
      <c r="AJ47" s="41"/>
      <c r="AK47" s="41"/>
      <c r="AL47" s="41"/>
      <c r="AM47" s="38" t="str">
        <f aca="false">IF(OR(C47="",G47=""),"",IF(G47&lt;=IF(OR(C47="Soldier Pile &amp; Timber Lagging",C47="Trench Shoring Box",C47="Open Cut (battered)"),SG_Criteria!$B$34,SG_Criteria!$B$33),"No ERSS submission",IF(G47&lt;=SG_Criteria!$B$35,"QP(ST)",IF(G47&lt;=SG_Criteria!$B$36,"QP(ST) + AC","Geotechnical building works: QP(Geo) + AC"))))</f>
        <v/>
      </c>
      <c r="AN47" s="38" t="str">
        <f aca="false">IF(C47="","",IF(LEN(IF(AND(Q47&lt;&gt;"",Q47&lt;SG_Criteria!$B$37),"FAIL: base stability FOS &lt; "&amp;SG_Criteria!$B$37&amp;". ","")&amp;IF(AND(D47="Manhole",G47&gt;SG_Criteria!$B$36),"NOTE: BCA lists sewer manholes (pipe &lt;= 2 m dia) &gt; 6 m as non-GBW: QP(ST) + AC. ","")&amp;IF(AND(C47="Trench Shoring Box",H47="Kallang Formation (marine clay)"),"NOTE: check base heave / ground loss for shoring box in marine clay. ","")&amp;IF(AND(C47="Steel Sheet Pile Cofferdam",N(M47)&lt;G47*0.5),"NOTE: short toe embedment, check. ",""))=0,"OK",IF(AND(Q47&lt;&gt;"",Q47&lt;SG_Criteria!$B$37),"FAIL: base stability FOS &lt; "&amp;SG_Criteria!$B$37&amp;". ","")&amp;IF(AND(D47="Manhole",G47&gt;SG_Criteria!$B$36),"NOTE: BCA lists sewer manholes (pipe &lt;= 2 m dia) &gt; 6 m as non-GBW: QP(ST) + AC. ","")&amp;IF(AND(C47="Trench Shoring Box",H47="Kallang Formation (marine clay)"),"NOTE: check base heave / ground loss for shoring box in marine clay. ","")&amp;IF(AND(C47="Steel Sheet Pile Cofferdam",N(M47)&lt;G47*0.5),"NOTE: short toe embedment, check. ","")))</f>
        <v/>
      </c>
      <c r="AO47" s="9"/>
      <c r="AP47" s="9"/>
      <c r="AQ47" s="9"/>
      <c r="AR47" s="9"/>
      <c r="AS47" s="9"/>
      <c r="AT47" s="31"/>
      <c r="AU47" s="10" t="str">
        <f aca="false">IF(C47="","",IF(AND(V47="Approved",ISERROR(SEARCH("FAIL",AN47))),"Y","N"))</f>
        <v/>
      </c>
      <c r="AV47" s="10" t="str">
        <f aca="false">IF(C47="","",C47&amp;"|"&amp;G47&amp;"|"&amp;E47&amp;"|"&amp;H47&amp;"|"&amp;AU47)</f>
        <v/>
      </c>
    </row>
    <row r="48" customFormat="false" ht="15" hidden="false" customHeight="false" outlineLevel="0" collapsed="false">
      <c r="A48" s="10" t="str">
        <f aca="false">IF(C48="","","ERSS-"&amp;IFERROR(VLOOKUP(C48,Lists!$AK$4:$AL$21,2,0),"??")&amp;"-"&amp;TEXT(E48,"0000")&amp;"x"&amp;TEXT(F48,"0000")&amp;"-D"&amp;TEXT(G48*1000,"0000")&amp;"-"&amp;IFERROR(VLOOKUP(H48,Lists!$Y$4:$Z$21,2,0),"??")&amp;"-"&amp;U48)</f>
        <v/>
      </c>
      <c r="B48" s="10" t="str">
        <f aca="false">IF(C48="","",C48&amp;" for "&amp;D48&amp;", "&amp;E48&amp;" x "&amp;F48&amp;" pit, "&amp;TEXT(G48,"0.0")&amp;" m deep, "&amp;H48)</f>
        <v/>
      </c>
      <c r="C48" s="9"/>
      <c r="D48" s="9"/>
      <c r="E48" s="40"/>
      <c r="F48" s="40"/>
      <c r="G48" s="43"/>
      <c r="H48" s="9"/>
      <c r="I48" s="43"/>
      <c r="J48" s="40"/>
      <c r="K48" s="9"/>
      <c r="L48" s="43"/>
      <c r="M48" s="43"/>
      <c r="N48" s="40"/>
      <c r="O48" s="9"/>
      <c r="P48" s="9"/>
      <c r="Q48" s="41"/>
      <c r="R48" s="9"/>
      <c r="S48" s="40"/>
      <c r="T48" s="9"/>
      <c r="U48" s="9"/>
      <c r="V48" s="9"/>
      <c r="W48" s="9"/>
      <c r="X48" s="9"/>
      <c r="Y48" s="9"/>
      <c r="Z48" s="10" t="str">
        <f aca="false">IF(A48="","",SG_Criteria!$B$6&amp;SG_Criteria!$B$11&amp;"\"&amp;A48&amp;"\")</f>
        <v/>
      </c>
      <c r="AA48" s="10" t="str">
        <f aca="false">IF(A48="","",A48&amp;"_CAD.dwg")</f>
        <v/>
      </c>
      <c r="AB48" s="10" t="str">
        <f aca="false">IF(A48="","",A48&amp;"_DWG.pdf")</f>
        <v/>
      </c>
      <c r="AC48" s="10" t="str">
        <f aca="false">IF(A48="","",IF(Y48="Y",A48&amp;"_STAAD.std","n/a"))</f>
        <v/>
      </c>
      <c r="AD48" s="10" t="str">
        <f aca="false">IF(A48="","",A48&amp;"_CALC.xlsx")</f>
        <v/>
      </c>
      <c r="AE48" s="10" t="str">
        <f aca="false">IF(A48="","",A48&amp;"_CALC.pdf")</f>
        <v/>
      </c>
      <c r="AF48" s="9"/>
      <c r="AG48" s="9"/>
      <c r="AH48" s="41"/>
      <c r="AI48" s="41"/>
      <c r="AJ48" s="41"/>
      <c r="AK48" s="41"/>
      <c r="AL48" s="41"/>
      <c r="AM48" s="38" t="str">
        <f aca="false">IF(OR(C48="",G48=""),"",IF(G48&lt;=IF(OR(C48="Soldier Pile &amp; Timber Lagging",C48="Trench Shoring Box",C48="Open Cut (battered)"),SG_Criteria!$B$34,SG_Criteria!$B$33),"No ERSS submission",IF(G48&lt;=SG_Criteria!$B$35,"QP(ST)",IF(G48&lt;=SG_Criteria!$B$36,"QP(ST) + AC","Geotechnical building works: QP(Geo) + AC"))))</f>
        <v/>
      </c>
      <c r="AN48" s="38" t="str">
        <f aca="false">IF(C48="","",IF(LEN(IF(AND(Q48&lt;&gt;"",Q48&lt;SG_Criteria!$B$37),"FAIL: base stability FOS &lt; "&amp;SG_Criteria!$B$37&amp;". ","")&amp;IF(AND(D48="Manhole",G48&gt;SG_Criteria!$B$36),"NOTE: BCA lists sewer manholes (pipe &lt;= 2 m dia) &gt; 6 m as non-GBW: QP(ST) + AC. ","")&amp;IF(AND(C48="Trench Shoring Box",H48="Kallang Formation (marine clay)"),"NOTE: check base heave / ground loss for shoring box in marine clay. ","")&amp;IF(AND(C48="Steel Sheet Pile Cofferdam",N(M48)&lt;G48*0.5),"NOTE: short toe embedment, check. ",""))=0,"OK",IF(AND(Q48&lt;&gt;"",Q48&lt;SG_Criteria!$B$37),"FAIL: base stability FOS &lt; "&amp;SG_Criteria!$B$37&amp;". ","")&amp;IF(AND(D48="Manhole",G48&gt;SG_Criteria!$B$36),"NOTE: BCA lists sewer manholes (pipe &lt;= 2 m dia) &gt; 6 m as non-GBW: QP(ST) + AC. ","")&amp;IF(AND(C48="Trench Shoring Box",H48="Kallang Formation (marine clay)"),"NOTE: check base heave / ground loss for shoring box in marine clay. ","")&amp;IF(AND(C48="Steel Sheet Pile Cofferdam",N(M48)&lt;G48*0.5),"NOTE: short toe embedment, check. ","")))</f>
        <v/>
      </c>
      <c r="AO48" s="9"/>
      <c r="AP48" s="9"/>
      <c r="AQ48" s="9"/>
      <c r="AR48" s="9"/>
      <c r="AS48" s="9"/>
      <c r="AT48" s="31"/>
      <c r="AU48" s="10" t="str">
        <f aca="false">IF(C48="","",IF(AND(V48="Approved",ISERROR(SEARCH("FAIL",AN48))),"Y","N"))</f>
        <v/>
      </c>
      <c r="AV48" s="10" t="str">
        <f aca="false">IF(C48="","",C48&amp;"|"&amp;G48&amp;"|"&amp;E48&amp;"|"&amp;H48&amp;"|"&amp;AU48)</f>
        <v/>
      </c>
    </row>
    <row r="49" customFormat="false" ht="15" hidden="false" customHeight="false" outlineLevel="0" collapsed="false">
      <c r="A49" s="10" t="str">
        <f aca="false">IF(C49="","","ERSS-"&amp;IFERROR(VLOOKUP(C49,Lists!$AK$4:$AL$21,2,0),"??")&amp;"-"&amp;TEXT(E49,"0000")&amp;"x"&amp;TEXT(F49,"0000")&amp;"-D"&amp;TEXT(G49*1000,"0000")&amp;"-"&amp;IFERROR(VLOOKUP(H49,Lists!$Y$4:$Z$21,2,0),"??")&amp;"-"&amp;U49)</f>
        <v/>
      </c>
      <c r="B49" s="10" t="str">
        <f aca="false">IF(C49="","",C49&amp;" for "&amp;D49&amp;", "&amp;E49&amp;" x "&amp;F49&amp;" pit, "&amp;TEXT(G49,"0.0")&amp;" m deep, "&amp;H49)</f>
        <v/>
      </c>
      <c r="C49" s="9"/>
      <c r="D49" s="9"/>
      <c r="E49" s="40"/>
      <c r="F49" s="40"/>
      <c r="G49" s="43"/>
      <c r="H49" s="9"/>
      <c r="I49" s="43"/>
      <c r="J49" s="40"/>
      <c r="K49" s="9"/>
      <c r="L49" s="43"/>
      <c r="M49" s="43"/>
      <c r="N49" s="40"/>
      <c r="O49" s="9"/>
      <c r="P49" s="9"/>
      <c r="Q49" s="41"/>
      <c r="R49" s="9"/>
      <c r="S49" s="40"/>
      <c r="T49" s="9"/>
      <c r="U49" s="9"/>
      <c r="V49" s="9"/>
      <c r="W49" s="9"/>
      <c r="X49" s="9"/>
      <c r="Y49" s="9"/>
      <c r="Z49" s="10" t="str">
        <f aca="false">IF(A49="","",SG_Criteria!$B$6&amp;SG_Criteria!$B$11&amp;"\"&amp;A49&amp;"\")</f>
        <v/>
      </c>
      <c r="AA49" s="10" t="str">
        <f aca="false">IF(A49="","",A49&amp;"_CAD.dwg")</f>
        <v/>
      </c>
      <c r="AB49" s="10" t="str">
        <f aca="false">IF(A49="","",A49&amp;"_DWG.pdf")</f>
        <v/>
      </c>
      <c r="AC49" s="10" t="str">
        <f aca="false">IF(A49="","",IF(Y49="Y",A49&amp;"_STAAD.std","n/a"))</f>
        <v/>
      </c>
      <c r="AD49" s="10" t="str">
        <f aca="false">IF(A49="","",A49&amp;"_CALC.xlsx")</f>
        <v/>
      </c>
      <c r="AE49" s="10" t="str">
        <f aca="false">IF(A49="","",A49&amp;"_CALC.pdf")</f>
        <v/>
      </c>
      <c r="AF49" s="9"/>
      <c r="AG49" s="9"/>
      <c r="AH49" s="41"/>
      <c r="AI49" s="41"/>
      <c r="AJ49" s="41"/>
      <c r="AK49" s="41"/>
      <c r="AL49" s="41"/>
      <c r="AM49" s="38" t="str">
        <f aca="false">IF(OR(C49="",G49=""),"",IF(G49&lt;=IF(OR(C49="Soldier Pile &amp; Timber Lagging",C49="Trench Shoring Box",C49="Open Cut (battered)"),SG_Criteria!$B$34,SG_Criteria!$B$33),"No ERSS submission",IF(G49&lt;=SG_Criteria!$B$35,"QP(ST)",IF(G49&lt;=SG_Criteria!$B$36,"QP(ST) + AC","Geotechnical building works: QP(Geo) + AC"))))</f>
        <v/>
      </c>
      <c r="AN49" s="38" t="str">
        <f aca="false">IF(C49="","",IF(LEN(IF(AND(Q49&lt;&gt;"",Q49&lt;SG_Criteria!$B$37),"FAIL: base stability FOS &lt; "&amp;SG_Criteria!$B$37&amp;". ","")&amp;IF(AND(D49="Manhole",G49&gt;SG_Criteria!$B$36),"NOTE: BCA lists sewer manholes (pipe &lt;= 2 m dia) &gt; 6 m as non-GBW: QP(ST) + AC. ","")&amp;IF(AND(C49="Trench Shoring Box",H49="Kallang Formation (marine clay)"),"NOTE: check base heave / ground loss for shoring box in marine clay. ","")&amp;IF(AND(C49="Steel Sheet Pile Cofferdam",N(M49)&lt;G49*0.5),"NOTE: short toe embedment, check. ",""))=0,"OK",IF(AND(Q49&lt;&gt;"",Q49&lt;SG_Criteria!$B$37),"FAIL: base stability FOS &lt; "&amp;SG_Criteria!$B$37&amp;". ","")&amp;IF(AND(D49="Manhole",G49&gt;SG_Criteria!$B$36),"NOTE: BCA lists sewer manholes (pipe &lt;= 2 m dia) &gt; 6 m as non-GBW: QP(ST) + AC. ","")&amp;IF(AND(C49="Trench Shoring Box",H49="Kallang Formation (marine clay)"),"NOTE: check base heave / ground loss for shoring box in marine clay. ","")&amp;IF(AND(C49="Steel Sheet Pile Cofferdam",N(M49)&lt;G49*0.5),"NOTE: short toe embedment, check. ","")))</f>
        <v/>
      </c>
      <c r="AO49" s="9"/>
      <c r="AP49" s="9"/>
      <c r="AQ49" s="9"/>
      <c r="AR49" s="9"/>
      <c r="AS49" s="9"/>
      <c r="AT49" s="31"/>
      <c r="AU49" s="10" t="str">
        <f aca="false">IF(C49="","",IF(AND(V49="Approved",ISERROR(SEARCH("FAIL",AN49))),"Y","N"))</f>
        <v/>
      </c>
      <c r="AV49" s="10" t="str">
        <f aca="false">IF(C49="","",C49&amp;"|"&amp;G49&amp;"|"&amp;E49&amp;"|"&amp;H49&amp;"|"&amp;AU49)</f>
        <v/>
      </c>
    </row>
    <row r="50" customFormat="false" ht="15" hidden="false" customHeight="false" outlineLevel="0" collapsed="false">
      <c r="A50" s="10" t="str">
        <f aca="false">IF(C50="","","ERSS-"&amp;IFERROR(VLOOKUP(C50,Lists!$AK$4:$AL$21,2,0),"??")&amp;"-"&amp;TEXT(E50,"0000")&amp;"x"&amp;TEXT(F50,"0000")&amp;"-D"&amp;TEXT(G50*1000,"0000")&amp;"-"&amp;IFERROR(VLOOKUP(H50,Lists!$Y$4:$Z$21,2,0),"??")&amp;"-"&amp;U50)</f>
        <v/>
      </c>
      <c r="B50" s="10" t="str">
        <f aca="false">IF(C50="","",C50&amp;" for "&amp;D50&amp;", "&amp;E50&amp;" x "&amp;F50&amp;" pit, "&amp;TEXT(G50,"0.0")&amp;" m deep, "&amp;H50)</f>
        <v/>
      </c>
      <c r="C50" s="9"/>
      <c r="D50" s="9"/>
      <c r="E50" s="40"/>
      <c r="F50" s="40"/>
      <c r="G50" s="43"/>
      <c r="H50" s="9"/>
      <c r="I50" s="43"/>
      <c r="J50" s="40"/>
      <c r="K50" s="9"/>
      <c r="L50" s="43"/>
      <c r="M50" s="43"/>
      <c r="N50" s="40"/>
      <c r="O50" s="9"/>
      <c r="P50" s="9"/>
      <c r="Q50" s="41"/>
      <c r="R50" s="9"/>
      <c r="S50" s="40"/>
      <c r="T50" s="9"/>
      <c r="U50" s="9"/>
      <c r="V50" s="9"/>
      <c r="W50" s="9"/>
      <c r="X50" s="9"/>
      <c r="Y50" s="9"/>
      <c r="Z50" s="10" t="str">
        <f aca="false">IF(A50="","",SG_Criteria!$B$6&amp;SG_Criteria!$B$11&amp;"\"&amp;A50&amp;"\")</f>
        <v/>
      </c>
      <c r="AA50" s="10" t="str">
        <f aca="false">IF(A50="","",A50&amp;"_CAD.dwg")</f>
        <v/>
      </c>
      <c r="AB50" s="10" t="str">
        <f aca="false">IF(A50="","",A50&amp;"_DWG.pdf")</f>
        <v/>
      </c>
      <c r="AC50" s="10" t="str">
        <f aca="false">IF(A50="","",IF(Y50="Y",A50&amp;"_STAAD.std","n/a"))</f>
        <v/>
      </c>
      <c r="AD50" s="10" t="str">
        <f aca="false">IF(A50="","",A50&amp;"_CALC.xlsx")</f>
        <v/>
      </c>
      <c r="AE50" s="10" t="str">
        <f aca="false">IF(A50="","",A50&amp;"_CALC.pdf")</f>
        <v/>
      </c>
      <c r="AF50" s="9"/>
      <c r="AG50" s="9"/>
      <c r="AH50" s="41"/>
      <c r="AI50" s="41"/>
      <c r="AJ50" s="41"/>
      <c r="AK50" s="41"/>
      <c r="AL50" s="41"/>
      <c r="AM50" s="38" t="str">
        <f aca="false">IF(OR(C50="",G50=""),"",IF(G50&lt;=IF(OR(C50="Soldier Pile &amp; Timber Lagging",C50="Trench Shoring Box",C50="Open Cut (battered)"),SG_Criteria!$B$34,SG_Criteria!$B$33),"No ERSS submission",IF(G50&lt;=SG_Criteria!$B$35,"QP(ST)",IF(G50&lt;=SG_Criteria!$B$36,"QP(ST) + AC","Geotechnical building works: QP(Geo) + AC"))))</f>
        <v/>
      </c>
      <c r="AN50" s="38" t="str">
        <f aca="false">IF(C50="","",IF(LEN(IF(AND(Q50&lt;&gt;"",Q50&lt;SG_Criteria!$B$37),"FAIL: base stability FOS &lt; "&amp;SG_Criteria!$B$37&amp;". ","")&amp;IF(AND(D50="Manhole",G50&gt;SG_Criteria!$B$36),"NOTE: BCA lists sewer manholes (pipe &lt;= 2 m dia) &gt; 6 m as non-GBW: QP(ST) + AC. ","")&amp;IF(AND(C50="Trench Shoring Box",H50="Kallang Formation (marine clay)"),"NOTE: check base heave / ground loss for shoring box in marine clay. ","")&amp;IF(AND(C50="Steel Sheet Pile Cofferdam",N(M50)&lt;G50*0.5),"NOTE: short toe embedment, check. ",""))=0,"OK",IF(AND(Q50&lt;&gt;"",Q50&lt;SG_Criteria!$B$37),"FAIL: base stability FOS &lt; "&amp;SG_Criteria!$B$37&amp;". ","")&amp;IF(AND(D50="Manhole",G50&gt;SG_Criteria!$B$36),"NOTE: BCA lists sewer manholes (pipe &lt;= 2 m dia) &gt; 6 m as non-GBW: QP(ST) + AC. ","")&amp;IF(AND(C50="Trench Shoring Box",H50="Kallang Formation (marine clay)"),"NOTE: check base heave / ground loss for shoring box in marine clay. ","")&amp;IF(AND(C50="Steel Sheet Pile Cofferdam",N(M50)&lt;G50*0.5),"NOTE: short toe embedment, check. ","")))</f>
        <v/>
      </c>
      <c r="AO50" s="9"/>
      <c r="AP50" s="9"/>
      <c r="AQ50" s="9"/>
      <c r="AR50" s="9"/>
      <c r="AS50" s="9"/>
      <c r="AT50" s="31"/>
      <c r="AU50" s="10" t="str">
        <f aca="false">IF(C50="","",IF(AND(V50="Approved",ISERROR(SEARCH("FAIL",AN50))),"Y","N"))</f>
        <v/>
      </c>
      <c r="AV50" s="10" t="str">
        <f aca="false">IF(C50="","",C50&amp;"|"&amp;G50&amp;"|"&amp;E50&amp;"|"&amp;H50&amp;"|"&amp;AU50)</f>
        <v/>
      </c>
    </row>
    <row r="51" customFormat="false" ht="15" hidden="false" customHeight="false" outlineLevel="0" collapsed="false">
      <c r="A51" s="10" t="str">
        <f aca="false">IF(C51="","","ERSS-"&amp;IFERROR(VLOOKUP(C51,Lists!$AK$4:$AL$21,2,0),"??")&amp;"-"&amp;TEXT(E51,"0000")&amp;"x"&amp;TEXT(F51,"0000")&amp;"-D"&amp;TEXT(G51*1000,"0000")&amp;"-"&amp;IFERROR(VLOOKUP(H51,Lists!$Y$4:$Z$21,2,0),"??")&amp;"-"&amp;U51)</f>
        <v/>
      </c>
      <c r="B51" s="10" t="str">
        <f aca="false">IF(C51="","",C51&amp;" for "&amp;D51&amp;", "&amp;E51&amp;" x "&amp;F51&amp;" pit, "&amp;TEXT(G51,"0.0")&amp;" m deep, "&amp;H51)</f>
        <v/>
      </c>
      <c r="C51" s="9"/>
      <c r="D51" s="9"/>
      <c r="E51" s="40"/>
      <c r="F51" s="40"/>
      <c r="G51" s="43"/>
      <c r="H51" s="9"/>
      <c r="I51" s="43"/>
      <c r="J51" s="40"/>
      <c r="K51" s="9"/>
      <c r="L51" s="43"/>
      <c r="M51" s="43"/>
      <c r="N51" s="40"/>
      <c r="O51" s="9"/>
      <c r="P51" s="9"/>
      <c r="Q51" s="41"/>
      <c r="R51" s="9"/>
      <c r="S51" s="40"/>
      <c r="T51" s="9"/>
      <c r="U51" s="9"/>
      <c r="V51" s="9"/>
      <c r="W51" s="9"/>
      <c r="X51" s="9"/>
      <c r="Y51" s="9"/>
      <c r="Z51" s="10" t="str">
        <f aca="false">IF(A51="","",SG_Criteria!$B$6&amp;SG_Criteria!$B$11&amp;"\"&amp;A51&amp;"\")</f>
        <v/>
      </c>
      <c r="AA51" s="10" t="str">
        <f aca="false">IF(A51="","",A51&amp;"_CAD.dwg")</f>
        <v/>
      </c>
      <c r="AB51" s="10" t="str">
        <f aca="false">IF(A51="","",A51&amp;"_DWG.pdf")</f>
        <v/>
      </c>
      <c r="AC51" s="10" t="str">
        <f aca="false">IF(A51="","",IF(Y51="Y",A51&amp;"_STAAD.std","n/a"))</f>
        <v/>
      </c>
      <c r="AD51" s="10" t="str">
        <f aca="false">IF(A51="","",A51&amp;"_CALC.xlsx")</f>
        <v/>
      </c>
      <c r="AE51" s="10" t="str">
        <f aca="false">IF(A51="","",A51&amp;"_CALC.pdf")</f>
        <v/>
      </c>
      <c r="AF51" s="9"/>
      <c r="AG51" s="9"/>
      <c r="AH51" s="41"/>
      <c r="AI51" s="41"/>
      <c r="AJ51" s="41"/>
      <c r="AK51" s="41"/>
      <c r="AL51" s="41"/>
      <c r="AM51" s="38" t="str">
        <f aca="false">IF(OR(C51="",G51=""),"",IF(G51&lt;=IF(OR(C51="Soldier Pile &amp; Timber Lagging",C51="Trench Shoring Box",C51="Open Cut (battered)"),SG_Criteria!$B$34,SG_Criteria!$B$33),"No ERSS submission",IF(G51&lt;=SG_Criteria!$B$35,"QP(ST)",IF(G51&lt;=SG_Criteria!$B$36,"QP(ST) + AC","Geotechnical building works: QP(Geo) + AC"))))</f>
        <v/>
      </c>
      <c r="AN51" s="38" t="str">
        <f aca="false">IF(C51="","",IF(LEN(IF(AND(Q51&lt;&gt;"",Q51&lt;SG_Criteria!$B$37),"FAIL: base stability FOS &lt; "&amp;SG_Criteria!$B$37&amp;". ","")&amp;IF(AND(D51="Manhole",G51&gt;SG_Criteria!$B$36),"NOTE: BCA lists sewer manholes (pipe &lt;= 2 m dia) &gt; 6 m as non-GBW: QP(ST) + AC. ","")&amp;IF(AND(C51="Trench Shoring Box",H51="Kallang Formation (marine clay)"),"NOTE: check base heave / ground loss for shoring box in marine clay. ","")&amp;IF(AND(C51="Steel Sheet Pile Cofferdam",N(M51)&lt;G51*0.5),"NOTE: short toe embedment, check. ",""))=0,"OK",IF(AND(Q51&lt;&gt;"",Q51&lt;SG_Criteria!$B$37),"FAIL: base stability FOS &lt; "&amp;SG_Criteria!$B$37&amp;". ","")&amp;IF(AND(D51="Manhole",G51&gt;SG_Criteria!$B$36),"NOTE: BCA lists sewer manholes (pipe &lt;= 2 m dia) &gt; 6 m as non-GBW: QP(ST) + AC. ","")&amp;IF(AND(C51="Trench Shoring Box",H51="Kallang Formation (marine clay)"),"NOTE: check base heave / ground loss for shoring box in marine clay. ","")&amp;IF(AND(C51="Steel Sheet Pile Cofferdam",N(M51)&lt;G51*0.5),"NOTE: short toe embedment, check. ","")))</f>
        <v/>
      </c>
      <c r="AO51" s="9"/>
      <c r="AP51" s="9"/>
      <c r="AQ51" s="9"/>
      <c r="AR51" s="9"/>
      <c r="AS51" s="9"/>
      <c r="AT51" s="31"/>
      <c r="AU51" s="10" t="str">
        <f aca="false">IF(C51="","",IF(AND(V51="Approved",ISERROR(SEARCH("FAIL",AN51))),"Y","N"))</f>
        <v/>
      </c>
      <c r="AV51" s="10" t="str">
        <f aca="false">IF(C51="","",C51&amp;"|"&amp;G51&amp;"|"&amp;E51&amp;"|"&amp;H51&amp;"|"&amp;AU51)</f>
        <v/>
      </c>
    </row>
    <row r="52" customFormat="false" ht="15" hidden="false" customHeight="false" outlineLevel="0" collapsed="false">
      <c r="A52" s="10" t="str">
        <f aca="false">IF(C52="","","ERSS-"&amp;IFERROR(VLOOKUP(C52,Lists!$AK$4:$AL$21,2,0),"??")&amp;"-"&amp;TEXT(E52,"0000")&amp;"x"&amp;TEXT(F52,"0000")&amp;"-D"&amp;TEXT(G52*1000,"0000")&amp;"-"&amp;IFERROR(VLOOKUP(H52,Lists!$Y$4:$Z$21,2,0),"??")&amp;"-"&amp;U52)</f>
        <v/>
      </c>
      <c r="B52" s="10" t="str">
        <f aca="false">IF(C52="","",C52&amp;" for "&amp;D52&amp;", "&amp;E52&amp;" x "&amp;F52&amp;" pit, "&amp;TEXT(G52,"0.0")&amp;" m deep, "&amp;H52)</f>
        <v/>
      </c>
      <c r="C52" s="9"/>
      <c r="D52" s="9"/>
      <c r="E52" s="40"/>
      <c r="F52" s="40"/>
      <c r="G52" s="43"/>
      <c r="H52" s="9"/>
      <c r="I52" s="43"/>
      <c r="J52" s="40"/>
      <c r="K52" s="9"/>
      <c r="L52" s="43"/>
      <c r="M52" s="43"/>
      <c r="N52" s="40"/>
      <c r="O52" s="9"/>
      <c r="P52" s="9"/>
      <c r="Q52" s="41"/>
      <c r="R52" s="9"/>
      <c r="S52" s="40"/>
      <c r="T52" s="9"/>
      <c r="U52" s="9"/>
      <c r="V52" s="9"/>
      <c r="W52" s="9"/>
      <c r="X52" s="9"/>
      <c r="Y52" s="9"/>
      <c r="Z52" s="10" t="str">
        <f aca="false">IF(A52="","",SG_Criteria!$B$6&amp;SG_Criteria!$B$11&amp;"\"&amp;A52&amp;"\")</f>
        <v/>
      </c>
      <c r="AA52" s="10" t="str">
        <f aca="false">IF(A52="","",A52&amp;"_CAD.dwg")</f>
        <v/>
      </c>
      <c r="AB52" s="10" t="str">
        <f aca="false">IF(A52="","",A52&amp;"_DWG.pdf")</f>
        <v/>
      </c>
      <c r="AC52" s="10" t="str">
        <f aca="false">IF(A52="","",IF(Y52="Y",A52&amp;"_STAAD.std","n/a"))</f>
        <v/>
      </c>
      <c r="AD52" s="10" t="str">
        <f aca="false">IF(A52="","",A52&amp;"_CALC.xlsx")</f>
        <v/>
      </c>
      <c r="AE52" s="10" t="str">
        <f aca="false">IF(A52="","",A52&amp;"_CALC.pdf")</f>
        <v/>
      </c>
      <c r="AF52" s="9"/>
      <c r="AG52" s="9"/>
      <c r="AH52" s="41"/>
      <c r="AI52" s="41"/>
      <c r="AJ52" s="41"/>
      <c r="AK52" s="41"/>
      <c r="AL52" s="41"/>
      <c r="AM52" s="38" t="str">
        <f aca="false">IF(OR(C52="",G52=""),"",IF(G52&lt;=IF(OR(C52="Soldier Pile &amp; Timber Lagging",C52="Trench Shoring Box",C52="Open Cut (battered)"),SG_Criteria!$B$34,SG_Criteria!$B$33),"No ERSS submission",IF(G52&lt;=SG_Criteria!$B$35,"QP(ST)",IF(G52&lt;=SG_Criteria!$B$36,"QP(ST) + AC","Geotechnical building works: QP(Geo) + AC"))))</f>
        <v/>
      </c>
      <c r="AN52" s="38" t="str">
        <f aca="false">IF(C52="","",IF(LEN(IF(AND(Q52&lt;&gt;"",Q52&lt;SG_Criteria!$B$37),"FAIL: base stability FOS &lt; "&amp;SG_Criteria!$B$37&amp;". ","")&amp;IF(AND(D52="Manhole",G52&gt;SG_Criteria!$B$36),"NOTE: BCA lists sewer manholes (pipe &lt;= 2 m dia) &gt; 6 m as non-GBW: QP(ST) + AC. ","")&amp;IF(AND(C52="Trench Shoring Box",H52="Kallang Formation (marine clay)"),"NOTE: check base heave / ground loss for shoring box in marine clay. ","")&amp;IF(AND(C52="Steel Sheet Pile Cofferdam",N(M52)&lt;G52*0.5),"NOTE: short toe embedment, check. ",""))=0,"OK",IF(AND(Q52&lt;&gt;"",Q52&lt;SG_Criteria!$B$37),"FAIL: base stability FOS &lt; "&amp;SG_Criteria!$B$37&amp;". ","")&amp;IF(AND(D52="Manhole",G52&gt;SG_Criteria!$B$36),"NOTE: BCA lists sewer manholes (pipe &lt;= 2 m dia) &gt; 6 m as non-GBW: QP(ST) + AC. ","")&amp;IF(AND(C52="Trench Shoring Box",H52="Kallang Formation (marine clay)"),"NOTE: check base heave / ground loss for shoring box in marine clay. ","")&amp;IF(AND(C52="Steel Sheet Pile Cofferdam",N(M52)&lt;G52*0.5),"NOTE: short toe embedment, check. ","")))</f>
        <v/>
      </c>
      <c r="AO52" s="9"/>
      <c r="AP52" s="9"/>
      <c r="AQ52" s="9"/>
      <c r="AR52" s="9"/>
      <c r="AS52" s="9"/>
      <c r="AT52" s="31"/>
      <c r="AU52" s="10" t="str">
        <f aca="false">IF(C52="","",IF(AND(V52="Approved",ISERROR(SEARCH("FAIL",AN52))),"Y","N"))</f>
        <v/>
      </c>
      <c r="AV52" s="10" t="str">
        <f aca="false">IF(C52="","",C52&amp;"|"&amp;G52&amp;"|"&amp;E52&amp;"|"&amp;H52&amp;"|"&amp;AU52)</f>
        <v/>
      </c>
    </row>
    <row r="53" customFormat="false" ht="15" hidden="false" customHeight="false" outlineLevel="0" collapsed="false">
      <c r="A53" s="10" t="str">
        <f aca="false">IF(C53="","","ERSS-"&amp;IFERROR(VLOOKUP(C53,Lists!$AK$4:$AL$21,2,0),"??")&amp;"-"&amp;TEXT(E53,"0000")&amp;"x"&amp;TEXT(F53,"0000")&amp;"-D"&amp;TEXT(G53*1000,"0000")&amp;"-"&amp;IFERROR(VLOOKUP(H53,Lists!$Y$4:$Z$21,2,0),"??")&amp;"-"&amp;U53)</f>
        <v/>
      </c>
      <c r="B53" s="10" t="str">
        <f aca="false">IF(C53="","",C53&amp;" for "&amp;D53&amp;", "&amp;E53&amp;" x "&amp;F53&amp;" pit, "&amp;TEXT(G53,"0.0")&amp;" m deep, "&amp;H53)</f>
        <v/>
      </c>
      <c r="C53" s="9"/>
      <c r="D53" s="9"/>
      <c r="E53" s="40"/>
      <c r="F53" s="40"/>
      <c r="G53" s="43"/>
      <c r="H53" s="9"/>
      <c r="I53" s="43"/>
      <c r="J53" s="40"/>
      <c r="K53" s="9"/>
      <c r="L53" s="43"/>
      <c r="M53" s="43"/>
      <c r="N53" s="40"/>
      <c r="O53" s="9"/>
      <c r="P53" s="9"/>
      <c r="Q53" s="41"/>
      <c r="R53" s="9"/>
      <c r="S53" s="40"/>
      <c r="T53" s="9"/>
      <c r="U53" s="9"/>
      <c r="V53" s="9"/>
      <c r="W53" s="9"/>
      <c r="X53" s="9"/>
      <c r="Y53" s="9"/>
      <c r="Z53" s="10" t="str">
        <f aca="false">IF(A53="","",SG_Criteria!$B$6&amp;SG_Criteria!$B$11&amp;"\"&amp;A53&amp;"\")</f>
        <v/>
      </c>
      <c r="AA53" s="10" t="str">
        <f aca="false">IF(A53="","",A53&amp;"_CAD.dwg")</f>
        <v/>
      </c>
      <c r="AB53" s="10" t="str">
        <f aca="false">IF(A53="","",A53&amp;"_DWG.pdf")</f>
        <v/>
      </c>
      <c r="AC53" s="10" t="str">
        <f aca="false">IF(A53="","",IF(Y53="Y",A53&amp;"_STAAD.std","n/a"))</f>
        <v/>
      </c>
      <c r="AD53" s="10" t="str">
        <f aca="false">IF(A53="","",A53&amp;"_CALC.xlsx")</f>
        <v/>
      </c>
      <c r="AE53" s="10" t="str">
        <f aca="false">IF(A53="","",A53&amp;"_CALC.pdf")</f>
        <v/>
      </c>
      <c r="AF53" s="9"/>
      <c r="AG53" s="9"/>
      <c r="AH53" s="41"/>
      <c r="AI53" s="41"/>
      <c r="AJ53" s="41"/>
      <c r="AK53" s="41"/>
      <c r="AL53" s="41"/>
      <c r="AM53" s="38" t="str">
        <f aca="false">IF(OR(C53="",G53=""),"",IF(G53&lt;=IF(OR(C53="Soldier Pile &amp; Timber Lagging",C53="Trench Shoring Box",C53="Open Cut (battered)"),SG_Criteria!$B$34,SG_Criteria!$B$33),"No ERSS submission",IF(G53&lt;=SG_Criteria!$B$35,"QP(ST)",IF(G53&lt;=SG_Criteria!$B$36,"QP(ST) + AC","Geotechnical building works: QP(Geo) + AC"))))</f>
        <v/>
      </c>
      <c r="AN53" s="38" t="str">
        <f aca="false">IF(C53="","",IF(LEN(IF(AND(Q53&lt;&gt;"",Q53&lt;SG_Criteria!$B$37),"FAIL: base stability FOS &lt; "&amp;SG_Criteria!$B$37&amp;". ","")&amp;IF(AND(D53="Manhole",G53&gt;SG_Criteria!$B$36),"NOTE: BCA lists sewer manholes (pipe &lt;= 2 m dia) &gt; 6 m as non-GBW: QP(ST) + AC. ","")&amp;IF(AND(C53="Trench Shoring Box",H53="Kallang Formation (marine clay)"),"NOTE: check base heave / ground loss for shoring box in marine clay. ","")&amp;IF(AND(C53="Steel Sheet Pile Cofferdam",N(M53)&lt;G53*0.5),"NOTE: short toe embedment, check. ",""))=0,"OK",IF(AND(Q53&lt;&gt;"",Q53&lt;SG_Criteria!$B$37),"FAIL: base stability FOS &lt; "&amp;SG_Criteria!$B$37&amp;". ","")&amp;IF(AND(D53="Manhole",G53&gt;SG_Criteria!$B$36),"NOTE: BCA lists sewer manholes (pipe &lt;= 2 m dia) &gt; 6 m as non-GBW: QP(ST) + AC. ","")&amp;IF(AND(C53="Trench Shoring Box",H53="Kallang Formation (marine clay)"),"NOTE: check base heave / ground loss for shoring box in marine clay. ","")&amp;IF(AND(C53="Steel Sheet Pile Cofferdam",N(M53)&lt;G53*0.5),"NOTE: short toe embedment, check. ","")))</f>
        <v/>
      </c>
      <c r="AO53" s="9"/>
      <c r="AP53" s="9"/>
      <c r="AQ53" s="9"/>
      <c r="AR53" s="9"/>
      <c r="AS53" s="9"/>
      <c r="AT53" s="31"/>
      <c r="AU53" s="10" t="str">
        <f aca="false">IF(C53="","",IF(AND(V53="Approved",ISERROR(SEARCH("FAIL",AN53))),"Y","N"))</f>
        <v/>
      </c>
      <c r="AV53" s="10" t="str">
        <f aca="false">IF(C53="","",C53&amp;"|"&amp;G53&amp;"|"&amp;E53&amp;"|"&amp;H53&amp;"|"&amp;AU53)</f>
        <v/>
      </c>
    </row>
    <row r="54" customFormat="false" ht="15" hidden="false" customHeight="false" outlineLevel="0" collapsed="false">
      <c r="A54" s="10" t="str">
        <f aca="false">IF(C54="","","ERSS-"&amp;IFERROR(VLOOKUP(C54,Lists!$AK$4:$AL$21,2,0),"??")&amp;"-"&amp;TEXT(E54,"0000")&amp;"x"&amp;TEXT(F54,"0000")&amp;"-D"&amp;TEXT(G54*1000,"0000")&amp;"-"&amp;IFERROR(VLOOKUP(H54,Lists!$Y$4:$Z$21,2,0),"??")&amp;"-"&amp;U54)</f>
        <v/>
      </c>
      <c r="B54" s="10" t="str">
        <f aca="false">IF(C54="","",C54&amp;" for "&amp;D54&amp;", "&amp;E54&amp;" x "&amp;F54&amp;" pit, "&amp;TEXT(G54,"0.0")&amp;" m deep, "&amp;H54)</f>
        <v/>
      </c>
      <c r="C54" s="9"/>
      <c r="D54" s="9"/>
      <c r="E54" s="40"/>
      <c r="F54" s="40"/>
      <c r="G54" s="43"/>
      <c r="H54" s="9"/>
      <c r="I54" s="43"/>
      <c r="J54" s="40"/>
      <c r="K54" s="9"/>
      <c r="L54" s="43"/>
      <c r="M54" s="43"/>
      <c r="N54" s="40"/>
      <c r="O54" s="9"/>
      <c r="P54" s="9"/>
      <c r="Q54" s="41"/>
      <c r="R54" s="9"/>
      <c r="S54" s="40"/>
      <c r="T54" s="9"/>
      <c r="U54" s="9"/>
      <c r="V54" s="9"/>
      <c r="W54" s="9"/>
      <c r="X54" s="9"/>
      <c r="Y54" s="9"/>
      <c r="Z54" s="10" t="str">
        <f aca="false">IF(A54="","",SG_Criteria!$B$6&amp;SG_Criteria!$B$11&amp;"\"&amp;A54&amp;"\")</f>
        <v/>
      </c>
      <c r="AA54" s="10" t="str">
        <f aca="false">IF(A54="","",A54&amp;"_CAD.dwg")</f>
        <v/>
      </c>
      <c r="AB54" s="10" t="str">
        <f aca="false">IF(A54="","",A54&amp;"_DWG.pdf")</f>
        <v/>
      </c>
      <c r="AC54" s="10" t="str">
        <f aca="false">IF(A54="","",IF(Y54="Y",A54&amp;"_STAAD.std","n/a"))</f>
        <v/>
      </c>
      <c r="AD54" s="10" t="str">
        <f aca="false">IF(A54="","",A54&amp;"_CALC.xlsx")</f>
        <v/>
      </c>
      <c r="AE54" s="10" t="str">
        <f aca="false">IF(A54="","",A54&amp;"_CALC.pdf")</f>
        <v/>
      </c>
      <c r="AF54" s="9"/>
      <c r="AG54" s="9"/>
      <c r="AH54" s="41"/>
      <c r="AI54" s="41"/>
      <c r="AJ54" s="41"/>
      <c r="AK54" s="41"/>
      <c r="AL54" s="41"/>
      <c r="AM54" s="38" t="str">
        <f aca="false">IF(OR(C54="",G54=""),"",IF(G54&lt;=IF(OR(C54="Soldier Pile &amp; Timber Lagging",C54="Trench Shoring Box",C54="Open Cut (battered)"),SG_Criteria!$B$34,SG_Criteria!$B$33),"No ERSS submission",IF(G54&lt;=SG_Criteria!$B$35,"QP(ST)",IF(G54&lt;=SG_Criteria!$B$36,"QP(ST) + AC","Geotechnical building works: QP(Geo) + AC"))))</f>
        <v/>
      </c>
      <c r="AN54" s="38" t="str">
        <f aca="false">IF(C54="","",IF(LEN(IF(AND(Q54&lt;&gt;"",Q54&lt;SG_Criteria!$B$37),"FAIL: base stability FOS &lt; "&amp;SG_Criteria!$B$37&amp;". ","")&amp;IF(AND(D54="Manhole",G54&gt;SG_Criteria!$B$36),"NOTE: BCA lists sewer manholes (pipe &lt;= 2 m dia) &gt; 6 m as non-GBW: QP(ST) + AC. ","")&amp;IF(AND(C54="Trench Shoring Box",H54="Kallang Formation (marine clay)"),"NOTE: check base heave / ground loss for shoring box in marine clay. ","")&amp;IF(AND(C54="Steel Sheet Pile Cofferdam",N(M54)&lt;G54*0.5),"NOTE: short toe embedment, check. ",""))=0,"OK",IF(AND(Q54&lt;&gt;"",Q54&lt;SG_Criteria!$B$37),"FAIL: base stability FOS &lt; "&amp;SG_Criteria!$B$37&amp;". ","")&amp;IF(AND(D54="Manhole",G54&gt;SG_Criteria!$B$36),"NOTE: BCA lists sewer manholes (pipe &lt;= 2 m dia) &gt; 6 m as non-GBW: QP(ST) + AC. ","")&amp;IF(AND(C54="Trench Shoring Box",H54="Kallang Formation (marine clay)"),"NOTE: check base heave / ground loss for shoring box in marine clay. ","")&amp;IF(AND(C54="Steel Sheet Pile Cofferdam",N(M54)&lt;G54*0.5),"NOTE: short toe embedment, check. ","")))</f>
        <v/>
      </c>
      <c r="AO54" s="9"/>
      <c r="AP54" s="9"/>
      <c r="AQ54" s="9"/>
      <c r="AR54" s="9"/>
      <c r="AS54" s="9"/>
      <c r="AT54" s="31"/>
      <c r="AU54" s="10" t="str">
        <f aca="false">IF(C54="","",IF(AND(V54="Approved",ISERROR(SEARCH("FAIL",AN54))),"Y","N"))</f>
        <v/>
      </c>
      <c r="AV54" s="10" t="str">
        <f aca="false">IF(C54="","",C54&amp;"|"&amp;G54&amp;"|"&amp;E54&amp;"|"&amp;H54&amp;"|"&amp;AU54)</f>
        <v/>
      </c>
    </row>
    <row r="55" customFormat="false" ht="15" hidden="false" customHeight="false" outlineLevel="0" collapsed="false">
      <c r="A55" s="10" t="str">
        <f aca="false">IF(C55="","","ERSS-"&amp;IFERROR(VLOOKUP(C55,Lists!$AK$4:$AL$21,2,0),"??")&amp;"-"&amp;TEXT(E55,"0000")&amp;"x"&amp;TEXT(F55,"0000")&amp;"-D"&amp;TEXT(G55*1000,"0000")&amp;"-"&amp;IFERROR(VLOOKUP(H55,Lists!$Y$4:$Z$21,2,0),"??")&amp;"-"&amp;U55)</f>
        <v/>
      </c>
      <c r="B55" s="10" t="str">
        <f aca="false">IF(C55="","",C55&amp;" for "&amp;D55&amp;", "&amp;E55&amp;" x "&amp;F55&amp;" pit, "&amp;TEXT(G55,"0.0")&amp;" m deep, "&amp;H55)</f>
        <v/>
      </c>
      <c r="C55" s="9"/>
      <c r="D55" s="9"/>
      <c r="E55" s="40"/>
      <c r="F55" s="40"/>
      <c r="G55" s="43"/>
      <c r="H55" s="9"/>
      <c r="I55" s="43"/>
      <c r="J55" s="40"/>
      <c r="K55" s="9"/>
      <c r="L55" s="43"/>
      <c r="M55" s="43"/>
      <c r="N55" s="40"/>
      <c r="O55" s="9"/>
      <c r="P55" s="9"/>
      <c r="Q55" s="41"/>
      <c r="R55" s="9"/>
      <c r="S55" s="40"/>
      <c r="T55" s="9"/>
      <c r="U55" s="9"/>
      <c r="V55" s="9"/>
      <c r="W55" s="9"/>
      <c r="X55" s="9"/>
      <c r="Y55" s="9"/>
      <c r="Z55" s="10" t="str">
        <f aca="false">IF(A55="","",SG_Criteria!$B$6&amp;SG_Criteria!$B$11&amp;"\"&amp;A55&amp;"\")</f>
        <v/>
      </c>
      <c r="AA55" s="10" t="str">
        <f aca="false">IF(A55="","",A55&amp;"_CAD.dwg")</f>
        <v/>
      </c>
      <c r="AB55" s="10" t="str">
        <f aca="false">IF(A55="","",A55&amp;"_DWG.pdf")</f>
        <v/>
      </c>
      <c r="AC55" s="10" t="str">
        <f aca="false">IF(A55="","",IF(Y55="Y",A55&amp;"_STAAD.std","n/a"))</f>
        <v/>
      </c>
      <c r="AD55" s="10" t="str">
        <f aca="false">IF(A55="","",A55&amp;"_CALC.xlsx")</f>
        <v/>
      </c>
      <c r="AE55" s="10" t="str">
        <f aca="false">IF(A55="","",A55&amp;"_CALC.pdf")</f>
        <v/>
      </c>
      <c r="AF55" s="9"/>
      <c r="AG55" s="9"/>
      <c r="AH55" s="41"/>
      <c r="AI55" s="41"/>
      <c r="AJ55" s="41"/>
      <c r="AK55" s="41"/>
      <c r="AL55" s="41"/>
      <c r="AM55" s="38" t="str">
        <f aca="false">IF(OR(C55="",G55=""),"",IF(G55&lt;=IF(OR(C55="Soldier Pile &amp; Timber Lagging",C55="Trench Shoring Box",C55="Open Cut (battered)"),SG_Criteria!$B$34,SG_Criteria!$B$33),"No ERSS submission",IF(G55&lt;=SG_Criteria!$B$35,"QP(ST)",IF(G55&lt;=SG_Criteria!$B$36,"QP(ST) + AC","Geotechnical building works: QP(Geo) + AC"))))</f>
        <v/>
      </c>
      <c r="AN55" s="38" t="str">
        <f aca="false">IF(C55="","",IF(LEN(IF(AND(Q55&lt;&gt;"",Q55&lt;SG_Criteria!$B$37),"FAIL: base stability FOS &lt; "&amp;SG_Criteria!$B$37&amp;". ","")&amp;IF(AND(D55="Manhole",G55&gt;SG_Criteria!$B$36),"NOTE: BCA lists sewer manholes (pipe &lt;= 2 m dia) &gt; 6 m as non-GBW: QP(ST) + AC. ","")&amp;IF(AND(C55="Trench Shoring Box",H55="Kallang Formation (marine clay)"),"NOTE: check base heave / ground loss for shoring box in marine clay. ","")&amp;IF(AND(C55="Steel Sheet Pile Cofferdam",N(M55)&lt;G55*0.5),"NOTE: short toe embedment, check. ",""))=0,"OK",IF(AND(Q55&lt;&gt;"",Q55&lt;SG_Criteria!$B$37),"FAIL: base stability FOS &lt; "&amp;SG_Criteria!$B$37&amp;". ","")&amp;IF(AND(D55="Manhole",G55&gt;SG_Criteria!$B$36),"NOTE: BCA lists sewer manholes (pipe &lt;= 2 m dia) &gt; 6 m as non-GBW: QP(ST) + AC. ","")&amp;IF(AND(C55="Trench Shoring Box",H55="Kallang Formation (marine clay)"),"NOTE: check base heave / ground loss for shoring box in marine clay. ","")&amp;IF(AND(C55="Steel Sheet Pile Cofferdam",N(M55)&lt;G55*0.5),"NOTE: short toe embedment, check. ","")))</f>
        <v/>
      </c>
      <c r="AO55" s="9"/>
      <c r="AP55" s="9"/>
      <c r="AQ55" s="9"/>
      <c r="AR55" s="9"/>
      <c r="AS55" s="9"/>
      <c r="AT55" s="31"/>
      <c r="AU55" s="10" t="str">
        <f aca="false">IF(C55="","",IF(AND(V55="Approved",ISERROR(SEARCH("FAIL",AN55))),"Y","N"))</f>
        <v/>
      </c>
      <c r="AV55" s="10" t="str">
        <f aca="false">IF(C55="","",C55&amp;"|"&amp;G55&amp;"|"&amp;E55&amp;"|"&amp;H55&amp;"|"&amp;AU55)</f>
        <v/>
      </c>
    </row>
    <row r="56" customFormat="false" ht="15" hidden="false" customHeight="false" outlineLevel="0" collapsed="false">
      <c r="A56" s="10" t="str">
        <f aca="false">IF(C56="","","ERSS-"&amp;IFERROR(VLOOKUP(C56,Lists!$AK$4:$AL$21,2,0),"??")&amp;"-"&amp;TEXT(E56,"0000")&amp;"x"&amp;TEXT(F56,"0000")&amp;"-D"&amp;TEXT(G56*1000,"0000")&amp;"-"&amp;IFERROR(VLOOKUP(H56,Lists!$Y$4:$Z$21,2,0),"??")&amp;"-"&amp;U56)</f>
        <v/>
      </c>
      <c r="B56" s="10" t="str">
        <f aca="false">IF(C56="","",C56&amp;" for "&amp;D56&amp;", "&amp;E56&amp;" x "&amp;F56&amp;" pit, "&amp;TEXT(G56,"0.0")&amp;" m deep, "&amp;H56)</f>
        <v/>
      </c>
      <c r="C56" s="9"/>
      <c r="D56" s="9"/>
      <c r="E56" s="40"/>
      <c r="F56" s="40"/>
      <c r="G56" s="43"/>
      <c r="H56" s="9"/>
      <c r="I56" s="43"/>
      <c r="J56" s="40"/>
      <c r="K56" s="9"/>
      <c r="L56" s="43"/>
      <c r="M56" s="43"/>
      <c r="N56" s="40"/>
      <c r="O56" s="9"/>
      <c r="P56" s="9"/>
      <c r="Q56" s="41"/>
      <c r="R56" s="9"/>
      <c r="S56" s="40"/>
      <c r="T56" s="9"/>
      <c r="U56" s="9"/>
      <c r="V56" s="9"/>
      <c r="W56" s="9"/>
      <c r="X56" s="9"/>
      <c r="Y56" s="9"/>
      <c r="Z56" s="10" t="str">
        <f aca="false">IF(A56="","",SG_Criteria!$B$6&amp;SG_Criteria!$B$11&amp;"\"&amp;A56&amp;"\")</f>
        <v/>
      </c>
      <c r="AA56" s="10" t="str">
        <f aca="false">IF(A56="","",A56&amp;"_CAD.dwg")</f>
        <v/>
      </c>
      <c r="AB56" s="10" t="str">
        <f aca="false">IF(A56="","",A56&amp;"_DWG.pdf")</f>
        <v/>
      </c>
      <c r="AC56" s="10" t="str">
        <f aca="false">IF(A56="","",IF(Y56="Y",A56&amp;"_STAAD.std","n/a"))</f>
        <v/>
      </c>
      <c r="AD56" s="10" t="str">
        <f aca="false">IF(A56="","",A56&amp;"_CALC.xlsx")</f>
        <v/>
      </c>
      <c r="AE56" s="10" t="str">
        <f aca="false">IF(A56="","",A56&amp;"_CALC.pdf")</f>
        <v/>
      </c>
      <c r="AF56" s="9"/>
      <c r="AG56" s="9"/>
      <c r="AH56" s="41"/>
      <c r="AI56" s="41"/>
      <c r="AJ56" s="41"/>
      <c r="AK56" s="41"/>
      <c r="AL56" s="41"/>
      <c r="AM56" s="38" t="str">
        <f aca="false">IF(OR(C56="",G56=""),"",IF(G56&lt;=IF(OR(C56="Soldier Pile &amp; Timber Lagging",C56="Trench Shoring Box",C56="Open Cut (battered)"),SG_Criteria!$B$34,SG_Criteria!$B$33),"No ERSS submission",IF(G56&lt;=SG_Criteria!$B$35,"QP(ST)",IF(G56&lt;=SG_Criteria!$B$36,"QP(ST) + AC","Geotechnical building works: QP(Geo) + AC"))))</f>
        <v/>
      </c>
      <c r="AN56" s="38" t="str">
        <f aca="false">IF(C56="","",IF(LEN(IF(AND(Q56&lt;&gt;"",Q56&lt;SG_Criteria!$B$37),"FAIL: base stability FOS &lt; "&amp;SG_Criteria!$B$37&amp;". ","")&amp;IF(AND(D56="Manhole",G56&gt;SG_Criteria!$B$36),"NOTE: BCA lists sewer manholes (pipe &lt;= 2 m dia) &gt; 6 m as non-GBW: QP(ST) + AC. ","")&amp;IF(AND(C56="Trench Shoring Box",H56="Kallang Formation (marine clay)"),"NOTE: check base heave / ground loss for shoring box in marine clay. ","")&amp;IF(AND(C56="Steel Sheet Pile Cofferdam",N(M56)&lt;G56*0.5),"NOTE: short toe embedment, check. ",""))=0,"OK",IF(AND(Q56&lt;&gt;"",Q56&lt;SG_Criteria!$B$37),"FAIL: base stability FOS &lt; "&amp;SG_Criteria!$B$37&amp;". ","")&amp;IF(AND(D56="Manhole",G56&gt;SG_Criteria!$B$36),"NOTE: BCA lists sewer manholes (pipe &lt;= 2 m dia) &gt; 6 m as non-GBW: QP(ST) + AC. ","")&amp;IF(AND(C56="Trench Shoring Box",H56="Kallang Formation (marine clay)"),"NOTE: check base heave / ground loss for shoring box in marine clay. ","")&amp;IF(AND(C56="Steel Sheet Pile Cofferdam",N(M56)&lt;G56*0.5),"NOTE: short toe embedment, check. ","")))</f>
        <v/>
      </c>
      <c r="AO56" s="9"/>
      <c r="AP56" s="9"/>
      <c r="AQ56" s="9"/>
      <c r="AR56" s="9"/>
      <c r="AS56" s="9"/>
      <c r="AT56" s="31"/>
      <c r="AU56" s="10" t="str">
        <f aca="false">IF(C56="","",IF(AND(V56="Approved",ISERROR(SEARCH("FAIL",AN56))),"Y","N"))</f>
        <v/>
      </c>
      <c r="AV56" s="10" t="str">
        <f aca="false">IF(C56="","",C56&amp;"|"&amp;G56&amp;"|"&amp;E56&amp;"|"&amp;H56&amp;"|"&amp;AU56)</f>
        <v/>
      </c>
    </row>
    <row r="57" customFormat="false" ht="15" hidden="false" customHeight="false" outlineLevel="0" collapsed="false">
      <c r="A57" s="10" t="str">
        <f aca="false">IF(C57="","","ERSS-"&amp;IFERROR(VLOOKUP(C57,Lists!$AK$4:$AL$21,2,0),"??")&amp;"-"&amp;TEXT(E57,"0000")&amp;"x"&amp;TEXT(F57,"0000")&amp;"-D"&amp;TEXT(G57*1000,"0000")&amp;"-"&amp;IFERROR(VLOOKUP(H57,Lists!$Y$4:$Z$21,2,0),"??")&amp;"-"&amp;U57)</f>
        <v/>
      </c>
      <c r="B57" s="10" t="str">
        <f aca="false">IF(C57="","",C57&amp;" for "&amp;D57&amp;", "&amp;E57&amp;" x "&amp;F57&amp;" pit, "&amp;TEXT(G57,"0.0")&amp;" m deep, "&amp;H57)</f>
        <v/>
      </c>
      <c r="C57" s="9"/>
      <c r="D57" s="9"/>
      <c r="E57" s="40"/>
      <c r="F57" s="40"/>
      <c r="G57" s="43"/>
      <c r="H57" s="9"/>
      <c r="I57" s="43"/>
      <c r="J57" s="40"/>
      <c r="K57" s="9"/>
      <c r="L57" s="43"/>
      <c r="M57" s="43"/>
      <c r="N57" s="40"/>
      <c r="O57" s="9"/>
      <c r="P57" s="9"/>
      <c r="Q57" s="41"/>
      <c r="R57" s="9"/>
      <c r="S57" s="40"/>
      <c r="T57" s="9"/>
      <c r="U57" s="9"/>
      <c r="V57" s="9"/>
      <c r="W57" s="9"/>
      <c r="X57" s="9"/>
      <c r="Y57" s="9"/>
      <c r="Z57" s="10" t="str">
        <f aca="false">IF(A57="","",SG_Criteria!$B$6&amp;SG_Criteria!$B$11&amp;"\"&amp;A57&amp;"\")</f>
        <v/>
      </c>
      <c r="AA57" s="10" t="str">
        <f aca="false">IF(A57="","",A57&amp;"_CAD.dwg")</f>
        <v/>
      </c>
      <c r="AB57" s="10" t="str">
        <f aca="false">IF(A57="","",A57&amp;"_DWG.pdf")</f>
        <v/>
      </c>
      <c r="AC57" s="10" t="str">
        <f aca="false">IF(A57="","",IF(Y57="Y",A57&amp;"_STAAD.std","n/a"))</f>
        <v/>
      </c>
      <c r="AD57" s="10" t="str">
        <f aca="false">IF(A57="","",A57&amp;"_CALC.xlsx")</f>
        <v/>
      </c>
      <c r="AE57" s="10" t="str">
        <f aca="false">IF(A57="","",A57&amp;"_CALC.pdf")</f>
        <v/>
      </c>
      <c r="AF57" s="9"/>
      <c r="AG57" s="9"/>
      <c r="AH57" s="41"/>
      <c r="AI57" s="41"/>
      <c r="AJ57" s="41"/>
      <c r="AK57" s="41"/>
      <c r="AL57" s="41"/>
      <c r="AM57" s="38" t="str">
        <f aca="false">IF(OR(C57="",G57=""),"",IF(G57&lt;=IF(OR(C57="Soldier Pile &amp; Timber Lagging",C57="Trench Shoring Box",C57="Open Cut (battered)"),SG_Criteria!$B$34,SG_Criteria!$B$33),"No ERSS submission",IF(G57&lt;=SG_Criteria!$B$35,"QP(ST)",IF(G57&lt;=SG_Criteria!$B$36,"QP(ST) + AC","Geotechnical building works: QP(Geo) + AC"))))</f>
        <v/>
      </c>
      <c r="AN57" s="38" t="str">
        <f aca="false">IF(C57="","",IF(LEN(IF(AND(Q57&lt;&gt;"",Q57&lt;SG_Criteria!$B$37),"FAIL: base stability FOS &lt; "&amp;SG_Criteria!$B$37&amp;". ","")&amp;IF(AND(D57="Manhole",G57&gt;SG_Criteria!$B$36),"NOTE: BCA lists sewer manholes (pipe &lt;= 2 m dia) &gt; 6 m as non-GBW: QP(ST) + AC. ","")&amp;IF(AND(C57="Trench Shoring Box",H57="Kallang Formation (marine clay)"),"NOTE: check base heave / ground loss for shoring box in marine clay. ","")&amp;IF(AND(C57="Steel Sheet Pile Cofferdam",N(M57)&lt;G57*0.5),"NOTE: short toe embedment, check. ",""))=0,"OK",IF(AND(Q57&lt;&gt;"",Q57&lt;SG_Criteria!$B$37),"FAIL: base stability FOS &lt; "&amp;SG_Criteria!$B$37&amp;". ","")&amp;IF(AND(D57="Manhole",G57&gt;SG_Criteria!$B$36),"NOTE: BCA lists sewer manholes (pipe &lt;= 2 m dia) &gt; 6 m as non-GBW: QP(ST) + AC. ","")&amp;IF(AND(C57="Trench Shoring Box",H57="Kallang Formation (marine clay)"),"NOTE: check base heave / ground loss for shoring box in marine clay. ","")&amp;IF(AND(C57="Steel Sheet Pile Cofferdam",N(M57)&lt;G57*0.5),"NOTE: short toe embedment, check. ","")))</f>
        <v/>
      </c>
      <c r="AO57" s="9"/>
      <c r="AP57" s="9"/>
      <c r="AQ57" s="9"/>
      <c r="AR57" s="9"/>
      <c r="AS57" s="9"/>
      <c r="AT57" s="31"/>
      <c r="AU57" s="10" t="str">
        <f aca="false">IF(C57="","",IF(AND(V57="Approved",ISERROR(SEARCH("FAIL",AN57))),"Y","N"))</f>
        <v/>
      </c>
      <c r="AV57" s="10" t="str">
        <f aca="false">IF(C57="","",C57&amp;"|"&amp;G57&amp;"|"&amp;E57&amp;"|"&amp;H57&amp;"|"&amp;AU57)</f>
        <v/>
      </c>
    </row>
    <row r="58" customFormat="false" ht="15" hidden="false" customHeight="false" outlineLevel="0" collapsed="false">
      <c r="A58" s="10" t="str">
        <f aca="false">IF(C58="","","ERSS-"&amp;IFERROR(VLOOKUP(C58,Lists!$AK$4:$AL$21,2,0),"??")&amp;"-"&amp;TEXT(E58,"0000")&amp;"x"&amp;TEXT(F58,"0000")&amp;"-D"&amp;TEXT(G58*1000,"0000")&amp;"-"&amp;IFERROR(VLOOKUP(H58,Lists!$Y$4:$Z$21,2,0),"??")&amp;"-"&amp;U58)</f>
        <v/>
      </c>
      <c r="B58" s="10" t="str">
        <f aca="false">IF(C58="","",C58&amp;" for "&amp;D58&amp;", "&amp;E58&amp;" x "&amp;F58&amp;" pit, "&amp;TEXT(G58,"0.0")&amp;" m deep, "&amp;H58)</f>
        <v/>
      </c>
      <c r="C58" s="9"/>
      <c r="D58" s="9"/>
      <c r="E58" s="40"/>
      <c r="F58" s="40"/>
      <c r="G58" s="43"/>
      <c r="H58" s="9"/>
      <c r="I58" s="43"/>
      <c r="J58" s="40"/>
      <c r="K58" s="9"/>
      <c r="L58" s="43"/>
      <c r="M58" s="43"/>
      <c r="N58" s="40"/>
      <c r="O58" s="9"/>
      <c r="P58" s="9"/>
      <c r="Q58" s="41"/>
      <c r="R58" s="9"/>
      <c r="S58" s="40"/>
      <c r="T58" s="9"/>
      <c r="U58" s="9"/>
      <c r="V58" s="9"/>
      <c r="W58" s="9"/>
      <c r="X58" s="9"/>
      <c r="Y58" s="9"/>
      <c r="Z58" s="10" t="str">
        <f aca="false">IF(A58="","",SG_Criteria!$B$6&amp;SG_Criteria!$B$11&amp;"\"&amp;A58&amp;"\")</f>
        <v/>
      </c>
      <c r="AA58" s="10" t="str">
        <f aca="false">IF(A58="","",A58&amp;"_CAD.dwg")</f>
        <v/>
      </c>
      <c r="AB58" s="10" t="str">
        <f aca="false">IF(A58="","",A58&amp;"_DWG.pdf")</f>
        <v/>
      </c>
      <c r="AC58" s="10" t="str">
        <f aca="false">IF(A58="","",IF(Y58="Y",A58&amp;"_STAAD.std","n/a"))</f>
        <v/>
      </c>
      <c r="AD58" s="10" t="str">
        <f aca="false">IF(A58="","",A58&amp;"_CALC.xlsx")</f>
        <v/>
      </c>
      <c r="AE58" s="10" t="str">
        <f aca="false">IF(A58="","",A58&amp;"_CALC.pdf")</f>
        <v/>
      </c>
      <c r="AF58" s="9"/>
      <c r="AG58" s="9"/>
      <c r="AH58" s="41"/>
      <c r="AI58" s="41"/>
      <c r="AJ58" s="41"/>
      <c r="AK58" s="41"/>
      <c r="AL58" s="41"/>
      <c r="AM58" s="38" t="str">
        <f aca="false">IF(OR(C58="",G58=""),"",IF(G58&lt;=IF(OR(C58="Soldier Pile &amp; Timber Lagging",C58="Trench Shoring Box",C58="Open Cut (battered)"),SG_Criteria!$B$34,SG_Criteria!$B$33),"No ERSS submission",IF(G58&lt;=SG_Criteria!$B$35,"QP(ST)",IF(G58&lt;=SG_Criteria!$B$36,"QP(ST) + AC","Geotechnical building works: QP(Geo) + AC"))))</f>
        <v/>
      </c>
      <c r="AN58" s="38" t="str">
        <f aca="false">IF(C58="","",IF(LEN(IF(AND(Q58&lt;&gt;"",Q58&lt;SG_Criteria!$B$37),"FAIL: base stability FOS &lt; "&amp;SG_Criteria!$B$37&amp;". ","")&amp;IF(AND(D58="Manhole",G58&gt;SG_Criteria!$B$36),"NOTE: BCA lists sewer manholes (pipe &lt;= 2 m dia) &gt; 6 m as non-GBW: QP(ST) + AC. ","")&amp;IF(AND(C58="Trench Shoring Box",H58="Kallang Formation (marine clay)"),"NOTE: check base heave / ground loss for shoring box in marine clay. ","")&amp;IF(AND(C58="Steel Sheet Pile Cofferdam",N(M58)&lt;G58*0.5),"NOTE: short toe embedment, check. ",""))=0,"OK",IF(AND(Q58&lt;&gt;"",Q58&lt;SG_Criteria!$B$37),"FAIL: base stability FOS &lt; "&amp;SG_Criteria!$B$37&amp;". ","")&amp;IF(AND(D58="Manhole",G58&gt;SG_Criteria!$B$36),"NOTE: BCA lists sewer manholes (pipe &lt;= 2 m dia) &gt; 6 m as non-GBW: QP(ST) + AC. ","")&amp;IF(AND(C58="Trench Shoring Box",H58="Kallang Formation (marine clay)"),"NOTE: check base heave / ground loss for shoring box in marine clay. ","")&amp;IF(AND(C58="Steel Sheet Pile Cofferdam",N(M58)&lt;G58*0.5),"NOTE: short toe embedment, check. ","")))</f>
        <v/>
      </c>
      <c r="AO58" s="9"/>
      <c r="AP58" s="9"/>
      <c r="AQ58" s="9"/>
      <c r="AR58" s="9"/>
      <c r="AS58" s="9"/>
      <c r="AT58" s="31"/>
      <c r="AU58" s="10" t="str">
        <f aca="false">IF(C58="","",IF(AND(V58="Approved",ISERROR(SEARCH("FAIL",AN58))),"Y","N"))</f>
        <v/>
      </c>
      <c r="AV58" s="10" t="str">
        <f aca="false">IF(C58="","",C58&amp;"|"&amp;G58&amp;"|"&amp;E58&amp;"|"&amp;H58&amp;"|"&amp;AU58)</f>
        <v/>
      </c>
    </row>
    <row r="59" customFormat="false" ht="15" hidden="false" customHeight="false" outlineLevel="0" collapsed="false">
      <c r="A59" s="10" t="str">
        <f aca="false">IF(C59="","","ERSS-"&amp;IFERROR(VLOOKUP(C59,Lists!$AK$4:$AL$21,2,0),"??")&amp;"-"&amp;TEXT(E59,"0000")&amp;"x"&amp;TEXT(F59,"0000")&amp;"-D"&amp;TEXT(G59*1000,"0000")&amp;"-"&amp;IFERROR(VLOOKUP(H59,Lists!$Y$4:$Z$21,2,0),"??")&amp;"-"&amp;U59)</f>
        <v/>
      </c>
      <c r="B59" s="10" t="str">
        <f aca="false">IF(C59="","",C59&amp;" for "&amp;D59&amp;", "&amp;E59&amp;" x "&amp;F59&amp;" pit, "&amp;TEXT(G59,"0.0")&amp;" m deep, "&amp;H59)</f>
        <v/>
      </c>
      <c r="C59" s="9"/>
      <c r="D59" s="9"/>
      <c r="E59" s="40"/>
      <c r="F59" s="40"/>
      <c r="G59" s="43"/>
      <c r="H59" s="9"/>
      <c r="I59" s="43"/>
      <c r="J59" s="40"/>
      <c r="K59" s="9"/>
      <c r="L59" s="43"/>
      <c r="M59" s="43"/>
      <c r="N59" s="40"/>
      <c r="O59" s="9"/>
      <c r="P59" s="9"/>
      <c r="Q59" s="41"/>
      <c r="R59" s="9"/>
      <c r="S59" s="40"/>
      <c r="T59" s="9"/>
      <c r="U59" s="9"/>
      <c r="V59" s="9"/>
      <c r="W59" s="9"/>
      <c r="X59" s="9"/>
      <c r="Y59" s="9"/>
      <c r="Z59" s="10" t="str">
        <f aca="false">IF(A59="","",SG_Criteria!$B$6&amp;SG_Criteria!$B$11&amp;"\"&amp;A59&amp;"\")</f>
        <v/>
      </c>
      <c r="AA59" s="10" t="str">
        <f aca="false">IF(A59="","",A59&amp;"_CAD.dwg")</f>
        <v/>
      </c>
      <c r="AB59" s="10" t="str">
        <f aca="false">IF(A59="","",A59&amp;"_DWG.pdf")</f>
        <v/>
      </c>
      <c r="AC59" s="10" t="str">
        <f aca="false">IF(A59="","",IF(Y59="Y",A59&amp;"_STAAD.std","n/a"))</f>
        <v/>
      </c>
      <c r="AD59" s="10" t="str">
        <f aca="false">IF(A59="","",A59&amp;"_CALC.xlsx")</f>
        <v/>
      </c>
      <c r="AE59" s="10" t="str">
        <f aca="false">IF(A59="","",A59&amp;"_CALC.pdf")</f>
        <v/>
      </c>
      <c r="AF59" s="9"/>
      <c r="AG59" s="9"/>
      <c r="AH59" s="41"/>
      <c r="AI59" s="41"/>
      <c r="AJ59" s="41"/>
      <c r="AK59" s="41"/>
      <c r="AL59" s="41"/>
      <c r="AM59" s="38" t="str">
        <f aca="false">IF(OR(C59="",G59=""),"",IF(G59&lt;=IF(OR(C59="Soldier Pile &amp; Timber Lagging",C59="Trench Shoring Box",C59="Open Cut (battered)"),SG_Criteria!$B$34,SG_Criteria!$B$33),"No ERSS submission",IF(G59&lt;=SG_Criteria!$B$35,"QP(ST)",IF(G59&lt;=SG_Criteria!$B$36,"QP(ST) + AC","Geotechnical building works: QP(Geo) + AC"))))</f>
        <v/>
      </c>
      <c r="AN59" s="38" t="str">
        <f aca="false">IF(C59="","",IF(LEN(IF(AND(Q59&lt;&gt;"",Q59&lt;SG_Criteria!$B$37),"FAIL: base stability FOS &lt; "&amp;SG_Criteria!$B$37&amp;". ","")&amp;IF(AND(D59="Manhole",G59&gt;SG_Criteria!$B$36),"NOTE: BCA lists sewer manholes (pipe &lt;= 2 m dia) &gt; 6 m as non-GBW: QP(ST) + AC. ","")&amp;IF(AND(C59="Trench Shoring Box",H59="Kallang Formation (marine clay)"),"NOTE: check base heave / ground loss for shoring box in marine clay. ","")&amp;IF(AND(C59="Steel Sheet Pile Cofferdam",N(M59)&lt;G59*0.5),"NOTE: short toe embedment, check. ",""))=0,"OK",IF(AND(Q59&lt;&gt;"",Q59&lt;SG_Criteria!$B$37),"FAIL: base stability FOS &lt; "&amp;SG_Criteria!$B$37&amp;". ","")&amp;IF(AND(D59="Manhole",G59&gt;SG_Criteria!$B$36),"NOTE: BCA lists sewer manholes (pipe &lt;= 2 m dia) &gt; 6 m as non-GBW: QP(ST) + AC. ","")&amp;IF(AND(C59="Trench Shoring Box",H59="Kallang Formation (marine clay)"),"NOTE: check base heave / ground loss for shoring box in marine clay. ","")&amp;IF(AND(C59="Steel Sheet Pile Cofferdam",N(M59)&lt;G59*0.5),"NOTE: short toe embedment, check. ","")))</f>
        <v/>
      </c>
      <c r="AO59" s="9"/>
      <c r="AP59" s="9"/>
      <c r="AQ59" s="9"/>
      <c r="AR59" s="9"/>
      <c r="AS59" s="9"/>
      <c r="AT59" s="31"/>
      <c r="AU59" s="10" t="str">
        <f aca="false">IF(C59="","",IF(AND(V59="Approved",ISERROR(SEARCH("FAIL",AN59))),"Y","N"))</f>
        <v/>
      </c>
      <c r="AV59" s="10" t="str">
        <f aca="false">IF(C59="","",C59&amp;"|"&amp;G59&amp;"|"&amp;E59&amp;"|"&amp;H59&amp;"|"&amp;AU59)</f>
        <v/>
      </c>
    </row>
    <row r="60" customFormat="false" ht="15" hidden="false" customHeight="false" outlineLevel="0" collapsed="false">
      <c r="A60" s="10" t="str">
        <f aca="false">IF(C60="","","ERSS-"&amp;IFERROR(VLOOKUP(C60,Lists!$AK$4:$AL$21,2,0),"??")&amp;"-"&amp;TEXT(E60,"0000")&amp;"x"&amp;TEXT(F60,"0000")&amp;"-D"&amp;TEXT(G60*1000,"0000")&amp;"-"&amp;IFERROR(VLOOKUP(H60,Lists!$Y$4:$Z$21,2,0),"??")&amp;"-"&amp;U60)</f>
        <v/>
      </c>
      <c r="B60" s="10" t="str">
        <f aca="false">IF(C60="","",C60&amp;" for "&amp;D60&amp;", "&amp;E60&amp;" x "&amp;F60&amp;" pit, "&amp;TEXT(G60,"0.0")&amp;" m deep, "&amp;H60)</f>
        <v/>
      </c>
      <c r="C60" s="9"/>
      <c r="D60" s="9"/>
      <c r="E60" s="40"/>
      <c r="F60" s="40"/>
      <c r="G60" s="43"/>
      <c r="H60" s="9"/>
      <c r="I60" s="43"/>
      <c r="J60" s="40"/>
      <c r="K60" s="9"/>
      <c r="L60" s="43"/>
      <c r="M60" s="43"/>
      <c r="N60" s="40"/>
      <c r="O60" s="9"/>
      <c r="P60" s="9"/>
      <c r="Q60" s="41"/>
      <c r="R60" s="9"/>
      <c r="S60" s="40"/>
      <c r="T60" s="9"/>
      <c r="U60" s="9"/>
      <c r="V60" s="9"/>
      <c r="W60" s="9"/>
      <c r="X60" s="9"/>
      <c r="Y60" s="9"/>
      <c r="Z60" s="10" t="str">
        <f aca="false">IF(A60="","",SG_Criteria!$B$6&amp;SG_Criteria!$B$11&amp;"\"&amp;A60&amp;"\")</f>
        <v/>
      </c>
      <c r="AA60" s="10" t="str">
        <f aca="false">IF(A60="","",A60&amp;"_CAD.dwg")</f>
        <v/>
      </c>
      <c r="AB60" s="10" t="str">
        <f aca="false">IF(A60="","",A60&amp;"_DWG.pdf")</f>
        <v/>
      </c>
      <c r="AC60" s="10" t="str">
        <f aca="false">IF(A60="","",IF(Y60="Y",A60&amp;"_STAAD.std","n/a"))</f>
        <v/>
      </c>
      <c r="AD60" s="10" t="str">
        <f aca="false">IF(A60="","",A60&amp;"_CALC.xlsx")</f>
        <v/>
      </c>
      <c r="AE60" s="10" t="str">
        <f aca="false">IF(A60="","",A60&amp;"_CALC.pdf")</f>
        <v/>
      </c>
      <c r="AF60" s="9"/>
      <c r="AG60" s="9"/>
      <c r="AH60" s="41"/>
      <c r="AI60" s="41"/>
      <c r="AJ60" s="41"/>
      <c r="AK60" s="41"/>
      <c r="AL60" s="41"/>
      <c r="AM60" s="38" t="str">
        <f aca="false">IF(OR(C60="",G60=""),"",IF(G60&lt;=IF(OR(C60="Soldier Pile &amp; Timber Lagging",C60="Trench Shoring Box",C60="Open Cut (battered)"),SG_Criteria!$B$34,SG_Criteria!$B$33),"No ERSS submission",IF(G60&lt;=SG_Criteria!$B$35,"QP(ST)",IF(G60&lt;=SG_Criteria!$B$36,"QP(ST) + AC","Geotechnical building works: QP(Geo) + AC"))))</f>
        <v/>
      </c>
      <c r="AN60" s="38" t="str">
        <f aca="false">IF(C60="","",IF(LEN(IF(AND(Q60&lt;&gt;"",Q60&lt;SG_Criteria!$B$37),"FAIL: base stability FOS &lt; "&amp;SG_Criteria!$B$37&amp;". ","")&amp;IF(AND(D60="Manhole",G60&gt;SG_Criteria!$B$36),"NOTE: BCA lists sewer manholes (pipe &lt;= 2 m dia) &gt; 6 m as non-GBW: QP(ST) + AC. ","")&amp;IF(AND(C60="Trench Shoring Box",H60="Kallang Formation (marine clay)"),"NOTE: check base heave / ground loss for shoring box in marine clay. ","")&amp;IF(AND(C60="Steel Sheet Pile Cofferdam",N(M60)&lt;G60*0.5),"NOTE: short toe embedment, check. ",""))=0,"OK",IF(AND(Q60&lt;&gt;"",Q60&lt;SG_Criteria!$B$37),"FAIL: base stability FOS &lt; "&amp;SG_Criteria!$B$37&amp;". ","")&amp;IF(AND(D60="Manhole",G60&gt;SG_Criteria!$B$36),"NOTE: BCA lists sewer manholes (pipe &lt;= 2 m dia) &gt; 6 m as non-GBW: QP(ST) + AC. ","")&amp;IF(AND(C60="Trench Shoring Box",H60="Kallang Formation (marine clay)"),"NOTE: check base heave / ground loss for shoring box in marine clay. ","")&amp;IF(AND(C60="Steel Sheet Pile Cofferdam",N(M60)&lt;G60*0.5),"NOTE: short toe embedment, check. ","")))</f>
        <v/>
      </c>
      <c r="AO60" s="9"/>
      <c r="AP60" s="9"/>
      <c r="AQ60" s="9"/>
      <c r="AR60" s="9"/>
      <c r="AS60" s="9"/>
      <c r="AT60" s="31"/>
      <c r="AU60" s="10" t="str">
        <f aca="false">IF(C60="","",IF(AND(V60="Approved",ISERROR(SEARCH("FAIL",AN60))),"Y","N"))</f>
        <v/>
      </c>
      <c r="AV60" s="10" t="str">
        <f aca="false">IF(C60="","",C60&amp;"|"&amp;G60&amp;"|"&amp;E60&amp;"|"&amp;H60&amp;"|"&amp;AU60)</f>
        <v/>
      </c>
    </row>
    <row r="61" customFormat="false" ht="15" hidden="false" customHeight="false" outlineLevel="0" collapsed="false">
      <c r="A61" s="10" t="str">
        <f aca="false">IF(C61="","","ERSS-"&amp;IFERROR(VLOOKUP(C61,Lists!$AK$4:$AL$21,2,0),"??")&amp;"-"&amp;TEXT(E61,"0000")&amp;"x"&amp;TEXT(F61,"0000")&amp;"-D"&amp;TEXT(G61*1000,"0000")&amp;"-"&amp;IFERROR(VLOOKUP(H61,Lists!$Y$4:$Z$21,2,0),"??")&amp;"-"&amp;U61)</f>
        <v/>
      </c>
      <c r="B61" s="10" t="str">
        <f aca="false">IF(C61="","",C61&amp;" for "&amp;D61&amp;", "&amp;E61&amp;" x "&amp;F61&amp;" pit, "&amp;TEXT(G61,"0.0")&amp;" m deep, "&amp;H61)</f>
        <v/>
      </c>
      <c r="C61" s="9"/>
      <c r="D61" s="9"/>
      <c r="E61" s="40"/>
      <c r="F61" s="40"/>
      <c r="G61" s="43"/>
      <c r="H61" s="9"/>
      <c r="I61" s="43"/>
      <c r="J61" s="40"/>
      <c r="K61" s="9"/>
      <c r="L61" s="43"/>
      <c r="M61" s="43"/>
      <c r="N61" s="40"/>
      <c r="O61" s="9"/>
      <c r="P61" s="9"/>
      <c r="Q61" s="41"/>
      <c r="R61" s="9"/>
      <c r="S61" s="40"/>
      <c r="T61" s="9"/>
      <c r="U61" s="9"/>
      <c r="V61" s="9"/>
      <c r="W61" s="9"/>
      <c r="X61" s="9"/>
      <c r="Y61" s="9"/>
      <c r="Z61" s="10" t="str">
        <f aca="false">IF(A61="","",SG_Criteria!$B$6&amp;SG_Criteria!$B$11&amp;"\"&amp;A61&amp;"\")</f>
        <v/>
      </c>
      <c r="AA61" s="10" t="str">
        <f aca="false">IF(A61="","",A61&amp;"_CAD.dwg")</f>
        <v/>
      </c>
      <c r="AB61" s="10" t="str">
        <f aca="false">IF(A61="","",A61&amp;"_DWG.pdf")</f>
        <v/>
      </c>
      <c r="AC61" s="10" t="str">
        <f aca="false">IF(A61="","",IF(Y61="Y",A61&amp;"_STAAD.std","n/a"))</f>
        <v/>
      </c>
      <c r="AD61" s="10" t="str">
        <f aca="false">IF(A61="","",A61&amp;"_CALC.xlsx")</f>
        <v/>
      </c>
      <c r="AE61" s="10" t="str">
        <f aca="false">IF(A61="","",A61&amp;"_CALC.pdf")</f>
        <v/>
      </c>
      <c r="AF61" s="9"/>
      <c r="AG61" s="9"/>
      <c r="AH61" s="41"/>
      <c r="AI61" s="41"/>
      <c r="AJ61" s="41"/>
      <c r="AK61" s="41"/>
      <c r="AL61" s="41"/>
      <c r="AM61" s="38" t="str">
        <f aca="false">IF(OR(C61="",G61=""),"",IF(G61&lt;=IF(OR(C61="Soldier Pile &amp; Timber Lagging",C61="Trench Shoring Box",C61="Open Cut (battered)"),SG_Criteria!$B$34,SG_Criteria!$B$33),"No ERSS submission",IF(G61&lt;=SG_Criteria!$B$35,"QP(ST)",IF(G61&lt;=SG_Criteria!$B$36,"QP(ST) + AC","Geotechnical building works: QP(Geo) + AC"))))</f>
        <v/>
      </c>
      <c r="AN61" s="38" t="str">
        <f aca="false">IF(C61="","",IF(LEN(IF(AND(Q61&lt;&gt;"",Q61&lt;SG_Criteria!$B$37),"FAIL: base stability FOS &lt; "&amp;SG_Criteria!$B$37&amp;". ","")&amp;IF(AND(D61="Manhole",G61&gt;SG_Criteria!$B$36),"NOTE: BCA lists sewer manholes (pipe &lt;= 2 m dia) &gt; 6 m as non-GBW: QP(ST) + AC. ","")&amp;IF(AND(C61="Trench Shoring Box",H61="Kallang Formation (marine clay)"),"NOTE: check base heave / ground loss for shoring box in marine clay. ","")&amp;IF(AND(C61="Steel Sheet Pile Cofferdam",N(M61)&lt;G61*0.5),"NOTE: short toe embedment, check. ",""))=0,"OK",IF(AND(Q61&lt;&gt;"",Q61&lt;SG_Criteria!$B$37),"FAIL: base stability FOS &lt; "&amp;SG_Criteria!$B$37&amp;". ","")&amp;IF(AND(D61="Manhole",G61&gt;SG_Criteria!$B$36),"NOTE: BCA lists sewer manholes (pipe &lt;= 2 m dia) &gt; 6 m as non-GBW: QP(ST) + AC. ","")&amp;IF(AND(C61="Trench Shoring Box",H61="Kallang Formation (marine clay)"),"NOTE: check base heave / ground loss for shoring box in marine clay. ","")&amp;IF(AND(C61="Steel Sheet Pile Cofferdam",N(M61)&lt;G61*0.5),"NOTE: short toe embedment, check. ","")))</f>
        <v/>
      </c>
      <c r="AO61" s="9"/>
      <c r="AP61" s="9"/>
      <c r="AQ61" s="9"/>
      <c r="AR61" s="9"/>
      <c r="AS61" s="9"/>
      <c r="AT61" s="31"/>
      <c r="AU61" s="10" t="str">
        <f aca="false">IF(C61="","",IF(AND(V61="Approved",ISERROR(SEARCH("FAIL",AN61))),"Y","N"))</f>
        <v/>
      </c>
      <c r="AV61" s="10" t="str">
        <f aca="false">IF(C61="","",C61&amp;"|"&amp;G61&amp;"|"&amp;E61&amp;"|"&amp;H61&amp;"|"&amp;AU61)</f>
        <v/>
      </c>
    </row>
    <row r="62" customFormat="false" ht="15" hidden="false" customHeight="false" outlineLevel="0" collapsed="false">
      <c r="A62" s="10" t="str">
        <f aca="false">IF(C62="","","ERSS-"&amp;IFERROR(VLOOKUP(C62,Lists!$AK$4:$AL$21,2,0),"??")&amp;"-"&amp;TEXT(E62,"0000")&amp;"x"&amp;TEXT(F62,"0000")&amp;"-D"&amp;TEXT(G62*1000,"0000")&amp;"-"&amp;IFERROR(VLOOKUP(H62,Lists!$Y$4:$Z$21,2,0),"??")&amp;"-"&amp;U62)</f>
        <v/>
      </c>
      <c r="B62" s="10" t="str">
        <f aca="false">IF(C62="","",C62&amp;" for "&amp;D62&amp;", "&amp;E62&amp;" x "&amp;F62&amp;" pit, "&amp;TEXT(G62,"0.0")&amp;" m deep, "&amp;H62)</f>
        <v/>
      </c>
      <c r="C62" s="9"/>
      <c r="D62" s="9"/>
      <c r="E62" s="40"/>
      <c r="F62" s="40"/>
      <c r="G62" s="43"/>
      <c r="H62" s="9"/>
      <c r="I62" s="43"/>
      <c r="J62" s="40"/>
      <c r="K62" s="9"/>
      <c r="L62" s="43"/>
      <c r="M62" s="43"/>
      <c r="N62" s="40"/>
      <c r="O62" s="9"/>
      <c r="P62" s="9"/>
      <c r="Q62" s="41"/>
      <c r="R62" s="9"/>
      <c r="S62" s="40"/>
      <c r="T62" s="9"/>
      <c r="U62" s="9"/>
      <c r="V62" s="9"/>
      <c r="W62" s="9"/>
      <c r="X62" s="9"/>
      <c r="Y62" s="9"/>
      <c r="Z62" s="10" t="str">
        <f aca="false">IF(A62="","",SG_Criteria!$B$6&amp;SG_Criteria!$B$11&amp;"\"&amp;A62&amp;"\")</f>
        <v/>
      </c>
      <c r="AA62" s="10" t="str">
        <f aca="false">IF(A62="","",A62&amp;"_CAD.dwg")</f>
        <v/>
      </c>
      <c r="AB62" s="10" t="str">
        <f aca="false">IF(A62="","",A62&amp;"_DWG.pdf")</f>
        <v/>
      </c>
      <c r="AC62" s="10" t="str">
        <f aca="false">IF(A62="","",IF(Y62="Y",A62&amp;"_STAAD.std","n/a"))</f>
        <v/>
      </c>
      <c r="AD62" s="10" t="str">
        <f aca="false">IF(A62="","",A62&amp;"_CALC.xlsx")</f>
        <v/>
      </c>
      <c r="AE62" s="10" t="str">
        <f aca="false">IF(A62="","",A62&amp;"_CALC.pdf")</f>
        <v/>
      </c>
      <c r="AF62" s="9"/>
      <c r="AG62" s="9"/>
      <c r="AH62" s="41"/>
      <c r="AI62" s="41"/>
      <c r="AJ62" s="41"/>
      <c r="AK62" s="41"/>
      <c r="AL62" s="41"/>
      <c r="AM62" s="38" t="str">
        <f aca="false">IF(OR(C62="",G62=""),"",IF(G62&lt;=IF(OR(C62="Soldier Pile &amp; Timber Lagging",C62="Trench Shoring Box",C62="Open Cut (battered)"),SG_Criteria!$B$34,SG_Criteria!$B$33),"No ERSS submission",IF(G62&lt;=SG_Criteria!$B$35,"QP(ST)",IF(G62&lt;=SG_Criteria!$B$36,"QP(ST) + AC","Geotechnical building works: QP(Geo) + AC"))))</f>
        <v/>
      </c>
      <c r="AN62" s="38" t="str">
        <f aca="false">IF(C62="","",IF(LEN(IF(AND(Q62&lt;&gt;"",Q62&lt;SG_Criteria!$B$37),"FAIL: base stability FOS &lt; "&amp;SG_Criteria!$B$37&amp;". ","")&amp;IF(AND(D62="Manhole",G62&gt;SG_Criteria!$B$36),"NOTE: BCA lists sewer manholes (pipe &lt;= 2 m dia) &gt; 6 m as non-GBW: QP(ST) + AC. ","")&amp;IF(AND(C62="Trench Shoring Box",H62="Kallang Formation (marine clay)"),"NOTE: check base heave / ground loss for shoring box in marine clay. ","")&amp;IF(AND(C62="Steel Sheet Pile Cofferdam",N(M62)&lt;G62*0.5),"NOTE: short toe embedment, check. ",""))=0,"OK",IF(AND(Q62&lt;&gt;"",Q62&lt;SG_Criteria!$B$37),"FAIL: base stability FOS &lt; "&amp;SG_Criteria!$B$37&amp;". ","")&amp;IF(AND(D62="Manhole",G62&gt;SG_Criteria!$B$36),"NOTE: BCA lists sewer manholes (pipe &lt;= 2 m dia) &gt; 6 m as non-GBW: QP(ST) + AC. ","")&amp;IF(AND(C62="Trench Shoring Box",H62="Kallang Formation (marine clay)"),"NOTE: check base heave / ground loss for shoring box in marine clay. ","")&amp;IF(AND(C62="Steel Sheet Pile Cofferdam",N(M62)&lt;G62*0.5),"NOTE: short toe embedment, check. ","")))</f>
        <v/>
      </c>
      <c r="AO62" s="9"/>
      <c r="AP62" s="9"/>
      <c r="AQ62" s="9"/>
      <c r="AR62" s="9"/>
      <c r="AS62" s="9"/>
      <c r="AT62" s="31"/>
      <c r="AU62" s="10" t="str">
        <f aca="false">IF(C62="","",IF(AND(V62="Approved",ISERROR(SEARCH("FAIL",AN62))),"Y","N"))</f>
        <v/>
      </c>
      <c r="AV62" s="10" t="str">
        <f aca="false">IF(C62="","",C62&amp;"|"&amp;G62&amp;"|"&amp;E62&amp;"|"&amp;H62&amp;"|"&amp;AU62)</f>
        <v/>
      </c>
    </row>
    <row r="63" customFormat="false" ht="15" hidden="false" customHeight="false" outlineLevel="0" collapsed="false">
      <c r="A63" s="10" t="str">
        <f aca="false">IF(C63="","","ERSS-"&amp;IFERROR(VLOOKUP(C63,Lists!$AK$4:$AL$21,2,0),"??")&amp;"-"&amp;TEXT(E63,"0000")&amp;"x"&amp;TEXT(F63,"0000")&amp;"-D"&amp;TEXT(G63*1000,"0000")&amp;"-"&amp;IFERROR(VLOOKUP(H63,Lists!$Y$4:$Z$21,2,0),"??")&amp;"-"&amp;U63)</f>
        <v/>
      </c>
      <c r="B63" s="10" t="str">
        <f aca="false">IF(C63="","",C63&amp;" for "&amp;D63&amp;", "&amp;E63&amp;" x "&amp;F63&amp;" pit, "&amp;TEXT(G63,"0.0")&amp;" m deep, "&amp;H63)</f>
        <v/>
      </c>
      <c r="C63" s="9"/>
      <c r="D63" s="9"/>
      <c r="E63" s="40"/>
      <c r="F63" s="40"/>
      <c r="G63" s="43"/>
      <c r="H63" s="9"/>
      <c r="I63" s="43"/>
      <c r="J63" s="40"/>
      <c r="K63" s="9"/>
      <c r="L63" s="43"/>
      <c r="M63" s="43"/>
      <c r="N63" s="40"/>
      <c r="O63" s="9"/>
      <c r="P63" s="9"/>
      <c r="Q63" s="41"/>
      <c r="R63" s="9"/>
      <c r="S63" s="40"/>
      <c r="T63" s="9"/>
      <c r="U63" s="9"/>
      <c r="V63" s="9"/>
      <c r="W63" s="9"/>
      <c r="X63" s="9"/>
      <c r="Y63" s="9"/>
      <c r="Z63" s="10" t="str">
        <f aca="false">IF(A63="","",SG_Criteria!$B$6&amp;SG_Criteria!$B$11&amp;"\"&amp;A63&amp;"\")</f>
        <v/>
      </c>
      <c r="AA63" s="10" t="str">
        <f aca="false">IF(A63="","",A63&amp;"_CAD.dwg")</f>
        <v/>
      </c>
      <c r="AB63" s="10" t="str">
        <f aca="false">IF(A63="","",A63&amp;"_DWG.pdf")</f>
        <v/>
      </c>
      <c r="AC63" s="10" t="str">
        <f aca="false">IF(A63="","",IF(Y63="Y",A63&amp;"_STAAD.std","n/a"))</f>
        <v/>
      </c>
      <c r="AD63" s="10" t="str">
        <f aca="false">IF(A63="","",A63&amp;"_CALC.xlsx")</f>
        <v/>
      </c>
      <c r="AE63" s="10" t="str">
        <f aca="false">IF(A63="","",A63&amp;"_CALC.pdf")</f>
        <v/>
      </c>
      <c r="AF63" s="9"/>
      <c r="AG63" s="9"/>
      <c r="AH63" s="41"/>
      <c r="AI63" s="41"/>
      <c r="AJ63" s="41"/>
      <c r="AK63" s="41"/>
      <c r="AL63" s="41"/>
      <c r="AM63" s="38" t="str">
        <f aca="false">IF(OR(C63="",G63=""),"",IF(G63&lt;=IF(OR(C63="Soldier Pile &amp; Timber Lagging",C63="Trench Shoring Box",C63="Open Cut (battered)"),SG_Criteria!$B$34,SG_Criteria!$B$33),"No ERSS submission",IF(G63&lt;=SG_Criteria!$B$35,"QP(ST)",IF(G63&lt;=SG_Criteria!$B$36,"QP(ST) + AC","Geotechnical building works: QP(Geo) + AC"))))</f>
        <v/>
      </c>
      <c r="AN63" s="38" t="str">
        <f aca="false">IF(C63="","",IF(LEN(IF(AND(Q63&lt;&gt;"",Q63&lt;SG_Criteria!$B$37),"FAIL: base stability FOS &lt; "&amp;SG_Criteria!$B$37&amp;". ","")&amp;IF(AND(D63="Manhole",G63&gt;SG_Criteria!$B$36),"NOTE: BCA lists sewer manholes (pipe &lt;= 2 m dia) &gt; 6 m as non-GBW: QP(ST) + AC. ","")&amp;IF(AND(C63="Trench Shoring Box",H63="Kallang Formation (marine clay)"),"NOTE: check base heave / ground loss for shoring box in marine clay. ","")&amp;IF(AND(C63="Steel Sheet Pile Cofferdam",N(M63)&lt;G63*0.5),"NOTE: short toe embedment, check. ",""))=0,"OK",IF(AND(Q63&lt;&gt;"",Q63&lt;SG_Criteria!$B$37),"FAIL: base stability FOS &lt; "&amp;SG_Criteria!$B$37&amp;". ","")&amp;IF(AND(D63="Manhole",G63&gt;SG_Criteria!$B$36),"NOTE: BCA lists sewer manholes (pipe &lt;= 2 m dia) &gt; 6 m as non-GBW: QP(ST) + AC. ","")&amp;IF(AND(C63="Trench Shoring Box",H63="Kallang Formation (marine clay)"),"NOTE: check base heave / ground loss for shoring box in marine clay. ","")&amp;IF(AND(C63="Steel Sheet Pile Cofferdam",N(M63)&lt;G63*0.5),"NOTE: short toe embedment, check. ","")))</f>
        <v/>
      </c>
      <c r="AO63" s="9"/>
      <c r="AP63" s="9"/>
      <c r="AQ63" s="9"/>
      <c r="AR63" s="9"/>
      <c r="AS63" s="9"/>
      <c r="AT63" s="31"/>
      <c r="AU63" s="10" t="str">
        <f aca="false">IF(C63="","",IF(AND(V63="Approved",ISERROR(SEARCH("FAIL",AN63))),"Y","N"))</f>
        <v/>
      </c>
      <c r="AV63" s="10" t="str">
        <f aca="false">IF(C63="","",C63&amp;"|"&amp;G63&amp;"|"&amp;E63&amp;"|"&amp;H63&amp;"|"&amp;AU63)</f>
        <v/>
      </c>
    </row>
    <row r="64" customFormat="false" ht="15" hidden="false" customHeight="false" outlineLevel="0" collapsed="false">
      <c r="A64" s="10" t="str">
        <f aca="false">IF(C64="","","ERSS-"&amp;IFERROR(VLOOKUP(C64,Lists!$AK$4:$AL$21,2,0),"??")&amp;"-"&amp;TEXT(E64,"0000")&amp;"x"&amp;TEXT(F64,"0000")&amp;"-D"&amp;TEXT(G64*1000,"0000")&amp;"-"&amp;IFERROR(VLOOKUP(H64,Lists!$Y$4:$Z$21,2,0),"??")&amp;"-"&amp;U64)</f>
        <v/>
      </c>
      <c r="B64" s="10" t="str">
        <f aca="false">IF(C64="","",C64&amp;" for "&amp;D64&amp;", "&amp;E64&amp;" x "&amp;F64&amp;" pit, "&amp;TEXT(G64,"0.0")&amp;" m deep, "&amp;H64)</f>
        <v/>
      </c>
      <c r="C64" s="9"/>
      <c r="D64" s="9"/>
      <c r="E64" s="40"/>
      <c r="F64" s="40"/>
      <c r="G64" s="43"/>
      <c r="H64" s="9"/>
      <c r="I64" s="43"/>
      <c r="J64" s="40"/>
      <c r="K64" s="9"/>
      <c r="L64" s="43"/>
      <c r="M64" s="43"/>
      <c r="N64" s="40"/>
      <c r="O64" s="9"/>
      <c r="P64" s="9"/>
      <c r="Q64" s="41"/>
      <c r="R64" s="9"/>
      <c r="S64" s="40"/>
      <c r="T64" s="9"/>
      <c r="U64" s="9"/>
      <c r="V64" s="9"/>
      <c r="W64" s="9"/>
      <c r="X64" s="9"/>
      <c r="Y64" s="9"/>
      <c r="Z64" s="10" t="str">
        <f aca="false">IF(A64="","",SG_Criteria!$B$6&amp;SG_Criteria!$B$11&amp;"\"&amp;A64&amp;"\")</f>
        <v/>
      </c>
      <c r="AA64" s="10" t="str">
        <f aca="false">IF(A64="","",A64&amp;"_CAD.dwg")</f>
        <v/>
      </c>
      <c r="AB64" s="10" t="str">
        <f aca="false">IF(A64="","",A64&amp;"_DWG.pdf")</f>
        <v/>
      </c>
      <c r="AC64" s="10" t="str">
        <f aca="false">IF(A64="","",IF(Y64="Y",A64&amp;"_STAAD.std","n/a"))</f>
        <v/>
      </c>
      <c r="AD64" s="10" t="str">
        <f aca="false">IF(A64="","",A64&amp;"_CALC.xlsx")</f>
        <v/>
      </c>
      <c r="AE64" s="10" t="str">
        <f aca="false">IF(A64="","",A64&amp;"_CALC.pdf")</f>
        <v/>
      </c>
      <c r="AF64" s="9"/>
      <c r="AG64" s="9"/>
      <c r="AH64" s="41"/>
      <c r="AI64" s="41"/>
      <c r="AJ64" s="41"/>
      <c r="AK64" s="41"/>
      <c r="AL64" s="41"/>
      <c r="AM64" s="38" t="str">
        <f aca="false">IF(OR(C64="",G64=""),"",IF(G64&lt;=IF(OR(C64="Soldier Pile &amp; Timber Lagging",C64="Trench Shoring Box",C64="Open Cut (battered)"),SG_Criteria!$B$34,SG_Criteria!$B$33),"No ERSS submission",IF(G64&lt;=SG_Criteria!$B$35,"QP(ST)",IF(G64&lt;=SG_Criteria!$B$36,"QP(ST) + AC","Geotechnical building works: QP(Geo) + AC"))))</f>
        <v/>
      </c>
      <c r="AN64" s="38" t="str">
        <f aca="false">IF(C64="","",IF(LEN(IF(AND(Q64&lt;&gt;"",Q64&lt;SG_Criteria!$B$37),"FAIL: base stability FOS &lt; "&amp;SG_Criteria!$B$37&amp;". ","")&amp;IF(AND(D64="Manhole",G64&gt;SG_Criteria!$B$36),"NOTE: BCA lists sewer manholes (pipe &lt;= 2 m dia) &gt; 6 m as non-GBW: QP(ST) + AC. ","")&amp;IF(AND(C64="Trench Shoring Box",H64="Kallang Formation (marine clay)"),"NOTE: check base heave / ground loss for shoring box in marine clay. ","")&amp;IF(AND(C64="Steel Sheet Pile Cofferdam",N(M64)&lt;G64*0.5),"NOTE: short toe embedment, check. ",""))=0,"OK",IF(AND(Q64&lt;&gt;"",Q64&lt;SG_Criteria!$B$37),"FAIL: base stability FOS &lt; "&amp;SG_Criteria!$B$37&amp;". ","")&amp;IF(AND(D64="Manhole",G64&gt;SG_Criteria!$B$36),"NOTE: BCA lists sewer manholes (pipe &lt;= 2 m dia) &gt; 6 m as non-GBW: QP(ST) + AC. ","")&amp;IF(AND(C64="Trench Shoring Box",H64="Kallang Formation (marine clay)"),"NOTE: check base heave / ground loss for shoring box in marine clay. ","")&amp;IF(AND(C64="Steel Sheet Pile Cofferdam",N(M64)&lt;G64*0.5),"NOTE: short toe embedment, check. ","")))</f>
        <v/>
      </c>
      <c r="AO64" s="9"/>
      <c r="AP64" s="9"/>
      <c r="AQ64" s="9"/>
      <c r="AR64" s="9"/>
      <c r="AS64" s="9"/>
      <c r="AT64" s="31"/>
      <c r="AU64" s="10" t="str">
        <f aca="false">IF(C64="","",IF(AND(V64="Approved",ISERROR(SEARCH("FAIL",AN64))),"Y","N"))</f>
        <v/>
      </c>
      <c r="AV64" s="10" t="str">
        <f aca="false">IF(C64="","",C64&amp;"|"&amp;G64&amp;"|"&amp;E64&amp;"|"&amp;H64&amp;"|"&amp;AU64)</f>
        <v/>
      </c>
    </row>
    <row r="65" customFormat="false" ht="15" hidden="false" customHeight="false" outlineLevel="0" collapsed="false">
      <c r="A65" s="10" t="str">
        <f aca="false">IF(C65="","","ERSS-"&amp;IFERROR(VLOOKUP(C65,Lists!$AK$4:$AL$21,2,0),"??")&amp;"-"&amp;TEXT(E65,"0000")&amp;"x"&amp;TEXT(F65,"0000")&amp;"-D"&amp;TEXT(G65*1000,"0000")&amp;"-"&amp;IFERROR(VLOOKUP(H65,Lists!$Y$4:$Z$21,2,0),"??")&amp;"-"&amp;U65)</f>
        <v/>
      </c>
      <c r="B65" s="10" t="str">
        <f aca="false">IF(C65="","",C65&amp;" for "&amp;D65&amp;", "&amp;E65&amp;" x "&amp;F65&amp;" pit, "&amp;TEXT(G65,"0.0")&amp;" m deep, "&amp;H65)</f>
        <v/>
      </c>
      <c r="C65" s="9"/>
      <c r="D65" s="9"/>
      <c r="E65" s="40"/>
      <c r="F65" s="40"/>
      <c r="G65" s="43"/>
      <c r="H65" s="9"/>
      <c r="I65" s="43"/>
      <c r="J65" s="40"/>
      <c r="K65" s="9"/>
      <c r="L65" s="43"/>
      <c r="M65" s="43"/>
      <c r="N65" s="40"/>
      <c r="O65" s="9"/>
      <c r="P65" s="9"/>
      <c r="Q65" s="41"/>
      <c r="R65" s="9"/>
      <c r="S65" s="40"/>
      <c r="T65" s="9"/>
      <c r="U65" s="9"/>
      <c r="V65" s="9"/>
      <c r="W65" s="9"/>
      <c r="X65" s="9"/>
      <c r="Y65" s="9"/>
      <c r="Z65" s="10" t="str">
        <f aca="false">IF(A65="","",SG_Criteria!$B$6&amp;SG_Criteria!$B$11&amp;"\"&amp;A65&amp;"\")</f>
        <v/>
      </c>
      <c r="AA65" s="10" t="str">
        <f aca="false">IF(A65="","",A65&amp;"_CAD.dwg")</f>
        <v/>
      </c>
      <c r="AB65" s="10" t="str">
        <f aca="false">IF(A65="","",A65&amp;"_DWG.pdf")</f>
        <v/>
      </c>
      <c r="AC65" s="10" t="str">
        <f aca="false">IF(A65="","",IF(Y65="Y",A65&amp;"_STAAD.std","n/a"))</f>
        <v/>
      </c>
      <c r="AD65" s="10" t="str">
        <f aca="false">IF(A65="","",A65&amp;"_CALC.xlsx")</f>
        <v/>
      </c>
      <c r="AE65" s="10" t="str">
        <f aca="false">IF(A65="","",A65&amp;"_CALC.pdf")</f>
        <v/>
      </c>
      <c r="AF65" s="9"/>
      <c r="AG65" s="9"/>
      <c r="AH65" s="41"/>
      <c r="AI65" s="41"/>
      <c r="AJ65" s="41"/>
      <c r="AK65" s="41"/>
      <c r="AL65" s="41"/>
      <c r="AM65" s="38" t="str">
        <f aca="false">IF(OR(C65="",G65=""),"",IF(G65&lt;=IF(OR(C65="Soldier Pile &amp; Timber Lagging",C65="Trench Shoring Box",C65="Open Cut (battered)"),SG_Criteria!$B$34,SG_Criteria!$B$33),"No ERSS submission",IF(G65&lt;=SG_Criteria!$B$35,"QP(ST)",IF(G65&lt;=SG_Criteria!$B$36,"QP(ST) + AC","Geotechnical building works: QP(Geo) + AC"))))</f>
        <v/>
      </c>
      <c r="AN65" s="38" t="str">
        <f aca="false">IF(C65="","",IF(LEN(IF(AND(Q65&lt;&gt;"",Q65&lt;SG_Criteria!$B$37),"FAIL: base stability FOS &lt; "&amp;SG_Criteria!$B$37&amp;". ","")&amp;IF(AND(D65="Manhole",G65&gt;SG_Criteria!$B$36),"NOTE: BCA lists sewer manholes (pipe &lt;= 2 m dia) &gt; 6 m as non-GBW: QP(ST) + AC. ","")&amp;IF(AND(C65="Trench Shoring Box",H65="Kallang Formation (marine clay)"),"NOTE: check base heave / ground loss for shoring box in marine clay. ","")&amp;IF(AND(C65="Steel Sheet Pile Cofferdam",N(M65)&lt;G65*0.5),"NOTE: short toe embedment, check. ",""))=0,"OK",IF(AND(Q65&lt;&gt;"",Q65&lt;SG_Criteria!$B$37),"FAIL: base stability FOS &lt; "&amp;SG_Criteria!$B$37&amp;". ","")&amp;IF(AND(D65="Manhole",G65&gt;SG_Criteria!$B$36),"NOTE: BCA lists sewer manholes (pipe &lt;= 2 m dia) &gt; 6 m as non-GBW: QP(ST) + AC. ","")&amp;IF(AND(C65="Trench Shoring Box",H65="Kallang Formation (marine clay)"),"NOTE: check base heave / ground loss for shoring box in marine clay. ","")&amp;IF(AND(C65="Steel Sheet Pile Cofferdam",N(M65)&lt;G65*0.5),"NOTE: short toe embedment, check. ","")))</f>
        <v/>
      </c>
      <c r="AO65" s="9"/>
      <c r="AP65" s="9"/>
      <c r="AQ65" s="9"/>
      <c r="AR65" s="9"/>
      <c r="AS65" s="9"/>
      <c r="AT65" s="31"/>
      <c r="AU65" s="10" t="str">
        <f aca="false">IF(C65="","",IF(AND(V65="Approved",ISERROR(SEARCH("FAIL",AN65))),"Y","N"))</f>
        <v/>
      </c>
      <c r="AV65" s="10" t="str">
        <f aca="false">IF(C65="","",C65&amp;"|"&amp;G65&amp;"|"&amp;E65&amp;"|"&amp;H65&amp;"|"&amp;AU65)</f>
        <v/>
      </c>
    </row>
    <row r="66" customFormat="false" ht="15" hidden="false" customHeight="false" outlineLevel="0" collapsed="false">
      <c r="A66" s="10" t="str">
        <f aca="false">IF(C66="","","ERSS-"&amp;IFERROR(VLOOKUP(C66,Lists!$AK$4:$AL$21,2,0),"??")&amp;"-"&amp;TEXT(E66,"0000")&amp;"x"&amp;TEXT(F66,"0000")&amp;"-D"&amp;TEXT(G66*1000,"0000")&amp;"-"&amp;IFERROR(VLOOKUP(H66,Lists!$Y$4:$Z$21,2,0),"??")&amp;"-"&amp;U66)</f>
        <v/>
      </c>
      <c r="B66" s="10" t="str">
        <f aca="false">IF(C66="","",C66&amp;" for "&amp;D66&amp;", "&amp;E66&amp;" x "&amp;F66&amp;" pit, "&amp;TEXT(G66,"0.0")&amp;" m deep, "&amp;H66)</f>
        <v/>
      </c>
      <c r="C66" s="9"/>
      <c r="D66" s="9"/>
      <c r="E66" s="40"/>
      <c r="F66" s="40"/>
      <c r="G66" s="43"/>
      <c r="H66" s="9"/>
      <c r="I66" s="43"/>
      <c r="J66" s="40"/>
      <c r="K66" s="9"/>
      <c r="L66" s="43"/>
      <c r="M66" s="43"/>
      <c r="N66" s="40"/>
      <c r="O66" s="9"/>
      <c r="P66" s="9"/>
      <c r="Q66" s="41"/>
      <c r="R66" s="9"/>
      <c r="S66" s="40"/>
      <c r="T66" s="9"/>
      <c r="U66" s="9"/>
      <c r="V66" s="9"/>
      <c r="W66" s="9"/>
      <c r="X66" s="9"/>
      <c r="Y66" s="9"/>
      <c r="Z66" s="10" t="str">
        <f aca="false">IF(A66="","",SG_Criteria!$B$6&amp;SG_Criteria!$B$11&amp;"\"&amp;A66&amp;"\")</f>
        <v/>
      </c>
      <c r="AA66" s="10" t="str">
        <f aca="false">IF(A66="","",A66&amp;"_CAD.dwg")</f>
        <v/>
      </c>
      <c r="AB66" s="10" t="str">
        <f aca="false">IF(A66="","",A66&amp;"_DWG.pdf")</f>
        <v/>
      </c>
      <c r="AC66" s="10" t="str">
        <f aca="false">IF(A66="","",IF(Y66="Y",A66&amp;"_STAAD.std","n/a"))</f>
        <v/>
      </c>
      <c r="AD66" s="10" t="str">
        <f aca="false">IF(A66="","",A66&amp;"_CALC.xlsx")</f>
        <v/>
      </c>
      <c r="AE66" s="10" t="str">
        <f aca="false">IF(A66="","",A66&amp;"_CALC.pdf")</f>
        <v/>
      </c>
      <c r="AF66" s="9"/>
      <c r="AG66" s="9"/>
      <c r="AH66" s="41"/>
      <c r="AI66" s="41"/>
      <c r="AJ66" s="41"/>
      <c r="AK66" s="41"/>
      <c r="AL66" s="41"/>
      <c r="AM66" s="38" t="str">
        <f aca="false">IF(OR(C66="",G66=""),"",IF(G66&lt;=IF(OR(C66="Soldier Pile &amp; Timber Lagging",C66="Trench Shoring Box",C66="Open Cut (battered)"),SG_Criteria!$B$34,SG_Criteria!$B$33),"No ERSS submission",IF(G66&lt;=SG_Criteria!$B$35,"QP(ST)",IF(G66&lt;=SG_Criteria!$B$36,"QP(ST) + AC","Geotechnical building works: QP(Geo) + AC"))))</f>
        <v/>
      </c>
      <c r="AN66" s="38" t="str">
        <f aca="false">IF(C66="","",IF(LEN(IF(AND(Q66&lt;&gt;"",Q66&lt;SG_Criteria!$B$37),"FAIL: base stability FOS &lt; "&amp;SG_Criteria!$B$37&amp;". ","")&amp;IF(AND(D66="Manhole",G66&gt;SG_Criteria!$B$36),"NOTE: BCA lists sewer manholes (pipe &lt;= 2 m dia) &gt; 6 m as non-GBW: QP(ST) + AC. ","")&amp;IF(AND(C66="Trench Shoring Box",H66="Kallang Formation (marine clay)"),"NOTE: check base heave / ground loss for shoring box in marine clay. ","")&amp;IF(AND(C66="Steel Sheet Pile Cofferdam",N(M66)&lt;G66*0.5),"NOTE: short toe embedment, check. ",""))=0,"OK",IF(AND(Q66&lt;&gt;"",Q66&lt;SG_Criteria!$B$37),"FAIL: base stability FOS &lt; "&amp;SG_Criteria!$B$37&amp;". ","")&amp;IF(AND(D66="Manhole",G66&gt;SG_Criteria!$B$36),"NOTE: BCA lists sewer manholes (pipe &lt;= 2 m dia) &gt; 6 m as non-GBW: QP(ST) + AC. ","")&amp;IF(AND(C66="Trench Shoring Box",H66="Kallang Formation (marine clay)"),"NOTE: check base heave / ground loss for shoring box in marine clay. ","")&amp;IF(AND(C66="Steel Sheet Pile Cofferdam",N(M66)&lt;G66*0.5),"NOTE: short toe embedment, check. ","")))</f>
        <v/>
      </c>
      <c r="AO66" s="9"/>
      <c r="AP66" s="9"/>
      <c r="AQ66" s="9"/>
      <c r="AR66" s="9"/>
      <c r="AS66" s="9"/>
      <c r="AT66" s="31"/>
      <c r="AU66" s="10" t="str">
        <f aca="false">IF(C66="","",IF(AND(V66="Approved",ISERROR(SEARCH("FAIL",AN66))),"Y","N"))</f>
        <v/>
      </c>
      <c r="AV66" s="10" t="str">
        <f aca="false">IF(C66="","",C66&amp;"|"&amp;G66&amp;"|"&amp;E66&amp;"|"&amp;H66&amp;"|"&amp;AU66)</f>
        <v/>
      </c>
    </row>
    <row r="67" customFormat="false" ht="15" hidden="false" customHeight="false" outlineLevel="0" collapsed="false">
      <c r="A67" s="10" t="str">
        <f aca="false">IF(C67="","","ERSS-"&amp;IFERROR(VLOOKUP(C67,Lists!$AK$4:$AL$21,2,0),"??")&amp;"-"&amp;TEXT(E67,"0000")&amp;"x"&amp;TEXT(F67,"0000")&amp;"-D"&amp;TEXT(G67*1000,"0000")&amp;"-"&amp;IFERROR(VLOOKUP(H67,Lists!$Y$4:$Z$21,2,0),"??")&amp;"-"&amp;U67)</f>
        <v/>
      </c>
      <c r="B67" s="10" t="str">
        <f aca="false">IF(C67="","",C67&amp;" for "&amp;D67&amp;", "&amp;E67&amp;" x "&amp;F67&amp;" pit, "&amp;TEXT(G67,"0.0")&amp;" m deep, "&amp;H67)</f>
        <v/>
      </c>
      <c r="C67" s="9"/>
      <c r="D67" s="9"/>
      <c r="E67" s="40"/>
      <c r="F67" s="40"/>
      <c r="G67" s="43"/>
      <c r="H67" s="9"/>
      <c r="I67" s="43"/>
      <c r="J67" s="40"/>
      <c r="K67" s="9"/>
      <c r="L67" s="43"/>
      <c r="M67" s="43"/>
      <c r="N67" s="40"/>
      <c r="O67" s="9"/>
      <c r="P67" s="9"/>
      <c r="Q67" s="41"/>
      <c r="R67" s="9"/>
      <c r="S67" s="40"/>
      <c r="T67" s="9"/>
      <c r="U67" s="9"/>
      <c r="V67" s="9"/>
      <c r="W67" s="9"/>
      <c r="X67" s="9"/>
      <c r="Y67" s="9"/>
      <c r="Z67" s="10" t="str">
        <f aca="false">IF(A67="","",SG_Criteria!$B$6&amp;SG_Criteria!$B$11&amp;"\"&amp;A67&amp;"\")</f>
        <v/>
      </c>
      <c r="AA67" s="10" t="str">
        <f aca="false">IF(A67="","",A67&amp;"_CAD.dwg")</f>
        <v/>
      </c>
      <c r="AB67" s="10" t="str">
        <f aca="false">IF(A67="","",A67&amp;"_DWG.pdf")</f>
        <v/>
      </c>
      <c r="AC67" s="10" t="str">
        <f aca="false">IF(A67="","",IF(Y67="Y",A67&amp;"_STAAD.std","n/a"))</f>
        <v/>
      </c>
      <c r="AD67" s="10" t="str">
        <f aca="false">IF(A67="","",A67&amp;"_CALC.xlsx")</f>
        <v/>
      </c>
      <c r="AE67" s="10" t="str">
        <f aca="false">IF(A67="","",A67&amp;"_CALC.pdf")</f>
        <v/>
      </c>
      <c r="AF67" s="9"/>
      <c r="AG67" s="9"/>
      <c r="AH67" s="41"/>
      <c r="AI67" s="41"/>
      <c r="AJ67" s="41"/>
      <c r="AK67" s="41"/>
      <c r="AL67" s="41"/>
      <c r="AM67" s="38" t="str">
        <f aca="false">IF(OR(C67="",G67=""),"",IF(G67&lt;=IF(OR(C67="Soldier Pile &amp; Timber Lagging",C67="Trench Shoring Box",C67="Open Cut (battered)"),SG_Criteria!$B$34,SG_Criteria!$B$33),"No ERSS submission",IF(G67&lt;=SG_Criteria!$B$35,"QP(ST)",IF(G67&lt;=SG_Criteria!$B$36,"QP(ST) + AC","Geotechnical building works: QP(Geo) + AC"))))</f>
        <v/>
      </c>
      <c r="AN67" s="38" t="str">
        <f aca="false">IF(C67="","",IF(LEN(IF(AND(Q67&lt;&gt;"",Q67&lt;SG_Criteria!$B$37),"FAIL: base stability FOS &lt; "&amp;SG_Criteria!$B$37&amp;". ","")&amp;IF(AND(D67="Manhole",G67&gt;SG_Criteria!$B$36),"NOTE: BCA lists sewer manholes (pipe &lt;= 2 m dia) &gt; 6 m as non-GBW: QP(ST) + AC. ","")&amp;IF(AND(C67="Trench Shoring Box",H67="Kallang Formation (marine clay)"),"NOTE: check base heave / ground loss for shoring box in marine clay. ","")&amp;IF(AND(C67="Steel Sheet Pile Cofferdam",N(M67)&lt;G67*0.5),"NOTE: short toe embedment, check. ",""))=0,"OK",IF(AND(Q67&lt;&gt;"",Q67&lt;SG_Criteria!$B$37),"FAIL: base stability FOS &lt; "&amp;SG_Criteria!$B$37&amp;". ","")&amp;IF(AND(D67="Manhole",G67&gt;SG_Criteria!$B$36),"NOTE: BCA lists sewer manholes (pipe &lt;= 2 m dia) &gt; 6 m as non-GBW: QP(ST) + AC. ","")&amp;IF(AND(C67="Trench Shoring Box",H67="Kallang Formation (marine clay)"),"NOTE: check base heave / ground loss for shoring box in marine clay. ","")&amp;IF(AND(C67="Steel Sheet Pile Cofferdam",N(M67)&lt;G67*0.5),"NOTE: short toe embedment, check. ","")))</f>
        <v/>
      </c>
      <c r="AO67" s="9"/>
      <c r="AP67" s="9"/>
      <c r="AQ67" s="9"/>
      <c r="AR67" s="9"/>
      <c r="AS67" s="9"/>
      <c r="AT67" s="31"/>
      <c r="AU67" s="10" t="str">
        <f aca="false">IF(C67="","",IF(AND(V67="Approved",ISERROR(SEARCH("FAIL",AN67))),"Y","N"))</f>
        <v/>
      </c>
      <c r="AV67" s="10" t="str">
        <f aca="false">IF(C67="","",C67&amp;"|"&amp;G67&amp;"|"&amp;E67&amp;"|"&amp;H67&amp;"|"&amp;AU67)</f>
        <v/>
      </c>
    </row>
    <row r="68" customFormat="false" ht="15" hidden="false" customHeight="false" outlineLevel="0" collapsed="false">
      <c r="A68" s="10" t="str">
        <f aca="false">IF(C68="","","ERSS-"&amp;IFERROR(VLOOKUP(C68,Lists!$AK$4:$AL$21,2,0),"??")&amp;"-"&amp;TEXT(E68,"0000")&amp;"x"&amp;TEXT(F68,"0000")&amp;"-D"&amp;TEXT(G68*1000,"0000")&amp;"-"&amp;IFERROR(VLOOKUP(H68,Lists!$Y$4:$Z$21,2,0),"??")&amp;"-"&amp;U68)</f>
        <v/>
      </c>
      <c r="B68" s="10" t="str">
        <f aca="false">IF(C68="","",C68&amp;" for "&amp;D68&amp;", "&amp;E68&amp;" x "&amp;F68&amp;" pit, "&amp;TEXT(G68,"0.0")&amp;" m deep, "&amp;H68)</f>
        <v/>
      </c>
      <c r="C68" s="9"/>
      <c r="D68" s="9"/>
      <c r="E68" s="40"/>
      <c r="F68" s="40"/>
      <c r="G68" s="43"/>
      <c r="H68" s="9"/>
      <c r="I68" s="43"/>
      <c r="J68" s="40"/>
      <c r="K68" s="9"/>
      <c r="L68" s="43"/>
      <c r="M68" s="43"/>
      <c r="N68" s="40"/>
      <c r="O68" s="9"/>
      <c r="P68" s="9"/>
      <c r="Q68" s="41"/>
      <c r="R68" s="9"/>
      <c r="S68" s="40"/>
      <c r="T68" s="9"/>
      <c r="U68" s="9"/>
      <c r="V68" s="9"/>
      <c r="W68" s="9"/>
      <c r="X68" s="9"/>
      <c r="Y68" s="9"/>
      <c r="Z68" s="10" t="str">
        <f aca="false">IF(A68="","",SG_Criteria!$B$6&amp;SG_Criteria!$B$11&amp;"\"&amp;A68&amp;"\")</f>
        <v/>
      </c>
      <c r="AA68" s="10" t="str">
        <f aca="false">IF(A68="","",A68&amp;"_CAD.dwg")</f>
        <v/>
      </c>
      <c r="AB68" s="10" t="str">
        <f aca="false">IF(A68="","",A68&amp;"_DWG.pdf")</f>
        <v/>
      </c>
      <c r="AC68" s="10" t="str">
        <f aca="false">IF(A68="","",IF(Y68="Y",A68&amp;"_STAAD.std","n/a"))</f>
        <v/>
      </c>
      <c r="AD68" s="10" t="str">
        <f aca="false">IF(A68="","",A68&amp;"_CALC.xlsx")</f>
        <v/>
      </c>
      <c r="AE68" s="10" t="str">
        <f aca="false">IF(A68="","",A68&amp;"_CALC.pdf")</f>
        <v/>
      </c>
      <c r="AF68" s="9"/>
      <c r="AG68" s="9"/>
      <c r="AH68" s="41"/>
      <c r="AI68" s="41"/>
      <c r="AJ68" s="41"/>
      <c r="AK68" s="41"/>
      <c r="AL68" s="41"/>
      <c r="AM68" s="38" t="str">
        <f aca="false">IF(OR(C68="",G68=""),"",IF(G68&lt;=IF(OR(C68="Soldier Pile &amp; Timber Lagging",C68="Trench Shoring Box",C68="Open Cut (battered)"),SG_Criteria!$B$34,SG_Criteria!$B$33),"No ERSS submission",IF(G68&lt;=SG_Criteria!$B$35,"QP(ST)",IF(G68&lt;=SG_Criteria!$B$36,"QP(ST) + AC","Geotechnical building works: QP(Geo) + AC"))))</f>
        <v/>
      </c>
      <c r="AN68" s="38" t="str">
        <f aca="false">IF(C68="","",IF(LEN(IF(AND(Q68&lt;&gt;"",Q68&lt;SG_Criteria!$B$37),"FAIL: base stability FOS &lt; "&amp;SG_Criteria!$B$37&amp;". ","")&amp;IF(AND(D68="Manhole",G68&gt;SG_Criteria!$B$36),"NOTE: BCA lists sewer manholes (pipe &lt;= 2 m dia) &gt; 6 m as non-GBW: QP(ST) + AC. ","")&amp;IF(AND(C68="Trench Shoring Box",H68="Kallang Formation (marine clay)"),"NOTE: check base heave / ground loss for shoring box in marine clay. ","")&amp;IF(AND(C68="Steel Sheet Pile Cofferdam",N(M68)&lt;G68*0.5),"NOTE: short toe embedment, check. ",""))=0,"OK",IF(AND(Q68&lt;&gt;"",Q68&lt;SG_Criteria!$B$37),"FAIL: base stability FOS &lt; "&amp;SG_Criteria!$B$37&amp;". ","")&amp;IF(AND(D68="Manhole",G68&gt;SG_Criteria!$B$36),"NOTE: BCA lists sewer manholes (pipe &lt;= 2 m dia) &gt; 6 m as non-GBW: QP(ST) + AC. ","")&amp;IF(AND(C68="Trench Shoring Box",H68="Kallang Formation (marine clay)"),"NOTE: check base heave / ground loss for shoring box in marine clay. ","")&amp;IF(AND(C68="Steel Sheet Pile Cofferdam",N(M68)&lt;G68*0.5),"NOTE: short toe embedment, check. ","")))</f>
        <v/>
      </c>
      <c r="AO68" s="9"/>
      <c r="AP68" s="9"/>
      <c r="AQ68" s="9"/>
      <c r="AR68" s="9"/>
      <c r="AS68" s="9"/>
      <c r="AT68" s="31"/>
      <c r="AU68" s="10" t="str">
        <f aca="false">IF(C68="","",IF(AND(V68="Approved",ISERROR(SEARCH("FAIL",AN68))),"Y","N"))</f>
        <v/>
      </c>
      <c r="AV68" s="10" t="str">
        <f aca="false">IF(C68="","",C68&amp;"|"&amp;G68&amp;"|"&amp;E68&amp;"|"&amp;H68&amp;"|"&amp;AU68)</f>
        <v/>
      </c>
    </row>
    <row r="69" customFormat="false" ht="15" hidden="false" customHeight="false" outlineLevel="0" collapsed="false">
      <c r="A69" s="10" t="str">
        <f aca="false">IF(C69="","","ERSS-"&amp;IFERROR(VLOOKUP(C69,Lists!$AK$4:$AL$21,2,0),"??")&amp;"-"&amp;TEXT(E69,"0000")&amp;"x"&amp;TEXT(F69,"0000")&amp;"-D"&amp;TEXT(G69*1000,"0000")&amp;"-"&amp;IFERROR(VLOOKUP(H69,Lists!$Y$4:$Z$21,2,0),"??")&amp;"-"&amp;U69)</f>
        <v/>
      </c>
      <c r="B69" s="10" t="str">
        <f aca="false">IF(C69="","",C69&amp;" for "&amp;D69&amp;", "&amp;E69&amp;" x "&amp;F69&amp;" pit, "&amp;TEXT(G69,"0.0")&amp;" m deep, "&amp;H69)</f>
        <v/>
      </c>
      <c r="C69" s="9"/>
      <c r="D69" s="9"/>
      <c r="E69" s="40"/>
      <c r="F69" s="40"/>
      <c r="G69" s="43"/>
      <c r="H69" s="9"/>
      <c r="I69" s="43"/>
      <c r="J69" s="40"/>
      <c r="K69" s="9"/>
      <c r="L69" s="43"/>
      <c r="M69" s="43"/>
      <c r="N69" s="40"/>
      <c r="O69" s="9"/>
      <c r="P69" s="9"/>
      <c r="Q69" s="41"/>
      <c r="R69" s="9"/>
      <c r="S69" s="40"/>
      <c r="T69" s="9"/>
      <c r="U69" s="9"/>
      <c r="V69" s="9"/>
      <c r="W69" s="9"/>
      <c r="X69" s="9"/>
      <c r="Y69" s="9"/>
      <c r="Z69" s="10" t="str">
        <f aca="false">IF(A69="","",SG_Criteria!$B$6&amp;SG_Criteria!$B$11&amp;"\"&amp;A69&amp;"\")</f>
        <v/>
      </c>
      <c r="AA69" s="10" t="str">
        <f aca="false">IF(A69="","",A69&amp;"_CAD.dwg")</f>
        <v/>
      </c>
      <c r="AB69" s="10" t="str">
        <f aca="false">IF(A69="","",A69&amp;"_DWG.pdf")</f>
        <v/>
      </c>
      <c r="AC69" s="10" t="str">
        <f aca="false">IF(A69="","",IF(Y69="Y",A69&amp;"_STAAD.std","n/a"))</f>
        <v/>
      </c>
      <c r="AD69" s="10" t="str">
        <f aca="false">IF(A69="","",A69&amp;"_CALC.xlsx")</f>
        <v/>
      </c>
      <c r="AE69" s="10" t="str">
        <f aca="false">IF(A69="","",A69&amp;"_CALC.pdf")</f>
        <v/>
      </c>
      <c r="AF69" s="9"/>
      <c r="AG69" s="9"/>
      <c r="AH69" s="41"/>
      <c r="AI69" s="41"/>
      <c r="AJ69" s="41"/>
      <c r="AK69" s="41"/>
      <c r="AL69" s="41"/>
      <c r="AM69" s="38" t="str">
        <f aca="false">IF(OR(C69="",G69=""),"",IF(G69&lt;=IF(OR(C69="Soldier Pile &amp; Timber Lagging",C69="Trench Shoring Box",C69="Open Cut (battered)"),SG_Criteria!$B$34,SG_Criteria!$B$33),"No ERSS submission",IF(G69&lt;=SG_Criteria!$B$35,"QP(ST)",IF(G69&lt;=SG_Criteria!$B$36,"QP(ST) + AC","Geotechnical building works: QP(Geo) + AC"))))</f>
        <v/>
      </c>
      <c r="AN69" s="38" t="str">
        <f aca="false">IF(C69="","",IF(LEN(IF(AND(Q69&lt;&gt;"",Q69&lt;SG_Criteria!$B$37),"FAIL: base stability FOS &lt; "&amp;SG_Criteria!$B$37&amp;". ","")&amp;IF(AND(D69="Manhole",G69&gt;SG_Criteria!$B$36),"NOTE: BCA lists sewer manholes (pipe &lt;= 2 m dia) &gt; 6 m as non-GBW: QP(ST) + AC. ","")&amp;IF(AND(C69="Trench Shoring Box",H69="Kallang Formation (marine clay)"),"NOTE: check base heave / ground loss for shoring box in marine clay. ","")&amp;IF(AND(C69="Steel Sheet Pile Cofferdam",N(M69)&lt;G69*0.5),"NOTE: short toe embedment, check. ",""))=0,"OK",IF(AND(Q69&lt;&gt;"",Q69&lt;SG_Criteria!$B$37),"FAIL: base stability FOS &lt; "&amp;SG_Criteria!$B$37&amp;". ","")&amp;IF(AND(D69="Manhole",G69&gt;SG_Criteria!$B$36),"NOTE: BCA lists sewer manholes (pipe &lt;= 2 m dia) &gt; 6 m as non-GBW: QP(ST) + AC. ","")&amp;IF(AND(C69="Trench Shoring Box",H69="Kallang Formation (marine clay)"),"NOTE: check base heave / ground loss for shoring box in marine clay. ","")&amp;IF(AND(C69="Steel Sheet Pile Cofferdam",N(M69)&lt;G69*0.5),"NOTE: short toe embedment, check. ","")))</f>
        <v/>
      </c>
      <c r="AO69" s="9"/>
      <c r="AP69" s="9"/>
      <c r="AQ69" s="9"/>
      <c r="AR69" s="9"/>
      <c r="AS69" s="9"/>
      <c r="AT69" s="31"/>
      <c r="AU69" s="10" t="str">
        <f aca="false">IF(C69="","",IF(AND(V69="Approved",ISERROR(SEARCH("FAIL",AN69))),"Y","N"))</f>
        <v/>
      </c>
      <c r="AV69" s="10" t="str">
        <f aca="false">IF(C69="","",C69&amp;"|"&amp;G69&amp;"|"&amp;E69&amp;"|"&amp;H69&amp;"|"&amp;AU69)</f>
        <v/>
      </c>
    </row>
    <row r="70" customFormat="false" ht="15" hidden="false" customHeight="false" outlineLevel="0" collapsed="false">
      <c r="A70" s="10" t="str">
        <f aca="false">IF(C70="","","ERSS-"&amp;IFERROR(VLOOKUP(C70,Lists!$AK$4:$AL$21,2,0),"??")&amp;"-"&amp;TEXT(E70,"0000")&amp;"x"&amp;TEXT(F70,"0000")&amp;"-D"&amp;TEXT(G70*1000,"0000")&amp;"-"&amp;IFERROR(VLOOKUP(H70,Lists!$Y$4:$Z$21,2,0),"??")&amp;"-"&amp;U70)</f>
        <v/>
      </c>
      <c r="B70" s="10" t="str">
        <f aca="false">IF(C70="","",C70&amp;" for "&amp;D70&amp;", "&amp;E70&amp;" x "&amp;F70&amp;" pit, "&amp;TEXT(G70,"0.0")&amp;" m deep, "&amp;H70)</f>
        <v/>
      </c>
      <c r="C70" s="9"/>
      <c r="D70" s="9"/>
      <c r="E70" s="40"/>
      <c r="F70" s="40"/>
      <c r="G70" s="43"/>
      <c r="H70" s="9"/>
      <c r="I70" s="43"/>
      <c r="J70" s="40"/>
      <c r="K70" s="9"/>
      <c r="L70" s="43"/>
      <c r="M70" s="43"/>
      <c r="N70" s="40"/>
      <c r="O70" s="9"/>
      <c r="P70" s="9"/>
      <c r="Q70" s="41"/>
      <c r="R70" s="9"/>
      <c r="S70" s="40"/>
      <c r="T70" s="9"/>
      <c r="U70" s="9"/>
      <c r="V70" s="9"/>
      <c r="W70" s="9"/>
      <c r="X70" s="9"/>
      <c r="Y70" s="9"/>
      <c r="Z70" s="10" t="str">
        <f aca="false">IF(A70="","",SG_Criteria!$B$6&amp;SG_Criteria!$B$11&amp;"\"&amp;A70&amp;"\")</f>
        <v/>
      </c>
      <c r="AA70" s="10" t="str">
        <f aca="false">IF(A70="","",A70&amp;"_CAD.dwg")</f>
        <v/>
      </c>
      <c r="AB70" s="10" t="str">
        <f aca="false">IF(A70="","",A70&amp;"_DWG.pdf")</f>
        <v/>
      </c>
      <c r="AC70" s="10" t="str">
        <f aca="false">IF(A70="","",IF(Y70="Y",A70&amp;"_STAAD.std","n/a"))</f>
        <v/>
      </c>
      <c r="AD70" s="10" t="str">
        <f aca="false">IF(A70="","",A70&amp;"_CALC.xlsx")</f>
        <v/>
      </c>
      <c r="AE70" s="10" t="str">
        <f aca="false">IF(A70="","",A70&amp;"_CALC.pdf")</f>
        <v/>
      </c>
      <c r="AF70" s="9"/>
      <c r="AG70" s="9"/>
      <c r="AH70" s="41"/>
      <c r="AI70" s="41"/>
      <c r="AJ70" s="41"/>
      <c r="AK70" s="41"/>
      <c r="AL70" s="41"/>
      <c r="AM70" s="38" t="str">
        <f aca="false">IF(OR(C70="",G70=""),"",IF(G70&lt;=IF(OR(C70="Soldier Pile &amp; Timber Lagging",C70="Trench Shoring Box",C70="Open Cut (battered)"),SG_Criteria!$B$34,SG_Criteria!$B$33),"No ERSS submission",IF(G70&lt;=SG_Criteria!$B$35,"QP(ST)",IF(G70&lt;=SG_Criteria!$B$36,"QP(ST) + AC","Geotechnical building works: QP(Geo) + AC"))))</f>
        <v/>
      </c>
      <c r="AN70" s="38" t="str">
        <f aca="false">IF(C70="","",IF(LEN(IF(AND(Q70&lt;&gt;"",Q70&lt;SG_Criteria!$B$37),"FAIL: base stability FOS &lt; "&amp;SG_Criteria!$B$37&amp;". ","")&amp;IF(AND(D70="Manhole",G70&gt;SG_Criteria!$B$36),"NOTE: BCA lists sewer manholes (pipe &lt;= 2 m dia) &gt; 6 m as non-GBW: QP(ST) + AC. ","")&amp;IF(AND(C70="Trench Shoring Box",H70="Kallang Formation (marine clay)"),"NOTE: check base heave / ground loss for shoring box in marine clay. ","")&amp;IF(AND(C70="Steel Sheet Pile Cofferdam",N(M70)&lt;G70*0.5),"NOTE: short toe embedment, check. ",""))=0,"OK",IF(AND(Q70&lt;&gt;"",Q70&lt;SG_Criteria!$B$37),"FAIL: base stability FOS &lt; "&amp;SG_Criteria!$B$37&amp;". ","")&amp;IF(AND(D70="Manhole",G70&gt;SG_Criteria!$B$36),"NOTE: BCA lists sewer manholes (pipe &lt;= 2 m dia) &gt; 6 m as non-GBW: QP(ST) + AC. ","")&amp;IF(AND(C70="Trench Shoring Box",H70="Kallang Formation (marine clay)"),"NOTE: check base heave / ground loss for shoring box in marine clay. ","")&amp;IF(AND(C70="Steel Sheet Pile Cofferdam",N(M70)&lt;G70*0.5),"NOTE: short toe embedment, check. ","")))</f>
        <v/>
      </c>
      <c r="AO70" s="9"/>
      <c r="AP70" s="9"/>
      <c r="AQ70" s="9"/>
      <c r="AR70" s="9"/>
      <c r="AS70" s="9"/>
      <c r="AT70" s="31"/>
      <c r="AU70" s="10" t="str">
        <f aca="false">IF(C70="","",IF(AND(V70="Approved",ISERROR(SEARCH("FAIL",AN70))),"Y","N"))</f>
        <v/>
      </c>
      <c r="AV70" s="10" t="str">
        <f aca="false">IF(C70="","",C70&amp;"|"&amp;G70&amp;"|"&amp;E70&amp;"|"&amp;H70&amp;"|"&amp;AU70)</f>
        <v/>
      </c>
    </row>
    <row r="71" customFormat="false" ht="15" hidden="false" customHeight="false" outlineLevel="0" collapsed="false">
      <c r="A71" s="10" t="str">
        <f aca="false">IF(C71="","","ERSS-"&amp;IFERROR(VLOOKUP(C71,Lists!$AK$4:$AL$21,2,0),"??")&amp;"-"&amp;TEXT(E71,"0000")&amp;"x"&amp;TEXT(F71,"0000")&amp;"-D"&amp;TEXT(G71*1000,"0000")&amp;"-"&amp;IFERROR(VLOOKUP(H71,Lists!$Y$4:$Z$21,2,0),"??")&amp;"-"&amp;U71)</f>
        <v/>
      </c>
      <c r="B71" s="10" t="str">
        <f aca="false">IF(C71="","",C71&amp;" for "&amp;D71&amp;", "&amp;E71&amp;" x "&amp;F71&amp;" pit, "&amp;TEXT(G71,"0.0")&amp;" m deep, "&amp;H71)</f>
        <v/>
      </c>
      <c r="C71" s="9"/>
      <c r="D71" s="9"/>
      <c r="E71" s="40"/>
      <c r="F71" s="40"/>
      <c r="G71" s="43"/>
      <c r="H71" s="9"/>
      <c r="I71" s="43"/>
      <c r="J71" s="40"/>
      <c r="K71" s="9"/>
      <c r="L71" s="43"/>
      <c r="M71" s="43"/>
      <c r="N71" s="40"/>
      <c r="O71" s="9"/>
      <c r="P71" s="9"/>
      <c r="Q71" s="41"/>
      <c r="R71" s="9"/>
      <c r="S71" s="40"/>
      <c r="T71" s="9"/>
      <c r="U71" s="9"/>
      <c r="V71" s="9"/>
      <c r="W71" s="9"/>
      <c r="X71" s="9"/>
      <c r="Y71" s="9"/>
      <c r="Z71" s="10" t="str">
        <f aca="false">IF(A71="","",SG_Criteria!$B$6&amp;SG_Criteria!$B$11&amp;"\"&amp;A71&amp;"\")</f>
        <v/>
      </c>
      <c r="AA71" s="10" t="str">
        <f aca="false">IF(A71="","",A71&amp;"_CAD.dwg")</f>
        <v/>
      </c>
      <c r="AB71" s="10" t="str">
        <f aca="false">IF(A71="","",A71&amp;"_DWG.pdf")</f>
        <v/>
      </c>
      <c r="AC71" s="10" t="str">
        <f aca="false">IF(A71="","",IF(Y71="Y",A71&amp;"_STAAD.std","n/a"))</f>
        <v/>
      </c>
      <c r="AD71" s="10" t="str">
        <f aca="false">IF(A71="","",A71&amp;"_CALC.xlsx")</f>
        <v/>
      </c>
      <c r="AE71" s="10" t="str">
        <f aca="false">IF(A71="","",A71&amp;"_CALC.pdf")</f>
        <v/>
      </c>
      <c r="AF71" s="9"/>
      <c r="AG71" s="9"/>
      <c r="AH71" s="41"/>
      <c r="AI71" s="41"/>
      <c r="AJ71" s="41"/>
      <c r="AK71" s="41"/>
      <c r="AL71" s="41"/>
      <c r="AM71" s="38" t="str">
        <f aca="false">IF(OR(C71="",G71=""),"",IF(G71&lt;=IF(OR(C71="Soldier Pile &amp; Timber Lagging",C71="Trench Shoring Box",C71="Open Cut (battered)"),SG_Criteria!$B$34,SG_Criteria!$B$33),"No ERSS submission",IF(G71&lt;=SG_Criteria!$B$35,"QP(ST)",IF(G71&lt;=SG_Criteria!$B$36,"QP(ST) + AC","Geotechnical building works: QP(Geo) + AC"))))</f>
        <v/>
      </c>
      <c r="AN71" s="38" t="str">
        <f aca="false">IF(C71="","",IF(LEN(IF(AND(Q71&lt;&gt;"",Q71&lt;SG_Criteria!$B$37),"FAIL: base stability FOS &lt; "&amp;SG_Criteria!$B$37&amp;". ","")&amp;IF(AND(D71="Manhole",G71&gt;SG_Criteria!$B$36),"NOTE: BCA lists sewer manholes (pipe &lt;= 2 m dia) &gt; 6 m as non-GBW: QP(ST) + AC. ","")&amp;IF(AND(C71="Trench Shoring Box",H71="Kallang Formation (marine clay)"),"NOTE: check base heave / ground loss for shoring box in marine clay. ","")&amp;IF(AND(C71="Steel Sheet Pile Cofferdam",N(M71)&lt;G71*0.5),"NOTE: short toe embedment, check. ",""))=0,"OK",IF(AND(Q71&lt;&gt;"",Q71&lt;SG_Criteria!$B$37),"FAIL: base stability FOS &lt; "&amp;SG_Criteria!$B$37&amp;". ","")&amp;IF(AND(D71="Manhole",G71&gt;SG_Criteria!$B$36),"NOTE: BCA lists sewer manholes (pipe &lt;= 2 m dia) &gt; 6 m as non-GBW: QP(ST) + AC. ","")&amp;IF(AND(C71="Trench Shoring Box",H71="Kallang Formation (marine clay)"),"NOTE: check base heave / ground loss for shoring box in marine clay. ","")&amp;IF(AND(C71="Steel Sheet Pile Cofferdam",N(M71)&lt;G71*0.5),"NOTE: short toe embedment, check. ","")))</f>
        <v/>
      </c>
      <c r="AO71" s="9"/>
      <c r="AP71" s="9"/>
      <c r="AQ71" s="9"/>
      <c r="AR71" s="9"/>
      <c r="AS71" s="9"/>
      <c r="AT71" s="31"/>
      <c r="AU71" s="10" t="str">
        <f aca="false">IF(C71="","",IF(AND(V71="Approved",ISERROR(SEARCH("FAIL",AN71))),"Y","N"))</f>
        <v/>
      </c>
      <c r="AV71" s="10" t="str">
        <f aca="false">IF(C71="","",C71&amp;"|"&amp;G71&amp;"|"&amp;E71&amp;"|"&amp;H71&amp;"|"&amp;AU71)</f>
        <v/>
      </c>
    </row>
    <row r="72" customFormat="false" ht="15" hidden="false" customHeight="false" outlineLevel="0" collapsed="false">
      <c r="A72" s="10" t="str">
        <f aca="false">IF(C72="","","ERSS-"&amp;IFERROR(VLOOKUP(C72,Lists!$AK$4:$AL$21,2,0),"??")&amp;"-"&amp;TEXT(E72,"0000")&amp;"x"&amp;TEXT(F72,"0000")&amp;"-D"&amp;TEXT(G72*1000,"0000")&amp;"-"&amp;IFERROR(VLOOKUP(H72,Lists!$Y$4:$Z$21,2,0),"??")&amp;"-"&amp;U72)</f>
        <v/>
      </c>
      <c r="B72" s="10" t="str">
        <f aca="false">IF(C72="","",C72&amp;" for "&amp;D72&amp;", "&amp;E72&amp;" x "&amp;F72&amp;" pit, "&amp;TEXT(G72,"0.0")&amp;" m deep, "&amp;H72)</f>
        <v/>
      </c>
      <c r="C72" s="9"/>
      <c r="D72" s="9"/>
      <c r="E72" s="40"/>
      <c r="F72" s="40"/>
      <c r="G72" s="43"/>
      <c r="H72" s="9"/>
      <c r="I72" s="43"/>
      <c r="J72" s="40"/>
      <c r="K72" s="9"/>
      <c r="L72" s="43"/>
      <c r="M72" s="43"/>
      <c r="N72" s="40"/>
      <c r="O72" s="9"/>
      <c r="P72" s="9"/>
      <c r="Q72" s="41"/>
      <c r="R72" s="9"/>
      <c r="S72" s="40"/>
      <c r="T72" s="9"/>
      <c r="U72" s="9"/>
      <c r="V72" s="9"/>
      <c r="W72" s="9"/>
      <c r="X72" s="9"/>
      <c r="Y72" s="9"/>
      <c r="Z72" s="10" t="str">
        <f aca="false">IF(A72="","",SG_Criteria!$B$6&amp;SG_Criteria!$B$11&amp;"\"&amp;A72&amp;"\")</f>
        <v/>
      </c>
      <c r="AA72" s="10" t="str">
        <f aca="false">IF(A72="","",A72&amp;"_CAD.dwg")</f>
        <v/>
      </c>
      <c r="AB72" s="10" t="str">
        <f aca="false">IF(A72="","",A72&amp;"_DWG.pdf")</f>
        <v/>
      </c>
      <c r="AC72" s="10" t="str">
        <f aca="false">IF(A72="","",IF(Y72="Y",A72&amp;"_STAAD.std","n/a"))</f>
        <v/>
      </c>
      <c r="AD72" s="10" t="str">
        <f aca="false">IF(A72="","",A72&amp;"_CALC.xlsx")</f>
        <v/>
      </c>
      <c r="AE72" s="10" t="str">
        <f aca="false">IF(A72="","",A72&amp;"_CALC.pdf")</f>
        <v/>
      </c>
      <c r="AF72" s="9"/>
      <c r="AG72" s="9"/>
      <c r="AH72" s="41"/>
      <c r="AI72" s="41"/>
      <c r="AJ72" s="41"/>
      <c r="AK72" s="41"/>
      <c r="AL72" s="41"/>
      <c r="AM72" s="38" t="str">
        <f aca="false">IF(OR(C72="",G72=""),"",IF(G72&lt;=IF(OR(C72="Soldier Pile &amp; Timber Lagging",C72="Trench Shoring Box",C72="Open Cut (battered)"),SG_Criteria!$B$34,SG_Criteria!$B$33),"No ERSS submission",IF(G72&lt;=SG_Criteria!$B$35,"QP(ST)",IF(G72&lt;=SG_Criteria!$B$36,"QP(ST) + AC","Geotechnical building works: QP(Geo) + AC"))))</f>
        <v/>
      </c>
      <c r="AN72" s="38" t="str">
        <f aca="false">IF(C72="","",IF(LEN(IF(AND(Q72&lt;&gt;"",Q72&lt;SG_Criteria!$B$37),"FAIL: base stability FOS &lt; "&amp;SG_Criteria!$B$37&amp;". ","")&amp;IF(AND(D72="Manhole",G72&gt;SG_Criteria!$B$36),"NOTE: BCA lists sewer manholes (pipe &lt;= 2 m dia) &gt; 6 m as non-GBW: QP(ST) + AC. ","")&amp;IF(AND(C72="Trench Shoring Box",H72="Kallang Formation (marine clay)"),"NOTE: check base heave / ground loss for shoring box in marine clay. ","")&amp;IF(AND(C72="Steel Sheet Pile Cofferdam",N(M72)&lt;G72*0.5),"NOTE: short toe embedment, check. ",""))=0,"OK",IF(AND(Q72&lt;&gt;"",Q72&lt;SG_Criteria!$B$37),"FAIL: base stability FOS &lt; "&amp;SG_Criteria!$B$37&amp;". ","")&amp;IF(AND(D72="Manhole",G72&gt;SG_Criteria!$B$36),"NOTE: BCA lists sewer manholes (pipe &lt;= 2 m dia) &gt; 6 m as non-GBW: QP(ST) + AC. ","")&amp;IF(AND(C72="Trench Shoring Box",H72="Kallang Formation (marine clay)"),"NOTE: check base heave / ground loss for shoring box in marine clay. ","")&amp;IF(AND(C72="Steel Sheet Pile Cofferdam",N(M72)&lt;G72*0.5),"NOTE: short toe embedment, check. ","")))</f>
        <v/>
      </c>
      <c r="AO72" s="9"/>
      <c r="AP72" s="9"/>
      <c r="AQ72" s="9"/>
      <c r="AR72" s="9"/>
      <c r="AS72" s="9"/>
      <c r="AT72" s="31"/>
      <c r="AU72" s="10" t="str">
        <f aca="false">IF(C72="","",IF(AND(V72="Approved",ISERROR(SEARCH("FAIL",AN72))),"Y","N"))</f>
        <v/>
      </c>
      <c r="AV72" s="10" t="str">
        <f aca="false">IF(C72="","",C72&amp;"|"&amp;G72&amp;"|"&amp;E72&amp;"|"&amp;H72&amp;"|"&amp;AU72)</f>
        <v/>
      </c>
    </row>
    <row r="73" customFormat="false" ht="15" hidden="false" customHeight="false" outlineLevel="0" collapsed="false">
      <c r="A73" s="10" t="str">
        <f aca="false">IF(C73="","","ERSS-"&amp;IFERROR(VLOOKUP(C73,Lists!$AK$4:$AL$21,2,0),"??")&amp;"-"&amp;TEXT(E73,"0000")&amp;"x"&amp;TEXT(F73,"0000")&amp;"-D"&amp;TEXT(G73*1000,"0000")&amp;"-"&amp;IFERROR(VLOOKUP(H73,Lists!$Y$4:$Z$21,2,0),"??")&amp;"-"&amp;U73)</f>
        <v/>
      </c>
      <c r="B73" s="10" t="str">
        <f aca="false">IF(C73="","",C73&amp;" for "&amp;D73&amp;", "&amp;E73&amp;" x "&amp;F73&amp;" pit, "&amp;TEXT(G73,"0.0")&amp;" m deep, "&amp;H73)</f>
        <v/>
      </c>
      <c r="C73" s="9"/>
      <c r="D73" s="9"/>
      <c r="E73" s="40"/>
      <c r="F73" s="40"/>
      <c r="G73" s="43"/>
      <c r="H73" s="9"/>
      <c r="I73" s="43"/>
      <c r="J73" s="40"/>
      <c r="K73" s="9"/>
      <c r="L73" s="43"/>
      <c r="M73" s="43"/>
      <c r="N73" s="40"/>
      <c r="O73" s="9"/>
      <c r="P73" s="9"/>
      <c r="Q73" s="41"/>
      <c r="R73" s="9"/>
      <c r="S73" s="40"/>
      <c r="T73" s="9"/>
      <c r="U73" s="9"/>
      <c r="V73" s="9"/>
      <c r="W73" s="9"/>
      <c r="X73" s="9"/>
      <c r="Y73" s="9"/>
      <c r="Z73" s="10" t="str">
        <f aca="false">IF(A73="","",SG_Criteria!$B$6&amp;SG_Criteria!$B$11&amp;"\"&amp;A73&amp;"\")</f>
        <v/>
      </c>
      <c r="AA73" s="10" t="str">
        <f aca="false">IF(A73="","",A73&amp;"_CAD.dwg")</f>
        <v/>
      </c>
      <c r="AB73" s="10" t="str">
        <f aca="false">IF(A73="","",A73&amp;"_DWG.pdf")</f>
        <v/>
      </c>
      <c r="AC73" s="10" t="str">
        <f aca="false">IF(A73="","",IF(Y73="Y",A73&amp;"_STAAD.std","n/a"))</f>
        <v/>
      </c>
      <c r="AD73" s="10" t="str">
        <f aca="false">IF(A73="","",A73&amp;"_CALC.xlsx")</f>
        <v/>
      </c>
      <c r="AE73" s="10" t="str">
        <f aca="false">IF(A73="","",A73&amp;"_CALC.pdf")</f>
        <v/>
      </c>
      <c r="AF73" s="9"/>
      <c r="AG73" s="9"/>
      <c r="AH73" s="41"/>
      <c r="AI73" s="41"/>
      <c r="AJ73" s="41"/>
      <c r="AK73" s="41"/>
      <c r="AL73" s="41"/>
      <c r="AM73" s="38" t="str">
        <f aca="false">IF(OR(C73="",G73=""),"",IF(G73&lt;=IF(OR(C73="Soldier Pile &amp; Timber Lagging",C73="Trench Shoring Box",C73="Open Cut (battered)"),SG_Criteria!$B$34,SG_Criteria!$B$33),"No ERSS submission",IF(G73&lt;=SG_Criteria!$B$35,"QP(ST)",IF(G73&lt;=SG_Criteria!$B$36,"QP(ST) + AC","Geotechnical building works: QP(Geo) + AC"))))</f>
        <v/>
      </c>
      <c r="AN73" s="38" t="str">
        <f aca="false">IF(C73="","",IF(LEN(IF(AND(Q73&lt;&gt;"",Q73&lt;SG_Criteria!$B$37),"FAIL: base stability FOS &lt; "&amp;SG_Criteria!$B$37&amp;". ","")&amp;IF(AND(D73="Manhole",G73&gt;SG_Criteria!$B$36),"NOTE: BCA lists sewer manholes (pipe &lt;= 2 m dia) &gt; 6 m as non-GBW: QP(ST) + AC. ","")&amp;IF(AND(C73="Trench Shoring Box",H73="Kallang Formation (marine clay)"),"NOTE: check base heave / ground loss for shoring box in marine clay. ","")&amp;IF(AND(C73="Steel Sheet Pile Cofferdam",N(M73)&lt;G73*0.5),"NOTE: short toe embedment, check. ",""))=0,"OK",IF(AND(Q73&lt;&gt;"",Q73&lt;SG_Criteria!$B$37),"FAIL: base stability FOS &lt; "&amp;SG_Criteria!$B$37&amp;". ","")&amp;IF(AND(D73="Manhole",G73&gt;SG_Criteria!$B$36),"NOTE: BCA lists sewer manholes (pipe &lt;= 2 m dia) &gt; 6 m as non-GBW: QP(ST) + AC. ","")&amp;IF(AND(C73="Trench Shoring Box",H73="Kallang Formation (marine clay)"),"NOTE: check base heave / ground loss for shoring box in marine clay. ","")&amp;IF(AND(C73="Steel Sheet Pile Cofferdam",N(M73)&lt;G73*0.5),"NOTE: short toe embedment, check. ","")))</f>
        <v/>
      </c>
      <c r="AO73" s="9"/>
      <c r="AP73" s="9"/>
      <c r="AQ73" s="9"/>
      <c r="AR73" s="9"/>
      <c r="AS73" s="9"/>
      <c r="AT73" s="31"/>
      <c r="AU73" s="10" t="str">
        <f aca="false">IF(C73="","",IF(AND(V73="Approved",ISERROR(SEARCH("FAIL",AN73))),"Y","N"))</f>
        <v/>
      </c>
      <c r="AV73" s="10" t="str">
        <f aca="false">IF(C73="","",C73&amp;"|"&amp;G73&amp;"|"&amp;E73&amp;"|"&amp;H73&amp;"|"&amp;AU73)</f>
        <v/>
      </c>
    </row>
    <row r="74" customFormat="false" ht="15" hidden="false" customHeight="false" outlineLevel="0" collapsed="false">
      <c r="A74" s="10" t="str">
        <f aca="false">IF(C74="","","ERSS-"&amp;IFERROR(VLOOKUP(C74,Lists!$AK$4:$AL$21,2,0),"??")&amp;"-"&amp;TEXT(E74,"0000")&amp;"x"&amp;TEXT(F74,"0000")&amp;"-D"&amp;TEXT(G74*1000,"0000")&amp;"-"&amp;IFERROR(VLOOKUP(H74,Lists!$Y$4:$Z$21,2,0),"??")&amp;"-"&amp;U74)</f>
        <v/>
      </c>
      <c r="B74" s="10" t="str">
        <f aca="false">IF(C74="","",C74&amp;" for "&amp;D74&amp;", "&amp;E74&amp;" x "&amp;F74&amp;" pit, "&amp;TEXT(G74,"0.0")&amp;" m deep, "&amp;H74)</f>
        <v/>
      </c>
      <c r="C74" s="9"/>
      <c r="D74" s="9"/>
      <c r="E74" s="40"/>
      <c r="F74" s="40"/>
      <c r="G74" s="43"/>
      <c r="H74" s="9"/>
      <c r="I74" s="43"/>
      <c r="J74" s="40"/>
      <c r="K74" s="9"/>
      <c r="L74" s="43"/>
      <c r="M74" s="43"/>
      <c r="N74" s="40"/>
      <c r="O74" s="9"/>
      <c r="P74" s="9"/>
      <c r="Q74" s="41"/>
      <c r="R74" s="9"/>
      <c r="S74" s="40"/>
      <c r="T74" s="9"/>
      <c r="U74" s="9"/>
      <c r="V74" s="9"/>
      <c r="W74" s="9"/>
      <c r="X74" s="9"/>
      <c r="Y74" s="9"/>
      <c r="Z74" s="10" t="str">
        <f aca="false">IF(A74="","",SG_Criteria!$B$6&amp;SG_Criteria!$B$11&amp;"\"&amp;A74&amp;"\")</f>
        <v/>
      </c>
      <c r="AA74" s="10" t="str">
        <f aca="false">IF(A74="","",A74&amp;"_CAD.dwg")</f>
        <v/>
      </c>
      <c r="AB74" s="10" t="str">
        <f aca="false">IF(A74="","",A74&amp;"_DWG.pdf")</f>
        <v/>
      </c>
      <c r="AC74" s="10" t="str">
        <f aca="false">IF(A74="","",IF(Y74="Y",A74&amp;"_STAAD.std","n/a"))</f>
        <v/>
      </c>
      <c r="AD74" s="10" t="str">
        <f aca="false">IF(A74="","",A74&amp;"_CALC.xlsx")</f>
        <v/>
      </c>
      <c r="AE74" s="10" t="str">
        <f aca="false">IF(A74="","",A74&amp;"_CALC.pdf")</f>
        <v/>
      </c>
      <c r="AF74" s="9"/>
      <c r="AG74" s="9"/>
      <c r="AH74" s="41"/>
      <c r="AI74" s="41"/>
      <c r="AJ74" s="41"/>
      <c r="AK74" s="41"/>
      <c r="AL74" s="41"/>
      <c r="AM74" s="38" t="str">
        <f aca="false">IF(OR(C74="",G74=""),"",IF(G74&lt;=IF(OR(C74="Soldier Pile &amp; Timber Lagging",C74="Trench Shoring Box",C74="Open Cut (battered)"),SG_Criteria!$B$34,SG_Criteria!$B$33),"No ERSS submission",IF(G74&lt;=SG_Criteria!$B$35,"QP(ST)",IF(G74&lt;=SG_Criteria!$B$36,"QP(ST) + AC","Geotechnical building works: QP(Geo) + AC"))))</f>
        <v/>
      </c>
      <c r="AN74" s="38" t="str">
        <f aca="false">IF(C74="","",IF(LEN(IF(AND(Q74&lt;&gt;"",Q74&lt;SG_Criteria!$B$37),"FAIL: base stability FOS &lt; "&amp;SG_Criteria!$B$37&amp;". ","")&amp;IF(AND(D74="Manhole",G74&gt;SG_Criteria!$B$36),"NOTE: BCA lists sewer manholes (pipe &lt;= 2 m dia) &gt; 6 m as non-GBW: QP(ST) + AC. ","")&amp;IF(AND(C74="Trench Shoring Box",H74="Kallang Formation (marine clay)"),"NOTE: check base heave / ground loss for shoring box in marine clay. ","")&amp;IF(AND(C74="Steel Sheet Pile Cofferdam",N(M74)&lt;G74*0.5),"NOTE: short toe embedment, check. ",""))=0,"OK",IF(AND(Q74&lt;&gt;"",Q74&lt;SG_Criteria!$B$37),"FAIL: base stability FOS &lt; "&amp;SG_Criteria!$B$37&amp;". ","")&amp;IF(AND(D74="Manhole",G74&gt;SG_Criteria!$B$36),"NOTE: BCA lists sewer manholes (pipe &lt;= 2 m dia) &gt; 6 m as non-GBW: QP(ST) + AC. ","")&amp;IF(AND(C74="Trench Shoring Box",H74="Kallang Formation (marine clay)"),"NOTE: check base heave / ground loss for shoring box in marine clay. ","")&amp;IF(AND(C74="Steel Sheet Pile Cofferdam",N(M74)&lt;G74*0.5),"NOTE: short toe embedment, check. ","")))</f>
        <v/>
      </c>
      <c r="AO74" s="9"/>
      <c r="AP74" s="9"/>
      <c r="AQ74" s="9"/>
      <c r="AR74" s="9"/>
      <c r="AS74" s="9"/>
      <c r="AT74" s="31"/>
      <c r="AU74" s="10" t="str">
        <f aca="false">IF(C74="","",IF(AND(V74="Approved",ISERROR(SEARCH("FAIL",AN74))),"Y","N"))</f>
        <v/>
      </c>
      <c r="AV74" s="10" t="str">
        <f aca="false">IF(C74="","",C74&amp;"|"&amp;G74&amp;"|"&amp;E74&amp;"|"&amp;H74&amp;"|"&amp;AU74)</f>
        <v/>
      </c>
    </row>
    <row r="75" customFormat="false" ht="15" hidden="false" customHeight="false" outlineLevel="0" collapsed="false">
      <c r="A75" s="10" t="str">
        <f aca="false">IF(C75="","","ERSS-"&amp;IFERROR(VLOOKUP(C75,Lists!$AK$4:$AL$21,2,0),"??")&amp;"-"&amp;TEXT(E75,"0000")&amp;"x"&amp;TEXT(F75,"0000")&amp;"-D"&amp;TEXT(G75*1000,"0000")&amp;"-"&amp;IFERROR(VLOOKUP(H75,Lists!$Y$4:$Z$21,2,0),"??")&amp;"-"&amp;U75)</f>
        <v/>
      </c>
      <c r="B75" s="10" t="str">
        <f aca="false">IF(C75="","",C75&amp;" for "&amp;D75&amp;", "&amp;E75&amp;" x "&amp;F75&amp;" pit, "&amp;TEXT(G75,"0.0")&amp;" m deep, "&amp;H75)</f>
        <v/>
      </c>
      <c r="C75" s="9"/>
      <c r="D75" s="9"/>
      <c r="E75" s="40"/>
      <c r="F75" s="40"/>
      <c r="G75" s="43"/>
      <c r="H75" s="9"/>
      <c r="I75" s="43"/>
      <c r="J75" s="40"/>
      <c r="K75" s="9"/>
      <c r="L75" s="43"/>
      <c r="M75" s="43"/>
      <c r="N75" s="40"/>
      <c r="O75" s="9"/>
      <c r="P75" s="9"/>
      <c r="Q75" s="41"/>
      <c r="R75" s="9"/>
      <c r="S75" s="40"/>
      <c r="T75" s="9"/>
      <c r="U75" s="9"/>
      <c r="V75" s="9"/>
      <c r="W75" s="9"/>
      <c r="X75" s="9"/>
      <c r="Y75" s="9"/>
      <c r="Z75" s="10" t="str">
        <f aca="false">IF(A75="","",SG_Criteria!$B$6&amp;SG_Criteria!$B$11&amp;"\"&amp;A75&amp;"\")</f>
        <v/>
      </c>
      <c r="AA75" s="10" t="str">
        <f aca="false">IF(A75="","",A75&amp;"_CAD.dwg")</f>
        <v/>
      </c>
      <c r="AB75" s="10" t="str">
        <f aca="false">IF(A75="","",A75&amp;"_DWG.pdf")</f>
        <v/>
      </c>
      <c r="AC75" s="10" t="str">
        <f aca="false">IF(A75="","",IF(Y75="Y",A75&amp;"_STAAD.std","n/a"))</f>
        <v/>
      </c>
      <c r="AD75" s="10" t="str">
        <f aca="false">IF(A75="","",A75&amp;"_CALC.xlsx")</f>
        <v/>
      </c>
      <c r="AE75" s="10" t="str">
        <f aca="false">IF(A75="","",A75&amp;"_CALC.pdf")</f>
        <v/>
      </c>
      <c r="AF75" s="9"/>
      <c r="AG75" s="9"/>
      <c r="AH75" s="41"/>
      <c r="AI75" s="41"/>
      <c r="AJ75" s="41"/>
      <c r="AK75" s="41"/>
      <c r="AL75" s="41"/>
      <c r="AM75" s="38" t="str">
        <f aca="false">IF(OR(C75="",G75=""),"",IF(G75&lt;=IF(OR(C75="Soldier Pile &amp; Timber Lagging",C75="Trench Shoring Box",C75="Open Cut (battered)"),SG_Criteria!$B$34,SG_Criteria!$B$33),"No ERSS submission",IF(G75&lt;=SG_Criteria!$B$35,"QP(ST)",IF(G75&lt;=SG_Criteria!$B$36,"QP(ST) + AC","Geotechnical building works: QP(Geo) + AC"))))</f>
        <v/>
      </c>
      <c r="AN75" s="38" t="str">
        <f aca="false">IF(C75="","",IF(LEN(IF(AND(Q75&lt;&gt;"",Q75&lt;SG_Criteria!$B$37),"FAIL: base stability FOS &lt; "&amp;SG_Criteria!$B$37&amp;". ","")&amp;IF(AND(D75="Manhole",G75&gt;SG_Criteria!$B$36),"NOTE: BCA lists sewer manholes (pipe &lt;= 2 m dia) &gt; 6 m as non-GBW: QP(ST) + AC. ","")&amp;IF(AND(C75="Trench Shoring Box",H75="Kallang Formation (marine clay)"),"NOTE: check base heave / ground loss for shoring box in marine clay. ","")&amp;IF(AND(C75="Steel Sheet Pile Cofferdam",N(M75)&lt;G75*0.5),"NOTE: short toe embedment, check. ",""))=0,"OK",IF(AND(Q75&lt;&gt;"",Q75&lt;SG_Criteria!$B$37),"FAIL: base stability FOS &lt; "&amp;SG_Criteria!$B$37&amp;". ","")&amp;IF(AND(D75="Manhole",G75&gt;SG_Criteria!$B$36),"NOTE: BCA lists sewer manholes (pipe &lt;= 2 m dia) &gt; 6 m as non-GBW: QP(ST) + AC. ","")&amp;IF(AND(C75="Trench Shoring Box",H75="Kallang Formation (marine clay)"),"NOTE: check base heave / ground loss for shoring box in marine clay. ","")&amp;IF(AND(C75="Steel Sheet Pile Cofferdam",N(M75)&lt;G75*0.5),"NOTE: short toe embedment, check. ","")))</f>
        <v/>
      </c>
      <c r="AO75" s="9"/>
      <c r="AP75" s="9"/>
      <c r="AQ75" s="9"/>
      <c r="AR75" s="9"/>
      <c r="AS75" s="9"/>
      <c r="AT75" s="31"/>
      <c r="AU75" s="10" t="str">
        <f aca="false">IF(C75="","",IF(AND(V75="Approved",ISERROR(SEARCH("FAIL",AN75))),"Y","N"))</f>
        <v/>
      </c>
      <c r="AV75" s="10" t="str">
        <f aca="false">IF(C75="","",C75&amp;"|"&amp;G75&amp;"|"&amp;E75&amp;"|"&amp;H75&amp;"|"&amp;AU75)</f>
        <v/>
      </c>
    </row>
    <row r="76" customFormat="false" ht="15" hidden="false" customHeight="false" outlineLevel="0" collapsed="false">
      <c r="A76" s="10" t="str">
        <f aca="false">IF(C76="","","ERSS-"&amp;IFERROR(VLOOKUP(C76,Lists!$AK$4:$AL$21,2,0),"??")&amp;"-"&amp;TEXT(E76,"0000")&amp;"x"&amp;TEXT(F76,"0000")&amp;"-D"&amp;TEXT(G76*1000,"0000")&amp;"-"&amp;IFERROR(VLOOKUP(H76,Lists!$Y$4:$Z$21,2,0),"??")&amp;"-"&amp;U76)</f>
        <v/>
      </c>
      <c r="B76" s="10" t="str">
        <f aca="false">IF(C76="","",C76&amp;" for "&amp;D76&amp;", "&amp;E76&amp;" x "&amp;F76&amp;" pit, "&amp;TEXT(G76,"0.0")&amp;" m deep, "&amp;H76)</f>
        <v/>
      </c>
      <c r="C76" s="9"/>
      <c r="D76" s="9"/>
      <c r="E76" s="40"/>
      <c r="F76" s="40"/>
      <c r="G76" s="43"/>
      <c r="H76" s="9"/>
      <c r="I76" s="43"/>
      <c r="J76" s="40"/>
      <c r="K76" s="9"/>
      <c r="L76" s="43"/>
      <c r="M76" s="43"/>
      <c r="N76" s="40"/>
      <c r="O76" s="9"/>
      <c r="P76" s="9"/>
      <c r="Q76" s="41"/>
      <c r="R76" s="9"/>
      <c r="S76" s="40"/>
      <c r="T76" s="9"/>
      <c r="U76" s="9"/>
      <c r="V76" s="9"/>
      <c r="W76" s="9"/>
      <c r="X76" s="9"/>
      <c r="Y76" s="9"/>
      <c r="Z76" s="10" t="str">
        <f aca="false">IF(A76="","",SG_Criteria!$B$6&amp;SG_Criteria!$B$11&amp;"\"&amp;A76&amp;"\")</f>
        <v/>
      </c>
      <c r="AA76" s="10" t="str">
        <f aca="false">IF(A76="","",A76&amp;"_CAD.dwg")</f>
        <v/>
      </c>
      <c r="AB76" s="10" t="str">
        <f aca="false">IF(A76="","",A76&amp;"_DWG.pdf")</f>
        <v/>
      </c>
      <c r="AC76" s="10" t="str">
        <f aca="false">IF(A76="","",IF(Y76="Y",A76&amp;"_STAAD.std","n/a"))</f>
        <v/>
      </c>
      <c r="AD76" s="10" t="str">
        <f aca="false">IF(A76="","",A76&amp;"_CALC.xlsx")</f>
        <v/>
      </c>
      <c r="AE76" s="10" t="str">
        <f aca="false">IF(A76="","",A76&amp;"_CALC.pdf")</f>
        <v/>
      </c>
      <c r="AF76" s="9"/>
      <c r="AG76" s="9"/>
      <c r="AH76" s="41"/>
      <c r="AI76" s="41"/>
      <c r="AJ76" s="41"/>
      <c r="AK76" s="41"/>
      <c r="AL76" s="41"/>
      <c r="AM76" s="38" t="str">
        <f aca="false">IF(OR(C76="",G76=""),"",IF(G76&lt;=IF(OR(C76="Soldier Pile &amp; Timber Lagging",C76="Trench Shoring Box",C76="Open Cut (battered)"),SG_Criteria!$B$34,SG_Criteria!$B$33),"No ERSS submission",IF(G76&lt;=SG_Criteria!$B$35,"QP(ST)",IF(G76&lt;=SG_Criteria!$B$36,"QP(ST) + AC","Geotechnical building works: QP(Geo) + AC"))))</f>
        <v/>
      </c>
      <c r="AN76" s="38" t="str">
        <f aca="false">IF(C76="","",IF(LEN(IF(AND(Q76&lt;&gt;"",Q76&lt;SG_Criteria!$B$37),"FAIL: base stability FOS &lt; "&amp;SG_Criteria!$B$37&amp;". ","")&amp;IF(AND(D76="Manhole",G76&gt;SG_Criteria!$B$36),"NOTE: BCA lists sewer manholes (pipe &lt;= 2 m dia) &gt; 6 m as non-GBW: QP(ST) + AC. ","")&amp;IF(AND(C76="Trench Shoring Box",H76="Kallang Formation (marine clay)"),"NOTE: check base heave / ground loss for shoring box in marine clay. ","")&amp;IF(AND(C76="Steel Sheet Pile Cofferdam",N(M76)&lt;G76*0.5),"NOTE: short toe embedment, check. ",""))=0,"OK",IF(AND(Q76&lt;&gt;"",Q76&lt;SG_Criteria!$B$37),"FAIL: base stability FOS &lt; "&amp;SG_Criteria!$B$37&amp;". ","")&amp;IF(AND(D76="Manhole",G76&gt;SG_Criteria!$B$36),"NOTE: BCA lists sewer manholes (pipe &lt;= 2 m dia) &gt; 6 m as non-GBW: QP(ST) + AC. ","")&amp;IF(AND(C76="Trench Shoring Box",H76="Kallang Formation (marine clay)"),"NOTE: check base heave / ground loss for shoring box in marine clay. ","")&amp;IF(AND(C76="Steel Sheet Pile Cofferdam",N(M76)&lt;G76*0.5),"NOTE: short toe embedment, check. ","")))</f>
        <v/>
      </c>
      <c r="AO76" s="9"/>
      <c r="AP76" s="9"/>
      <c r="AQ76" s="9"/>
      <c r="AR76" s="9"/>
      <c r="AS76" s="9"/>
      <c r="AT76" s="31"/>
      <c r="AU76" s="10" t="str">
        <f aca="false">IF(C76="","",IF(AND(V76="Approved",ISERROR(SEARCH("FAIL",AN76))),"Y","N"))</f>
        <v/>
      </c>
      <c r="AV76" s="10" t="str">
        <f aca="false">IF(C76="","",C76&amp;"|"&amp;G76&amp;"|"&amp;E76&amp;"|"&amp;H76&amp;"|"&amp;AU76)</f>
        <v/>
      </c>
    </row>
    <row r="77" customFormat="false" ht="15" hidden="false" customHeight="false" outlineLevel="0" collapsed="false">
      <c r="A77" s="10" t="str">
        <f aca="false">IF(C77="","","ERSS-"&amp;IFERROR(VLOOKUP(C77,Lists!$AK$4:$AL$21,2,0),"??")&amp;"-"&amp;TEXT(E77,"0000")&amp;"x"&amp;TEXT(F77,"0000")&amp;"-D"&amp;TEXT(G77*1000,"0000")&amp;"-"&amp;IFERROR(VLOOKUP(H77,Lists!$Y$4:$Z$21,2,0),"??")&amp;"-"&amp;U77)</f>
        <v/>
      </c>
      <c r="B77" s="10" t="str">
        <f aca="false">IF(C77="","",C77&amp;" for "&amp;D77&amp;", "&amp;E77&amp;" x "&amp;F77&amp;" pit, "&amp;TEXT(G77,"0.0")&amp;" m deep, "&amp;H77)</f>
        <v/>
      </c>
      <c r="C77" s="9"/>
      <c r="D77" s="9"/>
      <c r="E77" s="40"/>
      <c r="F77" s="40"/>
      <c r="G77" s="43"/>
      <c r="H77" s="9"/>
      <c r="I77" s="43"/>
      <c r="J77" s="40"/>
      <c r="K77" s="9"/>
      <c r="L77" s="43"/>
      <c r="M77" s="43"/>
      <c r="N77" s="40"/>
      <c r="O77" s="9"/>
      <c r="P77" s="9"/>
      <c r="Q77" s="41"/>
      <c r="R77" s="9"/>
      <c r="S77" s="40"/>
      <c r="T77" s="9"/>
      <c r="U77" s="9"/>
      <c r="V77" s="9"/>
      <c r="W77" s="9"/>
      <c r="X77" s="9"/>
      <c r="Y77" s="9"/>
      <c r="Z77" s="10" t="str">
        <f aca="false">IF(A77="","",SG_Criteria!$B$6&amp;SG_Criteria!$B$11&amp;"\"&amp;A77&amp;"\")</f>
        <v/>
      </c>
      <c r="AA77" s="10" t="str">
        <f aca="false">IF(A77="","",A77&amp;"_CAD.dwg")</f>
        <v/>
      </c>
      <c r="AB77" s="10" t="str">
        <f aca="false">IF(A77="","",A77&amp;"_DWG.pdf")</f>
        <v/>
      </c>
      <c r="AC77" s="10" t="str">
        <f aca="false">IF(A77="","",IF(Y77="Y",A77&amp;"_STAAD.std","n/a"))</f>
        <v/>
      </c>
      <c r="AD77" s="10" t="str">
        <f aca="false">IF(A77="","",A77&amp;"_CALC.xlsx")</f>
        <v/>
      </c>
      <c r="AE77" s="10" t="str">
        <f aca="false">IF(A77="","",A77&amp;"_CALC.pdf")</f>
        <v/>
      </c>
      <c r="AF77" s="9"/>
      <c r="AG77" s="9"/>
      <c r="AH77" s="41"/>
      <c r="AI77" s="41"/>
      <c r="AJ77" s="41"/>
      <c r="AK77" s="41"/>
      <c r="AL77" s="41"/>
      <c r="AM77" s="38" t="str">
        <f aca="false">IF(OR(C77="",G77=""),"",IF(G77&lt;=IF(OR(C77="Soldier Pile &amp; Timber Lagging",C77="Trench Shoring Box",C77="Open Cut (battered)"),SG_Criteria!$B$34,SG_Criteria!$B$33),"No ERSS submission",IF(G77&lt;=SG_Criteria!$B$35,"QP(ST)",IF(G77&lt;=SG_Criteria!$B$36,"QP(ST) + AC","Geotechnical building works: QP(Geo) + AC"))))</f>
        <v/>
      </c>
      <c r="AN77" s="38" t="str">
        <f aca="false">IF(C77="","",IF(LEN(IF(AND(Q77&lt;&gt;"",Q77&lt;SG_Criteria!$B$37),"FAIL: base stability FOS &lt; "&amp;SG_Criteria!$B$37&amp;". ","")&amp;IF(AND(D77="Manhole",G77&gt;SG_Criteria!$B$36),"NOTE: BCA lists sewer manholes (pipe &lt;= 2 m dia) &gt; 6 m as non-GBW: QP(ST) + AC. ","")&amp;IF(AND(C77="Trench Shoring Box",H77="Kallang Formation (marine clay)"),"NOTE: check base heave / ground loss for shoring box in marine clay. ","")&amp;IF(AND(C77="Steel Sheet Pile Cofferdam",N(M77)&lt;G77*0.5),"NOTE: short toe embedment, check. ",""))=0,"OK",IF(AND(Q77&lt;&gt;"",Q77&lt;SG_Criteria!$B$37),"FAIL: base stability FOS &lt; "&amp;SG_Criteria!$B$37&amp;". ","")&amp;IF(AND(D77="Manhole",G77&gt;SG_Criteria!$B$36),"NOTE: BCA lists sewer manholes (pipe &lt;= 2 m dia) &gt; 6 m as non-GBW: QP(ST) + AC. ","")&amp;IF(AND(C77="Trench Shoring Box",H77="Kallang Formation (marine clay)"),"NOTE: check base heave / ground loss for shoring box in marine clay. ","")&amp;IF(AND(C77="Steel Sheet Pile Cofferdam",N(M77)&lt;G77*0.5),"NOTE: short toe embedment, check. ","")))</f>
        <v/>
      </c>
      <c r="AO77" s="9"/>
      <c r="AP77" s="9"/>
      <c r="AQ77" s="9"/>
      <c r="AR77" s="9"/>
      <c r="AS77" s="9"/>
      <c r="AT77" s="31"/>
      <c r="AU77" s="10" t="str">
        <f aca="false">IF(C77="","",IF(AND(V77="Approved",ISERROR(SEARCH("FAIL",AN77))),"Y","N"))</f>
        <v/>
      </c>
      <c r="AV77" s="10" t="str">
        <f aca="false">IF(C77="","",C77&amp;"|"&amp;G77&amp;"|"&amp;E77&amp;"|"&amp;H77&amp;"|"&amp;AU77)</f>
        <v/>
      </c>
    </row>
    <row r="78" customFormat="false" ht="15" hidden="false" customHeight="false" outlineLevel="0" collapsed="false">
      <c r="A78" s="10" t="str">
        <f aca="false">IF(C78="","","ERSS-"&amp;IFERROR(VLOOKUP(C78,Lists!$AK$4:$AL$21,2,0),"??")&amp;"-"&amp;TEXT(E78,"0000")&amp;"x"&amp;TEXT(F78,"0000")&amp;"-D"&amp;TEXT(G78*1000,"0000")&amp;"-"&amp;IFERROR(VLOOKUP(H78,Lists!$Y$4:$Z$21,2,0),"??")&amp;"-"&amp;U78)</f>
        <v/>
      </c>
      <c r="B78" s="10" t="str">
        <f aca="false">IF(C78="","",C78&amp;" for "&amp;D78&amp;", "&amp;E78&amp;" x "&amp;F78&amp;" pit, "&amp;TEXT(G78,"0.0")&amp;" m deep, "&amp;H78)</f>
        <v/>
      </c>
      <c r="C78" s="9"/>
      <c r="D78" s="9"/>
      <c r="E78" s="40"/>
      <c r="F78" s="40"/>
      <c r="G78" s="43"/>
      <c r="H78" s="9"/>
      <c r="I78" s="43"/>
      <c r="J78" s="40"/>
      <c r="K78" s="9"/>
      <c r="L78" s="43"/>
      <c r="M78" s="43"/>
      <c r="N78" s="40"/>
      <c r="O78" s="9"/>
      <c r="P78" s="9"/>
      <c r="Q78" s="41"/>
      <c r="R78" s="9"/>
      <c r="S78" s="40"/>
      <c r="T78" s="9"/>
      <c r="U78" s="9"/>
      <c r="V78" s="9"/>
      <c r="W78" s="9"/>
      <c r="X78" s="9"/>
      <c r="Y78" s="9"/>
      <c r="Z78" s="10" t="str">
        <f aca="false">IF(A78="","",SG_Criteria!$B$6&amp;SG_Criteria!$B$11&amp;"\"&amp;A78&amp;"\")</f>
        <v/>
      </c>
      <c r="AA78" s="10" t="str">
        <f aca="false">IF(A78="","",A78&amp;"_CAD.dwg")</f>
        <v/>
      </c>
      <c r="AB78" s="10" t="str">
        <f aca="false">IF(A78="","",A78&amp;"_DWG.pdf")</f>
        <v/>
      </c>
      <c r="AC78" s="10" t="str">
        <f aca="false">IF(A78="","",IF(Y78="Y",A78&amp;"_STAAD.std","n/a"))</f>
        <v/>
      </c>
      <c r="AD78" s="10" t="str">
        <f aca="false">IF(A78="","",A78&amp;"_CALC.xlsx")</f>
        <v/>
      </c>
      <c r="AE78" s="10" t="str">
        <f aca="false">IF(A78="","",A78&amp;"_CALC.pdf")</f>
        <v/>
      </c>
      <c r="AF78" s="9"/>
      <c r="AG78" s="9"/>
      <c r="AH78" s="41"/>
      <c r="AI78" s="41"/>
      <c r="AJ78" s="41"/>
      <c r="AK78" s="41"/>
      <c r="AL78" s="41"/>
      <c r="AM78" s="38" t="str">
        <f aca="false">IF(OR(C78="",G78=""),"",IF(G78&lt;=IF(OR(C78="Soldier Pile &amp; Timber Lagging",C78="Trench Shoring Box",C78="Open Cut (battered)"),SG_Criteria!$B$34,SG_Criteria!$B$33),"No ERSS submission",IF(G78&lt;=SG_Criteria!$B$35,"QP(ST)",IF(G78&lt;=SG_Criteria!$B$36,"QP(ST) + AC","Geotechnical building works: QP(Geo) + AC"))))</f>
        <v/>
      </c>
      <c r="AN78" s="38" t="str">
        <f aca="false">IF(C78="","",IF(LEN(IF(AND(Q78&lt;&gt;"",Q78&lt;SG_Criteria!$B$37),"FAIL: base stability FOS &lt; "&amp;SG_Criteria!$B$37&amp;". ","")&amp;IF(AND(D78="Manhole",G78&gt;SG_Criteria!$B$36),"NOTE: BCA lists sewer manholes (pipe &lt;= 2 m dia) &gt; 6 m as non-GBW: QP(ST) + AC. ","")&amp;IF(AND(C78="Trench Shoring Box",H78="Kallang Formation (marine clay)"),"NOTE: check base heave / ground loss for shoring box in marine clay. ","")&amp;IF(AND(C78="Steel Sheet Pile Cofferdam",N(M78)&lt;G78*0.5),"NOTE: short toe embedment, check. ",""))=0,"OK",IF(AND(Q78&lt;&gt;"",Q78&lt;SG_Criteria!$B$37),"FAIL: base stability FOS &lt; "&amp;SG_Criteria!$B$37&amp;". ","")&amp;IF(AND(D78="Manhole",G78&gt;SG_Criteria!$B$36),"NOTE: BCA lists sewer manholes (pipe &lt;= 2 m dia) &gt; 6 m as non-GBW: QP(ST) + AC. ","")&amp;IF(AND(C78="Trench Shoring Box",H78="Kallang Formation (marine clay)"),"NOTE: check base heave / ground loss for shoring box in marine clay. ","")&amp;IF(AND(C78="Steel Sheet Pile Cofferdam",N(M78)&lt;G78*0.5),"NOTE: short toe embedment, check. ","")))</f>
        <v/>
      </c>
      <c r="AO78" s="9"/>
      <c r="AP78" s="9"/>
      <c r="AQ78" s="9"/>
      <c r="AR78" s="9"/>
      <c r="AS78" s="9"/>
      <c r="AT78" s="31"/>
      <c r="AU78" s="10" t="str">
        <f aca="false">IF(C78="","",IF(AND(V78="Approved",ISERROR(SEARCH("FAIL",AN78))),"Y","N"))</f>
        <v/>
      </c>
      <c r="AV78" s="10" t="str">
        <f aca="false">IF(C78="","",C78&amp;"|"&amp;G78&amp;"|"&amp;E78&amp;"|"&amp;H78&amp;"|"&amp;AU78)</f>
        <v/>
      </c>
    </row>
    <row r="79" customFormat="false" ht="15" hidden="false" customHeight="false" outlineLevel="0" collapsed="false">
      <c r="A79" s="10" t="str">
        <f aca="false">IF(C79="","","ERSS-"&amp;IFERROR(VLOOKUP(C79,Lists!$AK$4:$AL$21,2,0),"??")&amp;"-"&amp;TEXT(E79,"0000")&amp;"x"&amp;TEXT(F79,"0000")&amp;"-D"&amp;TEXT(G79*1000,"0000")&amp;"-"&amp;IFERROR(VLOOKUP(H79,Lists!$Y$4:$Z$21,2,0),"??")&amp;"-"&amp;U79)</f>
        <v/>
      </c>
      <c r="B79" s="10" t="str">
        <f aca="false">IF(C79="","",C79&amp;" for "&amp;D79&amp;", "&amp;E79&amp;" x "&amp;F79&amp;" pit, "&amp;TEXT(G79,"0.0")&amp;" m deep, "&amp;H79)</f>
        <v/>
      </c>
      <c r="C79" s="9"/>
      <c r="D79" s="9"/>
      <c r="E79" s="40"/>
      <c r="F79" s="40"/>
      <c r="G79" s="43"/>
      <c r="H79" s="9"/>
      <c r="I79" s="43"/>
      <c r="J79" s="40"/>
      <c r="K79" s="9"/>
      <c r="L79" s="43"/>
      <c r="M79" s="43"/>
      <c r="N79" s="40"/>
      <c r="O79" s="9"/>
      <c r="P79" s="9"/>
      <c r="Q79" s="41"/>
      <c r="R79" s="9"/>
      <c r="S79" s="40"/>
      <c r="T79" s="9"/>
      <c r="U79" s="9"/>
      <c r="V79" s="9"/>
      <c r="W79" s="9"/>
      <c r="X79" s="9"/>
      <c r="Y79" s="9"/>
      <c r="Z79" s="10" t="str">
        <f aca="false">IF(A79="","",SG_Criteria!$B$6&amp;SG_Criteria!$B$11&amp;"\"&amp;A79&amp;"\")</f>
        <v/>
      </c>
      <c r="AA79" s="10" t="str">
        <f aca="false">IF(A79="","",A79&amp;"_CAD.dwg")</f>
        <v/>
      </c>
      <c r="AB79" s="10" t="str">
        <f aca="false">IF(A79="","",A79&amp;"_DWG.pdf")</f>
        <v/>
      </c>
      <c r="AC79" s="10" t="str">
        <f aca="false">IF(A79="","",IF(Y79="Y",A79&amp;"_STAAD.std","n/a"))</f>
        <v/>
      </c>
      <c r="AD79" s="10" t="str">
        <f aca="false">IF(A79="","",A79&amp;"_CALC.xlsx")</f>
        <v/>
      </c>
      <c r="AE79" s="10" t="str">
        <f aca="false">IF(A79="","",A79&amp;"_CALC.pdf")</f>
        <v/>
      </c>
      <c r="AF79" s="9"/>
      <c r="AG79" s="9"/>
      <c r="AH79" s="41"/>
      <c r="AI79" s="41"/>
      <c r="AJ79" s="41"/>
      <c r="AK79" s="41"/>
      <c r="AL79" s="41"/>
      <c r="AM79" s="38" t="str">
        <f aca="false">IF(OR(C79="",G79=""),"",IF(G79&lt;=IF(OR(C79="Soldier Pile &amp; Timber Lagging",C79="Trench Shoring Box",C79="Open Cut (battered)"),SG_Criteria!$B$34,SG_Criteria!$B$33),"No ERSS submission",IF(G79&lt;=SG_Criteria!$B$35,"QP(ST)",IF(G79&lt;=SG_Criteria!$B$36,"QP(ST) + AC","Geotechnical building works: QP(Geo) + AC"))))</f>
        <v/>
      </c>
      <c r="AN79" s="38" t="str">
        <f aca="false">IF(C79="","",IF(LEN(IF(AND(Q79&lt;&gt;"",Q79&lt;SG_Criteria!$B$37),"FAIL: base stability FOS &lt; "&amp;SG_Criteria!$B$37&amp;". ","")&amp;IF(AND(D79="Manhole",G79&gt;SG_Criteria!$B$36),"NOTE: BCA lists sewer manholes (pipe &lt;= 2 m dia) &gt; 6 m as non-GBW: QP(ST) + AC. ","")&amp;IF(AND(C79="Trench Shoring Box",H79="Kallang Formation (marine clay)"),"NOTE: check base heave / ground loss for shoring box in marine clay. ","")&amp;IF(AND(C79="Steel Sheet Pile Cofferdam",N(M79)&lt;G79*0.5),"NOTE: short toe embedment, check. ",""))=0,"OK",IF(AND(Q79&lt;&gt;"",Q79&lt;SG_Criteria!$B$37),"FAIL: base stability FOS &lt; "&amp;SG_Criteria!$B$37&amp;". ","")&amp;IF(AND(D79="Manhole",G79&gt;SG_Criteria!$B$36),"NOTE: BCA lists sewer manholes (pipe &lt;= 2 m dia) &gt; 6 m as non-GBW: QP(ST) + AC. ","")&amp;IF(AND(C79="Trench Shoring Box",H79="Kallang Formation (marine clay)"),"NOTE: check base heave / ground loss for shoring box in marine clay. ","")&amp;IF(AND(C79="Steel Sheet Pile Cofferdam",N(M79)&lt;G79*0.5),"NOTE: short toe embedment, check. ","")))</f>
        <v/>
      </c>
      <c r="AO79" s="9"/>
      <c r="AP79" s="9"/>
      <c r="AQ79" s="9"/>
      <c r="AR79" s="9"/>
      <c r="AS79" s="9"/>
      <c r="AT79" s="31"/>
      <c r="AU79" s="10" t="str">
        <f aca="false">IF(C79="","",IF(AND(V79="Approved",ISERROR(SEARCH("FAIL",AN79))),"Y","N"))</f>
        <v/>
      </c>
      <c r="AV79" s="10" t="str">
        <f aca="false">IF(C79="","",C79&amp;"|"&amp;G79&amp;"|"&amp;E79&amp;"|"&amp;H79&amp;"|"&amp;AU79)</f>
        <v/>
      </c>
    </row>
    <row r="80" customFormat="false" ht="15" hidden="false" customHeight="false" outlineLevel="0" collapsed="false">
      <c r="A80" s="10" t="str">
        <f aca="false">IF(C80="","","ERSS-"&amp;IFERROR(VLOOKUP(C80,Lists!$AK$4:$AL$21,2,0),"??")&amp;"-"&amp;TEXT(E80,"0000")&amp;"x"&amp;TEXT(F80,"0000")&amp;"-D"&amp;TEXT(G80*1000,"0000")&amp;"-"&amp;IFERROR(VLOOKUP(H80,Lists!$Y$4:$Z$21,2,0),"??")&amp;"-"&amp;U80)</f>
        <v/>
      </c>
      <c r="B80" s="10" t="str">
        <f aca="false">IF(C80="","",C80&amp;" for "&amp;D80&amp;", "&amp;E80&amp;" x "&amp;F80&amp;" pit, "&amp;TEXT(G80,"0.0")&amp;" m deep, "&amp;H80)</f>
        <v/>
      </c>
      <c r="C80" s="9"/>
      <c r="D80" s="9"/>
      <c r="E80" s="40"/>
      <c r="F80" s="40"/>
      <c r="G80" s="43"/>
      <c r="H80" s="9"/>
      <c r="I80" s="43"/>
      <c r="J80" s="40"/>
      <c r="K80" s="9"/>
      <c r="L80" s="43"/>
      <c r="M80" s="43"/>
      <c r="N80" s="40"/>
      <c r="O80" s="9"/>
      <c r="P80" s="9"/>
      <c r="Q80" s="41"/>
      <c r="R80" s="9"/>
      <c r="S80" s="40"/>
      <c r="T80" s="9"/>
      <c r="U80" s="9"/>
      <c r="V80" s="9"/>
      <c r="W80" s="9"/>
      <c r="X80" s="9"/>
      <c r="Y80" s="9"/>
      <c r="Z80" s="10" t="str">
        <f aca="false">IF(A80="","",SG_Criteria!$B$6&amp;SG_Criteria!$B$11&amp;"\"&amp;A80&amp;"\")</f>
        <v/>
      </c>
      <c r="AA80" s="10" t="str">
        <f aca="false">IF(A80="","",A80&amp;"_CAD.dwg")</f>
        <v/>
      </c>
      <c r="AB80" s="10" t="str">
        <f aca="false">IF(A80="","",A80&amp;"_DWG.pdf")</f>
        <v/>
      </c>
      <c r="AC80" s="10" t="str">
        <f aca="false">IF(A80="","",IF(Y80="Y",A80&amp;"_STAAD.std","n/a"))</f>
        <v/>
      </c>
      <c r="AD80" s="10" t="str">
        <f aca="false">IF(A80="","",A80&amp;"_CALC.xlsx")</f>
        <v/>
      </c>
      <c r="AE80" s="10" t="str">
        <f aca="false">IF(A80="","",A80&amp;"_CALC.pdf")</f>
        <v/>
      </c>
      <c r="AF80" s="9"/>
      <c r="AG80" s="9"/>
      <c r="AH80" s="41"/>
      <c r="AI80" s="41"/>
      <c r="AJ80" s="41"/>
      <c r="AK80" s="41"/>
      <c r="AL80" s="41"/>
      <c r="AM80" s="38" t="str">
        <f aca="false">IF(OR(C80="",G80=""),"",IF(G80&lt;=IF(OR(C80="Soldier Pile &amp; Timber Lagging",C80="Trench Shoring Box",C80="Open Cut (battered)"),SG_Criteria!$B$34,SG_Criteria!$B$33),"No ERSS submission",IF(G80&lt;=SG_Criteria!$B$35,"QP(ST)",IF(G80&lt;=SG_Criteria!$B$36,"QP(ST) + AC","Geotechnical building works: QP(Geo) + AC"))))</f>
        <v/>
      </c>
      <c r="AN80" s="38" t="str">
        <f aca="false">IF(C80="","",IF(LEN(IF(AND(Q80&lt;&gt;"",Q80&lt;SG_Criteria!$B$37),"FAIL: base stability FOS &lt; "&amp;SG_Criteria!$B$37&amp;". ","")&amp;IF(AND(D80="Manhole",G80&gt;SG_Criteria!$B$36),"NOTE: BCA lists sewer manholes (pipe &lt;= 2 m dia) &gt; 6 m as non-GBW: QP(ST) + AC. ","")&amp;IF(AND(C80="Trench Shoring Box",H80="Kallang Formation (marine clay)"),"NOTE: check base heave / ground loss for shoring box in marine clay. ","")&amp;IF(AND(C80="Steel Sheet Pile Cofferdam",N(M80)&lt;G80*0.5),"NOTE: short toe embedment, check. ",""))=0,"OK",IF(AND(Q80&lt;&gt;"",Q80&lt;SG_Criteria!$B$37),"FAIL: base stability FOS &lt; "&amp;SG_Criteria!$B$37&amp;". ","")&amp;IF(AND(D80="Manhole",G80&gt;SG_Criteria!$B$36),"NOTE: BCA lists sewer manholes (pipe &lt;= 2 m dia) &gt; 6 m as non-GBW: QP(ST) + AC. ","")&amp;IF(AND(C80="Trench Shoring Box",H80="Kallang Formation (marine clay)"),"NOTE: check base heave / ground loss for shoring box in marine clay. ","")&amp;IF(AND(C80="Steel Sheet Pile Cofferdam",N(M80)&lt;G80*0.5),"NOTE: short toe embedment, check. ","")))</f>
        <v/>
      </c>
      <c r="AO80" s="9"/>
      <c r="AP80" s="9"/>
      <c r="AQ80" s="9"/>
      <c r="AR80" s="9"/>
      <c r="AS80" s="9"/>
      <c r="AT80" s="31"/>
      <c r="AU80" s="10" t="str">
        <f aca="false">IF(C80="","",IF(AND(V80="Approved",ISERROR(SEARCH("FAIL",AN80))),"Y","N"))</f>
        <v/>
      </c>
      <c r="AV80" s="10" t="str">
        <f aca="false">IF(C80="","",C80&amp;"|"&amp;G80&amp;"|"&amp;E80&amp;"|"&amp;H80&amp;"|"&amp;AU80)</f>
        <v/>
      </c>
    </row>
    <row r="81" customFormat="false" ht="15" hidden="false" customHeight="false" outlineLevel="0" collapsed="false">
      <c r="A81" s="10" t="str">
        <f aca="false">IF(C81="","","ERSS-"&amp;IFERROR(VLOOKUP(C81,Lists!$AK$4:$AL$21,2,0),"??")&amp;"-"&amp;TEXT(E81,"0000")&amp;"x"&amp;TEXT(F81,"0000")&amp;"-D"&amp;TEXT(G81*1000,"0000")&amp;"-"&amp;IFERROR(VLOOKUP(H81,Lists!$Y$4:$Z$21,2,0),"??")&amp;"-"&amp;U81)</f>
        <v/>
      </c>
      <c r="B81" s="10" t="str">
        <f aca="false">IF(C81="","",C81&amp;" for "&amp;D81&amp;", "&amp;E81&amp;" x "&amp;F81&amp;" pit, "&amp;TEXT(G81,"0.0")&amp;" m deep, "&amp;H81)</f>
        <v/>
      </c>
      <c r="C81" s="9"/>
      <c r="D81" s="9"/>
      <c r="E81" s="40"/>
      <c r="F81" s="40"/>
      <c r="G81" s="43"/>
      <c r="H81" s="9"/>
      <c r="I81" s="43"/>
      <c r="J81" s="40"/>
      <c r="K81" s="9"/>
      <c r="L81" s="43"/>
      <c r="M81" s="43"/>
      <c r="N81" s="40"/>
      <c r="O81" s="9"/>
      <c r="P81" s="9"/>
      <c r="Q81" s="41"/>
      <c r="R81" s="9"/>
      <c r="S81" s="40"/>
      <c r="T81" s="9"/>
      <c r="U81" s="9"/>
      <c r="V81" s="9"/>
      <c r="W81" s="9"/>
      <c r="X81" s="9"/>
      <c r="Y81" s="9"/>
      <c r="Z81" s="10" t="str">
        <f aca="false">IF(A81="","",SG_Criteria!$B$6&amp;SG_Criteria!$B$11&amp;"\"&amp;A81&amp;"\")</f>
        <v/>
      </c>
      <c r="AA81" s="10" t="str">
        <f aca="false">IF(A81="","",A81&amp;"_CAD.dwg")</f>
        <v/>
      </c>
      <c r="AB81" s="10" t="str">
        <f aca="false">IF(A81="","",A81&amp;"_DWG.pdf")</f>
        <v/>
      </c>
      <c r="AC81" s="10" t="str">
        <f aca="false">IF(A81="","",IF(Y81="Y",A81&amp;"_STAAD.std","n/a"))</f>
        <v/>
      </c>
      <c r="AD81" s="10" t="str">
        <f aca="false">IF(A81="","",A81&amp;"_CALC.xlsx")</f>
        <v/>
      </c>
      <c r="AE81" s="10" t="str">
        <f aca="false">IF(A81="","",A81&amp;"_CALC.pdf")</f>
        <v/>
      </c>
      <c r="AF81" s="9"/>
      <c r="AG81" s="9"/>
      <c r="AH81" s="41"/>
      <c r="AI81" s="41"/>
      <c r="AJ81" s="41"/>
      <c r="AK81" s="41"/>
      <c r="AL81" s="41"/>
      <c r="AM81" s="38" t="str">
        <f aca="false">IF(OR(C81="",G81=""),"",IF(G81&lt;=IF(OR(C81="Soldier Pile &amp; Timber Lagging",C81="Trench Shoring Box",C81="Open Cut (battered)"),SG_Criteria!$B$34,SG_Criteria!$B$33),"No ERSS submission",IF(G81&lt;=SG_Criteria!$B$35,"QP(ST)",IF(G81&lt;=SG_Criteria!$B$36,"QP(ST) + AC","Geotechnical building works: QP(Geo) + AC"))))</f>
        <v/>
      </c>
      <c r="AN81" s="38" t="str">
        <f aca="false">IF(C81="","",IF(LEN(IF(AND(Q81&lt;&gt;"",Q81&lt;SG_Criteria!$B$37),"FAIL: base stability FOS &lt; "&amp;SG_Criteria!$B$37&amp;". ","")&amp;IF(AND(D81="Manhole",G81&gt;SG_Criteria!$B$36),"NOTE: BCA lists sewer manholes (pipe &lt;= 2 m dia) &gt; 6 m as non-GBW: QP(ST) + AC. ","")&amp;IF(AND(C81="Trench Shoring Box",H81="Kallang Formation (marine clay)"),"NOTE: check base heave / ground loss for shoring box in marine clay. ","")&amp;IF(AND(C81="Steel Sheet Pile Cofferdam",N(M81)&lt;G81*0.5),"NOTE: short toe embedment, check. ",""))=0,"OK",IF(AND(Q81&lt;&gt;"",Q81&lt;SG_Criteria!$B$37),"FAIL: base stability FOS &lt; "&amp;SG_Criteria!$B$37&amp;". ","")&amp;IF(AND(D81="Manhole",G81&gt;SG_Criteria!$B$36),"NOTE: BCA lists sewer manholes (pipe &lt;= 2 m dia) &gt; 6 m as non-GBW: QP(ST) + AC. ","")&amp;IF(AND(C81="Trench Shoring Box",H81="Kallang Formation (marine clay)"),"NOTE: check base heave / ground loss for shoring box in marine clay. ","")&amp;IF(AND(C81="Steel Sheet Pile Cofferdam",N(M81)&lt;G81*0.5),"NOTE: short toe embedment, check. ","")))</f>
        <v/>
      </c>
      <c r="AO81" s="9"/>
      <c r="AP81" s="9"/>
      <c r="AQ81" s="9"/>
      <c r="AR81" s="9"/>
      <c r="AS81" s="9"/>
      <c r="AT81" s="31"/>
      <c r="AU81" s="10" t="str">
        <f aca="false">IF(C81="","",IF(AND(V81="Approved",ISERROR(SEARCH("FAIL",AN81))),"Y","N"))</f>
        <v/>
      </c>
      <c r="AV81" s="10" t="str">
        <f aca="false">IF(C81="","",C81&amp;"|"&amp;G81&amp;"|"&amp;E81&amp;"|"&amp;H81&amp;"|"&amp;AU81)</f>
        <v/>
      </c>
    </row>
    <row r="82" customFormat="false" ht="15" hidden="false" customHeight="false" outlineLevel="0" collapsed="false">
      <c r="A82" s="10" t="str">
        <f aca="false">IF(C82="","","ERSS-"&amp;IFERROR(VLOOKUP(C82,Lists!$AK$4:$AL$21,2,0),"??")&amp;"-"&amp;TEXT(E82,"0000")&amp;"x"&amp;TEXT(F82,"0000")&amp;"-D"&amp;TEXT(G82*1000,"0000")&amp;"-"&amp;IFERROR(VLOOKUP(H82,Lists!$Y$4:$Z$21,2,0),"??")&amp;"-"&amp;U82)</f>
        <v/>
      </c>
      <c r="B82" s="10" t="str">
        <f aca="false">IF(C82="","",C82&amp;" for "&amp;D82&amp;", "&amp;E82&amp;" x "&amp;F82&amp;" pit, "&amp;TEXT(G82,"0.0")&amp;" m deep, "&amp;H82)</f>
        <v/>
      </c>
      <c r="C82" s="9"/>
      <c r="D82" s="9"/>
      <c r="E82" s="40"/>
      <c r="F82" s="40"/>
      <c r="G82" s="43"/>
      <c r="H82" s="9"/>
      <c r="I82" s="43"/>
      <c r="J82" s="40"/>
      <c r="K82" s="9"/>
      <c r="L82" s="43"/>
      <c r="M82" s="43"/>
      <c r="N82" s="40"/>
      <c r="O82" s="9"/>
      <c r="P82" s="9"/>
      <c r="Q82" s="41"/>
      <c r="R82" s="9"/>
      <c r="S82" s="40"/>
      <c r="T82" s="9"/>
      <c r="U82" s="9"/>
      <c r="V82" s="9"/>
      <c r="W82" s="9"/>
      <c r="X82" s="9"/>
      <c r="Y82" s="9"/>
      <c r="Z82" s="10" t="str">
        <f aca="false">IF(A82="","",SG_Criteria!$B$6&amp;SG_Criteria!$B$11&amp;"\"&amp;A82&amp;"\")</f>
        <v/>
      </c>
      <c r="AA82" s="10" t="str">
        <f aca="false">IF(A82="","",A82&amp;"_CAD.dwg")</f>
        <v/>
      </c>
      <c r="AB82" s="10" t="str">
        <f aca="false">IF(A82="","",A82&amp;"_DWG.pdf")</f>
        <v/>
      </c>
      <c r="AC82" s="10" t="str">
        <f aca="false">IF(A82="","",IF(Y82="Y",A82&amp;"_STAAD.std","n/a"))</f>
        <v/>
      </c>
      <c r="AD82" s="10" t="str">
        <f aca="false">IF(A82="","",A82&amp;"_CALC.xlsx")</f>
        <v/>
      </c>
      <c r="AE82" s="10" t="str">
        <f aca="false">IF(A82="","",A82&amp;"_CALC.pdf")</f>
        <v/>
      </c>
      <c r="AF82" s="9"/>
      <c r="AG82" s="9"/>
      <c r="AH82" s="41"/>
      <c r="AI82" s="41"/>
      <c r="AJ82" s="41"/>
      <c r="AK82" s="41"/>
      <c r="AL82" s="41"/>
      <c r="AM82" s="38" t="str">
        <f aca="false">IF(OR(C82="",G82=""),"",IF(G82&lt;=IF(OR(C82="Soldier Pile &amp; Timber Lagging",C82="Trench Shoring Box",C82="Open Cut (battered)"),SG_Criteria!$B$34,SG_Criteria!$B$33),"No ERSS submission",IF(G82&lt;=SG_Criteria!$B$35,"QP(ST)",IF(G82&lt;=SG_Criteria!$B$36,"QP(ST) + AC","Geotechnical building works: QP(Geo) + AC"))))</f>
        <v/>
      </c>
      <c r="AN82" s="38" t="str">
        <f aca="false">IF(C82="","",IF(LEN(IF(AND(Q82&lt;&gt;"",Q82&lt;SG_Criteria!$B$37),"FAIL: base stability FOS &lt; "&amp;SG_Criteria!$B$37&amp;". ","")&amp;IF(AND(D82="Manhole",G82&gt;SG_Criteria!$B$36),"NOTE: BCA lists sewer manholes (pipe &lt;= 2 m dia) &gt; 6 m as non-GBW: QP(ST) + AC. ","")&amp;IF(AND(C82="Trench Shoring Box",H82="Kallang Formation (marine clay)"),"NOTE: check base heave / ground loss for shoring box in marine clay. ","")&amp;IF(AND(C82="Steel Sheet Pile Cofferdam",N(M82)&lt;G82*0.5),"NOTE: short toe embedment, check. ",""))=0,"OK",IF(AND(Q82&lt;&gt;"",Q82&lt;SG_Criteria!$B$37),"FAIL: base stability FOS &lt; "&amp;SG_Criteria!$B$37&amp;". ","")&amp;IF(AND(D82="Manhole",G82&gt;SG_Criteria!$B$36),"NOTE: BCA lists sewer manholes (pipe &lt;= 2 m dia) &gt; 6 m as non-GBW: QP(ST) + AC. ","")&amp;IF(AND(C82="Trench Shoring Box",H82="Kallang Formation (marine clay)"),"NOTE: check base heave / ground loss for shoring box in marine clay. ","")&amp;IF(AND(C82="Steel Sheet Pile Cofferdam",N(M82)&lt;G82*0.5),"NOTE: short toe embedment, check. ","")))</f>
        <v/>
      </c>
      <c r="AO82" s="9"/>
      <c r="AP82" s="9"/>
      <c r="AQ82" s="9"/>
      <c r="AR82" s="9"/>
      <c r="AS82" s="9"/>
      <c r="AT82" s="31"/>
      <c r="AU82" s="10" t="str">
        <f aca="false">IF(C82="","",IF(AND(V82="Approved",ISERROR(SEARCH("FAIL",AN82))),"Y","N"))</f>
        <v/>
      </c>
      <c r="AV82" s="10" t="str">
        <f aca="false">IF(C82="","",C82&amp;"|"&amp;G82&amp;"|"&amp;E82&amp;"|"&amp;H82&amp;"|"&amp;AU82)</f>
        <v/>
      </c>
    </row>
    <row r="83" customFormat="false" ht="15" hidden="false" customHeight="false" outlineLevel="0" collapsed="false">
      <c r="A83" s="10" t="str">
        <f aca="false">IF(C83="","","ERSS-"&amp;IFERROR(VLOOKUP(C83,Lists!$AK$4:$AL$21,2,0),"??")&amp;"-"&amp;TEXT(E83,"0000")&amp;"x"&amp;TEXT(F83,"0000")&amp;"-D"&amp;TEXT(G83*1000,"0000")&amp;"-"&amp;IFERROR(VLOOKUP(H83,Lists!$Y$4:$Z$21,2,0),"??")&amp;"-"&amp;U83)</f>
        <v/>
      </c>
      <c r="B83" s="10" t="str">
        <f aca="false">IF(C83="","",C83&amp;" for "&amp;D83&amp;", "&amp;E83&amp;" x "&amp;F83&amp;" pit, "&amp;TEXT(G83,"0.0")&amp;" m deep, "&amp;H83)</f>
        <v/>
      </c>
      <c r="C83" s="9"/>
      <c r="D83" s="9"/>
      <c r="E83" s="40"/>
      <c r="F83" s="40"/>
      <c r="G83" s="43"/>
      <c r="H83" s="9"/>
      <c r="I83" s="43"/>
      <c r="J83" s="40"/>
      <c r="K83" s="9"/>
      <c r="L83" s="43"/>
      <c r="M83" s="43"/>
      <c r="N83" s="40"/>
      <c r="O83" s="9"/>
      <c r="P83" s="9"/>
      <c r="Q83" s="41"/>
      <c r="R83" s="9"/>
      <c r="S83" s="40"/>
      <c r="T83" s="9"/>
      <c r="U83" s="9"/>
      <c r="V83" s="9"/>
      <c r="W83" s="9"/>
      <c r="X83" s="9"/>
      <c r="Y83" s="9"/>
      <c r="Z83" s="10" t="str">
        <f aca="false">IF(A83="","",SG_Criteria!$B$6&amp;SG_Criteria!$B$11&amp;"\"&amp;A83&amp;"\")</f>
        <v/>
      </c>
      <c r="AA83" s="10" t="str">
        <f aca="false">IF(A83="","",A83&amp;"_CAD.dwg")</f>
        <v/>
      </c>
      <c r="AB83" s="10" t="str">
        <f aca="false">IF(A83="","",A83&amp;"_DWG.pdf")</f>
        <v/>
      </c>
      <c r="AC83" s="10" t="str">
        <f aca="false">IF(A83="","",IF(Y83="Y",A83&amp;"_STAAD.std","n/a"))</f>
        <v/>
      </c>
      <c r="AD83" s="10" t="str">
        <f aca="false">IF(A83="","",A83&amp;"_CALC.xlsx")</f>
        <v/>
      </c>
      <c r="AE83" s="10" t="str">
        <f aca="false">IF(A83="","",A83&amp;"_CALC.pdf")</f>
        <v/>
      </c>
      <c r="AF83" s="9"/>
      <c r="AG83" s="9"/>
      <c r="AH83" s="41"/>
      <c r="AI83" s="41"/>
      <c r="AJ83" s="41"/>
      <c r="AK83" s="41"/>
      <c r="AL83" s="41"/>
      <c r="AM83" s="38" t="str">
        <f aca="false">IF(OR(C83="",G83=""),"",IF(G83&lt;=IF(OR(C83="Soldier Pile &amp; Timber Lagging",C83="Trench Shoring Box",C83="Open Cut (battered)"),SG_Criteria!$B$34,SG_Criteria!$B$33),"No ERSS submission",IF(G83&lt;=SG_Criteria!$B$35,"QP(ST)",IF(G83&lt;=SG_Criteria!$B$36,"QP(ST) + AC","Geotechnical building works: QP(Geo) + AC"))))</f>
        <v/>
      </c>
      <c r="AN83" s="38" t="str">
        <f aca="false">IF(C83="","",IF(LEN(IF(AND(Q83&lt;&gt;"",Q83&lt;SG_Criteria!$B$37),"FAIL: base stability FOS &lt; "&amp;SG_Criteria!$B$37&amp;". ","")&amp;IF(AND(D83="Manhole",G83&gt;SG_Criteria!$B$36),"NOTE: BCA lists sewer manholes (pipe &lt;= 2 m dia) &gt; 6 m as non-GBW: QP(ST) + AC. ","")&amp;IF(AND(C83="Trench Shoring Box",H83="Kallang Formation (marine clay)"),"NOTE: check base heave / ground loss for shoring box in marine clay. ","")&amp;IF(AND(C83="Steel Sheet Pile Cofferdam",N(M83)&lt;G83*0.5),"NOTE: short toe embedment, check. ",""))=0,"OK",IF(AND(Q83&lt;&gt;"",Q83&lt;SG_Criteria!$B$37),"FAIL: base stability FOS &lt; "&amp;SG_Criteria!$B$37&amp;". ","")&amp;IF(AND(D83="Manhole",G83&gt;SG_Criteria!$B$36),"NOTE: BCA lists sewer manholes (pipe &lt;= 2 m dia) &gt; 6 m as non-GBW: QP(ST) + AC. ","")&amp;IF(AND(C83="Trench Shoring Box",H83="Kallang Formation (marine clay)"),"NOTE: check base heave / ground loss for shoring box in marine clay. ","")&amp;IF(AND(C83="Steel Sheet Pile Cofferdam",N(M83)&lt;G83*0.5),"NOTE: short toe embedment, check. ","")))</f>
        <v/>
      </c>
      <c r="AO83" s="9"/>
      <c r="AP83" s="9"/>
      <c r="AQ83" s="9"/>
      <c r="AR83" s="9"/>
      <c r="AS83" s="9"/>
      <c r="AT83" s="31"/>
      <c r="AU83" s="10" t="str">
        <f aca="false">IF(C83="","",IF(AND(V83="Approved",ISERROR(SEARCH("FAIL",AN83))),"Y","N"))</f>
        <v/>
      </c>
      <c r="AV83" s="10" t="str">
        <f aca="false">IF(C83="","",C83&amp;"|"&amp;G83&amp;"|"&amp;E83&amp;"|"&amp;H83&amp;"|"&amp;AU83)</f>
        <v/>
      </c>
    </row>
    <row r="84" customFormat="false" ht="15" hidden="false" customHeight="false" outlineLevel="0" collapsed="false">
      <c r="A84" s="10" t="str">
        <f aca="false">IF(C84="","","ERSS-"&amp;IFERROR(VLOOKUP(C84,Lists!$AK$4:$AL$21,2,0),"??")&amp;"-"&amp;TEXT(E84,"0000")&amp;"x"&amp;TEXT(F84,"0000")&amp;"-D"&amp;TEXT(G84*1000,"0000")&amp;"-"&amp;IFERROR(VLOOKUP(H84,Lists!$Y$4:$Z$21,2,0),"??")&amp;"-"&amp;U84)</f>
        <v/>
      </c>
      <c r="B84" s="10" t="str">
        <f aca="false">IF(C84="","",C84&amp;" for "&amp;D84&amp;", "&amp;E84&amp;" x "&amp;F84&amp;" pit, "&amp;TEXT(G84,"0.0")&amp;" m deep, "&amp;H84)</f>
        <v/>
      </c>
      <c r="C84" s="9"/>
      <c r="D84" s="9"/>
      <c r="E84" s="40"/>
      <c r="F84" s="40"/>
      <c r="G84" s="43"/>
      <c r="H84" s="9"/>
      <c r="I84" s="43"/>
      <c r="J84" s="40"/>
      <c r="K84" s="9"/>
      <c r="L84" s="43"/>
      <c r="M84" s="43"/>
      <c r="N84" s="40"/>
      <c r="O84" s="9"/>
      <c r="P84" s="9"/>
      <c r="Q84" s="41"/>
      <c r="R84" s="9"/>
      <c r="S84" s="40"/>
      <c r="T84" s="9"/>
      <c r="U84" s="9"/>
      <c r="V84" s="9"/>
      <c r="W84" s="9"/>
      <c r="X84" s="9"/>
      <c r="Y84" s="9"/>
      <c r="Z84" s="10" t="str">
        <f aca="false">IF(A84="","",SG_Criteria!$B$6&amp;SG_Criteria!$B$11&amp;"\"&amp;A84&amp;"\")</f>
        <v/>
      </c>
      <c r="AA84" s="10" t="str">
        <f aca="false">IF(A84="","",A84&amp;"_CAD.dwg")</f>
        <v/>
      </c>
      <c r="AB84" s="10" t="str">
        <f aca="false">IF(A84="","",A84&amp;"_DWG.pdf")</f>
        <v/>
      </c>
      <c r="AC84" s="10" t="str">
        <f aca="false">IF(A84="","",IF(Y84="Y",A84&amp;"_STAAD.std","n/a"))</f>
        <v/>
      </c>
      <c r="AD84" s="10" t="str">
        <f aca="false">IF(A84="","",A84&amp;"_CALC.xlsx")</f>
        <v/>
      </c>
      <c r="AE84" s="10" t="str">
        <f aca="false">IF(A84="","",A84&amp;"_CALC.pdf")</f>
        <v/>
      </c>
      <c r="AF84" s="9"/>
      <c r="AG84" s="9"/>
      <c r="AH84" s="41"/>
      <c r="AI84" s="41"/>
      <c r="AJ84" s="41"/>
      <c r="AK84" s="41"/>
      <c r="AL84" s="41"/>
      <c r="AM84" s="38" t="str">
        <f aca="false">IF(OR(C84="",G84=""),"",IF(G84&lt;=IF(OR(C84="Soldier Pile &amp; Timber Lagging",C84="Trench Shoring Box",C84="Open Cut (battered)"),SG_Criteria!$B$34,SG_Criteria!$B$33),"No ERSS submission",IF(G84&lt;=SG_Criteria!$B$35,"QP(ST)",IF(G84&lt;=SG_Criteria!$B$36,"QP(ST) + AC","Geotechnical building works: QP(Geo) + AC"))))</f>
        <v/>
      </c>
      <c r="AN84" s="38" t="str">
        <f aca="false">IF(C84="","",IF(LEN(IF(AND(Q84&lt;&gt;"",Q84&lt;SG_Criteria!$B$37),"FAIL: base stability FOS &lt; "&amp;SG_Criteria!$B$37&amp;". ","")&amp;IF(AND(D84="Manhole",G84&gt;SG_Criteria!$B$36),"NOTE: BCA lists sewer manholes (pipe &lt;= 2 m dia) &gt; 6 m as non-GBW: QP(ST) + AC. ","")&amp;IF(AND(C84="Trench Shoring Box",H84="Kallang Formation (marine clay)"),"NOTE: check base heave / ground loss for shoring box in marine clay. ","")&amp;IF(AND(C84="Steel Sheet Pile Cofferdam",N(M84)&lt;G84*0.5),"NOTE: short toe embedment, check. ",""))=0,"OK",IF(AND(Q84&lt;&gt;"",Q84&lt;SG_Criteria!$B$37),"FAIL: base stability FOS &lt; "&amp;SG_Criteria!$B$37&amp;". ","")&amp;IF(AND(D84="Manhole",G84&gt;SG_Criteria!$B$36),"NOTE: BCA lists sewer manholes (pipe &lt;= 2 m dia) &gt; 6 m as non-GBW: QP(ST) + AC. ","")&amp;IF(AND(C84="Trench Shoring Box",H84="Kallang Formation (marine clay)"),"NOTE: check base heave / ground loss for shoring box in marine clay. ","")&amp;IF(AND(C84="Steel Sheet Pile Cofferdam",N(M84)&lt;G84*0.5),"NOTE: short toe embedment, check. ","")))</f>
        <v/>
      </c>
      <c r="AO84" s="9"/>
      <c r="AP84" s="9"/>
      <c r="AQ84" s="9"/>
      <c r="AR84" s="9"/>
      <c r="AS84" s="9"/>
      <c r="AT84" s="31"/>
      <c r="AU84" s="10" t="str">
        <f aca="false">IF(C84="","",IF(AND(V84="Approved",ISERROR(SEARCH("FAIL",AN84))),"Y","N"))</f>
        <v/>
      </c>
      <c r="AV84" s="10" t="str">
        <f aca="false">IF(C84="","",C84&amp;"|"&amp;G84&amp;"|"&amp;E84&amp;"|"&amp;H84&amp;"|"&amp;AU84)</f>
        <v/>
      </c>
    </row>
    <row r="85" customFormat="false" ht="15" hidden="false" customHeight="false" outlineLevel="0" collapsed="false">
      <c r="A85" s="10" t="str">
        <f aca="false">IF(C85="","","ERSS-"&amp;IFERROR(VLOOKUP(C85,Lists!$AK$4:$AL$21,2,0),"??")&amp;"-"&amp;TEXT(E85,"0000")&amp;"x"&amp;TEXT(F85,"0000")&amp;"-D"&amp;TEXT(G85*1000,"0000")&amp;"-"&amp;IFERROR(VLOOKUP(H85,Lists!$Y$4:$Z$21,2,0),"??")&amp;"-"&amp;U85)</f>
        <v/>
      </c>
      <c r="B85" s="10" t="str">
        <f aca="false">IF(C85="","",C85&amp;" for "&amp;D85&amp;", "&amp;E85&amp;" x "&amp;F85&amp;" pit, "&amp;TEXT(G85,"0.0")&amp;" m deep, "&amp;H85)</f>
        <v/>
      </c>
      <c r="C85" s="9"/>
      <c r="D85" s="9"/>
      <c r="E85" s="40"/>
      <c r="F85" s="40"/>
      <c r="G85" s="43"/>
      <c r="H85" s="9"/>
      <c r="I85" s="43"/>
      <c r="J85" s="40"/>
      <c r="K85" s="9"/>
      <c r="L85" s="43"/>
      <c r="M85" s="43"/>
      <c r="N85" s="40"/>
      <c r="O85" s="9"/>
      <c r="P85" s="9"/>
      <c r="Q85" s="41"/>
      <c r="R85" s="9"/>
      <c r="S85" s="40"/>
      <c r="T85" s="9"/>
      <c r="U85" s="9"/>
      <c r="V85" s="9"/>
      <c r="W85" s="9"/>
      <c r="X85" s="9"/>
      <c r="Y85" s="9"/>
      <c r="Z85" s="10" t="str">
        <f aca="false">IF(A85="","",SG_Criteria!$B$6&amp;SG_Criteria!$B$11&amp;"\"&amp;A85&amp;"\")</f>
        <v/>
      </c>
      <c r="AA85" s="10" t="str">
        <f aca="false">IF(A85="","",A85&amp;"_CAD.dwg")</f>
        <v/>
      </c>
      <c r="AB85" s="10" t="str">
        <f aca="false">IF(A85="","",A85&amp;"_DWG.pdf")</f>
        <v/>
      </c>
      <c r="AC85" s="10" t="str">
        <f aca="false">IF(A85="","",IF(Y85="Y",A85&amp;"_STAAD.std","n/a"))</f>
        <v/>
      </c>
      <c r="AD85" s="10" t="str">
        <f aca="false">IF(A85="","",A85&amp;"_CALC.xlsx")</f>
        <v/>
      </c>
      <c r="AE85" s="10" t="str">
        <f aca="false">IF(A85="","",A85&amp;"_CALC.pdf")</f>
        <v/>
      </c>
      <c r="AF85" s="9"/>
      <c r="AG85" s="9"/>
      <c r="AH85" s="41"/>
      <c r="AI85" s="41"/>
      <c r="AJ85" s="41"/>
      <c r="AK85" s="41"/>
      <c r="AL85" s="41"/>
      <c r="AM85" s="38" t="str">
        <f aca="false">IF(OR(C85="",G85=""),"",IF(G85&lt;=IF(OR(C85="Soldier Pile &amp; Timber Lagging",C85="Trench Shoring Box",C85="Open Cut (battered)"),SG_Criteria!$B$34,SG_Criteria!$B$33),"No ERSS submission",IF(G85&lt;=SG_Criteria!$B$35,"QP(ST)",IF(G85&lt;=SG_Criteria!$B$36,"QP(ST) + AC","Geotechnical building works: QP(Geo) + AC"))))</f>
        <v/>
      </c>
      <c r="AN85" s="38" t="str">
        <f aca="false">IF(C85="","",IF(LEN(IF(AND(Q85&lt;&gt;"",Q85&lt;SG_Criteria!$B$37),"FAIL: base stability FOS &lt; "&amp;SG_Criteria!$B$37&amp;". ","")&amp;IF(AND(D85="Manhole",G85&gt;SG_Criteria!$B$36),"NOTE: BCA lists sewer manholes (pipe &lt;= 2 m dia) &gt; 6 m as non-GBW: QP(ST) + AC. ","")&amp;IF(AND(C85="Trench Shoring Box",H85="Kallang Formation (marine clay)"),"NOTE: check base heave / ground loss for shoring box in marine clay. ","")&amp;IF(AND(C85="Steel Sheet Pile Cofferdam",N(M85)&lt;G85*0.5),"NOTE: short toe embedment, check. ",""))=0,"OK",IF(AND(Q85&lt;&gt;"",Q85&lt;SG_Criteria!$B$37),"FAIL: base stability FOS &lt; "&amp;SG_Criteria!$B$37&amp;". ","")&amp;IF(AND(D85="Manhole",G85&gt;SG_Criteria!$B$36),"NOTE: BCA lists sewer manholes (pipe &lt;= 2 m dia) &gt; 6 m as non-GBW: QP(ST) + AC. ","")&amp;IF(AND(C85="Trench Shoring Box",H85="Kallang Formation (marine clay)"),"NOTE: check base heave / ground loss for shoring box in marine clay. ","")&amp;IF(AND(C85="Steel Sheet Pile Cofferdam",N(M85)&lt;G85*0.5),"NOTE: short toe embedment, check. ","")))</f>
        <v/>
      </c>
      <c r="AO85" s="9"/>
      <c r="AP85" s="9"/>
      <c r="AQ85" s="9"/>
      <c r="AR85" s="9"/>
      <c r="AS85" s="9"/>
      <c r="AT85" s="31"/>
      <c r="AU85" s="10" t="str">
        <f aca="false">IF(C85="","",IF(AND(V85="Approved",ISERROR(SEARCH("FAIL",AN85))),"Y","N"))</f>
        <v/>
      </c>
      <c r="AV85" s="10" t="str">
        <f aca="false">IF(C85="","",C85&amp;"|"&amp;G85&amp;"|"&amp;E85&amp;"|"&amp;H85&amp;"|"&amp;AU85)</f>
        <v/>
      </c>
    </row>
    <row r="86" customFormat="false" ht="15" hidden="false" customHeight="false" outlineLevel="0" collapsed="false">
      <c r="A86" s="10" t="str">
        <f aca="false">IF(C86="","","ERSS-"&amp;IFERROR(VLOOKUP(C86,Lists!$AK$4:$AL$21,2,0),"??")&amp;"-"&amp;TEXT(E86,"0000")&amp;"x"&amp;TEXT(F86,"0000")&amp;"-D"&amp;TEXT(G86*1000,"0000")&amp;"-"&amp;IFERROR(VLOOKUP(H86,Lists!$Y$4:$Z$21,2,0),"??")&amp;"-"&amp;U86)</f>
        <v/>
      </c>
      <c r="B86" s="10" t="str">
        <f aca="false">IF(C86="","",C86&amp;" for "&amp;D86&amp;", "&amp;E86&amp;" x "&amp;F86&amp;" pit, "&amp;TEXT(G86,"0.0")&amp;" m deep, "&amp;H86)</f>
        <v/>
      </c>
      <c r="C86" s="9"/>
      <c r="D86" s="9"/>
      <c r="E86" s="40"/>
      <c r="F86" s="40"/>
      <c r="G86" s="43"/>
      <c r="H86" s="9"/>
      <c r="I86" s="43"/>
      <c r="J86" s="40"/>
      <c r="K86" s="9"/>
      <c r="L86" s="43"/>
      <c r="M86" s="43"/>
      <c r="N86" s="40"/>
      <c r="O86" s="9"/>
      <c r="P86" s="9"/>
      <c r="Q86" s="41"/>
      <c r="R86" s="9"/>
      <c r="S86" s="40"/>
      <c r="T86" s="9"/>
      <c r="U86" s="9"/>
      <c r="V86" s="9"/>
      <c r="W86" s="9"/>
      <c r="X86" s="9"/>
      <c r="Y86" s="9"/>
      <c r="Z86" s="10" t="str">
        <f aca="false">IF(A86="","",SG_Criteria!$B$6&amp;SG_Criteria!$B$11&amp;"\"&amp;A86&amp;"\")</f>
        <v/>
      </c>
      <c r="AA86" s="10" t="str">
        <f aca="false">IF(A86="","",A86&amp;"_CAD.dwg")</f>
        <v/>
      </c>
      <c r="AB86" s="10" t="str">
        <f aca="false">IF(A86="","",A86&amp;"_DWG.pdf")</f>
        <v/>
      </c>
      <c r="AC86" s="10" t="str">
        <f aca="false">IF(A86="","",IF(Y86="Y",A86&amp;"_STAAD.std","n/a"))</f>
        <v/>
      </c>
      <c r="AD86" s="10" t="str">
        <f aca="false">IF(A86="","",A86&amp;"_CALC.xlsx")</f>
        <v/>
      </c>
      <c r="AE86" s="10" t="str">
        <f aca="false">IF(A86="","",A86&amp;"_CALC.pdf")</f>
        <v/>
      </c>
      <c r="AF86" s="9"/>
      <c r="AG86" s="9"/>
      <c r="AH86" s="41"/>
      <c r="AI86" s="41"/>
      <c r="AJ86" s="41"/>
      <c r="AK86" s="41"/>
      <c r="AL86" s="41"/>
      <c r="AM86" s="38" t="str">
        <f aca="false">IF(OR(C86="",G86=""),"",IF(G86&lt;=IF(OR(C86="Soldier Pile &amp; Timber Lagging",C86="Trench Shoring Box",C86="Open Cut (battered)"),SG_Criteria!$B$34,SG_Criteria!$B$33),"No ERSS submission",IF(G86&lt;=SG_Criteria!$B$35,"QP(ST)",IF(G86&lt;=SG_Criteria!$B$36,"QP(ST) + AC","Geotechnical building works: QP(Geo) + AC"))))</f>
        <v/>
      </c>
      <c r="AN86" s="38" t="str">
        <f aca="false">IF(C86="","",IF(LEN(IF(AND(Q86&lt;&gt;"",Q86&lt;SG_Criteria!$B$37),"FAIL: base stability FOS &lt; "&amp;SG_Criteria!$B$37&amp;". ","")&amp;IF(AND(D86="Manhole",G86&gt;SG_Criteria!$B$36),"NOTE: BCA lists sewer manholes (pipe &lt;= 2 m dia) &gt; 6 m as non-GBW: QP(ST) + AC. ","")&amp;IF(AND(C86="Trench Shoring Box",H86="Kallang Formation (marine clay)"),"NOTE: check base heave / ground loss for shoring box in marine clay. ","")&amp;IF(AND(C86="Steel Sheet Pile Cofferdam",N(M86)&lt;G86*0.5),"NOTE: short toe embedment, check. ",""))=0,"OK",IF(AND(Q86&lt;&gt;"",Q86&lt;SG_Criteria!$B$37),"FAIL: base stability FOS &lt; "&amp;SG_Criteria!$B$37&amp;". ","")&amp;IF(AND(D86="Manhole",G86&gt;SG_Criteria!$B$36),"NOTE: BCA lists sewer manholes (pipe &lt;= 2 m dia) &gt; 6 m as non-GBW: QP(ST) + AC. ","")&amp;IF(AND(C86="Trench Shoring Box",H86="Kallang Formation (marine clay)"),"NOTE: check base heave / ground loss for shoring box in marine clay. ","")&amp;IF(AND(C86="Steel Sheet Pile Cofferdam",N(M86)&lt;G86*0.5),"NOTE: short toe embedment, check. ","")))</f>
        <v/>
      </c>
      <c r="AO86" s="9"/>
      <c r="AP86" s="9"/>
      <c r="AQ86" s="9"/>
      <c r="AR86" s="9"/>
      <c r="AS86" s="9"/>
      <c r="AT86" s="31"/>
      <c r="AU86" s="10" t="str">
        <f aca="false">IF(C86="","",IF(AND(V86="Approved",ISERROR(SEARCH("FAIL",AN86))),"Y","N"))</f>
        <v/>
      </c>
      <c r="AV86" s="10" t="str">
        <f aca="false">IF(C86="","",C86&amp;"|"&amp;G86&amp;"|"&amp;E86&amp;"|"&amp;H86&amp;"|"&amp;AU86)</f>
        <v/>
      </c>
    </row>
    <row r="87" customFormat="false" ht="15" hidden="false" customHeight="false" outlineLevel="0" collapsed="false">
      <c r="A87" s="10" t="str">
        <f aca="false">IF(C87="","","ERSS-"&amp;IFERROR(VLOOKUP(C87,Lists!$AK$4:$AL$21,2,0),"??")&amp;"-"&amp;TEXT(E87,"0000")&amp;"x"&amp;TEXT(F87,"0000")&amp;"-D"&amp;TEXT(G87*1000,"0000")&amp;"-"&amp;IFERROR(VLOOKUP(H87,Lists!$Y$4:$Z$21,2,0),"??")&amp;"-"&amp;U87)</f>
        <v/>
      </c>
      <c r="B87" s="10" t="str">
        <f aca="false">IF(C87="","",C87&amp;" for "&amp;D87&amp;", "&amp;E87&amp;" x "&amp;F87&amp;" pit, "&amp;TEXT(G87,"0.0")&amp;" m deep, "&amp;H87)</f>
        <v/>
      </c>
      <c r="C87" s="9"/>
      <c r="D87" s="9"/>
      <c r="E87" s="40"/>
      <c r="F87" s="40"/>
      <c r="G87" s="43"/>
      <c r="H87" s="9"/>
      <c r="I87" s="43"/>
      <c r="J87" s="40"/>
      <c r="K87" s="9"/>
      <c r="L87" s="43"/>
      <c r="M87" s="43"/>
      <c r="N87" s="40"/>
      <c r="O87" s="9"/>
      <c r="P87" s="9"/>
      <c r="Q87" s="41"/>
      <c r="R87" s="9"/>
      <c r="S87" s="40"/>
      <c r="T87" s="9"/>
      <c r="U87" s="9"/>
      <c r="V87" s="9"/>
      <c r="W87" s="9"/>
      <c r="X87" s="9"/>
      <c r="Y87" s="9"/>
      <c r="Z87" s="10" t="str">
        <f aca="false">IF(A87="","",SG_Criteria!$B$6&amp;SG_Criteria!$B$11&amp;"\"&amp;A87&amp;"\")</f>
        <v/>
      </c>
      <c r="AA87" s="10" t="str">
        <f aca="false">IF(A87="","",A87&amp;"_CAD.dwg")</f>
        <v/>
      </c>
      <c r="AB87" s="10" t="str">
        <f aca="false">IF(A87="","",A87&amp;"_DWG.pdf")</f>
        <v/>
      </c>
      <c r="AC87" s="10" t="str">
        <f aca="false">IF(A87="","",IF(Y87="Y",A87&amp;"_STAAD.std","n/a"))</f>
        <v/>
      </c>
      <c r="AD87" s="10" t="str">
        <f aca="false">IF(A87="","",A87&amp;"_CALC.xlsx")</f>
        <v/>
      </c>
      <c r="AE87" s="10" t="str">
        <f aca="false">IF(A87="","",A87&amp;"_CALC.pdf")</f>
        <v/>
      </c>
      <c r="AF87" s="9"/>
      <c r="AG87" s="9"/>
      <c r="AH87" s="41"/>
      <c r="AI87" s="41"/>
      <c r="AJ87" s="41"/>
      <c r="AK87" s="41"/>
      <c r="AL87" s="41"/>
      <c r="AM87" s="38" t="str">
        <f aca="false">IF(OR(C87="",G87=""),"",IF(G87&lt;=IF(OR(C87="Soldier Pile &amp; Timber Lagging",C87="Trench Shoring Box",C87="Open Cut (battered)"),SG_Criteria!$B$34,SG_Criteria!$B$33),"No ERSS submission",IF(G87&lt;=SG_Criteria!$B$35,"QP(ST)",IF(G87&lt;=SG_Criteria!$B$36,"QP(ST) + AC","Geotechnical building works: QP(Geo) + AC"))))</f>
        <v/>
      </c>
      <c r="AN87" s="38" t="str">
        <f aca="false">IF(C87="","",IF(LEN(IF(AND(Q87&lt;&gt;"",Q87&lt;SG_Criteria!$B$37),"FAIL: base stability FOS &lt; "&amp;SG_Criteria!$B$37&amp;". ","")&amp;IF(AND(D87="Manhole",G87&gt;SG_Criteria!$B$36),"NOTE: BCA lists sewer manholes (pipe &lt;= 2 m dia) &gt; 6 m as non-GBW: QP(ST) + AC. ","")&amp;IF(AND(C87="Trench Shoring Box",H87="Kallang Formation (marine clay)"),"NOTE: check base heave / ground loss for shoring box in marine clay. ","")&amp;IF(AND(C87="Steel Sheet Pile Cofferdam",N(M87)&lt;G87*0.5),"NOTE: short toe embedment, check. ",""))=0,"OK",IF(AND(Q87&lt;&gt;"",Q87&lt;SG_Criteria!$B$37),"FAIL: base stability FOS &lt; "&amp;SG_Criteria!$B$37&amp;". ","")&amp;IF(AND(D87="Manhole",G87&gt;SG_Criteria!$B$36),"NOTE: BCA lists sewer manholes (pipe &lt;= 2 m dia) &gt; 6 m as non-GBW: QP(ST) + AC. ","")&amp;IF(AND(C87="Trench Shoring Box",H87="Kallang Formation (marine clay)"),"NOTE: check base heave / ground loss for shoring box in marine clay. ","")&amp;IF(AND(C87="Steel Sheet Pile Cofferdam",N(M87)&lt;G87*0.5),"NOTE: short toe embedment, check. ","")))</f>
        <v/>
      </c>
      <c r="AO87" s="9"/>
      <c r="AP87" s="9"/>
      <c r="AQ87" s="9"/>
      <c r="AR87" s="9"/>
      <c r="AS87" s="9"/>
      <c r="AT87" s="31"/>
      <c r="AU87" s="10" t="str">
        <f aca="false">IF(C87="","",IF(AND(V87="Approved",ISERROR(SEARCH("FAIL",AN87))),"Y","N"))</f>
        <v/>
      </c>
      <c r="AV87" s="10" t="str">
        <f aca="false">IF(C87="","",C87&amp;"|"&amp;G87&amp;"|"&amp;E87&amp;"|"&amp;H87&amp;"|"&amp;AU87)</f>
        <v/>
      </c>
    </row>
    <row r="88" customFormat="false" ht="15" hidden="false" customHeight="false" outlineLevel="0" collapsed="false">
      <c r="A88" s="10" t="str">
        <f aca="false">IF(C88="","","ERSS-"&amp;IFERROR(VLOOKUP(C88,Lists!$AK$4:$AL$21,2,0),"??")&amp;"-"&amp;TEXT(E88,"0000")&amp;"x"&amp;TEXT(F88,"0000")&amp;"-D"&amp;TEXT(G88*1000,"0000")&amp;"-"&amp;IFERROR(VLOOKUP(H88,Lists!$Y$4:$Z$21,2,0),"??")&amp;"-"&amp;U88)</f>
        <v/>
      </c>
      <c r="B88" s="10" t="str">
        <f aca="false">IF(C88="","",C88&amp;" for "&amp;D88&amp;", "&amp;E88&amp;" x "&amp;F88&amp;" pit, "&amp;TEXT(G88,"0.0")&amp;" m deep, "&amp;H88)</f>
        <v/>
      </c>
      <c r="C88" s="9"/>
      <c r="D88" s="9"/>
      <c r="E88" s="40"/>
      <c r="F88" s="40"/>
      <c r="G88" s="43"/>
      <c r="H88" s="9"/>
      <c r="I88" s="43"/>
      <c r="J88" s="40"/>
      <c r="K88" s="9"/>
      <c r="L88" s="43"/>
      <c r="M88" s="43"/>
      <c r="N88" s="40"/>
      <c r="O88" s="9"/>
      <c r="P88" s="9"/>
      <c r="Q88" s="41"/>
      <c r="R88" s="9"/>
      <c r="S88" s="40"/>
      <c r="T88" s="9"/>
      <c r="U88" s="9"/>
      <c r="V88" s="9"/>
      <c r="W88" s="9"/>
      <c r="X88" s="9"/>
      <c r="Y88" s="9"/>
      <c r="Z88" s="10" t="str">
        <f aca="false">IF(A88="","",SG_Criteria!$B$6&amp;SG_Criteria!$B$11&amp;"\"&amp;A88&amp;"\")</f>
        <v/>
      </c>
      <c r="AA88" s="10" t="str">
        <f aca="false">IF(A88="","",A88&amp;"_CAD.dwg")</f>
        <v/>
      </c>
      <c r="AB88" s="10" t="str">
        <f aca="false">IF(A88="","",A88&amp;"_DWG.pdf")</f>
        <v/>
      </c>
      <c r="AC88" s="10" t="str">
        <f aca="false">IF(A88="","",IF(Y88="Y",A88&amp;"_STAAD.std","n/a"))</f>
        <v/>
      </c>
      <c r="AD88" s="10" t="str">
        <f aca="false">IF(A88="","",A88&amp;"_CALC.xlsx")</f>
        <v/>
      </c>
      <c r="AE88" s="10" t="str">
        <f aca="false">IF(A88="","",A88&amp;"_CALC.pdf")</f>
        <v/>
      </c>
      <c r="AF88" s="9"/>
      <c r="AG88" s="9"/>
      <c r="AH88" s="41"/>
      <c r="AI88" s="41"/>
      <c r="AJ88" s="41"/>
      <c r="AK88" s="41"/>
      <c r="AL88" s="41"/>
      <c r="AM88" s="38" t="str">
        <f aca="false">IF(OR(C88="",G88=""),"",IF(G88&lt;=IF(OR(C88="Soldier Pile &amp; Timber Lagging",C88="Trench Shoring Box",C88="Open Cut (battered)"),SG_Criteria!$B$34,SG_Criteria!$B$33),"No ERSS submission",IF(G88&lt;=SG_Criteria!$B$35,"QP(ST)",IF(G88&lt;=SG_Criteria!$B$36,"QP(ST) + AC","Geotechnical building works: QP(Geo) + AC"))))</f>
        <v/>
      </c>
      <c r="AN88" s="38" t="str">
        <f aca="false">IF(C88="","",IF(LEN(IF(AND(Q88&lt;&gt;"",Q88&lt;SG_Criteria!$B$37),"FAIL: base stability FOS &lt; "&amp;SG_Criteria!$B$37&amp;". ","")&amp;IF(AND(D88="Manhole",G88&gt;SG_Criteria!$B$36),"NOTE: BCA lists sewer manholes (pipe &lt;= 2 m dia) &gt; 6 m as non-GBW: QP(ST) + AC. ","")&amp;IF(AND(C88="Trench Shoring Box",H88="Kallang Formation (marine clay)"),"NOTE: check base heave / ground loss for shoring box in marine clay. ","")&amp;IF(AND(C88="Steel Sheet Pile Cofferdam",N(M88)&lt;G88*0.5),"NOTE: short toe embedment, check. ",""))=0,"OK",IF(AND(Q88&lt;&gt;"",Q88&lt;SG_Criteria!$B$37),"FAIL: base stability FOS &lt; "&amp;SG_Criteria!$B$37&amp;". ","")&amp;IF(AND(D88="Manhole",G88&gt;SG_Criteria!$B$36),"NOTE: BCA lists sewer manholes (pipe &lt;= 2 m dia) &gt; 6 m as non-GBW: QP(ST) + AC. ","")&amp;IF(AND(C88="Trench Shoring Box",H88="Kallang Formation (marine clay)"),"NOTE: check base heave / ground loss for shoring box in marine clay. ","")&amp;IF(AND(C88="Steel Sheet Pile Cofferdam",N(M88)&lt;G88*0.5),"NOTE: short toe embedment, check. ","")))</f>
        <v/>
      </c>
      <c r="AO88" s="9"/>
      <c r="AP88" s="9"/>
      <c r="AQ88" s="9"/>
      <c r="AR88" s="9"/>
      <c r="AS88" s="9"/>
      <c r="AT88" s="31"/>
      <c r="AU88" s="10" t="str">
        <f aca="false">IF(C88="","",IF(AND(V88="Approved",ISERROR(SEARCH("FAIL",AN88))),"Y","N"))</f>
        <v/>
      </c>
      <c r="AV88" s="10" t="str">
        <f aca="false">IF(C88="","",C88&amp;"|"&amp;G88&amp;"|"&amp;E88&amp;"|"&amp;H88&amp;"|"&amp;AU88)</f>
        <v/>
      </c>
    </row>
    <row r="89" customFormat="false" ht="15" hidden="false" customHeight="false" outlineLevel="0" collapsed="false">
      <c r="A89" s="10" t="str">
        <f aca="false">IF(C89="","","ERSS-"&amp;IFERROR(VLOOKUP(C89,Lists!$AK$4:$AL$21,2,0),"??")&amp;"-"&amp;TEXT(E89,"0000")&amp;"x"&amp;TEXT(F89,"0000")&amp;"-D"&amp;TEXT(G89*1000,"0000")&amp;"-"&amp;IFERROR(VLOOKUP(H89,Lists!$Y$4:$Z$21,2,0),"??")&amp;"-"&amp;U89)</f>
        <v/>
      </c>
      <c r="B89" s="10" t="str">
        <f aca="false">IF(C89="","",C89&amp;" for "&amp;D89&amp;", "&amp;E89&amp;" x "&amp;F89&amp;" pit, "&amp;TEXT(G89,"0.0")&amp;" m deep, "&amp;H89)</f>
        <v/>
      </c>
      <c r="C89" s="9"/>
      <c r="D89" s="9"/>
      <c r="E89" s="40"/>
      <c r="F89" s="40"/>
      <c r="G89" s="43"/>
      <c r="H89" s="9"/>
      <c r="I89" s="43"/>
      <c r="J89" s="40"/>
      <c r="K89" s="9"/>
      <c r="L89" s="43"/>
      <c r="M89" s="43"/>
      <c r="N89" s="40"/>
      <c r="O89" s="9"/>
      <c r="P89" s="9"/>
      <c r="Q89" s="41"/>
      <c r="R89" s="9"/>
      <c r="S89" s="40"/>
      <c r="T89" s="9"/>
      <c r="U89" s="9"/>
      <c r="V89" s="9"/>
      <c r="W89" s="9"/>
      <c r="X89" s="9"/>
      <c r="Y89" s="9"/>
      <c r="Z89" s="10" t="str">
        <f aca="false">IF(A89="","",SG_Criteria!$B$6&amp;SG_Criteria!$B$11&amp;"\"&amp;A89&amp;"\")</f>
        <v/>
      </c>
      <c r="AA89" s="10" t="str">
        <f aca="false">IF(A89="","",A89&amp;"_CAD.dwg")</f>
        <v/>
      </c>
      <c r="AB89" s="10" t="str">
        <f aca="false">IF(A89="","",A89&amp;"_DWG.pdf")</f>
        <v/>
      </c>
      <c r="AC89" s="10" t="str">
        <f aca="false">IF(A89="","",IF(Y89="Y",A89&amp;"_STAAD.std","n/a"))</f>
        <v/>
      </c>
      <c r="AD89" s="10" t="str">
        <f aca="false">IF(A89="","",A89&amp;"_CALC.xlsx")</f>
        <v/>
      </c>
      <c r="AE89" s="10" t="str">
        <f aca="false">IF(A89="","",A89&amp;"_CALC.pdf")</f>
        <v/>
      </c>
      <c r="AF89" s="9"/>
      <c r="AG89" s="9"/>
      <c r="AH89" s="41"/>
      <c r="AI89" s="41"/>
      <c r="AJ89" s="41"/>
      <c r="AK89" s="41"/>
      <c r="AL89" s="41"/>
      <c r="AM89" s="38" t="str">
        <f aca="false">IF(OR(C89="",G89=""),"",IF(G89&lt;=IF(OR(C89="Soldier Pile &amp; Timber Lagging",C89="Trench Shoring Box",C89="Open Cut (battered)"),SG_Criteria!$B$34,SG_Criteria!$B$33),"No ERSS submission",IF(G89&lt;=SG_Criteria!$B$35,"QP(ST)",IF(G89&lt;=SG_Criteria!$B$36,"QP(ST) + AC","Geotechnical building works: QP(Geo) + AC"))))</f>
        <v/>
      </c>
      <c r="AN89" s="38" t="str">
        <f aca="false">IF(C89="","",IF(LEN(IF(AND(Q89&lt;&gt;"",Q89&lt;SG_Criteria!$B$37),"FAIL: base stability FOS &lt; "&amp;SG_Criteria!$B$37&amp;". ","")&amp;IF(AND(D89="Manhole",G89&gt;SG_Criteria!$B$36),"NOTE: BCA lists sewer manholes (pipe &lt;= 2 m dia) &gt; 6 m as non-GBW: QP(ST) + AC. ","")&amp;IF(AND(C89="Trench Shoring Box",H89="Kallang Formation (marine clay)"),"NOTE: check base heave / ground loss for shoring box in marine clay. ","")&amp;IF(AND(C89="Steel Sheet Pile Cofferdam",N(M89)&lt;G89*0.5),"NOTE: short toe embedment, check. ",""))=0,"OK",IF(AND(Q89&lt;&gt;"",Q89&lt;SG_Criteria!$B$37),"FAIL: base stability FOS &lt; "&amp;SG_Criteria!$B$37&amp;". ","")&amp;IF(AND(D89="Manhole",G89&gt;SG_Criteria!$B$36),"NOTE: BCA lists sewer manholes (pipe &lt;= 2 m dia) &gt; 6 m as non-GBW: QP(ST) + AC. ","")&amp;IF(AND(C89="Trench Shoring Box",H89="Kallang Formation (marine clay)"),"NOTE: check base heave / ground loss for shoring box in marine clay. ","")&amp;IF(AND(C89="Steel Sheet Pile Cofferdam",N(M89)&lt;G89*0.5),"NOTE: short toe embedment, check. ","")))</f>
        <v/>
      </c>
      <c r="AO89" s="9"/>
      <c r="AP89" s="9"/>
      <c r="AQ89" s="9"/>
      <c r="AR89" s="9"/>
      <c r="AS89" s="9"/>
      <c r="AT89" s="31"/>
      <c r="AU89" s="10" t="str">
        <f aca="false">IF(C89="","",IF(AND(V89="Approved",ISERROR(SEARCH("FAIL",AN89))),"Y","N"))</f>
        <v/>
      </c>
      <c r="AV89" s="10" t="str">
        <f aca="false">IF(C89="","",C89&amp;"|"&amp;G89&amp;"|"&amp;E89&amp;"|"&amp;H89&amp;"|"&amp;AU89)</f>
        <v/>
      </c>
    </row>
    <row r="90" customFormat="false" ht="15" hidden="false" customHeight="false" outlineLevel="0" collapsed="false">
      <c r="A90" s="10" t="str">
        <f aca="false">IF(C90="","","ERSS-"&amp;IFERROR(VLOOKUP(C90,Lists!$AK$4:$AL$21,2,0),"??")&amp;"-"&amp;TEXT(E90,"0000")&amp;"x"&amp;TEXT(F90,"0000")&amp;"-D"&amp;TEXT(G90*1000,"0000")&amp;"-"&amp;IFERROR(VLOOKUP(H90,Lists!$Y$4:$Z$21,2,0),"??")&amp;"-"&amp;U90)</f>
        <v/>
      </c>
      <c r="B90" s="10" t="str">
        <f aca="false">IF(C90="","",C90&amp;" for "&amp;D90&amp;", "&amp;E90&amp;" x "&amp;F90&amp;" pit, "&amp;TEXT(G90,"0.0")&amp;" m deep, "&amp;H90)</f>
        <v/>
      </c>
      <c r="C90" s="9"/>
      <c r="D90" s="9"/>
      <c r="E90" s="40"/>
      <c r="F90" s="40"/>
      <c r="G90" s="43"/>
      <c r="H90" s="9"/>
      <c r="I90" s="43"/>
      <c r="J90" s="40"/>
      <c r="K90" s="9"/>
      <c r="L90" s="43"/>
      <c r="M90" s="43"/>
      <c r="N90" s="40"/>
      <c r="O90" s="9"/>
      <c r="P90" s="9"/>
      <c r="Q90" s="41"/>
      <c r="R90" s="9"/>
      <c r="S90" s="40"/>
      <c r="T90" s="9"/>
      <c r="U90" s="9"/>
      <c r="V90" s="9"/>
      <c r="W90" s="9"/>
      <c r="X90" s="9"/>
      <c r="Y90" s="9"/>
      <c r="Z90" s="10" t="str">
        <f aca="false">IF(A90="","",SG_Criteria!$B$6&amp;SG_Criteria!$B$11&amp;"\"&amp;A90&amp;"\")</f>
        <v/>
      </c>
      <c r="AA90" s="10" t="str">
        <f aca="false">IF(A90="","",A90&amp;"_CAD.dwg")</f>
        <v/>
      </c>
      <c r="AB90" s="10" t="str">
        <f aca="false">IF(A90="","",A90&amp;"_DWG.pdf")</f>
        <v/>
      </c>
      <c r="AC90" s="10" t="str">
        <f aca="false">IF(A90="","",IF(Y90="Y",A90&amp;"_STAAD.std","n/a"))</f>
        <v/>
      </c>
      <c r="AD90" s="10" t="str">
        <f aca="false">IF(A90="","",A90&amp;"_CALC.xlsx")</f>
        <v/>
      </c>
      <c r="AE90" s="10" t="str">
        <f aca="false">IF(A90="","",A90&amp;"_CALC.pdf")</f>
        <v/>
      </c>
      <c r="AF90" s="9"/>
      <c r="AG90" s="9"/>
      <c r="AH90" s="41"/>
      <c r="AI90" s="41"/>
      <c r="AJ90" s="41"/>
      <c r="AK90" s="41"/>
      <c r="AL90" s="41"/>
      <c r="AM90" s="38" t="str">
        <f aca="false">IF(OR(C90="",G90=""),"",IF(G90&lt;=IF(OR(C90="Soldier Pile &amp; Timber Lagging",C90="Trench Shoring Box",C90="Open Cut (battered)"),SG_Criteria!$B$34,SG_Criteria!$B$33),"No ERSS submission",IF(G90&lt;=SG_Criteria!$B$35,"QP(ST)",IF(G90&lt;=SG_Criteria!$B$36,"QP(ST) + AC","Geotechnical building works: QP(Geo) + AC"))))</f>
        <v/>
      </c>
      <c r="AN90" s="38" t="str">
        <f aca="false">IF(C90="","",IF(LEN(IF(AND(Q90&lt;&gt;"",Q90&lt;SG_Criteria!$B$37),"FAIL: base stability FOS &lt; "&amp;SG_Criteria!$B$37&amp;". ","")&amp;IF(AND(D90="Manhole",G90&gt;SG_Criteria!$B$36),"NOTE: BCA lists sewer manholes (pipe &lt;= 2 m dia) &gt; 6 m as non-GBW: QP(ST) + AC. ","")&amp;IF(AND(C90="Trench Shoring Box",H90="Kallang Formation (marine clay)"),"NOTE: check base heave / ground loss for shoring box in marine clay. ","")&amp;IF(AND(C90="Steel Sheet Pile Cofferdam",N(M90)&lt;G90*0.5),"NOTE: short toe embedment, check. ",""))=0,"OK",IF(AND(Q90&lt;&gt;"",Q90&lt;SG_Criteria!$B$37),"FAIL: base stability FOS &lt; "&amp;SG_Criteria!$B$37&amp;". ","")&amp;IF(AND(D90="Manhole",G90&gt;SG_Criteria!$B$36),"NOTE: BCA lists sewer manholes (pipe &lt;= 2 m dia) &gt; 6 m as non-GBW: QP(ST) + AC. ","")&amp;IF(AND(C90="Trench Shoring Box",H90="Kallang Formation (marine clay)"),"NOTE: check base heave / ground loss for shoring box in marine clay. ","")&amp;IF(AND(C90="Steel Sheet Pile Cofferdam",N(M90)&lt;G90*0.5),"NOTE: short toe embedment, check. ","")))</f>
        <v/>
      </c>
      <c r="AO90" s="9"/>
      <c r="AP90" s="9"/>
      <c r="AQ90" s="9"/>
      <c r="AR90" s="9"/>
      <c r="AS90" s="9"/>
      <c r="AT90" s="31"/>
      <c r="AU90" s="10" t="str">
        <f aca="false">IF(C90="","",IF(AND(V90="Approved",ISERROR(SEARCH("FAIL",AN90))),"Y","N"))</f>
        <v/>
      </c>
      <c r="AV90" s="10" t="str">
        <f aca="false">IF(C90="","",C90&amp;"|"&amp;G90&amp;"|"&amp;E90&amp;"|"&amp;H90&amp;"|"&amp;AU90)</f>
        <v/>
      </c>
    </row>
    <row r="91" customFormat="false" ht="15" hidden="false" customHeight="false" outlineLevel="0" collapsed="false">
      <c r="A91" s="10" t="str">
        <f aca="false">IF(C91="","","ERSS-"&amp;IFERROR(VLOOKUP(C91,Lists!$AK$4:$AL$21,2,0),"??")&amp;"-"&amp;TEXT(E91,"0000")&amp;"x"&amp;TEXT(F91,"0000")&amp;"-D"&amp;TEXT(G91*1000,"0000")&amp;"-"&amp;IFERROR(VLOOKUP(H91,Lists!$Y$4:$Z$21,2,0),"??")&amp;"-"&amp;U91)</f>
        <v/>
      </c>
      <c r="B91" s="10" t="str">
        <f aca="false">IF(C91="","",C91&amp;" for "&amp;D91&amp;", "&amp;E91&amp;" x "&amp;F91&amp;" pit, "&amp;TEXT(G91,"0.0")&amp;" m deep, "&amp;H91)</f>
        <v/>
      </c>
      <c r="C91" s="9"/>
      <c r="D91" s="9"/>
      <c r="E91" s="40"/>
      <c r="F91" s="40"/>
      <c r="G91" s="43"/>
      <c r="H91" s="9"/>
      <c r="I91" s="43"/>
      <c r="J91" s="40"/>
      <c r="K91" s="9"/>
      <c r="L91" s="43"/>
      <c r="M91" s="43"/>
      <c r="N91" s="40"/>
      <c r="O91" s="9"/>
      <c r="P91" s="9"/>
      <c r="Q91" s="41"/>
      <c r="R91" s="9"/>
      <c r="S91" s="40"/>
      <c r="T91" s="9"/>
      <c r="U91" s="9"/>
      <c r="V91" s="9"/>
      <c r="W91" s="9"/>
      <c r="X91" s="9"/>
      <c r="Y91" s="9"/>
      <c r="Z91" s="10" t="str">
        <f aca="false">IF(A91="","",SG_Criteria!$B$6&amp;SG_Criteria!$B$11&amp;"\"&amp;A91&amp;"\")</f>
        <v/>
      </c>
      <c r="AA91" s="10" t="str">
        <f aca="false">IF(A91="","",A91&amp;"_CAD.dwg")</f>
        <v/>
      </c>
      <c r="AB91" s="10" t="str">
        <f aca="false">IF(A91="","",A91&amp;"_DWG.pdf")</f>
        <v/>
      </c>
      <c r="AC91" s="10" t="str">
        <f aca="false">IF(A91="","",IF(Y91="Y",A91&amp;"_STAAD.std","n/a"))</f>
        <v/>
      </c>
      <c r="AD91" s="10" t="str">
        <f aca="false">IF(A91="","",A91&amp;"_CALC.xlsx")</f>
        <v/>
      </c>
      <c r="AE91" s="10" t="str">
        <f aca="false">IF(A91="","",A91&amp;"_CALC.pdf")</f>
        <v/>
      </c>
      <c r="AF91" s="9"/>
      <c r="AG91" s="9"/>
      <c r="AH91" s="41"/>
      <c r="AI91" s="41"/>
      <c r="AJ91" s="41"/>
      <c r="AK91" s="41"/>
      <c r="AL91" s="41"/>
      <c r="AM91" s="38" t="str">
        <f aca="false">IF(OR(C91="",G91=""),"",IF(G91&lt;=IF(OR(C91="Soldier Pile &amp; Timber Lagging",C91="Trench Shoring Box",C91="Open Cut (battered)"),SG_Criteria!$B$34,SG_Criteria!$B$33),"No ERSS submission",IF(G91&lt;=SG_Criteria!$B$35,"QP(ST)",IF(G91&lt;=SG_Criteria!$B$36,"QP(ST) + AC","Geotechnical building works: QP(Geo) + AC"))))</f>
        <v/>
      </c>
      <c r="AN91" s="38" t="str">
        <f aca="false">IF(C91="","",IF(LEN(IF(AND(Q91&lt;&gt;"",Q91&lt;SG_Criteria!$B$37),"FAIL: base stability FOS &lt; "&amp;SG_Criteria!$B$37&amp;". ","")&amp;IF(AND(D91="Manhole",G91&gt;SG_Criteria!$B$36),"NOTE: BCA lists sewer manholes (pipe &lt;= 2 m dia) &gt; 6 m as non-GBW: QP(ST) + AC. ","")&amp;IF(AND(C91="Trench Shoring Box",H91="Kallang Formation (marine clay)"),"NOTE: check base heave / ground loss for shoring box in marine clay. ","")&amp;IF(AND(C91="Steel Sheet Pile Cofferdam",N(M91)&lt;G91*0.5),"NOTE: short toe embedment, check. ",""))=0,"OK",IF(AND(Q91&lt;&gt;"",Q91&lt;SG_Criteria!$B$37),"FAIL: base stability FOS &lt; "&amp;SG_Criteria!$B$37&amp;". ","")&amp;IF(AND(D91="Manhole",G91&gt;SG_Criteria!$B$36),"NOTE: BCA lists sewer manholes (pipe &lt;= 2 m dia) &gt; 6 m as non-GBW: QP(ST) + AC. ","")&amp;IF(AND(C91="Trench Shoring Box",H91="Kallang Formation (marine clay)"),"NOTE: check base heave / ground loss for shoring box in marine clay. ","")&amp;IF(AND(C91="Steel Sheet Pile Cofferdam",N(M91)&lt;G91*0.5),"NOTE: short toe embedment, check. ","")))</f>
        <v/>
      </c>
      <c r="AO91" s="9"/>
      <c r="AP91" s="9"/>
      <c r="AQ91" s="9"/>
      <c r="AR91" s="9"/>
      <c r="AS91" s="9"/>
      <c r="AT91" s="31"/>
      <c r="AU91" s="10" t="str">
        <f aca="false">IF(C91="","",IF(AND(V91="Approved",ISERROR(SEARCH("FAIL",AN91))),"Y","N"))</f>
        <v/>
      </c>
      <c r="AV91" s="10" t="str">
        <f aca="false">IF(C91="","",C91&amp;"|"&amp;G91&amp;"|"&amp;E91&amp;"|"&amp;H91&amp;"|"&amp;AU91)</f>
        <v/>
      </c>
    </row>
    <row r="92" customFormat="false" ht="15" hidden="false" customHeight="false" outlineLevel="0" collapsed="false">
      <c r="A92" s="10" t="str">
        <f aca="false">IF(C92="","","ERSS-"&amp;IFERROR(VLOOKUP(C92,Lists!$AK$4:$AL$21,2,0),"??")&amp;"-"&amp;TEXT(E92,"0000")&amp;"x"&amp;TEXT(F92,"0000")&amp;"-D"&amp;TEXT(G92*1000,"0000")&amp;"-"&amp;IFERROR(VLOOKUP(H92,Lists!$Y$4:$Z$21,2,0),"??")&amp;"-"&amp;U92)</f>
        <v/>
      </c>
      <c r="B92" s="10" t="str">
        <f aca="false">IF(C92="","",C92&amp;" for "&amp;D92&amp;", "&amp;E92&amp;" x "&amp;F92&amp;" pit, "&amp;TEXT(G92,"0.0")&amp;" m deep, "&amp;H92)</f>
        <v/>
      </c>
      <c r="C92" s="9"/>
      <c r="D92" s="9"/>
      <c r="E92" s="40"/>
      <c r="F92" s="40"/>
      <c r="G92" s="43"/>
      <c r="H92" s="9"/>
      <c r="I92" s="43"/>
      <c r="J92" s="40"/>
      <c r="K92" s="9"/>
      <c r="L92" s="43"/>
      <c r="M92" s="43"/>
      <c r="N92" s="40"/>
      <c r="O92" s="9"/>
      <c r="P92" s="9"/>
      <c r="Q92" s="41"/>
      <c r="R92" s="9"/>
      <c r="S92" s="40"/>
      <c r="T92" s="9"/>
      <c r="U92" s="9"/>
      <c r="V92" s="9"/>
      <c r="W92" s="9"/>
      <c r="X92" s="9"/>
      <c r="Y92" s="9"/>
      <c r="Z92" s="10" t="str">
        <f aca="false">IF(A92="","",SG_Criteria!$B$6&amp;SG_Criteria!$B$11&amp;"\"&amp;A92&amp;"\")</f>
        <v/>
      </c>
      <c r="AA92" s="10" t="str">
        <f aca="false">IF(A92="","",A92&amp;"_CAD.dwg")</f>
        <v/>
      </c>
      <c r="AB92" s="10" t="str">
        <f aca="false">IF(A92="","",A92&amp;"_DWG.pdf")</f>
        <v/>
      </c>
      <c r="AC92" s="10" t="str">
        <f aca="false">IF(A92="","",IF(Y92="Y",A92&amp;"_STAAD.std","n/a"))</f>
        <v/>
      </c>
      <c r="AD92" s="10" t="str">
        <f aca="false">IF(A92="","",A92&amp;"_CALC.xlsx")</f>
        <v/>
      </c>
      <c r="AE92" s="10" t="str">
        <f aca="false">IF(A92="","",A92&amp;"_CALC.pdf")</f>
        <v/>
      </c>
      <c r="AF92" s="9"/>
      <c r="AG92" s="9"/>
      <c r="AH92" s="41"/>
      <c r="AI92" s="41"/>
      <c r="AJ92" s="41"/>
      <c r="AK92" s="41"/>
      <c r="AL92" s="41"/>
      <c r="AM92" s="38" t="str">
        <f aca="false">IF(OR(C92="",G92=""),"",IF(G92&lt;=IF(OR(C92="Soldier Pile &amp; Timber Lagging",C92="Trench Shoring Box",C92="Open Cut (battered)"),SG_Criteria!$B$34,SG_Criteria!$B$33),"No ERSS submission",IF(G92&lt;=SG_Criteria!$B$35,"QP(ST)",IF(G92&lt;=SG_Criteria!$B$36,"QP(ST) + AC","Geotechnical building works: QP(Geo) + AC"))))</f>
        <v/>
      </c>
      <c r="AN92" s="38" t="str">
        <f aca="false">IF(C92="","",IF(LEN(IF(AND(Q92&lt;&gt;"",Q92&lt;SG_Criteria!$B$37),"FAIL: base stability FOS &lt; "&amp;SG_Criteria!$B$37&amp;". ","")&amp;IF(AND(D92="Manhole",G92&gt;SG_Criteria!$B$36),"NOTE: BCA lists sewer manholes (pipe &lt;= 2 m dia) &gt; 6 m as non-GBW: QP(ST) + AC. ","")&amp;IF(AND(C92="Trench Shoring Box",H92="Kallang Formation (marine clay)"),"NOTE: check base heave / ground loss for shoring box in marine clay. ","")&amp;IF(AND(C92="Steel Sheet Pile Cofferdam",N(M92)&lt;G92*0.5),"NOTE: short toe embedment, check. ",""))=0,"OK",IF(AND(Q92&lt;&gt;"",Q92&lt;SG_Criteria!$B$37),"FAIL: base stability FOS &lt; "&amp;SG_Criteria!$B$37&amp;". ","")&amp;IF(AND(D92="Manhole",G92&gt;SG_Criteria!$B$36),"NOTE: BCA lists sewer manholes (pipe &lt;= 2 m dia) &gt; 6 m as non-GBW: QP(ST) + AC. ","")&amp;IF(AND(C92="Trench Shoring Box",H92="Kallang Formation (marine clay)"),"NOTE: check base heave / ground loss for shoring box in marine clay. ","")&amp;IF(AND(C92="Steel Sheet Pile Cofferdam",N(M92)&lt;G92*0.5),"NOTE: short toe embedment, check. ","")))</f>
        <v/>
      </c>
      <c r="AO92" s="9"/>
      <c r="AP92" s="9"/>
      <c r="AQ92" s="9"/>
      <c r="AR92" s="9"/>
      <c r="AS92" s="9"/>
      <c r="AT92" s="31"/>
      <c r="AU92" s="10" t="str">
        <f aca="false">IF(C92="","",IF(AND(V92="Approved",ISERROR(SEARCH("FAIL",AN92))),"Y","N"))</f>
        <v/>
      </c>
      <c r="AV92" s="10" t="str">
        <f aca="false">IF(C92="","",C92&amp;"|"&amp;G92&amp;"|"&amp;E92&amp;"|"&amp;H92&amp;"|"&amp;AU92)</f>
        <v/>
      </c>
    </row>
    <row r="93" customFormat="false" ht="15" hidden="false" customHeight="false" outlineLevel="0" collapsed="false">
      <c r="A93" s="10" t="str">
        <f aca="false">IF(C93="","","ERSS-"&amp;IFERROR(VLOOKUP(C93,Lists!$AK$4:$AL$21,2,0),"??")&amp;"-"&amp;TEXT(E93,"0000")&amp;"x"&amp;TEXT(F93,"0000")&amp;"-D"&amp;TEXT(G93*1000,"0000")&amp;"-"&amp;IFERROR(VLOOKUP(H93,Lists!$Y$4:$Z$21,2,0),"??")&amp;"-"&amp;U93)</f>
        <v/>
      </c>
      <c r="B93" s="10" t="str">
        <f aca="false">IF(C93="","",C93&amp;" for "&amp;D93&amp;", "&amp;E93&amp;" x "&amp;F93&amp;" pit, "&amp;TEXT(G93,"0.0")&amp;" m deep, "&amp;H93)</f>
        <v/>
      </c>
      <c r="C93" s="9"/>
      <c r="D93" s="9"/>
      <c r="E93" s="40"/>
      <c r="F93" s="40"/>
      <c r="G93" s="43"/>
      <c r="H93" s="9"/>
      <c r="I93" s="43"/>
      <c r="J93" s="40"/>
      <c r="K93" s="9"/>
      <c r="L93" s="43"/>
      <c r="M93" s="43"/>
      <c r="N93" s="40"/>
      <c r="O93" s="9"/>
      <c r="P93" s="9"/>
      <c r="Q93" s="41"/>
      <c r="R93" s="9"/>
      <c r="S93" s="40"/>
      <c r="T93" s="9"/>
      <c r="U93" s="9"/>
      <c r="V93" s="9"/>
      <c r="W93" s="9"/>
      <c r="X93" s="9"/>
      <c r="Y93" s="9"/>
      <c r="Z93" s="10" t="str">
        <f aca="false">IF(A93="","",SG_Criteria!$B$6&amp;SG_Criteria!$B$11&amp;"\"&amp;A93&amp;"\")</f>
        <v/>
      </c>
      <c r="AA93" s="10" t="str">
        <f aca="false">IF(A93="","",A93&amp;"_CAD.dwg")</f>
        <v/>
      </c>
      <c r="AB93" s="10" t="str">
        <f aca="false">IF(A93="","",A93&amp;"_DWG.pdf")</f>
        <v/>
      </c>
      <c r="AC93" s="10" t="str">
        <f aca="false">IF(A93="","",IF(Y93="Y",A93&amp;"_STAAD.std","n/a"))</f>
        <v/>
      </c>
      <c r="AD93" s="10" t="str">
        <f aca="false">IF(A93="","",A93&amp;"_CALC.xlsx")</f>
        <v/>
      </c>
      <c r="AE93" s="10" t="str">
        <f aca="false">IF(A93="","",A93&amp;"_CALC.pdf")</f>
        <v/>
      </c>
      <c r="AF93" s="9"/>
      <c r="AG93" s="9"/>
      <c r="AH93" s="41"/>
      <c r="AI93" s="41"/>
      <c r="AJ93" s="41"/>
      <c r="AK93" s="41"/>
      <c r="AL93" s="41"/>
      <c r="AM93" s="38" t="str">
        <f aca="false">IF(OR(C93="",G93=""),"",IF(G93&lt;=IF(OR(C93="Soldier Pile &amp; Timber Lagging",C93="Trench Shoring Box",C93="Open Cut (battered)"),SG_Criteria!$B$34,SG_Criteria!$B$33),"No ERSS submission",IF(G93&lt;=SG_Criteria!$B$35,"QP(ST)",IF(G93&lt;=SG_Criteria!$B$36,"QP(ST) + AC","Geotechnical building works: QP(Geo) + AC"))))</f>
        <v/>
      </c>
      <c r="AN93" s="38" t="str">
        <f aca="false">IF(C93="","",IF(LEN(IF(AND(Q93&lt;&gt;"",Q93&lt;SG_Criteria!$B$37),"FAIL: base stability FOS &lt; "&amp;SG_Criteria!$B$37&amp;". ","")&amp;IF(AND(D93="Manhole",G93&gt;SG_Criteria!$B$36),"NOTE: BCA lists sewer manholes (pipe &lt;= 2 m dia) &gt; 6 m as non-GBW: QP(ST) + AC. ","")&amp;IF(AND(C93="Trench Shoring Box",H93="Kallang Formation (marine clay)"),"NOTE: check base heave / ground loss for shoring box in marine clay. ","")&amp;IF(AND(C93="Steel Sheet Pile Cofferdam",N(M93)&lt;G93*0.5),"NOTE: short toe embedment, check. ",""))=0,"OK",IF(AND(Q93&lt;&gt;"",Q93&lt;SG_Criteria!$B$37),"FAIL: base stability FOS &lt; "&amp;SG_Criteria!$B$37&amp;". ","")&amp;IF(AND(D93="Manhole",G93&gt;SG_Criteria!$B$36),"NOTE: BCA lists sewer manholes (pipe &lt;= 2 m dia) &gt; 6 m as non-GBW: QP(ST) + AC. ","")&amp;IF(AND(C93="Trench Shoring Box",H93="Kallang Formation (marine clay)"),"NOTE: check base heave / ground loss for shoring box in marine clay. ","")&amp;IF(AND(C93="Steel Sheet Pile Cofferdam",N(M93)&lt;G93*0.5),"NOTE: short toe embedment, check. ","")))</f>
        <v/>
      </c>
      <c r="AO93" s="9"/>
      <c r="AP93" s="9"/>
      <c r="AQ93" s="9"/>
      <c r="AR93" s="9"/>
      <c r="AS93" s="9"/>
      <c r="AT93" s="31"/>
      <c r="AU93" s="10" t="str">
        <f aca="false">IF(C93="","",IF(AND(V93="Approved",ISERROR(SEARCH("FAIL",AN93))),"Y","N"))</f>
        <v/>
      </c>
      <c r="AV93" s="10" t="str">
        <f aca="false">IF(C93="","",C93&amp;"|"&amp;G93&amp;"|"&amp;E93&amp;"|"&amp;H93&amp;"|"&amp;AU93)</f>
        <v/>
      </c>
    </row>
    <row r="94" customFormat="false" ht="15" hidden="false" customHeight="false" outlineLevel="0" collapsed="false">
      <c r="A94" s="10" t="str">
        <f aca="false">IF(C94="","","ERSS-"&amp;IFERROR(VLOOKUP(C94,Lists!$AK$4:$AL$21,2,0),"??")&amp;"-"&amp;TEXT(E94,"0000")&amp;"x"&amp;TEXT(F94,"0000")&amp;"-D"&amp;TEXT(G94*1000,"0000")&amp;"-"&amp;IFERROR(VLOOKUP(H94,Lists!$Y$4:$Z$21,2,0),"??")&amp;"-"&amp;U94)</f>
        <v/>
      </c>
      <c r="B94" s="10" t="str">
        <f aca="false">IF(C94="","",C94&amp;" for "&amp;D94&amp;", "&amp;E94&amp;" x "&amp;F94&amp;" pit, "&amp;TEXT(G94,"0.0")&amp;" m deep, "&amp;H94)</f>
        <v/>
      </c>
      <c r="C94" s="9"/>
      <c r="D94" s="9"/>
      <c r="E94" s="40"/>
      <c r="F94" s="40"/>
      <c r="G94" s="43"/>
      <c r="H94" s="9"/>
      <c r="I94" s="43"/>
      <c r="J94" s="40"/>
      <c r="K94" s="9"/>
      <c r="L94" s="43"/>
      <c r="M94" s="43"/>
      <c r="N94" s="40"/>
      <c r="O94" s="9"/>
      <c r="P94" s="9"/>
      <c r="Q94" s="41"/>
      <c r="R94" s="9"/>
      <c r="S94" s="40"/>
      <c r="T94" s="9"/>
      <c r="U94" s="9"/>
      <c r="V94" s="9"/>
      <c r="W94" s="9"/>
      <c r="X94" s="9"/>
      <c r="Y94" s="9"/>
      <c r="Z94" s="10" t="str">
        <f aca="false">IF(A94="","",SG_Criteria!$B$6&amp;SG_Criteria!$B$11&amp;"\"&amp;A94&amp;"\")</f>
        <v/>
      </c>
      <c r="AA94" s="10" t="str">
        <f aca="false">IF(A94="","",A94&amp;"_CAD.dwg")</f>
        <v/>
      </c>
      <c r="AB94" s="10" t="str">
        <f aca="false">IF(A94="","",A94&amp;"_DWG.pdf")</f>
        <v/>
      </c>
      <c r="AC94" s="10" t="str">
        <f aca="false">IF(A94="","",IF(Y94="Y",A94&amp;"_STAAD.std","n/a"))</f>
        <v/>
      </c>
      <c r="AD94" s="10" t="str">
        <f aca="false">IF(A94="","",A94&amp;"_CALC.xlsx")</f>
        <v/>
      </c>
      <c r="AE94" s="10" t="str">
        <f aca="false">IF(A94="","",A94&amp;"_CALC.pdf")</f>
        <v/>
      </c>
      <c r="AF94" s="9"/>
      <c r="AG94" s="9"/>
      <c r="AH94" s="41"/>
      <c r="AI94" s="41"/>
      <c r="AJ94" s="41"/>
      <c r="AK94" s="41"/>
      <c r="AL94" s="41"/>
      <c r="AM94" s="38" t="str">
        <f aca="false">IF(OR(C94="",G94=""),"",IF(G94&lt;=IF(OR(C94="Soldier Pile &amp; Timber Lagging",C94="Trench Shoring Box",C94="Open Cut (battered)"),SG_Criteria!$B$34,SG_Criteria!$B$33),"No ERSS submission",IF(G94&lt;=SG_Criteria!$B$35,"QP(ST)",IF(G94&lt;=SG_Criteria!$B$36,"QP(ST) + AC","Geotechnical building works: QP(Geo) + AC"))))</f>
        <v/>
      </c>
      <c r="AN94" s="38" t="str">
        <f aca="false">IF(C94="","",IF(LEN(IF(AND(Q94&lt;&gt;"",Q94&lt;SG_Criteria!$B$37),"FAIL: base stability FOS &lt; "&amp;SG_Criteria!$B$37&amp;". ","")&amp;IF(AND(D94="Manhole",G94&gt;SG_Criteria!$B$36),"NOTE: BCA lists sewer manholes (pipe &lt;= 2 m dia) &gt; 6 m as non-GBW: QP(ST) + AC. ","")&amp;IF(AND(C94="Trench Shoring Box",H94="Kallang Formation (marine clay)"),"NOTE: check base heave / ground loss for shoring box in marine clay. ","")&amp;IF(AND(C94="Steel Sheet Pile Cofferdam",N(M94)&lt;G94*0.5),"NOTE: short toe embedment, check. ",""))=0,"OK",IF(AND(Q94&lt;&gt;"",Q94&lt;SG_Criteria!$B$37),"FAIL: base stability FOS &lt; "&amp;SG_Criteria!$B$37&amp;". ","")&amp;IF(AND(D94="Manhole",G94&gt;SG_Criteria!$B$36),"NOTE: BCA lists sewer manholes (pipe &lt;= 2 m dia) &gt; 6 m as non-GBW: QP(ST) + AC. ","")&amp;IF(AND(C94="Trench Shoring Box",H94="Kallang Formation (marine clay)"),"NOTE: check base heave / ground loss for shoring box in marine clay. ","")&amp;IF(AND(C94="Steel Sheet Pile Cofferdam",N(M94)&lt;G94*0.5),"NOTE: short toe embedment, check. ","")))</f>
        <v/>
      </c>
      <c r="AO94" s="9"/>
      <c r="AP94" s="9"/>
      <c r="AQ94" s="9"/>
      <c r="AR94" s="9"/>
      <c r="AS94" s="9"/>
      <c r="AT94" s="31"/>
      <c r="AU94" s="10" t="str">
        <f aca="false">IF(C94="","",IF(AND(V94="Approved",ISERROR(SEARCH("FAIL",AN94))),"Y","N"))</f>
        <v/>
      </c>
      <c r="AV94" s="10" t="str">
        <f aca="false">IF(C94="","",C94&amp;"|"&amp;G94&amp;"|"&amp;E94&amp;"|"&amp;H94&amp;"|"&amp;AU94)</f>
        <v/>
      </c>
    </row>
    <row r="95" customFormat="false" ht="15" hidden="false" customHeight="false" outlineLevel="0" collapsed="false">
      <c r="A95" s="10" t="str">
        <f aca="false">IF(C95="","","ERSS-"&amp;IFERROR(VLOOKUP(C95,Lists!$AK$4:$AL$21,2,0),"??")&amp;"-"&amp;TEXT(E95,"0000")&amp;"x"&amp;TEXT(F95,"0000")&amp;"-D"&amp;TEXT(G95*1000,"0000")&amp;"-"&amp;IFERROR(VLOOKUP(H95,Lists!$Y$4:$Z$21,2,0),"??")&amp;"-"&amp;U95)</f>
        <v/>
      </c>
      <c r="B95" s="10" t="str">
        <f aca="false">IF(C95="","",C95&amp;" for "&amp;D95&amp;", "&amp;E95&amp;" x "&amp;F95&amp;" pit, "&amp;TEXT(G95,"0.0")&amp;" m deep, "&amp;H95)</f>
        <v/>
      </c>
      <c r="C95" s="9"/>
      <c r="D95" s="9"/>
      <c r="E95" s="40"/>
      <c r="F95" s="40"/>
      <c r="G95" s="43"/>
      <c r="H95" s="9"/>
      <c r="I95" s="43"/>
      <c r="J95" s="40"/>
      <c r="K95" s="9"/>
      <c r="L95" s="43"/>
      <c r="M95" s="43"/>
      <c r="N95" s="40"/>
      <c r="O95" s="9"/>
      <c r="P95" s="9"/>
      <c r="Q95" s="41"/>
      <c r="R95" s="9"/>
      <c r="S95" s="40"/>
      <c r="T95" s="9"/>
      <c r="U95" s="9"/>
      <c r="V95" s="9"/>
      <c r="W95" s="9"/>
      <c r="X95" s="9"/>
      <c r="Y95" s="9"/>
      <c r="Z95" s="10" t="str">
        <f aca="false">IF(A95="","",SG_Criteria!$B$6&amp;SG_Criteria!$B$11&amp;"\"&amp;A95&amp;"\")</f>
        <v/>
      </c>
      <c r="AA95" s="10" t="str">
        <f aca="false">IF(A95="","",A95&amp;"_CAD.dwg")</f>
        <v/>
      </c>
      <c r="AB95" s="10" t="str">
        <f aca="false">IF(A95="","",A95&amp;"_DWG.pdf")</f>
        <v/>
      </c>
      <c r="AC95" s="10" t="str">
        <f aca="false">IF(A95="","",IF(Y95="Y",A95&amp;"_STAAD.std","n/a"))</f>
        <v/>
      </c>
      <c r="AD95" s="10" t="str">
        <f aca="false">IF(A95="","",A95&amp;"_CALC.xlsx")</f>
        <v/>
      </c>
      <c r="AE95" s="10" t="str">
        <f aca="false">IF(A95="","",A95&amp;"_CALC.pdf")</f>
        <v/>
      </c>
      <c r="AF95" s="9"/>
      <c r="AG95" s="9"/>
      <c r="AH95" s="41"/>
      <c r="AI95" s="41"/>
      <c r="AJ95" s="41"/>
      <c r="AK95" s="41"/>
      <c r="AL95" s="41"/>
      <c r="AM95" s="38" t="str">
        <f aca="false">IF(OR(C95="",G95=""),"",IF(G95&lt;=IF(OR(C95="Soldier Pile &amp; Timber Lagging",C95="Trench Shoring Box",C95="Open Cut (battered)"),SG_Criteria!$B$34,SG_Criteria!$B$33),"No ERSS submission",IF(G95&lt;=SG_Criteria!$B$35,"QP(ST)",IF(G95&lt;=SG_Criteria!$B$36,"QP(ST) + AC","Geotechnical building works: QP(Geo) + AC"))))</f>
        <v/>
      </c>
      <c r="AN95" s="38" t="str">
        <f aca="false">IF(C95="","",IF(LEN(IF(AND(Q95&lt;&gt;"",Q95&lt;SG_Criteria!$B$37),"FAIL: base stability FOS &lt; "&amp;SG_Criteria!$B$37&amp;". ","")&amp;IF(AND(D95="Manhole",G95&gt;SG_Criteria!$B$36),"NOTE: BCA lists sewer manholes (pipe &lt;= 2 m dia) &gt; 6 m as non-GBW: QP(ST) + AC. ","")&amp;IF(AND(C95="Trench Shoring Box",H95="Kallang Formation (marine clay)"),"NOTE: check base heave / ground loss for shoring box in marine clay. ","")&amp;IF(AND(C95="Steel Sheet Pile Cofferdam",N(M95)&lt;G95*0.5),"NOTE: short toe embedment, check. ",""))=0,"OK",IF(AND(Q95&lt;&gt;"",Q95&lt;SG_Criteria!$B$37),"FAIL: base stability FOS &lt; "&amp;SG_Criteria!$B$37&amp;". ","")&amp;IF(AND(D95="Manhole",G95&gt;SG_Criteria!$B$36),"NOTE: BCA lists sewer manholes (pipe &lt;= 2 m dia) &gt; 6 m as non-GBW: QP(ST) + AC. ","")&amp;IF(AND(C95="Trench Shoring Box",H95="Kallang Formation (marine clay)"),"NOTE: check base heave / ground loss for shoring box in marine clay. ","")&amp;IF(AND(C95="Steel Sheet Pile Cofferdam",N(M95)&lt;G95*0.5),"NOTE: short toe embedment, check. ","")))</f>
        <v/>
      </c>
      <c r="AO95" s="9"/>
      <c r="AP95" s="9"/>
      <c r="AQ95" s="9"/>
      <c r="AR95" s="9"/>
      <c r="AS95" s="9"/>
      <c r="AT95" s="31"/>
      <c r="AU95" s="10" t="str">
        <f aca="false">IF(C95="","",IF(AND(V95="Approved",ISERROR(SEARCH("FAIL",AN95))),"Y","N"))</f>
        <v/>
      </c>
      <c r="AV95" s="10" t="str">
        <f aca="false">IF(C95="","",C95&amp;"|"&amp;G95&amp;"|"&amp;E95&amp;"|"&amp;H95&amp;"|"&amp;AU95)</f>
        <v/>
      </c>
    </row>
    <row r="96" customFormat="false" ht="15" hidden="false" customHeight="false" outlineLevel="0" collapsed="false">
      <c r="A96" s="10" t="str">
        <f aca="false">IF(C96="","","ERSS-"&amp;IFERROR(VLOOKUP(C96,Lists!$AK$4:$AL$21,2,0),"??")&amp;"-"&amp;TEXT(E96,"0000")&amp;"x"&amp;TEXT(F96,"0000")&amp;"-D"&amp;TEXT(G96*1000,"0000")&amp;"-"&amp;IFERROR(VLOOKUP(H96,Lists!$Y$4:$Z$21,2,0),"??")&amp;"-"&amp;U96)</f>
        <v/>
      </c>
      <c r="B96" s="10" t="str">
        <f aca="false">IF(C96="","",C96&amp;" for "&amp;D96&amp;", "&amp;E96&amp;" x "&amp;F96&amp;" pit, "&amp;TEXT(G96,"0.0")&amp;" m deep, "&amp;H96)</f>
        <v/>
      </c>
      <c r="C96" s="9"/>
      <c r="D96" s="9"/>
      <c r="E96" s="40"/>
      <c r="F96" s="40"/>
      <c r="G96" s="43"/>
      <c r="H96" s="9"/>
      <c r="I96" s="43"/>
      <c r="J96" s="40"/>
      <c r="K96" s="9"/>
      <c r="L96" s="43"/>
      <c r="M96" s="43"/>
      <c r="N96" s="40"/>
      <c r="O96" s="9"/>
      <c r="P96" s="9"/>
      <c r="Q96" s="41"/>
      <c r="R96" s="9"/>
      <c r="S96" s="40"/>
      <c r="T96" s="9"/>
      <c r="U96" s="9"/>
      <c r="V96" s="9"/>
      <c r="W96" s="9"/>
      <c r="X96" s="9"/>
      <c r="Y96" s="9"/>
      <c r="Z96" s="10" t="str">
        <f aca="false">IF(A96="","",SG_Criteria!$B$6&amp;SG_Criteria!$B$11&amp;"\"&amp;A96&amp;"\")</f>
        <v/>
      </c>
      <c r="AA96" s="10" t="str">
        <f aca="false">IF(A96="","",A96&amp;"_CAD.dwg")</f>
        <v/>
      </c>
      <c r="AB96" s="10" t="str">
        <f aca="false">IF(A96="","",A96&amp;"_DWG.pdf")</f>
        <v/>
      </c>
      <c r="AC96" s="10" t="str">
        <f aca="false">IF(A96="","",IF(Y96="Y",A96&amp;"_STAAD.std","n/a"))</f>
        <v/>
      </c>
      <c r="AD96" s="10" t="str">
        <f aca="false">IF(A96="","",A96&amp;"_CALC.xlsx")</f>
        <v/>
      </c>
      <c r="AE96" s="10" t="str">
        <f aca="false">IF(A96="","",A96&amp;"_CALC.pdf")</f>
        <v/>
      </c>
      <c r="AF96" s="9"/>
      <c r="AG96" s="9"/>
      <c r="AH96" s="41"/>
      <c r="AI96" s="41"/>
      <c r="AJ96" s="41"/>
      <c r="AK96" s="41"/>
      <c r="AL96" s="41"/>
      <c r="AM96" s="38" t="str">
        <f aca="false">IF(OR(C96="",G96=""),"",IF(G96&lt;=IF(OR(C96="Soldier Pile &amp; Timber Lagging",C96="Trench Shoring Box",C96="Open Cut (battered)"),SG_Criteria!$B$34,SG_Criteria!$B$33),"No ERSS submission",IF(G96&lt;=SG_Criteria!$B$35,"QP(ST)",IF(G96&lt;=SG_Criteria!$B$36,"QP(ST) + AC","Geotechnical building works: QP(Geo) + AC"))))</f>
        <v/>
      </c>
      <c r="AN96" s="38" t="str">
        <f aca="false">IF(C96="","",IF(LEN(IF(AND(Q96&lt;&gt;"",Q96&lt;SG_Criteria!$B$37),"FAIL: base stability FOS &lt; "&amp;SG_Criteria!$B$37&amp;". ","")&amp;IF(AND(D96="Manhole",G96&gt;SG_Criteria!$B$36),"NOTE: BCA lists sewer manholes (pipe &lt;= 2 m dia) &gt; 6 m as non-GBW: QP(ST) + AC. ","")&amp;IF(AND(C96="Trench Shoring Box",H96="Kallang Formation (marine clay)"),"NOTE: check base heave / ground loss for shoring box in marine clay. ","")&amp;IF(AND(C96="Steel Sheet Pile Cofferdam",N(M96)&lt;G96*0.5),"NOTE: short toe embedment, check. ",""))=0,"OK",IF(AND(Q96&lt;&gt;"",Q96&lt;SG_Criteria!$B$37),"FAIL: base stability FOS &lt; "&amp;SG_Criteria!$B$37&amp;". ","")&amp;IF(AND(D96="Manhole",G96&gt;SG_Criteria!$B$36),"NOTE: BCA lists sewer manholes (pipe &lt;= 2 m dia) &gt; 6 m as non-GBW: QP(ST) + AC. ","")&amp;IF(AND(C96="Trench Shoring Box",H96="Kallang Formation (marine clay)"),"NOTE: check base heave / ground loss for shoring box in marine clay. ","")&amp;IF(AND(C96="Steel Sheet Pile Cofferdam",N(M96)&lt;G96*0.5),"NOTE: short toe embedment, check. ","")))</f>
        <v/>
      </c>
      <c r="AO96" s="9"/>
      <c r="AP96" s="9"/>
      <c r="AQ96" s="9"/>
      <c r="AR96" s="9"/>
      <c r="AS96" s="9"/>
      <c r="AT96" s="31"/>
      <c r="AU96" s="10" t="str">
        <f aca="false">IF(C96="","",IF(AND(V96="Approved",ISERROR(SEARCH("FAIL",AN96))),"Y","N"))</f>
        <v/>
      </c>
      <c r="AV96" s="10" t="str">
        <f aca="false">IF(C96="","",C96&amp;"|"&amp;G96&amp;"|"&amp;E96&amp;"|"&amp;H96&amp;"|"&amp;AU96)</f>
        <v/>
      </c>
    </row>
    <row r="97" customFormat="false" ht="15" hidden="false" customHeight="false" outlineLevel="0" collapsed="false">
      <c r="A97" s="10" t="str">
        <f aca="false">IF(C97="","","ERSS-"&amp;IFERROR(VLOOKUP(C97,Lists!$AK$4:$AL$21,2,0),"??")&amp;"-"&amp;TEXT(E97,"0000")&amp;"x"&amp;TEXT(F97,"0000")&amp;"-D"&amp;TEXT(G97*1000,"0000")&amp;"-"&amp;IFERROR(VLOOKUP(H97,Lists!$Y$4:$Z$21,2,0),"??")&amp;"-"&amp;U97)</f>
        <v/>
      </c>
      <c r="B97" s="10" t="str">
        <f aca="false">IF(C97="","",C97&amp;" for "&amp;D97&amp;", "&amp;E97&amp;" x "&amp;F97&amp;" pit, "&amp;TEXT(G97,"0.0")&amp;" m deep, "&amp;H97)</f>
        <v/>
      </c>
      <c r="C97" s="9"/>
      <c r="D97" s="9"/>
      <c r="E97" s="40"/>
      <c r="F97" s="40"/>
      <c r="G97" s="43"/>
      <c r="H97" s="9"/>
      <c r="I97" s="43"/>
      <c r="J97" s="40"/>
      <c r="K97" s="9"/>
      <c r="L97" s="43"/>
      <c r="M97" s="43"/>
      <c r="N97" s="40"/>
      <c r="O97" s="9"/>
      <c r="P97" s="9"/>
      <c r="Q97" s="41"/>
      <c r="R97" s="9"/>
      <c r="S97" s="40"/>
      <c r="T97" s="9"/>
      <c r="U97" s="9"/>
      <c r="V97" s="9"/>
      <c r="W97" s="9"/>
      <c r="X97" s="9"/>
      <c r="Y97" s="9"/>
      <c r="Z97" s="10" t="str">
        <f aca="false">IF(A97="","",SG_Criteria!$B$6&amp;SG_Criteria!$B$11&amp;"\"&amp;A97&amp;"\")</f>
        <v/>
      </c>
      <c r="AA97" s="10" t="str">
        <f aca="false">IF(A97="","",A97&amp;"_CAD.dwg")</f>
        <v/>
      </c>
      <c r="AB97" s="10" t="str">
        <f aca="false">IF(A97="","",A97&amp;"_DWG.pdf")</f>
        <v/>
      </c>
      <c r="AC97" s="10" t="str">
        <f aca="false">IF(A97="","",IF(Y97="Y",A97&amp;"_STAAD.std","n/a"))</f>
        <v/>
      </c>
      <c r="AD97" s="10" t="str">
        <f aca="false">IF(A97="","",A97&amp;"_CALC.xlsx")</f>
        <v/>
      </c>
      <c r="AE97" s="10" t="str">
        <f aca="false">IF(A97="","",A97&amp;"_CALC.pdf")</f>
        <v/>
      </c>
      <c r="AF97" s="9"/>
      <c r="AG97" s="9"/>
      <c r="AH97" s="41"/>
      <c r="AI97" s="41"/>
      <c r="AJ97" s="41"/>
      <c r="AK97" s="41"/>
      <c r="AL97" s="41"/>
      <c r="AM97" s="38" t="str">
        <f aca="false">IF(OR(C97="",G97=""),"",IF(G97&lt;=IF(OR(C97="Soldier Pile &amp; Timber Lagging",C97="Trench Shoring Box",C97="Open Cut (battered)"),SG_Criteria!$B$34,SG_Criteria!$B$33),"No ERSS submission",IF(G97&lt;=SG_Criteria!$B$35,"QP(ST)",IF(G97&lt;=SG_Criteria!$B$36,"QP(ST) + AC","Geotechnical building works: QP(Geo) + AC"))))</f>
        <v/>
      </c>
      <c r="AN97" s="38" t="str">
        <f aca="false">IF(C97="","",IF(LEN(IF(AND(Q97&lt;&gt;"",Q97&lt;SG_Criteria!$B$37),"FAIL: base stability FOS &lt; "&amp;SG_Criteria!$B$37&amp;". ","")&amp;IF(AND(D97="Manhole",G97&gt;SG_Criteria!$B$36),"NOTE: BCA lists sewer manholes (pipe &lt;= 2 m dia) &gt; 6 m as non-GBW: QP(ST) + AC. ","")&amp;IF(AND(C97="Trench Shoring Box",H97="Kallang Formation (marine clay)"),"NOTE: check base heave / ground loss for shoring box in marine clay. ","")&amp;IF(AND(C97="Steel Sheet Pile Cofferdam",N(M97)&lt;G97*0.5),"NOTE: short toe embedment, check. ",""))=0,"OK",IF(AND(Q97&lt;&gt;"",Q97&lt;SG_Criteria!$B$37),"FAIL: base stability FOS &lt; "&amp;SG_Criteria!$B$37&amp;". ","")&amp;IF(AND(D97="Manhole",G97&gt;SG_Criteria!$B$36),"NOTE: BCA lists sewer manholes (pipe &lt;= 2 m dia) &gt; 6 m as non-GBW: QP(ST) + AC. ","")&amp;IF(AND(C97="Trench Shoring Box",H97="Kallang Formation (marine clay)"),"NOTE: check base heave / ground loss for shoring box in marine clay. ","")&amp;IF(AND(C97="Steel Sheet Pile Cofferdam",N(M97)&lt;G97*0.5),"NOTE: short toe embedment, check. ","")))</f>
        <v/>
      </c>
      <c r="AO97" s="9"/>
      <c r="AP97" s="9"/>
      <c r="AQ97" s="9"/>
      <c r="AR97" s="9"/>
      <c r="AS97" s="9"/>
      <c r="AT97" s="31"/>
      <c r="AU97" s="10" t="str">
        <f aca="false">IF(C97="","",IF(AND(V97="Approved",ISERROR(SEARCH("FAIL",AN97))),"Y","N"))</f>
        <v/>
      </c>
      <c r="AV97" s="10" t="str">
        <f aca="false">IF(C97="","",C97&amp;"|"&amp;G97&amp;"|"&amp;E97&amp;"|"&amp;H97&amp;"|"&amp;AU97)</f>
        <v/>
      </c>
    </row>
    <row r="98" customFormat="false" ht="15" hidden="false" customHeight="false" outlineLevel="0" collapsed="false">
      <c r="A98" s="10" t="str">
        <f aca="false">IF(C98="","","ERSS-"&amp;IFERROR(VLOOKUP(C98,Lists!$AK$4:$AL$21,2,0),"??")&amp;"-"&amp;TEXT(E98,"0000")&amp;"x"&amp;TEXT(F98,"0000")&amp;"-D"&amp;TEXT(G98*1000,"0000")&amp;"-"&amp;IFERROR(VLOOKUP(H98,Lists!$Y$4:$Z$21,2,0),"??")&amp;"-"&amp;U98)</f>
        <v/>
      </c>
      <c r="B98" s="10" t="str">
        <f aca="false">IF(C98="","",C98&amp;" for "&amp;D98&amp;", "&amp;E98&amp;" x "&amp;F98&amp;" pit, "&amp;TEXT(G98,"0.0")&amp;" m deep, "&amp;H98)</f>
        <v/>
      </c>
      <c r="C98" s="9"/>
      <c r="D98" s="9"/>
      <c r="E98" s="40"/>
      <c r="F98" s="40"/>
      <c r="G98" s="43"/>
      <c r="H98" s="9"/>
      <c r="I98" s="43"/>
      <c r="J98" s="40"/>
      <c r="K98" s="9"/>
      <c r="L98" s="43"/>
      <c r="M98" s="43"/>
      <c r="N98" s="40"/>
      <c r="O98" s="9"/>
      <c r="P98" s="9"/>
      <c r="Q98" s="41"/>
      <c r="R98" s="9"/>
      <c r="S98" s="40"/>
      <c r="T98" s="9"/>
      <c r="U98" s="9"/>
      <c r="V98" s="9"/>
      <c r="W98" s="9"/>
      <c r="X98" s="9"/>
      <c r="Y98" s="9"/>
      <c r="Z98" s="10" t="str">
        <f aca="false">IF(A98="","",SG_Criteria!$B$6&amp;SG_Criteria!$B$11&amp;"\"&amp;A98&amp;"\")</f>
        <v/>
      </c>
      <c r="AA98" s="10" t="str">
        <f aca="false">IF(A98="","",A98&amp;"_CAD.dwg")</f>
        <v/>
      </c>
      <c r="AB98" s="10" t="str">
        <f aca="false">IF(A98="","",A98&amp;"_DWG.pdf")</f>
        <v/>
      </c>
      <c r="AC98" s="10" t="str">
        <f aca="false">IF(A98="","",IF(Y98="Y",A98&amp;"_STAAD.std","n/a"))</f>
        <v/>
      </c>
      <c r="AD98" s="10" t="str">
        <f aca="false">IF(A98="","",A98&amp;"_CALC.xlsx")</f>
        <v/>
      </c>
      <c r="AE98" s="10" t="str">
        <f aca="false">IF(A98="","",A98&amp;"_CALC.pdf")</f>
        <v/>
      </c>
      <c r="AF98" s="9"/>
      <c r="AG98" s="9"/>
      <c r="AH98" s="41"/>
      <c r="AI98" s="41"/>
      <c r="AJ98" s="41"/>
      <c r="AK98" s="41"/>
      <c r="AL98" s="41"/>
      <c r="AM98" s="38" t="str">
        <f aca="false">IF(OR(C98="",G98=""),"",IF(G98&lt;=IF(OR(C98="Soldier Pile &amp; Timber Lagging",C98="Trench Shoring Box",C98="Open Cut (battered)"),SG_Criteria!$B$34,SG_Criteria!$B$33),"No ERSS submission",IF(G98&lt;=SG_Criteria!$B$35,"QP(ST)",IF(G98&lt;=SG_Criteria!$B$36,"QP(ST) + AC","Geotechnical building works: QP(Geo) + AC"))))</f>
        <v/>
      </c>
      <c r="AN98" s="38" t="str">
        <f aca="false">IF(C98="","",IF(LEN(IF(AND(Q98&lt;&gt;"",Q98&lt;SG_Criteria!$B$37),"FAIL: base stability FOS &lt; "&amp;SG_Criteria!$B$37&amp;". ","")&amp;IF(AND(D98="Manhole",G98&gt;SG_Criteria!$B$36),"NOTE: BCA lists sewer manholes (pipe &lt;= 2 m dia) &gt; 6 m as non-GBW: QP(ST) + AC. ","")&amp;IF(AND(C98="Trench Shoring Box",H98="Kallang Formation (marine clay)"),"NOTE: check base heave / ground loss for shoring box in marine clay. ","")&amp;IF(AND(C98="Steel Sheet Pile Cofferdam",N(M98)&lt;G98*0.5),"NOTE: short toe embedment, check. ",""))=0,"OK",IF(AND(Q98&lt;&gt;"",Q98&lt;SG_Criteria!$B$37),"FAIL: base stability FOS &lt; "&amp;SG_Criteria!$B$37&amp;". ","")&amp;IF(AND(D98="Manhole",G98&gt;SG_Criteria!$B$36),"NOTE: BCA lists sewer manholes (pipe &lt;= 2 m dia) &gt; 6 m as non-GBW: QP(ST) + AC. ","")&amp;IF(AND(C98="Trench Shoring Box",H98="Kallang Formation (marine clay)"),"NOTE: check base heave / ground loss for shoring box in marine clay. ","")&amp;IF(AND(C98="Steel Sheet Pile Cofferdam",N(M98)&lt;G98*0.5),"NOTE: short toe embedment, check. ","")))</f>
        <v/>
      </c>
      <c r="AO98" s="9"/>
      <c r="AP98" s="9"/>
      <c r="AQ98" s="9"/>
      <c r="AR98" s="9"/>
      <c r="AS98" s="9"/>
      <c r="AT98" s="31"/>
      <c r="AU98" s="10" t="str">
        <f aca="false">IF(C98="","",IF(AND(V98="Approved",ISERROR(SEARCH("FAIL",AN98))),"Y","N"))</f>
        <v/>
      </c>
      <c r="AV98" s="10" t="str">
        <f aca="false">IF(C98="","",C98&amp;"|"&amp;G98&amp;"|"&amp;E98&amp;"|"&amp;H98&amp;"|"&amp;AU98)</f>
        <v/>
      </c>
    </row>
    <row r="99" customFormat="false" ht="15" hidden="false" customHeight="false" outlineLevel="0" collapsed="false">
      <c r="A99" s="10" t="str">
        <f aca="false">IF(C99="","","ERSS-"&amp;IFERROR(VLOOKUP(C99,Lists!$AK$4:$AL$21,2,0),"??")&amp;"-"&amp;TEXT(E99,"0000")&amp;"x"&amp;TEXT(F99,"0000")&amp;"-D"&amp;TEXT(G99*1000,"0000")&amp;"-"&amp;IFERROR(VLOOKUP(H99,Lists!$Y$4:$Z$21,2,0),"??")&amp;"-"&amp;U99)</f>
        <v/>
      </c>
      <c r="B99" s="10" t="str">
        <f aca="false">IF(C99="","",C99&amp;" for "&amp;D99&amp;", "&amp;E99&amp;" x "&amp;F99&amp;" pit, "&amp;TEXT(G99,"0.0")&amp;" m deep, "&amp;H99)</f>
        <v/>
      </c>
      <c r="C99" s="9"/>
      <c r="D99" s="9"/>
      <c r="E99" s="40"/>
      <c r="F99" s="40"/>
      <c r="G99" s="43"/>
      <c r="H99" s="9"/>
      <c r="I99" s="43"/>
      <c r="J99" s="40"/>
      <c r="K99" s="9"/>
      <c r="L99" s="43"/>
      <c r="M99" s="43"/>
      <c r="N99" s="40"/>
      <c r="O99" s="9"/>
      <c r="P99" s="9"/>
      <c r="Q99" s="41"/>
      <c r="R99" s="9"/>
      <c r="S99" s="40"/>
      <c r="T99" s="9"/>
      <c r="U99" s="9"/>
      <c r="V99" s="9"/>
      <c r="W99" s="9"/>
      <c r="X99" s="9"/>
      <c r="Y99" s="9"/>
      <c r="Z99" s="10" t="str">
        <f aca="false">IF(A99="","",SG_Criteria!$B$6&amp;SG_Criteria!$B$11&amp;"\"&amp;A99&amp;"\")</f>
        <v/>
      </c>
      <c r="AA99" s="10" t="str">
        <f aca="false">IF(A99="","",A99&amp;"_CAD.dwg")</f>
        <v/>
      </c>
      <c r="AB99" s="10" t="str">
        <f aca="false">IF(A99="","",A99&amp;"_DWG.pdf")</f>
        <v/>
      </c>
      <c r="AC99" s="10" t="str">
        <f aca="false">IF(A99="","",IF(Y99="Y",A99&amp;"_STAAD.std","n/a"))</f>
        <v/>
      </c>
      <c r="AD99" s="10" t="str">
        <f aca="false">IF(A99="","",A99&amp;"_CALC.xlsx")</f>
        <v/>
      </c>
      <c r="AE99" s="10" t="str">
        <f aca="false">IF(A99="","",A99&amp;"_CALC.pdf")</f>
        <v/>
      </c>
      <c r="AF99" s="9"/>
      <c r="AG99" s="9"/>
      <c r="AH99" s="41"/>
      <c r="AI99" s="41"/>
      <c r="AJ99" s="41"/>
      <c r="AK99" s="41"/>
      <c r="AL99" s="41"/>
      <c r="AM99" s="38" t="str">
        <f aca="false">IF(OR(C99="",G99=""),"",IF(G99&lt;=IF(OR(C99="Soldier Pile &amp; Timber Lagging",C99="Trench Shoring Box",C99="Open Cut (battered)"),SG_Criteria!$B$34,SG_Criteria!$B$33),"No ERSS submission",IF(G99&lt;=SG_Criteria!$B$35,"QP(ST)",IF(G99&lt;=SG_Criteria!$B$36,"QP(ST) + AC","Geotechnical building works: QP(Geo) + AC"))))</f>
        <v/>
      </c>
      <c r="AN99" s="38" t="str">
        <f aca="false">IF(C99="","",IF(LEN(IF(AND(Q99&lt;&gt;"",Q99&lt;SG_Criteria!$B$37),"FAIL: base stability FOS &lt; "&amp;SG_Criteria!$B$37&amp;". ","")&amp;IF(AND(D99="Manhole",G99&gt;SG_Criteria!$B$36),"NOTE: BCA lists sewer manholes (pipe &lt;= 2 m dia) &gt; 6 m as non-GBW: QP(ST) + AC. ","")&amp;IF(AND(C99="Trench Shoring Box",H99="Kallang Formation (marine clay)"),"NOTE: check base heave / ground loss for shoring box in marine clay. ","")&amp;IF(AND(C99="Steel Sheet Pile Cofferdam",N(M99)&lt;G99*0.5),"NOTE: short toe embedment, check. ",""))=0,"OK",IF(AND(Q99&lt;&gt;"",Q99&lt;SG_Criteria!$B$37),"FAIL: base stability FOS &lt; "&amp;SG_Criteria!$B$37&amp;". ","")&amp;IF(AND(D99="Manhole",G99&gt;SG_Criteria!$B$36),"NOTE: BCA lists sewer manholes (pipe &lt;= 2 m dia) &gt; 6 m as non-GBW: QP(ST) + AC. ","")&amp;IF(AND(C99="Trench Shoring Box",H99="Kallang Formation (marine clay)"),"NOTE: check base heave / ground loss for shoring box in marine clay. ","")&amp;IF(AND(C99="Steel Sheet Pile Cofferdam",N(M99)&lt;G99*0.5),"NOTE: short toe embedment, check. ","")))</f>
        <v/>
      </c>
      <c r="AO99" s="9"/>
      <c r="AP99" s="9"/>
      <c r="AQ99" s="9"/>
      <c r="AR99" s="9"/>
      <c r="AS99" s="9"/>
      <c r="AT99" s="31"/>
      <c r="AU99" s="10" t="str">
        <f aca="false">IF(C99="","",IF(AND(V99="Approved",ISERROR(SEARCH("FAIL",AN99))),"Y","N"))</f>
        <v/>
      </c>
      <c r="AV99" s="10" t="str">
        <f aca="false">IF(C99="","",C99&amp;"|"&amp;G99&amp;"|"&amp;E99&amp;"|"&amp;H99&amp;"|"&amp;AU99)</f>
        <v/>
      </c>
    </row>
    <row r="100" customFormat="false" ht="15" hidden="false" customHeight="false" outlineLevel="0" collapsed="false">
      <c r="A100" s="10" t="str">
        <f aca="false">IF(C100="","","ERSS-"&amp;IFERROR(VLOOKUP(C100,Lists!$AK$4:$AL$21,2,0),"??")&amp;"-"&amp;TEXT(E100,"0000")&amp;"x"&amp;TEXT(F100,"0000")&amp;"-D"&amp;TEXT(G100*1000,"0000")&amp;"-"&amp;IFERROR(VLOOKUP(H100,Lists!$Y$4:$Z$21,2,0),"??")&amp;"-"&amp;U100)</f>
        <v/>
      </c>
      <c r="B100" s="10" t="str">
        <f aca="false">IF(C100="","",C100&amp;" for "&amp;D100&amp;", "&amp;E100&amp;" x "&amp;F100&amp;" pit, "&amp;TEXT(G100,"0.0")&amp;" m deep, "&amp;H100)</f>
        <v/>
      </c>
      <c r="C100" s="9"/>
      <c r="D100" s="9"/>
      <c r="E100" s="40"/>
      <c r="F100" s="40"/>
      <c r="G100" s="43"/>
      <c r="H100" s="9"/>
      <c r="I100" s="43"/>
      <c r="J100" s="40"/>
      <c r="K100" s="9"/>
      <c r="L100" s="43"/>
      <c r="M100" s="43"/>
      <c r="N100" s="40"/>
      <c r="O100" s="9"/>
      <c r="P100" s="9"/>
      <c r="Q100" s="41"/>
      <c r="R100" s="9"/>
      <c r="S100" s="40"/>
      <c r="T100" s="9"/>
      <c r="U100" s="9"/>
      <c r="V100" s="9"/>
      <c r="W100" s="9"/>
      <c r="X100" s="9"/>
      <c r="Y100" s="9"/>
      <c r="Z100" s="10" t="str">
        <f aca="false">IF(A100="","",SG_Criteria!$B$6&amp;SG_Criteria!$B$11&amp;"\"&amp;A100&amp;"\")</f>
        <v/>
      </c>
      <c r="AA100" s="10" t="str">
        <f aca="false">IF(A100="","",A100&amp;"_CAD.dwg")</f>
        <v/>
      </c>
      <c r="AB100" s="10" t="str">
        <f aca="false">IF(A100="","",A100&amp;"_DWG.pdf")</f>
        <v/>
      </c>
      <c r="AC100" s="10" t="str">
        <f aca="false">IF(A100="","",IF(Y100="Y",A100&amp;"_STAAD.std","n/a"))</f>
        <v/>
      </c>
      <c r="AD100" s="10" t="str">
        <f aca="false">IF(A100="","",A100&amp;"_CALC.xlsx")</f>
        <v/>
      </c>
      <c r="AE100" s="10" t="str">
        <f aca="false">IF(A100="","",A100&amp;"_CALC.pdf")</f>
        <v/>
      </c>
      <c r="AF100" s="9"/>
      <c r="AG100" s="9"/>
      <c r="AH100" s="41"/>
      <c r="AI100" s="41"/>
      <c r="AJ100" s="41"/>
      <c r="AK100" s="41"/>
      <c r="AL100" s="41"/>
      <c r="AM100" s="38" t="str">
        <f aca="false">IF(OR(C100="",G100=""),"",IF(G100&lt;=IF(OR(C100="Soldier Pile &amp; Timber Lagging",C100="Trench Shoring Box",C100="Open Cut (battered)"),SG_Criteria!$B$34,SG_Criteria!$B$33),"No ERSS submission",IF(G100&lt;=SG_Criteria!$B$35,"QP(ST)",IF(G100&lt;=SG_Criteria!$B$36,"QP(ST) + AC","Geotechnical building works: QP(Geo) + AC"))))</f>
        <v/>
      </c>
      <c r="AN100" s="38" t="str">
        <f aca="false">IF(C100="","",IF(LEN(IF(AND(Q100&lt;&gt;"",Q100&lt;SG_Criteria!$B$37),"FAIL: base stability FOS &lt; "&amp;SG_Criteria!$B$37&amp;". ","")&amp;IF(AND(D100="Manhole",G100&gt;SG_Criteria!$B$36),"NOTE: BCA lists sewer manholes (pipe &lt;= 2 m dia) &gt; 6 m as non-GBW: QP(ST) + AC. ","")&amp;IF(AND(C100="Trench Shoring Box",H100="Kallang Formation (marine clay)"),"NOTE: check base heave / ground loss for shoring box in marine clay. ","")&amp;IF(AND(C100="Steel Sheet Pile Cofferdam",N(M100)&lt;G100*0.5),"NOTE: short toe embedment, check. ",""))=0,"OK",IF(AND(Q100&lt;&gt;"",Q100&lt;SG_Criteria!$B$37),"FAIL: base stability FOS &lt; "&amp;SG_Criteria!$B$37&amp;". ","")&amp;IF(AND(D100="Manhole",G100&gt;SG_Criteria!$B$36),"NOTE: BCA lists sewer manholes (pipe &lt;= 2 m dia) &gt; 6 m as non-GBW: QP(ST) + AC. ","")&amp;IF(AND(C100="Trench Shoring Box",H100="Kallang Formation (marine clay)"),"NOTE: check base heave / ground loss for shoring box in marine clay. ","")&amp;IF(AND(C100="Steel Sheet Pile Cofferdam",N(M100)&lt;G100*0.5),"NOTE: short toe embedment, check. ","")))</f>
        <v/>
      </c>
      <c r="AO100" s="9"/>
      <c r="AP100" s="9"/>
      <c r="AQ100" s="9"/>
      <c r="AR100" s="9"/>
      <c r="AS100" s="9"/>
      <c r="AT100" s="31"/>
      <c r="AU100" s="10" t="str">
        <f aca="false">IF(C100="","",IF(AND(V100="Approved",ISERROR(SEARCH("FAIL",AN100))),"Y","N"))</f>
        <v/>
      </c>
      <c r="AV100" s="10" t="str">
        <f aca="false">IF(C100="","",C100&amp;"|"&amp;G100&amp;"|"&amp;E100&amp;"|"&amp;H100&amp;"|"&amp;AU100)</f>
        <v/>
      </c>
    </row>
    <row r="101" customFormat="false" ht="15" hidden="false" customHeight="false" outlineLevel="0" collapsed="false">
      <c r="A101" s="10" t="str">
        <f aca="false">IF(C101="","","ERSS-"&amp;IFERROR(VLOOKUP(C101,Lists!$AK$4:$AL$21,2,0),"??")&amp;"-"&amp;TEXT(E101,"0000")&amp;"x"&amp;TEXT(F101,"0000")&amp;"-D"&amp;TEXT(G101*1000,"0000")&amp;"-"&amp;IFERROR(VLOOKUP(H101,Lists!$Y$4:$Z$21,2,0),"??")&amp;"-"&amp;U101)</f>
        <v/>
      </c>
      <c r="B101" s="10" t="str">
        <f aca="false">IF(C101="","",C101&amp;" for "&amp;D101&amp;", "&amp;E101&amp;" x "&amp;F101&amp;" pit, "&amp;TEXT(G101,"0.0")&amp;" m deep, "&amp;H101)</f>
        <v/>
      </c>
      <c r="C101" s="9"/>
      <c r="D101" s="9"/>
      <c r="E101" s="40"/>
      <c r="F101" s="40"/>
      <c r="G101" s="43"/>
      <c r="H101" s="9"/>
      <c r="I101" s="43"/>
      <c r="J101" s="40"/>
      <c r="K101" s="9"/>
      <c r="L101" s="43"/>
      <c r="M101" s="43"/>
      <c r="N101" s="40"/>
      <c r="O101" s="9"/>
      <c r="P101" s="9"/>
      <c r="Q101" s="41"/>
      <c r="R101" s="9"/>
      <c r="S101" s="40"/>
      <c r="T101" s="9"/>
      <c r="U101" s="9"/>
      <c r="V101" s="9"/>
      <c r="W101" s="9"/>
      <c r="X101" s="9"/>
      <c r="Y101" s="9"/>
      <c r="Z101" s="10" t="str">
        <f aca="false">IF(A101="","",SG_Criteria!$B$6&amp;SG_Criteria!$B$11&amp;"\"&amp;A101&amp;"\")</f>
        <v/>
      </c>
      <c r="AA101" s="10" t="str">
        <f aca="false">IF(A101="","",A101&amp;"_CAD.dwg")</f>
        <v/>
      </c>
      <c r="AB101" s="10" t="str">
        <f aca="false">IF(A101="","",A101&amp;"_DWG.pdf")</f>
        <v/>
      </c>
      <c r="AC101" s="10" t="str">
        <f aca="false">IF(A101="","",IF(Y101="Y",A101&amp;"_STAAD.std","n/a"))</f>
        <v/>
      </c>
      <c r="AD101" s="10" t="str">
        <f aca="false">IF(A101="","",A101&amp;"_CALC.xlsx")</f>
        <v/>
      </c>
      <c r="AE101" s="10" t="str">
        <f aca="false">IF(A101="","",A101&amp;"_CALC.pdf")</f>
        <v/>
      </c>
      <c r="AF101" s="9"/>
      <c r="AG101" s="9"/>
      <c r="AH101" s="41"/>
      <c r="AI101" s="41"/>
      <c r="AJ101" s="41"/>
      <c r="AK101" s="41"/>
      <c r="AL101" s="41"/>
      <c r="AM101" s="38" t="str">
        <f aca="false">IF(OR(C101="",G101=""),"",IF(G101&lt;=IF(OR(C101="Soldier Pile &amp; Timber Lagging",C101="Trench Shoring Box",C101="Open Cut (battered)"),SG_Criteria!$B$34,SG_Criteria!$B$33),"No ERSS submission",IF(G101&lt;=SG_Criteria!$B$35,"QP(ST)",IF(G101&lt;=SG_Criteria!$B$36,"QP(ST) + AC","Geotechnical building works: QP(Geo) + AC"))))</f>
        <v/>
      </c>
      <c r="AN101" s="38" t="str">
        <f aca="false">IF(C101="","",IF(LEN(IF(AND(Q101&lt;&gt;"",Q101&lt;SG_Criteria!$B$37),"FAIL: base stability FOS &lt; "&amp;SG_Criteria!$B$37&amp;". ","")&amp;IF(AND(D101="Manhole",G101&gt;SG_Criteria!$B$36),"NOTE: BCA lists sewer manholes (pipe &lt;= 2 m dia) &gt; 6 m as non-GBW: QP(ST) + AC. ","")&amp;IF(AND(C101="Trench Shoring Box",H101="Kallang Formation (marine clay)"),"NOTE: check base heave / ground loss for shoring box in marine clay. ","")&amp;IF(AND(C101="Steel Sheet Pile Cofferdam",N(M101)&lt;G101*0.5),"NOTE: short toe embedment, check. ",""))=0,"OK",IF(AND(Q101&lt;&gt;"",Q101&lt;SG_Criteria!$B$37),"FAIL: base stability FOS &lt; "&amp;SG_Criteria!$B$37&amp;". ","")&amp;IF(AND(D101="Manhole",G101&gt;SG_Criteria!$B$36),"NOTE: BCA lists sewer manholes (pipe &lt;= 2 m dia) &gt; 6 m as non-GBW: QP(ST) + AC. ","")&amp;IF(AND(C101="Trench Shoring Box",H101="Kallang Formation (marine clay)"),"NOTE: check base heave / ground loss for shoring box in marine clay. ","")&amp;IF(AND(C101="Steel Sheet Pile Cofferdam",N(M101)&lt;G101*0.5),"NOTE: short toe embedment, check. ","")))</f>
        <v/>
      </c>
      <c r="AO101" s="9"/>
      <c r="AP101" s="9"/>
      <c r="AQ101" s="9"/>
      <c r="AR101" s="9"/>
      <c r="AS101" s="9"/>
      <c r="AT101" s="31"/>
      <c r="AU101" s="10" t="str">
        <f aca="false">IF(C101="","",IF(AND(V101="Approved",ISERROR(SEARCH("FAIL",AN101))),"Y","N"))</f>
        <v/>
      </c>
      <c r="AV101" s="10" t="str">
        <f aca="false">IF(C101="","",C101&amp;"|"&amp;G101&amp;"|"&amp;E101&amp;"|"&amp;H101&amp;"|"&amp;AU101)</f>
        <v/>
      </c>
    </row>
    <row r="102" customFormat="false" ht="15" hidden="false" customHeight="false" outlineLevel="0" collapsed="false">
      <c r="A102" s="10" t="str">
        <f aca="false">IF(C102="","","ERSS-"&amp;IFERROR(VLOOKUP(C102,Lists!$AK$4:$AL$21,2,0),"??")&amp;"-"&amp;TEXT(E102,"0000")&amp;"x"&amp;TEXT(F102,"0000")&amp;"-D"&amp;TEXT(G102*1000,"0000")&amp;"-"&amp;IFERROR(VLOOKUP(H102,Lists!$Y$4:$Z$21,2,0),"??")&amp;"-"&amp;U102)</f>
        <v/>
      </c>
      <c r="B102" s="10" t="str">
        <f aca="false">IF(C102="","",C102&amp;" for "&amp;D102&amp;", "&amp;E102&amp;" x "&amp;F102&amp;" pit, "&amp;TEXT(G102,"0.0")&amp;" m deep, "&amp;H102)</f>
        <v/>
      </c>
      <c r="C102" s="9"/>
      <c r="D102" s="9"/>
      <c r="E102" s="40"/>
      <c r="F102" s="40"/>
      <c r="G102" s="43"/>
      <c r="H102" s="9"/>
      <c r="I102" s="43"/>
      <c r="J102" s="40"/>
      <c r="K102" s="9"/>
      <c r="L102" s="43"/>
      <c r="M102" s="43"/>
      <c r="N102" s="40"/>
      <c r="O102" s="9"/>
      <c r="P102" s="9"/>
      <c r="Q102" s="41"/>
      <c r="R102" s="9"/>
      <c r="S102" s="40"/>
      <c r="T102" s="9"/>
      <c r="U102" s="9"/>
      <c r="V102" s="9"/>
      <c r="W102" s="9"/>
      <c r="X102" s="9"/>
      <c r="Y102" s="9"/>
      <c r="Z102" s="10" t="str">
        <f aca="false">IF(A102="","",SG_Criteria!$B$6&amp;SG_Criteria!$B$11&amp;"\"&amp;A102&amp;"\")</f>
        <v/>
      </c>
      <c r="AA102" s="10" t="str">
        <f aca="false">IF(A102="","",A102&amp;"_CAD.dwg")</f>
        <v/>
      </c>
      <c r="AB102" s="10" t="str">
        <f aca="false">IF(A102="","",A102&amp;"_DWG.pdf")</f>
        <v/>
      </c>
      <c r="AC102" s="10" t="str">
        <f aca="false">IF(A102="","",IF(Y102="Y",A102&amp;"_STAAD.std","n/a"))</f>
        <v/>
      </c>
      <c r="AD102" s="10" t="str">
        <f aca="false">IF(A102="","",A102&amp;"_CALC.xlsx")</f>
        <v/>
      </c>
      <c r="AE102" s="10" t="str">
        <f aca="false">IF(A102="","",A102&amp;"_CALC.pdf")</f>
        <v/>
      </c>
      <c r="AF102" s="9"/>
      <c r="AG102" s="9"/>
      <c r="AH102" s="41"/>
      <c r="AI102" s="41"/>
      <c r="AJ102" s="41"/>
      <c r="AK102" s="41"/>
      <c r="AL102" s="41"/>
      <c r="AM102" s="38" t="str">
        <f aca="false">IF(OR(C102="",G102=""),"",IF(G102&lt;=IF(OR(C102="Soldier Pile &amp; Timber Lagging",C102="Trench Shoring Box",C102="Open Cut (battered)"),SG_Criteria!$B$34,SG_Criteria!$B$33),"No ERSS submission",IF(G102&lt;=SG_Criteria!$B$35,"QP(ST)",IF(G102&lt;=SG_Criteria!$B$36,"QP(ST) + AC","Geotechnical building works: QP(Geo) + AC"))))</f>
        <v/>
      </c>
      <c r="AN102" s="38" t="str">
        <f aca="false">IF(C102="","",IF(LEN(IF(AND(Q102&lt;&gt;"",Q102&lt;SG_Criteria!$B$37),"FAIL: base stability FOS &lt; "&amp;SG_Criteria!$B$37&amp;". ","")&amp;IF(AND(D102="Manhole",G102&gt;SG_Criteria!$B$36),"NOTE: BCA lists sewer manholes (pipe &lt;= 2 m dia) &gt; 6 m as non-GBW: QP(ST) + AC. ","")&amp;IF(AND(C102="Trench Shoring Box",H102="Kallang Formation (marine clay)"),"NOTE: check base heave / ground loss for shoring box in marine clay. ","")&amp;IF(AND(C102="Steel Sheet Pile Cofferdam",N(M102)&lt;G102*0.5),"NOTE: short toe embedment, check. ",""))=0,"OK",IF(AND(Q102&lt;&gt;"",Q102&lt;SG_Criteria!$B$37),"FAIL: base stability FOS &lt; "&amp;SG_Criteria!$B$37&amp;". ","")&amp;IF(AND(D102="Manhole",G102&gt;SG_Criteria!$B$36),"NOTE: BCA lists sewer manholes (pipe &lt;= 2 m dia) &gt; 6 m as non-GBW: QP(ST) + AC. ","")&amp;IF(AND(C102="Trench Shoring Box",H102="Kallang Formation (marine clay)"),"NOTE: check base heave / ground loss for shoring box in marine clay. ","")&amp;IF(AND(C102="Steel Sheet Pile Cofferdam",N(M102)&lt;G102*0.5),"NOTE: short toe embedment, check. ","")))</f>
        <v/>
      </c>
      <c r="AO102" s="9"/>
      <c r="AP102" s="9"/>
      <c r="AQ102" s="9"/>
      <c r="AR102" s="9"/>
      <c r="AS102" s="9"/>
      <c r="AT102" s="31"/>
      <c r="AU102" s="10" t="str">
        <f aca="false">IF(C102="","",IF(AND(V102="Approved",ISERROR(SEARCH("FAIL",AN102))),"Y","N"))</f>
        <v/>
      </c>
      <c r="AV102" s="10" t="str">
        <f aca="false">IF(C102="","",C102&amp;"|"&amp;G102&amp;"|"&amp;E102&amp;"|"&amp;H102&amp;"|"&amp;AU102)</f>
        <v/>
      </c>
    </row>
    <row r="103" customFormat="false" ht="15" hidden="false" customHeight="false" outlineLevel="0" collapsed="false">
      <c r="A103" s="10" t="str">
        <f aca="false">IF(C103="","","ERSS-"&amp;IFERROR(VLOOKUP(C103,Lists!$AK$4:$AL$21,2,0),"??")&amp;"-"&amp;TEXT(E103,"0000")&amp;"x"&amp;TEXT(F103,"0000")&amp;"-D"&amp;TEXT(G103*1000,"0000")&amp;"-"&amp;IFERROR(VLOOKUP(H103,Lists!$Y$4:$Z$21,2,0),"??")&amp;"-"&amp;U103)</f>
        <v/>
      </c>
      <c r="B103" s="10" t="str">
        <f aca="false">IF(C103="","",C103&amp;" for "&amp;D103&amp;", "&amp;E103&amp;" x "&amp;F103&amp;" pit, "&amp;TEXT(G103,"0.0")&amp;" m deep, "&amp;H103)</f>
        <v/>
      </c>
      <c r="C103" s="9"/>
      <c r="D103" s="9"/>
      <c r="E103" s="40"/>
      <c r="F103" s="40"/>
      <c r="G103" s="43"/>
      <c r="H103" s="9"/>
      <c r="I103" s="43"/>
      <c r="J103" s="40"/>
      <c r="K103" s="9"/>
      <c r="L103" s="43"/>
      <c r="M103" s="43"/>
      <c r="N103" s="40"/>
      <c r="O103" s="9"/>
      <c r="P103" s="9"/>
      <c r="Q103" s="41"/>
      <c r="R103" s="9"/>
      <c r="S103" s="40"/>
      <c r="T103" s="9"/>
      <c r="U103" s="9"/>
      <c r="V103" s="9"/>
      <c r="W103" s="9"/>
      <c r="X103" s="9"/>
      <c r="Y103" s="9"/>
      <c r="Z103" s="10" t="str">
        <f aca="false">IF(A103="","",SG_Criteria!$B$6&amp;SG_Criteria!$B$11&amp;"\"&amp;A103&amp;"\")</f>
        <v/>
      </c>
      <c r="AA103" s="10" t="str">
        <f aca="false">IF(A103="","",A103&amp;"_CAD.dwg")</f>
        <v/>
      </c>
      <c r="AB103" s="10" t="str">
        <f aca="false">IF(A103="","",A103&amp;"_DWG.pdf")</f>
        <v/>
      </c>
      <c r="AC103" s="10" t="str">
        <f aca="false">IF(A103="","",IF(Y103="Y",A103&amp;"_STAAD.std","n/a"))</f>
        <v/>
      </c>
      <c r="AD103" s="10" t="str">
        <f aca="false">IF(A103="","",A103&amp;"_CALC.xlsx")</f>
        <v/>
      </c>
      <c r="AE103" s="10" t="str">
        <f aca="false">IF(A103="","",A103&amp;"_CALC.pdf")</f>
        <v/>
      </c>
      <c r="AF103" s="9"/>
      <c r="AG103" s="9"/>
      <c r="AH103" s="41"/>
      <c r="AI103" s="41"/>
      <c r="AJ103" s="41"/>
      <c r="AK103" s="41"/>
      <c r="AL103" s="41"/>
      <c r="AM103" s="38" t="str">
        <f aca="false">IF(OR(C103="",G103=""),"",IF(G103&lt;=IF(OR(C103="Soldier Pile &amp; Timber Lagging",C103="Trench Shoring Box",C103="Open Cut (battered)"),SG_Criteria!$B$34,SG_Criteria!$B$33),"No ERSS submission",IF(G103&lt;=SG_Criteria!$B$35,"QP(ST)",IF(G103&lt;=SG_Criteria!$B$36,"QP(ST) + AC","Geotechnical building works: QP(Geo) + AC"))))</f>
        <v/>
      </c>
      <c r="AN103" s="38" t="str">
        <f aca="false">IF(C103="","",IF(LEN(IF(AND(Q103&lt;&gt;"",Q103&lt;SG_Criteria!$B$37),"FAIL: base stability FOS &lt; "&amp;SG_Criteria!$B$37&amp;". ","")&amp;IF(AND(D103="Manhole",G103&gt;SG_Criteria!$B$36),"NOTE: BCA lists sewer manholes (pipe &lt;= 2 m dia) &gt; 6 m as non-GBW: QP(ST) + AC. ","")&amp;IF(AND(C103="Trench Shoring Box",H103="Kallang Formation (marine clay)"),"NOTE: check base heave / ground loss for shoring box in marine clay. ","")&amp;IF(AND(C103="Steel Sheet Pile Cofferdam",N(M103)&lt;G103*0.5),"NOTE: short toe embedment, check. ",""))=0,"OK",IF(AND(Q103&lt;&gt;"",Q103&lt;SG_Criteria!$B$37),"FAIL: base stability FOS &lt; "&amp;SG_Criteria!$B$37&amp;". ","")&amp;IF(AND(D103="Manhole",G103&gt;SG_Criteria!$B$36),"NOTE: BCA lists sewer manholes (pipe &lt;= 2 m dia) &gt; 6 m as non-GBW: QP(ST) + AC. ","")&amp;IF(AND(C103="Trench Shoring Box",H103="Kallang Formation (marine clay)"),"NOTE: check base heave / ground loss for shoring box in marine clay. ","")&amp;IF(AND(C103="Steel Sheet Pile Cofferdam",N(M103)&lt;G103*0.5),"NOTE: short toe embedment, check. ","")))</f>
        <v/>
      </c>
      <c r="AO103" s="9"/>
      <c r="AP103" s="9"/>
      <c r="AQ103" s="9"/>
      <c r="AR103" s="9"/>
      <c r="AS103" s="9"/>
      <c r="AT103" s="31"/>
      <c r="AU103" s="10" t="str">
        <f aca="false">IF(C103="","",IF(AND(V103="Approved",ISERROR(SEARCH("FAIL",AN103))),"Y","N"))</f>
        <v/>
      </c>
      <c r="AV103" s="10" t="str">
        <f aca="false">IF(C103="","",C103&amp;"|"&amp;G103&amp;"|"&amp;E103&amp;"|"&amp;H103&amp;"|"&amp;AU103)</f>
        <v/>
      </c>
    </row>
    <row r="104" customFormat="false" ht="15" hidden="false" customHeight="false" outlineLevel="0" collapsed="false">
      <c r="A104" s="10" t="str">
        <f aca="false">IF(C104="","","ERSS-"&amp;IFERROR(VLOOKUP(C104,Lists!$AK$4:$AL$21,2,0),"??")&amp;"-"&amp;TEXT(E104,"0000")&amp;"x"&amp;TEXT(F104,"0000")&amp;"-D"&amp;TEXT(G104*1000,"0000")&amp;"-"&amp;IFERROR(VLOOKUP(H104,Lists!$Y$4:$Z$21,2,0),"??")&amp;"-"&amp;U104)</f>
        <v/>
      </c>
      <c r="B104" s="10" t="str">
        <f aca="false">IF(C104="","",C104&amp;" for "&amp;D104&amp;", "&amp;E104&amp;" x "&amp;F104&amp;" pit, "&amp;TEXT(G104,"0.0")&amp;" m deep, "&amp;H104)</f>
        <v/>
      </c>
      <c r="C104" s="9"/>
      <c r="D104" s="9"/>
      <c r="E104" s="40"/>
      <c r="F104" s="40"/>
      <c r="G104" s="43"/>
      <c r="H104" s="9"/>
      <c r="I104" s="43"/>
      <c r="J104" s="40"/>
      <c r="K104" s="9"/>
      <c r="L104" s="43"/>
      <c r="M104" s="43"/>
      <c r="N104" s="40"/>
      <c r="O104" s="9"/>
      <c r="P104" s="9"/>
      <c r="Q104" s="41"/>
      <c r="R104" s="9"/>
      <c r="S104" s="40"/>
      <c r="T104" s="9"/>
      <c r="U104" s="9"/>
      <c r="V104" s="9"/>
      <c r="W104" s="9"/>
      <c r="X104" s="9"/>
      <c r="Y104" s="9"/>
      <c r="Z104" s="10" t="str">
        <f aca="false">IF(A104="","",SG_Criteria!$B$6&amp;SG_Criteria!$B$11&amp;"\"&amp;A104&amp;"\")</f>
        <v/>
      </c>
      <c r="AA104" s="10" t="str">
        <f aca="false">IF(A104="","",A104&amp;"_CAD.dwg")</f>
        <v/>
      </c>
      <c r="AB104" s="10" t="str">
        <f aca="false">IF(A104="","",A104&amp;"_DWG.pdf")</f>
        <v/>
      </c>
      <c r="AC104" s="10" t="str">
        <f aca="false">IF(A104="","",IF(Y104="Y",A104&amp;"_STAAD.std","n/a"))</f>
        <v/>
      </c>
      <c r="AD104" s="10" t="str">
        <f aca="false">IF(A104="","",A104&amp;"_CALC.xlsx")</f>
        <v/>
      </c>
      <c r="AE104" s="10" t="str">
        <f aca="false">IF(A104="","",A104&amp;"_CALC.pdf")</f>
        <v/>
      </c>
      <c r="AF104" s="9"/>
      <c r="AG104" s="9"/>
      <c r="AH104" s="41"/>
      <c r="AI104" s="41"/>
      <c r="AJ104" s="41"/>
      <c r="AK104" s="41"/>
      <c r="AL104" s="41"/>
      <c r="AM104" s="38" t="str">
        <f aca="false">IF(OR(C104="",G104=""),"",IF(G104&lt;=IF(OR(C104="Soldier Pile &amp; Timber Lagging",C104="Trench Shoring Box",C104="Open Cut (battered)"),SG_Criteria!$B$34,SG_Criteria!$B$33),"No ERSS submission",IF(G104&lt;=SG_Criteria!$B$35,"QP(ST)",IF(G104&lt;=SG_Criteria!$B$36,"QP(ST) + AC","Geotechnical building works: QP(Geo) + AC"))))</f>
        <v/>
      </c>
      <c r="AN104" s="38" t="str">
        <f aca="false">IF(C104="","",IF(LEN(IF(AND(Q104&lt;&gt;"",Q104&lt;SG_Criteria!$B$37),"FAIL: base stability FOS &lt; "&amp;SG_Criteria!$B$37&amp;". ","")&amp;IF(AND(D104="Manhole",G104&gt;SG_Criteria!$B$36),"NOTE: BCA lists sewer manholes (pipe &lt;= 2 m dia) &gt; 6 m as non-GBW: QP(ST) + AC. ","")&amp;IF(AND(C104="Trench Shoring Box",H104="Kallang Formation (marine clay)"),"NOTE: check base heave / ground loss for shoring box in marine clay. ","")&amp;IF(AND(C104="Steel Sheet Pile Cofferdam",N(M104)&lt;G104*0.5),"NOTE: short toe embedment, check. ",""))=0,"OK",IF(AND(Q104&lt;&gt;"",Q104&lt;SG_Criteria!$B$37),"FAIL: base stability FOS &lt; "&amp;SG_Criteria!$B$37&amp;". ","")&amp;IF(AND(D104="Manhole",G104&gt;SG_Criteria!$B$36),"NOTE: BCA lists sewer manholes (pipe &lt;= 2 m dia) &gt; 6 m as non-GBW: QP(ST) + AC. ","")&amp;IF(AND(C104="Trench Shoring Box",H104="Kallang Formation (marine clay)"),"NOTE: check base heave / ground loss for shoring box in marine clay. ","")&amp;IF(AND(C104="Steel Sheet Pile Cofferdam",N(M104)&lt;G104*0.5),"NOTE: short toe embedment, check. ","")))</f>
        <v/>
      </c>
      <c r="AO104" s="9"/>
      <c r="AP104" s="9"/>
      <c r="AQ104" s="9"/>
      <c r="AR104" s="9"/>
      <c r="AS104" s="9"/>
      <c r="AT104" s="31"/>
      <c r="AU104" s="10" t="str">
        <f aca="false">IF(C104="","",IF(AND(V104="Approved",ISERROR(SEARCH("FAIL",AN104))),"Y","N"))</f>
        <v/>
      </c>
      <c r="AV104" s="10" t="str">
        <f aca="false">IF(C104="","",C104&amp;"|"&amp;G104&amp;"|"&amp;E104&amp;"|"&amp;H104&amp;"|"&amp;AU104)</f>
        <v/>
      </c>
    </row>
    <row r="105" customFormat="false" ht="15" hidden="false" customHeight="false" outlineLevel="0" collapsed="false">
      <c r="A105" s="10" t="str">
        <f aca="false">IF(C105="","","ERSS-"&amp;IFERROR(VLOOKUP(C105,Lists!$AK$4:$AL$21,2,0),"??")&amp;"-"&amp;TEXT(E105,"0000")&amp;"x"&amp;TEXT(F105,"0000")&amp;"-D"&amp;TEXT(G105*1000,"0000")&amp;"-"&amp;IFERROR(VLOOKUP(H105,Lists!$Y$4:$Z$21,2,0),"??")&amp;"-"&amp;U105)</f>
        <v/>
      </c>
      <c r="B105" s="10" t="str">
        <f aca="false">IF(C105="","",C105&amp;" for "&amp;D105&amp;", "&amp;E105&amp;" x "&amp;F105&amp;" pit, "&amp;TEXT(G105,"0.0")&amp;" m deep, "&amp;H105)</f>
        <v/>
      </c>
      <c r="C105" s="9"/>
      <c r="D105" s="9"/>
      <c r="E105" s="40"/>
      <c r="F105" s="40"/>
      <c r="G105" s="43"/>
      <c r="H105" s="9"/>
      <c r="I105" s="43"/>
      <c r="J105" s="40"/>
      <c r="K105" s="9"/>
      <c r="L105" s="43"/>
      <c r="M105" s="43"/>
      <c r="N105" s="40"/>
      <c r="O105" s="9"/>
      <c r="P105" s="9"/>
      <c r="Q105" s="41"/>
      <c r="R105" s="9"/>
      <c r="S105" s="40"/>
      <c r="T105" s="9"/>
      <c r="U105" s="9"/>
      <c r="V105" s="9"/>
      <c r="W105" s="9"/>
      <c r="X105" s="9"/>
      <c r="Y105" s="9"/>
      <c r="Z105" s="10" t="str">
        <f aca="false">IF(A105="","",SG_Criteria!$B$6&amp;SG_Criteria!$B$11&amp;"\"&amp;A105&amp;"\")</f>
        <v/>
      </c>
      <c r="AA105" s="10" t="str">
        <f aca="false">IF(A105="","",A105&amp;"_CAD.dwg")</f>
        <v/>
      </c>
      <c r="AB105" s="10" t="str">
        <f aca="false">IF(A105="","",A105&amp;"_DWG.pdf")</f>
        <v/>
      </c>
      <c r="AC105" s="10" t="str">
        <f aca="false">IF(A105="","",IF(Y105="Y",A105&amp;"_STAAD.std","n/a"))</f>
        <v/>
      </c>
      <c r="AD105" s="10" t="str">
        <f aca="false">IF(A105="","",A105&amp;"_CALC.xlsx")</f>
        <v/>
      </c>
      <c r="AE105" s="10" t="str">
        <f aca="false">IF(A105="","",A105&amp;"_CALC.pdf")</f>
        <v/>
      </c>
      <c r="AF105" s="9"/>
      <c r="AG105" s="9"/>
      <c r="AH105" s="41"/>
      <c r="AI105" s="41"/>
      <c r="AJ105" s="41"/>
      <c r="AK105" s="41"/>
      <c r="AL105" s="41"/>
      <c r="AM105" s="38" t="str">
        <f aca="false">IF(OR(C105="",G105=""),"",IF(G105&lt;=IF(OR(C105="Soldier Pile &amp; Timber Lagging",C105="Trench Shoring Box",C105="Open Cut (battered)"),SG_Criteria!$B$34,SG_Criteria!$B$33),"No ERSS submission",IF(G105&lt;=SG_Criteria!$B$35,"QP(ST)",IF(G105&lt;=SG_Criteria!$B$36,"QP(ST) + AC","Geotechnical building works: QP(Geo) + AC"))))</f>
        <v/>
      </c>
      <c r="AN105" s="38" t="str">
        <f aca="false">IF(C105="","",IF(LEN(IF(AND(Q105&lt;&gt;"",Q105&lt;SG_Criteria!$B$37),"FAIL: base stability FOS &lt; "&amp;SG_Criteria!$B$37&amp;". ","")&amp;IF(AND(D105="Manhole",G105&gt;SG_Criteria!$B$36),"NOTE: BCA lists sewer manholes (pipe &lt;= 2 m dia) &gt; 6 m as non-GBW: QP(ST) + AC. ","")&amp;IF(AND(C105="Trench Shoring Box",H105="Kallang Formation (marine clay)"),"NOTE: check base heave / ground loss for shoring box in marine clay. ","")&amp;IF(AND(C105="Steel Sheet Pile Cofferdam",N(M105)&lt;G105*0.5),"NOTE: short toe embedment, check. ",""))=0,"OK",IF(AND(Q105&lt;&gt;"",Q105&lt;SG_Criteria!$B$37),"FAIL: base stability FOS &lt; "&amp;SG_Criteria!$B$37&amp;". ","")&amp;IF(AND(D105="Manhole",G105&gt;SG_Criteria!$B$36),"NOTE: BCA lists sewer manholes (pipe &lt;= 2 m dia) &gt; 6 m as non-GBW: QP(ST) + AC. ","")&amp;IF(AND(C105="Trench Shoring Box",H105="Kallang Formation (marine clay)"),"NOTE: check base heave / ground loss for shoring box in marine clay. ","")&amp;IF(AND(C105="Steel Sheet Pile Cofferdam",N(M105)&lt;G105*0.5),"NOTE: short toe embedment, check. ","")))</f>
        <v/>
      </c>
      <c r="AO105" s="9"/>
      <c r="AP105" s="9"/>
      <c r="AQ105" s="9"/>
      <c r="AR105" s="9"/>
      <c r="AS105" s="9"/>
      <c r="AT105" s="31"/>
      <c r="AU105" s="10" t="str">
        <f aca="false">IF(C105="","",IF(AND(V105="Approved",ISERROR(SEARCH("FAIL",AN105))),"Y","N"))</f>
        <v/>
      </c>
      <c r="AV105" s="10" t="str">
        <f aca="false">IF(C105="","",C105&amp;"|"&amp;G105&amp;"|"&amp;E105&amp;"|"&amp;H105&amp;"|"&amp;AU105)</f>
        <v/>
      </c>
    </row>
    <row r="106" customFormat="false" ht="15" hidden="false" customHeight="false" outlineLevel="0" collapsed="false">
      <c r="A106" s="10" t="str">
        <f aca="false">IF(C106="","","ERSS-"&amp;IFERROR(VLOOKUP(C106,Lists!$AK$4:$AL$21,2,0),"??")&amp;"-"&amp;TEXT(E106,"0000")&amp;"x"&amp;TEXT(F106,"0000")&amp;"-D"&amp;TEXT(G106*1000,"0000")&amp;"-"&amp;IFERROR(VLOOKUP(H106,Lists!$Y$4:$Z$21,2,0),"??")&amp;"-"&amp;U106)</f>
        <v/>
      </c>
      <c r="B106" s="10" t="str">
        <f aca="false">IF(C106="","",C106&amp;" for "&amp;D106&amp;", "&amp;E106&amp;" x "&amp;F106&amp;" pit, "&amp;TEXT(G106,"0.0")&amp;" m deep, "&amp;H106)</f>
        <v/>
      </c>
      <c r="C106" s="9"/>
      <c r="D106" s="9"/>
      <c r="E106" s="40"/>
      <c r="F106" s="40"/>
      <c r="G106" s="43"/>
      <c r="H106" s="9"/>
      <c r="I106" s="43"/>
      <c r="J106" s="40"/>
      <c r="K106" s="9"/>
      <c r="L106" s="43"/>
      <c r="M106" s="43"/>
      <c r="N106" s="40"/>
      <c r="O106" s="9"/>
      <c r="P106" s="9"/>
      <c r="Q106" s="41"/>
      <c r="R106" s="9"/>
      <c r="S106" s="40"/>
      <c r="T106" s="9"/>
      <c r="U106" s="9"/>
      <c r="V106" s="9"/>
      <c r="W106" s="9"/>
      <c r="X106" s="9"/>
      <c r="Y106" s="9"/>
      <c r="Z106" s="10" t="str">
        <f aca="false">IF(A106="","",SG_Criteria!$B$6&amp;SG_Criteria!$B$11&amp;"\"&amp;A106&amp;"\")</f>
        <v/>
      </c>
      <c r="AA106" s="10" t="str">
        <f aca="false">IF(A106="","",A106&amp;"_CAD.dwg")</f>
        <v/>
      </c>
      <c r="AB106" s="10" t="str">
        <f aca="false">IF(A106="","",A106&amp;"_DWG.pdf")</f>
        <v/>
      </c>
      <c r="AC106" s="10" t="str">
        <f aca="false">IF(A106="","",IF(Y106="Y",A106&amp;"_STAAD.std","n/a"))</f>
        <v/>
      </c>
      <c r="AD106" s="10" t="str">
        <f aca="false">IF(A106="","",A106&amp;"_CALC.xlsx")</f>
        <v/>
      </c>
      <c r="AE106" s="10" t="str">
        <f aca="false">IF(A106="","",A106&amp;"_CALC.pdf")</f>
        <v/>
      </c>
      <c r="AF106" s="9"/>
      <c r="AG106" s="9"/>
      <c r="AH106" s="41"/>
      <c r="AI106" s="41"/>
      <c r="AJ106" s="41"/>
      <c r="AK106" s="41"/>
      <c r="AL106" s="41"/>
      <c r="AM106" s="38" t="str">
        <f aca="false">IF(OR(C106="",G106=""),"",IF(G106&lt;=IF(OR(C106="Soldier Pile &amp; Timber Lagging",C106="Trench Shoring Box",C106="Open Cut (battered)"),SG_Criteria!$B$34,SG_Criteria!$B$33),"No ERSS submission",IF(G106&lt;=SG_Criteria!$B$35,"QP(ST)",IF(G106&lt;=SG_Criteria!$B$36,"QP(ST) + AC","Geotechnical building works: QP(Geo) + AC"))))</f>
        <v/>
      </c>
      <c r="AN106" s="38" t="str">
        <f aca="false">IF(C106="","",IF(LEN(IF(AND(Q106&lt;&gt;"",Q106&lt;SG_Criteria!$B$37),"FAIL: base stability FOS &lt; "&amp;SG_Criteria!$B$37&amp;". ","")&amp;IF(AND(D106="Manhole",G106&gt;SG_Criteria!$B$36),"NOTE: BCA lists sewer manholes (pipe &lt;= 2 m dia) &gt; 6 m as non-GBW: QP(ST) + AC. ","")&amp;IF(AND(C106="Trench Shoring Box",H106="Kallang Formation (marine clay)"),"NOTE: check base heave / ground loss for shoring box in marine clay. ","")&amp;IF(AND(C106="Steel Sheet Pile Cofferdam",N(M106)&lt;G106*0.5),"NOTE: short toe embedment, check. ",""))=0,"OK",IF(AND(Q106&lt;&gt;"",Q106&lt;SG_Criteria!$B$37),"FAIL: base stability FOS &lt; "&amp;SG_Criteria!$B$37&amp;". ","")&amp;IF(AND(D106="Manhole",G106&gt;SG_Criteria!$B$36),"NOTE: BCA lists sewer manholes (pipe &lt;= 2 m dia) &gt; 6 m as non-GBW: QP(ST) + AC. ","")&amp;IF(AND(C106="Trench Shoring Box",H106="Kallang Formation (marine clay)"),"NOTE: check base heave / ground loss for shoring box in marine clay. ","")&amp;IF(AND(C106="Steel Sheet Pile Cofferdam",N(M106)&lt;G106*0.5),"NOTE: short toe embedment, check. ","")))</f>
        <v/>
      </c>
      <c r="AO106" s="9"/>
      <c r="AP106" s="9"/>
      <c r="AQ106" s="9"/>
      <c r="AR106" s="9"/>
      <c r="AS106" s="9"/>
      <c r="AT106" s="31"/>
      <c r="AU106" s="10" t="str">
        <f aca="false">IF(C106="","",IF(AND(V106="Approved",ISERROR(SEARCH("FAIL",AN106))),"Y","N"))</f>
        <v/>
      </c>
      <c r="AV106" s="10" t="str">
        <f aca="false">IF(C106="","",C106&amp;"|"&amp;G106&amp;"|"&amp;E106&amp;"|"&amp;H106&amp;"|"&amp;AU106)</f>
        <v/>
      </c>
    </row>
    <row r="107" customFormat="false" ht="15" hidden="false" customHeight="false" outlineLevel="0" collapsed="false">
      <c r="A107" s="10" t="str">
        <f aca="false">IF(C107="","","ERSS-"&amp;IFERROR(VLOOKUP(C107,Lists!$AK$4:$AL$21,2,0),"??")&amp;"-"&amp;TEXT(E107,"0000")&amp;"x"&amp;TEXT(F107,"0000")&amp;"-D"&amp;TEXT(G107*1000,"0000")&amp;"-"&amp;IFERROR(VLOOKUP(H107,Lists!$Y$4:$Z$21,2,0),"??")&amp;"-"&amp;U107)</f>
        <v/>
      </c>
      <c r="B107" s="10" t="str">
        <f aca="false">IF(C107="","",C107&amp;" for "&amp;D107&amp;", "&amp;E107&amp;" x "&amp;F107&amp;" pit, "&amp;TEXT(G107,"0.0")&amp;" m deep, "&amp;H107)</f>
        <v/>
      </c>
      <c r="C107" s="9"/>
      <c r="D107" s="9"/>
      <c r="E107" s="40"/>
      <c r="F107" s="40"/>
      <c r="G107" s="43"/>
      <c r="H107" s="9"/>
      <c r="I107" s="43"/>
      <c r="J107" s="40"/>
      <c r="K107" s="9"/>
      <c r="L107" s="43"/>
      <c r="M107" s="43"/>
      <c r="N107" s="40"/>
      <c r="O107" s="9"/>
      <c r="P107" s="9"/>
      <c r="Q107" s="41"/>
      <c r="R107" s="9"/>
      <c r="S107" s="40"/>
      <c r="T107" s="9"/>
      <c r="U107" s="9"/>
      <c r="V107" s="9"/>
      <c r="W107" s="9"/>
      <c r="X107" s="9"/>
      <c r="Y107" s="9"/>
      <c r="Z107" s="10" t="str">
        <f aca="false">IF(A107="","",SG_Criteria!$B$6&amp;SG_Criteria!$B$11&amp;"\"&amp;A107&amp;"\")</f>
        <v/>
      </c>
      <c r="AA107" s="10" t="str">
        <f aca="false">IF(A107="","",A107&amp;"_CAD.dwg")</f>
        <v/>
      </c>
      <c r="AB107" s="10" t="str">
        <f aca="false">IF(A107="","",A107&amp;"_DWG.pdf")</f>
        <v/>
      </c>
      <c r="AC107" s="10" t="str">
        <f aca="false">IF(A107="","",IF(Y107="Y",A107&amp;"_STAAD.std","n/a"))</f>
        <v/>
      </c>
      <c r="AD107" s="10" t="str">
        <f aca="false">IF(A107="","",A107&amp;"_CALC.xlsx")</f>
        <v/>
      </c>
      <c r="AE107" s="10" t="str">
        <f aca="false">IF(A107="","",A107&amp;"_CALC.pdf")</f>
        <v/>
      </c>
      <c r="AF107" s="9"/>
      <c r="AG107" s="9"/>
      <c r="AH107" s="41"/>
      <c r="AI107" s="41"/>
      <c r="AJ107" s="41"/>
      <c r="AK107" s="41"/>
      <c r="AL107" s="41"/>
      <c r="AM107" s="38" t="str">
        <f aca="false">IF(OR(C107="",G107=""),"",IF(G107&lt;=IF(OR(C107="Soldier Pile &amp; Timber Lagging",C107="Trench Shoring Box",C107="Open Cut (battered)"),SG_Criteria!$B$34,SG_Criteria!$B$33),"No ERSS submission",IF(G107&lt;=SG_Criteria!$B$35,"QP(ST)",IF(G107&lt;=SG_Criteria!$B$36,"QP(ST) + AC","Geotechnical building works: QP(Geo) + AC"))))</f>
        <v/>
      </c>
      <c r="AN107" s="38" t="str">
        <f aca="false">IF(C107="","",IF(LEN(IF(AND(Q107&lt;&gt;"",Q107&lt;SG_Criteria!$B$37),"FAIL: base stability FOS &lt; "&amp;SG_Criteria!$B$37&amp;". ","")&amp;IF(AND(D107="Manhole",G107&gt;SG_Criteria!$B$36),"NOTE: BCA lists sewer manholes (pipe &lt;= 2 m dia) &gt; 6 m as non-GBW: QP(ST) + AC. ","")&amp;IF(AND(C107="Trench Shoring Box",H107="Kallang Formation (marine clay)"),"NOTE: check base heave / ground loss for shoring box in marine clay. ","")&amp;IF(AND(C107="Steel Sheet Pile Cofferdam",N(M107)&lt;G107*0.5),"NOTE: short toe embedment, check. ",""))=0,"OK",IF(AND(Q107&lt;&gt;"",Q107&lt;SG_Criteria!$B$37),"FAIL: base stability FOS &lt; "&amp;SG_Criteria!$B$37&amp;". ","")&amp;IF(AND(D107="Manhole",G107&gt;SG_Criteria!$B$36),"NOTE: BCA lists sewer manholes (pipe &lt;= 2 m dia) &gt; 6 m as non-GBW: QP(ST) + AC. ","")&amp;IF(AND(C107="Trench Shoring Box",H107="Kallang Formation (marine clay)"),"NOTE: check base heave / ground loss for shoring box in marine clay. ","")&amp;IF(AND(C107="Steel Sheet Pile Cofferdam",N(M107)&lt;G107*0.5),"NOTE: short toe embedment, check. ","")))</f>
        <v/>
      </c>
      <c r="AO107" s="9"/>
      <c r="AP107" s="9"/>
      <c r="AQ107" s="9"/>
      <c r="AR107" s="9"/>
      <c r="AS107" s="9"/>
      <c r="AT107" s="31"/>
      <c r="AU107" s="10" t="str">
        <f aca="false">IF(C107="","",IF(AND(V107="Approved",ISERROR(SEARCH("FAIL",AN107))),"Y","N"))</f>
        <v/>
      </c>
      <c r="AV107" s="10" t="str">
        <f aca="false">IF(C107="","",C107&amp;"|"&amp;G107&amp;"|"&amp;E107&amp;"|"&amp;H107&amp;"|"&amp;AU107)</f>
        <v/>
      </c>
    </row>
    <row r="108" customFormat="false" ht="15" hidden="false" customHeight="false" outlineLevel="0" collapsed="false">
      <c r="A108" s="10" t="str">
        <f aca="false">IF(C108="","","ERSS-"&amp;IFERROR(VLOOKUP(C108,Lists!$AK$4:$AL$21,2,0),"??")&amp;"-"&amp;TEXT(E108,"0000")&amp;"x"&amp;TEXT(F108,"0000")&amp;"-D"&amp;TEXT(G108*1000,"0000")&amp;"-"&amp;IFERROR(VLOOKUP(H108,Lists!$Y$4:$Z$21,2,0),"??")&amp;"-"&amp;U108)</f>
        <v/>
      </c>
      <c r="B108" s="10" t="str">
        <f aca="false">IF(C108="","",C108&amp;" for "&amp;D108&amp;", "&amp;E108&amp;" x "&amp;F108&amp;" pit, "&amp;TEXT(G108,"0.0")&amp;" m deep, "&amp;H108)</f>
        <v/>
      </c>
      <c r="C108" s="9"/>
      <c r="D108" s="9"/>
      <c r="E108" s="40"/>
      <c r="F108" s="40"/>
      <c r="G108" s="43"/>
      <c r="H108" s="9"/>
      <c r="I108" s="43"/>
      <c r="J108" s="40"/>
      <c r="K108" s="9"/>
      <c r="L108" s="43"/>
      <c r="M108" s="43"/>
      <c r="N108" s="40"/>
      <c r="O108" s="9"/>
      <c r="P108" s="9"/>
      <c r="Q108" s="41"/>
      <c r="R108" s="9"/>
      <c r="S108" s="40"/>
      <c r="T108" s="9"/>
      <c r="U108" s="9"/>
      <c r="V108" s="9"/>
      <c r="W108" s="9"/>
      <c r="X108" s="9"/>
      <c r="Y108" s="9"/>
      <c r="Z108" s="10" t="str">
        <f aca="false">IF(A108="","",SG_Criteria!$B$6&amp;SG_Criteria!$B$11&amp;"\"&amp;A108&amp;"\")</f>
        <v/>
      </c>
      <c r="AA108" s="10" t="str">
        <f aca="false">IF(A108="","",A108&amp;"_CAD.dwg")</f>
        <v/>
      </c>
      <c r="AB108" s="10" t="str">
        <f aca="false">IF(A108="","",A108&amp;"_DWG.pdf")</f>
        <v/>
      </c>
      <c r="AC108" s="10" t="str">
        <f aca="false">IF(A108="","",IF(Y108="Y",A108&amp;"_STAAD.std","n/a"))</f>
        <v/>
      </c>
      <c r="AD108" s="10" t="str">
        <f aca="false">IF(A108="","",A108&amp;"_CALC.xlsx")</f>
        <v/>
      </c>
      <c r="AE108" s="10" t="str">
        <f aca="false">IF(A108="","",A108&amp;"_CALC.pdf")</f>
        <v/>
      </c>
      <c r="AF108" s="9"/>
      <c r="AG108" s="9"/>
      <c r="AH108" s="41"/>
      <c r="AI108" s="41"/>
      <c r="AJ108" s="41"/>
      <c r="AK108" s="41"/>
      <c r="AL108" s="41"/>
      <c r="AM108" s="38" t="str">
        <f aca="false">IF(OR(C108="",G108=""),"",IF(G108&lt;=IF(OR(C108="Soldier Pile &amp; Timber Lagging",C108="Trench Shoring Box",C108="Open Cut (battered)"),SG_Criteria!$B$34,SG_Criteria!$B$33),"No ERSS submission",IF(G108&lt;=SG_Criteria!$B$35,"QP(ST)",IF(G108&lt;=SG_Criteria!$B$36,"QP(ST) + AC","Geotechnical building works: QP(Geo) + AC"))))</f>
        <v/>
      </c>
      <c r="AN108" s="38" t="str">
        <f aca="false">IF(C108="","",IF(LEN(IF(AND(Q108&lt;&gt;"",Q108&lt;SG_Criteria!$B$37),"FAIL: base stability FOS &lt; "&amp;SG_Criteria!$B$37&amp;". ","")&amp;IF(AND(D108="Manhole",G108&gt;SG_Criteria!$B$36),"NOTE: BCA lists sewer manholes (pipe &lt;= 2 m dia) &gt; 6 m as non-GBW: QP(ST) + AC. ","")&amp;IF(AND(C108="Trench Shoring Box",H108="Kallang Formation (marine clay)"),"NOTE: check base heave / ground loss for shoring box in marine clay. ","")&amp;IF(AND(C108="Steel Sheet Pile Cofferdam",N(M108)&lt;G108*0.5),"NOTE: short toe embedment, check. ",""))=0,"OK",IF(AND(Q108&lt;&gt;"",Q108&lt;SG_Criteria!$B$37),"FAIL: base stability FOS &lt; "&amp;SG_Criteria!$B$37&amp;". ","")&amp;IF(AND(D108="Manhole",G108&gt;SG_Criteria!$B$36),"NOTE: BCA lists sewer manholes (pipe &lt;= 2 m dia) &gt; 6 m as non-GBW: QP(ST) + AC. ","")&amp;IF(AND(C108="Trench Shoring Box",H108="Kallang Formation (marine clay)"),"NOTE: check base heave / ground loss for shoring box in marine clay. ","")&amp;IF(AND(C108="Steel Sheet Pile Cofferdam",N(M108)&lt;G108*0.5),"NOTE: short toe embedment, check. ","")))</f>
        <v/>
      </c>
      <c r="AO108" s="9"/>
      <c r="AP108" s="9"/>
      <c r="AQ108" s="9"/>
      <c r="AR108" s="9"/>
      <c r="AS108" s="9"/>
      <c r="AT108" s="31"/>
      <c r="AU108" s="10" t="str">
        <f aca="false">IF(C108="","",IF(AND(V108="Approved",ISERROR(SEARCH("FAIL",AN108))),"Y","N"))</f>
        <v/>
      </c>
      <c r="AV108" s="10" t="str">
        <f aca="false">IF(C108="","",C108&amp;"|"&amp;G108&amp;"|"&amp;E108&amp;"|"&amp;H108&amp;"|"&amp;AU108)</f>
        <v/>
      </c>
    </row>
    <row r="109" customFormat="false" ht="15" hidden="false" customHeight="false" outlineLevel="0" collapsed="false">
      <c r="A109" s="10" t="str">
        <f aca="false">IF(C109="","","ERSS-"&amp;IFERROR(VLOOKUP(C109,Lists!$AK$4:$AL$21,2,0),"??")&amp;"-"&amp;TEXT(E109,"0000")&amp;"x"&amp;TEXT(F109,"0000")&amp;"-D"&amp;TEXT(G109*1000,"0000")&amp;"-"&amp;IFERROR(VLOOKUP(H109,Lists!$Y$4:$Z$21,2,0),"??")&amp;"-"&amp;U109)</f>
        <v/>
      </c>
      <c r="B109" s="10" t="str">
        <f aca="false">IF(C109="","",C109&amp;" for "&amp;D109&amp;", "&amp;E109&amp;" x "&amp;F109&amp;" pit, "&amp;TEXT(G109,"0.0")&amp;" m deep, "&amp;H109)</f>
        <v/>
      </c>
      <c r="C109" s="9"/>
      <c r="D109" s="9"/>
      <c r="E109" s="40"/>
      <c r="F109" s="40"/>
      <c r="G109" s="43"/>
      <c r="H109" s="9"/>
      <c r="I109" s="43"/>
      <c r="J109" s="40"/>
      <c r="K109" s="9"/>
      <c r="L109" s="43"/>
      <c r="M109" s="43"/>
      <c r="N109" s="40"/>
      <c r="O109" s="9"/>
      <c r="P109" s="9"/>
      <c r="Q109" s="41"/>
      <c r="R109" s="9"/>
      <c r="S109" s="40"/>
      <c r="T109" s="9"/>
      <c r="U109" s="9"/>
      <c r="V109" s="9"/>
      <c r="W109" s="9"/>
      <c r="X109" s="9"/>
      <c r="Y109" s="9"/>
      <c r="Z109" s="10" t="str">
        <f aca="false">IF(A109="","",SG_Criteria!$B$6&amp;SG_Criteria!$B$11&amp;"\"&amp;A109&amp;"\")</f>
        <v/>
      </c>
      <c r="AA109" s="10" t="str">
        <f aca="false">IF(A109="","",A109&amp;"_CAD.dwg")</f>
        <v/>
      </c>
      <c r="AB109" s="10" t="str">
        <f aca="false">IF(A109="","",A109&amp;"_DWG.pdf")</f>
        <v/>
      </c>
      <c r="AC109" s="10" t="str">
        <f aca="false">IF(A109="","",IF(Y109="Y",A109&amp;"_STAAD.std","n/a"))</f>
        <v/>
      </c>
      <c r="AD109" s="10" t="str">
        <f aca="false">IF(A109="","",A109&amp;"_CALC.xlsx")</f>
        <v/>
      </c>
      <c r="AE109" s="10" t="str">
        <f aca="false">IF(A109="","",A109&amp;"_CALC.pdf")</f>
        <v/>
      </c>
      <c r="AF109" s="9"/>
      <c r="AG109" s="9"/>
      <c r="AH109" s="41"/>
      <c r="AI109" s="41"/>
      <c r="AJ109" s="41"/>
      <c r="AK109" s="41"/>
      <c r="AL109" s="41"/>
      <c r="AM109" s="38" t="str">
        <f aca="false">IF(OR(C109="",G109=""),"",IF(G109&lt;=IF(OR(C109="Soldier Pile &amp; Timber Lagging",C109="Trench Shoring Box",C109="Open Cut (battered)"),SG_Criteria!$B$34,SG_Criteria!$B$33),"No ERSS submission",IF(G109&lt;=SG_Criteria!$B$35,"QP(ST)",IF(G109&lt;=SG_Criteria!$B$36,"QP(ST) + AC","Geotechnical building works: QP(Geo) + AC"))))</f>
        <v/>
      </c>
      <c r="AN109" s="38" t="str">
        <f aca="false">IF(C109="","",IF(LEN(IF(AND(Q109&lt;&gt;"",Q109&lt;SG_Criteria!$B$37),"FAIL: base stability FOS &lt; "&amp;SG_Criteria!$B$37&amp;". ","")&amp;IF(AND(D109="Manhole",G109&gt;SG_Criteria!$B$36),"NOTE: BCA lists sewer manholes (pipe &lt;= 2 m dia) &gt; 6 m as non-GBW: QP(ST) + AC. ","")&amp;IF(AND(C109="Trench Shoring Box",H109="Kallang Formation (marine clay)"),"NOTE: check base heave / ground loss for shoring box in marine clay. ","")&amp;IF(AND(C109="Steel Sheet Pile Cofferdam",N(M109)&lt;G109*0.5),"NOTE: short toe embedment, check. ",""))=0,"OK",IF(AND(Q109&lt;&gt;"",Q109&lt;SG_Criteria!$B$37),"FAIL: base stability FOS &lt; "&amp;SG_Criteria!$B$37&amp;". ","")&amp;IF(AND(D109="Manhole",G109&gt;SG_Criteria!$B$36),"NOTE: BCA lists sewer manholes (pipe &lt;= 2 m dia) &gt; 6 m as non-GBW: QP(ST) + AC. ","")&amp;IF(AND(C109="Trench Shoring Box",H109="Kallang Formation (marine clay)"),"NOTE: check base heave / ground loss for shoring box in marine clay. ","")&amp;IF(AND(C109="Steel Sheet Pile Cofferdam",N(M109)&lt;G109*0.5),"NOTE: short toe embedment, check. ","")))</f>
        <v/>
      </c>
      <c r="AO109" s="9"/>
      <c r="AP109" s="9"/>
      <c r="AQ109" s="9"/>
      <c r="AR109" s="9"/>
      <c r="AS109" s="9"/>
      <c r="AT109" s="31"/>
      <c r="AU109" s="10" t="str">
        <f aca="false">IF(C109="","",IF(AND(V109="Approved",ISERROR(SEARCH("FAIL",AN109))),"Y","N"))</f>
        <v/>
      </c>
      <c r="AV109" s="10" t="str">
        <f aca="false">IF(C109="","",C109&amp;"|"&amp;G109&amp;"|"&amp;E109&amp;"|"&amp;H109&amp;"|"&amp;AU109)</f>
        <v/>
      </c>
    </row>
    <row r="110" customFormat="false" ht="15" hidden="false" customHeight="false" outlineLevel="0" collapsed="false">
      <c r="A110" s="10" t="str">
        <f aca="false">IF(C110="","","ERSS-"&amp;IFERROR(VLOOKUP(C110,Lists!$AK$4:$AL$21,2,0),"??")&amp;"-"&amp;TEXT(E110,"0000")&amp;"x"&amp;TEXT(F110,"0000")&amp;"-D"&amp;TEXT(G110*1000,"0000")&amp;"-"&amp;IFERROR(VLOOKUP(H110,Lists!$Y$4:$Z$21,2,0),"??")&amp;"-"&amp;U110)</f>
        <v/>
      </c>
      <c r="B110" s="10" t="str">
        <f aca="false">IF(C110="","",C110&amp;" for "&amp;D110&amp;", "&amp;E110&amp;" x "&amp;F110&amp;" pit, "&amp;TEXT(G110,"0.0")&amp;" m deep, "&amp;H110)</f>
        <v/>
      </c>
      <c r="C110" s="9"/>
      <c r="D110" s="9"/>
      <c r="E110" s="40"/>
      <c r="F110" s="40"/>
      <c r="G110" s="43"/>
      <c r="H110" s="9"/>
      <c r="I110" s="43"/>
      <c r="J110" s="40"/>
      <c r="K110" s="9"/>
      <c r="L110" s="43"/>
      <c r="M110" s="43"/>
      <c r="N110" s="40"/>
      <c r="O110" s="9"/>
      <c r="P110" s="9"/>
      <c r="Q110" s="41"/>
      <c r="R110" s="9"/>
      <c r="S110" s="40"/>
      <c r="T110" s="9"/>
      <c r="U110" s="9"/>
      <c r="V110" s="9"/>
      <c r="W110" s="9"/>
      <c r="X110" s="9"/>
      <c r="Y110" s="9"/>
      <c r="Z110" s="10" t="str">
        <f aca="false">IF(A110="","",SG_Criteria!$B$6&amp;SG_Criteria!$B$11&amp;"\"&amp;A110&amp;"\")</f>
        <v/>
      </c>
      <c r="AA110" s="10" t="str">
        <f aca="false">IF(A110="","",A110&amp;"_CAD.dwg")</f>
        <v/>
      </c>
      <c r="AB110" s="10" t="str">
        <f aca="false">IF(A110="","",A110&amp;"_DWG.pdf")</f>
        <v/>
      </c>
      <c r="AC110" s="10" t="str">
        <f aca="false">IF(A110="","",IF(Y110="Y",A110&amp;"_STAAD.std","n/a"))</f>
        <v/>
      </c>
      <c r="AD110" s="10" t="str">
        <f aca="false">IF(A110="","",A110&amp;"_CALC.xlsx")</f>
        <v/>
      </c>
      <c r="AE110" s="10" t="str">
        <f aca="false">IF(A110="","",A110&amp;"_CALC.pdf")</f>
        <v/>
      </c>
      <c r="AF110" s="9"/>
      <c r="AG110" s="9"/>
      <c r="AH110" s="41"/>
      <c r="AI110" s="41"/>
      <c r="AJ110" s="41"/>
      <c r="AK110" s="41"/>
      <c r="AL110" s="41"/>
      <c r="AM110" s="38" t="str">
        <f aca="false">IF(OR(C110="",G110=""),"",IF(G110&lt;=IF(OR(C110="Soldier Pile &amp; Timber Lagging",C110="Trench Shoring Box",C110="Open Cut (battered)"),SG_Criteria!$B$34,SG_Criteria!$B$33),"No ERSS submission",IF(G110&lt;=SG_Criteria!$B$35,"QP(ST)",IF(G110&lt;=SG_Criteria!$B$36,"QP(ST) + AC","Geotechnical building works: QP(Geo) + AC"))))</f>
        <v/>
      </c>
      <c r="AN110" s="38" t="str">
        <f aca="false">IF(C110="","",IF(LEN(IF(AND(Q110&lt;&gt;"",Q110&lt;SG_Criteria!$B$37),"FAIL: base stability FOS &lt; "&amp;SG_Criteria!$B$37&amp;". ","")&amp;IF(AND(D110="Manhole",G110&gt;SG_Criteria!$B$36),"NOTE: BCA lists sewer manholes (pipe &lt;= 2 m dia) &gt; 6 m as non-GBW: QP(ST) + AC. ","")&amp;IF(AND(C110="Trench Shoring Box",H110="Kallang Formation (marine clay)"),"NOTE: check base heave / ground loss for shoring box in marine clay. ","")&amp;IF(AND(C110="Steel Sheet Pile Cofferdam",N(M110)&lt;G110*0.5),"NOTE: short toe embedment, check. ",""))=0,"OK",IF(AND(Q110&lt;&gt;"",Q110&lt;SG_Criteria!$B$37),"FAIL: base stability FOS &lt; "&amp;SG_Criteria!$B$37&amp;". ","")&amp;IF(AND(D110="Manhole",G110&gt;SG_Criteria!$B$36),"NOTE: BCA lists sewer manholes (pipe &lt;= 2 m dia) &gt; 6 m as non-GBW: QP(ST) + AC. ","")&amp;IF(AND(C110="Trench Shoring Box",H110="Kallang Formation (marine clay)"),"NOTE: check base heave / ground loss for shoring box in marine clay. ","")&amp;IF(AND(C110="Steel Sheet Pile Cofferdam",N(M110)&lt;G110*0.5),"NOTE: short toe embedment, check. ","")))</f>
        <v/>
      </c>
      <c r="AO110" s="9"/>
      <c r="AP110" s="9"/>
      <c r="AQ110" s="9"/>
      <c r="AR110" s="9"/>
      <c r="AS110" s="9"/>
      <c r="AT110" s="31"/>
      <c r="AU110" s="10" t="str">
        <f aca="false">IF(C110="","",IF(AND(V110="Approved",ISERROR(SEARCH("FAIL",AN110))),"Y","N"))</f>
        <v/>
      </c>
      <c r="AV110" s="10" t="str">
        <f aca="false">IF(C110="","",C110&amp;"|"&amp;G110&amp;"|"&amp;E110&amp;"|"&amp;H110&amp;"|"&amp;AU110)</f>
        <v/>
      </c>
    </row>
    <row r="111" customFormat="false" ht="15" hidden="false" customHeight="false" outlineLevel="0" collapsed="false">
      <c r="A111" s="10" t="str">
        <f aca="false">IF(C111="","","ERSS-"&amp;IFERROR(VLOOKUP(C111,Lists!$AK$4:$AL$21,2,0),"??")&amp;"-"&amp;TEXT(E111,"0000")&amp;"x"&amp;TEXT(F111,"0000")&amp;"-D"&amp;TEXT(G111*1000,"0000")&amp;"-"&amp;IFERROR(VLOOKUP(H111,Lists!$Y$4:$Z$21,2,0),"??")&amp;"-"&amp;U111)</f>
        <v/>
      </c>
      <c r="B111" s="10" t="str">
        <f aca="false">IF(C111="","",C111&amp;" for "&amp;D111&amp;", "&amp;E111&amp;" x "&amp;F111&amp;" pit, "&amp;TEXT(G111,"0.0")&amp;" m deep, "&amp;H111)</f>
        <v/>
      </c>
      <c r="C111" s="9"/>
      <c r="D111" s="9"/>
      <c r="E111" s="40"/>
      <c r="F111" s="40"/>
      <c r="G111" s="43"/>
      <c r="H111" s="9"/>
      <c r="I111" s="43"/>
      <c r="J111" s="40"/>
      <c r="K111" s="9"/>
      <c r="L111" s="43"/>
      <c r="M111" s="43"/>
      <c r="N111" s="40"/>
      <c r="O111" s="9"/>
      <c r="P111" s="9"/>
      <c r="Q111" s="41"/>
      <c r="R111" s="9"/>
      <c r="S111" s="40"/>
      <c r="T111" s="9"/>
      <c r="U111" s="9"/>
      <c r="V111" s="9"/>
      <c r="W111" s="9"/>
      <c r="X111" s="9"/>
      <c r="Y111" s="9"/>
      <c r="Z111" s="10" t="str">
        <f aca="false">IF(A111="","",SG_Criteria!$B$6&amp;SG_Criteria!$B$11&amp;"\"&amp;A111&amp;"\")</f>
        <v/>
      </c>
      <c r="AA111" s="10" t="str">
        <f aca="false">IF(A111="","",A111&amp;"_CAD.dwg")</f>
        <v/>
      </c>
      <c r="AB111" s="10" t="str">
        <f aca="false">IF(A111="","",A111&amp;"_DWG.pdf")</f>
        <v/>
      </c>
      <c r="AC111" s="10" t="str">
        <f aca="false">IF(A111="","",IF(Y111="Y",A111&amp;"_STAAD.std","n/a"))</f>
        <v/>
      </c>
      <c r="AD111" s="10" t="str">
        <f aca="false">IF(A111="","",A111&amp;"_CALC.xlsx")</f>
        <v/>
      </c>
      <c r="AE111" s="10" t="str">
        <f aca="false">IF(A111="","",A111&amp;"_CALC.pdf")</f>
        <v/>
      </c>
      <c r="AF111" s="9"/>
      <c r="AG111" s="9"/>
      <c r="AH111" s="41"/>
      <c r="AI111" s="41"/>
      <c r="AJ111" s="41"/>
      <c r="AK111" s="41"/>
      <c r="AL111" s="41"/>
      <c r="AM111" s="38" t="str">
        <f aca="false">IF(OR(C111="",G111=""),"",IF(G111&lt;=IF(OR(C111="Soldier Pile &amp; Timber Lagging",C111="Trench Shoring Box",C111="Open Cut (battered)"),SG_Criteria!$B$34,SG_Criteria!$B$33),"No ERSS submission",IF(G111&lt;=SG_Criteria!$B$35,"QP(ST)",IF(G111&lt;=SG_Criteria!$B$36,"QP(ST) + AC","Geotechnical building works: QP(Geo) + AC"))))</f>
        <v/>
      </c>
      <c r="AN111" s="38" t="str">
        <f aca="false">IF(C111="","",IF(LEN(IF(AND(Q111&lt;&gt;"",Q111&lt;SG_Criteria!$B$37),"FAIL: base stability FOS &lt; "&amp;SG_Criteria!$B$37&amp;". ","")&amp;IF(AND(D111="Manhole",G111&gt;SG_Criteria!$B$36),"NOTE: BCA lists sewer manholes (pipe &lt;= 2 m dia) &gt; 6 m as non-GBW: QP(ST) + AC. ","")&amp;IF(AND(C111="Trench Shoring Box",H111="Kallang Formation (marine clay)"),"NOTE: check base heave / ground loss for shoring box in marine clay. ","")&amp;IF(AND(C111="Steel Sheet Pile Cofferdam",N(M111)&lt;G111*0.5),"NOTE: short toe embedment, check. ",""))=0,"OK",IF(AND(Q111&lt;&gt;"",Q111&lt;SG_Criteria!$B$37),"FAIL: base stability FOS &lt; "&amp;SG_Criteria!$B$37&amp;". ","")&amp;IF(AND(D111="Manhole",G111&gt;SG_Criteria!$B$36),"NOTE: BCA lists sewer manholes (pipe &lt;= 2 m dia) &gt; 6 m as non-GBW: QP(ST) + AC. ","")&amp;IF(AND(C111="Trench Shoring Box",H111="Kallang Formation (marine clay)"),"NOTE: check base heave / ground loss for shoring box in marine clay. ","")&amp;IF(AND(C111="Steel Sheet Pile Cofferdam",N(M111)&lt;G111*0.5),"NOTE: short toe embedment, check. ","")))</f>
        <v/>
      </c>
      <c r="AO111" s="9"/>
      <c r="AP111" s="9"/>
      <c r="AQ111" s="9"/>
      <c r="AR111" s="9"/>
      <c r="AS111" s="9"/>
      <c r="AT111" s="31"/>
      <c r="AU111" s="10" t="str">
        <f aca="false">IF(C111="","",IF(AND(V111="Approved",ISERROR(SEARCH("FAIL",AN111))),"Y","N"))</f>
        <v/>
      </c>
      <c r="AV111" s="10" t="str">
        <f aca="false">IF(C111="","",C111&amp;"|"&amp;G111&amp;"|"&amp;E111&amp;"|"&amp;H111&amp;"|"&amp;AU111)</f>
        <v/>
      </c>
    </row>
    <row r="112" customFormat="false" ht="15" hidden="false" customHeight="false" outlineLevel="0" collapsed="false">
      <c r="A112" s="10" t="str">
        <f aca="false">IF(C112="","","ERSS-"&amp;IFERROR(VLOOKUP(C112,Lists!$AK$4:$AL$21,2,0),"??")&amp;"-"&amp;TEXT(E112,"0000")&amp;"x"&amp;TEXT(F112,"0000")&amp;"-D"&amp;TEXT(G112*1000,"0000")&amp;"-"&amp;IFERROR(VLOOKUP(H112,Lists!$Y$4:$Z$21,2,0),"??")&amp;"-"&amp;U112)</f>
        <v/>
      </c>
      <c r="B112" s="10" t="str">
        <f aca="false">IF(C112="","",C112&amp;" for "&amp;D112&amp;", "&amp;E112&amp;" x "&amp;F112&amp;" pit, "&amp;TEXT(G112,"0.0")&amp;" m deep, "&amp;H112)</f>
        <v/>
      </c>
      <c r="C112" s="9"/>
      <c r="D112" s="9"/>
      <c r="E112" s="40"/>
      <c r="F112" s="40"/>
      <c r="G112" s="43"/>
      <c r="H112" s="9"/>
      <c r="I112" s="43"/>
      <c r="J112" s="40"/>
      <c r="K112" s="9"/>
      <c r="L112" s="43"/>
      <c r="M112" s="43"/>
      <c r="N112" s="40"/>
      <c r="O112" s="9"/>
      <c r="P112" s="9"/>
      <c r="Q112" s="41"/>
      <c r="R112" s="9"/>
      <c r="S112" s="40"/>
      <c r="T112" s="9"/>
      <c r="U112" s="9"/>
      <c r="V112" s="9"/>
      <c r="W112" s="9"/>
      <c r="X112" s="9"/>
      <c r="Y112" s="9"/>
      <c r="Z112" s="10" t="str">
        <f aca="false">IF(A112="","",SG_Criteria!$B$6&amp;SG_Criteria!$B$11&amp;"\"&amp;A112&amp;"\")</f>
        <v/>
      </c>
      <c r="AA112" s="10" t="str">
        <f aca="false">IF(A112="","",A112&amp;"_CAD.dwg")</f>
        <v/>
      </c>
      <c r="AB112" s="10" t="str">
        <f aca="false">IF(A112="","",A112&amp;"_DWG.pdf")</f>
        <v/>
      </c>
      <c r="AC112" s="10" t="str">
        <f aca="false">IF(A112="","",IF(Y112="Y",A112&amp;"_STAAD.std","n/a"))</f>
        <v/>
      </c>
      <c r="AD112" s="10" t="str">
        <f aca="false">IF(A112="","",A112&amp;"_CALC.xlsx")</f>
        <v/>
      </c>
      <c r="AE112" s="10" t="str">
        <f aca="false">IF(A112="","",A112&amp;"_CALC.pdf")</f>
        <v/>
      </c>
      <c r="AF112" s="9"/>
      <c r="AG112" s="9"/>
      <c r="AH112" s="41"/>
      <c r="AI112" s="41"/>
      <c r="AJ112" s="41"/>
      <c r="AK112" s="41"/>
      <c r="AL112" s="41"/>
      <c r="AM112" s="38" t="str">
        <f aca="false">IF(OR(C112="",G112=""),"",IF(G112&lt;=IF(OR(C112="Soldier Pile &amp; Timber Lagging",C112="Trench Shoring Box",C112="Open Cut (battered)"),SG_Criteria!$B$34,SG_Criteria!$B$33),"No ERSS submission",IF(G112&lt;=SG_Criteria!$B$35,"QP(ST)",IF(G112&lt;=SG_Criteria!$B$36,"QP(ST) + AC","Geotechnical building works: QP(Geo) + AC"))))</f>
        <v/>
      </c>
      <c r="AN112" s="38" t="str">
        <f aca="false">IF(C112="","",IF(LEN(IF(AND(Q112&lt;&gt;"",Q112&lt;SG_Criteria!$B$37),"FAIL: base stability FOS &lt; "&amp;SG_Criteria!$B$37&amp;". ","")&amp;IF(AND(D112="Manhole",G112&gt;SG_Criteria!$B$36),"NOTE: BCA lists sewer manholes (pipe &lt;= 2 m dia) &gt; 6 m as non-GBW: QP(ST) + AC. ","")&amp;IF(AND(C112="Trench Shoring Box",H112="Kallang Formation (marine clay)"),"NOTE: check base heave / ground loss for shoring box in marine clay. ","")&amp;IF(AND(C112="Steel Sheet Pile Cofferdam",N(M112)&lt;G112*0.5),"NOTE: short toe embedment, check. ",""))=0,"OK",IF(AND(Q112&lt;&gt;"",Q112&lt;SG_Criteria!$B$37),"FAIL: base stability FOS &lt; "&amp;SG_Criteria!$B$37&amp;". ","")&amp;IF(AND(D112="Manhole",G112&gt;SG_Criteria!$B$36),"NOTE: BCA lists sewer manholes (pipe &lt;= 2 m dia) &gt; 6 m as non-GBW: QP(ST) + AC. ","")&amp;IF(AND(C112="Trench Shoring Box",H112="Kallang Formation (marine clay)"),"NOTE: check base heave / ground loss for shoring box in marine clay. ","")&amp;IF(AND(C112="Steel Sheet Pile Cofferdam",N(M112)&lt;G112*0.5),"NOTE: short toe embedment, check. ","")))</f>
        <v/>
      </c>
      <c r="AO112" s="9"/>
      <c r="AP112" s="9"/>
      <c r="AQ112" s="9"/>
      <c r="AR112" s="9"/>
      <c r="AS112" s="9"/>
      <c r="AT112" s="31"/>
      <c r="AU112" s="10" t="str">
        <f aca="false">IF(C112="","",IF(AND(V112="Approved",ISERROR(SEARCH("FAIL",AN112))),"Y","N"))</f>
        <v/>
      </c>
      <c r="AV112" s="10" t="str">
        <f aca="false">IF(C112="","",C112&amp;"|"&amp;G112&amp;"|"&amp;E112&amp;"|"&amp;H112&amp;"|"&amp;AU112)</f>
        <v/>
      </c>
    </row>
    <row r="113" customFormat="false" ht="15" hidden="false" customHeight="false" outlineLevel="0" collapsed="false">
      <c r="A113" s="10" t="str">
        <f aca="false">IF(C113="","","ERSS-"&amp;IFERROR(VLOOKUP(C113,Lists!$AK$4:$AL$21,2,0),"??")&amp;"-"&amp;TEXT(E113,"0000")&amp;"x"&amp;TEXT(F113,"0000")&amp;"-D"&amp;TEXT(G113*1000,"0000")&amp;"-"&amp;IFERROR(VLOOKUP(H113,Lists!$Y$4:$Z$21,2,0),"??")&amp;"-"&amp;U113)</f>
        <v/>
      </c>
      <c r="B113" s="10" t="str">
        <f aca="false">IF(C113="","",C113&amp;" for "&amp;D113&amp;", "&amp;E113&amp;" x "&amp;F113&amp;" pit, "&amp;TEXT(G113,"0.0")&amp;" m deep, "&amp;H113)</f>
        <v/>
      </c>
      <c r="C113" s="9"/>
      <c r="D113" s="9"/>
      <c r="E113" s="40"/>
      <c r="F113" s="40"/>
      <c r="G113" s="43"/>
      <c r="H113" s="9"/>
      <c r="I113" s="43"/>
      <c r="J113" s="40"/>
      <c r="K113" s="9"/>
      <c r="L113" s="43"/>
      <c r="M113" s="43"/>
      <c r="N113" s="40"/>
      <c r="O113" s="9"/>
      <c r="P113" s="9"/>
      <c r="Q113" s="41"/>
      <c r="R113" s="9"/>
      <c r="S113" s="40"/>
      <c r="T113" s="9"/>
      <c r="U113" s="9"/>
      <c r="V113" s="9"/>
      <c r="W113" s="9"/>
      <c r="X113" s="9"/>
      <c r="Y113" s="9"/>
      <c r="Z113" s="10" t="str">
        <f aca="false">IF(A113="","",SG_Criteria!$B$6&amp;SG_Criteria!$B$11&amp;"\"&amp;A113&amp;"\")</f>
        <v/>
      </c>
      <c r="AA113" s="10" t="str">
        <f aca="false">IF(A113="","",A113&amp;"_CAD.dwg")</f>
        <v/>
      </c>
      <c r="AB113" s="10" t="str">
        <f aca="false">IF(A113="","",A113&amp;"_DWG.pdf")</f>
        <v/>
      </c>
      <c r="AC113" s="10" t="str">
        <f aca="false">IF(A113="","",IF(Y113="Y",A113&amp;"_STAAD.std","n/a"))</f>
        <v/>
      </c>
      <c r="AD113" s="10" t="str">
        <f aca="false">IF(A113="","",A113&amp;"_CALC.xlsx")</f>
        <v/>
      </c>
      <c r="AE113" s="10" t="str">
        <f aca="false">IF(A113="","",A113&amp;"_CALC.pdf")</f>
        <v/>
      </c>
      <c r="AF113" s="9"/>
      <c r="AG113" s="9"/>
      <c r="AH113" s="41"/>
      <c r="AI113" s="41"/>
      <c r="AJ113" s="41"/>
      <c r="AK113" s="41"/>
      <c r="AL113" s="41"/>
      <c r="AM113" s="38" t="str">
        <f aca="false">IF(OR(C113="",G113=""),"",IF(G113&lt;=IF(OR(C113="Soldier Pile &amp; Timber Lagging",C113="Trench Shoring Box",C113="Open Cut (battered)"),SG_Criteria!$B$34,SG_Criteria!$B$33),"No ERSS submission",IF(G113&lt;=SG_Criteria!$B$35,"QP(ST)",IF(G113&lt;=SG_Criteria!$B$36,"QP(ST) + AC","Geotechnical building works: QP(Geo) + AC"))))</f>
        <v/>
      </c>
      <c r="AN113" s="38" t="str">
        <f aca="false">IF(C113="","",IF(LEN(IF(AND(Q113&lt;&gt;"",Q113&lt;SG_Criteria!$B$37),"FAIL: base stability FOS &lt; "&amp;SG_Criteria!$B$37&amp;". ","")&amp;IF(AND(D113="Manhole",G113&gt;SG_Criteria!$B$36),"NOTE: BCA lists sewer manholes (pipe &lt;= 2 m dia) &gt; 6 m as non-GBW: QP(ST) + AC. ","")&amp;IF(AND(C113="Trench Shoring Box",H113="Kallang Formation (marine clay)"),"NOTE: check base heave / ground loss for shoring box in marine clay. ","")&amp;IF(AND(C113="Steel Sheet Pile Cofferdam",N(M113)&lt;G113*0.5),"NOTE: short toe embedment, check. ",""))=0,"OK",IF(AND(Q113&lt;&gt;"",Q113&lt;SG_Criteria!$B$37),"FAIL: base stability FOS &lt; "&amp;SG_Criteria!$B$37&amp;". ","")&amp;IF(AND(D113="Manhole",G113&gt;SG_Criteria!$B$36),"NOTE: BCA lists sewer manholes (pipe &lt;= 2 m dia) &gt; 6 m as non-GBW: QP(ST) + AC. ","")&amp;IF(AND(C113="Trench Shoring Box",H113="Kallang Formation (marine clay)"),"NOTE: check base heave / ground loss for shoring box in marine clay. ","")&amp;IF(AND(C113="Steel Sheet Pile Cofferdam",N(M113)&lt;G113*0.5),"NOTE: short toe embedment, check. ","")))</f>
        <v/>
      </c>
      <c r="AO113" s="9"/>
      <c r="AP113" s="9"/>
      <c r="AQ113" s="9"/>
      <c r="AR113" s="9"/>
      <c r="AS113" s="9"/>
      <c r="AT113" s="31"/>
      <c r="AU113" s="10" t="str">
        <f aca="false">IF(C113="","",IF(AND(V113="Approved",ISERROR(SEARCH("FAIL",AN113))),"Y","N"))</f>
        <v/>
      </c>
      <c r="AV113" s="10" t="str">
        <f aca="false">IF(C113="","",C113&amp;"|"&amp;G113&amp;"|"&amp;E113&amp;"|"&amp;H113&amp;"|"&amp;AU113)</f>
        <v/>
      </c>
    </row>
    <row r="114" customFormat="false" ht="15" hidden="false" customHeight="false" outlineLevel="0" collapsed="false">
      <c r="A114" s="10" t="str">
        <f aca="false">IF(C114="","","ERSS-"&amp;IFERROR(VLOOKUP(C114,Lists!$AK$4:$AL$21,2,0),"??")&amp;"-"&amp;TEXT(E114,"0000")&amp;"x"&amp;TEXT(F114,"0000")&amp;"-D"&amp;TEXT(G114*1000,"0000")&amp;"-"&amp;IFERROR(VLOOKUP(H114,Lists!$Y$4:$Z$21,2,0),"??")&amp;"-"&amp;U114)</f>
        <v/>
      </c>
      <c r="B114" s="10" t="str">
        <f aca="false">IF(C114="","",C114&amp;" for "&amp;D114&amp;", "&amp;E114&amp;" x "&amp;F114&amp;" pit, "&amp;TEXT(G114,"0.0")&amp;" m deep, "&amp;H114)</f>
        <v/>
      </c>
      <c r="C114" s="9"/>
      <c r="D114" s="9"/>
      <c r="E114" s="40"/>
      <c r="F114" s="40"/>
      <c r="G114" s="43"/>
      <c r="H114" s="9"/>
      <c r="I114" s="43"/>
      <c r="J114" s="40"/>
      <c r="K114" s="9"/>
      <c r="L114" s="43"/>
      <c r="M114" s="43"/>
      <c r="N114" s="40"/>
      <c r="O114" s="9"/>
      <c r="P114" s="9"/>
      <c r="Q114" s="41"/>
      <c r="R114" s="9"/>
      <c r="S114" s="40"/>
      <c r="T114" s="9"/>
      <c r="U114" s="9"/>
      <c r="V114" s="9"/>
      <c r="W114" s="9"/>
      <c r="X114" s="9"/>
      <c r="Y114" s="9"/>
      <c r="Z114" s="10" t="str">
        <f aca="false">IF(A114="","",SG_Criteria!$B$6&amp;SG_Criteria!$B$11&amp;"\"&amp;A114&amp;"\")</f>
        <v/>
      </c>
      <c r="AA114" s="10" t="str">
        <f aca="false">IF(A114="","",A114&amp;"_CAD.dwg")</f>
        <v/>
      </c>
      <c r="AB114" s="10" t="str">
        <f aca="false">IF(A114="","",A114&amp;"_DWG.pdf")</f>
        <v/>
      </c>
      <c r="AC114" s="10" t="str">
        <f aca="false">IF(A114="","",IF(Y114="Y",A114&amp;"_STAAD.std","n/a"))</f>
        <v/>
      </c>
      <c r="AD114" s="10" t="str">
        <f aca="false">IF(A114="","",A114&amp;"_CALC.xlsx")</f>
        <v/>
      </c>
      <c r="AE114" s="10" t="str">
        <f aca="false">IF(A114="","",A114&amp;"_CALC.pdf")</f>
        <v/>
      </c>
      <c r="AF114" s="9"/>
      <c r="AG114" s="9"/>
      <c r="AH114" s="41"/>
      <c r="AI114" s="41"/>
      <c r="AJ114" s="41"/>
      <c r="AK114" s="41"/>
      <c r="AL114" s="41"/>
      <c r="AM114" s="38" t="str">
        <f aca="false">IF(OR(C114="",G114=""),"",IF(G114&lt;=IF(OR(C114="Soldier Pile &amp; Timber Lagging",C114="Trench Shoring Box",C114="Open Cut (battered)"),SG_Criteria!$B$34,SG_Criteria!$B$33),"No ERSS submission",IF(G114&lt;=SG_Criteria!$B$35,"QP(ST)",IF(G114&lt;=SG_Criteria!$B$36,"QP(ST) + AC","Geotechnical building works: QP(Geo) + AC"))))</f>
        <v/>
      </c>
      <c r="AN114" s="38" t="str">
        <f aca="false">IF(C114="","",IF(LEN(IF(AND(Q114&lt;&gt;"",Q114&lt;SG_Criteria!$B$37),"FAIL: base stability FOS &lt; "&amp;SG_Criteria!$B$37&amp;". ","")&amp;IF(AND(D114="Manhole",G114&gt;SG_Criteria!$B$36),"NOTE: BCA lists sewer manholes (pipe &lt;= 2 m dia) &gt; 6 m as non-GBW: QP(ST) + AC. ","")&amp;IF(AND(C114="Trench Shoring Box",H114="Kallang Formation (marine clay)"),"NOTE: check base heave / ground loss for shoring box in marine clay. ","")&amp;IF(AND(C114="Steel Sheet Pile Cofferdam",N(M114)&lt;G114*0.5),"NOTE: short toe embedment, check. ",""))=0,"OK",IF(AND(Q114&lt;&gt;"",Q114&lt;SG_Criteria!$B$37),"FAIL: base stability FOS &lt; "&amp;SG_Criteria!$B$37&amp;". ","")&amp;IF(AND(D114="Manhole",G114&gt;SG_Criteria!$B$36),"NOTE: BCA lists sewer manholes (pipe &lt;= 2 m dia) &gt; 6 m as non-GBW: QP(ST) + AC. ","")&amp;IF(AND(C114="Trench Shoring Box",H114="Kallang Formation (marine clay)"),"NOTE: check base heave / ground loss for shoring box in marine clay. ","")&amp;IF(AND(C114="Steel Sheet Pile Cofferdam",N(M114)&lt;G114*0.5),"NOTE: short toe embedment, check. ","")))</f>
        <v/>
      </c>
      <c r="AO114" s="9"/>
      <c r="AP114" s="9"/>
      <c r="AQ114" s="9"/>
      <c r="AR114" s="9"/>
      <c r="AS114" s="9"/>
      <c r="AT114" s="31"/>
      <c r="AU114" s="10" t="str">
        <f aca="false">IF(C114="","",IF(AND(V114="Approved",ISERROR(SEARCH("FAIL",AN114))),"Y","N"))</f>
        <v/>
      </c>
      <c r="AV114" s="10" t="str">
        <f aca="false">IF(C114="","",C114&amp;"|"&amp;G114&amp;"|"&amp;E114&amp;"|"&amp;H114&amp;"|"&amp;AU114)</f>
        <v/>
      </c>
    </row>
    <row r="115" customFormat="false" ht="15" hidden="false" customHeight="false" outlineLevel="0" collapsed="false">
      <c r="A115" s="10" t="str">
        <f aca="false">IF(C115="","","ERSS-"&amp;IFERROR(VLOOKUP(C115,Lists!$AK$4:$AL$21,2,0),"??")&amp;"-"&amp;TEXT(E115,"0000")&amp;"x"&amp;TEXT(F115,"0000")&amp;"-D"&amp;TEXT(G115*1000,"0000")&amp;"-"&amp;IFERROR(VLOOKUP(H115,Lists!$Y$4:$Z$21,2,0),"??")&amp;"-"&amp;U115)</f>
        <v/>
      </c>
      <c r="B115" s="10" t="str">
        <f aca="false">IF(C115="","",C115&amp;" for "&amp;D115&amp;", "&amp;E115&amp;" x "&amp;F115&amp;" pit, "&amp;TEXT(G115,"0.0")&amp;" m deep, "&amp;H115)</f>
        <v/>
      </c>
      <c r="C115" s="9"/>
      <c r="D115" s="9"/>
      <c r="E115" s="40"/>
      <c r="F115" s="40"/>
      <c r="G115" s="43"/>
      <c r="H115" s="9"/>
      <c r="I115" s="43"/>
      <c r="J115" s="40"/>
      <c r="K115" s="9"/>
      <c r="L115" s="43"/>
      <c r="M115" s="43"/>
      <c r="N115" s="40"/>
      <c r="O115" s="9"/>
      <c r="P115" s="9"/>
      <c r="Q115" s="41"/>
      <c r="R115" s="9"/>
      <c r="S115" s="40"/>
      <c r="T115" s="9"/>
      <c r="U115" s="9"/>
      <c r="V115" s="9"/>
      <c r="W115" s="9"/>
      <c r="X115" s="9"/>
      <c r="Y115" s="9"/>
      <c r="Z115" s="10" t="str">
        <f aca="false">IF(A115="","",SG_Criteria!$B$6&amp;SG_Criteria!$B$11&amp;"\"&amp;A115&amp;"\")</f>
        <v/>
      </c>
      <c r="AA115" s="10" t="str">
        <f aca="false">IF(A115="","",A115&amp;"_CAD.dwg")</f>
        <v/>
      </c>
      <c r="AB115" s="10" t="str">
        <f aca="false">IF(A115="","",A115&amp;"_DWG.pdf")</f>
        <v/>
      </c>
      <c r="AC115" s="10" t="str">
        <f aca="false">IF(A115="","",IF(Y115="Y",A115&amp;"_STAAD.std","n/a"))</f>
        <v/>
      </c>
      <c r="AD115" s="10" t="str">
        <f aca="false">IF(A115="","",A115&amp;"_CALC.xlsx")</f>
        <v/>
      </c>
      <c r="AE115" s="10" t="str">
        <f aca="false">IF(A115="","",A115&amp;"_CALC.pdf")</f>
        <v/>
      </c>
      <c r="AF115" s="9"/>
      <c r="AG115" s="9"/>
      <c r="AH115" s="41"/>
      <c r="AI115" s="41"/>
      <c r="AJ115" s="41"/>
      <c r="AK115" s="41"/>
      <c r="AL115" s="41"/>
      <c r="AM115" s="38" t="str">
        <f aca="false">IF(OR(C115="",G115=""),"",IF(G115&lt;=IF(OR(C115="Soldier Pile &amp; Timber Lagging",C115="Trench Shoring Box",C115="Open Cut (battered)"),SG_Criteria!$B$34,SG_Criteria!$B$33),"No ERSS submission",IF(G115&lt;=SG_Criteria!$B$35,"QP(ST)",IF(G115&lt;=SG_Criteria!$B$36,"QP(ST) + AC","Geotechnical building works: QP(Geo) + AC"))))</f>
        <v/>
      </c>
      <c r="AN115" s="38" t="str">
        <f aca="false">IF(C115="","",IF(LEN(IF(AND(Q115&lt;&gt;"",Q115&lt;SG_Criteria!$B$37),"FAIL: base stability FOS &lt; "&amp;SG_Criteria!$B$37&amp;". ","")&amp;IF(AND(D115="Manhole",G115&gt;SG_Criteria!$B$36),"NOTE: BCA lists sewer manholes (pipe &lt;= 2 m dia) &gt; 6 m as non-GBW: QP(ST) + AC. ","")&amp;IF(AND(C115="Trench Shoring Box",H115="Kallang Formation (marine clay)"),"NOTE: check base heave / ground loss for shoring box in marine clay. ","")&amp;IF(AND(C115="Steel Sheet Pile Cofferdam",N(M115)&lt;G115*0.5),"NOTE: short toe embedment, check. ",""))=0,"OK",IF(AND(Q115&lt;&gt;"",Q115&lt;SG_Criteria!$B$37),"FAIL: base stability FOS &lt; "&amp;SG_Criteria!$B$37&amp;". ","")&amp;IF(AND(D115="Manhole",G115&gt;SG_Criteria!$B$36),"NOTE: BCA lists sewer manholes (pipe &lt;= 2 m dia) &gt; 6 m as non-GBW: QP(ST) + AC. ","")&amp;IF(AND(C115="Trench Shoring Box",H115="Kallang Formation (marine clay)"),"NOTE: check base heave / ground loss for shoring box in marine clay. ","")&amp;IF(AND(C115="Steel Sheet Pile Cofferdam",N(M115)&lt;G115*0.5),"NOTE: short toe embedment, check. ","")))</f>
        <v/>
      </c>
      <c r="AO115" s="9"/>
      <c r="AP115" s="9"/>
      <c r="AQ115" s="9"/>
      <c r="AR115" s="9"/>
      <c r="AS115" s="9"/>
      <c r="AT115" s="31"/>
      <c r="AU115" s="10" t="str">
        <f aca="false">IF(C115="","",IF(AND(V115="Approved",ISERROR(SEARCH("FAIL",AN115))),"Y","N"))</f>
        <v/>
      </c>
      <c r="AV115" s="10" t="str">
        <f aca="false">IF(C115="","",C115&amp;"|"&amp;G115&amp;"|"&amp;E115&amp;"|"&amp;H115&amp;"|"&amp;AU115)</f>
        <v/>
      </c>
    </row>
    <row r="116" customFormat="false" ht="15" hidden="false" customHeight="false" outlineLevel="0" collapsed="false">
      <c r="A116" s="10" t="str">
        <f aca="false">IF(C116="","","ERSS-"&amp;IFERROR(VLOOKUP(C116,Lists!$AK$4:$AL$21,2,0),"??")&amp;"-"&amp;TEXT(E116,"0000")&amp;"x"&amp;TEXT(F116,"0000")&amp;"-D"&amp;TEXT(G116*1000,"0000")&amp;"-"&amp;IFERROR(VLOOKUP(H116,Lists!$Y$4:$Z$21,2,0),"??")&amp;"-"&amp;U116)</f>
        <v/>
      </c>
      <c r="B116" s="10" t="str">
        <f aca="false">IF(C116="","",C116&amp;" for "&amp;D116&amp;", "&amp;E116&amp;" x "&amp;F116&amp;" pit, "&amp;TEXT(G116,"0.0")&amp;" m deep, "&amp;H116)</f>
        <v/>
      </c>
      <c r="C116" s="9"/>
      <c r="D116" s="9"/>
      <c r="E116" s="40"/>
      <c r="F116" s="40"/>
      <c r="G116" s="43"/>
      <c r="H116" s="9"/>
      <c r="I116" s="43"/>
      <c r="J116" s="40"/>
      <c r="K116" s="9"/>
      <c r="L116" s="43"/>
      <c r="M116" s="43"/>
      <c r="N116" s="40"/>
      <c r="O116" s="9"/>
      <c r="P116" s="9"/>
      <c r="Q116" s="41"/>
      <c r="R116" s="9"/>
      <c r="S116" s="40"/>
      <c r="T116" s="9"/>
      <c r="U116" s="9"/>
      <c r="V116" s="9"/>
      <c r="W116" s="9"/>
      <c r="X116" s="9"/>
      <c r="Y116" s="9"/>
      <c r="Z116" s="10" t="str">
        <f aca="false">IF(A116="","",SG_Criteria!$B$6&amp;SG_Criteria!$B$11&amp;"\"&amp;A116&amp;"\")</f>
        <v/>
      </c>
      <c r="AA116" s="10" t="str">
        <f aca="false">IF(A116="","",A116&amp;"_CAD.dwg")</f>
        <v/>
      </c>
      <c r="AB116" s="10" t="str">
        <f aca="false">IF(A116="","",A116&amp;"_DWG.pdf")</f>
        <v/>
      </c>
      <c r="AC116" s="10" t="str">
        <f aca="false">IF(A116="","",IF(Y116="Y",A116&amp;"_STAAD.std","n/a"))</f>
        <v/>
      </c>
      <c r="AD116" s="10" t="str">
        <f aca="false">IF(A116="","",A116&amp;"_CALC.xlsx")</f>
        <v/>
      </c>
      <c r="AE116" s="10" t="str">
        <f aca="false">IF(A116="","",A116&amp;"_CALC.pdf")</f>
        <v/>
      </c>
      <c r="AF116" s="9"/>
      <c r="AG116" s="9"/>
      <c r="AH116" s="41"/>
      <c r="AI116" s="41"/>
      <c r="AJ116" s="41"/>
      <c r="AK116" s="41"/>
      <c r="AL116" s="41"/>
      <c r="AM116" s="38" t="str">
        <f aca="false">IF(OR(C116="",G116=""),"",IF(G116&lt;=IF(OR(C116="Soldier Pile &amp; Timber Lagging",C116="Trench Shoring Box",C116="Open Cut (battered)"),SG_Criteria!$B$34,SG_Criteria!$B$33),"No ERSS submission",IF(G116&lt;=SG_Criteria!$B$35,"QP(ST)",IF(G116&lt;=SG_Criteria!$B$36,"QP(ST) + AC","Geotechnical building works: QP(Geo) + AC"))))</f>
        <v/>
      </c>
      <c r="AN116" s="38" t="str">
        <f aca="false">IF(C116="","",IF(LEN(IF(AND(Q116&lt;&gt;"",Q116&lt;SG_Criteria!$B$37),"FAIL: base stability FOS &lt; "&amp;SG_Criteria!$B$37&amp;". ","")&amp;IF(AND(D116="Manhole",G116&gt;SG_Criteria!$B$36),"NOTE: BCA lists sewer manholes (pipe &lt;= 2 m dia) &gt; 6 m as non-GBW: QP(ST) + AC. ","")&amp;IF(AND(C116="Trench Shoring Box",H116="Kallang Formation (marine clay)"),"NOTE: check base heave / ground loss for shoring box in marine clay. ","")&amp;IF(AND(C116="Steel Sheet Pile Cofferdam",N(M116)&lt;G116*0.5),"NOTE: short toe embedment, check. ",""))=0,"OK",IF(AND(Q116&lt;&gt;"",Q116&lt;SG_Criteria!$B$37),"FAIL: base stability FOS &lt; "&amp;SG_Criteria!$B$37&amp;". ","")&amp;IF(AND(D116="Manhole",G116&gt;SG_Criteria!$B$36),"NOTE: BCA lists sewer manholes (pipe &lt;= 2 m dia) &gt; 6 m as non-GBW: QP(ST) + AC. ","")&amp;IF(AND(C116="Trench Shoring Box",H116="Kallang Formation (marine clay)"),"NOTE: check base heave / ground loss for shoring box in marine clay. ","")&amp;IF(AND(C116="Steel Sheet Pile Cofferdam",N(M116)&lt;G116*0.5),"NOTE: short toe embedment, check. ","")))</f>
        <v/>
      </c>
      <c r="AO116" s="9"/>
      <c r="AP116" s="9"/>
      <c r="AQ116" s="9"/>
      <c r="AR116" s="9"/>
      <c r="AS116" s="9"/>
      <c r="AT116" s="31"/>
      <c r="AU116" s="10" t="str">
        <f aca="false">IF(C116="","",IF(AND(V116="Approved",ISERROR(SEARCH("FAIL",AN116))),"Y","N"))</f>
        <v/>
      </c>
      <c r="AV116" s="10" t="str">
        <f aca="false">IF(C116="","",C116&amp;"|"&amp;G116&amp;"|"&amp;E116&amp;"|"&amp;H116&amp;"|"&amp;AU116)</f>
        <v/>
      </c>
    </row>
    <row r="117" customFormat="false" ht="15" hidden="false" customHeight="false" outlineLevel="0" collapsed="false">
      <c r="A117" s="10" t="str">
        <f aca="false">IF(C117="","","ERSS-"&amp;IFERROR(VLOOKUP(C117,Lists!$AK$4:$AL$21,2,0),"??")&amp;"-"&amp;TEXT(E117,"0000")&amp;"x"&amp;TEXT(F117,"0000")&amp;"-D"&amp;TEXT(G117*1000,"0000")&amp;"-"&amp;IFERROR(VLOOKUP(H117,Lists!$Y$4:$Z$21,2,0),"??")&amp;"-"&amp;U117)</f>
        <v/>
      </c>
      <c r="B117" s="10" t="str">
        <f aca="false">IF(C117="","",C117&amp;" for "&amp;D117&amp;", "&amp;E117&amp;" x "&amp;F117&amp;" pit, "&amp;TEXT(G117,"0.0")&amp;" m deep, "&amp;H117)</f>
        <v/>
      </c>
      <c r="C117" s="9"/>
      <c r="D117" s="9"/>
      <c r="E117" s="40"/>
      <c r="F117" s="40"/>
      <c r="G117" s="43"/>
      <c r="H117" s="9"/>
      <c r="I117" s="43"/>
      <c r="J117" s="40"/>
      <c r="K117" s="9"/>
      <c r="L117" s="43"/>
      <c r="M117" s="43"/>
      <c r="N117" s="40"/>
      <c r="O117" s="9"/>
      <c r="P117" s="9"/>
      <c r="Q117" s="41"/>
      <c r="R117" s="9"/>
      <c r="S117" s="40"/>
      <c r="T117" s="9"/>
      <c r="U117" s="9"/>
      <c r="V117" s="9"/>
      <c r="W117" s="9"/>
      <c r="X117" s="9"/>
      <c r="Y117" s="9"/>
      <c r="Z117" s="10" t="str">
        <f aca="false">IF(A117="","",SG_Criteria!$B$6&amp;SG_Criteria!$B$11&amp;"\"&amp;A117&amp;"\")</f>
        <v/>
      </c>
      <c r="AA117" s="10" t="str">
        <f aca="false">IF(A117="","",A117&amp;"_CAD.dwg")</f>
        <v/>
      </c>
      <c r="AB117" s="10" t="str">
        <f aca="false">IF(A117="","",A117&amp;"_DWG.pdf")</f>
        <v/>
      </c>
      <c r="AC117" s="10" t="str">
        <f aca="false">IF(A117="","",IF(Y117="Y",A117&amp;"_STAAD.std","n/a"))</f>
        <v/>
      </c>
      <c r="AD117" s="10" t="str">
        <f aca="false">IF(A117="","",A117&amp;"_CALC.xlsx")</f>
        <v/>
      </c>
      <c r="AE117" s="10" t="str">
        <f aca="false">IF(A117="","",A117&amp;"_CALC.pdf")</f>
        <v/>
      </c>
      <c r="AF117" s="9"/>
      <c r="AG117" s="9"/>
      <c r="AH117" s="41"/>
      <c r="AI117" s="41"/>
      <c r="AJ117" s="41"/>
      <c r="AK117" s="41"/>
      <c r="AL117" s="41"/>
      <c r="AM117" s="38" t="str">
        <f aca="false">IF(OR(C117="",G117=""),"",IF(G117&lt;=IF(OR(C117="Soldier Pile &amp; Timber Lagging",C117="Trench Shoring Box",C117="Open Cut (battered)"),SG_Criteria!$B$34,SG_Criteria!$B$33),"No ERSS submission",IF(G117&lt;=SG_Criteria!$B$35,"QP(ST)",IF(G117&lt;=SG_Criteria!$B$36,"QP(ST) + AC","Geotechnical building works: QP(Geo) + AC"))))</f>
        <v/>
      </c>
      <c r="AN117" s="38" t="str">
        <f aca="false">IF(C117="","",IF(LEN(IF(AND(Q117&lt;&gt;"",Q117&lt;SG_Criteria!$B$37),"FAIL: base stability FOS &lt; "&amp;SG_Criteria!$B$37&amp;". ","")&amp;IF(AND(D117="Manhole",G117&gt;SG_Criteria!$B$36),"NOTE: BCA lists sewer manholes (pipe &lt;= 2 m dia) &gt; 6 m as non-GBW: QP(ST) + AC. ","")&amp;IF(AND(C117="Trench Shoring Box",H117="Kallang Formation (marine clay)"),"NOTE: check base heave / ground loss for shoring box in marine clay. ","")&amp;IF(AND(C117="Steel Sheet Pile Cofferdam",N(M117)&lt;G117*0.5),"NOTE: short toe embedment, check. ",""))=0,"OK",IF(AND(Q117&lt;&gt;"",Q117&lt;SG_Criteria!$B$37),"FAIL: base stability FOS &lt; "&amp;SG_Criteria!$B$37&amp;". ","")&amp;IF(AND(D117="Manhole",G117&gt;SG_Criteria!$B$36),"NOTE: BCA lists sewer manholes (pipe &lt;= 2 m dia) &gt; 6 m as non-GBW: QP(ST) + AC. ","")&amp;IF(AND(C117="Trench Shoring Box",H117="Kallang Formation (marine clay)"),"NOTE: check base heave / ground loss for shoring box in marine clay. ","")&amp;IF(AND(C117="Steel Sheet Pile Cofferdam",N(M117)&lt;G117*0.5),"NOTE: short toe embedment, check. ","")))</f>
        <v/>
      </c>
      <c r="AO117" s="9"/>
      <c r="AP117" s="9"/>
      <c r="AQ117" s="9"/>
      <c r="AR117" s="9"/>
      <c r="AS117" s="9"/>
      <c r="AT117" s="31"/>
      <c r="AU117" s="10" t="str">
        <f aca="false">IF(C117="","",IF(AND(V117="Approved",ISERROR(SEARCH("FAIL",AN117))),"Y","N"))</f>
        <v/>
      </c>
      <c r="AV117" s="10" t="str">
        <f aca="false">IF(C117="","",C117&amp;"|"&amp;G117&amp;"|"&amp;E117&amp;"|"&amp;H117&amp;"|"&amp;AU117)</f>
        <v/>
      </c>
    </row>
    <row r="118" customFormat="false" ht="15" hidden="false" customHeight="false" outlineLevel="0" collapsed="false">
      <c r="A118" s="10" t="str">
        <f aca="false">IF(C118="","","ERSS-"&amp;IFERROR(VLOOKUP(C118,Lists!$AK$4:$AL$21,2,0),"??")&amp;"-"&amp;TEXT(E118,"0000")&amp;"x"&amp;TEXT(F118,"0000")&amp;"-D"&amp;TEXT(G118*1000,"0000")&amp;"-"&amp;IFERROR(VLOOKUP(H118,Lists!$Y$4:$Z$21,2,0),"??")&amp;"-"&amp;U118)</f>
        <v/>
      </c>
      <c r="B118" s="10" t="str">
        <f aca="false">IF(C118="","",C118&amp;" for "&amp;D118&amp;", "&amp;E118&amp;" x "&amp;F118&amp;" pit, "&amp;TEXT(G118,"0.0")&amp;" m deep, "&amp;H118)</f>
        <v/>
      </c>
      <c r="C118" s="9"/>
      <c r="D118" s="9"/>
      <c r="E118" s="40"/>
      <c r="F118" s="40"/>
      <c r="G118" s="43"/>
      <c r="H118" s="9"/>
      <c r="I118" s="43"/>
      <c r="J118" s="40"/>
      <c r="K118" s="9"/>
      <c r="L118" s="43"/>
      <c r="M118" s="43"/>
      <c r="N118" s="40"/>
      <c r="O118" s="9"/>
      <c r="P118" s="9"/>
      <c r="Q118" s="41"/>
      <c r="R118" s="9"/>
      <c r="S118" s="40"/>
      <c r="T118" s="9"/>
      <c r="U118" s="9"/>
      <c r="V118" s="9"/>
      <c r="W118" s="9"/>
      <c r="X118" s="9"/>
      <c r="Y118" s="9"/>
      <c r="Z118" s="10" t="str">
        <f aca="false">IF(A118="","",SG_Criteria!$B$6&amp;SG_Criteria!$B$11&amp;"\"&amp;A118&amp;"\")</f>
        <v/>
      </c>
      <c r="AA118" s="10" t="str">
        <f aca="false">IF(A118="","",A118&amp;"_CAD.dwg")</f>
        <v/>
      </c>
      <c r="AB118" s="10" t="str">
        <f aca="false">IF(A118="","",A118&amp;"_DWG.pdf")</f>
        <v/>
      </c>
      <c r="AC118" s="10" t="str">
        <f aca="false">IF(A118="","",IF(Y118="Y",A118&amp;"_STAAD.std","n/a"))</f>
        <v/>
      </c>
      <c r="AD118" s="10" t="str">
        <f aca="false">IF(A118="","",A118&amp;"_CALC.xlsx")</f>
        <v/>
      </c>
      <c r="AE118" s="10" t="str">
        <f aca="false">IF(A118="","",A118&amp;"_CALC.pdf")</f>
        <v/>
      </c>
      <c r="AF118" s="9"/>
      <c r="AG118" s="9"/>
      <c r="AH118" s="41"/>
      <c r="AI118" s="41"/>
      <c r="AJ118" s="41"/>
      <c r="AK118" s="41"/>
      <c r="AL118" s="41"/>
      <c r="AM118" s="38" t="str">
        <f aca="false">IF(OR(C118="",G118=""),"",IF(G118&lt;=IF(OR(C118="Soldier Pile &amp; Timber Lagging",C118="Trench Shoring Box",C118="Open Cut (battered)"),SG_Criteria!$B$34,SG_Criteria!$B$33),"No ERSS submission",IF(G118&lt;=SG_Criteria!$B$35,"QP(ST)",IF(G118&lt;=SG_Criteria!$B$36,"QP(ST) + AC","Geotechnical building works: QP(Geo) + AC"))))</f>
        <v/>
      </c>
      <c r="AN118" s="38" t="str">
        <f aca="false">IF(C118="","",IF(LEN(IF(AND(Q118&lt;&gt;"",Q118&lt;SG_Criteria!$B$37),"FAIL: base stability FOS &lt; "&amp;SG_Criteria!$B$37&amp;". ","")&amp;IF(AND(D118="Manhole",G118&gt;SG_Criteria!$B$36),"NOTE: BCA lists sewer manholes (pipe &lt;= 2 m dia) &gt; 6 m as non-GBW: QP(ST) + AC. ","")&amp;IF(AND(C118="Trench Shoring Box",H118="Kallang Formation (marine clay)"),"NOTE: check base heave / ground loss for shoring box in marine clay. ","")&amp;IF(AND(C118="Steel Sheet Pile Cofferdam",N(M118)&lt;G118*0.5),"NOTE: short toe embedment, check. ",""))=0,"OK",IF(AND(Q118&lt;&gt;"",Q118&lt;SG_Criteria!$B$37),"FAIL: base stability FOS &lt; "&amp;SG_Criteria!$B$37&amp;". ","")&amp;IF(AND(D118="Manhole",G118&gt;SG_Criteria!$B$36),"NOTE: BCA lists sewer manholes (pipe &lt;= 2 m dia) &gt; 6 m as non-GBW: QP(ST) + AC. ","")&amp;IF(AND(C118="Trench Shoring Box",H118="Kallang Formation (marine clay)"),"NOTE: check base heave / ground loss for shoring box in marine clay. ","")&amp;IF(AND(C118="Steel Sheet Pile Cofferdam",N(M118)&lt;G118*0.5),"NOTE: short toe embedment, check. ","")))</f>
        <v/>
      </c>
      <c r="AO118" s="9"/>
      <c r="AP118" s="9"/>
      <c r="AQ118" s="9"/>
      <c r="AR118" s="9"/>
      <c r="AS118" s="9"/>
      <c r="AT118" s="31"/>
      <c r="AU118" s="10" t="str">
        <f aca="false">IF(C118="","",IF(AND(V118="Approved",ISERROR(SEARCH("FAIL",AN118))),"Y","N"))</f>
        <v/>
      </c>
      <c r="AV118" s="10" t="str">
        <f aca="false">IF(C118="","",C118&amp;"|"&amp;G118&amp;"|"&amp;E118&amp;"|"&amp;H118&amp;"|"&amp;AU118)</f>
        <v/>
      </c>
    </row>
    <row r="119" customFormat="false" ht="15" hidden="false" customHeight="false" outlineLevel="0" collapsed="false">
      <c r="A119" s="10" t="str">
        <f aca="false">IF(C119="","","ERSS-"&amp;IFERROR(VLOOKUP(C119,Lists!$AK$4:$AL$21,2,0),"??")&amp;"-"&amp;TEXT(E119,"0000")&amp;"x"&amp;TEXT(F119,"0000")&amp;"-D"&amp;TEXT(G119*1000,"0000")&amp;"-"&amp;IFERROR(VLOOKUP(H119,Lists!$Y$4:$Z$21,2,0),"??")&amp;"-"&amp;U119)</f>
        <v/>
      </c>
      <c r="B119" s="10" t="str">
        <f aca="false">IF(C119="","",C119&amp;" for "&amp;D119&amp;", "&amp;E119&amp;" x "&amp;F119&amp;" pit, "&amp;TEXT(G119,"0.0")&amp;" m deep, "&amp;H119)</f>
        <v/>
      </c>
      <c r="C119" s="9"/>
      <c r="D119" s="9"/>
      <c r="E119" s="40"/>
      <c r="F119" s="40"/>
      <c r="G119" s="43"/>
      <c r="H119" s="9"/>
      <c r="I119" s="43"/>
      <c r="J119" s="40"/>
      <c r="K119" s="9"/>
      <c r="L119" s="43"/>
      <c r="M119" s="43"/>
      <c r="N119" s="40"/>
      <c r="O119" s="9"/>
      <c r="P119" s="9"/>
      <c r="Q119" s="41"/>
      <c r="R119" s="9"/>
      <c r="S119" s="40"/>
      <c r="T119" s="9"/>
      <c r="U119" s="9"/>
      <c r="V119" s="9"/>
      <c r="W119" s="9"/>
      <c r="X119" s="9"/>
      <c r="Y119" s="9"/>
      <c r="Z119" s="10" t="str">
        <f aca="false">IF(A119="","",SG_Criteria!$B$6&amp;SG_Criteria!$B$11&amp;"\"&amp;A119&amp;"\")</f>
        <v/>
      </c>
      <c r="AA119" s="10" t="str">
        <f aca="false">IF(A119="","",A119&amp;"_CAD.dwg")</f>
        <v/>
      </c>
      <c r="AB119" s="10" t="str">
        <f aca="false">IF(A119="","",A119&amp;"_DWG.pdf")</f>
        <v/>
      </c>
      <c r="AC119" s="10" t="str">
        <f aca="false">IF(A119="","",IF(Y119="Y",A119&amp;"_STAAD.std","n/a"))</f>
        <v/>
      </c>
      <c r="AD119" s="10" t="str">
        <f aca="false">IF(A119="","",A119&amp;"_CALC.xlsx")</f>
        <v/>
      </c>
      <c r="AE119" s="10" t="str">
        <f aca="false">IF(A119="","",A119&amp;"_CALC.pdf")</f>
        <v/>
      </c>
      <c r="AF119" s="9"/>
      <c r="AG119" s="9"/>
      <c r="AH119" s="41"/>
      <c r="AI119" s="41"/>
      <c r="AJ119" s="41"/>
      <c r="AK119" s="41"/>
      <c r="AL119" s="41"/>
      <c r="AM119" s="38" t="str">
        <f aca="false">IF(OR(C119="",G119=""),"",IF(G119&lt;=IF(OR(C119="Soldier Pile &amp; Timber Lagging",C119="Trench Shoring Box",C119="Open Cut (battered)"),SG_Criteria!$B$34,SG_Criteria!$B$33),"No ERSS submission",IF(G119&lt;=SG_Criteria!$B$35,"QP(ST)",IF(G119&lt;=SG_Criteria!$B$36,"QP(ST) + AC","Geotechnical building works: QP(Geo) + AC"))))</f>
        <v/>
      </c>
      <c r="AN119" s="38" t="str">
        <f aca="false">IF(C119="","",IF(LEN(IF(AND(Q119&lt;&gt;"",Q119&lt;SG_Criteria!$B$37),"FAIL: base stability FOS &lt; "&amp;SG_Criteria!$B$37&amp;". ","")&amp;IF(AND(D119="Manhole",G119&gt;SG_Criteria!$B$36),"NOTE: BCA lists sewer manholes (pipe &lt;= 2 m dia) &gt; 6 m as non-GBW: QP(ST) + AC. ","")&amp;IF(AND(C119="Trench Shoring Box",H119="Kallang Formation (marine clay)"),"NOTE: check base heave / ground loss for shoring box in marine clay. ","")&amp;IF(AND(C119="Steel Sheet Pile Cofferdam",N(M119)&lt;G119*0.5),"NOTE: short toe embedment, check. ",""))=0,"OK",IF(AND(Q119&lt;&gt;"",Q119&lt;SG_Criteria!$B$37),"FAIL: base stability FOS &lt; "&amp;SG_Criteria!$B$37&amp;". ","")&amp;IF(AND(D119="Manhole",G119&gt;SG_Criteria!$B$36),"NOTE: BCA lists sewer manholes (pipe &lt;= 2 m dia) &gt; 6 m as non-GBW: QP(ST) + AC. ","")&amp;IF(AND(C119="Trench Shoring Box",H119="Kallang Formation (marine clay)"),"NOTE: check base heave / ground loss for shoring box in marine clay. ","")&amp;IF(AND(C119="Steel Sheet Pile Cofferdam",N(M119)&lt;G119*0.5),"NOTE: short toe embedment, check. ","")))</f>
        <v/>
      </c>
      <c r="AO119" s="9"/>
      <c r="AP119" s="9"/>
      <c r="AQ119" s="9"/>
      <c r="AR119" s="9"/>
      <c r="AS119" s="9"/>
      <c r="AT119" s="31"/>
      <c r="AU119" s="10" t="str">
        <f aca="false">IF(C119="","",IF(AND(V119="Approved",ISERROR(SEARCH("FAIL",AN119))),"Y","N"))</f>
        <v/>
      </c>
      <c r="AV119" s="10" t="str">
        <f aca="false">IF(C119="","",C119&amp;"|"&amp;G119&amp;"|"&amp;E119&amp;"|"&amp;H119&amp;"|"&amp;AU119)</f>
        <v/>
      </c>
    </row>
    <row r="120" customFormat="false" ht="15" hidden="false" customHeight="false" outlineLevel="0" collapsed="false">
      <c r="A120" s="10" t="str">
        <f aca="false">IF(C120="","","ERSS-"&amp;IFERROR(VLOOKUP(C120,Lists!$AK$4:$AL$21,2,0),"??")&amp;"-"&amp;TEXT(E120,"0000")&amp;"x"&amp;TEXT(F120,"0000")&amp;"-D"&amp;TEXT(G120*1000,"0000")&amp;"-"&amp;IFERROR(VLOOKUP(H120,Lists!$Y$4:$Z$21,2,0),"??")&amp;"-"&amp;U120)</f>
        <v/>
      </c>
      <c r="B120" s="10" t="str">
        <f aca="false">IF(C120="","",C120&amp;" for "&amp;D120&amp;", "&amp;E120&amp;" x "&amp;F120&amp;" pit, "&amp;TEXT(G120,"0.0")&amp;" m deep, "&amp;H120)</f>
        <v/>
      </c>
      <c r="C120" s="9"/>
      <c r="D120" s="9"/>
      <c r="E120" s="40"/>
      <c r="F120" s="40"/>
      <c r="G120" s="43"/>
      <c r="H120" s="9"/>
      <c r="I120" s="43"/>
      <c r="J120" s="40"/>
      <c r="K120" s="9"/>
      <c r="L120" s="43"/>
      <c r="M120" s="43"/>
      <c r="N120" s="40"/>
      <c r="O120" s="9"/>
      <c r="P120" s="9"/>
      <c r="Q120" s="41"/>
      <c r="R120" s="9"/>
      <c r="S120" s="40"/>
      <c r="T120" s="9"/>
      <c r="U120" s="9"/>
      <c r="V120" s="9"/>
      <c r="W120" s="9"/>
      <c r="X120" s="9"/>
      <c r="Y120" s="9"/>
      <c r="Z120" s="10" t="str">
        <f aca="false">IF(A120="","",SG_Criteria!$B$6&amp;SG_Criteria!$B$11&amp;"\"&amp;A120&amp;"\")</f>
        <v/>
      </c>
      <c r="AA120" s="10" t="str">
        <f aca="false">IF(A120="","",A120&amp;"_CAD.dwg")</f>
        <v/>
      </c>
      <c r="AB120" s="10" t="str">
        <f aca="false">IF(A120="","",A120&amp;"_DWG.pdf")</f>
        <v/>
      </c>
      <c r="AC120" s="10" t="str">
        <f aca="false">IF(A120="","",IF(Y120="Y",A120&amp;"_STAAD.std","n/a"))</f>
        <v/>
      </c>
      <c r="AD120" s="10" t="str">
        <f aca="false">IF(A120="","",A120&amp;"_CALC.xlsx")</f>
        <v/>
      </c>
      <c r="AE120" s="10" t="str">
        <f aca="false">IF(A120="","",A120&amp;"_CALC.pdf")</f>
        <v/>
      </c>
      <c r="AF120" s="9"/>
      <c r="AG120" s="9"/>
      <c r="AH120" s="41"/>
      <c r="AI120" s="41"/>
      <c r="AJ120" s="41"/>
      <c r="AK120" s="41"/>
      <c r="AL120" s="41"/>
      <c r="AM120" s="38" t="str">
        <f aca="false">IF(OR(C120="",G120=""),"",IF(G120&lt;=IF(OR(C120="Soldier Pile &amp; Timber Lagging",C120="Trench Shoring Box",C120="Open Cut (battered)"),SG_Criteria!$B$34,SG_Criteria!$B$33),"No ERSS submission",IF(G120&lt;=SG_Criteria!$B$35,"QP(ST)",IF(G120&lt;=SG_Criteria!$B$36,"QP(ST) + AC","Geotechnical building works: QP(Geo) + AC"))))</f>
        <v/>
      </c>
      <c r="AN120" s="38" t="str">
        <f aca="false">IF(C120="","",IF(LEN(IF(AND(Q120&lt;&gt;"",Q120&lt;SG_Criteria!$B$37),"FAIL: base stability FOS &lt; "&amp;SG_Criteria!$B$37&amp;". ","")&amp;IF(AND(D120="Manhole",G120&gt;SG_Criteria!$B$36),"NOTE: BCA lists sewer manholes (pipe &lt;= 2 m dia) &gt; 6 m as non-GBW: QP(ST) + AC. ","")&amp;IF(AND(C120="Trench Shoring Box",H120="Kallang Formation (marine clay)"),"NOTE: check base heave / ground loss for shoring box in marine clay. ","")&amp;IF(AND(C120="Steel Sheet Pile Cofferdam",N(M120)&lt;G120*0.5),"NOTE: short toe embedment, check. ",""))=0,"OK",IF(AND(Q120&lt;&gt;"",Q120&lt;SG_Criteria!$B$37),"FAIL: base stability FOS &lt; "&amp;SG_Criteria!$B$37&amp;". ","")&amp;IF(AND(D120="Manhole",G120&gt;SG_Criteria!$B$36),"NOTE: BCA lists sewer manholes (pipe &lt;= 2 m dia) &gt; 6 m as non-GBW: QP(ST) + AC. ","")&amp;IF(AND(C120="Trench Shoring Box",H120="Kallang Formation (marine clay)"),"NOTE: check base heave / ground loss for shoring box in marine clay. ","")&amp;IF(AND(C120="Steel Sheet Pile Cofferdam",N(M120)&lt;G120*0.5),"NOTE: short toe embedment, check. ","")))</f>
        <v/>
      </c>
      <c r="AO120" s="9"/>
      <c r="AP120" s="9"/>
      <c r="AQ120" s="9"/>
      <c r="AR120" s="9"/>
      <c r="AS120" s="9"/>
      <c r="AT120" s="31"/>
      <c r="AU120" s="10" t="str">
        <f aca="false">IF(C120="","",IF(AND(V120="Approved",ISERROR(SEARCH("FAIL",AN120))),"Y","N"))</f>
        <v/>
      </c>
      <c r="AV120" s="10" t="str">
        <f aca="false">IF(C120="","",C120&amp;"|"&amp;G120&amp;"|"&amp;E120&amp;"|"&amp;H120&amp;"|"&amp;AU120)</f>
        <v/>
      </c>
    </row>
    <row r="121" customFormat="false" ht="15" hidden="false" customHeight="false" outlineLevel="0" collapsed="false">
      <c r="A121" s="10" t="str">
        <f aca="false">IF(C121="","","ERSS-"&amp;IFERROR(VLOOKUP(C121,Lists!$AK$4:$AL$21,2,0),"??")&amp;"-"&amp;TEXT(E121,"0000")&amp;"x"&amp;TEXT(F121,"0000")&amp;"-D"&amp;TEXT(G121*1000,"0000")&amp;"-"&amp;IFERROR(VLOOKUP(H121,Lists!$Y$4:$Z$21,2,0),"??")&amp;"-"&amp;U121)</f>
        <v/>
      </c>
      <c r="B121" s="10" t="str">
        <f aca="false">IF(C121="","",C121&amp;" for "&amp;D121&amp;", "&amp;E121&amp;" x "&amp;F121&amp;" pit, "&amp;TEXT(G121,"0.0")&amp;" m deep, "&amp;H121)</f>
        <v/>
      </c>
      <c r="C121" s="9"/>
      <c r="D121" s="9"/>
      <c r="E121" s="40"/>
      <c r="F121" s="40"/>
      <c r="G121" s="43"/>
      <c r="H121" s="9"/>
      <c r="I121" s="43"/>
      <c r="J121" s="40"/>
      <c r="K121" s="9"/>
      <c r="L121" s="43"/>
      <c r="M121" s="43"/>
      <c r="N121" s="40"/>
      <c r="O121" s="9"/>
      <c r="P121" s="9"/>
      <c r="Q121" s="41"/>
      <c r="R121" s="9"/>
      <c r="S121" s="40"/>
      <c r="T121" s="9"/>
      <c r="U121" s="9"/>
      <c r="V121" s="9"/>
      <c r="W121" s="9"/>
      <c r="X121" s="9"/>
      <c r="Y121" s="9"/>
      <c r="Z121" s="10" t="str">
        <f aca="false">IF(A121="","",SG_Criteria!$B$6&amp;SG_Criteria!$B$11&amp;"\"&amp;A121&amp;"\")</f>
        <v/>
      </c>
      <c r="AA121" s="10" t="str">
        <f aca="false">IF(A121="","",A121&amp;"_CAD.dwg")</f>
        <v/>
      </c>
      <c r="AB121" s="10" t="str">
        <f aca="false">IF(A121="","",A121&amp;"_DWG.pdf")</f>
        <v/>
      </c>
      <c r="AC121" s="10" t="str">
        <f aca="false">IF(A121="","",IF(Y121="Y",A121&amp;"_STAAD.std","n/a"))</f>
        <v/>
      </c>
      <c r="AD121" s="10" t="str">
        <f aca="false">IF(A121="","",A121&amp;"_CALC.xlsx")</f>
        <v/>
      </c>
      <c r="AE121" s="10" t="str">
        <f aca="false">IF(A121="","",A121&amp;"_CALC.pdf")</f>
        <v/>
      </c>
      <c r="AF121" s="9"/>
      <c r="AG121" s="9"/>
      <c r="AH121" s="41"/>
      <c r="AI121" s="41"/>
      <c r="AJ121" s="41"/>
      <c r="AK121" s="41"/>
      <c r="AL121" s="41"/>
      <c r="AM121" s="38" t="str">
        <f aca="false">IF(OR(C121="",G121=""),"",IF(G121&lt;=IF(OR(C121="Soldier Pile &amp; Timber Lagging",C121="Trench Shoring Box",C121="Open Cut (battered)"),SG_Criteria!$B$34,SG_Criteria!$B$33),"No ERSS submission",IF(G121&lt;=SG_Criteria!$B$35,"QP(ST)",IF(G121&lt;=SG_Criteria!$B$36,"QP(ST) + AC","Geotechnical building works: QP(Geo) + AC"))))</f>
        <v/>
      </c>
      <c r="AN121" s="38" t="str">
        <f aca="false">IF(C121="","",IF(LEN(IF(AND(Q121&lt;&gt;"",Q121&lt;SG_Criteria!$B$37),"FAIL: base stability FOS &lt; "&amp;SG_Criteria!$B$37&amp;". ","")&amp;IF(AND(D121="Manhole",G121&gt;SG_Criteria!$B$36),"NOTE: BCA lists sewer manholes (pipe &lt;= 2 m dia) &gt; 6 m as non-GBW: QP(ST) + AC. ","")&amp;IF(AND(C121="Trench Shoring Box",H121="Kallang Formation (marine clay)"),"NOTE: check base heave / ground loss for shoring box in marine clay. ","")&amp;IF(AND(C121="Steel Sheet Pile Cofferdam",N(M121)&lt;G121*0.5),"NOTE: short toe embedment, check. ",""))=0,"OK",IF(AND(Q121&lt;&gt;"",Q121&lt;SG_Criteria!$B$37),"FAIL: base stability FOS &lt; "&amp;SG_Criteria!$B$37&amp;". ","")&amp;IF(AND(D121="Manhole",G121&gt;SG_Criteria!$B$36),"NOTE: BCA lists sewer manholes (pipe &lt;= 2 m dia) &gt; 6 m as non-GBW: QP(ST) + AC. ","")&amp;IF(AND(C121="Trench Shoring Box",H121="Kallang Formation (marine clay)"),"NOTE: check base heave / ground loss for shoring box in marine clay. ","")&amp;IF(AND(C121="Steel Sheet Pile Cofferdam",N(M121)&lt;G121*0.5),"NOTE: short toe embedment, check. ","")))</f>
        <v/>
      </c>
      <c r="AO121" s="9"/>
      <c r="AP121" s="9"/>
      <c r="AQ121" s="9"/>
      <c r="AR121" s="9"/>
      <c r="AS121" s="9"/>
      <c r="AT121" s="31"/>
      <c r="AU121" s="10" t="str">
        <f aca="false">IF(C121="","",IF(AND(V121="Approved",ISERROR(SEARCH("FAIL",AN121))),"Y","N"))</f>
        <v/>
      </c>
      <c r="AV121" s="10" t="str">
        <f aca="false">IF(C121="","",C121&amp;"|"&amp;G121&amp;"|"&amp;E121&amp;"|"&amp;H121&amp;"|"&amp;AU121)</f>
        <v/>
      </c>
    </row>
    <row r="122" customFormat="false" ht="15" hidden="false" customHeight="false" outlineLevel="0" collapsed="false">
      <c r="A122" s="10" t="str">
        <f aca="false">IF(C122="","","ERSS-"&amp;IFERROR(VLOOKUP(C122,Lists!$AK$4:$AL$21,2,0),"??")&amp;"-"&amp;TEXT(E122,"0000")&amp;"x"&amp;TEXT(F122,"0000")&amp;"-D"&amp;TEXT(G122*1000,"0000")&amp;"-"&amp;IFERROR(VLOOKUP(H122,Lists!$Y$4:$Z$21,2,0),"??")&amp;"-"&amp;U122)</f>
        <v/>
      </c>
      <c r="B122" s="10" t="str">
        <f aca="false">IF(C122="","",C122&amp;" for "&amp;D122&amp;", "&amp;E122&amp;" x "&amp;F122&amp;" pit, "&amp;TEXT(G122,"0.0")&amp;" m deep, "&amp;H122)</f>
        <v/>
      </c>
      <c r="C122" s="9"/>
      <c r="D122" s="9"/>
      <c r="E122" s="40"/>
      <c r="F122" s="40"/>
      <c r="G122" s="43"/>
      <c r="H122" s="9"/>
      <c r="I122" s="43"/>
      <c r="J122" s="40"/>
      <c r="K122" s="9"/>
      <c r="L122" s="43"/>
      <c r="M122" s="43"/>
      <c r="N122" s="40"/>
      <c r="O122" s="9"/>
      <c r="P122" s="9"/>
      <c r="Q122" s="41"/>
      <c r="R122" s="9"/>
      <c r="S122" s="40"/>
      <c r="T122" s="9"/>
      <c r="U122" s="9"/>
      <c r="V122" s="9"/>
      <c r="W122" s="9"/>
      <c r="X122" s="9"/>
      <c r="Y122" s="9"/>
      <c r="Z122" s="10" t="str">
        <f aca="false">IF(A122="","",SG_Criteria!$B$6&amp;SG_Criteria!$B$11&amp;"\"&amp;A122&amp;"\")</f>
        <v/>
      </c>
      <c r="AA122" s="10" t="str">
        <f aca="false">IF(A122="","",A122&amp;"_CAD.dwg")</f>
        <v/>
      </c>
      <c r="AB122" s="10" t="str">
        <f aca="false">IF(A122="","",A122&amp;"_DWG.pdf")</f>
        <v/>
      </c>
      <c r="AC122" s="10" t="str">
        <f aca="false">IF(A122="","",IF(Y122="Y",A122&amp;"_STAAD.std","n/a"))</f>
        <v/>
      </c>
      <c r="AD122" s="10" t="str">
        <f aca="false">IF(A122="","",A122&amp;"_CALC.xlsx")</f>
        <v/>
      </c>
      <c r="AE122" s="10" t="str">
        <f aca="false">IF(A122="","",A122&amp;"_CALC.pdf")</f>
        <v/>
      </c>
      <c r="AF122" s="9"/>
      <c r="AG122" s="9"/>
      <c r="AH122" s="41"/>
      <c r="AI122" s="41"/>
      <c r="AJ122" s="41"/>
      <c r="AK122" s="41"/>
      <c r="AL122" s="41"/>
      <c r="AM122" s="38" t="str">
        <f aca="false">IF(OR(C122="",G122=""),"",IF(G122&lt;=IF(OR(C122="Soldier Pile &amp; Timber Lagging",C122="Trench Shoring Box",C122="Open Cut (battered)"),SG_Criteria!$B$34,SG_Criteria!$B$33),"No ERSS submission",IF(G122&lt;=SG_Criteria!$B$35,"QP(ST)",IF(G122&lt;=SG_Criteria!$B$36,"QP(ST) + AC","Geotechnical building works: QP(Geo) + AC"))))</f>
        <v/>
      </c>
      <c r="AN122" s="38" t="str">
        <f aca="false">IF(C122="","",IF(LEN(IF(AND(Q122&lt;&gt;"",Q122&lt;SG_Criteria!$B$37),"FAIL: base stability FOS &lt; "&amp;SG_Criteria!$B$37&amp;". ","")&amp;IF(AND(D122="Manhole",G122&gt;SG_Criteria!$B$36),"NOTE: BCA lists sewer manholes (pipe &lt;= 2 m dia) &gt; 6 m as non-GBW: QP(ST) + AC. ","")&amp;IF(AND(C122="Trench Shoring Box",H122="Kallang Formation (marine clay)"),"NOTE: check base heave / ground loss for shoring box in marine clay. ","")&amp;IF(AND(C122="Steel Sheet Pile Cofferdam",N(M122)&lt;G122*0.5),"NOTE: short toe embedment, check. ",""))=0,"OK",IF(AND(Q122&lt;&gt;"",Q122&lt;SG_Criteria!$B$37),"FAIL: base stability FOS &lt; "&amp;SG_Criteria!$B$37&amp;". ","")&amp;IF(AND(D122="Manhole",G122&gt;SG_Criteria!$B$36),"NOTE: BCA lists sewer manholes (pipe &lt;= 2 m dia) &gt; 6 m as non-GBW: QP(ST) + AC. ","")&amp;IF(AND(C122="Trench Shoring Box",H122="Kallang Formation (marine clay)"),"NOTE: check base heave / ground loss for shoring box in marine clay. ","")&amp;IF(AND(C122="Steel Sheet Pile Cofferdam",N(M122)&lt;G122*0.5),"NOTE: short toe embedment, check. ","")))</f>
        <v/>
      </c>
      <c r="AO122" s="9"/>
      <c r="AP122" s="9"/>
      <c r="AQ122" s="9"/>
      <c r="AR122" s="9"/>
      <c r="AS122" s="9"/>
      <c r="AT122" s="31"/>
      <c r="AU122" s="10" t="str">
        <f aca="false">IF(C122="","",IF(AND(V122="Approved",ISERROR(SEARCH("FAIL",AN122))),"Y","N"))</f>
        <v/>
      </c>
      <c r="AV122" s="10" t="str">
        <f aca="false">IF(C122="","",C122&amp;"|"&amp;G122&amp;"|"&amp;E122&amp;"|"&amp;H122&amp;"|"&amp;AU122)</f>
        <v/>
      </c>
    </row>
    <row r="123" customFormat="false" ht="15" hidden="false" customHeight="false" outlineLevel="0" collapsed="false">
      <c r="A123" s="10" t="str">
        <f aca="false">IF(C123="","","ERSS-"&amp;IFERROR(VLOOKUP(C123,Lists!$AK$4:$AL$21,2,0),"??")&amp;"-"&amp;TEXT(E123,"0000")&amp;"x"&amp;TEXT(F123,"0000")&amp;"-D"&amp;TEXT(G123*1000,"0000")&amp;"-"&amp;IFERROR(VLOOKUP(H123,Lists!$Y$4:$Z$21,2,0),"??")&amp;"-"&amp;U123)</f>
        <v/>
      </c>
      <c r="B123" s="10" t="str">
        <f aca="false">IF(C123="","",C123&amp;" for "&amp;D123&amp;", "&amp;E123&amp;" x "&amp;F123&amp;" pit, "&amp;TEXT(G123,"0.0")&amp;" m deep, "&amp;H123)</f>
        <v/>
      </c>
      <c r="C123" s="9"/>
      <c r="D123" s="9"/>
      <c r="E123" s="40"/>
      <c r="F123" s="40"/>
      <c r="G123" s="43"/>
      <c r="H123" s="9"/>
      <c r="I123" s="43"/>
      <c r="J123" s="40"/>
      <c r="K123" s="9"/>
      <c r="L123" s="43"/>
      <c r="M123" s="43"/>
      <c r="N123" s="40"/>
      <c r="O123" s="9"/>
      <c r="P123" s="9"/>
      <c r="Q123" s="41"/>
      <c r="R123" s="9"/>
      <c r="S123" s="40"/>
      <c r="T123" s="9"/>
      <c r="U123" s="9"/>
      <c r="V123" s="9"/>
      <c r="W123" s="9"/>
      <c r="X123" s="9"/>
      <c r="Y123" s="9"/>
      <c r="Z123" s="10" t="str">
        <f aca="false">IF(A123="","",SG_Criteria!$B$6&amp;SG_Criteria!$B$11&amp;"\"&amp;A123&amp;"\")</f>
        <v/>
      </c>
      <c r="AA123" s="10" t="str">
        <f aca="false">IF(A123="","",A123&amp;"_CAD.dwg")</f>
        <v/>
      </c>
      <c r="AB123" s="10" t="str">
        <f aca="false">IF(A123="","",A123&amp;"_DWG.pdf")</f>
        <v/>
      </c>
      <c r="AC123" s="10" t="str">
        <f aca="false">IF(A123="","",IF(Y123="Y",A123&amp;"_STAAD.std","n/a"))</f>
        <v/>
      </c>
      <c r="AD123" s="10" t="str">
        <f aca="false">IF(A123="","",A123&amp;"_CALC.xlsx")</f>
        <v/>
      </c>
      <c r="AE123" s="10" t="str">
        <f aca="false">IF(A123="","",A123&amp;"_CALC.pdf")</f>
        <v/>
      </c>
      <c r="AF123" s="9"/>
      <c r="AG123" s="9"/>
      <c r="AH123" s="41"/>
      <c r="AI123" s="41"/>
      <c r="AJ123" s="41"/>
      <c r="AK123" s="41"/>
      <c r="AL123" s="41"/>
      <c r="AM123" s="38" t="str">
        <f aca="false">IF(OR(C123="",G123=""),"",IF(G123&lt;=IF(OR(C123="Soldier Pile &amp; Timber Lagging",C123="Trench Shoring Box",C123="Open Cut (battered)"),SG_Criteria!$B$34,SG_Criteria!$B$33),"No ERSS submission",IF(G123&lt;=SG_Criteria!$B$35,"QP(ST)",IF(G123&lt;=SG_Criteria!$B$36,"QP(ST) + AC","Geotechnical building works: QP(Geo) + AC"))))</f>
        <v/>
      </c>
      <c r="AN123" s="38" t="str">
        <f aca="false">IF(C123="","",IF(LEN(IF(AND(Q123&lt;&gt;"",Q123&lt;SG_Criteria!$B$37),"FAIL: base stability FOS &lt; "&amp;SG_Criteria!$B$37&amp;". ","")&amp;IF(AND(D123="Manhole",G123&gt;SG_Criteria!$B$36),"NOTE: BCA lists sewer manholes (pipe &lt;= 2 m dia) &gt; 6 m as non-GBW: QP(ST) + AC. ","")&amp;IF(AND(C123="Trench Shoring Box",H123="Kallang Formation (marine clay)"),"NOTE: check base heave / ground loss for shoring box in marine clay. ","")&amp;IF(AND(C123="Steel Sheet Pile Cofferdam",N(M123)&lt;G123*0.5),"NOTE: short toe embedment, check. ",""))=0,"OK",IF(AND(Q123&lt;&gt;"",Q123&lt;SG_Criteria!$B$37),"FAIL: base stability FOS &lt; "&amp;SG_Criteria!$B$37&amp;". ","")&amp;IF(AND(D123="Manhole",G123&gt;SG_Criteria!$B$36),"NOTE: BCA lists sewer manholes (pipe &lt;= 2 m dia) &gt; 6 m as non-GBW: QP(ST) + AC. ","")&amp;IF(AND(C123="Trench Shoring Box",H123="Kallang Formation (marine clay)"),"NOTE: check base heave / ground loss for shoring box in marine clay. ","")&amp;IF(AND(C123="Steel Sheet Pile Cofferdam",N(M123)&lt;G123*0.5),"NOTE: short toe embedment, check. ","")))</f>
        <v/>
      </c>
      <c r="AO123" s="9"/>
      <c r="AP123" s="9"/>
      <c r="AQ123" s="9"/>
      <c r="AR123" s="9"/>
      <c r="AS123" s="9"/>
      <c r="AT123" s="31"/>
      <c r="AU123" s="10" t="str">
        <f aca="false">IF(C123="","",IF(AND(V123="Approved",ISERROR(SEARCH("FAIL",AN123))),"Y","N"))</f>
        <v/>
      </c>
      <c r="AV123" s="10" t="str">
        <f aca="false">IF(C123="","",C123&amp;"|"&amp;G123&amp;"|"&amp;E123&amp;"|"&amp;H123&amp;"|"&amp;AU123)</f>
        <v/>
      </c>
    </row>
    <row r="124" customFormat="false" ht="15" hidden="false" customHeight="false" outlineLevel="0" collapsed="false">
      <c r="A124" s="10" t="str">
        <f aca="false">IF(C124="","","ERSS-"&amp;IFERROR(VLOOKUP(C124,Lists!$AK$4:$AL$21,2,0),"??")&amp;"-"&amp;TEXT(E124,"0000")&amp;"x"&amp;TEXT(F124,"0000")&amp;"-D"&amp;TEXT(G124*1000,"0000")&amp;"-"&amp;IFERROR(VLOOKUP(H124,Lists!$Y$4:$Z$21,2,0),"??")&amp;"-"&amp;U124)</f>
        <v/>
      </c>
      <c r="B124" s="10" t="str">
        <f aca="false">IF(C124="","",C124&amp;" for "&amp;D124&amp;", "&amp;E124&amp;" x "&amp;F124&amp;" pit, "&amp;TEXT(G124,"0.0")&amp;" m deep, "&amp;H124)</f>
        <v/>
      </c>
      <c r="C124" s="9"/>
      <c r="D124" s="9"/>
      <c r="E124" s="40"/>
      <c r="F124" s="40"/>
      <c r="G124" s="43"/>
      <c r="H124" s="9"/>
      <c r="I124" s="43"/>
      <c r="J124" s="40"/>
      <c r="K124" s="9"/>
      <c r="L124" s="43"/>
      <c r="M124" s="43"/>
      <c r="N124" s="40"/>
      <c r="O124" s="9"/>
      <c r="P124" s="9"/>
      <c r="Q124" s="41"/>
      <c r="R124" s="9"/>
      <c r="S124" s="40"/>
      <c r="T124" s="9"/>
      <c r="U124" s="9"/>
      <c r="V124" s="9"/>
      <c r="W124" s="9"/>
      <c r="X124" s="9"/>
      <c r="Y124" s="9"/>
      <c r="Z124" s="10" t="str">
        <f aca="false">IF(A124="","",SG_Criteria!$B$6&amp;SG_Criteria!$B$11&amp;"\"&amp;A124&amp;"\")</f>
        <v/>
      </c>
      <c r="AA124" s="10" t="str">
        <f aca="false">IF(A124="","",A124&amp;"_CAD.dwg")</f>
        <v/>
      </c>
      <c r="AB124" s="10" t="str">
        <f aca="false">IF(A124="","",A124&amp;"_DWG.pdf")</f>
        <v/>
      </c>
      <c r="AC124" s="10" t="str">
        <f aca="false">IF(A124="","",IF(Y124="Y",A124&amp;"_STAAD.std","n/a"))</f>
        <v/>
      </c>
      <c r="AD124" s="10" t="str">
        <f aca="false">IF(A124="","",A124&amp;"_CALC.xlsx")</f>
        <v/>
      </c>
      <c r="AE124" s="10" t="str">
        <f aca="false">IF(A124="","",A124&amp;"_CALC.pdf")</f>
        <v/>
      </c>
      <c r="AF124" s="9"/>
      <c r="AG124" s="9"/>
      <c r="AH124" s="41"/>
      <c r="AI124" s="41"/>
      <c r="AJ124" s="41"/>
      <c r="AK124" s="41"/>
      <c r="AL124" s="41"/>
      <c r="AM124" s="38" t="str">
        <f aca="false">IF(OR(C124="",G124=""),"",IF(G124&lt;=IF(OR(C124="Soldier Pile &amp; Timber Lagging",C124="Trench Shoring Box",C124="Open Cut (battered)"),SG_Criteria!$B$34,SG_Criteria!$B$33),"No ERSS submission",IF(G124&lt;=SG_Criteria!$B$35,"QP(ST)",IF(G124&lt;=SG_Criteria!$B$36,"QP(ST) + AC","Geotechnical building works: QP(Geo) + AC"))))</f>
        <v/>
      </c>
      <c r="AN124" s="38" t="str">
        <f aca="false">IF(C124="","",IF(LEN(IF(AND(Q124&lt;&gt;"",Q124&lt;SG_Criteria!$B$37),"FAIL: base stability FOS &lt; "&amp;SG_Criteria!$B$37&amp;". ","")&amp;IF(AND(D124="Manhole",G124&gt;SG_Criteria!$B$36),"NOTE: BCA lists sewer manholes (pipe &lt;= 2 m dia) &gt; 6 m as non-GBW: QP(ST) + AC. ","")&amp;IF(AND(C124="Trench Shoring Box",H124="Kallang Formation (marine clay)"),"NOTE: check base heave / ground loss for shoring box in marine clay. ","")&amp;IF(AND(C124="Steel Sheet Pile Cofferdam",N(M124)&lt;G124*0.5),"NOTE: short toe embedment, check. ",""))=0,"OK",IF(AND(Q124&lt;&gt;"",Q124&lt;SG_Criteria!$B$37),"FAIL: base stability FOS &lt; "&amp;SG_Criteria!$B$37&amp;". ","")&amp;IF(AND(D124="Manhole",G124&gt;SG_Criteria!$B$36),"NOTE: BCA lists sewer manholes (pipe &lt;= 2 m dia) &gt; 6 m as non-GBW: QP(ST) + AC. ","")&amp;IF(AND(C124="Trench Shoring Box",H124="Kallang Formation (marine clay)"),"NOTE: check base heave / ground loss for shoring box in marine clay. ","")&amp;IF(AND(C124="Steel Sheet Pile Cofferdam",N(M124)&lt;G124*0.5),"NOTE: short toe embedment, check. ","")))</f>
        <v/>
      </c>
      <c r="AO124" s="9"/>
      <c r="AP124" s="9"/>
      <c r="AQ124" s="9"/>
      <c r="AR124" s="9"/>
      <c r="AS124" s="9"/>
      <c r="AT124" s="31"/>
      <c r="AU124" s="10" t="str">
        <f aca="false">IF(C124="","",IF(AND(V124="Approved",ISERROR(SEARCH("FAIL",AN124))),"Y","N"))</f>
        <v/>
      </c>
      <c r="AV124" s="10" t="str">
        <f aca="false">IF(C124="","",C124&amp;"|"&amp;G124&amp;"|"&amp;E124&amp;"|"&amp;H124&amp;"|"&amp;AU124)</f>
        <v/>
      </c>
    </row>
    <row r="125" customFormat="false" ht="15" hidden="false" customHeight="false" outlineLevel="0" collapsed="false">
      <c r="A125" s="10" t="str">
        <f aca="false">IF(C125="","","ERSS-"&amp;IFERROR(VLOOKUP(C125,Lists!$AK$4:$AL$21,2,0),"??")&amp;"-"&amp;TEXT(E125,"0000")&amp;"x"&amp;TEXT(F125,"0000")&amp;"-D"&amp;TEXT(G125*1000,"0000")&amp;"-"&amp;IFERROR(VLOOKUP(H125,Lists!$Y$4:$Z$21,2,0),"??")&amp;"-"&amp;U125)</f>
        <v/>
      </c>
      <c r="B125" s="10" t="str">
        <f aca="false">IF(C125="","",C125&amp;" for "&amp;D125&amp;", "&amp;E125&amp;" x "&amp;F125&amp;" pit, "&amp;TEXT(G125,"0.0")&amp;" m deep, "&amp;H125)</f>
        <v/>
      </c>
      <c r="C125" s="9"/>
      <c r="D125" s="9"/>
      <c r="E125" s="40"/>
      <c r="F125" s="40"/>
      <c r="G125" s="43"/>
      <c r="H125" s="9"/>
      <c r="I125" s="43"/>
      <c r="J125" s="40"/>
      <c r="K125" s="9"/>
      <c r="L125" s="43"/>
      <c r="M125" s="43"/>
      <c r="N125" s="40"/>
      <c r="O125" s="9"/>
      <c r="P125" s="9"/>
      <c r="Q125" s="41"/>
      <c r="R125" s="9"/>
      <c r="S125" s="40"/>
      <c r="T125" s="9"/>
      <c r="U125" s="9"/>
      <c r="V125" s="9"/>
      <c r="W125" s="9"/>
      <c r="X125" s="9"/>
      <c r="Y125" s="9"/>
      <c r="Z125" s="10" t="str">
        <f aca="false">IF(A125="","",SG_Criteria!$B$6&amp;SG_Criteria!$B$11&amp;"\"&amp;A125&amp;"\")</f>
        <v/>
      </c>
      <c r="AA125" s="10" t="str">
        <f aca="false">IF(A125="","",A125&amp;"_CAD.dwg")</f>
        <v/>
      </c>
      <c r="AB125" s="10" t="str">
        <f aca="false">IF(A125="","",A125&amp;"_DWG.pdf")</f>
        <v/>
      </c>
      <c r="AC125" s="10" t="str">
        <f aca="false">IF(A125="","",IF(Y125="Y",A125&amp;"_STAAD.std","n/a"))</f>
        <v/>
      </c>
      <c r="AD125" s="10" t="str">
        <f aca="false">IF(A125="","",A125&amp;"_CALC.xlsx")</f>
        <v/>
      </c>
      <c r="AE125" s="10" t="str">
        <f aca="false">IF(A125="","",A125&amp;"_CALC.pdf")</f>
        <v/>
      </c>
      <c r="AF125" s="9"/>
      <c r="AG125" s="9"/>
      <c r="AH125" s="41"/>
      <c r="AI125" s="41"/>
      <c r="AJ125" s="41"/>
      <c r="AK125" s="41"/>
      <c r="AL125" s="41"/>
      <c r="AM125" s="38" t="str">
        <f aca="false">IF(OR(C125="",G125=""),"",IF(G125&lt;=IF(OR(C125="Soldier Pile &amp; Timber Lagging",C125="Trench Shoring Box",C125="Open Cut (battered)"),SG_Criteria!$B$34,SG_Criteria!$B$33),"No ERSS submission",IF(G125&lt;=SG_Criteria!$B$35,"QP(ST)",IF(G125&lt;=SG_Criteria!$B$36,"QP(ST) + AC","Geotechnical building works: QP(Geo) + AC"))))</f>
        <v/>
      </c>
      <c r="AN125" s="38" t="str">
        <f aca="false">IF(C125="","",IF(LEN(IF(AND(Q125&lt;&gt;"",Q125&lt;SG_Criteria!$B$37),"FAIL: base stability FOS &lt; "&amp;SG_Criteria!$B$37&amp;". ","")&amp;IF(AND(D125="Manhole",G125&gt;SG_Criteria!$B$36),"NOTE: BCA lists sewer manholes (pipe &lt;= 2 m dia) &gt; 6 m as non-GBW: QP(ST) + AC. ","")&amp;IF(AND(C125="Trench Shoring Box",H125="Kallang Formation (marine clay)"),"NOTE: check base heave / ground loss for shoring box in marine clay. ","")&amp;IF(AND(C125="Steel Sheet Pile Cofferdam",N(M125)&lt;G125*0.5),"NOTE: short toe embedment, check. ",""))=0,"OK",IF(AND(Q125&lt;&gt;"",Q125&lt;SG_Criteria!$B$37),"FAIL: base stability FOS &lt; "&amp;SG_Criteria!$B$37&amp;". ","")&amp;IF(AND(D125="Manhole",G125&gt;SG_Criteria!$B$36),"NOTE: BCA lists sewer manholes (pipe &lt;= 2 m dia) &gt; 6 m as non-GBW: QP(ST) + AC. ","")&amp;IF(AND(C125="Trench Shoring Box",H125="Kallang Formation (marine clay)"),"NOTE: check base heave / ground loss for shoring box in marine clay. ","")&amp;IF(AND(C125="Steel Sheet Pile Cofferdam",N(M125)&lt;G125*0.5),"NOTE: short toe embedment, check. ","")))</f>
        <v/>
      </c>
      <c r="AO125" s="9"/>
      <c r="AP125" s="9"/>
      <c r="AQ125" s="9"/>
      <c r="AR125" s="9"/>
      <c r="AS125" s="9"/>
      <c r="AT125" s="31"/>
      <c r="AU125" s="10" t="str">
        <f aca="false">IF(C125="","",IF(AND(V125="Approved",ISERROR(SEARCH("FAIL",AN125))),"Y","N"))</f>
        <v/>
      </c>
      <c r="AV125" s="10" t="str">
        <f aca="false">IF(C125="","",C125&amp;"|"&amp;G125&amp;"|"&amp;E125&amp;"|"&amp;H125&amp;"|"&amp;AU125)</f>
        <v/>
      </c>
    </row>
    <row r="126" customFormat="false" ht="15" hidden="false" customHeight="false" outlineLevel="0" collapsed="false">
      <c r="A126" s="10" t="str">
        <f aca="false">IF(C126="","","ERSS-"&amp;IFERROR(VLOOKUP(C126,Lists!$AK$4:$AL$21,2,0),"??")&amp;"-"&amp;TEXT(E126,"0000")&amp;"x"&amp;TEXT(F126,"0000")&amp;"-D"&amp;TEXT(G126*1000,"0000")&amp;"-"&amp;IFERROR(VLOOKUP(H126,Lists!$Y$4:$Z$21,2,0),"??")&amp;"-"&amp;U126)</f>
        <v/>
      </c>
      <c r="B126" s="10" t="str">
        <f aca="false">IF(C126="","",C126&amp;" for "&amp;D126&amp;", "&amp;E126&amp;" x "&amp;F126&amp;" pit, "&amp;TEXT(G126,"0.0")&amp;" m deep, "&amp;H126)</f>
        <v/>
      </c>
      <c r="C126" s="9"/>
      <c r="D126" s="9"/>
      <c r="E126" s="40"/>
      <c r="F126" s="40"/>
      <c r="G126" s="43"/>
      <c r="H126" s="9"/>
      <c r="I126" s="43"/>
      <c r="J126" s="40"/>
      <c r="K126" s="9"/>
      <c r="L126" s="43"/>
      <c r="M126" s="43"/>
      <c r="N126" s="40"/>
      <c r="O126" s="9"/>
      <c r="P126" s="9"/>
      <c r="Q126" s="41"/>
      <c r="R126" s="9"/>
      <c r="S126" s="40"/>
      <c r="T126" s="9"/>
      <c r="U126" s="9"/>
      <c r="V126" s="9"/>
      <c r="W126" s="9"/>
      <c r="X126" s="9"/>
      <c r="Y126" s="9"/>
      <c r="Z126" s="10" t="str">
        <f aca="false">IF(A126="","",SG_Criteria!$B$6&amp;SG_Criteria!$B$11&amp;"\"&amp;A126&amp;"\")</f>
        <v/>
      </c>
      <c r="AA126" s="10" t="str">
        <f aca="false">IF(A126="","",A126&amp;"_CAD.dwg")</f>
        <v/>
      </c>
      <c r="AB126" s="10" t="str">
        <f aca="false">IF(A126="","",A126&amp;"_DWG.pdf")</f>
        <v/>
      </c>
      <c r="AC126" s="10" t="str">
        <f aca="false">IF(A126="","",IF(Y126="Y",A126&amp;"_STAAD.std","n/a"))</f>
        <v/>
      </c>
      <c r="AD126" s="10" t="str">
        <f aca="false">IF(A126="","",A126&amp;"_CALC.xlsx")</f>
        <v/>
      </c>
      <c r="AE126" s="10" t="str">
        <f aca="false">IF(A126="","",A126&amp;"_CALC.pdf")</f>
        <v/>
      </c>
      <c r="AF126" s="9"/>
      <c r="AG126" s="9"/>
      <c r="AH126" s="41"/>
      <c r="AI126" s="41"/>
      <c r="AJ126" s="41"/>
      <c r="AK126" s="41"/>
      <c r="AL126" s="41"/>
      <c r="AM126" s="38" t="str">
        <f aca="false">IF(OR(C126="",G126=""),"",IF(G126&lt;=IF(OR(C126="Soldier Pile &amp; Timber Lagging",C126="Trench Shoring Box",C126="Open Cut (battered)"),SG_Criteria!$B$34,SG_Criteria!$B$33),"No ERSS submission",IF(G126&lt;=SG_Criteria!$B$35,"QP(ST)",IF(G126&lt;=SG_Criteria!$B$36,"QP(ST) + AC","Geotechnical building works: QP(Geo) + AC"))))</f>
        <v/>
      </c>
      <c r="AN126" s="38" t="str">
        <f aca="false">IF(C126="","",IF(LEN(IF(AND(Q126&lt;&gt;"",Q126&lt;SG_Criteria!$B$37),"FAIL: base stability FOS &lt; "&amp;SG_Criteria!$B$37&amp;". ","")&amp;IF(AND(D126="Manhole",G126&gt;SG_Criteria!$B$36),"NOTE: BCA lists sewer manholes (pipe &lt;= 2 m dia) &gt; 6 m as non-GBW: QP(ST) + AC. ","")&amp;IF(AND(C126="Trench Shoring Box",H126="Kallang Formation (marine clay)"),"NOTE: check base heave / ground loss for shoring box in marine clay. ","")&amp;IF(AND(C126="Steel Sheet Pile Cofferdam",N(M126)&lt;G126*0.5),"NOTE: short toe embedment, check. ",""))=0,"OK",IF(AND(Q126&lt;&gt;"",Q126&lt;SG_Criteria!$B$37),"FAIL: base stability FOS &lt; "&amp;SG_Criteria!$B$37&amp;". ","")&amp;IF(AND(D126="Manhole",G126&gt;SG_Criteria!$B$36),"NOTE: BCA lists sewer manholes (pipe &lt;= 2 m dia) &gt; 6 m as non-GBW: QP(ST) + AC. ","")&amp;IF(AND(C126="Trench Shoring Box",H126="Kallang Formation (marine clay)"),"NOTE: check base heave / ground loss for shoring box in marine clay. ","")&amp;IF(AND(C126="Steel Sheet Pile Cofferdam",N(M126)&lt;G126*0.5),"NOTE: short toe embedment, check. ","")))</f>
        <v/>
      </c>
      <c r="AO126" s="9"/>
      <c r="AP126" s="9"/>
      <c r="AQ126" s="9"/>
      <c r="AR126" s="9"/>
      <c r="AS126" s="9"/>
      <c r="AT126" s="31"/>
      <c r="AU126" s="10" t="str">
        <f aca="false">IF(C126="","",IF(AND(V126="Approved",ISERROR(SEARCH("FAIL",AN126))),"Y","N"))</f>
        <v/>
      </c>
      <c r="AV126" s="10" t="str">
        <f aca="false">IF(C126="","",C126&amp;"|"&amp;G126&amp;"|"&amp;E126&amp;"|"&amp;H126&amp;"|"&amp;AU126)</f>
        <v/>
      </c>
    </row>
    <row r="127" customFormat="false" ht="15" hidden="false" customHeight="false" outlineLevel="0" collapsed="false">
      <c r="A127" s="10" t="str">
        <f aca="false">IF(C127="","","ERSS-"&amp;IFERROR(VLOOKUP(C127,Lists!$AK$4:$AL$21,2,0),"??")&amp;"-"&amp;TEXT(E127,"0000")&amp;"x"&amp;TEXT(F127,"0000")&amp;"-D"&amp;TEXT(G127*1000,"0000")&amp;"-"&amp;IFERROR(VLOOKUP(H127,Lists!$Y$4:$Z$21,2,0),"??")&amp;"-"&amp;U127)</f>
        <v/>
      </c>
      <c r="B127" s="10" t="str">
        <f aca="false">IF(C127="","",C127&amp;" for "&amp;D127&amp;", "&amp;E127&amp;" x "&amp;F127&amp;" pit, "&amp;TEXT(G127,"0.0")&amp;" m deep, "&amp;H127)</f>
        <v/>
      </c>
      <c r="C127" s="9"/>
      <c r="D127" s="9"/>
      <c r="E127" s="40"/>
      <c r="F127" s="40"/>
      <c r="G127" s="43"/>
      <c r="H127" s="9"/>
      <c r="I127" s="43"/>
      <c r="J127" s="40"/>
      <c r="K127" s="9"/>
      <c r="L127" s="43"/>
      <c r="M127" s="43"/>
      <c r="N127" s="40"/>
      <c r="O127" s="9"/>
      <c r="P127" s="9"/>
      <c r="Q127" s="41"/>
      <c r="R127" s="9"/>
      <c r="S127" s="40"/>
      <c r="T127" s="9"/>
      <c r="U127" s="9"/>
      <c r="V127" s="9"/>
      <c r="W127" s="9"/>
      <c r="X127" s="9"/>
      <c r="Y127" s="9"/>
      <c r="Z127" s="10" t="str">
        <f aca="false">IF(A127="","",SG_Criteria!$B$6&amp;SG_Criteria!$B$11&amp;"\"&amp;A127&amp;"\")</f>
        <v/>
      </c>
      <c r="AA127" s="10" t="str">
        <f aca="false">IF(A127="","",A127&amp;"_CAD.dwg")</f>
        <v/>
      </c>
      <c r="AB127" s="10" t="str">
        <f aca="false">IF(A127="","",A127&amp;"_DWG.pdf")</f>
        <v/>
      </c>
      <c r="AC127" s="10" t="str">
        <f aca="false">IF(A127="","",IF(Y127="Y",A127&amp;"_STAAD.std","n/a"))</f>
        <v/>
      </c>
      <c r="AD127" s="10" t="str">
        <f aca="false">IF(A127="","",A127&amp;"_CALC.xlsx")</f>
        <v/>
      </c>
      <c r="AE127" s="10" t="str">
        <f aca="false">IF(A127="","",A127&amp;"_CALC.pdf")</f>
        <v/>
      </c>
      <c r="AF127" s="9"/>
      <c r="AG127" s="9"/>
      <c r="AH127" s="41"/>
      <c r="AI127" s="41"/>
      <c r="AJ127" s="41"/>
      <c r="AK127" s="41"/>
      <c r="AL127" s="41"/>
      <c r="AM127" s="38" t="str">
        <f aca="false">IF(OR(C127="",G127=""),"",IF(G127&lt;=IF(OR(C127="Soldier Pile &amp; Timber Lagging",C127="Trench Shoring Box",C127="Open Cut (battered)"),SG_Criteria!$B$34,SG_Criteria!$B$33),"No ERSS submission",IF(G127&lt;=SG_Criteria!$B$35,"QP(ST)",IF(G127&lt;=SG_Criteria!$B$36,"QP(ST) + AC","Geotechnical building works: QP(Geo) + AC"))))</f>
        <v/>
      </c>
      <c r="AN127" s="38" t="str">
        <f aca="false">IF(C127="","",IF(LEN(IF(AND(Q127&lt;&gt;"",Q127&lt;SG_Criteria!$B$37),"FAIL: base stability FOS &lt; "&amp;SG_Criteria!$B$37&amp;". ","")&amp;IF(AND(D127="Manhole",G127&gt;SG_Criteria!$B$36),"NOTE: BCA lists sewer manholes (pipe &lt;= 2 m dia) &gt; 6 m as non-GBW: QP(ST) + AC. ","")&amp;IF(AND(C127="Trench Shoring Box",H127="Kallang Formation (marine clay)"),"NOTE: check base heave / ground loss for shoring box in marine clay. ","")&amp;IF(AND(C127="Steel Sheet Pile Cofferdam",N(M127)&lt;G127*0.5),"NOTE: short toe embedment, check. ",""))=0,"OK",IF(AND(Q127&lt;&gt;"",Q127&lt;SG_Criteria!$B$37),"FAIL: base stability FOS &lt; "&amp;SG_Criteria!$B$37&amp;". ","")&amp;IF(AND(D127="Manhole",G127&gt;SG_Criteria!$B$36),"NOTE: BCA lists sewer manholes (pipe &lt;= 2 m dia) &gt; 6 m as non-GBW: QP(ST) + AC. ","")&amp;IF(AND(C127="Trench Shoring Box",H127="Kallang Formation (marine clay)"),"NOTE: check base heave / ground loss for shoring box in marine clay. ","")&amp;IF(AND(C127="Steel Sheet Pile Cofferdam",N(M127)&lt;G127*0.5),"NOTE: short toe embedment, check. ","")))</f>
        <v/>
      </c>
      <c r="AO127" s="9"/>
      <c r="AP127" s="9"/>
      <c r="AQ127" s="9"/>
      <c r="AR127" s="9"/>
      <c r="AS127" s="9"/>
      <c r="AT127" s="31"/>
      <c r="AU127" s="10" t="str">
        <f aca="false">IF(C127="","",IF(AND(V127="Approved",ISERROR(SEARCH("FAIL",AN127))),"Y","N"))</f>
        <v/>
      </c>
      <c r="AV127" s="10" t="str">
        <f aca="false">IF(C127="","",C127&amp;"|"&amp;G127&amp;"|"&amp;E127&amp;"|"&amp;H127&amp;"|"&amp;AU127)</f>
        <v/>
      </c>
    </row>
    <row r="128" customFormat="false" ht="15" hidden="false" customHeight="false" outlineLevel="0" collapsed="false">
      <c r="A128" s="10" t="str">
        <f aca="false">IF(C128="","","ERSS-"&amp;IFERROR(VLOOKUP(C128,Lists!$AK$4:$AL$21,2,0),"??")&amp;"-"&amp;TEXT(E128,"0000")&amp;"x"&amp;TEXT(F128,"0000")&amp;"-D"&amp;TEXT(G128*1000,"0000")&amp;"-"&amp;IFERROR(VLOOKUP(H128,Lists!$Y$4:$Z$21,2,0),"??")&amp;"-"&amp;U128)</f>
        <v/>
      </c>
      <c r="B128" s="10" t="str">
        <f aca="false">IF(C128="","",C128&amp;" for "&amp;D128&amp;", "&amp;E128&amp;" x "&amp;F128&amp;" pit, "&amp;TEXT(G128,"0.0")&amp;" m deep, "&amp;H128)</f>
        <v/>
      </c>
      <c r="C128" s="9"/>
      <c r="D128" s="9"/>
      <c r="E128" s="40"/>
      <c r="F128" s="40"/>
      <c r="G128" s="43"/>
      <c r="H128" s="9"/>
      <c r="I128" s="43"/>
      <c r="J128" s="40"/>
      <c r="K128" s="9"/>
      <c r="L128" s="43"/>
      <c r="M128" s="43"/>
      <c r="N128" s="40"/>
      <c r="O128" s="9"/>
      <c r="P128" s="9"/>
      <c r="Q128" s="41"/>
      <c r="R128" s="9"/>
      <c r="S128" s="40"/>
      <c r="T128" s="9"/>
      <c r="U128" s="9"/>
      <c r="V128" s="9"/>
      <c r="W128" s="9"/>
      <c r="X128" s="9"/>
      <c r="Y128" s="9"/>
      <c r="Z128" s="10" t="str">
        <f aca="false">IF(A128="","",SG_Criteria!$B$6&amp;SG_Criteria!$B$11&amp;"\"&amp;A128&amp;"\")</f>
        <v/>
      </c>
      <c r="AA128" s="10" t="str">
        <f aca="false">IF(A128="","",A128&amp;"_CAD.dwg")</f>
        <v/>
      </c>
      <c r="AB128" s="10" t="str">
        <f aca="false">IF(A128="","",A128&amp;"_DWG.pdf")</f>
        <v/>
      </c>
      <c r="AC128" s="10" t="str">
        <f aca="false">IF(A128="","",IF(Y128="Y",A128&amp;"_STAAD.std","n/a"))</f>
        <v/>
      </c>
      <c r="AD128" s="10" t="str">
        <f aca="false">IF(A128="","",A128&amp;"_CALC.xlsx")</f>
        <v/>
      </c>
      <c r="AE128" s="10" t="str">
        <f aca="false">IF(A128="","",A128&amp;"_CALC.pdf")</f>
        <v/>
      </c>
      <c r="AF128" s="9"/>
      <c r="AG128" s="9"/>
      <c r="AH128" s="41"/>
      <c r="AI128" s="41"/>
      <c r="AJ128" s="41"/>
      <c r="AK128" s="41"/>
      <c r="AL128" s="41"/>
      <c r="AM128" s="38" t="str">
        <f aca="false">IF(OR(C128="",G128=""),"",IF(G128&lt;=IF(OR(C128="Soldier Pile &amp; Timber Lagging",C128="Trench Shoring Box",C128="Open Cut (battered)"),SG_Criteria!$B$34,SG_Criteria!$B$33),"No ERSS submission",IF(G128&lt;=SG_Criteria!$B$35,"QP(ST)",IF(G128&lt;=SG_Criteria!$B$36,"QP(ST) + AC","Geotechnical building works: QP(Geo) + AC"))))</f>
        <v/>
      </c>
      <c r="AN128" s="38" t="str">
        <f aca="false">IF(C128="","",IF(LEN(IF(AND(Q128&lt;&gt;"",Q128&lt;SG_Criteria!$B$37),"FAIL: base stability FOS &lt; "&amp;SG_Criteria!$B$37&amp;". ","")&amp;IF(AND(D128="Manhole",G128&gt;SG_Criteria!$B$36),"NOTE: BCA lists sewer manholes (pipe &lt;= 2 m dia) &gt; 6 m as non-GBW: QP(ST) + AC. ","")&amp;IF(AND(C128="Trench Shoring Box",H128="Kallang Formation (marine clay)"),"NOTE: check base heave / ground loss for shoring box in marine clay. ","")&amp;IF(AND(C128="Steel Sheet Pile Cofferdam",N(M128)&lt;G128*0.5),"NOTE: short toe embedment, check. ",""))=0,"OK",IF(AND(Q128&lt;&gt;"",Q128&lt;SG_Criteria!$B$37),"FAIL: base stability FOS &lt; "&amp;SG_Criteria!$B$37&amp;". ","")&amp;IF(AND(D128="Manhole",G128&gt;SG_Criteria!$B$36),"NOTE: BCA lists sewer manholes (pipe &lt;= 2 m dia) &gt; 6 m as non-GBW: QP(ST) + AC. ","")&amp;IF(AND(C128="Trench Shoring Box",H128="Kallang Formation (marine clay)"),"NOTE: check base heave / ground loss for shoring box in marine clay. ","")&amp;IF(AND(C128="Steel Sheet Pile Cofferdam",N(M128)&lt;G128*0.5),"NOTE: short toe embedment, check. ","")))</f>
        <v/>
      </c>
      <c r="AO128" s="9"/>
      <c r="AP128" s="9"/>
      <c r="AQ128" s="9"/>
      <c r="AR128" s="9"/>
      <c r="AS128" s="9"/>
      <c r="AT128" s="31"/>
      <c r="AU128" s="10" t="str">
        <f aca="false">IF(C128="","",IF(AND(V128="Approved",ISERROR(SEARCH("FAIL",AN128))),"Y","N"))</f>
        <v/>
      </c>
      <c r="AV128" s="10" t="str">
        <f aca="false">IF(C128="","",C128&amp;"|"&amp;G128&amp;"|"&amp;E128&amp;"|"&amp;H128&amp;"|"&amp;AU128)</f>
        <v/>
      </c>
    </row>
    <row r="129" customFormat="false" ht="15" hidden="false" customHeight="false" outlineLevel="0" collapsed="false">
      <c r="A129" s="10" t="str">
        <f aca="false">IF(C129="","","ERSS-"&amp;IFERROR(VLOOKUP(C129,Lists!$AK$4:$AL$21,2,0),"??")&amp;"-"&amp;TEXT(E129,"0000")&amp;"x"&amp;TEXT(F129,"0000")&amp;"-D"&amp;TEXT(G129*1000,"0000")&amp;"-"&amp;IFERROR(VLOOKUP(H129,Lists!$Y$4:$Z$21,2,0),"??")&amp;"-"&amp;U129)</f>
        <v/>
      </c>
      <c r="B129" s="10" t="str">
        <f aca="false">IF(C129="","",C129&amp;" for "&amp;D129&amp;", "&amp;E129&amp;" x "&amp;F129&amp;" pit, "&amp;TEXT(G129,"0.0")&amp;" m deep, "&amp;H129)</f>
        <v/>
      </c>
      <c r="C129" s="9"/>
      <c r="D129" s="9"/>
      <c r="E129" s="40"/>
      <c r="F129" s="40"/>
      <c r="G129" s="43"/>
      <c r="H129" s="9"/>
      <c r="I129" s="43"/>
      <c r="J129" s="40"/>
      <c r="K129" s="9"/>
      <c r="L129" s="43"/>
      <c r="M129" s="43"/>
      <c r="N129" s="40"/>
      <c r="O129" s="9"/>
      <c r="P129" s="9"/>
      <c r="Q129" s="41"/>
      <c r="R129" s="9"/>
      <c r="S129" s="40"/>
      <c r="T129" s="9"/>
      <c r="U129" s="9"/>
      <c r="V129" s="9"/>
      <c r="W129" s="9"/>
      <c r="X129" s="9"/>
      <c r="Y129" s="9"/>
      <c r="Z129" s="10" t="str">
        <f aca="false">IF(A129="","",SG_Criteria!$B$6&amp;SG_Criteria!$B$11&amp;"\"&amp;A129&amp;"\")</f>
        <v/>
      </c>
      <c r="AA129" s="10" t="str">
        <f aca="false">IF(A129="","",A129&amp;"_CAD.dwg")</f>
        <v/>
      </c>
      <c r="AB129" s="10" t="str">
        <f aca="false">IF(A129="","",A129&amp;"_DWG.pdf")</f>
        <v/>
      </c>
      <c r="AC129" s="10" t="str">
        <f aca="false">IF(A129="","",IF(Y129="Y",A129&amp;"_STAAD.std","n/a"))</f>
        <v/>
      </c>
      <c r="AD129" s="10" t="str">
        <f aca="false">IF(A129="","",A129&amp;"_CALC.xlsx")</f>
        <v/>
      </c>
      <c r="AE129" s="10" t="str">
        <f aca="false">IF(A129="","",A129&amp;"_CALC.pdf")</f>
        <v/>
      </c>
      <c r="AF129" s="9"/>
      <c r="AG129" s="9"/>
      <c r="AH129" s="41"/>
      <c r="AI129" s="41"/>
      <c r="AJ129" s="41"/>
      <c r="AK129" s="41"/>
      <c r="AL129" s="41"/>
      <c r="AM129" s="38" t="str">
        <f aca="false">IF(OR(C129="",G129=""),"",IF(G129&lt;=IF(OR(C129="Soldier Pile &amp; Timber Lagging",C129="Trench Shoring Box",C129="Open Cut (battered)"),SG_Criteria!$B$34,SG_Criteria!$B$33),"No ERSS submission",IF(G129&lt;=SG_Criteria!$B$35,"QP(ST)",IF(G129&lt;=SG_Criteria!$B$36,"QP(ST) + AC","Geotechnical building works: QP(Geo) + AC"))))</f>
        <v/>
      </c>
      <c r="AN129" s="38" t="str">
        <f aca="false">IF(C129="","",IF(LEN(IF(AND(Q129&lt;&gt;"",Q129&lt;SG_Criteria!$B$37),"FAIL: base stability FOS &lt; "&amp;SG_Criteria!$B$37&amp;". ","")&amp;IF(AND(D129="Manhole",G129&gt;SG_Criteria!$B$36),"NOTE: BCA lists sewer manholes (pipe &lt;= 2 m dia) &gt; 6 m as non-GBW: QP(ST) + AC. ","")&amp;IF(AND(C129="Trench Shoring Box",H129="Kallang Formation (marine clay)"),"NOTE: check base heave / ground loss for shoring box in marine clay. ","")&amp;IF(AND(C129="Steel Sheet Pile Cofferdam",N(M129)&lt;G129*0.5),"NOTE: short toe embedment, check. ",""))=0,"OK",IF(AND(Q129&lt;&gt;"",Q129&lt;SG_Criteria!$B$37),"FAIL: base stability FOS &lt; "&amp;SG_Criteria!$B$37&amp;". ","")&amp;IF(AND(D129="Manhole",G129&gt;SG_Criteria!$B$36),"NOTE: BCA lists sewer manholes (pipe &lt;= 2 m dia) &gt; 6 m as non-GBW: QP(ST) + AC. ","")&amp;IF(AND(C129="Trench Shoring Box",H129="Kallang Formation (marine clay)"),"NOTE: check base heave / ground loss for shoring box in marine clay. ","")&amp;IF(AND(C129="Steel Sheet Pile Cofferdam",N(M129)&lt;G129*0.5),"NOTE: short toe embedment, check. ","")))</f>
        <v/>
      </c>
      <c r="AO129" s="9"/>
      <c r="AP129" s="9"/>
      <c r="AQ129" s="9"/>
      <c r="AR129" s="9"/>
      <c r="AS129" s="9"/>
      <c r="AT129" s="31"/>
      <c r="AU129" s="10" t="str">
        <f aca="false">IF(C129="","",IF(AND(V129="Approved",ISERROR(SEARCH("FAIL",AN129))),"Y","N"))</f>
        <v/>
      </c>
      <c r="AV129" s="10" t="str">
        <f aca="false">IF(C129="","",C129&amp;"|"&amp;G129&amp;"|"&amp;E129&amp;"|"&amp;H129&amp;"|"&amp;AU129)</f>
        <v/>
      </c>
    </row>
    <row r="130" customFormat="false" ht="15" hidden="false" customHeight="false" outlineLevel="0" collapsed="false">
      <c r="A130" s="10" t="str">
        <f aca="false">IF(C130="","","ERSS-"&amp;IFERROR(VLOOKUP(C130,Lists!$AK$4:$AL$21,2,0),"??")&amp;"-"&amp;TEXT(E130,"0000")&amp;"x"&amp;TEXT(F130,"0000")&amp;"-D"&amp;TEXT(G130*1000,"0000")&amp;"-"&amp;IFERROR(VLOOKUP(H130,Lists!$Y$4:$Z$21,2,0),"??")&amp;"-"&amp;U130)</f>
        <v/>
      </c>
      <c r="B130" s="10" t="str">
        <f aca="false">IF(C130="","",C130&amp;" for "&amp;D130&amp;", "&amp;E130&amp;" x "&amp;F130&amp;" pit, "&amp;TEXT(G130,"0.0")&amp;" m deep, "&amp;H130)</f>
        <v/>
      </c>
      <c r="C130" s="9"/>
      <c r="D130" s="9"/>
      <c r="E130" s="40"/>
      <c r="F130" s="40"/>
      <c r="G130" s="43"/>
      <c r="H130" s="9"/>
      <c r="I130" s="43"/>
      <c r="J130" s="40"/>
      <c r="K130" s="9"/>
      <c r="L130" s="43"/>
      <c r="M130" s="43"/>
      <c r="N130" s="40"/>
      <c r="O130" s="9"/>
      <c r="P130" s="9"/>
      <c r="Q130" s="41"/>
      <c r="R130" s="9"/>
      <c r="S130" s="40"/>
      <c r="T130" s="9"/>
      <c r="U130" s="9"/>
      <c r="V130" s="9"/>
      <c r="W130" s="9"/>
      <c r="X130" s="9"/>
      <c r="Y130" s="9"/>
      <c r="Z130" s="10" t="str">
        <f aca="false">IF(A130="","",SG_Criteria!$B$6&amp;SG_Criteria!$B$11&amp;"\"&amp;A130&amp;"\")</f>
        <v/>
      </c>
      <c r="AA130" s="10" t="str">
        <f aca="false">IF(A130="","",A130&amp;"_CAD.dwg")</f>
        <v/>
      </c>
      <c r="AB130" s="10" t="str">
        <f aca="false">IF(A130="","",A130&amp;"_DWG.pdf")</f>
        <v/>
      </c>
      <c r="AC130" s="10" t="str">
        <f aca="false">IF(A130="","",IF(Y130="Y",A130&amp;"_STAAD.std","n/a"))</f>
        <v/>
      </c>
      <c r="AD130" s="10" t="str">
        <f aca="false">IF(A130="","",A130&amp;"_CALC.xlsx")</f>
        <v/>
      </c>
      <c r="AE130" s="10" t="str">
        <f aca="false">IF(A130="","",A130&amp;"_CALC.pdf")</f>
        <v/>
      </c>
      <c r="AF130" s="9"/>
      <c r="AG130" s="9"/>
      <c r="AH130" s="41"/>
      <c r="AI130" s="41"/>
      <c r="AJ130" s="41"/>
      <c r="AK130" s="41"/>
      <c r="AL130" s="41"/>
      <c r="AM130" s="38" t="str">
        <f aca="false">IF(OR(C130="",G130=""),"",IF(G130&lt;=IF(OR(C130="Soldier Pile &amp; Timber Lagging",C130="Trench Shoring Box",C130="Open Cut (battered)"),SG_Criteria!$B$34,SG_Criteria!$B$33),"No ERSS submission",IF(G130&lt;=SG_Criteria!$B$35,"QP(ST)",IF(G130&lt;=SG_Criteria!$B$36,"QP(ST) + AC","Geotechnical building works: QP(Geo) + AC"))))</f>
        <v/>
      </c>
      <c r="AN130" s="38" t="str">
        <f aca="false">IF(C130="","",IF(LEN(IF(AND(Q130&lt;&gt;"",Q130&lt;SG_Criteria!$B$37),"FAIL: base stability FOS &lt; "&amp;SG_Criteria!$B$37&amp;". ","")&amp;IF(AND(D130="Manhole",G130&gt;SG_Criteria!$B$36),"NOTE: BCA lists sewer manholes (pipe &lt;= 2 m dia) &gt; 6 m as non-GBW: QP(ST) + AC. ","")&amp;IF(AND(C130="Trench Shoring Box",H130="Kallang Formation (marine clay)"),"NOTE: check base heave / ground loss for shoring box in marine clay. ","")&amp;IF(AND(C130="Steel Sheet Pile Cofferdam",N(M130)&lt;G130*0.5),"NOTE: short toe embedment, check. ",""))=0,"OK",IF(AND(Q130&lt;&gt;"",Q130&lt;SG_Criteria!$B$37),"FAIL: base stability FOS &lt; "&amp;SG_Criteria!$B$37&amp;". ","")&amp;IF(AND(D130="Manhole",G130&gt;SG_Criteria!$B$36),"NOTE: BCA lists sewer manholes (pipe &lt;= 2 m dia) &gt; 6 m as non-GBW: QP(ST) + AC. ","")&amp;IF(AND(C130="Trench Shoring Box",H130="Kallang Formation (marine clay)"),"NOTE: check base heave / ground loss for shoring box in marine clay. ","")&amp;IF(AND(C130="Steel Sheet Pile Cofferdam",N(M130)&lt;G130*0.5),"NOTE: short toe embedment, check. ","")))</f>
        <v/>
      </c>
      <c r="AO130" s="9"/>
      <c r="AP130" s="9"/>
      <c r="AQ130" s="9"/>
      <c r="AR130" s="9"/>
      <c r="AS130" s="9"/>
      <c r="AT130" s="31"/>
      <c r="AU130" s="10" t="str">
        <f aca="false">IF(C130="","",IF(AND(V130="Approved",ISERROR(SEARCH("FAIL",AN130))),"Y","N"))</f>
        <v/>
      </c>
      <c r="AV130" s="10" t="str">
        <f aca="false">IF(C130="","",C130&amp;"|"&amp;G130&amp;"|"&amp;E130&amp;"|"&amp;H130&amp;"|"&amp;AU130)</f>
        <v/>
      </c>
    </row>
    <row r="131" customFormat="false" ht="15" hidden="false" customHeight="false" outlineLevel="0" collapsed="false">
      <c r="A131" s="10" t="str">
        <f aca="false">IF(C131="","","ERSS-"&amp;IFERROR(VLOOKUP(C131,Lists!$AK$4:$AL$21,2,0),"??")&amp;"-"&amp;TEXT(E131,"0000")&amp;"x"&amp;TEXT(F131,"0000")&amp;"-D"&amp;TEXT(G131*1000,"0000")&amp;"-"&amp;IFERROR(VLOOKUP(H131,Lists!$Y$4:$Z$21,2,0),"??")&amp;"-"&amp;U131)</f>
        <v/>
      </c>
      <c r="B131" s="10" t="str">
        <f aca="false">IF(C131="","",C131&amp;" for "&amp;D131&amp;", "&amp;E131&amp;" x "&amp;F131&amp;" pit, "&amp;TEXT(G131,"0.0")&amp;" m deep, "&amp;H131)</f>
        <v/>
      </c>
      <c r="C131" s="9"/>
      <c r="D131" s="9"/>
      <c r="E131" s="40"/>
      <c r="F131" s="40"/>
      <c r="G131" s="43"/>
      <c r="H131" s="9"/>
      <c r="I131" s="43"/>
      <c r="J131" s="40"/>
      <c r="K131" s="9"/>
      <c r="L131" s="43"/>
      <c r="M131" s="43"/>
      <c r="N131" s="40"/>
      <c r="O131" s="9"/>
      <c r="P131" s="9"/>
      <c r="Q131" s="41"/>
      <c r="R131" s="9"/>
      <c r="S131" s="40"/>
      <c r="T131" s="9"/>
      <c r="U131" s="9"/>
      <c r="V131" s="9"/>
      <c r="W131" s="9"/>
      <c r="X131" s="9"/>
      <c r="Y131" s="9"/>
      <c r="Z131" s="10" t="str">
        <f aca="false">IF(A131="","",SG_Criteria!$B$6&amp;SG_Criteria!$B$11&amp;"\"&amp;A131&amp;"\")</f>
        <v/>
      </c>
      <c r="AA131" s="10" t="str">
        <f aca="false">IF(A131="","",A131&amp;"_CAD.dwg")</f>
        <v/>
      </c>
      <c r="AB131" s="10" t="str">
        <f aca="false">IF(A131="","",A131&amp;"_DWG.pdf")</f>
        <v/>
      </c>
      <c r="AC131" s="10" t="str">
        <f aca="false">IF(A131="","",IF(Y131="Y",A131&amp;"_STAAD.std","n/a"))</f>
        <v/>
      </c>
      <c r="AD131" s="10" t="str">
        <f aca="false">IF(A131="","",A131&amp;"_CALC.xlsx")</f>
        <v/>
      </c>
      <c r="AE131" s="10" t="str">
        <f aca="false">IF(A131="","",A131&amp;"_CALC.pdf")</f>
        <v/>
      </c>
      <c r="AF131" s="9"/>
      <c r="AG131" s="9"/>
      <c r="AH131" s="41"/>
      <c r="AI131" s="41"/>
      <c r="AJ131" s="41"/>
      <c r="AK131" s="41"/>
      <c r="AL131" s="41"/>
      <c r="AM131" s="38" t="str">
        <f aca="false">IF(OR(C131="",G131=""),"",IF(G131&lt;=IF(OR(C131="Soldier Pile &amp; Timber Lagging",C131="Trench Shoring Box",C131="Open Cut (battered)"),SG_Criteria!$B$34,SG_Criteria!$B$33),"No ERSS submission",IF(G131&lt;=SG_Criteria!$B$35,"QP(ST)",IF(G131&lt;=SG_Criteria!$B$36,"QP(ST) + AC","Geotechnical building works: QP(Geo) + AC"))))</f>
        <v/>
      </c>
      <c r="AN131" s="38" t="str">
        <f aca="false">IF(C131="","",IF(LEN(IF(AND(Q131&lt;&gt;"",Q131&lt;SG_Criteria!$B$37),"FAIL: base stability FOS &lt; "&amp;SG_Criteria!$B$37&amp;". ","")&amp;IF(AND(D131="Manhole",G131&gt;SG_Criteria!$B$36),"NOTE: BCA lists sewer manholes (pipe &lt;= 2 m dia) &gt; 6 m as non-GBW: QP(ST) + AC. ","")&amp;IF(AND(C131="Trench Shoring Box",H131="Kallang Formation (marine clay)"),"NOTE: check base heave / ground loss for shoring box in marine clay. ","")&amp;IF(AND(C131="Steel Sheet Pile Cofferdam",N(M131)&lt;G131*0.5),"NOTE: short toe embedment, check. ",""))=0,"OK",IF(AND(Q131&lt;&gt;"",Q131&lt;SG_Criteria!$B$37),"FAIL: base stability FOS &lt; "&amp;SG_Criteria!$B$37&amp;". ","")&amp;IF(AND(D131="Manhole",G131&gt;SG_Criteria!$B$36),"NOTE: BCA lists sewer manholes (pipe &lt;= 2 m dia) &gt; 6 m as non-GBW: QP(ST) + AC. ","")&amp;IF(AND(C131="Trench Shoring Box",H131="Kallang Formation (marine clay)"),"NOTE: check base heave / ground loss for shoring box in marine clay. ","")&amp;IF(AND(C131="Steel Sheet Pile Cofferdam",N(M131)&lt;G131*0.5),"NOTE: short toe embedment, check. ","")))</f>
        <v/>
      </c>
      <c r="AO131" s="9"/>
      <c r="AP131" s="9"/>
      <c r="AQ131" s="9"/>
      <c r="AR131" s="9"/>
      <c r="AS131" s="9"/>
      <c r="AT131" s="31"/>
      <c r="AU131" s="10" t="str">
        <f aca="false">IF(C131="","",IF(AND(V131="Approved",ISERROR(SEARCH("FAIL",AN131))),"Y","N"))</f>
        <v/>
      </c>
      <c r="AV131" s="10" t="str">
        <f aca="false">IF(C131="","",C131&amp;"|"&amp;G131&amp;"|"&amp;E131&amp;"|"&amp;H131&amp;"|"&amp;AU131)</f>
        <v/>
      </c>
    </row>
    <row r="132" customFormat="false" ht="15" hidden="false" customHeight="false" outlineLevel="0" collapsed="false">
      <c r="A132" s="10" t="str">
        <f aca="false">IF(C132="","","ERSS-"&amp;IFERROR(VLOOKUP(C132,Lists!$AK$4:$AL$21,2,0),"??")&amp;"-"&amp;TEXT(E132,"0000")&amp;"x"&amp;TEXT(F132,"0000")&amp;"-D"&amp;TEXT(G132*1000,"0000")&amp;"-"&amp;IFERROR(VLOOKUP(H132,Lists!$Y$4:$Z$21,2,0),"??")&amp;"-"&amp;U132)</f>
        <v/>
      </c>
      <c r="B132" s="10" t="str">
        <f aca="false">IF(C132="","",C132&amp;" for "&amp;D132&amp;", "&amp;E132&amp;" x "&amp;F132&amp;" pit, "&amp;TEXT(G132,"0.0")&amp;" m deep, "&amp;H132)</f>
        <v/>
      </c>
      <c r="C132" s="9"/>
      <c r="D132" s="9"/>
      <c r="E132" s="40"/>
      <c r="F132" s="40"/>
      <c r="G132" s="43"/>
      <c r="H132" s="9"/>
      <c r="I132" s="43"/>
      <c r="J132" s="40"/>
      <c r="K132" s="9"/>
      <c r="L132" s="43"/>
      <c r="M132" s="43"/>
      <c r="N132" s="40"/>
      <c r="O132" s="9"/>
      <c r="P132" s="9"/>
      <c r="Q132" s="41"/>
      <c r="R132" s="9"/>
      <c r="S132" s="40"/>
      <c r="T132" s="9"/>
      <c r="U132" s="9"/>
      <c r="V132" s="9"/>
      <c r="W132" s="9"/>
      <c r="X132" s="9"/>
      <c r="Y132" s="9"/>
      <c r="Z132" s="10" t="str">
        <f aca="false">IF(A132="","",SG_Criteria!$B$6&amp;SG_Criteria!$B$11&amp;"\"&amp;A132&amp;"\")</f>
        <v/>
      </c>
      <c r="AA132" s="10" t="str">
        <f aca="false">IF(A132="","",A132&amp;"_CAD.dwg")</f>
        <v/>
      </c>
      <c r="AB132" s="10" t="str">
        <f aca="false">IF(A132="","",A132&amp;"_DWG.pdf")</f>
        <v/>
      </c>
      <c r="AC132" s="10" t="str">
        <f aca="false">IF(A132="","",IF(Y132="Y",A132&amp;"_STAAD.std","n/a"))</f>
        <v/>
      </c>
      <c r="AD132" s="10" t="str">
        <f aca="false">IF(A132="","",A132&amp;"_CALC.xlsx")</f>
        <v/>
      </c>
      <c r="AE132" s="10" t="str">
        <f aca="false">IF(A132="","",A132&amp;"_CALC.pdf")</f>
        <v/>
      </c>
      <c r="AF132" s="9"/>
      <c r="AG132" s="9"/>
      <c r="AH132" s="41"/>
      <c r="AI132" s="41"/>
      <c r="AJ132" s="41"/>
      <c r="AK132" s="41"/>
      <c r="AL132" s="41"/>
      <c r="AM132" s="38" t="str">
        <f aca="false">IF(OR(C132="",G132=""),"",IF(G132&lt;=IF(OR(C132="Soldier Pile &amp; Timber Lagging",C132="Trench Shoring Box",C132="Open Cut (battered)"),SG_Criteria!$B$34,SG_Criteria!$B$33),"No ERSS submission",IF(G132&lt;=SG_Criteria!$B$35,"QP(ST)",IF(G132&lt;=SG_Criteria!$B$36,"QP(ST) + AC","Geotechnical building works: QP(Geo) + AC"))))</f>
        <v/>
      </c>
      <c r="AN132" s="38" t="str">
        <f aca="false">IF(C132="","",IF(LEN(IF(AND(Q132&lt;&gt;"",Q132&lt;SG_Criteria!$B$37),"FAIL: base stability FOS &lt; "&amp;SG_Criteria!$B$37&amp;". ","")&amp;IF(AND(D132="Manhole",G132&gt;SG_Criteria!$B$36),"NOTE: BCA lists sewer manholes (pipe &lt;= 2 m dia) &gt; 6 m as non-GBW: QP(ST) + AC. ","")&amp;IF(AND(C132="Trench Shoring Box",H132="Kallang Formation (marine clay)"),"NOTE: check base heave / ground loss for shoring box in marine clay. ","")&amp;IF(AND(C132="Steel Sheet Pile Cofferdam",N(M132)&lt;G132*0.5),"NOTE: short toe embedment, check. ",""))=0,"OK",IF(AND(Q132&lt;&gt;"",Q132&lt;SG_Criteria!$B$37),"FAIL: base stability FOS &lt; "&amp;SG_Criteria!$B$37&amp;". ","")&amp;IF(AND(D132="Manhole",G132&gt;SG_Criteria!$B$36),"NOTE: BCA lists sewer manholes (pipe &lt;= 2 m dia) &gt; 6 m as non-GBW: QP(ST) + AC. ","")&amp;IF(AND(C132="Trench Shoring Box",H132="Kallang Formation (marine clay)"),"NOTE: check base heave / ground loss for shoring box in marine clay. ","")&amp;IF(AND(C132="Steel Sheet Pile Cofferdam",N(M132)&lt;G132*0.5),"NOTE: short toe embedment, check. ","")))</f>
        <v/>
      </c>
      <c r="AO132" s="9"/>
      <c r="AP132" s="9"/>
      <c r="AQ132" s="9"/>
      <c r="AR132" s="9"/>
      <c r="AS132" s="9"/>
      <c r="AT132" s="31"/>
      <c r="AU132" s="10" t="str">
        <f aca="false">IF(C132="","",IF(AND(V132="Approved",ISERROR(SEARCH("FAIL",AN132))),"Y","N"))</f>
        <v/>
      </c>
      <c r="AV132" s="10" t="str">
        <f aca="false">IF(C132="","",C132&amp;"|"&amp;G132&amp;"|"&amp;E132&amp;"|"&amp;H132&amp;"|"&amp;AU132)</f>
        <v/>
      </c>
    </row>
    <row r="133" customFormat="false" ht="15" hidden="false" customHeight="false" outlineLevel="0" collapsed="false">
      <c r="A133" s="10" t="str">
        <f aca="false">IF(C133="","","ERSS-"&amp;IFERROR(VLOOKUP(C133,Lists!$AK$4:$AL$21,2,0),"??")&amp;"-"&amp;TEXT(E133,"0000")&amp;"x"&amp;TEXT(F133,"0000")&amp;"-D"&amp;TEXT(G133*1000,"0000")&amp;"-"&amp;IFERROR(VLOOKUP(H133,Lists!$Y$4:$Z$21,2,0),"??")&amp;"-"&amp;U133)</f>
        <v/>
      </c>
      <c r="B133" s="10" t="str">
        <f aca="false">IF(C133="","",C133&amp;" for "&amp;D133&amp;", "&amp;E133&amp;" x "&amp;F133&amp;" pit, "&amp;TEXT(G133,"0.0")&amp;" m deep, "&amp;H133)</f>
        <v/>
      </c>
      <c r="C133" s="9"/>
      <c r="D133" s="9"/>
      <c r="E133" s="40"/>
      <c r="F133" s="40"/>
      <c r="G133" s="43"/>
      <c r="H133" s="9"/>
      <c r="I133" s="43"/>
      <c r="J133" s="40"/>
      <c r="K133" s="9"/>
      <c r="L133" s="43"/>
      <c r="M133" s="43"/>
      <c r="N133" s="40"/>
      <c r="O133" s="9"/>
      <c r="P133" s="9"/>
      <c r="Q133" s="41"/>
      <c r="R133" s="9"/>
      <c r="S133" s="40"/>
      <c r="T133" s="9"/>
      <c r="U133" s="9"/>
      <c r="V133" s="9"/>
      <c r="W133" s="9"/>
      <c r="X133" s="9"/>
      <c r="Y133" s="9"/>
      <c r="Z133" s="10" t="str">
        <f aca="false">IF(A133="","",SG_Criteria!$B$6&amp;SG_Criteria!$B$11&amp;"\"&amp;A133&amp;"\")</f>
        <v/>
      </c>
      <c r="AA133" s="10" t="str">
        <f aca="false">IF(A133="","",A133&amp;"_CAD.dwg")</f>
        <v/>
      </c>
      <c r="AB133" s="10" t="str">
        <f aca="false">IF(A133="","",A133&amp;"_DWG.pdf")</f>
        <v/>
      </c>
      <c r="AC133" s="10" t="str">
        <f aca="false">IF(A133="","",IF(Y133="Y",A133&amp;"_STAAD.std","n/a"))</f>
        <v/>
      </c>
      <c r="AD133" s="10" t="str">
        <f aca="false">IF(A133="","",A133&amp;"_CALC.xlsx")</f>
        <v/>
      </c>
      <c r="AE133" s="10" t="str">
        <f aca="false">IF(A133="","",A133&amp;"_CALC.pdf")</f>
        <v/>
      </c>
      <c r="AF133" s="9"/>
      <c r="AG133" s="9"/>
      <c r="AH133" s="41"/>
      <c r="AI133" s="41"/>
      <c r="AJ133" s="41"/>
      <c r="AK133" s="41"/>
      <c r="AL133" s="41"/>
      <c r="AM133" s="38" t="str">
        <f aca="false">IF(OR(C133="",G133=""),"",IF(G133&lt;=IF(OR(C133="Soldier Pile &amp; Timber Lagging",C133="Trench Shoring Box",C133="Open Cut (battered)"),SG_Criteria!$B$34,SG_Criteria!$B$33),"No ERSS submission",IF(G133&lt;=SG_Criteria!$B$35,"QP(ST)",IF(G133&lt;=SG_Criteria!$B$36,"QP(ST) + AC","Geotechnical building works: QP(Geo) + AC"))))</f>
        <v/>
      </c>
      <c r="AN133" s="38" t="str">
        <f aca="false">IF(C133="","",IF(LEN(IF(AND(Q133&lt;&gt;"",Q133&lt;SG_Criteria!$B$37),"FAIL: base stability FOS &lt; "&amp;SG_Criteria!$B$37&amp;". ","")&amp;IF(AND(D133="Manhole",G133&gt;SG_Criteria!$B$36),"NOTE: BCA lists sewer manholes (pipe &lt;= 2 m dia) &gt; 6 m as non-GBW: QP(ST) + AC. ","")&amp;IF(AND(C133="Trench Shoring Box",H133="Kallang Formation (marine clay)"),"NOTE: check base heave / ground loss for shoring box in marine clay. ","")&amp;IF(AND(C133="Steel Sheet Pile Cofferdam",N(M133)&lt;G133*0.5),"NOTE: short toe embedment, check. ",""))=0,"OK",IF(AND(Q133&lt;&gt;"",Q133&lt;SG_Criteria!$B$37),"FAIL: base stability FOS &lt; "&amp;SG_Criteria!$B$37&amp;". ","")&amp;IF(AND(D133="Manhole",G133&gt;SG_Criteria!$B$36),"NOTE: BCA lists sewer manholes (pipe &lt;= 2 m dia) &gt; 6 m as non-GBW: QP(ST) + AC. ","")&amp;IF(AND(C133="Trench Shoring Box",H133="Kallang Formation (marine clay)"),"NOTE: check base heave / ground loss for shoring box in marine clay. ","")&amp;IF(AND(C133="Steel Sheet Pile Cofferdam",N(M133)&lt;G133*0.5),"NOTE: short toe embedment, check. ","")))</f>
        <v/>
      </c>
      <c r="AO133" s="9"/>
      <c r="AP133" s="9"/>
      <c r="AQ133" s="9"/>
      <c r="AR133" s="9"/>
      <c r="AS133" s="9"/>
      <c r="AT133" s="31"/>
      <c r="AU133" s="10" t="str">
        <f aca="false">IF(C133="","",IF(AND(V133="Approved",ISERROR(SEARCH("FAIL",AN133))),"Y","N"))</f>
        <v/>
      </c>
      <c r="AV133" s="10" t="str">
        <f aca="false">IF(C133="","",C133&amp;"|"&amp;G133&amp;"|"&amp;E133&amp;"|"&amp;H133&amp;"|"&amp;AU133)</f>
        <v/>
      </c>
    </row>
    <row r="134" customFormat="false" ht="15" hidden="false" customHeight="false" outlineLevel="0" collapsed="false">
      <c r="A134" s="10" t="str">
        <f aca="false">IF(C134="","","ERSS-"&amp;IFERROR(VLOOKUP(C134,Lists!$AK$4:$AL$21,2,0),"??")&amp;"-"&amp;TEXT(E134,"0000")&amp;"x"&amp;TEXT(F134,"0000")&amp;"-D"&amp;TEXT(G134*1000,"0000")&amp;"-"&amp;IFERROR(VLOOKUP(H134,Lists!$Y$4:$Z$21,2,0),"??")&amp;"-"&amp;U134)</f>
        <v/>
      </c>
      <c r="B134" s="10" t="str">
        <f aca="false">IF(C134="","",C134&amp;" for "&amp;D134&amp;", "&amp;E134&amp;" x "&amp;F134&amp;" pit, "&amp;TEXT(G134,"0.0")&amp;" m deep, "&amp;H134)</f>
        <v/>
      </c>
      <c r="C134" s="9"/>
      <c r="D134" s="9"/>
      <c r="E134" s="40"/>
      <c r="F134" s="40"/>
      <c r="G134" s="43"/>
      <c r="H134" s="9"/>
      <c r="I134" s="43"/>
      <c r="J134" s="40"/>
      <c r="K134" s="9"/>
      <c r="L134" s="43"/>
      <c r="M134" s="43"/>
      <c r="N134" s="40"/>
      <c r="O134" s="9"/>
      <c r="P134" s="9"/>
      <c r="Q134" s="41"/>
      <c r="R134" s="9"/>
      <c r="S134" s="40"/>
      <c r="T134" s="9"/>
      <c r="U134" s="9"/>
      <c r="V134" s="9"/>
      <c r="W134" s="9"/>
      <c r="X134" s="9"/>
      <c r="Y134" s="9"/>
      <c r="Z134" s="10" t="str">
        <f aca="false">IF(A134="","",SG_Criteria!$B$6&amp;SG_Criteria!$B$11&amp;"\"&amp;A134&amp;"\")</f>
        <v/>
      </c>
      <c r="AA134" s="10" t="str">
        <f aca="false">IF(A134="","",A134&amp;"_CAD.dwg")</f>
        <v/>
      </c>
      <c r="AB134" s="10" t="str">
        <f aca="false">IF(A134="","",A134&amp;"_DWG.pdf")</f>
        <v/>
      </c>
      <c r="AC134" s="10" t="str">
        <f aca="false">IF(A134="","",IF(Y134="Y",A134&amp;"_STAAD.std","n/a"))</f>
        <v/>
      </c>
      <c r="AD134" s="10" t="str">
        <f aca="false">IF(A134="","",A134&amp;"_CALC.xlsx")</f>
        <v/>
      </c>
      <c r="AE134" s="10" t="str">
        <f aca="false">IF(A134="","",A134&amp;"_CALC.pdf")</f>
        <v/>
      </c>
      <c r="AF134" s="9"/>
      <c r="AG134" s="9"/>
      <c r="AH134" s="41"/>
      <c r="AI134" s="41"/>
      <c r="AJ134" s="41"/>
      <c r="AK134" s="41"/>
      <c r="AL134" s="41"/>
      <c r="AM134" s="38" t="str">
        <f aca="false">IF(OR(C134="",G134=""),"",IF(G134&lt;=IF(OR(C134="Soldier Pile &amp; Timber Lagging",C134="Trench Shoring Box",C134="Open Cut (battered)"),SG_Criteria!$B$34,SG_Criteria!$B$33),"No ERSS submission",IF(G134&lt;=SG_Criteria!$B$35,"QP(ST)",IF(G134&lt;=SG_Criteria!$B$36,"QP(ST) + AC","Geotechnical building works: QP(Geo) + AC"))))</f>
        <v/>
      </c>
      <c r="AN134" s="38" t="str">
        <f aca="false">IF(C134="","",IF(LEN(IF(AND(Q134&lt;&gt;"",Q134&lt;SG_Criteria!$B$37),"FAIL: base stability FOS &lt; "&amp;SG_Criteria!$B$37&amp;". ","")&amp;IF(AND(D134="Manhole",G134&gt;SG_Criteria!$B$36),"NOTE: BCA lists sewer manholes (pipe &lt;= 2 m dia) &gt; 6 m as non-GBW: QP(ST) + AC. ","")&amp;IF(AND(C134="Trench Shoring Box",H134="Kallang Formation (marine clay)"),"NOTE: check base heave / ground loss for shoring box in marine clay. ","")&amp;IF(AND(C134="Steel Sheet Pile Cofferdam",N(M134)&lt;G134*0.5),"NOTE: short toe embedment, check. ",""))=0,"OK",IF(AND(Q134&lt;&gt;"",Q134&lt;SG_Criteria!$B$37),"FAIL: base stability FOS &lt; "&amp;SG_Criteria!$B$37&amp;". ","")&amp;IF(AND(D134="Manhole",G134&gt;SG_Criteria!$B$36),"NOTE: BCA lists sewer manholes (pipe &lt;= 2 m dia) &gt; 6 m as non-GBW: QP(ST) + AC. ","")&amp;IF(AND(C134="Trench Shoring Box",H134="Kallang Formation (marine clay)"),"NOTE: check base heave / ground loss for shoring box in marine clay. ","")&amp;IF(AND(C134="Steel Sheet Pile Cofferdam",N(M134)&lt;G134*0.5),"NOTE: short toe embedment, check. ","")))</f>
        <v/>
      </c>
      <c r="AO134" s="9"/>
      <c r="AP134" s="9"/>
      <c r="AQ134" s="9"/>
      <c r="AR134" s="9"/>
      <c r="AS134" s="9"/>
      <c r="AT134" s="31"/>
      <c r="AU134" s="10" t="str">
        <f aca="false">IF(C134="","",IF(AND(V134="Approved",ISERROR(SEARCH("FAIL",AN134))),"Y","N"))</f>
        <v/>
      </c>
      <c r="AV134" s="10" t="str">
        <f aca="false">IF(C134="","",C134&amp;"|"&amp;G134&amp;"|"&amp;E134&amp;"|"&amp;H134&amp;"|"&amp;AU134)</f>
        <v/>
      </c>
    </row>
    <row r="135" customFormat="false" ht="15" hidden="false" customHeight="false" outlineLevel="0" collapsed="false">
      <c r="A135" s="10" t="str">
        <f aca="false">IF(C135="","","ERSS-"&amp;IFERROR(VLOOKUP(C135,Lists!$AK$4:$AL$21,2,0),"??")&amp;"-"&amp;TEXT(E135,"0000")&amp;"x"&amp;TEXT(F135,"0000")&amp;"-D"&amp;TEXT(G135*1000,"0000")&amp;"-"&amp;IFERROR(VLOOKUP(H135,Lists!$Y$4:$Z$21,2,0),"??")&amp;"-"&amp;U135)</f>
        <v/>
      </c>
      <c r="B135" s="10" t="str">
        <f aca="false">IF(C135="","",C135&amp;" for "&amp;D135&amp;", "&amp;E135&amp;" x "&amp;F135&amp;" pit, "&amp;TEXT(G135,"0.0")&amp;" m deep, "&amp;H135)</f>
        <v/>
      </c>
      <c r="C135" s="9"/>
      <c r="D135" s="9"/>
      <c r="E135" s="40"/>
      <c r="F135" s="40"/>
      <c r="G135" s="43"/>
      <c r="H135" s="9"/>
      <c r="I135" s="43"/>
      <c r="J135" s="40"/>
      <c r="K135" s="9"/>
      <c r="L135" s="43"/>
      <c r="M135" s="43"/>
      <c r="N135" s="40"/>
      <c r="O135" s="9"/>
      <c r="P135" s="9"/>
      <c r="Q135" s="41"/>
      <c r="R135" s="9"/>
      <c r="S135" s="40"/>
      <c r="T135" s="9"/>
      <c r="U135" s="9"/>
      <c r="V135" s="9"/>
      <c r="W135" s="9"/>
      <c r="X135" s="9"/>
      <c r="Y135" s="9"/>
      <c r="Z135" s="10" t="str">
        <f aca="false">IF(A135="","",SG_Criteria!$B$6&amp;SG_Criteria!$B$11&amp;"\"&amp;A135&amp;"\")</f>
        <v/>
      </c>
      <c r="AA135" s="10" t="str">
        <f aca="false">IF(A135="","",A135&amp;"_CAD.dwg")</f>
        <v/>
      </c>
      <c r="AB135" s="10" t="str">
        <f aca="false">IF(A135="","",A135&amp;"_DWG.pdf")</f>
        <v/>
      </c>
      <c r="AC135" s="10" t="str">
        <f aca="false">IF(A135="","",IF(Y135="Y",A135&amp;"_STAAD.std","n/a"))</f>
        <v/>
      </c>
      <c r="AD135" s="10" t="str">
        <f aca="false">IF(A135="","",A135&amp;"_CALC.xlsx")</f>
        <v/>
      </c>
      <c r="AE135" s="10" t="str">
        <f aca="false">IF(A135="","",A135&amp;"_CALC.pdf")</f>
        <v/>
      </c>
      <c r="AF135" s="9"/>
      <c r="AG135" s="9"/>
      <c r="AH135" s="41"/>
      <c r="AI135" s="41"/>
      <c r="AJ135" s="41"/>
      <c r="AK135" s="41"/>
      <c r="AL135" s="41"/>
      <c r="AM135" s="38" t="str">
        <f aca="false">IF(OR(C135="",G135=""),"",IF(G135&lt;=IF(OR(C135="Soldier Pile &amp; Timber Lagging",C135="Trench Shoring Box",C135="Open Cut (battered)"),SG_Criteria!$B$34,SG_Criteria!$B$33),"No ERSS submission",IF(G135&lt;=SG_Criteria!$B$35,"QP(ST)",IF(G135&lt;=SG_Criteria!$B$36,"QP(ST) + AC","Geotechnical building works: QP(Geo) + AC"))))</f>
        <v/>
      </c>
      <c r="AN135" s="38" t="str">
        <f aca="false">IF(C135="","",IF(LEN(IF(AND(Q135&lt;&gt;"",Q135&lt;SG_Criteria!$B$37),"FAIL: base stability FOS &lt; "&amp;SG_Criteria!$B$37&amp;". ","")&amp;IF(AND(D135="Manhole",G135&gt;SG_Criteria!$B$36),"NOTE: BCA lists sewer manholes (pipe &lt;= 2 m dia) &gt; 6 m as non-GBW: QP(ST) + AC. ","")&amp;IF(AND(C135="Trench Shoring Box",H135="Kallang Formation (marine clay)"),"NOTE: check base heave / ground loss for shoring box in marine clay. ","")&amp;IF(AND(C135="Steel Sheet Pile Cofferdam",N(M135)&lt;G135*0.5),"NOTE: short toe embedment, check. ",""))=0,"OK",IF(AND(Q135&lt;&gt;"",Q135&lt;SG_Criteria!$B$37),"FAIL: base stability FOS &lt; "&amp;SG_Criteria!$B$37&amp;". ","")&amp;IF(AND(D135="Manhole",G135&gt;SG_Criteria!$B$36),"NOTE: BCA lists sewer manholes (pipe &lt;= 2 m dia) &gt; 6 m as non-GBW: QP(ST) + AC. ","")&amp;IF(AND(C135="Trench Shoring Box",H135="Kallang Formation (marine clay)"),"NOTE: check base heave / ground loss for shoring box in marine clay. ","")&amp;IF(AND(C135="Steel Sheet Pile Cofferdam",N(M135)&lt;G135*0.5),"NOTE: short toe embedment, check. ","")))</f>
        <v/>
      </c>
      <c r="AO135" s="9"/>
      <c r="AP135" s="9"/>
      <c r="AQ135" s="9"/>
      <c r="AR135" s="9"/>
      <c r="AS135" s="9"/>
      <c r="AT135" s="31"/>
      <c r="AU135" s="10" t="str">
        <f aca="false">IF(C135="","",IF(AND(V135="Approved",ISERROR(SEARCH("FAIL",AN135))),"Y","N"))</f>
        <v/>
      </c>
      <c r="AV135" s="10" t="str">
        <f aca="false">IF(C135="","",C135&amp;"|"&amp;G135&amp;"|"&amp;E135&amp;"|"&amp;H135&amp;"|"&amp;AU135)</f>
        <v/>
      </c>
    </row>
    <row r="136" customFormat="false" ht="15" hidden="false" customHeight="false" outlineLevel="0" collapsed="false">
      <c r="A136" s="10" t="str">
        <f aca="false">IF(C136="","","ERSS-"&amp;IFERROR(VLOOKUP(C136,Lists!$AK$4:$AL$21,2,0),"??")&amp;"-"&amp;TEXT(E136,"0000")&amp;"x"&amp;TEXT(F136,"0000")&amp;"-D"&amp;TEXT(G136*1000,"0000")&amp;"-"&amp;IFERROR(VLOOKUP(H136,Lists!$Y$4:$Z$21,2,0),"??")&amp;"-"&amp;U136)</f>
        <v/>
      </c>
      <c r="B136" s="10" t="str">
        <f aca="false">IF(C136="","",C136&amp;" for "&amp;D136&amp;", "&amp;E136&amp;" x "&amp;F136&amp;" pit, "&amp;TEXT(G136,"0.0")&amp;" m deep, "&amp;H136)</f>
        <v/>
      </c>
      <c r="C136" s="9"/>
      <c r="D136" s="9"/>
      <c r="E136" s="40"/>
      <c r="F136" s="40"/>
      <c r="G136" s="43"/>
      <c r="H136" s="9"/>
      <c r="I136" s="43"/>
      <c r="J136" s="40"/>
      <c r="K136" s="9"/>
      <c r="L136" s="43"/>
      <c r="M136" s="43"/>
      <c r="N136" s="40"/>
      <c r="O136" s="9"/>
      <c r="P136" s="9"/>
      <c r="Q136" s="41"/>
      <c r="R136" s="9"/>
      <c r="S136" s="40"/>
      <c r="T136" s="9"/>
      <c r="U136" s="9"/>
      <c r="V136" s="9"/>
      <c r="W136" s="9"/>
      <c r="X136" s="9"/>
      <c r="Y136" s="9"/>
      <c r="Z136" s="10" t="str">
        <f aca="false">IF(A136="","",SG_Criteria!$B$6&amp;SG_Criteria!$B$11&amp;"\"&amp;A136&amp;"\")</f>
        <v/>
      </c>
      <c r="AA136" s="10" t="str">
        <f aca="false">IF(A136="","",A136&amp;"_CAD.dwg")</f>
        <v/>
      </c>
      <c r="AB136" s="10" t="str">
        <f aca="false">IF(A136="","",A136&amp;"_DWG.pdf")</f>
        <v/>
      </c>
      <c r="AC136" s="10" t="str">
        <f aca="false">IF(A136="","",IF(Y136="Y",A136&amp;"_STAAD.std","n/a"))</f>
        <v/>
      </c>
      <c r="AD136" s="10" t="str">
        <f aca="false">IF(A136="","",A136&amp;"_CALC.xlsx")</f>
        <v/>
      </c>
      <c r="AE136" s="10" t="str">
        <f aca="false">IF(A136="","",A136&amp;"_CALC.pdf")</f>
        <v/>
      </c>
      <c r="AF136" s="9"/>
      <c r="AG136" s="9"/>
      <c r="AH136" s="41"/>
      <c r="AI136" s="41"/>
      <c r="AJ136" s="41"/>
      <c r="AK136" s="41"/>
      <c r="AL136" s="41"/>
      <c r="AM136" s="38" t="str">
        <f aca="false">IF(OR(C136="",G136=""),"",IF(G136&lt;=IF(OR(C136="Soldier Pile &amp; Timber Lagging",C136="Trench Shoring Box",C136="Open Cut (battered)"),SG_Criteria!$B$34,SG_Criteria!$B$33),"No ERSS submission",IF(G136&lt;=SG_Criteria!$B$35,"QP(ST)",IF(G136&lt;=SG_Criteria!$B$36,"QP(ST) + AC","Geotechnical building works: QP(Geo) + AC"))))</f>
        <v/>
      </c>
      <c r="AN136" s="38" t="str">
        <f aca="false">IF(C136="","",IF(LEN(IF(AND(Q136&lt;&gt;"",Q136&lt;SG_Criteria!$B$37),"FAIL: base stability FOS &lt; "&amp;SG_Criteria!$B$37&amp;". ","")&amp;IF(AND(D136="Manhole",G136&gt;SG_Criteria!$B$36),"NOTE: BCA lists sewer manholes (pipe &lt;= 2 m dia) &gt; 6 m as non-GBW: QP(ST) + AC. ","")&amp;IF(AND(C136="Trench Shoring Box",H136="Kallang Formation (marine clay)"),"NOTE: check base heave / ground loss for shoring box in marine clay. ","")&amp;IF(AND(C136="Steel Sheet Pile Cofferdam",N(M136)&lt;G136*0.5),"NOTE: short toe embedment, check. ",""))=0,"OK",IF(AND(Q136&lt;&gt;"",Q136&lt;SG_Criteria!$B$37),"FAIL: base stability FOS &lt; "&amp;SG_Criteria!$B$37&amp;". ","")&amp;IF(AND(D136="Manhole",G136&gt;SG_Criteria!$B$36),"NOTE: BCA lists sewer manholes (pipe &lt;= 2 m dia) &gt; 6 m as non-GBW: QP(ST) + AC. ","")&amp;IF(AND(C136="Trench Shoring Box",H136="Kallang Formation (marine clay)"),"NOTE: check base heave / ground loss for shoring box in marine clay. ","")&amp;IF(AND(C136="Steel Sheet Pile Cofferdam",N(M136)&lt;G136*0.5),"NOTE: short toe embedment, check. ","")))</f>
        <v/>
      </c>
      <c r="AO136" s="9"/>
      <c r="AP136" s="9"/>
      <c r="AQ136" s="9"/>
      <c r="AR136" s="9"/>
      <c r="AS136" s="9"/>
      <c r="AT136" s="31"/>
      <c r="AU136" s="10" t="str">
        <f aca="false">IF(C136="","",IF(AND(V136="Approved",ISERROR(SEARCH("FAIL",AN136))),"Y","N"))</f>
        <v/>
      </c>
      <c r="AV136" s="10" t="str">
        <f aca="false">IF(C136="","",C136&amp;"|"&amp;G136&amp;"|"&amp;E136&amp;"|"&amp;H136&amp;"|"&amp;AU136)</f>
        <v/>
      </c>
    </row>
    <row r="137" customFormat="false" ht="15" hidden="false" customHeight="false" outlineLevel="0" collapsed="false">
      <c r="A137" s="10" t="str">
        <f aca="false">IF(C137="","","ERSS-"&amp;IFERROR(VLOOKUP(C137,Lists!$AK$4:$AL$21,2,0),"??")&amp;"-"&amp;TEXT(E137,"0000")&amp;"x"&amp;TEXT(F137,"0000")&amp;"-D"&amp;TEXT(G137*1000,"0000")&amp;"-"&amp;IFERROR(VLOOKUP(H137,Lists!$Y$4:$Z$21,2,0),"??")&amp;"-"&amp;U137)</f>
        <v/>
      </c>
      <c r="B137" s="10" t="str">
        <f aca="false">IF(C137="","",C137&amp;" for "&amp;D137&amp;", "&amp;E137&amp;" x "&amp;F137&amp;" pit, "&amp;TEXT(G137,"0.0")&amp;" m deep, "&amp;H137)</f>
        <v/>
      </c>
      <c r="C137" s="9"/>
      <c r="D137" s="9"/>
      <c r="E137" s="40"/>
      <c r="F137" s="40"/>
      <c r="G137" s="43"/>
      <c r="H137" s="9"/>
      <c r="I137" s="43"/>
      <c r="J137" s="40"/>
      <c r="K137" s="9"/>
      <c r="L137" s="43"/>
      <c r="M137" s="43"/>
      <c r="N137" s="40"/>
      <c r="O137" s="9"/>
      <c r="P137" s="9"/>
      <c r="Q137" s="41"/>
      <c r="R137" s="9"/>
      <c r="S137" s="40"/>
      <c r="T137" s="9"/>
      <c r="U137" s="9"/>
      <c r="V137" s="9"/>
      <c r="W137" s="9"/>
      <c r="X137" s="9"/>
      <c r="Y137" s="9"/>
      <c r="Z137" s="10" t="str">
        <f aca="false">IF(A137="","",SG_Criteria!$B$6&amp;SG_Criteria!$B$11&amp;"\"&amp;A137&amp;"\")</f>
        <v/>
      </c>
      <c r="AA137" s="10" t="str">
        <f aca="false">IF(A137="","",A137&amp;"_CAD.dwg")</f>
        <v/>
      </c>
      <c r="AB137" s="10" t="str">
        <f aca="false">IF(A137="","",A137&amp;"_DWG.pdf")</f>
        <v/>
      </c>
      <c r="AC137" s="10" t="str">
        <f aca="false">IF(A137="","",IF(Y137="Y",A137&amp;"_STAAD.std","n/a"))</f>
        <v/>
      </c>
      <c r="AD137" s="10" t="str">
        <f aca="false">IF(A137="","",A137&amp;"_CALC.xlsx")</f>
        <v/>
      </c>
      <c r="AE137" s="10" t="str">
        <f aca="false">IF(A137="","",A137&amp;"_CALC.pdf")</f>
        <v/>
      </c>
      <c r="AF137" s="9"/>
      <c r="AG137" s="9"/>
      <c r="AH137" s="41"/>
      <c r="AI137" s="41"/>
      <c r="AJ137" s="41"/>
      <c r="AK137" s="41"/>
      <c r="AL137" s="41"/>
      <c r="AM137" s="38" t="str">
        <f aca="false">IF(OR(C137="",G137=""),"",IF(G137&lt;=IF(OR(C137="Soldier Pile &amp; Timber Lagging",C137="Trench Shoring Box",C137="Open Cut (battered)"),SG_Criteria!$B$34,SG_Criteria!$B$33),"No ERSS submission",IF(G137&lt;=SG_Criteria!$B$35,"QP(ST)",IF(G137&lt;=SG_Criteria!$B$36,"QP(ST) + AC","Geotechnical building works: QP(Geo) + AC"))))</f>
        <v/>
      </c>
      <c r="AN137" s="38" t="str">
        <f aca="false">IF(C137="","",IF(LEN(IF(AND(Q137&lt;&gt;"",Q137&lt;SG_Criteria!$B$37),"FAIL: base stability FOS &lt; "&amp;SG_Criteria!$B$37&amp;". ","")&amp;IF(AND(D137="Manhole",G137&gt;SG_Criteria!$B$36),"NOTE: BCA lists sewer manholes (pipe &lt;= 2 m dia) &gt; 6 m as non-GBW: QP(ST) + AC. ","")&amp;IF(AND(C137="Trench Shoring Box",H137="Kallang Formation (marine clay)"),"NOTE: check base heave / ground loss for shoring box in marine clay. ","")&amp;IF(AND(C137="Steel Sheet Pile Cofferdam",N(M137)&lt;G137*0.5),"NOTE: short toe embedment, check. ",""))=0,"OK",IF(AND(Q137&lt;&gt;"",Q137&lt;SG_Criteria!$B$37),"FAIL: base stability FOS &lt; "&amp;SG_Criteria!$B$37&amp;". ","")&amp;IF(AND(D137="Manhole",G137&gt;SG_Criteria!$B$36),"NOTE: BCA lists sewer manholes (pipe &lt;= 2 m dia) &gt; 6 m as non-GBW: QP(ST) + AC. ","")&amp;IF(AND(C137="Trench Shoring Box",H137="Kallang Formation (marine clay)"),"NOTE: check base heave / ground loss for shoring box in marine clay. ","")&amp;IF(AND(C137="Steel Sheet Pile Cofferdam",N(M137)&lt;G137*0.5),"NOTE: short toe embedment, check. ","")))</f>
        <v/>
      </c>
      <c r="AO137" s="9"/>
      <c r="AP137" s="9"/>
      <c r="AQ137" s="9"/>
      <c r="AR137" s="9"/>
      <c r="AS137" s="9"/>
      <c r="AT137" s="31"/>
      <c r="AU137" s="10" t="str">
        <f aca="false">IF(C137="","",IF(AND(V137="Approved",ISERROR(SEARCH("FAIL",AN137))),"Y","N"))</f>
        <v/>
      </c>
      <c r="AV137" s="10" t="str">
        <f aca="false">IF(C137="","",C137&amp;"|"&amp;G137&amp;"|"&amp;E137&amp;"|"&amp;H137&amp;"|"&amp;AU137)</f>
        <v/>
      </c>
    </row>
    <row r="138" customFormat="false" ht="15" hidden="false" customHeight="false" outlineLevel="0" collapsed="false">
      <c r="A138" s="10" t="str">
        <f aca="false">IF(C138="","","ERSS-"&amp;IFERROR(VLOOKUP(C138,Lists!$AK$4:$AL$21,2,0),"??")&amp;"-"&amp;TEXT(E138,"0000")&amp;"x"&amp;TEXT(F138,"0000")&amp;"-D"&amp;TEXT(G138*1000,"0000")&amp;"-"&amp;IFERROR(VLOOKUP(H138,Lists!$Y$4:$Z$21,2,0),"??")&amp;"-"&amp;U138)</f>
        <v/>
      </c>
      <c r="B138" s="10" t="str">
        <f aca="false">IF(C138="","",C138&amp;" for "&amp;D138&amp;", "&amp;E138&amp;" x "&amp;F138&amp;" pit, "&amp;TEXT(G138,"0.0")&amp;" m deep, "&amp;H138)</f>
        <v/>
      </c>
      <c r="C138" s="9"/>
      <c r="D138" s="9"/>
      <c r="E138" s="40"/>
      <c r="F138" s="40"/>
      <c r="G138" s="43"/>
      <c r="H138" s="9"/>
      <c r="I138" s="43"/>
      <c r="J138" s="40"/>
      <c r="K138" s="9"/>
      <c r="L138" s="43"/>
      <c r="M138" s="43"/>
      <c r="N138" s="40"/>
      <c r="O138" s="9"/>
      <c r="P138" s="9"/>
      <c r="Q138" s="41"/>
      <c r="R138" s="9"/>
      <c r="S138" s="40"/>
      <c r="T138" s="9"/>
      <c r="U138" s="9"/>
      <c r="V138" s="9"/>
      <c r="W138" s="9"/>
      <c r="X138" s="9"/>
      <c r="Y138" s="9"/>
      <c r="Z138" s="10" t="str">
        <f aca="false">IF(A138="","",SG_Criteria!$B$6&amp;SG_Criteria!$B$11&amp;"\"&amp;A138&amp;"\")</f>
        <v/>
      </c>
      <c r="AA138" s="10" t="str">
        <f aca="false">IF(A138="","",A138&amp;"_CAD.dwg")</f>
        <v/>
      </c>
      <c r="AB138" s="10" t="str">
        <f aca="false">IF(A138="","",A138&amp;"_DWG.pdf")</f>
        <v/>
      </c>
      <c r="AC138" s="10" t="str">
        <f aca="false">IF(A138="","",IF(Y138="Y",A138&amp;"_STAAD.std","n/a"))</f>
        <v/>
      </c>
      <c r="AD138" s="10" t="str">
        <f aca="false">IF(A138="","",A138&amp;"_CALC.xlsx")</f>
        <v/>
      </c>
      <c r="AE138" s="10" t="str">
        <f aca="false">IF(A138="","",A138&amp;"_CALC.pdf")</f>
        <v/>
      </c>
      <c r="AF138" s="9"/>
      <c r="AG138" s="9"/>
      <c r="AH138" s="41"/>
      <c r="AI138" s="41"/>
      <c r="AJ138" s="41"/>
      <c r="AK138" s="41"/>
      <c r="AL138" s="41"/>
      <c r="AM138" s="38" t="str">
        <f aca="false">IF(OR(C138="",G138=""),"",IF(G138&lt;=IF(OR(C138="Soldier Pile &amp; Timber Lagging",C138="Trench Shoring Box",C138="Open Cut (battered)"),SG_Criteria!$B$34,SG_Criteria!$B$33),"No ERSS submission",IF(G138&lt;=SG_Criteria!$B$35,"QP(ST)",IF(G138&lt;=SG_Criteria!$B$36,"QP(ST) + AC","Geotechnical building works: QP(Geo) + AC"))))</f>
        <v/>
      </c>
      <c r="AN138" s="38" t="str">
        <f aca="false">IF(C138="","",IF(LEN(IF(AND(Q138&lt;&gt;"",Q138&lt;SG_Criteria!$B$37),"FAIL: base stability FOS &lt; "&amp;SG_Criteria!$B$37&amp;". ","")&amp;IF(AND(D138="Manhole",G138&gt;SG_Criteria!$B$36),"NOTE: BCA lists sewer manholes (pipe &lt;= 2 m dia) &gt; 6 m as non-GBW: QP(ST) + AC. ","")&amp;IF(AND(C138="Trench Shoring Box",H138="Kallang Formation (marine clay)"),"NOTE: check base heave / ground loss for shoring box in marine clay. ","")&amp;IF(AND(C138="Steel Sheet Pile Cofferdam",N(M138)&lt;G138*0.5),"NOTE: short toe embedment, check. ",""))=0,"OK",IF(AND(Q138&lt;&gt;"",Q138&lt;SG_Criteria!$B$37),"FAIL: base stability FOS &lt; "&amp;SG_Criteria!$B$37&amp;". ","")&amp;IF(AND(D138="Manhole",G138&gt;SG_Criteria!$B$36),"NOTE: BCA lists sewer manholes (pipe &lt;= 2 m 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s="9"/>
      <c r="AR138" s="9"/>
      <c r="AS138" s="9"/>
      <c r="AT138" s="31"/>
      <c r="AU138" s="10" t="str">
        <f aca="false">IF(C138="","",IF(AND(V138="Approved",ISERROR(SEARCH("FAIL",AN138))),"Y","N"))</f>
        <v/>
      </c>
      <c r="AV138" s="10" t="str">
        <f aca="false">IF(C138="","",C138&amp;"|"&amp;G138&amp;"|"&amp;E138&amp;"|"&amp;H138&amp;"|"&amp;AU138)</f>
        <v/>
      </c>
    </row>
    <row r="139" customFormat="false" ht="15" hidden="false" customHeight="false" outlineLevel="0" collapsed="false">
      <c r="A139" s="10" t="str">
        <f aca="false">IF(C139="","","ERSS-"&amp;IFERROR(VLOOKUP(C139,Lists!$AK$4:$AL$21,2,0),"??")&amp;"-"&amp;TEXT(E139,"0000")&amp;"x"&amp;TEXT(F139,"0000")&amp;"-D"&amp;TEXT(G139*1000,"0000")&amp;"-"&amp;IFERROR(VLOOKUP(H139,Lists!$Y$4:$Z$21,2,0),"??")&amp;"-"&amp;U139)</f>
        <v/>
      </c>
      <c r="B139" s="10" t="str">
        <f aca="false">IF(C139="","",C139&amp;" for "&amp;D139&amp;", "&amp;E139&amp;" x "&amp;F139&amp;" pit, "&amp;TEXT(G139,"0.0")&amp;" m deep, "&amp;H139)</f>
        <v/>
      </c>
      <c r="C139" s="9"/>
      <c r="D139" s="9"/>
      <c r="E139" s="40"/>
      <c r="F139" s="40"/>
      <c r="G139" s="43"/>
      <c r="H139" s="9"/>
      <c r="I139" s="43"/>
      <c r="J139" s="40"/>
      <c r="K139" s="9"/>
      <c r="L139" s="43"/>
      <c r="M139" s="43"/>
      <c r="N139" s="40"/>
      <c r="O139" s="9"/>
      <c r="P139" s="9"/>
      <c r="Q139" s="41"/>
      <c r="R139" s="9"/>
      <c r="S139" s="40"/>
      <c r="T139" s="9"/>
      <c r="U139" s="9"/>
      <c r="V139" s="9"/>
      <c r="W139" s="9"/>
      <c r="X139" s="9"/>
      <c r="Y139" s="9"/>
      <c r="Z139" s="10" t="str">
        <f aca="false">IF(A139="","",SG_Criteria!$B$6&amp;SG_Criteria!$B$11&amp;"\"&amp;A139&amp;"\")</f>
        <v/>
      </c>
      <c r="AA139" s="10" t="str">
        <f aca="false">IF(A139="","",A139&amp;"_CAD.dwg")</f>
        <v/>
      </c>
      <c r="AB139" s="10" t="str">
        <f aca="false">IF(A139="","",A139&amp;"_DWG.pdf")</f>
        <v/>
      </c>
      <c r="AC139" s="10" t="str">
        <f aca="false">IF(A139="","",IF(Y139="Y",A139&amp;"_STAAD.std","n/a"))</f>
        <v/>
      </c>
      <c r="AD139" s="10" t="str">
        <f aca="false">IF(A139="","",A139&amp;"_CALC.xlsx")</f>
        <v/>
      </c>
      <c r="AE139" s="10" t="str">
        <f aca="false">IF(A139="","",A139&amp;"_CALC.pdf")</f>
        <v/>
      </c>
      <c r="AF139" s="9"/>
      <c r="AG139" s="9"/>
      <c r="AH139" s="41"/>
      <c r="AI139" s="41"/>
      <c r="AJ139" s="41"/>
      <c r="AK139" s="41"/>
      <c r="AL139" s="41"/>
      <c r="AM139" s="38" t="str">
        <f aca="false">IF(OR(C139="",G139=""),"",IF(G139&lt;=IF(OR(C139="Soldier Pile &amp; Timber Lagging",C139="Trench Shoring Box",C139="Open Cut (battered)"),SG_Criteria!$B$34,SG_Criteria!$B$33),"No ERSS submission",IF(G139&lt;=SG_Criteria!$B$35,"QP(ST)",IF(G139&lt;=SG_Criteria!$B$36,"QP(ST) + AC","Geotechnical building works: QP(Geo) + AC"))))</f>
        <v/>
      </c>
      <c r="AN139" s="38" t="str">
        <f aca="false">IF(C139="","",IF(LEN(IF(AND(Q139&lt;&gt;"",Q139&lt;SG_Criteria!$B$37),"FAIL: base stability FOS &lt; "&amp;SG_Criteria!$B$37&amp;". ","")&amp;IF(AND(D139="Manhole",G139&gt;SG_Criteria!$B$36),"NOTE: BCA lists sewer manholes (pipe &lt;= 2 m dia) &gt; 6 m as non-GBW: QP(ST) + AC. ","")&amp;IF(AND(C139="Trench Shoring Box",H139="Kallang Formation (marine clay)"),"NOTE: check base heave / ground loss for shoring box in marine clay. ","")&amp;IF(AND(C139="Steel Sheet Pile Cofferdam",N(M139)&lt;G139*0.5),"NOTE: short toe embedment, check. ",""))=0,"OK",IF(AND(Q139&lt;&gt;"",Q139&lt;SG_Criteria!$B$37),"FAIL: base stability FOS &lt; "&amp;SG_Criteria!$B$37&amp;". ","")&amp;IF(AND(D139="Manhole",G139&gt;SG_Criteria!$B$36),"NOTE: BCA lists sewer manholes (pipe &lt;= 2 m dia) &gt; 6 m as non-GBW: QP(ST) + AC. ","")&amp;IF(AND(C139="Trench Shoring Box",H139="Kallang Formation (marine clay)"),"NOTE: check base heave / ground loss for shoring box in marine clay. ","")&amp;IF(AND(C139="Steel Sheet Pile Cofferdam",N(M139)&lt;G139*0.5),"NOTE: short toe embedment, check. ","")))</f>
        <v/>
      </c>
      <c r="AO139" s="9"/>
      <c r="AP139" s="9"/>
      <c r="AQ139" s="9"/>
      <c r="AR139" s="9"/>
      <c r="AS139" s="9"/>
      <c r="AT139" s="31"/>
      <c r="AU139" s="10" t="str">
        <f aca="false">IF(C139="","",IF(AND(V139="Approved",ISERROR(SEARCH("FAIL",AN139))),"Y","N"))</f>
        <v/>
      </c>
      <c r="AV139" s="10" t="str">
        <f aca="false">IF(C139="","",C139&amp;"|"&amp;G139&amp;"|"&amp;E139&amp;"|"&amp;H139&amp;"|"&amp;AU139)</f>
        <v/>
      </c>
    </row>
    <row r="140" customFormat="false" ht="15" hidden="false" customHeight="false" outlineLevel="0" collapsed="false">
      <c r="A140" s="10" t="str">
        <f aca="false">IF(C140="","","ERSS-"&amp;IFERROR(VLOOKUP(C140,Lists!$AK$4:$AL$21,2,0),"??")&amp;"-"&amp;TEXT(E140,"0000")&amp;"x"&amp;TEXT(F140,"0000")&amp;"-D"&amp;TEXT(G140*1000,"0000")&amp;"-"&amp;IFERROR(VLOOKUP(H140,Lists!$Y$4:$Z$21,2,0),"??")&amp;"-"&amp;U140)</f>
        <v/>
      </c>
      <c r="B140" s="10" t="str">
        <f aca="false">IF(C140="","",C140&amp;" for "&amp;D140&amp;", "&amp;E140&amp;" x "&amp;F140&amp;" pit, "&amp;TEXT(G140,"0.0")&amp;" m deep, "&amp;H140)</f>
        <v/>
      </c>
      <c r="C140" s="9"/>
      <c r="D140" s="9"/>
      <c r="E140" s="40"/>
      <c r="F140" s="40"/>
      <c r="G140" s="43"/>
      <c r="H140" s="9"/>
      <c r="I140" s="43"/>
      <c r="J140" s="40"/>
      <c r="K140" s="9"/>
      <c r="L140" s="43"/>
      <c r="M140" s="43"/>
      <c r="N140" s="40"/>
      <c r="O140" s="9"/>
      <c r="P140" s="9"/>
      <c r="Q140" s="41"/>
      <c r="R140" s="9"/>
      <c r="S140" s="40"/>
      <c r="T140" s="9"/>
      <c r="U140" s="9"/>
      <c r="V140" s="9"/>
      <c r="W140" s="9"/>
      <c r="X140" s="9"/>
      <c r="Y140" s="9"/>
      <c r="Z140" s="10" t="str">
        <f aca="false">IF(A140="","",SG_Criteria!$B$6&amp;SG_Criteria!$B$11&amp;"\"&amp;A140&amp;"\")</f>
        <v/>
      </c>
      <c r="AA140" s="10" t="str">
        <f aca="false">IF(A140="","",A140&amp;"_CAD.dwg")</f>
        <v/>
      </c>
      <c r="AB140" s="10" t="str">
        <f aca="false">IF(A140="","",A140&amp;"_DWG.pdf")</f>
        <v/>
      </c>
      <c r="AC140" s="10" t="str">
        <f aca="false">IF(A140="","",IF(Y140="Y",A140&amp;"_STAAD.std","n/a"))</f>
        <v/>
      </c>
      <c r="AD140" s="10" t="str">
        <f aca="false">IF(A140="","",A140&amp;"_CALC.xlsx")</f>
        <v/>
      </c>
      <c r="AE140" s="10" t="str">
        <f aca="false">IF(A140="","",A140&amp;"_CALC.pdf")</f>
        <v/>
      </c>
      <c r="AF140" s="9"/>
      <c r="AG140" s="9"/>
      <c r="AH140" s="41"/>
      <c r="AI140" s="41"/>
      <c r="AJ140" s="41"/>
      <c r="AK140" s="41"/>
      <c r="AL140" s="41"/>
      <c r="AM140" s="38" t="str">
        <f aca="false">IF(OR(C140="",G140=""),"",IF(G140&lt;=IF(OR(C140="Soldier Pile &amp; Timber Lagging",C140="Trench Shoring Box",C140="Open Cut (battered)"),SG_Criteria!$B$34,SG_Criteria!$B$33),"No ERSS submission",IF(G140&lt;=SG_Criteria!$B$35,"QP(ST)",IF(G140&lt;=SG_Criteria!$B$36,"QP(ST) + AC","Geotechnical building works: QP(Geo) + AC"))))</f>
        <v/>
      </c>
      <c r="AN140" s="38" t="str">
        <f aca="false">IF(C140="","",IF(LEN(IF(AND(Q140&lt;&gt;"",Q140&lt;SG_Criteria!$B$37),"FAIL: base stability FOS &lt; "&amp;SG_Criteria!$B$37&amp;". ","")&amp;IF(AND(D140="Manhole",G140&gt;SG_Criteria!$B$36),"NOTE: BCA lists sewer manholes (pipe &lt;= 2 m dia) &gt; 6 m as non-GBW: QP(ST) + AC. ","")&amp;IF(AND(C140="Trench Shoring Box",H140="Kallang Formation (marine clay)"),"NOTE: check base heave / ground loss for shoring box in marine clay. ","")&amp;IF(AND(C140="Steel Sheet Pile Cofferdam",N(M140)&lt;G140*0.5),"NOTE: short toe embedment, check. ",""))=0,"OK",IF(AND(Q140&lt;&gt;"",Q140&lt;SG_Criteria!$B$37),"FAIL: base stability FOS &lt; "&amp;SG_Criteria!$B$37&amp;". ","")&amp;IF(AND(D140="Manhole",G140&gt;SG_Criteria!$B$36),"NOTE: BCA lists sewer manholes (pipe &lt;= 2 m dia) &gt; 6 m as non-GBW: QP(ST) + AC. ","")&amp;IF(AND(C140="Trench Shoring Box",H140="Kallang Formation (marine clay)"),"NOTE: check base heave / ground loss for shoring box in marine clay. ","")&amp;IF(AND(C140="Steel Sheet Pile Cofferdam",N(M140)&lt;G140*0.5),"NOTE: short toe embedment, check. ","")))</f>
        <v/>
      </c>
      <c r="AO140" s="9"/>
      <c r="AP140" s="9"/>
      <c r="AQ140" s="9"/>
      <c r="AR140" s="9"/>
      <c r="AS140" s="9"/>
      <c r="AT140" s="31"/>
      <c r="AU140" s="10" t="str">
        <f aca="false">IF(C140="","",IF(AND(V140="Approved",ISERROR(SEARCH("FAIL",AN140))),"Y","N"))</f>
        <v/>
      </c>
      <c r="AV140" s="10" t="str">
        <f aca="false">IF(C140="","",C140&amp;"|"&amp;G140&amp;"|"&amp;E140&amp;"|"&amp;H140&amp;"|"&amp;AU140)</f>
        <v/>
      </c>
    </row>
    <row r="141" customFormat="false" ht="15" hidden="false" customHeight="false" outlineLevel="0" collapsed="false">
      <c r="A141" s="10" t="str">
        <f aca="false">IF(C141="","","ERSS-"&amp;IFERROR(VLOOKUP(C141,Lists!$AK$4:$AL$21,2,0),"??")&amp;"-"&amp;TEXT(E141,"0000")&amp;"x"&amp;TEXT(F141,"0000")&amp;"-D"&amp;TEXT(G141*1000,"0000")&amp;"-"&amp;IFERROR(VLOOKUP(H141,Lists!$Y$4:$Z$21,2,0),"??")&amp;"-"&amp;U141)</f>
        <v/>
      </c>
      <c r="B141" s="10" t="str">
        <f aca="false">IF(C141="","",C141&amp;" for "&amp;D141&amp;", "&amp;E141&amp;" x "&amp;F141&amp;" pit, "&amp;TEXT(G141,"0.0")&amp;" m deep, "&amp;H141)</f>
        <v/>
      </c>
      <c r="C141" s="9"/>
      <c r="D141" s="9"/>
      <c r="E141" s="40"/>
      <c r="F141" s="40"/>
      <c r="G141" s="43"/>
      <c r="H141" s="9"/>
      <c r="I141" s="43"/>
      <c r="J141" s="40"/>
      <c r="K141" s="9"/>
      <c r="L141" s="43"/>
      <c r="M141" s="43"/>
      <c r="N141" s="40"/>
      <c r="O141" s="9"/>
      <c r="P141" s="9"/>
      <c r="Q141" s="41"/>
      <c r="R141" s="9"/>
      <c r="S141" s="40"/>
      <c r="T141" s="9"/>
      <c r="U141" s="9"/>
      <c r="V141" s="9"/>
      <c r="W141" s="9"/>
      <c r="X141" s="9"/>
      <c r="Y141" s="9"/>
      <c r="Z141" s="10" t="str">
        <f aca="false">IF(A141="","",SG_Criteria!$B$6&amp;SG_Criteria!$B$11&amp;"\"&amp;A141&amp;"\")</f>
        <v/>
      </c>
      <c r="AA141" s="10" t="str">
        <f aca="false">IF(A141="","",A141&amp;"_CAD.dwg")</f>
        <v/>
      </c>
      <c r="AB141" s="10" t="str">
        <f aca="false">IF(A141="","",A141&amp;"_DWG.pdf")</f>
        <v/>
      </c>
      <c r="AC141" s="10" t="str">
        <f aca="false">IF(A141="","",IF(Y141="Y",A141&amp;"_STAAD.std","n/a"))</f>
        <v/>
      </c>
      <c r="AD141" s="10" t="str">
        <f aca="false">IF(A141="","",A141&amp;"_CALC.xlsx")</f>
        <v/>
      </c>
      <c r="AE141" s="10" t="str">
        <f aca="false">IF(A141="","",A141&amp;"_CALC.pdf")</f>
        <v/>
      </c>
      <c r="AF141" s="9"/>
      <c r="AG141" s="9"/>
      <c r="AH141" s="41"/>
      <c r="AI141" s="41"/>
      <c r="AJ141" s="41"/>
      <c r="AK141" s="41"/>
      <c r="AL141" s="41"/>
      <c r="AM141" s="38" t="str">
        <f aca="false">IF(OR(C141="",G141=""),"",IF(G141&lt;=IF(OR(C141="Soldier Pile &amp; Timber Lagging",C141="Trench Shoring Box",C141="Open Cut (battered)"),SG_Criteria!$B$34,SG_Criteria!$B$33),"No ERSS submission",IF(G141&lt;=SG_Criteria!$B$35,"QP(ST)",IF(G141&lt;=SG_Criteria!$B$36,"QP(ST) + AC","Geotechnical building works: QP(Geo) + AC"))))</f>
        <v/>
      </c>
      <c r="AN141" s="38" t="str">
        <f aca="false">IF(C141="","",IF(LEN(IF(AND(Q141&lt;&gt;"",Q141&lt;SG_Criteria!$B$37),"FAIL: base stability FOS &lt; "&amp;SG_Criteria!$B$37&amp;". ","")&amp;IF(AND(D141="Manhole",G141&gt;SG_Criteria!$B$36),"NOTE: BCA lists sewer manholes (pipe &lt;= 2 m dia) &gt; 6 m as non-GBW: QP(ST) + AC. ","")&amp;IF(AND(C141="Trench Shoring Box",H141="Kallang Formation (marine clay)"),"NOTE: check base heave / ground loss for shoring box in marine clay. ","")&amp;IF(AND(C141="Steel Sheet Pile Cofferdam",N(M141)&lt;G141*0.5),"NOTE: short toe embedment, check. ",""))=0,"OK",IF(AND(Q141&lt;&gt;"",Q141&lt;SG_Criteria!$B$37),"FAIL: base stability FOS &lt; "&amp;SG_Criteria!$B$37&amp;". ","")&amp;IF(AND(D141="Manhole",G141&gt;SG_Criteria!$B$36),"NOTE: BCA lists sewer manholes (pipe &lt;= 2 m dia) &gt; 6 m as non-GBW: QP(ST) + AC. ","")&amp;IF(AND(C141="Trench Shoring Box",H141="Kallang Formation (marine clay)"),"NOTE: check base heave / ground loss for shoring box in marine clay. ","")&amp;IF(AND(C141="Steel Sheet Pile Cofferdam",N(M141)&lt;G141*0.5),"NOTE: short toe embedment, check. ","")))</f>
        <v/>
      </c>
      <c r="AO141" s="9"/>
      <c r="AP141" s="9"/>
      <c r="AQ141" s="9"/>
      <c r="AR141" s="9"/>
      <c r="AS141" s="9"/>
      <c r="AT141" s="31"/>
      <c r="AU141" s="10" t="str">
        <f aca="false">IF(C141="","",IF(AND(V141="Approved",ISERROR(SEARCH("FAIL",AN141))),"Y","N"))</f>
        <v/>
      </c>
      <c r="AV141" s="10" t="str">
        <f aca="false">IF(C141="","",C141&amp;"|"&amp;G141&amp;"|"&amp;E141&amp;"|"&amp;H141&amp;"|"&amp;AU141)</f>
        <v/>
      </c>
    </row>
    <row r="142" customFormat="false" ht="15" hidden="false" customHeight="false" outlineLevel="0" collapsed="false">
      <c r="A142" s="10" t="str">
        <f aca="false">IF(C142="","","ERSS-"&amp;IFERROR(VLOOKUP(C142,Lists!$AK$4:$AL$21,2,0),"??")&amp;"-"&amp;TEXT(E142,"0000")&amp;"x"&amp;TEXT(F142,"0000")&amp;"-D"&amp;TEXT(G142*1000,"0000")&amp;"-"&amp;IFERROR(VLOOKUP(H142,Lists!$Y$4:$Z$21,2,0),"??")&amp;"-"&amp;U142)</f>
        <v/>
      </c>
      <c r="B142" s="10" t="str">
        <f aca="false">IF(C142="","",C142&amp;" for "&amp;D142&amp;", "&amp;E142&amp;" x "&amp;F142&amp;" pit, "&amp;TEXT(G142,"0.0")&amp;" m deep, "&amp;H142)</f>
        <v/>
      </c>
      <c r="C142" s="9"/>
      <c r="D142" s="9"/>
      <c r="E142" s="40"/>
      <c r="F142" s="40"/>
      <c r="G142" s="43"/>
      <c r="H142" s="9"/>
      <c r="I142" s="43"/>
      <c r="J142" s="40"/>
      <c r="K142" s="9"/>
      <c r="L142" s="43"/>
      <c r="M142" s="43"/>
      <c r="N142" s="40"/>
      <c r="O142" s="9"/>
      <c r="P142" s="9"/>
      <c r="Q142" s="41"/>
      <c r="R142" s="9"/>
      <c r="S142" s="40"/>
      <c r="T142" s="9"/>
      <c r="U142" s="9"/>
      <c r="V142" s="9"/>
      <c r="W142" s="9"/>
      <c r="X142" s="9"/>
      <c r="Y142" s="9"/>
      <c r="Z142" s="10" t="str">
        <f aca="false">IF(A142="","",SG_Criteria!$B$6&amp;SG_Criteria!$B$11&amp;"\"&amp;A142&amp;"\")</f>
        <v/>
      </c>
      <c r="AA142" s="10" t="str">
        <f aca="false">IF(A142="","",A142&amp;"_CAD.dwg")</f>
        <v/>
      </c>
      <c r="AB142" s="10" t="str">
        <f aca="false">IF(A142="","",A142&amp;"_DWG.pdf")</f>
        <v/>
      </c>
      <c r="AC142" s="10" t="str">
        <f aca="false">IF(A142="","",IF(Y142="Y",A142&amp;"_STAAD.std","n/a"))</f>
        <v/>
      </c>
      <c r="AD142" s="10" t="str">
        <f aca="false">IF(A142="","",A142&amp;"_CALC.xlsx")</f>
        <v/>
      </c>
      <c r="AE142" s="10" t="str">
        <f aca="false">IF(A142="","",A142&amp;"_CALC.pdf")</f>
        <v/>
      </c>
      <c r="AF142" s="9"/>
      <c r="AG142" s="9"/>
      <c r="AH142" s="41"/>
      <c r="AI142" s="41"/>
      <c r="AJ142" s="41"/>
      <c r="AK142" s="41"/>
      <c r="AL142" s="41"/>
      <c r="AM142" s="38" t="str">
        <f aca="false">IF(OR(C142="",G142=""),"",IF(G142&lt;=IF(OR(C142="Soldier Pile &amp; Timber Lagging",C142="Trench Shoring Box",C142="Open Cut (battered)"),SG_Criteria!$B$34,SG_Criteria!$B$33),"No ERSS submission",IF(G142&lt;=SG_Criteria!$B$35,"QP(ST)",IF(G142&lt;=SG_Criteria!$B$36,"QP(ST) + AC","Geotechnical building works: QP(Geo) + AC"))))</f>
        <v/>
      </c>
      <c r="AN142" s="38" t="str">
        <f aca="false">IF(C142="","",IF(LEN(IF(AND(Q142&lt;&gt;"",Q142&lt;SG_Criteria!$B$37),"FAIL: base stability FOS &lt; "&amp;SG_Criteria!$B$37&amp;". ","")&amp;IF(AND(D142="Manhole",G142&gt;SG_Criteria!$B$36),"NOTE: BCA lists sewer manholes (pipe &lt;= 2 m dia) &gt; 6 m as non-GBW: QP(ST) + AC. ","")&amp;IF(AND(C142="Trench Shoring Box",H142="Kallang Formation (marine clay)"),"NOTE: check base heave / ground loss for shoring box in marine clay. ","")&amp;IF(AND(C142="Steel Sheet Pile Cofferdam",N(M142)&lt;G142*0.5),"NOTE: short toe embedment, check. ",""))=0,"OK",IF(AND(Q142&lt;&gt;"",Q142&lt;SG_Criteria!$B$37),"FAIL: base stability FOS &lt; "&amp;SG_Criteria!$B$37&amp;". ","")&amp;IF(AND(D142="Manhole",G142&gt;SG_Criteria!$B$36),"NOTE: BCA lists sewer manholes (pipe &lt;= 2 m dia) &gt; 6 m as non-GBW: QP(ST) + AC. ","")&amp;IF(AND(C142="Trench Shoring Box",H142="Kallang Formation (marine clay)"),"NOTE: check base heave / ground loss for shoring box in marine clay. ","")&amp;IF(AND(C142="Steel Sheet Pile Cofferdam",N(M142)&lt;G142*0.5),"NOTE: short toe embedment, check. ","")))</f>
        <v/>
      </c>
      <c r="AO142" s="9"/>
      <c r="AP142" s="9"/>
      <c r="AQ142" s="9"/>
      <c r="AR142" s="9"/>
      <c r="AS142" s="9"/>
      <c r="AT142" s="31"/>
      <c r="AU142" s="10" t="str">
        <f aca="false">IF(C142="","",IF(AND(V142="Approved",ISERROR(SEARCH("FAIL",AN142))),"Y","N"))</f>
        <v/>
      </c>
      <c r="AV142" s="10" t="str">
        <f aca="false">IF(C142="","",C142&amp;"|"&amp;G142&amp;"|"&amp;E142&amp;"|"&amp;H142&amp;"|"&amp;AU142)</f>
        <v/>
      </c>
    </row>
    <row r="143" customFormat="false" ht="15" hidden="false" customHeight="false" outlineLevel="0" collapsed="false">
      <c r="A143" s="10" t="str">
        <f aca="false">IF(C143="","","ERSS-"&amp;IFERROR(VLOOKUP(C143,Lists!$AK$4:$AL$21,2,0),"??")&amp;"-"&amp;TEXT(E143,"0000")&amp;"x"&amp;TEXT(F143,"0000")&amp;"-D"&amp;TEXT(G143*1000,"0000")&amp;"-"&amp;IFERROR(VLOOKUP(H143,Lists!$Y$4:$Z$21,2,0),"??")&amp;"-"&amp;U143)</f>
        <v/>
      </c>
      <c r="B143" s="10" t="str">
        <f aca="false">IF(C143="","",C143&amp;" for "&amp;D143&amp;", "&amp;E143&amp;" x "&amp;F143&amp;" pit, "&amp;TEXT(G143,"0.0")&amp;" m deep, "&amp;H143)</f>
        <v/>
      </c>
      <c r="C143" s="9"/>
      <c r="D143" s="9"/>
      <c r="E143" s="40"/>
      <c r="F143" s="40"/>
      <c r="G143" s="43"/>
      <c r="H143" s="9"/>
      <c r="I143" s="43"/>
      <c r="J143" s="40"/>
      <c r="K143" s="9"/>
      <c r="L143" s="43"/>
      <c r="M143" s="43"/>
      <c r="N143" s="40"/>
      <c r="O143" s="9"/>
      <c r="P143" s="9"/>
      <c r="Q143" s="41"/>
      <c r="R143" s="9"/>
      <c r="S143" s="40"/>
      <c r="T143" s="9"/>
      <c r="U143" s="9"/>
      <c r="V143" s="9"/>
      <c r="W143" s="9"/>
      <c r="X143" s="9"/>
      <c r="Y143" s="9"/>
      <c r="Z143" s="10" t="str">
        <f aca="false">IF(A143="","",SG_Criteria!$B$6&amp;SG_Criteria!$B$11&amp;"\"&amp;A143&amp;"\")</f>
        <v/>
      </c>
      <c r="AA143" s="10" t="str">
        <f aca="false">IF(A143="","",A143&amp;"_CAD.dwg")</f>
        <v/>
      </c>
      <c r="AB143" s="10" t="str">
        <f aca="false">IF(A143="","",A143&amp;"_DWG.pdf")</f>
        <v/>
      </c>
      <c r="AC143" s="10" t="str">
        <f aca="false">IF(A143="","",IF(Y143="Y",A143&amp;"_STAAD.std","n/a"))</f>
        <v/>
      </c>
      <c r="AD143" s="10" t="str">
        <f aca="false">IF(A143="","",A143&amp;"_CALC.xlsx")</f>
        <v/>
      </c>
      <c r="AE143" s="10" t="str">
        <f aca="false">IF(A143="","",A143&amp;"_CALC.pdf")</f>
        <v/>
      </c>
      <c r="AF143" s="9"/>
      <c r="AG143" s="9"/>
      <c r="AH143" s="41"/>
      <c r="AI143" s="41"/>
      <c r="AJ143" s="41"/>
      <c r="AK143" s="41"/>
      <c r="AL143" s="41"/>
      <c r="AM143" s="38" t="str">
        <f aca="false">IF(OR(C143="",G143=""),"",IF(G143&lt;=IF(OR(C143="Soldier Pile &amp; Timber Lagging",C143="Trench Shoring Box",C143="Open Cut (battered)"),SG_Criteria!$B$34,SG_Criteria!$B$33),"No ERSS submission",IF(G143&lt;=SG_Criteria!$B$35,"QP(ST)",IF(G143&lt;=SG_Criteria!$B$36,"QP(ST) + AC","Geotechnical building works: QP(Geo) + AC"))))</f>
        <v/>
      </c>
      <c r="AN143" s="38" t="str">
        <f aca="false">IF(C143="","",IF(LEN(IF(AND(Q143&lt;&gt;"",Q143&lt;SG_Criteria!$B$37),"FAIL: base stability FOS &lt; "&amp;SG_Criteria!$B$37&amp;". ","")&amp;IF(AND(D143="Manhole",G143&gt;SG_Criteria!$B$36),"NOTE: BCA lists sewer manholes (pipe &lt;= 2 m dia) &gt; 6 m as non-GBW: QP(ST) + AC. ","")&amp;IF(AND(C143="Trench Shoring Box",H143="Kallang Formation (marine clay)"),"NOTE: check base heave / ground loss for shoring box in marine clay. ","")&amp;IF(AND(C143="Steel Sheet Pile Cofferdam",N(M143)&lt;G143*0.5),"NOTE: short toe embedment, check. ",""))=0,"OK",IF(AND(Q143&lt;&gt;"",Q143&lt;SG_Criteria!$B$37),"FAIL: base stability FOS &lt; "&amp;SG_Criteria!$B$37&amp;". ","")&amp;IF(AND(D143="Manhole",G143&gt;SG_Criteria!$B$36),"NOTE: BCA lists sewer manholes (pipe &lt;= 2 m dia) &gt; 6 m as non-GBW: QP(ST) + AC. ","")&amp;IF(AND(C143="Trench Shoring Box",H143="Kallang Formation (marine clay)"),"NOTE: check base heave / ground loss for shoring box in marine clay. ","")&amp;IF(AND(C143="Steel Sheet Pile Cofferdam",N(M143)&lt;G143*0.5),"NOTE: short toe embedment, check. ","")))</f>
        <v/>
      </c>
      <c r="AO143" s="9"/>
      <c r="AP143" s="9"/>
      <c r="AQ143" s="9"/>
      <c r="AR143" s="9"/>
      <c r="AS143" s="9"/>
      <c r="AT143" s="31"/>
      <c r="AU143" s="10" t="str">
        <f aca="false">IF(C143="","",IF(AND(V143="Approved",ISERROR(SEARCH("FAIL",AN143))),"Y","N"))</f>
        <v/>
      </c>
      <c r="AV143" s="10" t="str">
        <f aca="false">IF(C143="","",C143&amp;"|"&amp;G143&amp;"|"&amp;E143&amp;"|"&amp;H143&amp;"|"&amp;AU143)</f>
        <v/>
      </c>
    </row>
    <row r="144" customFormat="false" ht="15" hidden="false" customHeight="false" outlineLevel="0" collapsed="false">
      <c r="A144" s="10" t="str">
        <f aca="false">IF(C144="","","ERSS-"&amp;IFERROR(VLOOKUP(C144,Lists!$AK$4:$AL$21,2,0),"??")&amp;"-"&amp;TEXT(E144,"0000")&amp;"x"&amp;TEXT(F144,"0000")&amp;"-D"&amp;TEXT(G144*1000,"0000")&amp;"-"&amp;IFERROR(VLOOKUP(H144,Lists!$Y$4:$Z$21,2,0),"??")&amp;"-"&amp;U144)</f>
        <v/>
      </c>
      <c r="B144" s="10" t="str">
        <f aca="false">IF(C144="","",C144&amp;" for "&amp;D144&amp;", "&amp;E144&amp;" x "&amp;F144&amp;" pit, "&amp;TEXT(G144,"0.0")&amp;" m deep, "&amp;H144)</f>
        <v/>
      </c>
      <c r="C144" s="9"/>
      <c r="D144" s="9"/>
      <c r="E144" s="40"/>
      <c r="F144" s="40"/>
      <c r="G144" s="43"/>
      <c r="H144" s="9"/>
      <c r="I144" s="43"/>
      <c r="J144" s="40"/>
      <c r="K144" s="9"/>
      <c r="L144" s="43"/>
      <c r="M144" s="43"/>
      <c r="N144" s="40"/>
      <c r="O144" s="9"/>
      <c r="P144" s="9"/>
      <c r="Q144" s="41"/>
      <c r="R144" s="9"/>
      <c r="S144" s="40"/>
      <c r="T144" s="9"/>
      <c r="U144" s="9"/>
      <c r="V144" s="9"/>
      <c r="W144" s="9"/>
      <c r="X144" s="9"/>
      <c r="Y144" s="9"/>
      <c r="Z144" s="10" t="str">
        <f aca="false">IF(A144="","",SG_Criteria!$B$6&amp;SG_Criteria!$B$11&amp;"\"&amp;A144&amp;"\")</f>
        <v/>
      </c>
      <c r="AA144" s="10" t="str">
        <f aca="false">IF(A144="","",A144&amp;"_CAD.dwg")</f>
        <v/>
      </c>
      <c r="AB144" s="10" t="str">
        <f aca="false">IF(A144="","",A144&amp;"_DWG.pdf")</f>
        <v/>
      </c>
      <c r="AC144" s="10" t="str">
        <f aca="false">IF(A144="","",IF(Y144="Y",A144&amp;"_STAAD.std","n/a"))</f>
        <v/>
      </c>
      <c r="AD144" s="10" t="str">
        <f aca="false">IF(A144="","",A144&amp;"_CALC.xlsx")</f>
        <v/>
      </c>
      <c r="AE144" s="10" t="str">
        <f aca="false">IF(A144="","",A144&amp;"_CALC.pdf")</f>
        <v/>
      </c>
      <c r="AF144" s="9"/>
      <c r="AG144" s="9"/>
      <c r="AH144" s="41"/>
      <c r="AI144" s="41"/>
      <c r="AJ144" s="41"/>
      <c r="AK144" s="41"/>
      <c r="AL144" s="41"/>
      <c r="AM144" s="38" t="str">
        <f aca="false">IF(OR(C144="",G144=""),"",IF(G144&lt;=IF(OR(C144="Soldier Pile &amp; Timber Lagging",C144="Trench Shoring Box",C144="Open Cut (battered)"),SG_Criteria!$B$34,SG_Criteria!$B$33),"No ERSS submission",IF(G144&lt;=SG_Criteria!$B$35,"QP(ST)",IF(G144&lt;=SG_Criteria!$B$36,"QP(ST) + AC","Geotechnical building works: QP(Geo) + AC"))))</f>
        <v/>
      </c>
      <c r="AN144" s="38" t="str">
        <f aca="false">IF(C144="","",IF(LEN(IF(AND(Q144&lt;&gt;"",Q144&lt;SG_Criteria!$B$37),"FAIL: base stability FOS &lt; "&amp;SG_Criteria!$B$37&amp;". ","")&amp;IF(AND(D144="Manhole",G144&gt;SG_Criteria!$B$36),"NOTE: BCA lists sewer manholes (pipe &lt;= 2 m dia) &gt; 6 m as non-GBW: QP(ST) + AC. ","")&amp;IF(AND(C144="Trench Shoring Box",H144="Kallang Formation (marine clay)"),"NOTE: check base heave / ground loss for shoring box in marine clay. ","")&amp;IF(AND(C144="Steel Sheet Pile Cofferdam",N(M144)&lt;G144*0.5),"NOTE: short toe embedment, check. ",""))=0,"OK",IF(AND(Q144&lt;&gt;"",Q144&lt;SG_Criteria!$B$37),"FAIL: base stability FOS &lt; "&amp;SG_Criteria!$B$37&amp;". ","")&amp;IF(AND(D144="Manhole",G144&gt;SG_Criteria!$B$36),"NOTE: BCA lists sewer manholes (pipe &lt;= 2 m dia) &gt; 6 m as non-GBW: QP(ST) + AC. ","")&amp;IF(AND(C144="Trench Shoring Box",H144="Kallang Formation (marine clay)"),"NOTE: check base heave / ground loss for shoring box in marine clay. ","")&amp;IF(AND(C144="Steel Sheet Pile Cofferdam",N(M144)&lt;G144*0.5),"NOTE: short toe embedment, check. ","")))</f>
        <v/>
      </c>
      <c r="AO144" s="9"/>
      <c r="AP144" s="9"/>
      <c r="AQ144" s="9"/>
      <c r="AR144" s="9"/>
      <c r="AS144" s="9"/>
      <c r="AT144" s="31"/>
      <c r="AU144" s="10" t="str">
        <f aca="false">IF(C144="","",IF(AND(V144="Approved",ISERROR(SEARCH("FAIL",AN144))),"Y","N"))</f>
        <v/>
      </c>
      <c r="AV144" s="10" t="str">
        <f aca="false">IF(C144="","",C144&amp;"|"&amp;G144&amp;"|"&amp;E144&amp;"|"&amp;H144&amp;"|"&amp;AU144)</f>
        <v/>
      </c>
    </row>
    <row r="145" customFormat="false" ht="15" hidden="false" customHeight="false" outlineLevel="0" collapsed="false">
      <c r="A145" s="10" t="str">
        <f aca="false">IF(C145="","","ERSS-"&amp;IFERROR(VLOOKUP(C145,Lists!$AK$4:$AL$21,2,0),"??")&amp;"-"&amp;TEXT(E145,"0000")&amp;"x"&amp;TEXT(F145,"0000")&amp;"-D"&amp;TEXT(G145*1000,"0000")&amp;"-"&amp;IFERROR(VLOOKUP(H145,Lists!$Y$4:$Z$21,2,0),"??")&amp;"-"&amp;U145)</f>
        <v/>
      </c>
      <c r="B145" s="10" t="str">
        <f aca="false">IF(C145="","",C145&amp;" for "&amp;D145&amp;", "&amp;E145&amp;" x "&amp;F145&amp;" pit, "&amp;TEXT(G145,"0.0")&amp;" m deep, "&amp;H145)</f>
        <v/>
      </c>
      <c r="C145" s="9"/>
      <c r="D145" s="9"/>
      <c r="E145" s="40"/>
      <c r="F145" s="40"/>
      <c r="G145" s="43"/>
      <c r="H145" s="9"/>
      <c r="I145" s="43"/>
      <c r="J145" s="40"/>
      <c r="K145" s="9"/>
      <c r="L145" s="43"/>
      <c r="M145" s="43"/>
      <c r="N145" s="40"/>
      <c r="O145" s="9"/>
      <c r="P145" s="9"/>
      <c r="Q145" s="41"/>
      <c r="R145" s="9"/>
      <c r="S145" s="40"/>
      <c r="T145" s="9"/>
      <c r="U145" s="9"/>
      <c r="V145" s="9"/>
      <c r="W145" s="9"/>
      <c r="X145" s="9"/>
      <c r="Y145" s="9"/>
      <c r="Z145" s="10" t="str">
        <f aca="false">IF(A145="","",SG_Criteria!$B$6&amp;SG_Criteria!$B$11&amp;"\"&amp;A145&amp;"\")</f>
        <v/>
      </c>
      <c r="AA145" s="10" t="str">
        <f aca="false">IF(A145="","",A145&amp;"_CAD.dwg")</f>
        <v/>
      </c>
      <c r="AB145" s="10" t="str">
        <f aca="false">IF(A145="","",A145&amp;"_DWG.pdf")</f>
        <v/>
      </c>
      <c r="AC145" s="10" t="str">
        <f aca="false">IF(A145="","",IF(Y145="Y",A145&amp;"_STAAD.std","n/a"))</f>
        <v/>
      </c>
      <c r="AD145" s="10" t="str">
        <f aca="false">IF(A145="","",A145&amp;"_CALC.xlsx")</f>
        <v/>
      </c>
      <c r="AE145" s="10" t="str">
        <f aca="false">IF(A145="","",A145&amp;"_CALC.pdf")</f>
        <v/>
      </c>
      <c r="AF145" s="9"/>
      <c r="AG145" s="9"/>
      <c r="AH145" s="41"/>
      <c r="AI145" s="41"/>
      <c r="AJ145" s="41"/>
      <c r="AK145" s="41"/>
      <c r="AL145" s="41"/>
      <c r="AM145" s="38" t="str">
        <f aca="false">IF(OR(C145="",G145=""),"",IF(G145&lt;=IF(OR(C145="Soldier Pile &amp; Timber Lagging",C145="Trench Shoring Box",C145="Open Cut (battered)"),SG_Criteria!$B$34,SG_Criteria!$B$33),"No ERSS submission",IF(G145&lt;=SG_Criteria!$B$35,"QP(ST)",IF(G145&lt;=SG_Criteria!$B$36,"QP(ST) + AC","Geotechnical building works: QP(Geo) + AC"))))</f>
        <v/>
      </c>
      <c r="AN145" s="38" t="str">
        <f aca="false">IF(C145="","",IF(LEN(IF(AND(Q145&lt;&gt;"",Q145&lt;SG_Criteria!$B$37),"FAIL: base stability FOS &lt; "&amp;SG_Criteria!$B$37&amp;". ","")&amp;IF(AND(D145="Manhole",G145&gt;SG_Criteria!$B$36),"NOTE: BCA lists sewer manholes (pipe &lt;= 2 m dia) &gt; 6 m as non-GBW: QP(ST) + AC. ","")&amp;IF(AND(C145="Trench Shoring Box",H145="Kallang Formation (marine clay)"),"NOTE: check base heave / ground loss for shoring box in marine clay. ","")&amp;IF(AND(C145="Steel Sheet Pile Cofferdam",N(M145)&lt;G145*0.5),"NOTE: short toe embedment, check. ",""))=0,"OK",IF(AND(Q145&lt;&gt;"",Q145&lt;SG_Criteria!$B$37),"FAIL: base stability FOS &lt; "&amp;SG_Criteria!$B$37&amp;". ","")&amp;IF(AND(D145="Manhole",G145&gt;SG_Criteria!$B$36),"NOTE: BCA lists sewer manholes (pipe &lt;= 2 m dia) &gt; 6 m as non-GBW: QP(ST) + AC. ","")&amp;IF(AND(C145="Trench Shoring Box",H145="Kallang Formation (marine clay)"),"NOTE: check base heave / ground loss for shoring box in marine clay. ","")&amp;IF(AND(C145="Steel Sheet Pile Cofferdam",N(M145)&lt;G145*0.5),"NOTE: short toe embedment, check. ","")))</f>
        <v/>
      </c>
      <c r="AO145" s="9"/>
      <c r="AP145" s="9"/>
      <c r="AQ145" s="9"/>
      <c r="AR145" s="9"/>
      <c r="AS145" s="9"/>
      <c r="AT145" s="31"/>
      <c r="AU145" s="10" t="str">
        <f aca="false">IF(C145="","",IF(AND(V145="Approved",ISERROR(SEARCH("FAIL",AN145))),"Y","N"))</f>
        <v/>
      </c>
      <c r="AV145" s="10" t="str">
        <f aca="false">IF(C145="","",C145&amp;"|"&amp;G145&amp;"|"&amp;E145&amp;"|"&amp;H145&amp;"|"&amp;AU145)</f>
        <v/>
      </c>
    </row>
    <row r="146" customFormat="false" ht="15" hidden="false" customHeight="false" outlineLevel="0" collapsed="false">
      <c r="A146" s="10" t="str">
        <f aca="false">IF(C146="","","ERSS-"&amp;IFERROR(VLOOKUP(C146,Lists!$AK$4:$AL$21,2,0),"??")&amp;"-"&amp;TEXT(E146,"0000")&amp;"x"&amp;TEXT(F146,"0000")&amp;"-D"&amp;TEXT(G146*1000,"0000")&amp;"-"&amp;IFERROR(VLOOKUP(H146,Lists!$Y$4:$Z$21,2,0),"??")&amp;"-"&amp;U146)</f>
        <v/>
      </c>
      <c r="B146" s="10" t="str">
        <f aca="false">IF(C146="","",C146&amp;" for "&amp;D146&amp;", "&amp;E146&amp;" x "&amp;F146&amp;" pit, "&amp;TEXT(G146,"0.0")&amp;" m deep, "&amp;H146)</f>
        <v/>
      </c>
      <c r="C146" s="9"/>
      <c r="D146" s="9"/>
      <c r="E146" s="40"/>
      <c r="F146" s="40"/>
      <c r="G146" s="43"/>
      <c r="H146" s="9"/>
      <c r="I146" s="43"/>
      <c r="J146" s="40"/>
      <c r="K146" s="9"/>
      <c r="L146" s="43"/>
      <c r="M146" s="43"/>
      <c r="N146" s="40"/>
      <c r="O146" s="9"/>
      <c r="P146" s="9"/>
      <c r="Q146" s="41"/>
      <c r="R146" s="9"/>
      <c r="S146" s="40"/>
      <c r="T146" s="9"/>
      <c r="U146" s="9"/>
      <c r="V146" s="9"/>
      <c r="W146" s="9"/>
      <c r="X146" s="9"/>
      <c r="Y146" s="9"/>
      <c r="Z146" s="10" t="str">
        <f aca="false">IF(A146="","",SG_Criteria!$B$6&amp;SG_Criteria!$B$11&amp;"\"&amp;A146&amp;"\")</f>
        <v/>
      </c>
      <c r="AA146" s="10" t="str">
        <f aca="false">IF(A146="","",A146&amp;"_CAD.dwg")</f>
        <v/>
      </c>
      <c r="AB146" s="10" t="str">
        <f aca="false">IF(A146="","",A146&amp;"_DWG.pdf")</f>
        <v/>
      </c>
      <c r="AC146" s="10" t="str">
        <f aca="false">IF(A146="","",IF(Y146="Y",A146&amp;"_STAAD.std","n/a"))</f>
        <v/>
      </c>
      <c r="AD146" s="10" t="str">
        <f aca="false">IF(A146="","",A146&amp;"_CALC.xlsx")</f>
        <v/>
      </c>
      <c r="AE146" s="10" t="str">
        <f aca="false">IF(A146="","",A146&amp;"_CALC.pdf")</f>
        <v/>
      </c>
      <c r="AF146" s="9"/>
      <c r="AG146" s="9"/>
      <c r="AH146" s="41"/>
      <c r="AI146" s="41"/>
      <c r="AJ146" s="41"/>
      <c r="AK146" s="41"/>
      <c r="AL146" s="41"/>
      <c r="AM146" s="38" t="str">
        <f aca="false">IF(OR(C146="",G146=""),"",IF(G146&lt;=IF(OR(C146="Soldier Pile &amp; Timber Lagging",C146="Trench Shoring Box",C146="Open Cut (battered)"),SG_Criteria!$B$34,SG_Criteria!$B$33),"No ERSS submission",IF(G146&lt;=SG_Criteria!$B$35,"QP(ST)",IF(G146&lt;=SG_Criteria!$B$36,"QP(ST) + AC","Geotechnical building works: QP(Geo) + AC"))))</f>
        <v/>
      </c>
      <c r="AN146" s="38" t="str">
        <f aca="false">IF(C146="","",IF(LEN(IF(AND(Q146&lt;&gt;"",Q146&lt;SG_Criteria!$B$37),"FAIL: base stability FOS &lt; "&amp;SG_Criteria!$B$37&amp;". ","")&amp;IF(AND(D146="Manhole",G146&gt;SG_Criteria!$B$36),"NOTE: BCA lists sewer manholes (pipe &lt;= 2 m dia) &gt; 6 m as non-GBW: QP(ST) + AC. ","")&amp;IF(AND(C146="Trench Shoring Box",H146="Kallang Formation (marine clay)"),"NOTE: check base heave / ground loss for shoring box in marine clay. ","")&amp;IF(AND(C146="Steel Sheet Pile Cofferdam",N(M146)&lt;G146*0.5),"NOTE: short toe embedment, check. ",""))=0,"OK",IF(AND(Q146&lt;&gt;"",Q146&lt;SG_Criteria!$B$37),"FAIL: base stability FOS &lt; "&amp;SG_Criteria!$B$37&amp;". ","")&amp;IF(AND(D146="Manhole",G146&gt;SG_Criteria!$B$36),"NOTE: BCA lists sewer manholes (pipe &lt;= 2 m dia) &gt; 6 m as non-GBW: QP(ST) + AC. ","")&amp;IF(AND(C146="Trench Shoring Box",H146="Kallang Formation (marine clay)"),"NOTE: check base heave / ground loss for shoring box in marine clay. ","")&amp;IF(AND(C146="Steel Sheet Pile Cofferdam",N(M146)&lt;G146*0.5),"NOTE: short toe embedment, check. ","")))</f>
        <v/>
      </c>
      <c r="AO146" s="9"/>
      <c r="AP146" s="9"/>
      <c r="AQ146" s="9"/>
      <c r="AR146" s="9"/>
      <c r="AS146" s="9"/>
      <c r="AT146" s="31"/>
      <c r="AU146" s="10" t="str">
        <f aca="false">IF(C146="","",IF(AND(V146="Approved",ISERROR(SEARCH("FAIL",AN146))),"Y","N"))</f>
        <v/>
      </c>
      <c r="AV146" s="10" t="str">
        <f aca="false">IF(C146="","",C146&amp;"|"&amp;G146&amp;"|"&amp;E146&amp;"|"&amp;H146&amp;"|"&amp;AU146)</f>
        <v/>
      </c>
    </row>
    <row r="147" customFormat="false" ht="15" hidden="false" customHeight="false" outlineLevel="0" collapsed="false">
      <c r="A147" s="10" t="str">
        <f aca="false">IF(C147="","","ERSS-"&amp;IFERROR(VLOOKUP(C147,Lists!$AK$4:$AL$21,2,0),"??")&amp;"-"&amp;TEXT(E147,"0000")&amp;"x"&amp;TEXT(F147,"0000")&amp;"-D"&amp;TEXT(G147*1000,"0000")&amp;"-"&amp;IFERROR(VLOOKUP(H147,Lists!$Y$4:$Z$21,2,0),"??")&amp;"-"&amp;U147)</f>
        <v/>
      </c>
      <c r="B147" s="10" t="str">
        <f aca="false">IF(C147="","",C147&amp;" for "&amp;D147&amp;", "&amp;E147&amp;" x "&amp;F147&amp;" pit, "&amp;TEXT(G147,"0.0")&amp;" m deep, "&amp;H147)</f>
        <v/>
      </c>
      <c r="C147" s="9"/>
      <c r="D147" s="9"/>
      <c r="E147" s="40"/>
      <c r="F147" s="40"/>
      <c r="G147" s="43"/>
      <c r="H147" s="9"/>
      <c r="I147" s="43"/>
      <c r="J147" s="40"/>
      <c r="K147" s="9"/>
      <c r="L147" s="43"/>
      <c r="M147" s="43"/>
      <c r="N147" s="40"/>
      <c r="O147" s="9"/>
      <c r="P147" s="9"/>
      <c r="Q147" s="41"/>
      <c r="R147" s="9"/>
      <c r="S147" s="40"/>
      <c r="T147" s="9"/>
      <c r="U147" s="9"/>
      <c r="V147" s="9"/>
      <c r="W147" s="9"/>
      <c r="X147" s="9"/>
      <c r="Y147" s="9"/>
      <c r="Z147" s="10" t="str">
        <f aca="false">IF(A147="","",SG_Criteria!$B$6&amp;SG_Criteria!$B$11&amp;"\"&amp;A147&amp;"\")</f>
        <v/>
      </c>
      <c r="AA147" s="10" t="str">
        <f aca="false">IF(A147="","",A147&amp;"_CAD.dwg")</f>
        <v/>
      </c>
      <c r="AB147" s="10" t="str">
        <f aca="false">IF(A147="","",A147&amp;"_DWG.pdf")</f>
        <v/>
      </c>
      <c r="AC147" s="10" t="str">
        <f aca="false">IF(A147="","",IF(Y147="Y",A147&amp;"_STAAD.std","n/a"))</f>
        <v/>
      </c>
      <c r="AD147" s="10" t="str">
        <f aca="false">IF(A147="","",A147&amp;"_CALC.xlsx")</f>
        <v/>
      </c>
      <c r="AE147" s="10" t="str">
        <f aca="false">IF(A147="","",A147&amp;"_CALC.pdf")</f>
        <v/>
      </c>
      <c r="AF147" s="9"/>
      <c r="AG147" s="9"/>
      <c r="AH147" s="41"/>
      <c r="AI147" s="41"/>
      <c r="AJ147" s="41"/>
      <c r="AK147" s="41"/>
      <c r="AL147" s="41"/>
      <c r="AM147" s="38" t="str">
        <f aca="false">IF(OR(C147="",G147=""),"",IF(G147&lt;=IF(OR(C147="Soldier Pile &amp; Timber Lagging",C147="Trench Shoring Box",C147="Open Cut (battered)"),SG_Criteria!$B$34,SG_Criteria!$B$33),"No ERSS submission",IF(G147&lt;=SG_Criteria!$B$35,"QP(ST)",IF(G147&lt;=SG_Criteria!$B$36,"QP(ST) + AC","Geotechnical building works: QP(Geo) + AC"))))</f>
        <v/>
      </c>
      <c r="AN147" s="38" t="str">
        <f aca="false">IF(C147="","",IF(LEN(IF(AND(Q147&lt;&gt;"",Q147&lt;SG_Criteria!$B$37),"FAIL: base stability FOS &lt; "&amp;SG_Criteria!$B$37&amp;". ","")&amp;IF(AND(D147="Manhole",G147&gt;SG_Criteria!$B$36),"NOTE: BCA lists sewer manholes (pipe &lt;= 2 m dia) &gt; 6 m as non-GBW: QP(ST) + AC. ","")&amp;IF(AND(C147="Trench Shoring Box",H147="Kallang Formation (marine clay)"),"NOTE: check base heave / ground loss for shoring box in marine clay. ","")&amp;IF(AND(C147="Steel Sheet Pile Cofferdam",N(M147)&lt;G147*0.5),"NOTE: short toe embedment, check. ",""))=0,"OK",IF(AND(Q147&lt;&gt;"",Q147&lt;SG_Criteria!$B$37),"FAIL: base stability FOS &lt; "&amp;SG_Criteria!$B$37&amp;". ","")&amp;IF(AND(D147="Manhole",G147&gt;SG_Criteria!$B$36),"NOTE: BCA lists sewer manholes (pipe &lt;= 2 m dia) &gt; 6 m as non-GBW: QP(ST) + AC. ","")&amp;IF(AND(C147="Trench Shoring Box",H147="Kallang Formation (marine clay)"),"NOTE: check base heave / ground loss for shoring box in marine clay. ","")&amp;IF(AND(C147="Steel Sheet Pile Cofferdam",N(M147)&lt;G147*0.5),"NOTE: short toe embedment, check. ","")))</f>
        <v/>
      </c>
      <c r="AO147" s="9"/>
      <c r="AP147" s="9"/>
      <c r="AQ147" s="9"/>
      <c r="AR147" s="9"/>
      <c r="AS147" s="9"/>
      <c r="AT147" s="31"/>
      <c r="AU147" s="10" t="str">
        <f aca="false">IF(C147="","",IF(AND(V147="Approved",ISERROR(SEARCH("FAIL",AN147))),"Y","N"))</f>
        <v/>
      </c>
      <c r="AV147" s="10" t="str">
        <f aca="false">IF(C147="","",C147&amp;"|"&amp;G147&amp;"|"&amp;E147&amp;"|"&amp;H147&amp;"|"&amp;AU147)</f>
        <v/>
      </c>
    </row>
    <row r="148" customFormat="false" ht="15" hidden="false" customHeight="false" outlineLevel="0" collapsed="false">
      <c r="A148" s="10" t="str">
        <f aca="false">IF(C148="","","ERSS-"&amp;IFERROR(VLOOKUP(C148,Lists!$AK$4:$AL$21,2,0),"??")&amp;"-"&amp;TEXT(E148,"0000")&amp;"x"&amp;TEXT(F148,"0000")&amp;"-D"&amp;TEXT(G148*1000,"0000")&amp;"-"&amp;IFERROR(VLOOKUP(H148,Lists!$Y$4:$Z$21,2,0),"??")&amp;"-"&amp;U148)</f>
        <v/>
      </c>
      <c r="B148" s="10" t="str">
        <f aca="false">IF(C148="","",C148&amp;" for "&amp;D148&amp;", "&amp;E148&amp;" x "&amp;F148&amp;" pit, "&amp;TEXT(G148,"0.0")&amp;" m deep, "&amp;H148)</f>
        <v/>
      </c>
      <c r="C148" s="9"/>
      <c r="D148" s="9"/>
      <c r="E148" s="40"/>
      <c r="F148" s="40"/>
      <c r="G148" s="43"/>
      <c r="H148" s="9"/>
      <c r="I148" s="43"/>
      <c r="J148" s="40"/>
      <c r="K148" s="9"/>
      <c r="L148" s="43"/>
      <c r="M148" s="43"/>
      <c r="N148" s="40"/>
      <c r="O148" s="9"/>
      <c r="P148" s="9"/>
      <c r="Q148" s="41"/>
      <c r="R148" s="9"/>
      <c r="S148" s="40"/>
      <c r="T148" s="9"/>
      <c r="U148" s="9"/>
      <c r="V148" s="9"/>
      <c r="W148" s="9"/>
      <c r="X148" s="9"/>
      <c r="Y148" s="9"/>
      <c r="Z148" s="10" t="str">
        <f aca="false">IF(A148="","",SG_Criteria!$B$6&amp;SG_Criteria!$B$11&amp;"\"&amp;A148&amp;"\")</f>
        <v/>
      </c>
      <c r="AA148" s="10" t="str">
        <f aca="false">IF(A148="","",A148&amp;"_CAD.dwg")</f>
        <v/>
      </c>
      <c r="AB148" s="10" t="str">
        <f aca="false">IF(A148="","",A148&amp;"_DWG.pdf")</f>
        <v/>
      </c>
      <c r="AC148" s="10" t="str">
        <f aca="false">IF(A148="","",IF(Y148="Y",A148&amp;"_STAAD.std","n/a"))</f>
        <v/>
      </c>
      <c r="AD148" s="10" t="str">
        <f aca="false">IF(A148="","",A148&amp;"_CALC.xlsx")</f>
        <v/>
      </c>
      <c r="AE148" s="10" t="str">
        <f aca="false">IF(A148="","",A148&amp;"_CALC.pdf")</f>
        <v/>
      </c>
      <c r="AF148" s="9"/>
      <c r="AG148" s="9"/>
      <c r="AH148" s="41"/>
      <c r="AI148" s="41"/>
      <c r="AJ148" s="41"/>
      <c r="AK148" s="41"/>
      <c r="AL148" s="41"/>
      <c r="AM148" s="38" t="str">
        <f aca="false">IF(OR(C148="",G148=""),"",IF(G148&lt;=IF(OR(C148="Soldier Pile &amp; Timber Lagging",C148="Trench Shoring Box",C148="Open Cut (battered)"),SG_Criteria!$B$34,SG_Criteria!$B$33),"No ERSS submission",IF(G148&lt;=SG_Criteria!$B$35,"QP(ST)",IF(G148&lt;=SG_Criteria!$B$36,"QP(ST) + AC","Geotechnical building works: QP(Geo) + AC"))))</f>
        <v/>
      </c>
      <c r="AN148" s="38" t="str">
        <f aca="false">IF(C148="","",IF(LEN(IF(AND(Q148&lt;&gt;"",Q148&lt;SG_Criteria!$B$37),"FAIL: base stability FOS &lt; "&amp;SG_Criteria!$B$37&amp;". ","")&amp;IF(AND(D148="Manhole",G148&gt;SG_Criteria!$B$36),"NOTE: BCA lists sewer manholes (pipe &lt;= 2 m dia) &gt; 6 m as non-GBW: QP(ST) + AC. ","")&amp;IF(AND(C148="Trench Shoring Box",H148="Kallang Formation (marine clay)"),"NOTE: check base heave / ground loss for shoring box in marine clay. ","")&amp;IF(AND(C148="Steel Sheet Pile Cofferdam",N(M148)&lt;G148*0.5),"NOTE: short toe embedment, check. ",""))=0,"OK",IF(AND(Q148&lt;&gt;"",Q148&lt;SG_Criteria!$B$37),"FAIL: base stability FOS &lt; "&amp;SG_Criteria!$B$37&amp;". ","")&amp;IF(AND(D148="Manhole",G148&gt;SG_Criteria!$B$36),"NOTE: BCA lists sewer manholes (pipe &lt;= 2 m dia) &gt; 6 m as non-GBW: QP(ST) + AC. ","")&amp;IF(AND(C148="Trench Shoring Box",H148="Kallang Formation (marine clay)"),"NOTE: check base heave / ground loss for shoring box in marine clay. ","")&amp;IF(AND(C148="Steel Sheet Pile Cofferdam",N(M148)&lt;G148*0.5),"NOTE: short toe embedment, check. ","")))</f>
        <v/>
      </c>
      <c r="AO148" s="9"/>
      <c r="AP148" s="9"/>
      <c r="AQ148" s="9"/>
      <c r="AR148" s="9"/>
      <c r="AS148" s="9"/>
      <c r="AT148" s="31"/>
      <c r="AU148" s="10" t="str">
        <f aca="false">IF(C148="","",IF(AND(V148="Approved",ISERROR(SEARCH("FAIL",AN148))),"Y","N"))</f>
        <v/>
      </c>
      <c r="AV148" s="10" t="str">
        <f aca="false">IF(C148="","",C148&amp;"|"&amp;G148&amp;"|"&amp;E148&amp;"|"&amp;H148&amp;"|"&amp;AU148)</f>
        <v/>
      </c>
    </row>
    <row r="149" customFormat="false" ht="15" hidden="false" customHeight="false" outlineLevel="0" collapsed="false">
      <c r="A149" s="10" t="str">
        <f aca="false">IF(C149="","","ERSS-"&amp;IFERROR(VLOOKUP(C149,Lists!$AK$4:$AL$21,2,0),"??")&amp;"-"&amp;TEXT(E149,"0000")&amp;"x"&amp;TEXT(F149,"0000")&amp;"-D"&amp;TEXT(G149*1000,"0000")&amp;"-"&amp;IFERROR(VLOOKUP(H149,Lists!$Y$4:$Z$21,2,0),"??")&amp;"-"&amp;U149)</f>
        <v/>
      </c>
      <c r="B149" s="10" t="str">
        <f aca="false">IF(C149="","",C149&amp;" for "&amp;D149&amp;", "&amp;E149&amp;" x "&amp;F149&amp;" pit, "&amp;TEXT(G149,"0.0")&amp;" m deep, "&amp;H149)</f>
        <v/>
      </c>
      <c r="C149" s="9"/>
      <c r="D149" s="9"/>
      <c r="E149" s="40"/>
      <c r="F149" s="40"/>
      <c r="G149" s="43"/>
      <c r="H149" s="9"/>
      <c r="I149" s="43"/>
      <c r="J149" s="40"/>
      <c r="K149" s="9"/>
      <c r="L149" s="43"/>
      <c r="M149" s="43"/>
      <c r="N149" s="40"/>
      <c r="O149" s="9"/>
      <c r="P149" s="9"/>
      <c r="Q149" s="41"/>
      <c r="R149" s="9"/>
      <c r="S149" s="40"/>
      <c r="T149" s="9"/>
      <c r="U149" s="9"/>
      <c r="V149" s="9"/>
      <c r="W149" s="9"/>
      <c r="X149" s="9"/>
      <c r="Y149" s="9"/>
      <c r="Z149" s="10" t="str">
        <f aca="false">IF(A149="","",SG_Criteria!$B$6&amp;SG_Criteria!$B$11&amp;"\"&amp;A149&amp;"\")</f>
        <v/>
      </c>
      <c r="AA149" s="10" t="str">
        <f aca="false">IF(A149="","",A149&amp;"_CAD.dwg")</f>
        <v/>
      </c>
      <c r="AB149" s="10" t="str">
        <f aca="false">IF(A149="","",A149&amp;"_DWG.pdf")</f>
        <v/>
      </c>
      <c r="AC149" s="10" t="str">
        <f aca="false">IF(A149="","",IF(Y149="Y",A149&amp;"_STAAD.std","n/a"))</f>
        <v/>
      </c>
      <c r="AD149" s="10" t="str">
        <f aca="false">IF(A149="","",A149&amp;"_CALC.xlsx")</f>
        <v/>
      </c>
      <c r="AE149" s="10" t="str">
        <f aca="false">IF(A149="","",A149&amp;"_CALC.pdf")</f>
        <v/>
      </c>
      <c r="AF149" s="9"/>
      <c r="AG149" s="9"/>
      <c r="AH149" s="41"/>
      <c r="AI149" s="41"/>
      <c r="AJ149" s="41"/>
      <c r="AK149" s="41"/>
      <c r="AL149" s="41"/>
      <c r="AM149" s="38" t="str">
        <f aca="false">IF(OR(C149="",G149=""),"",IF(G149&lt;=IF(OR(C149="Soldier Pile &amp; Timber Lagging",C149="Trench Shoring Box",C149="Open Cut (battered)"),SG_Criteria!$B$34,SG_Criteria!$B$33),"No ERSS submission",IF(G149&lt;=SG_Criteria!$B$35,"QP(ST)",IF(G149&lt;=SG_Criteria!$B$36,"QP(ST) + AC","Geotechnical building works: QP(Geo) + AC"))))</f>
        <v/>
      </c>
      <c r="AN149" s="38" t="str">
        <f aca="false">IF(C149="","",IF(LEN(IF(AND(Q149&lt;&gt;"",Q149&lt;SG_Criteria!$B$37),"FAIL: base stability FOS &lt; "&amp;SG_Criteria!$B$37&amp;". ","")&amp;IF(AND(D149="Manhole",G149&gt;SG_Criteria!$B$36),"NOTE: BCA lists sewer manholes (pipe &lt;= 2 m dia) &gt; 6 m as non-GBW: QP(ST) + AC. ","")&amp;IF(AND(C149="Trench Shoring Box",H149="Kallang Formation (marine clay)"),"NOTE: check base heave / ground loss for shoring box in marine clay. ","")&amp;IF(AND(C149="Steel Sheet Pile Cofferdam",N(M149)&lt;G149*0.5),"NOTE: short toe embedment, check. ",""))=0,"OK",IF(AND(Q149&lt;&gt;"",Q149&lt;SG_Criteria!$B$37),"FAIL: base stability FOS &lt; "&amp;SG_Criteria!$B$37&amp;". ","")&amp;IF(AND(D149="Manhole",G149&gt;SG_Criteria!$B$36),"NOTE: BCA lists sewer manholes (pipe &lt;= 2 m dia) &gt; 6 m as non-GBW: QP(ST) + AC. ","")&amp;IF(AND(C149="Trench Shoring Box",H149="Kallang Formation (marine clay)"),"NOTE: check base heave / ground loss for shoring box in marine clay. ","")&amp;IF(AND(C149="Steel Sheet Pile Cofferdam",N(M149)&lt;G149*0.5),"NOTE: short toe embedment, check. ","")))</f>
        <v/>
      </c>
      <c r="AO149" s="9"/>
      <c r="AP149" s="9"/>
      <c r="AQ149" s="9"/>
      <c r="AR149" s="9"/>
      <c r="AS149" s="9"/>
      <c r="AT149" s="31"/>
      <c r="AU149" s="10" t="str">
        <f aca="false">IF(C149="","",IF(AND(V149="Approved",ISERROR(SEARCH("FAIL",AN149))),"Y","N"))</f>
        <v/>
      </c>
      <c r="AV149" s="10" t="str">
        <f aca="false">IF(C149="","",C149&amp;"|"&amp;G149&amp;"|"&amp;E149&amp;"|"&amp;H149&amp;"|"&amp;AU149)</f>
        <v/>
      </c>
    </row>
    <row r="150" customFormat="false" ht="15" hidden="false" customHeight="false" outlineLevel="0" collapsed="false">
      <c r="A150" s="10" t="str">
        <f aca="false">IF(C150="","","ERSS-"&amp;IFERROR(VLOOKUP(C150,Lists!$AK$4:$AL$21,2,0),"??")&amp;"-"&amp;TEXT(E150,"0000")&amp;"x"&amp;TEXT(F150,"0000")&amp;"-D"&amp;TEXT(G150*1000,"0000")&amp;"-"&amp;IFERROR(VLOOKUP(H150,Lists!$Y$4:$Z$21,2,0),"??")&amp;"-"&amp;U150)</f>
        <v/>
      </c>
      <c r="B150" s="10" t="str">
        <f aca="false">IF(C150="","",C150&amp;" for "&amp;D150&amp;", "&amp;E150&amp;" x "&amp;F150&amp;" pit, "&amp;TEXT(G150,"0.0")&amp;" m deep, "&amp;H150)</f>
        <v/>
      </c>
      <c r="C150" s="9"/>
      <c r="D150" s="9"/>
      <c r="E150" s="40"/>
      <c r="F150" s="40"/>
      <c r="G150" s="43"/>
      <c r="H150" s="9"/>
      <c r="I150" s="43"/>
      <c r="J150" s="40"/>
      <c r="K150" s="9"/>
      <c r="L150" s="43"/>
      <c r="M150" s="43"/>
      <c r="N150" s="40"/>
      <c r="O150" s="9"/>
      <c r="P150" s="9"/>
      <c r="Q150" s="41"/>
      <c r="R150" s="9"/>
      <c r="S150" s="40"/>
      <c r="T150" s="9"/>
      <c r="U150" s="9"/>
      <c r="V150" s="9"/>
      <c r="W150" s="9"/>
      <c r="X150" s="9"/>
      <c r="Y150" s="9"/>
      <c r="Z150" s="10" t="str">
        <f aca="false">IF(A150="","",SG_Criteria!$B$6&amp;SG_Criteria!$B$11&amp;"\"&amp;A150&amp;"\")</f>
        <v/>
      </c>
      <c r="AA150" s="10" t="str">
        <f aca="false">IF(A150="","",A150&amp;"_CAD.dwg")</f>
        <v/>
      </c>
      <c r="AB150" s="10" t="str">
        <f aca="false">IF(A150="","",A150&amp;"_DWG.pdf")</f>
        <v/>
      </c>
      <c r="AC150" s="10" t="str">
        <f aca="false">IF(A150="","",IF(Y150="Y",A150&amp;"_STAAD.std","n/a"))</f>
        <v/>
      </c>
      <c r="AD150" s="10" t="str">
        <f aca="false">IF(A150="","",A150&amp;"_CALC.xlsx")</f>
        <v/>
      </c>
      <c r="AE150" s="10" t="str">
        <f aca="false">IF(A150="","",A150&amp;"_CALC.pdf")</f>
        <v/>
      </c>
      <c r="AF150" s="9"/>
      <c r="AG150" s="9"/>
      <c r="AH150" s="41"/>
      <c r="AI150" s="41"/>
      <c r="AJ150" s="41"/>
      <c r="AK150" s="41"/>
      <c r="AL150" s="41"/>
      <c r="AM150" s="38" t="str">
        <f aca="false">IF(OR(C150="",G150=""),"",IF(G150&lt;=IF(OR(C150="Soldier Pile &amp; Timber Lagging",C150="Trench Shoring Box",C150="Open Cut (battered)"),SG_Criteria!$B$34,SG_Criteria!$B$33),"No ERSS submission",IF(G150&lt;=SG_Criteria!$B$35,"QP(ST)",IF(G150&lt;=SG_Criteria!$B$36,"QP(ST) + AC","Geotechnical building works: QP(Geo) + AC"))))</f>
        <v/>
      </c>
      <c r="AN150" s="38" t="str">
        <f aca="false">IF(C150="","",IF(LEN(IF(AND(Q150&lt;&gt;"",Q150&lt;SG_Criteria!$B$37),"FAIL: base stability FOS &lt; "&amp;SG_Criteria!$B$37&amp;". ","")&amp;IF(AND(D150="Manhole",G150&gt;SG_Criteria!$B$36),"NOTE: BCA lists sewer manholes (pipe &lt;= 2 m dia) &gt; 6 m as non-GBW: QP(ST) + AC. ","")&amp;IF(AND(C150="Trench Shoring Box",H150="Kallang Formation (marine clay)"),"NOTE: check base heave / ground loss for shoring box in marine clay. ","")&amp;IF(AND(C150="Steel Sheet Pile Cofferdam",N(M150)&lt;G150*0.5),"NOTE: short toe embedment, check. ",""))=0,"OK",IF(AND(Q150&lt;&gt;"",Q150&lt;SG_Criteria!$B$37),"FAIL: base stability FOS &lt; "&amp;SG_Criteria!$B$37&amp;". ","")&amp;IF(AND(D150="Manhole",G150&gt;SG_Criteria!$B$36),"NOTE: BCA lists sewer manholes (pipe &lt;= 2 m dia) &gt; 6 m as non-GBW: QP(ST) + AC. ","")&amp;IF(AND(C150="Trench Shoring Box",H150="Kallang Formation (marine clay)"),"NOTE: check base heave / ground loss for shoring box in marine clay. ","")&amp;IF(AND(C150="Steel Sheet Pile Cofferdam",N(M150)&lt;G150*0.5),"NOTE: short toe embedment, check. ","")))</f>
        <v/>
      </c>
      <c r="AO150" s="9"/>
      <c r="AP150" s="9"/>
      <c r="AQ150" s="9"/>
      <c r="AR150" s="9"/>
      <c r="AS150" s="9"/>
      <c r="AT150" s="31"/>
      <c r="AU150" s="10" t="str">
        <f aca="false">IF(C150="","",IF(AND(V150="Approved",ISERROR(SEARCH("FAIL",AN150))),"Y","N"))</f>
        <v/>
      </c>
      <c r="AV150" s="10" t="str">
        <f aca="false">IF(C150="","",C150&amp;"|"&amp;G150&amp;"|"&amp;E150&amp;"|"&amp;H150&amp;"|"&amp;AU150)</f>
        <v/>
      </c>
    </row>
    <row r="151" customFormat="false" ht="15" hidden="false" customHeight="false" outlineLevel="0" collapsed="false">
      <c r="A151" s="10" t="str">
        <f aca="false">IF(C151="","","ERSS-"&amp;IFERROR(VLOOKUP(C151,Lists!$AK$4:$AL$21,2,0),"??")&amp;"-"&amp;TEXT(E151,"0000")&amp;"x"&amp;TEXT(F151,"0000")&amp;"-D"&amp;TEXT(G151*1000,"0000")&amp;"-"&amp;IFERROR(VLOOKUP(H151,Lists!$Y$4:$Z$21,2,0),"??")&amp;"-"&amp;U151)</f>
        <v/>
      </c>
      <c r="B151" s="10" t="str">
        <f aca="false">IF(C151="","",C151&amp;" for "&amp;D151&amp;", "&amp;E151&amp;" x "&amp;F151&amp;" pit, "&amp;TEXT(G151,"0.0")&amp;" m deep, "&amp;H151)</f>
        <v/>
      </c>
      <c r="C151" s="9"/>
      <c r="D151" s="9"/>
      <c r="E151" s="40"/>
      <c r="F151" s="40"/>
      <c r="G151" s="43"/>
      <c r="H151" s="9"/>
      <c r="I151" s="43"/>
      <c r="J151" s="40"/>
      <c r="K151" s="9"/>
      <c r="L151" s="43"/>
      <c r="M151" s="43"/>
      <c r="N151" s="40"/>
      <c r="O151" s="9"/>
      <c r="P151" s="9"/>
      <c r="Q151" s="41"/>
      <c r="R151" s="9"/>
      <c r="S151" s="40"/>
      <c r="T151" s="9"/>
      <c r="U151" s="9"/>
      <c r="V151" s="9"/>
      <c r="W151" s="9"/>
      <c r="X151" s="9"/>
      <c r="Y151" s="9"/>
      <c r="Z151" s="10" t="str">
        <f aca="false">IF(A151="","",SG_Criteria!$B$6&amp;SG_Criteria!$B$11&amp;"\"&amp;A151&amp;"\")</f>
        <v/>
      </c>
      <c r="AA151" s="10" t="str">
        <f aca="false">IF(A151="","",A151&amp;"_CAD.dwg")</f>
        <v/>
      </c>
      <c r="AB151" s="10" t="str">
        <f aca="false">IF(A151="","",A151&amp;"_DWG.pdf")</f>
        <v/>
      </c>
      <c r="AC151" s="10" t="str">
        <f aca="false">IF(A151="","",IF(Y151="Y",A151&amp;"_STAAD.std","n/a"))</f>
        <v/>
      </c>
      <c r="AD151" s="10" t="str">
        <f aca="false">IF(A151="","",A151&amp;"_CALC.xlsx")</f>
        <v/>
      </c>
      <c r="AE151" s="10" t="str">
        <f aca="false">IF(A151="","",A151&amp;"_CALC.pdf")</f>
        <v/>
      </c>
      <c r="AF151" s="9"/>
      <c r="AG151" s="9"/>
      <c r="AH151" s="41"/>
      <c r="AI151" s="41"/>
      <c r="AJ151" s="41"/>
      <c r="AK151" s="41"/>
      <c r="AL151" s="41"/>
      <c r="AM151" s="38" t="str">
        <f aca="false">IF(OR(C151="",G151=""),"",IF(G151&lt;=IF(OR(C151="Soldier Pile &amp; Timber Lagging",C151="Trench Shoring Box",C151="Open Cut (battered)"),SG_Criteria!$B$34,SG_Criteria!$B$33),"No ERSS submission",IF(G151&lt;=SG_Criteria!$B$35,"QP(ST)",IF(G151&lt;=SG_Criteria!$B$36,"QP(ST) + AC","Geotechnical building works: QP(Geo) + AC"))))</f>
        <v/>
      </c>
      <c r="AN151" s="38" t="str">
        <f aca="false">IF(C151="","",IF(LEN(IF(AND(Q151&lt;&gt;"",Q151&lt;SG_Criteria!$B$37),"FAIL: base stability FOS &lt; "&amp;SG_Criteria!$B$37&amp;". ","")&amp;IF(AND(D151="Manhole",G151&gt;SG_Criteria!$B$36),"NOTE: BCA lists sewer manholes (pipe &lt;= 2 m dia) &gt; 6 m as non-GBW: QP(ST) + AC. ","")&amp;IF(AND(C151="Trench Shoring Box",H151="Kallang Formation (marine clay)"),"NOTE: check base heave / ground loss for shoring box in marine clay. ","")&amp;IF(AND(C151="Steel Sheet Pile Cofferdam",N(M151)&lt;G151*0.5),"NOTE: short toe embedment, check. ",""))=0,"OK",IF(AND(Q151&lt;&gt;"",Q151&lt;SG_Criteria!$B$37),"FAIL: base stability FOS &lt; "&amp;SG_Criteria!$B$37&amp;". ","")&amp;IF(AND(D151="Manhole",G151&gt;SG_Criteria!$B$36),"NOTE: BCA lists sewer manholes (pipe &lt;= 2 m dia) &gt; 6 m as non-GBW: QP(ST) + AC. ","")&amp;IF(AND(C151="Trench Shoring Box",H151="Kallang Formation (marine clay)"),"NOTE: check base heave / ground loss for shoring box in marine clay. ","")&amp;IF(AND(C151="Steel Sheet Pile Cofferdam",N(M151)&lt;G151*0.5),"NOTE: short toe embedment, check. ","")))</f>
        <v/>
      </c>
      <c r="AO151" s="9"/>
      <c r="AP151" s="9"/>
      <c r="AQ151" s="9"/>
      <c r="AR151" s="9"/>
      <c r="AS151" s="9"/>
      <c r="AT151" s="31"/>
      <c r="AU151" s="10" t="str">
        <f aca="false">IF(C151="","",IF(AND(V151="Approved",ISERROR(SEARCH("FAIL",AN151))),"Y","N"))</f>
        <v/>
      </c>
      <c r="AV151" s="10" t="str">
        <f aca="false">IF(C151="","",C151&amp;"|"&amp;G151&amp;"|"&amp;E151&amp;"|"&amp;H151&amp;"|"&amp;AU151)</f>
        <v/>
      </c>
    </row>
    <row r="152" customFormat="false" ht="15" hidden="false" customHeight="false" outlineLevel="0" collapsed="false">
      <c r="A152" s="10" t="str">
        <f aca="false">IF(C152="","","ERSS-"&amp;IFERROR(VLOOKUP(C152,Lists!$AK$4:$AL$21,2,0),"??")&amp;"-"&amp;TEXT(E152,"0000")&amp;"x"&amp;TEXT(F152,"0000")&amp;"-D"&amp;TEXT(G152*1000,"0000")&amp;"-"&amp;IFERROR(VLOOKUP(H152,Lists!$Y$4:$Z$21,2,0),"??")&amp;"-"&amp;U152)</f>
        <v/>
      </c>
      <c r="B152" s="10" t="str">
        <f aca="false">IF(C152="","",C152&amp;" for "&amp;D152&amp;", "&amp;E152&amp;" x "&amp;F152&amp;" pit, "&amp;TEXT(G152,"0.0")&amp;" m deep, "&amp;H152)</f>
        <v/>
      </c>
      <c r="C152" s="9"/>
      <c r="D152" s="9"/>
      <c r="E152" s="40"/>
      <c r="F152" s="40"/>
      <c r="G152" s="43"/>
      <c r="H152" s="9"/>
      <c r="I152" s="43"/>
      <c r="J152" s="40"/>
      <c r="K152" s="9"/>
      <c r="L152" s="43"/>
      <c r="M152" s="43"/>
      <c r="N152" s="40"/>
      <c r="O152" s="9"/>
      <c r="P152" s="9"/>
      <c r="Q152" s="41"/>
      <c r="R152" s="9"/>
      <c r="S152" s="40"/>
      <c r="T152" s="9"/>
      <c r="U152" s="9"/>
      <c r="V152" s="9"/>
      <c r="W152" s="9"/>
      <c r="X152" s="9"/>
      <c r="Y152" s="9"/>
      <c r="Z152" s="10" t="str">
        <f aca="false">IF(A152="","",SG_Criteria!$B$6&amp;SG_Criteria!$B$11&amp;"\"&amp;A152&amp;"\")</f>
        <v/>
      </c>
      <c r="AA152" s="10" t="str">
        <f aca="false">IF(A152="","",A152&amp;"_CAD.dwg")</f>
        <v/>
      </c>
      <c r="AB152" s="10" t="str">
        <f aca="false">IF(A152="","",A152&amp;"_DWG.pdf")</f>
        <v/>
      </c>
      <c r="AC152" s="10" t="str">
        <f aca="false">IF(A152="","",IF(Y152="Y",A152&amp;"_STAAD.std","n/a"))</f>
        <v/>
      </c>
      <c r="AD152" s="10" t="str">
        <f aca="false">IF(A152="","",A152&amp;"_CALC.xlsx")</f>
        <v/>
      </c>
      <c r="AE152" s="10" t="str">
        <f aca="false">IF(A152="","",A152&amp;"_CALC.pdf")</f>
        <v/>
      </c>
      <c r="AF152" s="9"/>
      <c r="AG152" s="9"/>
      <c r="AH152" s="41"/>
      <c r="AI152" s="41"/>
      <c r="AJ152" s="41"/>
      <c r="AK152" s="41"/>
      <c r="AL152" s="41"/>
      <c r="AM152" s="38" t="str">
        <f aca="false">IF(OR(C152="",G152=""),"",IF(G152&lt;=IF(OR(C152="Soldier Pile &amp; Timber Lagging",C152="Trench Shoring Box",C152="Open Cut (battered)"),SG_Criteria!$B$34,SG_Criteria!$B$33),"No ERSS submission",IF(G152&lt;=SG_Criteria!$B$35,"QP(ST)",IF(G152&lt;=SG_Criteria!$B$36,"QP(ST) + AC","Geotechnical building works: QP(Geo) + AC"))))</f>
        <v/>
      </c>
      <c r="AN152" s="38" t="str">
        <f aca="false">IF(C152="","",IF(LEN(IF(AND(Q152&lt;&gt;"",Q152&lt;SG_Criteria!$B$37),"FAIL: base stability FOS &lt; "&amp;SG_Criteria!$B$37&amp;". ","")&amp;IF(AND(D152="Manhole",G152&gt;SG_Criteria!$B$36),"NOTE: BCA lists sewer manholes (pipe &lt;= 2 m dia) &gt; 6 m as non-GBW: QP(ST) + AC. ","")&amp;IF(AND(C152="Trench Shoring Box",H152="Kallang Formation (marine clay)"),"NOTE: check base heave / ground loss for shoring box in marine clay. ","")&amp;IF(AND(C152="Steel Sheet Pile Cofferdam",N(M152)&lt;G152*0.5),"NOTE: short toe embedment, check. ",""))=0,"OK",IF(AND(Q152&lt;&gt;"",Q152&lt;SG_Criteria!$B$37),"FAIL: base stability FOS &lt; "&amp;SG_Criteria!$B$37&amp;". ","")&amp;IF(AND(D152="Manhole",G152&gt;SG_Criteria!$B$36),"NOTE: BCA lists sewer manholes (pipe &lt;= 2 m dia) &gt; 6 m as non-GBW: QP(ST) + AC. ","")&amp;IF(AND(C152="Trench Shoring Box",H152="Kallang Formation (marine clay)"),"NOTE: check base heave / ground loss for shoring box in marine clay. ","")&amp;IF(AND(C152="Steel Sheet Pile Cofferdam",N(M152)&lt;G152*0.5),"NOTE: short toe embedment, check. ","")))</f>
        <v/>
      </c>
      <c r="AO152" s="9"/>
      <c r="AP152" s="9"/>
      <c r="AQ152" s="9"/>
      <c r="AR152" s="9"/>
      <c r="AS152" s="9"/>
      <c r="AT152" s="31"/>
      <c r="AU152" s="10" t="str">
        <f aca="false">IF(C152="","",IF(AND(V152="Approved",ISERROR(SEARCH("FAIL",AN152))),"Y","N"))</f>
        <v/>
      </c>
      <c r="AV152" s="10" t="str">
        <f aca="false">IF(C152="","",C152&amp;"|"&amp;G152&amp;"|"&amp;E152&amp;"|"&amp;H152&amp;"|"&amp;AU152)</f>
        <v/>
      </c>
    </row>
    <row r="153" customFormat="false" ht="15" hidden="false" customHeight="false" outlineLevel="0" collapsed="false">
      <c r="A153" s="10" t="str">
        <f aca="false">IF(C153="","","ERSS-"&amp;IFERROR(VLOOKUP(C153,Lists!$AK$4:$AL$21,2,0),"??")&amp;"-"&amp;TEXT(E153,"0000")&amp;"x"&amp;TEXT(F153,"0000")&amp;"-D"&amp;TEXT(G153*1000,"0000")&amp;"-"&amp;IFERROR(VLOOKUP(H153,Lists!$Y$4:$Z$21,2,0),"??")&amp;"-"&amp;U153)</f>
        <v/>
      </c>
      <c r="B153" s="10" t="str">
        <f aca="false">IF(C153="","",C153&amp;" for "&amp;D153&amp;", "&amp;E153&amp;" x "&amp;F153&amp;" pit, "&amp;TEXT(G153,"0.0")&amp;" m deep, "&amp;H153)</f>
        <v/>
      </c>
      <c r="C153" s="9"/>
      <c r="D153" s="9"/>
      <c r="E153" s="40"/>
      <c r="F153" s="40"/>
      <c r="G153" s="43"/>
      <c r="H153" s="9"/>
      <c r="I153" s="43"/>
      <c r="J153" s="40"/>
      <c r="K153" s="9"/>
      <c r="L153" s="43"/>
      <c r="M153" s="43"/>
      <c r="N153" s="40"/>
      <c r="O153" s="9"/>
      <c r="P153" s="9"/>
      <c r="Q153" s="41"/>
      <c r="R153" s="9"/>
      <c r="S153" s="40"/>
      <c r="T153" s="9"/>
      <c r="U153" s="9"/>
      <c r="V153" s="9"/>
      <c r="W153" s="9"/>
      <c r="X153" s="9"/>
      <c r="Y153" s="9"/>
      <c r="Z153" s="10" t="str">
        <f aca="false">IF(A153="","",SG_Criteria!$B$6&amp;SG_Criteria!$B$11&amp;"\"&amp;A153&amp;"\")</f>
        <v/>
      </c>
      <c r="AA153" s="10" t="str">
        <f aca="false">IF(A153="","",A153&amp;"_CAD.dwg")</f>
        <v/>
      </c>
      <c r="AB153" s="10" t="str">
        <f aca="false">IF(A153="","",A153&amp;"_DWG.pdf")</f>
        <v/>
      </c>
      <c r="AC153" s="10" t="str">
        <f aca="false">IF(A153="","",IF(Y153="Y",A153&amp;"_STAAD.std","n/a"))</f>
        <v/>
      </c>
      <c r="AD153" s="10" t="str">
        <f aca="false">IF(A153="","",A153&amp;"_CALC.xlsx")</f>
        <v/>
      </c>
      <c r="AE153" s="10" t="str">
        <f aca="false">IF(A153="","",A153&amp;"_CALC.pdf")</f>
        <v/>
      </c>
      <c r="AF153" s="9"/>
      <c r="AG153" s="9"/>
      <c r="AH153" s="41"/>
      <c r="AI153" s="41"/>
      <c r="AJ153" s="41"/>
      <c r="AK153" s="41"/>
      <c r="AL153" s="41"/>
      <c r="AM153" s="38" t="str">
        <f aca="false">IF(OR(C153="",G153=""),"",IF(G153&lt;=IF(OR(C153="Soldier Pile &amp; Timber Lagging",C153="Trench Shoring Box",C153="Open Cut (battered)"),SG_Criteria!$B$34,SG_Criteria!$B$33),"No ERSS submission",IF(G153&lt;=SG_Criteria!$B$35,"QP(ST)",IF(G153&lt;=SG_Criteria!$B$36,"QP(ST) + AC","Geotechnical building works: QP(Geo) + AC"))))</f>
        <v/>
      </c>
      <c r="AN153" s="38" t="str">
        <f aca="false">IF(C153="","",IF(LEN(IF(AND(Q153&lt;&gt;"",Q153&lt;SG_Criteria!$B$37),"FAIL: base stability FOS &lt; "&amp;SG_Criteria!$B$37&amp;". ","")&amp;IF(AND(D153="Manhole",G153&gt;SG_Criteria!$B$36),"NOTE: BCA lists sewer manholes (pipe &lt;= 2 m dia) &gt; 6 m as non-GBW: QP(ST) + AC. ","")&amp;IF(AND(C153="Trench Shoring Box",H153="Kallang Formation (marine clay)"),"NOTE: check base heave / ground loss for shoring box in marine clay. ","")&amp;IF(AND(C153="Steel Sheet Pile Cofferdam",N(M153)&lt;G153*0.5),"NOTE: short toe embedment, check. ",""))=0,"OK",IF(AND(Q153&lt;&gt;"",Q153&lt;SG_Criteria!$B$37),"FAIL: base stability FOS &lt; "&amp;SG_Criteria!$B$37&amp;". ","")&amp;IF(AND(D153="Manhole",G153&gt;SG_Criteria!$B$36),"NOTE: BCA lists sewer manholes (pipe &lt;= 2 m dia) &gt; 6 m as non-GBW: QP(ST) + AC. ","")&amp;IF(AND(C153="Trench Shoring Box",H153="Kallang Formation (marine clay)"),"NOTE: check base heave / ground loss for shoring box in marine clay. ","")&amp;IF(AND(C153="Steel Sheet Pile Cofferdam",N(M153)&lt;G153*0.5),"NOTE: short toe embedment, check. ","")))</f>
        <v/>
      </c>
      <c r="AO153" s="9"/>
      <c r="AP153" s="9"/>
      <c r="AQ153" s="9"/>
      <c r="AR153" s="9"/>
      <c r="AS153" s="9"/>
      <c r="AT153" s="31"/>
      <c r="AU153" s="10" t="str">
        <f aca="false">IF(C153="","",IF(AND(V153="Approved",ISERROR(SEARCH("FAIL",AN153))),"Y","N"))</f>
        <v/>
      </c>
      <c r="AV153" s="10" t="str">
        <f aca="false">IF(C153="","",C153&amp;"|"&amp;G153&amp;"|"&amp;E153&amp;"|"&amp;H153&amp;"|"&amp;AU153)</f>
        <v/>
      </c>
    </row>
    <row r="154" customFormat="false" ht="15" hidden="false" customHeight="false" outlineLevel="0" collapsed="false">
      <c r="A154" s="10" t="str">
        <f aca="false">IF(C154="","","ERSS-"&amp;IFERROR(VLOOKUP(C154,Lists!$AK$4:$AL$21,2,0),"??")&amp;"-"&amp;TEXT(E154,"0000")&amp;"x"&amp;TEXT(F154,"0000")&amp;"-D"&amp;TEXT(G154*1000,"0000")&amp;"-"&amp;IFERROR(VLOOKUP(H154,Lists!$Y$4:$Z$21,2,0),"??")&amp;"-"&amp;U154)</f>
        <v/>
      </c>
      <c r="B154" s="10" t="str">
        <f aca="false">IF(C154="","",C154&amp;" for "&amp;D154&amp;", "&amp;E154&amp;" x "&amp;F154&amp;" pit, "&amp;TEXT(G154,"0.0")&amp;" m deep, "&amp;H154)</f>
        <v/>
      </c>
      <c r="C154" s="9"/>
      <c r="D154" s="9"/>
      <c r="E154" s="40"/>
      <c r="F154" s="40"/>
      <c r="G154" s="43"/>
      <c r="H154" s="9"/>
      <c r="I154" s="43"/>
      <c r="J154" s="40"/>
      <c r="K154" s="9"/>
      <c r="L154" s="43"/>
      <c r="M154" s="43"/>
      <c r="N154" s="40"/>
      <c r="O154" s="9"/>
      <c r="P154" s="9"/>
      <c r="Q154" s="41"/>
      <c r="R154" s="9"/>
      <c r="S154" s="40"/>
      <c r="T154" s="9"/>
      <c r="U154" s="9"/>
      <c r="V154" s="9"/>
      <c r="W154" s="9"/>
      <c r="X154" s="9"/>
      <c r="Y154" s="9"/>
      <c r="Z154" s="10" t="str">
        <f aca="false">IF(A154="","",SG_Criteria!$B$6&amp;SG_Criteria!$B$11&amp;"\"&amp;A154&amp;"\")</f>
        <v/>
      </c>
      <c r="AA154" s="10" t="str">
        <f aca="false">IF(A154="","",A154&amp;"_CAD.dwg")</f>
        <v/>
      </c>
      <c r="AB154" s="10" t="str">
        <f aca="false">IF(A154="","",A154&amp;"_DWG.pdf")</f>
        <v/>
      </c>
      <c r="AC154" s="10" t="str">
        <f aca="false">IF(A154="","",IF(Y154="Y",A154&amp;"_STAAD.std","n/a"))</f>
        <v/>
      </c>
      <c r="AD154" s="10" t="str">
        <f aca="false">IF(A154="","",A154&amp;"_CALC.xlsx")</f>
        <v/>
      </c>
      <c r="AE154" s="10" t="str">
        <f aca="false">IF(A154="","",A154&amp;"_CALC.pdf")</f>
        <v/>
      </c>
      <c r="AF154" s="9"/>
      <c r="AG154" s="9"/>
      <c r="AH154" s="41"/>
      <c r="AI154" s="41"/>
      <c r="AJ154" s="41"/>
      <c r="AK154" s="41"/>
      <c r="AL154" s="41"/>
      <c r="AM154" s="38" t="str">
        <f aca="false">IF(OR(C154="",G154=""),"",IF(G154&lt;=IF(OR(C154="Soldier Pile &amp; Timber Lagging",C154="Trench Shoring Box",C154="Open Cut (battered)"),SG_Criteria!$B$34,SG_Criteria!$B$33),"No ERSS submission",IF(G154&lt;=SG_Criteria!$B$35,"QP(ST)",IF(G154&lt;=SG_Criteria!$B$36,"QP(ST) + AC","Geotechnical building works: QP(Geo) + AC"))))</f>
        <v/>
      </c>
      <c r="AN154" s="38" t="str">
        <f aca="false">IF(C154="","",IF(LEN(IF(AND(Q154&lt;&gt;"",Q154&lt;SG_Criteria!$B$37),"FAIL: base stability FOS &lt; "&amp;SG_Criteria!$B$37&amp;". ","")&amp;IF(AND(D154="Manhole",G154&gt;SG_Criteria!$B$36),"NOTE: BCA lists sewer manholes (pipe &lt;= 2 m dia) &gt; 6 m as non-GBW: QP(ST) + AC. ","")&amp;IF(AND(C154="Trench Shoring Box",H154="Kallang Formation (marine clay)"),"NOTE: check base heave / ground loss for shoring box in marine clay. ","")&amp;IF(AND(C154="Steel Sheet Pile Cofferdam",N(M154)&lt;G154*0.5),"NOTE: short toe embedment, check. ",""))=0,"OK",IF(AND(Q154&lt;&gt;"",Q154&lt;SG_Criteria!$B$37),"FAIL: base stability FOS &lt; "&amp;SG_Criteria!$B$37&amp;". ","")&amp;IF(AND(D154="Manhole",G154&gt;SG_Criteria!$B$36),"NOTE: BCA lists sewer manholes (pipe &lt;= 2 m dia) &gt; 6 m as non-GBW: QP(ST) + AC. ","")&amp;IF(AND(C154="Trench Shoring Box",H154="Kallang Formation (marine clay)"),"NOTE: check base heave / ground loss for shoring box in marine clay. ","")&amp;IF(AND(C154="Steel Sheet Pile Cofferdam",N(M154)&lt;G154*0.5),"NOTE: short toe embedment, check. ","")))</f>
        <v/>
      </c>
      <c r="AO154" s="9"/>
      <c r="AP154" s="9"/>
      <c r="AQ154" s="9"/>
      <c r="AR154" s="9"/>
      <c r="AS154" s="9"/>
      <c r="AT154" s="31"/>
      <c r="AU154" s="10" t="str">
        <f aca="false">IF(C154="","",IF(AND(V154="Approved",ISERROR(SEARCH("FAIL",AN154))),"Y","N"))</f>
        <v/>
      </c>
      <c r="AV154" s="10" t="str">
        <f aca="false">IF(C154="","",C154&amp;"|"&amp;G154&amp;"|"&amp;E154&amp;"|"&amp;H154&amp;"|"&amp;AU154)</f>
        <v/>
      </c>
    </row>
    <row r="155" customFormat="false" ht="15" hidden="false" customHeight="false" outlineLevel="0" collapsed="false">
      <c r="A155" s="10" t="str">
        <f aca="false">IF(C155="","","ERSS-"&amp;IFERROR(VLOOKUP(C155,Lists!$AK$4:$AL$21,2,0),"??")&amp;"-"&amp;TEXT(E155,"0000")&amp;"x"&amp;TEXT(F155,"0000")&amp;"-D"&amp;TEXT(G155*1000,"0000")&amp;"-"&amp;IFERROR(VLOOKUP(H155,Lists!$Y$4:$Z$21,2,0),"??")&amp;"-"&amp;U155)</f>
        <v/>
      </c>
      <c r="B155" s="10" t="str">
        <f aca="false">IF(C155="","",C155&amp;" for "&amp;D155&amp;", "&amp;E155&amp;" x "&amp;F155&amp;" pit, "&amp;TEXT(G155,"0.0")&amp;" m deep, "&amp;H155)</f>
        <v/>
      </c>
      <c r="C155" s="9"/>
      <c r="D155" s="9"/>
      <c r="E155" s="40"/>
      <c r="F155" s="40"/>
      <c r="G155" s="43"/>
      <c r="H155" s="9"/>
      <c r="I155" s="43"/>
      <c r="J155" s="40"/>
      <c r="K155" s="9"/>
      <c r="L155" s="43"/>
      <c r="M155" s="43"/>
      <c r="N155" s="40"/>
      <c r="O155" s="9"/>
      <c r="P155" s="9"/>
      <c r="Q155" s="41"/>
      <c r="R155" s="9"/>
      <c r="S155" s="40"/>
      <c r="T155" s="9"/>
      <c r="U155" s="9"/>
      <c r="V155" s="9"/>
      <c r="W155" s="9"/>
      <c r="X155" s="9"/>
      <c r="Y155" s="9"/>
      <c r="Z155" s="10" t="str">
        <f aca="false">IF(A155="","",SG_Criteria!$B$6&amp;SG_Criteria!$B$11&amp;"\"&amp;A155&amp;"\")</f>
        <v/>
      </c>
      <c r="AA155" s="10" t="str">
        <f aca="false">IF(A155="","",A155&amp;"_CAD.dwg")</f>
        <v/>
      </c>
      <c r="AB155" s="10" t="str">
        <f aca="false">IF(A155="","",A155&amp;"_DWG.pdf")</f>
        <v/>
      </c>
      <c r="AC155" s="10" t="str">
        <f aca="false">IF(A155="","",IF(Y155="Y",A155&amp;"_STAAD.std","n/a"))</f>
        <v/>
      </c>
      <c r="AD155" s="10" t="str">
        <f aca="false">IF(A155="","",A155&amp;"_CALC.xlsx")</f>
        <v/>
      </c>
      <c r="AE155" s="10" t="str">
        <f aca="false">IF(A155="","",A155&amp;"_CALC.pdf")</f>
        <v/>
      </c>
      <c r="AF155" s="9"/>
      <c r="AG155" s="9"/>
      <c r="AH155" s="41"/>
      <c r="AI155" s="41"/>
      <c r="AJ155" s="41"/>
      <c r="AK155" s="41"/>
      <c r="AL155" s="41"/>
      <c r="AM155" s="38" t="str">
        <f aca="false">IF(OR(C155="",G155=""),"",IF(G155&lt;=IF(OR(C155="Soldier Pile &amp; Timber Lagging",C155="Trench Shoring Box",C155="Open Cut (battered)"),SG_Criteria!$B$34,SG_Criteria!$B$33),"No ERSS submission",IF(G155&lt;=SG_Criteria!$B$35,"QP(ST)",IF(G155&lt;=SG_Criteria!$B$36,"QP(ST) + AC","Geotechnical building works: QP(Geo) + AC"))))</f>
        <v/>
      </c>
      <c r="AN155" s="38" t="str">
        <f aca="false">IF(C155="","",IF(LEN(IF(AND(Q155&lt;&gt;"",Q155&lt;SG_Criteria!$B$37),"FAIL: base stability FOS &lt; "&amp;SG_Criteria!$B$37&amp;". ","")&amp;IF(AND(D155="Manhole",G155&gt;SG_Criteria!$B$36),"NOTE: BCA lists sewer manholes (pipe &lt;= 2 m dia) &gt; 6 m as non-GBW: QP(ST) + AC. ","")&amp;IF(AND(C155="Trench Shoring Box",H155="Kallang Formation (marine clay)"),"NOTE: check base heave / ground loss for shoring box in marine clay. ","")&amp;IF(AND(C155="Steel Sheet Pile Cofferdam",N(M155)&lt;G155*0.5),"NOTE: short toe embedment, check. ",""))=0,"OK",IF(AND(Q155&lt;&gt;"",Q155&lt;SG_Criteria!$B$37),"FAIL: base stability FOS &lt; "&amp;SG_Criteria!$B$37&amp;". ","")&amp;IF(AND(D155="Manhole",G155&gt;SG_Criteria!$B$36),"NOTE: BCA lists sewer manholes (pipe &lt;= 2 m dia) &gt; 6 m as non-GBW: QP(ST) + AC. ","")&amp;IF(AND(C155="Trench Shoring Box",H155="Kallang Formation (marine clay)"),"NOTE: check base heave / ground loss for shoring box in marine clay. ","")&amp;IF(AND(C155="Steel Sheet Pile Cofferdam",N(M155)&lt;G155*0.5),"NOTE: short toe embedment, check. ","")))</f>
        <v/>
      </c>
      <c r="AO155" s="9"/>
      <c r="AP155" s="9"/>
      <c r="AQ155" s="9"/>
      <c r="AR155" s="9"/>
      <c r="AS155" s="9"/>
      <c r="AT155" s="31"/>
      <c r="AU155" s="10" t="str">
        <f aca="false">IF(C155="","",IF(AND(V155="Approved",ISERROR(SEARCH("FAIL",AN155))),"Y","N"))</f>
        <v/>
      </c>
      <c r="AV155" s="10" t="str">
        <f aca="false">IF(C155="","",C155&amp;"|"&amp;G155&amp;"|"&amp;E155&amp;"|"&amp;H155&amp;"|"&amp;AU155)</f>
        <v/>
      </c>
    </row>
    <row r="156" customFormat="false" ht="15" hidden="false" customHeight="false" outlineLevel="0" collapsed="false">
      <c r="A156" s="10" t="str">
        <f aca="false">IF(C156="","","ERSS-"&amp;IFERROR(VLOOKUP(C156,Lists!$AK$4:$AL$21,2,0),"??")&amp;"-"&amp;TEXT(E156,"0000")&amp;"x"&amp;TEXT(F156,"0000")&amp;"-D"&amp;TEXT(G156*1000,"0000")&amp;"-"&amp;IFERROR(VLOOKUP(H156,Lists!$Y$4:$Z$21,2,0),"??")&amp;"-"&amp;U156)</f>
        <v/>
      </c>
      <c r="B156" s="10" t="str">
        <f aca="false">IF(C156="","",C156&amp;" for "&amp;D156&amp;", "&amp;E156&amp;" x "&amp;F156&amp;" pit, "&amp;TEXT(G156,"0.0")&amp;" m deep, "&amp;H156)</f>
        <v/>
      </c>
      <c r="C156" s="9"/>
      <c r="D156" s="9"/>
      <c r="E156" s="40"/>
      <c r="F156" s="40"/>
      <c r="G156" s="43"/>
      <c r="H156" s="9"/>
      <c r="I156" s="43"/>
      <c r="J156" s="40"/>
      <c r="K156" s="9"/>
      <c r="L156" s="43"/>
      <c r="M156" s="43"/>
      <c r="N156" s="40"/>
      <c r="O156" s="9"/>
      <c r="P156" s="9"/>
      <c r="Q156" s="41"/>
      <c r="R156" s="9"/>
      <c r="S156" s="40"/>
      <c r="T156" s="9"/>
      <c r="U156" s="9"/>
      <c r="V156" s="9"/>
      <c r="W156" s="9"/>
      <c r="X156" s="9"/>
      <c r="Y156" s="9"/>
      <c r="Z156" s="10" t="str">
        <f aca="false">IF(A156="","",SG_Criteria!$B$6&amp;SG_Criteria!$B$11&amp;"\"&amp;A156&amp;"\")</f>
        <v/>
      </c>
      <c r="AA156" s="10" t="str">
        <f aca="false">IF(A156="","",A156&amp;"_CAD.dwg")</f>
        <v/>
      </c>
      <c r="AB156" s="10" t="str">
        <f aca="false">IF(A156="","",A156&amp;"_DWG.pdf")</f>
        <v/>
      </c>
      <c r="AC156" s="10" t="str">
        <f aca="false">IF(A156="","",IF(Y156="Y",A156&amp;"_STAAD.std","n/a"))</f>
        <v/>
      </c>
      <c r="AD156" s="10" t="str">
        <f aca="false">IF(A156="","",A156&amp;"_CALC.xlsx")</f>
        <v/>
      </c>
      <c r="AE156" s="10" t="str">
        <f aca="false">IF(A156="","",A156&amp;"_CALC.pdf")</f>
        <v/>
      </c>
      <c r="AF156" s="9"/>
      <c r="AG156" s="9"/>
      <c r="AH156" s="41"/>
      <c r="AI156" s="41"/>
      <c r="AJ156" s="41"/>
      <c r="AK156" s="41"/>
      <c r="AL156" s="41"/>
      <c r="AM156" s="38" t="str">
        <f aca="false">IF(OR(C156="",G156=""),"",IF(G156&lt;=IF(OR(C156="Soldier Pile &amp; Timber Lagging",C156="Trench Shoring Box",C156="Open Cut (battered)"),SG_Criteria!$B$34,SG_Criteria!$B$33),"No ERSS submission",IF(G156&lt;=SG_Criteria!$B$35,"QP(ST)",IF(G156&lt;=SG_Criteria!$B$36,"QP(ST) + AC","Geotechnical building works: QP(Geo) + AC"))))</f>
        <v/>
      </c>
      <c r="AN156" s="38" t="str">
        <f aca="false">IF(C156="","",IF(LEN(IF(AND(Q156&lt;&gt;"",Q156&lt;SG_Criteria!$B$37),"FAIL: base stability FOS &lt; "&amp;SG_Criteria!$B$37&amp;". ","")&amp;IF(AND(D156="Manhole",G156&gt;SG_Criteria!$B$36),"NOTE: BCA lists sewer manholes (pipe &lt;= 2 m dia) &gt; 6 m as non-GBW: QP(ST) + AC. ","")&amp;IF(AND(C156="Trench Shoring Box",H156="Kallang Formation (marine clay)"),"NOTE: check base heave / ground loss for shoring box in marine clay. ","")&amp;IF(AND(C156="Steel Sheet Pile Cofferdam",N(M156)&lt;G156*0.5),"NOTE: short toe embedment, check. ",""))=0,"OK",IF(AND(Q156&lt;&gt;"",Q156&lt;SG_Criteria!$B$37),"FAIL: base stability FOS &lt; "&amp;SG_Criteria!$B$37&amp;". ","")&amp;IF(AND(D156="Manhole",G156&gt;SG_Criteria!$B$36),"NOTE: BCA lists sewer manholes (pipe &lt;= 2 m dia) &gt; 6 m as non-GBW: QP(ST) + AC. ","")&amp;IF(AND(C156="Trench Shoring Box",H156="Kallang Formation (marine clay)"),"NOTE: check base heave / ground loss for shoring box in marine clay. ","")&amp;IF(AND(C156="Steel Sheet Pile Cofferdam",N(M156)&lt;G156*0.5),"NOTE: short toe embedment, check. ","")))</f>
        <v/>
      </c>
      <c r="AO156" s="9"/>
      <c r="AP156" s="9"/>
      <c r="AQ156" s="9"/>
      <c r="AR156" s="9"/>
      <c r="AS156" s="9"/>
      <c r="AT156" s="31"/>
      <c r="AU156" s="10" t="str">
        <f aca="false">IF(C156="","",IF(AND(V156="Approved",ISERROR(SEARCH("FAIL",AN156))),"Y","N"))</f>
        <v/>
      </c>
      <c r="AV156" s="10" t="str">
        <f aca="false">IF(C156="","",C156&amp;"|"&amp;G156&amp;"|"&amp;E156&amp;"|"&amp;H156&amp;"|"&amp;AU156)</f>
        <v/>
      </c>
    </row>
    <row r="157" customFormat="false" ht="15" hidden="false" customHeight="false" outlineLevel="0" collapsed="false">
      <c r="A157" s="10" t="str">
        <f aca="false">IF(C157="","","ERSS-"&amp;IFERROR(VLOOKUP(C157,Lists!$AK$4:$AL$21,2,0),"??")&amp;"-"&amp;TEXT(E157,"0000")&amp;"x"&amp;TEXT(F157,"0000")&amp;"-D"&amp;TEXT(G157*1000,"0000")&amp;"-"&amp;IFERROR(VLOOKUP(H157,Lists!$Y$4:$Z$21,2,0),"??")&amp;"-"&amp;U157)</f>
        <v/>
      </c>
      <c r="B157" s="10" t="str">
        <f aca="false">IF(C157="","",C157&amp;" for "&amp;D157&amp;", "&amp;E157&amp;" x "&amp;F157&amp;" pit, "&amp;TEXT(G157,"0.0")&amp;" m deep, "&amp;H157)</f>
        <v/>
      </c>
      <c r="C157" s="9"/>
      <c r="D157" s="9"/>
      <c r="E157" s="40"/>
      <c r="F157" s="40"/>
      <c r="G157" s="43"/>
      <c r="H157" s="9"/>
      <c r="I157" s="43"/>
      <c r="J157" s="40"/>
      <c r="K157" s="9"/>
      <c r="L157" s="43"/>
      <c r="M157" s="43"/>
      <c r="N157" s="40"/>
      <c r="O157" s="9"/>
      <c r="P157" s="9"/>
      <c r="Q157" s="41"/>
      <c r="R157" s="9"/>
      <c r="S157" s="40"/>
      <c r="T157" s="9"/>
      <c r="U157" s="9"/>
      <c r="V157" s="9"/>
      <c r="W157" s="9"/>
      <c r="X157" s="9"/>
      <c r="Y157" s="9"/>
      <c r="Z157" s="10" t="str">
        <f aca="false">IF(A157="","",SG_Criteria!$B$6&amp;SG_Criteria!$B$11&amp;"\"&amp;A157&amp;"\")</f>
        <v/>
      </c>
      <c r="AA157" s="10" t="str">
        <f aca="false">IF(A157="","",A157&amp;"_CAD.dwg")</f>
        <v/>
      </c>
      <c r="AB157" s="10" t="str">
        <f aca="false">IF(A157="","",A157&amp;"_DWG.pdf")</f>
        <v/>
      </c>
      <c r="AC157" s="10" t="str">
        <f aca="false">IF(A157="","",IF(Y157="Y",A157&amp;"_STAAD.std","n/a"))</f>
        <v/>
      </c>
      <c r="AD157" s="10" t="str">
        <f aca="false">IF(A157="","",A157&amp;"_CALC.xlsx")</f>
        <v/>
      </c>
      <c r="AE157" s="10" t="str">
        <f aca="false">IF(A157="","",A157&amp;"_CALC.pdf")</f>
        <v/>
      </c>
      <c r="AF157" s="9"/>
      <c r="AG157" s="9"/>
      <c r="AH157" s="41"/>
      <c r="AI157" s="41"/>
      <c r="AJ157" s="41"/>
      <c r="AK157" s="41"/>
      <c r="AL157" s="41"/>
      <c r="AM157" s="38" t="str">
        <f aca="false">IF(OR(C157="",G157=""),"",IF(G157&lt;=IF(OR(C157="Soldier Pile &amp; Timber Lagging",C157="Trench Shoring Box",C157="Open Cut (battered)"),SG_Criteria!$B$34,SG_Criteria!$B$33),"No ERSS submission",IF(G157&lt;=SG_Criteria!$B$35,"QP(ST)",IF(G157&lt;=SG_Criteria!$B$36,"QP(ST) + AC","Geotechnical building works: QP(Geo) + AC"))))</f>
        <v/>
      </c>
      <c r="AN157" s="38" t="str">
        <f aca="false">IF(C157="","",IF(LEN(IF(AND(Q157&lt;&gt;"",Q157&lt;SG_Criteria!$B$37),"FAIL: base stability FOS &lt; "&amp;SG_Criteria!$B$37&amp;". ","")&amp;IF(AND(D157="Manhole",G157&gt;SG_Criteria!$B$36),"NOTE: BCA lists sewer manholes (pipe &lt;= 2 m dia) &gt; 6 m as non-GBW: QP(ST) + AC. ","")&amp;IF(AND(C157="Trench Shoring Box",H157="Kallang Formation (marine clay)"),"NOTE: check base heave / ground loss for shoring box in marine clay. ","")&amp;IF(AND(C157="Steel Sheet Pile Cofferdam",N(M157)&lt;G157*0.5),"NOTE: short toe embedment, check. ",""))=0,"OK",IF(AND(Q157&lt;&gt;"",Q157&lt;SG_Criteria!$B$37),"FAIL: base stability FOS &lt; "&amp;SG_Criteria!$B$37&amp;". ","")&amp;IF(AND(D157="Manhole",G157&gt;SG_Criteria!$B$36),"NOTE: BCA lists sewer manholes (pipe &lt;= 2 m dia) &gt; 6 m as non-GBW: QP(ST) + AC. ","")&amp;IF(AND(C157="Trench Shoring Box",H157="Kallang Formation (marine clay)"),"NOTE: check base heave / ground loss for shoring box in marine clay. ","")&amp;IF(AND(C157="Steel Sheet Pile Cofferdam",N(M157)&lt;G157*0.5),"NOTE: short toe embedment, check. ","")))</f>
        <v/>
      </c>
      <c r="AO157" s="9"/>
      <c r="AP157" s="9"/>
      <c r="AQ157" s="9"/>
      <c r="AR157" s="9"/>
      <c r="AS157" s="9"/>
      <c r="AT157" s="31"/>
      <c r="AU157" s="10" t="str">
        <f aca="false">IF(C157="","",IF(AND(V157="Approved",ISERROR(SEARCH("FAIL",AN157))),"Y","N"))</f>
        <v/>
      </c>
      <c r="AV157" s="10" t="str">
        <f aca="false">IF(C157="","",C157&amp;"|"&amp;G157&amp;"|"&amp;E157&amp;"|"&amp;H157&amp;"|"&amp;AU157)</f>
        <v/>
      </c>
    </row>
    <row r="158" customFormat="false" ht="15" hidden="false" customHeight="false" outlineLevel="0" collapsed="false">
      <c r="A158" s="10" t="str">
        <f aca="false">IF(C158="","","ERSS-"&amp;IFERROR(VLOOKUP(C158,Lists!$AK$4:$AL$21,2,0),"??")&amp;"-"&amp;TEXT(E158,"0000")&amp;"x"&amp;TEXT(F158,"0000")&amp;"-D"&amp;TEXT(G158*1000,"0000")&amp;"-"&amp;IFERROR(VLOOKUP(H158,Lists!$Y$4:$Z$21,2,0),"??")&amp;"-"&amp;U158)</f>
        <v/>
      </c>
      <c r="B158" s="10" t="str">
        <f aca="false">IF(C158="","",C158&amp;" for "&amp;D158&amp;", "&amp;E158&amp;" x "&amp;F158&amp;" pit, "&amp;TEXT(G158,"0.0")&amp;" m deep, "&amp;H158)</f>
        <v/>
      </c>
      <c r="C158" s="9"/>
      <c r="D158" s="9"/>
      <c r="E158" s="40"/>
      <c r="F158" s="40"/>
      <c r="G158" s="43"/>
      <c r="H158" s="9"/>
      <c r="I158" s="43"/>
      <c r="J158" s="40"/>
      <c r="K158" s="9"/>
      <c r="L158" s="43"/>
      <c r="M158" s="43"/>
      <c r="N158" s="40"/>
      <c r="O158" s="9"/>
      <c r="P158" s="9"/>
      <c r="Q158" s="41"/>
      <c r="R158" s="9"/>
      <c r="S158" s="40"/>
      <c r="T158" s="9"/>
      <c r="U158" s="9"/>
      <c r="V158" s="9"/>
      <c r="W158" s="9"/>
      <c r="X158" s="9"/>
      <c r="Y158" s="9"/>
      <c r="Z158" s="10" t="str">
        <f aca="false">IF(A158="","",SG_Criteria!$B$6&amp;SG_Criteria!$B$11&amp;"\"&amp;A158&amp;"\")</f>
        <v/>
      </c>
      <c r="AA158" s="10" t="str">
        <f aca="false">IF(A158="","",A158&amp;"_CAD.dwg")</f>
        <v/>
      </c>
      <c r="AB158" s="10" t="str">
        <f aca="false">IF(A158="","",A158&amp;"_DWG.pdf")</f>
        <v/>
      </c>
      <c r="AC158" s="10" t="str">
        <f aca="false">IF(A158="","",IF(Y158="Y",A158&amp;"_STAAD.std","n/a"))</f>
        <v/>
      </c>
      <c r="AD158" s="10" t="str">
        <f aca="false">IF(A158="","",A158&amp;"_CALC.xlsx")</f>
        <v/>
      </c>
      <c r="AE158" s="10" t="str">
        <f aca="false">IF(A158="","",A158&amp;"_CALC.pdf")</f>
        <v/>
      </c>
      <c r="AF158" s="9"/>
      <c r="AG158" s="9"/>
      <c r="AH158" s="41"/>
      <c r="AI158" s="41"/>
      <c r="AJ158" s="41"/>
      <c r="AK158" s="41"/>
      <c r="AL158" s="41"/>
      <c r="AM158" s="38" t="str">
        <f aca="false">IF(OR(C158="",G158=""),"",IF(G158&lt;=IF(OR(C158="Soldier Pile &amp; Timber Lagging",C158="Trench Shoring Box",C158="Open Cut (battered)"),SG_Criteria!$B$34,SG_Criteria!$B$33),"No ERSS submission",IF(G158&lt;=SG_Criteria!$B$35,"QP(ST)",IF(G158&lt;=SG_Criteria!$B$36,"QP(ST) + AC","Geotechnical building works: QP(Geo) + AC"))))</f>
        <v/>
      </c>
      <c r="AN158" s="38" t="str">
        <f aca="false">IF(C158="","",IF(LEN(IF(AND(Q158&lt;&gt;"",Q158&lt;SG_Criteria!$B$37),"FAIL: base stability FOS &lt; "&amp;SG_Criteria!$B$37&amp;". ","")&amp;IF(AND(D158="Manhole",G158&gt;SG_Criteria!$B$36),"NOTE: BCA lists sewer manholes (pipe &lt;= 2 m dia) &gt; 6 m as non-GBW: QP(ST) + AC. ","")&amp;IF(AND(C158="Trench Shoring Box",H158="Kallang Formation (marine clay)"),"NOTE: check base heave / ground loss for shoring box in marine clay. ","")&amp;IF(AND(C158="Steel Sheet Pile Cofferdam",N(M158)&lt;G158*0.5),"NOTE: short toe embedment, check. ",""))=0,"OK",IF(AND(Q158&lt;&gt;"",Q158&lt;SG_Criteria!$B$37),"FAIL: base stability FOS &lt; "&amp;SG_Criteria!$B$37&amp;". ","")&amp;IF(AND(D158="Manhole",G158&gt;SG_Criteria!$B$36),"NOTE: BCA lists sewer manholes (pipe &lt;= 2 m dia) &gt; 6 m as non-GBW: QP(ST) + AC. ","")&amp;IF(AND(C158="Trench Shoring Box",H158="Kallang Formation (marine clay)"),"NOTE: check base heave / ground loss for shoring box in marine clay. ","")&amp;IF(AND(C158="Steel Sheet Pile Cofferdam",N(M158)&lt;G158*0.5),"NOTE: short toe embedment, check. ","")))</f>
        <v/>
      </c>
      <c r="AO158" s="9"/>
      <c r="AP158" s="9"/>
      <c r="AQ158" s="9"/>
      <c r="AR158" s="9"/>
      <c r="AS158" s="9"/>
      <c r="AT158" s="31"/>
      <c r="AU158" s="10" t="str">
        <f aca="false">IF(C158="","",IF(AND(V158="Approved",ISERROR(SEARCH("FAIL",AN158))),"Y","N"))</f>
        <v/>
      </c>
      <c r="AV158" s="10" t="str">
        <f aca="false">IF(C158="","",C158&amp;"|"&amp;G158&amp;"|"&amp;E158&amp;"|"&amp;H158&amp;"|"&amp;AU158)</f>
        <v/>
      </c>
    </row>
    <row r="159" customFormat="false" ht="15" hidden="false" customHeight="false" outlineLevel="0" collapsed="false">
      <c r="A159" s="10" t="str">
        <f aca="false">IF(C159="","","ERSS-"&amp;IFERROR(VLOOKUP(C159,Lists!$AK$4:$AL$21,2,0),"??")&amp;"-"&amp;TEXT(E159,"0000")&amp;"x"&amp;TEXT(F159,"0000")&amp;"-D"&amp;TEXT(G159*1000,"0000")&amp;"-"&amp;IFERROR(VLOOKUP(H159,Lists!$Y$4:$Z$21,2,0),"??")&amp;"-"&amp;U159)</f>
        <v/>
      </c>
      <c r="B159" s="10" t="str">
        <f aca="false">IF(C159="","",C159&amp;" for "&amp;D159&amp;", "&amp;E159&amp;" x "&amp;F159&amp;" pit, "&amp;TEXT(G159,"0.0")&amp;" m deep, "&amp;H159)</f>
        <v/>
      </c>
      <c r="C159" s="9"/>
      <c r="D159" s="9"/>
      <c r="E159" s="40"/>
      <c r="F159" s="40"/>
      <c r="G159" s="43"/>
      <c r="H159" s="9"/>
      <c r="I159" s="43"/>
      <c r="J159" s="40"/>
      <c r="K159" s="9"/>
      <c r="L159" s="43"/>
      <c r="M159" s="43"/>
      <c r="N159" s="40"/>
      <c r="O159" s="9"/>
      <c r="P159" s="9"/>
      <c r="Q159" s="41"/>
      <c r="R159" s="9"/>
      <c r="S159" s="40"/>
      <c r="T159" s="9"/>
      <c r="U159" s="9"/>
      <c r="V159" s="9"/>
      <c r="W159" s="9"/>
      <c r="X159" s="9"/>
      <c r="Y159" s="9"/>
      <c r="Z159" s="10" t="str">
        <f aca="false">IF(A159="","",SG_Criteria!$B$6&amp;SG_Criteria!$B$11&amp;"\"&amp;A159&amp;"\")</f>
        <v/>
      </c>
      <c r="AA159" s="10" t="str">
        <f aca="false">IF(A159="","",A159&amp;"_CAD.dwg")</f>
        <v/>
      </c>
      <c r="AB159" s="10" t="str">
        <f aca="false">IF(A159="","",A159&amp;"_DWG.pdf")</f>
        <v/>
      </c>
      <c r="AC159" s="10" t="str">
        <f aca="false">IF(A159="","",IF(Y159="Y",A159&amp;"_STAAD.std","n/a"))</f>
        <v/>
      </c>
      <c r="AD159" s="10" t="str">
        <f aca="false">IF(A159="","",A159&amp;"_CALC.xlsx")</f>
        <v/>
      </c>
      <c r="AE159" s="10" t="str">
        <f aca="false">IF(A159="","",A159&amp;"_CALC.pdf")</f>
        <v/>
      </c>
      <c r="AF159" s="9"/>
      <c r="AG159" s="9"/>
      <c r="AH159" s="41"/>
      <c r="AI159" s="41"/>
      <c r="AJ159" s="41"/>
      <c r="AK159" s="41"/>
      <c r="AL159" s="41"/>
      <c r="AM159" s="38" t="str">
        <f aca="false">IF(OR(C159="",G159=""),"",IF(G159&lt;=IF(OR(C159="Soldier Pile &amp; Timber Lagging",C159="Trench Shoring Box",C159="Open Cut (battered)"),SG_Criteria!$B$34,SG_Criteria!$B$33),"No ERSS submission",IF(G159&lt;=SG_Criteria!$B$35,"QP(ST)",IF(G159&lt;=SG_Criteria!$B$36,"QP(ST) + AC","Geotechnical building works: QP(Geo) + AC"))))</f>
        <v/>
      </c>
      <c r="AN159" s="38" t="str">
        <f aca="false">IF(C159="","",IF(LEN(IF(AND(Q159&lt;&gt;"",Q159&lt;SG_Criteria!$B$37),"FAIL: base stability FOS &lt; "&amp;SG_Criteria!$B$37&amp;". ","")&amp;IF(AND(D159="Manhole",G159&gt;SG_Criteria!$B$36),"NOTE: BCA lists sewer manholes (pipe &lt;= 2 m dia) &gt; 6 m as non-GBW: QP(ST) + AC. ","")&amp;IF(AND(C159="Trench Shoring Box",H159="Kallang Formation (marine clay)"),"NOTE: check base heave / ground loss for shoring box in marine clay. ","")&amp;IF(AND(C159="Steel Sheet Pile Cofferdam",N(M159)&lt;G159*0.5),"NOTE: short toe embedment, check. ",""))=0,"OK",IF(AND(Q159&lt;&gt;"",Q159&lt;SG_Criteria!$B$37),"FAIL: base stability FOS &lt; "&amp;SG_Criteria!$B$37&amp;". ","")&amp;IF(AND(D159="Manhole",G159&gt;SG_Criteria!$B$36),"NOTE: BCA lists sewer manholes (pipe &lt;= 2 m dia) &gt; 6 m as non-GBW: QP(ST) + AC. ","")&amp;IF(AND(C159="Trench Shoring Box",H159="Kallang Formation (marine clay)"),"NOTE: check base heave / ground loss for shoring box in marine clay. ","")&amp;IF(AND(C159="Steel Sheet Pile Cofferdam",N(M159)&lt;G159*0.5),"NOTE: short toe embedment, check. ","")))</f>
        <v/>
      </c>
      <c r="AO159" s="9"/>
      <c r="AP159" s="9"/>
      <c r="AQ159" s="9"/>
      <c r="AR159" s="9"/>
      <c r="AS159" s="9"/>
      <c r="AT159" s="31"/>
      <c r="AU159" s="10" t="str">
        <f aca="false">IF(C159="","",IF(AND(V159="Approved",ISERROR(SEARCH("FAIL",AN159))),"Y","N"))</f>
        <v/>
      </c>
      <c r="AV159" s="10" t="str">
        <f aca="false">IF(C159="","",C159&amp;"|"&amp;G159&amp;"|"&amp;E159&amp;"|"&amp;H159&amp;"|"&amp;AU159)</f>
        <v/>
      </c>
    </row>
    <row r="160" customFormat="false" ht="15" hidden="false" customHeight="false" outlineLevel="0" collapsed="false">
      <c r="A160" s="10" t="str">
        <f aca="false">IF(C160="","","ERSS-"&amp;IFERROR(VLOOKUP(C160,Lists!$AK$4:$AL$21,2,0),"??")&amp;"-"&amp;TEXT(E160,"0000")&amp;"x"&amp;TEXT(F160,"0000")&amp;"-D"&amp;TEXT(G160*1000,"0000")&amp;"-"&amp;IFERROR(VLOOKUP(H160,Lists!$Y$4:$Z$21,2,0),"??")&amp;"-"&amp;U160)</f>
        <v/>
      </c>
      <c r="B160" s="10" t="str">
        <f aca="false">IF(C160="","",C160&amp;" for "&amp;D160&amp;", "&amp;E160&amp;" x "&amp;F160&amp;" pit, "&amp;TEXT(G160,"0.0")&amp;" m deep, "&amp;H160)</f>
        <v/>
      </c>
      <c r="C160" s="9"/>
      <c r="D160" s="9"/>
      <c r="E160" s="40"/>
      <c r="F160" s="40"/>
      <c r="G160" s="43"/>
      <c r="H160" s="9"/>
      <c r="I160" s="43"/>
      <c r="J160" s="40"/>
      <c r="K160" s="9"/>
      <c r="L160" s="43"/>
      <c r="M160" s="43"/>
      <c r="N160" s="40"/>
      <c r="O160" s="9"/>
      <c r="P160" s="9"/>
      <c r="Q160" s="41"/>
      <c r="R160" s="9"/>
      <c r="S160" s="40"/>
      <c r="T160" s="9"/>
      <c r="U160" s="9"/>
      <c r="V160" s="9"/>
      <c r="W160" s="9"/>
      <c r="X160" s="9"/>
      <c r="Y160" s="9"/>
      <c r="Z160" s="10" t="str">
        <f aca="false">IF(A160="","",SG_Criteria!$B$6&amp;SG_Criteria!$B$11&amp;"\"&amp;A160&amp;"\")</f>
        <v/>
      </c>
      <c r="AA160" s="10" t="str">
        <f aca="false">IF(A160="","",A160&amp;"_CAD.dwg")</f>
        <v/>
      </c>
      <c r="AB160" s="10" t="str">
        <f aca="false">IF(A160="","",A160&amp;"_DWG.pdf")</f>
        <v/>
      </c>
      <c r="AC160" s="10" t="str">
        <f aca="false">IF(A160="","",IF(Y160="Y",A160&amp;"_STAAD.std","n/a"))</f>
        <v/>
      </c>
      <c r="AD160" s="10" t="str">
        <f aca="false">IF(A160="","",A160&amp;"_CALC.xlsx")</f>
        <v/>
      </c>
      <c r="AE160" s="10" t="str">
        <f aca="false">IF(A160="","",A160&amp;"_CALC.pdf")</f>
        <v/>
      </c>
      <c r="AF160" s="9"/>
      <c r="AG160" s="9"/>
      <c r="AH160" s="41"/>
      <c r="AI160" s="41"/>
      <c r="AJ160" s="41"/>
      <c r="AK160" s="41"/>
      <c r="AL160" s="41"/>
      <c r="AM160" s="38" t="str">
        <f aca="false">IF(OR(C160="",G160=""),"",IF(G160&lt;=IF(OR(C160="Soldier Pile &amp; Timber Lagging",C160="Trench Shoring Box",C160="Open Cut (battered)"),SG_Criteria!$B$34,SG_Criteria!$B$33),"No ERSS submission",IF(G160&lt;=SG_Criteria!$B$35,"QP(ST)",IF(G160&lt;=SG_Criteria!$B$36,"QP(ST) + AC","Geotechnical building works: QP(Geo) + AC"))))</f>
        <v/>
      </c>
      <c r="AN160" s="38" t="str">
        <f aca="false">IF(C160="","",IF(LEN(IF(AND(Q160&lt;&gt;"",Q160&lt;SG_Criteria!$B$37),"FAIL: base stability FOS &lt; "&amp;SG_Criteria!$B$37&amp;". ","")&amp;IF(AND(D160="Manhole",G160&gt;SG_Criteria!$B$36),"NOTE: BCA lists sewer manholes (pipe &lt;= 2 m dia) &gt; 6 m as non-GBW: QP(ST) + AC. ","")&amp;IF(AND(C160="Trench Shoring Box",H160="Kallang Formation (marine clay)"),"NOTE: check base heave / ground loss for shoring box in marine clay. ","")&amp;IF(AND(C160="Steel Sheet Pile Cofferdam",N(M160)&lt;G160*0.5),"NOTE: short toe embedment, check. ",""))=0,"OK",IF(AND(Q160&lt;&gt;"",Q160&lt;SG_Criteria!$B$37),"FAIL: base stability FOS &lt; "&amp;SG_Criteria!$B$37&amp;". ","")&amp;IF(AND(D160="Manhole",G160&gt;SG_Criteria!$B$36),"NOTE: BCA lists sewer manholes (pipe &lt;= 2 m dia) &gt; 6 m as non-GBW: QP(ST) + AC. ","")&amp;IF(AND(C160="Trench Shoring Box",H160="Kallang Formation (marine clay)"),"NOTE: check base heave / ground loss for shoring box in marine clay. ","")&amp;IF(AND(C160="Steel Sheet Pile Cofferdam",N(M160)&lt;G160*0.5),"NOTE: short toe embedment, check. ","")))</f>
        <v/>
      </c>
      <c r="AO160" s="9"/>
      <c r="AP160" s="9"/>
      <c r="AQ160" s="9"/>
      <c r="AR160" s="9"/>
      <c r="AS160" s="9"/>
      <c r="AT160" s="31"/>
      <c r="AU160" s="10" t="str">
        <f aca="false">IF(C160="","",IF(AND(V160="Approved",ISERROR(SEARCH("FAIL",AN160))),"Y","N"))</f>
        <v/>
      </c>
      <c r="AV160" s="10" t="str">
        <f aca="false">IF(C160="","",C160&amp;"|"&amp;G160&amp;"|"&amp;E160&amp;"|"&amp;H160&amp;"|"&amp;AU160)</f>
        <v/>
      </c>
    </row>
    <row r="161" customFormat="false" ht="15" hidden="false" customHeight="false" outlineLevel="0" collapsed="false">
      <c r="A161" s="10" t="str">
        <f aca="false">IF(C161="","","ERSS-"&amp;IFERROR(VLOOKUP(C161,Lists!$AK$4:$AL$21,2,0),"??")&amp;"-"&amp;TEXT(E161,"0000")&amp;"x"&amp;TEXT(F161,"0000")&amp;"-D"&amp;TEXT(G161*1000,"0000")&amp;"-"&amp;IFERROR(VLOOKUP(H161,Lists!$Y$4:$Z$21,2,0),"??")&amp;"-"&amp;U161)</f>
        <v/>
      </c>
      <c r="B161" s="10" t="str">
        <f aca="false">IF(C161="","",C161&amp;" for "&amp;D161&amp;", "&amp;E161&amp;" x "&amp;F161&amp;" pit, "&amp;TEXT(G161,"0.0")&amp;" m deep, "&amp;H161)</f>
        <v/>
      </c>
      <c r="C161" s="9"/>
      <c r="D161" s="9"/>
      <c r="E161" s="40"/>
      <c r="F161" s="40"/>
      <c r="G161" s="43"/>
      <c r="H161" s="9"/>
      <c r="I161" s="43"/>
      <c r="J161" s="40"/>
      <c r="K161" s="9"/>
      <c r="L161" s="43"/>
      <c r="M161" s="43"/>
      <c r="N161" s="40"/>
      <c r="O161" s="9"/>
      <c r="P161" s="9"/>
      <c r="Q161" s="41"/>
      <c r="R161" s="9"/>
      <c r="S161" s="40"/>
      <c r="T161" s="9"/>
      <c r="U161" s="9"/>
      <c r="V161" s="9"/>
      <c r="W161" s="9"/>
      <c r="X161" s="9"/>
      <c r="Y161" s="9"/>
      <c r="Z161" s="10" t="str">
        <f aca="false">IF(A161="","",SG_Criteria!$B$6&amp;SG_Criteria!$B$11&amp;"\"&amp;A161&amp;"\")</f>
        <v/>
      </c>
      <c r="AA161" s="10" t="str">
        <f aca="false">IF(A161="","",A161&amp;"_CAD.dwg")</f>
        <v/>
      </c>
      <c r="AB161" s="10" t="str">
        <f aca="false">IF(A161="","",A161&amp;"_DWG.pdf")</f>
        <v/>
      </c>
      <c r="AC161" s="10" t="str">
        <f aca="false">IF(A161="","",IF(Y161="Y",A161&amp;"_STAAD.std","n/a"))</f>
        <v/>
      </c>
      <c r="AD161" s="10" t="str">
        <f aca="false">IF(A161="","",A161&amp;"_CALC.xlsx")</f>
        <v/>
      </c>
      <c r="AE161" s="10" t="str">
        <f aca="false">IF(A161="","",A161&amp;"_CALC.pdf")</f>
        <v/>
      </c>
      <c r="AF161" s="9"/>
      <c r="AG161" s="9"/>
      <c r="AH161" s="41"/>
      <c r="AI161" s="41"/>
      <c r="AJ161" s="41"/>
      <c r="AK161" s="41"/>
      <c r="AL161" s="41"/>
      <c r="AM161" s="38" t="str">
        <f aca="false">IF(OR(C161="",G161=""),"",IF(G161&lt;=IF(OR(C161="Soldier Pile &amp; Timber Lagging",C161="Trench Shoring Box",C161="Open Cut (battered)"),SG_Criteria!$B$34,SG_Criteria!$B$33),"No ERSS submission",IF(G161&lt;=SG_Criteria!$B$35,"QP(ST)",IF(G161&lt;=SG_Criteria!$B$36,"QP(ST) + AC","Geotechnical building works: QP(Geo) + AC"))))</f>
        <v/>
      </c>
      <c r="AN161" s="38" t="str">
        <f aca="false">IF(C161="","",IF(LEN(IF(AND(Q161&lt;&gt;"",Q161&lt;SG_Criteria!$B$37),"FAIL: base stability FOS &lt; "&amp;SG_Criteria!$B$37&amp;". ","")&amp;IF(AND(D161="Manhole",G161&gt;SG_Criteria!$B$36),"NOTE: BCA lists sewer manholes (pipe &lt;= 2 m dia) &gt; 6 m as non-GBW: QP(ST) + AC. ","")&amp;IF(AND(C161="Trench Shoring Box",H161="Kallang Formation (marine clay)"),"NOTE: check base heave / ground loss for shoring box in marine clay. ","")&amp;IF(AND(C161="Steel Sheet Pile Cofferdam",N(M161)&lt;G161*0.5),"NOTE: short toe embedment, check. ",""))=0,"OK",IF(AND(Q161&lt;&gt;"",Q161&lt;SG_Criteria!$B$37),"FAIL: base stability FOS &lt; "&amp;SG_Criteria!$B$37&amp;". ","")&amp;IF(AND(D161="Manhole",G161&gt;SG_Criteria!$B$36),"NOTE: BCA lists sewer manholes (pipe &lt;= 2 m dia) &gt; 6 m as non-GBW: QP(ST) + AC. ","")&amp;IF(AND(C161="Trench Shoring Box",H161="Kallang Formation (marine clay)"),"NOTE: check base heave / ground loss for shoring box in marine clay. ","")&amp;IF(AND(C161="Steel Sheet Pile Cofferdam",N(M161)&lt;G161*0.5),"NOTE: short toe embedment, check. ","")))</f>
        <v/>
      </c>
      <c r="AO161" s="9"/>
      <c r="AP161" s="9"/>
      <c r="AQ161" s="9"/>
      <c r="AR161" s="9"/>
      <c r="AS161" s="9"/>
      <c r="AT161" s="31"/>
      <c r="AU161" s="10" t="str">
        <f aca="false">IF(C161="","",IF(AND(V161="Approved",ISERROR(SEARCH("FAIL",AN161))),"Y","N"))</f>
        <v/>
      </c>
      <c r="AV161" s="10" t="str">
        <f aca="false">IF(C161="","",C161&amp;"|"&amp;G161&amp;"|"&amp;E161&amp;"|"&amp;H161&amp;"|"&amp;AU161)</f>
        <v/>
      </c>
    </row>
    <row r="162" customFormat="false" ht="15" hidden="false" customHeight="false" outlineLevel="0" collapsed="false">
      <c r="A162" s="10" t="str">
        <f aca="false">IF(C162="","","ERSS-"&amp;IFERROR(VLOOKUP(C162,Lists!$AK$4:$AL$21,2,0),"??")&amp;"-"&amp;TEXT(E162,"0000")&amp;"x"&amp;TEXT(F162,"0000")&amp;"-D"&amp;TEXT(G162*1000,"0000")&amp;"-"&amp;IFERROR(VLOOKUP(H162,Lists!$Y$4:$Z$21,2,0),"??")&amp;"-"&amp;U162)</f>
        <v/>
      </c>
      <c r="B162" s="10" t="str">
        <f aca="false">IF(C162="","",C162&amp;" for "&amp;D162&amp;", "&amp;E162&amp;" x "&amp;F162&amp;" pit, "&amp;TEXT(G162,"0.0")&amp;" m deep, "&amp;H162)</f>
        <v/>
      </c>
      <c r="C162" s="9"/>
      <c r="D162" s="9"/>
      <c r="E162" s="40"/>
      <c r="F162" s="40"/>
      <c r="G162" s="43"/>
      <c r="H162" s="9"/>
      <c r="I162" s="43"/>
      <c r="J162" s="40"/>
      <c r="K162" s="9"/>
      <c r="L162" s="43"/>
      <c r="M162" s="43"/>
      <c r="N162" s="40"/>
      <c r="O162" s="9"/>
      <c r="P162" s="9"/>
      <c r="Q162" s="41"/>
      <c r="R162" s="9"/>
      <c r="S162" s="40"/>
      <c r="T162" s="9"/>
      <c r="U162" s="9"/>
      <c r="V162" s="9"/>
      <c r="W162" s="9"/>
      <c r="X162" s="9"/>
      <c r="Y162" s="9"/>
      <c r="Z162" s="10" t="str">
        <f aca="false">IF(A162="","",SG_Criteria!$B$6&amp;SG_Criteria!$B$11&amp;"\"&amp;A162&amp;"\")</f>
        <v/>
      </c>
      <c r="AA162" s="10" t="str">
        <f aca="false">IF(A162="","",A162&amp;"_CAD.dwg")</f>
        <v/>
      </c>
      <c r="AB162" s="10" t="str">
        <f aca="false">IF(A162="","",A162&amp;"_DWG.pdf")</f>
        <v/>
      </c>
      <c r="AC162" s="10" t="str">
        <f aca="false">IF(A162="","",IF(Y162="Y",A162&amp;"_STAAD.std","n/a"))</f>
        <v/>
      </c>
      <c r="AD162" s="10" t="str">
        <f aca="false">IF(A162="","",A162&amp;"_CALC.xlsx")</f>
        <v/>
      </c>
      <c r="AE162" s="10" t="str">
        <f aca="false">IF(A162="","",A162&amp;"_CALC.pdf")</f>
        <v/>
      </c>
      <c r="AF162" s="9"/>
      <c r="AG162" s="9"/>
      <c r="AH162" s="41"/>
      <c r="AI162" s="41"/>
      <c r="AJ162" s="41"/>
      <c r="AK162" s="41"/>
      <c r="AL162" s="41"/>
      <c r="AM162" s="38" t="str">
        <f aca="false">IF(OR(C162="",G162=""),"",IF(G162&lt;=IF(OR(C162="Soldier Pile &amp; Timber Lagging",C162="Trench Shoring Box",C162="Open Cut (battered)"),SG_Criteria!$B$34,SG_Criteria!$B$33),"No ERSS submission",IF(G162&lt;=SG_Criteria!$B$35,"QP(ST)",IF(G162&lt;=SG_Criteria!$B$36,"QP(ST) + AC","Geotechnical building works: QP(Geo) + AC"))))</f>
        <v/>
      </c>
      <c r="AN162" s="38" t="str">
        <f aca="false">IF(C162="","",IF(LEN(IF(AND(Q162&lt;&gt;"",Q162&lt;SG_Criteria!$B$37),"FAIL: base stability FOS &lt; "&amp;SG_Criteria!$B$37&amp;". ","")&amp;IF(AND(D162="Manhole",G162&gt;SG_Criteria!$B$36),"NOTE: BCA lists sewer manholes (pipe &lt;= 2 m dia) &gt; 6 m as non-GBW: QP(ST) + AC. ","")&amp;IF(AND(C162="Trench Shoring Box",H162="Kallang Formation (marine clay)"),"NOTE: check base heave / ground loss for shoring box in marine clay. ","")&amp;IF(AND(C162="Steel Sheet Pile Cofferdam",N(M162)&lt;G162*0.5),"NOTE: short toe embedment, check. ",""))=0,"OK",IF(AND(Q162&lt;&gt;"",Q162&lt;SG_Criteria!$B$37),"FAIL: base stability FOS &lt; "&amp;SG_Criteria!$B$37&amp;". ","")&amp;IF(AND(D162="Manhole",G162&gt;SG_Criteria!$B$36),"NOTE: BCA lists sewer manholes (pipe &lt;= 2 m dia) &gt; 6 m as non-GBW: QP(ST) + AC. ","")&amp;IF(AND(C162="Trench Shoring Box",H162="Kallang Formation (marine clay)"),"NOTE: check base heave / ground loss for shoring box in marine clay. ","")&amp;IF(AND(C162="Steel Sheet Pile Cofferdam",N(M162)&lt;G162*0.5),"NOTE: short toe embedment, check. ","")))</f>
        <v/>
      </c>
      <c r="AO162" s="9"/>
      <c r="AP162" s="9"/>
      <c r="AQ162" s="9"/>
      <c r="AR162" s="9"/>
      <c r="AS162" s="9"/>
      <c r="AT162" s="31"/>
      <c r="AU162" s="10" t="str">
        <f aca="false">IF(C162="","",IF(AND(V162="Approved",ISERROR(SEARCH("FAIL",AN162))),"Y","N"))</f>
        <v/>
      </c>
      <c r="AV162" s="10" t="str">
        <f aca="false">IF(C162="","",C162&amp;"|"&amp;G162&amp;"|"&amp;E162&amp;"|"&amp;H162&amp;"|"&amp;AU162)</f>
        <v/>
      </c>
    </row>
    <row r="163" customFormat="false" ht="15" hidden="false" customHeight="false" outlineLevel="0" collapsed="false">
      <c r="A163" s="10" t="str">
        <f aca="false">IF(C163="","","ERSS-"&amp;IFERROR(VLOOKUP(C163,Lists!$AK$4:$AL$21,2,0),"??")&amp;"-"&amp;TEXT(E163,"0000")&amp;"x"&amp;TEXT(F163,"0000")&amp;"-D"&amp;TEXT(G163*1000,"0000")&amp;"-"&amp;IFERROR(VLOOKUP(H163,Lists!$Y$4:$Z$21,2,0),"??")&amp;"-"&amp;U163)</f>
        <v/>
      </c>
      <c r="B163" s="10" t="str">
        <f aca="false">IF(C163="","",C163&amp;" for "&amp;D163&amp;", "&amp;E163&amp;" x "&amp;F163&amp;" pit, "&amp;TEXT(G163,"0.0")&amp;" m deep, "&amp;H163)</f>
        <v/>
      </c>
      <c r="C163" s="9"/>
      <c r="D163" s="9"/>
      <c r="E163" s="40"/>
      <c r="F163" s="40"/>
      <c r="G163" s="43"/>
      <c r="H163" s="9"/>
      <c r="I163" s="43"/>
      <c r="J163" s="40"/>
      <c r="K163" s="9"/>
      <c r="L163" s="43"/>
      <c r="M163" s="43"/>
      <c r="N163" s="40"/>
      <c r="O163" s="9"/>
      <c r="P163" s="9"/>
      <c r="Q163" s="41"/>
      <c r="R163" s="9"/>
      <c r="S163" s="40"/>
      <c r="T163" s="9"/>
      <c r="U163" s="9"/>
      <c r="V163" s="9"/>
      <c r="W163" s="9"/>
      <c r="X163" s="9"/>
      <c r="Y163" s="9"/>
      <c r="Z163" s="10" t="str">
        <f aca="false">IF(A163="","",SG_Criteria!$B$6&amp;SG_Criteria!$B$11&amp;"\"&amp;A163&amp;"\")</f>
        <v/>
      </c>
      <c r="AA163" s="10" t="str">
        <f aca="false">IF(A163="","",A163&amp;"_CAD.dwg")</f>
        <v/>
      </c>
      <c r="AB163" s="10" t="str">
        <f aca="false">IF(A163="","",A163&amp;"_DWG.pdf")</f>
        <v/>
      </c>
      <c r="AC163" s="10" t="str">
        <f aca="false">IF(A163="","",IF(Y163="Y",A163&amp;"_STAAD.std","n/a"))</f>
        <v/>
      </c>
      <c r="AD163" s="10" t="str">
        <f aca="false">IF(A163="","",A163&amp;"_CALC.xlsx")</f>
        <v/>
      </c>
      <c r="AE163" s="10" t="str">
        <f aca="false">IF(A163="","",A163&amp;"_CALC.pdf")</f>
        <v/>
      </c>
      <c r="AF163" s="9"/>
      <c r="AG163" s="9"/>
      <c r="AH163" s="41"/>
      <c r="AI163" s="41"/>
      <c r="AJ163" s="41"/>
      <c r="AK163" s="41"/>
      <c r="AL163" s="41"/>
      <c r="AM163" s="38" t="str">
        <f aca="false">IF(OR(C163="",G163=""),"",IF(G163&lt;=IF(OR(C163="Soldier Pile &amp; Timber Lagging",C163="Trench Shoring Box",C163="Open Cut (battered)"),SG_Criteria!$B$34,SG_Criteria!$B$33),"No ERSS submission",IF(G163&lt;=SG_Criteria!$B$35,"QP(ST)",IF(G163&lt;=SG_Criteria!$B$36,"QP(ST) + AC","Geotechnical building works: QP(Geo) + AC"))))</f>
        <v/>
      </c>
      <c r="AN163" s="38" t="str">
        <f aca="false">IF(C163="","",IF(LEN(IF(AND(Q163&lt;&gt;"",Q163&lt;SG_Criteria!$B$37),"FAIL: base stability FOS &lt; "&amp;SG_Criteria!$B$37&amp;". ","")&amp;IF(AND(D163="Manhole",G163&gt;SG_Criteria!$B$36),"NOTE: BCA lists sewer manholes (pipe &lt;= 2 m dia) &gt; 6 m as non-GBW: QP(ST) + AC. ","")&amp;IF(AND(C163="Trench Shoring Box",H163="Kallang Formation (marine clay)"),"NOTE: check base heave / ground loss for shoring box in marine clay. ","")&amp;IF(AND(C163="Steel Sheet Pile Cofferdam",N(M163)&lt;G163*0.5),"NOTE: short toe embedment, check. ",""))=0,"OK",IF(AND(Q163&lt;&gt;"",Q163&lt;SG_Criteria!$B$37),"FAIL: base stability FOS &lt; "&amp;SG_Criteria!$B$37&amp;". ","")&amp;IF(AND(D163="Manhole",G163&gt;SG_Criteria!$B$36),"NOTE: BCA lists sewer manholes (pipe &lt;= 2 m dia) &gt; 6 m as non-GBW: QP(ST) + AC. ","")&amp;IF(AND(C163="Trench Shoring Box",H163="Kallang Formation (marine clay)"),"NOTE: check base heave / ground loss for shoring box in marine clay. ","")&amp;IF(AND(C163="Steel Sheet Pile Cofferdam",N(M163)&lt;G163*0.5),"NOTE: short toe embedment, check. ","")))</f>
        <v/>
      </c>
      <c r="AO163" s="9"/>
      <c r="AP163" s="9"/>
      <c r="AQ163" s="9"/>
      <c r="AR163" s="9"/>
      <c r="AS163" s="9"/>
      <c r="AT163" s="31"/>
      <c r="AU163" s="10" t="str">
        <f aca="false">IF(C163="","",IF(AND(V163="Approved",ISERROR(SEARCH("FAIL",AN163))),"Y","N"))</f>
        <v/>
      </c>
      <c r="AV163" s="10" t="str">
        <f aca="false">IF(C163="","",C163&amp;"|"&amp;G163&amp;"|"&amp;E163&amp;"|"&amp;H163&amp;"|"&amp;AU163)</f>
        <v/>
      </c>
    </row>
    <row r="164" customFormat="false" ht="15" hidden="false" customHeight="false" outlineLevel="0" collapsed="false">
      <c r="A164" s="10" t="str">
        <f aca="false">IF(C164="","","ERSS-"&amp;IFERROR(VLOOKUP(C164,Lists!$AK$4:$AL$21,2,0),"??")&amp;"-"&amp;TEXT(E164,"0000")&amp;"x"&amp;TEXT(F164,"0000")&amp;"-D"&amp;TEXT(G164*1000,"0000")&amp;"-"&amp;IFERROR(VLOOKUP(H164,Lists!$Y$4:$Z$21,2,0),"??")&amp;"-"&amp;U164)</f>
        <v/>
      </c>
      <c r="B164" s="10" t="str">
        <f aca="false">IF(C164="","",C164&amp;" for "&amp;D164&amp;", "&amp;E164&amp;" x "&amp;F164&amp;" pit, "&amp;TEXT(G164,"0.0")&amp;" m deep, "&amp;H164)</f>
        <v/>
      </c>
      <c r="C164" s="9"/>
      <c r="D164" s="9"/>
      <c r="E164" s="40"/>
      <c r="F164" s="40"/>
      <c r="G164" s="43"/>
      <c r="H164" s="9"/>
      <c r="I164" s="43"/>
      <c r="J164" s="40"/>
      <c r="K164" s="9"/>
      <c r="L164" s="43"/>
      <c r="M164" s="43"/>
      <c r="N164" s="40"/>
      <c r="O164" s="9"/>
      <c r="P164" s="9"/>
      <c r="Q164" s="41"/>
      <c r="R164" s="9"/>
      <c r="S164" s="40"/>
      <c r="T164" s="9"/>
      <c r="U164" s="9"/>
      <c r="V164" s="9"/>
      <c r="W164" s="9"/>
      <c r="X164" s="9"/>
      <c r="Y164" s="9"/>
      <c r="Z164" s="10" t="str">
        <f aca="false">IF(A164="","",SG_Criteria!$B$6&amp;SG_Criteria!$B$11&amp;"\"&amp;A164&amp;"\")</f>
        <v/>
      </c>
      <c r="AA164" s="10" t="str">
        <f aca="false">IF(A164="","",A164&amp;"_CAD.dwg")</f>
        <v/>
      </c>
      <c r="AB164" s="10" t="str">
        <f aca="false">IF(A164="","",A164&amp;"_DWG.pdf")</f>
        <v/>
      </c>
      <c r="AC164" s="10" t="str">
        <f aca="false">IF(A164="","",IF(Y164="Y",A164&amp;"_STAAD.std","n/a"))</f>
        <v/>
      </c>
      <c r="AD164" s="10" t="str">
        <f aca="false">IF(A164="","",A164&amp;"_CALC.xlsx")</f>
        <v/>
      </c>
      <c r="AE164" s="10" t="str">
        <f aca="false">IF(A164="","",A164&amp;"_CALC.pdf")</f>
        <v/>
      </c>
      <c r="AF164" s="9"/>
      <c r="AG164" s="9"/>
      <c r="AH164" s="41"/>
      <c r="AI164" s="41"/>
      <c r="AJ164" s="41"/>
      <c r="AK164" s="41"/>
      <c r="AL164" s="41"/>
      <c r="AM164" s="38" t="str">
        <f aca="false">IF(OR(C164="",G164=""),"",IF(G164&lt;=IF(OR(C164="Soldier Pile &amp; Timber Lagging",C164="Trench Shoring Box",C164="Open Cut (battered)"),SG_Criteria!$B$34,SG_Criteria!$B$33),"No ERSS submission",IF(G164&lt;=SG_Criteria!$B$35,"QP(ST)",IF(G164&lt;=SG_Criteria!$B$36,"QP(ST) + AC","Geotechnical building works: QP(Geo) + AC"))))</f>
        <v/>
      </c>
      <c r="AN164" s="38" t="str">
        <f aca="false">IF(C164="","",IF(LEN(IF(AND(Q164&lt;&gt;"",Q164&lt;SG_Criteria!$B$37),"FAIL: base stability FOS &lt; "&amp;SG_Criteria!$B$37&amp;". ","")&amp;IF(AND(D164="Manhole",G164&gt;SG_Criteria!$B$36),"NOTE: BCA lists sewer manholes (pipe &lt;= 2 m dia) &gt; 6 m as non-GBW: QP(ST) + AC. ","")&amp;IF(AND(C164="Trench Shoring Box",H164="Kallang Formation (marine clay)"),"NOTE: check base heave / ground loss for shoring box in marine clay. ","")&amp;IF(AND(C164="Steel Sheet Pile Cofferdam",N(M164)&lt;G164*0.5),"NOTE: short toe embedment, check. ",""))=0,"OK",IF(AND(Q164&lt;&gt;"",Q164&lt;SG_Criteria!$B$37),"FAIL: base stability FOS &lt; "&amp;SG_Criteria!$B$37&amp;". ","")&amp;IF(AND(D164="Manhole",G164&gt;SG_Criteria!$B$36),"NOTE: BCA lists sewer manholes (pipe &lt;= 2 m dia) &gt; 6 m as non-GBW: QP(ST) + AC. ","")&amp;IF(AND(C164="Trench Shoring Box",H164="Kallang Formation (marine clay)"),"NOTE: check base heave / ground loss for shoring box in marine clay. ","")&amp;IF(AND(C164="Steel Sheet Pile Cofferdam",N(M164)&lt;G164*0.5),"NOTE: short toe embedment, check. ","")))</f>
        <v/>
      </c>
      <c r="AO164" s="9"/>
      <c r="AP164" s="9"/>
      <c r="AQ164" s="9"/>
      <c r="AR164" s="9"/>
      <c r="AS164" s="9"/>
      <c r="AT164" s="31"/>
      <c r="AU164" s="10" t="str">
        <f aca="false">IF(C164="","",IF(AND(V164="Approved",ISERROR(SEARCH("FAIL",AN164))),"Y","N"))</f>
        <v/>
      </c>
      <c r="AV164" s="10" t="str">
        <f aca="false">IF(C164="","",C164&amp;"|"&amp;G164&amp;"|"&amp;E164&amp;"|"&amp;H164&amp;"|"&amp;AU164)</f>
        <v/>
      </c>
    </row>
    <row r="165" customFormat="false" ht="15" hidden="false" customHeight="false" outlineLevel="0" collapsed="false">
      <c r="A165" s="10" t="str">
        <f aca="false">IF(C165="","","ERSS-"&amp;IFERROR(VLOOKUP(C165,Lists!$AK$4:$AL$21,2,0),"??")&amp;"-"&amp;TEXT(E165,"0000")&amp;"x"&amp;TEXT(F165,"0000")&amp;"-D"&amp;TEXT(G165*1000,"0000")&amp;"-"&amp;IFERROR(VLOOKUP(H165,Lists!$Y$4:$Z$21,2,0),"??")&amp;"-"&amp;U165)</f>
        <v/>
      </c>
      <c r="B165" s="10" t="str">
        <f aca="false">IF(C165="","",C165&amp;" for "&amp;D165&amp;", "&amp;E165&amp;" x "&amp;F165&amp;" pit, "&amp;TEXT(G165,"0.0")&amp;" m deep, "&amp;H165)</f>
        <v/>
      </c>
      <c r="C165" s="9"/>
      <c r="D165" s="9"/>
      <c r="E165" s="40"/>
      <c r="F165" s="40"/>
      <c r="G165" s="43"/>
      <c r="H165" s="9"/>
      <c r="I165" s="43"/>
      <c r="J165" s="40"/>
      <c r="K165" s="9"/>
      <c r="L165" s="43"/>
      <c r="M165" s="43"/>
      <c r="N165" s="40"/>
      <c r="O165" s="9"/>
      <c r="P165" s="9"/>
      <c r="Q165" s="41"/>
      <c r="R165" s="9"/>
      <c r="S165" s="40"/>
      <c r="T165" s="9"/>
      <c r="U165" s="9"/>
      <c r="V165" s="9"/>
      <c r="W165" s="9"/>
      <c r="X165" s="9"/>
      <c r="Y165" s="9"/>
      <c r="Z165" s="10" t="str">
        <f aca="false">IF(A165="","",SG_Criteria!$B$6&amp;SG_Criteria!$B$11&amp;"\"&amp;A165&amp;"\")</f>
        <v/>
      </c>
      <c r="AA165" s="10" t="str">
        <f aca="false">IF(A165="","",A165&amp;"_CAD.dwg")</f>
        <v/>
      </c>
      <c r="AB165" s="10" t="str">
        <f aca="false">IF(A165="","",A165&amp;"_DWG.pdf")</f>
        <v/>
      </c>
      <c r="AC165" s="10" t="str">
        <f aca="false">IF(A165="","",IF(Y165="Y",A165&amp;"_STAAD.std","n/a"))</f>
        <v/>
      </c>
      <c r="AD165" s="10" t="str">
        <f aca="false">IF(A165="","",A165&amp;"_CALC.xlsx")</f>
        <v/>
      </c>
      <c r="AE165" s="10" t="str">
        <f aca="false">IF(A165="","",A165&amp;"_CALC.pdf")</f>
        <v/>
      </c>
      <c r="AF165" s="9"/>
      <c r="AG165" s="9"/>
      <c r="AH165" s="41"/>
      <c r="AI165" s="41"/>
      <c r="AJ165" s="41"/>
      <c r="AK165" s="41"/>
      <c r="AL165" s="41"/>
      <c r="AM165" s="38" t="str">
        <f aca="false">IF(OR(C165="",G165=""),"",IF(G165&lt;=IF(OR(C165="Soldier Pile &amp; Timber Lagging",C165="Trench Shoring Box",C165="Open Cut (battered)"),SG_Criteria!$B$34,SG_Criteria!$B$33),"No ERSS submission",IF(G165&lt;=SG_Criteria!$B$35,"QP(ST)",IF(G165&lt;=SG_Criteria!$B$36,"QP(ST) + AC","Geotechnical building works: QP(Geo) + AC"))))</f>
        <v/>
      </c>
      <c r="AN165" s="38" t="str">
        <f aca="false">IF(C165="","",IF(LEN(IF(AND(Q165&lt;&gt;"",Q165&lt;SG_Criteria!$B$37),"FAIL: base stability FOS &lt; "&amp;SG_Criteria!$B$37&amp;". ","")&amp;IF(AND(D165="Manhole",G165&gt;SG_Criteria!$B$36),"NOTE: BCA lists sewer manholes (pipe &lt;= 2 m dia) &gt; 6 m as non-GBW: QP(ST) + AC. ","")&amp;IF(AND(C165="Trench Shoring Box",H165="Kallang Formation (marine clay)"),"NOTE: check base heave / ground loss for shoring box in marine clay. ","")&amp;IF(AND(C165="Steel Sheet Pile Cofferdam",N(M165)&lt;G165*0.5),"NOTE: short toe embedment, check. ",""))=0,"OK",IF(AND(Q165&lt;&gt;"",Q165&lt;SG_Criteria!$B$37),"FAIL: base stability FOS &lt; "&amp;SG_Criteria!$B$37&amp;". ","")&amp;IF(AND(D165="Manhole",G165&gt;SG_Criteria!$B$36),"NOTE: BCA lists sewer manholes (pipe &lt;= 2 m dia) &gt; 6 m as non-GBW: QP(ST) + AC. ","")&amp;IF(AND(C165="Trench Shoring Box",H165="Kallang Formation (marine clay)"),"NOTE: check base heave / ground loss for shoring box in marine clay. ","")&amp;IF(AND(C165="Steel Sheet Pile Cofferdam",N(M165)&lt;G165*0.5),"NOTE: short toe embedment, check. ","")))</f>
        <v/>
      </c>
      <c r="AO165" s="9"/>
      <c r="AP165" s="9"/>
      <c r="AQ165" s="9"/>
      <c r="AR165" s="9"/>
      <c r="AS165" s="9"/>
      <c r="AT165" s="31"/>
      <c r="AU165" s="10" t="str">
        <f aca="false">IF(C165="","",IF(AND(V165="Approved",ISERROR(SEARCH("FAIL",AN165))),"Y","N"))</f>
        <v/>
      </c>
      <c r="AV165" s="10" t="str">
        <f aca="false">IF(C165="","",C165&amp;"|"&amp;G165&amp;"|"&amp;E165&amp;"|"&amp;H165&amp;"|"&amp;AU165)</f>
        <v/>
      </c>
    </row>
    <row r="166" customFormat="false" ht="15" hidden="false" customHeight="false" outlineLevel="0" collapsed="false">
      <c r="A166" s="10" t="str">
        <f aca="false">IF(C166="","","ERSS-"&amp;IFERROR(VLOOKUP(C166,Lists!$AK$4:$AL$21,2,0),"??")&amp;"-"&amp;TEXT(E166,"0000")&amp;"x"&amp;TEXT(F166,"0000")&amp;"-D"&amp;TEXT(G166*1000,"0000")&amp;"-"&amp;IFERROR(VLOOKUP(H166,Lists!$Y$4:$Z$21,2,0),"??")&amp;"-"&amp;U166)</f>
        <v/>
      </c>
      <c r="B166" s="10" t="str">
        <f aca="false">IF(C166="","",C166&amp;" for "&amp;D166&amp;", "&amp;E166&amp;" x "&amp;F166&amp;" pit, "&amp;TEXT(G166,"0.0")&amp;" m deep, "&amp;H166)</f>
        <v/>
      </c>
      <c r="C166" s="9"/>
      <c r="D166" s="9"/>
      <c r="E166" s="40"/>
      <c r="F166" s="40"/>
      <c r="G166" s="43"/>
      <c r="H166" s="9"/>
      <c r="I166" s="43"/>
      <c r="J166" s="40"/>
      <c r="K166" s="9"/>
      <c r="L166" s="43"/>
      <c r="M166" s="43"/>
      <c r="N166" s="40"/>
      <c r="O166" s="9"/>
      <c r="P166" s="9"/>
      <c r="Q166" s="41"/>
      <c r="R166" s="9"/>
      <c r="S166" s="40"/>
      <c r="T166" s="9"/>
      <c r="U166" s="9"/>
      <c r="V166" s="9"/>
      <c r="W166" s="9"/>
      <c r="X166" s="9"/>
      <c r="Y166" s="9"/>
      <c r="Z166" s="10" t="str">
        <f aca="false">IF(A166="","",SG_Criteria!$B$6&amp;SG_Criteria!$B$11&amp;"\"&amp;A166&amp;"\")</f>
        <v/>
      </c>
      <c r="AA166" s="10" t="str">
        <f aca="false">IF(A166="","",A166&amp;"_CAD.dwg")</f>
        <v/>
      </c>
      <c r="AB166" s="10" t="str">
        <f aca="false">IF(A166="","",A166&amp;"_DWG.pdf")</f>
        <v/>
      </c>
      <c r="AC166" s="10" t="str">
        <f aca="false">IF(A166="","",IF(Y166="Y",A166&amp;"_STAAD.std","n/a"))</f>
        <v/>
      </c>
      <c r="AD166" s="10" t="str">
        <f aca="false">IF(A166="","",A166&amp;"_CALC.xlsx")</f>
        <v/>
      </c>
      <c r="AE166" s="10" t="str">
        <f aca="false">IF(A166="","",A166&amp;"_CALC.pdf")</f>
        <v/>
      </c>
      <c r="AF166" s="9"/>
      <c r="AG166" s="9"/>
      <c r="AH166" s="41"/>
      <c r="AI166" s="41"/>
      <c r="AJ166" s="41"/>
      <c r="AK166" s="41"/>
      <c r="AL166" s="41"/>
      <c r="AM166" s="38" t="str">
        <f aca="false">IF(OR(C166="",G166=""),"",IF(G166&lt;=IF(OR(C166="Soldier Pile &amp; Timber Lagging",C166="Trench Shoring Box",C166="Open Cut (battered)"),SG_Criteria!$B$34,SG_Criteria!$B$33),"No ERSS submission",IF(G166&lt;=SG_Criteria!$B$35,"QP(ST)",IF(G166&lt;=SG_Criteria!$B$36,"QP(ST) + AC","Geotechnical building works: QP(Geo) + AC"))))</f>
        <v/>
      </c>
      <c r="AN166" s="38" t="str">
        <f aca="false">IF(C166="","",IF(LEN(IF(AND(Q166&lt;&gt;"",Q166&lt;SG_Criteria!$B$37),"FAIL: base stability FOS &lt; "&amp;SG_Criteria!$B$37&amp;". ","")&amp;IF(AND(D166="Manhole",G166&gt;SG_Criteria!$B$36),"NOTE: BCA lists sewer manholes (pipe &lt;= 2 m dia) &gt; 6 m as non-GBW: QP(ST) + AC. ","")&amp;IF(AND(C166="Trench Shoring Box",H166="Kallang Formation (marine clay)"),"NOTE: check base heave / ground loss for shoring box in marine clay. ","")&amp;IF(AND(C166="Steel Sheet Pile Cofferdam",N(M166)&lt;G166*0.5),"NOTE: short toe embedment, check. ",""))=0,"OK",IF(AND(Q166&lt;&gt;"",Q166&lt;SG_Criteria!$B$37),"FAIL: base stability FOS &lt; "&amp;SG_Criteria!$B$37&amp;". ","")&amp;IF(AND(D166="Manhole",G166&gt;SG_Criteria!$B$36),"NOTE: BCA lists sewer manholes (pipe &lt;= 2 m dia) &gt; 6 m as non-GBW: QP(ST) + AC. ","")&amp;IF(AND(C166="Trench Shoring Box",H166="Kallang Formation (marine clay)"),"NOTE: check base heave / ground loss for shoring box in marine clay. ","")&amp;IF(AND(C166="Steel Sheet Pile Cofferdam",N(M166)&lt;G166*0.5),"NOTE: short toe embedment, check. ","")))</f>
        <v/>
      </c>
      <c r="AO166" s="9"/>
      <c r="AP166" s="9"/>
      <c r="AQ166" s="9"/>
      <c r="AR166" s="9"/>
      <c r="AS166" s="9"/>
      <c r="AT166" s="31"/>
      <c r="AU166" s="10" t="str">
        <f aca="false">IF(C166="","",IF(AND(V166="Approved",ISERROR(SEARCH("FAIL",AN166))),"Y","N"))</f>
        <v/>
      </c>
      <c r="AV166" s="10" t="str">
        <f aca="false">IF(C166="","",C166&amp;"|"&amp;G166&amp;"|"&amp;E166&amp;"|"&amp;H166&amp;"|"&amp;AU166)</f>
        <v/>
      </c>
    </row>
    <row r="167" customFormat="false" ht="15" hidden="false" customHeight="false" outlineLevel="0" collapsed="false">
      <c r="A167" s="10" t="str">
        <f aca="false">IF(C167="","","ERSS-"&amp;IFERROR(VLOOKUP(C167,Lists!$AK$4:$AL$21,2,0),"??")&amp;"-"&amp;TEXT(E167,"0000")&amp;"x"&amp;TEXT(F167,"0000")&amp;"-D"&amp;TEXT(G167*1000,"0000")&amp;"-"&amp;IFERROR(VLOOKUP(H167,Lists!$Y$4:$Z$21,2,0),"??")&amp;"-"&amp;U167)</f>
        <v/>
      </c>
      <c r="B167" s="10" t="str">
        <f aca="false">IF(C167="","",C167&amp;" for "&amp;D167&amp;", "&amp;E167&amp;" x "&amp;F167&amp;" pit, "&amp;TEXT(G167,"0.0")&amp;" m deep, "&amp;H167)</f>
        <v/>
      </c>
      <c r="C167" s="9"/>
      <c r="D167" s="9"/>
      <c r="E167" s="40"/>
      <c r="F167" s="40"/>
      <c r="G167" s="43"/>
      <c r="H167" s="9"/>
      <c r="I167" s="43"/>
      <c r="J167" s="40"/>
      <c r="K167" s="9"/>
      <c r="L167" s="43"/>
      <c r="M167" s="43"/>
      <c r="N167" s="40"/>
      <c r="O167" s="9"/>
      <c r="P167" s="9"/>
      <c r="Q167" s="41"/>
      <c r="R167" s="9"/>
      <c r="S167" s="40"/>
      <c r="T167" s="9"/>
      <c r="U167" s="9"/>
      <c r="V167" s="9"/>
      <c r="W167" s="9"/>
      <c r="X167" s="9"/>
      <c r="Y167" s="9"/>
      <c r="Z167" s="10" t="str">
        <f aca="false">IF(A167="","",SG_Criteria!$B$6&amp;SG_Criteria!$B$11&amp;"\"&amp;A167&amp;"\")</f>
        <v/>
      </c>
      <c r="AA167" s="10" t="str">
        <f aca="false">IF(A167="","",A167&amp;"_CAD.dwg")</f>
        <v/>
      </c>
      <c r="AB167" s="10" t="str">
        <f aca="false">IF(A167="","",A167&amp;"_DWG.pdf")</f>
        <v/>
      </c>
      <c r="AC167" s="10" t="str">
        <f aca="false">IF(A167="","",IF(Y167="Y",A167&amp;"_STAAD.std","n/a"))</f>
        <v/>
      </c>
      <c r="AD167" s="10" t="str">
        <f aca="false">IF(A167="","",A167&amp;"_CALC.xlsx")</f>
        <v/>
      </c>
      <c r="AE167" s="10" t="str">
        <f aca="false">IF(A167="","",A167&amp;"_CALC.pdf")</f>
        <v/>
      </c>
      <c r="AF167" s="9"/>
      <c r="AG167" s="9"/>
      <c r="AH167" s="41"/>
      <c r="AI167" s="41"/>
      <c r="AJ167" s="41"/>
      <c r="AK167" s="41"/>
      <c r="AL167" s="41"/>
      <c r="AM167" s="38" t="str">
        <f aca="false">IF(OR(C167="",G167=""),"",IF(G167&lt;=IF(OR(C167="Soldier Pile &amp; Timber Lagging",C167="Trench Shoring Box",C167="Open Cut (battered)"),SG_Criteria!$B$34,SG_Criteria!$B$33),"No ERSS submission",IF(G167&lt;=SG_Criteria!$B$35,"QP(ST)",IF(G167&lt;=SG_Criteria!$B$36,"QP(ST) + AC","Geotechnical building works: QP(Geo) + AC"))))</f>
        <v/>
      </c>
      <c r="AN167" s="38" t="str">
        <f aca="false">IF(C167="","",IF(LEN(IF(AND(Q167&lt;&gt;"",Q167&lt;SG_Criteria!$B$37),"FAIL: base stability FOS &lt; "&amp;SG_Criteria!$B$37&amp;". ","")&amp;IF(AND(D167="Manhole",G167&gt;SG_Criteria!$B$36),"NOTE: BCA lists sewer manholes (pipe &lt;= 2 m dia) &gt; 6 m as non-GBW: QP(ST) + AC. ","")&amp;IF(AND(C167="Trench Shoring Box",H167="Kallang Formation (marine clay)"),"NOTE: check base heave / ground loss for shoring box in marine clay. ","")&amp;IF(AND(C167="Steel Sheet Pile Cofferdam",N(M167)&lt;G167*0.5),"NOTE: short toe embedment, check. ",""))=0,"OK",IF(AND(Q167&lt;&gt;"",Q167&lt;SG_Criteria!$B$37),"FAIL: base stability FOS &lt; "&amp;SG_Criteria!$B$37&amp;". ","")&amp;IF(AND(D167="Manhole",G167&gt;SG_Criteria!$B$36),"NOTE: BCA lists sewer manholes (pipe &lt;= 2 m dia) &gt; 6 m as non-GBW: QP(ST) + AC. ","")&amp;IF(AND(C167="Trench Shoring Box",H167="Kallang Formation (marine clay)"),"NOTE: check base heave / ground loss for shoring box in marine clay. ","")&amp;IF(AND(C167="Steel Sheet Pile Cofferdam",N(M167)&lt;G167*0.5),"NOTE: short toe embedment, check. ","")))</f>
        <v/>
      </c>
      <c r="AO167" s="9"/>
      <c r="AP167" s="9"/>
      <c r="AQ167" s="9"/>
      <c r="AR167" s="9"/>
      <c r="AS167" s="9"/>
      <c r="AT167" s="31"/>
      <c r="AU167" s="10" t="str">
        <f aca="false">IF(C167="","",IF(AND(V167="Approved",ISERROR(SEARCH("FAIL",AN167))),"Y","N"))</f>
        <v/>
      </c>
      <c r="AV167" s="10" t="str">
        <f aca="false">IF(C167="","",C167&amp;"|"&amp;G167&amp;"|"&amp;E167&amp;"|"&amp;H167&amp;"|"&amp;AU167)</f>
        <v/>
      </c>
    </row>
    <row r="168" customFormat="false" ht="15" hidden="false" customHeight="false" outlineLevel="0" collapsed="false">
      <c r="A168" s="10" t="str">
        <f aca="false">IF(C168="","","ERSS-"&amp;IFERROR(VLOOKUP(C168,Lists!$AK$4:$AL$21,2,0),"??")&amp;"-"&amp;TEXT(E168,"0000")&amp;"x"&amp;TEXT(F168,"0000")&amp;"-D"&amp;TEXT(G168*1000,"0000")&amp;"-"&amp;IFERROR(VLOOKUP(H168,Lists!$Y$4:$Z$21,2,0),"??")&amp;"-"&amp;U168)</f>
        <v/>
      </c>
      <c r="B168" s="10" t="str">
        <f aca="false">IF(C168="","",C168&amp;" for "&amp;D168&amp;", "&amp;E168&amp;" x "&amp;F168&amp;" pit, "&amp;TEXT(G168,"0.0")&amp;" m deep, "&amp;H168)</f>
        <v/>
      </c>
      <c r="C168" s="9"/>
      <c r="D168" s="9"/>
      <c r="E168" s="40"/>
      <c r="F168" s="40"/>
      <c r="G168" s="43"/>
      <c r="H168" s="9"/>
      <c r="I168" s="43"/>
      <c r="J168" s="40"/>
      <c r="K168" s="9"/>
      <c r="L168" s="43"/>
      <c r="M168" s="43"/>
      <c r="N168" s="40"/>
      <c r="O168" s="9"/>
      <c r="P168" s="9"/>
      <c r="Q168" s="41"/>
      <c r="R168" s="9"/>
      <c r="S168" s="40"/>
      <c r="T168" s="9"/>
      <c r="U168" s="9"/>
      <c r="V168" s="9"/>
      <c r="W168" s="9"/>
      <c r="X168" s="9"/>
      <c r="Y168" s="9"/>
      <c r="Z168" s="10" t="str">
        <f aca="false">IF(A168="","",SG_Criteria!$B$6&amp;SG_Criteria!$B$11&amp;"\"&amp;A168&amp;"\")</f>
        <v/>
      </c>
      <c r="AA168" s="10" t="str">
        <f aca="false">IF(A168="","",A168&amp;"_CAD.dwg")</f>
        <v/>
      </c>
      <c r="AB168" s="10" t="str">
        <f aca="false">IF(A168="","",A168&amp;"_DWG.pdf")</f>
        <v/>
      </c>
      <c r="AC168" s="10" t="str">
        <f aca="false">IF(A168="","",IF(Y168="Y",A168&amp;"_STAAD.std","n/a"))</f>
        <v/>
      </c>
      <c r="AD168" s="10" t="str">
        <f aca="false">IF(A168="","",A168&amp;"_CALC.xlsx")</f>
        <v/>
      </c>
      <c r="AE168" s="10" t="str">
        <f aca="false">IF(A168="","",A168&amp;"_CALC.pdf")</f>
        <v/>
      </c>
      <c r="AF168" s="9"/>
      <c r="AG168" s="9"/>
      <c r="AH168" s="41"/>
      <c r="AI168" s="41"/>
      <c r="AJ168" s="41"/>
      <c r="AK168" s="41"/>
      <c r="AL168" s="41"/>
      <c r="AM168" s="38" t="str">
        <f aca="false">IF(OR(C168="",G168=""),"",IF(G168&lt;=IF(OR(C168="Soldier Pile &amp; Timber Lagging",C168="Trench Shoring Box",C168="Open Cut (battered)"),SG_Criteria!$B$34,SG_Criteria!$B$33),"No ERSS submission",IF(G168&lt;=SG_Criteria!$B$35,"QP(ST)",IF(G168&lt;=SG_Criteria!$B$36,"QP(ST) + AC","Geotechnical building works: QP(Geo) + AC"))))</f>
        <v/>
      </c>
      <c r="AN168" s="38" t="str">
        <f aca="false">IF(C168="","",IF(LEN(IF(AND(Q168&lt;&gt;"",Q168&lt;SG_Criteria!$B$37),"FAIL: base stability FOS &lt; "&amp;SG_Criteria!$B$37&amp;". ","")&amp;IF(AND(D168="Manhole",G168&gt;SG_Criteria!$B$36),"NOTE: BCA lists sewer manholes (pipe &lt;= 2 m dia) &gt; 6 m as non-GBW: QP(ST) + AC. ","")&amp;IF(AND(C168="Trench Shoring Box",H168="Kallang Formation (marine clay)"),"NOTE: check base heave / ground loss for shoring box in marine clay. ","")&amp;IF(AND(C168="Steel Sheet Pile Cofferdam",N(M168)&lt;G168*0.5),"NOTE: short toe embedment, check. ",""))=0,"OK",IF(AND(Q168&lt;&gt;"",Q168&lt;SG_Criteria!$B$37),"FAIL: base stability FOS &lt; "&amp;SG_Criteria!$B$37&amp;". ","")&amp;IF(AND(D168="Manhole",G168&gt;SG_Criteria!$B$36),"NOTE: BCA lists sewer manholes (pipe &lt;= 2 m dia) &gt; 6 m as non-GBW: QP(ST) + AC. ","")&amp;IF(AND(C168="Trench Shoring Box",H168="Kallang Formation (marine clay)"),"NOTE: check base heave / ground loss for shoring box in marine clay. ","")&amp;IF(AND(C168="Steel Sheet Pile Cofferdam",N(M168)&lt;G168*0.5),"NOTE: short toe embedment, check. ","")))</f>
        <v/>
      </c>
      <c r="AO168" s="9"/>
      <c r="AP168" s="9"/>
      <c r="AQ168" s="9"/>
      <c r="AR168" s="9"/>
      <c r="AS168" s="9"/>
      <c r="AT168" s="31"/>
      <c r="AU168" s="10" t="str">
        <f aca="false">IF(C168="","",IF(AND(V168="Approved",ISERROR(SEARCH("FAIL",AN168))),"Y","N"))</f>
        <v/>
      </c>
      <c r="AV168" s="10" t="str">
        <f aca="false">IF(C168="","",C168&amp;"|"&amp;G168&amp;"|"&amp;E168&amp;"|"&amp;H168&amp;"|"&amp;AU168)</f>
        <v/>
      </c>
    </row>
    <row r="169" customFormat="false" ht="15" hidden="false" customHeight="false" outlineLevel="0" collapsed="false">
      <c r="A169" s="10" t="str">
        <f aca="false">IF(C169="","","ERSS-"&amp;IFERROR(VLOOKUP(C169,Lists!$AK$4:$AL$21,2,0),"??")&amp;"-"&amp;TEXT(E169,"0000")&amp;"x"&amp;TEXT(F169,"0000")&amp;"-D"&amp;TEXT(G169*1000,"0000")&amp;"-"&amp;IFERROR(VLOOKUP(H169,Lists!$Y$4:$Z$21,2,0),"??")&amp;"-"&amp;U169)</f>
        <v/>
      </c>
      <c r="B169" s="10" t="str">
        <f aca="false">IF(C169="","",C169&amp;" for "&amp;D169&amp;", "&amp;E169&amp;" x "&amp;F169&amp;" pit, "&amp;TEXT(G169,"0.0")&amp;" m deep, "&amp;H169)</f>
        <v/>
      </c>
      <c r="C169" s="9"/>
      <c r="D169" s="9"/>
      <c r="E169" s="40"/>
      <c r="F169" s="40"/>
      <c r="G169" s="43"/>
      <c r="H169" s="9"/>
      <c r="I169" s="43"/>
      <c r="J169" s="40"/>
      <c r="K169" s="9"/>
      <c r="L169" s="43"/>
      <c r="M169" s="43"/>
      <c r="N169" s="40"/>
      <c r="O169" s="9"/>
      <c r="P169" s="9"/>
      <c r="Q169" s="41"/>
      <c r="R169" s="9"/>
      <c r="S169" s="40"/>
      <c r="T169" s="9"/>
      <c r="U169" s="9"/>
      <c r="V169" s="9"/>
      <c r="W169" s="9"/>
      <c r="X169" s="9"/>
      <c r="Y169" s="9"/>
      <c r="Z169" s="10" t="str">
        <f aca="false">IF(A169="","",SG_Criteria!$B$6&amp;SG_Criteria!$B$11&amp;"\"&amp;A169&amp;"\")</f>
        <v/>
      </c>
      <c r="AA169" s="10" t="str">
        <f aca="false">IF(A169="","",A169&amp;"_CAD.dwg")</f>
        <v/>
      </c>
      <c r="AB169" s="10" t="str">
        <f aca="false">IF(A169="","",A169&amp;"_DWG.pdf")</f>
        <v/>
      </c>
      <c r="AC169" s="10" t="str">
        <f aca="false">IF(A169="","",IF(Y169="Y",A169&amp;"_STAAD.std","n/a"))</f>
        <v/>
      </c>
      <c r="AD169" s="10" t="str">
        <f aca="false">IF(A169="","",A169&amp;"_CALC.xlsx")</f>
        <v/>
      </c>
      <c r="AE169" s="10" t="str">
        <f aca="false">IF(A169="","",A169&amp;"_CALC.pdf")</f>
        <v/>
      </c>
      <c r="AF169" s="9"/>
      <c r="AG169" s="9"/>
      <c r="AH169" s="41"/>
      <c r="AI169" s="41"/>
      <c r="AJ169" s="41"/>
      <c r="AK169" s="41"/>
      <c r="AL169" s="41"/>
      <c r="AM169" s="38" t="str">
        <f aca="false">IF(OR(C169="",G169=""),"",IF(G169&lt;=IF(OR(C169="Soldier Pile &amp; Timber Lagging",C169="Trench Shoring Box",C169="Open Cut (battered)"),SG_Criteria!$B$34,SG_Criteria!$B$33),"No ERSS submission",IF(G169&lt;=SG_Criteria!$B$35,"QP(ST)",IF(G169&lt;=SG_Criteria!$B$36,"QP(ST) + AC","Geotechnical building works: QP(Geo) + AC"))))</f>
        <v/>
      </c>
      <c r="AN169" s="38" t="str">
        <f aca="false">IF(C169="","",IF(LEN(IF(AND(Q169&lt;&gt;"",Q169&lt;SG_Criteria!$B$37),"FAIL: base stability FOS &lt; "&amp;SG_Criteria!$B$37&amp;". ","")&amp;IF(AND(D169="Manhole",G169&gt;SG_Criteria!$B$36),"NOTE: BCA lists sewer manholes (pipe &lt;= 2 m dia) &gt; 6 m as non-GBW: QP(ST) + AC. ","")&amp;IF(AND(C169="Trench Shoring Box",H169="Kallang Formation (marine clay)"),"NOTE: check base heave / ground loss for shoring box in marine clay. ","")&amp;IF(AND(C169="Steel Sheet Pile Cofferdam",N(M169)&lt;G169*0.5),"NOTE: short toe embedment, check. ",""))=0,"OK",IF(AND(Q169&lt;&gt;"",Q169&lt;SG_Criteria!$B$37),"FAIL: base stability FOS &lt; "&amp;SG_Criteria!$B$37&amp;". ","")&amp;IF(AND(D169="Manhole",G169&gt;SG_Criteria!$B$36),"NOTE: BCA lists sewer manholes (pipe &lt;= 2 m dia) &gt; 6 m as non-GBW: QP(ST) + AC. ","")&amp;IF(AND(C169="Trench Shoring Box",H169="Kallang Formation (marine clay)"),"NOTE: check base heave / ground loss for shoring box in marine clay. ","")&amp;IF(AND(C169="Steel Sheet Pile Cofferdam",N(M169)&lt;G169*0.5),"NOTE: short toe embedment, check. ","")))</f>
        <v/>
      </c>
      <c r="AO169" s="9"/>
      <c r="AP169" s="9"/>
      <c r="AQ169" s="9"/>
      <c r="AR169" s="9"/>
      <c r="AS169" s="9"/>
      <c r="AT169" s="31"/>
      <c r="AU169" s="10" t="str">
        <f aca="false">IF(C169="","",IF(AND(V169="Approved",ISERROR(SEARCH("FAIL",AN169))),"Y","N"))</f>
        <v/>
      </c>
      <c r="AV169" s="10" t="str">
        <f aca="false">IF(C169="","",C169&amp;"|"&amp;G169&amp;"|"&amp;E169&amp;"|"&amp;H169&amp;"|"&amp;AU169)</f>
        <v/>
      </c>
    </row>
    <row r="170" customFormat="false" ht="15" hidden="false" customHeight="false" outlineLevel="0" collapsed="false">
      <c r="A170" s="10" t="str">
        <f aca="false">IF(C170="","","ERSS-"&amp;IFERROR(VLOOKUP(C170,Lists!$AK$4:$AL$21,2,0),"??")&amp;"-"&amp;TEXT(E170,"0000")&amp;"x"&amp;TEXT(F170,"0000")&amp;"-D"&amp;TEXT(G170*1000,"0000")&amp;"-"&amp;IFERROR(VLOOKUP(H170,Lists!$Y$4:$Z$21,2,0),"??")&amp;"-"&amp;U170)</f>
        <v/>
      </c>
      <c r="B170" s="10" t="str">
        <f aca="false">IF(C170="","",C170&amp;" for "&amp;D170&amp;", "&amp;E170&amp;" x "&amp;F170&amp;" pit, "&amp;TEXT(G170,"0.0")&amp;" m deep, "&amp;H170)</f>
        <v/>
      </c>
      <c r="C170" s="9"/>
      <c r="D170" s="9"/>
      <c r="E170" s="40"/>
      <c r="F170" s="40"/>
      <c r="G170" s="43"/>
      <c r="H170" s="9"/>
      <c r="I170" s="43"/>
      <c r="J170" s="40"/>
      <c r="K170" s="9"/>
      <c r="L170" s="43"/>
      <c r="M170" s="43"/>
      <c r="N170" s="40"/>
      <c r="O170" s="9"/>
      <c r="P170" s="9"/>
      <c r="Q170" s="41"/>
      <c r="R170" s="9"/>
      <c r="S170" s="40"/>
      <c r="T170" s="9"/>
      <c r="U170" s="9"/>
      <c r="V170" s="9"/>
      <c r="W170" s="9"/>
      <c r="X170" s="9"/>
      <c r="Y170" s="9"/>
      <c r="Z170" s="10" t="str">
        <f aca="false">IF(A170="","",SG_Criteria!$B$6&amp;SG_Criteria!$B$11&amp;"\"&amp;A170&amp;"\")</f>
        <v/>
      </c>
      <c r="AA170" s="10" t="str">
        <f aca="false">IF(A170="","",A170&amp;"_CAD.dwg")</f>
        <v/>
      </c>
      <c r="AB170" s="10" t="str">
        <f aca="false">IF(A170="","",A170&amp;"_DWG.pdf")</f>
        <v/>
      </c>
      <c r="AC170" s="10" t="str">
        <f aca="false">IF(A170="","",IF(Y170="Y",A170&amp;"_STAAD.std","n/a"))</f>
        <v/>
      </c>
      <c r="AD170" s="10" t="str">
        <f aca="false">IF(A170="","",A170&amp;"_CALC.xlsx")</f>
        <v/>
      </c>
      <c r="AE170" s="10" t="str">
        <f aca="false">IF(A170="","",A170&amp;"_CALC.pdf")</f>
        <v/>
      </c>
      <c r="AF170" s="9"/>
      <c r="AG170" s="9"/>
      <c r="AH170" s="41"/>
      <c r="AI170" s="41"/>
      <c r="AJ170" s="41"/>
      <c r="AK170" s="41"/>
      <c r="AL170" s="41"/>
      <c r="AM170" s="38" t="str">
        <f aca="false">IF(OR(C170="",G170=""),"",IF(G170&lt;=IF(OR(C170="Soldier Pile &amp; Timber Lagging",C170="Trench Shoring Box",C170="Open Cut (battered)"),SG_Criteria!$B$34,SG_Criteria!$B$33),"No ERSS submission",IF(G170&lt;=SG_Criteria!$B$35,"QP(ST)",IF(G170&lt;=SG_Criteria!$B$36,"QP(ST) + AC","Geotechnical building works: QP(Geo) + AC"))))</f>
        <v/>
      </c>
      <c r="AN170" s="38" t="str">
        <f aca="false">IF(C170="","",IF(LEN(IF(AND(Q170&lt;&gt;"",Q170&lt;SG_Criteria!$B$37),"FAIL: base stability FOS &lt; "&amp;SG_Criteria!$B$37&amp;". ","")&amp;IF(AND(D170="Manhole",G170&gt;SG_Criteria!$B$36),"NOTE: BCA lists sewer manholes (pipe &lt;= 2 m dia) &gt; 6 m as non-GBW: QP(ST) + AC. ","")&amp;IF(AND(C170="Trench Shoring Box",H170="Kallang Formation (marine clay)"),"NOTE: check base heave / ground loss for shoring box in marine clay. ","")&amp;IF(AND(C170="Steel Sheet Pile Cofferdam",N(M170)&lt;G170*0.5),"NOTE: short toe embedment, check. ",""))=0,"OK",IF(AND(Q170&lt;&gt;"",Q170&lt;SG_Criteria!$B$37),"FAIL: base stability FOS &lt; "&amp;SG_Criteria!$B$37&amp;". ","")&amp;IF(AND(D170="Manhole",G170&gt;SG_Criteria!$B$36),"NOTE: BCA lists sewer manholes (pipe &lt;= 2 m dia) &gt; 6 m as non-GBW: QP(ST) + AC. ","")&amp;IF(AND(C170="Trench Shoring Box",H170="Kallang Formation (marine clay)"),"NOTE: check base heave / ground loss for shoring box in marine clay. ","")&amp;IF(AND(C170="Steel Sheet Pile Cofferdam",N(M170)&lt;G170*0.5),"NOTE: short toe embedment, check. ","")))</f>
        <v/>
      </c>
      <c r="AO170" s="9"/>
      <c r="AP170" s="9"/>
      <c r="AQ170" s="9"/>
      <c r="AR170" s="9"/>
      <c r="AS170" s="9"/>
      <c r="AT170" s="31"/>
      <c r="AU170" s="10" t="str">
        <f aca="false">IF(C170="","",IF(AND(V170="Approved",ISERROR(SEARCH("FAIL",AN170))),"Y","N"))</f>
        <v/>
      </c>
      <c r="AV170" s="10" t="str">
        <f aca="false">IF(C170="","",C170&amp;"|"&amp;G170&amp;"|"&amp;E170&amp;"|"&amp;H170&amp;"|"&amp;AU170)</f>
        <v/>
      </c>
    </row>
    <row r="171" customFormat="false" ht="15" hidden="false" customHeight="false" outlineLevel="0" collapsed="false">
      <c r="A171" s="10" t="str">
        <f aca="false">IF(C171="","","ERSS-"&amp;IFERROR(VLOOKUP(C171,Lists!$AK$4:$AL$21,2,0),"??")&amp;"-"&amp;TEXT(E171,"0000")&amp;"x"&amp;TEXT(F171,"0000")&amp;"-D"&amp;TEXT(G171*1000,"0000")&amp;"-"&amp;IFERROR(VLOOKUP(H171,Lists!$Y$4:$Z$21,2,0),"??")&amp;"-"&amp;U171)</f>
        <v/>
      </c>
      <c r="B171" s="10" t="str">
        <f aca="false">IF(C171="","",C171&amp;" for "&amp;D171&amp;", "&amp;E171&amp;" x "&amp;F171&amp;" pit, "&amp;TEXT(G171,"0.0")&amp;" m deep, "&amp;H171)</f>
        <v/>
      </c>
      <c r="C171" s="9"/>
      <c r="D171" s="9"/>
      <c r="E171" s="40"/>
      <c r="F171" s="40"/>
      <c r="G171" s="43"/>
      <c r="H171" s="9"/>
      <c r="I171" s="43"/>
      <c r="J171" s="40"/>
      <c r="K171" s="9"/>
      <c r="L171" s="43"/>
      <c r="M171" s="43"/>
      <c r="N171" s="40"/>
      <c r="O171" s="9"/>
      <c r="P171" s="9"/>
      <c r="Q171" s="41"/>
      <c r="R171" s="9"/>
      <c r="S171" s="40"/>
      <c r="T171" s="9"/>
      <c r="U171" s="9"/>
      <c r="V171" s="9"/>
      <c r="W171" s="9"/>
      <c r="X171" s="9"/>
      <c r="Y171" s="9"/>
      <c r="Z171" s="10" t="str">
        <f aca="false">IF(A171="","",SG_Criteria!$B$6&amp;SG_Criteria!$B$11&amp;"\"&amp;A171&amp;"\")</f>
        <v/>
      </c>
      <c r="AA171" s="10" t="str">
        <f aca="false">IF(A171="","",A171&amp;"_CAD.dwg")</f>
        <v/>
      </c>
      <c r="AB171" s="10" t="str">
        <f aca="false">IF(A171="","",A171&amp;"_DWG.pdf")</f>
        <v/>
      </c>
      <c r="AC171" s="10" t="str">
        <f aca="false">IF(A171="","",IF(Y171="Y",A171&amp;"_STAAD.std","n/a"))</f>
        <v/>
      </c>
      <c r="AD171" s="10" t="str">
        <f aca="false">IF(A171="","",A171&amp;"_CALC.xlsx")</f>
        <v/>
      </c>
      <c r="AE171" s="10" t="str">
        <f aca="false">IF(A171="","",A171&amp;"_CALC.pdf")</f>
        <v/>
      </c>
      <c r="AF171" s="9"/>
      <c r="AG171" s="9"/>
      <c r="AH171" s="41"/>
      <c r="AI171" s="41"/>
      <c r="AJ171" s="41"/>
      <c r="AK171" s="41"/>
      <c r="AL171" s="41"/>
      <c r="AM171" s="38" t="str">
        <f aca="false">IF(OR(C171="",G171=""),"",IF(G171&lt;=IF(OR(C171="Soldier Pile &amp; Timber Lagging",C171="Trench Shoring Box",C171="Open Cut (battered)"),SG_Criteria!$B$34,SG_Criteria!$B$33),"No ERSS submission",IF(G171&lt;=SG_Criteria!$B$35,"QP(ST)",IF(G171&lt;=SG_Criteria!$B$36,"QP(ST) + AC","Geotechnical building works: QP(Geo) + AC"))))</f>
        <v/>
      </c>
      <c r="AN171" s="38" t="str">
        <f aca="false">IF(C171="","",IF(LEN(IF(AND(Q171&lt;&gt;"",Q171&lt;SG_Criteria!$B$37),"FAIL: base stability FOS &lt; "&amp;SG_Criteria!$B$37&amp;". ","")&amp;IF(AND(D171="Manhole",G171&gt;SG_Criteria!$B$36),"NOTE: BCA lists sewer manholes (pipe &lt;= 2 m dia) &gt; 6 m as non-GBW: QP(ST) + AC. ","")&amp;IF(AND(C171="Trench Shoring Box",H171="Kallang Formation (marine clay)"),"NOTE: check base heave / ground loss for shoring box in marine clay. ","")&amp;IF(AND(C171="Steel Sheet Pile Cofferdam",N(M171)&lt;G171*0.5),"NOTE: short toe embedment, check. ",""))=0,"OK",IF(AND(Q171&lt;&gt;"",Q171&lt;SG_Criteria!$B$37),"FAIL: base stability FOS &lt; "&amp;SG_Criteria!$B$37&amp;". ","")&amp;IF(AND(D171="Manhole",G171&gt;SG_Criteria!$B$36),"NOTE: BCA lists sewer manholes (pipe &lt;= 2 m dia) &gt; 6 m as non-GBW: QP(ST) + AC. ","")&amp;IF(AND(C171="Trench Shoring Box",H171="Kallang Formation (marine clay)"),"NOTE: check base heave / ground loss for shoring box in marine clay. ","")&amp;IF(AND(C171="Steel Sheet Pile Cofferdam",N(M171)&lt;G171*0.5),"NOTE: short toe embedment, check. ","")))</f>
        <v/>
      </c>
      <c r="AO171" s="9"/>
      <c r="AP171" s="9"/>
      <c r="AQ171" s="9"/>
      <c r="AR171" s="9"/>
      <c r="AS171" s="9"/>
      <c r="AT171" s="31"/>
      <c r="AU171" s="10" t="str">
        <f aca="false">IF(C171="","",IF(AND(V171="Approved",ISERROR(SEARCH("FAIL",AN171))),"Y","N"))</f>
        <v/>
      </c>
      <c r="AV171" s="10" t="str">
        <f aca="false">IF(C171="","",C171&amp;"|"&amp;G171&amp;"|"&amp;E171&amp;"|"&amp;H171&amp;"|"&amp;AU171)</f>
        <v/>
      </c>
    </row>
    <row r="172" customFormat="false" ht="15" hidden="false" customHeight="false" outlineLevel="0" collapsed="false">
      <c r="A172" s="10" t="str">
        <f aca="false">IF(C172="","","ERSS-"&amp;IFERROR(VLOOKUP(C172,Lists!$AK$4:$AL$21,2,0),"??")&amp;"-"&amp;TEXT(E172,"0000")&amp;"x"&amp;TEXT(F172,"0000")&amp;"-D"&amp;TEXT(G172*1000,"0000")&amp;"-"&amp;IFERROR(VLOOKUP(H172,Lists!$Y$4:$Z$21,2,0),"??")&amp;"-"&amp;U172)</f>
        <v/>
      </c>
      <c r="B172" s="10" t="str">
        <f aca="false">IF(C172="","",C172&amp;" for "&amp;D172&amp;", "&amp;E172&amp;" x "&amp;F172&amp;" pit, "&amp;TEXT(G172,"0.0")&amp;" m deep, "&amp;H172)</f>
        <v/>
      </c>
      <c r="C172" s="9"/>
      <c r="D172" s="9"/>
      <c r="E172" s="40"/>
      <c r="F172" s="40"/>
      <c r="G172" s="43"/>
      <c r="H172" s="9"/>
      <c r="I172" s="43"/>
      <c r="J172" s="40"/>
      <c r="K172" s="9"/>
      <c r="L172" s="43"/>
      <c r="M172" s="43"/>
      <c r="N172" s="40"/>
      <c r="O172" s="9"/>
      <c r="P172" s="9"/>
      <c r="Q172" s="41"/>
      <c r="R172" s="9"/>
      <c r="S172" s="40"/>
      <c r="T172" s="9"/>
      <c r="U172" s="9"/>
      <c r="V172" s="9"/>
      <c r="W172" s="9"/>
      <c r="X172" s="9"/>
      <c r="Y172" s="9"/>
      <c r="Z172" s="10" t="str">
        <f aca="false">IF(A172="","",SG_Criteria!$B$6&amp;SG_Criteria!$B$11&amp;"\"&amp;A172&amp;"\")</f>
        <v/>
      </c>
      <c r="AA172" s="10" t="str">
        <f aca="false">IF(A172="","",A172&amp;"_CAD.dwg")</f>
        <v/>
      </c>
      <c r="AB172" s="10" t="str">
        <f aca="false">IF(A172="","",A172&amp;"_DWG.pdf")</f>
        <v/>
      </c>
      <c r="AC172" s="10" t="str">
        <f aca="false">IF(A172="","",IF(Y172="Y",A172&amp;"_STAAD.std","n/a"))</f>
        <v/>
      </c>
      <c r="AD172" s="10" t="str">
        <f aca="false">IF(A172="","",A172&amp;"_CALC.xlsx")</f>
        <v/>
      </c>
      <c r="AE172" s="10" t="str">
        <f aca="false">IF(A172="","",A172&amp;"_CALC.pdf")</f>
        <v/>
      </c>
      <c r="AF172" s="9"/>
      <c r="AG172" s="9"/>
      <c r="AH172" s="41"/>
      <c r="AI172" s="41"/>
      <c r="AJ172" s="41"/>
      <c r="AK172" s="41"/>
      <c r="AL172" s="41"/>
      <c r="AM172" s="38" t="str">
        <f aca="false">IF(OR(C172="",G172=""),"",IF(G172&lt;=IF(OR(C172="Soldier Pile &amp; Timber Lagging",C172="Trench Shoring Box",C172="Open Cut (battered)"),SG_Criteria!$B$34,SG_Criteria!$B$33),"No ERSS submission",IF(G172&lt;=SG_Criteria!$B$35,"QP(ST)",IF(G172&lt;=SG_Criteria!$B$36,"QP(ST) + AC","Geotechnical building works: QP(Geo) + AC"))))</f>
        <v/>
      </c>
      <c r="AN172" s="38" t="str">
        <f aca="false">IF(C172="","",IF(LEN(IF(AND(Q172&lt;&gt;"",Q172&lt;SG_Criteria!$B$37),"FAIL: base stability FOS &lt; "&amp;SG_Criteria!$B$37&amp;". ","")&amp;IF(AND(D172="Manhole",G172&gt;SG_Criteria!$B$36),"NOTE: BCA lists sewer manholes (pipe &lt;= 2 m dia) &gt; 6 m as non-GBW: QP(ST) + AC. ","")&amp;IF(AND(C172="Trench Shoring Box",H172="Kallang Formation (marine clay)"),"NOTE: check base heave / ground loss for shoring box in marine clay. ","")&amp;IF(AND(C172="Steel Sheet Pile Cofferdam",N(M172)&lt;G172*0.5),"NOTE: short toe embedment, check. ",""))=0,"OK",IF(AND(Q172&lt;&gt;"",Q172&lt;SG_Criteria!$B$37),"FAIL: base stability FOS &lt; "&amp;SG_Criteria!$B$37&amp;". ","")&amp;IF(AND(D172="Manhole",G172&gt;SG_Criteria!$B$36),"NOTE: BCA lists sewer manholes (pipe &lt;= 2 m dia) &gt; 6 m as non-GBW: QP(ST) + AC. ","")&amp;IF(AND(C172="Trench Shoring Box",H172="Kallang Formation (marine clay)"),"NOTE: check base heave / ground loss for shoring box in marine clay. ","")&amp;IF(AND(C172="Steel Sheet Pile Cofferdam",N(M172)&lt;G172*0.5),"NOTE: short toe embedment, check. ","")))</f>
        <v/>
      </c>
      <c r="AO172" s="9"/>
      <c r="AP172" s="9"/>
      <c r="AQ172" s="9"/>
      <c r="AR172" s="9"/>
      <c r="AS172" s="9"/>
      <c r="AT172" s="31"/>
      <c r="AU172" s="10" t="str">
        <f aca="false">IF(C172="","",IF(AND(V172="Approved",ISERROR(SEARCH("FAIL",AN172))),"Y","N"))</f>
        <v/>
      </c>
      <c r="AV172" s="10" t="str">
        <f aca="false">IF(C172="","",C172&amp;"|"&amp;G172&amp;"|"&amp;E172&amp;"|"&amp;H172&amp;"|"&amp;AU172)</f>
        <v/>
      </c>
    </row>
    <row r="173" customFormat="false" ht="15" hidden="false" customHeight="false" outlineLevel="0" collapsed="false">
      <c r="A173" s="10" t="str">
        <f aca="false">IF(C173="","","ERSS-"&amp;IFERROR(VLOOKUP(C173,Lists!$AK$4:$AL$21,2,0),"??")&amp;"-"&amp;TEXT(E173,"0000")&amp;"x"&amp;TEXT(F173,"0000")&amp;"-D"&amp;TEXT(G173*1000,"0000")&amp;"-"&amp;IFERROR(VLOOKUP(H173,Lists!$Y$4:$Z$21,2,0),"??")&amp;"-"&amp;U173)</f>
        <v/>
      </c>
      <c r="B173" s="10" t="str">
        <f aca="false">IF(C173="","",C173&amp;" for "&amp;D173&amp;", "&amp;E173&amp;" x "&amp;F173&amp;" pit, "&amp;TEXT(G173,"0.0")&amp;" m deep, "&amp;H173)</f>
        <v/>
      </c>
      <c r="C173" s="9"/>
      <c r="D173" s="9"/>
      <c r="E173" s="40"/>
      <c r="F173" s="40"/>
      <c r="G173" s="43"/>
      <c r="H173" s="9"/>
      <c r="I173" s="43"/>
      <c r="J173" s="40"/>
      <c r="K173" s="9"/>
      <c r="L173" s="43"/>
      <c r="M173" s="43"/>
      <c r="N173" s="40"/>
      <c r="O173" s="9"/>
      <c r="P173" s="9"/>
      <c r="Q173" s="41"/>
      <c r="R173" s="9"/>
      <c r="S173" s="40"/>
      <c r="T173" s="9"/>
      <c r="U173" s="9"/>
      <c r="V173" s="9"/>
      <c r="W173" s="9"/>
      <c r="X173" s="9"/>
      <c r="Y173" s="9"/>
      <c r="Z173" s="10" t="str">
        <f aca="false">IF(A173="","",SG_Criteria!$B$6&amp;SG_Criteria!$B$11&amp;"\"&amp;A173&amp;"\")</f>
        <v/>
      </c>
      <c r="AA173" s="10" t="str">
        <f aca="false">IF(A173="","",A173&amp;"_CAD.dwg")</f>
        <v/>
      </c>
      <c r="AB173" s="10" t="str">
        <f aca="false">IF(A173="","",A173&amp;"_DWG.pdf")</f>
        <v/>
      </c>
      <c r="AC173" s="10" t="str">
        <f aca="false">IF(A173="","",IF(Y173="Y",A173&amp;"_STAAD.std","n/a"))</f>
        <v/>
      </c>
      <c r="AD173" s="10" t="str">
        <f aca="false">IF(A173="","",A173&amp;"_CALC.xlsx")</f>
        <v/>
      </c>
      <c r="AE173" s="10" t="str">
        <f aca="false">IF(A173="","",A173&amp;"_CALC.pdf")</f>
        <v/>
      </c>
      <c r="AF173" s="9"/>
      <c r="AG173" s="9"/>
      <c r="AH173" s="41"/>
      <c r="AI173" s="41"/>
      <c r="AJ173" s="41"/>
      <c r="AK173" s="41"/>
      <c r="AL173" s="41"/>
      <c r="AM173" s="38" t="str">
        <f aca="false">IF(OR(C173="",G173=""),"",IF(G173&lt;=IF(OR(C173="Soldier Pile &amp; Timber Lagging",C173="Trench Shoring Box",C173="Open Cut (battered)"),SG_Criteria!$B$34,SG_Criteria!$B$33),"No ERSS submission",IF(G173&lt;=SG_Criteria!$B$35,"QP(ST)",IF(G173&lt;=SG_Criteria!$B$36,"QP(ST) + AC","Geotechnical building works: QP(Geo) + AC"))))</f>
        <v/>
      </c>
      <c r="AN173" s="38" t="str">
        <f aca="false">IF(C173="","",IF(LEN(IF(AND(Q173&lt;&gt;"",Q173&lt;SG_Criteria!$B$37),"FAIL: base stability FOS &lt; "&amp;SG_Criteria!$B$37&amp;". ","")&amp;IF(AND(D173="Manhole",G173&gt;SG_Criteria!$B$36),"NOTE: BCA lists sewer manholes (pipe &lt;= 2 m dia) &gt; 6 m as non-GBW: QP(ST) + AC. ","")&amp;IF(AND(C173="Trench Shoring Box",H173="Kallang Formation (marine clay)"),"NOTE: check base heave / ground loss for shoring box in marine clay. ","")&amp;IF(AND(C173="Steel Sheet Pile Cofferdam",N(M173)&lt;G173*0.5),"NOTE: short toe embedment, check. ",""))=0,"OK",IF(AND(Q173&lt;&gt;"",Q173&lt;SG_Criteria!$B$37),"FAIL: base stability FOS &lt; "&amp;SG_Criteria!$B$37&amp;". ","")&amp;IF(AND(D173="Manhole",G173&gt;SG_Criteria!$B$36),"NOTE: BCA lists sewer manholes (pipe &lt;= 2 m dia) &gt; 6 m as non-GBW: QP(ST) + AC. ","")&amp;IF(AND(C173="Trench Shoring Box",H173="Kallang Formation (marine clay)"),"NOTE: check base heave / ground loss for shoring box in marine clay. ","")&amp;IF(AND(C173="Steel Sheet Pile Cofferdam",N(M173)&lt;G173*0.5),"NOTE: short toe embedment, check. ","")))</f>
        <v/>
      </c>
      <c r="AO173" s="9"/>
      <c r="AP173" s="9"/>
      <c r="AQ173" s="9"/>
      <c r="AR173" s="9"/>
      <c r="AS173" s="9"/>
      <c r="AT173" s="31"/>
      <c r="AU173" s="10" t="str">
        <f aca="false">IF(C173="","",IF(AND(V173="Approved",ISERROR(SEARCH("FAIL",AN173))),"Y","N"))</f>
        <v/>
      </c>
      <c r="AV173" s="10" t="str">
        <f aca="false">IF(C173="","",C173&amp;"|"&amp;G173&amp;"|"&amp;E173&amp;"|"&amp;H173&amp;"|"&amp;AU173)</f>
        <v/>
      </c>
    </row>
    <row r="174" customFormat="false" ht="15" hidden="false" customHeight="false" outlineLevel="0" collapsed="false">
      <c r="A174" s="10" t="str">
        <f aca="false">IF(C174="","","ERSS-"&amp;IFERROR(VLOOKUP(C174,Lists!$AK$4:$AL$21,2,0),"??")&amp;"-"&amp;TEXT(E174,"0000")&amp;"x"&amp;TEXT(F174,"0000")&amp;"-D"&amp;TEXT(G174*1000,"0000")&amp;"-"&amp;IFERROR(VLOOKUP(H174,Lists!$Y$4:$Z$21,2,0),"??")&amp;"-"&amp;U174)</f>
        <v/>
      </c>
      <c r="B174" s="10" t="str">
        <f aca="false">IF(C174="","",C174&amp;" for "&amp;D174&amp;", "&amp;E174&amp;" x "&amp;F174&amp;" pit, "&amp;TEXT(G174,"0.0")&amp;" m deep, "&amp;H174)</f>
        <v/>
      </c>
      <c r="C174" s="9"/>
      <c r="D174" s="9"/>
      <c r="E174" s="40"/>
      <c r="F174" s="40"/>
      <c r="G174" s="43"/>
      <c r="H174" s="9"/>
      <c r="I174" s="43"/>
      <c r="J174" s="40"/>
      <c r="K174" s="9"/>
      <c r="L174" s="43"/>
      <c r="M174" s="43"/>
      <c r="N174" s="40"/>
      <c r="O174" s="9"/>
      <c r="P174" s="9"/>
      <c r="Q174" s="41"/>
      <c r="R174" s="9"/>
      <c r="S174" s="40"/>
      <c r="T174" s="9"/>
      <c r="U174" s="9"/>
      <c r="V174" s="9"/>
      <c r="W174" s="9"/>
      <c r="X174" s="9"/>
      <c r="Y174" s="9"/>
      <c r="Z174" s="10" t="str">
        <f aca="false">IF(A174="","",SG_Criteria!$B$6&amp;SG_Criteria!$B$11&amp;"\"&amp;A174&amp;"\")</f>
        <v/>
      </c>
      <c r="AA174" s="10" t="str">
        <f aca="false">IF(A174="","",A174&amp;"_CAD.dwg")</f>
        <v/>
      </c>
      <c r="AB174" s="10" t="str">
        <f aca="false">IF(A174="","",A174&amp;"_DWG.pdf")</f>
        <v/>
      </c>
      <c r="AC174" s="10" t="str">
        <f aca="false">IF(A174="","",IF(Y174="Y",A174&amp;"_STAAD.std","n/a"))</f>
        <v/>
      </c>
      <c r="AD174" s="10" t="str">
        <f aca="false">IF(A174="","",A174&amp;"_CALC.xlsx")</f>
        <v/>
      </c>
      <c r="AE174" s="10" t="str">
        <f aca="false">IF(A174="","",A174&amp;"_CALC.pdf")</f>
        <v/>
      </c>
      <c r="AF174" s="9"/>
      <c r="AG174" s="9"/>
      <c r="AH174" s="41"/>
      <c r="AI174" s="41"/>
      <c r="AJ174" s="41"/>
      <c r="AK174" s="41"/>
      <c r="AL174" s="41"/>
      <c r="AM174" s="38" t="str">
        <f aca="false">IF(OR(C174="",G174=""),"",IF(G174&lt;=IF(OR(C174="Soldier Pile &amp; Timber Lagging",C174="Trench Shoring Box",C174="Open Cut (battered)"),SG_Criteria!$B$34,SG_Criteria!$B$33),"No ERSS submission",IF(G174&lt;=SG_Criteria!$B$35,"QP(ST)",IF(G174&lt;=SG_Criteria!$B$36,"QP(ST) + AC","Geotechnical building works: QP(Geo) + AC"))))</f>
        <v/>
      </c>
      <c r="AN174" s="38" t="str">
        <f aca="false">IF(C174="","",IF(LEN(IF(AND(Q174&lt;&gt;"",Q174&lt;SG_Criteria!$B$37),"FAIL: base stability FOS &lt; "&amp;SG_Criteria!$B$37&amp;". ","")&amp;IF(AND(D174="Manhole",G174&gt;SG_Criteria!$B$36),"NOTE: BCA lists sewer manholes (pipe &lt;= 2 m dia) &gt; 6 m as non-GBW: QP(ST) + AC. ","")&amp;IF(AND(C174="Trench Shoring Box",H174="Kallang Formation (marine clay)"),"NOTE: check base heave / ground loss for shoring box in marine clay. ","")&amp;IF(AND(C174="Steel Sheet Pile Cofferdam",N(M174)&lt;G174*0.5),"NOTE: short toe embedment, check. ",""))=0,"OK",IF(AND(Q174&lt;&gt;"",Q174&lt;SG_Criteria!$B$37),"FAIL: base stability FOS &lt; "&amp;SG_Criteria!$B$37&amp;". ","")&amp;IF(AND(D174="Manhole",G174&gt;SG_Criteria!$B$36),"NOTE: BCA lists sewer manholes (pipe &lt;= 2 m dia) &gt; 6 m as non-GBW: QP(ST) + AC. ","")&amp;IF(AND(C174="Trench Shoring Box",H174="Kallang Formation (marine clay)"),"NOTE: check base heave / ground loss for shoring box in marine clay. ","")&amp;IF(AND(C174="Steel Sheet Pile Cofferdam",N(M174)&lt;G174*0.5),"NOTE: short toe embedment, check. ","")))</f>
        <v/>
      </c>
      <c r="AO174" s="9"/>
      <c r="AP174" s="9"/>
      <c r="AQ174" s="9"/>
      <c r="AR174" s="9"/>
      <c r="AS174" s="9"/>
      <c r="AT174" s="31"/>
      <c r="AU174" s="10" t="str">
        <f aca="false">IF(C174="","",IF(AND(V174="Approved",ISERROR(SEARCH("FAIL",AN174))),"Y","N"))</f>
        <v/>
      </c>
      <c r="AV174" s="10" t="str">
        <f aca="false">IF(C174="","",C174&amp;"|"&amp;G174&amp;"|"&amp;E174&amp;"|"&amp;H174&amp;"|"&amp;AU174)</f>
        <v/>
      </c>
    </row>
    <row r="175" customFormat="false" ht="15" hidden="false" customHeight="false" outlineLevel="0" collapsed="false">
      <c r="A175" s="10" t="str">
        <f aca="false">IF(C175="","","ERSS-"&amp;IFERROR(VLOOKUP(C175,Lists!$AK$4:$AL$21,2,0),"??")&amp;"-"&amp;TEXT(E175,"0000")&amp;"x"&amp;TEXT(F175,"0000")&amp;"-D"&amp;TEXT(G175*1000,"0000")&amp;"-"&amp;IFERROR(VLOOKUP(H175,Lists!$Y$4:$Z$21,2,0),"??")&amp;"-"&amp;U175)</f>
        <v/>
      </c>
      <c r="B175" s="10" t="str">
        <f aca="false">IF(C175="","",C175&amp;" for "&amp;D175&amp;", "&amp;E175&amp;" x "&amp;F175&amp;" pit, "&amp;TEXT(G175,"0.0")&amp;" m deep, "&amp;H175)</f>
        <v/>
      </c>
      <c r="C175" s="9"/>
      <c r="D175" s="9"/>
      <c r="E175" s="40"/>
      <c r="F175" s="40"/>
      <c r="G175" s="43"/>
      <c r="H175" s="9"/>
      <c r="I175" s="43"/>
      <c r="J175" s="40"/>
      <c r="K175" s="9"/>
      <c r="L175" s="43"/>
      <c r="M175" s="43"/>
      <c r="N175" s="40"/>
      <c r="O175" s="9"/>
      <c r="P175" s="9"/>
      <c r="Q175" s="41"/>
      <c r="R175" s="9"/>
      <c r="S175" s="40"/>
      <c r="T175" s="9"/>
      <c r="U175" s="9"/>
      <c r="V175" s="9"/>
      <c r="W175" s="9"/>
      <c r="X175" s="9"/>
      <c r="Y175" s="9"/>
      <c r="Z175" s="10" t="str">
        <f aca="false">IF(A175="","",SG_Criteria!$B$6&amp;SG_Criteria!$B$11&amp;"\"&amp;A175&amp;"\")</f>
        <v/>
      </c>
      <c r="AA175" s="10" t="str">
        <f aca="false">IF(A175="","",A175&amp;"_CAD.dwg")</f>
        <v/>
      </c>
      <c r="AB175" s="10" t="str">
        <f aca="false">IF(A175="","",A175&amp;"_DWG.pdf")</f>
        <v/>
      </c>
      <c r="AC175" s="10" t="str">
        <f aca="false">IF(A175="","",IF(Y175="Y",A175&amp;"_STAAD.std","n/a"))</f>
        <v/>
      </c>
      <c r="AD175" s="10" t="str">
        <f aca="false">IF(A175="","",A175&amp;"_CALC.xlsx")</f>
        <v/>
      </c>
      <c r="AE175" s="10" t="str">
        <f aca="false">IF(A175="","",A175&amp;"_CALC.pdf")</f>
        <v/>
      </c>
      <c r="AF175" s="9"/>
      <c r="AG175" s="9"/>
      <c r="AH175" s="41"/>
      <c r="AI175" s="41"/>
      <c r="AJ175" s="41"/>
      <c r="AK175" s="41"/>
      <c r="AL175" s="41"/>
      <c r="AM175" s="38" t="str">
        <f aca="false">IF(OR(C175="",G175=""),"",IF(G175&lt;=IF(OR(C175="Soldier Pile &amp; Timber Lagging",C175="Trench Shoring Box",C175="Open Cut (battered)"),SG_Criteria!$B$34,SG_Criteria!$B$33),"No ERSS submission",IF(G175&lt;=SG_Criteria!$B$35,"QP(ST)",IF(G175&lt;=SG_Criteria!$B$36,"QP(ST) + AC","Geotechnical building works: QP(Geo) + AC"))))</f>
        <v/>
      </c>
      <c r="AN175" s="38" t="str">
        <f aca="false">IF(C175="","",IF(LEN(IF(AND(Q175&lt;&gt;"",Q175&lt;SG_Criteria!$B$37),"FAIL: base stability FOS &lt; "&amp;SG_Criteria!$B$37&amp;". ","")&amp;IF(AND(D175="Manhole",G175&gt;SG_Criteria!$B$36),"NOTE: BCA lists sewer manholes (pipe &lt;= 2 m dia) &gt; 6 m as non-GBW: QP(ST) + AC. ","")&amp;IF(AND(C175="Trench Shoring Box",H175="Kallang Formation (marine clay)"),"NOTE: check base heave / ground loss for shoring box in marine clay. ","")&amp;IF(AND(C175="Steel Sheet Pile Cofferdam",N(M175)&lt;G175*0.5),"NOTE: short toe embedment, check. ",""))=0,"OK",IF(AND(Q175&lt;&gt;"",Q175&lt;SG_Criteria!$B$37),"FAIL: base stability FOS &lt; "&amp;SG_Criteria!$B$37&amp;". ","")&amp;IF(AND(D175="Manhole",G175&gt;SG_Criteria!$B$36),"NOTE: BCA lists sewer manholes (pipe &lt;= 2 m dia) &gt; 6 m as non-GBW: QP(ST) + AC. ","")&amp;IF(AND(C175="Trench Shoring Box",H175="Kallang Formation (marine clay)"),"NOTE: check base heave / ground loss for shoring box in marine clay. ","")&amp;IF(AND(C175="Steel Sheet Pile Cofferdam",N(M175)&lt;G175*0.5),"NOTE: short toe embedment, check. ","")))</f>
        <v/>
      </c>
      <c r="AO175" s="9"/>
      <c r="AP175" s="9"/>
      <c r="AQ175" s="9"/>
      <c r="AR175" s="9"/>
      <c r="AS175" s="9"/>
      <c r="AT175" s="31"/>
      <c r="AU175" s="10" t="str">
        <f aca="false">IF(C175="","",IF(AND(V175="Approved",ISERROR(SEARCH("FAIL",AN175))),"Y","N"))</f>
        <v/>
      </c>
      <c r="AV175" s="10" t="str">
        <f aca="false">IF(C175="","",C175&amp;"|"&amp;G175&amp;"|"&amp;E175&amp;"|"&amp;H175&amp;"|"&amp;AU175)</f>
        <v/>
      </c>
    </row>
    <row r="176" customFormat="false" ht="15" hidden="false" customHeight="false" outlineLevel="0" collapsed="false">
      <c r="A176" s="10" t="str">
        <f aca="false">IF(C176="","","ERSS-"&amp;IFERROR(VLOOKUP(C176,Lists!$AK$4:$AL$21,2,0),"??")&amp;"-"&amp;TEXT(E176,"0000")&amp;"x"&amp;TEXT(F176,"0000")&amp;"-D"&amp;TEXT(G176*1000,"0000")&amp;"-"&amp;IFERROR(VLOOKUP(H176,Lists!$Y$4:$Z$21,2,0),"??")&amp;"-"&amp;U176)</f>
        <v/>
      </c>
      <c r="B176" s="10" t="str">
        <f aca="false">IF(C176="","",C176&amp;" for "&amp;D176&amp;", "&amp;E176&amp;" x "&amp;F176&amp;" pit, "&amp;TEXT(G176,"0.0")&amp;" m deep, "&amp;H176)</f>
        <v/>
      </c>
      <c r="C176" s="9"/>
      <c r="D176" s="9"/>
      <c r="E176" s="40"/>
      <c r="F176" s="40"/>
      <c r="G176" s="43"/>
      <c r="H176" s="9"/>
      <c r="I176" s="43"/>
      <c r="J176" s="40"/>
      <c r="K176" s="9"/>
      <c r="L176" s="43"/>
      <c r="M176" s="43"/>
      <c r="N176" s="40"/>
      <c r="O176" s="9"/>
      <c r="P176" s="9"/>
      <c r="Q176" s="41"/>
      <c r="R176" s="9"/>
      <c r="S176" s="40"/>
      <c r="T176" s="9"/>
      <c r="U176" s="9"/>
      <c r="V176" s="9"/>
      <c r="W176" s="9"/>
      <c r="X176" s="9"/>
      <c r="Y176" s="9"/>
      <c r="Z176" s="10" t="str">
        <f aca="false">IF(A176="","",SG_Criteria!$B$6&amp;SG_Criteria!$B$11&amp;"\"&amp;A176&amp;"\")</f>
        <v/>
      </c>
      <c r="AA176" s="10" t="str">
        <f aca="false">IF(A176="","",A176&amp;"_CAD.dwg")</f>
        <v/>
      </c>
      <c r="AB176" s="10" t="str">
        <f aca="false">IF(A176="","",A176&amp;"_DWG.pdf")</f>
        <v/>
      </c>
      <c r="AC176" s="10" t="str">
        <f aca="false">IF(A176="","",IF(Y176="Y",A176&amp;"_STAAD.std","n/a"))</f>
        <v/>
      </c>
      <c r="AD176" s="10" t="str">
        <f aca="false">IF(A176="","",A176&amp;"_CALC.xlsx")</f>
        <v/>
      </c>
      <c r="AE176" s="10" t="str">
        <f aca="false">IF(A176="","",A176&amp;"_CALC.pdf")</f>
        <v/>
      </c>
      <c r="AF176" s="9"/>
      <c r="AG176" s="9"/>
      <c r="AH176" s="41"/>
      <c r="AI176" s="41"/>
      <c r="AJ176" s="41"/>
      <c r="AK176" s="41"/>
      <c r="AL176" s="41"/>
      <c r="AM176" s="38" t="str">
        <f aca="false">IF(OR(C176="",G176=""),"",IF(G176&lt;=IF(OR(C176="Soldier Pile &amp; Timber Lagging",C176="Trench Shoring Box",C176="Open Cut (battered)"),SG_Criteria!$B$34,SG_Criteria!$B$33),"No ERSS submission",IF(G176&lt;=SG_Criteria!$B$35,"QP(ST)",IF(G176&lt;=SG_Criteria!$B$36,"QP(ST) + AC","Geotechnical building works: QP(Geo) + AC"))))</f>
        <v/>
      </c>
      <c r="AN176" s="38" t="str">
        <f aca="false">IF(C176="","",IF(LEN(IF(AND(Q176&lt;&gt;"",Q176&lt;SG_Criteria!$B$37),"FAIL: base stability FOS &lt; "&amp;SG_Criteria!$B$37&amp;". ","")&amp;IF(AND(D176="Manhole",G176&gt;SG_Criteria!$B$36),"NOTE: BCA lists sewer manholes (pipe &lt;= 2 m dia) &gt; 6 m as non-GBW: QP(ST) + AC. ","")&amp;IF(AND(C176="Trench Shoring Box",H176="Kallang Formation (marine clay)"),"NOTE: check base heave / ground loss for shoring box in marine clay. ","")&amp;IF(AND(C176="Steel Sheet Pile Cofferdam",N(M176)&lt;G176*0.5),"NOTE: short toe embedment, check. ",""))=0,"OK",IF(AND(Q176&lt;&gt;"",Q176&lt;SG_Criteria!$B$37),"FAIL: base stability FOS &lt; "&amp;SG_Criteria!$B$37&amp;". ","")&amp;IF(AND(D176="Manhole",G176&gt;SG_Criteria!$B$36),"NOTE: BCA lists sewer manholes (pipe &lt;= 2 m dia) &gt; 6 m as non-GBW: QP(ST) + AC. ","")&amp;IF(AND(C176="Trench Shoring Box",H176="Kallang Formation (marine clay)"),"NOTE: check base heave / ground loss for shoring box in marine clay. ","")&amp;IF(AND(C176="Steel Sheet Pile Cofferdam",N(M176)&lt;G176*0.5),"NOTE: short toe embedment, check. ","")))</f>
        <v/>
      </c>
      <c r="AO176" s="9"/>
      <c r="AP176" s="9"/>
      <c r="AQ176" s="9"/>
      <c r="AR176" s="9"/>
      <c r="AS176" s="9"/>
      <c r="AT176" s="31"/>
      <c r="AU176" s="10" t="str">
        <f aca="false">IF(C176="","",IF(AND(V176="Approved",ISERROR(SEARCH("FAIL",AN176))),"Y","N"))</f>
        <v/>
      </c>
      <c r="AV176" s="10" t="str">
        <f aca="false">IF(C176="","",C176&amp;"|"&amp;G176&amp;"|"&amp;E176&amp;"|"&amp;H176&amp;"|"&amp;AU176)</f>
        <v/>
      </c>
    </row>
    <row r="177" customFormat="false" ht="15" hidden="false" customHeight="false" outlineLevel="0" collapsed="false">
      <c r="A177" s="10" t="str">
        <f aca="false">IF(C177="","","ERSS-"&amp;IFERROR(VLOOKUP(C177,Lists!$AK$4:$AL$21,2,0),"??")&amp;"-"&amp;TEXT(E177,"0000")&amp;"x"&amp;TEXT(F177,"0000")&amp;"-D"&amp;TEXT(G177*1000,"0000")&amp;"-"&amp;IFERROR(VLOOKUP(H177,Lists!$Y$4:$Z$21,2,0),"??")&amp;"-"&amp;U177)</f>
        <v/>
      </c>
      <c r="B177" s="10" t="str">
        <f aca="false">IF(C177="","",C177&amp;" for "&amp;D177&amp;", "&amp;E177&amp;" x "&amp;F177&amp;" pit, "&amp;TEXT(G177,"0.0")&amp;" m deep, "&amp;H177)</f>
        <v/>
      </c>
      <c r="C177" s="9"/>
      <c r="D177" s="9"/>
      <c r="E177" s="40"/>
      <c r="F177" s="40"/>
      <c r="G177" s="43"/>
      <c r="H177" s="9"/>
      <c r="I177" s="43"/>
      <c r="J177" s="40"/>
      <c r="K177" s="9"/>
      <c r="L177" s="43"/>
      <c r="M177" s="43"/>
      <c r="N177" s="40"/>
      <c r="O177" s="9"/>
      <c r="P177" s="9"/>
      <c r="Q177" s="41"/>
      <c r="R177" s="9"/>
      <c r="S177" s="40"/>
      <c r="T177" s="9"/>
      <c r="U177" s="9"/>
      <c r="V177" s="9"/>
      <c r="W177" s="9"/>
      <c r="X177" s="9"/>
      <c r="Y177" s="9"/>
      <c r="Z177" s="10" t="str">
        <f aca="false">IF(A177="","",SG_Criteria!$B$6&amp;SG_Criteria!$B$11&amp;"\"&amp;A177&amp;"\")</f>
        <v/>
      </c>
      <c r="AA177" s="10" t="str">
        <f aca="false">IF(A177="","",A177&amp;"_CAD.dwg")</f>
        <v/>
      </c>
      <c r="AB177" s="10" t="str">
        <f aca="false">IF(A177="","",A177&amp;"_DWG.pdf")</f>
        <v/>
      </c>
      <c r="AC177" s="10" t="str">
        <f aca="false">IF(A177="","",IF(Y177="Y",A177&amp;"_STAAD.std","n/a"))</f>
        <v/>
      </c>
      <c r="AD177" s="10" t="str">
        <f aca="false">IF(A177="","",A177&amp;"_CALC.xlsx")</f>
        <v/>
      </c>
      <c r="AE177" s="10" t="str">
        <f aca="false">IF(A177="","",A177&amp;"_CALC.pdf")</f>
        <v/>
      </c>
      <c r="AF177" s="9"/>
      <c r="AG177" s="9"/>
      <c r="AH177" s="41"/>
      <c r="AI177" s="41"/>
      <c r="AJ177" s="41"/>
      <c r="AK177" s="41"/>
      <c r="AL177" s="41"/>
      <c r="AM177" s="38" t="str">
        <f aca="false">IF(OR(C177="",G177=""),"",IF(G177&lt;=IF(OR(C177="Soldier Pile &amp; Timber Lagging",C177="Trench Shoring Box",C177="Open Cut (battered)"),SG_Criteria!$B$34,SG_Criteria!$B$33),"No ERSS submission",IF(G177&lt;=SG_Criteria!$B$35,"QP(ST)",IF(G177&lt;=SG_Criteria!$B$36,"QP(ST) + AC","Geotechnical building works: QP(Geo) + AC"))))</f>
        <v/>
      </c>
      <c r="AN177" s="38" t="str">
        <f aca="false">IF(C177="","",IF(LEN(IF(AND(Q177&lt;&gt;"",Q177&lt;SG_Criteria!$B$37),"FAIL: base stability FOS &lt; "&amp;SG_Criteria!$B$37&amp;". ","")&amp;IF(AND(D177="Manhole",G177&gt;SG_Criteria!$B$36),"NOTE: BCA lists sewer manholes (pipe &lt;= 2 m dia) &gt; 6 m as non-GBW: QP(ST) + AC. ","")&amp;IF(AND(C177="Trench Shoring Box",H177="Kallang Formation (marine clay)"),"NOTE: check base heave / ground loss for shoring box in marine clay. ","")&amp;IF(AND(C177="Steel Sheet Pile Cofferdam",N(M177)&lt;G177*0.5),"NOTE: short toe embedment, check. ",""))=0,"OK",IF(AND(Q177&lt;&gt;"",Q177&lt;SG_Criteria!$B$37),"FAIL: base stability FOS &lt; "&amp;SG_Criteria!$B$37&amp;". ","")&amp;IF(AND(D177="Manhole",G177&gt;SG_Criteria!$B$36),"NOTE: BCA lists sewer manholes (pipe &lt;= 2 m dia) &gt; 6 m as non-GBW: QP(ST) + AC. ","")&amp;IF(AND(C177="Trench Shoring Box",H177="Kallang Formation (marine clay)"),"NOTE: check base heave / ground loss for shoring box in marine clay. ","")&amp;IF(AND(C177="Steel Sheet Pile Cofferdam",N(M177)&lt;G177*0.5),"NOTE: short toe embedment, check. ","")))</f>
        <v/>
      </c>
      <c r="AO177" s="9"/>
      <c r="AP177" s="9"/>
      <c r="AQ177" s="9"/>
      <c r="AR177" s="9"/>
      <c r="AS177" s="9"/>
      <c r="AT177" s="31"/>
      <c r="AU177" s="10" t="str">
        <f aca="false">IF(C177="","",IF(AND(V177="Approved",ISERROR(SEARCH("FAIL",AN177))),"Y","N"))</f>
        <v/>
      </c>
      <c r="AV177" s="10" t="str">
        <f aca="false">IF(C177="","",C177&amp;"|"&amp;G177&amp;"|"&amp;E177&amp;"|"&amp;H177&amp;"|"&amp;AU177)</f>
        <v/>
      </c>
    </row>
    <row r="178" customFormat="false" ht="15" hidden="false" customHeight="false" outlineLevel="0" collapsed="false">
      <c r="A178" s="10" t="str">
        <f aca="false">IF(C178="","","ERSS-"&amp;IFERROR(VLOOKUP(C178,Lists!$AK$4:$AL$21,2,0),"??")&amp;"-"&amp;TEXT(E178,"0000")&amp;"x"&amp;TEXT(F178,"0000")&amp;"-D"&amp;TEXT(G178*1000,"0000")&amp;"-"&amp;IFERROR(VLOOKUP(H178,Lists!$Y$4:$Z$21,2,0),"??")&amp;"-"&amp;U178)</f>
        <v/>
      </c>
      <c r="B178" s="10" t="str">
        <f aca="false">IF(C178="","",C178&amp;" for "&amp;D178&amp;", "&amp;E178&amp;" x "&amp;F178&amp;" pit, "&amp;TEXT(G178,"0.0")&amp;" m deep, "&amp;H178)</f>
        <v/>
      </c>
      <c r="C178" s="9"/>
      <c r="D178" s="9"/>
      <c r="E178" s="40"/>
      <c r="F178" s="40"/>
      <c r="G178" s="43"/>
      <c r="H178" s="9"/>
      <c r="I178" s="43"/>
      <c r="J178" s="40"/>
      <c r="K178" s="9"/>
      <c r="L178" s="43"/>
      <c r="M178" s="43"/>
      <c r="N178" s="40"/>
      <c r="O178" s="9"/>
      <c r="P178" s="9"/>
      <c r="Q178" s="41"/>
      <c r="R178" s="9"/>
      <c r="S178" s="40"/>
      <c r="T178" s="9"/>
      <c r="U178" s="9"/>
      <c r="V178" s="9"/>
      <c r="W178" s="9"/>
      <c r="X178" s="9"/>
      <c r="Y178" s="9"/>
      <c r="Z178" s="10" t="str">
        <f aca="false">IF(A178="","",SG_Criteria!$B$6&amp;SG_Criteria!$B$11&amp;"\"&amp;A178&amp;"\")</f>
        <v/>
      </c>
      <c r="AA178" s="10" t="str">
        <f aca="false">IF(A178="","",A178&amp;"_CAD.dwg")</f>
        <v/>
      </c>
      <c r="AB178" s="10" t="str">
        <f aca="false">IF(A178="","",A178&amp;"_DWG.pdf")</f>
        <v/>
      </c>
      <c r="AC178" s="10" t="str">
        <f aca="false">IF(A178="","",IF(Y178="Y",A178&amp;"_STAAD.std","n/a"))</f>
        <v/>
      </c>
      <c r="AD178" s="10" t="str">
        <f aca="false">IF(A178="","",A178&amp;"_CALC.xlsx")</f>
        <v/>
      </c>
      <c r="AE178" s="10" t="str">
        <f aca="false">IF(A178="","",A178&amp;"_CALC.pdf")</f>
        <v/>
      </c>
      <c r="AF178" s="9"/>
      <c r="AG178" s="9"/>
      <c r="AH178" s="41"/>
      <c r="AI178" s="41"/>
      <c r="AJ178" s="41"/>
      <c r="AK178" s="41"/>
      <c r="AL178" s="41"/>
      <c r="AM178" s="38" t="str">
        <f aca="false">IF(OR(C178="",G178=""),"",IF(G178&lt;=IF(OR(C178="Soldier Pile &amp; Timber Lagging",C178="Trench Shoring Box",C178="Open Cut (battered)"),SG_Criteria!$B$34,SG_Criteria!$B$33),"No ERSS submission",IF(G178&lt;=SG_Criteria!$B$35,"QP(ST)",IF(G178&lt;=SG_Criteria!$B$36,"QP(ST) + AC","Geotechnical building works: QP(Geo) + AC"))))</f>
        <v/>
      </c>
      <c r="AN178" s="38" t="str">
        <f aca="false">IF(C178="","",IF(LEN(IF(AND(Q178&lt;&gt;"",Q178&lt;SG_Criteria!$B$37),"FAIL: base stability FOS &lt; "&amp;SG_Criteria!$B$37&amp;". ","")&amp;IF(AND(D178="Manhole",G178&gt;SG_Criteria!$B$36),"NOTE: BCA lists sewer manholes (pipe &lt;= 2 m dia) &gt; 6 m as non-GBW: QP(ST) + AC. ","")&amp;IF(AND(C178="Trench Shoring Box",H178="Kallang Formation (marine clay)"),"NOTE: check base heave / ground loss for shoring box in marine clay. ","")&amp;IF(AND(C178="Steel Sheet Pile Cofferdam",N(M178)&lt;G178*0.5),"NOTE: short toe embedment, check. ",""))=0,"OK",IF(AND(Q178&lt;&gt;"",Q178&lt;SG_Criteria!$B$37),"FAIL: base stability FOS &lt; "&amp;SG_Criteria!$B$37&amp;". ","")&amp;IF(AND(D178="Manhole",G178&gt;SG_Criteria!$B$36),"NOTE: BCA lists sewer manholes (pipe &lt;= 2 m dia) &gt; 6 m as non-GBW: QP(ST) + AC. ","")&amp;IF(AND(C178="Trench Shoring Box",H178="Kallang Formation (marine clay)"),"NOTE: check base heave / ground loss for shoring box in marine clay. ","")&amp;IF(AND(C178="Steel Sheet Pile Cofferdam",N(M178)&lt;G178*0.5),"NOTE: short toe embedment, check. ","")))</f>
        <v/>
      </c>
      <c r="AO178" s="9"/>
      <c r="AP178" s="9"/>
      <c r="AQ178" s="9"/>
      <c r="AR178" s="9"/>
      <c r="AS178" s="9"/>
      <c r="AT178" s="31"/>
      <c r="AU178" s="10" t="str">
        <f aca="false">IF(C178="","",IF(AND(V178="Approved",ISERROR(SEARCH("FAIL",AN178))),"Y","N"))</f>
        <v/>
      </c>
      <c r="AV178" s="10" t="str">
        <f aca="false">IF(C178="","",C178&amp;"|"&amp;G178&amp;"|"&amp;E178&amp;"|"&amp;H178&amp;"|"&amp;AU178)</f>
        <v/>
      </c>
    </row>
    <row r="179" customFormat="false" ht="15" hidden="false" customHeight="false" outlineLevel="0" collapsed="false">
      <c r="A179" s="10" t="str">
        <f aca="false">IF(C179="","","ERSS-"&amp;IFERROR(VLOOKUP(C179,Lists!$AK$4:$AL$21,2,0),"??")&amp;"-"&amp;TEXT(E179,"0000")&amp;"x"&amp;TEXT(F179,"0000")&amp;"-D"&amp;TEXT(G179*1000,"0000")&amp;"-"&amp;IFERROR(VLOOKUP(H179,Lists!$Y$4:$Z$21,2,0),"??")&amp;"-"&amp;U179)</f>
        <v/>
      </c>
      <c r="B179" s="10" t="str">
        <f aca="false">IF(C179="","",C179&amp;" for "&amp;D179&amp;", "&amp;E179&amp;" x "&amp;F179&amp;" pit, "&amp;TEXT(G179,"0.0")&amp;" m deep, "&amp;H179)</f>
        <v/>
      </c>
      <c r="C179" s="9"/>
      <c r="D179" s="9"/>
      <c r="E179" s="40"/>
      <c r="F179" s="40"/>
      <c r="G179" s="43"/>
      <c r="H179" s="9"/>
      <c r="I179" s="43"/>
      <c r="J179" s="40"/>
      <c r="K179" s="9"/>
      <c r="L179" s="43"/>
      <c r="M179" s="43"/>
      <c r="N179" s="40"/>
      <c r="O179" s="9"/>
      <c r="P179" s="9"/>
      <c r="Q179" s="41"/>
      <c r="R179" s="9"/>
      <c r="S179" s="40"/>
      <c r="T179" s="9"/>
      <c r="U179" s="9"/>
      <c r="V179" s="9"/>
      <c r="W179" s="9"/>
      <c r="X179" s="9"/>
      <c r="Y179" s="9"/>
      <c r="Z179" s="10" t="str">
        <f aca="false">IF(A179="","",SG_Criteria!$B$6&amp;SG_Criteria!$B$11&amp;"\"&amp;A179&amp;"\")</f>
        <v/>
      </c>
      <c r="AA179" s="10" t="str">
        <f aca="false">IF(A179="","",A179&amp;"_CAD.dwg")</f>
        <v/>
      </c>
      <c r="AB179" s="10" t="str">
        <f aca="false">IF(A179="","",A179&amp;"_DWG.pdf")</f>
        <v/>
      </c>
      <c r="AC179" s="10" t="str">
        <f aca="false">IF(A179="","",IF(Y179="Y",A179&amp;"_STAAD.std","n/a"))</f>
        <v/>
      </c>
      <c r="AD179" s="10" t="str">
        <f aca="false">IF(A179="","",A179&amp;"_CALC.xlsx")</f>
        <v/>
      </c>
      <c r="AE179" s="10" t="str">
        <f aca="false">IF(A179="","",A179&amp;"_CALC.pdf")</f>
        <v/>
      </c>
      <c r="AF179" s="9"/>
      <c r="AG179" s="9"/>
      <c r="AH179" s="41"/>
      <c r="AI179" s="41"/>
      <c r="AJ179" s="41"/>
      <c r="AK179" s="41"/>
      <c r="AL179" s="41"/>
      <c r="AM179" s="38" t="str">
        <f aca="false">IF(OR(C179="",G179=""),"",IF(G179&lt;=IF(OR(C179="Soldier Pile &amp; Timber Lagging",C179="Trench Shoring Box",C179="Open Cut (battered)"),SG_Criteria!$B$34,SG_Criteria!$B$33),"No ERSS submission",IF(G179&lt;=SG_Criteria!$B$35,"QP(ST)",IF(G179&lt;=SG_Criteria!$B$36,"QP(ST) + AC","Geotechnical building works: QP(Geo) + AC"))))</f>
        <v/>
      </c>
      <c r="AN179" s="38" t="str">
        <f aca="false">IF(C179="","",IF(LEN(IF(AND(Q179&lt;&gt;"",Q179&lt;SG_Criteria!$B$37),"FAIL: base stability FOS &lt; "&amp;SG_Criteria!$B$37&amp;". ","")&amp;IF(AND(D179="Manhole",G179&gt;SG_Criteria!$B$36),"NOTE: BCA lists sewer manholes (pipe &lt;= 2 m dia) &gt; 6 m as non-GBW: QP(ST) + AC. ","")&amp;IF(AND(C179="Trench Shoring Box",H179="Kallang Formation (marine clay)"),"NOTE: check base heave / ground loss for shoring box in marine clay. ","")&amp;IF(AND(C179="Steel Sheet Pile Cofferdam",N(M179)&lt;G179*0.5),"NOTE: short toe embedment, check. ",""))=0,"OK",IF(AND(Q179&lt;&gt;"",Q179&lt;SG_Criteria!$B$37),"FAIL: base stability FOS &lt; "&amp;SG_Criteria!$B$37&amp;". ","")&amp;IF(AND(D179="Manhole",G179&gt;SG_Criteria!$B$36),"NOTE: BCA lists sewer manholes (pipe &lt;= 2 m dia) &gt; 6 m as non-GBW: QP(ST) + AC. ","")&amp;IF(AND(C179="Trench Shoring Box",H179="Kallang Formation (marine clay)"),"NOTE: check base heave / ground loss for shoring box in marine clay. ","")&amp;IF(AND(C179="Steel Sheet Pile Cofferdam",N(M179)&lt;G179*0.5),"NOTE: short toe embedment, check. ","")))</f>
        <v/>
      </c>
      <c r="AO179" s="9"/>
      <c r="AP179" s="9"/>
      <c r="AQ179" s="9"/>
      <c r="AR179" s="9"/>
      <c r="AS179" s="9"/>
      <c r="AT179" s="31"/>
      <c r="AU179" s="10" t="str">
        <f aca="false">IF(C179="","",IF(AND(V179="Approved",ISERROR(SEARCH("FAIL",AN179))),"Y","N"))</f>
        <v/>
      </c>
      <c r="AV179" s="10" t="str">
        <f aca="false">IF(C179="","",C179&amp;"|"&amp;G179&amp;"|"&amp;E179&amp;"|"&amp;H179&amp;"|"&amp;AU179)</f>
        <v/>
      </c>
    </row>
    <row r="180" customFormat="false" ht="15" hidden="false" customHeight="false" outlineLevel="0" collapsed="false">
      <c r="A180" s="10" t="str">
        <f aca="false">IF(C180="","","ERSS-"&amp;IFERROR(VLOOKUP(C180,Lists!$AK$4:$AL$21,2,0),"??")&amp;"-"&amp;TEXT(E180,"0000")&amp;"x"&amp;TEXT(F180,"0000")&amp;"-D"&amp;TEXT(G180*1000,"0000")&amp;"-"&amp;IFERROR(VLOOKUP(H180,Lists!$Y$4:$Z$21,2,0),"??")&amp;"-"&amp;U180)</f>
        <v/>
      </c>
      <c r="B180" s="10" t="str">
        <f aca="false">IF(C180="","",C180&amp;" for "&amp;D180&amp;", "&amp;E180&amp;" x "&amp;F180&amp;" pit, "&amp;TEXT(G180,"0.0")&amp;" m deep, "&amp;H180)</f>
        <v/>
      </c>
      <c r="C180" s="9"/>
      <c r="D180" s="9"/>
      <c r="E180" s="40"/>
      <c r="F180" s="40"/>
      <c r="G180" s="43"/>
      <c r="H180" s="9"/>
      <c r="I180" s="43"/>
      <c r="J180" s="40"/>
      <c r="K180" s="9"/>
      <c r="L180" s="43"/>
      <c r="M180" s="43"/>
      <c r="N180" s="40"/>
      <c r="O180" s="9"/>
      <c r="P180" s="9"/>
      <c r="Q180" s="41"/>
      <c r="R180" s="9"/>
      <c r="S180" s="40"/>
      <c r="T180" s="9"/>
      <c r="U180" s="9"/>
      <c r="V180" s="9"/>
      <c r="W180" s="9"/>
      <c r="X180" s="9"/>
      <c r="Y180" s="9"/>
      <c r="Z180" s="10" t="str">
        <f aca="false">IF(A180="","",SG_Criteria!$B$6&amp;SG_Criteria!$B$11&amp;"\"&amp;A180&amp;"\")</f>
        <v/>
      </c>
      <c r="AA180" s="10" t="str">
        <f aca="false">IF(A180="","",A180&amp;"_CAD.dwg")</f>
        <v/>
      </c>
      <c r="AB180" s="10" t="str">
        <f aca="false">IF(A180="","",A180&amp;"_DWG.pdf")</f>
        <v/>
      </c>
      <c r="AC180" s="10" t="str">
        <f aca="false">IF(A180="","",IF(Y180="Y",A180&amp;"_STAAD.std","n/a"))</f>
        <v/>
      </c>
      <c r="AD180" s="10" t="str">
        <f aca="false">IF(A180="","",A180&amp;"_CALC.xlsx")</f>
        <v/>
      </c>
      <c r="AE180" s="10" t="str">
        <f aca="false">IF(A180="","",A180&amp;"_CALC.pdf")</f>
        <v/>
      </c>
      <c r="AF180" s="9"/>
      <c r="AG180" s="9"/>
      <c r="AH180" s="41"/>
      <c r="AI180" s="41"/>
      <c r="AJ180" s="41"/>
      <c r="AK180" s="41"/>
      <c r="AL180" s="41"/>
      <c r="AM180" s="38" t="str">
        <f aca="false">IF(OR(C180="",G180=""),"",IF(G180&lt;=IF(OR(C180="Soldier Pile &amp; Timber Lagging",C180="Trench Shoring Box",C180="Open Cut (battered)"),SG_Criteria!$B$34,SG_Criteria!$B$33),"No ERSS submission",IF(G180&lt;=SG_Criteria!$B$35,"QP(ST)",IF(G180&lt;=SG_Criteria!$B$36,"QP(ST) + AC","Geotechnical building works: QP(Geo) + AC"))))</f>
        <v/>
      </c>
      <c r="AN180" s="38" t="str">
        <f aca="false">IF(C180="","",IF(LEN(IF(AND(Q180&lt;&gt;"",Q180&lt;SG_Criteria!$B$37),"FAIL: base stability FOS &lt; "&amp;SG_Criteria!$B$37&amp;". ","")&amp;IF(AND(D180="Manhole",G180&gt;SG_Criteria!$B$36),"NOTE: BCA lists sewer manholes (pipe &lt;= 2 m dia) &gt; 6 m as non-GBW: QP(ST) + AC. ","")&amp;IF(AND(C180="Trench Shoring Box",H180="Kallang Formation (marine clay)"),"NOTE: check base heave / ground loss for shoring box in marine clay. ","")&amp;IF(AND(C180="Steel Sheet Pile Cofferdam",N(M180)&lt;G180*0.5),"NOTE: short toe embedment, check. ",""))=0,"OK",IF(AND(Q180&lt;&gt;"",Q180&lt;SG_Criteria!$B$37),"FAIL: base stability FOS &lt; "&amp;SG_Criteria!$B$37&amp;". ","")&amp;IF(AND(D180="Manhole",G180&gt;SG_Criteria!$B$36),"NOTE: BCA lists sewer manholes (pipe &lt;= 2 m dia) &gt; 6 m as non-GBW: QP(ST) + AC. ","")&amp;IF(AND(C180="Trench Shoring Box",H180="Kallang Formation (marine clay)"),"NOTE: check base heave / ground loss for shoring box in marine clay. ","")&amp;IF(AND(C180="Steel Sheet Pile Cofferdam",N(M180)&lt;G180*0.5),"NOTE: short toe embedment, check. ","")))</f>
        <v/>
      </c>
      <c r="AO180" s="9"/>
      <c r="AP180" s="9"/>
      <c r="AQ180" s="9"/>
      <c r="AR180" s="9"/>
      <c r="AS180" s="9"/>
      <c r="AT180" s="31"/>
      <c r="AU180" s="10" t="str">
        <f aca="false">IF(C180="","",IF(AND(V180="Approved",ISERROR(SEARCH("FAIL",AN180))),"Y","N"))</f>
        <v/>
      </c>
      <c r="AV180" s="10" t="str">
        <f aca="false">IF(C180="","",C180&amp;"|"&amp;G180&amp;"|"&amp;E180&amp;"|"&amp;H180&amp;"|"&amp;AU180)</f>
        <v/>
      </c>
    </row>
    <row r="181" customFormat="false" ht="15" hidden="false" customHeight="false" outlineLevel="0" collapsed="false">
      <c r="A181" s="10" t="str">
        <f aca="false">IF(C181="","","ERSS-"&amp;IFERROR(VLOOKUP(C181,Lists!$AK$4:$AL$21,2,0),"??")&amp;"-"&amp;TEXT(E181,"0000")&amp;"x"&amp;TEXT(F181,"0000")&amp;"-D"&amp;TEXT(G181*1000,"0000")&amp;"-"&amp;IFERROR(VLOOKUP(H181,Lists!$Y$4:$Z$21,2,0),"??")&amp;"-"&amp;U181)</f>
        <v/>
      </c>
      <c r="B181" s="10" t="str">
        <f aca="false">IF(C181="","",C181&amp;" for "&amp;D181&amp;", "&amp;E181&amp;" x "&amp;F181&amp;" pit, "&amp;TEXT(G181,"0.0")&amp;" m deep, "&amp;H181)</f>
        <v/>
      </c>
      <c r="C181" s="9"/>
      <c r="D181" s="9"/>
      <c r="E181" s="40"/>
      <c r="F181" s="40"/>
      <c r="G181" s="43"/>
      <c r="H181" s="9"/>
      <c r="I181" s="43"/>
      <c r="J181" s="40"/>
      <c r="K181" s="9"/>
      <c r="L181" s="43"/>
      <c r="M181" s="43"/>
      <c r="N181" s="40"/>
      <c r="O181" s="9"/>
      <c r="P181" s="9"/>
      <c r="Q181" s="41"/>
      <c r="R181" s="9"/>
      <c r="S181" s="40"/>
      <c r="T181" s="9"/>
      <c r="U181" s="9"/>
      <c r="V181" s="9"/>
      <c r="W181" s="9"/>
      <c r="X181" s="9"/>
      <c r="Y181" s="9"/>
      <c r="Z181" s="10" t="str">
        <f aca="false">IF(A181="","",SG_Criteria!$B$6&amp;SG_Criteria!$B$11&amp;"\"&amp;A181&amp;"\")</f>
        <v/>
      </c>
      <c r="AA181" s="10" t="str">
        <f aca="false">IF(A181="","",A181&amp;"_CAD.dwg")</f>
        <v/>
      </c>
      <c r="AB181" s="10" t="str">
        <f aca="false">IF(A181="","",A181&amp;"_DWG.pdf")</f>
        <v/>
      </c>
      <c r="AC181" s="10" t="str">
        <f aca="false">IF(A181="","",IF(Y181="Y",A181&amp;"_STAAD.std","n/a"))</f>
        <v/>
      </c>
      <c r="AD181" s="10" t="str">
        <f aca="false">IF(A181="","",A181&amp;"_CALC.xlsx")</f>
        <v/>
      </c>
      <c r="AE181" s="10" t="str">
        <f aca="false">IF(A181="","",A181&amp;"_CALC.pdf")</f>
        <v/>
      </c>
      <c r="AF181" s="9"/>
      <c r="AG181" s="9"/>
      <c r="AH181" s="41"/>
      <c r="AI181" s="41"/>
      <c r="AJ181" s="41"/>
      <c r="AK181" s="41"/>
      <c r="AL181" s="41"/>
      <c r="AM181" s="38" t="str">
        <f aca="false">IF(OR(C181="",G181=""),"",IF(G181&lt;=IF(OR(C181="Soldier Pile &amp; Timber Lagging",C181="Trench Shoring Box",C181="Open Cut (battered)"),SG_Criteria!$B$34,SG_Criteria!$B$33),"No ERSS submission",IF(G181&lt;=SG_Criteria!$B$35,"QP(ST)",IF(G181&lt;=SG_Criteria!$B$36,"QP(ST) + AC","Geotechnical building works: QP(Geo) + AC"))))</f>
        <v/>
      </c>
      <c r="AN181" s="38" t="str">
        <f aca="false">IF(C181="","",IF(LEN(IF(AND(Q181&lt;&gt;"",Q181&lt;SG_Criteria!$B$37),"FAIL: base stability FOS &lt; "&amp;SG_Criteria!$B$37&amp;". ","")&amp;IF(AND(D181="Manhole",G181&gt;SG_Criteria!$B$36),"NOTE: BCA lists sewer manholes (pipe &lt;= 2 m dia) &gt; 6 m as non-GBW: QP(ST) + AC. ","")&amp;IF(AND(C181="Trench Shoring Box",H181="Kallang Formation (marine clay)"),"NOTE: check base heave / ground loss for shoring box in marine clay. ","")&amp;IF(AND(C181="Steel Sheet Pile Cofferdam",N(M181)&lt;G181*0.5),"NOTE: short toe embedment, check. ",""))=0,"OK",IF(AND(Q181&lt;&gt;"",Q181&lt;SG_Criteria!$B$37),"FAIL: base stability FOS &lt; "&amp;SG_Criteria!$B$37&amp;". ","")&amp;IF(AND(D181="Manhole",G181&gt;SG_Criteria!$B$36),"NOTE: BCA lists sewer manholes (pipe &lt;= 2 m dia) &gt; 6 m as non-GBW: QP(ST) + AC. ","")&amp;IF(AND(C181="Trench Shoring Box",H181="Kallang Formation (marine clay)"),"NOTE: check base heave / ground loss for shoring box in marine clay. ","")&amp;IF(AND(C181="Steel Sheet Pile Cofferdam",N(M181)&lt;G181*0.5),"NOTE: short toe embedment, check. ","")))</f>
        <v/>
      </c>
      <c r="AO181" s="9"/>
      <c r="AP181" s="9"/>
      <c r="AQ181" s="9"/>
      <c r="AR181" s="9"/>
      <c r="AS181" s="9"/>
      <c r="AT181" s="31"/>
      <c r="AU181" s="10" t="str">
        <f aca="false">IF(C181="","",IF(AND(V181="Approved",ISERROR(SEARCH("FAIL",AN181))),"Y","N"))</f>
        <v/>
      </c>
      <c r="AV181" s="10" t="str">
        <f aca="false">IF(C181="","",C181&amp;"|"&amp;G181&amp;"|"&amp;E181&amp;"|"&amp;H181&amp;"|"&amp;AU181)</f>
        <v/>
      </c>
    </row>
    <row r="182" customFormat="false" ht="15" hidden="false" customHeight="false" outlineLevel="0" collapsed="false">
      <c r="A182" s="10" t="str">
        <f aca="false">IF(C182="","","ERSS-"&amp;IFERROR(VLOOKUP(C182,Lists!$AK$4:$AL$21,2,0),"??")&amp;"-"&amp;TEXT(E182,"0000")&amp;"x"&amp;TEXT(F182,"0000")&amp;"-D"&amp;TEXT(G182*1000,"0000")&amp;"-"&amp;IFERROR(VLOOKUP(H182,Lists!$Y$4:$Z$21,2,0),"??")&amp;"-"&amp;U182)</f>
        <v/>
      </c>
      <c r="B182" s="10" t="str">
        <f aca="false">IF(C182="","",C182&amp;" for "&amp;D182&amp;", "&amp;E182&amp;" x "&amp;F182&amp;" pit, "&amp;TEXT(G182,"0.0")&amp;" m deep, "&amp;H182)</f>
        <v/>
      </c>
      <c r="C182" s="9"/>
      <c r="D182" s="9"/>
      <c r="E182" s="40"/>
      <c r="F182" s="40"/>
      <c r="G182" s="43"/>
      <c r="H182" s="9"/>
      <c r="I182" s="43"/>
      <c r="J182" s="40"/>
      <c r="K182" s="9"/>
      <c r="L182" s="43"/>
      <c r="M182" s="43"/>
      <c r="N182" s="40"/>
      <c r="O182" s="9"/>
      <c r="P182" s="9"/>
      <c r="Q182" s="41"/>
      <c r="R182" s="9"/>
      <c r="S182" s="40"/>
      <c r="T182" s="9"/>
      <c r="U182" s="9"/>
      <c r="V182" s="9"/>
      <c r="W182" s="9"/>
      <c r="X182" s="9"/>
      <c r="Y182" s="9"/>
      <c r="Z182" s="10" t="str">
        <f aca="false">IF(A182="","",SG_Criteria!$B$6&amp;SG_Criteria!$B$11&amp;"\"&amp;A182&amp;"\")</f>
        <v/>
      </c>
      <c r="AA182" s="10" t="str">
        <f aca="false">IF(A182="","",A182&amp;"_CAD.dwg")</f>
        <v/>
      </c>
      <c r="AB182" s="10" t="str">
        <f aca="false">IF(A182="","",A182&amp;"_DWG.pdf")</f>
        <v/>
      </c>
      <c r="AC182" s="10" t="str">
        <f aca="false">IF(A182="","",IF(Y182="Y",A182&amp;"_STAAD.std","n/a"))</f>
        <v/>
      </c>
      <c r="AD182" s="10" t="str">
        <f aca="false">IF(A182="","",A182&amp;"_CALC.xlsx")</f>
        <v/>
      </c>
      <c r="AE182" s="10" t="str">
        <f aca="false">IF(A182="","",A182&amp;"_CALC.pdf")</f>
        <v/>
      </c>
      <c r="AF182" s="9"/>
      <c r="AG182" s="9"/>
      <c r="AH182" s="41"/>
      <c r="AI182" s="41"/>
      <c r="AJ182" s="41"/>
      <c r="AK182" s="41"/>
      <c r="AL182" s="41"/>
      <c r="AM182" s="38" t="str">
        <f aca="false">IF(OR(C182="",G182=""),"",IF(G182&lt;=IF(OR(C182="Soldier Pile &amp; Timber Lagging",C182="Trench Shoring Box",C182="Open Cut (battered)"),SG_Criteria!$B$34,SG_Criteria!$B$33),"No ERSS submission",IF(G182&lt;=SG_Criteria!$B$35,"QP(ST)",IF(G182&lt;=SG_Criteria!$B$36,"QP(ST) + AC","Geotechnical building works: QP(Geo) + AC"))))</f>
        <v/>
      </c>
      <c r="AN182" s="38" t="str">
        <f aca="false">IF(C182="","",IF(LEN(IF(AND(Q182&lt;&gt;"",Q182&lt;SG_Criteria!$B$37),"FAIL: base stability FOS &lt; "&amp;SG_Criteria!$B$37&amp;". ","")&amp;IF(AND(D182="Manhole",G182&gt;SG_Criteria!$B$36),"NOTE: BCA lists sewer manholes (pipe &lt;= 2 m dia) &gt; 6 m as non-GBW: QP(ST) + AC. ","")&amp;IF(AND(C182="Trench Shoring Box",H182="Kallang Formation (marine clay)"),"NOTE: check base heave / ground loss for shoring box in marine clay. ","")&amp;IF(AND(C182="Steel Sheet Pile Cofferdam",N(M182)&lt;G182*0.5),"NOTE: short toe embedment, check. ",""))=0,"OK",IF(AND(Q182&lt;&gt;"",Q182&lt;SG_Criteria!$B$37),"FAIL: base stability FOS &lt; "&amp;SG_Criteria!$B$37&amp;". ","")&amp;IF(AND(D182="Manhole",G182&gt;SG_Criteria!$B$36),"NOTE: BCA lists sewer manholes (pipe &lt;= 2 m dia) &gt; 6 m as non-GBW: QP(ST) + AC. ","")&amp;IF(AND(C182="Trench Shoring Box",H182="Kallang Formation (marine clay)"),"NOTE: check base heave / ground loss for shoring box in marine clay. ","")&amp;IF(AND(C182="Steel Sheet Pile Cofferdam",N(M182)&lt;G182*0.5),"NOTE: short toe embedment, check. ","")))</f>
        <v/>
      </c>
      <c r="AO182" s="9"/>
      <c r="AP182" s="9"/>
      <c r="AQ182" s="9"/>
      <c r="AR182" s="9"/>
      <c r="AS182" s="9"/>
      <c r="AT182" s="31"/>
      <c r="AU182" s="10" t="str">
        <f aca="false">IF(C182="","",IF(AND(V182="Approved",ISERROR(SEARCH("FAIL",AN182))),"Y","N"))</f>
        <v/>
      </c>
      <c r="AV182" s="10" t="str">
        <f aca="false">IF(C182="","",C182&amp;"|"&amp;G182&amp;"|"&amp;E182&amp;"|"&amp;H182&amp;"|"&amp;AU182)</f>
        <v/>
      </c>
    </row>
    <row r="183" customFormat="false" ht="15" hidden="false" customHeight="false" outlineLevel="0" collapsed="false">
      <c r="A183" s="10" t="str">
        <f aca="false">IF(C183="","","ERSS-"&amp;IFERROR(VLOOKUP(C183,Lists!$AK$4:$AL$21,2,0),"??")&amp;"-"&amp;TEXT(E183,"0000")&amp;"x"&amp;TEXT(F183,"0000")&amp;"-D"&amp;TEXT(G183*1000,"0000")&amp;"-"&amp;IFERROR(VLOOKUP(H183,Lists!$Y$4:$Z$21,2,0),"??")&amp;"-"&amp;U183)</f>
        <v/>
      </c>
      <c r="B183" s="10" t="str">
        <f aca="false">IF(C183="","",C183&amp;" for "&amp;D183&amp;", "&amp;E183&amp;" x "&amp;F183&amp;" pit, "&amp;TEXT(G183,"0.0")&amp;" m deep, "&amp;H183)</f>
        <v/>
      </c>
      <c r="C183" s="9"/>
      <c r="D183" s="9"/>
      <c r="E183" s="40"/>
      <c r="F183" s="40"/>
      <c r="G183" s="43"/>
      <c r="H183" s="9"/>
      <c r="I183" s="43"/>
      <c r="J183" s="40"/>
      <c r="K183" s="9"/>
      <c r="L183" s="43"/>
      <c r="M183" s="43"/>
      <c r="N183" s="40"/>
      <c r="O183" s="9"/>
      <c r="P183" s="9"/>
      <c r="Q183" s="41"/>
      <c r="R183" s="9"/>
      <c r="S183" s="40"/>
      <c r="T183" s="9"/>
      <c r="U183" s="9"/>
      <c r="V183" s="9"/>
      <c r="W183" s="9"/>
      <c r="X183" s="9"/>
      <c r="Y183" s="9"/>
      <c r="Z183" s="10" t="str">
        <f aca="false">IF(A183="","",SG_Criteria!$B$6&amp;SG_Criteria!$B$11&amp;"\"&amp;A183&amp;"\")</f>
        <v/>
      </c>
      <c r="AA183" s="10" t="str">
        <f aca="false">IF(A183="","",A183&amp;"_CAD.dwg")</f>
        <v/>
      </c>
      <c r="AB183" s="10" t="str">
        <f aca="false">IF(A183="","",A183&amp;"_DWG.pdf")</f>
        <v/>
      </c>
      <c r="AC183" s="10" t="str">
        <f aca="false">IF(A183="","",IF(Y183="Y",A183&amp;"_STAAD.std","n/a"))</f>
        <v/>
      </c>
      <c r="AD183" s="10" t="str">
        <f aca="false">IF(A183="","",A183&amp;"_CALC.xlsx")</f>
        <v/>
      </c>
      <c r="AE183" s="10" t="str">
        <f aca="false">IF(A183="","",A183&amp;"_CALC.pdf")</f>
        <v/>
      </c>
      <c r="AF183" s="9"/>
      <c r="AG183" s="9"/>
      <c r="AH183" s="41"/>
      <c r="AI183" s="41"/>
      <c r="AJ183" s="41"/>
      <c r="AK183" s="41"/>
      <c r="AL183" s="41"/>
      <c r="AM183" s="38" t="str">
        <f aca="false">IF(OR(C183="",G183=""),"",IF(G183&lt;=IF(OR(C183="Soldier Pile &amp; Timber Lagging",C183="Trench Shoring Box",C183="Open Cut (battered)"),SG_Criteria!$B$34,SG_Criteria!$B$33),"No ERSS submission",IF(G183&lt;=SG_Criteria!$B$35,"QP(ST)",IF(G183&lt;=SG_Criteria!$B$36,"QP(ST) + AC","Geotechnical building works: QP(Geo) + AC"))))</f>
        <v/>
      </c>
      <c r="AN183" s="38" t="str">
        <f aca="false">IF(C183="","",IF(LEN(IF(AND(Q183&lt;&gt;"",Q183&lt;SG_Criteria!$B$37),"FAIL: base stability FOS &lt; "&amp;SG_Criteria!$B$37&amp;". ","")&amp;IF(AND(D183="Manhole",G183&gt;SG_Criteria!$B$36),"NOTE: BCA lists sewer manholes (pipe &lt;= 2 m dia) &gt; 6 m as non-GBW: QP(ST) + AC. ","")&amp;IF(AND(C183="Trench Shoring Box",H183="Kallang Formation (marine clay)"),"NOTE: check base heave / ground loss for shoring box in marine clay. ","")&amp;IF(AND(C183="Steel Sheet Pile Cofferdam",N(M183)&lt;G183*0.5),"NOTE: short toe embedment, check. ",""))=0,"OK",IF(AND(Q183&lt;&gt;"",Q183&lt;SG_Criteria!$B$37),"FAIL: base stability FOS &lt; "&amp;SG_Criteria!$B$37&amp;". ","")&amp;IF(AND(D183="Manhole",G183&gt;SG_Criteria!$B$36),"NOTE: BCA lists sewer manholes (pipe &lt;= 2 m dia) &gt; 6 m as non-GBW: QP(ST) + AC. ","")&amp;IF(AND(C183="Trench Shoring Box",H183="Kallang Formation (marine clay)"),"NOTE: check base heave / ground loss for shoring box in marine clay. ","")&amp;IF(AND(C183="Steel Sheet Pile Cofferdam",N(M183)&lt;G183*0.5),"NOTE: short toe embedment, check. ","")))</f>
        <v/>
      </c>
      <c r="AO183" s="9"/>
      <c r="AP183" s="9"/>
      <c r="AQ183" s="9"/>
      <c r="AR183" s="9"/>
      <c r="AS183" s="9"/>
      <c r="AT183" s="31"/>
      <c r="AU183" s="10" t="str">
        <f aca="false">IF(C183="","",IF(AND(V183="Approved",ISERROR(SEARCH("FAIL",AN183))),"Y","N"))</f>
        <v/>
      </c>
      <c r="AV183" s="10" t="str">
        <f aca="false">IF(C183="","",C183&amp;"|"&amp;G183&amp;"|"&amp;E183&amp;"|"&amp;H183&amp;"|"&amp;AU183)</f>
        <v/>
      </c>
    </row>
    <row r="184" customFormat="false" ht="15" hidden="false" customHeight="false" outlineLevel="0" collapsed="false">
      <c r="A184" s="10" t="str">
        <f aca="false">IF(C184="","","ERSS-"&amp;IFERROR(VLOOKUP(C184,Lists!$AK$4:$AL$21,2,0),"??")&amp;"-"&amp;TEXT(E184,"0000")&amp;"x"&amp;TEXT(F184,"0000")&amp;"-D"&amp;TEXT(G184*1000,"0000")&amp;"-"&amp;IFERROR(VLOOKUP(H184,Lists!$Y$4:$Z$21,2,0),"??")&amp;"-"&amp;U184)</f>
        <v/>
      </c>
      <c r="B184" s="10" t="str">
        <f aca="false">IF(C184="","",C184&amp;" for "&amp;D184&amp;", "&amp;E184&amp;" x "&amp;F184&amp;" pit, "&amp;TEXT(G184,"0.0")&amp;" m deep, "&amp;H184)</f>
        <v/>
      </c>
      <c r="C184" s="9"/>
      <c r="D184" s="9"/>
      <c r="E184" s="40"/>
      <c r="F184" s="40"/>
      <c r="G184" s="43"/>
      <c r="H184" s="9"/>
      <c r="I184" s="43"/>
      <c r="J184" s="40"/>
      <c r="K184" s="9"/>
      <c r="L184" s="43"/>
      <c r="M184" s="43"/>
      <c r="N184" s="40"/>
      <c r="O184" s="9"/>
      <c r="P184" s="9"/>
      <c r="Q184" s="41"/>
      <c r="R184" s="9"/>
      <c r="S184" s="40"/>
      <c r="T184" s="9"/>
      <c r="U184" s="9"/>
      <c r="V184" s="9"/>
      <c r="W184" s="9"/>
      <c r="X184" s="9"/>
      <c r="Y184" s="9"/>
      <c r="Z184" s="10" t="str">
        <f aca="false">IF(A184="","",SG_Criteria!$B$6&amp;SG_Criteria!$B$11&amp;"\"&amp;A184&amp;"\")</f>
        <v/>
      </c>
      <c r="AA184" s="10" t="str">
        <f aca="false">IF(A184="","",A184&amp;"_CAD.dwg")</f>
        <v/>
      </c>
      <c r="AB184" s="10" t="str">
        <f aca="false">IF(A184="","",A184&amp;"_DWG.pdf")</f>
        <v/>
      </c>
      <c r="AC184" s="10" t="str">
        <f aca="false">IF(A184="","",IF(Y184="Y",A184&amp;"_STAAD.std","n/a"))</f>
        <v/>
      </c>
      <c r="AD184" s="10" t="str">
        <f aca="false">IF(A184="","",A184&amp;"_CALC.xlsx")</f>
        <v/>
      </c>
      <c r="AE184" s="10" t="str">
        <f aca="false">IF(A184="","",A184&amp;"_CALC.pdf")</f>
        <v/>
      </c>
      <c r="AF184" s="9"/>
      <c r="AG184" s="9"/>
      <c r="AH184" s="41"/>
      <c r="AI184" s="41"/>
      <c r="AJ184" s="41"/>
      <c r="AK184" s="41"/>
      <c r="AL184" s="41"/>
      <c r="AM184" s="38" t="str">
        <f aca="false">IF(OR(C184="",G184=""),"",IF(G184&lt;=IF(OR(C184="Soldier Pile &amp; Timber Lagging",C184="Trench Shoring Box",C184="Open Cut (battered)"),SG_Criteria!$B$34,SG_Criteria!$B$33),"No ERSS submission",IF(G184&lt;=SG_Criteria!$B$35,"QP(ST)",IF(G184&lt;=SG_Criteria!$B$36,"QP(ST) + AC","Geotechnical building works: QP(Geo) + AC"))))</f>
        <v/>
      </c>
      <c r="AN184" s="38" t="str">
        <f aca="false">IF(C184="","",IF(LEN(IF(AND(Q184&lt;&gt;"",Q184&lt;SG_Criteria!$B$37),"FAIL: base stability FOS &lt; "&amp;SG_Criteria!$B$37&amp;". ","")&amp;IF(AND(D184="Manhole",G184&gt;SG_Criteria!$B$36),"NOTE: BCA lists sewer manholes (pipe &lt;= 2 m dia) &gt; 6 m as non-GBW: QP(ST) + AC. ","")&amp;IF(AND(C184="Trench Shoring Box",H184="Kallang Formation (marine clay)"),"NOTE: check base heave / ground loss for shoring box in marine clay. ","")&amp;IF(AND(C184="Steel Sheet Pile Cofferdam",N(M184)&lt;G184*0.5),"NOTE: short toe embedment, check. ",""))=0,"OK",IF(AND(Q184&lt;&gt;"",Q184&lt;SG_Criteria!$B$37),"FAIL: base stability FOS &lt; "&amp;SG_Criteria!$B$37&amp;". ","")&amp;IF(AND(D184="Manhole",G184&gt;SG_Criteria!$B$36),"NOTE: BCA lists sewer manholes (pipe &lt;= 2 m dia) &gt; 6 m as non-GBW: QP(ST) + AC. ","")&amp;IF(AND(C184="Trench Shoring Box",H184="Kallang Formation (marine clay)"),"NOTE: check base heave / ground loss for shoring box in marine clay. ","")&amp;IF(AND(C184="Steel Sheet Pile Cofferdam",N(M184)&lt;G184*0.5),"NOTE: short toe embedment, check. ","")))</f>
        <v/>
      </c>
      <c r="AO184" s="9"/>
      <c r="AP184" s="9"/>
      <c r="AQ184" s="9"/>
      <c r="AR184" s="9"/>
      <c r="AS184" s="9"/>
      <c r="AT184" s="31"/>
      <c r="AU184" s="10" t="str">
        <f aca="false">IF(C184="","",IF(AND(V184="Approved",ISERROR(SEARCH("FAIL",AN184))),"Y","N"))</f>
        <v/>
      </c>
      <c r="AV184" s="10" t="str">
        <f aca="false">IF(C184="","",C184&amp;"|"&amp;G184&amp;"|"&amp;E184&amp;"|"&amp;H184&amp;"|"&amp;AU184)</f>
        <v/>
      </c>
    </row>
    <row r="185" customFormat="false" ht="15" hidden="false" customHeight="false" outlineLevel="0" collapsed="false">
      <c r="A185" s="10" t="str">
        <f aca="false">IF(C185="","","ERSS-"&amp;IFERROR(VLOOKUP(C185,Lists!$AK$4:$AL$21,2,0),"??")&amp;"-"&amp;TEXT(E185,"0000")&amp;"x"&amp;TEXT(F185,"0000")&amp;"-D"&amp;TEXT(G185*1000,"0000")&amp;"-"&amp;IFERROR(VLOOKUP(H185,Lists!$Y$4:$Z$21,2,0),"??")&amp;"-"&amp;U185)</f>
        <v/>
      </c>
      <c r="B185" s="10" t="str">
        <f aca="false">IF(C185="","",C185&amp;" for "&amp;D185&amp;", "&amp;E185&amp;" x "&amp;F185&amp;" pit, "&amp;TEXT(G185,"0.0")&amp;" m deep, "&amp;H185)</f>
        <v/>
      </c>
      <c r="C185" s="9"/>
      <c r="D185" s="9"/>
      <c r="E185" s="40"/>
      <c r="F185" s="40"/>
      <c r="G185" s="43"/>
      <c r="H185" s="9"/>
      <c r="I185" s="43"/>
      <c r="J185" s="40"/>
      <c r="K185" s="9"/>
      <c r="L185" s="43"/>
      <c r="M185" s="43"/>
      <c r="N185" s="40"/>
      <c r="O185" s="9"/>
      <c r="P185" s="9"/>
      <c r="Q185" s="41"/>
      <c r="R185" s="9"/>
      <c r="S185" s="40"/>
      <c r="T185" s="9"/>
      <c r="U185" s="9"/>
      <c r="V185" s="9"/>
      <c r="W185" s="9"/>
      <c r="X185" s="9"/>
      <c r="Y185" s="9"/>
      <c r="Z185" s="10" t="str">
        <f aca="false">IF(A185="","",SG_Criteria!$B$6&amp;SG_Criteria!$B$11&amp;"\"&amp;A185&amp;"\")</f>
        <v/>
      </c>
      <c r="AA185" s="10" t="str">
        <f aca="false">IF(A185="","",A185&amp;"_CAD.dwg")</f>
        <v/>
      </c>
      <c r="AB185" s="10" t="str">
        <f aca="false">IF(A185="","",A185&amp;"_DWG.pdf")</f>
        <v/>
      </c>
      <c r="AC185" s="10" t="str">
        <f aca="false">IF(A185="","",IF(Y185="Y",A185&amp;"_STAAD.std","n/a"))</f>
        <v/>
      </c>
      <c r="AD185" s="10" t="str">
        <f aca="false">IF(A185="","",A185&amp;"_CALC.xlsx")</f>
        <v/>
      </c>
      <c r="AE185" s="10" t="str">
        <f aca="false">IF(A185="","",A185&amp;"_CALC.pdf")</f>
        <v/>
      </c>
      <c r="AF185" s="9"/>
      <c r="AG185" s="9"/>
      <c r="AH185" s="41"/>
      <c r="AI185" s="41"/>
      <c r="AJ185" s="41"/>
      <c r="AK185" s="41"/>
      <c r="AL185" s="41"/>
      <c r="AM185" s="38" t="str">
        <f aca="false">IF(OR(C185="",G185=""),"",IF(G185&lt;=IF(OR(C185="Soldier Pile &amp; Timber Lagging",C185="Trench Shoring Box",C185="Open Cut (battered)"),SG_Criteria!$B$34,SG_Criteria!$B$33),"No ERSS submission",IF(G185&lt;=SG_Criteria!$B$35,"QP(ST)",IF(G185&lt;=SG_Criteria!$B$36,"QP(ST) + AC","Geotechnical building works: QP(Geo) + AC"))))</f>
        <v/>
      </c>
      <c r="AN185" s="38" t="str">
        <f aca="false">IF(C185="","",IF(LEN(IF(AND(Q185&lt;&gt;"",Q185&lt;SG_Criteria!$B$37),"FAIL: base stability FOS &lt; "&amp;SG_Criteria!$B$37&amp;". ","")&amp;IF(AND(D185="Manhole",G185&gt;SG_Criteria!$B$36),"NOTE: BCA lists sewer manholes (pipe &lt;= 2 m dia) &gt; 6 m as non-GBW: QP(ST) + AC. ","")&amp;IF(AND(C185="Trench Shoring Box",H185="Kallang Formation (marine clay)"),"NOTE: check base heave / ground loss for shoring box in marine clay. ","")&amp;IF(AND(C185="Steel Sheet Pile Cofferdam",N(M185)&lt;G185*0.5),"NOTE: short toe embedment, check. ",""))=0,"OK",IF(AND(Q185&lt;&gt;"",Q185&lt;SG_Criteria!$B$37),"FAIL: base stability FOS &lt; "&amp;SG_Criteria!$B$37&amp;". ","")&amp;IF(AND(D185="Manhole",G185&gt;SG_Criteria!$B$36),"NOTE: BCA lists sewer manholes (pipe &lt;= 2 m dia) &gt; 6 m as non-GBW: QP(ST) + AC. ","")&amp;IF(AND(C185="Trench Shoring Box",H185="Kallang Formation (marine clay)"),"NOTE: check base heave / ground loss for shoring box in marine clay. ","")&amp;IF(AND(C185="Steel Sheet Pile Cofferdam",N(M185)&lt;G185*0.5),"NOTE: short toe embedment, check. ","")))</f>
        <v/>
      </c>
      <c r="AO185" s="9"/>
      <c r="AP185" s="9"/>
      <c r="AQ185" s="9"/>
      <c r="AR185" s="9"/>
      <c r="AS185" s="9"/>
      <c r="AT185" s="31"/>
      <c r="AU185" s="10" t="str">
        <f aca="false">IF(C185="","",IF(AND(V185="Approved",ISERROR(SEARCH("FAIL",AN185))),"Y","N"))</f>
        <v/>
      </c>
      <c r="AV185" s="10" t="str">
        <f aca="false">IF(C185="","",C185&amp;"|"&amp;G185&amp;"|"&amp;E185&amp;"|"&amp;H185&amp;"|"&amp;AU185)</f>
        <v/>
      </c>
    </row>
    <row r="186" customFormat="false" ht="15" hidden="false" customHeight="false" outlineLevel="0" collapsed="false">
      <c r="A186" s="10" t="str">
        <f aca="false">IF(C186="","","ERSS-"&amp;IFERROR(VLOOKUP(C186,Lists!$AK$4:$AL$21,2,0),"??")&amp;"-"&amp;TEXT(E186,"0000")&amp;"x"&amp;TEXT(F186,"0000")&amp;"-D"&amp;TEXT(G186*1000,"0000")&amp;"-"&amp;IFERROR(VLOOKUP(H186,Lists!$Y$4:$Z$21,2,0),"??")&amp;"-"&amp;U186)</f>
        <v/>
      </c>
      <c r="B186" s="10" t="str">
        <f aca="false">IF(C186="","",C186&amp;" for "&amp;D186&amp;", "&amp;E186&amp;" x "&amp;F186&amp;" pit, "&amp;TEXT(G186,"0.0")&amp;" m deep, "&amp;H186)</f>
        <v/>
      </c>
      <c r="C186" s="9"/>
      <c r="D186" s="9"/>
      <c r="E186" s="40"/>
      <c r="F186" s="40"/>
      <c r="G186" s="43"/>
      <c r="H186" s="9"/>
      <c r="I186" s="43"/>
      <c r="J186" s="40"/>
      <c r="K186" s="9"/>
      <c r="L186" s="43"/>
      <c r="M186" s="43"/>
      <c r="N186" s="40"/>
      <c r="O186" s="9"/>
      <c r="P186" s="9"/>
      <c r="Q186" s="41"/>
      <c r="R186" s="9"/>
      <c r="S186" s="40"/>
      <c r="T186" s="9"/>
      <c r="U186" s="9"/>
      <c r="V186" s="9"/>
      <c r="W186" s="9"/>
      <c r="X186" s="9"/>
      <c r="Y186" s="9"/>
      <c r="Z186" s="10" t="str">
        <f aca="false">IF(A186="","",SG_Criteria!$B$6&amp;SG_Criteria!$B$11&amp;"\"&amp;A186&amp;"\")</f>
        <v/>
      </c>
      <c r="AA186" s="10" t="str">
        <f aca="false">IF(A186="","",A186&amp;"_CAD.dwg")</f>
        <v/>
      </c>
      <c r="AB186" s="10" t="str">
        <f aca="false">IF(A186="","",A186&amp;"_DWG.pdf")</f>
        <v/>
      </c>
      <c r="AC186" s="10" t="str">
        <f aca="false">IF(A186="","",IF(Y186="Y",A186&amp;"_STAAD.std","n/a"))</f>
        <v/>
      </c>
      <c r="AD186" s="10" t="str">
        <f aca="false">IF(A186="","",A186&amp;"_CALC.xlsx")</f>
        <v/>
      </c>
      <c r="AE186" s="10" t="str">
        <f aca="false">IF(A186="","",A186&amp;"_CALC.pdf")</f>
        <v/>
      </c>
      <c r="AF186" s="9"/>
      <c r="AG186" s="9"/>
      <c r="AH186" s="41"/>
      <c r="AI186" s="41"/>
      <c r="AJ186" s="41"/>
      <c r="AK186" s="41"/>
      <c r="AL186" s="41"/>
      <c r="AM186" s="38" t="str">
        <f aca="false">IF(OR(C186="",G186=""),"",IF(G186&lt;=IF(OR(C186="Soldier Pile &amp; Timber Lagging",C186="Trench Shoring Box",C186="Open Cut (battered)"),SG_Criteria!$B$34,SG_Criteria!$B$33),"No ERSS submission",IF(G186&lt;=SG_Criteria!$B$35,"QP(ST)",IF(G186&lt;=SG_Criteria!$B$36,"QP(ST) + AC","Geotechnical building works: QP(Geo) + AC"))))</f>
        <v/>
      </c>
      <c r="AN186" s="38" t="str">
        <f aca="false">IF(C186="","",IF(LEN(IF(AND(Q186&lt;&gt;"",Q186&lt;SG_Criteria!$B$37),"FAIL: base stability FOS &lt; "&amp;SG_Criteria!$B$37&amp;". ","")&amp;IF(AND(D186="Manhole",G186&gt;SG_Criteria!$B$36),"NOTE: BCA lists sewer manholes (pipe &lt;= 2 m dia) &gt; 6 m as non-GBW: QP(ST) + AC. ","")&amp;IF(AND(C186="Trench Shoring Box",H186="Kallang Formation (marine clay)"),"NOTE: check base heave / ground loss for shoring box in marine clay. ","")&amp;IF(AND(C186="Steel Sheet Pile Cofferdam",N(M186)&lt;G186*0.5),"NOTE: short toe embedment, check. ",""))=0,"OK",IF(AND(Q186&lt;&gt;"",Q186&lt;SG_Criteria!$B$37),"FAIL: base stability FOS &lt; "&amp;SG_Criteria!$B$37&amp;". ","")&amp;IF(AND(D186="Manhole",G186&gt;SG_Criteria!$B$36),"NOTE: BCA lists sewer manholes (pipe &lt;= 2 m dia) &gt; 6 m as non-GBW: QP(ST) + AC. ","")&amp;IF(AND(C186="Trench Shoring Box",H186="Kallang Formation (marine clay)"),"NOTE: check base heave / ground loss for shoring box in marine clay. ","")&amp;IF(AND(C186="Steel Sheet Pile Cofferdam",N(M186)&lt;G186*0.5),"NOTE: short toe embedment, check. ","")))</f>
        <v/>
      </c>
      <c r="AO186" s="9"/>
      <c r="AP186" s="9"/>
      <c r="AQ186" s="9"/>
      <c r="AR186" s="9"/>
      <c r="AS186" s="9"/>
      <c r="AT186" s="31"/>
      <c r="AU186" s="10" t="str">
        <f aca="false">IF(C186="","",IF(AND(V186="Approved",ISERROR(SEARCH("FAIL",AN186))),"Y","N"))</f>
        <v/>
      </c>
      <c r="AV186" s="10" t="str">
        <f aca="false">IF(C186="","",C186&amp;"|"&amp;G186&amp;"|"&amp;E186&amp;"|"&amp;H186&amp;"|"&amp;AU186)</f>
        <v/>
      </c>
    </row>
    <row r="187" customFormat="false" ht="15" hidden="false" customHeight="false" outlineLevel="0" collapsed="false">
      <c r="A187" s="10" t="str">
        <f aca="false">IF(C187="","","ERSS-"&amp;IFERROR(VLOOKUP(C187,Lists!$AK$4:$AL$21,2,0),"??")&amp;"-"&amp;TEXT(E187,"0000")&amp;"x"&amp;TEXT(F187,"0000")&amp;"-D"&amp;TEXT(G187*1000,"0000")&amp;"-"&amp;IFERROR(VLOOKUP(H187,Lists!$Y$4:$Z$21,2,0),"??")&amp;"-"&amp;U187)</f>
        <v/>
      </c>
      <c r="B187" s="10" t="str">
        <f aca="false">IF(C187="","",C187&amp;" for "&amp;D187&amp;", "&amp;E187&amp;" x "&amp;F187&amp;" pit, "&amp;TEXT(G187,"0.0")&amp;" m deep, "&amp;H187)</f>
        <v/>
      </c>
      <c r="C187" s="9"/>
      <c r="D187" s="9"/>
      <c r="E187" s="40"/>
      <c r="F187" s="40"/>
      <c r="G187" s="43"/>
      <c r="H187" s="9"/>
      <c r="I187" s="43"/>
      <c r="J187" s="40"/>
      <c r="K187" s="9"/>
      <c r="L187" s="43"/>
      <c r="M187" s="43"/>
      <c r="N187" s="40"/>
      <c r="O187" s="9"/>
      <c r="P187" s="9"/>
      <c r="Q187" s="41"/>
      <c r="R187" s="9"/>
      <c r="S187" s="40"/>
      <c r="T187" s="9"/>
      <c r="U187" s="9"/>
      <c r="V187" s="9"/>
      <c r="W187" s="9"/>
      <c r="X187" s="9"/>
      <c r="Y187" s="9"/>
      <c r="Z187" s="10" t="str">
        <f aca="false">IF(A187="","",SG_Criteria!$B$6&amp;SG_Criteria!$B$11&amp;"\"&amp;A187&amp;"\")</f>
        <v/>
      </c>
      <c r="AA187" s="10" t="str">
        <f aca="false">IF(A187="","",A187&amp;"_CAD.dwg")</f>
        <v/>
      </c>
      <c r="AB187" s="10" t="str">
        <f aca="false">IF(A187="","",A187&amp;"_DWG.pdf")</f>
        <v/>
      </c>
      <c r="AC187" s="10" t="str">
        <f aca="false">IF(A187="","",IF(Y187="Y",A187&amp;"_STAAD.std","n/a"))</f>
        <v/>
      </c>
      <c r="AD187" s="10" t="str">
        <f aca="false">IF(A187="","",A187&amp;"_CALC.xlsx")</f>
        <v/>
      </c>
      <c r="AE187" s="10" t="str">
        <f aca="false">IF(A187="","",A187&amp;"_CALC.pdf")</f>
        <v/>
      </c>
      <c r="AF187" s="9"/>
      <c r="AG187" s="9"/>
      <c r="AH187" s="41"/>
      <c r="AI187" s="41"/>
      <c r="AJ187" s="41"/>
      <c r="AK187" s="41"/>
      <c r="AL187" s="41"/>
      <c r="AM187" s="38" t="str">
        <f aca="false">IF(OR(C187="",G187=""),"",IF(G187&lt;=IF(OR(C187="Soldier Pile &amp; Timber Lagging",C187="Trench Shoring Box",C187="Open Cut (battered)"),SG_Criteria!$B$34,SG_Criteria!$B$33),"No ERSS submission",IF(G187&lt;=SG_Criteria!$B$35,"QP(ST)",IF(G187&lt;=SG_Criteria!$B$36,"QP(ST) + AC","Geotechnical building works: QP(Geo) + AC"))))</f>
        <v/>
      </c>
      <c r="AN187" s="38" t="str">
        <f aca="false">IF(C187="","",IF(LEN(IF(AND(Q187&lt;&gt;"",Q187&lt;SG_Criteria!$B$37),"FAIL: base stability FOS &lt; "&amp;SG_Criteria!$B$37&amp;". ","")&amp;IF(AND(D187="Manhole",G187&gt;SG_Criteria!$B$36),"NOTE: BCA lists sewer manholes (pipe &lt;= 2 m dia) &gt; 6 m as non-GBW: QP(ST) + AC. ","")&amp;IF(AND(C187="Trench Shoring Box",H187="Kallang Formation (marine clay)"),"NOTE: check base heave / ground loss for shoring box in marine clay. ","")&amp;IF(AND(C187="Steel Sheet Pile Cofferdam",N(M187)&lt;G187*0.5),"NOTE: short toe embedment, check. ",""))=0,"OK",IF(AND(Q187&lt;&gt;"",Q187&lt;SG_Criteria!$B$37),"FAIL: base stability FOS &lt; "&amp;SG_Criteria!$B$37&amp;". ","")&amp;IF(AND(D187="Manhole",G187&gt;SG_Criteria!$B$36),"NOTE: BCA lists sewer manholes (pipe &lt;= 2 m dia) &gt; 6 m as non-GBW: QP(ST) + AC. ","")&amp;IF(AND(C187="Trench Shoring Box",H187="Kallang Formation (marine clay)"),"NOTE: check base heave / ground loss for shoring box in marine clay. ","")&amp;IF(AND(C187="Steel Sheet Pile Cofferdam",N(M187)&lt;G187*0.5),"NOTE: short toe embedment, check. ","")))</f>
        <v/>
      </c>
      <c r="AO187" s="9"/>
      <c r="AP187" s="9"/>
      <c r="AQ187" s="9"/>
      <c r="AR187" s="9"/>
      <c r="AS187" s="9"/>
      <c r="AT187" s="31"/>
      <c r="AU187" s="10" t="str">
        <f aca="false">IF(C187="","",IF(AND(V187="Approved",ISERROR(SEARCH("FAIL",AN187))),"Y","N"))</f>
        <v/>
      </c>
      <c r="AV187" s="10" t="str">
        <f aca="false">IF(C187="","",C187&amp;"|"&amp;G187&amp;"|"&amp;E187&amp;"|"&amp;H187&amp;"|"&amp;AU187)</f>
        <v/>
      </c>
    </row>
    <row r="188" customFormat="false" ht="15" hidden="false" customHeight="false" outlineLevel="0" collapsed="false">
      <c r="A188" s="10" t="str">
        <f aca="false">IF(C188="","","ERSS-"&amp;IFERROR(VLOOKUP(C188,Lists!$AK$4:$AL$21,2,0),"??")&amp;"-"&amp;TEXT(E188,"0000")&amp;"x"&amp;TEXT(F188,"0000")&amp;"-D"&amp;TEXT(G188*1000,"0000")&amp;"-"&amp;IFERROR(VLOOKUP(H188,Lists!$Y$4:$Z$21,2,0),"??")&amp;"-"&amp;U188)</f>
        <v/>
      </c>
      <c r="B188" s="10" t="str">
        <f aca="false">IF(C188="","",C188&amp;" for "&amp;D188&amp;", "&amp;E188&amp;" x "&amp;F188&amp;" pit, "&amp;TEXT(G188,"0.0")&amp;" m deep, "&amp;H188)</f>
        <v/>
      </c>
      <c r="C188" s="9"/>
      <c r="D188" s="9"/>
      <c r="E188" s="40"/>
      <c r="F188" s="40"/>
      <c r="G188" s="43"/>
      <c r="H188" s="9"/>
      <c r="I188" s="43"/>
      <c r="J188" s="40"/>
      <c r="K188" s="9"/>
      <c r="L188" s="43"/>
      <c r="M188" s="43"/>
      <c r="N188" s="40"/>
      <c r="O188" s="9"/>
      <c r="P188" s="9"/>
      <c r="Q188" s="41"/>
      <c r="R188" s="9"/>
      <c r="S188" s="40"/>
      <c r="T188" s="9"/>
      <c r="U188" s="9"/>
      <c r="V188" s="9"/>
      <c r="W188" s="9"/>
      <c r="X188" s="9"/>
      <c r="Y188" s="9"/>
      <c r="Z188" s="10" t="str">
        <f aca="false">IF(A188="","",SG_Criteria!$B$6&amp;SG_Criteria!$B$11&amp;"\"&amp;A188&amp;"\")</f>
        <v/>
      </c>
      <c r="AA188" s="10" t="str">
        <f aca="false">IF(A188="","",A188&amp;"_CAD.dwg")</f>
        <v/>
      </c>
      <c r="AB188" s="10" t="str">
        <f aca="false">IF(A188="","",A188&amp;"_DWG.pdf")</f>
        <v/>
      </c>
      <c r="AC188" s="10" t="str">
        <f aca="false">IF(A188="","",IF(Y188="Y",A188&amp;"_STAAD.std","n/a"))</f>
        <v/>
      </c>
      <c r="AD188" s="10" t="str">
        <f aca="false">IF(A188="","",A188&amp;"_CALC.xlsx")</f>
        <v/>
      </c>
      <c r="AE188" s="10" t="str">
        <f aca="false">IF(A188="","",A188&amp;"_CALC.pdf")</f>
        <v/>
      </c>
      <c r="AF188" s="9"/>
      <c r="AG188" s="9"/>
      <c r="AH188" s="41"/>
      <c r="AI188" s="41"/>
      <c r="AJ188" s="41"/>
      <c r="AK188" s="41"/>
      <c r="AL188" s="41"/>
      <c r="AM188" s="38" t="str">
        <f aca="false">IF(OR(C188="",G188=""),"",IF(G188&lt;=IF(OR(C188="Soldier Pile &amp; Timber Lagging",C188="Trench Shoring Box",C188="Open Cut (battered)"),SG_Criteria!$B$34,SG_Criteria!$B$33),"No ERSS submission",IF(G188&lt;=SG_Criteria!$B$35,"QP(ST)",IF(G188&lt;=SG_Criteria!$B$36,"QP(ST) + AC","Geotechnical building works: QP(Geo) + AC"))))</f>
        <v/>
      </c>
      <c r="AN188" s="38" t="str">
        <f aca="false">IF(C188="","",IF(LEN(IF(AND(Q188&lt;&gt;"",Q188&lt;SG_Criteria!$B$37),"FAIL: base stability FOS &lt; "&amp;SG_Criteria!$B$37&amp;". ","")&amp;IF(AND(D188="Manhole",G188&gt;SG_Criteria!$B$36),"NOTE: BCA lists sewer manholes (pipe &lt;= 2 m dia) &gt; 6 m as non-GBW: QP(ST) + AC. ","")&amp;IF(AND(C188="Trench Shoring Box",H188="Kallang Formation (marine clay)"),"NOTE: check base heave / ground loss for shoring box in marine clay. ","")&amp;IF(AND(C188="Steel Sheet Pile Cofferdam",N(M188)&lt;G188*0.5),"NOTE: short toe embedment, check. ",""))=0,"OK",IF(AND(Q188&lt;&gt;"",Q188&lt;SG_Criteria!$B$37),"FAIL: base stability FOS &lt; "&amp;SG_Criteria!$B$37&amp;". ","")&amp;IF(AND(D188="Manhole",G188&gt;SG_Criteria!$B$36),"NOTE: BCA lists sewer manholes (pipe &lt;= 2 m dia) &gt; 6 m as non-GBW: QP(ST) + AC. ","")&amp;IF(AND(C188="Trench Shoring Box",H188="Kallang Formation (marine clay)"),"NOTE: check base heave / ground loss for shoring box in marine clay. ","")&amp;IF(AND(C188="Steel Sheet Pile Cofferdam",N(M188)&lt;G188*0.5),"NOTE: short toe embedment, check. ","")))</f>
        <v/>
      </c>
      <c r="AO188" s="9"/>
      <c r="AP188" s="9"/>
      <c r="AQ188" s="9"/>
      <c r="AR188" s="9"/>
      <c r="AS188" s="9"/>
      <c r="AT188" s="31"/>
      <c r="AU188" s="10" t="str">
        <f aca="false">IF(C188="","",IF(AND(V188="Approved",ISERROR(SEARCH("FAIL",AN188))),"Y","N"))</f>
        <v/>
      </c>
      <c r="AV188" s="10" t="str">
        <f aca="false">IF(C188="","",C188&amp;"|"&amp;G188&amp;"|"&amp;E188&amp;"|"&amp;H188&amp;"|"&amp;AU188)</f>
        <v/>
      </c>
    </row>
    <row r="189" customFormat="false" ht="15" hidden="false" customHeight="false" outlineLevel="0" collapsed="false">
      <c r="A189" s="10" t="str">
        <f aca="false">IF(C189="","","ERSS-"&amp;IFERROR(VLOOKUP(C189,Lists!$AK$4:$AL$21,2,0),"??")&amp;"-"&amp;TEXT(E189,"0000")&amp;"x"&amp;TEXT(F189,"0000")&amp;"-D"&amp;TEXT(G189*1000,"0000")&amp;"-"&amp;IFERROR(VLOOKUP(H189,Lists!$Y$4:$Z$21,2,0),"??")&amp;"-"&amp;U189)</f>
        <v/>
      </c>
      <c r="B189" s="10" t="str">
        <f aca="false">IF(C189="","",C189&amp;" for "&amp;D189&amp;", "&amp;E189&amp;" x "&amp;F189&amp;" pit, "&amp;TEXT(G189,"0.0")&amp;" m deep, "&amp;H189)</f>
        <v/>
      </c>
      <c r="C189" s="9"/>
      <c r="D189" s="9"/>
      <c r="E189" s="40"/>
      <c r="F189" s="40"/>
      <c r="G189" s="43"/>
      <c r="H189" s="9"/>
      <c r="I189" s="43"/>
      <c r="J189" s="40"/>
      <c r="K189" s="9"/>
      <c r="L189" s="43"/>
      <c r="M189" s="43"/>
      <c r="N189" s="40"/>
      <c r="O189" s="9"/>
      <c r="P189" s="9"/>
      <c r="Q189" s="41"/>
      <c r="R189" s="9"/>
      <c r="S189" s="40"/>
      <c r="T189" s="9"/>
      <c r="U189" s="9"/>
      <c r="V189" s="9"/>
      <c r="W189" s="9"/>
      <c r="X189" s="9"/>
      <c r="Y189" s="9"/>
      <c r="Z189" s="10" t="str">
        <f aca="false">IF(A189="","",SG_Criteria!$B$6&amp;SG_Criteria!$B$11&amp;"\"&amp;A189&amp;"\")</f>
        <v/>
      </c>
      <c r="AA189" s="10" t="str">
        <f aca="false">IF(A189="","",A189&amp;"_CAD.dwg")</f>
        <v/>
      </c>
      <c r="AB189" s="10" t="str">
        <f aca="false">IF(A189="","",A189&amp;"_DWG.pdf")</f>
        <v/>
      </c>
      <c r="AC189" s="10" t="str">
        <f aca="false">IF(A189="","",IF(Y189="Y",A189&amp;"_STAAD.std","n/a"))</f>
        <v/>
      </c>
      <c r="AD189" s="10" t="str">
        <f aca="false">IF(A189="","",A189&amp;"_CALC.xlsx")</f>
        <v/>
      </c>
      <c r="AE189" s="10" t="str">
        <f aca="false">IF(A189="","",A189&amp;"_CALC.pdf")</f>
        <v/>
      </c>
      <c r="AF189" s="9"/>
      <c r="AG189" s="9"/>
      <c r="AH189" s="41"/>
      <c r="AI189" s="41"/>
      <c r="AJ189" s="41"/>
      <c r="AK189" s="41"/>
      <c r="AL189" s="41"/>
      <c r="AM189" s="38" t="str">
        <f aca="false">IF(OR(C189="",G189=""),"",IF(G189&lt;=IF(OR(C189="Soldier Pile &amp; Timber Lagging",C189="Trench Shoring Box",C189="Open Cut (battered)"),SG_Criteria!$B$34,SG_Criteria!$B$33),"No ERSS submission",IF(G189&lt;=SG_Criteria!$B$35,"QP(ST)",IF(G189&lt;=SG_Criteria!$B$36,"QP(ST) + AC","Geotechnical building works: QP(Geo) + AC"))))</f>
        <v/>
      </c>
      <c r="AN189" s="38" t="str">
        <f aca="false">IF(C189="","",IF(LEN(IF(AND(Q189&lt;&gt;"",Q189&lt;SG_Criteria!$B$37),"FAIL: base stability FOS &lt; "&amp;SG_Criteria!$B$37&amp;". ","")&amp;IF(AND(D189="Manhole",G189&gt;SG_Criteria!$B$36),"NOTE: BCA lists sewer manholes (pipe &lt;= 2 m dia) &gt; 6 m as non-GBW: QP(ST) + AC. ","")&amp;IF(AND(C189="Trench Shoring Box",H189="Kallang Formation (marine clay)"),"NOTE: check base heave / ground loss for shoring box in marine clay. ","")&amp;IF(AND(C189="Steel Sheet Pile Cofferdam",N(M189)&lt;G189*0.5),"NOTE: short toe embedment, check. ",""))=0,"OK",IF(AND(Q189&lt;&gt;"",Q189&lt;SG_Criteria!$B$37),"FAIL: base stability FOS &lt; "&amp;SG_Criteria!$B$37&amp;". ","")&amp;IF(AND(D189="Manhole",G189&gt;SG_Criteria!$B$36),"NOTE: BCA lists sewer manholes (pipe &lt;= 2 m dia) &gt; 6 m as non-GBW: QP(ST) + AC. ","")&amp;IF(AND(C189="Trench Shoring Box",H189="Kallang Formation (marine clay)"),"NOTE: check base heave / ground loss for shoring box in marine clay. ","")&amp;IF(AND(C189="Steel Sheet Pile Cofferdam",N(M189)&lt;G189*0.5),"NOTE: short toe embedment, check. ","")))</f>
        <v/>
      </c>
      <c r="AO189" s="9"/>
      <c r="AP189" s="9"/>
      <c r="AQ189" s="9"/>
      <c r="AR189" s="9"/>
      <c r="AS189" s="9"/>
      <c r="AT189" s="31"/>
      <c r="AU189" s="10" t="str">
        <f aca="false">IF(C189="","",IF(AND(V189="Approved",ISERROR(SEARCH("FAIL",AN189))),"Y","N"))</f>
        <v/>
      </c>
      <c r="AV189" s="10" t="str">
        <f aca="false">IF(C189="","",C189&amp;"|"&amp;G189&amp;"|"&amp;E189&amp;"|"&amp;H189&amp;"|"&amp;AU189)</f>
        <v/>
      </c>
    </row>
    <row r="190" customFormat="false" ht="15" hidden="false" customHeight="false" outlineLevel="0" collapsed="false">
      <c r="A190" s="10" t="str">
        <f aca="false">IF(C190="","","ERSS-"&amp;IFERROR(VLOOKUP(C190,Lists!$AK$4:$AL$21,2,0),"??")&amp;"-"&amp;TEXT(E190,"0000")&amp;"x"&amp;TEXT(F190,"0000")&amp;"-D"&amp;TEXT(G190*1000,"0000")&amp;"-"&amp;IFERROR(VLOOKUP(H190,Lists!$Y$4:$Z$21,2,0),"??")&amp;"-"&amp;U190)</f>
        <v/>
      </c>
      <c r="B190" s="10" t="str">
        <f aca="false">IF(C190="","",C190&amp;" for "&amp;D190&amp;", "&amp;E190&amp;" x "&amp;F190&amp;" pit, "&amp;TEXT(G190,"0.0")&amp;" m deep, "&amp;H190)</f>
        <v/>
      </c>
      <c r="C190" s="9"/>
      <c r="D190" s="9"/>
      <c r="E190" s="40"/>
      <c r="F190" s="40"/>
      <c r="G190" s="43"/>
      <c r="H190" s="9"/>
      <c r="I190" s="43"/>
      <c r="J190" s="40"/>
      <c r="K190" s="9"/>
      <c r="L190" s="43"/>
      <c r="M190" s="43"/>
      <c r="N190" s="40"/>
      <c r="O190" s="9"/>
      <c r="P190" s="9"/>
      <c r="Q190" s="41"/>
      <c r="R190" s="9"/>
      <c r="S190" s="40"/>
      <c r="T190" s="9"/>
      <c r="U190" s="9"/>
      <c r="V190" s="9"/>
      <c r="W190" s="9"/>
      <c r="X190" s="9"/>
      <c r="Y190" s="9"/>
      <c r="Z190" s="10" t="str">
        <f aca="false">IF(A190="","",SG_Criteria!$B$6&amp;SG_Criteria!$B$11&amp;"\"&amp;A190&amp;"\")</f>
        <v/>
      </c>
      <c r="AA190" s="10" t="str">
        <f aca="false">IF(A190="","",A190&amp;"_CAD.dwg")</f>
        <v/>
      </c>
      <c r="AB190" s="10" t="str">
        <f aca="false">IF(A190="","",A190&amp;"_DWG.pdf")</f>
        <v/>
      </c>
      <c r="AC190" s="10" t="str">
        <f aca="false">IF(A190="","",IF(Y190="Y",A190&amp;"_STAAD.std","n/a"))</f>
        <v/>
      </c>
      <c r="AD190" s="10" t="str">
        <f aca="false">IF(A190="","",A190&amp;"_CALC.xlsx")</f>
        <v/>
      </c>
      <c r="AE190" s="10" t="str">
        <f aca="false">IF(A190="","",A190&amp;"_CALC.pdf")</f>
        <v/>
      </c>
      <c r="AF190" s="9"/>
      <c r="AG190" s="9"/>
      <c r="AH190" s="41"/>
      <c r="AI190" s="41"/>
      <c r="AJ190" s="41"/>
      <c r="AK190" s="41"/>
      <c r="AL190" s="41"/>
      <c r="AM190" s="38" t="str">
        <f aca="false">IF(OR(C190="",G190=""),"",IF(G190&lt;=IF(OR(C190="Soldier Pile &amp; Timber Lagging",C190="Trench Shoring Box",C190="Open Cut (battered)"),SG_Criteria!$B$34,SG_Criteria!$B$33),"No ERSS submission",IF(G190&lt;=SG_Criteria!$B$35,"QP(ST)",IF(G190&lt;=SG_Criteria!$B$36,"QP(ST) + AC","Geotechnical building works: QP(Geo) + AC"))))</f>
        <v/>
      </c>
      <c r="AN190" s="38" t="str">
        <f aca="false">IF(C190="","",IF(LEN(IF(AND(Q190&lt;&gt;"",Q190&lt;SG_Criteria!$B$37),"FAIL: base stability FOS &lt; "&amp;SG_Criteria!$B$37&amp;". ","")&amp;IF(AND(D190="Manhole",G190&gt;SG_Criteria!$B$36),"NOTE: BCA lists sewer manholes (pipe &lt;= 2 m dia) &gt; 6 m as non-GBW: QP(ST) + AC. ","")&amp;IF(AND(C190="Trench Shoring Box",H190="Kallang Formation (marine clay)"),"NOTE: check base heave / ground loss for shoring box in marine clay. ","")&amp;IF(AND(C190="Steel Sheet Pile Cofferdam",N(M190)&lt;G190*0.5),"NOTE: short toe embedment, check. ",""))=0,"OK",IF(AND(Q190&lt;&gt;"",Q190&lt;SG_Criteria!$B$37),"FAIL: base stability FOS &lt; "&amp;SG_Criteria!$B$37&amp;". ","")&amp;IF(AND(D190="Manhole",G190&gt;SG_Criteria!$B$36),"NOTE: BCA lists sewer manholes (pipe &lt;= 2 m dia) &gt; 6 m as non-GBW: QP(ST) + AC. ","")&amp;IF(AND(C190="Trench Shoring Box",H190="Kallang Formation (marine clay)"),"NOTE: check base heave / ground loss for shoring box in marine clay. ","")&amp;IF(AND(C190="Steel Sheet Pile Cofferdam",N(M190)&lt;G190*0.5),"NOTE: short toe embedment, check. ","")))</f>
        <v/>
      </c>
      <c r="AO190" s="9"/>
      <c r="AP190" s="9"/>
      <c r="AQ190" s="9"/>
      <c r="AR190" s="9"/>
      <c r="AS190" s="9"/>
      <c r="AT190" s="31"/>
      <c r="AU190" s="10" t="str">
        <f aca="false">IF(C190="","",IF(AND(V190="Approved",ISERROR(SEARCH("FAIL",AN190))),"Y","N"))</f>
        <v/>
      </c>
      <c r="AV190" s="10" t="str">
        <f aca="false">IF(C190="","",C190&amp;"|"&amp;G190&amp;"|"&amp;E190&amp;"|"&amp;H190&amp;"|"&amp;AU190)</f>
        <v/>
      </c>
    </row>
    <row r="191" customFormat="false" ht="15" hidden="false" customHeight="false" outlineLevel="0" collapsed="false">
      <c r="A191" s="10" t="str">
        <f aca="false">IF(C191="","","ERSS-"&amp;IFERROR(VLOOKUP(C191,Lists!$AK$4:$AL$21,2,0),"??")&amp;"-"&amp;TEXT(E191,"0000")&amp;"x"&amp;TEXT(F191,"0000")&amp;"-D"&amp;TEXT(G191*1000,"0000")&amp;"-"&amp;IFERROR(VLOOKUP(H191,Lists!$Y$4:$Z$21,2,0),"??")&amp;"-"&amp;U191)</f>
        <v/>
      </c>
      <c r="B191" s="10" t="str">
        <f aca="false">IF(C191="","",C191&amp;" for "&amp;D191&amp;", "&amp;E191&amp;" x "&amp;F191&amp;" pit, "&amp;TEXT(G191,"0.0")&amp;" m deep, "&amp;H191)</f>
        <v/>
      </c>
      <c r="C191" s="9"/>
      <c r="D191" s="9"/>
      <c r="E191" s="40"/>
      <c r="F191" s="40"/>
      <c r="G191" s="43"/>
      <c r="H191" s="9"/>
      <c r="I191" s="43"/>
      <c r="J191" s="40"/>
      <c r="K191" s="9"/>
      <c r="L191" s="43"/>
      <c r="M191" s="43"/>
      <c r="N191" s="40"/>
      <c r="O191" s="9"/>
      <c r="P191" s="9"/>
      <c r="Q191" s="41"/>
      <c r="R191" s="9"/>
      <c r="S191" s="40"/>
      <c r="T191" s="9"/>
      <c r="U191" s="9"/>
      <c r="V191" s="9"/>
      <c r="W191" s="9"/>
      <c r="X191" s="9"/>
      <c r="Y191" s="9"/>
      <c r="Z191" s="10" t="str">
        <f aca="false">IF(A191="","",SG_Criteria!$B$6&amp;SG_Criteria!$B$11&amp;"\"&amp;A191&amp;"\")</f>
        <v/>
      </c>
      <c r="AA191" s="10" t="str">
        <f aca="false">IF(A191="","",A191&amp;"_CAD.dwg")</f>
        <v/>
      </c>
      <c r="AB191" s="10" t="str">
        <f aca="false">IF(A191="","",A191&amp;"_DWG.pdf")</f>
        <v/>
      </c>
      <c r="AC191" s="10" t="str">
        <f aca="false">IF(A191="","",IF(Y191="Y",A191&amp;"_STAAD.std","n/a"))</f>
        <v/>
      </c>
      <c r="AD191" s="10" t="str">
        <f aca="false">IF(A191="","",A191&amp;"_CALC.xlsx")</f>
        <v/>
      </c>
      <c r="AE191" s="10" t="str">
        <f aca="false">IF(A191="","",A191&amp;"_CALC.pdf")</f>
        <v/>
      </c>
      <c r="AF191" s="9"/>
      <c r="AG191" s="9"/>
      <c r="AH191" s="41"/>
      <c r="AI191" s="41"/>
      <c r="AJ191" s="41"/>
      <c r="AK191" s="41"/>
      <c r="AL191" s="41"/>
      <c r="AM191" s="38" t="str">
        <f aca="false">IF(OR(C191="",G191=""),"",IF(G191&lt;=IF(OR(C191="Soldier Pile &amp; Timber Lagging",C191="Trench Shoring Box",C191="Open Cut (battered)"),SG_Criteria!$B$34,SG_Criteria!$B$33),"No ERSS submission",IF(G191&lt;=SG_Criteria!$B$35,"QP(ST)",IF(G191&lt;=SG_Criteria!$B$36,"QP(ST) + AC","Geotechnical building works: QP(Geo) + AC"))))</f>
        <v/>
      </c>
      <c r="AN191" s="38" t="str">
        <f aca="false">IF(C191="","",IF(LEN(IF(AND(Q191&lt;&gt;"",Q191&lt;SG_Criteria!$B$37),"FAIL: base stability FOS &lt; "&amp;SG_Criteria!$B$37&amp;". ","")&amp;IF(AND(D191="Manhole",G191&gt;SG_Criteria!$B$36),"NOTE: BCA lists sewer manholes (pipe &lt;= 2 m dia) &gt; 6 m as non-GBW: QP(ST) + AC. ","")&amp;IF(AND(C191="Trench Shoring Box",H191="Kallang Formation (marine clay)"),"NOTE: check base heave / ground loss for shoring box in marine clay. ","")&amp;IF(AND(C191="Steel Sheet Pile Cofferdam",N(M191)&lt;G191*0.5),"NOTE: short toe embedment, check. ",""))=0,"OK",IF(AND(Q191&lt;&gt;"",Q191&lt;SG_Criteria!$B$37),"FAIL: base stability FOS &lt; "&amp;SG_Criteria!$B$37&amp;". ","")&amp;IF(AND(D191="Manhole",G191&gt;SG_Criteria!$B$36),"NOTE: BCA lists sewer manholes (pipe &lt;= 2 m dia) &gt; 6 m as non-GBW: QP(ST) + AC. ","")&amp;IF(AND(C191="Trench Shoring Box",H191="Kallang Formation (marine clay)"),"NOTE: check base heave / ground loss for shoring box in marine clay. ","")&amp;IF(AND(C191="Steel Sheet Pile Cofferdam",N(M191)&lt;G191*0.5),"NOTE: short toe embedment, check. ","")))</f>
        <v/>
      </c>
      <c r="AO191" s="9"/>
      <c r="AP191" s="9"/>
      <c r="AQ191" s="9"/>
      <c r="AR191" s="9"/>
      <c r="AS191" s="9"/>
      <c r="AT191" s="31"/>
      <c r="AU191" s="10" t="str">
        <f aca="false">IF(C191="","",IF(AND(V191="Approved",ISERROR(SEARCH("FAIL",AN191))),"Y","N"))</f>
        <v/>
      </c>
      <c r="AV191" s="10" t="str">
        <f aca="false">IF(C191="","",C191&amp;"|"&amp;G191&amp;"|"&amp;E191&amp;"|"&amp;H191&amp;"|"&amp;AU191)</f>
        <v/>
      </c>
    </row>
    <row r="192" customFormat="false" ht="15" hidden="false" customHeight="false" outlineLevel="0" collapsed="false">
      <c r="A192" s="10" t="str">
        <f aca="false">IF(C192="","","ERSS-"&amp;IFERROR(VLOOKUP(C192,Lists!$AK$4:$AL$21,2,0),"??")&amp;"-"&amp;TEXT(E192,"0000")&amp;"x"&amp;TEXT(F192,"0000")&amp;"-D"&amp;TEXT(G192*1000,"0000")&amp;"-"&amp;IFERROR(VLOOKUP(H192,Lists!$Y$4:$Z$21,2,0),"??")&amp;"-"&amp;U192)</f>
        <v/>
      </c>
      <c r="B192" s="10" t="str">
        <f aca="false">IF(C192="","",C192&amp;" for "&amp;D192&amp;", "&amp;E192&amp;" x "&amp;F192&amp;" pit, "&amp;TEXT(G192,"0.0")&amp;" m deep, "&amp;H192)</f>
        <v/>
      </c>
      <c r="C192" s="9"/>
      <c r="D192" s="9"/>
      <c r="E192" s="40"/>
      <c r="F192" s="40"/>
      <c r="G192" s="43"/>
      <c r="H192" s="9"/>
      <c r="I192" s="43"/>
      <c r="J192" s="40"/>
      <c r="K192" s="9"/>
      <c r="L192" s="43"/>
      <c r="M192" s="43"/>
      <c r="N192" s="40"/>
      <c r="O192" s="9"/>
      <c r="P192" s="9"/>
      <c r="Q192" s="41"/>
      <c r="R192" s="9"/>
      <c r="S192" s="40"/>
      <c r="T192" s="9"/>
      <c r="U192" s="9"/>
      <c r="V192" s="9"/>
      <c r="W192" s="9"/>
      <c r="X192" s="9"/>
      <c r="Y192" s="9"/>
      <c r="Z192" s="10" t="str">
        <f aca="false">IF(A192="","",SG_Criteria!$B$6&amp;SG_Criteria!$B$11&amp;"\"&amp;A192&amp;"\")</f>
        <v/>
      </c>
      <c r="AA192" s="10" t="str">
        <f aca="false">IF(A192="","",A192&amp;"_CAD.dwg")</f>
        <v/>
      </c>
      <c r="AB192" s="10" t="str">
        <f aca="false">IF(A192="","",A192&amp;"_DWG.pdf")</f>
        <v/>
      </c>
      <c r="AC192" s="10" t="str">
        <f aca="false">IF(A192="","",IF(Y192="Y",A192&amp;"_STAAD.std","n/a"))</f>
        <v/>
      </c>
      <c r="AD192" s="10" t="str">
        <f aca="false">IF(A192="","",A192&amp;"_CALC.xlsx")</f>
        <v/>
      </c>
      <c r="AE192" s="10" t="str">
        <f aca="false">IF(A192="","",A192&amp;"_CALC.pdf")</f>
        <v/>
      </c>
      <c r="AF192" s="9"/>
      <c r="AG192" s="9"/>
      <c r="AH192" s="41"/>
      <c r="AI192" s="41"/>
      <c r="AJ192" s="41"/>
      <c r="AK192" s="41"/>
      <c r="AL192" s="41"/>
      <c r="AM192" s="38" t="str">
        <f aca="false">IF(OR(C192="",G192=""),"",IF(G192&lt;=IF(OR(C192="Soldier Pile &amp; Timber Lagging",C192="Trench Shoring Box",C192="Open Cut (battered)"),SG_Criteria!$B$34,SG_Criteria!$B$33),"No ERSS submission",IF(G192&lt;=SG_Criteria!$B$35,"QP(ST)",IF(G192&lt;=SG_Criteria!$B$36,"QP(ST) + AC","Geotechnical building works: QP(Geo) + AC"))))</f>
        <v/>
      </c>
      <c r="AN192" s="38" t="str">
        <f aca="false">IF(C192="","",IF(LEN(IF(AND(Q192&lt;&gt;"",Q192&lt;SG_Criteria!$B$37),"FAIL: base stability FOS &lt; "&amp;SG_Criteria!$B$37&amp;". ","")&amp;IF(AND(D192="Manhole",G192&gt;SG_Criteria!$B$36),"NOTE: BCA lists sewer manholes (pipe &lt;= 2 m dia) &gt; 6 m as non-GBW: QP(ST) + AC. ","")&amp;IF(AND(C192="Trench Shoring Box",H192="Kallang Formation (marine clay)"),"NOTE: check base heave / ground loss for shoring box in marine clay. ","")&amp;IF(AND(C192="Steel Sheet Pile Cofferdam",N(M192)&lt;G192*0.5),"NOTE: short toe embedment, check. ",""))=0,"OK",IF(AND(Q192&lt;&gt;"",Q192&lt;SG_Criteria!$B$37),"FAIL: base stability FOS &lt; "&amp;SG_Criteria!$B$37&amp;". ","")&amp;IF(AND(D192="Manhole",G192&gt;SG_Criteria!$B$36),"NOTE: BCA lists sewer manholes (pipe &lt;= 2 m dia) &gt; 6 m as non-GBW: QP(ST) + AC. ","")&amp;IF(AND(C192="Trench Shoring Box",H192="Kallang Formation (marine clay)"),"NOTE: check base heave / ground loss for shoring box in marine clay. ","")&amp;IF(AND(C192="Steel Sheet Pile Cofferdam",N(M192)&lt;G192*0.5),"NOTE: short toe embedment, check. ","")))</f>
        <v/>
      </c>
      <c r="AO192" s="9"/>
      <c r="AP192" s="9"/>
      <c r="AQ192" s="9"/>
      <c r="AR192" s="9"/>
      <c r="AS192" s="9"/>
      <c r="AT192" s="31"/>
      <c r="AU192" s="10" t="str">
        <f aca="false">IF(C192="","",IF(AND(V192="Approved",ISERROR(SEARCH("FAIL",AN192))),"Y","N"))</f>
        <v/>
      </c>
      <c r="AV192" s="10" t="str">
        <f aca="false">IF(C192="","",C192&amp;"|"&amp;G192&amp;"|"&amp;E192&amp;"|"&amp;H192&amp;"|"&amp;AU192)</f>
        <v/>
      </c>
    </row>
    <row r="193" customFormat="false" ht="15" hidden="false" customHeight="false" outlineLevel="0" collapsed="false">
      <c r="A193" s="10" t="str">
        <f aca="false">IF(C193="","","ERSS-"&amp;IFERROR(VLOOKUP(C193,Lists!$AK$4:$AL$21,2,0),"??")&amp;"-"&amp;TEXT(E193,"0000")&amp;"x"&amp;TEXT(F193,"0000")&amp;"-D"&amp;TEXT(G193*1000,"0000")&amp;"-"&amp;IFERROR(VLOOKUP(H193,Lists!$Y$4:$Z$21,2,0),"??")&amp;"-"&amp;U193)</f>
        <v/>
      </c>
      <c r="B193" s="10" t="str">
        <f aca="false">IF(C193="","",C193&amp;" for "&amp;D193&amp;", "&amp;E193&amp;" x "&amp;F193&amp;" pit, "&amp;TEXT(G193,"0.0")&amp;" m deep, "&amp;H193)</f>
        <v/>
      </c>
      <c r="C193" s="9"/>
      <c r="D193" s="9"/>
      <c r="E193" s="40"/>
      <c r="F193" s="40"/>
      <c r="G193" s="43"/>
      <c r="H193" s="9"/>
      <c r="I193" s="43"/>
      <c r="J193" s="40"/>
      <c r="K193" s="9"/>
      <c r="L193" s="43"/>
      <c r="M193" s="43"/>
      <c r="N193" s="40"/>
      <c r="O193" s="9"/>
      <c r="P193" s="9"/>
      <c r="Q193" s="41"/>
      <c r="R193" s="9"/>
      <c r="S193" s="40"/>
      <c r="T193" s="9"/>
      <c r="U193" s="9"/>
      <c r="V193" s="9"/>
      <c r="W193" s="9"/>
      <c r="X193" s="9"/>
      <c r="Y193" s="9"/>
      <c r="Z193" s="10" t="str">
        <f aca="false">IF(A193="","",SG_Criteria!$B$6&amp;SG_Criteria!$B$11&amp;"\"&amp;A193&amp;"\")</f>
        <v/>
      </c>
      <c r="AA193" s="10" t="str">
        <f aca="false">IF(A193="","",A193&amp;"_CAD.dwg")</f>
        <v/>
      </c>
      <c r="AB193" s="10" t="str">
        <f aca="false">IF(A193="","",A193&amp;"_DWG.pdf")</f>
        <v/>
      </c>
      <c r="AC193" s="10" t="str">
        <f aca="false">IF(A193="","",IF(Y193="Y",A193&amp;"_STAAD.std","n/a"))</f>
        <v/>
      </c>
      <c r="AD193" s="10" t="str">
        <f aca="false">IF(A193="","",A193&amp;"_CALC.xlsx")</f>
        <v/>
      </c>
      <c r="AE193" s="10" t="str">
        <f aca="false">IF(A193="","",A193&amp;"_CALC.pdf")</f>
        <v/>
      </c>
      <c r="AF193" s="9"/>
      <c r="AG193" s="9"/>
      <c r="AH193" s="41"/>
      <c r="AI193" s="41"/>
      <c r="AJ193" s="41"/>
      <c r="AK193" s="41"/>
      <c r="AL193" s="41"/>
      <c r="AM193" s="38" t="str">
        <f aca="false">IF(OR(C193="",G193=""),"",IF(G193&lt;=IF(OR(C193="Soldier Pile &amp; Timber Lagging",C193="Trench Shoring Box",C193="Open Cut (battered)"),SG_Criteria!$B$34,SG_Criteria!$B$33),"No ERSS submission",IF(G193&lt;=SG_Criteria!$B$35,"QP(ST)",IF(G193&lt;=SG_Criteria!$B$36,"QP(ST) + AC","Geotechnical building works: QP(Geo) + AC"))))</f>
        <v/>
      </c>
      <c r="AN193" s="38" t="str">
        <f aca="false">IF(C193="","",IF(LEN(IF(AND(Q193&lt;&gt;"",Q193&lt;SG_Criteria!$B$37),"FAIL: base stability FOS &lt; "&amp;SG_Criteria!$B$37&amp;". ","")&amp;IF(AND(D193="Manhole",G193&gt;SG_Criteria!$B$36),"NOTE: BCA lists sewer manholes (pipe &lt;= 2 m dia) &gt; 6 m as non-GBW: QP(ST) + AC. ","")&amp;IF(AND(C193="Trench Shoring Box",H193="Kallang Formation (marine clay)"),"NOTE: check base heave / ground loss for shoring box in marine clay. ","")&amp;IF(AND(C193="Steel Sheet Pile Cofferdam",N(M193)&lt;G193*0.5),"NOTE: short toe embedment, check. ",""))=0,"OK",IF(AND(Q193&lt;&gt;"",Q193&lt;SG_Criteria!$B$37),"FAIL: base stability FOS &lt; "&amp;SG_Criteria!$B$37&amp;". ","")&amp;IF(AND(D193="Manhole",G193&gt;SG_Criteria!$B$36),"NOTE: BCA lists sewer manholes (pipe &lt;= 2 m dia) &gt; 6 m as non-GBW: QP(ST) + AC. ","")&amp;IF(AND(C193="Trench Shoring Box",H193="Kallang Formation (marine clay)"),"NOTE: check base heave / ground loss for shoring box in marine clay. ","")&amp;IF(AND(C193="Steel Sheet Pile Cofferdam",N(M193)&lt;G193*0.5),"NOTE: short toe embedment, check. ","")))</f>
        <v/>
      </c>
      <c r="AO193" s="9"/>
      <c r="AP193" s="9"/>
      <c r="AQ193" s="9"/>
      <c r="AR193" s="9"/>
      <c r="AS193" s="9"/>
      <c r="AT193" s="31"/>
      <c r="AU193" s="10" t="str">
        <f aca="false">IF(C193="","",IF(AND(V193="Approved",ISERROR(SEARCH("FAIL",AN193))),"Y","N"))</f>
        <v/>
      </c>
      <c r="AV193" s="10" t="str">
        <f aca="false">IF(C193="","",C193&amp;"|"&amp;G193&amp;"|"&amp;E193&amp;"|"&amp;H193&amp;"|"&amp;AU193)</f>
        <v/>
      </c>
    </row>
    <row r="194" customFormat="false" ht="15" hidden="false" customHeight="false" outlineLevel="0" collapsed="false">
      <c r="A194" s="10" t="str">
        <f aca="false">IF(C194="","","ERSS-"&amp;IFERROR(VLOOKUP(C194,Lists!$AK$4:$AL$21,2,0),"??")&amp;"-"&amp;TEXT(E194,"0000")&amp;"x"&amp;TEXT(F194,"0000")&amp;"-D"&amp;TEXT(G194*1000,"0000")&amp;"-"&amp;IFERROR(VLOOKUP(H194,Lists!$Y$4:$Z$21,2,0),"??")&amp;"-"&amp;U194)</f>
        <v/>
      </c>
      <c r="B194" s="10" t="str">
        <f aca="false">IF(C194="","",C194&amp;" for "&amp;D194&amp;", "&amp;E194&amp;" x "&amp;F194&amp;" pit, "&amp;TEXT(G194,"0.0")&amp;" m deep, "&amp;H194)</f>
        <v/>
      </c>
      <c r="C194" s="9"/>
      <c r="D194" s="9"/>
      <c r="E194" s="40"/>
      <c r="F194" s="40"/>
      <c r="G194" s="43"/>
      <c r="H194" s="9"/>
      <c r="I194" s="43"/>
      <c r="J194" s="40"/>
      <c r="K194" s="9"/>
      <c r="L194" s="43"/>
      <c r="M194" s="43"/>
      <c r="N194" s="40"/>
      <c r="O194" s="9"/>
      <c r="P194" s="9"/>
      <c r="Q194" s="41"/>
      <c r="R194" s="9"/>
      <c r="S194" s="40"/>
      <c r="T194" s="9"/>
      <c r="U194" s="9"/>
      <c r="V194" s="9"/>
      <c r="W194" s="9"/>
      <c r="X194" s="9"/>
      <c r="Y194" s="9"/>
      <c r="Z194" s="10" t="str">
        <f aca="false">IF(A194="","",SG_Criteria!$B$6&amp;SG_Criteria!$B$11&amp;"\"&amp;A194&amp;"\")</f>
        <v/>
      </c>
      <c r="AA194" s="10" t="str">
        <f aca="false">IF(A194="","",A194&amp;"_CAD.dwg")</f>
        <v/>
      </c>
      <c r="AB194" s="10" t="str">
        <f aca="false">IF(A194="","",A194&amp;"_DWG.pdf")</f>
        <v/>
      </c>
      <c r="AC194" s="10" t="str">
        <f aca="false">IF(A194="","",IF(Y194="Y",A194&amp;"_STAAD.std","n/a"))</f>
        <v/>
      </c>
      <c r="AD194" s="10" t="str">
        <f aca="false">IF(A194="","",A194&amp;"_CALC.xlsx")</f>
        <v/>
      </c>
      <c r="AE194" s="10" t="str">
        <f aca="false">IF(A194="","",A194&amp;"_CALC.pdf")</f>
        <v/>
      </c>
      <c r="AF194" s="9"/>
      <c r="AG194" s="9"/>
      <c r="AH194" s="41"/>
      <c r="AI194" s="41"/>
      <c r="AJ194" s="41"/>
      <c r="AK194" s="41"/>
      <c r="AL194" s="41"/>
      <c r="AM194" s="38" t="str">
        <f aca="false">IF(OR(C194="",G194=""),"",IF(G194&lt;=IF(OR(C194="Soldier Pile &amp; Timber Lagging",C194="Trench Shoring Box",C194="Open Cut (battered)"),SG_Criteria!$B$34,SG_Criteria!$B$33),"No ERSS submission",IF(G194&lt;=SG_Criteria!$B$35,"QP(ST)",IF(G194&lt;=SG_Criteria!$B$36,"QP(ST) + AC","Geotechnical building works: QP(Geo) + AC"))))</f>
        <v/>
      </c>
      <c r="AN194" s="38" t="str">
        <f aca="false">IF(C194="","",IF(LEN(IF(AND(Q194&lt;&gt;"",Q194&lt;SG_Criteria!$B$37),"FAIL: base stability FOS &lt; "&amp;SG_Criteria!$B$37&amp;". ","")&amp;IF(AND(D194="Manhole",G194&gt;SG_Criteria!$B$36),"NOTE: BCA lists sewer manholes (pipe &lt;= 2 m dia) &gt; 6 m as non-GBW: QP(ST) + AC. ","")&amp;IF(AND(C194="Trench Shoring Box",H194="Kallang Formation (marine clay)"),"NOTE: check base heave / ground loss for shoring box in marine clay. ","")&amp;IF(AND(C194="Steel Sheet Pile Cofferdam",N(M194)&lt;G194*0.5),"NOTE: short toe embedment, check. ",""))=0,"OK",IF(AND(Q194&lt;&gt;"",Q194&lt;SG_Criteria!$B$37),"FAIL: base stability FOS &lt; "&amp;SG_Criteria!$B$37&amp;". ","")&amp;IF(AND(D194="Manhole",G194&gt;SG_Criteria!$B$36),"NOTE: BCA lists sewer manholes (pipe &lt;= 2 m dia) &gt; 6 m as non-GBW: QP(ST) + AC. ","")&amp;IF(AND(C194="Trench Shoring Box",H194="Kallang Formation (marine clay)"),"NOTE: check base heave / ground loss for shoring box in marine clay. ","")&amp;IF(AND(C194="Steel Sheet Pile Cofferdam",N(M194)&lt;G194*0.5),"NOTE: short toe embedment, check. ","")))</f>
        <v/>
      </c>
      <c r="AO194" s="9"/>
      <c r="AP194" s="9"/>
      <c r="AQ194" s="9"/>
      <c r="AR194" s="9"/>
      <c r="AS194" s="9"/>
      <c r="AT194" s="31"/>
      <c r="AU194" s="10" t="str">
        <f aca="false">IF(C194="","",IF(AND(V194="Approved",ISERROR(SEARCH("FAIL",AN194))),"Y","N"))</f>
        <v/>
      </c>
      <c r="AV194" s="10" t="str">
        <f aca="false">IF(C194="","",C194&amp;"|"&amp;G194&amp;"|"&amp;E194&amp;"|"&amp;H194&amp;"|"&amp;AU194)</f>
        <v/>
      </c>
    </row>
    <row r="195" customFormat="false" ht="15" hidden="false" customHeight="false" outlineLevel="0" collapsed="false">
      <c r="A195" s="10" t="str">
        <f aca="false">IF(C195="","","ERSS-"&amp;IFERROR(VLOOKUP(C195,Lists!$AK$4:$AL$21,2,0),"??")&amp;"-"&amp;TEXT(E195,"0000")&amp;"x"&amp;TEXT(F195,"0000")&amp;"-D"&amp;TEXT(G195*1000,"0000")&amp;"-"&amp;IFERROR(VLOOKUP(H195,Lists!$Y$4:$Z$21,2,0),"??")&amp;"-"&amp;U195)</f>
        <v/>
      </c>
      <c r="B195" s="10" t="str">
        <f aca="false">IF(C195="","",C195&amp;" for "&amp;D195&amp;", "&amp;E195&amp;" x "&amp;F195&amp;" pit, "&amp;TEXT(G195,"0.0")&amp;" m deep, "&amp;H195)</f>
        <v/>
      </c>
      <c r="C195" s="9"/>
      <c r="D195" s="9"/>
      <c r="E195" s="40"/>
      <c r="F195" s="40"/>
      <c r="G195" s="43"/>
      <c r="H195" s="9"/>
      <c r="I195" s="43"/>
      <c r="J195" s="40"/>
      <c r="K195" s="9"/>
      <c r="L195" s="43"/>
      <c r="M195" s="43"/>
      <c r="N195" s="40"/>
      <c r="O195" s="9"/>
      <c r="P195" s="9"/>
      <c r="Q195" s="41"/>
      <c r="R195" s="9"/>
      <c r="S195" s="40"/>
      <c r="T195" s="9"/>
      <c r="U195" s="9"/>
      <c r="V195" s="9"/>
      <c r="W195" s="9"/>
      <c r="X195" s="9"/>
      <c r="Y195" s="9"/>
      <c r="Z195" s="10" t="str">
        <f aca="false">IF(A195="","",SG_Criteria!$B$6&amp;SG_Criteria!$B$11&amp;"\"&amp;A195&amp;"\")</f>
        <v/>
      </c>
      <c r="AA195" s="10" t="str">
        <f aca="false">IF(A195="","",A195&amp;"_CAD.dwg")</f>
        <v/>
      </c>
      <c r="AB195" s="10" t="str">
        <f aca="false">IF(A195="","",A195&amp;"_DWG.pdf")</f>
        <v/>
      </c>
      <c r="AC195" s="10" t="str">
        <f aca="false">IF(A195="","",IF(Y195="Y",A195&amp;"_STAAD.std","n/a"))</f>
        <v/>
      </c>
      <c r="AD195" s="10" t="str">
        <f aca="false">IF(A195="","",A195&amp;"_CALC.xlsx")</f>
        <v/>
      </c>
      <c r="AE195" s="10" t="str">
        <f aca="false">IF(A195="","",A195&amp;"_CALC.pdf")</f>
        <v/>
      </c>
      <c r="AF195" s="9"/>
      <c r="AG195" s="9"/>
      <c r="AH195" s="41"/>
      <c r="AI195" s="41"/>
      <c r="AJ195" s="41"/>
      <c r="AK195" s="41"/>
      <c r="AL195" s="41"/>
      <c r="AM195" s="38" t="str">
        <f aca="false">IF(OR(C195="",G195=""),"",IF(G195&lt;=IF(OR(C195="Soldier Pile &amp; Timber Lagging",C195="Trench Shoring Box",C195="Open Cut (battered)"),SG_Criteria!$B$34,SG_Criteria!$B$33),"No ERSS submission",IF(G195&lt;=SG_Criteria!$B$35,"QP(ST)",IF(G195&lt;=SG_Criteria!$B$36,"QP(ST) + AC","Geotechnical building works: QP(Geo) + AC"))))</f>
        <v/>
      </c>
      <c r="AN195" s="38" t="str">
        <f aca="false">IF(C195="","",IF(LEN(IF(AND(Q195&lt;&gt;"",Q195&lt;SG_Criteria!$B$37),"FAIL: base stability FOS &lt; "&amp;SG_Criteria!$B$37&amp;". ","")&amp;IF(AND(D195="Manhole",G195&gt;SG_Criteria!$B$36),"NOTE: BCA lists sewer manholes (pipe &lt;= 2 m dia) &gt; 6 m as non-GBW: QP(ST) + AC. ","")&amp;IF(AND(C195="Trench Shoring Box",H195="Kallang Formation (marine clay)"),"NOTE: check base heave / ground loss for shoring box in marine clay. ","")&amp;IF(AND(C195="Steel Sheet Pile Cofferdam",N(M195)&lt;G195*0.5),"NOTE: short toe embedment, check. ",""))=0,"OK",IF(AND(Q195&lt;&gt;"",Q195&lt;SG_Criteria!$B$37),"FAIL: base stability FOS &lt; "&amp;SG_Criteria!$B$37&amp;". ","")&amp;IF(AND(D195="Manhole",G195&gt;SG_Criteria!$B$36),"NOTE: BCA lists sewer manholes (pipe &lt;= 2 m dia) &gt; 6 m as non-GBW: QP(ST) + AC. ","")&amp;IF(AND(C195="Trench Shoring Box",H195="Kallang Formation (marine clay)"),"NOTE: check base heave / ground loss for shoring box in marine clay. ","")&amp;IF(AND(C195="Steel Sheet Pile Cofferdam",N(M195)&lt;G195*0.5),"NOTE: short toe embedment, check. ","")))</f>
        <v/>
      </c>
      <c r="AO195" s="9"/>
      <c r="AP195" s="9"/>
      <c r="AQ195" s="9"/>
      <c r="AR195" s="9"/>
      <c r="AS195" s="9"/>
      <c r="AT195" s="31"/>
      <c r="AU195" s="10" t="str">
        <f aca="false">IF(C195="","",IF(AND(V195="Approved",ISERROR(SEARCH("FAIL",AN195))),"Y","N"))</f>
        <v/>
      </c>
      <c r="AV195" s="10" t="str">
        <f aca="false">IF(C195="","",C195&amp;"|"&amp;G195&amp;"|"&amp;E195&amp;"|"&amp;H195&amp;"|"&amp;AU195)</f>
        <v/>
      </c>
    </row>
    <row r="196" customFormat="false" ht="15" hidden="false" customHeight="false" outlineLevel="0" collapsed="false">
      <c r="A196" s="10" t="str">
        <f aca="false">IF(C196="","","ERSS-"&amp;IFERROR(VLOOKUP(C196,Lists!$AK$4:$AL$21,2,0),"??")&amp;"-"&amp;TEXT(E196,"0000")&amp;"x"&amp;TEXT(F196,"0000")&amp;"-D"&amp;TEXT(G196*1000,"0000")&amp;"-"&amp;IFERROR(VLOOKUP(H196,Lists!$Y$4:$Z$21,2,0),"??")&amp;"-"&amp;U196)</f>
        <v/>
      </c>
      <c r="B196" s="10" t="str">
        <f aca="false">IF(C196="","",C196&amp;" for "&amp;D196&amp;", "&amp;E196&amp;" x "&amp;F196&amp;" pit, "&amp;TEXT(G196,"0.0")&amp;" m deep, "&amp;H196)</f>
        <v/>
      </c>
      <c r="C196" s="9"/>
      <c r="D196" s="9"/>
      <c r="E196" s="40"/>
      <c r="F196" s="40"/>
      <c r="G196" s="43"/>
      <c r="H196" s="9"/>
      <c r="I196" s="43"/>
      <c r="J196" s="40"/>
      <c r="K196" s="9"/>
      <c r="L196" s="43"/>
      <c r="M196" s="43"/>
      <c r="N196" s="40"/>
      <c r="O196" s="9"/>
      <c r="P196" s="9"/>
      <c r="Q196" s="41"/>
      <c r="R196" s="9"/>
      <c r="S196" s="40"/>
      <c r="T196" s="9"/>
      <c r="U196" s="9"/>
      <c r="V196" s="9"/>
      <c r="W196" s="9"/>
      <c r="X196" s="9"/>
      <c r="Y196" s="9"/>
      <c r="Z196" s="10" t="str">
        <f aca="false">IF(A196="","",SG_Criteria!$B$6&amp;SG_Criteria!$B$11&amp;"\"&amp;A196&amp;"\")</f>
        <v/>
      </c>
      <c r="AA196" s="10" t="str">
        <f aca="false">IF(A196="","",A196&amp;"_CAD.dwg")</f>
        <v/>
      </c>
      <c r="AB196" s="10" t="str">
        <f aca="false">IF(A196="","",A196&amp;"_DWG.pdf")</f>
        <v/>
      </c>
      <c r="AC196" s="10" t="str">
        <f aca="false">IF(A196="","",IF(Y196="Y",A196&amp;"_STAAD.std","n/a"))</f>
        <v/>
      </c>
      <c r="AD196" s="10" t="str">
        <f aca="false">IF(A196="","",A196&amp;"_CALC.xlsx")</f>
        <v/>
      </c>
      <c r="AE196" s="10" t="str">
        <f aca="false">IF(A196="","",A196&amp;"_CALC.pdf")</f>
        <v/>
      </c>
      <c r="AF196" s="9"/>
      <c r="AG196" s="9"/>
      <c r="AH196" s="41"/>
      <c r="AI196" s="41"/>
      <c r="AJ196" s="41"/>
      <c r="AK196" s="41"/>
      <c r="AL196" s="41"/>
      <c r="AM196" s="38" t="str">
        <f aca="false">IF(OR(C196="",G196=""),"",IF(G196&lt;=IF(OR(C196="Soldier Pile &amp; Timber Lagging",C196="Trench Shoring Box",C196="Open Cut (battered)"),SG_Criteria!$B$34,SG_Criteria!$B$33),"No ERSS submission",IF(G196&lt;=SG_Criteria!$B$35,"QP(ST)",IF(G196&lt;=SG_Criteria!$B$36,"QP(ST) + AC","Geotechnical building works: QP(Geo) + AC"))))</f>
        <v/>
      </c>
      <c r="AN196" s="38" t="str">
        <f aca="false">IF(C196="","",IF(LEN(IF(AND(Q196&lt;&gt;"",Q196&lt;SG_Criteria!$B$37),"FAIL: base stability FOS &lt; "&amp;SG_Criteria!$B$37&amp;". ","")&amp;IF(AND(D196="Manhole",G196&gt;SG_Criteria!$B$36),"NOTE: BCA lists sewer manholes (pipe &lt;= 2 m dia) &gt; 6 m as non-GBW: QP(ST) + AC. ","")&amp;IF(AND(C196="Trench Shoring Box",H196="Kallang Formation (marine clay)"),"NOTE: check base heave / ground loss for shoring box in marine clay. ","")&amp;IF(AND(C196="Steel Sheet Pile Cofferdam",N(M196)&lt;G196*0.5),"NOTE: short toe embedment, check. ",""))=0,"OK",IF(AND(Q196&lt;&gt;"",Q196&lt;SG_Criteria!$B$37),"FAIL: base stability FOS &lt; "&amp;SG_Criteria!$B$37&amp;". ","")&amp;IF(AND(D196="Manhole",G196&gt;SG_Criteria!$B$36),"NOTE: BCA lists sewer manholes (pipe &lt;= 2 m dia) &gt; 6 m as non-GBW: QP(ST) + AC. ","")&amp;IF(AND(C196="Trench Shoring Box",H196="Kallang Formation (marine clay)"),"NOTE: check base heave / ground loss for shoring box in marine clay. ","")&amp;IF(AND(C196="Steel Sheet Pile Cofferdam",N(M196)&lt;G196*0.5),"NOTE: short toe embedment, check. ","")))</f>
        <v/>
      </c>
      <c r="AO196" s="9"/>
      <c r="AP196" s="9"/>
      <c r="AQ196" s="9"/>
      <c r="AR196" s="9"/>
      <c r="AS196" s="9"/>
      <c r="AT196" s="31"/>
      <c r="AU196" s="10" t="str">
        <f aca="false">IF(C196="","",IF(AND(V196="Approved",ISERROR(SEARCH("FAIL",AN196))),"Y","N"))</f>
        <v/>
      </c>
      <c r="AV196" s="10" t="str">
        <f aca="false">IF(C196="","",C196&amp;"|"&amp;G196&amp;"|"&amp;E196&amp;"|"&amp;H196&amp;"|"&amp;AU196)</f>
        <v/>
      </c>
    </row>
    <row r="197" customFormat="false" ht="15" hidden="false" customHeight="false" outlineLevel="0" collapsed="false">
      <c r="A197" s="10" t="str">
        <f aca="false">IF(C197="","","ERSS-"&amp;IFERROR(VLOOKUP(C197,Lists!$AK$4:$AL$21,2,0),"??")&amp;"-"&amp;TEXT(E197,"0000")&amp;"x"&amp;TEXT(F197,"0000")&amp;"-D"&amp;TEXT(G197*1000,"0000")&amp;"-"&amp;IFERROR(VLOOKUP(H197,Lists!$Y$4:$Z$21,2,0),"??")&amp;"-"&amp;U197)</f>
        <v/>
      </c>
      <c r="B197" s="10" t="str">
        <f aca="false">IF(C197="","",C197&amp;" for "&amp;D197&amp;", "&amp;E197&amp;" x "&amp;F197&amp;" pit, "&amp;TEXT(G197,"0.0")&amp;" m deep, "&amp;H197)</f>
        <v/>
      </c>
      <c r="C197" s="9"/>
      <c r="D197" s="9"/>
      <c r="E197" s="40"/>
      <c r="F197" s="40"/>
      <c r="G197" s="43"/>
      <c r="H197" s="9"/>
      <c r="I197" s="43"/>
      <c r="J197" s="40"/>
      <c r="K197" s="9"/>
      <c r="L197" s="43"/>
      <c r="M197" s="43"/>
      <c r="N197" s="40"/>
      <c r="O197" s="9"/>
      <c r="P197" s="9"/>
      <c r="Q197" s="41"/>
      <c r="R197" s="9"/>
      <c r="S197" s="40"/>
      <c r="T197" s="9"/>
      <c r="U197" s="9"/>
      <c r="V197" s="9"/>
      <c r="W197" s="9"/>
      <c r="X197" s="9"/>
      <c r="Y197" s="9"/>
      <c r="Z197" s="10" t="str">
        <f aca="false">IF(A197="","",SG_Criteria!$B$6&amp;SG_Criteria!$B$11&amp;"\"&amp;A197&amp;"\")</f>
        <v/>
      </c>
      <c r="AA197" s="10" t="str">
        <f aca="false">IF(A197="","",A197&amp;"_CAD.dwg")</f>
        <v/>
      </c>
      <c r="AB197" s="10" t="str">
        <f aca="false">IF(A197="","",A197&amp;"_DWG.pdf")</f>
        <v/>
      </c>
      <c r="AC197" s="10" t="str">
        <f aca="false">IF(A197="","",IF(Y197="Y",A197&amp;"_STAAD.std","n/a"))</f>
        <v/>
      </c>
      <c r="AD197" s="10" t="str">
        <f aca="false">IF(A197="","",A197&amp;"_CALC.xlsx")</f>
        <v/>
      </c>
      <c r="AE197" s="10" t="str">
        <f aca="false">IF(A197="","",A197&amp;"_CALC.pdf")</f>
        <v/>
      </c>
      <c r="AF197" s="9"/>
      <c r="AG197" s="9"/>
      <c r="AH197" s="41"/>
      <c r="AI197" s="41"/>
      <c r="AJ197" s="41"/>
      <c r="AK197" s="41"/>
      <c r="AL197" s="41"/>
      <c r="AM197" s="38" t="str">
        <f aca="false">IF(OR(C197="",G197=""),"",IF(G197&lt;=IF(OR(C197="Soldier Pile &amp; Timber Lagging",C197="Trench Shoring Box",C197="Open Cut (battered)"),SG_Criteria!$B$34,SG_Criteria!$B$33),"No ERSS submission",IF(G197&lt;=SG_Criteria!$B$35,"QP(ST)",IF(G197&lt;=SG_Criteria!$B$36,"QP(ST) + AC","Geotechnical building works: QP(Geo) + AC"))))</f>
        <v/>
      </c>
      <c r="AN197" s="38" t="str">
        <f aca="false">IF(C197="","",IF(LEN(IF(AND(Q197&lt;&gt;"",Q197&lt;SG_Criteria!$B$37),"FAIL: base stability FOS &lt; "&amp;SG_Criteria!$B$37&amp;". ","")&amp;IF(AND(D197="Manhole",G197&gt;SG_Criteria!$B$36),"NOTE: BCA lists sewer manholes (pipe &lt;= 2 m dia) &gt; 6 m as non-GBW: QP(ST) + AC. ","")&amp;IF(AND(C197="Trench Shoring Box",H197="Kallang Formation (marine clay)"),"NOTE: check base heave / ground loss for shoring box in marine clay. ","")&amp;IF(AND(C197="Steel Sheet Pile Cofferdam",N(M197)&lt;G197*0.5),"NOTE: short toe embedment, check. ",""))=0,"OK",IF(AND(Q197&lt;&gt;"",Q197&lt;SG_Criteria!$B$37),"FAIL: base stability FOS &lt; "&amp;SG_Criteria!$B$37&amp;". ","")&amp;IF(AND(D197="Manhole",G197&gt;SG_Criteria!$B$36),"NOTE: BCA lists sewer manholes (pipe &lt;= 2 m dia) &gt; 6 m as non-GBW: QP(ST) + AC. ","")&amp;IF(AND(C197="Trench Shoring Box",H197="Kallang Formation (marine clay)"),"NOTE: check base heave / ground loss for shoring box in marine clay. ","")&amp;IF(AND(C197="Steel Sheet Pile Cofferdam",N(M197)&lt;G197*0.5),"NOTE: short toe embedment, check. ","")))</f>
        <v/>
      </c>
      <c r="AO197" s="9"/>
      <c r="AP197" s="9"/>
      <c r="AQ197" s="9"/>
      <c r="AR197" s="9"/>
      <c r="AS197" s="9"/>
      <c r="AT197" s="31"/>
      <c r="AU197" s="10" t="str">
        <f aca="false">IF(C197="","",IF(AND(V197="Approved",ISERROR(SEARCH("FAIL",AN197))),"Y","N"))</f>
        <v/>
      </c>
      <c r="AV197" s="10" t="str">
        <f aca="false">IF(C197="","",C197&amp;"|"&amp;G197&amp;"|"&amp;E197&amp;"|"&amp;H197&amp;"|"&amp;AU197)</f>
        <v/>
      </c>
    </row>
    <row r="198" customFormat="false" ht="15" hidden="false" customHeight="false" outlineLevel="0" collapsed="false">
      <c r="A198" s="10" t="str">
        <f aca="false">IF(C198="","","ERSS-"&amp;IFERROR(VLOOKUP(C198,Lists!$AK$4:$AL$21,2,0),"??")&amp;"-"&amp;TEXT(E198,"0000")&amp;"x"&amp;TEXT(F198,"0000")&amp;"-D"&amp;TEXT(G198*1000,"0000")&amp;"-"&amp;IFERROR(VLOOKUP(H198,Lists!$Y$4:$Z$21,2,0),"??")&amp;"-"&amp;U198)</f>
        <v/>
      </c>
      <c r="B198" s="10" t="str">
        <f aca="false">IF(C198="","",C198&amp;" for "&amp;D198&amp;", "&amp;E198&amp;" x "&amp;F198&amp;" pit, "&amp;TEXT(G198,"0.0")&amp;" m deep, "&amp;H198)</f>
        <v/>
      </c>
      <c r="C198" s="9"/>
      <c r="D198" s="9"/>
      <c r="E198" s="40"/>
      <c r="F198" s="40"/>
      <c r="G198" s="43"/>
      <c r="H198" s="9"/>
      <c r="I198" s="43"/>
      <c r="J198" s="40"/>
      <c r="K198" s="9"/>
      <c r="L198" s="43"/>
      <c r="M198" s="43"/>
      <c r="N198" s="40"/>
      <c r="O198" s="9"/>
      <c r="P198" s="9"/>
      <c r="Q198" s="41"/>
      <c r="R198" s="9"/>
      <c r="S198" s="40"/>
      <c r="T198" s="9"/>
      <c r="U198" s="9"/>
      <c r="V198" s="9"/>
      <c r="W198" s="9"/>
      <c r="X198" s="9"/>
      <c r="Y198" s="9"/>
      <c r="Z198" s="10" t="str">
        <f aca="false">IF(A198="","",SG_Criteria!$B$6&amp;SG_Criteria!$B$11&amp;"\"&amp;A198&amp;"\")</f>
        <v/>
      </c>
      <c r="AA198" s="10" t="str">
        <f aca="false">IF(A198="","",A198&amp;"_CAD.dwg")</f>
        <v/>
      </c>
      <c r="AB198" s="10" t="str">
        <f aca="false">IF(A198="","",A198&amp;"_DWG.pdf")</f>
        <v/>
      </c>
      <c r="AC198" s="10" t="str">
        <f aca="false">IF(A198="","",IF(Y198="Y",A198&amp;"_STAAD.std","n/a"))</f>
        <v/>
      </c>
      <c r="AD198" s="10" t="str">
        <f aca="false">IF(A198="","",A198&amp;"_CALC.xlsx")</f>
        <v/>
      </c>
      <c r="AE198" s="10" t="str">
        <f aca="false">IF(A198="","",A198&amp;"_CALC.pdf")</f>
        <v/>
      </c>
      <c r="AF198" s="9"/>
      <c r="AG198" s="9"/>
      <c r="AH198" s="41"/>
      <c r="AI198" s="41"/>
      <c r="AJ198" s="41"/>
      <c r="AK198" s="41"/>
      <c r="AL198" s="41"/>
      <c r="AM198" s="38" t="str">
        <f aca="false">IF(OR(C198="",G198=""),"",IF(G198&lt;=IF(OR(C198="Soldier Pile &amp; Timber Lagging",C198="Trench Shoring Box",C198="Open Cut (battered)"),SG_Criteria!$B$34,SG_Criteria!$B$33),"No ERSS submission",IF(G198&lt;=SG_Criteria!$B$35,"QP(ST)",IF(G198&lt;=SG_Criteria!$B$36,"QP(ST) + AC","Geotechnical building works: QP(Geo) + AC"))))</f>
        <v/>
      </c>
      <c r="AN198" s="38" t="str">
        <f aca="false">IF(C198="","",IF(LEN(IF(AND(Q198&lt;&gt;"",Q198&lt;SG_Criteria!$B$37),"FAIL: base stability FOS &lt; "&amp;SG_Criteria!$B$37&amp;". ","")&amp;IF(AND(D198="Manhole",G198&gt;SG_Criteria!$B$36),"NOTE: BCA lists sewer manholes (pipe &lt;= 2 m dia) &gt; 6 m as non-GBW: QP(ST) + AC. ","")&amp;IF(AND(C198="Trench Shoring Box",H198="Kallang Formation (marine clay)"),"NOTE: check base heave / ground loss for shoring box in marine clay. ","")&amp;IF(AND(C198="Steel Sheet Pile Cofferdam",N(M198)&lt;G198*0.5),"NOTE: short toe embedment, check. ",""))=0,"OK",IF(AND(Q198&lt;&gt;"",Q198&lt;SG_Criteria!$B$37),"FAIL: base stability FOS &lt; "&amp;SG_Criteria!$B$37&amp;". ","")&amp;IF(AND(D198="Manhole",G198&gt;SG_Criteria!$B$36),"NOTE: BCA lists sewer manholes (pipe &lt;= 2 m dia) &gt; 6 m as non-GBW: QP(ST) + AC. ","")&amp;IF(AND(C198="Trench Shoring Box",H198="Kallang Formation (marine clay)"),"NOTE: check base heave / ground loss for shoring box in marine clay. ","")&amp;IF(AND(C198="Steel Sheet Pile Cofferdam",N(M198)&lt;G198*0.5),"NOTE: short toe embedment, check. ","")))</f>
        <v/>
      </c>
      <c r="AO198" s="9"/>
      <c r="AP198" s="9"/>
      <c r="AQ198" s="9"/>
      <c r="AR198" s="9"/>
      <c r="AS198" s="9"/>
      <c r="AT198" s="31"/>
      <c r="AU198" s="10" t="str">
        <f aca="false">IF(C198="","",IF(AND(V198="Approved",ISERROR(SEARCH("FAIL",AN198))),"Y","N"))</f>
        <v/>
      </c>
      <c r="AV198" s="10" t="str">
        <f aca="false">IF(C198="","",C198&amp;"|"&amp;G198&amp;"|"&amp;E198&amp;"|"&amp;H198&amp;"|"&amp;AU198)</f>
        <v/>
      </c>
    </row>
    <row r="199" customFormat="false" ht="15" hidden="false" customHeight="false" outlineLevel="0" collapsed="false">
      <c r="A199" s="10" t="str">
        <f aca="false">IF(C199="","","ERSS-"&amp;IFERROR(VLOOKUP(C199,Lists!$AK$4:$AL$21,2,0),"??")&amp;"-"&amp;TEXT(E199,"0000")&amp;"x"&amp;TEXT(F199,"0000")&amp;"-D"&amp;TEXT(G199*1000,"0000")&amp;"-"&amp;IFERROR(VLOOKUP(H199,Lists!$Y$4:$Z$21,2,0),"??")&amp;"-"&amp;U199)</f>
        <v/>
      </c>
      <c r="B199" s="10" t="str">
        <f aca="false">IF(C199="","",C199&amp;" for "&amp;D199&amp;", "&amp;E199&amp;" x "&amp;F199&amp;" pit, "&amp;TEXT(G199,"0.0")&amp;" m deep, "&amp;H199)</f>
        <v/>
      </c>
      <c r="C199" s="9"/>
      <c r="D199" s="9"/>
      <c r="E199" s="40"/>
      <c r="F199" s="40"/>
      <c r="G199" s="43"/>
      <c r="H199" s="9"/>
      <c r="I199" s="43"/>
      <c r="J199" s="40"/>
      <c r="K199" s="9"/>
      <c r="L199" s="43"/>
      <c r="M199" s="43"/>
      <c r="N199" s="40"/>
      <c r="O199" s="9"/>
      <c r="P199" s="9"/>
      <c r="Q199" s="41"/>
      <c r="R199" s="9"/>
      <c r="S199" s="40"/>
      <c r="T199" s="9"/>
      <c r="U199" s="9"/>
      <c r="V199" s="9"/>
      <c r="W199" s="9"/>
      <c r="X199" s="9"/>
      <c r="Y199" s="9"/>
      <c r="Z199" s="10" t="str">
        <f aca="false">IF(A199="","",SG_Criteria!$B$6&amp;SG_Criteria!$B$11&amp;"\"&amp;A199&amp;"\")</f>
        <v/>
      </c>
      <c r="AA199" s="10" t="str">
        <f aca="false">IF(A199="","",A199&amp;"_CAD.dwg")</f>
        <v/>
      </c>
      <c r="AB199" s="10" t="str">
        <f aca="false">IF(A199="","",A199&amp;"_DWG.pdf")</f>
        <v/>
      </c>
      <c r="AC199" s="10" t="str">
        <f aca="false">IF(A199="","",IF(Y199="Y",A199&amp;"_STAAD.std","n/a"))</f>
        <v/>
      </c>
      <c r="AD199" s="10" t="str">
        <f aca="false">IF(A199="","",A199&amp;"_CALC.xlsx")</f>
        <v/>
      </c>
      <c r="AE199" s="10" t="str">
        <f aca="false">IF(A199="","",A199&amp;"_CALC.pdf")</f>
        <v/>
      </c>
      <c r="AF199" s="9"/>
      <c r="AG199" s="9"/>
      <c r="AH199" s="41"/>
      <c r="AI199" s="41"/>
      <c r="AJ199" s="41"/>
      <c r="AK199" s="41"/>
      <c r="AL199" s="41"/>
      <c r="AM199" s="38" t="str">
        <f aca="false">IF(OR(C199="",G199=""),"",IF(G199&lt;=IF(OR(C199="Soldier Pile &amp; Timber Lagging",C199="Trench Shoring Box",C199="Open Cut (battered)"),SG_Criteria!$B$34,SG_Criteria!$B$33),"No ERSS submission",IF(G199&lt;=SG_Criteria!$B$35,"QP(ST)",IF(G199&lt;=SG_Criteria!$B$36,"QP(ST) + AC","Geotechnical building works: QP(Geo) + AC"))))</f>
        <v/>
      </c>
      <c r="AN199" s="38" t="str">
        <f aca="false">IF(C199="","",IF(LEN(IF(AND(Q199&lt;&gt;"",Q199&lt;SG_Criteria!$B$37),"FAIL: base stability FOS &lt; "&amp;SG_Criteria!$B$37&amp;". ","")&amp;IF(AND(D199="Manhole",G199&gt;SG_Criteria!$B$36),"NOTE: BCA lists sewer manholes (pipe &lt;= 2 m dia) &gt; 6 m as non-GBW: QP(ST) + AC. ","")&amp;IF(AND(C199="Trench Shoring Box",H199="Kallang Formation (marine clay)"),"NOTE: check base heave / ground loss for shoring box in marine clay. ","")&amp;IF(AND(C199="Steel Sheet Pile Cofferdam",N(M199)&lt;G199*0.5),"NOTE: short toe embedment, check. ",""))=0,"OK",IF(AND(Q199&lt;&gt;"",Q199&lt;SG_Criteria!$B$37),"FAIL: base stability FOS &lt; "&amp;SG_Criteria!$B$37&amp;". ","")&amp;IF(AND(D199="Manhole",G199&gt;SG_Criteria!$B$36),"NOTE: BCA lists sewer manholes (pipe &lt;= 2 m dia) &gt; 6 m as non-GBW: QP(ST) + AC. ","")&amp;IF(AND(C199="Trench Shoring Box",H199="Kallang Formation (marine clay)"),"NOTE: check base heave / ground loss for shoring box in marine clay. ","")&amp;IF(AND(C199="Steel Sheet Pile Cofferdam",N(M199)&lt;G199*0.5),"NOTE: short toe embedment, check. ","")))</f>
        <v/>
      </c>
      <c r="AO199" s="9"/>
      <c r="AP199" s="9"/>
      <c r="AQ199" s="9"/>
      <c r="AR199" s="9"/>
      <c r="AS199" s="9"/>
      <c r="AT199" s="31"/>
      <c r="AU199" s="10" t="str">
        <f aca="false">IF(C199="","",IF(AND(V199="Approved",ISERROR(SEARCH("FAIL",AN199))),"Y","N"))</f>
        <v/>
      </c>
      <c r="AV199" s="10" t="str">
        <f aca="false">IF(C199="","",C199&amp;"|"&amp;G199&amp;"|"&amp;E199&amp;"|"&amp;H199&amp;"|"&amp;AU199)</f>
        <v/>
      </c>
    </row>
    <row r="200" customFormat="false" ht="15" hidden="false" customHeight="false" outlineLevel="0" collapsed="false">
      <c r="A200" s="10" t="str">
        <f aca="false">IF(C200="","","ERSS-"&amp;IFERROR(VLOOKUP(C200,Lists!$AK$4:$AL$21,2,0),"??")&amp;"-"&amp;TEXT(E200,"0000")&amp;"x"&amp;TEXT(F200,"0000")&amp;"-D"&amp;TEXT(G200*1000,"0000")&amp;"-"&amp;IFERROR(VLOOKUP(H200,Lists!$Y$4:$Z$21,2,0),"??")&amp;"-"&amp;U200)</f>
        <v/>
      </c>
      <c r="B200" s="10" t="str">
        <f aca="false">IF(C200="","",C200&amp;" for "&amp;D200&amp;", "&amp;E200&amp;" x "&amp;F200&amp;" pit, "&amp;TEXT(G200,"0.0")&amp;" m deep, "&amp;H200)</f>
        <v/>
      </c>
      <c r="C200" s="9"/>
      <c r="D200" s="9"/>
      <c r="E200" s="40"/>
      <c r="F200" s="40"/>
      <c r="G200" s="43"/>
      <c r="H200" s="9"/>
      <c r="I200" s="43"/>
      <c r="J200" s="40"/>
      <c r="K200" s="9"/>
      <c r="L200" s="43"/>
      <c r="M200" s="43"/>
      <c r="N200" s="40"/>
      <c r="O200" s="9"/>
      <c r="P200" s="9"/>
      <c r="Q200" s="41"/>
      <c r="R200" s="9"/>
      <c r="S200" s="40"/>
      <c r="T200" s="9"/>
      <c r="U200" s="9"/>
      <c r="V200" s="9"/>
      <c r="W200" s="9"/>
      <c r="X200" s="9"/>
      <c r="Y200" s="9"/>
      <c r="Z200" s="10" t="str">
        <f aca="false">IF(A200="","",SG_Criteria!$B$6&amp;SG_Criteria!$B$11&amp;"\"&amp;A200&amp;"\")</f>
        <v/>
      </c>
      <c r="AA200" s="10" t="str">
        <f aca="false">IF(A200="","",A200&amp;"_CAD.dwg")</f>
        <v/>
      </c>
      <c r="AB200" s="10" t="str">
        <f aca="false">IF(A200="","",A200&amp;"_DWG.pdf")</f>
        <v/>
      </c>
      <c r="AC200" s="10" t="str">
        <f aca="false">IF(A200="","",IF(Y200="Y",A200&amp;"_STAAD.std","n/a"))</f>
        <v/>
      </c>
      <c r="AD200" s="10" t="str">
        <f aca="false">IF(A200="","",A200&amp;"_CALC.xlsx")</f>
        <v/>
      </c>
      <c r="AE200" s="10" t="str">
        <f aca="false">IF(A200="","",A200&amp;"_CALC.pdf")</f>
        <v/>
      </c>
      <c r="AF200" s="9"/>
      <c r="AG200" s="9"/>
      <c r="AH200" s="41"/>
      <c r="AI200" s="41"/>
      <c r="AJ200" s="41"/>
      <c r="AK200" s="41"/>
      <c r="AL200" s="41"/>
      <c r="AM200" s="38" t="str">
        <f aca="false">IF(OR(C200="",G200=""),"",IF(G200&lt;=IF(OR(C200="Soldier Pile &amp; Timber Lagging",C200="Trench Shoring Box",C200="Open Cut (battered)"),SG_Criteria!$B$34,SG_Criteria!$B$33),"No ERSS submission",IF(G200&lt;=SG_Criteria!$B$35,"QP(ST)",IF(G200&lt;=SG_Criteria!$B$36,"QP(ST) + AC","Geotechnical building works: QP(Geo) + AC"))))</f>
        <v/>
      </c>
      <c r="AN200" s="38" t="str">
        <f aca="false">IF(C200="","",IF(LEN(IF(AND(Q200&lt;&gt;"",Q200&lt;SG_Criteria!$B$37),"FAIL: base stability FOS &lt; "&amp;SG_Criteria!$B$37&amp;". ","")&amp;IF(AND(D200="Manhole",G200&gt;SG_Criteria!$B$36),"NOTE: BCA lists sewer manholes (pipe &lt;= 2 m dia) &gt; 6 m as non-GBW: QP(ST) + AC. ","")&amp;IF(AND(C200="Trench Shoring Box",H200="Kallang Formation (marine clay)"),"NOTE: check base heave / ground loss for shoring box in marine clay. ","")&amp;IF(AND(C200="Steel Sheet Pile Cofferdam",N(M200)&lt;G200*0.5),"NOTE: short toe embedment, check. ",""))=0,"OK",IF(AND(Q200&lt;&gt;"",Q200&lt;SG_Criteria!$B$37),"FAIL: base stability FOS &lt; "&amp;SG_Criteria!$B$37&amp;". ","")&amp;IF(AND(D200="Manhole",G200&gt;SG_Criteria!$B$36),"NOTE: BCA lists sewer manholes (pipe &lt;= 2 m dia) &gt; 6 m as non-GBW: QP(ST) + AC. ","")&amp;IF(AND(C200="Trench Shoring Box",H200="Kallang Formation (marine clay)"),"NOTE: check base heave / ground loss for shoring box in marine clay. ","")&amp;IF(AND(C200="Steel Sheet Pile Cofferdam",N(M200)&lt;G200*0.5),"NOTE: short toe embedment, check. ","")))</f>
        <v/>
      </c>
      <c r="AO200" s="9"/>
      <c r="AP200" s="9"/>
      <c r="AQ200" s="9"/>
      <c r="AR200" s="9"/>
      <c r="AS200" s="9"/>
      <c r="AT200" s="31"/>
      <c r="AU200" s="10" t="str">
        <f aca="false">IF(C200="","",IF(AND(V200="Approved",ISERROR(SEARCH("FAIL",AN200))),"Y","N"))</f>
        <v/>
      </c>
      <c r="AV200" s="10" t="str">
        <f aca="false">IF(C200="","",C200&amp;"|"&amp;G200&amp;"|"&amp;E200&amp;"|"&amp;H200&amp;"|"&amp;AU200)</f>
        <v/>
      </c>
    </row>
    <row r="201" customFormat="false" ht="15" hidden="false" customHeight="false" outlineLevel="0" collapsed="false">
      <c r="A201" s="10" t="str">
        <f aca="false">IF(C201="","","ERSS-"&amp;IFERROR(VLOOKUP(C201,Lists!$AK$4:$AL$21,2,0),"??")&amp;"-"&amp;TEXT(E201,"0000")&amp;"x"&amp;TEXT(F201,"0000")&amp;"-D"&amp;TEXT(G201*1000,"0000")&amp;"-"&amp;IFERROR(VLOOKUP(H201,Lists!$Y$4:$Z$21,2,0),"??")&amp;"-"&amp;U201)</f>
        <v/>
      </c>
      <c r="B201" s="10" t="str">
        <f aca="false">IF(C201="","",C201&amp;" for "&amp;D201&amp;", "&amp;E201&amp;" x "&amp;F201&amp;" pit, "&amp;TEXT(G201,"0.0")&amp;" m deep, "&amp;H201)</f>
        <v/>
      </c>
      <c r="C201" s="9"/>
      <c r="D201" s="9"/>
      <c r="E201" s="40"/>
      <c r="F201" s="40"/>
      <c r="G201" s="43"/>
      <c r="H201" s="9"/>
      <c r="I201" s="43"/>
      <c r="J201" s="40"/>
      <c r="K201" s="9"/>
      <c r="L201" s="43"/>
      <c r="M201" s="43"/>
      <c r="N201" s="40"/>
      <c r="O201" s="9"/>
      <c r="P201" s="9"/>
      <c r="Q201" s="41"/>
      <c r="R201" s="9"/>
      <c r="S201" s="40"/>
      <c r="T201" s="9"/>
      <c r="U201" s="9"/>
      <c r="V201" s="9"/>
      <c r="W201" s="9"/>
      <c r="X201" s="9"/>
      <c r="Y201" s="9"/>
      <c r="Z201" s="10" t="str">
        <f aca="false">IF(A201="","",SG_Criteria!$B$6&amp;SG_Criteria!$B$11&amp;"\"&amp;A201&amp;"\")</f>
        <v/>
      </c>
      <c r="AA201" s="10" t="str">
        <f aca="false">IF(A201="","",A201&amp;"_CAD.dwg")</f>
        <v/>
      </c>
      <c r="AB201" s="10" t="str">
        <f aca="false">IF(A201="","",A201&amp;"_DWG.pdf")</f>
        <v/>
      </c>
      <c r="AC201" s="10" t="str">
        <f aca="false">IF(A201="","",IF(Y201="Y",A201&amp;"_STAAD.std","n/a"))</f>
        <v/>
      </c>
      <c r="AD201" s="10" t="str">
        <f aca="false">IF(A201="","",A201&amp;"_CALC.xlsx")</f>
        <v/>
      </c>
      <c r="AE201" s="10" t="str">
        <f aca="false">IF(A201="","",A201&amp;"_CALC.pdf")</f>
        <v/>
      </c>
      <c r="AF201" s="9"/>
      <c r="AG201" s="9"/>
      <c r="AH201" s="41"/>
      <c r="AI201" s="41"/>
      <c r="AJ201" s="41"/>
      <c r="AK201" s="41"/>
      <c r="AL201" s="41"/>
      <c r="AM201" s="38" t="str">
        <f aca="false">IF(OR(C201="",G201=""),"",IF(G201&lt;=IF(OR(C201="Soldier Pile &amp; Timber Lagging",C201="Trench Shoring Box",C201="Open Cut (battered)"),SG_Criteria!$B$34,SG_Criteria!$B$33),"No ERSS submission",IF(G201&lt;=SG_Criteria!$B$35,"QP(ST)",IF(G201&lt;=SG_Criteria!$B$36,"QP(ST) + AC","Geotechnical building works: QP(Geo) + AC"))))</f>
        <v/>
      </c>
      <c r="AN201" s="38" t="str">
        <f aca="false">IF(C201="","",IF(LEN(IF(AND(Q201&lt;&gt;"",Q201&lt;SG_Criteria!$B$37),"FAIL: base stability FOS &lt; "&amp;SG_Criteria!$B$37&amp;". ","")&amp;IF(AND(D201="Manhole",G201&gt;SG_Criteria!$B$36),"NOTE: BCA lists sewer manholes (pipe &lt;= 2 m dia) &gt; 6 m as non-GBW: QP(ST) + AC. ","")&amp;IF(AND(C201="Trench Shoring Box",H201="Kallang Formation (marine clay)"),"NOTE: check base heave / ground loss for shoring box in marine clay. ","")&amp;IF(AND(C201="Steel Sheet Pile Cofferdam",N(M201)&lt;G201*0.5),"NOTE: short toe embedment, check. ",""))=0,"OK",IF(AND(Q201&lt;&gt;"",Q201&lt;SG_Criteria!$B$37),"FAIL: base stability FOS &lt; "&amp;SG_Criteria!$B$37&amp;". ","")&amp;IF(AND(D201="Manhole",G201&gt;SG_Criteria!$B$36),"NOTE: BCA lists sewer manholes (pipe &lt;= 2 m dia) &gt; 6 m as non-GBW: QP(ST) + AC. ","")&amp;IF(AND(C201="Trench Shoring Box",H201="Kallang Formation (marine clay)"),"NOTE: check base heave / ground loss for shoring box in marine clay. ","")&amp;IF(AND(C201="Steel Sheet Pile Cofferdam",N(M201)&lt;G201*0.5),"NOTE: short toe embedment, check. ","")))</f>
        <v/>
      </c>
      <c r="AO201" s="9"/>
      <c r="AP201" s="9"/>
      <c r="AQ201" s="9"/>
      <c r="AR201" s="9"/>
      <c r="AS201" s="9"/>
      <c r="AT201" s="31"/>
      <c r="AU201" s="10" t="str">
        <f aca="false">IF(C201="","",IF(AND(V201="Approved",ISERROR(SEARCH("FAIL",AN201))),"Y","N"))</f>
        <v/>
      </c>
      <c r="AV201" s="10" t="str">
        <f aca="false">IF(C201="","",C201&amp;"|"&amp;G201&amp;"|"&amp;E201&amp;"|"&amp;H201&amp;"|"&amp;AU201)</f>
        <v/>
      </c>
    </row>
    <row r="202" customFormat="false" ht="15" hidden="false" customHeight="false" outlineLevel="0" collapsed="false">
      <c r="A202" s="10" t="str">
        <f aca="false">IF(C202="","","ERSS-"&amp;IFERROR(VLOOKUP(C202,Lists!$AK$4:$AL$21,2,0),"??")&amp;"-"&amp;TEXT(E202,"0000")&amp;"x"&amp;TEXT(F202,"0000")&amp;"-D"&amp;TEXT(G202*1000,"0000")&amp;"-"&amp;IFERROR(VLOOKUP(H202,Lists!$Y$4:$Z$21,2,0),"??")&amp;"-"&amp;U202)</f>
        <v/>
      </c>
      <c r="B202" s="10" t="str">
        <f aca="false">IF(C202="","",C202&amp;" for "&amp;D202&amp;", "&amp;E202&amp;" x "&amp;F202&amp;" pit, "&amp;TEXT(G202,"0.0")&amp;" m deep, "&amp;H202)</f>
        <v/>
      </c>
      <c r="C202" s="9"/>
      <c r="D202" s="9"/>
      <c r="E202" s="40"/>
      <c r="F202" s="40"/>
      <c r="G202" s="43"/>
      <c r="H202" s="9"/>
      <c r="I202" s="43"/>
      <c r="J202" s="40"/>
      <c r="K202" s="9"/>
      <c r="L202" s="43"/>
      <c r="M202" s="43"/>
      <c r="N202" s="40"/>
      <c r="O202" s="9"/>
      <c r="P202" s="9"/>
      <c r="Q202" s="41"/>
      <c r="R202" s="9"/>
      <c r="S202" s="40"/>
      <c r="T202" s="9"/>
      <c r="U202" s="9"/>
      <c r="V202" s="9"/>
      <c r="W202" s="9"/>
      <c r="X202" s="9"/>
      <c r="Y202" s="9"/>
      <c r="Z202" s="10" t="str">
        <f aca="false">IF(A202="","",SG_Criteria!$B$6&amp;SG_Criteria!$B$11&amp;"\"&amp;A202&amp;"\")</f>
        <v/>
      </c>
      <c r="AA202" s="10" t="str">
        <f aca="false">IF(A202="","",A202&amp;"_CAD.dwg")</f>
        <v/>
      </c>
      <c r="AB202" s="10" t="str">
        <f aca="false">IF(A202="","",A202&amp;"_DWG.pdf")</f>
        <v/>
      </c>
      <c r="AC202" s="10" t="str">
        <f aca="false">IF(A202="","",IF(Y202="Y",A202&amp;"_STAAD.std","n/a"))</f>
        <v/>
      </c>
      <c r="AD202" s="10" t="str">
        <f aca="false">IF(A202="","",A202&amp;"_CALC.xlsx")</f>
        <v/>
      </c>
      <c r="AE202" s="10" t="str">
        <f aca="false">IF(A202="","",A202&amp;"_CALC.pdf")</f>
        <v/>
      </c>
      <c r="AF202" s="9"/>
      <c r="AG202" s="9"/>
      <c r="AH202" s="41"/>
      <c r="AI202" s="41"/>
      <c r="AJ202" s="41"/>
      <c r="AK202" s="41"/>
      <c r="AL202" s="41"/>
      <c r="AM202" s="38" t="str">
        <f aca="false">IF(OR(C202="",G202=""),"",IF(G202&lt;=IF(OR(C202="Soldier Pile &amp; Timber Lagging",C202="Trench Shoring Box",C202="Open Cut (battered)"),SG_Criteria!$B$34,SG_Criteria!$B$33),"No ERSS submission",IF(G202&lt;=SG_Criteria!$B$35,"QP(ST)",IF(G202&lt;=SG_Criteria!$B$36,"QP(ST) + AC","Geotechnical building works: QP(Geo) + AC"))))</f>
        <v/>
      </c>
      <c r="AN202" s="38" t="str">
        <f aca="false">IF(C202="","",IF(LEN(IF(AND(Q202&lt;&gt;"",Q202&lt;SG_Criteria!$B$37),"FAIL: base stability FOS &lt; "&amp;SG_Criteria!$B$37&amp;". ","")&amp;IF(AND(D202="Manhole",G202&gt;SG_Criteria!$B$36),"NOTE: BCA lists sewer manholes (pipe &lt;= 2 m dia) &gt; 6 m as non-GBW: QP(ST) + AC. ","")&amp;IF(AND(C202="Trench Shoring Box",H202="Kallang Formation (marine clay)"),"NOTE: check base heave / ground loss for shoring box in marine clay. ","")&amp;IF(AND(C202="Steel Sheet Pile Cofferdam",N(M202)&lt;G202*0.5),"NOTE: short toe embedment, check. ",""))=0,"OK",IF(AND(Q202&lt;&gt;"",Q202&lt;SG_Criteria!$B$37),"FAIL: base stability FOS &lt; "&amp;SG_Criteria!$B$37&amp;". ","")&amp;IF(AND(D202="Manhole",G202&gt;SG_Criteria!$B$36),"NOTE: BCA lists sewer manholes (pipe &lt;= 2 m dia) &gt; 6 m as non-GBW: QP(ST) + AC. ","")&amp;IF(AND(C202="Trench Shoring Box",H202="Kallang Formation (marine clay)"),"NOTE: check base heave / ground loss for shoring box in marine clay. ","")&amp;IF(AND(C202="Steel Sheet Pile Cofferdam",N(M202)&lt;G202*0.5),"NOTE: short toe embedment, check. ","")))</f>
        <v/>
      </c>
      <c r="AO202" s="9"/>
      <c r="AP202" s="9"/>
      <c r="AQ202" s="9"/>
      <c r="AR202" s="9"/>
      <c r="AS202" s="9"/>
      <c r="AT202" s="31"/>
      <c r="AU202" s="10" t="str">
        <f aca="false">IF(C202="","",IF(AND(V202="Approved",ISERROR(SEARCH("FAIL",AN202))),"Y","N"))</f>
        <v/>
      </c>
      <c r="AV202" s="10" t="str">
        <f aca="false">IF(C202="","",C202&amp;"|"&amp;G202&amp;"|"&amp;E202&amp;"|"&amp;H202&amp;"|"&amp;AU202)</f>
        <v/>
      </c>
    </row>
    <row r="203" customFormat="false" ht="15" hidden="false" customHeight="false" outlineLevel="0" collapsed="false">
      <c r="A203" s="10" t="str">
        <f aca="false">IF(C203="","","ERSS-"&amp;IFERROR(VLOOKUP(C203,Lists!$AK$4:$AL$21,2,0),"??")&amp;"-"&amp;TEXT(E203,"0000")&amp;"x"&amp;TEXT(F203,"0000")&amp;"-D"&amp;TEXT(G203*1000,"0000")&amp;"-"&amp;IFERROR(VLOOKUP(H203,Lists!$Y$4:$Z$21,2,0),"??")&amp;"-"&amp;U203)</f>
        <v/>
      </c>
      <c r="B203" s="10" t="str">
        <f aca="false">IF(C203="","",C203&amp;" for "&amp;D203&amp;", "&amp;E203&amp;" x "&amp;F203&amp;" pit, "&amp;TEXT(G203,"0.0")&amp;" m deep, "&amp;H203)</f>
        <v/>
      </c>
      <c r="C203" s="9"/>
      <c r="D203" s="9"/>
      <c r="E203" s="40"/>
      <c r="F203" s="40"/>
      <c r="G203" s="43"/>
      <c r="H203" s="9"/>
      <c r="I203" s="43"/>
      <c r="J203" s="40"/>
      <c r="K203" s="9"/>
      <c r="L203" s="43"/>
      <c r="M203" s="43"/>
      <c r="N203" s="40"/>
      <c r="O203" s="9"/>
      <c r="P203" s="9"/>
      <c r="Q203" s="41"/>
      <c r="R203" s="9"/>
      <c r="S203" s="40"/>
      <c r="T203" s="9"/>
      <c r="U203" s="9"/>
      <c r="V203" s="9"/>
      <c r="W203" s="9"/>
      <c r="X203" s="9"/>
      <c r="Y203" s="9"/>
      <c r="Z203" s="10" t="str">
        <f aca="false">IF(A203="","",SG_Criteria!$B$6&amp;SG_Criteria!$B$11&amp;"\"&amp;A203&amp;"\")</f>
        <v/>
      </c>
      <c r="AA203" s="10" t="str">
        <f aca="false">IF(A203="","",A203&amp;"_CAD.dwg")</f>
        <v/>
      </c>
      <c r="AB203" s="10" t="str">
        <f aca="false">IF(A203="","",A203&amp;"_DWG.pdf")</f>
        <v/>
      </c>
      <c r="AC203" s="10" t="str">
        <f aca="false">IF(A203="","",IF(Y203="Y",A203&amp;"_STAAD.std","n/a"))</f>
        <v/>
      </c>
      <c r="AD203" s="10" t="str">
        <f aca="false">IF(A203="","",A203&amp;"_CALC.xlsx")</f>
        <v/>
      </c>
      <c r="AE203" s="10" t="str">
        <f aca="false">IF(A203="","",A203&amp;"_CALC.pdf")</f>
        <v/>
      </c>
      <c r="AF203" s="9"/>
      <c r="AG203" s="9"/>
      <c r="AH203" s="41"/>
      <c r="AI203" s="41"/>
      <c r="AJ203" s="41"/>
      <c r="AK203" s="41"/>
      <c r="AL203" s="41"/>
      <c r="AM203" s="38" t="str">
        <f aca="false">IF(OR(C203="",G203=""),"",IF(G203&lt;=IF(OR(C203="Soldier Pile &amp; Timber Lagging",C203="Trench Shoring Box",C203="Open Cut (battered)"),SG_Criteria!$B$34,SG_Criteria!$B$33),"No ERSS submission",IF(G203&lt;=SG_Criteria!$B$35,"QP(ST)",IF(G203&lt;=SG_Criteria!$B$36,"QP(ST) + AC","Geotechnical building works: QP(Geo) + AC"))))</f>
        <v/>
      </c>
      <c r="AN203" s="38" t="str">
        <f aca="false">IF(C203="","",IF(LEN(IF(AND(Q203&lt;&gt;"",Q203&lt;SG_Criteria!$B$37),"FAIL: base stability FOS &lt; "&amp;SG_Criteria!$B$37&amp;". ","")&amp;IF(AND(D203="Manhole",G203&gt;SG_Criteria!$B$36),"NOTE: BCA lists sewer manholes (pipe &lt;= 2 m dia) &gt; 6 m as non-GBW: QP(ST) + AC. ","")&amp;IF(AND(C203="Trench Shoring Box",H203="Kallang Formation (marine clay)"),"NOTE: check base heave / ground loss for shoring box in marine clay. ","")&amp;IF(AND(C203="Steel Sheet Pile Cofferdam",N(M203)&lt;G203*0.5),"NOTE: short toe embedment, check. ",""))=0,"OK",IF(AND(Q203&lt;&gt;"",Q203&lt;SG_Criteria!$B$37),"FAIL: base stability FOS &lt; "&amp;SG_Criteria!$B$37&amp;". ","")&amp;IF(AND(D203="Manhole",G203&gt;SG_Criteria!$B$36),"NOTE: BCA lists sewer manholes (pipe &lt;= 2 m dia) &gt; 6 m as non-GBW: QP(ST) + AC. ","")&amp;IF(AND(C203="Trench Shoring Box",H203="Kallang Formation (marine clay)"),"NOTE: check base heave / ground loss for shoring box in marine clay. ","")&amp;IF(AND(C203="Steel Sheet Pile Cofferdam",N(M203)&lt;G203*0.5),"NOTE: short toe embedment, check. ","")))</f>
        <v/>
      </c>
      <c r="AO203" s="9"/>
      <c r="AP203" s="9"/>
      <c r="AQ203" s="9"/>
      <c r="AR203" s="9"/>
      <c r="AS203" s="9"/>
      <c r="AT203" s="31"/>
      <c r="AU203" s="10" t="str">
        <f aca="false">IF(C203="","",IF(AND(V203="Approved",ISERROR(SEARCH("FAIL",AN203))),"Y","N"))</f>
        <v/>
      </c>
      <c r="AV203" s="10" t="str">
        <f aca="false">IF(C203="","",C203&amp;"|"&amp;G203&amp;"|"&amp;E203&amp;"|"&amp;H203&amp;"|"&amp;AU203)</f>
        <v/>
      </c>
    </row>
    <row r="204" customFormat="false" ht="15" hidden="false" customHeight="false" outlineLevel="0" collapsed="false">
      <c r="A204" s="10" t="str">
        <f aca="false">IF(C204="","","ERSS-"&amp;IFERROR(VLOOKUP(C204,Lists!$AK$4:$AL$21,2,0),"??")&amp;"-"&amp;TEXT(E204,"0000")&amp;"x"&amp;TEXT(F204,"0000")&amp;"-D"&amp;TEXT(G204*1000,"0000")&amp;"-"&amp;IFERROR(VLOOKUP(H204,Lists!$Y$4:$Z$21,2,0),"??")&amp;"-"&amp;U204)</f>
        <v/>
      </c>
      <c r="B204" s="10" t="str">
        <f aca="false">IF(C204="","",C204&amp;" for "&amp;D204&amp;", "&amp;E204&amp;" x "&amp;F204&amp;" pit, "&amp;TEXT(G204,"0.0")&amp;" m deep, "&amp;H204)</f>
        <v/>
      </c>
      <c r="C204" s="9"/>
      <c r="D204" s="9"/>
      <c r="E204" s="40"/>
      <c r="F204" s="40"/>
      <c r="G204" s="43"/>
      <c r="H204" s="9"/>
      <c r="I204" s="43"/>
      <c r="J204" s="40"/>
      <c r="K204" s="9"/>
      <c r="L204" s="43"/>
      <c r="M204" s="43"/>
      <c r="N204" s="40"/>
      <c r="O204" s="9"/>
      <c r="P204" s="9"/>
      <c r="Q204" s="41"/>
      <c r="R204" s="9"/>
      <c r="S204" s="40"/>
      <c r="T204" s="9"/>
      <c r="U204" s="9"/>
      <c r="V204" s="9"/>
      <c r="W204" s="9"/>
      <c r="X204" s="9"/>
      <c r="Y204" s="9"/>
      <c r="Z204" s="10" t="str">
        <f aca="false">IF(A204="","",SG_Criteria!$B$6&amp;SG_Criteria!$B$11&amp;"\"&amp;A204&amp;"\")</f>
        <v/>
      </c>
      <c r="AA204" s="10" t="str">
        <f aca="false">IF(A204="","",A204&amp;"_CAD.dwg")</f>
        <v/>
      </c>
      <c r="AB204" s="10" t="str">
        <f aca="false">IF(A204="","",A204&amp;"_DWG.pdf")</f>
        <v/>
      </c>
      <c r="AC204" s="10" t="str">
        <f aca="false">IF(A204="","",IF(Y204="Y",A204&amp;"_STAAD.std","n/a"))</f>
        <v/>
      </c>
      <c r="AD204" s="10" t="str">
        <f aca="false">IF(A204="","",A204&amp;"_CALC.xlsx")</f>
        <v/>
      </c>
      <c r="AE204" s="10" t="str">
        <f aca="false">IF(A204="","",A204&amp;"_CALC.pdf")</f>
        <v/>
      </c>
      <c r="AF204" s="9"/>
      <c r="AG204" s="9"/>
      <c r="AH204" s="41"/>
      <c r="AI204" s="41"/>
      <c r="AJ204" s="41"/>
      <c r="AK204" s="41"/>
      <c r="AL204" s="41"/>
      <c r="AM204" s="38" t="str">
        <f aca="false">IF(OR(C204="",G204=""),"",IF(G204&lt;=IF(OR(C204="Soldier Pile &amp; Timber Lagging",C204="Trench Shoring Box",C204="Open Cut (battered)"),SG_Criteria!$B$34,SG_Criteria!$B$33),"No ERSS submission",IF(G204&lt;=SG_Criteria!$B$35,"QP(ST)",IF(G204&lt;=SG_Criteria!$B$36,"QP(ST) + AC","Geotechnical building works: QP(Geo) + AC"))))</f>
        <v/>
      </c>
      <c r="AN204" s="38" t="str">
        <f aca="false">IF(C204="","",IF(LEN(IF(AND(Q204&lt;&gt;"",Q204&lt;SG_Criteria!$B$37),"FAIL: base stability FOS &lt; "&amp;SG_Criteria!$B$37&amp;". ","")&amp;IF(AND(D204="Manhole",G204&gt;SG_Criteria!$B$36),"NOTE: BCA lists sewer manholes (pipe &lt;= 2 m dia) &gt; 6 m as non-GBW: QP(ST) + AC. ","")&amp;IF(AND(C204="Trench Shoring Box",H204="Kallang Formation (marine clay)"),"NOTE: check base heave / ground loss for shoring box in marine clay. ","")&amp;IF(AND(C204="Steel Sheet Pile Cofferdam",N(M204)&lt;G204*0.5),"NOTE: short toe embedment, check. ",""))=0,"OK",IF(AND(Q204&lt;&gt;"",Q204&lt;SG_Criteria!$B$37),"FAIL: base stability FOS &lt; "&amp;SG_Criteria!$B$37&amp;". ","")&amp;IF(AND(D204="Manhole",G204&gt;SG_Criteria!$B$36),"NOTE: BCA lists sewer manholes (pipe &lt;= 2 m dia) &gt; 6 m as non-GBW: QP(ST) + AC. ","")&amp;IF(AND(C204="Trench Shoring Box",H204="Kallang Formation (marine clay)"),"NOTE: check base heave / ground loss for shoring box in marine clay. ","")&amp;IF(AND(C204="Steel Sheet Pile Cofferdam",N(M204)&lt;G204*0.5),"NOTE: short toe embedment, check. ","")))</f>
        <v/>
      </c>
      <c r="AO204" s="9"/>
      <c r="AP204" s="9"/>
      <c r="AQ204" s="9"/>
      <c r="AR204" s="9"/>
      <c r="AS204" s="9"/>
      <c r="AT204" s="31"/>
      <c r="AU204" s="10" t="str">
        <f aca="false">IF(C204="","",IF(AND(V204="Approved",ISERROR(SEARCH("FAIL",AN204))),"Y","N"))</f>
        <v/>
      </c>
      <c r="AV204" s="10" t="str">
        <f aca="false">IF(C204="","",C204&amp;"|"&amp;G204&amp;"|"&amp;E204&amp;"|"&amp;H204&amp;"|"&amp;AU204)</f>
        <v/>
      </c>
    </row>
    <row r="205" customFormat="false" ht="15" hidden="false" customHeight="false" outlineLevel="0" collapsed="false">
      <c r="A205" s="10" t="str">
        <f aca="false">IF(C205="","","ERSS-"&amp;IFERROR(VLOOKUP(C205,Lists!$AK$4:$AL$21,2,0),"??")&amp;"-"&amp;TEXT(E205,"0000")&amp;"x"&amp;TEXT(F205,"0000")&amp;"-D"&amp;TEXT(G205*1000,"0000")&amp;"-"&amp;IFERROR(VLOOKUP(H205,Lists!$Y$4:$Z$21,2,0),"??")&amp;"-"&amp;U205)</f>
        <v/>
      </c>
      <c r="B205" s="10" t="str">
        <f aca="false">IF(C205="","",C205&amp;" for "&amp;D205&amp;", "&amp;E205&amp;" x "&amp;F205&amp;" pit, "&amp;TEXT(G205,"0.0")&amp;" m deep, "&amp;H205)</f>
        <v/>
      </c>
      <c r="C205" s="9"/>
      <c r="D205" s="9"/>
      <c r="E205" s="40"/>
      <c r="F205" s="40"/>
      <c r="G205" s="43"/>
      <c r="H205" s="9"/>
      <c r="I205" s="43"/>
      <c r="J205" s="40"/>
      <c r="K205" s="9"/>
      <c r="L205" s="43"/>
      <c r="M205" s="43"/>
      <c r="N205" s="40"/>
      <c r="O205" s="9"/>
      <c r="P205" s="9"/>
      <c r="Q205" s="41"/>
      <c r="R205" s="9"/>
      <c r="S205" s="40"/>
      <c r="T205" s="9"/>
      <c r="U205" s="9"/>
      <c r="V205" s="9"/>
      <c r="W205" s="9"/>
      <c r="X205" s="9"/>
      <c r="Y205" s="9"/>
      <c r="Z205" s="10" t="str">
        <f aca="false">IF(A205="","",SG_Criteria!$B$6&amp;SG_Criteria!$B$11&amp;"\"&amp;A205&amp;"\")</f>
        <v/>
      </c>
      <c r="AA205" s="10" t="str">
        <f aca="false">IF(A205="","",A205&amp;"_CAD.dwg")</f>
        <v/>
      </c>
      <c r="AB205" s="10" t="str">
        <f aca="false">IF(A205="","",A205&amp;"_DWG.pdf")</f>
        <v/>
      </c>
      <c r="AC205" s="10" t="str">
        <f aca="false">IF(A205="","",IF(Y205="Y",A205&amp;"_STAAD.std","n/a"))</f>
        <v/>
      </c>
      <c r="AD205" s="10" t="str">
        <f aca="false">IF(A205="","",A205&amp;"_CALC.xlsx")</f>
        <v/>
      </c>
      <c r="AE205" s="10" t="str">
        <f aca="false">IF(A205="","",A205&amp;"_CALC.pdf")</f>
        <v/>
      </c>
      <c r="AF205" s="9"/>
      <c r="AG205" s="9"/>
      <c r="AH205" s="41"/>
      <c r="AI205" s="41"/>
      <c r="AJ205" s="41"/>
      <c r="AK205" s="41"/>
      <c r="AL205" s="41"/>
      <c r="AM205" s="38" t="str">
        <f aca="false">IF(OR(C205="",G205=""),"",IF(G205&lt;=IF(OR(C205="Soldier Pile &amp; Timber Lagging",C205="Trench Shoring Box",C205="Open Cut (battered)"),SG_Criteria!$B$34,SG_Criteria!$B$33),"No ERSS submission",IF(G205&lt;=SG_Criteria!$B$35,"QP(ST)",IF(G205&lt;=SG_Criteria!$B$36,"QP(ST) + AC","Geotechnical building works: QP(Geo) + AC"))))</f>
        <v/>
      </c>
      <c r="AN205" s="38" t="str">
        <f aca="false">IF(C205="","",IF(LEN(IF(AND(Q205&lt;&gt;"",Q205&lt;SG_Criteria!$B$37),"FAIL: base stability FOS &lt; "&amp;SG_Criteria!$B$37&amp;". ","")&amp;IF(AND(D205="Manhole",G205&gt;SG_Criteria!$B$36),"NOTE: BCA lists sewer manholes (pipe &lt;= 2 m dia) &gt; 6 m as non-GBW: QP(ST) + AC. ","")&amp;IF(AND(C205="Trench Shoring Box",H205="Kallang Formation (marine clay)"),"NOTE: check base heave / ground loss for shoring box in marine clay. ","")&amp;IF(AND(C205="Steel Sheet Pile Cofferdam",N(M205)&lt;G205*0.5),"NOTE: short toe embedment, check. ",""))=0,"OK",IF(AND(Q205&lt;&gt;"",Q205&lt;SG_Criteria!$B$37),"FAIL: base stability FOS &lt; "&amp;SG_Criteria!$B$37&amp;". ","")&amp;IF(AND(D205="Manhole",G205&gt;SG_Criteria!$B$36),"NOTE: BCA lists sewer manholes (pipe &lt;= 2 m dia) &gt; 6 m as non-GBW: QP(ST) + AC. ","")&amp;IF(AND(C205="Trench Shoring Box",H205="Kallang Formation (marine clay)"),"NOTE: check base heave / ground loss for shoring box in marine clay. ","")&amp;IF(AND(C205="Steel Sheet Pile Cofferdam",N(M205)&lt;G205*0.5),"NOTE: short toe embedment, check. ","")))</f>
        <v/>
      </c>
      <c r="AO205" s="9"/>
      <c r="AP205" s="9"/>
      <c r="AQ205" s="9"/>
      <c r="AR205" s="9"/>
      <c r="AS205" s="9"/>
      <c r="AT205" s="31"/>
      <c r="AU205" s="10" t="str">
        <f aca="false">IF(C205="","",IF(AND(V205="Approved",ISERROR(SEARCH("FAIL",AN205))),"Y","N"))</f>
        <v/>
      </c>
      <c r="AV205" s="10" t="str">
        <f aca="false">IF(C205="","",C205&amp;"|"&amp;G205&amp;"|"&amp;E205&amp;"|"&amp;H205&amp;"|"&amp;AU205)</f>
        <v/>
      </c>
    </row>
    <row r="206" customFormat="false" ht="15" hidden="false" customHeight="false" outlineLevel="0" collapsed="false">
      <c r="A206" s="10" t="str">
        <f aca="false">IF(C206="","","ERSS-"&amp;IFERROR(VLOOKUP(C206,Lists!$AK$4:$AL$21,2,0),"??")&amp;"-"&amp;TEXT(E206,"0000")&amp;"x"&amp;TEXT(F206,"0000")&amp;"-D"&amp;TEXT(G206*1000,"0000")&amp;"-"&amp;IFERROR(VLOOKUP(H206,Lists!$Y$4:$Z$21,2,0),"??")&amp;"-"&amp;U206)</f>
        <v/>
      </c>
      <c r="B206" s="10" t="str">
        <f aca="false">IF(C206="","",C206&amp;" for "&amp;D206&amp;", "&amp;E206&amp;" x "&amp;F206&amp;" pit, "&amp;TEXT(G206,"0.0")&amp;" m deep, "&amp;H206)</f>
        <v/>
      </c>
      <c r="C206" s="9"/>
      <c r="D206" s="9"/>
      <c r="E206" s="40"/>
      <c r="F206" s="40"/>
      <c r="G206" s="43"/>
      <c r="H206" s="9"/>
      <c r="I206" s="43"/>
      <c r="J206" s="40"/>
      <c r="K206" s="9"/>
      <c r="L206" s="43"/>
      <c r="M206" s="43"/>
      <c r="N206" s="40"/>
      <c r="O206" s="9"/>
      <c r="P206" s="9"/>
      <c r="Q206" s="41"/>
      <c r="R206" s="9"/>
      <c r="S206" s="40"/>
      <c r="T206" s="9"/>
      <c r="U206" s="9"/>
      <c r="V206" s="9"/>
      <c r="W206" s="9"/>
      <c r="X206" s="9"/>
      <c r="Y206" s="9"/>
      <c r="Z206" s="10" t="str">
        <f aca="false">IF(A206="","",SG_Criteria!$B$6&amp;SG_Criteria!$B$11&amp;"\"&amp;A206&amp;"\")</f>
        <v/>
      </c>
      <c r="AA206" s="10" t="str">
        <f aca="false">IF(A206="","",A206&amp;"_CAD.dwg")</f>
        <v/>
      </c>
      <c r="AB206" s="10" t="str">
        <f aca="false">IF(A206="","",A206&amp;"_DWG.pdf")</f>
        <v/>
      </c>
      <c r="AC206" s="10" t="str">
        <f aca="false">IF(A206="","",IF(Y206="Y",A206&amp;"_STAAD.std","n/a"))</f>
        <v/>
      </c>
      <c r="AD206" s="10" t="str">
        <f aca="false">IF(A206="","",A206&amp;"_CALC.xlsx")</f>
        <v/>
      </c>
      <c r="AE206" s="10" t="str">
        <f aca="false">IF(A206="","",A206&amp;"_CALC.pdf")</f>
        <v/>
      </c>
      <c r="AF206" s="9"/>
      <c r="AG206" s="9"/>
      <c r="AH206" s="41"/>
      <c r="AI206" s="41"/>
      <c r="AJ206" s="41"/>
      <c r="AK206" s="41"/>
      <c r="AL206" s="41"/>
      <c r="AM206" s="38" t="str">
        <f aca="false">IF(OR(C206="",G206=""),"",IF(G206&lt;=IF(OR(C206="Soldier Pile &amp; Timber Lagging",C206="Trench Shoring Box",C206="Open Cut (battered)"),SG_Criteria!$B$34,SG_Criteria!$B$33),"No ERSS submission",IF(G206&lt;=SG_Criteria!$B$35,"QP(ST)",IF(G206&lt;=SG_Criteria!$B$36,"QP(ST) + AC","Geotechnical building works: QP(Geo) + AC"))))</f>
        <v/>
      </c>
      <c r="AN206" s="38" t="str">
        <f aca="false">IF(C206="","",IF(LEN(IF(AND(Q206&lt;&gt;"",Q206&lt;SG_Criteria!$B$37),"FAIL: base stability FOS &lt; "&amp;SG_Criteria!$B$37&amp;". ","")&amp;IF(AND(D206="Manhole",G206&gt;SG_Criteria!$B$36),"NOTE: BCA lists sewer manholes (pipe &lt;= 2 m dia) &gt; 6 m as non-GBW: QP(ST) + AC. ","")&amp;IF(AND(C206="Trench Shoring Box",H206="Kallang Formation (marine clay)"),"NOTE: check base heave / ground loss for shoring box in marine clay. ","")&amp;IF(AND(C206="Steel Sheet Pile Cofferdam",N(M206)&lt;G206*0.5),"NOTE: short toe embedment, check. ",""))=0,"OK",IF(AND(Q206&lt;&gt;"",Q206&lt;SG_Criteria!$B$37),"FAIL: base stability FOS &lt; "&amp;SG_Criteria!$B$37&amp;". ","")&amp;IF(AND(D206="Manhole",G206&gt;SG_Criteria!$B$36),"NOTE: BCA lists sewer manholes (pipe &lt;= 2 m dia) &gt; 6 m as non-GBW: QP(ST) + AC. ","")&amp;IF(AND(C206="Trench Shoring Box",H206="Kallang Formation (marine clay)"),"NOTE: check base heave / ground loss for shoring box in marine clay. ","")&amp;IF(AND(C206="Steel Sheet Pile Cofferdam",N(M206)&lt;G206*0.5),"NOTE: short toe embedment, check. ","")))</f>
        <v/>
      </c>
      <c r="AO206" s="9"/>
      <c r="AP206" s="9"/>
      <c r="AQ206" s="9"/>
      <c r="AR206" s="9"/>
      <c r="AS206" s="9"/>
      <c r="AT206" s="31"/>
      <c r="AU206" s="10" t="str">
        <f aca="false">IF(C206="","",IF(AND(V206="Approved",ISERROR(SEARCH("FAIL",AN206))),"Y","N"))</f>
        <v/>
      </c>
      <c r="AV206" s="10" t="str">
        <f aca="false">IF(C206="","",C206&amp;"|"&amp;G206&amp;"|"&amp;E206&amp;"|"&amp;H206&amp;"|"&amp;AU206)</f>
        <v/>
      </c>
    </row>
    <row r="207" customFormat="false" ht="15" hidden="false" customHeight="false" outlineLevel="0" collapsed="false">
      <c r="A207" s="10" t="str">
        <f aca="false">IF(C207="","","ERSS-"&amp;IFERROR(VLOOKUP(C207,Lists!$AK$4:$AL$21,2,0),"??")&amp;"-"&amp;TEXT(E207,"0000")&amp;"x"&amp;TEXT(F207,"0000")&amp;"-D"&amp;TEXT(G207*1000,"0000")&amp;"-"&amp;IFERROR(VLOOKUP(H207,Lists!$Y$4:$Z$21,2,0),"??")&amp;"-"&amp;U207)</f>
        <v/>
      </c>
      <c r="B207" s="10" t="str">
        <f aca="false">IF(C207="","",C207&amp;" for "&amp;D207&amp;", "&amp;E207&amp;" x "&amp;F207&amp;" pit, "&amp;TEXT(G207,"0.0")&amp;" m deep, "&amp;H207)</f>
        <v/>
      </c>
      <c r="C207" s="9"/>
      <c r="D207" s="9"/>
      <c r="E207" s="40"/>
      <c r="F207" s="40"/>
      <c r="G207" s="43"/>
      <c r="H207" s="9"/>
      <c r="I207" s="43"/>
      <c r="J207" s="40"/>
      <c r="K207" s="9"/>
      <c r="L207" s="43"/>
      <c r="M207" s="43"/>
      <c r="N207" s="40"/>
      <c r="O207" s="9"/>
      <c r="P207" s="9"/>
      <c r="Q207" s="41"/>
      <c r="R207" s="9"/>
      <c r="S207" s="40"/>
      <c r="T207" s="9"/>
      <c r="U207" s="9"/>
      <c r="V207" s="9"/>
      <c r="W207" s="9"/>
      <c r="X207" s="9"/>
      <c r="Y207" s="9"/>
      <c r="Z207" s="10" t="str">
        <f aca="false">IF(A207="","",SG_Criteria!$B$6&amp;SG_Criteria!$B$11&amp;"\"&amp;A207&amp;"\")</f>
        <v/>
      </c>
      <c r="AA207" s="10" t="str">
        <f aca="false">IF(A207="","",A207&amp;"_CAD.dwg")</f>
        <v/>
      </c>
      <c r="AB207" s="10" t="str">
        <f aca="false">IF(A207="","",A207&amp;"_DWG.pdf")</f>
        <v/>
      </c>
      <c r="AC207" s="10" t="str">
        <f aca="false">IF(A207="","",IF(Y207="Y",A207&amp;"_STAAD.std","n/a"))</f>
        <v/>
      </c>
      <c r="AD207" s="10" t="str">
        <f aca="false">IF(A207="","",A207&amp;"_CALC.xlsx")</f>
        <v/>
      </c>
      <c r="AE207" s="10" t="str">
        <f aca="false">IF(A207="","",A207&amp;"_CALC.pdf")</f>
        <v/>
      </c>
      <c r="AF207" s="9"/>
      <c r="AG207" s="9"/>
      <c r="AH207" s="41"/>
      <c r="AI207" s="41"/>
      <c r="AJ207" s="41"/>
      <c r="AK207" s="41"/>
      <c r="AL207" s="41"/>
      <c r="AM207" s="38" t="str">
        <f aca="false">IF(OR(C207="",G207=""),"",IF(G207&lt;=IF(OR(C207="Soldier Pile &amp; Timber Lagging",C207="Trench Shoring Box",C207="Open Cut (battered)"),SG_Criteria!$B$34,SG_Criteria!$B$33),"No ERSS submission",IF(G207&lt;=SG_Criteria!$B$35,"QP(ST)",IF(G207&lt;=SG_Criteria!$B$36,"QP(ST) + AC","Geotechnical building works: QP(Geo) + AC"))))</f>
        <v/>
      </c>
      <c r="AN207" s="38" t="str">
        <f aca="false">IF(C207="","",IF(LEN(IF(AND(Q207&lt;&gt;"",Q207&lt;SG_Criteria!$B$37),"FAIL: base stability FOS &lt; "&amp;SG_Criteria!$B$37&amp;". ","")&amp;IF(AND(D207="Manhole",G207&gt;SG_Criteria!$B$36),"NOTE: BCA lists sewer manholes (pipe &lt;= 2 m dia) &gt; 6 m as non-GBW: QP(ST) + AC. ","")&amp;IF(AND(C207="Trench Shoring Box",H207="Kallang Formation (marine clay)"),"NOTE: check base heave / ground loss for shoring box in marine clay. ","")&amp;IF(AND(C207="Steel Sheet Pile Cofferdam",N(M207)&lt;G207*0.5),"NOTE: short toe embedment, check. ",""))=0,"OK",IF(AND(Q207&lt;&gt;"",Q207&lt;SG_Criteria!$B$37),"FAIL: base stability FOS &lt; "&amp;SG_Criteria!$B$37&amp;". ","")&amp;IF(AND(D207="Manhole",G207&gt;SG_Criteria!$B$36),"NOTE: BCA lists sewer manholes (pipe &lt;= 2 m dia) &gt; 6 m as non-GBW: QP(ST) + AC. ","")&amp;IF(AND(C207="Trench Shoring Box",H207="Kallang Formation (marine clay)"),"NOTE: check base heave / ground loss for shoring box in marine clay. ","")&amp;IF(AND(C207="Steel Sheet Pile Cofferdam",N(M207)&lt;G207*0.5),"NOTE: short toe embedment, check. ","")))</f>
        <v/>
      </c>
      <c r="AO207" s="9"/>
      <c r="AP207" s="9"/>
      <c r="AQ207" s="9"/>
      <c r="AR207" s="9"/>
      <c r="AS207" s="9"/>
      <c r="AT207" s="31"/>
      <c r="AU207" s="10" t="str">
        <f aca="false">IF(C207="","",IF(AND(V207="Approved",ISERROR(SEARCH("FAIL",AN207))),"Y","N"))</f>
        <v/>
      </c>
      <c r="AV207" s="10" t="str">
        <f aca="false">IF(C207="","",C207&amp;"|"&amp;G207&amp;"|"&amp;E207&amp;"|"&amp;H207&amp;"|"&amp;AU207)</f>
        <v/>
      </c>
    </row>
    <row r="208" customFormat="false" ht="15" hidden="false" customHeight="false" outlineLevel="0" collapsed="false">
      <c r="A208" s="10" t="str">
        <f aca="false">IF(C208="","","ERSS-"&amp;IFERROR(VLOOKUP(C208,Lists!$AK$4:$AL$21,2,0),"??")&amp;"-"&amp;TEXT(E208,"0000")&amp;"x"&amp;TEXT(F208,"0000")&amp;"-D"&amp;TEXT(G208*1000,"0000")&amp;"-"&amp;IFERROR(VLOOKUP(H208,Lists!$Y$4:$Z$21,2,0),"??")&amp;"-"&amp;U208)</f>
        <v/>
      </c>
      <c r="B208" s="10" t="str">
        <f aca="false">IF(C208="","",C208&amp;" for "&amp;D208&amp;", "&amp;E208&amp;" x "&amp;F208&amp;" pit, "&amp;TEXT(G208,"0.0")&amp;" m deep, "&amp;H208)</f>
        <v/>
      </c>
      <c r="C208" s="9"/>
      <c r="D208" s="9"/>
      <c r="E208" s="40"/>
      <c r="F208" s="40"/>
      <c r="G208" s="43"/>
      <c r="H208" s="9"/>
      <c r="I208" s="43"/>
      <c r="J208" s="40"/>
      <c r="K208" s="9"/>
      <c r="L208" s="43"/>
      <c r="M208" s="43"/>
      <c r="N208" s="40"/>
      <c r="O208" s="9"/>
      <c r="P208" s="9"/>
      <c r="Q208" s="41"/>
      <c r="R208" s="9"/>
      <c r="S208" s="40"/>
      <c r="T208" s="9"/>
      <c r="U208" s="9"/>
      <c r="V208" s="9"/>
      <c r="W208" s="9"/>
      <c r="X208" s="9"/>
      <c r="Y208" s="9"/>
      <c r="Z208" s="10" t="str">
        <f aca="false">IF(A208="","",SG_Criteria!$B$6&amp;SG_Criteria!$B$11&amp;"\"&amp;A208&amp;"\")</f>
        <v/>
      </c>
      <c r="AA208" s="10" t="str">
        <f aca="false">IF(A208="","",A208&amp;"_CAD.dwg")</f>
        <v/>
      </c>
      <c r="AB208" s="10" t="str">
        <f aca="false">IF(A208="","",A208&amp;"_DWG.pdf")</f>
        <v/>
      </c>
      <c r="AC208" s="10" t="str">
        <f aca="false">IF(A208="","",IF(Y208="Y",A208&amp;"_STAAD.std","n/a"))</f>
        <v/>
      </c>
      <c r="AD208" s="10" t="str">
        <f aca="false">IF(A208="","",A208&amp;"_CALC.xlsx")</f>
        <v/>
      </c>
      <c r="AE208" s="10" t="str">
        <f aca="false">IF(A208="","",A208&amp;"_CALC.pdf")</f>
        <v/>
      </c>
      <c r="AF208" s="9"/>
      <c r="AG208" s="9"/>
      <c r="AH208" s="41"/>
      <c r="AI208" s="41"/>
      <c r="AJ208" s="41"/>
      <c r="AK208" s="41"/>
      <c r="AL208" s="41"/>
      <c r="AM208" s="38" t="str">
        <f aca="false">IF(OR(C208="",G208=""),"",IF(G208&lt;=IF(OR(C208="Soldier Pile &amp; Timber Lagging",C208="Trench Shoring Box",C208="Open Cut (battered)"),SG_Criteria!$B$34,SG_Criteria!$B$33),"No ERSS submission",IF(G208&lt;=SG_Criteria!$B$35,"QP(ST)",IF(G208&lt;=SG_Criteria!$B$36,"QP(ST) + AC","Geotechnical building works: QP(Geo) + AC"))))</f>
        <v/>
      </c>
      <c r="AN208" s="38" t="str">
        <f aca="false">IF(C208="","",IF(LEN(IF(AND(Q208&lt;&gt;"",Q208&lt;SG_Criteria!$B$37),"FAIL: base stability FOS &lt; "&amp;SG_Criteria!$B$37&amp;". ","")&amp;IF(AND(D208="Manhole",G208&gt;SG_Criteria!$B$36),"NOTE: BCA lists sewer manholes (pipe &lt;= 2 m dia) &gt; 6 m as non-GBW: QP(ST) + AC. ","")&amp;IF(AND(C208="Trench Shoring Box",H208="Kallang Formation (marine clay)"),"NOTE: check base heave / ground loss for shoring box in marine clay. ","")&amp;IF(AND(C208="Steel Sheet Pile Cofferdam",N(M208)&lt;G208*0.5),"NOTE: short toe embedment, check. ",""))=0,"OK",IF(AND(Q208&lt;&gt;"",Q208&lt;SG_Criteria!$B$37),"FAIL: base stability FOS &lt; "&amp;SG_Criteria!$B$37&amp;". ","")&amp;IF(AND(D208="Manhole",G208&gt;SG_Criteria!$B$36),"NOTE: BCA lists sewer manholes (pipe &lt;= 2 m dia) &gt; 6 m as non-GBW: QP(ST) + AC. ","")&amp;IF(AND(C208="Trench Shoring Box",H208="Kallang Formation (marine clay)"),"NOTE: check base heave / ground loss for shoring box in marine clay. ","")&amp;IF(AND(C208="Steel Sheet Pile Cofferdam",N(M208)&lt;G208*0.5),"NOTE: short toe embedment, check. ","")))</f>
        <v/>
      </c>
      <c r="AO208" s="9"/>
      <c r="AP208" s="9"/>
      <c r="AQ208" s="9"/>
      <c r="AR208" s="9"/>
      <c r="AS208" s="9"/>
      <c r="AT208" s="31"/>
      <c r="AU208" s="10" t="str">
        <f aca="false">IF(C208="","",IF(AND(V208="Approved",ISERROR(SEARCH("FAIL",AN208))),"Y","N"))</f>
        <v/>
      </c>
      <c r="AV208" s="10" t="str">
        <f aca="false">IF(C208="","",C208&amp;"|"&amp;G208&amp;"|"&amp;E208&amp;"|"&amp;H208&amp;"|"&amp;AU208)</f>
        <v/>
      </c>
    </row>
    <row r="209" customFormat="false" ht="15" hidden="false" customHeight="false" outlineLevel="0" collapsed="false">
      <c r="A209" s="10" t="str">
        <f aca="false">IF(C209="","","ERSS-"&amp;IFERROR(VLOOKUP(C209,Lists!$AK$4:$AL$21,2,0),"??")&amp;"-"&amp;TEXT(E209,"0000")&amp;"x"&amp;TEXT(F209,"0000")&amp;"-D"&amp;TEXT(G209*1000,"0000")&amp;"-"&amp;IFERROR(VLOOKUP(H209,Lists!$Y$4:$Z$21,2,0),"??")&amp;"-"&amp;U209)</f>
        <v/>
      </c>
      <c r="B209" s="10" t="str">
        <f aca="false">IF(C209="","",C209&amp;" for "&amp;D209&amp;", "&amp;E209&amp;" x "&amp;F209&amp;" pit, "&amp;TEXT(G209,"0.0")&amp;" m deep, "&amp;H209)</f>
        <v/>
      </c>
      <c r="C209" s="9"/>
      <c r="D209" s="9"/>
      <c r="E209" s="40"/>
      <c r="F209" s="40"/>
      <c r="G209" s="43"/>
      <c r="H209" s="9"/>
      <c r="I209" s="43"/>
      <c r="J209" s="40"/>
      <c r="K209" s="9"/>
      <c r="L209" s="43"/>
      <c r="M209" s="43"/>
      <c r="N209" s="40"/>
      <c r="O209" s="9"/>
      <c r="P209" s="9"/>
      <c r="Q209" s="41"/>
      <c r="R209" s="9"/>
      <c r="S209" s="40"/>
      <c r="T209" s="9"/>
      <c r="U209" s="9"/>
      <c r="V209" s="9"/>
      <c r="W209" s="9"/>
      <c r="X209" s="9"/>
      <c r="Y209" s="9"/>
      <c r="Z209" s="10" t="str">
        <f aca="false">IF(A209="","",SG_Criteria!$B$6&amp;SG_Criteria!$B$11&amp;"\"&amp;A209&amp;"\")</f>
        <v/>
      </c>
      <c r="AA209" s="10" t="str">
        <f aca="false">IF(A209="","",A209&amp;"_CAD.dwg")</f>
        <v/>
      </c>
      <c r="AB209" s="10" t="str">
        <f aca="false">IF(A209="","",A209&amp;"_DWG.pdf")</f>
        <v/>
      </c>
      <c r="AC209" s="10" t="str">
        <f aca="false">IF(A209="","",IF(Y209="Y",A209&amp;"_STAAD.std","n/a"))</f>
        <v/>
      </c>
      <c r="AD209" s="10" t="str">
        <f aca="false">IF(A209="","",A209&amp;"_CALC.xlsx")</f>
        <v/>
      </c>
      <c r="AE209" s="10" t="str">
        <f aca="false">IF(A209="","",A209&amp;"_CALC.pdf")</f>
        <v/>
      </c>
      <c r="AF209" s="9"/>
      <c r="AG209" s="9"/>
      <c r="AH209" s="41"/>
      <c r="AI209" s="41"/>
      <c r="AJ209" s="41"/>
      <c r="AK209" s="41"/>
      <c r="AL209" s="41"/>
      <c r="AM209" s="38" t="str">
        <f aca="false">IF(OR(C209="",G209=""),"",IF(G209&lt;=IF(OR(C209="Soldier Pile &amp; Timber Lagging",C209="Trench Shoring Box",C209="Open Cut (battered)"),SG_Criteria!$B$34,SG_Criteria!$B$33),"No ERSS submission",IF(G209&lt;=SG_Criteria!$B$35,"QP(ST)",IF(G209&lt;=SG_Criteria!$B$36,"QP(ST) + AC","Geotechnical building works: QP(Geo) + AC"))))</f>
        <v/>
      </c>
      <c r="AN209" s="38" t="str">
        <f aca="false">IF(C209="","",IF(LEN(IF(AND(Q209&lt;&gt;"",Q209&lt;SG_Criteria!$B$37),"FAIL: base stability FOS &lt; "&amp;SG_Criteria!$B$37&amp;". ","")&amp;IF(AND(D209="Manhole",G209&gt;SG_Criteria!$B$36),"NOTE: BCA lists sewer manholes (pipe &lt;= 2 m dia) &gt; 6 m as non-GBW: QP(ST) + AC. ","")&amp;IF(AND(C209="Trench Shoring Box",H209="Kallang Formation (marine clay)"),"NOTE: check base heave / ground loss for shoring box in marine clay. ","")&amp;IF(AND(C209="Steel Sheet Pile Cofferdam",N(M209)&lt;G209*0.5),"NOTE: short toe embedment, check. ",""))=0,"OK",IF(AND(Q209&lt;&gt;"",Q209&lt;SG_Criteria!$B$37),"FAIL: base stability FOS &lt; "&amp;SG_Criteria!$B$37&amp;". ","")&amp;IF(AND(D209="Manhole",G209&gt;SG_Criteria!$B$36),"NOTE: BCA lists sewer manholes (pipe &lt;= 2 m dia) &gt; 6 m as non-GBW: QP(ST) + AC. ","")&amp;IF(AND(C209="Trench Shoring Box",H209="Kallang Formation (marine clay)"),"NOTE: check base heave / ground loss for shoring box in marine clay. ","")&amp;IF(AND(C209="Steel Sheet Pile Cofferdam",N(M209)&lt;G209*0.5),"NOTE: short toe embedment, check. ","")))</f>
        <v/>
      </c>
      <c r="AO209" s="9"/>
      <c r="AP209" s="9"/>
      <c r="AQ209" s="9"/>
      <c r="AR209" s="9"/>
      <c r="AS209" s="9"/>
      <c r="AT209" s="31"/>
      <c r="AU209" s="10" t="str">
        <f aca="false">IF(C209="","",IF(AND(V209="Approved",ISERROR(SEARCH("FAIL",AN209))),"Y","N"))</f>
        <v/>
      </c>
      <c r="AV209" s="10" t="str">
        <f aca="false">IF(C209="","",C209&amp;"|"&amp;G209&amp;"|"&amp;E209&amp;"|"&amp;H209&amp;"|"&amp;AU209)</f>
        <v/>
      </c>
    </row>
    <row r="210" customFormat="false" ht="15" hidden="false" customHeight="false" outlineLevel="0" collapsed="false">
      <c r="A210" s="10" t="str">
        <f aca="false">IF(C210="","","ERSS-"&amp;IFERROR(VLOOKUP(C210,Lists!$AK$4:$AL$21,2,0),"??")&amp;"-"&amp;TEXT(E210,"0000")&amp;"x"&amp;TEXT(F210,"0000")&amp;"-D"&amp;TEXT(G210*1000,"0000")&amp;"-"&amp;IFERROR(VLOOKUP(H210,Lists!$Y$4:$Z$21,2,0),"??")&amp;"-"&amp;U210)</f>
        <v/>
      </c>
      <c r="B210" s="10" t="str">
        <f aca="false">IF(C210="","",C210&amp;" for "&amp;D210&amp;", "&amp;E210&amp;" x "&amp;F210&amp;" pit, "&amp;TEXT(G210,"0.0")&amp;" m deep, "&amp;H210)</f>
        <v/>
      </c>
      <c r="C210" s="9"/>
      <c r="D210" s="9"/>
      <c r="E210" s="40"/>
      <c r="F210" s="40"/>
      <c r="G210" s="43"/>
      <c r="H210" s="9"/>
      <c r="I210" s="43"/>
      <c r="J210" s="40"/>
      <c r="K210" s="9"/>
      <c r="L210" s="43"/>
      <c r="M210" s="43"/>
      <c r="N210" s="40"/>
      <c r="O210" s="9"/>
      <c r="P210" s="9"/>
      <c r="Q210" s="41"/>
      <c r="R210" s="9"/>
      <c r="S210" s="40"/>
      <c r="T210" s="9"/>
      <c r="U210" s="9"/>
      <c r="V210" s="9"/>
      <c r="W210" s="9"/>
      <c r="X210" s="9"/>
      <c r="Y210" s="9"/>
      <c r="Z210" s="10" t="str">
        <f aca="false">IF(A210="","",SG_Criteria!$B$6&amp;SG_Criteria!$B$11&amp;"\"&amp;A210&amp;"\")</f>
        <v/>
      </c>
      <c r="AA210" s="10" t="str">
        <f aca="false">IF(A210="","",A210&amp;"_CAD.dwg")</f>
        <v/>
      </c>
      <c r="AB210" s="10" t="str">
        <f aca="false">IF(A210="","",A210&amp;"_DWG.pdf")</f>
        <v/>
      </c>
      <c r="AC210" s="10" t="str">
        <f aca="false">IF(A210="","",IF(Y210="Y",A210&amp;"_STAAD.std","n/a"))</f>
        <v/>
      </c>
      <c r="AD210" s="10" t="str">
        <f aca="false">IF(A210="","",A210&amp;"_CALC.xlsx")</f>
        <v/>
      </c>
      <c r="AE210" s="10" t="str">
        <f aca="false">IF(A210="","",A210&amp;"_CALC.pdf")</f>
        <v/>
      </c>
      <c r="AF210" s="9"/>
      <c r="AG210" s="9"/>
      <c r="AH210" s="41"/>
      <c r="AI210" s="41"/>
      <c r="AJ210" s="41"/>
      <c r="AK210" s="41"/>
      <c r="AL210" s="41"/>
      <c r="AM210" s="38" t="str">
        <f aca="false">IF(OR(C210="",G210=""),"",IF(G210&lt;=IF(OR(C210="Soldier Pile &amp; Timber Lagging",C210="Trench Shoring Box",C210="Open Cut (battered)"),SG_Criteria!$B$34,SG_Criteria!$B$33),"No ERSS submission",IF(G210&lt;=SG_Criteria!$B$35,"QP(ST)",IF(G210&lt;=SG_Criteria!$B$36,"QP(ST) + AC","Geotechnical building works: QP(Geo) + AC"))))</f>
        <v/>
      </c>
      <c r="AN210" s="38" t="str">
        <f aca="false">IF(C210="","",IF(LEN(IF(AND(Q210&lt;&gt;"",Q210&lt;SG_Criteria!$B$37),"FAIL: base stability FOS &lt; "&amp;SG_Criteria!$B$37&amp;". ","")&amp;IF(AND(D210="Manhole",G210&gt;SG_Criteria!$B$36),"NOTE: BCA lists sewer manholes (pipe &lt;= 2 m dia) &gt; 6 m as non-GBW: QP(ST) + AC. ","")&amp;IF(AND(C210="Trench Shoring Box",H210="Kallang Formation (marine clay)"),"NOTE: check base heave / ground loss for shoring box in marine clay. ","")&amp;IF(AND(C210="Steel Sheet Pile Cofferdam",N(M210)&lt;G210*0.5),"NOTE: short toe embedment, check. ",""))=0,"OK",IF(AND(Q210&lt;&gt;"",Q210&lt;SG_Criteria!$B$37),"FAIL: base stability FOS &lt; "&amp;SG_Criteria!$B$37&amp;". ","")&amp;IF(AND(D210="Manhole",G210&gt;SG_Criteria!$B$36),"NOTE: BCA lists sewer manholes (pipe &lt;= 2 m dia) &gt; 6 m as non-GBW: QP(ST) + AC. ","")&amp;IF(AND(C210="Trench Shoring Box",H210="Kallang Formation (marine clay)"),"NOTE: check base heave / ground loss for shoring box in marine clay. ","")&amp;IF(AND(C210="Steel Sheet Pile Cofferdam",N(M210)&lt;G210*0.5),"NOTE: short toe embedment, check. ","")))</f>
        <v/>
      </c>
      <c r="AO210" s="9"/>
      <c r="AP210" s="9"/>
      <c r="AQ210" s="9"/>
      <c r="AR210" s="9"/>
      <c r="AS210" s="9"/>
      <c r="AT210" s="31"/>
      <c r="AU210" s="10" t="str">
        <f aca="false">IF(C210="","",IF(AND(V210="Approved",ISERROR(SEARCH("FAIL",AN210))),"Y","N"))</f>
        <v/>
      </c>
      <c r="AV210" s="10" t="str">
        <f aca="false">IF(C210="","",C210&amp;"|"&amp;G210&amp;"|"&amp;E210&amp;"|"&amp;H210&amp;"|"&amp;AU210)</f>
        <v/>
      </c>
    </row>
    <row r="211" customFormat="false" ht="15" hidden="false" customHeight="false" outlineLevel="0" collapsed="false">
      <c r="A211" s="10" t="str">
        <f aca="false">IF(C211="","","ERSS-"&amp;IFERROR(VLOOKUP(C211,Lists!$AK$4:$AL$21,2,0),"??")&amp;"-"&amp;TEXT(E211,"0000")&amp;"x"&amp;TEXT(F211,"0000")&amp;"-D"&amp;TEXT(G211*1000,"0000")&amp;"-"&amp;IFERROR(VLOOKUP(H211,Lists!$Y$4:$Z$21,2,0),"??")&amp;"-"&amp;U211)</f>
        <v/>
      </c>
      <c r="B211" s="10" t="str">
        <f aca="false">IF(C211="","",C211&amp;" for "&amp;D211&amp;", "&amp;E211&amp;" x "&amp;F211&amp;" pit, "&amp;TEXT(G211,"0.0")&amp;" m deep, "&amp;H211)</f>
        <v/>
      </c>
      <c r="C211" s="9"/>
      <c r="D211" s="9"/>
      <c r="E211" s="40"/>
      <c r="F211" s="40"/>
      <c r="G211" s="43"/>
      <c r="H211" s="9"/>
      <c r="I211" s="43"/>
      <c r="J211" s="40"/>
      <c r="K211" s="9"/>
      <c r="L211" s="43"/>
      <c r="M211" s="43"/>
      <c r="N211" s="40"/>
      <c r="O211" s="9"/>
      <c r="P211" s="9"/>
      <c r="Q211" s="41"/>
      <c r="R211" s="9"/>
      <c r="S211" s="40"/>
      <c r="T211" s="9"/>
      <c r="U211" s="9"/>
      <c r="V211" s="9"/>
      <c r="W211" s="9"/>
      <c r="X211" s="9"/>
      <c r="Y211" s="9"/>
      <c r="Z211" s="10" t="str">
        <f aca="false">IF(A211="","",SG_Criteria!$B$6&amp;SG_Criteria!$B$11&amp;"\"&amp;A211&amp;"\")</f>
        <v/>
      </c>
      <c r="AA211" s="10" t="str">
        <f aca="false">IF(A211="","",A211&amp;"_CAD.dwg")</f>
        <v/>
      </c>
      <c r="AB211" s="10" t="str">
        <f aca="false">IF(A211="","",A211&amp;"_DWG.pdf")</f>
        <v/>
      </c>
      <c r="AC211" s="10" t="str">
        <f aca="false">IF(A211="","",IF(Y211="Y",A211&amp;"_STAAD.std","n/a"))</f>
        <v/>
      </c>
      <c r="AD211" s="10" t="str">
        <f aca="false">IF(A211="","",A211&amp;"_CALC.xlsx")</f>
        <v/>
      </c>
      <c r="AE211" s="10" t="str">
        <f aca="false">IF(A211="","",A211&amp;"_CALC.pdf")</f>
        <v/>
      </c>
      <c r="AF211" s="9"/>
      <c r="AG211" s="9"/>
      <c r="AH211" s="41"/>
      <c r="AI211" s="41"/>
      <c r="AJ211" s="41"/>
      <c r="AK211" s="41"/>
      <c r="AL211" s="41"/>
      <c r="AM211" s="38" t="str">
        <f aca="false">IF(OR(C211="",G211=""),"",IF(G211&lt;=IF(OR(C211="Soldier Pile &amp; Timber Lagging",C211="Trench Shoring Box",C211="Open Cut (battered)"),SG_Criteria!$B$34,SG_Criteria!$B$33),"No ERSS submission",IF(G211&lt;=SG_Criteria!$B$35,"QP(ST)",IF(G211&lt;=SG_Criteria!$B$36,"QP(ST) + AC","Geotechnical building works: QP(Geo) + AC"))))</f>
        <v/>
      </c>
      <c r="AN211" s="38" t="str">
        <f aca="false">IF(C211="","",IF(LEN(IF(AND(Q211&lt;&gt;"",Q211&lt;SG_Criteria!$B$37),"FAIL: base stability FOS &lt; "&amp;SG_Criteria!$B$37&amp;". ","")&amp;IF(AND(D211="Manhole",G211&gt;SG_Criteria!$B$36),"NOTE: BCA lists sewer manholes (pipe &lt;= 2 m dia) &gt; 6 m as non-GBW: QP(ST) + AC. ","")&amp;IF(AND(C211="Trench Shoring Box",H211="Kallang Formation (marine clay)"),"NOTE: check base heave / ground loss for shoring box in marine clay. ","")&amp;IF(AND(C211="Steel Sheet Pile Cofferdam",N(M211)&lt;G211*0.5),"NOTE: short toe embedment, check. ",""))=0,"OK",IF(AND(Q211&lt;&gt;"",Q211&lt;SG_Criteria!$B$37),"FAIL: base stability FOS &lt; "&amp;SG_Criteria!$B$37&amp;". ","")&amp;IF(AND(D211="Manhole",G211&gt;SG_Criteria!$B$36),"NOTE: BCA lists sewer manholes (pipe &lt;= 2 m dia) &gt; 6 m as non-GBW: QP(ST) + AC. ","")&amp;IF(AND(C211="Trench Shoring Box",H211="Kallang Formation (marine clay)"),"NOTE: check base heave / ground loss for shoring box in marine clay. ","")&amp;IF(AND(C211="Steel Sheet Pile Cofferdam",N(M211)&lt;G211*0.5),"NOTE: short toe embedment, check. ","")))</f>
        <v/>
      </c>
      <c r="AO211" s="9"/>
      <c r="AP211" s="9"/>
      <c r="AQ211" s="9"/>
      <c r="AR211" s="9"/>
      <c r="AS211" s="9"/>
      <c r="AT211" s="31"/>
      <c r="AU211" s="10" t="str">
        <f aca="false">IF(C211="","",IF(AND(V211="Approved",ISERROR(SEARCH("FAIL",AN211))),"Y","N"))</f>
        <v/>
      </c>
      <c r="AV211" s="10" t="str">
        <f aca="false">IF(C211="","",C211&amp;"|"&amp;G211&amp;"|"&amp;E211&amp;"|"&amp;H211&amp;"|"&amp;AU211)</f>
        <v/>
      </c>
    </row>
    <row r="212" customFormat="false" ht="15" hidden="false" customHeight="false" outlineLevel="0" collapsed="false">
      <c r="A212" s="10" t="str">
        <f aca="false">IF(C212="","","ERSS-"&amp;IFERROR(VLOOKUP(C212,Lists!$AK$4:$AL$21,2,0),"??")&amp;"-"&amp;TEXT(E212,"0000")&amp;"x"&amp;TEXT(F212,"0000")&amp;"-D"&amp;TEXT(G212*1000,"0000")&amp;"-"&amp;IFERROR(VLOOKUP(H212,Lists!$Y$4:$Z$21,2,0),"??")&amp;"-"&amp;U212)</f>
        <v/>
      </c>
      <c r="B212" s="10" t="str">
        <f aca="false">IF(C212="","",C212&amp;" for "&amp;D212&amp;", "&amp;E212&amp;" x "&amp;F212&amp;" pit, "&amp;TEXT(G212,"0.0")&amp;" m deep, "&amp;H212)</f>
        <v/>
      </c>
      <c r="C212" s="9"/>
      <c r="D212" s="9"/>
      <c r="E212" s="40"/>
      <c r="F212" s="40"/>
      <c r="G212" s="43"/>
      <c r="H212" s="9"/>
      <c r="I212" s="43"/>
      <c r="J212" s="40"/>
      <c r="K212" s="9"/>
      <c r="L212" s="43"/>
      <c r="M212" s="43"/>
      <c r="N212" s="40"/>
      <c r="O212" s="9"/>
      <c r="P212" s="9"/>
      <c r="Q212" s="41"/>
      <c r="R212" s="9"/>
      <c r="S212" s="40"/>
      <c r="T212" s="9"/>
      <c r="U212" s="9"/>
      <c r="V212" s="9"/>
      <c r="W212" s="9"/>
      <c r="X212" s="9"/>
      <c r="Y212" s="9"/>
      <c r="Z212" s="10" t="str">
        <f aca="false">IF(A212="","",SG_Criteria!$B$6&amp;SG_Criteria!$B$11&amp;"\"&amp;A212&amp;"\")</f>
        <v/>
      </c>
      <c r="AA212" s="10" t="str">
        <f aca="false">IF(A212="","",A212&amp;"_CAD.dwg")</f>
        <v/>
      </c>
      <c r="AB212" s="10" t="str">
        <f aca="false">IF(A212="","",A212&amp;"_DWG.pdf")</f>
        <v/>
      </c>
      <c r="AC212" s="10" t="str">
        <f aca="false">IF(A212="","",IF(Y212="Y",A212&amp;"_STAAD.std","n/a"))</f>
        <v/>
      </c>
      <c r="AD212" s="10" t="str">
        <f aca="false">IF(A212="","",A212&amp;"_CALC.xlsx")</f>
        <v/>
      </c>
      <c r="AE212" s="10" t="str">
        <f aca="false">IF(A212="","",A212&amp;"_CALC.pdf")</f>
        <v/>
      </c>
      <c r="AF212" s="9"/>
      <c r="AG212" s="9"/>
      <c r="AH212" s="41"/>
      <c r="AI212" s="41"/>
      <c r="AJ212" s="41"/>
      <c r="AK212" s="41"/>
      <c r="AL212" s="41"/>
      <c r="AM212" s="38" t="str">
        <f aca="false">IF(OR(C212="",G212=""),"",IF(G212&lt;=IF(OR(C212="Soldier Pile &amp; Timber Lagging",C212="Trench Shoring Box",C212="Open Cut (battered)"),SG_Criteria!$B$34,SG_Criteria!$B$33),"No ERSS submission",IF(G212&lt;=SG_Criteria!$B$35,"QP(ST)",IF(G212&lt;=SG_Criteria!$B$36,"QP(ST) + AC","Geotechnical building works: QP(Geo) + AC"))))</f>
        <v/>
      </c>
      <c r="AN212" s="38" t="str">
        <f aca="false">IF(C212="","",IF(LEN(IF(AND(Q212&lt;&gt;"",Q212&lt;SG_Criteria!$B$37),"FAIL: base stability FOS &lt; "&amp;SG_Criteria!$B$37&amp;". ","")&amp;IF(AND(D212="Manhole",G212&gt;SG_Criteria!$B$36),"NOTE: BCA lists sewer manholes (pipe &lt;= 2 m dia) &gt; 6 m as non-GBW: QP(ST) + AC. ","")&amp;IF(AND(C212="Trench Shoring Box",H212="Kallang Formation (marine clay)"),"NOTE: check base heave / ground loss for shoring box in marine clay. ","")&amp;IF(AND(C212="Steel Sheet Pile Cofferdam",N(M212)&lt;G212*0.5),"NOTE: short toe embedment, check. ",""))=0,"OK",IF(AND(Q212&lt;&gt;"",Q212&lt;SG_Criteria!$B$37),"FAIL: base stability FOS &lt; "&amp;SG_Criteria!$B$37&amp;". ","")&amp;IF(AND(D212="Manhole",G212&gt;SG_Criteria!$B$36),"NOTE: BCA lists sewer manholes (pipe &lt;= 2 m dia) &gt; 6 m as non-GBW: QP(ST) + AC. ","")&amp;IF(AND(C212="Trench Shoring Box",H212="Kallang Formation (marine clay)"),"NOTE: check base heave / ground loss for shoring box in marine clay. ","")&amp;IF(AND(C212="Steel Sheet Pile Cofferdam",N(M212)&lt;G212*0.5),"NOTE: short toe embedment, check. ","")))</f>
        <v/>
      </c>
      <c r="AO212" s="9"/>
      <c r="AP212" s="9"/>
      <c r="AQ212" s="9"/>
      <c r="AR212" s="9"/>
      <c r="AS212" s="9"/>
      <c r="AT212" s="31"/>
      <c r="AU212" s="10" t="str">
        <f aca="false">IF(C212="","",IF(AND(V212="Approved",ISERROR(SEARCH("FAIL",AN212))),"Y","N"))</f>
        <v/>
      </c>
      <c r="AV212" s="10" t="str">
        <f aca="false">IF(C212="","",C212&amp;"|"&amp;G212&amp;"|"&amp;E212&amp;"|"&amp;H212&amp;"|"&amp;AU212)</f>
        <v/>
      </c>
    </row>
    <row r="213" customFormat="false" ht="15" hidden="false" customHeight="false" outlineLevel="0" collapsed="false">
      <c r="A213" s="10" t="str">
        <f aca="false">IF(C213="","","ERSS-"&amp;IFERROR(VLOOKUP(C213,Lists!$AK$4:$AL$21,2,0),"??")&amp;"-"&amp;TEXT(E213,"0000")&amp;"x"&amp;TEXT(F213,"0000")&amp;"-D"&amp;TEXT(G213*1000,"0000")&amp;"-"&amp;IFERROR(VLOOKUP(H213,Lists!$Y$4:$Z$21,2,0),"??")&amp;"-"&amp;U213)</f>
        <v/>
      </c>
      <c r="B213" s="10" t="str">
        <f aca="false">IF(C213="","",C213&amp;" for "&amp;D213&amp;", "&amp;E213&amp;" x "&amp;F213&amp;" pit, "&amp;TEXT(G213,"0.0")&amp;" m deep, "&amp;H213)</f>
        <v/>
      </c>
      <c r="C213" s="9"/>
      <c r="D213" s="9"/>
      <c r="E213" s="40"/>
      <c r="F213" s="40"/>
      <c r="G213" s="43"/>
      <c r="H213" s="9"/>
      <c r="I213" s="43"/>
      <c r="J213" s="40"/>
      <c r="K213" s="9"/>
      <c r="L213" s="43"/>
      <c r="M213" s="43"/>
      <c r="N213" s="40"/>
      <c r="O213" s="9"/>
      <c r="P213" s="9"/>
      <c r="Q213" s="41"/>
      <c r="R213" s="9"/>
      <c r="S213" s="40"/>
      <c r="T213" s="9"/>
      <c r="U213" s="9"/>
      <c r="V213" s="9"/>
      <c r="W213" s="9"/>
      <c r="X213" s="9"/>
      <c r="Y213" s="9"/>
      <c r="Z213" s="10" t="str">
        <f aca="false">IF(A213="","",SG_Criteria!$B$6&amp;SG_Criteria!$B$11&amp;"\"&amp;A213&amp;"\")</f>
        <v/>
      </c>
      <c r="AA213" s="10" t="str">
        <f aca="false">IF(A213="","",A213&amp;"_CAD.dwg")</f>
        <v/>
      </c>
      <c r="AB213" s="10" t="str">
        <f aca="false">IF(A213="","",A213&amp;"_DWG.pdf")</f>
        <v/>
      </c>
      <c r="AC213" s="10" t="str">
        <f aca="false">IF(A213="","",IF(Y213="Y",A213&amp;"_STAAD.std","n/a"))</f>
        <v/>
      </c>
      <c r="AD213" s="10" t="str">
        <f aca="false">IF(A213="","",A213&amp;"_CALC.xlsx")</f>
        <v/>
      </c>
      <c r="AE213" s="10" t="str">
        <f aca="false">IF(A213="","",A213&amp;"_CALC.pdf")</f>
        <v/>
      </c>
      <c r="AF213" s="9"/>
      <c r="AG213" s="9"/>
      <c r="AH213" s="41"/>
      <c r="AI213" s="41"/>
      <c r="AJ213" s="41"/>
      <c r="AK213" s="41"/>
      <c r="AL213" s="41"/>
      <c r="AM213" s="38" t="str">
        <f aca="false">IF(OR(C213="",G213=""),"",IF(G213&lt;=IF(OR(C213="Soldier Pile &amp; Timber Lagging",C213="Trench Shoring Box",C213="Open Cut (battered)"),SG_Criteria!$B$34,SG_Criteria!$B$33),"No ERSS submission",IF(G213&lt;=SG_Criteria!$B$35,"QP(ST)",IF(G213&lt;=SG_Criteria!$B$36,"QP(ST) + AC","Geotechnical building works: QP(Geo) + AC"))))</f>
        <v/>
      </c>
      <c r="AN213" s="38" t="str">
        <f aca="false">IF(C213="","",IF(LEN(IF(AND(Q213&lt;&gt;"",Q213&lt;SG_Criteria!$B$37),"FAIL: base stability FOS &lt; "&amp;SG_Criteria!$B$37&amp;". ","")&amp;IF(AND(D213="Manhole",G213&gt;SG_Criteria!$B$36),"NOTE: BCA lists sewer manholes (pipe &lt;= 2 m dia) &gt; 6 m as non-GBW: QP(ST) + AC. ","")&amp;IF(AND(C213="Trench Shoring Box",H213="Kallang Formation (marine clay)"),"NOTE: check base heave / ground loss for shoring box in marine clay. ","")&amp;IF(AND(C213="Steel Sheet Pile Cofferdam",N(M213)&lt;G213*0.5),"NOTE: short toe embedment, check. ",""))=0,"OK",IF(AND(Q213&lt;&gt;"",Q213&lt;SG_Criteria!$B$37),"FAIL: base stability FOS &lt; "&amp;SG_Criteria!$B$37&amp;". ","")&amp;IF(AND(D213="Manhole",G213&gt;SG_Criteria!$B$36),"NOTE: BCA lists sewer manholes (pipe &lt;= 2 m dia) &gt; 6 m as non-GBW: QP(ST) + AC. ","")&amp;IF(AND(C213="Trench Shoring Box",H213="Kallang Formation (marine clay)"),"NOTE: check base heave / ground loss for shoring box in marine clay. ","")&amp;IF(AND(C213="Steel Sheet Pile Cofferdam",N(M213)&lt;G213*0.5),"NOTE: short toe embedment, check. ","")))</f>
        <v/>
      </c>
      <c r="AO213" s="9"/>
      <c r="AP213" s="9"/>
      <c r="AQ213" s="9"/>
      <c r="AR213" s="9"/>
      <c r="AS213" s="9"/>
      <c r="AT213" s="31"/>
      <c r="AU213" s="10" t="str">
        <f aca="false">IF(C213="","",IF(AND(V213="Approved",ISERROR(SEARCH("FAIL",AN213))),"Y","N"))</f>
        <v/>
      </c>
      <c r="AV213" s="10" t="str">
        <f aca="false">IF(C213="","",C213&amp;"|"&amp;G213&amp;"|"&amp;E213&amp;"|"&amp;H213&amp;"|"&amp;AU213)</f>
        <v/>
      </c>
    </row>
    <row r="214" customFormat="false" ht="15" hidden="false" customHeight="false" outlineLevel="0" collapsed="false">
      <c r="A214" s="10" t="str">
        <f aca="false">IF(C214="","","ERSS-"&amp;IFERROR(VLOOKUP(C214,Lists!$AK$4:$AL$21,2,0),"??")&amp;"-"&amp;TEXT(E214,"0000")&amp;"x"&amp;TEXT(F214,"0000")&amp;"-D"&amp;TEXT(G214*1000,"0000")&amp;"-"&amp;IFERROR(VLOOKUP(H214,Lists!$Y$4:$Z$21,2,0),"??")&amp;"-"&amp;U214)</f>
        <v/>
      </c>
      <c r="B214" s="10" t="str">
        <f aca="false">IF(C214="","",C214&amp;" for "&amp;D214&amp;", "&amp;E214&amp;" x "&amp;F214&amp;" pit, "&amp;TEXT(G214,"0.0")&amp;" m deep, "&amp;H214)</f>
        <v/>
      </c>
      <c r="C214" s="9"/>
      <c r="D214" s="9"/>
      <c r="E214" s="40"/>
      <c r="F214" s="40"/>
      <c r="G214" s="43"/>
      <c r="H214" s="9"/>
      <c r="I214" s="43"/>
      <c r="J214" s="40"/>
      <c r="K214" s="9"/>
      <c r="L214" s="43"/>
      <c r="M214" s="43"/>
      <c r="N214" s="40"/>
      <c r="O214" s="9"/>
      <c r="P214" s="9"/>
      <c r="Q214" s="41"/>
      <c r="R214" s="9"/>
      <c r="S214" s="40"/>
      <c r="T214" s="9"/>
      <c r="U214" s="9"/>
      <c r="V214" s="9"/>
      <c r="W214" s="9"/>
      <c r="X214" s="9"/>
      <c r="Y214" s="9"/>
      <c r="Z214" s="10" t="str">
        <f aca="false">IF(A214="","",SG_Criteria!$B$6&amp;SG_Criteria!$B$11&amp;"\"&amp;A214&amp;"\")</f>
        <v/>
      </c>
      <c r="AA214" s="10" t="str">
        <f aca="false">IF(A214="","",A214&amp;"_CAD.dwg")</f>
        <v/>
      </c>
      <c r="AB214" s="10" t="str">
        <f aca="false">IF(A214="","",A214&amp;"_DWG.pdf")</f>
        <v/>
      </c>
      <c r="AC214" s="10" t="str">
        <f aca="false">IF(A214="","",IF(Y214="Y",A214&amp;"_STAAD.std","n/a"))</f>
        <v/>
      </c>
      <c r="AD214" s="10" t="str">
        <f aca="false">IF(A214="","",A214&amp;"_CALC.xlsx")</f>
        <v/>
      </c>
      <c r="AE214" s="10" t="str">
        <f aca="false">IF(A214="","",A214&amp;"_CALC.pdf")</f>
        <v/>
      </c>
      <c r="AF214" s="9"/>
      <c r="AG214" s="9"/>
      <c r="AH214" s="41"/>
      <c r="AI214" s="41"/>
      <c r="AJ214" s="41"/>
      <c r="AK214" s="41"/>
      <c r="AL214" s="41"/>
      <c r="AM214" s="38" t="str">
        <f aca="false">IF(OR(C214="",G214=""),"",IF(G214&lt;=IF(OR(C214="Soldier Pile &amp; Timber Lagging",C214="Trench Shoring Box",C214="Open Cut (battered)"),SG_Criteria!$B$34,SG_Criteria!$B$33),"No ERSS submission",IF(G214&lt;=SG_Criteria!$B$35,"QP(ST)",IF(G214&lt;=SG_Criteria!$B$36,"QP(ST) + AC","Geotechnical building works: QP(Geo) + AC"))))</f>
        <v/>
      </c>
      <c r="AN214" s="38" t="str">
        <f aca="false">IF(C214="","",IF(LEN(IF(AND(Q214&lt;&gt;"",Q214&lt;SG_Criteria!$B$37),"FAIL: base stability FOS &lt; "&amp;SG_Criteria!$B$37&amp;". ","")&amp;IF(AND(D214="Manhole",G214&gt;SG_Criteria!$B$36),"NOTE: BCA lists sewer manholes (pipe &lt;= 2 m dia) &gt; 6 m as non-GBW: QP(ST) + AC. ","")&amp;IF(AND(C214="Trench Shoring Box",H214="Kallang Formation (marine clay)"),"NOTE: check base heave / ground loss for shoring box in marine clay. ","")&amp;IF(AND(C214="Steel Sheet Pile Cofferdam",N(M214)&lt;G214*0.5),"NOTE: short toe embedment, check. ",""))=0,"OK",IF(AND(Q214&lt;&gt;"",Q214&lt;SG_Criteria!$B$37),"FAIL: base stability FOS &lt; "&amp;SG_Criteria!$B$37&amp;". ","")&amp;IF(AND(D214="Manhole",G214&gt;SG_Criteria!$B$36),"NOTE: BCA lists sewer manholes (pipe &lt;= 2 m dia) &gt; 6 m as non-GBW: QP(ST) + AC. ","")&amp;IF(AND(C214="Trench Shoring Box",H214="Kallang Formation (marine clay)"),"NOTE: check base heave / ground loss for shoring box in marine clay. ","")&amp;IF(AND(C214="Steel Sheet Pile Cofferdam",N(M214)&lt;G214*0.5),"NOTE: short toe embedment, check. ","")))</f>
        <v/>
      </c>
      <c r="AO214" s="9"/>
      <c r="AP214" s="9"/>
      <c r="AQ214" s="9"/>
      <c r="AR214" s="9"/>
      <c r="AS214" s="9"/>
      <c r="AT214" s="31"/>
      <c r="AU214" s="10" t="str">
        <f aca="false">IF(C214="","",IF(AND(V214="Approved",ISERROR(SEARCH("FAIL",AN214))),"Y","N"))</f>
        <v/>
      </c>
      <c r="AV214" s="10" t="str">
        <f aca="false">IF(C214="","",C214&amp;"|"&amp;G214&amp;"|"&amp;E214&amp;"|"&amp;H214&amp;"|"&amp;AU214)</f>
        <v/>
      </c>
    </row>
    <row r="215" customFormat="false" ht="15" hidden="false" customHeight="false" outlineLevel="0" collapsed="false">
      <c r="A215" s="10" t="str">
        <f aca="false">IF(C215="","","ERSS-"&amp;IFERROR(VLOOKUP(C215,Lists!$AK$4:$AL$21,2,0),"??")&amp;"-"&amp;TEXT(E215,"0000")&amp;"x"&amp;TEXT(F215,"0000")&amp;"-D"&amp;TEXT(G215*1000,"0000")&amp;"-"&amp;IFERROR(VLOOKUP(H215,Lists!$Y$4:$Z$21,2,0),"??")&amp;"-"&amp;U215)</f>
        <v/>
      </c>
      <c r="B215" s="10" t="str">
        <f aca="false">IF(C215="","",C215&amp;" for "&amp;D215&amp;", "&amp;E215&amp;" x "&amp;F215&amp;" pit, "&amp;TEXT(G215,"0.0")&amp;" m deep, "&amp;H215)</f>
        <v/>
      </c>
      <c r="C215" s="9"/>
      <c r="D215" s="9"/>
      <c r="E215" s="40"/>
      <c r="F215" s="40"/>
      <c r="G215" s="43"/>
      <c r="H215" s="9"/>
      <c r="I215" s="43"/>
      <c r="J215" s="40"/>
      <c r="K215" s="9"/>
      <c r="L215" s="43"/>
      <c r="M215" s="43"/>
      <c r="N215" s="40"/>
      <c r="O215" s="9"/>
      <c r="P215" s="9"/>
      <c r="Q215" s="41"/>
      <c r="R215" s="9"/>
      <c r="S215" s="40"/>
      <c r="T215" s="9"/>
      <c r="U215" s="9"/>
      <c r="V215" s="9"/>
      <c r="W215" s="9"/>
      <c r="X215" s="9"/>
      <c r="Y215" s="9"/>
      <c r="Z215" s="10" t="str">
        <f aca="false">IF(A215="","",SG_Criteria!$B$6&amp;SG_Criteria!$B$11&amp;"\"&amp;A215&amp;"\")</f>
        <v/>
      </c>
      <c r="AA215" s="10" t="str">
        <f aca="false">IF(A215="","",A215&amp;"_CAD.dwg")</f>
        <v/>
      </c>
      <c r="AB215" s="10" t="str">
        <f aca="false">IF(A215="","",A215&amp;"_DWG.pdf")</f>
        <v/>
      </c>
      <c r="AC215" s="10" t="str">
        <f aca="false">IF(A215="","",IF(Y215="Y",A215&amp;"_STAAD.std","n/a"))</f>
        <v/>
      </c>
      <c r="AD215" s="10" t="str">
        <f aca="false">IF(A215="","",A215&amp;"_CALC.xlsx")</f>
        <v/>
      </c>
      <c r="AE215" s="10" t="str">
        <f aca="false">IF(A215="","",A215&amp;"_CALC.pdf")</f>
        <v/>
      </c>
      <c r="AF215" s="9"/>
      <c r="AG215" s="9"/>
      <c r="AH215" s="41"/>
      <c r="AI215" s="41"/>
      <c r="AJ215" s="41"/>
      <c r="AK215" s="41"/>
      <c r="AL215" s="41"/>
      <c r="AM215" s="38" t="str">
        <f aca="false">IF(OR(C215="",G215=""),"",IF(G215&lt;=IF(OR(C215="Soldier Pile &amp; Timber Lagging",C215="Trench Shoring Box",C215="Open Cut (battered)"),SG_Criteria!$B$34,SG_Criteria!$B$33),"No ERSS submission",IF(G215&lt;=SG_Criteria!$B$35,"QP(ST)",IF(G215&lt;=SG_Criteria!$B$36,"QP(ST) + AC","Geotechnical building works: QP(Geo) + AC"))))</f>
        <v/>
      </c>
      <c r="AN215" s="38" t="str">
        <f aca="false">IF(C215="","",IF(LEN(IF(AND(Q215&lt;&gt;"",Q215&lt;SG_Criteria!$B$37),"FAIL: base stability FOS &lt; "&amp;SG_Criteria!$B$37&amp;". ","")&amp;IF(AND(D215="Manhole",G215&gt;SG_Criteria!$B$36),"NOTE: BCA lists sewer manholes (pipe &lt;= 2 m dia) &gt; 6 m as non-GBW: QP(ST) + AC. ","")&amp;IF(AND(C215="Trench Shoring Box",H215="Kallang Formation (marine clay)"),"NOTE: check base heave / ground loss for shoring box in marine clay. ","")&amp;IF(AND(C215="Steel Sheet Pile Cofferdam",N(M215)&lt;G215*0.5),"NOTE: short toe embedment, check. ",""))=0,"OK",IF(AND(Q215&lt;&gt;"",Q215&lt;SG_Criteria!$B$37),"FAIL: base stability FOS &lt; "&amp;SG_Criteria!$B$37&amp;". ","")&amp;IF(AND(D215="Manhole",G215&gt;SG_Criteria!$B$36),"NOTE: BCA lists sewer manholes (pipe &lt;= 2 m dia) &gt; 6 m as non-GBW: QP(ST) + AC. ","")&amp;IF(AND(C215="Trench Shoring Box",H215="Kallang Formation (marine clay)"),"NOTE: check base heave / ground loss for shoring box in marine clay. ","")&amp;IF(AND(C215="Steel Sheet Pile Cofferdam",N(M215)&lt;G215*0.5),"NOTE: short toe embedment, check. ","")))</f>
        <v/>
      </c>
      <c r="AO215" s="9"/>
      <c r="AP215" s="9"/>
      <c r="AQ215" s="9"/>
      <c r="AR215" s="9"/>
      <c r="AS215" s="9"/>
      <c r="AT215" s="31"/>
      <c r="AU215" s="10" t="str">
        <f aca="false">IF(C215="","",IF(AND(V215="Approved",ISERROR(SEARCH("FAIL",AN215))),"Y","N"))</f>
        <v/>
      </c>
      <c r="AV215" s="10" t="str">
        <f aca="false">IF(C215="","",C215&amp;"|"&amp;G215&amp;"|"&amp;E215&amp;"|"&amp;H215&amp;"|"&amp;AU215)</f>
        <v/>
      </c>
    </row>
    <row r="216" customFormat="false" ht="15" hidden="false" customHeight="false" outlineLevel="0" collapsed="false">
      <c r="A216" s="10" t="str">
        <f aca="false">IF(C216="","","ERSS-"&amp;IFERROR(VLOOKUP(C216,Lists!$AK$4:$AL$21,2,0),"??")&amp;"-"&amp;TEXT(E216,"0000")&amp;"x"&amp;TEXT(F216,"0000")&amp;"-D"&amp;TEXT(G216*1000,"0000")&amp;"-"&amp;IFERROR(VLOOKUP(H216,Lists!$Y$4:$Z$21,2,0),"??")&amp;"-"&amp;U216)</f>
        <v/>
      </c>
      <c r="B216" s="10" t="str">
        <f aca="false">IF(C216="","",C216&amp;" for "&amp;D216&amp;", "&amp;E216&amp;" x "&amp;F216&amp;" pit, "&amp;TEXT(G216,"0.0")&amp;" m deep, "&amp;H216)</f>
        <v/>
      </c>
      <c r="C216" s="9"/>
      <c r="D216" s="9"/>
      <c r="E216" s="40"/>
      <c r="F216" s="40"/>
      <c r="G216" s="43"/>
      <c r="H216" s="9"/>
      <c r="I216" s="43"/>
      <c r="J216" s="40"/>
      <c r="K216" s="9"/>
      <c r="L216" s="43"/>
      <c r="M216" s="43"/>
      <c r="N216" s="40"/>
      <c r="O216" s="9"/>
      <c r="P216" s="9"/>
      <c r="Q216" s="41"/>
      <c r="R216" s="9"/>
      <c r="S216" s="40"/>
      <c r="T216" s="9"/>
      <c r="U216" s="9"/>
      <c r="V216" s="9"/>
      <c r="W216" s="9"/>
      <c r="X216" s="9"/>
      <c r="Y216" s="9"/>
      <c r="Z216" s="10" t="str">
        <f aca="false">IF(A216="","",SG_Criteria!$B$6&amp;SG_Criteria!$B$11&amp;"\"&amp;A216&amp;"\")</f>
        <v/>
      </c>
      <c r="AA216" s="10" t="str">
        <f aca="false">IF(A216="","",A216&amp;"_CAD.dwg")</f>
        <v/>
      </c>
      <c r="AB216" s="10" t="str">
        <f aca="false">IF(A216="","",A216&amp;"_DWG.pdf")</f>
        <v/>
      </c>
      <c r="AC216" s="10" t="str">
        <f aca="false">IF(A216="","",IF(Y216="Y",A216&amp;"_STAAD.std","n/a"))</f>
        <v/>
      </c>
      <c r="AD216" s="10" t="str">
        <f aca="false">IF(A216="","",A216&amp;"_CALC.xlsx")</f>
        <v/>
      </c>
      <c r="AE216" s="10" t="str">
        <f aca="false">IF(A216="","",A216&amp;"_CALC.pdf")</f>
        <v/>
      </c>
      <c r="AF216" s="9"/>
      <c r="AG216" s="9"/>
      <c r="AH216" s="41"/>
      <c r="AI216" s="41"/>
      <c r="AJ216" s="41"/>
      <c r="AK216" s="41"/>
      <c r="AL216" s="41"/>
      <c r="AM216" s="38" t="str">
        <f aca="false">IF(OR(C216="",G216=""),"",IF(G216&lt;=IF(OR(C216="Soldier Pile &amp; Timber Lagging",C216="Trench Shoring Box",C216="Open Cut (battered)"),SG_Criteria!$B$34,SG_Criteria!$B$33),"No ERSS submission",IF(G216&lt;=SG_Criteria!$B$35,"QP(ST)",IF(G216&lt;=SG_Criteria!$B$36,"QP(ST) + AC","Geotechnical building works: QP(Geo) + AC"))))</f>
        <v/>
      </c>
      <c r="AN216" s="38" t="str">
        <f aca="false">IF(C216="","",IF(LEN(IF(AND(Q216&lt;&gt;"",Q216&lt;SG_Criteria!$B$37),"FAIL: base stability FOS &lt; "&amp;SG_Criteria!$B$37&amp;". ","")&amp;IF(AND(D216="Manhole",G216&gt;SG_Criteria!$B$36),"NOTE: BCA lists sewer manholes (pipe &lt;= 2 m dia) &gt; 6 m as non-GBW: QP(ST) + AC. ","")&amp;IF(AND(C216="Trench Shoring Box",H216="Kallang Formation (marine clay)"),"NOTE: check base heave / ground loss for shoring box in marine clay. ","")&amp;IF(AND(C216="Steel Sheet Pile Cofferdam",N(M216)&lt;G216*0.5),"NOTE: short toe embedment, check. ",""))=0,"OK",IF(AND(Q216&lt;&gt;"",Q216&lt;SG_Criteria!$B$37),"FAIL: base stability FOS &lt; "&amp;SG_Criteria!$B$37&amp;". ","")&amp;IF(AND(D216="Manhole",G216&gt;SG_Criteria!$B$36),"NOTE: BCA lists sewer manholes (pipe &lt;= 2 m dia) &gt; 6 m as non-GBW: QP(ST) + AC. ","")&amp;IF(AND(C216="Trench Shoring Box",H216="Kallang Formation (marine clay)"),"NOTE: check base heave / ground loss for shoring box in marine clay. ","")&amp;IF(AND(C216="Steel Sheet Pile Cofferdam",N(M216)&lt;G216*0.5),"NOTE: short toe embedment, check. ","")))</f>
        <v/>
      </c>
      <c r="AO216" s="9"/>
      <c r="AP216" s="9"/>
      <c r="AQ216" s="9"/>
      <c r="AR216" s="9"/>
      <c r="AS216" s="9"/>
      <c r="AT216" s="31"/>
      <c r="AU216" s="10" t="str">
        <f aca="false">IF(C216="","",IF(AND(V216="Approved",ISERROR(SEARCH("FAIL",AN216))),"Y","N"))</f>
        <v/>
      </c>
      <c r="AV216" s="10" t="str">
        <f aca="false">IF(C216="","",C216&amp;"|"&amp;G216&amp;"|"&amp;E216&amp;"|"&amp;H216&amp;"|"&amp;AU216)</f>
        <v/>
      </c>
    </row>
    <row r="217" customFormat="false" ht="15" hidden="false" customHeight="false" outlineLevel="0" collapsed="false">
      <c r="A217" s="10" t="str">
        <f aca="false">IF(C217="","","ERSS-"&amp;IFERROR(VLOOKUP(C217,Lists!$AK$4:$AL$21,2,0),"??")&amp;"-"&amp;TEXT(E217,"0000")&amp;"x"&amp;TEXT(F217,"0000")&amp;"-D"&amp;TEXT(G217*1000,"0000")&amp;"-"&amp;IFERROR(VLOOKUP(H217,Lists!$Y$4:$Z$21,2,0),"??")&amp;"-"&amp;U217)</f>
        <v/>
      </c>
      <c r="B217" s="10" t="str">
        <f aca="false">IF(C217="","",C217&amp;" for "&amp;D217&amp;", "&amp;E217&amp;" x "&amp;F217&amp;" pit, "&amp;TEXT(G217,"0.0")&amp;" m deep, "&amp;H217)</f>
        <v/>
      </c>
      <c r="C217" s="9"/>
      <c r="D217" s="9"/>
      <c r="E217" s="40"/>
      <c r="F217" s="40"/>
      <c r="G217" s="43"/>
      <c r="H217" s="9"/>
      <c r="I217" s="43"/>
      <c r="J217" s="40"/>
      <c r="K217" s="9"/>
      <c r="L217" s="43"/>
      <c r="M217" s="43"/>
      <c r="N217" s="40"/>
      <c r="O217" s="9"/>
      <c r="P217" s="9"/>
      <c r="Q217" s="41"/>
      <c r="R217" s="9"/>
      <c r="S217" s="40"/>
      <c r="T217" s="9"/>
      <c r="U217" s="9"/>
      <c r="V217" s="9"/>
      <c r="W217" s="9"/>
      <c r="X217" s="9"/>
      <c r="Y217" s="9"/>
      <c r="Z217" s="10" t="str">
        <f aca="false">IF(A217="","",SG_Criteria!$B$6&amp;SG_Criteria!$B$11&amp;"\"&amp;A217&amp;"\")</f>
        <v/>
      </c>
      <c r="AA217" s="10" t="str">
        <f aca="false">IF(A217="","",A217&amp;"_CAD.dwg")</f>
        <v/>
      </c>
      <c r="AB217" s="10" t="str">
        <f aca="false">IF(A217="","",A217&amp;"_DWG.pdf")</f>
        <v/>
      </c>
      <c r="AC217" s="10" t="str">
        <f aca="false">IF(A217="","",IF(Y217="Y",A217&amp;"_STAAD.std","n/a"))</f>
        <v/>
      </c>
      <c r="AD217" s="10" t="str">
        <f aca="false">IF(A217="","",A217&amp;"_CALC.xlsx")</f>
        <v/>
      </c>
      <c r="AE217" s="10" t="str">
        <f aca="false">IF(A217="","",A217&amp;"_CALC.pdf")</f>
        <v/>
      </c>
      <c r="AF217" s="9"/>
      <c r="AG217" s="9"/>
      <c r="AH217" s="41"/>
      <c r="AI217" s="41"/>
      <c r="AJ217" s="41"/>
      <c r="AK217" s="41"/>
      <c r="AL217" s="41"/>
      <c r="AM217" s="38" t="str">
        <f aca="false">IF(OR(C217="",G217=""),"",IF(G217&lt;=IF(OR(C217="Soldier Pile &amp; Timber Lagging",C217="Trench Shoring Box",C217="Open Cut (battered)"),SG_Criteria!$B$34,SG_Criteria!$B$33),"No ERSS submission",IF(G217&lt;=SG_Criteria!$B$35,"QP(ST)",IF(G217&lt;=SG_Criteria!$B$36,"QP(ST) + AC","Geotechnical building works: QP(Geo) + AC"))))</f>
        <v/>
      </c>
      <c r="AN217" s="38" t="str">
        <f aca="false">IF(C217="","",IF(LEN(IF(AND(Q217&lt;&gt;"",Q217&lt;SG_Criteria!$B$37),"FAIL: base stability FOS &lt; "&amp;SG_Criteria!$B$37&amp;". ","")&amp;IF(AND(D217="Manhole",G217&gt;SG_Criteria!$B$36),"NOTE: BCA lists sewer manholes (pipe &lt;= 2 m dia) &gt; 6 m as non-GBW: QP(ST) + AC. ","")&amp;IF(AND(C217="Trench Shoring Box",H217="Kallang Formation (marine clay)"),"NOTE: check base heave / ground loss for shoring box in marine clay. ","")&amp;IF(AND(C217="Steel Sheet Pile Cofferdam",N(M217)&lt;G217*0.5),"NOTE: short toe embedment, check. ",""))=0,"OK",IF(AND(Q217&lt;&gt;"",Q217&lt;SG_Criteria!$B$37),"FAIL: base stability FOS &lt; "&amp;SG_Criteria!$B$37&amp;". ","")&amp;IF(AND(D217="Manhole",G217&gt;SG_Criteria!$B$36),"NOTE: BCA lists sewer manholes (pipe &lt;= 2 m dia) &gt; 6 m as non-GBW: QP(ST) + AC. ","")&amp;IF(AND(C217="Trench Shoring Box",H217="Kallang Formation (marine clay)"),"NOTE: check base heave / ground loss for shoring box in marine clay. ","")&amp;IF(AND(C217="Steel Sheet Pile Cofferdam",N(M217)&lt;G217*0.5),"NOTE: short toe embedment, check. ","")))</f>
        <v/>
      </c>
      <c r="AO217" s="9"/>
      <c r="AP217" s="9"/>
      <c r="AQ217" s="9"/>
      <c r="AR217" s="9"/>
      <c r="AS217" s="9"/>
      <c r="AT217" s="31"/>
      <c r="AU217" s="10" t="str">
        <f aca="false">IF(C217="","",IF(AND(V217="Approved",ISERROR(SEARCH("FAIL",AN217))),"Y","N"))</f>
        <v/>
      </c>
      <c r="AV217" s="10" t="str">
        <f aca="false">IF(C217="","",C217&amp;"|"&amp;G217&amp;"|"&amp;E217&amp;"|"&amp;H217&amp;"|"&amp;AU217)</f>
        <v/>
      </c>
    </row>
    <row r="218" customFormat="false" ht="15" hidden="false" customHeight="false" outlineLevel="0" collapsed="false">
      <c r="A218" s="10" t="str">
        <f aca="false">IF(C218="","","ERSS-"&amp;IFERROR(VLOOKUP(C218,Lists!$AK$4:$AL$21,2,0),"??")&amp;"-"&amp;TEXT(E218,"0000")&amp;"x"&amp;TEXT(F218,"0000")&amp;"-D"&amp;TEXT(G218*1000,"0000")&amp;"-"&amp;IFERROR(VLOOKUP(H218,Lists!$Y$4:$Z$21,2,0),"??")&amp;"-"&amp;U218)</f>
        <v/>
      </c>
      <c r="B218" s="10" t="str">
        <f aca="false">IF(C218="","",C218&amp;" for "&amp;D218&amp;", "&amp;E218&amp;" x "&amp;F218&amp;" pit, "&amp;TEXT(G218,"0.0")&amp;" m deep, "&amp;H218)</f>
        <v/>
      </c>
      <c r="C218" s="9"/>
      <c r="D218" s="9"/>
      <c r="E218" s="40"/>
      <c r="F218" s="40"/>
      <c r="G218" s="43"/>
      <c r="H218" s="9"/>
      <c r="I218" s="43"/>
      <c r="J218" s="40"/>
      <c r="K218" s="9"/>
      <c r="L218" s="43"/>
      <c r="M218" s="43"/>
      <c r="N218" s="40"/>
      <c r="O218" s="9"/>
      <c r="P218" s="9"/>
      <c r="Q218" s="41"/>
      <c r="R218" s="9"/>
      <c r="S218" s="40"/>
      <c r="T218" s="9"/>
      <c r="U218" s="9"/>
      <c r="V218" s="9"/>
      <c r="W218" s="9"/>
      <c r="X218" s="9"/>
      <c r="Y218" s="9"/>
      <c r="Z218" s="10" t="str">
        <f aca="false">IF(A218="","",SG_Criteria!$B$6&amp;SG_Criteria!$B$11&amp;"\"&amp;A218&amp;"\")</f>
        <v/>
      </c>
      <c r="AA218" s="10" t="str">
        <f aca="false">IF(A218="","",A218&amp;"_CAD.dwg")</f>
        <v/>
      </c>
      <c r="AB218" s="10" t="str">
        <f aca="false">IF(A218="","",A218&amp;"_DWG.pdf")</f>
        <v/>
      </c>
      <c r="AC218" s="10" t="str">
        <f aca="false">IF(A218="","",IF(Y218="Y",A218&amp;"_STAAD.std","n/a"))</f>
        <v/>
      </c>
      <c r="AD218" s="10" t="str">
        <f aca="false">IF(A218="","",A218&amp;"_CALC.xlsx")</f>
        <v/>
      </c>
      <c r="AE218" s="10" t="str">
        <f aca="false">IF(A218="","",A218&amp;"_CALC.pdf")</f>
        <v/>
      </c>
      <c r="AF218" s="9"/>
      <c r="AG218" s="9"/>
      <c r="AH218" s="41"/>
      <c r="AI218" s="41"/>
      <c r="AJ218" s="41"/>
      <c r="AK218" s="41"/>
      <c r="AL218" s="41"/>
      <c r="AM218" s="38" t="str">
        <f aca="false">IF(OR(C218="",G218=""),"",IF(G218&lt;=IF(OR(C218="Soldier Pile &amp; Timber Lagging",C218="Trench Shoring Box",C218="Open Cut (battered)"),SG_Criteria!$B$34,SG_Criteria!$B$33),"No ERSS submission",IF(G218&lt;=SG_Criteria!$B$35,"QP(ST)",IF(G218&lt;=SG_Criteria!$B$36,"QP(ST) + AC","Geotechnical building works: QP(Geo) + AC"))))</f>
        <v/>
      </c>
      <c r="AN218" s="38" t="str">
        <f aca="false">IF(C218="","",IF(LEN(IF(AND(Q218&lt;&gt;"",Q218&lt;SG_Criteria!$B$37),"FAIL: base stability FOS &lt; "&amp;SG_Criteria!$B$37&amp;". ","")&amp;IF(AND(D218="Manhole",G218&gt;SG_Criteria!$B$36),"NOTE: BCA lists sewer manholes (pipe &lt;= 2 m dia) &gt; 6 m as non-GBW: QP(ST) + AC. ","")&amp;IF(AND(C218="Trench Shoring Box",H218="Kallang Formation (marine clay)"),"NOTE: check base heave / ground loss for shoring box in marine clay. ","")&amp;IF(AND(C218="Steel Sheet Pile Cofferdam",N(M218)&lt;G218*0.5),"NOTE: short toe embedment, check. ",""))=0,"OK",IF(AND(Q218&lt;&gt;"",Q218&lt;SG_Criteria!$B$37),"FAIL: base stability FOS &lt; "&amp;SG_Criteria!$B$37&amp;". ","")&amp;IF(AND(D218="Manhole",G218&gt;SG_Criteria!$B$36),"NOTE: BCA lists sewer manholes (pipe &lt;= 2 m dia) &gt; 6 m as non-GBW: QP(ST) + AC. ","")&amp;IF(AND(C218="Trench Shoring Box",H218="Kallang Formation (marine clay)"),"NOTE: check base heave / ground loss for shoring box in marine clay. ","")&amp;IF(AND(C218="Steel Sheet Pile Cofferdam",N(M218)&lt;G218*0.5),"NOTE: short toe embedment, check. ","")))</f>
        <v/>
      </c>
      <c r="AO218" s="9"/>
      <c r="AP218" s="9"/>
      <c r="AQ218" s="9"/>
      <c r="AR218" s="9"/>
      <c r="AS218" s="9"/>
      <c r="AT218" s="31"/>
      <c r="AU218" s="10" t="str">
        <f aca="false">IF(C218="","",IF(AND(V218="Approved",ISERROR(SEARCH("FAIL",AN218))),"Y","N"))</f>
        <v/>
      </c>
      <c r="AV218" s="10" t="str">
        <f aca="false">IF(C218="","",C218&amp;"|"&amp;G218&amp;"|"&amp;E218&amp;"|"&amp;H218&amp;"|"&amp;AU218)</f>
        <v/>
      </c>
    </row>
    <row r="219" customFormat="false" ht="15" hidden="false" customHeight="false" outlineLevel="0" collapsed="false">
      <c r="A219" s="10" t="str">
        <f aca="false">IF(C219="","","ERSS-"&amp;IFERROR(VLOOKUP(C219,Lists!$AK$4:$AL$21,2,0),"??")&amp;"-"&amp;TEXT(E219,"0000")&amp;"x"&amp;TEXT(F219,"0000")&amp;"-D"&amp;TEXT(G219*1000,"0000")&amp;"-"&amp;IFERROR(VLOOKUP(H219,Lists!$Y$4:$Z$21,2,0),"??")&amp;"-"&amp;U219)</f>
        <v/>
      </c>
      <c r="B219" s="10" t="str">
        <f aca="false">IF(C219="","",C219&amp;" for "&amp;D219&amp;", "&amp;E219&amp;" x "&amp;F219&amp;" pit, "&amp;TEXT(G219,"0.0")&amp;" m deep, "&amp;H219)</f>
        <v/>
      </c>
      <c r="C219" s="9"/>
      <c r="D219" s="9"/>
      <c r="E219" s="40"/>
      <c r="F219" s="40"/>
      <c r="G219" s="43"/>
      <c r="H219" s="9"/>
      <c r="I219" s="43"/>
      <c r="J219" s="40"/>
      <c r="K219" s="9"/>
      <c r="L219" s="43"/>
      <c r="M219" s="43"/>
      <c r="N219" s="40"/>
      <c r="O219" s="9"/>
      <c r="P219" s="9"/>
      <c r="Q219" s="41"/>
      <c r="R219" s="9"/>
      <c r="S219" s="40"/>
      <c r="T219" s="9"/>
      <c r="U219" s="9"/>
      <c r="V219" s="9"/>
      <c r="W219" s="9"/>
      <c r="X219" s="9"/>
      <c r="Y219" s="9"/>
      <c r="Z219" s="10" t="str">
        <f aca="false">IF(A219="","",SG_Criteria!$B$6&amp;SG_Criteria!$B$11&amp;"\"&amp;A219&amp;"\")</f>
        <v/>
      </c>
      <c r="AA219" s="10" t="str">
        <f aca="false">IF(A219="","",A219&amp;"_CAD.dwg")</f>
        <v/>
      </c>
      <c r="AB219" s="10" t="str">
        <f aca="false">IF(A219="","",A219&amp;"_DWG.pdf")</f>
        <v/>
      </c>
      <c r="AC219" s="10" t="str">
        <f aca="false">IF(A219="","",IF(Y219="Y",A219&amp;"_STAAD.std","n/a"))</f>
        <v/>
      </c>
      <c r="AD219" s="10" t="str">
        <f aca="false">IF(A219="","",A219&amp;"_CALC.xlsx")</f>
        <v/>
      </c>
      <c r="AE219" s="10" t="str">
        <f aca="false">IF(A219="","",A219&amp;"_CALC.pdf")</f>
        <v/>
      </c>
      <c r="AF219" s="9"/>
      <c r="AG219" s="9"/>
      <c r="AH219" s="41"/>
      <c r="AI219" s="41"/>
      <c r="AJ219" s="41"/>
      <c r="AK219" s="41"/>
      <c r="AL219" s="41"/>
      <c r="AM219" s="38" t="str">
        <f aca="false">IF(OR(C219="",G219=""),"",IF(G219&lt;=IF(OR(C219="Soldier Pile &amp; Timber Lagging",C219="Trench Shoring Box",C219="Open Cut (battered)"),SG_Criteria!$B$34,SG_Criteria!$B$33),"No ERSS submission",IF(G219&lt;=SG_Criteria!$B$35,"QP(ST)",IF(G219&lt;=SG_Criteria!$B$36,"QP(ST) + AC","Geotechnical building works: QP(Geo) + AC"))))</f>
        <v/>
      </c>
      <c r="AN219" s="38" t="str">
        <f aca="false">IF(C219="","",IF(LEN(IF(AND(Q219&lt;&gt;"",Q219&lt;SG_Criteria!$B$37),"FAIL: base stability FOS &lt; "&amp;SG_Criteria!$B$37&amp;". ","")&amp;IF(AND(D219="Manhole",G219&gt;SG_Criteria!$B$36),"NOTE: BCA lists sewer manholes (pipe &lt;= 2 m dia) &gt; 6 m as non-GBW: QP(ST) + AC. ","")&amp;IF(AND(C219="Trench Shoring Box",H219="Kallang Formation (marine clay)"),"NOTE: check base heave / ground loss for shoring box in marine clay. ","")&amp;IF(AND(C219="Steel Sheet Pile Cofferdam",N(M219)&lt;G219*0.5),"NOTE: short toe embedment, check. ",""))=0,"OK",IF(AND(Q219&lt;&gt;"",Q219&lt;SG_Criteria!$B$37),"FAIL: base stability FOS &lt; "&amp;SG_Criteria!$B$37&amp;". ","")&amp;IF(AND(D219="Manhole",G219&gt;SG_Criteria!$B$36),"NOTE: BCA lists sewer manholes (pipe &lt;= 2 m dia) &gt; 6 m as non-GBW: QP(ST) + AC. ","")&amp;IF(AND(C219="Trench Shoring Box",H219="Kallang Formation (marine clay)"),"NOTE: check base heave / ground loss for shoring box in marine clay. ","")&amp;IF(AND(C219="Steel Sheet Pile Cofferdam",N(M219)&lt;G219*0.5),"NOTE: short toe embedment, check. ","")))</f>
        <v/>
      </c>
      <c r="AO219" s="9"/>
      <c r="AP219" s="9"/>
      <c r="AQ219" s="9"/>
      <c r="AR219" s="9"/>
      <c r="AS219" s="9"/>
      <c r="AT219" s="31"/>
      <c r="AU219" s="10" t="str">
        <f aca="false">IF(C219="","",IF(AND(V219="Approved",ISERROR(SEARCH("FAIL",AN219))),"Y","N"))</f>
        <v/>
      </c>
      <c r="AV219" s="10" t="str">
        <f aca="false">IF(C219="","",C219&amp;"|"&amp;G219&amp;"|"&amp;E219&amp;"|"&amp;H219&amp;"|"&amp;AU219)</f>
        <v/>
      </c>
    </row>
    <row r="220" customFormat="false" ht="15" hidden="false" customHeight="false" outlineLevel="0" collapsed="false">
      <c r="A220" s="10" t="str">
        <f aca="false">IF(C220="","","ERSS-"&amp;IFERROR(VLOOKUP(C220,Lists!$AK$4:$AL$21,2,0),"??")&amp;"-"&amp;TEXT(E220,"0000")&amp;"x"&amp;TEXT(F220,"0000")&amp;"-D"&amp;TEXT(G220*1000,"0000")&amp;"-"&amp;IFERROR(VLOOKUP(H220,Lists!$Y$4:$Z$21,2,0),"??")&amp;"-"&amp;U220)</f>
        <v/>
      </c>
      <c r="B220" s="10" t="str">
        <f aca="false">IF(C220="","",C220&amp;" for "&amp;D220&amp;", "&amp;E220&amp;" x "&amp;F220&amp;" pit, "&amp;TEXT(G220,"0.0")&amp;" m deep, "&amp;H220)</f>
        <v/>
      </c>
      <c r="C220" s="9"/>
      <c r="D220" s="9"/>
      <c r="E220" s="40"/>
      <c r="F220" s="40"/>
      <c r="G220" s="43"/>
      <c r="H220" s="9"/>
      <c r="I220" s="43"/>
      <c r="J220" s="40"/>
      <c r="K220" s="9"/>
      <c r="L220" s="43"/>
      <c r="M220" s="43"/>
      <c r="N220" s="40"/>
      <c r="O220" s="9"/>
      <c r="P220" s="9"/>
      <c r="Q220" s="41"/>
      <c r="R220" s="9"/>
      <c r="S220" s="40"/>
      <c r="T220" s="9"/>
      <c r="U220" s="9"/>
      <c r="V220" s="9"/>
      <c r="W220" s="9"/>
      <c r="X220" s="9"/>
      <c r="Y220" s="9"/>
      <c r="Z220" s="10" t="str">
        <f aca="false">IF(A220="","",SG_Criteria!$B$6&amp;SG_Criteria!$B$11&amp;"\"&amp;A220&amp;"\")</f>
        <v/>
      </c>
      <c r="AA220" s="10" t="str">
        <f aca="false">IF(A220="","",A220&amp;"_CAD.dwg")</f>
        <v/>
      </c>
      <c r="AB220" s="10" t="str">
        <f aca="false">IF(A220="","",A220&amp;"_DWG.pdf")</f>
        <v/>
      </c>
      <c r="AC220" s="10" t="str">
        <f aca="false">IF(A220="","",IF(Y220="Y",A220&amp;"_STAAD.std","n/a"))</f>
        <v/>
      </c>
      <c r="AD220" s="10" t="str">
        <f aca="false">IF(A220="","",A220&amp;"_CALC.xlsx")</f>
        <v/>
      </c>
      <c r="AE220" s="10" t="str">
        <f aca="false">IF(A220="","",A220&amp;"_CALC.pdf")</f>
        <v/>
      </c>
      <c r="AF220" s="9"/>
      <c r="AG220" s="9"/>
      <c r="AH220" s="41"/>
      <c r="AI220" s="41"/>
      <c r="AJ220" s="41"/>
      <c r="AK220" s="41"/>
      <c r="AL220" s="41"/>
      <c r="AM220" s="38" t="str">
        <f aca="false">IF(OR(C220="",G220=""),"",IF(G220&lt;=IF(OR(C220="Soldier Pile &amp; Timber Lagging",C220="Trench Shoring Box",C220="Open Cut (battered)"),SG_Criteria!$B$34,SG_Criteria!$B$33),"No ERSS submission",IF(G220&lt;=SG_Criteria!$B$35,"QP(ST)",IF(G220&lt;=SG_Criteria!$B$36,"QP(ST) + AC","Geotechnical building works: QP(Geo) + AC"))))</f>
        <v/>
      </c>
      <c r="AN220" s="38" t="str">
        <f aca="false">IF(C220="","",IF(LEN(IF(AND(Q220&lt;&gt;"",Q220&lt;SG_Criteria!$B$37),"FAIL: base stability FOS &lt; "&amp;SG_Criteria!$B$37&amp;". ","")&amp;IF(AND(D220="Manhole",G220&gt;SG_Criteria!$B$36),"NOTE: BCA lists sewer manholes (pipe &lt;= 2 m dia) &gt; 6 m as non-GBW: QP(ST) + AC. ","")&amp;IF(AND(C220="Trench Shoring Box",H220="Kallang Formation (marine clay)"),"NOTE: check base heave / ground loss for shoring box in marine clay. ","")&amp;IF(AND(C220="Steel Sheet Pile Cofferdam",N(M220)&lt;G220*0.5),"NOTE: short toe embedment, check. ",""))=0,"OK",IF(AND(Q220&lt;&gt;"",Q220&lt;SG_Criteria!$B$37),"FAIL: base stability FOS &lt; "&amp;SG_Criteria!$B$37&amp;". ","")&amp;IF(AND(D220="Manhole",G220&gt;SG_Criteria!$B$36),"NOTE: BCA lists sewer manholes (pipe &lt;= 2 m dia) &gt; 6 m as non-GBW: QP(ST) + AC. ","")&amp;IF(AND(C220="Trench Shoring Box",H220="Kallang Formation (marine clay)"),"NOTE: check base heave / ground loss for shoring box in marine clay. ","")&amp;IF(AND(C220="Steel Sheet Pile Cofferdam",N(M220)&lt;G220*0.5),"NOTE: short toe embedment, check. ","")))</f>
        <v/>
      </c>
      <c r="AO220" s="9"/>
      <c r="AP220" s="9"/>
      <c r="AQ220" s="9"/>
      <c r="AR220" s="9"/>
      <c r="AS220" s="9"/>
      <c r="AT220" s="31"/>
      <c r="AU220" s="10" t="str">
        <f aca="false">IF(C220="","",IF(AND(V220="Approved",ISERROR(SEARCH("FAIL",AN220))),"Y","N"))</f>
        <v/>
      </c>
      <c r="AV220" s="10" t="str">
        <f aca="false">IF(C220="","",C220&amp;"|"&amp;G220&amp;"|"&amp;E220&amp;"|"&amp;H220&amp;"|"&amp;AU220)</f>
        <v/>
      </c>
    </row>
    <row r="221" customFormat="false" ht="15" hidden="false" customHeight="false" outlineLevel="0" collapsed="false">
      <c r="A221" s="10" t="str">
        <f aca="false">IF(C221="","","ERSS-"&amp;IFERROR(VLOOKUP(C221,Lists!$AK$4:$AL$21,2,0),"??")&amp;"-"&amp;TEXT(E221,"0000")&amp;"x"&amp;TEXT(F221,"0000")&amp;"-D"&amp;TEXT(G221*1000,"0000")&amp;"-"&amp;IFERROR(VLOOKUP(H221,Lists!$Y$4:$Z$21,2,0),"??")&amp;"-"&amp;U221)</f>
        <v/>
      </c>
      <c r="B221" s="10" t="str">
        <f aca="false">IF(C221="","",C221&amp;" for "&amp;D221&amp;", "&amp;E221&amp;" x "&amp;F221&amp;" pit, "&amp;TEXT(G221,"0.0")&amp;" m deep, "&amp;H221)</f>
        <v/>
      </c>
      <c r="C221" s="9"/>
      <c r="D221" s="9"/>
      <c r="E221" s="40"/>
      <c r="F221" s="40"/>
      <c r="G221" s="43"/>
      <c r="H221" s="9"/>
      <c r="I221" s="43"/>
      <c r="J221" s="40"/>
      <c r="K221" s="9"/>
      <c r="L221" s="43"/>
      <c r="M221" s="43"/>
      <c r="N221" s="40"/>
      <c r="O221" s="9"/>
      <c r="P221" s="9"/>
      <c r="Q221" s="41"/>
      <c r="R221" s="9"/>
      <c r="S221" s="40"/>
      <c r="T221" s="9"/>
      <c r="U221" s="9"/>
      <c r="V221" s="9"/>
      <c r="W221" s="9"/>
      <c r="X221" s="9"/>
      <c r="Y221" s="9"/>
      <c r="Z221" s="10" t="str">
        <f aca="false">IF(A221="","",SG_Criteria!$B$6&amp;SG_Criteria!$B$11&amp;"\"&amp;A221&amp;"\")</f>
        <v/>
      </c>
      <c r="AA221" s="10" t="str">
        <f aca="false">IF(A221="","",A221&amp;"_CAD.dwg")</f>
        <v/>
      </c>
      <c r="AB221" s="10" t="str">
        <f aca="false">IF(A221="","",A221&amp;"_DWG.pdf")</f>
        <v/>
      </c>
      <c r="AC221" s="10" t="str">
        <f aca="false">IF(A221="","",IF(Y221="Y",A221&amp;"_STAAD.std","n/a"))</f>
        <v/>
      </c>
      <c r="AD221" s="10" t="str">
        <f aca="false">IF(A221="","",A221&amp;"_CALC.xlsx")</f>
        <v/>
      </c>
      <c r="AE221" s="10" t="str">
        <f aca="false">IF(A221="","",A221&amp;"_CALC.pdf")</f>
        <v/>
      </c>
      <c r="AF221" s="9"/>
      <c r="AG221" s="9"/>
      <c r="AH221" s="41"/>
      <c r="AI221" s="41"/>
      <c r="AJ221" s="41"/>
      <c r="AK221" s="41"/>
      <c r="AL221" s="41"/>
      <c r="AM221" s="38" t="str">
        <f aca="false">IF(OR(C221="",G221=""),"",IF(G221&lt;=IF(OR(C221="Soldier Pile &amp; Timber Lagging",C221="Trench Shoring Box",C221="Open Cut (battered)"),SG_Criteria!$B$34,SG_Criteria!$B$33),"No ERSS submission",IF(G221&lt;=SG_Criteria!$B$35,"QP(ST)",IF(G221&lt;=SG_Criteria!$B$36,"QP(ST) + AC","Geotechnical building works: QP(Geo) + AC"))))</f>
        <v/>
      </c>
      <c r="AN221" s="38" t="str">
        <f aca="false">IF(C221="","",IF(LEN(IF(AND(Q221&lt;&gt;"",Q221&lt;SG_Criteria!$B$37),"FAIL: base stability FOS &lt; "&amp;SG_Criteria!$B$37&amp;". ","")&amp;IF(AND(D221="Manhole",G221&gt;SG_Criteria!$B$36),"NOTE: BCA lists sewer manholes (pipe &lt;= 2 m dia) &gt; 6 m as non-GBW: QP(ST) + AC. ","")&amp;IF(AND(C221="Trench Shoring Box",H221="Kallang Formation (marine clay)"),"NOTE: check base heave / ground loss for shoring box in marine clay. ","")&amp;IF(AND(C221="Steel Sheet Pile Cofferdam",N(M221)&lt;G221*0.5),"NOTE: short toe embedment, check. ",""))=0,"OK",IF(AND(Q221&lt;&gt;"",Q221&lt;SG_Criteria!$B$37),"FAIL: base stability FOS &lt; "&amp;SG_Criteria!$B$37&amp;". ","")&amp;IF(AND(D221="Manhole",G221&gt;SG_Criteria!$B$36),"NOTE: BCA lists sewer manholes (pipe &lt;= 2 m dia) &gt; 6 m as non-GBW: QP(ST) + AC. ","")&amp;IF(AND(C221="Trench Shoring Box",H221="Kallang Formation (marine clay)"),"NOTE: check base heave / ground loss for shoring box in marine clay. ","")&amp;IF(AND(C221="Steel Sheet Pile Cofferdam",N(M221)&lt;G221*0.5),"NOTE: short toe embedment, check. ","")))</f>
        <v/>
      </c>
      <c r="AO221" s="9"/>
      <c r="AP221" s="9"/>
      <c r="AQ221" s="9"/>
      <c r="AR221" s="9"/>
      <c r="AS221" s="9"/>
      <c r="AT221" s="31"/>
      <c r="AU221" s="10" t="str">
        <f aca="false">IF(C221="","",IF(AND(V221="Approved",ISERROR(SEARCH("FAIL",AN221))),"Y","N"))</f>
        <v/>
      </c>
      <c r="AV221" s="10" t="str">
        <f aca="false">IF(C221="","",C221&amp;"|"&amp;G221&amp;"|"&amp;E221&amp;"|"&amp;H221&amp;"|"&amp;AU221)</f>
        <v/>
      </c>
    </row>
    <row r="222" customFormat="false" ht="15" hidden="false" customHeight="false" outlineLevel="0" collapsed="false">
      <c r="A222" s="10" t="str">
        <f aca="false">IF(C222="","","ERSS-"&amp;IFERROR(VLOOKUP(C222,Lists!$AK$4:$AL$21,2,0),"??")&amp;"-"&amp;TEXT(E222,"0000")&amp;"x"&amp;TEXT(F222,"0000")&amp;"-D"&amp;TEXT(G222*1000,"0000")&amp;"-"&amp;IFERROR(VLOOKUP(H222,Lists!$Y$4:$Z$21,2,0),"??")&amp;"-"&amp;U222)</f>
        <v/>
      </c>
      <c r="B222" s="10" t="str">
        <f aca="false">IF(C222="","",C222&amp;" for "&amp;D222&amp;", "&amp;E222&amp;" x "&amp;F222&amp;" pit, "&amp;TEXT(G222,"0.0")&amp;" m deep, "&amp;H222)</f>
        <v/>
      </c>
      <c r="C222" s="9"/>
      <c r="D222" s="9"/>
      <c r="E222" s="40"/>
      <c r="F222" s="40"/>
      <c r="G222" s="43"/>
      <c r="H222" s="9"/>
      <c r="I222" s="43"/>
      <c r="J222" s="40"/>
      <c r="K222" s="9"/>
      <c r="L222" s="43"/>
      <c r="M222" s="43"/>
      <c r="N222" s="40"/>
      <c r="O222" s="9"/>
      <c r="P222" s="9"/>
      <c r="Q222" s="41"/>
      <c r="R222" s="9"/>
      <c r="S222" s="40"/>
      <c r="T222" s="9"/>
      <c r="U222" s="9"/>
      <c r="V222" s="9"/>
      <c r="W222" s="9"/>
      <c r="X222" s="9"/>
      <c r="Y222" s="9"/>
      <c r="Z222" s="10" t="str">
        <f aca="false">IF(A222="","",SG_Criteria!$B$6&amp;SG_Criteria!$B$11&amp;"\"&amp;A222&amp;"\")</f>
        <v/>
      </c>
      <c r="AA222" s="10" t="str">
        <f aca="false">IF(A222="","",A222&amp;"_CAD.dwg")</f>
        <v/>
      </c>
      <c r="AB222" s="10" t="str">
        <f aca="false">IF(A222="","",A222&amp;"_DWG.pdf")</f>
        <v/>
      </c>
      <c r="AC222" s="10" t="str">
        <f aca="false">IF(A222="","",IF(Y222="Y",A222&amp;"_STAAD.std","n/a"))</f>
        <v/>
      </c>
      <c r="AD222" s="10" t="str">
        <f aca="false">IF(A222="","",A222&amp;"_CALC.xlsx")</f>
        <v/>
      </c>
      <c r="AE222" s="10" t="str">
        <f aca="false">IF(A222="","",A222&amp;"_CALC.pdf")</f>
        <v/>
      </c>
      <c r="AF222" s="9"/>
      <c r="AG222" s="9"/>
      <c r="AH222" s="41"/>
      <c r="AI222" s="41"/>
      <c r="AJ222" s="41"/>
      <c r="AK222" s="41"/>
      <c r="AL222" s="41"/>
      <c r="AM222" s="38" t="str">
        <f aca="false">IF(OR(C222="",G222=""),"",IF(G222&lt;=IF(OR(C222="Soldier Pile &amp; Timber Lagging",C222="Trench Shoring Box",C222="Open Cut (battered)"),SG_Criteria!$B$34,SG_Criteria!$B$33),"No ERSS submission",IF(G222&lt;=SG_Criteria!$B$35,"QP(ST)",IF(G222&lt;=SG_Criteria!$B$36,"QP(ST) + AC","Geotechnical building works: QP(Geo) + AC"))))</f>
        <v/>
      </c>
      <c r="AN222" s="38" t="str">
        <f aca="false">IF(C222="","",IF(LEN(IF(AND(Q222&lt;&gt;"",Q222&lt;SG_Criteria!$B$37),"FAIL: base stability FOS &lt; "&amp;SG_Criteria!$B$37&amp;". ","")&amp;IF(AND(D222="Manhole",G222&gt;SG_Criteria!$B$36),"NOTE: BCA lists sewer manholes (pipe &lt;= 2 m dia) &gt; 6 m as non-GBW: QP(ST) + AC. ","")&amp;IF(AND(C222="Trench Shoring Box",H222="Kallang Formation (marine clay)"),"NOTE: check base heave / ground loss for shoring box in marine clay. ","")&amp;IF(AND(C222="Steel Sheet Pile Cofferdam",N(M222)&lt;G222*0.5),"NOTE: short toe embedment, check. ",""))=0,"OK",IF(AND(Q222&lt;&gt;"",Q222&lt;SG_Criteria!$B$37),"FAIL: base stability FOS &lt; "&amp;SG_Criteria!$B$37&amp;". ","")&amp;IF(AND(D222="Manhole",G222&gt;SG_Criteria!$B$36),"NOTE: BCA lists sewer manholes (pipe &lt;= 2 m dia) &gt; 6 m as non-GBW: QP(ST) + AC. ","")&amp;IF(AND(C222="Trench Shoring Box",H222="Kallang Formation (marine clay)"),"NOTE: check base heave / ground loss for shoring box in marine clay. ","")&amp;IF(AND(C222="Steel Sheet Pile Cofferdam",N(M222)&lt;G222*0.5),"NOTE: short toe embedment, check. ","")))</f>
        <v/>
      </c>
      <c r="AO222" s="9"/>
      <c r="AP222" s="9"/>
      <c r="AQ222" s="9"/>
      <c r="AR222" s="9"/>
      <c r="AS222" s="9"/>
      <c r="AT222" s="31"/>
      <c r="AU222" s="10" t="str">
        <f aca="false">IF(C222="","",IF(AND(V222="Approved",ISERROR(SEARCH("FAIL",AN222))),"Y","N"))</f>
        <v/>
      </c>
      <c r="AV222" s="10" t="str">
        <f aca="false">IF(C222="","",C222&amp;"|"&amp;G222&amp;"|"&amp;E222&amp;"|"&amp;H222&amp;"|"&amp;AU222)</f>
        <v/>
      </c>
    </row>
    <row r="223" customFormat="false" ht="15" hidden="false" customHeight="false" outlineLevel="0" collapsed="false">
      <c r="A223" s="10" t="str">
        <f aca="false">IF(C223="","","ERSS-"&amp;IFERROR(VLOOKUP(C223,Lists!$AK$4:$AL$21,2,0),"??")&amp;"-"&amp;TEXT(E223,"0000")&amp;"x"&amp;TEXT(F223,"0000")&amp;"-D"&amp;TEXT(G223*1000,"0000")&amp;"-"&amp;IFERROR(VLOOKUP(H223,Lists!$Y$4:$Z$21,2,0),"??")&amp;"-"&amp;U223)</f>
        <v/>
      </c>
      <c r="B223" s="10" t="str">
        <f aca="false">IF(C223="","",C223&amp;" for "&amp;D223&amp;", "&amp;E223&amp;" x "&amp;F223&amp;" pit, "&amp;TEXT(G223,"0.0")&amp;" m deep, "&amp;H223)</f>
        <v/>
      </c>
      <c r="C223" s="9"/>
      <c r="D223" s="9"/>
      <c r="E223" s="40"/>
      <c r="F223" s="40"/>
      <c r="G223" s="43"/>
      <c r="H223" s="9"/>
      <c r="I223" s="43"/>
      <c r="J223" s="40"/>
      <c r="K223" s="9"/>
      <c r="L223" s="43"/>
      <c r="M223" s="43"/>
      <c r="N223" s="40"/>
      <c r="O223" s="9"/>
      <c r="P223" s="9"/>
      <c r="Q223" s="41"/>
      <c r="R223" s="9"/>
      <c r="S223" s="40"/>
      <c r="T223" s="9"/>
      <c r="U223" s="9"/>
      <c r="V223" s="9"/>
      <c r="W223" s="9"/>
      <c r="X223" s="9"/>
      <c r="Y223" s="9"/>
      <c r="Z223" s="10" t="str">
        <f aca="false">IF(A223="","",SG_Criteria!$B$6&amp;SG_Criteria!$B$11&amp;"\"&amp;A223&amp;"\")</f>
        <v/>
      </c>
      <c r="AA223" s="10" t="str">
        <f aca="false">IF(A223="","",A223&amp;"_CAD.dwg")</f>
        <v/>
      </c>
      <c r="AB223" s="10" t="str">
        <f aca="false">IF(A223="","",A223&amp;"_DWG.pdf")</f>
        <v/>
      </c>
      <c r="AC223" s="10" t="str">
        <f aca="false">IF(A223="","",IF(Y223="Y",A223&amp;"_STAAD.std","n/a"))</f>
        <v/>
      </c>
      <c r="AD223" s="10" t="str">
        <f aca="false">IF(A223="","",A223&amp;"_CALC.xlsx")</f>
        <v/>
      </c>
      <c r="AE223" s="10" t="str">
        <f aca="false">IF(A223="","",A223&amp;"_CALC.pdf")</f>
        <v/>
      </c>
      <c r="AF223" s="9"/>
      <c r="AG223" s="9"/>
      <c r="AH223" s="41"/>
      <c r="AI223" s="41"/>
      <c r="AJ223" s="41"/>
      <c r="AK223" s="41"/>
      <c r="AL223" s="41"/>
      <c r="AM223" s="38" t="str">
        <f aca="false">IF(OR(C223="",G223=""),"",IF(G223&lt;=IF(OR(C223="Soldier Pile &amp; Timber Lagging",C223="Trench Shoring Box",C223="Open Cut (battered)"),SG_Criteria!$B$34,SG_Criteria!$B$33),"No ERSS submission",IF(G223&lt;=SG_Criteria!$B$35,"QP(ST)",IF(G223&lt;=SG_Criteria!$B$36,"QP(ST) + AC","Geotechnical building works: QP(Geo) + AC"))))</f>
        <v/>
      </c>
      <c r="AN223" s="38" t="str">
        <f aca="false">IF(C223="","",IF(LEN(IF(AND(Q223&lt;&gt;"",Q223&lt;SG_Criteria!$B$37),"FAIL: base stability FOS &lt; "&amp;SG_Criteria!$B$37&amp;". ","")&amp;IF(AND(D223="Manhole",G223&gt;SG_Criteria!$B$36),"NOTE: BCA lists sewer manholes (pipe &lt;= 2 m dia) &gt; 6 m as non-GBW: QP(ST) + AC. ","")&amp;IF(AND(C223="Trench Shoring Box",H223="Kallang Formation (marine clay)"),"NOTE: check base heave / ground loss for shoring box in marine clay. ","")&amp;IF(AND(C223="Steel Sheet Pile Cofferdam",N(M223)&lt;G223*0.5),"NOTE: short toe embedment, check. ",""))=0,"OK",IF(AND(Q223&lt;&gt;"",Q223&lt;SG_Criteria!$B$37),"FAIL: base stability FOS &lt; "&amp;SG_Criteria!$B$37&amp;". ","")&amp;IF(AND(D223="Manhole",G223&gt;SG_Criteria!$B$36),"NOTE: BCA lists sewer manholes (pipe &lt;= 2 m dia) &gt; 6 m as non-GBW: QP(ST) + AC. ","")&amp;IF(AND(C223="Trench Shoring Box",H223="Kallang Formation (marine clay)"),"NOTE: check base heave / ground loss for shoring box in marine clay. ","")&amp;IF(AND(C223="Steel Sheet Pile Cofferdam",N(M223)&lt;G223*0.5),"NOTE: short toe embedment, check. ","")))</f>
        <v/>
      </c>
      <c r="AO223" s="9"/>
      <c r="AP223" s="9"/>
      <c r="AQ223" s="9"/>
      <c r="AR223" s="9"/>
      <c r="AS223" s="9"/>
      <c r="AT223" s="31"/>
      <c r="AU223" s="10" t="str">
        <f aca="false">IF(C223="","",IF(AND(V223="Approved",ISERROR(SEARCH("FAIL",AN223))),"Y","N"))</f>
        <v/>
      </c>
      <c r="AV223" s="10" t="str">
        <f aca="false">IF(C223="","",C223&amp;"|"&amp;G223&amp;"|"&amp;E223&amp;"|"&amp;H223&amp;"|"&amp;AU223)</f>
        <v/>
      </c>
    </row>
    <row r="224" customFormat="false" ht="15" hidden="false" customHeight="false" outlineLevel="0" collapsed="false">
      <c r="A224" s="10" t="str">
        <f aca="false">IF(C224="","","ERSS-"&amp;IFERROR(VLOOKUP(C224,Lists!$AK$4:$AL$21,2,0),"??")&amp;"-"&amp;TEXT(E224,"0000")&amp;"x"&amp;TEXT(F224,"0000")&amp;"-D"&amp;TEXT(G224*1000,"0000")&amp;"-"&amp;IFERROR(VLOOKUP(H224,Lists!$Y$4:$Z$21,2,0),"??")&amp;"-"&amp;U224)</f>
        <v/>
      </c>
      <c r="B224" s="10" t="str">
        <f aca="false">IF(C224="","",C224&amp;" for "&amp;D224&amp;", "&amp;E224&amp;" x "&amp;F224&amp;" pit, "&amp;TEXT(G224,"0.0")&amp;" m deep, "&amp;H224)</f>
        <v/>
      </c>
      <c r="C224" s="9"/>
      <c r="D224" s="9"/>
      <c r="E224" s="40"/>
      <c r="F224" s="40"/>
      <c r="G224" s="43"/>
      <c r="H224" s="9"/>
      <c r="I224" s="43"/>
      <c r="J224" s="40"/>
      <c r="K224" s="9"/>
      <c r="L224" s="43"/>
      <c r="M224" s="43"/>
      <c r="N224" s="40"/>
      <c r="O224" s="9"/>
      <c r="P224" s="9"/>
      <c r="Q224" s="41"/>
      <c r="R224" s="9"/>
      <c r="S224" s="40"/>
      <c r="T224" s="9"/>
      <c r="U224" s="9"/>
      <c r="V224" s="9"/>
      <c r="W224" s="9"/>
      <c r="X224" s="9"/>
      <c r="Y224" s="9"/>
      <c r="Z224" s="10" t="str">
        <f aca="false">IF(A224="","",SG_Criteria!$B$6&amp;SG_Criteria!$B$11&amp;"\"&amp;A224&amp;"\")</f>
        <v/>
      </c>
      <c r="AA224" s="10" t="str">
        <f aca="false">IF(A224="","",A224&amp;"_CAD.dwg")</f>
        <v/>
      </c>
      <c r="AB224" s="10" t="str">
        <f aca="false">IF(A224="","",A224&amp;"_DWG.pdf")</f>
        <v/>
      </c>
      <c r="AC224" s="10" t="str">
        <f aca="false">IF(A224="","",IF(Y224="Y",A224&amp;"_STAAD.std","n/a"))</f>
        <v/>
      </c>
      <c r="AD224" s="10" t="str">
        <f aca="false">IF(A224="","",A224&amp;"_CALC.xlsx")</f>
        <v/>
      </c>
      <c r="AE224" s="10" t="str">
        <f aca="false">IF(A224="","",A224&amp;"_CALC.pdf")</f>
        <v/>
      </c>
      <c r="AF224" s="9"/>
      <c r="AG224" s="9"/>
      <c r="AH224" s="41"/>
      <c r="AI224" s="41"/>
      <c r="AJ224" s="41"/>
      <c r="AK224" s="41"/>
      <c r="AL224" s="41"/>
      <c r="AM224" s="38" t="str">
        <f aca="false">IF(OR(C224="",G224=""),"",IF(G224&lt;=IF(OR(C224="Soldier Pile &amp; Timber Lagging",C224="Trench Shoring Box",C224="Open Cut (battered)"),SG_Criteria!$B$34,SG_Criteria!$B$33),"No ERSS submission",IF(G224&lt;=SG_Criteria!$B$35,"QP(ST)",IF(G224&lt;=SG_Criteria!$B$36,"QP(ST) + AC","Geotechnical building works: QP(Geo) + AC"))))</f>
        <v/>
      </c>
      <c r="AN224" s="38" t="str">
        <f aca="false">IF(C224="","",IF(LEN(IF(AND(Q224&lt;&gt;"",Q224&lt;SG_Criteria!$B$37),"FAIL: base stability FOS &lt; "&amp;SG_Criteria!$B$37&amp;". ","")&amp;IF(AND(D224="Manhole",G224&gt;SG_Criteria!$B$36),"NOTE: BCA lists sewer manholes (pipe &lt;= 2 m dia) &gt; 6 m as non-GBW: QP(ST) + AC. ","")&amp;IF(AND(C224="Trench Shoring Box",H224="Kallang Formation (marine clay)"),"NOTE: check base heave / ground loss for shoring box in marine clay. ","")&amp;IF(AND(C224="Steel Sheet Pile Cofferdam",N(M224)&lt;G224*0.5),"NOTE: short toe embedment, check. ",""))=0,"OK",IF(AND(Q224&lt;&gt;"",Q224&lt;SG_Criteria!$B$37),"FAIL: base stability FOS &lt; "&amp;SG_Criteria!$B$37&amp;". ","")&amp;IF(AND(D224="Manhole",G224&gt;SG_Criteria!$B$36),"NOTE: BCA lists sewer manholes (pipe &lt;= 2 m dia) &gt; 6 m as non-GBW: QP(ST) + AC. ","")&amp;IF(AND(C224="Trench Shoring Box",H224="Kallang Formation (marine clay)"),"NOTE: check base heave / ground loss for shoring box in marine clay. ","")&amp;IF(AND(C224="Steel Sheet Pile Cofferdam",N(M224)&lt;G224*0.5),"NOTE: short toe embedment, check. ","")))</f>
        <v/>
      </c>
      <c r="AO224" s="9"/>
      <c r="AP224" s="9"/>
      <c r="AQ224" s="9"/>
      <c r="AR224" s="9"/>
      <c r="AS224" s="9"/>
      <c r="AT224" s="31"/>
      <c r="AU224" s="10" t="str">
        <f aca="false">IF(C224="","",IF(AND(V224="Approved",ISERROR(SEARCH("FAIL",AN224))),"Y","N"))</f>
        <v/>
      </c>
      <c r="AV224" s="10" t="str">
        <f aca="false">IF(C224="","",C224&amp;"|"&amp;G224&amp;"|"&amp;E224&amp;"|"&amp;H224&amp;"|"&amp;AU224)</f>
        <v/>
      </c>
    </row>
    <row r="225" customFormat="false" ht="15" hidden="false" customHeight="false" outlineLevel="0" collapsed="false">
      <c r="A225" s="10" t="str">
        <f aca="false">IF(C225="","","ERSS-"&amp;IFERROR(VLOOKUP(C225,Lists!$AK$4:$AL$21,2,0),"??")&amp;"-"&amp;TEXT(E225,"0000")&amp;"x"&amp;TEXT(F225,"0000")&amp;"-D"&amp;TEXT(G225*1000,"0000")&amp;"-"&amp;IFERROR(VLOOKUP(H225,Lists!$Y$4:$Z$21,2,0),"??")&amp;"-"&amp;U225)</f>
        <v/>
      </c>
      <c r="B225" s="10" t="str">
        <f aca="false">IF(C225="","",C225&amp;" for "&amp;D225&amp;", "&amp;E225&amp;" x "&amp;F225&amp;" pit, "&amp;TEXT(G225,"0.0")&amp;" m deep, "&amp;H225)</f>
        <v/>
      </c>
      <c r="C225" s="9"/>
      <c r="D225" s="9"/>
      <c r="E225" s="40"/>
      <c r="F225" s="40"/>
      <c r="G225" s="43"/>
      <c r="H225" s="9"/>
      <c r="I225" s="43"/>
      <c r="J225" s="40"/>
      <c r="K225" s="9"/>
      <c r="L225" s="43"/>
      <c r="M225" s="43"/>
      <c r="N225" s="40"/>
      <c r="O225" s="9"/>
      <c r="P225" s="9"/>
      <c r="Q225" s="41"/>
      <c r="R225" s="9"/>
      <c r="S225" s="40"/>
      <c r="T225" s="9"/>
      <c r="U225" s="9"/>
      <c r="V225" s="9"/>
      <c r="W225" s="9"/>
      <c r="X225" s="9"/>
      <c r="Y225" s="9"/>
      <c r="Z225" s="10" t="str">
        <f aca="false">IF(A225="","",SG_Criteria!$B$6&amp;SG_Criteria!$B$11&amp;"\"&amp;A225&amp;"\")</f>
        <v/>
      </c>
      <c r="AA225" s="10" t="str">
        <f aca="false">IF(A225="","",A225&amp;"_CAD.dwg")</f>
        <v/>
      </c>
      <c r="AB225" s="10" t="str">
        <f aca="false">IF(A225="","",A225&amp;"_DWG.pdf")</f>
        <v/>
      </c>
      <c r="AC225" s="10" t="str">
        <f aca="false">IF(A225="","",IF(Y225="Y",A225&amp;"_STAAD.std","n/a"))</f>
        <v/>
      </c>
      <c r="AD225" s="10" t="str">
        <f aca="false">IF(A225="","",A225&amp;"_CALC.xlsx")</f>
        <v/>
      </c>
      <c r="AE225" s="10" t="str">
        <f aca="false">IF(A225="","",A225&amp;"_CALC.pdf")</f>
        <v/>
      </c>
      <c r="AF225" s="9"/>
      <c r="AG225" s="9"/>
      <c r="AH225" s="41"/>
      <c r="AI225" s="41"/>
      <c r="AJ225" s="41"/>
      <c r="AK225" s="41"/>
      <c r="AL225" s="41"/>
      <c r="AM225" s="38" t="str">
        <f aca="false">IF(OR(C225="",G225=""),"",IF(G225&lt;=IF(OR(C225="Soldier Pile &amp; Timber Lagging",C225="Trench Shoring Box",C225="Open Cut (battered)"),SG_Criteria!$B$34,SG_Criteria!$B$33),"No ERSS submission",IF(G225&lt;=SG_Criteria!$B$35,"QP(ST)",IF(G225&lt;=SG_Criteria!$B$36,"QP(ST) + AC","Geotechnical building works: QP(Geo) + AC"))))</f>
        <v/>
      </c>
      <c r="AN225" s="38" t="str">
        <f aca="false">IF(C225="","",IF(LEN(IF(AND(Q225&lt;&gt;"",Q225&lt;SG_Criteria!$B$37),"FAIL: base stability FOS &lt; "&amp;SG_Criteria!$B$37&amp;". ","")&amp;IF(AND(D225="Manhole",G225&gt;SG_Criteria!$B$36),"NOTE: BCA lists sewer manholes (pipe &lt;= 2 m dia) &gt; 6 m as non-GBW: QP(ST) + AC. ","")&amp;IF(AND(C225="Trench Shoring Box",H225="Kallang Formation (marine clay)"),"NOTE: check base heave / ground loss for shoring box in marine clay. ","")&amp;IF(AND(C225="Steel Sheet Pile Cofferdam",N(M225)&lt;G225*0.5),"NOTE: short toe embedment, check. ",""))=0,"OK",IF(AND(Q225&lt;&gt;"",Q225&lt;SG_Criteria!$B$37),"FAIL: base stability FOS &lt; "&amp;SG_Criteria!$B$37&amp;". ","")&amp;IF(AND(D225="Manhole",G225&gt;SG_Criteria!$B$36),"NOTE: BCA lists sewer manholes (pipe &lt;= 2 m dia) &gt; 6 m as non-GBW: QP(ST) + AC. ","")&amp;IF(AND(C225="Trench Shoring Box",H225="Kallang Formation (marine clay)"),"NOTE: check base heave / ground loss for shoring box in marine clay. ","")&amp;IF(AND(C225="Steel Sheet Pile Cofferdam",N(M225)&lt;G225*0.5),"NOTE: short toe embedment, check. ","")))</f>
        <v/>
      </c>
      <c r="AO225" s="9"/>
      <c r="AP225" s="9"/>
      <c r="AQ225" s="9"/>
      <c r="AR225" s="9"/>
      <c r="AS225" s="9"/>
      <c r="AT225" s="31"/>
      <c r="AU225" s="10" t="str">
        <f aca="false">IF(C225="","",IF(AND(V225="Approved",ISERROR(SEARCH("FAIL",AN225))),"Y","N"))</f>
        <v/>
      </c>
      <c r="AV225" s="10" t="str">
        <f aca="false">IF(C225="","",C225&amp;"|"&amp;G225&amp;"|"&amp;E225&amp;"|"&amp;H225&amp;"|"&amp;AU225)</f>
        <v/>
      </c>
    </row>
    <row r="226" customFormat="false" ht="15" hidden="false" customHeight="false" outlineLevel="0" collapsed="false">
      <c r="A226" s="10" t="str">
        <f aca="false">IF(C226="","","ERSS-"&amp;IFERROR(VLOOKUP(C226,Lists!$AK$4:$AL$21,2,0),"??")&amp;"-"&amp;TEXT(E226,"0000")&amp;"x"&amp;TEXT(F226,"0000")&amp;"-D"&amp;TEXT(G226*1000,"0000")&amp;"-"&amp;IFERROR(VLOOKUP(H226,Lists!$Y$4:$Z$21,2,0),"??")&amp;"-"&amp;U226)</f>
        <v/>
      </c>
      <c r="B226" s="10" t="str">
        <f aca="false">IF(C226="","",C226&amp;" for "&amp;D226&amp;", "&amp;E226&amp;" x "&amp;F226&amp;" pit, "&amp;TEXT(G226,"0.0")&amp;" m deep, "&amp;H226)</f>
        <v/>
      </c>
      <c r="C226" s="9"/>
      <c r="D226" s="9"/>
      <c r="E226" s="40"/>
      <c r="F226" s="40"/>
      <c r="G226" s="43"/>
      <c r="H226" s="9"/>
      <c r="I226" s="43"/>
      <c r="J226" s="40"/>
      <c r="K226" s="9"/>
      <c r="L226" s="43"/>
      <c r="M226" s="43"/>
      <c r="N226" s="40"/>
      <c r="O226" s="9"/>
      <c r="P226" s="9"/>
      <c r="Q226" s="41"/>
      <c r="R226" s="9"/>
      <c r="S226" s="40"/>
      <c r="T226" s="9"/>
      <c r="U226" s="9"/>
      <c r="V226" s="9"/>
      <c r="W226" s="9"/>
      <c r="X226" s="9"/>
      <c r="Y226" s="9"/>
      <c r="Z226" s="10" t="str">
        <f aca="false">IF(A226="","",SG_Criteria!$B$6&amp;SG_Criteria!$B$11&amp;"\"&amp;A226&amp;"\")</f>
        <v/>
      </c>
      <c r="AA226" s="10" t="str">
        <f aca="false">IF(A226="","",A226&amp;"_CAD.dwg")</f>
        <v/>
      </c>
      <c r="AB226" s="10" t="str">
        <f aca="false">IF(A226="","",A226&amp;"_DWG.pdf")</f>
        <v/>
      </c>
      <c r="AC226" s="10" t="str">
        <f aca="false">IF(A226="","",IF(Y226="Y",A226&amp;"_STAAD.std","n/a"))</f>
        <v/>
      </c>
      <c r="AD226" s="10" t="str">
        <f aca="false">IF(A226="","",A226&amp;"_CALC.xlsx")</f>
        <v/>
      </c>
      <c r="AE226" s="10" t="str">
        <f aca="false">IF(A226="","",A226&amp;"_CALC.pdf")</f>
        <v/>
      </c>
      <c r="AF226" s="9"/>
      <c r="AG226" s="9"/>
      <c r="AH226" s="41"/>
      <c r="AI226" s="41"/>
      <c r="AJ226" s="41"/>
      <c r="AK226" s="41"/>
      <c r="AL226" s="41"/>
      <c r="AM226" s="38" t="str">
        <f aca="false">IF(OR(C226="",G226=""),"",IF(G226&lt;=IF(OR(C226="Soldier Pile &amp; Timber Lagging",C226="Trench Shoring Box",C226="Open Cut (battered)"),SG_Criteria!$B$34,SG_Criteria!$B$33),"No ERSS submission",IF(G226&lt;=SG_Criteria!$B$35,"QP(ST)",IF(G226&lt;=SG_Criteria!$B$36,"QP(ST) + AC","Geotechnical building works: QP(Geo) + AC"))))</f>
        <v/>
      </c>
      <c r="AN226" s="38" t="str">
        <f aca="false">IF(C226="","",IF(LEN(IF(AND(Q226&lt;&gt;"",Q226&lt;SG_Criteria!$B$37),"FAIL: base stability FOS &lt; "&amp;SG_Criteria!$B$37&amp;". ","")&amp;IF(AND(D226="Manhole",G226&gt;SG_Criteria!$B$36),"NOTE: BCA lists sewer manholes (pipe &lt;= 2 m dia) &gt; 6 m as non-GBW: QP(ST) + AC. ","")&amp;IF(AND(C226="Trench Shoring Box",H226="Kallang Formation (marine clay)"),"NOTE: check base heave / ground loss for shoring box in marine clay. ","")&amp;IF(AND(C226="Steel Sheet Pile Cofferdam",N(M226)&lt;G226*0.5),"NOTE: short toe embedment, check. ",""))=0,"OK",IF(AND(Q226&lt;&gt;"",Q226&lt;SG_Criteria!$B$37),"FAIL: base stability FOS &lt; "&amp;SG_Criteria!$B$37&amp;". ","")&amp;IF(AND(D226="Manhole",G226&gt;SG_Criteria!$B$36),"NOTE: BCA lists sewer manholes (pipe &lt;= 2 m dia) &gt; 6 m as non-GBW: QP(ST) + AC. ","")&amp;IF(AND(C226="Trench Shoring Box",H226="Kallang Formation (marine clay)"),"NOTE: check base heave / ground loss for shoring box in marine clay. ","")&amp;IF(AND(C226="Steel Sheet Pile Cofferdam",N(M226)&lt;G226*0.5),"NOTE: short toe embedment, check. ","")))</f>
        <v/>
      </c>
      <c r="AO226" s="9"/>
      <c r="AP226" s="9"/>
      <c r="AQ226" s="9"/>
      <c r="AR226" s="9"/>
      <c r="AS226" s="9"/>
      <c r="AT226" s="31"/>
      <c r="AU226" s="10" t="str">
        <f aca="false">IF(C226="","",IF(AND(V226="Approved",ISERROR(SEARCH("FAIL",AN226))),"Y","N"))</f>
        <v/>
      </c>
      <c r="AV226" s="10" t="str">
        <f aca="false">IF(C226="","",C226&amp;"|"&amp;G226&amp;"|"&amp;E226&amp;"|"&amp;H226&amp;"|"&amp;AU226)</f>
        <v/>
      </c>
    </row>
    <row r="227" customFormat="false" ht="15" hidden="false" customHeight="false" outlineLevel="0" collapsed="false">
      <c r="A227" s="10" t="str">
        <f aca="false">IF(C227="","","ERSS-"&amp;IFERROR(VLOOKUP(C227,Lists!$AK$4:$AL$21,2,0),"??")&amp;"-"&amp;TEXT(E227,"0000")&amp;"x"&amp;TEXT(F227,"0000")&amp;"-D"&amp;TEXT(G227*1000,"0000")&amp;"-"&amp;IFERROR(VLOOKUP(H227,Lists!$Y$4:$Z$21,2,0),"??")&amp;"-"&amp;U227)</f>
        <v/>
      </c>
      <c r="B227" s="10" t="str">
        <f aca="false">IF(C227="","",C227&amp;" for "&amp;D227&amp;", "&amp;E227&amp;" x "&amp;F227&amp;" pit, "&amp;TEXT(G227,"0.0")&amp;" m deep, "&amp;H227)</f>
        <v/>
      </c>
      <c r="C227" s="9"/>
      <c r="D227" s="9"/>
      <c r="E227" s="40"/>
      <c r="F227" s="40"/>
      <c r="G227" s="43"/>
      <c r="H227" s="9"/>
      <c r="I227" s="43"/>
      <c r="J227" s="40"/>
      <c r="K227" s="9"/>
      <c r="L227" s="43"/>
      <c r="M227" s="43"/>
      <c r="N227" s="40"/>
      <c r="O227" s="9"/>
      <c r="P227" s="9"/>
      <c r="Q227" s="41"/>
      <c r="R227" s="9"/>
      <c r="S227" s="40"/>
      <c r="T227" s="9"/>
      <c r="U227" s="9"/>
      <c r="V227" s="9"/>
      <c r="W227" s="9"/>
      <c r="X227" s="9"/>
      <c r="Y227" s="9"/>
      <c r="Z227" s="10" t="str">
        <f aca="false">IF(A227="","",SG_Criteria!$B$6&amp;SG_Criteria!$B$11&amp;"\"&amp;A227&amp;"\")</f>
        <v/>
      </c>
      <c r="AA227" s="10" t="str">
        <f aca="false">IF(A227="","",A227&amp;"_CAD.dwg")</f>
        <v/>
      </c>
      <c r="AB227" s="10" t="str">
        <f aca="false">IF(A227="","",A227&amp;"_DWG.pdf")</f>
        <v/>
      </c>
      <c r="AC227" s="10" t="str">
        <f aca="false">IF(A227="","",IF(Y227="Y",A227&amp;"_STAAD.std","n/a"))</f>
        <v/>
      </c>
      <c r="AD227" s="10" t="str">
        <f aca="false">IF(A227="","",A227&amp;"_CALC.xlsx")</f>
        <v/>
      </c>
      <c r="AE227" s="10" t="str">
        <f aca="false">IF(A227="","",A227&amp;"_CALC.pdf")</f>
        <v/>
      </c>
      <c r="AF227" s="9"/>
      <c r="AG227" s="9"/>
      <c r="AH227" s="41"/>
      <c r="AI227" s="41"/>
      <c r="AJ227" s="41"/>
      <c r="AK227" s="41"/>
      <c r="AL227" s="41"/>
      <c r="AM227" s="38" t="str">
        <f aca="false">IF(OR(C227="",G227=""),"",IF(G227&lt;=IF(OR(C227="Soldier Pile &amp; Timber Lagging",C227="Trench Shoring Box",C227="Open Cut (battered)"),SG_Criteria!$B$34,SG_Criteria!$B$33),"No ERSS submission",IF(G227&lt;=SG_Criteria!$B$35,"QP(ST)",IF(G227&lt;=SG_Criteria!$B$36,"QP(ST) + AC","Geotechnical building works: QP(Geo) + AC"))))</f>
        <v/>
      </c>
      <c r="AN227" s="38" t="str">
        <f aca="false">IF(C227="","",IF(LEN(IF(AND(Q227&lt;&gt;"",Q227&lt;SG_Criteria!$B$37),"FAIL: base stability FOS &lt; "&amp;SG_Criteria!$B$37&amp;". ","")&amp;IF(AND(D227="Manhole",G227&gt;SG_Criteria!$B$36),"NOTE: BCA lists sewer manholes (pipe &lt;= 2 m dia) &gt; 6 m as non-GBW: QP(ST) + AC. ","")&amp;IF(AND(C227="Trench Shoring Box",H227="Kallang Formation (marine clay)"),"NOTE: check base heave / ground loss for shoring box in marine clay. ","")&amp;IF(AND(C227="Steel Sheet Pile Cofferdam",N(M227)&lt;G227*0.5),"NOTE: short toe embedment, check. ",""))=0,"OK",IF(AND(Q227&lt;&gt;"",Q227&lt;SG_Criteria!$B$37),"FAIL: base stability FOS &lt; "&amp;SG_Criteria!$B$37&amp;". ","")&amp;IF(AND(D227="Manhole",G227&gt;SG_Criteria!$B$36),"NOTE: BCA lists sewer manholes (pipe &lt;= 2 m dia) &gt; 6 m as non-GBW: QP(ST) + AC. ","")&amp;IF(AND(C227="Trench Shoring Box",H227="Kallang Formation (marine clay)"),"NOTE: check base heave / ground loss for shoring box in marine clay. ","")&amp;IF(AND(C227="Steel Sheet Pile Cofferdam",N(M227)&lt;G227*0.5),"NOTE: short toe embedment, check. ","")))</f>
        <v/>
      </c>
      <c r="AO227" s="9"/>
      <c r="AP227" s="9"/>
      <c r="AQ227" s="9"/>
      <c r="AR227" s="9"/>
      <c r="AS227" s="9"/>
      <c r="AT227" s="31"/>
      <c r="AU227" s="10" t="str">
        <f aca="false">IF(C227="","",IF(AND(V227="Approved",ISERROR(SEARCH("FAIL",AN227))),"Y","N"))</f>
        <v/>
      </c>
      <c r="AV227" s="10" t="str">
        <f aca="false">IF(C227="","",C227&amp;"|"&amp;G227&amp;"|"&amp;E227&amp;"|"&amp;H227&amp;"|"&amp;AU227)</f>
        <v/>
      </c>
    </row>
    <row r="228" customFormat="false" ht="15" hidden="false" customHeight="false" outlineLevel="0" collapsed="false">
      <c r="A228" s="10" t="str">
        <f aca="false">IF(C228="","","ERSS-"&amp;IFERROR(VLOOKUP(C228,Lists!$AK$4:$AL$21,2,0),"??")&amp;"-"&amp;TEXT(E228,"0000")&amp;"x"&amp;TEXT(F228,"0000")&amp;"-D"&amp;TEXT(G228*1000,"0000")&amp;"-"&amp;IFERROR(VLOOKUP(H228,Lists!$Y$4:$Z$21,2,0),"??")&amp;"-"&amp;U228)</f>
        <v/>
      </c>
      <c r="B228" s="10" t="str">
        <f aca="false">IF(C228="","",C228&amp;" for "&amp;D228&amp;", "&amp;E228&amp;" x "&amp;F228&amp;" pit, "&amp;TEXT(G228,"0.0")&amp;" m deep, "&amp;H228)</f>
        <v/>
      </c>
      <c r="C228" s="9"/>
      <c r="D228" s="9"/>
      <c r="E228" s="40"/>
      <c r="F228" s="40"/>
      <c r="G228" s="43"/>
      <c r="H228" s="9"/>
      <c r="I228" s="43"/>
      <c r="J228" s="40"/>
      <c r="K228" s="9"/>
      <c r="L228" s="43"/>
      <c r="M228" s="43"/>
      <c r="N228" s="40"/>
      <c r="O228" s="9"/>
      <c r="P228" s="9"/>
      <c r="Q228" s="41"/>
      <c r="R228" s="9"/>
      <c r="S228" s="40"/>
      <c r="T228" s="9"/>
      <c r="U228" s="9"/>
      <c r="V228" s="9"/>
      <c r="W228" s="9"/>
      <c r="X228" s="9"/>
      <c r="Y228" s="9"/>
      <c r="Z228" s="10" t="str">
        <f aca="false">IF(A228="","",SG_Criteria!$B$6&amp;SG_Criteria!$B$11&amp;"\"&amp;A228&amp;"\")</f>
        <v/>
      </c>
      <c r="AA228" s="10" t="str">
        <f aca="false">IF(A228="","",A228&amp;"_CAD.dwg")</f>
        <v/>
      </c>
      <c r="AB228" s="10" t="str">
        <f aca="false">IF(A228="","",A228&amp;"_DWG.pdf")</f>
        <v/>
      </c>
      <c r="AC228" s="10" t="str">
        <f aca="false">IF(A228="","",IF(Y228="Y",A228&amp;"_STAAD.std","n/a"))</f>
        <v/>
      </c>
      <c r="AD228" s="10" t="str">
        <f aca="false">IF(A228="","",A228&amp;"_CALC.xlsx")</f>
        <v/>
      </c>
      <c r="AE228" s="10" t="str">
        <f aca="false">IF(A228="","",A228&amp;"_CALC.pdf")</f>
        <v/>
      </c>
      <c r="AF228" s="9"/>
      <c r="AG228" s="9"/>
      <c r="AH228" s="41"/>
      <c r="AI228" s="41"/>
      <c r="AJ228" s="41"/>
      <c r="AK228" s="41"/>
      <c r="AL228" s="41"/>
      <c r="AM228" s="38" t="str">
        <f aca="false">IF(OR(C228="",G228=""),"",IF(G228&lt;=IF(OR(C228="Soldier Pile &amp; Timber Lagging",C228="Trench Shoring Box",C228="Open Cut (battered)"),SG_Criteria!$B$34,SG_Criteria!$B$33),"No ERSS submission",IF(G228&lt;=SG_Criteria!$B$35,"QP(ST)",IF(G228&lt;=SG_Criteria!$B$36,"QP(ST) + AC","Geotechnical building works: QP(Geo) + AC"))))</f>
        <v/>
      </c>
      <c r="AN228" s="38" t="str">
        <f aca="false">IF(C228="","",IF(LEN(IF(AND(Q228&lt;&gt;"",Q228&lt;SG_Criteria!$B$37),"FAIL: base stability FOS &lt; "&amp;SG_Criteria!$B$37&amp;". ","")&amp;IF(AND(D228="Manhole",G228&gt;SG_Criteria!$B$36),"NOTE: BCA lists sewer manholes (pipe &lt;= 2 m dia) &gt; 6 m as non-GBW: QP(ST) + AC. ","")&amp;IF(AND(C228="Trench Shoring Box",H228="Kallang Formation (marine clay)"),"NOTE: check base heave / ground loss for shoring box in marine clay. ","")&amp;IF(AND(C228="Steel Sheet Pile Cofferdam",N(M228)&lt;G228*0.5),"NOTE: short toe embedment, check. ",""))=0,"OK",IF(AND(Q228&lt;&gt;"",Q228&lt;SG_Criteria!$B$37),"FAIL: base stability FOS &lt; "&amp;SG_Criteria!$B$37&amp;". ","")&amp;IF(AND(D228="Manhole",G228&gt;SG_Criteria!$B$36),"NOTE: BCA lists sewer manholes (pipe &lt;= 2 m dia) &gt; 6 m as non-GBW: QP(ST) + AC. ","")&amp;IF(AND(C228="Trench Shoring Box",H228="Kallang Formation (marine clay)"),"NOTE: check base heave / ground loss for shoring box in marine clay. ","")&amp;IF(AND(C228="Steel Sheet Pile Cofferdam",N(M228)&lt;G228*0.5),"NOTE: short toe embedment, check. ","")))</f>
        <v/>
      </c>
      <c r="AO228" s="9"/>
      <c r="AP228" s="9"/>
      <c r="AQ228" s="9"/>
      <c r="AR228" s="9"/>
      <c r="AS228" s="9"/>
      <c r="AT228" s="31"/>
      <c r="AU228" s="10" t="str">
        <f aca="false">IF(C228="","",IF(AND(V228="Approved",ISERROR(SEARCH("FAIL",AN228))),"Y","N"))</f>
        <v/>
      </c>
      <c r="AV228" s="10" t="str">
        <f aca="false">IF(C228="","",C228&amp;"|"&amp;G228&amp;"|"&amp;E228&amp;"|"&amp;H228&amp;"|"&amp;AU228)</f>
        <v/>
      </c>
    </row>
    <row r="229" customFormat="false" ht="15" hidden="false" customHeight="false" outlineLevel="0" collapsed="false">
      <c r="A229" s="10" t="str">
        <f aca="false">IF(C229="","","ERSS-"&amp;IFERROR(VLOOKUP(C229,Lists!$AK$4:$AL$21,2,0),"??")&amp;"-"&amp;TEXT(E229,"0000")&amp;"x"&amp;TEXT(F229,"0000")&amp;"-D"&amp;TEXT(G229*1000,"0000")&amp;"-"&amp;IFERROR(VLOOKUP(H229,Lists!$Y$4:$Z$21,2,0),"??")&amp;"-"&amp;U229)</f>
        <v/>
      </c>
      <c r="B229" s="10" t="str">
        <f aca="false">IF(C229="","",C229&amp;" for "&amp;D229&amp;", "&amp;E229&amp;" x "&amp;F229&amp;" pit, "&amp;TEXT(G229,"0.0")&amp;" m deep, "&amp;H229)</f>
        <v/>
      </c>
      <c r="C229" s="9"/>
      <c r="D229" s="9"/>
      <c r="E229" s="40"/>
      <c r="F229" s="40"/>
      <c r="G229" s="43"/>
      <c r="H229" s="9"/>
      <c r="I229" s="43"/>
      <c r="J229" s="40"/>
      <c r="K229" s="9"/>
      <c r="L229" s="43"/>
      <c r="M229" s="43"/>
      <c r="N229" s="40"/>
      <c r="O229" s="9"/>
      <c r="P229" s="9"/>
      <c r="Q229" s="41"/>
      <c r="R229" s="9"/>
      <c r="S229" s="40"/>
      <c r="T229" s="9"/>
      <c r="U229" s="9"/>
      <c r="V229" s="9"/>
      <c r="W229" s="9"/>
      <c r="X229" s="9"/>
      <c r="Y229" s="9"/>
      <c r="Z229" s="10" t="str">
        <f aca="false">IF(A229="","",SG_Criteria!$B$6&amp;SG_Criteria!$B$11&amp;"\"&amp;A229&amp;"\")</f>
        <v/>
      </c>
      <c r="AA229" s="10" t="str">
        <f aca="false">IF(A229="","",A229&amp;"_CAD.dwg")</f>
        <v/>
      </c>
      <c r="AB229" s="10" t="str">
        <f aca="false">IF(A229="","",A229&amp;"_DWG.pdf")</f>
        <v/>
      </c>
      <c r="AC229" s="10" t="str">
        <f aca="false">IF(A229="","",IF(Y229="Y",A229&amp;"_STAAD.std","n/a"))</f>
        <v/>
      </c>
      <c r="AD229" s="10" t="str">
        <f aca="false">IF(A229="","",A229&amp;"_CALC.xlsx")</f>
        <v/>
      </c>
      <c r="AE229" s="10" t="str">
        <f aca="false">IF(A229="","",A229&amp;"_CALC.pdf")</f>
        <v/>
      </c>
      <c r="AF229" s="9"/>
      <c r="AG229" s="9"/>
      <c r="AH229" s="41"/>
      <c r="AI229" s="41"/>
      <c r="AJ229" s="41"/>
      <c r="AK229" s="41"/>
      <c r="AL229" s="41"/>
      <c r="AM229" s="38" t="str">
        <f aca="false">IF(OR(C229="",G229=""),"",IF(G229&lt;=IF(OR(C229="Soldier Pile &amp; Timber Lagging",C229="Trench Shoring Box",C229="Open Cut (battered)"),SG_Criteria!$B$34,SG_Criteria!$B$33),"No ERSS submission",IF(G229&lt;=SG_Criteria!$B$35,"QP(ST)",IF(G229&lt;=SG_Criteria!$B$36,"QP(ST) + AC","Geotechnical building works: QP(Geo) + AC"))))</f>
        <v/>
      </c>
      <c r="AN229" s="38" t="str">
        <f aca="false">IF(C229="","",IF(LEN(IF(AND(Q229&lt;&gt;"",Q229&lt;SG_Criteria!$B$37),"FAIL: base stability FOS &lt; "&amp;SG_Criteria!$B$37&amp;". ","")&amp;IF(AND(D229="Manhole",G229&gt;SG_Criteria!$B$36),"NOTE: BCA lists sewer manholes (pipe &lt;= 2 m dia) &gt; 6 m as non-GBW: QP(ST) + AC. ","")&amp;IF(AND(C229="Trench Shoring Box",H229="Kallang Formation (marine clay)"),"NOTE: check base heave / ground loss for shoring box in marine clay. ","")&amp;IF(AND(C229="Steel Sheet Pile Cofferdam",N(M229)&lt;G229*0.5),"NOTE: short toe embedment, check. ",""))=0,"OK",IF(AND(Q229&lt;&gt;"",Q229&lt;SG_Criteria!$B$37),"FAIL: base stability FOS &lt; "&amp;SG_Criteria!$B$37&amp;". ","")&amp;IF(AND(D229="Manhole",G229&gt;SG_Criteria!$B$36),"NOTE: BCA lists sewer manholes (pipe &lt;= 2 m dia) &gt; 6 m as non-GBW: QP(ST) + AC. ","")&amp;IF(AND(C229="Trench Shoring Box",H229="Kallang Formation (marine clay)"),"NOTE: check base heave / ground loss for shoring box in marine clay. ","")&amp;IF(AND(C229="Steel Sheet Pile Cofferdam",N(M229)&lt;G229*0.5),"NOTE: short toe embedment, check. ","")))</f>
        <v/>
      </c>
      <c r="AO229" s="9"/>
      <c r="AP229" s="9"/>
      <c r="AQ229" s="9"/>
      <c r="AR229" s="9"/>
      <c r="AS229" s="9"/>
      <c r="AT229" s="31"/>
      <c r="AU229" s="10" t="str">
        <f aca="false">IF(C229="","",IF(AND(V229="Approved",ISERROR(SEARCH("FAIL",AN229))),"Y","N"))</f>
        <v/>
      </c>
      <c r="AV229" s="10" t="str">
        <f aca="false">IF(C229="","",C229&amp;"|"&amp;G229&amp;"|"&amp;E229&amp;"|"&amp;H229&amp;"|"&amp;AU229)</f>
        <v/>
      </c>
    </row>
    <row r="230" customFormat="false" ht="15" hidden="false" customHeight="false" outlineLevel="0" collapsed="false">
      <c r="A230" s="10" t="str">
        <f aca="false">IF(C230="","","ERSS-"&amp;IFERROR(VLOOKUP(C230,Lists!$AK$4:$AL$21,2,0),"??")&amp;"-"&amp;TEXT(E230,"0000")&amp;"x"&amp;TEXT(F230,"0000")&amp;"-D"&amp;TEXT(G230*1000,"0000")&amp;"-"&amp;IFERROR(VLOOKUP(H230,Lists!$Y$4:$Z$21,2,0),"??")&amp;"-"&amp;U230)</f>
        <v/>
      </c>
      <c r="B230" s="10" t="str">
        <f aca="false">IF(C230="","",C230&amp;" for "&amp;D230&amp;", "&amp;E230&amp;" x "&amp;F230&amp;" pit, "&amp;TEXT(G230,"0.0")&amp;" m deep, "&amp;H230)</f>
        <v/>
      </c>
      <c r="C230" s="9"/>
      <c r="D230" s="9"/>
      <c r="E230" s="40"/>
      <c r="F230" s="40"/>
      <c r="G230" s="43"/>
      <c r="H230" s="9"/>
      <c r="I230" s="43"/>
      <c r="J230" s="40"/>
      <c r="K230" s="9"/>
      <c r="L230" s="43"/>
      <c r="M230" s="43"/>
      <c r="N230" s="40"/>
      <c r="O230" s="9"/>
      <c r="P230" s="9"/>
      <c r="Q230" s="41"/>
      <c r="R230" s="9"/>
      <c r="S230" s="40"/>
      <c r="T230" s="9"/>
      <c r="U230" s="9"/>
      <c r="V230" s="9"/>
      <c r="W230" s="9"/>
      <c r="X230" s="9"/>
      <c r="Y230" s="9"/>
      <c r="Z230" s="10" t="str">
        <f aca="false">IF(A230="","",SG_Criteria!$B$6&amp;SG_Criteria!$B$11&amp;"\"&amp;A230&amp;"\")</f>
        <v/>
      </c>
      <c r="AA230" s="10" t="str">
        <f aca="false">IF(A230="","",A230&amp;"_CAD.dwg")</f>
        <v/>
      </c>
      <c r="AB230" s="10" t="str">
        <f aca="false">IF(A230="","",A230&amp;"_DWG.pdf")</f>
        <v/>
      </c>
      <c r="AC230" s="10" t="str">
        <f aca="false">IF(A230="","",IF(Y230="Y",A230&amp;"_STAAD.std","n/a"))</f>
        <v/>
      </c>
      <c r="AD230" s="10" t="str">
        <f aca="false">IF(A230="","",A230&amp;"_CALC.xlsx")</f>
        <v/>
      </c>
      <c r="AE230" s="10" t="str">
        <f aca="false">IF(A230="","",A230&amp;"_CALC.pdf")</f>
        <v/>
      </c>
      <c r="AF230" s="9"/>
      <c r="AG230" s="9"/>
      <c r="AH230" s="41"/>
      <c r="AI230" s="41"/>
      <c r="AJ230" s="41"/>
      <c r="AK230" s="41"/>
      <c r="AL230" s="41"/>
      <c r="AM230" s="38" t="str">
        <f aca="false">IF(OR(C230="",G230=""),"",IF(G230&lt;=IF(OR(C230="Soldier Pile &amp; Timber Lagging",C230="Trench Shoring Box",C230="Open Cut (battered)"),SG_Criteria!$B$34,SG_Criteria!$B$33),"No ERSS submission",IF(G230&lt;=SG_Criteria!$B$35,"QP(ST)",IF(G230&lt;=SG_Criteria!$B$36,"QP(ST) + AC","Geotechnical building works: QP(Geo) + AC"))))</f>
        <v/>
      </c>
      <c r="AN230" s="38" t="str">
        <f aca="false">IF(C230="","",IF(LEN(IF(AND(Q230&lt;&gt;"",Q230&lt;SG_Criteria!$B$37),"FAIL: base stability FOS &lt; "&amp;SG_Criteria!$B$37&amp;". ","")&amp;IF(AND(D230="Manhole",G230&gt;SG_Criteria!$B$36),"NOTE: BCA lists sewer manholes (pipe &lt;= 2 m dia) &gt; 6 m as non-GBW: QP(ST) + AC. ","")&amp;IF(AND(C230="Trench Shoring Box",H230="Kallang Formation (marine clay)"),"NOTE: check base heave / ground loss for shoring box in marine clay. ","")&amp;IF(AND(C230="Steel Sheet Pile Cofferdam",N(M230)&lt;G230*0.5),"NOTE: short toe embedment, check. ",""))=0,"OK",IF(AND(Q230&lt;&gt;"",Q230&lt;SG_Criteria!$B$37),"FAIL: base stability FOS &lt; "&amp;SG_Criteria!$B$37&amp;". ","")&amp;IF(AND(D230="Manhole",G230&gt;SG_Criteria!$B$36),"NOTE: BCA lists sewer manholes (pipe &lt;= 2 m dia) &gt; 6 m as non-GBW: QP(ST) + AC. ","")&amp;IF(AND(C230="Trench Shoring Box",H230="Kallang Formation (marine clay)"),"NOTE: check base heave / ground loss for shoring box in marine clay. ","")&amp;IF(AND(C230="Steel Sheet Pile Cofferdam",N(M230)&lt;G230*0.5),"NOTE: short toe embedment, check. ","")))</f>
        <v/>
      </c>
      <c r="AO230" s="9"/>
      <c r="AP230" s="9"/>
      <c r="AQ230" s="9"/>
      <c r="AR230" s="9"/>
      <c r="AS230" s="9"/>
      <c r="AT230" s="31"/>
      <c r="AU230" s="10" t="str">
        <f aca="false">IF(C230="","",IF(AND(V230="Approved",ISERROR(SEARCH("FAIL",AN230))),"Y","N"))</f>
        <v/>
      </c>
      <c r="AV230" s="10" t="str">
        <f aca="false">IF(C230="","",C230&amp;"|"&amp;G230&amp;"|"&amp;E230&amp;"|"&amp;H230&amp;"|"&amp;AU230)</f>
        <v/>
      </c>
    </row>
    <row r="231" customFormat="false" ht="15" hidden="false" customHeight="false" outlineLevel="0" collapsed="false">
      <c r="A231" s="10" t="str">
        <f aca="false">IF(C231="","","ERSS-"&amp;IFERROR(VLOOKUP(C231,Lists!$AK$4:$AL$21,2,0),"??")&amp;"-"&amp;TEXT(E231,"0000")&amp;"x"&amp;TEXT(F231,"0000")&amp;"-D"&amp;TEXT(G231*1000,"0000")&amp;"-"&amp;IFERROR(VLOOKUP(H231,Lists!$Y$4:$Z$21,2,0),"??")&amp;"-"&amp;U231)</f>
        <v/>
      </c>
      <c r="B231" s="10" t="str">
        <f aca="false">IF(C231="","",C231&amp;" for "&amp;D231&amp;", "&amp;E231&amp;" x "&amp;F231&amp;" pit, "&amp;TEXT(G231,"0.0")&amp;" m deep, "&amp;H231)</f>
        <v/>
      </c>
      <c r="C231" s="9"/>
      <c r="D231" s="9"/>
      <c r="E231" s="40"/>
      <c r="F231" s="40"/>
      <c r="G231" s="43"/>
      <c r="H231" s="9"/>
      <c r="I231" s="43"/>
      <c r="J231" s="40"/>
      <c r="K231" s="9"/>
      <c r="L231" s="43"/>
      <c r="M231" s="43"/>
      <c r="N231" s="40"/>
      <c r="O231" s="9"/>
      <c r="P231" s="9"/>
      <c r="Q231" s="41"/>
      <c r="R231" s="9"/>
      <c r="S231" s="40"/>
      <c r="T231" s="9"/>
      <c r="U231" s="9"/>
      <c r="V231" s="9"/>
      <c r="W231" s="9"/>
      <c r="X231" s="9"/>
      <c r="Y231" s="9"/>
      <c r="Z231" s="10" t="str">
        <f aca="false">IF(A231="","",SG_Criteria!$B$6&amp;SG_Criteria!$B$11&amp;"\"&amp;A231&amp;"\")</f>
        <v/>
      </c>
      <c r="AA231" s="10" t="str">
        <f aca="false">IF(A231="","",A231&amp;"_CAD.dwg")</f>
        <v/>
      </c>
      <c r="AB231" s="10" t="str">
        <f aca="false">IF(A231="","",A231&amp;"_DWG.pdf")</f>
        <v/>
      </c>
      <c r="AC231" s="10" t="str">
        <f aca="false">IF(A231="","",IF(Y231="Y",A231&amp;"_STAAD.std","n/a"))</f>
        <v/>
      </c>
      <c r="AD231" s="10" t="str">
        <f aca="false">IF(A231="","",A231&amp;"_CALC.xlsx")</f>
        <v/>
      </c>
      <c r="AE231" s="10" t="str">
        <f aca="false">IF(A231="","",A231&amp;"_CALC.pdf")</f>
        <v/>
      </c>
      <c r="AF231" s="9"/>
      <c r="AG231" s="9"/>
      <c r="AH231" s="41"/>
      <c r="AI231" s="41"/>
      <c r="AJ231" s="41"/>
      <c r="AK231" s="41"/>
      <c r="AL231" s="41"/>
      <c r="AM231" s="38" t="str">
        <f aca="false">IF(OR(C231="",G231=""),"",IF(G231&lt;=IF(OR(C231="Soldier Pile &amp; Timber Lagging",C231="Trench Shoring Box",C231="Open Cut (battered)"),SG_Criteria!$B$34,SG_Criteria!$B$33),"No ERSS submission",IF(G231&lt;=SG_Criteria!$B$35,"QP(ST)",IF(G231&lt;=SG_Criteria!$B$36,"QP(ST) + AC","Geotechnical building works: QP(Geo) + AC"))))</f>
        <v/>
      </c>
      <c r="AN231" s="38" t="str">
        <f aca="false">IF(C231="","",IF(LEN(IF(AND(Q231&lt;&gt;"",Q231&lt;SG_Criteria!$B$37),"FAIL: base stability FOS &lt; "&amp;SG_Criteria!$B$37&amp;". ","")&amp;IF(AND(D231="Manhole",G231&gt;SG_Criteria!$B$36),"NOTE: BCA lists sewer manholes (pipe &lt;= 2 m dia) &gt; 6 m as non-GBW: QP(ST) + AC. ","")&amp;IF(AND(C231="Trench Shoring Box",H231="Kallang Formation (marine clay)"),"NOTE: check base heave / ground loss for shoring box in marine clay. ","")&amp;IF(AND(C231="Steel Sheet Pile Cofferdam",N(M231)&lt;G231*0.5),"NOTE: short toe embedment, check. ",""))=0,"OK",IF(AND(Q231&lt;&gt;"",Q231&lt;SG_Criteria!$B$37),"FAIL: base stability FOS &lt; "&amp;SG_Criteria!$B$37&amp;". ","")&amp;IF(AND(D231="Manhole",G231&gt;SG_Criteria!$B$36),"NOTE: BCA lists sewer manholes (pipe &lt;= 2 m dia) &gt; 6 m as non-GBW: QP(ST) + AC. ","")&amp;IF(AND(C231="Trench Shoring Box",H231="Kallang Formation (marine clay)"),"NOTE: check base heave / ground loss for shoring box in marine clay. ","")&amp;IF(AND(C231="Steel Sheet Pile Cofferdam",N(M231)&lt;G231*0.5),"NOTE: short toe embedment, check. ","")))</f>
        <v/>
      </c>
      <c r="AO231" s="9"/>
      <c r="AP231" s="9"/>
      <c r="AQ231" s="9"/>
      <c r="AR231" s="9"/>
      <c r="AS231" s="9"/>
      <c r="AT231" s="31"/>
      <c r="AU231" s="10" t="str">
        <f aca="false">IF(C231="","",IF(AND(V231="Approved",ISERROR(SEARCH("FAIL",AN231))),"Y","N"))</f>
        <v/>
      </c>
      <c r="AV231" s="10" t="str">
        <f aca="false">IF(C231="","",C231&amp;"|"&amp;G231&amp;"|"&amp;E231&amp;"|"&amp;H231&amp;"|"&amp;AU231)</f>
        <v/>
      </c>
    </row>
    <row r="232" customFormat="false" ht="15" hidden="false" customHeight="false" outlineLevel="0" collapsed="false">
      <c r="A232" s="10" t="str">
        <f aca="false">IF(C232="","","ERSS-"&amp;IFERROR(VLOOKUP(C232,Lists!$AK$4:$AL$21,2,0),"??")&amp;"-"&amp;TEXT(E232,"0000")&amp;"x"&amp;TEXT(F232,"0000")&amp;"-D"&amp;TEXT(G232*1000,"0000")&amp;"-"&amp;IFERROR(VLOOKUP(H232,Lists!$Y$4:$Z$21,2,0),"??")&amp;"-"&amp;U232)</f>
        <v/>
      </c>
      <c r="B232" s="10" t="str">
        <f aca="false">IF(C232="","",C232&amp;" for "&amp;D232&amp;", "&amp;E232&amp;" x "&amp;F232&amp;" pit, "&amp;TEXT(G232,"0.0")&amp;" m deep, "&amp;H232)</f>
        <v/>
      </c>
      <c r="C232" s="9"/>
      <c r="D232" s="9"/>
      <c r="E232" s="40"/>
      <c r="F232" s="40"/>
      <c r="G232" s="43"/>
      <c r="H232" s="9"/>
      <c r="I232" s="43"/>
      <c r="J232" s="40"/>
      <c r="K232" s="9"/>
      <c r="L232" s="43"/>
      <c r="M232" s="43"/>
      <c r="N232" s="40"/>
      <c r="O232" s="9"/>
      <c r="P232" s="9"/>
      <c r="Q232" s="41"/>
      <c r="R232" s="9"/>
      <c r="S232" s="40"/>
      <c r="T232" s="9"/>
      <c r="U232" s="9"/>
      <c r="V232" s="9"/>
      <c r="W232" s="9"/>
      <c r="X232" s="9"/>
      <c r="Y232" s="9"/>
      <c r="Z232" s="10" t="str">
        <f aca="false">IF(A232="","",SG_Criteria!$B$6&amp;SG_Criteria!$B$11&amp;"\"&amp;A232&amp;"\")</f>
        <v/>
      </c>
      <c r="AA232" s="10" t="str">
        <f aca="false">IF(A232="","",A232&amp;"_CAD.dwg")</f>
        <v/>
      </c>
      <c r="AB232" s="10" t="str">
        <f aca="false">IF(A232="","",A232&amp;"_DWG.pdf")</f>
        <v/>
      </c>
      <c r="AC232" s="10" t="str">
        <f aca="false">IF(A232="","",IF(Y232="Y",A232&amp;"_STAAD.std","n/a"))</f>
        <v/>
      </c>
      <c r="AD232" s="10" t="str">
        <f aca="false">IF(A232="","",A232&amp;"_CALC.xlsx")</f>
        <v/>
      </c>
      <c r="AE232" s="10" t="str">
        <f aca="false">IF(A232="","",A232&amp;"_CALC.pdf")</f>
        <v/>
      </c>
      <c r="AF232" s="9"/>
      <c r="AG232" s="9"/>
      <c r="AH232" s="41"/>
      <c r="AI232" s="41"/>
      <c r="AJ232" s="41"/>
      <c r="AK232" s="41"/>
      <c r="AL232" s="41"/>
      <c r="AM232" s="38" t="str">
        <f aca="false">IF(OR(C232="",G232=""),"",IF(G232&lt;=IF(OR(C232="Soldier Pile &amp; Timber Lagging",C232="Trench Shoring Box",C232="Open Cut (battered)"),SG_Criteria!$B$34,SG_Criteria!$B$33),"No ERSS submission",IF(G232&lt;=SG_Criteria!$B$35,"QP(ST)",IF(G232&lt;=SG_Criteria!$B$36,"QP(ST) + AC","Geotechnical building works: QP(Geo) + AC"))))</f>
        <v/>
      </c>
      <c r="AN232" s="38" t="str">
        <f aca="false">IF(C232="","",IF(LEN(IF(AND(Q232&lt;&gt;"",Q232&lt;SG_Criteria!$B$37),"FAIL: base stability FOS &lt; "&amp;SG_Criteria!$B$37&amp;". ","")&amp;IF(AND(D232="Manhole",G232&gt;SG_Criteria!$B$36),"NOTE: BCA lists sewer manholes (pipe &lt;= 2 m dia) &gt; 6 m as non-GBW: QP(ST) + AC. ","")&amp;IF(AND(C232="Trench Shoring Box",H232="Kallang Formation (marine clay)"),"NOTE: check base heave / ground loss for shoring box in marine clay. ","")&amp;IF(AND(C232="Steel Sheet Pile Cofferdam",N(M232)&lt;G232*0.5),"NOTE: short toe embedment, check. ",""))=0,"OK",IF(AND(Q232&lt;&gt;"",Q232&lt;SG_Criteria!$B$37),"FAIL: base stability FOS &lt; "&amp;SG_Criteria!$B$37&amp;". ","")&amp;IF(AND(D232="Manhole",G232&gt;SG_Criteria!$B$36),"NOTE: BCA lists sewer manholes (pipe &lt;= 2 m dia) &gt; 6 m as non-GBW: QP(ST) + AC. ","")&amp;IF(AND(C232="Trench Shoring Box",H232="Kallang Formation (marine clay)"),"NOTE: check base heave / ground loss for shoring box in marine clay. ","")&amp;IF(AND(C232="Steel Sheet Pile Cofferdam",N(M232)&lt;G232*0.5),"NOTE: short toe embedment, check. ","")))</f>
        <v/>
      </c>
      <c r="AO232" s="9"/>
      <c r="AP232" s="9"/>
      <c r="AQ232" s="9"/>
      <c r="AR232" s="9"/>
      <c r="AS232" s="9"/>
      <c r="AT232" s="31"/>
      <c r="AU232" s="10" t="str">
        <f aca="false">IF(C232="","",IF(AND(V232="Approved",ISERROR(SEARCH("FAIL",AN232))),"Y","N"))</f>
        <v/>
      </c>
      <c r="AV232" s="10" t="str">
        <f aca="false">IF(C232="","",C232&amp;"|"&amp;G232&amp;"|"&amp;E232&amp;"|"&amp;H232&amp;"|"&amp;AU232)</f>
        <v/>
      </c>
    </row>
    <row r="233" customFormat="false" ht="15" hidden="false" customHeight="false" outlineLevel="0" collapsed="false">
      <c r="A233" s="10" t="str">
        <f aca="false">IF(C233="","","ERSS-"&amp;IFERROR(VLOOKUP(C233,Lists!$AK$4:$AL$21,2,0),"??")&amp;"-"&amp;TEXT(E233,"0000")&amp;"x"&amp;TEXT(F233,"0000")&amp;"-D"&amp;TEXT(G233*1000,"0000")&amp;"-"&amp;IFERROR(VLOOKUP(H233,Lists!$Y$4:$Z$21,2,0),"??")&amp;"-"&amp;U233)</f>
        <v/>
      </c>
      <c r="B233" s="10" t="str">
        <f aca="false">IF(C233="","",C233&amp;" for "&amp;D233&amp;", "&amp;E233&amp;" x "&amp;F233&amp;" pit, "&amp;TEXT(G233,"0.0")&amp;" m deep, "&amp;H233)</f>
        <v/>
      </c>
      <c r="C233" s="9"/>
      <c r="D233" s="9"/>
      <c r="E233" s="40"/>
      <c r="F233" s="40"/>
      <c r="G233" s="43"/>
      <c r="H233" s="9"/>
      <c r="I233" s="43"/>
      <c r="J233" s="40"/>
      <c r="K233" s="9"/>
      <c r="L233" s="43"/>
      <c r="M233" s="43"/>
      <c r="N233" s="40"/>
      <c r="O233" s="9"/>
      <c r="P233" s="9"/>
      <c r="Q233" s="41"/>
      <c r="R233" s="9"/>
      <c r="S233" s="40"/>
      <c r="T233" s="9"/>
      <c r="U233" s="9"/>
      <c r="V233" s="9"/>
      <c r="W233" s="9"/>
      <c r="X233" s="9"/>
      <c r="Y233" s="9"/>
      <c r="Z233" s="10" t="str">
        <f aca="false">IF(A233="","",SG_Criteria!$B$6&amp;SG_Criteria!$B$11&amp;"\"&amp;A233&amp;"\")</f>
        <v/>
      </c>
      <c r="AA233" s="10" t="str">
        <f aca="false">IF(A233="","",A233&amp;"_CAD.dwg")</f>
        <v/>
      </c>
      <c r="AB233" s="10" t="str">
        <f aca="false">IF(A233="","",A233&amp;"_DWG.pdf")</f>
        <v/>
      </c>
      <c r="AC233" s="10" t="str">
        <f aca="false">IF(A233="","",IF(Y233="Y",A233&amp;"_STAAD.std","n/a"))</f>
        <v/>
      </c>
      <c r="AD233" s="10" t="str">
        <f aca="false">IF(A233="","",A233&amp;"_CALC.xlsx")</f>
        <v/>
      </c>
      <c r="AE233" s="10" t="str">
        <f aca="false">IF(A233="","",A233&amp;"_CALC.pdf")</f>
        <v/>
      </c>
      <c r="AF233" s="9"/>
      <c r="AG233" s="9"/>
      <c r="AH233" s="41"/>
      <c r="AI233" s="41"/>
      <c r="AJ233" s="41"/>
      <c r="AK233" s="41"/>
      <c r="AL233" s="41"/>
      <c r="AM233" s="38" t="str">
        <f aca="false">IF(OR(C233="",G233=""),"",IF(G233&lt;=IF(OR(C233="Soldier Pile &amp; Timber Lagging",C233="Trench Shoring Box",C233="Open Cut (battered)"),SG_Criteria!$B$34,SG_Criteria!$B$33),"No ERSS submission",IF(G233&lt;=SG_Criteria!$B$35,"QP(ST)",IF(G233&lt;=SG_Criteria!$B$36,"QP(ST) + AC","Geotechnical building works: QP(Geo) + AC"))))</f>
        <v/>
      </c>
      <c r="AN233" s="38" t="str">
        <f aca="false">IF(C233="","",IF(LEN(IF(AND(Q233&lt;&gt;"",Q233&lt;SG_Criteria!$B$37),"FAIL: base stability FOS &lt; "&amp;SG_Criteria!$B$37&amp;". ","")&amp;IF(AND(D233="Manhole",G233&gt;SG_Criteria!$B$36),"NOTE: BCA lists sewer manholes (pipe &lt;= 2 m dia) &gt; 6 m as non-GBW: QP(ST) + AC. ","")&amp;IF(AND(C233="Trench Shoring Box",H233="Kallang Formation (marine clay)"),"NOTE: check base heave / ground loss for shoring box in marine clay. ","")&amp;IF(AND(C233="Steel Sheet Pile Cofferdam",N(M233)&lt;G233*0.5),"NOTE: short toe embedment, check. ",""))=0,"OK",IF(AND(Q233&lt;&gt;"",Q233&lt;SG_Criteria!$B$37),"FAIL: base stability FOS &lt; "&amp;SG_Criteria!$B$37&amp;". ","")&amp;IF(AND(D233="Manhole",G233&gt;SG_Criteria!$B$36),"NOTE: BCA lists sewer manholes (pipe &lt;= 2 m dia) &gt; 6 m as non-GBW: QP(ST) + AC. ","")&amp;IF(AND(C233="Trench Shoring Box",H233="Kallang Formation (marine clay)"),"NOTE: check base heave / ground loss for shoring box in marine clay. ","")&amp;IF(AND(C233="Steel Sheet Pile Cofferdam",N(M233)&lt;G233*0.5),"NOTE: short toe embedment, check. ","")))</f>
        <v/>
      </c>
      <c r="AO233" s="9"/>
      <c r="AP233" s="9"/>
      <c r="AQ233" s="9"/>
      <c r="AR233" s="9"/>
      <c r="AS233" s="9"/>
      <c r="AT233" s="31"/>
      <c r="AU233" s="10" t="str">
        <f aca="false">IF(C233="","",IF(AND(V233="Approved",ISERROR(SEARCH("FAIL",AN233))),"Y","N"))</f>
        <v/>
      </c>
      <c r="AV233" s="10" t="str">
        <f aca="false">IF(C233="","",C233&amp;"|"&amp;G233&amp;"|"&amp;E233&amp;"|"&amp;H233&amp;"|"&amp;AU233)</f>
        <v/>
      </c>
    </row>
    <row r="234" customFormat="false" ht="15" hidden="false" customHeight="false" outlineLevel="0" collapsed="false">
      <c r="A234" s="10" t="str">
        <f aca="false">IF(C234="","","ERSS-"&amp;IFERROR(VLOOKUP(C234,Lists!$AK$4:$AL$21,2,0),"??")&amp;"-"&amp;TEXT(E234,"0000")&amp;"x"&amp;TEXT(F234,"0000")&amp;"-D"&amp;TEXT(G234*1000,"0000")&amp;"-"&amp;IFERROR(VLOOKUP(H234,Lists!$Y$4:$Z$21,2,0),"??")&amp;"-"&amp;U234)</f>
        <v/>
      </c>
      <c r="B234" s="10" t="str">
        <f aca="false">IF(C234="","",C234&amp;" for "&amp;D234&amp;", "&amp;E234&amp;" x "&amp;F234&amp;" pit, "&amp;TEXT(G234,"0.0")&amp;" m deep, "&amp;H234)</f>
        <v/>
      </c>
      <c r="C234" s="9"/>
      <c r="D234" s="9"/>
      <c r="E234" s="40"/>
      <c r="F234" s="40"/>
      <c r="G234" s="43"/>
      <c r="H234" s="9"/>
      <c r="I234" s="43"/>
      <c r="J234" s="40"/>
      <c r="K234" s="9"/>
      <c r="L234" s="43"/>
      <c r="M234" s="43"/>
      <c r="N234" s="40"/>
      <c r="O234" s="9"/>
      <c r="P234" s="9"/>
      <c r="Q234" s="41"/>
      <c r="R234" s="9"/>
      <c r="S234" s="40"/>
      <c r="T234" s="9"/>
      <c r="U234" s="9"/>
      <c r="V234" s="9"/>
      <c r="W234" s="9"/>
      <c r="X234" s="9"/>
      <c r="Y234" s="9"/>
      <c r="Z234" s="10" t="str">
        <f aca="false">IF(A234="","",SG_Criteria!$B$6&amp;SG_Criteria!$B$11&amp;"\"&amp;A234&amp;"\")</f>
        <v/>
      </c>
      <c r="AA234" s="10" t="str">
        <f aca="false">IF(A234="","",A234&amp;"_CAD.dwg")</f>
        <v/>
      </c>
      <c r="AB234" s="10" t="str">
        <f aca="false">IF(A234="","",A234&amp;"_DWG.pdf")</f>
        <v/>
      </c>
      <c r="AC234" s="10" t="str">
        <f aca="false">IF(A234="","",IF(Y234="Y",A234&amp;"_STAAD.std","n/a"))</f>
        <v/>
      </c>
      <c r="AD234" s="10" t="str">
        <f aca="false">IF(A234="","",A234&amp;"_CALC.xlsx")</f>
        <v/>
      </c>
      <c r="AE234" s="10" t="str">
        <f aca="false">IF(A234="","",A234&amp;"_CALC.pdf")</f>
        <v/>
      </c>
      <c r="AF234" s="9"/>
      <c r="AG234" s="9"/>
      <c r="AH234" s="41"/>
      <c r="AI234" s="41"/>
      <c r="AJ234" s="41"/>
      <c r="AK234" s="41"/>
      <c r="AL234" s="41"/>
      <c r="AM234" s="38" t="str">
        <f aca="false">IF(OR(C234="",G234=""),"",IF(G234&lt;=IF(OR(C234="Soldier Pile &amp; Timber Lagging",C234="Trench Shoring Box",C234="Open Cut (battered)"),SG_Criteria!$B$34,SG_Criteria!$B$33),"No ERSS submission",IF(G234&lt;=SG_Criteria!$B$35,"QP(ST)",IF(G234&lt;=SG_Criteria!$B$36,"QP(ST) + AC","Geotechnical building works: QP(Geo) + AC"))))</f>
        <v/>
      </c>
      <c r="AN234" s="38" t="str">
        <f aca="false">IF(C234="","",IF(LEN(IF(AND(Q234&lt;&gt;"",Q234&lt;SG_Criteria!$B$37),"FAIL: base stability FOS &lt; "&amp;SG_Criteria!$B$37&amp;". ","")&amp;IF(AND(D234="Manhole",G234&gt;SG_Criteria!$B$36),"NOTE: BCA lists sewer manholes (pipe &lt;= 2 m dia) &gt; 6 m as non-GBW: QP(ST) + AC. ","")&amp;IF(AND(C234="Trench Shoring Box",H234="Kallang Formation (marine clay)"),"NOTE: check base heave / ground loss for shoring box in marine clay. ","")&amp;IF(AND(C234="Steel Sheet Pile Cofferdam",N(M234)&lt;G234*0.5),"NOTE: short toe embedment, check. ",""))=0,"OK",IF(AND(Q234&lt;&gt;"",Q234&lt;SG_Criteria!$B$37),"FAIL: base stability FOS &lt; "&amp;SG_Criteria!$B$37&amp;". ","")&amp;IF(AND(D234="Manhole",G234&gt;SG_Criteria!$B$36),"NOTE: BCA lists sewer manholes (pipe &lt;= 2 m dia) &gt; 6 m as non-GBW: QP(ST) + AC. ","")&amp;IF(AND(C234="Trench Shoring Box",H234="Kallang Formation (marine clay)"),"NOTE: check base heave / ground loss for shoring box in marine clay. ","")&amp;IF(AND(C234="Steel Sheet Pile Cofferdam",N(M234)&lt;G234*0.5),"NOTE: short toe embedment, check. ","")))</f>
        <v/>
      </c>
      <c r="AO234" s="9"/>
      <c r="AP234" s="9"/>
      <c r="AQ234" s="9"/>
      <c r="AR234" s="9"/>
      <c r="AS234" s="9"/>
      <c r="AT234" s="31"/>
      <c r="AU234" s="10" t="str">
        <f aca="false">IF(C234="","",IF(AND(V234="Approved",ISERROR(SEARCH("FAIL",AN234))),"Y","N"))</f>
        <v/>
      </c>
      <c r="AV234" s="10" t="str">
        <f aca="false">IF(C234="","",C234&amp;"|"&amp;G234&amp;"|"&amp;E234&amp;"|"&amp;H234&amp;"|"&amp;AU234)</f>
        <v/>
      </c>
    </row>
    <row r="235" customFormat="false" ht="15" hidden="false" customHeight="false" outlineLevel="0" collapsed="false">
      <c r="A235" s="10" t="str">
        <f aca="false">IF(C235="","","ERSS-"&amp;IFERROR(VLOOKUP(C235,Lists!$AK$4:$AL$21,2,0),"??")&amp;"-"&amp;TEXT(E235,"0000")&amp;"x"&amp;TEXT(F235,"0000")&amp;"-D"&amp;TEXT(G235*1000,"0000")&amp;"-"&amp;IFERROR(VLOOKUP(H235,Lists!$Y$4:$Z$21,2,0),"??")&amp;"-"&amp;U235)</f>
        <v/>
      </c>
      <c r="B235" s="10" t="str">
        <f aca="false">IF(C235="","",C235&amp;" for "&amp;D235&amp;", "&amp;E235&amp;" x "&amp;F235&amp;" pit, "&amp;TEXT(G235,"0.0")&amp;" m deep, "&amp;H235)</f>
        <v/>
      </c>
      <c r="C235" s="9"/>
      <c r="D235" s="9"/>
      <c r="E235" s="40"/>
      <c r="F235" s="40"/>
      <c r="G235" s="43"/>
      <c r="H235" s="9"/>
      <c r="I235" s="43"/>
      <c r="J235" s="40"/>
      <c r="K235" s="9"/>
      <c r="L235" s="43"/>
      <c r="M235" s="43"/>
      <c r="N235" s="40"/>
      <c r="O235" s="9"/>
      <c r="P235" s="9"/>
      <c r="Q235" s="41"/>
      <c r="R235" s="9"/>
      <c r="S235" s="40"/>
      <c r="T235" s="9"/>
      <c r="U235" s="9"/>
      <c r="V235" s="9"/>
      <c r="W235" s="9"/>
      <c r="X235" s="9"/>
      <c r="Y235" s="9"/>
      <c r="Z235" s="10" t="str">
        <f aca="false">IF(A235="","",SG_Criteria!$B$6&amp;SG_Criteria!$B$11&amp;"\"&amp;A235&amp;"\")</f>
        <v/>
      </c>
      <c r="AA235" s="10" t="str">
        <f aca="false">IF(A235="","",A235&amp;"_CAD.dwg")</f>
        <v/>
      </c>
      <c r="AB235" s="10" t="str">
        <f aca="false">IF(A235="","",A235&amp;"_DWG.pdf")</f>
        <v/>
      </c>
      <c r="AC235" s="10" t="str">
        <f aca="false">IF(A235="","",IF(Y235="Y",A235&amp;"_STAAD.std","n/a"))</f>
        <v/>
      </c>
      <c r="AD235" s="10" t="str">
        <f aca="false">IF(A235="","",A235&amp;"_CALC.xlsx")</f>
        <v/>
      </c>
      <c r="AE235" s="10" t="str">
        <f aca="false">IF(A235="","",A235&amp;"_CALC.pdf")</f>
        <v/>
      </c>
      <c r="AF235" s="9"/>
      <c r="AG235" s="9"/>
      <c r="AH235" s="41"/>
      <c r="AI235" s="41"/>
      <c r="AJ235" s="41"/>
      <c r="AK235" s="41"/>
      <c r="AL235" s="41"/>
      <c r="AM235" s="38" t="str">
        <f aca="false">IF(OR(C235="",G235=""),"",IF(G235&lt;=IF(OR(C235="Soldier Pile &amp; Timber Lagging",C235="Trench Shoring Box",C235="Open Cut (battered)"),SG_Criteria!$B$34,SG_Criteria!$B$33),"No ERSS submission",IF(G235&lt;=SG_Criteria!$B$35,"QP(ST)",IF(G235&lt;=SG_Criteria!$B$36,"QP(ST) + AC","Geotechnical building works: QP(Geo) + AC"))))</f>
        <v/>
      </c>
      <c r="AN235" s="38" t="str">
        <f aca="false">IF(C235="","",IF(LEN(IF(AND(Q235&lt;&gt;"",Q235&lt;SG_Criteria!$B$37),"FAIL: base stability FOS &lt; "&amp;SG_Criteria!$B$37&amp;". ","")&amp;IF(AND(D235="Manhole",G235&gt;SG_Criteria!$B$36),"NOTE: BCA lists sewer manholes (pipe &lt;= 2 m dia) &gt; 6 m as non-GBW: QP(ST) + AC. ","")&amp;IF(AND(C235="Trench Shoring Box",H235="Kallang Formation (marine clay)"),"NOTE: check base heave / ground loss for shoring box in marine clay. ","")&amp;IF(AND(C235="Steel Sheet Pile Cofferdam",N(M235)&lt;G235*0.5),"NOTE: short toe embedment, check. ",""))=0,"OK",IF(AND(Q235&lt;&gt;"",Q235&lt;SG_Criteria!$B$37),"FAIL: base stability FOS &lt; "&amp;SG_Criteria!$B$37&amp;". ","")&amp;IF(AND(D235="Manhole",G235&gt;SG_Criteria!$B$36),"NOTE: BCA lists sewer manholes (pipe &lt;= 2 m dia) &gt; 6 m as non-GBW: QP(ST) + AC. ","")&amp;IF(AND(C235="Trench Shoring Box",H235="Kallang Formation (marine clay)"),"NOTE: check base heave / ground loss for shoring box in marine clay. ","")&amp;IF(AND(C235="Steel Sheet Pile Cofferdam",N(M235)&lt;G235*0.5),"NOTE: short toe embedment, check. ","")))</f>
        <v/>
      </c>
      <c r="AO235" s="9"/>
      <c r="AP235" s="9"/>
      <c r="AQ235" s="9"/>
      <c r="AR235" s="9"/>
      <c r="AS235" s="9"/>
      <c r="AT235" s="31"/>
      <c r="AU235" s="10" t="str">
        <f aca="false">IF(C235="","",IF(AND(V235="Approved",ISERROR(SEARCH("FAIL",AN235))),"Y","N"))</f>
        <v/>
      </c>
      <c r="AV235" s="10" t="str">
        <f aca="false">IF(C235="","",C235&amp;"|"&amp;G235&amp;"|"&amp;E235&amp;"|"&amp;H235&amp;"|"&amp;AU235)</f>
        <v/>
      </c>
    </row>
    <row r="236" customFormat="false" ht="15" hidden="false" customHeight="false" outlineLevel="0" collapsed="false">
      <c r="A236" s="10" t="str">
        <f aca="false">IF(C236="","","ERSS-"&amp;IFERROR(VLOOKUP(C236,Lists!$AK$4:$AL$21,2,0),"??")&amp;"-"&amp;TEXT(E236,"0000")&amp;"x"&amp;TEXT(F236,"0000")&amp;"-D"&amp;TEXT(G236*1000,"0000")&amp;"-"&amp;IFERROR(VLOOKUP(H236,Lists!$Y$4:$Z$21,2,0),"??")&amp;"-"&amp;U236)</f>
        <v/>
      </c>
      <c r="B236" s="10" t="str">
        <f aca="false">IF(C236="","",C236&amp;" for "&amp;D236&amp;", "&amp;E236&amp;" x "&amp;F236&amp;" pit, "&amp;TEXT(G236,"0.0")&amp;" m deep, "&amp;H236)</f>
        <v/>
      </c>
      <c r="C236" s="9"/>
      <c r="D236" s="9"/>
      <c r="E236" s="40"/>
      <c r="F236" s="40"/>
      <c r="G236" s="43"/>
      <c r="H236" s="9"/>
      <c r="I236" s="43"/>
      <c r="J236" s="40"/>
      <c r="K236" s="9"/>
      <c r="L236" s="43"/>
      <c r="M236" s="43"/>
      <c r="N236" s="40"/>
      <c r="O236" s="9"/>
      <c r="P236" s="9"/>
      <c r="Q236" s="41"/>
      <c r="R236" s="9"/>
      <c r="S236" s="40"/>
      <c r="T236" s="9"/>
      <c r="U236" s="9"/>
      <c r="V236" s="9"/>
      <c r="W236" s="9"/>
      <c r="X236" s="9"/>
      <c r="Y236" s="9"/>
      <c r="Z236" s="10" t="str">
        <f aca="false">IF(A236="","",SG_Criteria!$B$6&amp;SG_Criteria!$B$11&amp;"\"&amp;A236&amp;"\")</f>
        <v/>
      </c>
      <c r="AA236" s="10" t="str">
        <f aca="false">IF(A236="","",A236&amp;"_CAD.dwg")</f>
        <v/>
      </c>
      <c r="AB236" s="10" t="str">
        <f aca="false">IF(A236="","",A236&amp;"_DWG.pdf")</f>
        <v/>
      </c>
      <c r="AC236" s="10" t="str">
        <f aca="false">IF(A236="","",IF(Y236="Y",A236&amp;"_STAAD.std","n/a"))</f>
        <v/>
      </c>
      <c r="AD236" s="10" t="str">
        <f aca="false">IF(A236="","",A236&amp;"_CALC.xlsx")</f>
        <v/>
      </c>
      <c r="AE236" s="10" t="str">
        <f aca="false">IF(A236="","",A236&amp;"_CALC.pdf")</f>
        <v/>
      </c>
      <c r="AF236" s="9"/>
      <c r="AG236" s="9"/>
      <c r="AH236" s="41"/>
      <c r="AI236" s="41"/>
      <c r="AJ236" s="41"/>
      <c r="AK236" s="41"/>
      <c r="AL236" s="41"/>
      <c r="AM236" s="38" t="str">
        <f aca="false">IF(OR(C236="",G236=""),"",IF(G236&lt;=IF(OR(C236="Soldier Pile &amp; Timber Lagging",C236="Trench Shoring Box",C236="Open Cut (battered)"),SG_Criteria!$B$34,SG_Criteria!$B$33),"No ERSS submission",IF(G236&lt;=SG_Criteria!$B$35,"QP(ST)",IF(G236&lt;=SG_Criteria!$B$36,"QP(ST) + AC","Geotechnical building works: QP(Geo) + AC"))))</f>
        <v/>
      </c>
      <c r="AN236" s="38" t="str">
        <f aca="false">IF(C236="","",IF(LEN(IF(AND(Q236&lt;&gt;"",Q236&lt;SG_Criteria!$B$37),"FAIL: base stability FOS &lt; "&amp;SG_Criteria!$B$37&amp;". ","")&amp;IF(AND(D236="Manhole",G236&gt;SG_Criteria!$B$36),"NOTE: BCA lists sewer manholes (pipe &lt;= 2 m dia) &gt; 6 m as non-GBW: QP(ST) + AC. ","")&amp;IF(AND(C236="Trench Shoring Box",H236="Kallang Formation (marine clay)"),"NOTE: check base heave / ground loss for shoring box in marine clay. ","")&amp;IF(AND(C236="Steel Sheet Pile Cofferdam",N(M236)&lt;G236*0.5),"NOTE: short toe embedment, check. ",""))=0,"OK",IF(AND(Q236&lt;&gt;"",Q236&lt;SG_Criteria!$B$37),"FAIL: base stability FOS &lt; "&amp;SG_Criteria!$B$37&amp;". ","")&amp;IF(AND(D236="Manhole",G236&gt;SG_Criteria!$B$36),"NOTE: BCA lists sewer manholes (pipe &lt;= 2 m dia) &gt; 6 m as non-GBW: QP(ST) + AC. ","")&amp;IF(AND(C236="Trench Shoring Box",H236="Kallang Formation (marine clay)"),"NOTE: check base heave / ground loss for shoring box in marine clay. ","")&amp;IF(AND(C236="Steel Sheet Pile Cofferdam",N(M236)&lt;G236*0.5),"NOTE: short toe embedment, check. ","")))</f>
        <v/>
      </c>
      <c r="AO236" s="9"/>
      <c r="AP236" s="9"/>
      <c r="AQ236" s="9"/>
      <c r="AR236" s="9"/>
      <c r="AS236" s="9"/>
      <c r="AT236" s="31"/>
      <c r="AU236" s="10" t="str">
        <f aca="false">IF(C236="","",IF(AND(V236="Approved",ISERROR(SEARCH("FAIL",AN236))),"Y","N"))</f>
        <v/>
      </c>
      <c r="AV236" s="10" t="str">
        <f aca="false">IF(C236="","",C236&amp;"|"&amp;G236&amp;"|"&amp;E236&amp;"|"&amp;H236&amp;"|"&amp;AU236)</f>
        <v/>
      </c>
    </row>
    <row r="237" customFormat="false" ht="15" hidden="false" customHeight="false" outlineLevel="0" collapsed="false">
      <c r="A237" s="10" t="str">
        <f aca="false">IF(C237="","","ERSS-"&amp;IFERROR(VLOOKUP(C237,Lists!$AK$4:$AL$21,2,0),"??")&amp;"-"&amp;TEXT(E237,"0000")&amp;"x"&amp;TEXT(F237,"0000")&amp;"-D"&amp;TEXT(G237*1000,"0000")&amp;"-"&amp;IFERROR(VLOOKUP(H237,Lists!$Y$4:$Z$21,2,0),"??")&amp;"-"&amp;U237)</f>
        <v/>
      </c>
      <c r="B237" s="10" t="str">
        <f aca="false">IF(C237="","",C237&amp;" for "&amp;D237&amp;", "&amp;E237&amp;" x "&amp;F237&amp;" pit, "&amp;TEXT(G237,"0.0")&amp;" m deep, "&amp;H237)</f>
        <v/>
      </c>
      <c r="C237" s="9"/>
      <c r="D237" s="9"/>
      <c r="E237" s="40"/>
      <c r="F237" s="40"/>
      <c r="G237" s="43"/>
      <c r="H237" s="9"/>
      <c r="I237" s="43"/>
      <c r="J237" s="40"/>
      <c r="K237" s="9"/>
      <c r="L237" s="43"/>
      <c r="M237" s="43"/>
      <c r="N237" s="40"/>
      <c r="O237" s="9"/>
      <c r="P237" s="9"/>
      <c r="Q237" s="41"/>
      <c r="R237" s="9"/>
      <c r="S237" s="40"/>
      <c r="T237" s="9"/>
      <c r="U237" s="9"/>
      <c r="V237" s="9"/>
      <c r="W237" s="9"/>
      <c r="X237" s="9"/>
      <c r="Y237" s="9"/>
      <c r="Z237" s="10" t="str">
        <f aca="false">IF(A237="","",SG_Criteria!$B$6&amp;SG_Criteria!$B$11&amp;"\"&amp;A237&amp;"\")</f>
        <v/>
      </c>
      <c r="AA237" s="10" t="str">
        <f aca="false">IF(A237="","",A237&amp;"_CAD.dwg")</f>
        <v/>
      </c>
      <c r="AB237" s="10" t="str">
        <f aca="false">IF(A237="","",A237&amp;"_DWG.pdf")</f>
        <v/>
      </c>
      <c r="AC237" s="10" t="str">
        <f aca="false">IF(A237="","",IF(Y237="Y",A237&amp;"_STAAD.std","n/a"))</f>
        <v/>
      </c>
      <c r="AD237" s="10" t="str">
        <f aca="false">IF(A237="","",A237&amp;"_CALC.xlsx")</f>
        <v/>
      </c>
      <c r="AE237" s="10" t="str">
        <f aca="false">IF(A237="","",A237&amp;"_CALC.pdf")</f>
        <v/>
      </c>
      <c r="AF237" s="9"/>
      <c r="AG237" s="9"/>
      <c r="AH237" s="41"/>
      <c r="AI237" s="41"/>
      <c r="AJ237" s="41"/>
      <c r="AK237" s="41"/>
      <c r="AL237" s="41"/>
      <c r="AM237" s="38" t="str">
        <f aca="false">IF(OR(C237="",G237=""),"",IF(G237&lt;=IF(OR(C237="Soldier Pile &amp; Timber Lagging",C237="Trench Shoring Box",C237="Open Cut (battered)"),SG_Criteria!$B$34,SG_Criteria!$B$33),"No ERSS submission",IF(G237&lt;=SG_Criteria!$B$35,"QP(ST)",IF(G237&lt;=SG_Criteria!$B$36,"QP(ST) + AC","Geotechnical building works: QP(Geo) + AC"))))</f>
        <v/>
      </c>
      <c r="AN237" s="38" t="str">
        <f aca="false">IF(C237="","",IF(LEN(IF(AND(Q237&lt;&gt;"",Q237&lt;SG_Criteria!$B$37),"FAIL: base stability FOS &lt; "&amp;SG_Criteria!$B$37&amp;". ","")&amp;IF(AND(D237="Manhole",G237&gt;SG_Criteria!$B$36),"NOTE: BCA lists sewer manholes (pipe &lt;= 2 m dia) &gt; 6 m as non-GBW: QP(ST) + AC. ","")&amp;IF(AND(C237="Trench Shoring Box",H237="Kallang Formation (marine clay)"),"NOTE: check base heave / ground loss for shoring box in marine clay. ","")&amp;IF(AND(C237="Steel Sheet Pile Cofferdam",N(M237)&lt;G237*0.5),"NOTE: short toe embedment, check. ",""))=0,"OK",IF(AND(Q237&lt;&gt;"",Q237&lt;SG_Criteria!$B$37),"FAIL: base stability FOS &lt; "&amp;SG_Criteria!$B$37&amp;". ","")&amp;IF(AND(D237="Manhole",G237&gt;SG_Criteria!$B$36),"NOTE: BCA lists sewer manholes (pipe &lt;= 2 m dia) &gt; 6 m as non-GBW: QP(ST) + AC. ","")&amp;IF(AND(C237="Trench Shoring Box",H237="Kallang Formation (marine clay)"),"NOTE: check base heave / ground loss for shoring box in marine clay. ","")&amp;IF(AND(C237="Steel Sheet Pile Cofferdam",N(M237)&lt;G237*0.5),"NOTE: short toe embedment, check. ","")))</f>
        <v/>
      </c>
      <c r="AO237" s="9"/>
      <c r="AP237" s="9"/>
      <c r="AQ237" s="9"/>
      <c r="AR237" s="9"/>
      <c r="AS237" s="9"/>
      <c r="AT237" s="31"/>
      <c r="AU237" s="10" t="str">
        <f aca="false">IF(C237="","",IF(AND(V237="Approved",ISERROR(SEARCH("FAIL",AN237))),"Y","N"))</f>
        <v/>
      </c>
      <c r="AV237" s="10" t="str">
        <f aca="false">IF(C237="","",C237&amp;"|"&amp;G237&amp;"|"&amp;E237&amp;"|"&amp;H237&amp;"|"&amp;AU237)</f>
        <v/>
      </c>
    </row>
    <row r="238" customFormat="false" ht="15" hidden="false" customHeight="false" outlineLevel="0" collapsed="false">
      <c r="A238" s="10" t="str">
        <f aca="false">IF(C238="","","ERSS-"&amp;IFERROR(VLOOKUP(C238,Lists!$AK$4:$AL$21,2,0),"??")&amp;"-"&amp;TEXT(E238,"0000")&amp;"x"&amp;TEXT(F238,"0000")&amp;"-D"&amp;TEXT(G238*1000,"0000")&amp;"-"&amp;IFERROR(VLOOKUP(H238,Lists!$Y$4:$Z$21,2,0),"??")&amp;"-"&amp;U238)</f>
        <v/>
      </c>
      <c r="B238" s="10" t="str">
        <f aca="false">IF(C238="","",C238&amp;" for "&amp;D238&amp;", "&amp;E238&amp;" x "&amp;F238&amp;" pit, "&amp;TEXT(G238,"0.0")&amp;" m deep, "&amp;H238)</f>
        <v/>
      </c>
      <c r="C238" s="9"/>
      <c r="D238" s="9"/>
      <c r="E238" s="40"/>
      <c r="F238" s="40"/>
      <c r="G238" s="43"/>
      <c r="H238" s="9"/>
      <c r="I238" s="43"/>
      <c r="J238" s="40"/>
      <c r="K238" s="9"/>
      <c r="L238" s="43"/>
      <c r="M238" s="43"/>
      <c r="N238" s="40"/>
      <c r="O238" s="9"/>
      <c r="P238" s="9"/>
      <c r="Q238" s="41"/>
      <c r="R238" s="9"/>
      <c r="S238" s="40"/>
      <c r="T238" s="9"/>
      <c r="U238" s="9"/>
      <c r="V238" s="9"/>
      <c r="W238" s="9"/>
      <c r="X238" s="9"/>
      <c r="Y238" s="9"/>
      <c r="Z238" s="10" t="str">
        <f aca="false">IF(A238="","",SG_Criteria!$B$6&amp;SG_Criteria!$B$11&amp;"\"&amp;A238&amp;"\")</f>
        <v/>
      </c>
      <c r="AA238" s="10" t="str">
        <f aca="false">IF(A238="","",A238&amp;"_CAD.dwg")</f>
        <v/>
      </c>
      <c r="AB238" s="10" t="str">
        <f aca="false">IF(A238="","",A238&amp;"_DWG.pdf")</f>
        <v/>
      </c>
      <c r="AC238" s="10" t="str">
        <f aca="false">IF(A238="","",IF(Y238="Y",A238&amp;"_STAAD.std","n/a"))</f>
        <v/>
      </c>
      <c r="AD238" s="10" t="str">
        <f aca="false">IF(A238="","",A238&amp;"_CALC.xlsx")</f>
        <v/>
      </c>
      <c r="AE238" s="10" t="str">
        <f aca="false">IF(A238="","",A238&amp;"_CALC.pdf")</f>
        <v/>
      </c>
      <c r="AF238" s="9"/>
      <c r="AG238" s="9"/>
      <c r="AH238" s="41"/>
      <c r="AI238" s="41"/>
      <c r="AJ238" s="41"/>
      <c r="AK238" s="41"/>
      <c r="AL238" s="41"/>
      <c r="AM238" s="38" t="str">
        <f aca="false">IF(OR(C238="",G238=""),"",IF(G238&lt;=IF(OR(C238="Soldier Pile &amp; Timber Lagging",C238="Trench Shoring Box",C238="Open Cut (battered)"),SG_Criteria!$B$34,SG_Criteria!$B$33),"No ERSS submission",IF(G238&lt;=SG_Criteria!$B$35,"QP(ST)",IF(G238&lt;=SG_Criteria!$B$36,"QP(ST) + AC","Geotechnical building works: QP(Geo) + AC"))))</f>
        <v/>
      </c>
      <c r="AN238" s="38" t="str">
        <f aca="false">IF(C238="","",IF(LEN(IF(AND(Q238&lt;&gt;"",Q238&lt;SG_Criteria!$B$37),"FAIL: base stability FOS &lt; "&amp;SG_Criteria!$B$37&amp;". ","")&amp;IF(AND(D238="Manhole",G238&gt;SG_Criteria!$B$36),"NOTE: BCA lists sewer manholes (pipe &lt;= 2 m dia) &gt; 6 m as non-GBW: QP(ST) + AC. ","")&amp;IF(AND(C238="Trench Shoring Box",H238="Kallang Formation (marine clay)"),"NOTE: check base heave / ground loss for shoring box in marine clay. ","")&amp;IF(AND(C238="Steel Sheet Pile Cofferdam",N(M238)&lt;G238*0.5),"NOTE: short toe embedment, check. ",""))=0,"OK",IF(AND(Q238&lt;&gt;"",Q238&lt;SG_Criteria!$B$37),"FAIL: base stability FOS &lt; "&amp;SG_Criteria!$B$37&amp;". ","")&amp;IF(AND(D238="Manhole",G238&gt;SG_Criteria!$B$36),"NOTE: BCA lists sewer manholes (pipe &lt;= 2 m dia) &gt; 6 m as non-GBW: QP(ST) + AC. ","")&amp;IF(AND(C238="Trench Shoring Box",H238="Kallang Formation (marine clay)"),"NOTE: check base heave / ground loss for shoring box in marine clay. ","")&amp;IF(AND(C238="Steel Sheet Pile Cofferdam",N(M238)&lt;G238*0.5),"NOTE: short toe embedment, check. ","")))</f>
        <v/>
      </c>
      <c r="AO238" s="9"/>
      <c r="AP238" s="9"/>
      <c r="AQ238" s="9"/>
      <c r="AR238" s="9"/>
      <c r="AS238" s="9"/>
      <c r="AT238" s="31"/>
      <c r="AU238" s="10" t="str">
        <f aca="false">IF(C238="","",IF(AND(V238="Approved",ISERROR(SEARCH("FAIL",AN238))),"Y","N"))</f>
        <v/>
      </c>
      <c r="AV238" s="10" t="str">
        <f aca="false">IF(C238="","",C238&amp;"|"&amp;G238&amp;"|"&amp;E238&amp;"|"&amp;H238&amp;"|"&amp;AU238)</f>
        <v/>
      </c>
    </row>
    <row r="239" customFormat="false" ht="15" hidden="false" customHeight="false" outlineLevel="0" collapsed="false">
      <c r="A239" s="10" t="str">
        <f aca="false">IF(C239="","","ERSS-"&amp;IFERROR(VLOOKUP(C239,Lists!$AK$4:$AL$21,2,0),"??")&amp;"-"&amp;TEXT(E239,"0000")&amp;"x"&amp;TEXT(F239,"0000")&amp;"-D"&amp;TEXT(G239*1000,"0000")&amp;"-"&amp;IFERROR(VLOOKUP(H239,Lists!$Y$4:$Z$21,2,0),"??")&amp;"-"&amp;U239)</f>
        <v/>
      </c>
      <c r="B239" s="10" t="str">
        <f aca="false">IF(C239="","",C239&amp;" for "&amp;D239&amp;", "&amp;E239&amp;" x "&amp;F239&amp;" pit, "&amp;TEXT(G239,"0.0")&amp;" m deep, "&amp;H239)</f>
        <v/>
      </c>
      <c r="C239" s="9"/>
      <c r="D239" s="9"/>
      <c r="E239" s="40"/>
      <c r="F239" s="40"/>
      <c r="G239" s="43"/>
      <c r="H239" s="9"/>
      <c r="I239" s="43"/>
      <c r="J239" s="40"/>
      <c r="K239" s="9"/>
      <c r="L239" s="43"/>
      <c r="M239" s="43"/>
      <c r="N239" s="40"/>
      <c r="O239" s="9"/>
      <c r="P239" s="9"/>
      <c r="Q239" s="41"/>
      <c r="R239" s="9"/>
      <c r="S239" s="40"/>
      <c r="T239" s="9"/>
      <c r="U239" s="9"/>
      <c r="V239" s="9"/>
      <c r="W239" s="9"/>
      <c r="X239" s="9"/>
      <c r="Y239" s="9"/>
      <c r="Z239" s="10" t="str">
        <f aca="false">IF(A239="","",SG_Criteria!$B$6&amp;SG_Criteria!$B$11&amp;"\"&amp;A239&amp;"\")</f>
        <v/>
      </c>
      <c r="AA239" s="10" t="str">
        <f aca="false">IF(A239="","",A239&amp;"_CAD.dwg")</f>
        <v/>
      </c>
      <c r="AB239" s="10" t="str">
        <f aca="false">IF(A239="","",A239&amp;"_DWG.pdf")</f>
        <v/>
      </c>
      <c r="AC239" s="10" t="str">
        <f aca="false">IF(A239="","",IF(Y239="Y",A239&amp;"_STAAD.std","n/a"))</f>
        <v/>
      </c>
      <c r="AD239" s="10" t="str">
        <f aca="false">IF(A239="","",A239&amp;"_CALC.xlsx")</f>
        <v/>
      </c>
      <c r="AE239" s="10" t="str">
        <f aca="false">IF(A239="","",A239&amp;"_CALC.pdf")</f>
        <v/>
      </c>
      <c r="AF239" s="9"/>
      <c r="AG239" s="9"/>
      <c r="AH239" s="41"/>
      <c r="AI239" s="41"/>
      <c r="AJ239" s="41"/>
      <c r="AK239" s="41"/>
      <c r="AL239" s="41"/>
      <c r="AM239" s="38" t="str">
        <f aca="false">IF(OR(C239="",G239=""),"",IF(G239&lt;=IF(OR(C239="Soldier Pile &amp; Timber Lagging",C239="Trench Shoring Box",C239="Open Cut (battered)"),SG_Criteria!$B$34,SG_Criteria!$B$33),"No ERSS submission",IF(G239&lt;=SG_Criteria!$B$35,"QP(ST)",IF(G239&lt;=SG_Criteria!$B$36,"QP(ST) + AC","Geotechnical building works: QP(Geo) + AC"))))</f>
        <v/>
      </c>
      <c r="AN239" s="38" t="str">
        <f aca="false">IF(C239="","",IF(LEN(IF(AND(Q239&lt;&gt;"",Q239&lt;SG_Criteria!$B$37),"FAIL: base stability FOS &lt; "&amp;SG_Criteria!$B$37&amp;". ","")&amp;IF(AND(D239="Manhole",G239&gt;SG_Criteria!$B$36),"NOTE: BCA lists sewer manholes (pipe &lt;= 2 m dia) &gt; 6 m as non-GBW: QP(ST) + AC. ","")&amp;IF(AND(C239="Trench Shoring Box",H239="Kallang Formation (marine clay)"),"NOTE: check base heave / ground loss for shoring box in marine clay. ","")&amp;IF(AND(C239="Steel Sheet Pile Cofferdam",N(M239)&lt;G239*0.5),"NOTE: short toe embedment, check. ",""))=0,"OK",IF(AND(Q239&lt;&gt;"",Q239&lt;SG_Criteria!$B$37),"FAIL: base stability FOS &lt; "&amp;SG_Criteria!$B$37&amp;". ","")&amp;IF(AND(D239="Manhole",G239&gt;SG_Criteria!$B$36),"NOTE: BCA lists sewer manholes (pipe &lt;= 2 m dia) &gt; 6 m as non-GBW: QP(ST) + AC. ","")&amp;IF(AND(C239="Trench Shoring Box",H239="Kallang Formation (marine clay)"),"NOTE: check base heave / ground loss for shoring box in marine clay. ","")&amp;IF(AND(C239="Steel Sheet Pile Cofferdam",N(M239)&lt;G239*0.5),"NOTE: short toe embedment, check. ","")))</f>
        <v/>
      </c>
      <c r="AO239" s="9"/>
      <c r="AP239" s="9"/>
      <c r="AQ239" s="9"/>
      <c r="AR239" s="9"/>
      <c r="AS239" s="9"/>
      <c r="AT239" s="31"/>
      <c r="AU239" s="10" t="str">
        <f aca="false">IF(C239="","",IF(AND(V239="Approved",ISERROR(SEARCH("FAIL",AN239))),"Y","N"))</f>
        <v/>
      </c>
      <c r="AV239" s="10" t="str">
        <f aca="false">IF(C239="","",C239&amp;"|"&amp;G239&amp;"|"&amp;E239&amp;"|"&amp;H239&amp;"|"&amp;AU239)</f>
        <v/>
      </c>
    </row>
    <row r="240" customFormat="false" ht="15" hidden="false" customHeight="false" outlineLevel="0" collapsed="false">
      <c r="A240" s="10" t="str">
        <f aca="false">IF(C240="","","ERSS-"&amp;IFERROR(VLOOKUP(C240,Lists!$AK$4:$AL$21,2,0),"??")&amp;"-"&amp;TEXT(E240,"0000")&amp;"x"&amp;TEXT(F240,"0000")&amp;"-D"&amp;TEXT(G240*1000,"0000")&amp;"-"&amp;IFERROR(VLOOKUP(H240,Lists!$Y$4:$Z$21,2,0),"??")&amp;"-"&amp;U240)</f>
        <v/>
      </c>
      <c r="B240" s="10" t="str">
        <f aca="false">IF(C240="","",C240&amp;" for "&amp;D240&amp;", "&amp;E240&amp;" x "&amp;F240&amp;" pit, "&amp;TEXT(G240,"0.0")&amp;" m deep, "&amp;H240)</f>
        <v/>
      </c>
      <c r="C240" s="9"/>
      <c r="D240" s="9"/>
      <c r="E240" s="40"/>
      <c r="F240" s="40"/>
      <c r="G240" s="43"/>
      <c r="H240" s="9"/>
      <c r="I240" s="43"/>
      <c r="J240" s="40"/>
      <c r="K240" s="9"/>
      <c r="L240" s="43"/>
      <c r="M240" s="43"/>
      <c r="N240" s="40"/>
      <c r="O240" s="9"/>
      <c r="P240" s="9"/>
      <c r="Q240" s="41"/>
      <c r="R240" s="9"/>
      <c r="S240" s="40"/>
      <c r="T240" s="9"/>
      <c r="U240" s="9"/>
      <c r="V240" s="9"/>
      <c r="W240" s="9"/>
      <c r="X240" s="9"/>
      <c r="Y240" s="9"/>
      <c r="Z240" s="10" t="str">
        <f aca="false">IF(A240="","",SG_Criteria!$B$6&amp;SG_Criteria!$B$11&amp;"\"&amp;A240&amp;"\")</f>
        <v/>
      </c>
      <c r="AA240" s="10" t="str">
        <f aca="false">IF(A240="","",A240&amp;"_CAD.dwg")</f>
        <v/>
      </c>
      <c r="AB240" s="10" t="str">
        <f aca="false">IF(A240="","",A240&amp;"_DWG.pdf")</f>
        <v/>
      </c>
      <c r="AC240" s="10" t="str">
        <f aca="false">IF(A240="","",IF(Y240="Y",A240&amp;"_STAAD.std","n/a"))</f>
        <v/>
      </c>
      <c r="AD240" s="10" t="str">
        <f aca="false">IF(A240="","",A240&amp;"_CALC.xlsx")</f>
        <v/>
      </c>
      <c r="AE240" s="10" t="str">
        <f aca="false">IF(A240="","",A240&amp;"_CALC.pdf")</f>
        <v/>
      </c>
      <c r="AF240" s="9"/>
      <c r="AG240" s="9"/>
      <c r="AH240" s="41"/>
      <c r="AI240" s="41"/>
      <c r="AJ240" s="41"/>
      <c r="AK240" s="41"/>
      <c r="AL240" s="41"/>
      <c r="AM240" s="38" t="str">
        <f aca="false">IF(OR(C240="",G240=""),"",IF(G240&lt;=IF(OR(C240="Soldier Pile &amp; Timber Lagging",C240="Trench Shoring Box",C240="Open Cut (battered)"),SG_Criteria!$B$34,SG_Criteria!$B$33),"No ERSS submission",IF(G240&lt;=SG_Criteria!$B$35,"QP(ST)",IF(G240&lt;=SG_Criteria!$B$36,"QP(ST) + AC","Geotechnical building works: QP(Geo) + AC"))))</f>
        <v/>
      </c>
      <c r="AN240" s="38" t="str">
        <f aca="false">IF(C240="","",IF(LEN(IF(AND(Q240&lt;&gt;"",Q240&lt;SG_Criteria!$B$37),"FAIL: base stability FOS &lt; "&amp;SG_Criteria!$B$37&amp;". ","")&amp;IF(AND(D240="Manhole",G240&gt;SG_Criteria!$B$36),"NOTE: BCA lists sewer manholes (pipe &lt;= 2 m dia) &gt; 6 m as non-GBW: QP(ST) + AC. ","")&amp;IF(AND(C240="Trench Shoring Box",H240="Kallang Formation (marine clay)"),"NOTE: check base heave / ground loss for shoring box in marine clay. ","")&amp;IF(AND(C240="Steel Sheet Pile Cofferdam",N(M240)&lt;G240*0.5),"NOTE: short toe embedment, check. ",""))=0,"OK",IF(AND(Q240&lt;&gt;"",Q240&lt;SG_Criteria!$B$37),"FAIL: base stability FOS &lt; "&amp;SG_Criteria!$B$37&amp;". ","")&amp;IF(AND(D240="Manhole",G240&gt;SG_Criteria!$B$36),"NOTE: BCA lists sewer manholes (pipe &lt;= 2 m dia) &gt; 6 m as non-GBW: QP(ST) + AC. ","")&amp;IF(AND(C240="Trench Shoring Box",H240="Kallang Formation (marine clay)"),"NOTE: check base heave / ground loss for shoring box in marine clay. ","")&amp;IF(AND(C240="Steel Sheet Pile Cofferdam",N(M240)&lt;G240*0.5),"NOTE: short toe embedment, check. ","")))</f>
        <v/>
      </c>
      <c r="AO240" s="9"/>
      <c r="AP240" s="9"/>
      <c r="AQ240" s="9"/>
      <c r="AR240" s="9"/>
      <c r="AS240" s="9"/>
      <c r="AT240" s="31"/>
      <c r="AU240" s="10" t="str">
        <f aca="false">IF(C240="","",IF(AND(V240="Approved",ISERROR(SEARCH("FAIL",AN240))),"Y","N"))</f>
        <v/>
      </c>
      <c r="AV240" s="10" t="str">
        <f aca="false">IF(C240="","",C240&amp;"|"&amp;G240&amp;"|"&amp;E240&amp;"|"&amp;H240&amp;"|"&amp;AU240)</f>
        <v/>
      </c>
    </row>
    <row r="241" customFormat="false" ht="15" hidden="false" customHeight="false" outlineLevel="0" collapsed="false">
      <c r="A241" s="10" t="str">
        <f aca="false">IF(C241="","","ERSS-"&amp;IFERROR(VLOOKUP(C241,Lists!$AK$4:$AL$21,2,0),"??")&amp;"-"&amp;TEXT(E241,"0000")&amp;"x"&amp;TEXT(F241,"0000")&amp;"-D"&amp;TEXT(G241*1000,"0000")&amp;"-"&amp;IFERROR(VLOOKUP(H241,Lists!$Y$4:$Z$21,2,0),"??")&amp;"-"&amp;U241)</f>
        <v/>
      </c>
      <c r="B241" s="10" t="str">
        <f aca="false">IF(C241="","",C241&amp;" for "&amp;D241&amp;", "&amp;E241&amp;" x "&amp;F241&amp;" pit, "&amp;TEXT(G241,"0.0")&amp;" m deep, "&amp;H241)</f>
        <v/>
      </c>
      <c r="C241" s="9"/>
      <c r="D241" s="9"/>
      <c r="E241" s="40"/>
      <c r="F241" s="40"/>
      <c r="G241" s="43"/>
      <c r="H241" s="9"/>
      <c r="I241" s="43"/>
      <c r="J241" s="40"/>
      <c r="K241" s="9"/>
      <c r="L241" s="43"/>
      <c r="M241" s="43"/>
      <c r="N241" s="40"/>
      <c r="O241" s="9"/>
      <c r="P241" s="9"/>
      <c r="Q241" s="41"/>
      <c r="R241" s="9"/>
      <c r="S241" s="40"/>
      <c r="T241" s="9"/>
      <c r="U241" s="9"/>
      <c r="V241" s="9"/>
      <c r="W241" s="9"/>
      <c r="X241" s="9"/>
      <c r="Y241" s="9"/>
      <c r="Z241" s="10" t="str">
        <f aca="false">IF(A241="","",SG_Criteria!$B$6&amp;SG_Criteria!$B$11&amp;"\"&amp;A241&amp;"\")</f>
        <v/>
      </c>
      <c r="AA241" s="10" t="str">
        <f aca="false">IF(A241="","",A241&amp;"_CAD.dwg")</f>
        <v/>
      </c>
      <c r="AB241" s="10" t="str">
        <f aca="false">IF(A241="","",A241&amp;"_DWG.pdf")</f>
        <v/>
      </c>
      <c r="AC241" s="10" t="str">
        <f aca="false">IF(A241="","",IF(Y241="Y",A241&amp;"_STAAD.std","n/a"))</f>
        <v/>
      </c>
      <c r="AD241" s="10" t="str">
        <f aca="false">IF(A241="","",A241&amp;"_CALC.xlsx")</f>
        <v/>
      </c>
      <c r="AE241" s="10" t="str">
        <f aca="false">IF(A241="","",A241&amp;"_CALC.pdf")</f>
        <v/>
      </c>
      <c r="AF241" s="9"/>
      <c r="AG241" s="9"/>
      <c r="AH241" s="41"/>
      <c r="AI241" s="41"/>
      <c r="AJ241" s="41"/>
      <c r="AK241" s="41"/>
      <c r="AL241" s="41"/>
      <c r="AM241" s="38" t="str">
        <f aca="false">IF(OR(C241="",G241=""),"",IF(G241&lt;=IF(OR(C241="Soldier Pile &amp; Timber Lagging",C241="Trench Shoring Box",C241="Open Cut (battered)"),SG_Criteria!$B$34,SG_Criteria!$B$33),"No ERSS submission",IF(G241&lt;=SG_Criteria!$B$35,"QP(ST)",IF(G241&lt;=SG_Criteria!$B$36,"QP(ST) + AC","Geotechnical building works: QP(Geo) + AC"))))</f>
        <v/>
      </c>
      <c r="AN241" s="38" t="str">
        <f aca="false">IF(C241="","",IF(LEN(IF(AND(Q241&lt;&gt;"",Q241&lt;SG_Criteria!$B$37),"FAIL: base stability FOS &lt; "&amp;SG_Criteria!$B$37&amp;". ","")&amp;IF(AND(D241="Manhole",G241&gt;SG_Criteria!$B$36),"NOTE: BCA lists sewer manholes (pipe &lt;= 2 m dia) &gt; 6 m as non-GBW: QP(ST) + AC. ","")&amp;IF(AND(C241="Trench Shoring Box",H241="Kallang Formation (marine clay)"),"NOTE: check base heave / ground loss for shoring box in marine clay. ","")&amp;IF(AND(C241="Steel Sheet Pile Cofferdam",N(M241)&lt;G241*0.5),"NOTE: short toe embedment, check. ",""))=0,"OK",IF(AND(Q241&lt;&gt;"",Q241&lt;SG_Criteria!$B$37),"FAIL: base stability FOS &lt; "&amp;SG_Criteria!$B$37&amp;". ","")&amp;IF(AND(D241="Manhole",G241&gt;SG_Criteria!$B$36),"NOTE: BCA lists sewer manholes (pipe &lt;= 2 m dia) &gt; 6 m as non-GBW: QP(ST) + AC. ","")&amp;IF(AND(C241="Trench Shoring Box",H241="Kallang Formation (marine clay)"),"NOTE: check base heave / ground loss for shoring box in marine clay. ","")&amp;IF(AND(C241="Steel Sheet Pile Cofferdam",N(M241)&lt;G241*0.5),"NOTE: short toe embedment, check. ","")))</f>
        <v/>
      </c>
      <c r="AO241" s="9"/>
      <c r="AP241" s="9"/>
      <c r="AQ241" s="9"/>
      <c r="AR241" s="9"/>
      <c r="AS241" s="9"/>
      <c r="AT241" s="31"/>
      <c r="AU241" s="10" t="str">
        <f aca="false">IF(C241="","",IF(AND(V241="Approved",ISERROR(SEARCH("FAIL",AN241))),"Y","N"))</f>
        <v/>
      </c>
      <c r="AV241" s="10" t="str">
        <f aca="false">IF(C241="","",C241&amp;"|"&amp;G241&amp;"|"&amp;E241&amp;"|"&amp;H241&amp;"|"&amp;AU241)</f>
        <v/>
      </c>
    </row>
    <row r="242" customFormat="false" ht="15" hidden="false" customHeight="false" outlineLevel="0" collapsed="false">
      <c r="A242" s="10" t="str">
        <f aca="false">IF(C242="","","ERSS-"&amp;IFERROR(VLOOKUP(C242,Lists!$AK$4:$AL$21,2,0),"??")&amp;"-"&amp;TEXT(E242,"0000")&amp;"x"&amp;TEXT(F242,"0000")&amp;"-D"&amp;TEXT(G242*1000,"0000")&amp;"-"&amp;IFERROR(VLOOKUP(H242,Lists!$Y$4:$Z$21,2,0),"??")&amp;"-"&amp;U242)</f>
        <v/>
      </c>
      <c r="B242" s="10" t="str">
        <f aca="false">IF(C242="","",C242&amp;" for "&amp;D242&amp;", "&amp;E242&amp;" x "&amp;F242&amp;" pit, "&amp;TEXT(G242,"0.0")&amp;" m deep, "&amp;H242)</f>
        <v/>
      </c>
      <c r="C242" s="9"/>
      <c r="D242" s="9"/>
      <c r="E242" s="40"/>
      <c r="F242" s="40"/>
      <c r="G242" s="43"/>
      <c r="H242" s="9"/>
      <c r="I242" s="43"/>
      <c r="J242" s="40"/>
      <c r="K242" s="9"/>
      <c r="L242" s="43"/>
      <c r="M242" s="43"/>
      <c r="N242" s="40"/>
      <c r="O242" s="9"/>
      <c r="P242" s="9"/>
      <c r="Q242" s="41"/>
      <c r="R242" s="9"/>
      <c r="S242" s="40"/>
      <c r="T242" s="9"/>
      <c r="U242" s="9"/>
      <c r="V242" s="9"/>
      <c r="W242" s="9"/>
      <c r="X242" s="9"/>
      <c r="Y242" s="9"/>
      <c r="Z242" s="10" t="str">
        <f aca="false">IF(A242="","",SG_Criteria!$B$6&amp;SG_Criteria!$B$11&amp;"\"&amp;A242&amp;"\")</f>
        <v/>
      </c>
      <c r="AA242" s="10" t="str">
        <f aca="false">IF(A242="","",A242&amp;"_CAD.dwg")</f>
        <v/>
      </c>
      <c r="AB242" s="10" t="str">
        <f aca="false">IF(A242="","",A242&amp;"_DWG.pdf")</f>
        <v/>
      </c>
      <c r="AC242" s="10" t="str">
        <f aca="false">IF(A242="","",IF(Y242="Y",A242&amp;"_STAAD.std","n/a"))</f>
        <v/>
      </c>
      <c r="AD242" s="10" t="str">
        <f aca="false">IF(A242="","",A242&amp;"_CALC.xlsx")</f>
        <v/>
      </c>
      <c r="AE242" s="10" t="str">
        <f aca="false">IF(A242="","",A242&amp;"_CALC.pdf")</f>
        <v/>
      </c>
      <c r="AF242" s="9"/>
      <c r="AG242" s="9"/>
      <c r="AH242" s="41"/>
      <c r="AI242" s="41"/>
      <c r="AJ242" s="41"/>
      <c r="AK242" s="41"/>
      <c r="AL242" s="41"/>
      <c r="AM242" s="38" t="str">
        <f aca="false">IF(OR(C242="",G242=""),"",IF(G242&lt;=IF(OR(C242="Soldier Pile &amp; Timber Lagging",C242="Trench Shoring Box",C242="Open Cut (battered)"),SG_Criteria!$B$34,SG_Criteria!$B$33),"No ERSS submission",IF(G242&lt;=SG_Criteria!$B$35,"QP(ST)",IF(G242&lt;=SG_Criteria!$B$36,"QP(ST) + AC","Geotechnical building works: QP(Geo) + AC"))))</f>
        <v/>
      </c>
      <c r="AN242" s="38" t="str">
        <f aca="false">IF(C242="","",IF(LEN(IF(AND(Q242&lt;&gt;"",Q242&lt;SG_Criteria!$B$37),"FAIL: base stability FOS &lt; "&amp;SG_Criteria!$B$37&amp;". ","")&amp;IF(AND(D242="Manhole",G242&gt;SG_Criteria!$B$36),"NOTE: BCA lists sewer manholes (pipe &lt;= 2 m dia) &gt; 6 m as non-GBW: QP(ST) + AC. ","")&amp;IF(AND(C242="Trench Shoring Box",H242="Kallang Formation (marine clay)"),"NOTE: check base heave / ground loss for shoring box in marine clay. ","")&amp;IF(AND(C242="Steel Sheet Pile Cofferdam",N(M242)&lt;G242*0.5),"NOTE: short toe embedment, check. ",""))=0,"OK",IF(AND(Q242&lt;&gt;"",Q242&lt;SG_Criteria!$B$37),"FAIL: base stability FOS &lt; "&amp;SG_Criteria!$B$37&amp;". ","")&amp;IF(AND(D242="Manhole",G242&gt;SG_Criteria!$B$36),"NOTE: BCA lists sewer manholes (pipe &lt;= 2 m dia) &gt; 6 m as non-GBW: QP(ST) + AC. ","")&amp;IF(AND(C242="Trench Shoring Box",H242="Kallang Formation (marine clay)"),"NOTE: check base heave / ground loss for shoring box in marine clay. ","")&amp;IF(AND(C242="Steel Sheet Pile Cofferdam",N(M242)&lt;G242*0.5),"NOTE: short toe embedment, check. ","")))</f>
        <v/>
      </c>
      <c r="AO242" s="9"/>
      <c r="AP242" s="9"/>
      <c r="AQ242" s="9"/>
      <c r="AR242" s="9"/>
      <c r="AS242" s="9"/>
      <c r="AT242" s="31"/>
      <c r="AU242" s="10" t="str">
        <f aca="false">IF(C242="","",IF(AND(V242="Approved",ISERROR(SEARCH("FAIL",AN242))),"Y","N"))</f>
        <v/>
      </c>
      <c r="AV242" s="10" t="str">
        <f aca="false">IF(C242="","",C242&amp;"|"&amp;G242&amp;"|"&amp;E242&amp;"|"&amp;H242&amp;"|"&amp;AU242)</f>
        <v/>
      </c>
    </row>
    <row r="243" customFormat="false" ht="15" hidden="false" customHeight="false" outlineLevel="0" collapsed="false">
      <c r="A243" s="10" t="str">
        <f aca="false">IF(C243="","","ERSS-"&amp;IFERROR(VLOOKUP(C243,Lists!$AK$4:$AL$21,2,0),"??")&amp;"-"&amp;TEXT(E243,"0000")&amp;"x"&amp;TEXT(F243,"0000")&amp;"-D"&amp;TEXT(G243*1000,"0000")&amp;"-"&amp;IFERROR(VLOOKUP(H243,Lists!$Y$4:$Z$21,2,0),"??")&amp;"-"&amp;U243)</f>
        <v/>
      </c>
      <c r="B243" s="10" t="str">
        <f aca="false">IF(C243="","",C243&amp;" for "&amp;D243&amp;", "&amp;E243&amp;" x "&amp;F243&amp;" pit, "&amp;TEXT(G243,"0.0")&amp;" m deep, "&amp;H243)</f>
        <v/>
      </c>
      <c r="C243" s="9"/>
      <c r="D243" s="9"/>
      <c r="E243" s="40"/>
      <c r="F243" s="40"/>
      <c r="G243" s="43"/>
      <c r="H243" s="9"/>
      <c r="I243" s="43"/>
      <c r="J243" s="40"/>
      <c r="K243" s="9"/>
      <c r="L243" s="43"/>
      <c r="M243" s="43"/>
      <c r="N243" s="40"/>
      <c r="O243" s="9"/>
      <c r="P243" s="9"/>
      <c r="Q243" s="41"/>
      <c r="R243" s="9"/>
      <c r="S243" s="40"/>
      <c r="T243" s="9"/>
      <c r="U243" s="9"/>
      <c r="V243" s="9"/>
      <c r="W243" s="9"/>
      <c r="X243" s="9"/>
      <c r="Y243" s="9"/>
      <c r="Z243" s="10" t="str">
        <f aca="false">IF(A243="","",SG_Criteria!$B$6&amp;SG_Criteria!$B$11&amp;"\"&amp;A243&amp;"\")</f>
        <v/>
      </c>
      <c r="AA243" s="10" t="str">
        <f aca="false">IF(A243="","",A243&amp;"_CAD.dwg")</f>
        <v/>
      </c>
      <c r="AB243" s="10" t="str">
        <f aca="false">IF(A243="","",A243&amp;"_DWG.pdf")</f>
        <v/>
      </c>
      <c r="AC243" s="10" t="str">
        <f aca="false">IF(A243="","",IF(Y243="Y",A243&amp;"_STAAD.std","n/a"))</f>
        <v/>
      </c>
      <c r="AD243" s="10" t="str">
        <f aca="false">IF(A243="","",A243&amp;"_CALC.xlsx")</f>
        <v/>
      </c>
      <c r="AE243" s="10" t="str">
        <f aca="false">IF(A243="","",A243&amp;"_CALC.pdf")</f>
        <v/>
      </c>
      <c r="AF243" s="9"/>
      <c r="AG243" s="9"/>
      <c r="AH243" s="41"/>
      <c r="AI243" s="41"/>
      <c r="AJ243" s="41"/>
      <c r="AK243" s="41"/>
      <c r="AL243" s="41"/>
      <c r="AM243" s="38" t="str">
        <f aca="false">IF(OR(C243="",G243=""),"",IF(G243&lt;=IF(OR(C243="Soldier Pile &amp; Timber Lagging",C243="Trench Shoring Box",C243="Open Cut (battered)"),SG_Criteria!$B$34,SG_Criteria!$B$33),"No ERSS submission",IF(G243&lt;=SG_Criteria!$B$35,"QP(ST)",IF(G243&lt;=SG_Criteria!$B$36,"QP(ST) + AC","Geotechnical building works: QP(Geo) + AC"))))</f>
        <v/>
      </c>
      <c r="AN243" s="38" t="str">
        <f aca="false">IF(C243="","",IF(LEN(IF(AND(Q243&lt;&gt;"",Q243&lt;SG_Criteria!$B$37),"FAIL: base stability FOS &lt; "&amp;SG_Criteria!$B$37&amp;". ","")&amp;IF(AND(D243="Manhole",G243&gt;SG_Criteria!$B$36),"NOTE: BCA lists sewer manholes (pipe &lt;= 2 m dia) &gt; 6 m as non-GBW: QP(ST) + AC. ","")&amp;IF(AND(C243="Trench Shoring Box",H243="Kallang Formation (marine clay)"),"NOTE: check base heave / ground loss for shoring box in marine clay. ","")&amp;IF(AND(C243="Steel Sheet Pile Cofferdam",N(M243)&lt;G243*0.5),"NOTE: short toe embedment, check. ",""))=0,"OK",IF(AND(Q243&lt;&gt;"",Q243&lt;SG_Criteria!$B$37),"FAIL: base stability FOS &lt; "&amp;SG_Criteria!$B$37&amp;". ","")&amp;IF(AND(D243="Manhole",G243&gt;SG_Criteria!$B$36),"NOTE: BCA lists sewer manholes (pipe &lt;= 2 m dia) &gt; 6 m as non-GBW: QP(ST) + AC. ","")&amp;IF(AND(C243="Trench Shoring Box",H243="Kallang Formation (marine clay)"),"NOTE: check base heave / ground loss for shoring box in marine clay. ","")&amp;IF(AND(C243="Steel Sheet Pile Cofferdam",N(M243)&lt;G243*0.5),"NOTE: short toe embedment, check. ","")))</f>
        <v/>
      </c>
      <c r="AO243" s="9"/>
      <c r="AP243" s="9"/>
      <c r="AQ243" s="9"/>
      <c r="AR243" s="9"/>
      <c r="AS243" s="9"/>
      <c r="AT243" s="31"/>
      <c r="AU243" s="10" t="str">
        <f aca="false">IF(C243="","",IF(AND(V243="Approved",ISERROR(SEARCH("FAIL",AN243))),"Y","N"))</f>
        <v/>
      </c>
      <c r="AV243" s="10" t="str">
        <f aca="false">IF(C243="","",C243&amp;"|"&amp;G243&amp;"|"&amp;E243&amp;"|"&amp;H243&amp;"|"&amp;AU243)</f>
        <v/>
      </c>
    </row>
    <row r="244" customFormat="false" ht="15" hidden="false" customHeight="false" outlineLevel="0" collapsed="false">
      <c r="A244" s="10" t="str">
        <f aca="false">IF(C244="","","ERSS-"&amp;IFERROR(VLOOKUP(C244,Lists!$AK$4:$AL$21,2,0),"??")&amp;"-"&amp;TEXT(E244,"0000")&amp;"x"&amp;TEXT(F244,"0000")&amp;"-D"&amp;TEXT(G244*1000,"0000")&amp;"-"&amp;IFERROR(VLOOKUP(H244,Lists!$Y$4:$Z$21,2,0),"??")&amp;"-"&amp;U244)</f>
        <v/>
      </c>
      <c r="B244" s="10" t="str">
        <f aca="false">IF(C244="","",C244&amp;" for "&amp;D244&amp;", "&amp;E244&amp;" x "&amp;F244&amp;" pit, "&amp;TEXT(G244,"0.0")&amp;" m deep, "&amp;H244)</f>
        <v/>
      </c>
      <c r="C244" s="9"/>
      <c r="D244" s="9"/>
      <c r="E244" s="40"/>
      <c r="F244" s="40"/>
      <c r="G244" s="43"/>
      <c r="H244" s="9"/>
      <c r="I244" s="43"/>
      <c r="J244" s="40"/>
      <c r="K244" s="9"/>
      <c r="L244" s="43"/>
      <c r="M244" s="43"/>
      <c r="N244" s="40"/>
      <c r="O244" s="9"/>
      <c r="P244" s="9"/>
      <c r="Q244" s="41"/>
      <c r="R244" s="9"/>
      <c r="S244" s="40"/>
      <c r="T244" s="9"/>
      <c r="U244" s="9"/>
      <c r="V244" s="9"/>
      <c r="W244" s="9"/>
      <c r="X244" s="9"/>
      <c r="Y244" s="9"/>
      <c r="Z244" s="10" t="str">
        <f aca="false">IF(A244="","",SG_Criteria!$B$6&amp;SG_Criteria!$B$11&amp;"\"&amp;A244&amp;"\")</f>
        <v/>
      </c>
      <c r="AA244" s="10" t="str">
        <f aca="false">IF(A244="","",A244&amp;"_CAD.dwg")</f>
        <v/>
      </c>
      <c r="AB244" s="10" t="str">
        <f aca="false">IF(A244="","",A244&amp;"_DWG.pdf")</f>
        <v/>
      </c>
      <c r="AC244" s="10" t="str">
        <f aca="false">IF(A244="","",IF(Y244="Y",A244&amp;"_STAAD.std","n/a"))</f>
        <v/>
      </c>
      <c r="AD244" s="10" t="str">
        <f aca="false">IF(A244="","",A244&amp;"_CALC.xlsx")</f>
        <v/>
      </c>
      <c r="AE244" s="10" t="str">
        <f aca="false">IF(A244="","",A244&amp;"_CALC.pdf")</f>
        <v/>
      </c>
      <c r="AF244" s="9"/>
      <c r="AG244" s="9"/>
      <c r="AH244" s="41"/>
      <c r="AI244" s="41"/>
      <c r="AJ244" s="41"/>
      <c r="AK244" s="41"/>
      <c r="AL244" s="41"/>
      <c r="AM244" s="38" t="str">
        <f aca="false">IF(OR(C244="",G244=""),"",IF(G244&lt;=IF(OR(C244="Soldier Pile &amp; Timber Lagging",C244="Trench Shoring Box",C244="Open Cut (battered)"),SG_Criteria!$B$34,SG_Criteria!$B$33),"No ERSS submission",IF(G244&lt;=SG_Criteria!$B$35,"QP(ST)",IF(G244&lt;=SG_Criteria!$B$36,"QP(ST) + AC","Geotechnical building works: QP(Geo) + AC"))))</f>
        <v/>
      </c>
      <c r="AN244" s="38" t="str">
        <f aca="false">IF(C244="","",IF(LEN(IF(AND(Q244&lt;&gt;"",Q244&lt;SG_Criteria!$B$37),"FAIL: base stability FOS &lt; "&amp;SG_Criteria!$B$37&amp;". ","")&amp;IF(AND(D244="Manhole",G244&gt;SG_Criteria!$B$36),"NOTE: BCA lists sewer manholes (pipe &lt;= 2 m dia) &gt; 6 m as non-GBW: QP(ST) + AC. ","")&amp;IF(AND(C244="Trench Shoring Box",H244="Kallang Formation (marine clay)"),"NOTE: check base heave / ground loss for shoring box in marine clay. ","")&amp;IF(AND(C244="Steel Sheet Pile Cofferdam",N(M244)&lt;G244*0.5),"NOTE: short toe embedment, check. ",""))=0,"OK",IF(AND(Q244&lt;&gt;"",Q244&lt;SG_Criteria!$B$37),"FAIL: base stability FOS &lt; "&amp;SG_Criteria!$B$37&amp;". ","")&amp;IF(AND(D244="Manhole",G244&gt;SG_Criteria!$B$36),"NOTE: BCA lists sewer manholes (pipe &lt;= 2 m dia) &gt; 6 m as non-GBW: QP(ST) + AC. ","")&amp;IF(AND(C244="Trench Shoring Box",H244="Kallang Formation (marine clay)"),"NOTE: check base heave / ground loss for shoring box in marine clay. ","")&amp;IF(AND(C244="Steel Sheet Pile Cofferdam",N(M244)&lt;G244*0.5),"NOTE: short toe embedment, check. ","")))</f>
        <v/>
      </c>
      <c r="AO244" s="9"/>
      <c r="AP244" s="9"/>
      <c r="AQ244" s="9"/>
      <c r="AR244" s="9"/>
      <c r="AS244" s="9"/>
      <c r="AT244" s="31"/>
      <c r="AU244" s="10" t="str">
        <f aca="false">IF(C244="","",IF(AND(V244="Approved",ISERROR(SEARCH("FAIL",AN244))),"Y","N"))</f>
        <v/>
      </c>
      <c r="AV244" s="10" t="str">
        <f aca="false">IF(C244="","",C244&amp;"|"&amp;G244&amp;"|"&amp;E244&amp;"|"&amp;H244&amp;"|"&amp;AU244)</f>
        <v/>
      </c>
    </row>
    <row r="245" customFormat="false" ht="15" hidden="false" customHeight="false" outlineLevel="0" collapsed="false">
      <c r="A245" s="10" t="str">
        <f aca="false">IF(C245="","","ERSS-"&amp;IFERROR(VLOOKUP(C245,Lists!$AK$4:$AL$21,2,0),"??")&amp;"-"&amp;TEXT(E245,"0000")&amp;"x"&amp;TEXT(F245,"0000")&amp;"-D"&amp;TEXT(G245*1000,"0000")&amp;"-"&amp;IFERROR(VLOOKUP(H245,Lists!$Y$4:$Z$21,2,0),"??")&amp;"-"&amp;U245)</f>
        <v/>
      </c>
      <c r="B245" s="10" t="str">
        <f aca="false">IF(C245="","",C245&amp;" for "&amp;D245&amp;", "&amp;E245&amp;" x "&amp;F245&amp;" pit, "&amp;TEXT(G245,"0.0")&amp;" m deep, "&amp;H245)</f>
        <v/>
      </c>
      <c r="C245" s="9"/>
      <c r="D245" s="9"/>
      <c r="E245" s="40"/>
      <c r="F245" s="40"/>
      <c r="G245" s="43"/>
      <c r="H245" s="9"/>
      <c r="I245" s="43"/>
      <c r="J245" s="40"/>
      <c r="K245" s="9"/>
      <c r="L245" s="43"/>
      <c r="M245" s="43"/>
      <c r="N245" s="40"/>
      <c r="O245" s="9"/>
      <c r="P245" s="9"/>
      <c r="Q245" s="41"/>
      <c r="R245" s="9"/>
      <c r="S245" s="40"/>
      <c r="T245" s="9"/>
      <c r="U245" s="9"/>
      <c r="V245" s="9"/>
      <c r="W245" s="9"/>
      <c r="X245" s="9"/>
      <c r="Y245" s="9"/>
      <c r="Z245" s="10" t="str">
        <f aca="false">IF(A245="","",SG_Criteria!$B$6&amp;SG_Criteria!$B$11&amp;"\"&amp;A245&amp;"\")</f>
        <v/>
      </c>
      <c r="AA245" s="10" t="str">
        <f aca="false">IF(A245="","",A245&amp;"_CAD.dwg")</f>
        <v/>
      </c>
      <c r="AB245" s="10" t="str">
        <f aca="false">IF(A245="","",A245&amp;"_DWG.pdf")</f>
        <v/>
      </c>
      <c r="AC245" s="10" t="str">
        <f aca="false">IF(A245="","",IF(Y245="Y",A245&amp;"_STAAD.std","n/a"))</f>
        <v/>
      </c>
      <c r="AD245" s="10" t="str">
        <f aca="false">IF(A245="","",A245&amp;"_CALC.xlsx")</f>
        <v/>
      </c>
      <c r="AE245" s="10" t="str">
        <f aca="false">IF(A245="","",A245&amp;"_CALC.pdf")</f>
        <v/>
      </c>
      <c r="AF245" s="9"/>
      <c r="AG245" s="9"/>
      <c r="AH245" s="41"/>
      <c r="AI245" s="41"/>
      <c r="AJ245" s="41"/>
      <c r="AK245" s="41"/>
      <c r="AL245" s="41"/>
      <c r="AM245" s="38" t="str">
        <f aca="false">IF(OR(C245="",G245=""),"",IF(G245&lt;=IF(OR(C245="Soldier Pile &amp; Timber Lagging",C245="Trench Shoring Box",C245="Open Cut (battered)"),SG_Criteria!$B$34,SG_Criteria!$B$33),"No ERSS submission",IF(G245&lt;=SG_Criteria!$B$35,"QP(ST)",IF(G245&lt;=SG_Criteria!$B$36,"QP(ST) + AC","Geotechnical building works: QP(Geo) + AC"))))</f>
        <v/>
      </c>
      <c r="AN245" s="38" t="str">
        <f aca="false">IF(C245="","",IF(LEN(IF(AND(Q245&lt;&gt;"",Q245&lt;SG_Criteria!$B$37),"FAIL: base stability FOS &lt; "&amp;SG_Criteria!$B$37&amp;". ","")&amp;IF(AND(D245="Manhole",G245&gt;SG_Criteria!$B$36),"NOTE: BCA lists sewer manholes (pipe &lt;= 2 m dia) &gt; 6 m as non-GBW: QP(ST) + AC. ","")&amp;IF(AND(C245="Trench Shoring Box",H245="Kallang Formation (marine clay)"),"NOTE: check base heave / ground loss for shoring box in marine clay. ","")&amp;IF(AND(C245="Steel Sheet Pile Cofferdam",N(M245)&lt;G245*0.5),"NOTE: short toe embedment, check. ",""))=0,"OK",IF(AND(Q245&lt;&gt;"",Q245&lt;SG_Criteria!$B$37),"FAIL: base stability FOS &lt; "&amp;SG_Criteria!$B$37&amp;". ","")&amp;IF(AND(D245="Manhole",G245&gt;SG_Criteria!$B$36),"NOTE: BCA lists sewer manholes (pipe &lt;= 2 m dia) &gt; 6 m as non-GBW: QP(ST) + AC. ","")&amp;IF(AND(C245="Trench Shoring Box",H245="Kallang Formation (marine clay)"),"NOTE: check base heave / ground loss for shoring box in marine clay. ","")&amp;IF(AND(C245="Steel Sheet Pile Cofferdam",N(M245)&lt;G245*0.5),"NOTE: short toe embedment, check. ","")))</f>
        <v/>
      </c>
      <c r="AO245" s="9"/>
      <c r="AP245" s="9"/>
      <c r="AQ245" s="9"/>
      <c r="AR245" s="9"/>
      <c r="AS245" s="9"/>
      <c r="AT245" s="31"/>
      <c r="AU245" s="10" t="str">
        <f aca="false">IF(C245="","",IF(AND(V245="Approved",ISERROR(SEARCH("FAIL",AN245))),"Y","N"))</f>
        <v/>
      </c>
      <c r="AV245" s="10" t="str">
        <f aca="false">IF(C245="","",C245&amp;"|"&amp;G245&amp;"|"&amp;E245&amp;"|"&amp;H245&amp;"|"&amp;AU245)</f>
        <v/>
      </c>
    </row>
    <row r="246" customFormat="false" ht="15" hidden="false" customHeight="false" outlineLevel="0" collapsed="false">
      <c r="A246" s="10" t="str">
        <f aca="false">IF(C246="","","ERSS-"&amp;IFERROR(VLOOKUP(C246,Lists!$AK$4:$AL$21,2,0),"??")&amp;"-"&amp;TEXT(E246,"0000")&amp;"x"&amp;TEXT(F246,"0000")&amp;"-D"&amp;TEXT(G246*1000,"0000")&amp;"-"&amp;IFERROR(VLOOKUP(H246,Lists!$Y$4:$Z$21,2,0),"??")&amp;"-"&amp;U246)</f>
        <v/>
      </c>
      <c r="B246" s="10" t="str">
        <f aca="false">IF(C246="","",C246&amp;" for "&amp;D246&amp;", "&amp;E246&amp;" x "&amp;F246&amp;" pit, "&amp;TEXT(G246,"0.0")&amp;" m deep, "&amp;H246)</f>
        <v/>
      </c>
      <c r="C246" s="9"/>
      <c r="D246" s="9"/>
      <c r="E246" s="40"/>
      <c r="F246" s="40"/>
      <c r="G246" s="43"/>
      <c r="H246" s="9"/>
      <c r="I246" s="43"/>
      <c r="J246" s="40"/>
      <c r="K246" s="9"/>
      <c r="L246" s="43"/>
      <c r="M246" s="43"/>
      <c r="N246" s="40"/>
      <c r="O246" s="9"/>
      <c r="P246" s="9"/>
      <c r="Q246" s="41"/>
      <c r="R246" s="9"/>
      <c r="S246" s="40"/>
      <c r="T246" s="9"/>
      <c r="U246" s="9"/>
      <c r="V246" s="9"/>
      <c r="W246" s="9"/>
      <c r="X246" s="9"/>
      <c r="Y246" s="9"/>
      <c r="Z246" s="10" t="str">
        <f aca="false">IF(A246="","",SG_Criteria!$B$6&amp;SG_Criteria!$B$11&amp;"\"&amp;A246&amp;"\")</f>
        <v/>
      </c>
      <c r="AA246" s="10" t="str">
        <f aca="false">IF(A246="","",A246&amp;"_CAD.dwg")</f>
        <v/>
      </c>
      <c r="AB246" s="10" t="str">
        <f aca="false">IF(A246="","",A246&amp;"_DWG.pdf")</f>
        <v/>
      </c>
      <c r="AC246" s="10" t="str">
        <f aca="false">IF(A246="","",IF(Y246="Y",A246&amp;"_STAAD.std","n/a"))</f>
        <v/>
      </c>
      <c r="AD246" s="10" t="str">
        <f aca="false">IF(A246="","",A246&amp;"_CALC.xlsx")</f>
        <v/>
      </c>
      <c r="AE246" s="10" t="str">
        <f aca="false">IF(A246="","",A246&amp;"_CALC.pdf")</f>
        <v/>
      </c>
      <c r="AF246" s="9"/>
      <c r="AG246" s="9"/>
      <c r="AH246" s="41"/>
      <c r="AI246" s="41"/>
      <c r="AJ246" s="41"/>
      <c r="AK246" s="41"/>
      <c r="AL246" s="41"/>
      <c r="AM246" s="38" t="str">
        <f aca="false">IF(OR(C246="",G246=""),"",IF(G246&lt;=IF(OR(C246="Soldier Pile &amp; Timber Lagging",C246="Trench Shoring Box",C246="Open Cut (battered)"),SG_Criteria!$B$34,SG_Criteria!$B$33),"No ERSS submission",IF(G246&lt;=SG_Criteria!$B$35,"QP(ST)",IF(G246&lt;=SG_Criteria!$B$36,"QP(ST) + AC","Geotechnical building works: QP(Geo) + AC"))))</f>
        <v/>
      </c>
      <c r="AN246" s="38" t="str">
        <f aca="false">IF(C246="","",IF(LEN(IF(AND(Q246&lt;&gt;"",Q246&lt;SG_Criteria!$B$37),"FAIL: base stability FOS &lt; "&amp;SG_Criteria!$B$37&amp;". ","")&amp;IF(AND(D246="Manhole",G246&gt;SG_Criteria!$B$36),"NOTE: BCA lists sewer manholes (pipe &lt;= 2 m dia) &gt; 6 m as non-GBW: QP(ST) + AC. ","")&amp;IF(AND(C246="Trench Shoring Box",H246="Kallang Formation (marine clay)"),"NOTE: check base heave / ground loss for shoring box in marine clay. ","")&amp;IF(AND(C246="Steel Sheet Pile Cofferdam",N(M246)&lt;G246*0.5),"NOTE: short toe embedment, check. ",""))=0,"OK",IF(AND(Q246&lt;&gt;"",Q246&lt;SG_Criteria!$B$37),"FAIL: base stability FOS &lt; "&amp;SG_Criteria!$B$37&amp;". ","")&amp;IF(AND(D246="Manhole",G246&gt;SG_Criteria!$B$36),"NOTE: BCA lists sewer manholes (pipe &lt;= 2 m dia) &gt; 6 m as non-GBW: QP(ST) + AC. ","")&amp;IF(AND(C246="Trench Shoring Box",H246="Kallang Formation (marine clay)"),"NOTE: check base heave / ground loss for shoring box in marine clay. ","")&amp;IF(AND(C246="Steel Sheet Pile Cofferdam",N(M246)&lt;G246*0.5),"NOTE: short toe embedment, check. ","")))</f>
        <v/>
      </c>
      <c r="AO246" s="9"/>
      <c r="AP246" s="9"/>
      <c r="AQ246" s="9"/>
      <c r="AR246" s="9"/>
      <c r="AS246" s="9"/>
      <c r="AT246" s="31"/>
      <c r="AU246" s="10" t="str">
        <f aca="false">IF(C246="","",IF(AND(V246="Approved",ISERROR(SEARCH("FAIL",AN246))),"Y","N"))</f>
        <v/>
      </c>
      <c r="AV246" s="10" t="str">
        <f aca="false">IF(C246="","",C246&amp;"|"&amp;G246&amp;"|"&amp;E246&amp;"|"&amp;H246&amp;"|"&amp;AU246)</f>
        <v/>
      </c>
    </row>
    <row r="247" customFormat="false" ht="15" hidden="false" customHeight="false" outlineLevel="0" collapsed="false">
      <c r="A247" s="10" t="str">
        <f aca="false">IF(C247="","","ERSS-"&amp;IFERROR(VLOOKUP(C247,Lists!$AK$4:$AL$21,2,0),"??")&amp;"-"&amp;TEXT(E247,"0000")&amp;"x"&amp;TEXT(F247,"0000")&amp;"-D"&amp;TEXT(G247*1000,"0000")&amp;"-"&amp;IFERROR(VLOOKUP(H247,Lists!$Y$4:$Z$21,2,0),"??")&amp;"-"&amp;U247)</f>
        <v/>
      </c>
      <c r="B247" s="10" t="str">
        <f aca="false">IF(C247="","",C247&amp;" for "&amp;D247&amp;", "&amp;E247&amp;" x "&amp;F247&amp;" pit, "&amp;TEXT(G247,"0.0")&amp;" m deep, "&amp;H247)</f>
        <v/>
      </c>
      <c r="C247" s="9"/>
      <c r="D247" s="9"/>
      <c r="E247" s="40"/>
      <c r="F247" s="40"/>
      <c r="G247" s="43"/>
      <c r="H247" s="9"/>
      <c r="I247" s="43"/>
      <c r="J247" s="40"/>
      <c r="K247" s="9"/>
      <c r="L247" s="43"/>
      <c r="M247" s="43"/>
      <c r="N247" s="40"/>
      <c r="O247" s="9"/>
      <c r="P247" s="9"/>
      <c r="Q247" s="41"/>
      <c r="R247" s="9"/>
      <c r="S247" s="40"/>
      <c r="T247" s="9"/>
      <c r="U247" s="9"/>
      <c r="V247" s="9"/>
      <c r="W247" s="9"/>
      <c r="X247" s="9"/>
      <c r="Y247" s="9"/>
      <c r="Z247" s="10" t="str">
        <f aca="false">IF(A247="","",SG_Criteria!$B$6&amp;SG_Criteria!$B$11&amp;"\"&amp;A247&amp;"\")</f>
        <v/>
      </c>
      <c r="AA247" s="10" t="str">
        <f aca="false">IF(A247="","",A247&amp;"_CAD.dwg")</f>
        <v/>
      </c>
      <c r="AB247" s="10" t="str">
        <f aca="false">IF(A247="","",A247&amp;"_DWG.pdf")</f>
        <v/>
      </c>
      <c r="AC247" s="10" t="str">
        <f aca="false">IF(A247="","",IF(Y247="Y",A247&amp;"_STAAD.std","n/a"))</f>
        <v/>
      </c>
      <c r="AD247" s="10" t="str">
        <f aca="false">IF(A247="","",A247&amp;"_CALC.xlsx")</f>
        <v/>
      </c>
      <c r="AE247" s="10" t="str">
        <f aca="false">IF(A247="","",A247&amp;"_CALC.pdf")</f>
        <v/>
      </c>
      <c r="AF247" s="9"/>
      <c r="AG247" s="9"/>
      <c r="AH247" s="41"/>
      <c r="AI247" s="41"/>
      <c r="AJ247" s="41"/>
      <c r="AK247" s="41"/>
      <c r="AL247" s="41"/>
      <c r="AM247" s="38" t="str">
        <f aca="false">IF(OR(C247="",G247=""),"",IF(G247&lt;=IF(OR(C247="Soldier Pile &amp; Timber Lagging",C247="Trench Shoring Box",C247="Open Cut (battered)"),SG_Criteria!$B$34,SG_Criteria!$B$33),"No ERSS submission",IF(G247&lt;=SG_Criteria!$B$35,"QP(ST)",IF(G247&lt;=SG_Criteria!$B$36,"QP(ST) + AC","Geotechnical building works: QP(Geo) + AC"))))</f>
        <v/>
      </c>
      <c r="AN247" s="38" t="str">
        <f aca="false">IF(C247="","",IF(LEN(IF(AND(Q247&lt;&gt;"",Q247&lt;SG_Criteria!$B$37),"FAIL: base stability FOS &lt; "&amp;SG_Criteria!$B$37&amp;". ","")&amp;IF(AND(D247="Manhole",G247&gt;SG_Criteria!$B$36),"NOTE: BCA lists sewer manholes (pipe &lt;= 2 m dia) &gt; 6 m as non-GBW: QP(ST) + AC. ","")&amp;IF(AND(C247="Trench Shoring Box",H247="Kallang Formation (marine clay)"),"NOTE: check base heave / ground loss for shoring box in marine clay. ","")&amp;IF(AND(C247="Steel Sheet Pile Cofferdam",N(M247)&lt;G247*0.5),"NOTE: short toe embedment, check. ",""))=0,"OK",IF(AND(Q247&lt;&gt;"",Q247&lt;SG_Criteria!$B$37),"FAIL: base stability FOS &lt; "&amp;SG_Criteria!$B$37&amp;". ","")&amp;IF(AND(D247="Manhole",G247&gt;SG_Criteria!$B$36),"NOTE: BCA lists sewer manholes (pipe &lt;= 2 m dia) &gt; 6 m as non-GBW: QP(ST) + AC. ","")&amp;IF(AND(C247="Trench Shoring Box",H247="Kallang Formation (marine clay)"),"NOTE: check base heave / ground loss for shoring box in marine clay. ","")&amp;IF(AND(C247="Steel Sheet Pile Cofferdam",N(M247)&lt;G247*0.5),"NOTE: short toe embedment, check. ","")))</f>
        <v/>
      </c>
      <c r="AO247" s="9"/>
      <c r="AP247" s="9"/>
      <c r="AQ247" s="9"/>
      <c r="AR247" s="9"/>
      <c r="AS247" s="9"/>
      <c r="AT247" s="31"/>
      <c r="AU247" s="10" t="str">
        <f aca="false">IF(C247="","",IF(AND(V247="Approved",ISERROR(SEARCH("FAIL",AN247))),"Y","N"))</f>
        <v/>
      </c>
      <c r="AV247" s="10" t="str">
        <f aca="false">IF(C247="","",C247&amp;"|"&amp;G247&amp;"|"&amp;E247&amp;"|"&amp;H247&amp;"|"&amp;AU247)</f>
        <v/>
      </c>
    </row>
    <row r="248" customFormat="false" ht="15" hidden="false" customHeight="false" outlineLevel="0" collapsed="false">
      <c r="A248" s="10" t="str">
        <f aca="false">IF(C248="","","ERSS-"&amp;IFERROR(VLOOKUP(C248,Lists!$AK$4:$AL$21,2,0),"??")&amp;"-"&amp;TEXT(E248,"0000")&amp;"x"&amp;TEXT(F248,"0000")&amp;"-D"&amp;TEXT(G248*1000,"0000")&amp;"-"&amp;IFERROR(VLOOKUP(H248,Lists!$Y$4:$Z$21,2,0),"??")&amp;"-"&amp;U248)</f>
        <v/>
      </c>
      <c r="B248" s="10" t="str">
        <f aca="false">IF(C248="","",C248&amp;" for "&amp;D248&amp;", "&amp;E248&amp;" x "&amp;F248&amp;" pit, "&amp;TEXT(G248,"0.0")&amp;" m deep, "&amp;H248)</f>
        <v/>
      </c>
      <c r="C248" s="9"/>
      <c r="D248" s="9"/>
      <c r="E248" s="40"/>
      <c r="F248" s="40"/>
      <c r="G248" s="43"/>
      <c r="H248" s="9"/>
      <c r="I248" s="43"/>
      <c r="J248" s="40"/>
      <c r="K248" s="9"/>
      <c r="L248" s="43"/>
      <c r="M248" s="43"/>
      <c r="N248" s="40"/>
      <c r="O248" s="9"/>
      <c r="P248" s="9"/>
      <c r="Q248" s="41"/>
      <c r="R248" s="9"/>
      <c r="S248" s="40"/>
      <c r="T248" s="9"/>
      <c r="U248" s="9"/>
      <c r="V248" s="9"/>
      <c r="W248" s="9"/>
      <c r="X248" s="9"/>
      <c r="Y248" s="9"/>
      <c r="Z248" s="10" t="str">
        <f aca="false">IF(A248="","",SG_Criteria!$B$6&amp;SG_Criteria!$B$11&amp;"\"&amp;A248&amp;"\")</f>
        <v/>
      </c>
      <c r="AA248" s="10" t="str">
        <f aca="false">IF(A248="","",A248&amp;"_CAD.dwg")</f>
        <v/>
      </c>
      <c r="AB248" s="10" t="str">
        <f aca="false">IF(A248="","",A248&amp;"_DWG.pdf")</f>
        <v/>
      </c>
      <c r="AC248" s="10" t="str">
        <f aca="false">IF(A248="","",IF(Y248="Y",A248&amp;"_STAAD.std","n/a"))</f>
        <v/>
      </c>
      <c r="AD248" s="10" t="str">
        <f aca="false">IF(A248="","",A248&amp;"_CALC.xlsx")</f>
        <v/>
      </c>
      <c r="AE248" s="10" t="str">
        <f aca="false">IF(A248="","",A248&amp;"_CALC.pdf")</f>
        <v/>
      </c>
      <c r="AF248" s="9"/>
      <c r="AG248" s="9"/>
      <c r="AH248" s="41"/>
      <c r="AI248" s="41"/>
      <c r="AJ248" s="41"/>
      <c r="AK248" s="41"/>
      <c r="AL248" s="41"/>
      <c r="AM248" s="38" t="str">
        <f aca="false">IF(OR(C248="",G248=""),"",IF(G248&lt;=IF(OR(C248="Soldier Pile &amp; Timber Lagging",C248="Trench Shoring Box",C248="Open Cut (battered)"),SG_Criteria!$B$34,SG_Criteria!$B$33),"No ERSS submission",IF(G248&lt;=SG_Criteria!$B$35,"QP(ST)",IF(G248&lt;=SG_Criteria!$B$36,"QP(ST) + AC","Geotechnical building works: QP(Geo) + AC"))))</f>
        <v/>
      </c>
      <c r="AN248" s="38" t="str">
        <f aca="false">IF(C248="","",IF(LEN(IF(AND(Q248&lt;&gt;"",Q248&lt;SG_Criteria!$B$37),"FAIL: base stability FOS &lt; "&amp;SG_Criteria!$B$37&amp;". ","")&amp;IF(AND(D248="Manhole",G248&gt;SG_Criteria!$B$36),"NOTE: BCA lists sewer manholes (pipe &lt;= 2 m dia) &gt; 6 m as non-GBW: QP(ST) + AC. ","")&amp;IF(AND(C248="Trench Shoring Box",H248="Kallang Formation (marine clay)"),"NOTE: check base heave / ground loss for shoring box in marine clay. ","")&amp;IF(AND(C248="Steel Sheet Pile Cofferdam",N(M248)&lt;G248*0.5),"NOTE: short toe embedment, check. ",""))=0,"OK",IF(AND(Q248&lt;&gt;"",Q248&lt;SG_Criteria!$B$37),"FAIL: base stability FOS &lt; "&amp;SG_Criteria!$B$37&amp;". ","")&amp;IF(AND(D248="Manhole",G248&gt;SG_Criteria!$B$36),"NOTE: BCA lists sewer manholes (pipe &lt;= 2 m dia) &gt; 6 m as non-GBW: QP(ST) + AC. ","")&amp;IF(AND(C248="Trench Shoring Box",H248="Kallang Formation (marine clay)"),"NOTE: check base heave / ground loss for shoring box in marine clay. ","")&amp;IF(AND(C248="Steel Sheet Pile Cofferdam",N(M248)&lt;G248*0.5),"NOTE: short toe embedment, check. ","")))</f>
        <v/>
      </c>
      <c r="AO248" s="9"/>
      <c r="AP248" s="9"/>
      <c r="AQ248" s="9"/>
      <c r="AR248" s="9"/>
      <c r="AS248" s="9"/>
      <c r="AT248" s="31"/>
      <c r="AU248" s="10" t="str">
        <f aca="false">IF(C248="","",IF(AND(V248="Approved",ISERROR(SEARCH("FAIL",AN248))),"Y","N"))</f>
        <v/>
      </c>
      <c r="AV248" s="10" t="str">
        <f aca="false">IF(C248="","",C248&amp;"|"&amp;G248&amp;"|"&amp;E248&amp;"|"&amp;H248&amp;"|"&amp;AU248)</f>
        <v/>
      </c>
    </row>
    <row r="249" customFormat="false" ht="15" hidden="false" customHeight="false" outlineLevel="0" collapsed="false">
      <c r="A249" s="10" t="str">
        <f aca="false">IF(C249="","","ERSS-"&amp;IFERROR(VLOOKUP(C249,Lists!$AK$4:$AL$21,2,0),"??")&amp;"-"&amp;TEXT(E249,"0000")&amp;"x"&amp;TEXT(F249,"0000")&amp;"-D"&amp;TEXT(G249*1000,"0000")&amp;"-"&amp;IFERROR(VLOOKUP(H249,Lists!$Y$4:$Z$21,2,0),"??")&amp;"-"&amp;U249)</f>
        <v/>
      </c>
      <c r="B249" s="10" t="str">
        <f aca="false">IF(C249="","",C249&amp;" for "&amp;D249&amp;", "&amp;E249&amp;" x "&amp;F249&amp;" pit, "&amp;TEXT(G249,"0.0")&amp;" m deep, "&amp;H249)</f>
        <v/>
      </c>
      <c r="C249" s="9"/>
      <c r="D249" s="9"/>
      <c r="E249" s="40"/>
      <c r="F249" s="40"/>
      <c r="G249" s="43"/>
      <c r="H249" s="9"/>
      <c r="I249" s="43"/>
      <c r="J249" s="40"/>
      <c r="K249" s="9"/>
      <c r="L249" s="43"/>
      <c r="M249" s="43"/>
      <c r="N249" s="40"/>
      <c r="O249" s="9"/>
      <c r="P249" s="9"/>
      <c r="Q249" s="41"/>
      <c r="R249" s="9"/>
      <c r="S249" s="40"/>
      <c r="T249" s="9"/>
      <c r="U249" s="9"/>
      <c r="V249" s="9"/>
      <c r="W249" s="9"/>
      <c r="X249" s="9"/>
      <c r="Y249" s="9"/>
      <c r="Z249" s="10" t="str">
        <f aca="false">IF(A249="","",SG_Criteria!$B$6&amp;SG_Criteria!$B$11&amp;"\"&amp;A249&amp;"\")</f>
        <v/>
      </c>
      <c r="AA249" s="10" t="str">
        <f aca="false">IF(A249="","",A249&amp;"_CAD.dwg")</f>
        <v/>
      </c>
      <c r="AB249" s="10" t="str">
        <f aca="false">IF(A249="","",A249&amp;"_DWG.pdf")</f>
        <v/>
      </c>
      <c r="AC249" s="10" t="str">
        <f aca="false">IF(A249="","",IF(Y249="Y",A249&amp;"_STAAD.std","n/a"))</f>
        <v/>
      </c>
      <c r="AD249" s="10" t="str">
        <f aca="false">IF(A249="","",A249&amp;"_CALC.xlsx")</f>
        <v/>
      </c>
      <c r="AE249" s="10" t="str">
        <f aca="false">IF(A249="","",A249&amp;"_CALC.pdf")</f>
        <v/>
      </c>
      <c r="AF249" s="9"/>
      <c r="AG249" s="9"/>
      <c r="AH249" s="41"/>
      <c r="AI249" s="41"/>
      <c r="AJ249" s="41"/>
      <c r="AK249" s="41"/>
      <c r="AL249" s="41"/>
      <c r="AM249" s="38" t="str">
        <f aca="false">IF(OR(C249="",G249=""),"",IF(G249&lt;=IF(OR(C249="Soldier Pile &amp; Timber Lagging",C249="Trench Shoring Box",C249="Open Cut (battered)"),SG_Criteria!$B$34,SG_Criteria!$B$33),"No ERSS submission",IF(G249&lt;=SG_Criteria!$B$35,"QP(ST)",IF(G249&lt;=SG_Criteria!$B$36,"QP(ST) + AC","Geotechnical building works: QP(Geo) + AC"))))</f>
        <v/>
      </c>
      <c r="AN249" s="38" t="str">
        <f aca="false">IF(C249="","",IF(LEN(IF(AND(Q249&lt;&gt;"",Q249&lt;SG_Criteria!$B$37),"FAIL: base stability FOS &lt; "&amp;SG_Criteria!$B$37&amp;". ","")&amp;IF(AND(D249="Manhole",G249&gt;SG_Criteria!$B$36),"NOTE: BCA lists sewer manholes (pipe &lt;= 2 m dia) &gt; 6 m as non-GBW: QP(ST) + AC. ","")&amp;IF(AND(C249="Trench Shoring Box",H249="Kallang Formation (marine clay)"),"NOTE: check base heave / ground loss for shoring box in marine clay. ","")&amp;IF(AND(C249="Steel Sheet Pile Cofferdam",N(M249)&lt;G249*0.5),"NOTE: short toe embedment, check. ",""))=0,"OK",IF(AND(Q249&lt;&gt;"",Q249&lt;SG_Criteria!$B$37),"FAIL: base stability FOS &lt; "&amp;SG_Criteria!$B$37&amp;". ","")&amp;IF(AND(D249="Manhole",G249&gt;SG_Criteria!$B$36),"NOTE: BCA lists sewer manholes (pipe &lt;= 2 m dia) &gt; 6 m as non-GBW: QP(ST) + AC. ","")&amp;IF(AND(C249="Trench Shoring Box",H249="Kallang Formation (marine clay)"),"NOTE: check base heave / ground loss for shoring box in marine clay. ","")&amp;IF(AND(C249="Steel Sheet Pile Cofferdam",N(M249)&lt;G249*0.5),"NOTE: short toe embedment, check. ","")))</f>
        <v/>
      </c>
      <c r="AO249" s="9"/>
      <c r="AP249" s="9"/>
      <c r="AQ249" s="9"/>
      <c r="AR249" s="9"/>
      <c r="AS249" s="9"/>
      <c r="AT249" s="31"/>
      <c r="AU249" s="10" t="str">
        <f aca="false">IF(C249="","",IF(AND(V249="Approved",ISERROR(SEARCH("FAIL",AN249))),"Y","N"))</f>
        <v/>
      </c>
      <c r="AV249" s="10" t="str">
        <f aca="false">IF(C249="","",C249&amp;"|"&amp;G249&amp;"|"&amp;E249&amp;"|"&amp;H249&amp;"|"&amp;AU249)</f>
        <v/>
      </c>
    </row>
    <row r="250" customFormat="false" ht="15" hidden="false" customHeight="false" outlineLevel="0" collapsed="false">
      <c r="A250" s="10" t="str">
        <f aca="false">IF(C250="","","ERSS-"&amp;IFERROR(VLOOKUP(C250,Lists!$AK$4:$AL$21,2,0),"??")&amp;"-"&amp;TEXT(E250,"0000")&amp;"x"&amp;TEXT(F250,"0000")&amp;"-D"&amp;TEXT(G250*1000,"0000")&amp;"-"&amp;IFERROR(VLOOKUP(H250,Lists!$Y$4:$Z$21,2,0),"??")&amp;"-"&amp;U250)</f>
        <v/>
      </c>
      <c r="B250" s="10" t="str">
        <f aca="false">IF(C250="","",C250&amp;" for "&amp;D250&amp;", "&amp;E250&amp;" x "&amp;F250&amp;" pit, "&amp;TEXT(G250,"0.0")&amp;" m deep, "&amp;H250)</f>
        <v/>
      </c>
      <c r="C250" s="9"/>
      <c r="D250" s="9"/>
      <c r="E250" s="40"/>
      <c r="F250" s="40"/>
      <c r="G250" s="43"/>
      <c r="H250" s="9"/>
      <c r="I250" s="43"/>
      <c r="J250" s="40"/>
      <c r="K250" s="9"/>
      <c r="L250" s="43"/>
      <c r="M250" s="43"/>
      <c r="N250" s="40"/>
      <c r="O250" s="9"/>
      <c r="P250" s="9"/>
      <c r="Q250" s="41"/>
      <c r="R250" s="9"/>
      <c r="S250" s="40"/>
      <c r="T250" s="9"/>
      <c r="U250" s="9"/>
      <c r="V250" s="9"/>
      <c r="W250" s="9"/>
      <c r="X250" s="9"/>
      <c r="Y250" s="9"/>
      <c r="Z250" s="10" t="str">
        <f aca="false">IF(A250="","",SG_Criteria!$B$6&amp;SG_Criteria!$B$11&amp;"\"&amp;A250&amp;"\")</f>
        <v/>
      </c>
      <c r="AA250" s="10" t="str">
        <f aca="false">IF(A250="","",A250&amp;"_CAD.dwg")</f>
        <v/>
      </c>
      <c r="AB250" s="10" t="str">
        <f aca="false">IF(A250="","",A250&amp;"_DWG.pdf")</f>
        <v/>
      </c>
      <c r="AC250" s="10" t="str">
        <f aca="false">IF(A250="","",IF(Y250="Y",A250&amp;"_STAAD.std","n/a"))</f>
        <v/>
      </c>
      <c r="AD250" s="10" t="str">
        <f aca="false">IF(A250="","",A250&amp;"_CALC.xlsx")</f>
        <v/>
      </c>
      <c r="AE250" s="10" t="str">
        <f aca="false">IF(A250="","",A250&amp;"_CALC.pdf")</f>
        <v/>
      </c>
      <c r="AF250" s="9"/>
      <c r="AG250" s="9"/>
      <c r="AH250" s="41"/>
      <c r="AI250" s="41"/>
      <c r="AJ250" s="41"/>
      <c r="AK250" s="41"/>
      <c r="AL250" s="41"/>
      <c r="AM250" s="38" t="str">
        <f aca="false">IF(OR(C250="",G250=""),"",IF(G250&lt;=IF(OR(C250="Soldier Pile &amp; Timber Lagging",C250="Trench Shoring Box",C250="Open Cut (battered)"),SG_Criteria!$B$34,SG_Criteria!$B$33),"No ERSS submission",IF(G250&lt;=SG_Criteria!$B$35,"QP(ST)",IF(G250&lt;=SG_Criteria!$B$36,"QP(ST) + AC","Geotechnical building works: QP(Geo) + AC"))))</f>
        <v/>
      </c>
      <c r="AN250" s="38" t="str">
        <f aca="false">IF(C250="","",IF(LEN(IF(AND(Q250&lt;&gt;"",Q250&lt;SG_Criteria!$B$37),"FAIL: base stability FOS &lt; "&amp;SG_Criteria!$B$37&amp;". ","")&amp;IF(AND(D250="Manhole",G250&gt;SG_Criteria!$B$36),"NOTE: BCA lists sewer manholes (pipe &lt;= 2 m dia) &gt; 6 m as non-GBW: QP(ST) + AC. ","")&amp;IF(AND(C250="Trench Shoring Box",H250="Kallang Formation (marine clay)"),"NOTE: check base heave / ground loss for shoring box in marine clay. ","")&amp;IF(AND(C250="Steel Sheet Pile Cofferdam",N(M250)&lt;G250*0.5),"NOTE: short toe embedment, check. ",""))=0,"OK",IF(AND(Q250&lt;&gt;"",Q250&lt;SG_Criteria!$B$37),"FAIL: base stability FOS &lt; "&amp;SG_Criteria!$B$37&amp;". ","")&amp;IF(AND(D250="Manhole",G250&gt;SG_Criteria!$B$36),"NOTE: BCA lists sewer manholes (pipe &lt;= 2 m dia) &gt; 6 m as non-GBW: QP(ST) + AC. ","")&amp;IF(AND(C250="Trench Shoring Box",H250="Kallang Formation (marine clay)"),"NOTE: check base heave / ground loss for shoring box in marine clay. ","")&amp;IF(AND(C250="Steel Sheet Pile Cofferdam",N(M250)&lt;G250*0.5),"NOTE: short toe embedment, check. ","")))</f>
        <v/>
      </c>
      <c r="AO250" s="9"/>
      <c r="AP250" s="9"/>
      <c r="AQ250" s="9"/>
      <c r="AR250" s="9"/>
      <c r="AS250" s="9"/>
      <c r="AT250" s="31"/>
      <c r="AU250" s="10" t="str">
        <f aca="false">IF(C250="","",IF(AND(V250="Approved",ISERROR(SEARCH("FAIL",AN250))),"Y","N"))</f>
        <v/>
      </c>
      <c r="AV250" s="10" t="str">
        <f aca="false">IF(C250="","",C250&amp;"|"&amp;G250&amp;"|"&amp;E250&amp;"|"&amp;H250&amp;"|"&amp;AU250)</f>
        <v/>
      </c>
    </row>
    <row r="251" customFormat="false" ht="15" hidden="false" customHeight="false" outlineLevel="0" collapsed="false">
      <c r="A251" s="10" t="str">
        <f aca="false">IF(C251="","","ERSS-"&amp;IFERROR(VLOOKUP(C251,Lists!$AK$4:$AL$21,2,0),"??")&amp;"-"&amp;TEXT(E251,"0000")&amp;"x"&amp;TEXT(F251,"0000")&amp;"-D"&amp;TEXT(G251*1000,"0000")&amp;"-"&amp;IFERROR(VLOOKUP(H251,Lists!$Y$4:$Z$21,2,0),"??")&amp;"-"&amp;U251)</f>
        <v/>
      </c>
      <c r="B251" s="10" t="str">
        <f aca="false">IF(C251="","",C251&amp;" for "&amp;D251&amp;", "&amp;E251&amp;" x "&amp;F251&amp;" pit, "&amp;TEXT(G251,"0.0")&amp;" m deep, "&amp;H251)</f>
        <v/>
      </c>
      <c r="C251" s="9"/>
      <c r="D251" s="9"/>
      <c r="E251" s="40"/>
      <c r="F251" s="40"/>
      <c r="G251" s="43"/>
      <c r="H251" s="9"/>
      <c r="I251" s="43"/>
      <c r="J251" s="40"/>
      <c r="K251" s="9"/>
      <c r="L251" s="43"/>
      <c r="M251" s="43"/>
      <c r="N251" s="40"/>
      <c r="O251" s="9"/>
      <c r="P251" s="9"/>
      <c r="Q251" s="41"/>
      <c r="R251" s="9"/>
      <c r="S251" s="40"/>
      <c r="T251" s="9"/>
      <c r="U251" s="9"/>
      <c r="V251" s="9"/>
      <c r="W251" s="9"/>
      <c r="X251" s="9"/>
      <c r="Y251" s="9"/>
      <c r="Z251" s="10" t="str">
        <f aca="false">IF(A251="","",SG_Criteria!$B$6&amp;SG_Criteria!$B$11&amp;"\"&amp;A251&amp;"\")</f>
        <v/>
      </c>
      <c r="AA251" s="10" t="str">
        <f aca="false">IF(A251="","",A251&amp;"_CAD.dwg")</f>
        <v/>
      </c>
      <c r="AB251" s="10" t="str">
        <f aca="false">IF(A251="","",A251&amp;"_DWG.pdf")</f>
        <v/>
      </c>
      <c r="AC251" s="10" t="str">
        <f aca="false">IF(A251="","",IF(Y251="Y",A251&amp;"_STAAD.std","n/a"))</f>
        <v/>
      </c>
      <c r="AD251" s="10" t="str">
        <f aca="false">IF(A251="","",A251&amp;"_CALC.xlsx")</f>
        <v/>
      </c>
      <c r="AE251" s="10" t="str">
        <f aca="false">IF(A251="","",A251&amp;"_CALC.pdf")</f>
        <v/>
      </c>
      <c r="AF251" s="9"/>
      <c r="AG251" s="9"/>
      <c r="AH251" s="41"/>
      <c r="AI251" s="41"/>
      <c r="AJ251" s="41"/>
      <c r="AK251" s="41"/>
      <c r="AL251" s="41"/>
      <c r="AM251" s="38" t="str">
        <f aca="false">IF(OR(C251="",G251=""),"",IF(G251&lt;=IF(OR(C251="Soldier Pile &amp; Timber Lagging",C251="Trench Shoring Box",C251="Open Cut (battered)"),SG_Criteria!$B$34,SG_Criteria!$B$33),"No ERSS submission",IF(G251&lt;=SG_Criteria!$B$35,"QP(ST)",IF(G251&lt;=SG_Criteria!$B$36,"QP(ST) + AC","Geotechnical building works: QP(Geo) + AC"))))</f>
        <v/>
      </c>
      <c r="AN251" s="38" t="str">
        <f aca="false">IF(C251="","",IF(LEN(IF(AND(Q251&lt;&gt;"",Q251&lt;SG_Criteria!$B$37),"FAIL: base stability FOS &lt; "&amp;SG_Criteria!$B$37&amp;". ","")&amp;IF(AND(D251="Manhole",G251&gt;SG_Criteria!$B$36),"NOTE: BCA lists sewer manholes (pipe &lt;= 2 m dia) &gt; 6 m as non-GBW: QP(ST) + AC. ","")&amp;IF(AND(C251="Trench Shoring Box",H251="Kallang Formation (marine clay)"),"NOTE: check base heave / ground loss for shoring box in marine clay. ","")&amp;IF(AND(C251="Steel Sheet Pile Cofferdam",N(M251)&lt;G251*0.5),"NOTE: short toe embedment, check. ",""))=0,"OK",IF(AND(Q251&lt;&gt;"",Q251&lt;SG_Criteria!$B$37),"FAIL: base stability FOS &lt; "&amp;SG_Criteria!$B$37&amp;". ","")&amp;IF(AND(D251="Manhole",G251&gt;SG_Criteria!$B$36),"NOTE: BCA lists sewer manholes (pipe &lt;= 2 m dia) &gt; 6 m as non-GBW: QP(ST) + AC. ","")&amp;IF(AND(C251="Trench Shoring Box",H251="Kallang Formation (marine clay)"),"NOTE: check base heave / ground loss for shoring box in marine clay. ","")&amp;IF(AND(C251="Steel Sheet Pile Cofferdam",N(M251)&lt;G251*0.5),"NOTE: short toe embedment, check. ","")))</f>
        <v/>
      </c>
      <c r="AO251" s="9"/>
      <c r="AP251" s="9"/>
      <c r="AQ251" s="9"/>
      <c r="AR251" s="9"/>
      <c r="AS251" s="9"/>
      <c r="AT251" s="31"/>
      <c r="AU251" s="10" t="str">
        <f aca="false">IF(C251="","",IF(AND(V251="Approved",ISERROR(SEARCH("FAIL",AN251))),"Y","N"))</f>
        <v/>
      </c>
      <c r="AV251" s="10" t="str">
        <f aca="false">IF(C251="","",C251&amp;"|"&amp;G251&amp;"|"&amp;E251&amp;"|"&amp;H251&amp;"|"&amp;AU251)</f>
        <v/>
      </c>
    </row>
    <row r="252" customFormat="false" ht="15" hidden="false" customHeight="false" outlineLevel="0" collapsed="false">
      <c r="A252" s="10" t="str">
        <f aca="false">IF(C252="","","ERSS-"&amp;IFERROR(VLOOKUP(C252,Lists!$AK$4:$AL$21,2,0),"??")&amp;"-"&amp;TEXT(E252,"0000")&amp;"x"&amp;TEXT(F252,"0000")&amp;"-D"&amp;TEXT(G252*1000,"0000")&amp;"-"&amp;IFERROR(VLOOKUP(H252,Lists!$Y$4:$Z$21,2,0),"??")&amp;"-"&amp;U252)</f>
        <v/>
      </c>
      <c r="B252" s="10" t="str">
        <f aca="false">IF(C252="","",C252&amp;" for "&amp;D252&amp;", "&amp;E252&amp;" x "&amp;F252&amp;" pit, "&amp;TEXT(G252,"0.0")&amp;" m deep, "&amp;H252)</f>
        <v/>
      </c>
      <c r="C252" s="9"/>
      <c r="D252" s="9"/>
      <c r="E252" s="40"/>
      <c r="F252" s="40"/>
      <c r="G252" s="43"/>
      <c r="H252" s="9"/>
      <c r="I252" s="43"/>
      <c r="J252" s="40"/>
      <c r="K252" s="9"/>
      <c r="L252" s="43"/>
      <c r="M252" s="43"/>
      <c r="N252" s="40"/>
      <c r="O252" s="9"/>
      <c r="P252" s="9"/>
      <c r="Q252" s="41"/>
      <c r="R252" s="9"/>
      <c r="S252" s="40"/>
      <c r="T252" s="9"/>
      <c r="U252" s="9"/>
      <c r="V252" s="9"/>
      <c r="W252" s="9"/>
      <c r="X252" s="9"/>
      <c r="Y252" s="9"/>
      <c r="Z252" s="10" t="str">
        <f aca="false">IF(A252="","",SG_Criteria!$B$6&amp;SG_Criteria!$B$11&amp;"\"&amp;A252&amp;"\")</f>
        <v/>
      </c>
      <c r="AA252" s="10" t="str">
        <f aca="false">IF(A252="","",A252&amp;"_CAD.dwg")</f>
        <v/>
      </c>
      <c r="AB252" s="10" t="str">
        <f aca="false">IF(A252="","",A252&amp;"_DWG.pdf")</f>
        <v/>
      </c>
      <c r="AC252" s="10" t="str">
        <f aca="false">IF(A252="","",IF(Y252="Y",A252&amp;"_STAAD.std","n/a"))</f>
        <v/>
      </c>
      <c r="AD252" s="10" t="str">
        <f aca="false">IF(A252="","",A252&amp;"_CALC.xlsx")</f>
        <v/>
      </c>
      <c r="AE252" s="10" t="str">
        <f aca="false">IF(A252="","",A252&amp;"_CALC.pdf")</f>
        <v/>
      </c>
      <c r="AF252" s="9"/>
      <c r="AG252" s="9"/>
      <c r="AH252" s="41"/>
      <c r="AI252" s="41"/>
      <c r="AJ252" s="41"/>
      <c r="AK252" s="41"/>
      <c r="AL252" s="41"/>
      <c r="AM252" s="38" t="str">
        <f aca="false">IF(OR(C252="",G252=""),"",IF(G252&lt;=IF(OR(C252="Soldier Pile &amp; Timber Lagging",C252="Trench Shoring Box",C252="Open Cut (battered)"),SG_Criteria!$B$34,SG_Criteria!$B$33),"No ERSS submission",IF(G252&lt;=SG_Criteria!$B$35,"QP(ST)",IF(G252&lt;=SG_Criteria!$B$36,"QP(ST) + AC","Geotechnical building works: QP(Geo) + AC"))))</f>
        <v/>
      </c>
      <c r="AN252" s="38" t="str">
        <f aca="false">IF(C252="","",IF(LEN(IF(AND(Q252&lt;&gt;"",Q252&lt;SG_Criteria!$B$37),"FAIL: base stability FOS &lt; "&amp;SG_Criteria!$B$37&amp;". ","")&amp;IF(AND(D252="Manhole",G252&gt;SG_Criteria!$B$36),"NOTE: BCA lists sewer manholes (pipe &lt;= 2 m dia) &gt; 6 m as non-GBW: QP(ST) + AC. ","")&amp;IF(AND(C252="Trench Shoring Box",H252="Kallang Formation (marine clay)"),"NOTE: check base heave / ground loss for shoring box in marine clay. ","")&amp;IF(AND(C252="Steel Sheet Pile Cofferdam",N(M252)&lt;G252*0.5),"NOTE: short toe embedment, check. ",""))=0,"OK",IF(AND(Q252&lt;&gt;"",Q252&lt;SG_Criteria!$B$37),"FAIL: base stability FOS &lt; "&amp;SG_Criteria!$B$37&amp;". ","")&amp;IF(AND(D252="Manhole",G252&gt;SG_Criteria!$B$36),"NOTE: BCA lists sewer manholes (pipe &lt;= 2 m dia) &gt; 6 m as non-GBW: QP(ST) + AC. ","")&amp;IF(AND(C252="Trench Shoring Box",H252="Kallang Formation (marine clay)"),"NOTE: check base heave / ground loss for shoring box in marine clay. ","")&amp;IF(AND(C252="Steel Sheet Pile Cofferdam",N(M252)&lt;G252*0.5),"NOTE: short toe embedment, check. ","")))</f>
        <v/>
      </c>
      <c r="AO252" s="9"/>
      <c r="AP252" s="9"/>
      <c r="AQ252" s="9"/>
      <c r="AR252" s="9"/>
      <c r="AS252" s="9"/>
      <c r="AT252" s="31"/>
      <c r="AU252" s="10" t="str">
        <f aca="false">IF(C252="","",IF(AND(V252="Approved",ISERROR(SEARCH("FAIL",AN252))),"Y","N"))</f>
        <v/>
      </c>
      <c r="AV252" s="10" t="str">
        <f aca="false">IF(C252="","",C252&amp;"|"&amp;G252&amp;"|"&amp;E252&amp;"|"&amp;H252&amp;"|"&amp;AU252)</f>
        <v/>
      </c>
    </row>
    <row r="253" customFormat="false" ht="15" hidden="false" customHeight="false" outlineLevel="0" collapsed="false">
      <c r="A253" s="10" t="str">
        <f aca="false">IF(C253="","","ERSS-"&amp;IFERROR(VLOOKUP(C253,Lists!$AK$4:$AL$21,2,0),"??")&amp;"-"&amp;TEXT(E253,"0000")&amp;"x"&amp;TEXT(F253,"0000")&amp;"-D"&amp;TEXT(G253*1000,"0000")&amp;"-"&amp;IFERROR(VLOOKUP(H253,Lists!$Y$4:$Z$21,2,0),"??")&amp;"-"&amp;U253)</f>
        <v/>
      </c>
      <c r="B253" s="10" t="str">
        <f aca="false">IF(C253="","",C253&amp;" for "&amp;D253&amp;", "&amp;E253&amp;" x "&amp;F253&amp;" pit, "&amp;TEXT(G253,"0.0")&amp;" m deep, "&amp;H253)</f>
        <v/>
      </c>
      <c r="C253" s="9"/>
      <c r="D253" s="9"/>
      <c r="E253" s="40"/>
      <c r="F253" s="40"/>
      <c r="G253" s="43"/>
      <c r="H253" s="9"/>
      <c r="I253" s="43"/>
      <c r="J253" s="40"/>
      <c r="K253" s="9"/>
      <c r="L253" s="43"/>
      <c r="M253" s="43"/>
      <c r="N253" s="40"/>
      <c r="O253" s="9"/>
      <c r="P253" s="9"/>
      <c r="Q253" s="41"/>
      <c r="R253" s="9"/>
      <c r="S253" s="40"/>
      <c r="T253" s="9"/>
      <c r="U253" s="9"/>
      <c r="V253" s="9"/>
      <c r="W253" s="9"/>
      <c r="X253" s="9"/>
      <c r="Y253" s="9"/>
      <c r="Z253" s="10" t="str">
        <f aca="false">IF(A253="","",SG_Criteria!$B$6&amp;SG_Criteria!$B$11&amp;"\"&amp;A253&amp;"\")</f>
        <v/>
      </c>
      <c r="AA253" s="10" t="str">
        <f aca="false">IF(A253="","",A253&amp;"_CAD.dwg")</f>
        <v/>
      </c>
      <c r="AB253" s="10" t="str">
        <f aca="false">IF(A253="","",A253&amp;"_DWG.pdf")</f>
        <v/>
      </c>
      <c r="AC253" s="10" t="str">
        <f aca="false">IF(A253="","",IF(Y253="Y",A253&amp;"_STAAD.std","n/a"))</f>
        <v/>
      </c>
      <c r="AD253" s="10" t="str">
        <f aca="false">IF(A253="","",A253&amp;"_CALC.xlsx")</f>
        <v/>
      </c>
      <c r="AE253" s="10" t="str">
        <f aca="false">IF(A253="","",A253&amp;"_CALC.pdf")</f>
        <v/>
      </c>
      <c r="AF253" s="9"/>
      <c r="AG253" s="9"/>
      <c r="AH253" s="41"/>
      <c r="AI253" s="41"/>
      <c r="AJ253" s="41"/>
      <c r="AK253" s="41"/>
      <c r="AL253" s="41"/>
      <c r="AM253" s="38" t="str">
        <f aca="false">IF(OR(C253="",G253=""),"",IF(G253&lt;=IF(OR(C253="Soldier Pile &amp; Timber Lagging",C253="Trench Shoring Box",C253="Open Cut (battered)"),SG_Criteria!$B$34,SG_Criteria!$B$33),"No ERSS submission",IF(G253&lt;=SG_Criteria!$B$35,"QP(ST)",IF(G253&lt;=SG_Criteria!$B$36,"QP(ST) + AC","Geotechnical building works: QP(Geo) + AC"))))</f>
        <v/>
      </c>
      <c r="AN253" s="38" t="str">
        <f aca="false">IF(C253="","",IF(LEN(IF(AND(Q253&lt;&gt;"",Q253&lt;SG_Criteria!$B$37),"FAIL: base stability FOS &lt; "&amp;SG_Criteria!$B$37&amp;". ","")&amp;IF(AND(D253="Manhole",G253&gt;SG_Criteria!$B$36),"NOTE: BCA lists sewer manholes (pipe &lt;= 2 m dia) &gt; 6 m as non-GBW: QP(ST) + AC. ","")&amp;IF(AND(C253="Trench Shoring Box",H253="Kallang Formation (marine clay)"),"NOTE: check base heave / ground loss for shoring box in marine clay. ","")&amp;IF(AND(C253="Steel Sheet Pile Cofferdam",N(M253)&lt;G253*0.5),"NOTE: short toe embedment, check. ",""))=0,"OK",IF(AND(Q253&lt;&gt;"",Q253&lt;SG_Criteria!$B$37),"FAIL: base stability FOS &lt; "&amp;SG_Criteria!$B$37&amp;". ","")&amp;IF(AND(D253="Manhole",G253&gt;SG_Criteria!$B$36),"NOTE: BCA lists sewer manholes (pipe &lt;= 2 m dia) &gt; 6 m as non-GBW: QP(ST) + AC. ","")&amp;IF(AND(C253="Trench Shoring Box",H253="Kallang Formation (marine clay)"),"NOTE: check base heave / ground loss for shoring box in marine clay. ","")&amp;IF(AND(C253="Steel Sheet Pile Cofferdam",N(M253)&lt;G253*0.5),"NOTE: short toe embedment, check. ","")))</f>
        <v/>
      </c>
      <c r="AO253" s="9"/>
      <c r="AP253" s="9"/>
      <c r="AQ253" s="9"/>
      <c r="AR253" s="9"/>
      <c r="AS253" s="9"/>
      <c r="AT253" s="31"/>
      <c r="AU253" s="10" t="str">
        <f aca="false">IF(C253="","",IF(AND(V253="Approved",ISERROR(SEARCH("FAIL",AN253))),"Y","N"))</f>
        <v/>
      </c>
      <c r="AV253" s="10" t="str">
        <f aca="false">IF(C253="","",C253&amp;"|"&amp;G253&amp;"|"&amp;E253&amp;"|"&amp;H253&amp;"|"&amp;AU253)</f>
        <v/>
      </c>
    </row>
    <row r="254" customFormat="false" ht="15" hidden="false" customHeight="false" outlineLevel="0" collapsed="false">
      <c r="A254" s="10" t="str">
        <f aca="false">IF(C254="","","ERSS-"&amp;IFERROR(VLOOKUP(C254,Lists!$AK$4:$AL$21,2,0),"??")&amp;"-"&amp;TEXT(E254,"0000")&amp;"x"&amp;TEXT(F254,"0000")&amp;"-D"&amp;TEXT(G254*1000,"0000")&amp;"-"&amp;IFERROR(VLOOKUP(H254,Lists!$Y$4:$Z$21,2,0),"??")&amp;"-"&amp;U254)</f>
        <v/>
      </c>
      <c r="B254" s="10" t="str">
        <f aca="false">IF(C254="","",C254&amp;" for "&amp;D254&amp;", "&amp;E254&amp;" x "&amp;F254&amp;" pit, "&amp;TEXT(G254,"0.0")&amp;" m deep, "&amp;H254)</f>
        <v/>
      </c>
      <c r="C254" s="9"/>
      <c r="D254" s="9"/>
      <c r="E254" s="40"/>
      <c r="F254" s="40"/>
      <c r="G254" s="43"/>
      <c r="H254" s="9"/>
      <c r="I254" s="43"/>
      <c r="J254" s="40"/>
      <c r="K254" s="9"/>
      <c r="L254" s="43"/>
      <c r="M254" s="43"/>
      <c r="N254" s="40"/>
      <c r="O254" s="9"/>
      <c r="P254" s="9"/>
      <c r="Q254" s="41"/>
      <c r="R254" s="9"/>
      <c r="S254" s="40"/>
      <c r="T254" s="9"/>
      <c r="U254" s="9"/>
      <c r="V254" s="9"/>
      <c r="W254" s="9"/>
      <c r="X254" s="9"/>
      <c r="Y254" s="9"/>
      <c r="Z254" s="10" t="str">
        <f aca="false">IF(A254="","",SG_Criteria!$B$6&amp;SG_Criteria!$B$11&amp;"\"&amp;A254&amp;"\")</f>
        <v/>
      </c>
      <c r="AA254" s="10" t="str">
        <f aca="false">IF(A254="","",A254&amp;"_CAD.dwg")</f>
        <v/>
      </c>
      <c r="AB254" s="10" t="str">
        <f aca="false">IF(A254="","",A254&amp;"_DWG.pdf")</f>
        <v/>
      </c>
      <c r="AC254" s="10" t="str">
        <f aca="false">IF(A254="","",IF(Y254="Y",A254&amp;"_STAAD.std","n/a"))</f>
        <v/>
      </c>
      <c r="AD254" s="10" t="str">
        <f aca="false">IF(A254="","",A254&amp;"_CALC.xlsx")</f>
        <v/>
      </c>
      <c r="AE254" s="10" t="str">
        <f aca="false">IF(A254="","",A254&amp;"_CALC.pdf")</f>
        <v/>
      </c>
      <c r="AF254" s="9"/>
      <c r="AG254" s="9"/>
      <c r="AH254" s="41"/>
      <c r="AI254" s="41"/>
      <c r="AJ254" s="41"/>
      <c r="AK254" s="41"/>
      <c r="AL254" s="41"/>
      <c r="AM254" s="38" t="str">
        <f aca="false">IF(OR(C254="",G254=""),"",IF(G254&lt;=IF(OR(C254="Soldier Pile &amp; Timber Lagging",C254="Trench Shoring Box",C254="Open Cut (battered)"),SG_Criteria!$B$34,SG_Criteria!$B$33),"No ERSS submission",IF(G254&lt;=SG_Criteria!$B$35,"QP(ST)",IF(G254&lt;=SG_Criteria!$B$36,"QP(ST) + AC","Geotechnical building works: QP(Geo) + AC"))))</f>
        <v/>
      </c>
      <c r="AN254" s="38" t="str">
        <f aca="false">IF(C254="","",IF(LEN(IF(AND(Q254&lt;&gt;"",Q254&lt;SG_Criteria!$B$37),"FAIL: base stability FOS &lt; "&amp;SG_Criteria!$B$37&amp;". ","")&amp;IF(AND(D254="Manhole",G254&gt;SG_Criteria!$B$36),"NOTE: BCA lists sewer manholes (pipe &lt;= 2 m dia) &gt; 6 m as non-GBW: QP(ST) + AC. ","")&amp;IF(AND(C254="Trench Shoring Box",H254="Kallang Formation (marine clay)"),"NOTE: check base heave / ground loss for shoring box in marine clay. ","")&amp;IF(AND(C254="Steel Sheet Pile Cofferdam",N(M254)&lt;G254*0.5),"NOTE: short toe embedment, check. ",""))=0,"OK",IF(AND(Q254&lt;&gt;"",Q254&lt;SG_Criteria!$B$37),"FAIL: base stability FOS &lt; "&amp;SG_Criteria!$B$37&amp;". ","")&amp;IF(AND(D254="Manhole",G254&gt;SG_Criteria!$B$36),"NOTE: BCA lists sewer manholes (pipe &lt;= 2 m dia) &gt; 6 m as non-GBW: QP(ST) + AC. ","")&amp;IF(AND(C254="Trench Shoring Box",H254="Kallang Formation (marine clay)"),"NOTE: check base heave / ground loss for shoring box in marine clay. ","")&amp;IF(AND(C254="Steel Sheet Pile Cofferdam",N(M254)&lt;G254*0.5),"NOTE: short toe embedment, check. ","")))</f>
        <v/>
      </c>
      <c r="AO254" s="9"/>
      <c r="AP254" s="9"/>
      <c r="AQ254" s="9"/>
      <c r="AR254" s="9"/>
      <c r="AS254" s="9"/>
      <c r="AT254" s="31"/>
      <c r="AU254" s="10" t="str">
        <f aca="false">IF(C254="","",IF(AND(V254="Approved",ISERROR(SEARCH("FAIL",AN254))),"Y","N"))</f>
        <v/>
      </c>
      <c r="AV254" s="10" t="str">
        <f aca="false">IF(C254="","",C254&amp;"|"&amp;G254&amp;"|"&amp;E254&amp;"|"&amp;H254&amp;"|"&amp;AU254)</f>
        <v/>
      </c>
    </row>
    <row r="255" customFormat="false" ht="15" hidden="false" customHeight="false" outlineLevel="0" collapsed="false">
      <c r="A255" s="10" t="str">
        <f aca="false">IF(C255="","","ERSS-"&amp;IFERROR(VLOOKUP(C255,Lists!$AK$4:$AL$21,2,0),"??")&amp;"-"&amp;TEXT(E255,"0000")&amp;"x"&amp;TEXT(F255,"0000")&amp;"-D"&amp;TEXT(G255*1000,"0000")&amp;"-"&amp;IFERROR(VLOOKUP(H255,Lists!$Y$4:$Z$21,2,0),"??")&amp;"-"&amp;U255)</f>
        <v/>
      </c>
      <c r="B255" s="10" t="str">
        <f aca="false">IF(C255="","",C255&amp;" for "&amp;D255&amp;", "&amp;E255&amp;" x "&amp;F255&amp;" pit, "&amp;TEXT(G255,"0.0")&amp;" m deep, "&amp;H255)</f>
        <v/>
      </c>
      <c r="C255" s="9"/>
      <c r="D255" s="9"/>
      <c r="E255" s="40"/>
      <c r="F255" s="40"/>
      <c r="G255" s="43"/>
      <c r="H255" s="9"/>
      <c r="I255" s="43"/>
      <c r="J255" s="40"/>
      <c r="K255" s="9"/>
      <c r="L255" s="43"/>
      <c r="M255" s="43"/>
      <c r="N255" s="40"/>
      <c r="O255" s="9"/>
      <c r="P255" s="9"/>
      <c r="Q255" s="41"/>
      <c r="R255" s="9"/>
      <c r="S255" s="40"/>
      <c r="T255" s="9"/>
      <c r="U255" s="9"/>
      <c r="V255" s="9"/>
      <c r="W255" s="9"/>
      <c r="X255" s="9"/>
      <c r="Y255" s="9"/>
      <c r="Z255" s="10" t="str">
        <f aca="false">IF(A255="","",SG_Criteria!$B$6&amp;SG_Criteria!$B$11&amp;"\"&amp;A255&amp;"\")</f>
        <v/>
      </c>
      <c r="AA255" s="10" t="str">
        <f aca="false">IF(A255="","",A255&amp;"_CAD.dwg")</f>
        <v/>
      </c>
      <c r="AB255" s="10" t="str">
        <f aca="false">IF(A255="","",A255&amp;"_DWG.pdf")</f>
        <v/>
      </c>
      <c r="AC255" s="10" t="str">
        <f aca="false">IF(A255="","",IF(Y255="Y",A255&amp;"_STAAD.std","n/a"))</f>
        <v/>
      </c>
      <c r="AD255" s="10" t="str">
        <f aca="false">IF(A255="","",A255&amp;"_CALC.xlsx")</f>
        <v/>
      </c>
      <c r="AE255" s="10" t="str">
        <f aca="false">IF(A255="","",A255&amp;"_CALC.pdf")</f>
        <v/>
      </c>
      <c r="AF255" s="9"/>
      <c r="AG255" s="9"/>
      <c r="AH255" s="41"/>
      <c r="AI255" s="41"/>
      <c r="AJ255" s="41"/>
      <c r="AK255" s="41"/>
      <c r="AL255" s="41"/>
      <c r="AM255" s="38" t="str">
        <f aca="false">IF(OR(C255="",G255=""),"",IF(G255&lt;=IF(OR(C255="Soldier Pile &amp; Timber Lagging",C255="Trench Shoring Box",C255="Open Cut (battered)"),SG_Criteria!$B$34,SG_Criteria!$B$33),"No ERSS submission",IF(G255&lt;=SG_Criteria!$B$35,"QP(ST)",IF(G255&lt;=SG_Criteria!$B$36,"QP(ST) + AC","Geotechnical building works: QP(Geo) + AC"))))</f>
        <v/>
      </c>
      <c r="AN255" s="38" t="str">
        <f aca="false">IF(C255="","",IF(LEN(IF(AND(Q255&lt;&gt;"",Q255&lt;SG_Criteria!$B$37),"FAIL: base stability FOS &lt; "&amp;SG_Criteria!$B$37&amp;". ","")&amp;IF(AND(D255="Manhole",G255&gt;SG_Criteria!$B$36),"NOTE: BCA lists sewer manholes (pipe &lt;= 2 m dia) &gt; 6 m as non-GBW: QP(ST) + AC. ","")&amp;IF(AND(C255="Trench Shoring Box",H255="Kallang Formation (marine clay)"),"NOTE: check base heave / ground loss for shoring box in marine clay. ","")&amp;IF(AND(C255="Steel Sheet Pile Cofferdam",N(M255)&lt;G255*0.5),"NOTE: short toe embedment, check. ",""))=0,"OK",IF(AND(Q255&lt;&gt;"",Q255&lt;SG_Criteria!$B$37),"FAIL: base stability FOS &lt; "&amp;SG_Criteria!$B$37&amp;". ","")&amp;IF(AND(D255="Manhole",G255&gt;SG_Criteria!$B$36),"NOTE: BCA lists sewer manholes (pipe &lt;= 2 m dia) &gt; 6 m as non-GBW: QP(ST) + AC. ","")&amp;IF(AND(C255="Trench Shoring Box",H255="Kallang Formation (marine clay)"),"NOTE: check base heave / ground loss for shoring box in marine clay. ","")&amp;IF(AND(C255="Steel Sheet Pile Cofferdam",N(M255)&lt;G255*0.5),"NOTE: short toe embedment, check. ","")))</f>
        <v/>
      </c>
      <c r="AO255" s="9"/>
      <c r="AP255" s="9"/>
      <c r="AQ255" s="9"/>
      <c r="AR255" s="9"/>
      <c r="AS255" s="9"/>
      <c r="AT255" s="31"/>
      <c r="AU255" s="10" t="str">
        <f aca="false">IF(C255="","",IF(AND(V255="Approved",ISERROR(SEARCH("FAIL",AN255))),"Y","N"))</f>
        <v/>
      </c>
      <c r="AV255" s="10" t="str">
        <f aca="false">IF(C255="","",C255&amp;"|"&amp;G255&amp;"|"&amp;E255&amp;"|"&amp;H255&amp;"|"&amp;AU255)</f>
        <v/>
      </c>
    </row>
    <row r="256" customFormat="false" ht="15" hidden="false" customHeight="false" outlineLevel="0" collapsed="false">
      <c r="A256" s="10" t="str">
        <f aca="false">IF(C256="","","ERSS-"&amp;IFERROR(VLOOKUP(C256,Lists!$AK$4:$AL$21,2,0),"??")&amp;"-"&amp;TEXT(E256,"0000")&amp;"x"&amp;TEXT(F256,"0000")&amp;"-D"&amp;TEXT(G256*1000,"0000")&amp;"-"&amp;IFERROR(VLOOKUP(H256,Lists!$Y$4:$Z$21,2,0),"??")&amp;"-"&amp;U256)</f>
        <v/>
      </c>
      <c r="B256" s="10" t="str">
        <f aca="false">IF(C256="","",C256&amp;" for "&amp;D256&amp;", "&amp;E256&amp;" x "&amp;F256&amp;" pit, "&amp;TEXT(G256,"0.0")&amp;" m deep, "&amp;H256)</f>
        <v/>
      </c>
      <c r="C256" s="9"/>
      <c r="D256" s="9"/>
      <c r="E256" s="40"/>
      <c r="F256" s="40"/>
      <c r="G256" s="43"/>
      <c r="H256" s="9"/>
      <c r="I256" s="43"/>
      <c r="J256" s="40"/>
      <c r="K256" s="9"/>
      <c r="L256" s="43"/>
      <c r="M256" s="43"/>
      <c r="N256" s="40"/>
      <c r="O256" s="9"/>
      <c r="P256" s="9"/>
      <c r="Q256" s="41"/>
      <c r="R256" s="9"/>
      <c r="S256" s="40"/>
      <c r="T256" s="9"/>
      <c r="U256" s="9"/>
      <c r="V256" s="9"/>
      <c r="W256" s="9"/>
      <c r="X256" s="9"/>
      <c r="Y256" s="9"/>
      <c r="Z256" s="10" t="str">
        <f aca="false">IF(A256="","",SG_Criteria!$B$6&amp;SG_Criteria!$B$11&amp;"\"&amp;A256&amp;"\")</f>
        <v/>
      </c>
      <c r="AA256" s="10" t="str">
        <f aca="false">IF(A256="","",A256&amp;"_CAD.dwg")</f>
        <v/>
      </c>
      <c r="AB256" s="10" t="str">
        <f aca="false">IF(A256="","",A256&amp;"_DWG.pdf")</f>
        <v/>
      </c>
      <c r="AC256" s="10" t="str">
        <f aca="false">IF(A256="","",IF(Y256="Y",A256&amp;"_STAAD.std","n/a"))</f>
        <v/>
      </c>
      <c r="AD256" s="10" t="str">
        <f aca="false">IF(A256="","",A256&amp;"_CALC.xlsx")</f>
        <v/>
      </c>
      <c r="AE256" s="10" t="str">
        <f aca="false">IF(A256="","",A256&amp;"_CALC.pdf")</f>
        <v/>
      </c>
      <c r="AF256" s="9"/>
      <c r="AG256" s="9"/>
      <c r="AH256" s="41"/>
      <c r="AI256" s="41"/>
      <c r="AJ256" s="41"/>
      <c r="AK256" s="41"/>
      <c r="AL256" s="41"/>
      <c r="AM256" s="38" t="str">
        <f aca="false">IF(OR(C256="",G256=""),"",IF(G256&lt;=IF(OR(C256="Soldier Pile &amp; Timber Lagging",C256="Trench Shoring Box",C256="Open Cut (battered)"),SG_Criteria!$B$34,SG_Criteria!$B$33),"No ERSS submission",IF(G256&lt;=SG_Criteria!$B$35,"QP(ST)",IF(G256&lt;=SG_Criteria!$B$36,"QP(ST) + AC","Geotechnical building works: QP(Geo) + AC"))))</f>
        <v/>
      </c>
      <c r="AN256" s="38" t="str">
        <f aca="false">IF(C256="","",IF(LEN(IF(AND(Q256&lt;&gt;"",Q256&lt;SG_Criteria!$B$37),"FAIL: base stability FOS &lt; "&amp;SG_Criteria!$B$37&amp;". ","")&amp;IF(AND(D256="Manhole",G256&gt;SG_Criteria!$B$36),"NOTE: BCA lists sewer manholes (pipe &lt;= 2 m dia) &gt; 6 m as non-GBW: QP(ST) + AC. ","")&amp;IF(AND(C256="Trench Shoring Box",H256="Kallang Formation (marine clay)"),"NOTE: check base heave / ground loss for shoring box in marine clay. ","")&amp;IF(AND(C256="Steel Sheet Pile Cofferdam",N(M256)&lt;G256*0.5),"NOTE: short toe embedment, check. ",""))=0,"OK",IF(AND(Q256&lt;&gt;"",Q256&lt;SG_Criteria!$B$37),"FAIL: base stability FOS &lt; "&amp;SG_Criteria!$B$37&amp;". ","")&amp;IF(AND(D256="Manhole",G256&gt;SG_Criteria!$B$36),"NOTE: BCA lists sewer manholes (pipe &lt;= 2 m dia) &gt; 6 m as non-GBW: QP(ST) + AC. ","")&amp;IF(AND(C256="Trench Shoring Box",H256="Kallang Formation (marine clay)"),"NOTE: check base heave / ground loss for shoring box in marine clay. ","")&amp;IF(AND(C256="Steel Sheet Pile Cofferdam",N(M256)&lt;G256*0.5),"NOTE: short toe embedment, check. ","")))</f>
        <v/>
      </c>
      <c r="AO256" s="9"/>
      <c r="AP256" s="9"/>
      <c r="AQ256" s="9"/>
      <c r="AR256" s="9"/>
      <c r="AS256" s="9"/>
      <c r="AT256" s="31"/>
      <c r="AU256" s="10" t="str">
        <f aca="false">IF(C256="","",IF(AND(V256="Approved",ISERROR(SEARCH("FAIL",AN256))),"Y","N"))</f>
        <v/>
      </c>
      <c r="AV256" s="10" t="str">
        <f aca="false">IF(C256="","",C256&amp;"|"&amp;G256&amp;"|"&amp;E256&amp;"|"&amp;H256&amp;"|"&amp;AU256)</f>
        <v/>
      </c>
    </row>
    <row r="257" customFormat="false" ht="15" hidden="false" customHeight="false" outlineLevel="0" collapsed="false">
      <c r="A257" s="10" t="str">
        <f aca="false">IF(C257="","","ERSS-"&amp;IFERROR(VLOOKUP(C257,Lists!$AK$4:$AL$21,2,0),"??")&amp;"-"&amp;TEXT(E257,"0000")&amp;"x"&amp;TEXT(F257,"0000")&amp;"-D"&amp;TEXT(G257*1000,"0000")&amp;"-"&amp;IFERROR(VLOOKUP(H257,Lists!$Y$4:$Z$21,2,0),"??")&amp;"-"&amp;U257)</f>
        <v/>
      </c>
      <c r="B257" s="10" t="str">
        <f aca="false">IF(C257="","",C257&amp;" for "&amp;D257&amp;", "&amp;E257&amp;" x "&amp;F257&amp;" pit, "&amp;TEXT(G257,"0.0")&amp;" m deep, "&amp;H257)</f>
        <v/>
      </c>
      <c r="C257" s="9"/>
      <c r="D257" s="9"/>
      <c r="E257" s="40"/>
      <c r="F257" s="40"/>
      <c r="G257" s="43"/>
      <c r="H257" s="9"/>
      <c r="I257" s="43"/>
      <c r="J257" s="40"/>
      <c r="K257" s="9"/>
      <c r="L257" s="43"/>
      <c r="M257" s="43"/>
      <c r="N257" s="40"/>
      <c r="O257" s="9"/>
      <c r="P257" s="9"/>
      <c r="Q257" s="41"/>
      <c r="R257" s="9"/>
      <c r="S257" s="40"/>
      <c r="T257" s="9"/>
      <c r="U257" s="9"/>
      <c r="V257" s="9"/>
      <c r="W257" s="9"/>
      <c r="X257" s="9"/>
      <c r="Y257" s="9"/>
      <c r="Z257" s="10" t="str">
        <f aca="false">IF(A257="","",SG_Criteria!$B$6&amp;SG_Criteria!$B$11&amp;"\"&amp;A257&amp;"\")</f>
        <v/>
      </c>
      <c r="AA257" s="10" t="str">
        <f aca="false">IF(A257="","",A257&amp;"_CAD.dwg")</f>
        <v/>
      </c>
      <c r="AB257" s="10" t="str">
        <f aca="false">IF(A257="","",A257&amp;"_DWG.pdf")</f>
        <v/>
      </c>
      <c r="AC257" s="10" t="str">
        <f aca="false">IF(A257="","",IF(Y257="Y",A257&amp;"_STAAD.std","n/a"))</f>
        <v/>
      </c>
      <c r="AD257" s="10" t="str">
        <f aca="false">IF(A257="","",A257&amp;"_CALC.xlsx")</f>
        <v/>
      </c>
      <c r="AE257" s="10" t="str">
        <f aca="false">IF(A257="","",A257&amp;"_CALC.pdf")</f>
        <v/>
      </c>
      <c r="AF257" s="9"/>
      <c r="AG257" s="9"/>
      <c r="AH257" s="41"/>
      <c r="AI257" s="41"/>
      <c r="AJ257" s="41"/>
      <c r="AK257" s="41"/>
      <c r="AL257" s="41"/>
      <c r="AM257" s="38" t="str">
        <f aca="false">IF(OR(C257="",G257=""),"",IF(G257&lt;=IF(OR(C257="Soldier Pile &amp; Timber Lagging",C257="Trench Shoring Box",C257="Open Cut (battered)"),SG_Criteria!$B$34,SG_Criteria!$B$33),"No ERSS submission",IF(G257&lt;=SG_Criteria!$B$35,"QP(ST)",IF(G257&lt;=SG_Criteria!$B$36,"QP(ST) + AC","Geotechnical building works: QP(Geo) + AC"))))</f>
        <v/>
      </c>
      <c r="AN257" s="38" t="str">
        <f aca="false">IF(C257="","",IF(LEN(IF(AND(Q257&lt;&gt;"",Q257&lt;SG_Criteria!$B$37),"FAIL: base stability FOS &lt; "&amp;SG_Criteria!$B$37&amp;". ","")&amp;IF(AND(D257="Manhole",G257&gt;SG_Criteria!$B$36),"NOTE: BCA lists sewer manholes (pipe &lt;= 2 m dia) &gt; 6 m as non-GBW: QP(ST) + AC. ","")&amp;IF(AND(C257="Trench Shoring Box",H257="Kallang Formation (marine clay)"),"NOTE: check base heave / ground loss for shoring box in marine clay. ","")&amp;IF(AND(C257="Steel Sheet Pile Cofferdam",N(M257)&lt;G257*0.5),"NOTE: short toe embedment, check. ",""))=0,"OK",IF(AND(Q257&lt;&gt;"",Q257&lt;SG_Criteria!$B$37),"FAIL: base stability FOS &lt; "&amp;SG_Criteria!$B$37&amp;". ","")&amp;IF(AND(D257="Manhole",G257&gt;SG_Criteria!$B$36),"NOTE: BCA lists sewer manholes (pipe &lt;= 2 m dia) &gt; 6 m as non-GBW: QP(ST) + AC. ","")&amp;IF(AND(C257="Trench Shoring Box",H257="Kallang Formation (marine clay)"),"NOTE: check base heave / ground loss for shoring box in marine clay. ","")&amp;IF(AND(C257="Steel Sheet Pile Cofferdam",N(M257)&lt;G257*0.5),"NOTE: short toe embedment, check. ","")))</f>
        <v/>
      </c>
      <c r="AO257" s="9"/>
      <c r="AP257" s="9"/>
      <c r="AQ257" s="9"/>
      <c r="AR257" s="9"/>
      <c r="AS257" s="9"/>
      <c r="AT257" s="31"/>
      <c r="AU257" s="10" t="str">
        <f aca="false">IF(C257="","",IF(AND(V257="Approved",ISERROR(SEARCH("FAIL",AN257))),"Y","N"))</f>
        <v/>
      </c>
      <c r="AV257" s="10" t="str">
        <f aca="false">IF(C257="","",C257&amp;"|"&amp;G257&amp;"|"&amp;E257&amp;"|"&amp;H257&amp;"|"&amp;AU257)</f>
        <v/>
      </c>
    </row>
    <row r="258" customFormat="false" ht="15" hidden="false" customHeight="false" outlineLevel="0" collapsed="false">
      <c r="A258" s="10" t="str">
        <f aca="false">IF(C258="","","ERSS-"&amp;IFERROR(VLOOKUP(C258,Lists!$AK$4:$AL$21,2,0),"??")&amp;"-"&amp;TEXT(E258,"0000")&amp;"x"&amp;TEXT(F258,"0000")&amp;"-D"&amp;TEXT(G258*1000,"0000")&amp;"-"&amp;IFERROR(VLOOKUP(H258,Lists!$Y$4:$Z$21,2,0),"??")&amp;"-"&amp;U258)</f>
        <v/>
      </c>
      <c r="B258" s="10" t="str">
        <f aca="false">IF(C258="","",C258&amp;" for "&amp;D258&amp;", "&amp;E258&amp;" x "&amp;F258&amp;" pit, "&amp;TEXT(G258,"0.0")&amp;" m deep, "&amp;H258)</f>
        <v/>
      </c>
      <c r="C258" s="9"/>
      <c r="D258" s="9"/>
      <c r="E258" s="40"/>
      <c r="F258" s="40"/>
      <c r="G258" s="43"/>
      <c r="H258" s="9"/>
      <c r="I258" s="43"/>
      <c r="J258" s="40"/>
      <c r="K258" s="9"/>
      <c r="L258" s="43"/>
      <c r="M258" s="43"/>
      <c r="N258" s="40"/>
      <c r="O258" s="9"/>
      <c r="P258" s="9"/>
      <c r="Q258" s="41"/>
      <c r="R258" s="9"/>
      <c r="S258" s="40"/>
      <c r="T258" s="9"/>
      <c r="U258" s="9"/>
      <c r="V258" s="9"/>
      <c r="W258" s="9"/>
      <c r="X258" s="9"/>
      <c r="Y258" s="9"/>
      <c r="Z258" s="10" t="str">
        <f aca="false">IF(A258="","",SG_Criteria!$B$6&amp;SG_Criteria!$B$11&amp;"\"&amp;A258&amp;"\")</f>
        <v/>
      </c>
      <c r="AA258" s="10" t="str">
        <f aca="false">IF(A258="","",A258&amp;"_CAD.dwg")</f>
        <v/>
      </c>
      <c r="AB258" s="10" t="str">
        <f aca="false">IF(A258="","",A258&amp;"_DWG.pdf")</f>
        <v/>
      </c>
      <c r="AC258" s="10" t="str">
        <f aca="false">IF(A258="","",IF(Y258="Y",A258&amp;"_STAAD.std","n/a"))</f>
        <v/>
      </c>
      <c r="AD258" s="10" t="str">
        <f aca="false">IF(A258="","",A258&amp;"_CALC.xlsx")</f>
        <v/>
      </c>
      <c r="AE258" s="10" t="str">
        <f aca="false">IF(A258="","",A258&amp;"_CALC.pdf")</f>
        <v/>
      </c>
      <c r="AF258" s="9"/>
      <c r="AG258" s="9"/>
      <c r="AH258" s="41"/>
      <c r="AI258" s="41"/>
      <c r="AJ258" s="41"/>
      <c r="AK258" s="41"/>
      <c r="AL258" s="41"/>
      <c r="AM258" s="38" t="str">
        <f aca="false">IF(OR(C258="",G258=""),"",IF(G258&lt;=IF(OR(C258="Soldier Pile &amp; Timber Lagging",C258="Trench Shoring Box",C258="Open Cut (battered)"),SG_Criteria!$B$34,SG_Criteria!$B$33),"No ERSS submission",IF(G258&lt;=SG_Criteria!$B$35,"QP(ST)",IF(G258&lt;=SG_Criteria!$B$36,"QP(ST) + AC","Geotechnical building works: QP(Geo) + AC"))))</f>
        <v/>
      </c>
      <c r="AN258" s="38" t="str">
        <f aca="false">IF(C258="","",IF(LEN(IF(AND(Q258&lt;&gt;"",Q258&lt;SG_Criteria!$B$37),"FAIL: base stability FOS &lt; "&amp;SG_Criteria!$B$37&amp;". ","")&amp;IF(AND(D258="Manhole",G258&gt;SG_Criteria!$B$36),"NOTE: BCA lists sewer manholes (pipe &lt;= 2 m dia) &gt; 6 m as non-GBW: QP(ST) + AC. ","")&amp;IF(AND(C258="Trench Shoring Box",H258="Kallang Formation (marine clay)"),"NOTE: check base heave / ground loss for shoring box in marine clay. ","")&amp;IF(AND(C258="Steel Sheet Pile Cofferdam",N(M258)&lt;G258*0.5),"NOTE: short toe embedment, check. ",""))=0,"OK",IF(AND(Q258&lt;&gt;"",Q258&lt;SG_Criteria!$B$37),"FAIL: base stability FOS &lt; "&amp;SG_Criteria!$B$37&amp;". ","")&amp;IF(AND(D258="Manhole",G258&gt;SG_Criteria!$B$36),"NOTE: BCA lists sewer manholes (pipe &lt;= 2 m dia) &gt; 6 m as non-GBW: QP(ST) + AC. ","")&amp;IF(AND(C258="Trench Shoring Box",H258="Kallang Formation (marine clay)"),"NOTE: check base heave / ground loss for shoring box in marine clay. ","")&amp;IF(AND(C258="Steel Sheet Pile Cofferdam",N(M258)&lt;G258*0.5),"NOTE: short toe embedment, check. ","")))</f>
        <v/>
      </c>
      <c r="AO258" s="9"/>
      <c r="AP258" s="9"/>
      <c r="AQ258" s="9"/>
      <c r="AR258" s="9"/>
      <c r="AS258" s="9"/>
      <c r="AT258" s="31"/>
      <c r="AU258" s="10" t="str">
        <f aca="false">IF(C258="","",IF(AND(V258="Approved",ISERROR(SEARCH("FAIL",AN258))),"Y","N"))</f>
        <v/>
      </c>
      <c r="AV258" s="10" t="str">
        <f aca="false">IF(C258="","",C258&amp;"|"&amp;G258&amp;"|"&amp;E258&amp;"|"&amp;H258&amp;"|"&amp;AU258)</f>
        <v/>
      </c>
    </row>
    <row r="259" customFormat="false" ht="15" hidden="false" customHeight="false" outlineLevel="0" collapsed="false">
      <c r="A259" s="10" t="str">
        <f aca="false">IF(C259="","","ERSS-"&amp;IFERROR(VLOOKUP(C259,Lists!$AK$4:$AL$21,2,0),"??")&amp;"-"&amp;TEXT(E259,"0000")&amp;"x"&amp;TEXT(F259,"0000")&amp;"-D"&amp;TEXT(G259*1000,"0000")&amp;"-"&amp;IFERROR(VLOOKUP(H259,Lists!$Y$4:$Z$21,2,0),"??")&amp;"-"&amp;U259)</f>
        <v/>
      </c>
      <c r="B259" s="10" t="str">
        <f aca="false">IF(C259="","",C259&amp;" for "&amp;D259&amp;", "&amp;E259&amp;" x "&amp;F259&amp;" pit, "&amp;TEXT(G259,"0.0")&amp;" m deep, "&amp;H259)</f>
        <v/>
      </c>
      <c r="C259" s="9"/>
      <c r="D259" s="9"/>
      <c r="E259" s="40"/>
      <c r="F259" s="40"/>
      <c r="G259" s="43"/>
      <c r="H259" s="9"/>
      <c r="I259" s="43"/>
      <c r="J259" s="40"/>
      <c r="K259" s="9"/>
      <c r="L259" s="43"/>
      <c r="M259" s="43"/>
      <c r="N259" s="40"/>
      <c r="O259" s="9"/>
      <c r="P259" s="9"/>
      <c r="Q259" s="41"/>
      <c r="R259" s="9"/>
      <c r="S259" s="40"/>
      <c r="T259" s="9"/>
      <c r="U259" s="9"/>
      <c r="V259" s="9"/>
      <c r="W259" s="9"/>
      <c r="X259" s="9"/>
      <c r="Y259" s="9"/>
      <c r="Z259" s="10" t="str">
        <f aca="false">IF(A259="","",SG_Criteria!$B$6&amp;SG_Criteria!$B$11&amp;"\"&amp;A259&amp;"\")</f>
        <v/>
      </c>
      <c r="AA259" s="10" t="str">
        <f aca="false">IF(A259="","",A259&amp;"_CAD.dwg")</f>
        <v/>
      </c>
      <c r="AB259" s="10" t="str">
        <f aca="false">IF(A259="","",A259&amp;"_DWG.pdf")</f>
        <v/>
      </c>
      <c r="AC259" s="10" t="str">
        <f aca="false">IF(A259="","",IF(Y259="Y",A259&amp;"_STAAD.std","n/a"))</f>
        <v/>
      </c>
      <c r="AD259" s="10" t="str">
        <f aca="false">IF(A259="","",A259&amp;"_CALC.xlsx")</f>
        <v/>
      </c>
      <c r="AE259" s="10" t="str">
        <f aca="false">IF(A259="","",A259&amp;"_CALC.pdf")</f>
        <v/>
      </c>
      <c r="AF259" s="9"/>
      <c r="AG259" s="9"/>
      <c r="AH259" s="41"/>
      <c r="AI259" s="41"/>
      <c r="AJ259" s="41"/>
      <c r="AK259" s="41"/>
      <c r="AL259" s="41"/>
      <c r="AM259" s="38" t="str">
        <f aca="false">IF(OR(C259="",G259=""),"",IF(G259&lt;=IF(OR(C259="Soldier Pile &amp; Timber Lagging",C259="Trench Shoring Box",C259="Open Cut (battered)"),SG_Criteria!$B$34,SG_Criteria!$B$33),"No ERSS submission",IF(G259&lt;=SG_Criteria!$B$35,"QP(ST)",IF(G259&lt;=SG_Criteria!$B$36,"QP(ST) + AC","Geotechnical building works: QP(Geo) + AC"))))</f>
        <v/>
      </c>
      <c r="AN259" s="38" t="str">
        <f aca="false">IF(C259="","",IF(LEN(IF(AND(Q259&lt;&gt;"",Q259&lt;SG_Criteria!$B$37),"FAIL: base stability FOS &lt; "&amp;SG_Criteria!$B$37&amp;". ","")&amp;IF(AND(D259="Manhole",G259&gt;SG_Criteria!$B$36),"NOTE: BCA lists sewer manholes (pipe &lt;= 2 m dia) &gt; 6 m as non-GBW: QP(ST) + AC. ","")&amp;IF(AND(C259="Trench Shoring Box",H259="Kallang Formation (marine clay)"),"NOTE: check base heave / ground loss for shoring box in marine clay. ","")&amp;IF(AND(C259="Steel Sheet Pile Cofferdam",N(M259)&lt;G259*0.5),"NOTE: short toe embedment, check. ",""))=0,"OK",IF(AND(Q259&lt;&gt;"",Q259&lt;SG_Criteria!$B$37),"FAIL: base stability FOS &lt; "&amp;SG_Criteria!$B$37&amp;". ","")&amp;IF(AND(D259="Manhole",G259&gt;SG_Criteria!$B$36),"NOTE: BCA lists sewer manholes (pipe &lt;= 2 m dia) &gt; 6 m as non-GBW: QP(ST) + AC. ","")&amp;IF(AND(C259="Trench Shoring Box",H259="Kallang Formation (marine clay)"),"NOTE: check base heave / ground loss for shoring box in marine clay. ","")&amp;IF(AND(C259="Steel Sheet Pile Cofferdam",N(M259)&lt;G259*0.5),"NOTE: short toe embedment, check. ","")))</f>
        <v/>
      </c>
      <c r="AO259" s="9"/>
      <c r="AP259" s="9"/>
      <c r="AQ259" s="9"/>
      <c r="AR259" s="9"/>
      <c r="AS259" s="9"/>
      <c r="AT259" s="31"/>
      <c r="AU259" s="10" t="str">
        <f aca="false">IF(C259="","",IF(AND(V259="Approved",ISERROR(SEARCH("FAIL",AN259))),"Y","N"))</f>
        <v/>
      </c>
      <c r="AV259" s="10" t="str">
        <f aca="false">IF(C259="","",C259&amp;"|"&amp;G259&amp;"|"&amp;E259&amp;"|"&amp;H259&amp;"|"&amp;AU259)</f>
        <v/>
      </c>
    </row>
    <row r="260" customFormat="false" ht="15" hidden="false" customHeight="false" outlineLevel="0" collapsed="false">
      <c r="A260" s="10" t="str">
        <f aca="false">IF(C260="","","ERSS-"&amp;IFERROR(VLOOKUP(C260,Lists!$AK$4:$AL$21,2,0),"??")&amp;"-"&amp;TEXT(E260,"0000")&amp;"x"&amp;TEXT(F260,"0000")&amp;"-D"&amp;TEXT(G260*1000,"0000")&amp;"-"&amp;IFERROR(VLOOKUP(H260,Lists!$Y$4:$Z$21,2,0),"??")&amp;"-"&amp;U260)</f>
        <v/>
      </c>
      <c r="B260" s="10" t="str">
        <f aca="false">IF(C260="","",C260&amp;" for "&amp;D260&amp;", "&amp;E260&amp;" x "&amp;F260&amp;" pit, "&amp;TEXT(G260,"0.0")&amp;" m deep, "&amp;H260)</f>
        <v/>
      </c>
      <c r="C260" s="9"/>
      <c r="D260" s="9"/>
      <c r="E260" s="40"/>
      <c r="F260" s="40"/>
      <c r="G260" s="43"/>
      <c r="H260" s="9"/>
      <c r="I260" s="43"/>
      <c r="J260" s="40"/>
      <c r="K260" s="9"/>
      <c r="L260" s="43"/>
      <c r="M260" s="43"/>
      <c r="N260" s="40"/>
      <c r="O260" s="9"/>
      <c r="P260" s="9"/>
      <c r="Q260" s="41"/>
      <c r="R260" s="9"/>
      <c r="S260" s="40"/>
      <c r="T260" s="9"/>
      <c r="U260" s="9"/>
      <c r="V260" s="9"/>
      <c r="W260" s="9"/>
      <c r="X260" s="9"/>
      <c r="Y260" s="9"/>
      <c r="Z260" s="10" t="str">
        <f aca="false">IF(A260="","",SG_Criteria!$B$6&amp;SG_Criteria!$B$11&amp;"\"&amp;A260&amp;"\")</f>
        <v/>
      </c>
      <c r="AA260" s="10" t="str">
        <f aca="false">IF(A260="","",A260&amp;"_CAD.dwg")</f>
        <v/>
      </c>
      <c r="AB260" s="10" t="str">
        <f aca="false">IF(A260="","",A260&amp;"_DWG.pdf")</f>
        <v/>
      </c>
      <c r="AC260" s="10" t="str">
        <f aca="false">IF(A260="","",IF(Y260="Y",A260&amp;"_STAAD.std","n/a"))</f>
        <v/>
      </c>
      <c r="AD260" s="10" t="str">
        <f aca="false">IF(A260="","",A260&amp;"_CALC.xlsx")</f>
        <v/>
      </c>
      <c r="AE260" s="10" t="str">
        <f aca="false">IF(A260="","",A260&amp;"_CALC.pdf")</f>
        <v/>
      </c>
      <c r="AF260" s="9"/>
      <c r="AG260" s="9"/>
      <c r="AH260" s="41"/>
      <c r="AI260" s="41"/>
      <c r="AJ260" s="41"/>
      <c r="AK260" s="41"/>
      <c r="AL260" s="41"/>
      <c r="AM260" s="38" t="str">
        <f aca="false">IF(OR(C260="",G260=""),"",IF(G260&lt;=IF(OR(C260="Soldier Pile &amp; Timber Lagging",C260="Trench Shoring Box",C260="Open Cut (battered)"),SG_Criteria!$B$34,SG_Criteria!$B$33),"No ERSS submission",IF(G260&lt;=SG_Criteria!$B$35,"QP(ST)",IF(G260&lt;=SG_Criteria!$B$36,"QP(ST) + AC","Geotechnical building works: QP(Geo) + AC"))))</f>
        <v/>
      </c>
      <c r="AN260" s="38" t="str">
        <f aca="false">IF(C260="","",IF(LEN(IF(AND(Q260&lt;&gt;"",Q260&lt;SG_Criteria!$B$37),"FAIL: base stability FOS &lt; "&amp;SG_Criteria!$B$37&amp;". ","")&amp;IF(AND(D260="Manhole",G260&gt;SG_Criteria!$B$36),"NOTE: BCA lists sewer manholes (pipe &lt;= 2 m dia) &gt; 6 m as non-GBW: QP(ST) + AC. ","")&amp;IF(AND(C260="Trench Shoring Box",H260="Kallang Formation (marine clay)"),"NOTE: check base heave / ground loss for shoring box in marine clay. ","")&amp;IF(AND(C260="Steel Sheet Pile Cofferdam",N(M260)&lt;G260*0.5),"NOTE: short toe embedment, check. ",""))=0,"OK",IF(AND(Q260&lt;&gt;"",Q260&lt;SG_Criteria!$B$37),"FAIL: base stability FOS &lt; "&amp;SG_Criteria!$B$37&amp;". ","")&amp;IF(AND(D260="Manhole",G260&gt;SG_Criteria!$B$36),"NOTE: BCA lists sewer manholes (pipe &lt;= 2 m dia) &gt; 6 m as non-GBW: QP(ST) + AC. ","")&amp;IF(AND(C260="Trench Shoring Box",H260="Kallang Formation (marine clay)"),"NOTE: check base heave / ground loss for shoring box in marine clay. ","")&amp;IF(AND(C260="Steel Sheet Pile Cofferdam",N(M260)&lt;G260*0.5),"NOTE: short toe embedment, check. ","")))</f>
        <v/>
      </c>
      <c r="AO260" s="9"/>
      <c r="AP260" s="9"/>
      <c r="AQ260" s="9"/>
      <c r="AR260" s="9"/>
      <c r="AS260" s="9"/>
      <c r="AT260" s="31"/>
      <c r="AU260" s="10" t="str">
        <f aca="false">IF(C260="","",IF(AND(V260="Approved",ISERROR(SEARCH("FAIL",AN260))),"Y","N"))</f>
        <v/>
      </c>
      <c r="AV260" s="10" t="str">
        <f aca="false">IF(C260="","",C260&amp;"|"&amp;G260&amp;"|"&amp;E260&amp;"|"&amp;H260&amp;"|"&amp;AU260)</f>
        <v/>
      </c>
    </row>
    <row r="261" customFormat="false" ht="15" hidden="false" customHeight="false" outlineLevel="0" collapsed="false">
      <c r="A261" s="10" t="str">
        <f aca="false">IF(C261="","","ERSS-"&amp;IFERROR(VLOOKUP(C261,Lists!$AK$4:$AL$21,2,0),"??")&amp;"-"&amp;TEXT(E261,"0000")&amp;"x"&amp;TEXT(F261,"0000")&amp;"-D"&amp;TEXT(G261*1000,"0000")&amp;"-"&amp;IFERROR(VLOOKUP(H261,Lists!$Y$4:$Z$21,2,0),"??")&amp;"-"&amp;U261)</f>
        <v/>
      </c>
      <c r="B261" s="10" t="str">
        <f aca="false">IF(C261="","",C261&amp;" for "&amp;D261&amp;", "&amp;E261&amp;" x "&amp;F261&amp;" pit, "&amp;TEXT(G261,"0.0")&amp;" m deep, "&amp;H261)</f>
        <v/>
      </c>
      <c r="C261" s="9"/>
      <c r="D261" s="9"/>
      <c r="E261" s="40"/>
      <c r="F261" s="40"/>
      <c r="G261" s="43"/>
      <c r="H261" s="9"/>
      <c r="I261" s="43"/>
      <c r="J261" s="40"/>
      <c r="K261" s="9"/>
      <c r="L261" s="43"/>
      <c r="M261" s="43"/>
      <c r="N261" s="40"/>
      <c r="O261" s="9"/>
      <c r="P261" s="9"/>
      <c r="Q261" s="41"/>
      <c r="R261" s="9"/>
      <c r="S261" s="40"/>
      <c r="T261" s="9"/>
      <c r="U261" s="9"/>
      <c r="V261" s="9"/>
      <c r="W261" s="9"/>
      <c r="X261" s="9"/>
      <c r="Y261" s="9"/>
      <c r="Z261" s="10" t="str">
        <f aca="false">IF(A261="","",SG_Criteria!$B$6&amp;SG_Criteria!$B$11&amp;"\"&amp;A261&amp;"\")</f>
        <v/>
      </c>
      <c r="AA261" s="10" t="str">
        <f aca="false">IF(A261="","",A261&amp;"_CAD.dwg")</f>
        <v/>
      </c>
      <c r="AB261" s="10" t="str">
        <f aca="false">IF(A261="","",A261&amp;"_DWG.pdf")</f>
        <v/>
      </c>
      <c r="AC261" s="10" t="str">
        <f aca="false">IF(A261="","",IF(Y261="Y",A261&amp;"_STAAD.std","n/a"))</f>
        <v/>
      </c>
      <c r="AD261" s="10" t="str">
        <f aca="false">IF(A261="","",A261&amp;"_CALC.xlsx")</f>
        <v/>
      </c>
      <c r="AE261" s="10" t="str">
        <f aca="false">IF(A261="","",A261&amp;"_CALC.pdf")</f>
        <v/>
      </c>
      <c r="AF261" s="9"/>
      <c r="AG261" s="9"/>
      <c r="AH261" s="41"/>
      <c r="AI261" s="41"/>
      <c r="AJ261" s="41"/>
      <c r="AK261" s="41"/>
      <c r="AL261" s="41"/>
      <c r="AM261" s="38" t="str">
        <f aca="false">IF(OR(C261="",G261=""),"",IF(G261&lt;=IF(OR(C261="Soldier Pile &amp; Timber Lagging",C261="Trench Shoring Box",C261="Open Cut (battered)"),SG_Criteria!$B$34,SG_Criteria!$B$33),"No ERSS submission",IF(G261&lt;=SG_Criteria!$B$35,"QP(ST)",IF(G261&lt;=SG_Criteria!$B$36,"QP(ST) + AC","Geotechnical building works: QP(Geo) + AC"))))</f>
        <v/>
      </c>
      <c r="AN261" s="38" t="str">
        <f aca="false">IF(C261="","",IF(LEN(IF(AND(Q261&lt;&gt;"",Q261&lt;SG_Criteria!$B$37),"FAIL: base stability FOS &lt; "&amp;SG_Criteria!$B$37&amp;". ","")&amp;IF(AND(D261="Manhole",G261&gt;SG_Criteria!$B$36),"NOTE: BCA lists sewer manholes (pipe &lt;= 2 m dia) &gt; 6 m as non-GBW: QP(ST) + AC. ","")&amp;IF(AND(C261="Trench Shoring Box",H261="Kallang Formation (marine clay)"),"NOTE: check base heave / ground loss for shoring box in marine clay. ","")&amp;IF(AND(C261="Steel Sheet Pile Cofferdam",N(M261)&lt;G261*0.5),"NOTE: short toe embedment, check. ",""))=0,"OK",IF(AND(Q261&lt;&gt;"",Q261&lt;SG_Criteria!$B$37),"FAIL: base stability FOS &lt; "&amp;SG_Criteria!$B$37&amp;". ","")&amp;IF(AND(D261="Manhole",G261&gt;SG_Criteria!$B$36),"NOTE: BCA lists sewer manholes (pipe &lt;= 2 m dia) &gt; 6 m as non-GBW: QP(ST) + AC. ","")&amp;IF(AND(C261="Trench Shoring Box",H261="Kallang Formation (marine clay)"),"NOTE: check base heave / ground loss for shoring box in marine clay. ","")&amp;IF(AND(C261="Steel Sheet Pile Cofferdam",N(M261)&lt;G261*0.5),"NOTE: short toe embedment, check. ","")))</f>
        <v/>
      </c>
      <c r="AO261" s="9"/>
      <c r="AP261" s="9"/>
      <c r="AQ261" s="9"/>
      <c r="AR261" s="9"/>
      <c r="AS261" s="9"/>
      <c r="AT261" s="31"/>
      <c r="AU261" s="10" t="str">
        <f aca="false">IF(C261="","",IF(AND(V261="Approved",ISERROR(SEARCH("FAIL",AN261))),"Y","N"))</f>
        <v/>
      </c>
      <c r="AV261" s="10" t="str">
        <f aca="false">IF(C261="","",C261&amp;"|"&amp;G261&amp;"|"&amp;E261&amp;"|"&amp;H261&amp;"|"&amp;AU261)</f>
        <v/>
      </c>
    </row>
    <row r="262" customFormat="false" ht="15" hidden="false" customHeight="false" outlineLevel="0" collapsed="false">
      <c r="A262" s="10" t="str">
        <f aca="false">IF(C262="","","ERSS-"&amp;IFERROR(VLOOKUP(C262,Lists!$AK$4:$AL$21,2,0),"??")&amp;"-"&amp;TEXT(E262,"0000")&amp;"x"&amp;TEXT(F262,"0000")&amp;"-D"&amp;TEXT(G262*1000,"0000")&amp;"-"&amp;IFERROR(VLOOKUP(H262,Lists!$Y$4:$Z$21,2,0),"??")&amp;"-"&amp;U262)</f>
        <v/>
      </c>
      <c r="B262" s="10" t="str">
        <f aca="false">IF(C262="","",C262&amp;" for "&amp;D262&amp;", "&amp;E262&amp;" x "&amp;F262&amp;" pit, "&amp;TEXT(G262,"0.0")&amp;" m deep, "&amp;H262)</f>
        <v/>
      </c>
      <c r="C262" s="9"/>
      <c r="D262" s="9"/>
      <c r="E262" s="40"/>
      <c r="F262" s="40"/>
      <c r="G262" s="43"/>
      <c r="H262" s="9"/>
      <c r="I262" s="43"/>
      <c r="J262" s="40"/>
      <c r="K262" s="9"/>
      <c r="L262" s="43"/>
      <c r="M262" s="43"/>
      <c r="N262" s="40"/>
      <c r="O262" s="9"/>
      <c r="P262" s="9"/>
      <c r="Q262" s="41"/>
      <c r="R262" s="9"/>
      <c r="S262" s="40"/>
      <c r="T262" s="9"/>
      <c r="U262" s="9"/>
      <c r="V262" s="9"/>
      <c r="W262" s="9"/>
      <c r="X262" s="9"/>
      <c r="Y262" s="9"/>
      <c r="Z262" s="10" t="str">
        <f aca="false">IF(A262="","",SG_Criteria!$B$6&amp;SG_Criteria!$B$11&amp;"\"&amp;A262&amp;"\")</f>
        <v/>
      </c>
      <c r="AA262" s="10" t="str">
        <f aca="false">IF(A262="","",A262&amp;"_CAD.dwg")</f>
        <v/>
      </c>
      <c r="AB262" s="10" t="str">
        <f aca="false">IF(A262="","",A262&amp;"_DWG.pdf")</f>
        <v/>
      </c>
      <c r="AC262" s="10" t="str">
        <f aca="false">IF(A262="","",IF(Y262="Y",A262&amp;"_STAAD.std","n/a"))</f>
        <v/>
      </c>
      <c r="AD262" s="10" t="str">
        <f aca="false">IF(A262="","",A262&amp;"_CALC.xlsx")</f>
        <v/>
      </c>
      <c r="AE262" s="10" t="str">
        <f aca="false">IF(A262="","",A262&amp;"_CALC.pdf")</f>
        <v/>
      </c>
      <c r="AF262" s="9"/>
      <c r="AG262" s="9"/>
      <c r="AH262" s="41"/>
      <c r="AI262" s="41"/>
      <c r="AJ262" s="41"/>
      <c r="AK262" s="41"/>
      <c r="AL262" s="41"/>
      <c r="AM262" s="38" t="str">
        <f aca="false">IF(OR(C262="",G262=""),"",IF(G262&lt;=IF(OR(C262="Soldier Pile &amp; Timber Lagging",C262="Trench Shoring Box",C262="Open Cut (battered)"),SG_Criteria!$B$34,SG_Criteria!$B$33),"No ERSS submission",IF(G262&lt;=SG_Criteria!$B$35,"QP(ST)",IF(G262&lt;=SG_Criteria!$B$36,"QP(ST) + AC","Geotechnical building works: QP(Geo) + AC"))))</f>
        <v/>
      </c>
      <c r="AN262" s="38" t="str">
        <f aca="false">IF(C262="","",IF(LEN(IF(AND(Q262&lt;&gt;"",Q262&lt;SG_Criteria!$B$37),"FAIL: base stability FOS &lt; "&amp;SG_Criteria!$B$37&amp;". ","")&amp;IF(AND(D262="Manhole",G262&gt;SG_Criteria!$B$36),"NOTE: BCA lists sewer manholes (pipe &lt;= 2 m dia) &gt; 6 m as non-GBW: QP(ST) + AC. ","")&amp;IF(AND(C262="Trench Shoring Box",H262="Kallang Formation (marine clay)"),"NOTE: check base heave / ground loss for shoring box in marine clay. ","")&amp;IF(AND(C262="Steel Sheet Pile Cofferdam",N(M262)&lt;G262*0.5),"NOTE: short toe embedment, check. ",""))=0,"OK",IF(AND(Q262&lt;&gt;"",Q262&lt;SG_Criteria!$B$37),"FAIL: base stability FOS &lt; "&amp;SG_Criteria!$B$37&amp;". ","")&amp;IF(AND(D262="Manhole",G262&gt;SG_Criteria!$B$36),"NOTE: BCA lists sewer manholes (pipe &lt;= 2 m dia) &gt; 6 m as non-GBW: QP(ST) + AC. ","")&amp;IF(AND(C262="Trench Shoring Box",H262="Kallang Formation (marine clay)"),"NOTE: check base heave / ground loss for shoring box in marine clay. ","")&amp;IF(AND(C262="Steel Sheet Pile Cofferdam",N(M262)&lt;G262*0.5),"NOTE: short toe embedment, check. ","")))</f>
        <v/>
      </c>
      <c r="AO262" s="9"/>
      <c r="AP262" s="9"/>
      <c r="AQ262" s="9"/>
      <c r="AR262" s="9"/>
      <c r="AS262" s="9"/>
      <c r="AT262" s="31"/>
      <c r="AU262" s="10" t="str">
        <f aca="false">IF(C262="","",IF(AND(V262="Approved",ISERROR(SEARCH("FAIL",AN262))),"Y","N"))</f>
        <v/>
      </c>
      <c r="AV262" s="10" t="str">
        <f aca="false">IF(C262="","",C262&amp;"|"&amp;G262&amp;"|"&amp;E262&amp;"|"&amp;H262&amp;"|"&amp;AU262)</f>
        <v/>
      </c>
    </row>
    <row r="263" customFormat="false" ht="15" hidden="false" customHeight="false" outlineLevel="0" collapsed="false">
      <c r="A263" s="10" t="str">
        <f aca="false">IF(C263="","","ERSS-"&amp;IFERROR(VLOOKUP(C263,Lists!$AK$4:$AL$21,2,0),"??")&amp;"-"&amp;TEXT(E263,"0000")&amp;"x"&amp;TEXT(F263,"0000")&amp;"-D"&amp;TEXT(G263*1000,"0000")&amp;"-"&amp;IFERROR(VLOOKUP(H263,Lists!$Y$4:$Z$21,2,0),"??")&amp;"-"&amp;U263)</f>
        <v/>
      </c>
      <c r="B263" s="10" t="str">
        <f aca="false">IF(C263="","",C263&amp;" for "&amp;D263&amp;", "&amp;E263&amp;" x "&amp;F263&amp;" pit, "&amp;TEXT(G263,"0.0")&amp;" m deep, "&amp;H263)</f>
        <v/>
      </c>
      <c r="C263" s="9"/>
      <c r="D263" s="9"/>
      <c r="E263" s="40"/>
      <c r="F263" s="40"/>
      <c r="G263" s="43"/>
      <c r="H263" s="9"/>
      <c r="I263" s="43"/>
      <c r="J263" s="40"/>
      <c r="K263" s="9"/>
      <c r="L263" s="43"/>
      <c r="M263" s="43"/>
      <c r="N263" s="40"/>
      <c r="O263" s="9"/>
      <c r="P263" s="9"/>
      <c r="Q263" s="41"/>
      <c r="R263" s="9"/>
      <c r="S263" s="40"/>
      <c r="T263" s="9"/>
      <c r="U263" s="9"/>
      <c r="V263" s="9"/>
      <c r="W263" s="9"/>
      <c r="X263" s="9"/>
      <c r="Y263" s="9"/>
      <c r="Z263" s="10" t="str">
        <f aca="false">IF(A263="","",SG_Criteria!$B$6&amp;SG_Criteria!$B$11&amp;"\"&amp;A263&amp;"\")</f>
        <v/>
      </c>
      <c r="AA263" s="10" t="str">
        <f aca="false">IF(A263="","",A263&amp;"_CAD.dwg")</f>
        <v/>
      </c>
      <c r="AB263" s="10" t="str">
        <f aca="false">IF(A263="","",A263&amp;"_DWG.pdf")</f>
        <v/>
      </c>
      <c r="AC263" s="10" t="str">
        <f aca="false">IF(A263="","",IF(Y263="Y",A263&amp;"_STAAD.std","n/a"))</f>
        <v/>
      </c>
      <c r="AD263" s="10" t="str">
        <f aca="false">IF(A263="","",A263&amp;"_CALC.xlsx")</f>
        <v/>
      </c>
      <c r="AE263" s="10" t="str">
        <f aca="false">IF(A263="","",A263&amp;"_CALC.pdf")</f>
        <v/>
      </c>
      <c r="AF263" s="9"/>
      <c r="AG263" s="9"/>
      <c r="AH263" s="41"/>
      <c r="AI263" s="41"/>
      <c r="AJ263" s="41"/>
      <c r="AK263" s="41"/>
      <c r="AL263" s="41"/>
      <c r="AM263" s="38" t="str">
        <f aca="false">IF(OR(C263="",G263=""),"",IF(G263&lt;=IF(OR(C263="Soldier Pile &amp; Timber Lagging",C263="Trench Shoring Box",C263="Open Cut (battered)"),SG_Criteria!$B$34,SG_Criteria!$B$33),"No ERSS submission",IF(G263&lt;=SG_Criteria!$B$35,"QP(ST)",IF(G263&lt;=SG_Criteria!$B$36,"QP(ST) + AC","Geotechnical building works: QP(Geo) + AC"))))</f>
        <v/>
      </c>
      <c r="AN263" s="38" t="str">
        <f aca="false">IF(C263="","",IF(LEN(IF(AND(Q263&lt;&gt;"",Q263&lt;SG_Criteria!$B$37),"FAIL: base stability FOS &lt; "&amp;SG_Criteria!$B$37&amp;". ","")&amp;IF(AND(D263="Manhole",G263&gt;SG_Criteria!$B$36),"NOTE: BCA lists sewer manholes (pipe &lt;= 2 m dia) &gt; 6 m as non-GBW: QP(ST) + AC. ","")&amp;IF(AND(C263="Trench Shoring Box",H263="Kallang Formation (marine clay)"),"NOTE: check base heave / ground loss for shoring box in marine clay. ","")&amp;IF(AND(C263="Steel Sheet Pile Cofferdam",N(M263)&lt;G263*0.5),"NOTE: short toe embedment, check. ",""))=0,"OK",IF(AND(Q263&lt;&gt;"",Q263&lt;SG_Criteria!$B$37),"FAIL: base stability FOS &lt; "&amp;SG_Criteria!$B$37&amp;". ","")&amp;IF(AND(D263="Manhole",G263&gt;SG_Criteria!$B$36),"NOTE: BCA lists sewer manholes (pipe &lt;= 2 m dia) &gt; 6 m as non-GBW: QP(ST) + AC. ","")&amp;IF(AND(C263="Trench Shoring Box",H263="Kallang Formation (marine clay)"),"NOTE: check base heave / ground loss for shoring box in marine clay. ","")&amp;IF(AND(C263="Steel Sheet Pile Cofferdam",N(M263)&lt;G263*0.5),"NOTE: short toe embedment, check. ","")))</f>
        <v/>
      </c>
      <c r="AO263" s="9"/>
      <c r="AP263" s="9"/>
      <c r="AQ263" s="9"/>
      <c r="AR263" s="9"/>
      <c r="AS263" s="9"/>
      <c r="AT263" s="31"/>
      <c r="AU263" s="10" t="str">
        <f aca="false">IF(C263="","",IF(AND(V263="Approved",ISERROR(SEARCH("FAIL",AN263))),"Y","N"))</f>
        <v/>
      </c>
      <c r="AV263" s="10" t="str">
        <f aca="false">IF(C263="","",C263&amp;"|"&amp;G263&amp;"|"&amp;E263&amp;"|"&amp;H263&amp;"|"&amp;AU263)</f>
        <v/>
      </c>
    </row>
    <row r="264" customFormat="false" ht="15" hidden="false" customHeight="false" outlineLevel="0" collapsed="false">
      <c r="A264" s="10" t="str">
        <f aca="false">IF(C264="","","ERSS-"&amp;IFERROR(VLOOKUP(C264,Lists!$AK$4:$AL$21,2,0),"??")&amp;"-"&amp;TEXT(E264,"0000")&amp;"x"&amp;TEXT(F264,"0000")&amp;"-D"&amp;TEXT(G264*1000,"0000")&amp;"-"&amp;IFERROR(VLOOKUP(H264,Lists!$Y$4:$Z$21,2,0),"??")&amp;"-"&amp;U264)</f>
        <v/>
      </c>
      <c r="B264" s="10" t="str">
        <f aca="false">IF(C264="","",C264&amp;" for "&amp;D264&amp;", "&amp;E264&amp;" x "&amp;F264&amp;" pit, "&amp;TEXT(G264,"0.0")&amp;" m deep, "&amp;H264)</f>
        <v/>
      </c>
      <c r="C264" s="9"/>
      <c r="D264" s="9"/>
      <c r="E264" s="40"/>
      <c r="F264" s="40"/>
      <c r="G264" s="43"/>
      <c r="H264" s="9"/>
      <c r="I264" s="43"/>
      <c r="J264" s="40"/>
      <c r="K264" s="9"/>
      <c r="L264" s="43"/>
      <c r="M264" s="43"/>
      <c r="N264" s="40"/>
      <c r="O264" s="9"/>
      <c r="P264" s="9"/>
      <c r="Q264" s="41"/>
      <c r="R264" s="9"/>
      <c r="S264" s="40"/>
      <c r="T264" s="9"/>
      <c r="U264" s="9"/>
      <c r="V264" s="9"/>
      <c r="W264" s="9"/>
      <c r="X264" s="9"/>
      <c r="Y264" s="9"/>
      <c r="Z264" s="10" t="str">
        <f aca="false">IF(A264="","",SG_Criteria!$B$6&amp;SG_Criteria!$B$11&amp;"\"&amp;A264&amp;"\")</f>
        <v/>
      </c>
      <c r="AA264" s="10" t="str">
        <f aca="false">IF(A264="","",A264&amp;"_CAD.dwg")</f>
        <v/>
      </c>
      <c r="AB264" s="10" t="str">
        <f aca="false">IF(A264="","",A264&amp;"_DWG.pdf")</f>
        <v/>
      </c>
      <c r="AC264" s="10" t="str">
        <f aca="false">IF(A264="","",IF(Y264="Y",A264&amp;"_STAAD.std","n/a"))</f>
        <v/>
      </c>
      <c r="AD264" s="10" t="str">
        <f aca="false">IF(A264="","",A264&amp;"_CALC.xlsx")</f>
        <v/>
      </c>
      <c r="AE264" s="10" t="str">
        <f aca="false">IF(A264="","",A264&amp;"_CALC.pdf")</f>
        <v/>
      </c>
      <c r="AF264" s="9"/>
      <c r="AG264" s="9"/>
      <c r="AH264" s="41"/>
      <c r="AI264" s="41"/>
      <c r="AJ264" s="41"/>
      <c r="AK264" s="41"/>
      <c r="AL264" s="41"/>
      <c r="AM264" s="38" t="str">
        <f aca="false">IF(OR(C264="",G264=""),"",IF(G264&lt;=IF(OR(C264="Soldier Pile &amp; Timber Lagging",C264="Trench Shoring Box",C264="Open Cut (battered)"),SG_Criteria!$B$34,SG_Criteria!$B$33),"No ERSS submission",IF(G264&lt;=SG_Criteria!$B$35,"QP(ST)",IF(G264&lt;=SG_Criteria!$B$36,"QP(ST) + AC","Geotechnical building works: QP(Geo) + AC"))))</f>
        <v/>
      </c>
      <c r="AN264" s="38" t="str">
        <f aca="false">IF(C264="","",IF(LEN(IF(AND(Q264&lt;&gt;"",Q264&lt;SG_Criteria!$B$37),"FAIL: base stability FOS &lt; "&amp;SG_Criteria!$B$37&amp;". ","")&amp;IF(AND(D264="Manhole",G264&gt;SG_Criteria!$B$36),"NOTE: BCA lists sewer manholes (pipe &lt;= 2 m dia) &gt; 6 m as non-GBW: QP(ST) + AC. ","")&amp;IF(AND(C264="Trench Shoring Box",H264="Kallang Formation (marine clay)"),"NOTE: check base heave / ground loss for shoring box in marine clay. ","")&amp;IF(AND(C264="Steel Sheet Pile Cofferdam",N(M264)&lt;G264*0.5),"NOTE: short toe embedment, check. ",""))=0,"OK",IF(AND(Q264&lt;&gt;"",Q264&lt;SG_Criteria!$B$37),"FAIL: base stability FOS &lt; "&amp;SG_Criteria!$B$37&amp;". ","")&amp;IF(AND(D264="Manhole",G264&gt;SG_Criteria!$B$36),"NOTE: BCA lists sewer manholes (pipe &lt;= 2 m dia) &gt; 6 m as non-GBW: QP(ST) + AC. ","")&amp;IF(AND(C264="Trench Shoring Box",H264="Kallang Formation (marine clay)"),"NOTE: check base heave / ground loss for shoring box in marine clay. ","")&amp;IF(AND(C264="Steel Sheet Pile Cofferdam",N(M264)&lt;G264*0.5),"NOTE: short toe embedment, check. ","")))</f>
        <v/>
      </c>
      <c r="AO264" s="9"/>
      <c r="AP264" s="9"/>
      <c r="AQ264" s="9"/>
      <c r="AR264" s="9"/>
      <c r="AS264" s="9"/>
      <c r="AT264" s="31"/>
      <c r="AU264" s="10" t="str">
        <f aca="false">IF(C264="","",IF(AND(V264="Approved",ISERROR(SEARCH("FAIL",AN264))),"Y","N"))</f>
        <v/>
      </c>
      <c r="AV264" s="10" t="str">
        <f aca="false">IF(C264="","",C264&amp;"|"&amp;G264&amp;"|"&amp;E264&amp;"|"&amp;H264&amp;"|"&amp;AU264)</f>
        <v/>
      </c>
    </row>
    <row r="265" customFormat="false" ht="15" hidden="false" customHeight="false" outlineLevel="0" collapsed="false">
      <c r="A265" s="10" t="str">
        <f aca="false">IF(C265="","","ERSS-"&amp;IFERROR(VLOOKUP(C265,Lists!$AK$4:$AL$21,2,0),"??")&amp;"-"&amp;TEXT(E265,"0000")&amp;"x"&amp;TEXT(F265,"0000")&amp;"-D"&amp;TEXT(G265*1000,"0000")&amp;"-"&amp;IFERROR(VLOOKUP(H265,Lists!$Y$4:$Z$21,2,0),"??")&amp;"-"&amp;U265)</f>
        <v/>
      </c>
      <c r="B265" s="10" t="str">
        <f aca="false">IF(C265="","",C265&amp;" for "&amp;D265&amp;", "&amp;E265&amp;" x "&amp;F265&amp;" pit, "&amp;TEXT(G265,"0.0")&amp;" m deep, "&amp;H265)</f>
        <v/>
      </c>
      <c r="C265" s="9"/>
      <c r="D265" s="9"/>
      <c r="E265" s="40"/>
      <c r="F265" s="40"/>
      <c r="G265" s="43"/>
      <c r="H265" s="9"/>
      <c r="I265" s="43"/>
      <c r="J265" s="40"/>
      <c r="K265" s="9"/>
      <c r="L265" s="43"/>
      <c r="M265" s="43"/>
      <c r="N265" s="40"/>
      <c r="O265" s="9"/>
      <c r="P265" s="9"/>
      <c r="Q265" s="41"/>
      <c r="R265" s="9"/>
      <c r="S265" s="40"/>
      <c r="T265" s="9"/>
      <c r="U265" s="9"/>
      <c r="V265" s="9"/>
      <c r="W265" s="9"/>
      <c r="X265" s="9"/>
      <c r="Y265" s="9"/>
      <c r="Z265" s="10" t="str">
        <f aca="false">IF(A265="","",SG_Criteria!$B$6&amp;SG_Criteria!$B$11&amp;"\"&amp;A265&amp;"\")</f>
        <v/>
      </c>
      <c r="AA265" s="10" t="str">
        <f aca="false">IF(A265="","",A265&amp;"_CAD.dwg")</f>
        <v/>
      </c>
      <c r="AB265" s="10" t="str">
        <f aca="false">IF(A265="","",A265&amp;"_DWG.pdf")</f>
        <v/>
      </c>
      <c r="AC265" s="10" t="str">
        <f aca="false">IF(A265="","",IF(Y265="Y",A265&amp;"_STAAD.std","n/a"))</f>
        <v/>
      </c>
      <c r="AD265" s="10" t="str">
        <f aca="false">IF(A265="","",A265&amp;"_CALC.xlsx")</f>
        <v/>
      </c>
      <c r="AE265" s="10" t="str">
        <f aca="false">IF(A265="","",A265&amp;"_CALC.pdf")</f>
        <v/>
      </c>
      <c r="AF265" s="9"/>
      <c r="AG265" s="9"/>
      <c r="AH265" s="41"/>
      <c r="AI265" s="41"/>
      <c r="AJ265" s="41"/>
      <c r="AK265" s="41"/>
      <c r="AL265" s="41"/>
      <c r="AM265" s="38" t="str">
        <f aca="false">IF(OR(C265="",G265=""),"",IF(G265&lt;=IF(OR(C265="Soldier Pile &amp; Timber Lagging",C265="Trench Shoring Box",C265="Open Cut (battered)"),SG_Criteria!$B$34,SG_Criteria!$B$33),"No ERSS submission",IF(G265&lt;=SG_Criteria!$B$35,"QP(ST)",IF(G265&lt;=SG_Criteria!$B$36,"QP(ST) + AC","Geotechnical building works: QP(Geo) + AC"))))</f>
        <v/>
      </c>
      <c r="AN265" s="38" t="str">
        <f aca="false">IF(C265="","",IF(LEN(IF(AND(Q265&lt;&gt;"",Q265&lt;SG_Criteria!$B$37),"FAIL: base stability FOS &lt; "&amp;SG_Criteria!$B$37&amp;". ","")&amp;IF(AND(D265="Manhole",G265&gt;SG_Criteria!$B$36),"NOTE: BCA lists sewer manholes (pipe &lt;= 2 m dia) &gt; 6 m as non-GBW: QP(ST) + AC. ","")&amp;IF(AND(C265="Trench Shoring Box",H265="Kallang Formation (marine clay)"),"NOTE: check base heave / ground loss for shoring box in marine clay. ","")&amp;IF(AND(C265="Steel Sheet Pile Cofferdam",N(M265)&lt;G265*0.5),"NOTE: short toe embedment, check. ",""))=0,"OK",IF(AND(Q265&lt;&gt;"",Q265&lt;SG_Criteria!$B$37),"FAIL: base stability FOS &lt; "&amp;SG_Criteria!$B$37&amp;". ","")&amp;IF(AND(D265="Manhole",G265&gt;SG_Criteria!$B$36),"NOTE: BCA lists sewer manholes (pipe &lt;= 2 m dia) &gt; 6 m as non-GBW: QP(ST) + AC. ","")&amp;IF(AND(C265="Trench Shoring Box",H265="Kallang Formation (marine clay)"),"NOTE: check base heave / ground loss for shoring box in marine clay. ","")&amp;IF(AND(C265="Steel Sheet Pile Cofferdam",N(M265)&lt;G265*0.5),"NOTE: short toe embedment, check. ","")))</f>
        <v/>
      </c>
      <c r="AO265" s="9"/>
      <c r="AP265" s="9"/>
      <c r="AQ265" s="9"/>
      <c r="AR265" s="9"/>
      <c r="AS265" s="9"/>
      <c r="AT265" s="31"/>
      <c r="AU265" s="10" t="str">
        <f aca="false">IF(C265="","",IF(AND(V265="Approved",ISERROR(SEARCH("FAIL",AN265))),"Y","N"))</f>
        <v/>
      </c>
      <c r="AV265" s="10" t="str">
        <f aca="false">IF(C265="","",C265&amp;"|"&amp;G265&amp;"|"&amp;E265&amp;"|"&amp;H265&amp;"|"&amp;AU265)</f>
        <v/>
      </c>
    </row>
    <row r="266" customFormat="false" ht="15" hidden="false" customHeight="false" outlineLevel="0" collapsed="false">
      <c r="A266" s="10" t="str">
        <f aca="false">IF(C266="","","ERSS-"&amp;IFERROR(VLOOKUP(C266,Lists!$AK$4:$AL$21,2,0),"??")&amp;"-"&amp;TEXT(E266,"0000")&amp;"x"&amp;TEXT(F266,"0000")&amp;"-D"&amp;TEXT(G266*1000,"0000")&amp;"-"&amp;IFERROR(VLOOKUP(H266,Lists!$Y$4:$Z$21,2,0),"??")&amp;"-"&amp;U266)</f>
        <v/>
      </c>
      <c r="B266" s="10" t="str">
        <f aca="false">IF(C266="","",C266&amp;" for "&amp;D266&amp;", "&amp;E266&amp;" x "&amp;F266&amp;" pit, "&amp;TEXT(G266,"0.0")&amp;" m deep, "&amp;H266)</f>
        <v/>
      </c>
      <c r="C266" s="9"/>
      <c r="D266" s="9"/>
      <c r="E266" s="40"/>
      <c r="F266" s="40"/>
      <c r="G266" s="43"/>
      <c r="H266" s="9"/>
      <c r="I266" s="43"/>
      <c r="J266" s="40"/>
      <c r="K266" s="9"/>
      <c r="L266" s="43"/>
      <c r="M266" s="43"/>
      <c r="N266" s="40"/>
      <c r="O266" s="9"/>
      <c r="P266" s="9"/>
      <c r="Q266" s="41"/>
      <c r="R266" s="9"/>
      <c r="S266" s="40"/>
      <c r="T266" s="9"/>
      <c r="U266" s="9"/>
      <c r="V266" s="9"/>
      <c r="W266" s="9"/>
      <c r="X266" s="9"/>
      <c r="Y266" s="9"/>
      <c r="Z266" s="10" t="str">
        <f aca="false">IF(A266="","",SG_Criteria!$B$6&amp;SG_Criteria!$B$11&amp;"\"&amp;A266&amp;"\")</f>
        <v/>
      </c>
      <c r="AA266" s="10" t="str">
        <f aca="false">IF(A266="","",A266&amp;"_CAD.dwg")</f>
        <v/>
      </c>
      <c r="AB266" s="10" t="str">
        <f aca="false">IF(A266="","",A266&amp;"_DWG.pdf")</f>
        <v/>
      </c>
      <c r="AC266" s="10" t="str">
        <f aca="false">IF(A266="","",IF(Y266="Y",A266&amp;"_STAAD.std","n/a"))</f>
        <v/>
      </c>
      <c r="AD266" s="10" t="str">
        <f aca="false">IF(A266="","",A266&amp;"_CALC.xlsx")</f>
        <v/>
      </c>
      <c r="AE266" s="10" t="str">
        <f aca="false">IF(A266="","",A266&amp;"_CALC.pdf")</f>
        <v/>
      </c>
      <c r="AF266" s="9"/>
      <c r="AG266" s="9"/>
      <c r="AH266" s="41"/>
      <c r="AI266" s="41"/>
      <c r="AJ266" s="41"/>
      <c r="AK266" s="41"/>
      <c r="AL266" s="41"/>
      <c r="AM266" s="38" t="str">
        <f aca="false">IF(OR(C266="",G266=""),"",IF(G266&lt;=IF(OR(C266="Soldier Pile &amp; Timber Lagging",C266="Trench Shoring Box",C266="Open Cut (battered)"),SG_Criteria!$B$34,SG_Criteria!$B$33),"No ERSS submission",IF(G266&lt;=SG_Criteria!$B$35,"QP(ST)",IF(G266&lt;=SG_Criteria!$B$36,"QP(ST) + AC","Geotechnical building works: QP(Geo) + AC"))))</f>
        <v/>
      </c>
      <c r="AN266" s="38" t="str">
        <f aca="false">IF(C266="","",IF(LEN(IF(AND(Q266&lt;&gt;"",Q266&lt;SG_Criteria!$B$37),"FAIL: base stability FOS &lt; "&amp;SG_Criteria!$B$37&amp;". ","")&amp;IF(AND(D266="Manhole",G266&gt;SG_Criteria!$B$36),"NOTE: BCA lists sewer manholes (pipe &lt;= 2 m dia) &gt; 6 m as non-GBW: QP(ST) + AC. ","")&amp;IF(AND(C266="Trench Shoring Box",H266="Kallang Formation (marine clay)"),"NOTE: check base heave / ground loss for shoring box in marine clay. ","")&amp;IF(AND(C266="Steel Sheet Pile Cofferdam",N(M266)&lt;G266*0.5),"NOTE: short toe embedment, check. ",""))=0,"OK",IF(AND(Q266&lt;&gt;"",Q266&lt;SG_Criteria!$B$37),"FAIL: base stability FOS &lt; "&amp;SG_Criteria!$B$37&amp;". ","")&amp;IF(AND(D266="Manhole",G266&gt;SG_Criteria!$B$36),"NOTE: BCA lists sewer manholes (pipe &lt;= 2 m dia) &gt; 6 m as non-GBW: QP(ST) + AC. ","")&amp;IF(AND(C266="Trench Shoring Box",H266="Kallang Formation (marine clay)"),"NOTE: check base heave / ground loss for shoring box in marine clay. ","")&amp;IF(AND(C266="Steel Sheet Pile Cofferdam",N(M266)&lt;G266*0.5),"NOTE: short toe embedment, check. ","")))</f>
        <v/>
      </c>
      <c r="AO266" s="9"/>
      <c r="AP266" s="9"/>
      <c r="AQ266" s="9"/>
      <c r="AR266" s="9"/>
      <c r="AS266" s="9"/>
      <c r="AT266" s="31"/>
      <c r="AU266" s="10" t="str">
        <f aca="false">IF(C266="","",IF(AND(V266="Approved",ISERROR(SEARCH("FAIL",AN266))),"Y","N"))</f>
        <v/>
      </c>
      <c r="AV266" s="10" t="str">
        <f aca="false">IF(C266="","",C266&amp;"|"&amp;G266&amp;"|"&amp;E266&amp;"|"&amp;H266&amp;"|"&amp;AU266)</f>
        <v/>
      </c>
    </row>
    <row r="267" customFormat="false" ht="15" hidden="false" customHeight="false" outlineLevel="0" collapsed="false">
      <c r="A267" s="10" t="str">
        <f aca="false">IF(C267="","","ERSS-"&amp;IFERROR(VLOOKUP(C267,Lists!$AK$4:$AL$21,2,0),"??")&amp;"-"&amp;TEXT(E267,"0000")&amp;"x"&amp;TEXT(F267,"0000")&amp;"-D"&amp;TEXT(G267*1000,"0000")&amp;"-"&amp;IFERROR(VLOOKUP(H267,Lists!$Y$4:$Z$21,2,0),"??")&amp;"-"&amp;U267)</f>
        <v/>
      </c>
      <c r="B267" s="10" t="str">
        <f aca="false">IF(C267="","",C267&amp;" for "&amp;D267&amp;", "&amp;E267&amp;" x "&amp;F267&amp;" pit, "&amp;TEXT(G267,"0.0")&amp;" m deep, "&amp;H267)</f>
        <v/>
      </c>
      <c r="C267" s="9"/>
      <c r="D267" s="9"/>
      <c r="E267" s="40"/>
      <c r="F267" s="40"/>
      <c r="G267" s="43"/>
      <c r="H267" s="9"/>
      <c r="I267" s="43"/>
      <c r="J267" s="40"/>
      <c r="K267" s="9"/>
      <c r="L267" s="43"/>
      <c r="M267" s="43"/>
      <c r="N267" s="40"/>
      <c r="O267" s="9"/>
      <c r="P267" s="9"/>
      <c r="Q267" s="41"/>
      <c r="R267" s="9"/>
      <c r="S267" s="40"/>
      <c r="T267" s="9"/>
      <c r="U267" s="9"/>
      <c r="V267" s="9"/>
      <c r="W267" s="9"/>
      <c r="X267" s="9"/>
      <c r="Y267" s="9"/>
      <c r="Z267" s="10" t="str">
        <f aca="false">IF(A267="","",SG_Criteria!$B$6&amp;SG_Criteria!$B$11&amp;"\"&amp;A267&amp;"\")</f>
        <v/>
      </c>
      <c r="AA267" s="10" t="str">
        <f aca="false">IF(A267="","",A267&amp;"_CAD.dwg")</f>
        <v/>
      </c>
      <c r="AB267" s="10" t="str">
        <f aca="false">IF(A267="","",A267&amp;"_DWG.pdf")</f>
        <v/>
      </c>
      <c r="AC267" s="10" t="str">
        <f aca="false">IF(A267="","",IF(Y267="Y",A267&amp;"_STAAD.std","n/a"))</f>
        <v/>
      </c>
      <c r="AD267" s="10" t="str">
        <f aca="false">IF(A267="","",A267&amp;"_CALC.xlsx")</f>
        <v/>
      </c>
      <c r="AE267" s="10" t="str">
        <f aca="false">IF(A267="","",A267&amp;"_CALC.pdf")</f>
        <v/>
      </c>
      <c r="AF267" s="9"/>
      <c r="AG267" s="9"/>
      <c r="AH267" s="41"/>
      <c r="AI267" s="41"/>
      <c r="AJ267" s="41"/>
      <c r="AK267" s="41"/>
      <c r="AL267" s="41"/>
      <c r="AM267" s="38" t="str">
        <f aca="false">IF(OR(C267="",G267=""),"",IF(G267&lt;=IF(OR(C267="Soldier Pile &amp; Timber Lagging",C267="Trench Shoring Box",C267="Open Cut (battered)"),SG_Criteria!$B$34,SG_Criteria!$B$33),"No ERSS submission",IF(G267&lt;=SG_Criteria!$B$35,"QP(ST)",IF(G267&lt;=SG_Criteria!$B$36,"QP(ST) + AC","Geotechnical building works: QP(Geo) + AC"))))</f>
        <v/>
      </c>
      <c r="AN267" s="38" t="str">
        <f aca="false">IF(C267="","",IF(LEN(IF(AND(Q267&lt;&gt;"",Q267&lt;SG_Criteria!$B$37),"FAIL: base stability FOS &lt; "&amp;SG_Criteria!$B$37&amp;". ","")&amp;IF(AND(D267="Manhole",G267&gt;SG_Criteria!$B$36),"NOTE: BCA lists sewer manholes (pipe &lt;= 2 m dia) &gt; 6 m as non-GBW: QP(ST) + AC. ","")&amp;IF(AND(C267="Trench Shoring Box",H267="Kallang Formation (marine clay)"),"NOTE: check base heave / ground loss for shoring box in marine clay. ","")&amp;IF(AND(C267="Steel Sheet Pile Cofferdam",N(M267)&lt;G267*0.5),"NOTE: short toe embedment, check. ",""))=0,"OK",IF(AND(Q267&lt;&gt;"",Q267&lt;SG_Criteria!$B$37),"FAIL: base stability FOS &lt; "&amp;SG_Criteria!$B$37&amp;". ","")&amp;IF(AND(D267="Manhole",G267&gt;SG_Criteria!$B$36),"NOTE: BCA lists sewer manholes (pipe &lt;= 2 m dia) &gt; 6 m as non-GBW: QP(ST) + AC. ","")&amp;IF(AND(C267="Trench Shoring Box",H267="Kallang Formation (marine clay)"),"NOTE: check base heave / ground loss for shoring box in marine clay. ","")&amp;IF(AND(C267="Steel Sheet Pile Cofferdam",N(M267)&lt;G267*0.5),"NOTE: short toe embedment, check. ","")))</f>
        <v/>
      </c>
      <c r="AO267" s="9"/>
      <c r="AP267" s="9"/>
      <c r="AQ267" s="9"/>
      <c r="AR267" s="9"/>
      <c r="AS267" s="9"/>
      <c r="AT267" s="31"/>
      <c r="AU267" s="10" t="str">
        <f aca="false">IF(C267="","",IF(AND(V267="Approved",ISERROR(SEARCH("FAIL",AN267))),"Y","N"))</f>
        <v/>
      </c>
      <c r="AV267" s="10" t="str">
        <f aca="false">IF(C267="","",C267&amp;"|"&amp;G267&amp;"|"&amp;E267&amp;"|"&amp;H267&amp;"|"&amp;AU267)</f>
        <v/>
      </c>
    </row>
    <row r="268" customFormat="false" ht="15" hidden="false" customHeight="false" outlineLevel="0" collapsed="false">
      <c r="A268" s="10" t="str">
        <f aca="false">IF(C268="","","ERSS-"&amp;IFERROR(VLOOKUP(C268,Lists!$AK$4:$AL$21,2,0),"??")&amp;"-"&amp;TEXT(E268,"0000")&amp;"x"&amp;TEXT(F268,"0000")&amp;"-D"&amp;TEXT(G268*1000,"0000")&amp;"-"&amp;IFERROR(VLOOKUP(H268,Lists!$Y$4:$Z$21,2,0),"??")&amp;"-"&amp;U268)</f>
        <v/>
      </c>
      <c r="B268" s="10" t="str">
        <f aca="false">IF(C268="","",C268&amp;" for "&amp;D268&amp;", "&amp;E268&amp;" x "&amp;F268&amp;" pit, "&amp;TEXT(G268,"0.0")&amp;" m deep, "&amp;H268)</f>
        <v/>
      </c>
      <c r="C268" s="9"/>
      <c r="D268" s="9"/>
      <c r="E268" s="40"/>
      <c r="F268" s="40"/>
      <c r="G268" s="43"/>
      <c r="H268" s="9"/>
      <c r="I268" s="43"/>
      <c r="J268" s="40"/>
      <c r="K268" s="9"/>
      <c r="L268" s="43"/>
      <c r="M268" s="43"/>
      <c r="N268" s="40"/>
      <c r="O268" s="9"/>
      <c r="P268" s="9"/>
      <c r="Q268" s="41"/>
      <c r="R268" s="9"/>
      <c r="S268" s="40"/>
      <c r="T268" s="9"/>
      <c r="U268" s="9"/>
      <c r="V268" s="9"/>
      <c r="W268" s="9"/>
      <c r="X268" s="9"/>
      <c r="Y268" s="9"/>
      <c r="Z268" s="10" t="str">
        <f aca="false">IF(A268="","",SG_Criteria!$B$6&amp;SG_Criteria!$B$11&amp;"\"&amp;A268&amp;"\")</f>
        <v/>
      </c>
      <c r="AA268" s="10" t="str">
        <f aca="false">IF(A268="","",A268&amp;"_CAD.dwg")</f>
        <v/>
      </c>
      <c r="AB268" s="10" t="str">
        <f aca="false">IF(A268="","",A268&amp;"_DWG.pdf")</f>
        <v/>
      </c>
      <c r="AC268" s="10" t="str">
        <f aca="false">IF(A268="","",IF(Y268="Y",A268&amp;"_STAAD.std","n/a"))</f>
        <v/>
      </c>
      <c r="AD268" s="10" t="str">
        <f aca="false">IF(A268="","",A268&amp;"_CALC.xlsx")</f>
        <v/>
      </c>
      <c r="AE268" s="10" t="str">
        <f aca="false">IF(A268="","",A268&amp;"_CALC.pdf")</f>
        <v/>
      </c>
      <c r="AF268" s="9"/>
      <c r="AG268" s="9"/>
      <c r="AH268" s="41"/>
      <c r="AI268" s="41"/>
      <c r="AJ268" s="41"/>
      <c r="AK268" s="41"/>
      <c r="AL268" s="41"/>
      <c r="AM268" s="38" t="str">
        <f aca="false">IF(OR(C268="",G268=""),"",IF(G268&lt;=IF(OR(C268="Soldier Pile &amp; Timber Lagging",C268="Trench Shoring Box",C268="Open Cut (battered)"),SG_Criteria!$B$34,SG_Criteria!$B$33),"No ERSS submission",IF(G268&lt;=SG_Criteria!$B$35,"QP(ST)",IF(G268&lt;=SG_Criteria!$B$36,"QP(ST) + AC","Geotechnical building works: QP(Geo) + AC"))))</f>
        <v/>
      </c>
      <c r="AN268" s="38" t="str">
        <f aca="false">IF(C268="","",IF(LEN(IF(AND(Q268&lt;&gt;"",Q268&lt;SG_Criteria!$B$37),"FAIL: base stability FOS &lt; "&amp;SG_Criteria!$B$37&amp;". ","")&amp;IF(AND(D268="Manhole",G268&gt;SG_Criteria!$B$36),"NOTE: BCA lists sewer manholes (pipe &lt;= 2 m dia) &gt; 6 m as non-GBW: QP(ST) + AC. ","")&amp;IF(AND(C268="Trench Shoring Box",H268="Kallang Formation (marine clay)"),"NOTE: check base heave / ground loss for shoring box in marine clay. ","")&amp;IF(AND(C268="Steel Sheet Pile Cofferdam",N(M268)&lt;G268*0.5),"NOTE: short toe embedment, check. ",""))=0,"OK",IF(AND(Q268&lt;&gt;"",Q268&lt;SG_Criteria!$B$37),"FAIL: base stability FOS &lt; "&amp;SG_Criteria!$B$37&amp;". ","")&amp;IF(AND(D268="Manhole",G268&gt;SG_Criteria!$B$36),"NOTE: BCA lists sewer manholes (pipe &lt;= 2 m dia) &gt; 6 m as non-GBW: QP(ST) + AC. ","")&amp;IF(AND(C268="Trench Shoring Box",H268="Kallang Formation (marine clay)"),"NOTE: check base heave / ground loss for shoring box in marine clay. ","")&amp;IF(AND(C268="Steel Sheet Pile Cofferdam",N(M268)&lt;G268*0.5),"NOTE: short toe embedment, check. ","")))</f>
        <v/>
      </c>
      <c r="AO268" s="9"/>
      <c r="AP268" s="9"/>
      <c r="AQ268" s="9"/>
      <c r="AR268" s="9"/>
      <c r="AS268" s="9"/>
      <c r="AT268" s="31"/>
      <c r="AU268" s="10" t="str">
        <f aca="false">IF(C268="","",IF(AND(V268="Approved",ISERROR(SEARCH("FAIL",AN268))),"Y","N"))</f>
        <v/>
      </c>
      <c r="AV268" s="10" t="str">
        <f aca="false">IF(C268="","",C268&amp;"|"&amp;G268&amp;"|"&amp;E268&amp;"|"&amp;H268&amp;"|"&amp;AU268)</f>
        <v/>
      </c>
    </row>
    <row r="269" customFormat="false" ht="15" hidden="false" customHeight="false" outlineLevel="0" collapsed="false">
      <c r="A269" s="10" t="str">
        <f aca="false">IF(C269="","","ERSS-"&amp;IFERROR(VLOOKUP(C269,Lists!$AK$4:$AL$21,2,0),"??")&amp;"-"&amp;TEXT(E269,"0000")&amp;"x"&amp;TEXT(F269,"0000")&amp;"-D"&amp;TEXT(G269*1000,"0000")&amp;"-"&amp;IFERROR(VLOOKUP(H269,Lists!$Y$4:$Z$21,2,0),"??")&amp;"-"&amp;U269)</f>
        <v/>
      </c>
      <c r="B269" s="10" t="str">
        <f aca="false">IF(C269="","",C269&amp;" for "&amp;D269&amp;", "&amp;E269&amp;" x "&amp;F269&amp;" pit, "&amp;TEXT(G269,"0.0")&amp;" m deep, "&amp;H269)</f>
        <v/>
      </c>
      <c r="C269" s="9"/>
      <c r="D269" s="9"/>
      <c r="E269" s="40"/>
      <c r="F269" s="40"/>
      <c r="G269" s="43"/>
      <c r="H269" s="9"/>
      <c r="I269" s="43"/>
      <c r="J269" s="40"/>
      <c r="K269" s="9"/>
      <c r="L269" s="43"/>
      <c r="M269" s="43"/>
      <c r="N269" s="40"/>
      <c r="O269" s="9"/>
      <c r="P269" s="9"/>
      <c r="Q269" s="41"/>
      <c r="R269" s="9"/>
      <c r="S269" s="40"/>
      <c r="T269" s="9"/>
      <c r="U269" s="9"/>
      <c r="V269" s="9"/>
      <c r="W269" s="9"/>
      <c r="X269" s="9"/>
      <c r="Y269" s="9"/>
      <c r="Z269" s="10" t="str">
        <f aca="false">IF(A269="","",SG_Criteria!$B$6&amp;SG_Criteria!$B$11&amp;"\"&amp;A269&amp;"\")</f>
        <v/>
      </c>
      <c r="AA269" s="10" t="str">
        <f aca="false">IF(A269="","",A269&amp;"_CAD.dwg")</f>
        <v/>
      </c>
      <c r="AB269" s="10" t="str">
        <f aca="false">IF(A269="","",A269&amp;"_DWG.pdf")</f>
        <v/>
      </c>
      <c r="AC269" s="10" t="str">
        <f aca="false">IF(A269="","",IF(Y269="Y",A269&amp;"_STAAD.std","n/a"))</f>
        <v/>
      </c>
      <c r="AD269" s="10" t="str">
        <f aca="false">IF(A269="","",A269&amp;"_CALC.xlsx")</f>
        <v/>
      </c>
      <c r="AE269" s="10" t="str">
        <f aca="false">IF(A269="","",A269&amp;"_CALC.pdf")</f>
        <v/>
      </c>
      <c r="AF269" s="9"/>
      <c r="AG269" s="9"/>
      <c r="AH269" s="41"/>
      <c r="AI269" s="41"/>
      <c r="AJ269" s="41"/>
      <c r="AK269" s="41"/>
      <c r="AL269" s="41"/>
      <c r="AM269" s="38" t="str">
        <f aca="false">IF(OR(C269="",G269=""),"",IF(G269&lt;=IF(OR(C269="Soldier Pile &amp; Timber Lagging",C269="Trench Shoring Box",C269="Open Cut (battered)"),SG_Criteria!$B$34,SG_Criteria!$B$33),"No ERSS submission",IF(G269&lt;=SG_Criteria!$B$35,"QP(ST)",IF(G269&lt;=SG_Criteria!$B$36,"QP(ST) + AC","Geotechnical building works: QP(Geo) + AC"))))</f>
        <v/>
      </c>
      <c r="AN269" s="38" t="str">
        <f aca="false">IF(C269="","",IF(LEN(IF(AND(Q269&lt;&gt;"",Q269&lt;SG_Criteria!$B$37),"FAIL: base stability FOS &lt; "&amp;SG_Criteria!$B$37&amp;". ","")&amp;IF(AND(D269="Manhole",G269&gt;SG_Criteria!$B$36),"NOTE: BCA lists sewer manholes (pipe &lt;= 2 m dia) &gt; 6 m as non-GBW: QP(ST) + AC. ","")&amp;IF(AND(C269="Trench Shoring Box",H269="Kallang Formation (marine clay)"),"NOTE: check base heave / ground loss for shoring box in marine clay. ","")&amp;IF(AND(C269="Steel Sheet Pile Cofferdam",N(M269)&lt;G269*0.5),"NOTE: short toe embedment, check. ",""))=0,"OK",IF(AND(Q269&lt;&gt;"",Q269&lt;SG_Criteria!$B$37),"FAIL: base stability FOS &lt; "&amp;SG_Criteria!$B$37&amp;". ","")&amp;IF(AND(D269="Manhole",G269&gt;SG_Criteria!$B$36),"NOTE: BCA lists sewer manholes (pipe &lt;= 2 m dia) &gt; 6 m as non-GBW: QP(ST) + AC. ","")&amp;IF(AND(C269="Trench Shoring Box",H269="Kallang Formation (marine clay)"),"NOTE: check base heave / ground loss for shoring box in marine clay. ","")&amp;IF(AND(C269="Steel Sheet Pile Cofferdam",N(M269)&lt;G269*0.5),"NOTE: short toe embedment, check. ","")))</f>
        <v/>
      </c>
      <c r="AO269" s="9"/>
      <c r="AP269" s="9"/>
      <c r="AQ269" s="9"/>
      <c r="AR269" s="9"/>
      <c r="AS269" s="9"/>
      <c r="AT269" s="31"/>
      <c r="AU269" s="10" t="str">
        <f aca="false">IF(C269="","",IF(AND(V269="Approved",ISERROR(SEARCH("FAIL",AN269))),"Y","N"))</f>
        <v/>
      </c>
      <c r="AV269" s="10" t="str">
        <f aca="false">IF(C269="","",C269&amp;"|"&amp;G269&amp;"|"&amp;E269&amp;"|"&amp;H269&amp;"|"&amp;AU269)</f>
        <v/>
      </c>
    </row>
    <row r="270" customFormat="false" ht="15" hidden="false" customHeight="false" outlineLevel="0" collapsed="false">
      <c r="A270" s="10" t="str">
        <f aca="false">IF(C270="","","ERSS-"&amp;IFERROR(VLOOKUP(C270,Lists!$AK$4:$AL$21,2,0),"??")&amp;"-"&amp;TEXT(E270,"0000")&amp;"x"&amp;TEXT(F270,"0000")&amp;"-D"&amp;TEXT(G270*1000,"0000")&amp;"-"&amp;IFERROR(VLOOKUP(H270,Lists!$Y$4:$Z$21,2,0),"??")&amp;"-"&amp;U270)</f>
        <v/>
      </c>
      <c r="B270" s="10" t="str">
        <f aca="false">IF(C270="","",C270&amp;" for "&amp;D270&amp;", "&amp;E270&amp;" x "&amp;F270&amp;" pit, "&amp;TEXT(G270,"0.0")&amp;" m deep, "&amp;H270)</f>
        <v/>
      </c>
      <c r="C270" s="9"/>
      <c r="D270" s="9"/>
      <c r="E270" s="40"/>
      <c r="F270" s="40"/>
      <c r="G270" s="43"/>
      <c r="H270" s="9"/>
      <c r="I270" s="43"/>
      <c r="J270" s="40"/>
      <c r="K270" s="9"/>
      <c r="L270" s="43"/>
      <c r="M270" s="43"/>
      <c r="N270" s="40"/>
      <c r="O270" s="9"/>
      <c r="P270" s="9"/>
      <c r="Q270" s="41"/>
      <c r="R270" s="9"/>
      <c r="S270" s="40"/>
      <c r="T270" s="9"/>
      <c r="U270" s="9"/>
      <c r="V270" s="9"/>
      <c r="W270" s="9"/>
      <c r="X270" s="9"/>
      <c r="Y270" s="9"/>
      <c r="Z270" s="10" t="str">
        <f aca="false">IF(A270="","",SG_Criteria!$B$6&amp;SG_Criteria!$B$11&amp;"\"&amp;A270&amp;"\")</f>
        <v/>
      </c>
      <c r="AA270" s="10" t="str">
        <f aca="false">IF(A270="","",A270&amp;"_CAD.dwg")</f>
        <v/>
      </c>
      <c r="AB270" s="10" t="str">
        <f aca="false">IF(A270="","",A270&amp;"_DWG.pdf")</f>
        <v/>
      </c>
      <c r="AC270" s="10" t="str">
        <f aca="false">IF(A270="","",IF(Y270="Y",A270&amp;"_STAAD.std","n/a"))</f>
        <v/>
      </c>
      <c r="AD270" s="10" t="str">
        <f aca="false">IF(A270="","",A270&amp;"_CALC.xlsx")</f>
        <v/>
      </c>
      <c r="AE270" s="10" t="str">
        <f aca="false">IF(A270="","",A270&amp;"_CALC.pdf")</f>
        <v/>
      </c>
      <c r="AF270" s="9"/>
      <c r="AG270" s="9"/>
      <c r="AH270" s="41"/>
      <c r="AI270" s="41"/>
      <c r="AJ270" s="41"/>
      <c r="AK270" s="41"/>
      <c r="AL270" s="41"/>
      <c r="AM270" s="38" t="str">
        <f aca="false">IF(OR(C270="",G270=""),"",IF(G270&lt;=IF(OR(C270="Soldier Pile &amp; Timber Lagging",C270="Trench Shoring Box",C270="Open Cut (battered)"),SG_Criteria!$B$34,SG_Criteria!$B$33),"No ERSS submission",IF(G270&lt;=SG_Criteria!$B$35,"QP(ST)",IF(G270&lt;=SG_Criteria!$B$36,"QP(ST) + AC","Geotechnical building works: QP(Geo) + AC"))))</f>
        <v/>
      </c>
      <c r="AN270" s="38" t="str">
        <f aca="false">IF(C270="","",IF(LEN(IF(AND(Q270&lt;&gt;"",Q270&lt;SG_Criteria!$B$37),"FAIL: base stability FOS &lt; "&amp;SG_Criteria!$B$37&amp;". ","")&amp;IF(AND(D270="Manhole",G270&gt;SG_Criteria!$B$36),"NOTE: BCA lists sewer manholes (pipe &lt;= 2 m dia) &gt; 6 m as non-GBW: QP(ST) + AC. ","")&amp;IF(AND(C270="Trench Shoring Box",H270="Kallang Formation (marine clay)"),"NOTE: check base heave / ground loss for shoring box in marine clay. ","")&amp;IF(AND(C270="Steel Sheet Pile Cofferdam",N(M270)&lt;G270*0.5),"NOTE: short toe embedment, check. ",""))=0,"OK",IF(AND(Q270&lt;&gt;"",Q270&lt;SG_Criteria!$B$37),"FAIL: base stability FOS &lt; "&amp;SG_Criteria!$B$37&amp;". ","")&amp;IF(AND(D270="Manhole",G270&gt;SG_Criteria!$B$36),"NOTE: BCA lists sewer manholes (pipe &lt;= 2 m dia) &gt; 6 m as non-GBW: QP(ST) + AC. ","")&amp;IF(AND(C270="Trench Shoring Box",H270="Kallang Formation (marine clay)"),"NOTE: check base heave / ground loss for shoring box in marine clay. ","")&amp;IF(AND(C270="Steel Sheet Pile Cofferdam",N(M270)&lt;G270*0.5),"NOTE: short toe embedment, check. ","")))</f>
        <v/>
      </c>
      <c r="AO270" s="9"/>
      <c r="AP270" s="9"/>
      <c r="AQ270" s="9"/>
      <c r="AR270" s="9"/>
      <c r="AS270" s="9"/>
      <c r="AT270" s="31"/>
      <c r="AU270" s="10" t="str">
        <f aca="false">IF(C270="","",IF(AND(V270="Approved",ISERROR(SEARCH("FAIL",AN270))),"Y","N"))</f>
        <v/>
      </c>
      <c r="AV270" s="10" t="str">
        <f aca="false">IF(C270="","",C270&amp;"|"&amp;G270&amp;"|"&amp;E270&amp;"|"&amp;H270&amp;"|"&amp;AU270)</f>
        <v/>
      </c>
    </row>
    <row r="271" customFormat="false" ht="15" hidden="false" customHeight="false" outlineLevel="0" collapsed="false">
      <c r="A271" s="10" t="str">
        <f aca="false">IF(C271="","","ERSS-"&amp;IFERROR(VLOOKUP(C271,Lists!$AK$4:$AL$21,2,0),"??")&amp;"-"&amp;TEXT(E271,"0000")&amp;"x"&amp;TEXT(F271,"0000")&amp;"-D"&amp;TEXT(G271*1000,"0000")&amp;"-"&amp;IFERROR(VLOOKUP(H271,Lists!$Y$4:$Z$21,2,0),"??")&amp;"-"&amp;U271)</f>
        <v/>
      </c>
      <c r="B271" s="10" t="str">
        <f aca="false">IF(C271="","",C271&amp;" for "&amp;D271&amp;", "&amp;E271&amp;" x "&amp;F271&amp;" pit, "&amp;TEXT(G271,"0.0")&amp;" m deep, "&amp;H271)</f>
        <v/>
      </c>
      <c r="C271" s="9"/>
      <c r="D271" s="9"/>
      <c r="E271" s="40"/>
      <c r="F271" s="40"/>
      <c r="G271" s="43"/>
      <c r="H271" s="9"/>
      <c r="I271" s="43"/>
      <c r="J271" s="40"/>
      <c r="K271" s="9"/>
      <c r="L271" s="43"/>
      <c r="M271" s="43"/>
      <c r="N271" s="40"/>
      <c r="O271" s="9"/>
      <c r="P271" s="9"/>
      <c r="Q271" s="41"/>
      <c r="R271" s="9"/>
      <c r="S271" s="40"/>
      <c r="T271" s="9"/>
      <c r="U271" s="9"/>
      <c r="V271" s="9"/>
      <c r="W271" s="9"/>
      <c r="X271" s="9"/>
      <c r="Y271" s="9"/>
      <c r="Z271" s="10" t="str">
        <f aca="false">IF(A271="","",SG_Criteria!$B$6&amp;SG_Criteria!$B$11&amp;"\"&amp;A271&amp;"\")</f>
        <v/>
      </c>
      <c r="AA271" s="10" t="str">
        <f aca="false">IF(A271="","",A271&amp;"_CAD.dwg")</f>
        <v/>
      </c>
      <c r="AB271" s="10" t="str">
        <f aca="false">IF(A271="","",A271&amp;"_DWG.pdf")</f>
        <v/>
      </c>
      <c r="AC271" s="10" t="str">
        <f aca="false">IF(A271="","",IF(Y271="Y",A271&amp;"_STAAD.std","n/a"))</f>
        <v/>
      </c>
      <c r="AD271" s="10" t="str">
        <f aca="false">IF(A271="","",A271&amp;"_CALC.xlsx")</f>
        <v/>
      </c>
      <c r="AE271" s="10" t="str">
        <f aca="false">IF(A271="","",A271&amp;"_CALC.pdf")</f>
        <v/>
      </c>
      <c r="AF271" s="9"/>
      <c r="AG271" s="9"/>
      <c r="AH271" s="41"/>
      <c r="AI271" s="41"/>
      <c r="AJ271" s="41"/>
      <c r="AK271" s="41"/>
      <c r="AL271" s="41"/>
      <c r="AM271" s="38" t="str">
        <f aca="false">IF(OR(C271="",G271=""),"",IF(G271&lt;=IF(OR(C271="Soldier Pile &amp; Timber Lagging",C271="Trench Shoring Box",C271="Open Cut (battered)"),SG_Criteria!$B$34,SG_Criteria!$B$33),"No ERSS submission",IF(G271&lt;=SG_Criteria!$B$35,"QP(ST)",IF(G271&lt;=SG_Criteria!$B$36,"QP(ST) + AC","Geotechnical building works: QP(Geo) + AC"))))</f>
        <v/>
      </c>
      <c r="AN271" s="38" t="str">
        <f aca="false">IF(C271="","",IF(LEN(IF(AND(Q271&lt;&gt;"",Q271&lt;SG_Criteria!$B$37),"FAIL: base stability FOS &lt; "&amp;SG_Criteria!$B$37&amp;". ","")&amp;IF(AND(D271="Manhole",G271&gt;SG_Criteria!$B$36),"NOTE: BCA lists sewer manholes (pipe &lt;= 2 m dia) &gt; 6 m as non-GBW: QP(ST) + AC. ","")&amp;IF(AND(C271="Trench Shoring Box",H271="Kallang Formation (marine clay)"),"NOTE: check base heave / ground loss for shoring box in marine clay. ","")&amp;IF(AND(C271="Steel Sheet Pile Cofferdam",N(M271)&lt;G271*0.5),"NOTE: short toe embedment, check. ",""))=0,"OK",IF(AND(Q271&lt;&gt;"",Q271&lt;SG_Criteria!$B$37),"FAIL: base stability FOS &lt; "&amp;SG_Criteria!$B$37&amp;". ","")&amp;IF(AND(D271="Manhole",G271&gt;SG_Criteria!$B$36),"NOTE: BCA lists sewer manholes (pipe &lt;= 2 m dia) &gt; 6 m as non-GBW: QP(ST) + AC. ","")&amp;IF(AND(C271="Trench Shoring Box",H271="Kallang Formation (marine clay)"),"NOTE: check base heave / ground loss for shoring box in marine clay. ","")&amp;IF(AND(C271="Steel Sheet Pile Cofferdam",N(M271)&lt;G271*0.5),"NOTE: short toe embedment, check. ","")))</f>
        <v/>
      </c>
      <c r="AO271" s="9"/>
      <c r="AP271" s="9"/>
      <c r="AQ271" s="9"/>
      <c r="AR271" s="9"/>
      <c r="AS271" s="9"/>
      <c r="AT271" s="31"/>
      <c r="AU271" s="10" t="str">
        <f aca="false">IF(C271="","",IF(AND(V271="Approved",ISERROR(SEARCH("FAIL",AN271))),"Y","N"))</f>
        <v/>
      </c>
      <c r="AV271" s="10" t="str">
        <f aca="false">IF(C271="","",C271&amp;"|"&amp;G271&amp;"|"&amp;E271&amp;"|"&amp;H271&amp;"|"&amp;AU271)</f>
        <v/>
      </c>
    </row>
    <row r="272" customFormat="false" ht="15" hidden="false" customHeight="false" outlineLevel="0" collapsed="false">
      <c r="A272" s="10" t="str">
        <f aca="false">IF(C272="","","ERSS-"&amp;IFERROR(VLOOKUP(C272,Lists!$AK$4:$AL$21,2,0),"??")&amp;"-"&amp;TEXT(E272,"0000")&amp;"x"&amp;TEXT(F272,"0000")&amp;"-D"&amp;TEXT(G272*1000,"0000")&amp;"-"&amp;IFERROR(VLOOKUP(H272,Lists!$Y$4:$Z$21,2,0),"??")&amp;"-"&amp;U272)</f>
        <v/>
      </c>
      <c r="B272" s="10" t="str">
        <f aca="false">IF(C272="","",C272&amp;" for "&amp;D272&amp;", "&amp;E272&amp;" x "&amp;F272&amp;" pit, "&amp;TEXT(G272,"0.0")&amp;" m deep, "&amp;H272)</f>
        <v/>
      </c>
      <c r="C272" s="9"/>
      <c r="D272" s="9"/>
      <c r="E272" s="40"/>
      <c r="F272" s="40"/>
      <c r="G272" s="43"/>
      <c r="H272" s="9"/>
      <c r="I272" s="43"/>
      <c r="J272" s="40"/>
      <c r="K272" s="9"/>
      <c r="L272" s="43"/>
      <c r="M272" s="43"/>
      <c r="N272" s="40"/>
      <c r="O272" s="9"/>
      <c r="P272" s="9"/>
      <c r="Q272" s="41"/>
      <c r="R272" s="9"/>
      <c r="S272" s="40"/>
      <c r="T272" s="9"/>
      <c r="U272" s="9"/>
      <c r="V272" s="9"/>
      <c r="W272" s="9"/>
      <c r="X272" s="9"/>
      <c r="Y272" s="9"/>
      <c r="Z272" s="10" t="str">
        <f aca="false">IF(A272="","",SG_Criteria!$B$6&amp;SG_Criteria!$B$11&amp;"\"&amp;A272&amp;"\")</f>
        <v/>
      </c>
      <c r="AA272" s="10" t="str">
        <f aca="false">IF(A272="","",A272&amp;"_CAD.dwg")</f>
        <v/>
      </c>
      <c r="AB272" s="10" t="str">
        <f aca="false">IF(A272="","",A272&amp;"_DWG.pdf")</f>
        <v/>
      </c>
      <c r="AC272" s="10" t="str">
        <f aca="false">IF(A272="","",IF(Y272="Y",A272&amp;"_STAAD.std","n/a"))</f>
        <v/>
      </c>
      <c r="AD272" s="10" t="str">
        <f aca="false">IF(A272="","",A272&amp;"_CALC.xlsx")</f>
        <v/>
      </c>
      <c r="AE272" s="10" t="str">
        <f aca="false">IF(A272="","",A272&amp;"_CALC.pdf")</f>
        <v/>
      </c>
      <c r="AF272" s="9"/>
      <c r="AG272" s="9"/>
      <c r="AH272" s="41"/>
      <c r="AI272" s="41"/>
      <c r="AJ272" s="41"/>
      <c r="AK272" s="41"/>
      <c r="AL272" s="41"/>
      <c r="AM272" s="38" t="str">
        <f aca="false">IF(OR(C272="",G272=""),"",IF(G272&lt;=IF(OR(C272="Soldier Pile &amp; Timber Lagging",C272="Trench Shoring Box",C272="Open Cut (battered)"),SG_Criteria!$B$34,SG_Criteria!$B$33),"No ERSS submission",IF(G272&lt;=SG_Criteria!$B$35,"QP(ST)",IF(G272&lt;=SG_Criteria!$B$36,"QP(ST) + AC","Geotechnical building works: QP(Geo) + AC"))))</f>
        <v/>
      </c>
      <c r="AN272" s="38" t="str">
        <f aca="false">IF(C272="","",IF(LEN(IF(AND(Q272&lt;&gt;"",Q272&lt;SG_Criteria!$B$37),"FAIL: base stability FOS &lt; "&amp;SG_Criteria!$B$37&amp;". ","")&amp;IF(AND(D272="Manhole",G272&gt;SG_Criteria!$B$36),"NOTE: BCA lists sewer manholes (pipe &lt;= 2 m dia) &gt; 6 m as non-GBW: QP(ST) + AC. ","")&amp;IF(AND(C272="Trench Shoring Box",H272="Kallang Formation (marine clay)"),"NOTE: check base heave / ground loss for shoring box in marine clay. ","")&amp;IF(AND(C272="Steel Sheet Pile Cofferdam",N(M272)&lt;G272*0.5),"NOTE: short toe embedment, check. ",""))=0,"OK",IF(AND(Q272&lt;&gt;"",Q272&lt;SG_Criteria!$B$37),"FAIL: base stability FOS &lt; "&amp;SG_Criteria!$B$37&amp;". ","")&amp;IF(AND(D272="Manhole",G272&gt;SG_Criteria!$B$36),"NOTE: BCA lists sewer manholes (pipe &lt;= 2 m dia) &gt; 6 m as non-GBW: QP(ST) + AC. ","")&amp;IF(AND(C272="Trench Shoring Box",H272="Kallang Formation (marine clay)"),"NOTE: check base heave / ground loss for shoring box in marine clay. ","")&amp;IF(AND(C272="Steel Sheet Pile Cofferdam",N(M272)&lt;G272*0.5),"NOTE: short toe embedment, check. ","")))</f>
        <v/>
      </c>
      <c r="AO272" s="9"/>
      <c r="AP272" s="9"/>
      <c r="AQ272" s="9"/>
      <c r="AR272" s="9"/>
      <c r="AS272" s="9"/>
      <c r="AT272" s="31"/>
      <c r="AU272" s="10" t="str">
        <f aca="false">IF(C272="","",IF(AND(V272="Approved",ISERROR(SEARCH("FAIL",AN272))),"Y","N"))</f>
        <v/>
      </c>
      <c r="AV272" s="10" t="str">
        <f aca="false">IF(C272="","",C272&amp;"|"&amp;G272&amp;"|"&amp;E272&amp;"|"&amp;H272&amp;"|"&amp;AU272)</f>
        <v/>
      </c>
    </row>
    <row r="273" customFormat="false" ht="15" hidden="false" customHeight="false" outlineLevel="0" collapsed="false">
      <c r="A273" s="10" t="str">
        <f aca="false">IF(C273="","","ERSS-"&amp;IFERROR(VLOOKUP(C273,Lists!$AK$4:$AL$21,2,0),"??")&amp;"-"&amp;TEXT(E273,"0000")&amp;"x"&amp;TEXT(F273,"0000")&amp;"-D"&amp;TEXT(G273*1000,"0000")&amp;"-"&amp;IFERROR(VLOOKUP(H273,Lists!$Y$4:$Z$21,2,0),"??")&amp;"-"&amp;U273)</f>
        <v/>
      </c>
      <c r="B273" s="10" t="str">
        <f aca="false">IF(C273="","",C273&amp;" for "&amp;D273&amp;", "&amp;E273&amp;" x "&amp;F273&amp;" pit, "&amp;TEXT(G273,"0.0")&amp;" m deep, "&amp;H273)</f>
        <v/>
      </c>
      <c r="C273" s="9"/>
      <c r="D273" s="9"/>
      <c r="E273" s="40"/>
      <c r="F273" s="40"/>
      <c r="G273" s="43"/>
      <c r="H273" s="9"/>
      <c r="I273" s="43"/>
      <c r="J273" s="40"/>
      <c r="K273" s="9"/>
      <c r="L273" s="43"/>
      <c r="M273" s="43"/>
      <c r="N273" s="40"/>
      <c r="O273" s="9"/>
      <c r="P273" s="9"/>
      <c r="Q273" s="41"/>
      <c r="R273" s="9"/>
      <c r="S273" s="40"/>
      <c r="T273" s="9"/>
      <c r="U273" s="9"/>
      <c r="V273" s="9"/>
      <c r="W273" s="9"/>
      <c r="X273" s="9"/>
      <c r="Y273" s="9"/>
      <c r="Z273" s="10" t="str">
        <f aca="false">IF(A273="","",SG_Criteria!$B$6&amp;SG_Criteria!$B$11&amp;"\"&amp;A273&amp;"\")</f>
        <v/>
      </c>
      <c r="AA273" s="10" t="str">
        <f aca="false">IF(A273="","",A273&amp;"_CAD.dwg")</f>
        <v/>
      </c>
      <c r="AB273" s="10" t="str">
        <f aca="false">IF(A273="","",A273&amp;"_DWG.pdf")</f>
        <v/>
      </c>
      <c r="AC273" s="10" t="str">
        <f aca="false">IF(A273="","",IF(Y273="Y",A273&amp;"_STAAD.std","n/a"))</f>
        <v/>
      </c>
      <c r="AD273" s="10" t="str">
        <f aca="false">IF(A273="","",A273&amp;"_CALC.xlsx")</f>
        <v/>
      </c>
      <c r="AE273" s="10" t="str">
        <f aca="false">IF(A273="","",A273&amp;"_CALC.pdf")</f>
        <v/>
      </c>
      <c r="AF273" s="9"/>
      <c r="AG273" s="9"/>
      <c r="AH273" s="41"/>
      <c r="AI273" s="41"/>
      <c r="AJ273" s="41"/>
      <c r="AK273" s="41"/>
      <c r="AL273" s="41"/>
      <c r="AM273" s="38" t="str">
        <f aca="false">IF(OR(C273="",G273=""),"",IF(G273&lt;=IF(OR(C273="Soldier Pile &amp; Timber Lagging",C273="Trench Shoring Box",C273="Open Cut (battered)"),SG_Criteria!$B$34,SG_Criteria!$B$33),"No ERSS submission",IF(G273&lt;=SG_Criteria!$B$35,"QP(ST)",IF(G273&lt;=SG_Criteria!$B$36,"QP(ST) + AC","Geotechnical building works: QP(Geo) + AC"))))</f>
        <v/>
      </c>
      <c r="AN273" s="38" t="str">
        <f aca="false">IF(C273="","",IF(LEN(IF(AND(Q273&lt;&gt;"",Q273&lt;SG_Criteria!$B$37),"FAIL: base stability FOS &lt; "&amp;SG_Criteria!$B$37&amp;". ","")&amp;IF(AND(D273="Manhole",G273&gt;SG_Criteria!$B$36),"NOTE: BCA lists sewer manholes (pipe &lt;= 2 m dia) &gt; 6 m as non-GBW: QP(ST) + AC. ","")&amp;IF(AND(C273="Trench Shoring Box",H273="Kallang Formation (marine clay)"),"NOTE: check base heave / ground loss for shoring box in marine clay. ","")&amp;IF(AND(C273="Steel Sheet Pile Cofferdam",N(M273)&lt;G273*0.5),"NOTE: short toe embedment, check. ",""))=0,"OK",IF(AND(Q273&lt;&gt;"",Q273&lt;SG_Criteria!$B$37),"FAIL: base stability FOS &lt; "&amp;SG_Criteria!$B$37&amp;". ","")&amp;IF(AND(D273="Manhole",G273&gt;SG_Criteria!$B$36),"NOTE: BCA lists sewer manholes (pipe &lt;= 2 m dia) &gt; 6 m as non-GBW: QP(ST) + AC. ","")&amp;IF(AND(C273="Trench Shoring Box",H273="Kallang Formation (marine clay)"),"NOTE: check base heave / ground loss for shoring box in marine clay. ","")&amp;IF(AND(C273="Steel Sheet Pile Cofferdam",N(M273)&lt;G273*0.5),"NOTE: short toe embedment, check. ","")))</f>
        <v/>
      </c>
      <c r="AO273" s="9"/>
      <c r="AP273" s="9"/>
      <c r="AQ273" s="9"/>
      <c r="AR273" s="9"/>
      <c r="AS273" s="9"/>
      <c r="AT273" s="31"/>
      <c r="AU273" s="10" t="str">
        <f aca="false">IF(C273="","",IF(AND(V273="Approved",ISERROR(SEARCH("FAIL",AN273))),"Y","N"))</f>
        <v/>
      </c>
      <c r="AV273" s="10" t="str">
        <f aca="false">IF(C273="","",C273&amp;"|"&amp;G273&amp;"|"&amp;E273&amp;"|"&amp;H273&amp;"|"&amp;AU273)</f>
        <v/>
      </c>
    </row>
    <row r="274" customFormat="false" ht="15" hidden="false" customHeight="false" outlineLevel="0" collapsed="false">
      <c r="A274" s="10" t="str">
        <f aca="false">IF(C274="","","ERSS-"&amp;IFERROR(VLOOKUP(C274,Lists!$AK$4:$AL$21,2,0),"??")&amp;"-"&amp;TEXT(E274,"0000")&amp;"x"&amp;TEXT(F274,"0000")&amp;"-D"&amp;TEXT(G274*1000,"0000")&amp;"-"&amp;IFERROR(VLOOKUP(H274,Lists!$Y$4:$Z$21,2,0),"??")&amp;"-"&amp;U274)</f>
        <v/>
      </c>
      <c r="B274" s="10" t="str">
        <f aca="false">IF(C274="","",C274&amp;" for "&amp;D274&amp;", "&amp;E274&amp;" x "&amp;F274&amp;" pit, "&amp;TEXT(G274,"0.0")&amp;" m deep, "&amp;H274)</f>
        <v/>
      </c>
      <c r="C274" s="9"/>
      <c r="D274" s="9"/>
      <c r="E274" s="40"/>
      <c r="F274" s="40"/>
      <c r="G274" s="43"/>
      <c r="H274" s="9"/>
      <c r="I274" s="43"/>
      <c r="J274" s="40"/>
      <c r="K274" s="9"/>
      <c r="L274" s="43"/>
      <c r="M274" s="43"/>
      <c r="N274" s="40"/>
      <c r="O274" s="9"/>
      <c r="P274" s="9"/>
      <c r="Q274" s="41"/>
      <c r="R274" s="9"/>
      <c r="S274" s="40"/>
      <c r="T274" s="9"/>
      <c r="U274" s="9"/>
      <c r="V274" s="9"/>
      <c r="W274" s="9"/>
      <c r="X274" s="9"/>
      <c r="Y274" s="9"/>
      <c r="Z274" s="10" t="str">
        <f aca="false">IF(A274="","",SG_Criteria!$B$6&amp;SG_Criteria!$B$11&amp;"\"&amp;A274&amp;"\")</f>
        <v/>
      </c>
      <c r="AA274" s="10" t="str">
        <f aca="false">IF(A274="","",A274&amp;"_CAD.dwg")</f>
        <v/>
      </c>
      <c r="AB274" s="10" t="str">
        <f aca="false">IF(A274="","",A274&amp;"_DWG.pdf")</f>
        <v/>
      </c>
      <c r="AC274" s="10" t="str">
        <f aca="false">IF(A274="","",IF(Y274="Y",A274&amp;"_STAAD.std","n/a"))</f>
        <v/>
      </c>
      <c r="AD274" s="10" t="str">
        <f aca="false">IF(A274="","",A274&amp;"_CALC.xlsx")</f>
        <v/>
      </c>
      <c r="AE274" s="10" t="str">
        <f aca="false">IF(A274="","",A274&amp;"_CALC.pdf")</f>
        <v/>
      </c>
      <c r="AF274" s="9"/>
      <c r="AG274" s="9"/>
      <c r="AH274" s="41"/>
      <c r="AI274" s="41"/>
      <c r="AJ274" s="41"/>
      <c r="AK274" s="41"/>
      <c r="AL274" s="41"/>
      <c r="AM274" s="38" t="str">
        <f aca="false">IF(OR(C274="",G274=""),"",IF(G274&lt;=IF(OR(C274="Soldier Pile &amp; Timber Lagging",C274="Trench Shoring Box",C274="Open Cut (battered)"),SG_Criteria!$B$34,SG_Criteria!$B$33),"No ERSS submission",IF(G274&lt;=SG_Criteria!$B$35,"QP(ST)",IF(G274&lt;=SG_Criteria!$B$36,"QP(ST) + AC","Geotechnical building works: QP(Geo) + AC"))))</f>
        <v/>
      </c>
      <c r="AN274" s="38" t="str">
        <f aca="false">IF(C274="","",IF(LEN(IF(AND(Q274&lt;&gt;"",Q274&lt;SG_Criteria!$B$37),"FAIL: base stability FOS &lt; "&amp;SG_Criteria!$B$37&amp;". ","")&amp;IF(AND(D274="Manhole",G274&gt;SG_Criteria!$B$36),"NOTE: BCA lists sewer manholes (pipe &lt;= 2 m dia) &gt; 6 m as non-GBW: QP(ST) + AC. ","")&amp;IF(AND(C274="Trench Shoring Box",H274="Kallang Formation (marine clay)"),"NOTE: check base heave / ground loss for shoring box in marine clay. ","")&amp;IF(AND(C274="Steel Sheet Pile Cofferdam",N(M274)&lt;G274*0.5),"NOTE: short toe embedment, check. ",""))=0,"OK",IF(AND(Q274&lt;&gt;"",Q274&lt;SG_Criteria!$B$37),"FAIL: base stability FOS &lt; "&amp;SG_Criteria!$B$37&amp;". ","")&amp;IF(AND(D274="Manhole",G274&gt;SG_Criteria!$B$36),"NOTE: BCA lists sewer manholes (pipe &lt;= 2 m dia) &gt; 6 m as non-GBW: QP(ST) + AC. ","")&amp;IF(AND(C274="Trench Shoring Box",H274="Kallang Formation (marine clay)"),"NOTE: check base heave / ground loss for shoring box in marine clay. ","")&amp;IF(AND(C274="Steel Sheet Pile Cofferdam",N(M274)&lt;G274*0.5),"NOTE: short toe embedment, check. ","")))</f>
        <v/>
      </c>
      <c r="AO274" s="9"/>
      <c r="AP274" s="9"/>
      <c r="AQ274" s="9"/>
      <c r="AR274" s="9"/>
      <c r="AS274" s="9"/>
      <c r="AT274" s="31"/>
      <c r="AU274" s="10" t="str">
        <f aca="false">IF(C274="","",IF(AND(V274="Approved",ISERROR(SEARCH("FAIL",AN274))),"Y","N"))</f>
        <v/>
      </c>
      <c r="AV274" s="10" t="str">
        <f aca="false">IF(C274="","",C274&amp;"|"&amp;G274&amp;"|"&amp;E274&amp;"|"&amp;H274&amp;"|"&amp;AU274)</f>
        <v/>
      </c>
    </row>
    <row r="275" customFormat="false" ht="15" hidden="false" customHeight="false" outlineLevel="0" collapsed="false">
      <c r="A275" s="10" t="str">
        <f aca="false">IF(C275="","","ERSS-"&amp;IFERROR(VLOOKUP(C275,Lists!$AK$4:$AL$21,2,0),"??")&amp;"-"&amp;TEXT(E275,"0000")&amp;"x"&amp;TEXT(F275,"0000")&amp;"-D"&amp;TEXT(G275*1000,"0000")&amp;"-"&amp;IFERROR(VLOOKUP(H275,Lists!$Y$4:$Z$21,2,0),"??")&amp;"-"&amp;U275)</f>
        <v/>
      </c>
      <c r="B275" s="10" t="str">
        <f aca="false">IF(C275="","",C275&amp;" for "&amp;D275&amp;", "&amp;E275&amp;" x "&amp;F275&amp;" pit, "&amp;TEXT(G275,"0.0")&amp;" m deep, "&amp;H275)</f>
        <v/>
      </c>
      <c r="C275" s="9"/>
      <c r="D275" s="9"/>
      <c r="E275" s="40"/>
      <c r="F275" s="40"/>
      <c r="G275" s="43"/>
      <c r="H275" s="9"/>
      <c r="I275" s="43"/>
      <c r="J275" s="40"/>
      <c r="K275" s="9"/>
      <c r="L275" s="43"/>
      <c r="M275" s="43"/>
      <c r="N275" s="40"/>
      <c r="O275" s="9"/>
      <c r="P275" s="9"/>
      <c r="Q275" s="41"/>
      <c r="R275" s="9"/>
      <c r="S275" s="40"/>
      <c r="T275" s="9"/>
      <c r="U275" s="9"/>
      <c r="V275" s="9"/>
      <c r="W275" s="9"/>
      <c r="X275" s="9"/>
      <c r="Y275" s="9"/>
      <c r="Z275" s="10" t="str">
        <f aca="false">IF(A275="","",SG_Criteria!$B$6&amp;SG_Criteria!$B$11&amp;"\"&amp;A275&amp;"\")</f>
        <v/>
      </c>
      <c r="AA275" s="10" t="str">
        <f aca="false">IF(A275="","",A275&amp;"_CAD.dwg")</f>
        <v/>
      </c>
      <c r="AB275" s="10" t="str">
        <f aca="false">IF(A275="","",A275&amp;"_DWG.pdf")</f>
        <v/>
      </c>
      <c r="AC275" s="10" t="str">
        <f aca="false">IF(A275="","",IF(Y275="Y",A275&amp;"_STAAD.std","n/a"))</f>
        <v/>
      </c>
      <c r="AD275" s="10" t="str">
        <f aca="false">IF(A275="","",A275&amp;"_CALC.xlsx")</f>
        <v/>
      </c>
      <c r="AE275" s="10" t="str">
        <f aca="false">IF(A275="","",A275&amp;"_CALC.pdf")</f>
        <v/>
      </c>
      <c r="AF275" s="9"/>
      <c r="AG275" s="9"/>
      <c r="AH275" s="41"/>
      <c r="AI275" s="41"/>
      <c r="AJ275" s="41"/>
      <c r="AK275" s="41"/>
      <c r="AL275" s="41"/>
      <c r="AM275" s="38" t="str">
        <f aca="false">IF(OR(C275="",G275=""),"",IF(G275&lt;=IF(OR(C275="Soldier Pile &amp; Timber Lagging",C275="Trench Shoring Box",C275="Open Cut (battered)"),SG_Criteria!$B$34,SG_Criteria!$B$33),"No ERSS submission",IF(G275&lt;=SG_Criteria!$B$35,"QP(ST)",IF(G275&lt;=SG_Criteria!$B$36,"QP(ST) + AC","Geotechnical building works: QP(Geo) + AC"))))</f>
        <v/>
      </c>
      <c r="AN275" s="38" t="str">
        <f aca="false">IF(C275="","",IF(LEN(IF(AND(Q275&lt;&gt;"",Q275&lt;SG_Criteria!$B$37),"FAIL: base stability FOS &lt; "&amp;SG_Criteria!$B$37&amp;". ","")&amp;IF(AND(D275="Manhole",G275&gt;SG_Criteria!$B$36),"NOTE: BCA lists sewer manholes (pipe &lt;= 2 m dia) &gt; 6 m as non-GBW: QP(ST) + AC. ","")&amp;IF(AND(C275="Trench Shoring Box",H275="Kallang Formation (marine clay)"),"NOTE: check base heave / ground loss for shoring box in marine clay. ","")&amp;IF(AND(C275="Steel Sheet Pile Cofferdam",N(M275)&lt;G275*0.5),"NOTE: short toe embedment, check. ",""))=0,"OK",IF(AND(Q275&lt;&gt;"",Q275&lt;SG_Criteria!$B$37),"FAIL: base stability FOS &lt; "&amp;SG_Criteria!$B$37&amp;". ","")&amp;IF(AND(D275="Manhole",G275&gt;SG_Criteria!$B$36),"NOTE: BCA lists sewer manholes (pipe &lt;= 2 m dia) &gt; 6 m as non-GBW: QP(ST) + AC. ","")&amp;IF(AND(C275="Trench Shoring Box",H275="Kallang Formation (marine clay)"),"NOTE: check base heave / ground loss for shoring box in marine clay. ","")&amp;IF(AND(C275="Steel Sheet Pile Cofferdam",N(M275)&lt;G275*0.5),"NOTE: short toe embedment, check. ","")))</f>
        <v/>
      </c>
      <c r="AO275" s="9"/>
      <c r="AP275" s="9"/>
      <c r="AQ275" s="9"/>
      <c r="AR275" s="9"/>
      <c r="AS275" s="9"/>
      <c r="AT275" s="31"/>
      <c r="AU275" s="10" t="str">
        <f aca="false">IF(C275="","",IF(AND(V275="Approved",ISERROR(SEARCH("FAIL",AN275))),"Y","N"))</f>
        <v/>
      </c>
      <c r="AV275" s="10" t="str">
        <f aca="false">IF(C275="","",C275&amp;"|"&amp;G275&amp;"|"&amp;E275&amp;"|"&amp;H275&amp;"|"&amp;AU275)</f>
        <v/>
      </c>
    </row>
    <row r="276" customFormat="false" ht="15" hidden="false" customHeight="false" outlineLevel="0" collapsed="false">
      <c r="A276" s="10" t="str">
        <f aca="false">IF(C276="","","ERSS-"&amp;IFERROR(VLOOKUP(C276,Lists!$AK$4:$AL$21,2,0),"??")&amp;"-"&amp;TEXT(E276,"0000")&amp;"x"&amp;TEXT(F276,"0000")&amp;"-D"&amp;TEXT(G276*1000,"0000")&amp;"-"&amp;IFERROR(VLOOKUP(H276,Lists!$Y$4:$Z$21,2,0),"??")&amp;"-"&amp;U276)</f>
        <v/>
      </c>
      <c r="B276" s="10" t="str">
        <f aca="false">IF(C276="","",C276&amp;" for "&amp;D276&amp;", "&amp;E276&amp;" x "&amp;F276&amp;" pit, "&amp;TEXT(G276,"0.0")&amp;" m deep, "&amp;H276)</f>
        <v/>
      </c>
      <c r="C276" s="9"/>
      <c r="D276" s="9"/>
      <c r="E276" s="40"/>
      <c r="F276" s="40"/>
      <c r="G276" s="43"/>
      <c r="H276" s="9"/>
      <c r="I276" s="43"/>
      <c r="J276" s="40"/>
      <c r="K276" s="9"/>
      <c r="L276" s="43"/>
      <c r="M276" s="43"/>
      <c r="N276" s="40"/>
      <c r="O276" s="9"/>
      <c r="P276" s="9"/>
      <c r="Q276" s="41"/>
      <c r="R276" s="9"/>
      <c r="S276" s="40"/>
      <c r="T276" s="9"/>
      <c r="U276" s="9"/>
      <c r="V276" s="9"/>
      <c r="W276" s="9"/>
      <c r="X276" s="9"/>
      <c r="Y276" s="9"/>
      <c r="Z276" s="10" t="str">
        <f aca="false">IF(A276="","",SG_Criteria!$B$6&amp;SG_Criteria!$B$11&amp;"\"&amp;A276&amp;"\")</f>
        <v/>
      </c>
      <c r="AA276" s="10" t="str">
        <f aca="false">IF(A276="","",A276&amp;"_CAD.dwg")</f>
        <v/>
      </c>
      <c r="AB276" s="10" t="str">
        <f aca="false">IF(A276="","",A276&amp;"_DWG.pdf")</f>
        <v/>
      </c>
      <c r="AC276" s="10" t="str">
        <f aca="false">IF(A276="","",IF(Y276="Y",A276&amp;"_STAAD.std","n/a"))</f>
        <v/>
      </c>
      <c r="AD276" s="10" t="str">
        <f aca="false">IF(A276="","",A276&amp;"_CALC.xlsx")</f>
        <v/>
      </c>
      <c r="AE276" s="10" t="str">
        <f aca="false">IF(A276="","",A276&amp;"_CALC.pdf")</f>
        <v/>
      </c>
      <c r="AF276" s="9"/>
      <c r="AG276" s="9"/>
      <c r="AH276" s="41"/>
      <c r="AI276" s="41"/>
      <c r="AJ276" s="41"/>
      <c r="AK276" s="41"/>
      <c r="AL276" s="41"/>
      <c r="AM276" s="38" t="str">
        <f aca="false">IF(OR(C276="",G276=""),"",IF(G276&lt;=IF(OR(C276="Soldier Pile &amp; Timber Lagging",C276="Trench Shoring Box",C276="Open Cut (battered)"),SG_Criteria!$B$34,SG_Criteria!$B$33),"No ERSS submission",IF(G276&lt;=SG_Criteria!$B$35,"QP(ST)",IF(G276&lt;=SG_Criteria!$B$36,"QP(ST) + AC","Geotechnical building works: QP(Geo) + AC"))))</f>
        <v/>
      </c>
      <c r="AN276" s="38" t="str">
        <f aca="false">IF(C276="","",IF(LEN(IF(AND(Q276&lt;&gt;"",Q276&lt;SG_Criteria!$B$37),"FAIL: base stability FOS &lt; "&amp;SG_Criteria!$B$37&amp;". ","")&amp;IF(AND(D276="Manhole",G276&gt;SG_Criteria!$B$36),"NOTE: BCA lists sewer manholes (pipe &lt;= 2 m dia) &gt; 6 m as non-GBW: QP(ST) + AC. ","")&amp;IF(AND(C276="Trench Shoring Box",H276="Kallang Formation (marine clay)"),"NOTE: check base heave / ground loss for shoring box in marine clay. ","")&amp;IF(AND(C276="Steel Sheet Pile Cofferdam",N(M276)&lt;G276*0.5),"NOTE: short toe embedment, check. ",""))=0,"OK",IF(AND(Q276&lt;&gt;"",Q276&lt;SG_Criteria!$B$37),"FAIL: base stability FOS &lt; "&amp;SG_Criteria!$B$37&amp;". ","")&amp;IF(AND(D276="Manhole",G276&gt;SG_Criteria!$B$36),"NOTE: BCA lists sewer manholes (pipe &lt;= 2 m dia) &gt; 6 m as non-GBW: QP(ST) + AC. ","")&amp;IF(AND(C276="Trench Shoring Box",H276="Kallang Formation (marine clay)"),"NOTE: check base heave / ground loss for shoring box in marine clay. ","")&amp;IF(AND(C276="Steel Sheet Pile Cofferdam",N(M276)&lt;G276*0.5),"NOTE: short toe embedment, check. ","")))</f>
        <v/>
      </c>
      <c r="AO276" s="9"/>
      <c r="AP276" s="9"/>
      <c r="AQ276" s="9"/>
      <c r="AR276" s="9"/>
      <c r="AS276" s="9"/>
      <c r="AT276" s="31"/>
      <c r="AU276" s="10" t="str">
        <f aca="false">IF(C276="","",IF(AND(V276="Approved",ISERROR(SEARCH("FAIL",AN276))),"Y","N"))</f>
        <v/>
      </c>
      <c r="AV276" s="10" t="str">
        <f aca="false">IF(C276="","",C276&amp;"|"&amp;G276&amp;"|"&amp;E276&amp;"|"&amp;H276&amp;"|"&amp;AU276)</f>
        <v/>
      </c>
    </row>
    <row r="277" customFormat="false" ht="15" hidden="false" customHeight="false" outlineLevel="0" collapsed="false">
      <c r="A277" s="10" t="str">
        <f aca="false">IF(C277="","","ERSS-"&amp;IFERROR(VLOOKUP(C277,Lists!$AK$4:$AL$21,2,0),"??")&amp;"-"&amp;TEXT(E277,"0000")&amp;"x"&amp;TEXT(F277,"0000")&amp;"-D"&amp;TEXT(G277*1000,"0000")&amp;"-"&amp;IFERROR(VLOOKUP(H277,Lists!$Y$4:$Z$21,2,0),"??")&amp;"-"&amp;U277)</f>
        <v/>
      </c>
      <c r="B277" s="10" t="str">
        <f aca="false">IF(C277="","",C277&amp;" for "&amp;D277&amp;", "&amp;E277&amp;" x "&amp;F277&amp;" pit, "&amp;TEXT(G277,"0.0")&amp;" m deep, "&amp;H277)</f>
        <v/>
      </c>
      <c r="C277" s="9"/>
      <c r="D277" s="9"/>
      <c r="E277" s="40"/>
      <c r="F277" s="40"/>
      <c r="G277" s="43"/>
      <c r="H277" s="9"/>
      <c r="I277" s="43"/>
      <c r="J277" s="40"/>
      <c r="K277" s="9"/>
      <c r="L277" s="43"/>
      <c r="M277" s="43"/>
      <c r="N277" s="40"/>
      <c r="O277" s="9"/>
      <c r="P277" s="9"/>
      <c r="Q277" s="41"/>
      <c r="R277" s="9"/>
      <c r="S277" s="40"/>
      <c r="T277" s="9"/>
      <c r="U277" s="9"/>
      <c r="V277" s="9"/>
      <c r="W277" s="9"/>
      <c r="X277" s="9"/>
      <c r="Y277" s="9"/>
      <c r="Z277" s="10" t="str">
        <f aca="false">IF(A277="","",SG_Criteria!$B$6&amp;SG_Criteria!$B$11&amp;"\"&amp;A277&amp;"\")</f>
        <v/>
      </c>
      <c r="AA277" s="10" t="str">
        <f aca="false">IF(A277="","",A277&amp;"_CAD.dwg")</f>
        <v/>
      </c>
      <c r="AB277" s="10" t="str">
        <f aca="false">IF(A277="","",A277&amp;"_DWG.pdf")</f>
        <v/>
      </c>
      <c r="AC277" s="10" t="str">
        <f aca="false">IF(A277="","",IF(Y277="Y",A277&amp;"_STAAD.std","n/a"))</f>
        <v/>
      </c>
      <c r="AD277" s="10" t="str">
        <f aca="false">IF(A277="","",A277&amp;"_CALC.xlsx")</f>
        <v/>
      </c>
      <c r="AE277" s="10" t="str">
        <f aca="false">IF(A277="","",A277&amp;"_CALC.pdf")</f>
        <v/>
      </c>
      <c r="AF277" s="9"/>
      <c r="AG277" s="9"/>
      <c r="AH277" s="41"/>
      <c r="AI277" s="41"/>
      <c r="AJ277" s="41"/>
      <c r="AK277" s="41"/>
      <c r="AL277" s="41"/>
      <c r="AM277" s="38" t="str">
        <f aca="false">IF(OR(C277="",G277=""),"",IF(G277&lt;=IF(OR(C277="Soldier Pile &amp; Timber Lagging",C277="Trench Shoring Box",C277="Open Cut (battered)"),SG_Criteria!$B$34,SG_Criteria!$B$33),"No ERSS submission",IF(G277&lt;=SG_Criteria!$B$35,"QP(ST)",IF(G277&lt;=SG_Criteria!$B$36,"QP(ST) + AC","Geotechnical building works: QP(Geo) + AC"))))</f>
        <v/>
      </c>
      <c r="AN277" s="38" t="str">
        <f aca="false">IF(C277="","",IF(LEN(IF(AND(Q277&lt;&gt;"",Q277&lt;SG_Criteria!$B$37),"FAIL: base stability FOS &lt; "&amp;SG_Criteria!$B$37&amp;". ","")&amp;IF(AND(D277="Manhole",G277&gt;SG_Criteria!$B$36),"NOTE: BCA lists sewer manholes (pipe &lt;= 2 m dia) &gt; 6 m as non-GBW: QP(ST) + AC. ","")&amp;IF(AND(C277="Trench Shoring Box",H277="Kallang Formation (marine clay)"),"NOTE: check base heave / ground loss for shoring box in marine clay. ","")&amp;IF(AND(C277="Steel Sheet Pile Cofferdam",N(M277)&lt;G277*0.5),"NOTE: short toe embedment, check. ",""))=0,"OK",IF(AND(Q277&lt;&gt;"",Q277&lt;SG_Criteria!$B$37),"FAIL: base stability FOS &lt; "&amp;SG_Criteria!$B$37&amp;". ","")&amp;IF(AND(D277="Manhole",G277&gt;SG_Criteria!$B$36),"NOTE: BCA lists sewer manholes (pipe &lt;= 2 m dia) &gt; 6 m as non-GBW: QP(ST) + AC. ","")&amp;IF(AND(C277="Trench Shoring Box",H277="Kallang Formation (marine clay)"),"NOTE: check base heave / ground loss for shoring box in marine clay. ","")&amp;IF(AND(C277="Steel Sheet Pile Cofferdam",N(M277)&lt;G277*0.5),"NOTE: short toe embedment, check. ","")))</f>
        <v/>
      </c>
      <c r="AO277" s="9"/>
      <c r="AP277" s="9"/>
      <c r="AQ277" s="9"/>
      <c r="AR277" s="9"/>
      <c r="AS277" s="9"/>
      <c r="AT277" s="31"/>
      <c r="AU277" s="10" t="str">
        <f aca="false">IF(C277="","",IF(AND(V277="Approved",ISERROR(SEARCH("FAIL",AN277))),"Y","N"))</f>
        <v/>
      </c>
      <c r="AV277" s="10" t="str">
        <f aca="false">IF(C277="","",C277&amp;"|"&amp;G277&amp;"|"&amp;E277&amp;"|"&amp;H277&amp;"|"&amp;AU277)</f>
        <v/>
      </c>
    </row>
    <row r="278" customFormat="false" ht="15" hidden="false" customHeight="false" outlineLevel="0" collapsed="false">
      <c r="A278" s="10" t="str">
        <f aca="false">IF(C278="","","ERSS-"&amp;IFERROR(VLOOKUP(C278,Lists!$AK$4:$AL$21,2,0),"??")&amp;"-"&amp;TEXT(E278,"0000")&amp;"x"&amp;TEXT(F278,"0000")&amp;"-D"&amp;TEXT(G278*1000,"0000")&amp;"-"&amp;IFERROR(VLOOKUP(H278,Lists!$Y$4:$Z$21,2,0),"??")&amp;"-"&amp;U278)</f>
        <v/>
      </c>
      <c r="B278" s="10" t="str">
        <f aca="false">IF(C278="","",C278&amp;" for "&amp;D278&amp;", "&amp;E278&amp;" x "&amp;F278&amp;" pit, "&amp;TEXT(G278,"0.0")&amp;" m deep, "&amp;H278)</f>
        <v/>
      </c>
      <c r="C278" s="9"/>
      <c r="D278" s="9"/>
      <c r="E278" s="40"/>
      <c r="F278" s="40"/>
      <c r="G278" s="43"/>
      <c r="H278" s="9"/>
      <c r="I278" s="43"/>
      <c r="J278" s="40"/>
      <c r="K278" s="9"/>
      <c r="L278" s="43"/>
      <c r="M278" s="43"/>
      <c r="N278" s="40"/>
      <c r="O278" s="9"/>
      <c r="P278" s="9"/>
      <c r="Q278" s="41"/>
      <c r="R278" s="9"/>
      <c r="S278" s="40"/>
      <c r="T278" s="9"/>
      <c r="U278" s="9"/>
      <c r="V278" s="9"/>
      <c r="W278" s="9"/>
      <c r="X278" s="9"/>
      <c r="Y278" s="9"/>
      <c r="Z278" s="10" t="str">
        <f aca="false">IF(A278="","",SG_Criteria!$B$6&amp;SG_Criteria!$B$11&amp;"\"&amp;A278&amp;"\")</f>
        <v/>
      </c>
      <c r="AA278" s="10" t="str">
        <f aca="false">IF(A278="","",A278&amp;"_CAD.dwg")</f>
        <v/>
      </c>
      <c r="AB278" s="10" t="str">
        <f aca="false">IF(A278="","",A278&amp;"_DWG.pdf")</f>
        <v/>
      </c>
      <c r="AC278" s="10" t="str">
        <f aca="false">IF(A278="","",IF(Y278="Y",A278&amp;"_STAAD.std","n/a"))</f>
        <v/>
      </c>
      <c r="AD278" s="10" t="str">
        <f aca="false">IF(A278="","",A278&amp;"_CALC.xlsx")</f>
        <v/>
      </c>
      <c r="AE278" s="10" t="str">
        <f aca="false">IF(A278="","",A278&amp;"_CALC.pdf")</f>
        <v/>
      </c>
      <c r="AF278" s="9"/>
      <c r="AG278" s="9"/>
      <c r="AH278" s="41"/>
      <c r="AI278" s="41"/>
      <c r="AJ278" s="41"/>
      <c r="AK278" s="41"/>
      <c r="AL278" s="41"/>
      <c r="AM278" s="38" t="str">
        <f aca="false">IF(OR(C278="",G278=""),"",IF(G278&lt;=IF(OR(C278="Soldier Pile &amp; Timber Lagging",C278="Trench Shoring Box",C278="Open Cut (battered)"),SG_Criteria!$B$34,SG_Criteria!$B$33),"No ERSS submission",IF(G278&lt;=SG_Criteria!$B$35,"QP(ST)",IF(G278&lt;=SG_Criteria!$B$36,"QP(ST) + AC","Geotechnical building works: QP(Geo) + AC"))))</f>
        <v/>
      </c>
      <c r="AN278" s="38" t="str">
        <f aca="false">IF(C278="","",IF(LEN(IF(AND(Q278&lt;&gt;"",Q278&lt;SG_Criteria!$B$37),"FAIL: base stability FOS &lt; "&amp;SG_Criteria!$B$37&amp;". ","")&amp;IF(AND(D278="Manhole",G278&gt;SG_Criteria!$B$36),"NOTE: BCA lists sewer manholes (pipe &lt;= 2 m dia) &gt; 6 m as non-GBW: QP(ST) + AC. ","")&amp;IF(AND(C278="Trench Shoring Box",H278="Kallang Formation (marine clay)"),"NOTE: check base heave / ground loss for shoring box in marine clay. ","")&amp;IF(AND(C278="Steel Sheet Pile Cofferdam",N(M278)&lt;G278*0.5),"NOTE: short toe embedment, check. ",""))=0,"OK",IF(AND(Q278&lt;&gt;"",Q278&lt;SG_Criteria!$B$37),"FAIL: base stability FOS &lt; "&amp;SG_Criteria!$B$37&amp;". ","")&amp;IF(AND(D278="Manhole",G278&gt;SG_Criteria!$B$36),"NOTE: BCA lists sewer manholes (pipe &lt;= 2 m dia) &gt; 6 m as non-GBW: QP(ST) + AC. ","")&amp;IF(AND(C278="Trench Shoring Box",H278="Kallang Formation (marine clay)"),"NOTE: check base heave / ground loss for shoring box in marine clay. ","")&amp;IF(AND(C278="Steel Sheet Pile Cofferdam",N(M278)&lt;G278*0.5),"NOTE: short toe embedment, check. ","")))</f>
        <v/>
      </c>
      <c r="AO278" s="9"/>
      <c r="AP278" s="9"/>
      <c r="AQ278" s="9"/>
      <c r="AR278" s="9"/>
      <c r="AS278" s="9"/>
      <c r="AT278" s="31"/>
      <c r="AU278" s="10" t="str">
        <f aca="false">IF(C278="","",IF(AND(V278="Approved",ISERROR(SEARCH("FAIL",AN278))),"Y","N"))</f>
        <v/>
      </c>
      <c r="AV278" s="10" t="str">
        <f aca="false">IF(C278="","",C278&amp;"|"&amp;G278&amp;"|"&amp;E278&amp;"|"&amp;H278&amp;"|"&amp;AU278)</f>
        <v/>
      </c>
    </row>
    <row r="279" customFormat="false" ht="15" hidden="false" customHeight="false" outlineLevel="0" collapsed="false">
      <c r="A279" s="10" t="str">
        <f aca="false">IF(C279="","","ERSS-"&amp;IFERROR(VLOOKUP(C279,Lists!$AK$4:$AL$21,2,0),"??")&amp;"-"&amp;TEXT(E279,"0000")&amp;"x"&amp;TEXT(F279,"0000")&amp;"-D"&amp;TEXT(G279*1000,"0000")&amp;"-"&amp;IFERROR(VLOOKUP(H279,Lists!$Y$4:$Z$21,2,0),"??")&amp;"-"&amp;U279)</f>
        <v/>
      </c>
      <c r="B279" s="10" t="str">
        <f aca="false">IF(C279="","",C279&amp;" for "&amp;D279&amp;", "&amp;E279&amp;" x "&amp;F279&amp;" pit, "&amp;TEXT(G279,"0.0")&amp;" m deep, "&amp;H279)</f>
        <v/>
      </c>
      <c r="C279" s="9"/>
      <c r="D279" s="9"/>
      <c r="E279" s="40"/>
      <c r="F279" s="40"/>
      <c r="G279" s="43"/>
      <c r="H279" s="9"/>
      <c r="I279" s="43"/>
      <c r="J279" s="40"/>
      <c r="K279" s="9"/>
      <c r="L279" s="43"/>
      <c r="M279" s="43"/>
      <c r="N279" s="40"/>
      <c r="O279" s="9"/>
      <c r="P279" s="9"/>
      <c r="Q279" s="41"/>
      <c r="R279" s="9"/>
      <c r="S279" s="40"/>
      <c r="T279" s="9"/>
      <c r="U279" s="9"/>
      <c r="V279" s="9"/>
      <c r="W279" s="9"/>
      <c r="X279" s="9"/>
      <c r="Y279" s="9"/>
      <c r="Z279" s="10" t="str">
        <f aca="false">IF(A279="","",SG_Criteria!$B$6&amp;SG_Criteria!$B$11&amp;"\"&amp;A279&amp;"\")</f>
        <v/>
      </c>
      <c r="AA279" s="10" t="str">
        <f aca="false">IF(A279="","",A279&amp;"_CAD.dwg")</f>
        <v/>
      </c>
      <c r="AB279" s="10" t="str">
        <f aca="false">IF(A279="","",A279&amp;"_DWG.pdf")</f>
        <v/>
      </c>
      <c r="AC279" s="10" t="str">
        <f aca="false">IF(A279="","",IF(Y279="Y",A279&amp;"_STAAD.std","n/a"))</f>
        <v/>
      </c>
      <c r="AD279" s="10" t="str">
        <f aca="false">IF(A279="","",A279&amp;"_CALC.xlsx")</f>
        <v/>
      </c>
      <c r="AE279" s="10" t="str">
        <f aca="false">IF(A279="","",A279&amp;"_CALC.pdf")</f>
        <v/>
      </c>
      <c r="AF279" s="9"/>
      <c r="AG279" s="9"/>
      <c r="AH279" s="41"/>
      <c r="AI279" s="41"/>
      <c r="AJ279" s="41"/>
      <c r="AK279" s="41"/>
      <c r="AL279" s="41"/>
      <c r="AM279" s="38" t="str">
        <f aca="false">IF(OR(C279="",G279=""),"",IF(G279&lt;=IF(OR(C279="Soldier Pile &amp; Timber Lagging",C279="Trench Shoring Box",C279="Open Cut (battered)"),SG_Criteria!$B$34,SG_Criteria!$B$33),"No ERSS submission",IF(G279&lt;=SG_Criteria!$B$35,"QP(ST)",IF(G279&lt;=SG_Criteria!$B$36,"QP(ST) + AC","Geotechnical building works: QP(Geo) + AC"))))</f>
        <v/>
      </c>
      <c r="AN279" s="38" t="str">
        <f aca="false">IF(C279="","",IF(LEN(IF(AND(Q279&lt;&gt;"",Q279&lt;SG_Criteria!$B$37),"FAIL: base stability FOS &lt; "&amp;SG_Criteria!$B$37&amp;". ","")&amp;IF(AND(D279="Manhole",G279&gt;SG_Criteria!$B$36),"NOTE: BCA lists sewer manholes (pipe &lt;= 2 m dia) &gt; 6 m as non-GBW: QP(ST) + AC. ","")&amp;IF(AND(C279="Trench Shoring Box",H279="Kallang Formation (marine clay)"),"NOTE: check base heave / ground loss for shoring box in marine clay. ","")&amp;IF(AND(C279="Steel Sheet Pile Cofferdam",N(M279)&lt;G279*0.5),"NOTE: short toe embedment, check. ",""))=0,"OK",IF(AND(Q279&lt;&gt;"",Q279&lt;SG_Criteria!$B$37),"FAIL: base stability FOS &lt; "&amp;SG_Criteria!$B$37&amp;". ","")&amp;IF(AND(D279="Manhole",G279&gt;SG_Criteria!$B$36),"NOTE: BCA lists sewer manholes (pipe &lt;= 2 m dia) &gt; 6 m as non-GBW: QP(ST) + AC. ","")&amp;IF(AND(C279="Trench Shoring Box",H279="Kallang Formation (marine clay)"),"NOTE: check base heave / ground loss for shoring box in marine clay. ","")&amp;IF(AND(C279="Steel Sheet Pile Cofferdam",N(M279)&lt;G279*0.5),"NOTE: short toe embedment, check. ","")))</f>
        <v/>
      </c>
      <c r="AO279" s="9"/>
      <c r="AP279" s="9"/>
      <c r="AQ279" s="9"/>
      <c r="AR279" s="9"/>
      <c r="AS279" s="9"/>
      <c r="AT279" s="31"/>
      <c r="AU279" s="10" t="str">
        <f aca="false">IF(C279="","",IF(AND(V279="Approved",ISERROR(SEARCH("FAIL",AN279))),"Y","N"))</f>
        <v/>
      </c>
      <c r="AV279" s="10" t="str">
        <f aca="false">IF(C279="","",C279&amp;"|"&amp;G279&amp;"|"&amp;E279&amp;"|"&amp;H279&amp;"|"&amp;AU279)</f>
        <v/>
      </c>
    </row>
    <row r="280" customFormat="false" ht="15" hidden="false" customHeight="false" outlineLevel="0" collapsed="false">
      <c r="A280" s="10" t="str">
        <f aca="false">IF(C280="","","ERSS-"&amp;IFERROR(VLOOKUP(C280,Lists!$AK$4:$AL$21,2,0),"??")&amp;"-"&amp;TEXT(E280,"0000")&amp;"x"&amp;TEXT(F280,"0000")&amp;"-D"&amp;TEXT(G280*1000,"0000")&amp;"-"&amp;IFERROR(VLOOKUP(H280,Lists!$Y$4:$Z$21,2,0),"??")&amp;"-"&amp;U280)</f>
        <v/>
      </c>
      <c r="B280" s="10" t="str">
        <f aca="false">IF(C280="","",C280&amp;" for "&amp;D280&amp;", "&amp;E280&amp;" x "&amp;F280&amp;" pit, "&amp;TEXT(G280,"0.0")&amp;" m deep, "&amp;H280)</f>
        <v/>
      </c>
      <c r="C280" s="9"/>
      <c r="D280" s="9"/>
      <c r="E280" s="40"/>
      <c r="F280" s="40"/>
      <c r="G280" s="43"/>
      <c r="H280" s="9"/>
      <c r="I280" s="43"/>
      <c r="J280" s="40"/>
      <c r="K280" s="9"/>
      <c r="L280" s="43"/>
      <c r="M280" s="43"/>
      <c r="N280" s="40"/>
      <c r="O280" s="9"/>
      <c r="P280" s="9"/>
      <c r="Q280" s="41"/>
      <c r="R280" s="9"/>
      <c r="S280" s="40"/>
      <c r="T280" s="9"/>
      <c r="U280" s="9"/>
      <c r="V280" s="9"/>
      <c r="W280" s="9"/>
      <c r="X280" s="9"/>
      <c r="Y280" s="9"/>
      <c r="Z280" s="10" t="str">
        <f aca="false">IF(A280="","",SG_Criteria!$B$6&amp;SG_Criteria!$B$11&amp;"\"&amp;A280&amp;"\")</f>
        <v/>
      </c>
      <c r="AA280" s="10" t="str">
        <f aca="false">IF(A280="","",A280&amp;"_CAD.dwg")</f>
        <v/>
      </c>
      <c r="AB280" s="10" t="str">
        <f aca="false">IF(A280="","",A280&amp;"_DWG.pdf")</f>
        <v/>
      </c>
      <c r="AC280" s="10" t="str">
        <f aca="false">IF(A280="","",IF(Y280="Y",A280&amp;"_STAAD.std","n/a"))</f>
        <v/>
      </c>
      <c r="AD280" s="10" t="str">
        <f aca="false">IF(A280="","",A280&amp;"_CALC.xlsx")</f>
        <v/>
      </c>
      <c r="AE280" s="10" t="str">
        <f aca="false">IF(A280="","",A280&amp;"_CALC.pdf")</f>
        <v/>
      </c>
      <c r="AF280" s="9"/>
      <c r="AG280" s="9"/>
      <c r="AH280" s="41"/>
      <c r="AI280" s="41"/>
      <c r="AJ280" s="41"/>
      <c r="AK280" s="41"/>
      <c r="AL280" s="41"/>
      <c r="AM280" s="38" t="str">
        <f aca="false">IF(OR(C280="",G280=""),"",IF(G280&lt;=IF(OR(C280="Soldier Pile &amp; Timber Lagging",C280="Trench Shoring Box",C280="Open Cut (battered)"),SG_Criteria!$B$34,SG_Criteria!$B$33),"No ERSS submission",IF(G280&lt;=SG_Criteria!$B$35,"QP(ST)",IF(G280&lt;=SG_Criteria!$B$36,"QP(ST) + AC","Geotechnical building works: QP(Geo) + AC"))))</f>
        <v/>
      </c>
      <c r="AN280" s="38" t="str">
        <f aca="false">IF(C280="","",IF(LEN(IF(AND(Q280&lt;&gt;"",Q280&lt;SG_Criteria!$B$37),"FAIL: base stability FOS &lt; "&amp;SG_Criteria!$B$37&amp;". ","")&amp;IF(AND(D280="Manhole",G280&gt;SG_Criteria!$B$36),"NOTE: BCA lists sewer manholes (pipe &lt;= 2 m dia) &gt; 6 m as non-GBW: QP(ST) + AC. ","")&amp;IF(AND(C280="Trench Shoring Box",H280="Kallang Formation (marine clay)"),"NOTE: check base heave / ground loss for shoring box in marine clay. ","")&amp;IF(AND(C280="Steel Sheet Pile Cofferdam",N(M280)&lt;G280*0.5),"NOTE: short toe embedment, check. ",""))=0,"OK",IF(AND(Q280&lt;&gt;"",Q280&lt;SG_Criteria!$B$37),"FAIL: base stability FOS &lt; "&amp;SG_Criteria!$B$37&amp;". ","")&amp;IF(AND(D280="Manhole",G280&gt;SG_Criteria!$B$36),"NOTE: BCA lists sewer manholes (pipe &lt;= 2 m dia) &gt; 6 m as non-GBW: QP(ST) + AC. ","")&amp;IF(AND(C280="Trench Shoring Box",H280="Kallang Formation (marine clay)"),"NOTE: check base heave / ground loss for shoring box in marine clay. ","")&amp;IF(AND(C280="Steel Sheet Pile Cofferdam",N(M280)&lt;G280*0.5),"NOTE: short toe embedment, check. ","")))</f>
        <v/>
      </c>
      <c r="AO280" s="9"/>
      <c r="AP280" s="9"/>
      <c r="AQ280" s="9"/>
      <c r="AR280" s="9"/>
      <c r="AS280" s="9"/>
      <c r="AT280" s="31"/>
      <c r="AU280" s="10" t="str">
        <f aca="false">IF(C280="","",IF(AND(V280="Approved",ISERROR(SEARCH("FAIL",AN280))),"Y","N"))</f>
        <v/>
      </c>
      <c r="AV280" s="10" t="str">
        <f aca="false">IF(C280="","",C280&amp;"|"&amp;G280&amp;"|"&amp;E280&amp;"|"&amp;H280&amp;"|"&amp;AU280)</f>
        <v/>
      </c>
    </row>
    <row r="281" customFormat="false" ht="15" hidden="false" customHeight="false" outlineLevel="0" collapsed="false">
      <c r="A281" s="10" t="str">
        <f aca="false">IF(C281="","","ERSS-"&amp;IFERROR(VLOOKUP(C281,Lists!$AK$4:$AL$21,2,0),"??")&amp;"-"&amp;TEXT(E281,"0000")&amp;"x"&amp;TEXT(F281,"0000")&amp;"-D"&amp;TEXT(G281*1000,"0000")&amp;"-"&amp;IFERROR(VLOOKUP(H281,Lists!$Y$4:$Z$21,2,0),"??")&amp;"-"&amp;U281)</f>
        <v/>
      </c>
      <c r="B281" s="10" t="str">
        <f aca="false">IF(C281="","",C281&amp;" for "&amp;D281&amp;", "&amp;E281&amp;" x "&amp;F281&amp;" pit, "&amp;TEXT(G281,"0.0")&amp;" m deep, "&amp;H281)</f>
        <v/>
      </c>
      <c r="C281" s="9"/>
      <c r="D281" s="9"/>
      <c r="E281" s="40"/>
      <c r="F281" s="40"/>
      <c r="G281" s="43"/>
      <c r="H281" s="9"/>
      <c r="I281" s="43"/>
      <c r="J281" s="40"/>
      <c r="K281" s="9"/>
      <c r="L281" s="43"/>
      <c r="M281" s="43"/>
      <c r="N281" s="40"/>
      <c r="O281" s="9"/>
      <c r="P281" s="9"/>
      <c r="Q281" s="41"/>
      <c r="R281" s="9"/>
      <c r="S281" s="40"/>
      <c r="T281" s="9"/>
      <c r="U281" s="9"/>
      <c r="V281" s="9"/>
      <c r="W281" s="9"/>
      <c r="X281" s="9"/>
      <c r="Y281" s="9"/>
      <c r="Z281" s="10" t="str">
        <f aca="false">IF(A281="","",SG_Criteria!$B$6&amp;SG_Criteria!$B$11&amp;"\"&amp;A281&amp;"\")</f>
        <v/>
      </c>
      <c r="AA281" s="10" t="str">
        <f aca="false">IF(A281="","",A281&amp;"_CAD.dwg")</f>
        <v/>
      </c>
      <c r="AB281" s="10" t="str">
        <f aca="false">IF(A281="","",A281&amp;"_DWG.pdf")</f>
        <v/>
      </c>
      <c r="AC281" s="10" t="str">
        <f aca="false">IF(A281="","",IF(Y281="Y",A281&amp;"_STAAD.std","n/a"))</f>
        <v/>
      </c>
      <c r="AD281" s="10" t="str">
        <f aca="false">IF(A281="","",A281&amp;"_CALC.xlsx")</f>
        <v/>
      </c>
      <c r="AE281" s="10" t="str">
        <f aca="false">IF(A281="","",A281&amp;"_CALC.pdf")</f>
        <v/>
      </c>
      <c r="AF281" s="9"/>
      <c r="AG281" s="9"/>
      <c r="AH281" s="41"/>
      <c r="AI281" s="41"/>
      <c r="AJ281" s="41"/>
      <c r="AK281" s="41"/>
      <c r="AL281" s="41"/>
      <c r="AM281" s="38" t="str">
        <f aca="false">IF(OR(C281="",G281=""),"",IF(G281&lt;=IF(OR(C281="Soldier Pile &amp; Timber Lagging",C281="Trench Shoring Box",C281="Open Cut (battered)"),SG_Criteria!$B$34,SG_Criteria!$B$33),"No ERSS submission",IF(G281&lt;=SG_Criteria!$B$35,"QP(ST)",IF(G281&lt;=SG_Criteria!$B$36,"QP(ST) + AC","Geotechnical building works: QP(Geo) + AC"))))</f>
        <v/>
      </c>
      <c r="AN281" s="38" t="str">
        <f aca="false">IF(C281="","",IF(LEN(IF(AND(Q281&lt;&gt;"",Q281&lt;SG_Criteria!$B$37),"FAIL: base stability FOS &lt; "&amp;SG_Criteria!$B$37&amp;". ","")&amp;IF(AND(D281="Manhole",G281&gt;SG_Criteria!$B$36),"NOTE: BCA lists sewer manholes (pipe &lt;= 2 m dia) &gt; 6 m as non-GBW: QP(ST) + AC. ","")&amp;IF(AND(C281="Trench Shoring Box",H281="Kallang Formation (marine clay)"),"NOTE: check base heave / ground loss for shoring box in marine clay. ","")&amp;IF(AND(C281="Steel Sheet Pile Cofferdam",N(M281)&lt;G281*0.5),"NOTE: short toe embedment, check. ",""))=0,"OK",IF(AND(Q281&lt;&gt;"",Q281&lt;SG_Criteria!$B$37),"FAIL: base stability FOS &lt; "&amp;SG_Criteria!$B$37&amp;". ","")&amp;IF(AND(D281="Manhole",G281&gt;SG_Criteria!$B$36),"NOTE: BCA lists sewer manholes (pipe &lt;= 2 m dia) &gt; 6 m as non-GBW: QP(ST) + AC. ","")&amp;IF(AND(C281="Trench Shoring Box",H281="Kallang Formation (marine clay)"),"NOTE: check base heave / ground loss for shoring box in marine clay. ","")&amp;IF(AND(C281="Steel Sheet Pile Cofferdam",N(M281)&lt;G281*0.5),"NOTE: short toe embedment, check. ","")))</f>
        <v/>
      </c>
      <c r="AO281" s="9"/>
      <c r="AP281" s="9"/>
      <c r="AQ281" s="9"/>
      <c r="AR281" s="9"/>
      <c r="AS281" s="9"/>
      <c r="AT281" s="31"/>
      <c r="AU281" s="10" t="str">
        <f aca="false">IF(C281="","",IF(AND(V281="Approved",ISERROR(SEARCH("FAIL",AN281))),"Y","N"))</f>
        <v/>
      </c>
      <c r="AV281" s="10" t="str">
        <f aca="false">IF(C281="","",C281&amp;"|"&amp;G281&amp;"|"&amp;E281&amp;"|"&amp;H281&amp;"|"&amp;AU281)</f>
        <v/>
      </c>
    </row>
    <row r="282" customFormat="false" ht="15" hidden="false" customHeight="false" outlineLevel="0" collapsed="false">
      <c r="A282" s="10" t="str">
        <f aca="false">IF(C282="","","ERSS-"&amp;IFERROR(VLOOKUP(C282,Lists!$AK$4:$AL$21,2,0),"??")&amp;"-"&amp;TEXT(E282,"0000")&amp;"x"&amp;TEXT(F282,"0000")&amp;"-D"&amp;TEXT(G282*1000,"0000")&amp;"-"&amp;IFERROR(VLOOKUP(H282,Lists!$Y$4:$Z$21,2,0),"??")&amp;"-"&amp;U282)</f>
        <v/>
      </c>
      <c r="B282" s="10" t="str">
        <f aca="false">IF(C282="","",C282&amp;" for "&amp;D282&amp;", "&amp;E282&amp;" x "&amp;F282&amp;" pit, "&amp;TEXT(G282,"0.0")&amp;" m deep, "&amp;H282)</f>
        <v/>
      </c>
      <c r="C282" s="9"/>
      <c r="D282" s="9"/>
      <c r="E282" s="40"/>
      <c r="F282" s="40"/>
      <c r="G282" s="43"/>
      <c r="H282" s="9"/>
      <c r="I282" s="43"/>
      <c r="J282" s="40"/>
      <c r="K282" s="9"/>
      <c r="L282" s="43"/>
      <c r="M282" s="43"/>
      <c r="N282" s="40"/>
      <c r="O282" s="9"/>
      <c r="P282" s="9"/>
      <c r="Q282" s="41"/>
      <c r="R282" s="9"/>
      <c r="S282" s="40"/>
      <c r="T282" s="9"/>
      <c r="U282" s="9"/>
      <c r="V282" s="9"/>
      <c r="W282" s="9"/>
      <c r="X282" s="9"/>
      <c r="Y282" s="9"/>
      <c r="Z282" s="10" t="str">
        <f aca="false">IF(A282="","",SG_Criteria!$B$6&amp;SG_Criteria!$B$11&amp;"\"&amp;A282&amp;"\")</f>
        <v/>
      </c>
      <c r="AA282" s="10" t="str">
        <f aca="false">IF(A282="","",A282&amp;"_CAD.dwg")</f>
        <v/>
      </c>
      <c r="AB282" s="10" t="str">
        <f aca="false">IF(A282="","",A282&amp;"_DWG.pdf")</f>
        <v/>
      </c>
      <c r="AC282" s="10" t="str">
        <f aca="false">IF(A282="","",IF(Y282="Y",A282&amp;"_STAAD.std","n/a"))</f>
        <v/>
      </c>
      <c r="AD282" s="10" t="str">
        <f aca="false">IF(A282="","",A282&amp;"_CALC.xlsx")</f>
        <v/>
      </c>
      <c r="AE282" s="10" t="str">
        <f aca="false">IF(A282="","",A282&amp;"_CALC.pdf")</f>
        <v/>
      </c>
      <c r="AF282" s="9"/>
      <c r="AG282" s="9"/>
      <c r="AH282" s="41"/>
      <c r="AI282" s="41"/>
      <c r="AJ282" s="41"/>
      <c r="AK282" s="41"/>
      <c r="AL282" s="41"/>
      <c r="AM282" s="38" t="str">
        <f aca="false">IF(OR(C282="",G282=""),"",IF(G282&lt;=IF(OR(C282="Soldier Pile &amp; Timber Lagging",C282="Trench Shoring Box",C282="Open Cut (battered)"),SG_Criteria!$B$34,SG_Criteria!$B$33),"No ERSS submission",IF(G282&lt;=SG_Criteria!$B$35,"QP(ST)",IF(G282&lt;=SG_Criteria!$B$36,"QP(ST) + AC","Geotechnical building works: QP(Geo) + AC"))))</f>
        <v/>
      </c>
      <c r="AN282" s="38" t="str">
        <f aca="false">IF(C282="","",IF(LEN(IF(AND(Q282&lt;&gt;"",Q282&lt;SG_Criteria!$B$37),"FAIL: base stability FOS &lt; "&amp;SG_Criteria!$B$37&amp;". ","")&amp;IF(AND(D282="Manhole",G282&gt;SG_Criteria!$B$36),"NOTE: BCA lists sewer manholes (pipe &lt;= 2 m dia) &gt; 6 m as non-GBW: QP(ST) + AC. ","")&amp;IF(AND(C282="Trench Shoring Box",H282="Kallang Formation (marine clay)"),"NOTE: check base heave / ground loss for shoring box in marine clay. ","")&amp;IF(AND(C282="Steel Sheet Pile Cofferdam",N(M282)&lt;G282*0.5),"NOTE: short toe embedment, check. ",""))=0,"OK",IF(AND(Q282&lt;&gt;"",Q282&lt;SG_Criteria!$B$37),"FAIL: base stability FOS &lt; "&amp;SG_Criteria!$B$37&amp;". ","")&amp;IF(AND(D282="Manhole",G282&gt;SG_Criteria!$B$36),"NOTE: BCA lists sewer manholes (pipe &lt;= 2 m dia) &gt; 6 m as non-GBW: QP(ST) + AC. ","")&amp;IF(AND(C282="Trench Shoring Box",H282="Kallang Formation (marine clay)"),"NOTE: check base heave / ground loss for shoring box in marine clay. ","")&amp;IF(AND(C282="Steel Sheet Pile Cofferdam",N(M282)&lt;G282*0.5),"NOTE: short toe embedment, check. ","")))</f>
        <v/>
      </c>
      <c r="AO282" s="9"/>
      <c r="AP282" s="9"/>
      <c r="AQ282" s="9"/>
      <c r="AR282" s="9"/>
      <c r="AS282" s="9"/>
      <c r="AT282" s="31"/>
      <c r="AU282" s="10" t="str">
        <f aca="false">IF(C282="","",IF(AND(V282="Approved",ISERROR(SEARCH("FAIL",AN282))),"Y","N"))</f>
        <v/>
      </c>
      <c r="AV282" s="10" t="str">
        <f aca="false">IF(C282="","",C282&amp;"|"&amp;G282&amp;"|"&amp;E282&amp;"|"&amp;H282&amp;"|"&amp;AU282)</f>
        <v/>
      </c>
    </row>
    <row r="283" customFormat="false" ht="15" hidden="false" customHeight="false" outlineLevel="0" collapsed="false">
      <c r="A283" s="10" t="str">
        <f aca="false">IF(C283="","","ERSS-"&amp;IFERROR(VLOOKUP(C283,Lists!$AK$4:$AL$21,2,0),"??")&amp;"-"&amp;TEXT(E283,"0000")&amp;"x"&amp;TEXT(F283,"0000")&amp;"-D"&amp;TEXT(G283*1000,"0000")&amp;"-"&amp;IFERROR(VLOOKUP(H283,Lists!$Y$4:$Z$21,2,0),"??")&amp;"-"&amp;U283)</f>
        <v/>
      </c>
      <c r="B283" s="10" t="str">
        <f aca="false">IF(C283="","",C283&amp;" for "&amp;D283&amp;", "&amp;E283&amp;" x "&amp;F283&amp;" pit, "&amp;TEXT(G283,"0.0")&amp;" m deep, "&amp;H283)</f>
        <v/>
      </c>
      <c r="C283" s="9"/>
      <c r="D283" s="9"/>
      <c r="E283" s="40"/>
      <c r="F283" s="40"/>
      <c r="G283" s="43"/>
      <c r="H283" s="9"/>
      <c r="I283" s="43"/>
      <c r="J283" s="40"/>
      <c r="K283" s="9"/>
      <c r="L283" s="43"/>
      <c r="M283" s="43"/>
      <c r="N283" s="40"/>
      <c r="O283" s="9"/>
      <c r="P283" s="9"/>
      <c r="Q283" s="41"/>
      <c r="R283" s="9"/>
      <c r="S283" s="40"/>
      <c r="T283" s="9"/>
      <c r="U283" s="9"/>
      <c r="V283" s="9"/>
      <c r="W283" s="9"/>
      <c r="X283" s="9"/>
      <c r="Y283" s="9"/>
      <c r="Z283" s="10" t="str">
        <f aca="false">IF(A283="","",SG_Criteria!$B$6&amp;SG_Criteria!$B$11&amp;"\"&amp;A283&amp;"\")</f>
        <v/>
      </c>
      <c r="AA283" s="10" t="str">
        <f aca="false">IF(A283="","",A283&amp;"_CAD.dwg")</f>
        <v/>
      </c>
      <c r="AB283" s="10" t="str">
        <f aca="false">IF(A283="","",A283&amp;"_DWG.pdf")</f>
        <v/>
      </c>
      <c r="AC283" s="10" t="str">
        <f aca="false">IF(A283="","",IF(Y283="Y",A283&amp;"_STAAD.std","n/a"))</f>
        <v/>
      </c>
      <c r="AD283" s="10" t="str">
        <f aca="false">IF(A283="","",A283&amp;"_CALC.xlsx")</f>
        <v/>
      </c>
      <c r="AE283" s="10" t="str">
        <f aca="false">IF(A283="","",A283&amp;"_CALC.pdf")</f>
        <v/>
      </c>
      <c r="AF283" s="9"/>
      <c r="AG283" s="9"/>
      <c r="AH283" s="41"/>
      <c r="AI283" s="41"/>
      <c r="AJ283" s="41"/>
      <c r="AK283" s="41"/>
      <c r="AL283" s="41"/>
      <c r="AM283" s="38" t="str">
        <f aca="false">IF(OR(C283="",G283=""),"",IF(G283&lt;=IF(OR(C283="Soldier Pile &amp; Timber Lagging",C283="Trench Shoring Box",C283="Open Cut (battered)"),SG_Criteria!$B$34,SG_Criteria!$B$33),"No ERSS submission",IF(G283&lt;=SG_Criteria!$B$35,"QP(ST)",IF(G283&lt;=SG_Criteria!$B$36,"QP(ST) + AC","Geotechnical building works: QP(Geo) + AC"))))</f>
        <v/>
      </c>
      <c r="AN283" s="38" t="str">
        <f aca="false">IF(C283="","",IF(LEN(IF(AND(Q283&lt;&gt;"",Q283&lt;SG_Criteria!$B$37),"FAIL: base stability FOS &lt; "&amp;SG_Criteria!$B$37&amp;". ","")&amp;IF(AND(D283="Manhole",G283&gt;SG_Criteria!$B$36),"NOTE: BCA lists sewer manholes (pipe &lt;= 2 m dia) &gt; 6 m as non-GBW: QP(ST) + AC. ","")&amp;IF(AND(C283="Trench Shoring Box",H283="Kallang Formation (marine clay)"),"NOTE: check base heave / ground loss for shoring box in marine clay. ","")&amp;IF(AND(C283="Steel Sheet Pile Cofferdam",N(M283)&lt;G283*0.5),"NOTE: short toe embedment, check. ",""))=0,"OK",IF(AND(Q283&lt;&gt;"",Q283&lt;SG_Criteria!$B$37),"FAIL: base stability FOS &lt; "&amp;SG_Criteria!$B$37&amp;". ","")&amp;IF(AND(D283="Manhole",G283&gt;SG_Criteria!$B$36),"NOTE: BCA lists sewer manholes (pipe &lt;= 2 m dia) &gt; 6 m as non-GBW: QP(ST) + AC. ","")&amp;IF(AND(C283="Trench Shoring Box",H283="Kallang Formation (marine clay)"),"NOTE: check base heave / ground loss for shoring box in marine clay. ","")&amp;IF(AND(C283="Steel Sheet Pile Cofferdam",N(M283)&lt;G283*0.5),"NOTE: short toe embedment, check. ","")))</f>
        <v/>
      </c>
      <c r="AO283" s="9"/>
      <c r="AP283" s="9"/>
      <c r="AQ283" s="9"/>
      <c r="AR283" s="9"/>
      <c r="AS283" s="9"/>
      <c r="AT283" s="31"/>
      <c r="AU283" s="10" t="str">
        <f aca="false">IF(C283="","",IF(AND(V283="Approved",ISERROR(SEARCH("FAIL",AN283))),"Y","N"))</f>
        <v/>
      </c>
      <c r="AV283" s="10" t="str">
        <f aca="false">IF(C283="","",C283&amp;"|"&amp;G283&amp;"|"&amp;E283&amp;"|"&amp;H283&amp;"|"&amp;AU283)</f>
        <v/>
      </c>
    </row>
    <row r="284" customFormat="false" ht="15" hidden="false" customHeight="false" outlineLevel="0" collapsed="false">
      <c r="A284" s="10" t="str">
        <f aca="false">IF(C284="","","ERSS-"&amp;IFERROR(VLOOKUP(C284,Lists!$AK$4:$AL$21,2,0),"??")&amp;"-"&amp;TEXT(E284,"0000")&amp;"x"&amp;TEXT(F284,"0000")&amp;"-D"&amp;TEXT(G284*1000,"0000")&amp;"-"&amp;IFERROR(VLOOKUP(H284,Lists!$Y$4:$Z$21,2,0),"??")&amp;"-"&amp;U284)</f>
        <v/>
      </c>
      <c r="B284" s="10" t="str">
        <f aca="false">IF(C284="","",C284&amp;" for "&amp;D284&amp;", "&amp;E284&amp;" x "&amp;F284&amp;" pit, "&amp;TEXT(G284,"0.0")&amp;" m deep, "&amp;H284)</f>
        <v/>
      </c>
      <c r="C284" s="9"/>
      <c r="D284" s="9"/>
      <c r="E284" s="40"/>
      <c r="F284" s="40"/>
      <c r="G284" s="43"/>
      <c r="H284" s="9"/>
      <c r="I284" s="43"/>
      <c r="J284" s="40"/>
      <c r="K284" s="9"/>
      <c r="L284" s="43"/>
      <c r="M284" s="43"/>
      <c r="N284" s="40"/>
      <c r="O284" s="9"/>
      <c r="P284" s="9"/>
      <c r="Q284" s="41"/>
      <c r="R284" s="9"/>
      <c r="S284" s="40"/>
      <c r="T284" s="9"/>
      <c r="U284" s="9"/>
      <c r="V284" s="9"/>
      <c r="W284" s="9"/>
      <c r="X284" s="9"/>
      <c r="Y284" s="9"/>
      <c r="Z284" s="10" t="str">
        <f aca="false">IF(A284="","",SG_Criteria!$B$6&amp;SG_Criteria!$B$11&amp;"\"&amp;A284&amp;"\")</f>
        <v/>
      </c>
      <c r="AA284" s="10" t="str">
        <f aca="false">IF(A284="","",A284&amp;"_CAD.dwg")</f>
        <v/>
      </c>
      <c r="AB284" s="10" t="str">
        <f aca="false">IF(A284="","",A284&amp;"_DWG.pdf")</f>
        <v/>
      </c>
      <c r="AC284" s="10" t="str">
        <f aca="false">IF(A284="","",IF(Y284="Y",A284&amp;"_STAAD.std","n/a"))</f>
        <v/>
      </c>
      <c r="AD284" s="10" t="str">
        <f aca="false">IF(A284="","",A284&amp;"_CALC.xlsx")</f>
        <v/>
      </c>
      <c r="AE284" s="10" t="str">
        <f aca="false">IF(A284="","",A284&amp;"_CALC.pdf")</f>
        <v/>
      </c>
      <c r="AF284" s="9"/>
      <c r="AG284" s="9"/>
      <c r="AH284" s="41"/>
      <c r="AI284" s="41"/>
      <c r="AJ284" s="41"/>
      <c r="AK284" s="41"/>
      <c r="AL284" s="41"/>
      <c r="AM284" s="38" t="str">
        <f aca="false">IF(OR(C284="",G284=""),"",IF(G284&lt;=IF(OR(C284="Soldier Pile &amp; Timber Lagging",C284="Trench Shoring Box",C284="Open Cut (battered)"),SG_Criteria!$B$34,SG_Criteria!$B$33),"No ERSS submission",IF(G284&lt;=SG_Criteria!$B$35,"QP(ST)",IF(G284&lt;=SG_Criteria!$B$36,"QP(ST) + AC","Geotechnical building works: QP(Geo) + AC"))))</f>
        <v/>
      </c>
      <c r="AN284" s="38" t="str">
        <f aca="false">IF(C284="","",IF(LEN(IF(AND(Q284&lt;&gt;"",Q284&lt;SG_Criteria!$B$37),"FAIL: base stability FOS &lt; "&amp;SG_Criteria!$B$37&amp;". ","")&amp;IF(AND(D284="Manhole",G284&gt;SG_Criteria!$B$36),"NOTE: BCA lists sewer manholes (pipe &lt;= 2 m dia) &gt; 6 m as non-GBW: QP(ST) + AC. ","")&amp;IF(AND(C284="Trench Shoring Box",H284="Kallang Formation (marine clay)"),"NOTE: check base heave / ground loss for shoring box in marine clay. ","")&amp;IF(AND(C284="Steel Sheet Pile Cofferdam",N(M284)&lt;G284*0.5),"NOTE: short toe embedment, check. ",""))=0,"OK",IF(AND(Q284&lt;&gt;"",Q284&lt;SG_Criteria!$B$37),"FAIL: base stability FOS &lt; "&amp;SG_Criteria!$B$37&amp;". ","")&amp;IF(AND(D284="Manhole",G284&gt;SG_Criteria!$B$36),"NOTE: BCA lists sewer manholes (pipe &lt;= 2 m dia) &gt; 6 m as non-GBW: QP(ST) + AC. ","")&amp;IF(AND(C284="Trench Shoring Box",H284="Kallang Formation (marine clay)"),"NOTE: check base heave / ground loss for shoring box in marine clay. ","")&amp;IF(AND(C284="Steel Sheet Pile Cofferdam",N(M284)&lt;G284*0.5),"NOTE: short toe embedment, check. ","")))</f>
        <v/>
      </c>
      <c r="AO284" s="9"/>
      <c r="AP284" s="9"/>
      <c r="AQ284" s="9"/>
      <c r="AR284" s="9"/>
      <c r="AS284" s="9"/>
      <c r="AT284" s="31"/>
      <c r="AU284" s="10" t="str">
        <f aca="false">IF(C284="","",IF(AND(V284="Approved",ISERROR(SEARCH("FAIL",AN284))),"Y","N"))</f>
        <v/>
      </c>
      <c r="AV284" s="10" t="str">
        <f aca="false">IF(C284="","",C284&amp;"|"&amp;G284&amp;"|"&amp;E284&amp;"|"&amp;H284&amp;"|"&amp;AU284)</f>
        <v/>
      </c>
    </row>
    <row r="285" customFormat="false" ht="15" hidden="false" customHeight="false" outlineLevel="0" collapsed="false">
      <c r="A285" s="10" t="str">
        <f aca="false">IF(C285="","","ERSS-"&amp;IFERROR(VLOOKUP(C285,Lists!$AK$4:$AL$21,2,0),"??")&amp;"-"&amp;TEXT(E285,"0000")&amp;"x"&amp;TEXT(F285,"0000")&amp;"-D"&amp;TEXT(G285*1000,"0000")&amp;"-"&amp;IFERROR(VLOOKUP(H285,Lists!$Y$4:$Z$21,2,0),"??")&amp;"-"&amp;U285)</f>
        <v/>
      </c>
      <c r="B285" s="10" t="str">
        <f aca="false">IF(C285="","",C285&amp;" for "&amp;D285&amp;", "&amp;E285&amp;" x "&amp;F285&amp;" pit, "&amp;TEXT(G285,"0.0")&amp;" m deep, "&amp;H285)</f>
        <v/>
      </c>
      <c r="C285" s="9"/>
      <c r="D285" s="9"/>
      <c r="E285" s="40"/>
      <c r="F285" s="40"/>
      <c r="G285" s="43"/>
      <c r="H285" s="9"/>
      <c r="I285" s="43"/>
      <c r="J285" s="40"/>
      <c r="K285" s="9"/>
      <c r="L285" s="43"/>
      <c r="M285" s="43"/>
      <c r="N285" s="40"/>
      <c r="O285" s="9"/>
      <c r="P285" s="9"/>
      <c r="Q285" s="41"/>
      <c r="R285" s="9"/>
      <c r="S285" s="40"/>
      <c r="T285" s="9"/>
      <c r="U285" s="9"/>
      <c r="V285" s="9"/>
      <c r="W285" s="9"/>
      <c r="X285" s="9"/>
      <c r="Y285" s="9"/>
      <c r="Z285" s="10" t="str">
        <f aca="false">IF(A285="","",SG_Criteria!$B$6&amp;SG_Criteria!$B$11&amp;"\"&amp;A285&amp;"\")</f>
        <v/>
      </c>
      <c r="AA285" s="10" t="str">
        <f aca="false">IF(A285="","",A285&amp;"_CAD.dwg")</f>
        <v/>
      </c>
      <c r="AB285" s="10" t="str">
        <f aca="false">IF(A285="","",A285&amp;"_DWG.pdf")</f>
        <v/>
      </c>
      <c r="AC285" s="10" t="str">
        <f aca="false">IF(A285="","",IF(Y285="Y",A285&amp;"_STAAD.std","n/a"))</f>
        <v/>
      </c>
      <c r="AD285" s="10" t="str">
        <f aca="false">IF(A285="","",A285&amp;"_CALC.xlsx")</f>
        <v/>
      </c>
      <c r="AE285" s="10" t="str">
        <f aca="false">IF(A285="","",A285&amp;"_CALC.pdf")</f>
        <v/>
      </c>
      <c r="AF285" s="9"/>
      <c r="AG285" s="9"/>
      <c r="AH285" s="41"/>
      <c r="AI285" s="41"/>
      <c r="AJ285" s="41"/>
      <c r="AK285" s="41"/>
      <c r="AL285" s="41"/>
      <c r="AM285" s="38" t="str">
        <f aca="false">IF(OR(C285="",G285=""),"",IF(G285&lt;=IF(OR(C285="Soldier Pile &amp; Timber Lagging",C285="Trench Shoring Box",C285="Open Cut (battered)"),SG_Criteria!$B$34,SG_Criteria!$B$33),"No ERSS submission",IF(G285&lt;=SG_Criteria!$B$35,"QP(ST)",IF(G285&lt;=SG_Criteria!$B$36,"QP(ST) + AC","Geotechnical building works: QP(Geo) + AC"))))</f>
        <v/>
      </c>
      <c r="AN285" s="38" t="str">
        <f aca="false">IF(C285="","",IF(LEN(IF(AND(Q285&lt;&gt;"",Q285&lt;SG_Criteria!$B$37),"FAIL: base stability FOS &lt; "&amp;SG_Criteria!$B$37&amp;". ","")&amp;IF(AND(D285="Manhole",G285&gt;SG_Criteria!$B$36),"NOTE: BCA lists sewer manholes (pipe &lt;= 2 m dia) &gt; 6 m as non-GBW: QP(ST) + AC. ","")&amp;IF(AND(C285="Trench Shoring Box",H285="Kallang Formation (marine clay)"),"NOTE: check base heave / ground loss for shoring box in marine clay. ","")&amp;IF(AND(C285="Steel Sheet Pile Cofferdam",N(M285)&lt;G285*0.5),"NOTE: short toe embedment, check. ",""))=0,"OK",IF(AND(Q285&lt;&gt;"",Q285&lt;SG_Criteria!$B$37),"FAIL: base stability FOS &lt; "&amp;SG_Criteria!$B$37&amp;". ","")&amp;IF(AND(D285="Manhole",G285&gt;SG_Criteria!$B$36),"NOTE: BCA lists sewer manholes (pipe &lt;= 2 m dia) &gt; 6 m as non-GBW: QP(ST) + AC. ","")&amp;IF(AND(C285="Trench Shoring Box",H285="Kallang Formation (marine clay)"),"NOTE: check base heave / ground loss for shoring box in marine clay. ","")&amp;IF(AND(C285="Steel Sheet Pile Cofferdam",N(M285)&lt;G285*0.5),"NOTE: short toe embedment, check. ","")))</f>
        <v/>
      </c>
      <c r="AO285" s="9"/>
      <c r="AP285" s="9"/>
      <c r="AQ285" s="9"/>
      <c r="AR285" s="9"/>
      <c r="AS285" s="9"/>
      <c r="AT285" s="31"/>
      <c r="AU285" s="10" t="str">
        <f aca="false">IF(C285="","",IF(AND(V285="Approved",ISERROR(SEARCH("FAIL",AN285))),"Y","N"))</f>
        <v/>
      </c>
      <c r="AV285" s="10" t="str">
        <f aca="false">IF(C285="","",C285&amp;"|"&amp;G285&amp;"|"&amp;E285&amp;"|"&amp;H285&amp;"|"&amp;AU285)</f>
        <v/>
      </c>
    </row>
    <row r="286" customFormat="false" ht="15" hidden="false" customHeight="false" outlineLevel="0" collapsed="false">
      <c r="A286" s="10" t="str">
        <f aca="false">IF(C286="","","ERSS-"&amp;IFERROR(VLOOKUP(C286,Lists!$AK$4:$AL$21,2,0),"??")&amp;"-"&amp;TEXT(E286,"0000")&amp;"x"&amp;TEXT(F286,"0000")&amp;"-D"&amp;TEXT(G286*1000,"0000")&amp;"-"&amp;IFERROR(VLOOKUP(H286,Lists!$Y$4:$Z$21,2,0),"??")&amp;"-"&amp;U286)</f>
        <v/>
      </c>
      <c r="B286" s="10" t="str">
        <f aca="false">IF(C286="","",C286&amp;" for "&amp;D286&amp;", "&amp;E286&amp;" x "&amp;F286&amp;" pit, "&amp;TEXT(G286,"0.0")&amp;" m deep, "&amp;H286)</f>
        <v/>
      </c>
      <c r="C286" s="9"/>
      <c r="D286" s="9"/>
      <c r="E286" s="40"/>
      <c r="F286" s="40"/>
      <c r="G286" s="43"/>
      <c r="H286" s="9"/>
      <c r="I286" s="43"/>
      <c r="J286" s="40"/>
      <c r="K286" s="9"/>
      <c r="L286" s="43"/>
      <c r="M286" s="43"/>
      <c r="N286" s="40"/>
      <c r="O286" s="9"/>
      <c r="P286" s="9"/>
      <c r="Q286" s="41"/>
      <c r="R286" s="9"/>
      <c r="S286" s="40"/>
      <c r="T286" s="9"/>
      <c r="U286" s="9"/>
      <c r="V286" s="9"/>
      <c r="W286" s="9"/>
      <c r="X286" s="9"/>
      <c r="Y286" s="9"/>
      <c r="Z286" s="10" t="str">
        <f aca="false">IF(A286="","",SG_Criteria!$B$6&amp;SG_Criteria!$B$11&amp;"\"&amp;A286&amp;"\")</f>
        <v/>
      </c>
      <c r="AA286" s="10" t="str">
        <f aca="false">IF(A286="","",A286&amp;"_CAD.dwg")</f>
        <v/>
      </c>
      <c r="AB286" s="10" t="str">
        <f aca="false">IF(A286="","",A286&amp;"_DWG.pdf")</f>
        <v/>
      </c>
      <c r="AC286" s="10" t="str">
        <f aca="false">IF(A286="","",IF(Y286="Y",A286&amp;"_STAAD.std","n/a"))</f>
        <v/>
      </c>
      <c r="AD286" s="10" t="str">
        <f aca="false">IF(A286="","",A286&amp;"_CALC.xlsx")</f>
        <v/>
      </c>
      <c r="AE286" s="10" t="str">
        <f aca="false">IF(A286="","",A286&amp;"_CALC.pdf")</f>
        <v/>
      </c>
      <c r="AF286" s="9"/>
      <c r="AG286" s="9"/>
      <c r="AH286" s="41"/>
      <c r="AI286" s="41"/>
      <c r="AJ286" s="41"/>
      <c r="AK286" s="41"/>
      <c r="AL286" s="41"/>
      <c r="AM286" s="38" t="str">
        <f aca="false">IF(OR(C286="",G286=""),"",IF(G286&lt;=IF(OR(C286="Soldier Pile &amp; Timber Lagging",C286="Trench Shoring Box",C286="Open Cut (battered)"),SG_Criteria!$B$34,SG_Criteria!$B$33),"No ERSS submission",IF(G286&lt;=SG_Criteria!$B$35,"QP(ST)",IF(G286&lt;=SG_Criteria!$B$36,"QP(ST) + AC","Geotechnical building works: QP(Geo) + AC"))))</f>
        <v/>
      </c>
      <c r="AN286" s="38" t="str">
        <f aca="false">IF(C286="","",IF(LEN(IF(AND(Q286&lt;&gt;"",Q286&lt;SG_Criteria!$B$37),"FAIL: base stability FOS &lt; "&amp;SG_Criteria!$B$37&amp;". ","")&amp;IF(AND(D286="Manhole",G286&gt;SG_Criteria!$B$36),"NOTE: BCA lists sewer manholes (pipe &lt;= 2 m dia) &gt; 6 m as non-GBW: QP(ST) + AC. ","")&amp;IF(AND(C286="Trench Shoring Box",H286="Kallang Formation (marine clay)"),"NOTE: check base heave / ground loss for shoring box in marine clay. ","")&amp;IF(AND(C286="Steel Sheet Pile Cofferdam",N(M286)&lt;G286*0.5),"NOTE: short toe embedment, check. ",""))=0,"OK",IF(AND(Q286&lt;&gt;"",Q286&lt;SG_Criteria!$B$37),"FAIL: base stability FOS &lt; "&amp;SG_Criteria!$B$37&amp;". ","")&amp;IF(AND(D286="Manhole",G286&gt;SG_Criteria!$B$36),"NOTE: BCA lists sewer manholes (pipe &lt;= 2 m dia) &gt; 6 m as non-GBW: QP(ST) + AC. ","")&amp;IF(AND(C286="Trench Shoring Box",H286="Kallang Formation (marine clay)"),"NOTE: check base heave / ground loss for shoring box in marine clay. ","")&amp;IF(AND(C286="Steel Sheet Pile Cofferdam",N(M286)&lt;G286*0.5),"NOTE: short toe embedment, check. ","")))</f>
        <v/>
      </c>
      <c r="AO286" s="9"/>
      <c r="AP286" s="9"/>
      <c r="AQ286" s="9"/>
      <c r="AR286" s="9"/>
      <c r="AS286" s="9"/>
      <c r="AT286" s="31"/>
      <c r="AU286" s="10" t="str">
        <f aca="false">IF(C286="","",IF(AND(V286="Approved",ISERROR(SEARCH("FAIL",AN286))),"Y","N"))</f>
        <v/>
      </c>
      <c r="AV286" s="10" t="str">
        <f aca="false">IF(C286="","",C286&amp;"|"&amp;G286&amp;"|"&amp;E286&amp;"|"&amp;H286&amp;"|"&amp;AU286)</f>
        <v/>
      </c>
    </row>
    <row r="287" customFormat="false" ht="15" hidden="false" customHeight="false" outlineLevel="0" collapsed="false">
      <c r="A287" s="10" t="str">
        <f aca="false">IF(C287="","","ERSS-"&amp;IFERROR(VLOOKUP(C287,Lists!$AK$4:$AL$21,2,0),"??")&amp;"-"&amp;TEXT(E287,"0000")&amp;"x"&amp;TEXT(F287,"0000")&amp;"-D"&amp;TEXT(G287*1000,"0000")&amp;"-"&amp;IFERROR(VLOOKUP(H287,Lists!$Y$4:$Z$21,2,0),"??")&amp;"-"&amp;U287)</f>
        <v/>
      </c>
      <c r="B287" s="10" t="str">
        <f aca="false">IF(C287="","",C287&amp;" for "&amp;D287&amp;", "&amp;E287&amp;" x "&amp;F287&amp;" pit, "&amp;TEXT(G287,"0.0")&amp;" m deep, "&amp;H287)</f>
        <v/>
      </c>
      <c r="C287" s="9"/>
      <c r="D287" s="9"/>
      <c r="E287" s="40"/>
      <c r="F287" s="40"/>
      <c r="G287" s="43"/>
      <c r="H287" s="9"/>
      <c r="I287" s="43"/>
      <c r="J287" s="40"/>
      <c r="K287" s="9"/>
      <c r="L287" s="43"/>
      <c r="M287" s="43"/>
      <c r="N287" s="40"/>
      <c r="O287" s="9"/>
      <c r="P287" s="9"/>
      <c r="Q287" s="41"/>
      <c r="R287" s="9"/>
      <c r="S287" s="40"/>
      <c r="T287" s="9"/>
      <c r="U287" s="9"/>
      <c r="V287" s="9"/>
      <c r="W287" s="9"/>
      <c r="X287" s="9"/>
      <c r="Y287" s="9"/>
      <c r="Z287" s="10" t="str">
        <f aca="false">IF(A287="","",SG_Criteria!$B$6&amp;SG_Criteria!$B$11&amp;"\"&amp;A287&amp;"\")</f>
        <v/>
      </c>
      <c r="AA287" s="10" t="str">
        <f aca="false">IF(A287="","",A287&amp;"_CAD.dwg")</f>
        <v/>
      </c>
      <c r="AB287" s="10" t="str">
        <f aca="false">IF(A287="","",A287&amp;"_DWG.pdf")</f>
        <v/>
      </c>
      <c r="AC287" s="10" t="str">
        <f aca="false">IF(A287="","",IF(Y287="Y",A287&amp;"_STAAD.std","n/a"))</f>
        <v/>
      </c>
      <c r="AD287" s="10" t="str">
        <f aca="false">IF(A287="","",A287&amp;"_CALC.xlsx")</f>
        <v/>
      </c>
      <c r="AE287" s="10" t="str">
        <f aca="false">IF(A287="","",A287&amp;"_CALC.pdf")</f>
        <v/>
      </c>
      <c r="AF287" s="9"/>
      <c r="AG287" s="9"/>
      <c r="AH287" s="41"/>
      <c r="AI287" s="41"/>
      <c r="AJ287" s="41"/>
      <c r="AK287" s="41"/>
      <c r="AL287" s="41"/>
      <c r="AM287" s="38" t="str">
        <f aca="false">IF(OR(C287="",G287=""),"",IF(G287&lt;=IF(OR(C287="Soldier Pile &amp; Timber Lagging",C287="Trench Shoring Box",C287="Open Cut (battered)"),SG_Criteria!$B$34,SG_Criteria!$B$33),"No ERSS submission",IF(G287&lt;=SG_Criteria!$B$35,"QP(ST)",IF(G287&lt;=SG_Criteria!$B$36,"QP(ST) + AC","Geotechnical building works: QP(Geo) + AC"))))</f>
        <v/>
      </c>
      <c r="AN287" s="38" t="str">
        <f aca="false">IF(C287="","",IF(LEN(IF(AND(Q287&lt;&gt;"",Q287&lt;SG_Criteria!$B$37),"FAIL: base stability FOS &lt; "&amp;SG_Criteria!$B$37&amp;". ","")&amp;IF(AND(D287="Manhole",G287&gt;SG_Criteria!$B$36),"NOTE: BCA lists sewer manholes (pipe &lt;= 2 m dia) &gt; 6 m as non-GBW: QP(ST) + AC. ","")&amp;IF(AND(C287="Trench Shoring Box",H287="Kallang Formation (marine clay)"),"NOTE: check base heave / ground loss for shoring box in marine clay. ","")&amp;IF(AND(C287="Steel Sheet Pile Cofferdam",N(M287)&lt;G287*0.5),"NOTE: short toe embedment, check. ",""))=0,"OK",IF(AND(Q287&lt;&gt;"",Q287&lt;SG_Criteria!$B$37),"FAIL: base stability FOS &lt; "&amp;SG_Criteria!$B$37&amp;". ","")&amp;IF(AND(D287="Manhole",G287&gt;SG_Criteria!$B$36),"NOTE: BCA lists sewer manholes (pipe &lt;= 2 m dia) &gt; 6 m as non-GBW: QP(ST) + AC. ","")&amp;IF(AND(C287="Trench Shoring Box",H287="Kallang Formation (marine clay)"),"NOTE: check base heave / ground loss for shoring box in marine clay. ","")&amp;IF(AND(C287="Steel Sheet Pile Cofferdam",N(M287)&lt;G287*0.5),"NOTE: short toe embedment, check. ","")))</f>
        <v/>
      </c>
      <c r="AO287" s="9"/>
      <c r="AP287" s="9"/>
      <c r="AQ287" s="9"/>
      <c r="AR287" s="9"/>
      <c r="AS287" s="9"/>
      <c r="AT287" s="31"/>
      <c r="AU287" s="10" t="str">
        <f aca="false">IF(C287="","",IF(AND(V287="Approved",ISERROR(SEARCH("FAIL",AN287))),"Y","N"))</f>
        <v/>
      </c>
      <c r="AV287" s="10" t="str">
        <f aca="false">IF(C287="","",C287&amp;"|"&amp;G287&amp;"|"&amp;E287&amp;"|"&amp;H287&amp;"|"&amp;AU287)</f>
        <v/>
      </c>
    </row>
    <row r="288" customFormat="false" ht="15" hidden="false" customHeight="false" outlineLevel="0" collapsed="false">
      <c r="A288" s="10" t="str">
        <f aca="false">IF(C288="","","ERSS-"&amp;IFERROR(VLOOKUP(C288,Lists!$AK$4:$AL$21,2,0),"??")&amp;"-"&amp;TEXT(E288,"0000")&amp;"x"&amp;TEXT(F288,"0000")&amp;"-D"&amp;TEXT(G288*1000,"0000")&amp;"-"&amp;IFERROR(VLOOKUP(H288,Lists!$Y$4:$Z$21,2,0),"??")&amp;"-"&amp;U288)</f>
        <v/>
      </c>
      <c r="B288" s="10" t="str">
        <f aca="false">IF(C288="","",C288&amp;" for "&amp;D288&amp;", "&amp;E288&amp;" x "&amp;F288&amp;" pit, "&amp;TEXT(G288,"0.0")&amp;" m deep, "&amp;H288)</f>
        <v/>
      </c>
      <c r="C288" s="9"/>
      <c r="D288" s="9"/>
      <c r="E288" s="40"/>
      <c r="F288" s="40"/>
      <c r="G288" s="43"/>
      <c r="H288" s="9"/>
      <c r="I288" s="43"/>
      <c r="J288" s="40"/>
      <c r="K288" s="9"/>
      <c r="L288" s="43"/>
      <c r="M288" s="43"/>
      <c r="N288" s="40"/>
      <c r="O288" s="9"/>
      <c r="P288" s="9"/>
      <c r="Q288" s="41"/>
      <c r="R288" s="9"/>
      <c r="S288" s="40"/>
      <c r="T288" s="9"/>
      <c r="U288" s="9"/>
      <c r="V288" s="9"/>
      <c r="W288" s="9"/>
      <c r="X288" s="9"/>
      <c r="Y288" s="9"/>
      <c r="Z288" s="10" t="str">
        <f aca="false">IF(A288="","",SG_Criteria!$B$6&amp;SG_Criteria!$B$11&amp;"\"&amp;A288&amp;"\")</f>
        <v/>
      </c>
      <c r="AA288" s="10" t="str">
        <f aca="false">IF(A288="","",A288&amp;"_CAD.dwg")</f>
        <v/>
      </c>
      <c r="AB288" s="10" t="str">
        <f aca="false">IF(A288="","",A288&amp;"_DWG.pdf")</f>
        <v/>
      </c>
      <c r="AC288" s="10" t="str">
        <f aca="false">IF(A288="","",IF(Y288="Y",A288&amp;"_STAAD.std","n/a"))</f>
        <v/>
      </c>
      <c r="AD288" s="10" t="str">
        <f aca="false">IF(A288="","",A288&amp;"_CALC.xlsx")</f>
        <v/>
      </c>
      <c r="AE288" s="10" t="str">
        <f aca="false">IF(A288="","",A288&amp;"_CALC.pdf")</f>
        <v/>
      </c>
      <c r="AF288" s="9"/>
      <c r="AG288" s="9"/>
      <c r="AH288" s="41"/>
      <c r="AI288" s="41"/>
      <c r="AJ288" s="41"/>
      <c r="AK288" s="41"/>
      <c r="AL288" s="41"/>
      <c r="AM288" s="38" t="str">
        <f aca="false">IF(OR(C288="",G288=""),"",IF(G288&lt;=IF(OR(C288="Soldier Pile &amp; Timber Lagging",C288="Trench Shoring Box",C288="Open Cut (battered)"),SG_Criteria!$B$34,SG_Criteria!$B$33),"No ERSS submission",IF(G288&lt;=SG_Criteria!$B$35,"QP(ST)",IF(G288&lt;=SG_Criteria!$B$36,"QP(ST) + AC","Geotechnical building works: QP(Geo) + AC"))))</f>
        <v/>
      </c>
      <c r="AN288" s="38" t="str">
        <f aca="false">IF(C288="","",IF(LEN(IF(AND(Q288&lt;&gt;"",Q288&lt;SG_Criteria!$B$37),"FAIL: base stability FOS &lt; "&amp;SG_Criteria!$B$37&amp;". ","")&amp;IF(AND(D288="Manhole",G288&gt;SG_Criteria!$B$36),"NOTE: BCA lists sewer manholes (pipe &lt;= 2 m dia) &gt; 6 m as non-GBW: QP(ST) + AC. ","")&amp;IF(AND(C288="Trench Shoring Box",H288="Kallang Formation (marine clay)"),"NOTE: check base heave / ground loss for shoring box in marine clay. ","")&amp;IF(AND(C288="Steel Sheet Pile Cofferdam",N(M288)&lt;G288*0.5),"NOTE: short toe embedment, check. ",""))=0,"OK",IF(AND(Q288&lt;&gt;"",Q288&lt;SG_Criteria!$B$37),"FAIL: base stability FOS &lt; "&amp;SG_Criteria!$B$37&amp;". ","")&amp;IF(AND(D288="Manhole",G288&gt;SG_Criteria!$B$36),"NOTE: BCA lists sewer manholes (pipe &lt;= 2 m dia) &gt; 6 m as non-GBW: QP(ST) + AC. ","")&amp;IF(AND(C288="Trench Shoring Box",H288="Kallang Formation (marine clay)"),"NOTE: check base heave / ground loss for shoring box in marine clay. ","")&amp;IF(AND(C288="Steel Sheet Pile Cofferdam",N(M288)&lt;G288*0.5),"NOTE: short toe embedment, check. ","")))</f>
        <v/>
      </c>
      <c r="AO288" s="9"/>
      <c r="AP288" s="9"/>
      <c r="AQ288" s="9"/>
      <c r="AR288" s="9"/>
      <c r="AS288" s="9"/>
      <c r="AT288" s="31"/>
      <c r="AU288" s="10" t="str">
        <f aca="false">IF(C288="","",IF(AND(V288="Approved",ISERROR(SEARCH("FAIL",AN288))),"Y","N"))</f>
        <v/>
      </c>
      <c r="AV288" s="10" t="str">
        <f aca="false">IF(C288="","",C288&amp;"|"&amp;G288&amp;"|"&amp;E288&amp;"|"&amp;H288&amp;"|"&amp;AU288)</f>
        <v/>
      </c>
    </row>
    <row r="289" customFormat="false" ht="15" hidden="false" customHeight="false" outlineLevel="0" collapsed="false">
      <c r="A289" s="10" t="str">
        <f aca="false">IF(C289="","","ERSS-"&amp;IFERROR(VLOOKUP(C289,Lists!$AK$4:$AL$21,2,0),"??")&amp;"-"&amp;TEXT(E289,"0000")&amp;"x"&amp;TEXT(F289,"0000")&amp;"-D"&amp;TEXT(G289*1000,"0000")&amp;"-"&amp;IFERROR(VLOOKUP(H289,Lists!$Y$4:$Z$21,2,0),"??")&amp;"-"&amp;U289)</f>
        <v/>
      </c>
      <c r="B289" s="10" t="str">
        <f aca="false">IF(C289="","",C289&amp;" for "&amp;D289&amp;", "&amp;E289&amp;" x "&amp;F289&amp;" pit, "&amp;TEXT(G289,"0.0")&amp;" m deep, "&amp;H289)</f>
        <v/>
      </c>
      <c r="C289" s="9"/>
      <c r="D289" s="9"/>
      <c r="E289" s="40"/>
      <c r="F289" s="40"/>
      <c r="G289" s="43"/>
      <c r="H289" s="9"/>
      <c r="I289" s="43"/>
      <c r="J289" s="40"/>
      <c r="K289" s="9"/>
      <c r="L289" s="43"/>
      <c r="M289" s="43"/>
      <c r="N289" s="40"/>
      <c r="O289" s="9"/>
      <c r="P289" s="9"/>
      <c r="Q289" s="41"/>
      <c r="R289" s="9"/>
      <c r="S289" s="40"/>
      <c r="T289" s="9"/>
      <c r="U289" s="9"/>
      <c r="V289" s="9"/>
      <c r="W289" s="9"/>
      <c r="X289" s="9"/>
      <c r="Y289" s="9"/>
      <c r="Z289" s="10" t="str">
        <f aca="false">IF(A289="","",SG_Criteria!$B$6&amp;SG_Criteria!$B$11&amp;"\"&amp;A289&amp;"\")</f>
        <v/>
      </c>
      <c r="AA289" s="10" t="str">
        <f aca="false">IF(A289="","",A289&amp;"_CAD.dwg")</f>
        <v/>
      </c>
      <c r="AB289" s="10" t="str">
        <f aca="false">IF(A289="","",A289&amp;"_DWG.pdf")</f>
        <v/>
      </c>
      <c r="AC289" s="10" t="str">
        <f aca="false">IF(A289="","",IF(Y289="Y",A289&amp;"_STAAD.std","n/a"))</f>
        <v/>
      </c>
      <c r="AD289" s="10" t="str">
        <f aca="false">IF(A289="","",A289&amp;"_CALC.xlsx")</f>
        <v/>
      </c>
      <c r="AE289" s="10" t="str">
        <f aca="false">IF(A289="","",A289&amp;"_CALC.pdf")</f>
        <v/>
      </c>
      <c r="AF289" s="9"/>
      <c r="AG289" s="9"/>
      <c r="AH289" s="41"/>
      <c r="AI289" s="41"/>
      <c r="AJ289" s="41"/>
      <c r="AK289" s="41"/>
      <c r="AL289" s="41"/>
      <c r="AM289" s="38" t="str">
        <f aca="false">IF(OR(C289="",G289=""),"",IF(G289&lt;=IF(OR(C289="Soldier Pile &amp; Timber Lagging",C289="Trench Shoring Box",C289="Open Cut (battered)"),SG_Criteria!$B$34,SG_Criteria!$B$33),"No ERSS submission",IF(G289&lt;=SG_Criteria!$B$35,"QP(ST)",IF(G289&lt;=SG_Criteria!$B$36,"QP(ST) + AC","Geotechnical building works: QP(Geo) + AC"))))</f>
        <v/>
      </c>
      <c r="AN289" s="38" t="str">
        <f aca="false">IF(C289="","",IF(LEN(IF(AND(Q289&lt;&gt;"",Q289&lt;SG_Criteria!$B$37),"FAIL: base stability FOS &lt; "&amp;SG_Criteria!$B$37&amp;". ","")&amp;IF(AND(D289="Manhole",G289&gt;SG_Criteria!$B$36),"NOTE: BCA lists sewer manholes (pipe &lt;= 2 m dia) &gt; 6 m as non-GBW: QP(ST) + AC. ","")&amp;IF(AND(C289="Trench Shoring Box",H289="Kallang Formation (marine clay)"),"NOTE: check base heave / ground loss for shoring box in marine clay. ","")&amp;IF(AND(C289="Steel Sheet Pile Cofferdam",N(M289)&lt;G289*0.5),"NOTE: short toe embedment, check. ",""))=0,"OK",IF(AND(Q289&lt;&gt;"",Q289&lt;SG_Criteria!$B$37),"FAIL: base stability FOS &lt; "&amp;SG_Criteria!$B$37&amp;". ","")&amp;IF(AND(D289="Manhole",G289&gt;SG_Criteria!$B$36),"NOTE: BCA lists sewer manholes (pipe &lt;= 2 m dia) &gt; 6 m as non-GBW: QP(ST) + AC. ","")&amp;IF(AND(C289="Trench Shoring Box",H289="Kallang Formation (marine clay)"),"NOTE: check base heave / ground loss for shoring box in marine clay. ","")&amp;IF(AND(C289="Steel Sheet Pile Cofferdam",N(M289)&lt;G289*0.5),"NOTE: short toe embedment, check. ","")))</f>
        <v/>
      </c>
      <c r="AO289" s="9"/>
      <c r="AP289" s="9"/>
      <c r="AQ289" s="9"/>
      <c r="AR289" s="9"/>
      <c r="AS289" s="9"/>
      <c r="AT289" s="31"/>
      <c r="AU289" s="10" t="str">
        <f aca="false">IF(C289="","",IF(AND(V289="Approved",ISERROR(SEARCH("FAIL",AN289))),"Y","N"))</f>
        <v/>
      </c>
      <c r="AV289" s="10" t="str">
        <f aca="false">IF(C289="","",C289&amp;"|"&amp;G289&amp;"|"&amp;E289&amp;"|"&amp;H289&amp;"|"&amp;AU289)</f>
        <v/>
      </c>
    </row>
    <row r="290" customFormat="false" ht="15" hidden="false" customHeight="false" outlineLevel="0" collapsed="false">
      <c r="A290" s="10" t="str">
        <f aca="false">IF(C290="","","ERSS-"&amp;IFERROR(VLOOKUP(C290,Lists!$AK$4:$AL$21,2,0),"??")&amp;"-"&amp;TEXT(E290,"0000")&amp;"x"&amp;TEXT(F290,"0000")&amp;"-D"&amp;TEXT(G290*1000,"0000")&amp;"-"&amp;IFERROR(VLOOKUP(H290,Lists!$Y$4:$Z$21,2,0),"??")&amp;"-"&amp;U290)</f>
        <v/>
      </c>
      <c r="B290" s="10" t="str">
        <f aca="false">IF(C290="","",C290&amp;" for "&amp;D290&amp;", "&amp;E290&amp;" x "&amp;F290&amp;" pit, "&amp;TEXT(G290,"0.0")&amp;" m deep, "&amp;H290)</f>
        <v/>
      </c>
      <c r="C290" s="9"/>
      <c r="D290" s="9"/>
      <c r="E290" s="40"/>
      <c r="F290" s="40"/>
      <c r="G290" s="43"/>
      <c r="H290" s="9"/>
      <c r="I290" s="43"/>
      <c r="J290" s="40"/>
      <c r="K290" s="9"/>
      <c r="L290" s="43"/>
      <c r="M290" s="43"/>
      <c r="N290" s="40"/>
      <c r="O290" s="9"/>
      <c r="P290" s="9"/>
      <c r="Q290" s="41"/>
      <c r="R290" s="9"/>
      <c r="S290" s="40"/>
      <c r="T290" s="9"/>
      <c r="U290" s="9"/>
      <c r="V290" s="9"/>
      <c r="W290" s="9"/>
      <c r="X290" s="9"/>
      <c r="Y290" s="9"/>
      <c r="Z290" s="10" t="str">
        <f aca="false">IF(A290="","",SG_Criteria!$B$6&amp;SG_Criteria!$B$11&amp;"\"&amp;A290&amp;"\")</f>
        <v/>
      </c>
      <c r="AA290" s="10" t="str">
        <f aca="false">IF(A290="","",A290&amp;"_CAD.dwg")</f>
        <v/>
      </c>
      <c r="AB290" s="10" t="str">
        <f aca="false">IF(A290="","",A290&amp;"_DWG.pdf")</f>
        <v/>
      </c>
      <c r="AC290" s="10" t="str">
        <f aca="false">IF(A290="","",IF(Y290="Y",A290&amp;"_STAAD.std","n/a"))</f>
        <v/>
      </c>
      <c r="AD290" s="10" t="str">
        <f aca="false">IF(A290="","",A290&amp;"_CALC.xlsx")</f>
        <v/>
      </c>
      <c r="AE290" s="10" t="str">
        <f aca="false">IF(A290="","",A290&amp;"_CALC.pdf")</f>
        <v/>
      </c>
      <c r="AF290" s="9"/>
      <c r="AG290" s="9"/>
      <c r="AH290" s="41"/>
      <c r="AI290" s="41"/>
      <c r="AJ290" s="41"/>
      <c r="AK290" s="41"/>
      <c r="AL290" s="41"/>
      <c r="AM290" s="38" t="str">
        <f aca="false">IF(OR(C290="",G290=""),"",IF(G290&lt;=IF(OR(C290="Soldier Pile &amp; Timber Lagging",C290="Trench Shoring Box",C290="Open Cut (battered)"),SG_Criteria!$B$34,SG_Criteria!$B$33),"No ERSS submission",IF(G290&lt;=SG_Criteria!$B$35,"QP(ST)",IF(G290&lt;=SG_Criteria!$B$36,"QP(ST) + AC","Geotechnical building works: QP(Geo) + AC"))))</f>
        <v/>
      </c>
      <c r="AN290" s="38" t="str">
        <f aca="false">IF(C290="","",IF(LEN(IF(AND(Q290&lt;&gt;"",Q290&lt;SG_Criteria!$B$37),"FAIL: base stability FOS &lt; "&amp;SG_Criteria!$B$37&amp;". ","")&amp;IF(AND(D290="Manhole",G290&gt;SG_Criteria!$B$36),"NOTE: BCA lists sewer manholes (pipe &lt;= 2 m dia) &gt; 6 m as non-GBW: QP(ST) + AC. ","")&amp;IF(AND(C290="Trench Shoring Box",H290="Kallang Formation (marine clay)"),"NOTE: check base heave / ground loss for shoring box in marine clay. ","")&amp;IF(AND(C290="Steel Sheet Pile Cofferdam",N(M290)&lt;G290*0.5),"NOTE: short toe embedment, check. ",""))=0,"OK",IF(AND(Q290&lt;&gt;"",Q290&lt;SG_Criteria!$B$37),"FAIL: base stability FOS &lt; "&amp;SG_Criteria!$B$37&amp;". ","")&amp;IF(AND(D290="Manhole",G290&gt;SG_Criteria!$B$36),"NOTE: BCA lists sewer manholes (pipe &lt;= 2 m dia) &gt; 6 m as non-GBW: QP(ST) + AC. ","")&amp;IF(AND(C290="Trench Shoring Box",H290="Kallang Formation (marine clay)"),"NOTE: check base heave / ground loss for shoring box in marine clay. ","")&amp;IF(AND(C290="Steel Sheet Pile Cofferdam",N(M290)&lt;G290*0.5),"NOTE: short toe embedment, check. ","")))</f>
        <v/>
      </c>
      <c r="AO290" s="9"/>
      <c r="AP290" s="9"/>
      <c r="AQ290" s="9"/>
      <c r="AR290" s="9"/>
      <c r="AS290" s="9"/>
      <c r="AT290" s="31"/>
      <c r="AU290" s="10" t="str">
        <f aca="false">IF(C290="","",IF(AND(V290="Approved",ISERROR(SEARCH("FAIL",AN290))),"Y","N"))</f>
        <v/>
      </c>
      <c r="AV290" s="10" t="str">
        <f aca="false">IF(C290="","",C290&amp;"|"&amp;G290&amp;"|"&amp;E290&amp;"|"&amp;H290&amp;"|"&amp;AU290)</f>
        <v/>
      </c>
    </row>
    <row r="291" customFormat="false" ht="15" hidden="false" customHeight="false" outlineLevel="0" collapsed="false">
      <c r="A291" s="10" t="str">
        <f aca="false">IF(C291="","","ERSS-"&amp;IFERROR(VLOOKUP(C291,Lists!$AK$4:$AL$21,2,0),"??")&amp;"-"&amp;TEXT(E291,"0000")&amp;"x"&amp;TEXT(F291,"0000")&amp;"-D"&amp;TEXT(G291*1000,"0000")&amp;"-"&amp;IFERROR(VLOOKUP(H291,Lists!$Y$4:$Z$21,2,0),"??")&amp;"-"&amp;U291)</f>
        <v/>
      </c>
      <c r="B291" s="10" t="str">
        <f aca="false">IF(C291="","",C291&amp;" for "&amp;D291&amp;", "&amp;E291&amp;" x "&amp;F291&amp;" pit, "&amp;TEXT(G291,"0.0")&amp;" m deep, "&amp;H291)</f>
        <v/>
      </c>
      <c r="C291" s="9"/>
      <c r="D291" s="9"/>
      <c r="E291" s="40"/>
      <c r="F291" s="40"/>
      <c r="G291" s="43"/>
      <c r="H291" s="9"/>
      <c r="I291" s="43"/>
      <c r="J291" s="40"/>
      <c r="K291" s="9"/>
      <c r="L291" s="43"/>
      <c r="M291" s="43"/>
      <c r="N291" s="40"/>
      <c r="O291" s="9"/>
      <c r="P291" s="9"/>
      <c r="Q291" s="41"/>
      <c r="R291" s="9"/>
      <c r="S291" s="40"/>
      <c r="T291" s="9"/>
      <c r="U291" s="9"/>
      <c r="V291" s="9"/>
      <c r="W291" s="9"/>
      <c r="X291" s="9"/>
      <c r="Y291" s="9"/>
      <c r="Z291" s="10" t="str">
        <f aca="false">IF(A291="","",SG_Criteria!$B$6&amp;SG_Criteria!$B$11&amp;"\"&amp;A291&amp;"\")</f>
        <v/>
      </c>
      <c r="AA291" s="10" t="str">
        <f aca="false">IF(A291="","",A291&amp;"_CAD.dwg")</f>
        <v/>
      </c>
      <c r="AB291" s="10" t="str">
        <f aca="false">IF(A291="","",A291&amp;"_DWG.pdf")</f>
        <v/>
      </c>
      <c r="AC291" s="10" t="str">
        <f aca="false">IF(A291="","",IF(Y291="Y",A291&amp;"_STAAD.std","n/a"))</f>
        <v/>
      </c>
      <c r="AD291" s="10" t="str">
        <f aca="false">IF(A291="","",A291&amp;"_CALC.xlsx")</f>
        <v/>
      </c>
      <c r="AE291" s="10" t="str">
        <f aca="false">IF(A291="","",A291&amp;"_CALC.pdf")</f>
        <v/>
      </c>
      <c r="AF291" s="9"/>
      <c r="AG291" s="9"/>
      <c r="AH291" s="41"/>
      <c r="AI291" s="41"/>
      <c r="AJ291" s="41"/>
      <c r="AK291" s="41"/>
      <c r="AL291" s="41"/>
      <c r="AM291" s="38" t="str">
        <f aca="false">IF(OR(C291="",G291=""),"",IF(G291&lt;=IF(OR(C291="Soldier Pile &amp; Timber Lagging",C291="Trench Shoring Box",C291="Open Cut (battered)"),SG_Criteria!$B$34,SG_Criteria!$B$33),"No ERSS submission",IF(G291&lt;=SG_Criteria!$B$35,"QP(ST)",IF(G291&lt;=SG_Criteria!$B$36,"QP(ST) + AC","Geotechnical building works: QP(Geo) + AC"))))</f>
        <v/>
      </c>
      <c r="AN291" s="38" t="str">
        <f aca="false">IF(C291="","",IF(LEN(IF(AND(Q291&lt;&gt;"",Q291&lt;SG_Criteria!$B$37),"FAIL: base stability FOS &lt; "&amp;SG_Criteria!$B$37&amp;". ","")&amp;IF(AND(D291="Manhole",G291&gt;SG_Criteria!$B$36),"NOTE: BCA lists sewer manholes (pipe &lt;= 2 m dia) &gt; 6 m as non-GBW: QP(ST) + AC. ","")&amp;IF(AND(C291="Trench Shoring Box",H291="Kallang Formation (marine clay)"),"NOTE: check base heave / ground loss for shoring box in marine clay. ","")&amp;IF(AND(C291="Steel Sheet Pile Cofferdam",N(M291)&lt;G291*0.5),"NOTE: short toe embedment, check. ",""))=0,"OK",IF(AND(Q291&lt;&gt;"",Q291&lt;SG_Criteria!$B$37),"FAIL: base stability FOS &lt; "&amp;SG_Criteria!$B$37&amp;". ","")&amp;IF(AND(D291="Manhole",G291&gt;SG_Criteria!$B$36),"NOTE: BCA lists sewer manholes (pipe &lt;= 2 m dia) &gt; 6 m as non-GBW: QP(ST) + AC. ","")&amp;IF(AND(C291="Trench Shoring Box",H291="Kallang Formation (marine clay)"),"NOTE: check base heave / ground loss for shoring box in marine clay. ","")&amp;IF(AND(C291="Steel Sheet Pile Cofferdam",N(M291)&lt;G291*0.5),"NOTE: short toe embedment, check. ","")))</f>
        <v/>
      </c>
      <c r="AO291" s="9"/>
      <c r="AP291" s="9"/>
      <c r="AQ291" s="9"/>
      <c r="AR291" s="9"/>
      <c r="AS291" s="9"/>
      <c r="AT291" s="31"/>
      <c r="AU291" s="10" t="str">
        <f aca="false">IF(C291="","",IF(AND(V291="Approved",ISERROR(SEARCH("FAIL",AN291))),"Y","N"))</f>
        <v/>
      </c>
      <c r="AV291" s="10" t="str">
        <f aca="false">IF(C291="","",C291&amp;"|"&amp;G291&amp;"|"&amp;E291&amp;"|"&amp;H291&amp;"|"&amp;AU291)</f>
        <v/>
      </c>
    </row>
    <row r="292" customFormat="false" ht="15" hidden="false" customHeight="false" outlineLevel="0" collapsed="false">
      <c r="A292" s="10" t="str">
        <f aca="false">IF(C292="","","ERSS-"&amp;IFERROR(VLOOKUP(C292,Lists!$AK$4:$AL$21,2,0),"??")&amp;"-"&amp;TEXT(E292,"0000")&amp;"x"&amp;TEXT(F292,"0000")&amp;"-D"&amp;TEXT(G292*1000,"0000")&amp;"-"&amp;IFERROR(VLOOKUP(H292,Lists!$Y$4:$Z$21,2,0),"??")&amp;"-"&amp;U292)</f>
        <v/>
      </c>
      <c r="B292" s="10" t="str">
        <f aca="false">IF(C292="","",C292&amp;" for "&amp;D292&amp;", "&amp;E292&amp;" x "&amp;F292&amp;" pit, "&amp;TEXT(G292,"0.0")&amp;" m deep, "&amp;H292)</f>
        <v/>
      </c>
      <c r="C292" s="9"/>
      <c r="D292" s="9"/>
      <c r="E292" s="40"/>
      <c r="F292" s="40"/>
      <c r="G292" s="43"/>
      <c r="H292" s="9"/>
      <c r="I292" s="43"/>
      <c r="J292" s="40"/>
      <c r="K292" s="9"/>
      <c r="L292" s="43"/>
      <c r="M292" s="43"/>
      <c r="N292" s="40"/>
      <c r="O292" s="9"/>
      <c r="P292" s="9"/>
      <c r="Q292" s="41"/>
      <c r="R292" s="9"/>
      <c r="S292" s="40"/>
      <c r="T292" s="9"/>
      <c r="U292" s="9"/>
      <c r="V292" s="9"/>
      <c r="W292" s="9"/>
      <c r="X292" s="9"/>
      <c r="Y292" s="9"/>
      <c r="Z292" s="10" t="str">
        <f aca="false">IF(A292="","",SG_Criteria!$B$6&amp;SG_Criteria!$B$11&amp;"\"&amp;A292&amp;"\")</f>
        <v/>
      </c>
      <c r="AA292" s="10" t="str">
        <f aca="false">IF(A292="","",A292&amp;"_CAD.dwg")</f>
        <v/>
      </c>
      <c r="AB292" s="10" t="str">
        <f aca="false">IF(A292="","",A292&amp;"_DWG.pdf")</f>
        <v/>
      </c>
      <c r="AC292" s="10" t="str">
        <f aca="false">IF(A292="","",IF(Y292="Y",A292&amp;"_STAAD.std","n/a"))</f>
        <v/>
      </c>
      <c r="AD292" s="10" t="str">
        <f aca="false">IF(A292="","",A292&amp;"_CALC.xlsx")</f>
        <v/>
      </c>
      <c r="AE292" s="10" t="str">
        <f aca="false">IF(A292="","",A292&amp;"_CALC.pdf")</f>
        <v/>
      </c>
      <c r="AF292" s="9"/>
      <c r="AG292" s="9"/>
      <c r="AH292" s="41"/>
      <c r="AI292" s="41"/>
      <c r="AJ292" s="41"/>
      <c r="AK292" s="41"/>
      <c r="AL292" s="41"/>
      <c r="AM292" s="38" t="str">
        <f aca="false">IF(OR(C292="",G292=""),"",IF(G292&lt;=IF(OR(C292="Soldier Pile &amp; Timber Lagging",C292="Trench Shoring Box",C292="Open Cut (battered)"),SG_Criteria!$B$34,SG_Criteria!$B$33),"No ERSS submission",IF(G292&lt;=SG_Criteria!$B$35,"QP(ST)",IF(G292&lt;=SG_Criteria!$B$36,"QP(ST) + AC","Geotechnical building works: QP(Geo) + AC"))))</f>
        <v/>
      </c>
      <c r="AN292" s="38" t="str">
        <f aca="false">IF(C292="","",IF(LEN(IF(AND(Q292&lt;&gt;"",Q292&lt;SG_Criteria!$B$37),"FAIL: base stability FOS &lt; "&amp;SG_Criteria!$B$37&amp;". ","")&amp;IF(AND(D292="Manhole",G292&gt;SG_Criteria!$B$36),"NOTE: BCA lists sewer manholes (pipe &lt;= 2 m dia) &gt; 6 m as non-GBW: QP(ST) + AC. ","")&amp;IF(AND(C292="Trench Shoring Box",H292="Kallang Formation (marine clay)"),"NOTE: check base heave / ground loss for shoring box in marine clay. ","")&amp;IF(AND(C292="Steel Sheet Pile Cofferdam",N(M292)&lt;G292*0.5),"NOTE: short toe embedment, check. ",""))=0,"OK",IF(AND(Q292&lt;&gt;"",Q292&lt;SG_Criteria!$B$37),"FAIL: base stability FOS &lt; "&amp;SG_Criteria!$B$37&amp;". ","")&amp;IF(AND(D292="Manhole",G292&gt;SG_Criteria!$B$36),"NOTE: BCA lists sewer manholes (pipe &lt;= 2 m dia) &gt; 6 m as non-GBW: QP(ST) + AC. ","")&amp;IF(AND(C292="Trench Shoring Box",H292="Kallang Formation (marine clay)"),"NOTE: check base heave / ground loss for shoring box in marine clay. ","")&amp;IF(AND(C292="Steel Sheet Pile Cofferdam",N(M292)&lt;G292*0.5),"NOTE: short toe embedment, check. ","")))</f>
        <v/>
      </c>
      <c r="AO292" s="9"/>
      <c r="AP292" s="9"/>
      <c r="AQ292" s="9"/>
      <c r="AR292" s="9"/>
      <c r="AS292" s="9"/>
      <c r="AT292" s="31"/>
      <c r="AU292" s="10" t="str">
        <f aca="false">IF(C292="","",IF(AND(V292="Approved",ISERROR(SEARCH("FAIL",AN292))),"Y","N"))</f>
        <v/>
      </c>
      <c r="AV292" s="10" t="str">
        <f aca="false">IF(C292="","",C292&amp;"|"&amp;G292&amp;"|"&amp;E292&amp;"|"&amp;H292&amp;"|"&amp;AU292)</f>
        <v/>
      </c>
    </row>
    <row r="293" customFormat="false" ht="15" hidden="false" customHeight="false" outlineLevel="0" collapsed="false">
      <c r="A293" s="10" t="str">
        <f aca="false">IF(C293="","","ERSS-"&amp;IFERROR(VLOOKUP(C293,Lists!$AK$4:$AL$21,2,0),"??")&amp;"-"&amp;TEXT(E293,"0000")&amp;"x"&amp;TEXT(F293,"0000")&amp;"-D"&amp;TEXT(G293*1000,"0000")&amp;"-"&amp;IFERROR(VLOOKUP(H293,Lists!$Y$4:$Z$21,2,0),"??")&amp;"-"&amp;U293)</f>
        <v/>
      </c>
      <c r="B293" s="10" t="str">
        <f aca="false">IF(C293="","",C293&amp;" for "&amp;D293&amp;", "&amp;E293&amp;" x "&amp;F293&amp;" pit, "&amp;TEXT(G293,"0.0")&amp;" m deep, "&amp;H293)</f>
        <v/>
      </c>
      <c r="C293" s="9"/>
      <c r="D293" s="9"/>
      <c r="E293" s="40"/>
      <c r="F293" s="40"/>
      <c r="G293" s="43"/>
      <c r="H293" s="9"/>
      <c r="I293" s="43"/>
      <c r="J293" s="40"/>
      <c r="K293" s="9"/>
      <c r="L293" s="43"/>
      <c r="M293" s="43"/>
      <c r="N293" s="40"/>
      <c r="O293" s="9"/>
      <c r="P293" s="9"/>
      <c r="Q293" s="41"/>
      <c r="R293" s="9"/>
      <c r="S293" s="40"/>
      <c r="T293" s="9"/>
      <c r="U293" s="9"/>
      <c r="V293" s="9"/>
      <c r="W293" s="9"/>
      <c r="X293" s="9"/>
      <c r="Y293" s="9"/>
      <c r="Z293" s="10" t="str">
        <f aca="false">IF(A293="","",SG_Criteria!$B$6&amp;SG_Criteria!$B$11&amp;"\"&amp;A293&amp;"\")</f>
        <v/>
      </c>
      <c r="AA293" s="10" t="str">
        <f aca="false">IF(A293="","",A293&amp;"_CAD.dwg")</f>
        <v/>
      </c>
      <c r="AB293" s="10" t="str">
        <f aca="false">IF(A293="","",A293&amp;"_DWG.pdf")</f>
        <v/>
      </c>
      <c r="AC293" s="10" t="str">
        <f aca="false">IF(A293="","",IF(Y293="Y",A293&amp;"_STAAD.std","n/a"))</f>
        <v/>
      </c>
      <c r="AD293" s="10" t="str">
        <f aca="false">IF(A293="","",A293&amp;"_CALC.xlsx")</f>
        <v/>
      </c>
      <c r="AE293" s="10" t="str">
        <f aca="false">IF(A293="","",A293&amp;"_CALC.pdf")</f>
        <v/>
      </c>
      <c r="AF293" s="9"/>
      <c r="AG293" s="9"/>
      <c r="AH293" s="41"/>
      <c r="AI293" s="41"/>
      <c r="AJ293" s="41"/>
      <c r="AK293" s="41"/>
      <c r="AL293" s="41"/>
      <c r="AM293" s="38" t="str">
        <f aca="false">IF(OR(C293="",G293=""),"",IF(G293&lt;=IF(OR(C293="Soldier Pile &amp; Timber Lagging",C293="Trench Shoring Box",C293="Open Cut (battered)"),SG_Criteria!$B$34,SG_Criteria!$B$33),"No ERSS submission",IF(G293&lt;=SG_Criteria!$B$35,"QP(ST)",IF(G293&lt;=SG_Criteria!$B$36,"QP(ST) + AC","Geotechnical building works: QP(Geo) + AC"))))</f>
        <v/>
      </c>
      <c r="AN293" s="38" t="str">
        <f aca="false">IF(C293="","",IF(LEN(IF(AND(Q293&lt;&gt;"",Q293&lt;SG_Criteria!$B$37),"FAIL: base stability FOS &lt; "&amp;SG_Criteria!$B$37&amp;". ","")&amp;IF(AND(D293="Manhole",G293&gt;SG_Criteria!$B$36),"NOTE: BCA lists sewer manholes (pipe &lt;= 2 m dia) &gt; 6 m as non-GBW: QP(ST) + AC. ","")&amp;IF(AND(C293="Trench Shoring Box",H293="Kallang Formation (marine clay)"),"NOTE: check base heave / ground loss for shoring box in marine clay. ","")&amp;IF(AND(C293="Steel Sheet Pile Cofferdam",N(M293)&lt;G293*0.5),"NOTE: short toe embedment, check. ",""))=0,"OK",IF(AND(Q293&lt;&gt;"",Q293&lt;SG_Criteria!$B$37),"FAIL: base stability FOS &lt; "&amp;SG_Criteria!$B$37&amp;". ","")&amp;IF(AND(D293="Manhole",G293&gt;SG_Criteria!$B$36),"NOTE: BCA lists sewer manholes (pipe &lt;= 2 m dia) &gt; 6 m as non-GBW: QP(ST) + AC. ","")&amp;IF(AND(C293="Trench Shoring Box",H293="Kallang Formation (marine clay)"),"NOTE: check base heave / ground loss for shoring box in marine clay. ","")&amp;IF(AND(C293="Steel Sheet Pile Cofferdam",N(M293)&lt;G293*0.5),"NOTE: short toe embedment, check. ","")))</f>
        <v/>
      </c>
      <c r="AO293" s="9"/>
      <c r="AP293" s="9"/>
      <c r="AQ293" s="9"/>
      <c r="AR293" s="9"/>
      <c r="AS293" s="9"/>
      <c r="AT293" s="31"/>
      <c r="AU293" s="10" t="str">
        <f aca="false">IF(C293="","",IF(AND(V293="Approved",ISERROR(SEARCH("FAIL",AN293))),"Y","N"))</f>
        <v/>
      </c>
      <c r="AV293" s="10" t="str">
        <f aca="false">IF(C293="","",C293&amp;"|"&amp;G293&amp;"|"&amp;E293&amp;"|"&amp;H293&amp;"|"&amp;AU293)</f>
        <v/>
      </c>
    </row>
    <row r="294" customFormat="false" ht="15" hidden="false" customHeight="false" outlineLevel="0" collapsed="false">
      <c r="A294" s="10" t="str">
        <f aca="false">IF(C294="","","ERSS-"&amp;IFERROR(VLOOKUP(C294,Lists!$AK$4:$AL$21,2,0),"??")&amp;"-"&amp;TEXT(E294,"0000")&amp;"x"&amp;TEXT(F294,"0000")&amp;"-D"&amp;TEXT(G294*1000,"0000")&amp;"-"&amp;IFERROR(VLOOKUP(H294,Lists!$Y$4:$Z$21,2,0),"??")&amp;"-"&amp;U294)</f>
        <v/>
      </c>
      <c r="B294" s="10" t="str">
        <f aca="false">IF(C294="","",C294&amp;" for "&amp;D294&amp;", "&amp;E294&amp;" x "&amp;F294&amp;" pit, "&amp;TEXT(G294,"0.0")&amp;" m deep, "&amp;H294)</f>
        <v/>
      </c>
      <c r="C294" s="9"/>
      <c r="D294" s="9"/>
      <c r="E294" s="40"/>
      <c r="F294" s="40"/>
      <c r="G294" s="43"/>
      <c r="H294" s="9"/>
      <c r="I294" s="43"/>
      <c r="J294" s="40"/>
      <c r="K294" s="9"/>
      <c r="L294" s="43"/>
      <c r="M294" s="43"/>
      <c r="N294" s="40"/>
      <c r="O294" s="9"/>
      <c r="P294" s="9"/>
      <c r="Q294" s="41"/>
      <c r="R294" s="9"/>
      <c r="S294" s="40"/>
      <c r="T294" s="9"/>
      <c r="U294" s="9"/>
      <c r="V294" s="9"/>
      <c r="W294" s="9"/>
      <c r="X294" s="9"/>
      <c r="Y294" s="9"/>
      <c r="Z294" s="10" t="str">
        <f aca="false">IF(A294="","",SG_Criteria!$B$6&amp;SG_Criteria!$B$11&amp;"\"&amp;A294&amp;"\")</f>
        <v/>
      </c>
      <c r="AA294" s="10" t="str">
        <f aca="false">IF(A294="","",A294&amp;"_CAD.dwg")</f>
        <v/>
      </c>
      <c r="AB294" s="10" t="str">
        <f aca="false">IF(A294="","",A294&amp;"_DWG.pdf")</f>
        <v/>
      </c>
      <c r="AC294" s="10" t="str">
        <f aca="false">IF(A294="","",IF(Y294="Y",A294&amp;"_STAAD.std","n/a"))</f>
        <v/>
      </c>
      <c r="AD294" s="10" t="str">
        <f aca="false">IF(A294="","",A294&amp;"_CALC.xlsx")</f>
        <v/>
      </c>
      <c r="AE294" s="10" t="str">
        <f aca="false">IF(A294="","",A294&amp;"_CALC.pdf")</f>
        <v/>
      </c>
      <c r="AF294" s="9"/>
      <c r="AG294" s="9"/>
      <c r="AH294" s="41"/>
      <c r="AI294" s="41"/>
      <c r="AJ294" s="41"/>
      <c r="AK294" s="41"/>
      <c r="AL294" s="41"/>
      <c r="AM294" s="38" t="str">
        <f aca="false">IF(OR(C294="",G294=""),"",IF(G294&lt;=IF(OR(C294="Soldier Pile &amp; Timber Lagging",C294="Trench Shoring Box",C294="Open Cut (battered)"),SG_Criteria!$B$34,SG_Criteria!$B$33),"No ERSS submission",IF(G294&lt;=SG_Criteria!$B$35,"QP(ST)",IF(G294&lt;=SG_Criteria!$B$36,"QP(ST) + AC","Geotechnical building works: QP(Geo) + AC"))))</f>
        <v/>
      </c>
      <c r="AN294" s="38" t="str">
        <f aca="false">IF(C294="","",IF(LEN(IF(AND(Q294&lt;&gt;"",Q294&lt;SG_Criteria!$B$37),"FAIL: base stability FOS &lt; "&amp;SG_Criteria!$B$37&amp;". ","")&amp;IF(AND(D294="Manhole",G294&gt;SG_Criteria!$B$36),"NOTE: BCA lists sewer manholes (pipe &lt;= 2 m dia) &gt; 6 m as non-GBW: QP(ST) + AC. ","")&amp;IF(AND(C294="Trench Shoring Box",H294="Kallang Formation (marine clay)"),"NOTE: check base heave / ground loss for shoring box in marine clay. ","")&amp;IF(AND(C294="Steel Sheet Pile Cofferdam",N(M294)&lt;G294*0.5),"NOTE: short toe embedment, check. ",""))=0,"OK",IF(AND(Q294&lt;&gt;"",Q294&lt;SG_Criteria!$B$37),"FAIL: base stability FOS &lt; "&amp;SG_Criteria!$B$37&amp;". ","")&amp;IF(AND(D294="Manhole",G294&gt;SG_Criteria!$B$36),"NOTE: BCA lists sewer manholes (pipe &lt;= 2 m dia) &gt; 6 m as non-GBW: QP(ST) + AC. ","")&amp;IF(AND(C294="Trench Shoring Box",H294="Kallang Formation (marine clay)"),"NOTE: check base heave / ground loss for shoring box in marine clay. ","")&amp;IF(AND(C294="Steel Sheet Pile Cofferdam",N(M294)&lt;G294*0.5),"NOTE: short toe embedment, check. ","")))</f>
        <v/>
      </c>
      <c r="AO294" s="9"/>
      <c r="AP294" s="9"/>
      <c r="AQ294" s="9"/>
      <c r="AR294" s="9"/>
      <c r="AS294" s="9"/>
      <c r="AT294" s="31"/>
      <c r="AU294" s="10" t="str">
        <f aca="false">IF(C294="","",IF(AND(V294="Approved",ISERROR(SEARCH("FAIL",AN294))),"Y","N"))</f>
        <v/>
      </c>
      <c r="AV294" s="10" t="str">
        <f aca="false">IF(C294="","",C294&amp;"|"&amp;G294&amp;"|"&amp;E294&amp;"|"&amp;H294&amp;"|"&amp;AU294)</f>
        <v/>
      </c>
    </row>
    <row r="295" customFormat="false" ht="15" hidden="false" customHeight="false" outlineLevel="0" collapsed="false">
      <c r="A295" s="10" t="str">
        <f aca="false">IF(C295="","","ERSS-"&amp;IFERROR(VLOOKUP(C295,Lists!$AK$4:$AL$21,2,0),"??")&amp;"-"&amp;TEXT(E295,"0000")&amp;"x"&amp;TEXT(F295,"0000")&amp;"-D"&amp;TEXT(G295*1000,"0000")&amp;"-"&amp;IFERROR(VLOOKUP(H295,Lists!$Y$4:$Z$21,2,0),"??")&amp;"-"&amp;U295)</f>
        <v/>
      </c>
      <c r="B295" s="10" t="str">
        <f aca="false">IF(C295="","",C295&amp;" for "&amp;D295&amp;", "&amp;E295&amp;" x "&amp;F295&amp;" pit, "&amp;TEXT(G295,"0.0")&amp;" m deep, "&amp;H295)</f>
        <v/>
      </c>
      <c r="C295" s="9"/>
      <c r="D295" s="9"/>
      <c r="E295" s="40"/>
      <c r="F295" s="40"/>
      <c r="G295" s="43"/>
      <c r="H295" s="9"/>
      <c r="I295" s="43"/>
      <c r="J295" s="40"/>
      <c r="K295" s="9"/>
      <c r="L295" s="43"/>
      <c r="M295" s="43"/>
      <c r="N295" s="40"/>
      <c r="O295" s="9"/>
      <c r="P295" s="9"/>
      <c r="Q295" s="41"/>
      <c r="R295" s="9"/>
      <c r="S295" s="40"/>
      <c r="T295" s="9"/>
      <c r="U295" s="9"/>
      <c r="V295" s="9"/>
      <c r="W295" s="9"/>
      <c r="X295" s="9"/>
      <c r="Y295" s="9"/>
      <c r="Z295" s="10" t="str">
        <f aca="false">IF(A295="","",SG_Criteria!$B$6&amp;SG_Criteria!$B$11&amp;"\"&amp;A295&amp;"\")</f>
        <v/>
      </c>
      <c r="AA295" s="10" t="str">
        <f aca="false">IF(A295="","",A295&amp;"_CAD.dwg")</f>
        <v/>
      </c>
      <c r="AB295" s="10" t="str">
        <f aca="false">IF(A295="","",A295&amp;"_DWG.pdf")</f>
        <v/>
      </c>
      <c r="AC295" s="10" t="str">
        <f aca="false">IF(A295="","",IF(Y295="Y",A295&amp;"_STAAD.std","n/a"))</f>
        <v/>
      </c>
      <c r="AD295" s="10" t="str">
        <f aca="false">IF(A295="","",A295&amp;"_CALC.xlsx")</f>
        <v/>
      </c>
      <c r="AE295" s="10" t="str">
        <f aca="false">IF(A295="","",A295&amp;"_CALC.pdf")</f>
        <v/>
      </c>
      <c r="AF295" s="9"/>
      <c r="AG295" s="9"/>
      <c r="AH295" s="41"/>
      <c r="AI295" s="41"/>
      <c r="AJ295" s="41"/>
      <c r="AK295" s="41"/>
      <c r="AL295" s="41"/>
      <c r="AM295" s="38" t="str">
        <f aca="false">IF(OR(C295="",G295=""),"",IF(G295&lt;=IF(OR(C295="Soldier Pile &amp; Timber Lagging",C295="Trench Shoring Box",C295="Open Cut (battered)"),SG_Criteria!$B$34,SG_Criteria!$B$33),"No ERSS submission",IF(G295&lt;=SG_Criteria!$B$35,"QP(ST)",IF(G295&lt;=SG_Criteria!$B$36,"QP(ST) + AC","Geotechnical building works: QP(Geo) + AC"))))</f>
        <v/>
      </c>
      <c r="AN295" s="38" t="str">
        <f aca="false">IF(C295="","",IF(LEN(IF(AND(Q295&lt;&gt;"",Q295&lt;SG_Criteria!$B$37),"FAIL: base stability FOS &lt; "&amp;SG_Criteria!$B$37&amp;". ","")&amp;IF(AND(D295="Manhole",G295&gt;SG_Criteria!$B$36),"NOTE: BCA lists sewer manholes (pipe &lt;= 2 m dia) &gt; 6 m as non-GBW: QP(ST) + AC. ","")&amp;IF(AND(C295="Trench Shoring Box",H295="Kallang Formation (marine clay)"),"NOTE: check base heave / ground loss for shoring box in marine clay. ","")&amp;IF(AND(C295="Steel Sheet Pile Cofferdam",N(M295)&lt;G295*0.5),"NOTE: short toe embedment, check. ",""))=0,"OK",IF(AND(Q295&lt;&gt;"",Q295&lt;SG_Criteria!$B$37),"FAIL: base stability FOS &lt; "&amp;SG_Criteria!$B$37&amp;". ","")&amp;IF(AND(D295="Manhole",G295&gt;SG_Criteria!$B$36),"NOTE: BCA lists sewer manholes (pipe &lt;= 2 m dia) &gt; 6 m as non-GBW: QP(ST) + AC. ","")&amp;IF(AND(C295="Trench Shoring Box",H295="Kallang Formation (marine clay)"),"NOTE: check base heave / ground loss for shoring box in marine clay. ","")&amp;IF(AND(C295="Steel Sheet Pile Cofferdam",N(M295)&lt;G295*0.5),"NOTE: short toe embedment, check. ","")))</f>
        <v/>
      </c>
      <c r="AO295" s="9"/>
      <c r="AP295" s="9"/>
      <c r="AQ295" s="9"/>
      <c r="AR295" s="9"/>
      <c r="AS295" s="9"/>
      <c r="AT295" s="31"/>
      <c r="AU295" s="10" t="str">
        <f aca="false">IF(C295="","",IF(AND(V295="Approved",ISERROR(SEARCH("FAIL",AN295))),"Y","N"))</f>
        <v/>
      </c>
      <c r="AV295" s="10" t="str">
        <f aca="false">IF(C295="","",C295&amp;"|"&amp;G295&amp;"|"&amp;E295&amp;"|"&amp;H295&amp;"|"&amp;AU295)</f>
        <v/>
      </c>
    </row>
    <row r="296" customFormat="false" ht="15" hidden="false" customHeight="false" outlineLevel="0" collapsed="false">
      <c r="A296" s="10" t="str">
        <f aca="false">IF(C296="","","ERSS-"&amp;IFERROR(VLOOKUP(C296,Lists!$AK$4:$AL$21,2,0),"??")&amp;"-"&amp;TEXT(E296,"0000")&amp;"x"&amp;TEXT(F296,"0000")&amp;"-D"&amp;TEXT(G296*1000,"0000")&amp;"-"&amp;IFERROR(VLOOKUP(H296,Lists!$Y$4:$Z$21,2,0),"??")&amp;"-"&amp;U296)</f>
        <v/>
      </c>
      <c r="B296" s="10" t="str">
        <f aca="false">IF(C296="","",C296&amp;" for "&amp;D296&amp;", "&amp;E296&amp;" x "&amp;F296&amp;" pit, "&amp;TEXT(G296,"0.0")&amp;" m deep, "&amp;H296)</f>
        <v/>
      </c>
      <c r="C296" s="9"/>
      <c r="D296" s="9"/>
      <c r="E296" s="40"/>
      <c r="F296" s="40"/>
      <c r="G296" s="43"/>
      <c r="H296" s="9"/>
      <c r="I296" s="43"/>
      <c r="J296" s="40"/>
      <c r="K296" s="9"/>
      <c r="L296" s="43"/>
      <c r="M296" s="43"/>
      <c r="N296" s="40"/>
      <c r="O296" s="9"/>
      <c r="P296" s="9"/>
      <c r="Q296" s="41"/>
      <c r="R296" s="9"/>
      <c r="S296" s="40"/>
      <c r="T296" s="9"/>
      <c r="U296" s="9"/>
      <c r="V296" s="9"/>
      <c r="W296" s="9"/>
      <c r="X296" s="9"/>
      <c r="Y296" s="9"/>
      <c r="Z296" s="10" t="str">
        <f aca="false">IF(A296="","",SG_Criteria!$B$6&amp;SG_Criteria!$B$11&amp;"\"&amp;A296&amp;"\")</f>
        <v/>
      </c>
      <c r="AA296" s="10" t="str">
        <f aca="false">IF(A296="","",A296&amp;"_CAD.dwg")</f>
        <v/>
      </c>
      <c r="AB296" s="10" t="str">
        <f aca="false">IF(A296="","",A296&amp;"_DWG.pdf")</f>
        <v/>
      </c>
      <c r="AC296" s="10" t="str">
        <f aca="false">IF(A296="","",IF(Y296="Y",A296&amp;"_STAAD.std","n/a"))</f>
        <v/>
      </c>
      <c r="AD296" s="10" t="str">
        <f aca="false">IF(A296="","",A296&amp;"_CALC.xlsx")</f>
        <v/>
      </c>
      <c r="AE296" s="10" t="str">
        <f aca="false">IF(A296="","",A296&amp;"_CALC.pdf")</f>
        <v/>
      </c>
      <c r="AF296" s="9"/>
      <c r="AG296" s="9"/>
      <c r="AH296" s="41"/>
      <c r="AI296" s="41"/>
      <c r="AJ296" s="41"/>
      <c r="AK296" s="41"/>
      <c r="AL296" s="41"/>
      <c r="AM296" s="38" t="str">
        <f aca="false">IF(OR(C296="",G296=""),"",IF(G296&lt;=IF(OR(C296="Soldier Pile &amp; Timber Lagging",C296="Trench Shoring Box",C296="Open Cut (battered)"),SG_Criteria!$B$34,SG_Criteria!$B$33),"No ERSS submission",IF(G296&lt;=SG_Criteria!$B$35,"QP(ST)",IF(G296&lt;=SG_Criteria!$B$36,"QP(ST) + AC","Geotechnical building works: QP(Geo) + AC"))))</f>
        <v/>
      </c>
      <c r="AN296" s="38" t="str">
        <f aca="false">IF(C296="","",IF(LEN(IF(AND(Q296&lt;&gt;"",Q296&lt;SG_Criteria!$B$37),"FAIL: base stability FOS &lt; "&amp;SG_Criteria!$B$37&amp;". ","")&amp;IF(AND(D296="Manhole",G296&gt;SG_Criteria!$B$36),"NOTE: BCA lists sewer manholes (pipe &lt;= 2 m dia) &gt; 6 m as non-GBW: QP(ST) + AC. ","")&amp;IF(AND(C296="Trench Shoring Box",H296="Kallang Formation (marine clay)"),"NOTE: check base heave / ground loss for shoring box in marine clay. ","")&amp;IF(AND(C296="Steel Sheet Pile Cofferdam",N(M296)&lt;G296*0.5),"NOTE: short toe embedment, check. ",""))=0,"OK",IF(AND(Q296&lt;&gt;"",Q296&lt;SG_Criteria!$B$37),"FAIL: base stability FOS &lt; "&amp;SG_Criteria!$B$37&amp;". ","")&amp;IF(AND(D296="Manhole",G296&gt;SG_Criteria!$B$36),"NOTE: BCA lists sewer manholes (pipe &lt;= 2 m dia) &gt; 6 m as non-GBW: QP(ST) + AC. ","")&amp;IF(AND(C296="Trench Shoring Box",H296="Kallang Formation (marine clay)"),"NOTE: check base heave / ground loss for shoring box in marine clay. ","")&amp;IF(AND(C296="Steel Sheet Pile Cofferdam",N(M296)&lt;G296*0.5),"NOTE: short toe embedment, check. ","")))</f>
        <v/>
      </c>
      <c r="AO296" s="9"/>
      <c r="AP296" s="9"/>
      <c r="AQ296" s="9"/>
      <c r="AR296" s="9"/>
      <c r="AS296" s="9"/>
      <c r="AT296" s="31"/>
      <c r="AU296" s="10" t="str">
        <f aca="false">IF(C296="","",IF(AND(V296="Approved",ISERROR(SEARCH("FAIL",AN296))),"Y","N"))</f>
        <v/>
      </c>
      <c r="AV296" s="10" t="str">
        <f aca="false">IF(C296="","",C296&amp;"|"&amp;G296&amp;"|"&amp;E296&amp;"|"&amp;H296&amp;"|"&amp;AU296)</f>
        <v/>
      </c>
    </row>
    <row r="297" customFormat="false" ht="15" hidden="false" customHeight="false" outlineLevel="0" collapsed="false">
      <c r="A297" s="10" t="str">
        <f aca="false">IF(C297="","","ERSS-"&amp;IFERROR(VLOOKUP(C297,Lists!$AK$4:$AL$21,2,0),"??")&amp;"-"&amp;TEXT(E297,"0000")&amp;"x"&amp;TEXT(F297,"0000")&amp;"-D"&amp;TEXT(G297*1000,"0000")&amp;"-"&amp;IFERROR(VLOOKUP(H297,Lists!$Y$4:$Z$21,2,0),"??")&amp;"-"&amp;U297)</f>
        <v/>
      </c>
      <c r="B297" s="10" t="str">
        <f aca="false">IF(C297="","",C297&amp;" for "&amp;D297&amp;", "&amp;E297&amp;" x "&amp;F297&amp;" pit, "&amp;TEXT(G297,"0.0")&amp;" m deep, "&amp;H297)</f>
        <v/>
      </c>
      <c r="C297" s="9"/>
      <c r="D297" s="9"/>
      <c r="E297" s="40"/>
      <c r="F297" s="40"/>
      <c r="G297" s="43"/>
      <c r="H297" s="9"/>
      <c r="I297" s="43"/>
      <c r="J297" s="40"/>
      <c r="K297" s="9"/>
      <c r="L297" s="43"/>
      <c r="M297" s="43"/>
      <c r="N297" s="40"/>
      <c r="O297" s="9"/>
      <c r="P297" s="9"/>
      <c r="Q297" s="41"/>
      <c r="R297" s="9"/>
      <c r="S297" s="40"/>
      <c r="T297" s="9"/>
      <c r="U297" s="9"/>
      <c r="V297" s="9"/>
      <c r="W297" s="9"/>
      <c r="X297" s="9"/>
      <c r="Y297" s="9"/>
      <c r="Z297" s="10" t="str">
        <f aca="false">IF(A297="","",SG_Criteria!$B$6&amp;SG_Criteria!$B$11&amp;"\"&amp;A297&amp;"\")</f>
        <v/>
      </c>
      <c r="AA297" s="10" t="str">
        <f aca="false">IF(A297="","",A297&amp;"_CAD.dwg")</f>
        <v/>
      </c>
      <c r="AB297" s="10" t="str">
        <f aca="false">IF(A297="","",A297&amp;"_DWG.pdf")</f>
        <v/>
      </c>
      <c r="AC297" s="10" t="str">
        <f aca="false">IF(A297="","",IF(Y297="Y",A297&amp;"_STAAD.std","n/a"))</f>
        <v/>
      </c>
      <c r="AD297" s="10" t="str">
        <f aca="false">IF(A297="","",A297&amp;"_CALC.xlsx")</f>
        <v/>
      </c>
      <c r="AE297" s="10" t="str">
        <f aca="false">IF(A297="","",A297&amp;"_CALC.pdf")</f>
        <v/>
      </c>
      <c r="AF297" s="9"/>
      <c r="AG297" s="9"/>
      <c r="AH297" s="41"/>
      <c r="AI297" s="41"/>
      <c r="AJ297" s="41"/>
      <c r="AK297" s="41"/>
      <c r="AL297" s="41"/>
      <c r="AM297" s="38" t="str">
        <f aca="false">IF(OR(C297="",G297=""),"",IF(G297&lt;=IF(OR(C297="Soldier Pile &amp; Timber Lagging",C297="Trench Shoring Box",C297="Open Cut (battered)"),SG_Criteria!$B$34,SG_Criteria!$B$33),"No ERSS submission",IF(G297&lt;=SG_Criteria!$B$35,"QP(ST)",IF(G297&lt;=SG_Criteria!$B$36,"QP(ST) + AC","Geotechnical building works: QP(Geo) + AC"))))</f>
        <v/>
      </c>
      <c r="AN297" s="38" t="str">
        <f aca="false">IF(C297="","",IF(LEN(IF(AND(Q297&lt;&gt;"",Q297&lt;SG_Criteria!$B$37),"FAIL: base stability FOS &lt; "&amp;SG_Criteria!$B$37&amp;". ","")&amp;IF(AND(D297="Manhole",G297&gt;SG_Criteria!$B$36),"NOTE: BCA lists sewer manholes (pipe &lt;= 2 m dia) &gt; 6 m as non-GBW: QP(ST) + AC. ","")&amp;IF(AND(C297="Trench Shoring Box",H297="Kallang Formation (marine clay)"),"NOTE: check base heave / ground loss for shoring box in marine clay. ","")&amp;IF(AND(C297="Steel Sheet Pile Cofferdam",N(M297)&lt;G297*0.5),"NOTE: short toe embedment, check. ",""))=0,"OK",IF(AND(Q297&lt;&gt;"",Q297&lt;SG_Criteria!$B$37),"FAIL: base stability FOS &lt; "&amp;SG_Criteria!$B$37&amp;". ","")&amp;IF(AND(D297="Manhole",G297&gt;SG_Criteria!$B$36),"NOTE: BCA lists sewer manholes (pipe &lt;= 2 m dia) &gt; 6 m as non-GBW: QP(ST) + AC. ","")&amp;IF(AND(C297="Trench Shoring Box",H297="Kallang Formation (marine clay)"),"NOTE: check base heave / ground loss for shoring box in marine clay. ","")&amp;IF(AND(C297="Steel Sheet Pile Cofferdam",N(M297)&lt;G297*0.5),"NOTE: short toe embedment, check. ","")))</f>
        <v/>
      </c>
      <c r="AO297" s="9"/>
      <c r="AP297" s="9"/>
      <c r="AQ297" s="9"/>
      <c r="AR297" s="9"/>
      <c r="AS297" s="9"/>
      <c r="AT297" s="31"/>
      <c r="AU297" s="10" t="str">
        <f aca="false">IF(C297="","",IF(AND(V297="Approved",ISERROR(SEARCH("FAIL",AN297))),"Y","N"))</f>
        <v/>
      </c>
      <c r="AV297" s="10" t="str">
        <f aca="false">IF(C297="","",C297&amp;"|"&amp;G297&amp;"|"&amp;E297&amp;"|"&amp;H297&amp;"|"&amp;AU297)</f>
        <v/>
      </c>
    </row>
    <row r="298" customFormat="false" ht="15" hidden="false" customHeight="false" outlineLevel="0" collapsed="false">
      <c r="A298" s="10" t="str">
        <f aca="false">IF(C298="","","ERSS-"&amp;IFERROR(VLOOKUP(C298,Lists!$AK$4:$AL$21,2,0),"??")&amp;"-"&amp;TEXT(E298,"0000")&amp;"x"&amp;TEXT(F298,"0000")&amp;"-D"&amp;TEXT(G298*1000,"0000")&amp;"-"&amp;IFERROR(VLOOKUP(H298,Lists!$Y$4:$Z$21,2,0),"??")&amp;"-"&amp;U298)</f>
        <v/>
      </c>
      <c r="B298" s="10" t="str">
        <f aca="false">IF(C298="","",C298&amp;" for "&amp;D298&amp;", "&amp;E298&amp;" x "&amp;F298&amp;" pit, "&amp;TEXT(G298,"0.0")&amp;" m deep, "&amp;H298)</f>
        <v/>
      </c>
      <c r="C298" s="9"/>
      <c r="D298" s="9"/>
      <c r="E298" s="40"/>
      <c r="F298" s="40"/>
      <c r="G298" s="43"/>
      <c r="H298" s="9"/>
      <c r="I298" s="43"/>
      <c r="J298" s="40"/>
      <c r="K298" s="9"/>
      <c r="L298" s="43"/>
      <c r="M298" s="43"/>
      <c r="N298" s="40"/>
      <c r="O298" s="9"/>
      <c r="P298" s="9"/>
      <c r="Q298" s="41"/>
      <c r="R298" s="9"/>
      <c r="S298" s="40"/>
      <c r="T298" s="9"/>
      <c r="U298" s="9"/>
      <c r="V298" s="9"/>
      <c r="W298" s="9"/>
      <c r="X298" s="9"/>
      <c r="Y298" s="9"/>
      <c r="Z298" s="10" t="str">
        <f aca="false">IF(A298="","",SG_Criteria!$B$6&amp;SG_Criteria!$B$11&amp;"\"&amp;A298&amp;"\")</f>
        <v/>
      </c>
      <c r="AA298" s="10" t="str">
        <f aca="false">IF(A298="","",A298&amp;"_CAD.dwg")</f>
        <v/>
      </c>
      <c r="AB298" s="10" t="str">
        <f aca="false">IF(A298="","",A298&amp;"_DWG.pdf")</f>
        <v/>
      </c>
      <c r="AC298" s="10" t="str">
        <f aca="false">IF(A298="","",IF(Y298="Y",A298&amp;"_STAAD.std","n/a"))</f>
        <v/>
      </c>
      <c r="AD298" s="10" t="str">
        <f aca="false">IF(A298="","",A298&amp;"_CALC.xlsx")</f>
        <v/>
      </c>
      <c r="AE298" s="10" t="str">
        <f aca="false">IF(A298="","",A298&amp;"_CALC.pdf")</f>
        <v/>
      </c>
      <c r="AF298" s="9"/>
      <c r="AG298" s="9"/>
      <c r="AH298" s="41"/>
      <c r="AI298" s="41"/>
      <c r="AJ298" s="41"/>
      <c r="AK298" s="41"/>
      <c r="AL298" s="41"/>
      <c r="AM298" s="38" t="str">
        <f aca="false">IF(OR(C298="",G298=""),"",IF(G298&lt;=IF(OR(C298="Soldier Pile &amp; Timber Lagging",C298="Trench Shoring Box",C298="Open Cut (battered)"),SG_Criteria!$B$34,SG_Criteria!$B$33),"No ERSS submission",IF(G298&lt;=SG_Criteria!$B$35,"QP(ST)",IF(G298&lt;=SG_Criteria!$B$36,"QP(ST) + AC","Geotechnical building works: QP(Geo) + AC"))))</f>
        <v/>
      </c>
      <c r="AN298" s="38" t="str">
        <f aca="false">IF(C298="","",IF(LEN(IF(AND(Q298&lt;&gt;"",Q298&lt;SG_Criteria!$B$37),"FAIL: base stability FOS &lt; "&amp;SG_Criteria!$B$37&amp;". ","")&amp;IF(AND(D298="Manhole",G298&gt;SG_Criteria!$B$36),"NOTE: BCA lists sewer manholes (pipe &lt;= 2 m dia) &gt; 6 m as non-GBW: QP(ST) + AC. ","")&amp;IF(AND(C298="Trench Shoring Box",H298="Kallang Formation (marine clay)"),"NOTE: check base heave / ground loss for shoring box in marine clay. ","")&amp;IF(AND(C298="Steel Sheet Pile Cofferdam",N(M298)&lt;G298*0.5),"NOTE: short toe embedment, check. ",""))=0,"OK",IF(AND(Q298&lt;&gt;"",Q298&lt;SG_Criteria!$B$37),"FAIL: base stability FOS &lt; "&amp;SG_Criteria!$B$37&amp;". ","")&amp;IF(AND(D298="Manhole",G298&gt;SG_Criteria!$B$36),"NOTE: BCA lists sewer manholes (pipe &lt;= 2 m dia) &gt; 6 m as non-GBW: QP(ST) + AC. ","")&amp;IF(AND(C298="Trench Shoring Box",H298="Kallang Formation (marine clay)"),"NOTE: check base heave / ground loss for shoring box in marine clay. ","")&amp;IF(AND(C298="Steel Sheet Pile Cofferdam",N(M298)&lt;G298*0.5),"NOTE: short toe embedment, check. ","")))</f>
        <v/>
      </c>
      <c r="AO298" s="9"/>
      <c r="AP298" s="9"/>
      <c r="AQ298" s="9"/>
      <c r="AR298" s="9"/>
      <c r="AS298" s="9"/>
      <c r="AT298" s="31"/>
      <c r="AU298" s="10" t="str">
        <f aca="false">IF(C298="","",IF(AND(V298="Approved",ISERROR(SEARCH("FAIL",AN298))),"Y","N"))</f>
        <v/>
      </c>
      <c r="AV298" s="10" t="str">
        <f aca="false">IF(C298="","",C298&amp;"|"&amp;G298&amp;"|"&amp;E298&amp;"|"&amp;H298&amp;"|"&amp;AU298)</f>
        <v/>
      </c>
    </row>
    <row r="299" customFormat="false" ht="15" hidden="false" customHeight="false" outlineLevel="0" collapsed="false">
      <c r="A299" s="10" t="str">
        <f aca="false">IF(C299="","","ERSS-"&amp;IFERROR(VLOOKUP(C299,Lists!$AK$4:$AL$21,2,0),"??")&amp;"-"&amp;TEXT(E299,"0000")&amp;"x"&amp;TEXT(F299,"0000")&amp;"-D"&amp;TEXT(G299*1000,"0000")&amp;"-"&amp;IFERROR(VLOOKUP(H299,Lists!$Y$4:$Z$21,2,0),"??")&amp;"-"&amp;U299)</f>
        <v/>
      </c>
      <c r="B299" s="10" t="str">
        <f aca="false">IF(C299="","",C299&amp;" for "&amp;D299&amp;", "&amp;E299&amp;" x "&amp;F299&amp;" pit, "&amp;TEXT(G299,"0.0")&amp;" m deep, "&amp;H299)</f>
        <v/>
      </c>
      <c r="C299" s="9"/>
      <c r="D299" s="9"/>
      <c r="E299" s="40"/>
      <c r="F299" s="40"/>
      <c r="G299" s="43"/>
      <c r="H299" s="9"/>
      <c r="I299" s="43"/>
      <c r="J299" s="40"/>
      <c r="K299" s="9"/>
      <c r="L299" s="43"/>
      <c r="M299" s="43"/>
      <c r="N299" s="40"/>
      <c r="O299" s="9"/>
      <c r="P299" s="9"/>
      <c r="Q299" s="41"/>
      <c r="R299" s="9"/>
      <c r="S299" s="40"/>
      <c r="T299" s="9"/>
      <c r="U299" s="9"/>
      <c r="V299" s="9"/>
      <c r="W299" s="9"/>
      <c r="X299" s="9"/>
      <c r="Y299" s="9"/>
      <c r="Z299" s="10" t="str">
        <f aca="false">IF(A299="","",SG_Criteria!$B$6&amp;SG_Criteria!$B$11&amp;"\"&amp;A299&amp;"\")</f>
        <v/>
      </c>
      <c r="AA299" s="10" t="str">
        <f aca="false">IF(A299="","",A299&amp;"_CAD.dwg")</f>
        <v/>
      </c>
      <c r="AB299" s="10" t="str">
        <f aca="false">IF(A299="","",A299&amp;"_DWG.pdf")</f>
        <v/>
      </c>
      <c r="AC299" s="10" t="str">
        <f aca="false">IF(A299="","",IF(Y299="Y",A299&amp;"_STAAD.std","n/a"))</f>
        <v/>
      </c>
      <c r="AD299" s="10" t="str">
        <f aca="false">IF(A299="","",A299&amp;"_CALC.xlsx")</f>
        <v/>
      </c>
      <c r="AE299" s="10" t="str">
        <f aca="false">IF(A299="","",A299&amp;"_CALC.pdf")</f>
        <v/>
      </c>
      <c r="AF299" s="9"/>
      <c r="AG299" s="9"/>
      <c r="AH299" s="41"/>
      <c r="AI299" s="41"/>
      <c r="AJ299" s="41"/>
      <c r="AK299" s="41"/>
      <c r="AL299" s="41"/>
      <c r="AM299" s="38" t="str">
        <f aca="false">IF(OR(C299="",G299=""),"",IF(G299&lt;=IF(OR(C299="Soldier Pile &amp; Timber Lagging",C299="Trench Shoring Box",C299="Open Cut (battered)"),SG_Criteria!$B$34,SG_Criteria!$B$33),"No ERSS submission",IF(G299&lt;=SG_Criteria!$B$35,"QP(ST)",IF(G299&lt;=SG_Criteria!$B$36,"QP(ST) + AC","Geotechnical building works: QP(Geo) + AC"))))</f>
        <v/>
      </c>
      <c r="AN299" s="38" t="str">
        <f aca="false">IF(C299="","",IF(LEN(IF(AND(Q299&lt;&gt;"",Q299&lt;SG_Criteria!$B$37),"FAIL: base stability FOS &lt; "&amp;SG_Criteria!$B$37&amp;". ","")&amp;IF(AND(D299="Manhole",G299&gt;SG_Criteria!$B$36),"NOTE: BCA lists sewer manholes (pipe &lt;= 2 m dia) &gt; 6 m as non-GBW: QP(ST) + AC. ","")&amp;IF(AND(C299="Trench Shoring Box",H299="Kallang Formation (marine clay)"),"NOTE: check base heave / ground loss for shoring box in marine clay. ","")&amp;IF(AND(C299="Steel Sheet Pile Cofferdam",N(M299)&lt;G299*0.5),"NOTE: short toe embedment, check. ",""))=0,"OK",IF(AND(Q299&lt;&gt;"",Q299&lt;SG_Criteria!$B$37),"FAIL: base stability FOS &lt; "&amp;SG_Criteria!$B$37&amp;". ","")&amp;IF(AND(D299="Manhole",G299&gt;SG_Criteria!$B$36),"NOTE: BCA lists sewer manholes (pipe &lt;= 2 m dia) &gt; 6 m as non-GBW: QP(ST) + AC. ","")&amp;IF(AND(C299="Trench Shoring Box",H299="Kallang Formation (marine clay)"),"NOTE: check base heave / ground loss for shoring box in marine clay. ","")&amp;IF(AND(C299="Steel Sheet Pile Cofferdam",N(M299)&lt;G299*0.5),"NOTE: short toe embedment, check. ","")))</f>
        <v/>
      </c>
      <c r="AO299" s="9"/>
      <c r="AP299" s="9"/>
      <c r="AQ299" s="9"/>
      <c r="AR299" s="9"/>
      <c r="AS299" s="9"/>
      <c r="AT299" s="31"/>
      <c r="AU299" s="10" t="str">
        <f aca="false">IF(C299="","",IF(AND(V299="Approved",ISERROR(SEARCH("FAIL",AN299))),"Y","N"))</f>
        <v/>
      </c>
      <c r="AV299" s="10" t="str">
        <f aca="false">IF(C299="","",C299&amp;"|"&amp;G299&amp;"|"&amp;E299&amp;"|"&amp;H299&amp;"|"&amp;AU299)</f>
        <v/>
      </c>
    </row>
    <row r="300" customFormat="false" ht="15" hidden="false" customHeight="false" outlineLevel="0" collapsed="false">
      <c r="A300" s="10" t="str">
        <f aca="false">IF(C300="","","ERSS-"&amp;IFERROR(VLOOKUP(C300,Lists!$AK$4:$AL$21,2,0),"??")&amp;"-"&amp;TEXT(E300,"0000")&amp;"x"&amp;TEXT(F300,"0000")&amp;"-D"&amp;TEXT(G300*1000,"0000")&amp;"-"&amp;IFERROR(VLOOKUP(H300,Lists!$Y$4:$Z$21,2,0),"??")&amp;"-"&amp;U300)</f>
        <v/>
      </c>
      <c r="B300" s="10" t="str">
        <f aca="false">IF(C300="","",C300&amp;" for "&amp;D300&amp;", "&amp;E300&amp;" x "&amp;F300&amp;" pit, "&amp;TEXT(G300,"0.0")&amp;" m deep, "&amp;H300)</f>
        <v/>
      </c>
      <c r="C300" s="9"/>
      <c r="D300" s="9"/>
      <c r="E300" s="40"/>
      <c r="F300" s="40"/>
      <c r="G300" s="43"/>
      <c r="H300" s="9"/>
      <c r="I300" s="43"/>
      <c r="J300" s="40"/>
      <c r="K300" s="9"/>
      <c r="L300" s="43"/>
      <c r="M300" s="43"/>
      <c r="N300" s="40"/>
      <c r="O300" s="9"/>
      <c r="P300" s="9"/>
      <c r="Q300" s="41"/>
      <c r="R300" s="9"/>
      <c r="S300" s="40"/>
      <c r="T300" s="9"/>
      <c r="U300" s="9"/>
      <c r="V300" s="9"/>
      <c r="W300" s="9"/>
      <c r="X300" s="9"/>
      <c r="Y300" s="9"/>
      <c r="Z300" s="10" t="str">
        <f aca="false">IF(A300="","",SG_Criteria!$B$6&amp;SG_Criteria!$B$11&amp;"\"&amp;A300&amp;"\")</f>
        <v/>
      </c>
      <c r="AA300" s="10" t="str">
        <f aca="false">IF(A300="","",A300&amp;"_CAD.dwg")</f>
        <v/>
      </c>
      <c r="AB300" s="10" t="str">
        <f aca="false">IF(A300="","",A300&amp;"_DWG.pdf")</f>
        <v/>
      </c>
      <c r="AC300" s="10" t="str">
        <f aca="false">IF(A300="","",IF(Y300="Y",A300&amp;"_STAAD.std","n/a"))</f>
        <v/>
      </c>
      <c r="AD300" s="10" t="str">
        <f aca="false">IF(A300="","",A300&amp;"_CALC.xlsx")</f>
        <v/>
      </c>
      <c r="AE300" s="10" t="str">
        <f aca="false">IF(A300="","",A300&amp;"_CALC.pdf")</f>
        <v/>
      </c>
      <c r="AF300" s="9"/>
      <c r="AG300" s="9"/>
      <c r="AH300" s="41"/>
      <c r="AI300" s="41"/>
      <c r="AJ300" s="41"/>
      <c r="AK300" s="41"/>
      <c r="AL300" s="41"/>
      <c r="AM300" s="38" t="str">
        <f aca="false">IF(OR(C300="",G300=""),"",IF(G300&lt;=IF(OR(C300="Soldier Pile &amp; Timber Lagging",C300="Trench Shoring Box",C300="Open Cut (battered)"),SG_Criteria!$B$34,SG_Criteria!$B$33),"No ERSS submission",IF(G300&lt;=SG_Criteria!$B$35,"QP(ST)",IF(G300&lt;=SG_Criteria!$B$36,"QP(ST) + AC","Geotechnical building works: QP(Geo) + AC"))))</f>
        <v/>
      </c>
      <c r="AN300" s="38" t="str">
        <f aca="false">IF(C300="","",IF(LEN(IF(AND(Q300&lt;&gt;"",Q300&lt;SG_Criteria!$B$37),"FAIL: base stability FOS &lt; "&amp;SG_Criteria!$B$37&amp;". ","")&amp;IF(AND(D300="Manhole",G300&gt;SG_Criteria!$B$36),"NOTE: BCA lists sewer manholes (pipe &lt;= 2 m dia) &gt; 6 m as non-GBW: QP(ST) + AC. ","")&amp;IF(AND(C300="Trench Shoring Box",H300="Kallang Formation (marine clay)"),"NOTE: check base heave / ground loss for shoring box in marine clay. ","")&amp;IF(AND(C300="Steel Sheet Pile Cofferdam",N(M300)&lt;G300*0.5),"NOTE: short toe embedment, check. ",""))=0,"OK",IF(AND(Q300&lt;&gt;"",Q300&lt;SG_Criteria!$B$37),"FAIL: base stability FOS &lt; "&amp;SG_Criteria!$B$37&amp;". ","")&amp;IF(AND(D300="Manhole",G300&gt;SG_Criteria!$B$36),"NOTE: BCA lists sewer manholes (pipe &lt;= 2 m dia) &gt; 6 m as non-GBW: QP(ST) + AC. ","")&amp;IF(AND(C300="Trench Shoring Box",H300="Kallang Formation (marine clay)"),"NOTE: check base heave / ground loss for shoring box in marine clay. ","")&amp;IF(AND(C300="Steel Sheet Pile Cofferdam",N(M300)&lt;G300*0.5),"NOTE: short toe embedment, check. ","")))</f>
        <v/>
      </c>
      <c r="AO300" s="9"/>
      <c r="AP300" s="9"/>
      <c r="AQ300" s="9"/>
      <c r="AR300" s="9"/>
      <c r="AS300" s="9"/>
      <c r="AT300" s="31"/>
      <c r="AU300" s="10" t="str">
        <f aca="false">IF(C300="","",IF(AND(V300="Approved",ISERROR(SEARCH("FAIL",AN300))),"Y","N"))</f>
        <v/>
      </c>
      <c r="AV300" s="10" t="str">
        <f aca="false">IF(C300="","",C300&amp;"|"&amp;G300&amp;"|"&amp;E300&amp;"|"&amp;H300&amp;"|"&amp;AU300)</f>
        <v/>
      </c>
    </row>
    <row r="301" customFormat="false" ht="15" hidden="false" customHeight="false" outlineLevel="0" collapsed="false">
      <c r="A301" s="10" t="str">
        <f aca="false">IF(C301="","","ERSS-"&amp;IFERROR(VLOOKUP(C301,Lists!$AK$4:$AL$21,2,0),"??")&amp;"-"&amp;TEXT(E301,"0000")&amp;"x"&amp;TEXT(F301,"0000")&amp;"-D"&amp;TEXT(G301*1000,"0000")&amp;"-"&amp;IFERROR(VLOOKUP(H301,Lists!$Y$4:$Z$21,2,0),"??")&amp;"-"&amp;U301)</f>
        <v/>
      </c>
      <c r="B301" s="10" t="str">
        <f aca="false">IF(C301="","",C301&amp;" for "&amp;D301&amp;", "&amp;E301&amp;" x "&amp;F301&amp;" pit, "&amp;TEXT(G301,"0.0")&amp;" m deep, "&amp;H301)</f>
        <v/>
      </c>
      <c r="C301" s="9"/>
      <c r="D301" s="9"/>
      <c r="E301" s="40"/>
      <c r="F301" s="40"/>
      <c r="G301" s="43"/>
      <c r="H301" s="9"/>
      <c r="I301" s="43"/>
      <c r="J301" s="40"/>
      <c r="K301" s="9"/>
      <c r="L301" s="43"/>
      <c r="M301" s="43"/>
      <c r="N301" s="40"/>
      <c r="O301" s="9"/>
      <c r="P301" s="9"/>
      <c r="Q301" s="41"/>
      <c r="R301" s="9"/>
      <c r="S301" s="40"/>
      <c r="T301" s="9"/>
      <c r="U301" s="9"/>
      <c r="V301" s="9"/>
      <c r="W301" s="9"/>
      <c r="X301" s="9"/>
      <c r="Y301" s="9"/>
      <c r="Z301" s="10" t="str">
        <f aca="false">IF(A301="","",SG_Criteria!$B$6&amp;SG_Criteria!$B$11&amp;"\"&amp;A301&amp;"\")</f>
        <v/>
      </c>
      <c r="AA301" s="10" t="str">
        <f aca="false">IF(A301="","",A301&amp;"_CAD.dwg")</f>
        <v/>
      </c>
      <c r="AB301" s="10" t="str">
        <f aca="false">IF(A301="","",A301&amp;"_DWG.pdf")</f>
        <v/>
      </c>
      <c r="AC301" s="10" t="str">
        <f aca="false">IF(A301="","",IF(Y301="Y",A301&amp;"_STAAD.std","n/a"))</f>
        <v/>
      </c>
      <c r="AD301" s="10" t="str">
        <f aca="false">IF(A301="","",A301&amp;"_CALC.xlsx")</f>
        <v/>
      </c>
      <c r="AE301" s="10" t="str">
        <f aca="false">IF(A301="","",A301&amp;"_CALC.pdf")</f>
        <v/>
      </c>
      <c r="AF301" s="9"/>
      <c r="AG301" s="9"/>
      <c r="AH301" s="41"/>
      <c r="AI301" s="41"/>
      <c r="AJ301" s="41"/>
      <c r="AK301" s="41"/>
      <c r="AL301" s="41"/>
      <c r="AM301" s="38" t="str">
        <f aca="false">IF(OR(C301="",G301=""),"",IF(G301&lt;=IF(OR(C301="Soldier Pile &amp; Timber Lagging",C301="Trench Shoring Box",C301="Open Cut (battered)"),SG_Criteria!$B$34,SG_Criteria!$B$33),"No ERSS submission",IF(G301&lt;=SG_Criteria!$B$35,"QP(ST)",IF(G301&lt;=SG_Criteria!$B$36,"QP(ST) + AC","Geotechnical building works: QP(Geo) + AC"))))</f>
        <v/>
      </c>
      <c r="AN301" s="38" t="str">
        <f aca="false">IF(C301="","",IF(LEN(IF(AND(Q301&lt;&gt;"",Q301&lt;SG_Criteria!$B$37),"FAIL: base stability FOS &lt; "&amp;SG_Criteria!$B$37&amp;". ","")&amp;IF(AND(D301="Manhole",G301&gt;SG_Criteria!$B$36),"NOTE: BCA lists sewer manholes (pipe &lt;= 2 m dia) &gt; 6 m as non-GBW: QP(ST) + AC. ","")&amp;IF(AND(C301="Trench Shoring Box",H301="Kallang Formation (marine clay)"),"NOTE: check base heave / ground loss for shoring box in marine clay. ","")&amp;IF(AND(C301="Steel Sheet Pile Cofferdam",N(M301)&lt;G301*0.5),"NOTE: short toe embedment, check. ",""))=0,"OK",IF(AND(Q301&lt;&gt;"",Q301&lt;SG_Criteria!$B$37),"FAIL: base stability FOS &lt; "&amp;SG_Criteria!$B$37&amp;". ","")&amp;IF(AND(D301="Manhole",G301&gt;SG_Criteria!$B$36),"NOTE: BCA lists sewer manholes (pipe &lt;= 2 m dia) &gt; 6 m as non-GBW: QP(ST) + AC. ","")&amp;IF(AND(C301="Trench Shoring Box",H301="Kallang Formation (marine clay)"),"NOTE: check base heave / ground loss for shoring box in marine clay. ","")&amp;IF(AND(C301="Steel Sheet Pile Cofferdam",N(M301)&lt;G301*0.5),"NOTE: short toe embedment, check. ","")))</f>
        <v/>
      </c>
      <c r="AO301" s="9"/>
      <c r="AP301" s="9"/>
      <c r="AQ301" s="9"/>
      <c r="AR301" s="9"/>
      <c r="AS301" s="9"/>
      <c r="AT301" s="31"/>
      <c r="AU301" s="10" t="str">
        <f aca="false">IF(C301="","",IF(AND(V301="Approved",ISERROR(SEARCH("FAIL",AN301))),"Y","N"))</f>
        <v/>
      </c>
      <c r="AV301" s="10" t="str">
        <f aca="false">IF(C301="","",C301&amp;"|"&amp;G301&amp;"|"&amp;E301&amp;"|"&amp;H301&amp;"|"&amp;AU301)</f>
        <v/>
      </c>
    </row>
    <row r="302" customFormat="false" ht="15" hidden="false" customHeight="false" outlineLevel="0" collapsed="false">
      <c r="A302" s="10" t="str">
        <f aca="false">IF(C302="","","ERSS-"&amp;IFERROR(VLOOKUP(C302,Lists!$AK$4:$AL$21,2,0),"??")&amp;"-"&amp;TEXT(E302,"0000")&amp;"x"&amp;TEXT(F302,"0000")&amp;"-D"&amp;TEXT(G302*1000,"0000")&amp;"-"&amp;IFERROR(VLOOKUP(H302,Lists!$Y$4:$Z$21,2,0),"??")&amp;"-"&amp;U302)</f>
        <v/>
      </c>
      <c r="B302" s="10" t="str">
        <f aca="false">IF(C302="","",C302&amp;" for "&amp;D302&amp;", "&amp;E302&amp;" x "&amp;F302&amp;" pit, "&amp;TEXT(G302,"0.0")&amp;" m deep, "&amp;H302)</f>
        <v/>
      </c>
      <c r="C302" s="9"/>
      <c r="D302" s="9"/>
      <c r="E302" s="40"/>
      <c r="F302" s="40"/>
      <c r="G302" s="43"/>
      <c r="H302" s="9"/>
      <c r="I302" s="43"/>
      <c r="J302" s="40"/>
      <c r="K302" s="9"/>
      <c r="L302" s="43"/>
      <c r="M302" s="43"/>
      <c r="N302" s="40"/>
      <c r="O302" s="9"/>
      <c r="P302" s="9"/>
      <c r="Q302" s="41"/>
      <c r="R302" s="9"/>
      <c r="S302" s="40"/>
      <c r="T302" s="9"/>
      <c r="U302" s="9"/>
      <c r="V302" s="9"/>
      <c r="W302" s="9"/>
      <c r="X302" s="9"/>
      <c r="Y302" s="9"/>
      <c r="Z302" s="10" t="str">
        <f aca="false">IF(A302="","",SG_Criteria!$B$6&amp;SG_Criteria!$B$11&amp;"\"&amp;A302&amp;"\")</f>
        <v/>
      </c>
      <c r="AA302" s="10" t="str">
        <f aca="false">IF(A302="","",A302&amp;"_CAD.dwg")</f>
        <v/>
      </c>
      <c r="AB302" s="10" t="str">
        <f aca="false">IF(A302="","",A302&amp;"_DWG.pdf")</f>
        <v/>
      </c>
      <c r="AC302" s="10" t="str">
        <f aca="false">IF(A302="","",IF(Y302="Y",A302&amp;"_STAAD.std","n/a"))</f>
        <v/>
      </c>
      <c r="AD302" s="10" t="str">
        <f aca="false">IF(A302="","",A302&amp;"_CALC.xlsx")</f>
        <v/>
      </c>
      <c r="AE302" s="10" t="str">
        <f aca="false">IF(A302="","",A302&amp;"_CALC.pdf")</f>
        <v/>
      </c>
      <c r="AF302" s="9"/>
      <c r="AG302" s="9"/>
      <c r="AH302" s="41"/>
      <c r="AI302" s="41"/>
      <c r="AJ302" s="41"/>
      <c r="AK302" s="41"/>
      <c r="AL302" s="41"/>
      <c r="AM302" s="38" t="str">
        <f aca="false">IF(OR(C302="",G302=""),"",IF(G302&lt;=IF(OR(C302="Soldier Pile &amp; Timber Lagging",C302="Trench Shoring Box",C302="Open Cut (battered)"),SG_Criteria!$B$34,SG_Criteria!$B$33),"No ERSS submission",IF(G302&lt;=SG_Criteria!$B$35,"QP(ST)",IF(G302&lt;=SG_Criteria!$B$36,"QP(ST) + AC","Geotechnical building works: QP(Geo) + AC"))))</f>
        <v/>
      </c>
      <c r="AN302" s="38" t="str">
        <f aca="false">IF(C302="","",IF(LEN(IF(AND(Q302&lt;&gt;"",Q302&lt;SG_Criteria!$B$37),"FAIL: base stability FOS &lt; "&amp;SG_Criteria!$B$37&amp;". ","")&amp;IF(AND(D302="Manhole",G302&gt;SG_Criteria!$B$36),"NOTE: BCA lists sewer manholes (pipe &lt;= 2 m dia) &gt; 6 m as non-GBW: QP(ST) + AC. ","")&amp;IF(AND(C302="Trench Shoring Box",H302="Kallang Formation (marine clay)"),"NOTE: check base heave / ground loss for shoring box in marine clay. ","")&amp;IF(AND(C302="Steel Sheet Pile Cofferdam",N(M302)&lt;G302*0.5),"NOTE: short toe embedment, check. ",""))=0,"OK",IF(AND(Q302&lt;&gt;"",Q302&lt;SG_Criteria!$B$37),"FAIL: base stability FOS &lt; "&amp;SG_Criteria!$B$37&amp;". ","")&amp;IF(AND(D302="Manhole",G302&gt;SG_Criteria!$B$36),"NOTE: BCA lists sewer manholes (pipe &lt;= 2 m dia) &gt; 6 m as non-GBW: QP(ST) + AC. ","")&amp;IF(AND(C302="Trench Shoring Box",H302="Kallang Formation (marine clay)"),"NOTE: check base heave / ground loss for shoring box in marine clay. ","")&amp;IF(AND(C302="Steel Sheet Pile Cofferdam",N(M302)&lt;G302*0.5),"NOTE: short toe embedment, check. ","")))</f>
        <v/>
      </c>
      <c r="AO302" s="9"/>
      <c r="AP302" s="9"/>
      <c r="AQ302" s="9"/>
      <c r="AR302" s="9"/>
      <c r="AS302" s="9"/>
      <c r="AT302" s="31"/>
      <c r="AU302" s="10" t="str">
        <f aca="false">IF(C302="","",IF(AND(V302="Approved",ISERROR(SEARCH("FAIL",AN302))),"Y","N"))</f>
        <v/>
      </c>
      <c r="AV302" s="10" t="str">
        <f aca="false">IF(C302="","",C302&amp;"|"&amp;G302&amp;"|"&amp;E302&amp;"|"&amp;H302&amp;"|"&amp;AU302)</f>
        <v/>
      </c>
    </row>
    <row r="303" customFormat="false" ht="15" hidden="false" customHeight="false" outlineLevel="0" collapsed="false">
      <c r="A303" s="10" t="str">
        <f aca="false">IF(C303="","","ERSS-"&amp;IFERROR(VLOOKUP(C303,Lists!$AK$4:$AL$21,2,0),"??")&amp;"-"&amp;TEXT(E303,"0000")&amp;"x"&amp;TEXT(F303,"0000")&amp;"-D"&amp;TEXT(G303*1000,"0000")&amp;"-"&amp;IFERROR(VLOOKUP(H303,Lists!$Y$4:$Z$21,2,0),"??")&amp;"-"&amp;U303)</f>
        <v/>
      </c>
      <c r="B303" s="10" t="str">
        <f aca="false">IF(C303="","",C303&amp;" for "&amp;D303&amp;", "&amp;E303&amp;" x "&amp;F303&amp;" pit, "&amp;TEXT(G303,"0.0")&amp;" m deep, "&amp;H303)</f>
        <v/>
      </c>
      <c r="C303" s="9"/>
      <c r="D303" s="9"/>
      <c r="E303" s="40"/>
      <c r="F303" s="40"/>
      <c r="G303" s="43"/>
      <c r="H303" s="9"/>
      <c r="I303" s="43"/>
      <c r="J303" s="40"/>
      <c r="K303" s="9"/>
      <c r="L303" s="43"/>
      <c r="M303" s="43"/>
      <c r="N303" s="40"/>
      <c r="O303" s="9"/>
      <c r="P303" s="9"/>
      <c r="Q303" s="41"/>
      <c r="R303" s="9"/>
      <c r="S303" s="40"/>
      <c r="T303" s="9"/>
      <c r="U303" s="9"/>
      <c r="V303" s="9"/>
      <c r="W303" s="9"/>
      <c r="X303" s="9"/>
      <c r="Y303" s="9"/>
      <c r="Z303" s="10" t="str">
        <f aca="false">IF(A303="","",SG_Criteria!$B$6&amp;SG_Criteria!$B$11&amp;"\"&amp;A303&amp;"\")</f>
        <v/>
      </c>
      <c r="AA303" s="10" t="str">
        <f aca="false">IF(A303="","",A303&amp;"_CAD.dwg")</f>
        <v/>
      </c>
      <c r="AB303" s="10" t="str">
        <f aca="false">IF(A303="","",A303&amp;"_DWG.pdf")</f>
        <v/>
      </c>
      <c r="AC303" s="10" t="str">
        <f aca="false">IF(A303="","",IF(Y303="Y",A303&amp;"_STAAD.std","n/a"))</f>
        <v/>
      </c>
      <c r="AD303" s="10" t="str">
        <f aca="false">IF(A303="","",A303&amp;"_CALC.xlsx")</f>
        <v/>
      </c>
      <c r="AE303" s="10" t="str">
        <f aca="false">IF(A303="","",A303&amp;"_CALC.pdf")</f>
        <v/>
      </c>
      <c r="AF303" s="9"/>
      <c r="AG303" s="9"/>
      <c r="AH303" s="41"/>
      <c r="AI303" s="41"/>
      <c r="AJ303" s="41"/>
      <c r="AK303" s="41"/>
      <c r="AL303" s="41"/>
      <c r="AM303" s="38" t="str">
        <f aca="false">IF(OR(C303="",G303=""),"",IF(G303&lt;=IF(OR(C303="Soldier Pile &amp; Timber Lagging",C303="Trench Shoring Box",C303="Open Cut (battered)"),SG_Criteria!$B$34,SG_Criteria!$B$33),"No ERSS submission",IF(G303&lt;=SG_Criteria!$B$35,"QP(ST)",IF(G303&lt;=SG_Criteria!$B$36,"QP(ST) + AC","Geotechnical building works: QP(Geo) + AC"))))</f>
        <v/>
      </c>
      <c r="AN303" s="38" t="str">
        <f aca="false">IF(C303="","",IF(LEN(IF(AND(Q303&lt;&gt;"",Q303&lt;SG_Criteria!$B$37),"FAIL: base stability FOS &lt; "&amp;SG_Criteria!$B$37&amp;". ","")&amp;IF(AND(D303="Manhole",G303&gt;SG_Criteria!$B$36),"NOTE: BCA lists sewer manholes (pipe &lt;= 2 m dia) &gt; 6 m as non-GBW: QP(ST) + AC. ","")&amp;IF(AND(C303="Trench Shoring Box",H303="Kallang Formation (marine clay)"),"NOTE: check base heave / ground loss for shoring box in marine clay. ","")&amp;IF(AND(C303="Steel Sheet Pile Cofferdam",N(M303)&lt;G303*0.5),"NOTE: short toe embedment, check. ",""))=0,"OK",IF(AND(Q303&lt;&gt;"",Q303&lt;SG_Criteria!$B$37),"FAIL: base stability FOS &lt; "&amp;SG_Criteria!$B$37&amp;". ","")&amp;IF(AND(D303="Manhole",G303&gt;SG_Criteria!$B$36),"NOTE: BCA lists sewer manholes (pipe &lt;= 2 m dia) &gt; 6 m as non-GBW: QP(ST) + AC. ","")&amp;IF(AND(C303="Trench Shoring Box",H303="Kallang Formation (marine clay)"),"NOTE: check base heave / ground loss for shoring box in marine clay. ","")&amp;IF(AND(C303="Steel Sheet Pile Cofferdam",N(M303)&lt;G303*0.5),"NOTE: short toe embedment, check. ","")))</f>
        <v/>
      </c>
      <c r="AO303" s="9"/>
      <c r="AP303" s="9"/>
      <c r="AQ303" s="9"/>
      <c r="AR303" s="9"/>
      <c r="AS303" s="9"/>
      <c r="AT303" s="31"/>
      <c r="AU303" s="10" t="str">
        <f aca="false">IF(C303="","",IF(AND(V303="Approved",ISERROR(SEARCH("FAIL",AN303))),"Y","N"))</f>
        <v/>
      </c>
      <c r="AV303" s="10" t="str">
        <f aca="false">IF(C303="","",C303&amp;"|"&amp;G303&amp;"|"&amp;E303&amp;"|"&amp;H303&amp;"|"&amp;AU303)</f>
        <v/>
      </c>
    </row>
    <row r="304" customFormat="false" ht="15" hidden="false" customHeight="false" outlineLevel="0" collapsed="false">
      <c r="A304" s="10" t="str">
        <f aca="false">IF(C304="","","ERSS-"&amp;IFERROR(VLOOKUP(C304,Lists!$AK$4:$AL$21,2,0),"??")&amp;"-"&amp;TEXT(E304,"0000")&amp;"x"&amp;TEXT(F304,"0000")&amp;"-D"&amp;TEXT(G304*1000,"0000")&amp;"-"&amp;IFERROR(VLOOKUP(H304,Lists!$Y$4:$Z$21,2,0),"??")&amp;"-"&amp;U304)</f>
        <v/>
      </c>
      <c r="B304" s="10" t="str">
        <f aca="false">IF(C304="","",C304&amp;" for "&amp;D304&amp;", "&amp;E304&amp;" x "&amp;F304&amp;" pit, "&amp;TEXT(G304,"0.0")&amp;" m deep, "&amp;H304)</f>
        <v/>
      </c>
      <c r="C304" s="9"/>
      <c r="D304" s="9"/>
      <c r="E304" s="40"/>
      <c r="F304" s="40"/>
      <c r="G304" s="43"/>
      <c r="H304" s="9"/>
      <c r="I304" s="43"/>
      <c r="J304" s="40"/>
      <c r="K304" s="9"/>
      <c r="L304" s="43"/>
      <c r="M304" s="43"/>
      <c r="N304" s="40"/>
      <c r="O304" s="9"/>
      <c r="P304" s="9"/>
      <c r="Q304" s="41"/>
      <c r="R304" s="9"/>
      <c r="S304" s="40"/>
      <c r="T304" s="9"/>
      <c r="U304" s="9"/>
      <c r="V304" s="9"/>
      <c r="W304" s="9"/>
      <c r="X304" s="9"/>
      <c r="Y304" s="9"/>
      <c r="Z304" s="10" t="str">
        <f aca="false">IF(A304="","",SG_Criteria!$B$6&amp;SG_Criteria!$B$11&amp;"\"&amp;A304&amp;"\")</f>
        <v/>
      </c>
      <c r="AA304" s="10" t="str">
        <f aca="false">IF(A304="","",A304&amp;"_CAD.dwg")</f>
        <v/>
      </c>
      <c r="AB304" s="10" t="str">
        <f aca="false">IF(A304="","",A304&amp;"_DWG.pdf")</f>
        <v/>
      </c>
      <c r="AC304" s="10" t="str">
        <f aca="false">IF(A304="","",IF(Y304="Y",A304&amp;"_STAAD.std","n/a"))</f>
        <v/>
      </c>
      <c r="AD304" s="10" t="str">
        <f aca="false">IF(A304="","",A304&amp;"_CALC.xlsx")</f>
        <v/>
      </c>
      <c r="AE304" s="10" t="str">
        <f aca="false">IF(A304="","",A304&amp;"_CALC.pdf")</f>
        <v/>
      </c>
      <c r="AF304" s="9"/>
      <c r="AG304" s="9"/>
      <c r="AH304" s="41"/>
      <c r="AI304" s="41"/>
      <c r="AJ304" s="41"/>
      <c r="AK304" s="41"/>
      <c r="AL304" s="41"/>
      <c r="AM304" s="38" t="str">
        <f aca="false">IF(OR(C304="",G304=""),"",IF(G304&lt;=IF(OR(C304="Soldier Pile &amp; Timber Lagging",C304="Trench Shoring Box",C304="Open Cut (battered)"),SG_Criteria!$B$34,SG_Criteria!$B$33),"No ERSS submission",IF(G304&lt;=SG_Criteria!$B$35,"QP(ST)",IF(G304&lt;=SG_Criteria!$B$36,"QP(ST) + AC","Geotechnical building works: QP(Geo) + AC"))))</f>
        <v/>
      </c>
      <c r="AN304" s="38" t="str">
        <f aca="false">IF(C304="","",IF(LEN(IF(AND(Q304&lt;&gt;"",Q304&lt;SG_Criteria!$B$37),"FAIL: base stability FOS &lt; "&amp;SG_Criteria!$B$37&amp;". ","")&amp;IF(AND(D304="Manhole",G304&gt;SG_Criteria!$B$36),"NOTE: BCA lists sewer manholes (pipe &lt;= 2 m dia) &gt; 6 m as non-GBW: QP(ST) + AC. ","")&amp;IF(AND(C304="Trench Shoring Box",H304="Kallang Formation (marine clay)"),"NOTE: check base heave / ground loss for shoring box in marine clay. ","")&amp;IF(AND(C304="Steel Sheet Pile Cofferdam",N(M304)&lt;G304*0.5),"NOTE: short toe embedment, check. ",""))=0,"OK",IF(AND(Q304&lt;&gt;"",Q304&lt;SG_Criteria!$B$37),"FAIL: base stability FOS &lt; "&amp;SG_Criteria!$B$37&amp;". ","")&amp;IF(AND(D304="Manhole",G304&gt;SG_Criteria!$B$36),"NOTE: BCA lists sewer manholes (pipe &lt;= 2 m dia) &gt; 6 m as non-GBW: QP(ST) + AC. ","")&amp;IF(AND(C304="Trench Shoring Box",H304="Kallang Formation (marine clay)"),"NOTE: check base heave / ground loss for shoring box in marine clay. ","")&amp;IF(AND(C304="Steel Sheet Pile Cofferdam",N(M304)&lt;G304*0.5),"NOTE: short toe embedment, check. ","")))</f>
        <v/>
      </c>
      <c r="AO304" s="9"/>
      <c r="AP304" s="9"/>
      <c r="AQ304" s="9"/>
      <c r="AR304" s="9"/>
      <c r="AS304" s="9"/>
      <c r="AT304" s="31"/>
      <c r="AU304" s="10" t="str">
        <f aca="false">IF(C304="","",IF(AND(V304="Approved",ISERROR(SEARCH("FAIL",AN304))),"Y","N"))</f>
        <v/>
      </c>
      <c r="AV304" s="10" t="str">
        <f aca="false">IF(C304="","",C304&amp;"|"&amp;G304&amp;"|"&amp;E304&amp;"|"&amp;H304&amp;"|"&amp;AU304)</f>
        <v/>
      </c>
    </row>
  </sheetData>
  <conditionalFormatting sqref="AN5:AN304">
    <cfRule type="expression" priority="2" aboveAverage="0" equalAverage="0" bottom="0" percent="0" rank="0" text="" dxfId="0">
      <formula>ISNUMBER(SEARCH("FAIL",AN5))</formula>
    </cfRule>
    <cfRule type="expression" priority="3" aboveAverage="0" equalAverage="0" bottom="0" percent="0" rank="0" text="" dxfId="15">
      <formula>ISNUMBER(SEARCH("NOTE",AN5))</formula>
    </cfRule>
    <cfRule type="expression" priority="4" aboveAverage="0" equalAverage="0" bottom="0" percent="0" rank="0" text="" dxfId="1">
      <formula>AN5="OK"</formula>
    </cfRule>
  </conditionalFormatting>
  <conditionalFormatting sqref="AM5:AM304">
    <cfRule type="expression" priority="5" aboveAverage="0" equalAverage="0" bottom="0" percent="0" rank="0" text="" dxfId="0">
      <formula>ISNUMBER(SEARCH("FAIL",AM5))</formula>
    </cfRule>
    <cfRule type="expression" priority="6" aboveAverage="0" equalAverage="0" bottom="0" percent="0" rank="0" text="" dxfId="15">
      <formula>ISNUMBER(SEARCH("NOTE",AM5))</formula>
    </cfRule>
    <cfRule type="expression" priority="7" aboveAverage="0" equalAverage="0" bottom="0" percent="0" rank="0" text="" dxfId="1">
      <formula>AM5="OK"</formula>
    </cfRule>
  </conditionalFormatting>
  <dataValidations count="8">
    <dataValidation allowBlank="true" error="Pick a value from the list (add new values on the Lists sheet)." errorStyle="stop" errorTitle="Not in list" operator="between" showDropDown="false" showErrorMessage="false" showInputMessage="false" sqref="C5:C304" type="list">
      <formula1>Lists!$AK$4:$AK$21</formula1>
      <formula2>0</formula2>
    </dataValidation>
    <dataValidation allowBlank="true" error="Pick a value from the list (add new values on the Lists sheet)." errorStyle="stop" errorTitle="Not in list" operator="between" showDropDown="false" showErrorMessage="false" showInputMessage="false" sqref="D5:D304" type="list">
      <formula1>Lists!$AN$4:$AN$20</formula1>
      <formula2>0</formula2>
    </dataValidation>
    <dataValidation allowBlank="true" error="Pick a value from the list (add new values on the Lists sheet)." errorStyle="stop" errorTitle="Not in list" operator="between" showDropDown="false" showErrorMessage="false" showInputMessage="false" sqref="H5:H304" type="list">
      <formula1>Lists!$Y$4:$Y$21</formula1>
      <formula2>0</formula2>
    </dataValidation>
    <dataValidation allowBlank="true" error="Pick a value from the list (add new values on the Lists sheet)." errorStyle="stop" errorTitle="Not in list" operator="between" showDropDown="false" showErrorMessage="false" showInputMessage="false" sqref="V5:V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X5:X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Y5:Y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F5:AF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G5:AG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W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54"/>
    <col collapsed="false" customWidth="true" hidden="false" outlineLevel="0" max="3" min="3" style="0" width="24"/>
    <col collapsed="false" customWidth="true" hidden="false" outlineLevel="0" max="4" min="4" style="0" width="20"/>
    <col collapsed="false" customWidth="true" hidden="false" outlineLevel="0" max="7" min="5" style="0" width="8"/>
    <col collapsed="false" customWidth="true" hidden="false" outlineLevel="0" max="8" min="8" style="0" width="18"/>
    <col collapsed="false" customWidth="true" hidden="false" outlineLevel="0" max="9" min="9" style="0" width="14"/>
    <col collapsed="false" customWidth="true" hidden="false" outlineLevel="0" max="10" min="10" style="0" width="16"/>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14"/>
    <col collapsed="false" customWidth="true" hidden="false" outlineLevel="0" max="15" min="15" style="0" width="12"/>
    <col collapsed="false" customWidth="true" hidden="false" outlineLevel="0" max="17" min="16" style="0" width="7"/>
    <col collapsed="false" customWidth="true" hidden="false" outlineLevel="0" max="19" min="18" style="0" width="8"/>
    <col collapsed="false" customWidth="true" hidden="false" outlineLevel="0" max="20" min="20" style="0" width="12"/>
    <col collapsed="false" customWidth="true" hidden="false" outlineLevel="0" max="21" min="21" style="0" width="8"/>
    <col collapsed="false" customWidth="true" hidden="false" outlineLevel="0" max="22" min="22" style="0" width="30"/>
    <col collapsed="false" customWidth="true" hidden="false" outlineLevel="0" max="23" min="23" style="0" width="5"/>
    <col collapsed="false" customWidth="true" hidden="false" outlineLevel="0" max="24" min="24" style="0" width="10"/>
    <col collapsed="false" customWidth="true" hidden="false" outlineLevel="0" max="25" min="25" style="0" width="14"/>
    <col collapsed="false" customWidth="true" hidden="false" outlineLevel="0" max="26" min="26" style="0" width="8"/>
    <col collapsed="false" customWidth="true" hidden="false" outlineLevel="0" max="27" min="27" style="0" width="9"/>
    <col collapsed="false" customWidth="true" hidden="false" outlineLevel="0" max="28" min="28" style="0" width="46"/>
    <col collapsed="false" customWidth="true" hidden="false" outlineLevel="0" max="33" min="29" style="0" width="30"/>
    <col collapsed="false" customWidth="true" hidden="false" outlineLevel="0" max="34" min="34" style="0" width="9"/>
    <col collapsed="false" customWidth="true" hidden="false" outlineLevel="0" max="35" min="35" style="0" width="6"/>
    <col collapsed="false" customWidth="true" hidden="false" outlineLevel="0" max="40" min="36" style="0" width="9"/>
    <col collapsed="false" customWidth="true" hidden="false" outlineLevel="0" max="41" min="41" style="0" width="44"/>
    <col collapsed="false" customWidth="true" hidden="false" outlineLevel="0" max="42" min="42" style="0" width="36"/>
    <col collapsed="false" customWidth="true" hidden="false" outlineLevel="0" max="43" min="43" style="0" width="22"/>
    <col collapsed="false" customWidth="true" hidden="false" outlineLevel="0" max="45" min="44" style="0" width="10"/>
    <col collapsed="false" customWidth="true" hidden="false" outlineLevel="0" max="47" min="46" style="0" width="11"/>
    <col collapsed="false" customWidth="true" hidden="false" outlineLevel="0" max="48" min="48" style="0" width="8"/>
    <col collapsed="false" customWidth="true" hidden="false" outlineLevel="0" max="49" min="49" style="0" width="34"/>
  </cols>
  <sheetData>
    <row r="1" customFormat="false" ht="17.35" hidden="false" customHeight="false" outlineLevel="0" collapsed="false">
      <c r="A1" s="5" t="s">
        <v>829</v>
      </c>
    </row>
    <row r="2" customFormat="false" ht="15" hidden="false" customHeight="false" outlineLevel="0" collapsed="false">
      <c r="A2" s="6" t="s">
        <v>830</v>
      </c>
    </row>
    <row r="3" customFormat="false" ht="15" hidden="false" customHeight="false" outlineLevel="0" collapsed="false">
      <c r="A3" s="6" t="s">
        <v>581</v>
      </c>
    </row>
    <row r="4" customFormat="false" ht="54" hidden="false" customHeight="true" outlineLevel="0" collapsed="false">
      <c r="A4" s="16" t="s">
        <v>92</v>
      </c>
      <c r="B4" s="16" t="s">
        <v>93</v>
      </c>
      <c r="C4" s="15" t="s">
        <v>831</v>
      </c>
      <c r="D4" s="15" t="s">
        <v>832</v>
      </c>
      <c r="E4" s="15" t="s">
        <v>833</v>
      </c>
      <c r="F4" s="15" t="s">
        <v>834</v>
      </c>
      <c r="G4" s="15" t="s">
        <v>835</v>
      </c>
      <c r="H4" s="15" t="s">
        <v>836</v>
      </c>
      <c r="I4" s="15" t="s">
        <v>837</v>
      </c>
      <c r="J4" s="15" t="s">
        <v>838</v>
      </c>
      <c r="K4" s="15" t="s">
        <v>839</v>
      </c>
      <c r="L4" s="15" t="s">
        <v>840</v>
      </c>
      <c r="M4" s="15" t="s">
        <v>841</v>
      </c>
      <c r="N4" s="15" t="s">
        <v>842</v>
      </c>
      <c r="O4" s="15" t="s">
        <v>843</v>
      </c>
      <c r="P4" s="15" t="s">
        <v>844</v>
      </c>
      <c r="Q4" s="15" t="s">
        <v>845</v>
      </c>
      <c r="R4" s="15" t="s">
        <v>591</v>
      </c>
      <c r="S4" s="15" t="s">
        <v>846</v>
      </c>
      <c r="T4" s="15" t="s">
        <v>847</v>
      </c>
      <c r="U4" s="15" t="s">
        <v>848</v>
      </c>
      <c r="V4" s="15" t="s">
        <v>597</v>
      </c>
      <c r="W4" s="15" t="s">
        <v>121</v>
      </c>
      <c r="X4" s="15" t="s">
        <v>122</v>
      </c>
      <c r="Y4" s="15" t="s">
        <v>123</v>
      </c>
      <c r="Z4" s="15" t="s">
        <v>598</v>
      </c>
      <c r="AA4" s="15" t="s">
        <v>599</v>
      </c>
      <c r="AB4" s="34" t="s">
        <v>600</v>
      </c>
      <c r="AC4" s="34" t="s">
        <v>601</v>
      </c>
      <c r="AD4" s="34" t="s">
        <v>602</v>
      </c>
      <c r="AE4" s="34" t="s">
        <v>603</v>
      </c>
      <c r="AF4" s="34" t="s">
        <v>604</v>
      </c>
      <c r="AG4" s="34" t="s">
        <v>605</v>
      </c>
      <c r="AH4" s="15" t="s">
        <v>606</v>
      </c>
      <c r="AI4" s="15" t="s">
        <v>607</v>
      </c>
      <c r="AJ4" s="17" t="s">
        <v>608</v>
      </c>
      <c r="AK4" s="17" t="s">
        <v>609</v>
      </c>
      <c r="AL4" s="17" t="s">
        <v>610</v>
      </c>
      <c r="AM4" s="17" t="s">
        <v>611</v>
      </c>
      <c r="AN4" s="17" t="s">
        <v>612</v>
      </c>
      <c r="AO4" s="16" t="s">
        <v>615</v>
      </c>
      <c r="AP4" s="15" t="s">
        <v>616</v>
      </c>
      <c r="AQ4" s="15" t="s">
        <v>617</v>
      </c>
      <c r="AR4" s="15" t="s">
        <v>618</v>
      </c>
      <c r="AS4" s="15" t="s">
        <v>619</v>
      </c>
      <c r="AT4" s="15" t="s">
        <v>620</v>
      </c>
      <c r="AU4" s="15" t="s">
        <v>621</v>
      </c>
      <c r="AV4" s="16" t="s">
        <v>622</v>
      </c>
      <c r="AW4" s="16" t="s">
        <v>623</v>
      </c>
    </row>
    <row r="5" customFormat="false" ht="15" hidden="false" customHeight="false" outlineLevel="0" collapsed="false">
      <c r="A5" s="10" t="str">
        <f aca="false">IF(C5="","","LKW-"&amp;IFERROR(VLOOKUP(C5,Lists!$AQ$4:$AR$17,2,0),"??")&amp;"-W"&amp;TEXT(E5*1000,"0000")&amp;"-H"&amp;TEXT(F5*1000,"0000")&amp;"-B"&amp;TEXT(G5*1000,"0000")&amp;"-"&amp;W5)</f>
        <v>LKW-LCL-W2400-H2400-B6000-A</v>
      </c>
      <c r="B5" s="10" t="str">
        <f aca="false">IF(C5="","",C5&amp;", "&amp;E5&amp;" m wide, "&amp;F5&amp;" m headroom, "&amp;G5&amp;" m bays, "&amp;H5&amp;" ("&amp;D5&amp;")")</f>
        <v>Low Covered Linkway, 2.4 m wide, 2.4 m headroom, 6 m bays, Single column, central (LTA/SDRE25/22/CLW1)</v>
      </c>
      <c r="C5" s="18" t="s">
        <v>240</v>
      </c>
      <c r="D5" s="18" t="s">
        <v>464</v>
      </c>
      <c r="E5" s="42" t="n">
        <v>2.4</v>
      </c>
      <c r="F5" s="42" t="n">
        <v>2.4</v>
      </c>
      <c r="G5" s="42" t="n">
        <v>6</v>
      </c>
      <c r="H5" s="18" t="s">
        <v>465</v>
      </c>
      <c r="I5" s="18" t="s">
        <v>849</v>
      </c>
      <c r="J5" s="18" t="s">
        <v>466</v>
      </c>
      <c r="K5" s="18" t="s">
        <v>850</v>
      </c>
      <c r="L5" s="18" t="s">
        <v>851</v>
      </c>
      <c r="M5" s="18" t="s">
        <v>852</v>
      </c>
      <c r="N5" s="18" t="s">
        <v>853</v>
      </c>
      <c r="O5" s="18" t="s">
        <v>854</v>
      </c>
      <c r="P5" s="35" t="n">
        <v>22</v>
      </c>
      <c r="Q5" s="42" t="n">
        <v>4</v>
      </c>
      <c r="R5" s="18" t="s">
        <v>470</v>
      </c>
      <c r="S5" s="18" t="s">
        <v>467</v>
      </c>
      <c r="T5" s="18" t="s">
        <v>855</v>
      </c>
      <c r="U5" s="42" t="n">
        <v>15.6</v>
      </c>
      <c r="V5" s="18" t="s">
        <v>856</v>
      </c>
      <c r="W5" s="18" t="s">
        <v>628</v>
      </c>
      <c r="X5" s="18" t="s">
        <v>244</v>
      </c>
      <c r="Y5" s="18" t="s">
        <v>857</v>
      </c>
      <c r="Z5" s="18" t="n">
        <v>50</v>
      </c>
      <c r="AA5" s="18" t="s">
        <v>467</v>
      </c>
      <c r="AB5" s="10" t="str">
        <f aca="false">IF(A5="","",SG_Criteria!$B$6&amp;SG_Criteria!$B$12&amp;"\"&amp;A5&amp;"\")</f>
        <v>C:\Users\yourname\YourCompany\Design Library - Documents\06_Linkway\LKW-LCL-W2400-H2400-B6000-A\</v>
      </c>
      <c r="AC5" s="10" t="str">
        <f aca="false">IF(A5="","",A5&amp;"_CAD.dwg")</f>
        <v>LKW-LCL-W2400-H2400-B6000-A_CAD.dwg</v>
      </c>
      <c r="AD5" s="10" t="str">
        <f aca="false">IF(A5="","",A5&amp;"_DWG.pdf")</f>
        <v>LKW-LCL-W2400-H2400-B6000-A_DWG.pdf</v>
      </c>
      <c r="AE5" s="10" t="str">
        <f aca="false">IF(A5="","",IF(AA5="Y",A5&amp;"_STAAD.std","n/a"))</f>
        <v>LKW-LCL-W2400-H2400-B6000-A_STAAD.std</v>
      </c>
      <c r="AF5" s="10" t="str">
        <f aca="false">IF(A5="","",A5&amp;"_CALC.xlsx")</f>
        <v>LKW-LCL-W2400-H2400-B6000-A_CALC.xlsx</v>
      </c>
      <c r="AG5" s="10" t="str">
        <f aca="false">IF(A5="","",A5&amp;"_CALC.pdf")</f>
        <v>LKW-LCL-W2400-H2400-B6000-A_CALC.pdf</v>
      </c>
      <c r="AH5" s="18" t="s">
        <v>74</v>
      </c>
      <c r="AI5" s="18" t="s">
        <v>513</v>
      </c>
      <c r="AJ5" s="36" t="n">
        <v>1</v>
      </c>
      <c r="AK5" s="36" t="n">
        <v>45</v>
      </c>
      <c r="AL5" s="36" t="n">
        <v>380</v>
      </c>
      <c r="AM5" s="36" t="n">
        <v>2.9</v>
      </c>
      <c r="AN5" s="36" t="n">
        <v>1.4</v>
      </c>
      <c r="AO5" s="38" t="str">
        <f aca="false">IF(C5="","",IF(LEN(IF(AND(C5&lt;&gt;"High Covered Linkway",F5&lt;SG_Criteria!$B$46),"FAIL: headroom below "&amp;SG_Criteria!$B$46&amp;" m. ","")&amp;IF(AND(C5="High Covered Linkway",F5&lt;SG_Criteria!$B$47),"FAIL: high linkway headroom below "&amp;SG_Criteria!$B$47&amp;" m. ","")&amp;IF(E5&lt;SG_Criteria!$B$48,"FAIL: roof width below "&amp;SG_Criteria!$B$48&amp;" m. ",IF(E5&lt;SG_Criteria!$B$49,"NOTE: not for MRT/LRT or high-traffic routes (min "&amp;SG_Criteria!$B$49&amp;" m). ",""))&amp;IF(AND(P5&lt;&gt;"",P5&lt;SG_Criteria!$B$50),"FAIL: wind speed below "&amp;SG_Criteria!$B$50&amp;" m/s. ","")&amp;IF(AND(Q5&lt;&gt;"",Q5&lt;SG_Criteria!$B$51),"FAIL: roof fixing pull-out below "&amp;SG_Criteria!$B$51&amp;" kN. ","")&amp;IF(AND(R5&lt;&gt;"",IFERROR(VALUE(MID(R5,2,2)),0)&lt;SG_Criteria!$B$52),"FAIL: grade below C"&amp;SG_Criteria!$B$52&amp;". ","")&amp;IF(D5="Non-standard (project design)","NOTE: not an SDRE standard, needs LTA acceptance. ",""))=0,"OK",IF(AND(C5&lt;&gt;"High Covered Linkway",F5&lt;SG_Criteria!$B$46),"FAIL: headroom below "&amp;SG_Criteria!$B$46&amp;" m. ","")&amp;IF(AND(C5="High Covered Linkway",F5&lt;SG_Criteria!$B$47),"FAIL: high linkway headroom below "&amp;SG_Criteria!$B$47&amp;" m. ","")&amp;IF(E5&lt;SG_Criteria!$B$48,"FAIL: roof width below "&amp;SG_Criteria!$B$48&amp;" m. ",IF(E5&lt;SG_Criteria!$B$49,"NOTE: not for MRT/LRT or high-traffic routes (min "&amp;SG_Criteria!$B$49&amp;" m). ",""))&amp;IF(AND(P5&lt;&gt;"",P5&lt;SG_Criteria!$B$50),"FAIL: wind speed below "&amp;SG_Criteria!$B$50&amp;" m/s. ","")&amp;IF(AND(Q5&lt;&gt;"",Q5&lt;SG_Criteria!$B$51),"FAIL: roof fixing pull-out below "&amp;SG_Criteria!$B$51&amp;" kN. ","")&amp;IF(AND(R5&lt;&gt;"",IFERROR(VALUE(MID(R5,2,2)),0)&lt;SG_Criteria!$B$52),"FAIL: grade below C"&amp;SG_Criteria!$B$52&amp;". ","")&amp;IF(D5="Non-standard (project design)","NOTE: not an SDRE standard, needs LTA acceptance. ","")))</f>
        <v>NOTE: not for MRT/LRT or high-traffic routes (min 3.6 m). </v>
      </c>
      <c r="AP5" s="18" t="s">
        <v>858</v>
      </c>
      <c r="AQ5" s="18"/>
      <c r="AR5" s="18" t="s">
        <v>631</v>
      </c>
      <c r="AS5" s="18" t="s">
        <v>631</v>
      </c>
      <c r="AT5" s="18" t="s">
        <v>631</v>
      </c>
      <c r="AU5" s="39" t="n">
        <v>46309</v>
      </c>
      <c r="AV5" s="10" t="str">
        <f aca="false">IF(C5="","",IF(AND(X5="Approved",ISERROR(SEARCH("FAIL",AO5))),"Y","N"))</f>
        <v>Y</v>
      </c>
      <c r="AW5" s="10" t="str">
        <f aca="false">IF(C5="","",C5&amp;"|"&amp;E5&amp;"|"&amp;F5&amp;"|"&amp;AV5)</f>
        <v>Low Covered Linkway|2.4|2.4|Y</v>
      </c>
    </row>
    <row r="6" customFormat="false" ht="15" hidden="false" customHeight="false" outlineLevel="0" collapsed="false">
      <c r="A6" s="10" t="str">
        <f aca="false">IF(C6="","","LKW-"&amp;IFERROR(VLOOKUP(C6,Lists!$AQ$4:$AR$17,2,0),"??")&amp;"-W"&amp;TEXT(E6*1000,"0000")&amp;"-H"&amp;TEXT(F6*1000,"0000")&amp;"-B"&amp;TEXT(G6*1000,"0000")&amp;"-"&amp;W6)</f>
        <v>LKW-LCL-W3600-H2400-B6000-A</v>
      </c>
      <c r="B6" s="10" t="str">
        <f aca="false">IF(C6="","",C6&amp;", "&amp;E6&amp;" m wide, "&amp;F6&amp;" m headroom, "&amp;G6&amp;" m bays, "&amp;H6&amp;" ("&amp;D6&amp;")")</f>
        <v>Low Covered Linkway, 3.6 m wide, 2.4 m headroom, 6 m bays, Double column (LTA/SDRE25/22/CLW1)</v>
      </c>
      <c r="C6" s="18" t="s">
        <v>240</v>
      </c>
      <c r="D6" s="18" t="s">
        <v>464</v>
      </c>
      <c r="E6" s="42" t="n">
        <v>3.6</v>
      </c>
      <c r="F6" s="42" t="n">
        <v>2.4</v>
      </c>
      <c r="G6" s="42" t="n">
        <v>6</v>
      </c>
      <c r="H6" s="18" t="s">
        <v>510</v>
      </c>
      <c r="I6" s="18" t="s">
        <v>859</v>
      </c>
      <c r="J6" s="18" t="s">
        <v>528</v>
      </c>
      <c r="K6" s="18" t="s">
        <v>850</v>
      </c>
      <c r="L6" s="18" t="s">
        <v>851</v>
      </c>
      <c r="M6" s="18" t="s">
        <v>852</v>
      </c>
      <c r="N6" s="18" t="s">
        <v>860</v>
      </c>
      <c r="O6" s="18" t="s">
        <v>854</v>
      </c>
      <c r="P6" s="35" t="n">
        <v>22</v>
      </c>
      <c r="Q6" s="42" t="n">
        <v>4</v>
      </c>
      <c r="R6" s="18" t="s">
        <v>470</v>
      </c>
      <c r="S6" s="18" t="s">
        <v>467</v>
      </c>
      <c r="T6" s="18" t="s">
        <v>855</v>
      </c>
      <c r="U6" s="42" t="n">
        <v>23</v>
      </c>
      <c r="V6" s="18" t="s">
        <v>856</v>
      </c>
      <c r="W6" s="18" t="s">
        <v>628</v>
      </c>
      <c r="X6" s="18" t="s">
        <v>244</v>
      </c>
      <c r="Y6" s="18" t="s">
        <v>861</v>
      </c>
      <c r="Z6" s="18" t="n">
        <v>50</v>
      </c>
      <c r="AA6" s="18" t="s">
        <v>467</v>
      </c>
      <c r="AB6" s="10" t="str">
        <f aca="false">IF(A6="","",SG_Criteria!$B$6&amp;SG_Criteria!$B$12&amp;"\"&amp;A6&amp;"\")</f>
        <v>C:\Users\yourname\YourCompany\Design Library - Documents\06_Linkway\LKW-LCL-W3600-H2400-B6000-A\</v>
      </c>
      <c r="AC6" s="10" t="str">
        <f aca="false">IF(A6="","",A6&amp;"_CAD.dwg")</f>
        <v>LKW-LCL-W3600-H2400-B6000-A_CAD.dwg</v>
      </c>
      <c r="AD6" s="10" t="str">
        <f aca="false">IF(A6="","",A6&amp;"_DWG.pdf")</f>
        <v>LKW-LCL-W3600-H2400-B6000-A_DWG.pdf</v>
      </c>
      <c r="AE6" s="10" t="str">
        <f aca="false">IF(A6="","",IF(AA6="Y",A6&amp;"_STAAD.std","n/a"))</f>
        <v>LKW-LCL-W3600-H2400-B6000-A_STAAD.std</v>
      </c>
      <c r="AF6" s="10" t="str">
        <f aca="false">IF(A6="","",A6&amp;"_CALC.xlsx")</f>
        <v>LKW-LCL-W3600-H2400-B6000-A_CALC.xlsx</v>
      </c>
      <c r="AG6" s="10" t="str">
        <f aca="false">IF(A6="","",A6&amp;"_CALC.pdf")</f>
        <v>LKW-LCL-W3600-H2400-B6000-A_CALC.pdf</v>
      </c>
      <c r="AH6" s="18" t="s">
        <v>74</v>
      </c>
      <c r="AI6" s="18" t="s">
        <v>513</v>
      </c>
      <c r="AJ6" s="36" t="n">
        <v>1.4</v>
      </c>
      <c r="AK6" s="36" t="n">
        <v>60</v>
      </c>
      <c r="AL6" s="36" t="n">
        <v>520</v>
      </c>
      <c r="AM6" s="36" t="n">
        <v>4</v>
      </c>
      <c r="AN6" s="36" t="n">
        <v>2</v>
      </c>
      <c r="AO6" s="38" t="str">
        <f aca="false">IF(C6="","",IF(LEN(IF(AND(C6&lt;&gt;"High Covered Linkway",F6&lt;SG_Criteria!$B$46),"FAIL: headroom below "&amp;SG_Criteria!$B$46&amp;" m. ","")&amp;IF(AND(C6="High Covered Linkway",F6&lt;SG_Criteria!$B$47),"FAIL: high linkway headroom below "&amp;SG_Criteria!$B$47&amp;" m. ","")&amp;IF(E6&lt;SG_Criteria!$B$48,"FAIL: roof width below "&amp;SG_Criteria!$B$48&amp;" m. ",IF(E6&lt;SG_Criteria!$B$49,"NOTE: not for MRT/LRT or high-traffic routes (min "&amp;SG_Criteria!$B$49&amp;" m). ",""))&amp;IF(AND(P6&lt;&gt;"",P6&lt;SG_Criteria!$B$50),"FAIL: wind speed below "&amp;SG_Criteria!$B$50&amp;" m/s. ","")&amp;IF(AND(Q6&lt;&gt;"",Q6&lt;SG_Criteria!$B$51),"FAIL: roof fixing pull-out below "&amp;SG_Criteria!$B$51&amp;" kN. ","")&amp;IF(AND(R6&lt;&gt;"",IFERROR(VALUE(MID(R6,2,2)),0)&lt;SG_Criteria!$B$52),"FAIL: grade below C"&amp;SG_Criteria!$B$52&amp;". ","")&amp;IF(D6="Non-standard (project design)","NOTE: not an SDRE standard, needs LTA acceptance. ",""))=0,"OK",IF(AND(C6&lt;&gt;"High Covered Linkway",F6&lt;SG_Criteria!$B$46),"FAIL: headroom below "&amp;SG_Criteria!$B$46&amp;" m. ","")&amp;IF(AND(C6="High Covered Linkway",F6&lt;SG_Criteria!$B$47),"FAIL: high linkway headroom below "&amp;SG_Criteria!$B$47&amp;" m. ","")&amp;IF(E6&lt;SG_Criteria!$B$48,"FAIL: roof width below "&amp;SG_Criteria!$B$48&amp;" m. ",IF(E6&lt;SG_Criteria!$B$49,"NOTE: not for MRT/LRT or high-traffic routes (min "&amp;SG_Criteria!$B$49&amp;" m). ",""))&amp;IF(AND(P6&lt;&gt;"",P6&lt;SG_Criteria!$B$50),"FAIL: wind speed below "&amp;SG_Criteria!$B$50&amp;" m/s. ","")&amp;IF(AND(Q6&lt;&gt;"",Q6&lt;SG_Criteria!$B$51),"FAIL: roof fixing pull-out below "&amp;SG_Criteria!$B$51&amp;" kN. ","")&amp;IF(AND(R6&lt;&gt;"",IFERROR(VALUE(MID(R6,2,2)),0)&lt;SG_Criteria!$B$52),"FAIL: grade below C"&amp;SG_Criteria!$B$52&amp;". ","")&amp;IF(D6="Non-standard (project design)","NOTE: not an SDRE standard, needs LTA acceptance. ","")))</f>
        <v>OK</v>
      </c>
      <c r="AP6" s="18" t="s">
        <v>862</v>
      </c>
      <c r="AQ6" s="18"/>
      <c r="AR6" s="18" t="s">
        <v>631</v>
      </c>
      <c r="AS6" s="18" t="s">
        <v>631</v>
      </c>
      <c r="AT6" s="18" t="s">
        <v>631</v>
      </c>
      <c r="AU6" s="39" t="n">
        <v>46309</v>
      </c>
      <c r="AV6" s="10" t="str">
        <f aca="false">IF(C6="","",IF(AND(X6="Approved",ISERROR(SEARCH("FAIL",AO6))),"Y","N"))</f>
        <v>Y</v>
      </c>
      <c r="AW6" s="10" t="str">
        <f aca="false">IF(C6="","",C6&amp;"|"&amp;E6&amp;"|"&amp;F6&amp;"|"&amp;AV6)</f>
        <v>Low Covered Linkway|3.6|2.4|Y</v>
      </c>
    </row>
    <row r="7" customFormat="false" ht="15" hidden="false" customHeight="false" outlineLevel="0" collapsed="false">
      <c r="A7" s="10" t="str">
        <f aca="false">IF(C7="","","LKW-"&amp;IFERROR(VLOOKUP(C7,Lists!$AQ$4:$AR$17,2,0),"??")&amp;"-W"&amp;TEXT(E7*1000,"0000")&amp;"-H"&amp;TEXT(F7*1000,"0000")&amp;"-B"&amp;TEXT(G7*1000,"0000")&amp;"-"&amp;W7)</f>
        <v>LKW-HCL-W3600-H5700-B8000-A</v>
      </c>
      <c r="B7" s="10" t="str">
        <f aca="false">IF(C7="","",C7&amp;", "&amp;E7&amp;" m wide, "&amp;F7&amp;" m headroom, "&amp;G7&amp;" m bays, "&amp;H7&amp;" ("&amp;D7&amp;")")</f>
        <v>High Covered Linkway, 3.6 m wide, 5.7 m headroom, 8 m bays, Double column (LTA/SDRE25/22/CLW2)</v>
      </c>
      <c r="C7" s="18" t="s">
        <v>241</v>
      </c>
      <c r="D7" s="18" t="s">
        <v>488</v>
      </c>
      <c r="E7" s="42" t="n">
        <v>3.6</v>
      </c>
      <c r="F7" s="42" t="n">
        <v>5.7</v>
      </c>
      <c r="G7" s="42" t="n">
        <v>8</v>
      </c>
      <c r="H7" s="18" t="s">
        <v>510</v>
      </c>
      <c r="I7" s="18" t="s">
        <v>863</v>
      </c>
      <c r="J7" s="18" t="s">
        <v>490</v>
      </c>
      <c r="K7" s="18" t="s">
        <v>864</v>
      </c>
      <c r="L7" s="18" t="s">
        <v>851</v>
      </c>
      <c r="M7" s="18" t="s">
        <v>852</v>
      </c>
      <c r="N7" s="18" t="s">
        <v>865</v>
      </c>
      <c r="O7" s="18" t="s">
        <v>866</v>
      </c>
      <c r="P7" s="35" t="n">
        <v>22</v>
      </c>
      <c r="Q7" s="42" t="n">
        <v>4</v>
      </c>
      <c r="R7" s="18" t="s">
        <v>470</v>
      </c>
      <c r="S7" s="18" t="s">
        <v>467</v>
      </c>
      <c r="T7" s="18" t="s">
        <v>855</v>
      </c>
      <c r="U7" s="42" t="n">
        <v>30.5</v>
      </c>
      <c r="V7" s="18" t="s">
        <v>856</v>
      </c>
      <c r="W7" s="18" t="s">
        <v>628</v>
      </c>
      <c r="X7" s="18" t="s">
        <v>245</v>
      </c>
      <c r="Y7" s="18" t="s">
        <v>867</v>
      </c>
      <c r="Z7" s="18" t="n">
        <v>100</v>
      </c>
      <c r="AA7" s="18" t="s">
        <v>467</v>
      </c>
      <c r="AB7" s="10" t="str">
        <f aca="false">IF(A7="","",SG_Criteria!$B$6&amp;SG_Criteria!$B$12&amp;"\"&amp;A7&amp;"\")</f>
        <v>C:\Users\yourname\YourCompany\Design Library - Documents\06_Linkway\LKW-HCL-W3600-H5700-B8000-A\</v>
      </c>
      <c r="AC7" s="10" t="str">
        <f aca="false">IF(A7="","",A7&amp;"_CAD.dwg")</f>
        <v>LKW-HCL-W3600-H5700-B8000-A_CAD.dwg</v>
      </c>
      <c r="AD7" s="10" t="str">
        <f aca="false">IF(A7="","",A7&amp;"_DWG.pdf")</f>
        <v>LKW-HCL-W3600-H5700-B8000-A_DWG.pdf</v>
      </c>
      <c r="AE7" s="10" t="str">
        <f aca="false">IF(A7="","",IF(AA7="Y",A7&amp;"_STAAD.std","n/a"))</f>
        <v>LKW-HCL-W3600-H5700-B8000-A_STAAD.std</v>
      </c>
      <c r="AF7" s="10" t="str">
        <f aca="false">IF(A7="","",A7&amp;"_CALC.xlsx")</f>
        <v>LKW-HCL-W3600-H5700-B8000-A_CALC.xlsx</v>
      </c>
      <c r="AG7" s="10" t="str">
        <f aca="false">IF(A7="","",A7&amp;"_CALC.pdf")</f>
        <v>LKW-HCL-W3600-H5700-B8000-A_CALC.pdf</v>
      </c>
      <c r="AH7" s="18" t="s">
        <v>74</v>
      </c>
      <c r="AI7" s="18" t="s">
        <v>513</v>
      </c>
      <c r="AJ7" s="36" t="n">
        <v>3.6</v>
      </c>
      <c r="AK7" s="36" t="n">
        <v>120</v>
      </c>
      <c r="AL7" s="36" t="n">
        <v>1450</v>
      </c>
      <c r="AM7" s="36" t="n">
        <v>6.2</v>
      </c>
      <c r="AN7" s="36" t="n">
        <v>4.5</v>
      </c>
      <c r="AO7" s="38" t="str">
        <f aca="false">IF(C7="","",IF(LEN(IF(AND(C7&lt;&gt;"High Covered Linkway",F7&lt;SG_Criteria!$B$46),"FAIL: headroom below "&amp;SG_Criteria!$B$46&amp;" m. ","")&amp;IF(AND(C7="High Covered Linkway",F7&lt;SG_Criteria!$B$47),"FAIL: high linkway headroom below "&amp;SG_Criteria!$B$47&amp;" m. ","")&amp;IF(E7&lt;SG_Criteria!$B$48,"FAIL: roof width below "&amp;SG_Criteria!$B$48&amp;" m. ",IF(E7&lt;SG_Criteria!$B$49,"NOTE: not for MRT/LRT or high-traffic routes (min "&amp;SG_Criteria!$B$49&amp;" m). ",""))&amp;IF(AND(P7&lt;&gt;"",P7&lt;SG_Criteria!$B$50),"FAIL: wind speed below "&amp;SG_Criteria!$B$50&amp;" m/s. ","")&amp;IF(AND(Q7&lt;&gt;"",Q7&lt;SG_Criteria!$B$51),"FAIL: roof fixing pull-out below "&amp;SG_Criteria!$B$51&amp;" kN. ","")&amp;IF(AND(R7&lt;&gt;"",IFERROR(VALUE(MID(R7,2,2)),0)&lt;SG_Criteria!$B$52),"FAIL: grade below C"&amp;SG_Criteria!$B$52&amp;". ","")&amp;IF(D7="Non-standard (project design)","NOTE: not an SDRE standard, needs LTA acceptance. ",""))=0,"OK",IF(AND(C7&lt;&gt;"High Covered Linkway",F7&lt;SG_Criteria!$B$46),"FAIL: headroom below "&amp;SG_Criteria!$B$46&amp;" m. ","")&amp;IF(AND(C7="High Covered Linkway",F7&lt;SG_Criteria!$B$47),"FAIL: high linkway headroom below "&amp;SG_Criteria!$B$47&amp;" m. ","")&amp;IF(E7&lt;SG_Criteria!$B$48,"FAIL: roof width below "&amp;SG_Criteria!$B$48&amp;" m. ",IF(E7&lt;SG_Criteria!$B$49,"NOTE: not for MRT/LRT or high-traffic routes (min "&amp;SG_Criteria!$B$49&amp;" m). ",""))&amp;IF(AND(P7&lt;&gt;"",P7&lt;SG_Criteria!$B$50),"FAIL: wind speed below "&amp;SG_Criteria!$B$50&amp;" m/s. ","")&amp;IF(AND(Q7&lt;&gt;"",Q7&lt;SG_Criteria!$B$51),"FAIL: roof fixing pull-out below "&amp;SG_Criteria!$B$51&amp;" kN. ","")&amp;IF(AND(R7&lt;&gt;"",IFERROR(VALUE(MID(R7,2,2)),0)&lt;SG_Criteria!$B$52),"FAIL: grade below C"&amp;SG_Criteria!$B$52&amp;". ","")&amp;IF(D7="Non-standard (project design)","NOTE: not an SDRE standard, needs LTA acceptance. ","")))</f>
        <v>OK</v>
      </c>
      <c r="AP7" s="18" t="s">
        <v>868</v>
      </c>
      <c r="AQ7" s="18"/>
      <c r="AR7" s="18" t="s">
        <v>631</v>
      </c>
      <c r="AS7" s="18" t="s">
        <v>631</v>
      </c>
      <c r="AT7" s="18" t="s">
        <v>631</v>
      </c>
      <c r="AU7" s="39" t="n">
        <v>46309</v>
      </c>
      <c r="AV7" s="10" t="str">
        <f aca="false">IF(C7="","",IF(AND(X7="Approved",ISERROR(SEARCH("FAIL",AO7))),"Y","N"))</f>
        <v>N</v>
      </c>
      <c r="AW7" s="10" t="str">
        <f aca="false">IF(C7="","",C7&amp;"|"&amp;E7&amp;"|"&amp;F7&amp;"|"&amp;AV7)</f>
        <v>High Covered Linkway|3.6|5.7|N</v>
      </c>
    </row>
    <row r="8" customFormat="false" ht="15" hidden="false" customHeight="false" outlineLevel="0" collapsed="false">
      <c r="A8" s="10" t="str">
        <f aca="false">IF(C8="","","LKW-"&amp;IFERROR(VLOOKUP(C8,Lists!$AQ$4:$AR$17,2,0),"??")&amp;"-W"&amp;TEXT(E8*1000,"0000")&amp;"-H"&amp;TEXT(F8*1000,"0000")&amp;"-B"&amp;TEXT(G8*1000,"0000")&amp;"-"&amp;W8)</f>
        <v>LKW-MCL-W2400-H2400-B6000-A</v>
      </c>
      <c r="B8" s="10" t="str">
        <f aca="false">IF(C8="","",C8&amp;", "&amp;E8&amp;" m wide, "&amp;F8&amp;" m headroom, "&amp;G8&amp;" m bays, "&amp;H8&amp;" ("&amp;D8&amp;")")</f>
        <v>Modular Covered Linkway (SDRE Rev I), 2.4 m wide, 2.4 m headroom, 6 m bays, Single column, side (cantilever) (LTA/SDRE25/22/CLW3)</v>
      </c>
      <c r="C8" s="18" t="s">
        <v>242</v>
      </c>
      <c r="D8" s="18" t="s">
        <v>509</v>
      </c>
      <c r="E8" s="42" t="n">
        <v>2.4</v>
      </c>
      <c r="F8" s="42" t="n">
        <v>2.4</v>
      </c>
      <c r="G8" s="42" t="n">
        <v>6</v>
      </c>
      <c r="H8" s="18" t="s">
        <v>489</v>
      </c>
      <c r="I8" s="18" t="s">
        <v>869</v>
      </c>
      <c r="J8" s="18" t="s">
        <v>466</v>
      </c>
      <c r="K8" s="18" t="s">
        <v>870</v>
      </c>
      <c r="L8" s="18" t="s">
        <v>851</v>
      </c>
      <c r="M8" s="18" t="s">
        <v>852</v>
      </c>
      <c r="N8" s="18" t="s">
        <v>870</v>
      </c>
      <c r="O8" s="18" t="s">
        <v>870</v>
      </c>
      <c r="P8" s="35" t="n">
        <v>22</v>
      </c>
      <c r="Q8" s="42" t="n">
        <v>4</v>
      </c>
      <c r="R8" s="18" t="s">
        <v>470</v>
      </c>
      <c r="S8" s="18" t="s">
        <v>467</v>
      </c>
      <c r="T8" s="18" t="s">
        <v>855</v>
      </c>
      <c r="U8" s="42" t="n">
        <v>15.6</v>
      </c>
      <c r="V8" s="18" t="s">
        <v>856</v>
      </c>
      <c r="W8" s="18" t="s">
        <v>628</v>
      </c>
      <c r="X8" s="18" t="s">
        <v>246</v>
      </c>
      <c r="Y8" s="18" t="s">
        <v>871</v>
      </c>
      <c r="Z8" s="18" t="n">
        <v>50</v>
      </c>
      <c r="AA8" s="18" t="s">
        <v>467</v>
      </c>
      <c r="AB8" s="10" t="str">
        <f aca="false">IF(A8="","",SG_Criteria!$B$6&amp;SG_Criteria!$B$12&amp;"\"&amp;A8&amp;"\")</f>
        <v>C:\Users\yourname\YourCompany\Design Library - Documents\06_Linkway\LKW-MCL-W2400-H2400-B6000-A\</v>
      </c>
      <c r="AC8" s="10" t="str">
        <f aca="false">IF(A8="","",A8&amp;"_CAD.dwg")</f>
        <v>LKW-MCL-W2400-H2400-B6000-A_CAD.dwg</v>
      </c>
      <c r="AD8" s="10" t="str">
        <f aca="false">IF(A8="","",A8&amp;"_DWG.pdf")</f>
        <v>LKW-MCL-W2400-H2400-B6000-A_DWG.pdf</v>
      </c>
      <c r="AE8" s="10" t="str">
        <f aca="false">IF(A8="","",IF(AA8="Y",A8&amp;"_STAAD.std","n/a"))</f>
        <v>LKW-MCL-W2400-H2400-B6000-A_STAAD.std</v>
      </c>
      <c r="AF8" s="10" t="str">
        <f aca="false">IF(A8="","",A8&amp;"_CALC.xlsx")</f>
        <v>LKW-MCL-W2400-H2400-B6000-A_CALC.xlsx</v>
      </c>
      <c r="AG8" s="10" t="str">
        <f aca="false">IF(A8="","",A8&amp;"_CALC.pdf")</f>
        <v>LKW-MCL-W2400-H2400-B6000-A_CALC.pdf</v>
      </c>
      <c r="AH8" s="18" t="s">
        <v>74</v>
      </c>
      <c r="AI8" s="18" t="s">
        <v>513</v>
      </c>
      <c r="AJ8" s="36" t="n">
        <v>1.1</v>
      </c>
      <c r="AK8" s="36" t="n">
        <v>50</v>
      </c>
      <c r="AL8" s="36" t="n">
        <v>420</v>
      </c>
      <c r="AM8" s="36" t="n">
        <v>3</v>
      </c>
      <c r="AN8" s="36" t="n">
        <v>1.5</v>
      </c>
      <c r="AO8" s="38" t="str">
        <f aca="false">IF(C8="","",IF(LEN(IF(AND(C8&lt;&gt;"High Covered Linkway",F8&lt;SG_Criteria!$B$46),"FAIL: headroom below "&amp;SG_Criteria!$B$46&amp;" m. ","")&amp;IF(AND(C8="High Covered Linkway",F8&lt;SG_Criteria!$B$47),"FAIL: high linkway headroom below "&amp;SG_Criteria!$B$47&amp;" m. ","")&amp;IF(E8&lt;SG_Criteria!$B$48,"FAIL: roof width below "&amp;SG_Criteria!$B$48&amp;" m. ",IF(E8&lt;SG_Criteria!$B$49,"NOTE: not for MRT/LRT or high-traffic routes (min "&amp;SG_Criteria!$B$49&amp;" m). ",""))&amp;IF(AND(P8&lt;&gt;"",P8&lt;SG_Criteria!$B$50),"FAIL: wind speed below "&amp;SG_Criteria!$B$50&amp;" m/s. ","")&amp;IF(AND(Q8&lt;&gt;"",Q8&lt;SG_Criteria!$B$51),"FAIL: roof fixing pull-out below "&amp;SG_Criteria!$B$51&amp;" kN. ","")&amp;IF(AND(R8&lt;&gt;"",IFERROR(VALUE(MID(R8,2,2)),0)&lt;SG_Criteria!$B$52),"FAIL: grade below C"&amp;SG_Criteria!$B$52&amp;". ","")&amp;IF(D8="Non-standard (project design)","NOTE: not an SDRE standard, needs LTA acceptance. ",""))=0,"OK",IF(AND(C8&lt;&gt;"High Covered Linkway",F8&lt;SG_Criteria!$B$46),"FAIL: headroom below "&amp;SG_Criteria!$B$46&amp;" m. ","")&amp;IF(AND(C8="High Covered Linkway",F8&lt;SG_Criteria!$B$47),"FAIL: high linkway headroom below "&amp;SG_Criteria!$B$47&amp;" m. ","")&amp;IF(E8&lt;SG_Criteria!$B$48,"FAIL: roof width below "&amp;SG_Criteria!$B$48&amp;" m. ",IF(E8&lt;SG_Criteria!$B$49,"NOTE: not for MRT/LRT or high-traffic routes (min "&amp;SG_Criteria!$B$49&amp;" m). ",""))&amp;IF(AND(P8&lt;&gt;"",P8&lt;SG_Criteria!$B$50),"FAIL: wind speed below "&amp;SG_Criteria!$B$50&amp;" m/s. ","")&amp;IF(AND(Q8&lt;&gt;"",Q8&lt;SG_Criteria!$B$51),"FAIL: roof fixing pull-out below "&amp;SG_Criteria!$B$51&amp;" kN. ","")&amp;IF(AND(R8&lt;&gt;"",IFERROR(VALUE(MID(R8,2,2)),0)&lt;SG_Criteria!$B$52),"FAIL: grade below C"&amp;SG_Criteria!$B$52&amp;". ","")&amp;IF(D8="Non-standard (project design)","NOTE: not an SDRE standard, needs LTA acceptance. ","")))</f>
        <v>NOTE: not for MRT/LRT or high-traffic routes (min 3.6 m). </v>
      </c>
      <c r="AP8" s="18" t="s">
        <v>872</v>
      </c>
      <c r="AQ8" s="18"/>
      <c r="AR8" s="18" t="s">
        <v>631</v>
      </c>
      <c r="AS8" s="18" t="s">
        <v>631</v>
      </c>
      <c r="AT8" s="18" t="s">
        <v>631</v>
      </c>
      <c r="AU8" s="39" t="n">
        <v>46309</v>
      </c>
      <c r="AV8" s="10" t="str">
        <f aca="false">IF(C8="","",IF(AND(X8="Approved",ISERROR(SEARCH("FAIL",AO8))),"Y","N"))</f>
        <v>N</v>
      </c>
      <c r="AW8" s="10" t="str">
        <f aca="false">IF(C8="","",C8&amp;"|"&amp;E8&amp;"|"&amp;F8&amp;"|"&amp;AV8)</f>
        <v>Modular Covered Linkway (SDRE Rev I)|2.4|2.4|N</v>
      </c>
    </row>
    <row r="9" customFormat="false" ht="15" hidden="false" customHeight="false" outlineLevel="0" collapsed="false">
      <c r="A9" s="10" t="str">
        <f aca="false">IF(C9="","","LKW-"&amp;IFERROR(VLOOKUP(C9,Lists!$AQ$4:$AR$17,2,0),"??")&amp;"-W"&amp;TEXT(E9*1000,"0000")&amp;"-H"&amp;TEXT(F9*1000,"0000")&amp;"-B"&amp;TEXT(G9*1000,"0000")&amp;"-"&amp;W9)</f>
        <v/>
      </c>
      <c r="B9" s="10" t="str">
        <f aca="false">IF(C9="","",C9&amp;", "&amp;E9&amp;" m wide, "&amp;F9&amp;" m headroom, "&amp;G9&amp;" m bays, "&amp;H9&amp;" ("&amp;D9&amp;")")</f>
        <v/>
      </c>
      <c r="C9" s="9"/>
      <c r="D9" s="9"/>
      <c r="E9" s="43"/>
      <c r="F9" s="43"/>
      <c r="G9" s="43"/>
      <c r="H9" s="9"/>
      <c r="I9" s="9"/>
      <c r="J9" s="9"/>
      <c r="K9" s="9"/>
      <c r="L9" s="9"/>
      <c r="M9" s="9"/>
      <c r="N9" s="9"/>
      <c r="O9" s="9"/>
      <c r="P9" s="40"/>
      <c r="Q9" s="43"/>
      <c r="R9" s="9"/>
      <c r="S9" s="9"/>
      <c r="T9" s="9"/>
      <c r="U9" s="43"/>
      <c r="V9" s="9"/>
      <c r="W9" s="9"/>
      <c r="X9" s="9"/>
      <c r="Y9" s="9"/>
      <c r="Z9" s="9"/>
      <c r="AA9" s="9"/>
      <c r="AB9" s="10" t="str">
        <f aca="false">IF(A9="","",SG_Criteria!$B$6&amp;SG_Criteria!$B$12&amp;"\"&amp;A9&amp;"\")</f>
        <v/>
      </c>
      <c r="AC9" s="10" t="str">
        <f aca="false">IF(A9="","",A9&amp;"_CAD.dwg")</f>
        <v/>
      </c>
      <c r="AD9" s="10" t="str">
        <f aca="false">IF(A9="","",A9&amp;"_DWG.pdf")</f>
        <v/>
      </c>
      <c r="AE9" s="10" t="str">
        <f aca="false">IF(A9="","",IF(AA9="Y",A9&amp;"_STAAD.std","n/a"))</f>
        <v/>
      </c>
      <c r="AF9" s="10" t="str">
        <f aca="false">IF(A9="","",A9&amp;"_CALC.xlsx")</f>
        <v/>
      </c>
      <c r="AG9" s="10" t="str">
        <f aca="false">IF(A9="","",A9&amp;"_CALC.pdf")</f>
        <v/>
      </c>
      <c r="AH9" s="9"/>
      <c r="AI9" s="9"/>
      <c r="AJ9" s="41"/>
      <c r="AK9" s="41"/>
      <c r="AL9" s="41"/>
      <c r="AM9" s="41"/>
      <c r="AN9" s="41"/>
      <c r="AO9" s="38" t="str">
        <f aca="false">IF(C9="","",IF(LEN(IF(AND(C9&lt;&gt;"High Covered Linkway",F9&lt;SG_Criteria!$B$46),"FAIL: headroom below "&amp;SG_Criteria!$B$46&amp;" m. ","")&amp;IF(AND(C9="High Covered Linkway",F9&lt;SG_Criteria!$B$47),"FAIL: high linkway headroom below "&amp;SG_Criteria!$B$47&amp;" m. ","")&amp;IF(E9&lt;SG_Criteria!$B$48,"FAIL: roof width below "&amp;SG_Criteria!$B$48&amp;" m. ",IF(E9&lt;SG_Criteria!$B$49,"NOTE: not for MRT/LRT or high-traffic routes (min "&amp;SG_Criteria!$B$49&amp;" m). ",""))&amp;IF(AND(P9&lt;&gt;"",P9&lt;SG_Criteria!$B$50),"FAIL: wind speed below "&amp;SG_Criteria!$B$50&amp;" m/s. ","")&amp;IF(AND(Q9&lt;&gt;"",Q9&lt;SG_Criteria!$B$51),"FAIL: roof fixing pull-out below "&amp;SG_Criteria!$B$51&amp;" kN. ","")&amp;IF(AND(R9&lt;&gt;"",IFERROR(VALUE(MID(R9,2,2)),0)&lt;SG_Criteria!$B$52),"FAIL: grade below C"&amp;SG_Criteria!$B$52&amp;". ","")&amp;IF(D9="Non-standard (project design)","NOTE: not an SDRE standard, needs LTA acceptance. ",""))=0,"OK",IF(AND(C9&lt;&gt;"High Covered Linkway",F9&lt;SG_Criteria!$B$46),"FAIL: headroom below "&amp;SG_Criteria!$B$46&amp;" m. ","")&amp;IF(AND(C9="High Covered Linkway",F9&lt;SG_Criteria!$B$47),"FAIL: high linkway headroom below "&amp;SG_Criteria!$B$47&amp;" m. ","")&amp;IF(E9&lt;SG_Criteria!$B$48,"FAIL: roof width below "&amp;SG_Criteria!$B$48&amp;" m. ",IF(E9&lt;SG_Criteria!$B$49,"NOTE: not for MRT/LRT or high-traffic routes (min "&amp;SG_Criteria!$B$49&amp;" m). ",""))&amp;IF(AND(P9&lt;&gt;"",P9&lt;SG_Criteria!$B$50),"FAIL: wind speed below "&amp;SG_Criteria!$B$50&amp;" m/s. ","")&amp;IF(AND(Q9&lt;&gt;"",Q9&lt;SG_Criteria!$B$51),"FAIL: roof fixing pull-out below "&amp;SG_Criteria!$B$51&amp;" kN. ","")&amp;IF(AND(R9&lt;&gt;"",IFERROR(VALUE(MID(R9,2,2)),0)&lt;SG_Criteria!$B$52),"FAIL: grade below C"&amp;SG_Criteria!$B$52&amp;". ","")&amp;IF(D9="Non-standard (project design)","NOTE: not an SDRE standard, needs LTA acceptance. ","")))</f>
        <v/>
      </c>
      <c r="AP9" s="9"/>
      <c r="AQ9" s="9"/>
      <c r="AR9" s="9"/>
      <c r="AS9" s="9"/>
      <c r="AT9" s="9"/>
      <c r="AU9" s="31"/>
      <c r="AV9" s="10" t="str">
        <f aca="false">IF(C9="","",IF(AND(X9="Approved",ISERROR(SEARCH("FAIL",AO9))),"Y","N"))</f>
        <v/>
      </c>
      <c r="AW9" s="10" t="str">
        <f aca="false">IF(C9="","",C9&amp;"|"&amp;E9&amp;"|"&amp;F9&amp;"|"&amp;AV9)</f>
        <v/>
      </c>
    </row>
    <row r="10" customFormat="false" ht="15" hidden="false" customHeight="false" outlineLevel="0" collapsed="false">
      <c r="A10" s="10" t="str">
        <f aca="false">IF(C10="","","LKW-"&amp;IFERROR(VLOOKUP(C10,Lists!$AQ$4:$AR$17,2,0),"??")&amp;"-W"&amp;TEXT(E10*1000,"0000")&amp;"-H"&amp;TEXT(F10*1000,"0000")&amp;"-B"&amp;TEXT(G10*1000,"0000")&amp;"-"&amp;W10)</f>
        <v/>
      </c>
      <c r="B10" s="10" t="str">
        <f aca="false">IF(C10="","",C10&amp;", "&amp;E10&amp;" m wide, "&amp;F10&amp;" m headroom, "&amp;G10&amp;" m bays, "&amp;H10&amp;" ("&amp;D10&amp;")")</f>
        <v/>
      </c>
      <c r="C10" s="9"/>
      <c r="D10" s="9"/>
      <c r="E10" s="43"/>
      <c r="F10" s="43"/>
      <c r="G10" s="43"/>
      <c r="H10" s="9"/>
      <c r="I10" s="9"/>
      <c r="J10" s="9"/>
      <c r="K10" s="9"/>
      <c r="L10" s="9"/>
      <c r="M10" s="9"/>
      <c r="N10" s="9"/>
      <c r="O10" s="9"/>
      <c r="P10" s="40"/>
      <c r="Q10" s="43"/>
      <c r="R10" s="9"/>
      <c r="S10" s="9"/>
      <c r="T10" s="9"/>
      <c r="U10" s="43"/>
      <c r="V10" s="9"/>
      <c r="W10" s="9"/>
      <c r="X10" s="9"/>
      <c r="Y10" s="9"/>
      <c r="Z10" s="9"/>
      <c r="AA10" s="9"/>
      <c r="AB10" s="10" t="str">
        <f aca="false">IF(A10="","",SG_Criteria!$B$6&amp;SG_Criteria!$B$12&amp;"\"&amp;A10&amp;"\")</f>
        <v/>
      </c>
      <c r="AC10" s="10" t="str">
        <f aca="false">IF(A10="","",A10&amp;"_CAD.dwg")</f>
        <v/>
      </c>
      <c r="AD10" s="10" t="str">
        <f aca="false">IF(A10="","",A10&amp;"_DWG.pdf")</f>
        <v/>
      </c>
      <c r="AE10" s="10" t="str">
        <f aca="false">IF(A10="","",IF(AA10="Y",A10&amp;"_STAAD.std","n/a"))</f>
        <v/>
      </c>
      <c r="AF10" s="10" t="str">
        <f aca="false">IF(A10="","",A10&amp;"_CALC.xlsx")</f>
        <v/>
      </c>
      <c r="AG10" s="10" t="str">
        <f aca="false">IF(A10="","",A10&amp;"_CALC.pdf")</f>
        <v/>
      </c>
      <c r="AH10" s="9"/>
      <c r="AI10" s="9"/>
      <c r="AJ10" s="41"/>
      <c r="AK10" s="41"/>
      <c r="AL10" s="41"/>
      <c r="AM10" s="41"/>
      <c r="AN10" s="41"/>
      <c r="AO10" s="38" t="str">
        <f aca="false">IF(C10="","",IF(LEN(IF(AND(C10&lt;&gt;"High Covered Linkway",F10&lt;SG_Criteria!$B$46),"FAIL: headroom below "&amp;SG_Criteria!$B$46&amp;" m. ","")&amp;IF(AND(C10="High Covered Linkway",F10&lt;SG_Criteria!$B$47),"FAIL: high linkway headroom below "&amp;SG_Criteria!$B$47&amp;" m. ","")&amp;IF(E10&lt;SG_Criteria!$B$48,"FAIL: roof width below "&amp;SG_Criteria!$B$48&amp;" m. ",IF(E10&lt;SG_Criteria!$B$49,"NOTE: not for MRT/LRT or high-traffic routes (min "&amp;SG_Criteria!$B$49&amp;" m). ",""))&amp;IF(AND(P10&lt;&gt;"",P10&lt;SG_Criteria!$B$50),"FAIL: wind speed below "&amp;SG_Criteria!$B$50&amp;" m/s. ","")&amp;IF(AND(Q10&lt;&gt;"",Q10&lt;SG_Criteria!$B$51),"FAIL: roof fixing pull-out below "&amp;SG_Criteria!$B$51&amp;" kN. ","")&amp;IF(AND(R10&lt;&gt;"",IFERROR(VALUE(MID(R10,2,2)),0)&lt;SG_Criteria!$B$52),"FAIL: grade below C"&amp;SG_Criteria!$B$52&amp;". ","")&amp;IF(D10="Non-standard (project design)","NOTE: not an SDRE standard, needs LTA acceptance. ",""))=0,"OK",IF(AND(C10&lt;&gt;"High Covered Linkway",F10&lt;SG_Criteria!$B$46),"FAIL: headroom below "&amp;SG_Criteria!$B$46&amp;" m. ","")&amp;IF(AND(C10="High Covered Linkway",F10&lt;SG_Criteria!$B$47),"FAIL: high linkway headroom below "&amp;SG_Criteria!$B$47&amp;" m. ","")&amp;IF(E10&lt;SG_Criteria!$B$48,"FAIL: roof width below "&amp;SG_Criteria!$B$48&amp;" m. ",IF(E10&lt;SG_Criteria!$B$49,"NOTE: not for MRT/LRT or high-traffic routes (min "&amp;SG_Criteria!$B$49&amp;" m). ",""))&amp;IF(AND(P10&lt;&gt;"",P10&lt;SG_Criteria!$B$50),"FAIL: wind speed below "&amp;SG_Criteria!$B$50&amp;" m/s. ","")&amp;IF(AND(Q10&lt;&gt;"",Q10&lt;SG_Criteria!$B$51),"FAIL: roof fixing pull-out below "&amp;SG_Criteria!$B$51&amp;" kN. ","")&amp;IF(AND(R10&lt;&gt;"",IFERROR(VALUE(MID(R10,2,2)),0)&lt;SG_Criteria!$B$52),"FAIL: grade below C"&amp;SG_Criteria!$B$52&amp;". ","")&amp;IF(D10="Non-standard (project design)","NOTE: not an SDRE standard, needs LTA acceptance. ","")))</f>
        <v/>
      </c>
      <c r="AP10" s="9"/>
      <c r="AQ10" s="9"/>
      <c r="AR10" s="9"/>
      <c r="AS10" s="9"/>
      <c r="AT10" s="9"/>
      <c r="AU10" s="31"/>
      <c r="AV10" s="10" t="str">
        <f aca="false">IF(C10="","",IF(AND(X10="Approved",ISERROR(SEARCH("FAIL",AO10))),"Y","N"))</f>
        <v/>
      </c>
      <c r="AW10" s="10" t="str">
        <f aca="false">IF(C10="","",C10&amp;"|"&amp;E10&amp;"|"&amp;F10&amp;"|"&amp;AV10)</f>
        <v/>
      </c>
    </row>
    <row r="11" customFormat="false" ht="15" hidden="false" customHeight="false" outlineLevel="0" collapsed="false">
      <c r="A11" s="10" t="str">
        <f aca="false">IF(C11="","","LKW-"&amp;IFERROR(VLOOKUP(C11,Lists!$AQ$4:$AR$17,2,0),"??")&amp;"-W"&amp;TEXT(E11*1000,"0000")&amp;"-H"&amp;TEXT(F11*1000,"0000")&amp;"-B"&amp;TEXT(G11*1000,"0000")&amp;"-"&amp;W11)</f>
        <v/>
      </c>
      <c r="B11" s="10" t="str">
        <f aca="false">IF(C11="","",C11&amp;", "&amp;E11&amp;" m wide, "&amp;F11&amp;" m headroom, "&amp;G11&amp;" m bays, "&amp;H11&amp;" ("&amp;D11&amp;")")</f>
        <v/>
      </c>
      <c r="C11" s="9"/>
      <c r="D11" s="9"/>
      <c r="E11" s="43"/>
      <c r="F11" s="43"/>
      <c r="G11" s="43"/>
      <c r="H11" s="9"/>
      <c r="I11" s="9"/>
      <c r="J11" s="9"/>
      <c r="K11" s="9"/>
      <c r="L11" s="9"/>
      <c r="M11" s="9"/>
      <c r="N11" s="9"/>
      <c r="O11" s="9"/>
      <c r="P11" s="40"/>
      <c r="Q11" s="43"/>
      <c r="R11" s="9"/>
      <c r="S11" s="9"/>
      <c r="T11" s="9"/>
      <c r="U11" s="43"/>
      <c r="V11" s="9"/>
      <c r="W11" s="9"/>
      <c r="X11" s="9"/>
      <c r="Y11" s="9"/>
      <c r="Z11" s="9"/>
      <c r="AA11" s="9"/>
      <c r="AB11" s="10" t="str">
        <f aca="false">IF(A11="","",SG_Criteria!$B$6&amp;SG_Criteria!$B$12&amp;"\"&amp;A11&amp;"\")</f>
        <v/>
      </c>
      <c r="AC11" s="10" t="str">
        <f aca="false">IF(A11="","",A11&amp;"_CAD.dwg")</f>
        <v/>
      </c>
      <c r="AD11" s="10" t="str">
        <f aca="false">IF(A11="","",A11&amp;"_DWG.pdf")</f>
        <v/>
      </c>
      <c r="AE11" s="10" t="str">
        <f aca="false">IF(A11="","",IF(AA11="Y",A11&amp;"_STAAD.std","n/a"))</f>
        <v/>
      </c>
      <c r="AF11" s="10" t="str">
        <f aca="false">IF(A11="","",A11&amp;"_CALC.xlsx")</f>
        <v/>
      </c>
      <c r="AG11" s="10" t="str">
        <f aca="false">IF(A11="","",A11&amp;"_CALC.pdf")</f>
        <v/>
      </c>
      <c r="AH11" s="9"/>
      <c r="AI11" s="9"/>
      <c r="AJ11" s="41"/>
      <c r="AK11" s="41"/>
      <c r="AL11" s="41"/>
      <c r="AM11" s="41"/>
      <c r="AN11" s="41"/>
      <c r="AO11" s="38" t="str">
        <f aca="false">IF(C11="","",IF(LEN(IF(AND(C11&lt;&gt;"High Covered Linkway",F11&lt;SG_Criteria!$B$46),"FAIL: headroom below "&amp;SG_Criteria!$B$46&amp;" m. ","")&amp;IF(AND(C11="High Covered Linkway",F11&lt;SG_Criteria!$B$47),"FAIL: high linkway headroom below "&amp;SG_Criteria!$B$47&amp;" m. ","")&amp;IF(E11&lt;SG_Criteria!$B$48,"FAIL: roof width below "&amp;SG_Criteria!$B$48&amp;" m. ",IF(E11&lt;SG_Criteria!$B$49,"NOTE: not for MRT/LRT or high-traffic routes (min "&amp;SG_Criteria!$B$49&amp;" m). ",""))&amp;IF(AND(P11&lt;&gt;"",P11&lt;SG_Criteria!$B$50),"FAIL: wind speed below "&amp;SG_Criteria!$B$50&amp;" m/s. ","")&amp;IF(AND(Q11&lt;&gt;"",Q11&lt;SG_Criteria!$B$51),"FAIL: roof fixing pull-out below "&amp;SG_Criteria!$B$51&amp;" kN. ","")&amp;IF(AND(R11&lt;&gt;"",IFERROR(VALUE(MID(R11,2,2)),0)&lt;SG_Criteria!$B$52),"FAIL: grade below C"&amp;SG_Criteria!$B$52&amp;". ","")&amp;IF(D11="Non-standard (project design)","NOTE: not an SDRE standard, needs LTA acceptance. ",""))=0,"OK",IF(AND(C11&lt;&gt;"High Covered Linkway",F11&lt;SG_Criteria!$B$46),"FAIL: headroom below "&amp;SG_Criteria!$B$46&amp;" m. ","")&amp;IF(AND(C11="High Covered Linkway",F11&lt;SG_Criteria!$B$47),"FAIL: high linkway headroom below "&amp;SG_Criteria!$B$47&amp;" m. ","")&amp;IF(E11&lt;SG_Criteria!$B$48,"FAIL: roof width below "&amp;SG_Criteria!$B$48&amp;" m. ",IF(E11&lt;SG_Criteria!$B$49,"NOTE: not for MRT/LRT or high-traffic routes (min "&amp;SG_Criteria!$B$49&amp;" m). ",""))&amp;IF(AND(P11&lt;&gt;"",P11&lt;SG_Criteria!$B$50),"FAIL: wind speed below "&amp;SG_Criteria!$B$50&amp;" m/s. ","")&amp;IF(AND(Q11&lt;&gt;"",Q11&lt;SG_Criteria!$B$51),"FAIL: roof fixing pull-out below "&amp;SG_Criteria!$B$51&amp;" kN. ","")&amp;IF(AND(R11&lt;&gt;"",IFERROR(VALUE(MID(R11,2,2)),0)&lt;SG_Criteria!$B$52),"FAIL: grade below C"&amp;SG_Criteria!$B$52&amp;". ","")&amp;IF(D11="Non-standard (project design)","NOTE: not an SDRE standard, needs LTA acceptance. ","")))</f>
        <v/>
      </c>
      <c r="AP11" s="9"/>
      <c r="AQ11" s="9"/>
      <c r="AR11" s="9"/>
      <c r="AS11" s="9"/>
      <c r="AT11" s="9"/>
      <c r="AU11" s="31"/>
      <c r="AV11" s="10" t="str">
        <f aca="false">IF(C11="","",IF(AND(X11="Approved",ISERROR(SEARCH("FAIL",AO11))),"Y","N"))</f>
        <v/>
      </c>
      <c r="AW11" s="10" t="str">
        <f aca="false">IF(C11="","",C11&amp;"|"&amp;E11&amp;"|"&amp;F11&amp;"|"&amp;AV11)</f>
        <v/>
      </c>
    </row>
    <row r="12" customFormat="false" ht="15" hidden="false" customHeight="false" outlineLevel="0" collapsed="false">
      <c r="A12" s="10" t="str">
        <f aca="false">IF(C12="","","LKW-"&amp;IFERROR(VLOOKUP(C12,Lists!$AQ$4:$AR$17,2,0),"??")&amp;"-W"&amp;TEXT(E12*1000,"0000")&amp;"-H"&amp;TEXT(F12*1000,"0000")&amp;"-B"&amp;TEXT(G12*1000,"0000")&amp;"-"&amp;W12)</f>
        <v/>
      </c>
      <c r="B12" s="10" t="str">
        <f aca="false">IF(C12="","",C12&amp;", "&amp;E12&amp;" m wide, "&amp;F12&amp;" m headroom, "&amp;G12&amp;" m bays, "&amp;H12&amp;" ("&amp;D12&amp;")")</f>
        <v/>
      </c>
      <c r="C12" s="9"/>
      <c r="D12" s="9"/>
      <c r="E12" s="43"/>
      <c r="F12" s="43"/>
      <c r="G12" s="43"/>
      <c r="H12" s="9"/>
      <c r="I12" s="9"/>
      <c r="J12" s="9"/>
      <c r="K12" s="9"/>
      <c r="L12" s="9"/>
      <c r="M12" s="9"/>
      <c r="N12" s="9"/>
      <c r="O12" s="9"/>
      <c r="P12" s="40"/>
      <c r="Q12" s="43"/>
      <c r="R12" s="9"/>
      <c r="S12" s="9"/>
      <c r="T12" s="9"/>
      <c r="U12" s="43"/>
      <c r="V12" s="9"/>
      <c r="W12" s="9"/>
      <c r="X12" s="9"/>
      <c r="Y12" s="9"/>
      <c r="Z12" s="9"/>
      <c r="AA12" s="9"/>
      <c r="AB12" s="10" t="str">
        <f aca="false">IF(A12="","",SG_Criteria!$B$6&amp;SG_Criteria!$B$12&amp;"\"&amp;A12&amp;"\")</f>
        <v/>
      </c>
      <c r="AC12" s="10" t="str">
        <f aca="false">IF(A12="","",A12&amp;"_CAD.dwg")</f>
        <v/>
      </c>
      <c r="AD12" s="10" t="str">
        <f aca="false">IF(A12="","",A12&amp;"_DWG.pdf")</f>
        <v/>
      </c>
      <c r="AE12" s="10" t="str">
        <f aca="false">IF(A12="","",IF(AA12="Y",A12&amp;"_STAAD.std","n/a"))</f>
        <v/>
      </c>
      <c r="AF12" s="10" t="str">
        <f aca="false">IF(A12="","",A12&amp;"_CALC.xlsx")</f>
        <v/>
      </c>
      <c r="AG12" s="10" t="str">
        <f aca="false">IF(A12="","",A12&amp;"_CALC.pdf")</f>
        <v/>
      </c>
      <c r="AH12" s="9"/>
      <c r="AI12" s="9"/>
      <c r="AJ12" s="41"/>
      <c r="AK12" s="41"/>
      <c r="AL12" s="41"/>
      <c r="AM12" s="41"/>
      <c r="AN12" s="41"/>
      <c r="AO12" s="38" t="str">
        <f aca="false">IF(C12="","",IF(LEN(IF(AND(C12&lt;&gt;"High Covered Linkway",F12&lt;SG_Criteria!$B$46),"FAIL: headroom below "&amp;SG_Criteria!$B$46&amp;" m. ","")&amp;IF(AND(C12="High Covered Linkway",F12&lt;SG_Criteria!$B$47),"FAIL: high linkway headroom below "&amp;SG_Criteria!$B$47&amp;" m. ","")&amp;IF(E12&lt;SG_Criteria!$B$48,"FAIL: roof width below "&amp;SG_Criteria!$B$48&amp;" m. ",IF(E12&lt;SG_Criteria!$B$49,"NOTE: not for MRT/LRT or high-traffic routes (min "&amp;SG_Criteria!$B$49&amp;" m). ",""))&amp;IF(AND(P12&lt;&gt;"",P12&lt;SG_Criteria!$B$50),"FAIL: wind speed below "&amp;SG_Criteria!$B$50&amp;" m/s. ","")&amp;IF(AND(Q12&lt;&gt;"",Q12&lt;SG_Criteria!$B$51),"FAIL: roof fixing pull-out below "&amp;SG_Criteria!$B$51&amp;" kN. ","")&amp;IF(AND(R12&lt;&gt;"",IFERROR(VALUE(MID(R12,2,2)),0)&lt;SG_Criteria!$B$52),"FAIL: grade below C"&amp;SG_Criteria!$B$52&amp;". ","")&amp;IF(D12="Non-standard (project design)","NOTE: not an SDRE standard, needs LTA acceptance. ",""))=0,"OK",IF(AND(C12&lt;&gt;"High Covered Linkway",F12&lt;SG_Criteria!$B$46),"FAIL: headroom below "&amp;SG_Criteria!$B$46&amp;" m. ","")&amp;IF(AND(C12="High Covered Linkway",F12&lt;SG_Criteria!$B$47),"FAIL: high linkway headroom below "&amp;SG_Criteria!$B$47&amp;" m. ","")&amp;IF(E12&lt;SG_Criteria!$B$48,"FAIL: roof width below "&amp;SG_Criteria!$B$48&amp;" m. ",IF(E12&lt;SG_Criteria!$B$49,"NOTE: not for MRT/LRT or high-traffic routes (min "&amp;SG_Criteria!$B$49&amp;" m). ",""))&amp;IF(AND(P12&lt;&gt;"",P12&lt;SG_Criteria!$B$50),"FAIL: wind speed below "&amp;SG_Criteria!$B$50&amp;" m/s. ","")&amp;IF(AND(Q12&lt;&gt;"",Q12&lt;SG_Criteria!$B$51),"FAIL: roof fixing pull-out below "&amp;SG_Criteria!$B$51&amp;" kN. ","")&amp;IF(AND(R12&lt;&gt;"",IFERROR(VALUE(MID(R12,2,2)),0)&lt;SG_Criteria!$B$52),"FAIL: grade below C"&amp;SG_Criteria!$B$52&amp;". ","")&amp;IF(D12="Non-standard (project design)","NOTE: not an SDRE standard, needs LTA acceptance. ","")))</f>
        <v/>
      </c>
      <c r="AP12" s="9"/>
      <c r="AQ12" s="9"/>
      <c r="AR12" s="9"/>
      <c r="AS12" s="9"/>
      <c r="AT12" s="9"/>
      <c r="AU12" s="31"/>
      <c r="AV12" s="10" t="str">
        <f aca="false">IF(C12="","",IF(AND(X12="Approved",ISERROR(SEARCH("FAIL",AO12))),"Y","N"))</f>
        <v/>
      </c>
      <c r="AW12" s="10" t="str">
        <f aca="false">IF(C12="","",C12&amp;"|"&amp;E12&amp;"|"&amp;F12&amp;"|"&amp;AV12)</f>
        <v/>
      </c>
    </row>
    <row r="13" customFormat="false" ht="15" hidden="false" customHeight="false" outlineLevel="0" collapsed="false">
      <c r="A13" s="10" t="str">
        <f aca="false">IF(C13="","","LKW-"&amp;IFERROR(VLOOKUP(C13,Lists!$AQ$4:$AR$17,2,0),"??")&amp;"-W"&amp;TEXT(E13*1000,"0000")&amp;"-H"&amp;TEXT(F13*1000,"0000")&amp;"-B"&amp;TEXT(G13*1000,"0000")&amp;"-"&amp;W13)</f>
        <v/>
      </c>
      <c r="B13" s="10" t="str">
        <f aca="false">IF(C13="","",C13&amp;", "&amp;E13&amp;" m wide, "&amp;F13&amp;" m headroom, "&amp;G13&amp;" m bays, "&amp;H13&amp;" ("&amp;D13&amp;")")</f>
        <v/>
      </c>
      <c r="C13" s="9"/>
      <c r="D13" s="9"/>
      <c r="E13" s="43"/>
      <c r="F13" s="43"/>
      <c r="G13" s="43"/>
      <c r="H13" s="9"/>
      <c r="I13" s="9"/>
      <c r="J13" s="9"/>
      <c r="K13" s="9"/>
      <c r="L13" s="9"/>
      <c r="M13" s="9"/>
      <c r="N13" s="9"/>
      <c r="O13" s="9"/>
      <c r="P13" s="40"/>
      <c r="Q13" s="43"/>
      <c r="R13" s="9"/>
      <c r="S13" s="9"/>
      <c r="T13" s="9"/>
      <c r="U13" s="43"/>
      <c r="V13" s="9"/>
      <c r="W13" s="9"/>
      <c r="X13" s="9"/>
      <c r="Y13" s="9"/>
      <c r="Z13" s="9"/>
      <c r="AA13" s="9"/>
      <c r="AB13" s="10" t="str">
        <f aca="false">IF(A13="","",SG_Criteria!$B$6&amp;SG_Criteria!$B$12&amp;"\"&amp;A13&amp;"\")</f>
        <v/>
      </c>
      <c r="AC13" s="10" t="str">
        <f aca="false">IF(A13="","",A13&amp;"_CAD.dwg")</f>
        <v/>
      </c>
      <c r="AD13" s="10" t="str">
        <f aca="false">IF(A13="","",A13&amp;"_DWG.pdf")</f>
        <v/>
      </c>
      <c r="AE13" s="10" t="str">
        <f aca="false">IF(A13="","",IF(AA13="Y",A13&amp;"_STAAD.std","n/a"))</f>
        <v/>
      </c>
      <c r="AF13" s="10" t="str">
        <f aca="false">IF(A13="","",A13&amp;"_CALC.xlsx")</f>
        <v/>
      </c>
      <c r="AG13" s="10" t="str">
        <f aca="false">IF(A13="","",A13&amp;"_CALC.pdf")</f>
        <v/>
      </c>
      <c r="AH13" s="9"/>
      <c r="AI13" s="9"/>
      <c r="AJ13" s="41"/>
      <c r="AK13" s="41"/>
      <c r="AL13" s="41"/>
      <c r="AM13" s="41"/>
      <c r="AN13" s="41"/>
      <c r="AO13" s="38" t="str">
        <f aca="false">IF(C13="","",IF(LEN(IF(AND(C13&lt;&gt;"High Covered Linkway",F13&lt;SG_Criteria!$B$46),"FAIL: headroom below "&amp;SG_Criteria!$B$46&amp;" m. ","")&amp;IF(AND(C13="High Covered Linkway",F13&lt;SG_Criteria!$B$47),"FAIL: high linkway headroom below "&amp;SG_Criteria!$B$47&amp;" m. ","")&amp;IF(E13&lt;SG_Criteria!$B$48,"FAIL: roof width below "&amp;SG_Criteria!$B$48&amp;" m. ",IF(E13&lt;SG_Criteria!$B$49,"NOTE: not for MRT/LRT or high-traffic routes (min "&amp;SG_Criteria!$B$49&amp;" m). ",""))&amp;IF(AND(P13&lt;&gt;"",P13&lt;SG_Criteria!$B$50),"FAIL: wind speed below "&amp;SG_Criteria!$B$50&amp;" m/s. ","")&amp;IF(AND(Q13&lt;&gt;"",Q13&lt;SG_Criteria!$B$51),"FAIL: roof fixing pull-out below "&amp;SG_Criteria!$B$51&amp;" kN. ","")&amp;IF(AND(R13&lt;&gt;"",IFERROR(VALUE(MID(R13,2,2)),0)&lt;SG_Criteria!$B$52),"FAIL: grade below C"&amp;SG_Criteria!$B$52&amp;". ","")&amp;IF(D13="Non-standard (project design)","NOTE: not an SDRE standard, needs LTA acceptance. ",""))=0,"OK",IF(AND(C13&lt;&gt;"High Covered Linkway",F13&lt;SG_Criteria!$B$46),"FAIL: headroom below "&amp;SG_Criteria!$B$46&amp;" m. ","")&amp;IF(AND(C13="High Covered Linkway",F13&lt;SG_Criteria!$B$47),"FAIL: high linkway headroom below "&amp;SG_Criteria!$B$47&amp;" m. ","")&amp;IF(E13&lt;SG_Criteria!$B$48,"FAIL: roof width below "&amp;SG_Criteria!$B$48&amp;" m. ",IF(E13&lt;SG_Criteria!$B$49,"NOTE: not for MRT/LRT or high-traffic routes (min "&amp;SG_Criteria!$B$49&amp;" m). ",""))&amp;IF(AND(P13&lt;&gt;"",P13&lt;SG_Criteria!$B$50),"FAIL: wind speed below "&amp;SG_Criteria!$B$50&amp;" m/s. ","")&amp;IF(AND(Q13&lt;&gt;"",Q13&lt;SG_Criteria!$B$51),"FAIL: roof fixing pull-out below "&amp;SG_Criteria!$B$51&amp;" kN. ","")&amp;IF(AND(R13&lt;&gt;"",IFERROR(VALUE(MID(R13,2,2)),0)&lt;SG_Criteria!$B$52),"FAIL: grade below C"&amp;SG_Criteria!$B$52&amp;". ","")&amp;IF(D13="Non-standard (project design)","NOTE: not an SDRE standard, needs LTA acceptance. ","")))</f>
        <v/>
      </c>
      <c r="AP13" s="9"/>
      <c r="AQ13" s="9"/>
      <c r="AR13" s="9"/>
      <c r="AS13" s="9"/>
      <c r="AT13" s="9"/>
      <c r="AU13" s="31"/>
      <c r="AV13" s="10" t="str">
        <f aca="false">IF(C13="","",IF(AND(X13="Approved",ISERROR(SEARCH("FAIL",AO13))),"Y","N"))</f>
        <v/>
      </c>
      <c r="AW13" s="10" t="str">
        <f aca="false">IF(C13="","",C13&amp;"|"&amp;E13&amp;"|"&amp;F13&amp;"|"&amp;AV13)</f>
        <v/>
      </c>
    </row>
    <row r="14" customFormat="false" ht="15" hidden="false" customHeight="false" outlineLevel="0" collapsed="false">
      <c r="A14" s="10" t="str">
        <f aca="false">IF(C14="","","LKW-"&amp;IFERROR(VLOOKUP(C14,Lists!$AQ$4:$AR$17,2,0),"??")&amp;"-W"&amp;TEXT(E14*1000,"0000")&amp;"-H"&amp;TEXT(F14*1000,"0000")&amp;"-B"&amp;TEXT(G14*1000,"0000")&amp;"-"&amp;W14)</f>
        <v/>
      </c>
      <c r="B14" s="10" t="str">
        <f aca="false">IF(C14="","",C14&amp;", "&amp;E14&amp;" m wide, "&amp;F14&amp;" m headroom, "&amp;G14&amp;" m bays, "&amp;H14&amp;" ("&amp;D14&amp;")")</f>
        <v/>
      </c>
      <c r="C14" s="9"/>
      <c r="D14" s="9"/>
      <c r="E14" s="43"/>
      <c r="F14" s="43"/>
      <c r="G14" s="43"/>
      <c r="H14" s="9"/>
      <c r="I14" s="9"/>
      <c r="J14" s="9"/>
      <c r="K14" s="9"/>
      <c r="L14" s="9"/>
      <c r="M14" s="9"/>
      <c r="N14" s="9"/>
      <c r="O14" s="9"/>
      <c r="P14" s="40"/>
      <c r="Q14" s="43"/>
      <c r="R14" s="9"/>
      <c r="S14" s="9"/>
      <c r="T14" s="9"/>
      <c r="U14" s="43"/>
      <c r="V14" s="9"/>
      <c r="W14" s="9"/>
      <c r="X14" s="9"/>
      <c r="Y14" s="9"/>
      <c r="Z14" s="9"/>
      <c r="AA14" s="9"/>
      <c r="AB14" s="10" t="str">
        <f aca="false">IF(A14="","",SG_Criteria!$B$6&amp;SG_Criteria!$B$12&amp;"\"&amp;A14&amp;"\")</f>
        <v/>
      </c>
      <c r="AC14" s="10" t="str">
        <f aca="false">IF(A14="","",A14&amp;"_CAD.dwg")</f>
        <v/>
      </c>
      <c r="AD14" s="10" t="str">
        <f aca="false">IF(A14="","",A14&amp;"_DWG.pdf")</f>
        <v/>
      </c>
      <c r="AE14" s="10" t="str">
        <f aca="false">IF(A14="","",IF(AA14="Y",A14&amp;"_STAAD.std","n/a"))</f>
        <v/>
      </c>
      <c r="AF14" s="10" t="str">
        <f aca="false">IF(A14="","",A14&amp;"_CALC.xlsx")</f>
        <v/>
      </c>
      <c r="AG14" s="10" t="str">
        <f aca="false">IF(A14="","",A14&amp;"_CALC.pdf")</f>
        <v/>
      </c>
      <c r="AH14" s="9"/>
      <c r="AI14" s="9"/>
      <c r="AJ14" s="41"/>
      <c r="AK14" s="41"/>
      <c r="AL14" s="41"/>
      <c r="AM14" s="41"/>
      <c r="AN14" s="41"/>
      <c r="AO14" s="38" t="str">
        <f aca="false">IF(C14="","",IF(LEN(IF(AND(C14&lt;&gt;"High Covered Linkway",F14&lt;SG_Criteria!$B$46),"FAIL: headroom below "&amp;SG_Criteria!$B$46&amp;" m. ","")&amp;IF(AND(C14="High Covered Linkway",F14&lt;SG_Criteria!$B$47),"FAIL: high linkway headroom below "&amp;SG_Criteria!$B$47&amp;" m. ","")&amp;IF(E14&lt;SG_Criteria!$B$48,"FAIL: roof width below "&amp;SG_Criteria!$B$48&amp;" m. ",IF(E14&lt;SG_Criteria!$B$49,"NOTE: not for MRT/LRT or high-traffic routes (min "&amp;SG_Criteria!$B$49&amp;" m). ",""))&amp;IF(AND(P14&lt;&gt;"",P14&lt;SG_Criteria!$B$50),"FAIL: wind speed below "&amp;SG_Criteria!$B$50&amp;" m/s. ","")&amp;IF(AND(Q14&lt;&gt;"",Q14&lt;SG_Criteria!$B$51),"FAIL: roof fixing pull-out below "&amp;SG_Criteria!$B$51&amp;" kN. ","")&amp;IF(AND(R14&lt;&gt;"",IFERROR(VALUE(MID(R14,2,2)),0)&lt;SG_Criteria!$B$52),"FAIL: grade below C"&amp;SG_Criteria!$B$52&amp;". ","")&amp;IF(D14="Non-standard (project design)","NOTE: not an SDRE standard, needs LTA acceptance. ",""))=0,"OK",IF(AND(C14&lt;&gt;"High Covered Linkway",F14&lt;SG_Criteria!$B$46),"FAIL: headroom below "&amp;SG_Criteria!$B$46&amp;" m. ","")&amp;IF(AND(C14="High Covered Linkway",F14&lt;SG_Criteria!$B$47),"FAIL: high linkway headroom below "&amp;SG_Criteria!$B$47&amp;" m. ","")&amp;IF(E14&lt;SG_Criteria!$B$48,"FAIL: roof width below "&amp;SG_Criteria!$B$48&amp;" m. ",IF(E14&lt;SG_Criteria!$B$49,"NOTE: not for MRT/LRT or high-traffic routes (min "&amp;SG_Criteria!$B$49&amp;" m). ",""))&amp;IF(AND(P14&lt;&gt;"",P14&lt;SG_Criteria!$B$50),"FAIL: wind speed below "&amp;SG_Criteria!$B$50&amp;" m/s. ","")&amp;IF(AND(Q14&lt;&gt;"",Q14&lt;SG_Criteria!$B$51),"FAIL: roof fixing pull-out below "&amp;SG_Criteria!$B$51&amp;" kN. ","")&amp;IF(AND(R14&lt;&gt;"",IFERROR(VALUE(MID(R14,2,2)),0)&lt;SG_Criteria!$B$52),"FAIL: grade below C"&amp;SG_Criteria!$B$52&amp;". ","")&amp;IF(D14="Non-standard (project design)","NOTE: not an SDRE standard, needs LTA acceptance. ","")))</f>
        <v/>
      </c>
      <c r="AP14" s="9"/>
      <c r="AQ14" s="9"/>
      <c r="AR14" s="9"/>
      <c r="AS14" s="9"/>
      <c r="AT14" s="9"/>
      <c r="AU14" s="31"/>
      <c r="AV14" s="10" t="str">
        <f aca="false">IF(C14="","",IF(AND(X14="Approved",ISERROR(SEARCH("FAIL",AO14))),"Y","N"))</f>
        <v/>
      </c>
      <c r="AW14" s="10" t="str">
        <f aca="false">IF(C14="","",C14&amp;"|"&amp;E14&amp;"|"&amp;F14&amp;"|"&amp;AV14)</f>
        <v/>
      </c>
    </row>
    <row r="15" customFormat="false" ht="15" hidden="false" customHeight="false" outlineLevel="0" collapsed="false">
      <c r="A15" s="10" t="str">
        <f aca="false">IF(C15="","","LKW-"&amp;IFERROR(VLOOKUP(C15,Lists!$AQ$4:$AR$17,2,0),"??")&amp;"-W"&amp;TEXT(E15*1000,"0000")&amp;"-H"&amp;TEXT(F15*1000,"0000")&amp;"-B"&amp;TEXT(G15*1000,"0000")&amp;"-"&amp;W15)</f>
        <v/>
      </c>
      <c r="B15" s="10" t="str">
        <f aca="false">IF(C15="","",C15&amp;", "&amp;E15&amp;" m wide, "&amp;F15&amp;" m headroom, "&amp;G15&amp;" m bays, "&amp;H15&amp;" ("&amp;D15&amp;")")</f>
        <v/>
      </c>
      <c r="C15" s="9"/>
      <c r="D15" s="9"/>
      <c r="E15" s="43"/>
      <c r="F15" s="43"/>
      <c r="G15" s="43"/>
      <c r="H15" s="9"/>
      <c r="I15" s="9"/>
      <c r="J15" s="9"/>
      <c r="K15" s="9"/>
      <c r="L15" s="9"/>
      <c r="M15" s="9"/>
      <c r="N15" s="9"/>
      <c r="O15" s="9"/>
      <c r="P15" s="40"/>
      <c r="Q15" s="43"/>
      <c r="R15" s="9"/>
      <c r="S15" s="9"/>
      <c r="T15" s="9"/>
      <c r="U15" s="43"/>
      <c r="V15" s="9"/>
      <c r="W15" s="9"/>
      <c r="X15" s="9"/>
      <c r="Y15" s="9"/>
      <c r="Z15" s="9"/>
      <c r="AA15" s="9"/>
      <c r="AB15" s="10" t="str">
        <f aca="false">IF(A15="","",SG_Criteria!$B$6&amp;SG_Criteria!$B$12&amp;"\"&amp;A15&amp;"\")</f>
        <v/>
      </c>
      <c r="AC15" s="10" t="str">
        <f aca="false">IF(A15="","",A15&amp;"_CAD.dwg")</f>
        <v/>
      </c>
      <c r="AD15" s="10" t="str">
        <f aca="false">IF(A15="","",A15&amp;"_DWG.pdf")</f>
        <v/>
      </c>
      <c r="AE15" s="10" t="str">
        <f aca="false">IF(A15="","",IF(AA15="Y",A15&amp;"_STAAD.std","n/a"))</f>
        <v/>
      </c>
      <c r="AF15" s="10" t="str">
        <f aca="false">IF(A15="","",A15&amp;"_CALC.xlsx")</f>
        <v/>
      </c>
      <c r="AG15" s="10" t="str">
        <f aca="false">IF(A15="","",A15&amp;"_CALC.pdf")</f>
        <v/>
      </c>
      <c r="AH15" s="9"/>
      <c r="AI15" s="9"/>
      <c r="AJ15" s="41"/>
      <c r="AK15" s="41"/>
      <c r="AL15" s="41"/>
      <c r="AM15" s="41"/>
      <c r="AN15" s="41"/>
      <c r="AO15" s="38" t="str">
        <f aca="false">IF(C15="","",IF(LEN(IF(AND(C15&lt;&gt;"High Covered Linkway",F15&lt;SG_Criteria!$B$46),"FAIL: headroom below "&amp;SG_Criteria!$B$46&amp;" m. ","")&amp;IF(AND(C15="High Covered Linkway",F15&lt;SG_Criteria!$B$47),"FAIL: high linkway headroom below "&amp;SG_Criteria!$B$47&amp;" m. ","")&amp;IF(E15&lt;SG_Criteria!$B$48,"FAIL: roof width below "&amp;SG_Criteria!$B$48&amp;" m. ",IF(E15&lt;SG_Criteria!$B$49,"NOTE: not for MRT/LRT or high-traffic routes (min "&amp;SG_Criteria!$B$49&amp;" m). ",""))&amp;IF(AND(P15&lt;&gt;"",P15&lt;SG_Criteria!$B$50),"FAIL: wind speed below "&amp;SG_Criteria!$B$50&amp;" m/s. ","")&amp;IF(AND(Q15&lt;&gt;"",Q15&lt;SG_Criteria!$B$51),"FAIL: roof fixing pull-out below "&amp;SG_Criteria!$B$51&amp;" kN. ","")&amp;IF(AND(R15&lt;&gt;"",IFERROR(VALUE(MID(R15,2,2)),0)&lt;SG_Criteria!$B$52),"FAIL: grade below C"&amp;SG_Criteria!$B$52&amp;". ","")&amp;IF(D15="Non-standard (project design)","NOTE: not an SDRE standard, needs LTA acceptance. ",""))=0,"OK",IF(AND(C15&lt;&gt;"High Covered Linkway",F15&lt;SG_Criteria!$B$46),"FAIL: headroom below "&amp;SG_Criteria!$B$46&amp;" m. ","")&amp;IF(AND(C15="High Covered Linkway",F15&lt;SG_Criteria!$B$47),"FAIL: high linkway headroom below "&amp;SG_Criteria!$B$47&amp;" m. ","")&amp;IF(E15&lt;SG_Criteria!$B$48,"FAIL: roof width below "&amp;SG_Criteria!$B$48&amp;" m. ",IF(E15&lt;SG_Criteria!$B$49,"NOTE: not for MRT/LRT or high-traffic routes (min "&amp;SG_Criteria!$B$49&amp;" m). ",""))&amp;IF(AND(P15&lt;&gt;"",P15&lt;SG_Criteria!$B$50),"FAIL: wind speed below "&amp;SG_Criteria!$B$50&amp;" m/s. ","")&amp;IF(AND(Q15&lt;&gt;"",Q15&lt;SG_Criteria!$B$51),"FAIL: roof fixing pull-out below "&amp;SG_Criteria!$B$51&amp;" kN. ","")&amp;IF(AND(R15&lt;&gt;"",IFERROR(VALUE(MID(R15,2,2)),0)&lt;SG_Criteria!$B$52),"FAIL: grade below C"&amp;SG_Criteria!$B$52&amp;". ","")&amp;IF(D15="Non-standard (project design)","NOTE: not an SDRE standard, needs LTA acceptance. ","")))</f>
        <v/>
      </c>
      <c r="AP15" s="9"/>
      <c r="AQ15" s="9"/>
      <c r="AR15" s="9"/>
      <c r="AS15" s="9"/>
      <c r="AT15" s="9"/>
      <c r="AU15" s="31"/>
      <c r="AV15" s="10" t="str">
        <f aca="false">IF(C15="","",IF(AND(X15="Approved",ISERROR(SEARCH("FAIL",AO15))),"Y","N"))</f>
        <v/>
      </c>
      <c r="AW15" s="10" t="str">
        <f aca="false">IF(C15="","",C15&amp;"|"&amp;E15&amp;"|"&amp;F15&amp;"|"&amp;AV15)</f>
        <v/>
      </c>
    </row>
    <row r="16" customFormat="false" ht="15" hidden="false" customHeight="false" outlineLevel="0" collapsed="false">
      <c r="A16" s="10" t="str">
        <f aca="false">IF(C16="","","LKW-"&amp;IFERROR(VLOOKUP(C16,Lists!$AQ$4:$AR$17,2,0),"??")&amp;"-W"&amp;TEXT(E16*1000,"0000")&amp;"-H"&amp;TEXT(F16*1000,"0000")&amp;"-B"&amp;TEXT(G16*1000,"0000")&amp;"-"&amp;W16)</f>
        <v/>
      </c>
      <c r="B16" s="10" t="str">
        <f aca="false">IF(C16="","",C16&amp;", "&amp;E16&amp;" m wide, "&amp;F16&amp;" m headroom, "&amp;G16&amp;" m bays, "&amp;H16&amp;" ("&amp;D16&amp;")")</f>
        <v/>
      </c>
      <c r="C16" s="9"/>
      <c r="D16" s="9"/>
      <c r="E16" s="43"/>
      <c r="F16" s="43"/>
      <c r="G16" s="43"/>
      <c r="H16" s="9"/>
      <c r="I16" s="9"/>
      <c r="J16" s="9"/>
      <c r="K16" s="9"/>
      <c r="L16" s="9"/>
      <c r="M16" s="9"/>
      <c r="N16" s="9"/>
      <c r="O16" s="9"/>
      <c r="P16" s="40"/>
      <c r="Q16" s="43"/>
      <c r="R16" s="9"/>
      <c r="S16" s="9"/>
      <c r="T16" s="9"/>
      <c r="U16" s="43"/>
      <c r="V16" s="9"/>
      <c r="W16" s="9"/>
      <c r="X16" s="9"/>
      <c r="Y16" s="9"/>
      <c r="Z16" s="9"/>
      <c r="AA16" s="9"/>
      <c r="AB16" s="10" t="str">
        <f aca="false">IF(A16="","",SG_Criteria!$B$6&amp;SG_Criteria!$B$12&amp;"\"&amp;A16&amp;"\")</f>
        <v/>
      </c>
      <c r="AC16" s="10" t="str">
        <f aca="false">IF(A16="","",A16&amp;"_CAD.dwg")</f>
        <v/>
      </c>
      <c r="AD16" s="10" t="str">
        <f aca="false">IF(A16="","",A16&amp;"_DWG.pdf")</f>
        <v/>
      </c>
      <c r="AE16" s="10" t="str">
        <f aca="false">IF(A16="","",IF(AA16="Y",A16&amp;"_STAAD.std","n/a"))</f>
        <v/>
      </c>
      <c r="AF16" s="10" t="str">
        <f aca="false">IF(A16="","",A16&amp;"_CALC.xlsx")</f>
        <v/>
      </c>
      <c r="AG16" s="10" t="str">
        <f aca="false">IF(A16="","",A16&amp;"_CALC.pdf")</f>
        <v/>
      </c>
      <c r="AH16" s="9"/>
      <c r="AI16" s="9"/>
      <c r="AJ16" s="41"/>
      <c r="AK16" s="41"/>
      <c r="AL16" s="41"/>
      <c r="AM16" s="41"/>
      <c r="AN16" s="41"/>
      <c r="AO16" s="38" t="str">
        <f aca="false">IF(C16="","",IF(LEN(IF(AND(C16&lt;&gt;"High Covered Linkway",F16&lt;SG_Criteria!$B$46),"FAIL: headroom below "&amp;SG_Criteria!$B$46&amp;" m. ","")&amp;IF(AND(C16="High Covered Linkway",F16&lt;SG_Criteria!$B$47),"FAIL: high linkway headroom below "&amp;SG_Criteria!$B$47&amp;" m. ","")&amp;IF(E16&lt;SG_Criteria!$B$48,"FAIL: roof width below "&amp;SG_Criteria!$B$48&amp;" m. ",IF(E16&lt;SG_Criteria!$B$49,"NOTE: not for MRT/LRT or high-traffic routes (min "&amp;SG_Criteria!$B$49&amp;" m). ",""))&amp;IF(AND(P16&lt;&gt;"",P16&lt;SG_Criteria!$B$50),"FAIL: wind speed below "&amp;SG_Criteria!$B$50&amp;" m/s. ","")&amp;IF(AND(Q16&lt;&gt;"",Q16&lt;SG_Criteria!$B$51),"FAIL: roof fixing pull-out below "&amp;SG_Criteria!$B$51&amp;" kN. ","")&amp;IF(AND(R16&lt;&gt;"",IFERROR(VALUE(MID(R16,2,2)),0)&lt;SG_Criteria!$B$52),"FAIL: grade below C"&amp;SG_Criteria!$B$52&amp;". ","")&amp;IF(D16="Non-standard (project design)","NOTE: not an SDRE standard, needs LTA acceptance. ",""))=0,"OK",IF(AND(C16&lt;&gt;"High Covered Linkway",F16&lt;SG_Criteria!$B$46),"FAIL: headroom below "&amp;SG_Criteria!$B$46&amp;" m. ","")&amp;IF(AND(C16="High Covered Linkway",F16&lt;SG_Criteria!$B$47),"FAIL: high linkway headroom below "&amp;SG_Criteria!$B$47&amp;" m. ","")&amp;IF(E16&lt;SG_Criteria!$B$48,"FAIL: roof width below "&amp;SG_Criteria!$B$48&amp;" m. ",IF(E16&lt;SG_Criteria!$B$49,"NOTE: not for MRT/LRT or high-traffic routes (min "&amp;SG_Criteria!$B$49&amp;" m). ",""))&amp;IF(AND(P16&lt;&gt;"",P16&lt;SG_Criteria!$B$50),"FAIL: wind speed below "&amp;SG_Criteria!$B$50&amp;" m/s. ","")&amp;IF(AND(Q16&lt;&gt;"",Q16&lt;SG_Criteria!$B$51),"FAIL: roof fixing pull-out below "&amp;SG_Criteria!$B$51&amp;" kN. ","")&amp;IF(AND(R16&lt;&gt;"",IFERROR(VALUE(MID(R16,2,2)),0)&lt;SG_Criteria!$B$52),"FAIL: grade below C"&amp;SG_Criteria!$B$52&amp;". ","")&amp;IF(D16="Non-standard (project design)","NOTE: not an SDRE standard, needs LTA acceptance. ","")))</f>
        <v/>
      </c>
      <c r="AP16" s="9"/>
      <c r="AQ16" s="9"/>
      <c r="AR16" s="9"/>
      <c r="AS16" s="9"/>
      <c r="AT16" s="9"/>
      <c r="AU16" s="31"/>
      <c r="AV16" s="10" t="str">
        <f aca="false">IF(C16="","",IF(AND(X16="Approved",ISERROR(SEARCH("FAIL",AO16))),"Y","N"))</f>
        <v/>
      </c>
      <c r="AW16" s="10" t="str">
        <f aca="false">IF(C16="","",C16&amp;"|"&amp;E16&amp;"|"&amp;F16&amp;"|"&amp;AV16)</f>
        <v/>
      </c>
    </row>
    <row r="17" customFormat="false" ht="15" hidden="false" customHeight="false" outlineLevel="0" collapsed="false">
      <c r="A17" s="10" t="str">
        <f aca="false">IF(C17="","","LKW-"&amp;IFERROR(VLOOKUP(C17,Lists!$AQ$4:$AR$17,2,0),"??")&amp;"-W"&amp;TEXT(E17*1000,"0000")&amp;"-H"&amp;TEXT(F17*1000,"0000")&amp;"-B"&amp;TEXT(G17*1000,"0000")&amp;"-"&amp;W17)</f>
        <v/>
      </c>
      <c r="B17" s="10" t="str">
        <f aca="false">IF(C17="","",C17&amp;", "&amp;E17&amp;" m wide, "&amp;F17&amp;" m headroom, "&amp;G17&amp;" m bays, "&amp;H17&amp;" ("&amp;D17&amp;")")</f>
        <v/>
      </c>
      <c r="C17" s="9"/>
      <c r="D17" s="9"/>
      <c r="E17" s="43"/>
      <c r="F17" s="43"/>
      <c r="G17" s="43"/>
      <c r="H17" s="9"/>
      <c r="I17" s="9"/>
      <c r="J17" s="9"/>
      <c r="K17" s="9"/>
      <c r="L17" s="9"/>
      <c r="M17" s="9"/>
      <c r="N17" s="9"/>
      <c r="O17" s="9"/>
      <c r="P17" s="40"/>
      <c r="Q17" s="43"/>
      <c r="R17" s="9"/>
      <c r="S17" s="9"/>
      <c r="T17" s="9"/>
      <c r="U17" s="43"/>
      <c r="V17" s="9"/>
      <c r="W17" s="9"/>
      <c r="X17" s="9"/>
      <c r="Y17" s="9"/>
      <c r="Z17" s="9"/>
      <c r="AA17" s="9"/>
      <c r="AB17" s="10" t="str">
        <f aca="false">IF(A17="","",SG_Criteria!$B$6&amp;SG_Criteria!$B$12&amp;"\"&amp;A17&amp;"\")</f>
        <v/>
      </c>
      <c r="AC17" s="10" t="str">
        <f aca="false">IF(A17="","",A17&amp;"_CAD.dwg")</f>
        <v/>
      </c>
      <c r="AD17" s="10" t="str">
        <f aca="false">IF(A17="","",A17&amp;"_DWG.pdf")</f>
        <v/>
      </c>
      <c r="AE17" s="10" t="str">
        <f aca="false">IF(A17="","",IF(AA17="Y",A17&amp;"_STAAD.std","n/a"))</f>
        <v/>
      </c>
      <c r="AF17" s="10" t="str">
        <f aca="false">IF(A17="","",A17&amp;"_CALC.xlsx")</f>
        <v/>
      </c>
      <c r="AG17" s="10" t="str">
        <f aca="false">IF(A17="","",A17&amp;"_CALC.pdf")</f>
        <v/>
      </c>
      <c r="AH17" s="9"/>
      <c r="AI17" s="9"/>
      <c r="AJ17" s="41"/>
      <c r="AK17" s="41"/>
      <c r="AL17" s="41"/>
      <c r="AM17" s="41"/>
      <c r="AN17" s="41"/>
      <c r="AO17" s="38" t="str">
        <f aca="false">IF(C17="","",IF(LEN(IF(AND(C17&lt;&gt;"High Covered Linkway",F17&lt;SG_Criteria!$B$46),"FAIL: headroom below "&amp;SG_Criteria!$B$46&amp;" m. ","")&amp;IF(AND(C17="High Covered Linkway",F17&lt;SG_Criteria!$B$47),"FAIL: high linkway headroom below "&amp;SG_Criteria!$B$47&amp;" m. ","")&amp;IF(E17&lt;SG_Criteria!$B$48,"FAIL: roof width below "&amp;SG_Criteria!$B$48&amp;" m. ",IF(E17&lt;SG_Criteria!$B$49,"NOTE: not for MRT/LRT or high-traffic routes (min "&amp;SG_Criteria!$B$49&amp;" m). ",""))&amp;IF(AND(P17&lt;&gt;"",P17&lt;SG_Criteria!$B$50),"FAIL: wind speed below "&amp;SG_Criteria!$B$50&amp;" m/s. ","")&amp;IF(AND(Q17&lt;&gt;"",Q17&lt;SG_Criteria!$B$51),"FAIL: roof fixing pull-out below "&amp;SG_Criteria!$B$51&amp;" kN. ","")&amp;IF(AND(R17&lt;&gt;"",IFERROR(VALUE(MID(R17,2,2)),0)&lt;SG_Criteria!$B$52),"FAIL: grade below C"&amp;SG_Criteria!$B$52&amp;". ","")&amp;IF(D17="Non-standard (project design)","NOTE: not an SDRE standard, needs LTA acceptance. ",""))=0,"OK",IF(AND(C17&lt;&gt;"High Covered Linkway",F17&lt;SG_Criteria!$B$46),"FAIL: headroom below "&amp;SG_Criteria!$B$46&amp;" m. ","")&amp;IF(AND(C17="High Covered Linkway",F17&lt;SG_Criteria!$B$47),"FAIL: high linkway headroom below "&amp;SG_Criteria!$B$47&amp;" m. ","")&amp;IF(E17&lt;SG_Criteria!$B$48,"FAIL: roof width below "&amp;SG_Criteria!$B$48&amp;" m. ",IF(E17&lt;SG_Criteria!$B$49,"NOTE: not for MRT/LRT or high-traffic routes (min "&amp;SG_Criteria!$B$49&amp;" m). ",""))&amp;IF(AND(P17&lt;&gt;"",P17&lt;SG_Criteria!$B$50),"FAIL: wind speed below "&amp;SG_Criteria!$B$50&amp;" m/s. ","")&amp;IF(AND(Q17&lt;&gt;"",Q17&lt;SG_Criteria!$B$51),"FAIL: roof fixing pull-out below "&amp;SG_Criteria!$B$51&amp;" kN. ","")&amp;IF(AND(R17&lt;&gt;"",IFERROR(VALUE(MID(R17,2,2)),0)&lt;SG_Criteria!$B$52),"FAIL: grade below C"&amp;SG_Criteria!$B$52&amp;". ","")&amp;IF(D17="Non-standard (project design)","NOTE: not an SDRE standard, needs LTA acceptance. ","")))</f>
        <v/>
      </c>
      <c r="AP17" s="9"/>
      <c r="AQ17" s="9"/>
      <c r="AR17" s="9"/>
      <c r="AS17" s="9"/>
      <c r="AT17" s="9"/>
      <c r="AU17" s="31"/>
      <c r="AV17" s="10" t="str">
        <f aca="false">IF(C17="","",IF(AND(X17="Approved",ISERROR(SEARCH("FAIL",AO17))),"Y","N"))</f>
        <v/>
      </c>
      <c r="AW17" s="10" t="str">
        <f aca="false">IF(C17="","",C17&amp;"|"&amp;E17&amp;"|"&amp;F17&amp;"|"&amp;AV17)</f>
        <v/>
      </c>
    </row>
    <row r="18" customFormat="false" ht="15" hidden="false" customHeight="false" outlineLevel="0" collapsed="false">
      <c r="A18" s="10" t="str">
        <f aca="false">IF(C18="","","LKW-"&amp;IFERROR(VLOOKUP(C18,Lists!$AQ$4:$AR$17,2,0),"??")&amp;"-W"&amp;TEXT(E18*1000,"0000")&amp;"-H"&amp;TEXT(F18*1000,"0000")&amp;"-B"&amp;TEXT(G18*1000,"0000")&amp;"-"&amp;W18)</f>
        <v/>
      </c>
      <c r="B18" s="10" t="str">
        <f aca="false">IF(C18="","",C18&amp;", "&amp;E18&amp;" m wide, "&amp;F18&amp;" m headroom, "&amp;G18&amp;" m bays, "&amp;H18&amp;" ("&amp;D18&amp;")")</f>
        <v/>
      </c>
      <c r="C18" s="9"/>
      <c r="D18" s="9"/>
      <c r="E18" s="43"/>
      <c r="F18" s="43"/>
      <c r="G18" s="43"/>
      <c r="H18" s="9"/>
      <c r="I18" s="9"/>
      <c r="J18" s="9"/>
      <c r="K18" s="9"/>
      <c r="L18" s="9"/>
      <c r="M18" s="9"/>
      <c r="N18" s="9"/>
      <c r="O18" s="9"/>
      <c r="P18" s="40"/>
      <c r="Q18" s="43"/>
      <c r="R18" s="9"/>
      <c r="S18" s="9"/>
      <c r="T18" s="9"/>
      <c r="U18" s="43"/>
      <c r="V18" s="9"/>
      <c r="W18" s="9"/>
      <c r="X18" s="9"/>
      <c r="Y18" s="9"/>
      <c r="Z18" s="9"/>
      <c r="AA18" s="9"/>
      <c r="AB18" s="10" t="str">
        <f aca="false">IF(A18="","",SG_Criteria!$B$6&amp;SG_Criteria!$B$12&amp;"\"&amp;A18&amp;"\")</f>
        <v/>
      </c>
      <c r="AC18" s="10" t="str">
        <f aca="false">IF(A18="","",A18&amp;"_CAD.dwg")</f>
        <v/>
      </c>
      <c r="AD18" s="10" t="str">
        <f aca="false">IF(A18="","",A18&amp;"_DWG.pdf")</f>
        <v/>
      </c>
      <c r="AE18" s="10" t="str">
        <f aca="false">IF(A18="","",IF(AA18="Y",A18&amp;"_STAAD.std","n/a"))</f>
        <v/>
      </c>
      <c r="AF18" s="10" t="str">
        <f aca="false">IF(A18="","",A18&amp;"_CALC.xlsx")</f>
        <v/>
      </c>
      <c r="AG18" s="10" t="str">
        <f aca="false">IF(A18="","",A18&amp;"_CALC.pdf")</f>
        <v/>
      </c>
      <c r="AH18" s="9"/>
      <c r="AI18" s="9"/>
      <c r="AJ18" s="41"/>
      <c r="AK18" s="41"/>
      <c r="AL18" s="41"/>
      <c r="AM18" s="41"/>
      <c r="AN18" s="41"/>
      <c r="AO18" s="38" t="str">
        <f aca="false">IF(C18="","",IF(LEN(IF(AND(C18&lt;&gt;"High Covered Linkway",F18&lt;SG_Criteria!$B$46),"FAIL: headroom below "&amp;SG_Criteria!$B$46&amp;" m. ","")&amp;IF(AND(C18="High Covered Linkway",F18&lt;SG_Criteria!$B$47),"FAIL: high linkway headroom below "&amp;SG_Criteria!$B$47&amp;" m. ","")&amp;IF(E18&lt;SG_Criteria!$B$48,"FAIL: roof width below "&amp;SG_Criteria!$B$48&amp;" m. ",IF(E18&lt;SG_Criteria!$B$49,"NOTE: not for MRT/LRT or high-traffic routes (min "&amp;SG_Criteria!$B$49&amp;" m). ",""))&amp;IF(AND(P18&lt;&gt;"",P18&lt;SG_Criteria!$B$50),"FAIL: wind speed below "&amp;SG_Criteria!$B$50&amp;" m/s. ","")&amp;IF(AND(Q18&lt;&gt;"",Q18&lt;SG_Criteria!$B$51),"FAIL: roof fixing pull-out below "&amp;SG_Criteria!$B$51&amp;" kN. ","")&amp;IF(AND(R18&lt;&gt;"",IFERROR(VALUE(MID(R18,2,2)),0)&lt;SG_Criteria!$B$52),"FAIL: grade below C"&amp;SG_Criteria!$B$52&amp;". ","")&amp;IF(D18="Non-standard (project design)","NOTE: not an SDRE standard, needs LTA acceptance. ",""))=0,"OK",IF(AND(C18&lt;&gt;"High Covered Linkway",F18&lt;SG_Criteria!$B$46),"FAIL: headroom below "&amp;SG_Criteria!$B$46&amp;" m. ","")&amp;IF(AND(C18="High Covered Linkway",F18&lt;SG_Criteria!$B$47),"FAIL: high linkway headroom below "&amp;SG_Criteria!$B$47&amp;" m. ","")&amp;IF(E18&lt;SG_Criteria!$B$48,"FAIL: roof width below "&amp;SG_Criteria!$B$48&amp;" m. ",IF(E18&lt;SG_Criteria!$B$49,"NOTE: not for MRT/LRT or high-traffic routes (min "&amp;SG_Criteria!$B$49&amp;" m). ",""))&amp;IF(AND(P18&lt;&gt;"",P18&lt;SG_Criteria!$B$50),"FAIL: wind speed below "&amp;SG_Criteria!$B$50&amp;" m/s. ","")&amp;IF(AND(Q18&lt;&gt;"",Q18&lt;SG_Criteria!$B$51),"FAIL: roof fixing pull-out below "&amp;SG_Criteria!$B$51&amp;" kN. ","")&amp;IF(AND(R18&lt;&gt;"",IFERROR(VALUE(MID(R18,2,2)),0)&lt;SG_Criteria!$B$52),"FAIL: grade below C"&amp;SG_Criteria!$B$52&amp;". ","")&amp;IF(D18="Non-standard (project design)","NOTE: not an SDRE standard, needs LTA acceptance. ","")))</f>
        <v/>
      </c>
      <c r="AP18" s="9"/>
      <c r="AQ18" s="9"/>
      <c r="AR18" s="9"/>
      <c r="AS18" s="9"/>
      <c r="AT18" s="9"/>
      <c r="AU18" s="31"/>
      <c r="AV18" s="10" t="str">
        <f aca="false">IF(C18="","",IF(AND(X18="Approved",ISERROR(SEARCH("FAIL",AO18))),"Y","N"))</f>
        <v/>
      </c>
      <c r="AW18" s="10" t="str">
        <f aca="false">IF(C18="","",C18&amp;"|"&amp;E18&amp;"|"&amp;F18&amp;"|"&amp;AV18)</f>
        <v/>
      </c>
    </row>
    <row r="19" customFormat="false" ht="15" hidden="false" customHeight="false" outlineLevel="0" collapsed="false">
      <c r="A19" s="10" t="str">
        <f aca="false">IF(C19="","","LKW-"&amp;IFERROR(VLOOKUP(C19,Lists!$AQ$4:$AR$17,2,0),"??")&amp;"-W"&amp;TEXT(E19*1000,"0000")&amp;"-H"&amp;TEXT(F19*1000,"0000")&amp;"-B"&amp;TEXT(G19*1000,"0000")&amp;"-"&amp;W19)</f>
        <v/>
      </c>
      <c r="B19" s="10" t="str">
        <f aca="false">IF(C19="","",C19&amp;", "&amp;E19&amp;" m wide, "&amp;F19&amp;" m headroom, "&amp;G19&amp;" m bays, "&amp;H19&amp;" ("&amp;D19&amp;")")</f>
        <v/>
      </c>
      <c r="C19" s="9"/>
      <c r="D19" s="9"/>
      <c r="E19" s="43"/>
      <c r="F19" s="43"/>
      <c r="G19" s="43"/>
      <c r="H19" s="9"/>
      <c r="I19" s="9"/>
      <c r="J19" s="9"/>
      <c r="K19" s="9"/>
      <c r="L19" s="9"/>
      <c r="M19" s="9"/>
      <c r="N19" s="9"/>
      <c r="O19" s="9"/>
      <c r="P19" s="40"/>
      <c r="Q19" s="43"/>
      <c r="R19" s="9"/>
      <c r="S19" s="9"/>
      <c r="T19" s="9"/>
      <c r="U19" s="43"/>
      <c r="V19" s="9"/>
      <c r="W19" s="9"/>
      <c r="X19" s="9"/>
      <c r="Y19" s="9"/>
      <c r="Z19" s="9"/>
      <c r="AA19" s="9"/>
      <c r="AB19" s="10" t="str">
        <f aca="false">IF(A19="","",SG_Criteria!$B$6&amp;SG_Criteria!$B$12&amp;"\"&amp;A19&amp;"\")</f>
        <v/>
      </c>
      <c r="AC19" s="10" t="str">
        <f aca="false">IF(A19="","",A19&amp;"_CAD.dwg")</f>
        <v/>
      </c>
      <c r="AD19" s="10" t="str">
        <f aca="false">IF(A19="","",A19&amp;"_DWG.pdf")</f>
        <v/>
      </c>
      <c r="AE19" s="10" t="str">
        <f aca="false">IF(A19="","",IF(AA19="Y",A19&amp;"_STAAD.std","n/a"))</f>
        <v/>
      </c>
      <c r="AF19" s="10" t="str">
        <f aca="false">IF(A19="","",A19&amp;"_CALC.xlsx")</f>
        <v/>
      </c>
      <c r="AG19" s="10" t="str">
        <f aca="false">IF(A19="","",A19&amp;"_CALC.pdf")</f>
        <v/>
      </c>
      <c r="AH19" s="9"/>
      <c r="AI19" s="9"/>
      <c r="AJ19" s="41"/>
      <c r="AK19" s="41"/>
      <c r="AL19" s="41"/>
      <c r="AM19" s="41"/>
      <c r="AN19" s="41"/>
      <c r="AO19" s="38" t="str">
        <f aca="false">IF(C19="","",IF(LEN(IF(AND(C19&lt;&gt;"High Covered Linkway",F19&lt;SG_Criteria!$B$46),"FAIL: headroom below "&amp;SG_Criteria!$B$46&amp;" m. ","")&amp;IF(AND(C19="High Covered Linkway",F19&lt;SG_Criteria!$B$47),"FAIL: high linkway headroom below "&amp;SG_Criteria!$B$47&amp;" m. ","")&amp;IF(E19&lt;SG_Criteria!$B$48,"FAIL: roof width below "&amp;SG_Criteria!$B$48&amp;" m. ",IF(E19&lt;SG_Criteria!$B$49,"NOTE: not for MRT/LRT or high-traffic routes (min "&amp;SG_Criteria!$B$49&amp;" m). ",""))&amp;IF(AND(P19&lt;&gt;"",P19&lt;SG_Criteria!$B$50),"FAIL: wind speed below "&amp;SG_Criteria!$B$50&amp;" m/s. ","")&amp;IF(AND(Q19&lt;&gt;"",Q19&lt;SG_Criteria!$B$51),"FAIL: roof fixing pull-out below "&amp;SG_Criteria!$B$51&amp;" kN. ","")&amp;IF(AND(R19&lt;&gt;"",IFERROR(VALUE(MID(R19,2,2)),0)&lt;SG_Criteria!$B$52),"FAIL: grade below C"&amp;SG_Criteria!$B$52&amp;". ","")&amp;IF(D19="Non-standard (project design)","NOTE: not an SDRE standard, needs LTA acceptance. ",""))=0,"OK",IF(AND(C19&lt;&gt;"High Covered Linkway",F19&lt;SG_Criteria!$B$46),"FAIL: headroom below "&amp;SG_Criteria!$B$46&amp;" m. ","")&amp;IF(AND(C19="High Covered Linkway",F19&lt;SG_Criteria!$B$47),"FAIL: high linkway headroom below "&amp;SG_Criteria!$B$47&amp;" m. ","")&amp;IF(E19&lt;SG_Criteria!$B$48,"FAIL: roof width below "&amp;SG_Criteria!$B$48&amp;" m. ",IF(E19&lt;SG_Criteria!$B$49,"NOTE: not for MRT/LRT or high-traffic routes (min "&amp;SG_Criteria!$B$49&amp;" m). ",""))&amp;IF(AND(P19&lt;&gt;"",P19&lt;SG_Criteria!$B$50),"FAIL: wind speed below "&amp;SG_Criteria!$B$50&amp;" m/s. ","")&amp;IF(AND(Q19&lt;&gt;"",Q19&lt;SG_Criteria!$B$51),"FAIL: roof fixing pull-out below "&amp;SG_Criteria!$B$51&amp;" kN. ","")&amp;IF(AND(R19&lt;&gt;"",IFERROR(VALUE(MID(R19,2,2)),0)&lt;SG_Criteria!$B$52),"FAIL: grade below C"&amp;SG_Criteria!$B$52&amp;". ","")&amp;IF(D19="Non-standard (project design)","NOTE: not an SDRE standard, needs LTA acceptance. ","")))</f>
        <v/>
      </c>
      <c r="AP19" s="9"/>
      <c r="AQ19" s="9"/>
      <c r="AR19" s="9"/>
      <c r="AS19" s="9"/>
      <c r="AT19" s="9"/>
      <c r="AU19" s="31"/>
      <c r="AV19" s="10" t="str">
        <f aca="false">IF(C19="","",IF(AND(X19="Approved",ISERROR(SEARCH("FAIL",AO19))),"Y","N"))</f>
        <v/>
      </c>
      <c r="AW19" s="10" t="str">
        <f aca="false">IF(C19="","",C19&amp;"|"&amp;E19&amp;"|"&amp;F19&amp;"|"&amp;AV19)</f>
        <v/>
      </c>
    </row>
    <row r="20" customFormat="false" ht="15" hidden="false" customHeight="false" outlineLevel="0" collapsed="false">
      <c r="A20" s="10" t="str">
        <f aca="false">IF(C20="","","LKW-"&amp;IFERROR(VLOOKUP(C20,Lists!$AQ$4:$AR$17,2,0),"??")&amp;"-W"&amp;TEXT(E20*1000,"0000")&amp;"-H"&amp;TEXT(F20*1000,"0000")&amp;"-B"&amp;TEXT(G20*1000,"0000")&amp;"-"&amp;W20)</f>
        <v/>
      </c>
      <c r="B20" s="10" t="str">
        <f aca="false">IF(C20="","",C20&amp;", "&amp;E20&amp;" m wide, "&amp;F20&amp;" m headroom, "&amp;G20&amp;" m bays, "&amp;H20&amp;" ("&amp;D20&amp;")")</f>
        <v/>
      </c>
      <c r="C20" s="9"/>
      <c r="D20" s="9"/>
      <c r="E20" s="43"/>
      <c r="F20" s="43"/>
      <c r="G20" s="43"/>
      <c r="H20" s="9"/>
      <c r="I20" s="9"/>
      <c r="J20" s="9"/>
      <c r="K20" s="9"/>
      <c r="L20" s="9"/>
      <c r="M20" s="9"/>
      <c r="N20" s="9"/>
      <c r="O20" s="9"/>
      <c r="P20" s="40"/>
      <c r="Q20" s="43"/>
      <c r="R20" s="9"/>
      <c r="S20" s="9"/>
      <c r="T20" s="9"/>
      <c r="U20" s="43"/>
      <c r="V20" s="9"/>
      <c r="W20" s="9"/>
      <c r="X20" s="9"/>
      <c r="Y20" s="9"/>
      <c r="Z20" s="9"/>
      <c r="AA20" s="9"/>
      <c r="AB20" s="10" t="str">
        <f aca="false">IF(A20="","",SG_Criteria!$B$6&amp;SG_Criteria!$B$12&amp;"\"&amp;A20&amp;"\")</f>
        <v/>
      </c>
      <c r="AC20" s="10" t="str">
        <f aca="false">IF(A20="","",A20&amp;"_CAD.dwg")</f>
        <v/>
      </c>
      <c r="AD20" s="10" t="str">
        <f aca="false">IF(A20="","",A20&amp;"_DWG.pdf")</f>
        <v/>
      </c>
      <c r="AE20" s="10" t="str">
        <f aca="false">IF(A20="","",IF(AA20="Y",A20&amp;"_STAAD.std","n/a"))</f>
        <v/>
      </c>
      <c r="AF20" s="10" t="str">
        <f aca="false">IF(A20="","",A20&amp;"_CALC.xlsx")</f>
        <v/>
      </c>
      <c r="AG20" s="10" t="str">
        <f aca="false">IF(A20="","",A20&amp;"_CALC.pdf")</f>
        <v/>
      </c>
      <c r="AH20" s="9"/>
      <c r="AI20" s="9"/>
      <c r="AJ20" s="41"/>
      <c r="AK20" s="41"/>
      <c r="AL20" s="41"/>
      <c r="AM20" s="41"/>
      <c r="AN20" s="41"/>
      <c r="AO20" s="38" t="str">
        <f aca="false">IF(C20="","",IF(LEN(IF(AND(C20&lt;&gt;"High Covered Linkway",F20&lt;SG_Criteria!$B$46),"FAIL: headroom below "&amp;SG_Criteria!$B$46&amp;" m. ","")&amp;IF(AND(C20="High Covered Linkway",F20&lt;SG_Criteria!$B$47),"FAIL: high linkway headroom below "&amp;SG_Criteria!$B$47&amp;" m. ","")&amp;IF(E20&lt;SG_Criteria!$B$48,"FAIL: roof width below "&amp;SG_Criteria!$B$48&amp;" m. ",IF(E20&lt;SG_Criteria!$B$49,"NOTE: not for MRT/LRT or high-traffic routes (min "&amp;SG_Criteria!$B$49&amp;" m). ",""))&amp;IF(AND(P20&lt;&gt;"",P20&lt;SG_Criteria!$B$50),"FAIL: wind speed below "&amp;SG_Criteria!$B$50&amp;" m/s. ","")&amp;IF(AND(Q20&lt;&gt;"",Q20&lt;SG_Criteria!$B$51),"FAIL: roof fixing pull-out below "&amp;SG_Criteria!$B$51&amp;" kN. ","")&amp;IF(AND(R20&lt;&gt;"",IFERROR(VALUE(MID(R20,2,2)),0)&lt;SG_Criteria!$B$52),"FAIL: grade below C"&amp;SG_Criteria!$B$52&amp;". ","")&amp;IF(D20="Non-standard (project design)","NOTE: not an SDRE standard, needs LTA acceptance. ",""))=0,"OK",IF(AND(C20&lt;&gt;"High Covered Linkway",F20&lt;SG_Criteria!$B$46),"FAIL: headroom below "&amp;SG_Criteria!$B$46&amp;" m. ","")&amp;IF(AND(C20="High Covered Linkway",F20&lt;SG_Criteria!$B$47),"FAIL: high linkway headroom below "&amp;SG_Criteria!$B$47&amp;" m. ","")&amp;IF(E20&lt;SG_Criteria!$B$48,"FAIL: roof width below "&amp;SG_Criteria!$B$48&amp;" m. ",IF(E20&lt;SG_Criteria!$B$49,"NOTE: not for MRT/LRT or high-traffic routes (min "&amp;SG_Criteria!$B$49&amp;" m). ",""))&amp;IF(AND(P20&lt;&gt;"",P20&lt;SG_Criteria!$B$50),"FAIL: wind speed below "&amp;SG_Criteria!$B$50&amp;" m/s. ","")&amp;IF(AND(Q20&lt;&gt;"",Q20&lt;SG_Criteria!$B$51),"FAIL: roof fixing pull-out below "&amp;SG_Criteria!$B$51&amp;" kN. ","")&amp;IF(AND(R20&lt;&gt;"",IFERROR(VALUE(MID(R20,2,2)),0)&lt;SG_Criteria!$B$52),"FAIL: grade below C"&amp;SG_Criteria!$B$52&amp;". ","")&amp;IF(D20="Non-standard (project design)","NOTE: not an SDRE standard, needs LTA acceptance. ","")))</f>
        <v/>
      </c>
      <c r="AP20" s="9"/>
      <c r="AQ20" s="9"/>
      <c r="AR20" s="9"/>
      <c r="AS20" s="9"/>
      <c r="AT20" s="9"/>
      <c r="AU20" s="31"/>
      <c r="AV20" s="10" t="str">
        <f aca="false">IF(C20="","",IF(AND(X20="Approved",ISERROR(SEARCH("FAIL",AO20))),"Y","N"))</f>
        <v/>
      </c>
      <c r="AW20" s="10" t="str">
        <f aca="false">IF(C20="","",C20&amp;"|"&amp;E20&amp;"|"&amp;F20&amp;"|"&amp;AV20)</f>
        <v/>
      </c>
    </row>
    <row r="21" customFormat="false" ht="15" hidden="false" customHeight="false" outlineLevel="0" collapsed="false">
      <c r="A21" s="10" t="str">
        <f aca="false">IF(C21="","","LKW-"&amp;IFERROR(VLOOKUP(C21,Lists!$AQ$4:$AR$17,2,0),"??")&amp;"-W"&amp;TEXT(E21*1000,"0000")&amp;"-H"&amp;TEXT(F21*1000,"0000")&amp;"-B"&amp;TEXT(G21*1000,"0000")&amp;"-"&amp;W21)</f>
        <v/>
      </c>
      <c r="B21" s="10" t="str">
        <f aca="false">IF(C21="","",C21&amp;", "&amp;E21&amp;" m wide, "&amp;F21&amp;" m headroom, "&amp;G21&amp;" m bays, "&amp;H21&amp;" ("&amp;D21&amp;")")</f>
        <v/>
      </c>
      <c r="C21" s="9"/>
      <c r="D21" s="9"/>
      <c r="E21" s="43"/>
      <c r="F21" s="43"/>
      <c r="G21" s="43"/>
      <c r="H21" s="9"/>
      <c r="I21" s="9"/>
      <c r="J21" s="9"/>
      <c r="K21" s="9"/>
      <c r="L21" s="9"/>
      <c r="M21" s="9"/>
      <c r="N21" s="9"/>
      <c r="O21" s="9"/>
      <c r="P21" s="40"/>
      <c r="Q21" s="43"/>
      <c r="R21" s="9"/>
      <c r="S21" s="9"/>
      <c r="T21" s="9"/>
      <c r="U21" s="43"/>
      <c r="V21" s="9"/>
      <c r="W21" s="9"/>
      <c r="X21" s="9"/>
      <c r="Y21" s="9"/>
      <c r="Z21" s="9"/>
      <c r="AA21" s="9"/>
      <c r="AB21" s="10" t="str">
        <f aca="false">IF(A21="","",SG_Criteria!$B$6&amp;SG_Criteria!$B$12&amp;"\"&amp;A21&amp;"\")</f>
        <v/>
      </c>
      <c r="AC21" s="10" t="str">
        <f aca="false">IF(A21="","",A21&amp;"_CAD.dwg")</f>
        <v/>
      </c>
      <c r="AD21" s="10" t="str">
        <f aca="false">IF(A21="","",A21&amp;"_DWG.pdf")</f>
        <v/>
      </c>
      <c r="AE21" s="10" t="str">
        <f aca="false">IF(A21="","",IF(AA21="Y",A21&amp;"_STAAD.std","n/a"))</f>
        <v/>
      </c>
      <c r="AF21" s="10" t="str">
        <f aca="false">IF(A21="","",A21&amp;"_CALC.xlsx")</f>
        <v/>
      </c>
      <c r="AG21" s="10" t="str">
        <f aca="false">IF(A21="","",A21&amp;"_CALC.pdf")</f>
        <v/>
      </c>
      <c r="AH21" s="9"/>
      <c r="AI21" s="9"/>
      <c r="AJ21" s="41"/>
      <c r="AK21" s="41"/>
      <c r="AL21" s="41"/>
      <c r="AM21" s="41"/>
      <c r="AN21" s="41"/>
      <c r="AO21" s="38" t="str">
        <f aca="false">IF(C21="","",IF(LEN(IF(AND(C21&lt;&gt;"High Covered Linkway",F21&lt;SG_Criteria!$B$46),"FAIL: headroom below "&amp;SG_Criteria!$B$46&amp;" m. ","")&amp;IF(AND(C21="High Covered Linkway",F21&lt;SG_Criteria!$B$47),"FAIL: high linkway headroom below "&amp;SG_Criteria!$B$47&amp;" m. ","")&amp;IF(E21&lt;SG_Criteria!$B$48,"FAIL: roof width below "&amp;SG_Criteria!$B$48&amp;" m. ",IF(E21&lt;SG_Criteria!$B$49,"NOTE: not for MRT/LRT or high-traffic routes (min "&amp;SG_Criteria!$B$49&amp;" m). ",""))&amp;IF(AND(P21&lt;&gt;"",P21&lt;SG_Criteria!$B$50),"FAIL: wind speed below "&amp;SG_Criteria!$B$50&amp;" m/s. ","")&amp;IF(AND(Q21&lt;&gt;"",Q21&lt;SG_Criteria!$B$51),"FAIL: roof fixing pull-out below "&amp;SG_Criteria!$B$51&amp;" kN. ","")&amp;IF(AND(R21&lt;&gt;"",IFERROR(VALUE(MID(R21,2,2)),0)&lt;SG_Criteria!$B$52),"FAIL: grade below C"&amp;SG_Criteria!$B$52&amp;". ","")&amp;IF(D21="Non-standard (project design)","NOTE: not an SDRE standard, needs LTA acceptance. ",""))=0,"OK",IF(AND(C21&lt;&gt;"High Covered Linkway",F21&lt;SG_Criteria!$B$46),"FAIL: headroom below "&amp;SG_Criteria!$B$46&amp;" m. ","")&amp;IF(AND(C21="High Covered Linkway",F21&lt;SG_Criteria!$B$47),"FAIL: high linkway headroom below "&amp;SG_Criteria!$B$47&amp;" m. ","")&amp;IF(E21&lt;SG_Criteria!$B$48,"FAIL: roof width below "&amp;SG_Criteria!$B$48&amp;" m. ",IF(E21&lt;SG_Criteria!$B$49,"NOTE: not for MRT/LRT or high-traffic routes (min "&amp;SG_Criteria!$B$49&amp;" m). ",""))&amp;IF(AND(P21&lt;&gt;"",P21&lt;SG_Criteria!$B$50),"FAIL: wind speed below "&amp;SG_Criteria!$B$50&amp;" m/s. ","")&amp;IF(AND(Q21&lt;&gt;"",Q21&lt;SG_Criteria!$B$51),"FAIL: roof fixing pull-out below "&amp;SG_Criteria!$B$51&amp;" kN. ","")&amp;IF(AND(R21&lt;&gt;"",IFERROR(VALUE(MID(R21,2,2)),0)&lt;SG_Criteria!$B$52),"FAIL: grade below C"&amp;SG_Criteria!$B$52&amp;". ","")&amp;IF(D21="Non-standard (project design)","NOTE: not an SDRE standard, needs LTA acceptance. ","")))</f>
        <v/>
      </c>
      <c r="AP21" s="9"/>
      <c r="AQ21" s="9"/>
      <c r="AR21" s="9"/>
      <c r="AS21" s="9"/>
      <c r="AT21" s="9"/>
      <c r="AU21" s="31"/>
      <c r="AV21" s="10" t="str">
        <f aca="false">IF(C21="","",IF(AND(X21="Approved",ISERROR(SEARCH("FAIL",AO21))),"Y","N"))</f>
        <v/>
      </c>
      <c r="AW21" s="10" t="str">
        <f aca="false">IF(C21="","",C21&amp;"|"&amp;E21&amp;"|"&amp;F21&amp;"|"&amp;AV21)</f>
        <v/>
      </c>
    </row>
    <row r="22" customFormat="false" ht="15" hidden="false" customHeight="false" outlineLevel="0" collapsed="false">
      <c r="A22" s="10" t="str">
        <f aca="false">IF(C22="","","LKW-"&amp;IFERROR(VLOOKUP(C22,Lists!$AQ$4:$AR$17,2,0),"??")&amp;"-W"&amp;TEXT(E22*1000,"0000")&amp;"-H"&amp;TEXT(F22*1000,"0000")&amp;"-B"&amp;TEXT(G22*1000,"0000")&amp;"-"&amp;W22)</f>
        <v/>
      </c>
      <c r="B22" s="10" t="str">
        <f aca="false">IF(C22="","",C22&amp;", "&amp;E22&amp;" m wide, "&amp;F22&amp;" m headroom, "&amp;G22&amp;" m bays, "&amp;H22&amp;" ("&amp;D22&amp;")")</f>
        <v/>
      </c>
      <c r="C22" s="9"/>
      <c r="D22" s="9"/>
      <c r="E22" s="43"/>
      <c r="F22" s="43"/>
      <c r="G22" s="43"/>
      <c r="H22" s="9"/>
      <c r="I22" s="9"/>
      <c r="J22" s="9"/>
      <c r="K22" s="9"/>
      <c r="L22" s="9"/>
      <c r="M22" s="9"/>
      <c r="N22" s="9"/>
      <c r="O22" s="9"/>
      <c r="P22" s="40"/>
      <c r="Q22" s="43"/>
      <c r="R22" s="9"/>
      <c r="S22" s="9"/>
      <c r="T22" s="9"/>
      <c r="U22" s="43"/>
      <c r="V22" s="9"/>
      <c r="W22" s="9"/>
      <c r="X22" s="9"/>
      <c r="Y22" s="9"/>
      <c r="Z22" s="9"/>
      <c r="AA22" s="9"/>
      <c r="AB22" s="10" t="str">
        <f aca="false">IF(A22="","",SG_Criteria!$B$6&amp;SG_Criteria!$B$12&amp;"\"&amp;A22&amp;"\")</f>
        <v/>
      </c>
      <c r="AC22" s="10" t="str">
        <f aca="false">IF(A22="","",A22&amp;"_CAD.dwg")</f>
        <v/>
      </c>
      <c r="AD22" s="10" t="str">
        <f aca="false">IF(A22="","",A22&amp;"_DWG.pdf")</f>
        <v/>
      </c>
      <c r="AE22" s="10" t="str">
        <f aca="false">IF(A22="","",IF(AA22="Y",A22&amp;"_STAAD.std","n/a"))</f>
        <v/>
      </c>
      <c r="AF22" s="10" t="str">
        <f aca="false">IF(A22="","",A22&amp;"_CALC.xlsx")</f>
        <v/>
      </c>
      <c r="AG22" s="10" t="str">
        <f aca="false">IF(A22="","",A22&amp;"_CALC.pdf")</f>
        <v/>
      </c>
      <c r="AH22" s="9"/>
      <c r="AI22" s="9"/>
      <c r="AJ22" s="41"/>
      <c r="AK22" s="41"/>
      <c r="AL22" s="41"/>
      <c r="AM22" s="41"/>
      <c r="AN22" s="41"/>
      <c r="AO22" s="38" t="str">
        <f aca="false">IF(C22="","",IF(LEN(IF(AND(C22&lt;&gt;"High Covered Linkway",F22&lt;SG_Criteria!$B$46),"FAIL: headroom below "&amp;SG_Criteria!$B$46&amp;" m. ","")&amp;IF(AND(C22="High Covered Linkway",F22&lt;SG_Criteria!$B$47),"FAIL: high linkway headroom below "&amp;SG_Criteria!$B$47&amp;" m. ","")&amp;IF(E22&lt;SG_Criteria!$B$48,"FAIL: roof width below "&amp;SG_Criteria!$B$48&amp;" m. ",IF(E22&lt;SG_Criteria!$B$49,"NOTE: not for MRT/LRT or high-traffic routes (min "&amp;SG_Criteria!$B$49&amp;" m). ",""))&amp;IF(AND(P22&lt;&gt;"",P22&lt;SG_Criteria!$B$50),"FAIL: wind speed below "&amp;SG_Criteria!$B$50&amp;" m/s. ","")&amp;IF(AND(Q22&lt;&gt;"",Q22&lt;SG_Criteria!$B$51),"FAIL: roof fixing pull-out below "&amp;SG_Criteria!$B$51&amp;" kN. ","")&amp;IF(AND(R22&lt;&gt;"",IFERROR(VALUE(MID(R22,2,2)),0)&lt;SG_Criteria!$B$52),"FAIL: grade below C"&amp;SG_Criteria!$B$52&amp;". ","")&amp;IF(D22="Non-standard (project design)","NOTE: not an SDRE standard, needs LTA acceptance. ",""))=0,"OK",IF(AND(C22&lt;&gt;"High Covered Linkway",F22&lt;SG_Criteria!$B$46),"FAIL: headroom below "&amp;SG_Criteria!$B$46&amp;" m. ","")&amp;IF(AND(C22="High Covered Linkway",F22&lt;SG_Criteria!$B$47),"FAIL: high linkway headroom below "&amp;SG_Criteria!$B$47&amp;" m. ","")&amp;IF(E22&lt;SG_Criteria!$B$48,"FAIL: roof width below "&amp;SG_Criteria!$B$48&amp;" m. ",IF(E22&lt;SG_Criteria!$B$49,"NOTE: not for MRT/LRT or high-traffic routes (min "&amp;SG_Criteria!$B$49&amp;" m). ",""))&amp;IF(AND(P22&lt;&gt;"",P22&lt;SG_Criteria!$B$50),"FAIL: wind speed below "&amp;SG_Criteria!$B$50&amp;" m/s. ","")&amp;IF(AND(Q22&lt;&gt;"",Q22&lt;SG_Criteria!$B$51),"FAIL: roof fixing pull-out below "&amp;SG_Criteria!$B$51&amp;" kN. ","")&amp;IF(AND(R22&lt;&gt;"",IFERROR(VALUE(MID(R22,2,2)),0)&lt;SG_Criteria!$B$52),"FAIL: grade below C"&amp;SG_Criteria!$B$52&amp;". ","")&amp;IF(D22="Non-standard (project design)","NOTE: not an SDRE standard, needs LTA acceptance. ","")))</f>
        <v/>
      </c>
      <c r="AP22" s="9"/>
      <c r="AQ22" s="9"/>
      <c r="AR22" s="9"/>
      <c r="AS22" s="9"/>
      <c r="AT22" s="9"/>
      <c r="AU22" s="31"/>
      <c r="AV22" s="10" t="str">
        <f aca="false">IF(C22="","",IF(AND(X22="Approved",ISERROR(SEARCH("FAIL",AO22))),"Y","N"))</f>
        <v/>
      </c>
      <c r="AW22" s="10" t="str">
        <f aca="false">IF(C22="","",C22&amp;"|"&amp;E22&amp;"|"&amp;F22&amp;"|"&amp;AV22)</f>
        <v/>
      </c>
    </row>
    <row r="23" customFormat="false" ht="15" hidden="false" customHeight="false" outlineLevel="0" collapsed="false">
      <c r="A23" s="10" t="str">
        <f aca="false">IF(C23="","","LKW-"&amp;IFERROR(VLOOKUP(C23,Lists!$AQ$4:$AR$17,2,0),"??")&amp;"-W"&amp;TEXT(E23*1000,"0000")&amp;"-H"&amp;TEXT(F23*1000,"0000")&amp;"-B"&amp;TEXT(G23*1000,"0000")&amp;"-"&amp;W23)</f>
        <v/>
      </c>
      <c r="B23" s="10" t="str">
        <f aca="false">IF(C23="","",C23&amp;", "&amp;E23&amp;" m wide, "&amp;F23&amp;" m headroom, "&amp;G23&amp;" m bays, "&amp;H23&amp;" ("&amp;D23&amp;")")</f>
        <v/>
      </c>
      <c r="C23" s="9"/>
      <c r="D23" s="9"/>
      <c r="E23" s="43"/>
      <c r="F23" s="43"/>
      <c r="G23" s="43"/>
      <c r="H23" s="9"/>
      <c r="I23" s="9"/>
      <c r="J23" s="9"/>
      <c r="K23" s="9"/>
      <c r="L23" s="9"/>
      <c r="M23" s="9"/>
      <c r="N23" s="9"/>
      <c r="O23" s="9"/>
      <c r="P23" s="40"/>
      <c r="Q23" s="43"/>
      <c r="R23" s="9"/>
      <c r="S23" s="9"/>
      <c r="T23" s="9"/>
      <c r="U23" s="43"/>
      <c r="V23" s="9"/>
      <c r="W23" s="9"/>
      <c r="X23" s="9"/>
      <c r="Y23" s="9"/>
      <c r="Z23" s="9"/>
      <c r="AA23" s="9"/>
      <c r="AB23" s="10" t="str">
        <f aca="false">IF(A23="","",SG_Criteria!$B$6&amp;SG_Criteria!$B$12&amp;"\"&amp;A23&amp;"\")</f>
        <v/>
      </c>
      <c r="AC23" s="10" t="str">
        <f aca="false">IF(A23="","",A23&amp;"_CAD.dwg")</f>
        <v/>
      </c>
      <c r="AD23" s="10" t="str">
        <f aca="false">IF(A23="","",A23&amp;"_DWG.pdf")</f>
        <v/>
      </c>
      <c r="AE23" s="10" t="str">
        <f aca="false">IF(A23="","",IF(AA23="Y",A23&amp;"_STAAD.std","n/a"))</f>
        <v/>
      </c>
      <c r="AF23" s="10" t="str">
        <f aca="false">IF(A23="","",A23&amp;"_CALC.xlsx")</f>
        <v/>
      </c>
      <c r="AG23" s="10" t="str">
        <f aca="false">IF(A23="","",A23&amp;"_CALC.pdf")</f>
        <v/>
      </c>
      <c r="AH23" s="9"/>
      <c r="AI23" s="9"/>
      <c r="AJ23" s="41"/>
      <c r="AK23" s="41"/>
      <c r="AL23" s="41"/>
      <c r="AM23" s="41"/>
      <c r="AN23" s="41"/>
      <c r="AO23" s="38" t="str">
        <f aca="false">IF(C23="","",IF(LEN(IF(AND(C23&lt;&gt;"High Covered Linkway",F23&lt;SG_Criteria!$B$46),"FAIL: headroom below "&amp;SG_Criteria!$B$46&amp;" m. ","")&amp;IF(AND(C23="High Covered Linkway",F23&lt;SG_Criteria!$B$47),"FAIL: high linkway headroom below "&amp;SG_Criteria!$B$47&amp;" m. ","")&amp;IF(E23&lt;SG_Criteria!$B$48,"FAIL: roof width below "&amp;SG_Criteria!$B$48&amp;" m. ",IF(E23&lt;SG_Criteria!$B$49,"NOTE: not for MRT/LRT or high-traffic routes (min "&amp;SG_Criteria!$B$49&amp;" m). ",""))&amp;IF(AND(P23&lt;&gt;"",P23&lt;SG_Criteria!$B$50),"FAIL: wind speed below "&amp;SG_Criteria!$B$50&amp;" m/s. ","")&amp;IF(AND(Q23&lt;&gt;"",Q23&lt;SG_Criteria!$B$51),"FAIL: roof fixing pull-out below "&amp;SG_Criteria!$B$51&amp;" kN. ","")&amp;IF(AND(R23&lt;&gt;"",IFERROR(VALUE(MID(R23,2,2)),0)&lt;SG_Criteria!$B$52),"FAIL: grade below C"&amp;SG_Criteria!$B$52&amp;". ","")&amp;IF(D23="Non-standard (project design)","NOTE: not an SDRE standard, needs LTA acceptance. ",""))=0,"OK",IF(AND(C23&lt;&gt;"High Covered Linkway",F23&lt;SG_Criteria!$B$46),"FAIL: headroom below "&amp;SG_Criteria!$B$46&amp;" m. ","")&amp;IF(AND(C23="High Covered Linkway",F23&lt;SG_Criteria!$B$47),"FAIL: high linkway headroom below "&amp;SG_Criteria!$B$47&amp;" m. ","")&amp;IF(E23&lt;SG_Criteria!$B$48,"FAIL: roof width below "&amp;SG_Criteria!$B$48&amp;" m. ",IF(E23&lt;SG_Criteria!$B$49,"NOTE: not for MRT/LRT or high-traffic routes (min "&amp;SG_Criteria!$B$49&amp;" m). ",""))&amp;IF(AND(P23&lt;&gt;"",P23&lt;SG_Criteria!$B$50),"FAIL: wind speed below "&amp;SG_Criteria!$B$50&amp;" m/s. ","")&amp;IF(AND(Q23&lt;&gt;"",Q23&lt;SG_Criteria!$B$51),"FAIL: roof fixing pull-out below "&amp;SG_Criteria!$B$51&amp;" kN. ","")&amp;IF(AND(R23&lt;&gt;"",IFERROR(VALUE(MID(R23,2,2)),0)&lt;SG_Criteria!$B$52),"FAIL: grade below C"&amp;SG_Criteria!$B$52&amp;". ","")&amp;IF(D23="Non-standard (project design)","NOTE: not an SDRE standard, needs LTA acceptance. ","")))</f>
        <v/>
      </c>
      <c r="AP23" s="9"/>
      <c r="AQ23" s="9"/>
      <c r="AR23" s="9"/>
      <c r="AS23" s="9"/>
      <c r="AT23" s="9"/>
      <c r="AU23" s="31"/>
      <c r="AV23" s="10" t="str">
        <f aca="false">IF(C23="","",IF(AND(X23="Approved",ISERROR(SEARCH("FAIL",AO23))),"Y","N"))</f>
        <v/>
      </c>
      <c r="AW23" s="10" t="str">
        <f aca="false">IF(C23="","",C23&amp;"|"&amp;E23&amp;"|"&amp;F23&amp;"|"&amp;AV23)</f>
        <v/>
      </c>
    </row>
    <row r="24" customFormat="false" ht="15" hidden="false" customHeight="false" outlineLevel="0" collapsed="false">
      <c r="A24" s="10" t="str">
        <f aca="false">IF(C24="","","LKW-"&amp;IFERROR(VLOOKUP(C24,Lists!$AQ$4:$AR$17,2,0),"??")&amp;"-W"&amp;TEXT(E24*1000,"0000")&amp;"-H"&amp;TEXT(F24*1000,"0000")&amp;"-B"&amp;TEXT(G24*1000,"0000")&amp;"-"&amp;W24)</f>
        <v/>
      </c>
      <c r="B24" s="10" t="str">
        <f aca="false">IF(C24="","",C24&amp;", "&amp;E24&amp;" m wide, "&amp;F24&amp;" m headroom, "&amp;G24&amp;" m bays, "&amp;H24&amp;" ("&amp;D24&amp;")")</f>
        <v/>
      </c>
      <c r="C24" s="9"/>
      <c r="D24" s="9"/>
      <c r="E24" s="43"/>
      <c r="F24" s="43"/>
      <c r="G24" s="43"/>
      <c r="H24" s="9"/>
      <c r="I24" s="9"/>
      <c r="J24" s="9"/>
      <c r="K24" s="9"/>
      <c r="L24" s="9"/>
      <c r="M24" s="9"/>
      <c r="N24" s="9"/>
      <c r="O24" s="9"/>
      <c r="P24" s="40"/>
      <c r="Q24" s="43"/>
      <c r="R24" s="9"/>
      <c r="S24" s="9"/>
      <c r="T24" s="9"/>
      <c r="U24" s="43"/>
      <c r="V24" s="9"/>
      <c r="W24" s="9"/>
      <c r="X24" s="9"/>
      <c r="Y24" s="9"/>
      <c r="Z24" s="9"/>
      <c r="AA24" s="9"/>
      <c r="AB24" s="10" t="str">
        <f aca="false">IF(A24="","",SG_Criteria!$B$6&amp;SG_Criteria!$B$12&amp;"\"&amp;A24&amp;"\")</f>
        <v/>
      </c>
      <c r="AC24" s="10" t="str">
        <f aca="false">IF(A24="","",A24&amp;"_CAD.dwg")</f>
        <v/>
      </c>
      <c r="AD24" s="10" t="str">
        <f aca="false">IF(A24="","",A24&amp;"_DWG.pdf")</f>
        <v/>
      </c>
      <c r="AE24" s="10" t="str">
        <f aca="false">IF(A24="","",IF(AA24="Y",A24&amp;"_STAAD.std","n/a"))</f>
        <v/>
      </c>
      <c r="AF24" s="10" t="str">
        <f aca="false">IF(A24="","",A24&amp;"_CALC.xlsx")</f>
        <v/>
      </c>
      <c r="AG24" s="10" t="str">
        <f aca="false">IF(A24="","",A24&amp;"_CALC.pdf")</f>
        <v/>
      </c>
      <c r="AH24" s="9"/>
      <c r="AI24" s="9"/>
      <c r="AJ24" s="41"/>
      <c r="AK24" s="41"/>
      <c r="AL24" s="41"/>
      <c r="AM24" s="41"/>
      <c r="AN24" s="41"/>
      <c r="AO24" s="38" t="str">
        <f aca="false">IF(C24="","",IF(LEN(IF(AND(C24&lt;&gt;"High Covered Linkway",F24&lt;SG_Criteria!$B$46),"FAIL: headroom below "&amp;SG_Criteria!$B$46&amp;" m. ","")&amp;IF(AND(C24="High Covered Linkway",F24&lt;SG_Criteria!$B$47),"FAIL: high linkway headroom below "&amp;SG_Criteria!$B$47&amp;" m. ","")&amp;IF(E24&lt;SG_Criteria!$B$48,"FAIL: roof width below "&amp;SG_Criteria!$B$48&amp;" m. ",IF(E24&lt;SG_Criteria!$B$49,"NOTE: not for MRT/LRT or high-traffic routes (min "&amp;SG_Criteria!$B$49&amp;" m). ",""))&amp;IF(AND(P24&lt;&gt;"",P24&lt;SG_Criteria!$B$50),"FAIL: wind speed below "&amp;SG_Criteria!$B$50&amp;" m/s. ","")&amp;IF(AND(Q24&lt;&gt;"",Q24&lt;SG_Criteria!$B$51),"FAIL: roof fixing pull-out below "&amp;SG_Criteria!$B$51&amp;" kN. ","")&amp;IF(AND(R24&lt;&gt;"",IFERROR(VALUE(MID(R24,2,2)),0)&lt;SG_Criteria!$B$52),"FAIL: grade below C"&amp;SG_Criteria!$B$52&amp;". ","")&amp;IF(D24="Non-standard (project design)","NOTE: not an SDRE standard, needs LTA acceptance. ",""))=0,"OK",IF(AND(C24&lt;&gt;"High Covered Linkway",F24&lt;SG_Criteria!$B$46),"FAIL: headroom below "&amp;SG_Criteria!$B$46&amp;" m. ","")&amp;IF(AND(C24="High Covered Linkway",F24&lt;SG_Criteria!$B$47),"FAIL: high linkway headroom below "&amp;SG_Criteria!$B$47&amp;" m. ","")&amp;IF(E24&lt;SG_Criteria!$B$48,"FAIL: roof width below "&amp;SG_Criteria!$B$48&amp;" m. ",IF(E24&lt;SG_Criteria!$B$49,"NOTE: not for MRT/LRT or high-traffic routes (min "&amp;SG_Criteria!$B$49&amp;" m). ",""))&amp;IF(AND(P24&lt;&gt;"",P24&lt;SG_Criteria!$B$50),"FAIL: wind speed below "&amp;SG_Criteria!$B$50&amp;" m/s. ","")&amp;IF(AND(Q24&lt;&gt;"",Q24&lt;SG_Criteria!$B$51),"FAIL: roof fixing pull-out below "&amp;SG_Criteria!$B$51&amp;" kN. ","")&amp;IF(AND(R24&lt;&gt;"",IFERROR(VALUE(MID(R24,2,2)),0)&lt;SG_Criteria!$B$52),"FAIL: grade below C"&amp;SG_Criteria!$B$52&amp;". ","")&amp;IF(D24="Non-standard (project design)","NOTE: not an SDRE standard, needs LTA acceptance. ","")))</f>
        <v/>
      </c>
      <c r="AP24" s="9"/>
      <c r="AQ24" s="9"/>
      <c r="AR24" s="9"/>
      <c r="AS24" s="9"/>
      <c r="AT24" s="9"/>
      <c r="AU24" s="31"/>
      <c r="AV24" s="10" t="str">
        <f aca="false">IF(C24="","",IF(AND(X24="Approved",ISERROR(SEARCH("FAIL",AO24))),"Y","N"))</f>
        <v/>
      </c>
      <c r="AW24" s="10" t="str">
        <f aca="false">IF(C24="","",C24&amp;"|"&amp;E24&amp;"|"&amp;F24&amp;"|"&amp;AV24)</f>
        <v/>
      </c>
    </row>
    <row r="25" customFormat="false" ht="15" hidden="false" customHeight="false" outlineLevel="0" collapsed="false">
      <c r="A25" s="10" t="str">
        <f aca="false">IF(C25="","","LKW-"&amp;IFERROR(VLOOKUP(C25,Lists!$AQ$4:$AR$17,2,0),"??")&amp;"-W"&amp;TEXT(E25*1000,"0000")&amp;"-H"&amp;TEXT(F25*1000,"0000")&amp;"-B"&amp;TEXT(G25*1000,"0000")&amp;"-"&amp;W25)</f>
        <v/>
      </c>
      <c r="B25" s="10" t="str">
        <f aca="false">IF(C25="","",C25&amp;", "&amp;E25&amp;" m wide, "&amp;F25&amp;" m headroom, "&amp;G25&amp;" m bays, "&amp;H25&amp;" ("&amp;D25&amp;")")</f>
        <v/>
      </c>
      <c r="C25" s="9"/>
      <c r="D25" s="9"/>
      <c r="E25" s="43"/>
      <c r="F25" s="43"/>
      <c r="G25" s="43"/>
      <c r="H25" s="9"/>
      <c r="I25" s="9"/>
      <c r="J25" s="9"/>
      <c r="K25" s="9"/>
      <c r="L25" s="9"/>
      <c r="M25" s="9"/>
      <c r="N25" s="9"/>
      <c r="O25" s="9"/>
      <c r="P25" s="40"/>
      <c r="Q25" s="43"/>
      <c r="R25" s="9"/>
      <c r="S25" s="9"/>
      <c r="T25" s="9"/>
      <c r="U25" s="43"/>
      <c r="V25" s="9"/>
      <c r="W25" s="9"/>
      <c r="X25" s="9"/>
      <c r="Y25" s="9"/>
      <c r="Z25" s="9"/>
      <c r="AA25" s="9"/>
      <c r="AB25" s="10" t="str">
        <f aca="false">IF(A25="","",SG_Criteria!$B$6&amp;SG_Criteria!$B$12&amp;"\"&amp;A25&amp;"\")</f>
        <v/>
      </c>
      <c r="AC25" s="10" t="str">
        <f aca="false">IF(A25="","",A25&amp;"_CAD.dwg")</f>
        <v/>
      </c>
      <c r="AD25" s="10" t="str">
        <f aca="false">IF(A25="","",A25&amp;"_DWG.pdf")</f>
        <v/>
      </c>
      <c r="AE25" s="10" t="str">
        <f aca="false">IF(A25="","",IF(AA25="Y",A25&amp;"_STAAD.std","n/a"))</f>
        <v/>
      </c>
      <c r="AF25" s="10" t="str">
        <f aca="false">IF(A25="","",A25&amp;"_CALC.xlsx")</f>
        <v/>
      </c>
      <c r="AG25" s="10" t="str">
        <f aca="false">IF(A25="","",A25&amp;"_CALC.pdf")</f>
        <v/>
      </c>
      <c r="AH25" s="9"/>
      <c r="AI25" s="9"/>
      <c r="AJ25" s="41"/>
      <c r="AK25" s="41"/>
      <c r="AL25" s="41"/>
      <c r="AM25" s="41"/>
      <c r="AN25" s="41"/>
      <c r="AO25" s="38" t="str">
        <f aca="false">IF(C25="","",IF(LEN(IF(AND(C25&lt;&gt;"High Covered Linkway",F25&lt;SG_Criteria!$B$46),"FAIL: headroom below "&amp;SG_Criteria!$B$46&amp;" m. ","")&amp;IF(AND(C25="High Covered Linkway",F25&lt;SG_Criteria!$B$47),"FAIL: high linkway headroom below "&amp;SG_Criteria!$B$47&amp;" m. ","")&amp;IF(E25&lt;SG_Criteria!$B$48,"FAIL: roof width below "&amp;SG_Criteria!$B$48&amp;" m. ",IF(E25&lt;SG_Criteria!$B$49,"NOTE: not for MRT/LRT or high-traffic routes (min "&amp;SG_Criteria!$B$49&amp;" m). ",""))&amp;IF(AND(P25&lt;&gt;"",P25&lt;SG_Criteria!$B$50),"FAIL: wind speed below "&amp;SG_Criteria!$B$50&amp;" m/s. ","")&amp;IF(AND(Q25&lt;&gt;"",Q25&lt;SG_Criteria!$B$51),"FAIL: roof fixing pull-out below "&amp;SG_Criteria!$B$51&amp;" kN. ","")&amp;IF(AND(R25&lt;&gt;"",IFERROR(VALUE(MID(R25,2,2)),0)&lt;SG_Criteria!$B$52),"FAIL: grade below C"&amp;SG_Criteria!$B$52&amp;". ","")&amp;IF(D25="Non-standard (project design)","NOTE: not an SDRE standard, needs LTA acceptance. ",""))=0,"OK",IF(AND(C25&lt;&gt;"High Covered Linkway",F25&lt;SG_Criteria!$B$46),"FAIL: headroom below "&amp;SG_Criteria!$B$46&amp;" m. ","")&amp;IF(AND(C25="High Covered Linkway",F25&lt;SG_Criteria!$B$47),"FAIL: high linkway headroom below "&amp;SG_Criteria!$B$47&amp;" m. ","")&amp;IF(E25&lt;SG_Criteria!$B$48,"FAIL: roof width below "&amp;SG_Criteria!$B$48&amp;" m. ",IF(E25&lt;SG_Criteria!$B$49,"NOTE: not for MRT/LRT or high-traffic routes (min "&amp;SG_Criteria!$B$49&amp;" m). ",""))&amp;IF(AND(P25&lt;&gt;"",P25&lt;SG_Criteria!$B$50),"FAIL: wind speed below "&amp;SG_Criteria!$B$50&amp;" m/s. ","")&amp;IF(AND(Q25&lt;&gt;"",Q25&lt;SG_Criteria!$B$51),"FAIL: roof fixing pull-out below "&amp;SG_Criteria!$B$51&amp;" kN. ","")&amp;IF(AND(R25&lt;&gt;"",IFERROR(VALUE(MID(R25,2,2)),0)&lt;SG_Criteria!$B$52),"FAIL: grade below C"&amp;SG_Criteria!$B$52&amp;". ","")&amp;IF(D25="Non-standard (project design)","NOTE: not an SDRE standard, needs LTA acceptance. ","")))</f>
        <v/>
      </c>
      <c r="AP25" s="9"/>
      <c r="AQ25" s="9"/>
      <c r="AR25" s="9"/>
      <c r="AS25" s="9"/>
      <c r="AT25" s="9"/>
      <c r="AU25" s="31"/>
      <c r="AV25" s="10" t="str">
        <f aca="false">IF(C25="","",IF(AND(X25="Approved",ISERROR(SEARCH("FAIL",AO25))),"Y","N"))</f>
        <v/>
      </c>
      <c r="AW25" s="10" t="str">
        <f aca="false">IF(C25="","",C25&amp;"|"&amp;E25&amp;"|"&amp;F25&amp;"|"&amp;AV25)</f>
        <v/>
      </c>
    </row>
    <row r="26" customFormat="false" ht="15" hidden="false" customHeight="false" outlineLevel="0" collapsed="false">
      <c r="A26" s="10" t="str">
        <f aca="false">IF(C26="","","LKW-"&amp;IFERROR(VLOOKUP(C26,Lists!$AQ$4:$AR$17,2,0),"??")&amp;"-W"&amp;TEXT(E26*1000,"0000")&amp;"-H"&amp;TEXT(F26*1000,"0000")&amp;"-B"&amp;TEXT(G26*1000,"0000")&amp;"-"&amp;W26)</f>
        <v/>
      </c>
      <c r="B26" s="10" t="str">
        <f aca="false">IF(C26="","",C26&amp;", "&amp;E26&amp;" m wide, "&amp;F26&amp;" m headroom, "&amp;G26&amp;" m bays, "&amp;H26&amp;" ("&amp;D26&amp;")")</f>
        <v/>
      </c>
      <c r="C26" s="9"/>
      <c r="D26" s="9"/>
      <c r="E26" s="43"/>
      <c r="F26" s="43"/>
      <c r="G26" s="43"/>
      <c r="H26" s="9"/>
      <c r="I26" s="9"/>
      <c r="J26" s="9"/>
      <c r="K26" s="9"/>
      <c r="L26" s="9"/>
      <c r="M26" s="9"/>
      <c r="N26" s="9"/>
      <c r="O26" s="9"/>
      <c r="P26" s="40"/>
      <c r="Q26" s="43"/>
      <c r="R26" s="9"/>
      <c r="S26" s="9"/>
      <c r="T26" s="9"/>
      <c r="U26" s="43"/>
      <c r="V26" s="9"/>
      <c r="W26" s="9"/>
      <c r="X26" s="9"/>
      <c r="Y26" s="9"/>
      <c r="Z26" s="9"/>
      <c r="AA26" s="9"/>
      <c r="AB26" s="10" t="str">
        <f aca="false">IF(A26="","",SG_Criteria!$B$6&amp;SG_Criteria!$B$12&amp;"\"&amp;A26&amp;"\")</f>
        <v/>
      </c>
      <c r="AC26" s="10" t="str">
        <f aca="false">IF(A26="","",A26&amp;"_CAD.dwg")</f>
        <v/>
      </c>
      <c r="AD26" s="10" t="str">
        <f aca="false">IF(A26="","",A26&amp;"_DWG.pdf")</f>
        <v/>
      </c>
      <c r="AE26" s="10" t="str">
        <f aca="false">IF(A26="","",IF(AA26="Y",A26&amp;"_STAAD.std","n/a"))</f>
        <v/>
      </c>
      <c r="AF26" s="10" t="str">
        <f aca="false">IF(A26="","",A26&amp;"_CALC.xlsx")</f>
        <v/>
      </c>
      <c r="AG26" s="10" t="str">
        <f aca="false">IF(A26="","",A26&amp;"_CALC.pdf")</f>
        <v/>
      </c>
      <c r="AH26" s="9"/>
      <c r="AI26" s="9"/>
      <c r="AJ26" s="41"/>
      <c r="AK26" s="41"/>
      <c r="AL26" s="41"/>
      <c r="AM26" s="41"/>
      <c r="AN26" s="41"/>
      <c r="AO26" s="38" t="str">
        <f aca="false">IF(C26="","",IF(LEN(IF(AND(C26&lt;&gt;"High Covered Linkway",F26&lt;SG_Criteria!$B$46),"FAIL: headroom below "&amp;SG_Criteria!$B$46&amp;" m. ","")&amp;IF(AND(C26="High Covered Linkway",F26&lt;SG_Criteria!$B$47),"FAIL: high linkway headroom below "&amp;SG_Criteria!$B$47&amp;" m. ","")&amp;IF(E26&lt;SG_Criteria!$B$48,"FAIL: roof width below "&amp;SG_Criteria!$B$48&amp;" m. ",IF(E26&lt;SG_Criteria!$B$49,"NOTE: not for MRT/LRT or high-traffic routes (min "&amp;SG_Criteria!$B$49&amp;" m). ",""))&amp;IF(AND(P26&lt;&gt;"",P26&lt;SG_Criteria!$B$50),"FAIL: wind speed below "&amp;SG_Criteria!$B$50&amp;" m/s. ","")&amp;IF(AND(Q26&lt;&gt;"",Q26&lt;SG_Criteria!$B$51),"FAIL: roof fixing pull-out below "&amp;SG_Criteria!$B$51&amp;" kN. ","")&amp;IF(AND(R26&lt;&gt;"",IFERROR(VALUE(MID(R26,2,2)),0)&lt;SG_Criteria!$B$52),"FAIL: grade below C"&amp;SG_Criteria!$B$52&amp;". ","")&amp;IF(D26="Non-standard (project design)","NOTE: not an SDRE standard, needs LTA acceptance. ",""))=0,"OK",IF(AND(C26&lt;&gt;"High Covered Linkway",F26&lt;SG_Criteria!$B$46),"FAIL: headroom below "&amp;SG_Criteria!$B$46&amp;" m. ","")&amp;IF(AND(C26="High Covered Linkway",F26&lt;SG_Criteria!$B$47),"FAIL: high linkway headroom below "&amp;SG_Criteria!$B$47&amp;" m. ","")&amp;IF(E26&lt;SG_Criteria!$B$48,"FAIL: roof width below "&amp;SG_Criteria!$B$48&amp;" m. ",IF(E26&lt;SG_Criteria!$B$49,"NOTE: not for MRT/LRT or high-traffic routes (min "&amp;SG_Criteria!$B$49&amp;" m). ",""))&amp;IF(AND(P26&lt;&gt;"",P26&lt;SG_Criteria!$B$50),"FAIL: wind speed below "&amp;SG_Criteria!$B$50&amp;" m/s. ","")&amp;IF(AND(Q26&lt;&gt;"",Q26&lt;SG_Criteria!$B$51),"FAIL: roof fixing pull-out below "&amp;SG_Criteria!$B$51&amp;" kN. ","")&amp;IF(AND(R26&lt;&gt;"",IFERROR(VALUE(MID(R26,2,2)),0)&lt;SG_Criteria!$B$52),"FAIL: grade below C"&amp;SG_Criteria!$B$52&amp;". ","")&amp;IF(D26="Non-standard (project design)","NOTE: not an SDRE standard, needs LTA acceptance. ","")))</f>
        <v/>
      </c>
      <c r="AP26" s="9"/>
      <c r="AQ26" s="9"/>
      <c r="AR26" s="9"/>
      <c r="AS26" s="9"/>
      <c r="AT26" s="9"/>
      <c r="AU26" s="31"/>
      <c r="AV26" s="10" t="str">
        <f aca="false">IF(C26="","",IF(AND(X26="Approved",ISERROR(SEARCH("FAIL",AO26))),"Y","N"))</f>
        <v/>
      </c>
      <c r="AW26" s="10" t="str">
        <f aca="false">IF(C26="","",C26&amp;"|"&amp;E26&amp;"|"&amp;F26&amp;"|"&amp;AV26)</f>
        <v/>
      </c>
    </row>
    <row r="27" customFormat="false" ht="15" hidden="false" customHeight="false" outlineLevel="0" collapsed="false">
      <c r="A27" s="10" t="str">
        <f aca="false">IF(C27="","","LKW-"&amp;IFERROR(VLOOKUP(C27,Lists!$AQ$4:$AR$17,2,0),"??")&amp;"-W"&amp;TEXT(E27*1000,"0000")&amp;"-H"&amp;TEXT(F27*1000,"0000")&amp;"-B"&amp;TEXT(G27*1000,"0000")&amp;"-"&amp;W27)</f>
        <v/>
      </c>
      <c r="B27" s="10" t="str">
        <f aca="false">IF(C27="","",C27&amp;", "&amp;E27&amp;" m wide, "&amp;F27&amp;" m headroom, "&amp;G27&amp;" m bays, "&amp;H27&amp;" ("&amp;D27&amp;")")</f>
        <v/>
      </c>
      <c r="C27" s="9"/>
      <c r="D27" s="9"/>
      <c r="E27" s="43"/>
      <c r="F27" s="43"/>
      <c r="G27" s="43"/>
      <c r="H27" s="9"/>
      <c r="I27" s="9"/>
      <c r="J27" s="9"/>
      <c r="K27" s="9"/>
      <c r="L27" s="9"/>
      <c r="M27" s="9"/>
      <c r="N27" s="9"/>
      <c r="O27" s="9"/>
      <c r="P27" s="40"/>
      <c r="Q27" s="43"/>
      <c r="R27" s="9"/>
      <c r="S27" s="9"/>
      <c r="T27" s="9"/>
      <c r="U27" s="43"/>
      <c r="V27" s="9"/>
      <c r="W27" s="9"/>
      <c r="X27" s="9"/>
      <c r="Y27" s="9"/>
      <c r="Z27" s="9"/>
      <c r="AA27" s="9"/>
      <c r="AB27" s="10" t="str">
        <f aca="false">IF(A27="","",SG_Criteria!$B$6&amp;SG_Criteria!$B$12&amp;"\"&amp;A27&amp;"\")</f>
        <v/>
      </c>
      <c r="AC27" s="10" t="str">
        <f aca="false">IF(A27="","",A27&amp;"_CAD.dwg")</f>
        <v/>
      </c>
      <c r="AD27" s="10" t="str">
        <f aca="false">IF(A27="","",A27&amp;"_DWG.pdf")</f>
        <v/>
      </c>
      <c r="AE27" s="10" t="str">
        <f aca="false">IF(A27="","",IF(AA27="Y",A27&amp;"_STAAD.std","n/a"))</f>
        <v/>
      </c>
      <c r="AF27" s="10" t="str">
        <f aca="false">IF(A27="","",A27&amp;"_CALC.xlsx")</f>
        <v/>
      </c>
      <c r="AG27" s="10" t="str">
        <f aca="false">IF(A27="","",A27&amp;"_CALC.pdf")</f>
        <v/>
      </c>
      <c r="AH27" s="9"/>
      <c r="AI27" s="9"/>
      <c r="AJ27" s="41"/>
      <c r="AK27" s="41"/>
      <c r="AL27" s="41"/>
      <c r="AM27" s="41"/>
      <c r="AN27" s="41"/>
      <c r="AO27" s="38" t="str">
        <f aca="false">IF(C27="","",IF(LEN(IF(AND(C27&lt;&gt;"High Covered Linkway",F27&lt;SG_Criteria!$B$46),"FAIL: headroom below "&amp;SG_Criteria!$B$46&amp;" m. ","")&amp;IF(AND(C27="High Covered Linkway",F27&lt;SG_Criteria!$B$47),"FAIL: high linkway headroom below "&amp;SG_Criteria!$B$47&amp;" m. ","")&amp;IF(E27&lt;SG_Criteria!$B$48,"FAIL: roof width below "&amp;SG_Criteria!$B$48&amp;" m. ",IF(E27&lt;SG_Criteria!$B$49,"NOTE: not for MRT/LRT or high-traffic routes (min "&amp;SG_Criteria!$B$49&amp;" m). ",""))&amp;IF(AND(P27&lt;&gt;"",P27&lt;SG_Criteria!$B$50),"FAIL: wind speed below "&amp;SG_Criteria!$B$50&amp;" m/s. ","")&amp;IF(AND(Q27&lt;&gt;"",Q27&lt;SG_Criteria!$B$51),"FAIL: roof fixing pull-out below "&amp;SG_Criteria!$B$51&amp;" kN. ","")&amp;IF(AND(R27&lt;&gt;"",IFERROR(VALUE(MID(R27,2,2)),0)&lt;SG_Criteria!$B$52),"FAIL: grade below C"&amp;SG_Criteria!$B$52&amp;". ","")&amp;IF(D27="Non-standard (project design)","NOTE: not an SDRE standard, needs LTA acceptance. ",""))=0,"OK",IF(AND(C27&lt;&gt;"High Covered Linkway",F27&lt;SG_Criteria!$B$46),"FAIL: headroom below "&amp;SG_Criteria!$B$46&amp;" m. ","")&amp;IF(AND(C27="High Covered Linkway",F27&lt;SG_Criteria!$B$47),"FAIL: high linkway headroom below "&amp;SG_Criteria!$B$47&amp;" m. ","")&amp;IF(E27&lt;SG_Criteria!$B$48,"FAIL: roof width below "&amp;SG_Criteria!$B$48&amp;" m. ",IF(E27&lt;SG_Criteria!$B$49,"NOTE: not for MRT/LRT or high-traffic routes (min "&amp;SG_Criteria!$B$49&amp;" m). ",""))&amp;IF(AND(P27&lt;&gt;"",P27&lt;SG_Criteria!$B$50),"FAIL: wind speed below "&amp;SG_Criteria!$B$50&amp;" m/s. ","")&amp;IF(AND(Q27&lt;&gt;"",Q27&lt;SG_Criteria!$B$51),"FAIL: roof fixing pull-out below "&amp;SG_Criteria!$B$51&amp;" kN. ","")&amp;IF(AND(R27&lt;&gt;"",IFERROR(VALUE(MID(R27,2,2)),0)&lt;SG_Criteria!$B$52),"FAIL: grade below C"&amp;SG_Criteria!$B$52&amp;". ","")&amp;IF(D27="Non-standard (project design)","NOTE: not an SDRE standard, needs LTA acceptance. ","")))</f>
        <v/>
      </c>
      <c r="AP27" s="9"/>
      <c r="AQ27" s="9"/>
      <c r="AR27" s="9"/>
      <c r="AS27" s="9"/>
      <c r="AT27" s="9"/>
      <c r="AU27" s="31"/>
      <c r="AV27" s="10" t="str">
        <f aca="false">IF(C27="","",IF(AND(X27="Approved",ISERROR(SEARCH("FAIL",AO27))),"Y","N"))</f>
        <v/>
      </c>
      <c r="AW27" s="10" t="str">
        <f aca="false">IF(C27="","",C27&amp;"|"&amp;E27&amp;"|"&amp;F27&amp;"|"&amp;AV27)</f>
        <v/>
      </c>
    </row>
    <row r="28" customFormat="false" ht="15" hidden="false" customHeight="false" outlineLevel="0" collapsed="false">
      <c r="A28" s="10" t="str">
        <f aca="false">IF(C28="","","LKW-"&amp;IFERROR(VLOOKUP(C28,Lists!$AQ$4:$AR$17,2,0),"??")&amp;"-W"&amp;TEXT(E28*1000,"0000")&amp;"-H"&amp;TEXT(F28*1000,"0000")&amp;"-B"&amp;TEXT(G28*1000,"0000")&amp;"-"&amp;W28)</f>
        <v/>
      </c>
      <c r="B28" s="10" t="str">
        <f aca="false">IF(C28="","",C28&amp;", "&amp;E28&amp;" m wide, "&amp;F28&amp;" m headroom, "&amp;G28&amp;" m bays, "&amp;H28&amp;" ("&amp;D28&amp;")")</f>
        <v/>
      </c>
      <c r="C28" s="9"/>
      <c r="D28" s="9"/>
      <c r="E28" s="43"/>
      <c r="F28" s="43"/>
      <c r="G28" s="43"/>
      <c r="H28" s="9"/>
      <c r="I28" s="9"/>
      <c r="J28" s="9"/>
      <c r="K28" s="9"/>
      <c r="L28" s="9"/>
      <c r="M28" s="9"/>
      <c r="N28" s="9"/>
      <c r="O28" s="9"/>
      <c r="P28" s="40"/>
      <c r="Q28" s="43"/>
      <c r="R28" s="9"/>
      <c r="S28" s="9"/>
      <c r="T28" s="9"/>
      <c r="U28" s="43"/>
      <c r="V28" s="9"/>
      <c r="W28" s="9"/>
      <c r="X28" s="9"/>
      <c r="Y28" s="9"/>
      <c r="Z28" s="9"/>
      <c r="AA28" s="9"/>
      <c r="AB28" s="10" t="str">
        <f aca="false">IF(A28="","",SG_Criteria!$B$6&amp;SG_Criteria!$B$12&amp;"\"&amp;A28&amp;"\")</f>
        <v/>
      </c>
      <c r="AC28" s="10" t="str">
        <f aca="false">IF(A28="","",A28&amp;"_CAD.dwg")</f>
        <v/>
      </c>
      <c r="AD28" s="10" t="str">
        <f aca="false">IF(A28="","",A28&amp;"_DWG.pdf")</f>
        <v/>
      </c>
      <c r="AE28" s="10" t="str">
        <f aca="false">IF(A28="","",IF(AA28="Y",A28&amp;"_STAAD.std","n/a"))</f>
        <v/>
      </c>
      <c r="AF28" s="10" t="str">
        <f aca="false">IF(A28="","",A28&amp;"_CALC.xlsx")</f>
        <v/>
      </c>
      <c r="AG28" s="10" t="str">
        <f aca="false">IF(A28="","",A28&amp;"_CALC.pdf")</f>
        <v/>
      </c>
      <c r="AH28" s="9"/>
      <c r="AI28" s="9"/>
      <c r="AJ28" s="41"/>
      <c r="AK28" s="41"/>
      <c r="AL28" s="41"/>
      <c r="AM28" s="41"/>
      <c r="AN28" s="41"/>
      <c r="AO28" s="38" t="str">
        <f aca="false">IF(C28="","",IF(LEN(IF(AND(C28&lt;&gt;"High Covered Linkway",F28&lt;SG_Criteria!$B$46),"FAIL: headroom below "&amp;SG_Criteria!$B$46&amp;" m. ","")&amp;IF(AND(C28="High Covered Linkway",F28&lt;SG_Criteria!$B$47),"FAIL: high linkway headroom below "&amp;SG_Criteria!$B$47&amp;" m. ","")&amp;IF(E28&lt;SG_Criteria!$B$48,"FAIL: roof width below "&amp;SG_Criteria!$B$48&amp;" m. ",IF(E28&lt;SG_Criteria!$B$49,"NOTE: not for MRT/LRT or high-traffic routes (min "&amp;SG_Criteria!$B$49&amp;" m). ",""))&amp;IF(AND(P28&lt;&gt;"",P28&lt;SG_Criteria!$B$50),"FAIL: wind speed below "&amp;SG_Criteria!$B$50&amp;" m/s. ","")&amp;IF(AND(Q28&lt;&gt;"",Q28&lt;SG_Criteria!$B$51),"FAIL: roof fixing pull-out below "&amp;SG_Criteria!$B$51&amp;" kN. ","")&amp;IF(AND(R28&lt;&gt;"",IFERROR(VALUE(MID(R28,2,2)),0)&lt;SG_Criteria!$B$52),"FAIL: grade below C"&amp;SG_Criteria!$B$52&amp;". ","")&amp;IF(D28="Non-standard (project design)","NOTE: not an SDRE standard, needs LTA acceptance. ",""))=0,"OK",IF(AND(C28&lt;&gt;"High Covered Linkway",F28&lt;SG_Criteria!$B$46),"FAIL: headroom below "&amp;SG_Criteria!$B$46&amp;" m. ","")&amp;IF(AND(C28="High Covered Linkway",F28&lt;SG_Criteria!$B$47),"FAIL: high linkway headroom below "&amp;SG_Criteria!$B$47&amp;" m. ","")&amp;IF(E28&lt;SG_Criteria!$B$48,"FAIL: roof width below "&amp;SG_Criteria!$B$48&amp;" m. ",IF(E28&lt;SG_Criteria!$B$49,"NOTE: not for MRT/LRT or high-traffic routes (min "&amp;SG_Criteria!$B$49&amp;" m). ",""))&amp;IF(AND(P28&lt;&gt;"",P28&lt;SG_Criteria!$B$50),"FAIL: wind speed below "&amp;SG_Criteria!$B$50&amp;" m/s. ","")&amp;IF(AND(Q28&lt;&gt;"",Q28&lt;SG_Criteria!$B$51),"FAIL: roof fixing pull-out below "&amp;SG_Criteria!$B$51&amp;" kN. ","")&amp;IF(AND(R28&lt;&gt;"",IFERROR(VALUE(MID(R28,2,2)),0)&lt;SG_Criteria!$B$52),"FAIL: grade below C"&amp;SG_Criteria!$B$52&amp;". ","")&amp;IF(D28="Non-standard (project design)","NOTE: not an SDRE standard, needs LTA acceptance. ","")))</f>
        <v/>
      </c>
      <c r="AP28" s="9"/>
      <c r="AQ28" s="9"/>
      <c r="AR28" s="9"/>
      <c r="AS28" s="9"/>
      <c r="AT28" s="9"/>
      <c r="AU28" s="31"/>
      <c r="AV28" s="10" t="str">
        <f aca="false">IF(C28="","",IF(AND(X28="Approved",ISERROR(SEARCH("FAIL",AO28))),"Y","N"))</f>
        <v/>
      </c>
      <c r="AW28" s="10" t="str">
        <f aca="false">IF(C28="","",C28&amp;"|"&amp;E28&amp;"|"&amp;F28&amp;"|"&amp;AV28)</f>
        <v/>
      </c>
    </row>
    <row r="29" customFormat="false" ht="15" hidden="false" customHeight="false" outlineLevel="0" collapsed="false">
      <c r="A29" s="10" t="str">
        <f aca="false">IF(C29="","","LKW-"&amp;IFERROR(VLOOKUP(C29,Lists!$AQ$4:$AR$17,2,0),"??")&amp;"-W"&amp;TEXT(E29*1000,"0000")&amp;"-H"&amp;TEXT(F29*1000,"0000")&amp;"-B"&amp;TEXT(G29*1000,"0000")&amp;"-"&amp;W29)</f>
        <v/>
      </c>
      <c r="B29" s="10" t="str">
        <f aca="false">IF(C29="","",C29&amp;", "&amp;E29&amp;" m wide, "&amp;F29&amp;" m headroom, "&amp;G29&amp;" m bays, "&amp;H29&amp;" ("&amp;D29&amp;")")</f>
        <v/>
      </c>
      <c r="C29" s="9"/>
      <c r="D29" s="9"/>
      <c r="E29" s="43"/>
      <c r="F29" s="43"/>
      <c r="G29" s="43"/>
      <c r="H29" s="9"/>
      <c r="I29" s="9"/>
      <c r="J29" s="9"/>
      <c r="K29" s="9"/>
      <c r="L29" s="9"/>
      <c r="M29" s="9"/>
      <c r="N29" s="9"/>
      <c r="O29" s="9"/>
      <c r="P29" s="40"/>
      <c r="Q29" s="43"/>
      <c r="R29" s="9"/>
      <c r="S29" s="9"/>
      <c r="T29" s="9"/>
      <c r="U29" s="43"/>
      <c r="V29" s="9"/>
      <c r="W29" s="9"/>
      <c r="X29" s="9"/>
      <c r="Y29" s="9"/>
      <c r="Z29" s="9"/>
      <c r="AA29" s="9"/>
      <c r="AB29" s="10" t="str">
        <f aca="false">IF(A29="","",SG_Criteria!$B$6&amp;SG_Criteria!$B$12&amp;"\"&amp;A29&amp;"\")</f>
        <v/>
      </c>
      <c r="AC29" s="10" t="str">
        <f aca="false">IF(A29="","",A29&amp;"_CAD.dwg")</f>
        <v/>
      </c>
      <c r="AD29" s="10" t="str">
        <f aca="false">IF(A29="","",A29&amp;"_DWG.pdf")</f>
        <v/>
      </c>
      <c r="AE29" s="10" t="str">
        <f aca="false">IF(A29="","",IF(AA29="Y",A29&amp;"_STAAD.std","n/a"))</f>
        <v/>
      </c>
      <c r="AF29" s="10" t="str">
        <f aca="false">IF(A29="","",A29&amp;"_CALC.xlsx")</f>
        <v/>
      </c>
      <c r="AG29" s="10" t="str">
        <f aca="false">IF(A29="","",A29&amp;"_CALC.pdf")</f>
        <v/>
      </c>
      <c r="AH29" s="9"/>
      <c r="AI29" s="9"/>
      <c r="AJ29" s="41"/>
      <c r="AK29" s="41"/>
      <c r="AL29" s="41"/>
      <c r="AM29" s="41"/>
      <c r="AN29" s="41"/>
      <c r="AO29" s="38" t="str">
        <f aca="false">IF(C29="","",IF(LEN(IF(AND(C29&lt;&gt;"High Covered Linkway",F29&lt;SG_Criteria!$B$46),"FAIL: headroom below "&amp;SG_Criteria!$B$46&amp;" m. ","")&amp;IF(AND(C29="High Covered Linkway",F29&lt;SG_Criteria!$B$47),"FAIL: high linkway headroom below "&amp;SG_Criteria!$B$47&amp;" m. ","")&amp;IF(E29&lt;SG_Criteria!$B$48,"FAIL: roof width below "&amp;SG_Criteria!$B$48&amp;" m. ",IF(E29&lt;SG_Criteria!$B$49,"NOTE: not for MRT/LRT or high-traffic routes (min "&amp;SG_Criteria!$B$49&amp;" m). ",""))&amp;IF(AND(P29&lt;&gt;"",P29&lt;SG_Criteria!$B$50),"FAIL: wind speed below "&amp;SG_Criteria!$B$50&amp;" m/s. ","")&amp;IF(AND(Q29&lt;&gt;"",Q29&lt;SG_Criteria!$B$51),"FAIL: roof fixing pull-out below "&amp;SG_Criteria!$B$51&amp;" kN. ","")&amp;IF(AND(R29&lt;&gt;"",IFERROR(VALUE(MID(R29,2,2)),0)&lt;SG_Criteria!$B$52),"FAIL: grade below C"&amp;SG_Criteria!$B$52&amp;". ","")&amp;IF(D29="Non-standard (project design)","NOTE: not an SDRE standard, needs LTA acceptance. ",""))=0,"OK",IF(AND(C29&lt;&gt;"High Covered Linkway",F29&lt;SG_Criteria!$B$46),"FAIL: headroom below "&amp;SG_Criteria!$B$46&amp;" m. ","")&amp;IF(AND(C29="High Covered Linkway",F29&lt;SG_Criteria!$B$47),"FAIL: high linkway headroom below "&amp;SG_Criteria!$B$47&amp;" m. ","")&amp;IF(E29&lt;SG_Criteria!$B$48,"FAIL: roof width below "&amp;SG_Criteria!$B$48&amp;" m. ",IF(E29&lt;SG_Criteria!$B$49,"NOTE: not for MRT/LRT or high-traffic routes (min "&amp;SG_Criteria!$B$49&amp;" m). ",""))&amp;IF(AND(P29&lt;&gt;"",P29&lt;SG_Criteria!$B$50),"FAIL: wind speed below "&amp;SG_Criteria!$B$50&amp;" m/s. ","")&amp;IF(AND(Q29&lt;&gt;"",Q29&lt;SG_Criteria!$B$51),"FAIL: roof fixing pull-out below "&amp;SG_Criteria!$B$51&amp;" kN. ","")&amp;IF(AND(R29&lt;&gt;"",IFERROR(VALUE(MID(R29,2,2)),0)&lt;SG_Criteria!$B$52),"FAIL: grade below C"&amp;SG_Criteria!$B$52&amp;". ","")&amp;IF(D29="Non-standard (project design)","NOTE: not an SDRE standard, needs LTA acceptance. ","")))</f>
        <v/>
      </c>
      <c r="AP29" s="9"/>
      <c r="AQ29" s="9"/>
      <c r="AR29" s="9"/>
      <c r="AS29" s="9"/>
      <c r="AT29" s="9"/>
      <c r="AU29" s="31"/>
      <c r="AV29" s="10" t="str">
        <f aca="false">IF(C29="","",IF(AND(X29="Approved",ISERROR(SEARCH("FAIL",AO29))),"Y","N"))</f>
        <v/>
      </c>
      <c r="AW29" s="10" t="str">
        <f aca="false">IF(C29="","",C29&amp;"|"&amp;E29&amp;"|"&amp;F29&amp;"|"&amp;AV29)</f>
        <v/>
      </c>
    </row>
    <row r="30" customFormat="false" ht="15" hidden="false" customHeight="false" outlineLevel="0" collapsed="false">
      <c r="A30" s="10" t="str">
        <f aca="false">IF(C30="","","LKW-"&amp;IFERROR(VLOOKUP(C30,Lists!$AQ$4:$AR$17,2,0),"??")&amp;"-W"&amp;TEXT(E30*1000,"0000")&amp;"-H"&amp;TEXT(F30*1000,"0000")&amp;"-B"&amp;TEXT(G30*1000,"0000")&amp;"-"&amp;W30)</f>
        <v/>
      </c>
      <c r="B30" s="10" t="str">
        <f aca="false">IF(C30="","",C30&amp;", "&amp;E30&amp;" m wide, "&amp;F30&amp;" m headroom, "&amp;G30&amp;" m bays, "&amp;H30&amp;" ("&amp;D30&amp;")")</f>
        <v/>
      </c>
      <c r="C30" s="9"/>
      <c r="D30" s="9"/>
      <c r="E30" s="43"/>
      <c r="F30" s="43"/>
      <c r="G30" s="43"/>
      <c r="H30" s="9"/>
      <c r="I30" s="9"/>
      <c r="J30" s="9"/>
      <c r="K30" s="9"/>
      <c r="L30" s="9"/>
      <c r="M30" s="9"/>
      <c r="N30" s="9"/>
      <c r="O30" s="9"/>
      <c r="P30" s="40"/>
      <c r="Q30" s="43"/>
      <c r="R30" s="9"/>
      <c r="S30" s="9"/>
      <c r="T30" s="9"/>
      <c r="U30" s="43"/>
      <c r="V30" s="9"/>
      <c r="W30" s="9"/>
      <c r="X30" s="9"/>
      <c r="Y30" s="9"/>
      <c r="Z30" s="9"/>
      <c r="AA30" s="9"/>
      <c r="AB30" s="10" t="str">
        <f aca="false">IF(A30="","",SG_Criteria!$B$6&amp;SG_Criteria!$B$12&amp;"\"&amp;A30&amp;"\")</f>
        <v/>
      </c>
      <c r="AC30" s="10" t="str">
        <f aca="false">IF(A30="","",A30&amp;"_CAD.dwg")</f>
        <v/>
      </c>
      <c r="AD30" s="10" t="str">
        <f aca="false">IF(A30="","",A30&amp;"_DWG.pdf")</f>
        <v/>
      </c>
      <c r="AE30" s="10" t="str">
        <f aca="false">IF(A30="","",IF(AA30="Y",A30&amp;"_STAAD.std","n/a"))</f>
        <v/>
      </c>
      <c r="AF30" s="10" t="str">
        <f aca="false">IF(A30="","",A30&amp;"_CALC.xlsx")</f>
        <v/>
      </c>
      <c r="AG30" s="10" t="str">
        <f aca="false">IF(A30="","",A30&amp;"_CALC.pdf")</f>
        <v/>
      </c>
      <c r="AH30" s="9"/>
      <c r="AI30" s="9"/>
      <c r="AJ30" s="41"/>
      <c r="AK30" s="41"/>
      <c r="AL30" s="41"/>
      <c r="AM30" s="41"/>
      <c r="AN30" s="41"/>
      <c r="AO30" s="38" t="str">
        <f aca="false">IF(C30="","",IF(LEN(IF(AND(C30&lt;&gt;"High Covered Linkway",F30&lt;SG_Criteria!$B$46),"FAIL: headroom below "&amp;SG_Criteria!$B$46&amp;" m. ","")&amp;IF(AND(C30="High Covered Linkway",F30&lt;SG_Criteria!$B$47),"FAIL: high linkway headroom below "&amp;SG_Criteria!$B$47&amp;" m. ","")&amp;IF(E30&lt;SG_Criteria!$B$48,"FAIL: roof width below "&amp;SG_Criteria!$B$48&amp;" m. ",IF(E30&lt;SG_Criteria!$B$49,"NOTE: not for MRT/LRT or high-traffic routes (min "&amp;SG_Criteria!$B$49&amp;" m). ",""))&amp;IF(AND(P30&lt;&gt;"",P30&lt;SG_Criteria!$B$50),"FAIL: wind speed below "&amp;SG_Criteria!$B$50&amp;" m/s. ","")&amp;IF(AND(Q30&lt;&gt;"",Q30&lt;SG_Criteria!$B$51),"FAIL: roof fixing pull-out below "&amp;SG_Criteria!$B$51&amp;" kN. ","")&amp;IF(AND(R30&lt;&gt;"",IFERROR(VALUE(MID(R30,2,2)),0)&lt;SG_Criteria!$B$52),"FAIL: grade below C"&amp;SG_Criteria!$B$52&amp;". ","")&amp;IF(D30="Non-standard (project design)","NOTE: not an SDRE standard, needs LTA acceptance. ",""))=0,"OK",IF(AND(C30&lt;&gt;"High Covered Linkway",F30&lt;SG_Criteria!$B$46),"FAIL: headroom below "&amp;SG_Criteria!$B$46&amp;" m. ","")&amp;IF(AND(C30="High Covered Linkway",F30&lt;SG_Criteria!$B$47),"FAIL: high linkway headroom below "&amp;SG_Criteria!$B$47&amp;" m. ","")&amp;IF(E30&lt;SG_Criteria!$B$48,"FAIL: roof width below "&amp;SG_Criteria!$B$48&amp;" m. ",IF(E30&lt;SG_Criteria!$B$49,"NOTE: not for MRT/LRT or high-traffic routes (min "&amp;SG_Criteria!$B$49&amp;" m). ",""))&amp;IF(AND(P30&lt;&gt;"",P30&lt;SG_Criteria!$B$50),"FAIL: wind speed below "&amp;SG_Criteria!$B$50&amp;" m/s. ","")&amp;IF(AND(Q30&lt;&gt;"",Q30&lt;SG_Criteria!$B$51),"FAIL: roof fixing pull-out below "&amp;SG_Criteria!$B$51&amp;" kN. ","")&amp;IF(AND(R30&lt;&gt;"",IFERROR(VALUE(MID(R30,2,2)),0)&lt;SG_Criteria!$B$52),"FAIL: grade below C"&amp;SG_Criteria!$B$52&amp;". ","")&amp;IF(D30="Non-standard (project design)","NOTE: not an SDRE standard, needs LTA acceptance. ","")))</f>
        <v/>
      </c>
      <c r="AP30" s="9"/>
      <c r="AQ30" s="9"/>
      <c r="AR30" s="9"/>
      <c r="AS30" s="9"/>
      <c r="AT30" s="9"/>
      <c r="AU30" s="31"/>
      <c r="AV30" s="10" t="str">
        <f aca="false">IF(C30="","",IF(AND(X30="Approved",ISERROR(SEARCH("FAIL",AO30))),"Y","N"))</f>
        <v/>
      </c>
      <c r="AW30" s="10" t="str">
        <f aca="false">IF(C30="","",C30&amp;"|"&amp;E30&amp;"|"&amp;F30&amp;"|"&amp;AV30)</f>
        <v/>
      </c>
    </row>
    <row r="31" customFormat="false" ht="15" hidden="false" customHeight="false" outlineLevel="0" collapsed="false">
      <c r="A31" s="10" t="str">
        <f aca="false">IF(C31="","","LKW-"&amp;IFERROR(VLOOKUP(C31,Lists!$AQ$4:$AR$17,2,0),"??")&amp;"-W"&amp;TEXT(E31*1000,"0000")&amp;"-H"&amp;TEXT(F31*1000,"0000")&amp;"-B"&amp;TEXT(G31*1000,"0000")&amp;"-"&amp;W31)</f>
        <v/>
      </c>
      <c r="B31" s="10" t="str">
        <f aca="false">IF(C31="","",C31&amp;", "&amp;E31&amp;" m wide, "&amp;F31&amp;" m headroom, "&amp;G31&amp;" m bays, "&amp;H31&amp;" ("&amp;D31&amp;")")</f>
        <v/>
      </c>
      <c r="C31" s="9"/>
      <c r="D31" s="9"/>
      <c r="E31" s="43"/>
      <c r="F31" s="43"/>
      <c r="G31" s="43"/>
      <c r="H31" s="9"/>
      <c r="I31" s="9"/>
      <c r="J31" s="9"/>
      <c r="K31" s="9"/>
      <c r="L31" s="9"/>
      <c r="M31" s="9"/>
      <c r="N31" s="9"/>
      <c r="O31" s="9"/>
      <c r="P31" s="40"/>
      <c r="Q31" s="43"/>
      <c r="R31" s="9"/>
      <c r="S31" s="9"/>
      <c r="T31" s="9"/>
      <c r="U31" s="43"/>
      <c r="V31" s="9"/>
      <c r="W31" s="9"/>
      <c r="X31" s="9"/>
      <c r="Y31" s="9"/>
      <c r="Z31" s="9"/>
      <c r="AA31" s="9"/>
      <c r="AB31" s="10" t="str">
        <f aca="false">IF(A31="","",SG_Criteria!$B$6&amp;SG_Criteria!$B$12&amp;"\"&amp;A31&amp;"\")</f>
        <v/>
      </c>
      <c r="AC31" s="10" t="str">
        <f aca="false">IF(A31="","",A31&amp;"_CAD.dwg")</f>
        <v/>
      </c>
      <c r="AD31" s="10" t="str">
        <f aca="false">IF(A31="","",A31&amp;"_DWG.pdf")</f>
        <v/>
      </c>
      <c r="AE31" s="10" t="str">
        <f aca="false">IF(A31="","",IF(AA31="Y",A31&amp;"_STAAD.std","n/a"))</f>
        <v/>
      </c>
      <c r="AF31" s="10" t="str">
        <f aca="false">IF(A31="","",A31&amp;"_CALC.xlsx")</f>
        <v/>
      </c>
      <c r="AG31" s="10" t="str">
        <f aca="false">IF(A31="","",A31&amp;"_CALC.pdf")</f>
        <v/>
      </c>
      <c r="AH31" s="9"/>
      <c r="AI31" s="9"/>
      <c r="AJ31" s="41"/>
      <c r="AK31" s="41"/>
      <c r="AL31" s="41"/>
      <c r="AM31" s="41"/>
      <c r="AN31" s="41"/>
      <c r="AO31" s="38" t="str">
        <f aca="false">IF(C31="","",IF(LEN(IF(AND(C31&lt;&gt;"High Covered Linkway",F31&lt;SG_Criteria!$B$46),"FAIL: headroom below "&amp;SG_Criteria!$B$46&amp;" m. ","")&amp;IF(AND(C31="High Covered Linkway",F31&lt;SG_Criteria!$B$47),"FAIL: high linkway headroom below "&amp;SG_Criteria!$B$47&amp;" m. ","")&amp;IF(E31&lt;SG_Criteria!$B$48,"FAIL: roof width below "&amp;SG_Criteria!$B$48&amp;" m. ",IF(E31&lt;SG_Criteria!$B$49,"NOTE: not for MRT/LRT or high-traffic routes (min "&amp;SG_Criteria!$B$49&amp;" m). ",""))&amp;IF(AND(P31&lt;&gt;"",P31&lt;SG_Criteria!$B$50),"FAIL: wind speed below "&amp;SG_Criteria!$B$50&amp;" m/s. ","")&amp;IF(AND(Q31&lt;&gt;"",Q31&lt;SG_Criteria!$B$51),"FAIL: roof fixing pull-out below "&amp;SG_Criteria!$B$51&amp;" kN. ","")&amp;IF(AND(R31&lt;&gt;"",IFERROR(VALUE(MID(R31,2,2)),0)&lt;SG_Criteria!$B$52),"FAIL: grade below C"&amp;SG_Criteria!$B$52&amp;". ","")&amp;IF(D31="Non-standard (project design)","NOTE: not an SDRE standard, needs LTA acceptance. ",""))=0,"OK",IF(AND(C31&lt;&gt;"High Covered Linkway",F31&lt;SG_Criteria!$B$46),"FAIL: headroom below "&amp;SG_Criteria!$B$46&amp;" m. ","")&amp;IF(AND(C31="High Covered Linkway",F31&lt;SG_Criteria!$B$47),"FAIL: high linkway headroom below "&amp;SG_Criteria!$B$47&amp;" m. ","")&amp;IF(E31&lt;SG_Criteria!$B$48,"FAIL: roof width below "&amp;SG_Criteria!$B$48&amp;" m. ",IF(E31&lt;SG_Criteria!$B$49,"NOTE: not for MRT/LRT or high-traffic routes (min "&amp;SG_Criteria!$B$49&amp;" m). ",""))&amp;IF(AND(P31&lt;&gt;"",P31&lt;SG_Criteria!$B$50),"FAIL: wind speed below "&amp;SG_Criteria!$B$50&amp;" m/s. ","")&amp;IF(AND(Q31&lt;&gt;"",Q31&lt;SG_Criteria!$B$51),"FAIL: roof fixing pull-out below "&amp;SG_Criteria!$B$51&amp;" kN. ","")&amp;IF(AND(R31&lt;&gt;"",IFERROR(VALUE(MID(R31,2,2)),0)&lt;SG_Criteria!$B$52),"FAIL: grade below C"&amp;SG_Criteria!$B$52&amp;". ","")&amp;IF(D31="Non-standard (project design)","NOTE: not an SDRE standard, needs LTA acceptance. ","")))</f>
        <v/>
      </c>
      <c r="AP31" s="9"/>
      <c r="AQ31" s="9"/>
      <c r="AR31" s="9"/>
      <c r="AS31" s="9"/>
      <c r="AT31" s="9"/>
      <c r="AU31" s="31"/>
      <c r="AV31" s="10" t="str">
        <f aca="false">IF(C31="","",IF(AND(X31="Approved",ISERROR(SEARCH("FAIL",AO31))),"Y","N"))</f>
        <v/>
      </c>
      <c r="AW31" s="10" t="str">
        <f aca="false">IF(C31="","",C31&amp;"|"&amp;E31&amp;"|"&amp;F31&amp;"|"&amp;AV31)</f>
        <v/>
      </c>
    </row>
    <row r="32" customFormat="false" ht="15" hidden="false" customHeight="false" outlineLevel="0" collapsed="false">
      <c r="A32" s="10" t="str">
        <f aca="false">IF(C32="","","LKW-"&amp;IFERROR(VLOOKUP(C32,Lists!$AQ$4:$AR$17,2,0),"??")&amp;"-W"&amp;TEXT(E32*1000,"0000")&amp;"-H"&amp;TEXT(F32*1000,"0000")&amp;"-B"&amp;TEXT(G32*1000,"0000")&amp;"-"&amp;W32)</f>
        <v/>
      </c>
      <c r="B32" s="10" t="str">
        <f aca="false">IF(C32="","",C32&amp;", "&amp;E32&amp;" m wide, "&amp;F32&amp;" m headroom, "&amp;G32&amp;" m bays, "&amp;H32&amp;" ("&amp;D32&amp;")")</f>
        <v/>
      </c>
      <c r="C32" s="9"/>
      <c r="D32" s="9"/>
      <c r="E32" s="43"/>
      <c r="F32" s="43"/>
      <c r="G32" s="43"/>
      <c r="H32" s="9"/>
      <c r="I32" s="9"/>
      <c r="J32" s="9"/>
      <c r="K32" s="9"/>
      <c r="L32" s="9"/>
      <c r="M32" s="9"/>
      <c r="N32" s="9"/>
      <c r="O32" s="9"/>
      <c r="P32" s="40"/>
      <c r="Q32" s="43"/>
      <c r="R32" s="9"/>
      <c r="S32" s="9"/>
      <c r="T32" s="9"/>
      <c r="U32" s="43"/>
      <c r="V32" s="9"/>
      <c r="W32" s="9"/>
      <c r="X32" s="9"/>
      <c r="Y32" s="9"/>
      <c r="Z32" s="9"/>
      <c r="AA32" s="9"/>
      <c r="AB32" s="10" t="str">
        <f aca="false">IF(A32="","",SG_Criteria!$B$6&amp;SG_Criteria!$B$12&amp;"\"&amp;A32&amp;"\")</f>
        <v/>
      </c>
      <c r="AC32" s="10" t="str">
        <f aca="false">IF(A32="","",A32&amp;"_CAD.dwg")</f>
        <v/>
      </c>
      <c r="AD32" s="10" t="str">
        <f aca="false">IF(A32="","",A32&amp;"_DWG.pdf")</f>
        <v/>
      </c>
      <c r="AE32" s="10" t="str">
        <f aca="false">IF(A32="","",IF(AA32="Y",A32&amp;"_STAAD.std","n/a"))</f>
        <v/>
      </c>
      <c r="AF32" s="10" t="str">
        <f aca="false">IF(A32="","",A32&amp;"_CALC.xlsx")</f>
        <v/>
      </c>
      <c r="AG32" s="10" t="str">
        <f aca="false">IF(A32="","",A32&amp;"_CALC.pdf")</f>
        <v/>
      </c>
      <c r="AH32" s="9"/>
      <c r="AI32" s="9"/>
      <c r="AJ32" s="41"/>
      <c r="AK32" s="41"/>
      <c r="AL32" s="41"/>
      <c r="AM32" s="41"/>
      <c r="AN32" s="41"/>
      <c r="AO32" s="38" t="str">
        <f aca="false">IF(C32="","",IF(LEN(IF(AND(C32&lt;&gt;"High Covered Linkway",F32&lt;SG_Criteria!$B$46),"FAIL: headroom below "&amp;SG_Criteria!$B$46&amp;" m. ","")&amp;IF(AND(C32="High Covered Linkway",F32&lt;SG_Criteria!$B$47),"FAIL: high linkway headroom below "&amp;SG_Criteria!$B$47&amp;" m. ","")&amp;IF(E32&lt;SG_Criteria!$B$48,"FAIL: roof width below "&amp;SG_Criteria!$B$48&amp;" m. ",IF(E32&lt;SG_Criteria!$B$49,"NOTE: not for MRT/LRT or high-traffic routes (min "&amp;SG_Criteria!$B$49&amp;" m). ",""))&amp;IF(AND(P32&lt;&gt;"",P32&lt;SG_Criteria!$B$50),"FAIL: wind speed below "&amp;SG_Criteria!$B$50&amp;" m/s. ","")&amp;IF(AND(Q32&lt;&gt;"",Q32&lt;SG_Criteria!$B$51),"FAIL: roof fixing pull-out below "&amp;SG_Criteria!$B$51&amp;" kN. ","")&amp;IF(AND(R32&lt;&gt;"",IFERROR(VALUE(MID(R32,2,2)),0)&lt;SG_Criteria!$B$52),"FAIL: grade below C"&amp;SG_Criteria!$B$52&amp;". ","")&amp;IF(D32="Non-standard (project design)","NOTE: not an SDRE standard, needs LTA acceptance. ",""))=0,"OK",IF(AND(C32&lt;&gt;"High Covered Linkway",F32&lt;SG_Criteria!$B$46),"FAIL: headroom below "&amp;SG_Criteria!$B$46&amp;" m. ","")&amp;IF(AND(C32="High Covered Linkway",F32&lt;SG_Criteria!$B$47),"FAIL: high linkway headroom below "&amp;SG_Criteria!$B$47&amp;" m. ","")&amp;IF(E32&lt;SG_Criteria!$B$48,"FAIL: roof width below "&amp;SG_Criteria!$B$48&amp;" m. ",IF(E32&lt;SG_Criteria!$B$49,"NOTE: not for MRT/LRT or high-traffic routes (min "&amp;SG_Criteria!$B$49&amp;" m). ",""))&amp;IF(AND(P32&lt;&gt;"",P32&lt;SG_Criteria!$B$50),"FAIL: wind speed below "&amp;SG_Criteria!$B$50&amp;" m/s. ","")&amp;IF(AND(Q32&lt;&gt;"",Q32&lt;SG_Criteria!$B$51),"FAIL: roof fixing pull-out below "&amp;SG_Criteria!$B$51&amp;" kN. ","")&amp;IF(AND(R32&lt;&gt;"",IFERROR(VALUE(MID(R32,2,2)),0)&lt;SG_Criteria!$B$52),"FAIL: grade below C"&amp;SG_Criteria!$B$52&amp;". ","")&amp;IF(D32="Non-standard (project design)","NOTE: not an SDRE standard, needs LTA acceptance. ","")))</f>
        <v/>
      </c>
      <c r="AP32" s="9"/>
      <c r="AQ32" s="9"/>
      <c r="AR32" s="9"/>
      <c r="AS32" s="9"/>
      <c r="AT32" s="9"/>
      <c r="AU32" s="31"/>
      <c r="AV32" s="10" t="str">
        <f aca="false">IF(C32="","",IF(AND(X32="Approved",ISERROR(SEARCH("FAIL",AO32))),"Y","N"))</f>
        <v/>
      </c>
      <c r="AW32" s="10" t="str">
        <f aca="false">IF(C32="","",C32&amp;"|"&amp;E32&amp;"|"&amp;F32&amp;"|"&amp;AV32)</f>
        <v/>
      </c>
    </row>
    <row r="33" customFormat="false" ht="15" hidden="false" customHeight="false" outlineLevel="0" collapsed="false">
      <c r="A33" s="10" t="str">
        <f aca="false">IF(C33="","","LKW-"&amp;IFERROR(VLOOKUP(C33,Lists!$AQ$4:$AR$17,2,0),"??")&amp;"-W"&amp;TEXT(E33*1000,"0000")&amp;"-H"&amp;TEXT(F33*1000,"0000")&amp;"-B"&amp;TEXT(G33*1000,"0000")&amp;"-"&amp;W33)</f>
        <v/>
      </c>
      <c r="B33" s="10" t="str">
        <f aca="false">IF(C33="","",C33&amp;", "&amp;E33&amp;" m wide, "&amp;F33&amp;" m headroom, "&amp;G33&amp;" m bays, "&amp;H33&amp;" ("&amp;D33&amp;")")</f>
        <v/>
      </c>
      <c r="C33" s="9"/>
      <c r="D33" s="9"/>
      <c r="E33" s="43"/>
      <c r="F33" s="43"/>
      <c r="G33" s="43"/>
      <c r="H33" s="9"/>
      <c r="I33" s="9"/>
      <c r="J33" s="9"/>
      <c r="K33" s="9"/>
      <c r="L33" s="9"/>
      <c r="M33" s="9"/>
      <c r="N33" s="9"/>
      <c r="O33" s="9"/>
      <c r="P33" s="40"/>
      <c r="Q33" s="43"/>
      <c r="R33" s="9"/>
      <c r="S33" s="9"/>
      <c r="T33" s="9"/>
      <c r="U33" s="43"/>
      <c r="V33" s="9"/>
      <c r="W33" s="9"/>
      <c r="X33" s="9"/>
      <c r="Y33" s="9"/>
      <c r="Z33" s="9"/>
      <c r="AA33" s="9"/>
      <c r="AB33" s="10" t="str">
        <f aca="false">IF(A33="","",SG_Criteria!$B$6&amp;SG_Criteria!$B$12&amp;"\"&amp;A33&amp;"\")</f>
        <v/>
      </c>
      <c r="AC33" s="10" t="str">
        <f aca="false">IF(A33="","",A33&amp;"_CAD.dwg")</f>
        <v/>
      </c>
      <c r="AD33" s="10" t="str">
        <f aca="false">IF(A33="","",A33&amp;"_DWG.pdf")</f>
        <v/>
      </c>
      <c r="AE33" s="10" t="str">
        <f aca="false">IF(A33="","",IF(AA33="Y",A33&amp;"_STAAD.std","n/a"))</f>
        <v/>
      </c>
      <c r="AF33" s="10" t="str">
        <f aca="false">IF(A33="","",A33&amp;"_CALC.xlsx")</f>
        <v/>
      </c>
      <c r="AG33" s="10" t="str">
        <f aca="false">IF(A33="","",A33&amp;"_CALC.pdf")</f>
        <v/>
      </c>
      <c r="AH33" s="9"/>
      <c r="AI33" s="9"/>
      <c r="AJ33" s="41"/>
      <c r="AK33" s="41"/>
      <c r="AL33" s="41"/>
      <c r="AM33" s="41"/>
      <c r="AN33" s="41"/>
      <c r="AO33" s="38" t="str">
        <f aca="false">IF(C33="","",IF(LEN(IF(AND(C33&lt;&gt;"High Covered Linkway",F33&lt;SG_Criteria!$B$46),"FAIL: headroom below "&amp;SG_Criteria!$B$46&amp;" m. ","")&amp;IF(AND(C33="High Covered Linkway",F33&lt;SG_Criteria!$B$47),"FAIL: high linkway headroom below "&amp;SG_Criteria!$B$47&amp;" m. ","")&amp;IF(E33&lt;SG_Criteria!$B$48,"FAIL: roof width below "&amp;SG_Criteria!$B$48&amp;" m. ",IF(E33&lt;SG_Criteria!$B$49,"NOTE: not for MRT/LRT or high-traffic routes (min "&amp;SG_Criteria!$B$49&amp;" m). ",""))&amp;IF(AND(P33&lt;&gt;"",P33&lt;SG_Criteria!$B$50),"FAIL: wind speed below "&amp;SG_Criteria!$B$50&amp;" m/s. ","")&amp;IF(AND(Q33&lt;&gt;"",Q33&lt;SG_Criteria!$B$51),"FAIL: roof fixing pull-out below "&amp;SG_Criteria!$B$51&amp;" kN. ","")&amp;IF(AND(R33&lt;&gt;"",IFERROR(VALUE(MID(R33,2,2)),0)&lt;SG_Criteria!$B$52),"FAIL: grade below C"&amp;SG_Criteria!$B$52&amp;". ","")&amp;IF(D33="Non-standard (project design)","NOTE: not an SDRE standard, needs LTA acceptance. ",""))=0,"OK",IF(AND(C33&lt;&gt;"High Covered Linkway",F33&lt;SG_Criteria!$B$46),"FAIL: headroom below "&amp;SG_Criteria!$B$46&amp;" m. ","")&amp;IF(AND(C33="High Covered Linkway",F33&lt;SG_Criteria!$B$47),"FAIL: high linkway headroom below "&amp;SG_Criteria!$B$47&amp;" m. ","")&amp;IF(E33&lt;SG_Criteria!$B$48,"FAIL: roof width below "&amp;SG_Criteria!$B$48&amp;" m. ",IF(E33&lt;SG_Criteria!$B$49,"NOTE: not for MRT/LRT or high-traffic routes (min "&amp;SG_Criteria!$B$49&amp;" m). ",""))&amp;IF(AND(P33&lt;&gt;"",P33&lt;SG_Criteria!$B$50),"FAIL: wind speed below "&amp;SG_Criteria!$B$50&amp;" m/s. ","")&amp;IF(AND(Q33&lt;&gt;"",Q33&lt;SG_Criteria!$B$51),"FAIL: roof fixing pull-out below "&amp;SG_Criteria!$B$51&amp;" kN. ","")&amp;IF(AND(R33&lt;&gt;"",IFERROR(VALUE(MID(R33,2,2)),0)&lt;SG_Criteria!$B$52),"FAIL: grade below C"&amp;SG_Criteria!$B$52&amp;". ","")&amp;IF(D33="Non-standard (project design)","NOTE: not an SDRE standard, needs LTA acceptance. ","")))</f>
        <v/>
      </c>
      <c r="AP33" s="9"/>
      <c r="AQ33" s="9"/>
      <c r="AR33" s="9"/>
      <c r="AS33" s="9"/>
      <c r="AT33" s="9"/>
      <c r="AU33" s="31"/>
      <c r="AV33" s="10" t="str">
        <f aca="false">IF(C33="","",IF(AND(X33="Approved",ISERROR(SEARCH("FAIL",AO33))),"Y","N"))</f>
        <v/>
      </c>
      <c r="AW33" s="10" t="str">
        <f aca="false">IF(C33="","",C33&amp;"|"&amp;E33&amp;"|"&amp;F33&amp;"|"&amp;AV33)</f>
        <v/>
      </c>
    </row>
    <row r="34" customFormat="false" ht="15" hidden="false" customHeight="false" outlineLevel="0" collapsed="false">
      <c r="A34" s="10" t="str">
        <f aca="false">IF(C34="","","LKW-"&amp;IFERROR(VLOOKUP(C34,Lists!$AQ$4:$AR$17,2,0),"??")&amp;"-W"&amp;TEXT(E34*1000,"0000")&amp;"-H"&amp;TEXT(F34*1000,"0000")&amp;"-B"&amp;TEXT(G34*1000,"0000")&amp;"-"&amp;W34)</f>
        <v/>
      </c>
      <c r="B34" s="10" t="str">
        <f aca="false">IF(C34="","",C34&amp;", "&amp;E34&amp;" m wide, "&amp;F34&amp;" m headroom, "&amp;G34&amp;" m bays, "&amp;H34&amp;" ("&amp;D34&amp;")")</f>
        <v/>
      </c>
      <c r="C34" s="9"/>
      <c r="D34" s="9"/>
      <c r="E34" s="43"/>
      <c r="F34" s="43"/>
      <c r="G34" s="43"/>
      <c r="H34" s="9"/>
      <c r="I34" s="9"/>
      <c r="J34" s="9"/>
      <c r="K34" s="9"/>
      <c r="L34" s="9"/>
      <c r="M34" s="9"/>
      <c r="N34" s="9"/>
      <c r="O34" s="9"/>
      <c r="P34" s="40"/>
      <c r="Q34" s="43"/>
      <c r="R34" s="9"/>
      <c r="S34" s="9"/>
      <c r="T34" s="9"/>
      <c r="U34" s="43"/>
      <c r="V34" s="9"/>
      <c r="W34" s="9"/>
      <c r="X34" s="9"/>
      <c r="Y34" s="9"/>
      <c r="Z34" s="9"/>
      <c r="AA34" s="9"/>
      <c r="AB34" s="10" t="str">
        <f aca="false">IF(A34="","",SG_Criteria!$B$6&amp;SG_Criteria!$B$12&amp;"\"&amp;A34&amp;"\")</f>
        <v/>
      </c>
      <c r="AC34" s="10" t="str">
        <f aca="false">IF(A34="","",A34&amp;"_CAD.dwg")</f>
        <v/>
      </c>
      <c r="AD34" s="10" t="str">
        <f aca="false">IF(A34="","",A34&amp;"_DWG.pdf")</f>
        <v/>
      </c>
      <c r="AE34" s="10" t="str">
        <f aca="false">IF(A34="","",IF(AA34="Y",A34&amp;"_STAAD.std","n/a"))</f>
        <v/>
      </c>
      <c r="AF34" s="10" t="str">
        <f aca="false">IF(A34="","",A34&amp;"_CALC.xlsx")</f>
        <v/>
      </c>
      <c r="AG34" s="10" t="str">
        <f aca="false">IF(A34="","",A34&amp;"_CALC.pdf")</f>
        <v/>
      </c>
      <c r="AH34" s="9"/>
      <c r="AI34" s="9"/>
      <c r="AJ34" s="41"/>
      <c r="AK34" s="41"/>
      <c r="AL34" s="41"/>
      <c r="AM34" s="41"/>
      <c r="AN34" s="41"/>
      <c r="AO34" s="38" t="str">
        <f aca="false">IF(C34="","",IF(LEN(IF(AND(C34&lt;&gt;"High Covered Linkway",F34&lt;SG_Criteria!$B$46),"FAIL: headroom below "&amp;SG_Criteria!$B$46&amp;" m. ","")&amp;IF(AND(C34="High Covered Linkway",F34&lt;SG_Criteria!$B$47),"FAIL: high linkway headroom below "&amp;SG_Criteria!$B$47&amp;" m. ","")&amp;IF(E34&lt;SG_Criteria!$B$48,"FAIL: roof width below "&amp;SG_Criteria!$B$48&amp;" m. ",IF(E34&lt;SG_Criteria!$B$49,"NOTE: not for MRT/LRT or high-traffic routes (min "&amp;SG_Criteria!$B$49&amp;" m). ",""))&amp;IF(AND(P34&lt;&gt;"",P34&lt;SG_Criteria!$B$50),"FAIL: wind speed below "&amp;SG_Criteria!$B$50&amp;" m/s. ","")&amp;IF(AND(Q34&lt;&gt;"",Q34&lt;SG_Criteria!$B$51),"FAIL: roof fixing pull-out below "&amp;SG_Criteria!$B$51&amp;" kN. ","")&amp;IF(AND(R34&lt;&gt;"",IFERROR(VALUE(MID(R34,2,2)),0)&lt;SG_Criteria!$B$52),"FAIL: grade below C"&amp;SG_Criteria!$B$52&amp;". ","")&amp;IF(D34="Non-standard (project design)","NOTE: not an SDRE standard, needs LTA acceptance. ",""))=0,"OK",IF(AND(C34&lt;&gt;"High Covered Linkway",F34&lt;SG_Criteria!$B$46),"FAIL: headroom below "&amp;SG_Criteria!$B$46&amp;" m. ","")&amp;IF(AND(C34="High Covered Linkway",F34&lt;SG_Criteria!$B$47),"FAIL: high linkway headroom below "&amp;SG_Criteria!$B$47&amp;" m. ","")&amp;IF(E34&lt;SG_Criteria!$B$48,"FAIL: roof width below "&amp;SG_Criteria!$B$48&amp;" m. ",IF(E34&lt;SG_Criteria!$B$49,"NOTE: not for MRT/LRT or high-traffic routes (min "&amp;SG_Criteria!$B$49&amp;" m). ",""))&amp;IF(AND(P34&lt;&gt;"",P34&lt;SG_Criteria!$B$50),"FAIL: wind speed below "&amp;SG_Criteria!$B$50&amp;" m/s. ","")&amp;IF(AND(Q34&lt;&gt;"",Q34&lt;SG_Criteria!$B$51),"FAIL: roof fixing pull-out below "&amp;SG_Criteria!$B$51&amp;" kN. ","")&amp;IF(AND(R34&lt;&gt;"",IFERROR(VALUE(MID(R34,2,2)),0)&lt;SG_Criteria!$B$52),"FAIL: grade below C"&amp;SG_Criteria!$B$52&amp;". ","")&amp;IF(D34="Non-standard (project design)","NOTE: not an SDRE standard, needs LTA acceptance. ","")))</f>
        <v/>
      </c>
      <c r="AP34" s="9"/>
      <c r="AQ34" s="9"/>
      <c r="AR34" s="9"/>
      <c r="AS34" s="9"/>
      <c r="AT34" s="9"/>
      <c r="AU34" s="31"/>
      <c r="AV34" s="10" t="str">
        <f aca="false">IF(C34="","",IF(AND(X34="Approved",ISERROR(SEARCH("FAIL",AO34))),"Y","N"))</f>
        <v/>
      </c>
      <c r="AW34" s="10" t="str">
        <f aca="false">IF(C34="","",C34&amp;"|"&amp;E34&amp;"|"&amp;F34&amp;"|"&amp;AV34)</f>
        <v/>
      </c>
    </row>
    <row r="35" customFormat="false" ht="15" hidden="false" customHeight="false" outlineLevel="0" collapsed="false">
      <c r="A35" s="10" t="str">
        <f aca="false">IF(C35="","","LKW-"&amp;IFERROR(VLOOKUP(C35,Lists!$AQ$4:$AR$17,2,0),"??")&amp;"-W"&amp;TEXT(E35*1000,"0000")&amp;"-H"&amp;TEXT(F35*1000,"0000")&amp;"-B"&amp;TEXT(G35*1000,"0000")&amp;"-"&amp;W35)</f>
        <v/>
      </c>
      <c r="B35" s="10" t="str">
        <f aca="false">IF(C35="","",C35&amp;", "&amp;E35&amp;" m wide, "&amp;F35&amp;" m headroom, "&amp;G35&amp;" m bays, "&amp;H35&amp;" ("&amp;D35&amp;")")</f>
        <v/>
      </c>
      <c r="C35" s="9"/>
      <c r="D35" s="9"/>
      <c r="E35" s="43"/>
      <c r="F35" s="43"/>
      <c r="G35" s="43"/>
      <c r="H35" s="9"/>
      <c r="I35" s="9"/>
      <c r="J35" s="9"/>
      <c r="K35" s="9"/>
      <c r="L35" s="9"/>
      <c r="M35" s="9"/>
      <c r="N35" s="9"/>
      <c r="O35" s="9"/>
      <c r="P35" s="40"/>
      <c r="Q35" s="43"/>
      <c r="R35" s="9"/>
      <c r="S35" s="9"/>
      <c r="T35" s="9"/>
      <c r="U35" s="43"/>
      <c r="V35" s="9"/>
      <c r="W35" s="9"/>
      <c r="X35" s="9"/>
      <c r="Y35" s="9"/>
      <c r="Z35" s="9"/>
      <c r="AA35" s="9"/>
      <c r="AB35" s="10" t="str">
        <f aca="false">IF(A35="","",SG_Criteria!$B$6&amp;SG_Criteria!$B$12&amp;"\"&amp;A35&amp;"\")</f>
        <v/>
      </c>
      <c r="AC35" s="10" t="str">
        <f aca="false">IF(A35="","",A35&amp;"_CAD.dwg")</f>
        <v/>
      </c>
      <c r="AD35" s="10" t="str">
        <f aca="false">IF(A35="","",A35&amp;"_DWG.pdf")</f>
        <v/>
      </c>
      <c r="AE35" s="10" t="str">
        <f aca="false">IF(A35="","",IF(AA35="Y",A35&amp;"_STAAD.std","n/a"))</f>
        <v/>
      </c>
      <c r="AF35" s="10" t="str">
        <f aca="false">IF(A35="","",A35&amp;"_CALC.xlsx")</f>
        <v/>
      </c>
      <c r="AG35" s="10" t="str">
        <f aca="false">IF(A35="","",A35&amp;"_CALC.pdf")</f>
        <v/>
      </c>
      <c r="AH35" s="9"/>
      <c r="AI35" s="9"/>
      <c r="AJ35" s="41"/>
      <c r="AK35" s="41"/>
      <c r="AL35" s="41"/>
      <c r="AM35" s="41"/>
      <c r="AN35" s="41"/>
      <c r="AO35" s="38" t="str">
        <f aca="false">IF(C35="","",IF(LEN(IF(AND(C35&lt;&gt;"High Covered Linkway",F35&lt;SG_Criteria!$B$46),"FAIL: headroom below "&amp;SG_Criteria!$B$46&amp;" m. ","")&amp;IF(AND(C35="High Covered Linkway",F35&lt;SG_Criteria!$B$47),"FAIL: high linkway headroom below "&amp;SG_Criteria!$B$47&amp;" m. ","")&amp;IF(E35&lt;SG_Criteria!$B$48,"FAIL: roof width below "&amp;SG_Criteria!$B$48&amp;" m. ",IF(E35&lt;SG_Criteria!$B$49,"NOTE: not for MRT/LRT or high-traffic routes (min "&amp;SG_Criteria!$B$49&amp;" m). ",""))&amp;IF(AND(P35&lt;&gt;"",P35&lt;SG_Criteria!$B$50),"FAIL: wind speed below "&amp;SG_Criteria!$B$50&amp;" m/s. ","")&amp;IF(AND(Q35&lt;&gt;"",Q35&lt;SG_Criteria!$B$51),"FAIL: roof fixing pull-out below "&amp;SG_Criteria!$B$51&amp;" kN. ","")&amp;IF(AND(R35&lt;&gt;"",IFERROR(VALUE(MID(R35,2,2)),0)&lt;SG_Criteria!$B$52),"FAIL: grade below C"&amp;SG_Criteria!$B$52&amp;". ","")&amp;IF(D35="Non-standard (project design)","NOTE: not an SDRE standard, needs LTA acceptance. ",""))=0,"OK",IF(AND(C35&lt;&gt;"High Covered Linkway",F35&lt;SG_Criteria!$B$46),"FAIL: headroom below "&amp;SG_Criteria!$B$46&amp;" m. ","")&amp;IF(AND(C35="High Covered Linkway",F35&lt;SG_Criteria!$B$47),"FAIL: high linkway headroom below "&amp;SG_Criteria!$B$47&amp;" m. ","")&amp;IF(E35&lt;SG_Criteria!$B$48,"FAIL: roof width below "&amp;SG_Criteria!$B$48&amp;" m. ",IF(E35&lt;SG_Criteria!$B$49,"NOTE: not for MRT/LRT or high-traffic routes (min "&amp;SG_Criteria!$B$49&amp;" m). ",""))&amp;IF(AND(P35&lt;&gt;"",P35&lt;SG_Criteria!$B$50),"FAIL: wind speed below "&amp;SG_Criteria!$B$50&amp;" m/s. ","")&amp;IF(AND(Q35&lt;&gt;"",Q35&lt;SG_Criteria!$B$51),"FAIL: roof fixing pull-out below "&amp;SG_Criteria!$B$51&amp;" kN. ","")&amp;IF(AND(R35&lt;&gt;"",IFERROR(VALUE(MID(R35,2,2)),0)&lt;SG_Criteria!$B$52),"FAIL: grade below C"&amp;SG_Criteria!$B$52&amp;". ","")&amp;IF(D35="Non-standard (project design)","NOTE: not an SDRE standard, needs LTA acceptance. ","")))</f>
        <v/>
      </c>
      <c r="AP35" s="9"/>
      <c r="AQ35" s="9"/>
      <c r="AR35" s="9"/>
      <c r="AS35" s="9"/>
      <c r="AT35" s="9"/>
      <c r="AU35" s="31"/>
      <c r="AV35" s="10" t="str">
        <f aca="false">IF(C35="","",IF(AND(X35="Approved",ISERROR(SEARCH("FAIL",AO35))),"Y","N"))</f>
        <v/>
      </c>
      <c r="AW35" s="10" t="str">
        <f aca="false">IF(C35="","",C35&amp;"|"&amp;E35&amp;"|"&amp;F35&amp;"|"&amp;AV35)</f>
        <v/>
      </c>
    </row>
    <row r="36" customFormat="false" ht="15" hidden="false" customHeight="false" outlineLevel="0" collapsed="false">
      <c r="A36" s="10" t="str">
        <f aca="false">IF(C36="","","LKW-"&amp;IFERROR(VLOOKUP(C36,Lists!$AQ$4:$AR$17,2,0),"??")&amp;"-W"&amp;TEXT(E36*1000,"0000")&amp;"-H"&amp;TEXT(F36*1000,"0000")&amp;"-B"&amp;TEXT(G36*1000,"0000")&amp;"-"&amp;W36)</f>
        <v/>
      </c>
      <c r="B36" s="10" t="str">
        <f aca="false">IF(C36="","",C36&amp;", "&amp;E36&amp;" m wide, "&amp;F36&amp;" m headroom, "&amp;G36&amp;" m bays, "&amp;H36&amp;" ("&amp;D36&amp;")")</f>
        <v/>
      </c>
      <c r="C36" s="9"/>
      <c r="D36" s="9"/>
      <c r="E36" s="43"/>
      <c r="F36" s="43"/>
      <c r="G36" s="43"/>
      <c r="H36" s="9"/>
      <c r="I36" s="9"/>
      <c r="J36" s="9"/>
      <c r="K36" s="9"/>
      <c r="L36" s="9"/>
      <c r="M36" s="9"/>
      <c r="N36" s="9"/>
      <c r="O36" s="9"/>
      <c r="P36" s="40"/>
      <c r="Q36" s="43"/>
      <c r="R36" s="9"/>
      <c r="S36" s="9"/>
      <c r="T36" s="9"/>
      <c r="U36" s="43"/>
      <c r="V36" s="9"/>
      <c r="W36" s="9"/>
      <c r="X36" s="9"/>
      <c r="Y36" s="9"/>
      <c r="Z36" s="9"/>
      <c r="AA36" s="9"/>
      <c r="AB36" s="10" t="str">
        <f aca="false">IF(A36="","",SG_Criteria!$B$6&amp;SG_Criteria!$B$12&amp;"\"&amp;A36&amp;"\")</f>
        <v/>
      </c>
      <c r="AC36" s="10" t="str">
        <f aca="false">IF(A36="","",A36&amp;"_CAD.dwg")</f>
        <v/>
      </c>
      <c r="AD36" s="10" t="str">
        <f aca="false">IF(A36="","",A36&amp;"_DWG.pdf")</f>
        <v/>
      </c>
      <c r="AE36" s="10" t="str">
        <f aca="false">IF(A36="","",IF(AA36="Y",A36&amp;"_STAAD.std","n/a"))</f>
        <v/>
      </c>
      <c r="AF36" s="10" t="str">
        <f aca="false">IF(A36="","",A36&amp;"_CALC.xlsx")</f>
        <v/>
      </c>
      <c r="AG36" s="10" t="str">
        <f aca="false">IF(A36="","",A36&amp;"_CALC.pdf")</f>
        <v/>
      </c>
      <c r="AH36" s="9"/>
      <c r="AI36" s="9"/>
      <c r="AJ36" s="41"/>
      <c r="AK36" s="41"/>
      <c r="AL36" s="41"/>
      <c r="AM36" s="41"/>
      <c r="AN36" s="41"/>
      <c r="AO36" s="38" t="str">
        <f aca="false">IF(C36="","",IF(LEN(IF(AND(C36&lt;&gt;"High Covered Linkway",F36&lt;SG_Criteria!$B$46),"FAIL: headroom below "&amp;SG_Criteria!$B$46&amp;" m. ","")&amp;IF(AND(C36="High Covered Linkway",F36&lt;SG_Criteria!$B$47),"FAIL: high linkway headroom below "&amp;SG_Criteria!$B$47&amp;" m. ","")&amp;IF(E36&lt;SG_Criteria!$B$48,"FAIL: roof width below "&amp;SG_Criteria!$B$48&amp;" m. ",IF(E36&lt;SG_Criteria!$B$49,"NOTE: not for MRT/LRT or high-traffic routes (min "&amp;SG_Criteria!$B$49&amp;" m). ",""))&amp;IF(AND(P36&lt;&gt;"",P36&lt;SG_Criteria!$B$50),"FAIL: wind speed below "&amp;SG_Criteria!$B$50&amp;" m/s. ","")&amp;IF(AND(Q36&lt;&gt;"",Q36&lt;SG_Criteria!$B$51),"FAIL: roof fixing pull-out below "&amp;SG_Criteria!$B$51&amp;" kN. ","")&amp;IF(AND(R36&lt;&gt;"",IFERROR(VALUE(MID(R36,2,2)),0)&lt;SG_Criteria!$B$52),"FAIL: grade below C"&amp;SG_Criteria!$B$52&amp;". ","")&amp;IF(D36="Non-standard (project design)","NOTE: not an SDRE standard, needs LTA acceptance. ",""))=0,"OK",IF(AND(C36&lt;&gt;"High Covered Linkway",F36&lt;SG_Criteria!$B$46),"FAIL: headroom below "&amp;SG_Criteria!$B$46&amp;" m. ","")&amp;IF(AND(C36="High Covered Linkway",F36&lt;SG_Criteria!$B$47),"FAIL: high linkway headroom below "&amp;SG_Criteria!$B$47&amp;" m. ","")&amp;IF(E36&lt;SG_Criteria!$B$48,"FAIL: roof width below "&amp;SG_Criteria!$B$48&amp;" m. ",IF(E36&lt;SG_Criteria!$B$49,"NOTE: not for MRT/LRT or high-traffic routes (min "&amp;SG_Criteria!$B$49&amp;" m). ",""))&amp;IF(AND(P36&lt;&gt;"",P36&lt;SG_Criteria!$B$50),"FAIL: wind speed below "&amp;SG_Criteria!$B$50&amp;" m/s. ","")&amp;IF(AND(Q36&lt;&gt;"",Q36&lt;SG_Criteria!$B$51),"FAIL: roof fixing pull-out below "&amp;SG_Criteria!$B$51&amp;" kN. ","")&amp;IF(AND(R36&lt;&gt;"",IFERROR(VALUE(MID(R36,2,2)),0)&lt;SG_Criteria!$B$52),"FAIL: grade below C"&amp;SG_Criteria!$B$52&amp;". ","")&amp;IF(D36="Non-standard (project design)","NOTE: not an SDRE standard, needs LTA acceptance. ","")))</f>
        <v/>
      </c>
      <c r="AP36" s="9"/>
      <c r="AQ36" s="9"/>
      <c r="AR36" s="9"/>
      <c r="AS36" s="9"/>
      <c r="AT36" s="9"/>
      <c r="AU36" s="31"/>
      <c r="AV36" s="10" t="str">
        <f aca="false">IF(C36="","",IF(AND(X36="Approved",ISERROR(SEARCH("FAIL",AO36))),"Y","N"))</f>
        <v/>
      </c>
      <c r="AW36" s="10" t="str">
        <f aca="false">IF(C36="","",C36&amp;"|"&amp;E36&amp;"|"&amp;F36&amp;"|"&amp;AV36)</f>
        <v/>
      </c>
    </row>
    <row r="37" customFormat="false" ht="15" hidden="false" customHeight="false" outlineLevel="0" collapsed="false">
      <c r="A37" s="10" t="str">
        <f aca="false">IF(C37="","","LKW-"&amp;IFERROR(VLOOKUP(C37,Lists!$AQ$4:$AR$17,2,0),"??")&amp;"-W"&amp;TEXT(E37*1000,"0000")&amp;"-H"&amp;TEXT(F37*1000,"0000")&amp;"-B"&amp;TEXT(G37*1000,"0000")&amp;"-"&amp;W37)</f>
        <v/>
      </c>
      <c r="B37" s="10" t="str">
        <f aca="false">IF(C37="","",C37&amp;", "&amp;E37&amp;" m wide, "&amp;F37&amp;" m headroom, "&amp;G37&amp;" m bays, "&amp;H37&amp;" ("&amp;D37&amp;")")</f>
        <v/>
      </c>
      <c r="C37" s="9"/>
      <c r="D37" s="9"/>
      <c r="E37" s="43"/>
      <c r="F37" s="43"/>
      <c r="G37" s="43"/>
      <c r="H37" s="9"/>
      <c r="I37" s="9"/>
      <c r="J37" s="9"/>
      <c r="K37" s="9"/>
      <c r="L37" s="9"/>
      <c r="M37" s="9"/>
      <c r="N37" s="9"/>
      <c r="O37" s="9"/>
      <c r="P37" s="40"/>
      <c r="Q37" s="43"/>
      <c r="R37" s="9"/>
      <c r="S37" s="9"/>
      <c r="T37" s="9"/>
      <c r="U37" s="43"/>
      <c r="V37" s="9"/>
      <c r="W37" s="9"/>
      <c r="X37" s="9"/>
      <c r="Y37" s="9"/>
      <c r="Z37" s="9"/>
      <c r="AA37" s="9"/>
      <c r="AB37" s="10" t="str">
        <f aca="false">IF(A37="","",SG_Criteria!$B$6&amp;SG_Criteria!$B$12&amp;"\"&amp;A37&amp;"\")</f>
        <v/>
      </c>
      <c r="AC37" s="10" t="str">
        <f aca="false">IF(A37="","",A37&amp;"_CAD.dwg")</f>
        <v/>
      </c>
      <c r="AD37" s="10" t="str">
        <f aca="false">IF(A37="","",A37&amp;"_DWG.pdf")</f>
        <v/>
      </c>
      <c r="AE37" s="10" t="str">
        <f aca="false">IF(A37="","",IF(AA37="Y",A37&amp;"_STAAD.std","n/a"))</f>
        <v/>
      </c>
      <c r="AF37" s="10" t="str">
        <f aca="false">IF(A37="","",A37&amp;"_CALC.xlsx")</f>
        <v/>
      </c>
      <c r="AG37" s="10" t="str">
        <f aca="false">IF(A37="","",A37&amp;"_CALC.pdf")</f>
        <v/>
      </c>
      <c r="AH37" s="9"/>
      <c r="AI37" s="9"/>
      <c r="AJ37" s="41"/>
      <c r="AK37" s="41"/>
      <c r="AL37" s="41"/>
      <c r="AM37" s="41"/>
      <c r="AN37" s="41"/>
      <c r="AO37" s="38" t="str">
        <f aca="false">IF(C37="","",IF(LEN(IF(AND(C37&lt;&gt;"High Covered Linkway",F37&lt;SG_Criteria!$B$46),"FAIL: headroom below "&amp;SG_Criteria!$B$46&amp;" m. ","")&amp;IF(AND(C37="High Covered Linkway",F37&lt;SG_Criteria!$B$47),"FAIL: high linkway headroom below "&amp;SG_Criteria!$B$47&amp;" m. ","")&amp;IF(E37&lt;SG_Criteria!$B$48,"FAIL: roof width below "&amp;SG_Criteria!$B$48&amp;" m. ",IF(E37&lt;SG_Criteria!$B$49,"NOTE: not for MRT/LRT or high-traffic routes (min "&amp;SG_Criteria!$B$49&amp;" m). ",""))&amp;IF(AND(P37&lt;&gt;"",P37&lt;SG_Criteria!$B$50),"FAIL: wind speed below "&amp;SG_Criteria!$B$50&amp;" m/s. ","")&amp;IF(AND(Q37&lt;&gt;"",Q37&lt;SG_Criteria!$B$51),"FAIL: roof fixing pull-out below "&amp;SG_Criteria!$B$51&amp;" kN. ","")&amp;IF(AND(R37&lt;&gt;"",IFERROR(VALUE(MID(R37,2,2)),0)&lt;SG_Criteria!$B$52),"FAIL: grade below C"&amp;SG_Criteria!$B$52&amp;". ","")&amp;IF(D37="Non-standard (project design)","NOTE: not an SDRE standard, needs LTA acceptance. ",""))=0,"OK",IF(AND(C37&lt;&gt;"High Covered Linkway",F37&lt;SG_Criteria!$B$46),"FAIL: headroom below "&amp;SG_Criteria!$B$46&amp;" m. ","")&amp;IF(AND(C37="High Covered Linkway",F37&lt;SG_Criteria!$B$47),"FAIL: high linkway headroom below "&amp;SG_Criteria!$B$47&amp;" m. ","")&amp;IF(E37&lt;SG_Criteria!$B$48,"FAIL: roof width below "&amp;SG_Criteria!$B$48&amp;" m. ",IF(E37&lt;SG_Criteria!$B$49,"NOTE: not for MRT/LRT or high-traffic routes (min "&amp;SG_Criteria!$B$49&amp;" m). ",""))&amp;IF(AND(P37&lt;&gt;"",P37&lt;SG_Criteria!$B$50),"FAIL: wind speed below "&amp;SG_Criteria!$B$50&amp;" m/s. ","")&amp;IF(AND(Q37&lt;&gt;"",Q37&lt;SG_Criteria!$B$51),"FAIL: roof fixing pull-out below "&amp;SG_Criteria!$B$51&amp;" kN. ","")&amp;IF(AND(R37&lt;&gt;"",IFERROR(VALUE(MID(R37,2,2)),0)&lt;SG_Criteria!$B$52),"FAIL: grade below C"&amp;SG_Criteria!$B$52&amp;". ","")&amp;IF(D37="Non-standard (project design)","NOTE: not an SDRE standard, needs LTA acceptance. ","")))</f>
        <v/>
      </c>
      <c r="AP37" s="9"/>
      <c r="AQ37" s="9"/>
      <c r="AR37" s="9"/>
      <c r="AS37" s="9"/>
      <c r="AT37" s="9"/>
      <c r="AU37" s="31"/>
      <c r="AV37" s="10" t="str">
        <f aca="false">IF(C37="","",IF(AND(X37="Approved",ISERROR(SEARCH("FAIL",AO37))),"Y","N"))</f>
        <v/>
      </c>
      <c r="AW37" s="10" t="str">
        <f aca="false">IF(C37="","",C37&amp;"|"&amp;E37&amp;"|"&amp;F37&amp;"|"&amp;AV37)</f>
        <v/>
      </c>
    </row>
    <row r="38" customFormat="false" ht="15" hidden="false" customHeight="false" outlineLevel="0" collapsed="false">
      <c r="A38" s="10" t="str">
        <f aca="false">IF(C38="","","LKW-"&amp;IFERROR(VLOOKUP(C38,Lists!$AQ$4:$AR$17,2,0),"??")&amp;"-W"&amp;TEXT(E38*1000,"0000")&amp;"-H"&amp;TEXT(F38*1000,"0000")&amp;"-B"&amp;TEXT(G38*1000,"0000")&amp;"-"&amp;W38)</f>
        <v/>
      </c>
      <c r="B38" s="10" t="str">
        <f aca="false">IF(C38="","",C38&amp;", "&amp;E38&amp;" m wide, "&amp;F38&amp;" m headroom, "&amp;G38&amp;" m bays, "&amp;H38&amp;" ("&amp;D38&amp;")")</f>
        <v/>
      </c>
      <c r="C38" s="9"/>
      <c r="D38" s="9"/>
      <c r="E38" s="43"/>
      <c r="F38" s="43"/>
      <c r="G38" s="43"/>
      <c r="H38" s="9"/>
      <c r="I38" s="9"/>
      <c r="J38" s="9"/>
      <c r="K38" s="9"/>
      <c r="L38" s="9"/>
      <c r="M38" s="9"/>
      <c r="N38" s="9"/>
      <c r="O38" s="9"/>
      <c r="P38" s="40"/>
      <c r="Q38" s="43"/>
      <c r="R38" s="9"/>
      <c r="S38" s="9"/>
      <c r="T38" s="9"/>
      <c r="U38" s="43"/>
      <c r="V38" s="9"/>
      <c r="W38" s="9"/>
      <c r="X38" s="9"/>
      <c r="Y38" s="9"/>
      <c r="Z38" s="9"/>
      <c r="AA38" s="9"/>
      <c r="AB38" s="10" t="str">
        <f aca="false">IF(A38="","",SG_Criteria!$B$6&amp;SG_Criteria!$B$12&amp;"\"&amp;A38&amp;"\")</f>
        <v/>
      </c>
      <c r="AC38" s="10" t="str">
        <f aca="false">IF(A38="","",A38&amp;"_CAD.dwg")</f>
        <v/>
      </c>
      <c r="AD38" s="10" t="str">
        <f aca="false">IF(A38="","",A38&amp;"_DWG.pdf")</f>
        <v/>
      </c>
      <c r="AE38" s="10" t="str">
        <f aca="false">IF(A38="","",IF(AA38="Y",A38&amp;"_STAAD.std","n/a"))</f>
        <v/>
      </c>
      <c r="AF38" s="10" t="str">
        <f aca="false">IF(A38="","",A38&amp;"_CALC.xlsx")</f>
        <v/>
      </c>
      <c r="AG38" s="10" t="str">
        <f aca="false">IF(A38="","",A38&amp;"_CALC.pdf")</f>
        <v/>
      </c>
      <c r="AH38" s="9"/>
      <c r="AI38" s="9"/>
      <c r="AJ38" s="41"/>
      <c r="AK38" s="41"/>
      <c r="AL38" s="41"/>
      <c r="AM38" s="41"/>
      <c r="AN38" s="41"/>
      <c r="AO38" s="38" t="str">
        <f aca="false">IF(C38="","",IF(LEN(IF(AND(C38&lt;&gt;"High Covered Linkway",F38&lt;SG_Criteria!$B$46),"FAIL: headroom below "&amp;SG_Criteria!$B$46&amp;" m. ","")&amp;IF(AND(C38="High Covered Linkway",F38&lt;SG_Criteria!$B$47),"FAIL: high linkway headroom below "&amp;SG_Criteria!$B$47&amp;" m. ","")&amp;IF(E38&lt;SG_Criteria!$B$48,"FAIL: roof width below "&amp;SG_Criteria!$B$48&amp;" m. ",IF(E38&lt;SG_Criteria!$B$49,"NOTE: not for MRT/LRT or high-traffic routes (min "&amp;SG_Criteria!$B$49&amp;" m). ",""))&amp;IF(AND(P38&lt;&gt;"",P38&lt;SG_Criteria!$B$50),"FAIL: wind speed below "&amp;SG_Criteria!$B$50&amp;" m/s. ","")&amp;IF(AND(Q38&lt;&gt;"",Q38&lt;SG_Criteria!$B$51),"FAIL: roof fixing pull-out below "&amp;SG_Criteria!$B$51&amp;" kN. ","")&amp;IF(AND(R38&lt;&gt;"",IFERROR(VALUE(MID(R38,2,2)),0)&lt;SG_Criteria!$B$52),"FAIL: grade below C"&amp;SG_Criteria!$B$52&amp;". ","")&amp;IF(D38="Non-standard (project design)","NOTE: not an SDRE standard, needs LTA acceptance. ",""))=0,"OK",IF(AND(C38&lt;&gt;"High Covered Linkway",F38&lt;SG_Criteria!$B$46),"FAIL: headroom below "&amp;SG_Criteria!$B$46&amp;" m. ","")&amp;IF(AND(C38="High Covered Linkway",F38&lt;SG_Criteria!$B$47),"FAIL: high linkway headroom below "&amp;SG_Criteria!$B$47&amp;" m. ","")&amp;IF(E38&lt;SG_Criteria!$B$48,"FAIL: roof width below "&amp;SG_Criteria!$B$48&amp;" m. ",IF(E38&lt;SG_Criteria!$B$49,"NOTE: not for MRT/LRT or high-traffic routes (min "&amp;SG_Criteria!$B$49&amp;" m). ",""))&amp;IF(AND(P38&lt;&gt;"",P38&lt;SG_Criteria!$B$50),"FAIL: wind speed below "&amp;SG_Criteria!$B$50&amp;" m/s. ","")&amp;IF(AND(Q38&lt;&gt;"",Q38&lt;SG_Criteria!$B$51),"FAIL: roof fixing pull-out below "&amp;SG_Criteria!$B$51&amp;" kN. ","")&amp;IF(AND(R38&lt;&gt;"",IFERROR(VALUE(MID(R38,2,2)),0)&lt;SG_Criteria!$B$52),"FAIL: grade below C"&amp;SG_Criteria!$B$52&amp;". ","")&amp;IF(D38="Non-standard (project design)","NOTE: not an SDRE standard, needs LTA acceptance. ","")))</f>
        <v/>
      </c>
      <c r="AP38" s="9"/>
      <c r="AQ38" s="9"/>
      <c r="AR38" s="9"/>
      <c r="AS38" s="9"/>
      <c r="AT38" s="9"/>
      <c r="AU38" s="31"/>
      <c r="AV38" s="10" t="str">
        <f aca="false">IF(C38="","",IF(AND(X38="Approved",ISERROR(SEARCH("FAIL",AO38))),"Y","N"))</f>
        <v/>
      </c>
      <c r="AW38" s="10" t="str">
        <f aca="false">IF(C38="","",C38&amp;"|"&amp;E38&amp;"|"&amp;F38&amp;"|"&amp;AV38)</f>
        <v/>
      </c>
    </row>
    <row r="39" customFormat="false" ht="15" hidden="false" customHeight="false" outlineLevel="0" collapsed="false">
      <c r="A39" s="10" t="str">
        <f aca="false">IF(C39="","","LKW-"&amp;IFERROR(VLOOKUP(C39,Lists!$AQ$4:$AR$17,2,0),"??")&amp;"-W"&amp;TEXT(E39*1000,"0000")&amp;"-H"&amp;TEXT(F39*1000,"0000")&amp;"-B"&amp;TEXT(G39*1000,"0000")&amp;"-"&amp;W39)</f>
        <v/>
      </c>
      <c r="B39" s="10" t="str">
        <f aca="false">IF(C39="","",C39&amp;", "&amp;E39&amp;" m wide, "&amp;F39&amp;" m headroom, "&amp;G39&amp;" m bays, "&amp;H39&amp;" ("&amp;D39&amp;")")</f>
        <v/>
      </c>
      <c r="C39" s="9"/>
      <c r="D39" s="9"/>
      <c r="E39" s="43"/>
      <c r="F39" s="43"/>
      <c r="G39" s="43"/>
      <c r="H39" s="9"/>
      <c r="I39" s="9"/>
      <c r="J39" s="9"/>
      <c r="K39" s="9"/>
      <c r="L39" s="9"/>
      <c r="M39" s="9"/>
      <c r="N39" s="9"/>
      <c r="O39" s="9"/>
      <c r="P39" s="40"/>
      <c r="Q39" s="43"/>
      <c r="R39" s="9"/>
      <c r="S39" s="9"/>
      <c r="T39" s="9"/>
      <c r="U39" s="43"/>
      <c r="V39" s="9"/>
      <c r="W39" s="9"/>
      <c r="X39" s="9"/>
      <c r="Y39" s="9"/>
      <c r="Z39" s="9"/>
      <c r="AA39" s="9"/>
      <c r="AB39" s="10" t="str">
        <f aca="false">IF(A39="","",SG_Criteria!$B$6&amp;SG_Criteria!$B$12&amp;"\"&amp;A39&amp;"\")</f>
        <v/>
      </c>
      <c r="AC39" s="10" t="str">
        <f aca="false">IF(A39="","",A39&amp;"_CAD.dwg")</f>
        <v/>
      </c>
      <c r="AD39" s="10" t="str">
        <f aca="false">IF(A39="","",A39&amp;"_DWG.pdf")</f>
        <v/>
      </c>
      <c r="AE39" s="10" t="str">
        <f aca="false">IF(A39="","",IF(AA39="Y",A39&amp;"_STAAD.std","n/a"))</f>
        <v/>
      </c>
      <c r="AF39" s="10" t="str">
        <f aca="false">IF(A39="","",A39&amp;"_CALC.xlsx")</f>
        <v/>
      </c>
      <c r="AG39" s="10" t="str">
        <f aca="false">IF(A39="","",A39&amp;"_CALC.pdf")</f>
        <v/>
      </c>
      <c r="AH39" s="9"/>
      <c r="AI39" s="9"/>
      <c r="AJ39" s="41"/>
      <c r="AK39" s="41"/>
      <c r="AL39" s="41"/>
      <c r="AM39" s="41"/>
      <c r="AN39" s="41"/>
      <c r="AO39" s="38" t="str">
        <f aca="false">IF(C39="","",IF(LEN(IF(AND(C39&lt;&gt;"High Covered Linkway",F39&lt;SG_Criteria!$B$46),"FAIL: headroom below "&amp;SG_Criteria!$B$46&amp;" m. ","")&amp;IF(AND(C39="High Covered Linkway",F39&lt;SG_Criteria!$B$47),"FAIL: high linkway headroom below "&amp;SG_Criteria!$B$47&amp;" m. ","")&amp;IF(E39&lt;SG_Criteria!$B$48,"FAIL: roof width below "&amp;SG_Criteria!$B$48&amp;" m. ",IF(E39&lt;SG_Criteria!$B$49,"NOTE: not for MRT/LRT or high-traffic routes (min "&amp;SG_Criteria!$B$49&amp;" m). ",""))&amp;IF(AND(P39&lt;&gt;"",P39&lt;SG_Criteria!$B$50),"FAIL: wind speed below "&amp;SG_Criteria!$B$50&amp;" m/s. ","")&amp;IF(AND(Q39&lt;&gt;"",Q39&lt;SG_Criteria!$B$51),"FAIL: roof fixing pull-out below "&amp;SG_Criteria!$B$51&amp;" kN. ","")&amp;IF(AND(R39&lt;&gt;"",IFERROR(VALUE(MID(R39,2,2)),0)&lt;SG_Criteria!$B$52),"FAIL: grade below C"&amp;SG_Criteria!$B$52&amp;". ","")&amp;IF(D39="Non-standard (project design)","NOTE: not an SDRE standard, needs LTA acceptance. ",""))=0,"OK",IF(AND(C39&lt;&gt;"High Covered Linkway",F39&lt;SG_Criteria!$B$46),"FAIL: headroom below "&amp;SG_Criteria!$B$46&amp;" m. ","")&amp;IF(AND(C39="High Covered Linkway",F39&lt;SG_Criteria!$B$47),"FAIL: high linkway headroom below "&amp;SG_Criteria!$B$47&amp;" m. ","")&amp;IF(E39&lt;SG_Criteria!$B$48,"FAIL: roof width below "&amp;SG_Criteria!$B$48&amp;" m. ",IF(E39&lt;SG_Criteria!$B$49,"NOTE: not for MRT/LRT or high-traffic routes (min "&amp;SG_Criteria!$B$49&amp;" m). ",""))&amp;IF(AND(P39&lt;&gt;"",P39&lt;SG_Criteria!$B$50),"FAIL: wind speed below "&amp;SG_Criteria!$B$50&amp;" m/s. ","")&amp;IF(AND(Q39&lt;&gt;"",Q39&lt;SG_Criteria!$B$51),"FAIL: roof fixing pull-out below "&amp;SG_Criteria!$B$51&amp;" kN. ","")&amp;IF(AND(R39&lt;&gt;"",IFERROR(VALUE(MID(R39,2,2)),0)&lt;SG_Criteria!$B$52),"FAIL: grade below C"&amp;SG_Criteria!$B$52&amp;". ","")&amp;IF(D39="Non-standard (project design)","NOTE: not an SDRE standard, needs LTA acceptance. ","")))</f>
        <v/>
      </c>
      <c r="AP39" s="9"/>
      <c r="AQ39" s="9"/>
      <c r="AR39" s="9"/>
      <c r="AS39" s="9"/>
      <c r="AT39" s="9"/>
      <c r="AU39" s="31"/>
      <c r="AV39" s="10" t="str">
        <f aca="false">IF(C39="","",IF(AND(X39="Approved",ISERROR(SEARCH("FAIL",AO39))),"Y","N"))</f>
        <v/>
      </c>
      <c r="AW39" s="10" t="str">
        <f aca="false">IF(C39="","",C39&amp;"|"&amp;E39&amp;"|"&amp;F39&amp;"|"&amp;AV39)</f>
        <v/>
      </c>
    </row>
    <row r="40" customFormat="false" ht="15" hidden="false" customHeight="false" outlineLevel="0" collapsed="false">
      <c r="A40" s="10" t="str">
        <f aca="false">IF(C40="","","LKW-"&amp;IFERROR(VLOOKUP(C40,Lists!$AQ$4:$AR$17,2,0),"??")&amp;"-W"&amp;TEXT(E40*1000,"0000")&amp;"-H"&amp;TEXT(F40*1000,"0000")&amp;"-B"&amp;TEXT(G40*1000,"0000")&amp;"-"&amp;W40)</f>
        <v/>
      </c>
      <c r="B40" s="10" t="str">
        <f aca="false">IF(C40="","",C40&amp;", "&amp;E40&amp;" m wide, "&amp;F40&amp;" m headroom, "&amp;G40&amp;" m bays, "&amp;H40&amp;" ("&amp;D40&amp;")")</f>
        <v/>
      </c>
      <c r="C40" s="9"/>
      <c r="D40" s="9"/>
      <c r="E40" s="43"/>
      <c r="F40" s="43"/>
      <c r="G40" s="43"/>
      <c r="H40" s="9"/>
      <c r="I40" s="9"/>
      <c r="J40" s="9"/>
      <c r="K40" s="9"/>
      <c r="L40" s="9"/>
      <c r="M40" s="9"/>
      <c r="N40" s="9"/>
      <c r="O40" s="9"/>
      <c r="P40" s="40"/>
      <c r="Q40" s="43"/>
      <c r="R40" s="9"/>
      <c r="S40" s="9"/>
      <c r="T40" s="9"/>
      <c r="U40" s="43"/>
      <c r="V40" s="9"/>
      <c r="W40" s="9"/>
      <c r="X40" s="9"/>
      <c r="Y40" s="9"/>
      <c r="Z40" s="9"/>
      <c r="AA40" s="9"/>
      <c r="AB40" s="10" t="str">
        <f aca="false">IF(A40="","",SG_Criteria!$B$6&amp;SG_Criteria!$B$12&amp;"\"&amp;A40&amp;"\")</f>
        <v/>
      </c>
      <c r="AC40" s="10" t="str">
        <f aca="false">IF(A40="","",A40&amp;"_CAD.dwg")</f>
        <v/>
      </c>
      <c r="AD40" s="10" t="str">
        <f aca="false">IF(A40="","",A40&amp;"_DWG.pdf")</f>
        <v/>
      </c>
      <c r="AE40" s="10" t="str">
        <f aca="false">IF(A40="","",IF(AA40="Y",A40&amp;"_STAAD.std","n/a"))</f>
        <v/>
      </c>
      <c r="AF40" s="10" t="str">
        <f aca="false">IF(A40="","",A40&amp;"_CALC.xlsx")</f>
        <v/>
      </c>
      <c r="AG40" s="10" t="str">
        <f aca="false">IF(A40="","",A40&amp;"_CALC.pdf")</f>
        <v/>
      </c>
      <c r="AH40" s="9"/>
      <c r="AI40" s="9"/>
      <c r="AJ40" s="41"/>
      <c r="AK40" s="41"/>
      <c r="AL40" s="41"/>
      <c r="AM40" s="41"/>
      <c r="AN40" s="41"/>
      <c r="AO40" s="38" t="str">
        <f aca="false">IF(C40="","",IF(LEN(IF(AND(C40&lt;&gt;"High Covered Linkway",F40&lt;SG_Criteria!$B$46),"FAIL: headroom below "&amp;SG_Criteria!$B$46&amp;" m. ","")&amp;IF(AND(C40="High Covered Linkway",F40&lt;SG_Criteria!$B$47),"FAIL: high linkway headroom below "&amp;SG_Criteria!$B$47&amp;" m. ","")&amp;IF(E40&lt;SG_Criteria!$B$48,"FAIL: roof width below "&amp;SG_Criteria!$B$48&amp;" m. ",IF(E40&lt;SG_Criteria!$B$49,"NOTE: not for MRT/LRT or high-traffic routes (min "&amp;SG_Criteria!$B$49&amp;" m). ",""))&amp;IF(AND(P40&lt;&gt;"",P40&lt;SG_Criteria!$B$50),"FAIL: wind speed below "&amp;SG_Criteria!$B$50&amp;" m/s. ","")&amp;IF(AND(Q40&lt;&gt;"",Q40&lt;SG_Criteria!$B$51),"FAIL: roof fixing pull-out below "&amp;SG_Criteria!$B$51&amp;" kN. ","")&amp;IF(AND(R40&lt;&gt;"",IFERROR(VALUE(MID(R40,2,2)),0)&lt;SG_Criteria!$B$52),"FAIL: grade below C"&amp;SG_Criteria!$B$52&amp;". ","")&amp;IF(D40="Non-standard (project design)","NOTE: not an SDRE standard, needs LTA acceptance. ",""))=0,"OK",IF(AND(C40&lt;&gt;"High Covered Linkway",F40&lt;SG_Criteria!$B$46),"FAIL: headroom below "&amp;SG_Criteria!$B$46&amp;" m. ","")&amp;IF(AND(C40="High Covered Linkway",F40&lt;SG_Criteria!$B$47),"FAIL: high linkway headroom below "&amp;SG_Criteria!$B$47&amp;" m. ","")&amp;IF(E40&lt;SG_Criteria!$B$48,"FAIL: roof width below "&amp;SG_Criteria!$B$48&amp;" m. ",IF(E40&lt;SG_Criteria!$B$49,"NOTE: not for MRT/LRT or high-traffic routes (min "&amp;SG_Criteria!$B$49&amp;" m). ",""))&amp;IF(AND(P40&lt;&gt;"",P40&lt;SG_Criteria!$B$50),"FAIL: wind speed below "&amp;SG_Criteria!$B$50&amp;" m/s. ","")&amp;IF(AND(Q40&lt;&gt;"",Q40&lt;SG_Criteria!$B$51),"FAIL: roof fixing pull-out below "&amp;SG_Criteria!$B$51&amp;" kN. ","")&amp;IF(AND(R40&lt;&gt;"",IFERROR(VALUE(MID(R40,2,2)),0)&lt;SG_Criteria!$B$52),"FAIL: grade below C"&amp;SG_Criteria!$B$52&amp;". ","")&amp;IF(D40="Non-standard (project design)","NOTE: not an SDRE standard, needs LTA acceptance. ","")))</f>
        <v/>
      </c>
      <c r="AP40" s="9"/>
      <c r="AQ40" s="9"/>
      <c r="AR40" s="9"/>
      <c r="AS40" s="9"/>
      <c r="AT40" s="9"/>
      <c r="AU40" s="31"/>
      <c r="AV40" s="10" t="str">
        <f aca="false">IF(C40="","",IF(AND(X40="Approved",ISERROR(SEARCH("FAIL",AO40))),"Y","N"))</f>
        <v/>
      </c>
      <c r="AW40" s="10" t="str">
        <f aca="false">IF(C40="","",C40&amp;"|"&amp;E40&amp;"|"&amp;F40&amp;"|"&amp;AV40)</f>
        <v/>
      </c>
    </row>
    <row r="41" customFormat="false" ht="15" hidden="false" customHeight="false" outlineLevel="0" collapsed="false">
      <c r="A41" s="10" t="str">
        <f aca="false">IF(C41="","","LKW-"&amp;IFERROR(VLOOKUP(C41,Lists!$AQ$4:$AR$17,2,0),"??")&amp;"-W"&amp;TEXT(E41*1000,"0000")&amp;"-H"&amp;TEXT(F41*1000,"0000")&amp;"-B"&amp;TEXT(G41*1000,"0000")&amp;"-"&amp;W41)</f>
        <v/>
      </c>
      <c r="B41" s="10" t="str">
        <f aca="false">IF(C41="","",C41&amp;", "&amp;E41&amp;" m wide, "&amp;F41&amp;" m headroom, "&amp;G41&amp;" m bays, "&amp;H41&amp;" ("&amp;D41&amp;")")</f>
        <v/>
      </c>
      <c r="C41" s="9"/>
      <c r="D41" s="9"/>
      <c r="E41" s="43"/>
      <c r="F41" s="43"/>
      <c r="G41" s="43"/>
      <c r="H41" s="9"/>
      <c r="I41" s="9"/>
      <c r="J41" s="9"/>
      <c r="K41" s="9"/>
      <c r="L41" s="9"/>
      <c r="M41" s="9"/>
      <c r="N41" s="9"/>
      <c r="O41" s="9"/>
      <c r="P41" s="40"/>
      <c r="Q41" s="43"/>
      <c r="R41" s="9"/>
      <c r="S41" s="9"/>
      <c r="T41" s="9"/>
      <c r="U41" s="43"/>
      <c r="V41" s="9"/>
      <c r="W41" s="9"/>
      <c r="X41" s="9"/>
      <c r="Y41" s="9"/>
      <c r="Z41" s="9"/>
      <c r="AA41" s="9"/>
      <c r="AB41" s="10" t="str">
        <f aca="false">IF(A41="","",SG_Criteria!$B$6&amp;SG_Criteria!$B$12&amp;"\"&amp;A41&amp;"\")</f>
        <v/>
      </c>
      <c r="AC41" s="10" t="str">
        <f aca="false">IF(A41="","",A41&amp;"_CAD.dwg")</f>
        <v/>
      </c>
      <c r="AD41" s="10" t="str">
        <f aca="false">IF(A41="","",A41&amp;"_DWG.pdf")</f>
        <v/>
      </c>
      <c r="AE41" s="10" t="str">
        <f aca="false">IF(A41="","",IF(AA41="Y",A41&amp;"_STAAD.std","n/a"))</f>
        <v/>
      </c>
      <c r="AF41" s="10" t="str">
        <f aca="false">IF(A41="","",A41&amp;"_CALC.xlsx")</f>
        <v/>
      </c>
      <c r="AG41" s="10" t="str">
        <f aca="false">IF(A41="","",A41&amp;"_CALC.pdf")</f>
        <v/>
      </c>
      <c r="AH41" s="9"/>
      <c r="AI41" s="9"/>
      <c r="AJ41" s="41"/>
      <c r="AK41" s="41"/>
      <c r="AL41" s="41"/>
      <c r="AM41" s="41"/>
      <c r="AN41" s="41"/>
      <c r="AO41" s="38" t="str">
        <f aca="false">IF(C41="","",IF(LEN(IF(AND(C41&lt;&gt;"High Covered Linkway",F41&lt;SG_Criteria!$B$46),"FAIL: headroom below "&amp;SG_Criteria!$B$46&amp;" m. ","")&amp;IF(AND(C41="High Covered Linkway",F41&lt;SG_Criteria!$B$47),"FAIL: high linkway headroom below "&amp;SG_Criteria!$B$47&amp;" m. ","")&amp;IF(E41&lt;SG_Criteria!$B$48,"FAIL: roof width below "&amp;SG_Criteria!$B$48&amp;" m. ",IF(E41&lt;SG_Criteria!$B$49,"NOTE: not for MRT/LRT or high-traffic routes (min "&amp;SG_Criteria!$B$49&amp;" m). ",""))&amp;IF(AND(P41&lt;&gt;"",P41&lt;SG_Criteria!$B$50),"FAIL: wind speed below "&amp;SG_Criteria!$B$50&amp;" m/s. ","")&amp;IF(AND(Q41&lt;&gt;"",Q41&lt;SG_Criteria!$B$51),"FAIL: roof fixing pull-out below "&amp;SG_Criteria!$B$51&amp;" kN. ","")&amp;IF(AND(R41&lt;&gt;"",IFERROR(VALUE(MID(R41,2,2)),0)&lt;SG_Criteria!$B$52),"FAIL: grade below C"&amp;SG_Criteria!$B$52&amp;". ","")&amp;IF(D41="Non-standard (project design)","NOTE: not an SDRE standard, needs LTA acceptance. ",""))=0,"OK",IF(AND(C41&lt;&gt;"High Covered Linkway",F41&lt;SG_Criteria!$B$46),"FAIL: headroom below "&amp;SG_Criteria!$B$46&amp;" m. ","")&amp;IF(AND(C41="High Covered Linkway",F41&lt;SG_Criteria!$B$47),"FAIL: high linkway headroom below "&amp;SG_Criteria!$B$47&amp;" m. ","")&amp;IF(E41&lt;SG_Criteria!$B$48,"FAIL: roof width below "&amp;SG_Criteria!$B$48&amp;" m. ",IF(E41&lt;SG_Criteria!$B$49,"NOTE: not for MRT/LRT or high-traffic routes (min "&amp;SG_Criteria!$B$49&amp;" m). ",""))&amp;IF(AND(P41&lt;&gt;"",P41&lt;SG_Criteria!$B$50),"FAIL: wind speed below "&amp;SG_Criteria!$B$50&amp;" m/s. ","")&amp;IF(AND(Q41&lt;&gt;"",Q41&lt;SG_Criteria!$B$51),"FAIL: roof fixing pull-out below "&amp;SG_Criteria!$B$51&amp;" kN. ","")&amp;IF(AND(R41&lt;&gt;"",IFERROR(VALUE(MID(R41,2,2)),0)&lt;SG_Criteria!$B$52),"FAIL: grade below C"&amp;SG_Criteria!$B$52&amp;". ","")&amp;IF(D41="Non-standard (project design)","NOTE: not an SDRE standard, needs LTA acceptance. ","")))</f>
        <v/>
      </c>
      <c r="AP41" s="9"/>
      <c r="AQ41" s="9"/>
      <c r="AR41" s="9"/>
      <c r="AS41" s="9"/>
      <c r="AT41" s="9"/>
      <c r="AU41" s="31"/>
      <c r="AV41" s="10" t="str">
        <f aca="false">IF(C41="","",IF(AND(X41="Approved",ISERROR(SEARCH("FAIL",AO41))),"Y","N"))</f>
        <v/>
      </c>
      <c r="AW41" s="10" t="str">
        <f aca="false">IF(C41="","",C41&amp;"|"&amp;E41&amp;"|"&amp;F41&amp;"|"&amp;AV41)</f>
        <v/>
      </c>
    </row>
    <row r="42" customFormat="false" ht="15" hidden="false" customHeight="false" outlineLevel="0" collapsed="false">
      <c r="A42" s="10" t="str">
        <f aca="false">IF(C42="","","LKW-"&amp;IFERROR(VLOOKUP(C42,Lists!$AQ$4:$AR$17,2,0),"??")&amp;"-W"&amp;TEXT(E42*1000,"0000")&amp;"-H"&amp;TEXT(F42*1000,"0000")&amp;"-B"&amp;TEXT(G42*1000,"0000")&amp;"-"&amp;W42)</f>
        <v/>
      </c>
      <c r="B42" s="10" t="str">
        <f aca="false">IF(C42="","",C42&amp;", "&amp;E42&amp;" m wide, "&amp;F42&amp;" m headroom, "&amp;G42&amp;" m bays, "&amp;H42&amp;" ("&amp;D42&amp;")")</f>
        <v/>
      </c>
      <c r="C42" s="9"/>
      <c r="D42" s="9"/>
      <c r="E42" s="43"/>
      <c r="F42" s="43"/>
      <c r="G42" s="43"/>
      <c r="H42" s="9"/>
      <c r="I42" s="9"/>
      <c r="J42" s="9"/>
      <c r="K42" s="9"/>
      <c r="L42" s="9"/>
      <c r="M42" s="9"/>
      <c r="N42" s="9"/>
      <c r="O42" s="9"/>
      <c r="P42" s="40"/>
      <c r="Q42" s="43"/>
      <c r="R42" s="9"/>
      <c r="S42" s="9"/>
      <c r="T42" s="9"/>
      <c r="U42" s="43"/>
      <c r="V42" s="9"/>
      <c r="W42" s="9"/>
      <c r="X42" s="9"/>
      <c r="Y42" s="9"/>
      <c r="Z42" s="9"/>
      <c r="AA42" s="9"/>
      <c r="AB42" s="10" t="str">
        <f aca="false">IF(A42="","",SG_Criteria!$B$6&amp;SG_Criteria!$B$12&amp;"\"&amp;A42&amp;"\")</f>
        <v/>
      </c>
      <c r="AC42" s="10" t="str">
        <f aca="false">IF(A42="","",A42&amp;"_CAD.dwg")</f>
        <v/>
      </c>
      <c r="AD42" s="10" t="str">
        <f aca="false">IF(A42="","",A42&amp;"_DWG.pdf")</f>
        <v/>
      </c>
      <c r="AE42" s="10" t="str">
        <f aca="false">IF(A42="","",IF(AA42="Y",A42&amp;"_STAAD.std","n/a"))</f>
        <v/>
      </c>
      <c r="AF42" s="10" t="str">
        <f aca="false">IF(A42="","",A42&amp;"_CALC.xlsx")</f>
        <v/>
      </c>
      <c r="AG42" s="10" t="str">
        <f aca="false">IF(A42="","",A42&amp;"_CALC.pdf")</f>
        <v/>
      </c>
      <c r="AH42" s="9"/>
      <c r="AI42" s="9"/>
      <c r="AJ42" s="41"/>
      <c r="AK42" s="41"/>
      <c r="AL42" s="41"/>
      <c r="AM42" s="41"/>
      <c r="AN42" s="41"/>
      <c r="AO42" s="38" t="str">
        <f aca="false">IF(C42="","",IF(LEN(IF(AND(C42&lt;&gt;"High Covered Linkway",F42&lt;SG_Criteria!$B$46),"FAIL: headroom below "&amp;SG_Criteria!$B$46&amp;" m. ","")&amp;IF(AND(C42="High Covered Linkway",F42&lt;SG_Criteria!$B$47),"FAIL: high linkway headroom below "&amp;SG_Criteria!$B$47&amp;" m. ","")&amp;IF(E42&lt;SG_Criteria!$B$48,"FAIL: roof width below "&amp;SG_Criteria!$B$48&amp;" m. ",IF(E42&lt;SG_Criteria!$B$49,"NOTE: not for MRT/LRT or high-traffic routes (min "&amp;SG_Criteria!$B$49&amp;" m). ",""))&amp;IF(AND(P42&lt;&gt;"",P42&lt;SG_Criteria!$B$50),"FAIL: wind speed below "&amp;SG_Criteria!$B$50&amp;" m/s. ","")&amp;IF(AND(Q42&lt;&gt;"",Q42&lt;SG_Criteria!$B$51),"FAIL: roof fixing pull-out below "&amp;SG_Criteria!$B$51&amp;" kN. ","")&amp;IF(AND(R42&lt;&gt;"",IFERROR(VALUE(MID(R42,2,2)),0)&lt;SG_Criteria!$B$52),"FAIL: grade below C"&amp;SG_Criteria!$B$52&amp;". ","")&amp;IF(D42="Non-standard (project design)","NOTE: not an SDRE standard, needs LTA acceptance. ",""))=0,"OK",IF(AND(C42&lt;&gt;"High Covered Linkway",F42&lt;SG_Criteria!$B$46),"FAIL: headroom below "&amp;SG_Criteria!$B$46&amp;" m. ","")&amp;IF(AND(C42="High Covered Linkway",F42&lt;SG_Criteria!$B$47),"FAIL: high linkway headroom below "&amp;SG_Criteria!$B$47&amp;" m. ","")&amp;IF(E42&lt;SG_Criteria!$B$48,"FAIL: roof width below "&amp;SG_Criteria!$B$48&amp;" m. ",IF(E42&lt;SG_Criteria!$B$49,"NOTE: not for MRT/LRT or high-traffic routes (min "&amp;SG_Criteria!$B$49&amp;" m). ",""))&amp;IF(AND(P42&lt;&gt;"",P42&lt;SG_Criteria!$B$50),"FAIL: wind speed below "&amp;SG_Criteria!$B$50&amp;" m/s. ","")&amp;IF(AND(Q42&lt;&gt;"",Q42&lt;SG_Criteria!$B$51),"FAIL: roof fixing pull-out below "&amp;SG_Criteria!$B$51&amp;" kN. ","")&amp;IF(AND(R42&lt;&gt;"",IFERROR(VALUE(MID(R42,2,2)),0)&lt;SG_Criteria!$B$52),"FAIL: grade below C"&amp;SG_Criteria!$B$52&amp;". ","")&amp;IF(D42="Non-standard (project design)","NOTE: not an SDRE standard, needs LTA acceptance. ","")))</f>
        <v/>
      </c>
      <c r="AP42" s="9"/>
      <c r="AQ42" s="9"/>
      <c r="AR42" s="9"/>
      <c r="AS42" s="9"/>
      <c r="AT42" s="9"/>
      <c r="AU42" s="31"/>
      <c r="AV42" s="10" t="str">
        <f aca="false">IF(C42="","",IF(AND(X42="Approved",ISERROR(SEARCH("FAIL",AO42))),"Y","N"))</f>
        <v/>
      </c>
      <c r="AW42" s="10" t="str">
        <f aca="false">IF(C42="","",C42&amp;"|"&amp;E42&amp;"|"&amp;F42&amp;"|"&amp;AV42)</f>
        <v/>
      </c>
    </row>
    <row r="43" customFormat="false" ht="15" hidden="false" customHeight="false" outlineLevel="0" collapsed="false">
      <c r="A43" s="10" t="str">
        <f aca="false">IF(C43="","","LKW-"&amp;IFERROR(VLOOKUP(C43,Lists!$AQ$4:$AR$17,2,0),"??")&amp;"-W"&amp;TEXT(E43*1000,"0000")&amp;"-H"&amp;TEXT(F43*1000,"0000")&amp;"-B"&amp;TEXT(G43*1000,"0000")&amp;"-"&amp;W43)</f>
        <v/>
      </c>
      <c r="B43" s="10" t="str">
        <f aca="false">IF(C43="","",C43&amp;", "&amp;E43&amp;" m wide, "&amp;F43&amp;" m headroom, "&amp;G43&amp;" m bays, "&amp;H43&amp;" ("&amp;D43&amp;")")</f>
        <v/>
      </c>
      <c r="C43" s="9"/>
      <c r="D43" s="9"/>
      <c r="E43" s="43"/>
      <c r="F43" s="43"/>
      <c r="G43" s="43"/>
      <c r="H43" s="9"/>
      <c r="I43" s="9"/>
      <c r="J43" s="9"/>
      <c r="K43" s="9"/>
      <c r="L43" s="9"/>
      <c r="M43" s="9"/>
      <c r="N43" s="9"/>
      <c r="O43" s="9"/>
      <c r="P43" s="40"/>
      <c r="Q43" s="43"/>
      <c r="R43" s="9"/>
      <c r="S43" s="9"/>
      <c r="T43" s="9"/>
      <c r="U43" s="43"/>
      <c r="V43" s="9"/>
      <c r="W43" s="9"/>
      <c r="X43" s="9"/>
      <c r="Y43" s="9"/>
      <c r="Z43" s="9"/>
      <c r="AA43" s="9"/>
      <c r="AB43" s="10" t="str">
        <f aca="false">IF(A43="","",SG_Criteria!$B$6&amp;SG_Criteria!$B$12&amp;"\"&amp;A43&amp;"\")</f>
        <v/>
      </c>
      <c r="AC43" s="10" t="str">
        <f aca="false">IF(A43="","",A43&amp;"_CAD.dwg")</f>
        <v/>
      </c>
      <c r="AD43" s="10" t="str">
        <f aca="false">IF(A43="","",A43&amp;"_DWG.pdf")</f>
        <v/>
      </c>
      <c r="AE43" s="10" t="str">
        <f aca="false">IF(A43="","",IF(AA43="Y",A43&amp;"_STAAD.std","n/a"))</f>
        <v/>
      </c>
      <c r="AF43" s="10" t="str">
        <f aca="false">IF(A43="","",A43&amp;"_CALC.xlsx")</f>
        <v/>
      </c>
      <c r="AG43" s="10" t="str">
        <f aca="false">IF(A43="","",A43&amp;"_CALC.pdf")</f>
        <v/>
      </c>
      <c r="AH43" s="9"/>
      <c r="AI43" s="9"/>
      <c r="AJ43" s="41"/>
      <c r="AK43" s="41"/>
      <c r="AL43" s="41"/>
      <c r="AM43" s="41"/>
      <c r="AN43" s="41"/>
      <c r="AO43" s="38" t="str">
        <f aca="false">IF(C43="","",IF(LEN(IF(AND(C43&lt;&gt;"High Covered Linkway",F43&lt;SG_Criteria!$B$46),"FAIL: headroom below "&amp;SG_Criteria!$B$46&amp;" m. ","")&amp;IF(AND(C43="High Covered Linkway",F43&lt;SG_Criteria!$B$47),"FAIL: high linkway headroom below "&amp;SG_Criteria!$B$47&amp;" m. ","")&amp;IF(E43&lt;SG_Criteria!$B$48,"FAIL: roof width below "&amp;SG_Criteria!$B$48&amp;" m. ",IF(E43&lt;SG_Criteria!$B$49,"NOTE: not for MRT/LRT or high-traffic routes (min "&amp;SG_Criteria!$B$49&amp;" m). ",""))&amp;IF(AND(P43&lt;&gt;"",P43&lt;SG_Criteria!$B$50),"FAIL: wind speed below "&amp;SG_Criteria!$B$50&amp;" m/s. ","")&amp;IF(AND(Q43&lt;&gt;"",Q43&lt;SG_Criteria!$B$51),"FAIL: roof fixing pull-out below "&amp;SG_Criteria!$B$51&amp;" kN. ","")&amp;IF(AND(R43&lt;&gt;"",IFERROR(VALUE(MID(R43,2,2)),0)&lt;SG_Criteria!$B$52),"FAIL: grade below C"&amp;SG_Criteria!$B$52&amp;". ","")&amp;IF(D43="Non-standard (project design)","NOTE: not an SDRE standard, needs LTA acceptance. ",""))=0,"OK",IF(AND(C43&lt;&gt;"High Covered Linkway",F43&lt;SG_Criteria!$B$46),"FAIL: headroom below "&amp;SG_Criteria!$B$46&amp;" m. ","")&amp;IF(AND(C43="High Covered Linkway",F43&lt;SG_Criteria!$B$47),"FAIL: high linkway headroom below "&amp;SG_Criteria!$B$47&amp;" m. ","")&amp;IF(E43&lt;SG_Criteria!$B$48,"FAIL: roof width below "&amp;SG_Criteria!$B$48&amp;" m. ",IF(E43&lt;SG_Criteria!$B$49,"NOTE: not for MRT/LRT or high-traffic routes (min "&amp;SG_Criteria!$B$49&amp;" m). ",""))&amp;IF(AND(P43&lt;&gt;"",P43&lt;SG_Criteria!$B$50),"FAIL: wind speed below "&amp;SG_Criteria!$B$50&amp;" m/s. ","")&amp;IF(AND(Q43&lt;&gt;"",Q43&lt;SG_Criteria!$B$51),"FAIL: roof fixing pull-out below "&amp;SG_Criteria!$B$51&amp;" kN. ","")&amp;IF(AND(R43&lt;&gt;"",IFERROR(VALUE(MID(R43,2,2)),0)&lt;SG_Criteria!$B$52),"FAIL: grade below C"&amp;SG_Criteria!$B$52&amp;". ","")&amp;IF(D43="Non-standard (project design)","NOTE: not an SDRE standard, needs LTA acceptance. ","")))</f>
        <v/>
      </c>
      <c r="AP43" s="9"/>
      <c r="AQ43" s="9"/>
      <c r="AR43" s="9"/>
      <c r="AS43" s="9"/>
      <c r="AT43" s="9"/>
      <c r="AU43" s="31"/>
      <c r="AV43" s="10" t="str">
        <f aca="false">IF(C43="","",IF(AND(X43="Approved",ISERROR(SEARCH("FAIL",AO43))),"Y","N"))</f>
        <v/>
      </c>
      <c r="AW43" s="10" t="str">
        <f aca="false">IF(C43="","",C43&amp;"|"&amp;E43&amp;"|"&amp;F43&amp;"|"&amp;AV43)</f>
        <v/>
      </c>
    </row>
    <row r="44" customFormat="false" ht="15" hidden="false" customHeight="false" outlineLevel="0" collapsed="false">
      <c r="A44" s="10" t="str">
        <f aca="false">IF(C44="","","LKW-"&amp;IFERROR(VLOOKUP(C44,Lists!$AQ$4:$AR$17,2,0),"??")&amp;"-W"&amp;TEXT(E44*1000,"0000")&amp;"-H"&amp;TEXT(F44*1000,"0000")&amp;"-B"&amp;TEXT(G44*1000,"0000")&amp;"-"&amp;W44)</f>
        <v/>
      </c>
      <c r="B44" s="10" t="str">
        <f aca="false">IF(C44="","",C44&amp;", "&amp;E44&amp;" m wide, "&amp;F44&amp;" m headroom, "&amp;G44&amp;" m bays, "&amp;H44&amp;" ("&amp;D44&amp;")")</f>
        <v/>
      </c>
      <c r="C44" s="9"/>
      <c r="D44" s="9"/>
      <c r="E44" s="43"/>
      <c r="F44" s="43"/>
      <c r="G44" s="43"/>
      <c r="H44" s="9"/>
      <c r="I44" s="9"/>
      <c r="J44" s="9"/>
      <c r="K44" s="9"/>
      <c r="L44" s="9"/>
      <c r="M44" s="9"/>
      <c r="N44" s="9"/>
      <c r="O44" s="9"/>
      <c r="P44" s="40"/>
      <c r="Q44" s="43"/>
      <c r="R44" s="9"/>
      <c r="S44" s="9"/>
      <c r="T44" s="9"/>
      <c r="U44" s="43"/>
      <c r="V44" s="9"/>
      <c r="W44" s="9"/>
      <c r="X44" s="9"/>
      <c r="Y44" s="9"/>
      <c r="Z44" s="9"/>
      <c r="AA44" s="9"/>
      <c r="AB44" s="10" t="str">
        <f aca="false">IF(A44="","",SG_Criteria!$B$6&amp;SG_Criteria!$B$12&amp;"\"&amp;A44&amp;"\")</f>
        <v/>
      </c>
      <c r="AC44" s="10" t="str">
        <f aca="false">IF(A44="","",A44&amp;"_CAD.dwg")</f>
        <v/>
      </c>
      <c r="AD44" s="10" t="str">
        <f aca="false">IF(A44="","",A44&amp;"_DWG.pdf")</f>
        <v/>
      </c>
      <c r="AE44" s="10" t="str">
        <f aca="false">IF(A44="","",IF(AA44="Y",A44&amp;"_STAAD.std","n/a"))</f>
        <v/>
      </c>
      <c r="AF44" s="10" t="str">
        <f aca="false">IF(A44="","",A44&amp;"_CALC.xlsx")</f>
        <v/>
      </c>
      <c r="AG44" s="10" t="str">
        <f aca="false">IF(A44="","",A44&amp;"_CALC.pdf")</f>
        <v/>
      </c>
      <c r="AH44" s="9"/>
      <c r="AI44" s="9"/>
      <c r="AJ44" s="41"/>
      <c r="AK44" s="41"/>
      <c r="AL44" s="41"/>
      <c r="AM44" s="41"/>
      <c r="AN44" s="41"/>
      <c r="AO44" s="38" t="str">
        <f aca="false">IF(C44="","",IF(LEN(IF(AND(C44&lt;&gt;"High Covered Linkway",F44&lt;SG_Criteria!$B$46),"FAIL: headroom below "&amp;SG_Criteria!$B$46&amp;" m. ","")&amp;IF(AND(C44="High Covered Linkway",F44&lt;SG_Criteria!$B$47),"FAIL: high linkway headroom below "&amp;SG_Criteria!$B$47&amp;" m. ","")&amp;IF(E44&lt;SG_Criteria!$B$48,"FAIL: roof width below "&amp;SG_Criteria!$B$48&amp;" m. ",IF(E44&lt;SG_Criteria!$B$49,"NOTE: not for MRT/LRT or high-traffic routes (min "&amp;SG_Criteria!$B$49&amp;" m). ",""))&amp;IF(AND(P44&lt;&gt;"",P44&lt;SG_Criteria!$B$50),"FAIL: wind speed below "&amp;SG_Criteria!$B$50&amp;" m/s. ","")&amp;IF(AND(Q44&lt;&gt;"",Q44&lt;SG_Criteria!$B$51),"FAIL: roof fixing pull-out below "&amp;SG_Criteria!$B$51&amp;" kN. ","")&amp;IF(AND(R44&lt;&gt;"",IFERROR(VALUE(MID(R44,2,2)),0)&lt;SG_Criteria!$B$52),"FAIL: grade below C"&amp;SG_Criteria!$B$52&amp;". ","")&amp;IF(D44="Non-standard (project design)","NOTE: not an SDRE standard, needs LTA acceptance. ",""))=0,"OK",IF(AND(C44&lt;&gt;"High Covered Linkway",F44&lt;SG_Criteria!$B$46),"FAIL: headroom below "&amp;SG_Criteria!$B$46&amp;" m. ","")&amp;IF(AND(C44="High Covered Linkway",F44&lt;SG_Criteria!$B$47),"FAIL: high linkway headroom below "&amp;SG_Criteria!$B$47&amp;" m. ","")&amp;IF(E44&lt;SG_Criteria!$B$48,"FAIL: roof width below "&amp;SG_Criteria!$B$48&amp;" m. ",IF(E44&lt;SG_Criteria!$B$49,"NOTE: not for MRT/LRT or high-traffic routes (min "&amp;SG_Criteria!$B$49&amp;" m). ",""))&amp;IF(AND(P44&lt;&gt;"",P44&lt;SG_Criteria!$B$50),"FAIL: wind speed below "&amp;SG_Criteria!$B$50&amp;" m/s. ","")&amp;IF(AND(Q44&lt;&gt;"",Q44&lt;SG_Criteria!$B$51),"FAIL: roof fixing pull-out below "&amp;SG_Criteria!$B$51&amp;" kN. ","")&amp;IF(AND(R44&lt;&gt;"",IFERROR(VALUE(MID(R44,2,2)),0)&lt;SG_Criteria!$B$52),"FAIL: grade below C"&amp;SG_Criteria!$B$52&amp;". ","")&amp;IF(D44="Non-standard (project design)","NOTE: not an SDRE standard, needs LTA acceptance. ","")))</f>
        <v/>
      </c>
      <c r="AP44" s="9"/>
      <c r="AQ44" s="9"/>
      <c r="AR44" s="9"/>
      <c r="AS44" s="9"/>
      <c r="AT44" s="9"/>
      <c r="AU44" s="31"/>
      <c r="AV44" s="10" t="str">
        <f aca="false">IF(C44="","",IF(AND(X44="Approved",ISERROR(SEARCH("FAIL",AO44))),"Y","N"))</f>
        <v/>
      </c>
      <c r="AW44" s="10" t="str">
        <f aca="false">IF(C44="","",C44&amp;"|"&amp;E44&amp;"|"&amp;F44&amp;"|"&amp;AV44)</f>
        <v/>
      </c>
    </row>
    <row r="45" customFormat="false" ht="15" hidden="false" customHeight="false" outlineLevel="0" collapsed="false">
      <c r="A45" s="10" t="str">
        <f aca="false">IF(C45="","","LKW-"&amp;IFERROR(VLOOKUP(C45,Lists!$AQ$4:$AR$17,2,0),"??")&amp;"-W"&amp;TEXT(E45*1000,"0000")&amp;"-H"&amp;TEXT(F45*1000,"0000")&amp;"-B"&amp;TEXT(G45*1000,"0000")&amp;"-"&amp;W45)</f>
        <v/>
      </c>
      <c r="B45" s="10" t="str">
        <f aca="false">IF(C45="","",C45&amp;", "&amp;E45&amp;" m wide, "&amp;F45&amp;" m headroom, "&amp;G45&amp;" m bays, "&amp;H45&amp;" ("&amp;D45&amp;")")</f>
        <v/>
      </c>
      <c r="C45" s="9"/>
      <c r="D45" s="9"/>
      <c r="E45" s="43"/>
      <c r="F45" s="43"/>
      <c r="G45" s="43"/>
      <c r="H45" s="9"/>
      <c r="I45" s="9"/>
      <c r="J45" s="9"/>
      <c r="K45" s="9"/>
      <c r="L45" s="9"/>
      <c r="M45" s="9"/>
      <c r="N45" s="9"/>
      <c r="O45" s="9"/>
      <c r="P45" s="40"/>
      <c r="Q45" s="43"/>
      <c r="R45" s="9"/>
      <c r="S45" s="9"/>
      <c r="T45" s="9"/>
      <c r="U45" s="43"/>
      <c r="V45" s="9"/>
      <c r="W45" s="9"/>
      <c r="X45" s="9"/>
      <c r="Y45" s="9"/>
      <c r="Z45" s="9"/>
      <c r="AA45" s="9"/>
      <c r="AB45" s="10" t="str">
        <f aca="false">IF(A45="","",SG_Criteria!$B$6&amp;SG_Criteria!$B$12&amp;"\"&amp;A45&amp;"\")</f>
        <v/>
      </c>
      <c r="AC45" s="10" t="str">
        <f aca="false">IF(A45="","",A45&amp;"_CAD.dwg")</f>
        <v/>
      </c>
      <c r="AD45" s="10" t="str">
        <f aca="false">IF(A45="","",A45&amp;"_DWG.pdf")</f>
        <v/>
      </c>
      <c r="AE45" s="10" t="str">
        <f aca="false">IF(A45="","",IF(AA45="Y",A45&amp;"_STAAD.std","n/a"))</f>
        <v/>
      </c>
      <c r="AF45" s="10" t="str">
        <f aca="false">IF(A45="","",A45&amp;"_CALC.xlsx")</f>
        <v/>
      </c>
      <c r="AG45" s="10" t="str">
        <f aca="false">IF(A45="","",A45&amp;"_CALC.pdf")</f>
        <v/>
      </c>
      <c r="AH45" s="9"/>
      <c r="AI45" s="9"/>
      <c r="AJ45" s="41"/>
      <c r="AK45" s="41"/>
      <c r="AL45" s="41"/>
      <c r="AM45" s="41"/>
      <c r="AN45" s="41"/>
      <c r="AO45" s="38" t="str">
        <f aca="false">IF(C45="","",IF(LEN(IF(AND(C45&lt;&gt;"High Covered Linkway",F45&lt;SG_Criteria!$B$46),"FAIL: headroom below "&amp;SG_Criteria!$B$46&amp;" m. ","")&amp;IF(AND(C45="High Covered Linkway",F45&lt;SG_Criteria!$B$47),"FAIL: high linkway headroom below "&amp;SG_Criteria!$B$47&amp;" m. ","")&amp;IF(E45&lt;SG_Criteria!$B$48,"FAIL: roof width below "&amp;SG_Criteria!$B$48&amp;" m. ",IF(E45&lt;SG_Criteria!$B$49,"NOTE: not for MRT/LRT or high-traffic routes (min "&amp;SG_Criteria!$B$49&amp;" m). ",""))&amp;IF(AND(P45&lt;&gt;"",P45&lt;SG_Criteria!$B$50),"FAIL: wind speed below "&amp;SG_Criteria!$B$50&amp;" m/s. ","")&amp;IF(AND(Q45&lt;&gt;"",Q45&lt;SG_Criteria!$B$51),"FAIL: roof fixing pull-out below "&amp;SG_Criteria!$B$51&amp;" kN. ","")&amp;IF(AND(R45&lt;&gt;"",IFERROR(VALUE(MID(R45,2,2)),0)&lt;SG_Criteria!$B$52),"FAIL: grade below C"&amp;SG_Criteria!$B$52&amp;". ","")&amp;IF(D45="Non-standard (project design)","NOTE: not an SDRE standard, needs LTA acceptance. ",""))=0,"OK",IF(AND(C45&lt;&gt;"High Covered Linkway",F45&lt;SG_Criteria!$B$46),"FAIL: headroom below "&amp;SG_Criteria!$B$46&amp;" m. ","")&amp;IF(AND(C45="High Covered Linkway",F45&lt;SG_Criteria!$B$47),"FAIL: high linkway headroom below "&amp;SG_Criteria!$B$47&amp;" m. ","")&amp;IF(E45&lt;SG_Criteria!$B$48,"FAIL: roof width below "&amp;SG_Criteria!$B$48&amp;" m. ",IF(E45&lt;SG_Criteria!$B$49,"NOTE: not for MRT/LRT or high-traffic routes (min "&amp;SG_Criteria!$B$49&amp;" m). ",""))&amp;IF(AND(P45&lt;&gt;"",P45&lt;SG_Criteria!$B$50),"FAIL: wind speed below "&amp;SG_Criteria!$B$50&amp;" m/s. ","")&amp;IF(AND(Q45&lt;&gt;"",Q45&lt;SG_Criteria!$B$51),"FAIL: roof fixing pull-out below "&amp;SG_Criteria!$B$51&amp;" kN. ","")&amp;IF(AND(R45&lt;&gt;"",IFERROR(VALUE(MID(R45,2,2)),0)&lt;SG_Criteria!$B$52),"FAIL: grade below C"&amp;SG_Criteria!$B$52&amp;". ","")&amp;IF(D45="Non-standard (project design)","NOTE: not an SDRE standard, needs LTA acceptance. ","")))</f>
        <v/>
      </c>
      <c r="AP45" s="9"/>
      <c r="AQ45" s="9"/>
      <c r="AR45" s="9"/>
      <c r="AS45" s="9"/>
      <c r="AT45" s="9"/>
      <c r="AU45" s="31"/>
      <c r="AV45" s="10" t="str">
        <f aca="false">IF(C45="","",IF(AND(X45="Approved",ISERROR(SEARCH("FAIL",AO45))),"Y","N"))</f>
        <v/>
      </c>
      <c r="AW45" s="10" t="str">
        <f aca="false">IF(C45="","",C45&amp;"|"&amp;E45&amp;"|"&amp;F45&amp;"|"&amp;AV45)</f>
        <v/>
      </c>
    </row>
    <row r="46" customFormat="false" ht="15" hidden="false" customHeight="false" outlineLevel="0" collapsed="false">
      <c r="A46" s="10" t="str">
        <f aca="false">IF(C46="","","LKW-"&amp;IFERROR(VLOOKUP(C46,Lists!$AQ$4:$AR$17,2,0),"??")&amp;"-W"&amp;TEXT(E46*1000,"0000")&amp;"-H"&amp;TEXT(F46*1000,"0000")&amp;"-B"&amp;TEXT(G46*1000,"0000")&amp;"-"&amp;W46)</f>
        <v/>
      </c>
      <c r="B46" s="10" t="str">
        <f aca="false">IF(C46="","",C46&amp;", "&amp;E46&amp;" m wide, "&amp;F46&amp;" m headroom, "&amp;G46&amp;" m bays, "&amp;H46&amp;" ("&amp;D46&amp;")")</f>
        <v/>
      </c>
      <c r="C46" s="9"/>
      <c r="D46" s="9"/>
      <c r="E46" s="43"/>
      <c r="F46" s="43"/>
      <c r="G46" s="43"/>
      <c r="H46" s="9"/>
      <c r="I46" s="9"/>
      <c r="J46" s="9"/>
      <c r="K46" s="9"/>
      <c r="L46" s="9"/>
      <c r="M46" s="9"/>
      <c r="N46" s="9"/>
      <c r="O46" s="9"/>
      <c r="P46" s="40"/>
      <c r="Q46" s="43"/>
      <c r="R46" s="9"/>
      <c r="S46" s="9"/>
      <c r="T46" s="9"/>
      <c r="U46" s="43"/>
      <c r="V46" s="9"/>
      <c r="W46" s="9"/>
      <c r="X46" s="9"/>
      <c r="Y46" s="9"/>
      <c r="Z46" s="9"/>
      <c r="AA46" s="9"/>
      <c r="AB46" s="10" t="str">
        <f aca="false">IF(A46="","",SG_Criteria!$B$6&amp;SG_Criteria!$B$12&amp;"\"&amp;A46&amp;"\")</f>
        <v/>
      </c>
      <c r="AC46" s="10" t="str">
        <f aca="false">IF(A46="","",A46&amp;"_CAD.dwg")</f>
        <v/>
      </c>
      <c r="AD46" s="10" t="str">
        <f aca="false">IF(A46="","",A46&amp;"_DWG.pdf")</f>
        <v/>
      </c>
      <c r="AE46" s="10" t="str">
        <f aca="false">IF(A46="","",IF(AA46="Y",A46&amp;"_STAAD.std","n/a"))</f>
        <v/>
      </c>
      <c r="AF46" s="10" t="str">
        <f aca="false">IF(A46="","",A46&amp;"_CALC.xlsx")</f>
        <v/>
      </c>
      <c r="AG46" s="10" t="str">
        <f aca="false">IF(A46="","",A46&amp;"_CALC.pdf")</f>
        <v/>
      </c>
      <c r="AH46" s="9"/>
      <c r="AI46" s="9"/>
      <c r="AJ46" s="41"/>
      <c r="AK46" s="41"/>
      <c r="AL46" s="41"/>
      <c r="AM46" s="41"/>
      <c r="AN46" s="41"/>
      <c r="AO46" s="38" t="str">
        <f aca="false">IF(C46="","",IF(LEN(IF(AND(C46&lt;&gt;"High Covered Linkway",F46&lt;SG_Criteria!$B$46),"FAIL: headroom below "&amp;SG_Criteria!$B$46&amp;" m. ","")&amp;IF(AND(C46="High Covered Linkway",F46&lt;SG_Criteria!$B$47),"FAIL: high linkway headroom below "&amp;SG_Criteria!$B$47&amp;" m. ","")&amp;IF(E46&lt;SG_Criteria!$B$48,"FAIL: roof width below "&amp;SG_Criteria!$B$48&amp;" m. ",IF(E46&lt;SG_Criteria!$B$49,"NOTE: not for MRT/LRT or high-traffic routes (min "&amp;SG_Criteria!$B$49&amp;" m). ",""))&amp;IF(AND(P46&lt;&gt;"",P46&lt;SG_Criteria!$B$50),"FAIL: wind speed below "&amp;SG_Criteria!$B$50&amp;" m/s. ","")&amp;IF(AND(Q46&lt;&gt;"",Q46&lt;SG_Criteria!$B$51),"FAIL: roof fixing pull-out below "&amp;SG_Criteria!$B$51&amp;" kN. ","")&amp;IF(AND(R46&lt;&gt;"",IFERROR(VALUE(MID(R46,2,2)),0)&lt;SG_Criteria!$B$52),"FAIL: grade below C"&amp;SG_Criteria!$B$52&amp;". ","")&amp;IF(D46="Non-standard (project design)","NOTE: not an SDRE standard, needs LTA acceptance. ",""))=0,"OK",IF(AND(C46&lt;&gt;"High Covered Linkway",F46&lt;SG_Criteria!$B$46),"FAIL: headroom below "&amp;SG_Criteria!$B$46&amp;" m. ","")&amp;IF(AND(C46="High Covered Linkway",F46&lt;SG_Criteria!$B$47),"FAIL: high linkway headroom below "&amp;SG_Criteria!$B$47&amp;" m. ","")&amp;IF(E46&lt;SG_Criteria!$B$48,"FAIL: roof width below "&amp;SG_Criteria!$B$48&amp;" m. ",IF(E46&lt;SG_Criteria!$B$49,"NOTE: not for MRT/LRT or high-traffic routes (min "&amp;SG_Criteria!$B$49&amp;" m). ",""))&amp;IF(AND(P46&lt;&gt;"",P46&lt;SG_Criteria!$B$50),"FAIL: wind speed below "&amp;SG_Criteria!$B$50&amp;" m/s. ","")&amp;IF(AND(Q46&lt;&gt;"",Q46&lt;SG_Criteria!$B$51),"FAIL: roof fixing pull-out below "&amp;SG_Criteria!$B$51&amp;" kN. ","")&amp;IF(AND(R46&lt;&gt;"",IFERROR(VALUE(MID(R46,2,2)),0)&lt;SG_Criteria!$B$52),"FAIL: grade below C"&amp;SG_Criteria!$B$52&amp;". ","")&amp;IF(D46="Non-standard (project design)","NOTE: not an SDRE standard, needs LTA acceptance. ","")))</f>
        <v/>
      </c>
      <c r="AP46" s="9"/>
      <c r="AQ46" s="9"/>
      <c r="AR46" s="9"/>
      <c r="AS46" s="9"/>
      <c r="AT46" s="9"/>
      <c r="AU46" s="31"/>
      <c r="AV46" s="10" t="str">
        <f aca="false">IF(C46="","",IF(AND(X46="Approved",ISERROR(SEARCH("FAIL",AO46))),"Y","N"))</f>
        <v/>
      </c>
      <c r="AW46" s="10" t="str">
        <f aca="false">IF(C46="","",C46&amp;"|"&amp;E46&amp;"|"&amp;F46&amp;"|"&amp;AV46)</f>
        <v/>
      </c>
    </row>
    <row r="47" customFormat="false" ht="15" hidden="false" customHeight="false" outlineLevel="0" collapsed="false">
      <c r="A47" s="10" t="str">
        <f aca="false">IF(C47="","","LKW-"&amp;IFERROR(VLOOKUP(C47,Lists!$AQ$4:$AR$17,2,0),"??")&amp;"-W"&amp;TEXT(E47*1000,"0000")&amp;"-H"&amp;TEXT(F47*1000,"0000")&amp;"-B"&amp;TEXT(G47*1000,"0000")&amp;"-"&amp;W47)</f>
        <v/>
      </c>
      <c r="B47" s="10" t="str">
        <f aca="false">IF(C47="","",C47&amp;", "&amp;E47&amp;" m wide, "&amp;F47&amp;" m headroom, "&amp;G47&amp;" m bays, "&amp;H47&amp;" ("&amp;D47&amp;")")</f>
        <v/>
      </c>
      <c r="C47" s="9"/>
      <c r="D47" s="9"/>
      <c r="E47" s="43"/>
      <c r="F47" s="43"/>
      <c r="G47" s="43"/>
      <c r="H47" s="9"/>
      <c r="I47" s="9"/>
      <c r="J47" s="9"/>
      <c r="K47" s="9"/>
      <c r="L47" s="9"/>
      <c r="M47" s="9"/>
      <c r="N47" s="9"/>
      <c r="O47" s="9"/>
      <c r="P47" s="40"/>
      <c r="Q47" s="43"/>
      <c r="R47" s="9"/>
      <c r="S47" s="9"/>
      <c r="T47" s="9"/>
      <c r="U47" s="43"/>
      <c r="V47" s="9"/>
      <c r="W47" s="9"/>
      <c r="X47" s="9"/>
      <c r="Y47" s="9"/>
      <c r="Z47" s="9"/>
      <c r="AA47" s="9"/>
      <c r="AB47" s="10" t="str">
        <f aca="false">IF(A47="","",SG_Criteria!$B$6&amp;SG_Criteria!$B$12&amp;"\"&amp;A47&amp;"\")</f>
        <v/>
      </c>
      <c r="AC47" s="10" t="str">
        <f aca="false">IF(A47="","",A47&amp;"_CAD.dwg")</f>
        <v/>
      </c>
      <c r="AD47" s="10" t="str">
        <f aca="false">IF(A47="","",A47&amp;"_DWG.pdf")</f>
        <v/>
      </c>
      <c r="AE47" s="10" t="str">
        <f aca="false">IF(A47="","",IF(AA47="Y",A47&amp;"_STAAD.std","n/a"))</f>
        <v/>
      </c>
      <c r="AF47" s="10" t="str">
        <f aca="false">IF(A47="","",A47&amp;"_CALC.xlsx")</f>
        <v/>
      </c>
      <c r="AG47" s="10" t="str">
        <f aca="false">IF(A47="","",A47&amp;"_CALC.pdf")</f>
        <v/>
      </c>
      <c r="AH47" s="9"/>
      <c r="AI47" s="9"/>
      <c r="AJ47" s="41"/>
      <c r="AK47" s="41"/>
      <c r="AL47" s="41"/>
      <c r="AM47" s="41"/>
      <c r="AN47" s="41"/>
      <c r="AO47" s="38" t="str">
        <f aca="false">IF(C47="","",IF(LEN(IF(AND(C47&lt;&gt;"High Covered Linkway",F47&lt;SG_Criteria!$B$46),"FAIL: headroom below "&amp;SG_Criteria!$B$46&amp;" m. ","")&amp;IF(AND(C47="High Covered Linkway",F47&lt;SG_Criteria!$B$47),"FAIL: high linkway headroom below "&amp;SG_Criteria!$B$47&amp;" m. ","")&amp;IF(E47&lt;SG_Criteria!$B$48,"FAIL: roof width below "&amp;SG_Criteria!$B$48&amp;" m. ",IF(E47&lt;SG_Criteria!$B$49,"NOTE: not for MRT/LRT or high-traffic routes (min "&amp;SG_Criteria!$B$49&amp;" m). ",""))&amp;IF(AND(P47&lt;&gt;"",P47&lt;SG_Criteria!$B$50),"FAIL: wind speed below "&amp;SG_Criteria!$B$50&amp;" m/s. ","")&amp;IF(AND(Q47&lt;&gt;"",Q47&lt;SG_Criteria!$B$51),"FAIL: roof fixing pull-out below "&amp;SG_Criteria!$B$51&amp;" kN. ","")&amp;IF(AND(R47&lt;&gt;"",IFERROR(VALUE(MID(R47,2,2)),0)&lt;SG_Criteria!$B$52),"FAIL: grade below C"&amp;SG_Criteria!$B$52&amp;". ","")&amp;IF(D47="Non-standard (project design)","NOTE: not an SDRE standard, needs LTA acceptance. ",""))=0,"OK",IF(AND(C47&lt;&gt;"High Covered Linkway",F47&lt;SG_Criteria!$B$46),"FAIL: headroom below "&amp;SG_Criteria!$B$46&amp;" m. ","")&amp;IF(AND(C47="High Covered Linkway",F47&lt;SG_Criteria!$B$47),"FAIL: high linkway headroom below "&amp;SG_Criteria!$B$47&amp;" m. ","")&amp;IF(E47&lt;SG_Criteria!$B$48,"FAIL: roof width below "&amp;SG_Criteria!$B$48&amp;" m. ",IF(E47&lt;SG_Criteria!$B$49,"NOTE: not for MRT/LRT or high-traffic routes (min "&amp;SG_Criteria!$B$49&amp;" m). ",""))&amp;IF(AND(P47&lt;&gt;"",P47&lt;SG_Criteria!$B$50),"FAIL: wind speed below "&amp;SG_Criteria!$B$50&amp;" m/s. ","")&amp;IF(AND(Q47&lt;&gt;"",Q47&lt;SG_Criteria!$B$51),"FAIL: roof fixing pull-out below "&amp;SG_Criteria!$B$51&amp;" kN. ","")&amp;IF(AND(R47&lt;&gt;"",IFERROR(VALUE(MID(R47,2,2)),0)&lt;SG_Criteria!$B$52),"FAIL: grade below C"&amp;SG_Criteria!$B$52&amp;". ","")&amp;IF(D47="Non-standard (project design)","NOTE: not an SDRE standard, needs LTA acceptance. ","")))</f>
        <v/>
      </c>
      <c r="AP47" s="9"/>
      <c r="AQ47" s="9"/>
      <c r="AR47" s="9"/>
      <c r="AS47" s="9"/>
      <c r="AT47" s="9"/>
      <c r="AU47" s="31"/>
      <c r="AV47" s="10" t="str">
        <f aca="false">IF(C47="","",IF(AND(X47="Approved",ISERROR(SEARCH("FAIL",AO47))),"Y","N"))</f>
        <v/>
      </c>
      <c r="AW47" s="10" t="str">
        <f aca="false">IF(C47="","",C47&amp;"|"&amp;E47&amp;"|"&amp;F47&amp;"|"&amp;AV47)</f>
        <v/>
      </c>
    </row>
    <row r="48" customFormat="false" ht="15" hidden="false" customHeight="false" outlineLevel="0" collapsed="false">
      <c r="A48" s="10" t="str">
        <f aca="false">IF(C48="","","LKW-"&amp;IFERROR(VLOOKUP(C48,Lists!$AQ$4:$AR$17,2,0),"??")&amp;"-W"&amp;TEXT(E48*1000,"0000")&amp;"-H"&amp;TEXT(F48*1000,"0000")&amp;"-B"&amp;TEXT(G48*1000,"0000")&amp;"-"&amp;W48)</f>
        <v/>
      </c>
      <c r="B48" s="10" t="str">
        <f aca="false">IF(C48="","",C48&amp;", "&amp;E48&amp;" m wide, "&amp;F48&amp;" m headroom, "&amp;G48&amp;" m bays, "&amp;H48&amp;" ("&amp;D48&amp;")")</f>
        <v/>
      </c>
      <c r="C48" s="9"/>
      <c r="D48" s="9"/>
      <c r="E48" s="43"/>
      <c r="F48" s="43"/>
      <c r="G48" s="43"/>
      <c r="H48" s="9"/>
      <c r="I48" s="9"/>
      <c r="J48" s="9"/>
      <c r="K48" s="9"/>
      <c r="L48" s="9"/>
      <c r="M48" s="9"/>
      <c r="N48" s="9"/>
      <c r="O48" s="9"/>
      <c r="P48" s="40"/>
      <c r="Q48" s="43"/>
      <c r="R48" s="9"/>
      <c r="S48" s="9"/>
      <c r="T48" s="9"/>
      <c r="U48" s="43"/>
      <c r="V48" s="9"/>
      <c r="W48" s="9"/>
      <c r="X48" s="9"/>
      <c r="Y48" s="9"/>
      <c r="Z48" s="9"/>
      <c r="AA48" s="9"/>
      <c r="AB48" s="10" t="str">
        <f aca="false">IF(A48="","",SG_Criteria!$B$6&amp;SG_Criteria!$B$12&amp;"\"&amp;A48&amp;"\")</f>
        <v/>
      </c>
      <c r="AC48" s="10" t="str">
        <f aca="false">IF(A48="","",A48&amp;"_CAD.dwg")</f>
        <v/>
      </c>
      <c r="AD48" s="10" t="str">
        <f aca="false">IF(A48="","",A48&amp;"_DWG.pdf")</f>
        <v/>
      </c>
      <c r="AE48" s="10" t="str">
        <f aca="false">IF(A48="","",IF(AA48="Y",A48&amp;"_STAAD.std","n/a"))</f>
        <v/>
      </c>
      <c r="AF48" s="10" t="str">
        <f aca="false">IF(A48="","",A48&amp;"_CALC.xlsx")</f>
        <v/>
      </c>
      <c r="AG48" s="10" t="str">
        <f aca="false">IF(A48="","",A48&amp;"_CALC.pdf")</f>
        <v/>
      </c>
      <c r="AH48" s="9"/>
      <c r="AI48" s="9"/>
      <c r="AJ48" s="41"/>
      <c r="AK48" s="41"/>
      <c r="AL48" s="41"/>
      <c r="AM48" s="41"/>
      <c r="AN48" s="41"/>
      <c r="AO48" s="38" t="str">
        <f aca="false">IF(C48="","",IF(LEN(IF(AND(C48&lt;&gt;"High Covered Linkway",F48&lt;SG_Criteria!$B$46),"FAIL: headroom below "&amp;SG_Criteria!$B$46&amp;" m. ","")&amp;IF(AND(C48="High Covered Linkway",F48&lt;SG_Criteria!$B$47),"FAIL: high linkway headroom below "&amp;SG_Criteria!$B$47&amp;" m. ","")&amp;IF(E48&lt;SG_Criteria!$B$48,"FAIL: roof width below "&amp;SG_Criteria!$B$48&amp;" m. ",IF(E48&lt;SG_Criteria!$B$49,"NOTE: not for MRT/LRT or high-traffic routes (min "&amp;SG_Criteria!$B$49&amp;" m). ",""))&amp;IF(AND(P48&lt;&gt;"",P48&lt;SG_Criteria!$B$50),"FAIL: wind speed below "&amp;SG_Criteria!$B$50&amp;" m/s. ","")&amp;IF(AND(Q48&lt;&gt;"",Q48&lt;SG_Criteria!$B$51),"FAIL: roof fixing pull-out below "&amp;SG_Criteria!$B$51&amp;" kN. ","")&amp;IF(AND(R48&lt;&gt;"",IFERROR(VALUE(MID(R48,2,2)),0)&lt;SG_Criteria!$B$52),"FAIL: grade below C"&amp;SG_Criteria!$B$52&amp;". ","")&amp;IF(D48="Non-standard (project design)","NOTE: not an SDRE standard, needs LTA acceptance. ",""))=0,"OK",IF(AND(C48&lt;&gt;"High Covered Linkway",F48&lt;SG_Criteria!$B$46),"FAIL: headroom below "&amp;SG_Criteria!$B$46&amp;" m. ","")&amp;IF(AND(C48="High Covered Linkway",F48&lt;SG_Criteria!$B$47),"FAIL: high linkway headroom below "&amp;SG_Criteria!$B$47&amp;" m. ","")&amp;IF(E48&lt;SG_Criteria!$B$48,"FAIL: roof width below "&amp;SG_Criteria!$B$48&amp;" m. ",IF(E48&lt;SG_Criteria!$B$49,"NOTE: not for MRT/LRT or high-traffic routes (min "&amp;SG_Criteria!$B$49&amp;" m). ",""))&amp;IF(AND(P48&lt;&gt;"",P48&lt;SG_Criteria!$B$50),"FAIL: wind speed below "&amp;SG_Criteria!$B$50&amp;" m/s. ","")&amp;IF(AND(Q48&lt;&gt;"",Q48&lt;SG_Criteria!$B$51),"FAIL: roof fixing pull-out below "&amp;SG_Criteria!$B$51&amp;" kN. ","")&amp;IF(AND(R48&lt;&gt;"",IFERROR(VALUE(MID(R48,2,2)),0)&lt;SG_Criteria!$B$52),"FAIL: grade below C"&amp;SG_Criteria!$B$52&amp;". ","")&amp;IF(D48="Non-standard (project design)","NOTE: not an SDRE standard, needs LTA acceptance. ","")))</f>
        <v/>
      </c>
      <c r="AP48" s="9"/>
      <c r="AQ48" s="9"/>
      <c r="AR48" s="9"/>
      <c r="AS48" s="9"/>
      <c r="AT48" s="9"/>
      <c r="AU48" s="31"/>
      <c r="AV48" s="10" t="str">
        <f aca="false">IF(C48="","",IF(AND(X48="Approved",ISERROR(SEARCH("FAIL",AO48))),"Y","N"))</f>
        <v/>
      </c>
      <c r="AW48" s="10" t="str">
        <f aca="false">IF(C48="","",C48&amp;"|"&amp;E48&amp;"|"&amp;F48&amp;"|"&amp;AV48)</f>
        <v/>
      </c>
    </row>
    <row r="49" customFormat="false" ht="15" hidden="false" customHeight="false" outlineLevel="0" collapsed="false">
      <c r="A49" s="10" t="str">
        <f aca="false">IF(C49="","","LKW-"&amp;IFERROR(VLOOKUP(C49,Lists!$AQ$4:$AR$17,2,0),"??")&amp;"-W"&amp;TEXT(E49*1000,"0000")&amp;"-H"&amp;TEXT(F49*1000,"0000")&amp;"-B"&amp;TEXT(G49*1000,"0000")&amp;"-"&amp;W49)</f>
        <v/>
      </c>
      <c r="B49" s="10" t="str">
        <f aca="false">IF(C49="","",C49&amp;", "&amp;E49&amp;" m wide, "&amp;F49&amp;" m headroom, "&amp;G49&amp;" m bays, "&amp;H49&amp;" ("&amp;D49&amp;")")</f>
        <v/>
      </c>
      <c r="C49" s="9"/>
      <c r="D49" s="9"/>
      <c r="E49" s="43"/>
      <c r="F49" s="43"/>
      <c r="G49" s="43"/>
      <c r="H49" s="9"/>
      <c r="I49" s="9"/>
      <c r="J49" s="9"/>
      <c r="K49" s="9"/>
      <c r="L49" s="9"/>
      <c r="M49" s="9"/>
      <c r="N49" s="9"/>
      <c r="O49" s="9"/>
      <c r="P49" s="40"/>
      <c r="Q49" s="43"/>
      <c r="R49" s="9"/>
      <c r="S49" s="9"/>
      <c r="T49" s="9"/>
      <c r="U49" s="43"/>
      <c r="V49" s="9"/>
      <c r="W49" s="9"/>
      <c r="X49" s="9"/>
      <c r="Y49" s="9"/>
      <c r="Z49" s="9"/>
      <c r="AA49" s="9"/>
      <c r="AB49" s="10" t="str">
        <f aca="false">IF(A49="","",SG_Criteria!$B$6&amp;SG_Criteria!$B$12&amp;"\"&amp;A49&amp;"\")</f>
        <v/>
      </c>
      <c r="AC49" s="10" t="str">
        <f aca="false">IF(A49="","",A49&amp;"_CAD.dwg")</f>
        <v/>
      </c>
      <c r="AD49" s="10" t="str">
        <f aca="false">IF(A49="","",A49&amp;"_DWG.pdf")</f>
        <v/>
      </c>
      <c r="AE49" s="10" t="str">
        <f aca="false">IF(A49="","",IF(AA49="Y",A49&amp;"_STAAD.std","n/a"))</f>
        <v/>
      </c>
      <c r="AF49" s="10" t="str">
        <f aca="false">IF(A49="","",A49&amp;"_CALC.xlsx")</f>
        <v/>
      </c>
      <c r="AG49" s="10" t="str">
        <f aca="false">IF(A49="","",A49&amp;"_CALC.pdf")</f>
        <v/>
      </c>
      <c r="AH49" s="9"/>
      <c r="AI49" s="9"/>
      <c r="AJ49" s="41"/>
      <c r="AK49" s="41"/>
      <c r="AL49" s="41"/>
      <c r="AM49" s="41"/>
      <c r="AN49" s="41"/>
      <c r="AO49" s="38" t="str">
        <f aca="false">IF(C49="","",IF(LEN(IF(AND(C49&lt;&gt;"High Covered Linkway",F49&lt;SG_Criteria!$B$46),"FAIL: headroom below "&amp;SG_Criteria!$B$46&amp;" m. ","")&amp;IF(AND(C49="High Covered Linkway",F49&lt;SG_Criteria!$B$47),"FAIL: high linkway headroom below "&amp;SG_Criteria!$B$47&amp;" m. ","")&amp;IF(E49&lt;SG_Criteria!$B$48,"FAIL: roof width below "&amp;SG_Criteria!$B$48&amp;" m. ",IF(E49&lt;SG_Criteria!$B$49,"NOTE: not for MRT/LRT or high-traffic routes (min "&amp;SG_Criteria!$B$49&amp;" m). ",""))&amp;IF(AND(P49&lt;&gt;"",P49&lt;SG_Criteria!$B$50),"FAIL: wind speed below "&amp;SG_Criteria!$B$50&amp;" m/s. ","")&amp;IF(AND(Q49&lt;&gt;"",Q49&lt;SG_Criteria!$B$51),"FAIL: roof fixing pull-out below "&amp;SG_Criteria!$B$51&amp;" kN. ","")&amp;IF(AND(R49&lt;&gt;"",IFERROR(VALUE(MID(R49,2,2)),0)&lt;SG_Criteria!$B$52),"FAIL: grade below C"&amp;SG_Criteria!$B$52&amp;". ","")&amp;IF(D49="Non-standard (project design)","NOTE: not an SDRE standard, needs LTA acceptance. ",""))=0,"OK",IF(AND(C49&lt;&gt;"High Covered Linkway",F49&lt;SG_Criteria!$B$46),"FAIL: headroom below "&amp;SG_Criteria!$B$46&amp;" m. ","")&amp;IF(AND(C49="High Covered Linkway",F49&lt;SG_Criteria!$B$47),"FAIL: high linkway headroom below "&amp;SG_Criteria!$B$47&amp;" m. ","")&amp;IF(E49&lt;SG_Criteria!$B$48,"FAIL: roof width below "&amp;SG_Criteria!$B$48&amp;" m. ",IF(E49&lt;SG_Criteria!$B$49,"NOTE: not for MRT/LRT or high-traffic routes (min "&amp;SG_Criteria!$B$49&amp;" m). ",""))&amp;IF(AND(P49&lt;&gt;"",P49&lt;SG_Criteria!$B$50),"FAIL: wind speed below "&amp;SG_Criteria!$B$50&amp;" m/s. ","")&amp;IF(AND(Q49&lt;&gt;"",Q49&lt;SG_Criteria!$B$51),"FAIL: roof fixing pull-out below "&amp;SG_Criteria!$B$51&amp;" kN. ","")&amp;IF(AND(R49&lt;&gt;"",IFERROR(VALUE(MID(R49,2,2)),0)&lt;SG_Criteria!$B$52),"FAIL: grade below C"&amp;SG_Criteria!$B$52&amp;". ","")&amp;IF(D49="Non-standard (project design)","NOTE: not an SDRE standard, needs LTA acceptance. ","")))</f>
        <v/>
      </c>
      <c r="AP49" s="9"/>
      <c r="AQ49" s="9"/>
      <c r="AR49" s="9"/>
      <c r="AS49" s="9"/>
      <c r="AT49" s="9"/>
      <c r="AU49" s="31"/>
      <c r="AV49" s="10" t="str">
        <f aca="false">IF(C49="","",IF(AND(X49="Approved",ISERROR(SEARCH("FAIL",AO49))),"Y","N"))</f>
        <v/>
      </c>
      <c r="AW49" s="10" t="str">
        <f aca="false">IF(C49="","",C49&amp;"|"&amp;E49&amp;"|"&amp;F49&amp;"|"&amp;AV49)</f>
        <v/>
      </c>
    </row>
    <row r="50" customFormat="false" ht="15" hidden="false" customHeight="false" outlineLevel="0" collapsed="false">
      <c r="A50" s="10" t="str">
        <f aca="false">IF(C50="","","LKW-"&amp;IFERROR(VLOOKUP(C50,Lists!$AQ$4:$AR$17,2,0),"??")&amp;"-W"&amp;TEXT(E50*1000,"0000")&amp;"-H"&amp;TEXT(F50*1000,"0000")&amp;"-B"&amp;TEXT(G50*1000,"0000")&amp;"-"&amp;W50)</f>
        <v/>
      </c>
      <c r="B50" s="10" t="str">
        <f aca="false">IF(C50="","",C50&amp;", "&amp;E50&amp;" m wide, "&amp;F50&amp;" m headroom, "&amp;G50&amp;" m bays, "&amp;H50&amp;" ("&amp;D50&amp;")")</f>
        <v/>
      </c>
      <c r="C50" s="9"/>
      <c r="D50" s="9"/>
      <c r="E50" s="43"/>
      <c r="F50" s="43"/>
      <c r="G50" s="43"/>
      <c r="H50" s="9"/>
      <c r="I50" s="9"/>
      <c r="J50" s="9"/>
      <c r="K50" s="9"/>
      <c r="L50" s="9"/>
      <c r="M50" s="9"/>
      <c r="N50" s="9"/>
      <c r="O50" s="9"/>
      <c r="P50" s="40"/>
      <c r="Q50" s="43"/>
      <c r="R50" s="9"/>
      <c r="S50" s="9"/>
      <c r="T50" s="9"/>
      <c r="U50" s="43"/>
      <c r="V50" s="9"/>
      <c r="W50" s="9"/>
      <c r="X50" s="9"/>
      <c r="Y50" s="9"/>
      <c r="Z50" s="9"/>
      <c r="AA50" s="9"/>
      <c r="AB50" s="10" t="str">
        <f aca="false">IF(A50="","",SG_Criteria!$B$6&amp;SG_Criteria!$B$12&amp;"\"&amp;A50&amp;"\")</f>
        <v/>
      </c>
      <c r="AC50" s="10" t="str">
        <f aca="false">IF(A50="","",A50&amp;"_CAD.dwg")</f>
        <v/>
      </c>
      <c r="AD50" s="10" t="str">
        <f aca="false">IF(A50="","",A50&amp;"_DWG.pdf")</f>
        <v/>
      </c>
      <c r="AE50" s="10" t="str">
        <f aca="false">IF(A50="","",IF(AA50="Y",A50&amp;"_STAAD.std","n/a"))</f>
        <v/>
      </c>
      <c r="AF50" s="10" t="str">
        <f aca="false">IF(A50="","",A50&amp;"_CALC.xlsx")</f>
        <v/>
      </c>
      <c r="AG50" s="10" t="str">
        <f aca="false">IF(A50="","",A50&amp;"_CALC.pdf")</f>
        <v/>
      </c>
      <c r="AH50" s="9"/>
      <c r="AI50" s="9"/>
      <c r="AJ50" s="41"/>
      <c r="AK50" s="41"/>
      <c r="AL50" s="41"/>
      <c r="AM50" s="41"/>
      <c r="AN50" s="41"/>
      <c r="AO50" s="38" t="str">
        <f aca="false">IF(C50="","",IF(LEN(IF(AND(C50&lt;&gt;"High Covered Linkway",F50&lt;SG_Criteria!$B$46),"FAIL: headroom below "&amp;SG_Criteria!$B$46&amp;" m. ","")&amp;IF(AND(C50="High Covered Linkway",F50&lt;SG_Criteria!$B$47),"FAIL: high linkway headroom below "&amp;SG_Criteria!$B$47&amp;" m. ","")&amp;IF(E50&lt;SG_Criteria!$B$48,"FAIL: roof width below "&amp;SG_Criteria!$B$48&amp;" m. ",IF(E50&lt;SG_Criteria!$B$49,"NOTE: not for MRT/LRT or high-traffic routes (min "&amp;SG_Criteria!$B$49&amp;" m). ",""))&amp;IF(AND(P50&lt;&gt;"",P50&lt;SG_Criteria!$B$50),"FAIL: wind speed below "&amp;SG_Criteria!$B$50&amp;" m/s. ","")&amp;IF(AND(Q50&lt;&gt;"",Q50&lt;SG_Criteria!$B$51),"FAIL: roof fixing pull-out below "&amp;SG_Criteria!$B$51&amp;" kN. ","")&amp;IF(AND(R50&lt;&gt;"",IFERROR(VALUE(MID(R50,2,2)),0)&lt;SG_Criteria!$B$52),"FAIL: grade below C"&amp;SG_Criteria!$B$52&amp;". ","")&amp;IF(D50="Non-standard (project design)","NOTE: not an SDRE standard, needs LTA acceptance. ",""))=0,"OK",IF(AND(C50&lt;&gt;"High Covered Linkway",F50&lt;SG_Criteria!$B$46),"FAIL: headroom below "&amp;SG_Criteria!$B$46&amp;" m. ","")&amp;IF(AND(C50="High Covered Linkway",F50&lt;SG_Criteria!$B$47),"FAIL: high linkway headroom below "&amp;SG_Criteria!$B$47&amp;" m. ","")&amp;IF(E50&lt;SG_Criteria!$B$48,"FAIL: roof width below "&amp;SG_Criteria!$B$48&amp;" m. ",IF(E50&lt;SG_Criteria!$B$49,"NOTE: not for MRT/LRT or high-traffic routes (min "&amp;SG_Criteria!$B$49&amp;" m). ",""))&amp;IF(AND(P50&lt;&gt;"",P50&lt;SG_Criteria!$B$50),"FAIL: wind speed below "&amp;SG_Criteria!$B$50&amp;" m/s. ","")&amp;IF(AND(Q50&lt;&gt;"",Q50&lt;SG_Criteria!$B$51),"FAIL: roof fixing pull-out below "&amp;SG_Criteria!$B$51&amp;" kN. ","")&amp;IF(AND(R50&lt;&gt;"",IFERROR(VALUE(MID(R50,2,2)),0)&lt;SG_Criteria!$B$52),"FAIL: grade below C"&amp;SG_Criteria!$B$52&amp;". ","")&amp;IF(D50="Non-standard (project design)","NOTE: not an SDRE standard, needs LTA acceptance. ","")))</f>
        <v/>
      </c>
      <c r="AP50" s="9"/>
      <c r="AQ50" s="9"/>
      <c r="AR50" s="9"/>
      <c r="AS50" s="9"/>
      <c r="AT50" s="9"/>
      <c r="AU50" s="31"/>
      <c r="AV50" s="10" t="str">
        <f aca="false">IF(C50="","",IF(AND(X50="Approved",ISERROR(SEARCH("FAIL",AO50))),"Y","N"))</f>
        <v/>
      </c>
      <c r="AW50" s="10" t="str">
        <f aca="false">IF(C50="","",C50&amp;"|"&amp;E50&amp;"|"&amp;F50&amp;"|"&amp;AV50)</f>
        <v/>
      </c>
    </row>
    <row r="51" customFormat="false" ht="15" hidden="false" customHeight="false" outlineLevel="0" collapsed="false">
      <c r="A51" s="10" t="str">
        <f aca="false">IF(C51="","","LKW-"&amp;IFERROR(VLOOKUP(C51,Lists!$AQ$4:$AR$17,2,0),"??")&amp;"-W"&amp;TEXT(E51*1000,"0000")&amp;"-H"&amp;TEXT(F51*1000,"0000")&amp;"-B"&amp;TEXT(G51*1000,"0000")&amp;"-"&amp;W51)</f>
        <v/>
      </c>
      <c r="B51" s="10" t="str">
        <f aca="false">IF(C51="","",C51&amp;", "&amp;E51&amp;" m wide, "&amp;F51&amp;" m headroom, "&amp;G51&amp;" m bays, "&amp;H51&amp;" ("&amp;D51&amp;")")</f>
        <v/>
      </c>
      <c r="C51" s="9"/>
      <c r="D51" s="9"/>
      <c r="E51" s="43"/>
      <c r="F51" s="43"/>
      <c r="G51" s="43"/>
      <c r="H51" s="9"/>
      <c r="I51" s="9"/>
      <c r="J51" s="9"/>
      <c r="K51" s="9"/>
      <c r="L51" s="9"/>
      <c r="M51" s="9"/>
      <c r="N51" s="9"/>
      <c r="O51" s="9"/>
      <c r="P51" s="40"/>
      <c r="Q51" s="43"/>
      <c r="R51" s="9"/>
      <c r="S51" s="9"/>
      <c r="T51" s="9"/>
      <c r="U51" s="43"/>
      <c r="V51" s="9"/>
      <c r="W51" s="9"/>
      <c r="X51" s="9"/>
      <c r="Y51" s="9"/>
      <c r="Z51" s="9"/>
      <c r="AA51" s="9"/>
      <c r="AB51" s="10" t="str">
        <f aca="false">IF(A51="","",SG_Criteria!$B$6&amp;SG_Criteria!$B$12&amp;"\"&amp;A51&amp;"\")</f>
        <v/>
      </c>
      <c r="AC51" s="10" t="str">
        <f aca="false">IF(A51="","",A51&amp;"_CAD.dwg")</f>
        <v/>
      </c>
      <c r="AD51" s="10" t="str">
        <f aca="false">IF(A51="","",A51&amp;"_DWG.pdf")</f>
        <v/>
      </c>
      <c r="AE51" s="10" t="str">
        <f aca="false">IF(A51="","",IF(AA51="Y",A51&amp;"_STAAD.std","n/a"))</f>
        <v/>
      </c>
      <c r="AF51" s="10" t="str">
        <f aca="false">IF(A51="","",A51&amp;"_CALC.xlsx")</f>
        <v/>
      </c>
      <c r="AG51" s="10" t="str">
        <f aca="false">IF(A51="","",A51&amp;"_CALC.pdf")</f>
        <v/>
      </c>
      <c r="AH51" s="9"/>
      <c r="AI51" s="9"/>
      <c r="AJ51" s="41"/>
      <c r="AK51" s="41"/>
      <c r="AL51" s="41"/>
      <c r="AM51" s="41"/>
      <c r="AN51" s="41"/>
      <c r="AO51" s="38" t="str">
        <f aca="false">IF(C51="","",IF(LEN(IF(AND(C51&lt;&gt;"High Covered Linkway",F51&lt;SG_Criteria!$B$46),"FAIL: headroom below "&amp;SG_Criteria!$B$46&amp;" m. ","")&amp;IF(AND(C51="High Covered Linkway",F51&lt;SG_Criteria!$B$47),"FAIL: high linkway headroom below "&amp;SG_Criteria!$B$47&amp;" m. ","")&amp;IF(E51&lt;SG_Criteria!$B$48,"FAIL: roof width below "&amp;SG_Criteria!$B$48&amp;" m. ",IF(E51&lt;SG_Criteria!$B$49,"NOTE: not for MRT/LRT or high-traffic routes (min "&amp;SG_Criteria!$B$49&amp;" m). ",""))&amp;IF(AND(P51&lt;&gt;"",P51&lt;SG_Criteria!$B$50),"FAIL: wind speed below "&amp;SG_Criteria!$B$50&amp;" m/s. ","")&amp;IF(AND(Q51&lt;&gt;"",Q51&lt;SG_Criteria!$B$51),"FAIL: roof fixing pull-out below "&amp;SG_Criteria!$B$51&amp;" kN. ","")&amp;IF(AND(R51&lt;&gt;"",IFERROR(VALUE(MID(R51,2,2)),0)&lt;SG_Criteria!$B$52),"FAIL: grade below C"&amp;SG_Criteria!$B$52&amp;". ","")&amp;IF(D51="Non-standard (project design)","NOTE: not an SDRE standard, needs LTA acceptance. ",""))=0,"OK",IF(AND(C51&lt;&gt;"High Covered Linkway",F51&lt;SG_Criteria!$B$46),"FAIL: headroom below "&amp;SG_Criteria!$B$46&amp;" m. ","")&amp;IF(AND(C51="High Covered Linkway",F51&lt;SG_Criteria!$B$47),"FAIL: high linkway headroom below "&amp;SG_Criteria!$B$47&amp;" m. ","")&amp;IF(E51&lt;SG_Criteria!$B$48,"FAIL: roof width below "&amp;SG_Criteria!$B$48&amp;" m. ",IF(E51&lt;SG_Criteria!$B$49,"NOTE: not for MRT/LRT or high-traffic routes (min "&amp;SG_Criteria!$B$49&amp;" m). ",""))&amp;IF(AND(P51&lt;&gt;"",P51&lt;SG_Criteria!$B$50),"FAIL: wind speed below "&amp;SG_Criteria!$B$50&amp;" m/s. ","")&amp;IF(AND(Q51&lt;&gt;"",Q51&lt;SG_Criteria!$B$51),"FAIL: roof fixing pull-out below "&amp;SG_Criteria!$B$51&amp;" kN. ","")&amp;IF(AND(R51&lt;&gt;"",IFERROR(VALUE(MID(R51,2,2)),0)&lt;SG_Criteria!$B$52),"FAIL: grade below C"&amp;SG_Criteria!$B$52&amp;". ","")&amp;IF(D51="Non-standard (project design)","NOTE: not an SDRE standard, needs LTA acceptance. ","")))</f>
        <v/>
      </c>
      <c r="AP51" s="9"/>
      <c r="AQ51" s="9"/>
      <c r="AR51" s="9"/>
      <c r="AS51" s="9"/>
      <c r="AT51" s="9"/>
      <c r="AU51" s="31"/>
      <c r="AV51" s="10" t="str">
        <f aca="false">IF(C51="","",IF(AND(X51="Approved",ISERROR(SEARCH("FAIL",AO51))),"Y","N"))</f>
        <v/>
      </c>
      <c r="AW51" s="10" t="str">
        <f aca="false">IF(C51="","",C51&amp;"|"&amp;E51&amp;"|"&amp;F51&amp;"|"&amp;AV51)</f>
        <v/>
      </c>
    </row>
    <row r="52" customFormat="false" ht="15" hidden="false" customHeight="false" outlineLevel="0" collapsed="false">
      <c r="A52" s="10" t="str">
        <f aca="false">IF(C52="","","LKW-"&amp;IFERROR(VLOOKUP(C52,Lists!$AQ$4:$AR$17,2,0),"??")&amp;"-W"&amp;TEXT(E52*1000,"0000")&amp;"-H"&amp;TEXT(F52*1000,"0000")&amp;"-B"&amp;TEXT(G52*1000,"0000")&amp;"-"&amp;W52)</f>
        <v/>
      </c>
      <c r="B52" s="10" t="str">
        <f aca="false">IF(C52="","",C52&amp;", "&amp;E52&amp;" m wide, "&amp;F52&amp;" m headroom, "&amp;G52&amp;" m bays, "&amp;H52&amp;" ("&amp;D52&amp;")")</f>
        <v/>
      </c>
      <c r="C52" s="9"/>
      <c r="D52" s="9"/>
      <c r="E52" s="43"/>
      <c r="F52" s="43"/>
      <c r="G52" s="43"/>
      <c r="H52" s="9"/>
      <c r="I52" s="9"/>
      <c r="J52" s="9"/>
      <c r="K52" s="9"/>
      <c r="L52" s="9"/>
      <c r="M52" s="9"/>
      <c r="N52" s="9"/>
      <c r="O52" s="9"/>
      <c r="P52" s="40"/>
      <c r="Q52" s="43"/>
      <c r="R52" s="9"/>
      <c r="S52" s="9"/>
      <c r="T52" s="9"/>
      <c r="U52" s="43"/>
      <c r="V52" s="9"/>
      <c r="W52" s="9"/>
      <c r="X52" s="9"/>
      <c r="Y52" s="9"/>
      <c r="Z52" s="9"/>
      <c r="AA52" s="9"/>
      <c r="AB52" s="10" t="str">
        <f aca="false">IF(A52="","",SG_Criteria!$B$6&amp;SG_Criteria!$B$12&amp;"\"&amp;A52&amp;"\")</f>
        <v/>
      </c>
      <c r="AC52" s="10" t="str">
        <f aca="false">IF(A52="","",A52&amp;"_CAD.dwg")</f>
        <v/>
      </c>
      <c r="AD52" s="10" t="str">
        <f aca="false">IF(A52="","",A52&amp;"_DWG.pdf")</f>
        <v/>
      </c>
      <c r="AE52" s="10" t="str">
        <f aca="false">IF(A52="","",IF(AA52="Y",A52&amp;"_STAAD.std","n/a"))</f>
        <v/>
      </c>
      <c r="AF52" s="10" t="str">
        <f aca="false">IF(A52="","",A52&amp;"_CALC.xlsx")</f>
        <v/>
      </c>
      <c r="AG52" s="10" t="str">
        <f aca="false">IF(A52="","",A52&amp;"_CALC.pdf")</f>
        <v/>
      </c>
      <c r="AH52" s="9"/>
      <c r="AI52" s="9"/>
      <c r="AJ52" s="41"/>
      <c r="AK52" s="41"/>
      <c r="AL52" s="41"/>
      <c r="AM52" s="41"/>
      <c r="AN52" s="41"/>
      <c r="AO52" s="38" t="str">
        <f aca="false">IF(C52="","",IF(LEN(IF(AND(C52&lt;&gt;"High Covered Linkway",F52&lt;SG_Criteria!$B$46),"FAIL: headroom below "&amp;SG_Criteria!$B$46&amp;" m. ","")&amp;IF(AND(C52="High Covered Linkway",F52&lt;SG_Criteria!$B$47),"FAIL: high linkway headroom below "&amp;SG_Criteria!$B$47&amp;" m. ","")&amp;IF(E52&lt;SG_Criteria!$B$48,"FAIL: roof width below "&amp;SG_Criteria!$B$48&amp;" m. ",IF(E52&lt;SG_Criteria!$B$49,"NOTE: not for MRT/LRT or high-traffic routes (min "&amp;SG_Criteria!$B$49&amp;" m). ",""))&amp;IF(AND(P52&lt;&gt;"",P52&lt;SG_Criteria!$B$50),"FAIL: wind speed below "&amp;SG_Criteria!$B$50&amp;" m/s. ","")&amp;IF(AND(Q52&lt;&gt;"",Q52&lt;SG_Criteria!$B$51),"FAIL: roof fixing pull-out below "&amp;SG_Criteria!$B$51&amp;" kN. ","")&amp;IF(AND(R52&lt;&gt;"",IFERROR(VALUE(MID(R52,2,2)),0)&lt;SG_Criteria!$B$52),"FAIL: grade below C"&amp;SG_Criteria!$B$52&amp;". ","")&amp;IF(D52="Non-standard (project design)","NOTE: not an SDRE standard, needs LTA acceptance. ",""))=0,"OK",IF(AND(C52&lt;&gt;"High Covered Linkway",F52&lt;SG_Criteria!$B$46),"FAIL: headroom below "&amp;SG_Criteria!$B$46&amp;" m. ","")&amp;IF(AND(C52="High Covered Linkway",F52&lt;SG_Criteria!$B$47),"FAIL: high linkway headroom below "&amp;SG_Criteria!$B$47&amp;" m. ","")&amp;IF(E52&lt;SG_Criteria!$B$48,"FAIL: roof width below "&amp;SG_Criteria!$B$48&amp;" m. ",IF(E52&lt;SG_Criteria!$B$49,"NOTE: not for MRT/LRT or high-traffic routes (min "&amp;SG_Criteria!$B$49&amp;" m). ",""))&amp;IF(AND(P52&lt;&gt;"",P52&lt;SG_Criteria!$B$50),"FAIL: wind speed below "&amp;SG_Criteria!$B$50&amp;" m/s. ","")&amp;IF(AND(Q52&lt;&gt;"",Q52&lt;SG_Criteria!$B$51),"FAIL: roof fixing pull-out below "&amp;SG_Criteria!$B$51&amp;" kN. ","")&amp;IF(AND(R52&lt;&gt;"",IFERROR(VALUE(MID(R52,2,2)),0)&lt;SG_Criteria!$B$52),"FAIL: grade below C"&amp;SG_Criteria!$B$52&amp;". ","")&amp;IF(D52="Non-standard (project design)","NOTE: not an SDRE standard, needs LTA acceptance. ","")))</f>
        <v/>
      </c>
      <c r="AP52" s="9"/>
      <c r="AQ52" s="9"/>
      <c r="AR52" s="9"/>
      <c r="AS52" s="9"/>
      <c r="AT52" s="9"/>
      <c r="AU52" s="31"/>
      <c r="AV52" s="10" t="str">
        <f aca="false">IF(C52="","",IF(AND(X52="Approved",ISERROR(SEARCH("FAIL",AO52))),"Y","N"))</f>
        <v/>
      </c>
      <c r="AW52" s="10" t="str">
        <f aca="false">IF(C52="","",C52&amp;"|"&amp;E52&amp;"|"&amp;F52&amp;"|"&amp;AV52)</f>
        <v/>
      </c>
    </row>
    <row r="53" customFormat="false" ht="15" hidden="false" customHeight="false" outlineLevel="0" collapsed="false">
      <c r="A53" s="10" t="str">
        <f aca="false">IF(C53="","","LKW-"&amp;IFERROR(VLOOKUP(C53,Lists!$AQ$4:$AR$17,2,0),"??")&amp;"-W"&amp;TEXT(E53*1000,"0000")&amp;"-H"&amp;TEXT(F53*1000,"0000")&amp;"-B"&amp;TEXT(G53*1000,"0000")&amp;"-"&amp;W53)</f>
        <v/>
      </c>
      <c r="B53" s="10" t="str">
        <f aca="false">IF(C53="","",C53&amp;", "&amp;E53&amp;" m wide, "&amp;F53&amp;" m headroom, "&amp;G53&amp;" m bays, "&amp;H53&amp;" ("&amp;D53&amp;")")</f>
        <v/>
      </c>
      <c r="C53" s="9"/>
      <c r="D53" s="9"/>
      <c r="E53" s="43"/>
      <c r="F53" s="43"/>
      <c r="G53" s="43"/>
      <c r="H53" s="9"/>
      <c r="I53" s="9"/>
      <c r="J53" s="9"/>
      <c r="K53" s="9"/>
      <c r="L53" s="9"/>
      <c r="M53" s="9"/>
      <c r="N53" s="9"/>
      <c r="O53" s="9"/>
      <c r="P53" s="40"/>
      <c r="Q53" s="43"/>
      <c r="R53" s="9"/>
      <c r="S53" s="9"/>
      <c r="T53" s="9"/>
      <c r="U53" s="43"/>
      <c r="V53" s="9"/>
      <c r="W53" s="9"/>
      <c r="X53" s="9"/>
      <c r="Y53" s="9"/>
      <c r="Z53" s="9"/>
      <c r="AA53" s="9"/>
      <c r="AB53" s="10" t="str">
        <f aca="false">IF(A53="","",SG_Criteria!$B$6&amp;SG_Criteria!$B$12&amp;"\"&amp;A53&amp;"\")</f>
        <v/>
      </c>
      <c r="AC53" s="10" t="str">
        <f aca="false">IF(A53="","",A53&amp;"_CAD.dwg")</f>
        <v/>
      </c>
      <c r="AD53" s="10" t="str">
        <f aca="false">IF(A53="","",A53&amp;"_DWG.pdf")</f>
        <v/>
      </c>
      <c r="AE53" s="10" t="str">
        <f aca="false">IF(A53="","",IF(AA53="Y",A53&amp;"_STAAD.std","n/a"))</f>
        <v/>
      </c>
      <c r="AF53" s="10" t="str">
        <f aca="false">IF(A53="","",A53&amp;"_CALC.xlsx")</f>
        <v/>
      </c>
      <c r="AG53" s="10" t="str">
        <f aca="false">IF(A53="","",A53&amp;"_CALC.pdf")</f>
        <v/>
      </c>
      <c r="AH53" s="9"/>
      <c r="AI53" s="9"/>
      <c r="AJ53" s="41"/>
      <c r="AK53" s="41"/>
      <c r="AL53" s="41"/>
      <c r="AM53" s="41"/>
      <c r="AN53" s="41"/>
      <c r="AO53" s="38" t="str">
        <f aca="false">IF(C53="","",IF(LEN(IF(AND(C53&lt;&gt;"High Covered Linkway",F53&lt;SG_Criteria!$B$46),"FAIL: headroom below "&amp;SG_Criteria!$B$46&amp;" m. ","")&amp;IF(AND(C53="High Covered Linkway",F53&lt;SG_Criteria!$B$47),"FAIL: high linkway headroom below "&amp;SG_Criteria!$B$47&amp;" m. ","")&amp;IF(E53&lt;SG_Criteria!$B$48,"FAIL: roof width below "&amp;SG_Criteria!$B$48&amp;" m. ",IF(E53&lt;SG_Criteria!$B$49,"NOTE: not for MRT/LRT or high-traffic routes (min "&amp;SG_Criteria!$B$49&amp;" m). ",""))&amp;IF(AND(P53&lt;&gt;"",P53&lt;SG_Criteria!$B$50),"FAIL: wind speed below "&amp;SG_Criteria!$B$50&amp;" m/s. ","")&amp;IF(AND(Q53&lt;&gt;"",Q53&lt;SG_Criteria!$B$51),"FAIL: roof fixing pull-out below "&amp;SG_Criteria!$B$51&amp;" kN. ","")&amp;IF(AND(R53&lt;&gt;"",IFERROR(VALUE(MID(R53,2,2)),0)&lt;SG_Criteria!$B$52),"FAIL: grade below C"&amp;SG_Criteria!$B$52&amp;". ","")&amp;IF(D53="Non-standard (project design)","NOTE: not an SDRE standard, needs LTA acceptance. ",""))=0,"OK",IF(AND(C53&lt;&gt;"High Covered Linkway",F53&lt;SG_Criteria!$B$46),"FAIL: headroom below "&amp;SG_Criteria!$B$46&amp;" m. ","")&amp;IF(AND(C53="High Covered Linkway",F53&lt;SG_Criteria!$B$47),"FAIL: high linkway headroom below "&amp;SG_Criteria!$B$47&amp;" m. ","")&amp;IF(E53&lt;SG_Criteria!$B$48,"FAIL: roof width below "&amp;SG_Criteria!$B$48&amp;" m. ",IF(E53&lt;SG_Criteria!$B$49,"NOTE: not for MRT/LRT or high-traffic routes (min "&amp;SG_Criteria!$B$49&amp;" m). ",""))&amp;IF(AND(P53&lt;&gt;"",P53&lt;SG_Criteria!$B$50),"FAIL: wind speed below "&amp;SG_Criteria!$B$50&amp;" m/s. ","")&amp;IF(AND(Q53&lt;&gt;"",Q53&lt;SG_Criteria!$B$51),"FAIL: roof fixing pull-out below "&amp;SG_Criteria!$B$51&amp;" kN. ","")&amp;IF(AND(R53&lt;&gt;"",IFERROR(VALUE(MID(R53,2,2)),0)&lt;SG_Criteria!$B$52),"FAIL: grade below C"&amp;SG_Criteria!$B$52&amp;". ","")&amp;IF(D53="Non-standard (project design)","NOTE: not an SDRE standard, needs LTA acceptance. ","")))</f>
        <v/>
      </c>
      <c r="AP53" s="9"/>
      <c r="AQ53" s="9"/>
      <c r="AR53" s="9"/>
      <c r="AS53" s="9"/>
      <c r="AT53" s="9"/>
      <c r="AU53" s="31"/>
      <c r="AV53" s="10" t="str">
        <f aca="false">IF(C53="","",IF(AND(X53="Approved",ISERROR(SEARCH("FAIL",AO53))),"Y","N"))</f>
        <v/>
      </c>
      <c r="AW53" s="10" t="str">
        <f aca="false">IF(C53="","",C53&amp;"|"&amp;E53&amp;"|"&amp;F53&amp;"|"&amp;AV53)</f>
        <v/>
      </c>
    </row>
    <row r="54" customFormat="false" ht="15" hidden="false" customHeight="false" outlineLevel="0" collapsed="false">
      <c r="A54" s="10" t="str">
        <f aca="false">IF(C54="","","LKW-"&amp;IFERROR(VLOOKUP(C54,Lists!$AQ$4:$AR$17,2,0),"??")&amp;"-W"&amp;TEXT(E54*1000,"0000")&amp;"-H"&amp;TEXT(F54*1000,"0000")&amp;"-B"&amp;TEXT(G54*1000,"0000")&amp;"-"&amp;W54)</f>
        <v/>
      </c>
      <c r="B54" s="10" t="str">
        <f aca="false">IF(C54="","",C54&amp;", "&amp;E54&amp;" m wide, "&amp;F54&amp;" m headroom, "&amp;G54&amp;" m bays, "&amp;H54&amp;" ("&amp;D54&amp;")")</f>
        <v/>
      </c>
      <c r="C54" s="9"/>
      <c r="D54" s="9"/>
      <c r="E54" s="43"/>
      <c r="F54" s="43"/>
      <c r="G54" s="43"/>
      <c r="H54" s="9"/>
      <c r="I54" s="9"/>
      <c r="J54" s="9"/>
      <c r="K54" s="9"/>
      <c r="L54" s="9"/>
      <c r="M54" s="9"/>
      <c r="N54" s="9"/>
      <c r="O54" s="9"/>
      <c r="P54" s="40"/>
      <c r="Q54" s="43"/>
      <c r="R54" s="9"/>
      <c r="S54" s="9"/>
      <c r="T54" s="9"/>
      <c r="U54" s="43"/>
      <c r="V54" s="9"/>
      <c r="W54" s="9"/>
      <c r="X54" s="9"/>
      <c r="Y54" s="9"/>
      <c r="Z54" s="9"/>
      <c r="AA54" s="9"/>
      <c r="AB54" s="10" t="str">
        <f aca="false">IF(A54="","",SG_Criteria!$B$6&amp;SG_Criteria!$B$12&amp;"\"&amp;A54&amp;"\")</f>
        <v/>
      </c>
      <c r="AC54" s="10" t="str">
        <f aca="false">IF(A54="","",A54&amp;"_CAD.dwg")</f>
        <v/>
      </c>
      <c r="AD54" s="10" t="str">
        <f aca="false">IF(A54="","",A54&amp;"_DWG.pdf")</f>
        <v/>
      </c>
      <c r="AE54" s="10" t="str">
        <f aca="false">IF(A54="","",IF(AA54="Y",A54&amp;"_STAAD.std","n/a"))</f>
        <v/>
      </c>
      <c r="AF54" s="10" t="str">
        <f aca="false">IF(A54="","",A54&amp;"_CALC.xlsx")</f>
        <v/>
      </c>
      <c r="AG54" s="10" t="str">
        <f aca="false">IF(A54="","",A54&amp;"_CALC.pdf")</f>
        <v/>
      </c>
      <c r="AH54" s="9"/>
      <c r="AI54" s="9"/>
      <c r="AJ54" s="41"/>
      <c r="AK54" s="41"/>
      <c r="AL54" s="41"/>
      <c r="AM54" s="41"/>
      <c r="AN54" s="41"/>
      <c r="AO54" s="38" t="str">
        <f aca="false">IF(C54="","",IF(LEN(IF(AND(C54&lt;&gt;"High Covered Linkway",F54&lt;SG_Criteria!$B$46),"FAIL: headroom below "&amp;SG_Criteria!$B$46&amp;" m. ","")&amp;IF(AND(C54="High Covered Linkway",F54&lt;SG_Criteria!$B$47),"FAIL: high linkway headroom below "&amp;SG_Criteria!$B$47&amp;" m. ","")&amp;IF(E54&lt;SG_Criteria!$B$48,"FAIL: roof width below "&amp;SG_Criteria!$B$48&amp;" m. ",IF(E54&lt;SG_Criteria!$B$49,"NOTE: not for MRT/LRT or high-traffic routes (min "&amp;SG_Criteria!$B$49&amp;" m). ",""))&amp;IF(AND(P54&lt;&gt;"",P54&lt;SG_Criteria!$B$50),"FAIL: wind speed below "&amp;SG_Criteria!$B$50&amp;" m/s. ","")&amp;IF(AND(Q54&lt;&gt;"",Q54&lt;SG_Criteria!$B$51),"FAIL: roof fixing pull-out below "&amp;SG_Criteria!$B$51&amp;" kN. ","")&amp;IF(AND(R54&lt;&gt;"",IFERROR(VALUE(MID(R54,2,2)),0)&lt;SG_Criteria!$B$52),"FAIL: grade below C"&amp;SG_Criteria!$B$52&amp;". ","")&amp;IF(D54="Non-standard (project design)","NOTE: not an SDRE standard, needs LTA acceptance. ",""))=0,"OK",IF(AND(C54&lt;&gt;"High Covered Linkway",F54&lt;SG_Criteria!$B$46),"FAIL: headroom below "&amp;SG_Criteria!$B$46&amp;" m. ","")&amp;IF(AND(C54="High Covered Linkway",F54&lt;SG_Criteria!$B$47),"FAIL: high linkway headroom below "&amp;SG_Criteria!$B$47&amp;" m. ","")&amp;IF(E54&lt;SG_Criteria!$B$48,"FAIL: roof width below "&amp;SG_Criteria!$B$48&amp;" m. ",IF(E54&lt;SG_Criteria!$B$49,"NOTE: not for MRT/LRT or high-traffic routes (min "&amp;SG_Criteria!$B$49&amp;" m). ",""))&amp;IF(AND(P54&lt;&gt;"",P54&lt;SG_Criteria!$B$50),"FAIL: wind speed below "&amp;SG_Criteria!$B$50&amp;" m/s. ","")&amp;IF(AND(Q54&lt;&gt;"",Q54&lt;SG_Criteria!$B$51),"FAIL: roof fixing pull-out below "&amp;SG_Criteria!$B$51&amp;" kN. ","")&amp;IF(AND(R54&lt;&gt;"",IFERROR(VALUE(MID(R54,2,2)),0)&lt;SG_Criteria!$B$52),"FAIL: grade below C"&amp;SG_Criteria!$B$52&amp;". ","")&amp;IF(D54="Non-standard (project design)","NOTE: not an SDRE standard, needs LTA acceptance. ","")))</f>
        <v/>
      </c>
      <c r="AP54" s="9"/>
      <c r="AQ54" s="9"/>
      <c r="AR54" s="9"/>
      <c r="AS54" s="9"/>
      <c r="AT54" s="9"/>
      <c r="AU54" s="31"/>
      <c r="AV54" s="10" t="str">
        <f aca="false">IF(C54="","",IF(AND(X54="Approved",ISERROR(SEARCH("FAIL",AO54))),"Y","N"))</f>
        <v/>
      </c>
      <c r="AW54" s="10" t="str">
        <f aca="false">IF(C54="","",C54&amp;"|"&amp;E54&amp;"|"&amp;F54&amp;"|"&amp;AV54)</f>
        <v/>
      </c>
    </row>
    <row r="55" customFormat="false" ht="15" hidden="false" customHeight="false" outlineLevel="0" collapsed="false">
      <c r="A55" s="10" t="str">
        <f aca="false">IF(C55="","","LKW-"&amp;IFERROR(VLOOKUP(C55,Lists!$AQ$4:$AR$17,2,0),"??")&amp;"-W"&amp;TEXT(E55*1000,"0000")&amp;"-H"&amp;TEXT(F55*1000,"0000")&amp;"-B"&amp;TEXT(G55*1000,"0000")&amp;"-"&amp;W55)</f>
        <v/>
      </c>
      <c r="B55" s="10" t="str">
        <f aca="false">IF(C55="","",C55&amp;", "&amp;E55&amp;" m wide, "&amp;F55&amp;" m headroom, "&amp;G55&amp;" m bays, "&amp;H55&amp;" ("&amp;D55&amp;")")</f>
        <v/>
      </c>
      <c r="C55" s="9"/>
      <c r="D55" s="9"/>
      <c r="E55" s="43"/>
      <c r="F55" s="43"/>
      <c r="G55" s="43"/>
      <c r="H55" s="9"/>
      <c r="I55" s="9"/>
      <c r="J55" s="9"/>
      <c r="K55" s="9"/>
      <c r="L55" s="9"/>
      <c r="M55" s="9"/>
      <c r="N55" s="9"/>
      <c r="O55" s="9"/>
      <c r="P55" s="40"/>
      <c r="Q55" s="43"/>
      <c r="R55" s="9"/>
      <c r="S55" s="9"/>
      <c r="T55" s="9"/>
      <c r="U55" s="43"/>
      <c r="V55" s="9"/>
      <c r="W55" s="9"/>
      <c r="X55" s="9"/>
      <c r="Y55" s="9"/>
      <c r="Z55" s="9"/>
      <c r="AA55" s="9"/>
      <c r="AB55" s="10" t="str">
        <f aca="false">IF(A55="","",SG_Criteria!$B$6&amp;SG_Criteria!$B$12&amp;"\"&amp;A55&amp;"\")</f>
        <v/>
      </c>
      <c r="AC55" s="10" t="str">
        <f aca="false">IF(A55="","",A55&amp;"_CAD.dwg")</f>
        <v/>
      </c>
      <c r="AD55" s="10" t="str">
        <f aca="false">IF(A55="","",A55&amp;"_DWG.pdf")</f>
        <v/>
      </c>
      <c r="AE55" s="10" t="str">
        <f aca="false">IF(A55="","",IF(AA55="Y",A55&amp;"_STAAD.std","n/a"))</f>
        <v/>
      </c>
      <c r="AF55" s="10" t="str">
        <f aca="false">IF(A55="","",A55&amp;"_CALC.xlsx")</f>
        <v/>
      </c>
      <c r="AG55" s="10" t="str">
        <f aca="false">IF(A55="","",A55&amp;"_CALC.pdf")</f>
        <v/>
      </c>
      <c r="AH55" s="9"/>
      <c r="AI55" s="9"/>
      <c r="AJ55" s="41"/>
      <c r="AK55" s="41"/>
      <c r="AL55" s="41"/>
      <c r="AM55" s="41"/>
      <c r="AN55" s="41"/>
      <c r="AO55" s="38" t="str">
        <f aca="false">IF(C55="","",IF(LEN(IF(AND(C55&lt;&gt;"High Covered Linkway",F55&lt;SG_Criteria!$B$46),"FAIL: headroom below "&amp;SG_Criteria!$B$46&amp;" m. ","")&amp;IF(AND(C55="High Covered Linkway",F55&lt;SG_Criteria!$B$47),"FAIL: high linkway headroom below "&amp;SG_Criteria!$B$47&amp;" m. ","")&amp;IF(E55&lt;SG_Criteria!$B$48,"FAIL: roof width below "&amp;SG_Criteria!$B$48&amp;" m. ",IF(E55&lt;SG_Criteria!$B$49,"NOTE: not for MRT/LRT or high-traffic routes (min "&amp;SG_Criteria!$B$49&amp;" m). ",""))&amp;IF(AND(P55&lt;&gt;"",P55&lt;SG_Criteria!$B$50),"FAIL: wind speed below "&amp;SG_Criteria!$B$50&amp;" m/s. ","")&amp;IF(AND(Q55&lt;&gt;"",Q55&lt;SG_Criteria!$B$51),"FAIL: roof fixing pull-out below "&amp;SG_Criteria!$B$51&amp;" kN. ","")&amp;IF(AND(R55&lt;&gt;"",IFERROR(VALUE(MID(R55,2,2)),0)&lt;SG_Criteria!$B$52),"FAIL: grade below C"&amp;SG_Criteria!$B$52&amp;". ","")&amp;IF(D55="Non-standard (project design)","NOTE: not an SDRE standard, needs LTA acceptance. ",""))=0,"OK",IF(AND(C55&lt;&gt;"High Covered Linkway",F55&lt;SG_Criteria!$B$46),"FAIL: headroom below "&amp;SG_Criteria!$B$46&amp;" m. ","")&amp;IF(AND(C55="High Covered Linkway",F55&lt;SG_Criteria!$B$47),"FAIL: high linkway headroom below "&amp;SG_Criteria!$B$47&amp;" m. ","")&amp;IF(E55&lt;SG_Criteria!$B$48,"FAIL: roof width below "&amp;SG_Criteria!$B$48&amp;" m. ",IF(E55&lt;SG_Criteria!$B$49,"NOTE: not for MRT/LRT or high-traffic routes (min "&amp;SG_Criteria!$B$49&amp;" m). ",""))&amp;IF(AND(P55&lt;&gt;"",P55&lt;SG_Criteria!$B$50),"FAIL: wind speed below "&amp;SG_Criteria!$B$50&amp;" m/s. ","")&amp;IF(AND(Q55&lt;&gt;"",Q55&lt;SG_Criteria!$B$51),"FAIL: roof fixing pull-out below "&amp;SG_Criteria!$B$51&amp;" kN. ","")&amp;IF(AND(R55&lt;&gt;"",IFERROR(VALUE(MID(R55,2,2)),0)&lt;SG_Criteria!$B$52),"FAIL: grade below C"&amp;SG_Criteria!$B$52&amp;". ","")&amp;IF(D55="Non-standard (project design)","NOTE: not an SDRE standard, needs LTA acceptance. ","")))</f>
        <v/>
      </c>
      <c r="AP55" s="9"/>
      <c r="AQ55" s="9"/>
      <c r="AR55" s="9"/>
      <c r="AS55" s="9"/>
      <c r="AT55" s="9"/>
      <c r="AU55" s="31"/>
      <c r="AV55" s="10" t="str">
        <f aca="false">IF(C55="","",IF(AND(X55="Approved",ISERROR(SEARCH("FAIL",AO55))),"Y","N"))</f>
        <v/>
      </c>
      <c r="AW55" s="10" t="str">
        <f aca="false">IF(C55="","",C55&amp;"|"&amp;E55&amp;"|"&amp;F55&amp;"|"&amp;AV55)</f>
        <v/>
      </c>
    </row>
    <row r="56" customFormat="false" ht="15" hidden="false" customHeight="false" outlineLevel="0" collapsed="false">
      <c r="A56" s="10" t="str">
        <f aca="false">IF(C56="","","LKW-"&amp;IFERROR(VLOOKUP(C56,Lists!$AQ$4:$AR$17,2,0),"??")&amp;"-W"&amp;TEXT(E56*1000,"0000")&amp;"-H"&amp;TEXT(F56*1000,"0000")&amp;"-B"&amp;TEXT(G56*1000,"0000")&amp;"-"&amp;W56)</f>
        <v/>
      </c>
      <c r="B56" s="10" t="str">
        <f aca="false">IF(C56="","",C56&amp;", "&amp;E56&amp;" m wide, "&amp;F56&amp;" m headroom, "&amp;G56&amp;" m bays, "&amp;H56&amp;" ("&amp;D56&amp;")")</f>
        <v/>
      </c>
      <c r="C56" s="9"/>
      <c r="D56" s="9"/>
      <c r="E56" s="43"/>
      <c r="F56" s="43"/>
      <c r="G56" s="43"/>
      <c r="H56" s="9"/>
      <c r="I56" s="9"/>
      <c r="J56" s="9"/>
      <c r="K56" s="9"/>
      <c r="L56" s="9"/>
      <c r="M56" s="9"/>
      <c r="N56" s="9"/>
      <c r="O56" s="9"/>
      <c r="P56" s="40"/>
      <c r="Q56" s="43"/>
      <c r="R56" s="9"/>
      <c r="S56" s="9"/>
      <c r="T56" s="9"/>
      <c r="U56" s="43"/>
      <c r="V56" s="9"/>
      <c r="W56" s="9"/>
      <c r="X56" s="9"/>
      <c r="Y56" s="9"/>
      <c r="Z56" s="9"/>
      <c r="AA56" s="9"/>
      <c r="AB56" s="10" t="str">
        <f aca="false">IF(A56="","",SG_Criteria!$B$6&amp;SG_Criteria!$B$12&amp;"\"&amp;A56&amp;"\")</f>
        <v/>
      </c>
      <c r="AC56" s="10" t="str">
        <f aca="false">IF(A56="","",A56&amp;"_CAD.dwg")</f>
        <v/>
      </c>
      <c r="AD56" s="10" t="str">
        <f aca="false">IF(A56="","",A56&amp;"_DWG.pdf")</f>
        <v/>
      </c>
      <c r="AE56" s="10" t="str">
        <f aca="false">IF(A56="","",IF(AA56="Y",A56&amp;"_STAAD.std","n/a"))</f>
        <v/>
      </c>
      <c r="AF56" s="10" t="str">
        <f aca="false">IF(A56="","",A56&amp;"_CALC.xlsx")</f>
        <v/>
      </c>
      <c r="AG56" s="10" t="str">
        <f aca="false">IF(A56="","",A56&amp;"_CALC.pdf")</f>
        <v/>
      </c>
      <c r="AH56" s="9"/>
      <c r="AI56" s="9"/>
      <c r="AJ56" s="41"/>
      <c r="AK56" s="41"/>
      <c r="AL56" s="41"/>
      <c r="AM56" s="41"/>
      <c r="AN56" s="41"/>
      <c r="AO56" s="38" t="str">
        <f aca="false">IF(C56="","",IF(LEN(IF(AND(C56&lt;&gt;"High Covered Linkway",F56&lt;SG_Criteria!$B$46),"FAIL: headroom below "&amp;SG_Criteria!$B$46&amp;" m. ","")&amp;IF(AND(C56="High Covered Linkway",F56&lt;SG_Criteria!$B$47),"FAIL: high linkway headroom below "&amp;SG_Criteria!$B$47&amp;" m. ","")&amp;IF(E56&lt;SG_Criteria!$B$48,"FAIL: roof width below "&amp;SG_Criteria!$B$48&amp;" m. ",IF(E56&lt;SG_Criteria!$B$49,"NOTE: not for MRT/LRT or high-traffic routes (min "&amp;SG_Criteria!$B$49&amp;" m). ",""))&amp;IF(AND(P56&lt;&gt;"",P56&lt;SG_Criteria!$B$50),"FAIL: wind speed below "&amp;SG_Criteria!$B$50&amp;" m/s. ","")&amp;IF(AND(Q56&lt;&gt;"",Q56&lt;SG_Criteria!$B$51),"FAIL: roof fixing pull-out below "&amp;SG_Criteria!$B$51&amp;" kN. ","")&amp;IF(AND(R56&lt;&gt;"",IFERROR(VALUE(MID(R56,2,2)),0)&lt;SG_Criteria!$B$52),"FAIL: grade below C"&amp;SG_Criteria!$B$52&amp;". ","")&amp;IF(D56="Non-standard (project design)","NOTE: not an SDRE standard, needs LTA acceptance. ",""))=0,"OK",IF(AND(C56&lt;&gt;"High Covered Linkway",F56&lt;SG_Criteria!$B$46),"FAIL: headroom below "&amp;SG_Criteria!$B$46&amp;" m. ","")&amp;IF(AND(C56="High Covered Linkway",F56&lt;SG_Criteria!$B$47),"FAIL: high linkway headroom below "&amp;SG_Criteria!$B$47&amp;" m. ","")&amp;IF(E56&lt;SG_Criteria!$B$48,"FAIL: roof width below "&amp;SG_Criteria!$B$48&amp;" m. ",IF(E56&lt;SG_Criteria!$B$49,"NOTE: not for MRT/LRT or high-traffic routes (min "&amp;SG_Criteria!$B$49&amp;" m). ",""))&amp;IF(AND(P56&lt;&gt;"",P56&lt;SG_Criteria!$B$50),"FAIL: wind speed below "&amp;SG_Criteria!$B$50&amp;" m/s. ","")&amp;IF(AND(Q56&lt;&gt;"",Q56&lt;SG_Criteria!$B$51),"FAIL: roof fixing pull-out below "&amp;SG_Criteria!$B$51&amp;" kN. ","")&amp;IF(AND(R56&lt;&gt;"",IFERROR(VALUE(MID(R56,2,2)),0)&lt;SG_Criteria!$B$52),"FAIL: grade below C"&amp;SG_Criteria!$B$52&amp;". ","")&amp;IF(D56="Non-standard (project design)","NOTE: not an SDRE standard, needs LTA acceptance. ","")))</f>
        <v/>
      </c>
      <c r="AP56" s="9"/>
      <c r="AQ56" s="9"/>
      <c r="AR56" s="9"/>
      <c r="AS56" s="9"/>
      <c r="AT56" s="9"/>
      <c r="AU56" s="31"/>
      <c r="AV56" s="10" t="str">
        <f aca="false">IF(C56="","",IF(AND(X56="Approved",ISERROR(SEARCH("FAIL",AO56))),"Y","N"))</f>
        <v/>
      </c>
      <c r="AW56" s="10" t="str">
        <f aca="false">IF(C56="","",C56&amp;"|"&amp;E56&amp;"|"&amp;F56&amp;"|"&amp;AV56)</f>
        <v/>
      </c>
    </row>
    <row r="57" customFormat="false" ht="15" hidden="false" customHeight="false" outlineLevel="0" collapsed="false">
      <c r="A57" s="10" t="str">
        <f aca="false">IF(C57="","","LKW-"&amp;IFERROR(VLOOKUP(C57,Lists!$AQ$4:$AR$17,2,0),"??")&amp;"-W"&amp;TEXT(E57*1000,"0000")&amp;"-H"&amp;TEXT(F57*1000,"0000")&amp;"-B"&amp;TEXT(G57*1000,"0000")&amp;"-"&amp;W57)</f>
        <v/>
      </c>
      <c r="B57" s="10" t="str">
        <f aca="false">IF(C57="","",C57&amp;", "&amp;E57&amp;" m wide, "&amp;F57&amp;" m headroom, "&amp;G57&amp;" m bays, "&amp;H57&amp;" ("&amp;D57&amp;")")</f>
        <v/>
      </c>
      <c r="C57" s="9"/>
      <c r="D57" s="9"/>
      <c r="E57" s="43"/>
      <c r="F57" s="43"/>
      <c r="G57" s="43"/>
      <c r="H57" s="9"/>
      <c r="I57" s="9"/>
      <c r="J57" s="9"/>
      <c r="K57" s="9"/>
      <c r="L57" s="9"/>
      <c r="M57" s="9"/>
      <c r="N57" s="9"/>
      <c r="O57" s="9"/>
      <c r="P57" s="40"/>
      <c r="Q57" s="43"/>
      <c r="R57" s="9"/>
      <c r="S57" s="9"/>
      <c r="T57" s="9"/>
      <c r="U57" s="43"/>
      <c r="V57" s="9"/>
      <c r="W57" s="9"/>
      <c r="X57" s="9"/>
      <c r="Y57" s="9"/>
      <c r="Z57" s="9"/>
      <c r="AA57" s="9"/>
      <c r="AB57" s="10" t="str">
        <f aca="false">IF(A57="","",SG_Criteria!$B$6&amp;SG_Criteria!$B$12&amp;"\"&amp;A57&amp;"\")</f>
        <v/>
      </c>
      <c r="AC57" s="10" t="str">
        <f aca="false">IF(A57="","",A57&amp;"_CAD.dwg")</f>
        <v/>
      </c>
      <c r="AD57" s="10" t="str">
        <f aca="false">IF(A57="","",A57&amp;"_DWG.pdf")</f>
        <v/>
      </c>
      <c r="AE57" s="10" t="str">
        <f aca="false">IF(A57="","",IF(AA57="Y",A57&amp;"_STAAD.std","n/a"))</f>
        <v/>
      </c>
      <c r="AF57" s="10" t="str">
        <f aca="false">IF(A57="","",A57&amp;"_CALC.xlsx")</f>
        <v/>
      </c>
      <c r="AG57" s="10" t="str">
        <f aca="false">IF(A57="","",A57&amp;"_CALC.pdf")</f>
        <v/>
      </c>
      <c r="AH57" s="9"/>
      <c r="AI57" s="9"/>
      <c r="AJ57" s="41"/>
      <c r="AK57" s="41"/>
      <c r="AL57" s="41"/>
      <c r="AM57" s="41"/>
      <c r="AN57" s="41"/>
      <c r="AO57" s="38" t="str">
        <f aca="false">IF(C57="","",IF(LEN(IF(AND(C57&lt;&gt;"High Covered Linkway",F57&lt;SG_Criteria!$B$46),"FAIL: headroom below "&amp;SG_Criteria!$B$46&amp;" m. ","")&amp;IF(AND(C57="High Covered Linkway",F57&lt;SG_Criteria!$B$47),"FAIL: high linkway headroom below "&amp;SG_Criteria!$B$47&amp;" m. ","")&amp;IF(E57&lt;SG_Criteria!$B$48,"FAIL: roof width below "&amp;SG_Criteria!$B$48&amp;" m. ",IF(E57&lt;SG_Criteria!$B$49,"NOTE: not for MRT/LRT or high-traffic routes (min "&amp;SG_Criteria!$B$49&amp;" m). ",""))&amp;IF(AND(P57&lt;&gt;"",P57&lt;SG_Criteria!$B$50),"FAIL: wind speed below "&amp;SG_Criteria!$B$50&amp;" m/s. ","")&amp;IF(AND(Q57&lt;&gt;"",Q57&lt;SG_Criteria!$B$51),"FAIL: roof fixing pull-out below "&amp;SG_Criteria!$B$51&amp;" kN. ","")&amp;IF(AND(R57&lt;&gt;"",IFERROR(VALUE(MID(R57,2,2)),0)&lt;SG_Criteria!$B$52),"FAIL: grade below C"&amp;SG_Criteria!$B$52&amp;". ","")&amp;IF(D57="Non-standard (project design)","NOTE: not an SDRE standard, needs LTA acceptance. ",""))=0,"OK",IF(AND(C57&lt;&gt;"High Covered Linkway",F57&lt;SG_Criteria!$B$46),"FAIL: headroom below "&amp;SG_Criteria!$B$46&amp;" m. ","")&amp;IF(AND(C57="High Covered Linkway",F57&lt;SG_Criteria!$B$47),"FAIL: high linkway headroom below "&amp;SG_Criteria!$B$47&amp;" m. ","")&amp;IF(E57&lt;SG_Criteria!$B$48,"FAIL: roof width below "&amp;SG_Criteria!$B$48&amp;" m. ",IF(E57&lt;SG_Criteria!$B$49,"NOTE: not for MRT/LRT or high-traffic routes (min "&amp;SG_Criteria!$B$49&amp;" m). ",""))&amp;IF(AND(P57&lt;&gt;"",P57&lt;SG_Criteria!$B$50),"FAIL: wind speed below "&amp;SG_Criteria!$B$50&amp;" m/s. ","")&amp;IF(AND(Q57&lt;&gt;"",Q57&lt;SG_Criteria!$B$51),"FAIL: roof fixing pull-out below "&amp;SG_Criteria!$B$51&amp;" kN. ","")&amp;IF(AND(R57&lt;&gt;"",IFERROR(VALUE(MID(R57,2,2)),0)&lt;SG_Criteria!$B$52),"FAIL: grade below C"&amp;SG_Criteria!$B$52&amp;". ","")&amp;IF(D57="Non-standard (project design)","NOTE: not an SDRE standard, needs LTA acceptance. ","")))</f>
        <v/>
      </c>
      <c r="AP57" s="9"/>
      <c r="AQ57" s="9"/>
      <c r="AR57" s="9"/>
      <c r="AS57" s="9"/>
      <c r="AT57" s="9"/>
      <c r="AU57" s="31"/>
      <c r="AV57" s="10" t="str">
        <f aca="false">IF(C57="","",IF(AND(X57="Approved",ISERROR(SEARCH("FAIL",AO57))),"Y","N"))</f>
        <v/>
      </c>
      <c r="AW57" s="10" t="str">
        <f aca="false">IF(C57="","",C57&amp;"|"&amp;E57&amp;"|"&amp;F57&amp;"|"&amp;AV57)</f>
        <v/>
      </c>
    </row>
    <row r="58" customFormat="false" ht="15" hidden="false" customHeight="false" outlineLevel="0" collapsed="false">
      <c r="A58" s="10" t="str">
        <f aca="false">IF(C58="","","LKW-"&amp;IFERROR(VLOOKUP(C58,Lists!$AQ$4:$AR$17,2,0),"??")&amp;"-W"&amp;TEXT(E58*1000,"0000")&amp;"-H"&amp;TEXT(F58*1000,"0000")&amp;"-B"&amp;TEXT(G58*1000,"0000")&amp;"-"&amp;W58)</f>
        <v/>
      </c>
      <c r="B58" s="10" t="str">
        <f aca="false">IF(C58="","",C58&amp;", "&amp;E58&amp;" m wide, "&amp;F58&amp;" m headroom, "&amp;G58&amp;" m bays, "&amp;H58&amp;" ("&amp;D58&amp;")")</f>
        <v/>
      </c>
      <c r="C58" s="9"/>
      <c r="D58" s="9"/>
      <c r="E58" s="43"/>
      <c r="F58" s="43"/>
      <c r="G58" s="43"/>
      <c r="H58" s="9"/>
      <c r="I58" s="9"/>
      <c r="J58" s="9"/>
      <c r="K58" s="9"/>
      <c r="L58" s="9"/>
      <c r="M58" s="9"/>
      <c r="N58" s="9"/>
      <c r="O58" s="9"/>
      <c r="P58" s="40"/>
      <c r="Q58" s="43"/>
      <c r="R58" s="9"/>
      <c r="S58" s="9"/>
      <c r="T58" s="9"/>
      <c r="U58" s="43"/>
      <c r="V58" s="9"/>
      <c r="W58" s="9"/>
      <c r="X58" s="9"/>
      <c r="Y58" s="9"/>
      <c r="Z58" s="9"/>
      <c r="AA58" s="9"/>
      <c r="AB58" s="10" t="str">
        <f aca="false">IF(A58="","",SG_Criteria!$B$6&amp;SG_Criteria!$B$12&amp;"\"&amp;A58&amp;"\")</f>
        <v/>
      </c>
      <c r="AC58" s="10" t="str">
        <f aca="false">IF(A58="","",A58&amp;"_CAD.dwg")</f>
        <v/>
      </c>
      <c r="AD58" s="10" t="str">
        <f aca="false">IF(A58="","",A58&amp;"_DWG.pdf")</f>
        <v/>
      </c>
      <c r="AE58" s="10" t="str">
        <f aca="false">IF(A58="","",IF(AA58="Y",A58&amp;"_STAAD.std","n/a"))</f>
        <v/>
      </c>
      <c r="AF58" s="10" t="str">
        <f aca="false">IF(A58="","",A58&amp;"_CALC.xlsx")</f>
        <v/>
      </c>
      <c r="AG58" s="10" t="str">
        <f aca="false">IF(A58="","",A58&amp;"_CALC.pdf")</f>
        <v/>
      </c>
      <c r="AH58" s="9"/>
      <c r="AI58" s="9"/>
      <c r="AJ58" s="41"/>
      <c r="AK58" s="41"/>
      <c r="AL58" s="41"/>
      <c r="AM58" s="41"/>
      <c r="AN58" s="41"/>
      <c r="AO58" s="38" t="str">
        <f aca="false">IF(C58="","",IF(LEN(IF(AND(C58&lt;&gt;"High Covered Linkway",F58&lt;SG_Criteria!$B$46),"FAIL: headroom below "&amp;SG_Criteria!$B$46&amp;" m. ","")&amp;IF(AND(C58="High Covered Linkway",F58&lt;SG_Criteria!$B$47),"FAIL: high linkway headroom below "&amp;SG_Criteria!$B$47&amp;" m. ","")&amp;IF(E58&lt;SG_Criteria!$B$48,"FAIL: roof width below "&amp;SG_Criteria!$B$48&amp;" m. ",IF(E58&lt;SG_Criteria!$B$49,"NOTE: not for MRT/LRT or high-traffic routes (min "&amp;SG_Criteria!$B$49&amp;" m). ",""))&amp;IF(AND(P58&lt;&gt;"",P58&lt;SG_Criteria!$B$50),"FAIL: wind speed below "&amp;SG_Criteria!$B$50&amp;" m/s. ","")&amp;IF(AND(Q58&lt;&gt;"",Q58&lt;SG_Criteria!$B$51),"FAIL: roof fixing pull-out below "&amp;SG_Criteria!$B$51&amp;" kN. ","")&amp;IF(AND(R58&lt;&gt;"",IFERROR(VALUE(MID(R58,2,2)),0)&lt;SG_Criteria!$B$52),"FAIL: grade below C"&amp;SG_Criteria!$B$52&amp;". ","")&amp;IF(D58="Non-standard (project design)","NOTE: not an SDRE standard, needs LTA acceptance. ",""))=0,"OK",IF(AND(C58&lt;&gt;"High Covered Linkway",F58&lt;SG_Criteria!$B$46),"FAIL: headroom below "&amp;SG_Criteria!$B$46&amp;" m. ","")&amp;IF(AND(C58="High Covered Linkway",F58&lt;SG_Criteria!$B$47),"FAIL: high linkway headroom below "&amp;SG_Criteria!$B$47&amp;" m. ","")&amp;IF(E58&lt;SG_Criteria!$B$48,"FAIL: roof width below "&amp;SG_Criteria!$B$48&amp;" m. ",IF(E58&lt;SG_Criteria!$B$49,"NOTE: not for MRT/LRT or high-traffic routes (min "&amp;SG_Criteria!$B$49&amp;" m). ",""))&amp;IF(AND(P58&lt;&gt;"",P58&lt;SG_Criteria!$B$50),"FAIL: wind speed below "&amp;SG_Criteria!$B$50&amp;" m/s. ","")&amp;IF(AND(Q58&lt;&gt;"",Q58&lt;SG_Criteria!$B$51),"FAIL: roof fixing pull-out below "&amp;SG_Criteria!$B$51&amp;" kN. ","")&amp;IF(AND(R58&lt;&gt;"",IFERROR(VALUE(MID(R58,2,2)),0)&lt;SG_Criteria!$B$52),"FAIL: grade below C"&amp;SG_Criteria!$B$52&amp;". ","")&amp;IF(D58="Non-standard (project design)","NOTE: not an SDRE standard, needs LTA acceptance. ","")))</f>
        <v/>
      </c>
      <c r="AP58" s="9"/>
      <c r="AQ58" s="9"/>
      <c r="AR58" s="9"/>
      <c r="AS58" s="9"/>
      <c r="AT58" s="9"/>
      <c r="AU58" s="31"/>
      <c r="AV58" s="10" t="str">
        <f aca="false">IF(C58="","",IF(AND(X58="Approved",ISERROR(SEARCH("FAIL",AO58))),"Y","N"))</f>
        <v/>
      </c>
      <c r="AW58" s="10" t="str">
        <f aca="false">IF(C58="","",C58&amp;"|"&amp;E58&amp;"|"&amp;F58&amp;"|"&amp;AV58)</f>
        <v/>
      </c>
    </row>
    <row r="59" customFormat="false" ht="15" hidden="false" customHeight="false" outlineLevel="0" collapsed="false">
      <c r="A59" s="10" t="str">
        <f aca="false">IF(C59="","","LKW-"&amp;IFERROR(VLOOKUP(C59,Lists!$AQ$4:$AR$17,2,0),"??")&amp;"-W"&amp;TEXT(E59*1000,"0000")&amp;"-H"&amp;TEXT(F59*1000,"0000")&amp;"-B"&amp;TEXT(G59*1000,"0000")&amp;"-"&amp;W59)</f>
        <v/>
      </c>
      <c r="B59" s="10" t="str">
        <f aca="false">IF(C59="","",C59&amp;", "&amp;E59&amp;" m wide, "&amp;F59&amp;" m headroom, "&amp;G59&amp;" m bays, "&amp;H59&amp;" ("&amp;D59&amp;")")</f>
        <v/>
      </c>
      <c r="C59" s="9"/>
      <c r="D59" s="9"/>
      <c r="E59" s="43"/>
      <c r="F59" s="43"/>
      <c r="G59" s="43"/>
      <c r="H59" s="9"/>
      <c r="I59" s="9"/>
      <c r="J59" s="9"/>
      <c r="K59" s="9"/>
      <c r="L59" s="9"/>
      <c r="M59" s="9"/>
      <c r="N59" s="9"/>
      <c r="O59" s="9"/>
      <c r="P59" s="40"/>
      <c r="Q59" s="43"/>
      <c r="R59" s="9"/>
      <c r="S59" s="9"/>
      <c r="T59" s="9"/>
      <c r="U59" s="43"/>
      <c r="V59" s="9"/>
      <c r="W59" s="9"/>
      <c r="X59" s="9"/>
      <c r="Y59" s="9"/>
      <c r="Z59" s="9"/>
      <c r="AA59" s="9"/>
      <c r="AB59" s="10" t="str">
        <f aca="false">IF(A59="","",SG_Criteria!$B$6&amp;SG_Criteria!$B$12&amp;"\"&amp;A59&amp;"\")</f>
        <v/>
      </c>
      <c r="AC59" s="10" t="str">
        <f aca="false">IF(A59="","",A59&amp;"_CAD.dwg")</f>
        <v/>
      </c>
      <c r="AD59" s="10" t="str">
        <f aca="false">IF(A59="","",A59&amp;"_DWG.pdf")</f>
        <v/>
      </c>
      <c r="AE59" s="10" t="str">
        <f aca="false">IF(A59="","",IF(AA59="Y",A59&amp;"_STAAD.std","n/a"))</f>
        <v/>
      </c>
      <c r="AF59" s="10" t="str">
        <f aca="false">IF(A59="","",A59&amp;"_CALC.xlsx")</f>
        <v/>
      </c>
      <c r="AG59" s="10" t="str">
        <f aca="false">IF(A59="","",A59&amp;"_CALC.pdf")</f>
        <v/>
      </c>
      <c r="AH59" s="9"/>
      <c r="AI59" s="9"/>
      <c r="AJ59" s="41"/>
      <c r="AK59" s="41"/>
      <c r="AL59" s="41"/>
      <c r="AM59" s="41"/>
      <c r="AN59" s="41"/>
      <c r="AO59" s="38" t="str">
        <f aca="false">IF(C59="","",IF(LEN(IF(AND(C59&lt;&gt;"High Covered Linkway",F59&lt;SG_Criteria!$B$46),"FAIL: headroom below "&amp;SG_Criteria!$B$46&amp;" m. ","")&amp;IF(AND(C59="High Covered Linkway",F59&lt;SG_Criteria!$B$47),"FAIL: high linkway headroom below "&amp;SG_Criteria!$B$47&amp;" m. ","")&amp;IF(E59&lt;SG_Criteria!$B$48,"FAIL: roof width below "&amp;SG_Criteria!$B$48&amp;" m. ",IF(E59&lt;SG_Criteria!$B$49,"NOTE: not for MRT/LRT or high-traffic routes (min "&amp;SG_Criteria!$B$49&amp;" m). ",""))&amp;IF(AND(P59&lt;&gt;"",P59&lt;SG_Criteria!$B$50),"FAIL: wind speed below "&amp;SG_Criteria!$B$50&amp;" m/s. ","")&amp;IF(AND(Q59&lt;&gt;"",Q59&lt;SG_Criteria!$B$51),"FAIL: roof fixing pull-out below "&amp;SG_Criteria!$B$51&amp;" kN. ","")&amp;IF(AND(R59&lt;&gt;"",IFERROR(VALUE(MID(R59,2,2)),0)&lt;SG_Criteria!$B$52),"FAIL: grade below C"&amp;SG_Criteria!$B$52&amp;". ","")&amp;IF(D59="Non-standard (project design)","NOTE: not an SDRE standard, needs LTA acceptance. ",""))=0,"OK",IF(AND(C59&lt;&gt;"High Covered Linkway",F59&lt;SG_Criteria!$B$46),"FAIL: headroom below "&amp;SG_Criteria!$B$46&amp;" m. ","")&amp;IF(AND(C59="High Covered Linkway",F59&lt;SG_Criteria!$B$47),"FAIL: high linkway headroom below "&amp;SG_Criteria!$B$47&amp;" m. ","")&amp;IF(E59&lt;SG_Criteria!$B$48,"FAIL: roof width below "&amp;SG_Criteria!$B$48&amp;" m. ",IF(E59&lt;SG_Criteria!$B$49,"NOTE: not for MRT/LRT or high-traffic routes (min "&amp;SG_Criteria!$B$49&amp;" m). ",""))&amp;IF(AND(P59&lt;&gt;"",P59&lt;SG_Criteria!$B$50),"FAIL: wind speed below "&amp;SG_Criteria!$B$50&amp;" m/s. ","")&amp;IF(AND(Q59&lt;&gt;"",Q59&lt;SG_Criteria!$B$51),"FAIL: roof fixing pull-out below "&amp;SG_Criteria!$B$51&amp;" kN. ","")&amp;IF(AND(R59&lt;&gt;"",IFERROR(VALUE(MID(R59,2,2)),0)&lt;SG_Criteria!$B$52),"FAIL: grade below C"&amp;SG_Criteria!$B$52&amp;". ","")&amp;IF(D59="Non-standard (project design)","NOTE: not an SDRE standard, needs LTA acceptance. ","")))</f>
        <v/>
      </c>
      <c r="AP59" s="9"/>
      <c r="AQ59" s="9"/>
      <c r="AR59" s="9"/>
      <c r="AS59" s="9"/>
      <c r="AT59" s="9"/>
      <c r="AU59" s="31"/>
      <c r="AV59" s="10" t="str">
        <f aca="false">IF(C59="","",IF(AND(X59="Approved",ISERROR(SEARCH("FAIL",AO59))),"Y","N"))</f>
        <v/>
      </c>
      <c r="AW59" s="10" t="str">
        <f aca="false">IF(C59="","",C59&amp;"|"&amp;E59&amp;"|"&amp;F59&amp;"|"&amp;AV59)</f>
        <v/>
      </c>
    </row>
    <row r="60" customFormat="false" ht="15" hidden="false" customHeight="false" outlineLevel="0" collapsed="false">
      <c r="A60" s="10" t="str">
        <f aca="false">IF(C60="","","LKW-"&amp;IFERROR(VLOOKUP(C60,Lists!$AQ$4:$AR$17,2,0),"??")&amp;"-W"&amp;TEXT(E60*1000,"0000")&amp;"-H"&amp;TEXT(F60*1000,"0000")&amp;"-B"&amp;TEXT(G60*1000,"0000")&amp;"-"&amp;W60)</f>
        <v/>
      </c>
      <c r="B60" s="10" t="str">
        <f aca="false">IF(C60="","",C60&amp;", "&amp;E60&amp;" m wide, "&amp;F60&amp;" m headroom, "&amp;G60&amp;" m bays, "&amp;H60&amp;" ("&amp;D60&amp;")")</f>
        <v/>
      </c>
      <c r="C60" s="9"/>
      <c r="D60" s="9"/>
      <c r="E60" s="43"/>
      <c r="F60" s="43"/>
      <c r="G60" s="43"/>
      <c r="H60" s="9"/>
      <c r="I60" s="9"/>
      <c r="J60" s="9"/>
      <c r="K60" s="9"/>
      <c r="L60" s="9"/>
      <c r="M60" s="9"/>
      <c r="N60" s="9"/>
      <c r="O60" s="9"/>
      <c r="P60" s="40"/>
      <c r="Q60" s="43"/>
      <c r="R60" s="9"/>
      <c r="S60" s="9"/>
      <c r="T60" s="9"/>
      <c r="U60" s="43"/>
      <c r="V60" s="9"/>
      <c r="W60" s="9"/>
      <c r="X60" s="9"/>
      <c r="Y60" s="9"/>
      <c r="Z60" s="9"/>
      <c r="AA60" s="9"/>
      <c r="AB60" s="10" t="str">
        <f aca="false">IF(A60="","",SG_Criteria!$B$6&amp;SG_Criteria!$B$12&amp;"\"&amp;A60&amp;"\")</f>
        <v/>
      </c>
      <c r="AC60" s="10" t="str">
        <f aca="false">IF(A60="","",A60&amp;"_CAD.dwg")</f>
        <v/>
      </c>
      <c r="AD60" s="10" t="str">
        <f aca="false">IF(A60="","",A60&amp;"_DWG.pdf")</f>
        <v/>
      </c>
      <c r="AE60" s="10" t="str">
        <f aca="false">IF(A60="","",IF(AA60="Y",A60&amp;"_STAAD.std","n/a"))</f>
        <v/>
      </c>
      <c r="AF60" s="10" t="str">
        <f aca="false">IF(A60="","",A60&amp;"_CALC.xlsx")</f>
        <v/>
      </c>
      <c r="AG60" s="10" t="str">
        <f aca="false">IF(A60="","",A60&amp;"_CALC.pdf")</f>
        <v/>
      </c>
      <c r="AH60" s="9"/>
      <c r="AI60" s="9"/>
      <c r="AJ60" s="41"/>
      <c r="AK60" s="41"/>
      <c r="AL60" s="41"/>
      <c r="AM60" s="41"/>
      <c r="AN60" s="41"/>
      <c r="AO60" s="38" t="str">
        <f aca="false">IF(C60="","",IF(LEN(IF(AND(C60&lt;&gt;"High Covered Linkway",F60&lt;SG_Criteria!$B$46),"FAIL: headroom below "&amp;SG_Criteria!$B$46&amp;" m. ","")&amp;IF(AND(C60="High Covered Linkway",F60&lt;SG_Criteria!$B$47),"FAIL: high linkway headroom below "&amp;SG_Criteria!$B$47&amp;" m. ","")&amp;IF(E60&lt;SG_Criteria!$B$48,"FAIL: roof width below "&amp;SG_Criteria!$B$48&amp;" m. ",IF(E60&lt;SG_Criteria!$B$49,"NOTE: not for MRT/LRT or high-traffic routes (min "&amp;SG_Criteria!$B$49&amp;" m). ",""))&amp;IF(AND(P60&lt;&gt;"",P60&lt;SG_Criteria!$B$50),"FAIL: wind speed below "&amp;SG_Criteria!$B$50&amp;" m/s. ","")&amp;IF(AND(Q60&lt;&gt;"",Q60&lt;SG_Criteria!$B$51),"FAIL: roof fixing pull-out below "&amp;SG_Criteria!$B$51&amp;" kN. ","")&amp;IF(AND(R60&lt;&gt;"",IFERROR(VALUE(MID(R60,2,2)),0)&lt;SG_Criteria!$B$52),"FAIL: grade below C"&amp;SG_Criteria!$B$52&amp;". ","")&amp;IF(D60="Non-standard (project design)","NOTE: not an SDRE standard, needs LTA acceptance. ",""))=0,"OK",IF(AND(C60&lt;&gt;"High Covered Linkway",F60&lt;SG_Criteria!$B$46),"FAIL: headroom below "&amp;SG_Criteria!$B$46&amp;" m. ","")&amp;IF(AND(C60="High Covered Linkway",F60&lt;SG_Criteria!$B$47),"FAIL: high linkway headroom below "&amp;SG_Criteria!$B$47&amp;" m. ","")&amp;IF(E60&lt;SG_Criteria!$B$48,"FAIL: roof width below "&amp;SG_Criteria!$B$48&amp;" m. ",IF(E60&lt;SG_Criteria!$B$49,"NOTE: not for MRT/LRT or high-traffic routes (min "&amp;SG_Criteria!$B$49&amp;" m). ",""))&amp;IF(AND(P60&lt;&gt;"",P60&lt;SG_Criteria!$B$50),"FAIL: wind speed below "&amp;SG_Criteria!$B$50&amp;" m/s. ","")&amp;IF(AND(Q60&lt;&gt;"",Q60&lt;SG_Criteria!$B$51),"FAIL: roof fixing pull-out below "&amp;SG_Criteria!$B$51&amp;" kN. ","")&amp;IF(AND(R60&lt;&gt;"",IFERROR(VALUE(MID(R60,2,2)),0)&lt;SG_Criteria!$B$52),"FAIL: grade below C"&amp;SG_Criteria!$B$52&amp;". ","")&amp;IF(D60="Non-standard (project design)","NOTE: not an SDRE standard, needs LTA acceptance. ","")))</f>
        <v/>
      </c>
      <c r="AP60" s="9"/>
      <c r="AQ60" s="9"/>
      <c r="AR60" s="9"/>
      <c r="AS60" s="9"/>
      <c r="AT60" s="9"/>
      <c r="AU60" s="31"/>
      <c r="AV60" s="10" t="str">
        <f aca="false">IF(C60="","",IF(AND(X60="Approved",ISERROR(SEARCH("FAIL",AO60))),"Y","N"))</f>
        <v/>
      </c>
      <c r="AW60" s="10" t="str">
        <f aca="false">IF(C60="","",C60&amp;"|"&amp;E60&amp;"|"&amp;F60&amp;"|"&amp;AV60)</f>
        <v/>
      </c>
    </row>
    <row r="61" customFormat="false" ht="15" hidden="false" customHeight="false" outlineLevel="0" collapsed="false">
      <c r="A61" s="10" t="str">
        <f aca="false">IF(C61="","","LKW-"&amp;IFERROR(VLOOKUP(C61,Lists!$AQ$4:$AR$17,2,0),"??")&amp;"-W"&amp;TEXT(E61*1000,"0000")&amp;"-H"&amp;TEXT(F61*1000,"0000")&amp;"-B"&amp;TEXT(G61*1000,"0000")&amp;"-"&amp;W61)</f>
        <v/>
      </c>
      <c r="B61" s="10" t="str">
        <f aca="false">IF(C61="","",C61&amp;", "&amp;E61&amp;" m wide, "&amp;F61&amp;" m headroom, "&amp;G61&amp;" m bays, "&amp;H61&amp;" ("&amp;D61&amp;")")</f>
        <v/>
      </c>
      <c r="C61" s="9"/>
      <c r="D61" s="9"/>
      <c r="E61" s="43"/>
      <c r="F61" s="43"/>
      <c r="G61" s="43"/>
      <c r="H61" s="9"/>
      <c r="I61" s="9"/>
      <c r="J61" s="9"/>
      <c r="K61" s="9"/>
      <c r="L61" s="9"/>
      <c r="M61" s="9"/>
      <c r="N61" s="9"/>
      <c r="O61" s="9"/>
      <c r="P61" s="40"/>
      <c r="Q61" s="43"/>
      <c r="R61" s="9"/>
      <c r="S61" s="9"/>
      <c r="T61" s="9"/>
      <c r="U61" s="43"/>
      <c r="V61" s="9"/>
      <c r="W61" s="9"/>
      <c r="X61" s="9"/>
      <c r="Y61" s="9"/>
      <c r="Z61" s="9"/>
      <c r="AA61" s="9"/>
      <c r="AB61" s="10" t="str">
        <f aca="false">IF(A61="","",SG_Criteria!$B$6&amp;SG_Criteria!$B$12&amp;"\"&amp;A61&amp;"\")</f>
        <v/>
      </c>
      <c r="AC61" s="10" t="str">
        <f aca="false">IF(A61="","",A61&amp;"_CAD.dwg")</f>
        <v/>
      </c>
      <c r="AD61" s="10" t="str">
        <f aca="false">IF(A61="","",A61&amp;"_DWG.pdf")</f>
        <v/>
      </c>
      <c r="AE61" s="10" t="str">
        <f aca="false">IF(A61="","",IF(AA61="Y",A61&amp;"_STAAD.std","n/a"))</f>
        <v/>
      </c>
      <c r="AF61" s="10" t="str">
        <f aca="false">IF(A61="","",A61&amp;"_CALC.xlsx")</f>
        <v/>
      </c>
      <c r="AG61" s="10" t="str">
        <f aca="false">IF(A61="","",A61&amp;"_CALC.pdf")</f>
        <v/>
      </c>
      <c r="AH61" s="9"/>
      <c r="AI61" s="9"/>
      <c r="AJ61" s="41"/>
      <c r="AK61" s="41"/>
      <c r="AL61" s="41"/>
      <c r="AM61" s="41"/>
      <c r="AN61" s="41"/>
      <c r="AO61" s="38" t="str">
        <f aca="false">IF(C61="","",IF(LEN(IF(AND(C61&lt;&gt;"High Covered Linkway",F61&lt;SG_Criteria!$B$46),"FAIL: headroom below "&amp;SG_Criteria!$B$46&amp;" m. ","")&amp;IF(AND(C61="High Covered Linkway",F61&lt;SG_Criteria!$B$47),"FAIL: high linkway headroom below "&amp;SG_Criteria!$B$47&amp;" m. ","")&amp;IF(E61&lt;SG_Criteria!$B$48,"FAIL: roof width below "&amp;SG_Criteria!$B$48&amp;" m. ",IF(E61&lt;SG_Criteria!$B$49,"NOTE: not for MRT/LRT or high-traffic routes (min "&amp;SG_Criteria!$B$49&amp;" m). ",""))&amp;IF(AND(P61&lt;&gt;"",P61&lt;SG_Criteria!$B$50),"FAIL: wind speed below "&amp;SG_Criteria!$B$50&amp;" m/s. ","")&amp;IF(AND(Q61&lt;&gt;"",Q61&lt;SG_Criteria!$B$51),"FAIL: roof fixing pull-out below "&amp;SG_Criteria!$B$51&amp;" kN. ","")&amp;IF(AND(R61&lt;&gt;"",IFERROR(VALUE(MID(R61,2,2)),0)&lt;SG_Criteria!$B$52),"FAIL: grade below C"&amp;SG_Criteria!$B$52&amp;". ","")&amp;IF(D61="Non-standard (project design)","NOTE: not an SDRE standard, needs LTA acceptance. ",""))=0,"OK",IF(AND(C61&lt;&gt;"High Covered Linkway",F61&lt;SG_Criteria!$B$46),"FAIL: headroom below "&amp;SG_Criteria!$B$46&amp;" m. ","")&amp;IF(AND(C61="High Covered Linkway",F61&lt;SG_Criteria!$B$47),"FAIL: high linkway headroom below "&amp;SG_Criteria!$B$47&amp;" m. ","")&amp;IF(E61&lt;SG_Criteria!$B$48,"FAIL: roof width below "&amp;SG_Criteria!$B$48&amp;" m. ",IF(E61&lt;SG_Criteria!$B$49,"NOTE: not for MRT/LRT or high-traffic routes (min "&amp;SG_Criteria!$B$49&amp;" m). ",""))&amp;IF(AND(P61&lt;&gt;"",P61&lt;SG_Criteria!$B$50),"FAIL: wind speed below "&amp;SG_Criteria!$B$50&amp;" m/s. ","")&amp;IF(AND(Q61&lt;&gt;"",Q61&lt;SG_Criteria!$B$51),"FAIL: roof fixing pull-out below "&amp;SG_Criteria!$B$51&amp;" kN. ","")&amp;IF(AND(R61&lt;&gt;"",IFERROR(VALUE(MID(R61,2,2)),0)&lt;SG_Criteria!$B$52),"FAIL: grade below C"&amp;SG_Criteria!$B$52&amp;". ","")&amp;IF(D61="Non-standard (project design)","NOTE: not an SDRE standard, needs LTA acceptance. ","")))</f>
        <v/>
      </c>
      <c r="AP61" s="9"/>
      <c r="AQ61" s="9"/>
      <c r="AR61" s="9"/>
      <c r="AS61" s="9"/>
      <c r="AT61" s="9"/>
      <c r="AU61" s="31"/>
      <c r="AV61" s="10" t="str">
        <f aca="false">IF(C61="","",IF(AND(X61="Approved",ISERROR(SEARCH("FAIL",AO61))),"Y","N"))</f>
        <v/>
      </c>
      <c r="AW61" s="10" t="str">
        <f aca="false">IF(C61="","",C61&amp;"|"&amp;E61&amp;"|"&amp;F61&amp;"|"&amp;AV61)</f>
        <v/>
      </c>
    </row>
    <row r="62" customFormat="false" ht="15" hidden="false" customHeight="false" outlineLevel="0" collapsed="false">
      <c r="A62" s="10" t="str">
        <f aca="false">IF(C62="","","LKW-"&amp;IFERROR(VLOOKUP(C62,Lists!$AQ$4:$AR$17,2,0),"??")&amp;"-W"&amp;TEXT(E62*1000,"0000")&amp;"-H"&amp;TEXT(F62*1000,"0000")&amp;"-B"&amp;TEXT(G62*1000,"0000")&amp;"-"&amp;W62)</f>
        <v/>
      </c>
      <c r="B62" s="10" t="str">
        <f aca="false">IF(C62="","",C62&amp;", "&amp;E62&amp;" m wide, "&amp;F62&amp;" m headroom, "&amp;G62&amp;" m bays, "&amp;H62&amp;" ("&amp;D62&amp;")")</f>
        <v/>
      </c>
      <c r="C62" s="9"/>
      <c r="D62" s="9"/>
      <c r="E62" s="43"/>
      <c r="F62" s="43"/>
      <c r="G62" s="43"/>
      <c r="H62" s="9"/>
      <c r="I62" s="9"/>
      <c r="J62" s="9"/>
      <c r="K62" s="9"/>
      <c r="L62" s="9"/>
      <c r="M62" s="9"/>
      <c r="N62" s="9"/>
      <c r="O62" s="9"/>
      <c r="P62" s="40"/>
      <c r="Q62" s="43"/>
      <c r="R62" s="9"/>
      <c r="S62" s="9"/>
      <c r="T62" s="9"/>
      <c r="U62" s="43"/>
      <c r="V62" s="9"/>
      <c r="W62" s="9"/>
      <c r="X62" s="9"/>
      <c r="Y62" s="9"/>
      <c r="Z62" s="9"/>
      <c r="AA62" s="9"/>
      <c r="AB62" s="10" t="str">
        <f aca="false">IF(A62="","",SG_Criteria!$B$6&amp;SG_Criteria!$B$12&amp;"\"&amp;A62&amp;"\")</f>
        <v/>
      </c>
      <c r="AC62" s="10" t="str">
        <f aca="false">IF(A62="","",A62&amp;"_CAD.dwg")</f>
        <v/>
      </c>
      <c r="AD62" s="10" t="str">
        <f aca="false">IF(A62="","",A62&amp;"_DWG.pdf")</f>
        <v/>
      </c>
      <c r="AE62" s="10" t="str">
        <f aca="false">IF(A62="","",IF(AA62="Y",A62&amp;"_STAAD.std","n/a"))</f>
        <v/>
      </c>
      <c r="AF62" s="10" t="str">
        <f aca="false">IF(A62="","",A62&amp;"_CALC.xlsx")</f>
        <v/>
      </c>
      <c r="AG62" s="10" t="str">
        <f aca="false">IF(A62="","",A62&amp;"_CALC.pdf")</f>
        <v/>
      </c>
      <c r="AH62" s="9"/>
      <c r="AI62" s="9"/>
      <c r="AJ62" s="41"/>
      <c r="AK62" s="41"/>
      <c r="AL62" s="41"/>
      <c r="AM62" s="41"/>
      <c r="AN62" s="41"/>
      <c r="AO62" s="38" t="str">
        <f aca="false">IF(C62="","",IF(LEN(IF(AND(C62&lt;&gt;"High Covered Linkway",F62&lt;SG_Criteria!$B$46),"FAIL: headroom below "&amp;SG_Criteria!$B$46&amp;" m. ","")&amp;IF(AND(C62="High Covered Linkway",F62&lt;SG_Criteria!$B$47),"FAIL: high linkway headroom below "&amp;SG_Criteria!$B$47&amp;" m. ","")&amp;IF(E62&lt;SG_Criteria!$B$48,"FAIL: roof width below "&amp;SG_Criteria!$B$48&amp;" m. ",IF(E62&lt;SG_Criteria!$B$49,"NOTE: not for MRT/LRT or high-traffic routes (min "&amp;SG_Criteria!$B$49&amp;" m). ",""))&amp;IF(AND(P62&lt;&gt;"",P62&lt;SG_Criteria!$B$50),"FAIL: wind speed below "&amp;SG_Criteria!$B$50&amp;" m/s. ","")&amp;IF(AND(Q62&lt;&gt;"",Q62&lt;SG_Criteria!$B$51),"FAIL: roof fixing pull-out below "&amp;SG_Criteria!$B$51&amp;" kN. ","")&amp;IF(AND(R62&lt;&gt;"",IFERROR(VALUE(MID(R62,2,2)),0)&lt;SG_Criteria!$B$52),"FAIL: grade below C"&amp;SG_Criteria!$B$52&amp;". ","")&amp;IF(D62="Non-standard (project design)","NOTE: not an SDRE standard, needs LTA acceptance. ",""))=0,"OK",IF(AND(C62&lt;&gt;"High Covered Linkway",F62&lt;SG_Criteria!$B$46),"FAIL: headroom below "&amp;SG_Criteria!$B$46&amp;" m. ","")&amp;IF(AND(C62="High Covered Linkway",F62&lt;SG_Criteria!$B$47),"FAIL: high linkway headroom below "&amp;SG_Criteria!$B$47&amp;" m. ","")&amp;IF(E62&lt;SG_Criteria!$B$48,"FAIL: roof width below "&amp;SG_Criteria!$B$48&amp;" m. ",IF(E62&lt;SG_Criteria!$B$49,"NOTE: not for MRT/LRT or high-traffic routes (min "&amp;SG_Criteria!$B$49&amp;" m). ",""))&amp;IF(AND(P62&lt;&gt;"",P62&lt;SG_Criteria!$B$50),"FAIL: wind speed below "&amp;SG_Criteria!$B$50&amp;" m/s. ","")&amp;IF(AND(Q62&lt;&gt;"",Q62&lt;SG_Criteria!$B$51),"FAIL: roof fixing pull-out below "&amp;SG_Criteria!$B$51&amp;" kN. ","")&amp;IF(AND(R62&lt;&gt;"",IFERROR(VALUE(MID(R62,2,2)),0)&lt;SG_Criteria!$B$52),"FAIL: grade below C"&amp;SG_Criteria!$B$52&amp;". ","")&amp;IF(D62="Non-standard (project design)","NOTE: not an SDRE standard, needs LTA acceptance. ","")))</f>
        <v/>
      </c>
      <c r="AP62" s="9"/>
      <c r="AQ62" s="9"/>
      <c r="AR62" s="9"/>
      <c r="AS62" s="9"/>
      <c r="AT62" s="9"/>
      <c r="AU62" s="31"/>
      <c r="AV62" s="10" t="str">
        <f aca="false">IF(C62="","",IF(AND(X62="Approved",ISERROR(SEARCH("FAIL",AO62))),"Y","N"))</f>
        <v/>
      </c>
      <c r="AW62" s="10" t="str">
        <f aca="false">IF(C62="","",C62&amp;"|"&amp;E62&amp;"|"&amp;F62&amp;"|"&amp;AV62)</f>
        <v/>
      </c>
    </row>
    <row r="63" customFormat="false" ht="15" hidden="false" customHeight="false" outlineLevel="0" collapsed="false">
      <c r="A63" s="10" t="str">
        <f aca="false">IF(C63="","","LKW-"&amp;IFERROR(VLOOKUP(C63,Lists!$AQ$4:$AR$17,2,0),"??")&amp;"-W"&amp;TEXT(E63*1000,"0000")&amp;"-H"&amp;TEXT(F63*1000,"0000")&amp;"-B"&amp;TEXT(G63*1000,"0000")&amp;"-"&amp;W63)</f>
        <v/>
      </c>
      <c r="B63" s="10" t="str">
        <f aca="false">IF(C63="","",C63&amp;", "&amp;E63&amp;" m wide, "&amp;F63&amp;" m headroom, "&amp;G63&amp;" m bays, "&amp;H63&amp;" ("&amp;D63&amp;")")</f>
        <v/>
      </c>
      <c r="C63" s="9"/>
      <c r="D63" s="9"/>
      <c r="E63" s="43"/>
      <c r="F63" s="43"/>
      <c r="G63" s="43"/>
      <c r="H63" s="9"/>
      <c r="I63" s="9"/>
      <c r="J63" s="9"/>
      <c r="K63" s="9"/>
      <c r="L63" s="9"/>
      <c r="M63" s="9"/>
      <c r="N63" s="9"/>
      <c r="O63" s="9"/>
      <c r="P63" s="40"/>
      <c r="Q63" s="43"/>
      <c r="R63" s="9"/>
      <c r="S63" s="9"/>
      <c r="T63" s="9"/>
      <c r="U63" s="43"/>
      <c r="V63" s="9"/>
      <c r="W63" s="9"/>
      <c r="X63" s="9"/>
      <c r="Y63" s="9"/>
      <c r="Z63" s="9"/>
      <c r="AA63" s="9"/>
      <c r="AB63" s="10" t="str">
        <f aca="false">IF(A63="","",SG_Criteria!$B$6&amp;SG_Criteria!$B$12&amp;"\"&amp;A63&amp;"\")</f>
        <v/>
      </c>
      <c r="AC63" s="10" t="str">
        <f aca="false">IF(A63="","",A63&amp;"_CAD.dwg")</f>
        <v/>
      </c>
      <c r="AD63" s="10" t="str">
        <f aca="false">IF(A63="","",A63&amp;"_DWG.pdf")</f>
        <v/>
      </c>
      <c r="AE63" s="10" t="str">
        <f aca="false">IF(A63="","",IF(AA63="Y",A63&amp;"_STAAD.std","n/a"))</f>
        <v/>
      </c>
      <c r="AF63" s="10" t="str">
        <f aca="false">IF(A63="","",A63&amp;"_CALC.xlsx")</f>
        <v/>
      </c>
      <c r="AG63" s="10" t="str">
        <f aca="false">IF(A63="","",A63&amp;"_CALC.pdf")</f>
        <v/>
      </c>
      <c r="AH63" s="9"/>
      <c r="AI63" s="9"/>
      <c r="AJ63" s="41"/>
      <c r="AK63" s="41"/>
      <c r="AL63" s="41"/>
      <c r="AM63" s="41"/>
      <c r="AN63" s="41"/>
      <c r="AO63" s="38" t="str">
        <f aca="false">IF(C63="","",IF(LEN(IF(AND(C63&lt;&gt;"High Covered Linkway",F63&lt;SG_Criteria!$B$46),"FAIL: headroom below "&amp;SG_Criteria!$B$46&amp;" m. ","")&amp;IF(AND(C63="High Covered Linkway",F63&lt;SG_Criteria!$B$47),"FAIL: high linkway headroom below "&amp;SG_Criteria!$B$47&amp;" m. ","")&amp;IF(E63&lt;SG_Criteria!$B$48,"FAIL: roof width below "&amp;SG_Criteria!$B$48&amp;" m. ",IF(E63&lt;SG_Criteria!$B$49,"NOTE: not for MRT/LRT or high-traffic routes (min "&amp;SG_Criteria!$B$49&amp;" m). ",""))&amp;IF(AND(P63&lt;&gt;"",P63&lt;SG_Criteria!$B$50),"FAIL: wind speed below "&amp;SG_Criteria!$B$50&amp;" m/s. ","")&amp;IF(AND(Q63&lt;&gt;"",Q63&lt;SG_Criteria!$B$51),"FAIL: roof fixing pull-out below "&amp;SG_Criteria!$B$51&amp;" kN. ","")&amp;IF(AND(R63&lt;&gt;"",IFERROR(VALUE(MID(R63,2,2)),0)&lt;SG_Criteria!$B$52),"FAIL: grade below C"&amp;SG_Criteria!$B$52&amp;". ","")&amp;IF(D63="Non-standard (project design)","NOTE: not an SDRE standard, needs LTA acceptance. ",""))=0,"OK",IF(AND(C63&lt;&gt;"High Covered Linkway",F63&lt;SG_Criteria!$B$46),"FAIL: headroom below "&amp;SG_Criteria!$B$46&amp;" m. ","")&amp;IF(AND(C63="High Covered Linkway",F63&lt;SG_Criteria!$B$47),"FAIL: high linkway headroom below "&amp;SG_Criteria!$B$47&amp;" m. ","")&amp;IF(E63&lt;SG_Criteria!$B$48,"FAIL: roof width below "&amp;SG_Criteria!$B$48&amp;" m. ",IF(E63&lt;SG_Criteria!$B$49,"NOTE: not for MRT/LRT or high-traffic routes (min "&amp;SG_Criteria!$B$49&amp;" m). ",""))&amp;IF(AND(P63&lt;&gt;"",P63&lt;SG_Criteria!$B$50),"FAIL: wind speed below "&amp;SG_Criteria!$B$50&amp;" m/s. ","")&amp;IF(AND(Q63&lt;&gt;"",Q63&lt;SG_Criteria!$B$51),"FAIL: roof fixing pull-out below "&amp;SG_Criteria!$B$51&amp;" kN. ","")&amp;IF(AND(R63&lt;&gt;"",IFERROR(VALUE(MID(R63,2,2)),0)&lt;SG_Criteria!$B$52),"FAIL: grade below C"&amp;SG_Criteria!$B$52&amp;". ","")&amp;IF(D63="Non-standard (project design)","NOTE: not an SDRE standard, needs LTA acceptance. ","")))</f>
        <v/>
      </c>
      <c r="AP63" s="9"/>
      <c r="AQ63" s="9"/>
      <c r="AR63" s="9"/>
      <c r="AS63" s="9"/>
      <c r="AT63" s="9"/>
      <c r="AU63" s="31"/>
      <c r="AV63" s="10" t="str">
        <f aca="false">IF(C63="","",IF(AND(X63="Approved",ISERROR(SEARCH("FAIL",AO63))),"Y","N"))</f>
        <v/>
      </c>
      <c r="AW63" s="10" t="str">
        <f aca="false">IF(C63="","",C63&amp;"|"&amp;E63&amp;"|"&amp;F63&amp;"|"&amp;AV63)</f>
        <v/>
      </c>
    </row>
    <row r="64" customFormat="false" ht="15" hidden="false" customHeight="false" outlineLevel="0" collapsed="false">
      <c r="A64" s="10" t="str">
        <f aca="false">IF(C64="","","LKW-"&amp;IFERROR(VLOOKUP(C64,Lists!$AQ$4:$AR$17,2,0),"??")&amp;"-W"&amp;TEXT(E64*1000,"0000")&amp;"-H"&amp;TEXT(F64*1000,"0000")&amp;"-B"&amp;TEXT(G64*1000,"0000")&amp;"-"&amp;W64)</f>
        <v/>
      </c>
      <c r="B64" s="10" t="str">
        <f aca="false">IF(C64="","",C64&amp;", "&amp;E64&amp;" m wide, "&amp;F64&amp;" m headroom, "&amp;G64&amp;" m bays, "&amp;H64&amp;" ("&amp;D64&amp;")")</f>
        <v/>
      </c>
      <c r="C64" s="9"/>
      <c r="D64" s="9"/>
      <c r="E64" s="43"/>
      <c r="F64" s="43"/>
      <c r="G64" s="43"/>
      <c r="H64" s="9"/>
      <c r="I64" s="9"/>
      <c r="J64" s="9"/>
      <c r="K64" s="9"/>
      <c r="L64" s="9"/>
      <c r="M64" s="9"/>
      <c r="N64" s="9"/>
      <c r="O64" s="9"/>
      <c r="P64" s="40"/>
      <c r="Q64" s="43"/>
      <c r="R64" s="9"/>
      <c r="S64" s="9"/>
      <c r="T64" s="9"/>
      <c r="U64" s="43"/>
      <c r="V64" s="9"/>
      <c r="W64" s="9"/>
      <c r="X64" s="9"/>
      <c r="Y64" s="9"/>
      <c r="Z64" s="9"/>
      <c r="AA64" s="9"/>
      <c r="AB64" s="10" t="str">
        <f aca="false">IF(A64="","",SG_Criteria!$B$6&amp;SG_Criteria!$B$12&amp;"\"&amp;A64&amp;"\")</f>
        <v/>
      </c>
      <c r="AC64" s="10" t="str">
        <f aca="false">IF(A64="","",A64&amp;"_CAD.dwg")</f>
        <v/>
      </c>
      <c r="AD64" s="10" t="str">
        <f aca="false">IF(A64="","",A64&amp;"_DWG.pdf")</f>
        <v/>
      </c>
      <c r="AE64" s="10" t="str">
        <f aca="false">IF(A64="","",IF(AA64="Y",A64&amp;"_STAAD.std","n/a"))</f>
        <v/>
      </c>
      <c r="AF64" s="10" t="str">
        <f aca="false">IF(A64="","",A64&amp;"_CALC.xlsx")</f>
        <v/>
      </c>
      <c r="AG64" s="10" t="str">
        <f aca="false">IF(A64="","",A64&amp;"_CALC.pdf")</f>
        <v/>
      </c>
      <c r="AH64" s="9"/>
      <c r="AI64" s="9"/>
      <c r="AJ64" s="41"/>
      <c r="AK64" s="41"/>
      <c r="AL64" s="41"/>
      <c r="AM64" s="41"/>
      <c r="AN64" s="41"/>
      <c r="AO64" s="38" t="str">
        <f aca="false">IF(C64="","",IF(LEN(IF(AND(C64&lt;&gt;"High Covered Linkway",F64&lt;SG_Criteria!$B$46),"FAIL: headroom below "&amp;SG_Criteria!$B$46&amp;" m. ","")&amp;IF(AND(C64="High Covered Linkway",F64&lt;SG_Criteria!$B$47),"FAIL: high linkway headroom below "&amp;SG_Criteria!$B$47&amp;" m. ","")&amp;IF(E64&lt;SG_Criteria!$B$48,"FAIL: roof width below "&amp;SG_Criteria!$B$48&amp;" m. ",IF(E64&lt;SG_Criteria!$B$49,"NOTE: not for MRT/LRT or high-traffic routes (min "&amp;SG_Criteria!$B$49&amp;" m). ",""))&amp;IF(AND(P64&lt;&gt;"",P64&lt;SG_Criteria!$B$50),"FAIL: wind speed below "&amp;SG_Criteria!$B$50&amp;" m/s. ","")&amp;IF(AND(Q64&lt;&gt;"",Q64&lt;SG_Criteria!$B$51),"FAIL: roof fixing pull-out below "&amp;SG_Criteria!$B$51&amp;" kN. ","")&amp;IF(AND(R64&lt;&gt;"",IFERROR(VALUE(MID(R64,2,2)),0)&lt;SG_Criteria!$B$52),"FAIL: grade below C"&amp;SG_Criteria!$B$52&amp;". ","")&amp;IF(D64="Non-standard (project design)","NOTE: not an SDRE standard, needs LTA acceptance. ",""))=0,"OK",IF(AND(C64&lt;&gt;"High Covered Linkway",F64&lt;SG_Criteria!$B$46),"FAIL: headroom below "&amp;SG_Criteria!$B$46&amp;" m. ","")&amp;IF(AND(C64="High Covered Linkway",F64&lt;SG_Criteria!$B$47),"FAIL: high linkway headroom below "&amp;SG_Criteria!$B$47&amp;" m. ","")&amp;IF(E64&lt;SG_Criteria!$B$48,"FAIL: roof width below "&amp;SG_Criteria!$B$48&amp;" m. ",IF(E64&lt;SG_Criteria!$B$49,"NOTE: not for MRT/LRT or high-traffic routes (min "&amp;SG_Criteria!$B$49&amp;" m). ",""))&amp;IF(AND(P64&lt;&gt;"",P64&lt;SG_Criteria!$B$50),"FAIL: wind speed below "&amp;SG_Criteria!$B$50&amp;" m/s. ","")&amp;IF(AND(Q64&lt;&gt;"",Q64&lt;SG_Criteria!$B$51),"FAIL: roof fixing pull-out below "&amp;SG_Criteria!$B$51&amp;" kN. ","")&amp;IF(AND(R64&lt;&gt;"",IFERROR(VALUE(MID(R64,2,2)),0)&lt;SG_Criteria!$B$52),"FAIL: grade below C"&amp;SG_Criteria!$B$52&amp;". ","")&amp;IF(D64="Non-standard (project design)","NOTE: not an SDRE standard, needs LTA acceptance. ","")))</f>
        <v/>
      </c>
      <c r="AP64" s="9"/>
      <c r="AQ64" s="9"/>
      <c r="AR64" s="9"/>
      <c r="AS64" s="9"/>
      <c r="AT64" s="9"/>
      <c r="AU64" s="31"/>
      <c r="AV64" s="10" t="str">
        <f aca="false">IF(C64="","",IF(AND(X64="Approved",ISERROR(SEARCH("FAIL",AO64))),"Y","N"))</f>
        <v/>
      </c>
      <c r="AW64" s="10" t="str">
        <f aca="false">IF(C64="","",C64&amp;"|"&amp;E64&amp;"|"&amp;F64&amp;"|"&amp;AV64)</f>
        <v/>
      </c>
    </row>
    <row r="65" customFormat="false" ht="15" hidden="false" customHeight="false" outlineLevel="0" collapsed="false">
      <c r="A65" s="10" t="str">
        <f aca="false">IF(C65="","","LKW-"&amp;IFERROR(VLOOKUP(C65,Lists!$AQ$4:$AR$17,2,0),"??")&amp;"-W"&amp;TEXT(E65*1000,"0000")&amp;"-H"&amp;TEXT(F65*1000,"0000")&amp;"-B"&amp;TEXT(G65*1000,"0000")&amp;"-"&amp;W65)</f>
        <v/>
      </c>
      <c r="B65" s="10" t="str">
        <f aca="false">IF(C65="","",C65&amp;", "&amp;E65&amp;" m wide, "&amp;F65&amp;" m headroom, "&amp;G65&amp;" m bays, "&amp;H65&amp;" ("&amp;D65&amp;")")</f>
        <v/>
      </c>
      <c r="C65" s="9"/>
      <c r="D65" s="9"/>
      <c r="E65" s="43"/>
      <c r="F65" s="43"/>
      <c r="G65" s="43"/>
      <c r="H65" s="9"/>
      <c r="I65" s="9"/>
      <c r="J65" s="9"/>
      <c r="K65" s="9"/>
      <c r="L65" s="9"/>
      <c r="M65" s="9"/>
      <c r="N65" s="9"/>
      <c r="O65" s="9"/>
      <c r="P65" s="40"/>
      <c r="Q65" s="43"/>
      <c r="R65" s="9"/>
      <c r="S65" s="9"/>
      <c r="T65" s="9"/>
      <c r="U65" s="43"/>
      <c r="V65" s="9"/>
      <c r="W65" s="9"/>
      <c r="X65" s="9"/>
      <c r="Y65" s="9"/>
      <c r="Z65" s="9"/>
      <c r="AA65" s="9"/>
      <c r="AB65" s="10" t="str">
        <f aca="false">IF(A65="","",SG_Criteria!$B$6&amp;SG_Criteria!$B$12&amp;"\"&amp;A65&amp;"\")</f>
        <v/>
      </c>
      <c r="AC65" s="10" t="str">
        <f aca="false">IF(A65="","",A65&amp;"_CAD.dwg")</f>
        <v/>
      </c>
      <c r="AD65" s="10" t="str">
        <f aca="false">IF(A65="","",A65&amp;"_DWG.pdf")</f>
        <v/>
      </c>
      <c r="AE65" s="10" t="str">
        <f aca="false">IF(A65="","",IF(AA65="Y",A65&amp;"_STAAD.std","n/a"))</f>
        <v/>
      </c>
      <c r="AF65" s="10" t="str">
        <f aca="false">IF(A65="","",A65&amp;"_CALC.xlsx")</f>
        <v/>
      </c>
      <c r="AG65" s="10" t="str">
        <f aca="false">IF(A65="","",A65&amp;"_CALC.pdf")</f>
        <v/>
      </c>
      <c r="AH65" s="9"/>
      <c r="AI65" s="9"/>
      <c r="AJ65" s="41"/>
      <c r="AK65" s="41"/>
      <c r="AL65" s="41"/>
      <c r="AM65" s="41"/>
      <c r="AN65" s="41"/>
      <c r="AO65" s="38" t="str">
        <f aca="false">IF(C65="","",IF(LEN(IF(AND(C65&lt;&gt;"High Covered Linkway",F65&lt;SG_Criteria!$B$46),"FAIL: headroom below "&amp;SG_Criteria!$B$46&amp;" m. ","")&amp;IF(AND(C65="High Covered Linkway",F65&lt;SG_Criteria!$B$47),"FAIL: high linkway headroom below "&amp;SG_Criteria!$B$47&amp;" m. ","")&amp;IF(E65&lt;SG_Criteria!$B$48,"FAIL: roof width below "&amp;SG_Criteria!$B$48&amp;" m. ",IF(E65&lt;SG_Criteria!$B$49,"NOTE: not for MRT/LRT or high-traffic routes (min "&amp;SG_Criteria!$B$49&amp;" m). ",""))&amp;IF(AND(P65&lt;&gt;"",P65&lt;SG_Criteria!$B$50),"FAIL: wind speed below "&amp;SG_Criteria!$B$50&amp;" m/s. ","")&amp;IF(AND(Q65&lt;&gt;"",Q65&lt;SG_Criteria!$B$51),"FAIL: roof fixing pull-out below "&amp;SG_Criteria!$B$51&amp;" kN. ","")&amp;IF(AND(R65&lt;&gt;"",IFERROR(VALUE(MID(R65,2,2)),0)&lt;SG_Criteria!$B$52),"FAIL: grade below C"&amp;SG_Criteria!$B$52&amp;". ","")&amp;IF(D65="Non-standard (project design)","NOTE: not an SDRE standard, needs LTA acceptance. ",""))=0,"OK",IF(AND(C65&lt;&gt;"High Covered Linkway",F65&lt;SG_Criteria!$B$46),"FAIL: headroom below "&amp;SG_Criteria!$B$46&amp;" m. ","")&amp;IF(AND(C65="High Covered Linkway",F65&lt;SG_Criteria!$B$47),"FAIL: high linkway headroom below "&amp;SG_Criteria!$B$47&amp;" m. ","")&amp;IF(E65&lt;SG_Criteria!$B$48,"FAIL: roof width below "&amp;SG_Criteria!$B$48&amp;" m. ",IF(E65&lt;SG_Criteria!$B$49,"NOTE: not for MRT/LRT or high-traffic routes (min "&amp;SG_Criteria!$B$49&amp;" m). ",""))&amp;IF(AND(P65&lt;&gt;"",P65&lt;SG_Criteria!$B$50),"FAIL: wind speed below "&amp;SG_Criteria!$B$50&amp;" m/s. ","")&amp;IF(AND(Q65&lt;&gt;"",Q65&lt;SG_Criteria!$B$51),"FAIL: roof fixing pull-out below "&amp;SG_Criteria!$B$51&amp;" kN. ","")&amp;IF(AND(R65&lt;&gt;"",IFERROR(VALUE(MID(R65,2,2)),0)&lt;SG_Criteria!$B$52),"FAIL: grade below C"&amp;SG_Criteria!$B$52&amp;". ","")&amp;IF(D65="Non-standard (project design)","NOTE: not an SDRE standard, needs LTA acceptance. ","")))</f>
        <v/>
      </c>
      <c r="AP65" s="9"/>
      <c r="AQ65" s="9"/>
      <c r="AR65" s="9"/>
      <c r="AS65" s="9"/>
      <c r="AT65" s="9"/>
      <c r="AU65" s="31"/>
      <c r="AV65" s="10" t="str">
        <f aca="false">IF(C65="","",IF(AND(X65="Approved",ISERROR(SEARCH("FAIL",AO65))),"Y","N"))</f>
        <v/>
      </c>
      <c r="AW65" s="10" t="str">
        <f aca="false">IF(C65="","",C65&amp;"|"&amp;E65&amp;"|"&amp;F65&amp;"|"&amp;AV65)</f>
        <v/>
      </c>
    </row>
    <row r="66" customFormat="false" ht="15" hidden="false" customHeight="false" outlineLevel="0" collapsed="false">
      <c r="A66" s="10" t="str">
        <f aca="false">IF(C66="","","LKW-"&amp;IFERROR(VLOOKUP(C66,Lists!$AQ$4:$AR$17,2,0),"??")&amp;"-W"&amp;TEXT(E66*1000,"0000")&amp;"-H"&amp;TEXT(F66*1000,"0000")&amp;"-B"&amp;TEXT(G66*1000,"0000")&amp;"-"&amp;W66)</f>
        <v/>
      </c>
      <c r="B66" s="10" t="str">
        <f aca="false">IF(C66="","",C66&amp;", "&amp;E66&amp;" m wide, "&amp;F66&amp;" m headroom, "&amp;G66&amp;" m bays, "&amp;H66&amp;" ("&amp;D66&amp;")")</f>
        <v/>
      </c>
      <c r="C66" s="9"/>
      <c r="D66" s="9"/>
      <c r="E66" s="43"/>
      <c r="F66" s="43"/>
      <c r="G66" s="43"/>
      <c r="H66" s="9"/>
      <c r="I66" s="9"/>
      <c r="J66" s="9"/>
      <c r="K66" s="9"/>
      <c r="L66" s="9"/>
      <c r="M66" s="9"/>
      <c r="N66" s="9"/>
      <c r="O66" s="9"/>
      <c r="P66" s="40"/>
      <c r="Q66" s="43"/>
      <c r="R66" s="9"/>
      <c r="S66" s="9"/>
      <c r="T66" s="9"/>
      <c r="U66" s="43"/>
      <c r="V66" s="9"/>
      <c r="W66" s="9"/>
      <c r="X66" s="9"/>
      <c r="Y66" s="9"/>
      <c r="Z66" s="9"/>
      <c r="AA66" s="9"/>
      <c r="AB66" s="10" t="str">
        <f aca="false">IF(A66="","",SG_Criteria!$B$6&amp;SG_Criteria!$B$12&amp;"\"&amp;A66&amp;"\")</f>
        <v/>
      </c>
      <c r="AC66" s="10" t="str">
        <f aca="false">IF(A66="","",A66&amp;"_CAD.dwg")</f>
        <v/>
      </c>
      <c r="AD66" s="10" t="str">
        <f aca="false">IF(A66="","",A66&amp;"_DWG.pdf")</f>
        <v/>
      </c>
      <c r="AE66" s="10" t="str">
        <f aca="false">IF(A66="","",IF(AA66="Y",A66&amp;"_STAAD.std","n/a"))</f>
        <v/>
      </c>
      <c r="AF66" s="10" t="str">
        <f aca="false">IF(A66="","",A66&amp;"_CALC.xlsx")</f>
        <v/>
      </c>
      <c r="AG66" s="10" t="str">
        <f aca="false">IF(A66="","",A66&amp;"_CALC.pdf")</f>
        <v/>
      </c>
      <c r="AH66" s="9"/>
      <c r="AI66" s="9"/>
      <c r="AJ66" s="41"/>
      <c r="AK66" s="41"/>
      <c r="AL66" s="41"/>
      <c r="AM66" s="41"/>
      <c r="AN66" s="41"/>
      <c r="AO66" s="38" t="str">
        <f aca="false">IF(C66="","",IF(LEN(IF(AND(C66&lt;&gt;"High Covered Linkway",F66&lt;SG_Criteria!$B$46),"FAIL: headroom below "&amp;SG_Criteria!$B$46&amp;" m. ","")&amp;IF(AND(C66="High Covered Linkway",F66&lt;SG_Criteria!$B$47),"FAIL: high linkway headroom below "&amp;SG_Criteria!$B$47&amp;" m. ","")&amp;IF(E66&lt;SG_Criteria!$B$48,"FAIL: roof width below "&amp;SG_Criteria!$B$48&amp;" m. ",IF(E66&lt;SG_Criteria!$B$49,"NOTE: not for MRT/LRT or high-traffic routes (min "&amp;SG_Criteria!$B$49&amp;" m). ",""))&amp;IF(AND(P66&lt;&gt;"",P66&lt;SG_Criteria!$B$50),"FAIL: wind speed below "&amp;SG_Criteria!$B$50&amp;" m/s. ","")&amp;IF(AND(Q66&lt;&gt;"",Q66&lt;SG_Criteria!$B$51),"FAIL: roof fixing pull-out below "&amp;SG_Criteria!$B$51&amp;" kN. ","")&amp;IF(AND(R66&lt;&gt;"",IFERROR(VALUE(MID(R66,2,2)),0)&lt;SG_Criteria!$B$52),"FAIL: grade below C"&amp;SG_Criteria!$B$52&amp;". ","")&amp;IF(D66="Non-standard (project design)","NOTE: not an SDRE standard, needs LTA acceptance. ",""))=0,"OK",IF(AND(C66&lt;&gt;"High Covered Linkway",F66&lt;SG_Criteria!$B$46),"FAIL: headroom below "&amp;SG_Criteria!$B$46&amp;" m. ","")&amp;IF(AND(C66="High Covered Linkway",F66&lt;SG_Criteria!$B$47),"FAIL: high linkway headroom below "&amp;SG_Criteria!$B$47&amp;" m. ","")&amp;IF(E66&lt;SG_Criteria!$B$48,"FAIL: roof width below "&amp;SG_Criteria!$B$48&amp;" m. ",IF(E66&lt;SG_Criteria!$B$49,"NOTE: not for MRT/LRT or high-traffic routes (min "&amp;SG_Criteria!$B$49&amp;" m). ",""))&amp;IF(AND(P66&lt;&gt;"",P66&lt;SG_Criteria!$B$50),"FAIL: wind speed below "&amp;SG_Criteria!$B$50&amp;" m/s. ","")&amp;IF(AND(Q66&lt;&gt;"",Q66&lt;SG_Criteria!$B$51),"FAIL: roof fixing pull-out below "&amp;SG_Criteria!$B$51&amp;" kN. ","")&amp;IF(AND(R66&lt;&gt;"",IFERROR(VALUE(MID(R66,2,2)),0)&lt;SG_Criteria!$B$52),"FAIL: grade below C"&amp;SG_Criteria!$B$52&amp;". ","")&amp;IF(D66="Non-standard (project design)","NOTE: not an SDRE standard, needs LTA acceptance. ","")))</f>
        <v/>
      </c>
      <c r="AP66" s="9"/>
      <c r="AQ66" s="9"/>
      <c r="AR66" s="9"/>
      <c r="AS66" s="9"/>
      <c r="AT66" s="9"/>
      <c r="AU66" s="31"/>
      <c r="AV66" s="10" t="str">
        <f aca="false">IF(C66="","",IF(AND(X66="Approved",ISERROR(SEARCH("FAIL",AO66))),"Y","N"))</f>
        <v/>
      </c>
      <c r="AW66" s="10" t="str">
        <f aca="false">IF(C66="","",C66&amp;"|"&amp;E66&amp;"|"&amp;F66&amp;"|"&amp;AV66)</f>
        <v/>
      </c>
    </row>
    <row r="67" customFormat="false" ht="15" hidden="false" customHeight="false" outlineLevel="0" collapsed="false">
      <c r="A67" s="10" t="str">
        <f aca="false">IF(C67="","","LKW-"&amp;IFERROR(VLOOKUP(C67,Lists!$AQ$4:$AR$17,2,0),"??")&amp;"-W"&amp;TEXT(E67*1000,"0000")&amp;"-H"&amp;TEXT(F67*1000,"0000")&amp;"-B"&amp;TEXT(G67*1000,"0000")&amp;"-"&amp;W67)</f>
        <v/>
      </c>
      <c r="B67" s="10" t="str">
        <f aca="false">IF(C67="","",C67&amp;", "&amp;E67&amp;" m wide, "&amp;F67&amp;" m headroom, "&amp;G67&amp;" m bays, "&amp;H67&amp;" ("&amp;D67&amp;")")</f>
        <v/>
      </c>
      <c r="C67" s="9"/>
      <c r="D67" s="9"/>
      <c r="E67" s="43"/>
      <c r="F67" s="43"/>
      <c r="G67" s="43"/>
      <c r="H67" s="9"/>
      <c r="I67" s="9"/>
      <c r="J67" s="9"/>
      <c r="K67" s="9"/>
      <c r="L67" s="9"/>
      <c r="M67" s="9"/>
      <c r="N67" s="9"/>
      <c r="O67" s="9"/>
      <c r="P67" s="40"/>
      <c r="Q67" s="43"/>
      <c r="R67" s="9"/>
      <c r="S67" s="9"/>
      <c r="T67" s="9"/>
      <c r="U67" s="43"/>
      <c r="V67" s="9"/>
      <c r="W67" s="9"/>
      <c r="X67" s="9"/>
      <c r="Y67" s="9"/>
      <c r="Z67" s="9"/>
      <c r="AA67" s="9"/>
      <c r="AB67" s="10" t="str">
        <f aca="false">IF(A67="","",SG_Criteria!$B$6&amp;SG_Criteria!$B$12&amp;"\"&amp;A67&amp;"\")</f>
        <v/>
      </c>
      <c r="AC67" s="10" t="str">
        <f aca="false">IF(A67="","",A67&amp;"_CAD.dwg")</f>
        <v/>
      </c>
      <c r="AD67" s="10" t="str">
        <f aca="false">IF(A67="","",A67&amp;"_DWG.pdf")</f>
        <v/>
      </c>
      <c r="AE67" s="10" t="str">
        <f aca="false">IF(A67="","",IF(AA67="Y",A67&amp;"_STAAD.std","n/a"))</f>
        <v/>
      </c>
      <c r="AF67" s="10" t="str">
        <f aca="false">IF(A67="","",A67&amp;"_CALC.xlsx")</f>
        <v/>
      </c>
      <c r="AG67" s="10" t="str">
        <f aca="false">IF(A67="","",A67&amp;"_CALC.pdf")</f>
        <v/>
      </c>
      <c r="AH67" s="9"/>
      <c r="AI67" s="9"/>
      <c r="AJ67" s="41"/>
      <c r="AK67" s="41"/>
      <c r="AL67" s="41"/>
      <c r="AM67" s="41"/>
      <c r="AN67" s="41"/>
      <c r="AO67" s="38" t="str">
        <f aca="false">IF(C67="","",IF(LEN(IF(AND(C67&lt;&gt;"High Covered Linkway",F67&lt;SG_Criteria!$B$46),"FAIL: headroom below "&amp;SG_Criteria!$B$46&amp;" m. ","")&amp;IF(AND(C67="High Covered Linkway",F67&lt;SG_Criteria!$B$47),"FAIL: high linkway headroom below "&amp;SG_Criteria!$B$47&amp;" m. ","")&amp;IF(E67&lt;SG_Criteria!$B$48,"FAIL: roof width below "&amp;SG_Criteria!$B$48&amp;" m. ",IF(E67&lt;SG_Criteria!$B$49,"NOTE: not for MRT/LRT or high-traffic routes (min "&amp;SG_Criteria!$B$49&amp;" m). ",""))&amp;IF(AND(P67&lt;&gt;"",P67&lt;SG_Criteria!$B$50),"FAIL: wind speed below "&amp;SG_Criteria!$B$50&amp;" m/s. ","")&amp;IF(AND(Q67&lt;&gt;"",Q67&lt;SG_Criteria!$B$51),"FAIL: roof fixing pull-out below "&amp;SG_Criteria!$B$51&amp;" kN. ","")&amp;IF(AND(R67&lt;&gt;"",IFERROR(VALUE(MID(R67,2,2)),0)&lt;SG_Criteria!$B$52),"FAIL: grade below C"&amp;SG_Criteria!$B$52&amp;". ","")&amp;IF(D67="Non-standard (project design)","NOTE: not an SDRE standard, needs LTA acceptance. ",""))=0,"OK",IF(AND(C67&lt;&gt;"High Covered Linkway",F67&lt;SG_Criteria!$B$46),"FAIL: headroom below "&amp;SG_Criteria!$B$46&amp;" m. ","")&amp;IF(AND(C67="High Covered Linkway",F67&lt;SG_Criteria!$B$47),"FAIL: high linkway headroom below "&amp;SG_Criteria!$B$47&amp;" m. ","")&amp;IF(E67&lt;SG_Criteria!$B$48,"FAIL: roof width below "&amp;SG_Criteria!$B$48&amp;" m. ",IF(E67&lt;SG_Criteria!$B$49,"NOTE: not for MRT/LRT or high-traffic routes (min "&amp;SG_Criteria!$B$49&amp;" m). ",""))&amp;IF(AND(P67&lt;&gt;"",P67&lt;SG_Criteria!$B$50),"FAIL: wind speed below "&amp;SG_Criteria!$B$50&amp;" m/s. ","")&amp;IF(AND(Q67&lt;&gt;"",Q67&lt;SG_Criteria!$B$51),"FAIL: roof fixing pull-out below "&amp;SG_Criteria!$B$51&amp;" kN. ","")&amp;IF(AND(R67&lt;&gt;"",IFERROR(VALUE(MID(R67,2,2)),0)&lt;SG_Criteria!$B$52),"FAIL: grade below C"&amp;SG_Criteria!$B$52&amp;". ","")&amp;IF(D67="Non-standard (project design)","NOTE: not an SDRE standard, needs LTA acceptance. ","")))</f>
        <v/>
      </c>
      <c r="AP67" s="9"/>
      <c r="AQ67" s="9"/>
      <c r="AR67" s="9"/>
      <c r="AS67" s="9"/>
      <c r="AT67" s="9"/>
      <c r="AU67" s="31"/>
      <c r="AV67" s="10" t="str">
        <f aca="false">IF(C67="","",IF(AND(X67="Approved",ISERROR(SEARCH("FAIL",AO67))),"Y","N"))</f>
        <v/>
      </c>
      <c r="AW67" s="10" t="str">
        <f aca="false">IF(C67="","",C67&amp;"|"&amp;E67&amp;"|"&amp;F67&amp;"|"&amp;AV67)</f>
        <v/>
      </c>
    </row>
    <row r="68" customFormat="false" ht="15" hidden="false" customHeight="false" outlineLevel="0" collapsed="false">
      <c r="A68" s="10" t="str">
        <f aca="false">IF(C68="","","LKW-"&amp;IFERROR(VLOOKUP(C68,Lists!$AQ$4:$AR$17,2,0),"??")&amp;"-W"&amp;TEXT(E68*1000,"0000")&amp;"-H"&amp;TEXT(F68*1000,"0000")&amp;"-B"&amp;TEXT(G68*1000,"0000")&amp;"-"&amp;W68)</f>
        <v/>
      </c>
      <c r="B68" s="10" t="str">
        <f aca="false">IF(C68="","",C68&amp;", "&amp;E68&amp;" m wide, "&amp;F68&amp;" m headroom, "&amp;G68&amp;" m bays, "&amp;H68&amp;" ("&amp;D68&amp;")")</f>
        <v/>
      </c>
      <c r="C68" s="9"/>
      <c r="D68" s="9"/>
      <c r="E68" s="43"/>
      <c r="F68" s="43"/>
      <c r="G68" s="43"/>
      <c r="H68" s="9"/>
      <c r="I68" s="9"/>
      <c r="J68" s="9"/>
      <c r="K68" s="9"/>
      <c r="L68" s="9"/>
      <c r="M68" s="9"/>
      <c r="N68" s="9"/>
      <c r="O68" s="9"/>
      <c r="P68" s="40"/>
      <c r="Q68" s="43"/>
      <c r="R68" s="9"/>
      <c r="S68" s="9"/>
      <c r="T68" s="9"/>
      <c r="U68" s="43"/>
      <c r="V68" s="9"/>
      <c r="W68" s="9"/>
      <c r="X68" s="9"/>
      <c r="Y68" s="9"/>
      <c r="Z68" s="9"/>
      <c r="AA68" s="9"/>
      <c r="AB68" s="10" t="str">
        <f aca="false">IF(A68="","",SG_Criteria!$B$6&amp;SG_Criteria!$B$12&amp;"\"&amp;A68&amp;"\")</f>
        <v/>
      </c>
      <c r="AC68" s="10" t="str">
        <f aca="false">IF(A68="","",A68&amp;"_CAD.dwg")</f>
        <v/>
      </c>
      <c r="AD68" s="10" t="str">
        <f aca="false">IF(A68="","",A68&amp;"_DWG.pdf")</f>
        <v/>
      </c>
      <c r="AE68" s="10" t="str">
        <f aca="false">IF(A68="","",IF(AA68="Y",A68&amp;"_STAAD.std","n/a"))</f>
        <v/>
      </c>
      <c r="AF68" s="10" t="str">
        <f aca="false">IF(A68="","",A68&amp;"_CALC.xlsx")</f>
        <v/>
      </c>
      <c r="AG68" s="10" t="str">
        <f aca="false">IF(A68="","",A68&amp;"_CALC.pdf")</f>
        <v/>
      </c>
      <c r="AH68" s="9"/>
      <c r="AI68" s="9"/>
      <c r="AJ68" s="41"/>
      <c r="AK68" s="41"/>
      <c r="AL68" s="41"/>
      <c r="AM68" s="41"/>
      <c r="AN68" s="41"/>
      <c r="AO68" s="38" t="str">
        <f aca="false">IF(C68="","",IF(LEN(IF(AND(C68&lt;&gt;"High Covered Linkway",F68&lt;SG_Criteria!$B$46),"FAIL: headroom below "&amp;SG_Criteria!$B$46&amp;" m. ","")&amp;IF(AND(C68="High Covered Linkway",F68&lt;SG_Criteria!$B$47),"FAIL: high linkway headroom below "&amp;SG_Criteria!$B$47&amp;" m. ","")&amp;IF(E68&lt;SG_Criteria!$B$48,"FAIL: roof width below "&amp;SG_Criteria!$B$48&amp;" m. ",IF(E68&lt;SG_Criteria!$B$49,"NOTE: not for MRT/LRT or high-traffic routes (min "&amp;SG_Criteria!$B$49&amp;" m). ",""))&amp;IF(AND(P68&lt;&gt;"",P68&lt;SG_Criteria!$B$50),"FAIL: wind speed below "&amp;SG_Criteria!$B$50&amp;" m/s. ","")&amp;IF(AND(Q68&lt;&gt;"",Q68&lt;SG_Criteria!$B$51),"FAIL: roof fixing pull-out below "&amp;SG_Criteria!$B$51&amp;" kN. ","")&amp;IF(AND(R68&lt;&gt;"",IFERROR(VALUE(MID(R68,2,2)),0)&lt;SG_Criteria!$B$52),"FAIL: grade below C"&amp;SG_Criteria!$B$52&amp;". ","")&amp;IF(D68="Non-standard (project design)","NOTE: not an SDRE standard, needs LTA acceptance. ",""))=0,"OK",IF(AND(C68&lt;&gt;"High Covered Linkway",F68&lt;SG_Criteria!$B$46),"FAIL: headroom below "&amp;SG_Criteria!$B$46&amp;" m. ","")&amp;IF(AND(C68="High Covered Linkway",F68&lt;SG_Criteria!$B$47),"FAIL: high linkway headroom below "&amp;SG_Criteria!$B$47&amp;" m. ","")&amp;IF(E68&lt;SG_Criteria!$B$48,"FAIL: roof width below "&amp;SG_Criteria!$B$48&amp;" m. ",IF(E68&lt;SG_Criteria!$B$49,"NOTE: not for MRT/LRT or high-traffic routes (min "&amp;SG_Criteria!$B$49&amp;" m). ",""))&amp;IF(AND(P68&lt;&gt;"",P68&lt;SG_Criteria!$B$50),"FAIL: wind speed below "&amp;SG_Criteria!$B$50&amp;" m/s. ","")&amp;IF(AND(Q68&lt;&gt;"",Q68&lt;SG_Criteria!$B$51),"FAIL: roof fixing pull-out below "&amp;SG_Criteria!$B$51&amp;" kN. ","")&amp;IF(AND(R68&lt;&gt;"",IFERROR(VALUE(MID(R68,2,2)),0)&lt;SG_Criteria!$B$52),"FAIL: grade below C"&amp;SG_Criteria!$B$52&amp;". ","")&amp;IF(D68="Non-standard (project design)","NOTE: not an SDRE standard, needs LTA acceptance. ","")))</f>
        <v/>
      </c>
      <c r="AP68" s="9"/>
      <c r="AQ68" s="9"/>
      <c r="AR68" s="9"/>
      <c r="AS68" s="9"/>
      <c r="AT68" s="9"/>
      <c r="AU68" s="31"/>
      <c r="AV68" s="10" t="str">
        <f aca="false">IF(C68="","",IF(AND(X68="Approved",ISERROR(SEARCH("FAIL",AO68))),"Y","N"))</f>
        <v/>
      </c>
      <c r="AW68" s="10" t="str">
        <f aca="false">IF(C68="","",C68&amp;"|"&amp;E68&amp;"|"&amp;F68&amp;"|"&amp;AV68)</f>
        <v/>
      </c>
    </row>
    <row r="69" customFormat="false" ht="15" hidden="false" customHeight="false" outlineLevel="0" collapsed="false">
      <c r="A69" s="10" t="str">
        <f aca="false">IF(C69="","","LKW-"&amp;IFERROR(VLOOKUP(C69,Lists!$AQ$4:$AR$17,2,0),"??")&amp;"-W"&amp;TEXT(E69*1000,"0000")&amp;"-H"&amp;TEXT(F69*1000,"0000")&amp;"-B"&amp;TEXT(G69*1000,"0000")&amp;"-"&amp;W69)</f>
        <v/>
      </c>
      <c r="B69" s="10" t="str">
        <f aca="false">IF(C69="","",C69&amp;", "&amp;E69&amp;" m wide, "&amp;F69&amp;" m headroom, "&amp;G69&amp;" m bays, "&amp;H69&amp;" ("&amp;D69&amp;")")</f>
        <v/>
      </c>
      <c r="C69" s="9"/>
      <c r="D69" s="9"/>
      <c r="E69" s="43"/>
      <c r="F69" s="43"/>
      <c r="G69" s="43"/>
      <c r="H69" s="9"/>
      <c r="I69" s="9"/>
      <c r="J69" s="9"/>
      <c r="K69" s="9"/>
      <c r="L69" s="9"/>
      <c r="M69" s="9"/>
      <c r="N69" s="9"/>
      <c r="O69" s="9"/>
      <c r="P69" s="40"/>
      <c r="Q69" s="43"/>
      <c r="R69" s="9"/>
      <c r="S69" s="9"/>
      <c r="T69" s="9"/>
      <c r="U69" s="43"/>
      <c r="V69" s="9"/>
      <c r="W69" s="9"/>
      <c r="X69" s="9"/>
      <c r="Y69" s="9"/>
      <c r="Z69" s="9"/>
      <c r="AA69" s="9"/>
      <c r="AB69" s="10" t="str">
        <f aca="false">IF(A69="","",SG_Criteria!$B$6&amp;SG_Criteria!$B$12&amp;"\"&amp;A69&amp;"\")</f>
        <v/>
      </c>
      <c r="AC69" s="10" t="str">
        <f aca="false">IF(A69="","",A69&amp;"_CAD.dwg")</f>
        <v/>
      </c>
      <c r="AD69" s="10" t="str">
        <f aca="false">IF(A69="","",A69&amp;"_DWG.pdf")</f>
        <v/>
      </c>
      <c r="AE69" s="10" t="str">
        <f aca="false">IF(A69="","",IF(AA69="Y",A69&amp;"_STAAD.std","n/a"))</f>
        <v/>
      </c>
      <c r="AF69" s="10" t="str">
        <f aca="false">IF(A69="","",A69&amp;"_CALC.xlsx")</f>
        <v/>
      </c>
      <c r="AG69" s="10" t="str">
        <f aca="false">IF(A69="","",A69&amp;"_CALC.pdf")</f>
        <v/>
      </c>
      <c r="AH69" s="9"/>
      <c r="AI69" s="9"/>
      <c r="AJ69" s="41"/>
      <c r="AK69" s="41"/>
      <c r="AL69" s="41"/>
      <c r="AM69" s="41"/>
      <c r="AN69" s="41"/>
      <c r="AO69" s="38" t="str">
        <f aca="false">IF(C69="","",IF(LEN(IF(AND(C69&lt;&gt;"High Covered Linkway",F69&lt;SG_Criteria!$B$46),"FAIL: headroom below "&amp;SG_Criteria!$B$46&amp;" m. ","")&amp;IF(AND(C69="High Covered Linkway",F69&lt;SG_Criteria!$B$47),"FAIL: high linkway headroom below "&amp;SG_Criteria!$B$47&amp;" m. ","")&amp;IF(E69&lt;SG_Criteria!$B$48,"FAIL: roof width below "&amp;SG_Criteria!$B$48&amp;" m. ",IF(E69&lt;SG_Criteria!$B$49,"NOTE: not for MRT/LRT or high-traffic routes (min "&amp;SG_Criteria!$B$49&amp;" m). ",""))&amp;IF(AND(P69&lt;&gt;"",P69&lt;SG_Criteria!$B$50),"FAIL: wind speed below "&amp;SG_Criteria!$B$50&amp;" m/s. ","")&amp;IF(AND(Q69&lt;&gt;"",Q69&lt;SG_Criteria!$B$51),"FAIL: roof fixing pull-out below "&amp;SG_Criteria!$B$51&amp;" kN. ","")&amp;IF(AND(R69&lt;&gt;"",IFERROR(VALUE(MID(R69,2,2)),0)&lt;SG_Criteria!$B$52),"FAIL: grade below C"&amp;SG_Criteria!$B$52&amp;". ","")&amp;IF(D69="Non-standard (project design)","NOTE: not an SDRE standard, needs LTA acceptance. ",""))=0,"OK",IF(AND(C69&lt;&gt;"High Covered Linkway",F69&lt;SG_Criteria!$B$46),"FAIL: headroom below "&amp;SG_Criteria!$B$46&amp;" m. ","")&amp;IF(AND(C69="High Covered Linkway",F69&lt;SG_Criteria!$B$47),"FAIL: high linkway headroom below "&amp;SG_Criteria!$B$47&amp;" m. ","")&amp;IF(E69&lt;SG_Criteria!$B$48,"FAIL: roof width below "&amp;SG_Criteria!$B$48&amp;" m. ",IF(E69&lt;SG_Criteria!$B$49,"NOTE: not for MRT/LRT or high-traffic routes (min "&amp;SG_Criteria!$B$49&amp;" m). ",""))&amp;IF(AND(P69&lt;&gt;"",P69&lt;SG_Criteria!$B$50),"FAIL: wind speed below "&amp;SG_Criteria!$B$50&amp;" m/s. ","")&amp;IF(AND(Q69&lt;&gt;"",Q69&lt;SG_Criteria!$B$51),"FAIL: roof fixing pull-out below "&amp;SG_Criteria!$B$51&amp;" kN. ","")&amp;IF(AND(R69&lt;&gt;"",IFERROR(VALUE(MID(R69,2,2)),0)&lt;SG_Criteria!$B$52),"FAIL: grade below C"&amp;SG_Criteria!$B$52&amp;". ","")&amp;IF(D69="Non-standard (project design)","NOTE: not an SDRE standard, needs LTA acceptance. ","")))</f>
        <v/>
      </c>
      <c r="AP69" s="9"/>
      <c r="AQ69" s="9"/>
      <c r="AR69" s="9"/>
      <c r="AS69" s="9"/>
      <c r="AT69" s="9"/>
      <c r="AU69" s="31"/>
      <c r="AV69" s="10" t="str">
        <f aca="false">IF(C69="","",IF(AND(X69="Approved",ISERROR(SEARCH("FAIL",AO69))),"Y","N"))</f>
        <v/>
      </c>
      <c r="AW69" s="10" t="str">
        <f aca="false">IF(C69="","",C69&amp;"|"&amp;E69&amp;"|"&amp;F69&amp;"|"&amp;AV69)</f>
        <v/>
      </c>
    </row>
    <row r="70" customFormat="false" ht="15" hidden="false" customHeight="false" outlineLevel="0" collapsed="false">
      <c r="A70" s="10" t="str">
        <f aca="false">IF(C70="","","LKW-"&amp;IFERROR(VLOOKUP(C70,Lists!$AQ$4:$AR$17,2,0),"??")&amp;"-W"&amp;TEXT(E70*1000,"0000")&amp;"-H"&amp;TEXT(F70*1000,"0000")&amp;"-B"&amp;TEXT(G70*1000,"0000")&amp;"-"&amp;W70)</f>
        <v/>
      </c>
      <c r="B70" s="10" t="str">
        <f aca="false">IF(C70="","",C70&amp;", "&amp;E70&amp;" m wide, "&amp;F70&amp;" m headroom, "&amp;G70&amp;" m bays, "&amp;H70&amp;" ("&amp;D70&amp;")")</f>
        <v/>
      </c>
      <c r="C70" s="9"/>
      <c r="D70" s="9"/>
      <c r="E70" s="43"/>
      <c r="F70" s="43"/>
      <c r="G70" s="43"/>
      <c r="H70" s="9"/>
      <c r="I70" s="9"/>
      <c r="J70" s="9"/>
      <c r="K70" s="9"/>
      <c r="L70" s="9"/>
      <c r="M70" s="9"/>
      <c r="N70" s="9"/>
      <c r="O70" s="9"/>
      <c r="P70" s="40"/>
      <c r="Q70" s="43"/>
      <c r="R70" s="9"/>
      <c r="S70" s="9"/>
      <c r="T70" s="9"/>
      <c r="U70" s="43"/>
      <c r="V70" s="9"/>
      <c r="W70" s="9"/>
      <c r="X70" s="9"/>
      <c r="Y70" s="9"/>
      <c r="Z70" s="9"/>
      <c r="AA70" s="9"/>
      <c r="AB70" s="10" t="str">
        <f aca="false">IF(A70="","",SG_Criteria!$B$6&amp;SG_Criteria!$B$12&amp;"\"&amp;A70&amp;"\")</f>
        <v/>
      </c>
      <c r="AC70" s="10" t="str">
        <f aca="false">IF(A70="","",A70&amp;"_CAD.dwg")</f>
        <v/>
      </c>
      <c r="AD70" s="10" t="str">
        <f aca="false">IF(A70="","",A70&amp;"_DWG.pdf")</f>
        <v/>
      </c>
      <c r="AE70" s="10" t="str">
        <f aca="false">IF(A70="","",IF(AA70="Y",A70&amp;"_STAAD.std","n/a"))</f>
        <v/>
      </c>
      <c r="AF70" s="10" t="str">
        <f aca="false">IF(A70="","",A70&amp;"_CALC.xlsx")</f>
        <v/>
      </c>
      <c r="AG70" s="10" t="str">
        <f aca="false">IF(A70="","",A70&amp;"_CALC.pdf")</f>
        <v/>
      </c>
      <c r="AH70" s="9"/>
      <c r="AI70" s="9"/>
      <c r="AJ70" s="41"/>
      <c r="AK70" s="41"/>
      <c r="AL70" s="41"/>
      <c r="AM70" s="41"/>
      <c r="AN70" s="41"/>
      <c r="AO70" s="38" t="str">
        <f aca="false">IF(C70="","",IF(LEN(IF(AND(C70&lt;&gt;"High Covered Linkway",F70&lt;SG_Criteria!$B$46),"FAIL: headroom below "&amp;SG_Criteria!$B$46&amp;" m. ","")&amp;IF(AND(C70="High Covered Linkway",F70&lt;SG_Criteria!$B$47),"FAIL: high linkway headroom below "&amp;SG_Criteria!$B$47&amp;" m. ","")&amp;IF(E70&lt;SG_Criteria!$B$48,"FAIL: roof width below "&amp;SG_Criteria!$B$48&amp;" m. ",IF(E70&lt;SG_Criteria!$B$49,"NOTE: not for MRT/LRT or high-traffic routes (min "&amp;SG_Criteria!$B$49&amp;" m). ",""))&amp;IF(AND(P70&lt;&gt;"",P70&lt;SG_Criteria!$B$50),"FAIL: wind speed below "&amp;SG_Criteria!$B$50&amp;" m/s. ","")&amp;IF(AND(Q70&lt;&gt;"",Q70&lt;SG_Criteria!$B$51),"FAIL: roof fixing pull-out below "&amp;SG_Criteria!$B$51&amp;" kN. ","")&amp;IF(AND(R70&lt;&gt;"",IFERROR(VALUE(MID(R70,2,2)),0)&lt;SG_Criteria!$B$52),"FAIL: grade below C"&amp;SG_Criteria!$B$52&amp;". ","")&amp;IF(D70="Non-standard (project design)","NOTE: not an SDRE standard, needs LTA acceptance. ",""))=0,"OK",IF(AND(C70&lt;&gt;"High Covered Linkway",F70&lt;SG_Criteria!$B$46),"FAIL: headroom below "&amp;SG_Criteria!$B$46&amp;" m. ","")&amp;IF(AND(C70="High Covered Linkway",F70&lt;SG_Criteria!$B$47),"FAIL: high linkway headroom below "&amp;SG_Criteria!$B$47&amp;" m. ","")&amp;IF(E70&lt;SG_Criteria!$B$48,"FAIL: roof width below "&amp;SG_Criteria!$B$48&amp;" m. ",IF(E70&lt;SG_Criteria!$B$49,"NOTE: not for MRT/LRT or high-traffic routes (min "&amp;SG_Criteria!$B$49&amp;" m). ",""))&amp;IF(AND(P70&lt;&gt;"",P70&lt;SG_Criteria!$B$50),"FAIL: wind speed below "&amp;SG_Criteria!$B$50&amp;" m/s. ","")&amp;IF(AND(Q70&lt;&gt;"",Q70&lt;SG_Criteria!$B$51),"FAIL: roof fixing pull-out below "&amp;SG_Criteria!$B$51&amp;" kN. ","")&amp;IF(AND(R70&lt;&gt;"",IFERROR(VALUE(MID(R70,2,2)),0)&lt;SG_Criteria!$B$52),"FAIL: grade below C"&amp;SG_Criteria!$B$52&amp;". ","")&amp;IF(D70="Non-standard (project design)","NOTE: not an SDRE standard, needs LTA acceptance. ","")))</f>
        <v/>
      </c>
      <c r="AP70" s="9"/>
      <c r="AQ70" s="9"/>
      <c r="AR70" s="9"/>
      <c r="AS70" s="9"/>
      <c r="AT70" s="9"/>
      <c r="AU70" s="31"/>
      <c r="AV70" s="10" t="str">
        <f aca="false">IF(C70="","",IF(AND(X70="Approved",ISERROR(SEARCH("FAIL",AO70))),"Y","N"))</f>
        <v/>
      </c>
      <c r="AW70" s="10" t="str">
        <f aca="false">IF(C70="","",C70&amp;"|"&amp;E70&amp;"|"&amp;F70&amp;"|"&amp;AV70)</f>
        <v/>
      </c>
    </row>
    <row r="71" customFormat="false" ht="15" hidden="false" customHeight="false" outlineLevel="0" collapsed="false">
      <c r="A71" s="10" t="str">
        <f aca="false">IF(C71="","","LKW-"&amp;IFERROR(VLOOKUP(C71,Lists!$AQ$4:$AR$17,2,0),"??")&amp;"-W"&amp;TEXT(E71*1000,"0000")&amp;"-H"&amp;TEXT(F71*1000,"0000")&amp;"-B"&amp;TEXT(G71*1000,"0000")&amp;"-"&amp;W71)</f>
        <v/>
      </c>
      <c r="B71" s="10" t="str">
        <f aca="false">IF(C71="","",C71&amp;", "&amp;E71&amp;" m wide, "&amp;F71&amp;" m headroom, "&amp;G71&amp;" m bays, "&amp;H71&amp;" ("&amp;D71&amp;")")</f>
        <v/>
      </c>
      <c r="C71" s="9"/>
      <c r="D71" s="9"/>
      <c r="E71" s="43"/>
      <c r="F71" s="43"/>
      <c r="G71" s="43"/>
      <c r="H71" s="9"/>
      <c r="I71" s="9"/>
      <c r="J71" s="9"/>
      <c r="K71" s="9"/>
      <c r="L71" s="9"/>
      <c r="M71" s="9"/>
      <c r="N71" s="9"/>
      <c r="O71" s="9"/>
      <c r="P71" s="40"/>
      <c r="Q71" s="43"/>
      <c r="R71" s="9"/>
      <c r="S71" s="9"/>
      <c r="T71" s="9"/>
      <c r="U71" s="43"/>
      <c r="V71" s="9"/>
      <c r="W71" s="9"/>
      <c r="X71" s="9"/>
      <c r="Y71" s="9"/>
      <c r="Z71" s="9"/>
      <c r="AA71" s="9"/>
      <c r="AB71" s="10" t="str">
        <f aca="false">IF(A71="","",SG_Criteria!$B$6&amp;SG_Criteria!$B$12&amp;"\"&amp;A71&amp;"\")</f>
        <v/>
      </c>
      <c r="AC71" s="10" t="str">
        <f aca="false">IF(A71="","",A71&amp;"_CAD.dwg")</f>
        <v/>
      </c>
      <c r="AD71" s="10" t="str">
        <f aca="false">IF(A71="","",A71&amp;"_DWG.pdf")</f>
        <v/>
      </c>
      <c r="AE71" s="10" t="str">
        <f aca="false">IF(A71="","",IF(AA71="Y",A71&amp;"_STAAD.std","n/a"))</f>
        <v/>
      </c>
      <c r="AF71" s="10" t="str">
        <f aca="false">IF(A71="","",A71&amp;"_CALC.xlsx")</f>
        <v/>
      </c>
      <c r="AG71" s="10" t="str">
        <f aca="false">IF(A71="","",A71&amp;"_CALC.pdf")</f>
        <v/>
      </c>
      <c r="AH71" s="9"/>
      <c r="AI71" s="9"/>
      <c r="AJ71" s="41"/>
      <c r="AK71" s="41"/>
      <c r="AL71" s="41"/>
      <c r="AM71" s="41"/>
      <c r="AN71" s="41"/>
      <c r="AO71" s="38" t="str">
        <f aca="false">IF(C71="","",IF(LEN(IF(AND(C71&lt;&gt;"High Covered Linkway",F71&lt;SG_Criteria!$B$46),"FAIL: headroom below "&amp;SG_Criteria!$B$46&amp;" m. ","")&amp;IF(AND(C71="High Covered Linkway",F71&lt;SG_Criteria!$B$47),"FAIL: high linkway headroom below "&amp;SG_Criteria!$B$47&amp;" m. ","")&amp;IF(E71&lt;SG_Criteria!$B$48,"FAIL: roof width below "&amp;SG_Criteria!$B$48&amp;" m. ",IF(E71&lt;SG_Criteria!$B$49,"NOTE: not for MRT/LRT or high-traffic routes (min "&amp;SG_Criteria!$B$49&amp;" m). ",""))&amp;IF(AND(P71&lt;&gt;"",P71&lt;SG_Criteria!$B$50),"FAIL: wind speed below "&amp;SG_Criteria!$B$50&amp;" m/s. ","")&amp;IF(AND(Q71&lt;&gt;"",Q71&lt;SG_Criteria!$B$51),"FAIL: roof fixing pull-out below "&amp;SG_Criteria!$B$51&amp;" kN. ","")&amp;IF(AND(R71&lt;&gt;"",IFERROR(VALUE(MID(R71,2,2)),0)&lt;SG_Criteria!$B$52),"FAIL: grade below C"&amp;SG_Criteria!$B$52&amp;". ","")&amp;IF(D71="Non-standard (project design)","NOTE: not an SDRE standard, needs LTA acceptance. ",""))=0,"OK",IF(AND(C71&lt;&gt;"High Covered Linkway",F71&lt;SG_Criteria!$B$46),"FAIL: headroom below "&amp;SG_Criteria!$B$46&amp;" m. ","")&amp;IF(AND(C71="High Covered Linkway",F71&lt;SG_Criteria!$B$47),"FAIL: high linkway headroom below "&amp;SG_Criteria!$B$47&amp;" m. ","")&amp;IF(E71&lt;SG_Criteria!$B$48,"FAIL: roof width below "&amp;SG_Criteria!$B$48&amp;" m. ",IF(E71&lt;SG_Criteria!$B$49,"NOTE: not for MRT/LRT or high-traffic routes (min "&amp;SG_Criteria!$B$49&amp;" m). ",""))&amp;IF(AND(P71&lt;&gt;"",P71&lt;SG_Criteria!$B$50),"FAIL: wind speed below "&amp;SG_Criteria!$B$50&amp;" m/s. ","")&amp;IF(AND(Q71&lt;&gt;"",Q71&lt;SG_Criteria!$B$51),"FAIL: roof fixing pull-out below "&amp;SG_Criteria!$B$51&amp;" kN. ","")&amp;IF(AND(R71&lt;&gt;"",IFERROR(VALUE(MID(R71,2,2)),0)&lt;SG_Criteria!$B$52),"FAIL: grade below C"&amp;SG_Criteria!$B$52&amp;". ","")&amp;IF(D71="Non-standard (project design)","NOTE: not an SDRE standard, needs LTA acceptance. ","")))</f>
        <v/>
      </c>
      <c r="AP71" s="9"/>
      <c r="AQ71" s="9"/>
      <c r="AR71" s="9"/>
      <c r="AS71" s="9"/>
      <c r="AT71" s="9"/>
      <c r="AU71" s="31"/>
      <c r="AV71" s="10" t="str">
        <f aca="false">IF(C71="","",IF(AND(X71="Approved",ISERROR(SEARCH("FAIL",AO71))),"Y","N"))</f>
        <v/>
      </c>
      <c r="AW71" s="10" t="str">
        <f aca="false">IF(C71="","",C71&amp;"|"&amp;E71&amp;"|"&amp;F71&amp;"|"&amp;AV71)</f>
        <v/>
      </c>
    </row>
    <row r="72" customFormat="false" ht="15" hidden="false" customHeight="false" outlineLevel="0" collapsed="false">
      <c r="A72" s="10" t="str">
        <f aca="false">IF(C72="","","LKW-"&amp;IFERROR(VLOOKUP(C72,Lists!$AQ$4:$AR$17,2,0),"??")&amp;"-W"&amp;TEXT(E72*1000,"0000")&amp;"-H"&amp;TEXT(F72*1000,"0000")&amp;"-B"&amp;TEXT(G72*1000,"0000")&amp;"-"&amp;W72)</f>
        <v/>
      </c>
      <c r="B72" s="10" t="str">
        <f aca="false">IF(C72="","",C72&amp;", "&amp;E72&amp;" m wide, "&amp;F72&amp;" m headroom, "&amp;G72&amp;" m bays, "&amp;H72&amp;" ("&amp;D72&amp;")")</f>
        <v/>
      </c>
      <c r="C72" s="9"/>
      <c r="D72" s="9"/>
      <c r="E72" s="43"/>
      <c r="F72" s="43"/>
      <c r="G72" s="43"/>
      <c r="H72" s="9"/>
      <c r="I72" s="9"/>
      <c r="J72" s="9"/>
      <c r="K72" s="9"/>
      <c r="L72" s="9"/>
      <c r="M72" s="9"/>
      <c r="N72" s="9"/>
      <c r="O72" s="9"/>
      <c r="P72" s="40"/>
      <c r="Q72" s="43"/>
      <c r="R72" s="9"/>
      <c r="S72" s="9"/>
      <c r="T72" s="9"/>
      <c r="U72" s="43"/>
      <c r="V72" s="9"/>
      <c r="W72" s="9"/>
      <c r="X72" s="9"/>
      <c r="Y72" s="9"/>
      <c r="Z72" s="9"/>
      <c r="AA72" s="9"/>
      <c r="AB72" s="10" t="str">
        <f aca="false">IF(A72="","",SG_Criteria!$B$6&amp;SG_Criteria!$B$12&amp;"\"&amp;A72&amp;"\")</f>
        <v/>
      </c>
      <c r="AC72" s="10" t="str">
        <f aca="false">IF(A72="","",A72&amp;"_CAD.dwg")</f>
        <v/>
      </c>
      <c r="AD72" s="10" t="str">
        <f aca="false">IF(A72="","",A72&amp;"_DWG.pdf")</f>
        <v/>
      </c>
      <c r="AE72" s="10" t="str">
        <f aca="false">IF(A72="","",IF(AA72="Y",A72&amp;"_STAAD.std","n/a"))</f>
        <v/>
      </c>
      <c r="AF72" s="10" t="str">
        <f aca="false">IF(A72="","",A72&amp;"_CALC.xlsx")</f>
        <v/>
      </c>
      <c r="AG72" s="10" t="str">
        <f aca="false">IF(A72="","",A72&amp;"_CALC.pdf")</f>
        <v/>
      </c>
      <c r="AH72" s="9"/>
      <c r="AI72" s="9"/>
      <c r="AJ72" s="41"/>
      <c r="AK72" s="41"/>
      <c r="AL72" s="41"/>
      <c r="AM72" s="41"/>
      <c r="AN72" s="41"/>
      <c r="AO72" s="38" t="str">
        <f aca="false">IF(C72="","",IF(LEN(IF(AND(C72&lt;&gt;"High Covered Linkway",F72&lt;SG_Criteria!$B$46),"FAIL: headroom below "&amp;SG_Criteria!$B$46&amp;" m. ","")&amp;IF(AND(C72="High Covered Linkway",F72&lt;SG_Criteria!$B$47),"FAIL: high linkway headroom below "&amp;SG_Criteria!$B$47&amp;" m. ","")&amp;IF(E72&lt;SG_Criteria!$B$48,"FAIL: roof width below "&amp;SG_Criteria!$B$48&amp;" m. ",IF(E72&lt;SG_Criteria!$B$49,"NOTE: not for MRT/LRT or high-traffic routes (min "&amp;SG_Criteria!$B$49&amp;" m). ",""))&amp;IF(AND(P72&lt;&gt;"",P72&lt;SG_Criteria!$B$50),"FAIL: wind speed below "&amp;SG_Criteria!$B$50&amp;" m/s. ","")&amp;IF(AND(Q72&lt;&gt;"",Q72&lt;SG_Criteria!$B$51),"FAIL: roof fixing pull-out below "&amp;SG_Criteria!$B$51&amp;" kN. ","")&amp;IF(AND(R72&lt;&gt;"",IFERROR(VALUE(MID(R72,2,2)),0)&lt;SG_Criteria!$B$52),"FAIL: grade below C"&amp;SG_Criteria!$B$52&amp;". ","")&amp;IF(D72="Non-standard (project design)","NOTE: not an SDRE standard, needs LTA acceptance. ",""))=0,"OK",IF(AND(C72&lt;&gt;"High Covered Linkway",F72&lt;SG_Criteria!$B$46),"FAIL: headroom below "&amp;SG_Criteria!$B$46&amp;" m. ","")&amp;IF(AND(C72="High Covered Linkway",F72&lt;SG_Criteria!$B$47),"FAIL: high linkway headroom below "&amp;SG_Criteria!$B$47&amp;" m. ","")&amp;IF(E72&lt;SG_Criteria!$B$48,"FAIL: roof width below "&amp;SG_Criteria!$B$48&amp;" m. ",IF(E72&lt;SG_Criteria!$B$49,"NOTE: not for MRT/LRT or high-traffic routes (min "&amp;SG_Criteria!$B$49&amp;" m). ",""))&amp;IF(AND(P72&lt;&gt;"",P72&lt;SG_Criteria!$B$50),"FAIL: wind speed below "&amp;SG_Criteria!$B$50&amp;" m/s. ","")&amp;IF(AND(Q72&lt;&gt;"",Q72&lt;SG_Criteria!$B$51),"FAIL: roof fixing pull-out below "&amp;SG_Criteria!$B$51&amp;" kN. ","")&amp;IF(AND(R72&lt;&gt;"",IFERROR(VALUE(MID(R72,2,2)),0)&lt;SG_Criteria!$B$52),"FAIL: grade below C"&amp;SG_Criteria!$B$52&amp;". ","")&amp;IF(D72="Non-standard (project design)","NOTE: not an SDRE standard, needs LTA acceptance. ","")))</f>
        <v/>
      </c>
      <c r="AP72" s="9"/>
      <c r="AQ72" s="9"/>
      <c r="AR72" s="9"/>
      <c r="AS72" s="9"/>
      <c r="AT72" s="9"/>
      <c r="AU72" s="31"/>
      <c r="AV72" s="10" t="str">
        <f aca="false">IF(C72="","",IF(AND(X72="Approved",ISERROR(SEARCH("FAIL",AO72))),"Y","N"))</f>
        <v/>
      </c>
      <c r="AW72" s="10" t="str">
        <f aca="false">IF(C72="","",C72&amp;"|"&amp;E72&amp;"|"&amp;F72&amp;"|"&amp;AV72)</f>
        <v/>
      </c>
    </row>
    <row r="73" customFormat="false" ht="15" hidden="false" customHeight="false" outlineLevel="0" collapsed="false">
      <c r="A73" s="10" t="str">
        <f aca="false">IF(C73="","","LKW-"&amp;IFERROR(VLOOKUP(C73,Lists!$AQ$4:$AR$17,2,0),"??")&amp;"-W"&amp;TEXT(E73*1000,"0000")&amp;"-H"&amp;TEXT(F73*1000,"0000")&amp;"-B"&amp;TEXT(G73*1000,"0000")&amp;"-"&amp;W73)</f>
        <v/>
      </c>
      <c r="B73" s="10" t="str">
        <f aca="false">IF(C73="","",C73&amp;", "&amp;E73&amp;" m wide, "&amp;F73&amp;" m headroom, "&amp;G73&amp;" m bays, "&amp;H73&amp;" ("&amp;D73&amp;")")</f>
        <v/>
      </c>
      <c r="C73" s="9"/>
      <c r="D73" s="9"/>
      <c r="E73" s="43"/>
      <c r="F73" s="43"/>
      <c r="G73" s="43"/>
      <c r="H73" s="9"/>
      <c r="I73" s="9"/>
      <c r="J73" s="9"/>
      <c r="K73" s="9"/>
      <c r="L73" s="9"/>
      <c r="M73" s="9"/>
      <c r="N73" s="9"/>
      <c r="O73" s="9"/>
      <c r="P73" s="40"/>
      <c r="Q73" s="43"/>
      <c r="R73" s="9"/>
      <c r="S73" s="9"/>
      <c r="T73" s="9"/>
      <c r="U73" s="43"/>
      <c r="V73" s="9"/>
      <c r="W73" s="9"/>
      <c r="X73" s="9"/>
      <c r="Y73" s="9"/>
      <c r="Z73" s="9"/>
      <c r="AA73" s="9"/>
      <c r="AB73" s="10" t="str">
        <f aca="false">IF(A73="","",SG_Criteria!$B$6&amp;SG_Criteria!$B$12&amp;"\"&amp;A73&amp;"\")</f>
        <v/>
      </c>
      <c r="AC73" s="10" t="str">
        <f aca="false">IF(A73="","",A73&amp;"_CAD.dwg")</f>
        <v/>
      </c>
      <c r="AD73" s="10" t="str">
        <f aca="false">IF(A73="","",A73&amp;"_DWG.pdf")</f>
        <v/>
      </c>
      <c r="AE73" s="10" t="str">
        <f aca="false">IF(A73="","",IF(AA73="Y",A73&amp;"_STAAD.std","n/a"))</f>
        <v/>
      </c>
      <c r="AF73" s="10" t="str">
        <f aca="false">IF(A73="","",A73&amp;"_CALC.xlsx")</f>
        <v/>
      </c>
      <c r="AG73" s="10" t="str">
        <f aca="false">IF(A73="","",A73&amp;"_CALC.pdf")</f>
        <v/>
      </c>
      <c r="AH73" s="9"/>
      <c r="AI73" s="9"/>
      <c r="AJ73" s="41"/>
      <c r="AK73" s="41"/>
      <c r="AL73" s="41"/>
      <c r="AM73" s="41"/>
      <c r="AN73" s="41"/>
      <c r="AO73" s="38" t="str">
        <f aca="false">IF(C73="","",IF(LEN(IF(AND(C73&lt;&gt;"High Covered Linkway",F73&lt;SG_Criteria!$B$46),"FAIL: headroom below "&amp;SG_Criteria!$B$46&amp;" m. ","")&amp;IF(AND(C73="High Covered Linkway",F73&lt;SG_Criteria!$B$47),"FAIL: high linkway headroom below "&amp;SG_Criteria!$B$47&amp;" m. ","")&amp;IF(E73&lt;SG_Criteria!$B$48,"FAIL: roof width below "&amp;SG_Criteria!$B$48&amp;" m. ",IF(E73&lt;SG_Criteria!$B$49,"NOTE: not for MRT/LRT or high-traffic routes (min "&amp;SG_Criteria!$B$49&amp;" m). ",""))&amp;IF(AND(P73&lt;&gt;"",P73&lt;SG_Criteria!$B$50),"FAIL: wind speed below "&amp;SG_Criteria!$B$50&amp;" m/s. ","")&amp;IF(AND(Q73&lt;&gt;"",Q73&lt;SG_Criteria!$B$51),"FAIL: roof fixing pull-out below "&amp;SG_Criteria!$B$51&amp;" kN. ","")&amp;IF(AND(R73&lt;&gt;"",IFERROR(VALUE(MID(R73,2,2)),0)&lt;SG_Criteria!$B$52),"FAIL: grade below C"&amp;SG_Criteria!$B$52&amp;". ","")&amp;IF(D73="Non-standard (project design)","NOTE: not an SDRE standard, needs LTA acceptance. ",""))=0,"OK",IF(AND(C73&lt;&gt;"High Covered Linkway",F73&lt;SG_Criteria!$B$46),"FAIL: headroom below "&amp;SG_Criteria!$B$46&amp;" m. ","")&amp;IF(AND(C73="High Covered Linkway",F73&lt;SG_Criteria!$B$47),"FAIL: high linkway headroom below "&amp;SG_Criteria!$B$47&amp;" m. ","")&amp;IF(E73&lt;SG_Criteria!$B$48,"FAIL: roof width below "&amp;SG_Criteria!$B$48&amp;" m. ",IF(E73&lt;SG_Criteria!$B$49,"NOTE: not for MRT/LRT or high-traffic routes (min "&amp;SG_Criteria!$B$49&amp;" m). ",""))&amp;IF(AND(P73&lt;&gt;"",P73&lt;SG_Criteria!$B$50),"FAIL: wind speed below "&amp;SG_Criteria!$B$50&amp;" m/s. ","")&amp;IF(AND(Q73&lt;&gt;"",Q73&lt;SG_Criteria!$B$51),"FAIL: roof fixing pull-out below "&amp;SG_Criteria!$B$51&amp;" kN. ","")&amp;IF(AND(R73&lt;&gt;"",IFERROR(VALUE(MID(R73,2,2)),0)&lt;SG_Criteria!$B$52),"FAIL: grade below C"&amp;SG_Criteria!$B$52&amp;". ","")&amp;IF(D73="Non-standard (project design)","NOTE: not an SDRE standard, needs LTA acceptance. ","")))</f>
        <v/>
      </c>
      <c r="AP73" s="9"/>
      <c r="AQ73" s="9"/>
      <c r="AR73" s="9"/>
      <c r="AS73" s="9"/>
      <c r="AT73" s="9"/>
      <c r="AU73" s="31"/>
      <c r="AV73" s="10" t="str">
        <f aca="false">IF(C73="","",IF(AND(X73="Approved",ISERROR(SEARCH("FAIL",AO73))),"Y","N"))</f>
        <v/>
      </c>
      <c r="AW73" s="10" t="str">
        <f aca="false">IF(C73="","",C73&amp;"|"&amp;E73&amp;"|"&amp;F73&amp;"|"&amp;AV73)</f>
        <v/>
      </c>
    </row>
    <row r="74" customFormat="false" ht="15" hidden="false" customHeight="false" outlineLevel="0" collapsed="false">
      <c r="A74" s="10" t="str">
        <f aca="false">IF(C74="","","LKW-"&amp;IFERROR(VLOOKUP(C74,Lists!$AQ$4:$AR$17,2,0),"??")&amp;"-W"&amp;TEXT(E74*1000,"0000")&amp;"-H"&amp;TEXT(F74*1000,"0000")&amp;"-B"&amp;TEXT(G74*1000,"0000")&amp;"-"&amp;W74)</f>
        <v/>
      </c>
      <c r="B74" s="10" t="str">
        <f aca="false">IF(C74="","",C74&amp;", "&amp;E74&amp;" m wide, "&amp;F74&amp;" m headroom, "&amp;G74&amp;" m bays, "&amp;H74&amp;" ("&amp;D74&amp;")")</f>
        <v/>
      </c>
      <c r="C74" s="9"/>
      <c r="D74" s="9"/>
      <c r="E74" s="43"/>
      <c r="F74" s="43"/>
      <c r="G74" s="43"/>
      <c r="H74" s="9"/>
      <c r="I74" s="9"/>
      <c r="J74" s="9"/>
      <c r="K74" s="9"/>
      <c r="L74" s="9"/>
      <c r="M74" s="9"/>
      <c r="N74" s="9"/>
      <c r="O74" s="9"/>
      <c r="P74" s="40"/>
      <c r="Q74" s="43"/>
      <c r="R74" s="9"/>
      <c r="S74" s="9"/>
      <c r="T74" s="9"/>
      <c r="U74" s="43"/>
      <c r="V74" s="9"/>
      <c r="W74" s="9"/>
      <c r="X74" s="9"/>
      <c r="Y74" s="9"/>
      <c r="Z74" s="9"/>
      <c r="AA74" s="9"/>
      <c r="AB74" s="10" t="str">
        <f aca="false">IF(A74="","",SG_Criteria!$B$6&amp;SG_Criteria!$B$12&amp;"\"&amp;A74&amp;"\")</f>
        <v/>
      </c>
      <c r="AC74" s="10" t="str">
        <f aca="false">IF(A74="","",A74&amp;"_CAD.dwg")</f>
        <v/>
      </c>
      <c r="AD74" s="10" t="str">
        <f aca="false">IF(A74="","",A74&amp;"_DWG.pdf")</f>
        <v/>
      </c>
      <c r="AE74" s="10" t="str">
        <f aca="false">IF(A74="","",IF(AA74="Y",A74&amp;"_STAAD.std","n/a"))</f>
        <v/>
      </c>
      <c r="AF74" s="10" t="str">
        <f aca="false">IF(A74="","",A74&amp;"_CALC.xlsx")</f>
        <v/>
      </c>
      <c r="AG74" s="10" t="str">
        <f aca="false">IF(A74="","",A74&amp;"_CALC.pdf")</f>
        <v/>
      </c>
      <c r="AH74" s="9"/>
      <c r="AI74" s="9"/>
      <c r="AJ74" s="41"/>
      <c r="AK74" s="41"/>
      <c r="AL74" s="41"/>
      <c r="AM74" s="41"/>
      <c r="AN74" s="41"/>
      <c r="AO74" s="38" t="str">
        <f aca="false">IF(C74="","",IF(LEN(IF(AND(C74&lt;&gt;"High Covered Linkway",F74&lt;SG_Criteria!$B$46),"FAIL: headroom below "&amp;SG_Criteria!$B$46&amp;" m. ","")&amp;IF(AND(C74="High Covered Linkway",F74&lt;SG_Criteria!$B$47),"FAIL: high linkway headroom below "&amp;SG_Criteria!$B$47&amp;" m. ","")&amp;IF(E74&lt;SG_Criteria!$B$48,"FAIL: roof width below "&amp;SG_Criteria!$B$48&amp;" m. ",IF(E74&lt;SG_Criteria!$B$49,"NOTE: not for MRT/LRT or high-traffic routes (min "&amp;SG_Criteria!$B$49&amp;" m). ",""))&amp;IF(AND(P74&lt;&gt;"",P74&lt;SG_Criteria!$B$50),"FAIL: wind speed below "&amp;SG_Criteria!$B$50&amp;" m/s. ","")&amp;IF(AND(Q74&lt;&gt;"",Q74&lt;SG_Criteria!$B$51),"FAIL: roof fixing pull-out below "&amp;SG_Criteria!$B$51&amp;" kN. ","")&amp;IF(AND(R74&lt;&gt;"",IFERROR(VALUE(MID(R74,2,2)),0)&lt;SG_Criteria!$B$52),"FAIL: grade below C"&amp;SG_Criteria!$B$52&amp;". ","")&amp;IF(D74="Non-standard (project design)","NOTE: not an SDRE standard, needs LTA acceptance. ",""))=0,"OK",IF(AND(C74&lt;&gt;"High Covered Linkway",F74&lt;SG_Criteria!$B$46),"FAIL: headroom below "&amp;SG_Criteria!$B$46&amp;" m. ","")&amp;IF(AND(C74="High Covered Linkway",F74&lt;SG_Criteria!$B$47),"FAIL: high linkway headroom below "&amp;SG_Criteria!$B$47&amp;" m. ","")&amp;IF(E74&lt;SG_Criteria!$B$48,"FAIL: roof width below "&amp;SG_Criteria!$B$48&amp;" m. ",IF(E74&lt;SG_Criteria!$B$49,"NOTE: not for MRT/LRT or high-traffic routes (min "&amp;SG_Criteria!$B$49&amp;" m). ",""))&amp;IF(AND(P74&lt;&gt;"",P74&lt;SG_Criteria!$B$50),"FAIL: wind speed below "&amp;SG_Criteria!$B$50&amp;" m/s. ","")&amp;IF(AND(Q74&lt;&gt;"",Q74&lt;SG_Criteria!$B$51),"FAIL: roof fixing pull-out below "&amp;SG_Criteria!$B$51&amp;" kN. ","")&amp;IF(AND(R74&lt;&gt;"",IFERROR(VALUE(MID(R74,2,2)),0)&lt;SG_Criteria!$B$52),"FAIL: grade below C"&amp;SG_Criteria!$B$52&amp;". ","")&amp;IF(D74="Non-standard (project design)","NOTE: not an SDRE standard, needs LTA acceptance. ","")))</f>
        <v/>
      </c>
      <c r="AP74" s="9"/>
      <c r="AQ74" s="9"/>
      <c r="AR74" s="9"/>
      <c r="AS74" s="9"/>
      <c r="AT74" s="9"/>
      <c r="AU74" s="31"/>
      <c r="AV74" s="10" t="str">
        <f aca="false">IF(C74="","",IF(AND(X74="Approved",ISERROR(SEARCH("FAIL",AO74))),"Y","N"))</f>
        <v/>
      </c>
      <c r="AW74" s="10" t="str">
        <f aca="false">IF(C74="","",C74&amp;"|"&amp;E74&amp;"|"&amp;F74&amp;"|"&amp;AV74)</f>
        <v/>
      </c>
    </row>
    <row r="75" customFormat="false" ht="15" hidden="false" customHeight="false" outlineLevel="0" collapsed="false">
      <c r="A75" s="10" t="str">
        <f aca="false">IF(C75="","","LKW-"&amp;IFERROR(VLOOKUP(C75,Lists!$AQ$4:$AR$17,2,0),"??")&amp;"-W"&amp;TEXT(E75*1000,"0000")&amp;"-H"&amp;TEXT(F75*1000,"0000")&amp;"-B"&amp;TEXT(G75*1000,"0000")&amp;"-"&amp;W75)</f>
        <v/>
      </c>
      <c r="B75" s="10" t="str">
        <f aca="false">IF(C75="","",C75&amp;", "&amp;E75&amp;" m wide, "&amp;F75&amp;" m headroom, "&amp;G75&amp;" m bays, "&amp;H75&amp;" ("&amp;D75&amp;")")</f>
        <v/>
      </c>
      <c r="C75" s="9"/>
      <c r="D75" s="9"/>
      <c r="E75" s="43"/>
      <c r="F75" s="43"/>
      <c r="G75" s="43"/>
      <c r="H75" s="9"/>
      <c r="I75" s="9"/>
      <c r="J75" s="9"/>
      <c r="K75" s="9"/>
      <c r="L75" s="9"/>
      <c r="M75" s="9"/>
      <c r="N75" s="9"/>
      <c r="O75" s="9"/>
      <c r="P75" s="40"/>
      <c r="Q75" s="43"/>
      <c r="R75" s="9"/>
      <c r="S75" s="9"/>
      <c r="T75" s="9"/>
      <c r="U75" s="43"/>
      <c r="V75" s="9"/>
      <c r="W75" s="9"/>
      <c r="X75" s="9"/>
      <c r="Y75" s="9"/>
      <c r="Z75" s="9"/>
      <c r="AA75" s="9"/>
      <c r="AB75" s="10" t="str">
        <f aca="false">IF(A75="","",SG_Criteria!$B$6&amp;SG_Criteria!$B$12&amp;"\"&amp;A75&amp;"\")</f>
        <v/>
      </c>
      <c r="AC75" s="10" t="str">
        <f aca="false">IF(A75="","",A75&amp;"_CAD.dwg")</f>
        <v/>
      </c>
      <c r="AD75" s="10" t="str">
        <f aca="false">IF(A75="","",A75&amp;"_DWG.pdf")</f>
        <v/>
      </c>
      <c r="AE75" s="10" t="str">
        <f aca="false">IF(A75="","",IF(AA75="Y",A75&amp;"_STAAD.std","n/a"))</f>
        <v/>
      </c>
      <c r="AF75" s="10" t="str">
        <f aca="false">IF(A75="","",A75&amp;"_CALC.xlsx")</f>
        <v/>
      </c>
      <c r="AG75" s="10" t="str">
        <f aca="false">IF(A75="","",A75&amp;"_CALC.pdf")</f>
        <v/>
      </c>
      <c r="AH75" s="9"/>
      <c r="AI75" s="9"/>
      <c r="AJ75" s="41"/>
      <c r="AK75" s="41"/>
      <c r="AL75" s="41"/>
      <c r="AM75" s="41"/>
      <c r="AN75" s="41"/>
      <c r="AO75" s="38" t="str">
        <f aca="false">IF(C75="","",IF(LEN(IF(AND(C75&lt;&gt;"High Covered Linkway",F75&lt;SG_Criteria!$B$46),"FAIL: headroom below "&amp;SG_Criteria!$B$46&amp;" m. ","")&amp;IF(AND(C75="High Covered Linkway",F75&lt;SG_Criteria!$B$47),"FAIL: high linkway headroom below "&amp;SG_Criteria!$B$47&amp;" m. ","")&amp;IF(E75&lt;SG_Criteria!$B$48,"FAIL: roof width below "&amp;SG_Criteria!$B$48&amp;" m. ",IF(E75&lt;SG_Criteria!$B$49,"NOTE: not for MRT/LRT or high-traffic routes (min "&amp;SG_Criteria!$B$49&amp;" m). ",""))&amp;IF(AND(P75&lt;&gt;"",P75&lt;SG_Criteria!$B$50),"FAIL: wind speed below "&amp;SG_Criteria!$B$50&amp;" m/s. ","")&amp;IF(AND(Q75&lt;&gt;"",Q75&lt;SG_Criteria!$B$51),"FAIL: roof fixing pull-out below "&amp;SG_Criteria!$B$51&amp;" kN. ","")&amp;IF(AND(R75&lt;&gt;"",IFERROR(VALUE(MID(R75,2,2)),0)&lt;SG_Criteria!$B$52),"FAIL: grade below C"&amp;SG_Criteria!$B$52&amp;". ","")&amp;IF(D75="Non-standard (project design)","NOTE: not an SDRE standard, needs LTA acceptance. ",""))=0,"OK",IF(AND(C75&lt;&gt;"High Covered Linkway",F75&lt;SG_Criteria!$B$46),"FAIL: headroom below "&amp;SG_Criteria!$B$46&amp;" m. ","")&amp;IF(AND(C75="High Covered Linkway",F75&lt;SG_Criteria!$B$47),"FAIL: high linkway headroom below "&amp;SG_Criteria!$B$47&amp;" m. ","")&amp;IF(E75&lt;SG_Criteria!$B$48,"FAIL: roof width below "&amp;SG_Criteria!$B$48&amp;" m. ",IF(E75&lt;SG_Criteria!$B$49,"NOTE: not for MRT/LRT or high-traffic routes (min "&amp;SG_Criteria!$B$49&amp;" m). ",""))&amp;IF(AND(P75&lt;&gt;"",P75&lt;SG_Criteria!$B$50),"FAIL: wind speed below "&amp;SG_Criteria!$B$50&amp;" m/s. ","")&amp;IF(AND(Q75&lt;&gt;"",Q75&lt;SG_Criteria!$B$51),"FAIL: roof fixing pull-out below "&amp;SG_Criteria!$B$51&amp;" kN. ","")&amp;IF(AND(R75&lt;&gt;"",IFERROR(VALUE(MID(R75,2,2)),0)&lt;SG_Criteria!$B$52),"FAIL: grade below C"&amp;SG_Criteria!$B$52&amp;". ","")&amp;IF(D75="Non-standard (project design)","NOTE: not an SDRE standard, needs LTA acceptance. ","")))</f>
        <v/>
      </c>
      <c r="AP75" s="9"/>
      <c r="AQ75" s="9"/>
      <c r="AR75" s="9"/>
      <c r="AS75" s="9"/>
      <c r="AT75" s="9"/>
      <c r="AU75" s="31"/>
      <c r="AV75" s="10" t="str">
        <f aca="false">IF(C75="","",IF(AND(X75="Approved",ISERROR(SEARCH("FAIL",AO75))),"Y","N"))</f>
        <v/>
      </c>
      <c r="AW75" s="10" t="str">
        <f aca="false">IF(C75="","",C75&amp;"|"&amp;E75&amp;"|"&amp;F75&amp;"|"&amp;AV75)</f>
        <v/>
      </c>
    </row>
    <row r="76" customFormat="false" ht="15" hidden="false" customHeight="false" outlineLevel="0" collapsed="false">
      <c r="A76" s="10" t="str">
        <f aca="false">IF(C76="","","LKW-"&amp;IFERROR(VLOOKUP(C76,Lists!$AQ$4:$AR$17,2,0),"??")&amp;"-W"&amp;TEXT(E76*1000,"0000")&amp;"-H"&amp;TEXT(F76*1000,"0000")&amp;"-B"&amp;TEXT(G76*1000,"0000")&amp;"-"&amp;W76)</f>
        <v/>
      </c>
      <c r="B76" s="10" t="str">
        <f aca="false">IF(C76="","",C76&amp;", "&amp;E76&amp;" m wide, "&amp;F76&amp;" m headroom, "&amp;G76&amp;" m bays, "&amp;H76&amp;" ("&amp;D76&amp;")")</f>
        <v/>
      </c>
      <c r="C76" s="9"/>
      <c r="D76" s="9"/>
      <c r="E76" s="43"/>
      <c r="F76" s="43"/>
      <c r="G76" s="43"/>
      <c r="H76" s="9"/>
      <c r="I76" s="9"/>
      <c r="J76" s="9"/>
      <c r="K76" s="9"/>
      <c r="L76" s="9"/>
      <c r="M76" s="9"/>
      <c r="N76" s="9"/>
      <c r="O76" s="9"/>
      <c r="P76" s="40"/>
      <c r="Q76" s="43"/>
      <c r="R76" s="9"/>
      <c r="S76" s="9"/>
      <c r="T76" s="9"/>
      <c r="U76" s="43"/>
      <c r="V76" s="9"/>
      <c r="W76" s="9"/>
      <c r="X76" s="9"/>
      <c r="Y76" s="9"/>
      <c r="Z76" s="9"/>
      <c r="AA76" s="9"/>
      <c r="AB76" s="10" t="str">
        <f aca="false">IF(A76="","",SG_Criteria!$B$6&amp;SG_Criteria!$B$12&amp;"\"&amp;A76&amp;"\")</f>
        <v/>
      </c>
      <c r="AC76" s="10" t="str">
        <f aca="false">IF(A76="","",A76&amp;"_CAD.dwg")</f>
        <v/>
      </c>
      <c r="AD76" s="10" t="str">
        <f aca="false">IF(A76="","",A76&amp;"_DWG.pdf")</f>
        <v/>
      </c>
      <c r="AE76" s="10" t="str">
        <f aca="false">IF(A76="","",IF(AA76="Y",A76&amp;"_STAAD.std","n/a"))</f>
        <v/>
      </c>
      <c r="AF76" s="10" t="str">
        <f aca="false">IF(A76="","",A76&amp;"_CALC.xlsx")</f>
        <v/>
      </c>
      <c r="AG76" s="10" t="str">
        <f aca="false">IF(A76="","",A76&amp;"_CALC.pdf")</f>
        <v/>
      </c>
      <c r="AH76" s="9"/>
      <c r="AI76" s="9"/>
      <c r="AJ76" s="41"/>
      <c r="AK76" s="41"/>
      <c r="AL76" s="41"/>
      <c r="AM76" s="41"/>
      <c r="AN76" s="41"/>
      <c r="AO76" s="38" t="str">
        <f aca="false">IF(C76="","",IF(LEN(IF(AND(C76&lt;&gt;"High Covered Linkway",F76&lt;SG_Criteria!$B$46),"FAIL: headroom below "&amp;SG_Criteria!$B$46&amp;" m. ","")&amp;IF(AND(C76="High Covered Linkway",F76&lt;SG_Criteria!$B$47),"FAIL: high linkway headroom below "&amp;SG_Criteria!$B$47&amp;" m. ","")&amp;IF(E76&lt;SG_Criteria!$B$48,"FAIL: roof width below "&amp;SG_Criteria!$B$48&amp;" m. ",IF(E76&lt;SG_Criteria!$B$49,"NOTE: not for MRT/LRT or high-traffic routes (min "&amp;SG_Criteria!$B$49&amp;" m). ",""))&amp;IF(AND(P76&lt;&gt;"",P76&lt;SG_Criteria!$B$50),"FAIL: wind speed below "&amp;SG_Criteria!$B$50&amp;" m/s. ","")&amp;IF(AND(Q76&lt;&gt;"",Q76&lt;SG_Criteria!$B$51),"FAIL: roof fixing pull-out below "&amp;SG_Criteria!$B$51&amp;" kN. ","")&amp;IF(AND(R76&lt;&gt;"",IFERROR(VALUE(MID(R76,2,2)),0)&lt;SG_Criteria!$B$52),"FAIL: grade below C"&amp;SG_Criteria!$B$52&amp;". ","")&amp;IF(D76="Non-standard (project design)","NOTE: not an SDRE standard, needs LTA acceptance. ",""))=0,"OK",IF(AND(C76&lt;&gt;"High Covered Linkway",F76&lt;SG_Criteria!$B$46),"FAIL: headroom below "&amp;SG_Criteria!$B$46&amp;" m. ","")&amp;IF(AND(C76="High Covered Linkway",F76&lt;SG_Criteria!$B$47),"FAIL: high linkway headroom below "&amp;SG_Criteria!$B$47&amp;" m. ","")&amp;IF(E76&lt;SG_Criteria!$B$48,"FAIL: roof width below "&amp;SG_Criteria!$B$48&amp;" m. ",IF(E76&lt;SG_Criteria!$B$49,"NOTE: not for MRT/LRT or high-traffic routes (min "&amp;SG_Criteria!$B$49&amp;" m). ",""))&amp;IF(AND(P76&lt;&gt;"",P76&lt;SG_Criteria!$B$50),"FAIL: wind speed below "&amp;SG_Criteria!$B$50&amp;" m/s. ","")&amp;IF(AND(Q76&lt;&gt;"",Q76&lt;SG_Criteria!$B$51),"FAIL: roof fixing pull-out below "&amp;SG_Criteria!$B$51&amp;" kN. ","")&amp;IF(AND(R76&lt;&gt;"",IFERROR(VALUE(MID(R76,2,2)),0)&lt;SG_Criteria!$B$52),"FAIL: grade below C"&amp;SG_Criteria!$B$52&amp;". ","")&amp;IF(D76="Non-standard (project design)","NOTE: not an SDRE standard, needs LTA acceptance. ","")))</f>
        <v/>
      </c>
      <c r="AP76" s="9"/>
      <c r="AQ76" s="9"/>
      <c r="AR76" s="9"/>
      <c r="AS76" s="9"/>
      <c r="AT76" s="9"/>
      <c r="AU76" s="31"/>
      <c r="AV76" s="10" t="str">
        <f aca="false">IF(C76="","",IF(AND(X76="Approved",ISERROR(SEARCH("FAIL",AO76))),"Y","N"))</f>
        <v/>
      </c>
      <c r="AW76" s="10" t="str">
        <f aca="false">IF(C76="","",C76&amp;"|"&amp;E76&amp;"|"&amp;F76&amp;"|"&amp;AV76)</f>
        <v/>
      </c>
    </row>
    <row r="77" customFormat="false" ht="15" hidden="false" customHeight="false" outlineLevel="0" collapsed="false">
      <c r="A77" s="10" t="str">
        <f aca="false">IF(C77="","","LKW-"&amp;IFERROR(VLOOKUP(C77,Lists!$AQ$4:$AR$17,2,0),"??")&amp;"-W"&amp;TEXT(E77*1000,"0000")&amp;"-H"&amp;TEXT(F77*1000,"0000")&amp;"-B"&amp;TEXT(G77*1000,"0000")&amp;"-"&amp;W77)</f>
        <v/>
      </c>
      <c r="B77" s="10" t="str">
        <f aca="false">IF(C77="","",C77&amp;", "&amp;E77&amp;" m wide, "&amp;F77&amp;" m headroom, "&amp;G77&amp;" m bays, "&amp;H77&amp;" ("&amp;D77&amp;")")</f>
        <v/>
      </c>
      <c r="C77" s="9"/>
      <c r="D77" s="9"/>
      <c r="E77" s="43"/>
      <c r="F77" s="43"/>
      <c r="G77" s="43"/>
      <c r="H77" s="9"/>
      <c r="I77" s="9"/>
      <c r="J77" s="9"/>
      <c r="K77" s="9"/>
      <c r="L77" s="9"/>
      <c r="M77" s="9"/>
      <c r="N77" s="9"/>
      <c r="O77" s="9"/>
      <c r="P77" s="40"/>
      <c r="Q77" s="43"/>
      <c r="R77" s="9"/>
      <c r="S77" s="9"/>
      <c r="T77" s="9"/>
      <c r="U77" s="43"/>
      <c r="V77" s="9"/>
      <c r="W77" s="9"/>
      <c r="X77" s="9"/>
      <c r="Y77" s="9"/>
      <c r="Z77" s="9"/>
      <c r="AA77" s="9"/>
      <c r="AB77" s="10" t="str">
        <f aca="false">IF(A77="","",SG_Criteria!$B$6&amp;SG_Criteria!$B$12&amp;"\"&amp;A77&amp;"\")</f>
        <v/>
      </c>
      <c r="AC77" s="10" t="str">
        <f aca="false">IF(A77="","",A77&amp;"_CAD.dwg")</f>
        <v/>
      </c>
      <c r="AD77" s="10" t="str">
        <f aca="false">IF(A77="","",A77&amp;"_DWG.pdf")</f>
        <v/>
      </c>
      <c r="AE77" s="10" t="str">
        <f aca="false">IF(A77="","",IF(AA77="Y",A77&amp;"_STAAD.std","n/a"))</f>
        <v/>
      </c>
      <c r="AF77" s="10" t="str">
        <f aca="false">IF(A77="","",A77&amp;"_CALC.xlsx")</f>
        <v/>
      </c>
      <c r="AG77" s="10" t="str">
        <f aca="false">IF(A77="","",A77&amp;"_CALC.pdf")</f>
        <v/>
      </c>
      <c r="AH77" s="9"/>
      <c r="AI77" s="9"/>
      <c r="AJ77" s="41"/>
      <c r="AK77" s="41"/>
      <c r="AL77" s="41"/>
      <c r="AM77" s="41"/>
      <c r="AN77" s="41"/>
      <c r="AO77" s="38" t="str">
        <f aca="false">IF(C77="","",IF(LEN(IF(AND(C77&lt;&gt;"High Covered Linkway",F77&lt;SG_Criteria!$B$46),"FAIL: headroom below "&amp;SG_Criteria!$B$46&amp;" m. ","")&amp;IF(AND(C77="High Covered Linkway",F77&lt;SG_Criteria!$B$47),"FAIL: high linkway headroom below "&amp;SG_Criteria!$B$47&amp;" m. ","")&amp;IF(E77&lt;SG_Criteria!$B$48,"FAIL: roof width below "&amp;SG_Criteria!$B$48&amp;" m. ",IF(E77&lt;SG_Criteria!$B$49,"NOTE: not for MRT/LRT or high-traffic routes (min "&amp;SG_Criteria!$B$49&amp;" m). ",""))&amp;IF(AND(P77&lt;&gt;"",P77&lt;SG_Criteria!$B$50),"FAIL: wind speed below "&amp;SG_Criteria!$B$50&amp;" m/s. ","")&amp;IF(AND(Q77&lt;&gt;"",Q77&lt;SG_Criteria!$B$51),"FAIL: roof fixing pull-out below "&amp;SG_Criteria!$B$51&amp;" kN. ","")&amp;IF(AND(R77&lt;&gt;"",IFERROR(VALUE(MID(R77,2,2)),0)&lt;SG_Criteria!$B$52),"FAIL: grade below C"&amp;SG_Criteria!$B$52&amp;". ","")&amp;IF(D77="Non-standard (project design)","NOTE: not an SDRE standard, needs LTA acceptance. ",""))=0,"OK",IF(AND(C77&lt;&gt;"High Covered Linkway",F77&lt;SG_Criteria!$B$46),"FAIL: headroom below "&amp;SG_Criteria!$B$46&amp;" m. ","")&amp;IF(AND(C77="High Covered Linkway",F77&lt;SG_Criteria!$B$47),"FAIL: high linkway headroom below "&amp;SG_Criteria!$B$47&amp;" m. ","")&amp;IF(E77&lt;SG_Criteria!$B$48,"FAIL: roof width below "&amp;SG_Criteria!$B$48&amp;" m. ",IF(E77&lt;SG_Criteria!$B$49,"NOTE: not for MRT/LRT or high-traffic routes (min "&amp;SG_Criteria!$B$49&amp;" m). ",""))&amp;IF(AND(P77&lt;&gt;"",P77&lt;SG_Criteria!$B$50),"FAIL: wind speed below "&amp;SG_Criteria!$B$50&amp;" m/s. ","")&amp;IF(AND(Q77&lt;&gt;"",Q77&lt;SG_Criteria!$B$51),"FAIL: roof fixing pull-out below "&amp;SG_Criteria!$B$51&amp;" kN. ","")&amp;IF(AND(R77&lt;&gt;"",IFERROR(VALUE(MID(R77,2,2)),0)&lt;SG_Criteria!$B$52),"FAIL: grade below C"&amp;SG_Criteria!$B$52&amp;". ","")&amp;IF(D77="Non-standard (project design)","NOTE: not an SDRE standard, needs LTA acceptance. ","")))</f>
        <v/>
      </c>
      <c r="AP77" s="9"/>
      <c r="AQ77" s="9"/>
      <c r="AR77" s="9"/>
      <c r="AS77" s="9"/>
      <c r="AT77" s="9"/>
      <c r="AU77" s="31"/>
      <c r="AV77" s="10" t="str">
        <f aca="false">IF(C77="","",IF(AND(X77="Approved",ISERROR(SEARCH("FAIL",AO77))),"Y","N"))</f>
        <v/>
      </c>
      <c r="AW77" s="10" t="str">
        <f aca="false">IF(C77="","",C77&amp;"|"&amp;E77&amp;"|"&amp;F77&amp;"|"&amp;AV77)</f>
        <v/>
      </c>
    </row>
    <row r="78" customFormat="false" ht="15" hidden="false" customHeight="false" outlineLevel="0" collapsed="false">
      <c r="A78" s="10" t="str">
        <f aca="false">IF(C78="","","LKW-"&amp;IFERROR(VLOOKUP(C78,Lists!$AQ$4:$AR$17,2,0),"??")&amp;"-W"&amp;TEXT(E78*1000,"0000")&amp;"-H"&amp;TEXT(F78*1000,"0000")&amp;"-B"&amp;TEXT(G78*1000,"0000")&amp;"-"&amp;W78)</f>
        <v/>
      </c>
      <c r="B78" s="10" t="str">
        <f aca="false">IF(C78="","",C78&amp;", "&amp;E78&amp;" m wide, "&amp;F78&amp;" m headroom, "&amp;G78&amp;" m bays, "&amp;H78&amp;" ("&amp;D78&amp;")")</f>
        <v/>
      </c>
      <c r="C78" s="9"/>
      <c r="D78" s="9"/>
      <c r="E78" s="43"/>
      <c r="F78" s="43"/>
      <c r="G78" s="43"/>
      <c r="H78" s="9"/>
      <c r="I78" s="9"/>
      <c r="J78" s="9"/>
      <c r="K78" s="9"/>
      <c r="L78" s="9"/>
      <c r="M78" s="9"/>
      <c r="N78" s="9"/>
      <c r="O78" s="9"/>
      <c r="P78" s="40"/>
      <c r="Q78" s="43"/>
      <c r="R78" s="9"/>
      <c r="S78" s="9"/>
      <c r="T78" s="9"/>
      <c r="U78" s="43"/>
      <c r="V78" s="9"/>
      <c r="W78" s="9"/>
      <c r="X78" s="9"/>
      <c r="Y78" s="9"/>
      <c r="Z78" s="9"/>
      <c r="AA78" s="9"/>
      <c r="AB78" s="10" t="str">
        <f aca="false">IF(A78="","",SG_Criteria!$B$6&amp;SG_Criteria!$B$12&amp;"\"&amp;A78&amp;"\")</f>
        <v/>
      </c>
      <c r="AC78" s="10" t="str">
        <f aca="false">IF(A78="","",A78&amp;"_CAD.dwg")</f>
        <v/>
      </c>
      <c r="AD78" s="10" t="str">
        <f aca="false">IF(A78="","",A78&amp;"_DWG.pdf")</f>
        <v/>
      </c>
      <c r="AE78" s="10" t="str">
        <f aca="false">IF(A78="","",IF(AA78="Y",A78&amp;"_STAAD.std","n/a"))</f>
        <v/>
      </c>
      <c r="AF78" s="10" t="str">
        <f aca="false">IF(A78="","",A78&amp;"_CALC.xlsx")</f>
        <v/>
      </c>
      <c r="AG78" s="10" t="str">
        <f aca="false">IF(A78="","",A78&amp;"_CALC.pdf")</f>
        <v/>
      </c>
      <c r="AH78" s="9"/>
      <c r="AI78" s="9"/>
      <c r="AJ78" s="41"/>
      <c r="AK78" s="41"/>
      <c r="AL78" s="41"/>
      <c r="AM78" s="41"/>
      <c r="AN78" s="41"/>
      <c r="AO78" s="38" t="str">
        <f aca="false">IF(C78="","",IF(LEN(IF(AND(C78&lt;&gt;"High Covered Linkway",F78&lt;SG_Criteria!$B$46),"FAIL: headroom below "&amp;SG_Criteria!$B$46&amp;" m. ","")&amp;IF(AND(C78="High Covered Linkway",F78&lt;SG_Criteria!$B$47),"FAIL: high linkway headroom below "&amp;SG_Criteria!$B$47&amp;" m. ","")&amp;IF(E78&lt;SG_Criteria!$B$48,"FAIL: roof width below "&amp;SG_Criteria!$B$48&amp;" m. ",IF(E78&lt;SG_Criteria!$B$49,"NOTE: not for MRT/LRT or high-traffic routes (min "&amp;SG_Criteria!$B$49&amp;" m). ",""))&amp;IF(AND(P78&lt;&gt;"",P78&lt;SG_Criteria!$B$50),"FAIL: wind speed below "&amp;SG_Criteria!$B$50&amp;" m/s. ","")&amp;IF(AND(Q78&lt;&gt;"",Q78&lt;SG_Criteria!$B$51),"FAIL: roof fixing pull-out below "&amp;SG_Criteria!$B$51&amp;" kN. ","")&amp;IF(AND(R78&lt;&gt;"",IFERROR(VALUE(MID(R78,2,2)),0)&lt;SG_Criteria!$B$52),"FAIL: grade below C"&amp;SG_Criteria!$B$52&amp;". ","")&amp;IF(D78="Non-standard (project design)","NOTE: not an SDRE standard, needs LTA acceptance. ",""))=0,"OK",IF(AND(C78&lt;&gt;"High Covered Linkway",F78&lt;SG_Criteria!$B$46),"FAIL: headroom below "&amp;SG_Criteria!$B$46&amp;" m. ","")&amp;IF(AND(C78="High Covered Linkway",F78&lt;SG_Criteria!$B$47),"FAIL: high linkway headroom below "&amp;SG_Criteria!$B$47&amp;" m. ","")&amp;IF(E78&lt;SG_Criteria!$B$48,"FAIL: roof width below "&amp;SG_Criteria!$B$48&amp;" m. ",IF(E78&lt;SG_Criteria!$B$49,"NOTE: not for MRT/LRT or high-traffic routes (min "&amp;SG_Criteria!$B$49&amp;" m). ",""))&amp;IF(AND(P78&lt;&gt;"",P78&lt;SG_Criteria!$B$50),"FAIL: wind speed below "&amp;SG_Criteria!$B$50&amp;" m/s. ","")&amp;IF(AND(Q78&lt;&gt;"",Q78&lt;SG_Criteria!$B$51),"FAIL: roof fixing pull-out below "&amp;SG_Criteria!$B$51&amp;" kN. ","")&amp;IF(AND(R78&lt;&gt;"",IFERROR(VALUE(MID(R78,2,2)),0)&lt;SG_Criteria!$B$52),"FAIL: grade below C"&amp;SG_Criteria!$B$52&amp;". ","")&amp;IF(D78="Non-standard (project design)","NOTE: not an SDRE standard, needs LTA acceptance. ","")))</f>
        <v/>
      </c>
      <c r="AP78" s="9"/>
      <c r="AQ78" s="9"/>
      <c r="AR78" s="9"/>
      <c r="AS78" s="9"/>
      <c r="AT78" s="9"/>
      <c r="AU78" s="31"/>
      <c r="AV78" s="10" t="str">
        <f aca="false">IF(C78="","",IF(AND(X78="Approved",ISERROR(SEARCH("FAIL",AO78))),"Y","N"))</f>
        <v/>
      </c>
      <c r="AW78" s="10" t="str">
        <f aca="false">IF(C78="","",C78&amp;"|"&amp;E78&amp;"|"&amp;F78&amp;"|"&amp;AV78)</f>
        <v/>
      </c>
    </row>
    <row r="79" customFormat="false" ht="15" hidden="false" customHeight="false" outlineLevel="0" collapsed="false">
      <c r="A79" s="10" t="str">
        <f aca="false">IF(C79="","","LKW-"&amp;IFERROR(VLOOKUP(C79,Lists!$AQ$4:$AR$17,2,0),"??")&amp;"-W"&amp;TEXT(E79*1000,"0000")&amp;"-H"&amp;TEXT(F79*1000,"0000")&amp;"-B"&amp;TEXT(G79*1000,"0000")&amp;"-"&amp;W79)</f>
        <v/>
      </c>
      <c r="B79" s="10" t="str">
        <f aca="false">IF(C79="","",C79&amp;", "&amp;E79&amp;" m wide, "&amp;F79&amp;" m headroom, "&amp;G79&amp;" m bays, "&amp;H79&amp;" ("&amp;D79&amp;")")</f>
        <v/>
      </c>
      <c r="C79" s="9"/>
      <c r="D79" s="9"/>
      <c r="E79" s="43"/>
      <c r="F79" s="43"/>
      <c r="G79" s="43"/>
      <c r="H79" s="9"/>
      <c r="I79" s="9"/>
      <c r="J79" s="9"/>
      <c r="K79" s="9"/>
      <c r="L79" s="9"/>
      <c r="M79" s="9"/>
      <c r="N79" s="9"/>
      <c r="O79" s="9"/>
      <c r="P79" s="40"/>
      <c r="Q79" s="43"/>
      <c r="R79" s="9"/>
      <c r="S79" s="9"/>
      <c r="T79" s="9"/>
      <c r="U79" s="43"/>
      <c r="V79" s="9"/>
      <c r="W79" s="9"/>
      <c r="X79" s="9"/>
      <c r="Y79" s="9"/>
      <c r="Z79" s="9"/>
      <c r="AA79" s="9"/>
      <c r="AB79" s="10" t="str">
        <f aca="false">IF(A79="","",SG_Criteria!$B$6&amp;SG_Criteria!$B$12&amp;"\"&amp;A79&amp;"\")</f>
        <v/>
      </c>
      <c r="AC79" s="10" t="str">
        <f aca="false">IF(A79="","",A79&amp;"_CAD.dwg")</f>
        <v/>
      </c>
      <c r="AD79" s="10" t="str">
        <f aca="false">IF(A79="","",A79&amp;"_DWG.pdf")</f>
        <v/>
      </c>
      <c r="AE79" s="10" t="str">
        <f aca="false">IF(A79="","",IF(AA79="Y",A79&amp;"_STAAD.std","n/a"))</f>
        <v/>
      </c>
      <c r="AF79" s="10" t="str">
        <f aca="false">IF(A79="","",A79&amp;"_CALC.xlsx")</f>
        <v/>
      </c>
      <c r="AG79" s="10" t="str">
        <f aca="false">IF(A79="","",A79&amp;"_CALC.pdf")</f>
        <v/>
      </c>
      <c r="AH79" s="9"/>
      <c r="AI79" s="9"/>
      <c r="AJ79" s="41"/>
      <c r="AK79" s="41"/>
      <c r="AL79" s="41"/>
      <c r="AM79" s="41"/>
      <c r="AN79" s="41"/>
      <c r="AO79" s="38" t="str">
        <f aca="false">IF(C79="","",IF(LEN(IF(AND(C79&lt;&gt;"High Covered Linkway",F79&lt;SG_Criteria!$B$46),"FAIL: headroom below "&amp;SG_Criteria!$B$46&amp;" m. ","")&amp;IF(AND(C79="High Covered Linkway",F79&lt;SG_Criteria!$B$47),"FAIL: high linkway headroom below "&amp;SG_Criteria!$B$47&amp;" m. ","")&amp;IF(E79&lt;SG_Criteria!$B$48,"FAIL: roof width below "&amp;SG_Criteria!$B$48&amp;" m. ",IF(E79&lt;SG_Criteria!$B$49,"NOTE: not for MRT/LRT or high-traffic routes (min "&amp;SG_Criteria!$B$49&amp;" m). ",""))&amp;IF(AND(P79&lt;&gt;"",P79&lt;SG_Criteria!$B$50),"FAIL: wind speed below "&amp;SG_Criteria!$B$50&amp;" m/s. ","")&amp;IF(AND(Q79&lt;&gt;"",Q79&lt;SG_Criteria!$B$51),"FAIL: roof fixing pull-out below "&amp;SG_Criteria!$B$51&amp;" kN. ","")&amp;IF(AND(R79&lt;&gt;"",IFERROR(VALUE(MID(R79,2,2)),0)&lt;SG_Criteria!$B$52),"FAIL: grade below C"&amp;SG_Criteria!$B$52&amp;". ","")&amp;IF(D79="Non-standard (project design)","NOTE: not an SDRE standard, needs LTA acceptance. ",""))=0,"OK",IF(AND(C79&lt;&gt;"High Covered Linkway",F79&lt;SG_Criteria!$B$46),"FAIL: headroom below "&amp;SG_Criteria!$B$46&amp;" m. ","")&amp;IF(AND(C79="High Covered Linkway",F79&lt;SG_Criteria!$B$47),"FAIL: high linkway headroom below "&amp;SG_Criteria!$B$47&amp;" m. ","")&amp;IF(E79&lt;SG_Criteria!$B$48,"FAIL: roof width below "&amp;SG_Criteria!$B$48&amp;" m. ",IF(E79&lt;SG_Criteria!$B$49,"NOTE: not for MRT/LRT or high-traffic routes (min "&amp;SG_Criteria!$B$49&amp;" m). ",""))&amp;IF(AND(P79&lt;&gt;"",P79&lt;SG_Criteria!$B$50),"FAIL: wind speed below "&amp;SG_Criteria!$B$50&amp;" m/s. ","")&amp;IF(AND(Q79&lt;&gt;"",Q79&lt;SG_Criteria!$B$51),"FAIL: roof fixing pull-out below "&amp;SG_Criteria!$B$51&amp;" kN. ","")&amp;IF(AND(R79&lt;&gt;"",IFERROR(VALUE(MID(R79,2,2)),0)&lt;SG_Criteria!$B$52),"FAIL: grade below C"&amp;SG_Criteria!$B$52&amp;". ","")&amp;IF(D79="Non-standard (project design)","NOTE: not an SDRE standard, needs LTA acceptance. ","")))</f>
        <v/>
      </c>
      <c r="AP79" s="9"/>
      <c r="AQ79" s="9"/>
      <c r="AR79" s="9"/>
      <c r="AS79" s="9"/>
      <c r="AT79" s="9"/>
      <c r="AU79" s="31"/>
      <c r="AV79" s="10" t="str">
        <f aca="false">IF(C79="","",IF(AND(X79="Approved",ISERROR(SEARCH("FAIL",AO79))),"Y","N"))</f>
        <v/>
      </c>
      <c r="AW79" s="10" t="str">
        <f aca="false">IF(C79="","",C79&amp;"|"&amp;E79&amp;"|"&amp;F79&amp;"|"&amp;AV79)</f>
        <v/>
      </c>
    </row>
    <row r="80" customFormat="false" ht="15" hidden="false" customHeight="false" outlineLevel="0" collapsed="false">
      <c r="A80" s="10" t="str">
        <f aca="false">IF(C80="","","LKW-"&amp;IFERROR(VLOOKUP(C80,Lists!$AQ$4:$AR$17,2,0),"??")&amp;"-W"&amp;TEXT(E80*1000,"0000")&amp;"-H"&amp;TEXT(F80*1000,"0000")&amp;"-B"&amp;TEXT(G80*1000,"0000")&amp;"-"&amp;W80)</f>
        <v/>
      </c>
      <c r="B80" s="10" t="str">
        <f aca="false">IF(C80="","",C80&amp;", "&amp;E80&amp;" m wide, "&amp;F80&amp;" m headroom, "&amp;G80&amp;" m bays, "&amp;H80&amp;" ("&amp;D80&amp;")")</f>
        <v/>
      </c>
      <c r="C80" s="9"/>
      <c r="D80" s="9"/>
      <c r="E80" s="43"/>
      <c r="F80" s="43"/>
      <c r="G80" s="43"/>
      <c r="H80" s="9"/>
      <c r="I80" s="9"/>
      <c r="J80" s="9"/>
      <c r="K80" s="9"/>
      <c r="L80" s="9"/>
      <c r="M80" s="9"/>
      <c r="N80" s="9"/>
      <c r="O80" s="9"/>
      <c r="P80" s="40"/>
      <c r="Q80" s="43"/>
      <c r="R80" s="9"/>
      <c r="S80" s="9"/>
      <c r="T80" s="9"/>
      <c r="U80" s="43"/>
      <c r="V80" s="9"/>
      <c r="W80" s="9"/>
      <c r="X80" s="9"/>
      <c r="Y80" s="9"/>
      <c r="Z80" s="9"/>
      <c r="AA80" s="9"/>
      <c r="AB80" s="10" t="str">
        <f aca="false">IF(A80="","",SG_Criteria!$B$6&amp;SG_Criteria!$B$12&amp;"\"&amp;A80&amp;"\")</f>
        <v/>
      </c>
      <c r="AC80" s="10" t="str">
        <f aca="false">IF(A80="","",A80&amp;"_CAD.dwg")</f>
        <v/>
      </c>
      <c r="AD80" s="10" t="str">
        <f aca="false">IF(A80="","",A80&amp;"_DWG.pdf")</f>
        <v/>
      </c>
      <c r="AE80" s="10" t="str">
        <f aca="false">IF(A80="","",IF(AA80="Y",A80&amp;"_STAAD.std","n/a"))</f>
        <v/>
      </c>
      <c r="AF80" s="10" t="str">
        <f aca="false">IF(A80="","",A80&amp;"_CALC.xlsx")</f>
        <v/>
      </c>
      <c r="AG80" s="10" t="str">
        <f aca="false">IF(A80="","",A80&amp;"_CALC.pdf")</f>
        <v/>
      </c>
      <c r="AH80" s="9"/>
      <c r="AI80" s="9"/>
      <c r="AJ80" s="41"/>
      <c r="AK80" s="41"/>
      <c r="AL80" s="41"/>
      <c r="AM80" s="41"/>
      <c r="AN80" s="41"/>
      <c r="AO80" s="38" t="str">
        <f aca="false">IF(C80="","",IF(LEN(IF(AND(C80&lt;&gt;"High Covered Linkway",F80&lt;SG_Criteria!$B$46),"FAIL: headroom below "&amp;SG_Criteria!$B$46&amp;" m. ","")&amp;IF(AND(C80="High Covered Linkway",F80&lt;SG_Criteria!$B$47),"FAIL: high linkway headroom below "&amp;SG_Criteria!$B$47&amp;" m. ","")&amp;IF(E80&lt;SG_Criteria!$B$48,"FAIL: roof width below "&amp;SG_Criteria!$B$48&amp;" m. ",IF(E80&lt;SG_Criteria!$B$49,"NOTE: not for MRT/LRT or high-traffic routes (min "&amp;SG_Criteria!$B$49&amp;" m). ",""))&amp;IF(AND(P80&lt;&gt;"",P80&lt;SG_Criteria!$B$50),"FAIL: wind speed below "&amp;SG_Criteria!$B$50&amp;" m/s. ","")&amp;IF(AND(Q80&lt;&gt;"",Q80&lt;SG_Criteria!$B$51),"FAIL: roof fixing pull-out below "&amp;SG_Criteria!$B$51&amp;" kN. ","")&amp;IF(AND(R80&lt;&gt;"",IFERROR(VALUE(MID(R80,2,2)),0)&lt;SG_Criteria!$B$52),"FAIL: grade below C"&amp;SG_Criteria!$B$52&amp;". ","")&amp;IF(D80="Non-standard (project design)","NOTE: not an SDRE standard, needs LTA acceptance. ",""))=0,"OK",IF(AND(C80&lt;&gt;"High Covered Linkway",F80&lt;SG_Criteria!$B$46),"FAIL: headroom below "&amp;SG_Criteria!$B$46&amp;" m. ","")&amp;IF(AND(C80="High Covered Linkway",F80&lt;SG_Criteria!$B$47),"FAIL: high linkway headroom below "&amp;SG_Criteria!$B$47&amp;" m. ","")&amp;IF(E80&lt;SG_Criteria!$B$48,"FAIL: roof width below "&amp;SG_Criteria!$B$48&amp;" m. ",IF(E80&lt;SG_Criteria!$B$49,"NOTE: not for MRT/LRT or high-traffic routes (min "&amp;SG_Criteria!$B$49&amp;" m). ",""))&amp;IF(AND(P80&lt;&gt;"",P80&lt;SG_Criteria!$B$50),"FAIL: wind speed below "&amp;SG_Criteria!$B$50&amp;" m/s. ","")&amp;IF(AND(Q80&lt;&gt;"",Q80&lt;SG_Criteria!$B$51),"FAIL: roof fixing pull-out below "&amp;SG_Criteria!$B$51&amp;" kN. ","")&amp;IF(AND(R80&lt;&gt;"",IFERROR(VALUE(MID(R80,2,2)),0)&lt;SG_Criteria!$B$52),"FAIL: grade below C"&amp;SG_Criteria!$B$52&amp;". ","")&amp;IF(D80="Non-standard (project design)","NOTE: not an SDRE standard, needs LTA acceptance. ","")))</f>
        <v/>
      </c>
      <c r="AP80" s="9"/>
      <c r="AQ80" s="9"/>
      <c r="AR80" s="9"/>
      <c r="AS80" s="9"/>
      <c r="AT80" s="9"/>
      <c r="AU80" s="31"/>
      <c r="AV80" s="10" t="str">
        <f aca="false">IF(C80="","",IF(AND(X80="Approved",ISERROR(SEARCH("FAIL",AO80))),"Y","N"))</f>
        <v/>
      </c>
      <c r="AW80" s="10" t="str">
        <f aca="false">IF(C80="","",C80&amp;"|"&amp;E80&amp;"|"&amp;F80&amp;"|"&amp;AV80)</f>
        <v/>
      </c>
    </row>
    <row r="81" customFormat="false" ht="15" hidden="false" customHeight="false" outlineLevel="0" collapsed="false">
      <c r="A81" s="10" t="str">
        <f aca="false">IF(C81="","","LKW-"&amp;IFERROR(VLOOKUP(C81,Lists!$AQ$4:$AR$17,2,0),"??")&amp;"-W"&amp;TEXT(E81*1000,"0000")&amp;"-H"&amp;TEXT(F81*1000,"0000")&amp;"-B"&amp;TEXT(G81*1000,"0000")&amp;"-"&amp;W81)</f>
        <v/>
      </c>
      <c r="B81" s="10" t="str">
        <f aca="false">IF(C81="","",C81&amp;", "&amp;E81&amp;" m wide, "&amp;F81&amp;" m headroom, "&amp;G81&amp;" m bays, "&amp;H81&amp;" ("&amp;D81&amp;")")</f>
        <v/>
      </c>
      <c r="C81" s="9"/>
      <c r="D81" s="9"/>
      <c r="E81" s="43"/>
      <c r="F81" s="43"/>
      <c r="G81" s="43"/>
      <c r="H81" s="9"/>
      <c r="I81" s="9"/>
      <c r="J81" s="9"/>
      <c r="K81" s="9"/>
      <c r="L81" s="9"/>
      <c r="M81" s="9"/>
      <c r="N81" s="9"/>
      <c r="O81" s="9"/>
      <c r="P81" s="40"/>
      <c r="Q81" s="43"/>
      <c r="R81" s="9"/>
      <c r="S81" s="9"/>
      <c r="T81" s="9"/>
      <c r="U81" s="43"/>
      <c r="V81" s="9"/>
      <c r="W81" s="9"/>
      <c r="X81" s="9"/>
      <c r="Y81" s="9"/>
      <c r="Z81" s="9"/>
      <c r="AA81" s="9"/>
      <c r="AB81" s="10" t="str">
        <f aca="false">IF(A81="","",SG_Criteria!$B$6&amp;SG_Criteria!$B$12&amp;"\"&amp;A81&amp;"\")</f>
        <v/>
      </c>
      <c r="AC81" s="10" t="str">
        <f aca="false">IF(A81="","",A81&amp;"_CAD.dwg")</f>
        <v/>
      </c>
      <c r="AD81" s="10" t="str">
        <f aca="false">IF(A81="","",A81&amp;"_DWG.pdf")</f>
        <v/>
      </c>
      <c r="AE81" s="10" t="str">
        <f aca="false">IF(A81="","",IF(AA81="Y",A81&amp;"_STAAD.std","n/a"))</f>
        <v/>
      </c>
      <c r="AF81" s="10" t="str">
        <f aca="false">IF(A81="","",A81&amp;"_CALC.xlsx")</f>
        <v/>
      </c>
      <c r="AG81" s="10" t="str">
        <f aca="false">IF(A81="","",A81&amp;"_CALC.pdf")</f>
        <v/>
      </c>
      <c r="AH81" s="9"/>
      <c r="AI81" s="9"/>
      <c r="AJ81" s="41"/>
      <c r="AK81" s="41"/>
      <c r="AL81" s="41"/>
      <c r="AM81" s="41"/>
      <c r="AN81" s="41"/>
      <c r="AO81" s="38" t="str">
        <f aca="false">IF(C81="","",IF(LEN(IF(AND(C81&lt;&gt;"High Covered Linkway",F81&lt;SG_Criteria!$B$46),"FAIL: headroom below "&amp;SG_Criteria!$B$46&amp;" m. ","")&amp;IF(AND(C81="High Covered Linkway",F81&lt;SG_Criteria!$B$47),"FAIL: high linkway headroom below "&amp;SG_Criteria!$B$47&amp;" m. ","")&amp;IF(E81&lt;SG_Criteria!$B$48,"FAIL: roof width below "&amp;SG_Criteria!$B$48&amp;" m. ",IF(E81&lt;SG_Criteria!$B$49,"NOTE: not for MRT/LRT or high-traffic routes (min "&amp;SG_Criteria!$B$49&amp;" m). ",""))&amp;IF(AND(P81&lt;&gt;"",P81&lt;SG_Criteria!$B$50),"FAIL: wind speed below "&amp;SG_Criteria!$B$50&amp;" m/s. ","")&amp;IF(AND(Q81&lt;&gt;"",Q81&lt;SG_Criteria!$B$51),"FAIL: roof fixing pull-out below "&amp;SG_Criteria!$B$51&amp;" kN. ","")&amp;IF(AND(R81&lt;&gt;"",IFERROR(VALUE(MID(R81,2,2)),0)&lt;SG_Criteria!$B$52),"FAIL: grade below C"&amp;SG_Criteria!$B$52&amp;". ","")&amp;IF(D81="Non-standard (project design)","NOTE: not an SDRE standard, needs LTA acceptance. ",""))=0,"OK",IF(AND(C81&lt;&gt;"High Covered Linkway",F81&lt;SG_Criteria!$B$46),"FAIL: headroom below "&amp;SG_Criteria!$B$46&amp;" m. ","")&amp;IF(AND(C81="High Covered Linkway",F81&lt;SG_Criteria!$B$47),"FAIL: high linkway headroom below "&amp;SG_Criteria!$B$47&amp;" m. ","")&amp;IF(E81&lt;SG_Criteria!$B$48,"FAIL: roof width below "&amp;SG_Criteria!$B$48&amp;" m. ",IF(E81&lt;SG_Criteria!$B$49,"NOTE: not for MRT/LRT or high-traffic routes (min "&amp;SG_Criteria!$B$49&amp;" m). ",""))&amp;IF(AND(P81&lt;&gt;"",P81&lt;SG_Criteria!$B$50),"FAIL: wind speed below "&amp;SG_Criteria!$B$50&amp;" m/s. ","")&amp;IF(AND(Q81&lt;&gt;"",Q81&lt;SG_Criteria!$B$51),"FAIL: roof fixing pull-out below "&amp;SG_Criteria!$B$51&amp;" kN. ","")&amp;IF(AND(R81&lt;&gt;"",IFERROR(VALUE(MID(R81,2,2)),0)&lt;SG_Criteria!$B$52),"FAIL: grade below C"&amp;SG_Criteria!$B$52&amp;". ","")&amp;IF(D81="Non-standard (project design)","NOTE: not an SDRE standard, needs LTA acceptance. ","")))</f>
        <v/>
      </c>
      <c r="AP81" s="9"/>
      <c r="AQ81" s="9"/>
      <c r="AR81" s="9"/>
      <c r="AS81" s="9"/>
      <c r="AT81" s="9"/>
      <c r="AU81" s="31"/>
      <c r="AV81" s="10" t="str">
        <f aca="false">IF(C81="","",IF(AND(X81="Approved",ISERROR(SEARCH("FAIL",AO81))),"Y","N"))</f>
        <v/>
      </c>
      <c r="AW81" s="10" t="str">
        <f aca="false">IF(C81="","",C81&amp;"|"&amp;E81&amp;"|"&amp;F81&amp;"|"&amp;AV81)</f>
        <v/>
      </c>
    </row>
    <row r="82" customFormat="false" ht="15" hidden="false" customHeight="false" outlineLevel="0" collapsed="false">
      <c r="A82" s="10" t="str">
        <f aca="false">IF(C82="","","LKW-"&amp;IFERROR(VLOOKUP(C82,Lists!$AQ$4:$AR$17,2,0),"??")&amp;"-W"&amp;TEXT(E82*1000,"0000")&amp;"-H"&amp;TEXT(F82*1000,"0000")&amp;"-B"&amp;TEXT(G82*1000,"0000")&amp;"-"&amp;W82)</f>
        <v/>
      </c>
      <c r="B82" s="10" t="str">
        <f aca="false">IF(C82="","",C82&amp;", "&amp;E82&amp;" m wide, "&amp;F82&amp;" m headroom, "&amp;G82&amp;" m bays, "&amp;H82&amp;" ("&amp;D82&amp;")")</f>
        <v/>
      </c>
      <c r="C82" s="9"/>
      <c r="D82" s="9"/>
      <c r="E82" s="43"/>
      <c r="F82" s="43"/>
      <c r="G82" s="43"/>
      <c r="H82" s="9"/>
      <c r="I82" s="9"/>
      <c r="J82" s="9"/>
      <c r="K82" s="9"/>
      <c r="L82" s="9"/>
      <c r="M82" s="9"/>
      <c r="N82" s="9"/>
      <c r="O82" s="9"/>
      <c r="P82" s="40"/>
      <c r="Q82" s="43"/>
      <c r="R82" s="9"/>
      <c r="S82" s="9"/>
      <c r="T82" s="9"/>
      <c r="U82" s="43"/>
      <c r="V82" s="9"/>
      <c r="W82" s="9"/>
      <c r="X82" s="9"/>
      <c r="Y82" s="9"/>
      <c r="Z82" s="9"/>
      <c r="AA82" s="9"/>
      <c r="AB82" s="10" t="str">
        <f aca="false">IF(A82="","",SG_Criteria!$B$6&amp;SG_Criteria!$B$12&amp;"\"&amp;A82&amp;"\")</f>
        <v/>
      </c>
      <c r="AC82" s="10" t="str">
        <f aca="false">IF(A82="","",A82&amp;"_CAD.dwg")</f>
        <v/>
      </c>
      <c r="AD82" s="10" t="str">
        <f aca="false">IF(A82="","",A82&amp;"_DWG.pdf")</f>
        <v/>
      </c>
      <c r="AE82" s="10" t="str">
        <f aca="false">IF(A82="","",IF(AA82="Y",A82&amp;"_STAAD.std","n/a"))</f>
        <v/>
      </c>
      <c r="AF82" s="10" t="str">
        <f aca="false">IF(A82="","",A82&amp;"_CALC.xlsx")</f>
        <v/>
      </c>
      <c r="AG82" s="10" t="str">
        <f aca="false">IF(A82="","",A82&amp;"_CALC.pdf")</f>
        <v/>
      </c>
      <c r="AH82" s="9"/>
      <c r="AI82" s="9"/>
      <c r="AJ82" s="41"/>
      <c r="AK82" s="41"/>
      <c r="AL82" s="41"/>
      <c r="AM82" s="41"/>
      <c r="AN82" s="41"/>
      <c r="AO82" s="38" t="str">
        <f aca="false">IF(C82="","",IF(LEN(IF(AND(C82&lt;&gt;"High Covered Linkway",F82&lt;SG_Criteria!$B$46),"FAIL: headroom below "&amp;SG_Criteria!$B$46&amp;" m. ","")&amp;IF(AND(C82="High Covered Linkway",F82&lt;SG_Criteria!$B$47),"FAIL: high linkway headroom below "&amp;SG_Criteria!$B$47&amp;" m. ","")&amp;IF(E82&lt;SG_Criteria!$B$48,"FAIL: roof width below "&amp;SG_Criteria!$B$48&amp;" m. ",IF(E82&lt;SG_Criteria!$B$49,"NOTE: not for MRT/LRT or high-traffic routes (min "&amp;SG_Criteria!$B$49&amp;" m). ",""))&amp;IF(AND(P82&lt;&gt;"",P82&lt;SG_Criteria!$B$50),"FAIL: wind speed below "&amp;SG_Criteria!$B$50&amp;" m/s. ","")&amp;IF(AND(Q82&lt;&gt;"",Q82&lt;SG_Criteria!$B$51),"FAIL: roof fixing pull-out below "&amp;SG_Criteria!$B$51&amp;" kN. ","")&amp;IF(AND(R82&lt;&gt;"",IFERROR(VALUE(MID(R82,2,2)),0)&lt;SG_Criteria!$B$52),"FAIL: grade below C"&amp;SG_Criteria!$B$52&amp;". ","")&amp;IF(D82="Non-standard (project design)","NOTE: not an SDRE standard, needs LTA acceptance. ",""))=0,"OK",IF(AND(C82&lt;&gt;"High Covered Linkway",F82&lt;SG_Criteria!$B$46),"FAIL: headroom below "&amp;SG_Criteria!$B$46&amp;" m. ","")&amp;IF(AND(C82="High Covered Linkway",F82&lt;SG_Criteria!$B$47),"FAIL: high linkway headroom below "&amp;SG_Criteria!$B$47&amp;" m. ","")&amp;IF(E82&lt;SG_Criteria!$B$48,"FAIL: roof width below "&amp;SG_Criteria!$B$48&amp;" m. ",IF(E82&lt;SG_Criteria!$B$49,"NOTE: not for MRT/LRT or high-traffic routes (min "&amp;SG_Criteria!$B$49&amp;" m). ",""))&amp;IF(AND(P82&lt;&gt;"",P82&lt;SG_Criteria!$B$50),"FAIL: wind speed below "&amp;SG_Criteria!$B$50&amp;" m/s. ","")&amp;IF(AND(Q82&lt;&gt;"",Q82&lt;SG_Criteria!$B$51),"FAIL: roof fixing pull-out below "&amp;SG_Criteria!$B$51&amp;" kN. ","")&amp;IF(AND(R82&lt;&gt;"",IFERROR(VALUE(MID(R82,2,2)),0)&lt;SG_Criteria!$B$52),"FAIL: grade below C"&amp;SG_Criteria!$B$52&amp;". ","")&amp;IF(D82="Non-standard (project design)","NOTE: not an SDRE standard, needs LTA acceptance. ","")))</f>
        <v/>
      </c>
      <c r="AP82" s="9"/>
      <c r="AQ82" s="9"/>
      <c r="AR82" s="9"/>
      <c r="AS82" s="9"/>
      <c r="AT82" s="9"/>
      <c r="AU82" s="31"/>
      <c r="AV82" s="10" t="str">
        <f aca="false">IF(C82="","",IF(AND(X82="Approved",ISERROR(SEARCH("FAIL",AO82))),"Y","N"))</f>
        <v/>
      </c>
      <c r="AW82" s="10" t="str">
        <f aca="false">IF(C82="","",C82&amp;"|"&amp;E82&amp;"|"&amp;F82&amp;"|"&amp;AV82)</f>
        <v/>
      </c>
    </row>
    <row r="83" customFormat="false" ht="15" hidden="false" customHeight="false" outlineLevel="0" collapsed="false">
      <c r="A83" s="10" t="str">
        <f aca="false">IF(C83="","","LKW-"&amp;IFERROR(VLOOKUP(C83,Lists!$AQ$4:$AR$17,2,0),"??")&amp;"-W"&amp;TEXT(E83*1000,"0000")&amp;"-H"&amp;TEXT(F83*1000,"0000")&amp;"-B"&amp;TEXT(G83*1000,"0000")&amp;"-"&amp;W83)</f>
        <v/>
      </c>
      <c r="B83" s="10" t="str">
        <f aca="false">IF(C83="","",C83&amp;", "&amp;E83&amp;" m wide, "&amp;F83&amp;" m headroom, "&amp;G83&amp;" m bays, "&amp;H83&amp;" ("&amp;D83&amp;")")</f>
        <v/>
      </c>
      <c r="C83" s="9"/>
      <c r="D83" s="9"/>
      <c r="E83" s="43"/>
      <c r="F83" s="43"/>
      <c r="G83" s="43"/>
      <c r="H83" s="9"/>
      <c r="I83" s="9"/>
      <c r="J83" s="9"/>
      <c r="K83" s="9"/>
      <c r="L83" s="9"/>
      <c r="M83" s="9"/>
      <c r="N83" s="9"/>
      <c r="O83" s="9"/>
      <c r="P83" s="40"/>
      <c r="Q83" s="43"/>
      <c r="R83" s="9"/>
      <c r="S83" s="9"/>
      <c r="T83" s="9"/>
      <c r="U83" s="43"/>
      <c r="V83" s="9"/>
      <c r="W83" s="9"/>
      <c r="X83" s="9"/>
      <c r="Y83" s="9"/>
      <c r="Z83" s="9"/>
      <c r="AA83" s="9"/>
      <c r="AB83" s="10" t="str">
        <f aca="false">IF(A83="","",SG_Criteria!$B$6&amp;SG_Criteria!$B$12&amp;"\"&amp;A83&amp;"\")</f>
        <v/>
      </c>
      <c r="AC83" s="10" t="str">
        <f aca="false">IF(A83="","",A83&amp;"_CAD.dwg")</f>
        <v/>
      </c>
      <c r="AD83" s="10" t="str">
        <f aca="false">IF(A83="","",A83&amp;"_DWG.pdf")</f>
        <v/>
      </c>
      <c r="AE83" s="10" t="str">
        <f aca="false">IF(A83="","",IF(AA83="Y",A83&amp;"_STAAD.std","n/a"))</f>
        <v/>
      </c>
      <c r="AF83" s="10" t="str">
        <f aca="false">IF(A83="","",A83&amp;"_CALC.xlsx")</f>
        <v/>
      </c>
      <c r="AG83" s="10" t="str">
        <f aca="false">IF(A83="","",A83&amp;"_CALC.pdf")</f>
        <v/>
      </c>
      <c r="AH83" s="9"/>
      <c r="AI83" s="9"/>
      <c r="AJ83" s="41"/>
      <c r="AK83" s="41"/>
      <c r="AL83" s="41"/>
      <c r="AM83" s="41"/>
      <c r="AN83" s="41"/>
      <c r="AO83" s="38" t="str">
        <f aca="false">IF(C83="","",IF(LEN(IF(AND(C83&lt;&gt;"High Covered Linkway",F83&lt;SG_Criteria!$B$46),"FAIL: headroom below "&amp;SG_Criteria!$B$46&amp;" m. ","")&amp;IF(AND(C83="High Covered Linkway",F83&lt;SG_Criteria!$B$47),"FAIL: high linkway headroom below "&amp;SG_Criteria!$B$47&amp;" m. ","")&amp;IF(E83&lt;SG_Criteria!$B$48,"FAIL: roof width below "&amp;SG_Criteria!$B$48&amp;" m. ",IF(E83&lt;SG_Criteria!$B$49,"NOTE: not for MRT/LRT or high-traffic routes (min "&amp;SG_Criteria!$B$49&amp;" m). ",""))&amp;IF(AND(P83&lt;&gt;"",P83&lt;SG_Criteria!$B$50),"FAIL: wind speed below "&amp;SG_Criteria!$B$50&amp;" m/s. ","")&amp;IF(AND(Q83&lt;&gt;"",Q83&lt;SG_Criteria!$B$51),"FAIL: roof fixing pull-out below "&amp;SG_Criteria!$B$51&amp;" kN. ","")&amp;IF(AND(R83&lt;&gt;"",IFERROR(VALUE(MID(R83,2,2)),0)&lt;SG_Criteria!$B$52),"FAIL: grade below C"&amp;SG_Criteria!$B$52&amp;". ","")&amp;IF(D83="Non-standard (project design)","NOTE: not an SDRE standard, needs LTA acceptance. ",""))=0,"OK",IF(AND(C83&lt;&gt;"High Covered Linkway",F83&lt;SG_Criteria!$B$46),"FAIL: headroom below "&amp;SG_Criteria!$B$46&amp;" m. ","")&amp;IF(AND(C83="High Covered Linkway",F83&lt;SG_Criteria!$B$47),"FAIL: high linkway headroom below "&amp;SG_Criteria!$B$47&amp;" m. ","")&amp;IF(E83&lt;SG_Criteria!$B$48,"FAIL: roof width below "&amp;SG_Criteria!$B$48&amp;" m. ",IF(E83&lt;SG_Criteria!$B$49,"NOTE: not for MRT/LRT or high-traffic routes (min "&amp;SG_Criteria!$B$49&amp;" m). ",""))&amp;IF(AND(P83&lt;&gt;"",P83&lt;SG_Criteria!$B$50),"FAIL: wind speed below "&amp;SG_Criteria!$B$50&amp;" m/s. ","")&amp;IF(AND(Q83&lt;&gt;"",Q83&lt;SG_Criteria!$B$51),"FAIL: roof fixing pull-out below "&amp;SG_Criteria!$B$51&amp;" kN. ","")&amp;IF(AND(R83&lt;&gt;"",IFERROR(VALUE(MID(R83,2,2)),0)&lt;SG_Criteria!$B$52),"FAIL: grade below C"&amp;SG_Criteria!$B$52&amp;". ","")&amp;IF(D83="Non-standard (project design)","NOTE: not an SDRE standard, needs LTA acceptance. ","")))</f>
        <v/>
      </c>
      <c r="AP83" s="9"/>
      <c r="AQ83" s="9"/>
      <c r="AR83" s="9"/>
      <c r="AS83" s="9"/>
      <c r="AT83" s="9"/>
      <c r="AU83" s="31"/>
      <c r="AV83" s="10" t="str">
        <f aca="false">IF(C83="","",IF(AND(X83="Approved",ISERROR(SEARCH("FAIL",AO83))),"Y","N"))</f>
        <v/>
      </c>
      <c r="AW83" s="10" t="str">
        <f aca="false">IF(C83="","",C83&amp;"|"&amp;E83&amp;"|"&amp;F83&amp;"|"&amp;AV83)</f>
        <v/>
      </c>
    </row>
    <row r="84" customFormat="false" ht="15" hidden="false" customHeight="false" outlineLevel="0" collapsed="false">
      <c r="A84" s="10" t="str">
        <f aca="false">IF(C84="","","LKW-"&amp;IFERROR(VLOOKUP(C84,Lists!$AQ$4:$AR$17,2,0),"??")&amp;"-W"&amp;TEXT(E84*1000,"0000")&amp;"-H"&amp;TEXT(F84*1000,"0000")&amp;"-B"&amp;TEXT(G84*1000,"0000")&amp;"-"&amp;W84)</f>
        <v/>
      </c>
      <c r="B84" s="10" t="str">
        <f aca="false">IF(C84="","",C84&amp;", "&amp;E84&amp;" m wide, "&amp;F84&amp;" m headroom, "&amp;G84&amp;" m bays, "&amp;H84&amp;" ("&amp;D84&amp;")")</f>
        <v/>
      </c>
      <c r="C84" s="9"/>
      <c r="D84" s="9"/>
      <c r="E84" s="43"/>
      <c r="F84" s="43"/>
      <c r="G84" s="43"/>
      <c r="H84" s="9"/>
      <c r="I84" s="9"/>
      <c r="J84" s="9"/>
      <c r="K84" s="9"/>
      <c r="L84" s="9"/>
      <c r="M84" s="9"/>
      <c r="N84" s="9"/>
      <c r="O84" s="9"/>
      <c r="P84" s="40"/>
      <c r="Q84" s="43"/>
      <c r="R84" s="9"/>
      <c r="S84" s="9"/>
      <c r="T84" s="9"/>
      <c r="U84" s="43"/>
      <c r="V84" s="9"/>
      <c r="W84" s="9"/>
      <c r="X84" s="9"/>
      <c r="Y84" s="9"/>
      <c r="Z84" s="9"/>
      <c r="AA84" s="9"/>
      <c r="AB84" s="10" t="str">
        <f aca="false">IF(A84="","",SG_Criteria!$B$6&amp;SG_Criteria!$B$12&amp;"\"&amp;A84&amp;"\")</f>
        <v/>
      </c>
      <c r="AC84" s="10" t="str">
        <f aca="false">IF(A84="","",A84&amp;"_CAD.dwg")</f>
        <v/>
      </c>
      <c r="AD84" s="10" t="str">
        <f aca="false">IF(A84="","",A84&amp;"_DWG.pdf")</f>
        <v/>
      </c>
      <c r="AE84" s="10" t="str">
        <f aca="false">IF(A84="","",IF(AA84="Y",A84&amp;"_STAAD.std","n/a"))</f>
        <v/>
      </c>
      <c r="AF84" s="10" t="str">
        <f aca="false">IF(A84="","",A84&amp;"_CALC.xlsx")</f>
        <v/>
      </c>
      <c r="AG84" s="10" t="str">
        <f aca="false">IF(A84="","",A84&amp;"_CALC.pdf")</f>
        <v/>
      </c>
      <c r="AH84" s="9"/>
      <c r="AI84" s="9"/>
      <c r="AJ84" s="41"/>
      <c r="AK84" s="41"/>
      <c r="AL84" s="41"/>
      <c r="AM84" s="41"/>
      <c r="AN84" s="41"/>
      <c r="AO84" s="38" t="str">
        <f aca="false">IF(C84="","",IF(LEN(IF(AND(C84&lt;&gt;"High Covered Linkway",F84&lt;SG_Criteria!$B$46),"FAIL: headroom below "&amp;SG_Criteria!$B$46&amp;" m. ","")&amp;IF(AND(C84="High Covered Linkway",F84&lt;SG_Criteria!$B$47),"FAIL: high linkway headroom below "&amp;SG_Criteria!$B$47&amp;" m. ","")&amp;IF(E84&lt;SG_Criteria!$B$48,"FAIL: roof width below "&amp;SG_Criteria!$B$48&amp;" m. ",IF(E84&lt;SG_Criteria!$B$49,"NOTE: not for MRT/LRT or high-traffic routes (min "&amp;SG_Criteria!$B$49&amp;" m). ",""))&amp;IF(AND(P84&lt;&gt;"",P84&lt;SG_Criteria!$B$50),"FAIL: wind speed below "&amp;SG_Criteria!$B$50&amp;" m/s. ","")&amp;IF(AND(Q84&lt;&gt;"",Q84&lt;SG_Criteria!$B$51),"FAIL: roof fixing pull-out below "&amp;SG_Criteria!$B$51&amp;" kN. ","")&amp;IF(AND(R84&lt;&gt;"",IFERROR(VALUE(MID(R84,2,2)),0)&lt;SG_Criteria!$B$52),"FAIL: grade below C"&amp;SG_Criteria!$B$52&amp;". ","")&amp;IF(D84="Non-standard (project design)","NOTE: not an SDRE standard, needs LTA acceptance. ",""))=0,"OK",IF(AND(C84&lt;&gt;"High Covered Linkway",F84&lt;SG_Criteria!$B$46),"FAIL: headroom below "&amp;SG_Criteria!$B$46&amp;" m. ","")&amp;IF(AND(C84="High Covered Linkway",F84&lt;SG_Criteria!$B$47),"FAIL: high linkway headroom below "&amp;SG_Criteria!$B$47&amp;" m. ","")&amp;IF(E84&lt;SG_Criteria!$B$48,"FAIL: roof width below "&amp;SG_Criteria!$B$48&amp;" m. ",IF(E84&lt;SG_Criteria!$B$49,"NOTE: not for MRT/LRT or high-traffic routes (min "&amp;SG_Criteria!$B$49&amp;" m). ",""))&amp;IF(AND(P84&lt;&gt;"",P84&lt;SG_Criteria!$B$50),"FAIL: wind speed below "&amp;SG_Criteria!$B$50&amp;" m/s. ","")&amp;IF(AND(Q84&lt;&gt;"",Q84&lt;SG_Criteria!$B$51),"FAIL: roof fixing pull-out below "&amp;SG_Criteria!$B$51&amp;" kN. ","")&amp;IF(AND(R84&lt;&gt;"",IFERROR(VALUE(MID(R84,2,2)),0)&lt;SG_Criteria!$B$52),"FAIL: grade below C"&amp;SG_Criteria!$B$52&amp;". ","")&amp;IF(D84="Non-standard (project design)","NOTE: not an SDRE standard, needs LTA acceptance. ","")))</f>
        <v/>
      </c>
      <c r="AP84" s="9"/>
      <c r="AQ84" s="9"/>
      <c r="AR84" s="9"/>
      <c r="AS84" s="9"/>
      <c r="AT84" s="9"/>
      <c r="AU84" s="31"/>
      <c r="AV84" s="10" t="str">
        <f aca="false">IF(C84="","",IF(AND(X84="Approved",ISERROR(SEARCH("FAIL",AO84))),"Y","N"))</f>
        <v/>
      </c>
      <c r="AW84" s="10" t="str">
        <f aca="false">IF(C84="","",C84&amp;"|"&amp;E84&amp;"|"&amp;F84&amp;"|"&amp;AV84)</f>
        <v/>
      </c>
    </row>
    <row r="85" customFormat="false" ht="15" hidden="false" customHeight="false" outlineLevel="0" collapsed="false">
      <c r="A85" s="10" t="str">
        <f aca="false">IF(C85="","","LKW-"&amp;IFERROR(VLOOKUP(C85,Lists!$AQ$4:$AR$17,2,0),"??")&amp;"-W"&amp;TEXT(E85*1000,"0000")&amp;"-H"&amp;TEXT(F85*1000,"0000")&amp;"-B"&amp;TEXT(G85*1000,"0000")&amp;"-"&amp;W85)</f>
        <v/>
      </c>
      <c r="B85" s="10" t="str">
        <f aca="false">IF(C85="","",C85&amp;", "&amp;E85&amp;" m wide, "&amp;F85&amp;" m headroom, "&amp;G85&amp;" m bays, "&amp;H85&amp;" ("&amp;D85&amp;")")</f>
        <v/>
      </c>
      <c r="C85" s="9"/>
      <c r="D85" s="9"/>
      <c r="E85" s="43"/>
      <c r="F85" s="43"/>
      <c r="G85" s="43"/>
      <c r="H85" s="9"/>
      <c r="I85" s="9"/>
      <c r="J85" s="9"/>
      <c r="K85" s="9"/>
      <c r="L85" s="9"/>
      <c r="M85" s="9"/>
      <c r="N85" s="9"/>
      <c r="O85" s="9"/>
      <c r="P85" s="40"/>
      <c r="Q85" s="43"/>
      <c r="R85" s="9"/>
      <c r="S85" s="9"/>
      <c r="T85" s="9"/>
      <c r="U85" s="43"/>
      <c r="V85" s="9"/>
      <c r="W85" s="9"/>
      <c r="X85" s="9"/>
      <c r="Y85" s="9"/>
      <c r="Z85" s="9"/>
      <c r="AA85" s="9"/>
      <c r="AB85" s="10" t="str">
        <f aca="false">IF(A85="","",SG_Criteria!$B$6&amp;SG_Criteria!$B$12&amp;"\"&amp;A85&amp;"\")</f>
        <v/>
      </c>
      <c r="AC85" s="10" t="str">
        <f aca="false">IF(A85="","",A85&amp;"_CAD.dwg")</f>
        <v/>
      </c>
      <c r="AD85" s="10" t="str">
        <f aca="false">IF(A85="","",A85&amp;"_DWG.pdf")</f>
        <v/>
      </c>
      <c r="AE85" s="10" t="str">
        <f aca="false">IF(A85="","",IF(AA85="Y",A85&amp;"_STAAD.std","n/a"))</f>
        <v/>
      </c>
      <c r="AF85" s="10" t="str">
        <f aca="false">IF(A85="","",A85&amp;"_CALC.xlsx")</f>
        <v/>
      </c>
      <c r="AG85" s="10" t="str">
        <f aca="false">IF(A85="","",A85&amp;"_CALC.pdf")</f>
        <v/>
      </c>
      <c r="AH85" s="9"/>
      <c r="AI85" s="9"/>
      <c r="AJ85" s="41"/>
      <c r="AK85" s="41"/>
      <c r="AL85" s="41"/>
      <c r="AM85" s="41"/>
      <c r="AN85" s="41"/>
      <c r="AO85" s="38" t="str">
        <f aca="false">IF(C85="","",IF(LEN(IF(AND(C85&lt;&gt;"High Covered Linkway",F85&lt;SG_Criteria!$B$46),"FAIL: headroom below "&amp;SG_Criteria!$B$46&amp;" m. ","")&amp;IF(AND(C85="High Covered Linkway",F85&lt;SG_Criteria!$B$47),"FAIL: high linkway headroom below "&amp;SG_Criteria!$B$47&amp;" m. ","")&amp;IF(E85&lt;SG_Criteria!$B$48,"FAIL: roof width below "&amp;SG_Criteria!$B$48&amp;" m. ",IF(E85&lt;SG_Criteria!$B$49,"NOTE: not for MRT/LRT or high-traffic routes (min "&amp;SG_Criteria!$B$49&amp;" m). ",""))&amp;IF(AND(P85&lt;&gt;"",P85&lt;SG_Criteria!$B$50),"FAIL: wind speed below "&amp;SG_Criteria!$B$50&amp;" m/s. ","")&amp;IF(AND(Q85&lt;&gt;"",Q85&lt;SG_Criteria!$B$51),"FAIL: roof fixing pull-out below "&amp;SG_Criteria!$B$51&amp;" kN. ","")&amp;IF(AND(R85&lt;&gt;"",IFERROR(VALUE(MID(R85,2,2)),0)&lt;SG_Criteria!$B$52),"FAIL: grade below C"&amp;SG_Criteria!$B$52&amp;". ","")&amp;IF(D85="Non-standard (project design)","NOTE: not an SDRE standard, needs LTA acceptance. ",""))=0,"OK",IF(AND(C85&lt;&gt;"High Covered Linkway",F85&lt;SG_Criteria!$B$46),"FAIL: headroom below "&amp;SG_Criteria!$B$46&amp;" m. ","")&amp;IF(AND(C85="High Covered Linkway",F85&lt;SG_Criteria!$B$47),"FAIL: high linkway headroom below "&amp;SG_Criteria!$B$47&amp;" m. ","")&amp;IF(E85&lt;SG_Criteria!$B$48,"FAIL: roof width below "&amp;SG_Criteria!$B$48&amp;" m. ",IF(E85&lt;SG_Criteria!$B$49,"NOTE: not for MRT/LRT or high-traffic routes (min "&amp;SG_Criteria!$B$49&amp;" m). ",""))&amp;IF(AND(P85&lt;&gt;"",P85&lt;SG_Criteria!$B$50),"FAIL: wind speed below "&amp;SG_Criteria!$B$50&amp;" m/s. ","")&amp;IF(AND(Q85&lt;&gt;"",Q85&lt;SG_Criteria!$B$51),"FAIL: roof fixing pull-out below "&amp;SG_Criteria!$B$51&amp;" kN. ","")&amp;IF(AND(R85&lt;&gt;"",IFERROR(VALUE(MID(R85,2,2)),0)&lt;SG_Criteria!$B$52),"FAIL: grade below C"&amp;SG_Criteria!$B$52&amp;". ","")&amp;IF(D85="Non-standard (project design)","NOTE: not an SDRE standard, needs LTA acceptance. ","")))</f>
        <v/>
      </c>
      <c r="AP85" s="9"/>
      <c r="AQ85" s="9"/>
      <c r="AR85" s="9"/>
      <c r="AS85" s="9"/>
      <c r="AT85" s="9"/>
      <c r="AU85" s="31"/>
      <c r="AV85" s="10" t="str">
        <f aca="false">IF(C85="","",IF(AND(X85="Approved",ISERROR(SEARCH("FAIL",AO85))),"Y","N"))</f>
        <v/>
      </c>
      <c r="AW85" s="10" t="str">
        <f aca="false">IF(C85="","",C85&amp;"|"&amp;E85&amp;"|"&amp;F85&amp;"|"&amp;AV85)</f>
        <v/>
      </c>
    </row>
    <row r="86" customFormat="false" ht="15" hidden="false" customHeight="false" outlineLevel="0" collapsed="false">
      <c r="A86" s="10" t="str">
        <f aca="false">IF(C86="","","LKW-"&amp;IFERROR(VLOOKUP(C86,Lists!$AQ$4:$AR$17,2,0),"??")&amp;"-W"&amp;TEXT(E86*1000,"0000")&amp;"-H"&amp;TEXT(F86*1000,"0000")&amp;"-B"&amp;TEXT(G86*1000,"0000")&amp;"-"&amp;W86)</f>
        <v/>
      </c>
      <c r="B86" s="10" t="str">
        <f aca="false">IF(C86="","",C86&amp;", "&amp;E86&amp;" m wide, "&amp;F86&amp;" m headroom, "&amp;G86&amp;" m bays, "&amp;H86&amp;" ("&amp;D86&amp;")")</f>
        <v/>
      </c>
      <c r="C86" s="9"/>
      <c r="D86" s="9"/>
      <c r="E86" s="43"/>
      <c r="F86" s="43"/>
      <c r="G86" s="43"/>
      <c r="H86" s="9"/>
      <c r="I86" s="9"/>
      <c r="J86" s="9"/>
      <c r="K86" s="9"/>
      <c r="L86" s="9"/>
      <c r="M86" s="9"/>
      <c r="N86" s="9"/>
      <c r="O86" s="9"/>
      <c r="P86" s="40"/>
      <c r="Q86" s="43"/>
      <c r="R86" s="9"/>
      <c r="S86" s="9"/>
      <c r="T86" s="9"/>
      <c r="U86" s="43"/>
      <c r="V86" s="9"/>
      <c r="W86" s="9"/>
      <c r="X86" s="9"/>
      <c r="Y86" s="9"/>
      <c r="Z86" s="9"/>
      <c r="AA86" s="9"/>
      <c r="AB86" s="10" t="str">
        <f aca="false">IF(A86="","",SG_Criteria!$B$6&amp;SG_Criteria!$B$12&amp;"\"&amp;A86&amp;"\")</f>
        <v/>
      </c>
      <c r="AC86" s="10" t="str">
        <f aca="false">IF(A86="","",A86&amp;"_CAD.dwg")</f>
        <v/>
      </c>
      <c r="AD86" s="10" t="str">
        <f aca="false">IF(A86="","",A86&amp;"_DWG.pdf")</f>
        <v/>
      </c>
      <c r="AE86" s="10" t="str">
        <f aca="false">IF(A86="","",IF(AA86="Y",A86&amp;"_STAAD.std","n/a"))</f>
        <v/>
      </c>
      <c r="AF86" s="10" t="str">
        <f aca="false">IF(A86="","",A86&amp;"_CALC.xlsx")</f>
        <v/>
      </c>
      <c r="AG86" s="10" t="str">
        <f aca="false">IF(A86="","",A86&amp;"_CALC.pdf")</f>
        <v/>
      </c>
      <c r="AH86" s="9"/>
      <c r="AI86" s="9"/>
      <c r="AJ86" s="41"/>
      <c r="AK86" s="41"/>
      <c r="AL86" s="41"/>
      <c r="AM86" s="41"/>
      <c r="AN86" s="41"/>
      <c r="AO86" s="38" t="str">
        <f aca="false">IF(C86="","",IF(LEN(IF(AND(C86&lt;&gt;"High Covered Linkway",F86&lt;SG_Criteria!$B$46),"FAIL: headroom below "&amp;SG_Criteria!$B$46&amp;" m. ","")&amp;IF(AND(C86="High Covered Linkway",F86&lt;SG_Criteria!$B$47),"FAIL: high linkway headroom below "&amp;SG_Criteria!$B$47&amp;" m. ","")&amp;IF(E86&lt;SG_Criteria!$B$48,"FAIL: roof width below "&amp;SG_Criteria!$B$48&amp;" m. ",IF(E86&lt;SG_Criteria!$B$49,"NOTE: not for MRT/LRT or high-traffic routes (min "&amp;SG_Criteria!$B$49&amp;" m). ",""))&amp;IF(AND(P86&lt;&gt;"",P86&lt;SG_Criteria!$B$50),"FAIL: wind speed below "&amp;SG_Criteria!$B$50&amp;" m/s. ","")&amp;IF(AND(Q86&lt;&gt;"",Q86&lt;SG_Criteria!$B$51),"FAIL: roof fixing pull-out below "&amp;SG_Criteria!$B$51&amp;" kN. ","")&amp;IF(AND(R86&lt;&gt;"",IFERROR(VALUE(MID(R86,2,2)),0)&lt;SG_Criteria!$B$52),"FAIL: grade below C"&amp;SG_Criteria!$B$52&amp;". ","")&amp;IF(D86="Non-standard (project design)","NOTE: not an SDRE standard, needs LTA acceptance. ",""))=0,"OK",IF(AND(C86&lt;&gt;"High Covered Linkway",F86&lt;SG_Criteria!$B$46),"FAIL: headroom below "&amp;SG_Criteria!$B$46&amp;" m. ","")&amp;IF(AND(C86="High Covered Linkway",F86&lt;SG_Criteria!$B$47),"FAIL: high linkway headroom below "&amp;SG_Criteria!$B$47&amp;" m. ","")&amp;IF(E86&lt;SG_Criteria!$B$48,"FAIL: roof width below "&amp;SG_Criteria!$B$48&amp;" m. ",IF(E86&lt;SG_Criteria!$B$49,"NOTE: not for MRT/LRT or high-traffic routes (min "&amp;SG_Criteria!$B$49&amp;" m). ",""))&amp;IF(AND(P86&lt;&gt;"",P86&lt;SG_Criteria!$B$50),"FAIL: wind speed below "&amp;SG_Criteria!$B$50&amp;" m/s. ","")&amp;IF(AND(Q86&lt;&gt;"",Q86&lt;SG_Criteria!$B$51),"FAIL: roof fixing pull-out below "&amp;SG_Criteria!$B$51&amp;" kN. ","")&amp;IF(AND(R86&lt;&gt;"",IFERROR(VALUE(MID(R86,2,2)),0)&lt;SG_Criteria!$B$52),"FAIL: grade below C"&amp;SG_Criteria!$B$52&amp;". ","")&amp;IF(D86="Non-standard (project design)","NOTE: not an SDRE standard, needs LTA acceptance. ","")))</f>
        <v/>
      </c>
      <c r="AP86" s="9"/>
      <c r="AQ86" s="9"/>
      <c r="AR86" s="9"/>
      <c r="AS86" s="9"/>
      <c r="AT86" s="9"/>
      <c r="AU86" s="31"/>
      <c r="AV86" s="10" t="str">
        <f aca="false">IF(C86="","",IF(AND(X86="Approved",ISERROR(SEARCH("FAIL",AO86))),"Y","N"))</f>
        <v/>
      </c>
      <c r="AW86" s="10" t="str">
        <f aca="false">IF(C86="","",C86&amp;"|"&amp;E86&amp;"|"&amp;F86&amp;"|"&amp;AV86)</f>
        <v/>
      </c>
    </row>
    <row r="87" customFormat="false" ht="15" hidden="false" customHeight="false" outlineLevel="0" collapsed="false">
      <c r="A87" s="10" t="str">
        <f aca="false">IF(C87="","","LKW-"&amp;IFERROR(VLOOKUP(C87,Lists!$AQ$4:$AR$17,2,0),"??")&amp;"-W"&amp;TEXT(E87*1000,"0000")&amp;"-H"&amp;TEXT(F87*1000,"0000")&amp;"-B"&amp;TEXT(G87*1000,"0000")&amp;"-"&amp;W87)</f>
        <v/>
      </c>
      <c r="B87" s="10" t="str">
        <f aca="false">IF(C87="","",C87&amp;", "&amp;E87&amp;" m wide, "&amp;F87&amp;" m headroom, "&amp;G87&amp;" m bays, "&amp;H87&amp;" ("&amp;D87&amp;")")</f>
        <v/>
      </c>
      <c r="C87" s="9"/>
      <c r="D87" s="9"/>
      <c r="E87" s="43"/>
      <c r="F87" s="43"/>
      <c r="G87" s="43"/>
      <c r="H87" s="9"/>
      <c r="I87" s="9"/>
      <c r="J87" s="9"/>
      <c r="K87" s="9"/>
      <c r="L87" s="9"/>
      <c r="M87" s="9"/>
      <c r="N87" s="9"/>
      <c r="O87" s="9"/>
      <c r="P87" s="40"/>
      <c r="Q87" s="43"/>
      <c r="R87" s="9"/>
      <c r="S87" s="9"/>
      <c r="T87" s="9"/>
      <c r="U87" s="43"/>
      <c r="V87" s="9"/>
      <c r="W87" s="9"/>
      <c r="X87" s="9"/>
      <c r="Y87" s="9"/>
      <c r="Z87" s="9"/>
      <c r="AA87" s="9"/>
      <c r="AB87" s="10" t="str">
        <f aca="false">IF(A87="","",SG_Criteria!$B$6&amp;SG_Criteria!$B$12&amp;"\"&amp;A87&amp;"\")</f>
        <v/>
      </c>
      <c r="AC87" s="10" t="str">
        <f aca="false">IF(A87="","",A87&amp;"_CAD.dwg")</f>
        <v/>
      </c>
      <c r="AD87" s="10" t="str">
        <f aca="false">IF(A87="","",A87&amp;"_DWG.pdf")</f>
        <v/>
      </c>
      <c r="AE87" s="10" t="str">
        <f aca="false">IF(A87="","",IF(AA87="Y",A87&amp;"_STAAD.std","n/a"))</f>
        <v/>
      </c>
      <c r="AF87" s="10" t="str">
        <f aca="false">IF(A87="","",A87&amp;"_CALC.xlsx")</f>
        <v/>
      </c>
      <c r="AG87" s="10" t="str">
        <f aca="false">IF(A87="","",A87&amp;"_CALC.pdf")</f>
        <v/>
      </c>
      <c r="AH87" s="9"/>
      <c r="AI87" s="9"/>
      <c r="AJ87" s="41"/>
      <c r="AK87" s="41"/>
      <c r="AL87" s="41"/>
      <c r="AM87" s="41"/>
      <c r="AN87" s="41"/>
      <c r="AO87" s="38" t="str">
        <f aca="false">IF(C87="","",IF(LEN(IF(AND(C87&lt;&gt;"High Covered Linkway",F87&lt;SG_Criteria!$B$46),"FAIL: headroom below "&amp;SG_Criteria!$B$46&amp;" m. ","")&amp;IF(AND(C87="High Covered Linkway",F87&lt;SG_Criteria!$B$47),"FAIL: high linkway headroom below "&amp;SG_Criteria!$B$47&amp;" m. ","")&amp;IF(E87&lt;SG_Criteria!$B$48,"FAIL: roof width below "&amp;SG_Criteria!$B$48&amp;" m. ",IF(E87&lt;SG_Criteria!$B$49,"NOTE: not for MRT/LRT or high-traffic routes (min "&amp;SG_Criteria!$B$49&amp;" m). ",""))&amp;IF(AND(P87&lt;&gt;"",P87&lt;SG_Criteria!$B$50),"FAIL: wind speed below "&amp;SG_Criteria!$B$50&amp;" m/s. ","")&amp;IF(AND(Q87&lt;&gt;"",Q87&lt;SG_Criteria!$B$51),"FAIL: roof fixing pull-out below "&amp;SG_Criteria!$B$51&amp;" kN. ","")&amp;IF(AND(R87&lt;&gt;"",IFERROR(VALUE(MID(R87,2,2)),0)&lt;SG_Criteria!$B$52),"FAIL: grade below C"&amp;SG_Criteria!$B$52&amp;". ","")&amp;IF(D87="Non-standard (project design)","NOTE: not an SDRE standard, needs LTA acceptance. ",""))=0,"OK",IF(AND(C87&lt;&gt;"High Covered Linkway",F87&lt;SG_Criteria!$B$46),"FAIL: headroom below "&amp;SG_Criteria!$B$46&amp;" m. ","")&amp;IF(AND(C87="High Covered Linkway",F87&lt;SG_Criteria!$B$47),"FAIL: high linkway headroom below "&amp;SG_Criteria!$B$47&amp;" m. ","")&amp;IF(E87&lt;SG_Criteria!$B$48,"FAIL: roof width below "&amp;SG_Criteria!$B$48&amp;" m. ",IF(E87&lt;SG_Criteria!$B$49,"NOTE: not for MRT/LRT or high-traffic routes (min "&amp;SG_Criteria!$B$49&amp;" m). ",""))&amp;IF(AND(P87&lt;&gt;"",P87&lt;SG_Criteria!$B$50),"FAIL: wind speed below "&amp;SG_Criteria!$B$50&amp;" m/s. ","")&amp;IF(AND(Q87&lt;&gt;"",Q87&lt;SG_Criteria!$B$51),"FAIL: roof fixing pull-out below "&amp;SG_Criteria!$B$51&amp;" kN. ","")&amp;IF(AND(R87&lt;&gt;"",IFERROR(VALUE(MID(R87,2,2)),0)&lt;SG_Criteria!$B$52),"FAIL: grade below C"&amp;SG_Criteria!$B$52&amp;". ","")&amp;IF(D87="Non-standard (project design)","NOTE: not an SDRE standard, needs LTA acceptance. ","")))</f>
        <v/>
      </c>
      <c r="AP87" s="9"/>
      <c r="AQ87" s="9"/>
      <c r="AR87" s="9"/>
      <c r="AS87" s="9"/>
      <c r="AT87" s="9"/>
      <c r="AU87" s="31"/>
      <c r="AV87" s="10" t="str">
        <f aca="false">IF(C87="","",IF(AND(X87="Approved",ISERROR(SEARCH("FAIL",AO87))),"Y","N"))</f>
        <v/>
      </c>
      <c r="AW87" s="10" t="str">
        <f aca="false">IF(C87="","",C87&amp;"|"&amp;E87&amp;"|"&amp;F87&amp;"|"&amp;AV87)</f>
        <v/>
      </c>
    </row>
    <row r="88" customFormat="false" ht="15" hidden="false" customHeight="false" outlineLevel="0" collapsed="false">
      <c r="A88" s="10" t="str">
        <f aca="false">IF(C88="","","LKW-"&amp;IFERROR(VLOOKUP(C88,Lists!$AQ$4:$AR$17,2,0),"??")&amp;"-W"&amp;TEXT(E88*1000,"0000")&amp;"-H"&amp;TEXT(F88*1000,"0000")&amp;"-B"&amp;TEXT(G88*1000,"0000")&amp;"-"&amp;W88)</f>
        <v/>
      </c>
      <c r="B88" s="10" t="str">
        <f aca="false">IF(C88="","",C88&amp;", "&amp;E88&amp;" m wide, "&amp;F88&amp;" m headroom, "&amp;G88&amp;" m bays, "&amp;H88&amp;" ("&amp;D88&amp;")")</f>
        <v/>
      </c>
      <c r="C88" s="9"/>
      <c r="D88" s="9"/>
      <c r="E88" s="43"/>
      <c r="F88" s="43"/>
      <c r="G88" s="43"/>
      <c r="H88" s="9"/>
      <c r="I88" s="9"/>
      <c r="J88" s="9"/>
      <c r="K88" s="9"/>
      <c r="L88" s="9"/>
      <c r="M88" s="9"/>
      <c r="N88" s="9"/>
      <c r="O88" s="9"/>
      <c r="P88" s="40"/>
      <c r="Q88" s="43"/>
      <c r="R88" s="9"/>
      <c r="S88" s="9"/>
      <c r="T88" s="9"/>
      <c r="U88" s="43"/>
      <c r="V88" s="9"/>
      <c r="W88" s="9"/>
      <c r="X88" s="9"/>
      <c r="Y88" s="9"/>
      <c r="Z88" s="9"/>
      <c r="AA88" s="9"/>
      <c r="AB88" s="10" t="str">
        <f aca="false">IF(A88="","",SG_Criteria!$B$6&amp;SG_Criteria!$B$12&amp;"\"&amp;A88&amp;"\")</f>
        <v/>
      </c>
      <c r="AC88" s="10" t="str">
        <f aca="false">IF(A88="","",A88&amp;"_CAD.dwg")</f>
        <v/>
      </c>
      <c r="AD88" s="10" t="str">
        <f aca="false">IF(A88="","",A88&amp;"_DWG.pdf")</f>
        <v/>
      </c>
      <c r="AE88" s="10" t="str">
        <f aca="false">IF(A88="","",IF(AA88="Y",A88&amp;"_STAAD.std","n/a"))</f>
        <v/>
      </c>
      <c r="AF88" s="10" t="str">
        <f aca="false">IF(A88="","",A88&amp;"_CALC.xlsx")</f>
        <v/>
      </c>
      <c r="AG88" s="10" t="str">
        <f aca="false">IF(A88="","",A88&amp;"_CALC.pdf")</f>
        <v/>
      </c>
      <c r="AH88" s="9"/>
      <c r="AI88" s="9"/>
      <c r="AJ88" s="41"/>
      <c r="AK88" s="41"/>
      <c r="AL88" s="41"/>
      <c r="AM88" s="41"/>
      <c r="AN88" s="41"/>
      <c r="AO88" s="38" t="str">
        <f aca="false">IF(C88="","",IF(LEN(IF(AND(C88&lt;&gt;"High Covered Linkway",F88&lt;SG_Criteria!$B$46),"FAIL: headroom below "&amp;SG_Criteria!$B$46&amp;" m. ","")&amp;IF(AND(C88="High Covered Linkway",F88&lt;SG_Criteria!$B$47),"FAIL: high linkway headroom below "&amp;SG_Criteria!$B$47&amp;" m. ","")&amp;IF(E88&lt;SG_Criteria!$B$48,"FAIL: roof width below "&amp;SG_Criteria!$B$48&amp;" m. ",IF(E88&lt;SG_Criteria!$B$49,"NOTE: not for MRT/LRT or high-traffic routes (min "&amp;SG_Criteria!$B$49&amp;" m). ",""))&amp;IF(AND(P88&lt;&gt;"",P88&lt;SG_Criteria!$B$50),"FAIL: wind speed below "&amp;SG_Criteria!$B$50&amp;" m/s. ","")&amp;IF(AND(Q88&lt;&gt;"",Q88&lt;SG_Criteria!$B$51),"FAIL: roof fixing pull-out below "&amp;SG_Criteria!$B$51&amp;" kN. ","")&amp;IF(AND(R88&lt;&gt;"",IFERROR(VALUE(MID(R88,2,2)),0)&lt;SG_Criteria!$B$52),"FAIL: grade below C"&amp;SG_Criteria!$B$52&amp;". ","")&amp;IF(D88="Non-standard (project design)","NOTE: not an SDRE standard, needs LTA acceptance. ",""))=0,"OK",IF(AND(C88&lt;&gt;"High Covered Linkway",F88&lt;SG_Criteria!$B$46),"FAIL: headroom below "&amp;SG_Criteria!$B$46&amp;" m. ","")&amp;IF(AND(C88="High Covered Linkway",F88&lt;SG_Criteria!$B$47),"FAIL: high linkway headroom below "&amp;SG_Criteria!$B$47&amp;" m. ","")&amp;IF(E88&lt;SG_Criteria!$B$48,"FAIL: roof width below "&amp;SG_Criteria!$B$48&amp;" m. ",IF(E88&lt;SG_Criteria!$B$49,"NOTE: not for MRT/LRT or high-traffic routes (min "&amp;SG_Criteria!$B$49&amp;" m). ",""))&amp;IF(AND(P88&lt;&gt;"",P88&lt;SG_Criteria!$B$50),"FAIL: wind speed below "&amp;SG_Criteria!$B$50&amp;" m/s. ","")&amp;IF(AND(Q88&lt;&gt;"",Q88&lt;SG_Criteria!$B$51),"FAIL: roof fixing pull-out below "&amp;SG_Criteria!$B$51&amp;" kN. ","")&amp;IF(AND(R88&lt;&gt;"",IFERROR(VALUE(MID(R88,2,2)),0)&lt;SG_Criteria!$B$52),"FAIL: grade below C"&amp;SG_Criteria!$B$52&amp;". ","")&amp;IF(D88="Non-standard (project design)","NOTE: not an SDRE standard, needs LTA acceptance. ","")))</f>
        <v/>
      </c>
      <c r="AP88" s="9"/>
      <c r="AQ88" s="9"/>
      <c r="AR88" s="9"/>
      <c r="AS88" s="9"/>
      <c r="AT88" s="9"/>
      <c r="AU88" s="31"/>
      <c r="AV88" s="10" t="str">
        <f aca="false">IF(C88="","",IF(AND(X88="Approved",ISERROR(SEARCH("FAIL",AO88))),"Y","N"))</f>
        <v/>
      </c>
      <c r="AW88" s="10" t="str">
        <f aca="false">IF(C88="","",C88&amp;"|"&amp;E88&amp;"|"&amp;F88&amp;"|"&amp;AV88)</f>
        <v/>
      </c>
    </row>
    <row r="89" customFormat="false" ht="15" hidden="false" customHeight="false" outlineLevel="0" collapsed="false">
      <c r="A89" s="10" t="str">
        <f aca="false">IF(C89="","","LKW-"&amp;IFERROR(VLOOKUP(C89,Lists!$AQ$4:$AR$17,2,0),"??")&amp;"-W"&amp;TEXT(E89*1000,"0000")&amp;"-H"&amp;TEXT(F89*1000,"0000")&amp;"-B"&amp;TEXT(G89*1000,"0000")&amp;"-"&amp;W89)</f>
        <v/>
      </c>
      <c r="B89" s="10" t="str">
        <f aca="false">IF(C89="","",C89&amp;", "&amp;E89&amp;" m wide, "&amp;F89&amp;" m headroom, "&amp;G89&amp;" m bays, "&amp;H89&amp;" ("&amp;D89&amp;")")</f>
        <v/>
      </c>
      <c r="C89" s="9"/>
      <c r="D89" s="9"/>
      <c r="E89" s="43"/>
      <c r="F89" s="43"/>
      <c r="G89" s="43"/>
      <c r="H89" s="9"/>
      <c r="I89" s="9"/>
      <c r="J89" s="9"/>
      <c r="K89" s="9"/>
      <c r="L89" s="9"/>
      <c r="M89" s="9"/>
      <c r="N89" s="9"/>
      <c r="O89" s="9"/>
      <c r="P89" s="40"/>
      <c r="Q89" s="43"/>
      <c r="R89" s="9"/>
      <c r="S89" s="9"/>
      <c r="T89" s="9"/>
      <c r="U89" s="43"/>
      <c r="V89" s="9"/>
      <c r="W89" s="9"/>
      <c r="X89" s="9"/>
      <c r="Y89" s="9"/>
      <c r="Z89" s="9"/>
      <c r="AA89" s="9"/>
      <c r="AB89" s="10" t="str">
        <f aca="false">IF(A89="","",SG_Criteria!$B$6&amp;SG_Criteria!$B$12&amp;"\"&amp;A89&amp;"\")</f>
        <v/>
      </c>
      <c r="AC89" s="10" t="str">
        <f aca="false">IF(A89="","",A89&amp;"_CAD.dwg")</f>
        <v/>
      </c>
      <c r="AD89" s="10" t="str">
        <f aca="false">IF(A89="","",A89&amp;"_DWG.pdf")</f>
        <v/>
      </c>
      <c r="AE89" s="10" t="str">
        <f aca="false">IF(A89="","",IF(AA89="Y",A89&amp;"_STAAD.std","n/a"))</f>
        <v/>
      </c>
      <c r="AF89" s="10" t="str">
        <f aca="false">IF(A89="","",A89&amp;"_CALC.xlsx")</f>
        <v/>
      </c>
      <c r="AG89" s="10" t="str">
        <f aca="false">IF(A89="","",A89&amp;"_CALC.pdf")</f>
        <v/>
      </c>
      <c r="AH89" s="9"/>
      <c r="AI89" s="9"/>
      <c r="AJ89" s="41"/>
      <c r="AK89" s="41"/>
      <c r="AL89" s="41"/>
      <c r="AM89" s="41"/>
      <c r="AN89" s="41"/>
      <c r="AO89" s="38" t="str">
        <f aca="false">IF(C89="","",IF(LEN(IF(AND(C89&lt;&gt;"High Covered Linkway",F89&lt;SG_Criteria!$B$46),"FAIL: headroom below "&amp;SG_Criteria!$B$46&amp;" m. ","")&amp;IF(AND(C89="High Covered Linkway",F89&lt;SG_Criteria!$B$47),"FAIL: high linkway headroom below "&amp;SG_Criteria!$B$47&amp;" m. ","")&amp;IF(E89&lt;SG_Criteria!$B$48,"FAIL: roof width below "&amp;SG_Criteria!$B$48&amp;" m. ",IF(E89&lt;SG_Criteria!$B$49,"NOTE: not for MRT/LRT or high-traffic routes (min "&amp;SG_Criteria!$B$49&amp;" m). ",""))&amp;IF(AND(P89&lt;&gt;"",P89&lt;SG_Criteria!$B$50),"FAIL: wind speed below "&amp;SG_Criteria!$B$50&amp;" m/s. ","")&amp;IF(AND(Q89&lt;&gt;"",Q89&lt;SG_Criteria!$B$51),"FAIL: roof fixing pull-out below "&amp;SG_Criteria!$B$51&amp;" kN. ","")&amp;IF(AND(R89&lt;&gt;"",IFERROR(VALUE(MID(R89,2,2)),0)&lt;SG_Criteria!$B$52),"FAIL: grade below C"&amp;SG_Criteria!$B$52&amp;". ","")&amp;IF(D89="Non-standard (project design)","NOTE: not an SDRE standard, needs LTA acceptance. ",""))=0,"OK",IF(AND(C89&lt;&gt;"High Covered Linkway",F89&lt;SG_Criteria!$B$46),"FAIL: headroom below "&amp;SG_Criteria!$B$46&amp;" m. ","")&amp;IF(AND(C89="High Covered Linkway",F89&lt;SG_Criteria!$B$47),"FAIL: high linkway headroom below "&amp;SG_Criteria!$B$47&amp;" m. ","")&amp;IF(E89&lt;SG_Criteria!$B$48,"FAIL: roof width below "&amp;SG_Criteria!$B$48&amp;" m. ",IF(E89&lt;SG_Criteria!$B$49,"NOTE: not for MRT/LRT or high-traffic routes (min "&amp;SG_Criteria!$B$49&amp;" m). ",""))&amp;IF(AND(P89&lt;&gt;"",P89&lt;SG_Criteria!$B$50),"FAIL: wind speed below "&amp;SG_Criteria!$B$50&amp;" m/s. ","")&amp;IF(AND(Q89&lt;&gt;"",Q89&lt;SG_Criteria!$B$51),"FAIL: roof fixing pull-out below "&amp;SG_Criteria!$B$51&amp;" kN. ","")&amp;IF(AND(R89&lt;&gt;"",IFERROR(VALUE(MID(R89,2,2)),0)&lt;SG_Criteria!$B$52),"FAIL: grade below C"&amp;SG_Criteria!$B$52&amp;". ","")&amp;IF(D89="Non-standard (project design)","NOTE: not an SDRE standard, needs LTA acceptance. ","")))</f>
        <v/>
      </c>
      <c r="AP89" s="9"/>
      <c r="AQ89" s="9"/>
      <c r="AR89" s="9"/>
      <c r="AS89" s="9"/>
      <c r="AT89" s="9"/>
      <c r="AU89" s="31"/>
      <c r="AV89" s="10" t="str">
        <f aca="false">IF(C89="","",IF(AND(X89="Approved",ISERROR(SEARCH("FAIL",AO89))),"Y","N"))</f>
        <v/>
      </c>
      <c r="AW89" s="10" t="str">
        <f aca="false">IF(C89="","",C89&amp;"|"&amp;E89&amp;"|"&amp;F89&amp;"|"&amp;AV89)</f>
        <v/>
      </c>
    </row>
    <row r="90" customFormat="false" ht="15" hidden="false" customHeight="false" outlineLevel="0" collapsed="false">
      <c r="A90" s="10" t="str">
        <f aca="false">IF(C90="","","LKW-"&amp;IFERROR(VLOOKUP(C90,Lists!$AQ$4:$AR$17,2,0),"??")&amp;"-W"&amp;TEXT(E90*1000,"0000")&amp;"-H"&amp;TEXT(F90*1000,"0000")&amp;"-B"&amp;TEXT(G90*1000,"0000")&amp;"-"&amp;W90)</f>
        <v/>
      </c>
      <c r="B90" s="10" t="str">
        <f aca="false">IF(C90="","",C90&amp;", "&amp;E90&amp;" m wide, "&amp;F90&amp;" m headroom, "&amp;G90&amp;" m bays, "&amp;H90&amp;" ("&amp;D90&amp;")")</f>
        <v/>
      </c>
      <c r="C90" s="9"/>
      <c r="D90" s="9"/>
      <c r="E90" s="43"/>
      <c r="F90" s="43"/>
      <c r="G90" s="43"/>
      <c r="H90" s="9"/>
      <c r="I90" s="9"/>
      <c r="J90" s="9"/>
      <c r="K90" s="9"/>
      <c r="L90" s="9"/>
      <c r="M90" s="9"/>
      <c r="N90" s="9"/>
      <c r="O90" s="9"/>
      <c r="P90" s="40"/>
      <c r="Q90" s="43"/>
      <c r="R90" s="9"/>
      <c r="S90" s="9"/>
      <c r="T90" s="9"/>
      <c r="U90" s="43"/>
      <c r="V90" s="9"/>
      <c r="W90" s="9"/>
      <c r="X90" s="9"/>
      <c r="Y90" s="9"/>
      <c r="Z90" s="9"/>
      <c r="AA90" s="9"/>
      <c r="AB90" s="10" t="str">
        <f aca="false">IF(A90="","",SG_Criteria!$B$6&amp;SG_Criteria!$B$12&amp;"\"&amp;A90&amp;"\")</f>
        <v/>
      </c>
      <c r="AC90" s="10" t="str">
        <f aca="false">IF(A90="","",A90&amp;"_CAD.dwg")</f>
        <v/>
      </c>
      <c r="AD90" s="10" t="str">
        <f aca="false">IF(A90="","",A90&amp;"_DWG.pdf")</f>
        <v/>
      </c>
      <c r="AE90" s="10" t="str">
        <f aca="false">IF(A90="","",IF(AA90="Y",A90&amp;"_STAAD.std","n/a"))</f>
        <v/>
      </c>
      <c r="AF90" s="10" t="str">
        <f aca="false">IF(A90="","",A90&amp;"_CALC.xlsx")</f>
        <v/>
      </c>
      <c r="AG90" s="10" t="str">
        <f aca="false">IF(A90="","",A90&amp;"_CALC.pdf")</f>
        <v/>
      </c>
      <c r="AH90" s="9"/>
      <c r="AI90" s="9"/>
      <c r="AJ90" s="41"/>
      <c r="AK90" s="41"/>
      <c r="AL90" s="41"/>
      <c r="AM90" s="41"/>
      <c r="AN90" s="41"/>
      <c r="AO90" s="38" t="str">
        <f aca="false">IF(C90="","",IF(LEN(IF(AND(C90&lt;&gt;"High Covered Linkway",F90&lt;SG_Criteria!$B$46),"FAIL: headroom below "&amp;SG_Criteria!$B$46&amp;" m. ","")&amp;IF(AND(C90="High Covered Linkway",F90&lt;SG_Criteria!$B$47),"FAIL: high linkway headroom below "&amp;SG_Criteria!$B$47&amp;" m. ","")&amp;IF(E90&lt;SG_Criteria!$B$48,"FAIL: roof width below "&amp;SG_Criteria!$B$48&amp;" m. ",IF(E90&lt;SG_Criteria!$B$49,"NOTE: not for MRT/LRT or high-traffic routes (min "&amp;SG_Criteria!$B$49&amp;" m). ",""))&amp;IF(AND(P90&lt;&gt;"",P90&lt;SG_Criteria!$B$50),"FAIL: wind speed below "&amp;SG_Criteria!$B$50&amp;" m/s. ","")&amp;IF(AND(Q90&lt;&gt;"",Q90&lt;SG_Criteria!$B$51),"FAIL: roof fixing pull-out below "&amp;SG_Criteria!$B$51&amp;" kN. ","")&amp;IF(AND(R90&lt;&gt;"",IFERROR(VALUE(MID(R90,2,2)),0)&lt;SG_Criteria!$B$52),"FAIL: grade below C"&amp;SG_Criteria!$B$52&amp;". ","")&amp;IF(D90="Non-standard (project design)","NOTE: not an SDRE standard, needs LTA acceptance. ",""))=0,"OK",IF(AND(C90&lt;&gt;"High Covered Linkway",F90&lt;SG_Criteria!$B$46),"FAIL: headroom below "&amp;SG_Criteria!$B$46&amp;" m. ","")&amp;IF(AND(C90="High Covered Linkway",F90&lt;SG_Criteria!$B$47),"FAIL: high linkway headroom below "&amp;SG_Criteria!$B$47&amp;" m. ","")&amp;IF(E90&lt;SG_Criteria!$B$48,"FAIL: roof width below "&amp;SG_Criteria!$B$48&amp;" m. ",IF(E90&lt;SG_Criteria!$B$49,"NOTE: not for MRT/LRT or high-traffic routes (min "&amp;SG_Criteria!$B$49&amp;" m). ",""))&amp;IF(AND(P90&lt;&gt;"",P90&lt;SG_Criteria!$B$50),"FAIL: wind speed below "&amp;SG_Criteria!$B$50&amp;" m/s. ","")&amp;IF(AND(Q90&lt;&gt;"",Q90&lt;SG_Criteria!$B$51),"FAIL: roof fixing pull-out below "&amp;SG_Criteria!$B$51&amp;" kN. ","")&amp;IF(AND(R90&lt;&gt;"",IFERROR(VALUE(MID(R90,2,2)),0)&lt;SG_Criteria!$B$52),"FAIL: grade below C"&amp;SG_Criteria!$B$52&amp;". ","")&amp;IF(D90="Non-standard (project design)","NOTE: not an SDRE standard, needs LTA acceptance. ","")))</f>
        <v/>
      </c>
      <c r="AP90" s="9"/>
      <c r="AQ90" s="9"/>
      <c r="AR90" s="9"/>
      <c r="AS90" s="9"/>
      <c r="AT90" s="9"/>
      <c r="AU90" s="31"/>
      <c r="AV90" s="10" t="str">
        <f aca="false">IF(C90="","",IF(AND(X90="Approved",ISERROR(SEARCH("FAIL",AO90))),"Y","N"))</f>
        <v/>
      </c>
      <c r="AW90" s="10" t="str">
        <f aca="false">IF(C90="","",C90&amp;"|"&amp;E90&amp;"|"&amp;F90&amp;"|"&amp;AV90)</f>
        <v/>
      </c>
    </row>
    <row r="91" customFormat="false" ht="15" hidden="false" customHeight="false" outlineLevel="0" collapsed="false">
      <c r="A91" s="10" t="str">
        <f aca="false">IF(C91="","","LKW-"&amp;IFERROR(VLOOKUP(C91,Lists!$AQ$4:$AR$17,2,0),"??")&amp;"-W"&amp;TEXT(E91*1000,"0000")&amp;"-H"&amp;TEXT(F91*1000,"0000")&amp;"-B"&amp;TEXT(G91*1000,"0000")&amp;"-"&amp;W91)</f>
        <v/>
      </c>
      <c r="B91" s="10" t="str">
        <f aca="false">IF(C91="","",C91&amp;", "&amp;E91&amp;" m wide, "&amp;F91&amp;" m headroom, "&amp;G91&amp;" m bays, "&amp;H91&amp;" ("&amp;D91&amp;")")</f>
        <v/>
      </c>
      <c r="C91" s="9"/>
      <c r="D91" s="9"/>
      <c r="E91" s="43"/>
      <c r="F91" s="43"/>
      <c r="G91" s="43"/>
      <c r="H91" s="9"/>
      <c r="I91" s="9"/>
      <c r="J91" s="9"/>
      <c r="K91" s="9"/>
      <c r="L91" s="9"/>
      <c r="M91" s="9"/>
      <c r="N91" s="9"/>
      <c r="O91" s="9"/>
      <c r="P91" s="40"/>
      <c r="Q91" s="43"/>
      <c r="R91" s="9"/>
      <c r="S91" s="9"/>
      <c r="T91" s="9"/>
      <c r="U91" s="43"/>
      <c r="V91" s="9"/>
      <c r="W91" s="9"/>
      <c r="X91" s="9"/>
      <c r="Y91" s="9"/>
      <c r="Z91" s="9"/>
      <c r="AA91" s="9"/>
      <c r="AB91" s="10" t="str">
        <f aca="false">IF(A91="","",SG_Criteria!$B$6&amp;SG_Criteria!$B$12&amp;"\"&amp;A91&amp;"\")</f>
        <v/>
      </c>
      <c r="AC91" s="10" t="str">
        <f aca="false">IF(A91="","",A91&amp;"_CAD.dwg")</f>
        <v/>
      </c>
      <c r="AD91" s="10" t="str">
        <f aca="false">IF(A91="","",A91&amp;"_DWG.pdf")</f>
        <v/>
      </c>
      <c r="AE91" s="10" t="str">
        <f aca="false">IF(A91="","",IF(AA91="Y",A91&amp;"_STAAD.std","n/a"))</f>
        <v/>
      </c>
      <c r="AF91" s="10" t="str">
        <f aca="false">IF(A91="","",A91&amp;"_CALC.xlsx")</f>
        <v/>
      </c>
      <c r="AG91" s="10" t="str">
        <f aca="false">IF(A91="","",A91&amp;"_CALC.pdf")</f>
        <v/>
      </c>
      <c r="AH91" s="9"/>
      <c r="AI91" s="9"/>
      <c r="AJ91" s="41"/>
      <c r="AK91" s="41"/>
      <c r="AL91" s="41"/>
      <c r="AM91" s="41"/>
      <c r="AN91" s="41"/>
      <c r="AO91" s="38" t="str">
        <f aca="false">IF(C91="","",IF(LEN(IF(AND(C91&lt;&gt;"High Covered Linkway",F91&lt;SG_Criteria!$B$46),"FAIL: headroom below "&amp;SG_Criteria!$B$46&amp;" m. ","")&amp;IF(AND(C91="High Covered Linkway",F91&lt;SG_Criteria!$B$47),"FAIL: high linkway headroom below "&amp;SG_Criteria!$B$47&amp;" m. ","")&amp;IF(E91&lt;SG_Criteria!$B$48,"FAIL: roof width below "&amp;SG_Criteria!$B$48&amp;" m. ",IF(E91&lt;SG_Criteria!$B$49,"NOTE: not for MRT/LRT or high-traffic routes (min "&amp;SG_Criteria!$B$49&amp;" m). ",""))&amp;IF(AND(P91&lt;&gt;"",P91&lt;SG_Criteria!$B$50),"FAIL: wind speed below "&amp;SG_Criteria!$B$50&amp;" m/s. ","")&amp;IF(AND(Q91&lt;&gt;"",Q91&lt;SG_Criteria!$B$51),"FAIL: roof fixing pull-out below "&amp;SG_Criteria!$B$51&amp;" kN. ","")&amp;IF(AND(R91&lt;&gt;"",IFERROR(VALUE(MID(R91,2,2)),0)&lt;SG_Criteria!$B$52),"FAIL: grade below C"&amp;SG_Criteria!$B$52&amp;". ","")&amp;IF(D91="Non-standard (project design)","NOTE: not an SDRE standard, needs LTA acceptance. ",""))=0,"OK",IF(AND(C91&lt;&gt;"High Covered Linkway",F91&lt;SG_Criteria!$B$46),"FAIL: headroom below "&amp;SG_Criteria!$B$46&amp;" m. ","")&amp;IF(AND(C91="High Covered Linkway",F91&lt;SG_Criteria!$B$47),"FAIL: high linkway headroom below "&amp;SG_Criteria!$B$47&amp;" m. ","")&amp;IF(E91&lt;SG_Criteria!$B$48,"FAIL: roof width below "&amp;SG_Criteria!$B$48&amp;" m. ",IF(E91&lt;SG_Criteria!$B$49,"NOTE: not for MRT/LRT or high-traffic routes (min "&amp;SG_Criteria!$B$49&amp;" m). ",""))&amp;IF(AND(P91&lt;&gt;"",P91&lt;SG_Criteria!$B$50),"FAIL: wind speed below "&amp;SG_Criteria!$B$50&amp;" m/s. ","")&amp;IF(AND(Q91&lt;&gt;"",Q91&lt;SG_Criteria!$B$51),"FAIL: roof fixing pull-out below "&amp;SG_Criteria!$B$51&amp;" kN. ","")&amp;IF(AND(R91&lt;&gt;"",IFERROR(VALUE(MID(R91,2,2)),0)&lt;SG_Criteria!$B$52),"FAIL: grade below C"&amp;SG_Criteria!$B$52&amp;". ","")&amp;IF(D91="Non-standard (project design)","NOTE: not an SDRE standard, needs LTA acceptance. ","")))</f>
        <v/>
      </c>
      <c r="AP91" s="9"/>
      <c r="AQ91" s="9"/>
      <c r="AR91" s="9"/>
      <c r="AS91" s="9"/>
      <c r="AT91" s="9"/>
      <c r="AU91" s="31"/>
      <c r="AV91" s="10" t="str">
        <f aca="false">IF(C91="","",IF(AND(X91="Approved",ISERROR(SEARCH("FAIL",AO91))),"Y","N"))</f>
        <v/>
      </c>
      <c r="AW91" s="10" t="str">
        <f aca="false">IF(C91="","",C91&amp;"|"&amp;E91&amp;"|"&amp;F91&amp;"|"&amp;AV91)</f>
        <v/>
      </c>
    </row>
    <row r="92" customFormat="false" ht="15" hidden="false" customHeight="false" outlineLevel="0" collapsed="false">
      <c r="A92" s="10" t="str">
        <f aca="false">IF(C92="","","LKW-"&amp;IFERROR(VLOOKUP(C92,Lists!$AQ$4:$AR$17,2,0),"??")&amp;"-W"&amp;TEXT(E92*1000,"0000")&amp;"-H"&amp;TEXT(F92*1000,"0000")&amp;"-B"&amp;TEXT(G92*1000,"0000")&amp;"-"&amp;W92)</f>
        <v/>
      </c>
      <c r="B92" s="10" t="str">
        <f aca="false">IF(C92="","",C92&amp;", "&amp;E92&amp;" m wide, "&amp;F92&amp;" m headroom, "&amp;G92&amp;" m bays, "&amp;H92&amp;" ("&amp;D92&amp;")")</f>
        <v/>
      </c>
      <c r="C92" s="9"/>
      <c r="D92" s="9"/>
      <c r="E92" s="43"/>
      <c r="F92" s="43"/>
      <c r="G92" s="43"/>
      <c r="H92" s="9"/>
      <c r="I92" s="9"/>
      <c r="J92" s="9"/>
      <c r="K92" s="9"/>
      <c r="L92" s="9"/>
      <c r="M92" s="9"/>
      <c r="N92" s="9"/>
      <c r="O92" s="9"/>
      <c r="P92" s="40"/>
      <c r="Q92" s="43"/>
      <c r="R92" s="9"/>
      <c r="S92" s="9"/>
      <c r="T92" s="9"/>
      <c r="U92" s="43"/>
      <c r="V92" s="9"/>
      <c r="W92" s="9"/>
      <c r="X92" s="9"/>
      <c r="Y92" s="9"/>
      <c r="Z92" s="9"/>
      <c r="AA92" s="9"/>
      <c r="AB92" s="10" t="str">
        <f aca="false">IF(A92="","",SG_Criteria!$B$6&amp;SG_Criteria!$B$12&amp;"\"&amp;A92&amp;"\")</f>
        <v/>
      </c>
      <c r="AC92" s="10" t="str">
        <f aca="false">IF(A92="","",A92&amp;"_CAD.dwg")</f>
        <v/>
      </c>
      <c r="AD92" s="10" t="str">
        <f aca="false">IF(A92="","",A92&amp;"_DWG.pdf")</f>
        <v/>
      </c>
      <c r="AE92" s="10" t="str">
        <f aca="false">IF(A92="","",IF(AA92="Y",A92&amp;"_STAAD.std","n/a"))</f>
        <v/>
      </c>
      <c r="AF92" s="10" t="str">
        <f aca="false">IF(A92="","",A92&amp;"_CALC.xlsx")</f>
        <v/>
      </c>
      <c r="AG92" s="10" t="str">
        <f aca="false">IF(A92="","",A92&amp;"_CALC.pdf")</f>
        <v/>
      </c>
      <c r="AH92" s="9"/>
      <c r="AI92" s="9"/>
      <c r="AJ92" s="41"/>
      <c r="AK92" s="41"/>
      <c r="AL92" s="41"/>
      <c r="AM92" s="41"/>
      <c r="AN92" s="41"/>
      <c r="AO92" s="38" t="str">
        <f aca="false">IF(C92="","",IF(LEN(IF(AND(C92&lt;&gt;"High Covered Linkway",F92&lt;SG_Criteria!$B$46),"FAIL: headroom below "&amp;SG_Criteria!$B$46&amp;" m. ","")&amp;IF(AND(C92="High Covered Linkway",F92&lt;SG_Criteria!$B$47),"FAIL: high linkway headroom below "&amp;SG_Criteria!$B$47&amp;" m. ","")&amp;IF(E92&lt;SG_Criteria!$B$48,"FAIL: roof width below "&amp;SG_Criteria!$B$48&amp;" m. ",IF(E92&lt;SG_Criteria!$B$49,"NOTE: not for MRT/LRT or high-traffic routes (min "&amp;SG_Criteria!$B$49&amp;" m). ",""))&amp;IF(AND(P92&lt;&gt;"",P92&lt;SG_Criteria!$B$50),"FAIL: wind speed below "&amp;SG_Criteria!$B$50&amp;" m/s. ","")&amp;IF(AND(Q92&lt;&gt;"",Q92&lt;SG_Criteria!$B$51),"FAIL: roof fixing pull-out below "&amp;SG_Criteria!$B$51&amp;" kN. ","")&amp;IF(AND(R92&lt;&gt;"",IFERROR(VALUE(MID(R92,2,2)),0)&lt;SG_Criteria!$B$52),"FAIL: grade below C"&amp;SG_Criteria!$B$52&amp;". ","")&amp;IF(D92="Non-standard (project design)","NOTE: not an SDRE standard, needs LTA acceptance. ",""))=0,"OK",IF(AND(C92&lt;&gt;"High Covered Linkway",F92&lt;SG_Criteria!$B$46),"FAIL: headroom below "&amp;SG_Criteria!$B$46&amp;" m. ","")&amp;IF(AND(C92="High Covered Linkway",F92&lt;SG_Criteria!$B$47),"FAIL: high linkway headroom below "&amp;SG_Criteria!$B$47&amp;" m. ","")&amp;IF(E92&lt;SG_Criteria!$B$48,"FAIL: roof width below "&amp;SG_Criteria!$B$48&amp;" m. ",IF(E92&lt;SG_Criteria!$B$49,"NOTE: not for MRT/LRT or high-traffic routes (min "&amp;SG_Criteria!$B$49&amp;" m). ",""))&amp;IF(AND(P92&lt;&gt;"",P92&lt;SG_Criteria!$B$50),"FAIL: wind speed below "&amp;SG_Criteria!$B$50&amp;" m/s. ","")&amp;IF(AND(Q92&lt;&gt;"",Q92&lt;SG_Criteria!$B$51),"FAIL: roof fixing pull-out below "&amp;SG_Criteria!$B$51&amp;" kN. ","")&amp;IF(AND(R92&lt;&gt;"",IFERROR(VALUE(MID(R92,2,2)),0)&lt;SG_Criteria!$B$52),"FAIL: grade below C"&amp;SG_Criteria!$B$52&amp;". ","")&amp;IF(D92="Non-standard (project design)","NOTE: not an SDRE standard, needs LTA acceptance. ","")))</f>
        <v/>
      </c>
      <c r="AP92" s="9"/>
      <c r="AQ92" s="9"/>
      <c r="AR92" s="9"/>
      <c r="AS92" s="9"/>
      <c r="AT92" s="9"/>
      <c r="AU92" s="31"/>
      <c r="AV92" s="10" t="str">
        <f aca="false">IF(C92="","",IF(AND(X92="Approved",ISERROR(SEARCH("FAIL",AO92))),"Y","N"))</f>
        <v/>
      </c>
      <c r="AW92" s="10" t="str">
        <f aca="false">IF(C92="","",C92&amp;"|"&amp;E92&amp;"|"&amp;F92&amp;"|"&amp;AV92)</f>
        <v/>
      </c>
    </row>
    <row r="93" customFormat="false" ht="15" hidden="false" customHeight="false" outlineLevel="0" collapsed="false">
      <c r="A93" s="10" t="str">
        <f aca="false">IF(C93="","","LKW-"&amp;IFERROR(VLOOKUP(C93,Lists!$AQ$4:$AR$17,2,0),"??")&amp;"-W"&amp;TEXT(E93*1000,"0000")&amp;"-H"&amp;TEXT(F93*1000,"0000")&amp;"-B"&amp;TEXT(G93*1000,"0000")&amp;"-"&amp;W93)</f>
        <v/>
      </c>
      <c r="B93" s="10" t="str">
        <f aca="false">IF(C93="","",C93&amp;", "&amp;E93&amp;" m wide, "&amp;F93&amp;" m headroom, "&amp;G93&amp;" m bays, "&amp;H93&amp;" ("&amp;D93&amp;")")</f>
        <v/>
      </c>
      <c r="C93" s="9"/>
      <c r="D93" s="9"/>
      <c r="E93" s="43"/>
      <c r="F93" s="43"/>
      <c r="G93" s="43"/>
      <c r="H93" s="9"/>
      <c r="I93" s="9"/>
      <c r="J93" s="9"/>
      <c r="K93" s="9"/>
      <c r="L93" s="9"/>
      <c r="M93" s="9"/>
      <c r="N93" s="9"/>
      <c r="O93" s="9"/>
      <c r="P93" s="40"/>
      <c r="Q93" s="43"/>
      <c r="R93" s="9"/>
      <c r="S93" s="9"/>
      <c r="T93" s="9"/>
      <c r="U93" s="43"/>
      <c r="V93" s="9"/>
      <c r="W93" s="9"/>
      <c r="X93" s="9"/>
      <c r="Y93" s="9"/>
      <c r="Z93" s="9"/>
      <c r="AA93" s="9"/>
      <c r="AB93" s="10" t="str">
        <f aca="false">IF(A93="","",SG_Criteria!$B$6&amp;SG_Criteria!$B$12&amp;"\"&amp;A93&amp;"\")</f>
        <v/>
      </c>
      <c r="AC93" s="10" t="str">
        <f aca="false">IF(A93="","",A93&amp;"_CAD.dwg")</f>
        <v/>
      </c>
      <c r="AD93" s="10" t="str">
        <f aca="false">IF(A93="","",A93&amp;"_DWG.pdf")</f>
        <v/>
      </c>
      <c r="AE93" s="10" t="str">
        <f aca="false">IF(A93="","",IF(AA93="Y",A93&amp;"_STAAD.std","n/a"))</f>
        <v/>
      </c>
      <c r="AF93" s="10" t="str">
        <f aca="false">IF(A93="","",A93&amp;"_CALC.xlsx")</f>
        <v/>
      </c>
      <c r="AG93" s="10" t="str">
        <f aca="false">IF(A93="","",A93&amp;"_CALC.pdf")</f>
        <v/>
      </c>
      <c r="AH93" s="9"/>
      <c r="AI93" s="9"/>
      <c r="AJ93" s="41"/>
      <c r="AK93" s="41"/>
      <c r="AL93" s="41"/>
      <c r="AM93" s="41"/>
      <c r="AN93" s="41"/>
      <c r="AO93" s="38" t="str">
        <f aca="false">IF(C93="","",IF(LEN(IF(AND(C93&lt;&gt;"High Covered Linkway",F93&lt;SG_Criteria!$B$46),"FAIL: headroom below "&amp;SG_Criteria!$B$46&amp;" m. ","")&amp;IF(AND(C93="High Covered Linkway",F93&lt;SG_Criteria!$B$47),"FAIL: high linkway headroom below "&amp;SG_Criteria!$B$47&amp;" m. ","")&amp;IF(E93&lt;SG_Criteria!$B$48,"FAIL: roof width below "&amp;SG_Criteria!$B$48&amp;" m. ",IF(E93&lt;SG_Criteria!$B$49,"NOTE: not for MRT/LRT or high-traffic routes (min "&amp;SG_Criteria!$B$49&amp;" m). ",""))&amp;IF(AND(P93&lt;&gt;"",P93&lt;SG_Criteria!$B$50),"FAIL: wind speed below "&amp;SG_Criteria!$B$50&amp;" m/s. ","")&amp;IF(AND(Q93&lt;&gt;"",Q93&lt;SG_Criteria!$B$51),"FAIL: roof fixing pull-out below "&amp;SG_Criteria!$B$51&amp;" kN. ","")&amp;IF(AND(R93&lt;&gt;"",IFERROR(VALUE(MID(R93,2,2)),0)&lt;SG_Criteria!$B$52),"FAIL: grade below C"&amp;SG_Criteria!$B$52&amp;". ","")&amp;IF(D93="Non-standard (project design)","NOTE: not an SDRE standard, needs LTA acceptance. ",""))=0,"OK",IF(AND(C93&lt;&gt;"High Covered Linkway",F93&lt;SG_Criteria!$B$46),"FAIL: headroom below "&amp;SG_Criteria!$B$46&amp;" m. ","")&amp;IF(AND(C93="High Covered Linkway",F93&lt;SG_Criteria!$B$47),"FAIL: high linkway headroom below "&amp;SG_Criteria!$B$47&amp;" m. ","")&amp;IF(E93&lt;SG_Criteria!$B$48,"FAIL: roof width below "&amp;SG_Criteria!$B$48&amp;" m. ",IF(E93&lt;SG_Criteria!$B$49,"NOTE: not for MRT/LRT or high-traffic routes (min "&amp;SG_Criteria!$B$49&amp;" m). ",""))&amp;IF(AND(P93&lt;&gt;"",P93&lt;SG_Criteria!$B$50),"FAIL: wind speed below "&amp;SG_Criteria!$B$50&amp;" m/s. ","")&amp;IF(AND(Q93&lt;&gt;"",Q93&lt;SG_Criteria!$B$51),"FAIL: roof fixing pull-out below "&amp;SG_Criteria!$B$51&amp;" kN. ","")&amp;IF(AND(R93&lt;&gt;"",IFERROR(VALUE(MID(R93,2,2)),0)&lt;SG_Criteria!$B$52),"FAIL: grade below C"&amp;SG_Criteria!$B$52&amp;". ","")&amp;IF(D93="Non-standard (project design)","NOTE: not an SDRE standard, needs LTA acceptance. ","")))</f>
        <v/>
      </c>
      <c r="AP93" s="9"/>
      <c r="AQ93" s="9"/>
      <c r="AR93" s="9"/>
      <c r="AS93" s="9"/>
      <c r="AT93" s="9"/>
      <c r="AU93" s="31"/>
      <c r="AV93" s="10" t="str">
        <f aca="false">IF(C93="","",IF(AND(X93="Approved",ISERROR(SEARCH("FAIL",AO93))),"Y","N"))</f>
        <v/>
      </c>
      <c r="AW93" s="10" t="str">
        <f aca="false">IF(C93="","",C93&amp;"|"&amp;E93&amp;"|"&amp;F93&amp;"|"&amp;AV93)</f>
        <v/>
      </c>
    </row>
    <row r="94" customFormat="false" ht="15" hidden="false" customHeight="false" outlineLevel="0" collapsed="false">
      <c r="A94" s="10" t="str">
        <f aca="false">IF(C94="","","LKW-"&amp;IFERROR(VLOOKUP(C94,Lists!$AQ$4:$AR$17,2,0),"??")&amp;"-W"&amp;TEXT(E94*1000,"0000")&amp;"-H"&amp;TEXT(F94*1000,"0000")&amp;"-B"&amp;TEXT(G94*1000,"0000")&amp;"-"&amp;W94)</f>
        <v/>
      </c>
      <c r="B94" s="10" t="str">
        <f aca="false">IF(C94="","",C94&amp;", "&amp;E94&amp;" m wide, "&amp;F94&amp;" m headroom, "&amp;G94&amp;" m bays, "&amp;H94&amp;" ("&amp;D94&amp;")")</f>
        <v/>
      </c>
      <c r="C94" s="9"/>
      <c r="D94" s="9"/>
      <c r="E94" s="43"/>
      <c r="F94" s="43"/>
      <c r="G94" s="43"/>
      <c r="H94" s="9"/>
      <c r="I94" s="9"/>
      <c r="J94" s="9"/>
      <c r="K94" s="9"/>
      <c r="L94" s="9"/>
      <c r="M94" s="9"/>
      <c r="N94" s="9"/>
      <c r="O94" s="9"/>
      <c r="P94" s="40"/>
      <c r="Q94" s="43"/>
      <c r="R94" s="9"/>
      <c r="S94" s="9"/>
      <c r="T94" s="9"/>
      <c r="U94" s="43"/>
      <c r="V94" s="9"/>
      <c r="W94" s="9"/>
      <c r="X94" s="9"/>
      <c r="Y94" s="9"/>
      <c r="Z94" s="9"/>
      <c r="AA94" s="9"/>
      <c r="AB94" s="10" t="str">
        <f aca="false">IF(A94="","",SG_Criteria!$B$6&amp;SG_Criteria!$B$12&amp;"\"&amp;A94&amp;"\")</f>
        <v/>
      </c>
      <c r="AC94" s="10" t="str">
        <f aca="false">IF(A94="","",A94&amp;"_CAD.dwg")</f>
        <v/>
      </c>
      <c r="AD94" s="10" t="str">
        <f aca="false">IF(A94="","",A94&amp;"_DWG.pdf")</f>
        <v/>
      </c>
      <c r="AE94" s="10" t="str">
        <f aca="false">IF(A94="","",IF(AA94="Y",A94&amp;"_STAAD.std","n/a"))</f>
        <v/>
      </c>
      <c r="AF94" s="10" t="str">
        <f aca="false">IF(A94="","",A94&amp;"_CALC.xlsx")</f>
        <v/>
      </c>
      <c r="AG94" s="10" t="str">
        <f aca="false">IF(A94="","",A94&amp;"_CALC.pdf")</f>
        <v/>
      </c>
      <c r="AH94" s="9"/>
      <c r="AI94" s="9"/>
      <c r="AJ94" s="41"/>
      <c r="AK94" s="41"/>
      <c r="AL94" s="41"/>
      <c r="AM94" s="41"/>
      <c r="AN94" s="41"/>
      <c r="AO94" s="38" t="str">
        <f aca="false">IF(C94="","",IF(LEN(IF(AND(C94&lt;&gt;"High Covered Linkway",F94&lt;SG_Criteria!$B$46),"FAIL: headroom below "&amp;SG_Criteria!$B$46&amp;" m. ","")&amp;IF(AND(C94="High Covered Linkway",F94&lt;SG_Criteria!$B$47),"FAIL: high linkway headroom below "&amp;SG_Criteria!$B$47&amp;" m. ","")&amp;IF(E94&lt;SG_Criteria!$B$48,"FAIL: roof width below "&amp;SG_Criteria!$B$48&amp;" m. ",IF(E94&lt;SG_Criteria!$B$49,"NOTE: not for MRT/LRT or high-traffic routes (min "&amp;SG_Criteria!$B$49&amp;" m). ",""))&amp;IF(AND(P94&lt;&gt;"",P94&lt;SG_Criteria!$B$50),"FAIL: wind speed below "&amp;SG_Criteria!$B$50&amp;" m/s. ","")&amp;IF(AND(Q94&lt;&gt;"",Q94&lt;SG_Criteria!$B$51),"FAIL: roof fixing pull-out below "&amp;SG_Criteria!$B$51&amp;" kN. ","")&amp;IF(AND(R94&lt;&gt;"",IFERROR(VALUE(MID(R94,2,2)),0)&lt;SG_Criteria!$B$52),"FAIL: grade below C"&amp;SG_Criteria!$B$52&amp;". ","")&amp;IF(D94="Non-standard (project design)","NOTE: not an SDRE standard, needs LTA acceptance. ",""))=0,"OK",IF(AND(C94&lt;&gt;"High Covered Linkway",F94&lt;SG_Criteria!$B$46),"FAIL: headroom below "&amp;SG_Criteria!$B$46&amp;" m. ","")&amp;IF(AND(C94="High Covered Linkway",F94&lt;SG_Criteria!$B$47),"FAIL: high linkway headroom below "&amp;SG_Criteria!$B$47&amp;" m. ","")&amp;IF(E94&lt;SG_Criteria!$B$48,"FAIL: roof width below "&amp;SG_Criteria!$B$48&amp;" m. ",IF(E94&lt;SG_Criteria!$B$49,"NOTE: not for MRT/LRT or high-traffic routes (min "&amp;SG_Criteria!$B$49&amp;" m). ",""))&amp;IF(AND(P94&lt;&gt;"",P94&lt;SG_Criteria!$B$50),"FAIL: wind speed below "&amp;SG_Criteria!$B$50&amp;" m/s. ","")&amp;IF(AND(Q94&lt;&gt;"",Q94&lt;SG_Criteria!$B$51),"FAIL: roof fixing pull-out below "&amp;SG_Criteria!$B$51&amp;" kN. ","")&amp;IF(AND(R94&lt;&gt;"",IFERROR(VALUE(MID(R94,2,2)),0)&lt;SG_Criteria!$B$52),"FAIL: grade below C"&amp;SG_Criteria!$B$52&amp;". ","")&amp;IF(D94="Non-standard (project design)","NOTE: not an SDRE standard, needs LTA acceptance. ","")))</f>
        <v/>
      </c>
      <c r="AP94" s="9"/>
      <c r="AQ94" s="9"/>
      <c r="AR94" s="9"/>
      <c r="AS94" s="9"/>
      <c r="AT94" s="9"/>
      <c r="AU94" s="31"/>
      <c r="AV94" s="10" t="str">
        <f aca="false">IF(C94="","",IF(AND(X94="Approved",ISERROR(SEARCH("FAIL",AO94))),"Y","N"))</f>
        <v/>
      </c>
      <c r="AW94" s="10" t="str">
        <f aca="false">IF(C94="","",C94&amp;"|"&amp;E94&amp;"|"&amp;F94&amp;"|"&amp;AV94)</f>
        <v/>
      </c>
    </row>
    <row r="95" customFormat="false" ht="15" hidden="false" customHeight="false" outlineLevel="0" collapsed="false">
      <c r="A95" s="10" t="str">
        <f aca="false">IF(C95="","","LKW-"&amp;IFERROR(VLOOKUP(C95,Lists!$AQ$4:$AR$17,2,0),"??")&amp;"-W"&amp;TEXT(E95*1000,"0000")&amp;"-H"&amp;TEXT(F95*1000,"0000")&amp;"-B"&amp;TEXT(G95*1000,"0000")&amp;"-"&amp;W95)</f>
        <v/>
      </c>
      <c r="B95" s="10" t="str">
        <f aca="false">IF(C95="","",C95&amp;", "&amp;E95&amp;" m wide, "&amp;F95&amp;" m headroom, "&amp;G95&amp;" m bays, "&amp;H95&amp;" ("&amp;D95&amp;")")</f>
        <v/>
      </c>
      <c r="C95" s="9"/>
      <c r="D95" s="9"/>
      <c r="E95" s="43"/>
      <c r="F95" s="43"/>
      <c r="G95" s="43"/>
      <c r="H95" s="9"/>
      <c r="I95" s="9"/>
      <c r="J95" s="9"/>
      <c r="K95" s="9"/>
      <c r="L95" s="9"/>
      <c r="M95" s="9"/>
      <c r="N95" s="9"/>
      <c r="O95" s="9"/>
      <c r="P95" s="40"/>
      <c r="Q95" s="43"/>
      <c r="R95" s="9"/>
      <c r="S95" s="9"/>
      <c r="T95" s="9"/>
      <c r="U95" s="43"/>
      <c r="V95" s="9"/>
      <c r="W95" s="9"/>
      <c r="X95" s="9"/>
      <c r="Y95" s="9"/>
      <c r="Z95" s="9"/>
      <c r="AA95" s="9"/>
      <c r="AB95" s="10" t="str">
        <f aca="false">IF(A95="","",SG_Criteria!$B$6&amp;SG_Criteria!$B$12&amp;"\"&amp;A95&amp;"\")</f>
        <v/>
      </c>
      <c r="AC95" s="10" t="str">
        <f aca="false">IF(A95="","",A95&amp;"_CAD.dwg")</f>
        <v/>
      </c>
      <c r="AD95" s="10" t="str">
        <f aca="false">IF(A95="","",A95&amp;"_DWG.pdf")</f>
        <v/>
      </c>
      <c r="AE95" s="10" t="str">
        <f aca="false">IF(A95="","",IF(AA95="Y",A95&amp;"_STAAD.std","n/a"))</f>
        <v/>
      </c>
      <c r="AF95" s="10" t="str">
        <f aca="false">IF(A95="","",A95&amp;"_CALC.xlsx")</f>
        <v/>
      </c>
      <c r="AG95" s="10" t="str">
        <f aca="false">IF(A95="","",A95&amp;"_CALC.pdf")</f>
        <v/>
      </c>
      <c r="AH95" s="9"/>
      <c r="AI95" s="9"/>
      <c r="AJ95" s="41"/>
      <c r="AK95" s="41"/>
      <c r="AL95" s="41"/>
      <c r="AM95" s="41"/>
      <c r="AN95" s="41"/>
      <c r="AO95" s="38" t="str">
        <f aca="false">IF(C95="","",IF(LEN(IF(AND(C95&lt;&gt;"High Covered Linkway",F95&lt;SG_Criteria!$B$46),"FAIL: headroom below "&amp;SG_Criteria!$B$46&amp;" m. ","")&amp;IF(AND(C95="High Covered Linkway",F95&lt;SG_Criteria!$B$47),"FAIL: high linkway headroom below "&amp;SG_Criteria!$B$47&amp;" m. ","")&amp;IF(E95&lt;SG_Criteria!$B$48,"FAIL: roof width below "&amp;SG_Criteria!$B$48&amp;" m. ",IF(E95&lt;SG_Criteria!$B$49,"NOTE: not for MRT/LRT or high-traffic routes (min "&amp;SG_Criteria!$B$49&amp;" m). ",""))&amp;IF(AND(P95&lt;&gt;"",P95&lt;SG_Criteria!$B$50),"FAIL: wind speed below "&amp;SG_Criteria!$B$50&amp;" m/s. ","")&amp;IF(AND(Q95&lt;&gt;"",Q95&lt;SG_Criteria!$B$51),"FAIL: roof fixing pull-out below "&amp;SG_Criteria!$B$51&amp;" kN. ","")&amp;IF(AND(R95&lt;&gt;"",IFERROR(VALUE(MID(R95,2,2)),0)&lt;SG_Criteria!$B$52),"FAIL: grade below C"&amp;SG_Criteria!$B$52&amp;". ","")&amp;IF(D95="Non-standard (project design)","NOTE: not an SDRE standard, needs LTA acceptance. ",""))=0,"OK",IF(AND(C95&lt;&gt;"High Covered Linkway",F95&lt;SG_Criteria!$B$46),"FAIL: headroom below "&amp;SG_Criteria!$B$46&amp;" m. ","")&amp;IF(AND(C95="High Covered Linkway",F95&lt;SG_Criteria!$B$47),"FAIL: high linkway headroom below "&amp;SG_Criteria!$B$47&amp;" m. ","")&amp;IF(E95&lt;SG_Criteria!$B$48,"FAIL: roof width below "&amp;SG_Criteria!$B$48&amp;" m. ",IF(E95&lt;SG_Criteria!$B$49,"NOTE: not for MRT/LRT or high-traffic routes (min "&amp;SG_Criteria!$B$49&amp;" m). ",""))&amp;IF(AND(P95&lt;&gt;"",P95&lt;SG_Criteria!$B$50),"FAIL: wind speed below "&amp;SG_Criteria!$B$50&amp;" m/s. ","")&amp;IF(AND(Q95&lt;&gt;"",Q95&lt;SG_Criteria!$B$51),"FAIL: roof fixing pull-out below "&amp;SG_Criteria!$B$51&amp;" kN. ","")&amp;IF(AND(R95&lt;&gt;"",IFERROR(VALUE(MID(R95,2,2)),0)&lt;SG_Criteria!$B$52),"FAIL: grade below C"&amp;SG_Criteria!$B$52&amp;". ","")&amp;IF(D95="Non-standard (project design)","NOTE: not an SDRE standard, needs LTA acceptance. ","")))</f>
        <v/>
      </c>
      <c r="AP95" s="9"/>
      <c r="AQ95" s="9"/>
      <c r="AR95" s="9"/>
      <c r="AS95" s="9"/>
      <c r="AT95" s="9"/>
      <c r="AU95" s="31"/>
      <c r="AV95" s="10" t="str">
        <f aca="false">IF(C95="","",IF(AND(X95="Approved",ISERROR(SEARCH("FAIL",AO95))),"Y","N"))</f>
        <v/>
      </c>
      <c r="AW95" s="10" t="str">
        <f aca="false">IF(C95="","",C95&amp;"|"&amp;E95&amp;"|"&amp;F95&amp;"|"&amp;AV95)</f>
        <v/>
      </c>
    </row>
    <row r="96" customFormat="false" ht="15" hidden="false" customHeight="false" outlineLevel="0" collapsed="false">
      <c r="A96" s="10" t="str">
        <f aca="false">IF(C96="","","LKW-"&amp;IFERROR(VLOOKUP(C96,Lists!$AQ$4:$AR$17,2,0),"??")&amp;"-W"&amp;TEXT(E96*1000,"0000")&amp;"-H"&amp;TEXT(F96*1000,"0000")&amp;"-B"&amp;TEXT(G96*1000,"0000")&amp;"-"&amp;W96)</f>
        <v/>
      </c>
      <c r="B96" s="10" t="str">
        <f aca="false">IF(C96="","",C96&amp;", "&amp;E96&amp;" m wide, "&amp;F96&amp;" m headroom, "&amp;G96&amp;" m bays, "&amp;H96&amp;" ("&amp;D96&amp;")")</f>
        <v/>
      </c>
      <c r="C96" s="9"/>
      <c r="D96" s="9"/>
      <c r="E96" s="43"/>
      <c r="F96" s="43"/>
      <c r="G96" s="43"/>
      <c r="H96" s="9"/>
      <c r="I96" s="9"/>
      <c r="J96" s="9"/>
      <c r="K96" s="9"/>
      <c r="L96" s="9"/>
      <c r="M96" s="9"/>
      <c r="N96" s="9"/>
      <c r="O96" s="9"/>
      <c r="P96" s="40"/>
      <c r="Q96" s="43"/>
      <c r="R96" s="9"/>
      <c r="S96" s="9"/>
      <c r="T96" s="9"/>
      <c r="U96" s="43"/>
      <c r="V96" s="9"/>
      <c r="W96" s="9"/>
      <c r="X96" s="9"/>
      <c r="Y96" s="9"/>
      <c r="Z96" s="9"/>
      <c r="AA96" s="9"/>
      <c r="AB96" s="10" t="str">
        <f aca="false">IF(A96="","",SG_Criteria!$B$6&amp;SG_Criteria!$B$12&amp;"\"&amp;A96&amp;"\")</f>
        <v/>
      </c>
      <c r="AC96" s="10" t="str">
        <f aca="false">IF(A96="","",A96&amp;"_CAD.dwg")</f>
        <v/>
      </c>
      <c r="AD96" s="10" t="str">
        <f aca="false">IF(A96="","",A96&amp;"_DWG.pdf")</f>
        <v/>
      </c>
      <c r="AE96" s="10" t="str">
        <f aca="false">IF(A96="","",IF(AA96="Y",A96&amp;"_STAAD.std","n/a"))</f>
        <v/>
      </c>
      <c r="AF96" s="10" t="str">
        <f aca="false">IF(A96="","",A96&amp;"_CALC.xlsx")</f>
        <v/>
      </c>
      <c r="AG96" s="10" t="str">
        <f aca="false">IF(A96="","",A96&amp;"_CALC.pdf")</f>
        <v/>
      </c>
      <c r="AH96" s="9"/>
      <c r="AI96" s="9"/>
      <c r="AJ96" s="41"/>
      <c r="AK96" s="41"/>
      <c r="AL96" s="41"/>
      <c r="AM96" s="41"/>
      <c r="AN96" s="41"/>
      <c r="AO96" s="38" t="str">
        <f aca="false">IF(C96="","",IF(LEN(IF(AND(C96&lt;&gt;"High Covered Linkway",F96&lt;SG_Criteria!$B$46),"FAIL: headroom below "&amp;SG_Criteria!$B$46&amp;" m. ","")&amp;IF(AND(C96="High Covered Linkway",F96&lt;SG_Criteria!$B$47),"FAIL: high linkway headroom below "&amp;SG_Criteria!$B$47&amp;" m. ","")&amp;IF(E96&lt;SG_Criteria!$B$48,"FAIL: roof width below "&amp;SG_Criteria!$B$48&amp;" m. ",IF(E96&lt;SG_Criteria!$B$49,"NOTE: not for MRT/LRT or high-traffic routes (min "&amp;SG_Criteria!$B$49&amp;" m). ",""))&amp;IF(AND(P96&lt;&gt;"",P96&lt;SG_Criteria!$B$50),"FAIL: wind speed below "&amp;SG_Criteria!$B$50&amp;" m/s. ","")&amp;IF(AND(Q96&lt;&gt;"",Q96&lt;SG_Criteria!$B$51),"FAIL: roof fixing pull-out below "&amp;SG_Criteria!$B$51&amp;" kN. ","")&amp;IF(AND(R96&lt;&gt;"",IFERROR(VALUE(MID(R96,2,2)),0)&lt;SG_Criteria!$B$52),"FAIL: grade below C"&amp;SG_Criteria!$B$52&amp;". ","")&amp;IF(D96="Non-standard (project design)","NOTE: not an SDRE standard, needs LTA acceptance. ",""))=0,"OK",IF(AND(C96&lt;&gt;"High Covered Linkway",F96&lt;SG_Criteria!$B$46),"FAIL: headroom below "&amp;SG_Criteria!$B$46&amp;" m. ","")&amp;IF(AND(C96="High Covered Linkway",F96&lt;SG_Criteria!$B$47),"FAIL: high linkway headroom below "&amp;SG_Criteria!$B$47&amp;" m. ","")&amp;IF(E96&lt;SG_Criteria!$B$48,"FAIL: roof width below "&amp;SG_Criteria!$B$48&amp;" m. ",IF(E96&lt;SG_Criteria!$B$49,"NOTE: not for MRT/LRT or high-traffic routes (min "&amp;SG_Criteria!$B$49&amp;" m). ",""))&amp;IF(AND(P96&lt;&gt;"",P96&lt;SG_Criteria!$B$50),"FAIL: wind speed below "&amp;SG_Criteria!$B$50&amp;" m/s. ","")&amp;IF(AND(Q96&lt;&gt;"",Q96&lt;SG_Criteria!$B$51),"FAIL: roof fixing pull-out below "&amp;SG_Criteria!$B$51&amp;" kN. ","")&amp;IF(AND(R96&lt;&gt;"",IFERROR(VALUE(MID(R96,2,2)),0)&lt;SG_Criteria!$B$52),"FAIL: grade below C"&amp;SG_Criteria!$B$52&amp;". ","")&amp;IF(D96="Non-standard (project design)","NOTE: not an SDRE standard, needs LTA acceptance. ","")))</f>
        <v/>
      </c>
      <c r="AP96" s="9"/>
      <c r="AQ96" s="9"/>
      <c r="AR96" s="9"/>
      <c r="AS96" s="9"/>
      <c r="AT96" s="9"/>
      <c r="AU96" s="31"/>
      <c r="AV96" s="10" t="str">
        <f aca="false">IF(C96="","",IF(AND(X96="Approved",ISERROR(SEARCH("FAIL",AO96))),"Y","N"))</f>
        <v/>
      </c>
      <c r="AW96" s="10" t="str">
        <f aca="false">IF(C96="","",C96&amp;"|"&amp;E96&amp;"|"&amp;F96&amp;"|"&amp;AV96)</f>
        <v/>
      </c>
    </row>
    <row r="97" customFormat="false" ht="15" hidden="false" customHeight="false" outlineLevel="0" collapsed="false">
      <c r="A97" s="10" t="str">
        <f aca="false">IF(C97="","","LKW-"&amp;IFERROR(VLOOKUP(C97,Lists!$AQ$4:$AR$17,2,0),"??")&amp;"-W"&amp;TEXT(E97*1000,"0000")&amp;"-H"&amp;TEXT(F97*1000,"0000")&amp;"-B"&amp;TEXT(G97*1000,"0000")&amp;"-"&amp;W97)</f>
        <v/>
      </c>
      <c r="B97" s="10" t="str">
        <f aca="false">IF(C97="","",C97&amp;", "&amp;E97&amp;" m wide, "&amp;F97&amp;" m headroom, "&amp;G97&amp;" m bays, "&amp;H97&amp;" ("&amp;D97&amp;")")</f>
        <v/>
      </c>
      <c r="C97" s="9"/>
      <c r="D97" s="9"/>
      <c r="E97" s="43"/>
      <c r="F97" s="43"/>
      <c r="G97" s="43"/>
      <c r="H97" s="9"/>
      <c r="I97" s="9"/>
      <c r="J97" s="9"/>
      <c r="K97" s="9"/>
      <c r="L97" s="9"/>
      <c r="M97" s="9"/>
      <c r="N97" s="9"/>
      <c r="O97" s="9"/>
      <c r="P97" s="40"/>
      <c r="Q97" s="43"/>
      <c r="R97" s="9"/>
      <c r="S97" s="9"/>
      <c r="T97" s="9"/>
      <c r="U97" s="43"/>
      <c r="V97" s="9"/>
      <c r="W97" s="9"/>
      <c r="X97" s="9"/>
      <c r="Y97" s="9"/>
      <c r="Z97" s="9"/>
      <c r="AA97" s="9"/>
      <c r="AB97" s="10" t="str">
        <f aca="false">IF(A97="","",SG_Criteria!$B$6&amp;SG_Criteria!$B$12&amp;"\"&amp;A97&amp;"\")</f>
        <v/>
      </c>
      <c r="AC97" s="10" t="str">
        <f aca="false">IF(A97="","",A97&amp;"_CAD.dwg")</f>
        <v/>
      </c>
      <c r="AD97" s="10" t="str">
        <f aca="false">IF(A97="","",A97&amp;"_DWG.pdf")</f>
        <v/>
      </c>
      <c r="AE97" s="10" t="str">
        <f aca="false">IF(A97="","",IF(AA97="Y",A97&amp;"_STAAD.std","n/a"))</f>
        <v/>
      </c>
      <c r="AF97" s="10" t="str">
        <f aca="false">IF(A97="","",A97&amp;"_CALC.xlsx")</f>
        <v/>
      </c>
      <c r="AG97" s="10" t="str">
        <f aca="false">IF(A97="","",A97&amp;"_CALC.pdf")</f>
        <v/>
      </c>
      <c r="AH97" s="9"/>
      <c r="AI97" s="9"/>
      <c r="AJ97" s="41"/>
      <c r="AK97" s="41"/>
      <c r="AL97" s="41"/>
      <c r="AM97" s="41"/>
      <c r="AN97" s="41"/>
      <c r="AO97" s="38" t="str">
        <f aca="false">IF(C97="","",IF(LEN(IF(AND(C97&lt;&gt;"High Covered Linkway",F97&lt;SG_Criteria!$B$46),"FAIL: headroom below "&amp;SG_Criteria!$B$46&amp;" m. ","")&amp;IF(AND(C97="High Covered Linkway",F97&lt;SG_Criteria!$B$47),"FAIL: high linkway headroom below "&amp;SG_Criteria!$B$47&amp;" m. ","")&amp;IF(E97&lt;SG_Criteria!$B$48,"FAIL: roof width below "&amp;SG_Criteria!$B$48&amp;" m. ",IF(E97&lt;SG_Criteria!$B$49,"NOTE: not for MRT/LRT or high-traffic routes (min "&amp;SG_Criteria!$B$49&amp;" m). ",""))&amp;IF(AND(P97&lt;&gt;"",P97&lt;SG_Criteria!$B$50),"FAIL: wind speed below "&amp;SG_Criteria!$B$50&amp;" m/s. ","")&amp;IF(AND(Q97&lt;&gt;"",Q97&lt;SG_Criteria!$B$51),"FAIL: roof fixing pull-out below "&amp;SG_Criteria!$B$51&amp;" kN. ","")&amp;IF(AND(R97&lt;&gt;"",IFERROR(VALUE(MID(R97,2,2)),0)&lt;SG_Criteria!$B$52),"FAIL: grade below C"&amp;SG_Criteria!$B$52&amp;". ","")&amp;IF(D97="Non-standard (project design)","NOTE: not an SDRE standard, needs LTA acceptance. ",""))=0,"OK",IF(AND(C97&lt;&gt;"High Covered Linkway",F97&lt;SG_Criteria!$B$46),"FAIL: headroom below "&amp;SG_Criteria!$B$46&amp;" m. ","")&amp;IF(AND(C97="High Covered Linkway",F97&lt;SG_Criteria!$B$47),"FAIL: high linkway headroom below "&amp;SG_Criteria!$B$47&amp;" m. ","")&amp;IF(E97&lt;SG_Criteria!$B$48,"FAIL: roof width below "&amp;SG_Criteria!$B$48&amp;" m. ",IF(E97&lt;SG_Criteria!$B$49,"NOTE: not for MRT/LRT or high-traffic routes (min "&amp;SG_Criteria!$B$49&amp;" m). ",""))&amp;IF(AND(P97&lt;&gt;"",P97&lt;SG_Criteria!$B$50),"FAIL: wind speed below "&amp;SG_Criteria!$B$50&amp;" m/s. ","")&amp;IF(AND(Q97&lt;&gt;"",Q97&lt;SG_Criteria!$B$51),"FAIL: roof fixing pull-out below "&amp;SG_Criteria!$B$51&amp;" kN. ","")&amp;IF(AND(R97&lt;&gt;"",IFERROR(VALUE(MID(R97,2,2)),0)&lt;SG_Criteria!$B$52),"FAIL: grade below C"&amp;SG_Criteria!$B$52&amp;". ","")&amp;IF(D97="Non-standard (project design)","NOTE: not an SDRE standard, needs LTA acceptance. ","")))</f>
        <v/>
      </c>
      <c r="AP97" s="9"/>
      <c r="AQ97" s="9"/>
      <c r="AR97" s="9"/>
      <c r="AS97" s="9"/>
      <c r="AT97" s="9"/>
      <c r="AU97" s="31"/>
      <c r="AV97" s="10" t="str">
        <f aca="false">IF(C97="","",IF(AND(X97="Approved",ISERROR(SEARCH("FAIL",AO97))),"Y","N"))</f>
        <v/>
      </c>
      <c r="AW97" s="10" t="str">
        <f aca="false">IF(C97="","",C97&amp;"|"&amp;E97&amp;"|"&amp;F97&amp;"|"&amp;AV97)</f>
        <v/>
      </c>
    </row>
    <row r="98" customFormat="false" ht="15" hidden="false" customHeight="false" outlineLevel="0" collapsed="false">
      <c r="A98" s="10" t="str">
        <f aca="false">IF(C98="","","LKW-"&amp;IFERROR(VLOOKUP(C98,Lists!$AQ$4:$AR$17,2,0),"??")&amp;"-W"&amp;TEXT(E98*1000,"0000")&amp;"-H"&amp;TEXT(F98*1000,"0000")&amp;"-B"&amp;TEXT(G98*1000,"0000")&amp;"-"&amp;W98)</f>
        <v/>
      </c>
      <c r="B98" s="10" t="str">
        <f aca="false">IF(C98="","",C98&amp;", "&amp;E98&amp;" m wide, "&amp;F98&amp;" m headroom, "&amp;G98&amp;" m bays, "&amp;H98&amp;" ("&amp;D98&amp;")")</f>
        <v/>
      </c>
      <c r="C98" s="9"/>
      <c r="D98" s="9"/>
      <c r="E98" s="43"/>
      <c r="F98" s="43"/>
      <c r="G98" s="43"/>
      <c r="H98" s="9"/>
      <c r="I98" s="9"/>
      <c r="J98" s="9"/>
      <c r="K98" s="9"/>
      <c r="L98" s="9"/>
      <c r="M98" s="9"/>
      <c r="N98" s="9"/>
      <c r="O98" s="9"/>
      <c r="P98" s="40"/>
      <c r="Q98" s="43"/>
      <c r="R98" s="9"/>
      <c r="S98" s="9"/>
      <c r="T98" s="9"/>
      <c r="U98" s="43"/>
      <c r="V98" s="9"/>
      <c r="W98" s="9"/>
      <c r="X98" s="9"/>
      <c r="Y98" s="9"/>
      <c r="Z98" s="9"/>
      <c r="AA98" s="9"/>
      <c r="AB98" s="10" t="str">
        <f aca="false">IF(A98="","",SG_Criteria!$B$6&amp;SG_Criteria!$B$12&amp;"\"&amp;A98&amp;"\")</f>
        <v/>
      </c>
      <c r="AC98" s="10" t="str">
        <f aca="false">IF(A98="","",A98&amp;"_CAD.dwg")</f>
        <v/>
      </c>
      <c r="AD98" s="10" t="str">
        <f aca="false">IF(A98="","",A98&amp;"_DWG.pdf")</f>
        <v/>
      </c>
      <c r="AE98" s="10" t="str">
        <f aca="false">IF(A98="","",IF(AA98="Y",A98&amp;"_STAAD.std","n/a"))</f>
        <v/>
      </c>
      <c r="AF98" s="10" t="str">
        <f aca="false">IF(A98="","",A98&amp;"_CALC.xlsx")</f>
        <v/>
      </c>
      <c r="AG98" s="10" t="str">
        <f aca="false">IF(A98="","",A98&amp;"_CALC.pdf")</f>
        <v/>
      </c>
      <c r="AH98" s="9"/>
      <c r="AI98" s="9"/>
      <c r="AJ98" s="41"/>
      <c r="AK98" s="41"/>
      <c r="AL98" s="41"/>
      <c r="AM98" s="41"/>
      <c r="AN98" s="41"/>
      <c r="AO98" s="38" t="str">
        <f aca="false">IF(C98="","",IF(LEN(IF(AND(C98&lt;&gt;"High Covered Linkway",F98&lt;SG_Criteria!$B$46),"FAIL: headroom below "&amp;SG_Criteria!$B$46&amp;" m. ","")&amp;IF(AND(C98="High Covered Linkway",F98&lt;SG_Criteria!$B$47),"FAIL: high linkway headroom below "&amp;SG_Criteria!$B$47&amp;" m. ","")&amp;IF(E98&lt;SG_Criteria!$B$48,"FAIL: roof width below "&amp;SG_Criteria!$B$48&amp;" m. ",IF(E98&lt;SG_Criteria!$B$49,"NOTE: not for MRT/LRT or high-traffic routes (min "&amp;SG_Criteria!$B$49&amp;" m). ",""))&amp;IF(AND(P98&lt;&gt;"",P98&lt;SG_Criteria!$B$50),"FAIL: wind speed below "&amp;SG_Criteria!$B$50&amp;" m/s. ","")&amp;IF(AND(Q98&lt;&gt;"",Q98&lt;SG_Criteria!$B$51),"FAIL: roof fixing pull-out below "&amp;SG_Criteria!$B$51&amp;" kN. ","")&amp;IF(AND(R98&lt;&gt;"",IFERROR(VALUE(MID(R98,2,2)),0)&lt;SG_Criteria!$B$52),"FAIL: grade below C"&amp;SG_Criteria!$B$52&amp;". ","")&amp;IF(D98="Non-standard (project design)","NOTE: not an SDRE standard, needs LTA acceptance. ",""))=0,"OK",IF(AND(C98&lt;&gt;"High Covered Linkway",F98&lt;SG_Criteria!$B$46),"FAIL: headroom below "&amp;SG_Criteria!$B$46&amp;" m. ","")&amp;IF(AND(C98="High Covered Linkway",F98&lt;SG_Criteria!$B$47),"FAIL: high linkway headroom below "&amp;SG_Criteria!$B$47&amp;" m. ","")&amp;IF(E98&lt;SG_Criteria!$B$48,"FAIL: roof width below "&amp;SG_Criteria!$B$48&amp;" m. ",IF(E98&lt;SG_Criteria!$B$49,"NOTE: not for MRT/LRT or high-traffic routes (min "&amp;SG_Criteria!$B$49&amp;" m). ",""))&amp;IF(AND(P98&lt;&gt;"",P98&lt;SG_Criteria!$B$50),"FAIL: wind speed below "&amp;SG_Criteria!$B$50&amp;" m/s. ","")&amp;IF(AND(Q98&lt;&gt;"",Q98&lt;SG_Criteria!$B$51),"FAIL: roof fixing pull-out below "&amp;SG_Criteria!$B$51&amp;" kN. ","")&amp;IF(AND(R98&lt;&gt;"",IFERROR(VALUE(MID(R98,2,2)),0)&lt;SG_Criteria!$B$52),"FAIL: grade below C"&amp;SG_Criteria!$B$52&amp;". ","")&amp;IF(D98="Non-standard (project design)","NOTE: not an SDRE standard, needs LTA acceptance. ","")))</f>
        <v/>
      </c>
      <c r="AP98" s="9"/>
      <c r="AQ98" s="9"/>
      <c r="AR98" s="9"/>
      <c r="AS98" s="9"/>
      <c r="AT98" s="9"/>
      <c r="AU98" s="31"/>
      <c r="AV98" s="10" t="str">
        <f aca="false">IF(C98="","",IF(AND(X98="Approved",ISERROR(SEARCH("FAIL",AO98))),"Y","N"))</f>
        <v/>
      </c>
      <c r="AW98" s="10" t="str">
        <f aca="false">IF(C98="","",C98&amp;"|"&amp;E98&amp;"|"&amp;F98&amp;"|"&amp;AV98)</f>
        <v/>
      </c>
    </row>
    <row r="99" customFormat="false" ht="15" hidden="false" customHeight="false" outlineLevel="0" collapsed="false">
      <c r="A99" s="10" t="str">
        <f aca="false">IF(C99="","","LKW-"&amp;IFERROR(VLOOKUP(C99,Lists!$AQ$4:$AR$17,2,0),"??")&amp;"-W"&amp;TEXT(E99*1000,"0000")&amp;"-H"&amp;TEXT(F99*1000,"0000")&amp;"-B"&amp;TEXT(G99*1000,"0000")&amp;"-"&amp;W99)</f>
        <v/>
      </c>
      <c r="B99" s="10" t="str">
        <f aca="false">IF(C99="","",C99&amp;", "&amp;E99&amp;" m wide, "&amp;F99&amp;" m headroom, "&amp;G99&amp;" m bays, "&amp;H99&amp;" ("&amp;D99&amp;")")</f>
        <v/>
      </c>
      <c r="C99" s="9"/>
      <c r="D99" s="9"/>
      <c r="E99" s="43"/>
      <c r="F99" s="43"/>
      <c r="G99" s="43"/>
      <c r="H99" s="9"/>
      <c r="I99" s="9"/>
      <c r="J99" s="9"/>
      <c r="K99" s="9"/>
      <c r="L99" s="9"/>
      <c r="M99" s="9"/>
      <c r="N99" s="9"/>
      <c r="O99" s="9"/>
      <c r="P99" s="40"/>
      <c r="Q99" s="43"/>
      <c r="R99" s="9"/>
      <c r="S99" s="9"/>
      <c r="T99" s="9"/>
      <c r="U99" s="43"/>
      <c r="V99" s="9"/>
      <c r="W99" s="9"/>
      <c r="X99" s="9"/>
      <c r="Y99" s="9"/>
      <c r="Z99" s="9"/>
      <c r="AA99" s="9"/>
      <c r="AB99" s="10" t="str">
        <f aca="false">IF(A99="","",SG_Criteria!$B$6&amp;SG_Criteria!$B$12&amp;"\"&amp;A99&amp;"\")</f>
        <v/>
      </c>
      <c r="AC99" s="10" t="str">
        <f aca="false">IF(A99="","",A99&amp;"_CAD.dwg")</f>
        <v/>
      </c>
      <c r="AD99" s="10" t="str">
        <f aca="false">IF(A99="","",A99&amp;"_DWG.pdf")</f>
        <v/>
      </c>
      <c r="AE99" s="10" t="str">
        <f aca="false">IF(A99="","",IF(AA99="Y",A99&amp;"_STAAD.std","n/a"))</f>
        <v/>
      </c>
      <c r="AF99" s="10" t="str">
        <f aca="false">IF(A99="","",A99&amp;"_CALC.xlsx")</f>
        <v/>
      </c>
      <c r="AG99" s="10" t="str">
        <f aca="false">IF(A99="","",A99&amp;"_CALC.pdf")</f>
        <v/>
      </c>
      <c r="AH99" s="9"/>
      <c r="AI99" s="9"/>
      <c r="AJ99" s="41"/>
      <c r="AK99" s="41"/>
      <c r="AL99" s="41"/>
      <c r="AM99" s="41"/>
      <c r="AN99" s="41"/>
      <c r="AO99" s="38" t="str">
        <f aca="false">IF(C99="","",IF(LEN(IF(AND(C99&lt;&gt;"High Covered Linkway",F99&lt;SG_Criteria!$B$46),"FAIL: headroom below "&amp;SG_Criteria!$B$46&amp;" m. ","")&amp;IF(AND(C99="High Covered Linkway",F99&lt;SG_Criteria!$B$47),"FAIL: high linkway headroom below "&amp;SG_Criteria!$B$47&amp;" m. ","")&amp;IF(E99&lt;SG_Criteria!$B$48,"FAIL: roof width below "&amp;SG_Criteria!$B$48&amp;" m. ",IF(E99&lt;SG_Criteria!$B$49,"NOTE: not for MRT/LRT or high-traffic routes (min "&amp;SG_Criteria!$B$49&amp;" m). ",""))&amp;IF(AND(P99&lt;&gt;"",P99&lt;SG_Criteria!$B$50),"FAIL: wind speed below "&amp;SG_Criteria!$B$50&amp;" m/s. ","")&amp;IF(AND(Q99&lt;&gt;"",Q99&lt;SG_Criteria!$B$51),"FAIL: roof fixing pull-out below "&amp;SG_Criteria!$B$51&amp;" kN. ","")&amp;IF(AND(R99&lt;&gt;"",IFERROR(VALUE(MID(R99,2,2)),0)&lt;SG_Criteria!$B$52),"FAIL: grade below C"&amp;SG_Criteria!$B$52&amp;". ","")&amp;IF(D99="Non-standard (project design)","NOTE: not an SDRE standard, needs LTA acceptance. ",""))=0,"OK",IF(AND(C99&lt;&gt;"High Covered Linkway",F99&lt;SG_Criteria!$B$46),"FAIL: headroom below "&amp;SG_Criteria!$B$46&amp;" m. ","")&amp;IF(AND(C99="High Covered Linkway",F99&lt;SG_Criteria!$B$47),"FAIL: high linkway headroom below "&amp;SG_Criteria!$B$47&amp;" m. ","")&amp;IF(E99&lt;SG_Criteria!$B$48,"FAIL: roof width below "&amp;SG_Criteria!$B$48&amp;" m. ",IF(E99&lt;SG_Criteria!$B$49,"NOTE: not for MRT/LRT or high-traffic routes (min "&amp;SG_Criteria!$B$49&amp;" m). ",""))&amp;IF(AND(P99&lt;&gt;"",P99&lt;SG_Criteria!$B$50),"FAIL: wind speed below "&amp;SG_Criteria!$B$50&amp;" m/s. ","")&amp;IF(AND(Q99&lt;&gt;"",Q99&lt;SG_Criteria!$B$51),"FAIL: roof fixing pull-out below "&amp;SG_Criteria!$B$51&amp;" kN. ","")&amp;IF(AND(R99&lt;&gt;"",IFERROR(VALUE(MID(R99,2,2)),0)&lt;SG_Criteria!$B$52),"FAIL: grade below C"&amp;SG_Criteria!$B$52&amp;". ","")&amp;IF(D99="Non-standard (project design)","NOTE: not an SDRE standard, needs LTA acceptance. ","")))</f>
        <v/>
      </c>
      <c r="AP99" s="9"/>
      <c r="AQ99" s="9"/>
      <c r="AR99" s="9"/>
      <c r="AS99" s="9"/>
      <c r="AT99" s="9"/>
      <c r="AU99" s="31"/>
      <c r="AV99" s="10" t="str">
        <f aca="false">IF(C99="","",IF(AND(X99="Approved",ISERROR(SEARCH("FAIL",AO99))),"Y","N"))</f>
        <v/>
      </c>
      <c r="AW99" s="10" t="str">
        <f aca="false">IF(C99="","",C99&amp;"|"&amp;E99&amp;"|"&amp;F99&amp;"|"&amp;AV99)</f>
        <v/>
      </c>
    </row>
    <row r="100" customFormat="false" ht="15" hidden="false" customHeight="false" outlineLevel="0" collapsed="false">
      <c r="A100" s="10" t="str">
        <f aca="false">IF(C100="","","LKW-"&amp;IFERROR(VLOOKUP(C100,Lists!$AQ$4:$AR$17,2,0),"??")&amp;"-W"&amp;TEXT(E100*1000,"0000")&amp;"-H"&amp;TEXT(F100*1000,"0000")&amp;"-B"&amp;TEXT(G100*1000,"0000")&amp;"-"&amp;W100)</f>
        <v/>
      </c>
      <c r="B100" s="10" t="str">
        <f aca="false">IF(C100="","",C100&amp;", "&amp;E100&amp;" m wide, "&amp;F100&amp;" m headroom, "&amp;G100&amp;" m bays, "&amp;H100&amp;" ("&amp;D100&amp;")")</f>
        <v/>
      </c>
      <c r="C100" s="9"/>
      <c r="D100" s="9"/>
      <c r="E100" s="43"/>
      <c r="F100" s="43"/>
      <c r="G100" s="43"/>
      <c r="H100" s="9"/>
      <c r="I100" s="9"/>
      <c r="J100" s="9"/>
      <c r="K100" s="9"/>
      <c r="L100" s="9"/>
      <c r="M100" s="9"/>
      <c r="N100" s="9"/>
      <c r="O100" s="9"/>
      <c r="P100" s="40"/>
      <c r="Q100" s="43"/>
      <c r="R100" s="9"/>
      <c r="S100" s="9"/>
      <c r="T100" s="9"/>
      <c r="U100" s="43"/>
      <c r="V100" s="9"/>
      <c r="W100" s="9"/>
      <c r="X100" s="9"/>
      <c r="Y100" s="9"/>
      <c r="Z100" s="9"/>
      <c r="AA100" s="9"/>
      <c r="AB100" s="10" t="str">
        <f aca="false">IF(A100="","",SG_Criteria!$B$6&amp;SG_Criteria!$B$12&amp;"\"&amp;A100&amp;"\")</f>
        <v/>
      </c>
      <c r="AC100" s="10" t="str">
        <f aca="false">IF(A100="","",A100&amp;"_CAD.dwg")</f>
        <v/>
      </c>
      <c r="AD100" s="10" t="str">
        <f aca="false">IF(A100="","",A100&amp;"_DWG.pdf")</f>
        <v/>
      </c>
      <c r="AE100" s="10" t="str">
        <f aca="false">IF(A100="","",IF(AA100="Y",A100&amp;"_STAAD.std","n/a"))</f>
        <v/>
      </c>
      <c r="AF100" s="10" t="str">
        <f aca="false">IF(A100="","",A100&amp;"_CALC.xlsx")</f>
        <v/>
      </c>
      <c r="AG100" s="10" t="str">
        <f aca="false">IF(A100="","",A100&amp;"_CALC.pdf")</f>
        <v/>
      </c>
      <c r="AH100" s="9"/>
      <c r="AI100" s="9"/>
      <c r="AJ100" s="41"/>
      <c r="AK100" s="41"/>
      <c r="AL100" s="41"/>
      <c r="AM100" s="41"/>
      <c r="AN100" s="41"/>
      <c r="AO100" s="38" t="str">
        <f aca="false">IF(C100="","",IF(LEN(IF(AND(C100&lt;&gt;"High Covered Linkway",F100&lt;SG_Criteria!$B$46),"FAIL: headroom below "&amp;SG_Criteria!$B$46&amp;" m. ","")&amp;IF(AND(C100="High Covered Linkway",F100&lt;SG_Criteria!$B$47),"FAIL: high linkway headroom below "&amp;SG_Criteria!$B$47&amp;" m. ","")&amp;IF(E100&lt;SG_Criteria!$B$48,"FAIL: roof width below "&amp;SG_Criteria!$B$48&amp;" m. ",IF(E100&lt;SG_Criteria!$B$49,"NOTE: not for MRT/LRT or high-traffic routes (min "&amp;SG_Criteria!$B$49&amp;" m). ",""))&amp;IF(AND(P100&lt;&gt;"",P100&lt;SG_Criteria!$B$50),"FAIL: wind speed below "&amp;SG_Criteria!$B$50&amp;" m/s. ","")&amp;IF(AND(Q100&lt;&gt;"",Q100&lt;SG_Criteria!$B$51),"FAIL: roof fixing pull-out below "&amp;SG_Criteria!$B$51&amp;" kN. ","")&amp;IF(AND(R100&lt;&gt;"",IFERROR(VALUE(MID(R100,2,2)),0)&lt;SG_Criteria!$B$52),"FAIL: grade below C"&amp;SG_Criteria!$B$52&amp;". ","")&amp;IF(D100="Non-standard (project design)","NOTE: not an SDRE standard, needs LTA acceptance. ",""))=0,"OK",IF(AND(C100&lt;&gt;"High Covered Linkway",F100&lt;SG_Criteria!$B$46),"FAIL: headroom below "&amp;SG_Criteria!$B$46&amp;" m. ","")&amp;IF(AND(C100="High Covered Linkway",F100&lt;SG_Criteria!$B$47),"FAIL: high linkway headroom below "&amp;SG_Criteria!$B$47&amp;" m. ","")&amp;IF(E100&lt;SG_Criteria!$B$48,"FAIL: roof width below "&amp;SG_Criteria!$B$48&amp;" m. ",IF(E100&lt;SG_Criteria!$B$49,"NOTE: not for MRT/LRT or high-traffic routes (min "&amp;SG_Criteria!$B$49&amp;" m). ",""))&amp;IF(AND(P100&lt;&gt;"",P100&lt;SG_Criteria!$B$50),"FAIL: wind speed below "&amp;SG_Criteria!$B$50&amp;" m/s. ","")&amp;IF(AND(Q100&lt;&gt;"",Q100&lt;SG_Criteria!$B$51),"FAIL: roof fixing pull-out below "&amp;SG_Criteria!$B$51&amp;" kN. ","")&amp;IF(AND(R100&lt;&gt;"",IFERROR(VALUE(MID(R100,2,2)),0)&lt;SG_Criteria!$B$52),"FAIL: grade below C"&amp;SG_Criteria!$B$52&amp;". ","")&amp;IF(D100="Non-standard (project design)","NOTE: not an SDRE standard, needs LTA acceptance. ","")))</f>
        <v/>
      </c>
      <c r="AP100" s="9"/>
      <c r="AQ100" s="9"/>
      <c r="AR100" s="9"/>
      <c r="AS100" s="9"/>
      <c r="AT100" s="9"/>
      <c r="AU100" s="31"/>
      <c r="AV100" s="10" t="str">
        <f aca="false">IF(C100="","",IF(AND(X100="Approved",ISERROR(SEARCH("FAIL",AO100))),"Y","N"))</f>
        <v/>
      </c>
      <c r="AW100" s="10" t="str">
        <f aca="false">IF(C100="","",C100&amp;"|"&amp;E100&amp;"|"&amp;F100&amp;"|"&amp;AV100)</f>
        <v/>
      </c>
    </row>
    <row r="101" customFormat="false" ht="15" hidden="false" customHeight="false" outlineLevel="0" collapsed="false">
      <c r="A101" s="10" t="str">
        <f aca="false">IF(C101="","","LKW-"&amp;IFERROR(VLOOKUP(C101,Lists!$AQ$4:$AR$17,2,0),"??")&amp;"-W"&amp;TEXT(E101*1000,"0000")&amp;"-H"&amp;TEXT(F101*1000,"0000")&amp;"-B"&amp;TEXT(G101*1000,"0000")&amp;"-"&amp;W101)</f>
        <v/>
      </c>
      <c r="B101" s="10" t="str">
        <f aca="false">IF(C101="","",C101&amp;", "&amp;E101&amp;" m wide, "&amp;F101&amp;" m headroom, "&amp;G101&amp;" m bays, "&amp;H101&amp;" ("&amp;D101&amp;")")</f>
        <v/>
      </c>
      <c r="C101" s="9"/>
      <c r="D101" s="9"/>
      <c r="E101" s="43"/>
      <c r="F101" s="43"/>
      <c r="G101" s="43"/>
      <c r="H101" s="9"/>
      <c r="I101" s="9"/>
      <c r="J101" s="9"/>
      <c r="K101" s="9"/>
      <c r="L101" s="9"/>
      <c r="M101" s="9"/>
      <c r="N101" s="9"/>
      <c r="O101" s="9"/>
      <c r="P101" s="40"/>
      <c r="Q101" s="43"/>
      <c r="R101" s="9"/>
      <c r="S101" s="9"/>
      <c r="T101" s="9"/>
      <c r="U101" s="43"/>
      <c r="V101" s="9"/>
      <c r="W101" s="9"/>
      <c r="X101" s="9"/>
      <c r="Y101" s="9"/>
      <c r="Z101" s="9"/>
      <c r="AA101" s="9"/>
      <c r="AB101" s="10" t="str">
        <f aca="false">IF(A101="","",SG_Criteria!$B$6&amp;SG_Criteria!$B$12&amp;"\"&amp;A101&amp;"\")</f>
        <v/>
      </c>
      <c r="AC101" s="10" t="str">
        <f aca="false">IF(A101="","",A101&amp;"_CAD.dwg")</f>
        <v/>
      </c>
      <c r="AD101" s="10" t="str">
        <f aca="false">IF(A101="","",A101&amp;"_DWG.pdf")</f>
        <v/>
      </c>
      <c r="AE101" s="10" t="str">
        <f aca="false">IF(A101="","",IF(AA101="Y",A101&amp;"_STAAD.std","n/a"))</f>
        <v/>
      </c>
      <c r="AF101" s="10" t="str">
        <f aca="false">IF(A101="","",A101&amp;"_CALC.xlsx")</f>
        <v/>
      </c>
      <c r="AG101" s="10" t="str">
        <f aca="false">IF(A101="","",A101&amp;"_CALC.pdf")</f>
        <v/>
      </c>
      <c r="AH101" s="9"/>
      <c r="AI101" s="9"/>
      <c r="AJ101" s="41"/>
      <c r="AK101" s="41"/>
      <c r="AL101" s="41"/>
      <c r="AM101" s="41"/>
      <c r="AN101" s="41"/>
      <c r="AO101" s="38" t="str">
        <f aca="false">IF(C101="","",IF(LEN(IF(AND(C101&lt;&gt;"High Covered Linkway",F101&lt;SG_Criteria!$B$46),"FAIL: headroom below "&amp;SG_Criteria!$B$46&amp;" m. ","")&amp;IF(AND(C101="High Covered Linkway",F101&lt;SG_Criteria!$B$47),"FAIL: high linkway headroom below "&amp;SG_Criteria!$B$47&amp;" m. ","")&amp;IF(E101&lt;SG_Criteria!$B$48,"FAIL: roof width below "&amp;SG_Criteria!$B$48&amp;" m. ",IF(E101&lt;SG_Criteria!$B$49,"NOTE: not for MRT/LRT or high-traffic routes (min "&amp;SG_Criteria!$B$49&amp;" m). ",""))&amp;IF(AND(P101&lt;&gt;"",P101&lt;SG_Criteria!$B$50),"FAIL: wind speed below "&amp;SG_Criteria!$B$50&amp;" m/s. ","")&amp;IF(AND(Q101&lt;&gt;"",Q101&lt;SG_Criteria!$B$51),"FAIL: roof fixing pull-out below "&amp;SG_Criteria!$B$51&amp;" kN. ","")&amp;IF(AND(R101&lt;&gt;"",IFERROR(VALUE(MID(R101,2,2)),0)&lt;SG_Criteria!$B$52),"FAIL: grade below C"&amp;SG_Criteria!$B$52&amp;". ","")&amp;IF(D101="Non-standard (project design)","NOTE: not an SDRE standard, needs LTA acceptance. ",""))=0,"OK",IF(AND(C101&lt;&gt;"High Covered Linkway",F101&lt;SG_Criteria!$B$46),"FAIL: headroom below "&amp;SG_Criteria!$B$46&amp;" m. ","")&amp;IF(AND(C101="High Covered Linkway",F101&lt;SG_Criteria!$B$47),"FAIL: high linkway headroom below "&amp;SG_Criteria!$B$47&amp;" m. ","")&amp;IF(E101&lt;SG_Criteria!$B$48,"FAIL: roof width below "&amp;SG_Criteria!$B$48&amp;" m. ",IF(E101&lt;SG_Criteria!$B$49,"NOTE: not for MRT/LRT or high-traffic routes (min "&amp;SG_Criteria!$B$49&amp;" m). ",""))&amp;IF(AND(P101&lt;&gt;"",P101&lt;SG_Criteria!$B$50),"FAIL: wind speed below "&amp;SG_Criteria!$B$50&amp;" m/s. ","")&amp;IF(AND(Q101&lt;&gt;"",Q101&lt;SG_Criteria!$B$51),"FAIL: roof fixing pull-out below "&amp;SG_Criteria!$B$51&amp;" kN. ","")&amp;IF(AND(R101&lt;&gt;"",IFERROR(VALUE(MID(R101,2,2)),0)&lt;SG_Criteria!$B$52),"FAIL: grade below C"&amp;SG_Criteria!$B$52&amp;". ","")&amp;IF(D101="Non-standard (project design)","NOTE: not an SDRE standard, needs LTA acceptance. ","")))</f>
        <v/>
      </c>
      <c r="AP101" s="9"/>
      <c r="AQ101" s="9"/>
      <c r="AR101" s="9"/>
      <c r="AS101" s="9"/>
      <c r="AT101" s="9"/>
      <c r="AU101" s="31"/>
      <c r="AV101" s="10" t="str">
        <f aca="false">IF(C101="","",IF(AND(X101="Approved",ISERROR(SEARCH("FAIL",AO101))),"Y","N"))</f>
        <v/>
      </c>
      <c r="AW101" s="10" t="str">
        <f aca="false">IF(C101="","",C101&amp;"|"&amp;E101&amp;"|"&amp;F101&amp;"|"&amp;AV101)</f>
        <v/>
      </c>
    </row>
    <row r="102" customFormat="false" ht="15" hidden="false" customHeight="false" outlineLevel="0" collapsed="false">
      <c r="A102" s="10" t="str">
        <f aca="false">IF(C102="","","LKW-"&amp;IFERROR(VLOOKUP(C102,Lists!$AQ$4:$AR$17,2,0),"??")&amp;"-W"&amp;TEXT(E102*1000,"0000")&amp;"-H"&amp;TEXT(F102*1000,"0000")&amp;"-B"&amp;TEXT(G102*1000,"0000")&amp;"-"&amp;W102)</f>
        <v/>
      </c>
      <c r="B102" s="10" t="str">
        <f aca="false">IF(C102="","",C102&amp;", "&amp;E102&amp;" m wide, "&amp;F102&amp;" m headroom, "&amp;G102&amp;" m bays, "&amp;H102&amp;" ("&amp;D102&amp;")")</f>
        <v/>
      </c>
      <c r="C102" s="9"/>
      <c r="D102" s="9"/>
      <c r="E102" s="43"/>
      <c r="F102" s="43"/>
      <c r="G102" s="43"/>
      <c r="H102" s="9"/>
      <c r="I102" s="9"/>
      <c r="J102" s="9"/>
      <c r="K102" s="9"/>
      <c r="L102" s="9"/>
      <c r="M102" s="9"/>
      <c r="N102" s="9"/>
      <c r="O102" s="9"/>
      <c r="P102" s="40"/>
      <c r="Q102" s="43"/>
      <c r="R102" s="9"/>
      <c r="S102" s="9"/>
      <c r="T102" s="9"/>
      <c r="U102" s="43"/>
      <c r="V102" s="9"/>
      <c r="W102" s="9"/>
      <c r="X102" s="9"/>
      <c r="Y102" s="9"/>
      <c r="Z102" s="9"/>
      <c r="AA102" s="9"/>
      <c r="AB102" s="10" t="str">
        <f aca="false">IF(A102="","",SG_Criteria!$B$6&amp;SG_Criteria!$B$12&amp;"\"&amp;A102&amp;"\")</f>
        <v/>
      </c>
      <c r="AC102" s="10" t="str">
        <f aca="false">IF(A102="","",A102&amp;"_CAD.dwg")</f>
        <v/>
      </c>
      <c r="AD102" s="10" t="str">
        <f aca="false">IF(A102="","",A102&amp;"_DWG.pdf")</f>
        <v/>
      </c>
      <c r="AE102" s="10" t="str">
        <f aca="false">IF(A102="","",IF(AA102="Y",A102&amp;"_STAAD.std","n/a"))</f>
        <v/>
      </c>
      <c r="AF102" s="10" t="str">
        <f aca="false">IF(A102="","",A102&amp;"_CALC.xlsx")</f>
        <v/>
      </c>
      <c r="AG102" s="10" t="str">
        <f aca="false">IF(A102="","",A102&amp;"_CALC.pdf")</f>
        <v/>
      </c>
      <c r="AH102" s="9"/>
      <c r="AI102" s="9"/>
      <c r="AJ102" s="41"/>
      <c r="AK102" s="41"/>
      <c r="AL102" s="41"/>
      <c r="AM102" s="41"/>
      <c r="AN102" s="41"/>
      <c r="AO102" s="38" t="str">
        <f aca="false">IF(C102="","",IF(LEN(IF(AND(C102&lt;&gt;"High Covered Linkway",F102&lt;SG_Criteria!$B$46),"FAIL: headroom below "&amp;SG_Criteria!$B$46&amp;" m. ","")&amp;IF(AND(C102="High Covered Linkway",F102&lt;SG_Criteria!$B$47),"FAIL: high linkway headroom below "&amp;SG_Criteria!$B$47&amp;" m. ","")&amp;IF(E102&lt;SG_Criteria!$B$48,"FAIL: roof width below "&amp;SG_Criteria!$B$48&amp;" m. ",IF(E102&lt;SG_Criteria!$B$49,"NOTE: not for MRT/LRT or high-traffic routes (min "&amp;SG_Criteria!$B$49&amp;" m). ",""))&amp;IF(AND(P102&lt;&gt;"",P102&lt;SG_Criteria!$B$50),"FAIL: wind speed below "&amp;SG_Criteria!$B$50&amp;" m/s. ","")&amp;IF(AND(Q102&lt;&gt;"",Q102&lt;SG_Criteria!$B$51),"FAIL: roof fixing pull-out below "&amp;SG_Criteria!$B$51&amp;" kN. ","")&amp;IF(AND(R102&lt;&gt;"",IFERROR(VALUE(MID(R102,2,2)),0)&lt;SG_Criteria!$B$52),"FAIL: grade below C"&amp;SG_Criteria!$B$52&amp;". ","")&amp;IF(D102="Non-standard (project design)","NOTE: not an SDRE standard, needs LTA acceptance. ",""))=0,"OK",IF(AND(C102&lt;&gt;"High Covered Linkway",F102&lt;SG_Criteria!$B$46),"FAIL: headroom below "&amp;SG_Criteria!$B$46&amp;" m. ","")&amp;IF(AND(C102="High Covered Linkway",F102&lt;SG_Criteria!$B$47),"FAIL: high linkway headroom below "&amp;SG_Criteria!$B$47&amp;" m. ","")&amp;IF(E102&lt;SG_Criteria!$B$48,"FAIL: roof width below "&amp;SG_Criteria!$B$48&amp;" m. ",IF(E102&lt;SG_Criteria!$B$49,"NOTE: not for MRT/LRT or high-traffic routes (min "&amp;SG_Criteria!$B$49&amp;" m). ",""))&amp;IF(AND(P102&lt;&gt;"",P102&lt;SG_Criteria!$B$50),"FAIL: wind speed below "&amp;SG_Criteria!$B$50&amp;" m/s. ","")&amp;IF(AND(Q102&lt;&gt;"",Q102&lt;SG_Criteria!$B$51),"FAIL: roof fixing pull-out below "&amp;SG_Criteria!$B$51&amp;" kN. ","")&amp;IF(AND(R102&lt;&gt;"",IFERROR(VALUE(MID(R102,2,2)),0)&lt;SG_Criteria!$B$52),"FAIL: grade below C"&amp;SG_Criteria!$B$52&amp;". ","")&amp;IF(D102="Non-standard (project design)","NOTE: not an SDRE standard, needs LTA acceptance. ","")))</f>
        <v/>
      </c>
      <c r="AP102" s="9"/>
      <c r="AQ102" s="9"/>
      <c r="AR102" s="9"/>
      <c r="AS102" s="9"/>
      <c r="AT102" s="9"/>
      <c r="AU102" s="31"/>
      <c r="AV102" s="10" t="str">
        <f aca="false">IF(C102="","",IF(AND(X102="Approved",ISERROR(SEARCH("FAIL",AO102))),"Y","N"))</f>
        <v/>
      </c>
      <c r="AW102" s="10" t="str">
        <f aca="false">IF(C102="","",C102&amp;"|"&amp;E102&amp;"|"&amp;F102&amp;"|"&amp;AV102)</f>
        <v/>
      </c>
    </row>
    <row r="103" customFormat="false" ht="15" hidden="false" customHeight="false" outlineLevel="0" collapsed="false">
      <c r="A103" s="10" t="str">
        <f aca="false">IF(C103="","","LKW-"&amp;IFERROR(VLOOKUP(C103,Lists!$AQ$4:$AR$17,2,0),"??")&amp;"-W"&amp;TEXT(E103*1000,"0000")&amp;"-H"&amp;TEXT(F103*1000,"0000")&amp;"-B"&amp;TEXT(G103*1000,"0000")&amp;"-"&amp;W103)</f>
        <v/>
      </c>
      <c r="B103" s="10" t="str">
        <f aca="false">IF(C103="","",C103&amp;", "&amp;E103&amp;" m wide, "&amp;F103&amp;" m headroom, "&amp;G103&amp;" m bays, "&amp;H103&amp;" ("&amp;D103&amp;")")</f>
        <v/>
      </c>
      <c r="C103" s="9"/>
      <c r="D103" s="9"/>
      <c r="E103" s="43"/>
      <c r="F103" s="43"/>
      <c r="G103" s="43"/>
      <c r="H103" s="9"/>
      <c r="I103" s="9"/>
      <c r="J103" s="9"/>
      <c r="K103" s="9"/>
      <c r="L103" s="9"/>
      <c r="M103" s="9"/>
      <c r="N103" s="9"/>
      <c r="O103" s="9"/>
      <c r="P103" s="40"/>
      <c r="Q103" s="43"/>
      <c r="R103" s="9"/>
      <c r="S103" s="9"/>
      <c r="T103" s="9"/>
      <c r="U103" s="43"/>
      <c r="V103" s="9"/>
      <c r="W103" s="9"/>
      <c r="X103" s="9"/>
      <c r="Y103" s="9"/>
      <c r="Z103" s="9"/>
      <c r="AA103" s="9"/>
      <c r="AB103" s="10" t="str">
        <f aca="false">IF(A103="","",SG_Criteria!$B$6&amp;SG_Criteria!$B$12&amp;"\"&amp;A103&amp;"\")</f>
        <v/>
      </c>
      <c r="AC103" s="10" t="str">
        <f aca="false">IF(A103="","",A103&amp;"_CAD.dwg")</f>
        <v/>
      </c>
      <c r="AD103" s="10" t="str">
        <f aca="false">IF(A103="","",A103&amp;"_DWG.pdf")</f>
        <v/>
      </c>
      <c r="AE103" s="10" t="str">
        <f aca="false">IF(A103="","",IF(AA103="Y",A103&amp;"_STAAD.std","n/a"))</f>
        <v/>
      </c>
      <c r="AF103" s="10" t="str">
        <f aca="false">IF(A103="","",A103&amp;"_CALC.xlsx")</f>
        <v/>
      </c>
      <c r="AG103" s="10" t="str">
        <f aca="false">IF(A103="","",A103&amp;"_CALC.pdf")</f>
        <v/>
      </c>
      <c r="AH103" s="9"/>
      <c r="AI103" s="9"/>
      <c r="AJ103" s="41"/>
      <c r="AK103" s="41"/>
      <c r="AL103" s="41"/>
      <c r="AM103" s="41"/>
      <c r="AN103" s="41"/>
      <c r="AO103" s="38" t="str">
        <f aca="false">IF(C103="","",IF(LEN(IF(AND(C103&lt;&gt;"High Covered Linkway",F103&lt;SG_Criteria!$B$46),"FAIL: headroom below "&amp;SG_Criteria!$B$46&amp;" m. ","")&amp;IF(AND(C103="High Covered Linkway",F103&lt;SG_Criteria!$B$47),"FAIL: high linkway headroom below "&amp;SG_Criteria!$B$47&amp;" m. ","")&amp;IF(E103&lt;SG_Criteria!$B$48,"FAIL: roof width below "&amp;SG_Criteria!$B$48&amp;" m. ",IF(E103&lt;SG_Criteria!$B$49,"NOTE: not for MRT/LRT or high-traffic routes (min "&amp;SG_Criteria!$B$49&amp;" m). ",""))&amp;IF(AND(P103&lt;&gt;"",P103&lt;SG_Criteria!$B$50),"FAIL: wind speed below "&amp;SG_Criteria!$B$50&amp;" m/s. ","")&amp;IF(AND(Q103&lt;&gt;"",Q103&lt;SG_Criteria!$B$51),"FAIL: roof fixing pull-out below "&amp;SG_Criteria!$B$51&amp;" kN. ","")&amp;IF(AND(R103&lt;&gt;"",IFERROR(VALUE(MID(R103,2,2)),0)&lt;SG_Criteria!$B$52),"FAIL: grade below C"&amp;SG_Criteria!$B$52&amp;". ","")&amp;IF(D103="Non-standard (project design)","NOTE: not an SDRE standard, needs LTA acceptance. ",""))=0,"OK",IF(AND(C103&lt;&gt;"High Covered Linkway",F103&lt;SG_Criteria!$B$46),"FAIL: headroom below "&amp;SG_Criteria!$B$46&amp;" m. ","")&amp;IF(AND(C103="High Covered Linkway",F103&lt;SG_Criteria!$B$47),"FAIL: high linkway headroom below "&amp;SG_Criteria!$B$47&amp;" m. ","")&amp;IF(E103&lt;SG_Criteria!$B$48,"FAIL: roof width below "&amp;SG_Criteria!$B$48&amp;" m. ",IF(E103&lt;SG_Criteria!$B$49,"NOTE: not for MRT/LRT or high-traffic routes (min "&amp;SG_Criteria!$B$49&amp;" m). ",""))&amp;IF(AND(P103&lt;&gt;"",P103&lt;SG_Criteria!$B$50),"FAIL: wind speed below "&amp;SG_Criteria!$B$50&amp;" m/s. ","")&amp;IF(AND(Q103&lt;&gt;"",Q103&lt;SG_Criteria!$B$51),"FAIL: roof fixing pull-out below "&amp;SG_Criteria!$B$51&amp;" kN. ","")&amp;IF(AND(R103&lt;&gt;"",IFERROR(VALUE(MID(R103,2,2)),0)&lt;SG_Criteria!$B$52),"FAIL: grade below C"&amp;SG_Criteria!$B$52&amp;". ","")&amp;IF(D103="Non-standard (project design)","NOTE: not an SDRE standard, needs LTA acceptance. ","")))</f>
        <v/>
      </c>
      <c r="AP103" s="9"/>
      <c r="AQ103" s="9"/>
      <c r="AR103" s="9"/>
      <c r="AS103" s="9"/>
      <c r="AT103" s="9"/>
      <c r="AU103" s="31"/>
      <c r="AV103" s="10" t="str">
        <f aca="false">IF(C103="","",IF(AND(X103="Approved",ISERROR(SEARCH("FAIL",AO103))),"Y","N"))</f>
        <v/>
      </c>
      <c r="AW103" s="10" t="str">
        <f aca="false">IF(C103="","",C103&amp;"|"&amp;E103&amp;"|"&amp;F103&amp;"|"&amp;AV103)</f>
        <v/>
      </c>
    </row>
    <row r="104" customFormat="false" ht="15" hidden="false" customHeight="false" outlineLevel="0" collapsed="false">
      <c r="A104" s="10" t="str">
        <f aca="false">IF(C104="","","LKW-"&amp;IFERROR(VLOOKUP(C104,Lists!$AQ$4:$AR$17,2,0),"??")&amp;"-W"&amp;TEXT(E104*1000,"0000")&amp;"-H"&amp;TEXT(F104*1000,"0000")&amp;"-B"&amp;TEXT(G104*1000,"0000")&amp;"-"&amp;W104)</f>
        <v/>
      </c>
      <c r="B104" s="10" t="str">
        <f aca="false">IF(C104="","",C104&amp;", "&amp;E104&amp;" m wide, "&amp;F104&amp;" m headroom, "&amp;G104&amp;" m bays, "&amp;H104&amp;" ("&amp;D104&amp;")")</f>
        <v/>
      </c>
      <c r="C104" s="9"/>
      <c r="D104" s="9"/>
      <c r="E104" s="43"/>
      <c r="F104" s="43"/>
      <c r="G104" s="43"/>
      <c r="H104" s="9"/>
      <c r="I104" s="9"/>
      <c r="J104" s="9"/>
      <c r="K104" s="9"/>
      <c r="L104" s="9"/>
      <c r="M104" s="9"/>
      <c r="N104" s="9"/>
      <c r="O104" s="9"/>
      <c r="P104" s="40"/>
      <c r="Q104" s="43"/>
      <c r="R104" s="9"/>
      <c r="S104" s="9"/>
      <c r="T104" s="9"/>
      <c r="U104" s="43"/>
      <c r="V104" s="9"/>
      <c r="W104" s="9"/>
      <c r="X104" s="9"/>
      <c r="Y104" s="9"/>
      <c r="Z104" s="9"/>
      <c r="AA104" s="9"/>
      <c r="AB104" s="10" t="str">
        <f aca="false">IF(A104="","",SG_Criteria!$B$6&amp;SG_Criteria!$B$12&amp;"\"&amp;A104&amp;"\")</f>
        <v/>
      </c>
      <c r="AC104" s="10" t="str">
        <f aca="false">IF(A104="","",A104&amp;"_CAD.dwg")</f>
        <v/>
      </c>
      <c r="AD104" s="10" t="str">
        <f aca="false">IF(A104="","",A104&amp;"_DWG.pdf")</f>
        <v/>
      </c>
      <c r="AE104" s="10" t="str">
        <f aca="false">IF(A104="","",IF(AA104="Y",A104&amp;"_STAAD.std","n/a"))</f>
        <v/>
      </c>
      <c r="AF104" s="10" t="str">
        <f aca="false">IF(A104="","",A104&amp;"_CALC.xlsx")</f>
        <v/>
      </c>
      <c r="AG104" s="10" t="str">
        <f aca="false">IF(A104="","",A104&amp;"_CALC.pdf")</f>
        <v/>
      </c>
      <c r="AH104" s="9"/>
      <c r="AI104" s="9"/>
      <c r="AJ104" s="41"/>
      <c r="AK104" s="41"/>
      <c r="AL104" s="41"/>
      <c r="AM104" s="41"/>
      <c r="AN104" s="41"/>
      <c r="AO104" s="38" t="str">
        <f aca="false">IF(C104="","",IF(LEN(IF(AND(C104&lt;&gt;"High Covered Linkway",F104&lt;SG_Criteria!$B$46),"FAIL: headroom below "&amp;SG_Criteria!$B$46&amp;" m. ","")&amp;IF(AND(C104="High Covered Linkway",F104&lt;SG_Criteria!$B$47),"FAIL: high linkway headroom below "&amp;SG_Criteria!$B$47&amp;" m. ","")&amp;IF(E104&lt;SG_Criteria!$B$48,"FAIL: roof width below "&amp;SG_Criteria!$B$48&amp;" m. ",IF(E104&lt;SG_Criteria!$B$49,"NOTE: not for MRT/LRT or high-traffic routes (min "&amp;SG_Criteria!$B$49&amp;" m). ",""))&amp;IF(AND(P104&lt;&gt;"",P104&lt;SG_Criteria!$B$50),"FAIL: wind speed below "&amp;SG_Criteria!$B$50&amp;" m/s. ","")&amp;IF(AND(Q104&lt;&gt;"",Q104&lt;SG_Criteria!$B$51),"FAIL: roof fixing pull-out below "&amp;SG_Criteria!$B$51&amp;" kN. ","")&amp;IF(AND(R104&lt;&gt;"",IFERROR(VALUE(MID(R104,2,2)),0)&lt;SG_Criteria!$B$52),"FAIL: grade below C"&amp;SG_Criteria!$B$52&amp;". ","")&amp;IF(D104="Non-standard (project design)","NOTE: not an SDRE standard, needs LTA acceptance. ",""))=0,"OK",IF(AND(C104&lt;&gt;"High Covered Linkway",F104&lt;SG_Criteria!$B$46),"FAIL: headroom below "&amp;SG_Criteria!$B$46&amp;" m. ","")&amp;IF(AND(C104="High Covered Linkway",F104&lt;SG_Criteria!$B$47),"FAIL: high linkway headroom below "&amp;SG_Criteria!$B$47&amp;" m. ","")&amp;IF(E104&lt;SG_Criteria!$B$48,"FAIL: roof width below "&amp;SG_Criteria!$B$48&amp;" m. ",IF(E104&lt;SG_Criteria!$B$49,"NOTE: not for MRT/LRT or high-traffic routes (min "&amp;SG_Criteria!$B$49&amp;" m). ",""))&amp;IF(AND(P104&lt;&gt;"",P104&lt;SG_Criteria!$B$50),"FAIL: wind speed below "&amp;SG_Criteria!$B$50&amp;" m/s. ","")&amp;IF(AND(Q104&lt;&gt;"",Q104&lt;SG_Criteria!$B$51),"FAIL: roof fixing pull-out below "&amp;SG_Criteria!$B$51&amp;" kN. ","")&amp;IF(AND(R104&lt;&gt;"",IFERROR(VALUE(MID(R104,2,2)),0)&lt;SG_Criteria!$B$52),"FAIL: grade below C"&amp;SG_Criteria!$B$52&amp;". ","")&amp;IF(D104="Non-standard (project design)","NOTE: not an SDRE standard, needs LTA acceptance. ","")))</f>
        <v/>
      </c>
      <c r="AP104" s="9"/>
      <c r="AQ104" s="9"/>
      <c r="AR104" s="9"/>
      <c r="AS104" s="9"/>
      <c r="AT104" s="9"/>
      <c r="AU104" s="31"/>
      <c r="AV104" s="10" t="str">
        <f aca="false">IF(C104="","",IF(AND(X104="Approved",ISERROR(SEARCH("FAIL",AO104))),"Y","N"))</f>
        <v/>
      </c>
      <c r="AW104" s="10" t="str">
        <f aca="false">IF(C104="","",C104&amp;"|"&amp;E104&amp;"|"&amp;F104&amp;"|"&amp;AV104)</f>
        <v/>
      </c>
    </row>
    <row r="105" customFormat="false" ht="15" hidden="false" customHeight="false" outlineLevel="0" collapsed="false">
      <c r="A105" s="10" t="str">
        <f aca="false">IF(C105="","","LKW-"&amp;IFERROR(VLOOKUP(C105,Lists!$AQ$4:$AR$17,2,0),"??")&amp;"-W"&amp;TEXT(E105*1000,"0000")&amp;"-H"&amp;TEXT(F105*1000,"0000")&amp;"-B"&amp;TEXT(G105*1000,"0000")&amp;"-"&amp;W105)</f>
        <v/>
      </c>
      <c r="B105" s="10" t="str">
        <f aca="false">IF(C105="","",C105&amp;", "&amp;E105&amp;" m wide, "&amp;F105&amp;" m headroom, "&amp;G105&amp;" m bays, "&amp;H105&amp;" ("&amp;D105&amp;")")</f>
        <v/>
      </c>
      <c r="C105" s="9"/>
      <c r="D105" s="9"/>
      <c r="E105" s="43"/>
      <c r="F105" s="43"/>
      <c r="G105" s="43"/>
      <c r="H105" s="9"/>
      <c r="I105" s="9"/>
      <c r="J105" s="9"/>
      <c r="K105" s="9"/>
      <c r="L105" s="9"/>
      <c r="M105" s="9"/>
      <c r="N105" s="9"/>
      <c r="O105" s="9"/>
      <c r="P105" s="40"/>
      <c r="Q105" s="43"/>
      <c r="R105" s="9"/>
      <c r="S105" s="9"/>
      <c r="T105" s="9"/>
      <c r="U105" s="43"/>
      <c r="V105" s="9"/>
      <c r="W105" s="9"/>
      <c r="X105" s="9"/>
      <c r="Y105" s="9"/>
      <c r="Z105" s="9"/>
      <c r="AA105" s="9"/>
      <c r="AB105" s="10" t="str">
        <f aca="false">IF(A105="","",SG_Criteria!$B$6&amp;SG_Criteria!$B$12&amp;"\"&amp;A105&amp;"\")</f>
        <v/>
      </c>
      <c r="AC105" s="10" t="str">
        <f aca="false">IF(A105="","",A105&amp;"_CAD.dwg")</f>
        <v/>
      </c>
      <c r="AD105" s="10" t="str">
        <f aca="false">IF(A105="","",A105&amp;"_DWG.pdf")</f>
        <v/>
      </c>
      <c r="AE105" s="10" t="str">
        <f aca="false">IF(A105="","",IF(AA105="Y",A105&amp;"_STAAD.std","n/a"))</f>
        <v/>
      </c>
      <c r="AF105" s="10" t="str">
        <f aca="false">IF(A105="","",A105&amp;"_CALC.xlsx")</f>
        <v/>
      </c>
      <c r="AG105" s="10" t="str">
        <f aca="false">IF(A105="","",A105&amp;"_CALC.pdf")</f>
        <v/>
      </c>
      <c r="AH105" s="9"/>
      <c r="AI105" s="9"/>
      <c r="AJ105" s="41"/>
      <c r="AK105" s="41"/>
      <c r="AL105" s="41"/>
      <c r="AM105" s="41"/>
      <c r="AN105" s="41"/>
      <c r="AO105" s="38" t="str">
        <f aca="false">IF(C105="","",IF(LEN(IF(AND(C105&lt;&gt;"High Covered Linkway",F105&lt;SG_Criteria!$B$46),"FAIL: headroom below "&amp;SG_Criteria!$B$46&amp;" m. ","")&amp;IF(AND(C105="High Covered Linkway",F105&lt;SG_Criteria!$B$47),"FAIL: high linkway headroom below "&amp;SG_Criteria!$B$47&amp;" m. ","")&amp;IF(E105&lt;SG_Criteria!$B$48,"FAIL: roof width below "&amp;SG_Criteria!$B$48&amp;" m. ",IF(E105&lt;SG_Criteria!$B$49,"NOTE: not for MRT/LRT or high-traffic routes (min "&amp;SG_Criteria!$B$49&amp;" m). ",""))&amp;IF(AND(P105&lt;&gt;"",P105&lt;SG_Criteria!$B$50),"FAIL: wind speed below "&amp;SG_Criteria!$B$50&amp;" m/s. ","")&amp;IF(AND(Q105&lt;&gt;"",Q105&lt;SG_Criteria!$B$51),"FAIL: roof fixing pull-out below "&amp;SG_Criteria!$B$51&amp;" kN. ","")&amp;IF(AND(R105&lt;&gt;"",IFERROR(VALUE(MID(R105,2,2)),0)&lt;SG_Criteria!$B$52),"FAIL: grade below C"&amp;SG_Criteria!$B$52&amp;". ","")&amp;IF(D105="Non-standard (project design)","NOTE: not an SDRE standard, needs LTA acceptance. ",""))=0,"OK",IF(AND(C105&lt;&gt;"High Covered Linkway",F105&lt;SG_Criteria!$B$46),"FAIL: headroom below "&amp;SG_Criteria!$B$46&amp;" m. ","")&amp;IF(AND(C105="High Covered Linkway",F105&lt;SG_Criteria!$B$47),"FAIL: high linkway headroom below "&amp;SG_Criteria!$B$47&amp;" m. ","")&amp;IF(E105&lt;SG_Criteria!$B$48,"FAIL: roof width below "&amp;SG_Criteria!$B$48&amp;" m. ",IF(E105&lt;SG_Criteria!$B$49,"NOTE: not for MRT/LRT or high-traffic routes (min "&amp;SG_Criteria!$B$49&amp;" m). ",""))&amp;IF(AND(P105&lt;&gt;"",P105&lt;SG_Criteria!$B$50),"FAIL: wind speed below "&amp;SG_Criteria!$B$50&amp;" m/s. ","")&amp;IF(AND(Q105&lt;&gt;"",Q105&lt;SG_Criteria!$B$51),"FAIL: roof fixing pull-out below "&amp;SG_Criteria!$B$51&amp;" kN. ","")&amp;IF(AND(R105&lt;&gt;"",IFERROR(VALUE(MID(R105,2,2)),0)&lt;SG_Criteria!$B$52),"FAIL: grade below C"&amp;SG_Criteria!$B$52&amp;". ","")&amp;IF(D105="Non-standard (project design)","NOTE: not an SDRE standard, needs LTA acceptance. ","")))</f>
        <v/>
      </c>
      <c r="AP105" s="9"/>
      <c r="AQ105" s="9"/>
      <c r="AR105" s="9"/>
      <c r="AS105" s="9"/>
      <c r="AT105" s="9"/>
      <c r="AU105" s="31"/>
      <c r="AV105" s="10" t="str">
        <f aca="false">IF(C105="","",IF(AND(X105="Approved",ISERROR(SEARCH("FAIL",AO105))),"Y","N"))</f>
        <v/>
      </c>
      <c r="AW105" s="10" t="str">
        <f aca="false">IF(C105="","",C105&amp;"|"&amp;E105&amp;"|"&amp;F105&amp;"|"&amp;AV105)</f>
        <v/>
      </c>
    </row>
    <row r="106" customFormat="false" ht="15" hidden="false" customHeight="false" outlineLevel="0" collapsed="false">
      <c r="A106" s="10" t="str">
        <f aca="false">IF(C106="","","LKW-"&amp;IFERROR(VLOOKUP(C106,Lists!$AQ$4:$AR$17,2,0),"??")&amp;"-W"&amp;TEXT(E106*1000,"0000")&amp;"-H"&amp;TEXT(F106*1000,"0000")&amp;"-B"&amp;TEXT(G106*1000,"0000")&amp;"-"&amp;W106)</f>
        <v/>
      </c>
      <c r="B106" s="10" t="str">
        <f aca="false">IF(C106="","",C106&amp;", "&amp;E106&amp;" m wide, "&amp;F106&amp;" m headroom, "&amp;G106&amp;" m bays, "&amp;H106&amp;" ("&amp;D106&amp;")")</f>
        <v/>
      </c>
      <c r="C106" s="9"/>
      <c r="D106" s="9"/>
      <c r="E106" s="43"/>
      <c r="F106" s="43"/>
      <c r="G106" s="43"/>
      <c r="H106" s="9"/>
      <c r="I106" s="9"/>
      <c r="J106" s="9"/>
      <c r="K106" s="9"/>
      <c r="L106" s="9"/>
      <c r="M106" s="9"/>
      <c r="N106" s="9"/>
      <c r="O106" s="9"/>
      <c r="P106" s="40"/>
      <c r="Q106" s="43"/>
      <c r="R106" s="9"/>
      <c r="S106" s="9"/>
      <c r="T106" s="9"/>
      <c r="U106" s="43"/>
      <c r="V106" s="9"/>
      <c r="W106" s="9"/>
      <c r="X106" s="9"/>
      <c r="Y106" s="9"/>
      <c r="Z106" s="9"/>
      <c r="AA106" s="9"/>
      <c r="AB106" s="10" t="str">
        <f aca="false">IF(A106="","",SG_Criteria!$B$6&amp;SG_Criteria!$B$12&amp;"\"&amp;A106&amp;"\")</f>
        <v/>
      </c>
      <c r="AC106" s="10" t="str">
        <f aca="false">IF(A106="","",A106&amp;"_CAD.dwg")</f>
        <v/>
      </c>
      <c r="AD106" s="10" t="str">
        <f aca="false">IF(A106="","",A106&amp;"_DWG.pdf")</f>
        <v/>
      </c>
      <c r="AE106" s="10" t="str">
        <f aca="false">IF(A106="","",IF(AA106="Y",A106&amp;"_STAAD.std","n/a"))</f>
        <v/>
      </c>
      <c r="AF106" s="10" t="str">
        <f aca="false">IF(A106="","",A106&amp;"_CALC.xlsx")</f>
        <v/>
      </c>
      <c r="AG106" s="10" t="str">
        <f aca="false">IF(A106="","",A106&amp;"_CALC.pdf")</f>
        <v/>
      </c>
      <c r="AH106" s="9"/>
      <c r="AI106" s="9"/>
      <c r="AJ106" s="41"/>
      <c r="AK106" s="41"/>
      <c r="AL106" s="41"/>
      <c r="AM106" s="41"/>
      <c r="AN106" s="41"/>
      <c r="AO106" s="38" t="str">
        <f aca="false">IF(C106="","",IF(LEN(IF(AND(C106&lt;&gt;"High Covered Linkway",F106&lt;SG_Criteria!$B$46),"FAIL: headroom below "&amp;SG_Criteria!$B$46&amp;" m. ","")&amp;IF(AND(C106="High Covered Linkway",F106&lt;SG_Criteria!$B$47),"FAIL: high linkway headroom below "&amp;SG_Criteria!$B$47&amp;" m. ","")&amp;IF(E106&lt;SG_Criteria!$B$48,"FAIL: roof width below "&amp;SG_Criteria!$B$48&amp;" m. ",IF(E106&lt;SG_Criteria!$B$49,"NOTE: not for MRT/LRT or high-traffic routes (min "&amp;SG_Criteria!$B$49&amp;" m). ",""))&amp;IF(AND(P106&lt;&gt;"",P106&lt;SG_Criteria!$B$50),"FAIL: wind speed below "&amp;SG_Criteria!$B$50&amp;" m/s. ","")&amp;IF(AND(Q106&lt;&gt;"",Q106&lt;SG_Criteria!$B$51),"FAIL: roof fixing pull-out below "&amp;SG_Criteria!$B$51&amp;" kN. ","")&amp;IF(AND(R106&lt;&gt;"",IFERROR(VALUE(MID(R106,2,2)),0)&lt;SG_Criteria!$B$52),"FAIL: grade below C"&amp;SG_Criteria!$B$52&amp;". ","")&amp;IF(D106="Non-standard (project design)","NOTE: not an SDRE standard, needs LTA acceptance. ",""))=0,"OK",IF(AND(C106&lt;&gt;"High Covered Linkway",F106&lt;SG_Criteria!$B$46),"FAIL: headroom below "&amp;SG_Criteria!$B$46&amp;" m. ","")&amp;IF(AND(C106="High Covered Linkway",F106&lt;SG_Criteria!$B$47),"FAIL: high linkway headroom below "&amp;SG_Criteria!$B$47&amp;" m. ","")&amp;IF(E106&lt;SG_Criteria!$B$48,"FAIL: roof width below "&amp;SG_Criteria!$B$48&amp;" m. ",IF(E106&lt;SG_Criteria!$B$49,"NOTE: not for MRT/LRT or high-traffic routes (min "&amp;SG_Criteria!$B$49&amp;" m). ",""))&amp;IF(AND(P106&lt;&gt;"",P106&lt;SG_Criteria!$B$50),"FAIL: wind speed below "&amp;SG_Criteria!$B$50&amp;" m/s. ","")&amp;IF(AND(Q106&lt;&gt;"",Q106&lt;SG_Criteria!$B$51),"FAIL: roof fixing pull-out below "&amp;SG_Criteria!$B$51&amp;" kN. ","")&amp;IF(AND(R106&lt;&gt;"",IFERROR(VALUE(MID(R106,2,2)),0)&lt;SG_Criteria!$B$52),"FAIL: grade below C"&amp;SG_Criteria!$B$52&amp;". ","")&amp;IF(D106="Non-standard (project design)","NOTE: not an SDRE standard, needs LTA acceptance. ","")))</f>
        <v/>
      </c>
      <c r="AP106" s="9"/>
      <c r="AQ106" s="9"/>
      <c r="AR106" s="9"/>
      <c r="AS106" s="9"/>
      <c r="AT106" s="9"/>
      <c r="AU106" s="31"/>
      <c r="AV106" s="10" t="str">
        <f aca="false">IF(C106="","",IF(AND(X106="Approved",ISERROR(SEARCH("FAIL",AO106))),"Y","N"))</f>
        <v/>
      </c>
      <c r="AW106" s="10" t="str">
        <f aca="false">IF(C106="","",C106&amp;"|"&amp;E106&amp;"|"&amp;F106&amp;"|"&amp;AV106)</f>
        <v/>
      </c>
    </row>
    <row r="107" customFormat="false" ht="15" hidden="false" customHeight="false" outlineLevel="0" collapsed="false">
      <c r="A107" s="10" t="str">
        <f aca="false">IF(C107="","","LKW-"&amp;IFERROR(VLOOKUP(C107,Lists!$AQ$4:$AR$17,2,0),"??")&amp;"-W"&amp;TEXT(E107*1000,"0000")&amp;"-H"&amp;TEXT(F107*1000,"0000")&amp;"-B"&amp;TEXT(G107*1000,"0000")&amp;"-"&amp;W107)</f>
        <v/>
      </c>
      <c r="B107" s="10" t="str">
        <f aca="false">IF(C107="","",C107&amp;", "&amp;E107&amp;" m wide, "&amp;F107&amp;" m headroom, "&amp;G107&amp;" m bays, "&amp;H107&amp;" ("&amp;D107&amp;")")</f>
        <v/>
      </c>
      <c r="C107" s="9"/>
      <c r="D107" s="9"/>
      <c r="E107" s="43"/>
      <c r="F107" s="43"/>
      <c r="G107" s="43"/>
      <c r="H107" s="9"/>
      <c r="I107" s="9"/>
      <c r="J107" s="9"/>
      <c r="K107" s="9"/>
      <c r="L107" s="9"/>
      <c r="M107" s="9"/>
      <c r="N107" s="9"/>
      <c r="O107" s="9"/>
      <c r="P107" s="40"/>
      <c r="Q107" s="43"/>
      <c r="R107" s="9"/>
      <c r="S107" s="9"/>
      <c r="T107" s="9"/>
      <c r="U107" s="43"/>
      <c r="V107" s="9"/>
      <c r="W107" s="9"/>
      <c r="X107" s="9"/>
      <c r="Y107" s="9"/>
      <c r="Z107" s="9"/>
      <c r="AA107" s="9"/>
      <c r="AB107" s="10" t="str">
        <f aca="false">IF(A107="","",SG_Criteria!$B$6&amp;SG_Criteria!$B$12&amp;"\"&amp;A107&amp;"\")</f>
        <v/>
      </c>
      <c r="AC107" s="10" t="str">
        <f aca="false">IF(A107="","",A107&amp;"_CAD.dwg")</f>
        <v/>
      </c>
      <c r="AD107" s="10" t="str">
        <f aca="false">IF(A107="","",A107&amp;"_DWG.pdf")</f>
        <v/>
      </c>
      <c r="AE107" s="10" t="str">
        <f aca="false">IF(A107="","",IF(AA107="Y",A107&amp;"_STAAD.std","n/a"))</f>
        <v/>
      </c>
      <c r="AF107" s="10" t="str">
        <f aca="false">IF(A107="","",A107&amp;"_CALC.xlsx")</f>
        <v/>
      </c>
      <c r="AG107" s="10" t="str">
        <f aca="false">IF(A107="","",A107&amp;"_CALC.pdf")</f>
        <v/>
      </c>
      <c r="AH107" s="9"/>
      <c r="AI107" s="9"/>
      <c r="AJ107" s="41"/>
      <c r="AK107" s="41"/>
      <c r="AL107" s="41"/>
      <c r="AM107" s="41"/>
      <c r="AN107" s="41"/>
      <c r="AO107" s="38" t="str">
        <f aca="false">IF(C107="","",IF(LEN(IF(AND(C107&lt;&gt;"High Covered Linkway",F107&lt;SG_Criteria!$B$46),"FAIL: headroom below "&amp;SG_Criteria!$B$46&amp;" m. ","")&amp;IF(AND(C107="High Covered Linkway",F107&lt;SG_Criteria!$B$47),"FAIL: high linkway headroom below "&amp;SG_Criteria!$B$47&amp;" m. ","")&amp;IF(E107&lt;SG_Criteria!$B$48,"FAIL: roof width below "&amp;SG_Criteria!$B$48&amp;" m. ",IF(E107&lt;SG_Criteria!$B$49,"NOTE: not for MRT/LRT or high-traffic routes (min "&amp;SG_Criteria!$B$49&amp;" m). ",""))&amp;IF(AND(P107&lt;&gt;"",P107&lt;SG_Criteria!$B$50),"FAIL: wind speed below "&amp;SG_Criteria!$B$50&amp;" m/s. ","")&amp;IF(AND(Q107&lt;&gt;"",Q107&lt;SG_Criteria!$B$51),"FAIL: roof fixing pull-out below "&amp;SG_Criteria!$B$51&amp;" kN. ","")&amp;IF(AND(R107&lt;&gt;"",IFERROR(VALUE(MID(R107,2,2)),0)&lt;SG_Criteria!$B$52),"FAIL: grade below C"&amp;SG_Criteria!$B$52&amp;". ","")&amp;IF(D107="Non-standard (project design)","NOTE: not an SDRE standard, needs LTA acceptance. ",""))=0,"OK",IF(AND(C107&lt;&gt;"High Covered Linkway",F107&lt;SG_Criteria!$B$46),"FAIL: headroom below "&amp;SG_Criteria!$B$46&amp;" m. ","")&amp;IF(AND(C107="High Covered Linkway",F107&lt;SG_Criteria!$B$47),"FAIL: high linkway headroom below "&amp;SG_Criteria!$B$47&amp;" m. ","")&amp;IF(E107&lt;SG_Criteria!$B$48,"FAIL: roof width below "&amp;SG_Criteria!$B$48&amp;" m. ",IF(E107&lt;SG_Criteria!$B$49,"NOTE: not for MRT/LRT or high-traffic routes (min "&amp;SG_Criteria!$B$49&amp;" m). ",""))&amp;IF(AND(P107&lt;&gt;"",P107&lt;SG_Criteria!$B$50),"FAIL: wind speed below "&amp;SG_Criteria!$B$50&amp;" m/s. ","")&amp;IF(AND(Q107&lt;&gt;"",Q107&lt;SG_Criteria!$B$51),"FAIL: roof fixing pull-out below "&amp;SG_Criteria!$B$51&amp;" kN. ","")&amp;IF(AND(R107&lt;&gt;"",IFERROR(VALUE(MID(R107,2,2)),0)&lt;SG_Criteria!$B$52),"FAIL: grade below C"&amp;SG_Criteria!$B$52&amp;". ","")&amp;IF(D107="Non-standard (project design)","NOTE: not an SDRE standard, needs LTA acceptance. ","")))</f>
        <v/>
      </c>
      <c r="AP107" s="9"/>
      <c r="AQ107" s="9"/>
      <c r="AR107" s="9"/>
      <c r="AS107" s="9"/>
      <c r="AT107" s="9"/>
      <c r="AU107" s="31"/>
      <c r="AV107" s="10" t="str">
        <f aca="false">IF(C107="","",IF(AND(X107="Approved",ISERROR(SEARCH("FAIL",AO107))),"Y","N"))</f>
        <v/>
      </c>
      <c r="AW107" s="10" t="str">
        <f aca="false">IF(C107="","",C107&amp;"|"&amp;E107&amp;"|"&amp;F107&amp;"|"&amp;AV107)</f>
        <v/>
      </c>
    </row>
    <row r="108" customFormat="false" ht="15" hidden="false" customHeight="false" outlineLevel="0" collapsed="false">
      <c r="A108" s="10" t="str">
        <f aca="false">IF(C108="","","LKW-"&amp;IFERROR(VLOOKUP(C108,Lists!$AQ$4:$AR$17,2,0),"??")&amp;"-W"&amp;TEXT(E108*1000,"0000")&amp;"-H"&amp;TEXT(F108*1000,"0000")&amp;"-B"&amp;TEXT(G108*1000,"0000")&amp;"-"&amp;W108)</f>
        <v/>
      </c>
      <c r="B108" s="10" t="str">
        <f aca="false">IF(C108="","",C108&amp;", "&amp;E108&amp;" m wide, "&amp;F108&amp;" m headroom, "&amp;G108&amp;" m bays, "&amp;H108&amp;" ("&amp;D108&amp;")")</f>
        <v/>
      </c>
      <c r="C108" s="9"/>
      <c r="D108" s="9"/>
      <c r="E108" s="43"/>
      <c r="F108" s="43"/>
      <c r="G108" s="43"/>
      <c r="H108" s="9"/>
      <c r="I108" s="9"/>
      <c r="J108" s="9"/>
      <c r="K108" s="9"/>
      <c r="L108" s="9"/>
      <c r="M108" s="9"/>
      <c r="N108" s="9"/>
      <c r="O108" s="9"/>
      <c r="P108" s="40"/>
      <c r="Q108" s="43"/>
      <c r="R108" s="9"/>
      <c r="S108" s="9"/>
      <c r="T108" s="9"/>
      <c r="U108" s="43"/>
      <c r="V108" s="9"/>
      <c r="W108" s="9"/>
      <c r="X108" s="9"/>
      <c r="Y108" s="9"/>
      <c r="Z108" s="9"/>
      <c r="AA108" s="9"/>
      <c r="AB108" s="10" t="str">
        <f aca="false">IF(A108="","",SG_Criteria!$B$6&amp;SG_Criteria!$B$12&amp;"\"&amp;A108&amp;"\")</f>
        <v/>
      </c>
      <c r="AC108" s="10" t="str">
        <f aca="false">IF(A108="","",A108&amp;"_CAD.dwg")</f>
        <v/>
      </c>
      <c r="AD108" s="10" t="str">
        <f aca="false">IF(A108="","",A108&amp;"_DWG.pdf")</f>
        <v/>
      </c>
      <c r="AE108" s="10" t="str">
        <f aca="false">IF(A108="","",IF(AA108="Y",A108&amp;"_STAAD.std","n/a"))</f>
        <v/>
      </c>
      <c r="AF108" s="10" t="str">
        <f aca="false">IF(A108="","",A108&amp;"_CALC.xlsx")</f>
        <v/>
      </c>
      <c r="AG108" s="10" t="str">
        <f aca="false">IF(A108="","",A108&amp;"_CALC.pdf")</f>
        <v/>
      </c>
      <c r="AH108" s="9"/>
      <c r="AI108" s="9"/>
      <c r="AJ108" s="41"/>
      <c r="AK108" s="41"/>
      <c r="AL108" s="41"/>
      <c r="AM108" s="41"/>
      <c r="AN108" s="41"/>
      <c r="AO108" s="38" t="str">
        <f aca="false">IF(C108="","",IF(LEN(IF(AND(C108&lt;&gt;"High Covered Linkway",F108&lt;SG_Criteria!$B$46),"FAIL: headroom below "&amp;SG_Criteria!$B$46&amp;" m. ","")&amp;IF(AND(C108="High Covered Linkway",F108&lt;SG_Criteria!$B$47),"FAIL: high linkway headroom below "&amp;SG_Criteria!$B$47&amp;" m. ","")&amp;IF(E108&lt;SG_Criteria!$B$48,"FAIL: roof width below "&amp;SG_Criteria!$B$48&amp;" m. ",IF(E108&lt;SG_Criteria!$B$49,"NOTE: not for MRT/LRT or high-traffic routes (min "&amp;SG_Criteria!$B$49&amp;" m). ",""))&amp;IF(AND(P108&lt;&gt;"",P108&lt;SG_Criteria!$B$50),"FAIL: wind speed below "&amp;SG_Criteria!$B$50&amp;" m/s. ","")&amp;IF(AND(Q108&lt;&gt;"",Q108&lt;SG_Criteria!$B$51),"FAIL: roof fixing pull-out below "&amp;SG_Criteria!$B$51&amp;" kN. ","")&amp;IF(AND(R108&lt;&gt;"",IFERROR(VALUE(MID(R108,2,2)),0)&lt;SG_Criteria!$B$52),"FAIL: grade below C"&amp;SG_Criteria!$B$52&amp;". ","")&amp;IF(D108="Non-standard (project design)","NOTE: not an SDRE standard, needs LTA acceptance. ",""))=0,"OK",IF(AND(C108&lt;&gt;"High Covered Linkway",F108&lt;SG_Criteria!$B$46),"FAIL: headroom below "&amp;SG_Criteria!$B$46&amp;" m. ","")&amp;IF(AND(C108="High Covered Linkway",F108&lt;SG_Criteria!$B$47),"FAIL: high linkway headroom below "&amp;SG_Criteria!$B$47&amp;" m. ","")&amp;IF(E108&lt;SG_Criteria!$B$48,"FAIL: roof width below "&amp;SG_Criteria!$B$48&amp;" m. ",IF(E108&lt;SG_Criteria!$B$49,"NOTE: not for MRT/LRT or high-traffic routes (min "&amp;SG_Criteria!$B$49&amp;" m). ",""))&amp;IF(AND(P108&lt;&gt;"",P108&lt;SG_Criteria!$B$50),"FAIL: wind speed below "&amp;SG_Criteria!$B$50&amp;" m/s. ","")&amp;IF(AND(Q108&lt;&gt;"",Q108&lt;SG_Criteria!$B$51),"FAIL: roof fixing pull-out below "&amp;SG_Criteria!$B$51&amp;" kN. ","")&amp;IF(AND(R108&lt;&gt;"",IFERROR(VALUE(MID(R108,2,2)),0)&lt;SG_Criteria!$B$52),"FAIL: grade below C"&amp;SG_Criteria!$B$52&amp;". ","")&amp;IF(D108="Non-standard (project design)","NOTE: not an SDRE standard, needs LTA acceptance. ","")))</f>
        <v/>
      </c>
      <c r="AP108" s="9"/>
      <c r="AQ108" s="9"/>
      <c r="AR108" s="9"/>
      <c r="AS108" s="9"/>
      <c r="AT108" s="9"/>
      <c r="AU108" s="31"/>
      <c r="AV108" s="10" t="str">
        <f aca="false">IF(C108="","",IF(AND(X108="Approved",ISERROR(SEARCH("FAIL",AO108))),"Y","N"))</f>
        <v/>
      </c>
      <c r="AW108" s="10" t="str">
        <f aca="false">IF(C108="","",C108&amp;"|"&amp;E108&amp;"|"&amp;F108&amp;"|"&amp;AV108)</f>
        <v/>
      </c>
    </row>
    <row r="109" customFormat="false" ht="15" hidden="false" customHeight="false" outlineLevel="0" collapsed="false">
      <c r="A109" s="10" t="str">
        <f aca="false">IF(C109="","","LKW-"&amp;IFERROR(VLOOKUP(C109,Lists!$AQ$4:$AR$17,2,0),"??")&amp;"-W"&amp;TEXT(E109*1000,"0000")&amp;"-H"&amp;TEXT(F109*1000,"0000")&amp;"-B"&amp;TEXT(G109*1000,"0000")&amp;"-"&amp;W109)</f>
        <v/>
      </c>
      <c r="B109" s="10" t="str">
        <f aca="false">IF(C109="","",C109&amp;", "&amp;E109&amp;" m wide, "&amp;F109&amp;" m headroom, "&amp;G109&amp;" m bays, "&amp;H109&amp;" ("&amp;D109&amp;")")</f>
        <v/>
      </c>
      <c r="C109" s="9"/>
      <c r="D109" s="9"/>
      <c r="E109" s="43"/>
      <c r="F109" s="43"/>
      <c r="G109" s="43"/>
      <c r="H109" s="9"/>
      <c r="I109" s="9"/>
      <c r="J109" s="9"/>
      <c r="K109" s="9"/>
      <c r="L109" s="9"/>
      <c r="M109" s="9"/>
      <c r="N109" s="9"/>
      <c r="O109" s="9"/>
      <c r="P109" s="40"/>
      <c r="Q109" s="43"/>
      <c r="R109" s="9"/>
      <c r="S109" s="9"/>
      <c r="T109" s="9"/>
      <c r="U109" s="43"/>
      <c r="V109" s="9"/>
      <c r="W109" s="9"/>
      <c r="X109" s="9"/>
      <c r="Y109" s="9"/>
      <c r="Z109" s="9"/>
      <c r="AA109" s="9"/>
      <c r="AB109" s="10" t="str">
        <f aca="false">IF(A109="","",SG_Criteria!$B$6&amp;SG_Criteria!$B$12&amp;"\"&amp;A109&amp;"\")</f>
        <v/>
      </c>
      <c r="AC109" s="10" t="str">
        <f aca="false">IF(A109="","",A109&amp;"_CAD.dwg")</f>
        <v/>
      </c>
      <c r="AD109" s="10" t="str">
        <f aca="false">IF(A109="","",A109&amp;"_DWG.pdf")</f>
        <v/>
      </c>
      <c r="AE109" s="10" t="str">
        <f aca="false">IF(A109="","",IF(AA109="Y",A109&amp;"_STAAD.std","n/a"))</f>
        <v/>
      </c>
      <c r="AF109" s="10" t="str">
        <f aca="false">IF(A109="","",A109&amp;"_CALC.xlsx")</f>
        <v/>
      </c>
      <c r="AG109" s="10" t="str">
        <f aca="false">IF(A109="","",A109&amp;"_CALC.pdf")</f>
        <v/>
      </c>
      <c r="AH109" s="9"/>
      <c r="AI109" s="9"/>
      <c r="AJ109" s="41"/>
      <c r="AK109" s="41"/>
      <c r="AL109" s="41"/>
      <c r="AM109" s="41"/>
      <c r="AN109" s="41"/>
      <c r="AO109" s="38" t="str">
        <f aca="false">IF(C109="","",IF(LEN(IF(AND(C109&lt;&gt;"High Covered Linkway",F109&lt;SG_Criteria!$B$46),"FAIL: headroom below "&amp;SG_Criteria!$B$46&amp;" m. ","")&amp;IF(AND(C109="High Covered Linkway",F109&lt;SG_Criteria!$B$47),"FAIL: high linkway headroom below "&amp;SG_Criteria!$B$47&amp;" m. ","")&amp;IF(E109&lt;SG_Criteria!$B$48,"FAIL: roof width below "&amp;SG_Criteria!$B$48&amp;" m. ",IF(E109&lt;SG_Criteria!$B$49,"NOTE: not for MRT/LRT or high-traffic routes (min "&amp;SG_Criteria!$B$49&amp;" m). ",""))&amp;IF(AND(P109&lt;&gt;"",P109&lt;SG_Criteria!$B$50),"FAIL: wind speed below "&amp;SG_Criteria!$B$50&amp;" m/s. ","")&amp;IF(AND(Q109&lt;&gt;"",Q109&lt;SG_Criteria!$B$51),"FAIL: roof fixing pull-out below "&amp;SG_Criteria!$B$51&amp;" kN. ","")&amp;IF(AND(R109&lt;&gt;"",IFERROR(VALUE(MID(R109,2,2)),0)&lt;SG_Criteria!$B$52),"FAIL: grade below C"&amp;SG_Criteria!$B$52&amp;". ","")&amp;IF(D109="Non-standard (project design)","NOTE: not an SDRE standard, needs LTA acceptance. ",""))=0,"OK",IF(AND(C109&lt;&gt;"High Covered Linkway",F109&lt;SG_Criteria!$B$46),"FAIL: headroom below "&amp;SG_Criteria!$B$46&amp;" m. ","")&amp;IF(AND(C109="High Covered Linkway",F109&lt;SG_Criteria!$B$47),"FAIL: high linkway headroom below "&amp;SG_Criteria!$B$47&amp;" m. ","")&amp;IF(E109&lt;SG_Criteria!$B$48,"FAIL: roof width below "&amp;SG_Criteria!$B$48&amp;" m. ",IF(E109&lt;SG_Criteria!$B$49,"NOTE: not for MRT/LRT or high-traffic routes (min "&amp;SG_Criteria!$B$49&amp;" m). ",""))&amp;IF(AND(P109&lt;&gt;"",P109&lt;SG_Criteria!$B$50),"FAIL: wind speed below "&amp;SG_Criteria!$B$50&amp;" m/s. ","")&amp;IF(AND(Q109&lt;&gt;"",Q109&lt;SG_Criteria!$B$51),"FAIL: roof fixing pull-out below "&amp;SG_Criteria!$B$51&amp;" kN. ","")&amp;IF(AND(R109&lt;&gt;"",IFERROR(VALUE(MID(R109,2,2)),0)&lt;SG_Criteria!$B$52),"FAIL: grade below C"&amp;SG_Criteria!$B$52&amp;". ","")&amp;IF(D109="Non-standard (project design)","NOTE: not an SDRE standard, needs LTA acceptance. ","")))</f>
        <v/>
      </c>
      <c r="AP109" s="9"/>
      <c r="AQ109" s="9"/>
      <c r="AR109" s="9"/>
      <c r="AS109" s="9"/>
      <c r="AT109" s="9"/>
      <c r="AU109" s="31"/>
      <c r="AV109" s="10" t="str">
        <f aca="false">IF(C109="","",IF(AND(X109="Approved",ISERROR(SEARCH("FAIL",AO109))),"Y","N"))</f>
        <v/>
      </c>
      <c r="AW109" s="10" t="str">
        <f aca="false">IF(C109="","",C109&amp;"|"&amp;E109&amp;"|"&amp;F109&amp;"|"&amp;AV109)</f>
        <v/>
      </c>
    </row>
    <row r="110" customFormat="false" ht="15" hidden="false" customHeight="false" outlineLevel="0" collapsed="false">
      <c r="A110" s="10" t="str">
        <f aca="false">IF(C110="","","LKW-"&amp;IFERROR(VLOOKUP(C110,Lists!$AQ$4:$AR$17,2,0),"??")&amp;"-W"&amp;TEXT(E110*1000,"0000")&amp;"-H"&amp;TEXT(F110*1000,"0000")&amp;"-B"&amp;TEXT(G110*1000,"0000")&amp;"-"&amp;W110)</f>
        <v/>
      </c>
      <c r="B110" s="10" t="str">
        <f aca="false">IF(C110="","",C110&amp;", "&amp;E110&amp;" m wide, "&amp;F110&amp;" m headroom, "&amp;G110&amp;" m bays, "&amp;H110&amp;" ("&amp;D110&amp;")")</f>
        <v/>
      </c>
      <c r="C110" s="9"/>
      <c r="D110" s="9"/>
      <c r="E110" s="43"/>
      <c r="F110" s="43"/>
      <c r="G110" s="43"/>
      <c r="H110" s="9"/>
      <c r="I110" s="9"/>
      <c r="J110" s="9"/>
      <c r="K110" s="9"/>
      <c r="L110" s="9"/>
      <c r="M110" s="9"/>
      <c r="N110" s="9"/>
      <c r="O110" s="9"/>
      <c r="P110" s="40"/>
      <c r="Q110" s="43"/>
      <c r="R110" s="9"/>
      <c r="S110" s="9"/>
      <c r="T110" s="9"/>
      <c r="U110" s="43"/>
      <c r="V110" s="9"/>
      <c r="W110" s="9"/>
      <c r="X110" s="9"/>
      <c r="Y110" s="9"/>
      <c r="Z110" s="9"/>
      <c r="AA110" s="9"/>
      <c r="AB110" s="10" t="str">
        <f aca="false">IF(A110="","",SG_Criteria!$B$6&amp;SG_Criteria!$B$12&amp;"\"&amp;A110&amp;"\")</f>
        <v/>
      </c>
      <c r="AC110" s="10" t="str">
        <f aca="false">IF(A110="","",A110&amp;"_CAD.dwg")</f>
        <v/>
      </c>
      <c r="AD110" s="10" t="str">
        <f aca="false">IF(A110="","",A110&amp;"_DWG.pdf")</f>
        <v/>
      </c>
      <c r="AE110" s="10" t="str">
        <f aca="false">IF(A110="","",IF(AA110="Y",A110&amp;"_STAAD.std","n/a"))</f>
        <v/>
      </c>
      <c r="AF110" s="10" t="str">
        <f aca="false">IF(A110="","",A110&amp;"_CALC.xlsx")</f>
        <v/>
      </c>
      <c r="AG110" s="10" t="str">
        <f aca="false">IF(A110="","",A110&amp;"_CALC.pdf")</f>
        <v/>
      </c>
      <c r="AH110" s="9"/>
      <c r="AI110" s="9"/>
      <c r="AJ110" s="41"/>
      <c r="AK110" s="41"/>
      <c r="AL110" s="41"/>
      <c r="AM110" s="41"/>
      <c r="AN110" s="41"/>
      <c r="AO110" s="38" t="str">
        <f aca="false">IF(C110="","",IF(LEN(IF(AND(C110&lt;&gt;"High Covered Linkway",F110&lt;SG_Criteria!$B$46),"FAIL: headroom below "&amp;SG_Criteria!$B$46&amp;" m. ","")&amp;IF(AND(C110="High Covered Linkway",F110&lt;SG_Criteria!$B$47),"FAIL: high linkway headroom below "&amp;SG_Criteria!$B$47&amp;" m. ","")&amp;IF(E110&lt;SG_Criteria!$B$48,"FAIL: roof width below "&amp;SG_Criteria!$B$48&amp;" m. ",IF(E110&lt;SG_Criteria!$B$49,"NOTE: not for MRT/LRT or high-traffic routes (min "&amp;SG_Criteria!$B$49&amp;" m). ",""))&amp;IF(AND(P110&lt;&gt;"",P110&lt;SG_Criteria!$B$50),"FAIL: wind speed below "&amp;SG_Criteria!$B$50&amp;" m/s. ","")&amp;IF(AND(Q110&lt;&gt;"",Q110&lt;SG_Criteria!$B$51),"FAIL: roof fixing pull-out below "&amp;SG_Criteria!$B$51&amp;" kN. ","")&amp;IF(AND(R110&lt;&gt;"",IFERROR(VALUE(MID(R110,2,2)),0)&lt;SG_Criteria!$B$52),"FAIL: grade below C"&amp;SG_Criteria!$B$52&amp;". ","")&amp;IF(D110="Non-standard (project design)","NOTE: not an SDRE standard, needs LTA acceptance. ",""))=0,"OK",IF(AND(C110&lt;&gt;"High Covered Linkway",F110&lt;SG_Criteria!$B$46),"FAIL: headroom below "&amp;SG_Criteria!$B$46&amp;" m. ","")&amp;IF(AND(C110="High Covered Linkway",F110&lt;SG_Criteria!$B$47),"FAIL: high linkway headroom below "&amp;SG_Criteria!$B$47&amp;" m. ","")&amp;IF(E110&lt;SG_Criteria!$B$48,"FAIL: roof width below "&amp;SG_Criteria!$B$48&amp;" m. ",IF(E110&lt;SG_Criteria!$B$49,"NOTE: not for MRT/LRT or high-traffic routes (min "&amp;SG_Criteria!$B$49&amp;" m). ",""))&amp;IF(AND(P110&lt;&gt;"",P110&lt;SG_Criteria!$B$50),"FAIL: wind speed below "&amp;SG_Criteria!$B$50&amp;" m/s. ","")&amp;IF(AND(Q110&lt;&gt;"",Q110&lt;SG_Criteria!$B$51),"FAIL: roof fixing pull-out below "&amp;SG_Criteria!$B$51&amp;" kN. ","")&amp;IF(AND(R110&lt;&gt;"",IFERROR(VALUE(MID(R110,2,2)),0)&lt;SG_Criteria!$B$52),"FAIL: grade below C"&amp;SG_Criteria!$B$52&amp;". ","")&amp;IF(D110="Non-standard (project design)","NOTE: not an SDRE standard, needs LTA acceptance. ","")))</f>
        <v/>
      </c>
      <c r="AP110" s="9"/>
      <c r="AQ110" s="9"/>
      <c r="AR110" s="9"/>
      <c r="AS110" s="9"/>
      <c r="AT110" s="9"/>
      <c r="AU110" s="31"/>
      <c r="AV110" s="10" t="str">
        <f aca="false">IF(C110="","",IF(AND(X110="Approved",ISERROR(SEARCH("FAIL",AO110))),"Y","N"))</f>
        <v/>
      </c>
      <c r="AW110" s="10" t="str">
        <f aca="false">IF(C110="","",C110&amp;"|"&amp;E110&amp;"|"&amp;F110&amp;"|"&amp;AV110)</f>
        <v/>
      </c>
    </row>
    <row r="111" customFormat="false" ht="15" hidden="false" customHeight="false" outlineLevel="0" collapsed="false">
      <c r="A111" s="10" t="str">
        <f aca="false">IF(C111="","","LKW-"&amp;IFERROR(VLOOKUP(C111,Lists!$AQ$4:$AR$17,2,0),"??")&amp;"-W"&amp;TEXT(E111*1000,"0000")&amp;"-H"&amp;TEXT(F111*1000,"0000")&amp;"-B"&amp;TEXT(G111*1000,"0000")&amp;"-"&amp;W111)</f>
        <v/>
      </c>
      <c r="B111" s="10" t="str">
        <f aca="false">IF(C111="","",C111&amp;", "&amp;E111&amp;" m wide, "&amp;F111&amp;" m headroom, "&amp;G111&amp;" m bays, "&amp;H111&amp;" ("&amp;D111&amp;")")</f>
        <v/>
      </c>
      <c r="C111" s="9"/>
      <c r="D111" s="9"/>
      <c r="E111" s="43"/>
      <c r="F111" s="43"/>
      <c r="G111" s="43"/>
      <c r="H111" s="9"/>
      <c r="I111" s="9"/>
      <c r="J111" s="9"/>
      <c r="K111" s="9"/>
      <c r="L111" s="9"/>
      <c r="M111" s="9"/>
      <c r="N111" s="9"/>
      <c r="O111" s="9"/>
      <c r="P111" s="40"/>
      <c r="Q111" s="43"/>
      <c r="R111" s="9"/>
      <c r="S111" s="9"/>
      <c r="T111" s="9"/>
      <c r="U111" s="43"/>
      <c r="V111" s="9"/>
      <c r="W111" s="9"/>
      <c r="X111" s="9"/>
      <c r="Y111" s="9"/>
      <c r="Z111" s="9"/>
      <c r="AA111" s="9"/>
      <c r="AB111" s="10" t="str">
        <f aca="false">IF(A111="","",SG_Criteria!$B$6&amp;SG_Criteria!$B$12&amp;"\"&amp;A111&amp;"\")</f>
        <v/>
      </c>
      <c r="AC111" s="10" t="str">
        <f aca="false">IF(A111="","",A111&amp;"_CAD.dwg")</f>
        <v/>
      </c>
      <c r="AD111" s="10" t="str">
        <f aca="false">IF(A111="","",A111&amp;"_DWG.pdf")</f>
        <v/>
      </c>
      <c r="AE111" s="10" t="str">
        <f aca="false">IF(A111="","",IF(AA111="Y",A111&amp;"_STAAD.std","n/a"))</f>
        <v/>
      </c>
      <c r="AF111" s="10" t="str">
        <f aca="false">IF(A111="","",A111&amp;"_CALC.xlsx")</f>
        <v/>
      </c>
      <c r="AG111" s="10" t="str">
        <f aca="false">IF(A111="","",A111&amp;"_CALC.pdf")</f>
        <v/>
      </c>
      <c r="AH111" s="9"/>
      <c r="AI111" s="9"/>
      <c r="AJ111" s="41"/>
      <c r="AK111" s="41"/>
      <c r="AL111" s="41"/>
      <c r="AM111" s="41"/>
      <c r="AN111" s="41"/>
      <c r="AO111" s="38" t="str">
        <f aca="false">IF(C111="","",IF(LEN(IF(AND(C111&lt;&gt;"High Covered Linkway",F111&lt;SG_Criteria!$B$46),"FAIL: headroom below "&amp;SG_Criteria!$B$46&amp;" m. ","")&amp;IF(AND(C111="High Covered Linkway",F111&lt;SG_Criteria!$B$47),"FAIL: high linkway headroom below "&amp;SG_Criteria!$B$47&amp;" m. ","")&amp;IF(E111&lt;SG_Criteria!$B$48,"FAIL: roof width below "&amp;SG_Criteria!$B$48&amp;" m. ",IF(E111&lt;SG_Criteria!$B$49,"NOTE: not for MRT/LRT or high-traffic routes (min "&amp;SG_Criteria!$B$49&amp;" m). ",""))&amp;IF(AND(P111&lt;&gt;"",P111&lt;SG_Criteria!$B$50),"FAIL: wind speed below "&amp;SG_Criteria!$B$50&amp;" m/s. ","")&amp;IF(AND(Q111&lt;&gt;"",Q111&lt;SG_Criteria!$B$51),"FAIL: roof fixing pull-out below "&amp;SG_Criteria!$B$51&amp;" kN. ","")&amp;IF(AND(R111&lt;&gt;"",IFERROR(VALUE(MID(R111,2,2)),0)&lt;SG_Criteria!$B$52),"FAIL: grade below C"&amp;SG_Criteria!$B$52&amp;". ","")&amp;IF(D111="Non-standard (project design)","NOTE: not an SDRE standard, needs LTA acceptance. ",""))=0,"OK",IF(AND(C111&lt;&gt;"High Covered Linkway",F111&lt;SG_Criteria!$B$46),"FAIL: headroom below "&amp;SG_Criteria!$B$46&amp;" m. ","")&amp;IF(AND(C111="High Covered Linkway",F111&lt;SG_Criteria!$B$47),"FAIL: high linkway headroom below "&amp;SG_Criteria!$B$47&amp;" m. ","")&amp;IF(E111&lt;SG_Criteria!$B$48,"FAIL: roof width below "&amp;SG_Criteria!$B$48&amp;" m. ",IF(E111&lt;SG_Criteria!$B$49,"NOTE: not for MRT/LRT or high-traffic routes (min "&amp;SG_Criteria!$B$49&amp;" m). ",""))&amp;IF(AND(P111&lt;&gt;"",P111&lt;SG_Criteria!$B$50),"FAIL: wind speed below "&amp;SG_Criteria!$B$50&amp;" m/s. ","")&amp;IF(AND(Q111&lt;&gt;"",Q111&lt;SG_Criteria!$B$51),"FAIL: roof fixing pull-out below "&amp;SG_Criteria!$B$51&amp;" kN. ","")&amp;IF(AND(R111&lt;&gt;"",IFERROR(VALUE(MID(R111,2,2)),0)&lt;SG_Criteria!$B$52),"FAIL: grade below C"&amp;SG_Criteria!$B$52&amp;". ","")&amp;IF(D111="Non-standard (project design)","NOTE: not an SDRE standard, needs LTA acceptance. ","")))</f>
        <v/>
      </c>
      <c r="AP111" s="9"/>
      <c r="AQ111" s="9"/>
      <c r="AR111" s="9"/>
      <c r="AS111" s="9"/>
      <c r="AT111" s="9"/>
      <c r="AU111" s="31"/>
      <c r="AV111" s="10" t="str">
        <f aca="false">IF(C111="","",IF(AND(X111="Approved",ISERROR(SEARCH("FAIL",AO111))),"Y","N"))</f>
        <v/>
      </c>
      <c r="AW111" s="10" t="str">
        <f aca="false">IF(C111="","",C111&amp;"|"&amp;E111&amp;"|"&amp;F111&amp;"|"&amp;AV111)</f>
        <v/>
      </c>
    </row>
    <row r="112" customFormat="false" ht="15" hidden="false" customHeight="false" outlineLevel="0" collapsed="false">
      <c r="A112" s="10" t="str">
        <f aca="false">IF(C112="","","LKW-"&amp;IFERROR(VLOOKUP(C112,Lists!$AQ$4:$AR$17,2,0),"??")&amp;"-W"&amp;TEXT(E112*1000,"0000")&amp;"-H"&amp;TEXT(F112*1000,"0000")&amp;"-B"&amp;TEXT(G112*1000,"0000")&amp;"-"&amp;W112)</f>
        <v/>
      </c>
      <c r="B112" s="10" t="str">
        <f aca="false">IF(C112="","",C112&amp;", "&amp;E112&amp;" m wide, "&amp;F112&amp;" m headroom, "&amp;G112&amp;" m bays, "&amp;H112&amp;" ("&amp;D112&amp;")")</f>
        <v/>
      </c>
      <c r="C112" s="9"/>
      <c r="D112" s="9"/>
      <c r="E112" s="43"/>
      <c r="F112" s="43"/>
      <c r="G112" s="43"/>
      <c r="H112" s="9"/>
      <c r="I112" s="9"/>
      <c r="J112" s="9"/>
      <c r="K112" s="9"/>
      <c r="L112" s="9"/>
      <c r="M112" s="9"/>
      <c r="N112" s="9"/>
      <c r="O112" s="9"/>
      <c r="P112" s="40"/>
      <c r="Q112" s="43"/>
      <c r="R112" s="9"/>
      <c r="S112" s="9"/>
      <c r="T112" s="9"/>
      <c r="U112" s="43"/>
      <c r="V112" s="9"/>
      <c r="W112" s="9"/>
      <c r="X112" s="9"/>
      <c r="Y112" s="9"/>
      <c r="Z112" s="9"/>
      <c r="AA112" s="9"/>
      <c r="AB112" s="10" t="str">
        <f aca="false">IF(A112="","",SG_Criteria!$B$6&amp;SG_Criteria!$B$12&amp;"\"&amp;A112&amp;"\")</f>
        <v/>
      </c>
      <c r="AC112" s="10" t="str">
        <f aca="false">IF(A112="","",A112&amp;"_CAD.dwg")</f>
        <v/>
      </c>
      <c r="AD112" s="10" t="str">
        <f aca="false">IF(A112="","",A112&amp;"_DWG.pdf")</f>
        <v/>
      </c>
      <c r="AE112" s="10" t="str">
        <f aca="false">IF(A112="","",IF(AA112="Y",A112&amp;"_STAAD.std","n/a"))</f>
        <v/>
      </c>
      <c r="AF112" s="10" t="str">
        <f aca="false">IF(A112="","",A112&amp;"_CALC.xlsx")</f>
        <v/>
      </c>
      <c r="AG112" s="10" t="str">
        <f aca="false">IF(A112="","",A112&amp;"_CALC.pdf")</f>
        <v/>
      </c>
      <c r="AH112" s="9"/>
      <c r="AI112" s="9"/>
      <c r="AJ112" s="41"/>
      <c r="AK112" s="41"/>
      <c r="AL112" s="41"/>
      <c r="AM112" s="41"/>
      <c r="AN112" s="41"/>
      <c r="AO112" s="38" t="str">
        <f aca="false">IF(C112="","",IF(LEN(IF(AND(C112&lt;&gt;"High Covered Linkway",F112&lt;SG_Criteria!$B$46),"FAIL: headroom below "&amp;SG_Criteria!$B$46&amp;" m. ","")&amp;IF(AND(C112="High Covered Linkway",F112&lt;SG_Criteria!$B$47),"FAIL: high linkway headroom below "&amp;SG_Criteria!$B$47&amp;" m. ","")&amp;IF(E112&lt;SG_Criteria!$B$48,"FAIL: roof width below "&amp;SG_Criteria!$B$48&amp;" m. ",IF(E112&lt;SG_Criteria!$B$49,"NOTE: not for MRT/LRT or high-traffic routes (min "&amp;SG_Criteria!$B$49&amp;" m). ",""))&amp;IF(AND(P112&lt;&gt;"",P112&lt;SG_Criteria!$B$50),"FAIL: wind speed below "&amp;SG_Criteria!$B$50&amp;" m/s. ","")&amp;IF(AND(Q112&lt;&gt;"",Q112&lt;SG_Criteria!$B$51),"FAIL: roof fixing pull-out below "&amp;SG_Criteria!$B$51&amp;" kN. ","")&amp;IF(AND(R112&lt;&gt;"",IFERROR(VALUE(MID(R112,2,2)),0)&lt;SG_Criteria!$B$52),"FAIL: grade below C"&amp;SG_Criteria!$B$52&amp;". ","")&amp;IF(D112="Non-standard (project design)","NOTE: not an SDRE standard, needs LTA acceptance. ",""))=0,"OK",IF(AND(C112&lt;&gt;"High Covered Linkway",F112&lt;SG_Criteria!$B$46),"FAIL: headroom below "&amp;SG_Criteria!$B$46&amp;" m. ","")&amp;IF(AND(C112="High Covered Linkway",F112&lt;SG_Criteria!$B$47),"FAIL: high linkway headroom below "&amp;SG_Criteria!$B$47&amp;" m. ","")&amp;IF(E112&lt;SG_Criteria!$B$48,"FAIL: roof width below "&amp;SG_Criteria!$B$48&amp;" m. ",IF(E112&lt;SG_Criteria!$B$49,"NOTE: not for MRT/LRT or high-traffic routes (min "&amp;SG_Criteria!$B$49&amp;" m). ",""))&amp;IF(AND(P112&lt;&gt;"",P112&lt;SG_Criteria!$B$50),"FAIL: wind speed below "&amp;SG_Criteria!$B$50&amp;" m/s. ","")&amp;IF(AND(Q112&lt;&gt;"",Q112&lt;SG_Criteria!$B$51),"FAIL: roof fixing pull-out below "&amp;SG_Criteria!$B$51&amp;" kN. ","")&amp;IF(AND(R112&lt;&gt;"",IFERROR(VALUE(MID(R112,2,2)),0)&lt;SG_Criteria!$B$52),"FAIL: grade below C"&amp;SG_Criteria!$B$52&amp;". ","")&amp;IF(D112="Non-standard (project design)","NOTE: not an SDRE standard, needs LTA acceptance. ","")))</f>
        <v/>
      </c>
      <c r="AP112" s="9"/>
      <c r="AQ112" s="9"/>
      <c r="AR112" s="9"/>
      <c r="AS112" s="9"/>
      <c r="AT112" s="9"/>
      <c r="AU112" s="31"/>
      <c r="AV112" s="10" t="str">
        <f aca="false">IF(C112="","",IF(AND(X112="Approved",ISERROR(SEARCH("FAIL",AO112))),"Y","N"))</f>
        <v/>
      </c>
      <c r="AW112" s="10" t="str">
        <f aca="false">IF(C112="","",C112&amp;"|"&amp;E112&amp;"|"&amp;F112&amp;"|"&amp;AV112)</f>
        <v/>
      </c>
    </row>
    <row r="113" customFormat="false" ht="15" hidden="false" customHeight="false" outlineLevel="0" collapsed="false">
      <c r="A113" s="10" t="str">
        <f aca="false">IF(C113="","","LKW-"&amp;IFERROR(VLOOKUP(C113,Lists!$AQ$4:$AR$17,2,0),"??")&amp;"-W"&amp;TEXT(E113*1000,"0000")&amp;"-H"&amp;TEXT(F113*1000,"0000")&amp;"-B"&amp;TEXT(G113*1000,"0000")&amp;"-"&amp;W113)</f>
        <v/>
      </c>
      <c r="B113" s="10" t="str">
        <f aca="false">IF(C113="","",C113&amp;", "&amp;E113&amp;" m wide, "&amp;F113&amp;" m headroom, "&amp;G113&amp;" m bays, "&amp;H113&amp;" ("&amp;D113&amp;")")</f>
        <v/>
      </c>
      <c r="C113" s="9"/>
      <c r="D113" s="9"/>
      <c r="E113" s="43"/>
      <c r="F113" s="43"/>
      <c r="G113" s="43"/>
      <c r="H113" s="9"/>
      <c r="I113" s="9"/>
      <c r="J113" s="9"/>
      <c r="K113" s="9"/>
      <c r="L113" s="9"/>
      <c r="M113" s="9"/>
      <c r="N113" s="9"/>
      <c r="O113" s="9"/>
      <c r="P113" s="40"/>
      <c r="Q113" s="43"/>
      <c r="R113" s="9"/>
      <c r="S113" s="9"/>
      <c r="T113" s="9"/>
      <c r="U113" s="43"/>
      <c r="V113" s="9"/>
      <c r="W113" s="9"/>
      <c r="X113" s="9"/>
      <c r="Y113" s="9"/>
      <c r="Z113" s="9"/>
      <c r="AA113" s="9"/>
      <c r="AB113" s="10" t="str">
        <f aca="false">IF(A113="","",SG_Criteria!$B$6&amp;SG_Criteria!$B$12&amp;"\"&amp;A113&amp;"\")</f>
        <v/>
      </c>
      <c r="AC113" s="10" t="str">
        <f aca="false">IF(A113="","",A113&amp;"_CAD.dwg")</f>
        <v/>
      </c>
      <c r="AD113" s="10" t="str">
        <f aca="false">IF(A113="","",A113&amp;"_DWG.pdf")</f>
        <v/>
      </c>
      <c r="AE113" s="10" t="str">
        <f aca="false">IF(A113="","",IF(AA113="Y",A113&amp;"_STAAD.std","n/a"))</f>
        <v/>
      </c>
      <c r="AF113" s="10" t="str">
        <f aca="false">IF(A113="","",A113&amp;"_CALC.xlsx")</f>
        <v/>
      </c>
      <c r="AG113" s="10" t="str">
        <f aca="false">IF(A113="","",A113&amp;"_CALC.pdf")</f>
        <v/>
      </c>
      <c r="AH113" s="9"/>
      <c r="AI113" s="9"/>
      <c r="AJ113" s="41"/>
      <c r="AK113" s="41"/>
      <c r="AL113" s="41"/>
      <c r="AM113" s="41"/>
      <c r="AN113" s="41"/>
      <c r="AO113" s="38" t="str">
        <f aca="false">IF(C113="","",IF(LEN(IF(AND(C113&lt;&gt;"High Covered Linkway",F113&lt;SG_Criteria!$B$46),"FAIL: headroom below "&amp;SG_Criteria!$B$46&amp;" m. ","")&amp;IF(AND(C113="High Covered Linkway",F113&lt;SG_Criteria!$B$47),"FAIL: high linkway headroom below "&amp;SG_Criteria!$B$47&amp;" m. ","")&amp;IF(E113&lt;SG_Criteria!$B$48,"FAIL: roof width below "&amp;SG_Criteria!$B$48&amp;" m. ",IF(E113&lt;SG_Criteria!$B$49,"NOTE: not for MRT/LRT or high-traffic routes (min "&amp;SG_Criteria!$B$49&amp;" m). ",""))&amp;IF(AND(P113&lt;&gt;"",P113&lt;SG_Criteria!$B$50),"FAIL: wind speed below "&amp;SG_Criteria!$B$50&amp;" m/s. ","")&amp;IF(AND(Q113&lt;&gt;"",Q113&lt;SG_Criteria!$B$51),"FAIL: roof fixing pull-out below "&amp;SG_Criteria!$B$51&amp;" kN. ","")&amp;IF(AND(R113&lt;&gt;"",IFERROR(VALUE(MID(R113,2,2)),0)&lt;SG_Criteria!$B$52),"FAIL: grade below C"&amp;SG_Criteria!$B$52&amp;". ","")&amp;IF(D113="Non-standard (project design)","NOTE: not an SDRE standard, needs LTA acceptance. ",""))=0,"OK",IF(AND(C113&lt;&gt;"High Covered Linkway",F113&lt;SG_Criteria!$B$46),"FAIL: headroom below "&amp;SG_Criteria!$B$46&amp;" m. ","")&amp;IF(AND(C113="High Covered Linkway",F113&lt;SG_Criteria!$B$47),"FAIL: high linkway headroom below "&amp;SG_Criteria!$B$47&amp;" m. ","")&amp;IF(E113&lt;SG_Criteria!$B$48,"FAIL: roof width below "&amp;SG_Criteria!$B$48&amp;" m. ",IF(E113&lt;SG_Criteria!$B$49,"NOTE: not for MRT/LRT or high-traffic routes (min "&amp;SG_Criteria!$B$49&amp;" m). ",""))&amp;IF(AND(P113&lt;&gt;"",P113&lt;SG_Criteria!$B$50),"FAIL: wind speed below "&amp;SG_Criteria!$B$50&amp;" m/s. ","")&amp;IF(AND(Q113&lt;&gt;"",Q113&lt;SG_Criteria!$B$51),"FAIL: roof fixing pull-out below "&amp;SG_Criteria!$B$51&amp;" kN. ","")&amp;IF(AND(R113&lt;&gt;"",IFERROR(VALUE(MID(R113,2,2)),0)&lt;SG_Criteria!$B$52),"FAIL: grade below C"&amp;SG_Criteria!$B$52&amp;". ","")&amp;IF(D113="Non-standard (project design)","NOTE: not an SDRE standard, needs LTA acceptance. ","")))</f>
        <v/>
      </c>
      <c r="AP113" s="9"/>
      <c r="AQ113" s="9"/>
      <c r="AR113" s="9"/>
      <c r="AS113" s="9"/>
      <c r="AT113" s="9"/>
      <c r="AU113" s="31"/>
      <c r="AV113" s="10" t="str">
        <f aca="false">IF(C113="","",IF(AND(X113="Approved",ISERROR(SEARCH("FAIL",AO113))),"Y","N"))</f>
        <v/>
      </c>
      <c r="AW113" s="10" t="str">
        <f aca="false">IF(C113="","",C113&amp;"|"&amp;E113&amp;"|"&amp;F113&amp;"|"&amp;AV113)</f>
        <v/>
      </c>
    </row>
    <row r="114" customFormat="false" ht="15" hidden="false" customHeight="false" outlineLevel="0" collapsed="false">
      <c r="A114" s="10" t="str">
        <f aca="false">IF(C114="","","LKW-"&amp;IFERROR(VLOOKUP(C114,Lists!$AQ$4:$AR$17,2,0),"??")&amp;"-W"&amp;TEXT(E114*1000,"0000")&amp;"-H"&amp;TEXT(F114*1000,"0000")&amp;"-B"&amp;TEXT(G114*1000,"0000")&amp;"-"&amp;W114)</f>
        <v/>
      </c>
      <c r="B114" s="10" t="str">
        <f aca="false">IF(C114="","",C114&amp;", "&amp;E114&amp;" m wide, "&amp;F114&amp;" m headroom, "&amp;G114&amp;" m bays, "&amp;H114&amp;" ("&amp;D114&amp;")")</f>
        <v/>
      </c>
      <c r="C114" s="9"/>
      <c r="D114" s="9"/>
      <c r="E114" s="43"/>
      <c r="F114" s="43"/>
      <c r="G114" s="43"/>
      <c r="H114" s="9"/>
      <c r="I114" s="9"/>
      <c r="J114" s="9"/>
      <c r="K114" s="9"/>
      <c r="L114" s="9"/>
      <c r="M114" s="9"/>
      <c r="N114" s="9"/>
      <c r="O114" s="9"/>
      <c r="P114" s="40"/>
      <c r="Q114" s="43"/>
      <c r="R114" s="9"/>
      <c r="S114" s="9"/>
      <c r="T114" s="9"/>
      <c r="U114" s="43"/>
      <c r="V114" s="9"/>
      <c r="W114" s="9"/>
      <c r="X114" s="9"/>
      <c r="Y114" s="9"/>
      <c r="Z114" s="9"/>
      <c r="AA114" s="9"/>
      <c r="AB114" s="10" t="str">
        <f aca="false">IF(A114="","",SG_Criteria!$B$6&amp;SG_Criteria!$B$12&amp;"\"&amp;A114&amp;"\")</f>
        <v/>
      </c>
      <c r="AC114" s="10" t="str">
        <f aca="false">IF(A114="","",A114&amp;"_CAD.dwg")</f>
        <v/>
      </c>
      <c r="AD114" s="10" t="str">
        <f aca="false">IF(A114="","",A114&amp;"_DWG.pdf")</f>
        <v/>
      </c>
      <c r="AE114" s="10" t="str">
        <f aca="false">IF(A114="","",IF(AA114="Y",A114&amp;"_STAAD.std","n/a"))</f>
        <v/>
      </c>
      <c r="AF114" s="10" t="str">
        <f aca="false">IF(A114="","",A114&amp;"_CALC.xlsx")</f>
        <v/>
      </c>
      <c r="AG114" s="10" t="str">
        <f aca="false">IF(A114="","",A114&amp;"_CALC.pdf")</f>
        <v/>
      </c>
      <c r="AH114" s="9"/>
      <c r="AI114" s="9"/>
      <c r="AJ114" s="41"/>
      <c r="AK114" s="41"/>
      <c r="AL114" s="41"/>
      <c r="AM114" s="41"/>
      <c r="AN114" s="41"/>
      <c r="AO114" s="38" t="str">
        <f aca="false">IF(C114="","",IF(LEN(IF(AND(C114&lt;&gt;"High Covered Linkway",F114&lt;SG_Criteria!$B$46),"FAIL: headroom below "&amp;SG_Criteria!$B$46&amp;" m. ","")&amp;IF(AND(C114="High Covered Linkway",F114&lt;SG_Criteria!$B$47),"FAIL: high linkway headroom below "&amp;SG_Criteria!$B$47&amp;" m. ","")&amp;IF(E114&lt;SG_Criteria!$B$48,"FAIL: roof width below "&amp;SG_Criteria!$B$48&amp;" m. ",IF(E114&lt;SG_Criteria!$B$49,"NOTE: not for MRT/LRT or high-traffic routes (min "&amp;SG_Criteria!$B$49&amp;" m). ",""))&amp;IF(AND(P114&lt;&gt;"",P114&lt;SG_Criteria!$B$50),"FAIL: wind speed below "&amp;SG_Criteria!$B$50&amp;" m/s. ","")&amp;IF(AND(Q114&lt;&gt;"",Q114&lt;SG_Criteria!$B$51),"FAIL: roof fixing pull-out below "&amp;SG_Criteria!$B$51&amp;" kN. ","")&amp;IF(AND(R114&lt;&gt;"",IFERROR(VALUE(MID(R114,2,2)),0)&lt;SG_Criteria!$B$52),"FAIL: grade below C"&amp;SG_Criteria!$B$52&amp;". ","")&amp;IF(D114="Non-standard (project design)","NOTE: not an SDRE standard, needs LTA acceptance. ",""))=0,"OK",IF(AND(C114&lt;&gt;"High Covered Linkway",F114&lt;SG_Criteria!$B$46),"FAIL: headroom below "&amp;SG_Criteria!$B$46&amp;" m. ","")&amp;IF(AND(C114="High Covered Linkway",F114&lt;SG_Criteria!$B$47),"FAIL: high linkway headroom below "&amp;SG_Criteria!$B$47&amp;" m. ","")&amp;IF(E114&lt;SG_Criteria!$B$48,"FAIL: roof width below "&amp;SG_Criteria!$B$48&amp;" m. ",IF(E114&lt;SG_Criteria!$B$49,"NOTE: not for MRT/LRT or high-traffic routes (min "&amp;SG_Criteria!$B$49&amp;" m). ",""))&amp;IF(AND(P114&lt;&gt;"",P114&lt;SG_Criteria!$B$50),"FAIL: wind speed below "&amp;SG_Criteria!$B$50&amp;" m/s. ","")&amp;IF(AND(Q114&lt;&gt;"",Q114&lt;SG_Criteria!$B$51),"FAIL: roof fixing pull-out below "&amp;SG_Criteria!$B$51&amp;" kN. ","")&amp;IF(AND(R114&lt;&gt;"",IFERROR(VALUE(MID(R114,2,2)),0)&lt;SG_Criteria!$B$52),"FAIL: grade below C"&amp;SG_Criteria!$B$52&amp;". ","")&amp;IF(D114="Non-standard (project design)","NOTE: not an SDRE standard, needs LTA acceptance. ","")))</f>
        <v/>
      </c>
      <c r="AP114" s="9"/>
      <c r="AQ114" s="9"/>
      <c r="AR114" s="9"/>
      <c r="AS114" s="9"/>
      <c r="AT114" s="9"/>
      <c r="AU114" s="31"/>
      <c r="AV114" s="10" t="str">
        <f aca="false">IF(C114="","",IF(AND(X114="Approved",ISERROR(SEARCH("FAIL",AO114))),"Y","N"))</f>
        <v/>
      </c>
      <c r="AW114" s="10" t="str">
        <f aca="false">IF(C114="","",C114&amp;"|"&amp;E114&amp;"|"&amp;F114&amp;"|"&amp;AV114)</f>
        <v/>
      </c>
    </row>
    <row r="115" customFormat="false" ht="15" hidden="false" customHeight="false" outlineLevel="0" collapsed="false">
      <c r="A115" s="10" t="str">
        <f aca="false">IF(C115="","","LKW-"&amp;IFERROR(VLOOKUP(C115,Lists!$AQ$4:$AR$17,2,0),"??")&amp;"-W"&amp;TEXT(E115*1000,"0000")&amp;"-H"&amp;TEXT(F115*1000,"0000")&amp;"-B"&amp;TEXT(G115*1000,"0000")&amp;"-"&amp;W115)</f>
        <v/>
      </c>
      <c r="B115" s="10" t="str">
        <f aca="false">IF(C115="","",C115&amp;", "&amp;E115&amp;" m wide, "&amp;F115&amp;" m headroom, "&amp;G115&amp;" m bays, "&amp;H115&amp;" ("&amp;D115&amp;")")</f>
        <v/>
      </c>
      <c r="C115" s="9"/>
      <c r="D115" s="9"/>
      <c r="E115" s="43"/>
      <c r="F115" s="43"/>
      <c r="G115" s="43"/>
      <c r="H115" s="9"/>
      <c r="I115" s="9"/>
      <c r="J115" s="9"/>
      <c r="K115" s="9"/>
      <c r="L115" s="9"/>
      <c r="M115" s="9"/>
      <c r="N115" s="9"/>
      <c r="O115" s="9"/>
      <c r="P115" s="40"/>
      <c r="Q115" s="43"/>
      <c r="R115" s="9"/>
      <c r="S115" s="9"/>
      <c r="T115" s="9"/>
      <c r="U115" s="43"/>
      <c r="V115" s="9"/>
      <c r="W115" s="9"/>
      <c r="X115" s="9"/>
      <c r="Y115" s="9"/>
      <c r="Z115" s="9"/>
      <c r="AA115" s="9"/>
      <c r="AB115" s="10" t="str">
        <f aca="false">IF(A115="","",SG_Criteria!$B$6&amp;SG_Criteria!$B$12&amp;"\"&amp;A115&amp;"\")</f>
        <v/>
      </c>
      <c r="AC115" s="10" t="str">
        <f aca="false">IF(A115="","",A115&amp;"_CAD.dwg")</f>
        <v/>
      </c>
      <c r="AD115" s="10" t="str">
        <f aca="false">IF(A115="","",A115&amp;"_DWG.pdf")</f>
        <v/>
      </c>
      <c r="AE115" s="10" t="str">
        <f aca="false">IF(A115="","",IF(AA115="Y",A115&amp;"_STAAD.std","n/a"))</f>
        <v/>
      </c>
      <c r="AF115" s="10" t="str">
        <f aca="false">IF(A115="","",A115&amp;"_CALC.xlsx")</f>
        <v/>
      </c>
      <c r="AG115" s="10" t="str">
        <f aca="false">IF(A115="","",A115&amp;"_CALC.pdf")</f>
        <v/>
      </c>
      <c r="AH115" s="9"/>
      <c r="AI115" s="9"/>
      <c r="AJ115" s="41"/>
      <c r="AK115" s="41"/>
      <c r="AL115" s="41"/>
      <c r="AM115" s="41"/>
      <c r="AN115" s="41"/>
      <c r="AO115" s="38" t="str">
        <f aca="false">IF(C115="","",IF(LEN(IF(AND(C115&lt;&gt;"High Covered Linkway",F115&lt;SG_Criteria!$B$46),"FAIL: headroom below "&amp;SG_Criteria!$B$46&amp;" m. ","")&amp;IF(AND(C115="High Covered Linkway",F115&lt;SG_Criteria!$B$47),"FAIL: high linkway headroom below "&amp;SG_Criteria!$B$47&amp;" m. ","")&amp;IF(E115&lt;SG_Criteria!$B$48,"FAIL: roof width below "&amp;SG_Criteria!$B$48&amp;" m. ",IF(E115&lt;SG_Criteria!$B$49,"NOTE: not for MRT/LRT or high-traffic routes (min "&amp;SG_Criteria!$B$49&amp;" m). ",""))&amp;IF(AND(P115&lt;&gt;"",P115&lt;SG_Criteria!$B$50),"FAIL: wind speed below "&amp;SG_Criteria!$B$50&amp;" m/s. ","")&amp;IF(AND(Q115&lt;&gt;"",Q115&lt;SG_Criteria!$B$51),"FAIL: roof fixing pull-out below "&amp;SG_Criteria!$B$51&amp;" kN. ","")&amp;IF(AND(R115&lt;&gt;"",IFERROR(VALUE(MID(R115,2,2)),0)&lt;SG_Criteria!$B$52),"FAIL: grade below C"&amp;SG_Criteria!$B$52&amp;". ","")&amp;IF(D115="Non-standard (project design)","NOTE: not an SDRE standard, needs LTA acceptance. ",""))=0,"OK",IF(AND(C115&lt;&gt;"High Covered Linkway",F115&lt;SG_Criteria!$B$46),"FAIL: headroom below "&amp;SG_Criteria!$B$46&amp;" m. ","")&amp;IF(AND(C115="High Covered Linkway",F115&lt;SG_Criteria!$B$47),"FAIL: high linkway headroom below "&amp;SG_Criteria!$B$47&amp;" m. ","")&amp;IF(E115&lt;SG_Criteria!$B$48,"FAIL: roof width below "&amp;SG_Criteria!$B$48&amp;" m. ",IF(E115&lt;SG_Criteria!$B$49,"NOTE: not for MRT/LRT or high-traffic routes (min "&amp;SG_Criteria!$B$49&amp;" m). ",""))&amp;IF(AND(P115&lt;&gt;"",P115&lt;SG_Criteria!$B$50),"FAIL: wind speed below "&amp;SG_Criteria!$B$50&amp;" m/s. ","")&amp;IF(AND(Q115&lt;&gt;"",Q115&lt;SG_Criteria!$B$51),"FAIL: roof fixing pull-out below "&amp;SG_Criteria!$B$51&amp;" kN. ","")&amp;IF(AND(R115&lt;&gt;"",IFERROR(VALUE(MID(R115,2,2)),0)&lt;SG_Criteria!$B$52),"FAIL: grade below C"&amp;SG_Criteria!$B$52&amp;". ","")&amp;IF(D115="Non-standard (project design)","NOTE: not an SDRE standard, needs LTA acceptance. ","")))</f>
        <v/>
      </c>
      <c r="AP115" s="9"/>
      <c r="AQ115" s="9"/>
      <c r="AR115" s="9"/>
      <c r="AS115" s="9"/>
      <c r="AT115" s="9"/>
      <c r="AU115" s="31"/>
      <c r="AV115" s="10" t="str">
        <f aca="false">IF(C115="","",IF(AND(X115="Approved",ISERROR(SEARCH("FAIL",AO115))),"Y","N"))</f>
        <v/>
      </c>
      <c r="AW115" s="10" t="str">
        <f aca="false">IF(C115="","",C115&amp;"|"&amp;E115&amp;"|"&amp;F115&amp;"|"&amp;AV115)</f>
        <v/>
      </c>
    </row>
    <row r="116" customFormat="false" ht="15" hidden="false" customHeight="false" outlineLevel="0" collapsed="false">
      <c r="A116" s="10" t="str">
        <f aca="false">IF(C116="","","LKW-"&amp;IFERROR(VLOOKUP(C116,Lists!$AQ$4:$AR$17,2,0),"??")&amp;"-W"&amp;TEXT(E116*1000,"0000")&amp;"-H"&amp;TEXT(F116*1000,"0000")&amp;"-B"&amp;TEXT(G116*1000,"0000")&amp;"-"&amp;W116)</f>
        <v/>
      </c>
      <c r="B116" s="10" t="str">
        <f aca="false">IF(C116="","",C116&amp;", "&amp;E116&amp;" m wide, "&amp;F116&amp;" m headroom, "&amp;G116&amp;" m bays, "&amp;H116&amp;" ("&amp;D116&amp;")")</f>
        <v/>
      </c>
      <c r="C116" s="9"/>
      <c r="D116" s="9"/>
      <c r="E116" s="43"/>
      <c r="F116" s="43"/>
      <c r="G116" s="43"/>
      <c r="H116" s="9"/>
      <c r="I116" s="9"/>
      <c r="J116" s="9"/>
      <c r="K116" s="9"/>
      <c r="L116" s="9"/>
      <c r="M116" s="9"/>
      <c r="N116" s="9"/>
      <c r="O116" s="9"/>
      <c r="P116" s="40"/>
      <c r="Q116" s="43"/>
      <c r="R116" s="9"/>
      <c r="S116" s="9"/>
      <c r="T116" s="9"/>
      <c r="U116" s="43"/>
      <c r="V116" s="9"/>
      <c r="W116" s="9"/>
      <c r="X116" s="9"/>
      <c r="Y116" s="9"/>
      <c r="Z116" s="9"/>
      <c r="AA116" s="9"/>
      <c r="AB116" s="10" t="str">
        <f aca="false">IF(A116="","",SG_Criteria!$B$6&amp;SG_Criteria!$B$12&amp;"\"&amp;A116&amp;"\")</f>
        <v/>
      </c>
      <c r="AC116" s="10" t="str">
        <f aca="false">IF(A116="","",A116&amp;"_CAD.dwg")</f>
        <v/>
      </c>
      <c r="AD116" s="10" t="str">
        <f aca="false">IF(A116="","",A116&amp;"_DWG.pdf")</f>
        <v/>
      </c>
      <c r="AE116" s="10" t="str">
        <f aca="false">IF(A116="","",IF(AA116="Y",A116&amp;"_STAAD.std","n/a"))</f>
        <v/>
      </c>
      <c r="AF116" s="10" t="str">
        <f aca="false">IF(A116="","",A116&amp;"_CALC.xlsx")</f>
        <v/>
      </c>
      <c r="AG116" s="10" t="str">
        <f aca="false">IF(A116="","",A116&amp;"_CALC.pdf")</f>
        <v/>
      </c>
      <c r="AH116" s="9"/>
      <c r="AI116" s="9"/>
      <c r="AJ116" s="41"/>
      <c r="AK116" s="41"/>
      <c r="AL116" s="41"/>
      <c r="AM116" s="41"/>
      <c r="AN116" s="41"/>
      <c r="AO116" s="38" t="str">
        <f aca="false">IF(C116="","",IF(LEN(IF(AND(C116&lt;&gt;"High Covered Linkway",F116&lt;SG_Criteria!$B$46),"FAIL: headroom below "&amp;SG_Criteria!$B$46&amp;" m. ","")&amp;IF(AND(C116="High Covered Linkway",F116&lt;SG_Criteria!$B$47),"FAIL: high linkway headroom below "&amp;SG_Criteria!$B$47&amp;" m. ","")&amp;IF(E116&lt;SG_Criteria!$B$48,"FAIL: roof width below "&amp;SG_Criteria!$B$48&amp;" m. ",IF(E116&lt;SG_Criteria!$B$49,"NOTE: not for MRT/LRT or high-traffic routes (min "&amp;SG_Criteria!$B$49&amp;" m). ",""))&amp;IF(AND(P116&lt;&gt;"",P116&lt;SG_Criteria!$B$50),"FAIL: wind speed below "&amp;SG_Criteria!$B$50&amp;" m/s. ","")&amp;IF(AND(Q116&lt;&gt;"",Q116&lt;SG_Criteria!$B$51),"FAIL: roof fixing pull-out below "&amp;SG_Criteria!$B$51&amp;" kN. ","")&amp;IF(AND(R116&lt;&gt;"",IFERROR(VALUE(MID(R116,2,2)),0)&lt;SG_Criteria!$B$52),"FAIL: grade below C"&amp;SG_Criteria!$B$52&amp;". ","")&amp;IF(D116="Non-standard (project design)","NOTE: not an SDRE standard, needs LTA acceptance. ",""))=0,"OK",IF(AND(C116&lt;&gt;"High Covered Linkway",F116&lt;SG_Criteria!$B$46),"FAIL: headroom below "&amp;SG_Criteria!$B$46&amp;" m. ","")&amp;IF(AND(C116="High Covered Linkway",F116&lt;SG_Criteria!$B$47),"FAIL: high linkway headroom below "&amp;SG_Criteria!$B$47&amp;" m. ","")&amp;IF(E116&lt;SG_Criteria!$B$48,"FAIL: roof width below "&amp;SG_Criteria!$B$48&amp;" m. ",IF(E116&lt;SG_Criteria!$B$49,"NOTE: not for MRT/LRT or high-traffic routes (min "&amp;SG_Criteria!$B$49&amp;" m). ",""))&amp;IF(AND(P116&lt;&gt;"",P116&lt;SG_Criteria!$B$50),"FAIL: wind speed below "&amp;SG_Criteria!$B$50&amp;" m/s. ","")&amp;IF(AND(Q116&lt;&gt;"",Q116&lt;SG_Criteria!$B$51),"FAIL: roof fixing pull-out below "&amp;SG_Criteria!$B$51&amp;" kN. ","")&amp;IF(AND(R116&lt;&gt;"",IFERROR(VALUE(MID(R116,2,2)),0)&lt;SG_Criteria!$B$52),"FAIL: grade below C"&amp;SG_Criteria!$B$52&amp;". ","")&amp;IF(D116="Non-standard (project design)","NOTE: not an SDRE standard, needs LTA acceptance. ","")))</f>
        <v/>
      </c>
      <c r="AP116" s="9"/>
      <c r="AQ116" s="9"/>
      <c r="AR116" s="9"/>
      <c r="AS116" s="9"/>
      <c r="AT116" s="9"/>
      <c r="AU116" s="31"/>
      <c r="AV116" s="10" t="str">
        <f aca="false">IF(C116="","",IF(AND(X116="Approved",ISERROR(SEARCH("FAIL",AO116))),"Y","N"))</f>
        <v/>
      </c>
      <c r="AW116" s="10" t="str">
        <f aca="false">IF(C116="","",C116&amp;"|"&amp;E116&amp;"|"&amp;F116&amp;"|"&amp;AV116)</f>
        <v/>
      </c>
    </row>
    <row r="117" customFormat="false" ht="15" hidden="false" customHeight="false" outlineLevel="0" collapsed="false">
      <c r="A117" s="10" t="str">
        <f aca="false">IF(C117="","","LKW-"&amp;IFERROR(VLOOKUP(C117,Lists!$AQ$4:$AR$17,2,0),"??")&amp;"-W"&amp;TEXT(E117*1000,"0000")&amp;"-H"&amp;TEXT(F117*1000,"0000")&amp;"-B"&amp;TEXT(G117*1000,"0000")&amp;"-"&amp;W117)</f>
        <v/>
      </c>
      <c r="B117" s="10" t="str">
        <f aca="false">IF(C117="","",C117&amp;", "&amp;E117&amp;" m wide, "&amp;F117&amp;" m headroom, "&amp;G117&amp;" m bays, "&amp;H117&amp;" ("&amp;D117&amp;")")</f>
        <v/>
      </c>
      <c r="C117" s="9"/>
      <c r="D117" s="9"/>
      <c r="E117" s="43"/>
      <c r="F117" s="43"/>
      <c r="G117" s="43"/>
      <c r="H117" s="9"/>
      <c r="I117" s="9"/>
      <c r="J117" s="9"/>
      <c r="K117" s="9"/>
      <c r="L117" s="9"/>
      <c r="M117" s="9"/>
      <c r="N117" s="9"/>
      <c r="O117" s="9"/>
      <c r="P117" s="40"/>
      <c r="Q117" s="43"/>
      <c r="R117" s="9"/>
      <c r="S117" s="9"/>
      <c r="T117" s="9"/>
      <c r="U117" s="43"/>
      <c r="V117" s="9"/>
      <c r="W117" s="9"/>
      <c r="X117" s="9"/>
      <c r="Y117" s="9"/>
      <c r="Z117" s="9"/>
      <c r="AA117" s="9"/>
      <c r="AB117" s="10" t="str">
        <f aca="false">IF(A117="","",SG_Criteria!$B$6&amp;SG_Criteria!$B$12&amp;"\"&amp;A117&amp;"\")</f>
        <v/>
      </c>
      <c r="AC117" s="10" t="str">
        <f aca="false">IF(A117="","",A117&amp;"_CAD.dwg")</f>
        <v/>
      </c>
      <c r="AD117" s="10" t="str">
        <f aca="false">IF(A117="","",A117&amp;"_DWG.pdf")</f>
        <v/>
      </c>
      <c r="AE117" s="10" t="str">
        <f aca="false">IF(A117="","",IF(AA117="Y",A117&amp;"_STAAD.std","n/a"))</f>
        <v/>
      </c>
      <c r="AF117" s="10" t="str">
        <f aca="false">IF(A117="","",A117&amp;"_CALC.xlsx")</f>
        <v/>
      </c>
      <c r="AG117" s="10" t="str">
        <f aca="false">IF(A117="","",A117&amp;"_CALC.pdf")</f>
        <v/>
      </c>
      <c r="AH117" s="9"/>
      <c r="AI117" s="9"/>
      <c r="AJ117" s="41"/>
      <c r="AK117" s="41"/>
      <c r="AL117" s="41"/>
      <c r="AM117" s="41"/>
      <c r="AN117" s="41"/>
      <c r="AO117" s="38" t="str">
        <f aca="false">IF(C117="","",IF(LEN(IF(AND(C117&lt;&gt;"High Covered Linkway",F117&lt;SG_Criteria!$B$46),"FAIL: headroom below "&amp;SG_Criteria!$B$46&amp;" m. ","")&amp;IF(AND(C117="High Covered Linkway",F117&lt;SG_Criteria!$B$47),"FAIL: high linkway headroom below "&amp;SG_Criteria!$B$47&amp;" m. ","")&amp;IF(E117&lt;SG_Criteria!$B$48,"FAIL: roof width below "&amp;SG_Criteria!$B$48&amp;" m. ",IF(E117&lt;SG_Criteria!$B$49,"NOTE: not for MRT/LRT or high-traffic routes (min "&amp;SG_Criteria!$B$49&amp;" m). ",""))&amp;IF(AND(P117&lt;&gt;"",P117&lt;SG_Criteria!$B$50),"FAIL: wind speed below "&amp;SG_Criteria!$B$50&amp;" m/s. ","")&amp;IF(AND(Q117&lt;&gt;"",Q117&lt;SG_Criteria!$B$51),"FAIL: roof fixing pull-out below "&amp;SG_Criteria!$B$51&amp;" kN. ","")&amp;IF(AND(R117&lt;&gt;"",IFERROR(VALUE(MID(R117,2,2)),0)&lt;SG_Criteria!$B$52),"FAIL: grade below C"&amp;SG_Criteria!$B$52&amp;". ","")&amp;IF(D117="Non-standard (project design)","NOTE: not an SDRE standard, needs LTA acceptance. ",""))=0,"OK",IF(AND(C117&lt;&gt;"High Covered Linkway",F117&lt;SG_Criteria!$B$46),"FAIL: headroom below "&amp;SG_Criteria!$B$46&amp;" m. ","")&amp;IF(AND(C117="High Covered Linkway",F117&lt;SG_Criteria!$B$47),"FAIL: high linkway headroom below "&amp;SG_Criteria!$B$47&amp;" m. ","")&amp;IF(E117&lt;SG_Criteria!$B$48,"FAIL: roof width below "&amp;SG_Criteria!$B$48&amp;" m. ",IF(E117&lt;SG_Criteria!$B$49,"NOTE: not for MRT/LRT or high-traffic routes (min "&amp;SG_Criteria!$B$49&amp;" m). ",""))&amp;IF(AND(P117&lt;&gt;"",P117&lt;SG_Criteria!$B$50),"FAIL: wind speed below "&amp;SG_Criteria!$B$50&amp;" m/s. ","")&amp;IF(AND(Q117&lt;&gt;"",Q117&lt;SG_Criteria!$B$51),"FAIL: roof fixing pull-out below "&amp;SG_Criteria!$B$51&amp;" kN. ","")&amp;IF(AND(R117&lt;&gt;"",IFERROR(VALUE(MID(R117,2,2)),0)&lt;SG_Criteria!$B$52),"FAIL: grade below C"&amp;SG_Criteria!$B$52&amp;". ","")&amp;IF(D117="Non-standard (project design)","NOTE: not an SDRE standard, needs LTA acceptance. ","")))</f>
        <v/>
      </c>
      <c r="AP117" s="9"/>
      <c r="AQ117" s="9"/>
      <c r="AR117" s="9"/>
      <c r="AS117" s="9"/>
      <c r="AT117" s="9"/>
      <c r="AU117" s="31"/>
      <c r="AV117" s="10" t="str">
        <f aca="false">IF(C117="","",IF(AND(X117="Approved",ISERROR(SEARCH("FAIL",AO117))),"Y","N"))</f>
        <v/>
      </c>
      <c r="AW117" s="10" t="str">
        <f aca="false">IF(C117="","",C117&amp;"|"&amp;E117&amp;"|"&amp;F117&amp;"|"&amp;AV117)</f>
        <v/>
      </c>
    </row>
    <row r="118" customFormat="false" ht="15" hidden="false" customHeight="false" outlineLevel="0" collapsed="false">
      <c r="A118" s="10" t="str">
        <f aca="false">IF(C118="","","LKW-"&amp;IFERROR(VLOOKUP(C118,Lists!$AQ$4:$AR$17,2,0),"??")&amp;"-W"&amp;TEXT(E118*1000,"0000")&amp;"-H"&amp;TEXT(F118*1000,"0000")&amp;"-B"&amp;TEXT(G118*1000,"0000")&amp;"-"&amp;W118)</f>
        <v/>
      </c>
      <c r="B118" s="10" t="str">
        <f aca="false">IF(C118="","",C118&amp;", "&amp;E118&amp;" m wide, "&amp;F118&amp;" m headroom, "&amp;G118&amp;" m bays, "&amp;H118&amp;" ("&amp;D118&amp;")")</f>
        <v/>
      </c>
      <c r="C118" s="9"/>
      <c r="D118" s="9"/>
      <c r="E118" s="43"/>
      <c r="F118" s="43"/>
      <c r="G118" s="43"/>
      <c r="H118" s="9"/>
      <c r="I118" s="9"/>
      <c r="J118" s="9"/>
      <c r="K118" s="9"/>
      <c r="L118" s="9"/>
      <c r="M118" s="9"/>
      <c r="N118" s="9"/>
      <c r="O118" s="9"/>
      <c r="P118" s="40"/>
      <c r="Q118" s="43"/>
      <c r="R118" s="9"/>
      <c r="S118" s="9"/>
      <c r="T118" s="9"/>
      <c r="U118" s="43"/>
      <c r="V118" s="9"/>
      <c r="W118" s="9"/>
      <c r="X118" s="9"/>
      <c r="Y118" s="9"/>
      <c r="Z118" s="9"/>
      <c r="AA118" s="9"/>
      <c r="AB118" s="10" t="str">
        <f aca="false">IF(A118="","",SG_Criteria!$B$6&amp;SG_Criteria!$B$12&amp;"\"&amp;A118&amp;"\")</f>
        <v/>
      </c>
      <c r="AC118" s="10" t="str">
        <f aca="false">IF(A118="","",A118&amp;"_CAD.dwg")</f>
        <v/>
      </c>
      <c r="AD118" s="10" t="str">
        <f aca="false">IF(A118="","",A118&amp;"_DWG.pdf")</f>
        <v/>
      </c>
      <c r="AE118" s="10" t="str">
        <f aca="false">IF(A118="","",IF(AA118="Y",A118&amp;"_STAAD.std","n/a"))</f>
        <v/>
      </c>
      <c r="AF118" s="10" t="str">
        <f aca="false">IF(A118="","",A118&amp;"_CALC.xlsx")</f>
        <v/>
      </c>
      <c r="AG118" s="10" t="str">
        <f aca="false">IF(A118="","",A118&amp;"_CALC.pdf")</f>
        <v/>
      </c>
      <c r="AH118" s="9"/>
      <c r="AI118" s="9"/>
      <c r="AJ118" s="41"/>
      <c r="AK118" s="41"/>
      <c r="AL118" s="41"/>
      <c r="AM118" s="41"/>
      <c r="AN118" s="41"/>
      <c r="AO118" s="38" t="str">
        <f aca="false">IF(C118="","",IF(LEN(IF(AND(C118&lt;&gt;"High Covered Linkway",F118&lt;SG_Criteria!$B$46),"FAIL: headroom below "&amp;SG_Criteria!$B$46&amp;" m. ","")&amp;IF(AND(C118="High Covered Linkway",F118&lt;SG_Criteria!$B$47),"FAIL: high linkway headroom below "&amp;SG_Criteria!$B$47&amp;" m. ","")&amp;IF(E118&lt;SG_Criteria!$B$48,"FAIL: roof width below "&amp;SG_Criteria!$B$48&amp;" m. ",IF(E118&lt;SG_Criteria!$B$49,"NOTE: not for MRT/LRT or high-traffic routes (min "&amp;SG_Criteria!$B$49&amp;" m). ",""))&amp;IF(AND(P118&lt;&gt;"",P118&lt;SG_Criteria!$B$50),"FAIL: wind speed below "&amp;SG_Criteria!$B$50&amp;" m/s. ","")&amp;IF(AND(Q118&lt;&gt;"",Q118&lt;SG_Criteria!$B$51),"FAIL: roof fixing pull-out below "&amp;SG_Criteria!$B$51&amp;" kN. ","")&amp;IF(AND(R118&lt;&gt;"",IFERROR(VALUE(MID(R118,2,2)),0)&lt;SG_Criteria!$B$52),"FAIL: grade below C"&amp;SG_Criteria!$B$52&amp;". ","")&amp;IF(D118="Non-standard (project design)","NOTE: not an SDRE standard, needs LTA acceptance. ",""))=0,"OK",IF(AND(C118&lt;&gt;"High Covered Linkway",F118&lt;SG_Criteria!$B$46),"FAIL: headroom below "&amp;SG_Criteria!$B$46&amp;" m. ","")&amp;IF(AND(C118="High Covered Linkway",F118&lt;SG_Criteria!$B$47),"FAIL: high linkway headroom below "&amp;SG_Criteria!$B$47&amp;" m. ","")&amp;IF(E118&lt;SG_Criteria!$B$48,"FAIL: roof width below "&amp;SG_Criteria!$B$48&amp;" m. ",IF(E118&lt;SG_Criteria!$B$49,"NOTE: not for MRT/LRT or high-traffic routes (min "&amp;SG_Criteria!$B$49&amp;" m). ",""))&amp;IF(AND(P118&lt;&gt;"",P118&lt;SG_Criteria!$B$50),"FAIL: wind speed below "&amp;SG_Criteria!$B$50&amp;" m/s. ","")&amp;IF(AND(Q118&lt;&gt;"",Q118&lt;SG_Criteria!$B$51),"FAIL: roof fixing pull-out below "&amp;SG_Criteria!$B$51&amp;" kN. ","")&amp;IF(AND(R118&lt;&gt;"",IFERROR(VALUE(MID(R118,2,2)),0)&lt;SG_Criteria!$B$52),"FAIL: grade below C"&amp;SG_Criteria!$B$52&amp;". ","")&amp;IF(D118="Non-standard (project design)","NOTE: not an SDRE standard, needs LTA acceptance. ","")))</f>
        <v/>
      </c>
      <c r="AP118" s="9"/>
      <c r="AQ118" s="9"/>
      <c r="AR118" s="9"/>
      <c r="AS118" s="9"/>
      <c r="AT118" s="9"/>
      <c r="AU118" s="31"/>
      <c r="AV118" s="10" t="str">
        <f aca="false">IF(C118="","",IF(AND(X118="Approved",ISERROR(SEARCH("FAIL",AO118))),"Y","N"))</f>
        <v/>
      </c>
      <c r="AW118" s="10" t="str">
        <f aca="false">IF(C118="","",C118&amp;"|"&amp;E118&amp;"|"&amp;F118&amp;"|"&amp;AV118)</f>
        <v/>
      </c>
    </row>
    <row r="119" customFormat="false" ht="15" hidden="false" customHeight="false" outlineLevel="0" collapsed="false">
      <c r="A119" s="10" t="str">
        <f aca="false">IF(C119="","","LKW-"&amp;IFERROR(VLOOKUP(C119,Lists!$AQ$4:$AR$17,2,0),"??")&amp;"-W"&amp;TEXT(E119*1000,"0000")&amp;"-H"&amp;TEXT(F119*1000,"0000")&amp;"-B"&amp;TEXT(G119*1000,"0000")&amp;"-"&amp;W119)</f>
        <v/>
      </c>
      <c r="B119" s="10" t="str">
        <f aca="false">IF(C119="","",C119&amp;", "&amp;E119&amp;" m wide, "&amp;F119&amp;" m headroom, "&amp;G119&amp;" m bays, "&amp;H119&amp;" ("&amp;D119&amp;")")</f>
        <v/>
      </c>
      <c r="C119" s="9"/>
      <c r="D119" s="9"/>
      <c r="E119" s="43"/>
      <c r="F119" s="43"/>
      <c r="G119" s="43"/>
      <c r="H119" s="9"/>
      <c r="I119" s="9"/>
      <c r="J119" s="9"/>
      <c r="K119" s="9"/>
      <c r="L119" s="9"/>
      <c r="M119" s="9"/>
      <c r="N119" s="9"/>
      <c r="O119" s="9"/>
      <c r="P119" s="40"/>
      <c r="Q119" s="43"/>
      <c r="R119" s="9"/>
      <c r="S119" s="9"/>
      <c r="T119" s="9"/>
      <c r="U119" s="43"/>
      <c r="V119" s="9"/>
      <c r="W119" s="9"/>
      <c r="X119" s="9"/>
      <c r="Y119" s="9"/>
      <c r="Z119" s="9"/>
      <c r="AA119" s="9"/>
      <c r="AB119" s="10" t="str">
        <f aca="false">IF(A119="","",SG_Criteria!$B$6&amp;SG_Criteria!$B$12&amp;"\"&amp;A119&amp;"\")</f>
        <v/>
      </c>
      <c r="AC119" s="10" t="str">
        <f aca="false">IF(A119="","",A119&amp;"_CAD.dwg")</f>
        <v/>
      </c>
      <c r="AD119" s="10" t="str">
        <f aca="false">IF(A119="","",A119&amp;"_DWG.pdf")</f>
        <v/>
      </c>
      <c r="AE119" s="10" t="str">
        <f aca="false">IF(A119="","",IF(AA119="Y",A119&amp;"_STAAD.std","n/a"))</f>
        <v/>
      </c>
      <c r="AF119" s="10" t="str">
        <f aca="false">IF(A119="","",A119&amp;"_CALC.xlsx")</f>
        <v/>
      </c>
      <c r="AG119" s="10" t="str">
        <f aca="false">IF(A119="","",A119&amp;"_CALC.pdf")</f>
        <v/>
      </c>
      <c r="AH119" s="9"/>
      <c r="AI119" s="9"/>
      <c r="AJ119" s="41"/>
      <c r="AK119" s="41"/>
      <c r="AL119" s="41"/>
      <c r="AM119" s="41"/>
      <c r="AN119" s="41"/>
      <c r="AO119" s="38" t="str">
        <f aca="false">IF(C119="","",IF(LEN(IF(AND(C119&lt;&gt;"High Covered Linkway",F119&lt;SG_Criteria!$B$46),"FAIL: headroom below "&amp;SG_Criteria!$B$46&amp;" m. ","")&amp;IF(AND(C119="High Covered Linkway",F119&lt;SG_Criteria!$B$47),"FAIL: high linkway headroom below "&amp;SG_Criteria!$B$47&amp;" m. ","")&amp;IF(E119&lt;SG_Criteria!$B$48,"FAIL: roof width below "&amp;SG_Criteria!$B$48&amp;" m. ",IF(E119&lt;SG_Criteria!$B$49,"NOTE: not for MRT/LRT or high-traffic routes (min "&amp;SG_Criteria!$B$49&amp;" m). ",""))&amp;IF(AND(P119&lt;&gt;"",P119&lt;SG_Criteria!$B$50),"FAIL: wind speed below "&amp;SG_Criteria!$B$50&amp;" m/s. ","")&amp;IF(AND(Q119&lt;&gt;"",Q119&lt;SG_Criteria!$B$51),"FAIL: roof fixing pull-out below "&amp;SG_Criteria!$B$51&amp;" kN. ","")&amp;IF(AND(R119&lt;&gt;"",IFERROR(VALUE(MID(R119,2,2)),0)&lt;SG_Criteria!$B$52),"FAIL: grade below C"&amp;SG_Criteria!$B$52&amp;". ","")&amp;IF(D119="Non-standard (project design)","NOTE: not an SDRE standard, needs LTA acceptance. ",""))=0,"OK",IF(AND(C119&lt;&gt;"High Covered Linkway",F119&lt;SG_Criteria!$B$46),"FAIL: headroom below "&amp;SG_Criteria!$B$46&amp;" m. ","")&amp;IF(AND(C119="High Covered Linkway",F119&lt;SG_Criteria!$B$47),"FAIL: high linkway headroom below "&amp;SG_Criteria!$B$47&amp;" m. ","")&amp;IF(E119&lt;SG_Criteria!$B$48,"FAIL: roof width below "&amp;SG_Criteria!$B$48&amp;" m. ",IF(E119&lt;SG_Criteria!$B$49,"NOTE: not for MRT/LRT or high-traffic routes (min "&amp;SG_Criteria!$B$49&amp;" m). ",""))&amp;IF(AND(P119&lt;&gt;"",P119&lt;SG_Criteria!$B$50),"FAIL: wind speed below "&amp;SG_Criteria!$B$50&amp;" m/s. ","")&amp;IF(AND(Q119&lt;&gt;"",Q119&lt;SG_Criteria!$B$51),"FAIL: roof fixing pull-out below "&amp;SG_Criteria!$B$51&amp;" kN. ","")&amp;IF(AND(R119&lt;&gt;"",IFERROR(VALUE(MID(R119,2,2)),0)&lt;SG_Criteria!$B$52),"FAIL: grade below C"&amp;SG_Criteria!$B$52&amp;". ","")&amp;IF(D119="Non-standard (project design)","NOTE: not an SDRE standard, needs LTA acceptance. ","")))</f>
        <v/>
      </c>
      <c r="AP119" s="9"/>
      <c r="AQ119" s="9"/>
      <c r="AR119" s="9"/>
      <c r="AS119" s="9"/>
      <c r="AT119" s="9"/>
      <c r="AU119" s="31"/>
      <c r="AV119" s="10" t="str">
        <f aca="false">IF(C119="","",IF(AND(X119="Approved",ISERROR(SEARCH("FAIL",AO119))),"Y","N"))</f>
        <v/>
      </c>
      <c r="AW119" s="10" t="str">
        <f aca="false">IF(C119="","",C119&amp;"|"&amp;E119&amp;"|"&amp;F119&amp;"|"&amp;AV119)</f>
        <v/>
      </c>
    </row>
    <row r="120" customFormat="false" ht="15" hidden="false" customHeight="false" outlineLevel="0" collapsed="false">
      <c r="A120" s="10" t="str">
        <f aca="false">IF(C120="","","LKW-"&amp;IFERROR(VLOOKUP(C120,Lists!$AQ$4:$AR$17,2,0),"??")&amp;"-W"&amp;TEXT(E120*1000,"0000")&amp;"-H"&amp;TEXT(F120*1000,"0000")&amp;"-B"&amp;TEXT(G120*1000,"0000")&amp;"-"&amp;W120)</f>
        <v/>
      </c>
      <c r="B120" s="10" t="str">
        <f aca="false">IF(C120="","",C120&amp;", "&amp;E120&amp;" m wide, "&amp;F120&amp;" m headroom, "&amp;G120&amp;" m bays, "&amp;H120&amp;" ("&amp;D120&amp;")")</f>
        <v/>
      </c>
      <c r="C120" s="9"/>
      <c r="D120" s="9"/>
      <c r="E120" s="43"/>
      <c r="F120" s="43"/>
      <c r="G120" s="43"/>
      <c r="H120" s="9"/>
      <c r="I120" s="9"/>
      <c r="J120" s="9"/>
      <c r="K120" s="9"/>
      <c r="L120" s="9"/>
      <c r="M120" s="9"/>
      <c r="N120" s="9"/>
      <c r="O120" s="9"/>
      <c r="P120" s="40"/>
      <c r="Q120" s="43"/>
      <c r="R120" s="9"/>
      <c r="S120" s="9"/>
      <c r="T120" s="9"/>
      <c r="U120" s="43"/>
      <c r="V120" s="9"/>
      <c r="W120" s="9"/>
      <c r="X120" s="9"/>
      <c r="Y120" s="9"/>
      <c r="Z120" s="9"/>
      <c r="AA120" s="9"/>
      <c r="AB120" s="10" t="str">
        <f aca="false">IF(A120="","",SG_Criteria!$B$6&amp;SG_Criteria!$B$12&amp;"\"&amp;A120&amp;"\")</f>
        <v/>
      </c>
      <c r="AC120" s="10" t="str">
        <f aca="false">IF(A120="","",A120&amp;"_CAD.dwg")</f>
        <v/>
      </c>
      <c r="AD120" s="10" t="str">
        <f aca="false">IF(A120="","",A120&amp;"_DWG.pdf")</f>
        <v/>
      </c>
      <c r="AE120" s="10" t="str">
        <f aca="false">IF(A120="","",IF(AA120="Y",A120&amp;"_STAAD.std","n/a"))</f>
        <v/>
      </c>
      <c r="AF120" s="10" t="str">
        <f aca="false">IF(A120="","",A120&amp;"_CALC.xlsx")</f>
        <v/>
      </c>
      <c r="AG120" s="10" t="str">
        <f aca="false">IF(A120="","",A120&amp;"_CALC.pdf")</f>
        <v/>
      </c>
      <c r="AH120" s="9"/>
      <c r="AI120" s="9"/>
      <c r="AJ120" s="41"/>
      <c r="AK120" s="41"/>
      <c r="AL120" s="41"/>
      <c r="AM120" s="41"/>
      <c r="AN120" s="41"/>
      <c r="AO120" s="38" t="str">
        <f aca="false">IF(C120="","",IF(LEN(IF(AND(C120&lt;&gt;"High Covered Linkway",F120&lt;SG_Criteria!$B$46),"FAIL: headroom below "&amp;SG_Criteria!$B$46&amp;" m. ","")&amp;IF(AND(C120="High Covered Linkway",F120&lt;SG_Criteria!$B$47),"FAIL: high linkway headroom below "&amp;SG_Criteria!$B$47&amp;" m. ","")&amp;IF(E120&lt;SG_Criteria!$B$48,"FAIL: roof width below "&amp;SG_Criteria!$B$48&amp;" m. ",IF(E120&lt;SG_Criteria!$B$49,"NOTE: not for MRT/LRT or high-traffic routes (min "&amp;SG_Criteria!$B$49&amp;" m). ",""))&amp;IF(AND(P120&lt;&gt;"",P120&lt;SG_Criteria!$B$50),"FAIL: wind speed below "&amp;SG_Criteria!$B$50&amp;" m/s. ","")&amp;IF(AND(Q120&lt;&gt;"",Q120&lt;SG_Criteria!$B$51),"FAIL: roof fixing pull-out below "&amp;SG_Criteria!$B$51&amp;" kN. ","")&amp;IF(AND(R120&lt;&gt;"",IFERROR(VALUE(MID(R120,2,2)),0)&lt;SG_Criteria!$B$52),"FAIL: grade below C"&amp;SG_Criteria!$B$52&amp;". ","")&amp;IF(D120="Non-standard (project design)","NOTE: not an SDRE standard, needs LTA acceptance. ",""))=0,"OK",IF(AND(C120&lt;&gt;"High Covered Linkway",F120&lt;SG_Criteria!$B$46),"FAIL: headroom below "&amp;SG_Criteria!$B$46&amp;" m. ","")&amp;IF(AND(C120="High Covered Linkway",F120&lt;SG_Criteria!$B$47),"FAIL: high linkway headroom below "&amp;SG_Criteria!$B$47&amp;" m. ","")&amp;IF(E120&lt;SG_Criteria!$B$48,"FAIL: roof width below "&amp;SG_Criteria!$B$48&amp;" m. ",IF(E120&lt;SG_Criteria!$B$49,"NOTE: not for MRT/LRT or high-traffic routes (min "&amp;SG_Criteria!$B$49&amp;" m). ",""))&amp;IF(AND(P120&lt;&gt;"",P120&lt;SG_Criteria!$B$50),"FAIL: wind speed below "&amp;SG_Criteria!$B$50&amp;" m/s. ","")&amp;IF(AND(Q120&lt;&gt;"",Q120&lt;SG_Criteria!$B$51),"FAIL: roof fixing pull-out below "&amp;SG_Criteria!$B$51&amp;" kN. ","")&amp;IF(AND(R120&lt;&gt;"",IFERROR(VALUE(MID(R120,2,2)),0)&lt;SG_Criteria!$B$52),"FAIL: grade below C"&amp;SG_Criteria!$B$52&amp;". ","")&amp;IF(D120="Non-standard (project design)","NOTE: not an SDRE standard, needs LTA acceptance. ","")))</f>
        <v/>
      </c>
      <c r="AP120" s="9"/>
      <c r="AQ120" s="9"/>
      <c r="AR120" s="9"/>
      <c r="AS120" s="9"/>
      <c r="AT120" s="9"/>
      <c r="AU120" s="31"/>
      <c r="AV120" s="10" t="str">
        <f aca="false">IF(C120="","",IF(AND(X120="Approved",ISERROR(SEARCH("FAIL",AO120))),"Y","N"))</f>
        <v/>
      </c>
      <c r="AW120" s="10" t="str">
        <f aca="false">IF(C120="","",C120&amp;"|"&amp;E120&amp;"|"&amp;F120&amp;"|"&amp;AV120)</f>
        <v/>
      </c>
    </row>
    <row r="121" customFormat="false" ht="15" hidden="false" customHeight="false" outlineLevel="0" collapsed="false">
      <c r="A121" s="10" t="str">
        <f aca="false">IF(C121="","","LKW-"&amp;IFERROR(VLOOKUP(C121,Lists!$AQ$4:$AR$17,2,0),"??")&amp;"-W"&amp;TEXT(E121*1000,"0000")&amp;"-H"&amp;TEXT(F121*1000,"0000")&amp;"-B"&amp;TEXT(G121*1000,"0000")&amp;"-"&amp;W121)</f>
        <v/>
      </c>
      <c r="B121" s="10" t="str">
        <f aca="false">IF(C121="","",C121&amp;", "&amp;E121&amp;" m wide, "&amp;F121&amp;" m headroom, "&amp;G121&amp;" m bays, "&amp;H121&amp;" ("&amp;D121&amp;")")</f>
        <v/>
      </c>
      <c r="C121" s="9"/>
      <c r="D121" s="9"/>
      <c r="E121" s="43"/>
      <c r="F121" s="43"/>
      <c r="G121" s="43"/>
      <c r="H121" s="9"/>
      <c r="I121" s="9"/>
      <c r="J121" s="9"/>
      <c r="K121" s="9"/>
      <c r="L121" s="9"/>
      <c r="M121" s="9"/>
      <c r="N121" s="9"/>
      <c r="O121" s="9"/>
      <c r="P121" s="40"/>
      <c r="Q121" s="43"/>
      <c r="R121" s="9"/>
      <c r="S121" s="9"/>
      <c r="T121" s="9"/>
      <c r="U121" s="43"/>
      <c r="V121" s="9"/>
      <c r="W121" s="9"/>
      <c r="X121" s="9"/>
      <c r="Y121" s="9"/>
      <c r="Z121" s="9"/>
      <c r="AA121" s="9"/>
      <c r="AB121" s="10" t="str">
        <f aca="false">IF(A121="","",SG_Criteria!$B$6&amp;SG_Criteria!$B$12&amp;"\"&amp;A121&amp;"\")</f>
        <v/>
      </c>
      <c r="AC121" s="10" t="str">
        <f aca="false">IF(A121="","",A121&amp;"_CAD.dwg")</f>
        <v/>
      </c>
      <c r="AD121" s="10" t="str">
        <f aca="false">IF(A121="","",A121&amp;"_DWG.pdf")</f>
        <v/>
      </c>
      <c r="AE121" s="10" t="str">
        <f aca="false">IF(A121="","",IF(AA121="Y",A121&amp;"_STAAD.std","n/a"))</f>
        <v/>
      </c>
      <c r="AF121" s="10" t="str">
        <f aca="false">IF(A121="","",A121&amp;"_CALC.xlsx")</f>
        <v/>
      </c>
      <c r="AG121" s="10" t="str">
        <f aca="false">IF(A121="","",A121&amp;"_CALC.pdf")</f>
        <v/>
      </c>
      <c r="AH121" s="9"/>
      <c r="AI121" s="9"/>
      <c r="AJ121" s="41"/>
      <c r="AK121" s="41"/>
      <c r="AL121" s="41"/>
      <c r="AM121" s="41"/>
      <c r="AN121" s="41"/>
      <c r="AO121" s="38" t="str">
        <f aca="false">IF(C121="","",IF(LEN(IF(AND(C121&lt;&gt;"High Covered Linkway",F121&lt;SG_Criteria!$B$46),"FAIL: headroom below "&amp;SG_Criteria!$B$46&amp;" m. ","")&amp;IF(AND(C121="High Covered Linkway",F121&lt;SG_Criteria!$B$47),"FAIL: high linkway headroom below "&amp;SG_Criteria!$B$47&amp;" m. ","")&amp;IF(E121&lt;SG_Criteria!$B$48,"FAIL: roof width below "&amp;SG_Criteria!$B$48&amp;" m. ",IF(E121&lt;SG_Criteria!$B$49,"NOTE: not for MRT/LRT or high-traffic routes (min "&amp;SG_Criteria!$B$49&amp;" m). ",""))&amp;IF(AND(P121&lt;&gt;"",P121&lt;SG_Criteria!$B$50),"FAIL: wind speed below "&amp;SG_Criteria!$B$50&amp;" m/s. ","")&amp;IF(AND(Q121&lt;&gt;"",Q121&lt;SG_Criteria!$B$51),"FAIL: roof fixing pull-out below "&amp;SG_Criteria!$B$51&amp;" kN. ","")&amp;IF(AND(R121&lt;&gt;"",IFERROR(VALUE(MID(R121,2,2)),0)&lt;SG_Criteria!$B$52),"FAIL: grade below C"&amp;SG_Criteria!$B$52&amp;". ","")&amp;IF(D121="Non-standard (project design)","NOTE: not an SDRE standard, needs LTA acceptance. ",""))=0,"OK",IF(AND(C121&lt;&gt;"High Covered Linkway",F121&lt;SG_Criteria!$B$46),"FAIL: headroom below "&amp;SG_Criteria!$B$46&amp;" m. ","")&amp;IF(AND(C121="High Covered Linkway",F121&lt;SG_Criteria!$B$47),"FAIL: high linkway headroom below "&amp;SG_Criteria!$B$47&amp;" m. ","")&amp;IF(E121&lt;SG_Criteria!$B$48,"FAIL: roof width below "&amp;SG_Criteria!$B$48&amp;" m. ",IF(E121&lt;SG_Criteria!$B$49,"NOTE: not for MRT/LRT or high-traffic routes (min "&amp;SG_Criteria!$B$49&amp;" m). ",""))&amp;IF(AND(P121&lt;&gt;"",P121&lt;SG_Criteria!$B$50),"FAIL: wind speed below "&amp;SG_Criteria!$B$50&amp;" m/s. ","")&amp;IF(AND(Q121&lt;&gt;"",Q121&lt;SG_Criteria!$B$51),"FAIL: roof fixing pull-out below "&amp;SG_Criteria!$B$51&amp;" kN. ","")&amp;IF(AND(R121&lt;&gt;"",IFERROR(VALUE(MID(R121,2,2)),0)&lt;SG_Criteria!$B$52),"FAIL: grade below C"&amp;SG_Criteria!$B$52&amp;". ","")&amp;IF(D121="Non-standard (project design)","NOTE: not an SDRE standard, needs LTA acceptance. ","")))</f>
        <v/>
      </c>
      <c r="AP121" s="9"/>
      <c r="AQ121" s="9"/>
      <c r="AR121" s="9"/>
      <c r="AS121" s="9"/>
      <c r="AT121" s="9"/>
      <c r="AU121" s="31"/>
      <c r="AV121" s="10" t="str">
        <f aca="false">IF(C121="","",IF(AND(X121="Approved",ISERROR(SEARCH("FAIL",AO121))),"Y","N"))</f>
        <v/>
      </c>
      <c r="AW121" s="10" t="str">
        <f aca="false">IF(C121="","",C121&amp;"|"&amp;E121&amp;"|"&amp;F121&amp;"|"&amp;AV121)</f>
        <v/>
      </c>
    </row>
    <row r="122" customFormat="false" ht="15" hidden="false" customHeight="false" outlineLevel="0" collapsed="false">
      <c r="A122" s="10" t="str">
        <f aca="false">IF(C122="","","LKW-"&amp;IFERROR(VLOOKUP(C122,Lists!$AQ$4:$AR$17,2,0),"??")&amp;"-W"&amp;TEXT(E122*1000,"0000")&amp;"-H"&amp;TEXT(F122*1000,"0000")&amp;"-B"&amp;TEXT(G122*1000,"0000")&amp;"-"&amp;W122)</f>
        <v/>
      </c>
      <c r="B122" s="10" t="str">
        <f aca="false">IF(C122="","",C122&amp;", "&amp;E122&amp;" m wide, "&amp;F122&amp;" m headroom, "&amp;G122&amp;" m bays, "&amp;H122&amp;" ("&amp;D122&amp;")")</f>
        <v/>
      </c>
      <c r="C122" s="9"/>
      <c r="D122" s="9"/>
      <c r="E122" s="43"/>
      <c r="F122" s="43"/>
      <c r="G122" s="43"/>
      <c r="H122" s="9"/>
      <c r="I122" s="9"/>
      <c r="J122" s="9"/>
      <c r="K122" s="9"/>
      <c r="L122" s="9"/>
      <c r="M122" s="9"/>
      <c r="N122" s="9"/>
      <c r="O122" s="9"/>
      <c r="P122" s="40"/>
      <c r="Q122" s="43"/>
      <c r="R122" s="9"/>
      <c r="S122" s="9"/>
      <c r="T122" s="9"/>
      <c r="U122" s="43"/>
      <c r="V122" s="9"/>
      <c r="W122" s="9"/>
      <c r="X122" s="9"/>
      <c r="Y122" s="9"/>
      <c r="Z122" s="9"/>
      <c r="AA122" s="9"/>
      <c r="AB122" s="10" t="str">
        <f aca="false">IF(A122="","",SG_Criteria!$B$6&amp;SG_Criteria!$B$12&amp;"\"&amp;A122&amp;"\")</f>
        <v/>
      </c>
      <c r="AC122" s="10" t="str">
        <f aca="false">IF(A122="","",A122&amp;"_CAD.dwg")</f>
        <v/>
      </c>
      <c r="AD122" s="10" t="str">
        <f aca="false">IF(A122="","",A122&amp;"_DWG.pdf")</f>
        <v/>
      </c>
      <c r="AE122" s="10" t="str">
        <f aca="false">IF(A122="","",IF(AA122="Y",A122&amp;"_STAAD.std","n/a"))</f>
        <v/>
      </c>
      <c r="AF122" s="10" t="str">
        <f aca="false">IF(A122="","",A122&amp;"_CALC.xlsx")</f>
        <v/>
      </c>
      <c r="AG122" s="10" t="str">
        <f aca="false">IF(A122="","",A122&amp;"_CALC.pdf")</f>
        <v/>
      </c>
      <c r="AH122" s="9"/>
      <c r="AI122" s="9"/>
      <c r="AJ122" s="41"/>
      <c r="AK122" s="41"/>
      <c r="AL122" s="41"/>
      <c r="AM122" s="41"/>
      <c r="AN122" s="41"/>
      <c r="AO122" s="38" t="str">
        <f aca="false">IF(C122="","",IF(LEN(IF(AND(C122&lt;&gt;"High Covered Linkway",F122&lt;SG_Criteria!$B$46),"FAIL: headroom below "&amp;SG_Criteria!$B$46&amp;" m. ","")&amp;IF(AND(C122="High Covered Linkway",F122&lt;SG_Criteria!$B$47),"FAIL: high linkway headroom below "&amp;SG_Criteria!$B$47&amp;" m. ","")&amp;IF(E122&lt;SG_Criteria!$B$48,"FAIL: roof width below "&amp;SG_Criteria!$B$48&amp;" m. ",IF(E122&lt;SG_Criteria!$B$49,"NOTE: not for MRT/LRT or high-traffic routes (min "&amp;SG_Criteria!$B$49&amp;" m). ",""))&amp;IF(AND(P122&lt;&gt;"",P122&lt;SG_Criteria!$B$50),"FAIL: wind speed below "&amp;SG_Criteria!$B$50&amp;" m/s. ","")&amp;IF(AND(Q122&lt;&gt;"",Q122&lt;SG_Criteria!$B$51),"FAIL: roof fixing pull-out below "&amp;SG_Criteria!$B$51&amp;" kN. ","")&amp;IF(AND(R122&lt;&gt;"",IFERROR(VALUE(MID(R122,2,2)),0)&lt;SG_Criteria!$B$52),"FAIL: grade below C"&amp;SG_Criteria!$B$52&amp;". ","")&amp;IF(D122="Non-standard (project design)","NOTE: not an SDRE standard, needs LTA acceptance. ",""))=0,"OK",IF(AND(C122&lt;&gt;"High Covered Linkway",F122&lt;SG_Criteria!$B$46),"FAIL: headroom below "&amp;SG_Criteria!$B$46&amp;" m. ","")&amp;IF(AND(C122="High Covered Linkway",F122&lt;SG_Criteria!$B$47),"FAIL: high linkway headroom below "&amp;SG_Criteria!$B$47&amp;" m. ","")&amp;IF(E122&lt;SG_Criteria!$B$48,"FAIL: roof width below "&amp;SG_Criteria!$B$48&amp;" m. ",IF(E122&lt;SG_Criteria!$B$49,"NOTE: not for MRT/LRT or high-traffic routes (min "&amp;SG_Criteria!$B$49&amp;" m). ",""))&amp;IF(AND(P122&lt;&gt;"",P122&lt;SG_Criteria!$B$50),"FAIL: wind speed below "&amp;SG_Criteria!$B$50&amp;" m/s. ","")&amp;IF(AND(Q122&lt;&gt;"",Q122&lt;SG_Criteria!$B$51),"FAIL: roof fixing pull-out below "&amp;SG_Criteria!$B$51&amp;" kN. ","")&amp;IF(AND(R122&lt;&gt;"",IFERROR(VALUE(MID(R122,2,2)),0)&lt;SG_Criteria!$B$52),"FAIL: grade below C"&amp;SG_Criteria!$B$52&amp;". ","")&amp;IF(D122="Non-standard (project design)","NOTE: not an SDRE standard, needs LTA acceptance. ","")))</f>
        <v/>
      </c>
      <c r="AP122" s="9"/>
      <c r="AQ122" s="9"/>
      <c r="AR122" s="9"/>
      <c r="AS122" s="9"/>
      <c r="AT122" s="9"/>
      <c r="AU122" s="31"/>
      <c r="AV122" s="10" t="str">
        <f aca="false">IF(C122="","",IF(AND(X122="Approved",ISERROR(SEARCH("FAIL",AO122))),"Y","N"))</f>
        <v/>
      </c>
      <c r="AW122" s="10" t="str">
        <f aca="false">IF(C122="","",C122&amp;"|"&amp;E122&amp;"|"&amp;F122&amp;"|"&amp;AV122)</f>
        <v/>
      </c>
    </row>
    <row r="123" customFormat="false" ht="15" hidden="false" customHeight="false" outlineLevel="0" collapsed="false">
      <c r="A123" s="10" t="str">
        <f aca="false">IF(C123="","","LKW-"&amp;IFERROR(VLOOKUP(C123,Lists!$AQ$4:$AR$17,2,0),"??")&amp;"-W"&amp;TEXT(E123*1000,"0000")&amp;"-H"&amp;TEXT(F123*1000,"0000")&amp;"-B"&amp;TEXT(G123*1000,"0000")&amp;"-"&amp;W123)</f>
        <v/>
      </c>
      <c r="B123" s="10" t="str">
        <f aca="false">IF(C123="","",C123&amp;", "&amp;E123&amp;" m wide, "&amp;F123&amp;" m headroom, "&amp;G123&amp;" m bays, "&amp;H123&amp;" ("&amp;D123&amp;")")</f>
        <v/>
      </c>
      <c r="C123" s="9"/>
      <c r="D123" s="9"/>
      <c r="E123" s="43"/>
      <c r="F123" s="43"/>
      <c r="G123" s="43"/>
      <c r="H123" s="9"/>
      <c r="I123" s="9"/>
      <c r="J123" s="9"/>
      <c r="K123" s="9"/>
      <c r="L123" s="9"/>
      <c r="M123" s="9"/>
      <c r="N123" s="9"/>
      <c r="O123" s="9"/>
      <c r="P123" s="40"/>
      <c r="Q123" s="43"/>
      <c r="R123" s="9"/>
      <c r="S123" s="9"/>
      <c r="T123" s="9"/>
      <c r="U123" s="43"/>
      <c r="V123" s="9"/>
      <c r="W123" s="9"/>
      <c r="X123" s="9"/>
      <c r="Y123" s="9"/>
      <c r="Z123" s="9"/>
      <c r="AA123" s="9"/>
      <c r="AB123" s="10" t="str">
        <f aca="false">IF(A123="","",SG_Criteria!$B$6&amp;SG_Criteria!$B$12&amp;"\"&amp;A123&amp;"\")</f>
        <v/>
      </c>
      <c r="AC123" s="10" t="str">
        <f aca="false">IF(A123="","",A123&amp;"_CAD.dwg")</f>
        <v/>
      </c>
      <c r="AD123" s="10" t="str">
        <f aca="false">IF(A123="","",A123&amp;"_DWG.pdf")</f>
        <v/>
      </c>
      <c r="AE123" s="10" t="str">
        <f aca="false">IF(A123="","",IF(AA123="Y",A123&amp;"_STAAD.std","n/a"))</f>
        <v/>
      </c>
      <c r="AF123" s="10" t="str">
        <f aca="false">IF(A123="","",A123&amp;"_CALC.xlsx")</f>
        <v/>
      </c>
      <c r="AG123" s="10" t="str">
        <f aca="false">IF(A123="","",A123&amp;"_CALC.pdf")</f>
        <v/>
      </c>
      <c r="AH123" s="9"/>
      <c r="AI123" s="9"/>
      <c r="AJ123" s="41"/>
      <c r="AK123" s="41"/>
      <c r="AL123" s="41"/>
      <c r="AM123" s="41"/>
      <c r="AN123" s="41"/>
      <c r="AO123" s="38" t="str">
        <f aca="false">IF(C123="","",IF(LEN(IF(AND(C123&lt;&gt;"High Covered Linkway",F123&lt;SG_Criteria!$B$46),"FAIL: headroom below "&amp;SG_Criteria!$B$46&amp;" m. ","")&amp;IF(AND(C123="High Covered Linkway",F123&lt;SG_Criteria!$B$47),"FAIL: high linkway headroom below "&amp;SG_Criteria!$B$47&amp;" m. ","")&amp;IF(E123&lt;SG_Criteria!$B$48,"FAIL: roof width below "&amp;SG_Criteria!$B$48&amp;" m. ",IF(E123&lt;SG_Criteria!$B$49,"NOTE: not for MRT/LRT or high-traffic routes (min "&amp;SG_Criteria!$B$49&amp;" m). ",""))&amp;IF(AND(P123&lt;&gt;"",P123&lt;SG_Criteria!$B$50),"FAIL: wind speed below "&amp;SG_Criteria!$B$50&amp;" m/s. ","")&amp;IF(AND(Q123&lt;&gt;"",Q123&lt;SG_Criteria!$B$51),"FAIL: roof fixing pull-out below "&amp;SG_Criteria!$B$51&amp;" kN. ","")&amp;IF(AND(R123&lt;&gt;"",IFERROR(VALUE(MID(R123,2,2)),0)&lt;SG_Criteria!$B$52),"FAIL: grade below C"&amp;SG_Criteria!$B$52&amp;". ","")&amp;IF(D123="Non-standard (project design)","NOTE: not an SDRE standard, needs LTA acceptance. ",""))=0,"OK",IF(AND(C123&lt;&gt;"High Covered Linkway",F123&lt;SG_Criteria!$B$46),"FAIL: headroom below "&amp;SG_Criteria!$B$46&amp;" m. ","")&amp;IF(AND(C123="High Covered Linkway",F123&lt;SG_Criteria!$B$47),"FAIL: high linkway headroom below "&amp;SG_Criteria!$B$47&amp;" m. ","")&amp;IF(E123&lt;SG_Criteria!$B$48,"FAIL: roof width below "&amp;SG_Criteria!$B$48&amp;" m. ",IF(E123&lt;SG_Criteria!$B$49,"NOTE: not for MRT/LRT or high-traffic routes (min "&amp;SG_Criteria!$B$49&amp;" m). ",""))&amp;IF(AND(P123&lt;&gt;"",P123&lt;SG_Criteria!$B$50),"FAIL: wind speed below "&amp;SG_Criteria!$B$50&amp;" m/s. ","")&amp;IF(AND(Q123&lt;&gt;"",Q123&lt;SG_Criteria!$B$51),"FAIL: roof fixing pull-out below "&amp;SG_Criteria!$B$51&amp;" kN. ","")&amp;IF(AND(R123&lt;&gt;"",IFERROR(VALUE(MID(R123,2,2)),0)&lt;SG_Criteria!$B$52),"FAIL: grade below C"&amp;SG_Criteria!$B$52&amp;". ","")&amp;IF(D123="Non-standard (project design)","NOTE: not an SDRE standard, needs LTA acceptance. ","")))</f>
        <v/>
      </c>
      <c r="AP123" s="9"/>
      <c r="AQ123" s="9"/>
      <c r="AR123" s="9"/>
      <c r="AS123" s="9"/>
      <c r="AT123" s="9"/>
      <c r="AU123" s="31"/>
      <c r="AV123" s="10" t="str">
        <f aca="false">IF(C123="","",IF(AND(X123="Approved",ISERROR(SEARCH("FAIL",AO123))),"Y","N"))</f>
        <v/>
      </c>
      <c r="AW123" s="10" t="str">
        <f aca="false">IF(C123="","",C123&amp;"|"&amp;E123&amp;"|"&amp;F123&amp;"|"&amp;AV123)</f>
        <v/>
      </c>
    </row>
    <row r="124" customFormat="false" ht="15" hidden="false" customHeight="false" outlineLevel="0" collapsed="false">
      <c r="A124" s="10" t="str">
        <f aca="false">IF(C124="","","LKW-"&amp;IFERROR(VLOOKUP(C124,Lists!$AQ$4:$AR$17,2,0),"??")&amp;"-W"&amp;TEXT(E124*1000,"0000")&amp;"-H"&amp;TEXT(F124*1000,"0000")&amp;"-B"&amp;TEXT(G124*1000,"0000")&amp;"-"&amp;W124)</f>
        <v/>
      </c>
      <c r="B124" s="10" t="str">
        <f aca="false">IF(C124="","",C124&amp;", "&amp;E124&amp;" m wide, "&amp;F124&amp;" m headroom, "&amp;G124&amp;" m bays, "&amp;H124&amp;" ("&amp;D124&amp;")")</f>
        <v/>
      </c>
      <c r="C124" s="9"/>
      <c r="D124" s="9"/>
      <c r="E124" s="43"/>
      <c r="F124" s="43"/>
      <c r="G124" s="43"/>
      <c r="H124" s="9"/>
      <c r="I124" s="9"/>
      <c r="J124" s="9"/>
      <c r="K124" s="9"/>
      <c r="L124" s="9"/>
      <c r="M124" s="9"/>
      <c r="N124" s="9"/>
      <c r="O124" s="9"/>
      <c r="P124" s="40"/>
      <c r="Q124" s="43"/>
      <c r="R124" s="9"/>
      <c r="S124" s="9"/>
      <c r="T124" s="9"/>
      <c r="U124" s="43"/>
      <c r="V124" s="9"/>
      <c r="W124" s="9"/>
      <c r="X124" s="9"/>
      <c r="Y124" s="9"/>
      <c r="Z124" s="9"/>
      <c r="AA124" s="9"/>
      <c r="AB124" s="10" t="str">
        <f aca="false">IF(A124="","",SG_Criteria!$B$6&amp;SG_Criteria!$B$12&amp;"\"&amp;A124&amp;"\")</f>
        <v/>
      </c>
      <c r="AC124" s="10" t="str">
        <f aca="false">IF(A124="","",A124&amp;"_CAD.dwg")</f>
        <v/>
      </c>
      <c r="AD124" s="10" t="str">
        <f aca="false">IF(A124="","",A124&amp;"_DWG.pdf")</f>
        <v/>
      </c>
      <c r="AE124" s="10" t="str">
        <f aca="false">IF(A124="","",IF(AA124="Y",A124&amp;"_STAAD.std","n/a"))</f>
        <v/>
      </c>
      <c r="AF124" s="10" t="str">
        <f aca="false">IF(A124="","",A124&amp;"_CALC.xlsx")</f>
        <v/>
      </c>
      <c r="AG124" s="10" t="str">
        <f aca="false">IF(A124="","",A124&amp;"_CALC.pdf")</f>
        <v/>
      </c>
      <c r="AH124" s="9"/>
      <c r="AI124" s="9"/>
      <c r="AJ124" s="41"/>
      <c r="AK124" s="41"/>
      <c r="AL124" s="41"/>
      <c r="AM124" s="41"/>
      <c r="AN124" s="41"/>
      <c r="AO124" s="38" t="str">
        <f aca="false">IF(C124="","",IF(LEN(IF(AND(C124&lt;&gt;"High Covered Linkway",F124&lt;SG_Criteria!$B$46),"FAIL: headroom below "&amp;SG_Criteria!$B$46&amp;" m. ","")&amp;IF(AND(C124="High Covered Linkway",F124&lt;SG_Criteria!$B$47),"FAIL: high linkway headroom below "&amp;SG_Criteria!$B$47&amp;" m. ","")&amp;IF(E124&lt;SG_Criteria!$B$48,"FAIL: roof width below "&amp;SG_Criteria!$B$48&amp;" m. ",IF(E124&lt;SG_Criteria!$B$49,"NOTE: not for MRT/LRT or high-traffic routes (min "&amp;SG_Criteria!$B$49&amp;" m). ",""))&amp;IF(AND(P124&lt;&gt;"",P124&lt;SG_Criteria!$B$50),"FAIL: wind speed below "&amp;SG_Criteria!$B$50&amp;" m/s. ","")&amp;IF(AND(Q124&lt;&gt;"",Q124&lt;SG_Criteria!$B$51),"FAIL: roof fixing pull-out below "&amp;SG_Criteria!$B$51&amp;" kN. ","")&amp;IF(AND(R124&lt;&gt;"",IFERROR(VALUE(MID(R124,2,2)),0)&lt;SG_Criteria!$B$52),"FAIL: grade below C"&amp;SG_Criteria!$B$52&amp;". ","")&amp;IF(D124="Non-standard (project design)","NOTE: not an SDRE standard, needs LTA acceptance. ",""))=0,"OK",IF(AND(C124&lt;&gt;"High Covered Linkway",F124&lt;SG_Criteria!$B$46),"FAIL: headroom below "&amp;SG_Criteria!$B$46&amp;" m. ","")&amp;IF(AND(C124="High Covered Linkway",F124&lt;SG_Criteria!$B$47),"FAIL: high linkway headroom below "&amp;SG_Criteria!$B$47&amp;" m. ","")&amp;IF(E124&lt;SG_Criteria!$B$48,"FAIL: roof width below "&amp;SG_Criteria!$B$48&amp;" m. ",IF(E124&lt;SG_Criteria!$B$49,"NOTE: not for MRT/LRT or high-traffic routes (min "&amp;SG_Criteria!$B$49&amp;" m). ",""))&amp;IF(AND(P124&lt;&gt;"",P124&lt;SG_Criteria!$B$50),"FAIL: wind speed below "&amp;SG_Criteria!$B$50&amp;" m/s. ","")&amp;IF(AND(Q124&lt;&gt;"",Q124&lt;SG_Criteria!$B$51),"FAIL: roof fixing pull-out below "&amp;SG_Criteria!$B$51&amp;" kN. ","")&amp;IF(AND(R124&lt;&gt;"",IFERROR(VALUE(MID(R124,2,2)),0)&lt;SG_Criteria!$B$52),"FAIL: grade below C"&amp;SG_Criteria!$B$52&amp;". ","")&amp;IF(D124="Non-standard (project design)","NOTE: not an SDRE standard, needs LTA acceptance. ","")))</f>
        <v/>
      </c>
      <c r="AP124" s="9"/>
      <c r="AQ124" s="9"/>
      <c r="AR124" s="9"/>
      <c r="AS124" s="9"/>
      <c r="AT124" s="9"/>
      <c r="AU124" s="31"/>
      <c r="AV124" s="10" t="str">
        <f aca="false">IF(C124="","",IF(AND(X124="Approved",ISERROR(SEARCH("FAIL",AO124))),"Y","N"))</f>
        <v/>
      </c>
      <c r="AW124" s="10" t="str">
        <f aca="false">IF(C124="","",C124&amp;"|"&amp;E124&amp;"|"&amp;F124&amp;"|"&amp;AV124)</f>
        <v/>
      </c>
    </row>
    <row r="125" customFormat="false" ht="15" hidden="false" customHeight="false" outlineLevel="0" collapsed="false">
      <c r="A125" s="10" t="str">
        <f aca="false">IF(C125="","","LKW-"&amp;IFERROR(VLOOKUP(C125,Lists!$AQ$4:$AR$17,2,0),"??")&amp;"-W"&amp;TEXT(E125*1000,"0000")&amp;"-H"&amp;TEXT(F125*1000,"0000")&amp;"-B"&amp;TEXT(G125*1000,"0000")&amp;"-"&amp;W125)</f>
        <v/>
      </c>
      <c r="B125" s="10" t="str">
        <f aca="false">IF(C125="","",C125&amp;", "&amp;E125&amp;" m wide, "&amp;F125&amp;" m headroom, "&amp;G125&amp;" m bays, "&amp;H125&amp;" ("&amp;D125&amp;")")</f>
        <v/>
      </c>
      <c r="C125" s="9"/>
      <c r="D125" s="9"/>
      <c r="E125" s="43"/>
      <c r="F125" s="43"/>
      <c r="G125" s="43"/>
      <c r="H125" s="9"/>
      <c r="I125" s="9"/>
      <c r="J125" s="9"/>
      <c r="K125" s="9"/>
      <c r="L125" s="9"/>
      <c r="M125" s="9"/>
      <c r="N125" s="9"/>
      <c r="O125" s="9"/>
      <c r="P125" s="40"/>
      <c r="Q125" s="43"/>
      <c r="R125" s="9"/>
      <c r="S125" s="9"/>
      <c r="T125" s="9"/>
      <c r="U125" s="43"/>
      <c r="V125" s="9"/>
      <c r="W125" s="9"/>
      <c r="X125" s="9"/>
      <c r="Y125" s="9"/>
      <c r="Z125" s="9"/>
      <c r="AA125" s="9"/>
      <c r="AB125" s="10" t="str">
        <f aca="false">IF(A125="","",SG_Criteria!$B$6&amp;SG_Criteria!$B$12&amp;"\"&amp;A125&amp;"\")</f>
        <v/>
      </c>
      <c r="AC125" s="10" t="str">
        <f aca="false">IF(A125="","",A125&amp;"_CAD.dwg")</f>
        <v/>
      </c>
      <c r="AD125" s="10" t="str">
        <f aca="false">IF(A125="","",A125&amp;"_DWG.pdf")</f>
        <v/>
      </c>
      <c r="AE125" s="10" t="str">
        <f aca="false">IF(A125="","",IF(AA125="Y",A125&amp;"_STAAD.std","n/a"))</f>
        <v/>
      </c>
      <c r="AF125" s="10" t="str">
        <f aca="false">IF(A125="","",A125&amp;"_CALC.xlsx")</f>
        <v/>
      </c>
      <c r="AG125" s="10" t="str">
        <f aca="false">IF(A125="","",A125&amp;"_CALC.pdf")</f>
        <v/>
      </c>
      <c r="AH125" s="9"/>
      <c r="AI125" s="9"/>
      <c r="AJ125" s="41"/>
      <c r="AK125" s="41"/>
      <c r="AL125" s="41"/>
      <c r="AM125" s="41"/>
      <c r="AN125" s="41"/>
      <c r="AO125" s="38" t="str">
        <f aca="false">IF(C125="","",IF(LEN(IF(AND(C125&lt;&gt;"High Covered Linkway",F125&lt;SG_Criteria!$B$46),"FAIL: headroom below "&amp;SG_Criteria!$B$46&amp;" m. ","")&amp;IF(AND(C125="High Covered Linkway",F125&lt;SG_Criteria!$B$47),"FAIL: high linkway headroom below "&amp;SG_Criteria!$B$47&amp;" m. ","")&amp;IF(E125&lt;SG_Criteria!$B$48,"FAIL: roof width below "&amp;SG_Criteria!$B$48&amp;" m. ",IF(E125&lt;SG_Criteria!$B$49,"NOTE: not for MRT/LRT or high-traffic routes (min "&amp;SG_Criteria!$B$49&amp;" m). ",""))&amp;IF(AND(P125&lt;&gt;"",P125&lt;SG_Criteria!$B$50),"FAIL: wind speed below "&amp;SG_Criteria!$B$50&amp;" m/s. ","")&amp;IF(AND(Q125&lt;&gt;"",Q125&lt;SG_Criteria!$B$51),"FAIL: roof fixing pull-out below "&amp;SG_Criteria!$B$51&amp;" kN. ","")&amp;IF(AND(R125&lt;&gt;"",IFERROR(VALUE(MID(R125,2,2)),0)&lt;SG_Criteria!$B$52),"FAIL: grade below C"&amp;SG_Criteria!$B$52&amp;". ","")&amp;IF(D125="Non-standard (project design)","NOTE: not an SDRE standard, needs LTA acceptance. ",""))=0,"OK",IF(AND(C125&lt;&gt;"High Covered Linkway",F125&lt;SG_Criteria!$B$46),"FAIL: headroom below "&amp;SG_Criteria!$B$46&amp;" m. ","")&amp;IF(AND(C125="High Covered Linkway",F125&lt;SG_Criteria!$B$47),"FAIL: high linkway headroom below "&amp;SG_Criteria!$B$47&amp;" m. ","")&amp;IF(E125&lt;SG_Criteria!$B$48,"FAIL: roof width below "&amp;SG_Criteria!$B$48&amp;" m. ",IF(E125&lt;SG_Criteria!$B$49,"NOTE: not for MRT/LRT or high-traffic routes (min "&amp;SG_Criteria!$B$49&amp;" m). ",""))&amp;IF(AND(P125&lt;&gt;"",P125&lt;SG_Criteria!$B$50),"FAIL: wind speed below "&amp;SG_Criteria!$B$50&amp;" m/s. ","")&amp;IF(AND(Q125&lt;&gt;"",Q125&lt;SG_Criteria!$B$51),"FAIL: roof fixing pull-out below "&amp;SG_Criteria!$B$51&amp;" kN. ","")&amp;IF(AND(R125&lt;&gt;"",IFERROR(VALUE(MID(R125,2,2)),0)&lt;SG_Criteria!$B$52),"FAIL: grade below C"&amp;SG_Criteria!$B$52&amp;". ","")&amp;IF(D125="Non-standard (project design)","NOTE: not an SDRE standard, needs LTA acceptance. ","")))</f>
        <v/>
      </c>
      <c r="AP125" s="9"/>
      <c r="AQ125" s="9"/>
      <c r="AR125" s="9"/>
      <c r="AS125" s="9"/>
      <c r="AT125" s="9"/>
      <c r="AU125" s="31"/>
      <c r="AV125" s="10" t="str">
        <f aca="false">IF(C125="","",IF(AND(X125="Approved",ISERROR(SEARCH("FAIL",AO125))),"Y","N"))</f>
        <v/>
      </c>
      <c r="AW125" s="10" t="str">
        <f aca="false">IF(C125="","",C125&amp;"|"&amp;E125&amp;"|"&amp;F125&amp;"|"&amp;AV125)</f>
        <v/>
      </c>
    </row>
    <row r="126" customFormat="false" ht="15" hidden="false" customHeight="false" outlineLevel="0" collapsed="false">
      <c r="A126" s="10" t="str">
        <f aca="false">IF(C126="","","LKW-"&amp;IFERROR(VLOOKUP(C126,Lists!$AQ$4:$AR$17,2,0),"??")&amp;"-W"&amp;TEXT(E126*1000,"0000")&amp;"-H"&amp;TEXT(F126*1000,"0000")&amp;"-B"&amp;TEXT(G126*1000,"0000")&amp;"-"&amp;W126)</f>
        <v/>
      </c>
      <c r="B126" s="10" t="str">
        <f aca="false">IF(C126="","",C126&amp;", "&amp;E126&amp;" m wide, "&amp;F126&amp;" m headroom, "&amp;G126&amp;" m bays, "&amp;H126&amp;" ("&amp;D126&amp;")")</f>
        <v/>
      </c>
      <c r="C126" s="9"/>
      <c r="D126" s="9"/>
      <c r="E126" s="43"/>
      <c r="F126" s="43"/>
      <c r="G126" s="43"/>
      <c r="H126" s="9"/>
      <c r="I126" s="9"/>
      <c r="J126" s="9"/>
      <c r="K126" s="9"/>
      <c r="L126" s="9"/>
      <c r="M126" s="9"/>
      <c r="N126" s="9"/>
      <c r="O126" s="9"/>
      <c r="P126" s="40"/>
      <c r="Q126" s="43"/>
      <c r="R126" s="9"/>
      <c r="S126" s="9"/>
      <c r="T126" s="9"/>
      <c r="U126" s="43"/>
      <c r="V126" s="9"/>
      <c r="W126" s="9"/>
      <c r="X126" s="9"/>
      <c r="Y126" s="9"/>
      <c r="Z126" s="9"/>
      <c r="AA126" s="9"/>
      <c r="AB126" s="10" t="str">
        <f aca="false">IF(A126="","",SG_Criteria!$B$6&amp;SG_Criteria!$B$12&amp;"\"&amp;A126&amp;"\")</f>
        <v/>
      </c>
      <c r="AC126" s="10" t="str">
        <f aca="false">IF(A126="","",A126&amp;"_CAD.dwg")</f>
        <v/>
      </c>
      <c r="AD126" s="10" t="str">
        <f aca="false">IF(A126="","",A126&amp;"_DWG.pdf")</f>
        <v/>
      </c>
      <c r="AE126" s="10" t="str">
        <f aca="false">IF(A126="","",IF(AA126="Y",A126&amp;"_STAAD.std","n/a"))</f>
        <v/>
      </c>
      <c r="AF126" s="10" t="str">
        <f aca="false">IF(A126="","",A126&amp;"_CALC.xlsx")</f>
        <v/>
      </c>
      <c r="AG126" s="10" t="str">
        <f aca="false">IF(A126="","",A126&amp;"_CALC.pdf")</f>
        <v/>
      </c>
      <c r="AH126" s="9"/>
      <c r="AI126" s="9"/>
      <c r="AJ126" s="41"/>
      <c r="AK126" s="41"/>
      <c r="AL126" s="41"/>
      <c r="AM126" s="41"/>
      <c r="AN126" s="41"/>
      <c r="AO126" s="38" t="str">
        <f aca="false">IF(C126="","",IF(LEN(IF(AND(C126&lt;&gt;"High Covered Linkway",F126&lt;SG_Criteria!$B$46),"FAIL: headroom below "&amp;SG_Criteria!$B$46&amp;" m. ","")&amp;IF(AND(C126="High Covered Linkway",F126&lt;SG_Criteria!$B$47),"FAIL: high linkway headroom below "&amp;SG_Criteria!$B$47&amp;" m. ","")&amp;IF(E126&lt;SG_Criteria!$B$48,"FAIL: roof width below "&amp;SG_Criteria!$B$48&amp;" m. ",IF(E126&lt;SG_Criteria!$B$49,"NOTE: not for MRT/LRT or high-traffic routes (min "&amp;SG_Criteria!$B$49&amp;" m). ",""))&amp;IF(AND(P126&lt;&gt;"",P126&lt;SG_Criteria!$B$50),"FAIL: wind speed below "&amp;SG_Criteria!$B$50&amp;" m/s. ","")&amp;IF(AND(Q126&lt;&gt;"",Q126&lt;SG_Criteria!$B$51),"FAIL: roof fixing pull-out below "&amp;SG_Criteria!$B$51&amp;" kN. ","")&amp;IF(AND(R126&lt;&gt;"",IFERROR(VALUE(MID(R126,2,2)),0)&lt;SG_Criteria!$B$52),"FAIL: grade below C"&amp;SG_Criteria!$B$52&amp;". ","")&amp;IF(D126="Non-standard (project design)","NOTE: not an SDRE standard, needs LTA acceptance. ",""))=0,"OK",IF(AND(C126&lt;&gt;"High Covered Linkway",F126&lt;SG_Criteria!$B$46),"FAIL: headroom below "&amp;SG_Criteria!$B$46&amp;" m. ","")&amp;IF(AND(C126="High Covered Linkway",F126&lt;SG_Criteria!$B$47),"FAIL: high linkway headroom below "&amp;SG_Criteria!$B$47&amp;" m. ","")&amp;IF(E126&lt;SG_Criteria!$B$48,"FAIL: roof width below "&amp;SG_Criteria!$B$48&amp;" m. ",IF(E126&lt;SG_Criteria!$B$49,"NOTE: not for MRT/LRT or high-traffic routes (min "&amp;SG_Criteria!$B$49&amp;" m). ",""))&amp;IF(AND(P126&lt;&gt;"",P126&lt;SG_Criteria!$B$50),"FAIL: wind speed below "&amp;SG_Criteria!$B$50&amp;" m/s. ","")&amp;IF(AND(Q126&lt;&gt;"",Q126&lt;SG_Criteria!$B$51),"FAIL: roof fixing pull-out below "&amp;SG_Criteria!$B$51&amp;" kN. ","")&amp;IF(AND(R126&lt;&gt;"",IFERROR(VALUE(MID(R126,2,2)),0)&lt;SG_Criteria!$B$52),"FAIL: grade below C"&amp;SG_Criteria!$B$52&amp;". ","")&amp;IF(D126="Non-standard (project design)","NOTE: not an SDRE standard, needs LTA acceptance. ","")))</f>
        <v/>
      </c>
      <c r="AP126" s="9"/>
      <c r="AQ126" s="9"/>
      <c r="AR126" s="9"/>
      <c r="AS126" s="9"/>
      <c r="AT126" s="9"/>
      <c r="AU126" s="31"/>
      <c r="AV126" s="10" t="str">
        <f aca="false">IF(C126="","",IF(AND(X126="Approved",ISERROR(SEARCH("FAIL",AO126))),"Y","N"))</f>
        <v/>
      </c>
      <c r="AW126" s="10" t="str">
        <f aca="false">IF(C126="","",C126&amp;"|"&amp;E126&amp;"|"&amp;F126&amp;"|"&amp;AV126)</f>
        <v/>
      </c>
    </row>
    <row r="127" customFormat="false" ht="15" hidden="false" customHeight="false" outlineLevel="0" collapsed="false">
      <c r="A127" s="10" t="str">
        <f aca="false">IF(C127="","","LKW-"&amp;IFERROR(VLOOKUP(C127,Lists!$AQ$4:$AR$17,2,0),"??")&amp;"-W"&amp;TEXT(E127*1000,"0000")&amp;"-H"&amp;TEXT(F127*1000,"0000")&amp;"-B"&amp;TEXT(G127*1000,"0000")&amp;"-"&amp;W127)</f>
        <v/>
      </c>
      <c r="B127" s="10" t="str">
        <f aca="false">IF(C127="","",C127&amp;", "&amp;E127&amp;" m wide, "&amp;F127&amp;" m headroom, "&amp;G127&amp;" m bays, "&amp;H127&amp;" ("&amp;D127&amp;")")</f>
        <v/>
      </c>
      <c r="C127" s="9"/>
      <c r="D127" s="9"/>
      <c r="E127" s="43"/>
      <c r="F127" s="43"/>
      <c r="G127" s="43"/>
      <c r="H127" s="9"/>
      <c r="I127" s="9"/>
      <c r="J127" s="9"/>
      <c r="K127" s="9"/>
      <c r="L127" s="9"/>
      <c r="M127" s="9"/>
      <c r="N127" s="9"/>
      <c r="O127" s="9"/>
      <c r="P127" s="40"/>
      <c r="Q127" s="43"/>
      <c r="R127" s="9"/>
      <c r="S127" s="9"/>
      <c r="T127" s="9"/>
      <c r="U127" s="43"/>
      <c r="V127" s="9"/>
      <c r="W127" s="9"/>
      <c r="X127" s="9"/>
      <c r="Y127" s="9"/>
      <c r="Z127" s="9"/>
      <c r="AA127" s="9"/>
      <c r="AB127" s="10" t="str">
        <f aca="false">IF(A127="","",SG_Criteria!$B$6&amp;SG_Criteria!$B$12&amp;"\"&amp;A127&amp;"\")</f>
        <v/>
      </c>
      <c r="AC127" s="10" t="str">
        <f aca="false">IF(A127="","",A127&amp;"_CAD.dwg")</f>
        <v/>
      </c>
      <c r="AD127" s="10" t="str">
        <f aca="false">IF(A127="","",A127&amp;"_DWG.pdf")</f>
        <v/>
      </c>
      <c r="AE127" s="10" t="str">
        <f aca="false">IF(A127="","",IF(AA127="Y",A127&amp;"_STAAD.std","n/a"))</f>
        <v/>
      </c>
      <c r="AF127" s="10" t="str">
        <f aca="false">IF(A127="","",A127&amp;"_CALC.xlsx")</f>
        <v/>
      </c>
      <c r="AG127" s="10" t="str">
        <f aca="false">IF(A127="","",A127&amp;"_CALC.pdf")</f>
        <v/>
      </c>
      <c r="AH127" s="9"/>
      <c r="AI127" s="9"/>
      <c r="AJ127" s="41"/>
      <c r="AK127" s="41"/>
      <c r="AL127" s="41"/>
      <c r="AM127" s="41"/>
      <c r="AN127" s="41"/>
      <c r="AO127" s="38" t="str">
        <f aca="false">IF(C127="","",IF(LEN(IF(AND(C127&lt;&gt;"High Covered Linkway",F127&lt;SG_Criteria!$B$46),"FAIL: headroom below "&amp;SG_Criteria!$B$46&amp;" m. ","")&amp;IF(AND(C127="High Covered Linkway",F127&lt;SG_Criteria!$B$47),"FAIL: high linkway headroom below "&amp;SG_Criteria!$B$47&amp;" m. ","")&amp;IF(E127&lt;SG_Criteria!$B$48,"FAIL: roof width below "&amp;SG_Criteria!$B$48&amp;" m. ",IF(E127&lt;SG_Criteria!$B$49,"NOTE: not for MRT/LRT or high-traffic routes (min "&amp;SG_Criteria!$B$49&amp;" m). ",""))&amp;IF(AND(P127&lt;&gt;"",P127&lt;SG_Criteria!$B$50),"FAIL: wind speed below "&amp;SG_Criteria!$B$50&amp;" m/s. ","")&amp;IF(AND(Q127&lt;&gt;"",Q127&lt;SG_Criteria!$B$51),"FAIL: roof fixing pull-out below "&amp;SG_Criteria!$B$51&amp;" kN. ","")&amp;IF(AND(R127&lt;&gt;"",IFERROR(VALUE(MID(R127,2,2)),0)&lt;SG_Criteria!$B$52),"FAIL: grade below C"&amp;SG_Criteria!$B$52&amp;". ","")&amp;IF(D127="Non-standard (project design)","NOTE: not an SDRE standard, needs LTA acceptance. ",""))=0,"OK",IF(AND(C127&lt;&gt;"High Covered Linkway",F127&lt;SG_Criteria!$B$46),"FAIL: headroom below "&amp;SG_Criteria!$B$46&amp;" m. ","")&amp;IF(AND(C127="High Covered Linkway",F127&lt;SG_Criteria!$B$47),"FAIL: high linkway headroom below "&amp;SG_Criteria!$B$47&amp;" m. ","")&amp;IF(E127&lt;SG_Criteria!$B$48,"FAIL: roof width below "&amp;SG_Criteria!$B$48&amp;" m. ",IF(E127&lt;SG_Criteria!$B$49,"NOTE: not for MRT/LRT or high-traffic routes (min "&amp;SG_Criteria!$B$49&amp;" m). ",""))&amp;IF(AND(P127&lt;&gt;"",P127&lt;SG_Criteria!$B$50),"FAIL: wind speed below "&amp;SG_Criteria!$B$50&amp;" m/s. ","")&amp;IF(AND(Q127&lt;&gt;"",Q127&lt;SG_Criteria!$B$51),"FAIL: roof fixing pull-out below "&amp;SG_Criteria!$B$51&amp;" kN. ","")&amp;IF(AND(R127&lt;&gt;"",IFERROR(VALUE(MID(R127,2,2)),0)&lt;SG_Criteria!$B$52),"FAIL: grade below C"&amp;SG_Criteria!$B$52&amp;". ","")&amp;IF(D127="Non-standard (project design)","NOTE: not an SDRE standard, needs LTA acceptance. ","")))</f>
        <v/>
      </c>
      <c r="AP127" s="9"/>
      <c r="AQ127" s="9"/>
      <c r="AR127" s="9"/>
      <c r="AS127" s="9"/>
      <c r="AT127" s="9"/>
      <c r="AU127" s="31"/>
      <c r="AV127" s="10" t="str">
        <f aca="false">IF(C127="","",IF(AND(X127="Approved",ISERROR(SEARCH("FAIL",AO127))),"Y","N"))</f>
        <v/>
      </c>
      <c r="AW127" s="10" t="str">
        <f aca="false">IF(C127="","",C127&amp;"|"&amp;E127&amp;"|"&amp;F127&amp;"|"&amp;AV127)</f>
        <v/>
      </c>
    </row>
    <row r="128" customFormat="false" ht="15" hidden="false" customHeight="false" outlineLevel="0" collapsed="false">
      <c r="A128" s="10" t="str">
        <f aca="false">IF(C128="","","LKW-"&amp;IFERROR(VLOOKUP(C128,Lists!$AQ$4:$AR$17,2,0),"??")&amp;"-W"&amp;TEXT(E128*1000,"0000")&amp;"-H"&amp;TEXT(F128*1000,"0000")&amp;"-B"&amp;TEXT(G128*1000,"0000")&amp;"-"&amp;W128)</f>
        <v/>
      </c>
      <c r="B128" s="10" t="str">
        <f aca="false">IF(C128="","",C128&amp;", "&amp;E128&amp;" m wide, "&amp;F128&amp;" m headroom, "&amp;G128&amp;" m bays, "&amp;H128&amp;" ("&amp;D128&amp;")")</f>
        <v/>
      </c>
      <c r="C128" s="9"/>
      <c r="D128" s="9"/>
      <c r="E128" s="43"/>
      <c r="F128" s="43"/>
      <c r="G128" s="43"/>
      <c r="H128" s="9"/>
      <c r="I128" s="9"/>
      <c r="J128" s="9"/>
      <c r="K128" s="9"/>
      <c r="L128" s="9"/>
      <c r="M128" s="9"/>
      <c r="N128" s="9"/>
      <c r="O128" s="9"/>
      <c r="P128" s="40"/>
      <c r="Q128" s="43"/>
      <c r="R128" s="9"/>
      <c r="S128" s="9"/>
      <c r="T128" s="9"/>
      <c r="U128" s="43"/>
      <c r="V128" s="9"/>
      <c r="W128" s="9"/>
      <c r="X128" s="9"/>
      <c r="Y128" s="9"/>
      <c r="Z128" s="9"/>
      <c r="AA128" s="9"/>
      <c r="AB128" s="10" t="str">
        <f aca="false">IF(A128="","",SG_Criteria!$B$6&amp;SG_Criteria!$B$12&amp;"\"&amp;A128&amp;"\")</f>
        <v/>
      </c>
      <c r="AC128" s="10" t="str">
        <f aca="false">IF(A128="","",A128&amp;"_CAD.dwg")</f>
        <v/>
      </c>
      <c r="AD128" s="10" t="str">
        <f aca="false">IF(A128="","",A128&amp;"_DWG.pdf")</f>
        <v/>
      </c>
      <c r="AE128" s="10" t="str">
        <f aca="false">IF(A128="","",IF(AA128="Y",A128&amp;"_STAAD.std","n/a"))</f>
        <v/>
      </c>
      <c r="AF128" s="10" t="str">
        <f aca="false">IF(A128="","",A128&amp;"_CALC.xlsx")</f>
        <v/>
      </c>
      <c r="AG128" s="10" t="str">
        <f aca="false">IF(A128="","",A128&amp;"_CALC.pdf")</f>
        <v/>
      </c>
      <c r="AH128" s="9"/>
      <c r="AI128" s="9"/>
      <c r="AJ128" s="41"/>
      <c r="AK128" s="41"/>
      <c r="AL128" s="41"/>
      <c r="AM128" s="41"/>
      <c r="AN128" s="41"/>
      <c r="AO128" s="38" t="str">
        <f aca="false">IF(C128="","",IF(LEN(IF(AND(C128&lt;&gt;"High Covered Linkway",F128&lt;SG_Criteria!$B$46),"FAIL: headroom below "&amp;SG_Criteria!$B$46&amp;" m. ","")&amp;IF(AND(C128="High Covered Linkway",F128&lt;SG_Criteria!$B$47),"FAIL: high linkway headroom below "&amp;SG_Criteria!$B$47&amp;" m. ","")&amp;IF(E128&lt;SG_Criteria!$B$48,"FAIL: roof width below "&amp;SG_Criteria!$B$48&amp;" m. ",IF(E128&lt;SG_Criteria!$B$49,"NOTE: not for MRT/LRT or high-traffic routes (min "&amp;SG_Criteria!$B$49&amp;" m). ",""))&amp;IF(AND(P128&lt;&gt;"",P128&lt;SG_Criteria!$B$50),"FAIL: wind speed below "&amp;SG_Criteria!$B$50&amp;" m/s. ","")&amp;IF(AND(Q128&lt;&gt;"",Q128&lt;SG_Criteria!$B$51),"FAIL: roof fixing pull-out below "&amp;SG_Criteria!$B$51&amp;" kN. ","")&amp;IF(AND(R128&lt;&gt;"",IFERROR(VALUE(MID(R128,2,2)),0)&lt;SG_Criteria!$B$52),"FAIL: grade below C"&amp;SG_Criteria!$B$52&amp;". ","")&amp;IF(D128="Non-standard (project design)","NOTE: not an SDRE standard, needs LTA acceptance. ",""))=0,"OK",IF(AND(C128&lt;&gt;"High Covered Linkway",F128&lt;SG_Criteria!$B$46),"FAIL: headroom below "&amp;SG_Criteria!$B$46&amp;" m. ","")&amp;IF(AND(C128="High Covered Linkway",F128&lt;SG_Criteria!$B$47),"FAIL: high linkway headroom below "&amp;SG_Criteria!$B$47&amp;" m. ","")&amp;IF(E128&lt;SG_Criteria!$B$48,"FAIL: roof width below "&amp;SG_Criteria!$B$48&amp;" m. ",IF(E128&lt;SG_Criteria!$B$49,"NOTE: not for MRT/LRT or high-traffic routes (min "&amp;SG_Criteria!$B$49&amp;" m). ",""))&amp;IF(AND(P128&lt;&gt;"",P128&lt;SG_Criteria!$B$50),"FAIL: wind speed below "&amp;SG_Criteria!$B$50&amp;" m/s. ","")&amp;IF(AND(Q128&lt;&gt;"",Q128&lt;SG_Criteria!$B$51),"FAIL: roof fixing pull-out below "&amp;SG_Criteria!$B$51&amp;" kN. ","")&amp;IF(AND(R128&lt;&gt;"",IFERROR(VALUE(MID(R128,2,2)),0)&lt;SG_Criteria!$B$52),"FAIL: grade below C"&amp;SG_Criteria!$B$52&amp;". ","")&amp;IF(D128="Non-standard (project design)","NOTE: not an SDRE standard, needs LTA acceptance. ","")))</f>
        <v/>
      </c>
      <c r="AP128" s="9"/>
      <c r="AQ128" s="9"/>
      <c r="AR128" s="9"/>
      <c r="AS128" s="9"/>
      <c r="AT128" s="9"/>
      <c r="AU128" s="31"/>
      <c r="AV128" s="10" t="str">
        <f aca="false">IF(C128="","",IF(AND(X128="Approved",ISERROR(SEARCH("FAIL",AO128))),"Y","N"))</f>
        <v/>
      </c>
      <c r="AW128" s="10" t="str">
        <f aca="false">IF(C128="","",C128&amp;"|"&amp;E128&amp;"|"&amp;F128&amp;"|"&amp;AV128)</f>
        <v/>
      </c>
    </row>
    <row r="129" customFormat="false" ht="15" hidden="false" customHeight="false" outlineLevel="0" collapsed="false">
      <c r="A129" s="10" t="str">
        <f aca="false">IF(C129="","","LKW-"&amp;IFERROR(VLOOKUP(C129,Lists!$AQ$4:$AR$17,2,0),"??")&amp;"-W"&amp;TEXT(E129*1000,"0000")&amp;"-H"&amp;TEXT(F129*1000,"0000")&amp;"-B"&amp;TEXT(G129*1000,"0000")&amp;"-"&amp;W129)</f>
        <v/>
      </c>
      <c r="B129" s="10" t="str">
        <f aca="false">IF(C129="","",C129&amp;", "&amp;E129&amp;" m wide, "&amp;F129&amp;" m headroom, "&amp;G129&amp;" m bays, "&amp;H129&amp;" ("&amp;D129&amp;")")</f>
        <v/>
      </c>
      <c r="C129" s="9"/>
      <c r="D129" s="9"/>
      <c r="E129" s="43"/>
      <c r="F129" s="43"/>
      <c r="G129" s="43"/>
      <c r="H129" s="9"/>
      <c r="I129" s="9"/>
      <c r="J129" s="9"/>
      <c r="K129" s="9"/>
      <c r="L129" s="9"/>
      <c r="M129" s="9"/>
      <c r="N129" s="9"/>
      <c r="O129" s="9"/>
      <c r="P129" s="40"/>
      <c r="Q129" s="43"/>
      <c r="R129" s="9"/>
      <c r="S129" s="9"/>
      <c r="T129" s="9"/>
      <c r="U129" s="43"/>
      <c r="V129" s="9"/>
      <c r="W129" s="9"/>
      <c r="X129" s="9"/>
      <c r="Y129" s="9"/>
      <c r="Z129" s="9"/>
      <c r="AA129" s="9"/>
      <c r="AB129" s="10" t="str">
        <f aca="false">IF(A129="","",SG_Criteria!$B$6&amp;SG_Criteria!$B$12&amp;"\"&amp;A129&amp;"\")</f>
        <v/>
      </c>
      <c r="AC129" s="10" t="str">
        <f aca="false">IF(A129="","",A129&amp;"_CAD.dwg")</f>
        <v/>
      </c>
      <c r="AD129" s="10" t="str">
        <f aca="false">IF(A129="","",A129&amp;"_DWG.pdf")</f>
        <v/>
      </c>
      <c r="AE129" s="10" t="str">
        <f aca="false">IF(A129="","",IF(AA129="Y",A129&amp;"_STAAD.std","n/a"))</f>
        <v/>
      </c>
      <c r="AF129" s="10" t="str">
        <f aca="false">IF(A129="","",A129&amp;"_CALC.xlsx")</f>
        <v/>
      </c>
      <c r="AG129" s="10" t="str">
        <f aca="false">IF(A129="","",A129&amp;"_CALC.pdf")</f>
        <v/>
      </c>
      <c r="AH129" s="9"/>
      <c r="AI129" s="9"/>
      <c r="AJ129" s="41"/>
      <c r="AK129" s="41"/>
      <c r="AL129" s="41"/>
      <c r="AM129" s="41"/>
      <c r="AN129" s="41"/>
      <c r="AO129" s="38" t="str">
        <f aca="false">IF(C129="","",IF(LEN(IF(AND(C129&lt;&gt;"High Covered Linkway",F129&lt;SG_Criteria!$B$46),"FAIL: headroom below "&amp;SG_Criteria!$B$46&amp;" m. ","")&amp;IF(AND(C129="High Covered Linkway",F129&lt;SG_Criteria!$B$47),"FAIL: high linkway headroom below "&amp;SG_Criteria!$B$47&amp;" m. ","")&amp;IF(E129&lt;SG_Criteria!$B$48,"FAIL: roof width below "&amp;SG_Criteria!$B$48&amp;" m. ",IF(E129&lt;SG_Criteria!$B$49,"NOTE: not for MRT/LRT or high-traffic routes (min "&amp;SG_Criteria!$B$49&amp;" m). ",""))&amp;IF(AND(P129&lt;&gt;"",P129&lt;SG_Criteria!$B$50),"FAIL: wind speed below "&amp;SG_Criteria!$B$50&amp;" m/s. ","")&amp;IF(AND(Q129&lt;&gt;"",Q129&lt;SG_Criteria!$B$51),"FAIL: roof fixing pull-out below "&amp;SG_Criteria!$B$51&amp;" kN. ","")&amp;IF(AND(R129&lt;&gt;"",IFERROR(VALUE(MID(R129,2,2)),0)&lt;SG_Criteria!$B$52),"FAIL: grade below C"&amp;SG_Criteria!$B$52&amp;". ","")&amp;IF(D129="Non-standard (project design)","NOTE: not an SDRE standard, needs LTA acceptance. ",""))=0,"OK",IF(AND(C129&lt;&gt;"High Covered Linkway",F129&lt;SG_Criteria!$B$46),"FAIL: headroom below "&amp;SG_Criteria!$B$46&amp;" m. ","")&amp;IF(AND(C129="High Covered Linkway",F129&lt;SG_Criteria!$B$47),"FAIL: high linkway headroom below "&amp;SG_Criteria!$B$47&amp;" m. ","")&amp;IF(E129&lt;SG_Criteria!$B$48,"FAIL: roof width below "&amp;SG_Criteria!$B$48&amp;" m. ",IF(E129&lt;SG_Criteria!$B$49,"NOTE: not for MRT/LRT or high-traffic routes (min "&amp;SG_Criteria!$B$49&amp;" m). ",""))&amp;IF(AND(P129&lt;&gt;"",P129&lt;SG_Criteria!$B$50),"FAIL: wind speed below "&amp;SG_Criteria!$B$50&amp;" m/s. ","")&amp;IF(AND(Q129&lt;&gt;"",Q129&lt;SG_Criteria!$B$51),"FAIL: roof fixing pull-out below "&amp;SG_Criteria!$B$51&amp;" kN. ","")&amp;IF(AND(R129&lt;&gt;"",IFERROR(VALUE(MID(R129,2,2)),0)&lt;SG_Criteria!$B$52),"FAIL: grade below C"&amp;SG_Criteria!$B$52&amp;". ","")&amp;IF(D129="Non-standard (project design)","NOTE: not an SDRE standard, needs LTA acceptance. ","")))</f>
        <v/>
      </c>
      <c r="AP129" s="9"/>
      <c r="AQ129" s="9"/>
      <c r="AR129" s="9"/>
      <c r="AS129" s="9"/>
      <c r="AT129" s="9"/>
      <c r="AU129" s="31"/>
      <c r="AV129" s="10" t="str">
        <f aca="false">IF(C129="","",IF(AND(X129="Approved",ISERROR(SEARCH("FAIL",AO129))),"Y","N"))</f>
        <v/>
      </c>
      <c r="AW129" s="10" t="str">
        <f aca="false">IF(C129="","",C129&amp;"|"&amp;E129&amp;"|"&amp;F129&amp;"|"&amp;AV129)</f>
        <v/>
      </c>
    </row>
    <row r="130" customFormat="false" ht="15" hidden="false" customHeight="false" outlineLevel="0" collapsed="false">
      <c r="A130" s="10" t="str">
        <f aca="false">IF(C130="","","LKW-"&amp;IFERROR(VLOOKUP(C130,Lists!$AQ$4:$AR$17,2,0),"??")&amp;"-W"&amp;TEXT(E130*1000,"0000")&amp;"-H"&amp;TEXT(F130*1000,"0000")&amp;"-B"&amp;TEXT(G130*1000,"0000")&amp;"-"&amp;W130)</f>
        <v/>
      </c>
      <c r="B130" s="10" t="str">
        <f aca="false">IF(C130="","",C130&amp;", "&amp;E130&amp;" m wide, "&amp;F130&amp;" m headroom, "&amp;G130&amp;" m bays, "&amp;H130&amp;" ("&amp;D130&amp;")")</f>
        <v/>
      </c>
      <c r="C130" s="9"/>
      <c r="D130" s="9"/>
      <c r="E130" s="43"/>
      <c r="F130" s="43"/>
      <c r="G130" s="43"/>
      <c r="H130" s="9"/>
      <c r="I130" s="9"/>
      <c r="J130" s="9"/>
      <c r="K130" s="9"/>
      <c r="L130" s="9"/>
      <c r="M130" s="9"/>
      <c r="N130" s="9"/>
      <c r="O130" s="9"/>
      <c r="P130" s="40"/>
      <c r="Q130" s="43"/>
      <c r="R130" s="9"/>
      <c r="S130" s="9"/>
      <c r="T130" s="9"/>
      <c r="U130" s="43"/>
      <c r="V130" s="9"/>
      <c r="W130" s="9"/>
      <c r="X130" s="9"/>
      <c r="Y130" s="9"/>
      <c r="Z130" s="9"/>
      <c r="AA130" s="9"/>
      <c r="AB130" s="10" t="str">
        <f aca="false">IF(A130="","",SG_Criteria!$B$6&amp;SG_Criteria!$B$12&amp;"\"&amp;A130&amp;"\")</f>
        <v/>
      </c>
      <c r="AC130" s="10" t="str">
        <f aca="false">IF(A130="","",A130&amp;"_CAD.dwg")</f>
        <v/>
      </c>
      <c r="AD130" s="10" t="str">
        <f aca="false">IF(A130="","",A130&amp;"_DWG.pdf")</f>
        <v/>
      </c>
      <c r="AE130" s="10" t="str">
        <f aca="false">IF(A130="","",IF(AA130="Y",A130&amp;"_STAAD.std","n/a"))</f>
        <v/>
      </c>
      <c r="AF130" s="10" t="str">
        <f aca="false">IF(A130="","",A130&amp;"_CALC.xlsx")</f>
        <v/>
      </c>
      <c r="AG130" s="10" t="str">
        <f aca="false">IF(A130="","",A130&amp;"_CALC.pdf")</f>
        <v/>
      </c>
      <c r="AH130" s="9"/>
      <c r="AI130" s="9"/>
      <c r="AJ130" s="41"/>
      <c r="AK130" s="41"/>
      <c r="AL130" s="41"/>
      <c r="AM130" s="41"/>
      <c r="AN130" s="41"/>
      <c r="AO130" s="38" t="str">
        <f aca="false">IF(C130="","",IF(LEN(IF(AND(C130&lt;&gt;"High Covered Linkway",F130&lt;SG_Criteria!$B$46),"FAIL: headroom below "&amp;SG_Criteria!$B$46&amp;" m. ","")&amp;IF(AND(C130="High Covered Linkway",F130&lt;SG_Criteria!$B$47),"FAIL: high linkway headroom below "&amp;SG_Criteria!$B$47&amp;" m. ","")&amp;IF(E130&lt;SG_Criteria!$B$48,"FAIL: roof width below "&amp;SG_Criteria!$B$48&amp;" m. ",IF(E130&lt;SG_Criteria!$B$49,"NOTE: not for MRT/LRT or high-traffic routes (min "&amp;SG_Criteria!$B$49&amp;" m). ",""))&amp;IF(AND(P130&lt;&gt;"",P130&lt;SG_Criteria!$B$50),"FAIL: wind speed below "&amp;SG_Criteria!$B$50&amp;" m/s. ","")&amp;IF(AND(Q130&lt;&gt;"",Q130&lt;SG_Criteria!$B$51),"FAIL: roof fixing pull-out below "&amp;SG_Criteria!$B$51&amp;" kN. ","")&amp;IF(AND(R130&lt;&gt;"",IFERROR(VALUE(MID(R130,2,2)),0)&lt;SG_Criteria!$B$52),"FAIL: grade below C"&amp;SG_Criteria!$B$52&amp;". ","")&amp;IF(D130="Non-standard (project design)","NOTE: not an SDRE standard, needs LTA acceptance. ",""))=0,"OK",IF(AND(C130&lt;&gt;"High Covered Linkway",F130&lt;SG_Criteria!$B$46),"FAIL: headroom below "&amp;SG_Criteria!$B$46&amp;" m. ","")&amp;IF(AND(C130="High Covered Linkway",F130&lt;SG_Criteria!$B$47),"FAIL: high linkway headroom below "&amp;SG_Criteria!$B$47&amp;" m. ","")&amp;IF(E130&lt;SG_Criteria!$B$48,"FAIL: roof width below "&amp;SG_Criteria!$B$48&amp;" m. ",IF(E130&lt;SG_Criteria!$B$49,"NOTE: not for MRT/LRT or high-traffic routes (min "&amp;SG_Criteria!$B$49&amp;" m). ",""))&amp;IF(AND(P130&lt;&gt;"",P130&lt;SG_Criteria!$B$50),"FAIL: wind speed below "&amp;SG_Criteria!$B$50&amp;" m/s. ","")&amp;IF(AND(Q130&lt;&gt;"",Q130&lt;SG_Criteria!$B$51),"FAIL: roof fixing pull-out below "&amp;SG_Criteria!$B$51&amp;" kN. ","")&amp;IF(AND(R130&lt;&gt;"",IFERROR(VALUE(MID(R130,2,2)),0)&lt;SG_Criteria!$B$52),"FAIL: grade below C"&amp;SG_Criteria!$B$52&amp;". ","")&amp;IF(D130="Non-standard (project design)","NOTE: not an SDRE standard, needs LTA acceptance. ","")))</f>
        <v/>
      </c>
      <c r="AP130" s="9"/>
      <c r="AQ130" s="9"/>
      <c r="AR130" s="9"/>
      <c r="AS130" s="9"/>
      <c r="AT130" s="9"/>
      <c r="AU130" s="31"/>
      <c r="AV130" s="10" t="str">
        <f aca="false">IF(C130="","",IF(AND(X130="Approved",ISERROR(SEARCH("FAIL",AO130))),"Y","N"))</f>
        <v/>
      </c>
      <c r="AW130" s="10" t="str">
        <f aca="false">IF(C130="","",C130&amp;"|"&amp;E130&amp;"|"&amp;F130&amp;"|"&amp;AV130)</f>
        <v/>
      </c>
    </row>
    <row r="131" customFormat="false" ht="15" hidden="false" customHeight="false" outlineLevel="0" collapsed="false">
      <c r="A131" s="10" t="str">
        <f aca="false">IF(C131="","","LKW-"&amp;IFERROR(VLOOKUP(C131,Lists!$AQ$4:$AR$17,2,0),"??")&amp;"-W"&amp;TEXT(E131*1000,"0000")&amp;"-H"&amp;TEXT(F131*1000,"0000")&amp;"-B"&amp;TEXT(G131*1000,"0000")&amp;"-"&amp;W131)</f>
        <v/>
      </c>
      <c r="B131" s="10" t="str">
        <f aca="false">IF(C131="","",C131&amp;", "&amp;E131&amp;" m wide, "&amp;F131&amp;" m headroom, "&amp;G131&amp;" m bays, "&amp;H131&amp;" ("&amp;D131&amp;")")</f>
        <v/>
      </c>
      <c r="C131" s="9"/>
      <c r="D131" s="9"/>
      <c r="E131" s="43"/>
      <c r="F131" s="43"/>
      <c r="G131" s="43"/>
      <c r="H131" s="9"/>
      <c r="I131" s="9"/>
      <c r="J131" s="9"/>
      <c r="K131" s="9"/>
      <c r="L131" s="9"/>
      <c r="M131" s="9"/>
      <c r="N131" s="9"/>
      <c r="O131" s="9"/>
      <c r="P131" s="40"/>
      <c r="Q131" s="43"/>
      <c r="R131" s="9"/>
      <c r="S131" s="9"/>
      <c r="T131" s="9"/>
      <c r="U131" s="43"/>
      <c r="V131" s="9"/>
      <c r="W131" s="9"/>
      <c r="X131" s="9"/>
      <c r="Y131" s="9"/>
      <c r="Z131" s="9"/>
      <c r="AA131" s="9"/>
      <c r="AB131" s="10" t="str">
        <f aca="false">IF(A131="","",SG_Criteria!$B$6&amp;SG_Criteria!$B$12&amp;"\"&amp;A131&amp;"\")</f>
        <v/>
      </c>
      <c r="AC131" s="10" t="str">
        <f aca="false">IF(A131="","",A131&amp;"_CAD.dwg")</f>
        <v/>
      </c>
      <c r="AD131" s="10" t="str">
        <f aca="false">IF(A131="","",A131&amp;"_DWG.pdf")</f>
        <v/>
      </c>
      <c r="AE131" s="10" t="str">
        <f aca="false">IF(A131="","",IF(AA131="Y",A131&amp;"_STAAD.std","n/a"))</f>
        <v/>
      </c>
      <c r="AF131" s="10" t="str">
        <f aca="false">IF(A131="","",A131&amp;"_CALC.xlsx")</f>
        <v/>
      </c>
      <c r="AG131" s="10" t="str">
        <f aca="false">IF(A131="","",A131&amp;"_CALC.pdf")</f>
        <v/>
      </c>
      <c r="AH131" s="9"/>
      <c r="AI131" s="9"/>
      <c r="AJ131" s="41"/>
      <c r="AK131" s="41"/>
      <c r="AL131" s="41"/>
      <c r="AM131" s="41"/>
      <c r="AN131" s="41"/>
      <c r="AO131" s="38" t="str">
        <f aca="false">IF(C131="","",IF(LEN(IF(AND(C131&lt;&gt;"High Covered Linkway",F131&lt;SG_Criteria!$B$46),"FAIL: headroom below "&amp;SG_Criteria!$B$46&amp;" m. ","")&amp;IF(AND(C131="High Covered Linkway",F131&lt;SG_Criteria!$B$47),"FAIL: high linkway headroom below "&amp;SG_Criteria!$B$47&amp;" m. ","")&amp;IF(E131&lt;SG_Criteria!$B$48,"FAIL: roof width below "&amp;SG_Criteria!$B$48&amp;" m. ",IF(E131&lt;SG_Criteria!$B$49,"NOTE: not for MRT/LRT or high-traffic routes (min "&amp;SG_Criteria!$B$49&amp;" m). ",""))&amp;IF(AND(P131&lt;&gt;"",P131&lt;SG_Criteria!$B$50),"FAIL: wind speed below "&amp;SG_Criteria!$B$50&amp;" m/s. ","")&amp;IF(AND(Q131&lt;&gt;"",Q131&lt;SG_Criteria!$B$51),"FAIL: roof fixing pull-out below "&amp;SG_Criteria!$B$51&amp;" kN. ","")&amp;IF(AND(R131&lt;&gt;"",IFERROR(VALUE(MID(R131,2,2)),0)&lt;SG_Criteria!$B$52),"FAIL: grade below C"&amp;SG_Criteria!$B$52&amp;". ","")&amp;IF(D131="Non-standard (project design)","NOTE: not an SDRE standard, needs LTA acceptance. ",""))=0,"OK",IF(AND(C131&lt;&gt;"High Covered Linkway",F131&lt;SG_Criteria!$B$46),"FAIL: headroom below "&amp;SG_Criteria!$B$46&amp;" m. ","")&amp;IF(AND(C131="High Covered Linkway",F131&lt;SG_Criteria!$B$47),"FAIL: high linkway headroom below "&amp;SG_Criteria!$B$47&amp;" m. ","")&amp;IF(E131&lt;SG_Criteria!$B$48,"FAIL: roof width below "&amp;SG_Criteria!$B$48&amp;" m. ",IF(E131&lt;SG_Criteria!$B$49,"NOTE: not for MRT/LRT or high-traffic routes (min "&amp;SG_Criteria!$B$49&amp;" m). ",""))&amp;IF(AND(P131&lt;&gt;"",P131&lt;SG_Criteria!$B$50),"FAIL: wind speed below "&amp;SG_Criteria!$B$50&amp;" m/s. ","")&amp;IF(AND(Q131&lt;&gt;"",Q131&lt;SG_Criteria!$B$51),"FAIL: roof fixing pull-out below "&amp;SG_Criteria!$B$51&amp;" kN. ","")&amp;IF(AND(R131&lt;&gt;"",IFERROR(VALUE(MID(R131,2,2)),0)&lt;SG_Criteria!$B$52),"FAIL: grade below C"&amp;SG_Criteria!$B$52&amp;". ","")&amp;IF(D131="Non-standard (project design)","NOTE: not an SDRE standard, needs LTA acceptance. ","")))</f>
        <v/>
      </c>
      <c r="AP131" s="9"/>
      <c r="AQ131" s="9"/>
      <c r="AR131" s="9"/>
      <c r="AS131" s="9"/>
      <c r="AT131" s="9"/>
      <c r="AU131" s="31"/>
      <c r="AV131" s="10" t="str">
        <f aca="false">IF(C131="","",IF(AND(X131="Approved",ISERROR(SEARCH("FAIL",AO131))),"Y","N"))</f>
        <v/>
      </c>
      <c r="AW131" s="10" t="str">
        <f aca="false">IF(C131="","",C131&amp;"|"&amp;E131&amp;"|"&amp;F131&amp;"|"&amp;AV131)</f>
        <v/>
      </c>
    </row>
    <row r="132" customFormat="false" ht="15" hidden="false" customHeight="false" outlineLevel="0" collapsed="false">
      <c r="A132" s="10" t="str">
        <f aca="false">IF(C132="","","LKW-"&amp;IFERROR(VLOOKUP(C132,Lists!$AQ$4:$AR$17,2,0),"??")&amp;"-W"&amp;TEXT(E132*1000,"0000")&amp;"-H"&amp;TEXT(F132*1000,"0000")&amp;"-B"&amp;TEXT(G132*1000,"0000")&amp;"-"&amp;W132)</f>
        <v/>
      </c>
      <c r="B132" s="10" t="str">
        <f aca="false">IF(C132="","",C132&amp;", "&amp;E132&amp;" m wide, "&amp;F132&amp;" m headroom, "&amp;G132&amp;" m bays, "&amp;H132&amp;" ("&amp;D132&amp;")")</f>
        <v/>
      </c>
      <c r="C132" s="9"/>
      <c r="D132" s="9"/>
      <c r="E132" s="43"/>
      <c r="F132" s="43"/>
      <c r="G132" s="43"/>
      <c r="H132" s="9"/>
      <c r="I132" s="9"/>
      <c r="J132" s="9"/>
      <c r="K132" s="9"/>
      <c r="L132" s="9"/>
      <c r="M132" s="9"/>
      <c r="N132" s="9"/>
      <c r="O132" s="9"/>
      <c r="P132" s="40"/>
      <c r="Q132" s="43"/>
      <c r="R132" s="9"/>
      <c r="S132" s="9"/>
      <c r="T132" s="9"/>
      <c r="U132" s="43"/>
      <c r="V132" s="9"/>
      <c r="W132" s="9"/>
      <c r="X132" s="9"/>
      <c r="Y132" s="9"/>
      <c r="Z132" s="9"/>
      <c r="AA132" s="9"/>
      <c r="AB132" s="10" t="str">
        <f aca="false">IF(A132="","",SG_Criteria!$B$6&amp;SG_Criteria!$B$12&amp;"\"&amp;A132&amp;"\")</f>
        <v/>
      </c>
      <c r="AC132" s="10" t="str">
        <f aca="false">IF(A132="","",A132&amp;"_CAD.dwg")</f>
        <v/>
      </c>
      <c r="AD132" s="10" t="str">
        <f aca="false">IF(A132="","",A132&amp;"_DWG.pdf")</f>
        <v/>
      </c>
      <c r="AE132" s="10" t="str">
        <f aca="false">IF(A132="","",IF(AA132="Y",A132&amp;"_STAAD.std","n/a"))</f>
        <v/>
      </c>
      <c r="AF132" s="10" t="str">
        <f aca="false">IF(A132="","",A132&amp;"_CALC.xlsx")</f>
        <v/>
      </c>
      <c r="AG132" s="10" t="str">
        <f aca="false">IF(A132="","",A132&amp;"_CALC.pdf")</f>
        <v/>
      </c>
      <c r="AH132" s="9"/>
      <c r="AI132" s="9"/>
      <c r="AJ132" s="41"/>
      <c r="AK132" s="41"/>
      <c r="AL132" s="41"/>
      <c r="AM132" s="41"/>
      <c r="AN132" s="41"/>
      <c r="AO132" s="38" t="str">
        <f aca="false">IF(C132="","",IF(LEN(IF(AND(C132&lt;&gt;"High Covered Linkway",F132&lt;SG_Criteria!$B$46),"FAIL: headroom below "&amp;SG_Criteria!$B$46&amp;" m. ","")&amp;IF(AND(C132="High Covered Linkway",F132&lt;SG_Criteria!$B$47),"FAIL: high linkway headroom below "&amp;SG_Criteria!$B$47&amp;" m. ","")&amp;IF(E132&lt;SG_Criteria!$B$48,"FAIL: roof width below "&amp;SG_Criteria!$B$48&amp;" m. ",IF(E132&lt;SG_Criteria!$B$49,"NOTE: not for MRT/LRT or high-traffic routes (min "&amp;SG_Criteria!$B$49&amp;" m). ",""))&amp;IF(AND(P132&lt;&gt;"",P132&lt;SG_Criteria!$B$50),"FAIL: wind speed below "&amp;SG_Criteria!$B$50&amp;" m/s. ","")&amp;IF(AND(Q132&lt;&gt;"",Q132&lt;SG_Criteria!$B$51),"FAIL: roof fixing pull-out below "&amp;SG_Criteria!$B$51&amp;" kN. ","")&amp;IF(AND(R132&lt;&gt;"",IFERROR(VALUE(MID(R132,2,2)),0)&lt;SG_Criteria!$B$52),"FAIL: grade below C"&amp;SG_Criteria!$B$52&amp;". ","")&amp;IF(D132="Non-standard (project design)","NOTE: not an SDRE standard, needs LTA acceptance. ",""))=0,"OK",IF(AND(C132&lt;&gt;"High Covered Linkway",F132&lt;SG_Criteria!$B$46),"FAIL: headroom below "&amp;SG_Criteria!$B$46&amp;" m. ","")&amp;IF(AND(C132="High Covered Linkway",F132&lt;SG_Criteria!$B$47),"FAIL: high linkway headroom below "&amp;SG_Criteria!$B$47&amp;" m. ","")&amp;IF(E132&lt;SG_Criteria!$B$48,"FAIL: roof width below "&amp;SG_Criteria!$B$48&amp;" m. ",IF(E132&lt;SG_Criteria!$B$49,"NOTE: not for MRT/LRT or high-traffic routes (min "&amp;SG_Criteria!$B$49&amp;" m). ",""))&amp;IF(AND(P132&lt;&gt;"",P132&lt;SG_Criteria!$B$50),"FAIL: wind speed below "&amp;SG_Criteria!$B$50&amp;" m/s. ","")&amp;IF(AND(Q132&lt;&gt;"",Q132&lt;SG_Criteria!$B$51),"FAIL: roof fixing pull-out below "&amp;SG_Criteria!$B$51&amp;" kN. ","")&amp;IF(AND(R132&lt;&gt;"",IFERROR(VALUE(MID(R132,2,2)),0)&lt;SG_Criteria!$B$52),"FAIL: grade below C"&amp;SG_Criteria!$B$52&amp;". ","")&amp;IF(D132="Non-standard (project design)","NOTE: not an SDRE standard, needs LTA acceptance. ","")))</f>
        <v/>
      </c>
      <c r="AP132" s="9"/>
      <c r="AQ132" s="9"/>
      <c r="AR132" s="9"/>
      <c r="AS132" s="9"/>
      <c r="AT132" s="9"/>
      <c r="AU132" s="31"/>
      <c r="AV132" s="10" t="str">
        <f aca="false">IF(C132="","",IF(AND(X132="Approved",ISERROR(SEARCH("FAIL",AO132))),"Y","N"))</f>
        <v/>
      </c>
      <c r="AW132" s="10" t="str">
        <f aca="false">IF(C132="","",C132&amp;"|"&amp;E132&amp;"|"&amp;F132&amp;"|"&amp;AV132)</f>
        <v/>
      </c>
    </row>
    <row r="133" customFormat="false" ht="15" hidden="false" customHeight="false" outlineLevel="0" collapsed="false">
      <c r="A133" s="10" t="str">
        <f aca="false">IF(C133="","","LKW-"&amp;IFERROR(VLOOKUP(C133,Lists!$AQ$4:$AR$17,2,0),"??")&amp;"-W"&amp;TEXT(E133*1000,"0000")&amp;"-H"&amp;TEXT(F133*1000,"0000")&amp;"-B"&amp;TEXT(G133*1000,"0000")&amp;"-"&amp;W133)</f>
        <v/>
      </c>
      <c r="B133" s="10" t="str">
        <f aca="false">IF(C133="","",C133&amp;", "&amp;E133&amp;" m wide, "&amp;F133&amp;" m headroom, "&amp;G133&amp;" m bays, "&amp;H133&amp;" ("&amp;D133&amp;")")</f>
        <v/>
      </c>
      <c r="C133" s="9"/>
      <c r="D133" s="9"/>
      <c r="E133" s="43"/>
      <c r="F133" s="43"/>
      <c r="G133" s="43"/>
      <c r="H133" s="9"/>
      <c r="I133" s="9"/>
      <c r="J133" s="9"/>
      <c r="K133" s="9"/>
      <c r="L133" s="9"/>
      <c r="M133" s="9"/>
      <c r="N133" s="9"/>
      <c r="O133" s="9"/>
      <c r="P133" s="40"/>
      <c r="Q133" s="43"/>
      <c r="R133" s="9"/>
      <c r="S133" s="9"/>
      <c r="T133" s="9"/>
      <c r="U133" s="43"/>
      <c r="V133" s="9"/>
      <c r="W133" s="9"/>
      <c r="X133" s="9"/>
      <c r="Y133" s="9"/>
      <c r="Z133" s="9"/>
      <c r="AA133" s="9"/>
      <c r="AB133" s="10" t="str">
        <f aca="false">IF(A133="","",SG_Criteria!$B$6&amp;SG_Criteria!$B$12&amp;"\"&amp;A133&amp;"\")</f>
        <v/>
      </c>
      <c r="AC133" s="10" t="str">
        <f aca="false">IF(A133="","",A133&amp;"_CAD.dwg")</f>
        <v/>
      </c>
      <c r="AD133" s="10" t="str">
        <f aca="false">IF(A133="","",A133&amp;"_DWG.pdf")</f>
        <v/>
      </c>
      <c r="AE133" s="10" t="str">
        <f aca="false">IF(A133="","",IF(AA133="Y",A133&amp;"_STAAD.std","n/a"))</f>
        <v/>
      </c>
      <c r="AF133" s="10" t="str">
        <f aca="false">IF(A133="","",A133&amp;"_CALC.xlsx")</f>
        <v/>
      </c>
      <c r="AG133" s="10" t="str">
        <f aca="false">IF(A133="","",A133&amp;"_CALC.pdf")</f>
        <v/>
      </c>
      <c r="AH133" s="9"/>
      <c r="AI133" s="9"/>
      <c r="AJ133" s="41"/>
      <c r="AK133" s="41"/>
      <c r="AL133" s="41"/>
      <c r="AM133" s="41"/>
      <c r="AN133" s="41"/>
      <c r="AO133" s="38" t="str">
        <f aca="false">IF(C133="","",IF(LEN(IF(AND(C133&lt;&gt;"High Covered Linkway",F133&lt;SG_Criteria!$B$46),"FAIL: headroom below "&amp;SG_Criteria!$B$46&amp;" m. ","")&amp;IF(AND(C133="High Covered Linkway",F133&lt;SG_Criteria!$B$47),"FAIL: high linkway headroom below "&amp;SG_Criteria!$B$47&amp;" m. ","")&amp;IF(E133&lt;SG_Criteria!$B$48,"FAIL: roof width below "&amp;SG_Criteria!$B$48&amp;" m. ",IF(E133&lt;SG_Criteria!$B$49,"NOTE: not for MRT/LRT or high-traffic routes (min "&amp;SG_Criteria!$B$49&amp;" m). ",""))&amp;IF(AND(P133&lt;&gt;"",P133&lt;SG_Criteria!$B$50),"FAIL: wind speed below "&amp;SG_Criteria!$B$50&amp;" m/s. ","")&amp;IF(AND(Q133&lt;&gt;"",Q133&lt;SG_Criteria!$B$51),"FAIL: roof fixing pull-out below "&amp;SG_Criteria!$B$51&amp;" kN. ","")&amp;IF(AND(R133&lt;&gt;"",IFERROR(VALUE(MID(R133,2,2)),0)&lt;SG_Criteria!$B$52),"FAIL: grade below C"&amp;SG_Criteria!$B$52&amp;". ","")&amp;IF(D133="Non-standard (project design)","NOTE: not an SDRE standard, needs LTA acceptance. ",""))=0,"OK",IF(AND(C133&lt;&gt;"High Covered Linkway",F133&lt;SG_Criteria!$B$46),"FAIL: headroom below "&amp;SG_Criteria!$B$46&amp;" m. ","")&amp;IF(AND(C133="High Covered Linkway",F133&lt;SG_Criteria!$B$47),"FAIL: high linkway headroom below "&amp;SG_Criteria!$B$47&amp;" m. ","")&amp;IF(E133&lt;SG_Criteria!$B$48,"FAIL: roof width below "&amp;SG_Criteria!$B$48&amp;" m. ",IF(E133&lt;SG_Criteria!$B$49,"NOTE: not for MRT/LRT or high-traffic routes (min "&amp;SG_Criteria!$B$49&amp;" m). ",""))&amp;IF(AND(P133&lt;&gt;"",P133&lt;SG_Criteria!$B$50),"FAIL: wind speed below "&amp;SG_Criteria!$B$50&amp;" m/s. ","")&amp;IF(AND(Q133&lt;&gt;"",Q133&lt;SG_Criteria!$B$51),"FAIL: roof fixing pull-out below "&amp;SG_Criteria!$B$51&amp;" kN. ","")&amp;IF(AND(R133&lt;&gt;"",IFERROR(VALUE(MID(R133,2,2)),0)&lt;SG_Criteria!$B$52),"FAIL: grade below C"&amp;SG_Criteria!$B$52&amp;". ","")&amp;IF(D133="Non-standard (project design)","NOTE: not an SDRE standard, needs LTA acceptance. ","")))</f>
        <v/>
      </c>
      <c r="AP133" s="9"/>
      <c r="AQ133" s="9"/>
      <c r="AR133" s="9"/>
      <c r="AS133" s="9"/>
      <c r="AT133" s="9"/>
      <c r="AU133" s="31"/>
      <c r="AV133" s="10" t="str">
        <f aca="false">IF(C133="","",IF(AND(X133="Approved",ISERROR(SEARCH("FAIL",AO133))),"Y","N"))</f>
        <v/>
      </c>
      <c r="AW133" s="10" t="str">
        <f aca="false">IF(C133="","",C133&amp;"|"&amp;E133&amp;"|"&amp;F133&amp;"|"&amp;AV133)</f>
        <v/>
      </c>
    </row>
    <row r="134" customFormat="false" ht="15" hidden="false" customHeight="false" outlineLevel="0" collapsed="false">
      <c r="A134" s="10" t="str">
        <f aca="false">IF(C134="","","LKW-"&amp;IFERROR(VLOOKUP(C134,Lists!$AQ$4:$AR$17,2,0),"??")&amp;"-W"&amp;TEXT(E134*1000,"0000")&amp;"-H"&amp;TEXT(F134*1000,"0000")&amp;"-B"&amp;TEXT(G134*1000,"0000")&amp;"-"&amp;W134)</f>
        <v/>
      </c>
      <c r="B134" s="10" t="str">
        <f aca="false">IF(C134="","",C134&amp;", "&amp;E134&amp;" m wide, "&amp;F134&amp;" m headroom, "&amp;G134&amp;" m bays, "&amp;H134&amp;" ("&amp;D134&amp;")")</f>
        <v/>
      </c>
      <c r="C134" s="9"/>
      <c r="D134" s="9"/>
      <c r="E134" s="43"/>
      <c r="F134" s="43"/>
      <c r="G134" s="43"/>
      <c r="H134" s="9"/>
      <c r="I134" s="9"/>
      <c r="J134" s="9"/>
      <c r="K134" s="9"/>
      <c r="L134" s="9"/>
      <c r="M134" s="9"/>
      <c r="N134" s="9"/>
      <c r="O134" s="9"/>
      <c r="P134" s="40"/>
      <c r="Q134" s="43"/>
      <c r="R134" s="9"/>
      <c r="S134" s="9"/>
      <c r="T134" s="9"/>
      <c r="U134" s="43"/>
      <c r="V134" s="9"/>
      <c r="W134" s="9"/>
      <c r="X134" s="9"/>
      <c r="Y134" s="9"/>
      <c r="Z134" s="9"/>
      <c r="AA134" s="9"/>
      <c r="AB134" s="10" t="str">
        <f aca="false">IF(A134="","",SG_Criteria!$B$6&amp;SG_Criteria!$B$12&amp;"\"&amp;A134&amp;"\")</f>
        <v/>
      </c>
      <c r="AC134" s="10" t="str">
        <f aca="false">IF(A134="","",A134&amp;"_CAD.dwg")</f>
        <v/>
      </c>
      <c r="AD134" s="10" t="str">
        <f aca="false">IF(A134="","",A134&amp;"_DWG.pdf")</f>
        <v/>
      </c>
      <c r="AE134" s="10" t="str">
        <f aca="false">IF(A134="","",IF(AA134="Y",A134&amp;"_STAAD.std","n/a"))</f>
        <v/>
      </c>
      <c r="AF134" s="10" t="str">
        <f aca="false">IF(A134="","",A134&amp;"_CALC.xlsx")</f>
        <v/>
      </c>
      <c r="AG134" s="10" t="str">
        <f aca="false">IF(A134="","",A134&amp;"_CALC.pdf")</f>
        <v/>
      </c>
      <c r="AH134" s="9"/>
      <c r="AI134" s="9"/>
      <c r="AJ134" s="41"/>
      <c r="AK134" s="41"/>
      <c r="AL134" s="41"/>
      <c r="AM134" s="41"/>
      <c r="AN134" s="41"/>
      <c r="AO134" s="38" t="str">
        <f aca="false">IF(C134="","",IF(LEN(IF(AND(C134&lt;&gt;"High Covered Linkway",F134&lt;SG_Criteria!$B$46),"FAIL: headroom below "&amp;SG_Criteria!$B$46&amp;" m. ","")&amp;IF(AND(C134="High Covered Linkway",F134&lt;SG_Criteria!$B$47),"FAIL: high linkway headroom below "&amp;SG_Criteria!$B$47&amp;" m. ","")&amp;IF(E134&lt;SG_Criteria!$B$48,"FAIL: roof width below "&amp;SG_Criteria!$B$48&amp;" m. ",IF(E134&lt;SG_Criteria!$B$49,"NOTE: not for MRT/LRT or high-traffic routes (min "&amp;SG_Criteria!$B$49&amp;" m). ",""))&amp;IF(AND(P134&lt;&gt;"",P134&lt;SG_Criteria!$B$50),"FAIL: wind speed below "&amp;SG_Criteria!$B$50&amp;" m/s. ","")&amp;IF(AND(Q134&lt;&gt;"",Q134&lt;SG_Criteria!$B$51),"FAIL: roof fixing pull-out below "&amp;SG_Criteria!$B$51&amp;" kN. ","")&amp;IF(AND(R134&lt;&gt;"",IFERROR(VALUE(MID(R134,2,2)),0)&lt;SG_Criteria!$B$52),"FAIL: grade below C"&amp;SG_Criteria!$B$52&amp;". ","")&amp;IF(D134="Non-standard (project design)","NOTE: not an SDRE standard, needs LTA acceptance. ",""))=0,"OK",IF(AND(C134&lt;&gt;"High Covered Linkway",F134&lt;SG_Criteria!$B$46),"FAIL: headroom below "&amp;SG_Criteria!$B$46&amp;" m. ","")&amp;IF(AND(C134="High Covered Linkway",F134&lt;SG_Criteria!$B$47),"FAIL: high linkway headroom below "&amp;SG_Criteria!$B$47&amp;" m. ","")&amp;IF(E134&lt;SG_Criteria!$B$48,"FAIL: roof width below "&amp;SG_Criteria!$B$48&amp;" m. ",IF(E134&lt;SG_Criteria!$B$49,"NOTE: not for MRT/LRT or high-traffic routes (min "&amp;SG_Criteria!$B$49&amp;" m). ",""))&amp;IF(AND(P134&lt;&gt;"",P134&lt;SG_Criteria!$B$50),"FAIL: wind speed below "&amp;SG_Criteria!$B$50&amp;" m/s. ","")&amp;IF(AND(Q134&lt;&gt;"",Q134&lt;SG_Criteria!$B$51),"FAIL: roof fixing pull-out below "&amp;SG_Criteria!$B$51&amp;" kN. ","")&amp;IF(AND(R134&lt;&gt;"",IFERROR(VALUE(MID(R134,2,2)),0)&lt;SG_Criteria!$B$52),"FAIL: grade below C"&amp;SG_Criteria!$B$52&amp;". ","")&amp;IF(D134="Non-standard (project design)","NOTE: not an SDRE standard, needs LTA acceptance. ","")))</f>
        <v/>
      </c>
      <c r="AP134" s="9"/>
      <c r="AQ134" s="9"/>
      <c r="AR134" s="9"/>
      <c r="AS134" s="9"/>
      <c r="AT134" s="9"/>
      <c r="AU134" s="31"/>
      <c r="AV134" s="10" t="str">
        <f aca="false">IF(C134="","",IF(AND(X134="Approved",ISERROR(SEARCH("FAIL",AO134))),"Y","N"))</f>
        <v/>
      </c>
      <c r="AW134" s="10" t="str">
        <f aca="false">IF(C134="","",C134&amp;"|"&amp;E134&amp;"|"&amp;F134&amp;"|"&amp;AV134)</f>
        <v/>
      </c>
    </row>
    <row r="135" customFormat="false" ht="15" hidden="false" customHeight="false" outlineLevel="0" collapsed="false">
      <c r="A135" s="10" t="str">
        <f aca="false">IF(C135="","","LKW-"&amp;IFERROR(VLOOKUP(C135,Lists!$AQ$4:$AR$17,2,0),"??")&amp;"-W"&amp;TEXT(E135*1000,"0000")&amp;"-H"&amp;TEXT(F135*1000,"0000")&amp;"-B"&amp;TEXT(G135*1000,"0000")&amp;"-"&amp;W135)</f>
        <v/>
      </c>
      <c r="B135" s="10" t="str">
        <f aca="false">IF(C135="","",C135&amp;", "&amp;E135&amp;" m wide, "&amp;F135&amp;" m headroom, "&amp;G135&amp;" m bays, "&amp;H135&amp;" ("&amp;D135&amp;")")</f>
        <v/>
      </c>
      <c r="C135" s="9"/>
      <c r="D135" s="9"/>
      <c r="E135" s="43"/>
      <c r="F135" s="43"/>
      <c r="G135" s="43"/>
      <c r="H135" s="9"/>
      <c r="I135" s="9"/>
      <c r="J135" s="9"/>
      <c r="K135" s="9"/>
      <c r="L135" s="9"/>
      <c r="M135" s="9"/>
      <c r="N135" s="9"/>
      <c r="O135" s="9"/>
      <c r="P135" s="40"/>
      <c r="Q135" s="43"/>
      <c r="R135" s="9"/>
      <c r="S135" s="9"/>
      <c r="T135" s="9"/>
      <c r="U135" s="43"/>
      <c r="V135" s="9"/>
      <c r="W135" s="9"/>
      <c r="X135" s="9"/>
      <c r="Y135" s="9"/>
      <c r="Z135" s="9"/>
      <c r="AA135" s="9"/>
      <c r="AB135" s="10" t="str">
        <f aca="false">IF(A135="","",SG_Criteria!$B$6&amp;SG_Criteria!$B$12&amp;"\"&amp;A135&amp;"\")</f>
        <v/>
      </c>
      <c r="AC135" s="10" t="str">
        <f aca="false">IF(A135="","",A135&amp;"_CAD.dwg")</f>
        <v/>
      </c>
      <c r="AD135" s="10" t="str">
        <f aca="false">IF(A135="","",A135&amp;"_DWG.pdf")</f>
        <v/>
      </c>
      <c r="AE135" s="10" t="str">
        <f aca="false">IF(A135="","",IF(AA135="Y",A135&amp;"_STAAD.std","n/a"))</f>
        <v/>
      </c>
      <c r="AF135" s="10" t="str">
        <f aca="false">IF(A135="","",A135&amp;"_CALC.xlsx")</f>
        <v/>
      </c>
      <c r="AG135" s="10" t="str">
        <f aca="false">IF(A135="","",A135&amp;"_CALC.pdf")</f>
        <v/>
      </c>
      <c r="AH135" s="9"/>
      <c r="AI135" s="9"/>
      <c r="AJ135" s="41"/>
      <c r="AK135" s="41"/>
      <c r="AL135" s="41"/>
      <c r="AM135" s="41"/>
      <c r="AN135" s="41"/>
      <c r="AO135" s="38" t="str">
        <f aca="false">IF(C135="","",IF(LEN(IF(AND(C135&lt;&gt;"High Covered Linkway",F135&lt;SG_Criteria!$B$46),"FAIL: headroom below "&amp;SG_Criteria!$B$46&amp;" m. ","")&amp;IF(AND(C135="High Covered Linkway",F135&lt;SG_Criteria!$B$47),"FAIL: high linkway headroom below "&amp;SG_Criteria!$B$47&amp;" m. ","")&amp;IF(E135&lt;SG_Criteria!$B$48,"FAIL: roof width below "&amp;SG_Criteria!$B$48&amp;" m. ",IF(E135&lt;SG_Criteria!$B$49,"NOTE: not for MRT/LRT or high-traffic routes (min "&amp;SG_Criteria!$B$49&amp;" m). ",""))&amp;IF(AND(P135&lt;&gt;"",P135&lt;SG_Criteria!$B$50),"FAIL: wind speed below "&amp;SG_Criteria!$B$50&amp;" m/s. ","")&amp;IF(AND(Q135&lt;&gt;"",Q135&lt;SG_Criteria!$B$51),"FAIL: roof fixing pull-out below "&amp;SG_Criteria!$B$51&amp;" kN. ","")&amp;IF(AND(R135&lt;&gt;"",IFERROR(VALUE(MID(R135,2,2)),0)&lt;SG_Criteria!$B$52),"FAIL: grade below C"&amp;SG_Criteria!$B$52&amp;". ","")&amp;IF(D135="Non-standard (project design)","NOTE: not an SDRE standard, needs LTA acceptance. ",""))=0,"OK",IF(AND(C135&lt;&gt;"High Covered Linkway",F135&lt;SG_Criteria!$B$46),"FAIL: headroom below "&amp;SG_Criteria!$B$46&amp;" m. ","")&amp;IF(AND(C135="High Covered Linkway",F135&lt;SG_Criteria!$B$47),"FAIL: high linkway headroom below "&amp;SG_Criteria!$B$47&amp;" m. ","")&amp;IF(E135&lt;SG_Criteria!$B$48,"FAIL: roof width below "&amp;SG_Criteria!$B$48&amp;" m. ",IF(E135&lt;SG_Criteria!$B$49,"NOTE: not for MRT/LRT or high-traffic routes (min "&amp;SG_Criteria!$B$49&amp;" m). ",""))&amp;IF(AND(P135&lt;&gt;"",P135&lt;SG_Criteria!$B$50),"FAIL: wind speed below "&amp;SG_Criteria!$B$50&amp;" m/s. ","")&amp;IF(AND(Q135&lt;&gt;"",Q135&lt;SG_Criteria!$B$51),"FAIL: roof fixing pull-out below "&amp;SG_Criteria!$B$51&amp;" kN. ","")&amp;IF(AND(R135&lt;&gt;"",IFERROR(VALUE(MID(R135,2,2)),0)&lt;SG_Criteria!$B$52),"FAIL: grade below C"&amp;SG_Criteria!$B$52&amp;". ","")&amp;IF(D135="Non-standard (project design)","NOTE: not an SDRE standard, needs LTA acceptance. ","")))</f>
        <v/>
      </c>
      <c r="AP135" s="9"/>
      <c r="AQ135" s="9"/>
      <c r="AR135" s="9"/>
      <c r="AS135" s="9"/>
      <c r="AT135" s="9"/>
      <c r="AU135" s="31"/>
      <c r="AV135" s="10" t="str">
        <f aca="false">IF(C135="","",IF(AND(X135="Approved",ISERROR(SEARCH("FAIL",AO135))),"Y","N"))</f>
        <v/>
      </c>
      <c r="AW135" s="10" t="str">
        <f aca="false">IF(C135="","",C135&amp;"|"&amp;E135&amp;"|"&amp;F135&amp;"|"&amp;AV135)</f>
        <v/>
      </c>
    </row>
    <row r="136" customFormat="false" ht="15" hidden="false" customHeight="false" outlineLevel="0" collapsed="false">
      <c r="A136" s="10" t="str">
        <f aca="false">IF(C136="","","LKW-"&amp;IFERROR(VLOOKUP(C136,Lists!$AQ$4:$AR$17,2,0),"??")&amp;"-W"&amp;TEXT(E136*1000,"0000")&amp;"-H"&amp;TEXT(F136*1000,"0000")&amp;"-B"&amp;TEXT(G136*1000,"0000")&amp;"-"&amp;W136)</f>
        <v/>
      </c>
      <c r="B136" s="10" t="str">
        <f aca="false">IF(C136="","",C136&amp;", "&amp;E136&amp;" m wide, "&amp;F136&amp;" m headroom, "&amp;G136&amp;" m bays, "&amp;H136&amp;" ("&amp;D136&amp;")")</f>
        <v/>
      </c>
      <c r="C136" s="9"/>
      <c r="D136" s="9"/>
      <c r="E136" s="43"/>
      <c r="F136" s="43"/>
      <c r="G136" s="43"/>
      <c r="H136" s="9"/>
      <c r="I136" s="9"/>
      <c r="J136" s="9"/>
      <c r="K136" s="9"/>
      <c r="L136" s="9"/>
      <c r="M136" s="9"/>
      <c r="N136" s="9"/>
      <c r="O136" s="9"/>
      <c r="P136" s="40"/>
      <c r="Q136" s="43"/>
      <c r="R136" s="9"/>
      <c r="S136" s="9"/>
      <c r="T136" s="9"/>
      <c r="U136" s="43"/>
      <c r="V136" s="9"/>
      <c r="W136" s="9"/>
      <c r="X136" s="9"/>
      <c r="Y136" s="9"/>
      <c r="Z136" s="9"/>
      <c r="AA136" s="9"/>
      <c r="AB136" s="10" t="str">
        <f aca="false">IF(A136="","",SG_Criteria!$B$6&amp;SG_Criteria!$B$12&amp;"\"&amp;A136&amp;"\")</f>
        <v/>
      </c>
      <c r="AC136" s="10" t="str">
        <f aca="false">IF(A136="","",A136&amp;"_CAD.dwg")</f>
        <v/>
      </c>
      <c r="AD136" s="10" t="str">
        <f aca="false">IF(A136="","",A136&amp;"_DWG.pdf")</f>
        <v/>
      </c>
      <c r="AE136" s="10" t="str">
        <f aca="false">IF(A136="","",IF(AA136="Y",A136&amp;"_STAAD.std","n/a"))</f>
        <v/>
      </c>
      <c r="AF136" s="10" t="str">
        <f aca="false">IF(A136="","",A136&amp;"_CALC.xlsx")</f>
        <v/>
      </c>
      <c r="AG136" s="10" t="str">
        <f aca="false">IF(A136="","",A136&amp;"_CALC.pdf")</f>
        <v/>
      </c>
      <c r="AH136" s="9"/>
      <c r="AI136" s="9"/>
      <c r="AJ136" s="41"/>
      <c r="AK136" s="41"/>
      <c r="AL136" s="41"/>
      <c r="AM136" s="41"/>
      <c r="AN136" s="41"/>
      <c r="AO136" s="38" t="str">
        <f aca="false">IF(C136="","",IF(LEN(IF(AND(C136&lt;&gt;"High Covered Linkway",F136&lt;SG_Criteria!$B$46),"FAIL: headroom below "&amp;SG_Criteria!$B$46&amp;" m. ","")&amp;IF(AND(C136="High Covered Linkway",F136&lt;SG_Criteria!$B$47),"FAIL: high linkway headroom below "&amp;SG_Criteria!$B$47&amp;" m. ","")&amp;IF(E136&lt;SG_Criteria!$B$48,"FAIL: roof width below "&amp;SG_Criteria!$B$48&amp;" m. ",IF(E136&lt;SG_Criteria!$B$49,"NOTE: not for MRT/LRT or high-traffic routes (min "&amp;SG_Criteria!$B$49&amp;" m). ",""))&amp;IF(AND(P136&lt;&gt;"",P136&lt;SG_Criteria!$B$50),"FAIL: wind speed below "&amp;SG_Criteria!$B$50&amp;" m/s. ","")&amp;IF(AND(Q136&lt;&gt;"",Q136&lt;SG_Criteria!$B$51),"FAIL: roof fixing pull-out below "&amp;SG_Criteria!$B$51&amp;" kN. ","")&amp;IF(AND(R136&lt;&gt;"",IFERROR(VALUE(MID(R136,2,2)),0)&lt;SG_Criteria!$B$52),"FAIL: grade below C"&amp;SG_Criteria!$B$52&amp;". ","")&amp;IF(D136="Non-standard (project design)","NOTE: not an SDRE standard, needs LTA acceptance. ",""))=0,"OK",IF(AND(C136&lt;&gt;"High Covered Linkway",F136&lt;SG_Criteria!$B$46),"FAIL: headroom below "&amp;SG_Criteria!$B$46&amp;" m. ","")&amp;IF(AND(C136="High Covered Linkway",F136&lt;SG_Criteria!$B$47),"FAIL: high linkway headroom below "&amp;SG_Criteria!$B$47&amp;" m. ","")&amp;IF(E136&lt;SG_Criteria!$B$48,"FAIL: roof width below "&amp;SG_Criteria!$B$48&amp;" m. ",IF(E136&lt;SG_Criteria!$B$49,"NOTE: not for MRT/LRT or high-traffic routes (min "&amp;SG_Criteria!$B$49&amp;" m). ",""))&amp;IF(AND(P136&lt;&gt;"",P136&lt;SG_Criteria!$B$50),"FAIL: wind speed below "&amp;SG_Criteria!$B$50&amp;" m/s. ","")&amp;IF(AND(Q136&lt;&gt;"",Q136&lt;SG_Criteria!$B$51),"FAIL: roof fixing pull-out below "&amp;SG_Criteria!$B$51&amp;" kN. ","")&amp;IF(AND(R136&lt;&gt;"",IFERROR(VALUE(MID(R136,2,2)),0)&lt;SG_Criteria!$B$52),"FAIL: grade below C"&amp;SG_Criteria!$B$52&amp;". ","")&amp;IF(D136="Non-standard (project design)","NOTE: not an SDRE standard, needs LTA acceptance. ","")))</f>
        <v/>
      </c>
      <c r="AP136" s="9"/>
      <c r="AQ136" s="9"/>
      <c r="AR136" s="9"/>
      <c r="AS136" s="9"/>
      <c r="AT136" s="9"/>
      <c r="AU136" s="31"/>
      <c r="AV136" s="10" t="str">
        <f aca="false">IF(C136="","",IF(AND(X136="Approved",ISERROR(SEARCH("FAIL",AO136))),"Y","N"))</f>
        <v/>
      </c>
      <c r="AW136" s="10" t="str">
        <f aca="false">IF(C136="","",C136&amp;"|"&amp;E136&amp;"|"&amp;F136&amp;"|"&amp;AV136)</f>
        <v/>
      </c>
    </row>
    <row r="137" customFormat="false" ht="15" hidden="false" customHeight="false" outlineLevel="0" collapsed="false">
      <c r="A137" s="10" t="str">
        <f aca="false">IF(C137="","","LKW-"&amp;IFERROR(VLOOKUP(C137,Lists!$AQ$4:$AR$17,2,0),"??")&amp;"-W"&amp;TEXT(E137*1000,"0000")&amp;"-H"&amp;TEXT(F137*1000,"0000")&amp;"-B"&amp;TEXT(G137*1000,"0000")&amp;"-"&amp;W137)</f>
        <v/>
      </c>
      <c r="B137" s="10" t="str">
        <f aca="false">IF(C137="","",C137&amp;", "&amp;E137&amp;" m wide, "&amp;F137&amp;" m headroom, "&amp;G137&amp;" m bays, "&amp;H137&amp;" ("&amp;D137&amp;")")</f>
        <v/>
      </c>
      <c r="C137" s="9"/>
      <c r="D137" s="9"/>
      <c r="E137" s="43"/>
      <c r="F137" s="43"/>
      <c r="G137" s="43"/>
      <c r="H137" s="9"/>
      <c r="I137" s="9"/>
      <c r="J137" s="9"/>
      <c r="K137" s="9"/>
      <c r="L137" s="9"/>
      <c r="M137" s="9"/>
      <c r="N137" s="9"/>
      <c r="O137" s="9"/>
      <c r="P137" s="40"/>
      <c r="Q137" s="43"/>
      <c r="R137" s="9"/>
      <c r="S137" s="9"/>
      <c r="T137" s="9"/>
      <c r="U137" s="43"/>
      <c r="V137" s="9"/>
      <c r="W137" s="9"/>
      <c r="X137" s="9"/>
      <c r="Y137" s="9"/>
      <c r="Z137" s="9"/>
      <c r="AA137" s="9"/>
      <c r="AB137" s="10" t="str">
        <f aca="false">IF(A137="","",SG_Criteria!$B$6&amp;SG_Criteria!$B$12&amp;"\"&amp;A137&amp;"\")</f>
        <v/>
      </c>
      <c r="AC137" s="10" t="str">
        <f aca="false">IF(A137="","",A137&amp;"_CAD.dwg")</f>
        <v/>
      </c>
      <c r="AD137" s="10" t="str">
        <f aca="false">IF(A137="","",A137&amp;"_DWG.pdf")</f>
        <v/>
      </c>
      <c r="AE137" s="10" t="str">
        <f aca="false">IF(A137="","",IF(AA137="Y",A137&amp;"_STAAD.std","n/a"))</f>
        <v/>
      </c>
      <c r="AF137" s="10" t="str">
        <f aca="false">IF(A137="","",A137&amp;"_CALC.xlsx")</f>
        <v/>
      </c>
      <c r="AG137" s="10" t="str">
        <f aca="false">IF(A137="","",A137&amp;"_CALC.pdf")</f>
        <v/>
      </c>
      <c r="AH137" s="9"/>
      <c r="AI137" s="9"/>
      <c r="AJ137" s="41"/>
      <c r="AK137" s="41"/>
      <c r="AL137" s="41"/>
      <c r="AM137" s="41"/>
      <c r="AN137" s="41"/>
      <c r="AO137" s="38" t="str">
        <f aca="false">IF(C137="","",IF(LEN(IF(AND(C137&lt;&gt;"High Covered Linkway",F137&lt;SG_Criteria!$B$46),"FAIL: headroom below "&amp;SG_Criteria!$B$46&amp;" m. ","")&amp;IF(AND(C137="High Covered Linkway",F137&lt;SG_Criteria!$B$47),"FAIL: high linkway headroom below "&amp;SG_Criteria!$B$47&amp;" m. ","")&amp;IF(E137&lt;SG_Criteria!$B$48,"FAIL: roof width below "&amp;SG_Criteria!$B$48&amp;" m. ",IF(E137&lt;SG_Criteria!$B$49,"NOTE: not for MRT/LRT or high-traffic routes (min "&amp;SG_Criteria!$B$49&amp;" m). ",""))&amp;IF(AND(P137&lt;&gt;"",P137&lt;SG_Criteria!$B$50),"FAIL: wind speed below "&amp;SG_Criteria!$B$50&amp;" m/s. ","")&amp;IF(AND(Q137&lt;&gt;"",Q137&lt;SG_Criteria!$B$51),"FAIL: roof fixing pull-out below "&amp;SG_Criteria!$B$51&amp;" kN. ","")&amp;IF(AND(R137&lt;&gt;"",IFERROR(VALUE(MID(R137,2,2)),0)&lt;SG_Criteria!$B$52),"FAIL: grade below C"&amp;SG_Criteria!$B$52&amp;". ","")&amp;IF(D137="Non-standard (project design)","NOTE: not an SDRE standard, needs LTA acceptance. ",""))=0,"OK",IF(AND(C137&lt;&gt;"High Covered Linkway",F137&lt;SG_Criteria!$B$46),"FAIL: headroom below "&amp;SG_Criteria!$B$46&amp;" m. ","")&amp;IF(AND(C137="High Covered Linkway",F137&lt;SG_Criteria!$B$47),"FAIL: high linkway headroom below "&amp;SG_Criteria!$B$47&amp;" m. ","")&amp;IF(E137&lt;SG_Criteria!$B$48,"FAIL: roof width below "&amp;SG_Criteria!$B$48&amp;" m. ",IF(E137&lt;SG_Criteria!$B$49,"NOTE: not for MRT/LRT or high-traffic routes (min "&amp;SG_Criteria!$B$49&amp;" m). ",""))&amp;IF(AND(P137&lt;&gt;"",P137&lt;SG_Criteria!$B$50),"FAIL: wind speed below "&amp;SG_Criteria!$B$50&amp;" m/s. ","")&amp;IF(AND(Q137&lt;&gt;"",Q137&lt;SG_Criteria!$B$51),"FAIL: roof fixing pull-out below "&amp;SG_Criteria!$B$51&amp;" kN. ","")&amp;IF(AND(R137&lt;&gt;"",IFERROR(VALUE(MID(R137,2,2)),0)&lt;SG_Criteria!$B$52),"FAIL: grade below C"&amp;SG_Criteria!$B$52&amp;". ","")&amp;IF(D137="Non-standard (project design)","NOTE: not an SDRE standard, needs LTA acceptance. ","")))</f>
        <v/>
      </c>
      <c r="AP137" s="9"/>
      <c r="AQ137" s="9"/>
      <c r="AR137" s="9"/>
      <c r="AS137" s="9"/>
      <c r="AT137" s="9"/>
      <c r="AU137" s="31"/>
      <c r="AV137" s="10" t="str">
        <f aca="false">IF(C137="","",IF(AND(X137="Approved",ISERROR(SEARCH("FAIL",AO137))),"Y","N"))</f>
        <v/>
      </c>
      <c r="AW137" s="10" t="str">
        <f aca="false">IF(C137="","",C137&amp;"|"&amp;E137&amp;"|"&amp;F137&amp;"|"&amp;AV137)</f>
        <v/>
      </c>
    </row>
    <row r="138" customFormat="false" ht="15" hidden="false" customHeight="false" outlineLevel="0" collapsed="false">
      <c r="A138" s="10" t="str">
        <f aca="false">IF(C138="","","LKW-"&amp;IFERROR(VLOOKUP(C138,Lists!$AQ$4:$AR$17,2,0),"??")&amp;"-W"&amp;TEXT(E138*1000,"0000")&amp;"-H"&amp;TEXT(F138*1000,"0000")&amp;"-B"&amp;TEXT(G138*1000,"0000")&amp;"-"&amp;W138)</f>
        <v/>
      </c>
      <c r="B138" s="10" t="str">
        <f aca="false">IF(C138="","",C138&amp;", "&amp;E138&amp;" m wide, "&amp;F138&amp;" m headroom, "&amp;G138&amp;" m bays, "&amp;H138&amp;" ("&amp;D138&amp;")")</f>
        <v/>
      </c>
      <c r="C138" s="9"/>
      <c r="D138" s="9"/>
      <c r="E138" s="43"/>
      <c r="F138" s="43"/>
      <c r="G138" s="43"/>
      <c r="H138" s="9"/>
      <c r="I138" s="9"/>
      <c r="J138" s="9"/>
      <c r="K138" s="9"/>
      <c r="L138" s="9"/>
      <c r="M138" s="9"/>
      <c r="N138" s="9"/>
      <c r="O138" s="9"/>
      <c r="P138" s="40"/>
      <c r="Q138" s="43"/>
      <c r="R138" s="9"/>
      <c r="S138" s="9"/>
      <c r="T138" s="9"/>
      <c r="U138" s="43"/>
      <c r="V138" s="9"/>
      <c r="W138" s="9"/>
      <c r="X138" s="9"/>
      <c r="Y138" s="9"/>
      <c r="Z138" s="9"/>
      <c r="AA138" s="9"/>
      <c r="AB138" s="10" t="str">
        <f aca="false">IF(A138="","",SG_Criteria!$B$6&amp;SG_Criteria!$B$12&amp;"\"&amp;A138&amp;"\")</f>
        <v/>
      </c>
      <c r="AC138" s="10" t="str">
        <f aca="false">IF(A138="","",A138&amp;"_CAD.dwg")</f>
        <v/>
      </c>
      <c r="AD138" s="10" t="str">
        <f aca="false">IF(A138="","",A138&amp;"_DWG.pdf")</f>
        <v/>
      </c>
      <c r="AE138" s="10" t="str">
        <f aca="false">IF(A138="","",IF(AA138="Y",A138&amp;"_STAAD.std","n/a"))</f>
        <v/>
      </c>
      <c r="AF138" s="10" t="str">
        <f aca="false">IF(A138="","",A138&amp;"_CALC.xlsx")</f>
        <v/>
      </c>
      <c r="AG138" s="10" t="str">
        <f aca="false">IF(A138="","",A138&amp;"_CALC.pdf")</f>
        <v/>
      </c>
      <c r="AH138" s="9"/>
      <c r="AI138" s="9"/>
      <c r="AJ138" s="41"/>
      <c r="AK138" s="41"/>
      <c r="AL138" s="41"/>
      <c r="AM138" s="41"/>
      <c r="AN138" s="41"/>
      <c r="AO138" s="38" t="str">
        <f aca="false">IF(C138="","",IF(LEN(IF(AND(C138&lt;&gt;"High Covered Linkway",F138&lt;SG_Criteria!$B$46),"FAIL: headroom below "&amp;SG_Criteria!$B$46&amp;" m. ","")&amp;IF(AND(C138="High Covered Linkway",F138&lt;SG_Criteria!$B$47),"FAIL: high linkway headroom below "&amp;SG_Criteria!$B$47&amp;" m. ","")&amp;IF(E138&lt;SG_Criteria!$B$48,"FAIL: roof width below "&amp;SG_Criteria!$B$48&amp;" m. ",IF(E138&lt;SG_Criteria!$B$49,"NOTE: not for MRT/LRT or high-traffic routes (min "&amp;SG_Criteria!$B$49&amp;" m). ",""))&amp;IF(AND(P138&lt;&gt;"",P138&lt;SG_Criteria!$B$50),"FAIL: wind speed below "&amp;SG_Criteria!$B$50&amp;" m/s. ","")&amp;IF(AND(Q138&lt;&gt;"",Q138&lt;SG_Criteria!$B$51),"FAIL: roof fixing pull-out below "&amp;SG_Criteria!$B$51&amp;" kN. ","")&amp;IF(AND(R138&lt;&gt;"",IFERROR(VALUE(MID(R138,2,2)),0)&lt;SG_Criteria!$B$52),"FAIL: grade below C"&amp;SG_Criteria!$B$52&amp;". ","")&amp;IF(D138="Non-standard (project design)","NOTE: not an SDRE standard, needs LTA acceptance. ",""))=0,"OK",IF(AND(C138&lt;&gt;"High Covered Linkway",F138&lt;SG_Criteria!$B$46),"FAIL: headroom below "&amp;SG_Criteria!$B$46&amp;" m. ","")&amp;IF(AND(C138="High Covered Linkway",F138&lt;SG_Criteria!$B$47),"FAIL: high linkway headroom below "&amp;SG_Criteria!$B$47&amp;" m. ","")&amp;IF(E138&lt;SG_Criteria!$B$48,"FAIL: roof width below "&amp;SG_Criteria!$B$48&amp;" m. ",IF(E138&lt;SG_Criteria!$B$49,"NOTE: not for MRT/LRT or high-traffic routes (min "&amp;SG_Criteria!$B$49&amp;" m). ",""))&amp;IF(AND(P138&lt;&gt;"",P138&lt;SG_Criteria!$B$50),"FAIL: wind speed below "&amp;SG_Criteria!$B$50&amp;" m/s. ","")&amp;IF(AND(Q138&lt;&gt;"",Q138&lt;SG_Criteria!$B$51),"FAIL: roof fixing pull-out below "&amp;SG_Criteria!$B$51&amp;" kN. ","")&amp;IF(AND(R138&lt;&gt;"",IFERROR(VALUE(MID(R138,2,2)),0)&lt;SG_Criteria!$B$52),"FAIL: grade below C"&amp;SG_Criteria!$B$52&amp;". ","")&amp;IF(D138="Non-standard (project design)","NOTE: not an SDRE standard, needs LTA acceptance. ","")))</f>
        <v/>
      </c>
      <c r="AP138" s="9"/>
      <c r="AQ138" s="9"/>
      <c r="AR138" s="9"/>
      <c r="AS138" s="9"/>
      <c r="AT138" s="9"/>
      <c r="AU138" s="31"/>
      <c r="AV138" s="10" t="str">
        <f aca="false">IF(C138="","",IF(AND(X138="Approved",ISERROR(SEARCH("FAIL",AO138))),"Y","N"))</f>
        <v/>
      </c>
      <c r="AW138" s="10" t="str">
        <f aca="false">IF(C138="","",C138&amp;"|"&amp;E138&amp;"|"&amp;F138&amp;"|"&amp;AV138)</f>
        <v/>
      </c>
    </row>
    <row r="139" customFormat="false" ht="15" hidden="false" customHeight="false" outlineLevel="0" collapsed="false">
      <c r="A139" s="10" t="str">
        <f aca="false">IF(C139="","","LKW-"&amp;IFERROR(VLOOKUP(C139,Lists!$AQ$4:$AR$17,2,0),"??")&amp;"-W"&amp;TEXT(E139*1000,"0000")&amp;"-H"&amp;TEXT(F139*1000,"0000")&amp;"-B"&amp;TEXT(G139*1000,"0000")&amp;"-"&amp;W139)</f>
        <v/>
      </c>
      <c r="B139" s="10" t="str">
        <f aca="false">IF(C139="","",C139&amp;", "&amp;E139&amp;" m wide, "&amp;F139&amp;" m headroom, "&amp;G139&amp;" m bays, "&amp;H139&amp;" ("&amp;D139&amp;")")</f>
        <v/>
      </c>
      <c r="C139" s="9"/>
      <c r="D139" s="9"/>
      <c r="E139" s="43"/>
      <c r="F139" s="43"/>
      <c r="G139" s="43"/>
      <c r="H139" s="9"/>
      <c r="I139" s="9"/>
      <c r="J139" s="9"/>
      <c r="K139" s="9"/>
      <c r="L139" s="9"/>
      <c r="M139" s="9"/>
      <c r="N139" s="9"/>
      <c r="O139" s="9"/>
      <c r="P139" s="40"/>
      <c r="Q139" s="43"/>
      <c r="R139" s="9"/>
      <c r="S139" s="9"/>
      <c r="T139" s="9"/>
      <c r="U139" s="43"/>
      <c r="V139" s="9"/>
      <c r="W139" s="9"/>
      <c r="X139" s="9"/>
      <c r="Y139" s="9"/>
      <c r="Z139" s="9"/>
      <c r="AA139" s="9"/>
      <c r="AB139" s="10" t="str">
        <f aca="false">IF(A139="","",SG_Criteria!$B$6&amp;SG_Criteria!$B$12&amp;"\"&amp;A139&amp;"\")</f>
        <v/>
      </c>
      <c r="AC139" s="10" t="str">
        <f aca="false">IF(A139="","",A139&amp;"_CAD.dwg")</f>
        <v/>
      </c>
      <c r="AD139" s="10" t="str">
        <f aca="false">IF(A139="","",A139&amp;"_DWG.pdf")</f>
        <v/>
      </c>
      <c r="AE139" s="10" t="str">
        <f aca="false">IF(A139="","",IF(AA139="Y",A139&amp;"_STAAD.std","n/a"))</f>
        <v/>
      </c>
      <c r="AF139" s="10" t="str">
        <f aca="false">IF(A139="","",A139&amp;"_CALC.xlsx")</f>
        <v/>
      </c>
      <c r="AG139" s="10" t="str">
        <f aca="false">IF(A139="","",A139&amp;"_CALC.pdf")</f>
        <v/>
      </c>
      <c r="AH139" s="9"/>
      <c r="AI139" s="9"/>
      <c r="AJ139" s="41"/>
      <c r="AK139" s="41"/>
      <c r="AL139" s="41"/>
      <c r="AM139" s="41"/>
      <c r="AN139" s="41"/>
      <c r="AO139" s="38" t="str">
        <f aca="false">IF(C139="","",IF(LEN(IF(AND(C139&lt;&gt;"High Covered Linkway",F139&lt;SG_Criteria!$B$46),"FAIL: headroom below "&amp;SG_Criteria!$B$46&amp;" m. ","")&amp;IF(AND(C139="High Covered Linkway",F139&lt;SG_Criteria!$B$47),"FAIL: high linkway headroom below "&amp;SG_Criteria!$B$47&amp;" m. ","")&amp;IF(E139&lt;SG_Criteria!$B$48,"FAIL: roof width below "&amp;SG_Criteria!$B$48&amp;" m. ",IF(E139&lt;SG_Criteria!$B$49,"NOTE: not for MRT/LRT or high-traffic routes (min "&amp;SG_Criteria!$B$49&amp;" m). ",""))&amp;IF(AND(P139&lt;&gt;"",P139&lt;SG_Criteria!$B$50),"FAIL: wind speed below "&amp;SG_Criteria!$B$50&amp;" m/s. ","")&amp;IF(AND(Q139&lt;&gt;"",Q139&lt;SG_Criteria!$B$51),"FAIL: roof fixing pull-out below "&amp;SG_Criteria!$B$51&amp;" kN. ","")&amp;IF(AND(R139&lt;&gt;"",IFERROR(VALUE(MID(R139,2,2)),0)&lt;SG_Criteria!$B$52),"FAIL: grade below C"&amp;SG_Criteria!$B$52&amp;". ","")&amp;IF(D139="Non-standard (project design)","NOTE: not an SDRE standard, needs LTA acceptance. ",""))=0,"OK",IF(AND(C139&lt;&gt;"High Covered Linkway",F139&lt;SG_Criteria!$B$46),"FAIL: headroom below "&amp;SG_Criteria!$B$46&amp;" m. ","")&amp;IF(AND(C139="High Covered Linkway",F139&lt;SG_Criteria!$B$47),"FAIL: high linkway headroom below "&amp;SG_Criteria!$B$47&amp;" m. ","")&amp;IF(E139&lt;SG_Criteria!$B$48,"FAIL: roof width below "&amp;SG_Criteria!$B$48&amp;" m. ",IF(E139&lt;SG_Criteria!$B$49,"NOTE: not for MRT/LRT or high-traffic routes (min "&amp;SG_Criteria!$B$49&amp;" m). ",""))&amp;IF(AND(P139&lt;&gt;"",P139&lt;SG_Criteria!$B$50),"FAIL: wind speed below "&amp;SG_Criteria!$B$50&amp;" m/s. ","")&amp;IF(AND(Q139&lt;&gt;"",Q139&lt;SG_Criteria!$B$51),"FAIL: roof fixing pull-out below "&amp;SG_Criteria!$B$51&amp;" kN. ","")&amp;IF(AND(R139&lt;&gt;"",IFERROR(VALUE(MID(R139,2,2)),0)&lt;SG_Criteria!$B$52),"FAIL: grade below C"&amp;SG_Criteria!$B$52&amp;". ","")&amp;IF(D139="Non-standard (project design)","NOTE: not an SDRE standard, needs LTA acceptance. ","")))</f>
        <v/>
      </c>
      <c r="AP139" s="9"/>
      <c r="AQ139" s="9"/>
      <c r="AR139" s="9"/>
      <c r="AS139" s="9"/>
      <c r="AT139" s="9"/>
      <c r="AU139" s="31"/>
      <c r="AV139" s="10" t="str">
        <f aca="false">IF(C139="","",IF(AND(X139="Approved",ISERROR(SEARCH("FAIL",AO139))),"Y","N"))</f>
        <v/>
      </c>
      <c r="AW139" s="10" t="str">
        <f aca="false">IF(C139="","",C139&amp;"|"&amp;E139&amp;"|"&amp;F139&amp;"|"&amp;AV139)</f>
        <v/>
      </c>
    </row>
    <row r="140" customFormat="false" ht="15" hidden="false" customHeight="false" outlineLevel="0" collapsed="false">
      <c r="A140" s="10" t="str">
        <f aca="false">IF(C140="","","LKW-"&amp;IFERROR(VLOOKUP(C140,Lists!$AQ$4:$AR$17,2,0),"??")&amp;"-W"&amp;TEXT(E140*1000,"0000")&amp;"-H"&amp;TEXT(F140*1000,"0000")&amp;"-B"&amp;TEXT(G140*1000,"0000")&amp;"-"&amp;W140)</f>
        <v/>
      </c>
      <c r="B140" s="10" t="str">
        <f aca="false">IF(C140="","",C140&amp;", "&amp;E140&amp;" m wide, "&amp;F140&amp;" m headroom, "&amp;G140&amp;" m bays, "&amp;H140&amp;" ("&amp;D140&amp;")")</f>
        <v/>
      </c>
      <c r="C140" s="9"/>
      <c r="D140" s="9"/>
      <c r="E140" s="43"/>
      <c r="F140" s="43"/>
      <c r="G140" s="43"/>
      <c r="H140" s="9"/>
      <c r="I140" s="9"/>
      <c r="J140" s="9"/>
      <c r="K140" s="9"/>
      <c r="L140" s="9"/>
      <c r="M140" s="9"/>
      <c r="N140" s="9"/>
      <c r="O140" s="9"/>
      <c r="P140" s="40"/>
      <c r="Q140" s="43"/>
      <c r="R140" s="9"/>
      <c r="S140" s="9"/>
      <c r="T140" s="9"/>
      <c r="U140" s="43"/>
      <c r="V140" s="9"/>
      <c r="W140" s="9"/>
      <c r="X140" s="9"/>
      <c r="Y140" s="9"/>
      <c r="Z140" s="9"/>
      <c r="AA140" s="9"/>
      <c r="AB140" s="10" t="str">
        <f aca="false">IF(A140="","",SG_Criteria!$B$6&amp;SG_Criteria!$B$12&amp;"\"&amp;A140&amp;"\")</f>
        <v/>
      </c>
      <c r="AC140" s="10" t="str">
        <f aca="false">IF(A140="","",A140&amp;"_CAD.dwg")</f>
        <v/>
      </c>
      <c r="AD140" s="10" t="str">
        <f aca="false">IF(A140="","",A140&amp;"_DWG.pdf")</f>
        <v/>
      </c>
      <c r="AE140" s="10" t="str">
        <f aca="false">IF(A140="","",IF(AA140="Y",A140&amp;"_STAAD.std","n/a"))</f>
        <v/>
      </c>
      <c r="AF140" s="10" t="str">
        <f aca="false">IF(A140="","",A140&amp;"_CALC.xlsx")</f>
        <v/>
      </c>
      <c r="AG140" s="10" t="str">
        <f aca="false">IF(A140="","",A140&amp;"_CALC.pdf")</f>
        <v/>
      </c>
      <c r="AH140" s="9"/>
      <c r="AI140" s="9"/>
      <c r="AJ140" s="41"/>
      <c r="AK140" s="41"/>
      <c r="AL140" s="41"/>
      <c r="AM140" s="41"/>
      <c r="AN140" s="41"/>
      <c r="AO140" s="38" t="str">
        <f aca="false">IF(C140="","",IF(LEN(IF(AND(C140&lt;&gt;"High Covered Linkway",F140&lt;SG_Criteria!$B$46),"FAIL: headroom below "&amp;SG_Criteria!$B$46&amp;" m. ","")&amp;IF(AND(C140="High Covered Linkway",F140&lt;SG_Criteria!$B$47),"FAIL: high linkway headroom below "&amp;SG_Criteria!$B$47&amp;" m. ","")&amp;IF(E140&lt;SG_Criteria!$B$48,"FAIL: roof width below "&amp;SG_Criteria!$B$48&amp;" m. ",IF(E140&lt;SG_Criteria!$B$49,"NOTE: not for MRT/LRT or high-traffic routes (min "&amp;SG_Criteria!$B$49&amp;" m). ",""))&amp;IF(AND(P140&lt;&gt;"",P140&lt;SG_Criteria!$B$50),"FAIL: wind speed below "&amp;SG_Criteria!$B$50&amp;" m/s. ","")&amp;IF(AND(Q140&lt;&gt;"",Q140&lt;SG_Criteria!$B$51),"FAIL: roof fixing pull-out below "&amp;SG_Criteria!$B$51&amp;" kN. ","")&amp;IF(AND(R140&lt;&gt;"",IFERROR(VALUE(MID(R140,2,2)),0)&lt;SG_Criteria!$B$52),"FAIL: grade below C"&amp;SG_Criteria!$B$52&amp;". ","")&amp;IF(D140="Non-standard (project design)","NOTE: not an SDRE standard, needs LTA acceptance. ",""))=0,"OK",IF(AND(C140&lt;&gt;"High Covered Linkway",F140&lt;SG_Criteria!$B$46),"FAIL: headroom below "&amp;SG_Criteria!$B$46&amp;" m. ","")&amp;IF(AND(C140="High Covered Linkway",F140&lt;SG_Criteria!$B$47),"FAIL: high linkway headroom below "&amp;SG_Criteria!$B$47&amp;" m. ","")&amp;IF(E140&lt;SG_Criteria!$B$48,"FAIL: roof width below "&amp;SG_Criteria!$B$48&amp;" m. ",IF(E140&lt;SG_Criteria!$B$49,"NOTE: not for MRT/LRT or high-traffic routes (min "&amp;SG_Criteria!$B$49&amp;" m). ",""))&amp;IF(AND(P140&lt;&gt;"",P140&lt;SG_Criteria!$B$50),"FAIL: wind speed below "&amp;SG_Criteria!$B$50&amp;" m/s. ","")&amp;IF(AND(Q140&lt;&gt;"",Q140&lt;SG_Criteria!$B$51),"FAIL: roof fixing pull-out below "&amp;SG_Criteria!$B$51&amp;" kN. ","")&amp;IF(AND(R140&lt;&gt;"",IFERROR(VALUE(MID(R140,2,2)),0)&lt;SG_Criteria!$B$52),"FAIL: grade below C"&amp;SG_Criteria!$B$52&amp;". ","")&amp;IF(D140="Non-standard (project design)","NOTE: not an SDRE standard, needs LTA acceptance. ","")))</f>
        <v/>
      </c>
      <c r="AP140" s="9"/>
      <c r="AQ140" s="9"/>
      <c r="AR140" s="9"/>
      <c r="AS140" s="9"/>
      <c r="AT140" s="9"/>
      <c r="AU140" s="31"/>
      <c r="AV140" s="10" t="str">
        <f aca="false">IF(C140="","",IF(AND(X140="Approved",ISERROR(SEARCH("FAIL",AO140))),"Y","N"))</f>
        <v/>
      </c>
      <c r="AW140" s="10" t="str">
        <f aca="false">IF(C140="","",C140&amp;"|"&amp;E140&amp;"|"&amp;F140&amp;"|"&amp;AV140)</f>
        <v/>
      </c>
    </row>
    <row r="141" customFormat="false" ht="15" hidden="false" customHeight="false" outlineLevel="0" collapsed="false">
      <c r="A141" s="10" t="str">
        <f aca="false">IF(C141="","","LKW-"&amp;IFERROR(VLOOKUP(C141,Lists!$AQ$4:$AR$17,2,0),"??")&amp;"-W"&amp;TEXT(E141*1000,"0000")&amp;"-H"&amp;TEXT(F141*1000,"0000")&amp;"-B"&amp;TEXT(G141*1000,"0000")&amp;"-"&amp;W141)</f>
        <v/>
      </c>
      <c r="B141" s="10" t="str">
        <f aca="false">IF(C141="","",C141&amp;", "&amp;E141&amp;" m wide, "&amp;F141&amp;" m headroom, "&amp;G141&amp;" m bays, "&amp;H141&amp;" ("&amp;D141&amp;")")</f>
        <v/>
      </c>
      <c r="C141" s="9"/>
      <c r="D141" s="9"/>
      <c r="E141" s="43"/>
      <c r="F141" s="43"/>
      <c r="G141" s="43"/>
      <c r="H141" s="9"/>
      <c r="I141" s="9"/>
      <c r="J141" s="9"/>
      <c r="K141" s="9"/>
      <c r="L141" s="9"/>
      <c r="M141" s="9"/>
      <c r="N141" s="9"/>
      <c r="O141" s="9"/>
      <c r="P141" s="40"/>
      <c r="Q141" s="43"/>
      <c r="R141" s="9"/>
      <c r="S141" s="9"/>
      <c r="T141" s="9"/>
      <c r="U141" s="43"/>
      <c r="V141" s="9"/>
      <c r="W141" s="9"/>
      <c r="X141" s="9"/>
      <c r="Y141" s="9"/>
      <c r="Z141" s="9"/>
      <c r="AA141" s="9"/>
      <c r="AB141" s="10" t="str">
        <f aca="false">IF(A141="","",SG_Criteria!$B$6&amp;SG_Criteria!$B$12&amp;"\"&amp;A141&amp;"\")</f>
        <v/>
      </c>
      <c r="AC141" s="10" t="str">
        <f aca="false">IF(A141="","",A141&amp;"_CAD.dwg")</f>
        <v/>
      </c>
      <c r="AD141" s="10" t="str">
        <f aca="false">IF(A141="","",A141&amp;"_DWG.pdf")</f>
        <v/>
      </c>
      <c r="AE141" s="10" t="str">
        <f aca="false">IF(A141="","",IF(AA141="Y",A141&amp;"_STAAD.std","n/a"))</f>
        <v/>
      </c>
      <c r="AF141" s="10" t="str">
        <f aca="false">IF(A141="","",A141&amp;"_CALC.xlsx")</f>
        <v/>
      </c>
      <c r="AG141" s="10" t="str">
        <f aca="false">IF(A141="","",A141&amp;"_CALC.pdf")</f>
        <v/>
      </c>
      <c r="AH141" s="9"/>
      <c r="AI141" s="9"/>
      <c r="AJ141" s="41"/>
      <c r="AK141" s="41"/>
      <c r="AL141" s="41"/>
      <c r="AM141" s="41"/>
      <c r="AN141" s="41"/>
      <c r="AO141" s="38" t="str">
        <f aca="false">IF(C141="","",IF(LEN(IF(AND(C141&lt;&gt;"High Covered Linkway",F141&lt;SG_Criteria!$B$46),"FAIL: headroom below "&amp;SG_Criteria!$B$46&amp;" m. ","")&amp;IF(AND(C141="High Covered Linkway",F141&lt;SG_Criteria!$B$47),"FAIL: high linkway headroom below "&amp;SG_Criteria!$B$47&amp;" m. ","")&amp;IF(E141&lt;SG_Criteria!$B$48,"FAIL: roof width below "&amp;SG_Criteria!$B$48&amp;" m. ",IF(E141&lt;SG_Criteria!$B$49,"NOTE: not for MRT/LRT or high-traffic routes (min "&amp;SG_Criteria!$B$49&amp;" m). ",""))&amp;IF(AND(P141&lt;&gt;"",P141&lt;SG_Criteria!$B$50),"FAIL: wind speed below "&amp;SG_Criteria!$B$50&amp;" m/s. ","")&amp;IF(AND(Q141&lt;&gt;"",Q141&lt;SG_Criteria!$B$51),"FAIL: roof fixing pull-out below "&amp;SG_Criteria!$B$51&amp;" kN. ","")&amp;IF(AND(R141&lt;&gt;"",IFERROR(VALUE(MID(R141,2,2)),0)&lt;SG_Criteria!$B$52),"FAIL: grade below C"&amp;SG_Criteria!$B$52&amp;". ","")&amp;IF(D141="Non-standard (project design)","NOTE: not an SDRE standard, needs LTA acceptance. ",""))=0,"OK",IF(AND(C141&lt;&gt;"High Covered Linkway",F141&lt;SG_Criteria!$B$46),"FAIL: headroom below "&amp;SG_Criteria!$B$46&amp;" m. ","")&amp;IF(AND(C141="High Covered Linkway",F141&lt;SG_Criteria!$B$47),"FAIL: high linkway headroom below "&amp;SG_Criteria!$B$47&amp;" m. ","")&amp;IF(E141&lt;SG_Criteria!$B$48,"FAIL: roof width below "&amp;SG_Criteria!$B$48&amp;" m. ",IF(E141&lt;SG_Criteria!$B$49,"NOTE: not for MRT/LRT or high-traffic routes (min "&amp;SG_Criteria!$B$49&amp;" m). ",""))&amp;IF(AND(P141&lt;&gt;"",P141&lt;SG_Criteria!$B$50),"FAIL: wind speed below "&amp;SG_Criteria!$B$50&amp;" m/s. ","")&amp;IF(AND(Q141&lt;&gt;"",Q141&lt;SG_Criteria!$B$51),"FAIL: roof fixing pull-out below "&amp;SG_Criteria!$B$51&amp;" kN. ","")&amp;IF(AND(R141&lt;&gt;"",IFERROR(VALUE(MID(R141,2,2)),0)&lt;SG_Criteria!$B$52),"FAIL: grade below C"&amp;SG_Criteria!$B$52&amp;". ","")&amp;IF(D141="Non-standard (project design)","NOTE: not an SDRE standard, needs LTA acceptance. ","")))</f>
        <v/>
      </c>
      <c r="AP141" s="9"/>
      <c r="AQ141" s="9"/>
      <c r="AR141" s="9"/>
      <c r="AS141" s="9"/>
      <c r="AT141" s="9"/>
      <c r="AU141" s="31"/>
      <c r="AV141" s="10" t="str">
        <f aca="false">IF(C141="","",IF(AND(X141="Approved",ISERROR(SEARCH("FAIL",AO141))),"Y","N"))</f>
        <v/>
      </c>
      <c r="AW141" s="10" t="str">
        <f aca="false">IF(C141="","",C141&amp;"|"&amp;E141&amp;"|"&amp;F141&amp;"|"&amp;AV141)</f>
        <v/>
      </c>
    </row>
    <row r="142" customFormat="false" ht="15" hidden="false" customHeight="false" outlineLevel="0" collapsed="false">
      <c r="A142" s="10" t="str">
        <f aca="false">IF(C142="","","LKW-"&amp;IFERROR(VLOOKUP(C142,Lists!$AQ$4:$AR$17,2,0),"??")&amp;"-W"&amp;TEXT(E142*1000,"0000")&amp;"-H"&amp;TEXT(F142*1000,"0000")&amp;"-B"&amp;TEXT(G142*1000,"0000")&amp;"-"&amp;W142)</f>
        <v/>
      </c>
      <c r="B142" s="10" t="str">
        <f aca="false">IF(C142="","",C142&amp;", "&amp;E142&amp;" m wide, "&amp;F142&amp;" m headroom, "&amp;G142&amp;" m bays, "&amp;H142&amp;" ("&amp;D142&amp;")")</f>
        <v/>
      </c>
      <c r="C142" s="9"/>
      <c r="D142" s="9"/>
      <c r="E142" s="43"/>
      <c r="F142" s="43"/>
      <c r="G142" s="43"/>
      <c r="H142" s="9"/>
      <c r="I142" s="9"/>
      <c r="J142" s="9"/>
      <c r="K142" s="9"/>
      <c r="L142" s="9"/>
      <c r="M142" s="9"/>
      <c r="N142" s="9"/>
      <c r="O142" s="9"/>
      <c r="P142" s="40"/>
      <c r="Q142" s="43"/>
      <c r="R142" s="9"/>
      <c r="S142" s="9"/>
      <c r="T142" s="9"/>
      <c r="U142" s="43"/>
      <c r="V142" s="9"/>
      <c r="W142" s="9"/>
      <c r="X142" s="9"/>
      <c r="Y142" s="9"/>
      <c r="Z142" s="9"/>
      <c r="AA142" s="9"/>
      <c r="AB142" s="10" t="str">
        <f aca="false">IF(A142="","",SG_Criteria!$B$6&amp;SG_Criteria!$B$12&amp;"\"&amp;A142&amp;"\")</f>
        <v/>
      </c>
      <c r="AC142" s="10" t="str">
        <f aca="false">IF(A142="","",A142&amp;"_CAD.dwg")</f>
        <v/>
      </c>
      <c r="AD142" s="10" t="str">
        <f aca="false">IF(A142="","",A142&amp;"_DWG.pdf")</f>
        <v/>
      </c>
      <c r="AE142" s="10" t="str">
        <f aca="false">IF(A142="","",IF(AA142="Y",A142&amp;"_STAAD.std","n/a"))</f>
        <v/>
      </c>
      <c r="AF142" s="10" t="str">
        <f aca="false">IF(A142="","",A142&amp;"_CALC.xlsx")</f>
        <v/>
      </c>
      <c r="AG142" s="10" t="str">
        <f aca="false">IF(A142="","",A142&amp;"_CALC.pdf")</f>
        <v/>
      </c>
      <c r="AH142" s="9"/>
      <c r="AI142" s="9"/>
      <c r="AJ142" s="41"/>
      <c r="AK142" s="41"/>
      <c r="AL142" s="41"/>
      <c r="AM142" s="41"/>
      <c r="AN142" s="41"/>
      <c r="AO142" s="38" t="str">
        <f aca="false">IF(C142="","",IF(LEN(IF(AND(C142&lt;&gt;"High Covered Linkway",F142&lt;SG_Criteria!$B$46),"FAIL: headroom below "&amp;SG_Criteria!$B$46&amp;" m. ","")&amp;IF(AND(C142="High Covered Linkway",F142&lt;SG_Criteria!$B$47),"FAIL: high linkway headroom below "&amp;SG_Criteria!$B$47&amp;" m. ","")&amp;IF(E142&lt;SG_Criteria!$B$48,"FAIL: roof width below "&amp;SG_Criteria!$B$48&amp;" m. ",IF(E142&lt;SG_Criteria!$B$49,"NOTE: not for MRT/LRT or high-traffic routes (min "&amp;SG_Criteria!$B$49&amp;" m). ",""))&amp;IF(AND(P142&lt;&gt;"",P142&lt;SG_Criteria!$B$50),"FAIL: wind speed below "&amp;SG_Criteria!$B$50&amp;" m/s. ","")&amp;IF(AND(Q142&lt;&gt;"",Q142&lt;SG_Criteria!$B$51),"FAIL: roof fixing pull-out below "&amp;SG_Criteria!$B$51&amp;" kN. ","")&amp;IF(AND(R142&lt;&gt;"",IFERROR(VALUE(MID(R142,2,2)),0)&lt;SG_Criteria!$B$52),"FAIL: grade below C"&amp;SG_Criteria!$B$52&amp;". ","")&amp;IF(D142="Non-standard (project design)","NOTE: not an SDRE standard, needs LTA acceptance. ",""))=0,"OK",IF(AND(C142&lt;&gt;"High Covered Linkway",F142&lt;SG_Criteria!$B$46),"FAIL: headroom below "&amp;SG_Criteria!$B$46&amp;" m. ","")&amp;IF(AND(C142="High Covered Linkway",F142&lt;SG_Criteria!$B$47),"FAIL: high linkway headroom below "&amp;SG_Criteria!$B$47&amp;" m. ","")&amp;IF(E142&lt;SG_Criteria!$B$48,"FAIL: roof width below "&amp;SG_Criteria!$B$48&amp;" m. ",IF(E142&lt;SG_Criteria!$B$49,"NOTE: not for MRT/LRT or high-traffic routes (min "&amp;SG_Criteria!$B$49&amp;" m). ",""))&amp;IF(AND(P142&lt;&gt;"",P142&lt;SG_Criteria!$B$50),"FAIL: wind speed below "&amp;SG_Criteria!$B$50&amp;" m/s. ","")&amp;IF(AND(Q142&lt;&gt;"",Q142&lt;SG_Criteria!$B$51),"FAIL: roof fixing pull-out below "&amp;SG_Criteria!$B$51&amp;" kN. ","")&amp;IF(AND(R142&lt;&gt;"",IFERROR(VALUE(MID(R142,2,2)),0)&lt;SG_Criteria!$B$52),"FAIL: grade below C"&amp;SG_Criteria!$B$52&amp;". ","")&amp;IF(D142="Non-standard (project design)","NOTE: not an SDRE standard, needs LTA acceptance. ","")))</f>
        <v/>
      </c>
      <c r="AP142" s="9"/>
      <c r="AQ142" s="9"/>
      <c r="AR142" s="9"/>
      <c r="AS142" s="9"/>
      <c r="AT142" s="9"/>
      <c r="AU142" s="31"/>
      <c r="AV142" s="10" t="str">
        <f aca="false">IF(C142="","",IF(AND(X142="Approved",ISERROR(SEARCH("FAIL",AO142))),"Y","N"))</f>
        <v/>
      </c>
      <c r="AW142" s="10" t="str">
        <f aca="false">IF(C142="","",C142&amp;"|"&amp;E142&amp;"|"&amp;F142&amp;"|"&amp;AV142)</f>
        <v/>
      </c>
    </row>
    <row r="143" customFormat="false" ht="15" hidden="false" customHeight="false" outlineLevel="0" collapsed="false">
      <c r="A143" s="10" t="str">
        <f aca="false">IF(C143="","","LKW-"&amp;IFERROR(VLOOKUP(C143,Lists!$AQ$4:$AR$17,2,0),"??")&amp;"-W"&amp;TEXT(E143*1000,"0000")&amp;"-H"&amp;TEXT(F143*1000,"0000")&amp;"-B"&amp;TEXT(G143*1000,"0000")&amp;"-"&amp;W143)</f>
        <v/>
      </c>
      <c r="B143" s="10" t="str">
        <f aca="false">IF(C143="","",C143&amp;", "&amp;E143&amp;" m wide, "&amp;F143&amp;" m headroom, "&amp;G143&amp;" m bays, "&amp;H143&amp;" ("&amp;D143&amp;")")</f>
        <v/>
      </c>
      <c r="C143" s="9"/>
      <c r="D143" s="9"/>
      <c r="E143" s="43"/>
      <c r="F143" s="43"/>
      <c r="G143" s="43"/>
      <c r="H143" s="9"/>
      <c r="I143" s="9"/>
      <c r="J143" s="9"/>
      <c r="K143" s="9"/>
      <c r="L143" s="9"/>
      <c r="M143" s="9"/>
      <c r="N143" s="9"/>
      <c r="O143" s="9"/>
      <c r="P143" s="40"/>
      <c r="Q143" s="43"/>
      <c r="R143" s="9"/>
      <c r="S143" s="9"/>
      <c r="T143" s="9"/>
      <c r="U143" s="43"/>
      <c r="V143" s="9"/>
      <c r="W143" s="9"/>
      <c r="X143" s="9"/>
      <c r="Y143" s="9"/>
      <c r="Z143" s="9"/>
      <c r="AA143" s="9"/>
      <c r="AB143" s="10" t="str">
        <f aca="false">IF(A143="","",SG_Criteria!$B$6&amp;SG_Criteria!$B$12&amp;"\"&amp;A143&amp;"\")</f>
        <v/>
      </c>
      <c r="AC143" s="10" t="str">
        <f aca="false">IF(A143="","",A143&amp;"_CAD.dwg")</f>
        <v/>
      </c>
      <c r="AD143" s="10" t="str">
        <f aca="false">IF(A143="","",A143&amp;"_DWG.pdf")</f>
        <v/>
      </c>
      <c r="AE143" s="10" t="str">
        <f aca="false">IF(A143="","",IF(AA143="Y",A143&amp;"_STAAD.std","n/a"))</f>
        <v/>
      </c>
      <c r="AF143" s="10" t="str">
        <f aca="false">IF(A143="","",A143&amp;"_CALC.xlsx")</f>
        <v/>
      </c>
      <c r="AG143" s="10" t="str">
        <f aca="false">IF(A143="","",A143&amp;"_CALC.pdf")</f>
        <v/>
      </c>
      <c r="AH143" s="9"/>
      <c r="AI143" s="9"/>
      <c r="AJ143" s="41"/>
      <c r="AK143" s="41"/>
      <c r="AL143" s="41"/>
      <c r="AM143" s="41"/>
      <c r="AN143" s="41"/>
      <c r="AO143" s="38" t="str">
        <f aca="false">IF(C143="","",IF(LEN(IF(AND(C143&lt;&gt;"High Covered Linkway",F143&lt;SG_Criteria!$B$46),"FAIL: headroom below "&amp;SG_Criteria!$B$46&amp;" m. ","")&amp;IF(AND(C143="High Covered Linkway",F143&lt;SG_Criteria!$B$47),"FAIL: high linkway headroom below "&amp;SG_Criteria!$B$47&amp;" m. ","")&amp;IF(E143&lt;SG_Criteria!$B$48,"FAIL: roof width below "&amp;SG_Criteria!$B$48&amp;" m. ",IF(E143&lt;SG_Criteria!$B$49,"NOTE: not for MRT/LRT or high-traffic routes (min "&amp;SG_Criteria!$B$49&amp;" m). ",""))&amp;IF(AND(P143&lt;&gt;"",P143&lt;SG_Criteria!$B$50),"FAIL: wind speed below "&amp;SG_Criteria!$B$50&amp;" m/s. ","")&amp;IF(AND(Q143&lt;&gt;"",Q143&lt;SG_Criteria!$B$51),"FAIL: roof fixing pull-out below "&amp;SG_Criteria!$B$51&amp;" kN. ","")&amp;IF(AND(R143&lt;&gt;"",IFERROR(VALUE(MID(R143,2,2)),0)&lt;SG_Criteria!$B$52),"FAIL: grade below C"&amp;SG_Criteria!$B$52&amp;". ","")&amp;IF(D143="Non-standard (project design)","NOTE: not an SDRE standard, needs LTA acceptance. ",""))=0,"OK",IF(AND(C143&lt;&gt;"High Covered Linkway",F143&lt;SG_Criteria!$B$46),"FAIL: headroom below "&amp;SG_Criteria!$B$46&amp;" m. ","")&amp;IF(AND(C143="High Covered Linkway",F143&lt;SG_Criteria!$B$47),"FAIL: high linkway headroom below "&amp;SG_Criteria!$B$47&amp;" m. ","")&amp;IF(E143&lt;SG_Criteria!$B$48,"FAIL: roof width below "&amp;SG_Criteria!$B$48&amp;" m. ",IF(E143&lt;SG_Criteria!$B$49,"NOTE: not for MRT/LRT or high-traffic routes (min "&amp;SG_Criteria!$B$49&amp;" m). ",""))&amp;IF(AND(P143&lt;&gt;"",P143&lt;SG_Criteria!$B$50),"FAIL: wind speed below "&amp;SG_Criteria!$B$50&amp;" m/s. ","")&amp;IF(AND(Q143&lt;&gt;"",Q143&lt;SG_Criteria!$B$51),"FAIL: roof fixing pull-out below "&amp;SG_Criteria!$B$51&amp;" kN. ","")&amp;IF(AND(R143&lt;&gt;"",IFERROR(VALUE(MID(R143,2,2)),0)&lt;SG_Criteria!$B$52),"FAIL: grade below C"&amp;SG_Criteria!$B$52&amp;". ","")&amp;IF(D143="Non-standard (project design)","NOTE: not an SDRE standard, needs LTA acceptance. ","")))</f>
        <v/>
      </c>
      <c r="AP143" s="9"/>
      <c r="AQ143" s="9"/>
      <c r="AR143" s="9"/>
      <c r="AS143" s="9"/>
      <c r="AT143" s="9"/>
      <c r="AU143" s="31"/>
      <c r="AV143" s="10" t="str">
        <f aca="false">IF(C143="","",IF(AND(X143="Approved",ISERROR(SEARCH("FAIL",AO143))),"Y","N"))</f>
        <v/>
      </c>
      <c r="AW143" s="10" t="str">
        <f aca="false">IF(C143="","",C143&amp;"|"&amp;E143&amp;"|"&amp;F143&amp;"|"&amp;AV143)</f>
        <v/>
      </c>
    </row>
    <row r="144" customFormat="false" ht="15" hidden="false" customHeight="false" outlineLevel="0" collapsed="false">
      <c r="A144" s="10" t="str">
        <f aca="false">IF(C144="","","LKW-"&amp;IFERROR(VLOOKUP(C144,Lists!$AQ$4:$AR$17,2,0),"??")&amp;"-W"&amp;TEXT(E144*1000,"0000")&amp;"-H"&amp;TEXT(F144*1000,"0000")&amp;"-B"&amp;TEXT(G144*1000,"0000")&amp;"-"&amp;W144)</f>
        <v/>
      </c>
      <c r="B144" s="10" t="str">
        <f aca="false">IF(C144="","",C144&amp;", "&amp;E144&amp;" m wide, "&amp;F144&amp;" m headroom, "&amp;G144&amp;" m bays, "&amp;H144&amp;" ("&amp;D144&amp;")")</f>
        <v/>
      </c>
      <c r="C144" s="9"/>
      <c r="D144" s="9"/>
      <c r="E144" s="43"/>
      <c r="F144" s="43"/>
      <c r="G144" s="43"/>
      <c r="H144" s="9"/>
      <c r="I144" s="9"/>
      <c r="J144" s="9"/>
      <c r="K144" s="9"/>
      <c r="L144" s="9"/>
      <c r="M144" s="9"/>
      <c r="N144" s="9"/>
      <c r="O144" s="9"/>
      <c r="P144" s="40"/>
      <c r="Q144" s="43"/>
      <c r="R144" s="9"/>
      <c r="S144" s="9"/>
      <c r="T144" s="9"/>
      <c r="U144" s="43"/>
      <c r="V144" s="9"/>
      <c r="W144" s="9"/>
      <c r="X144" s="9"/>
      <c r="Y144" s="9"/>
      <c r="Z144" s="9"/>
      <c r="AA144" s="9"/>
      <c r="AB144" s="10" t="str">
        <f aca="false">IF(A144="","",SG_Criteria!$B$6&amp;SG_Criteria!$B$12&amp;"\"&amp;A144&amp;"\")</f>
        <v/>
      </c>
      <c r="AC144" s="10" t="str">
        <f aca="false">IF(A144="","",A144&amp;"_CAD.dwg")</f>
        <v/>
      </c>
      <c r="AD144" s="10" t="str">
        <f aca="false">IF(A144="","",A144&amp;"_DWG.pdf")</f>
        <v/>
      </c>
      <c r="AE144" s="10" t="str">
        <f aca="false">IF(A144="","",IF(AA144="Y",A144&amp;"_STAAD.std","n/a"))</f>
        <v/>
      </c>
      <c r="AF144" s="10" t="str">
        <f aca="false">IF(A144="","",A144&amp;"_CALC.xlsx")</f>
        <v/>
      </c>
      <c r="AG144" s="10" t="str">
        <f aca="false">IF(A144="","",A144&amp;"_CALC.pdf")</f>
        <v/>
      </c>
      <c r="AH144" s="9"/>
      <c r="AI144" s="9"/>
      <c r="AJ144" s="41"/>
      <c r="AK144" s="41"/>
      <c r="AL144" s="41"/>
      <c r="AM144" s="41"/>
      <c r="AN144" s="41"/>
      <c r="AO144" s="38" t="str">
        <f aca="false">IF(C144="","",IF(LEN(IF(AND(C144&lt;&gt;"High Covered Linkway",F144&lt;SG_Criteria!$B$46),"FAIL: headroom below "&amp;SG_Criteria!$B$46&amp;" m. ","")&amp;IF(AND(C144="High Covered Linkway",F144&lt;SG_Criteria!$B$47),"FAIL: high linkway headroom below "&amp;SG_Criteria!$B$47&amp;" m. ","")&amp;IF(E144&lt;SG_Criteria!$B$48,"FAIL: roof width below "&amp;SG_Criteria!$B$48&amp;" m. ",IF(E144&lt;SG_Criteria!$B$49,"NOTE: not for MRT/LRT or high-traffic routes (min "&amp;SG_Criteria!$B$49&amp;" m). ",""))&amp;IF(AND(P144&lt;&gt;"",P144&lt;SG_Criteria!$B$50),"FAIL: wind speed below "&amp;SG_Criteria!$B$50&amp;" m/s. ","")&amp;IF(AND(Q144&lt;&gt;"",Q144&lt;SG_Criteria!$B$51),"FAIL: roof fixing pull-out below "&amp;SG_Criteria!$B$51&amp;" kN. ","")&amp;IF(AND(R144&lt;&gt;"",IFERROR(VALUE(MID(R144,2,2)),0)&lt;SG_Criteria!$B$52),"FAIL: grade below C"&amp;SG_Criteria!$B$52&amp;". ","")&amp;IF(D144="Non-standard (project design)","NOTE: not an SDRE standard, needs LTA acceptance. ",""))=0,"OK",IF(AND(C144&lt;&gt;"High Covered Linkway",F144&lt;SG_Criteria!$B$46),"FAIL: headroom below "&amp;SG_Criteria!$B$46&amp;" m. ","")&amp;IF(AND(C144="High Covered Linkway",F144&lt;SG_Criteria!$B$47),"FAIL: high linkway headroom below "&amp;SG_Criteria!$B$47&amp;" m. ","")&amp;IF(E144&lt;SG_Criteria!$B$48,"FAIL: roof width below "&amp;SG_Criteria!$B$48&amp;" m. ",IF(E144&lt;SG_Criteria!$B$49,"NOTE: not for MRT/LRT or high-traffic routes (min "&amp;SG_Criteria!$B$49&amp;" m). ",""))&amp;IF(AND(P144&lt;&gt;"",P144&lt;SG_Criteria!$B$50),"FAIL: wind speed below "&amp;SG_Criteria!$B$50&amp;" m/s. ","")&amp;IF(AND(Q144&lt;&gt;"",Q144&lt;SG_Criteria!$B$51),"FAIL: roof fixing pull-out below "&amp;SG_Criteria!$B$51&amp;" kN. ","")&amp;IF(AND(R144&lt;&gt;"",IFERROR(VALUE(MID(R144,2,2)),0)&lt;SG_Criteria!$B$52),"FAIL: grade below C"&amp;SG_Criteria!$B$52&amp;". ","")&amp;IF(D144="Non-standard (project design)","NOTE: not an SDRE standard, needs LTA acceptance. ","")))</f>
        <v/>
      </c>
      <c r="AP144" s="9"/>
      <c r="AQ144" s="9"/>
      <c r="AR144" s="9"/>
      <c r="AS144" s="9"/>
      <c r="AT144" s="9"/>
      <c r="AU144" s="31"/>
      <c r="AV144" s="10" t="str">
        <f aca="false">IF(C144="","",IF(AND(X144="Approved",ISERROR(SEARCH("FAIL",AO144))),"Y","N"))</f>
        <v/>
      </c>
      <c r="AW144" s="10" t="str">
        <f aca="false">IF(C144="","",C144&amp;"|"&amp;E144&amp;"|"&amp;F144&amp;"|"&amp;AV144)</f>
        <v/>
      </c>
    </row>
    <row r="145" customFormat="false" ht="15" hidden="false" customHeight="false" outlineLevel="0" collapsed="false">
      <c r="A145" s="10" t="str">
        <f aca="false">IF(C145="","","LKW-"&amp;IFERROR(VLOOKUP(C145,Lists!$AQ$4:$AR$17,2,0),"??")&amp;"-W"&amp;TEXT(E145*1000,"0000")&amp;"-H"&amp;TEXT(F145*1000,"0000")&amp;"-B"&amp;TEXT(G145*1000,"0000")&amp;"-"&amp;W145)</f>
        <v/>
      </c>
      <c r="B145" s="10" t="str">
        <f aca="false">IF(C145="","",C145&amp;", "&amp;E145&amp;" m wide, "&amp;F145&amp;" m headroom, "&amp;G145&amp;" m bays, "&amp;H145&amp;" ("&amp;D145&amp;")")</f>
        <v/>
      </c>
      <c r="C145" s="9"/>
      <c r="D145" s="9"/>
      <c r="E145" s="43"/>
      <c r="F145" s="43"/>
      <c r="G145" s="43"/>
      <c r="H145" s="9"/>
      <c r="I145" s="9"/>
      <c r="J145" s="9"/>
      <c r="K145" s="9"/>
      <c r="L145" s="9"/>
      <c r="M145" s="9"/>
      <c r="N145" s="9"/>
      <c r="O145" s="9"/>
      <c r="P145" s="40"/>
      <c r="Q145" s="43"/>
      <c r="R145" s="9"/>
      <c r="S145" s="9"/>
      <c r="T145" s="9"/>
      <c r="U145" s="43"/>
      <c r="V145" s="9"/>
      <c r="W145" s="9"/>
      <c r="X145" s="9"/>
      <c r="Y145" s="9"/>
      <c r="Z145" s="9"/>
      <c r="AA145" s="9"/>
      <c r="AB145" s="10" t="str">
        <f aca="false">IF(A145="","",SG_Criteria!$B$6&amp;SG_Criteria!$B$12&amp;"\"&amp;A145&amp;"\")</f>
        <v/>
      </c>
      <c r="AC145" s="10" t="str">
        <f aca="false">IF(A145="","",A145&amp;"_CAD.dwg")</f>
        <v/>
      </c>
      <c r="AD145" s="10" t="str">
        <f aca="false">IF(A145="","",A145&amp;"_DWG.pdf")</f>
        <v/>
      </c>
      <c r="AE145" s="10" t="str">
        <f aca="false">IF(A145="","",IF(AA145="Y",A145&amp;"_STAAD.std","n/a"))</f>
        <v/>
      </c>
      <c r="AF145" s="10" t="str">
        <f aca="false">IF(A145="","",A145&amp;"_CALC.xlsx")</f>
        <v/>
      </c>
      <c r="AG145" s="10" t="str">
        <f aca="false">IF(A145="","",A145&amp;"_CALC.pdf")</f>
        <v/>
      </c>
      <c r="AH145" s="9"/>
      <c r="AI145" s="9"/>
      <c r="AJ145" s="41"/>
      <c r="AK145" s="41"/>
      <c r="AL145" s="41"/>
      <c r="AM145" s="41"/>
      <c r="AN145" s="41"/>
      <c r="AO145" s="38" t="str">
        <f aca="false">IF(C145="","",IF(LEN(IF(AND(C145&lt;&gt;"High Covered Linkway",F145&lt;SG_Criteria!$B$46),"FAIL: headroom below "&amp;SG_Criteria!$B$46&amp;" m. ","")&amp;IF(AND(C145="High Covered Linkway",F145&lt;SG_Criteria!$B$47),"FAIL: high linkway headroom below "&amp;SG_Criteria!$B$47&amp;" m. ","")&amp;IF(E145&lt;SG_Criteria!$B$48,"FAIL: roof width below "&amp;SG_Criteria!$B$48&amp;" m. ",IF(E145&lt;SG_Criteria!$B$49,"NOTE: not for MRT/LRT or high-traffic routes (min "&amp;SG_Criteria!$B$49&amp;" m). ",""))&amp;IF(AND(P145&lt;&gt;"",P145&lt;SG_Criteria!$B$50),"FAIL: wind speed below "&amp;SG_Criteria!$B$50&amp;" m/s. ","")&amp;IF(AND(Q145&lt;&gt;"",Q145&lt;SG_Criteria!$B$51),"FAIL: roof fixing pull-out below "&amp;SG_Criteria!$B$51&amp;" kN. ","")&amp;IF(AND(R145&lt;&gt;"",IFERROR(VALUE(MID(R145,2,2)),0)&lt;SG_Criteria!$B$52),"FAIL: grade below C"&amp;SG_Criteria!$B$52&amp;". ","")&amp;IF(D145="Non-standard (project design)","NOTE: not an SDRE standard, needs LTA acceptance. ",""))=0,"OK",IF(AND(C145&lt;&gt;"High Covered Linkway",F145&lt;SG_Criteria!$B$46),"FAIL: headroom below "&amp;SG_Criteria!$B$46&amp;" m. ","")&amp;IF(AND(C145="High Covered Linkway",F145&lt;SG_Criteria!$B$47),"FAIL: high linkway headroom below "&amp;SG_Criteria!$B$47&amp;" m. ","")&amp;IF(E145&lt;SG_Criteria!$B$48,"FAIL: roof width below "&amp;SG_Criteria!$B$48&amp;" m. ",IF(E145&lt;SG_Criteria!$B$49,"NOTE: not for MRT/LRT or high-traffic routes (min "&amp;SG_Criteria!$B$49&amp;" m). ",""))&amp;IF(AND(P145&lt;&gt;"",P145&lt;SG_Criteria!$B$50),"FAIL: wind speed below "&amp;SG_Criteria!$B$50&amp;" m/s. ","")&amp;IF(AND(Q145&lt;&gt;"",Q145&lt;SG_Criteria!$B$51),"FAIL: roof fixing pull-out below "&amp;SG_Criteria!$B$51&amp;" kN. ","")&amp;IF(AND(R145&lt;&gt;"",IFERROR(VALUE(MID(R145,2,2)),0)&lt;SG_Criteria!$B$52),"FAIL: grade below C"&amp;SG_Criteria!$B$52&amp;". ","")&amp;IF(D145="Non-standard (project design)","NOTE: not an SDRE standard, needs LTA acceptance. ","")))</f>
        <v/>
      </c>
      <c r="AP145" s="9"/>
      <c r="AQ145" s="9"/>
      <c r="AR145" s="9"/>
      <c r="AS145" s="9"/>
      <c r="AT145" s="9"/>
      <c r="AU145" s="31"/>
      <c r="AV145" s="10" t="str">
        <f aca="false">IF(C145="","",IF(AND(X145="Approved",ISERROR(SEARCH("FAIL",AO145))),"Y","N"))</f>
        <v/>
      </c>
      <c r="AW145" s="10" t="str">
        <f aca="false">IF(C145="","",C145&amp;"|"&amp;E145&amp;"|"&amp;F145&amp;"|"&amp;AV145)</f>
        <v/>
      </c>
    </row>
    <row r="146" customFormat="false" ht="15" hidden="false" customHeight="false" outlineLevel="0" collapsed="false">
      <c r="A146" s="10" t="str">
        <f aca="false">IF(C146="","","LKW-"&amp;IFERROR(VLOOKUP(C146,Lists!$AQ$4:$AR$17,2,0),"??")&amp;"-W"&amp;TEXT(E146*1000,"0000")&amp;"-H"&amp;TEXT(F146*1000,"0000")&amp;"-B"&amp;TEXT(G146*1000,"0000")&amp;"-"&amp;W146)</f>
        <v/>
      </c>
      <c r="B146" s="10" t="str">
        <f aca="false">IF(C146="","",C146&amp;", "&amp;E146&amp;" m wide, "&amp;F146&amp;" m headroom, "&amp;G146&amp;" m bays, "&amp;H146&amp;" ("&amp;D146&amp;")")</f>
        <v/>
      </c>
      <c r="C146" s="9"/>
      <c r="D146" s="9"/>
      <c r="E146" s="43"/>
      <c r="F146" s="43"/>
      <c r="G146" s="43"/>
      <c r="H146" s="9"/>
      <c r="I146" s="9"/>
      <c r="J146" s="9"/>
      <c r="K146" s="9"/>
      <c r="L146" s="9"/>
      <c r="M146" s="9"/>
      <c r="N146" s="9"/>
      <c r="O146" s="9"/>
      <c r="P146" s="40"/>
      <c r="Q146" s="43"/>
      <c r="R146" s="9"/>
      <c r="S146" s="9"/>
      <c r="T146" s="9"/>
      <c r="U146" s="43"/>
      <c r="V146" s="9"/>
      <c r="W146" s="9"/>
      <c r="X146" s="9"/>
      <c r="Y146" s="9"/>
      <c r="Z146" s="9"/>
      <c r="AA146" s="9"/>
      <c r="AB146" s="10" t="str">
        <f aca="false">IF(A146="","",SG_Criteria!$B$6&amp;SG_Criteria!$B$12&amp;"\"&amp;A146&amp;"\")</f>
        <v/>
      </c>
      <c r="AC146" s="10" t="str">
        <f aca="false">IF(A146="","",A146&amp;"_CAD.dwg")</f>
        <v/>
      </c>
      <c r="AD146" s="10" t="str">
        <f aca="false">IF(A146="","",A146&amp;"_DWG.pdf")</f>
        <v/>
      </c>
      <c r="AE146" s="10" t="str">
        <f aca="false">IF(A146="","",IF(AA146="Y",A146&amp;"_STAAD.std","n/a"))</f>
        <v/>
      </c>
      <c r="AF146" s="10" t="str">
        <f aca="false">IF(A146="","",A146&amp;"_CALC.xlsx")</f>
        <v/>
      </c>
      <c r="AG146" s="10" t="str">
        <f aca="false">IF(A146="","",A146&amp;"_CALC.pdf")</f>
        <v/>
      </c>
      <c r="AH146" s="9"/>
      <c r="AI146" s="9"/>
      <c r="AJ146" s="41"/>
      <c r="AK146" s="41"/>
      <c r="AL146" s="41"/>
      <c r="AM146" s="41"/>
      <c r="AN146" s="41"/>
      <c r="AO146" s="38" t="str">
        <f aca="false">IF(C146="","",IF(LEN(IF(AND(C146&lt;&gt;"High Covered Linkway",F146&lt;SG_Criteria!$B$46),"FAIL: headroom below "&amp;SG_Criteria!$B$46&amp;" m. ","")&amp;IF(AND(C146="High Covered Linkway",F146&lt;SG_Criteria!$B$47),"FAIL: high linkway headroom below "&amp;SG_Criteria!$B$47&amp;" m. ","")&amp;IF(E146&lt;SG_Criteria!$B$48,"FAIL: roof width below "&amp;SG_Criteria!$B$48&amp;" m. ",IF(E146&lt;SG_Criteria!$B$49,"NOTE: not for MRT/LRT or high-traffic routes (min "&amp;SG_Criteria!$B$49&amp;" m). ",""))&amp;IF(AND(P146&lt;&gt;"",P146&lt;SG_Criteria!$B$50),"FAIL: wind speed below "&amp;SG_Criteria!$B$50&amp;" m/s. ","")&amp;IF(AND(Q146&lt;&gt;"",Q146&lt;SG_Criteria!$B$51),"FAIL: roof fixing pull-out below "&amp;SG_Criteria!$B$51&amp;" kN. ","")&amp;IF(AND(R146&lt;&gt;"",IFERROR(VALUE(MID(R146,2,2)),0)&lt;SG_Criteria!$B$52),"FAIL: grade below C"&amp;SG_Criteria!$B$52&amp;". ","")&amp;IF(D146="Non-standard (project design)","NOTE: not an SDRE standard, needs LTA acceptance. ",""))=0,"OK",IF(AND(C146&lt;&gt;"High Covered Linkway",F146&lt;SG_Criteria!$B$46),"FAIL: headroom below "&amp;SG_Criteria!$B$46&amp;" m. ","")&amp;IF(AND(C146="High Covered Linkway",F146&lt;SG_Criteria!$B$47),"FAIL: high linkway headroom below "&amp;SG_Criteria!$B$47&amp;" m. ","")&amp;IF(E146&lt;SG_Criteria!$B$48,"FAIL: roof width below "&amp;SG_Criteria!$B$48&amp;" m. ",IF(E146&lt;SG_Criteria!$B$49,"NOTE: not for MRT/LRT or high-traffic routes (min "&amp;SG_Criteria!$B$49&amp;" m). ",""))&amp;IF(AND(P146&lt;&gt;"",P146&lt;SG_Criteria!$B$50),"FAIL: wind speed below "&amp;SG_Criteria!$B$50&amp;" m/s. ","")&amp;IF(AND(Q146&lt;&gt;"",Q146&lt;SG_Criteria!$B$51),"FAIL: roof fixing pull-out below "&amp;SG_Criteria!$B$51&amp;" kN. ","")&amp;IF(AND(R146&lt;&gt;"",IFERROR(VALUE(MID(R146,2,2)),0)&lt;SG_Criteria!$B$52),"FAIL: grade below C"&amp;SG_Criteria!$B$52&amp;". ","")&amp;IF(D146="Non-standard (project design)","NOTE: not an SDRE standard, needs LTA acceptance. ","")))</f>
        <v/>
      </c>
      <c r="AP146" s="9"/>
      <c r="AQ146" s="9"/>
      <c r="AR146" s="9"/>
      <c r="AS146" s="9"/>
      <c r="AT146" s="9"/>
      <c r="AU146" s="31"/>
      <c r="AV146" s="10" t="str">
        <f aca="false">IF(C146="","",IF(AND(X146="Approved",ISERROR(SEARCH("FAIL",AO146))),"Y","N"))</f>
        <v/>
      </c>
      <c r="AW146" s="10" t="str">
        <f aca="false">IF(C146="","",C146&amp;"|"&amp;E146&amp;"|"&amp;F146&amp;"|"&amp;AV146)</f>
        <v/>
      </c>
    </row>
    <row r="147" customFormat="false" ht="15" hidden="false" customHeight="false" outlineLevel="0" collapsed="false">
      <c r="A147" s="10" t="str">
        <f aca="false">IF(C147="","","LKW-"&amp;IFERROR(VLOOKUP(C147,Lists!$AQ$4:$AR$17,2,0),"??")&amp;"-W"&amp;TEXT(E147*1000,"0000")&amp;"-H"&amp;TEXT(F147*1000,"0000")&amp;"-B"&amp;TEXT(G147*1000,"0000")&amp;"-"&amp;W147)</f>
        <v/>
      </c>
      <c r="B147" s="10" t="str">
        <f aca="false">IF(C147="","",C147&amp;", "&amp;E147&amp;" m wide, "&amp;F147&amp;" m headroom, "&amp;G147&amp;" m bays, "&amp;H147&amp;" ("&amp;D147&amp;")")</f>
        <v/>
      </c>
      <c r="C147" s="9"/>
      <c r="D147" s="9"/>
      <c r="E147" s="43"/>
      <c r="F147" s="43"/>
      <c r="G147" s="43"/>
      <c r="H147" s="9"/>
      <c r="I147" s="9"/>
      <c r="J147" s="9"/>
      <c r="K147" s="9"/>
      <c r="L147" s="9"/>
      <c r="M147" s="9"/>
      <c r="N147" s="9"/>
      <c r="O147" s="9"/>
      <c r="P147" s="40"/>
      <c r="Q147" s="43"/>
      <c r="R147" s="9"/>
      <c r="S147" s="9"/>
      <c r="T147" s="9"/>
      <c r="U147" s="43"/>
      <c r="V147" s="9"/>
      <c r="W147" s="9"/>
      <c r="X147" s="9"/>
      <c r="Y147" s="9"/>
      <c r="Z147" s="9"/>
      <c r="AA147" s="9"/>
      <c r="AB147" s="10" t="str">
        <f aca="false">IF(A147="","",SG_Criteria!$B$6&amp;SG_Criteria!$B$12&amp;"\"&amp;A147&amp;"\")</f>
        <v/>
      </c>
      <c r="AC147" s="10" t="str">
        <f aca="false">IF(A147="","",A147&amp;"_CAD.dwg")</f>
        <v/>
      </c>
      <c r="AD147" s="10" t="str">
        <f aca="false">IF(A147="","",A147&amp;"_DWG.pdf")</f>
        <v/>
      </c>
      <c r="AE147" s="10" t="str">
        <f aca="false">IF(A147="","",IF(AA147="Y",A147&amp;"_STAAD.std","n/a"))</f>
        <v/>
      </c>
      <c r="AF147" s="10" t="str">
        <f aca="false">IF(A147="","",A147&amp;"_CALC.xlsx")</f>
        <v/>
      </c>
      <c r="AG147" s="10" t="str">
        <f aca="false">IF(A147="","",A147&amp;"_CALC.pdf")</f>
        <v/>
      </c>
      <c r="AH147" s="9"/>
      <c r="AI147" s="9"/>
      <c r="AJ147" s="41"/>
      <c r="AK147" s="41"/>
      <c r="AL147" s="41"/>
      <c r="AM147" s="41"/>
      <c r="AN147" s="41"/>
      <c r="AO147" s="38" t="str">
        <f aca="false">IF(C147="","",IF(LEN(IF(AND(C147&lt;&gt;"High Covered Linkway",F147&lt;SG_Criteria!$B$46),"FAIL: headroom below "&amp;SG_Criteria!$B$46&amp;" m. ","")&amp;IF(AND(C147="High Covered Linkway",F147&lt;SG_Criteria!$B$47),"FAIL: high linkway headroom below "&amp;SG_Criteria!$B$47&amp;" m. ","")&amp;IF(E147&lt;SG_Criteria!$B$48,"FAIL: roof width below "&amp;SG_Criteria!$B$48&amp;" m. ",IF(E147&lt;SG_Criteria!$B$49,"NOTE: not for MRT/LRT or high-traffic routes (min "&amp;SG_Criteria!$B$49&amp;" m). ",""))&amp;IF(AND(P147&lt;&gt;"",P147&lt;SG_Criteria!$B$50),"FAIL: wind speed below "&amp;SG_Criteria!$B$50&amp;" m/s. ","")&amp;IF(AND(Q147&lt;&gt;"",Q147&lt;SG_Criteria!$B$51),"FAIL: roof fixing pull-out below "&amp;SG_Criteria!$B$51&amp;" kN. ","")&amp;IF(AND(R147&lt;&gt;"",IFERROR(VALUE(MID(R147,2,2)),0)&lt;SG_Criteria!$B$52),"FAIL: grade below C"&amp;SG_Criteria!$B$52&amp;". ","")&amp;IF(D147="Non-standard (project design)","NOTE: not an SDRE standard, needs LTA acceptance. ",""))=0,"OK",IF(AND(C147&lt;&gt;"High Covered Linkway",F147&lt;SG_Criteria!$B$46),"FAIL: headroom below "&amp;SG_Criteria!$B$46&amp;" m. ","")&amp;IF(AND(C147="High Covered Linkway",F147&lt;SG_Criteria!$B$47),"FAIL: high linkway headroom below "&amp;SG_Criteria!$B$47&amp;" m. ","")&amp;IF(E147&lt;SG_Criteria!$B$48,"FAIL: roof width below "&amp;SG_Criteria!$B$48&amp;" m. ",IF(E147&lt;SG_Criteria!$B$49,"NOTE: not for MRT/LRT or high-traffic routes (min "&amp;SG_Criteria!$B$49&amp;" m). ",""))&amp;IF(AND(P147&lt;&gt;"",P147&lt;SG_Criteria!$B$50),"FAIL: wind speed below "&amp;SG_Criteria!$B$50&amp;" m/s. ","")&amp;IF(AND(Q147&lt;&gt;"",Q147&lt;SG_Criteria!$B$51),"FAIL: roof fixing pull-out below "&amp;SG_Criteria!$B$51&amp;" kN. ","")&amp;IF(AND(R147&lt;&gt;"",IFERROR(VALUE(MID(R147,2,2)),0)&lt;SG_Criteria!$B$52),"FAIL: grade below C"&amp;SG_Criteria!$B$52&amp;". ","")&amp;IF(D147="Non-standard (project design)","NOTE: not an SDRE standard, needs LTA acceptance. ","")))</f>
        <v/>
      </c>
      <c r="AP147" s="9"/>
      <c r="AQ147" s="9"/>
      <c r="AR147" s="9"/>
      <c r="AS147" s="9"/>
      <c r="AT147" s="9"/>
      <c r="AU147" s="31"/>
      <c r="AV147" s="10" t="str">
        <f aca="false">IF(C147="","",IF(AND(X147="Approved",ISERROR(SEARCH("FAIL",AO147))),"Y","N"))</f>
        <v/>
      </c>
      <c r="AW147" s="10" t="str">
        <f aca="false">IF(C147="","",C147&amp;"|"&amp;E147&amp;"|"&amp;F147&amp;"|"&amp;AV147)</f>
        <v/>
      </c>
    </row>
    <row r="148" customFormat="false" ht="15" hidden="false" customHeight="false" outlineLevel="0" collapsed="false">
      <c r="A148" s="10" t="str">
        <f aca="false">IF(C148="","","LKW-"&amp;IFERROR(VLOOKUP(C148,Lists!$AQ$4:$AR$17,2,0),"??")&amp;"-W"&amp;TEXT(E148*1000,"0000")&amp;"-H"&amp;TEXT(F148*1000,"0000")&amp;"-B"&amp;TEXT(G148*1000,"0000")&amp;"-"&amp;W148)</f>
        <v/>
      </c>
      <c r="B148" s="10" t="str">
        <f aca="false">IF(C148="","",C148&amp;", "&amp;E148&amp;" m wide, "&amp;F148&amp;" m headroom, "&amp;G148&amp;" m bays, "&amp;H148&amp;" ("&amp;D148&amp;")")</f>
        <v/>
      </c>
      <c r="C148" s="9"/>
      <c r="D148" s="9"/>
      <c r="E148" s="43"/>
      <c r="F148" s="43"/>
      <c r="G148" s="43"/>
      <c r="H148" s="9"/>
      <c r="I148" s="9"/>
      <c r="J148" s="9"/>
      <c r="K148" s="9"/>
      <c r="L148" s="9"/>
      <c r="M148" s="9"/>
      <c r="N148" s="9"/>
      <c r="O148" s="9"/>
      <c r="P148" s="40"/>
      <c r="Q148" s="43"/>
      <c r="R148" s="9"/>
      <c r="S148" s="9"/>
      <c r="T148" s="9"/>
      <c r="U148" s="43"/>
      <c r="V148" s="9"/>
      <c r="W148" s="9"/>
      <c r="X148" s="9"/>
      <c r="Y148" s="9"/>
      <c r="Z148" s="9"/>
      <c r="AA148" s="9"/>
      <c r="AB148" s="10" t="str">
        <f aca="false">IF(A148="","",SG_Criteria!$B$6&amp;SG_Criteria!$B$12&amp;"\"&amp;A148&amp;"\")</f>
        <v/>
      </c>
      <c r="AC148" s="10" t="str">
        <f aca="false">IF(A148="","",A148&amp;"_CAD.dwg")</f>
        <v/>
      </c>
      <c r="AD148" s="10" t="str">
        <f aca="false">IF(A148="","",A148&amp;"_DWG.pdf")</f>
        <v/>
      </c>
      <c r="AE148" s="10" t="str">
        <f aca="false">IF(A148="","",IF(AA148="Y",A148&amp;"_STAAD.std","n/a"))</f>
        <v/>
      </c>
      <c r="AF148" s="10" t="str">
        <f aca="false">IF(A148="","",A148&amp;"_CALC.xlsx")</f>
        <v/>
      </c>
      <c r="AG148" s="10" t="str">
        <f aca="false">IF(A148="","",A148&amp;"_CALC.pdf")</f>
        <v/>
      </c>
      <c r="AH148" s="9"/>
      <c r="AI148" s="9"/>
      <c r="AJ148" s="41"/>
      <c r="AK148" s="41"/>
      <c r="AL148" s="41"/>
      <c r="AM148" s="41"/>
      <c r="AN148" s="41"/>
      <c r="AO148" s="38" t="str">
        <f aca="false">IF(C148="","",IF(LEN(IF(AND(C148&lt;&gt;"High Covered Linkway",F148&lt;SG_Criteria!$B$46),"FAIL: headroom below "&amp;SG_Criteria!$B$46&amp;" m. ","")&amp;IF(AND(C148="High Covered Linkway",F148&lt;SG_Criteria!$B$47),"FAIL: high linkway headroom below "&amp;SG_Criteria!$B$47&amp;" m. ","")&amp;IF(E148&lt;SG_Criteria!$B$48,"FAIL: roof width below "&amp;SG_Criteria!$B$48&amp;" m. ",IF(E148&lt;SG_Criteria!$B$49,"NOTE: not for MRT/LRT or high-traffic routes (min "&amp;SG_Criteria!$B$49&amp;" m). ",""))&amp;IF(AND(P148&lt;&gt;"",P148&lt;SG_Criteria!$B$50),"FAIL: wind speed below "&amp;SG_Criteria!$B$50&amp;" m/s. ","")&amp;IF(AND(Q148&lt;&gt;"",Q148&lt;SG_Criteria!$B$51),"FAIL: roof fixing pull-out below "&amp;SG_Criteria!$B$51&amp;" kN. ","")&amp;IF(AND(R148&lt;&gt;"",IFERROR(VALUE(MID(R148,2,2)),0)&lt;SG_Criteria!$B$52),"FAIL: grade below C"&amp;SG_Criteria!$B$52&amp;". ","")&amp;IF(D148="Non-standard (project design)","NOTE: not an SDRE standard, needs LTA acceptance. ",""))=0,"OK",IF(AND(C148&lt;&gt;"High Covered Linkway",F148&lt;SG_Criteria!$B$46),"FAIL: headroom below "&amp;SG_Criteria!$B$46&amp;" m. ","")&amp;IF(AND(C148="High Covered Linkway",F148&lt;SG_Criteria!$B$47),"FAIL: high linkway headroom below "&amp;SG_Criteria!$B$47&amp;" m. ","")&amp;IF(E148&lt;SG_Criteria!$B$48,"FAIL: roof width below "&amp;SG_Criteria!$B$48&amp;" m. ",IF(E148&lt;SG_Criteria!$B$49,"NOTE: not for MRT/LRT or high-traffic routes (min "&amp;SG_Criteria!$B$49&amp;" m). ",""))&amp;IF(AND(P148&lt;&gt;"",P148&lt;SG_Criteria!$B$50),"FAIL: wind speed below "&amp;SG_Criteria!$B$50&amp;" m/s. ","")&amp;IF(AND(Q148&lt;&gt;"",Q148&lt;SG_Criteria!$B$51),"FAIL: roof fixing pull-out below "&amp;SG_Criteria!$B$51&amp;" kN. ","")&amp;IF(AND(R148&lt;&gt;"",IFERROR(VALUE(MID(R148,2,2)),0)&lt;SG_Criteria!$B$52),"FAIL: grade below C"&amp;SG_Criteria!$B$52&amp;". ","")&amp;IF(D148="Non-standard (project design)","NOTE: not an SDRE standard, needs LTA acceptance. ","")))</f>
        <v/>
      </c>
      <c r="AP148" s="9"/>
      <c r="AQ148" s="9"/>
      <c r="AR148" s="9"/>
      <c r="AS148" s="9"/>
      <c r="AT148" s="9"/>
      <c r="AU148" s="31"/>
      <c r="AV148" s="10" t="str">
        <f aca="false">IF(C148="","",IF(AND(X148="Approved",ISERROR(SEARCH("FAIL",AO148))),"Y","N"))</f>
        <v/>
      </c>
      <c r="AW148" s="10" t="str">
        <f aca="false">IF(C148="","",C148&amp;"|"&amp;E148&amp;"|"&amp;F148&amp;"|"&amp;AV148)</f>
        <v/>
      </c>
    </row>
    <row r="149" customFormat="false" ht="15" hidden="false" customHeight="false" outlineLevel="0" collapsed="false">
      <c r="A149" s="10" t="str">
        <f aca="false">IF(C149="","","LKW-"&amp;IFERROR(VLOOKUP(C149,Lists!$AQ$4:$AR$17,2,0),"??")&amp;"-W"&amp;TEXT(E149*1000,"0000")&amp;"-H"&amp;TEXT(F149*1000,"0000")&amp;"-B"&amp;TEXT(G149*1000,"0000")&amp;"-"&amp;W149)</f>
        <v/>
      </c>
      <c r="B149" s="10" t="str">
        <f aca="false">IF(C149="","",C149&amp;", "&amp;E149&amp;" m wide, "&amp;F149&amp;" m headroom, "&amp;G149&amp;" m bays, "&amp;H149&amp;" ("&amp;D149&amp;")")</f>
        <v/>
      </c>
      <c r="C149" s="9"/>
      <c r="D149" s="9"/>
      <c r="E149" s="43"/>
      <c r="F149" s="43"/>
      <c r="G149" s="43"/>
      <c r="H149" s="9"/>
      <c r="I149" s="9"/>
      <c r="J149" s="9"/>
      <c r="K149" s="9"/>
      <c r="L149" s="9"/>
      <c r="M149" s="9"/>
      <c r="N149" s="9"/>
      <c r="O149" s="9"/>
      <c r="P149" s="40"/>
      <c r="Q149" s="43"/>
      <c r="R149" s="9"/>
      <c r="S149" s="9"/>
      <c r="T149" s="9"/>
      <c r="U149" s="43"/>
      <c r="V149" s="9"/>
      <c r="W149" s="9"/>
      <c r="X149" s="9"/>
      <c r="Y149" s="9"/>
      <c r="Z149" s="9"/>
      <c r="AA149" s="9"/>
      <c r="AB149" s="10" t="str">
        <f aca="false">IF(A149="","",SG_Criteria!$B$6&amp;SG_Criteria!$B$12&amp;"\"&amp;A149&amp;"\")</f>
        <v/>
      </c>
      <c r="AC149" s="10" t="str">
        <f aca="false">IF(A149="","",A149&amp;"_CAD.dwg")</f>
        <v/>
      </c>
      <c r="AD149" s="10" t="str">
        <f aca="false">IF(A149="","",A149&amp;"_DWG.pdf")</f>
        <v/>
      </c>
      <c r="AE149" s="10" t="str">
        <f aca="false">IF(A149="","",IF(AA149="Y",A149&amp;"_STAAD.std","n/a"))</f>
        <v/>
      </c>
      <c r="AF149" s="10" t="str">
        <f aca="false">IF(A149="","",A149&amp;"_CALC.xlsx")</f>
        <v/>
      </c>
      <c r="AG149" s="10" t="str">
        <f aca="false">IF(A149="","",A149&amp;"_CALC.pdf")</f>
        <v/>
      </c>
      <c r="AH149" s="9"/>
      <c r="AI149" s="9"/>
      <c r="AJ149" s="41"/>
      <c r="AK149" s="41"/>
      <c r="AL149" s="41"/>
      <c r="AM149" s="41"/>
      <c r="AN149" s="41"/>
      <c r="AO149" s="38" t="str">
        <f aca="false">IF(C149="","",IF(LEN(IF(AND(C149&lt;&gt;"High Covered Linkway",F149&lt;SG_Criteria!$B$46),"FAIL: headroom below "&amp;SG_Criteria!$B$46&amp;" m. ","")&amp;IF(AND(C149="High Covered Linkway",F149&lt;SG_Criteria!$B$47),"FAIL: high linkway headroom below "&amp;SG_Criteria!$B$47&amp;" m. ","")&amp;IF(E149&lt;SG_Criteria!$B$48,"FAIL: roof width below "&amp;SG_Criteria!$B$48&amp;" m. ",IF(E149&lt;SG_Criteria!$B$49,"NOTE: not for MRT/LRT or high-traffic routes (min "&amp;SG_Criteria!$B$49&amp;" m). ",""))&amp;IF(AND(P149&lt;&gt;"",P149&lt;SG_Criteria!$B$50),"FAIL: wind speed below "&amp;SG_Criteria!$B$50&amp;" m/s. ","")&amp;IF(AND(Q149&lt;&gt;"",Q149&lt;SG_Criteria!$B$51),"FAIL: roof fixing pull-out below "&amp;SG_Criteria!$B$51&amp;" kN. ","")&amp;IF(AND(R149&lt;&gt;"",IFERROR(VALUE(MID(R149,2,2)),0)&lt;SG_Criteria!$B$52),"FAIL: grade below C"&amp;SG_Criteria!$B$52&amp;". ","")&amp;IF(D149="Non-standard (project design)","NOTE: not an SDRE standard, needs LTA acceptance. ",""))=0,"OK",IF(AND(C149&lt;&gt;"High Covered Linkway",F149&lt;SG_Criteria!$B$46),"FAIL: headroom below "&amp;SG_Criteria!$B$46&amp;" m. ","")&amp;IF(AND(C149="High Covered Linkway",F149&lt;SG_Criteria!$B$47),"FAIL: high linkway headroom below "&amp;SG_Criteria!$B$47&amp;" m. ","")&amp;IF(E149&lt;SG_Criteria!$B$48,"FAIL: roof width below "&amp;SG_Criteria!$B$48&amp;" m. ",IF(E149&lt;SG_Criteria!$B$49,"NOTE: not for MRT/LRT or high-traffic routes (min "&amp;SG_Criteria!$B$49&amp;" m). ",""))&amp;IF(AND(P149&lt;&gt;"",P149&lt;SG_Criteria!$B$50),"FAIL: wind speed below "&amp;SG_Criteria!$B$50&amp;" m/s. ","")&amp;IF(AND(Q149&lt;&gt;"",Q149&lt;SG_Criteria!$B$51),"FAIL: roof fixing pull-out below "&amp;SG_Criteria!$B$51&amp;" kN. ","")&amp;IF(AND(R149&lt;&gt;"",IFERROR(VALUE(MID(R149,2,2)),0)&lt;SG_Criteria!$B$52),"FAIL: grade below C"&amp;SG_Criteria!$B$52&amp;". ","")&amp;IF(D149="Non-standard (project design)","NOTE: not an SDRE standard, needs LTA acceptance. ","")))</f>
        <v/>
      </c>
      <c r="AP149" s="9"/>
      <c r="AQ149" s="9"/>
      <c r="AR149" s="9"/>
      <c r="AS149" s="9"/>
      <c r="AT149" s="9"/>
      <c r="AU149" s="31"/>
      <c r="AV149" s="10" t="str">
        <f aca="false">IF(C149="","",IF(AND(X149="Approved",ISERROR(SEARCH("FAIL",AO149))),"Y","N"))</f>
        <v/>
      </c>
      <c r="AW149" s="10" t="str">
        <f aca="false">IF(C149="","",C149&amp;"|"&amp;E149&amp;"|"&amp;F149&amp;"|"&amp;AV149)</f>
        <v/>
      </c>
    </row>
    <row r="150" customFormat="false" ht="15" hidden="false" customHeight="false" outlineLevel="0" collapsed="false">
      <c r="A150" s="10" t="str">
        <f aca="false">IF(C150="","","LKW-"&amp;IFERROR(VLOOKUP(C150,Lists!$AQ$4:$AR$17,2,0),"??")&amp;"-W"&amp;TEXT(E150*1000,"0000")&amp;"-H"&amp;TEXT(F150*1000,"0000")&amp;"-B"&amp;TEXT(G150*1000,"0000")&amp;"-"&amp;W150)</f>
        <v/>
      </c>
      <c r="B150" s="10" t="str">
        <f aca="false">IF(C150="","",C150&amp;", "&amp;E150&amp;" m wide, "&amp;F150&amp;" m headroom, "&amp;G150&amp;" m bays, "&amp;H150&amp;" ("&amp;D150&amp;")")</f>
        <v/>
      </c>
      <c r="C150" s="9"/>
      <c r="D150" s="9"/>
      <c r="E150" s="43"/>
      <c r="F150" s="43"/>
      <c r="G150" s="43"/>
      <c r="H150" s="9"/>
      <c r="I150" s="9"/>
      <c r="J150" s="9"/>
      <c r="K150" s="9"/>
      <c r="L150" s="9"/>
      <c r="M150" s="9"/>
      <c r="N150" s="9"/>
      <c r="O150" s="9"/>
      <c r="P150" s="40"/>
      <c r="Q150" s="43"/>
      <c r="R150" s="9"/>
      <c r="S150" s="9"/>
      <c r="T150" s="9"/>
      <c r="U150" s="43"/>
      <c r="V150" s="9"/>
      <c r="W150" s="9"/>
      <c r="X150" s="9"/>
      <c r="Y150" s="9"/>
      <c r="Z150" s="9"/>
      <c r="AA150" s="9"/>
      <c r="AB150" s="10" t="str">
        <f aca="false">IF(A150="","",SG_Criteria!$B$6&amp;SG_Criteria!$B$12&amp;"\"&amp;A150&amp;"\")</f>
        <v/>
      </c>
      <c r="AC150" s="10" t="str">
        <f aca="false">IF(A150="","",A150&amp;"_CAD.dwg")</f>
        <v/>
      </c>
      <c r="AD150" s="10" t="str">
        <f aca="false">IF(A150="","",A150&amp;"_DWG.pdf")</f>
        <v/>
      </c>
      <c r="AE150" s="10" t="str">
        <f aca="false">IF(A150="","",IF(AA150="Y",A150&amp;"_STAAD.std","n/a"))</f>
        <v/>
      </c>
      <c r="AF150" s="10" t="str">
        <f aca="false">IF(A150="","",A150&amp;"_CALC.xlsx")</f>
        <v/>
      </c>
      <c r="AG150" s="10" t="str">
        <f aca="false">IF(A150="","",A150&amp;"_CALC.pdf")</f>
        <v/>
      </c>
      <c r="AH150" s="9"/>
      <c r="AI150" s="9"/>
      <c r="AJ150" s="41"/>
      <c r="AK150" s="41"/>
      <c r="AL150" s="41"/>
      <c r="AM150" s="41"/>
      <c r="AN150" s="41"/>
      <c r="AO150" s="38" t="str">
        <f aca="false">IF(C150="","",IF(LEN(IF(AND(C150&lt;&gt;"High Covered Linkway",F150&lt;SG_Criteria!$B$46),"FAIL: headroom below "&amp;SG_Criteria!$B$46&amp;" m. ","")&amp;IF(AND(C150="High Covered Linkway",F150&lt;SG_Criteria!$B$47),"FAIL: high linkway headroom below "&amp;SG_Criteria!$B$47&amp;" m. ","")&amp;IF(E150&lt;SG_Criteria!$B$48,"FAIL: roof width below "&amp;SG_Criteria!$B$48&amp;" m. ",IF(E150&lt;SG_Criteria!$B$49,"NOTE: not for MRT/LRT or high-traffic routes (min "&amp;SG_Criteria!$B$49&amp;" m). ",""))&amp;IF(AND(P150&lt;&gt;"",P150&lt;SG_Criteria!$B$50),"FAIL: wind speed below "&amp;SG_Criteria!$B$50&amp;" m/s. ","")&amp;IF(AND(Q150&lt;&gt;"",Q150&lt;SG_Criteria!$B$51),"FAIL: roof fixing pull-out below "&amp;SG_Criteria!$B$51&amp;" kN. ","")&amp;IF(AND(R150&lt;&gt;"",IFERROR(VALUE(MID(R150,2,2)),0)&lt;SG_Criteria!$B$52),"FAIL: grade below C"&amp;SG_Criteria!$B$52&amp;". ","")&amp;IF(D150="Non-standard (project design)","NOTE: not an SDRE standard, needs LTA acceptance. ",""))=0,"OK",IF(AND(C150&lt;&gt;"High Covered Linkway",F150&lt;SG_Criteria!$B$46),"FAIL: headroom below "&amp;SG_Criteria!$B$46&amp;" m. ","")&amp;IF(AND(C150="High Covered Linkway",F150&lt;SG_Criteria!$B$47),"FAIL: high linkway headroom below "&amp;SG_Criteria!$B$47&amp;" m. ","")&amp;IF(E150&lt;SG_Criteria!$B$48,"FAIL: roof width below "&amp;SG_Criteria!$B$48&amp;" m. ",IF(E150&lt;SG_Criteria!$B$49,"NOTE: not for MRT/LRT or high-traffic routes (min "&amp;SG_Criteria!$B$49&amp;" m). ",""))&amp;IF(AND(P150&lt;&gt;"",P150&lt;SG_Criteria!$B$50),"FAIL: wind speed below "&amp;SG_Criteria!$B$50&amp;" m/s. ","")&amp;IF(AND(Q150&lt;&gt;"",Q150&lt;SG_Criteria!$B$51),"FAIL: roof fixing pull-out below "&amp;SG_Criteria!$B$51&amp;" kN. ","")&amp;IF(AND(R150&lt;&gt;"",IFERROR(VALUE(MID(R150,2,2)),0)&lt;SG_Criteria!$B$52),"FAIL: grade below C"&amp;SG_Criteria!$B$52&amp;". ","")&amp;IF(D150="Non-standard (project design)","NOTE: not an SDRE standard, needs LTA acceptance. ","")))</f>
        <v/>
      </c>
      <c r="AP150" s="9"/>
      <c r="AQ150" s="9"/>
      <c r="AR150" s="9"/>
      <c r="AS150" s="9"/>
      <c r="AT150" s="9"/>
      <c r="AU150" s="31"/>
      <c r="AV150" s="10" t="str">
        <f aca="false">IF(C150="","",IF(AND(X150="Approved",ISERROR(SEARCH("FAIL",AO150))),"Y","N"))</f>
        <v/>
      </c>
      <c r="AW150" s="10" t="str">
        <f aca="false">IF(C150="","",C150&amp;"|"&amp;E150&amp;"|"&amp;F150&amp;"|"&amp;AV150)</f>
        <v/>
      </c>
    </row>
    <row r="151" customFormat="false" ht="15" hidden="false" customHeight="false" outlineLevel="0" collapsed="false">
      <c r="A151" s="10" t="str">
        <f aca="false">IF(C151="","","LKW-"&amp;IFERROR(VLOOKUP(C151,Lists!$AQ$4:$AR$17,2,0),"??")&amp;"-W"&amp;TEXT(E151*1000,"0000")&amp;"-H"&amp;TEXT(F151*1000,"0000")&amp;"-B"&amp;TEXT(G151*1000,"0000")&amp;"-"&amp;W151)</f>
        <v/>
      </c>
      <c r="B151" s="10" t="str">
        <f aca="false">IF(C151="","",C151&amp;", "&amp;E151&amp;" m wide, "&amp;F151&amp;" m headroom, "&amp;G151&amp;" m bays, "&amp;H151&amp;" ("&amp;D151&amp;")")</f>
        <v/>
      </c>
      <c r="C151" s="9"/>
      <c r="D151" s="9"/>
      <c r="E151" s="43"/>
      <c r="F151" s="43"/>
      <c r="G151" s="43"/>
      <c r="H151" s="9"/>
      <c r="I151" s="9"/>
      <c r="J151" s="9"/>
      <c r="K151" s="9"/>
      <c r="L151" s="9"/>
      <c r="M151" s="9"/>
      <c r="N151" s="9"/>
      <c r="O151" s="9"/>
      <c r="P151" s="40"/>
      <c r="Q151" s="43"/>
      <c r="R151" s="9"/>
      <c r="S151" s="9"/>
      <c r="T151" s="9"/>
      <c r="U151" s="43"/>
      <c r="V151" s="9"/>
      <c r="W151" s="9"/>
      <c r="X151" s="9"/>
      <c r="Y151" s="9"/>
      <c r="Z151" s="9"/>
      <c r="AA151" s="9"/>
      <c r="AB151" s="10" t="str">
        <f aca="false">IF(A151="","",SG_Criteria!$B$6&amp;SG_Criteria!$B$12&amp;"\"&amp;A151&amp;"\")</f>
        <v/>
      </c>
      <c r="AC151" s="10" t="str">
        <f aca="false">IF(A151="","",A151&amp;"_CAD.dwg")</f>
        <v/>
      </c>
      <c r="AD151" s="10" t="str">
        <f aca="false">IF(A151="","",A151&amp;"_DWG.pdf")</f>
        <v/>
      </c>
      <c r="AE151" s="10" t="str">
        <f aca="false">IF(A151="","",IF(AA151="Y",A151&amp;"_STAAD.std","n/a"))</f>
        <v/>
      </c>
      <c r="AF151" s="10" t="str">
        <f aca="false">IF(A151="","",A151&amp;"_CALC.xlsx")</f>
        <v/>
      </c>
      <c r="AG151" s="10" t="str">
        <f aca="false">IF(A151="","",A151&amp;"_CALC.pdf")</f>
        <v/>
      </c>
      <c r="AH151" s="9"/>
      <c r="AI151" s="9"/>
      <c r="AJ151" s="41"/>
      <c r="AK151" s="41"/>
      <c r="AL151" s="41"/>
      <c r="AM151" s="41"/>
      <c r="AN151" s="41"/>
      <c r="AO151" s="38" t="str">
        <f aca="false">IF(C151="","",IF(LEN(IF(AND(C151&lt;&gt;"High Covered Linkway",F151&lt;SG_Criteria!$B$46),"FAIL: headroom below "&amp;SG_Criteria!$B$46&amp;" m. ","")&amp;IF(AND(C151="High Covered Linkway",F151&lt;SG_Criteria!$B$47),"FAIL: high linkway headroom below "&amp;SG_Criteria!$B$47&amp;" m. ","")&amp;IF(E151&lt;SG_Criteria!$B$48,"FAIL: roof width below "&amp;SG_Criteria!$B$48&amp;" m. ",IF(E151&lt;SG_Criteria!$B$49,"NOTE: not for MRT/LRT or high-traffic routes (min "&amp;SG_Criteria!$B$49&amp;" m). ",""))&amp;IF(AND(P151&lt;&gt;"",P151&lt;SG_Criteria!$B$50),"FAIL: wind speed below "&amp;SG_Criteria!$B$50&amp;" m/s. ","")&amp;IF(AND(Q151&lt;&gt;"",Q151&lt;SG_Criteria!$B$51),"FAIL: roof fixing pull-out below "&amp;SG_Criteria!$B$51&amp;" kN. ","")&amp;IF(AND(R151&lt;&gt;"",IFERROR(VALUE(MID(R151,2,2)),0)&lt;SG_Criteria!$B$52),"FAIL: grade below C"&amp;SG_Criteria!$B$52&amp;". ","")&amp;IF(D151="Non-standard (project design)","NOTE: not an SDRE standard, needs LTA acceptance. ",""))=0,"OK",IF(AND(C151&lt;&gt;"High Covered Linkway",F151&lt;SG_Criteria!$B$46),"FAIL: headroom below "&amp;SG_Criteria!$B$46&amp;" m. ","")&amp;IF(AND(C151="High Covered Linkway",F151&lt;SG_Criteria!$B$47),"FAIL: high linkway headroom below "&amp;SG_Criteria!$B$47&amp;" m. ","")&amp;IF(E151&lt;SG_Criteria!$B$48,"FAIL: roof width below "&amp;SG_Criteria!$B$48&amp;" m. ",IF(E151&lt;SG_Criteria!$B$49,"NOTE: not for MRT/LRT or high-traffic routes (min "&amp;SG_Criteria!$B$49&amp;" m). ",""))&amp;IF(AND(P151&lt;&gt;"",P151&lt;SG_Criteria!$B$50),"FAIL: wind speed below "&amp;SG_Criteria!$B$50&amp;" m/s. ","")&amp;IF(AND(Q151&lt;&gt;"",Q151&lt;SG_Criteria!$B$51),"FAIL: roof fixing pull-out below "&amp;SG_Criteria!$B$51&amp;" kN. ","")&amp;IF(AND(R151&lt;&gt;"",IFERROR(VALUE(MID(R151,2,2)),0)&lt;SG_Criteria!$B$52),"FAIL: grade below C"&amp;SG_Criteria!$B$52&amp;". ","")&amp;IF(D151="Non-standard (project design)","NOTE: not an SDRE standard, needs LTA acceptance. ","")))</f>
        <v/>
      </c>
      <c r="AP151" s="9"/>
      <c r="AQ151" s="9"/>
      <c r="AR151" s="9"/>
      <c r="AS151" s="9"/>
      <c r="AT151" s="9"/>
      <c r="AU151" s="31"/>
      <c r="AV151" s="10" t="str">
        <f aca="false">IF(C151="","",IF(AND(X151="Approved",ISERROR(SEARCH("FAIL",AO151))),"Y","N"))</f>
        <v/>
      </c>
      <c r="AW151" s="10" t="str">
        <f aca="false">IF(C151="","",C151&amp;"|"&amp;E151&amp;"|"&amp;F151&amp;"|"&amp;AV151)</f>
        <v/>
      </c>
    </row>
    <row r="152" customFormat="false" ht="15" hidden="false" customHeight="false" outlineLevel="0" collapsed="false">
      <c r="A152" s="10" t="str">
        <f aca="false">IF(C152="","","LKW-"&amp;IFERROR(VLOOKUP(C152,Lists!$AQ$4:$AR$17,2,0),"??")&amp;"-W"&amp;TEXT(E152*1000,"0000")&amp;"-H"&amp;TEXT(F152*1000,"0000")&amp;"-B"&amp;TEXT(G152*1000,"0000")&amp;"-"&amp;W152)</f>
        <v/>
      </c>
      <c r="B152" s="10" t="str">
        <f aca="false">IF(C152="","",C152&amp;", "&amp;E152&amp;" m wide, "&amp;F152&amp;" m headroom, "&amp;G152&amp;" m bays, "&amp;H152&amp;" ("&amp;D152&amp;")")</f>
        <v/>
      </c>
      <c r="C152" s="9"/>
      <c r="D152" s="9"/>
      <c r="E152" s="43"/>
      <c r="F152" s="43"/>
      <c r="G152" s="43"/>
      <c r="H152" s="9"/>
      <c r="I152" s="9"/>
      <c r="J152" s="9"/>
      <c r="K152" s="9"/>
      <c r="L152" s="9"/>
      <c r="M152" s="9"/>
      <c r="N152" s="9"/>
      <c r="O152" s="9"/>
      <c r="P152" s="40"/>
      <c r="Q152" s="43"/>
      <c r="R152" s="9"/>
      <c r="S152" s="9"/>
      <c r="T152" s="9"/>
      <c r="U152" s="43"/>
      <c r="V152" s="9"/>
      <c r="W152" s="9"/>
      <c r="X152" s="9"/>
      <c r="Y152" s="9"/>
      <c r="Z152" s="9"/>
      <c r="AA152" s="9"/>
      <c r="AB152" s="10" t="str">
        <f aca="false">IF(A152="","",SG_Criteria!$B$6&amp;SG_Criteria!$B$12&amp;"\"&amp;A152&amp;"\")</f>
        <v/>
      </c>
      <c r="AC152" s="10" t="str">
        <f aca="false">IF(A152="","",A152&amp;"_CAD.dwg")</f>
        <v/>
      </c>
      <c r="AD152" s="10" t="str">
        <f aca="false">IF(A152="","",A152&amp;"_DWG.pdf")</f>
        <v/>
      </c>
      <c r="AE152" s="10" t="str">
        <f aca="false">IF(A152="","",IF(AA152="Y",A152&amp;"_STAAD.std","n/a"))</f>
        <v/>
      </c>
      <c r="AF152" s="10" t="str">
        <f aca="false">IF(A152="","",A152&amp;"_CALC.xlsx")</f>
        <v/>
      </c>
      <c r="AG152" s="10" t="str">
        <f aca="false">IF(A152="","",A152&amp;"_CALC.pdf")</f>
        <v/>
      </c>
      <c r="AH152" s="9"/>
      <c r="AI152" s="9"/>
      <c r="AJ152" s="41"/>
      <c r="AK152" s="41"/>
      <c r="AL152" s="41"/>
      <c r="AM152" s="41"/>
      <c r="AN152" s="41"/>
      <c r="AO152" s="38" t="str">
        <f aca="false">IF(C152="","",IF(LEN(IF(AND(C152&lt;&gt;"High Covered Linkway",F152&lt;SG_Criteria!$B$46),"FAIL: headroom below "&amp;SG_Criteria!$B$46&amp;" m. ","")&amp;IF(AND(C152="High Covered Linkway",F152&lt;SG_Criteria!$B$47),"FAIL: high linkway headroom below "&amp;SG_Criteria!$B$47&amp;" m. ","")&amp;IF(E152&lt;SG_Criteria!$B$48,"FAIL: roof width below "&amp;SG_Criteria!$B$48&amp;" m. ",IF(E152&lt;SG_Criteria!$B$49,"NOTE: not for MRT/LRT or high-traffic routes (min "&amp;SG_Criteria!$B$49&amp;" m). ",""))&amp;IF(AND(P152&lt;&gt;"",P152&lt;SG_Criteria!$B$50),"FAIL: wind speed below "&amp;SG_Criteria!$B$50&amp;" m/s. ","")&amp;IF(AND(Q152&lt;&gt;"",Q152&lt;SG_Criteria!$B$51),"FAIL: roof fixing pull-out below "&amp;SG_Criteria!$B$51&amp;" kN. ","")&amp;IF(AND(R152&lt;&gt;"",IFERROR(VALUE(MID(R152,2,2)),0)&lt;SG_Criteria!$B$52),"FAIL: grade below C"&amp;SG_Criteria!$B$52&amp;". ","")&amp;IF(D152="Non-standard (project design)","NOTE: not an SDRE standard, needs LTA acceptance. ",""))=0,"OK",IF(AND(C152&lt;&gt;"High Covered Linkway",F152&lt;SG_Criteria!$B$46),"FAIL: headroom below "&amp;SG_Criteria!$B$46&amp;" m. ","")&amp;IF(AND(C152="High Covered Linkway",F152&lt;SG_Criteria!$B$47),"FAIL: high linkway headroom below "&amp;SG_Criteria!$B$47&amp;" m. ","")&amp;IF(E152&lt;SG_Criteria!$B$48,"FAIL: roof width below "&amp;SG_Criteria!$B$48&amp;" m. ",IF(E152&lt;SG_Criteria!$B$49,"NOTE: not for MRT/LRT or high-traffic routes (min "&amp;SG_Criteria!$B$49&amp;" m). ",""))&amp;IF(AND(P152&lt;&gt;"",P152&lt;SG_Criteria!$B$50),"FAIL: wind speed below "&amp;SG_Criteria!$B$50&amp;" m/s. ","")&amp;IF(AND(Q152&lt;&gt;"",Q152&lt;SG_Criteria!$B$51),"FAIL: roof fixing pull-out below "&amp;SG_Criteria!$B$51&amp;" kN. ","")&amp;IF(AND(R152&lt;&gt;"",IFERROR(VALUE(MID(R152,2,2)),0)&lt;SG_Criteria!$B$52),"FAIL: grade below C"&amp;SG_Criteria!$B$52&amp;". ","")&amp;IF(D152="Non-standard (project design)","NOTE: not an SDRE standard, needs LTA acceptance. ","")))</f>
        <v/>
      </c>
      <c r="AP152" s="9"/>
      <c r="AQ152" s="9"/>
      <c r="AR152" s="9"/>
      <c r="AS152" s="9"/>
      <c r="AT152" s="9"/>
      <c r="AU152" s="31"/>
      <c r="AV152" s="10" t="str">
        <f aca="false">IF(C152="","",IF(AND(X152="Approved",ISERROR(SEARCH("FAIL",AO152))),"Y","N"))</f>
        <v/>
      </c>
      <c r="AW152" s="10" t="str">
        <f aca="false">IF(C152="","",C152&amp;"|"&amp;E152&amp;"|"&amp;F152&amp;"|"&amp;AV152)</f>
        <v/>
      </c>
    </row>
    <row r="153" customFormat="false" ht="15" hidden="false" customHeight="false" outlineLevel="0" collapsed="false">
      <c r="A153" s="10" t="str">
        <f aca="false">IF(C153="","","LKW-"&amp;IFERROR(VLOOKUP(C153,Lists!$AQ$4:$AR$17,2,0),"??")&amp;"-W"&amp;TEXT(E153*1000,"0000")&amp;"-H"&amp;TEXT(F153*1000,"0000")&amp;"-B"&amp;TEXT(G153*1000,"0000")&amp;"-"&amp;W153)</f>
        <v/>
      </c>
      <c r="B153" s="10" t="str">
        <f aca="false">IF(C153="","",C153&amp;", "&amp;E153&amp;" m wide, "&amp;F153&amp;" m headroom, "&amp;G153&amp;" m bays, "&amp;H153&amp;" ("&amp;D153&amp;")")</f>
        <v/>
      </c>
      <c r="C153" s="9"/>
      <c r="D153" s="9"/>
      <c r="E153" s="43"/>
      <c r="F153" s="43"/>
      <c r="G153" s="43"/>
      <c r="H153" s="9"/>
      <c r="I153" s="9"/>
      <c r="J153" s="9"/>
      <c r="K153" s="9"/>
      <c r="L153" s="9"/>
      <c r="M153" s="9"/>
      <c r="N153" s="9"/>
      <c r="O153" s="9"/>
      <c r="P153" s="40"/>
      <c r="Q153" s="43"/>
      <c r="R153" s="9"/>
      <c r="S153" s="9"/>
      <c r="T153" s="9"/>
      <c r="U153" s="43"/>
      <c r="V153" s="9"/>
      <c r="W153" s="9"/>
      <c r="X153" s="9"/>
      <c r="Y153" s="9"/>
      <c r="Z153" s="9"/>
      <c r="AA153" s="9"/>
      <c r="AB153" s="10" t="str">
        <f aca="false">IF(A153="","",SG_Criteria!$B$6&amp;SG_Criteria!$B$12&amp;"\"&amp;A153&amp;"\")</f>
        <v/>
      </c>
      <c r="AC153" s="10" t="str">
        <f aca="false">IF(A153="","",A153&amp;"_CAD.dwg")</f>
        <v/>
      </c>
      <c r="AD153" s="10" t="str">
        <f aca="false">IF(A153="","",A153&amp;"_DWG.pdf")</f>
        <v/>
      </c>
      <c r="AE153" s="10" t="str">
        <f aca="false">IF(A153="","",IF(AA153="Y",A153&amp;"_STAAD.std","n/a"))</f>
        <v/>
      </c>
      <c r="AF153" s="10" t="str">
        <f aca="false">IF(A153="","",A153&amp;"_CALC.xlsx")</f>
        <v/>
      </c>
      <c r="AG153" s="10" t="str">
        <f aca="false">IF(A153="","",A153&amp;"_CALC.pdf")</f>
        <v/>
      </c>
      <c r="AH153" s="9"/>
      <c r="AI153" s="9"/>
      <c r="AJ153" s="41"/>
      <c r="AK153" s="41"/>
      <c r="AL153" s="41"/>
      <c r="AM153" s="41"/>
      <c r="AN153" s="41"/>
      <c r="AO153" s="38" t="str">
        <f aca="false">IF(C153="","",IF(LEN(IF(AND(C153&lt;&gt;"High Covered Linkway",F153&lt;SG_Criteria!$B$46),"FAIL: headroom below "&amp;SG_Criteria!$B$46&amp;" m. ","")&amp;IF(AND(C153="High Covered Linkway",F153&lt;SG_Criteria!$B$47),"FAIL: high linkway headroom below "&amp;SG_Criteria!$B$47&amp;" m. ","")&amp;IF(E153&lt;SG_Criteria!$B$48,"FAIL: roof width below "&amp;SG_Criteria!$B$48&amp;" m. ",IF(E153&lt;SG_Criteria!$B$49,"NOTE: not for MRT/LRT or high-traffic routes (min "&amp;SG_Criteria!$B$49&amp;" m). ",""))&amp;IF(AND(P153&lt;&gt;"",P153&lt;SG_Criteria!$B$50),"FAIL: wind speed below "&amp;SG_Criteria!$B$50&amp;" m/s. ","")&amp;IF(AND(Q153&lt;&gt;"",Q153&lt;SG_Criteria!$B$51),"FAIL: roof fixing pull-out below "&amp;SG_Criteria!$B$51&amp;" kN. ","")&amp;IF(AND(R153&lt;&gt;"",IFERROR(VALUE(MID(R153,2,2)),0)&lt;SG_Criteria!$B$52),"FAIL: grade below C"&amp;SG_Criteria!$B$52&amp;". ","")&amp;IF(D153="Non-standard (project design)","NOTE: not an SDRE standard, needs LTA acceptance. ",""))=0,"OK",IF(AND(C153&lt;&gt;"High Covered Linkway",F153&lt;SG_Criteria!$B$46),"FAIL: headroom below "&amp;SG_Criteria!$B$46&amp;" m. ","")&amp;IF(AND(C153="High Covered Linkway",F153&lt;SG_Criteria!$B$47),"FAIL: high linkway headroom below "&amp;SG_Criteria!$B$47&amp;" m. ","")&amp;IF(E153&lt;SG_Criteria!$B$48,"FAIL: roof width below "&amp;SG_Criteria!$B$48&amp;" m. ",IF(E153&lt;SG_Criteria!$B$49,"NOTE: not for MRT/LRT or high-traffic routes (min "&amp;SG_Criteria!$B$49&amp;" m). ",""))&amp;IF(AND(P153&lt;&gt;"",P153&lt;SG_Criteria!$B$50),"FAIL: wind speed below "&amp;SG_Criteria!$B$50&amp;" m/s. ","")&amp;IF(AND(Q153&lt;&gt;"",Q153&lt;SG_Criteria!$B$51),"FAIL: roof fixing pull-out below "&amp;SG_Criteria!$B$51&amp;" kN. ","")&amp;IF(AND(R153&lt;&gt;"",IFERROR(VALUE(MID(R153,2,2)),0)&lt;SG_Criteria!$B$52),"FAIL: grade below C"&amp;SG_Criteria!$B$52&amp;". ","")&amp;IF(D153="Non-standard (project design)","NOTE: not an SDRE standard, needs LTA acceptance. ","")))</f>
        <v/>
      </c>
      <c r="AP153" s="9"/>
      <c r="AQ153" s="9"/>
      <c r="AR153" s="9"/>
      <c r="AS153" s="9"/>
      <c r="AT153" s="9"/>
      <c r="AU153" s="31"/>
      <c r="AV153" s="10" t="str">
        <f aca="false">IF(C153="","",IF(AND(X153="Approved",ISERROR(SEARCH("FAIL",AO153))),"Y","N"))</f>
        <v/>
      </c>
      <c r="AW153" s="10" t="str">
        <f aca="false">IF(C153="","",C153&amp;"|"&amp;E153&amp;"|"&amp;F153&amp;"|"&amp;AV153)</f>
        <v/>
      </c>
    </row>
    <row r="154" customFormat="false" ht="15" hidden="false" customHeight="false" outlineLevel="0" collapsed="false">
      <c r="A154" s="10" t="str">
        <f aca="false">IF(C154="","","LKW-"&amp;IFERROR(VLOOKUP(C154,Lists!$AQ$4:$AR$17,2,0),"??")&amp;"-W"&amp;TEXT(E154*1000,"0000")&amp;"-H"&amp;TEXT(F154*1000,"0000")&amp;"-B"&amp;TEXT(G154*1000,"0000")&amp;"-"&amp;W154)</f>
        <v/>
      </c>
      <c r="B154" s="10" t="str">
        <f aca="false">IF(C154="","",C154&amp;", "&amp;E154&amp;" m wide, "&amp;F154&amp;" m headroom, "&amp;G154&amp;" m bays, "&amp;H154&amp;" ("&amp;D154&amp;")")</f>
        <v/>
      </c>
      <c r="C154" s="9"/>
      <c r="D154" s="9"/>
      <c r="E154" s="43"/>
      <c r="F154" s="43"/>
      <c r="G154" s="43"/>
      <c r="H154" s="9"/>
      <c r="I154" s="9"/>
      <c r="J154" s="9"/>
      <c r="K154" s="9"/>
      <c r="L154" s="9"/>
      <c r="M154" s="9"/>
      <c r="N154" s="9"/>
      <c r="O154" s="9"/>
      <c r="P154" s="40"/>
      <c r="Q154" s="43"/>
      <c r="R154" s="9"/>
      <c r="S154" s="9"/>
      <c r="T154" s="9"/>
      <c r="U154" s="43"/>
      <c r="V154" s="9"/>
      <c r="W154" s="9"/>
      <c r="X154" s="9"/>
      <c r="Y154" s="9"/>
      <c r="Z154" s="9"/>
      <c r="AA154" s="9"/>
      <c r="AB154" s="10" t="str">
        <f aca="false">IF(A154="","",SG_Criteria!$B$6&amp;SG_Criteria!$B$12&amp;"\"&amp;A154&amp;"\")</f>
        <v/>
      </c>
      <c r="AC154" s="10" t="str">
        <f aca="false">IF(A154="","",A154&amp;"_CAD.dwg")</f>
        <v/>
      </c>
      <c r="AD154" s="10" t="str">
        <f aca="false">IF(A154="","",A154&amp;"_DWG.pdf")</f>
        <v/>
      </c>
      <c r="AE154" s="10" t="str">
        <f aca="false">IF(A154="","",IF(AA154="Y",A154&amp;"_STAAD.std","n/a"))</f>
        <v/>
      </c>
      <c r="AF154" s="10" t="str">
        <f aca="false">IF(A154="","",A154&amp;"_CALC.xlsx")</f>
        <v/>
      </c>
      <c r="AG154" s="10" t="str">
        <f aca="false">IF(A154="","",A154&amp;"_CALC.pdf")</f>
        <v/>
      </c>
      <c r="AH154" s="9"/>
      <c r="AI154" s="9"/>
      <c r="AJ154" s="41"/>
      <c r="AK154" s="41"/>
      <c r="AL154" s="41"/>
      <c r="AM154" s="41"/>
      <c r="AN154" s="41"/>
      <c r="AO154" s="38" t="str">
        <f aca="false">IF(C154="","",IF(LEN(IF(AND(C154&lt;&gt;"High Covered Linkway",F154&lt;SG_Criteria!$B$46),"FAIL: headroom below "&amp;SG_Criteria!$B$46&amp;" m. ","")&amp;IF(AND(C154="High Covered Linkway",F154&lt;SG_Criteria!$B$47),"FAIL: high linkway headroom below "&amp;SG_Criteria!$B$47&amp;" m. ","")&amp;IF(E154&lt;SG_Criteria!$B$48,"FAIL: roof width below "&amp;SG_Criteria!$B$48&amp;" m. ",IF(E154&lt;SG_Criteria!$B$49,"NOTE: not for MRT/LRT or high-traffic routes (min "&amp;SG_Criteria!$B$49&amp;" m). ",""))&amp;IF(AND(P154&lt;&gt;"",P154&lt;SG_Criteria!$B$50),"FAIL: wind speed below "&amp;SG_Criteria!$B$50&amp;" m/s. ","")&amp;IF(AND(Q154&lt;&gt;"",Q154&lt;SG_Criteria!$B$51),"FAIL: roof fixing pull-out below "&amp;SG_Criteria!$B$51&amp;" kN. ","")&amp;IF(AND(R154&lt;&gt;"",IFERROR(VALUE(MID(R154,2,2)),0)&lt;SG_Criteria!$B$52),"FAIL: grade below C"&amp;SG_Criteria!$B$52&amp;". ","")&amp;IF(D154="Non-standard (project design)","NOTE: not an SDRE standard, needs LTA acceptance. ",""))=0,"OK",IF(AND(C154&lt;&gt;"High Covered Linkway",F154&lt;SG_Criteria!$B$46),"FAIL: headroom below "&amp;SG_Criteria!$B$46&amp;" m. ","")&amp;IF(AND(C154="High Covered Linkway",F154&lt;SG_Criteria!$B$47),"FAIL: high linkway headroom below "&amp;SG_Criteria!$B$47&amp;" m. ","")&amp;IF(E154&lt;SG_Criteria!$B$48,"FAIL: roof width below "&amp;SG_Criteria!$B$48&amp;" m. ",IF(E154&lt;SG_Criteria!$B$49,"NOTE: not for MRT/LRT or high-traffic routes (min "&amp;SG_Criteria!$B$49&amp;" m). ",""))&amp;IF(AND(P154&lt;&gt;"",P154&lt;SG_Criteria!$B$50),"FAIL: wind speed below "&amp;SG_Criteria!$B$50&amp;" m/s. ","")&amp;IF(AND(Q154&lt;&gt;"",Q154&lt;SG_Criteria!$B$51),"FAIL: roof fixing pull-out below "&amp;SG_Criteria!$B$51&amp;" kN. ","")&amp;IF(AND(R154&lt;&gt;"",IFERROR(VALUE(MID(R154,2,2)),0)&lt;SG_Criteria!$B$52),"FAIL: grade below C"&amp;SG_Criteria!$B$52&amp;". ","")&amp;IF(D154="Non-standard (project design)","NOTE: not an SDRE standard, needs LTA acceptance. ","")))</f>
        <v/>
      </c>
      <c r="AP154" s="9"/>
      <c r="AQ154" s="9"/>
      <c r="AR154" s="9"/>
      <c r="AS154" s="9"/>
      <c r="AT154" s="9"/>
      <c r="AU154" s="31"/>
      <c r="AV154" s="10" t="str">
        <f aca="false">IF(C154="","",IF(AND(X154="Approved",ISERROR(SEARCH("FAIL",AO154))),"Y","N"))</f>
        <v/>
      </c>
      <c r="AW154" s="10" t="str">
        <f aca="false">IF(C154="","",C154&amp;"|"&amp;E154&amp;"|"&amp;F154&amp;"|"&amp;AV154)</f>
        <v/>
      </c>
    </row>
    <row r="155" customFormat="false" ht="15" hidden="false" customHeight="false" outlineLevel="0" collapsed="false">
      <c r="A155" s="10" t="str">
        <f aca="false">IF(C155="","","LKW-"&amp;IFERROR(VLOOKUP(C155,Lists!$AQ$4:$AR$17,2,0),"??")&amp;"-W"&amp;TEXT(E155*1000,"0000")&amp;"-H"&amp;TEXT(F155*1000,"0000")&amp;"-B"&amp;TEXT(G155*1000,"0000")&amp;"-"&amp;W155)</f>
        <v/>
      </c>
      <c r="B155" s="10" t="str">
        <f aca="false">IF(C155="","",C155&amp;", "&amp;E155&amp;" m wide, "&amp;F155&amp;" m headroom, "&amp;G155&amp;" m bays, "&amp;H155&amp;" ("&amp;D155&amp;")")</f>
        <v/>
      </c>
      <c r="C155" s="9"/>
      <c r="D155" s="9"/>
      <c r="E155" s="43"/>
      <c r="F155" s="43"/>
      <c r="G155" s="43"/>
      <c r="H155" s="9"/>
      <c r="I155" s="9"/>
      <c r="J155" s="9"/>
      <c r="K155" s="9"/>
      <c r="L155" s="9"/>
      <c r="M155" s="9"/>
      <c r="N155" s="9"/>
      <c r="O155" s="9"/>
      <c r="P155" s="40"/>
      <c r="Q155" s="43"/>
      <c r="R155" s="9"/>
      <c r="S155" s="9"/>
      <c r="T155" s="9"/>
      <c r="U155" s="43"/>
      <c r="V155" s="9"/>
      <c r="W155" s="9"/>
      <c r="X155" s="9"/>
      <c r="Y155" s="9"/>
      <c r="Z155" s="9"/>
      <c r="AA155" s="9"/>
      <c r="AB155" s="10" t="str">
        <f aca="false">IF(A155="","",SG_Criteria!$B$6&amp;SG_Criteria!$B$12&amp;"\"&amp;A155&amp;"\")</f>
        <v/>
      </c>
      <c r="AC155" s="10" t="str">
        <f aca="false">IF(A155="","",A155&amp;"_CAD.dwg")</f>
        <v/>
      </c>
      <c r="AD155" s="10" t="str">
        <f aca="false">IF(A155="","",A155&amp;"_DWG.pdf")</f>
        <v/>
      </c>
      <c r="AE155" s="10" t="str">
        <f aca="false">IF(A155="","",IF(AA155="Y",A155&amp;"_STAAD.std","n/a"))</f>
        <v/>
      </c>
      <c r="AF155" s="10" t="str">
        <f aca="false">IF(A155="","",A155&amp;"_CALC.xlsx")</f>
        <v/>
      </c>
      <c r="AG155" s="10" t="str">
        <f aca="false">IF(A155="","",A155&amp;"_CALC.pdf")</f>
        <v/>
      </c>
      <c r="AH155" s="9"/>
      <c r="AI155" s="9"/>
      <c r="AJ155" s="41"/>
      <c r="AK155" s="41"/>
      <c r="AL155" s="41"/>
      <c r="AM155" s="41"/>
      <c r="AN155" s="41"/>
      <c r="AO155" s="38" t="str">
        <f aca="false">IF(C155="","",IF(LEN(IF(AND(C155&lt;&gt;"High Covered Linkway",F155&lt;SG_Criteria!$B$46),"FAIL: headroom below "&amp;SG_Criteria!$B$46&amp;" m. ","")&amp;IF(AND(C155="High Covered Linkway",F155&lt;SG_Criteria!$B$47),"FAIL: high linkway headroom below "&amp;SG_Criteria!$B$47&amp;" m. ","")&amp;IF(E155&lt;SG_Criteria!$B$48,"FAIL: roof width below "&amp;SG_Criteria!$B$48&amp;" m. ",IF(E155&lt;SG_Criteria!$B$49,"NOTE: not for MRT/LRT or high-traffic routes (min "&amp;SG_Criteria!$B$49&amp;" m). ",""))&amp;IF(AND(P155&lt;&gt;"",P155&lt;SG_Criteria!$B$50),"FAIL: wind speed below "&amp;SG_Criteria!$B$50&amp;" m/s. ","")&amp;IF(AND(Q155&lt;&gt;"",Q155&lt;SG_Criteria!$B$51),"FAIL: roof fixing pull-out below "&amp;SG_Criteria!$B$51&amp;" kN. ","")&amp;IF(AND(R155&lt;&gt;"",IFERROR(VALUE(MID(R155,2,2)),0)&lt;SG_Criteria!$B$52),"FAIL: grade below C"&amp;SG_Criteria!$B$52&amp;". ","")&amp;IF(D155="Non-standard (project design)","NOTE: not an SDRE standard, needs LTA acceptance. ",""))=0,"OK",IF(AND(C155&lt;&gt;"High Covered Linkway",F155&lt;SG_Criteria!$B$46),"FAIL: headroom below "&amp;SG_Criteria!$B$46&amp;" m. ","")&amp;IF(AND(C155="High Covered Linkway",F155&lt;SG_Criteria!$B$47),"FAIL: high linkway headroom below "&amp;SG_Criteria!$B$47&amp;" m. ","")&amp;IF(E155&lt;SG_Criteria!$B$48,"FAIL: roof width below "&amp;SG_Criteria!$B$48&amp;" m. ",IF(E155&lt;SG_Criteria!$B$49,"NOTE: not for MRT/LRT or high-traffic routes (min "&amp;SG_Criteria!$B$49&amp;" m). ",""))&amp;IF(AND(P155&lt;&gt;"",P155&lt;SG_Criteria!$B$50),"FAIL: wind speed below "&amp;SG_Criteria!$B$50&amp;" m/s. ","")&amp;IF(AND(Q155&lt;&gt;"",Q155&lt;SG_Criteria!$B$51),"FAIL: roof fixing pull-out below "&amp;SG_Criteria!$B$51&amp;" kN. ","")&amp;IF(AND(R155&lt;&gt;"",IFERROR(VALUE(MID(R155,2,2)),0)&lt;SG_Criteria!$B$52),"FAIL: grade below C"&amp;SG_Criteria!$B$52&amp;". ","")&amp;IF(D155="Non-standard (project design)","NOTE: not an SDRE standard, needs LTA acceptance. ","")))</f>
        <v/>
      </c>
      <c r="AP155" s="9"/>
      <c r="AQ155" s="9"/>
      <c r="AR155" s="9"/>
      <c r="AS155" s="9"/>
      <c r="AT155" s="9"/>
      <c r="AU155" s="31"/>
      <c r="AV155" s="10" t="str">
        <f aca="false">IF(C155="","",IF(AND(X155="Approved",ISERROR(SEARCH("FAIL",AO155))),"Y","N"))</f>
        <v/>
      </c>
      <c r="AW155" s="10" t="str">
        <f aca="false">IF(C155="","",C155&amp;"|"&amp;E155&amp;"|"&amp;F155&amp;"|"&amp;AV155)</f>
        <v/>
      </c>
    </row>
    <row r="156" customFormat="false" ht="15" hidden="false" customHeight="false" outlineLevel="0" collapsed="false">
      <c r="A156" s="10" t="str">
        <f aca="false">IF(C156="","","LKW-"&amp;IFERROR(VLOOKUP(C156,Lists!$AQ$4:$AR$17,2,0),"??")&amp;"-W"&amp;TEXT(E156*1000,"0000")&amp;"-H"&amp;TEXT(F156*1000,"0000")&amp;"-B"&amp;TEXT(G156*1000,"0000")&amp;"-"&amp;W156)</f>
        <v/>
      </c>
      <c r="B156" s="10" t="str">
        <f aca="false">IF(C156="","",C156&amp;", "&amp;E156&amp;" m wide, "&amp;F156&amp;" m headroom, "&amp;G156&amp;" m bays, "&amp;H156&amp;" ("&amp;D156&amp;")")</f>
        <v/>
      </c>
      <c r="C156" s="9"/>
      <c r="D156" s="9"/>
      <c r="E156" s="43"/>
      <c r="F156" s="43"/>
      <c r="G156" s="43"/>
      <c r="H156" s="9"/>
      <c r="I156" s="9"/>
      <c r="J156" s="9"/>
      <c r="K156" s="9"/>
      <c r="L156" s="9"/>
      <c r="M156" s="9"/>
      <c r="N156" s="9"/>
      <c r="O156" s="9"/>
      <c r="P156" s="40"/>
      <c r="Q156" s="43"/>
      <c r="R156" s="9"/>
      <c r="S156" s="9"/>
      <c r="T156" s="9"/>
      <c r="U156" s="43"/>
      <c r="V156" s="9"/>
      <c r="W156" s="9"/>
      <c r="X156" s="9"/>
      <c r="Y156" s="9"/>
      <c r="Z156" s="9"/>
      <c r="AA156" s="9"/>
      <c r="AB156" s="10" t="str">
        <f aca="false">IF(A156="","",SG_Criteria!$B$6&amp;SG_Criteria!$B$12&amp;"\"&amp;A156&amp;"\")</f>
        <v/>
      </c>
      <c r="AC156" s="10" t="str">
        <f aca="false">IF(A156="","",A156&amp;"_CAD.dwg")</f>
        <v/>
      </c>
      <c r="AD156" s="10" t="str">
        <f aca="false">IF(A156="","",A156&amp;"_DWG.pdf")</f>
        <v/>
      </c>
      <c r="AE156" s="10" t="str">
        <f aca="false">IF(A156="","",IF(AA156="Y",A156&amp;"_STAAD.std","n/a"))</f>
        <v/>
      </c>
      <c r="AF156" s="10" t="str">
        <f aca="false">IF(A156="","",A156&amp;"_CALC.xlsx")</f>
        <v/>
      </c>
      <c r="AG156" s="10" t="str">
        <f aca="false">IF(A156="","",A156&amp;"_CALC.pdf")</f>
        <v/>
      </c>
      <c r="AH156" s="9"/>
      <c r="AI156" s="9"/>
      <c r="AJ156" s="41"/>
      <c r="AK156" s="41"/>
      <c r="AL156" s="41"/>
      <c r="AM156" s="41"/>
      <c r="AN156" s="41"/>
      <c r="AO156" s="38" t="str">
        <f aca="false">IF(C156="","",IF(LEN(IF(AND(C156&lt;&gt;"High Covered Linkway",F156&lt;SG_Criteria!$B$46),"FAIL: headroom below "&amp;SG_Criteria!$B$46&amp;" m. ","")&amp;IF(AND(C156="High Covered Linkway",F156&lt;SG_Criteria!$B$47),"FAIL: high linkway headroom below "&amp;SG_Criteria!$B$47&amp;" m. ","")&amp;IF(E156&lt;SG_Criteria!$B$48,"FAIL: roof width below "&amp;SG_Criteria!$B$48&amp;" m. ",IF(E156&lt;SG_Criteria!$B$49,"NOTE: not for MRT/LRT or high-traffic routes (min "&amp;SG_Criteria!$B$49&amp;" m). ",""))&amp;IF(AND(P156&lt;&gt;"",P156&lt;SG_Criteria!$B$50),"FAIL: wind speed below "&amp;SG_Criteria!$B$50&amp;" m/s. ","")&amp;IF(AND(Q156&lt;&gt;"",Q156&lt;SG_Criteria!$B$51),"FAIL: roof fixing pull-out below "&amp;SG_Criteria!$B$51&amp;" kN. ","")&amp;IF(AND(R156&lt;&gt;"",IFERROR(VALUE(MID(R156,2,2)),0)&lt;SG_Criteria!$B$52),"FAIL: grade below C"&amp;SG_Criteria!$B$52&amp;". ","")&amp;IF(D156="Non-standard (project design)","NOTE: not an SDRE standard, needs LTA acceptance. ",""))=0,"OK",IF(AND(C156&lt;&gt;"High Covered Linkway",F156&lt;SG_Criteria!$B$46),"FAIL: headroom below "&amp;SG_Criteria!$B$46&amp;" m. ","")&amp;IF(AND(C156="High Covered Linkway",F156&lt;SG_Criteria!$B$47),"FAIL: high linkway headroom below "&amp;SG_Criteria!$B$47&amp;" m. ","")&amp;IF(E156&lt;SG_Criteria!$B$48,"FAIL: roof width below "&amp;SG_Criteria!$B$48&amp;" m. ",IF(E156&lt;SG_Criteria!$B$49,"NOTE: not for MRT/LRT or high-traffic routes (min "&amp;SG_Criteria!$B$49&amp;" m). ",""))&amp;IF(AND(P156&lt;&gt;"",P156&lt;SG_Criteria!$B$50),"FAIL: wind speed below "&amp;SG_Criteria!$B$50&amp;" m/s. ","")&amp;IF(AND(Q156&lt;&gt;"",Q156&lt;SG_Criteria!$B$51),"FAIL: roof fixing pull-out below "&amp;SG_Criteria!$B$51&amp;" kN. ","")&amp;IF(AND(R156&lt;&gt;"",IFERROR(VALUE(MID(R156,2,2)),0)&lt;SG_Criteria!$B$52),"FAIL: grade below C"&amp;SG_Criteria!$B$52&amp;". ","")&amp;IF(D156="Non-standard (project design)","NOTE: not an SDRE standard, needs LTA acceptance. ","")))</f>
        <v/>
      </c>
      <c r="AP156" s="9"/>
      <c r="AQ156" s="9"/>
      <c r="AR156" s="9"/>
      <c r="AS156" s="9"/>
      <c r="AT156" s="9"/>
      <c r="AU156" s="31"/>
      <c r="AV156" s="10" t="str">
        <f aca="false">IF(C156="","",IF(AND(X156="Approved",ISERROR(SEARCH("FAIL",AO156))),"Y","N"))</f>
        <v/>
      </c>
      <c r="AW156" s="10" t="str">
        <f aca="false">IF(C156="","",C156&amp;"|"&amp;E156&amp;"|"&amp;F156&amp;"|"&amp;AV156)</f>
        <v/>
      </c>
    </row>
    <row r="157" customFormat="false" ht="15" hidden="false" customHeight="false" outlineLevel="0" collapsed="false">
      <c r="A157" s="10" t="str">
        <f aca="false">IF(C157="","","LKW-"&amp;IFERROR(VLOOKUP(C157,Lists!$AQ$4:$AR$17,2,0),"??")&amp;"-W"&amp;TEXT(E157*1000,"0000")&amp;"-H"&amp;TEXT(F157*1000,"0000")&amp;"-B"&amp;TEXT(G157*1000,"0000")&amp;"-"&amp;W157)</f>
        <v/>
      </c>
      <c r="B157" s="10" t="str">
        <f aca="false">IF(C157="","",C157&amp;", "&amp;E157&amp;" m wide, "&amp;F157&amp;" m headroom, "&amp;G157&amp;" m bays, "&amp;H157&amp;" ("&amp;D157&amp;")")</f>
        <v/>
      </c>
      <c r="C157" s="9"/>
      <c r="D157" s="9"/>
      <c r="E157" s="43"/>
      <c r="F157" s="43"/>
      <c r="G157" s="43"/>
      <c r="H157" s="9"/>
      <c r="I157" s="9"/>
      <c r="J157" s="9"/>
      <c r="K157" s="9"/>
      <c r="L157" s="9"/>
      <c r="M157" s="9"/>
      <c r="N157" s="9"/>
      <c r="O157" s="9"/>
      <c r="P157" s="40"/>
      <c r="Q157" s="43"/>
      <c r="R157" s="9"/>
      <c r="S157" s="9"/>
      <c r="T157" s="9"/>
      <c r="U157" s="43"/>
      <c r="V157" s="9"/>
      <c r="W157" s="9"/>
      <c r="X157" s="9"/>
      <c r="Y157" s="9"/>
      <c r="Z157" s="9"/>
      <c r="AA157" s="9"/>
      <c r="AB157" s="10" t="str">
        <f aca="false">IF(A157="","",SG_Criteria!$B$6&amp;SG_Criteria!$B$12&amp;"\"&amp;A157&amp;"\")</f>
        <v/>
      </c>
      <c r="AC157" s="10" t="str">
        <f aca="false">IF(A157="","",A157&amp;"_CAD.dwg")</f>
        <v/>
      </c>
      <c r="AD157" s="10" t="str">
        <f aca="false">IF(A157="","",A157&amp;"_DWG.pdf")</f>
        <v/>
      </c>
      <c r="AE157" s="10" t="str">
        <f aca="false">IF(A157="","",IF(AA157="Y",A157&amp;"_STAAD.std","n/a"))</f>
        <v/>
      </c>
      <c r="AF157" s="10" t="str">
        <f aca="false">IF(A157="","",A157&amp;"_CALC.xlsx")</f>
        <v/>
      </c>
      <c r="AG157" s="10" t="str">
        <f aca="false">IF(A157="","",A157&amp;"_CALC.pdf")</f>
        <v/>
      </c>
      <c r="AH157" s="9"/>
      <c r="AI157" s="9"/>
      <c r="AJ157" s="41"/>
      <c r="AK157" s="41"/>
      <c r="AL157" s="41"/>
      <c r="AM157" s="41"/>
      <c r="AN157" s="41"/>
      <c r="AO157" s="38" t="str">
        <f aca="false">IF(C157="","",IF(LEN(IF(AND(C157&lt;&gt;"High Covered Linkway",F157&lt;SG_Criteria!$B$46),"FAIL: headroom below "&amp;SG_Criteria!$B$46&amp;" m. ","")&amp;IF(AND(C157="High Covered Linkway",F157&lt;SG_Criteria!$B$47),"FAIL: high linkway headroom below "&amp;SG_Criteria!$B$47&amp;" m. ","")&amp;IF(E157&lt;SG_Criteria!$B$48,"FAIL: roof width below "&amp;SG_Criteria!$B$48&amp;" m. ",IF(E157&lt;SG_Criteria!$B$49,"NOTE: not for MRT/LRT or high-traffic routes (min "&amp;SG_Criteria!$B$49&amp;" m). ",""))&amp;IF(AND(P157&lt;&gt;"",P157&lt;SG_Criteria!$B$50),"FAIL: wind speed below "&amp;SG_Criteria!$B$50&amp;" m/s. ","")&amp;IF(AND(Q157&lt;&gt;"",Q157&lt;SG_Criteria!$B$51),"FAIL: roof fixing pull-out below "&amp;SG_Criteria!$B$51&amp;" kN. ","")&amp;IF(AND(R157&lt;&gt;"",IFERROR(VALUE(MID(R157,2,2)),0)&lt;SG_Criteria!$B$52),"FAIL: grade below C"&amp;SG_Criteria!$B$52&amp;". ","")&amp;IF(D157="Non-standard (project design)","NOTE: not an SDRE standard, needs LTA acceptance. ",""))=0,"OK",IF(AND(C157&lt;&gt;"High Covered Linkway",F157&lt;SG_Criteria!$B$46),"FAIL: headroom below "&amp;SG_Criteria!$B$46&amp;" m. ","")&amp;IF(AND(C157="High Covered Linkway",F157&lt;SG_Criteria!$B$47),"FAIL: high linkway headroom below "&amp;SG_Criteria!$B$47&amp;" m. ","")&amp;IF(E157&lt;SG_Criteria!$B$48,"FAIL: roof width below "&amp;SG_Criteria!$B$48&amp;" m. ",IF(E157&lt;SG_Criteria!$B$49,"NOTE: not for MRT/LRT or high-traffic routes (min "&amp;SG_Criteria!$B$49&amp;" m). ",""))&amp;IF(AND(P157&lt;&gt;"",P157&lt;SG_Criteria!$B$50),"FAIL: wind speed below "&amp;SG_Criteria!$B$50&amp;" m/s. ","")&amp;IF(AND(Q157&lt;&gt;"",Q157&lt;SG_Criteria!$B$51),"FAIL: roof fixing pull-out below "&amp;SG_Criteria!$B$51&amp;" kN. ","")&amp;IF(AND(R157&lt;&gt;"",IFERROR(VALUE(MID(R157,2,2)),0)&lt;SG_Criteria!$B$52),"FAIL: grade below C"&amp;SG_Criteria!$B$52&amp;". ","")&amp;IF(D157="Non-standard (project design)","NOTE: not an SDRE standard, needs LTA acceptance. ","")))</f>
        <v/>
      </c>
      <c r="AP157" s="9"/>
      <c r="AQ157" s="9"/>
      <c r="AR157" s="9"/>
      <c r="AS157" s="9"/>
      <c r="AT157" s="9"/>
      <c r="AU157" s="31"/>
      <c r="AV157" s="10" t="str">
        <f aca="false">IF(C157="","",IF(AND(X157="Approved",ISERROR(SEARCH("FAIL",AO157))),"Y","N"))</f>
        <v/>
      </c>
      <c r="AW157" s="10" t="str">
        <f aca="false">IF(C157="","",C157&amp;"|"&amp;E157&amp;"|"&amp;F157&amp;"|"&amp;AV157)</f>
        <v/>
      </c>
    </row>
    <row r="158" customFormat="false" ht="15" hidden="false" customHeight="false" outlineLevel="0" collapsed="false">
      <c r="A158" s="10" t="str">
        <f aca="false">IF(C158="","","LKW-"&amp;IFERROR(VLOOKUP(C158,Lists!$AQ$4:$AR$17,2,0),"??")&amp;"-W"&amp;TEXT(E158*1000,"0000")&amp;"-H"&amp;TEXT(F158*1000,"0000")&amp;"-B"&amp;TEXT(G158*1000,"0000")&amp;"-"&amp;W158)</f>
        <v/>
      </c>
      <c r="B158" s="10" t="str">
        <f aca="false">IF(C158="","",C158&amp;", "&amp;E158&amp;" m wide, "&amp;F158&amp;" m headroom, "&amp;G158&amp;" m bays, "&amp;H158&amp;" ("&amp;D158&amp;")")</f>
        <v/>
      </c>
      <c r="C158" s="9"/>
      <c r="D158" s="9"/>
      <c r="E158" s="43"/>
      <c r="F158" s="43"/>
      <c r="G158" s="43"/>
      <c r="H158" s="9"/>
      <c r="I158" s="9"/>
      <c r="J158" s="9"/>
      <c r="K158" s="9"/>
      <c r="L158" s="9"/>
      <c r="M158" s="9"/>
      <c r="N158" s="9"/>
      <c r="O158" s="9"/>
      <c r="P158" s="40"/>
      <c r="Q158" s="43"/>
      <c r="R158" s="9"/>
      <c r="S158" s="9"/>
      <c r="T158" s="9"/>
      <c r="U158" s="43"/>
      <c r="V158" s="9"/>
      <c r="W158" s="9"/>
      <c r="X158" s="9"/>
      <c r="Y158" s="9"/>
      <c r="Z158" s="9"/>
      <c r="AA158" s="9"/>
      <c r="AB158" s="10" t="str">
        <f aca="false">IF(A158="","",SG_Criteria!$B$6&amp;SG_Criteria!$B$12&amp;"\"&amp;A158&amp;"\")</f>
        <v/>
      </c>
      <c r="AC158" s="10" t="str">
        <f aca="false">IF(A158="","",A158&amp;"_CAD.dwg")</f>
        <v/>
      </c>
      <c r="AD158" s="10" t="str">
        <f aca="false">IF(A158="","",A158&amp;"_DWG.pdf")</f>
        <v/>
      </c>
      <c r="AE158" s="10" t="str">
        <f aca="false">IF(A158="","",IF(AA158="Y",A158&amp;"_STAAD.std","n/a"))</f>
        <v/>
      </c>
      <c r="AF158" s="10" t="str">
        <f aca="false">IF(A158="","",A158&amp;"_CALC.xlsx")</f>
        <v/>
      </c>
      <c r="AG158" s="10" t="str">
        <f aca="false">IF(A158="","",A158&amp;"_CALC.pdf")</f>
        <v/>
      </c>
      <c r="AH158" s="9"/>
      <c r="AI158" s="9"/>
      <c r="AJ158" s="41"/>
      <c r="AK158" s="41"/>
      <c r="AL158" s="41"/>
      <c r="AM158" s="41"/>
      <c r="AN158" s="41"/>
      <c r="AO158" s="38" t="str">
        <f aca="false">IF(C158="","",IF(LEN(IF(AND(C158&lt;&gt;"High Covered Linkway",F158&lt;SG_Criteria!$B$46),"FAIL: headroom below "&amp;SG_Criteria!$B$46&amp;" m. ","")&amp;IF(AND(C158="High Covered Linkway",F158&lt;SG_Criteria!$B$47),"FAIL: high linkway headroom below "&amp;SG_Criteria!$B$47&amp;" m. ","")&amp;IF(E158&lt;SG_Criteria!$B$48,"FAIL: roof width below "&amp;SG_Criteria!$B$48&amp;" m. ",IF(E158&lt;SG_Criteria!$B$49,"NOTE: not for MRT/LRT or high-traffic routes (min "&amp;SG_Criteria!$B$49&amp;" m). ",""))&amp;IF(AND(P158&lt;&gt;"",P158&lt;SG_Criteria!$B$50),"FAIL: wind speed below "&amp;SG_Criteria!$B$50&amp;" m/s. ","")&amp;IF(AND(Q158&lt;&gt;"",Q158&lt;SG_Criteria!$B$51),"FAIL: roof fixing pull-out below "&amp;SG_Criteria!$B$51&amp;" kN. ","")&amp;IF(AND(R158&lt;&gt;"",IFERROR(VALUE(MID(R158,2,2)),0)&lt;SG_Criteria!$B$52),"FAIL: grade below C"&amp;SG_Criteria!$B$52&amp;". ","")&amp;IF(D158="Non-standard (project design)","NOTE: not an SDRE standard, needs LTA acceptance. ",""))=0,"OK",IF(AND(C158&lt;&gt;"High Covered Linkway",F158&lt;SG_Criteria!$B$46),"FAIL: headroom below "&amp;SG_Criteria!$B$46&amp;" m. ","")&amp;IF(AND(C158="High Covered Linkway",F158&lt;SG_Criteria!$B$47),"FAIL: high linkway headroom below "&amp;SG_Criteria!$B$47&amp;" m. ","")&amp;IF(E158&lt;SG_Criteria!$B$48,"FAIL: roof width below "&amp;SG_Criteria!$B$48&amp;" m. ",IF(E158&lt;SG_Criteria!$B$49,"NOTE: not for MRT/LRT or high-traffic routes (min "&amp;SG_Criteria!$B$49&amp;" m). ",""))&amp;IF(AND(P158&lt;&gt;"",P158&lt;SG_Criteria!$B$50),"FAIL: wind speed below "&amp;SG_Criteria!$B$50&amp;" m/s. ","")&amp;IF(AND(Q158&lt;&gt;"",Q158&lt;SG_Criteria!$B$51),"FAIL: roof fixing pull-out below "&amp;SG_Criteria!$B$51&amp;" kN. ","")&amp;IF(AND(R158&lt;&gt;"",IFERROR(VALUE(MID(R158,2,2)),0)&lt;SG_Criteria!$B$52),"FAIL: grade below C"&amp;SG_Criteria!$B$52&amp;". ","")&amp;IF(D158="Non-standard (project design)","NOTE: not an SDRE standard, needs LTA acceptance. ","")))</f>
        <v/>
      </c>
      <c r="AP158" s="9"/>
      <c r="AQ158" s="9"/>
      <c r="AR158" s="9"/>
      <c r="AS158" s="9"/>
      <c r="AT158" s="9"/>
      <c r="AU158" s="31"/>
      <c r="AV158" s="10" t="str">
        <f aca="false">IF(C158="","",IF(AND(X158="Approved",ISERROR(SEARCH("FAIL",AO158))),"Y","N"))</f>
        <v/>
      </c>
      <c r="AW158" s="10" t="str">
        <f aca="false">IF(C158="","",C158&amp;"|"&amp;E158&amp;"|"&amp;F158&amp;"|"&amp;AV158)</f>
        <v/>
      </c>
    </row>
    <row r="159" customFormat="false" ht="15" hidden="false" customHeight="false" outlineLevel="0" collapsed="false">
      <c r="A159" s="10" t="str">
        <f aca="false">IF(C159="","","LKW-"&amp;IFERROR(VLOOKUP(C159,Lists!$AQ$4:$AR$17,2,0),"??")&amp;"-W"&amp;TEXT(E159*1000,"0000")&amp;"-H"&amp;TEXT(F159*1000,"0000")&amp;"-B"&amp;TEXT(G159*1000,"0000")&amp;"-"&amp;W159)</f>
        <v/>
      </c>
      <c r="B159" s="10" t="str">
        <f aca="false">IF(C159="","",C159&amp;", "&amp;E159&amp;" m wide, "&amp;F159&amp;" m headroom, "&amp;G159&amp;" m bays, "&amp;H159&amp;" ("&amp;D159&amp;")")</f>
        <v/>
      </c>
      <c r="C159" s="9"/>
      <c r="D159" s="9"/>
      <c r="E159" s="43"/>
      <c r="F159" s="43"/>
      <c r="G159" s="43"/>
      <c r="H159" s="9"/>
      <c r="I159" s="9"/>
      <c r="J159" s="9"/>
      <c r="K159" s="9"/>
      <c r="L159" s="9"/>
      <c r="M159" s="9"/>
      <c r="N159" s="9"/>
      <c r="O159" s="9"/>
      <c r="P159" s="40"/>
      <c r="Q159" s="43"/>
      <c r="R159" s="9"/>
      <c r="S159" s="9"/>
      <c r="T159" s="9"/>
      <c r="U159" s="43"/>
      <c r="V159" s="9"/>
      <c r="W159" s="9"/>
      <c r="X159" s="9"/>
      <c r="Y159" s="9"/>
      <c r="Z159" s="9"/>
      <c r="AA159" s="9"/>
      <c r="AB159" s="10" t="str">
        <f aca="false">IF(A159="","",SG_Criteria!$B$6&amp;SG_Criteria!$B$12&amp;"\"&amp;A159&amp;"\")</f>
        <v/>
      </c>
      <c r="AC159" s="10" t="str">
        <f aca="false">IF(A159="","",A159&amp;"_CAD.dwg")</f>
        <v/>
      </c>
      <c r="AD159" s="10" t="str">
        <f aca="false">IF(A159="","",A159&amp;"_DWG.pdf")</f>
        <v/>
      </c>
      <c r="AE159" s="10" t="str">
        <f aca="false">IF(A159="","",IF(AA159="Y",A159&amp;"_STAAD.std","n/a"))</f>
        <v/>
      </c>
      <c r="AF159" s="10" t="str">
        <f aca="false">IF(A159="","",A159&amp;"_CALC.xlsx")</f>
        <v/>
      </c>
      <c r="AG159" s="10" t="str">
        <f aca="false">IF(A159="","",A159&amp;"_CALC.pdf")</f>
        <v/>
      </c>
      <c r="AH159" s="9"/>
      <c r="AI159" s="9"/>
      <c r="AJ159" s="41"/>
      <c r="AK159" s="41"/>
      <c r="AL159" s="41"/>
      <c r="AM159" s="41"/>
      <c r="AN159" s="41"/>
      <c r="AO159" s="38" t="str">
        <f aca="false">IF(C159="","",IF(LEN(IF(AND(C159&lt;&gt;"High Covered Linkway",F159&lt;SG_Criteria!$B$46),"FAIL: headroom below "&amp;SG_Criteria!$B$46&amp;" m. ","")&amp;IF(AND(C159="High Covered Linkway",F159&lt;SG_Criteria!$B$47),"FAIL: high linkway headroom below "&amp;SG_Criteria!$B$47&amp;" m. ","")&amp;IF(E159&lt;SG_Criteria!$B$48,"FAIL: roof width below "&amp;SG_Criteria!$B$48&amp;" m. ",IF(E159&lt;SG_Criteria!$B$49,"NOTE: not for MRT/LRT or high-traffic routes (min "&amp;SG_Criteria!$B$49&amp;" m). ",""))&amp;IF(AND(P159&lt;&gt;"",P159&lt;SG_Criteria!$B$50),"FAIL: wind speed below "&amp;SG_Criteria!$B$50&amp;" m/s. ","")&amp;IF(AND(Q159&lt;&gt;"",Q159&lt;SG_Criteria!$B$51),"FAIL: roof fixing pull-out below "&amp;SG_Criteria!$B$51&amp;" kN. ","")&amp;IF(AND(R159&lt;&gt;"",IFERROR(VALUE(MID(R159,2,2)),0)&lt;SG_Criteria!$B$52),"FAIL: grade below C"&amp;SG_Criteria!$B$52&amp;". ","")&amp;IF(D159="Non-standard (project design)","NOTE: not an SDRE standard, needs LTA acceptance. ",""))=0,"OK",IF(AND(C159&lt;&gt;"High Covered Linkway",F159&lt;SG_Criteria!$B$46),"FAIL: headroom below "&amp;SG_Criteria!$B$46&amp;" m. ","")&amp;IF(AND(C159="High Covered Linkway",F159&lt;SG_Criteria!$B$47),"FAIL: high linkway headroom below "&amp;SG_Criteria!$B$47&amp;" m. ","")&amp;IF(E159&lt;SG_Criteria!$B$48,"FAIL: roof width below "&amp;SG_Criteria!$B$48&amp;" m. ",IF(E159&lt;SG_Criteria!$B$49,"NOTE: not for MRT/LRT or high-traffic routes (min "&amp;SG_Criteria!$B$49&amp;" m). ",""))&amp;IF(AND(P159&lt;&gt;"",P159&lt;SG_Criteria!$B$50),"FAIL: wind speed below "&amp;SG_Criteria!$B$50&amp;" m/s. ","")&amp;IF(AND(Q159&lt;&gt;"",Q159&lt;SG_Criteria!$B$51),"FAIL: roof fixing pull-out below "&amp;SG_Criteria!$B$51&amp;" kN. ","")&amp;IF(AND(R159&lt;&gt;"",IFERROR(VALUE(MID(R159,2,2)),0)&lt;SG_Criteria!$B$52),"FAIL: grade below C"&amp;SG_Criteria!$B$52&amp;". ","")&amp;IF(D159="Non-standard (project design)","NOTE: not an SDRE standard, needs LTA acceptance. ","")))</f>
        <v/>
      </c>
      <c r="AP159" s="9"/>
      <c r="AQ159" s="9"/>
      <c r="AR159" s="9"/>
      <c r="AS159" s="9"/>
      <c r="AT159" s="9"/>
      <c r="AU159" s="31"/>
      <c r="AV159" s="10" t="str">
        <f aca="false">IF(C159="","",IF(AND(X159="Approved",ISERROR(SEARCH("FAIL",AO159))),"Y","N"))</f>
        <v/>
      </c>
      <c r="AW159" s="10" t="str">
        <f aca="false">IF(C159="","",C159&amp;"|"&amp;E159&amp;"|"&amp;F159&amp;"|"&amp;AV159)</f>
        <v/>
      </c>
    </row>
    <row r="160" customFormat="false" ht="15" hidden="false" customHeight="false" outlineLevel="0" collapsed="false">
      <c r="A160" s="10" t="str">
        <f aca="false">IF(C160="","","LKW-"&amp;IFERROR(VLOOKUP(C160,Lists!$AQ$4:$AR$17,2,0),"??")&amp;"-W"&amp;TEXT(E160*1000,"0000")&amp;"-H"&amp;TEXT(F160*1000,"0000")&amp;"-B"&amp;TEXT(G160*1000,"0000")&amp;"-"&amp;W160)</f>
        <v/>
      </c>
      <c r="B160" s="10" t="str">
        <f aca="false">IF(C160="","",C160&amp;", "&amp;E160&amp;" m wide, "&amp;F160&amp;" m headroom, "&amp;G160&amp;" m bays, "&amp;H160&amp;" ("&amp;D160&amp;")")</f>
        <v/>
      </c>
      <c r="C160" s="9"/>
      <c r="D160" s="9"/>
      <c r="E160" s="43"/>
      <c r="F160" s="43"/>
      <c r="G160" s="43"/>
      <c r="H160" s="9"/>
      <c r="I160" s="9"/>
      <c r="J160" s="9"/>
      <c r="K160" s="9"/>
      <c r="L160" s="9"/>
      <c r="M160" s="9"/>
      <c r="N160" s="9"/>
      <c r="O160" s="9"/>
      <c r="P160" s="40"/>
      <c r="Q160" s="43"/>
      <c r="R160" s="9"/>
      <c r="S160" s="9"/>
      <c r="T160" s="9"/>
      <c r="U160" s="43"/>
      <c r="V160" s="9"/>
      <c r="W160" s="9"/>
      <c r="X160" s="9"/>
      <c r="Y160" s="9"/>
      <c r="Z160" s="9"/>
      <c r="AA160" s="9"/>
      <c r="AB160" s="10" t="str">
        <f aca="false">IF(A160="","",SG_Criteria!$B$6&amp;SG_Criteria!$B$12&amp;"\"&amp;A160&amp;"\")</f>
        <v/>
      </c>
      <c r="AC160" s="10" t="str">
        <f aca="false">IF(A160="","",A160&amp;"_CAD.dwg")</f>
        <v/>
      </c>
      <c r="AD160" s="10" t="str">
        <f aca="false">IF(A160="","",A160&amp;"_DWG.pdf")</f>
        <v/>
      </c>
      <c r="AE160" s="10" t="str">
        <f aca="false">IF(A160="","",IF(AA160="Y",A160&amp;"_STAAD.std","n/a"))</f>
        <v/>
      </c>
      <c r="AF160" s="10" t="str">
        <f aca="false">IF(A160="","",A160&amp;"_CALC.xlsx")</f>
        <v/>
      </c>
      <c r="AG160" s="10" t="str">
        <f aca="false">IF(A160="","",A160&amp;"_CALC.pdf")</f>
        <v/>
      </c>
      <c r="AH160" s="9"/>
      <c r="AI160" s="9"/>
      <c r="AJ160" s="41"/>
      <c r="AK160" s="41"/>
      <c r="AL160" s="41"/>
      <c r="AM160" s="41"/>
      <c r="AN160" s="41"/>
      <c r="AO160" s="38" t="str">
        <f aca="false">IF(C160="","",IF(LEN(IF(AND(C160&lt;&gt;"High Covered Linkway",F160&lt;SG_Criteria!$B$46),"FAIL: headroom below "&amp;SG_Criteria!$B$46&amp;" m. ","")&amp;IF(AND(C160="High Covered Linkway",F160&lt;SG_Criteria!$B$47),"FAIL: high linkway headroom below "&amp;SG_Criteria!$B$47&amp;" m. ","")&amp;IF(E160&lt;SG_Criteria!$B$48,"FAIL: roof width below "&amp;SG_Criteria!$B$48&amp;" m. ",IF(E160&lt;SG_Criteria!$B$49,"NOTE: not for MRT/LRT or high-traffic routes (min "&amp;SG_Criteria!$B$49&amp;" m). ",""))&amp;IF(AND(P160&lt;&gt;"",P160&lt;SG_Criteria!$B$50),"FAIL: wind speed below "&amp;SG_Criteria!$B$50&amp;" m/s. ","")&amp;IF(AND(Q160&lt;&gt;"",Q160&lt;SG_Criteria!$B$51),"FAIL: roof fixing pull-out below "&amp;SG_Criteria!$B$51&amp;" kN. ","")&amp;IF(AND(R160&lt;&gt;"",IFERROR(VALUE(MID(R160,2,2)),0)&lt;SG_Criteria!$B$52),"FAIL: grade below C"&amp;SG_Criteria!$B$52&amp;". ","")&amp;IF(D160="Non-standard (project design)","NOTE: not an SDRE standard, needs LTA acceptance. ",""))=0,"OK",IF(AND(C160&lt;&gt;"High Covered Linkway",F160&lt;SG_Criteria!$B$46),"FAIL: headroom below "&amp;SG_Criteria!$B$46&amp;" m. ","")&amp;IF(AND(C160="High Covered Linkway",F160&lt;SG_Criteria!$B$47),"FAIL: high linkway headroom below "&amp;SG_Criteria!$B$47&amp;" m. ","")&amp;IF(E160&lt;SG_Criteria!$B$48,"FAIL: roof width below "&amp;SG_Criteria!$B$48&amp;" m. ",IF(E160&lt;SG_Criteria!$B$49,"NOTE: not for MRT/LRT or high-traffic routes (min "&amp;SG_Criteria!$B$49&amp;" m). ",""))&amp;IF(AND(P160&lt;&gt;"",P160&lt;SG_Criteria!$B$50),"FAIL: wind speed below "&amp;SG_Criteria!$B$50&amp;" m/s. ","")&amp;IF(AND(Q160&lt;&gt;"",Q160&lt;SG_Criteria!$B$51),"FAIL: roof fixing pull-out below "&amp;SG_Criteria!$B$51&amp;" kN. ","")&amp;IF(AND(R160&lt;&gt;"",IFERROR(VALUE(MID(R160,2,2)),0)&lt;SG_Criteria!$B$52),"FAIL: grade below C"&amp;SG_Criteria!$B$52&amp;". ","")&amp;IF(D160="Non-standard (project design)","NOTE: not an SDRE standard, needs LTA acceptance. ","")))</f>
        <v/>
      </c>
      <c r="AP160" s="9"/>
      <c r="AQ160" s="9"/>
      <c r="AR160" s="9"/>
      <c r="AS160" s="9"/>
      <c r="AT160" s="9"/>
      <c r="AU160" s="31"/>
      <c r="AV160" s="10" t="str">
        <f aca="false">IF(C160="","",IF(AND(X160="Approved",ISERROR(SEARCH("FAIL",AO160))),"Y","N"))</f>
        <v/>
      </c>
      <c r="AW160" s="10" t="str">
        <f aca="false">IF(C160="","",C160&amp;"|"&amp;E160&amp;"|"&amp;F160&amp;"|"&amp;AV160)</f>
        <v/>
      </c>
    </row>
    <row r="161" customFormat="false" ht="15" hidden="false" customHeight="false" outlineLevel="0" collapsed="false">
      <c r="A161" s="10" t="str">
        <f aca="false">IF(C161="","","LKW-"&amp;IFERROR(VLOOKUP(C161,Lists!$AQ$4:$AR$17,2,0),"??")&amp;"-W"&amp;TEXT(E161*1000,"0000")&amp;"-H"&amp;TEXT(F161*1000,"0000")&amp;"-B"&amp;TEXT(G161*1000,"0000")&amp;"-"&amp;W161)</f>
        <v/>
      </c>
      <c r="B161" s="10" t="str">
        <f aca="false">IF(C161="","",C161&amp;", "&amp;E161&amp;" m wide, "&amp;F161&amp;" m headroom, "&amp;G161&amp;" m bays, "&amp;H161&amp;" ("&amp;D161&amp;")")</f>
        <v/>
      </c>
      <c r="C161" s="9"/>
      <c r="D161" s="9"/>
      <c r="E161" s="43"/>
      <c r="F161" s="43"/>
      <c r="G161" s="43"/>
      <c r="H161" s="9"/>
      <c r="I161" s="9"/>
      <c r="J161" s="9"/>
      <c r="K161" s="9"/>
      <c r="L161" s="9"/>
      <c r="M161" s="9"/>
      <c r="N161" s="9"/>
      <c r="O161" s="9"/>
      <c r="P161" s="40"/>
      <c r="Q161" s="43"/>
      <c r="R161" s="9"/>
      <c r="S161" s="9"/>
      <c r="T161" s="9"/>
      <c r="U161" s="43"/>
      <c r="V161" s="9"/>
      <c r="W161" s="9"/>
      <c r="X161" s="9"/>
      <c r="Y161" s="9"/>
      <c r="Z161" s="9"/>
      <c r="AA161" s="9"/>
      <c r="AB161" s="10" t="str">
        <f aca="false">IF(A161="","",SG_Criteria!$B$6&amp;SG_Criteria!$B$12&amp;"\"&amp;A161&amp;"\")</f>
        <v/>
      </c>
      <c r="AC161" s="10" t="str">
        <f aca="false">IF(A161="","",A161&amp;"_CAD.dwg")</f>
        <v/>
      </c>
      <c r="AD161" s="10" t="str">
        <f aca="false">IF(A161="","",A161&amp;"_DWG.pdf")</f>
        <v/>
      </c>
      <c r="AE161" s="10" t="str">
        <f aca="false">IF(A161="","",IF(AA161="Y",A161&amp;"_STAAD.std","n/a"))</f>
        <v/>
      </c>
      <c r="AF161" s="10" t="str">
        <f aca="false">IF(A161="","",A161&amp;"_CALC.xlsx")</f>
        <v/>
      </c>
      <c r="AG161" s="10" t="str">
        <f aca="false">IF(A161="","",A161&amp;"_CALC.pdf")</f>
        <v/>
      </c>
      <c r="AH161" s="9"/>
      <c r="AI161" s="9"/>
      <c r="AJ161" s="41"/>
      <c r="AK161" s="41"/>
      <c r="AL161" s="41"/>
      <c r="AM161" s="41"/>
      <c r="AN161" s="41"/>
      <c r="AO161" s="38" t="str">
        <f aca="false">IF(C161="","",IF(LEN(IF(AND(C161&lt;&gt;"High Covered Linkway",F161&lt;SG_Criteria!$B$46),"FAIL: headroom below "&amp;SG_Criteria!$B$46&amp;" m. ","")&amp;IF(AND(C161="High Covered Linkway",F161&lt;SG_Criteria!$B$47),"FAIL: high linkway headroom below "&amp;SG_Criteria!$B$47&amp;" m. ","")&amp;IF(E161&lt;SG_Criteria!$B$48,"FAIL: roof width below "&amp;SG_Criteria!$B$48&amp;" m. ",IF(E161&lt;SG_Criteria!$B$49,"NOTE: not for MRT/LRT or high-traffic routes (min "&amp;SG_Criteria!$B$49&amp;" m). ",""))&amp;IF(AND(P161&lt;&gt;"",P161&lt;SG_Criteria!$B$50),"FAIL: wind speed below "&amp;SG_Criteria!$B$50&amp;" m/s. ","")&amp;IF(AND(Q161&lt;&gt;"",Q161&lt;SG_Criteria!$B$51),"FAIL: roof fixing pull-out below "&amp;SG_Criteria!$B$51&amp;" kN. ","")&amp;IF(AND(R161&lt;&gt;"",IFERROR(VALUE(MID(R161,2,2)),0)&lt;SG_Criteria!$B$52),"FAIL: grade below C"&amp;SG_Criteria!$B$52&amp;". ","")&amp;IF(D161="Non-standard (project design)","NOTE: not an SDRE standard, needs LTA acceptance. ",""))=0,"OK",IF(AND(C161&lt;&gt;"High Covered Linkway",F161&lt;SG_Criteria!$B$46),"FAIL: headroom below "&amp;SG_Criteria!$B$46&amp;" m. ","")&amp;IF(AND(C161="High Covered Linkway",F161&lt;SG_Criteria!$B$47),"FAIL: high linkway headroom below "&amp;SG_Criteria!$B$47&amp;" m. ","")&amp;IF(E161&lt;SG_Criteria!$B$48,"FAIL: roof width below "&amp;SG_Criteria!$B$48&amp;" m. ",IF(E161&lt;SG_Criteria!$B$49,"NOTE: not for MRT/LRT or high-traffic routes (min "&amp;SG_Criteria!$B$49&amp;" m). ",""))&amp;IF(AND(P161&lt;&gt;"",P161&lt;SG_Criteria!$B$50),"FAIL: wind speed below "&amp;SG_Criteria!$B$50&amp;" m/s. ","")&amp;IF(AND(Q161&lt;&gt;"",Q161&lt;SG_Criteria!$B$51),"FAIL: roof fixing pull-out below "&amp;SG_Criteria!$B$51&amp;" kN. ","")&amp;IF(AND(R161&lt;&gt;"",IFERROR(VALUE(MID(R161,2,2)),0)&lt;SG_Criteria!$B$52),"FAIL: grade below C"&amp;SG_Criteria!$B$52&amp;". ","")&amp;IF(D161="Non-standard (project design)","NOTE: not an SDRE standard, needs LTA acceptance. ","")))</f>
        <v/>
      </c>
      <c r="AP161" s="9"/>
      <c r="AQ161" s="9"/>
      <c r="AR161" s="9"/>
      <c r="AS161" s="9"/>
      <c r="AT161" s="9"/>
      <c r="AU161" s="31"/>
      <c r="AV161" s="10" t="str">
        <f aca="false">IF(C161="","",IF(AND(X161="Approved",ISERROR(SEARCH("FAIL",AO161))),"Y","N"))</f>
        <v/>
      </c>
      <c r="AW161" s="10" t="str">
        <f aca="false">IF(C161="","",C161&amp;"|"&amp;E161&amp;"|"&amp;F161&amp;"|"&amp;AV161)</f>
        <v/>
      </c>
    </row>
    <row r="162" customFormat="false" ht="15" hidden="false" customHeight="false" outlineLevel="0" collapsed="false">
      <c r="A162" s="10" t="str">
        <f aca="false">IF(C162="","","LKW-"&amp;IFERROR(VLOOKUP(C162,Lists!$AQ$4:$AR$17,2,0),"??")&amp;"-W"&amp;TEXT(E162*1000,"0000")&amp;"-H"&amp;TEXT(F162*1000,"0000")&amp;"-B"&amp;TEXT(G162*1000,"0000")&amp;"-"&amp;W162)</f>
        <v/>
      </c>
      <c r="B162" s="10" t="str">
        <f aca="false">IF(C162="","",C162&amp;", "&amp;E162&amp;" m wide, "&amp;F162&amp;" m headroom, "&amp;G162&amp;" m bays, "&amp;H162&amp;" ("&amp;D162&amp;")")</f>
        <v/>
      </c>
      <c r="C162" s="9"/>
      <c r="D162" s="9"/>
      <c r="E162" s="43"/>
      <c r="F162" s="43"/>
      <c r="G162" s="43"/>
      <c r="H162" s="9"/>
      <c r="I162" s="9"/>
      <c r="J162" s="9"/>
      <c r="K162" s="9"/>
      <c r="L162" s="9"/>
      <c r="M162" s="9"/>
      <c r="N162" s="9"/>
      <c r="O162" s="9"/>
      <c r="P162" s="40"/>
      <c r="Q162" s="43"/>
      <c r="R162" s="9"/>
      <c r="S162" s="9"/>
      <c r="T162" s="9"/>
      <c r="U162" s="43"/>
      <c r="V162" s="9"/>
      <c r="W162" s="9"/>
      <c r="X162" s="9"/>
      <c r="Y162" s="9"/>
      <c r="Z162" s="9"/>
      <c r="AA162" s="9"/>
      <c r="AB162" s="10" t="str">
        <f aca="false">IF(A162="","",SG_Criteria!$B$6&amp;SG_Criteria!$B$12&amp;"\"&amp;A162&amp;"\")</f>
        <v/>
      </c>
      <c r="AC162" s="10" t="str">
        <f aca="false">IF(A162="","",A162&amp;"_CAD.dwg")</f>
        <v/>
      </c>
      <c r="AD162" s="10" t="str">
        <f aca="false">IF(A162="","",A162&amp;"_DWG.pdf")</f>
        <v/>
      </c>
      <c r="AE162" s="10" t="str">
        <f aca="false">IF(A162="","",IF(AA162="Y",A162&amp;"_STAAD.std","n/a"))</f>
        <v/>
      </c>
      <c r="AF162" s="10" t="str">
        <f aca="false">IF(A162="","",A162&amp;"_CALC.xlsx")</f>
        <v/>
      </c>
      <c r="AG162" s="10" t="str">
        <f aca="false">IF(A162="","",A162&amp;"_CALC.pdf")</f>
        <v/>
      </c>
      <c r="AH162" s="9"/>
      <c r="AI162" s="9"/>
      <c r="AJ162" s="41"/>
      <c r="AK162" s="41"/>
      <c r="AL162" s="41"/>
      <c r="AM162" s="41"/>
      <c r="AN162" s="41"/>
      <c r="AO162" s="38" t="str">
        <f aca="false">IF(C162="","",IF(LEN(IF(AND(C162&lt;&gt;"High Covered Linkway",F162&lt;SG_Criteria!$B$46),"FAIL: headroom below "&amp;SG_Criteria!$B$46&amp;" m. ","")&amp;IF(AND(C162="High Covered Linkway",F162&lt;SG_Criteria!$B$47),"FAIL: high linkway headroom below "&amp;SG_Criteria!$B$47&amp;" m. ","")&amp;IF(E162&lt;SG_Criteria!$B$48,"FAIL: roof width below "&amp;SG_Criteria!$B$48&amp;" m. ",IF(E162&lt;SG_Criteria!$B$49,"NOTE: not for MRT/LRT or high-traffic routes (min "&amp;SG_Criteria!$B$49&amp;" m). ",""))&amp;IF(AND(P162&lt;&gt;"",P162&lt;SG_Criteria!$B$50),"FAIL: wind speed below "&amp;SG_Criteria!$B$50&amp;" m/s. ","")&amp;IF(AND(Q162&lt;&gt;"",Q162&lt;SG_Criteria!$B$51),"FAIL: roof fixing pull-out below "&amp;SG_Criteria!$B$51&amp;" kN. ","")&amp;IF(AND(R162&lt;&gt;"",IFERROR(VALUE(MID(R162,2,2)),0)&lt;SG_Criteria!$B$52),"FAIL: grade below C"&amp;SG_Criteria!$B$52&amp;". ","")&amp;IF(D162="Non-standard (project design)","NOTE: not an SDRE standard, needs LTA acceptance. ",""))=0,"OK",IF(AND(C162&lt;&gt;"High Covered Linkway",F162&lt;SG_Criteria!$B$46),"FAIL: headroom below "&amp;SG_Criteria!$B$46&amp;" m. ","")&amp;IF(AND(C162="High Covered Linkway",F162&lt;SG_Criteria!$B$47),"FAIL: high linkway headroom below "&amp;SG_Criteria!$B$47&amp;" m. ","")&amp;IF(E162&lt;SG_Criteria!$B$48,"FAIL: roof width below "&amp;SG_Criteria!$B$48&amp;" m. ",IF(E162&lt;SG_Criteria!$B$49,"NOTE: not for MRT/LRT or high-traffic routes (min "&amp;SG_Criteria!$B$49&amp;" m). ",""))&amp;IF(AND(P162&lt;&gt;"",P162&lt;SG_Criteria!$B$50),"FAIL: wind speed below "&amp;SG_Criteria!$B$50&amp;" m/s. ","")&amp;IF(AND(Q162&lt;&gt;"",Q162&lt;SG_Criteria!$B$51),"FAIL: roof fixing pull-out below "&amp;SG_Criteria!$B$51&amp;" kN. ","")&amp;IF(AND(R162&lt;&gt;"",IFERROR(VALUE(MID(R162,2,2)),0)&lt;SG_Criteria!$B$52),"FAIL: grade below C"&amp;SG_Criteria!$B$52&amp;". ","")&amp;IF(D162="Non-standard (project design)","NOTE: not an SDRE standard, needs LTA acceptance. ","")))</f>
        <v/>
      </c>
      <c r="AP162" s="9"/>
      <c r="AQ162" s="9"/>
      <c r="AR162" s="9"/>
      <c r="AS162" s="9"/>
      <c r="AT162" s="9"/>
      <c r="AU162" s="31"/>
      <c r="AV162" s="10" t="str">
        <f aca="false">IF(C162="","",IF(AND(X162="Approved",ISERROR(SEARCH("FAIL",AO162))),"Y","N"))</f>
        <v/>
      </c>
      <c r="AW162" s="10" t="str">
        <f aca="false">IF(C162="","",C162&amp;"|"&amp;E162&amp;"|"&amp;F162&amp;"|"&amp;AV162)</f>
        <v/>
      </c>
    </row>
    <row r="163" customFormat="false" ht="15" hidden="false" customHeight="false" outlineLevel="0" collapsed="false">
      <c r="A163" s="10" t="str">
        <f aca="false">IF(C163="","","LKW-"&amp;IFERROR(VLOOKUP(C163,Lists!$AQ$4:$AR$17,2,0),"??")&amp;"-W"&amp;TEXT(E163*1000,"0000")&amp;"-H"&amp;TEXT(F163*1000,"0000")&amp;"-B"&amp;TEXT(G163*1000,"0000")&amp;"-"&amp;W163)</f>
        <v/>
      </c>
      <c r="B163" s="10" t="str">
        <f aca="false">IF(C163="","",C163&amp;", "&amp;E163&amp;" m wide, "&amp;F163&amp;" m headroom, "&amp;G163&amp;" m bays, "&amp;H163&amp;" ("&amp;D163&amp;")")</f>
        <v/>
      </c>
      <c r="C163" s="9"/>
      <c r="D163" s="9"/>
      <c r="E163" s="43"/>
      <c r="F163" s="43"/>
      <c r="G163" s="43"/>
      <c r="H163" s="9"/>
      <c r="I163" s="9"/>
      <c r="J163" s="9"/>
      <c r="K163" s="9"/>
      <c r="L163" s="9"/>
      <c r="M163" s="9"/>
      <c r="N163" s="9"/>
      <c r="O163" s="9"/>
      <c r="P163" s="40"/>
      <c r="Q163" s="43"/>
      <c r="R163" s="9"/>
      <c r="S163" s="9"/>
      <c r="T163" s="9"/>
      <c r="U163" s="43"/>
      <c r="V163" s="9"/>
      <c r="W163" s="9"/>
      <c r="X163" s="9"/>
      <c r="Y163" s="9"/>
      <c r="Z163" s="9"/>
      <c r="AA163" s="9"/>
      <c r="AB163" s="10" t="str">
        <f aca="false">IF(A163="","",SG_Criteria!$B$6&amp;SG_Criteria!$B$12&amp;"\"&amp;A163&amp;"\")</f>
        <v/>
      </c>
      <c r="AC163" s="10" t="str">
        <f aca="false">IF(A163="","",A163&amp;"_CAD.dwg")</f>
        <v/>
      </c>
      <c r="AD163" s="10" t="str">
        <f aca="false">IF(A163="","",A163&amp;"_DWG.pdf")</f>
        <v/>
      </c>
      <c r="AE163" s="10" t="str">
        <f aca="false">IF(A163="","",IF(AA163="Y",A163&amp;"_STAAD.std","n/a"))</f>
        <v/>
      </c>
      <c r="AF163" s="10" t="str">
        <f aca="false">IF(A163="","",A163&amp;"_CALC.xlsx")</f>
        <v/>
      </c>
      <c r="AG163" s="10" t="str">
        <f aca="false">IF(A163="","",A163&amp;"_CALC.pdf")</f>
        <v/>
      </c>
      <c r="AH163" s="9"/>
      <c r="AI163" s="9"/>
      <c r="AJ163" s="41"/>
      <c r="AK163" s="41"/>
      <c r="AL163" s="41"/>
      <c r="AM163" s="41"/>
      <c r="AN163" s="41"/>
      <c r="AO163" s="38" t="str">
        <f aca="false">IF(C163="","",IF(LEN(IF(AND(C163&lt;&gt;"High Covered Linkway",F163&lt;SG_Criteria!$B$46),"FAIL: headroom below "&amp;SG_Criteria!$B$46&amp;" m. ","")&amp;IF(AND(C163="High Covered Linkway",F163&lt;SG_Criteria!$B$47),"FAIL: high linkway headroom below "&amp;SG_Criteria!$B$47&amp;" m. ","")&amp;IF(E163&lt;SG_Criteria!$B$48,"FAIL: roof width below "&amp;SG_Criteria!$B$48&amp;" m. ",IF(E163&lt;SG_Criteria!$B$49,"NOTE: not for MRT/LRT or high-traffic routes (min "&amp;SG_Criteria!$B$49&amp;" m). ",""))&amp;IF(AND(P163&lt;&gt;"",P163&lt;SG_Criteria!$B$50),"FAIL: wind speed below "&amp;SG_Criteria!$B$50&amp;" m/s. ","")&amp;IF(AND(Q163&lt;&gt;"",Q163&lt;SG_Criteria!$B$51),"FAIL: roof fixing pull-out below "&amp;SG_Criteria!$B$51&amp;" kN. ","")&amp;IF(AND(R163&lt;&gt;"",IFERROR(VALUE(MID(R163,2,2)),0)&lt;SG_Criteria!$B$52),"FAIL: grade below C"&amp;SG_Criteria!$B$52&amp;". ","")&amp;IF(D163="Non-standard (project design)","NOTE: not an SDRE standard, needs LTA acceptance. ",""))=0,"OK",IF(AND(C163&lt;&gt;"High Covered Linkway",F163&lt;SG_Criteria!$B$46),"FAIL: headroom below "&amp;SG_Criteria!$B$46&amp;" m. ","")&amp;IF(AND(C163="High Covered Linkway",F163&lt;SG_Criteria!$B$47),"FAIL: high linkway headroom below "&amp;SG_Criteria!$B$47&amp;" m. ","")&amp;IF(E163&lt;SG_Criteria!$B$48,"FAIL: roof width below "&amp;SG_Criteria!$B$48&amp;" m. ",IF(E163&lt;SG_Criteria!$B$49,"NOTE: not for MRT/LRT or high-traffic routes (min "&amp;SG_Criteria!$B$49&amp;" m). ",""))&amp;IF(AND(P163&lt;&gt;"",P163&lt;SG_Criteria!$B$50),"FAIL: wind speed below "&amp;SG_Criteria!$B$50&amp;" m/s. ","")&amp;IF(AND(Q163&lt;&gt;"",Q163&lt;SG_Criteria!$B$51),"FAIL: roof fixing pull-out below "&amp;SG_Criteria!$B$51&amp;" kN. ","")&amp;IF(AND(R163&lt;&gt;"",IFERROR(VALUE(MID(R163,2,2)),0)&lt;SG_Criteria!$B$52),"FAIL: grade below C"&amp;SG_Criteria!$B$52&amp;". ","")&amp;IF(D163="Non-standard (project design)","NOTE: not an SDRE standard, needs LTA acceptance. ","")))</f>
        <v/>
      </c>
      <c r="AP163" s="9"/>
      <c r="AQ163" s="9"/>
      <c r="AR163" s="9"/>
      <c r="AS163" s="9"/>
      <c r="AT163" s="9"/>
      <c r="AU163" s="31"/>
      <c r="AV163" s="10" t="str">
        <f aca="false">IF(C163="","",IF(AND(X163="Approved",ISERROR(SEARCH("FAIL",AO163))),"Y","N"))</f>
        <v/>
      </c>
      <c r="AW163" s="10" t="str">
        <f aca="false">IF(C163="","",C163&amp;"|"&amp;E163&amp;"|"&amp;F163&amp;"|"&amp;AV163)</f>
        <v/>
      </c>
    </row>
    <row r="164" customFormat="false" ht="15" hidden="false" customHeight="false" outlineLevel="0" collapsed="false">
      <c r="A164" s="10" t="str">
        <f aca="false">IF(C164="","","LKW-"&amp;IFERROR(VLOOKUP(C164,Lists!$AQ$4:$AR$17,2,0),"??")&amp;"-W"&amp;TEXT(E164*1000,"0000")&amp;"-H"&amp;TEXT(F164*1000,"0000")&amp;"-B"&amp;TEXT(G164*1000,"0000")&amp;"-"&amp;W164)</f>
        <v/>
      </c>
      <c r="B164" s="10" t="str">
        <f aca="false">IF(C164="","",C164&amp;", "&amp;E164&amp;" m wide, "&amp;F164&amp;" m headroom, "&amp;G164&amp;" m bays, "&amp;H164&amp;" ("&amp;D164&amp;")")</f>
        <v/>
      </c>
      <c r="C164" s="9"/>
      <c r="D164" s="9"/>
      <c r="E164" s="43"/>
      <c r="F164" s="43"/>
      <c r="G164" s="43"/>
      <c r="H164" s="9"/>
      <c r="I164" s="9"/>
      <c r="J164" s="9"/>
      <c r="K164" s="9"/>
      <c r="L164" s="9"/>
      <c r="M164" s="9"/>
      <c r="N164" s="9"/>
      <c r="O164" s="9"/>
      <c r="P164" s="40"/>
      <c r="Q164" s="43"/>
      <c r="R164" s="9"/>
      <c r="S164" s="9"/>
      <c r="T164" s="9"/>
      <c r="U164" s="43"/>
      <c r="V164" s="9"/>
      <c r="W164" s="9"/>
      <c r="X164" s="9"/>
      <c r="Y164" s="9"/>
      <c r="Z164" s="9"/>
      <c r="AA164" s="9"/>
      <c r="AB164" s="10" t="str">
        <f aca="false">IF(A164="","",SG_Criteria!$B$6&amp;SG_Criteria!$B$12&amp;"\"&amp;A164&amp;"\")</f>
        <v/>
      </c>
      <c r="AC164" s="10" t="str">
        <f aca="false">IF(A164="","",A164&amp;"_CAD.dwg")</f>
        <v/>
      </c>
      <c r="AD164" s="10" t="str">
        <f aca="false">IF(A164="","",A164&amp;"_DWG.pdf")</f>
        <v/>
      </c>
      <c r="AE164" s="10" t="str">
        <f aca="false">IF(A164="","",IF(AA164="Y",A164&amp;"_STAAD.std","n/a"))</f>
        <v/>
      </c>
      <c r="AF164" s="10" t="str">
        <f aca="false">IF(A164="","",A164&amp;"_CALC.xlsx")</f>
        <v/>
      </c>
      <c r="AG164" s="10" t="str">
        <f aca="false">IF(A164="","",A164&amp;"_CALC.pdf")</f>
        <v/>
      </c>
      <c r="AH164" s="9"/>
      <c r="AI164" s="9"/>
      <c r="AJ164" s="41"/>
      <c r="AK164" s="41"/>
      <c r="AL164" s="41"/>
      <c r="AM164" s="41"/>
      <c r="AN164" s="41"/>
      <c r="AO164" s="38" t="str">
        <f aca="false">IF(C164="","",IF(LEN(IF(AND(C164&lt;&gt;"High Covered Linkway",F164&lt;SG_Criteria!$B$46),"FAIL: headroom below "&amp;SG_Criteria!$B$46&amp;" m. ","")&amp;IF(AND(C164="High Covered Linkway",F164&lt;SG_Criteria!$B$47),"FAIL: high linkway headroom below "&amp;SG_Criteria!$B$47&amp;" m. ","")&amp;IF(E164&lt;SG_Criteria!$B$48,"FAIL: roof width below "&amp;SG_Criteria!$B$48&amp;" m. ",IF(E164&lt;SG_Criteria!$B$49,"NOTE: not for MRT/LRT or high-traffic routes (min "&amp;SG_Criteria!$B$49&amp;" m). ",""))&amp;IF(AND(P164&lt;&gt;"",P164&lt;SG_Criteria!$B$50),"FAIL: wind speed below "&amp;SG_Criteria!$B$50&amp;" m/s. ","")&amp;IF(AND(Q164&lt;&gt;"",Q164&lt;SG_Criteria!$B$51),"FAIL: roof fixing pull-out below "&amp;SG_Criteria!$B$51&amp;" kN. ","")&amp;IF(AND(R164&lt;&gt;"",IFERROR(VALUE(MID(R164,2,2)),0)&lt;SG_Criteria!$B$52),"FAIL: grade below C"&amp;SG_Criteria!$B$52&amp;". ","")&amp;IF(D164="Non-standard (project design)","NOTE: not an SDRE standard, needs LTA acceptance. ",""))=0,"OK",IF(AND(C164&lt;&gt;"High Covered Linkway",F164&lt;SG_Criteria!$B$46),"FAIL: headroom below "&amp;SG_Criteria!$B$46&amp;" m. ","")&amp;IF(AND(C164="High Covered Linkway",F164&lt;SG_Criteria!$B$47),"FAIL: high linkway headroom below "&amp;SG_Criteria!$B$47&amp;" m. ","")&amp;IF(E164&lt;SG_Criteria!$B$48,"FAIL: roof width below "&amp;SG_Criteria!$B$48&amp;" m. ",IF(E164&lt;SG_Criteria!$B$49,"NOTE: not for MRT/LRT or high-traffic routes (min "&amp;SG_Criteria!$B$49&amp;" m). ",""))&amp;IF(AND(P164&lt;&gt;"",P164&lt;SG_Criteria!$B$50),"FAIL: wind speed below "&amp;SG_Criteria!$B$50&amp;" m/s. ","")&amp;IF(AND(Q164&lt;&gt;"",Q164&lt;SG_Criteria!$B$51),"FAIL: roof fixing pull-out below "&amp;SG_Criteria!$B$51&amp;" kN. ","")&amp;IF(AND(R164&lt;&gt;"",IFERROR(VALUE(MID(R164,2,2)),0)&lt;SG_Criteria!$B$52),"FAIL: grade below C"&amp;SG_Criteria!$B$52&amp;". ","")&amp;IF(D164="Non-standard (project design)","NOTE: not an SDRE standard, needs LTA acceptance. ","")))</f>
        <v/>
      </c>
      <c r="AP164" s="9"/>
      <c r="AQ164" s="9"/>
      <c r="AR164" s="9"/>
      <c r="AS164" s="9"/>
      <c r="AT164" s="9"/>
      <c r="AU164" s="31"/>
      <c r="AV164" s="10" t="str">
        <f aca="false">IF(C164="","",IF(AND(X164="Approved",ISERROR(SEARCH("FAIL",AO164))),"Y","N"))</f>
        <v/>
      </c>
      <c r="AW164" s="10" t="str">
        <f aca="false">IF(C164="","",C164&amp;"|"&amp;E164&amp;"|"&amp;F164&amp;"|"&amp;AV164)</f>
        <v/>
      </c>
    </row>
    <row r="165" customFormat="false" ht="15" hidden="false" customHeight="false" outlineLevel="0" collapsed="false">
      <c r="A165" s="10" t="str">
        <f aca="false">IF(C165="","","LKW-"&amp;IFERROR(VLOOKUP(C165,Lists!$AQ$4:$AR$17,2,0),"??")&amp;"-W"&amp;TEXT(E165*1000,"0000")&amp;"-H"&amp;TEXT(F165*1000,"0000")&amp;"-B"&amp;TEXT(G165*1000,"0000")&amp;"-"&amp;W165)</f>
        <v/>
      </c>
      <c r="B165" s="10" t="str">
        <f aca="false">IF(C165="","",C165&amp;", "&amp;E165&amp;" m wide, "&amp;F165&amp;" m headroom, "&amp;G165&amp;" m bays, "&amp;H165&amp;" ("&amp;D165&amp;")")</f>
        <v/>
      </c>
      <c r="C165" s="9"/>
      <c r="D165" s="9"/>
      <c r="E165" s="43"/>
      <c r="F165" s="43"/>
      <c r="G165" s="43"/>
      <c r="H165" s="9"/>
      <c r="I165" s="9"/>
      <c r="J165" s="9"/>
      <c r="K165" s="9"/>
      <c r="L165" s="9"/>
      <c r="M165" s="9"/>
      <c r="N165" s="9"/>
      <c r="O165" s="9"/>
      <c r="P165" s="40"/>
      <c r="Q165" s="43"/>
      <c r="R165" s="9"/>
      <c r="S165" s="9"/>
      <c r="T165" s="9"/>
      <c r="U165" s="43"/>
      <c r="V165" s="9"/>
      <c r="W165" s="9"/>
      <c r="X165" s="9"/>
      <c r="Y165" s="9"/>
      <c r="Z165" s="9"/>
      <c r="AA165" s="9"/>
      <c r="AB165" s="10" t="str">
        <f aca="false">IF(A165="","",SG_Criteria!$B$6&amp;SG_Criteria!$B$12&amp;"\"&amp;A165&amp;"\")</f>
        <v/>
      </c>
      <c r="AC165" s="10" t="str">
        <f aca="false">IF(A165="","",A165&amp;"_CAD.dwg")</f>
        <v/>
      </c>
      <c r="AD165" s="10" t="str">
        <f aca="false">IF(A165="","",A165&amp;"_DWG.pdf")</f>
        <v/>
      </c>
      <c r="AE165" s="10" t="str">
        <f aca="false">IF(A165="","",IF(AA165="Y",A165&amp;"_STAAD.std","n/a"))</f>
        <v/>
      </c>
      <c r="AF165" s="10" t="str">
        <f aca="false">IF(A165="","",A165&amp;"_CALC.xlsx")</f>
        <v/>
      </c>
      <c r="AG165" s="10" t="str">
        <f aca="false">IF(A165="","",A165&amp;"_CALC.pdf")</f>
        <v/>
      </c>
      <c r="AH165" s="9"/>
      <c r="AI165" s="9"/>
      <c r="AJ165" s="41"/>
      <c r="AK165" s="41"/>
      <c r="AL165" s="41"/>
      <c r="AM165" s="41"/>
      <c r="AN165" s="41"/>
      <c r="AO165" s="38" t="str">
        <f aca="false">IF(C165="","",IF(LEN(IF(AND(C165&lt;&gt;"High Covered Linkway",F165&lt;SG_Criteria!$B$46),"FAIL: headroom below "&amp;SG_Criteria!$B$46&amp;" m. ","")&amp;IF(AND(C165="High Covered Linkway",F165&lt;SG_Criteria!$B$47),"FAIL: high linkway headroom below "&amp;SG_Criteria!$B$47&amp;" m. ","")&amp;IF(E165&lt;SG_Criteria!$B$48,"FAIL: roof width below "&amp;SG_Criteria!$B$48&amp;" m. ",IF(E165&lt;SG_Criteria!$B$49,"NOTE: not for MRT/LRT or high-traffic routes (min "&amp;SG_Criteria!$B$49&amp;" m). ",""))&amp;IF(AND(P165&lt;&gt;"",P165&lt;SG_Criteria!$B$50),"FAIL: wind speed below "&amp;SG_Criteria!$B$50&amp;" m/s. ","")&amp;IF(AND(Q165&lt;&gt;"",Q165&lt;SG_Criteria!$B$51),"FAIL: roof fixing pull-out below "&amp;SG_Criteria!$B$51&amp;" kN. ","")&amp;IF(AND(R165&lt;&gt;"",IFERROR(VALUE(MID(R165,2,2)),0)&lt;SG_Criteria!$B$52),"FAIL: grade below C"&amp;SG_Criteria!$B$52&amp;". ","")&amp;IF(D165="Non-standard (project design)","NOTE: not an SDRE standard, needs LTA acceptance. ",""))=0,"OK",IF(AND(C165&lt;&gt;"High Covered Linkway",F165&lt;SG_Criteria!$B$46),"FAIL: headroom below "&amp;SG_Criteria!$B$46&amp;" m. ","")&amp;IF(AND(C165="High Covered Linkway",F165&lt;SG_Criteria!$B$47),"FAIL: high linkway headroom below "&amp;SG_Criteria!$B$47&amp;" m. ","")&amp;IF(E165&lt;SG_Criteria!$B$48,"FAIL: roof width below "&amp;SG_Criteria!$B$48&amp;" m. ",IF(E165&lt;SG_Criteria!$B$49,"NOTE: not for MRT/LRT or high-traffic routes (min "&amp;SG_Criteria!$B$49&amp;" m). ",""))&amp;IF(AND(P165&lt;&gt;"",P165&lt;SG_Criteria!$B$50),"FAIL: wind speed below "&amp;SG_Criteria!$B$50&amp;" m/s. ","")&amp;IF(AND(Q165&lt;&gt;"",Q165&lt;SG_Criteria!$B$51),"FAIL: roof fixing pull-out below "&amp;SG_Criteria!$B$51&amp;" kN. ","")&amp;IF(AND(R165&lt;&gt;"",IFERROR(VALUE(MID(R165,2,2)),0)&lt;SG_Criteria!$B$52),"FAIL: grade below C"&amp;SG_Criteria!$B$52&amp;". ","")&amp;IF(D165="Non-standard (project design)","NOTE: not an SDRE standard, needs LTA acceptance. ","")))</f>
        <v/>
      </c>
      <c r="AP165" s="9"/>
      <c r="AQ165" s="9"/>
      <c r="AR165" s="9"/>
      <c r="AS165" s="9"/>
      <c r="AT165" s="9"/>
      <c r="AU165" s="31"/>
      <c r="AV165" s="10" t="str">
        <f aca="false">IF(C165="","",IF(AND(X165="Approved",ISERROR(SEARCH("FAIL",AO165))),"Y","N"))</f>
        <v/>
      </c>
      <c r="AW165" s="10" t="str">
        <f aca="false">IF(C165="","",C165&amp;"|"&amp;E165&amp;"|"&amp;F165&amp;"|"&amp;AV165)</f>
        <v/>
      </c>
    </row>
    <row r="166" customFormat="false" ht="15" hidden="false" customHeight="false" outlineLevel="0" collapsed="false">
      <c r="A166" s="10" t="str">
        <f aca="false">IF(C166="","","LKW-"&amp;IFERROR(VLOOKUP(C166,Lists!$AQ$4:$AR$17,2,0),"??")&amp;"-W"&amp;TEXT(E166*1000,"0000")&amp;"-H"&amp;TEXT(F166*1000,"0000")&amp;"-B"&amp;TEXT(G166*1000,"0000")&amp;"-"&amp;W166)</f>
        <v/>
      </c>
      <c r="B166" s="10" t="str">
        <f aca="false">IF(C166="","",C166&amp;", "&amp;E166&amp;" m wide, "&amp;F166&amp;" m headroom, "&amp;G166&amp;" m bays, "&amp;H166&amp;" ("&amp;D166&amp;")")</f>
        <v/>
      </c>
      <c r="C166" s="9"/>
      <c r="D166" s="9"/>
      <c r="E166" s="43"/>
      <c r="F166" s="43"/>
      <c r="G166" s="43"/>
      <c r="H166" s="9"/>
      <c r="I166" s="9"/>
      <c r="J166" s="9"/>
      <c r="K166" s="9"/>
      <c r="L166" s="9"/>
      <c r="M166" s="9"/>
      <c r="N166" s="9"/>
      <c r="O166" s="9"/>
      <c r="P166" s="40"/>
      <c r="Q166" s="43"/>
      <c r="R166" s="9"/>
      <c r="S166" s="9"/>
      <c r="T166" s="9"/>
      <c r="U166" s="43"/>
      <c r="V166" s="9"/>
      <c r="W166" s="9"/>
      <c r="X166" s="9"/>
      <c r="Y166" s="9"/>
      <c r="Z166" s="9"/>
      <c r="AA166" s="9"/>
      <c r="AB166" s="10" t="str">
        <f aca="false">IF(A166="","",SG_Criteria!$B$6&amp;SG_Criteria!$B$12&amp;"\"&amp;A166&amp;"\")</f>
        <v/>
      </c>
      <c r="AC166" s="10" t="str">
        <f aca="false">IF(A166="","",A166&amp;"_CAD.dwg")</f>
        <v/>
      </c>
      <c r="AD166" s="10" t="str">
        <f aca="false">IF(A166="","",A166&amp;"_DWG.pdf")</f>
        <v/>
      </c>
      <c r="AE166" s="10" t="str">
        <f aca="false">IF(A166="","",IF(AA166="Y",A166&amp;"_STAAD.std","n/a"))</f>
        <v/>
      </c>
      <c r="AF166" s="10" t="str">
        <f aca="false">IF(A166="","",A166&amp;"_CALC.xlsx")</f>
        <v/>
      </c>
      <c r="AG166" s="10" t="str">
        <f aca="false">IF(A166="","",A166&amp;"_CALC.pdf")</f>
        <v/>
      </c>
      <c r="AH166" s="9"/>
      <c r="AI166" s="9"/>
      <c r="AJ166" s="41"/>
      <c r="AK166" s="41"/>
      <c r="AL166" s="41"/>
      <c r="AM166" s="41"/>
      <c r="AN166" s="41"/>
      <c r="AO166" s="38" t="str">
        <f aca="false">IF(C166="","",IF(LEN(IF(AND(C166&lt;&gt;"High Covered Linkway",F166&lt;SG_Criteria!$B$46),"FAIL: headroom below "&amp;SG_Criteria!$B$46&amp;" m. ","")&amp;IF(AND(C166="High Covered Linkway",F166&lt;SG_Criteria!$B$47),"FAIL: high linkway headroom below "&amp;SG_Criteria!$B$47&amp;" m. ","")&amp;IF(E166&lt;SG_Criteria!$B$48,"FAIL: roof width below "&amp;SG_Criteria!$B$48&amp;" m. ",IF(E166&lt;SG_Criteria!$B$49,"NOTE: not for MRT/LRT or high-traffic routes (min "&amp;SG_Criteria!$B$49&amp;" m). ",""))&amp;IF(AND(P166&lt;&gt;"",P166&lt;SG_Criteria!$B$50),"FAIL: wind speed below "&amp;SG_Criteria!$B$50&amp;" m/s. ","")&amp;IF(AND(Q166&lt;&gt;"",Q166&lt;SG_Criteria!$B$51),"FAIL: roof fixing pull-out below "&amp;SG_Criteria!$B$51&amp;" kN. ","")&amp;IF(AND(R166&lt;&gt;"",IFERROR(VALUE(MID(R166,2,2)),0)&lt;SG_Criteria!$B$52),"FAIL: grade below C"&amp;SG_Criteria!$B$52&amp;". ","")&amp;IF(D166="Non-standard (project design)","NOTE: not an SDRE standard, needs LTA acceptance. ",""))=0,"OK",IF(AND(C166&lt;&gt;"High Covered Linkway",F166&lt;SG_Criteria!$B$46),"FAIL: headroom below "&amp;SG_Criteria!$B$46&amp;" m. ","")&amp;IF(AND(C166="High Covered Linkway",F166&lt;SG_Criteria!$B$47),"FAIL: high linkway headroom below "&amp;SG_Criteria!$B$47&amp;" m. ","")&amp;IF(E166&lt;SG_Criteria!$B$48,"FAIL: roof width below "&amp;SG_Criteria!$B$48&amp;" m. ",IF(E166&lt;SG_Criteria!$B$49,"NOTE: not for MRT/LRT or high-traffic routes (min "&amp;SG_Criteria!$B$49&amp;" m). ",""))&amp;IF(AND(P166&lt;&gt;"",P166&lt;SG_Criteria!$B$50),"FAIL: wind speed below "&amp;SG_Criteria!$B$50&amp;" m/s. ","")&amp;IF(AND(Q166&lt;&gt;"",Q166&lt;SG_Criteria!$B$51),"FAIL: roof fixing pull-out below "&amp;SG_Criteria!$B$51&amp;" kN. ","")&amp;IF(AND(R166&lt;&gt;"",IFERROR(VALUE(MID(R166,2,2)),0)&lt;SG_Criteria!$B$52),"FAIL: grade below C"&amp;SG_Criteria!$B$52&amp;". ","")&amp;IF(D166="Non-standard (project design)","NOTE: not an SDRE standard, needs LTA acceptance. ","")))</f>
        <v/>
      </c>
      <c r="AP166" s="9"/>
      <c r="AQ166" s="9"/>
      <c r="AR166" s="9"/>
      <c r="AS166" s="9"/>
      <c r="AT166" s="9"/>
      <c r="AU166" s="31"/>
      <c r="AV166" s="10" t="str">
        <f aca="false">IF(C166="","",IF(AND(X166="Approved",ISERROR(SEARCH("FAIL",AO166))),"Y","N"))</f>
        <v/>
      </c>
      <c r="AW166" s="10" t="str">
        <f aca="false">IF(C166="","",C166&amp;"|"&amp;E166&amp;"|"&amp;F166&amp;"|"&amp;AV166)</f>
        <v/>
      </c>
    </row>
    <row r="167" customFormat="false" ht="15" hidden="false" customHeight="false" outlineLevel="0" collapsed="false">
      <c r="A167" s="10" t="str">
        <f aca="false">IF(C167="","","LKW-"&amp;IFERROR(VLOOKUP(C167,Lists!$AQ$4:$AR$17,2,0),"??")&amp;"-W"&amp;TEXT(E167*1000,"0000")&amp;"-H"&amp;TEXT(F167*1000,"0000")&amp;"-B"&amp;TEXT(G167*1000,"0000")&amp;"-"&amp;W167)</f>
        <v/>
      </c>
      <c r="B167" s="10" t="str">
        <f aca="false">IF(C167="","",C167&amp;", "&amp;E167&amp;" m wide, "&amp;F167&amp;" m headroom, "&amp;G167&amp;" m bays, "&amp;H167&amp;" ("&amp;D167&amp;")")</f>
        <v/>
      </c>
      <c r="C167" s="9"/>
      <c r="D167" s="9"/>
      <c r="E167" s="43"/>
      <c r="F167" s="43"/>
      <c r="G167" s="43"/>
      <c r="H167" s="9"/>
      <c r="I167" s="9"/>
      <c r="J167" s="9"/>
      <c r="K167" s="9"/>
      <c r="L167" s="9"/>
      <c r="M167" s="9"/>
      <c r="N167" s="9"/>
      <c r="O167" s="9"/>
      <c r="P167" s="40"/>
      <c r="Q167" s="43"/>
      <c r="R167" s="9"/>
      <c r="S167" s="9"/>
      <c r="T167" s="9"/>
      <c r="U167" s="43"/>
      <c r="V167" s="9"/>
      <c r="W167" s="9"/>
      <c r="X167" s="9"/>
      <c r="Y167" s="9"/>
      <c r="Z167" s="9"/>
      <c r="AA167" s="9"/>
      <c r="AB167" s="10" t="str">
        <f aca="false">IF(A167="","",SG_Criteria!$B$6&amp;SG_Criteria!$B$12&amp;"\"&amp;A167&amp;"\")</f>
        <v/>
      </c>
      <c r="AC167" s="10" t="str">
        <f aca="false">IF(A167="","",A167&amp;"_CAD.dwg")</f>
        <v/>
      </c>
      <c r="AD167" s="10" t="str">
        <f aca="false">IF(A167="","",A167&amp;"_DWG.pdf")</f>
        <v/>
      </c>
      <c r="AE167" s="10" t="str">
        <f aca="false">IF(A167="","",IF(AA167="Y",A167&amp;"_STAAD.std","n/a"))</f>
        <v/>
      </c>
      <c r="AF167" s="10" t="str">
        <f aca="false">IF(A167="","",A167&amp;"_CALC.xlsx")</f>
        <v/>
      </c>
      <c r="AG167" s="10" t="str">
        <f aca="false">IF(A167="","",A167&amp;"_CALC.pdf")</f>
        <v/>
      </c>
      <c r="AH167" s="9"/>
      <c r="AI167" s="9"/>
      <c r="AJ167" s="41"/>
      <c r="AK167" s="41"/>
      <c r="AL167" s="41"/>
      <c r="AM167" s="41"/>
      <c r="AN167" s="41"/>
      <c r="AO167" s="38" t="str">
        <f aca="false">IF(C167="","",IF(LEN(IF(AND(C167&lt;&gt;"High Covered Linkway",F167&lt;SG_Criteria!$B$46),"FAIL: headroom below "&amp;SG_Criteria!$B$46&amp;" m. ","")&amp;IF(AND(C167="High Covered Linkway",F167&lt;SG_Criteria!$B$47),"FAIL: high linkway headroom below "&amp;SG_Criteria!$B$47&amp;" m. ","")&amp;IF(E167&lt;SG_Criteria!$B$48,"FAIL: roof width below "&amp;SG_Criteria!$B$48&amp;" m. ",IF(E167&lt;SG_Criteria!$B$49,"NOTE: not for MRT/LRT or high-traffic routes (min "&amp;SG_Criteria!$B$49&amp;" m). ",""))&amp;IF(AND(P167&lt;&gt;"",P167&lt;SG_Criteria!$B$50),"FAIL: wind speed below "&amp;SG_Criteria!$B$50&amp;" m/s. ","")&amp;IF(AND(Q167&lt;&gt;"",Q167&lt;SG_Criteria!$B$51),"FAIL: roof fixing pull-out below "&amp;SG_Criteria!$B$51&amp;" kN. ","")&amp;IF(AND(R167&lt;&gt;"",IFERROR(VALUE(MID(R167,2,2)),0)&lt;SG_Criteria!$B$52),"FAIL: grade below C"&amp;SG_Criteria!$B$52&amp;". ","")&amp;IF(D167="Non-standard (project design)","NOTE: not an SDRE standard, needs LTA acceptance. ",""))=0,"OK",IF(AND(C167&lt;&gt;"High Covered Linkway",F167&lt;SG_Criteria!$B$46),"FAIL: headroom below "&amp;SG_Criteria!$B$46&amp;" m. ","")&amp;IF(AND(C167="High Covered Linkway",F167&lt;SG_Criteria!$B$47),"FAIL: high linkway headroom below "&amp;SG_Criteria!$B$47&amp;" m. ","")&amp;IF(E167&lt;SG_Criteria!$B$48,"FAIL: roof width below "&amp;SG_Criteria!$B$48&amp;" m. ",IF(E167&lt;SG_Criteria!$B$49,"NOTE: not for MRT/LRT or high-traffic routes (min "&amp;SG_Criteria!$B$49&amp;" m). ",""))&amp;IF(AND(P167&lt;&gt;"",P167&lt;SG_Criteria!$B$50),"FAIL: wind speed below "&amp;SG_Criteria!$B$50&amp;" m/s. ","")&amp;IF(AND(Q167&lt;&gt;"",Q167&lt;SG_Criteria!$B$51),"FAIL: roof fixing pull-out below "&amp;SG_Criteria!$B$51&amp;" kN. ","")&amp;IF(AND(R167&lt;&gt;"",IFERROR(VALUE(MID(R167,2,2)),0)&lt;SG_Criteria!$B$52),"FAIL: grade below C"&amp;SG_Criteria!$B$52&amp;". ","")&amp;IF(D167="Non-standard (project design)","NOTE: not an SDRE standard, needs LTA acceptance. ","")))</f>
        <v/>
      </c>
      <c r="AP167" s="9"/>
      <c r="AQ167" s="9"/>
      <c r="AR167" s="9"/>
      <c r="AS167" s="9"/>
      <c r="AT167" s="9"/>
      <c r="AU167" s="31"/>
      <c r="AV167" s="10" t="str">
        <f aca="false">IF(C167="","",IF(AND(X167="Approved",ISERROR(SEARCH("FAIL",AO167))),"Y","N"))</f>
        <v/>
      </c>
      <c r="AW167" s="10" t="str">
        <f aca="false">IF(C167="","",C167&amp;"|"&amp;E167&amp;"|"&amp;F167&amp;"|"&amp;AV167)</f>
        <v/>
      </c>
    </row>
    <row r="168" customFormat="false" ht="15" hidden="false" customHeight="false" outlineLevel="0" collapsed="false">
      <c r="A168" s="10" t="str">
        <f aca="false">IF(C168="","","LKW-"&amp;IFERROR(VLOOKUP(C168,Lists!$AQ$4:$AR$17,2,0),"??")&amp;"-W"&amp;TEXT(E168*1000,"0000")&amp;"-H"&amp;TEXT(F168*1000,"0000")&amp;"-B"&amp;TEXT(G168*1000,"0000")&amp;"-"&amp;W168)</f>
        <v/>
      </c>
      <c r="B168" s="10" t="str">
        <f aca="false">IF(C168="","",C168&amp;", "&amp;E168&amp;" m wide, "&amp;F168&amp;" m headroom, "&amp;G168&amp;" m bays, "&amp;H168&amp;" ("&amp;D168&amp;")")</f>
        <v/>
      </c>
      <c r="C168" s="9"/>
      <c r="D168" s="9"/>
      <c r="E168" s="43"/>
      <c r="F168" s="43"/>
      <c r="G168" s="43"/>
      <c r="H168" s="9"/>
      <c r="I168" s="9"/>
      <c r="J168" s="9"/>
      <c r="K168" s="9"/>
      <c r="L168" s="9"/>
      <c r="M168" s="9"/>
      <c r="N168" s="9"/>
      <c r="O168" s="9"/>
      <c r="P168" s="40"/>
      <c r="Q168" s="43"/>
      <c r="R168" s="9"/>
      <c r="S168" s="9"/>
      <c r="T168" s="9"/>
      <c r="U168" s="43"/>
      <c r="V168" s="9"/>
      <c r="W168" s="9"/>
      <c r="X168" s="9"/>
      <c r="Y168" s="9"/>
      <c r="Z168" s="9"/>
      <c r="AA168" s="9"/>
      <c r="AB168" s="10" t="str">
        <f aca="false">IF(A168="","",SG_Criteria!$B$6&amp;SG_Criteria!$B$12&amp;"\"&amp;A168&amp;"\")</f>
        <v/>
      </c>
      <c r="AC168" s="10" t="str">
        <f aca="false">IF(A168="","",A168&amp;"_CAD.dwg")</f>
        <v/>
      </c>
      <c r="AD168" s="10" t="str">
        <f aca="false">IF(A168="","",A168&amp;"_DWG.pdf")</f>
        <v/>
      </c>
      <c r="AE168" s="10" t="str">
        <f aca="false">IF(A168="","",IF(AA168="Y",A168&amp;"_STAAD.std","n/a"))</f>
        <v/>
      </c>
      <c r="AF168" s="10" t="str">
        <f aca="false">IF(A168="","",A168&amp;"_CALC.xlsx")</f>
        <v/>
      </c>
      <c r="AG168" s="10" t="str">
        <f aca="false">IF(A168="","",A168&amp;"_CALC.pdf")</f>
        <v/>
      </c>
      <c r="AH168" s="9"/>
      <c r="AI168" s="9"/>
      <c r="AJ168" s="41"/>
      <c r="AK168" s="41"/>
      <c r="AL168" s="41"/>
      <c r="AM168" s="41"/>
      <c r="AN168" s="41"/>
      <c r="AO168" s="38" t="str">
        <f aca="false">IF(C168="","",IF(LEN(IF(AND(C168&lt;&gt;"High Covered Linkway",F168&lt;SG_Criteria!$B$46),"FAIL: headroom below "&amp;SG_Criteria!$B$46&amp;" m. ","")&amp;IF(AND(C168="High Covered Linkway",F168&lt;SG_Criteria!$B$47),"FAIL: high linkway headroom below "&amp;SG_Criteria!$B$47&amp;" m. ","")&amp;IF(E168&lt;SG_Criteria!$B$48,"FAIL: roof width below "&amp;SG_Criteria!$B$48&amp;" m. ",IF(E168&lt;SG_Criteria!$B$49,"NOTE: not for MRT/LRT or high-traffic routes (min "&amp;SG_Criteria!$B$49&amp;" m). ",""))&amp;IF(AND(P168&lt;&gt;"",P168&lt;SG_Criteria!$B$50),"FAIL: wind speed below "&amp;SG_Criteria!$B$50&amp;" m/s. ","")&amp;IF(AND(Q168&lt;&gt;"",Q168&lt;SG_Criteria!$B$51),"FAIL: roof fixing pull-out below "&amp;SG_Criteria!$B$51&amp;" kN. ","")&amp;IF(AND(R168&lt;&gt;"",IFERROR(VALUE(MID(R168,2,2)),0)&lt;SG_Criteria!$B$52),"FAIL: grade below C"&amp;SG_Criteria!$B$52&amp;". ","")&amp;IF(D168="Non-standard (project design)","NOTE: not an SDRE standard, needs LTA acceptance. ",""))=0,"OK",IF(AND(C168&lt;&gt;"High Covered Linkway",F168&lt;SG_Criteria!$B$46),"FAIL: headroom below "&amp;SG_Criteria!$B$46&amp;" m. ","")&amp;IF(AND(C168="High Covered Linkway",F168&lt;SG_Criteria!$B$47),"FAIL: high linkway headroom below "&amp;SG_Criteria!$B$47&amp;" m. ","")&amp;IF(E168&lt;SG_Criteria!$B$48,"FAIL: roof width below "&amp;SG_Criteria!$B$48&amp;" m. ",IF(E168&lt;SG_Criteria!$B$49,"NOTE: not for MRT/LRT or high-traffic routes (min "&amp;SG_Criteria!$B$49&amp;" m). ",""))&amp;IF(AND(P168&lt;&gt;"",P168&lt;SG_Criteria!$B$50),"FAIL: wind speed below "&amp;SG_Criteria!$B$50&amp;" m/s. ","")&amp;IF(AND(Q168&lt;&gt;"",Q168&lt;SG_Criteria!$B$51),"FAIL: roof fixing pull-out below "&amp;SG_Criteria!$B$51&amp;" kN. ","")&amp;IF(AND(R168&lt;&gt;"",IFERROR(VALUE(MID(R168,2,2)),0)&lt;SG_Criteria!$B$52),"FAIL: grade below C"&amp;SG_Criteria!$B$52&amp;". ","")&amp;IF(D168="Non-standard (project design)","NOTE: not an SDRE standard, needs LTA acceptance. ","")))</f>
        <v/>
      </c>
      <c r="AP168" s="9"/>
      <c r="AQ168" s="9"/>
      <c r="AR168" s="9"/>
      <c r="AS168" s="9"/>
      <c r="AT168" s="9"/>
      <c r="AU168" s="31"/>
      <c r="AV168" s="10" t="str">
        <f aca="false">IF(C168="","",IF(AND(X168="Approved",ISERROR(SEARCH("FAIL",AO168))),"Y","N"))</f>
        <v/>
      </c>
      <c r="AW168" s="10" t="str">
        <f aca="false">IF(C168="","",C168&amp;"|"&amp;E168&amp;"|"&amp;F168&amp;"|"&amp;AV168)</f>
        <v/>
      </c>
    </row>
    <row r="169" customFormat="false" ht="15" hidden="false" customHeight="false" outlineLevel="0" collapsed="false">
      <c r="A169" s="10" t="str">
        <f aca="false">IF(C169="","","LKW-"&amp;IFERROR(VLOOKUP(C169,Lists!$AQ$4:$AR$17,2,0),"??")&amp;"-W"&amp;TEXT(E169*1000,"0000")&amp;"-H"&amp;TEXT(F169*1000,"0000")&amp;"-B"&amp;TEXT(G169*1000,"0000")&amp;"-"&amp;W169)</f>
        <v/>
      </c>
      <c r="B169" s="10" t="str">
        <f aca="false">IF(C169="","",C169&amp;", "&amp;E169&amp;" m wide, "&amp;F169&amp;" m headroom, "&amp;G169&amp;" m bays, "&amp;H169&amp;" ("&amp;D169&amp;")")</f>
        <v/>
      </c>
      <c r="C169" s="9"/>
      <c r="D169" s="9"/>
      <c r="E169" s="43"/>
      <c r="F169" s="43"/>
      <c r="G169" s="43"/>
      <c r="H169" s="9"/>
      <c r="I169" s="9"/>
      <c r="J169" s="9"/>
      <c r="K169" s="9"/>
      <c r="L169" s="9"/>
      <c r="M169" s="9"/>
      <c r="N169" s="9"/>
      <c r="O169" s="9"/>
      <c r="P169" s="40"/>
      <c r="Q169" s="43"/>
      <c r="R169" s="9"/>
      <c r="S169" s="9"/>
      <c r="T169" s="9"/>
      <c r="U169" s="43"/>
      <c r="V169" s="9"/>
      <c r="W169" s="9"/>
      <c r="X169" s="9"/>
      <c r="Y169" s="9"/>
      <c r="Z169" s="9"/>
      <c r="AA169" s="9"/>
      <c r="AB169" s="10" t="str">
        <f aca="false">IF(A169="","",SG_Criteria!$B$6&amp;SG_Criteria!$B$12&amp;"\"&amp;A169&amp;"\")</f>
        <v/>
      </c>
      <c r="AC169" s="10" t="str">
        <f aca="false">IF(A169="","",A169&amp;"_CAD.dwg")</f>
        <v/>
      </c>
      <c r="AD169" s="10" t="str">
        <f aca="false">IF(A169="","",A169&amp;"_DWG.pdf")</f>
        <v/>
      </c>
      <c r="AE169" s="10" t="str">
        <f aca="false">IF(A169="","",IF(AA169="Y",A169&amp;"_STAAD.std","n/a"))</f>
        <v/>
      </c>
      <c r="AF169" s="10" t="str">
        <f aca="false">IF(A169="","",A169&amp;"_CALC.xlsx")</f>
        <v/>
      </c>
      <c r="AG169" s="10" t="str">
        <f aca="false">IF(A169="","",A169&amp;"_CALC.pdf")</f>
        <v/>
      </c>
      <c r="AH169" s="9"/>
      <c r="AI169" s="9"/>
      <c r="AJ169" s="41"/>
      <c r="AK169" s="41"/>
      <c r="AL169" s="41"/>
      <c r="AM169" s="41"/>
      <c r="AN169" s="41"/>
      <c r="AO169" s="38" t="str">
        <f aca="false">IF(C169="","",IF(LEN(IF(AND(C169&lt;&gt;"High Covered Linkway",F169&lt;SG_Criteria!$B$46),"FAIL: headroom below "&amp;SG_Criteria!$B$46&amp;" m. ","")&amp;IF(AND(C169="High Covered Linkway",F169&lt;SG_Criteria!$B$47),"FAIL: high linkway headroom below "&amp;SG_Criteria!$B$47&amp;" m. ","")&amp;IF(E169&lt;SG_Criteria!$B$48,"FAIL: roof width below "&amp;SG_Criteria!$B$48&amp;" m. ",IF(E169&lt;SG_Criteria!$B$49,"NOTE: not for MRT/LRT or high-traffic routes (min "&amp;SG_Criteria!$B$49&amp;" m). ",""))&amp;IF(AND(P169&lt;&gt;"",P169&lt;SG_Criteria!$B$50),"FAIL: wind speed below "&amp;SG_Criteria!$B$50&amp;" m/s. ","")&amp;IF(AND(Q169&lt;&gt;"",Q169&lt;SG_Criteria!$B$51),"FAIL: roof fixing pull-out below "&amp;SG_Criteria!$B$51&amp;" kN. ","")&amp;IF(AND(R169&lt;&gt;"",IFERROR(VALUE(MID(R169,2,2)),0)&lt;SG_Criteria!$B$52),"FAIL: grade below C"&amp;SG_Criteria!$B$52&amp;". ","")&amp;IF(D169="Non-standard (project design)","NOTE: not an SDRE standard, needs LTA acceptance. ",""))=0,"OK",IF(AND(C169&lt;&gt;"High Covered Linkway",F169&lt;SG_Criteria!$B$46),"FAIL: headroom below "&amp;SG_Criteria!$B$46&amp;" m. ","")&amp;IF(AND(C169="High Covered Linkway",F169&lt;SG_Criteria!$B$47),"FAIL: high linkway headroom below "&amp;SG_Criteria!$B$47&amp;" m. ","")&amp;IF(E169&lt;SG_Criteria!$B$48,"FAIL: roof width below "&amp;SG_Criteria!$B$48&amp;" m. ",IF(E169&lt;SG_Criteria!$B$49,"NOTE: not for MRT/LRT or high-traffic routes (min "&amp;SG_Criteria!$B$49&amp;" m). ",""))&amp;IF(AND(P169&lt;&gt;"",P169&lt;SG_Criteria!$B$50),"FAIL: wind speed below "&amp;SG_Criteria!$B$50&amp;" m/s. ","")&amp;IF(AND(Q169&lt;&gt;"",Q169&lt;SG_Criteria!$B$51),"FAIL: roof fixing pull-out below "&amp;SG_Criteria!$B$51&amp;" kN. ","")&amp;IF(AND(R169&lt;&gt;"",IFERROR(VALUE(MID(R169,2,2)),0)&lt;SG_Criteria!$B$52),"FAIL: grade below C"&amp;SG_Criteria!$B$52&amp;". ","")&amp;IF(D169="Non-standard (project design)","NOTE: not an SDRE standard, needs LTA acceptance. ","")))</f>
        <v/>
      </c>
      <c r="AP169" s="9"/>
      <c r="AQ169" s="9"/>
      <c r="AR169" s="9"/>
      <c r="AS169" s="9"/>
      <c r="AT169" s="9"/>
      <c r="AU169" s="31"/>
      <c r="AV169" s="10" t="str">
        <f aca="false">IF(C169="","",IF(AND(X169="Approved",ISERROR(SEARCH("FAIL",AO169))),"Y","N"))</f>
        <v/>
      </c>
      <c r="AW169" s="10" t="str">
        <f aca="false">IF(C169="","",C169&amp;"|"&amp;E169&amp;"|"&amp;F169&amp;"|"&amp;AV169)</f>
        <v/>
      </c>
    </row>
    <row r="170" customFormat="false" ht="15" hidden="false" customHeight="false" outlineLevel="0" collapsed="false">
      <c r="A170" s="10" t="str">
        <f aca="false">IF(C170="","","LKW-"&amp;IFERROR(VLOOKUP(C170,Lists!$AQ$4:$AR$17,2,0),"??")&amp;"-W"&amp;TEXT(E170*1000,"0000")&amp;"-H"&amp;TEXT(F170*1000,"0000")&amp;"-B"&amp;TEXT(G170*1000,"0000")&amp;"-"&amp;W170)</f>
        <v/>
      </c>
      <c r="B170" s="10" t="str">
        <f aca="false">IF(C170="","",C170&amp;", "&amp;E170&amp;" m wide, "&amp;F170&amp;" m headroom, "&amp;G170&amp;" m bays, "&amp;H170&amp;" ("&amp;D170&amp;")")</f>
        <v/>
      </c>
      <c r="C170" s="9"/>
      <c r="D170" s="9"/>
      <c r="E170" s="43"/>
      <c r="F170" s="43"/>
      <c r="G170" s="43"/>
      <c r="H170" s="9"/>
      <c r="I170" s="9"/>
      <c r="J170" s="9"/>
      <c r="K170" s="9"/>
      <c r="L170" s="9"/>
      <c r="M170" s="9"/>
      <c r="N170" s="9"/>
      <c r="O170" s="9"/>
      <c r="P170" s="40"/>
      <c r="Q170" s="43"/>
      <c r="R170" s="9"/>
      <c r="S170" s="9"/>
      <c r="T170" s="9"/>
      <c r="U170" s="43"/>
      <c r="V170" s="9"/>
      <c r="W170" s="9"/>
      <c r="X170" s="9"/>
      <c r="Y170" s="9"/>
      <c r="Z170" s="9"/>
      <c r="AA170" s="9"/>
      <c r="AB170" s="10" t="str">
        <f aca="false">IF(A170="","",SG_Criteria!$B$6&amp;SG_Criteria!$B$12&amp;"\"&amp;A170&amp;"\")</f>
        <v/>
      </c>
      <c r="AC170" s="10" t="str">
        <f aca="false">IF(A170="","",A170&amp;"_CAD.dwg")</f>
        <v/>
      </c>
      <c r="AD170" s="10" t="str">
        <f aca="false">IF(A170="","",A170&amp;"_DWG.pdf")</f>
        <v/>
      </c>
      <c r="AE170" s="10" t="str">
        <f aca="false">IF(A170="","",IF(AA170="Y",A170&amp;"_STAAD.std","n/a"))</f>
        <v/>
      </c>
      <c r="AF170" s="10" t="str">
        <f aca="false">IF(A170="","",A170&amp;"_CALC.xlsx")</f>
        <v/>
      </c>
      <c r="AG170" s="10" t="str">
        <f aca="false">IF(A170="","",A170&amp;"_CALC.pdf")</f>
        <v/>
      </c>
      <c r="AH170" s="9"/>
      <c r="AI170" s="9"/>
      <c r="AJ170" s="41"/>
      <c r="AK170" s="41"/>
      <c r="AL170" s="41"/>
      <c r="AM170" s="41"/>
      <c r="AN170" s="41"/>
      <c r="AO170" s="38" t="str">
        <f aca="false">IF(C170="","",IF(LEN(IF(AND(C170&lt;&gt;"High Covered Linkway",F170&lt;SG_Criteria!$B$46),"FAIL: headroom below "&amp;SG_Criteria!$B$46&amp;" m. ","")&amp;IF(AND(C170="High Covered Linkway",F170&lt;SG_Criteria!$B$47),"FAIL: high linkway headroom below "&amp;SG_Criteria!$B$47&amp;" m. ","")&amp;IF(E170&lt;SG_Criteria!$B$48,"FAIL: roof width below "&amp;SG_Criteria!$B$48&amp;" m. ",IF(E170&lt;SG_Criteria!$B$49,"NOTE: not for MRT/LRT or high-traffic routes (min "&amp;SG_Criteria!$B$49&amp;" m). ",""))&amp;IF(AND(P170&lt;&gt;"",P170&lt;SG_Criteria!$B$50),"FAIL: wind speed below "&amp;SG_Criteria!$B$50&amp;" m/s. ","")&amp;IF(AND(Q170&lt;&gt;"",Q170&lt;SG_Criteria!$B$51),"FAIL: roof fixing pull-out below "&amp;SG_Criteria!$B$51&amp;" kN. ","")&amp;IF(AND(R170&lt;&gt;"",IFERROR(VALUE(MID(R170,2,2)),0)&lt;SG_Criteria!$B$52),"FAIL: grade below C"&amp;SG_Criteria!$B$52&amp;". ","")&amp;IF(D170="Non-standard (project design)","NOTE: not an SDRE standard, needs LTA acceptance. ",""))=0,"OK",IF(AND(C170&lt;&gt;"High Covered Linkway",F170&lt;SG_Criteria!$B$46),"FAIL: headroom below "&amp;SG_Criteria!$B$46&amp;" m. ","")&amp;IF(AND(C170="High Covered Linkway",F170&lt;SG_Criteria!$B$47),"FAIL: high linkway headroom below "&amp;SG_Criteria!$B$47&amp;" m. ","")&amp;IF(E170&lt;SG_Criteria!$B$48,"FAIL: roof width below "&amp;SG_Criteria!$B$48&amp;" m. ",IF(E170&lt;SG_Criteria!$B$49,"NOTE: not for MRT/LRT or high-traffic routes (min "&amp;SG_Criteria!$B$49&amp;" m). ",""))&amp;IF(AND(P170&lt;&gt;"",P170&lt;SG_Criteria!$B$50),"FAIL: wind speed below "&amp;SG_Criteria!$B$50&amp;" m/s. ","")&amp;IF(AND(Q170&lt;&gt;"",Q170&lt;SG_Criteria!$B$51),"FAIL: roof fixing pull-out below "&amp;SG_Criteria!$B$51&amp;" kN. ","")&amp;IF(AND(R170&lt;&gt;"",IFERROR(VALUE(MID(R170,2,2)),0)&lt;SG_Criteria!$B$52),"FAIL: grade below C"&amp;SG_Criteria!$B$52&amp;". ","")&amp;IF(D170="Non-standard (project design)","NOTE: not an SDRE standard, needs LTA acceptance. ","")))</f>
        <v/>
      </c>
      <c r="AP170" s="9"/>
      <c r="AQ170" s="9"/>
      <c r="AR170" s="9"/>
      <c r="AS170" s="9"/>
      <c r="AT170" s="9"/>
      <c r="AU170" s="31"/>
      <c r="AV170" s="10" t="str">
        <f aca="false">IF(C170="","",IF(AND(X170="Approved",ISERROR(SEARCH("FAIL",AO170))),"Y","N"))</f>
        <v/>
      </c>
      <c r="AW170" s="10" t="str">
        <f aca="false">IF(C170="","",C170&amp;"|"&amp;E170&amp;"|"&amp;F170&amp;"|"&amp;AV170)</f>
        <v/>
      </c>
    </row>
    <row r="171" customFormat="false" ht="15" hidden="false" customHeight="false" outlineLevel="0" collapsed="false">
      <c r="A171" s="10" t="str">
        <f aca="false">IF(C171="","","LKW-"&amp;IFERROR(VLOOKUP(C171,Lists!$AQ$4:$AR$17,2,0),"??")&amp;"-W"&amp;TEXT(E171*1000,"0000")&amp;"-H"&amp;TEXT(F171*1000,"0000")&amp;"-B"&amp;TEXT(G171*1000,"0000")&amp;"-"&amp;W171)</f>
        <v/>
      </c>
      <c r="B171" s="10" t="str">
        <f aca="false">IF(C171="","",C171&amp;", "&amp;E171&amp;" m wide, "&amp;F171&amp;" m headroom, "&amp;G171&amp;" m bays, "&amp;H171&amp;" ("&amp;D171&amp;")")</f>
        <v/>
      </c>
      <c r="C171" s="9"/>
      <c r="D171" s="9"/>
      <c r="E171" s="43"/>
      <c r="F171" s="43"/>
      <c r="G171" s="43"/>
      <c r="H171" s="9"/>
      <c r="I171" s="9"/>
      <c r="J171" s="9"/>
      <c r="K171" s="9"/>
      <c r="L171" s="9"/>
      <c r="M171" s="9"/>
      <c r="N171" s="9"/>
      <c r="O171" s="9"/>
      <c r="P171" s="40"/>
      <c r="Q171" s="43"/>
      <c r="R171" s="9"/>
      <c r="S171" s="9"/>
      <c r="T171" s="9"/>
      <c r="U171" s="43"/>
      <c r="V171" s="9"/>
      <c r="W171" s="9"/>
      <c r="X171" s="9"/>
      <c r="Y171" s="9"/>
      <c r="Z171" s="9"/>
      <c r="AA171" s="9"/>
      <c r="AB171" s="10" t="str">
        <f aca="false">IF(A171="","",SG_Criteria!$B$6&amp;SG_Criteria!$B$12&amp;"\"&amp;A171&amp;"\")</f>
        <v/>
      </c>
      <c r="AC171" s="10" t="str">
        <f aca="false">IF(A171="","",A171&amp;"_CAD.dwg")</f>
        <v/>
      </c>
      <c r="AD171" s="10" t="str">
        <f aca="false">IF(A171="","",A171&amp;"_DWG.pdf")</f>
        <v/>
      </c>
      <c r="AE171" s="10" t="str">
        <f aca="false">IF(A171="","",IF(AA171="Y",A171&amp;"_STAAD.std","n/a"))</f>
        <v/>
      </c>
      <c r="AF171" s="10" t="str">
        <f aca="false">IF(A171="","",A171&amp;"_CALC.xlsx")</f>
        <v/>
      </c>
      <c r="AG171" s="10" t="str">
        <f aca="false">IF(A171="","",A171&amp;"_CALC.pdf")</f>
        <v/>
      </c>
      <c r="AH171" s="9"/>
      <c r="AI171" s="9"/>
      <c r="AJ171" s="41"/>
      <c r="AK171" s="41"/>
      <c r="AL171" s="41"/>
      <c r="AM171" s="41"/>
      <c r="AN171" s="41"/>
      <c r="AO171" s="38" t="str">
        <f aca="false">IF(C171="","",IF(LEN(IF(AND(C171&lt;&gt;"High Covered Linkway",F171&lt;SG_Criteria!$B$46),"FAIL: headroom below "&amp;SG_Criteria!$B$46&amp;" m. ","")&amp;IF(AND(C171="High Covered Linkway",F171&lt;SG_Criteria!$B$47),"FAIL: high linkway headroom below "&amp;SG_Criteria!$B$47&amp;" m. ","")&amp;IF(E171&lt;SG_Criteria!$B$48,"FAIL: roof width below "&amp;SG_Criteria!$B$48&amp;" m. ",IF(E171&lt;SG_Criteria!$B$49,"NOTE: not for MRT/LRT or high-traffic routes (min "&amp;SG_Criteria!$B$49&amp;" m). ",""))&amp;IF(AND(P171&lt;&gt;"",P171&lt;SG_Criteria!$B$50),"FAIL: wind speed below "&amp;SG_Criteria!$B$50&amp;" m/s. ","")&amp;IF(AND(Q171&lt;&gt;"",Q171&lt;SG_Criteria!$B$51),"FAIL: roof fixing pull-out below "&amp;SG_Criteria!$B$51&amp;" kN. ","")&amp;IF(AND(R171&lt;&gt;"",IFERROR(VALUE(MID(R171,2,2)),0)&lt;SG_Criteria!$B$52),"FAIL: grade below C"&amp;SG_Criteria!$B$52&amp;". ","")&amp;IF(D171="Non-standard (project design)","NOTE: not an SDRE standard, needs LTA acceptance. ",""))=0,"OK",IF(AND(C171&lt;&gt;"High Covered Linkway",F171&lt;SG_Criteria!$B$46),"FAIL: headroom below "&amp;SG_Criteria!$B$46&amp;" m. ","")&amp;IF(AND(C171="High Covered Linkway",F171&lt;SG_Criteria!$B$47),"FAIL: high linkway headroom below "&amp;SG_Criteria!$B$47&amp;" m. ","")&amp;IF(E171&lt;SG_Criteria!$B$48,"FAIL: roof width below "&amp;SG_Criteria!$B$48&amp;" m. ",IF(E171&lt;SG_Criteria!$B$49,"NOTE: not for MRT/LRT or high-traffic routes (min "&amp;SG_Criteria!$B$49&amp;" m). ",""))&amp;IF(AND(P171&lt;&gt;"",P171&lt;SG_Criteria!$B$50),"FAIL: wind speed below "&amp;SG_Criteria!$B$50&amp;" m/s. ","")&amp;IF(AND(Q171&lt;&gt;"",Q171&lt;SG_Criteria!$B$51),"FAIL: roof fixing pull-out below "&amp;SG_Criteria!$B$51&amp;" kN. ","")&amp;IF(AND(R171&lt;&gt;"",IFERROR(VALUE(MID(R171,2,2)),0)&lt;SG_Criteria!$B$52),"FAIL: grade below C"&amp;SG_Criteria!$B$52&amp;". ","")&amp;IF(D171="Non-standard (project design)","NOTE: not an SDRE standard, needs LTA acceptance. ","")))</f>
        <v/>
      </c>
      <c r="AP171" s="9"/>
      <c r="AQ171" s="9"/>
      <c r="AR171" s="9"/>
      <c r="AS171" s="9"/>
      <c r="AT171" s="9"/>
      <c r="AU171" s="31"/>
      <c r="AV171" s="10" t="str">
        <f aca="false">IF(C171="","",IF(AND(X171="Approved",ISERROR(SEARCH("FAIL",AO171))),"Y","N"))</f>
        <v/>
      </c>
      <c r="AW171" s="10" t="str">
        <f aca="false">IF(C171="","",C171&amp;"|"&amp;E171&amp;"|"&amp;F171&amp;"|"&amp;AV171)</f>
        <v/>
      </c>
    </row>
    <row r="172" customFormat="false" ht="15" hidden="false" customHeight="false" outlineLevel="0" collapsed="false">
      <c r="A172" s="10" t="str">
        <f aca="false">IF(C172="","","LKW-"&amp;IFERROR(VLOOKUP(C172,Lists!$AQ$4:$AR$17,2,0),"??")&amp;"-W"&amp;TEXT(E172*1000,"0000")&amp;"-H"&amp;TEXT(F172*1000,"0000")&amp;"-B"&amp;TEXT(G172*1000,"0000")&amp;"-"&amp;W172)</f>
        <v/>
      </c>
      <c r="B172" s="10" t="str">
        <f aca="false">IF(C172="","",C172&amp;", "&amp;E172&amp;" m wide, "&amp;F172&amp;" m headroom, "&amp;G172&amp;" m bays, "&amp;H172&amp;" ("&amp;D172&amp;")")</f>
        <v/>
      </c>
      <c r="C172" s="9"/>
      <c r="D172" s="9"/>
      <c r="E172" s="43"/>
      <c r="F172" s="43"/>
      <c r="G172" s="43"/>
      <c r="H172" s="9"/>
      <c r="I172" s="9"/>
      <c r="J172" s="9"/>
      <c r="K172" s="9"/>
      <c r="L172" s="9"/>
      <c r="M172" s="9"/>
      <c r="N172" s="9"/>
      <c r="O172" s="9"/>
      <c r="P172" s="40"/>
      <c r="Q172" s="43"/>
      <c r="R172" s="9"/>
      <c r="S172" s="9"/>
      <c r="T172" s="9"/>
      <c r="U172" s="43"/>
      <c r="V172" s="9"/>
      <c r="W172" s="9"/>
      <c r="X172" s="9"/>
      <c r="Y172" s="9"/>
      <c r="Z172" s="9"/>
      <c r="AA172" s="9"/>
      <c r="AB172" s="10" t="str">
        <f aca="false">IF(A172="","",SG_Criteria!$B$6&amp;SG_Criteria!$B$12&amp;"\"&amp;A172&amp;"\")</f>
        <v/>
      </c>
      <c r="AC172" s="10" t="str">
        <f aca="false">IF(A172="","",A172&amp;"_CAD.dwg")</f>
        <v/>
      </c>
      <c r="AD172" s="10" t="str">
        <f aca="false">IF(A172="","",A172&amp;"_DWG.pdf")</f>
        <v/>
      </c>
      <c r="AE172" s="10" t="str">
        <f aca="false">IF(A172="","",IF(AA172="Y",A172&amp;"_STAAD.std","n/a"))</f>
        <v/>
      </c>
      <c r="AF172" s="10" t="str">
        <f aca="false">IF(A172="","",A172&amp;"_CALC.xlsx")</f>
        <v/>
      </c>
      <c r="AG172" s="10" t="str">
        <f aca="false">IF(A172="","",A172&amp;"_CALC.pdf")</f>
        <v/>
      </c>
      <c r="AH172" s="9"/>
      <c r="AI172" s="9"/>
      <c r="AJ172" s="41"/>
      <c r="AK172" s="41"/>
      <c r="AL172" s="41"/>
      <c r="AM172" s="41"/>
      <c r="AN172" s="41"/>
      <c r="AO172" s="38" t="str">
        <f aca="false">IF(C172="","",IF(LEN(IF(AND(C172&lt;&gt;"High Covered Linkway",F172&lt;SG_Criteria!$B$46),"FAIL: headroom below "&amp;SG_Criteria!$B$46&amp;" m. ","")&amp;IF(AND(C172="High Covered Linkway",F172&lt;SG_Criteria!$B$47),"FAIL: high linkway headroom below "&amp;SG_Criteria!$B$47&amp;" m. ","")&amp;IF(E172&lt;SG_Criteria!$B$48,"FAIL: roof width below "&amp;SG_Criteria!$B$48&amp;" m. ",IF(E172&lt;SG_Criteria!$B$49,"NOTE: not for MRT/LRT or high-traffic routes (min "&amp;SG_Criteria!$B$49&amp;" m). ",""))&amp;IF(AND(P172&lt;&gt;"",P172&lt;SG_Criteria!$B$50),"FAIL: wind speed below "&amp;SG_Criteria!$B$50&amp;" m/s. ","")&amp;IF(AND(Q172&lt;&gt;"",Q172&lt;SG_Criteria!$B$51),"FAIL: roof fixing pull-out below "&amp;SG_Criteria!$B$51&amp;" kN. ","")&amp;IF(AND(R172&lt;&gt;"",IFERROR(VALUE(MID(R172,2,2)),0)&lt;SG_Criteria!$B$52),"FAIL: grade below C"&amp;SG_Criteria!$B$52&amp;". ","")&amp;IF(D172="Non-standard (project design)","NOTE: not an SDRE standard, needs LTA acceptance. ",""))=0,"OK",IF(AND(C172&lt;&gt;"High Covered Linkway",F172&lt;SG_Criteria!$B$46),"FAIL: headroom below "&amp;SG_Criteria!$B$46&amp;" m. ","")&amp;IF(AND(C172="High Covered Linkway",F172&lt;SG_Criteria!$B$47),"FAIL: high linkway headroom below "&amp;SG_Criteria!$B$47&amp;" m. ","")&amp;IF(E172&lt;SG_Criteria!$B$48,"FAIL: roof width below "&amp;SG_Criteria!$B$48&amp;" m. ",IF(E172&lt;SG_Criteria!$B$49,"NOTE: not for MRT/LRT or high-traffic routes (min "&amp;SG_Criteria!$B$49&amp;" m). ",""))&amp;IF(AND(P172&lt;&gt;"",P172&lt;SG_Criteria!$B$50),"FAIL: wind speed below "&amp;SG_Criteria!$B$50&amp;" m/s. ","")&amp;IF(AND(Q172&lt;&gt;"",Q172&lt;SG_Criteria!$B$51),"FAIL: roof fixing pull-out below "&amp;SG_Criteria!$B$51&amp;" kN. ","")&amp;IF(AND(R172&lt;&gt;"",IFERROR(VALUE(MID(R172,2,2)),0)&lt;SG_Criteria!$B$52),"FAIL: grade below C"&amp;SG_Criteria!$B$52&amp;". ","")&amp;IF(D172="Non-standard (project design)","NOTE: not an SDRE standard, needs LTA acceptance. ","")))</f>
        <v/>
      </c>
      <c r="AP172" s="9"/>
      <c r="AQ172" s="9"/>
      <c r="AR172" s="9"/>
      <c r="AS172" s="9"/>
      <c r="AT172" s="9"/>
      <c r="AU172" s="31"/>
      <c r="AV172" s="10" t="str">
        <f aca="false">IF(C172="","",IF(AND(X172="Approved",ISERROR(SEARCH("FAIL",AO172))),"Y","N"))</f>
        <v/>
      </c>
      <c r="AW172" s="10" t="str">
        <f aca="false">IF(C172="","",C172&amp;"|"&amp;E172&amp;"|"&amp;F172&amp;"|"&amp;AV172)</f>
        <v/>
      </c>
    </row>
    <row r="173" customFormat="false" ht="15" hidden="false" customHeight="false" outlineLevel="0" collapsed="false">
      <c r="A173" s="10" t="str">
        <f aca="false">IF(C173="","","LKW-"&amp;IFERROR(VLOOKUP(C173,Lists!$AQ$4:$AR$17,2,0),"??")&amp;"-W"&amp;TEXT(E173*1000,"0000")&amp;"-H"&amp;TEXT(F173*1000,"0000")&amp;"-B"&amp;TEXT(G173*1000,"0000")&amp;"-"&amp;W173)</f>
        <v/>
      </c>
      <c r="B173" s="10" t="str">
        <f aca="false">IF(C173="","",C173&amp;", "&amp;E173&amp;" m wide, "&amp;F173&amp;" m headroom, "&amp;G173&amp;" m bays, "&amp;H173&amp;" ("&amp;D173&amp;")")</f>
        <v/>
      </c>
      <c r="C173" s="9"/>
      <c r="D173" s="9"/>
      <c r="E173" s="43"/>
      <c r="F173" s="43"/>
      <c r="G173" s="43"/>
      <c r="H173" s="9"/>
      <c r="I173" s="9"/>
      <c r="J173" s="9"/>
      <c r="K173" s="9"/>
      <c r="L173" s="9"/>
      <c r="M173" s="9"/>
      <c r="N173" s="9"/>
      <c r="O173" s="9"/>
      <c r="P173" s="40"/>
      <c r="Q173" s="43"/>
      <c r="R173" s="9"/>
      <c r="S173" s="9"/>
      <c r="T173" s="9"/>
      <c r="U173" s="43"/>
      <c r="V173" s="9"/>
      <c r="W173" s="9"/>
      <c r="X173" s="9"/>
      <c r="Y173" s="9"/>
      <c r="Z173" s="9"/>
      <c r="AA173" s="9"/>
      <c r="AB173" s="10" t="str">
        <f aca="false">IF(A173="","",SG_Criteria!$B$6&amp;SG_Criteria!$B$12&amp;"\"&amp;A173&amp;"\")</f>
        <v/>
      </c>
      <c r="AC173" s="10" t="str">
        <f aca="false">IF(A173="","",A173&amp;"_CAD.dwg")</f>
        <v/>
      </c>
      <c r="AD173" s="10" t="str">
        <f aca="false">IF(A173="","",A173&amp;"_DWG.pdf")</f>
        <v/>
      </c>
      <c r="AE173" s="10" t="str">
        <f aca="false">IF(A173="","",IF(AA173="Y",A173&amp;"_STAAD.std","n/a"))</f>
        <v/>
      </c>
      <c r="AF173" s="10" t="str">
        <f aca="false">IF(A173="","",A173&amp;"_CALC.xlsx")</f>
        <v/>
      </c>
      <c r="AG173" s="10" t="str">
        <f aca="false">IF(A173="","",A173&amp;"_CALC.pdf")</f>
        <v/>
      </c>
      <c r="AH173" s="9"/>
      <c r="AI173" s="9"/>
      <c r="AJ173" s="41"/>
      <c r="AK173" s="41"/>
      <c r="AL173" s="41"/>
      <c r="AM173" s="41"/>
      <c r="AN173" s="41"/>
      <c r="AO173" s="38" t="str">
        <f aca="false">IF(C173="","",IF(LEN(IF(AND(C173&lt;&gt;"High Covered Linkway",F173&lt;SG_Criteria!$B$46),"FAIL: headroom below "&amp;SG_Criteria!$B$46&amp;" m. ","")&amp;IF(AND(C173="High Covered Linkway",F173&lt;SG_Criteria!$B$47),"FAIL: high linkway headroom below "&amp;SG_Criteria!$B$47&amp;" m. ","")&amp;IF(E173&lt;SG_Criteria!$B$48,"FAIL: roof width below "&amp;SG_Criteria!$B$48&amp;" m. ",IF(E173&lt;SG_Criteria!$B$49,"NOTE: not for MRT/LRT or high-traffic routes (min "&amp;SG_Criteria!$B$49&amp;" m). ",""))&amp;IF(AND(P173&lt;&gt;"",P173&lt;SG_Criteria!$B$50),"FAIL: wind speed below "&amp;SG_Criteria!$B$50&amp;" m/s. ","")&amp;IF(AND(Q173&lt;&gt;"",Q173&lt;SG_Criteria!$B$51),"FAIL: roof fixing pull-out below "&amp;SG_Criteria!$B$51&amp;" kN. ","")&amp;IF(AND(R173&lt;&gt;"",IFERROR(VALUE(MID(R173,2,2)),0)&lt;SG_Criteria!$B$52),"FAIL: grade below C"&amp;SG_Criteria!$B$52&amp;". ","")&amp;IF(D173="Non-standard (project design)","NOTE: not an SDRE standard, needs LTA acceptance. ",""))=0,"OK",IF(AND(C173&lt;&gt;"High Covered Linkway",F173&lt;SG_Criteria!$B$46),"FAIL: headroom below "&amp;SG_Criteria!$B$46&amp;" m. ","")&amp;IF(AND(C173="High Covered Linkway",F173&lt;SG_Criteria!$B$47),"FAIL: high linkway headroom below "&amp;SG_Criteria!$B$47&amp;" m. ","")&amp;IF(E173&lt;SG_Criteria!$B$48,"FAIL: roof width below "&amp;SG_Criteria!$B$48&amp;" m. ",IF(E173&lt;SG_Criteria!$B$49,"NOTE: not for MRT/LRT or high-traffic routes (min "&amp;SG_Criteria!$B$49&amp;" m). ",""))&amp;IF(AND(P173&lt;&gt;"",P173&lt;SG_Criteria!$B$50),"FAIL: wind speed below "&amp;SG_Criteria!$B$50&amp;" m/s. ","")&amp;IF(AND(Q173&lt;&gt;"",Q173&lt;SG_Criteria!$B$51),"FAIL: roof fixing pull-out below "&amp;SG_Criteria!$B$51&amp;" kN. ","")&amp;IF(AND(R173&lt;&gt;"",IFERROR(VALUE(MID(R173,2,2)),0)&lt;SG_Criteria!$B$52),"FAIL: grade below C"&amp;SG_Criteria!$B$52&amp;". ","")&amp;IF(D173="Non-standard (project design)","NOTE: not an SDRE standard, needs LTA acceptance. ","")))</f>
        <v/>
      </c>
      <c r="AP173" s="9"/>
      <c r="AQ173" s="9"/>
      <c r="AR173" s="9"/>
      <c r="AS173" s="9"/>
      <c r="AT173" s="9"/>
      <c r="AU173" s="31"/>
      <c r="AV173" s="10" t="str">
        <f aca="false">IF(C173="","",IF(AND(X173="Approved",ISERROR(SEARCH("FAIL",AO173))),"Y","N"))</f>
        <v/>
      </c>
      <c r="AW173" s="10" t="str">
        <f aca="false">IF(C173="","",C173&amp;"|"&amp;E173&amp;"|"&amp;F173&amp;"|"&amp;AV173)</f>
        <v/>
      </c>
    </row>
    <row r="174" customFormat="false" ht="15" hidden="false" customHeight="false" outlineLevel="0" collapsed="false">
      <c r="A174" s="10" t="str">
        <f aca="false">IF(C174="","","LKW-"&amp;IFERROR(VLOOKUP(C174,Lists!$AQ$4:$AR$17,2,0),"??")&amp;"-W"&amp;TEXT(E174*1000,"0000")&amp;"-H"&amp;TEXT(F174*1000,"0000")&amp;"-B"&amp;TEXT(G174*1000,"0000")&amp;"-"&amp;W174)</f>
        <v/>
      </c>
      <c r="B174" s="10" t="str">
        <f aca="false">IF(C174="","",C174&amp;", "&amp;E174&amp;" m wide, "&amp;F174&amp;" m headroom, "&amp;G174&amp;" m bays, "&amp;H174&amp;" ("&amp;D174&amp;")")</f>
        <v/>
      </c>
      <c r="C174" s="9"/>
      <c r="D174" s="9"/>
      <c r="E174" s="43"/>
      <c r="F174" s="43"/>
      <c r="G174" s="43"/>
      <c r="H174" s="9"/>
      <c r="I174" s="9"/>
      <c r="J174" s="9"/>
      <c r="K174" s="9"/>
      <c r="L174" s="9"/>
      <c r="M174" s="9"/>
      <c r="N174" s="9"/>
      <c r="O174" s="9"/>
      <c r="P174" s="40"/>
      <c r="Q174" s="43"/>
      <c r="R174" s="9"/>
      <c r="S174" s="9"/>
      <c r="T174" s="9"/>
      <c r="U174" s="43"/>
      <c r="V174" s="9"/>
      <c r="W174" s="9"/>
      <c r="X174" s="9"/>
      <c r="Y174" s="9"/>
      <c r="Z174" s="9"/>
      <c r="AA174" s="9"/>
      <c r="AB174" s="10" t="str">
        <f aca="false">IF(A174="","",SG_Criteria!$B$6&amp;SG_Criteria!$B$12&amp;"\"&amp;A174&amp;"\")</f>
        <v/>
      </c>
      <c r="AC174" s="10" t="str">
        <f aca="false">IF(A174="","",A174&amp;"_CAD.dwg")</f>
        <v/>
      </c>
      <c r="AD174" s="10" t="str">
        <f aca="false">IF(A174="","",A174&amp;"_DWG.pdf")</f>
        <v/>
      </c>
      <c r="AE174" s="10" t="str">
        <f aca="false">IF(A174="","",IF(AA174="Y",A174&amp;"_STAAD.std","n/a"))</f>
        <v/>
      </c>
      <c r="AF174" s="10" t="str">
        <f aca="false">IF(A174="","",A174&amp;"_CALC.xlsx")</f>
        <v/>
      </c>
      <c r="AG174" s="10" t="str">
        <f aca="false">IF(A174="","",A174&amp;"_CALC.pdf")</f>
        <v/>
      </c>
      <c r="AH174" s="9"/>
      <c r="AI174" s="9"/>
      <c r="AJ174" s="41"/>
      <c r="AK174" s="41"/>
      <c r="AL174" s="41"/>
      <c r="AM174" s="41"/>
      <c r="AN174" s="41"/>
      <c r="AO174" s="38" t="str">
        <f aca="false">IF(C174="","",IF(LEN(IF(AND(C174&lt;&gt;"High Covered Linkway",F174&lt;SG_Criteria!$B$46),"FAIL: headroom below "&amp;SG_Criteria!$B$46&amp;" m. ","")&amp;IF(AND(C174="High Covered Linkway",F174&lt;SG_Criteria!$B$47),"FAIL: high linkway headroom below "&amp;SG_Criteria!$B$47&amp;" m. ","")&amp;IF(E174&lt;SG_Criteria!$B$48,"FAIL: roof width below "&amp;SG_Criteria!$B$48&amp;" m. ",IF(E174&lt;SG_Criteria!$B$49,"NOTE: not for MRT/LRT or high-traffic routes (min "&amp;SG_Criteria!$B$49&amp;" m). ",""))&amp;IF(AND(P174&lt;&gt;"",P174&lt;SG_Criteria!$B$50),"FAIL: wind speed below "&amp;SG_Criteria!$B$50&amp;" m/s. ","")&amp;IF(AND(Q174&lt;&gt;"",Q174&lt;SG_Criteria!$B$51),"FAIL: roof fixing pull-out below "&amp;SG_Criteria!$B$51&amp;" kN. ","")&amp;IF(AND(R174&lt;&gt;"",IFERROR(VALUE(MID(R174,2,2)),0)&lt;SG_Criteria!$B$52),"FAIL: grade below C"&amp;SG_Criteria!$B$52&amp;". ","")&amp;IF(D174="Non-standard (project design)","NOTE: not an SDRE standard, needs LTA acceptance. ",""))=0,"OK",IF(AND(C174&lt;&gt;"High Covered Linkway",F174&lt;SG_Criteria!$B$46),"FAIL: headroom below "&amp;SG_Criteria!$B$46&amp;" m. ","")&amp;IF(AND(C174="High Covered Linkway",F174&lt;SG_Criteria!$B$47),"FAIL: high linkway headroom below "&amp;SG_Criteria!$B$47&amp;" m. ","")&amp;IF(E174&lt;SG_Criteria!$B$48,"FAIL: roof width below "&amp;SG_Criteria!$B$48&amp;" m. ",IF(E174&lt;SG_Criteria!$B$49,"NOTE: not for MRT/LRT or high-traffic routes (min "&amp;SG_Criteria!$B$49&amp;" m). ",""))&amp;IF(AND(P174&lt;&gt;"",P174&lt;SG_Criteria!$B$50),"FAIL: wind speed below "&amp;SG_Criteria!$B$50&amp;" m/s. ","")&amp;IF(AND(Q174&lt;&gt;"",Q174&lt;SG_Criteria!$B$51),"FAIL: roof fixing pull-out below "&amp;SG_Criteria!$B$51&amp;" kN. ","")&amp;IF(AND(R174&lt;&gt;"",IFERROR(VALUE(MID(R174,2,2)),0)&lt;SG_Criteria!$B$52),"FAIL: grade below C"&amp;SG_Criteria!$B$52&amp;". ","")&amp;IF(D174="Non-standard (project design)","NOTE: not an SDRE standard, needs LTA acceptance. ","")))</f>
        <v/>
      </c>
      <c r="AP174" s="9"/>
      <c r="AQ174" s="9"/>
      <c r="AR174" s="9"/>
      <c r="AS174" s="9"/>
      <c r="AT174" s="9"/>
      <c r="AU174" s="31"/>
      <c r="AV174" s="10" t="str">
        <f aca="false">IF(C174="","",IF(AND(X174="Approved",ISERROR(SEARCH("FAIL",AO174))),"Y","N"))</f>
        <v/>
      </c>
      <c r="AW174" s="10" t="str">
        <f aca="false">IF(C174="","",C174&amp;"|"&amp;E174&amp;"|"&amp;F174&amp;"|"&amp;AV174)</f>
        <v/>
      </c>
    </row>
    <row r="175" customFormat="false" ht="15" hidden="false" customHeight="false" outlineLevel="0" collapsed="false">
      <c r="A175" s="10" t="str">
        <f aca="false">IF(C175="","","LKW-"&amp;IFERROR(VLOOKUP(C175,Lists!$AQ$4:$AR$17,2,0),"??")&amp;"-W"&amp;TEXT(E175*1000,"0000")&amp;"-H"&amp;TEXT(F175*1000,"0000")&amp;"-B"&amp;TEXT(G175*1000,"0000")&amp;"-"&amp;W175)</f>
        <v/>
      </c>
      <c r="B175" s="10" t="str">
        <f aca="false">IF(C175="","",C175&amp;", "&amp;E175&amp;" m wide, "&amp;F175&amp;" m headroom, "&amp;G175&amp;" m bays, "&amp;H175&amp;" ("&amp;D175&amp;")")</f>
        <v/>
      </c>
      <c r="C175" s="9"/>
      <c r="D175" s="9"/>
      <c r="E175" s="43"/>
      <c r="F175" s="43"/>
      <c r="G175" s="43"/>
      <c r="H175" s="9"/>
      <c r="I175" s="9"/>
      <c r="J175" s="9"/>
      <c r="K175" s="9"/>
      <c r="L175" s="9"/>
      <c r="M175" s="9"/>
      <c r="N175" s="9"/>
      <c r="O175" s="9"/>
      <c r="P175" s="40"/>
      <c r="Q175" s="43"/>
      <c r="R175" s="9"/>
      <c r="S175" s="9"/>
      <c r="T175" s="9"/>
      <c r="U175" s="43"/>
      <c r="V175" s="9"/>
      <c r="W175" s="9"/>
      <c r="X175" s="9"/>
      <c r="Y175" s="9"/>
      <c r="Z175" s="9"/>
      <c r="AA175" s="9"/>
      <c r="AB175" s="10" t="str">
        <f aca="false">IF(A175="","",SG_Criteria!$B$6&amp;SG_Criteria!$B$12&amp;"\"&amp;A175&amp;"\")</f>
        <v/>
      </c>
      <c r="AC175" s="10" t="str">
        <f aca="false">IF(A175="","",A175&amp;"_CAD.dwg")</f>
        <v/>
      </c>
      <c r="AD175" s="10" t="str">
        <f aca="false">IF(A175="","",A175&amp;"_DWG.pdf")</f>
        <v/>
      </c>
      <c r="AE175" s="10" t="str">
        <f aca="false">IF(A175="","",IF(AA175="Y",A175&amp;"_STAAD.std","n/a"))</f>
        <v/>
      </c>
      <c r="AF175" s="10" t="str">
        <f aca="false">IF(A175="","",A175&amp;"_CALC.xlsx")</f>
        <v/>
      </c>
      <c r="AG175" s="10" t="str">
        <f aca="false">IF(A175="","",A175&amp;"_CALC.pdf")</f>
        <v/>
      </c>
      <c r="AH175" s="9"/>
      <c r="AI175" s="9"/>
      <c r="AJ175" s="41"/>
      <c r="AK175" s="41"/>
      <c r="AL175" s="41"/>
      <c r="AM175" s="41"/>
      <c r="AN175" s="41"/>
      <c r="AO175" s="38" t="str">
        <f aca="false">IF(C175="","",IF(LEN(IF(AND(C175&lt;&gt;"High Covered Linkway",F175&lt;SG_Criteria!$B$46),"FAIL: headroom below "&amp;SG_Criteria!$B$46&amp;" m. ","")&amp;IF(AND(C175="High Covered Linkway",F175&lt;SG_Criteria!$B$47),"FAIL: high linkway headroom below "&amp;SG_Criteria!$B$47&amp;" m. ","")&amp;IF(E175&lt;SG_Criteria!$B$48,"FAIL: roof width below "&amp;SG_Criteria!$B$48&amp;" m. ",IF(E175&lt;SG_Criteria!$B$49,"NOTE: not for MRT/LRT or high-traffic routes (min "&amp;SG_Criteria!$B$49&amp;" m). ",""))&amp;IF(AND(P175&lt;&gt;"",P175&lt;SG_Criteria!$B$50),"FAIL: wind speed below "&amp;SG_Criteria!$B$50&amp;" m/s. ","")&amp;IF(AND(Q175&lt;&gt;"",Q175&lt;SG_Criteria!$B$51),"FAIL: roof fixing pull-out below "&amp;SG_Criteria!$B$51&amp;" kN. ","")&amp;IF(AND(R175&lt;&gt;"",IFERROR(VALUE(MID(R175,2,2)),0)&lt;SG_Criteria!$B$52),"FAIL: grade below C"&amp;SG_Criteria!$B$52&amp;". ","")&amp;IF(D175="Non-standard (project design)","NOTE: not an SDRE standard, needs LTA acceptance. ",""))=0,"OK",IF(AND(C175&lt;&gt;"High Covered Linkway",F175&lt;SG_Criteria!$B$46),"FAIL: headroom below "&amp;SG_Criteria!$B$46&amp;" m. ","")&amp;IF(AND(C175="High Covered Linkway",F175&lt;SG_Criteria!$B$47),"FAIL: high linkway headroom below "&amp;SG_Criteria!$B$47&amp;" m. ","")&amp;IF(E175&lt;SG_Criteria!$B$48,"FAIL: roof width below "&amp;SG_Criteria!$B$48&amp;" m. ",IF(E175&lt;SG_Criteria!$B$49,"NOTE: not for MRT/LRT or high-traffic routes (min "&amp;SG_Criteria!$B$49&amp;" m). ",""))&amp;IF(AND(P175&lt;&gt;"",P175&lt;SG_Criteria!$B$50),"FAIL: wind speed below "&amp;SG_Criteria!$B$50&amp;" m/s. ","")&amp;IF(AND(Q175&lt;&gt;"",Q175&lt;SG_Criteria!$B$51),"FAIL: roof fixing pull-out below "&amp;SG_Criteria!$B$51&amp;" kN. ","")&amp;IF(AND(R175&lt;&gt;"",IFERROR(VALUE(MID(R175,2,2)),0)&lt;SG_Criteria!$B$52),"FAIL: grade below C"&amp;SG_Criteria!$B$52&amp;". ","")&amp;IF(D175="Non-standard (project design)","NOTE: not an SDRE standard, needs LTA acceptance. ","")))</f>
        <v/>
      </c>
      <c r="AP175" s="9"/>
      <c r="AQ175" s="9"/>
      <c r="AR175" s="9"/>
      <c r="AS175" s="9"/>
      <c r="AT175" s="9"/>
      <c r="AU175" s="31"/>
      <c r="AV175" s="10" t="str">
        <f aca="false">IF(C175="","",IF(AND(X175="Approved",ISERROR(SEARCH("FAIL",AO175))),"Y","N"))</f>
        <v/>
      </c>
      <c r="AW175" s="10" t="str">
        <f aca="false">IF(C175="","",C175&amp;"|"&amp;E175&amp;"|"&amp;F175&amp;"|"&amp;AV175)</f>
        <v/>
      </c>
    </row>
    <row r="176" customFormat="false" ht="15" hidden="false" customHeight="false" outlineLevel="0" collapsed="false">
      <c r="A176" s="10" t="str">
        <f aca="false">IF(C176="","","LKW-"&amp;IFERROR(VLOOKUP(C176,Lists!$AQ$4:$AR$17,2,0),"??")&amp;"-W"&amp;TEXT(E176*1000,"0000")&amp;"-H"&amp;TEXT(F176*1000,"0000")&amp;"-B"&amp;TEXT(G176*1000,"0000")&amp;"-"&amp;W176)</f>
        <v/>
      </c>
      <c r="B176" s="10" t="str">
        <f aca="false">IF(C176="","",C176&amp;", "&amp;E176&amp;" m wide, "&amp;F176&amp;" m headroom, "&amp;G176&amp;" m bays, "&amp;H176&amp;" ("&amp;D176&amp;")")</f>
        <v/>
      </c>
      <c r="C176" s="9"/>
      <c r="D176" s="9"/>
      <c r="E176" s="43"/>
      <c r="F176" s="43"/>
      <c r="G176" s="43"/>
      <c r="H176" s="9"/>
      <c r="I176" s="9"/>
      <c r="J176" s="9"/>
      <c r="K176" s="9"/>
      <c r="L176" s="9"/>
      <c r="M176" s="9"/>
      <c r="N176" s="9"/>
      <c r="O176" s="9"/>
      <c r="P176" s="40"/>
      <c r="Q176" s="43"/>
      <c r="R176" s="9"/>
      <c r="S176" s="9"/>
      <c r="T176" s="9"/>
      <c r="U176" s="43"/>
      <c r="V176" s="9"/>
      <c r="W176" s="9"/>
      <c r="X176" s="9"/>
      <c r="Y176" s="9"/>
      <c r="Z176" s="9"/>
      <c r="AA176" s="9"/>
      <c r="AB176" s="10" t="str">
        <f aca="false">IF(A176="","",SG_Criteria!$B$6&amp;SG_Criteria!$B$12&amp;"\"&amp;A176&amp;"\")</f>
        <v/>
      </c>
      <c r="AC176" s="10" t="str">
        <f aca="false">IF(A176="","",A176&amp;"_CAD.dwg")</f>
        <v/>
      </c>
      <c r="AD176" s="10" t="str">
        <f aca="false">IF(A176="","",A176&amp;"_DWG.pdf")</f>
        <v/>
      </c>
      <c r="AE176" s="10" t="str">
        <f aca="false">IF(A176="","",IF(AA176="Y",A176&amp;"_STAAD.std","n/a"))</f>
        <v/>
      </c>
      <c r="AF176" s="10" t="str">
        <f aca="false">IF(A176="","",A176&amp;"_CALC.xlsx")</f>
        <v/>
      </c>
      <c r="AG176" s="10" t="str">
        <f aca="false">IF(A176="","",A176&amp;"_CALC.pdf")</f>
        <v/>
      </c>
      <c r="AH176" s="9"/>
      <c r="AI176" s="9"/>
      <c r="AJ176" s="41"/>
      <c r="AK176" s="41"/>
      <c r="AL176" s="41"/>
      <c r="AM176" s="41"/>
      <c r="AN176" s="41"/>
      <c r="AO176" s="38" t="str">
        <f aca="false">IF(C176="","",IF(LEN(IF(AND(C176&lt;&gt;"High Covered Linkway",F176&lt;SG_Criteria!$B$46),"FAIL: headroom below "&amp;SG_Criteria!$B$46&amp;" m. ","")&amp;IF(AND(C176="High Covered Linkway",F176&lt;SG_Criteria!$B$47),"FAIL: high linkway headroom below "&amp;SG_Criteria!$B$47&amp;" m. ","")&amp;IF(E176&lt;SG_Criteria!$B$48,"FAIL: roof width below "&amp;SG_Criteria!$B$48&amp;" m. ",IF(E176&lt;SG_Criteria!$B$49,"NOTE: not for MRT/LRT or high-traffic routes (min "&amp;SG_Criteria!$B$49&amp;" m). ",""))&amp;IF(AND(P176&lt;&gt;"",P176&lt;SG_Criteria!$B$50),"FAIL: wind speed below "&amp;SG_Criteria!$B$50&amp;" m/s. ","")&amp;IF(AND(Q176&lt;&gt;"",Q176&lt;SG_Criteria!$B$51),"FAIL: roof fixing pull-out below "&amp;SG_Criteria!$B$51&amp;" kN. ","")&amp;IF(AND(R176&lt;&gt;"",IFERROR(VALUE(MID(R176,2,2)),0)&lt;SG_Criteria!$B$52),"FAIL: grade below C"&amp;SG_Criteria!$B$52&amp;". ","")&amp;IF(D176="Non-standard (project design)","NOTE: not an SDRE standard, needs LTA acceptance. ",""))=0,"OK",IF(AND(C176&lt;&gt;"High Covered Linkway",F176&lt;SG_Criteria!$B$46),"FAIL: headroom below "&amp;SG_Criteria!$B$46&amp;" m. ","")&amp;IF(AND(C176="High Covered Linkway",F176&lt;SG_Criteria!$B$47),"FAIL: high linkway headroom below "&amp;SG_Criteria!$B$47&amp;" m. ","")&amp;IF(E176&lt;SG_Criteria!$B$48,"FAIL: roof width below "&amp;SG_Criteria!$B$48&amp;" m. ",IF(E176&lt;SG_Criteria!$B$49,"NOTE: not for MRT/LRT or high-traffic routes (min "&amp;SG_Criteria!$B$49&amp;" m). ",""))&amp;IF(AND(P176&lt;&gt;"",P176&lt;SG_Criteria!$B$50),"FAIL: wind speed below "&amp;SG_Criteria!$B$50&amp;" m/s. ","")&amp;IF(AND(Q176&lt;&gt;"",Q176&lt;SG_Criteria!$B$51),"FAIL: roof fixing pull-out below "&amp;SG_Criteria!$B$51&amp;" kN. ","")&amp;IF(AND(R176&lt;&gt;"",IFERROR(VALUE(MID(R176,2,2)),0)&lt;SG_Criteria!$B$52),"FAIL: grade below C"&amp;SG_Criteria!$B$52&amp;". ","")&amp;IF(D176="Non-standard (project design)","NOTE: not an SDRE standard, needs LTA acceptance. ","")))</f>
        <v/>
      </c>
      <c r="AP176" s="9"/>
      <c r="AQ176" s="9"/>
      <c r="AR176" s="9"/>
      <c r="AS176" s="9"/>
      <c r="AT176" s="9"/>
      <c r="AU176" s="31"/>
      <c r="AV176" s="10" t="str">
        <f aca="false">IF(C176="","",IF(AND(X176="Approved",ISERROR(SEARCH("FAIL",AO176))),"Y","N"))</f>
        <v/>
      </c>
      <c r="AW176" s="10" t="str">
        <f aca="false">IF(C176="","",C176&amp;"|"&amp;E176&amp;"|"&amp;F176&amp;"|"&amp;AV176)</f>
        <v/>
      </c>
    </row>
    <row r="177" customFormat="false" ht="15" hidden="false" customHeight="false" outlineLevel="0" collapsed="false">
      <c r="A177" s="10" t="str">
        <f aca="false">IF(C177="","","LKW-"&amp;IFERROR(VLOOKUP(C177,Lists!$AQ$4:$AR$17,2,0),"??")&amp;"-W"&amp;TEXT(E177*1000,"0000")&amp;"-H"&amp;TEXT(F177*1000,"0000")&amp;"-B"&amp;TEXT(G177*1000,"0000")&amp;"-"&amp;W177)</f>
        <v/>
      </c>
      <c r="B177" s="10" t="str">
        <f aca="false">IF(C177="","",C177&amp;", "&amp;E177&amp;" m wide, "&amp;F177&amp;" m headroom, "&amp;G177&amp;" m bays, "&amp;H177&amp;" ("&amp;D177&amp;")")</f>
        <v/>
      </c>
      <c r="C177" s="9"/>
      <c r="D177" s="9"/>
      <c r="E177" s="43"/>
      <c r="F177" s="43"/>
      <c r="G177" s="43"/>
      <c r="H177" s="9"/>
      <c r="I177" s="9"/>
      <c r="J177" s="9"/>
      <c r="K177" s="9"/>
      <c r="L177" s="9"/>
      <c r="M177" s="9"/>
      <c r="N177" s="9"/>
      <c r="O177" s="9"/>
      <c r="P177" s="40"/>
      <c r="Q177" s="43"/>
      <c r="R177" s="9"/>
      <c r="S177" s="9"/>
      <c r="T177" s="9"/>
      <c r="U177" s="43"/>
      <c r="V177" s="9"/>
      <c r="W177" s="9"/>
      <c r="X177" s="9"/>
      <c r="Y177" s="9"/>
      <c r="Z177" s="9"/>
      <c r="AA177" s="9"/>
      <c r="AB177" s="10" t="str">
        <f aca="false">IF(A177="","",SG_Criteria!$B$6&amp;SG_Criteria!$B$12&amp;"\"&amp;A177&amp;"\")</f>
        <v/>
      </c>
      <c r="AC177" s="10" t="str">
        <f aca="false">IF(A177="","",A177&amp;"_CAD.dwg")</f>
        <v/>
      </c>
      <c r="AD177" s="10" t="str">
        <f aca="false">IF(A177="","",A177&amp;"_DWG.pdf")</f>
        <v/>
      </c>
      <c r="AE177" s="10" t="str">
        <f aca="false">IF(A177="","",IF(AA177="Y",A177&amp;"_STAAD.std","n/a"))</f>
        <v/>
      </c>
      <c r="AF177" s="10" t="str">
        <f aca="false">IF(A177="","",A177&amp;"_CALC.xlsx")</f>
        <v/>
      </c>
      <c r="AG177" s="10" t="str">
        <f aca="false">IF(A177="","",A177&amp;"_CALC.pdf")</f>
        <v/>
      </c>
      <c r="AH177" s="9"/>
      <c r="AI177" s="9"/>
      <c r="AJ177" s="41"/>
      <c r="AK177" s="41"/>
      <c r="AL177" s="41"/>
      <c r="AM177" s="41"/>
      <c r="AN177" s="41"/>
      <c r="AO177" s="38" t="str">
        <f aca="false">IF(C177="","",IF(LEN(IF(AND(C177&lt;&gt;"High Covered Linkway",F177&lt;SG_Criteria!$B$46),"FAIL: headroom below "&amp;SG_Criteria!$B$46&amp;" m. ","")&amp;IF(AND(C177="High Covered Linkway",F177&lt;SG_Criteria!$B$47),"FAIL: high linkway headroom below "&amp;SG_Criteria!$B$47&amp;" m. ","")&amp;IF(E177&lt;SG_Criteria!$B$48,"FAIL: roof width below "&amp;SG_Criteria!$B$48&amp;" m. ",IF(E177&lt;SG_Criteria!$B$49,"NOTE: not for MRT/LRT or high-traffic routes (min "&amp;SG_Criteria!$B$49&amp;" m). ",""))&amp;IF(AND(P177&lt;&gt;"",P177&lt;SG_Criteria!$B$50),"FAIL: wind speed below "&amp;SG_Criteria!$B$50&amp;" m/s. ","")&amp;IF(AND(Q177&lt;&gt;"",Q177&lt;SG_Criteria!$B$51),"FAIL: roof fixing pull-out below "&amp;SG_Criteria!$B$51&amp;" kN. ","")&amp;IF(AND(R177&lt;&gt;"",IFERROR(VALUE(MID(R177,2,2)),0)&lt;SG_Criteria!$B$52),"FAIL: grade below C"&amp;SG_Criteria!$B$52&amp;". ","")&amp;IF(D177="Non-standard (project design)","NOTE: not an SDRE standard, needs LTA acceptance. ",""))=0,"OK",IF(AND(C177&lt;&gt;"High Covered Linkway",F177&lt;SG_Criteria!$B$46),"FAIL: headroom below "&amp;SG_Criteria!$B$46&amp;" m. ","")&amp;IF(AND(C177="High Covered Linkway",F177&lt;SG_Criteria!$B$47),"FAIL: high linkway headroom below "&amp;SG_Criteria!$B$47&amp;" m. ","")&amp;IF(E177&lt;SG_Criteria!$B$48,"FAIL: roof width below "&amp;SG_Criteria!$B$48&amp;" m. ",IF(E177&lt;SG_Criteria!$B$49,"NOTE: not for MRT/LRT or high-traffic routes (min "&amp;SG_Criteria!$B$49&amp;" m). ",""))&amp;IF(AND(P177&lt;&gt;"",P177&lt;SG_Criteria!$B$50),"FAIL: wind speed below "&amp;SG_Criteria!$B$50&amp;" m/s. ","")&amp;IF(AND(Q177&lt;&gt;"",Q177&lt;SG_Criteria!$B$51),"FAIL: roof fixing pull-out below "&amp;SG_Criteria!$B$51&amp;" kN. ","")&amp;IF(AND(R177&lt;&gt;"",IFERROR(VALUE(MID(R177,2,2)),0)&lt;SG_Criteria!$B$52),"FAIL: grade below C"&amp;SG_Criteria!$B$52&amp;". ","")&amp;IF(D177="Non-standard (project design)","NOTE: not an SDRE standard, needs LTA acceptance. ","")))</f>
        <v/>
      </c>
      <c r="AP177" s="9"/>
      <c r="AQ177" s="9"/>
      <c r="AR177" s="9"/>
      <c r="AS177" s="9"/>
      <c r="AT177" s="9"/>
      <c r="AU177" s="31"/>
      <c r="AV177" s="10" t="str">
        <f aca="false">IF(C177="","",IF(AND(X177="Approved",ISERROR(SEARCH("FAIL",AO177))),"Y","N"))</f>
        <v/>
      </c>
      <c r="AW177" s="10" t="str">
        <f aca="false">IF(C177="","",C177&amp;"|"&amp;E177&amp;"|"&amp;F177&amp;"|"&amp;AV177)</f>
        <v/>
      </c>
    </row>
    <row r="178" customFormat="false" ht="15" hidden="false" customHeight="false" outlineLevel="0" collapsed="false">
      <c r="A178" s="10" t="str">
        <f aca="false">IF(C178="","","LKW-"&amp;IFERROR(VLOOKUP(C178,Lists!$AQ$4:$AR$17,2,0),"??")&amp;"-W"&amp;TEXT(E178*1000,"0000")&amp;"-H"&amp;TEXT(F178*1000,"0000")&amp;"-B"&amp;TEXT(G178*1000,"0000")&amp;"-"&amp;W178)</f>
        <v/>
      </c>
      <c r="B178" s="10" t="str">
        <f aca="false">IF(C178="","",C178&amp;", "&amp;E178&amp;" m wide, "&amp;F178&amp;" m headroom, "&amp;G178&amp;" m bays, "&amp;H178&amp;" ("&amp;D178&amp;")")</f>
        <v/>
      </c>
      <c r="C178" s="9"/>
      <c r="D178" s="9"/>
      <c r="E178" s="43"/>
      <c r="F178" s="43"/>
      <c r="G178" s="43"/>
      <c r="H178" s="9"/>
      <c r="I178" s="9"/>
      <c r="J178" s="9"/>
      <c r="K178" s="9"/>
      <c r="L178" s="9"/>
      <c r="M178" s="9"/>
      <c r="N178" s="9"/>
      <c r="O178" s="9"/>
      <c r="P178" s="40"/>
      <c r="Q178" s="43"/>
      <c r="R178" s="9"/>
      <c r="S178" s="9"/>
      <c r="T178" s="9"/>
      <c r="U178" s="43"/>
      <c r="V178" s="9"/>
      <c r="W178" s="9"/>
      <c r="X178" s="9"/>
      <c r="Y178" s="9"/>
      <c r="Z178" s="9"/>
      <c r="AA178" s="9"/>
      <c r="AB178" s="10" t="str">
        <f aca="false">IF(A178="","",SG_Criteria!$B$6&amp;SG_Criteria!$B$12&amp;"\"&amp;A178&amp;"\")</f>
        <v/>
      </c>
      <c r="AC178" s="10" t="str">
        <f aca="false">IF(A178="","",A178&amp;"_CAD.dwg")</f>
        <v/>
      </c>
      <c r="AD178" s="10" t="str">
        <f aca="false">IF(A178="","",A178&amp;"_DWG.pdf")</f>
        <v/>
      </c>
      <c r="AE178" s="10" t="str">
        <f aca="false">IF(A178="","",IF(AA178="Y",A178&amp;"_STAAD.std","n/a"))</f>
        <v/>
      </c>
      <c r="AF178" s="10" t="str">
        <f aca="false">IF(A178="","",A178&amp;"_CALC.xlsx")</f>
        <v/>
      </c>
      <c r="AG178" s="10" t="str">
        <f aca="false">IF(A178="","",A178&amp;"_CALC.pdf")</f>
        <v/>
      </c>
      <c r="AH178" s="9"/>
      <c r="AI178" s="9"/>
      <c r="AJ178" s="41"/>
      <c r="AK178" s="41"/>
      <c r="AL178" s="41"/>
      <c r="AM178" s="41"/>
      <c r="AN178" s="41"/>
      <c r="AO178" s="38" t="str">
        <f aca="false">IF(C178="","",IF(LEN(IF(AND(C178&lt;&gt;"High Covered Linkway",F178&lt;SG_Criteria!$B$46),"FAIL: headroom below "&amp;SG_Criteria!$B$46&amp;" m. ","")&amp;IF(AND(C178="High Covered Linkway",F178&lt;SG_Criteria!$B$47),"FAIL: high linkway headroom below "&amp;SG_Criteria!$B$47&amp;" m. ","")&amp;IF(E178&lt;SG_Criteria!$B$48,"FAIL: roof width below "&amp;SG_Criteria!$B$48&amp;" m. ",IF(E178&lt;SG_Criteria!$B$49,"NOTE: not for MRT/LRT or high-traffic routes (min "&amp;SG_Criteria!$B$49&amp;" m). ",""))&amp;IF(AND(P178&lt;&gt;"",P178&lt;SG_Criteria!$B$50),"FAIL: wind speed below "&amp;SG_Criteria!$B$50&amp;" m/s. ","")&amp;IF(AND(Q178&lt;&gt;"",Q178&lt;SG_Criteria!$B$51),"FAIL: roof fixing pull-out below "&amp;SG_Criteria!$B$51&amp;" kN. ","")&amp;IF(AND(R178&lt;&gt;"",IFERROR(VALUE(MID(R178,2,2)),0)&lt;SG_Criteria!$B$52),"FAIL: grade below C"&amp;SG_Criteria!$B$52&amp;". ","")&amp;IF(D178="Non-standard (project design)","NOTE: not an SDRE standard, needs LTA acceptance. ",""))=0,"OK",IF(AND(C178&lt;&gt;"High Covered Linkway",F178&lt;SG_Criteria!$B$46),"FAIL: headroom below "&amp;SG_Criteria!$B$46&amp;" m. ","")&amp;IF(AND(C178="High Covered Linkway",F178&lt;SG_Criteria!$B$47),"FAIL: high linkway headroom below "&amp;SG_Criteria!$B$47&amp;" m. ","")&amp;IF(E178&lt;SG_Criteria!$B$48,"FAIL: roof width below "&amp;SG_Criteria!$B$48&amp;" m. ",IF(E178&lt;SG_Criteria!$B$49,"NOTE: not for MRT/LRT or high-traffic routes (min "&amp;SG_Criteria!$B$49&amp;" m). ",""))&amp;IF(AND(P178&lt;&gt;"",P178&lt;SG_Criteria!$B$50),"FAIL: wind speed below "&amp;SG_Criteria!$B$50&amp;" m/s. ","")&amp;IF(AND(Q178&lt;&gt;"",Q178&lt;SG_Criteria!$B$51),"FAIL: roof fixing pull-out below "&amp;SG_Criteria!$B$51&amp;" kN. ","")&amp;IF(AND(R178&lt;&gt;"",IFERROR(VALUE(MID(R178,2,2)),0)&lt;SG_Criteria!$B$52),"FAIL: grade below C"&amp;SG_Criteria!$B$52&amp;". ","")&amp;IF(D178="Non-standard (project design)","NOTE: not an SDRE standard, needs LTA acceptance. ","")))</f>
        <v/>
      </c>
      <c r="AP178" s="9"/>
      <c r="AQ178" s="9"/>
      <c r="AR178" s="9"/>
      <c r="AS178" s="9"/>
      <c r="AT178" s="9"/>
      <c r="AU178" s="31"/>
      <c r="AV178" s="10" t="str">
        <f aca="false">IF(C178="","",IF(AND(X178="Approved",ISERROR(SEARCH("FAIL",AO178))),"Y","N"))</f>
        <v/>
      </c>
      <c r="AW178" s="10" t="str">
        <f aca="false">IF(C178="","",C178&amp;"|"&amp;E178&amp;"|"&amp;F178&amp;"|"&amp;AV178)</f>
        <v/>
      </c>
    </row>
    <row r="179" customFormat="false" ht="15" hidden="false" customHeight="false" outlineLevel="0" collapsed="false">
      <c r="A179" s="10" t="str">
        <f aca="false">IF(C179="","","LKW-"&amp;IFERROR(VLOOKUP(C179,Lists!$AQ$4:$AR$17,2,0),"??")&amp;"-W"&amp;TEXT(E179*1000,"0000")&amp;"-H"&amp;TEXT(F179*1000,"0000")&amp;"-B"&amp;TEXT(G179*1000,"0000")&amp;"-"&amp;W179)</f>
        <v/>
      </c>
      <c r="B179" s="10" t="str">
        <f aca="false">IF(C179="","",C179&amp;", "&amp;E179&amp;" m wide, "&amp;F179&amp;" m headroom, "&amp;G179&amp;" m bays, "&amp;H179&amp;" ("&amp;D179&amp;")")</f>
        <v/>
      </c>
      <c r="C179" s="9"/>
      <c r="D179" s="9"/>
      <c r="E179" s="43"/>
      <c r="F179" s="43"/>
      <c r="G179" s="43"/>
      <c r="H179" s="9"/>
      <c r="I179" s="9"/>
      <c r="J179" s="9"/>
      <c r="K179" s="9"/>
      <c r="L179" s="9"/>
      <c r="M179" s="9"/>
      <c r="N179" s="9"/>
      <c r="O179" s="9"/>
      <c r="P179" s="40"/>
      <c r="Q179" s="43"/>
      <c r="R179" s="9"/>
      <c r="S179" s="9"/>
      <c r="T179" s="9"/>
      <c r="U179" s="43"/>
      <c r="V179" s="9"/>
      <c r="W179" s="9"/>
      <c r="X179" s="9"/>
      <c r="Y179" s="9"/>
      <c r="Z179" s="9"/>
      <c r="AA179" s="9"/>
      <c r="AB179" s="10" t="str">
        <f aca="false">IF(A179="","",SG_Criteria!$B$6&amp;SG_Criteria!$B$12&amp;"\"&amp;A179&amp;"\")</f>
        <v/>
      </c>
      <c r="AC179" s="10" t="str">
        <f aca="false">IF(A179="","",A179&amp;"_CAD.dwg")</f>
        <v/>
      </c>
      <c r="AD179" s="10" t="str">
        <f aca="false">IF(A179="","",A179&amp;"_DWG.pdf")</f>
        <v/>
      </c>
      <c r="AE179" s="10" t="str">
        <f aca="false">IF(A179="","",IF(AA179="Y",A179&amp;"_STAAD.std","n/a"))</f>
        <v/>
      </c>
      <c r="AF179" s="10" t="str">
        <f aca="false">IF(A179="","",A179&amp;"_CALC.xlsx")</f>
        <v/>
      </c>
      <c r="AG179" s="10" t="str">
        <f aca="false">IF(A179="","",A179&amp;"_CALC.pdf")</f>
        <v/>
      </c>
      <c r="AH179" s="9"/>
      <c r="AI179" s="9"/>
      <c r="AJ179" s="41"/>
      <c r="AK179" s="41"/>
      <c r="AL179" s="41"/>
      <c r="AM179" s="41"/>
      <c r="AN179" s="41"/>
      <c r="AO179" s="38" t="str">
        <f aca="false">IF(C179="","",IF(LEN(IF(AND(C179&lt;&gt;"High Covered Linkway",F179&lt;SG_Criteria!$B$46),"FAIL: headroom below "&amp;SG_Criteria!$B$46&amp;" m. ","")&amp;IF(AND(C179="High Covered Linkway",F179&lt;SG_Criteria!$B$47),"FAIL: high linkway headroom below "&amp;SG_Criteria!$B$47&amp;" m. ","")&amp;IF(E179&lt;SG_Criteria!$B$48,"FAIL: roof width below "&amp;SG_Criteria!$B$48&amp;" m. ",IF(E179&lt;SG_Criteria!$B$49,"NOTE: not for MRT/LRT or high-traffic routes (min "&amp;SG_Criteria!$B$49&amp;" m). ",""))&amp;IF(AND(P179&lt;&gt;"",P179&lt;SG_Criteria!$B$50),"FAIL: wind speed below "&amp;SG_Criteria!$B$50&amp;" m/s. ","")&amp;IF(AND(Q179&lt;&gt;"",Q179&lt;SG_Criteria!$B$51),"FAIL: roof fixing pull-out below "&amp;SG_Criteria!$B$51&amp;" kN. ","")&amp;IF(AND(R179&lt;&gt;"",IFERROR(VALUE(MID(R179,2,2)),0)&lt;SG_Criteria!$B$52),"FAIL: grade below C"&amp;SG_Criteria!$B$52&amp;". ","")&amp;IF(D179="Non-standard (project design)","NOTE: not an SDRE standard, needs LTA acceptance. ",""))=0,"OK",IF(AND(C179&lt;&gt;"High Covered Linkway",F179&lt;SG_Criteria!$B$46),"FAIL: headroom below "&amp;SG_Criteria!$B$46&amp;" m. ","")&amp;IF(AND(C179="High Covered Linkway",F179&lt;SG_Criteria!$B$47),"FAIL: high linkway headroom below "&amp;SG_Criteria!$B$47&amp;" m. ","")&amp;IF(E179&lt;SG_Criteria!$B$48,"FAIL: roof width below "&amp;SG_Criteria!$B$48&amp;" m. ",IF(E179&lt;SG_Criteria!$B$49,"NOTE: not for MRT/LRT or high-traffic routes (min "&amp;SG_Criteria!$B$49&amp;" m). ",""))&amp;IF(AND(P179&lt;&gt;"",P179&lt;SG_Criteria!$B$50),"FAIL: wind speed below "&amp;SG_Criteria!$B$50&amp;" m/s. ","")&amp;IF(AND(Q179&lt;&gt;"",Q179&lt;SG_Criteria!$B$51),"FAIL: roof fixing pull-out below "&amp;SG_Criteria!$B$51&amp;" kN. ","")&amp;IF(AND(R179&lt;&gt;"",IFERROR(VALUE(MID(R179,2,2)),0)&lt;SG_Criteria!$B$52),"FAIL: grade below C"&amp;SG_Criteria!$B$52&amp;". ","")&amp;IF(D179="Non-standard (project design)","NOTE: not an SDRE standard, needs LTA acceptance. ","")))</f>
        <v/>
      </c>
      <c r="AP179" s="9"/>
      <c r="AQ179" s="9"/>
      <c r="AR179" s="9"/>
      <c r="AS179" s="9"/>
      <c r="AT179" s="9"/>
      <c r="AU179" s="31"/>
      <c r="AV179" s="10" t="str">
        <f aca="false">IF(C179="","",IF(AND(X179="Approved",ISERROR(SEARCH("FAIL",AO179))),"Y","N"))</f>
        <v/>
      </c>
      <c r="AW179" s="10" t="str">
        <f aca="false">IF(C179="","",C179&amp;"|"&amp;E179&amp;"|"&amp;F179&amp;"|"&amp;AV179)</f>
        <v/>
      </c>
    </row>
    <row r="180" customFormat="false" ht="15" hidden="false" customHeight="false" outlineLevel="0" collapsed="false">
      <c r="A180" s="10" t="str">
        <f aca="false">IF(C180="","","LKW-"&amp;IFERROR(VLOOKUP(C180,Lists!$AQ$4:$AR$17,2,0),"??")&amp;"-W"&amp;TEXT(E180*1000,"0000")&amp;"-H"&amp;TEXT(F180*1000,"0000")&amp;"-B"&amp;TEXT(G180*1000,"0000")&amp;"-"&amp;W180)</f>
        <v/>
      </c>
      <c r="B180" s="10" t="str">
        <f aca="false">IF(C180="","",C180&amp;", "&amp;E180&amp;" m wide, "&amp;F180&amp;" m headroom, "&amp;G180&amp;" m bays, "&amp;H180&amp;" ("&amp;D180&amp;")")</f>
        <v/>
      </c>
      <c r="C180" s="9"/>
      <c r="D180" s="9"/>
      <c r="E180" s="43"/>
      <c r="F180" s="43"/>
      <c r="G180" s="43"/>
      <c r="H180" s="9"/>
      <c r="I180" s="9"/>
      <c r="J180" s="9"/>
      <c r="K180" s="9"/>
      <c r="L180" s="9"/>
      <c r="M180" s="9"/>
      <c r="N180" s="9"/>
      <c r="O180" s="9"/>
      <c r="P180" s="40"/>
      <c r="Q180" s="43"/>
      <c r="R180" s="9"/>
      <c r="S180" s="9"/>
      <c r="T180" s="9"/>
      <c r="U180" s="43"/>
      <c r="V180" s="9"/>
      <c r="W180" s="9"/>
      <c r="X180" s="9"/>
      <c r="Y180" s="9"/>
      <c r="Z180" s="9"/>
      <c r="AA180" s="9"/>
      <c r="AB180" s="10" t="str">
        <f aca="false">IF(A180="","",SG_Criteria!$B$6&amp;SG_Criteria!$B$12&amp;"\"&amp;A180&amp;"\")</f>
        <v/>
      </c>
      <c r="AC180" s="10" t="str">
        <f aca="false">IF(A180="","",A180&amp;"_CAD.dwg")</f>
        <v/>
      </c>
      <c r="AD180" s="10" t="str">
        <f aca="false">IF(A180="","",A180&amp;"_DWG.pdf")</f>
        <v/>
      </c>
      <c r="AE180" s="10" t="str">
        <f aca="false">IF(A180="","",IF(AA180="Y",A180&amp;"_STAAD.std","n/a"))</f>
        <v/>
      </c>
      <c r="AF180" s="10" t="str">
        <f aca="false">IF(A180="","",A180&amp;"_CALC.xlsx")</f>
        <v/>
      </c>
      <c r="AG180" s="10" t="str">
        <f aca="false">IF(A180="","",A180&amp;"_CALC.pdf")</f>
        <v/>
      </c>
      <c r="AH180" s="9"/>
      <c r="AI180" s="9"/>
      <c r="AJ180" s="41"/>
      <c r="AK180" s="41"/>
      <c r="AL180" s="41"/>
      <c r="AM180" s="41"/>
      <c r="AN180" s="41"/>
      <c r="AO180" s="38" t="str">
        <f aca="false">IF(C180="","",IF(LEN(IF(AND(C180&lt;&gt;"High Covered Linkway",F180&lt;SG_Criteria!$B$46),"FAIL: headroom below "&amp;SG_Criteria!$B$46&amp;" m. ","")&amp;IF(AND(C180="High Covered Linkway",F180&lt;SG_Criteria!$B$47),"FAIL: high linkway headroom below "&amp;SG_Criteria!$B$47&amp;" m. ","")&amp;IF(E180&lt;SG_Criteria!$B$48,"FAIL: roof width below "&amp;SG_Criteria!$B$48&amp;" m. ",IF(E180&lt;SG_Criteria!$B$49,"NOTE: not for MRT/LRT or high-traffic routes (min "&amp;SG_Criteria!$B$49&amp;" m). ",""))&amp;IF(AND(P180&lt;&gt;"",P180&lt;SG_Criteria!$B$50),"FAIL: wind speed below "&amp;SG_Criteria!$B$50&amp;" m/s. ","")&amp;IF(AND(Q180&lt;&gt;"",Q180&lt;SG_Criteria!$B$51),"FAIL: roof fixing pull-out below "&amp;SG_Criteria!$B$51&amp;" kN. ","")&amp;IF(AND(R180&lt;&gt;"",IFERROR(VALUE(MID(R180,2,2)),0)&lt;SG_Criteria!$B$52),"FAIL: grade below C"&amp;SG_Criteria!$B$52&amp;". ","")&amp;IF(D180="Non-standard (project design)","NOTE: not an SDRE standard, needs LTA acceptance. ",""))=0,"OK",IF(AND(C180&lt;&gt;"High Covered Linkway",F180&lt;SG_Criteria!$B$46),"FAIL: headroom below "&amp;SG_Criteria!$B$46&amp;" m. ","")&amp;IF(AND(C180="High Covered Linkway",F180&lt;SG_Criteria!$B$47),"FAIL: high linkway headroom below "&amp;SG_Criteria!$B$47&amp;" m. ","")&amp;IF(E180&lt;SG_Criteria!$B$48,"FAIL: roof width below "&amp;SG_Criteria!$B$48&amp;" m. ",IF(E180&lt;SG_Criteria!$B$49,"NOTE: not for MRT/LRT or high-traffic routes (min "&amp;SG_Criteria!$B$49&amp;" m). ",""))&amp;IF(AND(P180&lt;&gt;"",P180&lt;SG_Criteria!$B$50),"FAIL: wind speed below "&amp;SG_Criteria!$B$50&amp;" m/s. ","")&amp;IF(AND(Q180&lt;&gt;"",Q180&lt;SG_Criteria!$B$51),"FAIL: roof fixing pull-out below "&amp;SG_Criteria!$B$51&amp;" kN. ","")&amp;IF(AND(R180&lt;&gt;"",IFERROR(VALUE(MID(R180,2,2)),0)&lt;SG_Criteria!$B$52),"FAIL: grade below C"&amp;SG_Criteria!$B$52&amp;". ","")&amp;IF(D180="Non-standard (project design)","NOTE: not an SDRE standard, needs LTA acceptance. ","")))</f>
        <v/>
      </c>
      <c r="AP180" s="9"/>
      <c r="AQ180" s="9"/>
      <c r="AR180" s="9"/>
      <c r="AS180" s="9"/>
      <c r="AT180" s="9"/>
      <c r="AU180" s="31"/>
      <c r="AV180" s="10" t="str">
        <f aca="false">IF(C180="","",IF(AND(X180="Approved",ISERROR(SEARCH("FAIL",AO180))),"Y","N"))</f>
        <v/>
      </c>
      <c r="AW180" s="10" t="str">
        <f aca="false">IF(C180="","",C180&amp;"|"&amp;E180&amp;"|"&amp;F180&amp;"|"&amp;AV180)</f>
        <v/>
      </c>
    </row>
    <row r="181" customFormat="false" ht="15" hidden="false" customHeight="false" outlineLevel="0" collapsed="false">
      <c r="A181" s="10" t="str">
        <f aca="false">IF(C181="","","LKW-"&amp;IFERROR(VLOOKUP(C181,Lists!$AQ$4:$AR$17,2,0),"??")&amp;"-W"&amp;TEXT(E181*1000,"0000")&amp;"-H"&amp;TEXT(F181*1000,"0000")&amp;"-B"&amp;TEXT(G181*1000,"0000")&amp;"-"&amp;W181)</f>
        <v/>
      </c>
      <c r="B181" s="10" t="str">
        <f aca="false">IF(C181="","",C181&amp;", "&amp;E181&amp;" m wide, "&amp;F181&amp;" m headroom, "&amp;G181&amp;" m bays, "&amp;H181&amp;" ("&amp;D181&amp;")")</f>
        <v/>
      </c>
      <c r="C181" s="9"/>
      <c r="D181" s="9"/>
      <c r="E181" s="43"/>
      <c r="F181" s="43"/>
      <c r="G181" s="43"/>
      <c r="H181" s="9"/>
      <c r="I181" s="9"/>
      <c r="J181" s="9"/>
      <c r="K181" s="9"/>
      <c r="L181" s="9"/>
      <c r="M181" s="9"/>
      <c r="N181" s="9"/>
      <c r="O181" s="9"/>
      <c r="P181" s="40"/>
      <c r="Q181" s="43"/>
      <c r="R181" s="9"/>
      <c r="S181" s="9"/>
      <c r="T181" s="9"/>
      <c r="U181" s="43"/>
      <c r="V181" s="9"/>
      <c r="W181" s="9"/>
      <c r="X181" s="9"/>
      <c r="Y181" s="9"/>
      <c r="Z181" s="9"/>
      <c r="AA181" s="9"/>
      <c r="AB181" s="10" t="str">
        <f aca="false">IF(A181="","",SG_Criteria!$B$6&amp;SG_Criteria!$B$12&amp;"\"&amp;A181&amp;"\")</f>
        <v/>
      </c>
      <c r="AC181" s="10" t="str">
        <f aca="false">IF(A181="","",A181&amp;"_CAD.dwg")</f>
        <v/>
      </c>
      <c r="AD181" s="10" t="str">
        <f aca="false">IF(A181="","",A181&amp;"_DWG.pdf")</f>
        <v/>
      </c>
      <c r="AE181" s="10" t="str">
        <f aca="false">IF(A181="","",IF(AA181="Y",A181&amp;"_STAAD.std","n/a"))</f>
        <v/>
      </c>
      <c r="AF181" s="10" t="str">
        <f aca="false">IF(A181="","",A181&amp;"_CALC.xlsx")</f>
        <v/>
      </c>
      <c r="AG181" s="10" t="str">
        <f aca="false">IF(A181="","",A181&amp;"_CALC.pdf")</f>
        <v/>
      </c>
      <c r="AH181" s="9"/>
      <c r="AI181" s="9"/>
      <c r="AJ181" s="41"/>
      <c r="AK181" s="41"/>
      <c r="AL181" s="41"/>
      <c r="AM181" s="41"/>
      <c r="AN181" s="41"/>
      <c r="AO181" s="38" t="str">
        <f aca="false">IF(C181="","",IF(LEN(IF(AND(C181&lt;&gt;"High Covered Linkway",F181&lt;SG_Criteria!$B$46),"FAIL: headroom below "&amp;SG_Criteria!$B$46&amp;" m. ","")&amp;IF(AND(C181="High Covered Linkway",F181&lt;SG_Criteria!$B$47),"FAIL: high linkway headroom below "&amp;SG_Criteria!$B$47&amp;" m. ","")&amp;IF(E181&lt;SG_Criteria!$B$48,"FAIL: roof width below "&amp;SG_Criteria!$B$48&amp;" m. ",IF(E181&lt;SG_Criteria!$B$49,"NOTE: not for MRT/LRT or high-traffic routes (min "&amp;SG_Criteria!$B$49&amp;" m). ",""))&amp;IF(AND(P181&lt;&gt;"",P181&lt;SG_Criteria!$B$50),"FAIL: wind speed below "&amp;SG_Criteria!$B$50&amp;" m/s. ","")&amp;IF(AND(Q181&lt;&gt;"",Q181&lt;SG_Criteria!$B$51),"FAIL: roof fixing pull-out below "&amp;SG_Criteria!$B$51&amp;" kN. ","")&amp;IF(AND(R181&lt;&gt;"",IFERROR(VALUE(MID(R181,2,2)),0)&lt;SG_Criteria!$B$52),"FAIL: grade below C"&amp;SG_Criteria!$B$52&amp;". ","")&amp;IF(D181="Non-standard (project design)","NOTE: not an SDRE standard, needs LTA acceptance. ",""))=0,"OK",IF(AND(C181&lt;&gt;"High Covered Linkway",F181&lt;SG_Criteria!$B$46),"FAIL: headroom below "&amp;SG_Criteria!$B$46&amp;" m. ","")&amp;IF(AND(C181="High Covered Linkway",F181&lt;SG_Criteria!$B$47),"FAIL: high linkway headroom below "&amp;SG_Criteria!$B$47&amp;" m. ","")&amp;IF(E181&lt;SG_Criteria!$B$48,"FAIL: roof width below "&amp;SG_Criteria!$B$48&amp;" m. ",IF(E181&lt;SG_Criteria!$B$49,"NOTE: not for MRT/LRT or high-traffic routes (min "&amp;SG_Criteria!$B$49&amp;" m). ",""))&amp;IF(AND(P181&lt;&gt;"",P181&lt;SG_Criteria!$B$50),"FAIL: wind speed below "&amp;SG_Criteria!$B$50&amp;" m/s. ","")&amp;IF(AND(Q181&lt;&gt;"",Q181&lt;SG_Criteria!$B$51),"FAIL: roof fixing pull-out below "&amp;SG_Criteria!$B$51&amp;" kN. ","")&amp;IF(AND(R181&lt;&gt;"",IFERROR(VALUE(MID(R181,2,2)),0)&lt;SG_Criteria!$B$52),"FAIL: grade below C"&amp;SG_Criteria!$B$52&amp;". ","")&amp;IF(D181="Non-standard (project design)","NOTE: not an SDRE standard, needs LTA acceptance. ","")))</f>
        <v/>
      </c>
      <c r="AP181" s="9"/>
      <c r="AQ181" s="9"/>
      <c r="AR181" s="9"/>
      <c r="AS181" s="9"/>
      <c r="AT181" s="9"/>
      <c r="AU181" s="31"/>
      <c r="AV181" s="10" t="str">
        <f aca="false">IF(C181="","",IF(AND(X181="Approved",ISERROR(SEARCH("FAIL",AO181))),"Y","N"))</f>
        <v/>
      </c>
      <c r="AW181" s="10" t="str">
        <f aca="false">IF(C181="","",C181&amp;"|"&amp;E181&amp;"|"&amp;F181&amp;"|"&amp;AV181)</f>
        <v/>
      </c>
    </row>
    <row r="182" customFormat="false" ht="15" hidden="false" customHeight="false" outlineLevel="0" collapsed="false">
      <c r="A182" s="10" t="str">
        <f aca="false">IF(C182="","","LKW-"&amp;IFERROR(VLOOKUP(C182,Lists!$AQ$4:$AR$17,2,0),"??")&amp;"-W"&amp;TEXT(E182*1000,"0000")&amp;"-H"&amp;TEXT(F182*1000,"0000")&amp;"-B"&amp;TEXT(G182*1000,"0000")&amp;"-"&amp;W182)</f>
        <v/>
      </c>
      <c r="B182" s="10" t="str">
        <f aca="false">IF(C182="","",C182&amp;", "&amp;E182&amp;" m wide, "&amp;F182&amp;" m headroom, "&amp;G182&amp;" m bays, "&amp;H182&amp;" ("&amp;D182&amp;")")</f>
        <v/>
      </c>
      <c r="C182" s="9"/>
      <c r="D182" s="9"/>
      <c r="E182" s="43"/>
      <c r="F182" s="43"/>
      <c r="G182" s="43"/>
      <c r="H182" s="9"/>
      <c r="I182" s="9"/>
      <c r="J182" s="9"/>
      <c r="K182" s="9"/>
      <c r="L182" s="9"/>
      <c r="M182" s="9"/>
      <c r="N182" s="9"/>
      <c r="O182" s="9"/>
      <c r="P182" s="40"/>
      <c r="Q182" s="43"/>
      <c r="R182" s="9"/>
      <c r="S182" s="9"/>
      <c r="T182" s="9"/>
      <c r="U182" s="43"/>
      <c r="V182" s="9"/>
      <c r="W182" s="9"/>
      <c r="X182" s="9"/>
      <c r="Y182" s="9"/>
      <c r="Z182" s="9"/>
      <c r="AA182" s="9"/>
      <c r="AB182" s="10" t="str">
        <f aca="false">IF(A182="","",SG_Criteria!$B$6&amp;SG_Criteria!$B$12&amp;"\"&amp;A182&amp;"\")</f>
        <v/>
      </c>
      <c r="AC182" s="10" t="str">
        <f aca="false">IF(A182="","",A182&amp;"_CAD.dwg")</f>
        <v/>
      </c>
      <c r="AD182" s="10" t="str">
        <f aca="false">IF(A182="","",A182&amp;"_DWG.pdf")</f>
        <v/>
      </c>
      <c r="AE182" s="10" t="str">
        <f aca="false">IF(A182="","",IF(AA182="Y",A182&amp;"_STAAD.std","n/a"))</f>
        <v/>
      </c>
      <c r="AF182" s="10" t="str">
        <f aca="false">IF(A182="","",A182&amp;"_CALC.xlsx")</f>
        <v/>
      </c>
      <c r="AG182" s="10" t="str">
        <f aca="false">IF(A182="","",A182&amp;"_CALC.pdf")</f>
        <v/>
      </c>
      <c r="AH182" s="9"/>
      <c r="AI182" s="9"/>
      <c r="AJ182" s="41"/>
      <c r="AK182" s="41"/>
      <c r="AL182" s="41"/>
      <c r="AM182" s="41"/>
      <c r="AN182" s="41"/>
      <c r="AO182" s="38" t="str">
        <f aca="false">IF(C182="","",IF(LEN(IF(AND(C182&lt;&gt;"High Covered Linkway",F182&lt;SG_Criteria!$B$46),"FAIL: headroom below "&amp;SG_Criteria!$B$46&amp;" m. ","")&amp;IF(AND(C182="High Covered Linkway",F182&lt;SG_Criteria!$B$47),"FAIL: high linkway headroom below "&amp;SG_Criteria!$B$47&amp;" m. ","")&amp;IF(E182&lt;SG_Criteria!$B$48,"FAIL: roof width below "&amp;SG_Criteria!$B$48&amp;" m. ",IF(E182&lt;SG_Criteria!$B$49,"NOTE: not for MRT/LRT or high-traffic routes (min "&amp;SG_Criteria!$B$49&amp;" m). ",""))&amp;IF(AND(P182&lt;&gt;"",P182&lt;SG_Criteria!$B$50),"FAIL: wind speed below "&amp;SG_Criteria!$B$50&amp;" m/s. ","")&amp;IF(AND(Q182&lt;&gt;"",Q182&lt;SG_Criteria!$B$51),"FAIL: roof fixing pull-out below "&amp;SG_Criteria!$B$51&amp;" kN. ","")&amp;IF(AND(R182&lt;&gt;"",IFERROR(VALUE(MID(R182,2,2)),0)&lt;SG_Criteria!$B$52),"FAIL: grade below C"&amp;SG_Criteria!$B$52&amp;". ","")&amp;IF(D182="Non-standard (project design)","NOTE: not an SDRE standard, needs LTA acceptance. ",""))=0,"OK",IF(AND(C182&lt;&gt;"High Covered Linkway",F182&lt;SG_Criteria!$B$46),"FAIL: headroom below "&amp;SG_Criteria!$B$46&amp;" m. ","")&amp;IF(AND(C182="High Covered Linkway",F182&lt;SG_Criteria!$B$47),"FAIL: high linkway headroom below "&amp;SG_Criteria!$B$47&amp;" m. ","")&amp;IF(E182&lt;SG_Criteria!$B$48,"FAIL: roof width below "&amp;SG_Criteria!$B$48&amp;" m. ",IF(E182&lt;SG_Criteria!$B$49,"NOTE: not for MRT/LRT or high-traffic routes (min "&amp;SG_Criteria!$B$49&amp;" m). ",""))&amp;IF(AND(P182&lt;&gt;"",P182&lt;SG_Criteria!$B$50),"FAIL: wind speed below "&amp;SG_Criteria!$B$50&amp;" m/s. ","")&amp;IF(AND(Q182&lt;&gt;"",Q182&lt;SG_Criteria!$B$51),"FAIL: roof fixing pull-out below "&amp;SG_Criteria!$B$51&amp;" kN. ","")&amp;IF(AND(R182&lt;&gt;"",IFERROR(VALUE(MID(R182,2,2)),0)&lt;SG_Criteria!$B$52),"FAIL: grade below C"&amp;SG_Criteria!$B$52&amp;". ","")&amp;IF(D182="Non-standard (project design)","NOTE: not an SDRE standard, needs LTA acceptance. ","")))</f>
        <v/>
      </c>
      <c r="AP182" s="9"/>
      <c r="AQ182" s="9"/>
      <c r="AR182" s="9"/>
      <c r="AS182" s="9"/>
      <c r="AT182" s="9"/>
      <c r="AU182" s="31"/>
      <c r="AV182" s="10" t="str">
        <f aca="false">IF(C182="","",IF(AND(X182="Approved",ISERROR(SEARCH("FAIL",AO182))),"Y","N"))</f>
        <v/>
      </c>
      <c r="AW182" s="10" t="str">
        <f aca="false">IF(C182="","",C182&amp;"|"&amp;E182&amp;"|"&amp;F182&amp;"|"&amp;AV182)</f>
        <v/>
      </c>
    </row>
    <row r="183" customFormat="false" ht="15" hidden="false" customHeight="false" outlineLevel="0" collapsed="false">
      <c r="A183" s="10" t="str">
        <f aca="false">IF(C183="","","LKW-"&amp;IFERROR(VLOOKUP(C183,Lists!$AQ$4:$AR$17,2,0),"??")&amp;"-W"&amp;TEXT(E183*1000,"0000")&amp;"-H"&amp;TEXT(F183*1000,"0000")&amp;"-B"&amp;TEXT(G183*1000,"0000")&amp;"-"&amp;W183)</f>
        <v/>
      </c>
      <c r="B183" s="10" t="str">
        <f aca="false">IF(C183="","",C183&amp;", "&amp;E183&amp;" m wide, "&amp;F183&amp;" m headroom, "&amp;G183&amp;" m bays, "&amp;H183&amp;" ("&amp;D183&amp;")")</f>
        <v/>
      </c>
      <c r="C183" s="9"/>
      <c r="D183" s="9"/>
      <c r="E183" s="43"/>
      <c r="F183" s="43"/>
      <c r="G183" s="43"/>
      <c r="H183" s="9"/>
      <c r="I183" s="9"/>
      <c r="J183" s="9"/>
      <c r="K183" s="9"/>
      <c r="L183" s="9"/>
      <c r="M183" s="9"/>
      <c r="N183" s="9"/>
      <c r="O183" s="9"/>
      <c r="P183" s="40"/>
      <c r="Q183" s="43"/>
      <c r="R183" s="9"/>
      <c r="S183" s="9"/>
      <c r="T183" s="9"/>
      <c r="U183" s="43"/>
      <c r="V183" s="9"/>
      <c r="W183" s="9"/>
      <c r="X183" s="9"/>
      <c r="Y183" s="9"/>
      <c r="Z183" s="9"/>
      <c r="AA183" s="9"/>
      <c r="AB183" s="10" t="str">
        <f aca="false">IF(A183="","",SG_Criteria!$B$6&amp;SG_Criteria!$B$12&amp;"\"&amp;A183&amp;"\")</f>
        <v/>
      </c>
      <c r="AC183" s="10" t="str">
        <f aca="false">IF(A183="","",A183&amp;"_CAD.dwg")</f>
        <v/>
      </c>
      <c r="AD183" s="10" t="str">
        <f aca="false">IF(A183="","",A183&amp;"_DWG.pdf")</f>
        <v/>
      </c>
      <c r="AE183" s="10" t="str">
        <f aca="false">IF(A183="","",IF(AA183="Y",A183&amp;"_STAAD.std","n/a"))</f>
        <v/>
      </c>
      <c r="AF183" s="10" t="str">
        <f aca="false">IF(A183="","",A183&amp;"_CALC.xlsx")</f>
        <v/>
      </c>
      <c r="AG183" s="10" t="str">
        <f aca="false">IF(A183="","",A183&amp;"_CALC.pdf")</f>
        <v/>
      </c>
      <c r="AH183" s="9"/>
      <c r="AI183" s="9"/>
      <c r="AJ183" s="41"/>
      <c r="AK183" s="41"/>
      <c r="AL183" s="41"/>
      <c r="AM183" s="41"/>
      <c r="AN183" s="41"/>
      <c r="AO183" s="38" t="str">
        <f aca="false">IF(C183="","",IF(LEN(IF(AND(C183&lt;&gt;"High Covered Linkway",F183&lt;SG_Criteria!$B$46),"FAIL: headroom below "&amp;SG_Criteria!$B$46&amp;" m. ","")&amp;IF(AND(C183="High Covered Linkway",F183&lt;SG_Criteria!$B$47),"FAIL: high linkway headroom below "&amp;SG_Criteria!$B$47&amp;" m. ","")&amp;IF(E183&lt;SG_Criteria!$B$48,"FAIL: roof width below "&amp;SG_Criteria!$B$48&amp;" m. ",IF(E183&lt;SG_Criteria!$B$49,"NOTE: not for MRT/LRT or high-traffic routes (min "&amp;SG_Criteria!$B$49&amp;" m). ",""))&amp;IF(AND(P183&lt;&gt;"",P183&lt;SG_Criteria!$B$50),"FAIL: wind speed below "&amp;SG_Criteria!$B$50&amp;" m/s. ","")&amp;IF(AND(Q183&lt;&gt;"",Q183&lt;SG_Criteria!$B$51),"FAIL: roof fixing pull-out below "&amp;SG_Criteria!$B$51&amp;" kN. ","")&amp;IF(AND(R183&lt;&gt;"",IFERROR(VALUE(MID(R183,2,2)),0)&lt;SG_Criteria!$B$52),"FAIL: grade below C"&amp;SG_Criteria!$B$52&amp;". ","")&amp;IF(D183="Non-standard (project design)","NOTE: not an SDRE standard, needs LTA acceptance. ",""))=0,"OK",IF(AND(C183&lt;&gt;"High Covered Linkway",F183&lt;SG_Criteria!$B$46),"FAIL: headroom below "&amp;SG_Criteria!$B$46&amp;" m. ","")&amp;IF(AND(C183="High Covered Linkway",F183&lt;SG_Criteria!$B$47),"FAIL: high linkway headroom below "&amp;SG_Criteria!$B$47&amp;" m. ","")&amp;IF(E183&lt;SG_Criteria!$B$48,"FAIL: roof width below "&amp;SG_Criteria!$B$48&amp;" m. ",IF(E183&lt;SG_Criteria!$B$49,"NOTE: not for MRT/LRT or high-traffic routes (min "&amp;SG_Criteria!$B$49&amp;" m). ",""))&amp;IF(AND(P183&lt;&gt;"",P183&lt;SG_Criteria!$B$50),"FAIL: wind speed below "&amp;SG_Criteria!$B$50&amp;" m/s. ","")&amp;IF(AND(Q183&lt;&gt;"",Q183&lt;SG_Criteria!$B$51),"FAIL: roof fixing pull-out below "&amp;SG_Criteria!$B$51&amp;" kN. ","")&amp;IF(AND(R183&lt;&gt;"",IFERROR(VALUE(MID(R183,2,2)),0)&lt;SG_Criteria!$B$52),"FAIL: grade below C"&amp;SG_Criteria!$B$52&amp;". ","")&amp;IF(D183="Non-standard (project design)","NOTE: not an SDRE standard, needs LTA acceptance. ","")))</f>
        <v/>
      </c>
      <c r="AP183" s="9"/>
      <c r="AQ183" s="9"/>
      <c r="AR183" s="9"/>
      <c r="AS183" s="9"/>
      <c r="AT183" s="9"/>
      <c r="AU183" s="31"/>
      <c r="AV183" s="10" t="str">
        <f aca="false">IF(C183="","",IF(AND(X183="Approved",ISERROR(SEARCH("FAIL",AO183))),"Y","N"))</f>
        <v/>
      </c>
      <c r="AW183" s="10" t="str">
        <f aca="false">IF(C183="","",C183&amp;"|"&amp;E183&amp;"|"&amp;F183&amp;"|"&amp;AV183)</f>
        <v/>
      </c>
    </row>
    <row r="184" customFormat="false" ht="15" hidden="false" customHeight="false" outlineLevel="0" collapsed="false">
      <c r="A184" s="10" t="str">
        <f aca="false">IF(C184="","","LKW-"&amp;IFERROR(VLOOKUP(C184,Lists!$AQ$4:$AR$17,2,0),"??")&amp;"-W"&amp;TEXT(E184*1000,"0000")&amp;"-H"&amp;TEXT(F184*1000,"0000")&amp;"-B"&amp;TEXT(G184*1000,"0000")&amp;"-"&amp;W184)</f>
        <v/>
      </c>
      <c r="B184" s="10" t="str">
        <f aca="false">IF(C184="","",C184&amp;", "&amp;E184&amp;" m wide, "&amp;F184&amp;" m headroom, "&amp;G184&amp;" m bays, "&amp;H184&amp;" ("&amp;D184&amp;")")</f>
        <v/>
      </c>
      <c r="C184" s="9"/>
      <c r="D184" s="9"/>
      <c r="E184" s="43"/>
      <c r="F184" s="43"/>
      <c r="G184" s="43"/>
      <c r="H184" s="9"/>
      <c r="I184" s="9"/>
      <c r="J184" s="9"/>
      <c r="K184" s="9"/>
      <c r="L184" s="9"/>
      <c r="M184" s="9"/>
      <c r="N184" s="9"/>
      <c r="O184" s="9"/>
      <c r="P184" s="40"/>
      <c r="Q184" s="43"/>
      <c r="R184" s="9"/>
      <c r="S184" s="9"/>
      <c r="T184" s="9"/>
      <c r="U184" s="43"/>
      <c r="V184" s="9"/>
      <c r="W184" s="9"/>
      <c r="X184" s="9"/>
      <c r="Y184" s="9"/>
      <c r="Z184" s="9"/>
      <c r="AA184" s="9"/>
      <c r="AB184" s="10" t="str">
        <f aca="false">IF(A184="","",SG_Criteria!$B$6&amp;SG_Criteria!$B$12&amp;"\"&amp;A184&amp;"\")</f>
        <v/>
      </c>
      <c r="AC184" s="10" t="str">
        <f aca="false">IF(A184="","",A184&amp;"_CAD.dwg")</f>
        <v/>
      </c>
      <c r="AD184" s="10" t="str">
        <f aca="false">IF(A184="","",A184&amp;"_DWG.pdf")</f>
        <v/>
      </c>
      <c r="AE184" s="10" t="str">
        <f aca="false">IF(A184="","",IF(AA184="Y",A184&amp;"_STAAD.std","n/a"))</f>
        <v/>
      </c>
      <c r="AF184" s="10" t="str">
        <f aca="false">IF(A184="","",A184&amp;"_CALC.xlsx")</f>
        <v/>
      </c>
      <c r="AG184" s="10" t="str">
        <f aca="false">IF(A184="","",A184&amp;"_CALC.pdf")</f>
        <v/>
      </c>
      <c r="AH184" s="9"/>
      <c r="AI184" s="9"/>
      <c r="AJ184" s="41"/>
      <c r="AK184" s="41"/>
      <c r="AL184" s="41"/>
      <c r="AM184" s="41"/>
      <c r="AN184" s="41"/>
      <c r="AO184" s="38" t="str">
        <f aca="false">IF(C184="","",IF(LEN(IF(AND(C184&lt;&gt;"High Covered Linkway",F184&lt;SG_Criteria!$B$46),"FAIL: headroom below "&amp;SG_Criteria!$B$46&amp;" m. ","")&amp;IF(AND(C184="High Covered Linkway",F184&lt;SG_Criteria!$B$47),"FAIL: high linkway headroom below "&amp;SG_Criteria!$B$47&amp;" m. ","")&amp;IF(E184&lt;SG_Criteria!$B$48,"FAIL: roof width below "&amp;SG_Criteria!$B$48&amp;" m. ",IF(E184&lt;SG_Criteria!$B$49,"NOTE: not for MRT/LRT or high-traffic routes (min "&amp;SG_Criteria!$B$49&amp;" m). ",""))&amp;IF(AND(P184&lt;&gt;"",P184&lt;SG_Criteria!$B$50),"FAIL: wind speed below "&amp;SG_Criteria!$B$50&amp;" m/s. ","")&amp;IF(AND(Q184&lt;&gt;"",Q184&lt;SG_Criteria!$B$51),"FAIL: roof fixing pull-out below "&amp;SG_Criteria!$B$51&amp;" kN. ","")&amp;IF(AND(R184&lt;&gt;"",IFERROR(VALUE(MID(R184,2,2)),0)&lt;SG_Criteria!$B$52),"FAIL: grade below C"&amp;SG_Criteria!$B$52&amp;". ","")&amp;IF(D184="Non-standard (project design)","NOTE: not an SDRE standard, needs LTA acceptance. ",""))=0,"OK",IF(AND(C184&lt;&gt;"High Covered Linkway",F184&lt;SG_Criteria!$B$46),"FAIL: headroom below "&amp;SG_Criteria!$B$46&amp;" m. ","")&amp;IF(AND(C184="High Covered Linkway",F184&lt;SG_Criteria!$B$47),"FAIL: high linkway headroom below "&amp;SG_Criteria!$B$47&amp;" m. ","")&amp;IF(E184&lt;SG_Criteria!$B$48,"FAIL: roof width below "&amp;SG_Criteria!$B$48&amp;" m. ",IF(E184&lt;SG_Criteria!$B$49,"NOTE: not for MRT/LRT or high-traffic routes (min "&amp;SG_Criteria!$B$49&amp;" m). ",""))&amp;IF(AND(P184&lt;&gt;"",P184&lt;SG_Criteria!$B$50),"FAIL: wind speed below "&amp;SG_Criteria!$B$50&amp;" m/s. ","")&amp;IF(AND(Q184&lt;&gt;"",Q184&lt;SG_Criteria!$B$51),"FAIL: roof fixing pull-out below "&amp;SG_Criteria!$B$51&amp;" kN. ","")&amp;IF(AND(R184&lt;&gt;"",IFERROR(VALUE(MID(R184,2,2)),0)&lt;SG_Criteria!$B$52),"FAIL: grade below C"&amp;SG_Criteria!$B$52&amp;". ","")&amp;IF(D184="Non-standard (project design)","NOTE: not an SDRE standard, needs LTA acceptance. ","")))</f>
        <v/>
      </c>
      <c r="AP184" s="9"/>
      <c r="AQ184" s="9"/>
      <c r="AR184" s="9"/>
      <c r="AS184" s="9"/>
      <c r="AT184" s="9"/>
      <c r="AU184" s="31"/>
      <c r="AV184" s="10" t="str">
        <f aca="false">IF(C184="","",IF(AND(X184="Approved",ISERROR(SEARCH("FAIL",AO184))),"Y","N"))</f>
        <v/>
      </c>
      <c r="AW184" s="10" t="str">
        <f aca="false">IF(C184="","",C184&amp;"|"&amp;E184&amp;"|"&amp;F184&amp;"|"&amp;AV184)</f>
        <v/>
      </c>
    </row>
    <row r="185" customFormat="false" ht="15" hidden="false" customHeight="false" outlineLevel="0" collapsed="false">
      <c r="A185" s="10" t="str">
        <f aca="false">IF(C185="","","LKW-"&amp;IFERROR(VLOOKUP(C185,Lists!$AQ$4:$AR$17,2,0),"??")&amp;"-W"&amp;TEXT(E185*1000,"0000")&amp;"-H"&amp;TEXT(F185*1000,"0000")&amp;"-B"&amp;TEXT(G185*1000,"0000")&amp;"-"&amp;W185)</f>
        <v/>
      </c>
      <c r="B185" s="10" t="str">
        <f aca="false">IF(C185="","",C185&amp;", "&amp;E185&amp;" m wide, "&amp;F185&amp;" m headroom, "&amp;G185&amp;" m bays, "&amp;H185&amp;" ("&amp;D185&amp;")")</f>
        <v/>
      </c>
      <c r="C185" s="9"/>
      <c r="D185" s="9"/>
      <c r="E185" s="43"/>
      <c r="F185" s="43"/>
      <c r="G185" s="43"/>
      <c r="H185" s="9"/>
      <c r="I185" s="9"/>
      <c r="J185" s="9"/>
      <c r="K185" s="9"/>
      <c r="L185" s="9"/>
      <c r="M185" s="9"/>
      <c r="N185" s="9"/>
      <c r="O185" s="9"/>
      <c r="P185" s="40"/>
      <c r="Q185" s="43"/>
      <c r="R185" s="9"/>
      <c r="S185" s="9"/>
      <c r="T185" s="9"/>
      <c r="U185" s="43"/>
      <c r="V185" s="9"/>
      <c r="W185" s="9"/>
      <c r="X185" s="9"/>
      <c r="Y185" s="9"/>
      <c r="Z185" s="9"/>
      <c r="AA185" s="9"/>
      <c r="AB185" s="10" t="str">
        <f aca="false">IF(A185="","",SG_Criteria!$B$6&amp;SG_Criteria!$B$12&amp;"\"&amp;A185&amp;"\")</f>
        <v/>
      </c>
      <c r="AC185" s="10" t="str">
        <f aca="false">IF(A185="","",A185&amp;"_CAD.dwg")</f>
        <v/>
      </c>
      <c r="AD185" s="10" t="str">
        <f aca="false">IF(A185="","",A185&amp;"_DWG.pdf")</f>
        <v/>
      </c>
      <c r="AE185" s="10" t="str">
        <f aca="false">IF(A185="","",IF(AA185="Y",A185&amp;"_STAAD.std","n/a"))</f>
        <v/>
      </c>
      <c r="AF185" s="10" t="str">
        <f aca="false">IF(A185="","",A185&amp;"_CALC.xlsx")</f>
        <v/>
      </c>
      <c r="AG185" s="10" t="str">
        <f aca="false">IF(A185="","",A185&amp;"_CALC.pdf")</f>
        <v/>
      </c>
      <c r="AH185" s="9"/>
      <c r="AI185" s="9"/>
      <c r="AJ185" s="41"/>
      <c r="AK185" s="41"/>
      <c r="AL185" s="41"/>
      <c r="AM185" s="41"/>
      <c r="AN185" s="41"/>
      <c r="AO185" s="38" t="str">
        <f aca="false">IF(C185="","",IF(LEN(IF(AND(C185&lt;&gt;"High Covered Linkway",F185&lt;SG_Criteria!$B$46),"FAIL: headroom below "&amp;SG_Criteria!$B$46&amp;" m. ","")&amp;IF(AND(C185="High Covered Linkway",F185&lt;SG_Criteria!$B$47),"FAIL: high linkway headroom below "&amp;SG_Criteria!$B$47&amp;" m. ","")&amp;IF(E185&lt;SG_Criteria!$B$48,"FAIL: roof width below "&amp;SG_Criteria!$B$48&amp;" m. ",IF(E185&lt;SG_Criteria!$B$49,"NOTE: not for MRT/LRT or high-traffic routes (min "&amp;SG_Criteria!$B$49&amp;" m). ",""))&amp;IF(AND(P185&lt;&gt;"",P185&lt;SG_Criteria!$B$50),"FAIL: wind speed below "&amp;SG_Criteria!$B$50&amp;" m/s. ","")&amp;IF(AND(Q185&lt;&gt;"",Q185&lt;SG_Criteria!$B$51),"FAIL: roof fixing pull-out below "&amp;SG_Criteria!$B$51&amp;" kN. ","")&amp;IF(AND(R185&lt;&gt;"",IFERROR(VALUE(MID(R185,2,2)),0)&lt;SG_Criteria!$B$52),"FAIL: grade below C"&amp;SG_Criteria!$B$52&amp;". ","")&amp;IF(D185="Non-standard (project design)","NOTE: not an SDRE standard, needs LTA acceptance. ",""))=0,"OK",IF(AND(C185&lt;&gt;"High Covered Linkway",F185&lt;SG_Criteria!$B$46),"FAIL: headroom below "&amp;SG_Criteria!$B$46&amp;" m. ","")&amp;IF(AND(C185="High Covered Linkway",F185&lt;SG_Criteria!$B$47),"FAIL: high linkway headroom below "&amp;SG_Criteria!$B$47&amp;" m. ","")&amp;IF(E185&lt;SG_Criteria!$B$48,"FAIL: roof width below "&amp;SG_Criteria!$B$48&amp;" m. ",IF(E185&lt;SG_Criteria!$B$49,"NOTE: not for MRT/LRT or high-traffic routes (min "&amp;SG_Criteria!$B$49&amp;" m). ",""))&amp;IF(AND(P185&lt;&gt;"",P185&lt;SG_Criteria!$B$50),"FAIL: wind speed below "&amp;SG_Criteria!$B$50&amp;" m/s. ","")&amp;IF(AND(Q185&lt;&gt;"",Q185&lt;SG_Criteria!$B$51),"FAIL: roof fixing pull-out below "&amp;SG_Criteria!$B$51&amp;" kN. ","")&amp;IF(AND(R185&lt;&gt;"",IFERROR(VALUE(MID(R185,2,2)),0)&lt;SG_Criteria!$B$52),"FAIL: grade below C"&amp;SG_Criteria!$B$52&amp;". ","")&amp;IF(D185="Non-standard (project design)","NOTE: not an SDRE standard, needs LTA acceptance. ","")))</f>
        <v/>
      </c>
      <c r="AP185" s="9"/>
      <c r="AQ185" s="9"/>
      <c r="AR185" s="9"/>
      <c r="AS185" s="9"/>
      <c r="AT185" s="9"/>
      <c r="AU185" s="31"/>
      <c r="AV185" s="10" t="str">
        <f aca="false">IF(C185="","",IF(AND(X185="Approved",ISERROR(SEARCH("FAIL",AO185))),"Y","N"))</f>
        <v/>
      </c>
      <c r="AW185" s="10" t="str">
        <f aca="false">IF(C185="","",C185&amp;"|"&amp;E185&amp;"|"&amp;F185&amp;"|"&amp;AV185)</f>
        <v/>
      </c>
    </row>
    <row r="186" customFormat="false" ht="15" hidden="false" customHeight="false" outlineLevel="0" collapsed="false">
      <c r="A186" s="10" t="str">
        <f aca="false">IF(C186="","","LKW-"&amp;IFERROR(VLOOKUP(C186,Lists!$AQ$4:$AR$17,2,0),"??")&amp;"-W"&amp;TEXT(E186*1000,"0000")&amp;"-H"&amp;TEXT(F186*1000,"0000")&amp;"-B"&amp;TEXT(G186*1000,"0000")&amp;"-"&amp;W186)</f>
        <v/>
      </c>
      <c r="B186" s="10" t="str">
        <f aca="false">IF(C186="","",C186&amp;", "&amp;E186&amp;" m wide, "&amp;F186&amp;" m headroom, "&amp;G186&amp;" m bays, "&amp;H186&amp;" ("&amp;D186&amp;")")</f>
        <v/>
      </c>
      <c r="C186" s="9"/>
      <c r="D186" s="9"/>
      <c r="E186" s="43"/>
      <c r="F186" s="43"/>
      <c r="G186" s="43"/>
      <c r="H186" s="9"/>
      <c r="I186" s="9"/>
      <c r="J186" s="9"/>
      <c r="K186" s="9"/>
      <c r="L186" s="9"/>
      <c r="M186" s="9"/>
      <c r="N186" s="9"/>
      <c r="O186" s="9"/>
      <c r="P186" s="40"/>
      <c r="Q186" s="43"/>
      <c r="R186" s="9"/>
      <c r="S186" s="9"/>
      <c r="T186" s="9"/>
      <c r="U186" s="43"/>
      <c r="V186" s="9"/>
      <c r="W186" s="9"/>
      <c r="X186" s="9"/>
      <c r="Y186" s="9"/>
      <c r="Z186" s="9"/>
      <c r="AA186" s="9"/>
      <c r="AB186" s="10" t="str">
        <f aca="false">IF(A186="","",SG_Criteria!$B$6&amp;SG_Criteria!$B$12&amp;"\"&amp;A186&amp;"\")</f>
        <v/>
      </c>
      <c r="AC186" s="10" t="str">
        <f aca="false">IF(A186="","",A186&amp;"_CAD.dwg")</f>
        <v/>
      </c>
      <c r="AD186" s="10" t="str">
        <f aca="false">IF(A186="","",A186&amp;"_DWG.pdf")</f>
        <v/>
      </c>
      <c r="AE186" s="10" t="str">
        <f aca="false">IF(A186="","",IF(AA186="Y",A186&amp;"_STAAD.std","n/a"))</f>
        <v/>
      </c>
      <c r="AF186" s="10" t="str">
        <f aca="false">IF(A186="","",A186&amp;"_CALC.xlsx")</f>
        <v/>
      </c>
      <c r="AG186" s="10" t="str">
        <f aca="false">IF(A186="","",A186&amp;"_CALC.pdf")</f>
        <v/>
      </c>
      <c r="AH186" s="9"/>
      <c r="AI186" s="9"/>
      <c r="AJ186" s="41"/>
      <c r="AK186" s="41"/>
      <c r="AL186" s="41"/>
      <c r="AM186" s="41"/>
      <c r="AN186" s="41"/>
      <c r="AO186" s="38" t="str">
        <f aca="false">IF(C186="","",IF(LEN(IF(AND(C186&lt;&gt;"High Covered Linkway",F186&lt;SG_Criteria!$B$46),"FAIL: headroom below "&amp;SG_Criteria!$B$46&amp;" m. ","")&amp;IF(AND(C186="High Covered Linkway",F186&lt;SG_Criteria!$B$47),"FAIL: high linkway headroom below "&amp;SG_Criteria!$B$47&amp;" m. ","")&amp;IF(E186&lt;SG_Criteria!$B$48,"FAIL: roof width below "&amp;SG_Criteria!$B$48&amp;" m. ",IF(E186&lt;SG_Criteria!$B$49,"NOTE: not for MRT/LRT or high-traffic routes (min "&amp;SG_Criteria!$B$49&amp;" m). ",""))&amp;IF(AND(P186&lt;&gt;"",P186&lt;SG_Criteria!$B$50),"FAIL: wind speed below "&amp;SG_Criteria!$B$50&amp;" m/s. ","")&amp;IF(AND(Q186&lt;&gt;"",Q186&lt;SG_Criteria!$B$51),"FAIL: roof fixing pull-out below "&amp;SG_Criteria!$B$51&amp;" kN. ","")&amp;IF(AND(R186&lt;&gt;"",IFERROR(VALUE(MID(R186,2,2)),0)&lt;SG_Criteria!$B$52),"FAIL: grade below C"&amp;SG_Criteria!$B$52&amp;". ","")&amp;IF(D186="Non-standard (project design)","NOTE: not an SDRE standard, needs LTA acceptance. ",""))=0,"OK",IF(AND(C186&lt;&gt;"High Covered Linkway",F186&lt;SG_Criteria!$B$46),"FAIL: headroom below "&amp;SG_Criteria!$B$46&amp;" m. ","")&amp;IF(AND(C186="High Covered Linkway",F186&lt;SG_Criteria!$B$47),"FAIL: high linkway headroom below "&amp;SG_Criteria!$B$47&amp;" m. ","")&amp;IF(E186&lt;SG_Criteria!$B$48,"FAIL: roof width below "&amp;SG_Criteria!$B$48&amp;" m. ",IF(E186&lt;SG_Criteria!$B$49,"NOTE: not for MRT/LRT or high-traffic routes (min "&amp;SG_Criteria!$B$49&amp;" m). ",""))&amp;IF(AND(P186&lt;&gt;"",P186&lt;SG_Criteria!$B$50),"FAIL: wind speed below "&amp;SG_Criteria!$B$50&amp;" m/s. ","")&amp;IF(AND(Q186&lt;&gt;"",Q186&lt;SG_Criteria!$B$51),"FAIL: roof fixing pull-out below "&amp;SG_Criteria!$B$51&amp;" kN. ","")&amp;IF(AND(R186&lt;&gt;"",IFERROR(VALUE(MID(R186,2,2)),0)&lt;SG_Criteria!$B$52),"FAIL: grade below C"&amp;SG_Criteria!$B$52&amp;". ","")&amp;IF(D186="Non-standard (project design)","NOTE: not an SDRE standard, needs LTA acceptance. ","")))</f>
        <v/>
      </c>
      <c r="AP186" s="9"/>
      <c r="AQ186" s="9"/>
      <c r="AR186" s="9"/>
      <c r="AS186" s="9"/>
      <c r="AT186" s="9"/>
      <c r="AU186" s="31"/>
      <c r="AV186" s="10" t="str">
        <f aca="false">IF(C186="","",IF(AND(X186="Approved",ISERROR(SEARCH("FAIL",AO186))),"Y","N"))</f>
        <v/>
      </c>
      <c r="AW186" s="10" t="str">
        <f aca="false">IF(C186="","",C186&amp;"|"&amp;E186&amp;"|"&amp;F186&amp;"|"&amp;AV186)</f>
        <v/>
      </c>
    </row>
    <row r="187" customFormat="false" ht="15" hidden="false" customHeight="false" outlineLevel="0" collapsed="false">
      <c r="A187" s="10" t="str">
        <f aca="false">IF(C187="","","LKW-"&amp;IFERROR(VLOOKUP(C187,Lists!$AQ$4:$AR$17,2,0),"??")&amp;"-W"&amp;TEXT(E187*1000,"0000")&amp;"-H"&amp;TEXT(F187*1000,"0000")&amp;"-B"&amp;TEXT(G187*1000,"0000")&amp;"-"&amp;W187)</f>
        <v/>
      </c>
      <c r="B187" s="10" t="str">
        <f aca="false">IF(C187="","",C187&amp;", "&amp;E187&amp;" m wide, "&amp;F187&amp;" m headroom, "&amp;G187&amp;" m bays, "&amp;H187&amp;" ("&amp;D187&amp;")")</f>
        <v/>
      </c>
      <c r="C187" s="9"/>
      <c r="D187" s="9"/>
      <c r="E187" s="43"/>
      <c r="F187" s="43"/>
      <c r="G187" s="43"/>
      <c r="H187" s="9"/>
      <c r="I187" s="9"/>
      <c r="J187" s="9"/>
      <c r="K187" s="9"/>
      <c r="L187" s="9"/>
      <c r="M187" s="9"/>
      <c r="N187" s="9"/>
      <c r="O187" s="9"/>
      <c r="P187" s="40"/>
      <c r="Q187" s="43"/>
      <c r="R187" s="9"/>
      <c r="S187" s="9"/>
      <c r="T187" s="9"/>
      <c r="U187" s="43"/>
      <c r="V187" s="9"/>
      <c r="W187" s="9"/>
      <c r="X187" s="9"/>
      <c r="Y187" s="9"/>
      <c r="Z187" s="9"/>
      <c r="AA187" s="9"/>
      <c r="AB187" s="10" t="str">
        <f aca="false">IF(A187="","",SG_Criteria!$B$6&amp;SG_Criteria!$B$12&amp;"\"&amp;A187&amp;"\")</f>
        <v/>
      </c>
      <c r="AC187" s="10" t="str">
        <f aca="false">IF(A187="","",A187&amp;"_CAD.dwg")</f>
        <v/>
      </c>
      <c r="AD187" s="10" t="str">
        <f aca="false">IF(A187="","",A187&amp;"_DWG.pdf")</f>
        <v/>
      </c>
      <c r="AE187" s="10" t="str">
        <f aca="false">IF(A187="","",IF(AA187="Y",A187&amp;"_STAAD.std","n/a"))</f>
        <v/>
      </c>
      <c r="AF187" s="10" t="str">
        <f aca="false">IF(A187="","",A187&amp;"_CALC.xlsx")</f>
        <v/>
      </c>
      <c r="AG187" s="10" t="str">
        <f aca="false">IF(A187="","",A187&amp;"_CALC.pdf")</f>
        <v/>
      </c>
      <c r="AH187" s="9"/>
      <c r="AI187" s="9"/>
      <c r="AJ187" s="41"/>
      <c r="AK187" s="41"/>
      <c r="AL187" s="41"/>
      <c r="AM187" s="41"/>
      <c r="AN187" s="41"/>
      <c r="AO187" s="38" t="str">
        <f aca="false">IF(C187="","",IF(LEN(IF(AND(C187&lt;&gt;"High Covered Linkway",F187&lt;SG_Criteria!$B$46),"FAIL: headroom below "&amp;SG_Criteria!$B$46&amp;" m. ","")&amp;IF(AND(C187="High Covered Linkway",F187&lt;SG_Criteria!$B$47),"FAIL: high linkway headroom below "&amp;SG_Criteria!$B$47&amp;" m. ","")&amp;IF(E187&lt;SG_Criteria!$B$48,"FAIL: roof width below "&amp;SG_Criteria!$B$48&amp;" m. ",IF(E187&lt;SG_Criteria!$B$49,"NOTE: not for MRT/LRT or high-traffic routes (min "&amp;SG_Criteria!$B$49&amp;" m). ",""))&amp;IF(AND(P187&lt;&gt;"",P187&lt;SG_Criteria!$B$50),"FAIL: wind speed below "&amp;SG_Criteria!$B$50&amp;" m/s. ","")&amp;IF(AND(Q187&lt;&gt;"",Q187&lt;SG_Criteria!$B$51),"FAIL: roof fixing pull-out below "&amp;SG_Criteria!$B$51&amp;" kN. ","")&amp;IF(AND(R187&lt;&gt;"",IFERROR(VALUE(MID(R187,2,2)),0)&lt;SG_Criteria!$B$52),"FAIL: grade below C"&amp;SG_Criteria!$B$52&amp;". ","")&amp;IF(D187="Non-standard (project design)","NOTE: not an SDRE standard, needs LTA acceptance. ",""))=0,"OK",IF(AND(C187&lt;&gt;"High Covered Linkway",F187&lt;SG_Criteria!$B$46),"FAIL: headroom below "&amp;SG_Criteria!$B$46&amp;" m. ","")&amp;IF(AND(C187="High Covered Linkway",F187&lt;SG_Criteria!$B$47),"FAIL: high linkway headroom below "&amp;SG_Criteria!$B$47&amp;" m. ","")&amp;IF(E187&lt;SG_Criteria!$B$48,"FAIL: roof width below "&amp;SG_Criteria!$B$48&amp;" m. ",IF(E187&lt;SG_Criteria!$B$49,"NOTE: not for MRT/LRT or high-traffic routes (min "&amp;SG_Criteria!$B$49&amp;" m). ",""))&amp;IF(AND(P187&lt;&gt;"",P187&lt;SG_Criteria!$B$50),"FAIL: wind speed below "&amp;SG_Criteria!$B$50&amp;" m/s. ","")&amp;IF(AND(Q187&lt;&gt;"",Q187&lt;SG_Criteria!$B$51),"FAIL: roof fixing pull-out below "&amp;SG_Criteria!$B$51&amp;" kN. ","")&amp;IF(AND(R187&lt;&gt;"",IFERROR(VALUE(MID(R187,2,2)),0)&lt;SG_Criteria!$B$52),"FAIL: grade below C"&amp;SG_Criteria!$B$52&amp;". ","")&amp;IF(D187="Non-standard (project design)","NOTE: not an SDRE standard, needs LTA acceptance. ","")))</f>
        <v/>
      </c>
      <c r="AP187" s="9"/>
      <c r="AQ187" s="9"/>
      <c r="AR187" s="9"/>
      <c r="AS187" s="9"/>
      <c r="AT187" s="9"/>
      <c r="AU187" s="31"/>
      <c r="AV187" s="10" t="str">
        <f aca="false">IF(C187="","",IF(AND(X187="Approved",ISERROR(SEARCH("FAIL",AO187))),"Y","N"))</f>
        <v/>
      </c>
      <c r="AW187" s="10" t="str">
        <f aca="false">IF(C187="","",C187&amp;"|"&amp;E187&amp;"|"&amp;F187&amp;"|"&amp;AV187)</f>
        <v/>
      </c>
    </row>
    <row r="188" customFormat="false" ht="15" hidden="false" customHeight="false" outlineLevel="0" collapsed="false">
      <c r="A188" s="10" t="str">
        <f aca="false">IF(C188="","","LKW-"&amp;IFERROR(VLOOKUP(C188,Lists!$AQ$4:$AR$17,2,0),"??")&amp;"-W"&amp;TEXT(E188*1000,"0000")&amp;"-H"&amp;TEXT(F188*1000,"0000")&amp;"-B"&amp;TEXT(G188*1000,"0000")&amp;"-"&amp;W188)</f>
        <v/>
      </c>
      <c r="B188" s="10" t="str">
        <f aca="false">IF(C188="","",C188&amp;", "&amp;E188&amp;" m wide, "&amp;F188&amp;" m headroom, "&amp;G188&amp;" m bays, "&amp;H188&amp;" ("&amp;D188&amp;")")</f>
        <v/>
      </c>
      <c r="C188" s="9"/>
      <c r="D188" s="9"/>
      <c r="E188" s="43"/>
      <c r="F188" s="43"/>
      <c r="G188" s="43"/>
      <c r="H188" s="9"/>
      <c r="I188" s="9"/>
      <c r="J188" s="9"/>
      <c r="K188" s="9"/>
      <c r="L188" s="9"/>
      <c r="M188" s="9"/>
      <c r="N188" s="9"/>
      <c r="O188" s="9"/>
      <c r="P188" s="40"/>
      <c r="Q188" s="43"/>
      <c r="R188" s="9"/>
      <c r="S188" s="9"/>
      <c r="T188" s="9"/>
      <c r="U188" s="43"/>
      <c r="V188" s="9"/>
      <c r="W188" s="9"/>
      <c r="X188" s="9"/>
      <c r="Y188" s="9"/>
      <c r="Z188" s="9"/>
      <c r="AA188" s="9"/>
      <c r="AB188" s="10" t="str">
        <f aca="false">IF(A188="","",SG_Criteria!$B$6&amp;SG_Criteria!$B$12&amp;"\"&amp;A188&amp;"\")</f>
        <v/>
      </c>
      <c r="AC188" s="10" t="str">
        <f aca="false">IF(A188="","",A188&amp;"_CAD.dwg")</f>
        <v/>
      </c>
      <c r="AD188" s="10" t="str">
        <f aca="false">IF(A188="","",A188&amp;"_DWG.pdf")</f>
        <v/>
      </c>
      <c r="AE188" s="10" t="str">
        <f aca="false">IF(A188="","",IF(AA188="Y",A188&amp;"_STAAD.std","n/a"))</f>
        <v/>
      </c>
      <c r="AF188" s="10" t="str">
        <f aca="false">IF(A188="","",A188&amp;"_CALC.xlsx")</f>
        <v/>
      </c>
      <c r="AG188" s="10" t="str">
        <f aca="false">IF(A188="","",A188&amp;"_CALC.pdf")</f>
        <v/>
      </c>
      <c r="AH188" s="9"/>
      <c r="AI188" s="9"/>
      <c r="AJ188" s="41"/>
      <c r="AK188" s="41"/>
      <c r="AL188" s="41"/>
      <c r="AM188" s="41"/>
      <c r="AN188" s="41"/>
      <c r="AO188" s="38" t="str">
        <f aca="false">IF(C188="","",IF(LEN(IF(AND(C188&lt;&gt;"High Covered Linkway",F188&lt;SG_Criteria!$B$46),"FAIL: headroom below "&amp;SG_Criteria!$B$46&amp;" m. ","")&amp;IF(AND(C188="High Covered Linkway",F188&lt;SG_Criteria!$B$47),"FAIL: high linkway headroom below "&amp;SG_Criteria!$B$47&amp;" m. ","")&amp;IF(E188&lt;SG_Criteria!$B$48,"FAIL: roof width below "&amp;SG_Criteria!$B$48&amp;" m. ",IF(E188&lt;SG_Criteria!$B$49,"NOTE: not for MRT/LRT or high-traffic routes (min "&amp;SG_Criteria!$B$49&amp;" m). ",""))&amp;IF(AND(P188&lt;&gt;"",P188&lt;SG_Criteria!$B$50),"FAIL: wind speed below "&amp;SG_Criteria!$B$50&amp;" m/s. ","")&amp;IF(AND(Q188&lt;&gt;"",Q188&lt;SG_Criteria!$B$51),"FAIL: roof fixing pull-out below "&amp;SG_Criteria!$B$51&amp;" kN. ","")&amp;IF(AND(R188&lt;&gt;"",IFERROR(VALUE(MID(R188,2,2)),0)&lt;SG_Criteria!$B$52),"FAIL: grade below C"&amp;SG_Criteria!$B$52&amp;". ","")&amp;IF(D188="Non-standard (project design)","NOTE: not an SDRE standard, needs LTA acceptance. ",""))=0,"OK",IF(AND(C188&lt;&gt;"High Covered Linkway",F188&lt;SG_Criteria!$B$46),"FAIL: headroom below "&amp;SG_Criteria!$B$46&amp;" m. ","")&amp;IF(AND(C188="High Covered Linkway",F188&lt;SG_Criteria!$B$47),"FAIL: high linkway headroom below "&amp;SG_Criteria!$B$47&amp;" m. ","")&amp;IF(E188&lt;SG_Criteria!$B$48,"FAIL: roof width below "&amp;SG_Criteria!$B$48&amp;" m. ",IF(E188&lt;SG_Criteria!$B$49,"NOTE: not for MRT/LRT or high-traffic routes (min "&amp;SG_Criteria!$B$49&amp;" m). ",""))&amp;IF(AND(P188&lt;&gt;"",P188&lt;SG_Criteria!$B$50),"FAIL: wind speed below "&amp;SG_Criteria!$B$50&amp;" m/s. ","")&amp;IF(AND(Q188&lt;&gt;"",Q188&lt;SG_Criteria!$B$51),"FAIL: roof fixing pull-out below "&amp;SG_Criteria!$B$51&amp;" kN. ","")&amp;IF(AND(R188&lt;&gt;"",IFERROR(VALUE(MID(R188,2,2)),0)&lt;SG_Criteria!$B$52),"FAIL: grade below C"&amp;SG_Criteria!$B$52&amp;". ","")&amp;IF(D188="Non-standard (project design)","NOTE: not an SDRE standard, needs LTA acceptance. ","")))</f>
        <v/>
      </c>
      <c r="AP188" s="9"/>
      <c r="AQ188" s="9"/>
      <c r="AR188" s="9"/>
      <c r="AS188" s="9"/>
      <c r="AT188" s="9"/>
      <c r="AU188" s="31"/>
      <c r="AV188" s="10" t="str">
        <f aca="false">IF(C188="","",IF(AND(X188="Approved",ISERROR(SEARCH("FAIL",AO188))),"Y","N"))</f>
        <v/>
      </c>
      <c r="AW188" s="10" t="str">
        <f aca="false">IF(C188="","",C188&amp;"|"&amp;E188&amp;"|"&amp;F188&amp;"|"&amp;AV188)</f>
        <v/>
      </c>
    </row>
    <row r="189" customFormat="false" ht="15" hidden="false" customHeight="false" outlineLevel="0" collapsed="false">
      <c r="A189" s="10" t="str">
        <f aca="false">IF(C189="","","LKW-"&amp;IFERROR(VLOOKUP(C189,Lists!$AQ$4:$AR$17,2,0),"??")&amp;"-W"&amp;TEXT(E189*1000,"0000")&amp;"-H"&amp;TEXT(F189*1000,"0000")&amp;"-B"&amp;TEXT(G189*1000,"0000")&amp;"-"&amp;W189)</f>
        <v/>
      </c>
      <c r="B189" s="10" t="str">
        <f aca="false">IF(C189="","",C189&amp;", "&amp;E189&amp;" m wide, "&amp;F189&amp;" m headroom, "&amp;G189&amp;" m bays, "&amp;H189&amp;" ("&amp;D189&amp;")")</f>
        <v/>
      </c>
      <c r="C189" s="9"/>
      <c r="D189" s="9"/>
      <c r="E189" s="43"/>
      <c r="F189" s="43"/>
      <c r="G189" s="43"/>
      <c r="H189" s="9"/>
      <c r="I189" s="9"/>
      <c r="J189" s="9"/>
      <c r="K189" s="9"/>
      <c r="L189" s="9"/>
      <c r="M189" s="9"/>
      <c r="N189" s="9"/>
      <c r="O189" s="9"/>
      <c r="P189" s="40"/>
      <c r="Q189" s="43"/>
      <c r="R189" s="9"/>
      <c r="S189" s="9"/>
      <c r="T189" s="9"/>
      <c r="U189" s="43"/>
      <c r="V189" s="9"/>
      <c r="W189" s="9"/>
      <c r="X189" s="9"/>
      <c r="Y189" s="9"/>
      <c r="Z189" s="9"/>
      <c r="AA189" s="9"/>
      <c r="AB189" s="10" t="str">
        <f aca="false">IF(A189="","",SG_Criteria!$B$6&amp;SG_Criteria!$B$12&amp;"\"&amp;A189&amp;"\")</f>
        <v/>
      </c>
      <c r="AC189" s="10" t="str">
        <f aca="false">IF(A189="","",A189&amp;"_CAD.dwg")</f>
        <v/>
      </c>
      <c r="AD189" s="10" t="str">
        <f aca="false">IF(A189="","",A189&amp;"_DWG.pdf")</f>
        <v/>
      </c>
      <c r="AE189" s="10" t="str">
        <f aca="false">IF(A189="","",IF(AA189="Y",A189&amp;"_STAAD.std","n/a"))</f>
        <v/>
      </c>
      <c r="AF189" s="10" t="str">
        <f aca="false">IF(A189="","",A189&amp;"_CALC.xlsx")</f>
        <v/>
      </c>
      <c r="AG189" s="10" t="str">
        <f aca="false">IF(A189="","",A189&amp;"_CALC.pdf")</f>
        <v/>
      </c>
      <c r="AH189" s="9"/>
      <c r="AI189" s="9"/>
      <c r="AJ189" s="41"/>
      <c r="AK189" s="41"/>
      <c r="AL189" s="41"/>
      <c r="AM189" s="41"/>
      <c r="AN189" s="41"/>
      <c r="AO189" s="38" t="str">
        <f aca="false">IF(C189="","",IF(LEN(IF(AND(C189&lt;&gt;"High Covered Linkway",F189&lt;SG_Criteria!$B$46),"FAIL: headroom below "&amp;SG_Criteria!$B$46&amp;" m. ","")&amp;IF(AND(C189="High Covered Linkway",F189&lt;SG_Criteria!$B$47),"FAIL: high linkway headroom below "&amp;SG_Criteria!$B$47&amp;" m. ","")&amp;IF(E189&lt;SG_Criteria!$B$48,"FAIL: roof width below "&amp;SG_Criteria!$B$48&amp;" m. ",IF(E189&lt;SG_Criteria!$B$49,"NOTE: not for MRT/LRT or high-traffic routes (min "&amp;SG_Criteria!$B$49&amp;" m). ",""))&amp;IF(AND(P189&lt;&gt;"",P189&lt;SG_Criteria!$B$50),"FAIL: wind speed below "&amp;SG_Criteria!$B$50&amp;" m/s. ","")&amp;IF(AND(Q189&lt;&gt;"",Q189&lt;SG_Criteria!$B$51),"FAIL: roof fixing pull-out below "&amp;SG_Criteria!$B$51&amp;" kN. ","")&amp;IF(AND(R189&lt;&gt;"",IFERROR(VALUE(MID(R189,2,2)),0)&lt;SG_Criteria!$B$52),"FAIL: grade below C"&amp;SG_Criteria!$B$52&amp;". ","")&amp;IF(D189="Non-standard (project design)","NOTE: not an SDRE standard, needs LTA acceptance. ",""))=0,"OK",IF(AND(C189&lt;&gt;"High Covered Linkway",F189&lt;SG_Criteria!$B$46),"FAIL: headroom below "&amp;SG_Criteria!$B$46&amp;" m. ","")&amp;IF(AND(C189="High Covered Linkway",F189&lt;SG_Criteria!$B$47),"FAIL: high linkway headroom below "&amp;SG_Criteria!$B$47&amp;" m. ","")&amp;IF(E189&lt;SG_Criteria!$B$48,"FAIL: roof width below "&amp;SG_Criteria!$B$48&amp;" m. ",IF(E189&lt;SG_Criteria!$B$49,"NOTE: not for MRT/LRT or high-traffic routes (min "&amp;SG_Criteria!$B$49&amp;" m). ",""))&amp;IF(AND(P189&lt;&gt;"",P189&lt;SG_Criteria!$B$50),"FAIL: wind speed below "&amp;SG_Criteria!$B$50&amp;" m/s. ","")&amp;IF(AND(Q189&lt;&gt;"",Q189&lt;SG_Criteria!$B$51),"FAIL: roof fixing pull-out below "&amp;SG_Criteria!$B$51&amp;" kN. ","")&amp;IF(AND(R189&lt;&gt;"",IFERROR(VALUE(MID(R189,2,2)),0)&lt;SG_Criteria!$B$52),"FAIL: grade below C"&amp;SG_Criteria!$B$52&amp;". ","")&amp;IF(D189="Non-standard (project design)","NOTE: not an SDRE standard, needs LTA acceptance. ","")))</f>
        <v/>
      </c>
      <c r="AP189" s="9"/>
      <c r="AQ189" s="9"/>
      <c r="AR189" s="9"/>
      <c r="AS189" s="9"/>
      <c r="AT189" s="9"/>
      <c r="AU189" s="31"/>
      <c r="AV189" s="10" t="str">
        <f aca="false">IF(C189="","",IF(AND(X189="Approved",ISERROR(SEARCH("FAIL",AO189))),"Y","N"))</f>
        <v/>
      </c>
      <c r="AW189" s="10" t="str">
        <f aca="false">IF(C189="","",C189&amp;"|"&amp;E189&amp;"|"&amp;F189&amp;"|"&amp;AV189)</f>
        <v/>
      </c>
    </row>
    <row r="190" customFormat="false" ht="15" hidden="false" customHeight="false" outlineLevel="0" collapsed="false">
      <c r="A190" s="10" t="str">
        <f aca="false">IF(C190="","","LKW-"&amp;IFERROR(VLOOKUP(C190,Lists!$AQ$4:$AR$17,2,0),"??")&amp;"-W"&amp;TEXT(E190*1000,"0000")&amp;"-H"&amp;TEXT(F190*1000,"0000")&amp;"-B"&amp;TEXT(G190*1000,"0000")&amp;"-"&amp;W190)</f>
        <v/>
      </c>
      <c r="B190" s="10" t="str">
        <f aca="false">IF(C190="","",C190&amp;", "&amp;E190&amp;" m wide, "&amp;F190&amp;" m headroom, "&amp;G190&amp;" m bays, "&amp;H190&amp;" ("&amp;D190&amp;")")</f>
        <v/>
      </c>
      <c r="C190" s="9"/>
      <c r="D190" s="9"/>
      <c r="E190" s="43"/>
      <c r="F190" s="43"/>
      <c r="G190" s="43"/>
      <c r="H190" s="9"/>
      <c r="I190" s="9"/>
      <c r="J190" s="9"/>
      <c r="K190" s="9"/>
      <c r="L190" s="9"/>
      <c r="M190" s="9"/>
      <c r="N190" s="9"/>
      <c r="O190" s="9"/>
      <c r="P190" s="40"/>
      <c r="Q190" s="43"/>
      <c r="R190" s="9"/>
      <c r="S190" s="9"/>
      <c r="T190" s="9"/>
      <c r="U190" s="43"/>
      <c r="V190" s="9"/>
      <c r="W190" s="9"/>
      <c r="X190" s="9"/>
      <c r="Y190" s="9"/>
      <c r="Z190" s="9"/>
      <c r="AA190" s="9"/>
      <c r="AB190" s="10" t="str">
        <f aca="false">IF(A190="","",SG_Criteria!$B$6&amp;SG_Criteria!$B$12&amp;"\"&amp;A190&amp;"\")</f>
        <v/>
      </c>
      <c r="AC190" s="10" t="str">
        <f aca="false">IF(A190="","",A190&amp;"_CAD.dwg")</f>
        <v/>
      </c>
      <c r="AD190" s="10" t="str">
        <f aca="false">IF(A190="","",A190&amp;"_DWG.pdf")</f>
        <v/>
      </c>
      <c r="AE190" s="10" t="str">
        <f aca="false">IF(A190="","",IF(AA190="Y",A190&amp;"_STAAD.std","n/a"))</f>
        <v/>
      </c>
      <c r="AF190" s="10" t="str">
        <f aca="false">IF(A190="","",A190&amp;"_CALC.xlsx")</f>
        <v/>
      </c>
      <c r="AG190" s="10" t="str">
        <f aca="false">IF(A190="","",A190&amp;"_CALC.pdf")</f>
        <v/>
      </c>
      <c r="AH190" s="9"/>
      <c r="AI190" s="9"/>
      <c r="AJ190" s="41"/>
      <c r="AK190" s="41"/>
      <c r="AL190" s="41"/>
      <c r="AM190" s="41"/>
      <c r="AN190" s="41"/>
      <c r="AO190" s="38" t="str">
        <f aca="false">IF(C190="","",IF(LEN(IF(AND(C190&lt;&gt;"High Covered Linkway",F190&lt;SG_Criteria!$B$46),"FAIL: headroom below "&amp;SG_Criteria!$B$46&amp;" m. ","")&amp;IF(AND(C190="High Covered Linkway",F190&lt;SG_Criteria!$B$47),"FAIL: high linkway headroom below "&amp;SG_Criteria!$B$47&amp;" m. ","")&amp;IF(E190&lt;SG_Criteria!$B$48,"FAIL: roof width below "&amp;SG_Criteria!$B$48&amp;" m. ",IF(E190&lt;SG_Criteria!$B$49,"NOTE: not for MRT/LRT or high-traffic routes (min "&amp;SG_Criteria!$B$49&amp;" m). ",""))&amp;IF(AND(P190&lt;&gt;"",P190&lt;SG_Criteria!$B$50),"FAIL: wind speed below "&amp;SG_Criteria!$B$50&amp;" m/s. ","")&amp;IF(AND(Q190&lt;&gt;"",Q190&lt;SG_Criteria!$B$51),"FAIL: roof fixing pull-out below "&amp;SG_Criteria!$B$51&amp;" kN. ","")&amp;IF(AND(R190&lt;&gt;"",IFERROR(VALUE(MID(R190,2,2)),0)&lt;SG_Criteria!$B$52),"FAIL: grade below C"&amp;SG_Criteria!$B$52&amp;". ","")&amp;IF(D190="Non-standard (project design)","NOTE: not an SDRE standard, needs LTA acceptance. ",""))=0,"OK",IF(AND(C190&lt;&gt;"High Covered Linkway",F190&lt;SG_Criteria!$B$46),"FAIL: headroom below "&amp;SG_Criteria!$B$46&amp;" m. ","")&amp;IF(AND(C190="High Covered Linkway",F190&lt;SG_Criteria!$B$47),"FAIL: high linkway headroom below "&amp;SG_Criteria!$B$47&amp;" m. ","")&amp;IF(E190&lt;SG_Criteria!$B$48,"FAIL: roof width below "&amp;SG_Criteria!$B$48&amp;" m. ",IF(E190&lt;SG_Criteria!$B$49,"NOTE: not for MRT/LRT or high-traffic routes (min "&amp;SG_Criteria!$B$49&amp;" m). ",""))&amp;IF(AND(P190&lt;&gt;"",P190&lt;SG_Criteria!$B$50),"FAIL: wind speed below "&amp;SG_Criteria!$B$50&amp;" m/s. ","")&amp;IF(AND(Q190&lt;&gt;"",Q190&lt;SG_Criteria!$B$51),"FAIL: roof fixing pull-out below "&amp;SG_Criteria!$B$51&amp;" kN. ","")&amp;IF(AND(R190&lt;&gt;"",IFERROR(VALUE(MID(R190,2,2)),0)&lt;SG_Criteria!$B$52),"FAIL: grade below C"&amp;SG_Criteria!$B$52&amp;". ","")&amp;IF(D190="Non-standard (project design)","NOTE: not an SDRE standard, needs LTA acceptance. ","")))</f>
        <v/>
      </c>
      <c r="AP190" s="9"/>
      <c r="AQ190" s="9"/>
      <c r="AR190" s="9"/>
      <c r="AS190" s="9"/>
      <c r="AT190" s="9"/>
      <c r="AU190" s="31"/>
      <c r="AV190" s="10" t="str">
        <f aca="false">IF(C190="","",IF(AND(X190="Approved",ISERROR(SEARCH("FAIL",AO190))),"Y","N"))</f>
        <v/>
      </c>
      <c r="AW190" s="10" t="str">
        <f aca="false">IF(C190="","",C190&amp;"|"&amp;E190&amp;"|"&amp;F190&amp;"|"&amp;AV190)</f>
        <v/>
      </c>
    </row>
    <row r="191" customFormat="false" ht="15" hidden="false" customHeight="false" outlineLevel="0" collapsed="false">
      <c r="A191" s="10" t="str">
        <f aca="false">IF(C191="","","LKW-"&amp;IFERROR(VLOOKUP(C191,Lists!$AQ$4:$AR$17,2,0),"??")&amp;"-W"&amp;TEXT(E191*1000,"0000")&amp;"-H"&amp;TEXT(F191*1000,"0000")&amp;"-B"&amp;TEXT(G191*1000,"0000")&amp;"-"&amp;W191)</f>
        <v/>
      </c>
      <c r="B191" s="10" t="str">
        <f aca="false">IF(C191="","",C191&amp;", "&amp;E191&amp;" m wide, "&amp;F191&amp;" m headroom, "&amp;G191&amp;" m bays, "&amp;H191&amp;" ("&amp;D191&amp;")")</f>
        <v/>
      </c>
      <c r="C191" s="9"/>
      <c r="D191" s="9"/>
      <c r="E191" s="43"/>
      <c r="F191" s="43"/>
      <c r="G191" s="43"/>
      <c r="H191" s="9"/>
      <c r="I191" s="9"/>
      <c r="J191" s="9"/>
      <c r="K191" s="9"/>
      <c r="L191" s="9"/>
      <c r="M191" s="9"/>
      <c r="N191" s="9"/>
      <c r="O191" s="9"/>
      <c r="P191" s="40"/>
      <c r="Q191" s="43"/>
      <c r="R191" s="9"/>
      <c r="S191" s="9"/>
      <c r="T191" s="9"/>
      <c r="U191" s="43"/>
      <c r="V191" s="9"/>
      <c r="W191" s="9"/>
      <c r="X191" s="9"/>
      <c r="Y191" s="9"/>
      <c r="Z191" s="9"/>
      <c r="AA191" s="9"/>
      <c r="AB191" s="10" t="str">
        <f aca="false">IF(A191="","",SG_Criteria!$B$6&amp;SG_Criteria!$B$12&amp;"\"&amp;A191&amp;"\")</f>
        <v/>
      </c>
      <c r="AC191" s="10" t="str">
        <f aca="false">IF(A191="","",A191&amp;"_CAD.dwg")</f>
        <v/>
      </c>
      <c r="AD191" s="10" t="str">
        <f aca="false">IF(A191="","",A191&amp;"_DWG.pdf")</f>
        <v/>
      </c>
      <c r="AE191" s="10" t="str">
        <f aca="false">IF(A191="","",IF(AA191="Y",A191&amp;"_STAAD.std","n/a"))</f>
        <v/>
      </c>
      <c r="AF191" s="10" t="str">
        <f aca="false">IF(A191="","",A191&amp;"_CALC.xlsx")</f>
        <v/>
      </c>
      <c r="AG191" s="10" t="str">
        <f aca="false">IF(A191="","",A191&amp;"_CALC.pdf")</f>
        <v/>
      </c>
      <c r="AH191" s="9"/>
      <c r="AI191" s="9"/>
      <c r="AJ191" s="41"/>
      <c r="AK191" s="41"/>
      <c r="AL191" s="41"/>
      <c r="AM191" s="41"/>
      <c r="AN191" s="41"/>
      <c r="AO191" s="38" t="str">
        <f aca="false">IF(C191="","",IF(LEN(IF(AND(C191&lt;&gt;"High Covered Linkway",F191&lt;SG_Criteria!$B$46),"FAIL: headroom below "&amp;SG_Criteria!$B$46&amp;" m. ","")&amp;IF(AND(C191="High Covered Linkway",F191&lt;SG_Criteria!$B$47),"FAIL: high linkway headroom below "&amp;SG_Criteria!$B$47&amp;" m. ","")&amp;IF(E191&lt;SG_Criteria!$B$48,"FAIL: roof width below "&amp;SG_Criteria!$B$48&amp;" m. ",IF(E191&lt;SG_Criteria!$B$49,"NOTE: not for MRT/LRT or high-traffic routes (min "&amp;SG_Criteria!$B$49&amp;" m). ",""))&amp;IF(AND(P191&lt;&gt;"",P191&lt;SG_Criteria!$B$50),"FAIL: wind speed below "&amp;SG_Criteria!$B$50&amp;" m/s. ","")&amp;IF(AND(Q191&lt;&gt;"",Q191&lt;SG_Criteria!$B$51),"FAIL: roof fixing pull-out below "&amp;SG_Criteria!$B$51&amp;" kN. ","")&amp;IF(AND(R191&lt;&gt;"",IFERROR(VALUE(MID(R191,2,2)),0)&lt;SG_Criteria!$B$52),"FAIL: grade below C"&amp;SG_Criteria!$B$52&amp;". ","")&amp;IF(D191="Non-standard (project design)","NOTE: not an SDRE standard, needs LTA acceptance. ",""))=0,"OK",IF(AND(C191&lt;&gt;"High Covered Linkway",F191&lt;SG_Criteria!$B$46),"FAIL: headroom below "&amp;SG_Criteria!$B$46&amp;" m. ","")&amp;IF(AND(C191="High Covered Linkway",F191&lt;SG_Criteria!$B$47),"FAIL: high linkway headroom below "&amp;SG_Criteria!$B$47&amp;" m. ","")&amp;IF(E191&lt;SG_Criteria!$B$48,"FAIL: roof width below "&amp;SG_Criteria!$B$48&amp;" m. ",IF(E191&lt;SG_Criteria!$B$49,"NOTE: not for MRT/LRT or high-traffic routes (min "&amp;SG_Criteria!$B$49&amp;" m). ",""))&amp;IF(AND(P191&lt;&gt;"",P191&lt;SG_Criteria!$B$50),"FAIL: wind speed below "&amp;SG_Criteria!$B$50&amp;" m/s. ","")&amp;IF(AND(Q191&lt;&gt;"",Q191&lt;SG_Criteria!$B$51),"FAIL: roof fixing pull-out below "&amp;SG_Criteria!$B$51&amp;" kN. ","")&amp;IF(AND(R191&lt;&gt;"",IFERROR(VALUE(MID(R191,2,2)),0)&lt;SG_Criteria!$B$52),"FAIL: grade below C"&amp;SG_Criteria!$B$52&amp;". ","")&amp;IF(D191="Non-standard (project design)","NOTE: not an SDRE standard, needs LTA acceptance. ","")))</f>
        <v/>
      </c>
      <c r="AP191" s="9"/>
      <c r="AQ191" s="9"/>
      <c r="AR191" s="9"/>
      <c r="AS191" s="9"/>
      <c r="AT191" s="9"/>
      <c r="AU191" s="31"/>
      <c r="AV191" s="10" t="str">
        <f aca="false">IF(C191="","",IF(AND(X191="Approved",ISERROR(SEARCH("FAIL",AO191))),"Y","N"))</f>
        <v/>
      </c>
      <c r="AW191" s="10" t="str">
        <f aca="false">IF(C191="","",C191&amp;"|"&amp;E191&amp;"|"&amp;F191&amp;"|"&amp;AV191)</f>
        <v/>
      </c>
    </row>
    <row r="192" customFormat="false" ht="15" hidden="false" customHeight="false" outlineLevel="0" collapsed="false">
      <c r="A192" s="10" t="str">
        <f aca="false">IF(C192="","","LKW-"&amp;IFERROR(VLOOKUP(C192,Lists!$AQ$4:$AR$17,2,0),"??")&amp;"-W"&amp;TEXT(E192*1000,"0000")&amp;"-H"&amp;TEXT(F192*1000,"0000")&amp;"-B"&amp;TEXT(G192*1000,"0000")&amp;"-"&amp;W192)</f>
        <v/>
      </c>
      <c r="B192" s="10" t="str">
        <f aca="false">IF(C192="","",C192&amp;", "&amp;E192&amp;" m wide, "&amp;F192&amp;" m headroom, "&amp;G192&amp;" m bays, "&amp;H192&amp;" ("&amp;D192&amp;")")</f>
        <v/>
      </c>
      <c r="C192" s="9"/>
      <c r="D192" s="9"/>
      <c r="E192" s="43"/>
      <c r="F192" s="43"/>
      <c r="G192" s="43"/>
      <c r="H192" s="9"/>
      <c r="I192" s="9"/>
      <c r="J192" s="9"/>
      <c r="K192" s="9"/>
      <c r="L192" s="9"/>
      <c r="M192" s="9"/>
      <c r="N192" s="9"/>
      <c r="O192" s="9"/>
      <c r="P192" s="40"/>
      <c r="Q192" s="43"/>
      <c r="R192" s="9"/>
      <c r="S192" s="9"/>
      <c r="T192" s="9"/>
      <c r="U192" s="43"/>
      <c r="V192" s="9"/>
      <c r="W192" s="9"/>
      <c r="X192" s="9"/>
      <c r="Y192" s="9"/>
      <c r="Z192" s="9"/>
      <c r="AA192" s="9"/>
      <c r="AB192" s="10" t="str">
        <f aca="false">IF(A192="","",SG_Criteria!$B$6&amp;SG_Criteria!$B$12&amp;"\"&amp;A192&amp;"\")</f>
        <v/>
      </c>
      <c r="AC192" s="10" t="str">
        <f aca="false">IF(A192="","",A192&amp;"_CAD.dwg")</f>
        <v/>
      </c>
      <c r="AD192" s="10" t="str">
        <f aca="false">IF(A192="","",A192&amp;"_DWG.pdf")</f>
        <v/>
      </c>
      <c r="AE192" s="10" t="str">
        <f aca="false">IF(A192="","",IF(AA192="Y",A192&amp;"_STAAD.std","n/a"))</f>
        <v/>
      </c>
      <c r="AF192" s="10" t="str">
        <f aca="false">IF(A192="","",A192&amp;"_CALC.xlsx")</f>
        <v/>
      </c>
      <c r="AG192" s="10" t="str">
        <f aca="false">IF(A192="","",A192&amp;"_CALC.pdf")</f>
        <v/>
      </c>
      <c r="AH192" s="9"/>
      <c r="AI192" s="9"/>
      <c r="AJ192" s="41"/>
      <c r="AK192" s="41"/>
      <c r="AL192" s="41"/>
      <c r="AM192" s="41"/>
      <c r="AN192" s="41"/>
      <c r="AO192" s="38" t="str">
        <f aca="false">IF(C192="","",IF(LEN(IF(AND(C192&lt;&gt;"High Covered Linkway",F192&lt;SG_Criteria!$B$46),"FAIL: headroom below "&amp;SG_Criteria!$B$46&amp;" m. ","")&amp;IF(AND(C192="High Covered Linkway",F192&lt;SG_Criteria!$B$47),"FAIL: high linkway headroom below "&amp;SG_Criteria!$B$47&amp;" m. ","")&amp;IF(E192&lt;SG_Criteria!$B$48,"FAIL: roof width below "&amp;SG_Criteria!$B$48&amp;" m. ",IF(E192&lt;SG_Criteria!$B$49,"NOTE: not for MRT/LRT or high-traffic routes (min "&amp;SG_Criteria!$B$49&amp;" m). ",""))&amp;IF(AND(P192&lt;&gt;"",P192&lt;SG_Criteria!$B$50),"FAIL: wind speed below "&amp;SG_Criteria!$B$50&amp;" m/s. ","")&amp;IF(AND(Q192&lt;&gt;"",Q192&lt;SG_Criteria!$B$51),"FAIL: roof fixing pull-out below "&amp;SG_Criteria!$B$51&amp;" kN. ","")&amp;IF(AND(R192&lt;&gt;"",IFERROR(VALUE(MID(R192,2,2)),0)&lt;SG_Criteria!$B$52),"FAIL: grade below C"&amp;SG_Criteria!$B$52&amp;". ","")&amp;IF(D192="Non-standard (project design)","NOTE: not an SDRE standard, needs LTA acceptance. ",""))=0,"OK",IF(AND(C192&lt;&gt;"High Covered Linkway",F192&lt;SG_Criteria!$B$46),"FAIL: headroom below "&amp;SG_Criteria!$B$46&amp;" m. ","")&amp;IF(AND(C192="High Covered Linkway",F192&lt;SG_Criteria!$B$47),"FAIL: high linkway headroom below "&amp;SG_Criteria!$B$47&amp;" m. ","")&amp;IF(E192&lt;SG_Criteria!$B$48,"FAIL: roof width below "&amp;SG_Criteria!$B$48&amp;" m. ",IF(E192&lt;SG_Criteria!$B$49,"NOTE: not for MRT/LRT or high-traffic routes (min "&amp;SG_Criteria!$B$49&amp;" m). ",""))&amp;IF(AND(P192&lt;&gt;"",P192&lt;SG_Criteria!$B$50),"FAIL: wind speed below "&amp;SG_Criteria!$B$50&amp;" m/s. ","")&amp;IF(AND(Q192&lt;&gt;"",Q192&lt;SG_Criteria!$B$51),"FAIL: roof fixing pull-out below "&amp;SG_Criteria!$B$51&amp;" kN. ","")&amp;IF(AND(R192&lt;&gt;"",IFERROR(VALUE(MID(R192,2,2)),0)&lt;SG_Criteria!$B$52),"FAIL: grade below C"&amp;SG_Criteria!$B$52&amp;". ","")&amp;IF(D192="Non-standard (project design)","NOTE: not an SDRE standard, needs LTA acceptance. ","")))</f>
        <v/>
      </c>
      <c r="AP192" s="9"/>
      <c r="AQ192" s="9"/>
      <c r="AR192" s="9"/>
      <c r="AS192" s="9"/>
      <c r="AT192" s="9"/>
      <c r="AU192" s="31"/>
      <c r="AV192" s="10" t="str">
        <f aca="false">IF(C192="","",IF(AND(X192="Approved",ISERROR(SEARCH("FAIL",AO192))),"Y","N"))</f>
        <v/>
      </c>
      <c r="AW192" s="10" t="str">
        <f aca="false">IF(C192="","",C192&amp;"|"&amp;E192&amp;"|"&amp;F192&amp;"|"&amp;AV192)</f>
        <v/>
      </c>
    </row>
    <row r="193" customFormat="false" ht="15" hidden="false" customHeight="false" outlineLevel="0" collapsed="false">
      <c r="A193" s="10" t="str">
        <f aca="false">IF(C193="","","LKW-"&amp;IFERROR(VLOOKUP(C193,Lists!$AQ$4:$AR$17,2,0),"??")&amp;"-W"&amp;TEXT(E193*1000,"0000")&amp;"-H"&amp;TEXT(F193*1000,"0000")&amp;"-B"&amp;TEXT(G193*1000,"0000")&amp;"-"&amp;W193)</f>
        <v/>
      </c>
      <c r="B193" s="10" t="str">
        <f aca="false">IF(C193="","",C193&amp;", "&amp;E193&amp;" m wide, "&amp;F193&amp;" m headroom, "&amp;G193&amp;" m bays, "&amp;H193&amp;" ("&amp;D193&amp;")")</f>
        <v/>
      </c>
      <c r="C193" s="9"/>
      <c r="D193" s="9"/>
      <c r="E193" s="43"/>
      <c r="F193" s="43"/>
      <c r="G193" s="43"/>
      <c r="H193" s="9"/>
      <c r="I193" s="9"/>
      <c r="J193" s="9"/>
      <c r="K193" s="9"/>
      <c r="L193" s="9"/>
      <c r="M193" s="9"/>
      <c r="N193" s="9"/>
      <c r="O193" s="9"/>
      <c r="P193" s="40"/>
      <c r="Q193" s="43"/>
      <c r="R193" s="9"/>
      <c r="S193" s="9"/>
      <c r="T193" s="9"/>
      <c r="U193" s="43"/>
      <c r="V193" s="9"/>
      <c r="W193" s="9"/>
      <c r="X193" s="9"/>
      <c r="Y193" s="9"/>
      <c r="Z193" s="9"/>
      <c r="AA193" s="9"/>
      <c r="AB193" s="10" t="str">
        <f aca="false">IF(A193="","",SG_Criteria!$B$6&amp;SG_Criteria!$B$12&amp;"\"&amp;A193&amp;"\")</f>
        <v/>
      </c>
      <c r="AC193" s="10" t="str">
        <f aca="false">IF(A193="","",A193&amp;"_CAD.dwg")</f>
        <v/>
      </c>
      <c r="AD193" s="10" t="str">
        <f aca="false">IF(A193="","",A193&amp;"_DWG.pdf")</f>
        <v/>
      </c>
      <c r="AE193" s="10" t="str">
        <f aca="false">IF(A193="","",IF(AA193="Y",A193&amp;"_STAAD.std","n/a"))</f>
        <v/>
      </c>
      <c r="AF193" s="10" t="str">
        <f aca="false">IF(A193="","",A193&amp;"_CALC.xlsx")</f>
        <v/>
      </c>
      <c r="AG193" s="10" t="str">
        <f aca="false">IF(A193="","",A193&amp;"_CALC.pdf")</f>
        <v/>
      </c>
      <c r="AH193" s="9"/>
      <c r="AI193" s="9"/>
      <c r="AJ193" s="41"/>
      <c r="AK193" s="41"/>
      <c r="AL193" s="41"/>
      <c r="AM193" s="41"/>
      <c r="AN193" s="41"/>
      <c r="AO193" s="38" t="str">
        <f aca="false">IF(C193="","",IF(LEN(IF(AND(C193&lt;&gt;"High Covered Linkway",F193&lt;SG_Criteria!$B$46),"FAIL: headroom below "&amp;SG_Criteria!$B$46&amp;" m. ","")&amp;IF(AND(C193="High Covered Linkway",F193&lt;SG_Criteria!$B$47),"FAIL: high linkway headroom below "&amp;SG_Criteria!$B$47&amp;" m. ","")&amp;IF(E193&lt;SG_Criteria!$B$48,"FAIL: roof width below "&amp;SG_Criteria!$B$48&amp;" m. ",IF(E193&lt;SG_Criteria!$B$49,"NOTE: not for MRT/LRT or high-traffic routes (min "&amp;SG_Criteria!$B$49&amp;" m). ",""))&amp;IF(AND(P193&lt;&gt;"",P193&lt;SG_Criteria!$B$50),"FAIL: wind speed below "&amp;SG_Criteria!$B$50&amp;" m/s. ","")&amp;IF(AND(Q193&lt;&gt;"",Q193&lt;SG_Criteria!$B$51),"FAIL: roof fixing pull-out below "&amp;SG_Criteria!$B$51&amp;" kN. ","")&amp;IF(AND(R193&lt;&gt;"",IFERROR(VALUE(MID(R193,2,2)),0)&lt;SG_Criteria!$B$52),"FAIL: grade below C"&amp;SG_Criteria!$B$52&amp;". ","")&amp;IF(D193="Non-standard (project design)","NOTE: not an SDRE standard, needs LTA acceptance. ",""))=0,"OK",IF(AND(C193&lt;&gt;"High Covered Linkway",F193&lt;SG_Criteria!$B$46),"FAIL: headroom below "&amp;SG_Criteria!$B$46&amp;" m. ","")&amp;IF(AND(C193="High Covered Linkway",F193&lt;SG_Criteria!$B$47),"FAIL: high linkway headroom below "&amp;SG_Criteria!$B$47&amp;" m. ","")&amp;IF(E193&lt;SG_Criteria!$B$48,"FAIL: roof width below "&amp;SG_Criteria!$B$48&amp;" m. ",IF(E193&lt;SG_Criteria!$B$49,"NOTE: not for MRT/LRT or high-traffic routes (min "&amp;SG_Criteria!$B$49&amp;" m). ",""))&amp;IF(AND(P193&lt;&gt;"",P193&lt;SG_Criteria!$B$50),"FAIL: wind speed below "&amp;SG_Criteria!$B$50&amp;" m/s. ","")&amp;IF(AND(Q193&lt;&gt;"",Q193&lt;SG_Criteria!$B$51),"FAIL: roof fixing pull-out below "&amp;SG_Criteria!$B$51&amp;" kN. ","")&amp;IF(AND(R193&lt;&gt;"",IFERROR(VALUE(MID(R193,2,2)),0)&lt;SG_Criteria!$B$52),"FAIL: grade below C"&amp;SG_Criteria!$B$52&amp;". ","")&amp;IF(D193="Non-standard (project design)","NOTE: not an SDRE standard, needs LTA acceptance. ","")))</f>
        <v/>
      </c>
      <c r="AP193" s="9"/>
      <c r="AQ193" s="9"/>
      <c r="AR193" s="9"/>
      <c r="AS193" s="9"/>
      <c r="AT193" s="9"/>
      <c r="AU193" s="31"/>
      <c r="AV193" s="10" t="str">
        <f aca="false">IF(C193="","",IF(AND(X193="Approved",ISERROR(SEARCH("FAIL",AO193))),"Y","N"))</f>
        <v/>
      </c>
      <c r="AW193" s="10" t="str">
        <f aca="false">IF(C193="","",C193&amp;"|"&amp;E193&amp;"|"&amp;F193&amp;"|"&amp;AV193)</f>
        <v/>
      </c>
    </row>
    <row r="194" customFormat="false" ht="15" hidden="false" customHeight="false" outlineLevel="0" collapsed="false">
      <c r="A194" s="10" t="str">
        <f aca="false">IF(C194="","","LKW-"&amp;IFERROR(VLOOKUP(C194,Lists!$AQ$4:$AR$17,2,0),"??")&amp;"-W"&amp;TEXT(E194*1000,"0000")&amp;"-H"&amp;TEXT(F194*1000,"0000")&amp;"-B"&amp;TEXT(G194*1000,"0000")&amp;"-"&amp;W194)</f>
        <v/>
      </c>
      <c r="B194" s="10" t="str">
        <f aca="false">IF(C194="","",C194&amp;", "&amp;E194&amp;" m wide, "&amp;F194&amp;" m headroom, "&amp;G194&amp;" m bays, "&amp;H194&amp;" ("&amp;D194&amp;")")</f>
        <v/>
      </c>
      <c r="C194" s="9"/>
      <c r="D194" s="9"/>
      <c r="E194" s="43"/>
      <c r="F194" s="43"/>
      <c r="G194" s="43"/>
      <c r="H194" s="9"/>
      <c r="I194" s="9"/>
      <c r="J194" s="9"/>
      <c r="K194" s="9"/>
      <c r="L194" s="9"/>
      <c r="M194" s="9"/>
      <c r="N194" s="9"/>
      <c r="O194" s="9"/>
      <c r="P194" s="40"/>
      <c r="Q194" s="43"/>
      <c r="R194" s="9"/>
      <c r="S194" s="9"/>
      <c r="T194" s="9"/>
      <c r="U194" s="43"/>
      <c r="V194" s="9"/>
      <c r="W194" s="9"/>
      <c r="X194" s="9"/>
      <c r="Y194" s="9"/>
      <c r="Z194" s="9"/>
      <c r="AA194" s="9"/>
      <c r="AB194" s="10" t="str">
        <f aca="false">IF(A194="","",SG_Criteria!$B$6&amp;SG_Criteria!$B$12&amp;"\"&amp;A194&amp;"\")</f>
        <v/>
      </c>
      <c r="AC194" s="10" t="str">
        <f aca="false">IF(A194="","",A194&amp;"_CAD.dwg")</f>
        <v/>
      </c>
      <c r="AD194" s="10" t="str">
        <f aca="false">IF(A194="","",A194&amp;"_DWG.pdf")</f>
        <v/>
      </c>
      <c r="AE194" s="10" t="str">
        <f aca="false">IF(A194="","",IF(AA194="Y",A194&amp;"_STAAD.std","n/a"))</f>
        <v/>
      </c>
      <c r="AF194" s="10" t="str">
        <f aca="false">IF(A194="","",A194&amp;"_CALC.xlsx")</f>
        <v/>
      </c>
      <c r="AG194" s="10" t="str">
        <f aca="false">IF(A194="","",A194&amp;"_CALC.pdf")</f>
        <v/>
      </c>
      <c r="AH194" s="9"/>
      <c r="AI194" s="9"/>
      <c r="AJ194" s="41"/>
      <c r="AK194" s="41"/>
      <c r="AL194" s="41"/>
      <c r="AM194" s="41"/>
      <c r="AN194" s="41"/>
      <c r="AO194" s="38" t="str">
        <f aca="false">IF(C194="","",IF(LEN(IF(AND(C194&lt;&gt;"High Covered Linkway",F194&lt;SG_Criteria!$B$46),"FAIL: headroom below "&amp;SG_Criteria!$B$46&amp;" m. ","")&amp;IF(AND(C194="High Covered Linkway",F194&lt;SG_Criteria!$B$47),"FAIL: high linkway headroom below "&amp;SG_Criteria!$B$47&amp;" m. ","")&amp;IF(E194&lt;SG_Criteria!$B$48,"FAIL: roof width below "&amp;SG_Criteria!$B$48&amp;" m. ",IF(E194&lt;SG_Criteria!$B$49,"NOTE: not for MRT/LRT or high-traffic routes (min "&amp;SG_Criteria!$B$49&amp;" m). ",""))&amp;IF(AND(P194&lt;&gt;"",P194&lt;SG_Criteria!$B$50),"FAIL: wind speed below "&amp;SG_Criteria!$B$50&amp;" m/s. ","")&amp;IF(AND(Q194&lt;&gt;"",Q194&lt;SG_Criteria!$B$51),"FAIL: roof fixing pull-out below "&amp;SG_Criteria!$B$51&amp;" kN. ","")&amp;IF(AND(R194&lt;&gt;"",IFERROR(VALUE(MID(R194,2,2)),0)&lt;SG_Criteria!$B$52),"FAIL: grade below C"&amp;SG_Criteria!$B$52&amp;". ","")&amp;IF(D194="Non-standard (project design)","NOTE: not an SDRE standard, needs LTA acceptance. ",""))=0,"OK",IF(AND(C194&lt;&gt;"High Covered Linkway",F194&lt;SG_Criteria!$B$46),"FAIL: headroom below "&amp;SG_Criteria!$B$46&amp;" m. ","")&amp;IF(AND(C194="High Covered Linkway",F194&lt;SG_Criteria!$B$47),"FAIL: high linkway headroom below "&amp;SG_Criteria!$B$47&amp;" m. ","")&amp;IF(E194&lt;SG_Criteria!$B$48,"FAIL: roof width below "&amp;SG_Criteria!$B$48&amp;" m. ",IF(E194&lt;SG_Criteria!$B$49,"NOTE: not for MRT/LRT or high-traffic routes (min "&amp;SG_Criteria!$B$49&amp;" m). ",""))&amp;IF(AND(P194&lt;&gt;"",P194&lt;SG_Criteria!$B$50),"FAIL: wind speed below "&amp;SG_Criteria!$B$50&amp;" m/s. ","")&amp;IF(AND(Q194&lt;&gt;"",Q194&lt;SG_Criteria!$B$51),"FAIL: roof fixing pull-out below "&amp;SG_Criteria!$B$51&amp;" kN. ","")&amp;IF(AND(R194&lt;&gt;"",IFERROR(VALUE(MID(R194,2,2)),0)&lt;SG_Criteria!$B$52),"FAIL: grade below C"&amp;SG_Criteria!$B$52&amp;". ","")&amp;IF(D194="Non-standard (project design)","NOTE: not an SDRE standard, needs LTA acceptance. ","")))</f>
        <v/>
      </c>
      <c r="AP194" s="9"/>
      <c r="AQ194" s="9"/>
      <c r="AR194" s="9"/>
      <c r="AS194" s="9"/>
      <c r="AT194" s="9"/>
      <c r="AU194" s="31"/>
      <c r="AV194" s="10" t="str">
        <f aca="false">IF(C194="","",IF(AND(X194="Approved",ISERROR(SEARCH("FAIL",AO194))),"Y","N"))</f>
        <v/>
      </c>
      <c r="AW194" s="10" t="str">
        <f aca="false">IF(C194="","",C194&amp;"|"&amp;E194&amp;"|"&amp;F194&amp;"|"&amp;AV194)</f>
        <v/>
      </c>
    </row>
    <row r="195" customFormat="false" ht="15" hidden="false" customHeight="false" outlineLevel="0" collapsed="false">
      <c r="A195" s="10" t="str">
        <f aca="false">IF(C195="","","LKW-"&amp;IFERROR(VLOOKUP(C195,Lists!$AQ$4:$AR$17,2,0),"??")&amp;"-W"&amp;TEXT(E195*1000,"0000")&amp;"-H"&amp;TEXT(F195*1000,"0000")&amp;"-B"&amp;TEXT(G195*1000,"0000")&amp;"-"&amp;W195)</f>
        <v/>
      </c>
      <c r="B195" s="10" t="str">
        <f aca="false">IF(C195="","",C195&amp;", "&amp;E195&amp;" m wide, "&amp;F195&amp;" m headroom, "&amp;G195&amp;" m bays, "&amp;H195&amp;" ("&amp;D195&amp;")")</f>
        <v/>
      </c>
      <c r="C195" s="9"/>
      <c r="D195" s="9"/>
      <c r="E195" s="43"/>
      <c r="F195" s="43"/>
      <c r="G195" s="43"/>
      <c r="H195" s="9"/>
      <c r="I195" s="9"/>
      <c r="J195" s="9"/>
      <c r="K195" s="9"/>
      <c r="L195" s="9"/>
      <c r="M195" s="9"/>
      <c r="N195" s="9"/>
      <c r="O195" s="9"/>
      <c r="P195" s="40"/>
      <c r="Q195" s="43"/>
      <c r="R195" s="9"/>
      <c r="S195" s="9"/>
      <c r="T195" s="9"/>
      <c r="U195" s="43"/>
      <c r="V195" s="9"/>
      <c r="W195" s="9"/>
      <c r="X195" s="9"/>
      <c r="Y195" s="9"/>
      <c r="Z195" s="9"/>
      <c r="AA195" s="9"/>
      <c r="AB195" s="10" t="str">
        <f aca="false">IF(A195="","",SG_Criteria!$B$6&amp;SG_Criteria!$B$12&amp;"\"&amp;A195&amp;"\")</f>
        <v/>
      </c>
      <c r="AC195" s="10" t="str">
        <f aca="false">IF(A195="","",A195&amp;"_CAD.dwg")</f>
        <v/>
      </c>
      <c r="AD195" s="10" t="str">
        <f aca="false">IF(A195="","",A195&amp;"_DWG.pdf")</f>
        <v/>
      </c>
      <c r="AE195" s="10" t="str">
        <f aca="false">IF(A195="","",IF(AA195="Y",A195&amp;"_STAAD.std","n/a"))</f>
        <v/>
      </c>
      <c r="AF195" s="10" t="str">
        <f aca="false">IF(A195="","",A195&amp;"_CALC.xlsx")</f>
        <v/>
      </c>
      <c r="AG195" s="10" t="str">
        <f aca="false">IF(A195="","",A195&amp;"_CALC.pdf")</f>
        <v/>
      </c>
      <c r="AH195" s="9"/>
      <c r="AI195" s="9"/>
      <c r="AJ195" s="41"/>
      <c r="AK195" s="41"/>
      <c r="AL195" s="41"/>
      <c r="AM195" s="41"/>
      <c r="AN195" s="41"/>
      <c r="AO195" s="38" t="str">
        <f aca="false">IF(C195="","",IF(LEN(IF(AND(C195&lt;&gt;"High Covered Linkway",F195&lt;SG_Criteria!$B$46),"FAIL: headroom below "&amp;SG_Criteria!$B$46&amp;" m. ","")&amp;IF(AND(C195="High Covered Linkway",F195&lt;SG_Criteria!$B$47),"FAIL: high linkway headroom below "&amp;SG_Criteria!$B$47&amp;" m. ","")&amp;IF(E195&lt;SG_Criteria!$B$48,"FAIL: roof width below "&amp;SG_Criteria!$B$48&amp;" m. ",IF(E195&lt;SG_Criteria!$B$49,"NOTE: not for MRT/LRT or high-traffic routes (min "&amp;SG_Criteria!$B$49&amp;" m). ",""))&amp;IF(AND(P195&lt;&gt;"",P195&lt;SG_Criteria!$B$50),"FAIL: wind speed below "&amp;SG_Criteria!$B$50&amp;" m/s. ","")&amp;IF(AND(Q195&lt;&gt;"",Q195&lt;SG_Criteria!$B$51),"FAIL: roof fixing pull-out below "&amp;SG_Criteria!$B$51&amp;" kN. ","")&amp;IF(AND(R195&lt;&gt;"",IFERROR(VALUE(MID(R195,2,2)),0)&lt;SG_Criteria!$B$52),"FAIL: grade below C"&amp;SG_Criteria!$B$52&amp;". ","")&amp;IF(D195="Non-standard (project design)","NOTE: not an SDRE standard, needs LTA acceptance. ",""))=0,"OK",IF(AND(C195&lt;&gt;"High Covered Linkway",F195&lt;SG_Criteria!$B$46),"FAIL: headroom below "&amp;SG_Criteria!$B$46&amp;" m. ","")&amp;IF(AND(C195="High Covered Linkway",F195&lt;SG_Criteria!$B$47),"FAIL: high linkway headroom below "&amp;SG_Criteria!$B$47&amp;" m. ","")&amp;IF(E195&lt;SG_Criteria!$B$48,"FAIL: roof width below "&amp;SG_Criteria!$B$48&amp;" m. ",IF(E195&lt;SG_Criteria!$B$49,"NOTE: not for MRT/LRT or high-traffic routes (min "&amp;SG_Criteria!$B$49&amp;" m). ",""))&amp;IF(AND(P195&lt;&gt;"",P195&lt;SG_Criteria!$B$50),"FAIL: wind speed below "&amp;SG_Criteria!$B$50&amp;" m/s. ","")&amp;IF(AND(Q195&lt;&gt;"",Q195&lt;SG_Criteria!$B$51),"FAIL: roof fixing pull-out below "&amp;SG_Criteria!$B$51&amp;" kN. ","")&amp;IF(AND(R195&lt;&gt;"",IFERROR(VALUE(MID(R195,2,2)),0)&lt;SG_Criteria!$B$52),"FAIL: grade below C"&amp;SG_Criteria!$B$52&amp;". ","")&amp;IF(D195="Non-standard (project design)","NOTE: not an SDRE standard, needs LTA acceptance. ","")))</f>
        <v/>
      </c>
      <c r="AP195" s="9"/>
      <c r="AQ195" s="9"/>
      <c r="AR195" s="9"/>
      <c r="AS195" s="9"/>
      <c r="AT195" s="9"/>
      <c r="AU195" s="31"/>
      <c r="AV195" s="10" t="str">
        <f aca="false">IF(C195="","",IF(AND(X195="Approved",ISERROR(SEARCH("FAIL",AO195))),"Y","N"))</f>
        <v/>
      </c>
      <c r="AW195" s="10" t="str">
        <f aca="false">IF(C195="","",C195&amp;"|"&amp;E195&amp;"|"&amp;F195&amp;"|"&amp;AV195)</f>
        <v/>
      </c>
    </row>
    <row r="196" customFormat="false" ht="15" hidden="false" customHeight="false" outlineLevel="0" collapsed="false">
      <c r="A196" s="10" t="str">
        <f aca="false">IF(C196="","","LKW-"&amp;IFERROR(VLOOKUP(C196,Lists!$AQ$4:$AR$17,2,0),"??")&amp;"-W"&amp;TEXT(E196*1000,"0000")&amp;"-H"&amp;TEXT(F196*1000,"0000")&amp;"-B"&amp;TEXT(G196*1000,"0000")&amp;"-"&amp;W196)</f>
        <v/>
      </c>
      <c r="B196" s="10" t="str">
        <f aca="false">IF(C196="","",C196&amp;", "&amp;E196&amp;" m wide, "&amp;F196&amp;" m headroom, "&amp;G196&amp;" m bays, "&amp;H196&amp;" ("&amp;D196&amp;")")</f>
        <v/>
      </c>
      <c r="C196" s="9"/>
      <c r="D196" s="9"/>
      <c r="E196" s="43"/>
      <c r="F196" s="43"/>
      <c r="G196" s="43"/>
      <c r="H196" s="9"/>
      <c r="I196" s="9"/>
      <c r="J196" s="9"/>
      <c r="K196" s="9"/>
      <c r="L196" s="9"/>
      <c r="M196" s="9"/>
      <c r="N196" s="9"/>
      <c r="O196" s="9"/>
      <c r="P196" s="40"/>
      <c r="Q196" s="43"/>
      <c r="R196" s="9"/>
      <c r="S196" s="9"/>
      <c r="T196" s="9"/>
      <c r="U196" s="43"/>
      <c r="V196" s="9"/>
      <c r="W196" s="9"/>
      <c r="X196" s="9"/>
      <c r="Y196" s="9"/>
      <c r="Z196" s="9"/>
      <c r="AA196" s="9"/>
      <c r="AB196" s="10" t="str">
        <f aca="false">IF(A196="","",SG_Criteria!$B$6&amp;SG_Criteria!$B$12&amp;"\"&amp;A196&amp;"\")</f>
        <v/>
      </c>
      <c r="AC196" s="10" t="str">
        <f aca="false">IF(A196="","",A196&amp;"_CAD.dwg")</f>
        <v/>
      </c>
      <c r="AD196" s="10" t="str">
        <f aca="false">IF(A196="","",A196&amp;"_DWG.pdf")</f>
        <v/>
      </c>
      <c r="AE196" s="10" t="str">
        <f aca="false">IF(A196="","",IF(AA196="Y",A196&amp;"_STAAD.std","n/a"))</f>
        <v/>
      </c>
      <c r="AF196" s="10" t="str">
        <f aca="false">IF(A196="","",A196&amp;"_CALC.xlsx")</f>
        <v/>
      </c>
      <c r="AG196" s="10" t="str">
        <f aca="false">IF(A196="","",A196&amp;"_CALC.pdf")</f>
        <v/>
      </c>
      <c r="AH196" s="9"/>
      <c r="AI196" s="9"/>
      <c r="AJ196" s="41"/>
      <c r="AK196" s="41"/>
      <c r="AL196" s="41"/>
      <c r="AM196" s="41"/>
      <c r="AN196" s="41"/>
      <c r="AO196" s="38" t="str">
        <f aca="false">IF(C196="","",IF(LEN(IF(AND(C196&lt;&gt;"High Covered Linkway",F196&lt;SG_Criteria!$B$46),"FAIL: headroom below "&amp;SG_Criteria!$B$46&amp;" m. ","")&amp;IF(AND(C196="High Covered Linkway",F196&lt;SG_Criteria!$B$47),"FAIL: high linkway headroom below "&amp;SG_Criteria!$B$47&amp;" m. ","")&amp;IF(E196&lt;SG_Criteria!$B$48,"FAIL: roof width below "&amp;SG_Criteria!$B$48&amp;" m. ",IF(E196&lt;SG_Criteria!$B$49,"NOTE: not for MRT/LRT or high-traffic routes (min "&amp;SG_Criteria!$B$49&amp;" m). ",""))&amp;IF(AND(P196&lt;&gt;"",P196&lt;SG_Criteria!$B$50),"FAIL: wind speed below "&amp;SG_Criteria!$B$50&amp;" m/s. ","")&amp;IF(AND(Q196&lt;&gt;"",Q196&lt;SG_Criteria!$B$51),"FAIL: roof fixing pull-out below "&amp;SG_Criteria!$B$51&amp;" kN. ","")&amp;IF(AND(R196&lt;&gt;"",IFERROR(VALUE(MID(R196,2,2)),0)&lt;SG_Criteria!$B$52),"FAIL: grade below C"&amp;SG_Criteria!$B$52&amp;". ","")&amp;IF(D196="Non-standard (project design)","NOTE: not an SDRE standard, needs LTA acceptance. ",""))=0,"OK",IF(AND(C196&lt;&gt;"High Covered Linkway",F196&lt;SG_Criteria!$B$46),"FAIL: headroom below "&amp;SG_Criteria!$B$46&amp;" m. ","")&amp;IF(AND(C196="High Covered Linkway",F196&lt;SG_Criteria!$B$47),"FAIL: high linkway headroom below "&amp;SG_Criteria!$B$47&amp;" m. ","")&amp;IF(E196&lt;SG_Criteria!$B$48,"FAIL: roof width below "&amp;SG_Criteria!$B$48&amp;" m. ",IF(E196&lt;SG_Criteria!$B$49,"NOTE: not for MRT/LRT or high-traffic routes (min "&amp;SG_Criteria!$B$49&amp;" m). ",""))&amp;IF(AND(P196&lt;&gt;"",P196&lt;SG_Criteria!$B$50),"FAIL: wind speed below "&amp;SG_Criteria!$B$50&amp;" m/s. ","")&amp;IF(AND(Q196&lt;&gt;"",Q196&lt;SG_Criteria!$B$51),"FAIL: roof fixing pull-out below "&amp;SG_Criteria!$B$51&amp;" kN. ","")&amp;IF(AND(R196&lt;&gt;"",IFERROR(VALUE(MID(R196,2,2)),0)&lt;SG_Criteria!$B$52),"FAIL: grade below C"&amp;SG_Criteria!$B$52&amp;". ","")&amp;IF(D196="Non-standard (project design)","NOTE: not an SDRE standard, needs LTA acceptance. ","")))</f>
        <v/>
      </c>
      <c r="AP196" s="9"/>
      <c r="AQ196" s="9"/>
      <c r="AR196" s="9"/>
      <c r="AS196" s="9"/>
      <c r="AT196" s="9"/>
      <c r="AU196" s="31"/>
      <c r="AV196" s="10" t="str">
        <f aca="false">IF(C196="","",IF(AND(X196="Approved",ISERROR(SEARCH("FAIL",AO196))),"Y","N"))</f>
        <v/>
      </c>
      <c r="AW196" s="10" t="str">
        <f aca="false">IF(C196="","",C196&amp;"|"&amp;E196&amp;"|"&amp;F196&amp;"|"&amp;AV196)</f>
        <v/>
      </c>
    </row>
    <row r="197" customFormat="false" ht="15" hidden="false" customHeight="false" outlineLevel="0" collapsed="false">
      <c r="A197" s="10" t="str">
        <f aca="false">IF(C197="","","LKW-"&amp;IFERROR(VLOOKUP(C197,Lists!$AQ$4:$AR$17,2,0),"??")&amp;"-W"&amp;TEXT(E197*1000,"0000")&amp;"-H"&amp;TEXT(F197*1000,"0000")&amp;"-B"&amp;TEXT(G197*1000,"0000")&amp;"-"&amp;W197)</f>
        <v/>
      </c>
      <c r="B197" s="10" t="str">
        <f aca="false">IF(C197="","",C197&amp;", "&amp;E197&amp;" m wide, "&amp;F197&amp;" m headroom, "&amp;G197&amp;" m bays, "&amp;H197&amp;" ("&amp;D197&amp;")")</f>
        <v/>
      </c>
      <c r="C197" s="9"/>
      <c r="D197" s="9"/>
      <c r="E197" s="43"/>
      <c r="F197" s="43"/>
      <c r="G197" s="43"/>
      <c r="H197" s="9"/>
      <c r="I197" s="9"/>
      <c r="J197" s="9"/>
      <c r="K197" s="9"/>
      <c r="L197" s="9"/>
      <c r="M197" s="9"/>
      <c r="N197" s="9"/>
      <c r="O197" s="9"/>
      <c r="P197" s="40"/>
      <c r="Q197" s="43"/>
      <c r="R197" s="9"/>
      <c r="S197" s="9"/>
      <c r="T197" s="9"/>
      <c r="U197" s="43"/>
      <c r="V197" s="9"/>
      <c r="W197" s="9"/>
      <c r="X197" s="9"/>
      <c r="Y197" s="9"/>
      <c r="Z197" s="9"/>
      <c r="AA197" s="9"/>
      <c r="AB197" s="10" t="str">
        <f aca="false">IF(A197="","",SG_Criteria!$B$6&amp;SG_Criteria!$B$12&amp;"\"&amp;A197&amp;"\")</f>
        <v/>
      </c>
      <c r="AC197" s="10" t="str">
        <f aca="false">IF(A197="","",A197&amp;"_CAD.dwg")</f>
        <v/>
      </c>
      <c r="AD197" s="10" t="str">
        <f aca="false">IF(A197="","",A197&amp;"_DWG.pdf")</f>
        <v/>
      </c>
      <c r="AE197" s="10" t="str">
        <f aca="false">IF(A197="","",IF(AA197="Y",A197&amp;"_STAAD.std","n/a"))</f>
        <v/>
      </c>
      <c r="AF197" s="10" t="str">
        <f aca="false">IF(A197="","",A197&amp;"_CALC.xlsx")</f>
        <v/>
      </c>
      <c r="AG197" s="10" t="str">
        <f aca="false">IF(A197="","",A197&amp;"_CALC.pdf")</f>
        <v/>
      </c>
      <c r="AH197" s="9"/>
      <c r="AI197" s="9"/>
      <c r="AJ197" s="41"/>
      <c r="AK197" s="41"/>
      <c r="AL197" s="41"/>
      <c r="AM197" s="41"/>
      <c r="AN197" s="41"/>
      <c r="AO197" s="38" t="str">
        <f aca="false">IF(C197="","",IF(LEN(IF(AND(C197&lt;&gt;"High Covered Linkway",F197&lt;SG_Criteria!$B$46),"FAIL: headroom below "&amp;SG_Criteria!$B$46&amp;" m. ","")&amp;IF(AND(C197="High Covered Linkway",F197&lt;SG_Criteria!$B$47),"FAIL: high linkway headroom below "&amp;SG_Criteria!$B$47&amp;" m. ","")&amp;IF(E197&lt;SG_Criteria!$B$48,"FAIL: roof width below "&amp;SG_Criteria!$B$48&amp;" m. ",IF(E197&lt;SG_Criteria!$B$49,"NOTE: not for MRT/LRT or high-traffic routes (min "&amp;SG_Criteria!$B$49&amp;" m). ",""))&amp;IF(AND(P197&lt;&gt;"",P197&lt;SG_Criteria!$B$50),"FAIL: wind speed below "&amp;SG_Criteria!$B$50&amp;" m/s. ","")&amp;IF(AND(Q197&lt;&gt;"",Q197&lt;SG_Criteria!$B$51),"FAIL: roof fixing pull-out below "&amp;SG_Criteria!$B$51&amp;" kN. ","")&amp;IF(AND(R197&lt;&gt;"",IFERROR(VALUE(MID(R197,2,2)),0)&lt;SG_Criteria!$B$52),"FAIL: grade below C"&amp;SG_Criteria!$B$52&amp;". ","")&amp;IF(D197="Non-standard (project design)","NOTE: not an SDRE standard, needs LTA acceptance. ",""))=0,"OK",IF(AND(C197&lt;&gt;"High Covered Linkway",F197&lt;SG_Criteria!$B$46),"FAIL: headroom below "&amp;SG_Criteria!$B$46&amp;" m. ","")&amp;IF(AND(C197="High Covered Linkway",F197&lt;SG_Criteria!$B$47),"FAIL: high linkway headroom below "&amp;SG_Criteria!$B$47&amp;" m. ","")&amp;IF(E197&lt;SG_Criteria!$B$48,"FAIL: roof width below "&amp;SG_Criteria!$B$48&amp;" m. ",IF(E197&lt;SG_Criteria!$B$49,"NOTE: not for MRT/LRT or high-traffic routes (min "&amp;SG_Criteria!$B$49&amp;" m). ",""))&amp;IF(AND(P197&lt;&gt;"",P197&lt;SG_Criteria!$B$50),"FAIL: wind speed below "&amp;SG_Criteria!$B$50&amp;" m/s. ","")&amp;IF(AND(Q197&lt;&gt;"",Q197&lt;SG_Criteria!$B$51),"FAIL: roof fixing pull-out below "&amp;SG_Criteria!$B$51&amp;" kN. ","")&amp;IF(AND(R197&lt;&gt;"",IFERROR(VALUE(MID(R197,2,2)),0)&lt;SG_Criteria!$B$52),"FAIL: grade below C"&amp;SG_Criteria!$B$52&amp;". ","")&amp;IF(D197="Non-standard (project design)","NOTE: not an SDRE standard, needs LTA acceptance. ","")))</f>
        <v/>
      </c>
      <c r="AP197" s="9"/>
      <c r="AQ197" s="9"/>
      <c r="AR197" s="9"/>
      <c r="AS197" s="9"/>
      <c r="AT197" s="9"/>
      <c r="AU197" s="31"/>
      <c r="AV197" s="10" t="str">
        <f aca="false">IF(C197="","",IF(AND(X197="Approved",ISERROR(SEARCH("FAIL",AO197))),"Y","N"))</f>
        <v/>
      </c>
      <c r="AW197" s="10" t="str">
        <f aca="false">IF(C197="","",C197&amp;"|"&amp;E197&amp;"|"&amp;F197&amp;"|"&amp;AV197)</f>
        <v/>
      </c>
    </row>
    <row r="198" customFormat="false" ht="15" hidden="false" customHeight="false" outlineLevel="0" collapsed="false">
      <c r="A198" s="10" t="str">
        <f aca="false">IF(C198="","","LKW-"&amp;IFERROR(VLOOKUP(C198,Lists!$AQ$4:$AR$17,2,0),"??")&amp;"-W"&amp;TEXT(E198*1000,"0000")&amp;"-H"&amp;TEXT(F198*1000,"0000")&amp;"-B"&amp;TEXT(G198*1000,"0000")&amp;"-"&amp;W198)</f>
        <v/>
      </c>
      <c r="B198" s="10" t="str">
        <f aca="false">IF(C198="","",C198&amp;", "&amp;E198&amp;" m wide, "&amp;F198&amp;" m headroom, "&amp;G198&amp;" m bays, "&amp;H198&amp;" ("&amp;D198&amp;")")</f>
        <v/>
      </c>
      <c r="C198" s="9"/>
      <c r="D198" s="9"/>
      <c r="E198" s="43"/>
      <c r="F198" s="43"/>
      <c r="G198" s="43"/>
      <c r="H198" s="9"/>
      <c r="I198" s="9"/>
      <c r="J198" s="9"/>
      <c r="K198" s="9"/>
      <c r="L198" s="9"/>
      <c r="M198" s="9"/>
      <c r="N198" s="9"/>
      <c r="O198" s="9"/>
      <c r="P198" s="40"/>
      <c r="Q198" s="43"/>
      <c r="R198" s="9"/>
      <c r="S198" s="9"/>
      <c r="T198" s="9"/>
      <c r="U198" s="43"/>
      <c r="V198" s="9"/>
      <c r="W198" s="9"/>
      <c r="X198" s="9"/>
      <c r="Y198" s="9"/>
      <c r="Z198" s="9"/>
      <c r="AA198" s="9"/>
      <c r="AB198" s="10" t="str">
        <f aca="false">IF(A198="","",SG_Criteria!$B$6&amp;SG_Criteria!$B$12&amp;"\"&amp;A198&amp;"\")</f>
        <v/>
      </c>
      <c r="AC198" s="10" t="str">
        <f aca="false">IF(A198="","",A198&amp;"_CAD.dwg")</f>
        <v/>
      </c>
      <c r="AD198" s="10" t="str">
        <f aca="false">IF(A198="","",A198&amp;"_DWG.pdf")</f>
        <v/>
      </c>
      <c r="AE198" s="10" t="str">
        <f aca="false">IF(A198="","",IF(AA198="Y",A198&amp;"_STAAD.std","n/a"))</f>
        <v/>
      </c>
      <c r="AF198" s="10" t="str">
        <f aca="false">IF(A198="","",A198&amp;"_CALC.xlsx")</f>
        <v/>
      </c>
      <c r="AG198" s="10" t="str">
        <f aca="false">IF(A198="","",A198&amp;"_CALC.pdf")</f>
        <v/>
      </c>
      <c r="AH198" s="9"/>
      <c r="AI198" s="9"/>
      <c r="AJ198" s="41"/>
      <c r="AK198" s="41"/>
      <c r="AL198" s="41"/>
      <c r="AM198" s="41"/>
      <c r="AN198" s="41"/>
      <c r="AO198" s="38" t="str">
        <f aca="false">IF(C198="","",IF(LEN(IF(AND(C198&lt;&gt;"High Covered Linkway",F198&lt;SG_Criteria!$B$46),"FAIL: headroom below "&amp;SG_Criteria!$B$46&amp;" m. ","")&amp;IF(AND(C198="High Covered Linkway",F198&lt;SG_Criteria!$B$47),"FAIL: high linkway headroom below "&amp;SG_Criteria!$B$47&amp;" m. ","")&amp;IF(E198&lt;SG_Criteria!$B$48,"FAIL: roof width below "&amp;SG_Criteria!$B$48&amp;" m. ",IF(E198&lt;SG_Criteria!$B$49,"NOTE: not for MRT/LRT or high-traffic routes (min "&amp;SG_Criteria!$B$49&amp;" m). ",""))&amp;IF(AND(P198&lt;&gt;"",P198&lt;SG_Criteria!$B$50),"FAIL: wind speed below "&amp;SG_Criteria!$B$50&amp;" m/s. ","")&amp;IF(AND(Q198&lt;&gt;"",Q198&lt;SG_Criteria!$B$51),"FAIL: roof fixing pull-out below "&amp;SG_Criteria!$B$51&amp;" kN. ","")&amp;IF(AND(R198&lt;&gt;"",IFERROR(VALUE(MID(R198,2,2)),0)&lt;SG_Criteria!$B$52),"FAIL: grade below C"&amp;SG_Criteria!$B$52&amp;". ","")&amp;IF(D198="Non-standard (project design)","NOTE: not an SDRE standard, needs LTA acceptance. ",""))=0,"OK",IF(AND(C198&lt;&gt;"High Covered Linkway",F198&lt;SG_Criteria!$B$46),"FAIL: headroom below "&amp;SG_Criteria!$B$46&amp;" m. ","")&amp;IF(AND(C198="High Covered Linkway",F198&lt;SG_Criteria!$B$47),"FAIL: high linkway headroom below "&amp;SG_Criteria!$B$47&amp;" m. ","")&amp;IF(E198&lt;SG_Criteria!$B$48,"FAIL: roof width below "&amp;SG_Criteria!$B$48&amp;" m. ",IF(E198&lt;SG_Criteria!$B$49,"NOTE: not for MRT/LRT or high-traffic routes (min "&amp;SG_Criteria!$B$49&amp;" m). ",""))&amp;IF(AND(P198&lt;&gt;"",P198&lt;SG_Criteria!$B$50),"FAIL: wind speed below "&amp;SG_Criteria!$B$50&amp;" m/s. ","")&amp;IF(AND(Q198&lt;&gt;"",Q198&lt;SG_Criteria!$B$51),"FAIL: roof fixing pull-out below "&amp;SG_Criteria!$B$51&amp;" kN. ","")&amp;IF(AND(R198&lt;&gt;"",IFERROR(VALUE(MID(R198,2,2)),0)&lt;SG_Criteria!$B$52),"FAIL: grade below C"&amp;SG_Criteria!$B$52&amp;". ","")&amp;IF(D198="Non-standard (project design)","NOTE: not an SDRE standard, needs LTA acceptance. ","")))</f>
        <v/>
      </c>
      <c r="AP198" s="9"/>
      <c r="AQ198" s="9"/>
      <c r="AR198" s="9"/>
      <c r="AS198" s="9"/>
      <c r="AT198" s="9"/>
      <c r="AU198" s="31"/>
      <c r="AV198" s="10" t="str">
        <f aca="false">IF(C198="","",IF(AND(X198="Approved",ISERROR(SEARCH("FAIL",AO198))),"Y","N"))</f>
        <v/>
      </c>
      <c r="AW198" s="10" t="str">
        <f aca="false">IF(C198="","",C198&amp;"|"&amp;E198&amp;"|"&amp;F198&amp;"|"&amp;AV198)</f>
        <v/>
      </c>
    </row>
    <row r="199" customFormat="false" ht="15" hidden="false" customHeight="false" outlineLevel="0" collapsed="false">
      <c r="A199" s="10" t="str">
        <f aca="false">IF(C199="","","LKW-"&amp;IFERROR(VLOOKUP(C199,Lists!$AQ$4:$AR$17,2,0),"??")&amp;"-W"&amp;TEXT(E199*1000,"0000")&amp;"-H"&amp;TEXT(F199*1000,"0000")&amp;"-B"&amp;TEXT(G199*1000,"0000")&amp;"-"&amp;W199)</f>
        <v/>
      </c>
      <c r="B199" s="10" t="str">
        <f aca="false">IF(C199="","",C199&amp;", "&amp;E199&amp;" m wide, "&amp;F199&amp;" m headroom, "&amp;G199&amp;" m bays, "&amp;H199&amp;" ("&amp;D199&amp;")")</f>
        <v/>
      </c>
      <c r="C199" s="9"/>
      <c r="D199" s="9"/>
      <c r="E199" s="43"/>
      <c r="F199" s="43"/>
      <c r="G199" s="43"/>
      <c r="H199" s="9"/>
      <c r="I199" s="9"/>
      <c r="J199" s="9"/>
      <c r="K199" s="9"/>
      <c r="L199" s="9"/>
      <c r="M199" s="9"/>
      <c r="N199" s="9"/>
      <c r="O199" s="9"/>
      <c r="P199" s="40"/>
      <c r="Q199" s="43"/>
      <c r="R199" s="9"/>
      <c r="S199" s="9"/>
      <c r="T199" s="9"/>
      <c r="U199" s="43"/>
      <c r="V199" s="9"/>
      <c r="W199" s="9"/>
      <c r="X199" s="9"/>
      <c r="Y199" s="9"/>
      <c r="Z199" s="9"/>
      <c r="AA199" s="9"/>
      <c r="AB199" s="10" t="str">
        <f aca="false">IF(A199="","",SG_Criteria!$B$6&amp;SG_Criteria!$B$12&amp;"\"&amp;A199&amp;"\")</f>
        <v/>
      </c>
      <c r="AC199" s="10" t="str">
        <f aca="false">IF(A199="","",A199&amp;"_CAD.dwg")</f>
        <v/>
      </c>
      <c r="AD199" s="10" t="str">
        <f aca="false">IF(A199="","",A199&amp;"_DWG.pdf")</f>
        <v/>
      </c>
      <c r="AE199" s="10" t="str">
        <f aca="false">IF(A199="","",IF(AA199="Y",A199&amp;"_STAAD.std","n/a"))</f>
        <v/>
      </c>
      <c r="AF199" s="10" t="str">
        <f aca="false">IF(A199="","",A199&amp;"_CALC.xlsx")</f>
        <v/>
      </c>
      <c r="AG199" s="10" t="str">
        <f aca="false">IF(A199="","",A199&amp;"_CALC.pdf")</f>
        <v/>
      </c>
      <c r="AH199" s="9"/>
      <c r="AI199" s="9"/>
      <c r="AJ199" s="41"/>
      <c r="AK199" s="41"/>
      <c r="AL199" s="41"/>
      <c r="AM199" s="41"/>
      <c r="AN199" s="41"/>
      <c r="AO199" s="38" t="str">
        <f aca="false">IF(C199="","",IF(LEN(IF(AND(C199&lt;&gt;"High Covered Linkway",F199&lt;SG_Criteria!$B$46),"FAIL: headroom below "&amp;SG_Criteria!$B$46&amp;" m. ","")&amp;IF(AND(C199="High Covered Linkway",F199&lt;SG_Criteria!$B$47),"FAIL: high linkway headroom below "&amp;SG_Criteria!$B$47&amp;" m. ","")&amp;IF(E199&lt;SG_Criteria!$B$48,"FAIL: roof width below "&amp;SG_Criteria!$B$48&amp;" m. ",IF(E199&lt;SG_Criteria!$B$49,"NOTE: not for MRT/LRT or high-traffic routes (min "&amp;SG_Criteria!$B$49&amp;" m). ",""))&amp;IF(AND(P199&lt;&gt;"",P199&lt;SG_Criteria!$B$50),"FAIL: wind speed below "&amp;SG_Criteria!$B$50&amp;" m/s. ","")&amp;IF(AND(Q199&lt;&gt;"",Q199&lt;SG_Criteria!$B$51),"FAIL: roof fixing pull-out below "&amp;SG_Criteria!$B$51&amp;" kN. ","")&amp;IF(AND(R199&lt;&gt;"",IFERROR(VALUE(MID(R199,2,2)),0)&lt;SG_Criteria!$B$52),"FAIL: grade below C"&amp;SG_Criteria!$B$52&amp;". ","")&amp;IF(D199="Non-standard (project design)","NOTE: not an SDRE standard, needs LTA acceptance. ",""))=0,"OK",IF(AND(C199&lt;&gt;"High Covered Linkway",F199&lt;SG_Criteria!$B$46),"FAIL: headroom below "&amp;SG_Criteria!$B$46&amp;" m. ","")&amp;IF(AND(C199="High Covered Linkway",F199&lt;SG_Criteria!$B$47),"FAIL: high linkway headroom below "&amp;SG_Criteria!$B$47&amp;" m. ","")&amp;IF(E199&lt;SG_Criteria!$B$48,"FAIL: roof width below "&amp;SG_Criteria!$B$48&amp;" m. ",IF(E199&lt;SG_Criteria!$B$49,"NOTE: not for MRT/LRT or high-traffic routes (min "&amp;SG_Criteria!$B$49&amp;" m). ",""))&amp;IF(AND(P199&lt;&gt;"",P199&lt;SG_Criteria!$B$50),"FAIL: wind speed below "&amp;SG_Criteria!$B$50&amp;" m/s. ","")&amp;IF(AND(Q199&lt;&gt;"",Q199&lt;SG_Criteria!$B$51),"FAIL: roof fixing pull-out below "&amp;SG_Criteria!$B$51&amp;" kN. ","")&amp;IF(AND(R199&lt;&gt;"",IFERROR(VALUE(MID(R199,2,2)),0)&lt;SG_Criteria!$B$52),"FAIL: grade below C"&amp;SG_Criteria!$B$52&amp;". ","")&amp;IF(D199="Non-standard (project design)","NOTE: not an SDRE standard, needs LTA acceptance. ","")))</f>
        <v/>
      </c>
      <c r="AP199" s="9"/>
      <c r="AQ199" s="9"/>
      <c r="AR199" s="9"/>
      <c r="AS199" s="9"/>
      <c r="AT199" s="9"/>
      <c r="AU199" s="31"/>
      <c r="AV199" s="10" t="str">
        <f aca="false">IF(C199="","",IF(AND(X199="Approved",ISERROR(SEARCH("FAIL",AO199))),"Y","N"))</f>
        <v/>
      </c>
      <c r="AW199" s="10" t="str">
        <f aca="false">IF(C199="","",C199&amp;"|"&amp;E199&amp;"|"&amp;F199&amp;"|"&amp;AV199)</f>
        <v/>
      </c>
    </row>
    <row r="200" customFormat="false" ht="15" hidden="false" customHeight="false" outlineLevel="0" collapsed="false">
      <c r="A200" s="10" t="str">
        <f aca="false">IF(C200="","","LKW-"&amp;IFERROR(VLOOKUP(C200,Lists!$AQ$4:$AR$17,2,0),"??")&amp;"-W"&amp;TEXT(E200*1000,"0000")&amp;"-H"&amp;TEXT(F200*1000,"0000")&amp;"-B"&amp;TEXT(G200*1000,"0000")&amp;"-"&amp;W200)</f>
        <v/>
      </c>
      <c r="B200" s="10" t="str">
        <f aca="false">IF(C200="","",C200&amp;", "&amp;E200&amp;" m wide, "&amp;F200&amp;" m headroom, "&amp;G200&amp;" m bays, "&amp;H200&amp;" ("&amp;D200&amp;")")</f>
        <v/>
      </c>
      <c r="C200" s="9"/>
      <c r="D200" s="9"/>
      <c r="E200" s="43"/>
      <c r="F200" s="43"/>
      <c r="G200" s="43"/>
      <c r="H200" s="9"/>
      <c r="I200" s="9"/>
      <c r="J200" s="9"/>
      <c r="K200" s="9"/>
      <c r="L200" s="9"/>
      <c r="M200" s="9"/>
      <c r="N200" s="9"/>
      <c r="O200" s="9"/>
      <c r="P200" s="40"/>
      <c r="Q200" s="43"/>
      <c r="R200" s="9"/>
      <c r="S200" s="9"/>
      <c r="T200" s="9"/>
      <c r="U200" s="43"/>
      <c r="V200" s="9"/>
      <c r="W200" s="9"/>
      <c r="X200" s="9"/>
      <c r="Y200" s="9"/>
      <c r="Z200" s="9"/>
      <c r="AA200" s="9"/>
      <c r="AB200" s="10" t="str">
        <f aca="false">IF(A200="","",SG_Criteria!$B$6&amp;SG_Criteria!$B$12&amp;"\"&amp;A200&amp;"\")</f>
        <v/>
      </c>
      <c r="AC200" s="10" t="str">
        <f aca="false">IF(A200="","",A200&amp;"_CAD.dwg")</f>
        <v/>
      </c>
      <c r="AD200" s="10" t="str">
        <f aca="false">IF(A200="","",A200&amp;"_DWG.pdf")</f>
        <v/>
      </c>
      <c r="AE200" s="10" t="str">
        <f aca="false">IF(A200="","",IF(AA200="Y",A200&amp;"_STAAD.std","n/a"))</f>
        <v/>
      </c>
      <c r="AF200" s="10" t="str">
        <f aca="false">IF(A200="","",A200&amp;"_CALC.xlsx")</f>
        <v/>
      </c>
      <c r="AG200" s="10" t="str">
        <f aca="false">IF(A200="","",A200&amp;"_CALC.pdf")</f>
        <v/>
      </c>
      <c r="AH200" s="9"/>
      <c r="AI200" s="9"/>
      <c r="AJ200" s="41"/>
      <c r="AK200" s="41"/>
      <c r="AL200" s="41"/>
      <c r="AM200" s="41"/>
      <c r="AN200" s="41"/>
      <c r="AO200" s="38" t="str">
        <f aca="false">IF(C200="","",IF(LEN(IF(AND(C200&lt;&gt;"High Covered Linkway",F200&lt;SG_Criteria!$B$46),"FAIL: headroom below "&amp;SG_Criteria!$B$46&amp;" m. ","")&amp;IF(AND(C200="High Covered Linkway",F200&lt;SG_Criteria!$B$47),"FAIL: high linkway headroom below "&amp;SG_Criteria!$B$47&amp;" m. ","")&amp;IF(E200&lt;SG_Criteria!$B$48,"FAIL: roof width below "&amp;SG_Criteria!$B$48&amp;" m. ",IF(E200&lt;SG_Criteria!$B$49,"NOTE: not for MRT/LRT or high-traffic routes (min "&amp;SG_Criteria!$B$49&amp;" m). ",""))&amp;IF(AND(P200&lt;&gt;"",P200&lt;SG_Criteria!$B$50),"FAIL: wind speed below "&amp;SG_Criteria!$B$50&amp;" m/s. ","")&amp;IF(AND(Q200&lt;&gt;"",Q200&lt;SG_Criteria!$B$51),"FAIL: roof fixing pull-out below "&amp;SG_Criteria!$B$51&amp;" kN. ","")&amp;IF(AND(R200&lt;&gt;"",IFERROR(VALUE(MID(R200,2,2)),0)&lt;SG_Criteria!$B$52),"FAIL: grade below C"&amp;SG_Criteria!$B$52&amp;". ","")&amp;IF(D200="Non-standard (project design)","NOTE: not an SDRE standard, needs LTA acceptance. ",""))=0,"OK",IF(AND(C200&lt;&gt;"High Covered Linkway",F200&lt;SG_Criteria!$B$46),"FAIL: headroom below "&amp;SG_Criteria!$B$46&amp;" m. ","")&amp;IF(AND(C200="High Covered Linkway",F200&lt;SG_Criteria!$B$47),"FAIL: high linkway headroom below "&amp;SG_Criteria!$B$47&amp;" m. ","")&amp;IF(E200&lt;SG_Criteria!$B$48,"FAIL: roof width below "&amp;SG_Criteria!$B$48&amp;" m. ",IF(E200&lt;SG_Criteria!$B$49,"NOTE: not for MRT/LRT or high-traffic routes (min "&amp;SG_Criteria!$B$49&amp;" m). ",""))&amp;IF(AND(P200&lt;&gt;"",P200&lt;SG_Criteria!$B$50),"FAIL: wind speed below "&amp;SG_Criteria!$B$50&amp;" m/s. ","")&amp;IF(AND(Q200&lt;&gt;"",Q200&lt;SG_Criteria!$B$51),"FAIL: roof fixing pull-out below "&amp;SG_Criteria!$B$51&amp;" kN. ","")&amp;IF(AND(R200&lt;&gt;"",IFERROR(VALUE(MID(R200,2,2)),0)&lt;SG_Criteria!$B$52),"FAIL: grade below C"&amp;SG_Criteria!$B$52&amp;". ","")&amp;IF(D200="Non-standard (project design)","NOTE: not an SDRE standard, needs LTA acceptance. ","")))</f>
        <v/>
      </c>
      <c r="AP200" s="9"/>
      <c r="AQ200" s="9"/>
      <c r="AR200" s="9"/>
      <c r="AS200" s="9"/>
      <c r="AT200" s="9"/>
      <c r="AU200" s="31"/>
      <c r="AV200" s="10" t="str">
        <f aca="false">IF(C200="","",IF(AND(X200="Approved",ISERROR(SEARCH("FAIL",AO200))),"Y","N"))</f>
        <v/>
      </c>
      <c r="AW200" s="10" t="str">
        <f aca="false">IF(C200="","",C200&amp;"|"&amp;E200&amp;"|"&amp;F200&amp;"|"&amp;AV200)</f>
        <v/>
      </c>
    </row>
    <row r="201" customFormat="false" ht="15" hidden="false" customHeight="false" outlineLevel="0" collapsed="false">
      <c r="A201" s="10" t="str">
        <f aca="false">IF(C201="","","LKW-"&amp;IFERROR(VLOOKUP(C201,Lists!$AQ$4:$AR$17,2,0),"??")&amp;"-W"&amp;TEXT(E201*1000,"0000")&amp;"-H"&amp;TEXT(F201*1000,"0000")&amp;"-B"&amp;TEXT(G201*1000,"0000")&amp;"-"&amp;W201)</f>
        <v/>
      </c>
      <c r="B201" s="10" t="str">
        <f aca="false">IF(C201="","",C201&amp;", "&amp;E201&amp;" m wide, "&amp;F201&amp;" m headroom, "&amp;G201&amp;" m bays, "&amp;H201&amp;" ("&amp;D201&amp;")")</f>
        <v/>
      </c>
      <c r="C201" s="9"/>
      <c r="D201" s="9"/>
      <c r="E201" s="43"/>
      <c r="F201" s="43"/>
      <c r="G201" s="43"/>
      <c r="H201" s="9"/>
      <c r="I201" s="9"/>
      <c r="J201" s="9"/>
      <c r="K201" s="9"/>
      <c r="L201" s="9"/>
      <c r="M201" s="9"/>
      <c r="N201" s="9"/>
      <c r="O201" s="9"/>
      <c r="P201" s="40"/>
      <c r="Q201" s="43"/>
      <c r="R201" s="9"/>
      <c r="S201" s="9"/>
      <c r="T201" s="9"/>
      <c r="U201" s="43"/>
      <c r="V201" s="9"/>
      <c r="W201" s="9"/>
      <c r="X201" s="9"/>
      <c r="Y201" s="9"/>
      <c r="Z201" s="9"/>
      <c r="AA201" s="9"/>
      <c r="AB201" s="10" t="str">
        <f aca="false">IF(A201="","",SG_Criteria!$B$6&amp;SG_Criteria!$B$12&amp;"\"&amp;A201&amp;"\")</f>
        <v/>
      </c>
      <c r="AC201" s="10" t="str">
        <f aca="false">IF(A201="","",A201&amp;"_CAD.dwg")</f>
        <v/>
      </c>
      <c r="AD201" s="10" t="str">
        <f aca="false">IF(A201="","",A201&amp;"_DWG.pdf")</f>
        <v/>
      </c>
      <c r="AE201" s="10" t="str">
        <f aca="false">IF(A201="","",IF(AA201="Y",A201&amp;"_STAAD.std","n/a"))</f>
        <v/>
      </c>
      <c r="AF201" s="10" t="str">
        <f aca="false">IF(A201="","",A201&amp;"_CALC.xlsx")</f>
        <v/>
      </c>
      <c r="AG201" s="10" t="str">
        <f aca="false">IF(A201="","",A201&amp;"_CALC.pdf")</f>
        <v/>
      </c>
      <c r="AH201" s="9"/>
      <c r="AI201" s="9"/>
      <c r="AJ201" s="41"/>
      <c r="AK201" s="41"/>
      <c r="AL201" s="41"/>
      <c r="AM201" s="41"/>
      <c r="AN201" s="41"/>
      <c r="AO201" s="38" t="str">
        <f aca="false">IF(C201="","",IF(LEN(IF(AND(C201&lt;&gt;"High Covered Linkway",F201&lt;SG_Criteria!$B$46),"FAIL: headroom below "&amp;SG_Criteria!$B$46&amp;" m. ","")&amp;IF(AND(C201="High Covered Linkway",F201&lt;SG_Criteria!$B$47),"FAIL: high linkway headroom below "&amp;SG_Criteria!$B$47&amp;" m. ","")&amp;IF(E201&lt;SG_Criteria!$B$48,"FAIL: roof width below "&amp;SG_Criteria!$B$48&amp;" m. ",IF(E201&lt;SG_Criteria!$B$49,"NOTE: not for MRT/LRT or high-traffic routes (min "&amp;SG_Criteria!$B$49&amp;" m). ",""))&amp;IF(AND(P201&lt;&gt;"",P201&lt;SG_Criteria!$B$50),"FAIL: wind speed below "&amp;SG_Criteria!$B$50&amp;" m/s. ","")&amp;IF(AND(Q201&lt;&gt;"",Q201&lt;SG_Criteria!$B$51),"FAIL: roof fixing pull-out below "&amp;SG_Criteria!$B$51&amp;" kN. ","")&amp;IF(AND(R201&lt;&gt;"",IFERROR(VALUE(MID(R201,2,2)),0)&lt;SG_Criteria!$B$52),"FAIL: grade below C"&amp;SG_Criteria!$B$52&amp;". ","")&amp;IF(D201="Non-standard (project design)","NOTE: not an SDRE standard, needs LTA acceptance. ",""))=0,"OK",IF(AND(C201&lt;&gt;"High Covered Linkway",F201&lt;SG_Criteria!$B$46),"FAIL: headroom below "&amp;SG_Criteria!$B$46&amp;" m. ","")&amp;IF(AND(C201="High Covered Linkway",F201&lt;SG_Criteria!$B$47),"FAIL: high linkway headroom below "&amp;SG_Criteria!$B$47&amp;" m. ","")&amp;IF(E201&lt;SG_Criteria!$B$48,"FAIL: roof width below "&amp;SG_Criteria!$B$48&amp;" m. ",IF(E201&lt;SG_Criteria!$B$49,"NOTE: not for MRT/LRT or high-traffic routes (min "&amp;SG_Criteria!$B$49&amp;" m). ",""))&amp;IF(AND(P201&lt;&gt;"",P201&lt;SG_Criteria!$B$50),"FAIL: wind speed below "&amp;SG_Criteria!$B$50&amp;" m/s. ","")&amp;IF(AND(Q201&lt;&gt;"",Q201&lt;SG_Criteria!$B$51),"FAIL: roof fixing pull-out below "&amp;SG_Criteria!$B$51&amp;" kN. ","")&amp;IF(AND(R201&lt;&gt;"",IFERROR(VALUE(MID(R201,2,2)),0)&lt;SG_Criteria!$B$52),"FAIL: grade below C"&amp;SG_Criteria!$B$52&amp;". ","")&amp;IF(D201="Non-standard (project design)","NOTE: not an SDRE standard, needs LTA acceptance. ","")))</f>
        <v/>
      </c>
      <c r="AP201" s="9"/>
      <c r="AQ201" s="9"/>
      <c r="AR201" s="9"/>
      <c r="AS201" s="9"/>
      <c r="AT201" s="9"/>
      <c r="AU201" s="31"/>
      <c r="AV201" s="10" t="str">
        <f aca="false">IF(C201="","",IF(AND(X201="Approved",ISERROR(SEARCH("FAIL",AO201))),"Y","N"))</f>
        <v/>
      </c>
      <c r="AW201" s="10" t="str">
        <f aca="false">IF(C201="","",C201&amp;"|"&amp;E201&amp;"|"&amp;F201&amp;"|"&amp;AV201)</f>
        <v/>
      </c>
    </row>
    <row r="202" customFormat="false" ht="15" hidden="false" customHeight="false" outlineLevel="0" collapsed="false">
      <c r="A202" s="10" t="str">
        <f aca="false">IF(C202="","","LKW-"&amp;IFERROR(VLOOKUP(C202,Lists!$AQ$4:$AR$17,2,0),"??")&amp;"-W"&amp;TEXT(E202*1000,"0000")&amp;"-H"&amp;TEXT(F202*1000,"0000")&amp;"-B"&amp;TEXT(G202*1000,"0000")&amp;"-"&amp;W202)</f>
        <v/>
      </c>
      <c r="B202" s="10" t="str">
        <f aca="false">IF(C202="","",C202&amp;", "&amp;E202&amp;" m wide, "&amp;F202&amp;" m headroom, "&amp;G202&amp;" m bays, "&amp;H202&amp;" ("&amp;D202&amp;")")</f>
        <v/>
      </c>
      <c r="C202" s="9"/>
      <c r="D202" s="9"/>
      <c r="E202" s="43"/>
      <c r="F202" s="43"/>
      <c r="G202" s="43"/>
      <c r="H202" s="9"/>
      <c r="I202" s="9"/>
      <c r="J202" s="9"/>
      <c r="K202" s="9"/>
      <c r="L202" s="9"/>
      <c r="M202" s="9"/>
      <c r="N202" s="9"/>
      <c r="O202" s="9"/>
      <c r="P202" s="40"/>
      <c r="Q202" s="43"/>
      <c r="R202" s="9"/>
      <c r="S202" s="9"/>
      <c r="T202" s="9"/>
      <c r="U202" s="43"/>
      <c r="V202" s="9"/>
      <c r="W202" s="9"/>
      <c r="X202" s="9"/>
      <c r="Y202" s="9"/>
      <c r="Z202" s="9"/>
      <c r="AA202" s="9"/>
      <c r="AB202" s="10" t="str">
        <f aca="false">IF(A202="","",SG_Criteria!$B$6&amp;SG_Criteria!$B$12&amp;"\"&amp;A202&amp;"\")</f>
        <v/>
      </c>
      <c r="AC202" s="10" t="str">
        <f aca="false">IF(A202="","",A202&amp;"_CAD.dwg")</f>
        <v/>
      </c>
      <c r="AD202" s="10" t="str">
        <f aca="false">IF(A202="","",A202&amp;"_DWG.pdf")</f>
        <v/>
      </c>
      <c r="AE202" s="10" t="str">
        <f aca="false">IF(A202="","",IF(AA202="Y",A202&amp;"_STAAD.std","n/a"))</f>
        <v/>
      </c>
      <c r="AF202" s="10" t="str">
        <f aca="false">IF(A202="","",A202&amp;"_CALC.xlsx")</f>
        <v/>
      </c>
      <c r="AG202" s="10" t="str">
        <f aca="false">IF(A202="","",A202&amp;"_CALC.pdf")</f>
        <v/>
      </c>
      <c r="AH202" s="9"/>
      <c r="AI202" s="9"/>
      <c r="AJ202" s="41"/>
      <c r="AK202" s="41"/>
      <c r="AL202" s="41"/>
      <c r="AM202" s="41"/>
      <c r="AN202" s="41"/>
      <c r="AO202" s="38" t="str">
        <f aca="false">IF(C202="","",IF(LEN(IF(AND(C202&lt;&gt;"High Covered Linkway",F202&lt;SG_Criteria!$B$46),"FAIL: headroom below "&amp;SG_Criteria!$B$46&amp;" m. ","")&amp;IF(AND(C202="High Covered Linkway",F202&lt;SG_Criteria!$B$47),"FAIL: high linkway headroom below "&amp;SG_Criteria!$B$47&amp;" m. ","")&amp;IF(E202&lt;SG_Criteria!$B$48,"FAIL: roof width below "&amp;SG_Criteria!$B$48&amp;" m. ",IF(E202&lt;SG_Criteria!$B$49,"NOTE: not for MRT/LRT or high-traffic routes (min "&amp;SG_Criteria!$B$49&amp;" m). ",""))&amp;IF(AND(P202&lt;&gt;"",P202&lt;SG_Criteria!$B$50),"FAIL: wind speed below "&amp;SG_Criteria!$B$50&amp;" m/s. ","")&amp;IF(AND(Q202&lt;&gt;"",Q202&lt;SG_Criteria!$B$51),"FAIL: roof fixing pull-out below "&amp;SG_Criteria!$B$51&amp;" kN. ","")&amp;IF(AND(R202&lt;&gt;"",IFERROR(VALUE(MID(R202,2,2)),0)&lt;SG_Criteria!$B$52),"FAIL: grade below C"&amp;SG_Criteria!$B$52&amp;". ","")&amp;IF(D202="Non-standard (project design)","NOTE: not an SDRE standard, needs LTA acceptance. ",""))=0,"OK",IF(AND(C202&lt;&gt;"High Covered Linkway",F202&lt;SG_Criteria!$B$46),"FAIL: headroom below "&amp;SG_Criteria!$B$46&amp;" m. ","")&amp;IF(AND(C202="High Covered Linkway",F202&lt;SG_Criteria!$B$47),"FAIL: high linkway headroom below "&amp;SG_Criteria!$B$47&amp;" m. ","")&amp;IF(E202&lt;SG_Criteria!$B$48,"FAIL: roof width below "&amp;SG_Criteria!$B$48&amp;" m. ",IF(E202&lt;SG_Criteria!$B$49,"NOTE: not for MRT/LRT or high-traffic routes (min "&amp;SG_Criteria!$B$49&amp;" m). ",""))&amp;IF(AND(P202&lt;&gt;"",P202&lt;SG_Criteria!$B$50),"FAIL: wind speed below "&amp;SG_Criteria!$B$50&amp;" m/s. ","")&amp;IF(AND(Q202&lt;&gt;"",Q202&lt;SG_Criteria!$B$51),"FAIL: roof fixing pull-out below "&amp;SG_Criteria!$B$51&amp;" kN. ","")&amp;IF(AND(R202&lt;&gt;"",IFERROR(VALUE(MID(R202,2,2)),0)&lt;SG_Criteria!$B$52),"FAIL: grade below C"&amp;SG_Criteria!$B$52&amp;". ","")&amp;IF(D202="Non-standard (project design)","NOTE: not an SDRE standard, needs LTA acceptance. ","")))</f>
        <v/>
      </c>
      <c r="AP202" s="9"/>
      <c r="AQ202" s="9"/>
      <c r="AR202" s="9"/>
      <c r="AS202" s="9"/>
      <c r="AT202" s="9"/>
      <c r="AU202" s="31"/>
      <c r="AV202" s="10" t="str">
        <f aca="false">IF(C202="","",IF(AND(X202="Approved",ISERROR(SEARCH("FAIL",AO202))),"Y","N"))</f>
        <v/>
      </c>
      <c r="AW202" s="10" t="str">
        <f aca="false">IF(C202="","",C202&amp;"|"&amp;E202&amp;"|"&amp;F202&amp;"|"&amp;AV202)</f>
        <v/>
      </c>
    </row>
    <row r="203" customFormat="false" ht="15" hidden="false" customHeight="false" outlineLevel="0" collapsed="false">
      <c r="A203" s="10" t="str">
        <f aca="false">IF(C203="","","LKW-"&amp;IFERROR(VLOOKUP(C203,Lists!$AQ$4:$AR$17,2,0),"??")&amp;"-W"&amp;TEXT(E203*1000,"0000")&amp;"-H"&amp;TEXT(F203*1000,"0000")&amp;"-B"&amp;TEXT(G203*1000,"0000")&amp;"-"&amp;W203)</f>
        <v/>
      </c>
      <c r="B203" s="10" t="str">
        <f aca="false">IF(C203="","",C203&amp;", "&amp;E203&amp;" m wide, "&amp;F203&amp;" m headroom, "&amp;G203&amp;" m bays, "&amp;H203&amp;" ("&amp;D203&amp;")")</f>
        <v/>
      </c>
      <c r="C203" s="9"/>
      <c r="D203" s="9"/>
      <c r="E203" s="43"/>
      <c r="F203" s="43"/>
      <c r="G203" s="43"/>
      <c r="H203" s="9"/>
      <c r="I203" s="9"/>
      <c r="J203" s="9"/>
      <c r="K203" s="9"/>
      <c r="L203" s="9"/>
      <c r="M203" s="9"/>
      <c r="N203" s="9"/>
      <c r="O203" s="9"/>
      <c r="P203" s="40"/>
      <c r="Q203" s="43"/>
      <c r="R203" s="9"/>
      <c r="S203" s="9"/>
      <c r="T203" s="9"/>
      <c r="U203" s="43"/>
      <c r="V203" s="9"/>
      <c r="W203" s="9"/>
      <c r="X203" s="9"/>
      <c r="Y203" s="9"/>
      <c r="Z203" s="9"/>
      <c r="AA203" s="9"/>
      <c r="AB203" s="10" t="str">
        <f aca="false">IF(A203="","",SG_Criteria!$B$6&amp;SG_Criteria!$B$12&amp;"\"&amp;A203&amp;"\")</f>
        <v/>
      </c>
      <c r="AC203" s="10" t="str">
        <f aca="false">IF(A203="","",A203&amp;"_CAD.dwg")</f>
        <v/>
      </c>
      <c r="AD203" s="10" t="str">
        <f aca="false">IF(A203="","",A203&amp;"_DWG.pdf")</f>
        <v/>
      </c>
      <c r="AE203" s="10" t="str">
        <f aca="false">IF(A203="","",IF(AA203="Y",A203&amp;"_STAAD.std","n/a"))</f>
        <v/>
      </c>
      <c r="AF203" s="10" t="str">
        <f aca="false">IF(A203="","",A203&amp;"_CALC.xlsx")</f>
        <v/>
      </c>
      <c r="AG203" s="10" t="str">
        <f aca="false">IF(A203="","",A203&amp;"_CALC.pdf")</f>
        <v/>
      </c>
      <c r="AH203" s="9"/>
      <c r="AI203" s="9"/>
      <c r="AJ203" s="41"/>
      <c r="AK203" s="41"/>
      <c r="AL203" s="41"/>
      <c r="AM203" s="41"/>
      <c r="AN203" s="41"/>
      <c r="AO203" s="38" t="str">
        <f aca="false">IF(C203="","",IF(LEN(IF(AND(C203&lt;&gt;"High Covered Linkway",F203&lt;SG_Criteria!$B$46),"FAIL: headroom below "&amp;SG_Criteria!$B$46&amp;" m. ","")&amp;IF(AND(C203="High Covered Linkway",F203&lt;SG_Criteria!$B$47),"FAIL: high linkway headroom below "&amp;SG_Criteria!$B$47&amp;" m. ","")&amp;IF(E203&lt;SG_Criteria!$B$48,"FAIL: roof width below "&amp;SG_Criteria!$B$48&amp;" m. ",IF(E203&lt;SG_Criteria!$B$49,"NOTE: not for MRT/LRT or high-traffic routes (min "&amp;SG_Criteria!$B$49&amp;" m). ",""))&amp;IF(AND(P203&lt;&gt;"",P203&lt;SG_Criteria!$B$50),"FAIL: wind speed below "&amp;SG_Criteria!$B$50&amp;" m/s. ","")&amp;IF(AND(Q203&lt;&gt;"",Q203&lt;SG_Criteria!$B$51),"FAIL: roof fixing pull-out below "&amp;SG_Criteria!$B$51&amp;" kN. ","")&amp;IF(AND(R203&lt;&gt;"",IFERROR(VALUE(MID(R203,2,2)),0)&lt;SG_Criteria!$B$52),"FAIL: grade below C"&amp;SG_Criteria!$B$52&amp;". ","")&amp;IF(D203="Non-standard (project design)","NOTE: not an SDRE standard, needs LTA acceptance. ",""))=0,"OK",IF(AND(C203&lt;&gt;"High Covered Linkway",F203&lt;SG_Criteria!$B$46),"FAIL: headroom below "&amp;SG_Criteria!$B$46&amp;" m. ","")&amp;IF(AND(C203="High Covered Linkway",F203&lt;SG_Criteria!$B$47),"FAIL: high linkway headroom below "&amp;SG_Criteria!$B$47&amp;" m. ","")&amp;IF(E203&lt;SG_Criteria!$B$48,"FAIL: roof width below "&amp;SG_Criteria!$B$48&amp;" m. ",IF(E203&lt;SG_Criteria!$B$49,"NOTE: not for MRT/LRT or high-traffic routes (min "&amp;SG_Criteria!$B$49&amp;" m). ",""))&amp;IF(AND(P203&lt;&gt;"",P203&lt;SG_Criteria!$B$50),"FAIL: wind speed below "&amp;SG_Criteria!$B$50&amp;" m/s. ","")&amp;IF(AND(Q203&lt;&gt;"",Q203&lt;SG_Criteria!$B$51),"FAIL: roof fixing pull-out below "&amp;SG_Criteria!$B$51&amp;" kN. ","")&amp;IF(AND(R203&lt;&gt;"",IFERROR(VALUE(MID(R203,2,2)),0)&lt;SG_Criteria!$B$52),"FAIL: grade below C"&amp;SG_Criteria!$B$52&amp;". ","")&amp;IF(D203="Non-standard (project design)","NOTE: not an SDRE standard, needs LTA acceptance. ","")))</f>
        <v/>
      </c>
      <c r="AP203" s="9"/>
      <c r="AQ203" s="9"/>
      <c r="AR203" s="9"/>
      <c r="AS203" s="9"/>
      <c r="AT203" s="9"/>
      <c r="AU203" s="31"/>
      <c r="AV203" s="10" t="str">
        <f aca="false">IF(C203="","",IF(AND(X203="Approved",ISERROR(SEARCH("FAIL",AO203))),"Y","N"))</f>
        <v/>
      </c>
      <c r="AW203" s="10" t="str">
        <f aca="false">IF(C203="","",C203&amp;"|"&amp;E203&amp;"|"&amp;F203&amp;"|"&amp;AV203)</f>
        <v/>
      </c>
    </row>
    <row r="204" customFormat="false" ht="15" hidden="false" customHeight="false" outlineLevel="0" collapsed="false">
      <c r="A204" s="10" t="str">
        <f aca="false">IF(C204="","","LKW-"&amp;IFERROR(VLOOKUP(C204,Lists!$AQ$4:$AR$17,2,0),"??")&amp;"-W"&amp;TEXT(E204*1000,"0000")&amp;"-H"&amp;TEXT(F204*1000,"0000")&amp;"-B"&amp;TEXT(G204*1000,"0000")&amp;"-"&amp;W204)</f>
        <v/>
      </c>
      <c r="B204" s="10" t="str">
        <f aca="false">IF(C204="","",C204&amp;", "&amp;E204&amp;" m wide, "&amp;F204&amp;" m headroom, "&amp;G204&amp;" m bays, "&amp;H204&amp;" ("&amp;D204&amp;")")</f>
        <v/>
      </c>
      <c r="C204" s="9"/>
      <c r="D204" s="9"/>
      <c r="E204" s="43"/>
      <c r="F204" s="43"/>
      <c r="G204" s="43"/>
      <c r="H204" s="9"/>
      <c r="I204" s="9"/>
      <c r="J204" s="9"/>
      <c r="K204" s="9"/>
      <c r="L204" s="9"/>
      <c r="M204" s="9"/>
      <c r="N204" s="9"/>
      <c r="O204" s="9"/>
      <c r="P204" s="40"/>
      <c r="Q204" s="43"/>
      <c r="R204" s="9"/>
      <c r="S204" s="9"/>
      <c r="T204" s="9"/>
      <c r="U204" s="43"/>
      <c r="V204" s="9"/>
      <c r="W204" s="9"/>
      <c r="X204" s="9"/>
      <c r="Y204" s="9"/>
      <c r="Z204" s="9"/>
      <c r="AA204" s="9"/>
      <c r="AB204" s="10" t="str">
        <f aca="false">IF(A204="","",SG_Criteria!$B$6&amp;SG_Criteria!$B$12&amp;"\"&amp;A204&amp;"\")</f>
        <v/>
      </c>
      <c r="AC204" s="10" t="str">
        <f aca="false">IF(A204="","",A204&amp;"_CAD.dwg")</f>
        <v/>
      </c>
      <c r="AD204" s="10" t="str">
        <f aca="false">IF(A204="","",A204&amp;"_DWG.pdf")</f>
        <v/>
      </c>
      <c r="AE204" s="10" t="str">
        <f aca="false">IF(A204="","",IF(AA204="Y",A204&amp;"_STAAD.std","n/a"))</f>
        <v/>
      </c>
      <c r="AF204" s="10" t="str">
        <f aca="false">IF(A204="","",A204&amp;"_CALC.xlsx")</f>
        <v/>
      </c>
      <c r="AG204" s="10" t="str">
        <f aca="false">IF(A204="","",A204&amp;"_CALC.pdf")</f>
        <v/>
      </c>
      <c r="AH204" s="9"/>
      <c r="AI204" s="9"/>
      <c r="AJ204" s="41"/>
      <c r="AK204" s="41"/>
      <c r="AL204" s="41"/>
      <c r="AM204" s="41"/>
      <c r="AN204" s="41"/>
      <c r="AO204" s="38" t="str">
        <f aca="false">IF(C204="","",IF(LEN(IF(AND(C204&lt;&gt;"High Covered Linkway",F204&lt;SG_Criteria!$B$46),"FAIL: headroom below "&amp;SG_Criteria!$B$46&amp;" m. ","")&amp;IF(AND(C204="High Covered Linkway",F204&lt;SG_Criteria!$B$47),"FAIL: high linkway headroom below "&amp;SG_Criteria!$B$47&amp;" m. ","")&amp;IF(E204&lt;SG_Criteria!$B$48,"FAIL: roof width below "&amp;SG_Criteria!$B$48&amp;" m. ",IF(E204&lt;SG_Criteria!$B$49,"NOTE: not for MRT/LRT or high-traffic routes (min "&amp;SG_Criteria!$B$49&amp;" m). ",""))&amp;IF(AND(P204&lt;&gt;"",P204&lt;SG_Criteria!$B$50),"FAIL: wind speed below "&amp;SG_Criteria!$B$50&amp;" m/s. ","")&amp;IF(AND(Q204&lt;&gt;"",Q204&lt;SG_Criteria!$B$51),"FAIL: roof fixing pull-out below "&amp;SG_Criteria!$B$51&amp;" kN. ","")&amp;IF(AND(R204&lt;&gt;"",IFERROR(VALUE(MID(R204,2,2)),0)&lt;SG_Criteria!$B$52),"FAIL: grade below C"&amp;SG_Criteria!$B$52&amp;". ","")&amp;IF(D204="Non-standard (project design)","NOTE: not an SDRE standard, needs LTA acceptance. ",""))=0,"OK",IF(AND(C204&lt;&gt;"High Covered Linkway",F204&lt;SG_Criteria!$B$46),"FAIL: headroom below "&amp;SG_Criteria!$B$46&amp;" m. ","")&amp;IF(AND(C204="High Covered Linkway",F204&lt;SG_Criteria!$B$47),"FAIL: high linkway headroom below "&amp;SG_Criteria!$B$47&amp;" m. ","")&amp;IF(E204&lt;SG_Criteria!$B$48,"FAIL: roof width below "&amp;SG_Criteria!$B$48&amp;" m. ",IF(E204&lt;SG_Criteria!$B$49,"NOTE: not for MRT/LRT or high-traffic routes (min "&amp;SG_Criteria!$B$49&amp;" m). ",""))&amp;IF(AND(P204&lt;&gt;"",P204&lt;SG_Criteria!$B$50),"FAIL: wind speed below "&amp;SG_Criteria!$B$50&amp;" m/s. ","")&amp;IF(AND(Q204&lt;&gt;"",Q204&lt;SG_Criteria!$B$51),"FAIL: roof fixing pull-out below "&amp;SG_Criteria!$B$51&amp;" kN. ","")&amp;IF(AND(R204&lt;&gt;"",IFERROR(VALUE(MID(R204,2,2)),0)&lt;SG_Criteria!$B$52),"FAIL: grade below C"&amp;SG_Criteria!$B$52&amp;". ","")&amp;IF(D204="Non-standard (project design)","NOTE: not an SDRE standard, needs LTA acceptance. ","")))</f>
        <v/>
      </c>
      <c r="AP204" s="9"/>
      <c r="AQ204" s="9"/>
      <c r="AR204" s="9"/>
      <c r="AS204" s="9"/>
      <c r="AT204" s="9"/>
      <c r="AU204" s="31"/>
      <c r="AV204" s="10" t="str">
        <f aca="false">IF(C204="","",IF(AND(X204="Approved",ISERROR(SEARCH("FAIL",AO204))),"Y","N"))</f>
        <v/>
      </c>
      <c r="AW204" s="10" t="str">
        <f aca="false">IF(C204="","",C204&amp;"|"&amp;E204&amp;"|"&amp;F204&amp;"|"&amp;AV204)</f>
        <v/>
      </c>
    </row>
    <row r="205" customFormat="false" ht="15" hidden="false" customHeight="false" outlineLevel="0" collapsed="false">
      <c r="A205" s="10" t="str">
        <f aca="false">IF(C205="","","LKW-"&amp;IFERROR(VLOOKUP(C205,Lists!$AQ$4:$AR$17,2,0),"??")&amp;"-W"&amp;TEXT(E205*1000,"0000")&amp;"-H"&amp;TEXT(F205*1000,"0000")&amp;"-B"&amp;TEXT(G205*1000,"0000")&amp;"-"&amp;W205)</f>
        <v/>
      </c>
      <c r="B205" s="10" t="str">
        <f aca="false">IF(C205="","",C205&amp;", "&amp;E205&amp;" m wide, "&amp;F205&amp;" m headroom, "&amp;G205&amp;" m bays, "&amp;H205&amp;" ("&amp;D205&amp;")")</f>
        <v/>
      </c>
      <c r="C205" s="9"/>
      <c r="D205" s="9"/>
      <c r="E205" s="43"/>
      <c r="F205" s="43"/>
      <c r="G205" s="43"/>
      <c r="H205" s="9"/>
      <c r="I205" s="9"/>
      <c r="J205" s="9"/>
      <c r="K205" s="9"/>
      <c r="L205" s="9"/>
      <c r="M205" s="9"/>
      <c r="N205" s="9"/>
      <c r="O205" s="9"/>
      <c r="P205" s="40"/>
      <c r="Q205" s="43"/>
      <c r="R205" s="9"/>
      <c r="S205" s="9"/>
      <c r="T205" s="9"/>
      <c r="U205" s="43"/>
      <c r="V205" s="9"/>
      <c r="W205" s="9"/>
      <c r="X205" s="9"/>
      <c r="Y205" s="9"/>
      <c r="Z205" s="9"/>
      <c r="AA205" s="9"/>
      <c r="AB205" s="10" t="str">
        <f aca="false">IF(A205="","",SG_Criteria!$B$6&amp;SG_Criteria!$B$12&amp;"\"&amp;A205&amp;"\")</f>
        <v/>
      </c>
      <c r="AC205" s="10" t="str">
        <f aca="false">IF(A205="","",A205&amp;"_CAD.dwg")</f>
        <v/>
      </c>
      <c r="AD205" s="10" t="str">
        <f aca="false">IF(A205="","",A205&amp;"_DWG.pdf")</f>
        <v/>
      </c>
      <c r="AE205" s="10" t="str">
        <f aca="false">IF(A205="","",IF(AA205="Y",A205&amp;"_STAAD.std","n/a"))</f>
        <v/>
      </c>
      <c r="AF205" s="10" t="str">
        <f aca="false">IF(A205="","",A205&amp;"_CALC.xlsx")</f>
        <v/>
      </c>
      <c r="AG205" s="10" t="str">
        <f aca="false">IF(A205="","",A205&amp;"_CALC.pdf")</f>
        <v/>
      </c>
      <c r="AH205" s="9"/>
      <c r="AI205" s="9"/>
      <c r="AJ205" s="41"/>
      <c r="AK205" s="41"/>
      <c r="AL205" s="41"/>
      <c r="AM205" s="41"/>
      <c r="AN205" s="41"/>
      <c r="AO205" s="38" t="str">
        <f aca="false">IF(C205="","",IF(LEN(IF(AND(C205&lt;&gt;"High Covered Linkway",F205&lt;SG_Criteria!$B$46),"FAIL: headroom below "&amp;SG_Criteria!$B$46&amp;" m. ","")&amp;IF(AND(C205="High Covered Linkway",F205&lt;SG_Criteria!$B$47),"FAIL: high linkway headroom below "&amp;SG_Criteria!$B$47&amp;" m. ","")&amp;IF(E205&lt;SG_Criteria!$B$48,"FAIL: roof width below "&amp;SG_Criteria!$B$48&amp;" m. ",IF(E205&lt;SG_Criteria!$B$49,"NOTE: not for MRT/LRT or high-traffic routes (min "&amp;SG_Criteria!$B$49&amp;" m). ",""))&amp;IF(AND(P205&lt;&gt;"",P205&lt;SG_Criteria!$B$50),"FAIL: wind speed below "&amp;SG_Criteria!$B$50&amp;" m/s. ","")&amp;IF(AND(Q205&lt;&gt;"",Q205&lt;SG_Criteria!$B$51),"FAIL: roof fixing pull-out below "&amp;SG_Criteria!$B$51&amp;" kN. ","")&amp;IF(AND(R205&lt;&gt;"",IFERROR(VALUE(MID(R205,2,2)),0)&lt;SG_Criteria!$B$52),"FAIL: grade below C"&amp;SG_Criteria!$B$52&amp;". ","")&amp;IF(D205="Non-standard (project design)","NOTE: not an SDRE standard, needs LTA acceptance. ",""))=0,"OK",IF(AND(C205&lt;&gt;"High Covered Linkway",F205&lt;SG_Criteria!$B$46),"FAIL: headroom below "&amp;SG_Criteria!$B$46&amp;" m. ","")&amp;IF(AND(C205="High Covered Linkway",F205&lt;SG_Criteria!$B$47),"FAIL: high linkway headroom below "&amp;SG_Criteria!$B$47&amp;" m. ","")&amp;IF(E205&lt;SG_Criteria!$B$48,"FAIL: roof width below "&amp;SG_Criteria!$B$48&amp;" m. ",IF(E205&lt;SG_Criteria!$B$49,"NOTE: not for MRT/LRT or high-traffic routes (min "&amp;SG_Criteria!$B$49&amp;" m). ",""))&amp;IF(AND(P205&lt;&gt;"",P205&lt;SG_Criteria!$B$50),"FAIL: wind speed below "&amp;SG_Criteria!$B$50&amp;" m/s. ","")&amp;IF(AND(Q205&lt;&gt;"",Q205&lt;SG_Criteria!$B$51),"FAIL: roof fixing pull-out below "&amp;SG_Criteria!$B$51&amp;" kN. ","")&amp;IF(AND(R205&lt;&gt;"",IFERROR(VALUE(MID(R205,2,2)),0)&lt;SG_Criteria!$B$52),"FAIL: grade below C"&amp;SG_Criteria!$B$52&amp;". ","")&amp;IF(D205="Non-standard (project design)","NOTE: not an SDRE standard, needs LTA acceptance. ","")))</f>
        <v/>
      </c>
      <c r="AP205" s="9"/>
      <c r="AQ205" s="9"/>
      <c r="AR205" s="9"/>
      <c r="AS205" s="9"/>
      <c r="AT205" s="9"/>
      <c r="AU205" s="31"/>
      <c r="AV205" s="10" t="str">
        <f aca="false">IF(C205="","",IF(AND(X205="Approved",ISERROR(SEARCH("FAIL",AO205))),"Y","N"))</f>
        <v/>
      </c>
      <c r="AW205" s="10" t="str">
        <f aca="false">IF(C205="","",C205&amp;"|"&amp;E205&amp;"|"&amp;F205&amp;"|"&amp;AV205)</f>
        <v/>
      </c>
    </row>
    <row r="206" customFormat="false" ht="15" hidden="false" customHeight="false" outlineLevel="0" collapsed="false">
      <c r="A206" s="10" t="str">
        <f aca="false">IF(C206="","","LKW-"&amp;IFERROR(VLOOKUP(C206,Lists!$AQ$4:$AR$17,2,0),"??")&amp;"-W"&amp;TEXT(E206*1000,"0000")&amp;"-H"&amp;TEXT(F206*1000,"0000")&amp;"-B"&amp;TEXT(G206*1000,"0000")&amp;"-"&amp;W206)</f>
        <v/>
      </c>
      <c r="B206" s="10" t="str">
        <f aca="false">IF(C206="","",C206&amp;", "&amp;E206&amp;" m wide, "&amp;F206&amp;" m headroom, "&amp;G206&amp;" m bays, "&amp;H206&amp;" ("&amp;D206&amp;")")</f>
        <v/>
      </c>
      <c r="C206" s="9"/>
      <c r="D206" s="9"/>
      <c r="E206" s="43"/>
      <c r="F206" s="43"/>
      <c r="G206" s="43"/>
      <c r="H206" s="9"/>
      <c r="I206" s="9"/>
      <c r="J206" s="9"/>
      <c r="K206" s="9"/>
      <c r="L206" s="9"/>
      <c r="M206" s="9"/>
      <c r="N206" s="9"/>
      <c r="O206" s="9"/>
      <c r="P206" s="40"/>
      <c r="Q206" s="43"/>
      <c r="R206" s="9"/>
      <c r="S206" s="9"/>
      <c r="T206" s="9"/>
      <c r="U206" s="43"/>
      <c r="V206" s="9"/>
      <c r="W206" s="9"/>
      <c r="X206" s="9"/>
      <c r="Y206" s="9"/>
      <c r="Z206" s="9"/>
      <c r="AA206" s="9"/>
      <c r="AB206" s="10" t="str">
        <f aca="false">IF(A206="","",SG_Criteria!$B$6&amp;SG_Criteria!$B$12&amp;"\"&amp;A206&amp;"\")</f>
        <v/>
      </c>
      <c r="AC206" s="10" t="str">
        <f aca="false">IF(A206="","",A206&amp;"_CAD.dwg")</f>
        <v/>
      </c>
      <c r="AD206" s="10" t="str">
        <f aca="false">IF(A206="","",A206&amp;"_DWG.pdf")</f>
        <v/>
      </c>
      <c r="AE206" s="10" t="str">
        <f aca="false">IF(A206="","",IF(AA206="Y",A206&amp;"_STAAD.std","n/a"))</f>
        <v/>
      </c>
      <c r="AF206" s="10" t="str">
        <f aca="false">IF(A206="","",A206&amp;"_CALC.xlsx")</f>
        <v/>
      </c>
      <c r="AG206" s="10" t="str">
        <f aca="false">IF(A206="","",A206&amp;"_CALC.pdf")</f>
        <v/>
      </c>
      <c r="AH206" s="9"/>
      <c r="AI206" s="9"/>
      <c r="AJ206" s="41"/>
      <c r="AK206" s="41"/>
      <c r="AL206" s="41"/>
      <c r="AM206" s="41"/>
      <c r="AN206" s="41"/>
      <c r="AO206" s="38" t="str">
        <f aca="false">IF(C206="","",IF(LEN(IF(AND(C206&lt;&gt;"High Covered Linkway",F206&lt;SG_Criteria!$B$46),"FAIL: headroom below "&amp;SG_Criteria!$B$46&amp;" m. ","")&amp;IF(AND(C206="High Covered Linkway",F206&lt;SG_Criteria!$B$47),"FAIL: high linkway headroom below "&amp;SG_Criteria!$B$47&amp;" m. ","")&amp;IF(E206&lt;SG_Criteria!$B$48,"FAIL: roof width below "&amp;SG_Criteria!$B$48&amp;" m. ",IF(E206&lt;SG_Criteria!$B$49,"NOTE: not for MRT/LRT or high-traffic routes (min "&amp;SG_Criteria!$B$49&amp;" m). ",""))&amp;IF(AND(P206&lt;&gt;"",P206&lt;SG_Criteria!$B$50),"FAIL: wind speed below "&amp;SG_Criteria!$B$50&amp;" m/s. ","")&amp;IF(AND(Q206&lt;&gt;"",Q206&lt;SG_Criteria!$B$51),"FAIL: roof fixing pull-out below "&amp;SG_Criteria!$B$51&amp;" kN. ","")&amp;IF(AND(R206&lt;&gt;"",IFERROR(VALUE(MID(R206,2,2)),0)&lt;SG_Criteria!$B$52),"FAIL: grade below C"&amp;SG_Criteria!$B$52&amp;". ","")&amp;IF(D206="Non-standard (project design)","NOTE: not an SDRE standard, needs LTA acceptance. ",""))=0,"OK",IF(AND(C206&lt;&gt;"High Covered Linkway",F206&lt;SG_Criteria!$B$46),"FAIL: headroom below "&amp;SG_Criteria!$B$46&amp;" m. ","")&amp;IF(AND(C206="High Covered Linkway",F206&lt;SG_Criteria!$B$47),"FAIL: high linkway headroom below "&amp;SG_Criteria!$B$47&amp;" m. ","")&amp;IF(E206&lt;SG_Criteria!$B$48,"FAIL: roof width below "&amp;SG_Criteria!$B$48&amp;" m. ",IF(E206&lt;SG_Criteria!$B$49,"NOTE: not for MRT/LRT or high-traffic routes (min "&amp;SG_Criteria!$B$49&amp;" m). ",""))&amp;IF(AND(P206&lt;&gt;"",P206&lt;SG_Criteria!$B$50),"FAIL: wind speed below "&amp;SG_Criteria!$B$50&amp;" m/s. ","")&amp;IF(AND(Q206&lt;&gt;"",Q206&lt;SG_Criteria!$B$51),"FAIL: roof fixing pull-out below "&amp;SG_Criteria!$B$51&amp;" kN. ","")&amp;IF(AND(R206&lt;&gt;"",IFERROR(VALUE(MID(R206,2,2)),0)&lt;SG_Criteria!$B$52),"FAIL: grade below C"&amp;SG_Criteria!$B$52&amp;". ","")&amp;IF(D206="Non-standard (project design)","NOTE: not an SDRE standard, needs LTA acceptance. ","")))</f>
        <v/>
      </c>
      <c r="AP206" s="9"/>
      <c r="AQ206" s="9"/>
      <c r="AR206" s="9"/>
      <c r="AS206" s="9"/>
      <c r="AT206" s="9"/>
      <c r="AU206" s="31"/>
      <c r="AV206" s="10" t="str">
        <f aca="false">IF(C206="","",IF(AND(X206="Approved",ISERROR(SEARCH("FAIL",AO206))),"Y","N"))</f>
        <v/>
      </c>
      <c r="AW206" s="10" t="str">
        <f aca="false">IF(C206="","",C206&amp;"|"&amp;E206&amp;"|"&amp;F206&amp;"|"&amp;AV206)</f>
        <v/>
      </c>
    </row>
    <row r="207" customFormat="false" ht="15" hidden="false" customHeight="false" outlineLevel="0" collapsed="false">
      <c r="A207" s="10" t="str">
        <f aca="false">IF(C207="","","LKW-"&amp;IFERROR(VLOOKUP(C207,Lists!$AQ$4:$AR$17,2,0),"??")&amp;"-W"&amp;TEXT(E207*1000,"0000")&amp;"-H"&amp;TEXT(F207*1000,"0000")&amp;"-B"&amp;TEXT(G207*1000,"0000")&amp;"-"&amp;W207)</f>
        <v/>
      </c>
      <c r="B207" s="10" t="str">
        <f aca="false">IF(C207="","",C207&amp;", "&amp;E207&amp;" m wide, "&amp;F207&amp;" m headroom, "&amp;G207&amp;" m bays, "&amp;H207&amp;" ("&amp;D207&amp;")")</f>
        <v/>
      </c>
      <c r="C207" s="9"/>
      <c r="D207" s="9"/>
      <c r="E207" s="43"/>
      <c r="F207" s="43"/>
      <c r="G207" s="43"/>
      <c r="H207" s="9"/>
      <c r="I207" s="9"/>
      <c r="J207" s="9"/>
      <c r="K207" s="9"/>
      <c r="L207" s="9"/>
      <c r="M207" s="9"/>
      <c r="N207" s="9"/>
      <c r="O207" s="9"/>
      <c r="P207" s="40"/>
      <c r="Q207" s="43"/>
      <c r="R207" s="9"/>
      <c r="S207" s="9"/>
      <c r="T207" s="9"/>
      <c r="U207" s="43"/>
      <c r="V207" s="9"/>
      <c r="W207" s="9"/>
      <c r="X207" s="9"/>
      <c r="Y207" s="9"/>
      <c r="Z207" s="9"/>
      <c r="AA207" s="9"/>
      <c r="AB207" s="10" t="str">
        <f aca="false">IF(A207="","",SG_Criteria!$B$6&amp;SG_Criteria!$B$12&amp;"\"&amp;A207&amp;"\")</f>
        <v/>
      </c>
      <c r="AC207" s="10" t="str">
        <f aca="false">IF(A207="","",A207&amp;"_CAD.dwg")</f>
        <v/>
      </c>
      <c r="AD207" s="10" t="str">
        <f aca="false">IF(A207="","",A207&amp;"_DWG.pdf")</f>
        <v/>
      </c>
      <c r="AE207" s="10" t="str">
        <f aca="false">IF(A207="","",IF(AA207="Y",A207&amp;"_STAAD.std","n/a"))</f>
        <v/>
      </c>
      <c r="AF207" s="10" t="str">
        <f aca="false">IF(A207="","",A207&amp;"_CALC.xlsx")</f>
        <v/>
      </c>
      <c r="AG207" s="10" t="str">
        <f aca="false">IF(A207="","",A207&amp;"_CALC.pdf")</f>
        <v/>
      </c>
      <c r="AH207" s="9"/>
      <c r="AI207" s="9"/>
      <c r="AJ207" s="41"/>
      <c r="AK207" s="41"/>
      <c r="AL207" s="41"/>
      <c r="AM207" s="41"/>
      <c r="AN207" s="41"/>
      <c r="AO207" s="38" t="str">
        <f aca="false">IF(C207="","",IF(LEN(IF(AND(C207&lt;&gt;"High Covered Linkway",F207&lt;SG_Criteria!$B$46),"FAIL: headroom below "&amp;SG_Criteria!$B$46&amp;" m. ","")&amp;IF(AND(C207="High Covered Linkway",F207&lt;SG_Criteria!$B$47),"FAIL: high linkway headroom below "&amp;SG_Criteria!$B$47&amp;" m. ","")&amp;IF(E207&lt;SG_Criteria!$B$48,"FAIL: roof width below "&amp;SG_Criteria!$B$48&amp;" m. ",IF(E207&lt;SG_Criteria!$B$49,"NOTE: not for MRT/LRT or high-traffic routes (min "&amp;SG_Criteria!$B$49&amp;" m). ",""))&amp;IF(AND(P207&lt;&gt;"",P207&lt;SG_Criteria!$B$50),"FAIL: wind speed below "&amp;SG_Criteria!$B$50&amp;" m/s. ","")&amp;IF(AND(Q207&lt;&gt;"",Q207&lt;SG_Criteria!$B$51),"FAIL: roof fixing pull-out below "&amp;SG_Criteria!$B$51&amp;" kN. ","")&amp;IF(AND(R207&lt;&gt;"",IFERROR(VALUE(MID(R207,2,2)),0)&lt;SG_Criteria!$B$52),"FAIL: grade below C"&amp;SG_Criteria!$B$52&amp;". ","")&amp;IF(D207="Non-standard (project design)","NOTE: not an SDRE standard, needs LTA acceptance. ",""))=0,"OK",IF(AND(C207&lt;&gt;"High Covered Linkway",F207&lt;SG_Criteria!$B$46),"FAIL: headroom below "&amp;SG_Criteria!$B$46&amp;" m. ","")&amp;IF(AND(C207="High Covered Linkway",F207&lt;SG_Criteria!$B$47),"FAIL: high linkway headroom below "&amp;SG_Criteria!$B$47&amp;" m. ","")&amp;IF(E207&lt;SG_Criteria!$B$48,"FAIL: roof width below "&amp;SG_Criteria!$B$48&amp;" m. ",IF(E207&lt;SG_Criteria!$B$49,"NOTE: not for MRT/LRT or high-traffic routes (min "&amp;SG_Criteria!$B$49&amp;" m). ",""))&amp;IF(AND(P207&lt;&gt;"",P207&lt;SG_Criteria!$B$50),"FAIL: wind speed below "&amp;SG_Criteria!$B$50&amp;" m/s. ","")&amp;IF(AND(Q207&lt;&gt;"",Q207&lt;SG_Criteria!$B$51),"FAIL: roof fixing pull-out below "&amp;SG_Criteria!$B$51&amp;" kN. ","")&amp;IF(AND(R207&lt;&gt;"",IFERROR(VALUE(MID(R207,2,2)),0)&lt;SG_Criteria!$B$52),"FAIL: grade below C"&amp;SG_Criteria!$B$52&amp;". ","")&amp;IF(D207="Non-standard (project design)","NOTE: not an SDRE standard, needs LTA acceptance. ","")))</f>
        <v/>
      </c>
      <c r="AP207" s="9"/>
      <c r="AQ207" s="9"/>
      <c r="AR207" s="9"/>
      <c r="AS207" s="9"/>
      <c r="AT207" s="9"/>
      <c r="AU207" s="31"/>
      <c r="AV207" s="10" t="str">
        <f aca="false">IF(C207="","",IF(AND(X207="Approved",ISERROR(SEARCH("FAIL",AO207))),"Y","N"))</f>
        <v/>
      </c>
      <c r="AW207" s="10" t="str">
        <f aca="false">IF(C207="","",C207&amp;"|"&amp;E207&amp;"|"&amp;F207&amp;"|"&amp;AV207)</f>
        <v/>
      </c>
    </row>
    <row r="208" customFormat="false" ht="15" hidden="false" customHeight="false" outlineLevel="0" collapsed="false">
      <c r="A208" s="10" t="str">
        <f aca="false">IF(C208="","","LKW-"&amp;IFERROR(VLOOKUP(C208,Lists!$AQ$4:$AR$17,2,0),"??")&amp;"-W"&amp;TEXT(E208*1000,"0000")&amp;"-H"&amp;TEXT(F208*1000,"0000")&amp;"-B"&amp;TEXT(G208*1000,"0000")&amp;"-"&amp;W208)</f>
        <v/>
      </c>
      <c r="B208" s="10" t="str">
        <f aca="false">IF(C208="","",C208&amp;", "&amp;E208&amp;" m wide, "&amp;F208&amp;" m headroom, "&amp;G208&amp;" m bays, "&amp;H208&amp;" ("&amp;D208&amp;")")</f>
        <v/>
      </c>
      <c r="C208" s="9"/>
      <c r="D208" s="9"/>
      <c r="E208" s="43"/>
      <c r="F208" s="43"/>
      <c r="G208" s="43"/>
      <c r="H208" s="9"/>
      <c r="I208" s="9"/>
      <c r="J208" s="9"/>
      <c r="K208" s="9"/>
      <c r="L208" s="9"/>
      <c r="M208" s="9"/>
      <c r="N208" s="9"/>
      <c r="O208" s="9"/>
      <c r="P208" s="40"/>
      <c r="Q208" s="43"/>
      <c r="R208" s="9"/>
      <c r="S208" s="9"/>
      <c r="T208" s="9"/>
      <c r="U208" s="43"/>
      <c r="V208" s="9"/>
      <c r="W208" s="9"/>
      <c r="X208" s="9"/>
      <c r="Y208" s="9"/>
      <c r="Z208" s="9"/>
      <c r="AA208" s="9"/>
      <c r="AB208" s="10" t="str">
        <f aca="false">IF(A208="","",SG_Criteria!$B$6&amp;SG_Criteria!$B$12&amp;"\"&amp;A208&amp;"\")</f>
        <v/>
      </c>
      <c r="AC208" s="10" t="str">
        <f aca="false">IF(A208="","",A208&amp;"_CAD.dwg")</f>
        <v/>
      </c>
      <c r="AD208" s="10" t="str">
        <f aca="false">IF(A208="","",A208&amp;"_DWG.pdf")</f>
        <v/>
      </c>
      <c r="AE208" s="10" t="str">
        <f aca="false">IF(A208="","",IF(AA208="Y",A208&amp;"_STAAD.std","n/a"))</f>
        <v/>
      </c>
      <c r="AF208" s="10" t="str">
        <f aca="false">IF(A208="","",A208&amp;"_CALC.xlsx")</f>
        <v/>
      </c>
      <c r="AG208" s="10" t="str">
        <f aca="false">IF(A208="","",A208&amp;"_CALC.pdf")</f>
        <v/>
      </c>
      <c r="AH208" s="9"/>
      <c r="AI208" s="9"/>
      <c r="AJ208" s="41"/>
      <c r="AK208" s="41"/>
      <c r="AL208" s="41"/>
      <c r="AM208" s="41"/>
      <c r="AN208" s="41"/>
      <c r="AO208" s="38" t="str">
        <f aca="false">IF(C208="","",IF(LEN(IF(AND(C208&lt;&gt;"High Covered Linkway",F208&lt;SG_Criteria!$B$46),"FAIL: headroom below "&amp;SG_Criteria!$B$46&amp;" m. ","")&amp;IF(AND(C208="High Covered Linkway",F208&lt;SG_Criteria!$B$47),"FAIL: high linkway headroom below "&amp;SG_Criteria!$B$47&amp;" m. ","")&amp;IF(E208&lt;SG_Criteria!$B$48,"FAIL: roof width below "&amp;SG_Criteria!$B$48&amp;" m. ",IF(E208&lt;SG_Criteria!$B$49,"NOTE: not for MRT/LRT or high-traffic routes (min "&amp;SG_Criteria!$B$49&amp;" m). ",""))&amp;IF(AND(P208&lt;&gt;"",P208&lt;SG_Criteria!$B$50),"FAIL: wind speed below "&amp;SG_Criteria!$B$50&amp;" m/s. ","")&amp;IF(AND(Q208&lt;&gt;"",Q208&lt;SG_Criteria!$B$51),"FAIL: roof fixing pull-out below "&amp;SG_Criteria!$B$51&amp;" kN. ","")&amp;IF(AND(R208&lt;&gt;"",IFERROR(VALUE(MID(R208,2,2)),0)&lt;SG_Criteria!$B$52),"FAIL: grade below C"&amp;SG_Criteria!$B$52&amp;". ","")&amp;IF(D208="Non-standard (project design)","NOTE: not an SDRE standard, needs LTA acceptance. ",""))=0,"OK",IF(AND(C208&lt;&gt;"High Covered Linkway",F208&lt;SG_Criteria!$B$46),"FAIL: headroom below "&amp;SG_Criteria!$B$46&amp;" m. ","")&amp;IF(AND(C208="High Covered Linkway",F208&lt;SG_Criteria!$B$47),"FAIL: high linkway headroom below "&amp;SG_Criteria!$B$47&amp;" m. ","")&amp;IF(E208&lt;SG_Criteria!$B$48,"FAIL: roof width below "&amp;SG_Criteria!$B$48&amp;" m. ",IF(E208&lt;SG_Criteria!$B$49,"NOTE: not for MRT/LRT or high-traffic routes (min "&amp;SG_Criteria!$B$49&amp;" m). ",""))&amp;IF(AND(P208&lt;&gt;"",P208&lt;SG_Criteria!$B$50),"FAIL: wind speed below "&amp;SG_Criteria!$B$50&amp;" m/s. ","")&amp;IF(AND(Q208&lt;&gt;"",Q208&lt;SG_Criteria!$B$51),"FAIL: roof fixing pull-out below "&amp;SG_Criteria!$B$51&amp;" kN. ","")&amp;IF(AND(R208&lt;&gt;"",IFERROR(VALUE(MID(R208,2,2)),0)&lt;SG_Criteria!$B$52),"FAIL: grade below C"&amp;SG_Criteria!$B$52&amp;". ","")&amp;IF(D208="Non-standard (project design)","NOTE: not an SDRE standard, needs LTA acceptance. ","")))</f>
        <v/>
      </c>
      <c r="AP208" s="9"/>
      <c r="AQ208" s="9"/>
      <c r="AR208" s="9"/>
      <c r="AS208" s="9"/>
      <c r="AT208" s="9"/>
      <c r="AU208" s="31"/>
      <c r="AV208" s="10" t="str">
        <f aca="false">IF(C208="","",IF(AND(X208="Approved",ISERROR(SEARCH("FAIL",AO208))),"Y","N"))</f>
        <v/>
      </c>
      <c r="AW208" s="10" t="str">
        <f aca="false">IF(C208="","",C208&amp;"|"&amp;E208&amp;"|"&amp;F208&amp;"|"&amp;AV208)</f>
        <v/>
      </c>
    </row>
    <row r="209" customFormat="false" ht="15" hidden="false" customHeight="false" outlineLevel="0" collapsed="false">
      <c r="A209" s="10" t="str">
        <f aca="false">IF(C209="","","LKW-"&amp;IFERROR(VLOOKUP(C209,Lists!$AQ$4:$AR$17,2,0),"??")&amp;"-W"&amp;TEXT(E209*1000,"0000")&amp;"-H"&amp;TEXT(F209*1000,"0000")&amp;"-B"&amp;TEXT(G209*1000,"0000")&amp;"-"&amp;W209)</f>
        <v/>
      </c>
      <c r="B209" s="10" t="str">
        <f aca="false">IF(C209="","",C209&amp;", "&amp;E209&amp;" m wide, "&amp;F209&amp;" m headroom, "&amp;G209&amp;" m bays, "&amp;H209&amp;" ("&amp;D209&amp;")")</f>
        <v/>
      </c>
      <c r="C209" s="9"/>
      <c r="D209" s="9"/>
      <c r="E209" s="43"/>
      <c r="F209" s="43"/>
      <c r="G209" s="43"/>
      <c r="H209" s="9"/>
      <c r="I209" s="9"/>
      <c r="J209" s="9"/>
      <c r="K209" s="9"/>
      <c r="L209" s="9"/>
      <c r="M209" s="9"/>
      <c r="N209" s="9"/>
      <c r="O209" s="9"/>
      <c r="P209" s="40"/>
      <c r="Q209" s="43"/>
      <c r="R209" s="9"/>
      <c r="S209" s="9"/>
      <c r="T209" s="9"/>
      <c r="U209" s="43"/>
      <c r="V209" s="9"/>
      <c r="W209" s="9"/>
      <c r="X209" s="9"/>
      <c r="Y209" s="9"/>
      <c r="Z209" s="9"/>
      <c r="AA209" s="9"/>
      <c r="AB209" s="10" t="str">
        <f aca="false">IF(A209="","",SG_Criteria!$B$6&amp;SG_Criteria!$B$12&amp;"\"&amp;A209&amp;"\")</f>
        <v/>
      </c>
      <c r="AC209" s="10" t="str">
        <f aca="false">IF(A209="","",A209&amp;"_CAD.dwg")</f>
        <v/>
      </c>
      <c r="AD209" s="10" t="str">
        <f aca="false">IF(A209="","",A209&amp;"_DWG.pdf")</f>
        <v/>
      </c>
      <c r="AE209" s="10" t="str">
        <f aca="false">IF(A209="","",IF(AA209="Y",A209&amp;"_STAAD.std","n/a"))</f>
        <v/>
      </c>
      <c r="AF209" s="10" t="str">
        <f aca="false">IF(A209="","",A209&amp;"_CALC.xlsx")</f>
        <v/>
      </c>
      <c r="AG209" s="10" t="str">
        <f aca="false">IF(A209="","",A209&amp;"_CALC.pdf")</f>
        <v/>
      </c>
      <c r="AH209" s="9"/>
      <c r="AI209" s="9"/>
      <c r="AJ209" s="41"/>
      <c r="AK209" s="41"/>
      <c r="AL209" s="41"/>
      <c r="AM209" s="41"/>
      <c r="AN209" s="41"/>
      <c r="AO209" s="38" t="str">
        <f aca="false">IF(C209="","",IF(LEN(IF(AND(C209&lt;&gt;"High Covered Linkway",F209&lt;SG_Criteria!$B$46),"FAIL: headroom below "&amp;SG_Criteria!$B$46&amp;" m. ","")&amp;IF(AND(C209="High Covered Linkway",F209&lt;SG_Criteria!$B$47),"FAIL: high linkway headroom below "&amp;SG_Criteria!$B$47&amp;" m. ","")&amp;IF(E209&lt;SG_Criteria!$B$48,"FAIL: roof width below "&amp;SG_Criteria!$B$48&amp;" m. ",IF(E209&lt;SG_Criteria!$B$49,"NOTE: not for MRT/LRT or high-traffic routes (min "&amp;SG_Criteria!$B$49&amp;" m). ",""))&amp;IF(AND(P209&lt;&gt;"",P209&lt;SG_Criteria!$B$50),"FAIL: wind speed below "&amp;SG_Criteria!$B$50&amp;" m/s. ","")&amp;IF(AND(Q209&lt;&gt;"",Q209&lt;SG_Criteria!$B$51),"FAIL: roof fixing pull-out below "&amp;SG_Criteria!$B$51&amp;" kN. ","")&amp;IF(AND(R209&lt;&gt;"",IFERROR(VALUE(MID(R209,2,2)),0)&lt;SG_Criteria!$B$52),"FAIL: grade below C"&amp;SG_Criteria!$B$52&amp;". ","")&amp;IF(D209="Non-standard (project design)","NOTE: not an SDRE standard, needs LTA acceptance. ",""))=0,"OK",IF(AND(C209&lt;&gt;"High Covered Linkway",F209&lt;SG_Criteria!$B$46),"FAIL: headroom below "&amp;SG_Criteria!$B$46&amp;" m. ","")&amp;IF(AND(C209="High Covered Linkway",F209&lt;SG_Criteria!$B$47),"FAIL: high linkway headroom below "&amp;SG_Criteria!$B$47&amp;" m. ","")&amp;IF(E209&lt;SG_Criteria!$B$48,"FAIL: roof width below "&amp;SG_Criteria!$B$48&amp;" m. ",IF(E209&lt;SG_Criteria!$B$49,"NOTE: not for MRT/LRT or high-traffic routes (min "&amp;SG_Criteria!$B$49&amp;" m). ",""))&amp;IF(AND(P209&lt;&gt;"",P209&lt;SG_Criteria!$B$50),"FAIL: wind speed below "&amp;SG_Criteria!$B$50&amp;" m/s. ","")&amp;IF(AND(Q209&lt;&gt;"",Q209&lt;SG_Criteria!$B$51),"FAIL: roof fixing pull-out below "&amp;SG_Criteria!$B$51&amp;" kN. ","")&amp;IF(AND(R209&lt;&gt;"",IFERROR(VALUE(MID(R209,2,2)),0)&lt;SG_Criteria!$B$52),"FAIL: grade below C"&amp;SG_Criteria!$B$52&amp;". ","")&amp;IF(D209="Non-standard (project design)","NOTE: not an SDRE standard, needs LTA acceptance. ","")))</f>
        <v/>
      </c>
      <c r="AP209" s="9"/>
      <c r="AQ209" s="9"/>
      <c r="AR209" s="9"/>
      <c r="AS209" s="9"/>
      <c r="AT209" s="9"/>
      <c r="AU209" s="31"/>
      <c r="AV209" s="10" t="str">
        <f aca="false">IF(C209="","",IF(AND(X209="Approved",ISERROR(SEARCH("FAIL",AO209))),"Y","N"))</f>
        <v/>
      </c>
      <c r="AW209" s="10" t="str">
        <f aca="false">IF(C209="","",C209&amp;"|"&amp;E209&amp;"|"&amp;F209&amp;"|"&amp;AV209)</f>
        <v/>
      </c>
    </row>
    <row r="210" customFormat="false" ht="15" hidden="false" customHeight="false" outlineLevel="0" collapsed="false">
      <c r="A210" s="10" t="str">
        <f aca="false">IF(C210="","","LKW-"&amp;IFERROR(VLOOKUP(C210,Lists!$AQ$4:$AR$17,2,0),"??")&amp;"-W"&amp;TEXT(E210*1000,"0000")&amp;"-H"&amp;TEXT(F210*1000,"0000")&amp;"-B"&amp;TEXT(G210*1000,"0000")&amp;"-"&amp;W210)</f>
        <v/>
      </c>
      <c r="B210" s="10" t="str">
        <f aca="false">IF(C210="","",C210&amp;", "&amp;E210&amp;" m wide, "&amp;F210&amp;" m headroom, "&amp;G210&amp;" m bays, "&amp;H210&amp;" ("&amp;D210&amp;")")</f>
        <v/>
      </c>
      <c r="C210" s="9"/>
      <c r="D210" s="9"/>
      <c r="E210" s="43"/>
      <c r="F210" s="43"/>
      <c r="G210" s="43"/>
      <c r="H210" s="9"/>
      <c r="I210" s="9"/>
      <c r="J210" s="9"/>
      <c r="K210" s="9"/>
      <c r="L210" s="9"/>
      <c r="M210" s="9"/>
      <c r="N210" s="9"/>
      <c r="O210" s="9"/>
      <c r="P210" s="40"/>
      <c r="Q210" s="43"/>
      <c r="R210" s="9"/>
      <c r="S210" s="9"/>
      <c r="T210" s="9"/>
      <c r="U210" s="43"/>
      <c r="V210" s="9"/>
      <c r="W210" s="9"/>
      <c r="X210" s="9"/>
      <c r="Y210" s="9"/>
      <c r="Z210" s="9"/>
      <c r="AA210" s="9"/>
      <c r="AB210" s="10" t="str">
        <f aca="false">IF(A210="","",SG_Criteria!$B$6&amp;SG_Criteria!$B$12&amp;"\"&amp;A210&amp;"\")</f>
        <v/>
      </c>
      <c r="AC210" s="10" t="str">
        <f aca="false">IF(A210="","",A210&amp;"_CAD.dwg")</f>
        <v/>
      </c>
      <c r="AD210" s="10" t="str">
        <f aca="false">IF(A210="","",A210&amp;"_DWG.pdf")</f>
        <v/>
      </c>
      <c r="AE210" s="10" t="str">
        <f aca="false">IF(A210="","",IF(AA210="Y",A210&amp;"_STAAD.std","n/a"))</f>
        <v/>
      </c>
      <c r="AF210" s="10" t="str">
        <f aca="false">IF(A210="","",A210&amp;"_CALC.xlsx")</f>
        <v/>
      </c>
      <c r="AG210" s="10" t="str">
        <f aca="false">IF(A210="","",A210&amp;"_CALC.pdf")</f>
        <v/>
      </c>
      <c r="AH210" s="9"/>
      <c r="AI210" s="9"/>
      <c r="AJ210" s="41"/>
      <c r="AK210" s="41"/>
      <c r="AL210" s="41"/>
      <c r="AM210" s="41"/>
      <c r="AN210" s="41"/>
      <c r="AO210" s="38" t="str">
        <f aca="false">IF(C210="","",IF(LEN(IF(AND(C210&lt;&gt;"High Covered Linkway",F210&lt;SG_Criteria!$B$46),"FAIL: headroom below "&amp;SG_Criteria!$B$46&amp;" m. ","")&amp;IF(AND(C210="High Covered Linkway",F210&lt;SG_Criteria!$B$47),"FAIL: high linkway headroom below "&amp;SG_Criteria!$B$47&amp;" m. ","")&amp;IF(E210&lt;SG_Criteria!$B$48,"FAIL: roof width below "&amp;SG_Criteria!$B$48&amp;" m. ",IF(E210&lt;SG_Criteria!$B$49,"NOTE: not for MRT/LRT or high-traffic routes (min "&amp;SG_Criteria!$B$49&amp;" m). ",""))&amp;IF(AND(P210&lt;&gt;"",P210&lt;SG_Criteria!$B$50),"FAIL: wind speed below "&amp;SG_Criteria!$B$50&amp;" m/s. ","")&amp;IF(AND(Q210&lt;&gt;"",Q210&lt;SG_Criteria!$B$51),"FAIL: roof fixing pull-out below "&amp;SG_Criteria!$B$51&amp;" kN. ","")&amp;IF(AND(R210&lt;&gt;"",IFERROR(VALUE(MID(R210,2,2)),0)&lt;SG_Criteria!$B$52),"FAIL: grade below C"&amp;SG_Criteria!$B$52&amp;". ","")&amp;IF(D210="Non-standard (project design)","NOTE: not an SDRE standard, needs LTA acceptance. ",""))=0,"OK",IF(AND(C210&lt;&gt;"High Covered Linkway",F210&lt;SG_Criteria!$B$46),"FAIL: headroom below "&amp;SG_Criteria!$B$46&amp;" m. ","")&amp;IF(AND(C210="High Covered Linkway",F210&lt;SG_Criteria!$B$47),"FAIL: high linkway headroom below "&amp;SG_Criteria!$B$47&amp;" m. ","")&amp;IF(E210&lt;SG_Criteria!$B$48,"FAIL: roof width below "&amp;SG_Criteria!$B$48&amp;" m. ",IF(E210&lt;SG_Criteria!$B$49,"NOTE: not for MRT/LRT or high-traffic routes (min "&amp;SG_Criteria!$B$49&amp;" m). ",""))&amp;IF(AND(P210&lt;&gt;"",P210&lt;SG_Criteria!$B$50),"FAIL: wind speed below "&amp;SG_Criteria!$B$50&amp;" m/s. ","")&amp;IF(AND(Q210&lt;&gt;"",Q210&lt;SG_Criteria!$B$51),"FAIL: roof fixing pull-out below "&amp;SG_Criteria!$B$51&amp;" kN. ","")&amp;IF(AND(R210&lt;&gt;"",IFERROR(VALUE(MID(R210,2,2)),0)&lt;SG_Criteria!$B$52),"FAIL: grade below C"&amp;SG_Criteria!$B$52&amp;". ","")&amp;IF(D210="Non-standard (project design)","NOTE: not an SDRE standard, needs LTA acceptance. ","")))</f>
        <v/>
      </c>
      <c r="AP210" s="9"/>
      <c r="AQ210" s="9"/>
      <c r="AR210" s="9"/>
      <c r="AS210" s="9"/>
      <c r="AT210" s="9"/>
      <c r="AU210" s="31"/>
      <c r="AV210" s="10" t="str">
        <f aca="false">IF(C210="","",IF(AND(X210="Approved",ISERROR(SEARCH("FAIL",AO210))),"Y","N"))</f>
        <v/>
      </c>
      <c r="AW210" s="10" t="str">
        <f aca="false">IF(C210="","",C210&amp;"|"&amp;E210&amp;"|"&amp;F210&amp;"|"&amp;AV210)</f>
        <v/>
      </c>
    </row>
    <row r="211" customFormat="false" ht="15" hidden="false" customHeight="false" outlineLevel="0" collapsed="false">
      <c r="A211" s="10" t="str">
        <f aca="false">IF(C211="","","LKW-"&amp;IFERROR(VLOOKUP(C211,Lists!$AQ$4:$AR$17,2,0),"??")&amp;"-W"&amp;TEXT(E211*1000,"0000")&amp;"-H"&amp;TEXT(F211*1000,"0000")&amp;"-B"&amp;TEXT(G211*1000,"0000")&amp;"-"&amp;W211)</f>
        <v/>
      </c>
      <c r="B211" s="10" t="str">
        <f aca="false">IF(C211="","",C211&amp;", "&amp;E211&amp;" m wide, "&amp;F211&amp;" m headroom, "&amp;G211&amp;" m bays, "&amp;H211&amp;" ("&amp;D211&amp;")")</f>
        <v/>
      </c>
      <c r="C211" s="9"/>
      <c r="D211" s="9"/>
      <c r="E211" s="43"/>
      <c r="F211" s="43"/>
      <c r="G211" s="43"/>
      <c r="H211" s="9"/>
      <c r="I211" s="9"/>
      <c r="J211" s="9"/>
      <c r="K211" s="9"/>
      <c r="L211" s="9"/>
      <c r="M211" s="9"/>
      <c r="N211" s="9"/>
      <c r="O211" s="9"/>
      <c r="P211" s="40"/>
      <c r="Q211" s="43"/>
      <c r="R211" s="9"/>
      <c r="S211" s="9"/>
      <c r="T211" s="9"/>
      <c r="U211" s="43"/>
      <c r="V211" s="9"/>
      <c r="W211" s="9"/>
      <c r="X211" s="9"/>
      <c r="Y211" s="9"/>
      <c r="Z211" s="9"/>
      <c r="AA211" s="9"/>
      <c r="AB211" s="10" t="str">
        <f aca="false">IF(A211="","",SG_Criteria!$B$6&amp;SG_Criteria!$B$12&amp;"\"&amp;A211&amp;"\")</f>
        <v/>
      </c>
      <c r="AC211" s="10" t="str">
        <f aca="false">IF(A211="","",A211&amp;"_CAD.dwg")</f>
        <v/>
      </c>
      <c r="AD211" s="10" t="str">
        <f aca="false">IF(A211="","",A211&amp;"_DWG.pdf")</f>
        <v/>
      </c>
      <c r="AE211" s="10" t="str">
        <f aca="false">IF(A211="","",IF(AA211="Y",A211&amp;"_STAAD.std","n/a"))</f>
        <v/>
      </c>
      <c r="AF211" s="10" t="str">
        <f aca="false">IF(A211="","",A211&amp;"_CALC.xlsx")</f>
        <v/>
      </c>
      <c r="AG211" s="10" t="str">
        <f aca="false">IF(A211="","",A211&amp;"_CALC.pdf")</f>
        <v/>
      </c>
      <c r="AH211" s="9"/>
      <c r="AI211" s="9"/>
      <c r="AJ211" s="41"/>
      <c r="AK211" s="41"/>
      <c r="AL211" s="41"/>
      <c r="AM211" s="41"/>
      <c r="AN211" s="41"/>
      <c r="AO211" s="38" t="str">
        <f aca="false">IF(C211="","",IF(LEN(IF(AND(C211&lt;&gt;"High Covered Linkway",F211&lt;SG_Criteria!$B$46),"FAIL: headroom below "&amp;SG_Criteria!$B$46&amp;" m. ","")&amp;IF(AND(C211="High Covered Linkway",F211&lt;SG_Criteria!$B$47),"FAIL: high linkway headroom below "&amp;SG_Criteria!$B$47&amp;" m. ","")&amp;IF(E211&lt;SG_Criteria!$B$48,"FAIL: roof width below "&amp;SG_Criteria!$B$48&amp;" m. ",IF(E211&lt;SG_Criteria!$B$49,"NOTE: not for MRT/LRT or high-traffic routes (min "&amp;SG_Criteria!$B$49&amp;" m). ",""))&amp;IF(AND(P211&lt;&gt;"",P211&lt;SG_Criteria!$B$50),"FAIL: wind speed below "&amp;SG_Criteria!$B$50&amp;" m/s. ","")&amp;IF(AND(Q211&lt;&gt;"",Q211&lt;SG_Criteria!$B$51),"FAIL: roof fixing pull-out below "&amp;SG_Criteria!$B$51&amp;" kN. ","")&amp;IF(AND(R211&lt;&gt;"",IFERROR(VALUE(MID(R211,2,2)),0)&lt;SG_Criteria!$B$52),"FAIL: grade below C"&amp;SG_Criteria!$B$52&amp;". ","")&amp;IF(D211="Non-standard (project design)","NOTE: not an SDRE standard, needs LTA acceptance. ",""))=0,"OK",IF(AND(C211&lt;&gt;"High Covered Linkway",F211&lt;SG_Criteria!$B$46),"FAIL: headroom below "&amp;SG_Criteria!$B$46&amp;" m. ","")&amp;IF(AND(C211="High Covered Linkway",F211&lt;SG_Criteria!$B$47),"FAIL: high linkway headroom below "&amp;SG_Criteria!$B$47&amp;" m. ","")&amp;IF(E211&lt;SG_Criteria!$B$48,"FAIL: roof width below "&amp;SG_Criteria!$B$48&amp;" m. ",IF(E211&lt;SG_Criteria!$B$49,"NOTE: not for MRT/LRT or high-traffic routes (min "&amp;SG_Criteria!$B$49&amp;" m). ",""))&amp;IF(AND(P211&lt;&gt;"",P211&lt;SG_Criteria!$B$50),"FAIL: wind speed below "&amp;SG_Criteria!$B$50&amp;" m/s. ","")&amp;IF(AND(Q211&lt;&gt;"",Q211&lt;SG_Criteria!$B$51),"FAIL: roof fixing pull-out below "&amp;SG_Criteria!$B$51&amp;" kN. ","")&amp;IF(AND(R211&lt;&gt;"",IFERROR(VALUE(MID(R211,2,2)),0)&lt;SG_Criteria!$B$52),"FAIL: grade below C"&amp;SG_Criteria!$B$52&amp;". ","")&amp;IF(D211="Non-standard (project design)","NOTE: not an SDRE standard, needs LTA acceptance. ","")))</f>
        <v/>
      </c>
      <c r="AP211" s="9"/>
      <c r="AQ211" s="9"/>
      <c r="AR211" s="9"/>
      <c r="AS211" s="9"/>
      <c r="AT211" s="9"/>
      <c r="AU211" s="31"/>
      <c r="AV211" s="10" t="str">
        <f aca="false">IF(C211="","",IF(AND(X211="Approved",ISERROR(SEARCH("FAIL",AO211))),"Y","N"))</f>
        <v/>
      </c>
      <c r="AW211" s="10" t="str">
        <f aca="false">IF(C211="","",C211&amp;"|"&amp;E211&amp;"|"&amp;F211&amp;"|"&amp;AV211)</f>
        <v/>
      </c>
    </row>
    <row r="212" customFormat="false" ht="15" hidden="false" customHeight="false" outlineLevel="0" collapsed="false">
      <c r="A212" s="10" t="str">
        <f aca="false">IF(C212="","","LKW-"&amp;IFERROR(VLOOKUP(C212,Lists!$AQ$4:$AR$17,2,0),"??")&amp;"-W"&amp;TEXT(E212*1000,"0000")&amp;"-H"&amp;TEXT(F212*1000,"0000")&amp;"-B"&amp;TEXT(G212*1000,"0000")&amp;"-"&amp;W212)</f>
        <v/>
      </c>
      <c r="B212" s="10" t="str">
        <f aca="false">IF(C212="","",C212&amp;", "&amp;E212&amp;" m wide, "&amp;F212&amp;" m headroom, "&amp;G212&amp;" m bays, "&amp;H212&amp;" ("&amp;D212&amp;")")</f>
        <v/>
      </c>
      <c r="C212" s="9"/>
      <c r="D212" s="9"/>
      <c r="E212" s="43"/>
      <c r="F212" s="43"/>
      <c r="G212" s="43"/>
      <c r="H212" s="9"/>
      <c r="I212" s="9"/>
      <c r="J212" s="9"/>
      <c r="K212" s="9"/>
      <c r="L212" s="9"/>
      <c r="M212" s="9"/>
      <c r="N212" s="9"/>
      <c r="O212" s="9"/>
      <c r="P212" s="40"/>
      <c r="Q212" s="43"/>
      <c r="R212" s="9"/>
      <c r="S212" s="9"/>
      <c r="T212" s="9"/>
      <c r="U212" s="43"/>
      <c r="V212" s="9"/>
      <c r="W212" s="9"/>
      <c r="X212" s="9"/>
      <c r="Y212" s="9"/>
      <c r="Z212" s="9"/>
      <c r="AA212" s="9"/>
      <c r="AB212" s="10" t="str">
        <f aca="false">IF(A212="","",SG_Criteria!$B$6&amp;SG_Criteria!$B$12&amp;"\"&amp;A212&amp;"\")</f>
        <v/>
      </c>
      <c r="AC212" s="10" t="str">
        <f aca="false">IF(A212="","",A212&amp;"_CAD.dwg")</f>
        <v/>
      </c>
      <c r="AD212" s="10" t="str">
        <f aca="false">IF(A212="","",A212&amp;"_DWG.pdf")</f>
        <v/>
      </c>
      <c r="AE212" s="10" t="str">
        <f aca="false">IF(A212="","",IF(AA212="Y",A212&amp;"_STAAD.std","n/a"))</f>
        <v/>
      </c>
      <c r="AF212" s="10" t="str">
        <f aca="false">IF(A212="","",A212&amp;"_CALC.xlsx")</f>
        <v/>
      </c>
      <c r="AG212" s="10" t="str">
        <f aca="false">IF(A212="","",A212&amp;"_CALC.pdf")</f>
        <v/>
      </c>
      <c r="AH212" s="9"/>
      <c r="AI212" s="9"/>
      <c r="AJ212" s="41"/>
      <c r="AK212" s="41"/>
      <c r="AL212" s="41"/>
      <c r="AM212" s="41"/>
      <c r="AN212" s="41"/>
      <c r="AO212" s="38" t="str">
        <f aca="false">IF(C212="","",IF(LEN(IF(AND(C212&lt;&gt;"High Covered Linkway",F212&lt;SG_Criteria!$B$46),"FAIL: headroom below "&amp;SG_Criteria!$B$46&amp;" m. ","")&amp;IF(AND(C212="High Covered Linkway",F212&lt;SG_Criteria!$B$47),"FAIL: high linkway headroom below "&amp;SG_Criteria!$B$47&amp;" m. ","")&amp;IF(E212&lt;SG_Criteria!$B$48,"FAIL: roof width below "&amp;SG_Criteria!$B$48&amp;" m. ",IF(E212&lt;SG_Criteria!$B$49,"NOTE: not for MRT/LRT or high-traffic routes (min "&amp;SG_Criteria!$B$49&amp;" m). ",""))&amp;IF(AND(P212&lt;&gt;"",P212&lt;SG_Criteria!$B$50),"FAIL: wind speed below "&amp;SG_Criteria!$B$50&amp;" m/s. ","")&amp;IF(AND(Q212&lt;&gt;"",Q212&lt;SG_Criteria!$B$51),"FAIL: roof fixing pull-out below "&amp;SG_Criteria!$B$51&amp;" kN. ","")&amp;IF(AND(R212&lt;&gt;"",IFERROR(VALUE(MID(R212,2,2)),0)&lt;SG_Criteria!$B$52),"FAIL: grade below C"&amp;SG_Criteria!$B$52&amp;". ","")&amp;IF(D212="Non-standard (project design)","NOTE: not an SDRE standard, needs LTA acceptance. ",""))=0,"OK",IF(AND(C212&lt;&gt;"High Covered Linkway",F212&lt;SG_Criteria!$B$46),"FAIL: headroom below "&amp;SG_Criteria!$B$46&amp;" m. ","")&amp;IF(AND(C212="High Covered Linkway",F212&lt;SG_Criteria!$B$47),"FAIL: high linkway headroom below "&amp;SG_Criteria!$B$47&amp;" m. ","")&amp;IF(E212&lt;SG_Criteria!$B$48,"FAIL: roof width below "&amp;SG_Criteria!$B$48&amp;" m. ",IF(E212&lt;SG_Criteria!$B$49,"NOTE: not for MRT/LRT or high-traffic routes (min "&amp;SG_Criteria!$B$49&amp;" m). ",""))&amp;IF(AND(P212&lt;&gt;"",P212&lt;SG_Criteria!$B$50),"FAIL: wind speed below "&amp;SG_Criteria!$B$50&amp;" m/s. ","")&amp;IF(AND(Q212&lt;&gt;"",Q212&lt;SG_Criteria!$B$51),"FAIL: roof fixing pull-out below "&amp;SG_Criteria!$B$51&amp;" kN. ","")&amp;IF(AND(R212&lt;&gt;"",IFERROR(VALUE(MID(R212,2,2)),0)&lt;SG_Criteria!$B$52),"FAIL: grade below C"&amp;SG_Criteria!$B$52&amp;". ","")&amp;IF(D212="Non-standard (project design)","NOTE: not an SDRE standard, needs LTA acceptance. ","")))</f>
        <v/>
      </c>
      <c r="AP212" s="9"/>
      <c r="AQ212" s="9"/>
      <c r="AR212" s="9"/>
      <c r="AS212" s="9"/>
      <c r="AT212" s="9"/>
      <c r="AU212" s="31"/>
      <c r="AV212" s="10" t="str">
        <f aca="false">IF(C212="","",IF(AND(X212="Approved",ISERROR(SEARCH("FAIL",AO212))),"Y","N"))</f>
        <v/>
      </c>
      <c r="AW212" s="10" t="str">
        <f aca="false">IF(C212="","",C212&amp;"|"&amp;E212&amp;"|"&amp;F212&amp;"|"&amp;AV212)</f>
        <v/>
      </c>
    </row>
    <row r="213" customFormat="false" ht="15" hidden="false" customHeight="false" outlineLevel="0" collapsed="false">
      <c r="A213" s="10" t="str">
        <f aca="false">IF(C213="","","LKW-"&amp;IFERROR(VLOOKUP(C213,Lists!$AQ$4:$AR$17,2,0),"??")&amp;"-W"&amp;TEXT(E213*1000,"0000")&amp;"-H"&amp;TEXT(F213*1000,"0000")&amp;"-B"&amp;TEXT(G213*1000,"0000")&amp;"-"&amp;W213)</f>
        <v/>
      </c>
      <c r="B213" s="10" t="str">
        <f aca="false">IF(C213="","",C213&amp;", "&amp;E213&amp;" m wide, "&amp;F213&amp;" m headroom, "&amp;G213&amp;" m bays, "&amp;H213&amp;" ("&amp;D213&amp;")")</f>
        <v/>
      </c>
      <c r="C213" s="9"/>
      <c r="D213" s="9"/>
      <c r="E213" s="43"/>
      <c r="F213" s="43"/>
      <c r="G213" s="43"/>
      <c r="H213" s="9"/>
      <c r="I213" s="9"/>
      <c r="J213" s="9"/>
      <c r="K213" s="9"/>
      <c r="L213" s="9"/>
      <c r="M213" s="9"/>
      <c r="N213" s="9"/>
      <c r="O213" s="9"/>
      <c r="P213" s="40"/>
      <c r="Q213" s="43"/>
      <c r="R213" s="9"/>
      <c r="S213" s="9"/>
      <c r="T213" s="9"/>
      <c r="U213" s="43"/>
      <c r="V213" s="9"/>
      <c r="W213" s="9"/>
      <c r="X213" s="9"/>
      <c r="Y213" s="9"/>
      <c r="Z213" s="9"/>
      <c r="AA213" s="9"/>
      <c r="AB213" s="10" t="str">
        <f aca="false">IF(A213="","",SG_Criteria!$B$6&amp;SG_Criteria!$B$12&amp;"\"&amp;A213&amp;"\")</f>
        <v/>
      </c>
      <c r="AC213" s="10" t="str">
        <f aca="false">IF(A213="","",A213&amp;"_CAD.dwg")</f>
        <v/>
      </c>
      <c r="AD213" s="10" t="str">
        <f aca="false">IF(A213="","",A213&amp;"_DWG.pdf")</f>
        <v/>
      </c>
      <c r="AE213" s="10" t="str">
        <f aca="false">IF(A213="","",IF(AA213="Y",A213&amp;"_STAAD.std","n/a"))</f>
        <v/>
      </c>
      <c r="AF213" s="10" t="str">
        <f aca="false">IF(A213="","",A213&amp;"_CALC.xlsx")</f>
        <v/>
      </c>
      <c r="AG213" s="10" t="str">
        <f aca="false">IF(A213="","",A213&amp;"_CALC.pdf")</f>
        <v/>
      </c>
      <c r="AH213" s="9"/>
      <c r="AI213" s="9"/>
      <c r="AJ213" s="41"/>
      <c r="AK213" s="41"/>
      <c r="AL213" s="41"/>
      <c r="AM213" s="41"/>
      <c r="AN213" s="41"/>
      <c r="AO213" s="38" t="str">
        <f aca="false">IF(C213="","",IF(LEN(IF(AND(C213&lt;&gt;"High Covered Linkway",F213&lt;SG_Criteria!$B$46),"FAIL: headroom below "&amp;SG_Criteria!$B$46&amp;" m. ","")&amp;IF(AND(C213="High Covered Linkway",F213&lt;SG_Criteria!$B$47),"FAIL: high linkway headroom below "&amp;SG_Criteria!$B$47&amp;" m. ","")&amp;IF(E213&lt;SG_Criteria!$B$48,"FAIL: roof width below "&amp;SG_Criteria!$B$48&amp;" m. ",IF(E213&lt;SG_Criteria!$B$49,"NOTE: not for MRT/LRT or high-traffic routes (min "&amp;SG_Criteria!$B$49&amp;" m). ",""))&amp;IF(AND(P213&lt;&gt;"",P213&lt;SG_Criteria!$B$50),"FAIL: wind speed below "&amp;SG_Criteria!$B$50&amp;" m/s. ","")&amp;IF(AND(Q213&lt;&gt;"",Q213&lt;SG_Criteria!$B$51),"FAIL: roof fixing pull-out below "&amp;SG_Criteria!$B$51&amp;" kN. ","")&amp;IF(AND(R213&lt;&gt;"",IFERROR(VALUE(MID(R213,2,2)),0)&lt;SG_Criteria!$B$52),"FAIL: grade below C"&amp;SG_Criteria!$B$52&amp;". ","")&amp;IF(D213="Non-standard (project design)","NOTE: not an SDRE standard, needs LTA acceptance. ",""))=0,"OK",IF(AND(C213&lt;&gt;"High Covered Linkway",F213&lt;SG_Criteria!$B$46),"FAIL: headroom below "&amp;SG_Criteria!$B$46&amp;" m. ","")&amp;IF(AND(C213="High Covered Linkway",F213&lt;SG_Criteria!$B$47),"FAIL: high linkway headroom below "&amp;SG_Criteria!$B$47&amp;" m. ","")&amp;IF(E213&lt;SG_Criteria!$B$48,"FAIL: roof width below "&amp;SG_Criteria!$B$48&amp;" m. ",IF(E213&lt;SG_Criteria!$B$49,"NOTE: not for MRT/LRT or high-traffic routes (min "&amp;SG_Criteria!$B$49&amp;" m). ",""))&amp;IF(AND(P213&lt;&gt;"",P213&lt;SG_Criteria!$B$50),"FAIL: wind speed below "&amp;SG_Criteria!$B$50&amp;" m/s. ","")&amp;IF(AND(Q213&lt;&gt;"",Q213&lt;SG_Criteria!$B$51),"FAIL: roof fixing pull-out below "&amp;SG_Criteria!$B$51&amp;" kN. ","")&amp;IF(AND(R213&lt;&gt;"",IFERROR(VALUE(MID(R213,2,2)),0)&lt;SG_Criteria!$B$52),"FAIL: grade below C"&amp;SG_Criteria!$B$52&amp;". ","")&amp;IF(D213="Non-standard (project design)","NOTE: not an SDRE standard, needs LTA acceptance. ","")))</f>
        <v/>
      </c>
      <c r="AP213" s="9"/>
      <c r="AQ213" s="9"/>
      <c r="AR213" s="9"/>
      <c r="AS213" s="9"/>
      <c r="AT213" s="9"/>
      <c r="AU213" s="31"/>
      <c r="AV213" s="10" t="str">
        <f aca="false">IF(C213="","",IF(AND(X213="Approved",ISERROR(SEARCH("FAIL",AO213))),"Y","N"))</f>
        <v/>
      </c>
      <c r="AW213" s="10" t="str">
        <f aca="false">IF(C213="","",C213&amp;"|"&amp;E213&amp;"|"&amp;F213&amp;"|"&amp;AV213)</f>
        <v/>
      </c>
    </row>
    <row r="214" customFormat="false" ht="15" hidden="false" customHeight="false" outlineLevel="0" collapsed="false">
      <c r="A214" s="10" t="str">
        <f aca="false">IF(C214="","","LKW-"&amp;IFERROR(VLOOKUP(C214,Lists!$AQ$4:$AR$17,2,0),"??")&amp;"-W"&amp;TEXT(E214*1000,"0000")&amp;"-H"&amp;TEXT(F214*1000,"0000")&amp;"-B"&amp;TEXT(G214*1000,"0000")&amp;"-"&amp;W214)</f>
        <v/>
      </c>
      <c r="B214" s="10" t="str">
        <f aca="false">IF(C214="","",C214&amp;", "&amp;E214&amp;" m wide, "&amp;F214&amp;" m headroom, "&amp;G214&amp;" m bays, "&amp;H214&amp;" ("&amp;D214&amp;")")</f>
        <v/>
      </c>
      <c r="C214" s="9"/>
      <c r="D214" s="9"/>
      <c r="E214" s="43"/>
      <c r="F214" s="43"/>
      <c r="G214" s="43"/>
      <c r="H214" s="9"/>
      <c r="I214" s="9"/>
      <c r="J214" s="9"/>
      <c r="K214" s="9"/>
      <c r="L214" s="9"/>
      <c r="M214" s="9"/>
      <c r="N214" s="9"/>
      <c r="O214" s="9"/>
      <c r="P214" s="40"/>
      <c r="Q214" s="43"/>
      <c r="R214" s="9"/>
      <c r="S214" s="9"/>
      <c r="T214" s="9"/>
      <c r="U214" s="43"/>
      <c r="V214" s="9"/>
      <c r="W214" s="9"/>
      <c r="X214" s="9"/>
      <c r="Y214" s="9"/>
      <c r="Z214" s="9"/>
      <c r="AA214" s="9"/>
      <c r="AB214" s="10" t="str">
        <f aca="false">IF(A214="","",SG_Criteria!$B$6&amp;SG_Criteria!$B$12&amp;"\"&amp;A214&amp;"\")</f>
        <v/>
      </c>
      <c r="AC214" s="10" t="str">
        <f aca="false">IF(A214="","",A214&amp;"_CAD.dwg")</f>
        <v/>
      </c>
      <c r="AD214" s="10" t="str">
        <f aca="false">IF(A214="","",A214&amp;"_DWG.pdf")</f>
        <v/>
      </c>
      <c r="AE214" s="10" t="str">
        <f aca="false">IF(A214="","",IF(AA214="Y",A214&amp;"_STAAD.std","n/a"))</f>
        <v/>
      </c>
      <c r="AF214" s="10" t="str">
        <f aca="false">IF(A214="","",A214&amp;"_CALC.xlsx")</f>
        <v/>
      </c>
      <c r="AG214" s="10" t="str">
        <f aca="false">IF(A214="","",A214&amp;"_CALC.pdf")</f>
        <v/>
      </c>
      <c r="AH214" s="9"/>
      <c r="AI214" s="9"/>
      <c r="AJ214" s="41"/>
      <c r="AK214" s="41"/>
      <c r="AL214" s="41"/>
      <c r="AM214" s="41"/>
      <c r="AN214" s="41"/>
      <c r="AO214" s="38" t="str">
        <f aca="false">IF(C214="","",IF(LEN(IF(AND(C214&lt;&gt;"High Covered Linkway",F214&lt;SG_Criteria!$B$46),"FAIL: headroom below "&amp;SG_Criteria!$B$46&amp;" m. ","")&amp;IF(AND(C214="High Covered Linkway",F214&lt;SG_Criteria!$B$47),"FAIL: high linkway headroom below "&amp;SG_Criteria!$B$47&amp;" m. ","")&amp;IF(E214&lt;SG_Criteria!$B$48,"FAIL: roof width below "&amp;SG_Criteria!$B$48&amp;" m. ",IF(E214&lt;SG_Criteria!$B$49,"NOTE: not for MRT/LRT or high-traffic routes (min "&amp;SG_Criteria!$B$49&amp;" m). ",""))&amp;IF(AND(P214&lt;&gt;"",P214&lt;SG_Criteria!$B$50),"FAIL: wind speed below "&amp;SG_Criteria!$B$50&amp;" m/s. ","")&amp;IF(AND(Q214&lt;&gt;"",Q214&lt;SG_Criteria!$B$51),"FAIL: roof fixing pull-out below "&amp;SG_Criteria!$B$51&amp;" kN. ","")&amp;IF(AND(R214&lt;&gt;"",IFERROR(VALUE(MID(R214,2,2)),0)&lt;SG_Criteria!$B$52),"FAIL: grade below C"&amp;SG_Criteria!$B$52&amp;". ","")&amp;IF(D214="Non-standard (project design)","NOTE: not an SDRE standard, needs LTA acceptance. ",""))=0,"OK",IF(AND(C214&lt;&gt;"High Covered Linkway",F214&lt;SG_Criteria!$B$46),"FAIL: headroom below "&amp;SG_Criteria!$B$46&amp;" m. ","")&amp;IF(AND(C214="High Covered Linkway",F214&lt;SG_Criteria!$B$47),"FAIL: high linkway headroom below "&amp;SG_Criteria!$B$47&amp;" m. ","")&amp;IF(E214&lt;SG_Criteria!$B$48,"FAIL: roof width below "&amp;SG_Criteria!$B$48&amp;" m. ",IF(E214&lt;SG_Criteria!$B$49,"NOTE: not for MRT/LRT or high-traffic routes (min "&amp;SG_Criteria!$B$49&amp;" m). ",""))&amp;IF(AND(P214&lt;&gt;"",P214&lt;SG_Criteria!$B$50),"FAIL: wind speed below "&amp;SG_Criteria!$B$50&amp;" m/s. ","")&amp;IF(AND(Q214&lt;&gt;"",Q214&lt;SG_Criteria!$B$51),"FAIL: roof fixing pull-out below "&amp;SG_Criteria!$B$51&amp;" kN. ","")&amp;IF(AND(R214&lt;&gt;"",IFERROR(VALUE(MID(R214,2,2)),0)&lt;SG_Criteria!$B$52),"FAIL: grade below C"&amp;SG_Criteria!$B$52&amp;". ","")&amp;IF(D214="Non-standard (project design)","NOTE: not an SDRE standard, needs LTA acceptance. ","")))</f>
        <v/>
      </c>
      <c r="AP214" s="9"/>
      <c r="AQ214" s="9"/>
      <c r="AR214" s="9"/>
      <c r="AS214" s="9"/>
      <c r="AT214" s="9"/>
      <c r="AU214" s="31"/>
      <c r="AV214" s="10" t="str">
        <f aca="false">IF(C214="","",IF(AND(X214="Approved",ISERROR(SEARCH("FAIL",AO214))),"Y","N"))</f>
        <v/>
      </c>
      <c r="AW214" s="10" t="str">
        <f aca="false">IF(C214="","",C214&amp;"|"&amp;E214&amp;"|"&amp;F214&amp;"|"&amp;AV214)</f>
        <v/>
      </c>
    </row>
    <row r="215" customFormat="false" ht="15" hidden="false" customHeight="false" outlineLevel="0" collapsed="false">
      <c r="A215" s="10" t="str">
        <f aca="false">IF(C215="","","LKW-"&amp;IFERROR(VLOOKUP(C215,Lists!$AQ$4:$AR$17,2,0),"??")&amp;"-W"&amp;TEXT(E215*1000,"0000")&amp;"-H"&amp;TEXT(F215*1000,"0000")&amp;"-B"&amp;TEXT(G215*1000,"0000")&amp;"-"&amp;W215)</f>
        <v/>
      </c>
      <c r="B215" s="10" t="str">
        <f aca="false">IF(C215="","",C215&amp;", "&amp;E215&amp;" m wide, "&amp;F215&amp;" m headroom, "&amp;G215&amp;" m bays, "&amp;H215&amp;" ("&amp;D215&amp;")")</f>
        <v/>
      </c>
      <c r="C215" s="9"/>
      <c r="D215" s="9"/>
      <c r="E215" s="43"/>
      <c r="F215" s="43"/>
      <c r="G215" s="43"/>
      <c r="H215" s="9"/>
      <c r="I215" s="9"/>
      <c r="J215" s="9"/>
      <c r="K215" s="9"/>
      <c r="L215" s="9"/>
      <c r="M215" s="9"/>
      <c r="N215" s="9"/>
      <c r="O215" s="9"/>
      <c r="P215" s="40"/>
      <c r="Q215" s="43"/>
      <c r="R215" s="9"/>
      <c r="S215" s="9"/>
      <c r="T215" s="9"/>
      <c r="U215" s="43"/>
      <c r="V215" s="9"/>
      <c r="W215" s="9"/>
      <c r="X215" s="9"/>
      <c r="Y215" s="9"/>
      <c r="Z215" s="9"/>
      <c r="AA215" s="9"/>
      <c r="AB215" s="10" t="str">
        <f aca="false">IF(A215="","",SG_Criteria!$B$6&amp;SG_Criteria!$B$12&amp;"\"&amp;A215&amp;"\")</f>
        <v/>
      </c>
      <c r="AC215" s="10" t="str">
        <f aca="false">IF(A215="","",A215&amp;"_CAD.dwg")</f>
        <v/>
      </c>
      <c r="AD215" s="10" t="str">
        <f aca="false">IF(A215="","",A215&amp;"_DWG.pdf")</f>
        <v/>
      </c>
      <c r="AE215" s="10" t="str">
        <f aca="false">IF(A215="","",IF(AA215="Y",A215&amp;"_STAAD.std","n/a"))</f>
        <v/>
      </c>
      <c r="AF215" s="10" t="str">
        <f aca="false">IF(A215="","",A215&amp;"_CALC.xlsx")</f>
        <v/>
      </c>
      <c r="AG215" s="10" t="str">
        <f aca="false">IF(A215="","",A215&amp;"_CALC.pdf")</f>
        <v/>
      </c>
      <c r="AH215" s="9"/>
      <c r="AI215" s="9"/>
      <c r="AJ215" s="41"/>
      <c r="AK215" s="41"/>
      <c r="AL215" s="41"/>
      <c r="AM215" s="41"/>
      <c r="AN215" s="41"/>
      <c r="AO215" s="38" t="str">
        <f aca="false">IF(C215="","",IF(LEN(IF(AND(C215&lt;&gt;"High Covered Linkway",F215&lt;SG_Criteria!$B$46),"FAIL: headroom below "&amp;SG_Criteria!$B$46&amp;" m. ","")&amp;IF(AND(C215="High Covered Linkway",F215&lt;SG_Criteria!$B$47),"FAIL: high linkway headroom below "&amp;SG_Criteria!$B$47&amp;" m. ","")&amp;IF(E215&lt;SG_Criteria!$B$48,"FAIL: roof width below "&amp;SG_Criteria!$B$48&amp;" m. ",IF(E215&lt;SG_Criteria!$B$49,"NOTE: not for MRT/LRT or high-traffic routes (min "&amp;SG_Criteria!$B$49&amp;" m). ",""))&amp;IF(AND(P215&lt;&gt;"",P215&lt;SG_Criteria!$B$50),"FAIL: wind speed below "&amp;SG_Criteria!$B$50&amp;" m/s. ","")&amp;IF(AND(Q215&lt;&gt;"",Q215&lt;SG_Criteria!$B$51),"FAIL: roof fixing pull-out below "&amp;SG_Criteria!$B$51&amp;" kN. ","")&amp;IF(AND(R215&lt;&gt;"",IFERROR(VALUE(MID(R215,2,2)),0)&lt;SG_Criteria!$B$52),"FAIL: grade below C"&amp;SG_Criteria!$B$52&amp;". ","")&amp;IF(D215="Non-standard (project design)","NOTE: not an SDRE standard, needs LTA acceptance. ",""))=0,"OK",IF(AND(C215&lt;&gt;"High Covered Linkway",F215&lt;SG_Criteria!$B$46),"FAIL: headroom below "&amp;SG_Criteria!$B$46&amp;" m. ","")&amp;IF(AND(C215="High Covered Linkway",F215&lt;SG_Criteria!$B$47),"FAIL: high linkway headroom below "&amp;SG_Criteria!$B$47&amp;" m. ","")&amp;IF(E215&lt;SG_Criteria!$B$48,"FAIL: roof width below "&amp;SG_Criteria!$B$48&amp;" m. ",IF(E215&lt;SG_Criteria!$B$49,"NOTE: not for MRT/LRT or high-traffic routes (min "&amp;SG_Criteria!$B$49&amp;" m). ",""))&amp;IF(AND(P215&lt;&gt;"",P215&lt;SG_Criteria!$B$50),"FAIL: wind speed below "&amp;SG_Criteria!$B$50&amp;" m/s. ","")&amp;IF(AND(Q215&lt;&gt;"",Q215&lt;SG_Criteria!$B$51),"FAIL: roof fixing pull-out below "&amp;SG_Criteria!$B$51&amp;" kN. ","")&amp;IF(AND(R215&lt;&gt;"",IFERROR(VALUE(MID(R215,2,2)),0)&lt;SG_Criteria!$B$52),"FAIL: grade below C"&amp;SG_Criteria!$B$52&amp;". ","")&amp;IF(D215="Non-standard (project design)","NOTE: not an SDRE standard, needs LTA acceptance. ","")))</f>
        <v/>
      </c>
      <c r="AP215" s="9"/>
      <c r="AQ215" s="9"/>
      <c r="AR215" s="9"/>
      <c r="AS215" s="9"/>
      <c r="AT215" s="9"/>
      <c r="AU215" s="31"/>
      <c r="AV215" s="10" t="str">
        <f aca="false">IF(C215="","",IF(AND(X215="Approved",ISERROR(SEARCH("FAIL",AO215))),"Y","N"))</f>
        <v/>
      </c>
      <c r="AW215" s="10" t="str">
        <f aca="false">IF(C215="","",C215&amp;"|"&amp;E215&amp;"|"&amp;F215&amp;"|"&amp;AV215)</f>
        <v/>
      </c>
    </row>
    <row r="216" customFormat="false" ht="15" hidden="false" customHeight="false" outlineLevel="0" collapsed="false">
      <c r="A216" s="10" t="str">
        <f aca="false">IF(C216="","","LKW-"&amp;IFERROR(VLOOKUP(C216,Lists!$AQ$4:$AR$17,2,0),"??")&amp;"-W"&amp;TEXT(E216*1000,"0000")&amp;"-H"&amp;TEXT(F216*1000,"0000")&amp;"-B"&amp;TEXT(G216*1000,"0000")&amp;"-"&amp;W216)</f>
        <v/>
      </c>
      <c r="B216" s="10" t="str">
        <f aca="false">IF(C216="","",C216&amp;", "&amp;E216&amp;" m wide, "&amp;F216&amp;" m headroom, "&amp;G216&amp;" m bays, "&amp;H216&amp;" ("&amp;D216&amp;")")</f>
        <v/>
      </c>
      <c r="C216" s="9"/>
      <c r="D216" s="9"/>
      <c r="E216" s="43"/>
      <c r="F216" s="43"/>
      <c r="G216" s="43"/>
      <c r="H216" s="9"/>
      <c r="I216" s="9"/>
      <c r="J216" s="9"/>
      <c r="K216" s="9"/>
      <c r="L216" s="9"/>
      <c r="M216" s="9"/>
      <c r="N216" s="9"/>
      <c r="O216" s="9"/>
      <c r="P216" s="40"/>
      <c r="Q216" s="43"/>
      <c r="R216" s="9"/>
      <c r="S216" s="9"/>
      <c r="T216" s="9"/>
      <c r="U216" s="43"/>
      <c r="V216" s="9"/>
      <c r="W216" s="9"/>
      <c r="X216" s="9"/>
      <c r="Y216" s="9"/>
      <c r="Z216" s="9"/>
      <c r="AA216" s="9"/>
      <c r="AB216" s="10" t="str">
        <f aca="false">IF(A216="","",SG_Criteria!$B$6&amp;SG_Criteria!$B$12&amp;"\"&amp;A216&amp;"\")</f>
        <v/>
      </c>
      <c r="AC216" s="10" t="str">
        <f aca="false">IF(A216="","",A216&amp;"_CAD.dwg")</f>
        <v/>
      </c>
      <c r="AD216" s="10" t="str">
        <f aca="false">IF(A216="","",A216&amp;"_DWG.pdf")</f>
        <v/>
      </c>
      <c r="AE216" s="10" t="str">
        <f aca="false">IF(A216="","",IF(AA216="Y",A216&amp;"_STAAD.std","n/a"))</f>
        <v/>
      </c>
      <c r="AF216" s="10" t="str">
        <f aca="false">IF(A216="","",A216&amp;"_CALC.xlsx")</f>
        <v/>
      </c>
      <c r="AG216" s="10" t="str">
        <f aca="false">IF(A216="","",A216&amp;"_CALC.pdf")</f>
        <v/>
      </c>
      <c r="AH216" s="9"/>
      <c r="AI216" s="9"/>
      <c r="AJ216" s="41"/>
      <c r="AK216" s="41"/>
      <c r="AL216" s="41"/>
      <c r="AM216" s="41"/>
      <c r="AN216" s="41"/>
      <c r="AO216" s="38" t="str">
        <f aca="false">IF(C216="","",IF(LEN(IF(AND(C216&lt;&gt;"High Covered Linkway",F216&lt;SG_Criteria!$B$46),"FAIL: headroom below "&amp;SG_Criteria!$B$46&amp;" m. ","")&amp;IF(AND(C216="High Covered Linkway",F216&lt;SG_Criteria!$B$47),"FAIL: high linkway headroom below "&amp;SG_Criteria!$B$47&amp;" m. ","")&amp;IF(E216&lt;SG_Criteria!$B$48,"FAIL: roof width below "&amp;SG_Criteria!$B$48&amp;" m. ",IF(E216&lt;SG_Criteria!$B$49,"NOTE: not for MRT/LRT or high-traffic routes (min "&amp;SG_Criteria!$B$49&amp;" m). ",""))&amp;IF(AND(P216&lt;&gt;"",P216&lt;SG_Criteria!$B$50),"FAIL: wind speed below "&amp;SG_Criteria!$B$50&amp;" m/s. ","")&amp;IF(AND(Q216&lt;&gt;"",Q216&lt;SG_Criteria!$B$51),"FAIL: roof fixing pull-out below "&amp;SG_Criteria!$B$51&amp;" kN. ","")&amp;IF(AND(R216&lt;&gt;"",IFERROR(VALUE(MID(R216,2,2)),0)&lt;SG_Criteria!$B$52),"FAIL: grade below C"&amp;SG_Criteria!$B$52&amp;". ","")&amp;IF(D216="Non-standard (project design)","NOTE: not an SDRE standard, needs LTA acceptance. ",""))=0,"OK",IF(AND(C216&lt;&gt;"High Covered Linkway",F216&lt;SG_Criteria!$B$46),"FAIL: headroom below "&amp;SG_Criteria!$B$46&amp;" m. ","")&amp;IF(AND(C216="High Covered Linkway",F216&lt;SG_Criteria!$B$47),"FAIL: high linkway headroom below "&amp;SG_Criteria!$B$47&amp;" m. ","")&amp;IF(E216&lt;SG_Criteria!$B$48,"FAIL: roof width below "&amp;SG_Criteria!$B$48&amp;" m. ",IF(E216&lt;SG_Criteria!$B$49,"NOTE: not for MRT/LRT or high-traffic routes (min "&amp;SG_Criteria!$B$49&amp;" m). ",""))&amp;IF(AND(P216&lt;&gt;"",P216&lt;SG_Criteria!$B$50),"FAIL: wind speed below "&amp;SG_Criteria!$B$50&amp;" m/s. ","")&amp;IF(AND(Q216&lt;&gt;"",Q216&lt;SG_Criteria!$B$51),"FAIL: roof fixing pull-out below "&amp;SG_Criteria!$B$51&amp;" kN. ","")&amp;IF(AND(R216&lt;&gt;"",IFERROR(VALUE(MID(R216,2,2)),0)&lt;SG_Criteria!$B$52),"FAIL: grade below C"&amp;SG_Criteria!$B$52&amp;". ","")&amp;IF(D216="Non-standard (project design)","NOTE: not an SDRE standard, needs LTA acceptance. ","")))</f>
        <v/>
      </c>
      <c r="AP216" s="9"/>
      <c r="AQ216" s="9"/>
      <c r="AR216" s="9"/>
      <c r="AS216" s="9"/>
      <c r="AT216" s="9"/>
      <c r="AU216" s="31"/>
      <c r="AV216" s="10" t="str">
        <f aca="false">IF(C216="","",IF(AND(X216="Approved",ISERROR(SEARCH("FAIL",AO216))),"Y","N"))</f>
        <v/>
      </c>
      <c r="AW216" s="10" t="str">
        <f aca="false">IF(C216="","",C216&amp;"|"&amp;E216&amp;"|"&amp;F216&amp;"|"&amp;AV216)</f>
        <v/>
      </c>
    </row>
    <row r="217" customFormat="false" ht="15" hidden="false" customHeight="false" outlineLevel="0" collapsed="false">
      <c r="A217" s="10" t="str">
        <f aca="false">IF(C217="","","LKW-"&amp;IFERROR(VLOOKUP(C217,Lists!$AQ$4:$AR$17,2,0),"??")&amp;"-W"&amp;TEXT(E217*1000,"0000")&amp;"-H"&amp;TEXT(F217*1000,"0000")&amp;"-B"&amp;TEXT(G217*1000,"0000")&amp;"-"&amp;W217)</f>
        <v/>
      </c>
      <c r="B217" s="10" t="str">
        <f aca="false">IF(C217="","",C217&amp;", "&amp;E217&amp;" m wide, "&amp;F217&amp;" m headroom, "&amp;G217&amp;" m bays, "&amp;H217&amp;" ("&amp;D217&amp;")")</f>
        <v/>
      </c>
      <c r="C217" s="9"/>
      <c r="D217" s="9"/>
      <c r="E217" s="43"/>
      <c r="F217" s="43"/>
      <c r="G217" s="43"/>
      <c r="H217" s="9"/>
      <c r="I217" s="9"/>
      <c r="J217" s="9"/>
      <c r="K217" s="9"/>
      <c r="L217" s="9"/>
      <c r="M217" s="9"/>
      <c r="N217" s="9"/>
      <c r="O217" s="9"/>
      <c r="P217" s="40"/>
      <c r="Q217" s="43"/>
      <c r="R217" s="9"/>
      <c r="S217" s="9"/>
      <c r="T217" s="9"/>
      <c r="U217" s="43"/>
      <c r="V217" s="9"/>
      <c r="W217" s="9"/>
      <c r="X217" s="9"/>
      <c r="Y217" s="9"/>
      <c r="Z217" s="9"/>
      <c r="AA217" s="9"/>
      <c r="AB217" s="10" t="str">
        <f aca="false">IF(A217="","",SG_Criteria!$B$6&amp;SG_Criteria!$B$12&amp;"\"&amp;A217&amp;"\")</f>
        <v/>
      </c>
      <c r="AC217" s="10" t="str">
        <f aca="false">IF(A217="","",A217&amp;"_CAD.dwg")</f>
        <v/>
      </c>
      <c r="AD217" s="10" t="str">
        <f aca="false">IF(A217="","",A217&amp;"_DWG.pdf")</f>
        <v/>
      </c>
      <c r="AE217" s="10" t="str">
        <f aca="false">IF(A217="","",IF(AA217="Y",A217&amp;"_STAAD.std","n/a"))</f>
        <v/>
      </c>
      <c r="AF217" s="10" t="str">
        <f aca="false">IF(A217="","",A217&amp;"_CALC.xlsx")</f>
        <v/>
      </c>
      <c r="AG217" s="10" t="str">
        <f aca="false">IF(A217="","",A217&amp;"_CALC.pdf")</f>
        <v/>
      </c>
      <c r="AH217" s="9"/>
      <c r="AI217" s="9"/>
      <c r="AJ217" s="41"/>
      <c r="AK217" s="41"/>
      <c r="AL217" s="41"/>
      <c r="AM217" s="41"/>
      <c r="AN217" s="41"/>
      <c r="AO217" s="38" t="str">
        <f aca="false">IF(C217="","",IF(LEN(IF(AND(C217&lt;&gt;"High Covered Linkway",F217&lt;SG_Criteria!$B$46),"FAIL: headroom below "&amp;SG_Criteria!$B$46&amp;" m. ","")&amp;IF(AND(C217="High Covered Linkway",F217&lt;SG_Criteria!$B$47),"FAIL: high linkway headroom below "&amp;SG_Criteria!$B$47&amp;" m. ","")&amp;IF(E217&lt;SG_Criteria!$B$48,"FAIL: roof width below "&amp;SG_Criteria!$B$48&amp;" m. ",IF(E217&lt;SG_Criteria!$B$49,"NOTE: not for MRT/LRT or high-traffic routes (min "&amp;SG_Criteria!$B$49&amp;" m). ",""))&amp;IF(AND(P217&lt;&gt;"",P217&lt;SG_Criteria!$B$50),"FAIL: wind speed below "&amp;SG_Criteria!$B$50&amp;" m/s. ","")&amp;IF(AND(Q217&lt;&gt;"",Q217&lt;SG_Criteria!$B$51),"FAIL: roof fixing pull-out below "&amp;SG_Criteria!$B$51&amp;" kN. ","")&amp;IF(AND(R217&lt;&gt;"",IFERROR(VALUE(MID(R217,2,2)),0)&lt;SG_Criteria!$B$52),"FAIL: grade below C"&amp;SG_Criteria!$B$52&amp;". ","")&amp;IF(D217="Non-standard (project design)","NOTE: not an SDRE standard, needs LTA acceptance. ",""))=0,"OK",IF(AND(C217&lt;&gt;"High Covered Linkway",F217&lt;SG_Criteria!$B$46),"FAIL: headroom below "&amp;SG_Criteria!$B$46&amp;" m. ","")&amp;IF(AND(C217="High Covered Linkway",F217&lt;SG_Criteria!$B$47),"FAIL: high linkway headroom below "&amp;SG_Criteria!$B$47&amp;" m. ","")&amp;IF(E217&lt;SG_Criteria!$B$48,"FAIL: roof width below "&amp;SG_Criteria!$B$48&amp;" m. ",IF(E217&lt;SG_Criteria!$B$49,"NOTE: not for MRT/LRT or high-traffic routes (min "&amp;SG_Criteria!$B$49&amp;" m). ",""))&amp;IF(AND(P217&lt;&gt;"",P217&lt;SG_Criteria!$B$50),"FAIL: wind speed below "&amp;SG_Criteria!$B$50&amp;" m/s. ","")&amp;IF(AND(Q217&lt;&gt;"",Q217&lt;SG_Criteria!$B$51),"FAIL: roof fixing pull-out below "&amp;SG_Criteria!$B$51&amp;" kN. ","")&amp;IF(AND(R217&lt;&gt;"",IFERROR(VALUE(MID(R217,2,2)),0)&lt;SG_Criteria!$B$52),"FAIL: grade below C"&amp;SG_Criteria!$B$52&amp;". ","")&amp;IF(D217="Non-standard (project design)","NOTE: not an SDRE standard, needs LTA acceptance. ","")))</f>
        <v/>
      </c>
      <c r="AP217" s="9"/>
      <c r="AQ217" s="9"/>
      <c r="AR217" s="9"/>
      <c r="AS217" s="9"/>
      <c r="AT217" s="9"/>
      <c r="AU217" s="31"/>
      <c r="AV217" s="10" t="str">
        <f aca="false">IF(C217="","",IF(AND(X217="Approved",ISERROR(SEARCH("FAIL",AO217))),"Y","N"))</f>
        <v/>
      </c>
      <c r="AW217" s="10" t="str">
        <f aca="false">IF(C217="","",C217&amp;"|"&amp;E217&amp;"|"&amp;F217&amp;"|"&amp;AV217)</f>
        <v/>
      </c>
    </row>
    <row r="218" customFormat="false" ht="15" hidden="false" customHeight="false" outlineLevel="0" collapsed="false">
      <c r="A218" s="10" t="str">
        <f aca="false">IF(C218="","","LKW-"&amp;IFERROR(VLOOKUP(C218,Lists!$AQ$4:$AR$17,2,0),"??")&amp;"-W"&amp;TEXT(E218*1000,"0000")&amp;"-H"&amp;TEXT(F218*1000,"0000")&amp;"-B"&amp;TEXT(G218*1000,"0000")&amp;"-"&amp;W218)</f>
        <v/>
      </c>
      <c r="B218" s="10" t="str">
        <f aca="false">IF(C218="","",C218&amp;", "&amp;E218&amp;" m wide, "&amp;F218&amp;" m headroom, "&amp;G218&amp;" m bays, "&amp;H218&amp;" ("&amp;D218&amp;")")</f>
        <v/>
      </c>
      <c r="C218" s="9"/>
      <c r="D218" s="9"/>
      <c r="E218" s="43"/>
      <c r="F218" s="43"/>
      <c r="G218" s="43"/>
      <c r="H218" s="9"/>
      <c r="I218" s="9"/>
      <c r="J218" s="9"/>
      <c r="K218" s="9"/>
      <c r="L218" s="9"/>
      <c r="M218" s="9"/>
      <c r="N218" s="9"/>
      <c r="O218" s="9"/>
      <c r="P218" s="40"/>
      <c r="Q218" s="43"/>
      <c r="R218" s="9"/>
      <c r="S218" s="9"/>
      <c r="T218" s="9"/>
      <c r="U218" s="43"/>
      <c r="V218" s="9"/>
      <c r="W218" s="9"/>
      <c r="X218" s="9"/>
      <c r="Y218" s="9"/>
      <c r="Z218" s="9"/>
      <c r="AA218" s="9"/>
      <c r="AB218" s="10" t="str">
        <f aca="false">IF(A218="","",SG_Criteria!$B$6&amp;SG_Criteria!$B$12&amp;"\"&amp;A218&amp;"\")</f>
        <v/>
      </c>
      <c r="AC218" s="10" t="str">
        <f aca="false">IF(A218="","",A218&amp;"_CAD.dwg")</f>
        <v/>
      </c>
      <c r="AD218" s="10" t="str">
        <f aca="false">IF(A218="","",A218&amp;"_DWG.pdf")</f>
        <v/>
      </c>
      <c r="AE218" s="10" t="str">
        <f aca="false">IF(A218="","",IF(AA218="Y",A218&amp;"_STAAD.std","n/a"))</f>
        <v/>
      </c>
      <c r="AF218" s="10" t="str">
        <f aca="false">IF(A218="","",A218&amp;"_CALC.xlsx")</f>
        <v/>
      </c>
      <c r="AG218" s="10" t="str">
        <f aca="false">IF(A218="","",A218&amp;"_CALC.pdf")</f>
        <v/>
      </c>
      <c r="AH218" s="9"/>
      <c r="AI218" s="9"/>
      <c r="AJ218" s="41"/>
      <c r="AK218" s="41"/>
      <c r="AL218" s="41"/>
      <c r="AM218" s="41"/>
      <c r="AN218" s="41"/>
      <c r="AO218" s="38" t="str">
        <f aca="false">IF(C218="","",IF(LEN(IF(AND(C218&lt;&gt;"High Covered Linkway",F218&lt;SG_Criteria!$B$46),"FAIL: headroom below "&amp;SG_Criteria!$B$46&amp;" m. ","")&amp;IF(AND(C218="High Covered Linkway",F218&lt;SG_Criteria!$B$47),"FAIL: high linkway headroom below "&amp;SG_Criteria!$B$47&amp;" m. ","")&amp;IF(E218&lt;SG_Criteria!$B$48,"FAIL: roof width below "&amp;SG_Criteria!$B$48&amp;" m. ",IF(E218&lt;SG_Criteria!$B$49,"NOTE: not for MRT/LRT or high-traffic routes (min "&amp;SG_Criteria!$B$49&amp;" m). ",""))&amp;IF(AND(P218&lt;&gt;"",P218&lt;SG_Criteria!$B$50),"FAIL: wind speed below "&amp;SG_Criteria!$B$50&amp;" m/s. ","")&amp;IF(AND(Q218&lt;&gt;"",Q218&lt;SG_Criteria!$B$51),"FAIL: roof fixing pull-out below "&amp;SG_Criteria!$B$51&amp;" kN. ","")&amp;IF(AND(R218&lt;&gt;"",IFERROR(VALUE(MID(R218,2,2)),0)&lt;SG_Criteria!$B$52),"FAIL: grade below C"&amp;SG_Criteria!$B$52&amp;". ","")&amp;IF(D218="Non-standard (project design)","NOTE: not an SDRE standard, needs LTA acceptance. ",""))=0,"OK",IF(AND(C218&lt;&gt;"High Covered Linkway",F218&lt;SG_Criteria!$B$46),"FAIL: headroom below "&amp;SG_Criteria!$B$46&amp;" m. ","")&amp;IF(AND(C218="High Covered Linkway",F218&lt;SG_Criteria!$B$47),"FAIL: high linkway headroom below "&amp;SG_Criteria!$B$47&amp;" m. ","")&amp;IF(E218&lt;SG_Criteria!$B$48,"FAIL: roof width below "&amp;SG_Criteria!$B$48&amp;" m. ",IF(E218&lt;SG_Criteria!$B$49,"NOTE: not for MRT/LRT or high-traffic routes (min "&amp;SG_Criteria!$B$49&amp;" m). ",""))&amp;IF(AND(P218&lt;&gt;"",P218&lt;SG_Criteria!$B$50),"FAIL: wind speed below "&amp;SG_Criteria!$B$50&amp;" m/s. ","")&amp;IF(AND(Q218&lt;&gt;"",Q218&lt;SG_Criteria!$B$51),"FAIL: roof fixing pull-out below "&amp;SG_Criteria!$B$51&amp;" kN. ","")&amp;IF(AND(R218&lt;&gt;"",IFERROR(VALUE(MID(R218,2,2)),0)&lt;SG_Criteria!$B$52),"FAIL: grade below C"&amp;SG_Criteria!$B$52&amp;". ","")&amp;IF(D218="Non-standard (project design)","NOTE: not an SDRE standard, needs LTA acceptance. ","")))</f>
        <v/>
      </c>
      <c r="AP218" s="9"/>
      <c r="AQ218" s="9"/>
      <c r="AR218" s="9"/>
      <c r="AS218" s="9"/>
      <c r="AT218" s="9"/>
      <c r="AU218" s="31"/>
      <c r="AV218" s="10" t="str">
        <f aca="false">IF(C218="","",IF(AND(X218="Approved",ISERROR(SEARCH("FAIL",AO218))),"Y","N"))</f>
        <v/>
      </c>
      <c r="AW218" s="10" t="str">
        <f aca="false">IF(C218="","",C218&amp;"|"&amp;E218&amp;"|"&amp;F218&amp;"|"&amp;AV218)</f>
        <v/>
      </c>
    </row>
    <row r="219" customFormat="false" ht="15" hidden="false" customHeight="false" outlineLevel="0" collapsed="false">
      <c r="A219" s="10" t="str">
        <f aca="false">IF(C219="","","LKW-"&amp;IFERROR(VLOOKUP(C219,Lists!$AQ$4:$AR$17,2,0),"??")&amp;"-W"&amp;TEXT(E219*1000,"0000")&amp;"-H"&amp;TEXT(F219*1000,"0000")&amp;"-B"&amp;TEXT(G219*1000,"0000")&amp;"-"&amp;W219)</f>
        <v/>
      </c>
      <c r="B219" s="10" t="str">
        <f aca="false">IF(C219="","",C219&amp;", "&amp;E219&amp;" m wide, "&amp;F219&amp;" m headroom, "&amp;G219&amp;" m bays, "&amp;H219&amp;" ("&amp;D219&amp;")")</f>
        <v/>
      </c>
      <c r="C219" s="9"/>
      <c r="D219" s="9"/>
      <c r="E219" s="43"/>
      <c r="F219" s="43"/>
      <c r="G219" s="43"/>
      <c r="H219" s="9"/>
      <c r="I219" s="9"/>
      <c r="J219" s="9"/>
      <c r="K219" s="9"/>
      <c r="L219" s="9"/>
      <c r="M219" s="9"/>
      <c r="N219" s="9"/>
      <c r="O219" s="9"/>
      <c r="P219" s="40"/>
      <c r="Q219" s="43"/>
      <c r="R219" s="9"/>
      <c r="S219" s="9"/>
      <c r="T219" s="9"/>
      <c r="U219" s="43"/>
      <c r="V219" s="9"/>
      <c r="W219" s="9"/>
      <c r="X219" s="9"/>
      <c r="Y219" s="9"/>
      <c r="Z219" s="9"/>
      <c r="AA219" s="9"/>
      <c r="AB219" s="10" t="str">
        <f aca="false">IF(A219="","",SG_Criteria!$B$6&amp;SG_Criteria!$B$12&amp;"\"&amp;A219&amp;"\")</f>
        <v/>
      </c>
      <c r="AC219" s="10" t="str">
        <f aca="false">IF(A219="","",A219&amp;"_CAD.dwg")</f>
        <v/>
      </c>
      <c r="AD219" s="10" t="str">
        <f aca="false">IF(A219="","",A219&amp;"_DWG.pdf")</f>
        <v/>
      </c>
      <c r="AE219" s="10" t="str">
        <f aca="false">IF(A219="","",IF(AA219="Y",A219&amp;"_STAAD.std","n/a"))</f>
        <v/>
      </c>
      <c r="AF219" s="10" t="str">
        <f aca="false">IF(A219="","",A219&amp;"_CALC.xlsx")</f>
        <v/>
      </c>
      <c r="AG219" s="10" t="str">
        <f aca="false">IF(A219="","",A219&amp;"_CALC.pdf")</f>
        <v/>
      </c>
      <c r="AH219" s="9"/>
      <c r="AI219" s="9"/>
      <c r="AJ219" s="41"/>
      <c r="AK219" s="41"/>
      <c r="AL219" s="41"/>
      <c r="AM219" s="41"/>
      <c r="AN219" s="41"/>
      <c r="AO219" s="38" t="str">
        <f aca="false">IF(C219="","",IF(LEN(IF(AND(C219&lt;&gt;"High Covered Linkway",F219&lt;SG_Criteria!$B$46),"FAIL: headroom below "&amp;SG_Criteria!$B$46&amp;" m. ","")&amp;IF(AND(C219="High Covered Linkway",F219&lt;SG_Criteria!$B$47),"FAIL: high linkway headroom below "&amp;SG_Criteria!$B$47&amp;" m. ","")&amp;IF(E219&lt;SG_Criteria!$B$48,"FAIL: roof width below "&amp;SG_Criteria!$B$48&amp;" m. ",IF(E219&lt;SG_Criteria!$B$49,"NOTE: not for MRT/LRT or high-traffic routes (min "&amp;SG_Criteria!$B$49&amp;" m). ",""))&amp;IF(AND(P219&lt;&gt;"",P219&lt;SG_Criteria!$B$50),"FAIL: wind speed below "&amp;SG_Criteria!$B$50&amp;" m/s. ","")&amp;IF(AND(Q219&lt;&gt;"",Q219&lt;SG_Criteria!$B$51),"FAIL: roof fixing pull-out below "&amp;SG_Criteria!$B$51&amp;" kN. ","")&amp;IF(AND(R219&lt;&gt;"",IFERROR(VALUE(MID(R219,2,2)),0)&lt;SG_Criteria!$B$52),"FAIL: grade below C"&amp;SG_Criteria!$B$52&amp;". ","")&amp;IF(D219="Non-standard (project design)","NOTE: not an SDRE standard, needs LTA acceptance. ",""))=0,"OK",IF(AND(C219&lt;&gt;"High Covered Linkway",F219&lt;SG_Criteria!$B$46),"FAIL: headroom below "&amp;SG_Criteria!$B$46&amp;" m. ","")&amp;IF(AND(C219="High Covered Linkway",F219&lt;SG_Criteria!$B$47),"FAIL: high linkway headroom below "&amp;SG_Criteria!$B$47&amp;" m. ","")&amp;IF(E219&lt;SG_Criteria!$B$48,"FAIL: roof width below "&amp;SG_Criteria!$B$48&amp;" m. ",IF(E219&lt;SG_Criteria!$B$49,"NOTE: not for MRT/LRT or high-traffic routes (min "&amp;SG_Criteria!$B$49&amp;" m). ",""))&amp;IF(AND(P219&lt;&gt;"",P219&lt;SG_Criteria!$B$50),"FAIL: wind speed below "&amp;SG_Criteria!$B$50&amp;" m/s. ","")&amp;IF(AND(Q219&lt;&gt;"",Q219&lt;SG_Criteria!$B$51),"FAIL: roof fixing pull-out below "&amp;SG_Criteria!$B$51&amp;" kN. ","")&amp;IF(AND(R219&lt;&gt;"",IFERROR(VALUE(MID(R219,2,2)),0)&lt;SG_Criteria!$B$52),"FAIL: grade below C"&amp;SG_Criteria!$B$52&amp;". ","")&amp;IF(D219="Non-standard (project design)","NOTE: not an SDRE standard, needs LTA acceptance. ","")))</f>
        <v/>
      </c>
      <c r="AP219" s="9"/>
      <c r="AQ219" s="9"/>
      <c r="AR219" s="9"/>
      <c r="AS219" s="9"/>
      <c r="AT219" s="9"/>
      <c r="AU219" s="31"/>
      <c r="AV219" s="10" t="str">
        <f aca="false">IF(C219="","",IF(AND(X219="Approved",ISERROR(SEARCH("FAIL",AO219))),"Y","N"))</f>
        <v/>
      </c>
      <c r="AW219" s="10" t="str">
        <f aca="false">IF(C219="","",C219&amp;"|"&amp;E219&amp;"|"&amp;F219&amp;"|"&amp;AV219)</f>
        <v/>
      </c>
    </row>
    <row r="220" customFormat="false" ht="15" hidden="false" customHeight="false" outlineLevel="0" collapsed="false">
      <c r="A220" s="10" t="str">
        <f aca="false">IF(C220="","","LKW-"&amp;IFERROR(VLOOKUP(C220,Lists!$AQ$4:$AR$17,2,0),"??")&amp;"-W"&amp;TEXT(E220*1000,"0000")&amp;"-H"&amp;TEXT(F220*1000,"0000")&amp;"-B"&amp;TEXT(G220*1000,"0000")&amp;"-"&amp;W220)</f>
        <v/>
      </c>
      <c r="B220" s="10" t="str">
        <f aca="false">IF(C220="","",C220&amp;", "&amp;E220&amp;" m wide, "&amp;F220&amp;" m headroom, "&amp;G220&amp;" m bays, "&amp;H220&amp;" ("&amp;D220&amp;")")</f>
        <v/>
      </c>
      <c r="C220" s="9"/>
      <c r="D220" s="9"/>
      <c r="E220" s="43"/>
      <c r="F220" s="43"/>
      <c r="G220" s="43"/>
      <c r="H220" s="9"/>
      <c r="I220" s="9"/>
      <c r="J220" s="9"/>
      <c r="K220" s="9"/>
      <c r="L220" s="9"/>
      <c r="M220" s="9"/>
      <c r="N220" s="9"/>
      <c r="O220" s="9"/>
      <c r="P220" s="40"/>
      <c r="Q220" s="43"/>
      <c r="R220" s="9"/>
      <c r="S220" s="9"/>
      <c r="T220" s="9"/>
      <c r="U220" s="43"/>
      <c r="V220" s="9"/>
      <c r="W220" s="9"/>
      <c r="X220" s="9"/>
      <c r="Y220" s="9"/>
      <c r="Z220" s="9"/>
      <c r="AA220" s="9"/>
      <c r="AB220" s="10" t="str">
        <f aca="false">IF(A220="","",SG_Criteria!$B$6&amp;SG_Criteria!$B$12&amp;"\"&amp;A220&amp;"\")</f>
        <v/>
      </c>
      <c r="AC220" s="10" t="str">
        <f aca="false">IF(A220="","",A220&amp;"_CAD.dwg")</f>
        <v/>
      </c>
      <c r="AD220" s="10" t="str">
        <f aca="false">IF(A220="","",A220&amp;"_DWG.pdf")</f>
        <v/>
      </c>
      <c r="AE220" s="10" t="str">
        <f aca="false">IF(A220="","",IF(AA220="Y",A220&amp;"_STAAD.std","n/a"))</f>
        <v/>
      </c>
      <c r="AF220" s="10" t="str">
        <f aca="false">IF(A220="","",A220&amp;"_CALC.xlsx")</f>
        <v/>
      </c>
      <c r="AG220" s="10" t="str">
        <f aca="false">IF(A220="","",A220&amp;"_CALC.pdf")</f>
        <v/>
      </c>
      <c r="AH220" s="9"/>
      <c r="AI220" s="9"/>
      <c r="AJ220" s="41"/>
      <c r="AK220" s="41"/>
      <c r="AL220" s="41"/>
      <c r="AM220" s="41"/>
      <c r="AN220" s="41"/>
      <c r="AO220" s="38" t="str">
        <f aca="false">IF(C220="","",IF(LEN(IF(AND(C220&lt;&gt;"High Covered Linkway",F220&lt;SG_Criteria!$B$46),"FAIL: headroom below "&amp;SG_Criteria!$B$46&amp;" m. ","")&amp;IF(AND(C220="High Covered Linkway",F220&lt;SG_Criteria!$B$47),"FAIL: high linkway headroom below "&amp;SG_Criteria!$B$47&amp;" m. ","")&amp;IF(E220&lt;SG_Criteria!$B$48,"FAIL: roof width below "&amp;SG_Criteria!$B$48&amp;" m. ",IF(E220&lt;SG_Criteria!$B$49,"NOTE: not for MRT/LRT or high-traffic routes (min "&amp;SG_Criteria!$B$49&amp;" m). ",""))&amp;IF(AND(P220&lt;&gt;"",P220&lt;SG_Criteria!$B$50),"FAIL: wind speed below "&amp;SG_Criteria!$B$50&amp;" m/s. ","")&amp;IF(AND(Q220&lt;&gt;"",Q220&lt;SG_Criteria!$B$51),"FAIL: roof fixing pull-out below "&amp;SG_Criteria!$B$51&amp;" kN. ","")&amp;IF(AND(R220&lt;&gt;"",IFERROR(VALUE(MID(R220,2,2)),0)&lt;SG_Criteria!$B$52),"FAIL: grade below C"&amp;SG_Criteria!$B$52&amp;". ","")&amp;IF(D220="Non-standard (project design)","NOTE: not an SDRE standard, needs LTA acceptance. ",""))=0,"OK",IF(AND(C220&lt;&gt;"High Covered Linkway",F220&lt;SG_Criteria!$B$46),"FAIL: headroom below "&amp;SG_Criteria!$B$46&amp;" m. ","")&amp;IF(AND(C220="High Covered Linkway",F220&lt;SG_Criteria!$B$47),"FAIL: high linkway headroom below "&amp;SG_Criteria!$B$47&amp;" m. ","")&amp;IF(E220&lt;SG_Criteria!$B$48,"FAIL: roof width below "&amp;SG_Criteria!$B$48&amp;" m. ",IF(E220&lt;SG_Criteria!$B$49,"NOTE: not for MRT/LRT or high-traffic routes (min "&amp;SG_Criteria!$B$49&amp;" m). ",""))&amp;IF(AND(P220&lt;&gt;"",P220&lt;SG_Criteria!$B$50),"FAIL: wind speed below "&amp;SG_Criteria!$B$50&amp;" m/s. ","")&amp;IF(AND(Q220&lt;&gt;"",Q220&lt;SG_Criteria!$B$51),"FAIL: roof fixing pull-out below "&amp;SG_Criteria!$B$51&amp;" kN. ","")&amp;IF(AND(R220&lt;&gt;"",IFERROR(VALUE(MID(R220,2,2)),0)&lt;SG_Criteria!$B$52),"FAIL: grade below C"&amp;SG_Criteria!$B$52&amp;". ","")&amp;IF(D220="Non-standard (project design)","NOTE: not an SDRE standard, needs LTA acceptance. ","")))</f>
        <v/>
      </c>
      <c r="AP220" s="9"/>
      <c r="AQ220" s="9"/>
      <c r="AR220" s="9"/>
      <c r="AS220" s="9"/>
      <c r="AT220" s="9"/>
      <c r="AU220" s="31"/>
      <c r="AV220" s="10" t="str">
        <f aca="false">IF(C220="","",IF(AND(X220="Approved",ISERROR(SEARCH("FAIL",AO220))),"Y","N"))</f>
        <v/>
      </c>
      <c r="AW220" s="10" t="str">
        <f aca="false">IF(C220="","",C220&amp;"|"&amp;E220&amp;"|"&amp;F220&amp;"|"&amp;AV220)</f>
        <v/>
      </c>
    </row>
    <row r="221" customFormat="false" ht="15" hidden="false" customHeight="false" outlineLevel="0" collapsed="false">
      <c r="A221" s="10" t="str">
        <f aca="false">IF(C221="","","LKW-"&amp;IFERROR(VLOOKUP(C221,Lists!$AQ$4:$AR$17,2,0),"??")&amp;"-W"&amp;TEXT(E221*1000,"0000")&amp;"-H"&amp;TEXT(F221*1000,"0000")&amp;"-B"&amp;TEXT(G221*1000,"0000")&amp;"-"&amp;W221)</f>
        <v/>
      </c>
      <c r="B221" s="10" t="str">
        <f aca="false">IF(C221="","",C221&amp;", "&amp;E221&amp;" m wide, "&amp;F221&amp;" m headroom, "&amp;G221&amp;" m bays, "&amp;H221&amp;" ("&amp;D221&amp;")")</f>
        <v/>
      </c>
      <c r="C221" s="9"/>
      <c r="D221" s="9"/>
      <c r="E221" s="43"/>
      <c r="F221" s="43"/>
      <c r="G221" s="43"/>
      <c r="H221" s="9"/>
      <c r="I221" s="9"/>
      <c r="J221" s="9"/>
      <c r="K221" s="9"/>
      <c r="L221" s="9"/>
      <c r="M221" s="9"/>
      <c r="N221" s="9"/>
      <c r="O221" s="9"/>
      <c r="P221" s="40"/>
      <c r="Q221" s="43"/>
      <c r="R221" s="9"/>
      <c r="S221" s="9"/>
      <c r="T221" s="9"/>
      <c r="U221" s="43"/>
      <c r="V221" s="9"/>
      <c r="W221" s="9"/>
      <c r="X221" s="9"/>
      <c r="Y221" s="9"/>
      <c r="Z221" s="9"/>
      <c r="AA221" s="9"/>
      <c r="AB221" s="10" t="str">
        <f aca="false">IF(A221="","",SG_Criteria!$B$6&amp;SG_Criteria!$B$12&amp;"\"&amp;A221&amp;"\")</f>
        <v/>
      </c>
      <c r="AC221" s="10" t="str">
        <f aca="false">IF(A221="","",A221&amp;"_CAD.dwg")</f>
        <v/>
      </c>
      <c r="AD221" s="10" t="str">
        <f aca="false">IF(A221="","",A221&amp;"_DWG.pdf")</f>
        <v/>
      </c>
      <c r="AE221" s="10" t="str">
        <f aca="false">IF(A221="","",IF(AA221="Y",A221&amp;"_STAAD.std","n/a"))</f>
        <v/>
      </c>
      <c r="AF221" s="10" t="str">
        <f aca="false">IF(A221="","",A221&amp;"_CALC.xlsx")</f>
        <v/>
      </c>
      <c r="AG221" s="10" t="str">
        <f aca="false">IF(A221="","",A221&amp;"_CALC.pdf")</f>
        <v/>
      </c>
      <c r="AH221" s="9"/>
      <c r="AI221" s="9"/>
      <c r="AJ221" s="41"/>
      <c r="AK221" s="41"/>
      <c r="AL221" s="41"/>
      <c r="AM221" s="41"/>
      <c r="AN221" s="41"/>
      <c r="AO221" s="38" t="str">
        <f aca="false">IF(C221="","",IF(LEN(IF(AND(C221&lt;&gt;"High Covered Linkway",F221&lt;SG_Criteria!$B$46),"FAIL: headroom below "&amp;SG_Criteria!$B$46&amp;" m. ","")&amp;IF(AND(C221="High Covered Linkway",F221&lt;SG_Criteria!$B$47),"FAIL: high linkway headroom below "&amp;SG_Criteria!$B$47&amp;" m. ","")&amp;IF(E221&lt;SG_Criteria!$B$48,"FAIL: roof width below "&amp;SG_Criteria!$B$48&amp;" m. ",IF(E221&lt;SG_Criteria!$B$49,"NOTE: not for MRT/LRT or high-traffic routes (min "&amp;SG_Criteria!$B$49&amp;" m). ",""))&amp;IF(AND(P221&lt;&gt;"",P221&lt;SG_Criteria!$B$50),"FAIL: wind speed below "&amp;SG_Criteria!$B$50&amp;" m/s. ","")&amp;IF(AND(Q221&lt;&gt;"",Q221&lt;SG_Criteria!$B$51),"FAIL: roof fixing pull-out below "&amp;SG_Criteria!$B$51&amp;" kN. ","")&amp;IF(AND(R221&lt;&gt;"",IFERROR(VALUE(MID(R221,2,2)),0)&lt;SG_Criteria!$B$52),"FAIL: grade below C"&amp;SG_Criteria!$B$52&amp;". ","")&amp;IF(D221="Non-standard (project design)","NOTE: not an SDRE standard, needs LTA acceptance. ",""))=0,"OK",IF(AND(C221&lt;&gt;"High Covered Linkway",F221&lt;SG_Criteria!$B$46),"FAIL: headroom below "&amp;SG_Criteria!$B$46&amp;" m. ","")&amp;IF(AND(C221="High Covered Linkway",F221&lt;SG_Criteria!$B$47),"FAIL: high linkway headroom below "&amp;SG_Criteria!$B$47&amp;" m. ","")&amp;IF(E221&lt;SG_Criteria!$B$48,"FAIL: roof width below "&amp;SG_Criteria!$B$48&amp;" m. ",IF(E221&lt;SG_Criteria!$B$49,"NOTE: not for MRT/LRT or high-traffic routes (min "&amp;SG_Criteria!$B$49&amp;" m). ",""))&amp;IF(AND(P221&lt;&gt;"",P221&lt;SG_Criteria!$B$50),"FAIL: wind speed below "&amp;SG_Criteria!$B$50&amp;" m/s. ","")&amp;IF(AND(Q221&lt;&gt;"",Q221&lt;SG_Criteria!$B$51),"FAIL: roof fixing pull-out below "&amp;SG_Criteria!$B$51&amp;" kN. ","")&amp;IF(AND(R221&lt;&gt;"",IFERROR(VALUE(MID(R221,2,2)),0)&lt;SG_Criteria!$B$52),"FAIL: grade below C"&amp;SG_Criteria!$B$52&amp;". ","")&amp;IF(D221="Non-standard (project design)","NOTE: not an SDRE standard, needs LTA acceptance. ","")))</f>
        <v/>
      </c>
      <c r="AP221" s="9"/>
      <c r="AQ221" s="9"/>
      <c r="AR221" s="9"/>
      <c r="AS221" s="9"/>
      <c r="AT221" s="9"/>
      <c r="AU221" s="31"/>
      <c r="AV221" s="10" t="str">
        <f aca="false">IF(C221="","",IF(AND(X221="Approved",ISERROR(SEARCH("FAIL",AO221))),"Y","N"))</f>
        <v/>
      </c>
      <c r="AW221" s="10" t="str">
        <f aca="false">IF(C221="","",C221&amp;"|"&amp;E221&amp;"|"&amp;F221&amp;"|"&amp;AV221)</f>
        <v/>
      </c>
    </row>
    <row r="222" customFormat="false" ht="15" hidden="false" customHeight="false" outlineLevel="0" collapsed="false">
      <c r="A222" s="10" t="str">
        <f aca="false">IF(C222="","","LKW-"&amp;IFERROR(VLOOKUP(C222,Lists!$AQ$4:$AR$17,2,0),"??")&amp;"-W"&amp;TEXT(E222*1000,"0000")&amp;"-H"&amp;TEXT(F222*1000,"0000")&amp;"-B"&amp;TEXT(G222*1000,"0000")&amp;"-"&amp;W222)</f>
        <v/>
      </c>
      <c r="B222" s="10" t="str">
        <f aca="false">IF(C222="","",C222&amp;", "&amp;E222&amp;" m wide, "&amp;F222&amp;" m headroom, "&amp;G222&amp;" m bays, "&amp;H222&amp;" ("&amp;D222&amp;")")</f>
        <v/>
      </c>
      <c r="C222" s="9"/>
      <c r="D222" s="9"/>
      <c r="E222" s="43"/>
      <c r="F222" s="43"/>
      <c r="G222" s="43"/>
      <c r="H222" s="9"/>
      <c r="I222" s="9"/>
      <c r="J222" s="9"/>
      <c r="K222" s="9"/>
      <c r="L222" s="9"/>
      <c r="M222" s="9"/>
      <c r="N222" s="9"/>
      <c r="O222" s="9"/>
      <c r="P222" s="40"/>
      <c r="Q222" s="43"/>
      <c r="R222" s="9"/>
      <c r="S222" s="9"/>
      <c r="T222" s="9"/>
      <c r="U222" s="43"/>
      <c r="V222" s="9"/>
      <c r="W222" s="9"/>
      <c r="X222" s="9"/>
      <c r="Y222" s="9"/>
      <c r="Z222" s="9"/>
      <c r="AA222" s="9"/>
      <c r="AB222" s="10" t="str">
        <f aca="false">IF(A222="","",SG_Criteria!$B$6&amp;SG_Criteria!$B$12&amp;"\"&amp;A222&amp;"\")</f>
        <v/>
      </c>
      <c r="AC222" s="10" t="str">
        <f aca="false">IF(A222="","",A222&amp;"_CAD.dwg")</f>
        <v/>
      </c>
      <c r="AD222" s="10" t="str">
        <f aca="false">IF(A222="","",A222&amp;"_DWG.pdf")</f>
        <v/>
      </c>
      <c r="AE222" s="10" t="str">
        <f aca="false">IF(A222="","",IF(AA222="Y",A222&amp;"_STAAD.std","n/a"))</f>
        <v/>
      </c>
      <c r="AF222" s="10" t="str">
        <f aca="false">IF(A222="","",A222&amp;"_CALC.xlsx")</f>
        <v/>
      </c>
      <c r="AG222" s="10" t="str">
        <f aca="false">IF(A222="","",A222&amp;"_CALC.pdf")</f>
        <v/>
      </c>
      <c r="AH222" s="9"/>
      <c r="AI222" s="9"/>
      <c r="AJ222" s="41"/>
      <c r="AK222" s="41"/>
      <c r="AL222" s="41"/>
      <c r="AM222" s="41"/>
      <c r="AN222" s="41"/>
      <c r="AO222" s="38" t="str">
        <f aca="false">IF(C222="","",IF(LEN(IF(AND(C222&lt;&gt;"High Covered Linkway",F222&lt;SG_Criteria!$B$46),"FAIL: headroom below "&amp;SG_Criteria!$B$46&amp;" m. ","")&amp;IF(AND(C222="High Covered Linkway",F222&lt;SG_Criteria!$B$47),"FAIL: high linkway headroom below "&amp;SG_Criteria!$B$47&amp;" m. ","")&amp;IF(E222&lt;SG_Criteria!$B$48,"FAIL: roof width below "&amp;SG_Criteria!$B$48&amp;" m. ",IF(E222&lt;SG_Criteria!$B$49,"NOTE: not for MRT/LRT or high-traffic routes (min "&amp;SG_Criteria!$B$49&amp;" m). ",""))&amp;IF(AND(P222&lt;&gt;"",P222&lt;SG_Criteria!$B$50),"FAIL: wind speed below "&amp;SG_Criteria!$B$50&amp;" m/s. ","")&amp;IF(AND(Q222&lt;&gt;"",Q222&lt;SG_Criteria!$B$51),"FAIL: roof fixing pull-out below "&amp;SG_Criteria!$B$51&amp;" kN. ","")&amp;IF(AND(R222&lt;&gt;"",IFERROR(VALUE(MID(R222,2,2)),0)&lt;SG_Criteria!$B$52),"FAIL: grade below C"&amp;SG_Criteria!$B$52&amp;". ","")&amp;IF(D222="Non-standard (project design)","NOTE: not an SDRE standard, needs LTA acceptance. ",""))=0,"OK",IF(AND(C222&lt;&gt;"High Covered Linkway",F222&lt;SG_Criteria!$B$46),"FAIL: headroom below "&amp;SG_Criteria!$B$46&amp;" m. ","")&amp;IF(AND(C222="High Covered Linkway",F222&lt;SG_Criteria!$B$47),"FAIL: high linkway headroom below "&amp;SG_Criteria!$B$47&amp;" m. ","")&amp;IF(E222&lt;SG_Criteria!$B$48,"FAIL: roof width below "&amp;SG_Criteria!$B$48&amp;" m. ",IF(E222&lt;SG_Criteria!$B$49,"NOTE: not for MRT/LRT or high-traffic routes (min "&amp;SG_Criteria!$B$49&amp;" m). ",""))&amp;IF(AND(P222&lt;&gt;"",P222&lt;SG_Criteria!$B$50),"FAIL: wind speed below "&amp;SG_Criteria!$B$50&amp;" m/s. ","")&amp;IF(AND(Q222&lt;&gt;"",Q222&lt;SG_Criteria!$B$51),"FAIL: roof fixing pull-out below "&amp;SG_Criteria!$B$51&amp;" kN. ","")&amp;IF(AND(R222&lt;&gt;"",IFERROR(VALUE(MID(R222,2,2)),0)&lt;SG_Criteria!$B$52),"FAIL: grade below C"&amp;SG_Criteria!$B$52&amp;". ","")&amp;IF(D222="Non-standard (project design)","NOTE: not an SDRE standard, needs LTA acceptance. ","")))</f>
        <v/>
      </c>
      <c r="AP222" s="9"/>
      <c r="AQ222" s="9"/>
      <c r="AR222" s="9"/>
      <c r="AS222" s="9"/>
      <c r="AT222" s="9"/>
      <c r="AU222" s="31"/>
      <c r="AV222" s="10" t="str">
        <f aca="false">IF(C222="","",IF(AND(X222="Approved",ISERROR(SEARCH("FAIL",AO222))),"Y","N"))</f>
        <v/>
      </c>
      <c r="AW222" s="10" t="str">
        <f aca="false">IF(C222="","",C222&amp;"|"&amp;E222&amp;"|"&amp;F222&amp;"|"&amp;AV222)</f>
        <v/>
      </c>
    </row>
    <row r="223" customFormat="false" ht="15" hidden="false" customHeight="false" outlineLevel="0" collapsed="false">
      <c r="A223" s="10" t="str">
        <f aca="false">IF(C223="","","LKW-"&amp;IFERROR(VLOOKUP(C223,Lists!$AQ$4:$AR$17,2,0),"??")&amp;"-W"&amp;TEXT(E223*1000,"0000")&amp;"-H"&amp;TEXT(F223*1000,"0000")&amp;"-B"&amp;TEXT(G223*1000,"0000")&amp;"-"&amp;W223)</f>
        <v/>
      </c>
      <c r="B223" s="10" t="str">
        <f aca="false">IF(C223="","",C223&amp;", "&amp;E223&amp;" m wide, "&amp;F223&amp;" m headroom, "&amp;G223&amp;" m bays, "&amp;H223&amp;" ("&amp;D223&amp;")")</f>
        <v/>
      </c>
      <c r="C223" s="9"/>
      <c r="D223" s="9"/>
      <c r="E223" s="43"/>
      <c r="F223" s="43"/>
      <c r="G223" s="43"/>
      <c r="H223" s="9"/>
      <c r="I223" s="9"/>
      <c r="J223" s="9"/>
      <c r="K223" s="9"/>
      <c r="L223" s="9"/>
      <c r="M223" s="9"/>
      <c r="N223" s="9"/>
      <c r="O223" s="9"/>
      <c r="P223" s="40"/>
      <c r="Q223" s="43"/>
      <c r="R223" s="9"/>
      <c r="S223" s="9"/>
      <c r="T223" s="9"/>
      <c r="U223" s="43"/>
      <c r="V223" s="9"/>
      <c r="W223" s="9"/>
      <c r="X223" s="9"/>
      <c r="Y223" s="9"/>
      <c r="Z223" s="9"/>
      <c r="AA223" s="9"/>
      <c r="AB223" s="10" t="str">
        <f aca="false">IF(A223="","",SG_Criteria!$B$6&amp;SG_Criteria!$B$12&amp;"\"&amp;A223&amp;"\")</f>
        <v/>
      </c>
      <c r="AC223" s="10" t="str">
        <f aca="false">IF(A223="","",A223&amp;"_CAD.dwg")</f>
        <v/>
      </c>
      <c r="AD223" s="10" t="str">
        <f aca="false">IF(A223="","",A223&amp;"_DWG.pdf")</f>
        <v/>
      </c>
      <c r="AE223" s="10" t="str">
        <f aca="false">IF(A223="","",IF(AA223="Y",A223&amp;"_STAAD.std","n/a"))</f>
        <v/>
      </c>
      <c r="AF223" s="10" t="str">
        <f aca="false">IF(A223="","",A223&amp;"_CALC.xlsx")</f>
        <v/>
      </c>
      <c r="AG223" s="10" t="str">
        <f aca="false">IF(A223="","",A223&amp;"_CALC.pdf")</f>
        <v/>
      </c>
      <c r="AH223" s="9"/>
      <c r="AI223" s="9"/>
      <c r="AJ223" s="41"/>
      <c r="AK223" s="41"/>
      <c r="AL223" s="41"/>
      <c r="AM223" s="41"/>
      <c r="AN223" s="41"/>
      <c r="AO223" s="38" t="str">
        <f aca="false">IF(C223="","",IF(LEN(IF(AND(C223&lt;&gt;"High Covered Linkway",F223&lt;SG_Criteria!$B$46),"FAIL: headroom below "&amp;SG_Criteria!$B$46&amp;" m. ","")&amp;IF(AND(C223="High Covered Linkway",F223&lt;SG_Criteria!$B$47),"FAIL: high linkway headroom below "&amp;SG_Criteria!$B$47&amp;" m. ","")&amp;IF(E223&lt;SG_Criteria!$B$48,"FAIL: roof width below "&amp;SG_Criteria!$B$48&amp;" m. ",IF(E223&lt;SG_Criteria!$B$49,"NOTE: not for MRT/LRT or high-traffic routes (min "&amp;SG_Criteria!$B$49&amp;" m). ",""))&amp;IF(AND(P223&lt;&gt;"",P223&lt;SG_Criteria!$B$50),"FAIL: wind speed below "&amp;SG_Criteria!$B$50&amp;" m/s. ","")&amp;IF(AND(Q223&lt;&gt;"",Q223&lt;SG_Criteria!$B$51),"FAIL: roof fixing pull-out below "&amp;SG_Criteria!$B$51&amp;" kN. ","")&amp;IF(AND(R223&lt;&gt;"",IFERROR(VALUE(MID(R223,2,2)),0)&lt;SG_Criteria!$B$52),"FAIL: grade below C"&amp;SG_Criteria!$B$52&amp;". ","")&amp;IF(D223="Non-standard (project design)","NOTE: not an SDRE standard, needs LTA acceptance. ",""))=0,"OK",IF(AND(C223&lt;&gt;"High Covered Linkway",F223&lt;SG_Criteria!$B$46),"FAIL: headroom below "&amp;SG_Criteria!$B$46&amp;" m. ","")&amp;IF(AND(C223="High Covered Linkway",F223&lt;SG_Criteria!$B$47),"FAIL: high linkway headroom below "&amp;SG_Criteria!$B$47&amp;" m. ","")&amp;IF(E223&lt;SG_Criteria!$B$48,"FAIL: roof width below "&amp;SG_Criteria!$B$48&amp;" m. ",IF(E223&lt;SG_Criteria!$B$49,"NOTE: not for MRT/LRT or high-traffic routes (min "&amp;SG_Criteria!$B$49&amp;" m). ",""))&amp;IF(AND(P223&lt;&gt;"",P223&lt;SG_Criteria!$B$50),"FAIL: wind speed below "&amp;SG_Criteria!$B$50&amp;" m/s. ","")&amp;IF(AND(Q223&lt;&gt;"",Q223&lt;SG_Criteria!$B$51),"FAIL: roof fixing pull-out below "&amp;SG_Criteria!$B$51&amp;" kN. ","")&amp;IF(AND(R223&lt;&gt;"",IFERROR(VALUE(MID(R223,2,2)),0)&lt;SG_Criteria!$B$52),"FAIL: grade below C"&amp;SG_Criteria!$B$52&amp;". ","")&amp;IF(D223="Non-standard (project design)","NOTE: not an SDRE standard, needs LTA acceptance. ","")))</f>
        <v/>
      </c>
      <c r="AP223" s="9"/>
      <c r="AQ223" s="9"/>
      <c r="AR223" s="9"/>
      <c r="AS223" s="9"/>
      <c r="AT223" s="9"/>
      <c r="AU223" s="31"/>
      <c r="AV223" s="10" t="str">
        <f aca="false">IF(C223="","",IF(AND(X223="Approved",ISERROR(SEARCH("FAIL",AO223))),"Y","N"))</f>
        <v/>
      </c>
      <c r="AW223" s="10" t="str">
        <f aca="false">IF(C223="","",C223&amp;"|"&amp;E223&amp;"|"&amp;F223&amp;"|"&amp;AV223)</f>
        <v/>
      </c>
    </row>
    <row r="224" customFormat="false" ht="15" hidden="false" customHeight="false" outlineLevel="0" collapsed="false">
      <c r="A224" s="10" t="str">
        <f aca="false">IF(C224="","","LKW-"&amp;IFERROR(VLOOKUP(C224,Lists!$AQ$4:$AR$17,2,0),"??")&amp;"-W"&amp;TEXT(E224*1000,"0000")&amp;"-H"&amp;TEXT(F224*1000,"0000")&amp;"-B"&amp;TEXT(G224*1000,"0000")&amp;"-"&amp;W224)</f>
        <v/>
      </c>
      <c r="B224" s="10" t="str">
        <f aca="false">IF(C224="","",C224&amp;", "&amp;E224&amp;" m wide, "&amp;F224&amp;" m headroom, "&amp;G224&amp;" m bays, "&amp;H224&amp;" ("&amp;D224&amp;")")</f>
        <v/>
      </c>
      <c r="C224" s="9"/>
      <c r="D224" s="9"/>
      <c r="E224" s="43"/>
      <c r="F224" s="43"/>
      <c r="G224" s="43"/>
      <c r="H224" s="9"/>
      <c r="I224" s="9"/>
      <c r="J224" s="9"/>
      <c r="K224" s="9"/>
      <c r="L224" s="9"/>
      <c r="M224" s="9"/>
      <c r="N224" s="9"/>
      <c r="O224" s="9"/>
      <c r="P224" s="40"/>
      <c r="Q224" s="43"/>
      <c r="R224" s="9"/>
      <c r="S224" s="9"/>
      <c r="T224" s="9"/>
      <c r="U224" s="43"/>
      <c r="V224" s="9"/>
      <c r="W224" s="9"/>
      <c r="X224" s="9"/>
      <c r="Y224" s="9"/>
      <c r="Z224" s="9"/>
      <c r="AA224" s="9"/>
      <c r="AB224" s="10" t="str">
        <f aca="false">IF(A224="","",SG_Criteria!$B$6&amp;SG_Criteria!$B$12&amp;"\"&amp;A224&amp;"\")</f>
        <v/>
      </c>
      <c r="AC224" s="10" t="str">
        <f aca="false">IF(A224="","",A224&amp;"_CAD.dwg")</f>
        <v/>
      </c>
      <c r="AD224" s="10" t="str">
        <f aca="false">IF(A224="","",A224&amp;"_DWG.pdf")</f>
        <v/>
      </c>
      <c r="AE224" s="10" t="str">
        <f aca="false">IF(A224="","",IF(AA224="Y",A224&amp;"_STAAD.std","n/a"))</f>
        <v/>
      </c>
      <c r="AF224" s="10" t="str">
        <f aca="false">IF(A224="","",A224&amp;"_CALC.xlsx")</f>
        <v/>
      </c>
      <c r="AG224" s="10" t="str">
        <f aca="false">IF(A224="","",A224&amp;"_CALC.pdf")</f>
        <v/>
      </c>
      <c r="AH224" s="9"/>
      <c r="AI224" s="9"/>
      <c r="AJ224" s="41"/>
      <c r="AK224" s="41"/>
      <c r="AL224" s="41"/>
      <c r="AM224" s="41"/>
      <c r="AN224" s="41"/>
      <c r="AO224" s="38" t="str">
        <f aca="false">IF(C224="","",IF(LEN(IF(AND(C224&lt;&gt;"High Covered Linkway",F224&lt;SG_Criteria!$B$46),"FAIL: headroom below "&amp;SG_Criteria!$B$46&amp;" m. ","")&amp;IF(AND(C224="High Covered Linkway",F224&lt;SG_Criteria!$B$47),"FAIL: high linkway headroom below "&amp;SG_Criteria!$B$47&amp;" m. ","")&amp;IF(E224&lt;SG_Criteria!$B$48,"FAIL: roof width below "&amp;SG_Criteria!$B$48&amp;" m. ",IF(E224&lt;SG_Criteria!$B$49,"NOTE: not for MRT/LRT or high-traffic routes (min "&amp;SG_Criteria!$B$49&amp;" m). ",""))&amp;IF(AND(P224&lt;&gt;"",P224&lt;SG_Criteria!$B$50),"FAIL: wind speed below "&amp;SG_Criteria!$B$50&amp;" m/s. ","")&amp;IF(AND(Q224&lt;&gt;"",Q224&lt;SG_Criteria!$B$51),"FAIL: roof fixing pull-out below "&amp;SG_Criteria!$B$51&amp;" kN. ","")&amp;IF(AND(R224&lt;&gt;"",IFERROR(VALUE(MID(R224,2,2)),0)&lt;SG_Criteria!$B$52),"FAIL: grade below C"&amp;SG_Criteria!$B$52&amp;". ","")&amp;IF(D224="Non-standard (project design)","NOTE: not an SDRE standard, needs LTA acceptance. ",""))=0,"OK",IF(AND(C224&lt;&gt;"High Covered Linkway",F224&lt;SG_Criteria!$B$46),"FAIL: headroom below "&amp;SG_Criteria!$B$46&amp;" m. ","")&amp;IF(AND(C224="High Covered Linkway",F224&lt;SG_Criteria!$B$47),"FAIL: high linkway headroom below "&amp;SG_Criteria!$B$47&amp;" m. ","")&amp;IF(E224&lt;SG_Criteria!$B$48,"FAIL: roof width below "&amp;SG_Criteria!$B$48&amp;" m. ",IF(E224&lt;SG_Criteria!$B$49,"NOTE: not for MRT/LRT or high-traffic routes (min "&amp;SG_Criteria!$B$49&amp;" m). ",""))&amp;IF(AND(P224&lt;&gt;"",P224&lt;SG_Criteria!$B$50),"FAIL: wind speed below "&amp;SG_Criteria!$B$50&amp;" m/s. ","")&amp;IF(AND(Q224&lt;&gt;"",Q224&lt;SG_Criteria!$B$51),"FAIL: roof fixing pull-out below "&amp;SG_Criteria!$B$51&amp;" kN. ","")&amp;IF(AND(R224&lt;&gt;"",IFERROR(VALUE(MID(R224,2,2)),0)&lt;SG_Criteria!$B$52),"FAIL: grade below C"&amp;SG_Criteria!$B$52&amp;". ","")&amp;IF(D224="Non-standard (project design)","NOTE: not an SDRE standard, needs LTA acceptance. ","")))</f>
        <v/>
      </c>
      <c r="AP224" s="9"/>
      <c r="AQ224" s="9"/>
      <c r="AR224" s="9"/>
      <c r="AS224" s="9"/>
      <c r="AT224" s="9"/>
      <c r="AU224" s="31"/>
      <c r="AV224" s="10" t="str">
        <f aca="false">IF(C224="","",IF(AND(X224="Approved",ISERROR(SEARCH("FAIL",AO224))),"Y","N"))</f>
        <v/>
      </c>
      <c r="AW224" s="10" t="str">
        <f aca="false">IF(C224="","",C224&amp;"|"&amp;E224&amp;"|"&amp;F224&amp;"|"&amp;AV224)</f>
        <v/>
      </c>
    </row>
    <row r="225" customFormat="false" ht="15" hidden="false" customHeight="false" outlineLevel="0" collapsed="false">
      <c r="A225" s="10" t="str">
        <f aca="false">IF(C225="","","LKW-"&amp;IFERROR(VLOOKUP(C225,Lists!$AQ$4:$AR$17,2,0),"??")&amp;"-W"&amp;TEXT(E225*1000,"0000")&amp;"-H"&amp;TEXT(F225*1000,"0000")&amp;"-B"&amp;TEXT(G225*1000,"0000")&amp;"-"&amp;W225)</f>
        <v/>
      </c>
      <c r="B225" s="10" t="str">
        <f aca="false">IF(C225="","",C225&amp;", "&amp;E225&amp;" m wide, "&amp;F225&amp;" m headroom, "&amp;G225&amp;" m bays, "&amp;H225&amp;" ("&amp;D225&amp;")")</f>
        <v/>
      </c>
      <c r="C225" s="9"/>
      <c r="D225" s="9"/>
      <c r="E225" s="43"/>
      <c r="F225" s="43"/>
      <c r="G225" s="43"/>
      <c r="H225" s="9"/>
      <c r="I225" s="9"/>
      <c r="J225" s="9"/>
      <c r="K225" s="9"/>
      <c r="L225" s="9"/>
      <c r="M225" s="9"/>
      <c r="N225" s="9"/>
      <c r="O225" s="9"/>
      <c r="P225" s="40"/>
      <c r="Q225" s="43"/>
      <c r="R225" s="9"/>
      <c r="S225" s="9"/>
      <c r="T225" s="9"/>
      <c r="U225" s="43"/>
      <c r="V225" s="9"/>
      <c r="W225" s="9"/>
      <c r="X225" s="9"/>
      <c r="Y225" s="9"/>
      <c r="Z225" s="9"/>
      <c r="AA225" s="9"/>
      <c r="AB225" s="10" t="str">
        <f aca="false">IF(A225="","",SG_Criteria!$B$6&amp;SG_Criteria!$B$12&amp;"\"&amp;A225&amp;"\")</f>
        <v/>
      </c>
      <c r="AC225" s="10" t="str">
        <f aca="false">IF(A225="","",A225&amp;"_CAD.dwg")</f>
        <v/>
      </c>
      <c r="AD225" s="10" t="str">
        <f aca="false">IF(A225="","",A225&amp;"_DWG.pdf")</f>
        <v/>
      </c>
      <c r="AE225" s="10" t="str">
        <f aca="false">IF(A225="","",IF(AA225="Y",A225&amp;"_STAAD.std","n/a"))</f>
        <v/>
      </c>
      <c r="AF225" s="10" t="str">
        <f aca="false">IF(A225="","",A225&amp;"_CALC.xlsx")</f>
        <v/>
      </c>
      <c r="AG225" s="10" t="str">
        <f aca="false">IF(A225="","",A225&amp;"_CALC.pdf")</f>
        <v/>
      </c>
      <c r="AH225" s="9"/>
      <c r="AI225" s="9"/>
      <c r="AJ225" s="41"/>
      <c r="AK225" s="41"/>
      <c r="AL225" s="41"/>
      <c r="AM225" s="41"/>
      <c r="AN225" s="41"/>
      <c r="AO225" s="38" t="str">
        <f aca="false">IF(C225="","",IF(LEN(IF(AND(C225&lt;&gt;"High Covered Linkway",F225&lt;SG_Criteria!$B$46),"FAIL: headroom below "&amp;SG_Criteria!$B$46&amp;" m. ","")&amp;IF(AND(C225="High Covered Linkway",F225&lt;SG_Criteria!$B$47),"FAIL: high linkway headroom below "&amp;SG_Criteria!$B$47&amp;" m. ","")&amp;IF(E225&lt;SG_Criteria!$B$48,"FAIL: roof width below "&amp;SG_Criteria!$B$48&amp;" m. ",IF(E225&lt;SG_Criteria!$B$49,"NOTE: not for MRT/LRT or high-traffic routes (min "&amp;SG_Criteria!$B$49&amp;" m). ",""))&amp;IF(AND(P225&lt;&gt;"",P225&lt;SG_Criteria!$B$50),"FAIL: wind speed below "&amp;SG_Criteria!$B$50&amp;" m/s. ","")&amp;IF(AND(Q225&lt;&gt;"",Q225&lt;SG_Criteria!$B$51),"FAIL: roof fixing pull-out below "&amp;SG_Criteria!$B$51&amp;" kN. ","")&amp;IF(AND(R225&lt;&gt;"",IFERROR(VALUE(MID(R225,2,2)),0)&lt;SG_Criteria!$B$52),"FAIL: grade below C"&amp;SG_Criteria!$B$52&amp;". ","")&amp;IF(D225="Non-standard (project design)","NOTE: not an SDRE standard, needs LTA acceptance. ",""))=0,"OK",IF(AND(C225&lt;&gt;"High Covered Linkway",F225&lt;SG_Criteria!$B$46),"FAIL: headroom below "&amp;SG_Criteria!$B$46&amp;" m. ","")&amp;IF(AND(C225="High Covered Linkway",F225&lt;SG_Criteria!$B$47),"FAIL: high linkway headroom below "&amp;SG_Criteria!$B$47&amp;" m. ","")&amp;IF(E225&lt;SG_Criteria!$B$48,"FAIL: roof width below "&amp;SG_Criteria!$B$48&amp;" m. ",IF(E225&lt;SG_Criteria!$B$49,"NOTE: not for MRT/LRT or high-traffic routes (min "&amp;SG_Criteria!$B$49&amp;" m). ",""))&amp;IF(AND(P225&lt;&gt;"",P225&lt;SG_Criteria!$B$50),"FAIL: wind speed below "&amp;SG_Criteria!$B$50&amp;" m/s. ","")&amp;IF(AND(Q225&lt;&gt;"",Q225&lt;SG_Criteria!$B$51),"FAIL: roof fixing pull-out below "&amp;SG_Criteria!$B$51&amp;" kN. ","")&amp;IF(AND(R225&lt;&gt;"",IFERROR(VALUE(MID(R225,2,2)),0)&lt;SG_Criteria!$B$52),"FAIL: grade below C"&amp;SG_Criteria!$B$52&amp;". ","")&amp;IF(D225="Non-standard (project design)","NOTE: not an SDRE standard, needs LTA acceptance. ","")))</f>
        <v/>
      </c>
      <c r="AP225" s="9"/>
      <c r="AQ225" s="9"/>
      <c r="AR225" s="9"/>
      <c r="AS225" s="9"/>
      <c r="AT225" s="9"/>
      <c r="AU225" s="31"/>
      <c r="AV225" s="10" t="str">
        <f aca="false">IF(C225="","",IF(AND(X225="Approved",ISERROR(SEARCH("FAIL",AO225))),"Y","N"))</f>
        <v/>
      </c>
      <c r="AW225" s="10" t="str">
        <f aca="false">IF(C225="","",C225&amp;"|"&amp;E225&amp;"|"&amp;F225&amp;"|"&amp;AV225)</f>
        <v/>
      </c>
    </row>
    <row r="226" customFormat="false" ht="15" hidden="false" customHeight="false" outlineLevel="0" collapsed="false">
      <c r="A226" s="10" t="str">
        <f aca="false">IF(C226="","","LKW-"&amp;IFERROR(VLOOKUP(C226,Lists!$AQ$4:$AR$17,2,0),"??")&amp;"-W"&amp;TEXT(E226*1000,"0000")&amp;"-H"&amp;TEXT(F226*1000,"0000")&amp;"-B"&amp;TEXT(G226*1000,"0000")&amp;"-"&amp;W226)</f>
        <v/>
      </c>
      <c r="B226" s="10" t="str">
        <f aca="false">IF(C226="","",C226&amp;", "&amp;E226&amp;" m wide, "&amp;F226&amp;" m headroom, "&amp;G226&amp;" m bays, "&amp;H226&amp;" ("&amp;D226&amp;")")</f>
        <v/>
      </c>
      <c r="C226" s="9"/>
      <c r="D226" s="9"/>
      <c r="E226" s="43"/>
      <c r="F226" s="43"/>
      <c r="G226" s="43"/>
      <c r="H226" s="9"/>
      <c r="I226" s="9"/>
      <c r="J226" s="9"/>
      <c r="K226" s="9"/>
      <c r="L226" s="9"/>
      <c r="M226" s="9"/>
      <c r="N226" s="9"/>
      <c r="O226" s="9"/>
      <c r="P226" s="40"/>
      <c r="Q226" s="43"/>
      <c r="R226" s="9"/>
      <c r="S226" s="9"/>
      <c r="T226" s="9"/>
      <c r="U226" s="43"/>
      <c r="V226" s="9"/>
      <c r="W226" s="9"/>
      <c r="X226" s="9"/>
      <c r="Y226" s="9"/>
      <c r="Z226" s="9"/>
      <c r="AA226" s="9"/>
      <c r="AB226" s="10" t="str">
        <f aca="false">IF(A226="","",SG_Criteria!$B$6&amp;SG_Criteria!$B$12&amp;"\"&amp;A226&amp;"\")</f>
        <v/>
      </c>
      <c r="AC226" s="10" t="str">
        <f aca="false">IF(A226="","",A226&amp;"_CAD.dwg")</f>
        <v/>
      </c>
      <c r="AD226" s="10" t="str">
        <f aca="false">IF(A226="","",A226&amp;"_DWG.pdf")</f>
        <v/>
      </c>
      <c r="AE226" s="10" t="str">
        <f aca="false">IF(A226="","",IF(AA226="Y",A226&amp;"_STAAD.std","n/a"))</f>
        <v/>
      </c>
      <c r="AF226" s="10" t="str">
        <f aca="false">IF(A226="","",A226&amp;"_CALC.xlsx")</f>
        <v/>
      </c>
      <c r="AG226" s="10" t="str">
        <f aca="false">IF(A226="","",A226&amp;"_CALC.pdf")</f>
        <v/>
      </c>
      <c r="AH226" s="9"/>
      <c r="AI226" s="9"/>
      <c r="AJ226" s="41"/>
      <c r="AK226" s="41"/>
      <c r="AL226" s="41"/>
      <c r="AM226" s="41"/>
      <c r="AN226" s="41"/>
      <c r="AO226" s="38" t="str">
        <f aca="false">IF(C226="","",IF(LEN(IF(AND(C226&lt;&gt;"High Covered Linkway",F226&lt;SG_Criteria!$B$46),"FAIL: headroom below "&amp;SG_Criteria!$B$46&amp;" m. ","")&amp;IF(AND(C226="High Covered Linkway",F226&lt;SG_Criteria!$B$47),"FAIL: high linkway headroom below "&amp;SG_Criteria!$B$47&amp;" m. ","")&amp;IF(E226&lt;SG_Criteria!$B$48,"FAIL: roof width below "&amp;SG_Criteria!$B$48&amp;" m. ",IF(E226&lt;SG_Criteria!$B$49,"NOTE: not for MRT/LRT or high-traffic routes (min "&amp;SG_Criteria!$B$49&amp;" m). ",""))&amp;IF(AND(P226&lt;&gt;"",P226&lt;SG_Criteria!$B$50),"FAIL: wind speed below "&amp;SG_Criteria!$B$50&amp;" m/s. ","")&amp;IF(AND(Q226&lt;&gt;"",Q226&lt;SG_Criteria!$B$51),"FAIL: roof fixing pull-out below "&amp;SG_Criteria!$B$51&amp;" kN. ","")&amp;IF(AND(R226&lt;&gt;"",IFERROR(VALUE(MID(R226,2,2)),0)&lt;SG_Criteria!$B$52),"FAIL: grade below C"&amp;SG_Criteria!$B$52&amp;". ","")&amp;IF(D226="Non-standard (project design)","NOTE: not an SDRE standard, needs LTA acceptance. ",""))=0,"OK",IF(AND(C226&lt;&gt;"High Covered Linkway",F226&lt;SG_Criteria!$B$46),"FAIL: headroom below "&amp;SG_Criteria!$B$46&amp;" m. ","")&amp;IF(AND(C226="High Covered Linkway",F226&lt;SG_Criteria!$B$47),"FAIL: high linkway headroom below "&amp;SG_Criteria!$B$47&amp;" m. ","")&amp;IF(E226&lt;SG_Criteria!$B$48,"FAIL: roof width below "&amp;SG_Criteria!$B$48&amp;" m. ",IF(E226&lt;SG_Criteria!$B$49,"NOTE: not for MRT/LRT or high-traffic routes (min "&amp;SG_Criteria!$B$49&amp;" m). ",""))&amp;IF(AND(P226&lt;&gt;"",P226&lt;SG_Criteria!$B$50),"FAIL: wind speed below "&amp;SG_Criteria!$B$50&amp;" m/s. ","")&amp;IF(AND(Q226&lt;&gt;"",Q226&lt;SG_Criteria!$B$51),"FAIL: roof fixing pull-out below "&amp;SG_Criteria!$B$51&amp;" kN. ","")&amp;IF(AND(R226&lt;&gt;"",IFERROR(VALUE(MID(R226,2,2)),0)&lt;SG_Criteria!$B$52),"FAIL: grade below C"&amp;SG_Criteria!$B$52&amp;". ","")&amp;IF(D226="Non-standard (project design)","NOTE: not an SDRE standard, needs LTA acceptance. ","")))</f>
        <v/>
      </c>
      <c r="AP226" s="9"/>
      <c r="AQ226" s="9"/>
      <c r="AR226" s="9"/>
      <c r="AS226" s="9"/>
      <c r="AT226" s="9"/>
      <c r="AU226" s="31"/>
      <c r="AV226" s="10" t="str">
        <f aca="false">IF(C226="","",IF(AND(X226="Approved",ISERROR(SEARCH("FAIL",AO226))),"Y","N"))</f>
        <v/>
      </c>
      <c r="AW226" s="10" t="str">
        <f aca="false">IF(C226="","",C226&amp;"|"&amp;E226&amp;"|"&amp;F226&amp;"|"&amp;AV226)</f>
        <v/>
      </c>
    </row>
    <row r="227" customFormat="false" ht="15" hidden="false" customHeight="false" outlineLevel="0" collapsed="false">
      <c r="A227" s="10" t="str">
        <f aca="false">IF(C227="","","LKW-"&amp;IFERROR(VLOOKUP(C227,Lists!$AQ$4:$AR$17,2,0),"??")&amp;"-W"&amp;TEXT(E227*1000,"0000")&amp;"-H"&amp;TEXT(F227*1000,"0000")&amp;"-B"&amp;TEXT(G227*1000,"0000")&amp;"-"&amp;W227)</f>
        <v/>
      </c>
      <c r="B227" s="10" t="str">
        <f aca="false">IF(C227="","",C227&amp;", "&amp;E227&amp;" m wide, "&amp;F227&amp;" m headroom, "&amp;G227&amp;" m bays, "&amp;H227&amp;" ("&amp;D227&amp;")")</f>
        <v/>
      </c>
      <c r="C227" s="9"/>
      <c r="D227" s="9"/>
      <c r="E227" s="43"/>
      <c r="F227" s="43"/>
      <c r="G227" s="43"/>
      <c r="H227" s="9"/>
      <c r="I227" s="9"/>
      <c r="J227" s="9"/>
      <c r="K227" s="9"/>
      <c r="L227" s="9"/>
      <c r="M227" s="9"/>
      <c r="N227" s="9"/>
      <c r="O227" s="9"/>
      <c r="P227" s="40"/>
      <c r="Q227" s="43"/>
      <c r="R227" s="9"/>
      <c r="S227" s="9"/>
      <c r="T227" s="9"/>
      <c r="U227" s="43"/>
      <c r="V227" s="9"/>
      <c r="W227" s="9"/>
      <c r="X227" s="9"/>
      <c r="Y227" s="9"/>
      <c r="Z227" s="9"/>
      <c r="AA227" s="9"/>
      <c r="AB227" s="10" t="str">
        <f aca="false">IF(A227="","",SG_Criteria!$B$6&amp;SG_Criteria!$B$12&amp;"\"&amp;A227&amp;"\")</f>
        <v/>
      </c>
      <c r="AC227" s="10" t="str">
        <f aca="false">IF(A227="","",A227&amp;"_CAD.dwg")</f>
        <v/>
      </c>
      <c r="AD227" s="10" t="str">
        <f aca="false">IF(A227="","",A227&amp;"_DWG.pdf")</f>
        <v/>
      </c>
      <c r="AE227" s="10" t="str">
        <f aca="false">IF(A227="","",IF(AA227="Y",A227&amp;"_STAAD.std","n/a"))</f>
        <v/>
      </c>
      <c r="AF227" s="10" t="str">
        <f aca="false">IF(A227="","",A227&amp;"_CALC.xlsx")</f>
        <v/>
      </c>
      <c r="AG227" s="10" t="str">
        <f aca="false">IF(A227="","",A227&amp;"_CALC.pdf")</f>
        <v/>
      </c>
      <c r="AH227" s="9"/>
      <c r="AI227" s="9"/>
      <c r="AJ227" s="41"/>
      <c r="AK227" s="41"/>
      <c r="AL227" s="41"/>
      <c r="AM227" s="41"/>
      <c r="AN227" s="41"/>
      <c r="AO227" s="38" t="str">
        <f aca="false">IF(C227="","",IF(LEN(IF(AND(C227&lt;&gt;"High Covered Linkway",F227&lt;SG_Criteria!$B$46),"FAIL: headroom below "&amp;SG_Criteria!$B$46&amp;" m. ","")&amp;IF(AND(C227="High Covered Linkway",F227&lt;SG_Criteria!$B$47),"FAIL: high linkway headroom below "&amp;SG_Criteria!$B$47&amp;" m. ","")&amp;IF(E227&lt;SG_Criteria!$B$48,"FAIL: roof width below "&amp;SG_Criteria!$B$48&amp;" m. ",IF(E227&lt;SG_Criteria!$B$49,"NOTE: not for MRT/LRT or high-traffic routes (min "&amp;SG_Criteria!$B$49&amp;" m). ",""))&amp;IF(AND(P227&lt;&gt;"",P227&lt;SG_Criteria!$B$50),"FAIL: wind speed below "&amp;SG_Criteria!$B$50&amp;" m/s. ","")&amp;IF(AND(Q227&lt;&gt;"",Q227&lt;SG_Criteria!$B$51),"FAIL: roof fixing pull-out below "&amp;SG_Criteria!$B$51&amp;" kN. ","")&amp;IF(AND(R227&lt;&gt;"",IFERROR(VALUE(MID(R227,2,2)),0)&lt;SG_Criteria!$B$52),"FAIL: grade below C"&amp;SG_Criteria!$B$52&amp;". ","")&amp;IF(D227="Non-standard (project design)","NOTE: not an SDRE standard, needs LTA acceptance. ",""))=0,"OK",IF(AND(C227&lt;&gt;"High Covered Linkway",F227&lt;SG_Criteria!$B$46),"FAIL: headroom below "&amp;SG_Criteria!$B$46&amp;" m. ","")&amp;IF(AND(C227="High Covered Linkway",F227&lt;SG_Criteria!$B$47),"FAIL: high linkway headroom below "&amp;SG_Criteria!$B$47&amp;" m. ","")&amp;IF(E227&lt;SG_Criteria!$B$48,"FAIL: roof width below "&amp;SG_Criteria!$B$48&amp;" m. ",IF(E227&lt;SG_Criteria!$B$49,"NOTE: not for MRT/LRT or high-traffic routes (min "&amp;SG_Criteria!$B$49&amp;" m). ",""))&amp;IF(AND(P227&lt;&gt;"",P227&lt;SG_Criteria!$B$50),"FAIL: wind speed below "&amp;SG_Criteria!$B$50&amp;" m/s. ","")&amp;IF(AND(Q227&lt;&gt;"",Q227&lt;SG_Criteria!$B$51),"FAIL: roof fixing pull-out below "&amp;SG_Criteria!$B$51&amp;" kN. ","")&amp;IF(AND(R227&lt;&gt;"",IFERROR(VALUE(MID(R227,2,2)),0)&lt;SG_Criteria!$B$52),"FAIL: grade below C"&amp;SG_Criteria!$B$52&amp;". ","")&amp;IF(D227="Non-standard (project design)","NOTE: not an SDRE standard, needs LTA acceptance. ","")))</f>
        <v/>
      </c>
      <c r="AP227" s="9"/>
      <c r="AQ227" s="9"/>
      <c r="AR227" s="9"/>
      <c r="AS227" s="9"/>
      <c r="AT227" s="9"/>
      <c r="AU227" s="31"/>
      <c r="AV227" s="10" t="str">
        <f aca="false">IF(C227="","",IF(AND(X227="Approved",ISERROR(SEARCH("FAIL",AO227))),"Y","N"))</f>
        <v/>
      </c>
      <c r="AW227" s="10" t="str">
        <f aca="false">IF(C227="","",C227&amp;"|"&amp;E227&amp;"|"&amp;F227&amp;"|"&amp;AV227)</f>
        <v/>
      </c>
    </row>
    <row r="228" customFormat="false" ht="15" hidden="false" customHeight="false" outlineLevel="0" collapsed="false">
      <c r="A228" s="10" t="str">
        <f aca="false">IF(C228="","","LKW-"&amp;IFERROR(VLOOKUP(C228,Lists!$AQ$4:$AR$17,2,0),"??")&amp;"-W"&amp;TEXT(E228*1000,"0000")&amp;"-H"&amp;TEXT(F228*1000,"0000")&amp;"-B"&amp;TEXT(G228*1000,"0000")&amp;"-"&amp;W228)</f>
        <v/>
      </c>
      <c r="B228" s="10" t="str">
        <f aca="false">IF(C228="","",C228&amp;", "&amp;E228&amp;" m wide, "&amp;F228&amp;" m headroom, "&amp;G228&amp;" m bays, "&amp;H228&amp;" ("&amp;D228&amp;")")</f>
        <v/>
      </c>
      <c r="C228" s="9"/>
      <c r="D228" s="9"/>
      <c r="E228" s="43"/>
      <c r="F228" s="43"/>
      <c r="G228" s="43"/>
      <c r="H228" s="9"/>
      <c r="I228" s="9"/>
      <c r="J228" s="9"/>
      <c r="K228" s="9"/>
      <c r="L228" s="9"/>
      <c r="M228" s="9"/>
      <c r="N228" s="9"/>
      <c r="O228" s="9"/>
      <c r="P228" s="40"/>
      <c r="Q228" s="43"/>
      <c r="R228" s="9"/>
      <c r="S228" s="9"/>
      <c r="T228" s="9"/>
      <c r="U228" s="43"/>
      <c r="V228" s="9"/>
      <c r="W228" s="9"/>
      <c r="X228" s="9"/>
      <c r="Y228" s="9"/>
      <c r="Z228" s="9"/>
      <c r="AA228" s="9"/>
      <c r="AB228" s="10" t="str">
        <f aca="false">IF(A228="","",SG_Criteria!$B$6&amp;SG_Criteria!$B$12&amp;"\"&amp;A228&amp;"\")</f>
        <v/>
      </c>
      <c r="AC228" s="10" t="str">
        <f aca="false">IF(A228="","",A228&amp;"_CAD.dwg")</f>
        <v/>
      </c>
      <c r="AD228" s="10" t="str">
        <f aca="false">IF(A228="","",A228&amp;"_DWG.pdf")</f>
        <v/>
      </c>
      <c r="AE228" s="10" t="str">
        <f aca="false">IF(A228="","",IF(AA228="Y",A228&amp;"_STAAD.std","n/a"))</f>
        <v/>
      </c>
      <c r="AF228" s="10" t="str">
        <f aca="false">IF(A228="","",A228&amp;"_CALC.xlsx")</f>
        <v/>
      </c>
      <c r="AG228" s="10" t="str">
        <f aca="false">IF(A228="","",A228&amp;"_CALC.pdf")</f>
        <v/>
      </c>
      <c r="AH228" s="9"/>
      <c r="AI228" s="9"/>
      <c r="AJ228" s="41"/>
      <c r="AK228" s="41"/>
      <c r="AL228" s="41"/>
      <c r="AM228" s="41"/>
      <c r="AN228" s="41"/>
      <c r="AO228" s="38" t="str">
        <f aca="false">IF(C228="","",IF(LEN(IF(AND(C228&lt;&gt;"High Covered Linkway",F228&lt;SG_Criteria!$B$46),"FAIL: headroom below "&amp;SG_Criteria!$B$46&amp;" m. ","")&amp;IF(AND(C228="High Covered Linkway",F228&lt;SG_Criteria!$B$47),"FAIL: high linkway headroom below "&amp;SG_Criteria!$B$47&amp;" m. ","")&amp;IF(E228&lt;SG_Criteria!$B$48,"FAIL: roof width below "&amp;SG_Criteria!$B$48&amp;" m. ",IF(E228&lt;SG_Criteria!$B$49,"NOTE: not for MRT/LRT or high-traffic routes (min "&amp;SG_Criteria!$B$49&amp;" m). ",""))&amp;IF(AND(P228&lt;&gt;"",P228&lt;SG_Criteria!$B$50),"FAIL: wind speed below "&amp;SG_Criteria!$B$50&amp;" m/s. ","")&amp;IF(AND(Q228&lt;&gt;"",Q228&lt;SG_Criteria!$B$51),"FAIL: roof fixing pull-out below "&amp;SG_Criteria!$B$51&amp;" kN. ","")&amp;IF(AND(R228&lt;&gt;"",IFERROR(VALUE(MID(R228,2,2)),0)&lt;SG_Criteria!$B$52),"FAIL: grade below C"&amp;SG_Criteria!$B$52&amp;". ","")&amp;IF(D228="Non-standard (project design)","NOTE: not an SDRE standard, needs LTA acceptance. ",""))=0,"OK",IF(AND(C228&lt;&gt;"High Covered Linkway",F228&lt;SG_Criteria!$B$46),"FAIL: headroom below "&amp;SG_Criteria!$B$46&amp;" m. ","")&amp;IF(AND(C228="High Covered Linkway",F228&lt;SG_Criteria!$B$47),"FAIL: high linkway headroom below "&amp;SG_Criteria!$B$47&amp;" m. ","")&amp;IF(E228&lt;SG_Criteria!$B$48,"FAIL: roof width below "&amp;SG_Criteria!$B$48&amp;" m. ",IF(E228&lt;SG_Criteria!$B$49,"NOTE: not for MRT/LRT or high-traffic routes (min "&amp;SG_Criteria!$B$49&amp;" m). ",""))&amp;IF(AND(P228&lt;&gt;"",P228&lt;SG_Criteria!$B$50),"FAIL: wind speed below "&amp;SG_Criteria!$B$50&amp;" m/s. ","")&amp;IF(AND(Q228&lt;&gt;"",Q228&lt;SG_Criteria!$B$51),"FAIL: roof fixing pull-out below "&amp;SG_Criteria!$B$51&amp;" kN. ","")&amp;IF(AND(R228&lt;&gt;"",IFERROR(VALUE(MID(R228,2,2)),0)&lt;SG_Criteria!$B$52),"FAIL: grade below C"&amp;SG_Criteria!$B$52&amp;". ","")&amp;IF(D228="Non-standard (project design)","NOTE: not an SDRE standard, needs LTA acceptance. ","")))</f>
        <v/>
      </c>
      <c r="AP228" s="9"/>
      <c r="AQ228" s="9"/>
      <c r="AR228" s="9"/>
      <c r="AS228" s="9"/>
      <c r="AT228" s="9"/>
      <c r="AU228" s="31"/>
      <c r="AV228" s="10" t="str">
        <f aca="false">IF(C228="","",IF(AND(X228="Approved",ISERROR(SEARCH("FAIL",AO228))),"Y","N"))</f>
        <v/>
      </c>
      <c r="AW228" s="10" t="str">
        <f aca="false">IF(C228="","",C228&amp;"|"&amp;E228&amp;"|"&amp;F228&amp;"|"&amp;AV228)</f>
        <v/>
      </c>
    </row>
    <row r="229" customFormat="false" ht="15" hidden="false" customHeight="false" outlineLevel="0" collapsed="false">
      <c r="A229" s="10" t="str">
        <f aca="false">IF(C229="","","LKW-"&amp;IFERROR(VLOOKUP(C229,Lists!$AQ$4:$AR$17,2,0),"??")&amp;"-W"&amp;TEXT(E229*1000,"0000")&amp;"-H"&amp;TEXT(F229*1000,"0000")&amp;"-B"&amp;TEXT(G229*1000,"0000")&amp;"-"&amp;W229)</f>
        <v/>
      </c>
      <c r="B229" s="10" t="str">
        <f aca="false">IF(C229="","",C229&amp;", "&amp;E229&amp;" m wide, "&amp;F229&amp;" m headroom, "&amp;G229&amp;" m bays, "&amp;H229&amp;" ("&amp;D229&amp;")")</f>
        <v/>
      </c>
      <c r="C229" s="9"/>
      <c r="D229" s="9"/>
      <c r="E229" s="43"/>
      <c r="F229" s="43"/>
      <c r="G229" s="43"/>
      <c r="H229" s="9"/>
      <c r="I229" s="9"/>
      <c r="J229" s="9"/>
      <c r="K229" s="9"/>
      <c r="L229" s="9"/>
      <c r="M229" s="9"/>
      <c r="N229" s="9"/>
      <c r="O229" s="9"/>
      <c r="P229" s="40"/>
      <c r="Q229" s="43"/>
      <c r="R229" s="9"/>
      <c r="S229" s="9"/>
      <c r="T229" s="9"/>
      <c r="U229" s="43"/>
      <c r="V229" s="9"/>
      <c r="W229" s="9"/>
      <c r="X229" s="9"/>
      <c r="Y229" s="9"/>
      <c r="Z229" s="9"/>
      <c r="AA229" s="9"/>
      <c r="AB229" s="10" t="str">
        <f aca="false">IF(A229="","",SG_Criteria!$B$6&amp;SG_Criteria!$B$12&amp;"\"&amp;A229&amp;"\")</f>
        <v/>
      </c>
      <c r="AC229" s="10" t="str">
        <f aca="false">IF(A229="","",A229&amp;"_CAD.dwg")</f>
        <v/>
      </c>
      <c r="AD229" s="10" t="str">
        <f aca="false">IF(A229="","",A229&amp;"_DWG.pdf")</f>
        <v/>
      </c>
      <c r="AE229" s="10" t="str">
        <f aca="false">IF(A229="","",IF(AA229="Y",A229&amp;"_STAAD.std","n/a"))</f>
        <v/>
      </c>
      <c r="AF229" s="10" t="str">
        <f aca="false">IF(A229="","",A229&amp;"_CALC.xlsx")</f>
        <v/>
      </c>
      <c r="AG229" s="10" t="str">
        <f aca="false">IF(A229="","",A229&amp;"_CALC.pdf")</f>
        <v/>
      </c>
      <c r="AH229" s="9"/>
      <c r="AI229" s="9"/>
      <c r="AJ229" s="41"/>
      <c r="AK229" s="41"/>
      <c r="AL229" s="41"/>
      <c r="AM229" s="41"/>
      <c r="AN229" s="41"/>
      <c r="AO229" s="38" t="str">
        <f aca="false">IF(C229="","",IF(LEN(IF(AND(C229&lt;&gt;"High Covered Linkway",F229&lt;SG_Criteria!$B$46),"FAIL: headroom below "&amp;SG_Criteria!$B$46&amp;" m. ","")&amp;IF(AND(C229="High Covered Linkway",F229&lt;SG_Criteria!$B$47),"FAIL: high linkway headroom below "&amp;SG_Criteria!$B$47&amp;" m. ","")&amp;IF(E229&lt;SG_Criteria!$B$48,"FAIL: roof width below "&amp;SG_Criteria!$B$48&amp;" m. ",IF(E229&lt;SG_Criteria!$B$49,"NOTE: not for MRT/LRT or high-traffic routes (min "&amp;SG_Criteria!$B$49&amp;" m). ",""))&amp;IF(AND(P229&lt;&gt;"",P229&lt;SG_Criteria!$B$50),"FAIL: wind speed below "&amp;SG_Criteria!$B$50&amp;" m/s. ","")&amp;IF(AND(Q229&lt;&gt;"",Q229&lt;SG_Criteria!$B$51),"FAIL: roof fixing pull-out below "&amp;SG_Criteria!$B$51&amp;" kN. ","")&amp;IF(AND(R229&lt;&gt;"",IFERROR(VALUE(MID(R229,2,2)),0)&lt;SG_Criteria!$B$52),"FAIL: grade below C"&amp;SG_Criteria!$B$52&amp;". ","")&amp;IF(D229="Non-standard (project design)","NOTE: not an SDRE standard, needs LTA acceptance. ",""))=0,"OK",IF(AND(C229&lt;&gt;"High Covered Linkway",F229&lt;SG_Criteria!$B$46),"FAIL: headroom below "&amp;SG_Criteria!$B$46&amp;" m. ","")&amp;IF(AND(C229="High Covered Linkway",F229&lt;SG_Criteria!$B$47),"FAIL: high linkway headroom below "&amp;SG_Criteria!$B$47&amp;" m. ","")&amp;IF(E229&lt;SG_Criteria!$B$48,"FAIL: roof width below "&amp;SG_Criteria!$B$48&amp;" m. ",IF(E229&lt;SG_Criteria!$B$49,"NOTE: not for MRT/LRT or high-traffic routes (min "&amp;SG_Criteria!$B$49&amp;" m). ",""))&amp;IF(AND(P229&lt;&gt;"",P229&lt;SG_Criteria!$B$50),"FAIL: wind speed below "&amp;SG_Criteria!$B$50&amp;" m/s. ","")&amp;IF(AND(Q229&lt;&gt;"",Q229&lt;SG_Criteria!$B$51),"FAIL: roof fixing pull-out below "&amp;SG_Criteria!$B$51&amp;" kN. ","")&amp;IF(AND(R229&lt;&gt;"",IFERROR(VALUE(MID(R229,2,2)),0)&lt;SG_Criteria!$B$52),"FAIL: grade below C"&amp;SG_Criteria!$B$52&amp;". ","")&amp;IF(D229="Non-standard (project design)","NOTE: not an SDRE standard, needs LTA acceptance. ","")))</f>
        <v/>
      </c>
      <c r="AP229" s="9"/>
      <c r="AQ229" s="9"/>
      <c r="AR229" s="9"/>
      <c r="AS229" s="9"/>
      <c r="AT229" s="9"/>
      <c r="AU229" s="31"/>
      <c r="AV229" s="10" t="str">
        <f aca="false">IF(C229="","",IF(AND(X229="Approved",ISERROR(SEARCH("FAIL",AO229))),"Y","N"))</f>
        <v/>
      </c>
      <c r="AW229" s="10" t="str">
        <f aca="false">IF(C229="","",C229&amp;"|"&amp;E229&amp;"|"&amp;F229&amp;"|"&amp;AV229)</f>
        <v/>
      </c>
    </row>
    <row r="230" customFormat="false" ht="15" hidden="false" customHeight="false" outlineLevel="0" collapsed="false">
      <c r="A230" s="10" t="str">
        <f aca="false">IF(C230="","","LKW-"&amp;IFERROR(VLOOKUP(C230,Lists!$AQ$4:$AR$17,2,0),"??")&amp;"-W"&amp;TEXT(E230*1000,"0000")&amp;"-H"&amp;TEXT(F230*1000,"0000")&amp;"-B"&amp;TEXT(G230*1000,"0000")&amp;"-"&amp;W230)</f>
        <v/>
      </c>
      <c r="B230" s="10" t="str">
        <f aca="false">IF(C230="","",C230&amp;", "&amp;E230&amp;" m wide, "&amp;F230&amp;" m headroom, "&amp;G230&amp;" m bays, "&amp;H230&amp;" ("&amp;D230&amp;")")</f>
        <v/>
      </c>
      <c r="C230" s="9"/>
      <c r="D230" s="9"/>
      <c r="E230" s="43"/>
      <c r="F230" s="43"/>
      <c r="G230" s="43"/>
      <c r="H230" s="9"/>
      <c r="I230" s="9"/>
      <c r="J230" s="9"/>
      <c r="K230" s="9"/>
      <c r="L230" s="9"/>
      <c r="M230" s="9"/>
      <c r="N230" s="9"/>
      <c r="O230" s="9"/>
      <c r="P230" s="40"/>
      <c r="Q230" s="43"/>
      <c r="R230" s="9"/>
      <c r="S230" s="9"/>
      <c r="T230" s="9"/>
      <c r="U230" s="43"/>
      <c r="V230" s="9"/>
      <c r="W230" s="9"/>
      <c r="X230" s="9"/>
      <c r="Y230" s="9"/>
      <c r="Z230" s="9"/>
      <c r="AA230" s="9"/>
      <c r="AB230" s="10" t="str">
        <f aca="false">IF(A230="","",SG_Criteria!$B$6&amp;SG_Criteria!$B$12&amp;"\"&amp;A230&amp;"\")</f>
        <v/>
      </c>
      <c r="AC230" s="10" t="str">
        <f aca="false">IF(A230="","",A230&amp;"_CAD.dwg")</f>
        <v/>
      </c>
      <c r="AD230" s="10" t="str">
        <f aca="false">IF(A230="","",A230&amp;"_DWG.pdf")</f>
        <v/>
      </c>
      <c r="AE230" s="10" t="str">
        <f aca="false">IF(A230="","",IF(AA230="Y",A230&amp;"_STAAD.std","n/a"))</f>
        <v/>
      </c>
      <c r="AF230" s="10" t="str">
        <f aca="false">IF(A230="","",A230&amp;"_CALC.xlsx")</f>
        <v/>
      </c>
      <c r="AG230" s="10" t="str">
        <f aca="false">IF(A230="","",A230&amp;"_CALC.pdf")</f>
        <v/>
      </c>
      <c r="AH230" s="9"/>
      <c r="AI230" s="9"/>
      <c r="AJ230" s="41"/>
      <c r="AK230" s="41"/>
      <c r="AL230" s="41"/>
      <c r="AM230" s="41"/>
      <c r="AN230" s="41"/>
      <c r="AO230" s="38" t="str">
        <f aca="false">IF(C230="","",IF(LEN(IF(AND(C230&lt;&gt;"High Covered Linkway",F230&lt;SG_Criteria!$B$46),"FAIL: headroom below "&amp;SG_Criteria!$B$46&amp;" m. ","")&amp;IF(AND(C230="High Covered Linkway",F230&lt;SG_Criteria!$B$47),"FAIL: high linkway headroom below "&amp;SG_Criteria!$B$47&amp;" m. ","")&amp;IF(E230&lt;SG_Criteria!$B$48,"FAIL: roof width below "&amp;SG_Criteria!$B$48&amp;" m. ",IF(E230&lt;SG_Criteria!$B$49,"NOTE: not for MRT/LRT or high-traffic routes (min "&amp;SG_Criteria!$B$49&amp;" m). ",""))&amp;IF(AND(P230&lt;&gt;"",P230&lt;SG_Criteria!$B$50),"FAIL: wind speed below "&amp;SG_Criteria!$B$50&amp;" m/s. ","")&amp;IF(AND(Q230&lt;&gt;"",Q230&lt;SG_Criteria!$B$51),"FAIL: roof fixing pull-out below "&amp;SG_Criteria!$B$51&amp;" kN. ","")&amp;IF(AND(R230&lt;&gt;"",IFERROR(VALUE(MID(R230,2,2)),0)&lt;SG_Criteria!$B$52),"FAIL: grade below C"&amp;SG_Criteria!$B$52&amp;". ","")&amp;IF(D230="Non-standard (project design)","NOTE: not an SDRE standard, needs LTA acceptance. ",""))=0,"OK",IF(AND(C230&lt;&gt;"High Covered Linkway",F230&lt;SG_Criteria!$B$46),"FAIL: headroom below "&amp;SG_Criteria!$B$46&amp;" m. ","")&amp;IF(AND(C230="High Covered Linkway",F230&lt;SG_Criteria!$B$47),"FAIL: high linkway headroom below "&amp;SG_Criteria!$B$47&amp;" m. ","")&amp;IF(E230&lt;SG_Criteria!$B$48,"FAIL: roof width below "&amp;SG_Criteria!$B$48&amp;" m. ",IF(E230&lt;SG_Criteria!$B$49,"NOTE: not for MRT/LRT or high-traffic routes (min "&amp;SG_Criteria!$B$49&amp;" m). ",""))&amp;IF(AND(P230&lt;&gt;"",P230&lt;SG_Criteria!$B$50),"FAIL: wind speed below "&amp;SG_Criteria!$B$50&amp;" m/s. ","")&amp;IF(AND(Q230&lt;&gt;"",Q230&lt;SG_Criteria!$B$51),"FAIL: roof fixing pull-out below "&amp;SG_Criteria!$B$51&amp;" kN. ","")&amp;IF(AND(R230&lt;&gt;"",IFERROR(VALUE(MID(R230,2,2)),0)&lt;SG_Criteria!$B$52),"FAIL: grade below C"&amp;SG_Criteria!$B$52&amp;". ","")&amp;IF(D230="Non-standard (project design)","NOTE: not an SDRE standard, needs LTA acceptance. ","")))</f>
        <v/>
      </c>
      <c r="AP230" s="9"/>
      <c r="AQ230" s="9"/>
      <c r="AR230" s="9"/>
      <c r="AS230" s="9"/>
      <c r="AT230" s="9"/>
      <c r="AU230" s="31"/>
      <c r="AV230" s="10" t="str">
        <f aca="false">IF(C230="","",IF(AND(X230="Approved",ISERROR(SEARCH("FAIL",AO230))),"Y","N"))</f>
        <v/>
      </c>
      <c r="AW230" s="10" t="str">
        <f aca="false">IF(C230="","",C230&amp;"|"&amp;E230&amp;"|"&amp;F230&amp;"|"&amp;AV230)</f>
        <v/>
      </c>
    </row>
    <row r="231" customFormat="false" ht="15" hidden="false" customHeight="false" outlineLevel="0" collapsed="false">
      <c r="A231" s="10" t="str">
        <f aca="false">IF(C231="","","LKW-"&amp;IFERROR(VLOOKUP(C231,Lists!$AQ$4:$AR$17,2,0),"??")&amp;"-W"&amp;TEXT(E231*1000,"0000")&amp;"-H"&amp;TEXT(F231*1000,"0000")&amp;"-B"&amp;TEXT(G231*1000,"0000")&amp;"-"&amp;W231)</f>
        <v/>
      </c>
      <c r="B231" s="10" t="str">
        <f aca="false">IF(C231="","",C231&amp;", "&amp;E231&amp;" m wide, "&amp;F231&amp;" m headroom, "&amp;G231&amp;" m bays, "&amp;H231&amp;" ("&amp;D231&amp;")")</f>
        <v/>
      </c>
      <c r="C231" s="9"/>
      <c r="D231" s="9"/>
      <c r="E231" s="43"/>
      <c r="F231" s="43"/>
      <c r="G231" s="43"/>
      <c r="H231" s="9"/>
      <c r="I231" s="9"/>
      <c r="J231" s="9"/>
      <c r="K231" s="9"/>
      <c r="L231" s="9"/>
      <c r="M231" s="9"/>
      <c r="N231" s="9"/>
      <c r="O231" s="9"/>
      <c r="P231" s="40"/>
      <c r="Q231" s="43"/>
      <c r="R231" s="9"/>
      <c r="S231" s="9"/>
      <c r="T231" s="9"/>
      <c r="U231" s="43"/>
      <c r="V231" s="9"/>
      <c r="W231" s="9"/>
      <c r="X231" s="9"/>
      <c r="Y231" s="9"/>
      <c r="Z231" s="9"/>
      <c r="AA231" s="9"/>
      <c r="AB231" s="10" t="str">
        <f aca="false">IF(A231="","",SG_Criteria!$B$6&amp;SG_Criteria!$B$12&amp;"\"&amp;A231&amp;"\")</f>
        <v/>
      </c>
      <c r="AC231" s="10" t="str">
        <f aca="false">IF(A231="","",A231&amp;"_CAD.dwg")</f>
        <v/>
      </c>
      <c r="AD231" s="10" t="str">
        <f aca="false">IF(A231="","",A231&amp;"_DWG.pdf")</f>
        <v/>
      </c>
      <c r="AE231" s="10" t="str">
        <f aca="false">IF(A231="","",IF(AA231="Y",A231&amp;"_STAAD.std","n/a"))</f>
        <v/>
      </c>
      <c r="AF231" s="10" t="str">
        <f aca="false">IF(A231="","",A231&amp;"_CALC.xlsx")</f>
        <v/>
      </c>
      <c r="AG231" s="10" t="str">
        <f aca="false">IF(A231="","",A231&amp;"_CALC.pdf")</f>
        <v/>
      </c>
      <c r="AH231" s="9"/>
      <c r="AI231" s="9"/>
      <c r="AJ231" s="41"/>
      <c r="AK231" s="41"/>
      <c r="AL231" s="41"/>
      <c r="AM231" s="41"/>
      <c r="AN231" s="41"/>
      <c r="AO231" s="38" t="str">
        <f aca="false">IF(C231="","",IF(LEN(IF(AND(C231&lt;&gt;"High Covered Linkway",F231&lt;SG_Criteria!$B$46),"FAIL: headroom below "&amp;SG_Criteria!$B$46&amp;" m. ","")&amp;IF(AND(C231="High Covered Linkway",F231&lt;SG_Criteria!$B$47),"FAIL: high linkway headroom below "&amp;SG_Criteria!$B$47&amp;" m. ","")&amp;IF(E231&lt;SG_Criteria!$B$48,"FAIL: roof width below "&amp;SG_Criteria!$B$48&amp;" m. ",IF(E231&lt;SG_Criteria!$B$49,"NOTE: not for MRT/LRT or high-traffic routes (min "&amp;SG_Criteria!$B$49&amp;" m). ",""))&amp;IF(AND(P231&lt;&gt;"",P231&lt;SG_Criteria!$B$50),"FAIL: wind speed below "&amp;SG_Criteria!$B$50&amp;" m/s. ","")&amp;IF(AND(Q231&lt;&gt;"",Q231&lt;SG_Criteria!$B$51),"FAIL: roof fixing pull-out below "&amp;SG_Criteria!$B$51&amp;" kN. ","")&amp;IF(AND(R231&lt;&gt;"",IFERROR(VALUE(MID(R231,2,2)),0)&lt;SG_Criteria!$B$52),"FAIL: grade below C"&amp;SG_Criteria!$B$52&amp;". ","")&amp;IF(D231="Non-standard (project design)","NOTE: not an SDRE standard, needs LTA acceptance. ",""))=0,"OK",IF(AND(C231&lt;&gt;"High Covered Linkway",F231&lt;SG_Criteria!$B$46),"FAIL: headroom below "&amp;SG_Criteria!$B$46&amp;" m. ","")&amp;IF(AND(C231="High Covered Linkway",F231&lt;SG_Criteria!$B$47),"FAIL: high linkway headroom below "&amp;SG_Criteria!$B$47&amp;" m. ","")&amp;IF(E231&lt;SG_Criteria!$B$48,"FAIL: roof width below "&amp;SG_Criteria!$B$48&amp;" m. ",IF(E231&lt;SG_Criteria!$B$49,"NOTE: not for MRT/LRT or high-traffic routes (min "&amp;SG_Criteria!$B$49&amp;" m). ",""))&amp;IF(AND(P231&lt;&gt;"",P231&lt;SG_Criteria!$B$50),"FAIL: wind speed below "&amp;SG_Criteria!$B$50&amp;" m/s. ","")&amp;IF(AND(Q231&lt;&gt;"",Q231&lt;SG_Criteria!$B$51),"FAIL: roof fixing pull-out below "&amp;SG_Criteria!$B$51&amp;" kN. ","")&amp;IF(AND(R231&lt;&gt;"",IFERROR(VALUE(MID(R231,2,2)),0)&lt;SG_Criteria!$B$52),"FAIL: grade below C"&amp;SG_Criteria!$B$52&amp;". ","")&amp;IF(D231="Non-standard (project design)","NOTE: not an SDRE standard, needs LTA acceptance. ","")))</f>
        <v/>
      </c>
      <c r="AP231" s="9"/>
      <c r="AQ231" s="9"/>
      <c r="AR231" s="9"/>
      <c r="AS231" s="9"/>
      <c r="AT231" s="9"/>
      <c r="AU231" s="31"/>
      <c r="AV231" s="10" t="str">
        <f aca="false">IF(C231="","",IF(AND(X231="Approved",ISERROR(SEARCH("FAIL",AO231))),"Y","N"))</f>
        <v/>
      </c>
      <c r="AW231" s="10" t="str">
        <f aca="false">IF(C231="","",C231&amp;"|"&amp;E231&amp;"|"&amp;F231&amp;"|"&amp;AV231)</f>
        <v/>
      </c>
    </row>
    <row r="232" customFormat="false" ht="15" hidden="false" customHeight="false" outlineLevel="0" collapsed="false">
      <c r="A232" s="10" t="str">
        <f aca="false">IF(C232="","","LKW-"&amp;IFERROR(VLOOKUP(C232,Lists!$AQ$4:$AR$17,2,0),"??")&amp;"-W"&amp;TEXT(E232*1000,"0000")&amp;"-H"&amp;TEXT(F232*1000,"0000")&amp;"-B"&amp;TEXT(G232*1000,"0000")&amp;"-"&amp;W232)</f>
        <v/>
      </c>
      <c r="B232" s="10" t="str">
        <f aca="false">IF(C232="","",C232&amp;", "&amp;E232&amp;" m wide, "&amp;F232&amp;" m headroom, "&amp;G232&amp;" m bays, "&amp;H232&amp;" ("&amp;D232&amp;")")</f>
        <v/>
      </c>
      <c r="C232" s="9"/>
      <c r="D232" s="9"/>
      <c r="E232" s="43"/>
      <c r="F232" s="43"/>
      <c r="G232" s="43"/>
      <c r="H232" s="9"/>
      <c r="I232" s="9"/>
      <c r="J232" s="9"/>
      <c r="K232" s="9"/>
      <c r="L232" s="9"/>
      <c r="M232" s="9"/>
      <c r="N232" s="9"/>
      <c r="O232" s="9"/>
      <c r="P232" s="40"/>
      <c r="Q232" s="43"/>
      <c r="R232" s="9"/>
      <c r="S232" s="9"/>
      <c r="T232" s="9"/>
      <c r="U232" s="43"/>
      <c r="V232" s="9"/>
      <c r="W232" s="9"/>
      <c r="X232" s="9"/>
      <c r="Y232" s="9"/>
      <c r="Z232" s="9"/>
      <c r="AA232" s="9"/>
      <c r="AB232" s="10" t="str">
        <f aca="false">IF(A232="","",SG_Criteria!$B$6&amp;SG_Criteria!$B$12&amp;"\"&amp;A232&amp;"\")</f>
        <v/>
      </c>
      <c r="AC232" s="10" t="str">
        <f aca="false">IF(A232="","",A232&amp;"_CAD.dwg")</f>
        <v/>
      </c>
      <c r="AD232" s="10" t="str">
        <f aca="false">IF(A232="","",A232&amp;"_DWG.pdf")</f>
        <v/>
      </c>
      <c r="AE232" s="10" t="str">
        <f aca="false">IF(A232="","",IF(AA232="Y",A232&amp;"_STAAD.std","n/a"))</f>
        <v/>
      </c>
      <c r="AF232" s="10" t="str">
        <f aca="false">IF(A232="","",A232&amp;"_CALC.xlsx")</f>
        <v/>
      </c>
      <c r="AG232" s="10" t="str">
        <f aca="false">IF(A232="","",A232&amp;"_CALC.pdf")</f>
        <v/>
      </c>
      <c r="AH232" s="9"/>
      <c r="AI232" s="9"/>
      <c r="AJ232" s="41"/>
      <c r="AK232" s="41"/>
      <c r="AL232" s="41"/>
      <c r="AM232" s="41"/>
      <c r="AN232" s="41"/>
      <c r="AO232" s="38" t="str">
        <f aca="false">IF(C232="","",IF(LEN(IF(AND(C232&lt;&gt;"High Covered Linkway",F232&lt;SG_Criteria!$B$46),"FAIL: headroom below "&amp;SG_Criteria!$B$46&amp;" m. ","")&amp;IF(AND(C232="High Covered Linkway",F232&lt;SG_Criteria!$B$47),"FAIL: high linkway headroom below "&amp;SG_Criteria!$B$47&amp;" m. ","")&amp;IF(E232&lt;SG_Criteria!$B$48,"FAIL: roof width below "&amp;SG_Criteria!$B$48&amp;" m. ",IF(E232&lt;SG_Criteria!$B$49,"NOTE: not for MRT/LRT or high-traffic routes (min "&amp;SG_Criteria!$B$49&amp;" m). ",""))&amp;IF(AND(P232&lt;&gt;"",P232&lt;SG_Criteria!$B$50),"FAIL: wind speed below "&amp;SG_Criteria!$B$50&amp;" m/s. ","")&amp;IF(AND(Q232&lt;&gt;"",Q232&lt;SG_Criteria!$B$51),"FAIL: roof fixing pull-out below "&amp;SG_Criteria!$B$51&amp;" kN. ","")&amp;IF(AND(R232&lt;&gt;"",IFERROR(VALUE(MID(R232,2,2)),0)&lt;SG_Criteria!$B$52),"FAIL: grade below C"&amp;SG_Criteria!$B$52&amp;". ","")&amp;IF(D232="Non-standard (project design)","NOTE: not an SDRE standard, needs LTA acceptance. ",""))=0,"OK",IF(AND(C232&lt;&gt;"High Covered Linkway",F232&lt;SG_Criteria!$B$46),"FAIL: headroom below "&amp;SG_Criteria!$B$46&amp;" m. ","")&amp;IF(AND(C232="High Covered Linkway",F232&lt;SG_Criteria!$B$47),"FAIL: high linkway headroom below "&amp;SG_Criteria!$B$47&amp;" m. ","")&amp;IF(E232&lt;SG_Criteria!$B$48,"FAIL: roof width below "&amp;SG_Criteria!$B$48&amp;" m. ",IF(E232&lt;SG_Criteria!$B$49,"NOTE: not for MRT/LRT or high-traffic routes (min "&amp;SG_Criteria!$B$49&amp;" m). ",""))&amp;IF(AND(P232&lt;&gt;"",P232&lt;SG_Criteria!$B$50),"FAIL: wind speed below "&amp;SG_Criteria!$B$50&amp;" m/s. ","")&amp;IF(AND(Q232&lt;&gt;"",Q232&lt;SG_Criteria!$B$51),"FAIL: roof fixing pull-out below "&amp;SG_Criteria!$B$51&amp;" kN. ","")&amp;IF(AND(R232&lt;&gt;"",IFERROR(VALUE(MID(R232,2,2)),0)&lt;SG_Criteria!$B$52),"FAIL: grade below C"&amp;SG_Criteria!$B$52&amp;". ","")&amp;IF(D232="Non-standard (project design)","NOTE: not an SDRE standard, needs LTA acceptance. ","")))</f>
        <v/>
      </c>
      <c r="AP232" s="9"/>
      <c r="AQ232" s="9"/>
      <c r="AR232" s="9"/>
      <c r="AS232" s="9"/>
      <c r="AT232" s="9"/>
      <c r="AU232" s="31"/>
      <c r="AV232" s="10" t="str">
        <f aca="false">IF(C232="","",IF(AND(X232="Approved",ISERROR(SEARCH("FAIL",AO232))),"Y","N"))</f>
        <v/>
      </c>
      <c r="AW232" s="10" t="str">
        <f aca="false">IF(C232="","",C232&amp;"|"&amp;E232&amp;"|"&amp;F232&amp;"|"&amp;AV232)</f>
        <v/>
      </c>
    </row>
    <row r="233" customFormat="false" ht="15" hidden="false" customHeight="false" outlineLevel="0" collapsed="false">
      <c r="A233" s="10" t="str">
        <f aca="false">IF(C233="","","LKW-"&amp;IFERROR(VLOOKUP(C233,Lists!$AQ$4:$AR$17,2,0),"??")&amp;"-W"&amp;TEXT(E233*1000,"0000")&amp;"-H"&amp;TEXT(F233*1000,"0000")&amp;"-B"&amp;TEXT(G233*1000,"0000")&amp;"-"&amp;W233)</f>
        <v/>
      </c>
      <c r="B233" s="10" t="str">
        <f aca="false">IF(C233="","",C233&amp;", "&amp;E233&amp;" m wide, "&amp;F233&amp;" m headroom, "&amp;G233&amp;" m bays, "&amp;H233&amp;" ("&amp;D233&amp;")")</f>
        <v/>
      </c>
      <c r="C233" s="9"/>
      <c r="D233" s="9"/>
      <c r="E233" s="43"/>
      <c r="F233" s="43"/>
      <c r="G233" s="43"/>
      <c r="H233" s="9"/>
      <c r="I233" s="9"/>
      <c r="J233" s="9"/>
      <c r="K233" s="9"/>
      <c r="L233" s="9"/>
      <c r="M233" s="9"/>
      <c r="N233" s="9"/>
      <c r="O233" s="9"/>
      <c r="P233" s="40"/>
      <c r="Q233" s="43"/>
      <c r="R233" s="9"/>
      <c r="S233" s="9"/>
      <c r="T233" s="9"/>
      <c r="U233" s="43"/>
      <c r="V233" s="9"/>
      <c r="W233" s="9"/>
      <c r="X233" s="9"/>
      <c r="Y233" s="9"/>
      <c r="Z233" s="9"/>
      <c r="AA233" s="9"/>
      <c r="AB233" s="10" t="str">
        <f aca="false">IF(A233="","",SG_Criteria!$B$6&amp;SG_Criteria!$B$12&amp;"\"&amp;A233&amp;"\")</f>
        <v/>
      </c>
      <c r="AC233" s="10" t="str">
        <f aca="false">IF(A233="","",A233&amp;"_CAD.dwg")</f>
        <v/>
      </c>
      <c r="AD233" s="10" t="str">
        <f aca="false">IF(A233="","",A233&amp;"_DWG.pdf")</f>
        <v/>
      </c>
      <c r="AE233" s="10" t="str">
        <f aca="false">IF(A233="","",IF(AA233="Y",A233&amp;"_STAAD.std","n/a"))</f>
        <v/>
      </c>
      <c r="AF233" s="10" t="str">
        <f aca="false">IF(A233="","",A233&amp;"_CALC.xlsx")</f>
        <v/>
      </c>
      <c r="AG233" s="10" t="str">
        <f aca="false">IF(A233="","",A233&amp;"_CALC.pdf")</f>
        <v/>
      </c>
      <c r="AH233" s="9"/>
      <c r="AI233" s="9"/>
      <c r="AJ233" s="41"/>
      <c r="AK233" s="41"/>
      <c r="AL233" s="41"/>
      <c r="AM233" s="41"/>
      <c r="AN233" s="41"/>
      <c r="AO233" s="38" t="str">
        <f aca="false">IF(C233="","",IF(LEN(IF(AND(C233&lt;&gt;"High Covered Linkway",F233&lt;SG_Criteria!$B$46),"FAIL: headroom below "&amp;SG_Criteria!$B$46&amp;" m. ","")&amp;IF(AND(C233="High Covered Linkway",F233&lt;SG_Criteria!$B$47),"FAIL: high linkway headroom below "&amp;SG_Criteria!$B$47&amp;" m. ","")&amp;IF(E233&lt;SG_Criteria!$B$48,"FAIL: roof width below "&amp;SG_Criteria!$B$48&amp;" m. ",IF(E233&lt;SG_Criteria!$B$49,"NOTE: not for MRT/LRT or high-traffic routes (min "&amp;SG_Criteria!$B$49&amp;" m). ",""))&amp;IF(AND(P233&lt;&gt;"",P233&lt;SG_Criteria!$B$50),"FAIL: wind speed below "&amp;SG_Criteria!$B$50&amp;" m/s. ","")&amp;IF(AND(Q233&lt;&gt;"",Q233&lt;SG_Criteria!$B$51),"FAIL: roof fixing pull-out below "&amp;SG_Criteria!$B$51&amp;" kN. ","")&amp;IF(AND(R233&lt;&gt;"",IFERROR(VALUE(MID(R233,2,2)),0)&lt;SG_Criteria!$B$52),"FAIL: grade below C"&amp;SG_Criteria!$B$52&amp;". ","")&amp;IF(D233="Non-standard (project design)","NOTE: not an SDRE standard, needs LTA acceptance. ",""))=0,"OK",IF(AND(C233&lt;&gt;"High Covered Linkway",F233&lt;SG_Criteria!$B$46),"FAIL: headroom below "&amp;SG_Criteria!$B$46&amp;" m. ","")&amp;IF(AND(C233="High Covered Linkway",F233&lt;SG_Criteria!$B$47),"FAIL: high linkway headroom below "&amp;SG_Criteria!$B$47&amp;" m. ","")&amp;IF(E233&lt;SG_Criteria!$B$48,"FAIL: roof width below "&amp;SG_Criteria!$B$48&amp;" m. ",IF(E233&lt;SG_Criteria!$B$49,"NOTE: not for MRT/LRT or high-traffic routes (min "&amp;SG_Criteria!$B$49&amp;" m). ",""))&amp;IF(AND(P233&lt;&gt;"",P233&lt;SG_Criteria!$B$50),"FAIL: wind speed below "&amp;SG_Criteria!$B$50&amp;" m/s. ","")&amp;IF(AND(Q233&lt;&gt;"",Q233&lt;SG_Criteria!$B$51),"FAIL: roof fixing pull-out below "&amp;SG_Criteria!$B$51&amp;" kN. ","")&amp;IF(AND(R233&lt;&gt;"",IFERROR(VALUE(MID(R233,2,2)),0)&lt;SG_Criteria!$B$52),"FAIL: grade below C"&amp;SG_Criteria!$B$52&amp;". ","")&amp;IF(D233="Non-standard (project design)","NOTE: not an SDRE standard, needs LTA acceptance. ","")))</f>
        <v/>
      </c>
      <c r="AP233" s="9"/>
      <c r="AQ233" s="9"/>
      <c r="AR233" s="9"/>
      <c r="AS233" s="9"/>
      <c r="AT233" s="9"/>
      <c r="AU233" s="31"/>
      <c r="AV233" s="10" t="str">
        <f aca="false">IF(C233="","",IF(AND(X233="Approved",ISERROR(SEARCH("FAIL",AO233))),"Y","N"))</f>
        <v/>
      </c>
      <c r="AW233" s="10" t="str">
        <f aca="false">IF(C233="","",C233&amp;"|"&amp;E233&amp;"|"&amp;F233&amp;"|"&amp;AV233)</f>
        <v/>
      </c>
    </row>
    <row r="234" customFormat="false" ht="15" hidden="false" customHeight="false" outlineLevel="0" collapsed="false">
      <c r="A234" s="10" t="str">
        <f aca="false">IF(C234="","","LKW-"&amp;IFERROR(VLOOKUP(C234,Lists!$AQ$4:$AR$17,2,0),"??")&amp;"-W"&amp;TEXT(E234*1000,"0000")&amp;"-H"&amp;TEXT(F234*1000,"0000")&amp;"-B"&amp;TEXT(G234*1000,"0000")&amp;"-"&amp;W234)</f>
        <v/>
      </c>
      <c r="B234" s="10" t="str">
        <f aca="false">IF(C234="","",C234&amp;", "&amp;E234&amp;" m wide, "&amp;F234&amp;" m headroom, "&amp;G234&amp;" m bays, "&amp;H234&amp;" ("&amp;D234&amp;")")</f>
        <v/>
      </c>
      <c r="C234" s="9"/>
      <c r="D234" s="9"/>
      <c r="E234" s="43"/>
      <c r="F234" s="43"/>
      <c r="G234" s="43"/>
      <c r="H234" s="9"/>
      <c r="I234" s="9"/>
      <c r="J234" s="9"/>
      <c r="K234" s="9"/>
      <c r="L234" s="9"/>
      <c r="M234" s="9"/>
      <c r="N234" s="9"/>
      <c r="O234" s="9"/>
      <c r="P234" s="40"/>
      <c r="Q234" s="43"/>
      <c r="R234" s="9"/>
      <c r="S234" s="9"/>
      <c r="T234" s="9"/>
      <c r="U234" s="43"/>
      <c r="V234" s="9"/>
      <c r="W234" s="9"/>
      <c r="X234" s="9"/>
      <c r="Y234" s="9"/>
      <c r="Z234" s="9"/>
      <c r="AA234" s="9"/>
      <c r="AB234" s="10" t="str">
        <f aca="false">IF(A234="","",SG_Criteria!$B$6&amp;SG_Criteria!$B$12&amp;"\"&amp;A234&amp;"\")</f>
        <v/>
      </c>
      <c r="AC234" s="10" t="str">
        <f aca="false">IF(A234="","",A234&amp;"_CAD.dwg")</f>
        <v/>
      </c>
      <c r="AD234" s="10" t="str">
        <f aca="false">IF(A234="","",A234&amp;"_DWG.pdf")</f>
        <v/>
      </c>
      <c r="AE234" s="10" t="str">
        <f aca="false">IF(A234="","",IF(AA234="Y",A234&amp;"_STAAD.std","n/a"))</f>
        <v/>
      </c>
      <c r="AF234" s="10" t="str">
        <f aca="false">IF(A234="","",A234&amp;"_CALC.xlsx")</f>
        <v/>
      </c>
      <c r="AG234" s="10" t="str">
        <f aca="false">IF(A234="","",A234&amp;"_CALC.pdf")</f>
        <v/>
      </c>
      <c r="AH234" s="9"/>
      <c r="AI234" s="9"/>
      <c r="AJ234" s="41"/>
      <c r="AK234" s="41"/>
      <c r="AL234" s="41"/>
      <c r="AM234" s="41"/>
      <c r="AN234" s="41"/>
      <c r="AO234" s="38" t="str">
        <f aca="false">IF(C234="","",IF(LEN(IF(AND(C234&lt;&gt;"High Covered Linkway",F234&lt;SG_Criteria!$B$46),"FAIL: headroom below "&amp;SG_Criteria!$B$46&amp;" m. ","")&amp;IF(AND(C234="High Covered Linkway",F234&lt;SG_Criteria!$B$47),"FAIL: high linkway headroom below "&amp;SG_Criteria!$B$47&amp;" m. ","")&amp;IF(E234&lt;SG_Criteria!$B$48,"FAIL: roof width below "&amp;SG_Criteria!$B$48&amp;" m. ",IF(E234&lt;SG_Criteria!$B$49,"NOTE: not for MRT/LRT or high-traffic routes (min "&amp;SG_Criteria!$B$49&amp;" m). ",""))&amp;IF(AND(P234&lt;&gt;"",P234&lt;SG_Criteria!$B$50),"FAIL: wind speed below "&amp;SG_Criteria!$B$50&amp;" m/s. ","")&amp;IF(AND(Q234&lt;&gt;"",Q234&lt;SG_Criteria!$B$51),"FAIL: roof fixing pull-out below "&amp;SG_Criteria!$B$51&amp;" kN. ","")&amp;IF(AND(R234&lt;&gt;"",IFERROR(VALUE(MID(R234,2,2)),0)&lt;SG_Criteria!$B$52),"FAIL: grade below C"&amp;SG_Criteria!$B$52&amp;". ","")&amp;IF(D234="Non-standard (project design)","NOTE: not an SDRE standard, needs LTA acceptance. ",""))=0,"OK",IF(AND(C234&lt;&gt;"High Covered Linkway",F234&lt;SG_Criteria!$B$46),"FAIL: headroom below "&amp;SG_Criteria!$B$46&amp;" m. ","")&amp;IF(AND(C234="High Covered Linkway",F234&lt;SG_Criteria!$B$47),"FAIL: high linkway headroom below "&amp;SG_Criteria!$B$47&amp;" m. ","")&amp;IF(E234&lt;SG_Criteria!$B$48,"FAIL: roof width below "&amp;SG_Criteria!$B$48&amp;" m. ",IF(E234&lt;SG_Criteria!$B$49,"NOTE: not for MRT/LRT or high-traffic routes (min "&amp;SG_Criteria!$B$49&amp;" m). ",""))&amp;IF(AND(P234&lt;&gt;"",P234&lt;SG_Criteria!$B$50),"FAIL: wind speed below "&amp;SG_Criteria!$B$50&amp;" m/s. ","")&amp;IF(AND(Q234&lt;&gt;"",Q234&lt;SG_Criteria!$B$51),"FAIL: roof fixing pull-out below "&amp;SG_Criteria!$B$51&amp;" kN. ","")&amp;IF(AND(R234&lt;&gt;"",IFERROR(VALUE(MID(R234,2,2)),0)&lt;SG_Criteria!$B$52),"FAIL: grade below C"&amp;SG_Criteria!$B$52&amp;". ","")&amp;IF(D234="Non-standard (project design)","NOTE: not an SDRE standard, needs LTA acceptance. ","")))</f>
        <v/>
      </c>
      <c r="AP234" s="9"/>
      <c r="AQ234" s="9"/>
      <c r="AR234" s="9"/>
      <c r="AS234" s="9"/>
      <c r="AT234" s="9"/>
      <c r="AU234" s="31"/>
      <c r="AV234" s="10" t="str">
        <f aca="false">IF(C234="","",IF(AND(X234="Approved",ISERROR(SEARCH("FAIL",AO234))),"Y","N"))</f>
        <v/>
      </c>
      <c r="AW234" s="10" t="str">
        <f aca="false">IF(C234="","",C234&amp;"|"&amp;E234&amp;"|"&amp;F234&amp;"|"&amp;AV234)</f>
        <v/>
      </c>
    </row>
    <row r="235" customFormat="false" ht="15" hidden="false" customHeight="false" outlineLevel="0" collapsed="false">
      <c r="A235" s="10" t="str">
        <f aca="false">IF(C235="","","LKW-"&amp;IFERROR(VLOOKUP(C235,Lists!$AQ$4:$AR$17,2,0),"??")&amp;"-W"&amp;TEXT(E235*1000,"0000")&amp;"-H"&amp;TEXT(F235*1000,"0000")&amp;"-B"&amp;TEXT(G235*1000,"0000")&amp;"-"&amp;W235)</f>
        <v/>
      </c>
      <c r="B235" s="10" t="str">
        <f aca="false">IF(C235="","",C235&amp;", "&amp;E235&amp;" m wide, "&amp;F235&amp;" m headroom, "&amp;G235&amp;" m bays, "&amp;H235&amp;" ("&amp;D235&amp;")")</f>
        <v/>
      </c>
      <c r="C235" s="9"/>
      <c r="D235" s="9"/>
      <c r="E235" s="43"/>
      <c r="F235" s="43"/>
      <c r="G235" s="43"/>
      <c r="H235" s="9"/>
      <c r="I235" s="9"/>
      <c r="J235" s="9"/>
      <c r="K235" s="9"/>
      <c r="L235" s="9"/>
      <c r="M235" s="9"/>
      <c r="N235" s="9"/>
      <c r="O235" s="9"/>
      <c r="P235" s="40"/>
      <c r="Q235" s="43"/>
      <c r="R235" s="9"/>
      <c r="S235" s="9"/>
      <c r="T235" s="9"/>
      <c r="U235" s="43"/>
      <c r="V235" s="9"/>
      <c r="W235" s="9"/>
      <c r="X235" s="9"/>
      <c r="Y235" s="9"/>
      <c r="Z235" s="9"/>
      <c r="AA235" s="9"/>
      <c r="AB235" s="10" t="str">
        <f aca="false">IF(A235="","",SG_Criteria!$B$6&amp;SG_Criteria!$B$12&amp;"\"&amp;A235&amp;"\")</f>
        <v/>
      </c>
      <c r="AC235" s="10" t="str">
        <f aca="false">IF(A235="","",A235&amp;"_CAD.dwg")</f>
        <v/>
      </c>
      <c r="AD235" s="10" t="str">
        <f aca="false">IF(A235="","",A235&amp;"_DWG.pdf")</f>
        <v/>
      </c>
      <c r="AE235" s="10" t="str">
        <f aca="false">IF(A235="","",IF(AA235="Y",A235&amp;"_STAAD.std","n/a"))</f>
        <v/>
      </c>
      <c r="AF235" s="10" t="str">
        <f aca="false">IF(A235="","",A235&amp;"_CALC.xlsx")</f>
        <v/>
      </c>
      <c r="AG235" s="10" t="str">
        <f aca="false">IF(A235="","",A235&amp;"_CALC.pdf")</f>
        <v/>
      </c>
      <c r="AH235" s="9"/>
      <c r="AI235" s="9"/>
      <c r="AJ235" s="41"/>
      <c r="AK235" s="41"/>
      <c r="AL235" s="41"/>
      <c r="AM235" s="41"/>
      <c r="AN235" s="41"/>
      <c r="AO235" s="38" t="str">
        <f aca="false">IF(C235="","",IF(LEN(IF(AND(C235&lt;&gt;"High Covered Linkway",F235&lt;SG_Criteria!$B$46),"FAIL: headroom below "&amp;SG_Criteria!$B$46&amp;" m. ","")&amp;IF(AND(C235="High Covered Linkway",F235&lt;SG_Criteria!$B$47),"FAIL: high linkway headroom below "&amp;SG_Criteria!$B$47&amp;" m. ","")&amp;IF(E235&lt;SG_Criteria!$B$48,"FAIL: roof width below "&amp;SG_Criteria!$B$48&amp;" m. ",IF(E235&lt;SG_Criteria!$B$49,"NOTE: not for MRT/LRT or high-traffic routes (min "&amp;SG_Criteria!$B$49&amp;" m). ",""))&amp;IF(AND(P235&lt;&gt;"",P235&lt;SG_Criteria!$B$50),"FAIL: wind speed below "&amp;SG_Criteria!$B$50&amp;" m/s. ","")&amp;IF(AND(Q235&lt;&gt;"",Q235&lt;SG_Criteria!$B$51),"FAIL: roof fixing pull-out below "&amp;SG_Criteria!$B$51&amp;" kN. ","")&amp;IF(AND(R235&lt;&gt;"",IFERROR(VALUE(MID(R235,2,2)),0)&lt;SG_Criteria!$B$52),"FAIL: grade below C"&amp;SG_Criteria!$B$52&amp;". ","")&amp;IF(D235="Non-standard (project design)","NOTE: not an SDRE standard, needs LTA acceptance. ",""))=0,"OK",IF(AND(C235&lt;&gt;"High Covered Linkway",F235&lt;SG_Criteria!$B$46),"FAIL: headroom below "&amp;SG_Criteria!$B$46&amp;" m. ","")&amp;IF(AND(C235="High Covered Linkway",F235&lt;SG_Criteria!$B$47),"FAIL: high linkway headroom below "&amp;SG_Criteria!$B$47&amp;" m. ","")&amp;IF(E235&lt;SG_Criteria!$B$48,"FAIL: roof width below "&amp;SG_Criteria!$B$48&amp;" m. ",IF(E235&lt;SG_Criteria!$B$49,"NOTE: not for MRT/LRT or high-traffic routes (min "&amp;SG_Criteria!$B$49&amp;" m). ",""))&amp;IF(AND(P235&lt;&gt;"",P235&lt;SG_Criteria!$B$50),"FAIL: wind speed below "&amp;SG_Criteria!$B$50&amp;" m/s. ","")&amp;IF(AND(Q235&lt;&gt;"",Q235&lt;SG_Criteria!$B$51),"FAIL: roof fixing pull-out below "&amp;SG_Criteria!$B$51&amp;" kN. ","")&amp;IF(AND(R235&lt;&gt;"",IFERROR(VALUE(MID(R235,2,2)),0)&lt;SG_Criteria!$B$52),"FAIL: grade below C"&amp;SG_Criteria!$B$52&amp;". ","")&amp;IF(D235="Non-standard (project design)","NOTE: not an SDRE standard, needs LTA acceptance. ","")))</f>
        <v/>
      </c>
      <c r="AP235" s="9"/>
      <c r="AQ235" s="9"/>
      <c r="AR235" s="9"/>
      <c r="AS235" s="9"/>
      <c r="AT235" s="9"/>
      <c r="AU235" s="31"/>
      <c r="AV235" s="10" t="str">
        <f aca="false">IF(C235="","",IF(AND(X235="Approved",ISERROR(SEARCH("FAIL",AO235))),"Y","N"))</f>
        <v/>
      </c>
      <c r="AW235" s="10" t="str">
        <f aca="false">IF(C235="","",C235&amp;"|"&amp;E235&amp;"|"&amp;F235&amp;"|"&amp;AV235)</f>
        <v/>
      </c>
    </row>
    <row r="236" customFormat="false" ht="15" hidden="false" customHeight="false" outlineLevel="0" collapsed="false">
      <c r="A236" s="10" t="str">
        <f aca="false">IF(C236="","","LKW-"&amp;IFERROR(VLOOKUP(C236,Lists!$AQ$4:$AR$17,2,0),"??")&amp;"-W"&amp;TEXT(E236*1000,"0000")&amp;"-H"&amp;TEXT(F236*1000,"0000")&amp;"-B"&amp;TEXT(G236*1000,"0000")&amp;"-"&amp;W236)</f>
        <v/>
      </c>
      <c r="B236" s="10" t="str">
        <f aca="false">IF(C236="","",C236&amp;", "&amp;E236&amp;" m wide, "&amp;F236&amp;" m headroom, "&amp;G236&amp;" m bays, "&amp;H236&amp;" ("&amp;D236&amp;")")</f>
        <v/>
      </c>
      <c r="C236" s="9"/>
      <c r="D236" s="9"/>
      <c r="E236" s="43"/>
      <c r="F236" s="43"/>
      <c r="G236" s="43"/>
      <c r="H236" s="9"/>
      <c r="I236" s="9"/>
      <c r="J236" s="9"/>
      <c r="K236" s="9"/>
      <c r="L236" s="9"/>
      <c r="M236" s="9"/>
      <c r="N236" s="9"/>
      <c r="O236" s="9"/>
      <c r="P236" s="40"/>
      <c r="Q236" s="43"/>
      <c r="R236" s="9"/>
      <c r="S236" s="9"/>
      <c r="T236" s="9"/>
      <c r="U236" s="43"/>
      <c r="V236" s="9"/>
      <c r="W236" s="9"/>
      <c r="X236" s="9"/>
      <c r="Y236" s="9"/>
      <c r="Z236" s="9"/>
      <c r="AA236" s="9"/>
      <c r="AB236" s="10" t="str">
        <f aca="false">IF(A236="","",SG_Criteria!$B$6&amp;SG_Criteria!$B$12&amp;"\"&amp;A236&amp;"\")</f>
        <v/>
      </c>
      <c r="AC236" s="10" t="str">
        <f aca="false">IF(A236="","",A236&amp;"_CAD.dwg")</f>
        <v/>
      </c>
      <c r="AD236" s="10" t="str">
        <f aca="false">IF(A236="","",A236&amp;"_DWG.pdf")</f>
        <v/>
      </c>
      <c r="AE236" s="10" t="str">
        <f aca="false">IF(A236="","",IF(AA236="Y",A236&amp;"_STAAD.std","n/a"))</f>
        <v/>
      </c>
      <c r="AF236" s="10" t="str">
        <f aca="false">IF(A236="","",A236&amp;"_CALC.xlsx")</f>
        <v/>
      </c>
      <c r="AG236" s="10" t="str">
        <f aca="false">IF(A236="","",A236&amp;"_CALC.pdf")</f>
        <v/>
      </c>
      <c r="AH236" s="9"/>
      <c r="AI236" s="9"/>
      <c r="AJ236" s="41"/>
      <c r="AK236" s="41"/>
      <c r="AL236" s="41"/>
      <c r="AM236" s="41"/>
      <c r="AN236" s="41"/>
      <c r="AO236" s="38" t="str">
        <f aca="false">IF(C236="","",IF(LEN(IF(AND(C236&lt;&gt;"High Covered Linkway",F236&lt;SG_Criteria!$B$46),"FAIL: headroom below "&amp;SG_Criteria!$B$46&amp;" m. ","")&amp;IF(AND(C236="High Covered Linkway",F236&lt;SG_Criteria!$B$47),"FAIL: high linkway headroom below "&amp;SG_Criteria!$B$47&amp;" m. ","")&amp;IF(E236&lt;SG_Criteria!$B$48,"FAIL: roof width below "&amp;SG_Criteria!$B$48&amp;" m. ",IF(E236&lt;SG_Criteria!$B$49,"NOTE: not for MRT/LRT or high-traffic routes (min "&amp;SG_Criteria!$B$49&amp;" m). ",""))&amp;IF(AND(P236&lt;&gt;"",P236&lt;SG_Criteria!$B$50),"FAIL: wind speed below "&amp;SG_Criteria!$B$50&amp;" m/s. ","")&amp;IF(AND(Q236&lt;&gt;"",Q236&lt;SG_Criteria!$B$51),"FAIL: roof fixing pull-out below "&amp;SG_Criteria!$B$51&amp;" kN. ","")&amp;IF(AND(R236&lt;&gt;"",IFERROR(VALUE(MID(R236,2,2)),0)&lt;SG_Criteria!$B$52),"FAIL: grade below C"&amp;SG_Criteria!$B$52&amp;". ","")&amp;IF(D236="Non-standard (project design)","NOTE: not an SDRE standard, needs LTA acceptance. ",""))=0,"OK",IF(AND(C236&lt;&gt;"High Covered Linkway",F236&lt;SG_Criteria!$B$46),"FAIL: headroom below "&amp;SG_Criteria!$B$46&amp;" m. ","")&amp;IF(AND(C236="High Covered Linkway",F236&lt;SG_Criteria!$B$47),"FAIL: high linkway headroom below "&amp;SG_Criteria!$B$47&amp;" m. ","")&amp;IF(E236&lt;SG_Criteria!$B$48,"FAIL: roof width below "&amp;SG_Criteria!$B$48&amp;" m. ",IF(E236&lt;SG_Criteria!$B$49,"NOTE: not for MRT/LRT or high-traffic routes (min "&amp;SG_Criteria!$B$49&amp;" m). ",""))&amp;IF(AND(P236&lt;&gt;"",P236&lt;SG_Criteria!$B$50),"FAIL: wind speed below "&amp;SG_Criteria!$B$50&amp;" m/s. ","")&amp;IF(AND(Q236&lt;&gt;"",Q236&lt;SG_Criteria!$B$51),"FAIL: roof fixing pull-out below "&amp;SG_Criteria!$B$51&amp;" kN. ","")&amp;IF(AND(R236&lt;&gt;"",IFERROR(VALUE(MID(R236,2,2)),0)&lt;SG_Criteria!$B$52),"FAIL: grade below C"&amp;SG_Criteria!$B$52&amp;". ","")&amp;IF(D236="Non-standard (project design)","NOTE: not an SDRE standard, needs LTA acceptance. ","")))</f>
        <v/>
      </c>
      <c r="AP236" s="9"/>
      <c r="AQ236" s="9"/>
      <c r="AR236" s="9"/>
      <c r="AS236" s="9"/>
      <c r="AT236" s="9"/>
      <c r="AU236" s="31"/>
      <c r="AV236" s="10" t="str">
        <f aca="false">IF(C236="","",IF(AND(X236="Approved",ISERROR(SEARCH("FAIL",AO236))),"Y","N"))</f>
        <v/>
      </c>
      <c r="AW236" s="10" t="str">
        <f aca="false">IF(C236="","",C236&amp;"|"&amp;E236&amp;"|"&amp;F236&amp;"|"&amp;AV236)</f>
        <v/>
      </c>
    </row>
    <row r="237" customFormat="false" ht="15" hidden="false" customHeight="false" outlineLevel="0" collapsed="false">
      <c r="A237" s="10" t="str">
        <f aca="false">IF(C237="","","LKW-"&amp;IFERROR(VLOOKUP(C237,Lists!$AQ$4:$AR$17,2,0),"??")&amp;"-W"&amp;TEXT(E237*1000,"0000")&amp;"-H"&amp;TEXT(F237*1000,"0000")&amp;"-B"&amp;TEXT(G237*1000,"0000")&amp;"-"&amp;W237)</f>
        <v/>
      </c>
      <c r="B237" s="10" t="str">
        <f aca="false">IF(C237="","",C237&amp;", "&amp;E237&amp;" m wide, "&amp;F237&amp;" m headroom, "&amp;G237&amp;" m bays, "&amp;H237&amp;" ("&amp;D237&amp;")")</f>
        <v/>
      </c>
      <c r="C237" s="9"/>
      <c r="D237" s="9"/>
      <c r="E237" s="43"/>
      <c r="F237" s="43"/>
      <c r="G237" s="43"/>
      <c r="H237" s="9"/>
      <c r="I237" s="9"/>
      <c r="J237" s="9"/>
      <c r="K237" s="9"/>
      <c r="L237" s="9"/>
      <c r="M237" s="9"/>
      <c r="N237" s="9"/>
      <c r="O237" s="9"/>
      <c r="P237" s="40"/>
      <c r="Q237" s="43"/>
      <c r="R237" s="9"/>
      <c r="S237" s="9"/>
      <c r="T237" s="9"/>
      <c r="U237" s="43"/>
      <c r="V237" s="9"/>
      <c r="W237" s="9"/>
      <c r="X237" s="9"/>
      <c r="Y237" s="9"/>
      <c r="Z237" s="9"/>
      <c r="AA237" s="9"/>
      <c r="AB237" s="10" t="str">
        <f aca="false">IF(A237="","",SG_Criteria!$B$6&amp;SG_Criteria!$B$12&amp;"\"&amp;A237&amp;"\")</f>
        <v/>
      </c>
      <c r="AC237" s="10" t="str">
        <f aca="false">IF(A237="","",A237&amp;"_CAD.dwg")</f>
        <v/>
      </c>
      <c r="AD237" s="10" t="str">
        <f aca="false">IF(A237="","",A237&amp;"_DWG.pdf")</f>
        <v/>
      </c>
      <c r="AE237" s="10" t="str">
        <f aca="false">IF(A237="","",IF(AA237="Y",A237&amp;"_STAAD.std","n/a"))</f>
        <v/>
      </c>
      <c r="AF237" s="10" t="str">
        <f aca="false">IF(A237="","",A237&amp;"_CALC.xlsx")</f>
        <v/>
      </c>
      <c r="AG237" s="10" t="str">
        <f aca="false">IF(A237="","",A237&amp;"_CALC.pdf")</f>
        <v/>
      </c>
      <c r="AH237" s="9"/>
      <c r="AI237" s="9"/>
      <c r="AJ237" s="41"/>
      <c r="AK237" s="41"/>
      <c r="AL237" s="41"/>
      <c r="AM237" s="41"/>
      <c r="AN237" s="41"/>
      <c r="AO237" s="38" t="str">
        <f aca="false">IF(C237="","",IF(LEN(IF(AND(C237&lt;&gt;"High Covered Linkway",F237&lt;SG_Criteria!$B$46),"FAIL: headroom below "&amp;SG_Criteria!$B$46&amp;" m. ","")&amp;IF(AND(C237="High Covered Linkway",F237&lt;SG_Criteria!$B$47),"FAIL: high linkway headroom below "&amp;SG_Criteria!$B$47&amp;" m. ","")&amp;IF(E237&lt;SG_Criteria!$B$48,"FAIL: roof width below "&amp;SG_Criteria!$B$48&amp;" m. ",IF(E237&lt;SG_Criteria!$B$49,"NOTE: not for MRT/LRT or high-traffic routes (min "&amp;SG_Criteria!$B$49&amp;" m). ",""))&amp;IF(AND(P237&lt;&gt;"",P237&lt;SG_Criteria!$B$50),"FAIL: wind speed below "&amp;SG_Criteria!$B$50&amp;" m/s. ","")&amp;IF(AND(Q237&lt;&gt;"",Q237&lt;SG_Criteria!$B$51),"FAIL: roof fixing pull-out below "&amp;SG_Criteria!$B$51&amp;" kN. ","")&amp;IF(AND(R237&lt;&gt;"",IFERROR(VALUE(MID(R237,2,2)),0)&lt;SG_Criteria!$B$52),"FAIL: grade below C"&amp;SG_Criteria!$B$52&amp;". ","")&amp;IF(D237="Non-standard (project design)","NOTE: not an SDRE standard, needs LTA acceptance. ",""))=0,"OK",IF(AND(C237&lt;&gt;"High Covered Linkway",F237&lt;SG_Criteria!$B$46),"FAIL: headroom below "&amp;SG_Criteria!$B$46&amp;" m. ","")&amp;IF(AND(C237="High Covered Linkway",F237&lt;SG_Criteria!$B$47),"FAIL: high linkway headroom below "&amp;SG_Criteria!$B$47&amp;" m. ","")&amp;IF(E237&lt;SG_Criteria!$B$48,"FAIL: roof width below "&amp;SG_Criteria!$B$48&amp;" m. ",IF(E237&lt;SG_Criteria!$B$49,"NOTE: not for MRT/LRT or high-traffic routes (min "&amp;SG_Criteria!$B$49&amp;" m). ",""))&amp;IF(AND(P237&lt;&gt;"",P237&lt;SG_Criteria!$B$50),"FAIL: wind speed below "&amp;SG_Criteria!$B$50&amp;" m/s. ","")&amp;IF(AND(Q237&lt;&gt;"",Q237&lt;SG_Criteria!$B$51),"FAIL: roof fixing pull-out below "&amp;SG_Criteria!$B$51&amp;" kN. ","")&amp;IF(AND(R237&lt;&gt;"",IFERROR(VALUE(MID(R237,2,2)),0)&lt;SG_Criteria!$B$52),"FAIL: grade below C"&amp;SG_Criteria!$B$52&amp;". ","")&amp;IF(D237="Non-standard (project design)","NOTE: not an SDRE standard, needs LTA acceptance. ","")))</f>
        <v/>
      </c>
      <c r="AP237" s="9"/>
      <c r="AQ237" s="9"/>
      <c r="AR237" s="9"/>
      <c r="AS237" s="9"/>
      <c r="AT237" s="9"/>
      <c r="AU237" s="31"/>
      <c r="AV237" s="10" t="str">
        <f aca="false">IF(C237="","",IF(AND(X237="Approved",ISERROR(SEARCH("FAIL",AO237))),"Y","N"))</f>
        <v/>
      </c>
      <c r="AW237" s="10" t="str">
        <f aca="false">IF(C237="","",C237&amp;"|"&amp;E237&amp;"|"&amp;F237&amp;"|"&amp;AV237)</f>
        <v/>
      </c>
    </row>
    <row r="238" customFormat="false" ht="15" hidden="false" customHeight="false" outlineLevel="0" collapsed="false">
      <c r="A238" s="10" t="str">
        <f aca="false">IF(C238="","","LKW-"&amp;IFERROR(VLOOKUP(C238,Lists!$AQ$4:$AR$17,2,0),"??")&amp;"-W"&amp;TEXT(E238*1000,"0000")&amp;"-H"&amp;TEXT(F238*1000,"0000")&amp;"-B"&amp;TEXT(G238*1000,"0000")&amp;"-"&amp;W238)</f>
        <v/>
      </c>
      <c r="B238" s="10" t="str">
        <f aca="false">IF(C238="","",C238&amp;", "&amp;E238&amp;" m wide, "&amp;F238&amp;" m headroom, "&amp;G238&amp;" m bays, "&amp;H238&amp;" ("&amp;D238&amp;")")</f>
        <v/>
      </c>
      <c r="C238" s="9"/>
      <c r="D238" s="9"/>
      <c r="E238" s="43"/>
      <c r="F238" s="43"/>
      <c r="G238" s="43"/>
      <c r="H238" s="9"/>
      <c r="I238" s="9"/>
      <c r="J238" s="9"/>
      <c r="K238" s="9"/>
      <c r="L238" s="9"/>
      <c r="M238" s="9"/>
      <c r="N238" s="9"/>
      <c r="O238" s="9"/>
      <c r="P238" s="40"/>
      <c r="Q238" s="43"/>
      <c r="R238" s="9"/>
      <c r="S238" s="9"/>
      <c r="T238" s="9"/>
      <c r="U238" s="43"/>
      <c r="V238" s="9"/>
      <c r="W238" s="9"/>
      <c r="X238" s="9"/>
      <c r="Y238" s="9"/>
      <c r="Z238" s="9"/>
      <c r="AA238" s="9"/>
      <c r="AB238" s="10" t="str">
        <f aca="false">IF(A238="","",SG_Criteria!$B$6&amp;SG_Criteria!$B$12&amp;"\"&amp;A238&amp;"\")</f>
        <v/>
      </c>
      <c r="AC238" s="10" t="str">
        <f aca="false">IF(A238="","",A238&amp;"_CAD.dwg")</f>
        <v/>
      </c>
      <c r="AD238" s="10" t="str">
        <f aca="false">IF(A238="","",A238&amp;"_DWG.pdf")</f>
        <v/>
      </c>
      <c r="AE238" s="10" t="str">
        <f aca="false">IF(A238="","",IF(AA238="Y",A238&amp;"_STAAD.std","n/a"))</f>
        <v/>
      </c>
      <c r="AF238" s="10" t="str">
        <f aca="false">IF(A238="","",A238&amp;"_CALC.xlsx")</f>
        <v/>
      </c>
      <c r="AG238" s="10" t="str">
        <f aca="false">IF(A238="","",A238&amp;"_CALC.pdf")</f>
        <v/>
      </c>
      <c r="AH238" s="9"/>
      <c r="AI238" s="9"/>
      <c r="AJ238" s="41"/>
      <c r="AK238" s="41"/>
      <c r="AL238" s="41"/>
      <c r="AM238" s="41"/>
      <c r="AN238" s="41"/>
      <c r="AO238" s="38" t="str">
        <f aca="false">IF(C238="","",IF(LEN(IF(AND(C238&lt;&gt;"High Covered Linkway",F238&lt;SG_Criteria!$B$46),"FAIL: headroom below "&amp;SG_Criteria!$B$46&amp;" m. ","")&amp;IF(AND(C238="High Covered Linkway",F238&lt;SG_Criteria!$B$47),"FAIL: high linkway headroom below "&amp;SG_Criteria!$B$47&amp;" m. ","")&amp;IF(E238&lt;SG_Criteria!$B$48,"FAIL: roof width below "&amp;SG_Criteria!$B$48&amp;" m. ",IF(E238&lt;SG_Criteria!$B$49,"NOTE: not for MRT/LRT or high-traffic routes (min "&amp;SG_Criteria!$B$49&amp;" m). ",""))&amp;IF(AND(P238&lt;&gt;"",P238&lt;SG_Criteria!$B$50),"FAIL: wind speed below "&amp;SG_Criteria!$B$50&amp;" m/s. ","")&amp;IF(AND(Q238&lt;&gt;"",Q238&lt;SG_Criteria!$B$51),"FAIL: roof fixing pull-out below "&amp;SG_Criteria!$B$51&amp;" kN. ","")&amp;IF(AND(R238&lt;&gt;"",IFERROR(VALUE(MID(R238,2,2)),0)&lt;SG_Criteria!$B$52),"FAIL: grade below C"&amp;SG_Criteria!$B$52&amp;". ","")&amp;IF(D238="Non-standard (project design)","NOTE: not an SDRE standard, needs LTA acceptance. ",""))=0,"OK",IF(AND(C238&lt;&gt;"High Covered Linkway",F238&lt;SG_Criteria!$B$46),"FAIL: headroom below "&amp;SG_Criteria!$B$46&amp;" m. ","")&amp;IF(AND(C238="High Covered Linkway",F238&lt;SG_Criteria!$B$47),"FAIL: high linkway headroom below "&amp;SG_Criteria!$B$47&amp;" m. ","")&amp;IF(E238&lt;SG_Criteria!$B$48,"FAIL: roof width below "&amp;SG_Criteria!$B$48&amp;" m. ",IF(E238&lt;SG_Criteria!$B$49,"NOTE: not for MRT/LRT or high-traffic routes (min "&amp;SG_Criteria!$B$49&amp;" m). ",""))&amp;IF(AND(P238&lt;&gt;"",P238&lt;SG_Criteria!$B$50),"FAIL: wind speed below "&amp;SG_Criteria!$B$50&amp;" m/s. ","")&amp;IF(AND(Q238&lt;&gt;"",Q238&lt;SG_Criteria!$B$51),"FAIL: roof fixing pull-out below "&amp;SG_Criteria!$B$51&amp;" kN. ","")&amp;IF(AND(R238&lt;&gt;"",IFERROR(VALUE(MID(R238,2,2)),0)&lt;SG_Criteria!$B$52),"FAIL: grade below C"&amp;SG_Criteria!$B$52&amp;". ","")&amp;IF(D238="Non-standard (project design)","NOTE: not an SDRE standard, needs LTA acceptance. ","")))</f>
        <v/>
      </c>
      <c r="AP238" s="9"/>
      <c r="AQ238" s="9"/>
      <c r="AR238" s="9"/>
      <c r="AS238" s="9"/>
      <c r="AT238" s="9"/>
      <c r="AU238" s="31"/>
      <c r="AV238" s="10" t="str">
        <f aca="false">IF(C238="","",IF(AND(X238="Approved",ISERROR(SEARCH("FAIL",AO238))),"Y","N"))</f>
        <v/>
      </c>
      <c r="AW238" s="10" t="str">
        <f aca="false">IF(C238="","",C238&amp;"|"&amp;E238&amp;"|"&amp;F238&amp;"|"&amp;AV238)</f>
        <v/>
      </c>
    </row>
    <row r="239" customFormat="false" ht="15" hidden="false" customHeight="false" outlineLevel="0" collapsed="false">
      <c r="A239" s="10" t="str">
        <f aca="false">IF(C239="","","LKW-"&amp;IFERROR(VLOOKUP(C239,Lists!$AQ$4:$AR$17,2,0),"??")&amp;"-W"&amp;TEXT(E239*1000,"0000")&amp;"-H"&amp;TEXT(F239*1000,"0000")&amp;"-B"&amp;TEXT(G239*1000,"0000")&amp;"-"&amp;W239)</f>
        <v/>
      </c>
      <c r="B239" s="10" t="str">
        <f aca="false">IF(C239="","",C239&amp;", "&amp;E239&amp;" m wide, "&amp;F239&amp;" m headroom, "&amp;G239&amp;" m bays, "&amp;H239&amp;" ("&amp;D239&amp;")")</f>
        <v/>
      </c>
      <c r="C239" s="9"/>
      <c r="D239" s="9"/>
      <c r="E239" s="43"/>
      <c r="F239" s="43"/>
      <c r="G239" s="43"/>
      <c r="H239" s="9"/>
      <c r="I239" s="9"/>
      <c r="J239" s="9"/>
      <c r="K239" s="9"/>
      <c r="L239" s="9"/>
      <c r="M239" s="9"/>
      <c r="N239" s="9"/>
      <c r="O239" s="9"/>
      <c r="P239" s="40"/>
      <c r="Q239" s="43"/>
      <c r="R239" s="9"/>
      <c r="S239" s="9"/>
      <c r="T239" s="9"/>
      <c r="U239" s="43"/>
      <c r="V239" s="9"/>
      <c r="W239" s="9"/>
      <c r="X239" s="9"/>
      <c r="Y239" s="9"/>
      <c r="Z239" s="9"/>
      <c r="AA239" s="9"/>
      <c r="AB239" s="10" t="str">
        <f aca="false">IF(A239="","",SG_Criteria!$B$6&amp;SG_Criteria!$B$12&amp;"\"&amp;A239&amp;"\")</f>
        <v/>
      </c>
      <c r="AC239" s="10" t="str">
        <f aca="false">IF(A239="","",A239&amp;"_CAD.dwg")</f>
        <v/>
      </c>
      <c r="AD239" s="10" t="str">
        <f aca="false">IF(A239="","",A239&amp;"_DWG.pdf")</f>
        <v/>
      </c>
      <c r="AE239" s="10" t="str">
        <f aca="false">IF(A239="","",IF(AA239="Y",A239&amp;"_STAAD.std","n/a"))</f>
        <v/>
      </c>
      <c r="AF239" s="10" t="str">
        <f aca="false">IF(A239="","",A239&amp;"_CALC.xlsx")</f>
        <v/>
      </c>
      <c r="AG239" s="10" t="str">
        <f aca="false">IF(A239="","",A239&amp;"_CALC.pdf")</f>
        <v/>
      </c>
      <c r="AH239" s="9"/>
      <c r="AI239" s="9"/>
      <c r="AJ239" s="41"/>
      <c r="AK239" s="41"/>
      <c r="AL239" s="41"/>
      <c r="AM239" s="41"/>
      <c r="AN239" s="41"/>
      <c r="AO239" s="38" t="str">
        <f aca="false">IF(C239="","",IF(LEN(IF(AND(C239&lt;&gt;"High Covered Linkway",F239&lt;SG_Criteria!$B$46),"FAIL: headroom below "&amp;SG_Criteria!$B$46&amp;" m. ","")&amp;IF(AND(C239="High Covered Linkway",F239&lt;SG_Criteria!$B$47),"FAIL: high linkway headroom below "&amp;SG_Criteria!$B$47&amp;" m. ","")&amp;IF(E239&lt;SG_Criteria!$B$48,"FAIL: roof width below "&amp;SG_Criteria!$B$48&amp;" m. ",IF(E239&lt;SG_Criteria!$B$49,"NOTE: not for MRT/LRT or high-traffic routes (min "&amp;SG_Criteria!$B$49&amp;" m). ",""))&amp;IF(AND(P239&lt;&gt;"",P239&lt;SG_Criteria!$B$50),"FAIL: wind speed below "&amp;SG_Criteria!$B$50&amp;" m/s. ","")&amp;IF(AND(Q239&lt;&gt;"",Q239&lt;SG_Criteria!$B$51),"FAIL: roof fixing pull-out below "&amp;SG_Criteria!$B$51&amp;" kN. ","")&amp;IF(AND(R239&lt;&gt;"",IFERROR(VALUE(MID(R239,2,2)),0)&lt;SG_Criteria!$B$52),"FAIL: grade below C"&amp;SG_Criteria!$B$52&amp;". ","")&amp;IF(D239="Non-standard (project design)","NOTE: not an SDRE standard, needs LTA acceptance. ",""))=0,"OK",IF(AND(C239&lt;&gt;"High Covered Linkway",F239&lt;SG_Criteria!$B$46),"FAIL: headroom below "&amp;SG_Criteria!$B$46&amp;" m. ","")&amp;IF(AND(C239="High Covered Linkway",F239&lt;SG_Criteria!$B$47),"FAIL: high linkway headroom below "&amp;SG_Criteria!$B$47&amp;" m. ","")&amp;IF(E239&lt;SG_Criteria!$B$48,"FAIL: roof width below "&amp;SG_Criteria!$B$48&amp;" m. ",IF(E239&lt;SG_Criteria!$B$49,"NOTE: not for MRT/LRT or high-traffic routes (min "&amp;SG_Criteria!$B$49&amp;" m). ",""))&amp;IF(AND(P239&lt;&gt;"",P239&lt;SG_Criteria!$B$50),"FAIL: wind speed below "&amp;SG_Criteria!$B$50&amp;" m/s. ","")&amp;IF(AND(Q239&lt;&gt;"",Q239&lt;SG_Criteria!$B$51),"FAIL: roof fixing pull-out below "&amp;SG_Criteria!$B$51&amp;" kN. ","")&amp;IF(AND(R239&lt;&gt;"",IFERROR(VALUE(MID(R239,2,2)),0)&lt;SG_Criteria!$B$52),"FAIL: grade below C"&amp;SG_Criteria!$B$52&amp;". ","")&amp;IF(D239="Non-standard (project design)","NOTE: not an SDRE standard, needs LTA acceptance. ","")))</f>
        <v/>
      </c>
      <c r="AP239" s="9"/>
      <c r="AQ239" s="9"/>
      <c r="AR239" s="9"/>
      <c r="AS239" s="9"/>
      <c r="AT239" s="9"/>
      <c r="AU239" s="31"/>
      <c r="AV239" s="10" t="str">
        <f aca="false">IF(C239="","",IF(AND(X239="Approved",ISERROR(SEARCH("FAIL",AO239))),"Y","N"))</f>
        <v/>
      </c>
      <c r="AW239" s="10" t="str">
        <f aca="false">IF(C239="","",C239&amp;"|"&amp;E239&amp;"|"&amp;F239&amp;"|"&amp;AV239)</f>
        <v/>
      </c>
    </row>
    <row r="240" customFormat="false" ht="15" hidden="false" customHeight="false" outlineLevel="0" collapsed="false">
      <c r="A240" s="10" t="str">
        <f aca="false">IF(C240="","","LKW-"&amp;IFERROR(VLOOKUP(C240,Lists!$AQ$4:$AR$17,2,0),"??")&amp;"-W"&amp;TEXT(E240*1000,"0000")&amp;"-H"&amp;TEXT(F240*1000,"0000")&amp;"-B"&amp;TEXT(G240*1000,"0000")&amp;"-"&amp;W240)</f>
        <v/>
      </c>
      <c r="B240" s="10" t="str">
        <f aca="false">IF(C240="","",C240&amp;", "&amp;E240&amp;" m wide, "&amp;F240&amp;" m headroom, "&amp;G240&amp;" m bays, "&amp;H240&amp;" ("&amp;D240&amp;")")</f>
        <v/>
      </c>
      <c r="C240" s="9"/>
      <c r="D240" s="9"/>
      <c r="E240" s="43"/>
      <c r="F240" s="43"/>
      <c r="G240" s="43"/>
      <c r="H240" s="9"/>
      <c r="I240" s="9"/>
      <c r="J240" s="9"/>
      <c r="K240" s="9"/>
      <c r="L240" s="9"/>
      <c r="M240" s="9"/>
      <c r="N240" s="9"/>
      <c r="O240" s="9"/>
      <c r="P240" s="40"/>
      <c r="Q240" s="43"/>
      <c r="R240" s="9"/>
      <c r="S240" s="9"/>
      <c r="T240" s="9"/>
      <c r="U240" s="43"/>
      <c r="V240" s="9"/>
      <c r="W240" s="9"/>
      <c r="X240" s="9"/>
      <c r="Y240" s="9"/>
      <c r="Z240" s="9"/>
      <c r="AA240" s="9"/>
      <c r="AB240" s="10" t="str">
        <f aca="false">IF(A240="","",SG_Criteria!$B$6&amp;SG_Criteria!$B$12&amp;"\"&amp;A240&amp;"\")</f>
        <v/>
      </c>
      <c r="AC240" s="10" t="str">
        <f aca="false">IF(A240="","",A240&amp;"_CAD.dwg")</f>
        <v/>
      </c>
      <c r="AD240" s="10" t="str">
        <f aca="false">IF(A240="","",A240&amp;"_DWG.pdf")</f>
        <v/>
      </c>
      <c r="AE240" s="10" t="str">
        <f aca="false">IF(A240="","",IF(AA240="Y",A240&amp;"_STAAD.std","n/a"))</f>
        <v/>
      </c>
      <c r="AF240" s="10" t="str">
        <f aca="false">IF(A240="","",A240&amp;"_CALC.xlsx")</f>
        <v/>
      </c>
      <c r="AG240" s="10" t="str">
        <f aca="false">IF(A240="","",A240&amp;"_CALC.pdf")</f>
        <v/>
      </c>
      <c r="AH240" s="9"/>
      <c r="AI240" s="9"/>
      <c r="AJ240" s="41"/>
      <c r="AK240" s="41"/>
      <c r="AL240" s="41"/>
      <c r="AM240" s="41"/>
      <c r="AN240" s="41"/>
      <c r="AO240" s="38" t="str">
        <f aca="false">IF(C240="","",IF(LEN(IF(AND(C240&lt;&gt;"High Covered Linkway",F240&lt;SG_Criteria!$B$46),"FAIL: headroom below "&amp;SG_Criteria!$B$46&amp;" m. ","")&amp;IF(AND(C240="High Covered Linkway",F240&lt;SG_Criteria!$B$47),"FAIL: high linkway headroom below "&amp;SG_Criteria!$B$47&amp;" m. ","")&amp;IF(E240&lt;SG_Criteria!$B$48,"FAIL: roof width below "&amp;SG_Criteria!$B$48&amp;" m. ",IF(E240&lt;SG_Criteria!$B$49,"NOTE: not for MRT/LRT or high-traffic routes (min "&amp;SG_Criteria!$B$49&amp;" m). ",""))&amp;IF(AND(P240&lt;&gt;"",P240&lt;SG_Criteria!$B$50),"FAIL: wind speed below "&amp;SG_Criteria!$B$50&amp;" m/s. ","")&amp;IF(AND(Q240&lt;&gt;"",Q240&lt;SG_Criteria!$B$51),"FAIL: roof fixing pull-out below "&amp;SG_Criteria!$B$51&amp;" kN. ","")&amp;IF(AND(R240&lt;&gt;"",IFERROR(VALUE(MID(R240,2,2)),0)&lt;SG_Criteria!$B$52),"FAIL: grade below C"&amp;SG_Criteria!$B$52&amp;". ","")&amp;IF(D240="Non-standard (project design)","NOTE: not an SDRE standard, needs LTA acceptance. ",""))=0,"OK",IF(AND(C240&lt;&gt;"High Covered Linkway",F240&lt;SG_Criteria!$B$46),"FAIL: headroom below "&amp;SG_Criteria!$B$46&amp;" m. ","")&amp;IF(AND(C240="High Covered Linkway",F240&lt;SG_Criteria!$B$47),"FAIL: high linkway headroom below "&amp;SG_Criteria!$B$47&amp;" m. ","")&amp;IF(E240&lt;SG_Criteria!$B$48,"FAIL: roof width below "&amp;SG_Criteria!$B$48&amp;" m. ",IF(E240&lt;SG_Criteria!$B$49,"NOTE: not for MRT/LRT or high-traffic routes (min "&amp;SG_Criteria!$B$49&amp;" m). ",""))&amp;IF(AND(P240&lt;&gt;"",P240&lt;SG_Criteria!$B$50),"FAIL: wind speed below "&amp;SG_Criteria!$B$50&amp;" m/s. ","")&amp;IF(AND(Q240&lt;&gt;"",Q240&lt;SG_Criteria!$B$51),"FAIL: roof fixing pull-out below "&amp;SG_Criteria!$B$51&amp;" kN. ","")&amp;IF(AND(R240&lt;&gt;"",IFERROR(VALUE(MID(R240,2,2)),0)&lt;SG_Criteria!$B$52),"FAIL: grade below C"&amp;SG_Criteria!$B$52&amp;". ","")&amp;IF(D240="Non-standard (project design)","NOTE: not an SDRE standard, needs LTA acceptance. ","")))</f>
        <v/>
      </c>
      <c r="AP240" s="9"/>
      <c r="AQ240" s="9"/>
      <c r="AR240" s="9"/>
      <c r="AS240" s="9"/>
      <c r="AT240" s="9"/>
      <c r="AU240" s="31"/>
      <c r="AV240" s="10" t="str">
        <f aca="false">IF(C240="","",IF(AND(X240="Approved",ISERROR(SEARCH("FAIL",AO240))),"Y","N"))</f>
        <v/>
      </c>
      <c r="AW240" s="10" t="str">
        <f aca="false">IF(C240="","",C240&amp;"|"&amp;E240&amp;"|"&amp;F240&amp;"|"&amp;AV240)</f>
        <v/>
      </c>
    </row>
    <row r="241" customFormat="false" ht="15" hidden="false" customHeight="false" outlineLevel="0" collapsed="false">
      <c r="A241" s="10" t="str">
        <f aca="false">IF(C241="","","LKW-"&amp;IFERROR(VLOOKUP(C241,Lists!$AQ$4:$AR$17,2,0),"??")&amp;"-W"&amp;TEXT(E241*1000,"0000")&amp;"-H"&amp;TEXT(F241*1000,"0000")&amp;"-B"&amp;TEXT(G241*1000,"0000")&amp;"-"&amp;W241)</f>
        <v/>
      </c>
      <c r="B241" s="10" t="str">
        <f aca="false">IF(C241="","",C241&amp;", "&amp;E241&amp;" m wide, "&amp;F241&amp;" m headroom, "&amp;G241&amp;" m bays, "&amp;H241&amp;" ("&amp;D241&amp;")")</f>
        <v/>
      </c>
      <c r="C241" s="9"/>
      <c r="D241" s="9"/>
      <c r="E241" s="43"/>
      <c r="F241" s="43"/>
      <c r="G241" s="43"/>
      <c r="H241" s="9"/>
      <c r="I241" s="9"/>
      <c r="J241" s="9"/>
      <c r="K241" s="9"/>
      <c r="L241" s="9"/>
      <c r="M241" s="9"/>
      <c r="N241" s="9"/>
      <c r="O241" s="9"/>
      <c r="P241" s="40"/>
      <c r="Q241" s="43"/>
      <c r="R241" s="9"/>
      <c r="S241" s="9"/>
      <c r="T241" s="9"/>
      <c r="U241" s="43"/>
      <c r="V241" s="9"/>
      <c r="W241" s="9"/>
      <c r="X241" s="9"/>
      <c r="Y241" s="9"/>
      <c r="Z241" s="9"/>
      <c r="AA241" s="9"/>
      <c r="AB241" s="10" t="str">
        <f aca="false">IF(A241="","",SG_Criteria!$B$6&amp;SG_Criteria!$B$12&amp;"\"&amp;A241&amp;"\")</f>
        <v/>
      </c>
      <c r="AC241" s="10" t="str">
        <f aca="false">IF(A241="","",A241&amp;"_CAD.dwg")</f>
        <v/>
      </c>
      <c r="AD241" s="10" t="str">
        <f aca="false">IF(A241="","",A241&amp;"_DWG.pdf")</f>
        <v/>
      </c>
      <c r="AE241" s="10" t="str">
        <f aca="false">IF(A241="","",IF(AA241="Y",A241&amp;"_STAAD.std","n/a"))</f>
        <v/>
      </c>
      <c r="AF241" s="10" t="str">
        <f aca="false">IF(A241="","",A241&amp;"_CALC.xlsx")</f>
        <v/>
      </c>
      <c r="AG241" s="10" t="str">
        <f aca="false">IF(A241="","",A241&amp;"_CALC.pdf")</f>
        <v/>
      </c>
      <c r="AH241" s="9"/>
      <c r="AI241" s="9"/>
      <c r="AJ241" s="41"/>
      <c r="AK241" s="41"/>
      <c r="AL241" s="41"/>
      <c r="AM241" s="41"/>
      <c r="AN241" s="41"/>
      <c r="AO241" s="38" t="str">
        <f aca="false">IF(C241="","",IF(LEN(IF(AND(C241&lt;&gt;"High Covered Linkway",F241&lt;SG_Criteria!$B$46),"FAIL: headroom below "&amp;SG_Criteria!$B$46&amp;" m. ","")&amp;IF(AND(C241="High Covered Linkway",F241&lt;SG_Criteria!$B$47),"FAIL: high linkway headroom below "&amp;SG_Criteria!$B$47&amp;" m. ","")&amp;IF(E241&lt;SG_Criteria!$B$48,"FAIL: roof width below "&amp;SG_Criteria!$B$48&amp;" m. ",IF(E241&lt;SG_Criteria!$B$49,"NOTE: not for MRT/LRT or high-traffic routes (min "&amp;SG_Criteria!$B$49&amp;" m). ",""))&amp;IF(AND(P241&lt;&gt;"",P241&lt;SG_Criteria!$B$50),"FAIL: wind speed below "&amp;SG_Criteria!$B$50&amp;" m/s. ","")&amp;IF(AND(Q241&lt;&gt;"",Q241&lt;SG_Criteria!$B$51),"FAIL: roof fixing pull-out below "&amp;SG_Criteria!$B$51&amp;" kN. ","")&amp;IF(AND(R241&lt;&gt;"",IFERROR(VALUE(MID(R241,2,2)),0)&lt;SG_Criteria!$B$52),"FAIL: grade below C"&amp;SG_Criteria!$B$52&amp;". ","")&amp;IF(D241="Non-standard (project design)","NOTE: not an SDRE standard, needs LTA acceptance. ",""))=0,"OK",IF(AND(C241&lt;&gt;"High Covered Linkway",F241&lt;SG_Criteria!$B$46),"FAIL: headroom below "&amp;SG_Criteria!$B$46&amp;" m. ","")&amp;IF(AND(C241="High Covered Linkway",F241&lt;SG_Criteria!$B$47),"FAIL: high linkway headroom below "&amp;SG_Criteria!$B$47&amp;" m. ","")&amp;IF(E241&lt;SG_Criteria!$B$48,"FAIL: roof width below "&amp;SG_Criteria!$B$48&amp;" m. ",IF(E241&lt;SG_Criteria!$B$49,"NOTE: not for MRT/LRT or high-traffic routes (min "&amp;SG_Criteria!$B$49&amp;" m). ",""))&amp;IF(AND(P241&lt;&gt;"",P241&lt;SG_Criteria!$B$50),"FAIL: wind speed below "&amp;SG_Criteria!$B$50&amp;" m/s. ","")&amp;IF(AND(Q241&lt;&gt;"",Q241&lt;SG_Criteria!$B$51),"FAIL: roof fixing pull-out below "&amp;SG_Criteria!$B$51&amp;" kN. ","")&amp;IF(AND(R241&lt;&gt;"",IFERROR(VALUE(MID(R241,2,2)),0)&lt;SG_Criteria!$B$52),"FAIL: grade below C"&amp;SG_Criteria!$B$52&amp;". ","")&amp;IF(D241="Non-standard (project design)","NOTE: not an SDRE standard, needs LTA acceptance. ","")))</f>
        <v/>
      </c>
      <c r="AP241" s="9"/>
      <c r="AQ241" s="9"/>
      <c r="AR241" s="9"/>
      <c r="AS241" s="9"/>
      <c r="AT241" s="9"/>
      <c r="AU241" s="31"/>
      <c r="AV241" s="10" t="str">
        <f aca="false">IF(C241="","",IF(AND(X241="Approved",ISERROR(SEARCH("FAIL",AO241))),"Y","N"))</f>
        <v/>
      </c>
      <c r="AW241" s="10" t="str">
        <f aca="false">IF(C241="","",C241&amp;"|"&amp;E241&amp;"|"&amp;F241&amp;"|"&amp;AV241)</f>
        <v/>
      </c>
    </row>
    <row r="242" customFormat="false" ht="15" hidden="false" customHeight="false" outlineLevel="0" collapsed="false">
      <c r="A242" s="10" t="str">
        <f aca="false">IF(C242="","","LKW-"&amp;IFERROR(VLOOKUP(C242,Lists!$AQ$4:$AR$17,2,0),"??")&amp;"-W"&amp;TEXT(E242*1000,"0000")&amp;"-H"&amp;TEXT(F242*1000,"0000")&amp;"-B"&amp;TEXT(G242*1000,"0000")&amp;"-"&amp;W242)</f>
        <v/>
      </c>
      <c r="B242" s="10" t="str">
        <f aca="false">IF(C242="","",C242&amp;", "&amp;E242&amp;" m wide, "&amp;F242&amp;" m headroom, "&amp;G242&amp;" m bays, "&amp;H242&amp;" ("&amp;D242&amp;")")</f>
        <v/>
      </c>
      <c r="C242" s="9"/>
      <c r="D242" s="9"/>
      <c r="E242" s="43"/>
      <c r="F242" s="43"/>
      <c r="G242" s="43"/>
      <c r="H242" s="9"/>
      <c r="I242" s="9"/>
      <c r="J242" s="9"/>
      <c r="K242" s="9"/>
      <c r="L242" s="9"/>
      <c r="M242" s="9"/>
      <c r="N242" s="9"/>
      <c r="O242" s="9"/>
      <c r="P242" s="40"/>
      <c r="Q242" s="43"/>
      <c r="R242" s="9"/>
      <c r="S242" s="9"/>
      <c r="T242" s="9"/>
      <c r="U242" s="43"/>
      <c r="V242" s="9"/>
      <c r="W242" s="9"/>
      <c r="X242" s="9"/>
      <c r="Y242" s="9"/>
      <c r="Z242" s="9"/>
      <c r="AA242" s="9"/>
      <c r="AB242" s="10" t="str">
        <f aca="false">IF(A242="","",SG_Criteria!$B$6&amp;SG_Criteria!$B$12&amp;"\"&amp;A242&amp;"\")</f>
        <v/>
      </c>
      <c r="AC242" s="10" t="str">
        <f aca="false">IF(A242="","",A242&amp;"_CAD.dwg")</f>
        <v/>
      </c>
      <c r="AD242" s="10" t="str">
        <f aca="false">IF(A242="","",A242&amp;"_DWG.pdf")</f>
        <v/>
      </c>
      <c r="AE242" s="10" t="str">
        <f aca="false">IF(A242="","",IF(AA242="Y",A242&amp;"_STAAD.std","n/a"))</f>
        <v/>
      </c>
      <c r="AF242" s="10" t="str">
        <f aca="false">IF(A242="","",A242&amp;"_CALC.xlsx")</f>
        <v/>
      </c>
      <c r="AG242" s="10" t="str">
        <f aca="false">IF(A242="","",A242&amp;"_CALC.pdf")</f>
        <v/>
      </c>
      <c r="AH242" s="9"/>
      <c r="AI242" s="9"/>
      <c r="AJ242" s="41"/>
      <c r="AK242" s="41"/>
      <c r="AL242" s="41"/>
      <c r="AM242" s="41"/>
      <c r="AN242" s="41"/>
      <c r="AO242" s="38" t="str">
        <f aca="false">IF(C242="","",IF(LEN(IF(AND(C242&lt;&gt;"High Covered Linkway",F242&lt;SG_Criteria!$B$46),"FAIL: headroom below "&amp;SG_Criteria!$B$46&amp;" m. ","")&amp;IF(AND(C242="High Covered Linkway",F242&lt;SG_Criteria!$B$47),"FAIL: high linkway headroom below "&amp;SG_Criteria!$B$47&amp;" m. ","")&amp;IF(E242&lt;SG_Criteria!$B$48,"FAIL: roof width below "&amp;SG_Criteria!$B$48&amp;" m. ",IF(E242&lt;SG_Criteria!$B$49,"NOTE: not for MRT/LRT or high-traffic routes (min "&amp;SG_Criteria!$B$49&amp;" m). ",""))&amp;IF(AND(P242&lt;&gt;"",P242&lt;SG_Criteria!$B$50),"FAIL: wind speed below "&amp;SG_Criteria!$B$50&amp;" m/s. ","")&amp;IF(AND(Q242&lt;&gt;"",Q242&lt;SG_Criteria!$B$51),"FAIL: roof fixing pull-out below "&amp;SG_Criteria!$B$51&amp;" kN. ","")&amp;IF(AND(R242&lt;&gt;"",IFERROR(VALUE(MID(R242,2,2)),0)&lt;SG_Criteria!$B$52),"FAIL: grade below C"&amp;SG_Criteria!$B$52&amp;". ","")&amp;IF(D242="Non-standard (project design)","NOTE: not an SDRE standard, needs LTA acceptance. ",""))=0,"OK",IF(AND(C242&lt;&gt;"High Covered Linkway",F242&lt;SG_Criteria!$B$46),"FAIL: headroom below "&amp;SG_Criteria!$B$46&amp;" m. ","")&amp;IF(AND(C242="High Covered Linkway",F242&lt;SG_Criteria!$B$47),"FAIL: high linkway headroom below "&amp;SG_Criteria!$B$47&amp;" m. ","")&amp;IF(E242&lt;SG_Criteria!$B$48,"FAIL: roof width below "&amp;SG_Criteria!$B$48&amp;" m. ",IF(E242&lt;SG_Criteria!$B$49,"NOTE: not for MRT/LRT or high-traffic routes (min "&amp;SG_Criteria!$B$49&amp;" m). ",""))&amp;IF(AND(P242&lt;&gt;"",P242&lt;SG_Criteria!$B$50),"FAIL: wind speed below "&amp;SG_Criteria!$B$50&amp;" m/s. ","")&amp;IF(AND(Q242&lt;&gt;"",Q242&lt;SG_Criteria!$B$51),"FAIL: roof fixing pull-out below "&amp;SG_Criteria!$B$51&amp;" kN. ","")&amp;IF(AND(R242&lt;&gt;"",IFERROR(VALUE(MID(R242,2,2)),0)&lt;SG_Criteria!$B$52),"FAIL: grade below C"&amp;SG_Criteria!$B$52&amp;". ","")&amp;IF(D242="Non-standard (project design)","NOTE: not an SDRE standard, needs LTA acceptance. ","")))</f>
        <v/>
      </c>
      <c r="AP242" s="9"/>
      <c r="AQ242" s="9"/>
      <c r="AR242" s="9"/>
      <c r="AS242" s="9"/>
      <c r="AT242" s="9"/>
      <c r="AU242" s="31"/>
      <c r="AV242" s="10" t="str">
        <f aca="false">IF(C242="","",IF(AND(X242="Approved",ISERROR(SEARCH("FAIL",AO242))),"Y","N"))</f>
        <v/>
      </c>
      <c r="AW242" s="10" t="str">
        <f aca="false">IF(C242="","",C242&amp;"|"&amp;E242&amp;"|"&amp;F242&amp;"|"&amp;AV242)</f>
        <v/>
      </c>
    </row>
    <row r="243" customFormat="false" ht="15" hidden="false" customHeight="false" outlineLevel="0" collapsed="false">
      <c r="A243" s="10" t="str">
        <f aca="false">IF(C243="","","LKW-"&amp;IFERROR(VLOOKUP(C243,Lists!$AQ$4:$AR$17,2,0),"??")&amp;"-W"&amp;TEXT(E243*1000,"0000")&amp;"-H"&amp;TEXT(F243*1000,"0000")&amp;"-B"&amp;TEXT(G243*1000,"0000")&amp;"-"&amp;W243)</f>
        <v/>
      </c>
      <c r="B243" s="10" t="str">
        <f aca="false">IF(C243="","",C243&amp;", "&amp;E243&amp;" m wide, "&amp;F243&amp;" m headroom, "&amp;G243&amp;" m bays, "&amp;H243&amp;" ("&amp;D243&amp;")")</f>
        <v/>
      </c>
      <c r="C243" s="9"/>
      <c r="D243" s="9"/>
      <c r="E243" s="43"/>
      <c r="F243" s="43"/>
      <c r="G243" s="43"/>
      <c r="H243" s="9"/>
      <c r="I243" s="9"/>
      <c r="J243" s="9"/>
      <c r="K243" s="9"/>
      <c r="L243" s="9"/>
      <c r="M243" s="9"/>
      <c r="N243" s="9"/>
      <c r="O243" s="9"/>
      <c r="P243" s="40"/>
      <c r="Q243" s="43"/>
      <c r="R243" s="9"/>
      <c r="S243" s="9"/>
      <c r="T243" s="9"/>
      <c r="U243" s="43"/>
      <c r="V243" s="9"/>
      <c r="W243" s="9"/>
      <c r="X243" s="9"/>
      <c r="Y243" s="9"/>
      <c r="Z243" s="9"/>
      <c r="AA243" s="9"/>
      <c r="AB243" s="10" t="str">
        <f aca="false">IF(A243="","",SG_Criteria!$B$6&amp;SG_Criteria!$B$12&amp;"\"&amp;A243&amp;"\")</f>
        <v/>
      </c>
      <c r="AC243" s="10" t="str">
        <f aca="false">IF(A243="","",A243&amp;"_CAD.dwg")</f>
        <v/>
      </c>
      <c r="AD243" s="10" t="str">
        <f aca="false">IF(A243="","",A243&amp;"_DWG.pdf")</f>
        <v/>
      </c>
      <c r="AE243" s="10" t="str">
        <f aca="false">IF(A243="","",IF(AA243="Y",A243&amp;"_STAAD.std","n/a"))</f>
        <v/>
      </c>
      <c r="AF243" s="10" t="str">
        <f aca="false">IF(A243="","",A243&amp;"_CALC.xlsx")</f>
        <v/>
      </c>
      <c r="AG243" s="10" t="str">
        <f aca="false">IF(A243="","",A243&amp;"_CALC.pdf")</f>
        <v/>
      </c>
      <c r="AH243" s="9"/>
      <c r="AI243" s="9"/>
      <c r="AJ243" s="41"/>
      <c r="AK243" s="41"/>
      <c r="AL243" s="41"/>
      <c r="AM243" s="41"/>
      <c r="AN243" s="41"/>
      <c r="AO243" s="38" t="str">
        <f aca="false">IF(C243="","",IF(LEN(IF(AND(C243&lt;&gt;"High Covered Linkway",F243&lt;SG_Criteria!$B$46),"FAIL: headroom below "&amp;SG_Criteria!$B$46&amp;" m. ","")&amp;IF(AND(C243="High Covered Linkway",F243&lt;SG_Criteria!$B$47),"FAIL: high linkway headroom below "&amp;SG_Criteria!$B$47&amp;" m. ","")&amp;IF(E243&lt;SG_Criteria!$B$48,"FAIL: roof width below "&amp;SG_Criteria!$B$48&amp;" m. ",IF(E243&lt;SG_Criteria!$B$49,"NOTE: not for MRT/LRT or high-traffic routes (min "&amp;SG_Criteria!$B$49&amp;" m). ",""))&amp;IF(AND(P243&lt;&gt;"",P243&lt;SG_Criteria!$B$50),"FAIL: wind speed below "&amp;SG_Criteria!$B$50&amp;" m/s. ","")&amp;IF(AND(Q243&lt;&gt;"",Q243&lt;SG_Criteria!$B$51),"FAIL: roof fixing pull-out below "&amp;SG_Criteria!$B$51&amp;" kN. ","")&amp;IF(AND(R243&lt;&gt;"",IFERROR(VALUE(MID(R243,2,2)),0)&lt;SG_Criteria!$B$52),"FAIL: grade below C"&amp;SG_Criteria!$B$52&amp;". ","")&amp;IF(D243="Non-standard (project design)","NOTE: not an SDRE standard, needs LTA acceptance. ",""))=0,"OK",IF(AND(C243&lt;&gt;"High Covered Linkway",F243&lt;SG_Criteria!$B$46),"FAIL: headroom below "&amp;SG_Criteria!$B$46&amp;" m. ","")&amp;IF(AND(C243="High Covered Linkway",F243&lt;SG_Criteria!$B$47),"FAIL: high linkway headroom below "&amp;SG_Criteria!$B$47&amp;" m. ","")&amp;IF(E243&lt;SG_Criteria!$B$48,"FAIL: roof width below "&amp;SG_Criteria!$B$48&amp;" m. ",IF(E243&lt;SG_Criteria!$B$49,"NOTE: not for MRT/LRT or high-traffic routes (min "&amp;SG_Criteria!$B$49&amp;" m). ",""))&amp;IF(AND(P243&lt;&gt;"",P243&lt;SG_Criteria!$B$50),"FAIL: wind speed below "&amp;SG_Criteria!$B$50&amp;" m/s. ","")&amp;IF(AND(Q243&lt;&gt;"",Q243&lt;SG_Criteria!$B$51),"FAIL: roof fixing pull-out below "&amp;SG_Criteria!$B$51&amp;" kN. ","")&amp;IF(AND(R243&lt;&gt;"",IFERROR(VALUE(MID(R243,2,2)),0)&lt;SG_Criteria!$B$52),"FAIL: grade below C"&amp;SG_Criteria!$B$52&amp;". ","")&amp;IF(D243="Non-standard (project design)","NOTE: not an SDRE standard, needs LTA acceptance. ","")))</f>
        <v/>
      </c>
      <c r="AP243" s="9"/>
      <c r="AQ243" s="9"/>
      <c r="AR243" s="9"/>
      <c r="AS243" s="9"/>
      <c r="AT243" s="9"/>
      <c r="AU243" s="31"/>
      <c r="AV243" s="10" t="str">
        <f aca="false">IF(C243="","",IF(AND(X243="Approved",ISERROR(SEARCH("FAIL",AO243))),"Y","N"))</f>
        <v/>
      </c>
      <c r="AW243" s="10" t="str">
        <f aca="false">IF(C243="","",C243&amp;"|"&amp;E243&amp;"|"&amp;F243&amp;"|"&amp;AV243)</f>
        <v/>
      </c>
    </row>
    <row r="244" customFormat="false" ht="15" hidden="false" customHeight="false" outlineLevel="0" collapsed="false">
      <c r="A244" s="10" t="str">
        <f aca="false">IF(C244="","","LKW-"&amp;IFERROR(VLOOKUP(C244,Lists!$AQ$4:$AR$17,2,0),"??")&amp;"-W"&amp;TEXT(E244*1000,"0000")&amp;"-H"&amp;TEXT(F244*1000,"0000")&amp;"-B"&amp;TEXT(G244*1000,"0000")&amp;"-"&amp;W244)</f>
        <v/>
      </c>
      <c r="B244" s="10" t="str">
        <f aca="false">IF(C244="","",C244&amp;", "&amp;E244&amp;" m wide, "&amp;F244&amp;" m headroom, "&amp;G244&amp;" m bays, "&amp;H244&amp;" ("&amp;D244&amp;")")</f>
        <v/>
      </c>
      <c r="C244" s="9"/>
      <c r="D244" s="9"/>
      <c r="E244" s="43"/>
      <c r="F244" s="43"/>
      <c r="G244" s="43"/>
      <c r="H244" s="9"/>
      <c r="I244" s="9"/>
      <c r="J244" s="9"/>
      <c r="K244" s="9"/>
      <c r="L244" s="9"/>
      <c r="M244" s="9"/>
      <c r="N244" s="9"/>
      <c r="O244" s="9"/>
      <c r="P244" s="40"/>
      <c r="Q244" s="43"/>
      <c r="R244" s="9"/>
      <c r="S244" s="9"/>
      <c r="T244" s="9"/>
      <c r="U244" s="43"/>
      <c r="V244" s="9"/>
      <c r="W244" s="9"/>
      <c r="X244" s="9"/>
      <c r="Y244" s="9"/>
      <c r="Z244" s="9"/>
      <c r="AA244" s="9"/>
      <c r="AB244" s="10" t="str">
        <f aca="false">IF(A244="","",SG_Criteria!$B$6&amp;SG_Criteria!$B$12&amp;"\"&amp;A244&amp;"\")</f>
        <v/>
      </c>
      <c r="AC244" s="10" t="str">
        <f aca="false">IF(A244="","",A244&amp;"_CAD.dwg")</f>
        <v/>
      </c>
      <c r="AD244" s="10" t="str">
        <f aca="false">IF(A244="","",A244&amp;"_DWG.pdf")</f>
        <v/>
      </c>
      <c r="AE244" s="10" t="str">
        <f aca="false">IF(A244="","",IF(AA244="Y",A244&amp;"_STAAD.std","n/a"))</f>
        <v/>
      </c>
      <c r="AF244" s="10" t="str">
        <f aca="false">IF(A244="","",A244&amp;"_CALC.xlsx")</f>
        <v/>
      </c>
      <c r="AG244" s="10" t="str">
        <f aca="false">IF(A244="","",A244&amp;"_CALC.pdf")</f>
        <v/>
      </c>
      <c r="AH244" s="9"/>
      <c r="AI244" s="9"/>
      <c r="AJ244" s="41"/>
      <c r="AK244" s="41"/>
      <c r="AL244" s="41"/>
      <c r="AM244" s="41"/>
      <c r="AN244" s="41"/>
      <c r="AO244" s="38" t="str">
        <f aca="false">IF(C244="","",IF(LEN(IF(AND(C244&lt;&gt;"High Covered Linkway",F244&lt;SG_Criteria!$B$46),"FAIL: headroom below "&amp;SG_Criteria!$B$46&amp;" m. ","")&amp;IF(AND(C244="High Covered Linkway",F244&lt;SG_Criteria!$B$47),"FAIL: high linkway headroom below "&amp;SG_Criteria!$B$47&amp;" m. ","")&amp;IF(E244&lt;SG_Criteria!$B$48,"FAIL: roof width below "&amp;SG_Criteria!$B$48&amp;" m. ",IF(E244&lt;SG_Criteria!$B$49,"NOTE: not for MRT/LRT or high-traffic routes (min "&amp;SG_Criteria!$B$49&amp;" m). ",""))&amp;IF(AND(P244&lt;&gt;"",P244&lt;SG_Criteria!$B$50),"FAIL: wind speed below "&amp;SG_Criteria!$B$50&amp;" m/s. ","")&amp;IF(AND(Q244&lt;&gt;"",Q244&lt;SG_Criteria!$B$51),"FAIL: roof fixing pull-out below "&amp;SG_Criteria!$B$51&amp;" kN. ","")&amp;IF(AND(R244&lt;&gt;"",IFERROR(VALUE(MID(R244,2,2)),0)&lt;SG_Criteria!$B$52),"FAIL: grade below C"&amp;SG_Criteria!$B$52&amp;". ","")&amp;IF(D244="Non-standard (project design)","NOTE: not an SDRE standard, needs LTA acceptance. ",""))=0,"OK",IF(AND(C244&lt;&gt;"High Covered Linkway",F244&lt;SG_Criteria!$B$46),"FAIL: headroom below "&amp;SG_Criteria!$B$46&amp;" m. ","")&amp;IF(AND(C244="High Covered Linkway",F244&lt;SG_Criteria!$B$47),"FAIL: high linkway headroom below "&amp;SG_Criteria!$B$47&amp;" m. ","")&amp;IF(E244&lt;SG_Criteria!$B$48,"FAIL: roof width below "&amp;SG_Criteria!$B$48&amp;" m. ",IF(E244&lt;SG_Criteria!$B$49,"NOTE: not for MRT/LRT or high-traffic routes (min "&amp;SG_Criteria!$B$49&amp;" m). ",""))&amp;IF(AND(P244&lt;&gt;"",P244&lt;SG_Criteria!$B$50),"FAIL: wind speed below "&amp;SG_Criteria!$B$50&amp;" m/s. ","")&amp;IF(AND(Q244&lt;&gt;"",Q244&lt;SG_Criteria!$B$51),"FAIL: roof fixing pull-out below "&amp;SG_Criteria!$B$51&amp;" kN. ","")&amp;IF(AND(R244&lt;&gt;"",IFERROR(VALUE(MID(R244,2,2)),0)&lt;SG_Criteria!$B$52),"FAIL: grade below C"&amp;SG_Criteria!$B$52&amp;". ","")&amp;IF(D244="Non-standard (project design)","NOTE: not an SDRE standard, needs LTA acceptance. ","")))</f>
        <v/>
      </c>
      <c r="AP244" s="9"/>
      <c r="AQ244" s="9"/>
      <c r="AR244" s="9"/>
      <c r="AS244" s="9"/>
      <c r="AT244" s="9"/>
      <c r="AU244" s="31"/>
      <c r="AV244" s="10" t="str">
        <f aca="false">IF(C244="","",IF(AND(X244="Approved",ISERROR(SEARCH("FAIL",AO244))),"Y","N"))</f>
        <v/>
      </c>
      <c r="AW244" s="10" t="str">
        <f aca="false">IF(C244="","",C244&amp;"|"&amp;E244&amp;"|"&amp;F244&amp;"|"&amp;AV244)</f>
        <v/>
      </c>
    </row>
    <row r="245" customFormat="false" ht="15" hidden="false" customHeight="false" outlineLevel="0" collapsed="false">
      <c r="A245" s="10" t="str">
        <f aca="false">IF(C245="","","LKW-"&amp;IFERROR(VLOOKUP(C245,Lists!$AQ$4:$AR$17,2,0),"??")&amp;"-W"&amp;TEXT(E245*1000,"0000")&amp;"-H"&amp;TEXT(F245*1000,"0000")&amp;"-B"&amp;TEXT(G245*1000,"0000")&amp;"-"&amp;W245)</f>
        <v/>
      </c>
      <c r="B245" s="10" t="str">
        <f aca="false">IF(C245="","",C245&amp;", "&amp;E245&amp;" m wide, "&amp;F245&amp;" m headroom, "&amp;G245&amp;" m bays, "&amp;H245&amp;" ("&amp;D245&amp;")")</f>
        <v/>
      </c>
      <c r="C245" s="9"/>
      <c r="D245" s="9"/>
      <c r="E245" s="43"/>
      <c r="F245" s="43"/>
      <c r="G245" s="43"/>
      <c r="H245" s="9"/>
      <c r="I245" s="9"/>
      <c r="J245" s="9"/>
      <c r="K245" s="9"/>
      <c r="L245" s="9"/>
      <c r="M245" s="9"/>
      <c r="N245" s="9"/>
      <c r="O245" s="9"/>
      <c r="P245" s="40"/>
      <c r="Q245" s="43"/>
      <c r="R245" s="9"/>
      <c r="S245" s="9"/>
      <c r="T245" s="9"/>
      <c r="U245" s="43"/>
      <c r="V245" s="9"/>
      <c r="W245" s="9"/>
      <c r="X245" s="9"/>
      <c r="Y245" s="9"/>
      <c r="Z245" s="9"/>
      <c r="AA245" s="9"/>
      <c r="AB245" s="10" t="str">
        <f aca="false">IF(A245="","",SG_Criteria!$B$6&amp;SG_Criteria!$B$12&amp;"\"&amp;A245&amp;"\")</f>
        <v/>
      </c>
      <c r="AC245" s="10" t="str">
        <f aca="false">IF(A245="","",A245&amp;"_CAD.dwg")</f>
        <v/>
      </c>
      <c r="AD245" s="10" t="str">
        <f aca="false">IF(A245="","",A245&amp;"_DWG.pdf")</f>
        <v/>
      </c>
      <c r="AE245" s="10" t="str">
        <f aca="false">IF(A245="","",IF(AA245="Y",A245&amp;"_STAAD.std","n/a"))</f>
        <v/>
      </c>
      <c r="AF245" s="10" t="str">
        <f aca="false">IF(A245="","",A245&amp;"_CALC.xlsx")</f>
        <v/>
      </c>
      <c r="AG245" s="10" t="str">
        <f aca="false">IF(A245="","",A245&amp;"_CALC.pdf")</f>
        <v/>
      </c>
      <c r="AH245" s="9"/>
      <c r="AI245" s="9"/>
      <c r="AJ245" s="41"/>
      <c r="AK245" s="41"/>
      <c r="AL245" s="41"/>
      <c r="AM245" s="41"/>
      <c r="AN245" s="41"/>
      <c r="AO245" s="38" t="str">
        <f aca="false">IF(C245="","",IF(LEN(IF(AND(C245&lt;&gt;"High Covered Linkway",F245&lt;SG_Criteria!$B$46),"FAIL: headroom below "&amp;SG_Criteria!$B$46&amp;" m. ","")&amp;IF(AND(C245="High Covered Linkway",F245&lt;SG_Criteria!$B$47),"FAIL: high linkway headroom below "&amp;SG_Criteria!$B$47&amp;" m. ","")&amp;IF(E245&lt;SG_Criteria!$B$48,"FAIL: roof width below "&amp;SG_Criteria!$B$48&amp;" m. ",IF(E245&lt;SG_Criteria!$B$49,"NOTE: not for MRT/LRT or high-traffic routes (min "&amp;SG_Criteria!$B$49&amp;" m). ",""))&amp;IF(AND(P245&lt;&gt;"",P245&lt;SG_Criteria!$B$50),"FAIL: wind speed below "&amp;SG_Criteria!$B$50&amp;" m/s. ","")&amp;IF(AND(Q245&lt;&gt;"",Q245&lt;SG_Criteria!$B$51),"FAIL: roof fixing pull-out below "&amp;SG_Criteria!$B$51&amp;" kN. ","")&amp;IF(AND(R245&lt;&gt;"",IFERROR(VALUE(MID(R245,2,2)),0)&lt;SG_Criteria!$B$52),"FAIL: grade below C"&amp;SG_Criteria!$B$52&amp;". ","")&amp;IF(D245="Non-standard (project design)","NOTE: not an SDRE standard, needs LTA acceptance. ",""))=0,"OK",IF(AND(C245&lt;&gt;"High Covered Linkway",F245&lt;SG_Criteria!$B$46),"FAIL: headroom below "&amp;SG_Criteria!$B$46&amp;" m. ","")&amp;IF(AND(C245="High Covered Linkway",F245&lt;SG_Criteria!$B$47),"FAIL: high linkway headroom below "&amp;SG_Criteria!$B$47&amp;" m. ","")&amp;IF(E245&lt;SG_Criteria!$B$48,"FAIL: roof width below "&amp;SG_Criteria!$B$48&amp;" m. ",IF(E245&lt;SG_Criteria!$B$49,"NOTE: not for MRT/LRT or high-traffic routes (min "&amp;SG_Criteria!$B$49&amp;" m). ",""))&amp;IF(AND(P245&lt;&gt;"",P245&lt;SG_Criteria!$B$50),"FAIL: wind speed below "&amp;SG_Criteria!$B$50&amp;" m/s. ","")&amp;IF(AND(Q245&lt;&gt;"",Q245&lt;SG_Criteria!$B$51),"FAIL: roof fixing pull-out below "&amp;SG_Criteria!$B$51&amp;" kN. ","")&amp;IF(AND(R245&lt;&gt;"",IFERROR(VALUE(MID(R245,2,2)),0)&lt;SG_Criteria!$B$52),"FAIL: grade below C"&amp;SG_Criteria!$B$52&amp;". ","")&amp;IF(D245="Non-standard (project design)","NOTE: not an SDRE standard, needs LTA acceptance. ","")))</f>
        <v/>
      </c>
      <c r="AP245" s="9"/>
      <c r="AQ245" s="9"/>
      <c r="AR245" s="9"/>
      <c r="AS245" s="9"/>
      <c r="AT245" s="9"/>
      <c r="AU245" s="31"/>
      <c r="AV245" s="10" t="str">
        <f aca="false">IF(C245="","",IF(AND(X245="Approved",ISERROR(SEARCH("FAIL",AO245))),"Y","N"))</f>
        <v/>
      </c>
      <c r="AW245" s="10" t="str">
        <f aca="false">IF(C245="","",C245&amp;"|"&amp;E245&amp;"|"&amp;F245&amp;"|"&amp;AV245)</f>
        <v/>
      </c>
    </row>
    <row r="246" customFormat="false" ht="15" hidden="false" customHeight="false" outlineLevel="0" collapsed="false">
      <c r="A246" s="10" t="str">
        <f aca="false">IF(C246="","","LKW-"&amp;IFERROR(VLOOKUP(C246,Lists!$AQ$4:$AR$17,2,0),"??")&amp;"-W"&amp;TEXT(E246*1000,"0000")&amp;"-H"&amp;TEXT(F246*1000,"0000")&amp;"-B"&amp;TEXT(G246*1000,"0000")&amp;"-"&amp;W246)</f>
        <v/>
      </c>
      <c r="B246" s="10" t="str">
        <f aca="false">IF(C246="","",C246&amp;", "&amp;E246&amp;" m wide, "&amp;F246&amp;" m headroom, "&amp;G246&amp;" m bays, "&amp;H246&amp;" ("&amp;D246&amp;")")</f>
        <v/>
      </c>
      <c r="C246" s="9"/>
      <c r="D246" s="9"/>
      <c r="E246" s="43"/>
      <c r="F246" s="43"/>
      <c r="G246" s="43"/>
      <c r="H246" s="9"/>
      <c r="I246" s="9"/>
      <c r="J246" s="9"/>
      <c r="K246" s="9"/>
      <c r="L246" s="9"/>
      <c r="M246" s="9"/>
      <c r="N246" s="9"/>
      <c r="O246" s="9"/>
      <c r="P246" s="40"/>
      <c r="Q246" s="43"/>
      <c r="R246" s="9"/>
      <c r="S246" s="9"/>
      <c r="T246" s="9"/>
      <c r="U246" s="43"/>
      <c r="V246" s="9"/>
      <c r="W246" s="9"/>
      <c r="X246" s="9"/>
      <c r="Y246" s="9"/>
      <c r="Z246" s="9"/>
      <c r="AA246" s="9"/>
      <c r="AB246" s="10" t="str">
        <f aca="false">IF(A246="","",SG_Criteria!$B$6&amp;SG_Criteria!$B$12&amp;"\"&amp;A246&amp;"\")</f>
        <v/>
      </c>
      <c r="AC246" s="10" t="str">
        <f aca="false">IF(A246="","",A246&amp;"_CAD.dwg")</f>
        <v/>
      </c>
      <c r="AD246" s="10" t="str">
        <f aca="false">IF(A246="","",A246&amp;"_DWG.pdf")</f>
        <v/>
      </c>
      <c r="AE246" s="10" t="str">
        <f aca="false">IF(A246="","",IF(AA246="Y",A246&amp;"_STAAD.std","n/a"))</f>
        <v/>
      </c>
      <c r="AF246" s="10" t="str">
        <f aca="false">IF(A246="","",A246&amp;"_CALC.xlsx")</f>
        <v/>
      </c>
      <c r="AG246" s="10" t="str">
        <f aca="false">IF(A246="","",A246&amp;"_CALC.pdf")</f>
        <v/>
      </c>
      <c r="AH246" s="9"/>
      <c r="AI246" s="9"/>
      <c r="AJ246" s="41"/>
      <c r="AK246" s="41"/>
      <c r="AL246" s="41"/>
      <c r="AM246" s="41"/>
      <c r="AN246" s="41"/>
      <c r="AO246" s="38" t="str">
        <f aca="false">IF(C246="","",IF(LEN(IF(AND(C246&lt;&gt;"High Covered Linkway",F246&lt;SG_Criteria!$B$46),"FAIL: headroom below "&amp;SG_Criteria!$B$46&amp;" m. ","")&amp;IF(AND(C246="High Covered Linkway",F246&lt;SG_Criteria!$B$47),"FAIL: high linkway headroom below "&amp;SG_Criteria!$B$47&amp;" m. ","")&amp;IF(E246&lt;SG_Criteria!$B$48,"FAIL: roof width below "&amp;SG_Criteria!$B$48&amp;" m. ",IF(E246&lt;SG_Criteria!$B$49,"NOTE: not for MRT/LRT or high-traffic routes (min "&amp;SG_Criteria!$B$49&amp;" m). ",""))&amp;IF(AND(P246&lt;&gt;"",P246&lt;SG_Criteria!$B$50),"FAIL: wind speed below "&amp;SG_Criteria!$B$50&amp;" m/s. ","")&amp;IF(AND(Q246&lt;&gt;"",Q246&lt;SG_Criteria!$B$51),"FAIL: roof fixing pull-out below "&amp;SG_Criteria!$B$51&amp;" kN. ","")&amp;IF(AND(R246&lt;&gt;"",IFERROR(VALUE(MID(R246,2,2)),0)&lt;SG_Criteria!$B$52),"FAIL: grade below C"&amp;SG_Criteria!$B$52&amp;". ","")&amp;IF(D246="Non-standard (project design)","NOTE: not an SDRE standard, needs LTA acceptance. ",""))=0,"OK",IF(AND(C246&lt;&gt;"High Covered Linkway",F246&lt;SG_Criteria!$B$46),"FAIL: headroom below "&amp;SG_Criteria!$B$46&amp;" m. ","")&amp;IF(AND(C246="High Covered Linkway",F246&lt;SG_Criteria!$B$47),"FAIL: high linkway headroom below "&amp;SG_Criteria!$B$47&amp;" m. ","")&amp;IF(E246&lt;SG_Criteria!$B$48,"FAIL: roof width below "&amp;SG_Criteria!$B$48&amp;" m. ",IF(E246&lt;SG_Criteria!$B$49,"NOTE: not for MRT/LRT or high-traffic routes (min "&amp;SG_Criteria!$B$49&amp;" m). ",""))&amp;IF(AND(P246&lt;&gt;"",P246&lt;SG_Criteria!$B$50),"FAIL: wind speed below "&amp;SG_Criteria!$B$50&amp;" m/s. ","")&amp;IF(AND(Q246&lt;&gt;"",Q246&lt;SG_Criteria!$B$51),"FAIL: roof fixing pull-out below "&amp;SG_Criteria!$B$51&amp;" kN. ","")&amp;IF(AND(R246&lt;&gt;"",IFERROR(VALUE(MID(R246,2,2)),0)&lt;SG_Criteria!$B$52),"FAIL: grade below C"&amp;SG_Criteria!$B$52&amp;". ","")&amp;IF(D246="Non-standard (project design)","NOTE: not an SDRE standard, needs LTA acceptance. ","")))</f>
        <v/>
      </c>
      <c r="AP246" s="9"/>
      <c r="AQ246" s="9"/>
      <c r="AR246" s="9"/>
      <c r="AS246" s="9"/>
      <c r="AT246" s="9"/>
      <c r="AU246" s="31"/>
      <c r="AV246" s="10" t="str">
        <f aca="false">IF(C246="","",IF(AND(X246="Approved",ISERROR(SEARCH("FAIL",AO246))),"Y","N"))</f>
        <v/>
      </c>
      <c r="AW246" s="10" t="str">
        <f aca="false">IF(C246="","",C246&amp;"|"&amp;E246&amp;"|"&amp;F246&amp;"|"&amp;AV246)</f>
        <v/>
      </c>
    </row>
    <row r="247" customFormat="false" ht="15" hidden="false" customHeight="false" outlineLevel="0" collapsed="false">
      <c r="A247" s="10" t="str">
        <f aca="false">IF(C247="","","LKW-"&amp;IFERROR(VLOOKUP(C247,Lists!$AQ$4:$AR$17,2,0),"??")&amp;"-W"&amp;TEXT(E247*1000,"0000")&amp;"-H"&amp;TEXT(F247*1000,"0000")&amp;"-B"&amp;TEXT(G247*1000,"0000")&amp;"-"&amp;W247)</f>
        <v/>
      </c>
      <c r="B247" s="10" t="str">
        <f aca="false">IF(C247="","",C247&amp;", "&amp;E247&amp;" m wide, "&amp;F247&amp;" m headroom, "&amp;G247&amp;" m bays, "&amp;H247&amp;" ("&amp;D247&amp;")")</f>
        <v/>
      </c>
      <c r="C247" s="9"/>
      <c r="D247" s="9"/>
      <c r="E247" s="43"/>
      <c r="F247" s="43"/>
      <c r="G247" s="43"/>
      <c r="H247" s="9"/>
      <c r="I247" s="9"/>
      <c r="J247" s="9"/>
      <c r="K247" s="9"/>
      <c r="L247" s="9"/>
      <c r="M247" s="9"/>
      <c r="N247" s="9"/>
      <c r="O247" s="9"/>
      <c r="P247" s="40"/>
      <c r="Q247" s="43"/>
      <c r="R247" s="9"/>
      <c r="S247" s="9"/>
      <c r="T247" s="9"/>
      <c r="U247" s="43"/>
      <c r="V247" s="9"/>
      <c r="W247" s="9"/>
      <c r="X247" s="9"/>
      <c r="Y247" s="9"/>
      <c r="Z247" s="9"/>
      <c r="AA247" s="9"/>
      <c r="AB247" s="10" t="str">
        <f aca="false">IF(A247="","",SG_Criteria!$B$6&amp;SG_Criteria!$B$12&amp;"\"&amp;A247&amp;"\")</f>
        <v/>
      </c>
      <c r="AC247" s="10" t="str">
        <f aca="false">IF(A247="","",A247&amp;"_CAD.dwg")</f>
        <v/>
      </c>
      <c r="AD247" s="10" t="str">
        <f aca="false">IF(A247="","",A247&amp;"_DWG.pdf")</f>
        <v/>
      </c>
      <c r="AE247" s="10" t="str">
        <f aca="false">IF(A247="","",IF(AA247="Y",A247&amp;"_STAAD.std","n/a"))</f>
        <v/>
      </c>
      <c r="AF247" s="10" t="str">
        <f aca="false">IF(A247="","",A247&amp;"_CALC.xlsx")</f>
        <v/>
      </c>
      <c r="AG247" s="10" t="str">
        <f aca="false">IF(A247="","",A247&amp;"_CALC.pdf")</f>
        <v/>
      </c>
      <c r="AH247" s="9"/>
      <c r="AI247" s="9"/>
      <c r="AJ247" s="41"/>
      <c r="AK247" s="41"/>
      <c r="AL247" s="41"/>
      <c r="AM247" s="41"/>
      <c r="AN247" s="41"/>
      <c r="AO247" s="38" t="str">
        <f aca="false">IF(C247="","",IF(LEN(IF(AND(C247&lt;&gt;"High Covered Linkway",F247&lt;SG_Criteria!$B$46),"FAIL: headroom below "&amp;SG_Criteria!$B$46&amp;" m. ","")&amp;IF(AND(C247="High Covered Linkway",F247&lt;SG_Criteria!$B$47),"FAIL: high linkway headroom below "&amp;SG_Criteria!$B$47&amp;" m. ","")&amp;IF(E247&lt;SG_Criteria!$B$48,"FAIL: roof width below "&amp;SG_Criteria!$B$48&amp;" m. ",IF(E247&lt;SG_Criteria!$B$49,"NOTE: not for MRT/LRT or high-traffic routes (min "&amp;SG_Criteria!$B$49&amp;" m). ",""))&amp;IF(AND(P247&lt;&gt;"",P247&lt;SG_Criteria!$B$50),"FAIL: wind speed below "&amp;SG_Criteria!$B$50&amp;" m/s. ","")&amp;IF(AND(Q247&lt;&gt;"",Q247&lt;SG_Criteria!$B$51),"FAIL: roof fixing pull-out below "&amp;SG_Criteria!$B$51&amp;" kN. ","")&amp;IF(AND(R247&lt;&gt;"",IFERROR(VALUE(MID(R247,2,2)),0)&lt;SG_Criteria!$B$52),"FAIL: grade below C"&amp;SG_Criteria!$B$52&amp;". ","")&amp;IF(D247="Non-standard (project design)","NOTE: not an SDRE standard, needs LTA acceptance. ",""))=0,"OK",IF(AND(C247&lt;&gt;"High Covered Linkway",F247&lt;SG_Criteria!$B$46),"FAIL: headroom below "&amp;SG_Criteria!$B$46&amp;" m. ","")&amp;IF(AND(C247="High Covered Linkway",F247&lt;SG_Criteria!$B$47),"FAIL: high linkway headroom below "&amp;SG_Criteria!$B$47&amp;" m. ","")&amp;IF(E247&lt;SG_Criteria!$B$48,"FAIL: roof width below "&amp;SG_Criteria!$B$48&amp;" m. ",IF(E247&lt;SG_Criteria!$B$49,"NOTE: not for MRT/LRT or high-traffic routes (min "&amp;SG_Criteria!$B$49&amp;" m). ",""))&amp;IF(AND(P247&lt;&gt;"",P247&lt;SG_Criteria!$B$50),"FAIL: wind speed below "&amp;SG_Criteria!$B$50&amp;" m/s. ","")&amp;IF(AND(Q247&lt;&gt;"",Q247&lt;SG_Criteria!$B$51),"FAIL: roof fixing pull-out below "&amp;SG_Criteria!$B$51&amp;" kN. ","")&amp;IF(AND(R247&lt;&gt;"",IFERROR(VALUE(MID(R247,2,2)),0)&lt;SG_Criteria!$B$52),"FAIL: grade below C"&amp;SG_Criteria!$B$52&amp;". ","")&amp;IF(D247="Non-standard (project design)","NOTE: not an SDRE standard, needs LTA acceptance. ","")))</f>
        <v/>
      </c>
      <c r="AP247" s="9"/>
      <c r="AQ247" s="9"/>
      <c r="AR247" s="9"/>
      <c r="AS247" s="9"/>
      <c r="AT247" s="9"/>
      <c r="AU247" s="31"/>
      <c r="AV247" s="10" t="str">
        <f aca="false">IF(C247="","",IF(AND(X247="Approved",ISERROR(SEARCH("FAIL",AO247))),"Y","N"))</f>
        <v/>
      </c>
      <c r="AW247" s="10" t="str">
        <f aca="false">IF(C247="","",C247&amp;"|"&amp;E247&amp;"|"&amp;F247&amp;"|"&amp;AV247)</f>
        <v/>
      </c>
    </row>
    <row r="248" customFormat="false" ht="15" hidden="false" customHeight="false" outlineLevel="0" collapsed="false">
      <c r="A248" s="10" t="str">
        <f aca="false">IF(C248="","","LKW-"&amp;IFERROR(VLOOKUP(C248,Lists!$AQ$4:$AR$17,2,0),"??")&amp;"-W"&amp;TEXT(E248*1000,"0000")&amp;"-H"&amp;TEXT(F248*1000,"0000")&amp;"-B"&amp;TEXT(G248*1000,"0000")&amp;"-"&amp;W248)</f>
        <v/>
      </c>
      <c r="B248" s="10" t="str">
        <f aca="false">IF(C248="","",C248&amp;", "&amp;E248&amp;" m wide, "&amp;F248&amp;" m headroom, "&amp;G248&amp;" m bays, "&amp;H248&amp;" ("&amp;D248&amp;")")</f>
        <v/>
      </c>
      <c r="C248" s="9"/>
      <c r="D248" s="9"/>
      <c r="E248" s="43"/>
      <c r="F248" s="43"/>
      <c r="G248" s="43"/>
      <c r="H248" s="9"/>
      <c r="I248" s="9"/>
      <c r="J248" s="9"/>
      <c r="K248" s="9"/>
      <c r="L248" s="9"/>
      <c r="M248" s="9"/>
      <c r="N248" s="9"/>
      <c r="O248" s="9"/>
      <c r="P248" s="40"/>
      <c r="Q248" s="43"/>
      <c r="R248" s="9"/>
      <c r="S248" s="9"/>
      <c r="T248" s="9"/>
      <c r="U248" s="43"/>
      <c r="V248" s="9"/>
      <c r="W248" s="9"/>
      <c r="X248" s="9"/>
      <c r="Y248" s="9"/>
      <c r="Z248" s="9"/>
      <c r="AA248" s="9"/>
      <c r="AB248" s="10" t="str">
        <f aca="false">IF(A248="","",SG_Criteria!$B$6&amp;SG_Criteria!$B$12&amp;"\"&amp;A248&amp;"\")</f>
        <v/>
      </c>
      <c r="AC248" s="10" t="str">
        <f aca="false">IF(A248="","",A248&amp;"_CAD.dwg")</f>
        <v/>
      </c>
      <c r="AD248" s="10" t="str">
        <f aca="false">IF(A248="","",A248&amp;"_DWG.pdf")</f>
        <v/>
      </c>
      <c r="AE248" s="10" t="str">
        <f aca="false">IF(A248="","",IF(AA248="Y",A248&amp;"_STAAD.std","n/a"))</f>
        <v/>
      </c>
      <c r="AF248" s="10" t="str">
        <f aca="false">IF(A248="","",A248&amp;"_CALC.xlsx")</f>
        <v/>
      </c>
      <c r="AG248" s="10" t="str">
        <f aca="false">IF(A248="","",A248&amp;"_CALC.pdf")</f>
        <v/>
      </c>
      <c r="AH248" s="9"/>
      <c r="AI248" s="9"/>
      <c r="AJ248" s="41"/>
      <c r="AK248" s="41"/>
      <c r="AL248" s="41"/>
      <c r="AM248" s="41"/>
      <c r="AN248" s="41"/>
      <c r="AO248" s="38" t="str">
        <f aca="false">IF(C248="","",IF(LEN(IF(AND(C248&lt;&gt;"High Covered Linkway",F248&lt;SG_Criteria!$B$46),"FAIL: headroom below "&amp;SG_Criteria!$B$46&amp;" m. ","")&amp;IF(AND(C248="High Covered Linkway",F248&lt;SG_Criteria!$B$47),"FAIL: high linkway headroom below "&amp;SG_Criteria!$B$47&amp;" m. ","")&amp;IF(E248&lt;SG_Criteria!$B$48,"FAIL: roof width below "&amp;SG_Criteria!$B$48&amp;" m. ",IF(E248&lt;SG_Criteria!$B$49,"NOTE: not for MRT/LRT or high-traffic routes (min "&amp;SG_Criteria!$B$49&amp;" m). ",""))&amp;IF(AND(P248&lt;&gt;"",P248&lt;SG_Criteria!$B$50),"FAIL: wind speed below "&amp;SG_Criteria!$B$50&amp;" m/s. ","")&amp;IF(AND(Q248&lt;&gt;"",Q248&lt;SG_Criteria!$B$51),"FAIL: roof fixing pull-out below "&amp;SG_Criteria!$B$51&amp;" kN. ","")&amp;IF(AND(R248&lt;&gt;"",IFERROR(VALUE(MID(R248,2,2)),0)&lt;SG_Criteria!$B$52),"FAIL: grade below C"&amp;SG_Criteria!$B$52&amp;". ","")&amp;IF(D248="Non-standard (project design)","NOTE: not an SDRE standard, needs LTA acceptance. ",""))=0,"OK",IF(AND(C248&lt;&gt;"High Covered Linkway",F248&lt;SG_Criteria!$B$46),"FAIL: headroom below "&amp;SG_Criteria!$B$46&amp;" m. ","")&amp;IF(AND(C248="High Covered Linkway",F248&lt;SG_Criteria!$B$47),"FAIL: high linkway headroom below "&amp;SG_Criteria!$B$47&amp;" m. ","")&amp;IF(E248&lt;SG_Criteria!$B$48,"FAIL: roof width below "&amp;SG_Criteria!$B$48&amp;" m. ",IF(E248&lt;SG_Criteria!$B$49,"NOTE: not for MRT/LRT or high-traffic routes (min "&amp;SG_Criteria!$B$49&amp;" m). ",""))&amp;IF(AND(P248&lt;&gt;"",P248&lt;SG_Criteria!$B$50),"FAIL: wind speed below "&amp;SG_Criteria!$B$50&amp;" m/s. ","")&amp;IF(AND(Q248&lt;&gt;"",Q248&lt;SG_Criteria!$B$51),"FAIL: roof fixing pull-out below "&amp;SG_Criteria!$B$51&amp;" kN. ","")&amp;IF(AND(R248&lt;&gt;"",IFERROR(VALUE(MID(R248,2,2)),0)&lt;SG_Criteria!$B$52),"FAIL: grade below C"&amp;SG_Criteria!$B$52&amp;". ","")&amp;IF(D248="Non-standard (project design)","NOTE: not an SDRE standard, needs LTA acceptance. ","")))</f>
        <v/>
      </c>
      <c r="AP248" s="9"/>
      <c r="AQ248" s="9"/>
      <c r="AR248" s="9"/>
      <c r="AS248" s="9"/>
      <c r="AT248" s="9"/>
      <c r="AU248" s="31"/>
      <c r="AV248" s="10" t="str">
        <f aca="false">IF(C248="","",IF(AND(X248="Approved",ISERROR(SEARCH("FAIL",AO248))),"Y","N"))</f>
        <v/>
      </c>
      <c r="AW248" s="10" t="str">
        <f aca="false">IF(C248="","",C248&amp;"|"&amp;E248&amp;"|"&amp;F248&amp;"|"&amp;AV248)</f>
        <v/>
      </c>
    </row>
    <row r="249" customFormat="false" ht="15" hidden="false" customHeight="false" outlineLevel="0" collapsed="false">
      <c r="A249" s="10" t="str">
        <f aca="false">IF(C249="","","LKW-"&amp;IFERROR(VLOOKUP(C249,Lists!$AQ$4:$AR$17,2,0),"??")&amp;"-W"&amp;TEXT(E249*1000,"0000")&amp;"-H"&amp;TEXT(F249*1000,"0000")&amp;"-B"&amp;TEXT(G249*1000,"0000")&amp;"-"&amp;W249)</f>
        <v/>
      </c>
      <c r="B249" s="10" t="str">
        <f aca="false">IF(C249="","",C249&amp;", "&amp;E249&amp;" m wide, "&amp;F249&amp;" m headroom, "&amp;G249&amp;" m bays, "&amp;H249&amp;" ("&amp;D249&amp;")")</f>
        <v/>
      </c>
      <c r="C249" s="9"/>
      <c r="D249" s="9"/>
      <c r="E249" s="43"/>
      <c r="F249" s="43"/>
      <c r="G249" s="43"/>
      <c r="H249" s="9"/>
      <c r="I249" s="9"/>
      <c r="J249" s="9"/>
      <c r="K249" s="9"/>
      <c r="L249" s="9"/>
      <c r="M249" s="9"/>
      <c r="N249" s="9"/>
      <c r="O249" s="9"/>
      <c r="P249" s="40"/>
      <c r="Q249" s="43"/>
      <c r="R249" s="9"/>
      <c r="S249" s="9"/>
      <c r="T249" s="9"/>
      <c r="U249" s="43"/>
      <c r="V249" s="9"/>
      <c r="W249" s="9"/>
      <c r="X249" s="9"/>
      <c r="Y249" s="9"/>
      <c r="Z249" s="9"/>
      <c r="AA249" s="9"/>
      <c r="AB249" s="10" t="str">
        <f aca="false">IF(A249="","",SG_Criteria!$B$6&amp;SG_Criteria!$B$12&amp;"\"&amp;A249&amp;"\")</f>
        <v/>
      </c>
      <c r="AC249" s="10" t="str">
        <f aca="false">IF(A249="","",A249&amp;"_CAD.dwg")</f>
        <v/>
      </c>
      <c r="AD249" s="10" t="str">
        <f aca="false">IF(A249="","",A249&amp;"_DWG.pdf")</f>
        <v/>
      </c>
      <c r="AE249" s="10" t="str">
        <f aca="false">IF(A249="","",IF(AA249="Y",A249&amp;"_STAAD.std","n/a"))</f>
        <v/>
      </c>
      <c r="AF249" s="10" t="str">
        <f aca="false">IF(A249="","",A249&amp;"_CALC.xlsx")</f>
        <v/>
      </c>
      <c r="AG249" s="10" t="str">
        <f aca="false">IF(A249="","",A249&amp;"_CALC.pdf")</f>
        <v/>
      </c>
      <c r="AH249" s="9"/>
      <c r="AI249" s="9"/>
      <c r="AJ249" s="41"/>
      <c r="AK249" s="41"/>
      <c r="AL249" s="41"/>
      <c r="AM249" s="41"/>
      <c r="AN249" s="41"/>
      <c r="AO249" s="38" t="str">
        <f aca="false">IF(C249="","",IF(LEN(IF(AND(C249&lt;&gt;"High Covered Linkway",F249&lt;SG_Criteria!$B$46),"FAIL: headroom below "&amp;SG_Criteria!$B$46&amp;" m. ","")&amp;IF(AND(C249="High Covered Linkway",F249&lt;SG_Criteria!$B$47),"FAIL: high linkway headroom below "&amp;SG_Criteria!$B$47&amp;" m. ","")&amp;IF(E249&lt;SG_Criteria!$B$48,"FAIL: roof width below "&amp;SG_Criteria!$B$48&amp;" m. ",IF(E249&lt;SG_Criteria!$B$49,"NOTE: not for MRT/LRT or high-traffic routes (min "&amp;SG_Criteria!$B$49&amp;" m). ",""))&amp;IF(AND(P249&lt;&gt;"",P249&lt;SG_Criteria!$B$50),"FAIL: wind speed below "&amp;SG_Criteria!$B$50&amp;" m/s. ","")&amp;IF(AND(Q249&lt;&gt;"",Q249&lt;SG_Criteria!$B$51),"FAIL: roof fixing pull-out below "&amp;SG_Criteria!$B$51&amp;" kN. ","")&amp;IF(AND(R249&lt;&gt;"",IFERROR(VALUE(MID(R249,2,2)),0)&lt;SG_Criteria!$B$52),"FAIL: grade below C"&amp;SG_Criteria!$B$52&amp;". ","")&amp;IF(D249="Non-standard (project design)","NOTE: not an SDRE standard, needs LTA acceptance. ",""))=0,"OK",IF(AND(C249&lt;&gt;"High Covered Linkway",F249&lt;SG_Criteria!$B$46),"FAIL: headroom below "&amp;SG_Criteria!$B$46&amp;" m. ","")&amp;IF(AND(C249="High Covered Linkway",F249&lt;SG_Criteria!$B$47),"FAIL: high linkway headroom below "&amp;SG_Criteria!$B$47&amp;" m. ","")&amp;IF(E249&lt;SG_Criteria!$B$48,"FAIL: roof width below "&amp;SG_Criteria!$B$48&amp;" m. ",IF(E249&lt;SG_Criteria!$B$49,"NOTE: not for MRT/LRT or high-traffic routes (min "&amp;SG_Criteria!$B$49&amp;" m). ",""))&amp;IF(AND(P249&lt;&gt;"",P249&lt;SG_Criteria!$B$50),"FAIL: wind speed below "&amp;SG_Criteria!$B$50&amp;" m/s. ","")&amp;IF(AND(Q249&lt;&gt;"",Q249&lt;SG_Criteria!$B$51),"FAIL: roof fixing pull-out below "&amp;SG_Criteria!$B$51&amp;" kN. ","")&amp;IF(AND(R249&lt;&gt;"",IFERROR(VALUE(MID(R249,2,2)),0)&lt;SG_Criteria!$B$52),"FAIL: grade below C"&amp;SG_Criteria!$B$52&amp;". ","")&amp;IF(D249="Non-standard (project design)","NOTE: not an SDRE standard, needs LTA acceptance. ","")))</f>
        <v/>
      </c>
      <c r="AP249" s="9"/>
      <c r="AQ249" s="9"/>
      <c r="AR249" s="9"/>
      <c r="AS249" s="9"/>
      <c r="AT249" s="9"/>
      <c r="AU249" s="31"/>
      <c r="AV249" s="10" t="str">
        <f aca="false">IF(C249="","",IF(AND(X249="Approved",ISERROR(SEARCH("FAIL",AO249))),"Y","N"))</f>
        <v/>
      </c>
      <c r="AW249" s="10" t="str">
        <f aca="false">IF(C249="","",C249&amp;"|"&amp;E249&amp;"|"&amp;F249&amp;"|"&amp;AV249)</f>
        <v/>
      </c>
    </row>
    <row r="250" customFormat="false" ht="15" hidden="false" customHeight="false" outlineLevel="0" collapsed="false">
      <c r="A250" s="10" t="str">
        <f aca="false">IF(C250="","","LKW-"&amp;IFERROR(VLOOKUP(C250,Lists!$AQ$4:$AR$17,2,0),"??")&amp;"-W"&amp;TEXT(E250*1000,"0000")&amp;"-H"&amp;TEXT(F250*1000,"0000")&amp;"-B"&amp;TEXT(G250*1000,"0000")&amp;"-"&amp;W250)</f>
        <v/>
      </c>
      <c r="B250" s="10" t="str">
        <f aca="false">IF(C250="","",C250&amp;", "&amp;E250&amp;" m wide, "&amp;F250&amp;" m headroom, "&amp;G250&amp;" m bays, "&amp;H250&amp;" ("&amp;D250&amp;")")</f>
        <v/>
      </c>
      <c r="C250" s="9"/>
      <c r="D250" s="9"/>
      <c r="E250" s="43"/>
      <c r="F250" s="43"/>
      <c r="G250" s="43"/>
      <c r="H250" s="9"/>
      <c r="I250" s="9"/>
      <c r="J250" s="9"/>
      <c r="K250" s="9"/>
      <c r="L250" s="9"/>
      <c r="M250" s="9"/>
      <c r="N250" s="9"/>
      <c r="O250" s="9"/>
      <c r="P250" s="40"/>
      <c r="Q250" s="43"/>
      <c r="R250" s="9"/>
      <c r="S250" s="9"/>
      <c r="T250" s="9"/>
      <c r="U250" s="43"/>
      <c r="V250" s="9"/>
      <c r="W250" s="9"/>
      <c r="X250" s="9"/>
      <c r="Y250" s="9"/>
      <c r="Z250" s="9"/>
      <c r="AA250" s="9"/>
      <c r="AB250" s="10" t="str">
        <f aca="false">IF(A250="","",SG_Criteria!$B$6&amp;SG_Criteria!$B$12&amp;"\"&amp;A250&amp;"\")</f>
        <v/>
      </c>
      <c r="AC250" s="10" t="str">
        <f aca="false">IF(A250="","",A250&amp;"_CAD.dwg")</f>
        <v/>
      </c>
      <c r="AD250" s="10" t="str">
        <f aca="false">IF(A250="","",A250&amp;"_DWG.pdf")</f>
        <v/>
      </c>
      <c r="AE250" s="10" t="str">
        <f aca="false">IF(A250="","",IF(AA250="Y",A250&amp;"_STAAD.std","n/a"))</f>
        <v/>
      </c>
      <c r="AF250" s="10" t="str">
        <f aca="false">IF(A250="","",A250&amp;"_CALC.xlsx")</f>
        <v/>
      </c>
      <c r="AG250" s="10" t="str">
        <f aca="false">IF(A250="","",A250&amp;"_CALC.pdf")</f>
        <v/>
      </c>
      <c r="AH250" s="9"/>
      <c r="AI250" s="9"/>
      <c r="AJ250" s="41"/>
      <c r="AK250" s="41"/>
      <c r="AL250" s="41"/>
      <c r="AM250" s="41"/>
      <c r="AN250" s="41"/>
      <c r="AO250" s="38" t="str">
        <f aca="false">IF(C250="","",IF(LEN(IF(AND(C250&lt;&gt;"High Covered Linkway",F250&lt;SG_Criteria!$B$46),"FAIL: headroom below "&amp;SG_Criteria!$B$46&amp;" m. ","")&amp;IF(AND(C250="High Covered Linkway",F250&lt;SG_Criteria!$B$47),"FAIL: high linkway headroom below "&amp;SG_Criteria!$B$47&amp;" m. ","")&amp;IF(E250&lt;SG_Criteria!$B$48,"FAIL: roof width below "&amp;SG_Criteria!$B$48&amp;" m. ",IF(E250&lt;SG_Criteria!$B$49,"NOTE: not for MRT/LRT or high-traffic routes (min "&amp;SG_Criteria!$B$49&amp;" m). ",""))&amp;IF(AND(P250&lt;&gt;"",P250&lt;SG_Criteria!$B$50),"FAIL: wind speed below "&amp;SG_Criteria!$B$50&amp;" m/s. ","")&amp;IF(AND(Q250&lt;&gt;"",Q250&lt;SG_Criteria!$B$51),"FAIL: roof fixing pull-out below "&amp;SG_Criteria!$B$51&amp;" kN. ","")&amp;IF(AND(R250&lt;&gt;"",IFERROR(VALUE(MID(R250,2,2)),0)&lt;SG_Criteria!$B$52),"FAIL: grade below C"&amp;SG_Criteria!$B$52&amp;". ","")&amp;IF(D250="Non-standard (project design)","NOTE: not an SDRE standard, needs LTA acceptance. ",""))=0,"OK",IF(AND(C250&lt;&gt;"High Covered Linkway",F250&lt;SG_Criteria!$B$46),"FAIL: headroom below "&amp;SG_Criteria!$B$46&amp;" m. ","")&amp;IF(AND(C250="High Covered Linkway",F250&lt;SG_Criteria!$B$47),"FAIL: high linkway headroom below "&amp;SG_Criteria!$B$47&amp;" m. ","")&amp;IF(E250&lt;SG_Criteria!$B$48,"FAIL: roof width below "&amp;SG_Criteria!$B$48&amp;" m. ",IF(E250&lt;SG_Criteria!$B$49,"NOTE: not for MRT/LRT or high-traffic routes (min "&amp;SG_Criteria!$B$49&amp;" m). ",""))&amp;IF(AND(P250&lt;&gt;"",P250&lt;SG_Criteria!$B$50),"FAIL: wind speed below "&amp;SG_Criteria!$B$50&amp;" m/s. ","")&amp;IF(AND(Q250&lt;&gt;"",Q250&lt;SG_Criteria!$B$51),"FAIL: roof fixing pull-out below "&amp;SG_Criteria!$B$51&amp;" kN. ","")&amp;IF(AND(R250&lt;&gt;"",IFERROR(VALUE(MID(R250,2,2)),0)&lt;SG_Criteria!$B$52),"FAIL: grade below C"&amp;SG_Criteria!$B$52&amp;". ","")&amp;IF(D250="Non-standard (project design)","NOTE: not an SDRE standard, needs LTA acceptance. ","")))</f>
        <v/>
      </c>
      <c r="AP250" s="9"/>
      <c r="AQ250" s="9"/>
      <c r="AR250" s="9"/>
      <c r="AS250" s="9"/>
      <c r="AT250" s="9"/>
      <c r="AU250" s="31"/>
      <c r="AV250" s="10" t="str">
        <f aca="false">IF(C250="","",IF(AND(X250="Approved",ISERROR(SEARCH("FAIL",AO250))),"Y","N"))</f>
        <v/>
      </c>
      <c r="AW250" s="10" t="str">
        <f aca="false">IF(C250="","",C250&amp;"|"&amp;E250&amp;"|"&amp;F250&amp;"|"&amp;AV250)</f>
        <v/>
      </c>
    </row>
    <row r="251" customFormat="false" ht="15" hidden="false" customHeight="false" outlineLevel="0" collapsed="false">
      <c r="A251" s="10" t="str">
        <f aca="false">IF(C251="","","LKW-"&amp;IFERROR(VLOOKUP(C251,Lists!$AQ$4:$AR$17,2,0),"??")&amp;"-W"&amp;TEXT(E251*1000,"0000")&amp;"-H"&amp;TEXT(F251*1000,"0000")&amp;"-B"&amp;TEXT(G251*1000,"0000")&amp;"-"&amp;W251)</f>
        <v/>
      </c>
      <c r="B251" s="10" t="str">
        <f aca="false">IF(C251="","",C251&amp;", "&amp;E251&amp;" m wide, "&amp;F251&amp;" m headroom, "&amp;G251&amp;" m bays, "&amp;H251&amp;" ("&amp;D251&amp;")")</f>
        <v/>
      </c>
      <c r="C251" s="9"/>
      <c r="D251" s="9"/>
      <c r="E251" s="43"/>
      <c r="F251" s="43"/>
      <c r="G251" s="43"/>
      <c r="H251" s="9"/>
      <c r="I251" s="9"/>
      <c r="J251" s="9"/>
      <c r="K251" s="9"/>
      <c r="L251" s="9"/>
      <c r="M251" s="9"/>
      <c r="N251" s="9"/>
      <c r="O251" s="9"/>
      <c r="P251" s="40"/>
      <c r="Q251" s="43"/>
      <c r="R251" s="9"/>
      <c r="S251" s="9"/>
      <c r="T251" s="9"/>
      <c r="U251" s="43"/>
      <c r="V251" s="9"/>
      <c r="W251" s="9"/>
      <c r="X251" s="9"/>
      <c r="Y251" s="9"/>
      <c r="Z251" s="9"/>
      <c r="AA251" s="9"/>
      <c r="AB251" s="10" t="str">
        <f aca="false">IF(A251="","",SG_Criteria!$B$6&amp;SG_Criteria!$B$12&amp;"\"&amp;A251&amp;"\")</f>
        <v/>
      </c>
      <c r="AC251" s="10" t="str">
        <f aca="false">IF(A251="","",A251&amp;"_CAD.dwg")</f>
        <v/>
      </c>
      <c r="AD251" s="10" t="str">
        <f aca="false">IF(A251="","",A251&amp;"_DWG.pdf")</f>
        <v/>
      </c>
      <c r="AE251" s="10" t="str">
        <f aca="false">IF(A251="","",IF(AA251="Y",A251&amp;"_STAAD.std","n/a"))</f>
        <v/>
      </c>
      <c r="AF251" s="10" t="str">
        <f aca="false">IF(A251="","",A251&amp;"_CALC.xlsx")</f>
        <v/>
      </c>
      <c r="AG251" s="10" t="str">
        <f aca="false">IF(A251="","",A251&amp;"_CALC.pdf")</f>
        <v/>
      </c>
      <c r="AH251" s="9"/>
      <c r="AI251" s="9"/>
      <c r="AJ251" s="41"/>
      <c r="AK251" s="41"/>
      <c r="AL251" s="41"/>
      <c r="AM251" s="41"/>
      <c r="AN251" s="41"/>
      <c r="AO251" s="38" t="str">
        <f aca="false">IF(C251="","",IF(LEN(IF(AND(C251&lt;&gt;"High Covered Linkway",F251&lt;SG_Criteria!$B$46),"FAIL: headroom below "&amp;SG_Criteria!$B$46&amp;" m. ","")&amp;IF(AND(C251="High Covered Linkway",F251&lt;SG_Criteria!$B$47),"FAIL: high linkway headroom below "&amp;SG_Criteria!$B$47&amp;" m. ","")&amp;IF(E251&lt;SG_Criteria!$B$48,"FAIL: roof width below "&amp;SG_Criteria!$B$48&amp;" m. ",IF(E251&lt;SG_Criteria!$B$49,"NOTE: not for MRT/LRT or high-traffic routes (min "&amp;SG_Criteria!$B$49&amp;" m). ",""))&amp;IF(AND(P251&lt;&gt;"",P251&lt;SG_Criteria!$B$50),"FAIL: wind speed below "&amp;SG_Criteria!$B$50&amp;" m/s. ","")&amp;IF(AND(Q251&lt;&gt;"",Q251&lt;SG_Criteria!$B$51),"FAIL: roof fixing pull-out below "&amp;SG_Criteria!$B$51&amp;" kN. ","")&amp;IF(AND(R251&lt;&gt;"",IFERROR(VALUE(MID(R251,2,2)),0)&lt;SG_Criteria!$B$52),"FAIL: grade below C"&amp;SG_Criteria!$B$52&amp;". ","")&amp;IF(D251="Non-standard (project design)","NOTE: not an SDRE standard, needs LTA acceptance. ",""))=0,"OK",IF(AND(C251&lt;&gt;"High Covered Linkway",F251&lt;SG_Criteria!$B$46),"FAIL: headroom below "&amp;SG_Criteria!$B$46&amp;" m. ","")&amp;IF(AND(C251="High Covered Linkway",F251&lt;SG_Criteria!$B$47),"FAIL: high linkway headroom below "&amp;SG_Criteria!$B$47&amp;" m. ","")&amp;IF(E251&lt;SG_Criteria!$B$48,"FAIL: roof width below "&amp;SG_Criteria!$B$48&amp;" m. ",IF(E251&lt;SG_Criteria!$B$49,"NOTE: not for MRT/LRT or high-traffic routes (min "&amp;SG_Criteria!$B$49&amp;" m). ",""))&amp;IF(AND(P251&lt;&gt;"",P251&lt;SG_Criteria!$B$50),"FAIL: wind speed below "&amp;SG_Criteria!$B$50&amp;" m/s. ","")&amp;IF(AND(Q251&lt;&gt;"",Q251&lt;SG_Criteria!$B$51),"FAIL: roof fixing pull-out below "&amp;SG_Criteria!$B$51&amp;" kN. ","")&amp;IF(AND(R251&lt;&gt;"",IFERROR(VALUE(MID(R251,2,2)),0)&lt;SG_Criteria!$B$52),"FAIL: grade below C"&amp;SG_Criteria!$B$52&amp;". ","")&amp;IF(D251="Non-standard (project design)","NOTE: not an SDRE standard, needs LTA acceptance. ","")))</f>
        <v/>
      </c>
      <c r="AP251" s="9"/>
      <c r="AQ251" s="9"/>
      <c r="AR251" s="9"/>
      <c r="AS251" s="9"/>
      <c r="AT251" s="9"/>
      <c r="AU251" s="31"/>
      <c r="AV251" s="10" t="str">
        <f aca="false">IF(C251="","",IF(AND(X251="Approved",ISERROR(SEARCH("FAIL",AO251))),"Y","N"))</f>
        <v/>
      </c>
      <c r="AW251" s="10" t="str">
        <f aca="false">IF(C251="","",C251&amp;"|"&amp;E251&amp;"|"&amp;F251&amp;"|"&amp;AV251)</f>
        <v/>
      </c>
    </row>
    <row r="252" customFormat="false" ht="15" hidden="false" customHeight="false" outlineLevel="0" collapsed="false">
      <c r="A252" s="10" t="str">
        <f aca="false">IF(C252="","","LKW-"&amp;IFERROR(VLOOKUP(C252,Lists!$AQ$4:$AR$17,2,0),"??")&amp;"-W"&amp;TEXT(E252*1000,"0000")&amp;"-H"&amp;TEXT(F252*1000,"0000")&amp;"-B"&amp;TEXT(G252*1000,"0000")&amp;"-"&amp;W252)</f>
        <v/>
      </c>
      <c r="B252" s="10" t="str">
        <f aca="false">IF(C252="","",C252&amp;", "&amp;E252&amp;" m wide, "&amp;F252&amp;" m headroom, "&amp;G252&amp;" m bays, "&amp;H252&amp;" ("&amp;D252&amp;")")</f>
        <v/>
      </c>
      <c r="C252" s="9"/>
      <c r="D252" s="9"/>
      <c r="E252" s="43"/>
      <c r="F252" s="43"/>
      <c r="G252" s="43"/>
      <c r="H252" s="9"/>
      <c r="I252" s="9"/>
      <c r="J252" s="9"/>
      <c r="K252" s="9"/>
      <c r="L252" s="9"/>
      <c r="M252" s="9"/>
      <c r="N252" s="9"/>
      <c r="O252" s="9"/>
      <c r="P252" s="40"/>
      <c r="Q252" s="43"/>
      <c r="R252" s="9"/>
      <c r="S252" s="9"/>
      <c r="T252" s="9"/>
      <c r="U252" s="43"/>
      <c r="V252" s="9"/>
      <c r="W252" s="9"/>
      <c r="X252" s="9"/>
      <c r="Y252" s="9"/>
      <c r="Z252" s="9"/>
      <c r="AA252" s="9"/>
      <c r="AB252" s="10" t="str">
        <f aca="false">IF(A252="","",SG_Criteria!$B$6&amp;SG_Criteria!$B$12&amp;"\"&amp;A252&amp;"\")</f>
        <v/>
      </c>
      <c r="AC252" s="10" t="str">
        <f aca="false">IF(A252="","",A252&amp;"_CAD.dwg")</f>
        <v/>
      </c>
      <c r="AD252" s="10" t="str">
        <f aca="false">IF(A252="","",A252&amp;"_DWG.pdf")</f>
        <v/>
      </c>
      <c r="AE252" s="10" t="str">
        <f aca="false">IF(A252="","",IF(AA252="Y",A252&amp;"_STAAD.std","n/a"))</f>
        <v/>
      </c>
      <c r="AF252" s="10" t="str">
        <f aca="false">IF(A252="","",A252&amp;"_CALC.xlsx")</f>
        <v/>
      </c>
      <c r="AG252" s="10" t="str">
        <f aca="false">IF(A252="","",A252&amp;"_CALC.pdf")</f>
        <v/>
      </c>
      <c r="AH252" s="9"/>
      <c r="AI252" s="9"/>
      <c r="AJ252" s="41"/>
      <c r="AK252" s="41"/>
      <c r="AL252" s="41"/>
      <c r="AM252" s="41"/>
      <c r="AN252" s="41"/>
      <c r="AO252" s="38" t="str">
        <f aca="false">IF(C252="","",IF(LEN(IF(AND(C252&lt;&gt;"High Covered Linkway",F252&lt;SG_Criteria!$B$46),"FAIL: headroom below "&amp;SG_Criteria!$B$46&amp;" m. ","")&amp;IF(AND(C252="High Covered Linkway",F252&lt;SG_Criteria!$B$47),"FAIL: high linkway headroom below "&amp;SG_Criteria!$B$47&amp;" m. ","")&amp;IF(E252&lt;SG_Criteria!$B$48,"FAIL: roof width below "&amp;SG_Criteria!$B$48&amp;" m. ",IF(E252&lt;SG_Criteria!$B$49,"NOTE: not for MRT/LRT or high-traffic routes (min "&amp;SG_Criteria!$B$49&amp;" m). ",""))&amp;IF(AND(P252&lt;&gt;"",P252&lt;SG_Criteria!$B$50),"FAIL: wind speed below "&amp;SG_Criteria!$B$50&amp;" m/s. ","")&amp;IF(AND(Q252&lt;&gt;"",Q252&lt;SG_Criteria!$B$51),"FAIL: roof fixing pull-out below "&amp;SG_Criteria!$B$51&amp;" kN. ","")&amp;IF(AND(R252&lt;&gt;"",IFERROR(VALUE(MID(R252,2,2)),0)&lt;SG_Criteria!$B$52),"FAIL: grade below C"&amp;SG_Criteria!$B$52&amp;". ","")&amp;IF(D252="Non-standard (project design)","NOTE: not an SDRE standard, needs LTA acceptance. ",""))=0,"OK",IF(AND(C252&lt;&gt;"High Covered Linkway",F252&lt;SG_Criteria!$B$46),"FAIL: headroom below "&amp;SG_Criteria!$B$46&amp;" m. ","")&amp;IF(AND(C252="High Covered Linkway",F252&lt;SG_Criteria!$B$47),"FAIL: high linkway headroom below "&amp;SG_Criteria!$B$47&amp;" m. ","")&amp;IF(E252&lt;SG_Criteria!$B$48,"FAIL: roof width below "&amp;SG_Criteria!$B$48&amp;" m. ",IF(E252&lt;SG_Criteria!$B$49,"NOTE: not for MRT/LRT or high-traffic routes (min "&amp;SG_Criteria!$B$49&amp;" m). ",""))&amp;IF(AND(P252&lt;&gt;"",P252&lt;SG_Criteria!$B$50),"FAIL: wind speed below "&amp;SG_Criteria!$B$50&amp;" m/s. ","")&amp;IF(AND(Q252&lt;&gt;"",Q252&lt;SG_Criteria!$B$51),"FAIL: roof fixing pull-out below "&amp;SG_Criteria!$B$51&amp;" kN. ","")&amp;IF(AND(R252&lt;&gt;"",IFERROR(VALUE(MID(R252,2,2)),0)&lt;SG_Criteria!$B$52),"FAIL: grade below C"&amp;SG_Criteria!$B$52&amp;". ","")&amp;IF(D252="Non-standard (project design)","NOTE: not an SDRE standard, needs LTA acceptance. ","")))</f>
        <v/>
      </c>
      <c r="AP252" s="9"/>
      <c r="AQ252" s="9"/>
      <c r="AR252" s="9"/>
      <c r="AS252" s="9"/>
      <c r="AT252" s="9"/>
      <c r="AU252" s="31"/>
      <c r="AV252" s="10" t="str">
        <f aca="false">IF(C252="","",IF(AND(X252="Approved",ISERROR(SEARCH("FAIL",AO252))),"Y","N"))</f>
        <v/>
      </c>
      <c r="AW252" s="10" t="str">
        <f aca="false">IF(C252="","",C252&amp;"|"&amp;E252&amp;"|"&amp;F252&amp;"|"&amp;AV252)</f>
        <v/>
      </c>
    </row>
    <row r="253" customFormat="false" ht="15" hidden="false" customHeight="false" outlineLevel="0" collapsed="false">
      <c r="A253" s="10" t="str">
        <f aca="false">IF(C253="","","LKW-"&amp;IFERROR(VLOOKUP(C253,Lists!$AQ$4:$AR$17,2,0),"??")&amp;"-W"&amp;TEXT(E253*1000,"0000")&amp;"-H"&amp;TEXT(F253*1000,"0000")&amp;"-B"&amp;TEXT(G253*1000,"0000")&amp;"-"&amp;W253)</f>
        <v/>
      </c>
      <c r="B253" s="10" t="str">
        <f aca="false">IF(C253="","",C253&amp;", "&amp;E253&amp;" m wide, "&amp;F253&amp;" m headroom, "&amp;G253&amp;" m bays, "&amp;H253&amp;" ("&amp;D253&amp;")")</f>
        <v/>
      </c>
      <c r="C253" s="9"/>
      <c r="D253" s="9"/>
      <c r="E253" s="43"/>
      <c r="F253" s="43"/>
      <c r="G253" s="43"/>
      <c r="H253" s="9"/>
      <c r="I253" s="9"/>
      <c r="J253" s="9"/>
      <c r="K253" s="9"/>
      <c r="L253" s="9"/>
      <c r="M253" s="9"/>
      <c r="N253" s="9"/>
      <c r="O253" s="9"/>
      <c r="P253" s="40"/>
      <c r="Q253" s="43"/>
      <c r="R253" s="9"/>
      <c r="S253" s="9"/>
      <c r="T253" s="9"/>
      <c r="U253" s="43"/>
      <c r="V253" s="9"/>
      <c r="W253" s="9"/>
      <c r="X253" s="9"/>
      <c r="Y253" s="9"/>
      <c r="Z253" s="9"/>
      <c r="AA253" s="9"/>
      <c r="AB253" s="10" t="str">
        <f aca="false">IF(A253="","",SG_Criteria!$B$6&amp;SG_Criteria!$B$12&amp;"\"&amp;A253&amp;"\")</f>
        <v/>
      </c>
      <c r="AC253" s="10" t="str">
        <f aca="false">IF(A253="","",A253&amp;"_CAD.dwg")</f>
        <v/>
      </c>
      <c r="AD253" s="10" t="str">
        <f aca="false">IF(A253="","",A253&amp;"_DWG.pdf")</f>
        <v/>
      </c>
      <c r="AE253" s="10" t="str">
        <f aca="false">IF(A253="","",IF(AA253="Y",A253&amp;"_STAAD.std","n/a"))</f>
        <v/>
      </c>
      <c r="AF253" s="10" t="str">
        <f aca="false">IF(A253="","",A253&amp;"_CALC.xlsx")</f>
        <v/>
      </c>
      <c r="AG253" s="10" t="str">
        <f aca="false">IF(A253="","",A253&amp;"_CALC.pdf")</f>
        <v/>
      </c>
      <c r="AH253" s="9"/>
      <c r="AI253" s="9"/>
      <c r="AJ253" s="41"/>
      <c r="AK253" s="41"/>
      <c r="AL253" s="41"/>
      <c r="AM253" s="41"/>
      <c r="AN253" s="41"/>
      <c r="AO253" s="38" t="str">
        <f aca="false">IF(C253="","",IF(LEN(IF(AND(C253&lt;&gt;"High Covered Linkway",F253&lt;SG_Criteria!$B$46),"FAIL: headroom below "&amp;SG_Criteria!$B$46&amp;" m. ","")&amp;IF(AND(C253="High Covered Linkway",F253&lt;SG_Criteria!$B$47),"FAIL: high linkway headroom below "&amp;SG_Criteria!$B$47&amp;" m. ","")&amp;IF(E253&lt;SG_Criteria!$B$48,"FAIL: roof width below "&amp;SG_Criteria!$B$48&amp;" m. ",IF(E253&lt;SG_Criteria!$B$49,"NOTE: not for MRT/LRT or high-traffic routes (min "&amp;SG_Criteria!$B$49&amp;" m). ",""))&amp;IF(AND(P253&lt;&gt;"",P253&lt;SG_Criteria!$B$50),"FAIL: wind speed below "&amp;SG_Criteria!$B$50&amp;" m/s. ","")&amp;IF(AND(Q253&lt;&gt;"",Q253&lt;SG_Criteria!$B$51),"FAIL: roof fixing pull-out below "&amp;SG_Criteria!$B$51&amp;" kN. ","")&amp;IF(AND(R253&lt;&gt;"",IFERROR(VALUE(MID(R253,2,2)),0)&lt;SG_Criteria!$B$52),"FAIL: grade below C"&amp;SG_Criteria!$B$52&amp;". ","")&amp;IF(D253="Non-standard (project design)","NOTE: not an SDRE standard, needs LTA acceptance. ",""))=0,"OK",IF(AND(C253&lt;&gt;"High Covered Linkway",F253&lt;SG_Criteria!$B$46),"FAIL: headroom below "&amp;SG_Criteria!$B$46&amp;" m. ","")&amp;IF(AND(C253="High Covered Linkway",F253&lt;SG_Criteria!$B$47),"FAIL: high linkway headroom below "&amp;SG_Criteria!$B$47&amp;" m. ","")&amp;IF(E253&lt;SG_Criteria!$B$48,"FAIL: roof width below "&amp;SG_Criteria!$B$48&amp;" m. ",IF(E253&lt;SG_Criteria!$B$49,"NOTE: not for MRT/LRT or high-traffic routes (min "&amp;SG_Criteria!$B$49&amp;" m). ",""))&amp;IF(AND(P253&lt;&gt;"",P253&lt;SG_Criteria!$B$50),"FAIL: wind speed below "&amp;SG_Criteria!$B$50&amp;" m/s. ","")&amp;IF(AND(Q253&lt;&gt;"",Q253&lt;SG_Criteria!$B$51),"FAIL: roof fixing pull-out below "&amp;SG_Criteria!$B$51&amp;" kN. ","")&amp;IF(AND(R253&lt;&gt;"",IFERROR(VALUE(MID(R253,2,2)),0)&lt;SG_Criteria!$B$52),"FAIL: grade below C"&amp;SG_Criteria!$B$52&amp;". ","")&amp;IF(D253="Non-standard (project design)","NOTE: not an SDRE standard, needs LTA acceptance. ","")))</f>
        <v/>
      </c>
      <c r="AP253" s="9"/>
      <c r="AQ253" s="9"/>
      <c r="AR253" s="9"/>
      <c r="AS253" s="9"/>
      <c r="AT253" s="9"/>
      <c r="AU253" s="31"/>
      <c r="AV253" s="10" t="str">
        <f aca="false">IF(C253="","",IF(AND(X253="Approved",ISERROR(SEARCH("FAIL",AO253))),"Y","N"))</f>
        <v/>
      </c>
      <c r="AW253" s="10" t="str">
        <f aca="false">IF(C253="","",C253&amp;"|"&amp;E253&amp;"|"&amp;F253&amp;"|"&amp;AV253)</f>
        <v/>
      </c>
    </row>
    <row r="254" customFormat="false" ht="15" hidden="false" customHeight="false" outlineLevel="0" collapsed="false">
      <c r="A254" s="10" t="str">
        <f aca="false">IF(C254="","","LKW-"&amp;IFERROR(VLOOKUP(C254,Lists!$AQ$4:$AR$17,2,0),"??")&amp;"-W"&amp;TEXT(E254*1000,"0000")&amp;"-H"&amp;TEXT(F254*1000,"0000")&amp;"-B"&amp;TEXT(G254*1000,"0000")&amp;"-"&amp;W254)</f>
        <v/>
      </c>
      <c r="B254" s="10" t="str">
        <f aca="false">IF(C254="","",C254&amp;", "&amp;E254&amp;" m wide, "&amp;F254&amp;" m headroom, "&amp;G254&amp;" m bays, "&amp;H254&amp;" ("&amp;D254&amp;")")</f>
        <v/>
      </c>
      <c r="C254" s="9"/>
      <c r="D254" s="9"/>
      <c r="E254" s="43"/>
      <c r="F254" s="43"/>
      <c r="G254" s="43"/>
      <c r="H254" s="9"/>
      <c r="I254" s="9"/>
      <c r="J254" s="9"/>
      <c r="K254" s="9"/>
      <c r="L254" s="9"/>
      <c r="M254" s="9"/>
      <c r="N254" s="9"/>
      <c r="O254" s="9"/>
      <c r="P254" s="40"/>
      <c r="Q254" s="43"/>
      <c r="R254" s="9"/>
      <c r="S254" s="9"/>
      <c r="T254" s="9"/>
      <c r="U254" s="43"/>
      <c r="V254" s="9"/>
      <c r="W254" s="9"/>
      <c r="X254" s="9"/>
      <c r="Y254" s="9"/>
      <c r="Z254" s="9"/>
      <c r="AA254" s="9"/>
      <c r="AB254" s="10" t="str">
        <f aca="false">IF(A254="","",SG_Criteria!$B$6&amp;SG_Criteria!$B$12&amp;"\"&amp;A254&amp;"\")</f>
        <v/>
      </c>
      <c r="AC254" s="10" t="str">
        <f aca="false">IF(A254="","",A254&amp;"_CAD.dwg")</f>
        <v/>
      </c>
      <c r="AD254" s="10" t="str">
        <f aca="false">IF(A254="","",A254&amp;"_DWG.pdf")</f>
        <v/>
      </c>
      <c r="AE254" s="10" t="str">
        <f aca="false">IF(A254="","",IF(AA254="Y",A254&amp;"_STAAD.std","n/a"))</f>
        <v/>
      </c>
      <c r="AF254" s="10" t="str">
        <f aca="false">IF(A254="","",A254&amp;"_CALC.xlsx")</f>
        <v/>
      </c>
      <c r="AG254" s="10" t="str">
        <f aca="false">IF(A254="","",A254&amp;"_CALC.pdf")</f>
        <v/>
      </c>
      <c r="AH254" s="9"/>
      <c r="AI254" s="9"/>
      <c r="AJ254" s="41"/>
      <c r="AK254" s="41"/>
      <c r="AL254" s="41"/>
      <c r="AM254" s="41"/>
      <c r="AN254" s="41"/>
      <c r="AO254" s="38" t="str">
        <f aca="false">IF(C254="","",IF(LEN(IF(AND(C254&lt;&gt;"High Covered Linkway",F254&lt;SG_Criteria!$B$46),"FAIL: headroom below "&amp;SG_Criteria!$B$46&amp;" m. ","")&amp;IF(AND(C254="High Covered Linkway",F254&lt;SG_Criteria!$B$47),"FAIL: high linkway headroom below "&amp;SG_Criteria!$B$47&amp;" m. ","")&amp;IF(E254&lt;SG_Criteria!$B$48,"FAIL: roof width below "&amp;SG_Criteria!$B$48&amp;" m. ",IF(E254&lt;SG_Criteria!$B$49,"NOTE: not for MRT/LRT or high-traffic routes (min "&amp;SG_Criteria!$B$49&amp;" m). ",""))&amp;IF(AND(P254&lt;&gt;"",P254&lt;SG_Criteria!$B$50),"FAIL: wind speed below "&amp;SG_Criteria!$B$50&amp;" m/s. ","")&amp;IF(AND(Q254&lt;&gt;"",Q254&lt;SG_Criteria!$B$51),"FAIL: roof fixing pull-out below "&amp;SG_Criteria!$B$51&amp;" kN. ","")&amp;IF(AND(R254&lt;&gt;"",IFERROR(VALUE(MID(R254,2,2)),0)&lt;SG_Criteria!$B$52),"FAIL: grade below C"&amp;SG_Criteria!$B$52&amp;". ","")&amp;IF(D254="Non-standard (project design)","NOTE: not an SDRE standard, needs LTA acceptance. ",""))=0,"OK",IF(AND(C254&lt;&gt;"High Covered Linkway",F254&lt;SG_Criteria!$B$46),"FAIL: headroom below "&amp;SG_Criteria!$B$46&amp;" m. ","")&amp;IF(AND(C254="High Covered Linkway",F254&lt;SG_Criteria!$B$47),"FAIL: high linkway headroom below "&amp;SG_Criteria!$B$47&amp;" m. ","")&amp;IF(E254&lt;SG_Criteria!$B$48,"FAIL: roof width below "&amp;SG_Criteria!$B$48&amp;" m. ",IF(E254&lt;SG_Criteria!$B$49,"NOTE: not for MRT/LRT or high-traffic routes (min "&amp;SG_Criteria!$B$49&amp;" m). ",""))&amp;IF(AND(P254&lt;&gt;"",P254&lt;SG_Criteria!$B$50),"FAIL: wind speed below "&amp;SG_Criteria!$B$50&amp;" m/s. ","")&amp;IF(AND(Q254&lt;&gt;"",Q254&lt;SG_Criteria!$B$51),"FAIL: roof fixing pull-out below "&amp;SG_Criteria!$B$51&amp;" kN. ","")&amp;IF(AND(R254&lt;&gt;"",IFERROR(VALUE(MID(R254,2,2)),0)&lt;SG_Criteria!$B$52),"FAIL: grade below C"&amp;SG_Criteria!$B$52&amp;". ","")&amp;IF(D254="Non-standard (project design)","NOTE: not an SDRE standard, needs LTA acceptance. ","")))</f>
        <v/>
      </c>
      <c r="AP254" s="9"/>
      <c r="AQ254" s="9"/>
      <c r="AR254" s="9"/>
      <c r="AS254" s="9"/>
      <c r="AT254" s="9"/>
      <c r="AU254" s="31"/>
      <c r="AV254" s="10" t="str">
        <f aca="false">IF(C254="","",IF(AND(X254="Approved",ISERROR(SEARCH("FAIL",AO254))),"Y","N"))</f>
        <v/>
      </c>
      <c r="AW254" s="10" t="str">
        <f aca="false">IF(C254="","",C254&amp;"|"&amp;E254&amp;"|"&amp;F254&amp;"|"&amp;AV254)</f>
        <v/>
      </c>
    </row>
    <row r="255" customFormat="false" ht="15" hidden="false" customHeight="false" outlineLevel="0" collapsed="false">
      <c r="A255" s="10" t="str">
        <f aca="false">IF(C255="","","LKW-"&amp;IFERROR(VLOOKUP(C255,Lists!$AQ$4:$AR$17,2,0),"??")&amp;"-W"&amp;TEXT(E255*1000,"0000")&amp;"-H"&amp;TEXT(F255*1000,"0000")&amp;"-B"&amp;TEXT(G255*1000,"0000")&amp;"-"&amp;W255)</f>
        <v/>
      </c>
      <c r="B255" s="10" t="str">
        <f aca="false">IF(C255="","",C255&amp;", "&amp;E255&amp;" m wide, "&amp;F255&amp;" m headroom, "&amp;G255&amp;" m bays, "&amp;H255&amp;" ("&amp;D255&amp;")")</f>
        <v/>
      </c>
      <c r="C255" s="9"/>
      <c r="D255" s="9"/>
      <c r="E255" s="43"/>
      <c r="F255" s="43"/>
      <c r="G255" s="43"/>
      <c r="H255" s="9"/>
      <c r="I255" s="9"/>
      <c r="J255" s="9"/>
      <c r="K255" s="9"/>
      <c r="L255" s="9"/>
      <c r="M255" s="9"/>
      <c r="N255" s="9"/>
      <c r="O255" s="9"/>
      <c r="P255" s="40"/>
      <c r="Q255" s="43"/>
      <c r="R255" s="9"/>
      <c r="S255" s="9"/>
      <c r="T255" s="9"/>
      <c r="U255" s="43"/>
      <c r="V255" s="9"/>
      <c r="W255" s="9"/>
      <c r="X255" s="9"/>
      <c r="Y255" s="9"/>
      <c r="Z255" s="9"/>
      <c r="AA255" s="9"/>
      <c r="AB255" s="10" t="str">
        <f aca="false">IF(A255="","",SG_Criteria!$B$6&amp;SG_Criteria!$B$12&amp;"\"&amp;A255&amp;"\")</f>
        <v/>
      </c>
      <c r="AC255" s="10" t="str">
        <f aca="false">IF(A255="","",A255&amp;"_CAD.dwg")</f>
        <v/>
      </c>
      <c r="AD255" s="10" t="str">
        <f aca="false">IF(A255="","",A255&amp;"_DWG.pdf")</f>
        <v/>
      </c>
      <c r="AE255" s="10" t="str">
        <f aca="false">IF(A255="","",IF(AA255="Y",A255&amp;"_STAAD.std","n/a"))</f>
        <v/>
      </c>
      <c r="AF255" s="10" t="str">
        <f aca="false">IF(A255="","",A255&amp;"_CALC.xlsx")</f>
        <v/>
      </c>
      <c r="AG255" s="10" t="str">
        <f aca="false">IF(A255="","",A255&amp;"_CALC.pdf")</f>
        <v/>
      </c>
      <c r="AH255" s="9"/>
      <c r="AI255" s="9"/>
      <c r="AJ255" s="41"/>
      <c r="AK255" s="41"/>
      <c r="AL255" s="41"/>
      <c r="AM255" s="41"/>
      <c r="AN255" s="41"/>
      <c r="AO255" s="38" t="str">
        <f aca="false">IF(C255="","",IF(LEN(IF(AND(C255&lt;&gt;"High Covered Linkway",F255&lt;SG_Criteria!$B$46),"FAIL: headroom below "&amp;SG_Criteria!$B$46&amp;" m. ","")&amp;IF(AND(C255="High Covered Linkway",F255&lt;SG_Criteria!$B$47),"FAIL: high linkway headroom below "&amp;SG_Criteria!$B$47&amp;" m. ","")&amp;IF(E255&lt;SG_Criteria!$B$48,"FAIL: roof width below "&amp;SG_Criteria!$B$48&amp;" m. ",IF(E255&lt;SG_Criteria!$B$49,"NOTE: not for MRT/LRT or high-traffic routes (min "&amp;SG_Criteria!$B$49&amp;" m). ",""))&amp;IF(AND(P255&lt;&gt;"",P255&lt;SG_Criteria!$B$50),"FAIL: wind speed below "&amp;SG_Criteria!$B$50&amp;" m/s. ","")&amp;IF(AND(Q255&lt;&gt;"",Q255&lt;SG_Criteria!$B$51),"FAIL: roof fixing pull-out below "&amp;SG_Criteria!$B$51&amp;" kN. ","")&amp;IF(AND(R255&lt;&gt;"",IFERROR(VALUE(MID(R255,2,2)),0)&lt;SG_Criteria!$B$52),"FAIL: grade below C"&amp;SG_Criteria!$B$52&amp;". ","")&amp;IF(D255="Non-standard (project design)","NOTE: not an SDRE standard, needs LTA acceptance. ",""))=0,"OK",IF(AND(C255&lt;&gt;"High Covered Linkway",F255&lt;SG_Criteria!$B$46),"FAIL: headroom below "&amp;SG_Criteria!$B$46&amp;" m. ","")&amp;IF(AND(C255="High Covered Linkway",F255&lt;SG_Criteria!$B$47),"FAIL: high linkway headroom below "&amp;SG_Criteria!$B$47&amp;" m. ","")&amp;IF(E255&lt;SG_Criteria!$B$48,"FAIL: roof width below "&amp;SG_Criteria!$B$48&amp;" m. ",IF(E255&lt;SG_Criteria!$B$49,"NOTE: not for MRT/LRT or high-traffic routes (min "&amp;SG_Criteria!$B$49&amp;" m). ",""))&amp;IF(AND(P255&lt;&gt;"",P255&lt;SG_Criteria!$B$50),"FAIL: wind speed below "&amp;SG_Criteria!$B$50&amp;" m/s. ","")&amp;IF(AND(Q255&lt;&gt;"",Q255&lt;SG_Criteria!$B$51),"FAIL: roof fixing pull-out below "&amp;SG_Criteria!$B$51&amp;" kN. ","")&amp;IF(AND(R255&lt;&gt;"",IFERROR(VALUE(MID(R255,2,2)),0)&lt;SG_Criteria!$B$52),"FAIL: grade below C"&amp;SG_Criteria!$B$52&amp;". ","")&amp;IF(D255="Non-standard (project design)","NOTE: not an SDRE standard, needs LTA acceptance. ","")))</f>
        <v/>
      </c>
      <c r="AP255" s="9"/>
      <c r="AQ255" s="9"/>
      <c r="AR255" s="9"/>
      <c r="AS255" s="9"/>
      <c r="AT255" s="9"/>
      <c r="AU255" s="31"/>
      <c r="AV255" s="10" t="str">
        <f aca="false">IF(C255="","",IF(AND(X255="Approved",ISERROR(SEARCH("FAIL",AO255))),"Y","N"))</f>
        <v/>
      </c>
      <c r="AW255" s="10" t="str">
        <f aca="false">IF(C255="","",C255&amp;"|"&amp;E255&amp;"|"&amp;F255&amp;"|"&amp;AV255)</f>
        <v/>
      </c>
    </row>
    <row r="256" customFormat="false" ht="15" hidden="false" customHeight="false" outlineLevel="0" collapsed="false">
      <c r="A256" s="10" t="str">
        <f aca="false">IF(C256="","","LKW-"&amp;IFERROR(VLOOKUP(C256,Lists!$AQ$4:$AR$17,2,0),"??")&amp;"-W"&amp;TEXT(E256*1000,"0000")&amp;"-H"&amp;TEXT(F256*1000,"0000")&amp;"-B"&amp;TEXT(G256*1000,"0000")&amp;"-"&amp;W256)</f>
        <v/>
      </c>
      <c r="B256" s="10" t="str">
        <f aca="false">IF(C256="","",C256&amp;", "&amp;E256&amp;" m wide, "&amp;F256&amp;" m headroom, "&amp;G256&amp;" m bays, "&amp;H256&amp;" ("&amp;D256&amp;")")</f>
        <v/>
      </c>
      <c r="C256" s="9"/>
      <c r="D256" s="9"/>
      <c r="E256" s="43"/>
      <c r="F256" s="43"/>
      <c r="G256" s="43"/>
      <c r="H256" s="9"/>
      <c r="I256" s="9"/>
      <c r="J256" s="9"/>
      <c r="K256" s="9"/>
      <c r="L256" s="9"/>
      <c r="M256" s="9"/>
      <c r="N256" s="9"/>
      <c r="O256" s="9"/>
      <c r="P256" s="40"/>
      <c r="Q256" s="43"/>
      <c r="R256" s="9"/>
      <c r="S256" s="9"/>
      <c r="T256" s="9"/>
      <c r="U256" s="43"/>
      <c r="V256" s="9"/>
      <c r="W256" s="9"/>
      <c r="X256" s="9"/>
      <c r="Y256" s="9"/>
      <c r="Z256" s="9"/>
      <c r="AA256" s="9"/>
      <c r="AB256" s="10" t="str">
        <f aca="false">IF(A256="","",SG_Criteria!$B$6&amp;SG_Criteria!$B$12&amp;"\"&amp;A256&amp;"\")</f>
        <v/>
      </c>
      <c r="AC256" s="10" t="str">
        <f aca="false">IF(A256="","",A256&amp;"_CAD.dwg")</f>
        <v/>
      </c>
      <c r="AD256" s="10" t="str">
        <f aca="false">IF(A256="","",A256&amp;"_DWG.pdf")</f>
        <v/>
      </c>
      <c r="AE256" s="10" t="str">
        <f aca="false">IF(A256="","",IF(AA256="Y",A256&amp;"_STAAD.std","n/a"))</f>
        <v/>
      </c>
      <c r="AF256" s="10" t="str">
        <f aca="false">IF(A256="","",A256&amp;"_CALC.xlsx")</f>
        <v/>
      </c>
      <c r="AG256" s="10" t="str">
        <f aca="false">IF(A256="","",A256&amp;"_CALC.pdf")</f>
        <v/>
      </c>
      <c r="AH256" s="9"/>
      <c r="AI256" s="9"/>
      <c r="AJ256" s="41"/>
      <c r="AK256" s="41"/>
      <c r="AL256" s="41"/>
      <c r="AM256" s="41"/>
      <c r="AN256" s="41"/>
      <c r="AO256" s="38" t="str">
        <f aca="false">IF(C256="","",IF(LEN(IF(AND(C256&lt;&gt;"High Covered Linkway",F256&lt;SG_Criteria!$B$46),"FAIL: headroom below "&amp;SG_Criteria!$B$46&amp;" m. ","")&amp;IF(AND(C256="High Covered Linkway",F256&lt;SG_Criteria!$B$47),"FAIL: high linkway headroom below "&amp;SG_Criteria!$B$47&amp;" m. ","")&amp;IF(E256&lt;SG_Criteria!$B$48,"FAIL: roof width below "&amp;SG_Criteria!$B$48&amp;" m. ",IF(E256&lt;SG_Criteria!$B$49,"NOTE: not for MRT/LRT or high-traffic routes (min "&amp;SG_Criteria!$B$49&amp;" m). ",""))&amp;IF(AND(P256&lt;&gt;"",P256&lt;SG_Criteria!$B$50),"FAIL: wind speed below "&amp;SG_Criteria!$B$50&amp;" m/s. ","")&amp;IF(AND(Q256&lt;&gt;"",Q256&lt;SG_Criteria!$B$51),"FAIL: roof fixing pull-out below "&amp;SG_Criteria!$B$51&amp;" kN. ","")&amp;IF(AND(R256&lt;&gt;"",IFERROR(VALUE(MID(R256,2,2)),0)&lt;SG_Criteria!$B$52),"FAIL: grade below C"&amp;SG_Criteria!$B$52&amp;". ","")&amp;IF(D256="Non-standard (project design)","NOTE: not an SDRE standard, needs LTA acceptance. ",""))=0,"OK",IF(AND(C256&lt;&gt;"High Covered Linkway",F256&lt;SG_Criteria!$B$46),"FAIL: headroom below "&amp;SG_Criteria!$B$46&amp;" m. ","")&amp;IF(AND(C256="High Covered Linkway",F256&lt;SG_Criteria!$B$47),"FAIL: high linkway headroom below "&amp;SG_Criteria!$B$47&amp;" m. ","")&amp;IF(E256&lt;SG_Criteria!$B$48,"FAIL: roof width below "&amp;SG_Criteria!$B$48&amp;" m. ",IF(E256&lt;SG_Criteria!$B$49,"NOTE: not for MRT/LRT or high-traffic routes (min "&amp;SG_Criteria!$B$49&amp;" m). ",""))&amp;IF(AND(P256&lt;&gt;"",P256&lt;SG_Criteria!$B$50),"FAIL: wind speed below "&amp;SG_Criteria!$B$50&amp;" m/s. ","")&amp;IF(AND(Q256&lt;&gt;"",Q256&lt;SG_Criteria!$B$51),"FAIL: roof fixing pull-out below "&amp;SG_Criteria!$B$51&amp;" kN. ","")&amp;IF(AND(R256&lt;&gt;"",IFERROR(VALUE(MID(R256,2,2)),0)&lt;SG_Criteria!$B$52),"FAIL: grade below C"&amp;SG_Criteria!$B$52&amp;". ","")&amp;IF(D256="Non-standard (project design)","NOTE: not an SDRE standard, needs LTA acceptance. ","")))</f>
        <v/>
      </c>
      <c r="AP256" s="9"/>
      <c r="AQ256" s="9"/>
      <c r="AR256" s="9"/>
      <c r="AS256" s="9"/>
      <c r="AT256" s="9"/>
      <c r="AU256" s="31"/>
      <c r="AV256" s="10" t="str">
        <f aca="false">IF(C256="","",IF(AND(X256="Approved",ISERROR(SEARCH("FAIL",AO256))),"Y","N"))</f>
        <v/>
      </c>
      <c r="AW256" s="10" t="str">
        <f aca="false">IF(C256="","",C256&amp;"|"&amp;E256&amp;"|"&amp;F256&amp;"|"&amp;AV256)</f>
        <v/>
      </c>
    </row>
    <row r="257" customFormat="false" ht="15" hidden="false" customHeight="false" outlineLevel="0" collapsed="false">
      <c r="A257" s="10" t="str">
        <f aca="false">IF(C257="","","LKW-"&amp;IFERROR(VLOOKUP(C257,Lists!$AQ$4:$AR$17,2,0),"??")&amp;"-W"&amp;TEXT(E257*1000,"0000")&amp;"-H"&amp;TEXT(F257*1000,"0000")&amp;"-B"&amp;TEXT(G257*1000,"0000")&amp;"-"&amp;W257)</f>
        <v/>
      </c>
      <c r="B257" s="10" t="str">
        <f aca="false">IF(C257="","",C257&amp;", "&amp;E257&amp;" m wide, "&amp;F257&amp;" m headroom, "&amp;G257&amp;" m bays, "&amp;H257&amp;" ("&amp;D257&amp;")")</f>
        <v/>
      </c>
      <c r="C257" s="9"/>
      <c r="D257" s="9"/>
      <c r="E257" s="43"/>
      <c r="F257" s="43"/>
      <c r="G257" s="43"/>
      <c r="H257" s="9"/>
      <c r="I257" s="9"/>
      <c r="J257" s="9"/>
      <c r="K257" s="9"/>
      <c r="L257" s="9"/>
      <c r="M257" s="9"/>
      <c r="N257" s="9"/>
      <c r="O257" s="9"/>
      <c r="P257" s="40"/>
      <c r="Q257" s="43"/>
      <c r="R257" s="9"/>
      <c r="S257" s="9"/>
      <c r="T257" s="9"/>
      <c r="U257" s="43"/>
      <c r="V257" s="9"/>
      <c r="W257" s="9"/>
      <c r="X257" s="9"/>
      <c r="Y257" s="9"/>
      <c r="Z257" s="9"/>
      <c r="AA257" s="9"/>
      <c r="AB257" s="10" t="str">
        <f aca="false">IF(A257="","",SG_Criteria!$B$6&amp;SG_Criteria!$B$12&amp;"\"&amp;A257&amp;"\")</f>
        <v/>
      </c>
      <c r="AC257" s="10" t="str">
        <f aca="false">IF(A257="","",A257&amp;"_CAD.dwg")</f>
        <v/>
      </c>
      <c r="AD257" s="10" t="str">
        <f aca="false">IF(A257="","",A257&amp;"_DWG.pdf")</f>
        <v/>
      </c>
      <c r="AE257" s="10" t="str">
        <f aca="false">IF(A257="","",IF(AA257="Y",A257&amp;"_STAAD.std","n/a"))</f>
        <v/>
      </c>
      <c r="AF257" s="10" t="str">
        <f aca="false">IF(A257="","",A257&amp;"_CALC.xlsx")</f>
        <v/>
      </c>
      <c r="AG257" s="10" t="str">
        <f aca="false">IF(A257="","",A257&amp;"_CALC.pdf")</f>
        <v/>
      </c>
      <c r="AH257" s="9"/>
      <c r="AI257" s="9"/>
      <c r="AJ257" s="41"/>
      <c r="AK257" s="41"/>
      <c r="AL257" s="41"/>
      <c r="AM257" s="41"/>
      <c r="AN257" s="41"/>
      <c r="AO257" s="38" t="str">
        <f aca="false">IF(C257="","",IF(LEN(IF(AND(C257&lt;&gt;"High Covered Linkway",F257&lt;SG_Criteria!$B$46),"FAIL: headroom below "&amp;SG_Criteria!$B$46&amp;" m. ","")&amp;IF(AND(C257="High Covered Linkway",F257&lt;SG_Criteria!$B$47),"FAIL: high linkway headroom below "&amp;SG_Criteria!$B$47&amp;" m. ","")&amp;IF(E257&lt;SG_Criteria!$B$48,"FAIL: roof width below "&amp;SG_Criteria!$B$48&amp;" m. ",IF(E257&lt;SG_Criteria!$B$49,"NOTE: not for MRT/LRT or high-traffic routes (min "&amp;SG_Criteria!$B$49&amp;" m). ",""))&amp;IF(AND(P257&lt;&gt;"",P257&lt;SG_Criteria!$B$50),"FAIL: wind speed below "&amp;SG_Criteria!$B$50&amp;" m/s. ","")&amp;IF(AND(Q257&lt;&gt;"",Q257&lt;SG_Criteria!$B$51),"FAIL: roof fixing pull-out below "&amp;SG_Criteria!$B$51&amp;" kN. ","")&amp;IF(AND(R257&lt;&gt;"",IFERROR(VALUE(MID(R257,2,2)),0)&lt;SG_Criteria!$B$52),"FAIL: grade below C"&amp;SG_Criteria!$B$52&amp;". ","")&amp;IF(D257="Non-standard (project design)","NOTE: not an SDRE standard, needs LTA acceptance. ",""))=0,"OK",IF(AND(C257&lt;&gt;"High Covered Linkway",F257&lt;SG_Criteria!$B$46),"FAIL: headroom below "&amp;SG_Criteria!$B$46&amp;" m. ","")&amp;IF(AND(C257="High Covered Linkway",F257&lt;SG_Criteria!$B$47),"FAIL: high linkway headroom below "&amp;SG_Criteria!$B$47&amp;" m. ","")&amp;IF(E257&lt;SG_Criteria!$B$48,"FAIL: roof width below "&amp;SG_Criteria!$B$48&amp;" m. ",IF(E257&lt;SG_Criteria!$B$49,"NOTE: not for MRT/LRT or high-traffic routes (min "&amp;SG_Criteria!$B$49&amp;" m). ",""))&amp;IF(AND(P257&lt;&gt;"",P257&lt;SG_Criteria!$B$50),"FAIL: wind speed below "&amp;SG_Criteria!$B$50&amp;" m/s. ","")&amp;IF(AND(Q257&lt;&gt;"",Q257&lt;SG_Criteria!$B$51),"FAIL: roof fixing pull-out below "&amp;SG_Criteria!$B$51&amp;" kN. ","")&amp;IF(AND(R257&lt;&gt;"",IFERROR(VALUE(MID(R257,2,2)),0)&lt;SG_Criteria!$B$52),"FAIL: grade below C"&amp;SG_Criteria!$B$52&amp;". ","")&amp;IF(D257="Non-standard (project design)","NOTE: not an SDRE standard, needs LTA acceptance. ","")))</f>
        <v/>
      </c>
      <c r="AP257" s="9"/>
      <c r="AQ257" s="9"/>
      <c r="AR257" s="9"/>
      <c r="AS257" s="9"/>
      <c r="AT257" s="9"/>
      <c r="AU257" s="31"/>
      <c r="AV257" s="10" t="str">
        <f aca="false">IF(C257="","",IF(AND(X257="Approved",ISERROR(SEARCH("FAIL",AO257))),"Y","N"))</f>
        <v/>
      </c>
      <c r="AW257" s="10" t="str">
        <f aca="false">IF(C257="","",C257&amp;"|"&amp;E257&amp;"|"&amp;F257&amp;"|"&amp;AV257)</f>
        <v/>
      </c>
    </row>
    <row r="258" customFormat="false" ht="15" hidden="false" customHeight="false" outlineLevel="0" collapsed="false">
      <c r="A258" s="10" t="str">
        <f aca="false">IF(C258="","","LKW-"&amp;IFERROR(VLOOKUP(C258,Lists!$AQ$4:$AR$17,2,0),"??")&amp;"-W"&amp;TEXT(E258*1000,"0000")&amp;"-H"&amp;TEXT(F258*1000,"0000")&amp;"-B"&amp;TEXT(G258*1000,"0000")&amp;"-"&amp;W258)</f>
        <v/>
      </c>
      <c r="B258" s="10" t="str">
        <f aca="false">IF(C258="","",C258&amp;", "&amp;E258&amp;" m wide, "&amp;F258&amp;" m headroom, "&amp;G258&amp;" m bays, "&amp;H258&amp;" ("&amp;D258&amp;")")</f>
        <v/>
      </c>
      <c r="C258" s="9"/>
      <c r="D258" s="9"/>
      <c r="E258" s="43"/>
      <c r="F258" s="43"/>
      <c r="G258" s="43"/>
      <c r="H258" s="9"/>
      <c r="I258" s="9"/>
      <c r="J258" s="9"/>
      <c r="K258" s="9"/>
      <c r="L258" s="9"/>
      <c r="M258" s="9"/>
      <c r="N258" s="9"/>
      <c r="O258" s="9"/>
      <c r="P258" s="40"/>
      <c r="Q258" s="43"/>
      <c r="R258" s="9"/>
      <c r="S258" s="9"/>
      <c r="T258" s="9"/>
      <c r="U258" s="43"/>
      <c r="V258" s="9"/>
      <c r="W258" s="9"/>
      <c r="X258" s="9"/>
      <c r="Y258" s="9"/>
      <c r="Z258" s="9"/>
      <c r="AA258" s="9"/>
      <c r="AB258" s="10" t="str">
        <f aca="false">IF(A258="","",SG_Criteria!$B$6&amp;SG_Criteria!$B$12&amp;"\"&amp;A258&amp;"\")</f>
        <v/>
      </c>
      <c r="AC258" s="10" t="str">
        <f aca="false">IF(A258="","",A258&amp;"_CAD.dwg")</f>
        <v/>
      </c>
      <c r="AD258" s="10" t="str">
        <f aca="false">IF(A258="","",A258&amp;"_DWG.pdf")</f>
        <v/>
      </c>
      <c r="AE258" s="10" t="str">
        <f aca="false">IF(A258="","",IF(AA258="Y",A258&amp;"_STAAD.std","n/a"))</f>
        <v/>
      </c>
      <c r="AF258" s="10" t="str">
        <f aca="false">IF(A258="","",A258&amp;"_CALC.xlsx")</f>
        <v/>
      </c>
      <c r="AG258" s="10" t="str">
        <f aca="false">IF(A258="","",A258&amp;"_CALC.pdf")</f>
        <v/>
      </c>
      <c r="AH258" s="9"/>
      <c r="AI258" s="9"/>
      <c r="AJ258" s="41"/>
      <c r="AK258" s="41"/>
      <c r="AL258" s="41"/>
      <c r="AM258" s="41"/>
      <c r="AN258" s="41"/>
      <c r="AO258" s="38" t="str">
        <f aca="false">IF(C258="","",IF(LEN(IF(AND(C258&lt;&gt;"High Covered Linkway",F258&lt;SG_Criteria!$B$46),"FAIL: headroom below "&amp;SG_Criteria!$B$46&amp;" m. ","")&amp;IF(AND(C258="High Covered Linkway",F258&lt;SG_Criteria!$B$47),"FAIL: high linkway headroom below "&amp;SG_Criteria!$B$47&amp;" m. ","")&amp;IF(E258&lt;SG_Criteria!$B$48,"FAIL: roof width below "&amp;SG_Criteria!$B$48&amp;" m. ",IF(E258&lt;SG_Criteria!$B$49,"NOTE: not for MRT/LRT or high-traffic routes (min "&amp;SG_Criteria!$B$49&amp;" m). ",""))&amp;IF(AND(P258&lt;&gt;"",P258&lt;SG_Criteria!$B$50),"FAIL: wind speed below "&amp;SG_Criteria!$B$50&amp;" m/s. ","")&amp;IF(AND(Q258&lt;&gt;"",Q258&lt;SG_Criteria!$B$51),"FAIL: roof fixing pull-out below "&amp;SG_Criteria!$B$51&amp;" kN. ","")&amp;IF(AND(R258&lt;&gt;"",IFERROR(VALUE(MID(R258,2,2)),0)&lt;SG_Criteria!$B$52),"FAIL: grade below C"&amp;SG_Criteria!$B$52&amp;". ","")&amp;IF(D258="Non-standard (project design)","NOTE: not an SDRE standard, needs LTA acceptance. ",""))=0,"OK",IF(AND(C258&lt;&gt;"High Covered Linkway",F258&lt;SG_Criteria!$B$46),"FAIL: headroom below "&amp;SG_Criteria!$B$46&amp;" m. ","")&amp;IF(AND(C258="High Covered Linkway",F258&lt;SG_Criteria!$B$47),"FAIL: high linkway headroom below "&amp;SG_Criteria!$B$47&amp;" m. ","")&amp;IF(E258&lt;SG_Criteria!$B$48,"FAIL: roof width below "&amp;SG_Criteria!$B$48&amp;" m. ",IF(E258&lt;SG_Criteria!$B$49,"NOTE: not for MRT/LRT or high-traffic routes (min "&amp;SG_Criteria!$B$49&amp;" m). ",""))&amp;IF(AND(P258&lt;&gt;"",P258&lt;SG_Criteria!$B$50),"FAIL: wind speed below "&amp;SG_Criteria!$B$50&amp;" m/s. ","")&amp;IF(AND(Q258&lt;&gt;"",Q258&lt;SG_Criteria!$B$51),"FAIL: roof fixing pull-out below "&amp;SG_Criteria!$B$51&amp;" kN. ","")&amp;IF(AND(R258&lt;&gt;"",IFERROR(VALUE(MID(R258,2,2)),0)&lt;SG_Criteria!$B$52),"FAIL: grade below C"&amp;SG_Criteria!$B$52&amp;". ","")&amp;IF(D258="Non-standard (project design)","NOTE: not an SDRE standard, needs LTA acceptance. ","")))</f>
        <v/>
      </c>
      <c r="AP258" s="9"/>
      <c r="AQ258" s="9"/>
      <c r="AR258" s="9"/>
      <c r="AS258" s="9"/>
      <c r="AT258" s="9"/>
      <c r="AU258" s="31"/>
      <c r="AV258" s="10" t="str">
        <f aca="false">IF(C258="","",IF(AND(X258="Approved",ISERROR(SEARCH("FAIL",AO258))),"Y","N"))</f>
        <v/>
      </c>
      <c r="AW258" s="10" t="str">
        <f aca="false">IF(C258="","",C258&amp;"|"&amp;E258&amp;"|"&amp;F258&amp;"|"&amp;AV258)</f>
        <v/>
      </c>
    </row>
    <row r="259" customFormat="false" ht="15" hidden="false" customHeight="false" outlineLevel="0" collapsed="false">
      <c r="A259" s="10" t="str">
        <f aca="false">IF(C259="","","LKW-"&amp;IFERROR(VLOOKUP(C259,Lists!$AQ$4:$AR$17,2,0),"??")&amp;"-W"&amp;TEXT(E259*1000,"0000")&amp;"-H"&amp;TEXT(F259*1000,"0000")&amp;"-B"&amp;TEXT(G259*1000,"0000")&amp;"-"&amp;W259)</f>
        <v/>
      </c>
      <c r="B259" s="10" t="str">
        <f aca="false">IF(C259="","",C259&amp;", "&amp;E259&amp;" m wide, "&amp;F259&amp;" m headroom, "&amp;G259&amp;" m bays, "&amp;H259&amp;" ("&amp;D259&amp;")")</f>
        <v/>
      </c>
      <c r="C259" s="9"/>
      <c r="D259" s="9"/>
      <c r="E259" s="43"/>
      <c r="F259" s="43"/>
      <c r="G259" s="43"/>
      <c r="H259" s="9"/>
      <c r="I259" s="9"/>
      <c r="J259" s="9"/>
      <c r="K259" s="9"/>
      <c r="L259" s="9"/>
      <c r="M259" s="9"/>
      <c r="N259" s="9"/>
      <c r="O259" s="9"/>
      <c r="P259" s="40"/>
      <c r="Q259" s="43"/>
      <c r="R259" s="9"/>
      <c r="S259" s="9"/>
      <c r="T259" s="9"/>
      <c r="U259" s="43"/>
      <c r="V259" s="9"/>
      <c r="W259" s="9"/>
      <c r="X259" s="9"/>
      <c r="Y259" s="9"/>
      <c r="Z259" s="9"/>
      <c r="AA259" s="9"/>
      <c r="AB259" s="10" t="str">
        <f aca="false">IF(A259="","",SG_Criteria!$B$6&amp;SG_Criteria!$B$12&amp;"\"&amp;A259&amp;"\")</f>
        <v/>
      </c>
      <c r="AC259" s="10" t="str">
        <f aca="false">IF(A259="","",A259&amp;"_CAD.dwg")</f>
        <v/>
      </c>
      <c r="AD259" s="10" t="str">
        <f aca="false">IF(A259="","",A259&amp;"_DWG.pdf")</f>
        <v/>
      </c>
      <c r="AE259" s="10" t="str">
        <f aca="false">IF(A259="","",IF(AA259="Y",A259&amp;"_STAAD.std","n/a"))</f>
        <v/>
      </c>
      <c r="AF259" s="10" t="str">
        <f aca="false">IF(A259="","",A259&amp;"_CALC.xlsx")</f>
        <v/>
      </c>
      <c r="AG259" s="10" t="str">
        <f aca="false">IF(A259="","",A259&amp;"_CALC.pdf")</f>
        <v/>
      </c>
      <c r="AH259" s="9"/>
      <c r="AI259" s="9"/>
      <c r="AJ259" s="41"/>
      <c r="AK259" s="41"/>
      <c r="AL259" s="41"/>
      <c r="AM259" s="41"/>
      <c r="AN259" s="41"/>
      <c r="AO259" s="38" t="str">
        <f aca="false">IF(C259="","",IF(LEN(IF(AND(C259&lt;&gt;"High Covered Linkway",F259&lt;SG_Criteria!$B$46),"FAIL: headroom below "&amp;SG_Criteria!$B$46&amp;" m. ","")&amp;IF(AND(C259="High Covered Linkway",F259&lt;SG_Criteria!$B$47),"FAIL: high linkway headroom below "&amp;SG_Criteria!$B$47&amp;" m. ","")&amp;IF(E259&lt;SG_Criteria!$B$48,"FAIL: roof width below "&amp;SG_Criteria!$B$48&amp;" m. ",IF(E259&lt;SG_Criteria!$B$49,"NOTE: not for MRT/LRT or high-traffic routes (min "&amp;SG_Criteria!$B$49&amp;" m). ",""))&amp;IF(AND(P259&lt;&gt;"",P259&lt;SG_Criteria!$B$50),"FAIL: wind speed below "&amp;SG_Criteria!$B$50&amp;" m/s. ","")&amp;IF(AND(Q259&lt;&gt;"",Q259&lt;SG_Criteria!$B$51),"FAIL: roof fixing pull-out below "&amp;SG_Criteria!$B$51&amp;" kN. ","")&amp;IF(AND(R259&lt;&gt;"",IFERROR(VALUE(MID(R259,2,2)),0)&lt;SG_Criteria!$B$52),"FAIL: grade below C"&amp;SG_Criteria!$B$52&amp;". ","")&amp;IF(D259="Non-standard (project design)","NOTE: not an SDRE standard, needs LTA acceptance. ",""))=0,"OK",IF(AND(C259&lt;&gt;"High Covered Linkway",F259&lt;SG_Criteria!$B$46),"FAIL: headroom below "&amp;SG_Criteria!$B$46&amp;" m. ","")&amp;IF(AND(C259="High Covered Linkway",F259&lt;SG_Criteria!$B$47),"FAIL: high linkway headroom below "&amp;SG_Criteria!$B$47&amp;" m. ","")&amp;IF(E259&lt;SG_Criteria!$B$48,"FAIL: roof width below "&amp;SG_Criteria!$B$48&amp;" m. ",IF(E259&lt;SG_Criteria!$B$49,"NOTE: not for MRT/LRT or high-traffic routes (min "&amp;SG_Criteria!$B$49&amp;" m). ",""))&amp;IF(AND(P259&lt;&gt;"",P259&lt;SG_Criteria!$B$50),"FAIL: wind speed below "&amp;SG_Criteria!$B$50&amp;" m/s. ","")&amp;IF(AND(Q259&lt;&gt;"",Q259&lt;SG_Criteria!$B$51),"FAIL: roof fixing pull-out below "&amp;SG_Criteria!$B$51&amp;" kN. ","")&amp;IF(AND(R259&lt;&gt;"",IFERROR(VALUE(MID(R259,2,2)),0)&lt;SG_Criteria!$B$52),"FAIL: grade below C"&amp;SG_Criteria!$B$52&amp;". ","")&amp;IF(D259="Non-standard (project design)","NOTE: not an SDRE standard, needs LTA acceptance. ","")))</f>
        <v/>
      </c>
      <c r="AP259" s="9"/>
      <c r="AQ259" s="9"/>
      <c r="AR259" s="9"/>
      <c r="AS259" s="9"/>
      <c r="AT259" s="9"/>
      <c r="AU259" s="31"/>
      <c r="AV259" s="10" t="str">
        <f aca="false">IF(C259="","",IF(AND(X259="Approved",ISERROR(SEARCH("FAIL",AO259))),"Y","N"))</f>
        <v/>
      </c>
      <c r="AW259" s="10" t="str">
        <f aca="false">IF(C259="","",C259&amp;"|"&amp;E259&amp;"|"&amp;F259&amp;"|"&amp;AV259)</f>
        <v/>
      </c>
    </row>
    <row r="260" customFormat="false" ht="15" hidden="false" customHeight="false" outlineLevel="0" collapsed="false">
      <c r="A260" s="10" t="str">
        <f aca="false">IF(C260="","","LKW-"&amp;IFERROR(VLOOKUP(C260,Lists!$AQ$4:$AR$17,2,0),"??")&amp;"-W"&amp;TEXT(E260*1000,"0000")&amp;"-H"&amp;TEXT(F260*1000,"0000")&amp;"-B"&amp;TEXT(G260*1000,"0000")&amp;"-"&amp;W260)</f>
        <v/>
      </c>
      <c r="B260" s="10" t="str">
        <f aca="false">IF(C260="","",C260&amp;", "&amp;E260&amp;" m wide, "&amp;F260&amp;" m headroom, "&amp;G260&amp;" m bays, "&amp;H260&amp;" ("&amp;D260&amp;")")</f>
        <v/>
      </c>
      <c r="C260" s="9"/>
      <c r="D260" s="9"/>
      <c r="E260" s="43"/>
      <c r="F260" s="43"/>
      <c r="G260" s="43"/>
      <c r="H260" s="9"/>
      <c r="I260" s="9"/>
      <c r="J260" s="9"/>
      <c r="K260" s="9"/>
      <c r="L260" s="9"/>
      <c r="M260" s="9"/>
      <c r="N260" s="9"/>
      <c r="O260" s="9"/>
      <c r="P260" s="40"/>
      <c r="Q260" s="43"/>
      <c r="R260" s="9"/>
      <c r="S260" s="9"/>
      <c r="T260" s="9"/>
      <c r="U260" s="43"/>
      <c r="V260" s="9"/>
      <c r="W260" s="9"/>
      <c r="X260" s="9"/>
      <c r="Y260" s="9"/>
      <c r="Z260" s="9"/>
      <c r="AA260" s="9"/>
      <c r="AB260" s="10" t="str">
        <f aca="false">IF(A260="","",SG_Criteria!$B$6&amp;SG_Criteria!$B$12&amp;"\"&amp;A260&amp;"\")</f>
        <v/>
      </c>
      <c r="AC260" s="10" t="str">
        <f aca="false">IF(A260="","",A260&amp;"_CAD.dwg")</f>
        <v/>
      </c>
      <c r="AD260" s="10" t="str">
        <f aca="false">IF(A260="","",A260&amp;"_DWG.pdf")</f>
        <v/>
      </c>
      <c r="AE260" s="10" t="str">
        <f aca="false">IF(A260="","",IF(AA260="Y",A260&amp;"_STAAD.std","n/a"))</f>
        <v/>
      </c>
      <c r="AF260" s="10" t="str">
        <f aca="false">IF(A260="","",A260&amp;"_CALC.xlsx")</f>
        <v/>
      </c>
      <c r="AG260" s="10" t="str">
        <f aca="false">IF(A260="","",A260&amp;"_CALC.pdf")</f>
        <v/>
      </c>
      <c r="AH260" s="9"/>
      <c r="AI260" s="9"/>
      <c r="AJ260" s="41"/>
      <c r="AK260" s="41"/>
      <c r="AL260" s="41"/>
      <c r="AM260" s="41"/>
      <c r="AN260" s="41"/>
      <c r="AO260" s="38" t="str">
        <f aca="false">IF(C260="","",IF(LEN(IF(AND(C260&lt;&gt;"High Covered Linkway",F260&lt;SG_Criteria!$B$46),"FAIL: headroom below "&amp;SG_Criteria!$B$46&amp;" m. ","")&amp;IF(AND(C260="High Covered Linkway",F260&lt;SG_Criteria!$B$47),"FAIL: high linkway headroom below "&amp;SG_Criteria!$B$47&amp;" m. ","")&amp;IF(E260&lt;SG_Criteria!$B$48,"FAIL: roof width below "&amp;SG_Criteria!$B$48&amp;" m. ",IF(E260&lt;SG_Criteria!$B$49,"NOTE: not for MRT/LRT or high-traffic routes (min "&amp;SG_Criteria!$B$49&amp;" m). ",""))&amp;IF(AND(P260&lt;&gt;"",P260&lt;SG_Criteria!$B$50),"FAIL: wind speed below "&amp;SG_Criteria!$B$50&amp;" m/s. ","")&amp;IF(AND(Q260&lt;&gt;"",Q260&lt;SG_Criteria!$B$51),"FAIL: roof fixing pull-out below "&amp;SG_Criteria!$B$51&amp;" kN. ","")&amp;IF(AND(R260&lt;&gt;"",IFERROR(VALUE(MID(R260,2,2)),0)&lt;SG_Criteria!$B$52),"FAIL: grade below C"&amp;SG_Criteria!$B$52&amp;". ","")&amp;IF(D260="Non-standard (project design)","NOTE: not an SDRE standard, needs LTA acceptance. ",""))=0,"OK",IF(AND(C260&lt;&gt;"High Covered Linkway",F260&lt;SG_Criteria!$B$46),"FAIL: headroom below "&amp;SG_Criteria!$B$46&amp;" m. ","")&amp;IF(AND(C260="High Covered Linkway",F260&lt;SG_Criteria!$B$47),"FAIL: high linkway headroom below "&amp;SG_Criteria!$B$47&amp;" m. ","")&amp;IF(E260&lt;SG_Criteria!$B$48,"FAIL: roof width below "&amp;SG_Criteria!$B$48&amp;" m. ",IF(E260&lt;SG_Criteria!$B$49,"NOTE: not for MRT/LRT or high-traffic routes (min "&amp;SG_Criteria!$B$49&amp;" m). ",""))&amp;IF(AND(P260&lt;&gt;"",P260&lt;SG_Criteria!$B$50),"FAIL: wind speed below "&amp;SG_Criteria!$B$50&amp;" m/s. ","")&amp;IF(AND(Q260&lt;&gt;"",Q260&lt;SG_Criteria!$B$51),"FAIL: roof fixing pull-out below "&amp;SG_Criteria!$B$51&amp;" kN. ","")&amp;IF(AND(R260&lt;&gt;"",IFERROR(VALUE(MID(R260,2,2)),0)&lt;SG_Criteria!$B$52),"FAIL: grade below C"&amp;SG_Criteria!$B$52&amp;". ","")&amp;IF(D260="Non-standard (project design)","NOTE: not an SDRE standard, needs LTA acceptance. ","")))</f>
        <v/>
      </c>
      <c r="AP260" s="9"/>
      <c r="AQ260" s="9"/>
      <c r="AR260" s="9"/>
      <c r="AS260" s="9"/>
      <c r="AT260" s="9"/>
      <c r="AU260" s="31"/>
      <c r="AV260" s="10" t="str">
        <f aca="false">IF(C260="","",IF(AND(X260="Approved",ISERROR(SEARCH("FAIL",AO260))),"Y","N"))</f>
        <v/>
      </c>
      <c r="AW260" s="10" t="str">
        <f aca="false">IF(C260="","",C260&amp;"|"&amp;E260&amp;"|"&amp;F260&amp;"|"&amp;AV260)</f>
        <v/>
      </c>
    </row>
    <row r="261" customFormat="false" ht="15" hidden="false" customHeight="false" outlineLevel="0" collapsed="false">
      <c r="A261" s="10" t="str">
        <f aca="false">IF(C261="","","LKW-"&amp;IFERROR(VLOOKUP(C261,Lists!$AQ$4:$AR$17,2,0),"??")&amp;"-W"&amp;TEXT(E261*1000,"0000")&amp;"-H"&amp;TEXT(F261*1000,"0000")&amp;"-B"&amp;TEXT(G261*1000,"0000")&amp;"-"&amp;W261)</f>
        <v/>
      </c>
      <c r="B261" s="10" t="str">
        <f aca="false">IF(C261="","",C261&amp;", "&amp;E261&amp;" m wide, "&amp;F261&amp;" m headroom, "&amp;G261&amp;" m bays, "&amp;H261&amp;" ("&amp;D261&amp;")")</f>
        <v/>
      </c>
      <c r="C261" s="9"/>
      <c r="D261" s="9"/>
      <c r="E261" s="43"/>
      <c r="F261" s="43"/>
      <c r="G261" s="43"/>
      <c r="H261" s="9"/>
      <c r="I261" s="9"/>
      <c r="J261" s="9"/>
      <c r="K261" s="9"/>
      <c r="L261" s="9"/>
      <c r="M261" s="9"/>
      <c r="N261" s="9"/>
      <c r="O261" s="9"/>
      <c r="P261" s="40"/>
      <c r="Q261" s="43"/>
      <c r="R261" s="9"/>
      <c r="S261" s="9"/>
      <c r="T261" s="9"/>
      <c r="U261" s="43"/>
      <c r="V261" s="9"/>
      <c r="W261" s="9"/>
      <c r="X261" s="9"/>
      <c r="Y261" s="9"/>
      <c r="Z261" s="9"/>
      <c r="AA261" s="9"/>
      <c r="AB261" s="10" t="str">
        <f aca="false">IF(A261="","",SG_Criteria!$B$6&amp;SG_Criteria!$B$12&amp;"\"&amp;A261&amp;"\")</f>
        <v/>
      </c>
      <c r="AC261" s="10" t="str">
        <f aca="false">IF(A261="","",A261&amp;"_CAD.dwg")</f>
        <v/>
      </c>
      <c r="AD261" s="10" t="str">
        <f aca="false">IF(A261="","",A261&amp;"_DWG.pdf")</f>
        <v/>
      </c>
      <c r="AE261" s="10" t="str">
        <f aca="false">IF(A261="","",IF(AA261="Y",A261&amp;"_STAAD.std","n/a"))</f>
        <v/>
      </c>
      <c r="AF261" s="10" t="str">
        <f aca="false">IF(A261="","",A261&amp;"_CALC.xlsx")</f>
        <v/>
      </c>
      <c r="AG261" s="10" t="str">
        <f aca="false">IF(A261="","",A261&amp;"_CALC.pdf")</f>
        <v/>
      </c>
      <c r="AH261" s="9"/>
      <c r="AI261" s="9"/>
      <c r="AJ261" s="41"/>
      <c r="AK261" s="41"/>
      <c r="AL261" s="41"/>
      <c r="AM261" s="41"/>
      <c r="AN261" s="41"/>
      <c r="AO261" s="38" t="str">
        <f aca="false">IF(C261="","",IF(LEN(IF(AND(C261&lt;&gt;"High Covered Linkway",F261&lt;SG_Criteria!$B$46),"FAIL: headroom below "&amp;SG_Criteria!$B$46&amp;" m. ","")&amp;IF(AND(C261="High Covered Linkway",F261&lt;SG_Criteria!$B$47),"FAIL: high linkway headroom below "&amp;SG_Criteria!$B$47&amp;" m. ","")&amp;IF(E261&lt;SG_Criteria!$B$48,"FAIL: roof width below "&amp;SG_Criteria!$B$48&amp;" m. ",IF(E261&lt;SG_Criteria!$B$49,"NOTE: not for MRT/LRT or high-traffic routes (min "&amp;SG_Criteria!$B$49&amp;" m). ",""))&amp;IF(AND(P261&lt;&gt;"",P261&lt;SG_Criteria!$B$50),"FAIL: wind speed below "&amp;SG_Criteria!$B$50&amp;" m/s. ","")&amp;IF(AND(Q261&lt;&gt;"",Q261&lt;SG_Criteria!$B$51),"FAIL: roof fixing pull-out below "&amp;SG_Criteria!$B$51&amp;" kN. ","")&amp;IF(AND(R261&lt;&gt;"",IFERROR(VALUE(MID(R261,2,2)),0)&lt;SG_Criteria!$B$52),"FAIL: grade below C"&amp;SG_Criteria!$B$52&amp;". ","")&amp;IF(D261="Non-standard (project design)","NOTE: not an SDRE standard, needs LTA acceptance. ",""))=0,"OK",IF(AND(C261&lt;&gt;"High Covered Linkway",F261&lt;SG_Criteria!$B$46),"FAIL: headroom below "&amp;SG_Criteria!$B$46&amp;" m. ","")&amp;IF(AND(C261="High Covered Linkway",F261&lt;SG_Criteria!$B$47),"FAIL: high linkway headroom below "&amp;SG_Criteria!$B$47&amp;" m. ","")&amp;IF(E261&lt;SG_Criteria!$B$48,"FAIL: roof width below "&amp;SG_Criteria!$B$48&amp;" m. ",IF(E261&lt;SG_Criteria!$B$49,"NOTE: not for MRT/LRT or high-traffic routes (min "&amp;SG_Criteria!$B$49&amp;" m). ",""))&amp;IF(AND(P261&lt;&gt;"",P261&lt;SG_Criteria!$B$50),"FAIL: wind speed below "&amp;SG_Criteria!$B$50&amp;" m/s. ","")&amp;IF(AND(Q261&lt;&gt;"",Q261&lt;SG_Criteria!$B$51),"FAIL: roof fixing pull-out below "&amp;SG_Criteria!$B$51&amp;" kN. ","")&amp;IF(AND(R261&lt;&gt;"",IFERROR(VALUE(MID(R261,2,2)),0)&lt;SG_Criteria!$B$52),"FAIL: grade below C"&amp;SG_Criteria!$B$52&amp;". ","")&amp;IF(D261="Non-standard (project design)","NOTE: not an SDRE standard, needs LTA acceptance. ","")))</f>
        <v/>
      </c>
      <c r="AP261" s="9"/>
      <c r="AQ261" s="9"/>
      <c r="AR261" s="9"/>
      <c r="AS261" s="9"/>
      <c r="AT261" s="9"/>
      <c r="AU261" s="31"/>
      <c r="AV261" s="10" t="str">
        <f aca="false">IF(C261="","",IF(AND(X261="Approved",ISERROR(SEARCH("FAIL",AO261))),"Y","N"))</f>
        <v/>
      </c>
      <c r="AW261" s="10" t="str">
        <f aca="false">IF(C261="","",C261&amp;"|"&amp;E261&amp;"|"&amp;F261&amp;"|"&amp;AV261)</f>
        <v/>
      </c>
    </row>
    <row r="262" customFormat="false" ht="15" hidden="false" customHeight="false" outlineLevel="0" collapsed="false">
      <c r="A262" s="10" t="str">
        <f aca="false">IF(C262="","","LKW-"&amp;IFERROR(VLOOKUP(C262,Lists!$AQ$4:$AR$17,2,0),"??")&amp;"-W"&amp;TEXT(E262*1000,"0000")&amp;"-H"&amp;TEXT(F262*1000,"0000")&amp;"-B"&amp;TEXT(G262*1000,"0000")&amp;"-"&amp;W262)</f>
        <v/>
      </c>
      <c r="B262" s="10" t="str">
        <f aca="false">IF(C262="","",C262&amp;", "&amp;E262&amp;" m wide, "&amp;F262&amp;" m headroom, "&amp;G262&amp;" m bays, "&amp;H262&amp;" ("&amp;D262&amp;")")</f>
        <v/>
      </c>
      <c r="C262" s="9"/>
      <c r="D262" s="9"/>
      <c r="E262" s="43"/>
      <c r="F262" s="43"/>
      <c r="G262" s="43"/>
      <c r="H262" s="9"/>
      <c r="I262" s="9"/>
      <c r="J262" s="9"/>
      <c r="K262" s="9"/>
      <c r="L262" s="9"/>
      <c r="M262" s="9"/>
      <c r="N262" s="9"/>
      <c r="O262" s="9"/>
      <c r="P262" s="40"/>
      <c r="Q262" s="43"/>
      <c r="R262" s="9"/>
      <c r="S262" s="9"/>
      <c r="T262" s="9"/>
      <c r="U262" s="43"/>
      <c r="V262" s="9"/>
      <c r="W262" s="9"/>
      <c r="X262" s="9"/>
      <c r="Y262" s="9"/>
      <c r="Z262" s="9"/>
      <c r="AA262" s="9"/>
      <c r="AB262" s="10" t="str">
        <f aca="false">IF(A262="","",SG_Criteria!$B$6&amp;SG_Criteria!$B$12&amp;"\"&amp;A262&amp;"\")</f>
        <v/>
      </c>
      <c r="AC262" s="10" t="str">
        <f aca="false">IF(A262="","",A262&amp;"_CAD.dwg")</f>
        <v/>
      </c>
      <c r="AD262" s="10" t="str">
        <f aca="false">IF(A262="","",A262&amp;"_DWG.pdf")</f>
        <v/>
      </c>
      <c r="AE262" s="10" t="str">
        <f aca="false">IF(A262="","",IF(AA262="Y",A262&amp;"_STAAD.std","n/a"))</f>
        <v/>
      </c>
      <c r="AF262" s="10" t="str">
        <f aca="false">IF(A262="","",A262&amp;"_CALC.xlsx")</f>
        <v/>
      </c>
      <c r="AG262" s="10" t="str">
        <f aca="false">IF(A262="","",A262&amp;"_CALC.pdf")</f>
        <v/>
      </c>
      <c r="AH262" s="9"/>
      <c r="AI262" s="9"/>
      <c r="AJ262" s="41"/>
      <c r="AK262" s="41"/>
      <c r="AL262" s="41"/>
      <c r="AM262" s="41"/>
      <c r="AN262" s="41"/>
      <c r="AO262" s="38" t="str">
        <f aca="false">IF(C262="","",IF(LEN(IF(AND(C262&lt;&gt;"High Covered Linkway",F262&lt;SG_Criteria!$B$46),"FAIL: headroom below "&amp;SG_Criteria!$B$46&amp;" m. ","")&amp;IF(AND(C262="High Covered Linkway",F262&lt;SG_Criteria!$B$47),"FAIL: high linkway headroom below "&amp;SG_Criteria!$B$47&amp;" m. ","")&amp;IF(E262&lt;SG_Criteria!$B$48,"FAIL: roof width below "&amp;SG_Criteria!$B$48&amp;" m. ",IF(E262&lt;SG_Criteria!$B$49,"NOTE: not for MRT/LRT or high-traffic routes (min "&amp;SG_Criteria!$B$49&amp;" m). ",""))&amp;IF(AND(P262&lt;&gt;"",P262&lt;SG_Criteria!$B$50),"FAIL: wind speed below "&amp;SG_Criteria!$B$50&amp;" m/s. ","")&amp;IF(AND(Q262&lt;&gt;"",Q262&lt;SG_Criteria!$B$51),"FAIL: roof fixing pull-out below "&amp;SG_Criteria!$B$51&amp;" kN. ","")&amp;IF(AND(R262&lt;&gt;"",IFERROR(VALUE(MID(R262,2,2)),0)&lt;SG_Criteria!$B$52),"FAIL: grade below C"&amp;SG_Criteria!$B$52&amp;". ","")&amp;IF(D262="Non-standard (project design)","NOTE: not an SDRE standard, needs LTA acceptance. ",""))=0,"OK",IF(AND(C262&lt;&gt;"High Covered Linkway",F262&lt;SG_Criteria!$B$46),"FAIL: headroom below "&amp;SG_Criteria!$B$46&amp;" m. ","")&amp;IF(AND(C262="High Covered Linkway",F262&lt;SG_Criteria!$B$47),"FAIL: high linkway headroom below "&amp;SG_Criteria!$B$47&amp;" m. ","")&amp;IF(E262&lt;SG_Criteria!$B$48,"FAIL: roof width below "&amp;SG_Criteria!$B$48&amp;" m. ",IF(E262&lt;SG_Criteria!$B$49,"NOTE: not for MRT/LRT or high-traffic routes (min "&amp;SG_Criteria!$B$49&amp;" m). ",""))&amp;IF(AND(P262&lt;&gt;"",P262&lt;SG_Criteria!$B$50),"FAIL: wind speed below "&amp;SG_Criteria!$B$50&amp;" m/s. ","")&amp;IF(AND(Q262&lt;&gt;"",Q262&lt;SG_Criteria!$B$51),"FAIL: roof fixing pull-out below "&amp;SG_Criteria!$B$51&amp;" kN. ","")&amp;IF(AND(R262&lt;&gt;"",IFERROR(VALUE(MID(R262,2,2)),0)&lt;SG_Criteria!$B$52),"FAIL: grade below C"&amp;SG_Criteria!$B$52&amp;". ","")&amp;IF(D262="Non-standard (project design)","NOTE: not an SDRE standard, needs LTA acceptance. ","")))</f>
        <v/>
      </c>
      <c r="AP262" s="9"/>
      <c r="AQ262" s="9"/>
      <c r="AR262" s="9"/>
      <c r="AS262" s="9"/>
      <c r="AT262" s="9"/>
      <c r="AU262" s="31"/>
      <c r="AV262" s="10" t="str">
        <f aca="false">IF(C262="","",IF(AND(X262="Approved",ISERROR(SEARCH("FAIL",AO262))),"Y","N"))</f>
        <v/>
      </c>
      <c r="AW262" s="10" t="str">
        <f aca="false">IF(C262="","",C262&amp;"|"&amp;E262&amp;"|"&amp;F262&amp;"|"&amp;AV262)</f>
        <v/>
      </c>
    </row>
    <row r="263" customFormat="false" ht="15" hidden="false" customHeight="false" outlineLevel="0" collapsed="false">
      <c r="A263" s="10" t="str">
        <f aca="false">IF(C263="","","LKW-"&amp;IFERROR(VLOOKUP(C263,Lists!$AQ$4:$AR$17,2,0),"??")&amp;"-W"&amp;TEXT(E263*1000,"0000")&amp;"-H"&amp;TEXT(F263*1000,"0000")&amp;"-B"&amp;TEXT(G263*1000,"0000")&amp;"-"&amp;W263)</f>
        <v/>
      </c>
      <c r="B263" s="10" t="str">
        <f aca="false">IF(C263="","",C263&amp;", "&amp;E263&amp;" m wide, "&amp;F263&amp;" m headroom, "&amp;G263&amp;" m bays, "&amp;H263&amp;" ("&amp;D263&amp;")")</f>
        <v/>
      </c>
      <c r="C263" s="9"/>
      <c r="D263" s="9"/>
      <c r="E263" s="43"/>
      <c r="F263" s="43"/>
      <c r="G263" s="43"/>
      <c r="H263" s="9"/>
      <c r="I263" s="9"/>
      <c r="J263" s="9"/>
      <c r="K263" s="9"/>
      <c r="L263" s="9"/>
      <c r="M263" s="9"/>
      <c r="N263" s="9"/>
      <c r="O263" s="9"/>
      <c r="P263" s="40"/>
      <c r="Q263" s="43"/>
      <c r="R263" s="9"/>
      <c r="S263" s="9"/>
      <c r="T263" s="9"/>
      <c r="U263" s="43"/>
      <c r="V263" s="9"/>
      <c r="W263" s="9"/>
      <c r="X263" s="9"/>
      <c r="Y263" s="9"/>
      <c r="Z263" s="9"/>
      <c r="AA263" s="9"/>
      <c r="AB263" s="10" t="str">
        <f aca="false">IF(A263="","",SG_Criteria!$B$6&amp;SG_Criteria!$B$12&amp;"\"&amp;A263&amp;"\")</f>
        <v/>
      </c>
      <c r="AC263" s="10" t="str">
        <f aca="false">IF(A263="","",A263&amp;"_CAD.dwg")</f>
        <v/>
      </c>
      <c r="AD263" s="10" t="str">
        <f aca="false">IF(A263="","",A263&amp;"_DWG.pdf")</f>
        <v/>
      </c>
      <c r="AE263" s="10" t="str">
        <f aca="false">IF(A263="","",IF(AA263="Y",A263&amp;"_STAAD.std","n/a"))</f>
        <v/>
      </c>
      <c r="AF263" s="10" t="str">
        <f aca="false">IF(A263="","",A263&amp;"_CALC.xlsx")</f>
        <v/>
      </c>
      <c r="AG263" s="10" t="str">
        <f aca="false">IF(A263="","",A263&amp;"_CALC.pdf")</f>
        <v/>
      </c>
      <c r="AH263" s="9"/>
      <c r="AI263" s="9"/>
      <c r="AJ263" s="41"/>
      <c r="AK263" s="41"/>
      <c r="AL263" s="41"/>
      <c r="AM263" s="41"/>
      <c r="AN263" s="41"/>
      <c r="AO263" s="38" t="str">
        <f aca="false">IF(C263="","",IF(LEN(IF(AND(C263&lt;&gt;"High Covered Linkway",F263&lt;SG_Criteria!$B$46),"FAIL: headroom below "&amp;SG_Criteria!$B$46&amp;" m. ","")&amp;IF(AND(C263="High Covered Linkway",F263&lt;SG_Criteria!$B$47),"FAIL: high linkway headroom below "&amp;SG_Criteria!$B$47&amp;" m. ","")&amp;IF(E263&lt;SG_Criteria!$B$48,"FAIL: roof width below "&amp;SG_Criteria!$B$48&amp;" m. ",IF(E263&lt;SG_Criteria!$B$49,"NOTE: not for MRT/LRT or high-traffic routes (min "&amp;SG_Criteria!$B$49&amp;" m). ",""))&amp;IF(AND(P263&lt;&gt;"",P263&lt;SG_Criteria!$B$50),"FAIL: wind speed below "&amp;SG_Criteria!$B$50&amp;" m/s. ","")&amp;IF(AND(Q263&lt;&gt;"",Q263&lt;SG_Criteria!$B$51),"FAIL: roof fixing pull-out below "&amp;SG_Criteria!$B$51&amp;" kN. ","")&amp;IF(AND(R263&lt;&gt;"",IFERROR(VALUE(MID(R263,2,2)),0)&lt;SG_Criteria!$B$52),"FAIL: grade below C"&amp;SG_Criteria!$B$52&amp;". ","")&amp;IF(D263="Non-standard (project design)","NOTE: not an SDRE standard, needs LTA acceptance. ",""))=0,"OK",IF(AND(C263&lt;&gt;"High Covered Linkway",F263&lt;SG_Criteria!$B$46),"FAIL: headroom below "&amp;SG_Criteria!$B$46&amp;" m. ","")&amp;IF(AND(C263="High Covered Linkway",F263&lt;SG_Criteria!$B$47),"FAIL: high linkway headroom below "&amp;SG_Criteria!$B$47&amp;" m. ","")&amp;IF(E263&lt;SG_Criteria!$B$48,"FAIL: roof width below "&amp;SG_Criteria!$B$48&amp;" m. ",IF(E263&lt;SG_Criteria!$B$49,"NOTE: not for MRT/LRT or high-traffic routes (min "&amp;SG_Criteria!$B$49&amp;" m). ",""))&amp;IF(AND(P263&lt;&gt;"",P263&lt;SG_Criteria!$B$50),"FAIL: wind speed below "&amp;SG_Criteria!$B$50&amp;" m/s. ","")&amp;IF(AND(Q263&lt;&gt;"",Q263&lt;SG_Criteria!$B$51),"FAIL: roof fixing pull-out below "&amp;SG_Criteria!$B$51&amp;" kN. ","")&amp;IF(AND(R263&lt;&gt;"",IFERROR(VALUE(MID(R263,2,2)),0)&lt;SG_Criteria!$B$52),"FAIL: grade below C"&amp;SG_Criteria!$B$52&amp;". ","")&amp;IF(D263="Non-standard (project design)","NOTE: not an SDRE standard, needs LTA acceptance. ","")))</f>
        <v/>
      </c>
      <c r="AP263" s="9"/>
      <c r="AQ263" s="9"/>
      <c r="AR263" s="9"/>
      <c r="AS263" s="9"/>
      <c r="AT263" s="9"/>
      <c r="AU263" s="31"/>
      <c r="AV263" s="10" t="str">
        <f aca="false">IF(C263="","",IF(AND(X263="Approved",ISERROR(SEARCH("FAIL",AO263))),"Y","N"))</f>
        <v/>
      </c>
      <c r="AW263" s="10" t="str">
        <f aca="false">IF(C263="","",C263&amp;"|"&amp;E263&amp;"|"&amp;F263&amp;"|"&amp;AV263)</f>
        <v/>
      </c>
    </row>
    <row r="264" customFormat="false" ht="15" hidden="false" customHeight="false" outlineLevel="0" collapsed="false">
      <c r="A264" s="10" t="str">
        <f aca="false">IF(C264="","","LKW-"&amp;IFERROR(VLOOKUP(C264,Lists!$AQ$4:$AR$17,2,0),"??")&amp;"-W"&amp;TEXT(E264*1000,"0000")&amp;"-H"&amp;TEXT(F264*1000,"0000")&amp;"-B"&amp;TEXT(G264*1000,"0000")&amp;"-"&amp;W264)</f>
        <v/>
      </c>
      <c r="B264" s="10" t="str">
        <f aca="false">IF(C264="","",C264&amp;", "&amp;E264&amp;" m wide, "&amp;F264&amp;" m headroom, "&amp;G264&amp;" m bays, "&amp;H264&amp;" ("&amp;D264&amp;")")</f>
        <v/>
      </c>
      <c r="C264" s="9"/>
      <c r="D264" s="9"/>
      <c r="E264" s="43"/>
      <c r="F264" s="43"/>
      <c r="G264" s="43"/>
      <c r="H264" s="9"/>
      <c r="I264" s="9"/>
      <c r="J264" s="9"/>
      <c r="K264" s="9"/>
      <c r="L264" s="9"/>
      <c r="M264" s="9"/>
      <c r="N264" s="9"/>
      <c r="O264" s="9"/>
      <c r="P264" s="40"/>
      <c r="Q264" s="43"/>
      <c r="R264" s="9"/>
      <c r="S264" s="9"/>
      <c r="T264" s="9"/>
      <c r="U264" s="43"/>
      <c r="V264" s="9"/>
      <c r="W264" s="9"/>
      <c r="X264" s="9"/>
      <c r="Y264" s="9"/>
      <c r="Z264" s="9"/>
      <c r="AA264" s="9"/>
      <c r="AB264" s="10" t="str">
        <f aca="false">IF(A264="","",SG_Criteria!$B$6&amp;SG_Criteria!$B$12&amp;"\"&amp;A264&amp;"\")</f>
        <v/>
      </c>
      <c r="AC264" s="10" t="str">
        <f aca="false">IF(A264="","",A264&amp;"_CAD.dwg")</f>
        <v/>
      </c>
      <c r="AD264" s="10" t="str">
        <f aca="false">IF(A264="","",A264&amp;"_DWG.pdf")</f>
        <v/>
      </c>
      <c r="AE264" s="10" t="str">
        <f aca="false">IF(A264="","",IF(AA264="Y",A264&amp;"_STAAD.std","n/a"))</f>
        <v/>
      </c>
      <c r="AF264" s="10" t="str">
        <f aca="false">IF(A264="","",A264&amp;"_CALC.xlsx")</f>
        <v/>
      </c>
      <c r="AG264" s="10" t="str">
        <f aca="false">IF(A264="","",A264&amp;"_CALC.pdf")</f>
        <v/>
      </c>
      <c r="AH264" s="9"/>
      <c r="AI264" s="9"/>
      <c r="AJ264" s="41"/>
      <c r="AK264" s="41"/>
      <c r="AL264" s="41"/>
      <c r="AM264" s="41"/>
      <c r="AN264" s="41"/>
      <c r="AO264" s="38" t="str">
        <f aca="false">IF(C264="","",IF(LEN(IF(AND(C264&lt;&gt;"High Covered Linkway",F264&lt;SG_Criteria!$B$46),"FAIL: headroom below "&amp;SG_Criteria!$B$46&amp;" m. ","")&amp;IF(AND(C264="High Covered Linkway",F264&lt;SG_Criteria!$B$47),"FAIL: high linkway headroom below "&amp;SG_Criteria!$B$47&amp;" m. ","")&amp;IF(E264&lt;SG_Criteria!$B$48,"FAIL: roof width below "&amp;SG_Criteria!$B$48&amp;" m. ",IF(E264&lt;SG_Criteria!$B$49,"NOTE: not for MRT/LRT or high-traffic routes (min "&amp;SG_Criteria!$B$49&amp;" m). ",""))&amp;IF(AND(P264&lt;&gt;"",P264&lt;SG_Criteria!$B$50),"FAIL: wind speed below "&amp;SG_Criteria!$B$50&amp;" m/s. ","")&amp;IF(AND(Q264&lt;&gt;"",Q264&lt;SG_Criteria!$B$51),"FAIL: roof fixing pull-out below "&amp;SG_Criteria!$B$51&amp;" kN. ","")&amp;IF(AND(R264&lt;&gt;"",IFERROR(VALUE(MID(R264,2,2)),0)&lt;SG_Criteria!$B$52),"FAIL: grade below C"&amp;SG_Criteria!$B$52&amp;". ","")&amp;IF(D264="Non-standard (project design)","NOTE: not an SDRE standard, needs LTA acceptance. ",""))=0,"OK",IF(AND(C264&lt;&gt;"High Covered Linkway",F264&lt;SG_Criteria!$B$46),"FAIL: headroom below "&amp;SG_Criteria!$B$46&amp;" m. ","")&amp;IF(AND(C264="High Covered Linkway",F264&lt;SG_Criteria!$B$47),"FAIL: high linkway headroom below "&amp;SG_Criteria!$B$47&amp;" m. ","")&amp;IF(E264&lt;SG_Criteria!$B$48,"FAIL: roof width below "&amp;SG_Criteria!$B$48&amp;" m. ",IF(E264&lt;SG_Criteria!$B$49,"NOTE: not for MRT/LRT or high-traffic routes (min "&amp;SG_Criteria!$B$49&amp;" m). ",""))&amp;IF(AND(P264&lt;&gt;"",P264&lt;SG_Criteria!$B$50),"FAIL: wind speed below "&amp;SG_Criteria!$B$50&amp;" m/s. ","")&amp;IF(AND(Q264&lt;&gt;"",Q264&lt;SG_Criteria!$B$51),"FAIL: roof fixing pull-out below "&amp;SG_Criteria!$B$51&amp;" kN. ","")&amp;IF(AND(R264&lt;&gt;"",IFERROR(VALUE(MID(R264,2,2)),0)&lt;SG_Criteria!$B$52),"FAIL: grade below C"&amp;SG_Criteria!$B$52&amp;". ","")&amp;IF(D264="Non-standard (project design)","NOTE: not an SDRE standard, needs LTA acceptance. ","")))</f>
        <v/>
      </c>
      <c r="AP264" s="9"/>
      <c r="AQ264" s="9"/>
      <c r="AR264" s="9"/>
      <c r="AS264" s="9"/>
      <c r="AT264" s="9"/>
      <c r="AU264" s="31"/>
      <c r="AV264" s="10" t="str">
        <f aca="false">IF(C264="","",IF(AND(X264="Approved",ISERROR(SEARCH("FAIL",AO264))),"Y","N"))</f>
        <v/>
      </c>
      <c r="AW264" s="10" t="str">
        <f aca="false">IF(C264="","",C264&amp;"|"&amp;E264&amp;"|"&amp;F264&amp;"|"&amp;AV264)</f>
        <v/>
      </c>
    </row>
    <row r="265" customFormat="false" ht="15" hidden="false" customHeight="false" outlineLevel="0" collapsed="false">
      <c r="A265" s="10" t="str">
        <f aca="false">IF(C265="","","LKW-"&amp;IFERROR(VLOOKUP(C265,Lists!$AQ$4:$AR$17,2,0),"??")&amp;"-W"&amp;TEXT(E265*1000,"0000")&amp;"-H"&amp;TEXT(F265*1000,"0000")&amp;"-B"&amp;TEXT(G265*1000,"0000")&amp;"-"&amp;W265)</f>
        <v/>
      </c>
      <c r="B265" s="10" t="str">
        <f aca="false">IF(C265="","",C265&amp;", "&amp;E265&amp;" m wide, "&amp;F265&amp;" m headroom, "&amp;G265&amp;" m bays, "&amp;H265&amp;" ("&amp;D265&amp;")")</f>
        <v/>
      </c>
      <c r="C265" s="9"/>
      <c r="D265" s="9"/>
      <c r="E265" s="43"/>
      <c r="F265" s="43"/>
      <c r="G265" s="43"/>
      <c r="H265" s="9"/>
      <c r="I265" s="9"/>
      <c r="J265" s="9"/>
      <c r="K265" s="9"/>
      <c r="L265" s="9"/>
      <c r="M265" s="9"/>
      <c r="N265" s="9"/>
      <c r="O265" s="9"/>
      <c r="P265" s="40"/>
      <c r="Q265" s="43"/>
      <c r="R265" s="9"/>
      <c r="S265" s="9"/>
      <c r="T265" s="9"/>
      <c r="U265" s="43"/>
      <c r="V265" s="9"/>
      <c r="W265" s="9"/>
      <c r="X265" s="9"/>
      <c r="Y265" s="9"/>
      <c r="Z265" s="9"/>
      <c r="AA265" s="9"/>
      <c r="AB265" s="10" t="str">
        <f aca="false">IF(A265="","",SG_Criteria!$B$6&amp;SG_Criteria!$B$12&amp;"\"&amp;A265&amp;"\")</f>
        <v/>
      </c>
      <c r="AC265" s="10" t="str">
        <f aca="false">IF(A265="","",A265&amp;"_CAD.dwg")</f>
        <v/>
      </c>
      <c r="AD265" s="10" t="str">
        <f aca="false">IF(A265="","",A265&amp;"_DWG.pdf")</f>
        <v/>
      </c>
      <c r="AE265" s="10" t="str">
        <f aca="false">IF(A265="","",IF(AA265="Y",A265&amp;"_STAAD.std","n/a"))</f>
        <v/>
      </c>
      <c r="AF265" s="10" t="str">
        <f aca="false">IF(A265="","",A265&amp;"_CALC.xlsx")</f>
        <v/>
      </c>
      <c r="AG265" s="10" t="str">
        <f aca="false">IF(A265="","",A265&amp;"_CALC.pdf")</f>
        <v/>
      </c>
      <c r="AH265" s="9"/>
      <c r="AI265" s="9"/>
      <c r="AJ265" s="41"/>
      <c r="AK265" s="41"/>
      <c r="AL265" s="41"/>
      <c r="AM265" s="41"/>
      <c r="AN265" s="41"/>
      <c r="AO265" s="38" t="str">
        <f aca="false">IF(C265="","",IF(LEN(IF(AND(C265&lt;&gt;"High Covered Linkway",F265&lt;SG_Criteria!$B$46),"FAIL: headroom below "&amp;SG_Criteria!$B$46&amp;" m. ","")&amp;IF(AND(C265="High Covered Linkway",F265&lt;SG_Criteria!$B$47),"FAIL: high linkway headroom below "&amp;SG_Criteria!$B$47&amp;" m. ","")&amp;IF(E265&lt;SG_Criteria!$B$48,"FAIL: roof width below "&amp;SG_Criteria!$B$48&amp;" m. ",IF(E265&lt;SG_Criteria!$B$49,"NOTE: not for MRT/LRT or high-traffic routes (min "&amp;SG_Criteria!$B$49&amp;" m). ",""))&amp;IF(AND(P265&lt;&gt;"",P265&lt;SG_Criteria!$B$50),"FAIL: wind speed below "&amp;SG_Criteria!$B$50&amp;" m/s. ","")&amp;IF(AND(Q265&lt;&gt;"",Q265&lt;SG_Criteria!$B$51),"FAIL: roof fixing pull-out below "&amp;SG_Criteria!$B$51&amp;" kN. ","")&amp;IF(AND(R265&lt;&gt;"",IFERROR(VALUE(MID(R265,2,2)),0)&lt;SG_Criteria!$B$52),"FAIL: grade below C"&amp;SG_Criteria!$B$52&amp;". ","")&amp;IF(D265="Non-standard (project design)","NOTE: not an SDRE standard, needs LTA acceptance. ",""))=0,"OK",IF(AND(C265&lt;&gt;"High Covered Linkway",F265&lt;SG_Criteria!$B$46),"FAIL: headroom below "&amp;SG_Criteria!$B$46&amp;" m. ","")&amp;IF(AND(C265="High Covered Linkway",F265&lt;SG_Criteria!$B$47),"FAIL: high linkway headroom below "&amp;SG_Criteria!$B$47&amp;" m. ","")&amp;IF(E265&lt;SG_Criteria!$B$48,"FAIL: roof width below "&amp;SG_Criteria!$B$48&amp;" m. ",IF(E265&lt;SG_Criteria!$B$49,"NOTE: not for MRT/LRT or high-traffic routes (min "&amp;SG_Criteria!$B$49&amp;" m). ",""))&amp;IF(AND(P265&lt;&gt;"",P265&lt;SG_Criteria!$B$50),"FAIL: wind speed below "&amp;SG_Criteria!$B$50&amp;" m/s. ","")&amp;IF(AND(Q265&lt;&gt;"",Q265&lt;SG_Criteria!$B$51),"FAIL: roof fixing pull-out below "&amp;SG_Criteria!$B$51&amp;" kN. ","")&amp;IF(AND(R265&lt;&gt;"",IFERROR(VALUE(MID(R265,2,2)),0)&lt;SG_Criteria!$B$52),"FAIL: grade below C"&amp;SG_Criteria!$B$52&amp;". ","")&amp;IF(D265="Non-standard (project design)","NOTE: not an SDRE standard, needs LTA acceptance. ","")))</f>
        <v/>
      </c>
      <c r="AP265" s="9"/>
      <c r="AQ265" s="9"/>
      <c r="AR265" s="9"/>
      <c r="AS265" s="9"/>
      <c r="AT265" s="9"/>
      <c r="AU265" s="31"/>
      <c r="AV265" s="10" t="str">
        <f aca="false">IF(C265="","",IF(AND(X265="Approved",ISERROR(SEARCH("FAIL",AO265))),"Y","N"))</f>
        <v/>
      </c>
      <c r="AW265" s="10" t="str">
        <f aca="false">IF(C265="","",C265&amp;"|"&amp;E265&amp;"|"&amp;F265&amp;"|"&amp;AV265)</f>
        <v/>
      </c>
    </row>
    <row r="266" customFormat="false" ht="15" hidden="false" customHeight="false" outlineLevel="0" collapsed="false">
      <c r="A266" s="10" t="str">
        <f aca="false">IF(C266="","","LKW-"&amp;IFERROR(VLOOKUP(C266,Lists!$AQ$4:$AR$17,2,0),"??")&amp;"-W"&amp;TEXT(E266*1000,"0000")&amp;"-H"&amp;TEXT(F266*1000,"0000")&amp;"-B"&amp;TEXT(G266*1000,"0000")&amp;"-"&amp;W266)</f>
        <v/>
      </c>
      <c r="B266" s="10" t="str">
        <f aca="false">IF(C266="","",C266&amp;", "&amp;E266&amp;" m wide, "&amp;F266&amp;" m headroom, "&amp;G266&amp;" m bays, "&amp;H266&amp;" ("&amp;D266&amp;")")</f>
        <v/>
      </c>
      <c r="C266" s="9"/>
      <c r="D266" s="9"/>
      <c r="E266" s="43"/>
      <c r="F266" s="43"/>
      <c r="G266" s="43"/>
      <c r="H266" s="9"/>
      <c r="I266" s="9"/>
      <c r="J266" s="9"/>
      <c r="K266" s="9"/>
      <c r="L266" s="9"/>
      <c r="M266" s="9"/>
      <c r="N266" s="9"/>
      <c r="O266" s="9"/>
      <c r="P266" s="40"/>
      <c r="Q266" s="43"/>
      <c r="R266" s="9"/>
      <c r="S266" s="9"/>
      <c r="T266" s="9"/>
      <c r="U266" s="43"/>
      <c r="V266" s="9"/>
      <c r="W266" s="9"/>
      <c r="X266" s="9"/>
      <c r="Y266" s="9"/>
      <c r="Z266" s="9"/>
      <c r="AA266" s="9"/>
      <c r="AB266" s="10" t="str">
        <f aca="false">IF(A266="","",SG_Criteria!$B$6&amp;SG_Criteria!$B$12&amp;"\"&amp;A266&amp;"\")</f>
        <v/>
      </c>
      <c r="AC266" s="10" t="str">
        <f aca="false">IF(A266="","",A266&amp;"_CAD.dwg")</f>
        <v/>
      </c>
      <c r="AD266" s="10" t="str">
        <f aca="false">IF(A266="","",A266&amp;"_DWG.pdf")</f>
        <v/>
      </c>
      <c r="AE266" s="10" t="str">
        <f aca="false">IF(A266="","",IF(AA266="Y",A266&amp;"_STAAD.std","n/a"))</f>
        <v/>
      </c>
      <c r="AF266" s="10" t="str">
        <f aca="false">IF(A266="","",A266&amp;"_CALC.xlsx")</f>
        <v/>
      </c>
      <c r="AG266" s="10" t="str">
        <f aca="false">IF(A266="","",A266&amp;"_CALC.pdf")</f>
        <v/>
      </c>
      <c r="AH266" s="9"/>
      <c r="AI266" s="9"/>
      <c r="AJ266" s="41"/>
      <c r="AK266" s="41"/>
      <c r="AL266" s="41"/>
      <c r="AM266" s="41"/>
      <c r="AN266" s="41"/>
      <c r="AO266" s="38" t="str">
        <f aca="false">IF(C266="","",IF(LEN(IF(AND(C266&lt;&gt;"High Covered Linkway",F266&lt;SG_Criteria!$B$46),"FAIL: headroom below "&amp;SG_Criteria!$B$46&amp;" m. ","")&amp;IF(AND(C266="High Covered Linkway",F266&lt;SG_Criteria!$B$47),"FAIL: high linkway headroom below "&amp;SG_Criteria!$B$47&amp;" m. ","")&amp;IF(E266&lt;SG_Criteria!$B$48,"FAIL: roof width below "&amp;SG_Criteria!$B$48&amp;" m. ",IF(E266&lt;SG_Criteria!$B$49,"NOTE: not for MRT/LRT or high-traffic routes (min "&amp;SG_Criteria!$B$49&amp;" m). ",""))&amp;IF(AND(P266&lt;&gt;"",P266&lt;SG_Criteria!$B$50),"FAIL: wind speed below "&amp;SG_Criteria!$B$50&amp;" m/s. ","")&amp;IF(AND(Q266&lt;&gt;"",Q266&lt;SG_Criteria!$B$51),"FAIL: roof fixing pull-out below "&amp;SG_Criteria!$B$51&amp;" kN. ","")&amp;IF(AND(R266&lt;&gt;"",IFERROR(VALUE(MID(R266,2,2)),0)&lt;SG_Criteria!$B$52),"FAIL: grade below C"&amp;SG_Criteria!$B$52&amp;". ","")&amp;IF(D266="Non-standard (project design)","NOTE: not an SDRE standard, needs LTA acceptance. ",""))=0,"OK",IF(AND(C266&lt;&gt;"High Covered Linkway",F266&lt;SG_Criteria!$B$46),"FAIL: headroom below "&amp;SG_Criteria!$B$46&amp;" m. ","")&amp;IF(AND(C266="High Covered Linkway",F266&lt;SG_Criteria!$B$47),"FAIL: high linkway headroom below "&amp;SG_Criteria!$B$47&amp;" m. ","")&amp;IF(E266&lt;SG_Criteria!$B$48,"FAIL: roof width below "&amp;SG_Criteria!$B$48&amp;" m. ",IF(E266&lt;SG_Criteria!$B$49,"NOTE: not for MRT/LRT or high-traffic routes (min "&amp;SG_Criteria!$B$49&amp;" m). ",""))&amp;IF(AND(P266&lt;&gt;"",P266&lt;SG_Criteria!$B$50),"FAIL: wind speed below "&amp;SG_Criteria!$B$50&amp;" m/s. ","")&amp;IF(AND(Q266&lt;&gt;"",Q266&lt;SG_Criteria!$B$51),"FAIL: roof fixing pull-out below "&amp;SG_Criteria!$B$51&amp;" kN. ","")&amp;IF(AND(R266&lt;&gt;"",IFERROR(VALUE(MID(R266,2,2)),0)&lt;SG_Criteria!$B$52),"FAIL: grade below C"&amp;SG_Criteria!$B$52&amp;". ","")&amp;IF(D266="Non-standard (project design)","NOTE: not an SDRE standard, needs LTA acceptance. ","")))</f>
        <v/>
      </c>
      <c r="AP266" s="9"/>
      <c r="AQ266" s="9"/>
      <c r="AR266" s="9"/>
      <c r="AS266" s="9"/>
      <c r="AT266" s="9"/>
      <c r="AU266" s="31"/>
      <c r="AV266" s="10" t="str">
        <f aca="false">IF(C266="","",IF(AND(X266="Approved",ISERROR(SEARCH("FAIL",AO266))),"Y","N"))</f>
        <v/>
      </c>
      <c r="AW266" s="10" t="str">
        <f aca="false">IF(C266="","",C266&amp;"|"&amp;E266&amp;"|"&amp;F266&amp;"|"&amp;AV266)</f>
        <v/>
      </c>
    </row>
    <row r="267" customFormat="false" ht="15" hidden="false" customHeight="false" outlineLevel="0" collapsed="false">
      <c r="A267" s="10" t="str">
        <f aca="false">IF(C267="","","LKW-"&amp;IFERROR(VLOOKUP(C267,Lists!$AQ$4:$AR$17,2,0),"??")&amp;"-W"&amp;TEXT(E267*1000,"0000")&amp;"-H"&amp;TEXT(F267*1000,"0000")&amp;"-B"&amp;TEXT(G267*1000,"0000")&amp;"-"&amp;W267)</f>
        <v/>
      </c>
      <c r="B267" s="10" t="str">
        <f aca="false">IF(C267="","",C267&amp;", "&amp;E267&amp;" m wide, "&amp;F267&amp;" m headroom, "&amp;G267&amp;" m bays, "&amp;H267&amp;" ("&amp;D267&amp;")")</f>
        <v/>
      </c>
      <c r="C267" s="9"/>
      <c r="D267" s="9"/>
      <c r="E267" s="43"/>
      <c r="F267" s="43"/>
      <c r="G267" s="43"/>
      <c r="H267" s="9"/>
      <c r="I267" s="9"/>
      <c r="J267" s="9"/>
      <c r="K267" s="9"/>
      <c r="L267" s="9"/>
      <c r="M267" s="9"/>
      <c r="N267" s="9"/>
      <c r="O267" s="9"/>
      <c r="P267" s="40"/>
      <c r="Q267" s="43"/>
      <c r="R267" s="9"/>
      <c r="S267" s="9"/>
      <c r="T267" s="9"/>
      <c r="U267" s="43"/>
      <c r="V267" s="9"/>
      <c r="W267" s="9"/>
      <c r="X267" s="9"/>
      <c r="Y267" s="9"/>
      <c r="Z267" s="9"/>
      <c r="AA267" s="9"/>
      <c r="AB267" s="10" t="str">
        <f aca="false">IF(A267="","",SG_Criteria!$B$6&amp;SG_Criteria!$B$12&amp;"\"&amp;A267&amp;"\")</f>
        <v/>
      </c>
      <c r="AC267" s="10" t="str">
        <f aca="false">IF(A267="","",A267&amp;"_CAD.dwg")</f>
        <v/>
      </c>
      <c r="AD267" s="10" t="str">
        <f aca="false">IF(A267="","",A267&amp;"_DWG.pdf")</f>
        <v/>
      </c>
      <c r="AE267" s="10" t="str">
        <f aca="false">IF(A267="","",IF(AA267="Y",A267&amp;"_STAAD.std","n/a"))</f>
        <v/>
      </c>
      <c r="AF267" s="10" t="str">
        <f aca="false">IF(A267="","",A267&amp;"_CALC.xlsx")</f>
        <v/>
      </c>
      <c r="AG267" s="10" t="str">
        <f aca="false">IF(A267="","",A267&amp;"_CALC.pdf")</f>
        <v/>
      </c>
      <c r="AH267" s="9"/>
      <c r="AI267" s="9"/>
      <c r="AJ267" s="41"/>
      <c r="AK267" s="41"/>
      <c r="AL267" s="41"/>
      <c r="AM267" s="41"/>
      <c r="AN267" s="41"/>
      <c r="AO267" s="38" t="str">
        <f aca="false">IF(C267="","",IF(LEN(IF(AND(C267&lt;&gt;"High Covered Linkway",F267&lt;SG_Criteria!$B$46),"FAIL: headroom below "&amp;SG_Criteria!$B$46&amp;" m. ","")&amp;IF(AND(C267="High Covered Linkway",F267&lt;SG_Criteria!$B$47),"FAIL: high linkway headroom below "&amp;SG_Criteria!$B$47&amp;" m. ","")&amp;IF(E267&lt;SG_Criteria!$B$48,"FAIL: roof width below "&amp;SG_Criteria!$B$48&amp;" m. ",IF(E267&lt;SG_Criteria!$B$49,"NOTE: not for MRT/LRT or high-traffic routes (min "&amp;SG_Criteria!$B$49&amp;" m). ",""))&amp;IF(AND(P267&lt;&gt;"",P267&lt;SG_Criteria!$B$50),"FAIL: wind speed below "&amp;SG_Criteria!$B$50&amp;" m/s. ","")&amp;IF(AND(Q267&lt;&gt;"",Q267&lt;SG_Criteria!$B$51),"FAIL: roof fixing pull-out below "&amp;SG_Criteria!$B$51&amp;" kN. ","")&amp;IF(AND(R267&lt;&gt;"",IFERROR(VALUE(MID(R267,2,2)),0)&lt;SG_Criteria!$B$52),"FAIL: grade below C"&amp;SG_Criteria!$B$52&amp;". ","")&amp;IF(D267="Non-standard (project design)","NOTE: not an SDRE standard, needs LTA acceptance. ",""))=0,"OK",IF(AND(C267&lt;&gt;"High Covered Linkway",F267&lt;SG_Criteria!$B$46),"FAIL: headroom below "&amp;SG_Criteria!$B$46&amp;" m. ","")&amp;IF(AND(C267="High Covered Linkway",F267&lt;SG_Criteria!$B$47),"FAIL: high linkway headroom below "&amp;SG_Criteria!$B$47&amp;" m. ","")&amp;IF(E267&lt;SG_Criteria!$B$48,"FAIL: roof width below "&amp;SG_Criteria!$B$48&amp;" m. ",IF(E267&lt;SG_Criteria!$B$49,"NOTE: not for MRT/LRT or high-traffic routes (min "&amp;SG_Criteria!$B$49&amp;" m). ",""))&amp;IF(AND(P267&lt;&gt;"",P267&lt;SG_Criteria!$B$50),"FAIL: wind speed below "&amp;SG_Criteria!$B$50&amp;" m/s. ","")&amp;IF(AND(Q267&lt;&gt;"",Q267&lt;SG_Criteria!$B$51),"FAIL: roof fixing pull-out below "&amp;SG_Criteria!$B$51&amp;" kN. ","")&amp;IF(AND(R267&lt;&gt;"",IFERROR(VALUE(MID(R267,2,2)),0)&lt;SG_Criteria!$B$52),"FAIL: grade below C"&amp;SG_Criteria!$B$52&amp;". ","")&amp;IF(D267="Non-standard (project design)","NOTE: not an SDRE standard, needs LTA acceptance. ","")))</f>
        <v/>
      </c>
      <c r="AP267" s="9"/>
      <c r="AQ267" s="9"/>
      <c r="AR267" s="9"/>
      <c r="AS267" s="9"/>
      <c r="AT267" s="9"/>
      <c r="AU267" s="31"/>
      <c r="AV267" s="10" t="str">
        <f aca="false">IF(C267="","",IF(AND(X267="Approved",ISERROR(SEARCH("FAIL",AO267))),"Y","N"))</f>
        <v/>
      </c>
      <c r="AW267" s="10" t="str">
        <f aca="false">IF(C267="","",C267&amp;"|"&amp;E267&amp;"|"&amp;F267&amp;"|"&amp;AV267)</f>
        <v/>
      </c>
    </row>
    <row r="268" customFormat="false" ht="15" hidden="false" customHeight="false" outlineLevel="0" collapsed="false">
      <c r="A268" s="10" t="str">
        <f aca="false">IF(C268="","","LKW-"&amp;IFERROR(VLOOKUP(C268,Lists!$AQ$4:$AR$17,2,0),"??")&amp;"-W"&amp;TEXT(E268*1000,"0000")&amp;"-H"&amp;TEXT(F268*1000,"0000")&amp;"-B"&amp;TEXT(G268*1000,"0000")&amp;"-"&amp;W268)</f>
        <v/>
      </c>
      <c r="B268" s="10" t="str">
        <f aca="false">IF(C268="","",C268&amp;", "&amp;E268&amp;" m wide, "&amp;F268&amp;" m headroom, "&amp;G268&amp;" m bays, "&amp;H268&amp;" ("&amp;D268&amp;")")</f>
        <v/>
      </c>
      <c r="C268" s="9"/>
      <c r="D268" s="9"/>
      <c r="E268" s="43"/>
      <c r="F268" s="43"/>
      <c r="G268" s="43"/>
      <c r="H268" s="9"/>
      <c r="I268" s="9"/>
      <c r="J268" s="9"/>
      <c r="K268" s="9"/>
      <c r="L268" s="9"/>
      <c r="M268" s="9"/>
      <c r="N268" s="9"/>
      <c r="O268" s="9"/>
      <c r="P268" s="40"/>
      <c r="Q268" s="43"/>
      <c r="R268" s="9"/>
      <c r="S268" s="9"/>
      <c r="T268" s="9"/>
      <c r="U268" s="43"/>
      <c r="V268" s="9"/>
      <c r="W268" s="9"/>
      <c r="X268" s="9"/>
      <c r="Y268" s="9"/>
      <c r="Z268" s="9"/>
      <c r="AA268" s="9"/>
      <c r="AB268" s="10" t="str">
        <f aca="false">IF(A268="","",SG_Criteria!$B$6&amp;SG_Criteria!$B$12&amp;"\"&amp;A268&amp;"\")</f>
        <v/>
      </c>
      <c r="AC268" s="10" t="str">
        <f aca="false">IF(A268="","",A268&amp;"_CAD.dwg")</f>
        <v/>
      </c>
      <c r="AD268" s="10" t="str">
        <f aca="false">IF(A268="","",A268&amp;"_DWG.pdf")</f>
        <v/>
      </c>
      <c r="AE268" s="10" t="str">
        <f aca="false">IF(A268="","",IF(AA268="Y",A268&amp;"_STAAD.std","n/a"))</f>
        <v/>
      </c>
      <c r="AF268" s="10" t="str">
        <f aca="false">IF(A268="","",A268&amp;"_CALC.xlsx")</f>
        <v/>
      </c>
      <c r="AG268" s="10" t="str">
        <f aca="false">IF(A268="","",A268&amp;"_CALC.pdf")</f>
        <v/>
      </c>
      <c r="AH268" s="9"/>
      <c r="AI268" s="9"/>
      <c r="AJ268" s="41"/>
      <c r="AK268" s="41"/>
      <c r="AL268" s="41"/>
      <c r="AM268" s="41"/>
      <c r="AN268" s="41"/>
      <c r="AO268" s="38" t="str">
        <f aca="false">IF(C268="","",IF(LEN(IF(AND(C268&lt;&gt;"High Covered Linkway",F268&lt;SG_Criteria!$B$46),"FAIL: headroom below "&amp;SG_Criteria!$B$46&amp;" m. ","")&amp;IF(AND(C268="High Covered Linkway",F268&lt;SG_Criteria!$B$47),"FAIL: high linkway headroom below "&amp;SG_Criteria!$B$47&amp;" m. ","")&amp;IF(E268&lt;SG_Criteria!$B$48,"FAIL: roof width below "&amp;SG_Criteria!$B$48&amp;" m. ",IF(E268&lt;SG_Criteria!$B$49,"NOTE: not for MRT/LRT or high-traffic routes (min "&amp;SG_Criteria!$B$49&amp;" m). ",""))&amp;IF(AND(P268&lt;&gt;"",P268&lt;SG_Criteria!$B$50),"FAIL: wind speed below "&amp;SG_Criteria!$B$50&amp;" m/s. ","")&amp;IF(AND(Q268&lt;&gt;"",Q268&lt;SG_Criteria!$B$51),"FAIL: roof fixing pull-out below "&amp;SG_Criteria!$B$51&amp;" kN. ","")&amp;IF(AND(R268&lt;&gt;"",IFERROR(VALUE(MID(R268,2,2)),0)&lt;SG_Criteria!$B$52),"FAIL: grade below C"&amp;SG_Criteria!$B$52&amp;". ","")&amp;IF(D268="Non-standard (project design)","NOTE: not an SDRE standard, needs LTA acceptance. ",""))=0,"OK",IF(AND(C268&lt;&gt;"High Covered Linkway",F268&lt;SG_Criteria!$B$46),"FAIL: headroom below "&amp;SG_Criteria!$B$46&amp;" m. ","")&amp;IF(AND(C268="High Covered Linkway",F268&lt;SG_Criteria!$B$47),"FAIL: high linkway headroom below "&amp;SG_Criteria!$B$47&amp;" m. ","")&amp;IF(E268&lt;SG_Criteria!$B$48,"FAIL: roof width below "&amp;SG_Criteria!$B$48&amp;" m. ",IF(E268&lt;SG_Criteria!$B$49,"NOTE: not for MRT/LRT or high-traffic routes (min "&amp;SG_Criteria!$B$49&amp;" m). ",""))&amp;IF(AND(P268&lt;&gt;"",P268&lt;SG_Criteria!$B$50),"FAIL: wind speed below "&amp;SG_Criteria!$B$50&amp;" m/s. ","")&amp;IF(AND(Q268&lt;&gt;"",Q268&lt;SG_Criteria!$B$51),"FAIL: roof fixing pull-out below "&amp;SG_Criteria!$B$51&amp;" kN. ","")&amp;IF(AND(R268&lt;&gt;"",IFERROR(VALUE(MID(R268,2,2)),0)&lt;SG_Criteria!$B$52),"FAIL: grade below C"&amp;SG_Criteria!$B$52&amp;". ","")&amp;IF(D268="Non-standard (project design)","NOTE: not an SDRE standard, needs LTA acceptance. ","")))</f>
        <v/>
      </c>
      <c r="AP268" s="9"/>
      <c r="AQ268" s="9"/>
      <c r="AR268" s="9"/>
      <c r="AS268" s="9"/>
      <c r="AT268" s="9"/>
      <c r="AU268" s="31"/>
      <c r="AV268" s="10" t="str">
        <f aca="false">IF(C268="","",IF(AND(X268="Approved",ISERROR(SEARCH("FAIL",AO268))),"Y","N"))</f>
        <v/>
      </c>
      <c r="AW268" s="10" t="str">
        <f aca="false">IF(C268="","",C268&amp;"|"&amp;E268&amp;"|"&amp;F268&amp;"|"&amp;AV268)</f>
        <v/>
      </c>
    </row>
    <row r="269" customFormat="false" ht="15" hidden="false" customHeight="false" outlineLevel="0" collapsed="false">
      <c r="A269" s="10" t="str">
        <f aca="false">IF(C269="","","LKW-"&amp;IFERROR(VLOOKUP(C269,Lists!$AQ$4:$AR$17,2,0),"??")&amp;"-W"&amp;TEXT(E269*1000,"0000")&amp;"-H"&amp;TEXT(F269*1000,"0000")&amp;"-B"&amp;TEXT(G269*1000,"0000")&amp;"-"&amp;W269)</f>
        <v/>
      </c>
      <c r="B269" s="10" t="str">
        <f aca="false">IF(C269="","",C269&amp;", "&amp;E269&amp;" m wide, "&amp;F269&amp;" m headroom, "&amp;G269&amp;" m bays, "&amp;H269&amp;" ("&amp;D269&amp;")")</f>
        <v/>
      </c>
      <c r="C269" s="9"/>
      <c r="D269" s="9"/>
      <c r="E269" s="43"/>
      <c r="F269" s="43"/>
      <c r="G269" s="43"/>
      <c r="H269" s="9"/>
      <c r="I269" s="9"/>
      <c r="J269" s="9"/>
      <c r="K269" s="9"/>
      <c r="L269" s="9"/>
      <c r="M269" s="9"/>
      <c r="N269" s="9"/>
      <c r="O269" s="9"/>
      <c r="P269" s="40"/>
      <c r="Q269" s="43"/>
      <c r="R269" s="9"/>
      <c r="S269" s="9"/>
      <c r="T269" s="9"/>
      <c r="U269" s="43"/>
      <c r="V269" s="9"/>
      <c r="W269" s="9"/>
      <c r="X269" s="9"/>
      <c r="Y269" s="9"/>
      <c r="Z269" s="9"/>
      <c r="AA269" s="9"/>
      <c r="AB269" s="10" t="str">
        <f aca="false">IF(A269="","",SG_Criteria!$B$6&amp;SG_Criteria!$B$12&amp;"\"&amp;A269&amp;"\")</f>
        <v/>
      </c>
      <c r="AC269" s="10" t="str">
        <f aca="false">IF(A269="","",A269&amp;"_CAD.dwg")</f>
        <v/>
      </c>
      <c r="AD269" s="10" t="str">
        <f aca="false">IF(A269="","",A269&amp;"_DWG.pdf")</f>
        <v/>
      </c>
      <c r="AE269" s="10" t="str">
        <f aca="false">IF(A269="","",IF(AA269="Y",A269&amp;"_STAAD.std","n/a"))</f>
        <v/>
      </c>
      <c r="AF269" s="10" t="str">
        <f aca="false">IF(A269="","",A269&amp;"_CALC.xlsx")</f>
        <v/>
      </c>
      <c r="AG269" s="10" t="str">
        <f aca="false">IF(A269="","",A269&amp;"_CALC.pdf")</f>
        <v/>
      </c>
      <c r="AH269" s="9"/>
      <c r="AI269" s="9"/>
      <c r="AJ269" s="41"/>
      <c r="AK269" s="41"/>
      <c r="AL269" s="41"/>
      <c r="AM269" s="41"/>
      <c r="AN269" s="41"/>
      <c r="AO269" s="38" t="str">
        <f aca="false">IF(C269="","",IF(LEN(IF(AND(C269&lt;&gt;"High Covered Linkway",F269&lt;SG_Criteria!$B$46),"FAIL: headroom below "&amp;SG_Criteria!$B$46&amp;" m. ","")&amp;IF(AND(C269="High Covered Linkway",F269&lt;SG_Criteria!$B$47),"FAIL: high linkway headroom below "&amp;SG_Criteria!$B$47&amp;" m. ","")&amp;IF(E269&lt;SG_Criteria!$B$48,"FAIL: roof width below "&amp;SG_Criteria!$B$48&amp;" m. ",IF(E269&lt;SG_Criteria!$B$49,"NOTE: not for MRT/LRT or high-traffic routes (min "&amp;SG_Criteria!$B$49&amp;" m). ",""))&amp;IF(AND(P269&lt;&gt;"",P269&lt;SG_Criteria!$B$50),"FAIL: wind speed below "&amp;SG_Criteria!$B$50&amp;" m/s. ","")&amp;IF(AND(Q269&lt;&gt;"",Q269&lt;SG_Criteria!$B$51),"FAIL: roof fixing pull-out below "&amp;SG_Criteria!$B$51&amp;" kN. ","")&amp;IF(AND(R269&lt;&gt;"",IFERROR(VALUE(MID(R269,2,2)),0)&lt;SG_Criteria!$B$52),"FAIL: grade below C"&amp;SG_Criteria!$B$52&amp;". ","")&amp;IF(D269="Non-standard (project design)","NOTE: not an SDRE standard, needs LTA acceptance. ",""))=0,"OK",IF(AND(C269&lt;&gt;"High Covered Linkway",F269&lt;SG_Criteria!$B$46),"FAIL: headroom below "&amp;SG_Criteria!$B$46&amp;" m. ","")&amp;IF(AND(C269="High Covered Linkway",F269&lt;SG_Criteria!$B$47),"FAIL: high linkway headroom below "&amp;SG_Criteria!$B$47&amp;" m. ","")&amp;IF(E269&lt;SG_Criteria!$B$48,"FAIL: roof width below "&amp;SG_Criteria!$B$48&amp;" m. ",IF(E269&lt;SG_Criteria!$B$49,"NOTE: not for MRT/LRT or high-traffic routes (min "&amp;SG_Criteria!$B$49&amp;" m). ",""))&amp;IF(AND(P269&lt;&gt;"",P269&lt;SG_Criteria!$B$50),"FAIL: wind speed below "&amp;SG_Criteria!$B$50&amp;" m/s. ","")&amp;IF(AND(Q269&lt;&gt;"",Q269&lt;SG_Criteria!$B$51),"FAIL: roof fixing pull-out below "&amp;SG_Criteria!$B$51&amp;" kN. ","")&amp;IF(AND(R269&lt;&gt;"",IFERROR(VALUE(MID(R269,2,2)),0)&lt;SG_Criteria!$B$52),"FAIL: grade below C"&amp;SG_Criteria!$B$52&amp;". ","")&amp;IF(D269="Non-standard (project design)","NOTE: not an SDRE standard, needs LTA acceptance. ","")))</f>
        <v/>
      </c>
      <c r="AP269" s="9"/>
      <c r="AQ269" s="9"/>
      <c r="AR269" s="9"/>
      <c r="AS269" s="9"/>
      <c r="AT269" s="9"/>
      <c r="AU269" s="31"/>
      <c r="AV269" s="10" t="str">
        <f aca="false">IF(C269="","",IF(AND(X269="Approved",ISERROR(SEARCH("FAIL",AO269))),"Y","N"))</f>
        <v/>
      </c>
      <c r="AW269" s="10" t="str">
        <f aca="false">IF(C269="","",C269&amp;"|"&amp;E269&amp;"|"&amp;F269&amp;"|"&amp;AV269)</f>
        <v/>
      </c>
    </row>
    <row r="270" customFormat="false" ht="15" hidden="false" customHeight="false" outlineLevel="0" collapsed="false">
      <c r="A270" s="10" t="str">
        <f aca="false">IF(C270="","","LKW-"&amp;IFERROR(VLOOKUP(C270,Lists!$AQ$4:$AR$17,2,0),"??")&amp;"-W"&amp;TEXT(E270*1000,"0000")&amp;"-H"&amp;TEXT(F270*1000,"0000")&amp;"-B"&amp;TEXT(G270*1000,"0000")&amp;"-"&amp;W270)</f>
        <v/>
      </c>
      <c r="B270" s="10" t="str">
        <f aca="false">IF(C270="","",C270&amp;", "&amp;E270&amp;" m wide, "&amp;F270&amp;" m headroom, "&amp;G270&amp;" m bays, "&amp;H270&amp;" ("&amp;D270&amp;")")</f>
        <v/>
      </c>
      <c r="C270" s="9"/>
      <c r="D270" s="9"/>
      <c r="E270" s="43"/>
      <c r="F270" s="43"/>
      <c r="G270" s="43"/>
      <c r="H270" s="9"/>
      <c r="I270" s="9"/>
      <c r="J270" s="9"/>
      <c r="K270" s="9"/>
      <c r="L270" s="9"/>
      <c r="M270" s="9"/>
      <c r="N270" s="9"/>
      <c r="O270" s="9"/>
      <c r="P270" s="40"/>
      <c r="Q270" s="43"/>
      <c r="R270" s="9"/>
      <c r="S270" s="9"/>
      <c r="T270" s="9"/>
      <c r="U270" s="43"/>
      <c r="V270" s="9"/>
      <c r="W270" s="9"/>
      <c r="X270" s="9"/>
      <c r="Y270" s="9"/>
      <c r="Z270" s="9"/>
      <c r="AA270" s="9"/>
      <c r="AB270" s="10" t="str">
        <f aca="false">IF(A270="","",SG_Criteria!$B$6&amp;SG_Criteria!$B$12&amp;"\"&amp;A270&amp;"\")</f>
        <v/>
      </c>
      <c r="AC270" s="10" t="str">
        <f aca="false">IF(A270="","",A270&amp;"_CAD.dwg")</f>
        <v/>
      </c>
      <c r="AD270" s="10" t="str">
        <f aca="false">IF(A270="","",A270&amp;"_DWG.pdf")</f>
        <v/>
      </c>
      <c r="AE270" s="10" t="str">
        <f aca="false">IF(A270="","",IF(AA270="Y",A270&amp;"_STAAD.std","n/a"))</f>
        <v/>
      </c>
      <c r="AF270" s="10" t="str">
        <f aca="false">IF(A270="","",A270&amp;"_CALC.xlsx")</f>
        <v/>
      </c>
      <c r="AG270" s="10" t="str">
        <f aca="false">IF(A270="","",A270&amp;"_CALC.pdf")</f>
        <v/>
      </c>
      <c r="AH270" s="9"/>
      <c r="AI270" s="9"/>
      <c r="AJ270" s="41"/>
      <c r="AK270" s="41"/>
      <c r="AL270" s="41"/>
      <c r="AM270" s="41"/>
      <c r="AN270" s="41"/>
      <c r="AO270" s="38" t="str">
        <f aca="false">IF(C270="","",IF(LEN(IF(AND(C270&lt;&gt;"High Covered Linkway",F270&lt;SG_Criteria!$B$46),"FAIL: headroom below "&amp;SG_Criteria!$B$46&amp;" m. ","")&amp;IF(AND(C270="High Covered Linkway",F270&lt;SG_Criteria!$B$47),"FAIL: high linkway headroom below "&amp;SG_Criteria!$B$47&amp;" m. ","")&amp;IF(E270&lt;SG_Criteria!$B$48,"FAIL: roof width below "&amp;SG_Criteria!$B$48&amp;" m. ",IF(E270&lt;SG_Criteria!$B$49,"NOTE: not for MRT/LRT or high-traffic routes (min "&amp;SG_Criteria!$B$49&amp;" m). ",""))&amp;IF(AND(P270&lt;&gt;"",P270&lt;SG_Criteria!$B$50),"FAIL: wind speed below "&amp;SG_Criteria!$B$50&amp;" m/s. ","")&amp;IF(AND(Q270&lt;&gt;"",Q270&lt;SG_Criteria!$B$51),"FAIL: roof fixing pull-out below "&amp;SG_Criteria!$B$51&amp;" kN. ","")&amp;IF(AND(R270&lt;&gt;"",IFERROR(VALUE(MID(R270,2,2)),0)&lt;SG_Criteria!$B$52),"FAIL: grade below C"&amp;SG_Criteria!$B$52&amp;". ","")&amp;IF(D270="Non-standard (project design)","NOTE: not an SDRE standard, needs LTA acceptance. ",""))=0,"OK",IF(AND(C270&lt;&gt;"High Covered Linkway",F270&lt;SG_Criteria!$B$46),"FAIL: headroom below "&amp;SG_Criteria!$B$46&amp;" m. ","")&amp;IF(AND(C270="High Covered Linkway",F270&lt;SG_Criteria!$B$47),"FAIL: high linkway headroom below "&amp;SG_Criteria!$B$47&amp;" m. ","")&amp;IF(E270&lt;SG_Criteria!$B$48,"FAIL: roof width below "&amp;SG_Criteria!$B$48&amp;" m. ",IF(E270&lt;SG_Criteria!$B$49,"NOTE: not for MRT/LRT or high-traffic routes (min "&amp;SG_Criteria!$B$49&amp;" m). ",""))&amp;IF(AND(P270&lt;&gt;"",P270&lt;SG_Criteria!$B$50),"FAIL: wind speed below "&amp;SG_Criteria!$B$50&amp;" m/s. ","")&amp;IF(AND(Q270&lt;&gt;"",Q270&lt;SG_Criteria!$B$51),"FAIL: roof fixing pull-out below "&amp;SG_Criteria!$B$51&amp;" kN. ","")&amp;IF(AND(R270&lt;&gt;"",IFERROR(VALUE(MID(R270,2,2)),0)&lt;SG_Criteria!$B$52),"FAIL: grade below C"&amp;SG_Criteria!$B$52&amp;". ","")&amp;IF(D270="Non-standard (project design)","NOTE: not an SDRE standard, needs LTA acceptance. ","")))</f>
        <v/>
      </c>
      <c r="AP270" s="9"/>
      <c r="AQ270" s="9"/>
      <c r="AR270" s="9"/>
      <c r="AS270" s="9"/>
      <c r="AT270" s="9"/>
      <c r="AU270" s="31"/>
      <c r="AV270" s="10" t="str">
        <f aca="false">IF(C270="","",IF(AND(X270="Approved",ISERROR(SEARCH("FAIL",AO270))),"Y","N"))</f>
        <v/>
      </c>
      <c r="AW270" s="10" t="str">
        <f aca="false">IF(C270="","",C270&amp;"|"&amp;E270&amp;"|"&amp;F270&amp;"|"&amp;AV270)</f>
        <v/>
      </c>
    </row>
    <row r="271" customFormat="false" ht="15" hidden="false" customHeight="false" outlineLevel="0" collapsed="false">
      <c r="A271" s="10" t="str">
        <f aca="false">IF(C271="","","LKW-"&amp;IFERROR(VLOOKUP(C271,Lists!$AQ$4:$AR$17,2,0),"??")&amp;"-W"&amp;TEXT(E271*1000,"0000")&amp;"-H"&amp;TEXT(F271*1000,"0000")&amp;"-B"&amp;TEXT(G271*1000,"0000")&amp;"-"&amp;W271)</f>
        <v/>
      </c>
      <c r="B271" s="10" t="str">
        <f aca="false">IF(C271="","",C271&amp;", "&amp;E271&amp;" m wide, "&amp;F271&amp;" m headroom, "&amp;G271&amp;" m bays, "&amp;H271&amp;" ("&amp;D271&amp;")")</f>
        <v/>
      </c>
      <c r="C271" s="9"/>
      <c r="D271" s="9"/>
      <c r="E271" s="43"/>
      <c r="F271" s="43"/>
      <c r="G271" s="43"/>
      <c r="H271" s="9"/>
      <c r="I271" s="9"/>
      <c r="J271" s="9"/>
      <c r="K271" s="9"/>
      <c r="L271" s="9"/>
      <c r="M271" s="9"/>
      <c r="N271" s="9"/>
      <c r="O271" s="9"/>
      <c r="P271" s="40"/>
      <c r="Q271" s="43"/>
      <c r="R271" s="9"/>
      <c r="S271" s="9"/>
      <c r="T271" s="9"/>
      <c r="U271" s="43"/>
      <c r="V271" s="9"/>
      <c r="W271" s="9"/>
      <c r="X271" s="9"/>
      <c r="Y271" s="9"/>
      <c r="Z271" s="9"/>
      <c r="AA271" s="9"/>
      <c r="AB271" s="10" t="str">
        <f aca="false">IF(A271="","",SG_Criteria!$B$6&amp;SG_Criteria!$B$12&amp;"\"&amp;A271&amp;"\")</f>
        <v/>
      </c>
      <c r="AC271" s="10" t="str">
        <f aca="false">IF(A271="","",A271&amp;"_CAD.dwg")</f>
        <v/>
      </c>
      <c r="AD271" s="10" t="str">
        <f aca="false">IF(A271="","",A271&amp;"_DWG.pdf")</f>
        <v/>
      </c>
      <c r="AE271" s="10" t="str">
        <f aca="false">IF(A271="","",IF(AA271="Y",A271&amp;"_STAAD.std","n/a"))</f>
        <v/>
      </c>
      <c r="AF271" s="10" t="str">
        <f aca="false">IF(A271="","",A271&amp;"_CALC.xlsx")</f>
        <v/>
      </c>
      <c r="AG271" s="10" t="str">
        <f aca="false">IF(A271="","",A271&amp;"_CALC.pdf")</f>
        <v/>
      </c>
      <c r="AH271" s="9"/>
      <c r="AI271" s="9"/>
      <c r="AJ271" s="41"/>
      <c r="AK271" s="41"/>
      <c r="AL271" s="41"/>
      <c r="AM271" s="41"/>
      <c r="AN271" s="41"/>
      <c r="AO271" s="38" t="str">
        <f aca="false">IF(C271="","",IF(LEN(IF(AND(C271&lt;&gt;"High Covered Linkway",F271&lt;SG_Criteria!$B$46),"FAIL: headroom below "&amp;SG_Criteria!$B$46&amp;" m. ","")&amp;IF(AND(C271="High Covered Linkway",F271&lt;SG_Criteria!$B$47),"FAIL: high linkway headroom below "&amp;SG_Criteria!$B$47&amp;" m. ","")&amp;IF(E271&lt;SG_Criteria!$B$48,"FAIL: roof width below "&amp;SG_Criteria!$B$48&amp;" m. ",IF(E271&lt;SG_Criteria!$B$49,"NOTE: not for MRT/LRT or high-traffic routes (min "&amp;SG_Criteria!$B$49&amp;" m). ",""))&amp;IF(AND(P271&lt;&gt;"",P271&lt;SG_Criteria!$B$50),"FAIL: wind speed below "&amp;SG_Criteria!$B$50&amp;" m/s. ","")&amp;IF(AND(Q271&lt;&gt;"",Q271&lt;SG_Criteria!$B$51),"FAIL: roof fixing pull-out below "&amp;SG_Criteria!$B$51&amp;" kN. ","")&amp;IF(AND(R271&lt;&gt;"",IFERROR(VALUE(MID(R271,2,2)),0)&lt;SG_Criteria!$B$52),"FAIL: grade below C"&amp;SG_Criteria!$B$52&amp;". ","")&amp;IF(D271="Non-standard (project design)","NOTE: not an SDRE standard, needs LTA acceptance. ",""))=0,"OK",IF(AND(C271&lt;&gt;"High Covered Linkway",F271&lt;SG_Criteria!$B$46),"FAIL: headroom below "&amp;SG_Criteria!$B$46&amp;" m. ","")&amp;IF(AND(C271="High Covered Linkway",F271&lt;SG_Criteria!$B$47),"FAIL: high linkway headroom below "&amp;SG_Criteria!$B$47&amp;" m. ","")&amp;IF(E271&lt;SG_Criteria!$B$48,"FAIL: roof width below "&amp;SG_Criteria!$B$48&amp;" m. ",IF(E271&lt;SG_Criteria!$B$49,"NOTE: not for MRT/LRT or high-traffic routes (min "&amp;SG_Criteria!$B$49&amp;" m). ",""))&amp;IF(AND(P271&lt;&gt;"",P271&lt;SG_Criteria!$B$50),"FAIL: wind speed below "&amp;SG_Criteria!$B$50&amp;" m/s. ","")&amp;IF(AND(Q271&lt;&gt;"",Q271&lt;SG_Criteria!$B$51),"FAIL: roof fixing pull-out below "&amp;SG_Criteria!$B$51&amp;" kN. ","")&amp;IF(AND(R271&lt;&gt;"",IFERROR(VALUE(MID(R271,2,2)),0)&lt;SG_Criteria!$B$52),"FAIL: grade below C"&amp;SG_Criteria!$B$52&amp;". ","")&amp;IF(D271="Non-standard (project design)","NOTE: not an SDRE standard, needs LTA acceptance. ","")))</f>
        <v/>
      </c>
      <c r="AP271" s="9"/>
      <c r="AQ271" s="9"/>
      <c r="AR271" s="9"/>
      <c r="AS271" s="9"/>
      <c r="AT271" s="9"/>
      <c r="AU271" s="31"/>
      <c r="AV271" s="10" t="str">
        <f aca="false">IF(C271="","",IF(AND(X271="Approved",ISERROR(SEARCH("FAIL",AO271))),"Y","N"))</f>
        <v/>
      </c>
      <c r="AW271" s="10" t="str">
        <f aca="false">IF(C271="","",C271&amp;"|"&amp;E271&amp;"|"&amp;F271&amp;"|"&amp;AV271)</f>
        <v/>
      </c>
    </row>
    <row r="272" customFormat="false" ht="15" hidden="false" customHeight="false" outlineLevel="0" collapsed="false">
      <c r="A272" s="10" t="str">
        <f aca="false">IF(C272="","","LKW-"&amp;IFERROR(VLOOKUP(C272,Lists!$AQ$4:$AR$17,2,0),"??")&amp;"-W"&amp;TEXT(E272*1000,"0000")&amp;"-H"&amp;TEXT(F272*1000,"0000")&amp;"-B"&amp;TEXT(G272*1000,"0000")&amp;"-"&amp;W272)</f>
        <v/>
      </c>
      <c r="B272" s="10" t="str">
        <f aca="false">IF(C272="","",C272&amp;", "&amp;E272&amp;" m wide, "&amp;F272&amp;" m headroom, "&amp;G272&amp;" m bays, "&amp;H272&amp;" ("&amp;D272&amp;")")</f>
        <v/>
      </c>
      <c r="C272" s="9"/>
      <c r="D272" s="9"/>
      <c r="E272" s="43"/>
      <c r="F272" s="43"/>
      <c r="G272" s="43"/>
      <c r="H272" s="9"/>
      <c r="I272" s="9"/>
      <c r="J272" s="9"/>
      <c r="K272" s="9"/>
      <c r="L272" s="9"/>
      <c r="M272" s="9"/>
      <c r="N272" s="9"/>
      <c r="O272" s="9"/>
      <c r="P272" s="40"/>
      <c r="Q272" s="43"/>
      <c r="R272" s="9"/>
      <c r="S272" s="9"/>
      <c r="T272" s="9"/>
      <c r="U272" s="43"/>
      <c r="V272" s="9"/>
      <c r="W272" s="9"/>
      <c r="X272" s="9"/>
      <c r="Y272" s="9"/>
      <c r="Z272" s="9"/>
      <c r="AA272" s="9"/>
      <c r="AB272" s="10" t="str">
        <f aca="false">IF(A272="","",SG_Criteria!$B$6&amp;SG_Criteria!$B$12&amp;"\"&amp;A272&amp;"\")</f>
        <v/>
      </c>
      <c r="AC272" s="10" t="str">
        <f aca="false">IF(A272="","",A272&amp;"_CAD.dwg")</f>
        <v/>
      </c>
      <c r="AD272" s="10" t="str">
        <f aca="false">IF(A272="","",A272&amp;"_DWG.pdf")</f>
        <v/>
      </c>
      <c r="AE272" s="10" t="str">
        <f aca="false">IF(A272="","",IF(AA272="Y",A272&amp;"_STAAD.std","n/a"))</f>
        <v/>
      </c>
      <c r="AF272" s="10" t="str">
        <f aca="false">IF(A272="","",A272&amp;"_CALC.xlsx")</f>
        <v/>
      </c>
      <c r="AG272" s="10" t="str">
        <f aca="false">IF(A272="","",A272&amp;"_CALC.pdf")</f>
        <v/>
      </c>
      <c r="AH272" s="9"/>
      <c r="AI272" s="9"/>
      <c r="AJ272" s="41"/>
      <c r="AK272" s="41"/>
      <c r="AL272" s="41"/>
      <c r="AM272" s="41"/>
      <c r="AN272" s="41"/>
      <c r="AO272" s="38" t="str">
        <f aca="false">IF(C272="","",IF(LEN(IF(AND(C272&lt;&gt;"High Covered Linkway",F272&lt;SG_Criteria!$B$46),"FAIL: headroom below "&amp;SG_Criteria!$B$46&amp;" m. ","")&amp;IF(AND(C272="High Covered Linkway",F272&lt;SG_Criteria!$B$47),"FAIL: high linkway headroom below "&amp;SG_Criteria!$B$47&amp;" m. ","")&amp;IF(E272&lt;SG_Criteria!$B$48,"FAIL: roof width below "&amp;SG_Criteria!$B$48&amp;" m. ",IF(E272&lt;SG_Criteria!$B$49,"NOTE: not for MRT/LRT or high-traffic routes (min "&amp;SG_Criteria!$B$49&amp;" m). ",""))&amp;IF(AND(P272&lt;&gt;"",P272&lt;SG_Criteria!$B$50),"FAIL: wind speed below "&amp;SG_Criteria!$B$50&amp;" m/s. ","")&amp;IF(AND(Q272&lt;&gt;"",Q272&lt;SG_Criteria!$B$51),"FAIL: roof fixing pull-out below "&amp;SG_Criteria!$B$51&amp;" kN. ","")&amp;IF(AND(R272&lt;&gt;"",IFERROR(VALUE(MID(R272,2,2)),0)&lt;SG_Criteria!$B$52),"FAIL: grade below C"&amp;SG_Criteria!$B$52&amp;". ","")&amp;IF(D272="Non-standard (project design)","NOTE: not an SDRE standard, needs LTA acceptance. ",""))=0,"OK",IF(AND(C272&lt;&gt;"High Covered Linkway",F272&lt;SG_Criteria!$B$46),"FAIL: headroom below "&amp;SG_Criteria!$B$46&amp;" m. ","")&amp;IF(AND(C272="High Covered Linkway",F272&lt;SG_Criteria!$B$47),"FAIL: high linkway headroom below "&amp;SG_Criteria!$B$47&amp;" m. ","")&amp;IF(E272&lt;SG_Criteria!$B$48,"FAIL: roof width below "&amp;SG_Criteria!$B$48&amp;" m. ",IF(E272&lt;SG_Criteria!$B$49,"NOTE: not for MRT/LRT or high-traffic routes (min "&amp;SG_Criteria!$B$49&amp;" m). ",""))&amp;IF(AND(P272&lt;&gt;"",P272&lt;SG_Criteria!$B$50),"FAIL: wind speed below "&amp;SG_Criteria!$B$50&amp;" m/s. ","")&amp;IF(AND(Q272&lt;&gt;"",Q272&lt;SG_Criteria!$B$51),"FAIL: roof fixing pull-out below "&amp;SG_Criteria!$B$51&amp;" kN. ","")&amp;IF(AND(R272&lt;&gt;"",IFERROR(VALUE(MID(R272,2,2)),0)&lt;SG_Criteria!$B$52),"FAIL: grade below C"&amp;SG_Criteria!$B$52&amp;". ","")&amp;IF(D272="Non-standard (project design)","NOTE: not an SDRE standard, needs LTA acceptance. ","")))</f>
        <v/>
      </c>
      <c r="AP272" s="9"/>
      <c r="AQ272" s="9"/>
      <c r="AR272" s="9"/>
      <c r="AS272" s="9"/>
      <c r="AT272" s="9"/>
      <c r="AU272" s="31"/>
      <c r="AV272" s="10" t="str">
        <f aca="false">IF(C272="","",IF(AND(X272="Approved",ISERROR(SEARCH("FAIL",AO272))),"Y","N"))</f>
        <v/>
      </c>
      <c r="AW272" s="10" t="str">
        <f aca="false">IF(C272="","",C272&amp;"|"&amp;E272&amp;"|"&amp;F272&amp;"|"&amp;AV272)</f>
        <v/>
      </c>
    </row>
    <row r="273" customFormat="false" ht="15" hidden="false" customHeight="false" outlineLevel="0" collapsed="false">
      <c r="A273" s="10" t="str">
        <f aca="false">IF(C273="","","LKW-"&amp;IFERROR(VLOOKUP(C273,Lists!$AQ$4:$AR$17,2,0),"??")&amp;"-W"&amp;TEXT(E273*1000,"0000")&amp;"-H"&amp;TEXT(F273*1000,"0000")&amp;"-B"&amp;TEXT(G273*1000,"0000")&amp;"-"&amp;W273)</f>
        <v/>
      </c>
      <c r="B273" s="10" t="str">
        <f aca="false">IF(C273="","",C273&amp;", "&amp;E273&amp;" m wide, "&amp;F273&amp;" m headroom, "&amp;G273&amp;" m bays, "&amp;H273&amp;" ("&amp;D273&amp;")")</f>
        <v/>
      </c>
      <c r="C273" s="9"/>
      <c r="D273" s="9"/>
      <c r="E273" s="43"/>
      <c r="F273" s="43"/>
      <c r="G273" s="43"/>
      <c r="H273" s="9"/>
      <c r="I273" s="9"/>
      <c r="J273" s="9"/>
      <c r="K273" s="9"/>
      <c r="L273" s="9"/>
      <c r="M273" s="9"/>
      <c r="N273" s="9"/>
      <c r="O273" s="9"/>
      <c r="P273" s="40"/>
      <c r="Q273" s="43"/>
      <c r="R273" s="9"/>
      <c r="S273" s="9"/>
      <c r="T273" s="9"/>
      <c r="U273" s="43"/>
      <c r="V273" s="9"/>
      <c r="W273" s="9"/>
      <c r="X273" s="9"/>
      <c r="Y273" s="9"/>
      <c r="Z273" s="9"/>
      <c r="AA273" s="9"/>
      <c r="AB273" s="10" t="str">
        <f aca="false">IF(A273="","",SG_Criteria!$B$6&amp;SG_Criteria!$B$12&amp;"\"&amp;A273&amp;"\")</f>
        <v/>
      </c>
      <c r="AC273" s="10" t="str">
        <f aca="false">IF(A273="","",A273&amp;"_CAD.dwg")</f>
        <v/>
      </c>
      <c r="AD273" s="10" t="str">
        <f aca="false">IF(A273="","",A273&amp;"_DWG.pdf")</f>
        <v/>
      </c>
      <c r="AE273" s="10" t="str">
        <f aca="false">IF(A273="","",IF(AA273="Y",A273&amp;"_STAAD.std","n/a"))</f>
        <v/>
      </c>
      <c r="AF273" s="10" t="str">
        <f aca="false">IF(A273="","",A273&amp;"_CALC.xlsx")</f>
        <v/>
      </c>
      <c r="AG273" s="10" t="str">
        <f aca="false">IF(A273="","",A273&amp;"_CALC.pdf")</f>
        <v/>
      </c>
      <c r="AH273" s="9"/>
      <c r="AI273" s="9"/>
      <c r="AJ273" s="41"/>
      <c r="AK273" s="41"/>
      <c r="AL273" s="41"/>
      <c r="AM273" s="41"/>
      <c r="AN273" s="41"/>
      <c r="AO273" s="38" t="str">
        <f aca="false">IF(C273="","",IF(LEN(IF(AND(C273&lt;&gt;"High Covered Linkway",F273&lt;SG_Criteria!$B$46),"FAIL: headroom below "&amp;SG_Criteria!$B$46&amp;" m. ","")&amp;IF(AND(C273="High Covered Linkway",F273&lt;SG_Criteria!$B$47),"FAIL: high linkway headroom below "&amp;SG_Criteria!$B$47&amp;" m. ","")&amp;IF(E273&lt;SG_Criteria!$B$48,"FAIL: roof width below "&amp;SG_Criteria!$B$48&amp;" m. ",IF(E273&lt;SG_Criteria!$B$49,"NOTE: not for MRT/LRT or high-traffic routes (min "&amp;SG_Criteria!$B$49&amp;" m). ",""))&amp;IF(AND(P273&lt;&gt;"",P273&lt;SG_Criteria!$B$50),"FAIL: wind speed below "&amp;SG_Criteria!$B$50&amp;" m/s. ","")&amp;IF(AND(Q273&lt;&gt;"",Q273&lt;SG_Criteria!$B$51),"FAIL: roof fixing pull-out below "&amp;SG_Criteria!$B$51&amp;" kN. ","")&amp;IF(AND(R273&lt;&gt;"",IFERROR(VALUE(MID(R273,2,2)),0)&lt;SG_Criteria!$B$52),"FAIL: grade below C"&amp;SG_Criteria!$B$52&amp;". ","")&amp;IF(D273="Non-standard (project design)","NOTE: not an SDRE standard, needs LTA acceptance. ",""))=0,"OK",IF(AND(C273&lt;&gt;"High Covered Linkway",F273&lt;SG_Criteria!$B$46),"FAIL: headroom below "&amp;SG_Criteria!$B$46&amp;" m. ","")&amp;IF(AND(C273="High Covered Linkway",F273&lt;SG_Criteria!$B$47),"FAIL: high linkway headroom below "&amp;SG_Criteria!$B$47&amp;" m. ","")&amp;IF(E273&lt;SG_Criteria!$B$48,"FAIL: roof width below "&amp;SG_Criteria!$B$48&amp;" m. ",IF(E273&lt;SG_Criteria!$B$49,"NOTE: not for MRT/LRT or high-traffic routes (min "&amp;SG_Criteria!$B$49&amp;" m). ",""))&amp;IF(AND(P273&lt;&gt;"",P273&lt;SG_Criteria!$B$50),"FAIL: wind speed below "&amp;SG_Criteria!$B$50&amp;" m/s. ","")&amp;IF(AND(Q273&lt;&gt;"",Q273&lt;SG_Criteria!$B$51),"FAIL: roof fixing pull-out below "&amp;SG_Criteria!$B$51&amp;" kN. ","")&amp;IF(AND(R273&lt;&gt;"",IFERROR(VALUE(MID(R273,2,2)),0)&lt;SG_Criteria!$B$52),"FAIL: grade below C"&amp;SG_Criteria!$B$52&amp;". ","")&amp;IF(D273="Non-standard (project design)","NOTE: not an SDRE standard, needs LTA acceptance. ","")))</f>
        <v/>
      </c>
      <c r="AP273" s="9"/>
      <c r="AQ273" s="9"/>
      <c r="AR273" s="9"/>
      <c r="AS273" s="9"/>
      <c r="AT273" s="9"/>
      <c r="AU273" s="31"/>
      <c r="AV273" s="10" t="str">
        <f aca="false">IF(C273="","",IF(AND(X273="Approved",ISERROR(SEARCH("FAIL",AO273))),"Y","N"))</f>
        <v/>
      </c>
      <c r="AW273" s="10" t="str">
        <f aca="false">IF(C273="","",C273&amp;"|"&amp;E273&amp;"|"&amp;F273&amp;"|"&amp;AV273)</f>
        <v/>
      </c>
    </row>
    <row r="274" customFormat="false" ht="15" hidden="false" customHeight="false" outlineLevel="0" collapsed="false">
      <c r="A274" s="10" t="str">
        <f aca="false">IF(C274="","","LKW-"&amp;IFERROR(VLOOKUP(C274,Lists!$AQ$4:$AR$17,2,0),"??")&amp;"-W"&amp;TEXT(E274*1000,"0000")&amp;"-H"&amp;TEXT(F274*1000,"0000")&amp;"-B"&amp;TEXT(G274*1000,"0000")&amp;"-"&amp;W274)</f>
        <v/>
      </c>
      <c r="B274" s="10" t="str">
        <f aca="false">IF(C274="","",C274&amp;", "&amp;E274&amp;" m wide, "&amp;F274&amp;" m headroom, "&amp;G274&amp;" m bays, "&amp;H274&amp;" ("&amp;D274&amp;")")</f>
        <v/>
      </c>
      <c r="C274" s="9"/>
      <c r="D274" s="9"/>
      <c r="E274" s="43"/>
      <c r="F274" s="43"/>
      <c r="G274" s="43"/>
      <c r="H274" s="9"/>
      <c r="I274" s="9"/>
      <c r="J274" s="9"/>
      <c r="K274" s="9"/>
      <c r="L274" s="9"/>
      <c r="M274" s="9"/>
      <c r="N274" s="9"/>
      <c r="O274" s="9"/>
      <c r="P274" s="40"/>
      <c r="Q274" s="43"/>
      <c r="R274" s="9"/>
      <c r="S274" s="9"/>
      <c r="T274" s="9"/>
      <c r="U274" s="43"/>
      <c r="V274" s="9"/>
      <c r="W274" s="9"/>
      <c r="X274" s="9"/>
      <c r="Y274" s="9"/>
      <c r="Z274" s="9"/>
      <c r="AA274" s="9"/>
      <c r="AB274" s="10" t="str">
        <f aca="false">IF(A274="","",SG_Criteria!$B$6&amp;SG_Criteria!$B$12&amp;"\"&amp;A274&amp;"\")</f>
        <v/>
      </c>
      <c r="AC274" s="10" t="str">
        <f aca="false">IF(A274="","",A274&amp;"_CAD.dwg")</f>
        <v/>
      </c>
      <c r="AD274" s="10" t="str">
        <f aca="false">IF(A274="","",A274&amp;"_DWG.pdf")</f>
        <v/>
      </c>
      <c r="AE274" s="10" t="str">
        <f aca="false">IF(A274="","",IF(AA274="Y",A274&amp;"_STAAD.std","n/a"))</f>
        <v/>
      </c>
      <c r="AF274" s="10" t="str">
        <f aca="false">IF(A274="","",A274&amp;"_CALC.xlsx")</f>
        <v/>
      </c>
      <c r="AG274" s="10" t="str">
        <f aca="false">IF(A274="","",A274&amp;"_CALC.pdf")</f>
        <v/>
      </c>
      <c r="AH274" s="9"/>
      <c r="AI274" s="9"/>
      <c r="AJ274" s="41"/>
      <c r="AK274" s="41"/>
      <c r="AL274" s="41"/>
      <c r="AM274" s="41"/>
      <c r="AN274" s="41"/>
      <c r="AO274" s="38" t="str">
        <f aca="false">IF(C274="","",IF(LEN(IF(AND(C274&lt;&gt;"High Covered Linkway",F274&lt;SG_Criteria!$B$46),"FAIL: headroom below "&amp;SG_Criteria!$B$46&amp;" m. ","")&amp;IF(AND(C274="High Covered Linkway",F274&lt;SG_Criteria!$B$47),"FAIL: high linkway headroom below "&amp;SG_Criteria!$B$47&amp;" m. ","")&amp;IF(E274&lt;SG_Criteria!$B$48,"FAIL: roof width below "&amp;SG_Criteria!$B$48&amp;" m. ",IF(E274&lt;SG_Criteria!$B$49,"NOTE: not for MRT/LRT or high-traffic routes (min "&amp;SG_Criteria!$B$49&amp;" m). ",""))&amp;IF(AND(P274&lt;&gt;"",P274&lt;SG_Criteria!$B$50),"FAIL: wind speed below "&amp;SG_Criteria!$B$50&amp;" m/s. ","")&amp;IF(AND(Q274&lt;&gt;"",Q274&lt;SG_Criteria!$B$51),"FAIL: roof fixing pull-out below "&amp;SG_Criteria!$B$51&amp;" kN. ","")&amp;IF(AND(R274&lt;&gt;"",IFERROR(VALUE(MID(R274,2,2)),0)&lt;SG_Criteria!$B$52),"FAIL: grade below C"&amp;SG_Criteria!$B$52&amp;". ","")&amp;IF(D274="Non-standard (project design)","NOTE: not an SDRE standard, needs LTA acceptance. ",""))=0,"OK",IF(AND(C274&lt;&gt;"High Covered Linkway",F274&lt;SG_Criteria!$B$46),"FAIL: headroom below "&amp;SG_Criteria!$B$46&amp;" m. ","")&amp;IF(AND(C274="High Covered Linkway",F274&lt;SG_Criteria!$B$47),"FAIL: high linkway headroom below "&amp;SG_Criteria!$B$47&amp;" m. ","")&amp;IF(E274&lt;SG_Criteria!$B$48,"FAIL: roof width below "&amp;SG_Criteria!$B$48&amp;" m. ",IF(E274&lt;SG_Criteria!$B$49,"NOTE: not for MRT/LRT or high-traffic routes (min "&amp;SG_Criteria!$B$49&amp;" m). ",""))&amp;IF(AND(P274&lt;&gt;"",P274&lt;SG_Criteria!$B$50),"FAIL: wind speed below "&amp;SG_Criteria!$B$50&amp;" m/s. ","")&amp;IF(AND(Q274&lt;&gt;"",Q274&lt;SG_Criteria!$B$51),"FAIL: roof fixing pull-out below "&amp;SG_Criteria!$B$51&amp;" kN. ","")&amp;IF(AND(R274&lt;&gt;"",IFERROR(VALUE(MID(R274,2,2)),0)&lt;SG_Criteria!$B$52),"FAIL: grade below C"&amp;SG_Criteria!$B$52&amp;". ","")&amp;IF(D274="Non-standard (project design)","NOTE: not an SDRE standard, needs LTA acceptance. ","")))</f>
        <v/>
      </c>
      <c r="AP274" s="9"/>
      <c r="AQ274" s="9"/>
      <c r="AR274" s="9"/>
      <c r="AS274" s="9"/>
      <c r="AT274" s="9"/>
      <c r="AU274" s="31"/>
      <c r="AV274" s="10" t="str">
        <f aca="false">IF(C274="","",IF(AND(X274="Approved",ISERROR(SEARCH("FAIL",AO274))),"Y","N"))</f>
        <v/>
      </c>
      <c r="AW274" s="10" t="str">
        <f aca="false">IF(C274="","",C274&amp;"|"&amp;E274&amp;"|"&amp;F274&amp;"|"&amp;AV274)</f>
        <v/>
      </c>
    </row>
    <row r="275" customFormat="false" ht="15" hidden="false" customHeight="false" outlineLevel="0" collapsed="false">
      <c r="A275" s="10" t="str">
        <f aca="false">IF(C275="","","LKW-"&amp;IFERROR(VLOOKUP(C275,Lists!$AQ$4:$AR$17,2,0),"??")&amp;"-W"&amp;TEXT(E275*1000,"0000")&amp;"-H"&amp;TEXT(F275*1000,"0000")&amp;"-B"&amp;TEXT(G275*1000,"0000")&amp;"-"&amp;W275)</f>
        <v/>
      </c>
      <c r="B275" s="10" t="str">
        <f aca="false">IF(C275="","",C275&amp;", "&amp;E275&amp;" m wide, "&amp;F275&amp;" m headroom, "&amp;G275&amp;" m bays, "&amp;H275&amp;" ("&amp;D275&amp;")")</f>
        <v/>
      </c>
      <c r="C275" s="9"/>
      <c r="D275" s="9"/>
      <c r="E275" s="43"/>
      <c r="F275" s="43"/>
      <c r="G275" s="43"/>
      <c r="H275" s="9"/>
      <c r="I275" s="9"/>
      <c r="J275" s="9"/>
      <c r="K275" s="9"/>
      <c r="L275" s="9"/>
      <c r="M275" s="9"/>
      <c r="N275" s="9"/>
      <c r="O275" s="9"/>
      <c r="P275" s="40"/>
      <c r="Q275" s="43"/>
      <c r="R275" s="9"/>
      <c r="S275" s="9"/>
      <c r="T275" s="9"/>
      <c r="U275" s="43"/>
      <c r="V275" s="9"/>
      <c r="W275" s="9"/>
      <c r="X275" s="9"/>
      <c r="Y275" s="9"/>
      <c r="Z275" s="9"/>
      <c r="AA275" s="9"/>
      <c r="AB275" s="10" t="str">
        <f aca="false">IF(A275="","",SG_Criteria!$B$6&amp;SG_Criteria!$B$12&amp;"\"&amp;A275&amp;"\")</f>
        <v/>
      </c>
      <c r="AC275" s="10" t="str">
        <f aca="false">IF(A275="","",A275&amp;"_CAD.dwg")</f>
        <v/>
      </c>
      <c r="AD275" s="10" t="str">
        <f aca="false">IF(A275="","",A275&amp;"_DWG.pdf")</f>
        <v/>
      </c>
      <c r="AE275" s="10" t="str">
        <f aca="false">IF(A275="","",IF(AA275="Y",A275&amp;"_STAAD.std","n/a"))</f>
        <v/>
      </c>
      <c r="AF275" s="10" t="str">
        <f aca="false">IF(A275="","",A275&amp;"_CALC.xlsx")</f>
        <v/>
      </c>
      <c r="AG275" s="10" t="str">
        <f aca="false">IF(A275="","",A275&amp;"_CALC.pdf")</f>
        <v/>
      </c>
      <c r="AH275" s="9"/>
      <c r="AI275" s="9"/>
      <c r="AJ275" s="41"/>
      <c r="AK275" s="41"/>
      <c r="AL275" s="41"/>
      <c r="AM275" s="41"/>
      <c r="AN275" s="41"/>
      <c r="AO275" s="38" t="str">
        <f aca="false">IF(C275="","",IF(LEN(IF(AND(C275&lt;&gt;"High Covered Linkway",F275&lt;SG_Criteria!$B$46),"FAIL: headroom below "&amp;SG_Criteria!$B$46&amp;" m. ","")&amp;IF(AND(C275="High Covered Linkway",F275&lt;SG_Criteria!$B$47),"FAIL: high linkway headroom below "&amp;SG_Criteria!$B$47&amp;" m. ","")&amp;IF(E275&lt;SG_Criteria!$B$48,"FAIL: roof width below "&amp;SG_Criteria!$B$48&amp;" m. ",IF(E275&lt;SG_Criteria!$B$49,"NOTE: not for MRT/LRT or high-traffic routes (min "&amp;SG_Criteria!$B$49&amp;" m). ",""))&amp;IF(AND(P275&lt;&gt;"",P275&lt;SG_Criteria!$B$50),"FAIL: wind speed below "&amp;SG_Criteria!$B$50&amp;" m/s. ","")&amp;IF(AND(Q275&lt;&gt;"",Q275&lt;SG_Criteria!$B$51),"FAIL: roof fixing pull-out below "&amp;SG_Criteria!$B$51&amp;" kN. ","")&amp;IF(AND(R275&lt;&gt;"",IFERROR(VALUE(MID(R275,2,2)),0)&lt;SG_Criteria!$B$52),"FAIL: grade below C"&amp;SG_Criteria!$B$52&amp;". ","")&amp;IF(D275="Non-standard (project design)","NOTE: not an SDRE standard, needs LTA acceptance. ",""))=0,"OK",IF(AND(C275&lt;&gt;"High Covered Linkway",F275&lt;SG_Criteria!$B$46),"FAIL: headroom below "&amp;SG_Criteria!$B$46&amp;" m. ","")&amp;IF(AND(C275="High Covered Linkway",F275&lt;SG_Criteria!$B$47),"FAIL: high linkway headroom below "&amp;SG_Criteria!$B$47&amp;" m. ","")&amp;IF(E275&lt;SG_Criteria!$B$48,"FAIL: roof width below "&amp;SG_Criteria!$B$48&amp;" m. ",IF(E275&lt;SG_Criteria!$B$49,"NOTE: not for MRT/LRT or high-traffic routes (min "&amp;SG_Criteria!$B$49&amp;" m). ",""))&amp;IF(AND(P275&lt;&gt;"",P275&lt;SG_Criteria!$B$50),"FAIL: wind speed below "&amp;SG_Criteria!$B$50&amp;" m/s. ","")&amp;IF(AND(Q275&lt;&gt;"",Q275&lt;SG_Criteria!$B$51),"FAIL: roof fixing pull-out below "&amp;SG_Criteria!$B$51&amp;" kN. ","")&amp;IF(AND(R275&lt;&gt;"",IFERROR(VALUE(MID(R275,2,2)),0)&lt;SG_Criteria!$B$52),"FAIL: grade below C"&amp;SG_Criteria!$B$52&amp;". ","")&amp;IF(D275="Non-standard (project design)","NOTE: not an SDRE standard, needs LTA acceptance. ","")))</f>
        <v/>
      </c>
      <c r="AP275" s="9"/>
      <c r="AQ275" s="9"/>
      <c r="AR275" s="9"/>
      <c r="AS275" s="9"/>
      <c r="AT275" s="9"/>
      <c r="AU275" s="31"/>
      <c r="AV275" s="10" t="str">
        <f aca="false">IF(C275="","",IF(AND(X275="Approved",ISERROR(SEARCH("FAIL",AO275))),"Y","N"))</f>
        <v/>
      </c>
      <c r="AW275" s="10" t="str">
        <f aca="false">IF(C275="","",C275&amp;"|"&amp;E275&amp;"|"&amp;F275&amp;"|"&amp;AV275)</f>
        <v/>
      </c>
    </row>
    <row r="276" customFormat="false" ht="15" hidden="false" customHeight="false" outlineLevel="0" collapsed="false">
      <c r="A276" s="10" t="str">
        <f aca="false">IF(C276="","","LKW-"&amp;IFERROR(VLOOKUP(C276,Lists!$AQ$4:$AR$17,2,0),"??")&amp;"-W"&amp;TEXT(E276*1000,"0000")&amp;"-H"&amp;TEXT(F276*1000,"0000")&amp;"-B"&amp;TEXT(G276*1000,"0000")&amp;"-"&amp;W276)</f>
        <v/>
      </c>
      <c r="B276" s="10" t="str">
        <f aca="false">IF(C276="","",C276&amp;", "&amp;E276&amp;" m wide, "&amp;F276&amp;" m headroom, "&amp;G276&amp;" m bays, "&amp;H276&amp;" ("&amp;D276&amp;")")</f>
        <v/>
      </c>
      <c r="C276" s="9"/>
      <c r="D276" s="9"/>
      <c r="E276" s="43"/>
      <c r="F276" s="43"/>
      <c r="G276" s="43"/>
      <c r="H276" s="9"/>
      <c r="I276" s="9"/>
      <c r="J276" s="9"/>
      <c r="K276" s="9"/>
      <c r="L276" s="9"/>
      <c r="M276" s="9"/>
      <c r="N276" s="9"/>
      <c r="O276" s="9"/>
      <c r="P276" s="40"/>
      <c r="Q276" s="43"/>
      <c r="R276" s="9"/>
      <c r="S276" s="9"/>
      <c r="T276" s="9"/>
      <c r="U276" s="43"/>
      <c r="V276" s="9"/>
      <c r="W276" s="9"/>
      <c r="X276" s="9"/>
      <c r="Y276" s="9"/>
      <c r="Z276" s="9"/>
      <c r="AA276" s="9"/>
      <c r="AB276" s="10" t="str">
        <f aca="false">IF(A276="","",SG_Criteria!$B$6&amp;SG_Criteria!$B$12&amp;"\"&amp;A276&amp;"\")</f>
        <v/>
      </c>
      <c r="AC276" s="10" t="str">
        <f aca="false">IF(A276="","",A276&amp;"_CAD.dwg")</f>
        <v/>
      </c>
      <c r="AD276" s="10" t="str">
        <f aca="false">IF(A276="","",A276&amp;"_DWG.pdf")</f>
        <v/>
      </c>
      <c r="AE276" s="10" t="str">
        <f aca="false">IF(A276="","",IF(AA276="Y",A276&amp;"_STAAD.std","n/a"))</f>
        <v/>
      </c>
      <c r="AF276" s="10" t="str">
        <f aca="false">IF(A276="","",A276&amp;"_CALC.xlsx")</f>
        <v/>
      </c>
      <c r="AG276" s="10" t="str">
        <f aca="false">IF(A276="","",A276&amp;"_CALC.pdf")</f>
        <v/>
      </c>
      <c r="AH276" s="9"/>
      <c r="AI276" s="9"/>
      <c r="AJ276" s="41"/>
      <c r="AK276" s="41"/>
      <c r="AL276" s="41"/>
      <c r="AM276" s="41"/>
      <c r="AN276" s="41"/>
      <c r="AO276" s="38" t="str">
        <f aca="false">IF(C276="","",IF(LEN(IF(AND(C276&lt;&gt;"High Covered Linkway",F276&lt;SG_Criteria!$B$46),"FAIL: headroom below "&amp;SG_Criteria!$B$46&amp;" m. ","")&amp;IF(AND(C276="High Covered Linkway",F276&lt;SG_Criteria!$B$47),"FAIL: high linkway headroom below "&amp;SG_Criteria!$B$47&amp;" m. ","")&amp;IF(E276&lt;SG_Criteria!$B$48,"FAIL: roof width below "&amp;SG_Criteria!$B$48&amp;" m. ",IF(E276&lt;SG_Criteria!$B$49,"NOTE: not for MRT/LRT or high-traffic routes (min "&amp;SG_Criteria!$B$49&amp;" m). ",""))&amp;IF(AND(P276&lt;&gt;"",P276&lt;SG_Criteria!$B$50),"FAIL: wind speed below "&amp;SG_Criteria!$B$50&amp;" m/s. ","")&amp;IF(AND(Q276&lt;&gt;"",Q276&lt;SG_Criteria!$B$51),"FAIL: roof fixing pull-out below "&amp;SG_Criteria!$B$51&amp;" kN. ","")&amp;IF(AND(R276&lt;&gt;"",IFERROR(VALUE(MID(R276,2,2)),0)&lt;SG_Criteria!$B$52),"FAIL: grade below C"&amp;SG_Criteria!$B$52&amp;". ","")&amp;IF(D276="Non-standard (project design)","NOTE: not an SDRE standard, needs LTA acceptance. ",""))=0,"OK",IF(AND(C276&lt;&gt;"High Covered Linkway",F276&lt;SG_Criteria!$B$46),"FAIL: headroom below "&amp;SG_Criteria!$B$46&amp;" m. ","")&amp;IF(AND(C276="High Covered Linkway",F276&lt;SG_Criteria!$B$47),"FAIL: high linkway headroom below "&amp;SG_Criteria!$B$47&amp;" m. ","")&amp;IF(E276&lt;SG_Criteria!$B$48,"FAIL: roof width below "&amp;SG_Criteria!$B$48&amp;" m. ",IF(E276&lt;SG_Criteria!$B$49,"NOTE: not for MRT/LRT or high-traffic routes (min "&amp;SG_Criteria!$B$49&amp;" m). ",""))&amp;IF(AND(P276&lt;&gt;"",P276&lt;SG_Criteria!$B$50),"FAIL: wind speed below "&amp;SG_Criteria!$B$50&amp;" m/s. ","")&amp;IF(AND(Q276&lt;&gt;"",Q276&lt;SG_Criteria!$B$51),"FAIL: roof fixing pull-out below "&amp;SG_Criteria!$B$51&amp;" kN. ","")&amp;IF(AND(R276&lt;&gt;"",IFERROR(VALUE(MID(R276,2,2)),0)&lt;SG_Criteria!$B$52),"FAIL: grade below C"&amp;SG_Criteria!$B$52&amp;". ","")&amp;IF(D276="Non-standard (project design)","NOTE: not an SDRE standard, needs LTA acceptance. ","")))</f>
        <v/>
      </c>
      <c r="AP276" s="9"/>
      <c r="AQ276" s="9"/>
      <c r="AR276" s="9"/>
      <c r="AS276" s="9"/>
      <c r="AT276" s="9"/>
      <c r="AU276" s="31"/>
      <c r="AV276" s="10" t="str">
        <f aca="false">IF(C276="","",IF(AND(X276="Approved",ISERROR(SEARCH("FAIL",AO276))),"Y","N"))</f>
        <v/>
      </c>
      <c r="AW276" s="10" t="str">
        <f aca="false">IF(C276="","",C276&amp;"|"&amp;E276&amp;"|"&amp;F276&amp;"|"&amp;AV276)</f>
        <v/>
      </c>
    </row>
    <row r="277" customFormat="false" ht="15" hidden="false" customHeight="false" outlineLevel="0" collapsed="false">
      <c r="A277" s="10" t="str">
        <f aca="false">IF(C277="","","LKW-"&amp;IFERROR(VLOOKUP(C277,Lists!$AQ$4:$AR$17,2,0),"??")&amp;"-W"&amp;TEXT(E277*1000,"0000")&amp;"-H"&amp;TEXT(F277*1000,"0000")&amp;"-B"&amp;TEXT(G277*1000,"0000")&amp;"-"&amp;W277)</f>
        <v/>
      </c>
      <c r="B277" s="10" t="str">
        <f aca="false">IF(C277="","",C277&amp;", "&amp;E277&amp;" m wide, "&amp;F277&amp;" m headroom, "&amp;G277&amp;" m bays, "&amp;H277&amp;" ("&amp;D277&amp;")")</f>
        <v/>
      </c>
      <c r="C277" s="9"/>
      <c r="D277" s="9"/>
      <c r="E277" s="43"/>
      <c r="F277" s="43"/>
      <c r="G277" s="43"/>
      <c r="H277" s="9"/>
      <c r="I277" s="9"/>
      <c r="J277" s="9"/>
      <c r="K277" s="9"/>
      <c r="L277" s="9"/>
      <c r="M277" s="9"/>
      <c r="N277" s="9"/>
      <c r="O277" s="9"/>
      <c r="P277" s="40"/>
      <c r="Q277" s="43"/>
      <c r="R277" s="9"/>
      <c r="S277" s="9"/>
      <c r="T277" s="9"/>
      <c r="U277" s="43"/>
      <c r="V277" s="9"/>
      <c r="W277" s="9"/>
      <c r="X277" s="9"/>
      <c r="Y277" s="9"/>
      <c r="Z277" s="9"/>
      <c r="AA277" s="9"/>
      <c r="AB277" s="10" t="str">
        <f aca="false">IF(A277="","",SG_Criteria!$B$6&amp;SG_Criteria!$B$12&amp;"\"&amp;A277&amp;"\")</f>
        <v/>
      </c>
      <c r="AC277" s="10" t="str">
        <f aca="false">IF(A277="","",A277&amp;"_CAD.dwg")</f>
        <v/>
      </c>
      <c r="AD277" s="10" t="str">
        <f aca="false">IF(A277="","",A277&amp;"_DWG.pdf")</f>
        <v/>
      </c>
      <c r="AE277" s="10" t="str">
        <f aca="false">IF(A277="","",IF(AA277="Y",A277&amp;"_STAAD.std","n/a"))</f>
        <v/>
      </c>
      <c r="AF277" s="10" t="str">
        <f aca="false">IF(A277="","",A277&amp;"_CALC.xlsx")</f>
        <v/>
      </c>
      <c r="AG277" s="10" t="str">
        <f aca="false">IF(A277="","",A277&amp;"_CALC.pdf")</f>
        <v/>
      </c>
      <c r="AH277" s="9"/>
      <c r="AI277" s="9"/>
      <c r="AJ277" s="41"/>
      <c r="AK277" s="41"/>
      <c r="AL277" s="41"/>
      <c r="AM277" s="41"/>
      <c r="AN277" s="41"/>
      <c r="AO277" s="38" t="str">
        <f aca="false">IF(C277="","",IF(LEN(IF(AND(C277&lt;&gt;"High Covered Linkway",F277&lt;SG_Criteria!$B$46),"FAIL: headroom below "&amp;SG_Criteria!$B$46&amp;" m. ","")&amp;IF(AND(C277="High Covered Linkway",F277&lt;SG_Criteria!$B$47),"FAIL: high linkway headroom below "&amp;SG_Criteria!$B$47&amp;" m. ","")&amp;IF(E277&lt;SG_Criteria!$B$48,"FAIL: roof width below "&amp;SG_Criteria!$B$48&amp;" m. ",IF(E277&lt;SG_Criteria!$B$49,"NOTE: not for MRT/LRT or high-traffic routes (min "&amp;SG_Criteria!$B$49&amp;" m). ",""))&amp;IF(AND(P277&lt;&gt;"",P277&lt;SG_Criteria!$B$50),"FAIL: wind speed below "&amp;SG_Criteria!$B$50&amp;" m/s. ","")&amp;IF(AND(Q277&lt;&gt;"",Q277&lt;SG_Criteria!$B$51),"FAIL: roof fixing pull-out below "&amp;SG_Criteria!$B$51&amp;" kN. ","")&amp;IF(AND(R277&lt;&gt;"",IFERROR(VALUE(MID(R277,2,2)),0)&lt;SG_Criteria!$B$52),"FAIL: grade below C"&amp;SG_Criteria!$B$52&amp;". ","")&amp;IF(D277="Non-standard (project design)","NOTE: not an SDRE standard, needs LTA acceptance. ",""))=0,"OK",IF(AND(C277&lt;&gt;"High Covered Linkway",F277&lt;SG_Criteria!$B$46),"FAIL: headroom below "&amp;SG_Criteria!$B$46&amp;" m. ","")&amp;IF(AND(C277="High Covered Linkway",F277&lt;SG_Criteria!$B$47),"FAIL: high linkway headroom below "&amp;SG_Criteria!$B$47&amp;" m. ","")&amp;IF(E277&lt;SG_Criteria!$B$48,"FAIL: roof width below "&amp;SG_Criteria!$B$48&amp;" m. ",IF(E277&lt;SG_Criteria!$B$49,"NOTE: not for MRT/LRT or high-traffic routes (min "&amp;SG_Criteria!$B$49&amp;" m). ",""))&amp;IF(AND(P277&lt;&gt;"",P277&lt;SG_Criteria!$B$50),"FAIL: wind speed below "&amp;SG_Criteria!$B$50&amp;" m/s. ","")&amp;IF(AND(Q277&lt;&gt;"",Q277&lt;SG_Criteria!$B$51),"FAIL: roof fixing pull-out below "&amp;SG_Criteria!$B$51&amp;" kN. ","")&amp;IF(AND(R277&lt;&gt;"",IFERROR(VALUE(MID(R277,2,2)),0)&lt;SG_Criteria!$B$52),"FAIL: grade below C"&amp;SG_Criteria!$B$52&amp;". ","")&amp;IF(D277="Non-standard (project design)","NOTE: not an SDRE standard, needs LTA acceptance. ","")))</f>
        <v/>
      </c>
      <c r="AP277" s="9"/>
      <c r="AQ277" s="9"/>
      <c r="AR277" s="9"/>
      <c r="AS277" s="9"/>
      <c r="AT277" s="9"/>
      <c r="AU277" s="31"/>
      <c r="AV277" s="10" t="str">
        <f aca="false">IF(C277="","",IF(AND(X277="Approved",ISERROR(SEARCH("FAIL",AO277))),"Y","N"))</f>
        <v/>
      </c>
      <c r="AW277" s="10" t="str">
        <f aca="false">IF(C277="","",C277&amp;"|"&amp;E277&amp;"|"&amp;F277&amp;"|"&amp;AV277)</f>
        <v/>
      </c>
    </row>
    <row r="278" customFormat="false" ht="15" hidden="false" customHeight="false" outlineLevel="0" collapsed="false">
      <c r="A278" s="10" t="str">
        <f aca="false">IF(C278="","","LKW-"&amp;IFERROR(VLOOKUP(C278,Lists!$AQ$4:$AR$17,2,0),"??")&amp;"-W"&amp;TEXT(E278*1000,"0000")&amp;"-H"&amp;TEXT(F278*1000,"0000")&amp;"-B"&amp;TEXT(G278*1000,"0000")&amp;"-"&amp;W278)</f>
        <v/>
      </c>
      <c r="B278" s="10" t="str">
        <f aca="false">IF(C278="","",C278&amp;", "&amp;E278&amp;" m wide, "&amp;F278&amp;" m headroom, "&amp;G278&amp;" m bays, "&amp;H278&amp;" ("&amp;D278&amp;")")</f>
        <v/>
      </c>
      <c r="C278" s="9"/>
      <c r="D278" s="9"/>
      <c r="E278" s="43"/>
      <c r="F278" s="43"/>
      <c r="G278" s="43"/>
      <c r="H278" s="9"/>
      <c r="I278" s="9"/>
      <c r="J278" s="9"/>
      <c r="K278" s="9"/>
      <c r="L278" s="9"/>
      <c r="M278" s="9"/>
      <c r="N278" s="9"/>
      <c r="O278" s="9"/>
      <c r="P278" s="40"/>
      <c r="Q278" s="43"/>
      <c r="R278" s="9"/>
      <c r="S278" s="9"/>
      <c r="T278" s="9"/>
      <c r="U278" s="43"/>
      <c r="V278" s="9"/>
      <c r="W278" s="9"/>
      <c r="X278" s="9"/>
      <c r="Y278" s="9"/>
      <c r="Z278" s="9"/>
      <c r="AA278" s="9"/>
      <c r="AB278" s="10" t="str">
        <f aca="false">IF(A278="","",SG_Criteria!$B$6&amp;SG_Criteria!$B$12&amp;"\"&amp;A278&amp;"\")</f>
        <v/>
      </c>
      <c r="AC278" s="10" t="str">
        <f aca="false">IF(A278="","",A278&amp;"_CAD.dwg")</f>
        <v/>
      </c>
      <c r="AD278" s="10" t="str">
        <f aca="false">IF(A278="","",A278&amp;"_DWG.pdf")</f>
        <v/>
      </c>
      <c r="AE278" s="10" t="str">
        <f aca="false">IF(A278="","",IF(AA278="Y",A278&amp;"_STAAD.std","n/a"))</f>
        <v/>
      </c>
      <c r="AF278" s="10" t="str">
        <f aca="false">IF(A278="","",A278&amp;"_CALC.xlsx")</f>
        <v/>
      </c>
      <c r="AG278" s="10" t="str">
        <f aca="false">IF(A278="","",A278&amp;"_CALC.pdf")</f>
        <v/>
      </c>
      <c r="AH278" s="9"/>
      <c r="AI278" s="9"/>
      <c r="AJ278" s="41"/>
      <c r="AK278" s="41"/>
      <c r="AL278" s="41"/>
      <c r="AM278" s="41"/>
      <c r="AN278" s="41"/>
      <c r="AO278" s="38" t="str">
        <f aca="false">IF(C278="","",IF(LEN(IF(AND(C278&lt;&gt;"High Covered Linkway",F278&lt;SG_Criteria!$B$46),"FAIL: headroom below "&amp;SG_Criteria!$B$46&amp;" m. ","")&amp;IF(AND(C278="High Covered Linkway",F278&lt;SG_Criteria!$B$47),"FAIL: high linkway headroom below "&amp;SG_Criteria!$B$47&amp;" m. ","")&amp;IF(E278&lt;SG_Criteria!$B$48,"FAIL: roof width below "&amp;SG_Criteria!$B$48&amp;" m. ",IF(E278&lt;SG_Criteria!$B$49,"NOTE: not for MRT/LRT or high-traffic routes (min "&amp;SG_Criteria!$B$49&amp;" m). ",""))&amp;IF(AND(P278&lt;&gt;"",P278&lt;SG_Criteria!$B$50),"FAIL: wind speed below "&amp;SG_Criteria!$B$50&amp;" m/s. ","")&amp;IF(AND(Q278&lt;&gt;"",Q278&lt;SG_Criteria!$B$51),"FAIL: roof fixing pull-out below "&amp;SG_Criteria!$B$51&amp;" kN. ","")&amp;IF(AND(R278&lt;&gt;"",IFERROR(VALUE(MID(R278,2,2)),0)&lt;SG_Criteria!$B$52),"FAIL: grade below C"&amp;SG_Criteria!$B$52&amp;". ","")&amp;IF(D278="Non-standard (project design)","NOTE: not an SDRE standard, needs LTA acceptance. ",""))=0,"OK",IF(AND(C278&lt;&gt;"High Covered Linkway",F278&lt;SG_Criteria!$B$46),"FAIL: headroom below "&amp;SG_Criteria!$B$46&amp;" m. ","")&amp;IF(AND(C278="High Covered Linkway",F278&lt;SG_Criteria!$B$47),"FAIL: high linkway headroom below "&amp;SG_Criteria!$B$47&amp;" m. ","")&amp;IF(E278&lt;SG_Criteria!$B$48,"FAIL: roof width below "&amp;SG_Criteria!$B$48&amp;" m. ",IF(E278&lt;SG_Criteria!$B$49,"NOTE: not for MRT/LRT or high-traffic routes (min "&amp;SG_Criteria!$B$49&amp;" m). ",""))&amp;IF(AND(P278&lt;&gt;"",P278&lt;SG_Criteria!$B$50),"FAIL: wind speed below "&amp;SG_Criteria!$B$50&amp;" m/s. ","")&amp;IF(AND(Q278&lt;&gt;"",Q278&lt;SG_Criteria!$B$51),"FAIL: roof fixing pull-out below "&amp;SG_Criteria!$B$51&amp;" kN. ","")&amp;IF(AND(R278&lt;&gt;"",IFERROR(VALUE(MID(R278,2,2)),0)&lt;SG_Criteria!$B$52),"FAIL: grade below C"&amp;SG_Criteria!$B$52&amp;". ","")&amp;IF(D278="Non-standard (project design)","NOTE: not an SDRE standard, needs LTA acceptance. ","")))</f>
        <v/>
      </c>
      <c r="AP278" s="9"/>
      <c r="AQ278" s="9"/>
      <c r="AR278" s="9"/>
      <c r="AS278" s="9"/>
      <c r="AT278" s="9"/>
      <c r="AU278" s="31"/>
      <c r="AV278" s="10" t="str">
        <f aca="false">IF(C278="","",IF(AND(X278="Approved",ISERROR(SEARCH("FAIL",AO278))),"Y","N"))</f>
        <v/>
      </c>
      <c r="AW278" s="10" t="str">
        <f aca="false">IF(C278="","",C278&amp;"|"&amp;E278&amp;"|"&amp;F278&amp;"|"&amp;AV278)</f>
        <v/>
      </c>
    </row>
    <row r="279" customFormat="false" ht="15" hidden="false" customHeight="false" outlineLevel="0" collapsed="false">
      <c r="A279" s="10" t="str">
        <f aca="false">IF(C279="","","LKW-"&amp;IFERROR(VLOOKUP(C279,Lists!$AQ$4:$AR$17,2,0),"??")&amp;"-W"&amp;TEXT(E279*1000,"0000")&amp;"-H"&amp;TEXT(F279*1000,"0000")&amp;"-B"&amp;TEXT(G279*1000,"0000")&amp;"-"&amp;W279)</f>
        <v/>
      </c>
      <c r="B279" s="10" t="str">
        <f aca="false">IF(C279="","",C279&amp;", "&amp;E279&amp;" m wide, "&amp;F279&amp;" m headroom, "&amp;G279&amp;" m bays, "&amp;H279&amp;" ("&amp;D279&amp;")")</f>
        <v/>
      </c>
      <c r="C279" s="9"/>
      <c r="D279" s="9"/>
      <c r="E279" s="43"/>
      <c r="F279" s="43"/>
      <c r="G279" s="43"/>
      <c r="H279" s="9"/>
      <c r="I279" s="9"/>
      <c r="J279" s="9"/>
      <c r="K279" s="9"/>
      <c r="L279" s="9"/>
      <c r="M279" s="9"/>
      <c r="N279" s="9"/>
      <c r="O279" s="9"/>
      <c r="P279" s="40"/>
      <c r="Q279" s="43"/>
      <c r="R279" s="9"/>
      <c r="S279" s="9"/>
      <c r="T279" s="9"/>
      <c r="U279" s="43"/>
      <c r="V279" s="9"/>
      <c r="W279" s="9"/>
      <c r="X279" s="9"/>
      <c r="Y279" s="9"/>
      <c r="Z279" s="9"/>
      <c r="AA279" s="9"/>
      <c r="AB279" s="10" t="str">
        <f aca="false">IF(A279="","",SG_Criteria!$B$6&amp;SG_Criteria!$B$12&amp;"\"&amp;A279&amp;"\")</f>
        <v/>
      </c>
      <c r="AC279" s="10" t="str">
        <f aca="false">IF(A279="","",A279&amp;"_CAD.dwg")</f>
        <v/>
      </c>
      <c r="AD279" s="10" t="str">
        <f aca="false">IF(A279="","",A279&amp;"_DWG.pdf")</f>
        <v/>
      </c>
      <c r="AE279" s="10" t="str">
        <f aca="false">IF(A279="","",IF(AA279="Y",A279&amp;"_STAAD.std","n/a"))</f>
        <v/>
      </c>
      <c r="AF279" s="10" t="str">
        <f aca="false">IF(A279="","",A279&amp;"_CALC.xlsx")</f>
        <v/>
      </c>
      <c r="AG279" s="10" t="str">
        <f aca="false">IF(A279="","",A279&amp;"_CALC.pdf")</f>
        <v/>
      </c>
      <c r="AH279" s="9"/>
      <c r="AI279" s="9"/>
      <c r="AJ279" s="41"/>
      <c r="AK279" s="41"/>
      <c r="AL279" s="41"/>
      <c r="AM279" s="41"/>
      <c r="AN279" s="41"/>
      <c r="AO279" s="38" t="str">
        <f aca="false">IF(C279="","",IF(LEN(IF(AND(C279&lt;&gt;"High Covered Linkway",F279&lt;SG_Criteria!$B$46),"FAIL: headroom below "&amp;SG_Criteria!$B$46&amp;" m. ","")&amp;IF(AND(C279="High Covered Linkway",F279&lt;SG_Criteria!$B$47),"FAIL: high linkway headroom below "&amp;SG_Criteria!$B$47&amp;" m. ","")&amp;IF(E279&lt;SG_Criteria!$B$48,"FAIL: roof width below "&amp;SG_Criteria!$B$48&amp;" m. ",IF(E279&lt;SG_Criteria!$B$49,"NOTE: not for MRT/LRT or high-traffic routes (min "&amp;SG_Criteria!$B$49&amp;" m). ",""))&amp;IF(AND(P279&lt;&gt;"",P279&lt;SG_Criteria!$B$50),"FAIL: wind speed below "&amp;SG_Criteria!$B$50&amp;" m/s. ","")&amp;IF(AND(Q279&lt;&gt;"",Q279&lt;SG_Criteria!$B$51),"FAIL: roof fixing pull-out below "&amp;SG_Criteria!$B$51&amp;" kN. ","")&amp;IF(AND(R279&lt;&gt;"",IFERROR(VALUE(MID(R279,2,2)),0)&lt;SG_Criteria!$B$52),"FAIL: grade below C"&amp;SG_Criteria!$B$52&amp;". ","")&amp;IF(D279="Non-standard (project design)","NOTE: not an SDRE standard, needs LTA acceptance. ",""))=0,"OK",IF(AND(C279&lt;&gt;"High Covered Linkway",F279&lt;SG_Criteria!$B$46),"FAIL: headroom below "&amp;SG_Criteria!$B$46&amp;" m. ","")&amp;IF(AND(C279="High Covered Linkway",F279&lt;SG_Criteria!$B$47),"FAIL: high linkway headroom below "&amp;SG_Criteria!$B$47&amp;" m. ","")&amp;IF(E279&lt;SG_Criteria!$B$48,"FAIL: roof width below "&amp;SG_Criteria!$B$48&amp;" m. ",IF(E279&lt;SG_Criteria!$B$49,"NOTE: not for MRT/LRT or high-traffic routes (min "&amp;SG_Criteria!$B$49&amp;" m). ",""))&amp;IF(AND(P279&lt;&gt;"",P279&lt;SG_Criteria!$B$50),"FAIL: wind speed below "&amp;SG_Criteria!$B$50&amp;" m/s. ","")&amp;IF(AND(Q279&lt;&gt;"",Q279&lt;SG_Criteria!$B$51),"FAIL: roof fixing pull-out below "&amp;SG_Criteria!$B$51&amp;" kN. ","")&amp;IF(AND(R279&lt;&gt;"",IFERROR(VALUE(MID(R279,2,2)),0)&lt;SG_Criteria!$B$52),"FAIL: grade below C"&amp;SG_Criteria!$B$52&amp;". ","")&amp;IF(D279="Non-standard (project design)","NOTE: not an SDRE standard, needs LTA acceptance. ","")))</f>
        <v/>
      </c>
      <c r="AP279" s="9"/>
      <c r="AQ279" s="9"/>
      <c r="AR279" s="9"/>
      <c r="AS279" s="9"/>
      <c r="AT279" s="9"/>
      <c r="AU279" s="31"/>
      <c r="AV279" s="10" t="str">
        <f aca="false">IF(C279="","",IF(AND(X279="Approved",ISERROR(SEARCH("FAIL",AO279))),"Y","N"))</f>
        <v/>
      </c>
      <c r="AW279" s="10" t="str">
        <f aca="false">IF(C279="","",C279&amp;"|"&amp;E279&amp;"|"&amp;F279&amp;"|"&amp;AV279)</f>
        <v/>
      </c>
    </row>
    <row r="280" customFormat="false" ht="15" hidden="false" customHeight="false" outlineLevel="0" collapsed="false">
      <c r="A280" s="10" t="str">
        <f aca="false">IF(C280="","","LKW-"&amp;IFERROR(VLOOKUP(C280,Lists!$AQ$4:$AR$17,2,0),"??")&amp;"-W"&amp;TEXT(E280*1000,"0000")&amp;"-H"&amp;TEXT(F280*1000,"0000")&amp;"-B"&amp;TEXT(G280*1000,"0000")&amp;"-"&amp;W280)</f>
        <v/>
      </c>
      <c r="B280" s="10" t="str">
        <f aca="false">IF(C280="","",C280&amp;", "&amp;E280&amp;" m wide, "&amp;F280&amp;" m headroom, "&amp;G280&amp;" m bays, "&amp;H280&amp;" ("&amp;D280&amp;")")</f>
        <v/>
      </c>
      <c r="C280" s="9"/>
      <c r="D280" s="9"/>
      <c r="E280" s="43"/>
      <c r="F280" s="43"/>
      <c r="G280" s="43"/>
      <c r="H280" s="9"/>
      <c r="I280" s="9"/>
      <c r="J280" s="9"/>
      <c r="K280" s="9"/>
      <c r="L280" s="9"/>
      <c r="M280" s="9"/>
      <c r="N280" s="9"/>
      <c r="O280" s="9"/>
      <c r="P280" s="40"/>
      <c r="Q280" s="43"/>
      <c r="R280" s="9"/>
      <c r="S280" s="9"/>
      <c r="T280" s="9"/>
      <c r="U280" s="43"/>
      <c r="V280" s="9"/>
      <c r="W280" s="9"/>
      <c r="X280" s="9"/>
      <c r="Y280" s="9"/>
      <c r="Z280" s="9"/>
      <c r="AA280" s="9"/>
      <c r="AB280" s="10" t="str">
        <f aca="false">IF(A280="","",SG_Criteria!$B$6&amp;SG_Criteria!$B$12&amp;"\"&amp;A280&amp;"\")</f>
        <v/>
      </c>
      <c r="AC280" s="10" t="str">
        <f aca="false">IF(A280="","",A280&amp;"_CAD.dwg")</f>
        <v/>
      </c>
      <c r="AD280" s="10" t="str">
        <f aca="false">IF(A280="","",A280&amp;"_DWG.pdf")</f>
        <v/>
      </c>
      <c r="AE280" s="10" t="str">
        <f aca="false">IF(A280="","",IF(AA280="Y",A280&amp;"_STAAD.std","n/a"))</f>
        <v/>
      </c>
      <c r="AF280" s="10" t="str">
        <f aca="false">IF(A280="","",A280&amp;"_CALC.xlsx")</f>
        <v/>
      </c>
      <c r="AG280" s="10" t="str">
        <f aca="false">IF(A280="","",A280&amp;"_CALC.pdf")</f>
        <v/>
      </c>
      <c r="AH280" s="9"/>
      <c r="AI280" s="9"/>
      <c r="AJ280" s="41"/>
      <c r="AK280" s="41"/>
      <c r="AL280" s="41"/>
      <c r="AM280" s="41"/>
      <c r="AN280" s="41"/>
      <c r="AO280" s="38" t="str">
        <f aca="false">IF(C280="","",IF(LEN(IF(AND(C280&lt;&gt;"High Covered Linkway",F280&lt;SG_Criteria!$B$46),"FAIL: headroom below "&amp;SG_Criteria!$B$46&amp;" m. ","")&amp;IF(AND(C280="High Covered Linkway",F280&lt;SG_Criteria!$B$47),"FAIL: high linkway headroom below "&amp;SG_Criteria!$B$47&amp;" m. ","")&amp;IF(E280&lt;SG_Criteria!$B$48,"FAIL: roof width below "&amp;SG_Criteria!$B$48&amp;" m. ",IF(E280&lt;SG_Criteria!$B$49,"NOTE: not for MRT/LRT or high-traffic routes (min "&amp;SG_Criteria!$B$49&amp;" m). ",""))&amp;IF(AND(P280&lt;&gt;"",P280&lt;SG_Criteria!$B$50),"FAIL: wind speed below "&amp;SG_Criteria!$B$50&amp;" m/s. ","")&amp;IF(AND(Q280&lt;&gt;"",Q280&lt;SG_Criteria!$B$51),"FAIL: roof fixing pull-out below "&amp;SG_Criteria!$B$51&amp;" kN. ","")&amp;IF(AND(R280&lt;&gt;"",IFERROR(VALUE(MID(R280,2,2)),0)&lt;SG_Criteria!$B$52),"FAIL: grade below C"&amp;SG_Criteria!$B$52&amp;". ","")&amp;IF(D280="Non-standard (project design)","NOTE: not an SDRE standard, needs LTA acceptance. ",""))=0,"OK",IF(AND(C280&lt;&gt;"High Covered Linkway",F280&lt;SG_Criteria!$B$46),"FAIL: headroom below "&amp;SG_Criteria!$B$46&amp;" m. ","")&amp;IF(AND(C280="High Covered Linkway",F280&lt;SG_Criteria!$B$47),"FAIL: high linkway headroom below "&amp;SG_Criteria!$B$47&amp;" m. ","")&amp;IF(E280&lt;SG_Criteria!$B$48,"FAIL: roof width below "&amp;SG_Criteria!$B$48&amp;" m. ",IF(E280&lt;SG_Criteria!$B$49,"NOTE: not for MRT/LRT or high-traffic routes (min "&amp;SG_Criteria!$B$49&amp;" m). ",""))&amp;IF(AND(P280&lt;&gt;"",P280&lt;SG_Criteria!$B$50),"FAIL: wind speed below "&amp;SG_Criteria!$B$50&amp;" m/s. ","")&amp;IF(AND(Q280&lt;&gt;"",Q280&lt;SG_Criteria!$B$51),"FAIL: roof fixing pull-out below "&amp;SG_Criteria!$B$51&amp;" kN. ","")&amp;IF(AND(R280&lt;&gt;"",IFERROR(VALUE(MID(R280,2,2)),0)&lt;SG_Criteria!$B$52),"FAIL: grade below C"&amp;SG_Criteria!$B$52&amp;". ","")&amp;IF(D280="Non-standard (project design)","NOTE: not an SDRE standard, needs LTA acceptance. ","")))</f>
        <v/>
      </c>
      <c r="AP280" s="9"/>
      <c r="AQ280" s="9"/>
      <c r="AR280" s="9"/>
      <c r="AS280" s="9"/>
      <c r="AT280" s="9"/>
      <c r="AU280" s="31"/>
      <c r="AV280" s="10" t="str">
        <f aca="false">IF(C280="","",IF(AND(X280="Approved",ISERROR(SEARCH("FAIL",AO280))),"Y","N"))</f>
        <v/>
      </c>
      <c r="AW280" s="10" t="str">
        <f aca="false">IF(C280="","",C280&amp;"|"&amp;E280&amp;"|"&amp;F280&amp;"|"&amp;AV280)</f>
        <v/>
      </c>
    </row>
    <row r="281" customFormat="false" ht="15" hidden="false" customHeight="false" outlineLevel="0" collapsed="false">
      <c r="A281" s="10" t="str">
        <f aca="false">IF(C281="","","LKW-"&amp;IFERROR(VLOOKUP(C281,Lists!$AQ$4:$AR$17,2,0),"??")&amp;"-W"&amp;TEXT(E281*1000,"0000")&amp;"-H"&amp;TEXT(F281*1000,"0000")&amp;"-B"&amp;TEXT(G281*1000,"0000")&amp;"-"&amp;W281)</f>
        <v/>
      </c>
      <c r="B281" s="10" t="str">
        <f aca="false">IF(C281="","",C281&amp;", "&amp;E281&amp;" m wide, "&amp;F281&amp;" m headroom, "&amp;G281&amp;" m bays, "&amp;H281&amp;" ("&amp;D281&amp;")")</f>
        <v/>
      </c>
      <c r="C281" s="9"/>
      <c r="D281" s="9"/>
      <c r="E281" s="43"/>
      <c r="F281" s="43"/>
      <c r="G281" s="43"/>
      <c r="H281" s="9"/>
      <c r="I281" s="9"/>
      <c r="J281" s="9"/>
      <c r="K281" s="9"/>
      <c r="L281" s="9"/>
      <c r="M281" s="9"/>
      <c r="N281" s="9"/>
      <c r="O281" s="9"/>
      <c r="P281" s="40"/>
      <c r="Q281" s="43"/>
      <c r="R281" s="9"/>
      <c r="S281" s="9"/>
      <c r="T281" s="9"/>
      <c r="U281" s="43"/>
      <c r="V281" s="9"/>
      <c r="W281" s="9"/>
      <c r="X281" s="9"/>
      <c r="Y281" s="9"/>
      <c r="Z281" s="9"/>
      <c r="AA281" s="9"/>
      <c r="AB281" s="10" t="str">
        <f aca="false">IF(A281="","",SG_Criteria!$B$6&amp;SG_Criteria!$B$12&amp;"\"&amp;A281&amp;"\")</f>
        <v/>
      </c>
      <c r="AC281" s="10" t="str">
        <f aca="false">IF(A281="","",A281&amp;"_CAD.dwg")</f>
        <v/>
      </c>
      <c r="AD281" s="10" t="str">
        <f aca="false">IF(A281="","",A281&amp;"_DWG.pdf")</f>
        <v/>
      </c>
      <c r="AE281" s="10" t="str">
        <f aca="false">IF(A281="","",IF(AA281="Y",A281&amp;"_STAAD.std","n/a"))</f>
        <v/>
      </c>
      <c r="AF281" s="10" t="str">
        <f aca="false">IF(A281="","",A281&amp;"_CALC.xlsx")</f>
        <v/>
      </c>
      <c r="AG281" s="10" t="str">
        <f aca="false">IF(A281="","",A281&amp;"_CALC.pdf")</f>
        <v/>
      </c>
      <c r="AH281" s="9"/>
      <c r="AI281" s="9"/>
      <c r="AJ281" s="41"/>
      <c r="AK281" s="41"/>
      <c r="AL281" s="41"/>
      <c r="AM281" s="41"/>
      <c r="AN281" s="41"/>
      <c r="AO281" s="38" t="str">
        <f aca="false">IF(C281="","",IF(LEN(IF(AND(C281&lt;&gt;"High Covered Linkway",F281&lt;SG_Criteria!$B$46),"FAIL: headroom below "&amp;SG_Criteria!$B$46&amp;" m. ","")&amp;IF(AND(C281="High Covered Linkway",F281&lt;SG_Criteria!$B$47),"FAIL: high linkway headroom below "&amp;SG_Criteria!$B$47&amp;" m. ","")&amp;IF(E281&lt;SG_Criteria!$B$48,"FAIL: roof width below "&amp;SG_Criteria!$B$48&amp;" m. ",IF(E281&lt;SG_Criteria!$B$49,"NOTE: not for MRT/LRT or high-traffic routes (min "&amp;SG_Criteria!$B$49&amp;" m). ",""))&amp;IF(AND(P281&lt;&gt;"",P281&lt;SG_Criteria!$B$50),"FAIL: wind speed below "&amp;SG_Criteria!$B$50&amp;" m/s. ","")&amp;IF(AND(Q281&lt;&gt;"",Q281&lt;SG_Criteria!$B$51),"FAIL: roof fixing pull-out below "&amp;SG_Criteria!$B$51&amp;" kN. ","")&amp;IF(AND(R281&lt;&gt;"",IFERROR(VALUE(MID(R281,2,2)),0)&lt;SG_Criteria!$B$52),"FAIL: grade below C"&amp;SG_Criteria!$B$52&amp;". ","")&amp;IF(D281="Non-standard (project design)","NOTE: not an SDRE standard, needs LTA acceptance. ",""))=0,"OK",IF(AND(C281&lt;&gt;"High Covered Linkway",F281&lt;SG_Criteria!$B$46),"FAIL: headroom below "&amp;SG_Criteria!$B$46&amp;" m. ","")&amp;IF(AND(C281="High Covered Linkway",F281&lt;SG_Criteria!$B$47),"FAIL: high linkway headroom below "&amp;SG_Criteria!$B$47&amp;" m. ","")&amp;IF(E281&lt;SG_Criteria!$B$48,"FAIL: roof width below "&amp;SG_Criteria!$B$48&amp;" m. ",IF(E281&lt;SG_Criteria!$B$49,"NOTE: not for MRT/LRT or high-traffic routes (min "&amp;SG_Criteria!$B$49&amp;" m). ",""))&amp;IF(AND(P281&lt;&gt;"",P281&lt;SG_Criteria!$B$50),"FAIL: wind speed below "&amp;SG_Criteria!$B$50&amp;" m/s. ","")&amp;IF(AND(Q281&lt;&gt;"",Q281&lt;SG_Criteria!$B$51),"FAIL: roof fixing pull-out below "&amp;SG_Criteria!$B$51&amp;" kN. ","")&amp;IF(AND(R281&lt;&gt;"",IFERROR(VALUE(MID(R281,2,2)),0)&lt;SG_Criteria!$B$52),"FAIL: grade below C"&amp;SG_Criteria!$B$52&amp;". ","")&amp;IF(D281="Non-standard (project design)","NOTE: not an SDRE standard, needs LTA acceptance. ","")))</f>
        <v/>
      </c>
      <c r="AP281" s="9"/>
      <c r="AQ281" s="9"/>
      <c r="AR281" s="9"/>
      <c r="AS281" s="9"/>
      <c r="AT281" s="9"/>
      <c r="AU281" s="31"/>
      <c r="AV281" s="10" t="str">
        <f aca="false">IF(C281="","",IF(AND(X281="Approved",ISERROR(SEARCH("FAIL",AO281))),"Y","N"))</f>
        <v/>
      </c>
      <c r="AW281" s="10" t="str">
        <f aca="false">IF(C281="","",C281&amp;"|"&amp;E281&amp;"|"&amp;F281&amp;"|"&amp;AV281)</f>
        <v/>
      </c>
    </row>
    <row r="282" customFormat="false" ht="15" hidden="false" customHeight="false" outlineLevel="0" collapsed="false">
      <c r="A282" s="10" t="str">
        <f aca="false">IF(C282="","","LKW-"&amp;IFERROR(VLOOKUP(C282,Lists!$AQ$4:$AR$17,2,0),"??")&amp;"-W"&amp;TEXT(E282*1000,"0000")&amp;"-H"&amp;TEXT(F282*1000,"0000")&amp;"-B"&amp;TEXT(G282*1000,"0000")&amp;"-"&amp;W282)</f>
        <v/>
      </c>
      <c r="B282" s="10" t="str">
        <f aca="false">IF(C282="","",C282&amp;", "&amp;E282&amp;" m wide, "&amp;F282&amp;" m headroom, "&amp;G282&amp;" m bays, "&amp;H282&amp;" ("&amp;D282&amp;")")</f>
        <v/>
      </c>
      <c r="C282" s="9"/>
      <c r="D282" s="9"/>
      <c r="E282" s="43"/>
      <c r="F282" s="43"/>
      <c r="G282" s="43"/>
      <c r="H282" s="9"/>
      <c r="I282" s="9"/>
      <c r="J282" s="9"/>
      <c r="K282" s="9"/>
      <c r="L282" s="9"/>
      <c r="M282" s="9"/>
      <c r="N282" s="9"/>
      <c r="O282" s="9"/>
      <c r="P282" s="40"/>
      <c r="Q282" s="43"/>
      <c r="R282" s="9"/>
      <c r="S282" s="9"/>
      <c r="T282" s="9"/>
      <c r="U282" s="43"/>
      <c r="V282" s="9"/>
      <c r="W282" s="9"/>
      <c r="X282" s="9"/>
      <c r="Y282" s="9"/>
      <c r="Z282" s="9"/>
      <c r="AA282" s="9"/>
      <c r="AB282" s="10" t="str">
        <f aca="false">IF(A282="","",SG_Criteria!$B$6&amp;SG_Criteria!$B$12&amp;"\"&amp;A282&amp;"\")</f>
        <v/>
      </c>
      <c r="AC282" s="10" t="str">
        <f aca="false">IF(A282="","",A282&amp;"_CAD.dwg")</f>
        <v/>
      </c>
      <c r="AD282" s="10" t="str">
        <f aca="false">IF(A282="","",A282&amp;"_DWG.pdf")</f>
        <v/>
      </c>
      <c r="AE282" s="10" t="str">
        <f aca="false">IF(A282="","",IF(AA282="Y",A282&amp;"_STAAD.std","n/a"))</f>
        <v/>
      </c>
      <c r="AF282" s="10" t="str">
        <f aca="false">IF(A282="","",A282&amp;"_CALC.xlsx")</f>
        <v/>
      </c>
      <c r="AG282" s="10" t="str">
        <f aca="false">IF(A282="","",A282&amp;"_CALC.pdf")</f>
        <v/>
      </c>
      <c r="AH282" s="9"/>
      <c r="AI282" s="9"/>
      <c r="AJ282" s="41"/>
      <c r="AK282" s="41"/>
      <c r="AL282" s="41"/>
      <c r="AM282" s="41"/>
      <c r="AN282" s="41"/>
      <c r="AO282" s="38" t="str">
        <f aca="false">IF(C282="","",IF(LEN(IF(AND(C282&lt;&gt;"High Covered Linkway",F282&lt;SG_Criteria!$B$46),"FAIL: headroom below "&amp;SG_Criteria!$B$46&amp;" m. ","")&amp;IF(AND(C282="High Covered Linkway",F282&lt;SG_Criteria!$B$47),"FAIL: high linkway headroom below "&amp;SG_Criteria!$B$47&amp;" m. ","")&amp;IF(E282&lt;SG_Criteria!$B$48,"FAIL: roof width below "&amp;SG_Criteria!$B$48&amp;" m. ",IF(E282&lt;SG_Criteria!$B$49,"NOTE: not for MRT/LRT or high-traffic routes (min "&amp;SG_Criteria!$B$49&amp;" m). ",""))&amp;IF(AND(P282&lt;&gt;"",P282&lt;SG_Criteria!$B$50),"FAIL: wind speed below "&amp;SG_Criteria!$B$50&amp;" m/s. ","")&amp;IF(AND(Q282&lt;&gt;"",Q282&lt;SG_Criteria!$B$51),"FAIL: roof fixing pull-out below "&amp;SG_Criteria!$B$51&amp;" kN. ","")&amp;IF(AND(R282&lt;&gt;"",IFERROR(VALUE(MID(R282,2,2)),0)&lt;SG_Criteria!$B$52),"FAIL: grade below C"&amp;SG_Criteria!$B$52&amp;". ","")&amp;IF(D282="Non-standard (project design)","NOTE: not an SDRE standard, needs LTA acceptance. ",""))=0,"OK",IF(AND(C282&lt;&gt;"High Covered Linkway",F282&lt;SG_Criteria!$B$46),"FAIL: headroom below "&amp;SG_Criteria!$B$46&amp;" m. ","")&amp;IF(AND(C282="High Covered Linkway",F282&lt;SG_Criteria!$B$47),"FAIL: high linkway headroom below "&amp;SG_Criteria!$B$47&amp;" m. ","")&amp;IF(E282&lt;SG_Criteria!$B$48,"FAIL: roof width below "&amp;SG_Criteria!$B$48&amp;" m. ",IF(E282&lt;SG_Criteria!$B$49,"NOTE: not for MRT/LRT or high-traffic routes (min "&amp;SG_Criteria!$B$49&amp;" m). ",""))&amp;IF(AND(P282&lt;&gt;"",P282&lt;SG_Criteria!$B$50),"FAIL: wind speed below "&amp;SG_Criteria!$B$50&amp;" m/s. ","")&amp;IF(AND(Q282&lt;&gt;"",Q282&lt;SG_Criteria!$B$51),"FAIL: roof fixing pull-out below "&amp;SG_Criteria!$B$51&amp;" kN. ","")&amp;IF(AND(R282&lt;&gt;"",IFERROR(VALUE(MID(R282,2,2)),0)&lt;SG_Criteria!$B$52),"FAIL: grade below C"&amp;SG_Criteria!$B$52&amp;". ","")&amp;IF(D282="Non-standard (project design)","NOTE: not an SDRE standard, needs LTA acceptance. ","")))</f>
        <v/>
      </c>
      <c r="AP282" s="9"/>
      <c r="AQ282" s="9"/>
      <c r="AR282" s="9"/>
      <c r="AS282" s="9"/>
      <c r="AT282" s="9"/>
      <c r="AU282" s="31"/>
      <c r="AV282" s="10" t="str">
        <f aca="false">IF(C282="","",IF(AND(X282="Approved",ISERROR(SEARCH("FAIL",AO282))),"Y","N"))</f>
        <v/>
      </c>
      <c r="AW282" s="10" t="str">
        <f aca="false">IF(C282="","",C282&amp;"|"&amp;E282&amp;"|"&amp;F282&amp;"|"&amp;AV282)</f>
        <v/>
      </c>
    </row>
    <row r="283" customFormat="false" ht="15" hidden="false" customHeight="false" outlineLevel="0" collapsed="false">
      <c r="A283" s="10" t="str">
        <f aca="false">IF(C283="","","LKW-"&amp;IFERROR(VLOOKUP(C283,Lists!$AQ$4:$AR$17,2,0),"??")&amp;"-W"&amp;TEXT(E283*1000,"0000")&amp;"-H"&amp;TEXT(F283*1000,"0000")&amp;"-B"&amp;TEXT(G283*1000,"0000")&amp;"-"&amp;W283)</f>
        <v/>
      </c>
      <c r="B283" s="10" t="str">
        <f aca="false">IF(C283="","",C283&amp;", "&amp;E283&amp;" m wide, "&amp;F283&amp;" m headroom, "&amp;G283&amp;" m bays, "&amp;H283&amp;" ("&amp;D283&amp;")")</f>
        <v/>
      </c>
      <c r="C283" s="9"/>
      <c r="D283" s="9"/>
      <c r="E283" s="43"/>
      <c r="F283" s="43"/>
      <c r="G283" s="43"/>
      <c r="H283" s="9"/>
      <c r="I283" s="9"/>
      <c r="J283" s="9"/>
      <c r="K283" s="9"/>
      <c r="L283" s="9"/>
      <c r="M283" s="9"/>
      <c r="N283" s="9"/>
      <c r="O283" s="9"/>
      <c r="P283" s="40"/>
      <c r="Q283" s="43"/>
      <c r="R283" s="9"/>
      <c r="S283" s="9"/>
      <c r="T283" s="9"/>
      <c r="U283" s="43"/>
      <c r="V283" s="9"/>
      <c r="W283" s="9"/>
      <c r="X283" s="9"/>
      <c r="Y283" s="9"/>
      <c r="Z283" s="9"/>
      <c r="AA283" s="9"/>
      <c r="AB283" s="10" t="str">
        <f aca="false">IF(A283="","",SG_Criteria!$B$6&amp;SG_Criteria!$B$12&amp;"\"&amp;A283&amp;"\")</f>
        <v/>
      </c>
      <c r="AC283" s="10" t="str">
        <f aca="false">IF(A283="","",A283&amp;"_CAD.dwg")</f>
        <v/>
      </c>
      <c r="AD283" s="10" t="str">
        <f aca="false">IF(A283="","",A283&amp;"_DWG.pdf")</f>
        <v/>
      </c>
      <c r="AE283" s="10" t="str">
        <f aca="false">IF(A283="","",IF(AA283="Y",A283&amp;"_STAAD.std","n/a"))</f>
        <v/>
      </c>
      <c r="AF283" s="10" t="str">
        <f aca="false">IF(A283="","",A283&amp;"_CALC.xlsx")</f>
        <v/>
      </c>
      <c r="AG283" s="10" t="str">
        <f aca="false">IF(A283="","",A283&amp;"_CALC.pdf")</f>
        <v/>
      </c>
      <c r="AH283" s="9"/>
      <c r="AI283" s="9"/>
      <c r="AJ283" s="41"/>
      <c r="AK283" s="41"/>
      <c r="AL283" s="41"/>
      <c r="AM283" s="41"/>
      <c r="AN283" s="41"/>
      <c r="AO283" s="38" t="str">
        <f aca="false">IF(C283="","",IF(LEN(IF(AND(C283&lt;&gt;"High Covered Linkway",F283&lt;SG_Criteria!$B$46),"FAIL: headroom below "&amp;SG_Criteria!$B$46&amp;" m. ","")&amp;IF(AND(C283="High Covered Linkway",F283&lt;SG_Criteria!$B$47),"FAIL: high linkway headroom below "&amp;SG_Criteria!$B$47&amp;" m. ","")&amp;IF(E283&lt;SG_Criteria!$B$48,"FAIL: roof width below "&amp;SG_Criteria!$B$48&amp;" m. ",IF(E283&lt;SG_Criteria!$B$49,"NOTE: not for MRT/LRT or high-traffic routes (min "&amp;SG_Criteria!$B$49&amp;" m). ",""))&amp;IF(AND(P283&lt;&gt;"",P283&lt;SG_Criteria!$B$50),"FAIL: wind speed below "&amp;SG_Criteria!$B$50&amp;" m/s. ","")&amp;IF(AND(Q283&lt;&gt;"",Q283&lt;SG_Criteria!$B$51),"FAIL: roof fixing pull-out below "&amp;SG_Criteria!$B$51&amp;" kN. ","")&amp;IF(AND(R283&lt;&gt;"",IFERROR(VALUE(MID(R283,2,2)),0)&lt;SG_Criteria!$B$52),"FAIL: grade below C"&amp;SG_Criteria!$B$52&amp;". ","")&amp;IF(D283="Non-standard (project design)","NOTE: not an SDRE standard, needs LTA acceptance. ",""))=0,"OK",IF(AND(C283&lt;&gt;"High Covered Linkway",F283&lt;SG_Criteria!$B$46),"FAIL: headroom below "&amp;SG_Criteria!$B$46&amp;" m. ","")&amp;IF(AND(C283="High Covered Linkway",F283&lt;SG_Criteria!$B$47),"FAIL: high linkway headroom below "&amp;SG_Criteria!$B$47&amp;" m. ","")&amp;IF(E283&lt;SG_Criteria!$B$48,"FAIL: roof width below "&amp;SG_Criteria!$B$48&amp;" m. ",IF(E283&lt;SG_Criteria!$B$49,"NOTE: not for MRT/LRT or high-traffic routes (min "&amp;SG_Criteria!$B$49&amp;" m). ",""))&amp;IF(AND(P283&lt;&gt;"",P283&lt;SG_Criteria!$B$50),"FAIL: wind speed below "&amp;SG_Criteria!$B$50&amp;" m/s. ","")&amp;IF(AND(Q283&lt;&gt;"",Q283&lt;SG_Criteria!$B$51),"FAIL: roof fixing pull-out below "&amp;SG_Criteria!$B$51&amp;" kN. ","")&amp;IF(AND(R283&lt;&gt;"",IFERROR(VALUE(MID(R283,2,2)),0)&lt;SG_Criteria!$B$52),"FAIL: grade below C"&amp;SG_Criteria!$B$52&amp;". ","")&amp;IF(D283="Non-standard (project design)","NOTE: not an SDRE standard, needs LTA acceptance. ","")))</f>
        <v/>
      </c>
      <c r="AP283" s="9"/>
      <c r="AQ283" s="9"/>
      <c r="AR283" s="9"/>
      <c r="AS283" s="9"/>
      <c r="AT283" s="9"/>
      <c r="AU283" s="31"/>
      <c r="AV283" s="10" t="str">
        <f aca="false">IF(C283="","",IF(AND(X283="Approved",ISERROR(SEARCH("FAIL",AO283))),"Y","N"))</f>
        <v/>
      </c>
      <c r="AW283" s="10" t="str">
        <f aca="false">IF(C283="","",C283&amp;"|"&amp;E283&amp;"|"&amp;F283&amp;"|"&amp;AV283)</f>
        <v/>
      </c>
    </row>
    <row r="284" customFormat="false" ht="15" hidden="false" customHeight="false" outlineLevel="0" collapsed="false">
      <c r="A284" s="10" t="str">
        <f aca="false">IF(C284="","","LKW-"&amp;IFERROR(VLOOKUP(C284,Lists!$AQ$4:$AR$17,2,0),"??")&amp;"-W"&amp;TEXT(E284*1000,"0000")&amp;"-H"&amp;TEXT(F284*1000,"0000")&amp;"-B"&amp;TEXT(G284*1000,"0000")&amp;"-"&amp;W284)</f>
        <v/>
      </c>
      <c r="B284" s="10" t="str">
        <f aca="false">IF(C284="","",C284&amp;", "&amp;E284&amp;" m wide, "&amp;F284&amp;" m headroom, "&amp;G284&amp;" m bays, "&amp;H284&amp;" ("&amp;D284&amp;")")</f>
        <v/>
      </c>
      <c r="C284" s="9"/>
      <c r="D284" s="9"/>
      <c r="E284" s="43"/>
      <c r="F284" s="43"/>
      <c r="G284" s="43"/>
      <c r="H284" s="9"/>
      <c r="I284" s="9"/>
      <c r="J284" s="9"/>
      <c r="K284" s="9"/>
      <c r="L284" s="9"/>
      <c r="M284" s="9"/>
      <c r="N284" s="9"/>
      <c r="O284" s="9"/>
      <c r="P284" s="40"/>
      <c r="Q284" s="43"/>
      <c r="R284" s="9"/>
      <c r="S284" s="9"/>
      <c r="T284" s="9"/>
      <c r="U284" s="43"/>
      <c r="V284" s="9"/>
      <c r="W284" s="9"/>
      <c r="X284" s="9"/>
      <c r="Y284" s="9"/>
      <c r="Z284" s="9"/>
      <c r="AA284" s="9"/>
      <c r="AB284" s="10" t="str">
        <f aca="false">IF(A284="","",SG_Criteria!$B$6&amp;SG_Criteria!$B$12&amp;"\"&amp;A284&amp;"\")</f>
        <v/>
      </c>
      <c r="AC284" s="10" t="str">
        <f aca="false">IF(A284="","",A284&amp;"_CAD.dwg")</f>
        <v/>
      </c>
      <c r="AD284" s="10" t="str">
        <f aca="false">IF(A284="","",A284&amp;"_DWG.pdf")</f>
        <v/>
      </c>
      <c r="AE284" s="10" t="str">
        <f aca="false">IF(A284="","",IF(AA284="Y",A284&amp;"_STAAD.std","n/a"))</f>
        <v/>
      </c>
      <c r="AF284" s="10" t="str">
        <f aca="false">IF(A284="","",A284&amp;"_CALC.xlsx")</f>
        <v/>
      </c>
      <c r="AG284" s="10" t="str">
        <f aca="false">IF(A284="","",A284&amp;"_CALC.pdf")</f>
        <v/>
      </c>
      <c r="AH284" s="9"/>
      <c r="AI284" s="9"/>
      <c r="AJ284" s="41"/>
      <c r="AK284" s="41"/>
      <c r="AL284" s="41"/>
      <c r="AM284" s="41"/>
      <c r="AN284" s="41"/>
      <c r="AO284" s="38" t="str">
        <f aca="false">IF(C284="","",IF(LEN(IF(AND(C284&lt;&gt;"High Covered Linkway",F284&lt;SG_Criteria!$B$46),"FAIL: headroom below "&amp;SG_Criteria!$B$46&amp;" m. ","")&amp;IF(AND(C284="High Covered Linkway",F284&lt;SG_Criteria!$B$47),"FAIL: high linkway headroom below "&amp;SG_Criteria!$B$47&amp;" m. ","")&amp;IF(E284&lt;SG_Criteria!$B$48,"FAIL: roof width below "&amp;SG_Criteria!$B$48&amp;" m. ",IF(E284&lt;SG_Criteria!$B$49,"NOTE: not for MRT/LRT or high-traffic routes (min "&amp;SG_Criteria!$B$49&amp;" m). ",""))&amp;IF(AND(P284&lt;&gt;"",P284&lt;SG_Criteria!$B$50),"FAIL: wind speed below "&amp;SG_Criteria!$B$50&amp;" m/s. ","")&amp;IF(AND(Q284&lt;&gt;"",Q284&lt;SG_Criteria!$B$51),"FAIL: roof fixing pull-out below "&amp;SG_Criteria!$B$51&amp;" kN. ","")&amp;IF(AND(R284&lt;&gt;"",IFERROR(VALUE(MID(R284,2,2)),0)&lt;SG_Criteria!$B$52),"FAIL: grade below C"&amp;SG_Criteria!$B$52&amp;". ","")&amp;IF(D284="Non-standard (project design)","NOTE: not an SDRE standard, needs LTA acceptance. ",""))=0,"OK",IF(AND(C284&lt;&gt;"High Covered Linkway",F284&lt;SG_Criteria!$B$46),"FAIL: headroom below "&amp;SG_Criteria!$B$46&amp;" m. ","")&amp;IF(AND(C284="High Covered Linkway",F284&lt;SG_Criteria!$B$47),"FAIL: high linkway headroom below "&amp;SG_Criteria!$B$47&amp;" m. ","")&amp;IF(E284&lt;SG_Criteria!$B$48,"FAIL: roof width below "&amp;SG_Criteria!$B$48&amp;" m. ",IF(E284&lt;SG_Criteria!$B$49,"NOTE: not for MRT/LRT or high-traffic routes (min "&amp;SG_Criteria!$B$49&amp;" m). ",""))&amp;IF(AND(P284&lt;&gt;"",P284&lt;SG_Criteria!$B$50),"FAIL: wind speed below "&amp;SG_Criteria!$B$50&amp;" m/s. ","")&amp;IF(AND(Q284&lt;&gt;"",Q284&lt;SG_Criteria!$B$51),"FAIL: roof fixing pull-out below "&amp;SG_Criteria!$B$51&amp;" kN. ","")&amp;IF(AND(R284&lt;&gt;"",IFERROR(VALUE(MID(R284,2,2)),0)&lt;SG_Criteria!$B$52),"FAIL: grade below C"&amp;SG_Criteria!$B$52&amp;". ","")&amp;IF(D284="Non-standard (project design)","NOTE: not an SDRE standard, needs LTA acceptance. ","")))</f>
        <v/>
      </c>
      <c r="AP284" s="9"/>
      <c r="AQ284" s="9"/>
      <c r="AR284" s="9"/>
      <c r="AS284" s="9"/>
      <c r="AT284" s="9"/>
      <c r="AU284" s="31"/>
      <c r="AV284" s="10" t="str">
        <f aca="false">IF(C284="","",IF(AND(X284="Approved",ISERROR(SEARCH("FAIL",AO284))),"Y","N"))</f>
        <v/>
      </c>
      <c r="AW284" s="10" t="str">
        <f aca="false">IF(C284="","",C284&amp;"|"&amp;E284&amp;"|"&amp;F284&amp;"|"&amp;AV284)</f>
        <v/>
      </c>
    </row>
    <row r="285" customFormat="false" ht="15" hidden="false" customHeight="false" outlineLevel="0" collapsed="false">
      <c r="A285" s="10" t="str">
        <f aca="false">IF(C285="","","LKW-"&amp;IFERROR(VLOOKUP(C285,Lists!$AQ$4:$AR$17,2,0),"??")&amp;"-W"&amp;TEXT(E285*1000,"0000")&amp;"-H"&amp;TEXT(F285*1000,"0000")&amp;"-B"&amp;TEXT(G285*1000,"0000")&amp;"-"&amp;W285)</f>
        <v/>
      </c>
      <c r="B285" s="10" t="str">
        <f aca="false">IF(C285="","",C285&amp;", "&amp;E285&amp;" m wide, "&amp;F285&amp;" m headroom, "&amp;G285&amp;" m bays, "&amp;H285&amp;" ("&amp;D285&amp;")")</f>
        <v/>
      </c>
      <c r="C285" s="9"/>
      <c r="D285" s="9"/>
      <c r="E285" s="43"/>
      <c r="F285" s="43"/>
      <c r="G285" s="43"/>
      <c r="H285" s="9"/>
      <c r="I285" s="9"/>
      <c r="J285" s="9"/>
      <c r="K285" s="9"/>
      <c r="L285" s="9"/>
      <c r="M285" s="9"/>
      <c r="N285" s="9"/>
      <c r="O285" s="9"/>
      <c r="P285" s="40"/>
      <c r="Q285" s="43"/>
      <c r="R285" s="9"/>
      <c r="S285" s="9"/>
      <c r="T285" s="9"/>
      <c r="U285" s="43"/>
      <c r="V285" s="9"/>
      <c r="W285" s="9"/>
      <c r="X285" s="9"/>
      <c r="Y285" s="9"/>
      <c r="Z285" s="9"/>
      <c r="AA285" s="9"/>
      <c r="AB285" s="10" t="str">
        <f aca="false">IF(A285="","",SG_Criteria!$B$6&amp;SG_Criteria!$B$12&amp;"\"&amp;A285&amp;"\")</f>
        <v/>
      </c>
      <c r="AC285" s="10" t="str">
        <f aca="false">IF(A285="","",A285&amp;"_CAD.dwg")</f>
        <v/>
      </c>
      <c r="AD285" s="10" t="str">
        <f aca="false">IF(A285="","",A285&amp;"_DWG.pdf")</f>
        <v/>
      </c>
      <c r="AE285" s="10" t="str">
        <f aca="false">IF(A285="","",IF(AA285="Y",A285&amp;"_STAAD.std","n/a"))</f>
        <v/>
      </c>
      <c r="AF285" s="10" t="str">
        <f aca="false">IF(A285="","",A285&amp;"_CALC.xlsx")</f>
        <v/>
      </c>
      <c r="AG285" s="10" t="str">
        <f aca="false">IF(A285="","",A285&amp;"_CALC.pdf")</f>
        <v/>
      </c>
      <c r="AH285" s="9"/>
      <c r="AI285" s="9"/>
      <c r="AJ285" s="41"/>
      <c r="AK285" s="41"/>
      <c r="AL285" s="41"/>
      <c r="AM285" s="41"/>
      <c r="AN285" s="41"/>
      <c r="AO285" s="38" t="str">
        <f aca="false">IF(C285="","",IF(LEN(IF(AND(C285&lt;&gt;"High Covered Linkway",F285&lt;SG_Criteria!$B$46),"FAIL: headroom below "&amp;SG_Criteria!$B$46&amp;" m. ","")&amp;IF(AND(C285="High Covered Linkway",F285&lt;SG_Criteria!$B$47),"FAIL: high linkway headroom below "&amp;SG_Criteria!$B$47&amp;" m. ","")&amp;IF(E285&lt;SG_Criteria!$B$48,"FAIL: roof width below "&amp;SG_Criteria!$B$48&amp;" m. ",IF(E285&lt;SG_Criteria!$B$49,"NOTE: not for MRT/LRT or high-traffic routes (min "&amp;SG_Criteria!$B$49&amp;" m). ",""))&amp;IF(AND(P285&lt;&gt;"",P285&lt;SG_Criteria!$B$50),"FAIL: wind speed below "&amp;SG_Criteria!$B$50&amp;" m/s. ","")&amp;IF(AND(Q285&lt;&gt;"",Q285&lt;SG_Criteria!$B$51),"FAIL: roof fixing pull-out below "&amp;SG_Criteria!$B$51&amp;" kN. ","")&amp;IF(AND(R285&lt;&gt;"",IFERROR(VALUE(MID(R285,2,2)),0)&lt;SG_Criteria!$B$52),"FAIL: grade below C"&amp;SG_Criteria!$B$52&amp;". ","")&amp;IF(D285="Non-standard (project design)","NOTE: not an SDRE standard, needs LTA acceptance. ",""))=0,"OK",IF(AND(C285&lt;&gt;"High Covered Linkway",F285&lt;SG_Criteria!$B$46),"FAIL: headroom below "&amp;SG_Criteria!$B$46&amp;" m. ","")&amp;IF(AND(C285="High Covered Linkway",F285&lt;SG_Criteria!$B$47),"FAIL: high linkway headroom below "&amp;SG_Criteria!$B$47&amp;" m. ","")&amp;IF(E285&lt;SG_Criteria!$B$48,"FAIL: roof width below "&amp;SG_Criteria!$B$48&amp;" m. ",IF(E285&lt;SG_Criteria!$B$49,"NOTE: not for MRT/LRT or high-traffic routes (min "&amp;SG_Criteria!$B$49&amp;" m). ",""))&amp;IF(AND(P285&lt;&gt;"",P285&lt;SG_Criteria!$B$50),"FAIL: wind speed below "&amp;SG_Criteria!$B$50&amp;" m/s. ","")&amp;IF(AND(Q285&lt;&gt;"",Q285&lt;SG_Criteria!$B$51),"FAIL: roof fixing pull-out below "&amp;SG_Criteria!$B$51&amp;" kN. ","")&amp;IF(AND(R285&lt;&gt;"",IFERROR(VALUE(MID(R285,2,2)),0)&lt;SG_Criteria!$B$52),"FAIL: grade below C"&amp;SG_Criteria!$B$52&amp;". ","")&amp;IF(D285="Non-standard (project design)","NOTE: not an SDRE standard, needs LTA acceptance. ","")))</f>
        <v/>
      </c>
      <c r="AP285" s="9"/>
      <c r="AQ285" s="9"/>
      <c r="AR285" s="9"/>
      <c r="AS285" s="9"/>
      <c r="AT285" s="9"/>
      <c r="AU285" s="31"/>
      <c r="AV285" s="10" t="str">
        <f aca="false">IF(C285="","",IF(AND(X285="Approved",ISERROR(SEARCH("FAIL",AO285))),"Y","N"))</f>
        <v/>
      </c>
      <c r="AW285" s="10" t="str">
        <f aca="false">IF(C285="","",C285&amp;"|"&amp;E285&amp;"|"&amp;F285&amp;"|"&amp;AV285)</f>
        <v/>
      </c>
    </row>
    <row r="286" customFormat="false" ht="15" hidden="false" customHeight="false" outlineLevel="0" collapsed="false">
      <c r="A286" s="10" t="str">
        <f aca="false">IF(C286="","","LKW-"&amp;IFERROR(VLOOKUP(C286,Lists!$AQ$4:$AR$17,2,0),"??")&amp;"-W"&amp;TEXT(E286*1000,"0000")&amp;"-H"&amp;TEXT(F286*1000,"0000")&amp;"-B"&amp;TEXT(G286*1000,"0000")&amp;"-"&amp;W286)</f>
        <v/>
      </c>
      <c r="B286" s="10" t="str">
        <f aca="false">IF(C286="","",C286&amp;", "&amp;E286&amp;" m wide, "&amp;F286&amp;" m headroom, "&amp;G286&amp;" m bays, "&amp;H286&amp;" ("&amp;D286&amp;")")</f>
        <v/>
      </c>
      <c r="C286" s="9"/>
      <c r="D286" s="9"/>
      <c r="E286" s="43"/>
      <c r="F286" s="43"/>
      <c r="G286" s="43"/>
      <c r="H286" s="9"/>
      <c r="I286" s="9"/>
      <c r="J286" s="9"/>
      <c r="K286" s="9"/>
      <c r="L286" s="9"/>
      <c r="M286" s="9"/>
      <c r="N286" s="9"/>
      <c r="O286" s="9"/>
      <c r="P286" s="40"/>
      <c r="Q286" s="43"/>
      <c r="R286" s="9"/>
      <c r="S286" s="9"/>
      <c r="T286" s="9"/>
      <c r="U286" s="43"/>
      <c r="V286" s="9"/>
      <c r="W286" s="9"/>
      <c r="X286" s="9"/>
      <c r="Y286" s="9"/>
      <c r="Z286" s="9"/>
      <c r="AA286" s="9"/>
      <c r="AB286" s="10" t="str">
        <f aca="false">IF(A286="","",SG_Criteria!$B$6&amp;SG_Criteria!$B$12&amp;"\"&amp;A286&amp;"\")</f>
        <v/>
      </c>
      <c r="AC286" s="10" t="str">
        <f aca="false">IF(A286="","",A286&amp;"_CAD.dwg")</f>
        <v/>
      </c>
      <c r="AD286" s="10" t="str">
        <f aca="false">IF(A286="","",A286&amp;"_DWG.pdf")</f>
        <v/>
      </c>
      <c r="AE286" s="10" t="str">
        <f aca="false">IF(A286="","",IF(AA286="Y",A286&amp;"_STAAD.std","n/a"))</f>
        <v/>
      </c>
      <c r="AF286" s="10" t="str">
        <f aca="false">IF(A286="","",A286&amp;"_CALC.xlsx")</f>
        <v/>
      </c>
      <c r="AG286" s="10" t="str">
        <f aca="false">IF(A286="","",A286&amp;"_CALC.pdf")</f>
        <v/>
      </c>
      <c r="AH286" s="9"/>
      <c r="AI286" s="9"/>
      <c r="AJ286" s="41"/>
      <c r="AK286" s="41"/>
      <c r="AL286" s="41"/>
      <c r="AM286" s="41"/>
      <c r="AN286" s="41"/>
      <c r="AO286" s="38" t="str">
        <f aca="false">IF(C286="","",IF(LEN(IF(AND(C286&lt;&gt;"High Covered Linkway",F286&lt;SG_Criteria!$B$46),"FAIL: headroom below "&amp;SG_Criteria!$B$46&amp;" m. ","")&amp;IF(AND(C286="High Covered Linkway",F286&lt;SG_Criteria!$B$47),"FAIL: high linkway headroom below "&amp;SG_Criteria!$B$47&amp;" m. ","")&amp;IF(E286&lt;SG_Criteria!$B$48,"FAIL: roof width below "&amp;SG_Criteria!$B$48&amp;" m. ",IF(E286&lt;SG_Criteria!$B$49,"NOTE: not for MRT/LRT or high-traffic routes (min "&amp;SG_Criteria!$B$49&amp;" m). ",""))&amp;IF(AND(P286&lt;&gt;"",P286&lt;SG_Criteria!$B$50),"FAIL: wind speed below "&amp;SG_Criteria!$B$50&amp;" m/s. ","")&amp;IF(AND(Q286&lt;&gt;"",Q286&lt;SG_Criteria!$B$51),"FAIL: roof fixing pull-out below "&amp;SG_Criteria!$B$51&amp;" kN. ","")&amp;IF(AND(R286&lt;&gt;"",IFERROR(VALUE(MID(R286,2,2)),0)&lt;SG_Criteria!$B$52),"FAIL: grade below C"&amp;SG_Criteria!$B$52&amp;". ","")&amp;IF(D286="Non-standard (project design)","NOTE: not an SDRE standard, needs LTA acceptance. ",""))=0,"OK",IF(AND(C286&lt;&gt;"High Covered Linkway",F286&lt;SG_Criteria!$B$46),"FAIL: headroom below "&amp;SG_Criteria!$B$46&amp;" m. ","")&amp;IF(AND(C286="High Covered Linkway",F286&lt;SG_Criteria!$B$47),"FAIL: high linkway headroom below "&amp;SG_Criteria!$B$47&amp;" m. ","")&amp;IF(E286&lt;SG_Criteria!$B$48,"FAIL: roof width below "&amp;SG_Criteria!$B$48&amp;" m. ",IF(E286&lt;SG_Criteria!$B$49,"NOTE: not for MRT/LRT or high-traffic routes (min "&amp;SG_Criteria!$B$49&amp;" m). ",""))&amp;IF(AND(P286&lt;&gt;"",P286&lt;SG_Criteria!$B$50),"FAIL: wind speed below "&amp;SG_Criteria!$B$50&amp;" m/s. ","")&amp;IF(AND(Q286&lt;&gt;"",Q286&lt;SG_Criteria!$B$51),"FAIL: roof fixing pull-out below "&amp;SG_Criteria!$B$51&amp;" kN. ","")&amp;IF(AND(R286&lt;&gt;"",IFERROR(VALUE(MID(R286,2,2)),0)&lt;SG_Criteria!$B$52),"FAIL: grade below C"&amp;SG_Criteria!$B$52&amp;". ","")&amp;IF(D286="Non-standard (project design)","NOTE: not an SDRE standard, needs LTA acceptance. ","")))</f>
        <v/>
      </c>
      <c r="AP286" s="9"/>
      <c r="AQ286" s="9"/>
      <c r="AR286" s="9"/>
      <c r="AS286" s="9"/>
      <c r="AT286" s="9"/>
      <c r="AU286" s="31"/>
      <c r="AV286" s="10" t="str">
        <f aca="false">IF(C286="","",IF(AND(X286="Approved",ISERROR(SEARCH("FAIL",AO286))),"Y","N"))</f>
        <v/>
      </c>
      <c r="AW286" s="10" t="str">
        <f aca="false">IF(C286="","",C286&amp;"|"&amp;E286&amp;"|"&amp;F286&amp;"|"&amp;AV286)</f>
        <v/>
      </c>
    </row>
    <row r="287" customFormat="false" ht="15" hidden="false" customHeight="false" outlineLevel="0" collapsed="false">
      <c r="A287" s="10" t="str">
        <f aca="false">IF(C287="","","LKW-"&amp;IFERROR(VLOOKUP(C287,Lists!$AQ$4:$AR$17,2,0),"??")&amp;"-W"&amp;TEXT(E287*1000,"0000")&amp;"-H"&amp;TEXT(F287*1000,"0000")&amp;"-B"&amp;TEXT(G287*1000,"0000")&amp;"-"&amp;W287)</f>
        <v/>
      </c>
      <c r="B287" s="10" t="str">
        <f aca="false">IF(C287="","",C287&amp;", "&amp;E287&amp;" m wide, "&amp;F287&amp;" m headroom, "&amp;G287&amp;" m bays, "&amp;H287&amp;" ("&amp;D287&amp;")")</f>
        <v/>
      </c>
      <c r="C287" s="9"/>
      <c r="D287" s="9"/>
      <c r="E287" s="43"/>
      <c r="F287" s="43"/>
      <c r="G287" s="43"/>
      <c r="H287" s="9"/>
      <c r="I287" s="9"/>
      <c r="J287" s="9"/>
      <c r="K287" s="9"/>
      <c r="L287" s="9"/>
      <c r="M287" s="9"/>
      <c r="N287" s="9"/>
      <c r="O287" s="9"/>
      <c r="P287" s="40"/>
      <c r="Q287" s="43"/>
      <c r="R287" s="9"/>
      <c r="S287" s="9"/>
      <c r="T287" s="9"/>
      <c r="U287" s="43"/>
      <c r="V287" s="9"/>
      <c r="W287" s="9"/>
      <c r="X287" s="9"/>
      <c r="Y287" s="9"/>
      <c r="Z287" s="9"/>
      <c r="AA287" s="9"/>
      <c r="AB287" s="10" t="str">
        <f aca="false">IF(A287="","",SG_Criteria!$B$6&amp;SG_Criteria!$B$12&amp;"\"&amp;A287&amp;"\")</f>
        <v/>
      </c>
      <c r="AC287" s="10" t="str">
        <f aca="false">IF(A287="","",A287&amp;"_CAD.dwg")</f>
        <v/>
      </c>
      <c r="AD287" s="10" t="str">
        <f aca="false">IF(A287="","",A287&amp;"_DWG.pdf")</f>
        <v/>
      </c>
      <c r="AE287" s="10" t="str">
        <f aca="false">IF(A287="","",IF(AA287="Y",A287&amp;"_STAAD.std","n/a"))</f>
        <v/>
      </c>
      <c r="AF287" s="10" t="str">
        <f aca="false">IF(A287="","",A287&amp;"_CALC.xlsx")</f>
        <v/>
      </c>
      <c r="AG287" s="10" t="str">
        <f aca="false">IF(A287="","",A287&amp;"_CALC.pdf")</f>
        <v/>
      </c>
      <c r="AH287" s="9"/>
      <c r="AI287" s="9"/>
      <c r="AJ287" s="41"/>
      <c r="AK287" s="41"/>
      <c r="AL287" s="41"/>
      <c r="AM287" s="41"/>
      <c r="AN287" s="41"/>
      <c r="AO287" s="38" t="str">
        <f aca="false">IF(C287="","",IF(LEN(IF(AND(C287&lt;&gt;"High Covered Linkway",F287&lt;SG_Criteria!$B$46),"FAIL: headroom below "&amp;SG_Criteria!$B$46&amp;" m. ","")&amp;IF(AND(C287="High Covered Linkway",F287&lt;SG_Criteria!$B$47),"FAIL: high linkway headroom below "&amp;SG_Criteria!$B$47&amp;" m. ","")&amp;IF(E287&lt;SG_Criteria!$B$48,"FAIL: roof width below "&amp;SG_Criteria!$B$48&amp;" m. ",IF(E287&lt;SG_Criteria!$B$49,"NOTE: not for MRT/LRT or high-traffic routes (min "&amp;SG_Criteria!$B$49&amp;" m). ",""))&amp;IF(AND(P287&lt;&gt;"",P287&lt;SG_Criteria!$B$50),"FAIL: wind speed below "&amp;SG_Criteria!$B$50&amp;" m/s. ","")&amp;IF(AND(Q287&lt;&gt;"",Q287&lt;SG_Criteria!$B$51),"FAIL: roof fixing pull-out below "&amp;SG_Criteria!$B$51&amp;" kN. ","")&amp;IF(AND(R287&lt;&gt;"",IFERROR(VALUE(MID(R287,2,2)),0)&lt;SG_Criteria!$B$52),"FAIL: grade below C"&amp;SG_Criteria!$B$52&amp;". ","")&amp;IF(D287="Non-standard (project design)","NOTE: not an SDRE standard, needs LTA acceptance. ",""))=0,"OK",IF(AND(C287&lt;&gt;"High Covered Linkway",F287&lt;SG_Criteria!$B$46),"FAIL: headroom below "&amp;SG_Criteria!$B$46&amp;" m. ","")&amp;IF(AND(C287="High Covered Linkway",F287&lt;SG_Criteria!$B$47),"FAIL: high linkway headroom below "&amp;SG_Criteria!$B$47&amp;" m. ","")&amp;IF(E287&lt;SG_Criteria!$B$48,"FAIL: roof width below "&amp;SG_Criteria!$B$48&amp;" m. ",IF(E287&lt;SG_Criteria!$B$49,"NOTE: not for MRT/LRT or high-traffic routes (min "&amp;SG_Criteria!$B$49&amp;" m). ",""))&amp;IF(AND(P287&lt;&gt;"",P287&lt;SG_Criteria!$B$50),"FAIL: wind speed below "&amp;SG_Criteria!$B$50&amp;" m/s. ","")&amp;IF(AND(Q287&lt;&gt;"",Q287&lt;SG_Criteria!$B$51),"FAIL: roof fixing pull-out below "&amp;SG_Criteria!$B$51&amp;" kN. ","")&amp;IF(AND(R287&lt;&gt;"",IFERROR(VALUE(MID(R287,2,2)),0)&lt;SG_Criteria!$B$52),"FAIL: grade below C"&amp;SG_Criteria!$B$52&amp;". ","")&amp;IF(D287="Non-standard (project design)","NOTE: not an SDRE standard, needs LTA acceptance. ","")))</f>
        <v/>
      </c>
      <c r="AP287" s="9"/>
      <c r="AQ287" s="9"/>
      <c r="AR287" s="9"/>
      <c r="AS287" s="9"/>
      <c r="AT287" s="9"/>
      <c r="AU287" s="31"/>
      <c r="AV287" s="10" t="str">
        <f aca="false">IF(C287="","",IF(AND(X287="Approved",ISERROR(SEARCH("FAIL",AO287))),"Y","N"))</f>
        <v/>
      </c>
      <c r="AW287" s="10" t="str">
        <f aca="false">IF(C287="","",C287&amp;"|"&amp;E287&amp;"|"&amp;F287&amp;"|"&amp;AV287)</f>
        <v/>
      </c>
    </row>
    <row r="288" customFormat="false" ht="15" hidden="false" customHeight="false" outlineLevel="0" collapsed="false">
      <c r="A288" s="10" t="str">
        <f aca="false">IF(C288="","","LKW-"&amp;IFERROR(VLOOKUP(C288,Lists!$AQ$4:$AR$17,2,0),"??")&amp;"-W"&amp;TEXT(E288*1000,"0000")&amp;"-H"&amp;TEXT(F288*1000,"0000")&amp;"-B"&amp;TEXT(G288*1000,"0000")&amp;"-"&amp;W288)</f>
        <v/>
      </c>
      <c r="B288" s="10" t="str">
        <f aca="false">IF(C288="","",C288&amp;", "&amp;E288&amp;" m wide, "&amp;F288&amp;" m headroom, "&amp;G288&amp;" m bays, "&amp;H288&amp;" ("&amp;D288&amp;")")</f>
        <v/>
      </c>
      <c r="C288" s="9"/>
      <c r="D288" s="9"/>
      <c r="E288" s="43"/>
      <c r="F288" s="43"/>
      <c r="G288" s="43"/>
      <c r="H288" s="9"/>
      <c r="I288" s="9"/>
      <c r="J288" s="9"/>
      <c r="K288" s="9"/>
      <c r="L288" s="9"/>
      <c r="M288" s="9"/>
      <c r="N288" s="9"/>
      <c r="O288" s="9"/>
      <c r="P288" s="40"/>
      <c r="Q288" s="43"/>
      <c r="R288" s="9"/>
      <c r="S288" s="9"/>
      <c r="T288" s="9"/>
      <c r="U288" s="43"/>
      <c r="V288" s="9"/>
      <c r="W288" s="9"/>
      <c r="X288" s="9"/>
      <c r="Y288" s="9"/>
      <c r="Z288" s="9"/>
      <c r="AA288" s="9"/>
      <c r="AB288" s="10" t="str">
        <f aca="false">IF(A288="","",SG_Criteria!$B$6&amp;SG_Criteria!$B$12&amp;"\"&amp;A288&amp;"\")</f>
        <v/>
      </c>
      <c r="AC288" s="10" t="str">
        <f aca="false">IF(A288="","",A288&amp;"_CAD.dwg")</f>
        <v/>
      </c>
      <c r="AD288" s="10" t="str">
        <f aca="false">IF(A288="","",A288&amp;"_DWG.pdf")</f>
        <v/>
      </c>
      <c r="AE288" s="10" t="str">
        <f aca="false">IF(A288="","",IF(AA288="Y",A288&amp;"_STAAD.std","n/a"))</f>
        <v/>
      </c>
      <c r="AF288" s="10" t="str">
        <f aca="false">IF(A288="","",A288&amp;"_CALC.xlsx")</f>
        <v/>
      </c>
      <c r="AG288" s="10" t="str">
        <f aca="false">IF(A288="","",A288&amp;"_CALC.pdf")</f>
        <v/>
      </c>
      <c r="AH288" s="9"/>
      <c r="AI288" s="9"/>
      <c r="AJ288" s="41"/>
      <c r="AK288" s="41"/>
      <c r="AL288" s="41"/>
      <c r="AM288" s="41"/>
      <c r="AN288" s="41"/>
      <c r="AO288" s="38" t="str">
        <f aca="false">IF(C288="","",IF(LEN(IF(AND(C288&lt;&gt;"High Covered Linkway",F288&lt;SG_Criteria!$B$46),"FAIL: headroom below "&amp;SG_Criteria!$B$46&amp;" m. ","")&amp;IF(AND(C288="High Covered Linkway",F288&lt;SG_Criteria!$B$47),"FAIL: high linkway headroom below "&amp;SG_Criteria!$B$47&amp;" m. ","")&amp;IF(E288&lt;SG_Criteria!$B$48,"FAIL: roof width below "&amp;SG_Criteria!$B$48&amp;" m. ",IF(E288&lt;SG_Criteria!$B$49,"NOTE: not for MRT/LRT or high-traffic routes (min "&amp;SG_Criteria!$B$49&amp;" m). ",""))&amp;IF(AND(P288&lt;&gt;"",P288&lt;SG_Criteria!$B$50),"FAIL: wind speed below "&amp;SG_Criteria!$B$50&amp;" m/s. ","")&amp;IF(AND(Q288&lt;&gt;"",Q288&lt;SG_Criteria!$B$51),"FAIL: roof fixing pull-out below "&amp;SG_Criteria!$B$51&amp;" kN. ","")&amp;IF(AND(R288&lt;&gt;"",IFERROR(VALUE(MID(R288,2,2)),0)&lt;SG_Criteria!$B$52),"FAIL: grade below C"&amp;SG_Criteria!$B$52&amp;". ","")&amp;IF(D288="Non-standard (project design)","NOTE: not an SDRE standard, needs LTA acceptance. ",""))=0,"OK",IF(AND(C288&lt;&gt;"High Covered Linkway",F288&lt;SG_Criteria!$B$46),"FAIL: headroom below "&amp;SG_Criteria!$B$46&amp;" m. ","")&amp;IF(AND(C288="High Covered Linkway",F288&lt;SG_Criteria!$B$47),"FAIL: high linkway headroom below "&amp;SG_Criteria!$B$47&amp;" m. ","")&amp;IF(E288&lt;SG_Criteria!$B$48,"FAIL: roof width below "&amp;SG_Criteria!$B$48&amp;" m. ",IF(E288&lt;SG_Criteria!$B$49,"NOTE: not for MRT/LRT or high-traffic routes (min "&amp;SG_Criteria!$B$49&amp;" m). ",""))&amp;IF(AND(P288&lt;&gt;"",P288&lt;SG_Criteria!$B$50),"FAIL: wind speed below "&amp;SG_Criteria!$B$50&amp;" m/s. ","")&amp;IF(AND(Q288&lt;&gt;"",Q288&lt;SG_Criteria!$B$51),"FAIL: roof fixing pull-out below "&amp;SG_Criteria!$B$51&amp;" kN. ","")&amp;IF(AND(R288&lt;&gt;"",IFERROR(VALUE(MID(R288,2,2)),0)&lt;SG_Criteria!$B$52),"FAIL: grade below C"&amp;SG_Criteria!$B$52&amp;". ","")&amp;IF(D288="Non-standard (project design)","NOTE: not an SDRE standard, needs LTA acceptance. ","")))</f>
        <v/>
      </c>
      <c r="AP288" s="9"/>
      <c r="AQ288" s="9"/>
      <c r="AR288" s="9"/>
      <c r="AS288" s="9"/>
      <c r="AT288" s="9"/>
      <c r="AU288" s="31"/>
      <c r="AV288" s="10" t="str">
        <f aca="false">IF(C288="","",IF(AND(X288="Approved",ISERROR(SEARCH("FAIL",AO288))),"Y","N"))</f>
        <v/>
      </c>
      <c r="AW288" s="10" t="str">
        <f aca="false">IF(C288="","",C288&amp;"|"&amp;E288&amp;"|"&amp;F288&amp;"|"&amp;AV288)</f>
        <v/>
      </c>
    </row>
    <row r="289" customFormat="false" ht="15" hidden="false" customHeight="false" outlineLevel="0" collapsed="false">
      <c r="A289" s="10" t="str">
        <f aca="false">IF(C289="","","LKW-"&amp;IFERROR(VLOOKUP(C289,Lists!$AQ$4:$AR$17,2,0),"??")&amp;"-W"&amp;TEXT(E289*1000,"0000")&amp;"-H"&amp;TEXT(F289*1000,"0000")&amp;"-B"&amp;TEXT(G289*1000,"0000")&amp;"-"&amp;W289)</f>
        <v/>
      </c>
      <c r="B289" s="10" t="str">
        <f aca="false">IF(C289="","",C289&amp;", "&amp;E289&amp;" m wide, "&amp;F289&amp;" m headroom, "&amp;G289&amp;" m bays, "&amp;H289&amp;" ("&amp;D289&amp;")")</f>
        <v/>
      </c>
      <c r="C289" s="9"/>
      <c r="D289" s="9"/>
      <c r="E289" s="43"/>
      <c r="F289" s="43"/>
      <c r="G289" s="43"/>
      <c r="H289" s="9"/>
      <c r="I289" s="9"/>
      <c r="J289" s="9"/>
      <c r="K289" s="9"/>
      <c r="L289" s="9"/>
      <c r="M289" s="9"/>
      <c r="N289" s="9"/>
      <c r="O289" s="9"/>
      <c r="P289" s="40"/>
      <c r="Q289" s="43"/>
      <c r="R289" s="9"/>
      <c r="S289" s="9"/>
      <c r="T289" s="9"/>
      <c r="U289" s="43"/>
      <c r="V289" s="9"/>
      <c r="W289" s="9"/>
      <c r="X289" s="9"/>
      <c r="Y289" s="9"/>
      <c r="Z289" s="9"/>
      <c r="AA289" s="9"/>
      <c r="AB289" s="10" t="str">
        <f aca="false">IF(A289="","",SG_Criteria!$B$6&amp;SG_Criteria!$B$12&amp;"\"&amp;A289&amp;"\")</f>
        <v/>
      </c>
      <c r="AC289" s="10" t="str">
        <f aca="false">IF(A289="","",A289&amp;"_CAD.dwg")</f>
        <v/>
      </c>
      <c r="AD289" s="10" t="str">
        <f aca="false">IF(A289="","",A289&amp;"_DWG.pdf")</f>
        <v/>
      </c>
      <c r="AE289" s="10" t="str">
        <f aca="false">IF(A289="","",IF(AA289="Y",A289&amp;"_STAAD.std","n/a"))</f>
        <v/>
      </c>
      <c r="AF289" s="10" t="str">
        <f aca="false">IF(A289="","",A289&amp;"_CALC.xlsx")</f>
        <v/>
      </c>
      <c r="AG289" s="10" t="str">
        <f aca="false">IF(A289="","",A289&amp;"_CALC.pdf")</f>
        <v/>
      </c>
      <c r="AH289" s="9"/>
      <c r="AI289" s="9"/>
      <c r="AJ289" s="41"/>
      <c r="AK289" s="41"/>
      <c r="AL289" s="41"/>
      <c r="AM289" s="41"/>
      <c r="AN289" s="41"/>
      <c r="AO289" s="38" t="str">
        <f aca="false">IF(C289="","",IF(LEN(IF(AND(C289&lt;&gt;"High Covered Linkway",F289&lt;SG_Criteria!$B$46),"FAIL: headroom below "&amp;SG_Criteria!$B$46&amp;" m. ","")&amp;IF(AND(C289="High Covered Linkway",F289&lt;SG_Criteria!$B$47),"FAIL: high linkway headroom below "&amp;SG_Criteria!$B$47&amp;" m. ","")&amp;IF(E289&lt;SG_Criteria!$B$48,"FAIL: roof width below "&amp;SG_Criteria!$B$48&amp;" m. ",IF(E289&lt;SG_Criteria!$B$49,"NOTE: not for MRT/LRT or high-traffic routes (min "&amp;SG_Criteria!$B$49&amp;" m). ",""))&amp;IF(AND(P289&lt;&gt;"",P289&lt;SG_Criteria!$B$50),"FAIL: wind speed below "&amp;SG_Criteria!$B$50&amp;" m/s. ","")&amp;IF(AND(Q289&lt;&gt;"",Q289&lt;SG_Criteria!$B$51),"FAIL: roof fixing pull-out below "&amp;SG_Criteria!$B$51&amp;" kN. ","")&amp;IF(AND(R289&lt;&gt;"",IFERROR(VALUE(MID(R289,2,2)),0)&lt;SG_Criteria!$B$52),"FAIL: grade below C"&amp;SG_Criteria!$B$52&amp;". ","")&amp;IF(D289="Non-standard (project design)","NOTE: not an SDRE standard, needs LTA acceptance. ",""))=0,"OK",IF(AND(C289&lt;&gt;"High Covered Linkway",F289&lt;SG_Criteria!$B$46),"FAIL: headroom below "&amp;SG_Criteria!$B$46&amp;" m. ","")&amp;IF(AND(C289="High Covered Linkway",F289&lt;SG_Criteria!$B$47),"FAIL: high linkway headroom below "&amp;SG_Criteria!$B$47&amp;" m. ","")&amp;IF(E289&lt;SG_Criteria!$B$48,"FAIL: roof width below "&amp;SG_Criteria!$B$48&amp;" m. ",IF(E289&lt;SG_Criteria!$B$49,"NOTE: not for MRT/LRT or high-traffic routes (min "&amp;SG_Criteria!$B$49&amp;" m). ",""))&amp;IF(AND(P289&lt;&gt;"",P289&lt;SG_Criteria!$B$50),"FAIL: wind speed below "&amp;SG_Criteria!$B$50&amp;" m/s. ","")&amp;IF(AND(Q289&lt;&gt;"",Q289&lt;SG_Criteria!$B$51),"FAIL: roof fixing pull-out below "&amp;SG_Criteria!$B$51&amp;" kN. ","")&amp;IF(AND(R289&lt;&gt;"",IFERROR(VALUE(MID(R289,2,2)),0)&lt;SG_Criteria!$B$52),"FAIL: grade below C"&amp;SG_Criteria!$B$52&amp;". ","")&amp;IF(D289="Non-standard (project design)","NOTE: not an SDRE standard, needs LTA acceptance. ","")))</f>
        <v/>
      </c>
      <c r="AP289" s="9"/>
      <c r="AQ289" s="9"/>
      <c r="AR289" s="9"/>
      <c r="AS289" s="9"/>
      <c r="AT289" s="9"/>
      <c r="AU289" s="31"/>
      <c r="AV289" s="10" t="str">
        <f aca="false">IF(C289="","",IF(AND(X289="Approved",ISERROR(SEARCH("FAIL",AO289))),"Y","N"))</f>
        <v/>
      </c>
      <c r="AW289" s="10" t="str">
        <f aca="false">IF(C289="","",C289&amp;"|"&amp;E289&amp;"|"&amp;F289&amp;"|"&amp;AV289)</f>
        <v/>
      </c>
    </row>
    <row r="290" customFormat="false" ht="15" hidden="false" customHeight="false" outlineLevel="0" collapsed="false">
      <c r="A290" s="10" t="str">
        <f aca="false">IF(C290="","","LKW-"&amp;IFERROR(VLOOKUP(C290,Lists!$AQ$4:$AR$17,2,0),"??")&amp;"-W"&amp;TEXT(E290*1000,"0000")&amp;"-H"&amp;TEXT(F290*1000,"0000")&amp;"-B"&amp;TEXT(G290*1000,"0000")&amp;"-"&amp;W290)</f>
        <v/>
      </c>
      <c r="B290" s="10" t="str">
        <f aca="false">IF(C290="","",C290&amp;", "&amp;E290&amp;" m wide, "&amp;F290&amp;" m headroom, "&amp;G290&amp;" m bays, "&amp;H290&amp;" ("&amp;D290&amp;")")</f>
        <v/>
      </c>
      <c r="C290" s="9"/>
      <c r="D290" s="9"/>
      <c r="E290" s="43"/>
      <c r="F290" s="43"/>
      <c r="G290" s="43"/>
      <c r="H290" s="9"/>
      <c r="I290" s="9"/>
      <c r="J290" s="9"/>
      <c r="K290" s="9"/>
      <c r="L290" s="9"/>
      <c r="M290" s="9"/>
      <c r="N290" s="9"/>
      <c r="O290" s="9"/>
      <c r="P290" s="40"/>
      <c r="Q290" s="43"/>
      <c r="R290" s="9"/>
      <c r="S290" s="9"/>
      <c r="T290" s="9"/>
      <c r="U290" s="43"/>
      <c r="V290" s="9"/>
      <c r="W290" s="9"/>
      <c r="X290" s="9"/>
      <c r="Y290" s="9"/>
      <c r="Z290" s="9"/>
      <c r="AA290" s="9"/>
      <c r="AB290" s="10" t="str">
        <f aca="false">IF(A290="","",SG_Criteria!$B$6&amp;SG_Criteria!$B$12&amp;"\"&amp;A290&amp;"\")</f>
        <v/>
      </c>
      <c r="AC290" s="10" t="str">
        <f aca="false">IF(A290="","",A290&amp;"_CAD.dwg")</f>
        <v/>
      </c>
      <c r="AD290" s="10" t="str">
        <f aca="false">IF(A290="","",A290&amp;"_DWG.pdf")</f>
        <v/>
      </c>
      <c r="AE290" s="10" t="str">
        <f aca="false">IF(A290="","",IF(AA290="Y",A290&amp;"_STAAD.std","n/a"))</f>
        <v/>
      </c>
      <c r="AF290" s="10" t="str">
        <f aca="false">IF(A290="","",A290&amp;"_CALC.xlsx")</f>
        <v/>
      </c>
      <c r="AG290" s="10" t="str">
        <f aca="false">IF(A290="","",A290&amp;"_CALC.pdf")</f>
        <v/>
      </c>
      <c r="AH290" s="9"/>
      <c r="AI290" s="9"/>
      <c r="AJ290" s="41"/>
      <c r="AK290" s="41"/>
      <c r="AL290" s="41"/>
      <c r="AM290" s="41"/>
      <c r="AN290" s="41"/>
      <c r="AO290" s="38" t="str">
        <f aca="false">IF(C290="","",IF(LEN(IF(AND(C290&lt;&gt;"High Covered Linkway",F290&lt;SG_Criteria!$B$46),"FAIL: headroom below "&amp;SG_Criteria!$B$46&amp;" m. ","")&amp;IF(AND(C290="High Covered Linkway",F290&lt;SG_Criteria!$B$47),"FAIL: high linkway headroom below "&amp;SG_Criteria!$B$47&amp;" m. ","")&amp;IF(E290&lt;SG_Criteria!$B$48,"FAIL: roof width below "&amp;SG_Criteria!$B$48&amp;" m. ",IF(E290&lt;SG_Criteria!$B$49,"NOTE: not for MRT/LRT or high-traffic routes (min "&amp;SG_Criteria!$B$49&amp;" m). ",""))&amp;IF(AND(P290&lt;&gt;"",P290&lt;SG_Criteria!$B$50),"FAIL: wind speed below "&amp;SG_Criteria!$B$50&amp;" m/s. ","")&amp;IF(AND(Q290&lt;&gt;"",Q290&lt;SG_Criteria!$B$51),"FAIL: roof fixing pull-out below "&amp;SG_Criteria!$B$51&amp;" kN. ","")&amp;IF(AND(R290&lt;&gt;"",IFERROR(VALUE(MID(R290,2,2)),0)&lt;SG_Criteria!$B$52),"FAIL: grade below C"&amp;SG_Criteria!$B$52&amp;". ","")&amp;IF(D290="Non-standard (project design)","NOTE: not an SDRE standard, needs LTA acceptance. ",""))=0,"OK",IF(AND(C290&lt;&gt;"High Covered Linkway",F290&lt;SG_Criteria!$B$46),"FAIL: headroom below "&amp;SG_Criteria!$B$46&amp;" m. ","")&amp;IF(AND(C290="High Covered Linkway",F290&lt;SG_Criteria!$B$47),"FAIL: high linkway headroom below "&amp;SG_Criteria!$B$47&amp;" m. ","")&amp;IF(E290&lt;SG_Criteria!$B$48,"FAIL: roof width below "&amp;SG_Criteria!$B$48&amp;" m. ",IF(E290&lt;SG_Criteria!$B$49,"NOTE: not for MRT/LRT or high-traffic routes (min "&amp;SG_Criteria!$B$49&amp;" m). ",""))&amp;IF(AND(P290&lt;&gt;"",P290&lt;SG_Criteria!$B$50),"FAIL: wind speed below "&amp;SG_Criteria!$B$50&amp;" m/s. ","")&amp;IF(AND(Q290&lt;&gt;"",Q290&lt;SG_Criteria!$B$51),"FAIL: roof fixing pull-out below "&amp;SG_Criteria!$B$51&amp;" kN. ","")&amp;IF(AND(R290&lt;&gt;"",IFERROR(VALUE(MID(R290,2,2)),0)&lt;SG_Criteria!$B$52),"FAIL: grade below C"&amp;SG_Criteria!$B$52&amp;". ","")&amp;IF(D290="Non-standard (project design)","NOTE: not an SDRE standard, needs LTA acceptance. ","")))</f>
        <v/>
      </c>
      <c r="AP290" s="9"/>
      <c r="AQ290" s="9"/>
      <c r="AR290" s="9"/>
      <c r="AS290" s="9"/>
      <c r="AT290" s="9"/>
      <c r="AU290" s="31"/>
      <c r="AV290" s="10" t="str">
        <f aca="false">IF(C290="","",IF(AND(X290="Approved",ISERROR(SEARCH("FAIL",AO290))),"Y","N"))</f>
        <v/>
      </c>
      <c r="AW290" s="10" t="str">
        <f aca="false">IF(C290="","",C290&amp;"|"&amp;E290&amp;"|"&amp;F290&amp;"|"&amp;AV290)</f>
        <v/>
      </c>
    </row>
    <row r="291" customFormat="false" ht="15" hidden="false" customHeight="false" outlineLevel="0" collapsed="false">
      <c r="A291" s="10" t="str">
        <f aca="false">IF(C291="","","LKW-"&amp;IFERROR(VLOOKUP(C291,Lists!$AQ$4:$AR$17,2,0),"??")&amp;"-W"&amp;TEXT(E291*1000,"0000")&amp;"-H"&amp;TEXT(F291*1000,"0000")&amp;"-B"&amp;TEXT(G291*1000,"0000")&amp;"-"&amp;W291)</f>
        <v/>
      </c>
      <c r="B291" s="10" t="str">
        <f aca="false">IF(C291="","",C291&amp;", "&amp;E291&amp;" m wide, "&amp;F291&amp;" m headroom, "&amp;G291&amp;" m bays, "&amp;H291&amp;" ("&amp;D291&amp;")")</f>
        <v/>
      </c>
      <c r="C291" s="9"/>
      <c r="D291" s="9"/>
      <c r="E291" s="43"/>
      <c r="F291" s="43"/>
      <c r="G291" s="43"/>
      <c r="H291" s="9"/>
      <c r="I291" s="9"/>
      <c r="J291" s="9"/>
      <c r="K291" s="9"/>
      <c r="L291" s="9"/>
      <c r="M291" s="9"/>
      <c r="N291" s="9"/>
      <c r="O291" s="9"/>
      <c r="P291" s="40"/>
      <c r="Q291" s="43"/>
      <c r="R291" s="9"/>
      <c r="S291" s="9"/>
      <c r="T291" s="9"/>
      <c r="U291" s="43"/>
      <c r="V291" s="9"/>
      <c r="W291" s="9"/>
      <c r="X291" s="9"/>
      <c r="Y291" s="9"/>
      <c r="Z291" s="9"/>
      <c r="AA291" s="9"/>
      <c r="AB291" s="10" t="str">
        <f aca="false">IF(A291="","",SG_Criteria!$B$6&amp;SG_Criteria!$B$12&amp;"\"&amp;A291&amp;"\")</f>
        <v/>
      </c>
      <c r="AC291" s="10" t="str">
        <f aca="false">IF(A291="","",A291&amp;"_CAD.dwg")</f>
        <v/>
      </c>
      <c r="AD291" s="10" t="str">
        <f aca="false">IF(A291="","",A291&amp;"_DWG.pdf")</f>
        <v/>
      </c>
      <c r="AE291" s="10" t="str">
        <f aca="false">IF(A291="","",IF(AA291="Y",A291&amp;"_STAAD.std","n/a"))</f>
        <v/>
      </c>
      <c r="AF291" s="10" t="str">
        <f aca="false">IF(A291="","",A291&amp;"_CALC.xlsx")</f>
        <v/>
      </c>
      <c r="AG291" s="10" t="str">
        <f aca="false">IF(A291="","",A291&amp;"_CALC.pdf")</f>
        <v/>
      </c>
      <c r="AH291" s="9"/>
      <c r="AI291" s="9"/>
      <c r="AJ291" s="41"/>
      <c r="AK291" s="41"/>
      <c r="AL291" s="41"/>
      <c r="AM291" s="41"/>
      <c r="AN291" s="41"/>
      <c r="AO291" s="38" t="str">
        <f aca="false">IF(C291="","",IF(LEN(IF(AND(C291&lt;&gt;"High Covered Linkway",F291&lt;SG_Criteria!$B$46),"FAIL: headroom below "&amp;SG_Criteria!$B$46&amp;" m. ","")&amp;IF(AND(C291="High Covered Linkway",F291&lt;SG_Criteria!$B$47),"FAIL: high linkway headroom below "&amp;SG_Criteria!$B$47&amp;" m. ","")&amp;IF(E291&lt;SG_Criteria!$B$48,"FAIL: roof width below "&amp;SG_Criteria!$B$48&amp;" m. ",IF(E291&lt;SG_Criteria!$B$49,"NOTE: not for MRT/LRT or high-traffic routes (min "&amp;SG_Criteria!$B$49&amp;" m). ",""))&amp;IF(AND(P291&lt;&gt;"",P291&lt;SG_Criteria!$B$50),"FAIL: wind speed below "&amp;SG_Criteria!$B$50&amp;" m/s. ","")&amp;IF(AND(Q291&lt;&gt;"",Q291&lt;SG_Criteria!$B$51),"FAIL: roof fixing pull-out below "&amp;SG_Criteria!$B$51&amp;" kN. ","")&amp;IF(AND(R291&lt;&gt;"",IFERROR(VALUE(MID(R291,2,2)),0)&lt;SG_Criteria!$B$52),"FAIL: grade below C"&amp;SG_Criteria!$B$52&amp;". ","")&amp;IF(D291="Non-standard (project design)","NOTE: not an SDRE standard, needs LTA acceptance. ",""))=0,"OK",IF(AND(C291&lt;&gt;"High Covered Linkway",F291&lt;SG_Criteria!$B$46),"FAIL: headroom below "&amp;SG_Criteria!$B$46&amp;" m. ","")&amp;IF(AND(C291="High Covered Linkway",F291&lt;SG_Criteria!$B$47),"FAIL: high linkway headroom below "&amp;SG_Criteria!$B$47&amp;" m. ","")&amp;IF(E291&lt;SG_Criteria!$B$48,"FAIL: roof width below "&amp;SG_Criteria!$B$48&amp;" m. ",IF(E291&lt;SG_Criteria!$B$49,"NOTE: not for MRT/LRT or high-traffic routes (min "&amp;SG_Criteria!$B$49&amp;" m). ",""))&amp;IF(AND(P291&lt;&gt;"",P291&lt;SG_Criteria!$B$50),"FAIL: wind speed below "&amp;SG_Criteria!$B$50&amp;" m/s. ","")&amp;IF(AND(Q291&lt;&gt;"",Q291&lt;SG_Criteria!$B$51),"FAIL: roof fixing pull-out below "&amp;SG_Criteria!$B$51&amp;" kN. ","")&amp;IF(AND(R291&lt;&gt;"",IFERROR(VALUE(MID(R291,2,2)),0)&lt;SG_Criteria!$B$52),"FAIL: grade below C"&amp;SG_Criteria!$B$52&amp;". ","")&amp;IF(D291="Non-standard (project design)","NOTE: not an SDRE standard, needs LTA acceptance. ","")))</f>
        <v/>
      </c>
      <c r="AP291" s="9"/>
      <c r="AQ291" s="9"/>
      <c r="AR291" s="9"/>
      <c r="AS291" s="9"/>
      <c r="AT291" s="9"/>
      <c r="AU291" s="31"/>
      <c r="AV291" s="10" t="str">
        <f aca="false">IF(C291="","",IF(AND(X291="Approved",ISERROR(SEARCH("FAIL",AO291))),"Y","N"))</f>
        <v/>
      </c>
      <c r="AW291" s="10" t="str">
        <f aca="false">IF(C291="","",C291&amp;"|"&amp;E291&amp;"|"&amp;F291&amp;"|"&amp;AV291)</f>
        <v/>
      </c>
    </row>
    <row r="292" customFormat="false" ht="15" hidden="false" customHeight="false" outlineLevel="0" collapsed="false">
      <c r="A292" s="10" t="str">
        <f aca="false">IF(C292="","","LKW-"&amp;IFERROR(VLOOKUP(C292,Lists!$AQ$4:$AR$17,2,0),"??")&amp;"-W"&amp;TEXT(E292*1000,"0000")&amp;"-H"&amp;TEXT(F292*1000,"0000")&amp;"-B"&amp;TEXT(G292*1000,"0000")&amp;"-"&amp;W292)</f>
        <v/>
      </c>
      <c r="B292" s="10" t="str">
        <f aca="false">IF(C292="","",C292&amp;", "&amp;E292&amp;" m wide, "&amp;F292&amp;" m headroom, "&amp;G292&amp;" m bays, "&amp;H292&amp;" ("&amp;D292&amp;")")</f>
        <v/>
      </c>
      <c r="C292" s="9"/>
      <c r="D292" s="9"/>
      <c r="E292" s="43"/>
      <c r="F292" s="43"/>
      <c r="G292" s="43"/>
      <c r="H292" s="9"/>
      <c r="I292" s="9"/>
      <c r="J292" s="9"/>
      <c r="K292" s="9"/>
      <c r="L292" s="9"/>
      <c r="M292" s="9"/>
      <c r="N292" s="9"/>
      <c r="O292" s="9"/>
      <c r="P292" s="40"/>
      <c r="Q292" s="43"/>
      <c r="R292" s="9"/>
      <c r="S292" s="9"/>
      <c r="T292" s="9"/>
      <c r="U292" s="43"/>
      <c r="V292" s="9"/>
      <c r="W292" s="9"/>
      <c r="X292" s="9"/>
      <c r="Y292" s="9"/>
      <c r="Z292" s="9"/>
      <c r="AA292" s="9"/>
      <c r="AB292" s="10" t="str">
        <f aca="false">IF(A292="","",SG_Criteria!$B$6&amp;SG_Criteria!$B$12&amp;"\"&amp;A292&amp;"\")</f>
        <v/>
      </c>
      <c r="AC292" s="10" t="str">
        <f aca="false">IF(A292="","",A292&amp;"_CAD.dwg")</f>
        <v/>
      </c>
      <c r="AD292" s="10" t="str">
        <f aca="false">IF(A292="","",A292&amp;"_DWG.pdf")</f>
        <v/>
      </c>
      <c r="AE292" s="10" t="str">
        <f aca="false">IF(A292="","",IF(AA292="Y",A292&amp;"_STAAD.std","n/a"))</f>
        <v/>
      </c>
      <c r="AF292" s="10" t="str">
        <f aca="false">IF(A292="","",A292&amp;"_CALC.xlsx")</f>
        <v/>
      </c>
      <c r="AG292" s="10" t="str">
        <f aca="false">IF(A292="","",A292&amp;"_CALC.pdf")</f>
        <v/>
      </c>
      <c r="AH292" s="9"/>
      <c r="AI292" s="9"/>
      <c r="AJ292" s="41"/>
      <c r="AK292" s="41"/>
      <c r="AL292" s="41"/>
      <c r="AM292" s="41"/>
      <c r="AN292" s="41"/>
      <c r="AO292" s="38" t="str">
        <f aca="false">IF(C292="","",IF(LEN(IF(AND(C292&lt;&gt;"High Covered Linkway",F292&lt;SG_Criteria!$B$46),"FAIL: headroom below "&amp;SG_Criteria!$B$46&amp;" m. ","")&amp;IF(AND(C292="High Covered Linkway",F292&lt;SG_Criteria!$B$47),"FAIL: high linkway headroom below "&amp;SG_Criteria!$B$47&amp;" m. ","")&amp;IF(E292&lt;SG_Criteria!$B$48,"FAIL: roof width below "&amp;SG_Criteria!$B$48&amp;" m. ",IF(E292&lt;SG_Criteria!$B$49,"NOTE: not for MRT/LRT or high-traffic routes (min "&amp;SG_Criteria!$B$49&amp;" m). ",""))&amp;IF(AND(P292&lt;&gt;"",P292&lt;SG_Criteria!$B$50),"FAIL: wind speed below "&amp;SG_Criteria!$B$50&amp;" m/s. ","")&amp;IF(AND(Q292&lt;&gt;"",Q292&lt;SG_Criteria!$B$51),"FAIL: roof fixing pull-out below "&amp;SG_Criteria!$B$51&amp;" kN. ","")&amp;IF(AND(R292&lt;&gt;"",IFERROR(VALUE(MID(R292,2,2)),0)&lt;SG_Criteria!$B$52),"FAIL: grade below C"&amp;SG_Criteria!$B$52&amp;". ","")&amp;IF(D292="Non-standard (project design)","NOTE: not an SDRE standard, needs LTA acceptance. ",""))=0,"OK",IF(AND(C292&lt;&gt;"High Covered Linkway",F292&lt;SG_Criteria!$B$46),"FAIL: headroom below "&amp;SG_Criteria!$B$46&amp;" m. ","")&amp;IF(AND(C292="High Covered Linkway",F292&lt;SG_Criteria!$B$47),"FAIL: high linkway headroom below "&amp;SG_Criteria!$B$47&amp;" m. ","")&amp;IF(E292&lt;SG_Criteria!$B$48,"FAIL: roof width below "&amp;SG_Criteria!$B$48&amp;" m. ",IF(E292&lt;SG_Criteria!$B$49,"NOTE: not for MRT/LRT or high-traffic routes (min "&amp;SG_Criteria!$B$49&amp;" m). ",""))&amp;IF(AND(P292&lt;&gt;"",P292&lt;SG_Criteria!$B$50),"FAIL: wind speed below "&amp;SG_Criteria!$B$50&amp;" m/s. ","")&amp;IF(AND(Q292&lt;&gt;"",Q292&lt;SG_Criteria!$B$51),"FAIL: roof fixing pull-out below "&amp;SG_Criteria!$B$51&amp;" kN. ","")&amp;IF(AND(R292&lt;&gt;"",IFERROR(VALUE(MID(R292,2,2)),0)&lt;SG_Criteria!$B$52),"FAIL: grade below C"&amp;SG_Criteria!$B$52&amp;". ","")&amp;IF(D292="Non-standard (project design)","NOTE: not an SDRE standard, needs LTA acceptance. ","")))</f>
        <v/>
      </c>
      <c r="AP292" s="9"/>
      <c r="AQ292" s="9"/>
      <c r="AR292" s="9"/>
      <c r="AS292" s="9"/>
      <c r="AT292" s="9"/>
      <c r="AU292" s="31"/>
      <c r="AV292" s="10" t="str">
        <f aca="false">IF(C292="","",IF(AND(X292="Approved",ISERROR(SEARCH("FAIL",AO292))),"Y","N"))</f>
        <v/>
      </c>
      <c r="AW292" s="10" t="str">
        <f aca="false">IF(C292="","",C292&amp;"|"&amp;E292&amp;"|"&amp;F292&amp;"|"&amp;AV292)</f>
        <v/>
      </c>
    </row>
    <row r="293" customFormat="false" ht="15" hidden="false" customHeight="false" outlineLevel="0" collapsed="false">
      <c r="A293" s="10" t="str">
        <f aca="false">IF(C293="","","LKW-"&amp;IFERROR(VLOOKUP(C293,Lists!$AQ$4:$AR$17,2,0),"??")&amp;"-W"&amp;TEXT(E293*1000,"0000")&amp;"-H"&amp;TEXT(F293*1000,"0000")&amp;"-B"&amp;TEXT(G293*1000,"0000")&amp;"-"&amp;W293)</f>
        <v/>
      </c>
      <c r="B293" s="10" t="str">
        <f aca="false">IF(C293="","",C293&amp;", "&amp;E293&amp;" m wide, "&amp;F293&amp;" m headroom, "&amp;G293&amp;" m bays, "&amp;H293&amp;" ("&amp;D293&amp;")")</f>
        <v/>
      </c>
      <c r="C293" s="9"/>
      <c r="D293" s="9"/>
      <c r="E293" s="43"/>
      <c r="F293" s="43"/>
      <c r="G293" s="43"/>
      <c r="H293" s="9"/>
      <c r="I293" s="9"/>
      <c r="J293" s="9"/>
      <c r="K293" s="9"/>
      <c r="L293" s="9"/>
      <c r="M293" s="9"/>
      <c r="N293" s="9"/>
      <c r="O293" s="9"/>
      <c r="P293" s="40"/>
      <c r="Q293" s="43"/>
      <c r="R293" s="9"/>
      <c r="S293" s="9"/>
      <c r="T293" s="9"/>
      <c r="U293" s="43"/>
      <c r="V293" s="9"/>
      <c r="W293" s="9"/>
      <c r="X293" s="9"/>
      <c r="Y293" s="9"/>
      <c r="Z293" s="9"/>
      <c r="AA293" s="9"/>
      <c r="AB293" s="10" t="str">
        <f aca="false">IF(A293="","",SG_Criteria!$B$6&amp;SG_Criteria!$B$12&amp;"\"&amp;A293&amp;"\")</f>
        <v/>
      </c>
      <c r="AC293" s="10" t="str">
        <f aca="false">IF(A293="","",A293&amp;"_CAD.dwg")</f>
        <v/>
      </c>
      <c r="AD293" s="10" t="str">
        <f aca="false">IF(A293="","",A293&amp;"_DWG.pdf")</f>
        <v/>
      </c>
      <c r="AE293" s="10" t="str">
        <f aca="false">IF(A293="","",IF(AA293="Y",A293&amp;"_STAAD.std","n/a"))</f>
        <v/>
      </c>
      <c r="AF293" s="10" t="str">
        <f aca="false">IF(A293="","",A293&amp;"_CALC.xlsx")</f>
        <v/>
      </c>
      <c r="AG293" s="10" t="str">
        <f aca="false">IF(A293="","",A293&amp;"_CALC.pdf")</f>
        <v/>
      </c>
      <c r="AH293" s="9"/>
      <c r="AI293" s="9"/>
      <c r="AJ293" s="41"/>
      <c r="AK293" s="41"/>
      <c r="AL293" s="41"/>
      <c r="AM293" s="41"/>
      <c r="AN293" s="41"/>
      <c r="AO293" s="38" t="str">
        <f aca="false">IF(C293="","",IF(LEN(IF(AND(C293&lt;&gt;"High Covered Linkway",F293&lt;SG_Criteria!$B$46),"FAIL: headroom below "&amp;SG_Criteria!$B$46&amp;" m. ","")&amp;IF(AND(C293="High Covered Linkway",F293&lt;SG_Criteria!$B$47),"FAIL: high linkway headroom below "&amp;SG_Criteria!$B$47&amp;" m. ","")&amp;IF(E293&lt;SG_Criteria!$B$48,"FAIL: roof width below "&amp;SG_Criteria!$B$48&amp;" m. ",IF(E293&lt;SG_Criteria!$B$49,"NOTE: not for MRT/LRT or high-traffic routes (min "&amp;SG_Criteria!$B$49&amp;" m). ",""))&amp;IF(AND(P293&lt;&gt;"",P293&lt;SG_Criteria!$B$50),"FAIL: wind speed below "&amp;SG_Criteria!$B$50&amp;" m/s. ","")&amp;IF(AND(Q293&lt;&gt;"",Q293&lt;SG_Criteria!$B$51),"FAIL: roof fixing pull-out below "&amp;SG_Criteria!$B$51&amp;" kN. ","")&amp;IF(AND(R293&lt;&gt;"",IFERROR(VALUE(MID(R293,2,2)),0)&lt;SG_Criteria!$B$52),"FAIL: grade below C"&amp;SG_Criteria!$B$52&amp;". ","")&amp;IF(D293="Non-standard (project design)","NOTE: not an SDRE standard, needs LTA acceptance. ",""))=0,"OK",IF(AND(C293&lt;&gt;"High Covered Linkway",F293&lt;SG_Criteria!$B$46),"FAIL: headroom below "&amp;SG_Criteria!$B$46&amp;" m. ","")&amp;IF(AND(C293="High Covered Linkway",F293&lt;SG_Criteria!$B$47),"FAIL: high linkway headroom below "&amp;SG_Criteria!$B$47&amp;" m. ","")&amp;IF(E293&lt;SG_Criteria!$B$48,"FAIL: roof width below "&amp;SG_Criteria!$B$48&amp;" m. ",IF(E293&lt;SG_Criteria!$B$49,"NOTE: not for MRT/LRT or high-traffic routes (min "&amp;SG_Criteria!$B$49&amp;" m). ",""))&amp;IF(AND(P293&lt;&gt;"",P293&lt;SG_Criteria!$B$50),"FAIL: wind speed below "&amp;SG_Criteria!$B$50&amp;" m/s. ","")&amp;IF(AND(Q293&lt;&gt;"",Q293&lt;SG_Criteria!$B$51),"FAIL: roof fixing pull-out below "&amp;SG_Criteria!$B$51&amp;" kN. ","")&amp;IF(AND(R293&lt;&gt;"",IFERROR(VALUE(MID(R293,2,2)),0)&lt;SG_Criteria!$B$52),"FAIL: grade below C"&amp;SG_Criteria!$B$52&amp;". ","")&amp;IF(D293="Non-standard (project design)","NOTE: not an SDRE standard, needs LTA acceptance. ","")))</f>
        <v/>
      </c>
      <c r="AP293" s="9"/>
      <c r="AQ293" s="9"/>
      <c r="AR293" s="9"/>
      <c r="AS293" s="9"/>
      <c r="AT293" s="9"/>
      <c r="AU293" s="31"/>
      <c r="AV293" s="10" t="str">
        <f aca="false">IF(C293="","",IF(AND(X293="Approved",ISERROR(SEARCH("FAIL",AO293))),"Y","N"))</f>
        <v/>
      </c>
      <c r="AW293" s="10" t="str">
        <f aca="false">IF(C293="","",C293&amp;"|"&amp;E293&amp;"|"&amp;F293&amp;"|"&amp;AV293)</f>
        <v/>
      </c>
    </row>
    <row r="294" customFormat="false" ht="15" hidden="false" customHeight="false" outlineLevel="0" collapsed="false">
      <c r="A294" s="10" t="str">
        <f aca="false">IF(C294="","","LKW-"&amp;IFERROR(VLOOKUP(C294,Lists!$AQ$4:$AR$17,2,0),"??")&amp;"-W"&amp;TEXT(E294*1000,"0000")&amp;"-H"&amp;TEXT(F294*1000,"0000")&amp;"-B"&amp;TEXT(G294*1000,"0000")&amp;"-"&amp;W294)</f>
        <v/>
      </c>
      <c r="B294" s="10" t="str">
        <f aca="false">IF(C294="","",C294&amp;", "&amp;E294&amp;" m wide, "&amp;F294&amp;" m headroom, "&amp;G294&amp;" m bays, "&amp;H294&amp;" ("&amp;D294&amp;")")</f>
        <v/>
      </c>
      <c r="C294" s="9"/>
      <c r="D294" s="9"/>
      <c r="E294" s="43"/>
      <c r="F294" s="43"/>
      <c r="G294" s="43"/>
      <c r="H294" s="9"/>
      <c r="I294" s="9"/>
      <c r="J294" s="9"/>
      <c r="K294" s="9"/>
      <c r="L294" s="9"/>
      <c r="M294" s="9"/>
      <c r="N294" s="9"/>
      <c r="O294" s="9"/>
      <c r="P294" s="40"/>
      <c r="Q294" s="43"/>
      <c r="R294" s="9"/>
      <c r="S294" s="9"/>
      <c r="T294" s="9"/>
      <c r="U294" s="43"/>
      <c r="V294" s="9"/>
      <c r="W294" s="9"/>
      <c r="X294" s="9"/>
      <c r="Y294" s="9"/>
      <c r="Z294" s="9"/>
      <c r="AA294" s="9"/>
      <c r="AB294" s="10" t="str">
        <f aca="false">IF(A294="","",SG_Criteria!$B$6&amp;SG_Criteria!$B$12&amp;"\"&amp;A294&amp;"\")</f>
        <v/>
      </c>
      <c r="AC294" s="10" t="str">
        <f aca="false">IF(A294="","",A294&amp;"_CAD.dwg")</f>
        <v/>
      </c>
      <c r="AD294" s="10" t="str">
        <f aca="false">IF(A294="","",A294&amp;"_DWG.pdf")</f>
        <v/>
      </c>
      <c r="AE294" s="10" t="str">
        <f aca="false">IF(A294="","",IF(AA294="Y",A294&amp;"_STAAD.std","n/a"))</f>
        <v/>
      </c>
      <c r="AF294" s="10" t="str">
        <f aca="false">IF(A294="","",A294&amp;"_CALC.xlsx")</f>
        <v/>
      </c>
      <c r="AG294" s="10" t="str">
        <f aca="false">IF(A294="","",A294&amp;"_CALC.pdf")</f>
        <v/>
      </c>
      <c r="AH294" s="9"/>
      <c r="AI294" s="9"/>
      <c r="AJ294" s="41"/>
      <c r="AK294" s="41"/>
      <c r="AL294" s="41"/>
      <c r="AM294" s="41"/>
      <c r="AN294" s="41"/>
      <c r="AO294" s="38" t="str">
        <f aca="false">IF(C294="","",IF(LEN(IF(AND(C294&lt;&gt;"High Covered Linkway",F294&lt;SG_Criteria!$B$46),"FAIL: headroom below "&amp;SG_Criteria!$B$46&amp;" m. ","")&amp;IF(AND(C294="High Covered Linkway",F294&lt;SG_Criteria!$B$47),"FAIL: high linkway headroom below "&amp;SG_Criteria!$B$47&amp;" m. ","")&amp;IF(E294&lt;SG_Criteria!$B$48,"FAIL: roof width below "&amp;SG_Criteria!$B$48&amp;" m. ",IF(E294&lt;SG_Criteria!$B$49,"NOTE: not for MRT/LRT or high-traffic routes (min "&amp;SG_Criteria!$B$49&amp;" m). ",""))&amp;IF(AND(P294&lt;&gt;"",P294&lt;SG_Criteria!$B$50),"FAIL: wind speed below "&amp;SG_Criteria!$B$50&amp;" m/s. ","")&amp;IF(AND(Q294&lt;&gt;"",Q294&lt;SG_Criteria!$B$51),"FAIL: roof fixing pull-out below "&amp;SG_Criteria!$B$51&amp;" kN. ","")&amp;IF(AND(R294&lt;&gt;"",IFERROR(VALUE(MID(R294,2,2)),0)&lt;SG_Criteria!$B$52),"FAIL: grade below C"&amp;SG_Criteria!$B$52&amp;". ","")&amp;IF(D294="Non-standard (project design)","NOTE: not an SDRE standard, needs LTA acceptance. ",""))=0,"OK",IF(AND(C294&lt;&gt;"High Covered Linkway",F294&lt;SG_Criteria!$B$46),"FAIL: headroom below "&amp;SG_Criteria!$B$46&amp;" m. ","")&amp;IF(AND(C294="High Covered Linkway",F294&lt;SG_Criteria!$B$47),"FAIL: high linkway headroom below "&amp;SG_Criteria!$B$47&amp;" m. ","")&amp;IF(E294&lt;SG_Criteria!$B$48,"FAIL: roof width below "&amp;SG_Criteria!$B$48&amp;" m. ",IF(E294&lt;SG_Criteria!$B$49,"NOTE: not for MRT/LRT or high-traffic routes (min "&amp;SG_Criteria!$B$49&amp;" m). ",""))&amp;IF(AND(P294&lt;&gt;"",P294&lt;SG_Criteria!$B$50),"FAIL: wind speed below "&amp;SG_Criteria!$B$50&amp;" m/s. ","")&amp;IF(AND(Q294&lt;&gt;"",Q294&lt;SG_Criteria!$B$51),"FAIL: roof fixing pull-out below "&amp;SG_Criteria!$B$51&amp;" kN. ","")&amp;IF(AND(R294&lt;&gt;"",IFERROR(VALUE(MID(R294,2,2)),0)&lt;SG_Criteria!$B$52),"FAIL: grade below C"&amp;SG_Criteria!$B$52&amp;". ","")&amp;IF(D294="Non-standard (project design)","NOTE: not an SDRE standard, needs LTA acceptance. ","")))</f>
        <v/>
      </c>
      <c r="AP294" s="9"/>
      <c r="AQ294" s="9"/>
      <c r="AR294" s="9"/>
      <c r="AS294" s="9"/>
      <c r="AT294" s="9"/>
      <c r="AU294" s="31"/>
      <c r="AV294" s="10" t="str">
        <f aca="false">IF(C294="","",IF(AND(X294="Approved",ISERROR(SEARCH("FAIL",AO294))),"Y","N"))</f>
        <v/>
      </c>
      <c r="AW294" s="10" t="str">
        <f aca="false">IF(C294="","",C294&amp;"|"&amp;E294&amp;"|"&amp;F294&amp;"|"&amp;AV294)</f>
        <v/>
      </c>
    </row>
    <row r="295" customFormat="false" ht="15" hidden="false" customHeight="false" outlineLevel="0" collapsed="false">
      <c r="A295" s="10" t="str">
        <f aca="false">IF(C295="","","LKW-"&amp;IFERROR(VLOOKUP(C295,Lists!$AQ$4:$AR$17,2,0),"??")&amp;"-W"&amp;TEXT(E295*1000,"0000")&amp;"-H"&amp;TEXT(F295*1000,"0000")&amp;"-B"&amp;TEXT(G295*1000,"0000")&amp;"-"&amp;W295)</f>
        <v/>
      </c>
      <c r="B295" s="10" t="str">
        <f aca="false">IF(C295="","",C295&amp;", "&amp;E295&amp;" m wide, "&amp;F295&amp;" m headroom, "&amp;G295&amp;" m bays, "&amp;H295&amp;" ("&amp;D295&amp;")")</f>
        <v/>
      </c>
      <c r="C295" s="9"/>
      <c r="D295" s="9"/>
      <c r="E295" s="43"/>
      <c r="F295" s="43"/>
      <c r="G295" s="43"/>
      <c r="H295" s="9"/>
      <c r="I295" s="9"/>
      <c r="J295" s="9"/>
      <c r="K295" s="9"/>
      <c r="L295" s="9"/>
      <c r="M295" s="9"/>
      <c r="N295" s="9"/>
      <c r="O295" s="9"/>
      <c r="P295" s="40"/>
      <c r="Q295" s="43"/>
      <c r="R295" s="9"/>
      <c r="S295" s="9"/>
      <c r="T295" s="9"/>
      <c r="U295" s="43"/>
      <c r="V295" s="9"/>
      <c r="W295" s="9"/>
      <c r="X295" s="9"/>
      <c r="Y295" s="9"/>
      <c r="Z295" s="9"/>
      <c r="AA295" s="9"/>
      <c r="AB295" s="10" t="str">
        <f aca="false">IF(A295="","",SG_Criteria!$B$6&amp;SG_Criteria!$B$12&amp;"\"&amp;A295&amp;"\")</f>
        <v/>
      </c>
      <c r="AC295" s="10" t="str">
        <f aca="false">IF(A295="","",A295&amp;"_CAD.dwg")</f>
        <v/>
      </c>
      <c r="AD295" s="10" t="str">
        <f aca="false">IF(A295="","",A295&amp;"_DWG.pdf")</f>
        <v/>
      </c>
      <c r="AE295" s="10" t="str">
        <f aca="false">IF(A295="","",IF(AA295="Y",A295&amp;"_STAAD.std","n/a"))</f>
        <v/>
      </c>
      <c r="AF295" s="10" t="str">
        <f aca="false">IF(A295="","",A295&amp;"_CALC.xlsx")</f>
        <v/>
      </c>
      <c r="AG295" s="10" t="str">
        <f aca="false">IF(A295="","",A295&amp;"_CALC.pdf")</f>
        <v/>
      </c>
      <c r="AH295" s="9"/>
      <c r="AI295" s="9"/>
      <c r="AJ295" s="41"/>
      <c r="AK295" s="41"/>
      <c r="AL295" s="41"/>
      <c r="AM295" s="41"/>
      <c r="AN295" s="41"/>
      <c r="AO295" s="38" t="str">
        <f aca="false">IF(C295="","",IF(LEN(IF(AND(C295&lt;&gt;"High Covered Linkway",F295&lt;SG_Criteria!$B$46),"FAIL: headroom below "&amp;SG_Criteria!$B$46&amp;" m. ","")&amp;IF(AND(C295="High Covered Linkway",F295&lt;SG_Criteria!$B$47),"FAIL: high linkway headroom below "&amp;SG_Criteria!$B$47&amp;" m. ","")&amp;IF(E295&lt;SG_Criteria!$B$48,"FAIL: roof width below "&amp;SG_Criteria!$B$48&amp;" m. ",IF(E295&lt;SG_Criteria!$B$49,"NOTE: not for MRT/LRT or high-traffic routes (min "&amp;SG_Criteria!$B$49&amp;" m). ",""))&amp;IF(AND(P295&lt;&gt;"",P295&lt;SG_Criteria!$B$50),"FAIL: wind speed below "&amp;SG_Criteria!$B$50&amp;" m/s. ","")&amp;IF(AND(Q295&lt;&gt;"",Q295&lt;SG_Criteria!$B$51),"FAIL: roof fixing pull-out below "&amp;SG_Criteria!$B$51&amp;" kN. ","")&amp;IF(AND(R295&lt;&gt;"",IFERROR(VALUE(MID(R295,2,2)),0)&lt;SG_Criteria!$B$52),"FAIL: grade below C"&amp;SG_Criteria!$B$52&amp;". ","")&amp;IF(D295="Non-standard (project design)","NOTE: not an SDRE standard, needs LTA acceptance. ",""))=0,"OK",IF(AND(C295&lt;&gt;"High Covered Linkway",F295&lt;SG_Criteria!$B$46),"FAIL: headroom below "&amp;SG_Criteria!$B$46&amp;" m. ","")&amp;IF(AND(C295="High Covered Linkway",F295&lt;SG_Criteria!$B$47),"FAIL: high linkway headroom below "&amp;SG_Criteria!$B$47&amp;" m. ","")&amp;IF(E295&lt;SG_Criteria!$B$48,"FAIL: roof width below "&amp;SG_Criteria!$B$48&amp;" m. ",IF(E295&lt;SG_Criteria!$B$49,"NOTE: not for MRT/LRT or high-traffic routes (min "&amp;SG_Criteria!$B$49&amp;" m). ",""))&amp;IF(AND(P295&lt;&gt;"",P295&lt;SG_Criteria!$B$50),"FAIL: wind speed below "&amp;SG_Criteria!$B$50&amp;" m/s. ","")&amp;IF(AND(Q295&lt;&gt;"",Q295&lt;SG_Criteria!$B$51),"FAIL: roof fixing pull-out below "&amp;SG_Criteria!$B$51&amp;" kN. ","")&amp;IF(AND(R295&lt;&gt;"",IFERROR(VALUE(MID(R295,2,2)),0)&lt;SG_Criteria!$B$52),"FAIL: grade below C"&amp;SG_Criteria!$B$52&amp;". ","")&amp;IF(D295="Non-standard (project design)","NOTE: not an SDRE standard, needs LTA acceptance. ","")))</f>
        <v/>
      </c>
      <c r="AP295" s="9"/>
      <c r="AQ295" s="9"/>
      <c r="AR295" s="9"/>
      <c r="AS295" s="9"/>
      <c r="AT295" s="9"/>
      <c r="AU295" s="31"/>
      <c r="AV295" s="10" t="str">
        <f aca="false">IF(C295="","",IF(AND(X295="Approved",ISERROR(SEARCH("FAIL",AO295))),"Y","N"))</f>
        <v/>
      </c>
      <c r="AW295" s="10" t="str">
        <f aca="false">IF(C295="","",C295&amp;"|"&amp;E295&amp;"|"&amp;F295&amp;"|"&amp;AV295)</f>
        <v/>
      </c>
    </row>
    <row r="296" customFormat="false" ht="15" hidden="false" customHeight="false" outlineLevel="0" collapsed="false">
      <c r="A296" s="10" t="str">
        <f aca="false">IF(C296="","","LKW-"&amp;IFERROR(VLOOKUP(C296,Lists!$AQ$4:$AR$17,2,0),"??")&amp;"-W"&amp;TEXT(E296*1000,"0000")&amp;"-H"&amp;TEXT(F296*1000,"0000")&amp;"-B"&amp;TEXT(G296*1000,"0000")&amp;"-"&amp;W296)</f>
        <v/>
      </c>
      <c r="B296" s="10" t="str">
        <f aca="false">IF(C296="","",C296&amp;", "&amp;E296&amp;" m wide, "&amp;F296&amp;" m headroom, "&amp;G296&amp;" m bays, "&amp;H296&amp;" ("&amp;D296&amp;")")</f>
        <v/>
      </c>
      <c r="C296" s="9"/>
      <c r="D296" s="9"/>
      <c r="E296" s="43"/>
      <c r="F296" s="43"/>
      <c r="G296" s="43"/>
      <c r="H296" s="9"/>
      <c r="I296" s="9"/>
      <c r="J296" s="9"/>
      <c r="K296" s="9"/>
      <c r="L296" s="9"/>
      <c r="M296" s="9"/>
      <c r="N296" s="9"/>
      <c r="O296" s="9"/>
      <c r="P296" s="40"/>
      <c r="Q296" s="43"/>
      <c r="R296" s="9"/>
      <c r="S296" s="9"/>
      <c r="T296" s="9"/>
      <c r="U296" s="43"/>
      <c r="V296" s="9"/>
      <c r="W296" s="9"/>
      <c r="X296" s="9"/>
      <c r="Y296" s="9"/>
      <c r="Z296" s="9"/>
      <c r="AA296" s="9"/>
      <c r="AB296" s="10" t="str">
        <f aca="false">IF(A296="","",SG_Criteria!$B$6&amp;SG_Criteria!$B$12&amp;"\"&amp;A296&amp;"\")</f>
        <v/>
      </c>
      <c r="AC296" s="10" t="str">
        <f aca="false">IF(A296="","",A296&amp;"_CAD.dwg")</f>
        <v/>
      </c>
      <c r="AD296" s="10" t="str">
        <f aca="false">IF(A296="","",A296&amp;"_DWG.pdf")</f>
        <v/>
      </c>
      <c r="AE296" s="10" t="str">
        <f aca="false">IF(A296="","",IF(AA296="Y",A296&amp;"_STAAD.std","n/a"))</f>
        <v/>
      </c>
      <c r="AF296" s="10" t="str">
        <f aca="false">IF(A296="","",A296&amp;"_CALC.xlsx")</f>
        <v/>
      </c>
      <c r="AG296" s="10" t="str">
        <f aca="false">IF(A296="","",A296&amp;"_CALC.pdf")</f>
        <v/>
      </c>
      <c r="AH296" s="9"/>
      <c r="AI296" s="9"/>
      <c r="AJ296" s="41"/>
      <c r="AK296" s="41"/>
      <c r="AL296" s="41"/>
      <c r="AM296" s="41"/>
      <c r="AN296" s="41"/>
      <c r="AO296" s="38" t="str">
        <f aca="false">IF(C296="","",IF(LEN(IF(AND(C296&lt;&gt;"High Covered Linkway",F296&lt;SG_Criteria!$B$46),"FAIL: headroom below "&amp;SG_Criteria!$B$46&amp;" m. ","")&amp;IF(AND(C296="High Covered Linkway",F296&lt;SG_Criteria!$B$47),"FAIL: high linkway headroom below "&amp;SG_Criteria!$B$47&amp;" m. ","")&amp;IF(E296&lt;SG_Criteria!$B$48,"FAIL: roof width below "&amp;SG_Criteria!$B$48&amp;" m. ",IF(E296&lt;SG_Criteria!$B$49,"NOTE: not for MRT/LRT or high-traffic routes (min "&amp;SG_Criteria!$B$49&amp;" m). ",""))&amp;IF(AND(P296&lt;&gt;"",P296&lt;SG_Criteria!$B$50),"FAIL: wind speed below "&amp;SG_Criteria!$B$50&amp;" m/s. ","")&amp;IF(AND(Q296&lt;&gt;"",Q296&lt;SG_Criteria!$B$51),"FAIL: roof fixing pull-out below "&amp;SG_Criteria!$B$51&amp;" kN. ","")&amp;IF(AND(R296&lt;&gt;"",IFERROR(VALUE(MID(R296,2,2)),0)&lt;SG_Criteria!$B$52),"FAIL: grade below C"&amp;SG_Criteria!$B$52&amp;". ","")&amp;IF(D296="Non-standard (project design)","NOTE: not an SDRE standard, needs LTA acceptance. ",""))=0,"OK",IF(AND(C296&lt;&gt;"High Covered Linkway",F296&lt;SG_Criteria!$B$46),"FAIL: headroom below "&amp;SG_Criteria!$B$46&amp;" m. ","")&amp;IF(AND(C296="High Covered Linkway",F296&lt;SG_Criteria!$B$47),"FAIL: high linkway headroom below "&amp;SG_Criteria!$B$47&amp;" m. ","")&amp;IF(E296&lt;SG_Criteria!$B$48,"FAIL: roof width below "&amp;SG_Criteria!$B$48&amp;" m. ",IF(E296&lt;SG_Criteria!$B$49,"NOTE: not for MRT/LRT or high-traffic routes (min "&amp;SG_Criteria!$B$49&amp;" m). ",""))&amp;IF(AND(P296&lt;&gt;"",P296&lt;SG_Criteria!$B$50),"FAIL: wind speed below "&amp;SG_Criteria!$B$50&amp;" m/s. ","")&amp;IF(AND(Q296&lt;&gt;"",Q296&lt;SG_Criteria!$B$51),"FAIL: roof fixing pull-out below "&amp;SG_Criteria!$B$51&amp;" kN. ","")&amp;IF(AND(R296&lt;&gt;"",IFERROR(VALUE(MID(R296,2,2)),0)&lt;SG_Criteria!$B$52),"FAIL: grade below C"&amp;SG_Criteria!$B$52&amp;". ","")&amp;IF(D296="Non-standard (project design)","NOTE: not an SDRE standard, needs LTA acceptance. ","")))</f>
        <v/>
      </c>
      <c r="AP296" s="9"/>
      <c r="AQ296" s="9"/>
      <c r="AR296" s="9"/>
      <c r="AS296" s="9"/>
      <c r="AT296" s="9"/>
      <c r="AU296" s="31"/>
      <c r="AV296" s="10" t="str">
        <f aca="false">IF(C296="","",IF(AND(X296="Approved",ISERROR(SEARCH("FAIL",AO296))),"Y","N"))</f>
        <v/>
      </c>
      <c r="AW296" s="10" t="str">
        <f aca="false">IF(C296="","",C296&amp;"|"&amp;E296&amp;"|"&amp;F296&amp;"|"&amp;AV296)</f>
        <v/>
      </c>
    </row>
    <row r="297" customFormat="false" ht="15" hidden="false" customHeight="false" outlineLevel="0" collapsed="false">
      <c r="A297" s="10" t="str">
        <f aca="false">IF(C297="","","LKW-"&amp;IFERROR(VLOOKUP(C297,Lists!$AQ$4:$AR$17,2,0),"??")&amp;"-W"&amp;TEXT(E297*1000,"0000")&amp;"-H"&amp;TEXT(F297*1000,"0000")&amp;"-B"&amp;TEXT(G297*1000,"0000")&amp;"-"&amp;W297)</f>
        <v/>
      </c>
      <c r="B297" s="10" t="str">
        <f aca="false">IF(C297="","",C297&amp;", "&amp;E297&amp;" m wide, "&amp;F297&amp;" m headroom, "&amp;G297&amp;" m bays, "&amp;H297&amp;" ("&amp;D297&amp;")")</f>
        <v/>
      </c>
      <c r="C297" s="9"/>
      <c r="D297" s="9"/>
      <c r="E297" s="43"/>
      <c r="F297" s="43"/>
      <c r="G297" s="43"/>
      <c r="H297" s="9"/>
      <c r="I297" s="9"/>
      <c r="J297" s="9"/>
      <c r="K297" s="9"/>
      <c r="L297" s="9"/>
      <c r="M297" s="9"/>
      <c r="N297" s="9"/>
      <c r="O297" s="9"/>
      <c r="P297" s="40"/>
      <c r="Q297" s="43"/>
      <c r="R297" s="9"/>
      <c r="S297" s="9"/>
      <c r="T297" s="9"/>
      <c r="U297" s="43"/>
      <c r="V297" s="9"/>
      <c r="W297" s="9"/>
      <c r="X297" s="9"/>
      <c r="Y297" s="9"/>
      <c r="Z297" s="9"/>
      <c r="AA297" s="9"/>
      <c r="AB297" s="10" t="str">
        <f aca="false">IF(A297="","",SG_Criteria!$B$6&amp;SG_Criteria!$B$12&amp;"\"&amp;A297&amp;"\")</f>
        <v/>
      </c>
      <c r="AC297" s="10" t="str">
        <f aca="false">IF(A297="","",A297&amp;"_CAD.dwg")</f>
        <v/>
      </c>
      <c r="AD297" s="10" t="str">
        <f aca="false">IF(A297="","",A297&amp;"_DWG.pdf")</f>
        <v/>
      </c>
      <c r="AE297" s="10" t="str">
        <f aca="false">IF(A297="","",IF(AA297="Y",A297&amp;"_STAAD.std","n/a"))</f>
        <v/>
      </c>
      <c r="AF297" s="10" t="str">
        <f aca="false">IF(A297="","",A297&amp;"_CALC.xlsx")</f>
        <v/>
      </c>
      <c r="AG297" s="10" t="str">
        <f aca="false">IF(A297="","",A297&amp;"_CALC.pdf")</f>
        <v/>
      </c>
      <c r="AH297" s="9"/>
      <c r="AI297" s="9"/>
      <c r="AJ297" s="41"/>
      <c r="AK297" s="41"/>
      <c r="AL297" s="41"/>
      <c r="AM297" s="41"/>
      <c r="AN297" s="41"/>
      <c r="AO297" s="38" t="str">
        <f aca="false">IF(C297="","",IF(LEN(IF(AND(C297&lt;&gt;"High Covered Linkway",F297&lt;SG_Criteria!$B$46),"FAIL: headroom below "&amp;SG_Criteria!$B$46&amp;" m. ","")&amp;IF(AND(C297="High Covered Linkway",F297&lt;SG_Criteria!$B$47),"FAIL: high linkway headroom below "&amp;SG_Criteria!$B$47&amp;" m. ","")&amp;IF(E297&lt;SG_Criteria!$B$48,"FAIL: roof width below "&amp;SG_Criteria!$B$48&amp;" m. ",IF(E297&lt;SG_Criteria!$B$49,"NOTE: not for MRT/LRT or high-traffic routes (min "&amp;SG_Criteria!$B$49&amp;" m). ",""))&amp;IF(AND(P297&lt;&gt;"",P297&lt;SG_Criteria!$B$50),"FAIL: wind speed below "&amp;SG_Criteria!$B$50&amp;" m/s. ","")&amp;IF(AND(Q297&lt;&gt;"",Q297&lt;SG_Criteria!$B$51),"FAIL: roof fixing pull-out below "&amp;SG_Criteria!$B$51&amp;" kN. ","")&amp;IF(AND(R297&lt;&gt;"",IFERROR(VALUE(MID(R297,2,2)),0)&lt;SG_Criteria!$B$52),"FAIL: grade below C"&amp;SG_Criteria!$B$52&amp;". ","")&amp;IF(D297="Non-standard (project design)","NOTE: not an SDRE standard, needs LTA acceptance. ",""))=0,"OK",IF(AND(C297&lt;&gt;"High Covered Linkway",F297&lt;SG_Criteria!$B$46),"FAIL: headroom below "&amp;SG_Criteria!$B$46&amp;" m. ","")&amp;IF(AND(C297="High Covered Linkway",F297&lt;SG_Criteria!$B$47),"FAIL: high linkway headroom below "&amp;SG_Criteria!$B$47&amp;" m. ","")&amp;IF(E297&lt;SG_Criteria!$B$48,"FAIL: roof width below "&amp;SG_Criteria!$B$48&amp;" m. ",IF(E297&lt;SG_Criteria!$B$49,"NOTE: not for MRT/LRT or high-traffic routes (min "&amp;SG_Criteria!$B$49&amp;" m). ",""))&amp;IF(AND(P297&lt;&gt;"",P297&lt;SG_Criteria!$B$50),"FAIL: wind speed below "&amp;SG_Criteria!$B$50&amp;" m/s. ","")&amp;IF(AND(Q297&lt;&gt;"",Q297&lt;SG_Criteria!$B$51),"FAIL: roof fixing pull-out below "&amp;SG_Criteria!$B$51&amp;" kN. ","")&amp;IF(AND(R297&lt;&gt;"",IFERROR(VALUE(MID(R297,2,2)),0)&lt;SG_Criteria!$B$52),"FAIL: grade below C"&amp;SG_Criteria!$B$52&amp;". ","")&amp;IF(D297="Non-standard (project design)","NOTE: not an SDRE standard, needs LTA acceptance. ","")))</f>
        <v/>
      </c>
      <c r="AP297" s="9"/>
      <c r="AQ297" s="9"/>
      <c r="AR297" s="9"/>
      <c r="AS297" s="9"/>
      <c r="AT297" s="9"/>
      <c r="AU297" s="31"/>
      <c r="AV297" s="10" t="str">
        <f aca="false">IF(C297="","",IF(AND(X297="Approved",ISERROR(SEARCH("FAIL",AO297))),"Y","N"))</f>
        <v/>
      </c>
      <c r="AW297" s="10" t="str">
        <f aca="false">IF(C297="","",C297&amp;"|"&amp;E297&amp;"|"&amp;F297&amp;"|"&amp;AV297)</f>
        <v/>
      </c>
    </row>
    <row r="298" customFormat="false" ht="15" hidden="false" customHeight="false" outlineLevel="0" collapsed="false">
      <c r="A298" s="10" t="str">
        <f aca="false">IF(C298="","","LKW-"&amp;IFERROR(VLOOKUP(C298,Lists!$AQ$4:$AR$17,2,0),"??")&amp;"-W"&amp;TEXT(E298*1000,"0000")&amp;"-H"&amp;TEXT(F298*1000,"0000")&amp;"-B"&amp;TEXT(G298*1000,"0000")&amp;"-"&amp;W298)</f>
        <v/>
      </c>
      <c r="B298" s="10" t="str">
        <f aca="false">IF(C298="","",C298&amp;", "&amp;E298&amp;" m wide, "&amp;F298&amp;" m headroom, "&amp;G298&amp;" m bays, "&amp;H298&amp;" ("&amp;D298&amp;")")</f>
        <v/>
      </c>
      <c r="C298" s="9"/>
      <c r="D298" s="9"/>
      <c r="E298" s="43"/>
      <c r="F298" s="43"/>
      <c r="G298" s="43"/>
      <c r="H298" s="9"/>
      <c r="I298" s="9"/>
      <c r="J298" s="9"/>
      <c r="K298" s="9"/>
      <c r="L298" s="9"/>
      <c r="M298" s="9"/>
      <c r="N298" s="9"/>
      <c r="O298" s="9"/>
      <c r="P298" s="40"/>
      <c r="Q298" s="43"/>
      <c r="R298" s="9"/>
      <c r="S298" s="9"/>
      <c r="T298" s="9"/>
      <c r="U298" s="43"/>
      <c r="V298" s="9"/>
      <c r="W298" s="9"/>
      <c r="X298" s="9"/>
      <c r="Y298" s="9"/>
      <c r="Z298" s="9"/>
      <c r="AA298" s="9"/>
      <c r="AB298" s="10" t="str">
        <f aca="false">IF(A298="","",SG_Criteria!$B$6&amp;SG_Criteria!$B$12&amp;"\"&amp;A298&amp;"\")</f>
        <v/>
      </c>
      <c r="AC298" s="10" t="str">
        <f aca="false">IF(A298="","",A298&amp;"_CAD.dwg")</f>
        <v/>
      </c>
      <c r="AD298" s="10" t="str">
        <f aca="false">IF(A298="","",A298&amp;"_DWG.pdf")</f>
        <v/>
      </c>
      <c r="AE298" s="10" t="str">
        <f aca="false">IF(A298="","",IF(AA298="Y",A298&amp;"_STAAD.std","n/a"))</f>
        <v/>
      </c>
      <c r="AF298" s="10" t="str">
        <f aca="false">IF(A298="","",A298&amp;"_CALC.xlsx")</f>
        <v/>
      </c>
      <c r="AG298" s="10" t="str">
        <f aca="false">IF(A298="","",A298&amp;"_CALC.pdf")</f>
        <v/>
      </c>
      <c r="AH298" s="9"/>
      <c r="AI298" s="9"/>
      <c r="AJ298" s="41"/>
      <c r="AK298" s="41"/>
      <c r="AL298" s="41"/>
      <c r="AM298" s="41"/>
      <c r="AN298" s="41"/>
      <c r="AO298" s="38" t="str">
        <f aca="false">IF(C298="","",IF(LEN(IF(AND(C298&lt;&gt;"High Covered Linkway",F298&lt;SG_Criteria!$B$46),"FAIL: headroom below "&amp;SG_Criteria!$B$46&amp;" m. ","")&amp;IF(AND(C298="High Covered Linkway",F298&lt;SG_Criteria!$B$47),"FAIL: high linkway headroom below "&amp;SG_Criteria!$B$47&amp;" m. ","")&amp;IF(E298&lt;SG_Criteria!$B$48,"FAIL: roof width below "&amp;SG_Criteria!$B$48&amp;" m. ",IF(E298&lt;SG_Criteria!$B$49,"NOTE: not for MRT/LRT or high-traffic routes (min "&amp;SG_Criteria!$B$49&amp;" m). ",""))&amp;IF(AND(P298&lt;&gt;"",P298&lt;SG_Criteria!$B$50),"FAIL: wind speed below "&amp;SG_Criteria!$B$50&amp;" m/s. ","")&amp;IF(AND(Q298&lt;&gt;"",Q298&lt;SG_Criteria!$B$51),"FAIL: roof fixing pull-out below "&amp;SG_Criteria!$B$51&amp;" kN. ","")&amp;IF(AND(R298&lt;&gt;"",IFERROR(VALUE(MID(R298,2,2)),0)&lt;SG_Criteria!$B$52),"FAIL: grade below C"&amp;SG_Criteria!$B$52&amp;". ","")&amp;IF(D298="Non-standard (project design)","NOTE: not an SDRE standard, needs LTA acceptance. ",""))=0,"OK",IF(AND(C298&lt;&gt;"High Covered Linkway",F298&lt;SG_Criteria!$B$46),"FAIL: headroom below "&amp;SG_Criteria!$B$46&amp;" m. ","")&amp;IF(AND(C298="High Covered Linkway",F298&lt;SG_Criteria!$B$47),"FAIL: high linkway headroom below "&amp;SG_Criteria!$B$47&amp;" m. ","")&amp;IF(E298&lt;SG_Criteria!$B$48,"FAIL: roof width below "&amp;SG_Criteria!$B$48&amp;" m. ",IF(E298&lt;SG_Criteria!$B$49,"NOTE: not for MRT/LRT or high-traffic routes (min "&amp;SG_Criteria!$B$49&amp;" m). ",""))&amp;IF(AND(P298&lt;&gt;"",P298&lt;SG_Criteria!$B$50),"FAIL: wind speed below "&amp;SG_Criteria!$B$50&amp;" m/s. ","")&amp;IF(AND(Q298&lt;&gt;"",Q298&lt;SG_Criteria!$B$51),"FAIL: roof fixing pull-out below "&amp;SG_Criteria!$B$51&amp;" kN. ","")&amp;IF(AND(R298&lt;&gt;"",IFERROR(VALUE(MID(R298,2,2)),0)&lt;SG_Criteria!$B$52),"FAIL: grade below C"&amp;SG_Criteria!$B$52&amp;". ","")&amp;IF(D298="Non-standard (project design)","NOTE: not an SDRE standard, needs LTA acceptance. ","")))</f>
        <v/>
      </c>
      <c r="AP298" s="9"/>
      <c r="AQ298" s="9"/>
      <c r="AR298" s="9"/>
      <c r="AS298" s="9"/>
      <c r="AT298" s="9"/>
      <c r="AU298" s="31"/>
      <c r="AV298" s="10" t="str">
        <f aca="false">IF(C298="","",IF(AND(X298="Approved",ISERROR(SEARCH("FAIL",AO298))),"Y","N"))</f>
        <v/>
      </c>
      <c r="AW298" s="10" t="str">
        <f aca="false">IF(C298="","",C298&amp;"|"&amp;E298&amp;"|"&amp;F298&amp;"|"&amp;AV298)</f>
        <v/>
      </c>
    </row>
    <row r="299" customFormat="false" ht="15" hidden="false" customHeight="false" outlineLevel="0" collapsed="false">
      <c r="A299" s="10" t="str">
        <f aca="false">IF(C299="","","LKW-"&amp;IFERROR(VLOOKUP(C299,Lists!$AQ$4:$AR$17,2,0),"??")&amp;"-W"&amp;TEXT(E299*1000,"0000")&amp;"-H"&amp;TEXT(F299*1000,"0000")&amp;"-B"&amp;TEXT(G299*1000,"0000")&amp;"-"&amp;W299)</f>
        <v/>
      </c>
      <c r="B299" s="10" t="str">
        <f aca="false">IF(C299="","",C299&amp;", "&amp;E299&amp;" m wide, "&amp;F299&amp;" m headroom, "&amp;G299&amp;" m bays, "&amp;H299&amp;" ("&amp;D299&amp;")")</f>
        <v/>
      </c>
      <c r="C299" s="9"/>
      <c r="D299" s="9"/>
      <c r="E299" s="43"/>
      <c r="F299" s="43"/>
      <c r="G299" s="43"/>
      <c r="H299" s="9"/>
      <c r="I299" s="9"/>
      <c r="J299" s="9"/>
      <c r="K299" s="9"/>
      <c r="L299" s="9"/>
      <c r="M299" s="9"/>
      <c r="N299" s="9"/>
      <c r="O299" s="9"/>
      <c r="P299" s="40"/>
      <c r="Q299" s="43"/>
      <c r="R299" s="9"/>
      <c r="S299" s="9"/>
      <c r="T299" s="9"/>
      <c r="U299" s="43"/>
      <c r="V299" s="9"/>
      <c r="W299" s="9"/>
      <c r="X299" s="9"/>
      <c r="Y299" s="9"/>
      <c r="Z299" s="9"/>
      <c r="AA299" s="9"/>
      <c r="AB299" s="10" t="str">
        <f aca="false">IF(A299="","",SG_Criteria!$B$6&amp;SG_Criteria!$B$12&amp;"\"&amp;A299&amp;"\")</f>
        <v/>
      </c>
      <c r="AC299" s="10" t="str">
        <f aca="false">IF(A299="","",A299&amp;"_CAD.dwg")</f>
        <v/>
      </c>
      <c r="AD299" s="10" t="str">
        <f aca="false">IF(A299="","",A299&amp;"_DWG.pdf")</f>
        <v/>
      </c>
      <c r="AE299" s="10" t="str">
        <f aca="false">IF(A299="","",IF(AA299="Y",A299&amp;"_STAAD.std","n/a"))</f>
        <v/>
      </c>
      <c r="AF299" s="10" t="str">
        <f aca="false">IF(A299="","",A299&amp;"_CALC.xlsx")</f>
        <v/>
      </c>
      <c r="AG299" s="10" t="str">
        <f aca="false">IF(A299="","",A299&amp;"_CALC.pdf")</f>
        <v/>
      </c>
      <c r="AH299" s="9"/>
      <c r="AI299" s="9"/>
      <c r="AJ299" s="41"/>
      <c r="AK299" s="41"/>
      <c r="AL299" s="41"/>
      <c r="AM299" s="41"/>
      <c r="AN299" s="41"/>
      <c r="AO299" s="38" t="str">
        <f aca="false">IF(C299="","",IF(LEN(IF(AND(C299&lt;&gt;"High Covered Linkway",F299&lt;SG_Criteria!$B$46),"FAIL: headroom below "&amp;SG_Criteria!$B$46&amp;" m. ","")&amp;IF(AND(C299="High Covered Linkway",F299&lt;SG_Criteria!$B$47),"FAIL: high linkway headroom below "&amp;SG_Criteria!$B$47&amp;" m. ","")&amp;IF(E299&lt;SG_Criteria!$B$48,"FAIL: roof width below "&amp;SG_Criteria!$B$48&amp;" m. ",IF(E299&lt;SG_Criteria!$B$49,"NOTE: not for MRT/LRT or high-traffic routes (min "&amp;SG_Criteria!$B$49&amp;" m). ",""))&amp;IF(AND(P299&lt;&gt;"",P299&lt;SG_Criteria!$B$50),"FAIL: wind speed below "&amp;SG_Criteria!$B$50&amp;" m/s. ","")&amp;IF(AND(Q299&lt;&gt;"",Q299&lt;SG_Criteria!$B$51),"FAIL: roof fixing pull-out below "&amp;SG_Criteria!$B$51&amp;" kN. ","")&amp;IF(AND(R299&lt;&gt;"",IFERROR(VALUE(MID(R299,2,2)),0)&lt;SG_Criteria!$B$52),"FAIL: grade below C"&amp;SG_Criteria!$B$52&amp;". ","")&amp;IF(D299="Non-standard (project design)","NOTE: not an SDRE standard, needs LTA acceptance. ",""))=0,"OK",IF(AND(C299&lt;&gt;"High Covered Linkway",F299&lt;SG_Criteria!$B$46),"FAIL: headroom below "&amp;SG_Criteria!$B$46&amp;" m. ","")&amp;IF(AND(C299="High Covered Linkway",F299&lt;SG_Criteria!$B$47),"FAIL: high linkway headroom below "&amp;SG_Criteria!$B$47&amp;" m. ","")&amp;IF(E299&lt;SG_Criteria!$B$48,"FAIL: roof width below "&amp;SG_Criteria!$B$48&amp;" m. ",IF(E299&lt;SG_Criteria!$B$49,"NOTE: not for MRT/LRT or high-traffic routes (min "&amp;SG_Criteria!$B$49&amp;" m). ",""))&amp;IF(AND(P299&lt;&gt;"",P299&lt;SG_Criteria!$B$50),"FAIL: wind speed below "&amp;SG_Criteria!$B$50&amp;" m/s. ","")&amp;IF(AND(Q299&lt;&gt;"",Q299&lt;SG_Criteria!$B$51),"FAIL: roof fixing pull-out below "&amp;SG_Criteria!$B$51&amp;" kN. ","")&amp;IF(AND(R299&lt;&gt;"",IFERROR(VALUE(MID(R299,2,2)),0)&lt;SG_Criteria!$B$52),"FAIL: grade below C"&amp;SG_Criteria!$B$52&amp;". ","")&amp;IF(D299="Non-standard (project design)","NOTE: not an SDRE standard, needs LTA acceptance. ","")))</f>
        <v/>
      </c>
      <c r="AP299" s="9"/>
      <c r="AQ299" s="9"/>
      <c r="AR299" s="9"/>
      <c r="AS299" s="9"/>
      <c r="AT299" s="9"/>
      <c r="AU299" s="31"/>
      <c r="AV299" s="10" t="str">
        <f aca="false">IF(C299="","",IF(AND(X299="Approved",ISERROR(SEARCH("FAIL",AO299))),"Y","N"))</f>
        <v/>
      </c>
      <c r="AW299" s="10" t="str">
        <f aca="false">IF(C299="","",C299&amp;"|"&amp;E299&amp;"|"&amp;F299&amp;"|"&amp;AV299)</f>
        <v/>
      </c>
    </row>
    <row r="300" customFormat="false" ht="15" hidden="false" customHeight="false" outlineLevel="0" collapsed="false">
      <c r="A300" s="10" t="str">
        <f aca="false">IF(C300="","","LKW-"&amp;IFERROR(VLOOKUP(C300,Lists!$AQ$4:$AR$17,2,0),"??")&amp;"-W"&amp;TEXT(E300*1000,"0000")&amp;"-H"&amp;TEXT(F300*1000,"0000")&amp;"-B"&amp;TEXT(G300*1000,"0000")&amp;"-"&amp;W300)</f>
        <v/>
      </c>
      <c r="B300" s="10" t="str">
        <f aca="false">IF(C300="","",C300&amp;", "&amp;E300&amp;" m wide, "&amp;F300&amp;" m headroom, "&amp;G300&amp;" m bays, "&amp;H300&amp;" ("&amp;D300&amp;")")</f>
        <v/>
      </c>
      <c r="C300" s="9"/>
      <c r="D300" s="9"/>
      <c r="E300" s="43"/>
      <c r="F300" s="43"/>
      <c r="G300" s="43"/>
      <c r="H300" s="9"/>
      <c r="I300" s="9"/>
      <c r="J300" s="9"/>
      <c r="K300" s="9"/>
      <c r="L300" s="9"/>
      <c r="M300" s="9"/>
      <c r="N300" s="9"/>
      <c r="O300" s="9"/>
      <c r="P300" s="40"/>
      <c r="Q300" s="43"/>
      <c r="R300" s="9"/>
      <c r="S300" s="9"/>
      <c r="T300" s="9"/>
      <c r="U300" s="43"/>
      <c r="V300" s="9"/>
      <c r="W300" s="9"/>
      <c r="X300" s="9"/>
      <c r="Y300" s="9"/>
      <c r="Z300" s="9"/>
      <c r="AA300" s="9"/>
      <c r="AB300" s="10" t="str">
        <f aca="false">IF(A300="","",SG_Criteria!$B$6&amp;SG_Criteria!$B$12&amp;"\"&amp;A300&amp;"\")</f>
        <v/>
      </c>
      <c r="AC300" s="10" t="str">
        <f aca="false">IF(A300="","",A300&amp;"_CAD.dwg")</f>
        <v/>
      </c>
      <c r="AD300" s="10" t="str">
        <f aca="false">IF(A300="","",A300&amp;"_DWG.pdf")</f>
        <v/>
      </c>
      <c r="AE300" s="10" t="str">
        <f aca="false">IF(A300="","",IF(AA300="Y",A300&amp;"_STAAD.std","n/a"))</f>
        <v/>
      </c>
      <c r="AF300" s="10" t="str">
        <f aca="false">IF(A300="","",A300&amp;"_CALC.xlsx")</f>
        <v/>
      </c>
      <c r="AG300" s="10" t="str">
        <f aca="false">IF(A300="","",A300&amp;"_CALC.pdf")</f>
        <v/>
      </c>
      <c r="AH300" s="9"/>
      <c r="AI300" s="9"/>
      <c r="AJ300" s="41"/>
      <c r="AK300" s="41"/>
      <c r="AL300" s="41"/>
      <c r="AM300" s="41"/>
      <c r="AN300" s="41"/>
      <c r="AO300" s="38" t="str">
        <f aca="false">IF(C300="","",IF(LEN(IF(AND(C300&lt;&gt;"High Covered Linkway",F300&lt;SG_Criteria!$B$46),"FAIL: headroom below "&amp;SG_Criteria!$B$46&amp;" m. ","")&amp;IF(AND(C300="High Covered Linkway",F300&lt;SG_Criteria!$B$47),"FAIL: high linkway headroom below "&amp;SG_Criteria!$B$47&amp;" m. ","")&amp;IF(E300&lt;SG_Criteria!$B$48,"FAIL: roof width below "&amp;SG_Criteria!$B$48&amp;" m. ",IF(E300&lt;SG_Criteria!$B$49,"NOTE: not for MRT/LRT or high-traffic routes (min "&amp;SG_Criteria!$B$49&amp;" m). ",""))&amp;IF(AND(P300&lt;&gt;"",P300&lt;SG_Criteria!$B$50),"FAIL: wind speed below "&amp;SG_Criteria!$B$50&amp;" m/s. ","")&amp;IF(AND(Q300&lt;&gt;"",Q300&lt;SG_Criteria!$B$51),"FAIL: roof fixing pull-out below "&amp;SG_Criteria!$B$51&amp;" kN. ","")&amp;IF(AND(R300&lt;&gt;"",IFERROR(VALUE(MID(R300,2,2)),0)&lt;SG_Criteria!$B$52),"FAIL: grade below C"&amp;SG_Criteria!$B$52&amp;". ","")&amp;IF(D300="Non-standard (project design)","NOTE: not an SDRE standard, needs LTA acceptance. ",""))=0,"OK",IF(AND(C300&lt;&gt;"High Covered Linkway",F300&lt;SG_Criteria!$B$46),"FAIL: headroom below "&amp;SG_Criteria!$B$46&amp;" m. ","")&amp;IF(AND(C300="High Covered Linkway",F300&lt;SG_Criteria!$B$47),"FAIL: high linkway headroom below "&amp;SG_Criteria!$B$47&amp;" m. ","")&amp;IF(E300&lt;SG_Criteria!$B$48,"FAIL: roof width below "&amp;SG_Criteria!$B$48&amp;" m. ",IF(E300&lt;SG_Criteria!$B$49,"NOTE: not for MRT/LRT or high-traffic routes (min "&amp;SG_Criteria!$B$49&amp;" m). ",""))&amp;IF(AND(P300&lt;&gt;"",P300&lt;SG_Criteria!$B$50),"FAIL: wind speed below "&amp;SG_Criteria!$B$50&amp;" m/s. ","")&amp;IF(AND(Q300&lt;&gt;"",Q300&lt;SG_Criteria!$B$51),"FAIL: roof fixing pull-out below "&amp;SG_Criteria!$B$51&amp;" kN. ","")&amp;IF(AND(R300&lt;&gt;"",IFERROR(VALUE(MID(R300,2,2)),0)&lt;SG_Criteria!$B$52),"FAIL: grade below C"&amp;SG_Criteria!$B$52&amp;". ","")&amp;IF(D300="Non-standard (project design)","NOTE: not an SDRE standard, needs LTA acceptance. ","")))</f>
        <v/>
      </c>
      <c r="AP300" s="9"/>
      <c r="AQ300" s="9"/>
      <c r="AR300" s="9"/>
      <c r="AS300" s="9"/>
      <c r="AT300" s="9"/>
      <c r="AU300" s="31"/>
      <c r="AV300" s="10" t="str">
        <f aca="false">IF(C300="","",IF(AND(X300="Approved",ISERROR(SEARCH("FAIL",AO300))),"Y","N"))</f>
        <v/>
      </c>
      <c r="AW300" s="10" t="str">
        <f aca="false">IF(C300="","",C300&amp;"|"&amp;E300&amp;"|"&amp;F300&amp;"|"&amp;AV300)</f>
        <v/>
      </c>
    </row>
    <row r="301" customFormat="false" ht="15" hidden="false" customHeight="false" outlineLevel="0" collapsed="false">
      <c r="A301" s="10" t="str">
        <f aca="false">IF(C301="","","LKW-"&amp;IFERROR(VLOOKUP(C301,Lists!$AQ$4:$AR$17,2,0),"??")&amp;"-W"&amp;TEXT(E301*1000,"0000")&amp;"-H"&amp;TEXT(F301*1000,"0000")&amp;"-B"&amp;TEXT(G301*1000,"0000")&amp;"-"&amp;W301)</f>
        <v/>
      </c>
      <c r="B301" s="10" t="str">
        <f aca="false">IF(C301="","",C301&amp;", "&amp;E301&amp;" m wide, "&amp;F301&amp;" m headroom, "&amp;G301&amp;" m bays, "&amp;H301&amp;" ("&amp;D301&amp;")")</f>
        <v/>
      </c>
      <c r="C301" s="9"/>
      <c r="D301" s="9"/>
      <c r="E301" s="43"/>
      <c r="F301" s="43"/>
      <c r="G301" s="43"/>
      <c r="H301" s="9"/>
      <c r="I301" s="9"/>
      <c r="J301" s="9"/>
      <c r="K301" s="9"/>
      <c r="L301" s="9"/>
      <c r="M301" s="9"/>
      <c r="N301" s="9"/>
      <c r="O301" s="9"/>
      <c r="P301" s="40"/>
      <c r="Q301" s="43"/>
      <c r="R301" s="9"/>
      <c r="S301" s="9"/>
      <c r="T301" s="9"/>
      <c r="U301" s="43"/>
      <c r="V301" s="9"/>
      <c r="W301" s="9"/>
      <c r="X301" s="9"/>
      <c r="Y301" s="9"/>
      <c r="Z301" s="9"/>
      <c r="AA301" s="9"/>
      <c r="AB301" s="10" t="str">
        <f aca="false">IF(A301="","",SG_Criteria!$B$6&amp;SG_Criteria!$B$12&amp;"\"&amp;A301&amp;"\")</f>
        <v/>
      </c>
      <c r="AC301" s="10" t="str">
        <f aca="false">IF(A301="","",A301&amp;"_CAD.dwg")</f>
        <v/>
      </c>
      <c r="AD301" s="10" t="str">
        <f aca="false">IF(A301="","",A301&amp;"_DWG.pdf")</f>
        <v/>
      </c>
      <c r="AE301" s="10" t="str">
        <f aca="false">IF(A301="","",IF(AA301="Y",A301&amp;"_STAAD.std","n/a"))</f>
        <v/>
      </c>
      <c r="AF301" s="10" t="str">
        <f aca="false">IF(A301="","",A301&amp;"_CALC.xlsx")</f>
        <v/>
      </c>
      <c r="AG301" s="10" t="str">
        <f aca="false">IF(A301="","",A301&amp;"_CALC.pdf")</f>
        <v/>
      </c>
      <c r="AH301" s="9"/>
      <c r="AI301" s="9"/>
      <c r="AJ301" s="41"/>
      <c r="AK301" s="41"/>
      <c r="AL301" s="41"/>
      <c r="AM301" s="41"/>
      <c r="AN301" s="41"/>
      <c r="AO301" s="38" t="str">
        <f aca="false">IF(C301="","",IF(LEN(IF(AND(C301&lt;&gt;"High Covered Linkway",F301&lt;SG_Criteria!$B$46),"FAIL: headroom below "&amp;SG_Criteria!$B$46&amp;" m. ","")&amp;IF(AND(C301="High Covered Linkway",F301&lt;SG_Criteria!$B$47),"FAIL: high linkway headroom below "&amp;SG_Criteria!$B$47&amp;" m. ","")&amp;IF(E301&lt;SG_Criteria!$B$48,"FAIL: roof width below "&amp;SG_Criteria!$B$48&amp;" m. ",IF(E301&lt;SG_Criteria!$B$49,"NOTE: not for MRT/LRT or high-traffic routes (min "&amp;SG_Criteria!$B$49&amp;" m). ",""))&amp;IF(AND(P301&lt;&gt;"",P301&lt;SG_Criteria!$B$50),"FAIL: wind speed below "&amp;SG_Criteria!$B$50&amp;" m/s. ","")&amp;IF(AND(Q301&lt;&gt;"",Q301&lt;SG_Criteria!$B$51),"FAIL: roof fixing pull-out below "&amp;SG_Criteria!$B$51&amp;" kN. ","")&amp;IF(AND(R301&lt;&gt;"",IFERROR(VALUE(MID(R301,2,2)),0)&lt;SG_Criteria!$B$52),"FAIL: grade below C"&amp;SG_Criteria!$B$52&amp;". ","")&amp;IF(D301="Non-standard (project design)","NOTE: not an SDRE standard, needs LTA acceptance. ",""))=0,"OK",IF(AND(C301&lt;&gt;"High Covered Linkway",F301&lt;SG_Criteria!$B$46),"FAIL: headroom below "&amp;SG_Criteria!$B$46&amp;" m. ","")&amp;IF(AND(C301="High Covered Linkway",F301&lt;SG_Criteria!$B$47),"FAIL: high linkway headroom below "&amp;SG_Criteria!$B$47&amp;" m. ","")&amp;IF(E301&lt;SG_Criteria!$B$48,"FAIL: roof width below "&amp;SG_Criteria!$B$48&amp;" m. ",IF(E301&lt;SG_Criteria!$B$49,"NOTE: not for MRT/LRT or high-traffic routes (min "&amp;SG_Criteria!$B$49&amp;" m). ",""))&amp;IF(AND(P301&lt;&gt;"",P301&lt;SG_Criteria!$B$50),"FAIL: wind speed below "&amp;SG_Criteria!$B$50&amp;" m/s. ","")&amp;IF(AND(Q301&lt;&gt;"",Q301&lt;SG_Criteria!$B$51),"FAIL: roof fixing pull-out below "&amp;SG_Criteria!$B$51&amp;" kN. ","")&amp;IF(AND(R301&lt;&gt;"",IFERROR(VALUE(MID(R301,2,2)),0)&lt;SG_Criteria!$B$52),"FAIL: grade below C"&amp;SG_Criteria!$B$52&amp;". ","")&amp;IF(D301="Non-standard (project design)","NOTE: not an SDRE standard, needs LTA acceptance. ","")))</f>
        <v/>
      </c>
      <c r="AP301" s="9"/>
      <c r="AQ301" s="9"/>
      <c r="AR301" s="9"/>
      <c r="AS301" s="9"/>
      <c r="AT301" s="9"/>
      <c r="AU301" s="31"/>
      <c r="AV301" s="10" t="str">
        <f aca="false">IF(C301="","",IF(AND(X301="Approved",ISERROR(SEARCH("FAIL",AO301))),"Y","N"))</f>
        <v/>
      </c>
      <c r="AW301" s="10" t="str">
        <f aca="false">IF(C301="","",C301&amp;"|"&amp;E301&amp;"|"&amp;F301&amp;"|"&amp;AV301)</f>
        <v/>
      </c>
    </row>
    <row r="302" customFormat="false" ht="15" hidden="false" customHeight="false" outlineLevel="0" collapsed="false">
      <c r="A302" s="10" t="str">
        <f aca="false">IF(C302="","","LKW-"&amp;IFERROR(VLOOKUP(C302,Lists!$AQ$4:$AR$17,2,0),"??")&amp;"-W"&amp;TEXT(E302*1000,"0000")&amp;"-H"&amp;TEXT(F302*1000,"0000")&amp;"-B"&amp;TEXT(G302*1000,"0000")&amp;"-"&amp;W302)</f>
        <v/>
      </c>
      <c r="B302" s="10" t="str">
        <f aca="false">IF(C302="","",C302&amp;", "&amp;E302&amp;" m wide, "&amp;F302&amp;" m headroom, "&amp;G302&amp;" m bays, "&amp;H302&amp;" ("&amp;D302&amp;")")</f>
        <v/>
      </c>
      <c r="C302" s="9"/>
      <c r="D302" s="9"/>
      <c r="E302" s="43"/>
      <c r="F302" s="43"/>
      <c r="G302" s="43"/>
      <c r="H302" s="9"/>
      <c r="I302" s="9"/>
      <c r="J302" s="9"/>
      <c r="K302" s="9"/>
      <c r="L302" s="9"/>
      <c r="M302" s="9"/>
      <c r="N302" s="9"/>
      <c r="O302" s="9"/>
      <c r="P302" s="40"/>
      <c r="Q302" s="43"/>
      <c r="R302" s="9"/>
      <c r="S302" s="9"/>
      <c r="T302" s="9"/>
      <c r="U302" s="43"/>
      <c r="V302" s="9"/>
      <c r="W302" s="9"/>
      <c r="X302" s="9"/>
      <c r="Y302" s="9"/>
      <c r="Z302" s="9"/>
      <c r="AA302" s="9"/>
      <c r="AB302" s="10" t="str">
        <f aca="false">IF(A302="","",SG_Criteria!$B$6&amp;SG_Criteria!$B$12&amp;"\"&amp;A302&amp;"\")</f>
        <v/>
      </c>
      <c r="AC302" s="10" t="str">
        <f aca="false">IF(A302="","",A302&amp;"_CAD.dwg")</f>
        <v/>
      </c>
      <c r="AD302" s="10" t="str">
        <f aca="false">IF(A302="","",A302&amp;"_DWG.pdf")</f>
        <v/>
      </c>
      <c r="AE302" s="10" t="str">
        <f aca="false">IF(A302="","",IF(AA302="Y",A302&amp;"_STAAD.std","n/a"))</f>
        <v/>
      </c>
      <c r="AF302" s="10" t="str">
        <f aca="false">IF(A302="","",A302&amp;"_CALC.xlsx")</f>
        <v/>
      </c>
      <c r="AG302" s="10" t="str">
        <f aca="false">IF(A302="","",A302&amp;"_CALC.pdf")</f>
        <v/>
      </c>
      <c r="AH302" s="9"/>
      <c r="AI302" s="9"/>
      <c r="AJ302" s="41"/>
      <c r="AK302" s="41"/>
      <c r="AL302" s="41"/>
      <c r="AM302" s="41"/>
      <c r="AN302" s="41"/>
      <c r="AO302" s="38" t="str">
        <f aca="false">IF(C302="","",IF(LEN(IF(AND(C302&lt;&gt;"High Covered Linkway",F302&lt;SG_Criteria!$B$46),"FAIL: headroom below "&amp;SG_Criteria!$B$46&amp;" m. ","")&amp;IF(AND(C302="High Covered Linkway",F302&lt;SG_Criteria!$B$47),"FAIL: high linkway headroom below "&amp;SG_Criteria!$B$47&amp;" m. ","")&amp;IF(E302&lt;SG_Criteria!$B$48,"FAIL: roof width below "&amp;SG_Criteria!$B$48&amp;" m. ",IF(E302&lt;SG_Criteria!$B$49,"NOTE: not for MRT/LRT or high-traffic routes (min "&amp;SG_Criteria!$B$49&amp;" m). ",""))&amp;IF(AND(P302&lt;&gt;"",P302&lt;SG_Criteria!$B$50),"FAIL: wind speed below "&amp;SG_Criteria!$B$50&amp;" m/s. ","")&amp;IF(AND(Q302&lt;&gt;"",Q302&lt;SG_Criteria!$B$51),"FAIL: roof fixing pull-out below "&amp;SG_Criteria!$B$51&amp;" kN. ","")&amp;IF(AND(R302&lt;&gt;"",IFERROR(VALUE(MID(R302,2,2)),0)&lt;SG_Criteria!$B$52),"FAIL: grade below C"&amp;SG_Criteria!$B$52&amp;". ","")&amp;IF(D302="Non-standard (project design)","NOTE: not an SDRE standard, needs LTA acceptance. ",""))=0,"OK",IF(AND(C302&lt;&gt;"High Covered Linkway",F302&lt;SG_Criteria!$B$46),"FAIL: headroom below "&amp;SG_Criteria!$B$46&amp;" m. ","")&amp;IF(AND(C302="High Covered Linkway",F302&lt;SG_Criteria!$B$47),"FAIL: high linkway headroom below "&amp;SG_Criteria!$B$47&amp;" m. ","")&amp;IF(E302&lt;SG_Criteria!$B$48,"FAIL: roof width below "&amp;SG_Criteria!$B$48&amp;" m. ",IF(E302&lt;SG_Criteria!$B$49,"NOTE: not for MRT/LRT or high-traffic routes (min "&amp;SG_Criteria!$B$49&amp;" m). ",""))&amp;IF(AND(P302&lt;&gt;"",P302&lt;SG_Criteria!$B$50),"FAIL: wind speed below "&amp;SG_Criteria!$B$50&amp;" m/s. ","")&amp;IF(AND(Q302&lt;&gt;"",Q302&lt;SG_Criteria!$B$51),"FAIL: roof fixing pull-out below "&amp;SG_Criteria!$B$51&amp;" kN. ","")&amp;IF(AND(R302&lt;&gt;"",IFERROR(VALUE(MID(R302,2,2)),0)&lt;SG_Criteria!$B$52),"FAIL: grade below C"&amp;SG_Criteria!$B$52&amp;". ","")&amp;IF(D302="Non-standard (project design)","NOTE: not an SDRE standard, needs LTA acceptance. ","")))</f>
        <v/>
      </c>
      <c r="AP302" s="9"/>
      <c r="AQ302" s="9"/>
      <c r="AR302" s="9"/>
      <c r="AS302" s="9"/>
      <c r="AT302" s="9"/>
      <c r="AU302" s="31"/>
      <c r="AV302" s="10" t="str">
        <f aca="false">IF(C302="","",IF(AND(X302="Approved",ISERROR(SEARCH("FAIL",AO302))),"Y","N"))</f>
        <v/>
      </c>
      <c r="AW302" s="10" t="str">
        <f aca="false">IF(C302="","",C302&amp;"|"&amp;E302&amp;"|"&amp;F302&amp;"|"&amp;AV302)</f>
        <v/>
      </c>
    </row>
    <row r="303" customFormat="false" ht="15" hidden="false" customHeight="false" outlineLevel="0" collapsed="false">
      <c r="A303" s="10" t="str">
        <f aca="false">IF(C303="","","LKW-"&amp;IFERROR(VLOOKUP(C303,Lists!$AQ$4:$AR$17,2,0),"??")&amp;"-W"&amp;TEXT(E303*1000,"0000")&amp;"-H"&amp;TEXT(F303*1000,"0000")&amp;"-B"&amp;TEXT(G303*1000,"0000")&amp;"-"&amp;W303)</f>
        <v/>
      </c>
      <c r="B303" s="10" t="str">
        <f aca="false">IF(C303="","",C303&amp;", "&amp;E303&amp;" m wide, "&amp;F303&amp;" m headroom, "&amp;G303&amp;" m bays, "&amp;H303&amp;" ("&amp;D303&amp;")")</f>
        <v/>
      </c>
      <c r="C303" s="9"/>
      <c r="D303" s="9"/>
      <c r="E303" s="43"/>
      <c r="F303" s="43"/>
      <c r="G303" s="43"/>
      <c r="H303" s="9"/>
      <c r="I303" s="9"/>
      <c r="J303" s="9"/>
      <c r="K303" s="9"/>
      <c r="L303" s="9"/>
      <c r="M303" s="9"/>
      <c r="N303" s="9"/>
      <c r="O303" s="9"/>
      <c r="P303" s="40"/>
      <c r="Q303" s="43"/>
      <c r="R303" s="9"/>
      <c r="S303" s="9"/>
      <c r="T303" s="9"/>
      <c r="U303" s="43"/>
      <c r="V303" s="9"/>
      <c r="W303" s="9"/>
      <c r="X303" s="9"/>
      <c r="Y303" s="9"/>
      <c r="Z303" s="9"/>
      <c r="AA303" s="9"/>
      <c r="AB303" s="10" t="str">
        <f aca="false">IF(A303="","",SG_Criteria!$B$6&amp;SG_Criteria!$B$12&amp;"\"&amp;A303&amp;"\")</f>
        <v/>
      </c>
      <c r="AC303" s="10" t="str">
        <f aca="false">IF(A303="","",A303&amp;"_CAD.dwg")</f>
        <v/>
      </c>
      <c r="AD303" s="10" t="str">
        <f aca="false">IF(A303="","",A303&amp;"_DWG.pdf")</f>
        <v/>
      </c>
      <c r="AE303" s="10" t="str">
        <f aca="false">IF(A303="","",IF(AA303="Y",A303&amp;"_STAAD.std","n/a"))</f>
        <v/>
      </c>
      <c r="AF303" s="10" t="str">
        <f aca="false">IF(A303="","",A303&amp;"_CALC.xlsx")</f>
        <v/>
      </c>
      <c r="AG303" s="10" t="str">
        <f aca="false">IF(A303="","",A303&amp;"_CALC.pdf")</f>
        <v/>
      </c>
      <c r="AH303" s="9"/>
      <c r="AI303" s="9"/>
      <c r="AJ303" s="41"/>
      <c r="AK303" s="41"/>
      <c r="AL303" s="41"/>
      <c r="AM303" s="41"/>
      <c r="AN303" s="41"/>
      <c r="AO303" s="38" t="str">
        <f aca="false">IF(C303="","",IF(LEN(IF(AND(C303&lt;&gt;"High Covered Linkway",F303&lt;SG_Criteria!$B$46),"FAIL: headroom below "&amp;SG_Criteria!$B$46&amp;" m. ","")&amp;IF(AND(C303="High Covered Linkway",F303&lt;SG_Criteria!$B$47),"FAIL: high linkway headroom below "&amp;SG_Criteria!$B$47&amp;" m. ","")&amp;IF(E303&lt;SG_Criteria!$B$48,"FAIL: roof width below "&amp;SG_Criteria!$B$48&amp;" m. ",IF(E303&lt;SG_Criteria!$B$49,"NOTE: not for MRT/LRT or high-traffic routes (min "&amp;SG_Criteria!$B$49&amp;" m). ",""))&amp;IF(AND(P303&lt;&gt;"",P303&lt;SG_Criteria!$B$50),"FAIL: wind speed below "&amp;SG_Criteria!$B$50&amp;" m/s. ","")&amp;IF(AND(Q303&lt;&gt;"",Q303&lt;SG_Criteria!$B$51),"FAIL: roof fixing pull-out below "&amp;SG_Criteria!$B$51&amp;" kN. ","")&amp;IF(AND(R303&lt;&gt;"",IFERROR(VALUE(MID(R303,2,2)),0)&lt;SG_Criteria!$B$52),"FAIL: grade below C"&amp;SG_Criteria!$B$52&amp;". ","")&amp;IF(D303="Non-standard (project design)","NOTE: not an SDRE standard, needs LTA acceptance. ",""))=0,"OK",IF(AND(C303&lt;&gt;"High Covered Linkway",F303&lt;SG_Criteria!$B$46),"FAIL: headroom below "&amp;SG_Criteria!$B$46&amp;" m. ","")&amp;IF(AND(C303="High Covered Linkway",F303&lt;SG_Criteria!$B$47),"FAIL: high linkway headroom below "&amp;SG_Criteria!$B$47&amp;" m. ","")&amp;IF(E303&lt;SG_Criteria!$B$48,"FAIL: roof width below "&amp;SG_Criteria!$B$48&amp;" m. ",IF(E303&lt;SG_Criteria!$B$49,"NOTE: not for MRT/LRT or high-traffic routes (min "&amp;SG_Criteria!$B$49&amp;" m). ",""))&amp;IF(AND(P303&lt;&gt;"",P303&lt;SG_Criteria!$B$50),"FAIL: wind speed below "&amp;SG_Criteria!$B$50&amp;" m/s. ","")&amp;IF(AND(Q303&lt;&gt;"",Q303&lt;SG_Criteria!$B$51),"FAIL: roof fixing pull-out below "&amp;SG_Criteria!$B$51&amp;" kN. ","")&amp;IF(AND(R303&lt;&gt;"",IFERROR(VALUE(MID(R303,2,2)),0)&lt;SG_Criteria!$B$52),"FAIL: grade below C"&amp;SG_Criteria!$B$52&amp;". ","")&amp;IF(D303="Non-standard (project design)","NOTE: not an SDRE standard, needs LTA acceptance. ","")))</f>
        <v/>
      </c>
      <c r="AP303" s="9"/>
      <c r="AQ303" s="9"/>
      <c r="AR303" s="9"/>
      <c r="AS303" s="9"/>
      <c r="AT303" s="9"/>
      <c r="AU303" s="31"/>
      <c r="AV303" s="10" t="str">
        <f aca="false">IF(C303="","",IF(AND(X303="Approved",ISERROR(SEARCH("FAIL",AO303))),"Y","N"))</f>
        <v/>
      </c>
      <c r="AW303" s="10" t="str">
        <f aca="false">IF(C303="","",C303&amp;"|"&amp;E303&amp;"|"&amp;F303&amp;"|"&amp;AV303)</f>
        <v/>
      </c>
    </row>
    <row r="304" customFormat="false" ht="15" hidden="false" customHeight="false" outlineLevel="0" collapsed="false">
      <c r="A304" s="10" t="str">
        <f aca="false">IF(C304="","","LKW-"&amp;IFERROR(VLOOKUP(C304,Lists!$AQ$4:$AR$17,2,0),"??")&amp;"-W"&amp;TEXT(E304*1000,"0000")&amp;"-H"&amp;TEXT(F304*1000,"0000")&amp;"-B"&amp;TEXT(G304*1000,"0000")&amp;"-"&amp;W304)</f>
        <v/>
      </c>
      <c r="B304" s="10" t="str">
        <f aca="false">IF(C304="","",C304&amp;", "&amp;E304&amp;" m wide, "&amp;F304&amp;" m headroom, "&amp;G304&amp;" m bays, "&amp;H304&amp;" ("&amp;D304&amp;")")</f>
        <v/>
      </c>
      <c r="C304" s="9"/>
      <c r="D304" s="9"/>
      <c r="E304" s="43"/>
      <c r="F304" s="43"/>
      <c r="G304" s="43"/>
      <c r="H304" s="9"/>
      <c r="I304" s="9"/>
      <c r="J304" s="9"/>
      <c r="K304" s="9"/>
      <c r="L304" s="9"/>
      <c r="M304" s="9"/>
      <c r="N304" s="9"/>
      <c r="O304" s="9"/>
      <c r="P304" s="40"/>
      <c r="Q304" s="43"/>
      <c r="R304" s="9"/>
      <c r="S304" s="9"/>
      <c r="T304" s="9"/>
      <c r="U304" s="43"/>
      <c r="V304" s="9"/>
      <c r="W304" s="9"/>
      <c r="X304" s="9"/>
      <c r="Y304" s="9"/>
      <c r="Z304" s="9"/>
      <c r="AA304" s="9"/>
      <c r="AB304" s="10" t="str">
        <f aca="false">IF(A304="","",SG_Criteria!$B$6&amp;SG_Criteria!$B$12&amp;"\"&amp;A304&amp;"\")</f>
        <v/>
      </c>
      <c r="AC304" s="10" t="str">
        <f aca="false">IF(A304="","",A304&amp;"_CAD.dwg")</f>
        <v/>
      </c>
      <c r="AD304" s="10" t="str">
        <f aca="false">IF(A304="","",A304&amp;"_DWG.pdf")</f>
        <v/>
      </c>
      <c r="AE304" s="10" t="str">
        <f aca="false">IF(A304="","",IF(AA304="Y",A304&amp;"_STAAD.std","n/a"))</f>
        <v/>
      </c>
      <c r="AF304" s="10" t="str">
        <f aca="false">IF(A304="","",A304&amp;"_CALC.xlsx")</f>
        <v/>
      </c>
      <c r="AG304" s="10" t="str">
        <f aca="false">IF(A304="","",A304&amp;"_CALC.pdf")</f>
        <v/>
      </c>
      <c r="AH304" s="9"/>
      <c r="AI304" s="9"/>
      <c r="AJ304" s="41"/>
      <c r="AK304" s="41"/>
      <c r="AL304" s="41"/>
      <c r="AM304" s="41"/>
      <c r="AN304" s="41"/>
      <c r="AO304" s="38" t="str">
        <f aca="false">IF(C304="","",IF(LEN(IF(AND(C304&lt;&gt;"High Covered Linkway",F304&lt;SG_Criteria!$B$46),"FAIL: headroom below "&amp;SG_Criteria!$B$46&amp;" m. ","")&amp;IF(AND(C304="High Covered Linkway",F304&lt;SG_Criteria!$B$47),"FAIL: high linkway headroom below "&amp;SG_Criteria!$B$47&amp;" m. ","")&amp;IF(E304&lt;SG_Criteria!$B$48,"FAIL: roof width below "&amp;SG_Criteria!$B$48&amp;" m. ",IF(E304&lt;SG_Criteria!$B$49,"NOTE: not for MRT/LRT or high-traffic routes (min "&amp;SG_Criteria!$B$49&amp;" m). ",""))&amp;IF(AND(P304&lt;&gt;"",P304&lt;SG_Criteria!$B$50),"FAIL: wind speed below "&amp;SG_Criteria!$B$50&amp;" m/s. ","")&amp;IF(AND(Q304&lt;&gt;"",Q304&lt;SG_Criteria!$B$51),"FAIL: roof fixing pull-out below "&amp;SG_Criteria!$B$51&amp;" kN. ","")&amp;IF(AND(R304&lt;&gt;"",IFERROR(VALUE(MID(R304,2,2)),0)&lt;SG_Criteria!$B$52),"FAIL: grade below C"&amp;SG_Criteria!$B$52&amp;". ","")&amp;IF(D304="Non-standard (project design)","NOTE: not an SDRE standard, needs LTA acceptance. ",""))=0,"OK",IF(AND(C304&lt;&gt;"High Covered Linkway",F304&lt;SG_Criteria!$B$46),"FAIL: headroom below "&amp;SG_Criteria!$B$46&amp;" m. ","")&amp;IF(AND(C304="High Covered Linkway",F304&lt;SG_Criteria!$B$47),"FAIL: high linkway headroom below "&amp;SG_Criteria!$B$47&amp;" m. ","")&amp;IF(E304&lt;SG_Criteria!$B$48,"FAIL: roof width below "&amp;SG_Criteria!$B$48&amp;" m. ",IF(E304&lt;SG_Criteria!$B$49,"NOTE: not for MRT/LRT or high-traffic routes (min "&amp;SG_Criteria!$B$49&amp;" m). ",""))&amp;IF(AND(P304&lt;&gt;"",P304&lt;SG_Criteria!$B$50),"FAIL: wind speed below "&amp;SG_Criteria!$B$50&amp;" m/s. ","")&amp;IF(AND(Q304&lt;&gt;"",Q304&lt;SG_Criteria!$B$51),"FAIL: roof fixing pull-out below "&amp;SG_Criteria!$B$51&amp;" kN. ","")&amp;IF(AND(R304&lt;&gt;"",IFERROR(VALUE(MID(R304,2,2)),0)&lt;SG_Criteria!$B$52),"FAIL: grade below C"&amp;SG_Criteria!$B$52&amp;". ","")&amp;IF(D304="Non-standard (project design)","NOTE: not an SDRE standard, needs LTA acceptance. ","")))</f>
        <v/>
      </c>
      <c r="AP304" s="9"/>
      <c r="AQ304" s="9"/>
      <c r="AR304" s="9"/>
      <c r="AS304" s="9"/>
      <c r="AT304" s="9"/>
      <c r="AU304" s="31"/>
      <c r="AV304" s="10" t="str">
        <f aca="false">IF(C304="","",IF(AND(X304="Approved",ISERROR(SEARCH("FAIL",AO304))),"Y","N"))</f>
        <v/>
      </c>
      <c r="AW304" s="10" t="str">
        <f aca="false">IF(C304="","",C304&amp;"|"&amp;E304&amp;"|"&amp;F304&amp;"|"&amp;AV304)</f>
        <v/>
      </c>
    </row>
  </sheetData>
  <conditionalFormatting sqref="AO5:AO304">
    <cfRule type="expression" priority="2" aboveAverage="0" equalAverage="0" bottom="0" percent="0" rank="0" text="" dxfId="0">
      <formula>ISNUMBER(SEARCH("FAIL",AO5))</formula>
    </cfRule>
    <cfRule type="expression" priority="3" aboveAverage="0" equalAverage="0" bottom="0" percent="0" rank="0" text="" dxfId="15">
      <formula>ISNUMBER(SEARCH("NOTE",AO5))</formula>
    </cfRule>
    <cfRule type="expression" priority="4" aboveAverage="0" equalAverage="0" bottom="0" percent="0" rank="0" text="" dxfId="1">
      <formula>AO5="OK"</formula>
    </cfRule>
  </conditionalFormatting>
  <dataValidations count="11">
    <dataValidation allowBlank="true" error="Pick a value from the list (add new values on the Lists sheet)." errorStyle="stop" errorTitle="Not in list" operator="between" showDropDown="false" showErrorMessage="false" showInputMessage="false" sqref="C5:C304" type="list">
      <formula1>Lists!$AQ$4:$AQ$17</formula1>
      <formula2>0</formula2>
    </dataValidation>
    <dataValidation allowBlank="true" error="Pick a value from the list (add new values on the Lists sheet)." errorStyle="stop" errorTitle="Not in list" operator="between" showDropDown="false" showErrorMessage="false" showInputMessage="false" sqref="D5:D304" type="list">
      <formula1>Lists!$AT$4:$AT$20</formula1>
      <formula2>0</formula2>
    </dataValidation>
    <dataValidation allowBlank="true" error="Pick a value from the list (add new values on the Lists sheet)." errorStyle="stop" errorTitle="Not in list" operator="between" showDropDown="false" showErrorMessage="false" showInputMessage="false" sqref="H5:H304" type="list">
      <formula1>Lists!$AW$4:$AW$17</formula1>
      <formula2>0</formula2>
    </dataValidation>
    <dataValidation allowBlank="true" error="Pick a value from the list (add new values on the Lists sheet)." errorStyle="stop" errorTitle="Not in list" operator="between" showDropDown="false" showErrorMessage="false" showInputMessage="false" sqref="J5:J304" type="list">
      <formula1>Lists!$AZ$4:$AZ$18</formula1>
      <formula2>0</formula2>
    </dataValidation>
    <dataValidation allowBlank="true" error="Pick a value from the list (add new values on the Lists sheet)." errorStyle="stop" errorTitle="Not in list" operator="between" showDropDown="false" showErrorMessage="false" showInputMessage="false" sqref="R5:R304" type="list">
      <formula1>Lists!$BO$4:$BO$20</formula1>
      <formula2>0</formula2>
    </dataValidation>
    <dataValidation allowBlank="true" error="Pick a value from the list (add new values on the Lists sheet)." errorStyle="stop" errorTitle="Not in list" operator="between" showDropDown="false" showErrorMessage="false" showInputMessage="false" sqref="S5:S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X5:X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Z5:Z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AA5:AA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H5:AH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AI5:AI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L30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13"/>
    <col collapsed="false" customWidth="true" hidden="false" outlineLevel="0" max="4" min="4" style="0" width="18"/>
    <col collapsed="false" customWidth="true" hidden="false" outlineLevel="0" max="6" min="5" style="0" width="7"/>
    <col collapsed="false" customWidth="true" hidden="false" outlineLevel="0" max="7" min="7" style="0" width="6"/>
    <col collapsed="false" customWidth="true" hidden="false" outlineLevel="0" max="8" min="8" style="0" width="18"/>
    <col collapsed="false" customWidth="true" hidden="false" outlineLevel="0" max="10" min="9" style="0" width="14"/>
    <col collapsed="false" customWidth="true" hidden="false" outlineLevel="0" max="11" min="11" style="0" width="22"/>
    <col collapsed="false" customWidth="true" hidden="false" outlineLevel="0" max="12" min="12" style="0" width="30"/>
    <col collapsed="false" customWidth="true" hidden="false" outlineLevel="0" max="13" min="13" style="0" width="5"/>
    <col collapsed="false" customWidth="true" hidden="false" outlineLevel="0" max="14" min="14" style="0" width="10"/>
    <col collapsed="false" customWidth="true" hidden="false" outlineLevel="0" max="15" min="15" style="0" width="14"/>
    <col collapsed="false" customWidth="true" hidden="false" outlineLevel="0" max="16" min="16" style="0" width="8"/>
    <col collapsed="false" customWidth="true" hidden="false" outlineLevel="0" max="17" min="17" style="0" width="9"/>
    <col collapsed="false" customWidth="true" hidden="false" outlineLevel="0" max="18" min="18" style="0" width="46"/>
    <col collapsed="false" customWidth="true" hidden="false" outlineLevel="0" max="23" min="19" style="0" width="30"/>
    <col collapsed="false" customWidth="true" hidden="false" outlineLevel="0" max="24" min="24" style="0" width="9"/>
    <col collapsed="false" customWidth="true" hidden="false" outlineLevel="0" max="25" min="25" style="0" width="6"/>
    <col collapsed="false" customWidth="true" hidden="false" outlineLevel="0" max="30" min="26" style="0" width="9"/>
    <col collapsed="false" customWidth="true" hidden="false" outlineLevel="0" max="31" min="31" style="0" width="20"/>
    <col collapsed="false" customWidth="true" hidden="false" outlineLevel="0" max="32" min="32" style="0" width="36"/>
    <col collapsed="false" customWidth="true" hidden="false" outlineLevel="0" max="33" min="33" style="0" width="22"/>
    <col collapsed="false" customWidth="true" hidden="false" outlineLevel="0" max="35" min="34" style="0" width="10"/>
    <col collapsed="false" customWidth="true" hidden="false" outlineLevel="0" max="37" min="36" style="0" width="11"/>
    <col collapsed="false" customWidth="true" hidden="false" outlineLevel="0" max="38" min="38" style="0" width="8"/>
  </cols>
  <sheetData>
    <row r="1" customFormat="false" ht="17.35" hidden="false" customHeight="false" outlineLevel="0" collapsed="false">
      <c r="A1" s="5" t="s">
        <v>873</v>
      </c>
    </row>
    <row r="2" customFormat="false" ht="15" hidden="false" customHeight="false" outlineLevel="0" collapsed="false">
      <c r="A2" s="6" t="s">
        <v>874</v>
      </c>
    </row>
    <row r="3" customFormat="false" ht="15" hidden="false" customHeight="false" outlineLevel="0" collapsed="false">
      <c r="A3" s="6" t="s">
        <v>581</v>
      </c>
    </row>
    <row r="4" customFormat="false" ht="54" hidden="false" customHeight="true" outlineLevel="0" collapsed="false">
      <c r="A4" s="16" t="s">
        <v>92</v>
      </c>
      <c r="B4" s="16" t="s">
        <v>93</v>
      </c>
      <c r="C4" s="15" t="s">
        <v>442</v>
      </c>
      <c r="D4" s="15" t="s">
        <v>875</v>
      </c>
      <c r="E4" s="15" t="s">
        <v>876</v>
      </c>
      <c r="F4" s="15" t="s">
        <v>877</v>
      </c>
      <c r="G4" s="15" t="s">
        <v>878</v>
      </c>
      <c r="H4" s="15" t="s">
        <v>879</v>
      </c>
      <c r="I4" s="15" t="s">
        <v>880</v>
      </c>
      <c r="J4" s="15" t="s">
        <v>881</v>
      </c>
      <c r="K4" s="15" t="s">
        <v>882</v>
      </c>
      <c r="L4" s="15" t="s">
        <v>597</v>
      </c>
      <c r="M4" s="15" t="s">
        <v>121</v>
      </c>
      <c r="N4" s="15" t="s">
        <v>122</v>
      </c>
      <c r="O4" s="15" t="s">
        <v>123</v>
      </c>
      <c r="P4" s="15" t="s">
        <v>598</v>
      </c>
      <c r="Q4" s="15" t="s">
        <v>599</v>
      </c>
      <c r="R4" s="34" t="s">
        <v>600</v>
      </c>
      <c r="S4" s="34" t="s">
        <v>601</v>
      </c>
      <c r="T4" s="34" t="s">
        <v>602</v>
      </c>
      <c r="U4" s="34" t="s">
        <v>603</v>
      </c>
      <c r="V4" s="34" t="s">
        <v>604</v>
      </c>
      <c r="W4" s="34" t="s">
        <v>605</v>
      </c>
      <c r="X4" s="15" t="s">
        <v>606</v>
      </c>
      <c r="Y4" s="15" t="s">
        <v>607</v>
      </c>
      <c r="Z4" s="17" t="s">
        <v>608</v>
      </c>
      <c r="AA4" s="17" t="s">
        <v>609</v>
      </c>
      <c r="AB4" s="17" t="s">
        <v>610</v>
      </c>
      <c r="AC4" s="17" t="s">
        <v>611</v>
      </c>
      <c r="AD4" s="17" t="s">
        <v>612</v>
      </c>
      <c r="AE4" s="16" t="s">
        <v>615</v>
      </c>
      <c r="AF4" s="15" t="s">
        <v>616</v>
      </c>
      <c r="AG4" s="15" t="s">
        <v>617</v>
      </c>
      <c r="AH4" s="15" t="s">
        <v>618</v>
      </c>
      <c r="AI4" s="15" t="s">
        <v>619</v>
      </c>
      <c r="AJ4" s="15" t="s">
        <v>620</v>
      </c>
      <c r="AK4" s="15" t="s">
        <v>621</v>
      </c>
      <c r="AL4" s="16" t="s">
        <v>622</v>
      </c>
    </row>
    <row r="5" customFormat="false" ht="15" hidden="false" customHeight="false" outlineLevel="0" collapsed="false">
      <c r="A5" s="10" t="str">
        <f aca="false">IF(C5="","",IFERROR(VLOOKUP(C5,Lists!$BI$4:$BJ$20,2,0),"??")&amp;"-"&amp;UPPER(SUBSTITUTE(D5," ",""))&amp;IF(E5&lt;&gt;"","-SP"&amp;TEXT(E5*1000,"0"),"")&amp;IF(F5&lt;&gt;"","-H"&amp;TEXT(F5*1000,"0"),"")&amp;"-"&amp;M5)</f>
        <v>RLG-DRAINSAFETY-H1000-A</v>
      </c>
      <c r="B5" s="10" t="str">
        <f aca="false">IF(C5="","",C5&amp;" - "&amp;D5&amp;IF(E5&lt;&gt;"",", span "&amp;E5&amp;" m","")&amp;IF(F5&lt;&gt;"",", H "&amp;F5&amp;" m","")&amp;IF(G5&lt;&gt;"",", W "&amp;G5&amp;" m",""))</f>
        <v>Railing - Drain Safety, H 1 m</v>
      </c>
      <c r="C5" s="18" t="s">
        <v>468</v>
      </c>
      <c r="D5" s="18" t="s">
        <v>883</v>
      </c>
      <c r="E5" s="42"/>
      <c r="F5" s="42" t="n">
        <v>1</v>
      </c>
      <c r="G5" s="42"/>
      <c r="H5" s="18" t="s">
        <v>884</v>
      </c>
      <c r="I5" s="18" t="s">
        <v>885</v>
      </c>
      <c r="J5" s="18" t="s">
        <v>886</v>
      </c>
      <c r="K5" s="18" t="s">
        <v>887</v>
      </c>
      <c r="L5" s="18" t="s">
        <v>888</v>
      </c>
      <c r="M5" s="18" t="s">
        <v>628</v>
      </c>
      <c r="N5" s="18" t="s">
        <v>244</v>
      </c>
      <c r="O5" s="18" t="s">
        <v>889</v>
      </c>
      <c r="P5" s="18" t="n">
        <v>10</v>
      </c>
      <c r="Q5" s="18" t="s">
        <v>74</v>
      </c>
      <c r="R5" s="10" t="str">
        <f aca="false">IF(A5="","",SG_Criteria!$B$6&amp;SG_Criteria!$B$13&amp;"\"&amp;A5&amp;"\")</f>
        <v>C:\Users\yourname\YourCompany\Design Library - Documents\07_Other_Structures\RLG-DRAINSAFETY-H1000-A\</v>
      </c>
      <c r="S5" s="10" t="str">
        <f aca="false">IF(A5="","",A5&amp;"_CAD.dwg")</f>
        <v>RLG-DRAINSAFETY-H1000-A_CAD.dwg</v>
      </c>
      <c r="T5" s="10" t="str">
        <f aca="false">IF(A5="","",A5&amp;"_DWG.pdf")</f>
        <v>RLG-DRAINSAFETY-H1000-A_DWG.pdf</v>
      </c>
      <c r="U5" s="10" t="str">
        <f aca="false">IF(A5="","",IF(Q5="Y",A5&amp;"_STAAD.std","n/a"))</f>
        <v>n/a</v>
      </c>
      <c r="V5" s="10" t="str">
        <f aca="false">IF(A5="","",A5&amp;"_CALC.xlsx")</f>
        <v>RLG-DRAINSAFETY-H1000-A_CALC.xlsx</v>
      </c>
      <c r="W5" s="10" t="str">
        <f aca="false">IF(A5="","",A5&amp;"_CALC.pdf")</f>
        <v>RLG-DRAINSAFETY-H1000-A_CALC.pdf</v>
      </c>
      <c r="X5" s="18" t="s">
        <v>74</v>
      </c>
      <c r="Y5" s="18" t="s">
        <v>356</v>
      </c>
      <c r="Z5" s="36" t="n">
        <v>0</v>
      </c>
      <c r="AA5" s="36" t="n">
        <v>0</v>
      </c>
      <c r="AB5" s="36" t="n">
        <v>18</v>
      </c>
      <c r="AC5" s="36" t="n">
        <v>0</v>
      </c>
      <c r="AD5" s="36" t="n">
        <v>0</v>
      </c>
      <c r="AE5" s="38" t="str">
        <f aca="false">IF(C5="","","OK")</f>
        <v>OK</v>
      </c>
      <c r="AF5" s="18" t="s">
        <v>890</v>
      </c>
      <c r="AG5" s="18"/>
      <c r="AH5" s="18" t="s">
        <v>631</v>
      </c>
      <c r="AI5" s="18" t="s">
        <v>631</v>
      </c>
      <c r="AJ5" s="18" t="s">
        <v>631</v>
      </c>
      <c r="AK5" s="39" t="n">
        <v>46309</v>
      </c>
      <c r="AL5" s="10" t="str">
        <f aca="false">IF(C5="","",IF(AND(N5="Approved",ISERROR(SEARCH("FAIL",AE5))),"Y","N"))</f>
        <v>Y</v>
      </c>
    </row>
    <row r="6" customFormat="false" ht="15" hidden="false" customHeight="false" outlineLevel="0" collapsed="false">
      <c r="A6" s="10" t="str">
        <f aca="false">IF(C6="","",IFERROR(VLOOKUP(C6,Lists!$BI$4:$BJ$20,2,0),"??")&amp;"-"&amp;UPPER(SUBSTITUTE(D6," ",""))&amp;IF(E6&lt;&gt;"","-SP"&amp;TEXT(E6*1000,"0"),"")&amp;IF(F6&lt;&gt;"","-H"&amp;TEXT(F6*1000,"0"),"")&amp;"-"&amp;M6)</f>
        <v>RLG-PARAPET-H1100-A</v>
      </c>
      <c r="B6" s="10" t="str">
        <f aca="false">IF(C6="","",C6&amp;" - "&amp;D6&amp;IF(E6&lt;&gt;"",", span "&amp;E6&amp;" m","")&amp;IF(F6&lt;&gt;"",", H "&amp;F6&amp;" m","")&amp;IF(G6&lt;&gt;"",", W "&amp;G6&amp;" m",""))</f>
        <v>Railing - Parapet, H 1.1 m</v>
      </c>
      <c r="C6" s="18" t="s">
        <v>468</v>
      </c>
      <c r="D6" s="18" t="s">
        <v>891</v>
      </c>
      <c r="E6" s="42"/>
      <c r="F6" s="42" t="n">
        <v>1.1</v>
      </c>
      <c r="G6" s="42"/>
      <c r="H6" s="18" t="s">
        <v>884</v>
      </c>
      <c r="I6" s="18" t="s">
        <v>892</v>
      </c>
      <c r="J6" s="18" t="s">
        <v>886</v>
      </c>
      <c r="K6" s="18" t="s">
        <v>893</v>
      </c>
      <c r="L6" s="18" t="s">
        <v>888</v>
      </c>
      <c r="M6" s="18" t="s">
        <v>628</v>
      </c>
      <c r="N6" s="18" t="s">
        <v>245</v>
      </c>
      <c r="O6" s="18" t="s">
        <v>894</v>
      </c>
      <c r="P6" s="18" t="n">
        <v>10</v>
      </c>
      <c r="Q6" s="18" t="s">
        <v>74</v>
      </c>
      <c r="R6" s="10" t="str">
        <f aca="false">IF(A6="","",SG_Criteria!$B$6&amp;SG_Criteria!$B$13&amp;"\"&amp;A6&amp;"\")</f>
        <v>C:\Users\yourname\YourCompany\Design Library - Documents\07_Other_Structures\RLG-PARAPET-H1100-A\</v>
      </c>
      <c r="S6" s="10" t="str">
        <f aca="false">IF(A6="","",A6&amp;"_CAD.dwg")</f>
        <v>RLG-PARAPET-H1100-A_CAD.dwg</v>
      </c>
      <c r="T6" s="10" t="str">
        <f aca="false">IF(A6="","",A6&amp;"_DWG.pdf")</f>
        <v>RLG-PARAPET-H1100-A_DWG.pdf</v>
      </c>
      <c r="U6" s="10" t="str">
        <f aca="false">IF(A6="","",IF(Q6="Y",A6&amp;"_STAAD.std","n/a"))</f>
        <v>n/a</v>
      </c>
      <c r="V6" s="10" t="str">
        <f aca="false">IF(A6="","",A6&amp;"_CALC.xlsx")</f>
        <v>RLG-PARAPET-H1100-A_CALC.xlsx</v>
      </c>
      <c r="W6" s="10" t="str">
        <f aca="false">IF(A6="","",A6&amp;"_CALC.pdf")</f>
        <v>RLG-PARAPET-H1100-A_CALC.pdf</v>
      </c>
      <c r="X6" s="18" t="s">
        <v>74</v>
      </c>
      <c r="Y6" s="18" t="s">
        <v>356</v>
      </c>
      <c r="Z6" s="36" t="n">
        <v>0</v>
      </c>
      <c r="AA6" s="36" t="n">
        <v>0</v>
      </c>
      <c r="AB6" s="36" t="n">
        <v>32</v>
      </c>
      <c r="AC6" s="36" t="n">
        <v>0</v>
      </c>
      <c r="AD6" s="36" t="n">
        <v>0</v>
      </c>
      <c r="AE6" s="38" t="str">
        <f aca="false">IF(C6="","","OK")</f>
        <v>OK</v>
      </c>
      <c r="AF6" s="18" t="s">
        <v>634</v>
      </c>
      <c r="AG6" s="18"/>
      <c r="AH6" s="18" t="s">
        <v>631</v>
      </c>
      <c r="AI6" s="18" t="s">
        <v>631</v>
      </c>
      <c r="AJ6" s="18" t="s">
        <v>631</v>
      </c>
      <c r="AK6" s="39" t="n">
        <v>46309</v>
      </c>
      <c r="AL6" s="10" t="str">
        <f aca="false">IF(C6="","",IF(AND(N6="Approved",ISERROR(SEARCH("FAIL",AE6))),"Y","N"))</f>
        <v>N</v>
      </c>
    </row>
    <row r="7" customFormat="false" ht="15" hidden="false" customHeight="false" outlineLevel="0" collapsed="false">
      <c r="A7" s="10" t="str">
        <f aca="false">IF(C7="","",IFERROR(VLOOKUP(C7,Lists!$BI$4:$BJ$20,2,0),"??")&amp;"-"&amp;UPPER(SUBSTITUTE(D7," ",""))&amp;IF(E7&lt;&gt;"","-SP"&amp;TEXT(E7*1000,"0"),"")&amp;IF(F7&lt;&gt;"","-H"&amp;TEXT(F7*1000,"0"),"")&amp;"-"&amp;M7)</f>
        <v>STR-RCSTRAIGHTFLIGHT-SP3600-H3000-A</v>
      </c>
      <c r="B7" s="10" t="str">
        <f aca="false">IF(C7="","",C7&amp;" - "&amp;D7&amp;IF(E7&lt;&gt;"",", span "&amp;E7&amp;" m","")&amp;IF(F7&lt;&gt;"",", H "&amp;F7&amp;" m","")&amp;IF(G7&lt;&gt;"",", W "&amp;G7&amp;" m",""))</f>
        <v>Staircase - RC Straight Flight, span 3.6 m, H 3 m, W 1.5 m</v>
      </c>
      <c r="C7" s="18" t="s">
        <v>491</v>
      </c>
      <c r="D7" s="18" t="s">
        <v>895</v>
      </c>
      <c r="E7" s="42" t="n">
        <v>3.6</v>
      </c>
      <c r="F7" s="42" t="n">
        <v>3</v>
      </c>
      <c r="G7" s="42" t="n">
        <v>1.5</v>
      </c>
      <c r="H7" s="18" t="s">
        <v>896</v>
      </c>
      <c r="I7" s="18" t="s">
        <v>897</v>
      </c>
      <c r="J7" s="18" t="s">
        <v>898</v>
      </c>
      <c r="K7" s="18" t="s">
        <v>899</v>
      </c>
      <c r="L7" s="18" t="s">
        <v>888</v>
      </c>
      <c r="M7" s="18" t="s">
        <v>628</v>
      </c>
      <c r="N7" s="18" t="s">
        <v>244</v>
      </c>
      <c r="O7" s="18" t="s">
        <v>900</v>
      </c>
      <c r="P7" s="18" t="n">
        <v>25</v>
      </c>
      <c r="Q7" s="18" t="s">
        <v>74</v>
      </c>
      <c r="R7" s="10" t="str">
        <f aca="false">IF(A7="","",SG_Criteria!$B$6&amp;SG_Criteria!$B$13&amp;"\"&amp;A7&amp;"\")</f>
        <v>C:\Users\yourname\YourCompany\Design Library - Documents\07_Other_Structures\STR-RCSTRAIGHTFLIGHT-SP3600-H3000-A\</v>
      </c>
      <c r="S7" s="10" t="str">
        <f aca="false">IF(A7="","",A7&amp;"_CAD.dwg")</f>
        <v>STR-RCSTRAIGHTFLIGHT-SP3600-H3000-A_CAD.dwg</v>
      </c>
      <c r="T7" s="10" t="str">
        <f aca="false">IF(A7="","",A7&amp;"_DWG.pdf")</f>
        <v>STR-RCSTRAIGHTFLIGHT-SP3600-H3000-A_DWG.pdf</v>
      </c>
      <c r="U7" s="10" t="str">
        <f aca="false">IF(A7="","",IF(Q7="Y",A7&amp;"_STAAD.std","n/a"))</f>
        <v>n/a</v>
      </c>
      <c r="V7" s="10" t="str">
        <f aca="false">IF(A7="","",A7&amp;"_CALC.xlsx")</f>
        <v>STR-RCSTRAIGHTFLIGHT-SP3600-H3000-A_CALC.xlsx</v>
      </c>
      <c r="W7" s="10" t="str">
        <f aca="false">IF(A7="","",A7&amp;"_CALC.pdf")</f>
        <v>STR-RCSTRAIGHTFLIGHT-SP3600-H3000-A_CALC.pdf</v>
      </c>
      <c r="X7" s="18" t="s">
        <v>74</v>
      </c>
      <c r="Y7" s="18" t="s">
        <v>493</v>
      </c>
      <c r="Z7" s="36" t="n">
        <v>2.4</v>
      </c>
      <c r="AA7" s="36" t="n">
        <v>210</v>
      </c>
      <c r="AB7" s="36" t="n">
        <v>0</v>
      </c>
      <c r="AC7" s="36" t="n">
        <v>12.5</v>
      </c>
      <c r="AD7" s="36" t="n">
        <v>1.8</v>
      </c>
      <c r="AE7" s="38" t="str">
        <f aca="false">IF(C7="","","OK")</f>
        <v>OK</v>
      </c>
      <c r="AF7" s="18" t="s">
        <v>901</v>
      </c>
      <c r="AG7" s="18"/>
      <c r="AH7" s="18" t="s">
        <v>631</v>
      </c>
      <c r="AI7" s="18" t="s">
        <v>631</v>
      </c>
      <c r="AJ7" s="18" t="s">
        <v>631</v>
      </c>
      <c r="AK7" s="39" t="n">
        <v>46309</v>
      </c>
      <c r="AL7" s="10" t="str">
        <f aca="false">IF(C7="","",IF(AND(N7="Approved",ISERROR(SEARCH("FAIL",AE7))),"Y","N"))</f>
        <v>Y</v>
      </c>
    </row>
    <row r="8" customFormat="false" ht="15" hidden="false" customHeight="false" outlineLevel="0" collapsed="false">
      <c r="A8" s="10" t="str">
        <f aca="false">IF(C8="","",IFERROR(VLOOKUP(C8,Lists!$BI$4:$BJ$20,2,0),"??")&amp;"-"&amp;UPPER(SUBSTITUTE(D8," ",""))&amp;IF(E8&lt;&gt;"","-SP"&amp;TEXT(E8*1000,"0"),"")&amp;IF(F8&lt;&gt;"","-H"&amp;TEXT(F8*1000,"0"),"")&amp;"-"&amp;M8)</f>
        <v>POB-STEELTRUSSWITHLIFT-SP30000-H5700-A</v>
      </c>
      <c r="B8" s="10" t="str">
        <f aca="false">IF(C8="","",C8&amp;" - "&amp;D8&amp;IF(E8&lt;&gt;"",", span "&amp;E8&amp;" m","")&amp;IF(F8&lt;&gt;"",", H "&amp;F8&amp;" m","")&amp;IF(G8&lt;&gt;"",", W "&amp;G8&amp;" m",""))</f>
        <v>POB - Steel Truss with Lift, span 30 m, H 5.7 m, W 3 m</v>
      </c>
      <c r="C8" s="18" t="s">
        <v>512</v>
      </c>
      <c r="D8" s="18" t="s">
        <v>902</v>
      </c>
      <c r="E8" s="42" t="n">
        <v>30</v>
      </c>
      <c r="F8" s="42" t="n">
        <v>5.7</v>
      </c>
      <c r="G8" s="42" t="n">
        <v>3</v>
      </c>
      <c r="H8" s="18" t="s">
        <v>903</v>
      </c>
      <c r="I8" s="18" t="s">
        <v>904</v>
      </c>
      <c r="J8" s="18" t="s">
        <v>905</v>
      </c>
      <c r="K8" s="18" t="s">
        <v>906</v>
      </c>
      <c r="L8" s="18" t="s">
        <v>888</v>
      </c>
      <c r="M8" s="18" t="s">
        <v>628</v>
      </c>
      <c r="N8" s="18" t="s">
        <v>246</v>
      </c>
      <c r="O8" s="18" t="s">
        <v>907</v>
      </c>
      <c r="P8" s="18" t="n">
        <v>100</v>
      </c>
      <c r="Q8" s="18" t="s">
        <v>467</v>
      </c>
      <c r="R8" s="10" t="str">
        <f aca="false">IF(A8="","",SG_Criteria!$B$6&amp;SG_Criteria!$B$13&amp;"\"&amp;A8&amp;"\")</f>
        <v>C:\Users\yourname\YourCompany\Design Library - Documents\07_Other_Structures\POB-STEELTRUSSWITHLIFT-SP30000-H5700-A\</v>
      </c>
      <c r="S8" s="10" t="str">
        <f aca="false">IF(A8="","",A8&amp;"_CAD.dwg")</f>
        <v>POB-STEELTRUSSWITHLIFT-SP30000-H5700-A_CAD.dwg</v>
      </c>
      <c r="T8" s="10" t="str">
        <f aca="false">IF(A8="","",A8&amp;"_DWG.pdf")</f>
        <v>POB-STEELTRUSSWITHLIFT-SP30000-H5700-A_DWG.pdf</v>
      </c>
      <c r="U8" s="10" t="str">
        <f aca="false">IF(A8="","",IF(Q8="Y",A8&amp;"_STAAD.std","n/a"))</f>
        <v>POB-STEELTRUSSWITHLIFT-SP30000-H5700-A_STAAD.std</v>
      </c>
      <c r="V8" s="10" t="str">
        <f aca="false">IF(A8="","",A8&amp;"_CALC.xlsx")</f>
        <v>POB-STEELTRUSSWITHLIFT-SP30000-H5700-A_CALC.xlsx</v>
      </c>
      <c r="W8" s="10" t="str">
        <f aca="false">IF(A8="","",A8&amp;"_CALC.pdf")</f>
        <v>POB-STEELTRUSSWITHLIFT-SP30000-H5700-A_CALC.pdf</v>
      </c>
      <c r="X8" s="18" t="s">
        <v>74</v>
      </c>
      <c r="Y8" s="18" t="s">
        <v>493</v>
      </c>
      <c r="Z8" s="36" t="n">
        <v>85</v>
      </c>
      <c r="AA8" s="36" t="n">
        <v>6000</v>
      </c>
      <c r="AB8" s="36" t="n">
        <v>46000</v>
      </c>
      <c r="AC8" s="36" t="n">
        <v>210</v>
      </c>
      <c r="AD8" s="36" t="n">
        <v>120</v>
      </c>
      <c r="AE8" s="38" t="str">
        <f aca="false">IF(C8="","","OK")</f>
        <v>OK</v>
      </c>
      <c r="AF8" s="18" t="s">
        <v>908</v>
      </c>
      <c r="AG8" s="18"/>
      <c r="AH8" s="18" t="s">
        <v>631</v>
      </c>
      <c r="AI8" s="18" t="s">
        <v>631</v>
      </c>
      <c r="AJ8" s="18" t="s">
        <v>631</v>
      </c>
      <c r="AK8" s="39" t="n">
        <v>46309</v>
      </c>
      <c r="AL8" s="10" t="str">
        <f aca="false">IF(C8="","",IF(AND(N8="Approved",ISERROR(SEARCH("FAIL",AE8))),"Y","N"))</f>
        <v>N</v>
      </c>
    </row>
    <row r="9" customFormat="false" ht="15" hidden="false" customHeight="false" outlineLevel="0" collapsed="false">
      <c r="A9" s="10" t="str">
        <f aca="false">IF(C9="","",IFERROR(VLOOKUP(C9,Lists!$BI$4:$BJ$20,2,0),"??")&amp;"-"&amp;UPPER(SUBSTITUTE(D9," ",""))&amp;IF(E9&lt;&gt;"","-SP"&amp;TEXT(E9*1000,"0"),"")&amp;IF(F9&lt;&gt;"","-H"&amp;TEXT(F9*1000,"0"),"")&amp;"-"&amp;M9)</f>
        <v/>
      </c>
      <c r="B9" s="10" t="str">
        <f aca="false">IF(C9="","",C9&amp;" - "&amp;D9&amp;IF(E9&lt;&gt;"",", span "&amp;E9&amp;" m","")&amp;IF(F9&lt;&gt;"",", H "&amp;F9&amp;" m","")&amp;IF(G9&lt;&gt;"",", W "&amp;G9&amp;" m",""))</f>
        <v/>
      </c>
      <c r="C9" s="9"/>
      <c r="D9" s="9"/>
      <c r="E9" s="43"/>
      <c r="F9" s="43"/>
      <c r="G9" s="43"/>
      <c r="H9" s="9"/>
      <c r="I9" s="9"/>
      <c r="J9" s="9"/>
      <c r="K9" s="9"/>
      <c r="L9" s="9"/>
      <c r="M9" s="9"/>
      <c r="N9" s="9"/>
      <c r="O9" s="9"/>
      <c r="P9" s="9"/>
      <c r="Q9" s="9"/>
      <c r="R9" s="10" t="str">
        <f aca="false">IF(A9="","",SG_Criteria!$B$6&amp;SG_Criteria!$B$13&amp;"\"&amp;A9&amp;"\")</f>
        <v/>
      </c>
      <c r="S9" s="10" t="str">
        <f aca="false">IF(A9="","",A9&amp;"_CAD.dwg")</f>
        <v/>
      </c>
      <c r="T9" s="10" t="str">
        <f aca="false">IF(A9="","",A9&amp;"_DWG.pdf")</f>
        <v/>
      </c>
      <c r="U9" s="10" t="str">
        <f aca="false">IF(A9="","",IF(Q9="Y",A9&amp;"_STAAD.std","n/a"))</f>
        <v/>
      </c>
      <c r="V9" s="10" t="str">
        <f aca="false">IF(A9="","",A9&amp;"_CALC.xlsx")</f>
        <v/>
      </c>
      <c r="W9" s="10" t="str">
        <f aca="false">IF(A9="","",A9&amp;"_CALC.pdf")</f>
        <v/>
      </c>
      <c r="X9" s="9"/>
      <c r="Y9" s="9"/>
      <c r="Z9" s="41"/>
      <c r="AA9" s="41"/>
      <c r="AB9" s="41"/>
      <c r="AC9" s="41"/>
      <c r="AD9" s="41"/>
      <c r="AE9" s="38" t="str">
        <f aca="false">IF(C9="","","OK")</f>
        <v/>
      </c>
      <c r="AF9" s="9"/>
      <c r="AG9" s="9"/>
      <c r="AH9" s="9"/>
      <c r="AI9" s="9"/>
      <c r="AJ9" s="9"/>
      <c r="AK9" s="31"/>
      <c r="AL9" s="10" t="str">
        <f aca="false">IF(C9="","",IF(AND(N9="Approved",ISERROR(SEARCH("FAIL",AE9))),"Y","N"))</f>
        <v/>
      </c>
    </row>
    <row r="10" customFormat="false" ht="15" hidden="false" customHeight="false" outlineLevel="0" collapsed="false">
      <c r="A10" s="10" t="str">
        <f aca="false">IF(C10="","",IFERROR(VLOOKUP(C10,Lists!$BI$4:$BJ$20,2,0),"??")&amp;"-"&amp;UPPER(SUBSTITUTE(D10," ",""))&amp;IF(E10&lt;&gt;"","-SP"&amp;TEXT(E10*1000,"0"),"")&amp;IF(F10&lt;&gt;"","-H"&amp;TEXT(F10*1000,"0"),"")&amp;"-"&amp;M10)</f>
        <v/>
      </c>
      <c r="B10" s="10" t="str">
        <f aca="false">IF(C10="","",C10&amp;" - "&amp;D10&amp;IF(E10&lt;&gt;"",", span "&amp;E10&amp;" m","")&amp;IF(F10&lt;&gt;"",", H "&amp;F10&amp;" m","")&amp;IF(G10&lt;&gt;"",", W "&amp;G10&amp;" m",""))</f>
        <v/>
      </c>
      <c r="C10" s="9"/>
      <c r="D10" s="9"/>
      <c r="E10" s="43"/>
      <c r="F10" s="43"/>
      <c r="G10" s="43"/>
      <c r="H10" s="9"/>
      <c r="I10" s="9"/>
      <c r="J10" s="9"/>
      <c r="K10" s="9"/>
      <c r="L10" s="9"/>
      <c r="M10" s="9"/>
      <c r="N10" s="9"/>
      <c r="O10" s="9"/>
      <c r="P10" s="9"/>
      <c r="Q10" s="9"/>
      <c r="R10" s="10" t="str">
        <f aca="false">IF(A10="","",SG_Criteria!$B$6&amp;SG_Criteria!$B$13&amp;"\"&amp;A10&amp;"\")</f>
        <v/>
      </c>
      <c r="S10" s="10" t="str">
        <f aca="false">IF(A10="","",A10&amp;"_CAD.dwg")</f>
        <v/>
      </c>
      <c r="T10" s="10" t="str">
        <f aca="false">IF(A10="","",A10&amp;"_DWG.pdf")</f>
        <v/>
      </c>
      <c r="U10" s="10" t="str">
        <f aca="false">IF(A10="","",IF(Q10="Y",A10&amp;"_STAAD.std","n/a"))</f>
        <v/>
      </c>
      <c r="V10" s="10" t="str">
        <f aca="false">IF(A10="","",A10&amp;"_CALC.xlsx")</f>
        <v/>
      </c>
      <c r="W10" s="10" t="str">
        <f aca="false">IF(A10="","",A10&amp;"_CALC.pdf")</f>
        <v/>
      </c>
      <c r="X10" s="9"/>
      <c r="Y10" s="9"/>
      <c r="Z10" s="41"/>
      <c r="AA10" s="41"/>
      <c r="AB10" s="41"/>
      <c r="AC10" s="41"/>
      <c r="AD10" s="41"/>
      <c r="AE10" s="38" t="str">
        <f aca="false">IF(C10="","","OK")</f>
        <v/>
      </c>
      <c r="AF10" s="9"/>
      <c r="AG10" s="9"/>
      <c r="AH10" s="9"/>
      <c r="AI10" s="9"/>
      <c r="AJ10" s="9"/>
      <c r="AK10" s="31"/>
      <c r="AL10" s="10" t="str">
        <f aca="false">IF(C10="","",IF(AND(N10="Approved",ISERROR(SEARCH("FAIL",AE10))),"Y","N"))</f>
        <v/>
      </c>
    </row>
    <row r="11" customFormat="false" ht="15" hidden="false" customHeight="false" outlineLevel="0" collapsed="false">
      <c r="A11" s="10" t="str">
        <f aca="false">IF(C11="","",IFERROR(VLOOKUP(C11,Lists!$BI$4:$BJ$20,2,0),"??")&amp;"-"&amp;UPPER(SUBSTITUTE(D11," ",""))&amp;IF(E11&lt;&gt;"","-SP"&amp;TEXT(E11*1000,"0"),"")&amp;IF(F11&lt;&gt;"","-H"&amp;TEXT(F11*1000,"0"),"")&amp;"-"&amp;M11)</f>
        <v/>
      </c>
      <c r="B11" s="10" t="str">
        <f aca="false">IF(C11="","",C11&amp;" - "&amp;D11&amp;IF(E11&lt;&gt;"",", span "&amp;E11&amp;" m","")&amp;IF(F11&lt;&gt;"",", H "&amp;F11&amp;" m","")&amp;IF(G11&lt;&gt;"",", W "&amp;G11&amp;" m",""))</f>
        <v/>
      </c>
      <c r="C11" s="9"/>
      <c r="D11" s="9"/>
      <c r="E11" s="43"/>
      <c r="F11" s="43"/>
      <c r="G11" s="43"/>
      <c r="H11" s="9"/>
      <c r="I11" s="9"/>
      <c r="J11" s="9"/>
      <c r="K11" s="9"/>
      <c r="L11" s="9"/>
      <c r="M11" s="9"/>
      <c r="N11" s="9"/>
      <c r="O11" s="9"/>
      <c r="P11" s="9"/>
      <c r="Q11" s="9"/>
      <c r="R11" s="10" t="str">
        <f aca="false">IF(A11="","",SG_Criteria!$B$6&amp;SG_Criteria!$B$13&amp;"\"&amp;A11&amp;"\")</f>
        <v/>
      </c>
      <c r="S11" s="10" t="str">
        <f aca="false">IF(A11="","",A11&amp;"_CAD.dwg")</f>
        <v/>
      </c>
      <c r="T11" s="10" t="str">
        <f aca="false">IF(A11="","",A11&amp;"_DWG.pdf")</f>
        <v/>
      </c>
      <c r="U11" s="10" t="str">
        <f aca="false">IF(A11="","",IF(Q11="Y",A11&amp;"_STAAD.std","n/a"))</f>
        <v/>
      </c>
      <c r="V11" s="10" t="str">
        <f aca="false">IF(A11="","",A11&amp;"_CALC.xlsx")</f>
        <v/>
      </c>
      <c r="W11" s="10" t="str">
        <f aca="false">IF(A11="","",A11&amp;"_CALC.pdf")</f>
        <v/>
      </c>
      <c r="X11" s="9"/>
      <c r="Y11" s="9"/>
      <c r="Z11" s="41"/>
      <c r="AA11" s="41"/>
      <c r="AB11" s="41"/>
      <c r="AC11" s="41"/>
      <c r="AD11" s="41"/>
      <c r="AE11" s="38" t="str">
        <f aca="false">IF(C11="","","OK")</f>
        <v/>
      </c>
      <c r="AF11" s="9"/>
      <c r="AG11" s="9"/>
      <c r="AH11" s="9"/>
      <c r="AI11" s="9"/>
      <c r="AJ11" s="9"/>
      <c r="AK11" s="31"/>
      <c r="AL11" s="10" t="str">
        <f aca="false">IF(C11="","",IF(AND(N11="Approved",ISERROR(SEARCH("FAIL",AE11))),"Y","N"))</f>
        <v/>
      </c>
    </row>
    <row r="12" customFormat="false" ht="15" hidden="false" customHeight="false" outlineLevel="0" collapsed="false">
      <c r="A12" s="10" t="str">
        <f aca="false">IF(C12="","",IFERROR(VLOOKUP(C12,Lists!$BI$4:$BJ$20,2,0),"??")&amp;"-"&amp;UPPER(SUBSTITUTE(D12," ",""))&amp;IF(E12&lt;&gt;"","-SP"&amp;TEXT(E12*1000,"0"),"")&amp;IF(F12&lt;&gt;"","-H"&amp;TEXT(F12*1000,"0"),"")&amp;"-"&amp;M12)</f>
        <v/>
      </c>
      <c r="B12" s="10" t="str">
        <f aca="false">IF(C12="","",C12&amp;" - "&amp;D12&amp;IF(E12&lt;&gt;"",", span "&amp;E12&amp;" m","")&amp;IF(F12&lt;&gt;"",", H "&amp;F12&amp;" m","")&amp;IF(G12&lt;&gt;"",", W "&amp;G12&amp;" m",""))</f>
        <v/>
      </c>
      <c r="C12" s="9"/>
      <c r="D12" s="9"/>
      <c r="E12" s="43"/>
      <c r="F12" s="43"/>
      <c r="G12" s="43"/>
      <c r="H12" s="9"/>
      <c r="I12" s="9"/>
      <c r="J12" s="9"/>
      <c r="K12" s="9"/>
      <c r="L12" s="9"/>
      <c r="M12" s="9"/>
      <c r="N12" s="9"/>
      <c r="O12" s="9"/>
      <c r="P12" s="9"/>
      <c r="Q12" s="9"/>
      <c r="R12" s="10" t="str">
        <f aca="false">IF(A12="","",SG_Criteria!$B$6&amp;SG_Criteria!$B$13&amp;"\"&amp;A12&amp;"\")</f>
        <v/>
      </c>
      <c r="S12" s="10" t="str">
        <f aca="false">IF(A12="","",A12&amp;"_CAD.dwg")</f>
        <v/>
      </c>
      <c r="T12" s="10" t="str">
        <f aca="false">IF(A12="","",A12&amp;"_DWG.pdf")</f>
        <v/>
      </c>
      <c r="U12" s="10" t="str">
        <f aca="false">IF(A12="","",IF(Q12="Y",A12&amp;"_STAAD.std","n/a"))</f>
        <v/>
      </c>
      <c r="V12" s="10" t="str">
        <f aca="false">IF(A12="","",A12&amp;"_CALC.xlsx")</f>
        <v/>
      </c>
      <c r="W12" s="10" t="str">
        <f aca="false">IF(A12="","",A12&amp;"_CALC.pdf")</f>
        <v/>
      </c>
      <c r="X12" s="9"/>
      <c r="Y12" s="9"/>
      <c r="Z12" s="41"/>
      <c r="AA12" s="41"/>
      <c r="AB12" s="41"/>
      <c r="AC12" s="41"/>
      <c r="AD12" s="41"/>
      <c r="AE12" s="38" t="str">
        <f aca="false">IF(C12="","","OK")</f>
        <v/>
      </c>
      <c r="AF12" s="9"/>
      <c r="AG12" s="9"/>
      <c r="AH12" s="9"/>
      <c r="AI12" s="9"/>
      <c r="AJ12" s="9"/>
      <c r="AK12" s="31"/>
      <c r="AL12" s="10" t="str">
        <f aca="false">IF(C12="","",IF(AND(N12="Approved",ISERROR(SEARCH("FAIL",AE12))),"Y","N"))</f>
        <v/>
      </c>
    </row>
    <row r="13" customFormat="false" ht="15" hidden="false" customHeight="false" outlineLevel="0" collapsed="false">
      <c r="A13" s="10" t="str">
        <f aca="false">IF(C13="","",IFERROR(VLOOKUP(C13,Lists!$BI$4:$BJ$20,2,0),"??")&amp;"-"&amp;UPPER(SUBSTITUTE(D13," ",""))&amp;IF(E13&lt;&gt;"","-SP"&amp;TEXT(E13*1000,"0"),"")&amp;IF(F13&lt;&gt;"","-H"&amp;TEXT(F13*1000,"0"),"")&amp;"-"&amp;M13)</f>
        <v/>
      </c>
      <c r="B13" s="10" t="str">
        <f aca="false">IF(C13="","",C13&amp;" - "&amp;D13&amp;IF(E13&lt;&gt;"",", span "&amp;E13&amp;" m","")&amp;IF(F13&lt;&gt;"",", H "&amp;F13&amp;" m","")&amp;IF(G13&lt;&gt;"",", W "&amp;G13&amp;" m",""))</f>
        <v/>
      </c>
      <c r="C13" s="9"/>
      <c r="D13" s="9"/>
      <c r="E13" s="43"/>
      <c r="F13" s="43"/>
      <c r="G13" s="43"/>
      <c r="H13" s="9"/>
      <c r="I13" s="9"/>
      <c r="J13" s="9"/>
      <c r="K13" s="9"/>
      <c r="L13" s="9"/>
      <c r="M13" s="9"/>
      <c r="N13" s="9"/>
      <c r="O13" s="9"/>
      <c r="P13" s="9"/>
      <c r="Q13" s="9"/>
      <c r="R13" s="10" t="str">
        <f aca="false">IF(A13="","",SG_Criteria!$B$6&amp;SG_Criteria!$B$13&amp;"\"&amp;A13&amp;"\")</f>
        <v/>
      </c>
      <c r="S13" s="10" t="str">
        <f aca="false">IF(A13="","",A13&amp;"_CAD.dwg")</f>
        <v/>
      </c>
      <c r="T13" s="10" t="str">
        <f aca="false">IF(A13="","",A13&amp;"_DWG.pdf")</f>
        <v/>
      </c>
      <c r="U13" s="10" t="str">
        <f aca="false">IF(A13="","",IF(Q13="Y",A13&amp;"_STAAD.std","n/a"))</f>
        <v/>
      </c>
      <c r="V13" s="10" t="str">
        <f aca="false">IF(A13="","",A13&amp;"_CALC.xlsx")</f>
        <v/>
      </c>
      <c r="W13" s="10" t="str">
        <f aca="false">IF(A13="","",A13&amp;"_CALC.pdf")</f>
        <v/>
      </c>
      <c r="X13" s="9"/>
      <c r="Y13" s="9"/>
      <c r="Z13" s="41"/>
      <c r="AA13" s="41"/>
      <c r="AB13" s="41"/>
      <c r="AC13" s="41"/>
      <c r="AD13" s="41"/>
      <c r="AE13" s="38" t="str">
        <f aca="false">IF(C13="","","OK")</f>
        <v/>
      </c>
      <c r="AF13" s="9"/>
      <c r="AG13" s="9"/>
      <c r="AH13" s="9"/>
      <c r="AI13" s="9"/>
      <c r="AJ13" s="9"/>
      <c r="AK13" s="31"/>
      <c r="AL13" s="10" t="str">
        <f aca="false">IF(C13="","",IF(AND(N13="Approved",ISERROR(SEARCH("FAIL",AE13))),"Y","N"))</f>
        <v/>
      </c>
    </row>
    <row r="14" customFormat="false" ht="15" hidden="false" customHeight="false" outlineLevel="0" collapsed="false">
      <c r="A14" s="10" t="str">
        <f aca="false">IF(C14="","",IFERROR(VLOOKUP(C14,Lists!$BI$4:$BJ$20,2,0),"??")&amp;"-"&amp;UPPER(SUBSTITUTE(D14," ",""))&amp;IF(E14&lt;&gt;"","-SP"&amp;TEXT(E14*1000,"0"),"")&amp;IF(F14&lt;&gt;"","-H"&amp;TEXT(F14*1000,"0"),"")&amp;"-"&amp;M14)</f>
        <v/>
      </c>
      <c r="B14" s="10" t="str">
        <f aca="false">IF(C14="","",C14&amp;" - "&amp;D14&amp;IF(E14&lt;&gt;"",", span "&amp;E14&amp;" m","")&amp;IF(F14&lt;&gt;"",", H "&amp;F14&amp;" m","")&amp;IF(G14&lt;&gt;"",", W "&amp;G14&amp;" m",""))</f>
        <v/>
      </c>
      <c r="C14" s="9"/>
      <c r="D14" s="9"/>
      <c r="E14" s="43"/>
      <c r="F14" s="43"/>
      <c r="G14" s="43"/>
      <c r="H14" s="9"/>
      <c r="I14" s="9"/>
      <c r="J14" s="9"/>
      <c r="K14" s="9"/>
      <c r="L14" s="9"/>
      <c r="M14" s="9"/>
      <c r="N14" s="9"/>
      <c r="O14" s="9"/>
      <c r="P14" s="9"/>
      <c r="Q14" s="9"/>
      <c r="R14" s="10" t="str">
        <f aca="false">IF(A14="","",SG_Criteria!$B$6&amp;SG_Criteria!$B$13&amp;"\"&amp;A14&amp;"\")</f>
        <v/>
      </c>
      <c r="S14" s="10" t="str">
        <f aca="false">IF(A14="","",A14&amp;"_CAD.dwg")</f>
        <v/>
      </c>
      <c r="T14" s="10" t="str">
        <f aca="false">IF(A14="","",A14&amp;"_DWG.pdf")</f>
        <v/>
      </c>
      <c r="U14" s="10" t="str">
        <f aca="false">IF(A14="","",IF(Q14="Y",A14&amp;"_STAAD.std","n/a"))</f>
        <v/>
      </c>
      <c r="V14" s="10" t="str">
        <f aca="false">IF(A14="","",A14&amp;"_CALC.xlsx")</f>
        <v/>
      </c>
      <c r="W14" s="10" t="str">
        <f aca="false">IF(A14="","",A14&amp;"_CALC.pdf")</f>
        <v/>
      </c>
      <c r="X14" s="9"/>
      <c r="Y14" s="9"/>
      <c r="Z14" s="41"/>
      <c r="AA14" s="41"/>
      <c r="AB14" s="41"/>
      <c r="AC14" s="41"/>
      <c r="AD14" s="41"/>
      <c r="AE14" s="38" t="str">
        <f aca="false">IF(C14="","","OK")</f>
        <v/>
      </c>
      <c r="AF14" s="9"/>
      <c r="AG14" s="9"/>
      <c r="AH14" s="9"/>
      <c r="AI14" s="9"/>
      <c r="AJ14" s="9"/>
      <c r="AK14" s="31"/>
      <c r="AL14" s="10" t="str">
        <f aca="false">IF(C14="","",IF(AND(N14="Approved",ISERROR(SEARCH("FAIL",AE14))),"Y","N"))</f>
        <v/>
      </c>
    </row>
    <row r="15" customFormat="false" ht="15" hidden="false" customHeight="false" outlineLevel="0" collapsed="false">
      <c r="A15" s="10" t="str">
        <f aca="false">IF(C15="","",IFERROR(VLOOKUP(C15,Lists!$BI$4:$BJ$20,2,0),"??")&amp;"-"&amp;UPPER(SUBSTITUTE(D15," ",""))&amp;IF(E15&lt;&gt;"","-SP"&amp;TEXT(E15*1000,"0"),"")&amp;IF(F15&lt;&gt;"","-H"&amp;TEXT(F15*1000,"0"),"")&amp;"-"&amp;M15)</f>
        <v/>
      </c>
      <c r="B15" s="10" t="str">
        <f aca="false">IF(C15="","",C15&amp;" - "&amp;D15&amp;IF(E15&lt;&gt;"",", span "&amp;E15&amp;" m","")&amp;IF(F15&lt;&gt;"",", H "&amp;F15&amp;" m","")&amp;IF(G15&lt;&gt;"",", W "&amp;G15&amp;" m",""))</f>
        <v/>
      </c>
      <c r="C15" s="9"/>
      <c r="D15" s="9"/>
      <c r="E15" s="43"/>
      <c r="F15" s="43"/>
      <c r="G15" s="43"/>
      <c r="H15" s="9"/>
      <c r="I15" s="9"/>
      <c r="J15" s="9"/>
      <c r="K15" s="9"/>
      <c r="L15" s="9"/>
      <c r="M15" s="9"/>
      <c r="N15" s="9"/>
      <c r="O15" s="9"/>
      <c r="P15" s="9"/>
      <c r="Q15" s="9"/>
      <c r="R15" s="10" t="str">
        <f aca="false">IF(A15="","",SG_Criteria!$B$6&amp;SG_Criteria!$B$13&amp;"\"&amp;A15&amp;"\")</f>
        <v/>
      </c>
      <c r="S15" s="10" t="str">
        <f aca="false">IF(A15="","",A15&amp;"_CAD.dwg")</f>
        <v/>
      </c>
      <c r="T15" s="10" t="str">
        <f aca="false">IF(A15="","",A15&amp;"_DWG.pdf")</f>
        <v/>
      </c>
      <c r="U15" s="10" t="str">
        <f aca="false">IF(A15="","",IF(Q15="Y",A15&amp;"_STAAD.std","n/a"))</f>
        <v/>
      </c>
      <c r="V15" s="10" t="str">
        <f aca="false">IF(A15="","",A15&amp;"_CALC.xlsx")</f>
        <v/>
      </c>
      <c r="W15" s="10" t="str">
        <f aca="false">IF(A15="","",A15&amp;"_CALC.pdf")</f>
        <v/>
      </c>
      <c r="X15" s="9"/>
      <c r="Y15" s="9"/>
      <c r="Z15" s="41"/>
      <c r="AA15" s="41"/>
      <c r="AB15" s="41"/>
      <c r="AC15" s="41"/>
      <c r="AD15" s="41"/>
      <c r="AE15" s="38" t="str">
        <f aca="false">IF(C15="","","OK")</f>
        <v/>
      </c>
      <c r="AF15" s="9"/>
      <c r="AG15" s="9"/>
      <c r="AH15" s="9"/>
      <c r="AI15" s="9"/>
      <c r="AJ15" s="9"/>
      <c r="AK15" s="31"/>
      <c r="AL15" s="10" t="str">
        <f aca="false">IF(C15="","",IF(AND(N15="Approved",ISERROR(SEARCH("FAIL",AE15))),"Y","N"))</f>
        <v/>
      </c>
    </row>
    <row r="16" customFormat="false" ht="15" hidden="false" customHeight="false" outlineLevel="0" collapsed="false">
      <c r="A16" s="10" t="str">
        <f aca="false">IF(C16="","",IFERROR(VLOOKUP(C16,Lists!$BI$4:$BJ$20,2,0),"??")&amp;"-"&amp;UPPER(SUBSTITUTE(D16," ",""))&amp;IF(E16&lt;&gt;"","-SP"&amp;TEXT(E16*1000,"0"),"")&amp;IF(F16&lt;&gt;"","-H"&amp;TEXT(F16*1000,"0"),"")&amp;"-"&amp;M16)</f>
        <v/>
      </c>
      <c r="B16" s="10" t="str">
        <f aca="false">IF(C16="","",C16&amp;" - "&amp;D16&amp;IF(E16&lt;&gt;"",", span "&amp;E16&amp;" m","")&amp;IF(F16&lt;&gt;"",", H "&amp;F16&amp;" m","")&amp;IF(G16&lt;&gt;"",", W "&amp;G16&amp;" m",""))</f>
        <v/>
      </c>
      <c r="C16" s="9"/>
      <c r="D16" s="9"/>
      <c r="E16" s="43"/>
      <c r="F16" s="43"/>
      <c r="G16" s="43"/>
      <c r="H16" s="9"/>
      <c r="I16" s="9"/>
      <c r="J16" s="9"/>
      <c r="K16" s="9"/>
      <c r="L16" s="9"/>
      <c r="M16" s="9"/>
      <c r="N16" s="9"/>
      <c r="O16" s="9"/>
      <c r="P16" s="9"/>
      <c r="Q16" s="9"/>
      <c r="R16" s="10" t="str">
        <f aca="false">IF(A16="","",SG_Criteria!$B$6&amp;SG_Criteria!$B$13&amp;"\"&amp;A16&amp;"\")</f>
        <v/>
      </c>
      <c r="S16" s="10" t="str">
        <f aca="false">IF(A16="","",A16&amp;"_CAD.dwg")</f>
        <v/>
      </c>
      <c r="T16" s="10" t="str">
        <f aca="false">IF(A16="","",A16&amp;"_DWG.pdf")</f>
        <v/>
      </c>
      <c r="U16" s="10" t="str">
        <f aca="false">IF(A16="","",IF(Q16="Y",A16&amp;"_STAAD.std","n/a"))</f>
        <v/>
      </c>
      <c r="V16" s="10" t="str">
        <f aca="false">IF(A16="","",A16&amp;"_CALC.xlsx")</f>
        <v/>
      </c>
      <c r="W16" s="10" t="str">
        <f aca="false">IF(A16="","",A16&amp;"_CALC.pdf")</f>
        <v/>
      </c>
      <c r="X16" s="9"/>
      <c r="Y16" s="9"/>
      <c r="Z16" s="41"/>
      <c r="AA16" s="41"/>
      <c r="AB16" s="41"/>
      <c r="AC16" s="41"/>
      <c r="AD16" s="41"/>
      <c r="AE16" s="38" t="str">
        <f aca="false">IF(C16="","","OK")</f>
        <v/>
      </c>
      <c r="AF16" s="9"/>
      <c r="AG16" s="9"/>
      <c r="AH16" s="9"/>
      <c r="AI16" s="9"/>
      <c r="AJ16" s="9"/>
      <c r="AK16" s="31"/>
      <c r="AL16" s="10" t="str">
        <f aca="false">IF(C16="","",IF(AND(N16="Approved",ISERROR(SEARCH("FAIL",AE16))),"Y","N"))</f>
        <v/>
      </c>
    </row>
    <row r="17" customFormat="false" ht="15" hidden="false" customHeight="false" outlineLevel="0" collapsed="false">
      <c r="A17" s="10" t="str">
        <f aca="false">IF(C17="","",IFERROR(VLOOKUP(C17,Lists!$BI$4:$BJ$20,2,0),"??")&amp;"-"&amp;UPPER(SUBSTITUTE(D17," ",""))&amp;IF(E17&lt;&gt;"","-SP"&amp;TEXT(E17*1000,"0"),"")&amp;IF(F17&lt;&gt;"","-H"&amp;TEXT(F17*1000,"0"),"")&amp;"-"&amp;M17)</f>
        <v/>
      </c>
      <c r="B17" s="10" t="str">
        <f aca="false">IF(C17="","",C17&amp;" - "&amp;D17&amp;IF(E17&lt;&gt;"",", span "&amp;E17&amp;" m","")&amp;IF(F17&lt;&gt;"",", H "&amp;F17&amp;" m","")&amp;IF(G17&lt;&gt;"",", W "&amp;G17&amp;" m",""))</f>
        <v/>
      </c>
      <c r="C17" s="9"/>
      <c r="D17" s="9"/>
      <c r="E17" s="43"/>
      <c r="F17" s="43"/>
      <c r="G17" s="43"/>
      <c r="H17" s="9"/>
      <c r="I17" s="9"/>
      <c r="J17" s="9"/>
      <c r="K17" s="9"/>
      <c r="L17" s="9"/>
      <c r="M17" s="9"/>
      <c r="N17" s="9"/>
      <c r="O17" s="9"/>
      <c r="P17" s="9"/>
      <c r="Q17" s="9"/>
      <c r="R17" s="10" t="str">
        <f aca="false">IF(A17="","",SG_Criteria!$B$6&amp;SG_Criteria!$B$13&amp;"\"&amp;A17&amp;"\")</f>
        <v/>
      </c>
      <c r="S17" s="10" t="str">
        <f aca="false">IF(A17="","",A17&amp;"_CAD.dwg")</f>
        <v/>
      </c>
      <c r="T17" s="10" t="str">
        <f aca="false">IF(A17="","",A17&amp;"_DWG.pdf")</f>
        <v/>
      </c>
      <c r="U17" s="10" t="str">
        <f aca="false">IF(A17="","",IF(Q17="Y",A17&amp;"_STAAD.std","n/a"))</f>
        <v/>
      </c>
      <c r="V17" s="10" t="str">
        <f aca="false">IF(A17="","",A17&amp;"_CALC.xlsx")</f>
        <v/>
      </c>
      <c r="W17" s="10" t="str">
        <f aca="false">IF(A17="","",A17&amp;"_CALC.pdf")</f>
        <v/>
      </c>
      <c r="X17" s="9"/>
      <c r="Y17" s="9"/>
      <c r="Z17" s="41"/>
      <c r="AA17" s="41"/>
      <c r="AB17" s="41"/>
      <c r="AC17" s="41"/>
      <c r="AD17" s="41"/>
      <c r="AE17" s="38" t="str">
        <f aca="false">IF(C17="","","OK")</f>
        <v/>
      </c>
      <c r="AF17" s="9"/>
      <c r="AG17" s="9"/>
      <c r="AH17" s="9"/>
      <c r="AI17" s="9"/>
      <c r="AJ17" s="9"/>
      <c r="AK17" s="31"/>
      <c r="AL17" s="10" t="str">
        <f aca="false">IF(C17="","",IF(AND(N17="Approved",ISERROR(SEARCH("FAIL",AE17))),"Y","N"))</f>
        <v/>
      </c>
    </row>
    <row r="18" customFormat="false" ht="15" hidden="false" customHeight="false" outlineLevel="0" collapsed="false">
      <c r="A18" s="10" t="str">
        <f aca="false">IF(C18="","",IFERROR(VLOOKUP(C18,Lists!$BI$4:$BJ$20,2,0),"??")&amp;"-"&amp;UPPER(SUBSTITUTE(D18," ",""))&amp;IF(E18&lt;&gt;"","-SP"&amp;TEXT(E18*1000,"0"),"")&amp;IF(F18&lt;&gt;"","-H"&amp;TEXT(F18*1000,"0"),"")&amp;"-"&amp;M18)</f>
        <v/>
      </c>
      <c r="B18" s="10" t="str">
        <f aca="false">IF(C18="","",C18&amp;" - "&amp;D18&amp;IF(E18&lt;&gt;"",", span "&amp;E18&amp;" m","")&amp;IF(F18&lt;&gt;"",", H "&amp;F18&amp;" m","")&amp;IF(G18&lt;&gt;"",", W "&amp;G18&amp;" m",""))</f>
        <v/>
      </c>
      <c r="C18" s="9"/>
      <c r="D18" s="9"/>
      <c r="E18" s="43"/>
      <c r="F18" s="43"/>
      <c r="G18" s="43"/>
      <c r="H18" s="9"/>
      <c r="I18" s="9"/>
      <c r="J18" s="9"/>
      <c r="K18" s="9"/>
      <c r="L18" s="9"/>
      <c r="M18" s="9"/>
      <c r="N18" s="9"/>
      <c r="O18" s="9"/>
      <c r="P18" s="9"/>
      <c r="Q18" s="9"/>
      <c r="R18" s="10" t="str">
        <f aca="false">IF(A18="","",SG_Criteria!$B$6&amp;SG_Criteria!$B$13&amp;"\"&amp;A18&amp;"\")</f>
        <v/>
      </c>
      <c r="S18" s="10" t="str">
        <f aca="false">IF(A18="","",A18&amp;"_CAD.dwg")</f>
        <v/>
      </c>
      <c r="T18" s="10" t="str">
        <f aca="false">IF(A18="","",A18&amp;"_DWG.pdf")</f>
        <v/>
      </c>
      <c r="U18" s="10" t="str">
        <f aca="false">IF(A18="","",IF(Q18="Y",A18&amp;"_STAAD.std","n/a"))</f>
        <v/>
      </c>
      <c r="V18" s="10" t="str">
        <f aca="false">IF(A18="","",A18&amp;"_CALC.xlsx")</f>
        <v/>
      </c>
      <c r="W18" s="10" t="str">
        <f aca="false">IF(A18="","",A18&amp;"_CALC.pdf")</f>
        <v/>
      </c>
      <c r="X18" s="9"/>
      <c r="Y18" s="9"/>
      <c r="Z18" s="41"/>
      <c r="AA18" s="41"/>
      <c r="AB18" s="41"/>
      <c r="AC18" s="41"/>
      <c r="AD18" s="41"/>
      <c r="AE18" s="38" t="str">
        <f aca="false">IF(C18="","","OK")</f>
        <v/>
      </c>
      <c r="AF18" s="9"/>
      <c r="AG18" s="9"/>
      <c r="AH18" s="9"/>
      <c r="AI18" s="9"/>
      <c r="AJ18" s="9"/>
      <c r="AK18" s="31"/>
      <c r="AL18" s="10" t="str">
        <f aca="false">IF(C18="","",IF(AND(N18="Approved",ISERROR(SEARCH("FAIL",AE18))),"Y","N"))</f>
        <v/>
      </c>
    </row>
    <row r="19" customFormat="false" ht="15" hidden="false" customHeight="false" outlineLevel="0" collapsed="false">
      <c r="A19" s="10" t="str">
        <f aca="false">IF(C19="","",IFERROR(VLOOKUP(C19,Lists!$BI$4:$BJ$20,2,0),"??")&amp;"-"&amp;UPPER(SUBSTITUTE(D19," ",""))&amp;IF(E19&lt;&gt;"","-SP"&amp;TEXT(E19*1000,"0"),"")&amp;IF(F19&lt;&gt;"","-H"&amp;TEXT(F19*1000,"0"),"")&amp;"-"&amp;M19)</f>
        <v/>
      </c>
      <c r="B19" s="10" t="str">
        <f aca="false">IF(C19="","",C19&amp;" - "&amp;D19&amp;IF(E19&lt;&gt;"",", span "&amp;E19&amp;" m","")&amp;IF(F19&lt;&gt;"",", H "&amp;F19&amp;" m","")&amp;IF(G19&lt;&gt;"",", W "&amp;G19&amp;" m",""))</f>
        <v/>
      </c>
      <c r="C19" s="9"/>
      <c r="D19" s="9"/>
      <c r="E19" s="43"/>
      <c r="F19" s="43"/>
      <c r="G19" s="43"/>
      <c r="H19" s="9"/>
      <c r="I19" s="9"/>
      <c r="J19" s="9"/>
      <c r="K19" s="9"/>
      <c r="L19" s="9"/>
      <c r="M19" s="9"/>
      <c r="N19" s="9"/>
      <c r="O19" s="9"/>
      <c r="P19" s="9"/>
      <c r="Q19" s="9"/>
      <c r="R19" s="10" t="str">
        <f aca="false">IF(A19="","",SG_Criteria!$B$6&amp;SG_Criteria!$B$13&amp;"\"&amp;A19&amp;"\")</f>
        <v/>
      </c>
      <c r="S19" s="10" t="str">
        <f aca="false">IF(A19="","",A19&amp;"_CAD.dwg")</f>
        <v/>
      </c>
      <c r="T19" s="10" t="str">
        <f aca="false">IF(A19="","",A19&amp;"_DWG.pdf")</f>
        <v/>
      </c>
      <c r="U19" s="10" t="str">
        <f aca="false">IF(A19="","",IF(Q19="Y",A19&amp;"_STAAD.std","n/a"))</f>
        <v/>
      </c>
      <c r="V19" s="10" t="str">
        <f aca="false">IF(A19="","",A19&amp;"_CALC.xlsx")</f>
        <v/>
      </c>
      <c r="W19" s="10" t="str">
        <f aca="false">IF(A19="","",A19&amp;"_CALC.pdf")</f>
        <v/>
      </c>
      <c r="X19" s="9"/>
      <c r="Y19" s="9"/>
      <c r="Z19" s="41"/>
      <c r="AA19" s="41"/>
      <c r="AB19" s="41"/>
      <c r="AC19" s="41"/>
      <c r="AD19" s="41"/>
      <c r="AE19" s="38" t="str">
        <f aca="false">IF(C19="","","OK")</f>
        <v/>
      </c>
      <c r="AF19" s="9"/>
      <c r="AG19" s="9"/>
      <c r="AH19" s="9"/>
      <c r="AI19" s="9"/>
      <c r="AJ19" s="9"/>
      <c r="AK19" s="31"/>
      <c r="AL19" s="10" t="str">
        <f aca="false">IF(C19="","",IF(AND(N19="Approved",ISERROR(SEARCH("FAIL",AE19))),"Y","N"))</f>
        <v/>
      </c>
    </row>
    <row r="20" customFormat="false" ht="15" hidden="false" customHeight="false" outlineLevel="0" collapsed="false">
      <c r="A20" s="10" t="str">
        <f aca="false">IF(C20="","",IFERROR(VLOOKUP(C20,Lists!$BI$4:$BJ$20,2,0),"??")&amp;"-"&amp;UPPER(SUBSTITUTE(D20," ",""))&amp;IF(E20&lt;&gt;"","-SP"&amp;TEXT(E20*1000,"0"),"")&amp;IF(F20&lt;&gt;"","-H"&amp;TEXT(F20*1000,"0"),"")&amp;"-"&amp;M20)</f>
        <v/>
      </c>
      <c r="B20" s="10" t="str">
        <f aca="false">IF(C20="","",C20&amp;" - "&amp;D20&amp;IF(E20&lt;&gt;"",", span "&amp;E20&amp;" m","")&amp;IF(F20&lt;&gt;"",", H "&amp;F20&amp;" m","")&amp;IF(G20&lt;&gt;"",", W "&amp;G20&amp;" m",""))</f>
        <v/>
      </c>
      <c r="C20" s="9"/>
      <c r="D20" s="9"/>
      <c r="E20" s="43"/>
      <c r="F20" s="43"/>
      <c r="G20" s="43"/>
      <c r="H20" s="9"/>
      <c r="I20" s="9"/>
      <c r="J20" s="9"/>
      <c r="K20" s="9"/>
      <c r="L20" s="9"/>
      <c r="M20" s="9"/>
      <c r="N20" s="9"/>
      <c r="O20" s="9"/>
      <c r="P20" s="9"/>
      <c r="Q20" s="9"/>
      <c r="R20" s="10" t="str">
        <f aca="false">IF(A20="","",SG_Criteria!$B$6&amp;SG_Criteria!$B$13&amp;"\"&amp;A20&amp;"\")</f>
        <v/>
      </c>
      <c r="S20" s="10" t="str">
        <f aca="false">IF(A20="","",A20&amp;"_CAD.dwg")</f>
        <v/>
      </c>
      <c r="T20" s="10" t="str">
        <f aca="false">IF(A20="","",A20&amp;"_DWG.pdf")</f>
        <v/>
      </c>
      <c r="U20" s="10" t="str">
        <f aca="false">IF(A20="","",IF(Q20="Y",A20&amp;"_STAAD.std","n/a"))</f>
        <v/>
      </c>
      <c r="V20" s="10" t="str">
        <f aca="false">IF(A20="","",A20&amp;"_CALC.xlsx")</f>
        <v/>
      </c>
      <c r="W20" s="10" t="str">
        <f aca="false">IF(A20="","",A20&amp;"_CALC.pdf")</f>
        <v/>
      </c>
      <c r="X20" s="9"/>
      <c r="Y20" s="9"/>
      <c r="Z20" s="41"/>
      <c r="AA20" s="41"/>
      <c r="AB20" s="41"/>
      <c r="AC20" s="41"/>
      <c r="AD20" s="41"/>
      <c r="AE20" s="38" t="str">
        <f aca="false">IF(C20="","","OK")</f>
        <v/>
      </c>
      <c r="AF20" s="9"/>
      <c r="AG20" s="9"/>
      <c r="AH20" s="9"/>
      <c r="AI20" s="9"/>
      <c r="AJ20" s="9"/>
      <c r="AK20" s="31"/>
      <c r="AL20" s="10" t="str">
        <f aca="false">IF(C20="","",IF(AND(N20="Approved",ISERROR(SEARCH("FAIL",AE20))),"Y","N"))</f>
        <v/>
      </c>
    </row>
    <row r="21" customFormat="false" ht="15" hidden="false" customHeight="false" outlineLevel="0" collapsed="false">
      <c r="A21" s="10" t="str">
        <f aca="false">IF(C21="","",IFERROR(VLOOKUP(C21,Lists!$BI$4:$BJ$20,2,0),"??")&amp;"-"&amp;UPPER(SUBSTITUTE(D21," ",""))&amp;IF(E21&lt;&gt;"","-SP"&amp;TEXT(E21*1000,"0"),"")&amp;IF(F21&lt;&gt;"","-H"&amp;TEXT(F21*1000,"0"),"")&amp;"-"&amp;M21)</f>
        <v/>
      </c>
      <c r="B21" s="10" t="str">
        <f aca="false">IF(C21="","",C21&amp;" - "&amp;D21&amp;IF(E21&lt;&gt;"",", span "&amp;E21&amp;" m","")&amp;IF(F21&lt;&gt;"",", H "&amp;F21&amp;" m","")&amp;IF(G21&lt;&gt;"",", W "&amp;G21&amp;" m",""))</f>
        <v/>
      </c>
      <c r="C21" s="9"/>
      <c r="D21" s="9"/>
      <c r="E21" s="43"/>
      <c r="F21" s="43"/>
      <c r="G21" s="43"/>
      <c r="H21" s="9"/>
      <c r="I21" s="9"/>
      <c r="J21" s="9"/>
      <c r="K21" s="9"/>
      <c r="L21" s="9"/>
      <c r="M21" s="9"/>
      <c r="N21" s="9"/>
      <c r="O21" s="9"/>
      <c r="P21" s="9"/>
      <c r="Q21" s="9"/>
      <c r="R21" s="10" t="str">
        <f aca="false">IF(A21="","",SG_Criteria!$B$6&amp;SG_Criteria!$B$13&amp;"\"&amp;A21&amp;"\")</f>
        <v/>
      </c>
      <c r="S21" s="10" t="str">
        <f aca="false">IF(A21="","",A21&amp;"_CAD.dwg")</f>
        <v/>
      </c>
      <c r="T21" s="10" t="str">
        <f aca="false">IF(A21="","",A21&amp;"_DWG.pdf")</f>
        <v/>
      </c>
      <c r="U21" s="10" t="str">
        <f aca="false">IF(A21="","",IF(Q21="Y",A21&amp;"_STAAD.std","n/a"))</f>
        <v/>
      </c>
      <c r="V21" s="10" t="str">
        <f aca="false">IF(A21="","",A21&amp;"_CALC.xlsx")</f>
        <v/>
      </c>
      <c r="W21" s="10" t="str">
        <f aca="false">IF(A21="","",A21&amp;"_CALC.pdf")</f>
        <v/>
      </c>
      <c r="X21" s="9"/>
      <c r="Y21" s="9"/>
      <c r="Z21" s="41"/>
      <c r="AA21" s="41"/>
      <c r="AB21" s="41"/>
      <c r="AC21" s="41"/>
      <c r="AD21" s="41"/>
      <c r="AE21" s="38" t="str">
        <f aca="false">IF(C21="","","OK")</f>
        <v/>
      </c>
      <c r="AF21" s="9"/>
      <c r="AG21" s="9"/>
      <c r="AH21" s="9"/>
      <c r="AI21" s="9"/>
      <c r="AJ21" s="9"/>
      <c r="AK21" s="31"/>
      <c r="AL21" s="10" t="str">
        <f aca="false">IF(C21="","",IF(AND(N21="Approved",ISERROR(SEARCH("FAIL",AE21))),"Y","N"))</f>
        <v/>
      </c>
    </row>
    <row r="22" customFormat="false" ht="15" hidden="false" customHeight="false" outlineLevel="0" collapsed="false">
      <c r="A22" s="10" t="str">
        <f aca="false">IF(C22="","",IFERROR(VLOOKUP(C22,Lists!$BI$4:$BJ$20,2,0),"??")&amp;"-"&amp;UPPER(SUBSTITUTE(D22," ",""))&amp;IF(E22&lt;&gt;"","-SP"&amp;TEXT(E22*1000,"0"),"")&amp;IF(F22&lt;&gt;"","-H"&amp;TEXT(F22*1000,"0"),"")&amp;"-"&amp;M22)</f>
        <v/>
      </c>
      <c r="B22" s="10" t="str">
        <f aca="false">IF(C22="","",C22&amp;" - "&amp;D22&amp;IF(E22&lt;&gt;"",", span "&amp;E22&amp;" m","")&amp;IF(F22&lt;&gt;"",", H "&amp;F22&amp;" m","")&amp;IF(G22&lt;&gt;"",", W "&amp;G22&amp;" m",""))</f>
        <v/>
      </c>
      <c r="C22" s="9"/>
      <c r="D22" s="9"/>
      <c r="E22" s="43"/>
      <c r="F22" s="43"/>
      <c r="G22" s="43"/>
      <c r="H22" s="9"/>
      <c r="I22" s="9"/>
      <c r="J22" s="9"/>
      <c r="K22" s="9"/>
      <c r="L22" s="9"/>
      <c r="M22" s="9"/>
      <c r="N22" s="9"/>
      <c r="O22" s="9"/>
      <c r="P22" s="9"/>
      <c r="Q22" s="9"/>
      <c r="R22" s="10" t="str">
        <f aca="false">IF(A22="","",SG_Criteria!$B$6&amp;SG_Criteria!$B$13&amp;"\"&amp;A22&amp;"\")</f>
        <v/>
      </c>
      <c r="S22" s="10" t="str">
        <f aca="false">IF(A22="","",A22&amp;"_CAD.dwg")</f>
        <v/>
      </c>
      <c r="T22" s="10" t="str">
        <f aca="false">IF(A22="","",A22&amp;"_DWG.pdf")</f>
        <v/>
      </c>
      <c r="U22" s="10" t="str">
        <f aca="false">IF(A22="","",IF(Q22="Y",A22&amp;"_STAAD.std","n/a"))</f>
        <v/>
      </c>
      <c r="V22" s="10" t="str">
        <f aca="false">IF(A22="","",A22&amp;"_CALC.xlsx")</f>
        <v/>
      </c>
      <c r="W22" s="10" t="str">
        <f aca="false">IF(A22="","",A22&amp;"_CALC.pdf")</f>
        <v/>
      </c>
      <c r="X22" s="9"/>
      <c r="Y22" s="9"/>
      <c r="Z22" s="41"/>
      <c r="AA22" s="41"/>
      <c r="AB22" s="41"/>
      <c r="AC22" s="41"/>
      <c r="AD22" s="41"/>
      <c r="AE22" s="38" t="str">
        <f aca="false">IF(C22="","","OK")</f>
        <v/>
      </c>
      <c r="AF22" s="9"/>
      <c r="AG22" s="9"/>
      <c r="AH22" s="9"/>
      <c r="AI22" s="9"/>
      <c r="AJ22" s="9"/>
      <c r="AK22" s="31"/>
      <c r="AL22" s="10" t="str">
        <f aca="false">IF(C22="","",IF(AND(N22="Approved",ISERROR(SEARCH("FAIL",AE22))),"Y","N"))</f>
        <v/>
      </c>
    </row>
    <row r="23" customFormat="false" ht="15" hidden="false" customHeight="false" outlineLevel="0" collapsed="false">
      <c r="A23" s="10" t="str">
        <f aca="false">IF(C23="","",IFERROR(VLOOKUP(C23,Lists!$BI$4:$BJ$20,2,0),"??")&amp;"-"&amp;UPPER(SUBSTITUTE(D23," ",""))&amp;IF(E23&lt;&gt;"","-SP"&amp;TEXT(E23*1000,"0"),"")&amp;IF(F23&lt;&gt;"","-H"&amp;TEXT(F23*1000,"0"),"")&amp;"-"&amp;M23)</f>
        <v/>
      </c>
      <c r="B23" s="10" t="str">
        <f aca="false">IF(C23="","",C23&amp;" - "&amp;D23&amp;IF(E23&lt;&gt;"",", span "&amp;E23&amp;" m","")&amp;IF(F23&lt;&gt;"",", H "&amp;F23&amp;" m","")&amp;IF(G23&lt;&gt;"",", W "&amp;G23&amp;" m",""))</f>
        <v/>
      </c>
      <c r="C23" s="9"/>
      <c r="D23" s="9"/>
      <c r="E23" s="43"/>
      <c r="F23" s="43"/>
      <c r="G23" s="43"/>
      <c r="H23" s="9"/>
      <c r="I23" s="9"/>
      <c r="J23" s="9"/>
      <c r="K23" s="9"/>
      <c r="L23" s="9"/>
      <c r="M23" s="9"/>
      <c r="N23" s="9"/>
      <c r="O23" s="9"/>
      <c r="P23" s="9"/>
      <c r="Q23" s="9"/>
      <c r="R23" s="10" t="str">
        <f aca="false">IF(A23="","",SG_Criteria!$B$6&amp;SG_Criteria!$B$13&amp;"\"&amp;A23&amp;"\")</f>
        <v/>
      </c>
      <c r="S23" s="10" t="str">
        <f aca="false">IF(A23="","",A23&amp;"_CAD.dwg")</f>
        <v/>
      </c>
      <c r="T23" s="10" t="str">
        <f aca="false">IF(A23="","",A23&amp;"_DWG.pdf")</f>
        <v/>
      </c>
      <c r="U23" s="10" t="str">
        <f aca="false">IF(A23="","",IF(Q23="Y",A23&amp;"_STAAD.std","n/a"))</f>
        <v/>
      </c>
      <c r="V23" s="10" t="str">
        <f aca="false">IF(A23="","",A23&amp;"_CALC.xlsx")</f>
        <v/>
      </c>
      <c r="W23" s="10" t="str">
        <f aca="false">IF(A23="","",A23&amp;"_CALC.pdf")</f>
        <v/>
      </c>
      <c r="X23" s="9"/>
      <c r="Y23" s="9"/>
      <c r="Z23" s="41"/>
      <c r="AA23" s="41"/>
      <c r="AB23" s="41"/>
      <c r="AC23" s="41"/>
      <c r="AD23" s="41"/>
      <c r="AE23" s="38" t="str">
        <f aca="false">IF(C23="","","OK")</f>
        <v/>
      </c>
      <c r="AF23" s="9"/>
      <c r="AG23" s="9"/>
      <c r="AH23" s="9"/>
      <c r="AI23" s="9"/>
      <c r="AJ23" s="9"/>
      <c r="AK23" s="31"/>
      <c r="AL23" s="10" t="str">
        <f aca="false">IF(C23="","",IF(AND(N23="Approved",ISERROR(SEARCH("FAIL",AE23))),"Y","N"))</f>
        <v/>
      </c>
    </row>
    <row r="24" customFormat="false" ht="15" hidden="false" customHeight="false" outlineLevel="0" collapsed="false">
      <c r="A24" s="10" t="str">
        <f aca="false">IF(C24="","",IFERROR(VLOOKUP(C24,Lists!$BI$4:$BJ$20,2,0),"??")&amp;"-"&amp;UPPER(SUBSTITUTE(D24," ",""))&amp;IF(E24&lt;&gt;"","-SP"&amp;TEXT(E24*1000,"0"),"")&amp;IF(F24&lt;&gt;"","-H"&amp;TEXT(F24*1000,"0"),"")&amp;"-"&amp;M24)</f>
        <v/>
      </c>
      <c r="B24" s="10" t="str">
        <f aca="false">IF(C24="","",C24&amp;" - "&amp;D24&amp;IF(E24&lt;&gt;"",", span "&amp;E24&amp;" m","")&amp;IF(F24&lt;&gt;"",", H "&amp;F24&amp;" m","")&amp;IF(G24&lt;&gt;"",", W "&amp;G24&amp;" m",""))</f>
        <v/>
      </c>
      <c r="C24" s="9"/>
      <c r="D24" s="9"/>
      <c r="E24" s="43"/>
      <c r="F24" s="43"/>
      <c r="G24" s="43"/>
      <c r="H24" s="9"/>
      <c r="I24" s="9"/>
      <c r="J24" s="9"/>
      <c r="K24" s="9"/>
      <c r="L24" s="9"/>
      <c r="M24" s="9"/>
      <c r="N24" s="9"/>
      <c r="O24" s="9"/>
      <c r="P24" s="9"/>
      <c r="Q24" s="9"/>
      <c r="R24" s="10" t="str">
        <f aca="false">IF(A24="","",SG_Criteria!$B$6&amp;SG_Criteria!$B$13&amp;"\"&amp;A24&amp;"\")</f>
        <v/>
      </c>
      <c r="S24" s="10" t="str">
        <f aca="false">IF(A24="","",A24&amp;"_CAD.dwg")</f>
        <v/>
      </c>
      <c r="T24" s="10" t="str">
        <f aca="false">IF(A24="","",A24&amp;"_DWG.pdf")</f>
        <v/>
      </c>
      <c r="U24" s="10" t="str">
        <f aca="false">IF(A24="","",IF(Q24="Y",A24&amp;"_STAAD.std","n/a"))</f>
        <v/>
      </c>
      <c r="V24" s="10" t="str">
        <f aca="false">IF(A24="","",A24&amp;"_CALC.xlsx")</f>
        <v/>
      </c>
      <c r="W24" s="10" t="str">
        <f aca="false">IF(A24="","",A24&amp;"_CALC.pdf")</f>
        <v/>
      </c>
      <c r="X24" s="9"/>
      <c r="Y24" s="9"/>
      <c r="Z24" s="41"/>
      <c r="AA24" s="41"/>
      <c r="AB24" s="41"/>
      <c r="AC24" s="41"/>
      <c r="AD24" s="41"/>
      <c r="AE24" s="38" t="str">
        <f aca="false">IF(C24="","","OK")</f>
        <v/>
      </c>
      <c r="AF24" s="9"/>
      <c r="AG24" s="9"/>
      <c r="AH24" s="9"/>
      <c r="AI24" s="9"/>
      <c r="AJ24" s="9"/>
      <c r="AK24" s="31"/>
      <c r="AL24" s="10" t="str">
        <f aca="false">IF(C24="","",IF(AND(N24="Approved",ISERROR(SEARCH("FAIL",AE24))),"Y","N"))</f>
        <v/>
      </c>
    </row>
    <row r="25" customFormat="false" ht="15" hidden="false" customHeight="false" outlineLevel="0" collapsed="false">
      <c r="A25" s="10" t="str">
        <f aca="false">IF(C25="","",IFERROR(VLOOKUP(C25,Lists!$BI$4:$BJ$20,2,0),"??")&amp;"-"&amp;UPPER(SUBSTITUTE(D25," ",""))&amp;IF(E25&lt;&gt;"","-SP"&amp;TEXT(E25*1000,"0"),"")&amp;IF(F25&lt;&gt;"","-H"&amp;TEXT(F25*1000,"0"),"")&amp;"-"&amp;M25)</f>
        <v/>
      </c>
      <c r="B25" s="10" t="str">
        <f aca="false">IF(C25="","",C25&amp;" - "&amp;D25&amp;IF(E25&lt;&gt;"",", span "&amp;E25&amp;" m","")&amp;IF(F25&lt;&gt;"",", H "&amp;F25&amp;" m","")&amp;IF(G25&lt;&gt;"",", W "&amp;G25&amp;" m",""))</f>
        <v/>
      </c>
      <c r="C25" s="9"/>
      <c r="D25" s="9"/>
      <c r="E25" s="43"/>
      <c r="F25" s="43"/>
      <c r="G25" s="43"/>
      <c r="H25" s="9"/>
      <c r="I25" s="9"/>
      <c r="J25" s="9"/>
      <c r="K25" s="9"/>
      <c r="L25" s="9"/>
      <c r="M25" s="9"/>
      <c r="N25" s="9"/>
      <c r="O25" s="9"/>
      <c r="P25" s="9"/>
      <c r="Q25" s="9"/>
      <c r="R25" s="10" t="str">
        <f aca="false">IF(A25="","",SG_Criteria!$B$6&amp;SG_Criteria!$B$13&amp;"\"&amp;A25&amp;"\")</f>
        <v/>
      </c>
      <c r="S25" s="10" t="str">
        <f aca="false">IF(A25="","",A25&amp;"_CAD.dwg")</f>
        <v/>
      </c>
      <c r="T25" s="10" t="str">
        <f aca="false">IF(A25="","",A25&amp;"_DWG.pdf")</f>
        <v/>
      </c>
      <c r="U25" s="10" t="str">
        <f aca="false">IF(A25="","",IF(Q25="Y",A25&amp;"_STAAD.std","n/a"))</f>
        <v/>
      </c>
      <c r="V25" s="10" t="str">
        <f aca="false">IF(A25="","",A25&amp;"_CALC.xlsx")</f>
        <v/>
      </c>
      <c r="W25" s="10" t="str">
        <f aca="false">IF(A25="","",A25&amp;"_CALC.pdf")</f>
        <v/>
      </c>
      <c r="X25" s="9"/>
      <c r="Y25" s="9"/>
      <c r="Z25" s="41"/>
      <c r="AA25" s="41"/>
      <c r="AB25" s="41"/>
      <c r="AC25" s="41"/>
      <c r="AD25" s="41"/>
      <c r="AE25" s="38" t="str">
        <f aca="false">IF(C25="","","OK")</f>
        <v/>
      </c>
      <c r="AF25" s="9"/>
      <c r="AG25" s="9"/>
      <c r="AH25" s="9"/>
      <c r="AI25" s="9"/>
      <c r="AJ25" s="9"/>
      <c r="AK25" s="31"/>
      <c r="AL25" s="10" t="str">
        <f aca="false">IF(C25="","",IF(AND(N25="Approved",ISERROR(SEARCH("FAIL",AE25))),"Y","N"))</f>
        <v/>
      </c>
    </row>
    <row r="26" customFormat="false" ht="15" hidden="false" customHeight="false" outlineLevel="0" collapsed="false">
      <c r="A26" s="10" t="str">
        <f aca="false">IF(C26="","",IFERROR(VLOOKUP(C26,Lists!$BI$4:$BJ$20,2,0),"??")&amp;"-"&amp;UPPER(SUBSTITUTE(D26," ",""))&amp;IF(E26&lt;&gt;"","-SP"&amp;TEXT(E26*1000,"0"),"")&amp;IF(F26&lt;&gt;"","-H"&amp;TEXT(F26*1000,"0"),"")&amp;"-"&amp;M26)</f>
        <v/>
      </c>
      <c r="B26" s="10" t="str">
        <f aca="false">IF(C26="","",C26&amp;" - "&amp;D26&amp;IF(E26&lt;&gt;"",", span "&amp;E26&amp;" m","")&amp;IF(F26&lt;&gt;"",", H "&amp;F26&amp;" m","")&amp;IF(G26&lt;&gt;"",", W "&amp;G26&amp;" m",""))</f>
        <v/>
      </c>
      <c r="C26" s="9"/>
      <c r="D26" s="9"/>
      <c r="E26" s="43"/>
      <c r="F26" s="43"/>
      <c r="G26" s="43"/>
      <c r="H26" s="9"/>
      <c r="I26" s="9"/>
      <c r="J26" s="9"/>
      <c r="K26" s="9"/>
      <c r="L26" s="9"/>
      <c r="M26" s="9"/>
      <c r="N26" s="9"/>
      <c r="O26" s="9"/>
      <c r="P26" s="9"/>
      <c r="Q26" s="9"/>
      <c r="R26" s="10" t="str">
        <f aca="false">IF(A26="","",SG_Criteria!$B$6&amp;SG_Criteria!$B$13&amp;"\"&amp;A26&amp;"\")</f>
        <v/>
      </c>
      <c r="S26" s="10" t="str">
        <f aca="false">IF(A26="","",A26&amp;"_CAD.dwg")</f>
        <v/>
      </c>
      <c r="T26" s="10" t="str">
        <f aca="false">IF(A26="","",A26&amp;"_DWG.pdf")</f>
        <v/>
      </c>
      <c r="U26" s="10" t="str">
        <f aca="false">IF(A26="","",IF(Q26="Y",A26&amp;"_STAAD.std","n/a"))</f>
        <v/>
      </c>
      <c r="V26" s="10" t="str">
        <f aca="false">IF(A26="","",A26&amp;"_CALC.xlsx")</f>
        <v/>
      </c>
      <c r="W26" s="10" t="str">
        <f aca="false">IF(A26="","",A26&amp;"_CALC.pdf")</f>
        <v/>
      </c>
      <c r="X26" s="9"/>
      <c r="Y26" s="9"/>
      <c r="Z26" s="41"/>
      <c r="AA26" s="41"/>
      <c r="AB26" s="41"/>
      <c r="AC26" s="41"/>
      <c r="AD26" s="41"/>
      <c r="AE26" s="38" t="str">
        <f aca="false">IF(C26="","","OK")</f>
        <v/>
      </c>
      <c r="AF26" s="9"/>
      <c r="AG26" s="9"/>
      <c r="AH26" s="9"/>
      <c r="AI26" s="9"/>
      <c r="AJ26" s="9"/>
      <c r="AK26" s="31"/>
      <c r="AL26" s="10" t="str">
        <f aca="false">IF(C26="","",IF(AND(N26="Approved",ISERROR(SEARCH("FAIL",AE26))),"Y","N"))</f>
        <v/>
      </c>
    </row>
    <row r="27" customFormat="false" ht="15" hidden="false" customHeight="false" outlineLevel="0" collapsed="false">
      <c r="A27" s="10" t="str">
        <f aca="false">IF(C27="","",IFERROR(VLOOKUP(C27,Lists!$BI$4:$BJ$20,2,0),"??")&amp;"-"&amp;UPPER(SUBSTITUTE(D27," ",""))&amp;IF(E27&lt;&gt;"","-SP"&amp;TEXT(E27*1000,"0"),"")&amp;IF(F27&lt;&gt;"","-H"&amp;TEXT(F27*1000,"0"),"")&amp;"-"&amp;M27)</f>
        <v/>
      </c>
      <c r="B27" s="10" t="str">
        <f aca="false">IF(C27="","",C27&amp;" - "&amp;D27&amp;IF(E27&lt;&gt;"",", span "&amp;E27&amp;" m","")&amp;IF(F27&lt;&gt;"",", H "&amp;F27&amp;" m","")&amp;IF(G27&lt;&gt;"",", W "&amp;G27&amp;" m",""))</f>
        <v/>
      </c>
      <c r="C27" s="9"/>
      <c r="D27" s="9"/>
      <c r="E27" s="43"/>
      <c r="F27" s="43"/>
      <c r="G27" s="43"/>
      <c r="H27" s="9"/>
      <c r="I27" s="9"/>
      <c r="J27" s="9"/>
      <c r="K27" s="9"/>
      <c r="L27" s="9"/>
      <c r="M27" s="9"/>
      <c r="N27" s="9"/>
      <c r="O27" s="9"/>
      <c r="P27" s="9"/>
      <c r="Q27" s="9"/>
      <c r="R27" s="10" t="str">
        <f aca="false">IF(A27="","",SG_Criteria!$B$6&amp;SG_Criteria!$B$13&amp;"\"&amp;A27&amp;"\")</f>
        <v/>
      </c>
      <c r="S27" s="10" t="str">
        <f aca="false">IF(A27="","",A27&amp;"_CAD.dwg")</f>
        <v/>
      </c>
      <c r="T27" s="10" t="str">
        <f aca="false">IF(A27="","",A27&amp;"_DWG.pdf")</f>
        <v/>
      </c>
      <c r="U27" s="10" t="str">
        <f aca="false">IF(A27="","",IF(Q27="Y",A27&amp;"_STAAD.std","n/a"))</f>
        <v/>
      </c>
      <c r="V27" s="10" t="str">
        <f aca="false">IF(A27="","",A27&amp;"_CALC.xlsx")</f>
        <v/>
      </c>
      <c r="W27" s="10" t="str">
        <f aca="false">IF(A27="","",A27&amp;"_CALC.pdf")</f>
        <v/>
      </c>
      <c r="X27" s="9"/>
      <c r="Y27" s="9"/>
      <c r="Z27" s="41"/>
      <c r="AA27" s="41"/>
      <c r="AB27" s="41"/>
      <c r="AC27" s="41"/>
      <c r="AD27" s="41"/>
      <c r="AE27" s="38" t="str">
        <f aca="false">IF(C27="","","OK")</f>
        <v/>
      </c>
      <c r="AF27" s="9"/>
      <c r="AG27" s="9"/>
      <c r="AH27" s="9"/>
      <c r="AI27" s="9"/>
      <c r="AJ27" s="9"/>
      <c r="AK27" s="31"/>
      <c r="AL27" s="10" t="str">
        <f aca="false">IF(C27="","",IF(AND(N27="Approved",ISERROR(SEARCH("FAIL",AE27))),"Y","N"))</f>
        <v/>
      </c>
    </row>
    <row r="28" customFormat="false" ht="15" hidden="false" customHeight="false" outlineLevel="0" collapsed="false">
      <c r="A28" s="10" t="str">
        <f aca="false">IF(C28="","",IFERROR(VLOOKUP(C28,Lists!$BI$4:$BJ$20,2,0),"??")&amp;"-"&amp;UPPER(SUBSTITUTE(D28," ",""))&amp;IF(E28&lt;&gt;"","-SP"&amp;TEXT(E28*1000,"0"),"")&amp;IF(F28&lt;&gt;"","-H"&amp;TEXT(F28*1000,"0"),"")&amp;"-"&amp;M28)</f>
        <v/>
      </c>
      <c r="B28" s="10" t="str">
        <f aca="false">IF(C28="","",C28&amp;" - "&amp;D28&amp;IF(E28&lt;&gt;"",", span "&amp;E28&amp;" m","")&amp;IF(F28&lt;&gt;"",", H "&amp;F28&amp;" m","")&amp;IF(G28&lt;&gt;"",", W "&amp;G28&amp;" m",""))</f>
        <v/>
      </c>
      <c r="C28" s="9"/>
      <c r="D28" s="9"/>
      <c r="E28" s="43"/>
      <c r="F28" s="43"/>
      <c r="G28" s="43"/>
      <c r="H28" s="9"/>
      <c r="I28" s="9"/>
      <c r="J28" s="9"/>
      <c r="K28" s="9"/>
      <c r="L28" s="9"/>
      <c r="M28" s="9"/>
      <c r="N28" s="9"/>
      <c r="O28" s="9"/>
      <c r="P28" s="9"/>
      <c r="Q28" s="9"/>
      <c r="R28" s="10" t="str">
        <f aca="false">IF(A28="","",SG_Criteria!$B$6&amp;SG_Criteria!$B$13&amp;"\"&amp;A28&amp;"\")</f>
        <v/>
      </c>
      <c r="S28" s="10" t="str">
        <f aca="false">IF(A28="","",A28&amp;"_CAD.dwg")</f>
        <v/>
      </c>
      <c r="T28" s="10" t="str">
        <f aca="false">IF(A28="","",A28&amp;"_DWG.pdf")</f>
        <v/>
      </c>
      <c r="U28" s="10" t="str">
        <f aca="false">IF(A28="","",IF(Q28="Y",A28&amp;"_STAAD.std","n/a"))</f>
        <v/>
      </c>
      <c r="V28" s="10" t="str">
        <f aca="false">IF(A28="","",A28&amp;"_CALC.xlsx")</f>
        <v/>
      </c>
      <c r="W28" s="10" t="str">
        <f aca="false">IF(A28="","",A28&amp;"_CALC.pdf")</f>
        <v/>
      </c>
      <c r="X28" s="9"/>
      <c r="Y28" s="9"/>
      <c r="Z28" s="41"/>
      <c r="AA28" s="41"/>
      <c r="AB28" s="41"/>
      <c r="AC28" s="41"/>
      <c r="AD28" s="41"/>
      <c r="AE28" s="38" t="str">
        <f aca="false">IF(C28="","","OK")</f>
        <v/>
      </c>
      <c r="AF28" s="9"/>
      <c r="AG28" s="9"/>
      <c r="AH28" s="9"/>
      <c r="AI28" s="9"/>
      <c r="AJ28" s="9"/>
      <c r="AK28" s="31"/>
      <c r="AL28" s="10" t="str">
        <f aca="false">IF(C28="","",IF(AND(N28="Approved",ISERROR(SEARCH("FAIL",AE28))),"Y","N"))</f>
        <v/>
      </c>
    </row>
    <row r="29" customFormat="false" ht="15" hidden="false" customHeight="false" outlineLevel="0" collapsed="false">
      <c r="A29" s="10" t="str">
        <f aca="false">IF(C29="","",IFERROR(VLOOKUP(C29,Lists!$BI$4:$BJ$20,2,0),"??")&amp;"-"&amp;UPPER(SUBSTITUTE(D29," ",""))&amp;IF(E29&lt;&gt;"","-SP"&amp;TEXT(E29*1000,"0"),"")&amp;IF(F29&lt;&gt;"","-H"&amp;TEXT(F29*1000,"0"),"")&amp;"-"&amp;M29)</f>
        <v/>
      </c>
      <c r="B29" s="10" t="str">
        <f aca="false">IF(C29="","",C29&amp;" - "&amp;D29&amp;IF(E29&lt;&gt;"",", span "&amp;E29&amp;" m","")&amp;IF(F29&lt;&gt;"",", H "&amp;F29&amp;" m","")&amp;IF(G29&lt;&gt;"",", W "&amp;G29&amp;" m",""))</f>
        <v/>
      </c>
      <c r="C29" s="9"/>
      <c r="D29" s="9"/>
      <c r="E29" s="43"/>
      <c r="F29" s="43"/>
      <c r="G29" s="43"/>
      <c r="H29" s="9"/>
      <c r="I29" s="9"/>
      <c r="J29" s="9"/>
      <c r="K29" s="9"/>
      <c r="L29" s="9"/>
      <c r="M29" s="9"/>
      <c r="N29" s="9"/>
      <c r="O29" s="9"/>
      <c r="P29" s="9"/>
      <c r="Q29" s="9"/>
      <c r="R29" s="10" t="str">
        <f aca="false">IF(A29="","",SG_Criteria!$B$6&amp;SG_Criteria!$B$13&amp;"\"&amp;A29&amp;"\")</f>
        <v/>
      </c>
      <c r="S29" s="10" t="str">
        <f aca="false">IF(A29="","",A29&amp;"_CAD.dwg")</f>
        <v/>
      </c>
      <c r="T29" s="10" t="str">
        <f aca="false">IF(A29="","",A29&amp;"_DWG.pdf")</f>
        <v/>
      </c>
      <c r="U29" s="10" t="str">
        <f aca="false">IF(A29="","",IF(Q29="Y",A29&amp;"_STAAD.std","n/a"))</f>
        <v/>
      </c>
      <c r="V29" s="10" t="str">
        <f aca="false">IF(A29="","",A29&amp;"_CALC.xlsx")</f>
        <v/>
      </c>
      <c r="W29" s="10" t="str">
        <f aca="false">IF(A29="","",A29&amp;"_CALC.pdf")</f>
        <v/>
      </c>
      <c r="X29" s="9"/>
      <c r="Y29" s="9"/>
      <c r="Z29" s="41"/>
      <c r="AA29" s="41"/>
      <c r="AB29" s="41"/>
      <c r="AC29" s="41"/>
      <c r="AD29" s="41"/>
      <c r="AE29" s="38" t="str">
        <f aca="false">IF(C29="","","OK")</f>
        <v/>
      </c>
      <c r="AF29" s="9"/>
      <c r="AG29" s="9"/>
      <c r="AH29" s="9"/>
      <c r="AI29" s="9"/>
      <c r="AJ29" s="9"/>
      <c r="AK29" s="31"/>
      <c r="AL29" s="10" t="str">
        <f aca="false">IF(C29="","",IF(AND(N29="Approved",ISERROR(SEARCH("FAIL",AE29))),"Y","N"))</f>
        <v/>
      </c>
    </row>
    <row r="30" customFormat="false" ht="15" hidden="false" customHeight="false" outlineLevel="0" collapsed="false">
      <c r="A30" s="10" t="str">
        <f aca="false">IF(C30="","",IFERROR(VLOOKUP(C30,Lists!$BI$4:$BJ$20,2,0),"??")&amp;"-"&amp;UPPER(SUBSTITUTE(D30," ",""))&amp;IF(E30&lt;&gt;"","-SP"&amp;TEXT(E30*1000,"0"),"")&amp;IF(F30&lt;&gt;"","-H"&amp;TEXT(F30*1000,"0"),"")&amp;"-"&amp;M30)</f>
        <v/>
      </c>
      <c r="B30" s="10" t="str">
        <f aca="false">IF(C30="","",C30&amp;" - "&amp;D30&amp;IF(E30&lt;&gt;"",", span "&amp;E30&amp;" m","")&amp;IF(F30&lt;&gt;"",", H "&amp;F30&amp;" m","")&amp;IF(G30&lt;&gt;"",", W "&amp;G30&amp;" m",""))</f>
        <v/>
      </c>
      <c r="C30" s="9"/>
      <c r="D30" s="9"/>
      <c r="E30" s="43"/>
      <c r="F30" s="43"/>
      <c r="G30" s="43"/>
      <c r="H30" s="9"/>
      <c r="I30" s="9"/>
      <c r="J30" s="9"/>
      <c r="K30" s="9"/>
      <c r="L30" s="9"/>
      <c r="M30" s="9"/>
      <c r="N30" s="9"/>
      <c r="O30" s="9"/>
      <c r="P30" s="9"/>
      <c r="Q30" s="9"/>
      <c r="R30" s="10" t="str">
        <f aca="false">IF(A30="","",SG_Criteria!$B$6&amp;SG_Criteria!$B$13&amp;"\"&amp;A30&amp;"\")</f>
        <v/>
      </c>
      <c r="S30" s="10" t="str">
        <f aca="false">IF(A30="","",A30&amp;"_CAD.dwg")</f>
        <v/>
      </c>
      <c r="T30" s="10" t="str">
        <f aca="false">IF(A30="","",A30&amp;"_DWG.pdf")</f>
        <v/>
      </c>
      <c r="U30" s="10" t="str">
        <f aca="false">IF(A30="","",IF(Q30="Y",A30&amp;"_STAAD.std","n/a"))</f>
        <v/>
      </c>
      <c r="V30" s="10" t="str">
        <f aca="false">IF(A30="","",A30&amp;"_CALC.xlsx")</f>
        <v/>
      </c>
      <c r="W30" s="10" t="str">
        <f aca="false">IF(A30="","",A30&amp;"_CALC.pdf")</f>
        <v/>
      </c>
      <c r="X30" s="9"/>
      <c r="Y30" s="9"/>
      <c r="Z30" s="41"/>
      <c r="AA30" s="41"/>
      <c r="AB30" s="41"/>
      <c r="AC30" s="41"/>
      <c r="AD30" s="41"/>
      <c r="AE30" s="38" t="str">
        <f aca="false">IF(C30="","","OK")</f>
        <v/>
      </c>
      <c r="AF30" s="9"/>
      <c r="AG30" s="9"/>
      <c r="AH30" s="9"/>
      <c r="AI30" s="9"/>
      <c r="AJ30" s="9"/>
      <c r="AK30" s="31"/>
      <c r="AL30" s="10" t="str">
        <f aca="false">IF(C30="","",IF(AND(N30="Approved",ISERROR(SEARCH("FAIL",AE30))),"Y","N"))</f>
        <v/>
      </c>
    </row>
    <row r="31" customFormat="false" ht="15" hidden="false" customHeight="false" outlineLevel="0" collapsed="false">
      <c r="A31" s="10" t="str">
        <f aca="false">IF(C31="","",IFERROR(VLOOKUP(C31,Lists!$BI$4:$BJ$20,2,0),"??")&amp;"-"&amp;UPPER(SUBSTITUTE(D31," ",""))&amp;IF(E31&lt;&gt;"","-SP"&amp;TEXT(E31*1000,"0"),"")&amp;IF(F31&lt;&gt;"","-H"&amp;TEXT(F31*1000,"0"),"")&amp;"-"&amp;M31)</f>
        <v/>
      </c>
      <c r="B31" s="10" t="str">
        <f aca="false">IF(C31="","",C31&amp;" - "&amp;D31&amp;IF(E31&lt;&gt;"",", span "&amp;E31&amp;" m","")&amp;IF(F31&lt;&gt;"",", H "&amp;F31&amp;" m","")&amp;IF(G31&lt;&gt;"",", W "&amp;G31&amp;" m",""))</f>
        <v/>
      </c>
      <c r="C31" s="9"/>
      <c r="D31" s="9"/>
      <c r="E31" s="43"/>
      <c r="F31" s="43"/>
      <c r="G31" s="43"/>
      <c r="H31" s="9"/>
      <c r="I31" s="9"/>
      <c r="J31" s="9"/>
      <c r="K31" s="9"/>
      <c r="L31" s="9"/>
      <c r="M31" s="9"/>
      <c r="N31" s="9"/>
      <c r="O31" s="9"/>
      <c r="P31" s="9"/>
      <c r="Q31" s="9"/>
      <c r="R31" s="10" t="str">
        <f aca="false">IF(A31="","",SG_Criteria!$B$6&amp;SG_Criteria!$B$13&amp;"\"&amp;A31&amp;"\")</f>
        <v/>
      </c>
      <c r="S31" s="10" t="str">
        <f aca="false">IF(A31="","",A31&amp;"_CAD.dwg")</f>
        <v/>
      </c>
      <c r="T31" s="10" t="str">
        <f aca="false">IF(A31="","",A31&amp;"_DWG.pdf")</f>
        <v/>
      </c>
      <c r="U31" s="10" t="str">
        <f aca="false">IF(A31="","",IF(Q31="Y",A31&amp;"_STAAD.std","n/a"))</f>
        <v/>
      </c>
      <c r="V31" s="10" t="str">
        <f aca="false">IF(A31="","",A31&amp;"_CALC.xlsx")</f>
        <v/>
      </c>
      <c r="W31" s="10" t="str">
        <f aca="false">IF(A31="","",A31&amp;"_CALC.pdf")</f>
        <v/>
      </c>
      <c r="X31" s="9"/>
      <c r="Y31" s="9"/>
      <c r="Z31" s="41"/>
      <c r="AA31" s="41"/>
      <c r="AB31" s="41"/>
      <c r="AC31" s="41"/>
      <c r="AD31" s="41"/>
      <c r="AE31" s="38" t="str">
        <f aca="false">IF(C31="","","OK")</f>
        <v/>
      </c>
      <c r="AF31" s="9"/>
      <c r="AG31" s="9"/>
      <c r="AH31" s="9"/>
      <c r="AI31" s="9"/>
      <c r="AJ31" s="9"/>
      <c r="AK31" s="31"/>
      <c r="AL31" s="10" t="str">
        <f aca="false">IF(C31="","",IF(AND(N31="Approved",ISERROR(SEARCH("FAIL",AE31))),"Y","N"))</f>
        <v/>
      </c>
    </row>
    <row r="32" customFormat="false" ht="15" hidden="false" customHeight="false" outlineLevel="0" collapsed="false">
      <c r="A32" s="10" t="str">
        <f aca="false">IF(C32="","",IFERROR(VLOOKUP(C32,Lists!$BI$4:$BJ$20,2,0),"??")&amp;"-"&amp;UPPER(SUBSTITUTE(D32," ",""))&amp;IF(E32&lt;&gt;"","-SP"&amp;TEXT(E32*1000,"0"),"")&amp;IF(F32&lt;&gt;"","-H"&amp;TEXT(F32*1000,"0"),"")&amp;"-"&amp;M32)</f>
        <v/>
      </c>
      <c r="B32" s="10" t="str">
        <f aca="false">IF(C32="","",C32&amp;" - "&amp;D32&amp;IF(E32&lt;&gt;"",", span "&amp;E32&amp;" m","")&amp;IF(F32&lt;&gt;"",", H "&amp;F32&amp;" m","")&amp;IF(G32&lt;&gt;"",", W "&amp;G32&amp;" m",""))</f>
        <v/>
      </c>
      <c r="C32" s="9"/>
      <c r="D32" s="9"/>
      <c r="E32" s="43"/>
      <c r="F32" s="43"/>
      <c r="G32" s="43"/>
      <c r="H32" s="9"/>
      <c r="I32" s="9"/>
      <c r="J32" s="9"/>
      <c r="K32" s="9"/>
      <c r="L32" s="9"/>
      <c r="M32" s="9"/>
      <c r="N32" s="9"/>
      <c r="O32" s="9"/>
      <c r="P32" s="9"/>
      <c r="Q32" s="9"/>
      <c r="R32" s="10" t="str">
        <f aca="false">IF(A32="","",SG_Criteria!$B$6&amp;SG_Criteria!$B$13&amp;"\"&amp;A32&amp;"\")</f>
        <v/>
      </c>
      <c r="S32" s="10" t="str">
        <f aca="false">IF(A32="","",A32&amp;"_CAD.dwg")</f>
        <v/>
      </c>
      <c r="T32" s="10" t="str">
        <f aca="false">IF(A32="","",A32&amp;"_DWG.pdf")</f>
        <v/>
      </c>
      <c r="U32" s="10" t="str">
        <f aca="false">IF(A32="","",IF(Q32="Y",A32&amp;"_STAAD.std","n/a"))</f>
        <v/>
      </c>
      <c r="V32" s="10" t="str">
        <f aca="false">IF(A32="","",A32&amp;"_CALC.xlsx")</f>
        <v/>
      </c>
      <c r="W32" s="10" t="str">
        <f aca="false">IF(A32="","",A32&amp;"_CALC.pdf")</f>
        <v/>
      </c>
      <c r="X32" s="9"/>
      <c r="Y32" s="9"/>
      <c r="Z32" s="41"/>
      <c r="AA32" s="41"/>
      <c r="AB32" s="41"/>
      <c r="AC32" s="41"/>
      <c r="AD32" s="41"/>
      <c r="AE32" s="38" t="str">
        <f aca="false">IF(C32="","","OK")</f>
        <v/>
      </c>
      <c r="AF32" s="9"/>
      <c r="AG32" s="9"/>
      <c r="AH32" s="9"/>
      <c r="AI32" s="9"/>
      <c r="AJ32" s="9"/>
      <c r="AK32" s="31"/>
      <c r="AL32" s="10" t="str">
        <f aca="false">IF(C32="","",IF(AND(N32="Approved",ISERROR(SEARCH("FAIL",AE32))),"Y","N"))</f>
        <v/>
      </c>
    </row>
    <row r="33" customFormat="false" ht="15" hidden="false" customHeight="false" outlineLevel="0" collapsed="false">
      <c r="A33" s="10" t="str">
        <f aca="false">IF(C33="","",IFERROR(VLOOKUP(C33,Lists!$BI$4:$BJ$20,2,0),"??")&amp;"-"&amp;UPPER(SUBSTITUTE(D33," ",""))&amp;IF(E33&lt;&gt;"","-SP"&amp;TEXT(E33*1000,"0"),"")&amp;IF(F33&lt;&gt;"","-H"&amp;TEXT(F33*1000,"0"),"")&amp;"-"&amp;M33)</f>
        <v/>
      </c>
      <c r="B33" s="10" t="str">
        <f aca="false">IF(C33="","",C33&amp;" - "&amp;D33&amp;IF(E33&lt;&gt;"",", span "&amp;E33&amp;" m","")&amp;IF(F33&lt;&gt;"",", H "&amp;F33&amp;" m","")&amp;IF(G33&lt;&gt;"",", W "&amp;G33&amp;" m",""))</f>
        <v/>
      </c>
      <c r="C33" s="9"/>
      <c r="D33" s="9"/>
      <c r="E33" s="43"/>
      <c r="F33" s="43"/>
      <c r="G33" s="43"/>
      <c r="H33" s="9"/>
      <c r="I33" s="9"/>
      <c r="J33" s="9"/>
      <c r="K33" s="9"/>
      <c r="L33" s="9"/>
      <c r="M33" s="9"/>
      <c r="N33" s="9"/>
      <c r="O33" s="9"/>
      <c r="P33" s="9"/>
      <c r="Q33" s="9"/>
      <c r="R33" s="10" t="str">
        <f aca="false">IF(A33="","",SG_Criteria!$B$6&amp;SG_Criteria!$B$13&amp;"\"&amp;A33&amp;"\")</f>
        <v/>
      </c>
      <c r="S33" s="10" t="str">
        <f aca="false">IF(A33="","",A33&amp;"_CAD.dwg")</f>
        <v/>
      </c>
      <c r="T33" s="10" t="str">
        <f aca="false">IF(A33="","",A33&amp;"_DWG.pdf")</f>
        <v/>
      </c>
      <c r="U33" s="10" t="str">
        <f aca="false">IF(A33="","",IF(Q33="Y",A33&amp;"_STAAD.std","n/a"))</f>
        <v/>
      </c>
      <c r="V33" s="10" t="str">
        <f aca="false">IF(A33="","",A33&amp;"_CALC.xlsx")</f>
        <v/>
      </c>
      <c r="W33" s="10" t="str">
        <f aca="false">IF(A33="","",A33&amp;"_CALC.pdf")</f>
        <v/>
      </c>
      <c r="X33" s="9"/>
      <c r="Y33" s="9"/>
      <c r="Z33" s="41"/>
      <c r="AA33" s="41"/>
      <c r="AB33" s="41"/>
      <c r="AC33" s="41"/>
      <c r="AD33" s="41"/>
      <c r="AE33" s="38" t="str">
        <f aca="false">IF(C33="","","OK")</f>
        <v/>
      </c>
      <c r="AF33" s="9"/>
      <c r="AG33" s="9"/>
      <c r="AH33" s="9"/>
      <c r="AI33" s="9"/>
      <c r="AJ33" s="9"/>
      <c r="AK33" s="31"/>
      <c r="AL33" s="10" t="str">
        <f aca="false">IF(C33="","",IF(AND(N33="Approved",ISERROR(SEARCH("FAIL",AE33))),"Y","N"))</f>
        <v/>
      </c>
    </row>
    <row r="34" customFormat="false" ht="15" hidden="false" customHeight="false" outlineLevel="0" collapsed="false">
      <c r="A34" s="10" t="str">
        <f aca="false">IF(C34="","",IFERROR(VLOOKUP(C34,Lists!$BI$4:$BJ$20,2,0),"??")&amp;"-"&amp;UPPER(SUBSTITUTE(D34," ",""))&amp;IF(E34&lt;&gt;"","-SP"&amp;TEXT(E34*1000,"0"),"")&amp;IF(F34&lt;&gt;"","-H"&amp;TEXT(F34*1000,"0"),"")&amp;"-"&amp;M34)</f>
        <v/>
      </c>
      <c r="B34" s="10" t="str">
        <f aca="false">IF(C34="","",C34&amp;" - "&amp;D34&amp;IF(E34&lt;&gt;"",", span "&amp;E34&amp;" m","")&amp;IF(F34&lt;&gt;"",", H "&amp;F34&amp;" m","")&amp;IF(G34&lt;&gt;"",", W "&amp;G34&amp;" m",""))</f>
        <v/>
      </c>
      <c r="C34" s="9"/>
      <c r="D34" s="9"/>
      <c r="E34" s="43"/>
      <c r="F34" s="43"/>
      <c r="G34" s="43"/>
      <c r="H34" s="9"/>
      <c r="I34" s="9"/>
      <c r="J34" s="9"/>
      <c r="K34" s="9"/>
      <c r="L34" s="9"/>
      <c r="M34" s="9"/>
      <c r="N34" s="9"/>
      <c r="O34" s="9"/>
      <c r="P34" s="9"/>
      <c r="Q34" s="9"/>
      <c r="R34" s="10" t="str">
        <f aca="false">IF(A34="","",SG_Criteria!$B$6&amp;SG_Criteria!$B$13&amp;"\"&amp;A34&amp;"\")</f>
        <v/>
      </c>
      <c r="S34" s="10" t="str">
        <f aca="false">IF(A34="","",A34&amp;"_CAD.dwg")</f>
        <v/>
      </c>
      <c r="T34" s="10" t="str">
        <f aca="false">IF(A34="","",A34&amp;"_DWG.pdf")</f>
        <v/>
      </c>
      <c r="U34" s="10" t="str">
        <f aca="false">IF(A34="","",IF(Q34="Y",A34&amp;"_STAAD.std","n/a"))</f>
        <v/>
      </c>
      <c r="V34" s="10" t="str">
        <f aca="false">IF(A34="","",A34&amp;"_CALC.xlsx")</f>
        <v/>
      </c>
      <c r="W34" s="10" t="str">
        <f aca="false">IF(A34="","",A34&amp;"_CALC.pdf")</f>
        <v/>
      </c>
      <c r="X34" s="9"/>
      <c r="Y34" s="9"/>
      <c r="Z34" s="41"/>
      <c r="AA34" s="41"/>
      <c r="AB34" s="41"/>
      <c r="AC34" s="41"/>
      <c r="AD34" s="41"/>
      <c r="AE34" s="38" t="str">
        <f aca="false">IF(C34="","","OK")</f>
        <v/>
      </c>
      <c r="AF34" s="9"/>
      <c r="AG34" s="9"/>
      <c r="AH34" s="9"/>
      <c r="AI34" s="9"/>
      <c r="AJ34" s="9"/>
      <c r="AK34" s="31"/>
      <c r="AL34" s="10" t="str">
        <f aca="false">IF(C34="","",IF(AND(N34="Approved",ISERROR(SEARCH("FAIL",AE34))),"Y","N"))</f>
        <v/>
      </c>
    </row>
    <row r="35" customFormat="false" ht="15" hidden="false" customHeight="false" outlineLevel="0" collapsed="false">
      <c r="A35" s="10" t="str">
        <f aca="false">IF(C35="","",IFERROR(VLOOKUP(C35,Lists!$BI$4:$BJ$20,2,0),"??")&amp;"-"&amp;UPPER(SUBSTITUTE(D35," ",""))&amp;IF(E35&lt;&gt;"","-SP"&amp;TEXT(E35*1000,"0"),"")&amp;IF(F35&lt;&gt;"","-H"&amp;TEXT(F35*1000,"0"),"")&amp;"-"&amp;M35)</f>
        <v/>
      </c>
      <c r="B35" s="10" t="str">
        <f aca="false">IF(C35="","",C35&amp;" - "&amp;D35&amp;IF(E35&lt;&gt;"",", span "&amp;E35&amp;" m","")&amp;IF(F35&lt;&gt;"",", H "&amp;F35&amp;" m","")&amp;IF(G35&lt;&gt;"",", W "&amp;G35&amp;" m",""))</f>
        <v/>
      </c>
      <c r="C35" s="9"/>
      <c r="D35" s="9"/>
      <c r="E35" s="43"/>
      <c r="F35" s="43"/>
      <c r="G35" s="43"/>
      <c r="H35" s="9"/>
      <c r="I35" s="9"/>
      <c r="J35" s="9"/>
      <c r="K35" s="9"/>
      <c r="L35" s="9"/>
      <c r="M35" s="9"/>
      <c r="N35" s="9"/>
      <c r="O35" s="9"/>
      <c r="P35" s="9"/>
      <c r="Q35" s="9"/>
      <c r="R35" s="10" t="str">
        <f aca="false">IF(A35="","",SG_Criteria!$B$6&amp;SG_Criteria!$B$13&amp;"\"&amp;A35&amp;"\")</f>
        <v/>
      </c>
      <c r="S35" s="10" t="str">
        <f aca="false">IF(A35="","",A35&amp;"_CAD.dwg")</f>
        <v/>
      </c>
      <c r="T35" s="10" t="str">
        <f aca="false">IF(A35="","",A35&amp;"_DWG.pdf")</f>
        <v/>
      </c>
      <c r="U35" s="10" t="str">
        <f aca="false">IF(A35="","",IF(Q35="Y",A35&amp;"_STAAD.std","n/a"))</f>
        <v/>
      </c>
      <c r="V35" s="10" t="str">
        <f aca="false">IF(A35="","",A35&amp;"_CALC.xlsx")</f>
        <v/>
      </c>
      <c r="W35" s="10" t="str">
        <f aca="false">IF(A35="","",A35&amp;"_CALC.pdf")</f>
        <v/>
      </c>
      <c r="X35" s="9"/>
      <c r="Y35" s="9"/>
      <c r="Z35" s="41"/>
      <c r="AA35" s="41"/>
      <c r="AB35" s="41"/>
      <c r="AC35" s="41"/>
      <c r="AD35" s="41"/>
      <c r="AE35" s="38" t="str">
        <f aca="false">IF(C35="","","OK")</f>
        <v/>
      </c>
      <c r="AF35" s="9"/>
      <c r="AG35" s="9"/>
      <c r="AH35" s="9"/>
      <c r="AI35" s="9"/>
      <c r="AJ35" s="9"/>
      <c r="AK35" s="31"/>
      <c r="AL35" s="10" t="str">
        <f aca="false">IF(C35="","",IF(AND(N35="Approved",ISERROR(SEARCH("FAIL",AE35))),"Y","N"))</f>
        <v/>
      </c>
    </row>
    <row r="36" customFormat="false" ht="15" hidden="false" customHeight="false" outlineLevel="0" collapsed="false">
      <c r="A36" s="10" t="str">
        <f aca="false">IF(C36="","",IFERROR(VLOOKUP(C36,Lists!$BI$4:$BJ$20,2,0),"??")&amp;"-"&amp;UPPER(SUBSTITUTE(D36," ",""))&amp;IF(E36&lt;&gt;"","-SP"&amp;TEXT(E36*1000,"0"),"")&amp;IF(F36&lt;&gt;"","-H"&amp;TEXT(F36*1000,"0"),"")&amp;"-"&amp;M36)</f>
        <v/>
      </c>
      <c r="B36" s="10" t="str">
        <f aca="false">IF(C36="","",C36&amp;" - "&amp;D36&amp;IF(E36&lt;&gt;"",", span "&amp;E36&amp;" m","")&amp;IF(F36&lt;&gt;"",", H "&amp;F36&amp;" m","")&amp;IF(G36&lt;&gt;"",", W "&amp;G36&amp;" m",""))</f>
        <v/>
      </c>
      <c r="C36" s="9"/>
      <c r="D36" s="9"/>
      <c r="E36" s="43"/>
      <c r="F36" s="43"/>
      <c r="G36" s="43"/>
      <c r="H36" s="9"/>
      <c r="I36" s="9"/>
      <c r="J36" s="9"/>
      <c r="K36" s="9"/>
      <c r="L36" s="9"/>
      <c r="M36" s="9"/>
      <c r="N36" s="9"/>
      <c r="O36" s="9"/>
      <c r="P36" s="9"/>
      <c r="Q36" s="9"/>
      <c r="R36" s="10" t="str">
        <f aca="false">IF(A36="","",SG_Criteria!$B$6&amp;SG_Criteria!$B$13&amp;"\"&amp;A36&amp;"\")</f>
        <v/>
      </c>
      <c r="S36" s="10" t="str">
        <f aca="false">IF(A36="","",A36&amp;"_CAD.dwg")</f>
        <v/>
      </c>
      <c r="T36" s="10" t="str">
        <f aca="false">IF(A36="","",A36&amp;"_DWG.pdf")</f>
        <v/>
      </c>
      <c r="U36" s="10" t="str">
        <f aca="false">IF(A36="","",IF(Q36="Y",A36&amp;"_STAAD.std","n/a"))</f>
        <v/>
      </c>
      <c r="V36" s="10" t="str">
        <f aca="false">IF(A36="","",A36&amp;"_CALC.xlsx")</f>
        <v/>
      </c>
      <c r="W36" s="10" t="str">
        <f aca="false">IF(A36="","",A36&amp;"_CALC.pdf")</f>
        <v/>
      </c>
      <c r="X36" s="9"/>
      <c r="Y36" s="9"/>
      <c r="Z36" s="41"/>
      <c r="AA36" s="41"/>
      <c r="AB36" s="41"/>
      <c r="AC36" s="41"/>
      <c r="AD36" s="41"/>
      <c r="AE36" s="38" t="str">
        <f aca="false">IF(C36="","","OK")</f>
        <v/>
      </c>
      <c r="AF36" s="9"/>
      <c r="AG36" s="9"/>
      <c r="AH36" s="9"/>
      <c r="AI36" s="9"/>
      <c r="AJ36" s="9"/>
      <c r="AK36" s="31"/>
      <c r="AL36" s="10" t="str">
        <f aca="false">IF(C36="","",IF(AND(N36="Approved",ISERROR(SEARCH("FAIL",AE36))),"Y","N"))</f>
        <v/>
      </c>
    </row>
    <row r="37" customFormat="false" ht="15" hidden="false" customHeight="false" outlineLevel="0" collapsed="false">
      <c r="A37" s="10" t="str">
        <f aca="false">IF(C37="","",IFERROR(VLOOKUP(C37,Lists!$BI$4:$BJ$20,2,0),"??")&amp;"-"&amp;UPPER(SUBSTITUTE(D37," ",""))&amp;IF(E37&lt;&gt;"","-SP"&amp;TEXT(E37*1000,"0"),"")&amp;IF(F37&lt;&gt;"","-H"&amp;TEXT(F37*1000,"0"),"")&amp;"-"&amp;M37)</f>
        <v/>
      </c>
      <c r="B37" s="10" t="str">
        <f aca="false">IF(C37="","",C37&amp;" - "&amp;D37&amp;IF(E37&lt;&gt;"",", span "&amp;E37&amp;" m","")&amp;IF(F37&lt;&gt;"",", H "&amp;F37&amp;" m","")&amp;IF(G37&lt;&gt;"",", W "&amp;G37&amp;" m",""))</f>
        <v/>
      </c>
      <c r="C37" s="9"/>
      <c r="D37" s="9"/>
      <c r="E37" s="43"/>
      <c r="F37" s="43"/>
      <c r="G37" s="43"/>
      <c r="H37" s="9"/>
      <c r="I37" s="9"/>
      <c r="J37" s="9"/>
      <c r="K37" s="9"/>
      <c r="L37" s="9"/>
      <c r="M37" s="9"/>
      <c r="N37" s="9"/>
      <c r="O37" s="9"/>
      <c r="P37" s="9"/>
      <c r="Q37" s="9"/>
      <c r="R37" s="10" t="str">
        <f aca="false">IF(A37="","",SG_Criteria!$B$6&amp;SG_Criteria!$B$13&amp;"\"&amp;A37&amp;"\")</f>
        <v/>
      </c>
      <c r="S37" s="10" t="str">
        <f aca="false">IF(A37="","",A37&amp;"_CAD.dwg")</f>
        <v/>
      </c>
      <c r="T37" s="10" t="str">
        <f aca="false">IF(A37="","",A37&amp;"_DWG.pdf")</f>
        <v/>
      </c>
      <c r="U37" s="10" t="str">
        <f aca="false">IF(A37="","",IF(Q37="Y",A37&amp;"_STAAD.std","n/a"))</f>
        <v/>
      </c>
      <c r="V37" s="10" t="str">
        <f aca="false">IF(A37="","",A37&amp;"_CALC.xlsx")</f>
        <v/>
      </c>
      <c r="W37" s="10" t="str">
        <f aca="false">IF(A37="","",A37&amp;"_CALC.pdf")</f>
        <v/>
      </c>
      <c r="X37" s="9"/>
      <c r="Y37" s="9"/>
      <c r="Z37" s="41"/>
      <c r="AA37" s="41"/>
      <c r="AB37" s="41"/>
      <c r="AC37" s="41"/>
      <c r="AD37" s="41"/>
      <c r="AE37" s="38" t="str">
        <f aca="false">IF(C37="","","OK")</f>
        <v/>
      </c>
      <c r="AF37" s="9"/>
      <c r="AG37" s="9"/>
      <c r="AH37" s="9"/>
      <c r="AI37" s="9"/>
      <c r="AJ37" s="9"/>
      <c r="AK37" s="31"/>
      <c r="AL37" s="10" t="str">
        <f aca="false">IF(C37="","",IF(AND(N37="Approved",ISERROR(SEARCH("FAIL",AE37))),"Y","N"))</f>
        <v/>
      </c>
    </row>
    <row r="38" customFormat="false" ht="15" hidden="false" customHeight="false" outlineLevel="0" collapsed="false">
      <c r="A38" s="10" t="str">
        <f aca="false">IF(C38="","",IFERROR(VLOOKUP(C38,Lists!$BI$4:$BJ$20,2,0),"??")&amp;"-"&amp;UPPER(SUBSTITUTE(D38," ",""))&amp;IF(E38&lt;&gt;"","-SP"&amp;TEXT(E38*1000,"0"),"")&amp;IF(F38&lt;&gt;"","-H"&amp;TEXT(F38*1000,"0"),"")&amp;"-"&amp;M38)</f>
        <v/>
      </c>
      <c r="B38" s="10" t="str">
        <f aca="false">IF(C38="","",C38&amp;" - "&amp;D38&amp;IF(E38&lt;&gt;"",", span "&amp;E38&amp;" m","")&amp;IF(F38&lt;&gt;"",", H "&amp;F38&amp;" m","")&amp;IF(G38&lt;&gt;"",", W "&amp;G38&amp;" m",""))</f>
        <v/>
      </c>
      <c r="C38" s="9"/>
      <c r="D38" s="9"/>
      <c r="E38" s="43"/>
      <c r="F38" s="43"/>
      <c r="G38" s="43"/>
      <c r="H38" s="9"/>
      <c r="I38" s="9"/>
      <c r="J38" s="9"/>
      <c r="K38" s="9"/>
      <c r="L38" s="9"/>
      <c r="M38" s="9"/>
      <c r="N38" s="9"/>
      <c r="O38" s="9"/>
      <c r="P38" s="9"/>
      <c r="Q38" s="9"/>
      <c r="R38" s="10" t="str">
        <f aca="false">IF(A38="","",SG_Criteria!$B$6&amp;SG_Criteria!$B$13&amp;"\"&amp;A38&amp;"\")</f>
        <v/>
      </c>
      <c r="S38" s="10" t="str">
        <f aca="false">IF(A38="","",A38&amp;"_CAD.dwg")</f>
        <v/>
      </c>
      <c r="T38" s="10" t="str">
        <f aca="false">IF(A38="","",A38&amp;"_DWG.pdf")</f>
        <v/>
      </c>
      <c r="U38" s="10" t="str">
        <f aca="false">IF(A38="","",IF(Q38="Y",A38&amp;"_STAAD.std","n/a"))</f>
        <v/>
      </c>
      <c r="V38" s="10" t="str">
        <f aca="false">IF(A38="","",A38&amp;"_CALC.xlsx")</f>
        <v/>
      </c>
      <c r="W38" s="10" t="str">
        <f aca="false">IF(A38="","",A38&amp;"_CALC.pdf")</f>
        <v/>
      </c>
      <c r="X38" s="9"/>
      <c r="Y38" s="9"/>
      <c r="Z38" s="41"/>
      <c r="AA38" s="41"/>
      <c r="AB38" s="41"/>
      <c r="AC38" s="41"/>
      <c r="AD38" s="41"/>
      <c r="AE38" s="38" t="str">
        <f aca="false">IF(C38="","","OK")</f>
        <v/>
      </c>
      <c r="AF38" s="9"/>
      <c r="AG38" s="9"/>
      <c r="AH38" s="9"/>
      <c r="AI38" s="9"/>
      <c r="AJ38" s="9"/>
      <c r="AK38" s="31"/>
      <c r="AL38" s="10" t="str">
        <f aca="false">IF(C38="","",IF(AND(N38="Approved",ISERROR(SEARCH("FAIL",AE38))),"Y","N"))</f>
        <v/>
      </c>
    </row>
    <row r="39" customFormat="false" ht="15" hidden="false" customHeight="false" outlineLevel="0" collapsed="false">
      <c r="A39" s="10" t="str">
        <f aca="false">IF(C39="","",IFERROR(VLOOKUP(C39,Lists!$BI$4:$BJ$20,2,0),"??")&amp;"-"&amp;UPPER(SUBSTITUTE(D39," ",""))&amp;IF(E39&lt;&gt;"","-SP"&amp;TEXT(E39*1000,"0"),"")&amp;IF(F39&lt;&gt;"","-H"&amp;TEXT(F39*1000,"0"),"")&amp;"-"&amp;M39)</f>
        <v/>
      </c>
      <c r="B39" s="10" t="str">
        <f aca="false">IF(C39="","",C39&amp;" - "&amp;D39&amp;IF(E39&lt;&gt;"",", span "&amp;E39&amp;" m","")&amp;IF(F39&lt;&gt;"",", H "&amp;F39&amp;" m","")&amp;IF(G39&lt;&gt;"",", W "&amp;G39&amp;" m",""))</f>
        <v/>
      </c>
      <c r="C39" s="9"/>
      <c r="D39" s="9"/>
      <c r="E39" s="43"/>
      <c r="F39" s="43"/>
      <c r="G39" s="43"/>
      <c r="H39" s="9"/>
      <c r="I39" s="9"/>
      <c r="J39" s="9"/>
      <c r="K39" s="9"/>
      <c r="L39" s="9"/>
      <c r="M39" s="9"/>
      <c r="N39" s="9"/>
      <c r="O39" s="9"/>
      <c r="P39" s="9"/>
      <c r="Q39" s="9"/>
      <c r="R39" s="10" t="str">
        <f aca="false">IF(A39="","",SG_Criteria!$B$6&amp;SG_Criteria!$B$13&amp;"\"&amp;A39&amp;"\")</f>
        <v/>
      </c>
      <c r="S39" s="10" t="str">
        <f aca="false">IF(A39="","",A39&amp;"_CAD.dwg")</f>
        <v/>
      </c>
      <c r="T39" s="10" t="str">
        <f aca="false">IF(A39="","",A39&amp;"_DWG.pdf")</f>
        <v/>
      </c>
      <c r="U39" s="10" t="str">
        <f aca="false">IF(A39="","",IF(Q39="Y",A39&amp;"_STAAD.std","n/a"))</f>
        <v/>
      </c>
      <c r="V39" s="10" t="str">
        <f aca="false">IF(A39="","",A39&amp;"_CALC.xlsx")</f>
        <v/>
      </c>
      <c r="W39" s="10" t="str">
        <f aca="false">IF(A39="","",A39&amp;"_CALC.pdf")</f>
        <v/>
      </c>
      <c r="X39" s="9"/>
      <c r="Y39" s="9"/>
      <c r="Z39" s="41"/>
      <c r="AA39" s="41"/>
      <c r="AB39" s="41"/>
      <c r="AC39" s="41"/>
      <c r="AD39" s="41"/>
      <c r="AE39" s="38" t="str">
        <f aca="false">IF(C39="","","OK")</f>
        <v/>
      </c>
      <c r="AF39" s="9"/>
      <c r="AG39" s="9"/>
      <c r="AH39" s="9"/>
      <c r="AI39" s="9"/>
      <c r="AJ39" s="9"/>
      <c r="AK39" s="31"/>
      <c r="AL39" s="10" t="str">
        <f aca="false">IF(C39="","",IF(AND(N39="Approved",ISERROR(SEARCH("FAIL",AE39))),"Y","N"))</f>
        <v/>
      </c>
    </row>
    <row r="40" customFormat="false" ht="15" hidden="false" customHeight="false" outlineLevel="0" collapsed="false">
      <c r="A40" s="10" t="str">
        <f aca="false">IF(C40="","",IFERROR(VLOOKUP(C40,Lists!$BI$4:$BJ$20,2,0),"??")&amp;"-"&amp;UPPER(SUBSTITUTE(D40," ",""))&amp;IF(E40&lt;&gt;"","-SP"&amp;TEXT(E40*1000,"0"),"")&amp;IF(F40&lt;&gt;"","-H"&amp;TEXT(F40*1000,"0"),"")&amp;"-"&amp;M40)</f>
        <v/>
      </c>
      <c r="B40" s="10" t="str">
        <f aca="false">IF(C40="","",C40&amp;" - "&amp;D40&amp;IF(E40&lt;&gt;"",", span "&amp;E40&amp;" m","")&amp;IF(F40&lt;&gt;"",", H "&amp;F40&amp;" m","")&amp;IF(G40&lt;&gt;"",", W "&amp;G40&amp;" m",""))</f>
        <v/>
      </c>
      <c r="C40" s="9"/>
      <c r="D40" s="9"/>
      <c r="E40" s="43"/>
      <c r="F40" s="43"/>
      <c r="G40" s="43"/>
      <c r="H40" s="9"/>
      <c r="I40" s="9"/>
      <c r="J40" s="9"/>
      <c r="K40" s="9"/>
      <c r="L40" s="9"/>
      <c r="M40" s="9"/>
      <c r="N40" s="9"/>
      <c r="O40" s="9"/>
      <c r="P40" s="9"/>
      <c r="Q40" s="9"/>
      <c r="R40" s="10" t="str">
        <f aca="false">IF(A40="","",SG_Criteria!$B$6&amp;SG_Criteria!$B$13&amp;"\"&amp;A40&amp;"\")</f>
        <v/>
      </c>
      <c r="S40" s="10" t="str">
        <f aca="false">IF(A40="","",A40&amp;"_CAD.dwg")</f>
        <v/>
      </c>
      <c r="T40" s="10" t="str">
        <f aca="false">IF(A40="","",A40&amp;"_DWG.pdf")</f>
        <v/>
      </c>
      <c r="U40" s="10" t="str">
        <f aca="false">IF(A40="","",IF(Q40="Y",A40&amp;"_STAAD.std","n/a"))</f>
        <v/>
      </c>
      <c r="V40" s="10" t="str">
        <f aca="false">IF(A40="","",A40&amp;"_CALC.xlsx")</f>
        <v/>
      </c>
      <c r="W40" s="10" t="str">
        <f aca="false">IF(A40="","",A40&amp;"_CALC.pdf")</f>
        <v/>
      </c>
      <c r="X40" s="9"/>
      <c r="Y40" s="9"/>
      <c r="Z40" s="41"/>
      <c r="AA40" s="41"/>
      <c r="AB40" s="41"/>
      <c r="AC40" s="41"/>
      <c r="AD40" s="41"/>
      <c r="AE40" s="38" t="str">
        <f aca="false">IF(C40="","","OK")</f>
        <v/>
      </c>
      <c r="AF40" s="9"/>
      <c r="AG40" s="9"/>
      <c r="AH40" s="9"/>
      <c r="AI40" s="9"/>
      <c r="AJ40" s="9"/>
      <c r="AK40" s="31"/>
      <c r="AL40" s="10" t="str">
        <f aca="false">IF(C40="","",IF(AND(N40="Approved",ISERROR(SEARCH("FAIL",AE40))),"Y","N"))</f>
        <v/>
      </c>
    </row>
    <row r="41" customFormat="false" ht="15" hidden="false" customHeight="false" outlineLevel="0" collapsed="false">
      <c r="A41" s="10" t="str">
        <f aca="false">IF(C41="","",IFERROR(VLOOKUP(C41,Lists!$BI$4:$BJ$20,2,0),"??")&amp;"-"&amp;UPPER(SUBSTITUTE(D41," ",""))&amp;IF(E41&lt;&gt;"","-SP"&amp;TEXT(E41*1000,"0"),"")&amp;IF(F41&lt;&gt;"","-H"&amp;TEXT(F41*1000,"0"),"")&amp;"-"&amp;M41)</f>
        <v/>
      </c>
      <c r="B41" s="10" t="str">
        <f aca="false">IF(C41="","",C41&amp;" - "&amp;D41&amp;IF(E41&lt;&gt;"",", span "&amp;E41&amp;" m","")&amp;IF(F41&lt;&gt;"",", H "&amp;F41&amp;" m","")&amp;IF(G41&lt;&gt;"",", W "&amp;G41&amp;" m",""))</f>
        <v/>
      </c>
      <c r="C41" s="9"/>
      <c r="D41" s="9"/>
      <c r="E41" s="43"/>
      <c r="F41" s="43"/>
      <c r="G41" s="43"/>
      <c r="H41" s="9"/>
      <c r="I41" s="9"/>
      <c r="J41" s="9"/>
      <c r="K41" s="9"/>
      <c r="L41" s="9"/>
      <c r="M41" s="9"/>
      <c r="N41" s="9"/>
      <c r="O41" s="9"/>
      <c r="P41" s="9"/>
      <c r="Q41" s="9"/>
      <c r="R41" s="10" t="str">
        <f aca="false">IF(A41="","",SG_Criteria!$B$6&amp;SG_Criteria!$B$13&amp;"\"&amp;A41&amp;"\")</f>
        <v/>
      </c>
      <c r="S41" s="10" t="str">
        <f aca="false">IF(A41="","",A41&amp;"_CAD.dwg")</f>
        <v/>
      </c>
      <c r="T41" s="10" t="str">
        <f aca="false">IF(A41="","",A41&amp;"_DWG.pdf")</f>
        <v/>
      </c>
      <c r="U41" s="10" t="str">
        <f aca="false">IF(A41="","",IF(Q41="Y",A41&amp;"_STAAD.std","n/a"))</f>
        <v/>
      </c>
      <c r="V41" s="10" t="str">
        <f aca="false">IF(A41="","",A41&amp;"_CALC.xlsx")</f>
        <v/>
      </c>
      <c r="W41" s="10" t="str">
        <f aca="false">IF(A41="","",A41&amp;"_CALC.pdf")</f>
        <v/>
      </c>
      <c r="X41" s="9"/>
      <c r="Y41" s="9"/>
      <c r="Z41" s="41"/>
      <c r="AA41" s="41"/>
      <c r="AB41" s="41"/>
      <c r="AC41" s="41"/>
      <c r="AD41" s="41"/>
      <c r="AE41" s="38" t="str">
        <f aca="false">IF(C41="","","OK")</f>
        <v/>
      </c>
      <c r="AF41" s="9"/>
      <c r="AG41" s="9"/>
      <c r="AH41" s="9"/>
      <c r="AI41" s="9"/>
      <c r="AJ41" s="9"/>
      <c r="AK41" s="31"/>
      <c r="AL41" s="10" t="str">
        <f aca="false">IF(C41="","",IF(AND(N41="Approved",ISERROR(SEARCH("FAIL",AE41))),"Y","N"))</f>
        <v/>
      </c>
    </row>
    <row r="42" customFormat="false" ht="15" hidden="false" customHeight="false" outlineLevel="0" collapsed="false">
      <c r="A42" s="10" t="str">
        <f aca="false">IF(C42="","",IFERROR(VLOOKUP(C42,Lists!$BI$4:$BJ$20,2,0),"??")&amp;"-"&amp;UPPER(SUBSTITUTE(D42," ",""))&amp;IF(E42&lt;&gt;"","-SP"&amp;TEXT(E42*1000,"0"),"")&amp;IF(F42&lt;&gt;"","-H"&amp;TEXT(F42*1000,"0"),"")&amp;"-"&amp;M42)</f>
        <v/>
      </c>
      <c r="B42" s="10" t="str">
        <f aca="false">IF(C42="","",C42&amp;" - "&amp;D42&amp;IF(E42&lt;&gt;"",", span "&amp;E42&amp;" m","")&amp;IF(F42&lt;&gt;"",", H "&amp;F42&amp;" m","")&amp;IF(G42&lt;&gt;"",", W "&amp;G42&amp;" m",""))</f>
        <v/>
      </c>
      <c r="C42" s="9"/>
      <c r="D42" s="9"/>
      <c r="E42" s="43"/>
      <c r="F42" s="43"/>
      <c r="G42" s="43"/>
      <c r="H42" s="9"/>
      <c r="I42" s="9"/>
      <c r="J42" s="9"/>
      <c r="K42" s="9"/>
      <c r="L42" s="9"/>
      <c r="M42" s="9"/>
      <c r="N42" s="9"/>
      <c r="O42" s="9"/>
      <c r="P42" s="9"/>
      <c r="Q42" s="9"/>
      <c r="R42" s="10" t="str">
        <f aca="false">IF(A42="","",SG_Criteria!$B$6&amp;SG_Criteria!$B$13&amp;"\"&amp;A42&amp;"\")</f>
        <v/>
      </c>
      <c r="S42" s="10" t="str">
        <f aca="false">IF(A42="","",A42&amp;"_CAD.dwg")</f>
        <v/>
      </c>
      <c r="T42" s="10" t="str">
        <f aca="false">IF(A42="","",A42&amp;"_DWG.pdf")</f>
        <v/>
      </c>
      <c r="U42" s="10" t="str">
        <f aca="false">IF(A42="","",IF(Q42="Y",A42&amp;"_STAAD.std","n/a"))</f>
        <v/>
      </c>
      <c r="V42" s="10" t="str">
        <f aca="false">IF(A42="","",A42&amp;"_CALC.xlsx")</f>
        <v/>
      </c>
      <c r="W42" s="10" t="str">
        <f aca="false">IF(A42="","",A42&amp;"_CALC.pdf")</f>
        <v/>
      </c>
      <c r="X42" s="9"/>
      <c r="Y42" s="9"/>
      <c r="Z42" s="41"/>
      <c r="AA42" s="41"/>
      <c r="AB42" s="41"/>
      <c r="AC42" s="41"/>
      <c r="AD42" s="41"/>
      <c r="AE42" s="38" t="str">
        <f aca="false">IF(C42="","","OK")</f>
        <v/>
      </c>
      <c r="AF42" s="9"/>
      <c r="AG42" s="9"/>
      <c r="AH42" s="9"/>
      <c r="AI42" s="9"/>
      <c r="AJ42" s="9"/>
      <c r="AK42" s="31"/>
      <c r="AL42" s="10" t="str">
        <f aca="false">IF(C42="","",IF(AND(N42="Approved",ISERROR(SEARCH("FAIL",AE42))),"Y","N"))</f>
        <v/>
      </c>
    </row>
    <row r="43" customFormat="false" ht="15" hidden="false" customHeight="false" outlineLevel="0" collapsed="false">
      <c r="A43" s="10" t="str">
        <f aca="false">IF(C43="","",IFERROR(VLOOKUP(C43,Lists!$BI$4:$BJ$20,2,0),"??")&amp;"-"&amp;UPPER(SUBSTITUTE(D43," ",""))&amp;IF(E43&lt;&gt;"","-SP"&amp;TEXT(E43*1000,"0"),"")&amp;IF(F43&lt;&gt;"","-H"&amp;TEXT(F43*1000,"0"),"")&amp;"-"&amp;M43)</f>
        <v/>
      </c>
      <c r="B43" s="10" t="str">
        <f aca="false">IF(C43="","",C43&amp;" - "&amp;D43&amp;IF(E43&lt;&gt;"",", span "&amp;E43&amp;" m","")&amp;IF(F43&lt;&gt;"",", H "&amp;F43&amp;" m","")&amp;IF(G43&lt;&gt;"",", W "&amp;G43&amp;" m",""))</f>
        <v/>
      </c>
      <c r="C43" s="9"/>
      <c r="D43" s="9"/>
      <c r="E43" s="43"/>
      <c r="F43" s="43"/>
      <c r="G43" s="43"/>
      <c r="H43" s="9"/>
      <c r="I43" s="9"/>
      <c r="J43" s="9"/>
      <c r="K43" s="9"/>
      <c r="L43" s="9"/>
      <c r="M43" s="9"/>
      <c r="N43" s="9"/>
      <c r="O43" s="9"/>
      <c r="P43" s="9"/>
      <c r="Q43" s="9"/>
      <c r="R43" s="10" t="str">
        <f aca="false">IF(A43="","",SG_Criteria!$B$6&amp;SG_Criteria!$B$13&amp;"\"&amp;A43&amp;"\")</f>
        <v/>
      </c>
      <c r="S43" s="10" t="str">
        <f aca="false">IF(A43="","",A43&amp;"_CAD.dwg")</f>
        <v/>
      </c>
      <c r="T43" s="10" t="str">
        <f aca="false">IF(A43="","",A43&amp;"_DWG.pdf")</f>
        <v/>
      </c>
      <c r="U43" s="10" t="str">
        <f aca="false">IF(A43="","",IF(Q43="Y",A43&amp;"_STAAD.std","n/a"))</f>
        <v/>
      </c>
      <c r="V43" s="10" t="str">
        <f aca="false">IF(A43="","",A43&amp;"_CALC.xlsx")</f>
        <v/>
      </c>
      <c r="W43" s="10" t="str">
        <f aca="false">IF(A43="","",A43&amp;"_CALC.pdf")</f>
        <v/>
      </c>
      <c r="X43" s="9"/>
      <c r="Y43" s="9"/>
      <c r="Z43" s="41"/>
      <c r="AA43" s="41"/>
      <c r="AB43" s="41"/>
      <c r="AC43" s="41"/>
      <c r="AD43" s="41"/>
      <c r="AE43" s="38" t="str">
        <f aca="false">IF(C43="","","OK")</f>
        <v/>
      </c>
      <c r="AF43" s="9"/>
      <c r="AG43" s="9"/>
      <c r="AH43" s="9"/>
      <c r="AI43" s="9"/>
      <c r="AJ43" s="9"/>
      <c r="AK43" s="31"/>
      <c r="AL43" s="10" t="str">
        <f aca="false">IF(C43="","",IF(AND(N43="Approved",ISERROR(SEARCH("FAIL",AE43))),"Y","N"))</f>
        <v/>
      </c>
    </row>
    <row r="44" customFormat="false" ht="15" hidden="false" customHeight="false" outlineLevel="0" collapsed="false">
      <c r="A44" s="10" t="str">
        <f aca="false">IF(C44="","",IFERROR(VLOOKUP(C44,Lists!$BI$4:$BJ$20,2,0),"??")&amp;"-"&amp;UPPER(SUBSTITUTE(D44," ",""))&amp;IF(E44&lt;&gt;"","-SP"&amp;TEXT(E44*1000,"0"),"")&amp;IF(F44&lt;&gt;"","-H"&amp;TEXT(F44*1000,"0"),"")&amp;"-"&amp;M44)</f>
        <v/>
      </c>
      <c r="B44" s="10" t="str">
        <f aca="false">IF(C44="","",C44&amp;" - "&amp;D44&amp;IF(E44&lt;&gt;"",", span "&amp;E44&amp;" m","")&amp;IF(F44&lt;&gt;"",", H "&amp;F44&amp;" m","")&amp;IF(G44&lt;&gt;"",", W "&amp;G44&amp;" m",""))</f>
        <v/>
      </c>
      <c r="C44" s="9"/>
      <c r="D44" s="9"/>
      <c r="E44" s="43"/>
      <c r="F44" s="43"/>
      <c r="G44" s="43"/>
      <c r="H44" s="9"/>
      <c r="I44" s="9"/>
      <c r="J44" s="9"/>
      <c r="K44" s="9"/>
      <c r="L44" s="9"/>
      <c r="M44" s="9"/>
      <c r="N44" s="9"/>
      <c r="O44" s="9"/>
      <c r="P44" s="9"/>
      <c r="Q44" s="9"/>
      <c r="R44" s="10" t="str">
        <f aca="false">IF(A44="","",SG_Criteria!$B$6&amp;SG_Criteria!$B$13&amp;"\"&amp;A44&amp;"\")</f>
        <v/>
      </c>
      <c r="S44" s="10" t="str">
        <f aca="false">IF(A44="","",A44&amp;"_CAD.dwg")</f>
        <v/>
      </c>
      <c r="T44" s="10" t="str">
        <f aca="false">IF(A44="","",A44&amp;"_DWG.pdf")</f>
        <v/>
      </c>
      <c r="U44" s="10" t="str">
        <f aca="false">IF(A44="","",IF(Q44="Y",A44&amp;"_STAAD.std","n/a"))</f>
        <v/>
      </c>
      <c r="V44" s="10" t="str">
        <f aca="false">IF(A44="","",A44&amp;"_CALC.xlsx")</f>
        <v/>
      </c>
      <c r="W44" s="10" t="str">
        <f aca="false">IF(A44="","",A44&amp;"_CALC.pdf")</f>
        <v/>
      </c>
      <c r="X44" s="9"/>
      <c r="Y44" s="9"/>
      <c r="Z44" s="41"/>
      <c r="AA44" s="41"/>
      <c r="AB44" s="41"/>
      <c r="AC44" s="41"/>
      <c r="AD44" s="41"/>
      <c r="AE44" s="38" t="str">
        <f aca="false">IF(C44="","","OK")</f>
        <v/>
      </c>
      <c r="AF44" s="9"/>
      <c r="AG44" s="9"/>
      <c r="AH44" s="9"/>
      <c r="AI44" s="9"/>
      <c r="AJ44" s="9"/>
      <c r="AK44" s="31"/>
      <c r="AL44" s="10" t="str">
        <f aca="false">IF(C44="","",IF(AND(N44="Approved",ISERROR(SEARCH("FAIL",AE44))),"Y","N"))</f>
        <v/>
      </c>
    </row>
    <row r="45" customFormat="false" ht="15" hidden="false" customHeight="false" outlineLevel="0" collapsed="false">
      <c r="A45" s="10" t="str">
        <f aca="false">IF(C45="","",IFERROR(VLOOKUP(C45,Lists!$BI$4:$BJ$20,2,0),"??")&amp;"-"&amp;UPPER(SUBSTITUTE(D45," ",""))&amp;IF(E45&lt;&gt;"","-SP"&amp;TEXT(E45*1000,"0"),"")&amp;IF(F45&lt;&gt;"","-H"&amp;TEXT(F45*1000,"0"),"")&amp;"-"&amp;M45)</f>
        <v/>
      </c>
      <c r="B45" s="10" t="str">
        <f aca="false">IF(C45="","",C45&amp;" - "&amp;D45&amp;IF(E45&lt;&gt;"",", span "&amp;E45&amp;" m","")&amp;IF(F45&lt;&gt;"",", H "&amp;F45&amp;" m","")&amp;IF(G45&lt;&gt;"",", W "&amp;G45&amp;" m",""))</f>
        <v/>
      </c>
      <c r="C45" s="9"/>
      <c r="D45" s="9"/>
      <c r="E45" s="43"/>
      <c r="F45" s="43"/>
      <c r="G45" s="43"/>
      <c r="H45" s="9"/>
      <c r="I45" s="9"/>
      <c r="J45" s="9"/>
      <c r="K45" s="9"/>
      <c r="L45" s="9"/>
      <c r="M45" s="9"/>
      <c r="N45" s="9"/>
      <c r="O45" s="9"/>
      <c r="P45" s="9"/>
      <c r="Q45" s="9"/>
      <c r="R45" s="10" t="str">
        <f aca="false">IF(A45="","",SG_Criteria!$B$6&amp;SG_Criteria!$B$13&amp;"\"&amp;A45&amp;"\")</f>
        <v/>
      </c>
      <c r="S45" s="10" t="str">
        <f aca="false">IF(A45="","",A45&amp;"_CAD.dwg")</f>
        <v/>
      </c>
      <c r="T45" s="10" t="str">
        <f aca="false">IF(A45="","",A45&amp;"_DWG.pdf")</f>
        <v/>
      </c>
      <c r="U45" s="10" t="str">
        <f aca="false">IF(A45="","",IF(Q45="Y",A45&amp;"_STAAD.std","n/a"))</f>
        <v/>
      </c>
      <c r="V45" s="10" t="str">
        <f aca="false">IF(A45="","",A45&amp;"_CALC.xlsx")</f>
        <v/>
      </c>
      <c r="W45" s="10" t="str">
        <f aca="false">IF(A45="","",A45&amp;"_CALC.pdf")</f>
        <v/>
      </c>
      <c r="X45" s="9"/>
      <c r="Y45" s="9"/>
      <c r="Z45" s="41"/>
      <c r="AA45" s="41"/>
      <c r="AB45" s="41"/>
      <c r="AC45" s="41"/>
      <c r="AD45" s="41"/>
      <c r="AE45" s="38" t="str">
        <f aca="false">IF(C45="","","OK")</f>
        <v/>
      </c>
      <c r="AF45" s="9"/>
      <c r="AG45" s="9"/>
      <c r="AH45" s="9"/>
      <c r="AI45" s="9"/>
      <c r="AJ45" s="9"/>
      <c r="AK45" s="31"/>
      <c r="AL45" s="10" t="str">
        <f aca="false">IF(C45="","",IF(AND(N45="Approved",ISERROR(SEARCH("FAIL",AE45))),"Y","N"))</f>
        <v/>
      </c>
    </row>
    <row r="46" customFormat="false" ht="15" hidden="false" customHeight="false" outlineLevel="0" collapsed="false">
      <c r="A46" s="10" t="str">
        <f aca="false">IF(C46="","",IFERROR(VLOOKUP(C46,Lists!$BI$4:$BJ$20,2,0),"??")&amp;"-"&amp;UPPER(SUBSTITUTE(D46," ",""))&amp;IF(E46&lt;&gt;"","-SP"&amp;TEXT(E46*1000,"0"),"")&amp;IF(F46&lt;&gt;"","-H"&amp;TEXT(F46*1000,"0"),"")&amp;"-"&amp;M46)</f>
        <v/>
      </c>
      <c r="B46" s="10" t="str">
        <f aca="false">IF(C46="","",C46&amp;" - "&amp;D46&amp;IF(E46&lt;&gt;"",", span "&amp;E46&amp;" m","")&amp;IF(F46&lt;&gt;"",", H "&amp;F46&amp;" m","")&amp;IF(G46&lt;&gt;"",", W "&amp;G46&amp;" m",""))</f>
        <v/>
      </c>
      <c r="C46" s="9"/>
      <c r="D46" s="9"/>
      <c r="E46" s="43"/>
      <c r="F46" s="43"/>
      <c r="G46" s="43"/>
      <c r="H46" s="9"/>
      <c r="I46" s="9"/>
      <c r="J46" s="9"/>
      <c r="K46" s="9"/>
      <c r="L46" s="9"/>
      <c r="M46" s="9"/>
      <c r="N46" s="9"/>
      <c r="O46" s="9"/>
      <c r="P46" s="9"/>
      <c r="Q46" s="9"/>
      <c r="R46" s="10" t="str">
        <f aca="false">IF(A46="","",SG_Criteria!$B$6&amp;SG_Criteria!$B$13&amp;"\"&amp;A46&amp;"\")</f>
        <v/>
      </c>
      <c r="S46" s="10" t="str">
        <f aca="false">IF(A46="","",A46&amp;"_CAD.dwg")</f>
        <v/>
      </c>
      <c r="T46" s="10" t="str">
        <f aca="false">IF(A46="","",A46&amp;"_DWG.pdf")</f>
        <v/>
      </c>
      <c r="U46" s="10" t="str">
        <f aca="false">IF(A46="","",IF(Q46="Y",A46&amp;"_STAAD.std","n/a"))</f>
        <v/>
      </c>
      <c r="V46" s="10" t="str">
        <f aca="false">IF(A46="","",A46&amp;"_CALC.xlsx")</f>
        <v/>
      </c>
      <c r="W46" s="10" t="str">
        <f aca="false">IF(A46="","",A46&amp;"_CALC.pdf")</f>
        <v/>
      </c>
      <c r="X46" s="9"/>
      <c r="Y46" s="9"/>
      <c r="Z46" s="41"/>
      <c r="AA46" s="41"/>
      <c r="AB46" s="41"/>
      <c r="AC46" s="41"/>
      <c r="AD46" s="41"/>
      <c r="AE46" s="38" t="str">
        <f aca="false">IF(C46="","","OK")</f>
        <v/>
      </c>
      <c r="AF46" s="9"/>
      <c r="AG46" s="9"/>
      <c r="AH46" s="9"/>
      <c r="AI46" s="9"/>
      <c r="AJ46" s="9"/>
      <c r="AK46" s="31"/>
      <c r="AL46" s="10" t="str">
        <f aca="false">IF(C46="","",IF(AND(N46="Approved",ISERROR(SEARCH("FAIL",AE46))),"Y","N"))</f>
        <v/>
      </c>
    </row>
    <row r="47" customFormat="false" ht="15" hidden="false" customHeight="false" outlineLevel="0" collapsed="false">
      <c r="A47" s="10" t="str">
        <f aca="false">IF(C47="","",IFERROR(VLOOKUP(C47,Lists!$BI$4:$BJ$20,2,0),"??")&amp;"-"&amp;UPPER(SUBSTITUTE(D47," ",""))&amp;IF(E47&lt;&gt;"","-SP"&amp;TEXT(E47*1000,"0"),"")&amp;IF(F47&lt;&gt;"","-H"&amp;TEXT(F47*1000,"0"),"")&amp;"-"&amp;M47)</f>
        <v/>
      </c>
      <c r="B47" s="10" t="str">
        <f aca="false">IF(C47="","",C47&amp;" - "&amp;D47&amp;IF(E47&lt;&gt;"",", span "&amp;E47&amp;" m","")&amp;IF(F47&lt;&gt;"",", H "&amp;F47&amp;" m","")&amp;IF(G47&lt;&gt;"",", W "&amp;G47&amp;" m",""))</f>
        <v/>
      </c>
      <c r="C47" s="9"/>
      <c r="D47" s="9"/>
      <c r="E47" s="43"/>
      <c r="F47" s="43"/>
      <c r="G47" s="43"/>
      <c r="H47" s="9"/>
      <c r="I47" s="9"/>
      <c r="J47" s="9"/>
      <c r="K47" s="9"/>
      <c r="L47" s="9"/>
      <c r="M47" s="9"/>
      <c r="N47" s="9"/>
      <c r="O47" s="9"/>
      <c r="P47" s="9"/>
      <c r="Q47" s="9"/>
      <c r="R47" s="10" t="str">
        <f aca="false">IF(A47="","",SG_Criteria!$B$6&amp;SG_Criteria!$B$13&amp;"\"&amp;A47&amp;"\")</f>
        <v/>
      </c>
      <c r="S47" s="10" t="str">
        <f aca="false">IF(A47="","",A47&amp;"_CAD.dwg")</f>
        <v/>
      </c>
      <c r="T47" s="10" t="str">
        <f aca="false">IF(A47="","",A47&amp;"_DWG.pdf")</f>
        <v/>
      </c>
      <c r="U47" s="10" t="str">
        <f aca="false">IF(A47="","",IF(Q47="Y",A47&amp;"_STAAD.std","n/a"))</f>
        <v/>
      </c>
      <c r="V47" s="10" t="str">
        <f aca="false">IF(A47="","",A47&amp;"_CALC.xlsx")</f>
        <v/>
      </c>
      <c r="W47" s="10" t="str">
        <f aca="false">IF(A47="","",A47&amp;"_CALC.pdf")</f>
        <v/>
      </c>
      <c r="X47" s="9"/>
      <c r="Y47" s="9"/>
      <c r="Z47" s="41"/>
      <c r="AA47" s="41"/>
      <c r="AB47" s="41"/>
      <c r="AC47" s="41"/>
      <c r="AD47" s="41"/>
      <c r="AE47" s="38" t="str">
        <f aca="false">IF(C47="","","OK")</f>
        <v/>
      </c>
      <c r="AF47" s="9"/>
      <c r="AG47" s="9"/>
      <c r="AH47" s="9"/>
      <c r="AI47" s="9"/>
      <c r="AJ47" s="9"/>
      <c r="AK47" s="31"/>
      <c r="AL47" s="10" t="str">
        <f aca="false">IF(C47="","",IF(AND(N47="Approved",ISERROR(SEARCH("FAIL",AE47))),"Y","N"))</f>
        <v/>
      </c>
    </row>
    <row r="48" customFormat="false" ht="15" hidden="false" customHeight="false" outlineLevel="0" collapsed="false">
      <c r="A48" s="10" t="str">
        <f aca="false">IF(C48="","",IFERROR(VLOOKUP(C48,Lists!$BI$4:$BJ$20,2,0),"??")&amp;"-"&amp;UPPER(SUBSTITUTE(D48," ",""))&amp;IF(E48&lt;&gt;"","-SP"&amp;TEXT(E48*1000,"0"),"")&amp;IF(F48&lt;&gt;"","-H"&amp;TEXT(F48*1000,"0"),"")&amp;"-"&amp;M48)</f>
        <v/>
      </c>
      <c r="B48" s="10" t="str">
        <f aca="false">IF(C48="","",C48&amp;" - "&amp;D48&amp;IF(E48&lt;&gt;"",", span "&amp;E48&amp;" m","")&amp;IF(F48&lt;&gt;"",", H "&amp;F48&amp;" m","")&amp;IF(G48&lt;&gt;"",", W "&amp;G48&amp;" m",""))</f>
        <v/>
      </c>
      <c r="C48" s="9"/>
      <c r="D48" s="9"/>
      <c r="E48" s="43"/>
      <c r="F48" s="43"/>
      <c r="G48" s="43"/>
      <c r="H48" s="9"/>
      <c r="I48" s="9"/>
      <c r="J48" s="9"/>
      <c r="K48" s="9"/>
      <c r="L48" s="9"/>
      <c r="M48" s="9"/>
      <c r="N48" s="9"/>
      <c r="O48" s="9"/>
      <c r="P48" s="9"/>
      <c r="Q48" s="9"/>
      <c r="R48" s="10" t="str">
        <f aca="false">IF(A48="","",SG_Criteria!$B$6&amp;SG_Criteria!$B$13&amp;"\"&amp;A48&amp;"\")</f>
        <v/>
      </c>
      <c r="S48" s="10" t="str">
        <f aca="false">IF(A48="","",A48&amp;"_CAD.dwg")</f>
        <v/>
      </c>
      <c r="T48" s="10" t="str">
        <f aca="false">IF(A48="","",A48&amp;"_DWG.pdf")</f>
        <v/>
      </c>
      <c r="U48" s="10" t="str">
        <f aca="false">IF(A48="","",IF(Q48="Y",A48&amp;"_STAAD.std","n/a"))</f>
        <v/>
      </c>
      <c r="V48" s="10" t="str">
        <f aca="false">IF(A48="","",A48&amp;"_CALC.xlsx")</f>
        <v/>
      </c>
      <c r="W48" s="10" t="str">
        <f aca="false">IF(A48="","",A48&amp;"_CALC.pdf")</f>
        <v/>
      </c>
      <c r="X48" s="9"/>
      <c r="Y48" s="9"/>
      <c r="Z48" s="41"/>
      <c r="AA48" s="41"/>
      <c r="AB48" s="41"/>
      <c r="AC48" s="41"/>
      <c r="AD48" s="41"/>
      <c r="AE48" s="38" t="str">
        <f aca="false">IF(C48="","","OK")</f>
        <v/>
      </c>
      <c r="AF48" s="9"/>
      <c r="AG48" s="9"/>
      <c r="AH48" s="9"/>
      <c r="AI48" s="9"/>
      <c r="AJ48" s="9"/>
      <c r="AK48" s="31"/>
      <c r="AL48" s="10" t="str">
        <f aca="false">IF(C48="","",IF(AND(N48="Approved",ISERROR(SEARCH("FAIL",AE48))),"Y","N"))</f>
        <v/>
      </c>
    </row>
    <row r="49" customFormat="false" ht="15" hidden="false" customHeight="false" outlineLevel="0" collapsed="false">
      <c r="A49" s="10" t="str">
        <f aca="false">IF(C49="","",IFERROR(VLOOKUP(C49,Lists!$BI$4:$BJ$20,2,0),"??")&amp;"-"&amp;UPPER(SUBSTITUTE(D49," ",""))&amp;IF(E49&lt;&gt;"","-SP"&amp;TEXT(E49*1000,"0"),"")&amp;IF(F49&lt;&gt;"","-H"&amp;TEXT(F49*1000,"0"),"")&amp;"-"&amp;M49)</f>
        <v/>
      </c>
      <c r="B49" s="10" t="str">
        <f aca="false">IF(C49="","",C49&amp;" - "&amp;D49&amp;IF(E49&lt;&gt;"",", span "&amp;E49&amp;" m","")&amp;IF(F49&lt;&gt;"",", H "&amp;F49&amp;" m","")&amp;IF(G49&lt;&gt;"",", W "&amp;G49&amp;" m",""))</f>
        <v/>
      </c>
      <c r="C49" s="9"/>
      <c r="D49" s="9"/>
      <c r="E49" s="43"/>
      <c r="F49" s="43"/>
      <c r="G49" s="43"/>
      <c r="H49" s="9"/>
      <c r="I49" s="9"/>
      <c r="J49" s="9"/>
      <c r="K49" s="9"/>
      <c r="L49" s="9"/>
      <c r="M49" s="9"/>
      <c r="N49" s="9"/>
      <c r="O49" s="9"/>
      <c r="P49" s="9"/>
      <c r="Q49" s="9"/>
      <c r="R49" s="10" t="str">
        <f aca="false">IF(A49="","",SG_Criteria!$B$6&amp;SG_Criteria!$B$13&amp;"\"&amp;A49&amp;"\")</f>
        <v/>
      </c>
      <c r="S49" s="10" t="str">
        <f aca="false">IF(A49="","",A49&amp;"_CAD.dwg")</f>
        <v/>
      </c>
      <c r="T49" s="10" t="str">
        <f aca="false">IF(A49="","",A49&amp;"_DWG.pdf")</f>
        <v/>
      </c>
      <c r="U49" s="10" t="str">
        <f aca="false">IF(A49="","",IF(Q49="Y",A49&amp;"_STAAD.std","n/a"))</f>
        <v/>
      </c>
      <c r="V49" s="10" t="str">
        <f aca="false">IF(A49="","",A49&amp;"_CALC.xlsx")</f>
        <v/>
      </c>
      <c r="W49" s="10" t="str">
        <f aca="false">IF(A49="","",A49&amp;"_CALC.pdf")</f>
        <v/>
      </c>
      <c r="X49" s="9"/>
      <c r="Y49" s="9"/>
      <c r="Z49" s="41"/>
      <c r="AA49" s="41"/>
      <c r="AB49" s="41"/>
      <c r="AC49" s="41"/>
      <c r="AD49" s="41"/>
      <c r="AE49" s="38" t="str">
        <f aca="false">IF(C49="","","OK")</f>
        <v/>
      </c>
      <c r="AF49" s="9"/>
      <c r="AG49" s="9"/>
      <c r="AH49" s="9"/>
      <c r="AI49" s="9"/>
      <c r="AJ49" s="9"/>
      <c r="AK49" s="31"/>
      <c r="AL49" s="10" t="str">
        <f aca="false">IF(C49="","",IF(AND(N49="Approved",ISERROR(SEARCH("FAIL",AE49))),"Y","N"))</f>
        <v/>
      </c>
    </row>
    <row r="50" customFormat="false" ht="15" hidden="false" customHeight="false" outlineLevel="0" collapsed="false">
      <c r="A50" s="10" t="str">
        <f aca="false">IF(C50="","",IFERROR(VLOOKUP(C50,Lists!$BI$4:$BJ$20,2,0),"??")&amp;"-"&amp;UPPER(SUBSTITUTE(D50," ",""))&amp;IF(E50&lt;&gt;"","-SP"&amp;TEXT(E50*1000,"0"),"")&amp;IF(F50&lt;&gt;"","-H"&amp;TEXT(F50*1000,"0"),"")&amp;"-"&amp;M50)</f>
        <v/>
      </c>
      <c r="B50" s="10" t="str">
        <f aca="false">IF(C50="","",C50&amp;" - "&amp;D50&amp;IF(E50&lt;&gt;"",", span "&amp;E50&amp;" m","")&amp;IF(F50&lt;&gt;"",", H "&amp;F50&amp;" m","")&amp;IF(G50&lt;&gt;"",", W "&amp;G50&amp;" m",""))</f>
        <v/>
      </c>
      <c r="C50" s="9"/>
      <c r="D50" s="9"/>
      <c r="E50" s="43"/>
      <c r="F50" s="43"/>
      <c r="G50" s="43"/>
      <c r="H50" s="9"/>
      <c r="I50" s="9"/>
      <c r="J50" s="9"/>
      <c r="K50" s="9"/>
      <c r="L50" s="9"/>
      <c r="M50" s="9"/>
      <c r="N50" s="9"/>
      <c r="O50" s="9"/>
      <c r="P50" s="9"/>
      <c r="Q50" s="9"/>
      <c r="R50" s="10" t="str">
        <f aca="false">IF(A50="","",SG_Criteria!$B$6&amp;SG_Criteria!$B$13&amp;"\"&amp;A50&amp;"\")</f>
        <v/>
      </c>
      <c r="S50" s="10" t="str">
        <f aca="false">IF(A50="","",A50&amp;"_CAD.dwg")</f>
        <v/>
      </c>
      <c r="T50" s="10" t="str">
        <f aca="false">IF(A50="","",A50&amp;"_DWG.pdf")</f>
        <v/>
      </c>
      <c r="U50" s="10" t="str">
        <f aca="false">IF(A50="","",IF(Q50="Y",A50&amp;"_STAAD.std","n/a"))</f>
        <v/>
      </c>
      <c r="V50" s="10" t="str">
        <f aca="false">IF(A50="","",A50&amp;"_CALC.xlsx")</f>
        <v/>
      </c>
      <c r="W50" s="10" t="str">
        <f aca="false">IF(A50="","",A50&amp;"_CALC.pdf")</f>
        <v/>
      </c>
      <c r="X50" s="9"/>
      <c r="Y50" s="9"/>
      <c r="Z50" s="41"/>
      <c r="AA50" s="41"/>
      <c r="AB50" s="41"/>
      <c r="AC50" s="41"/>
      <c r="AD50" s="41"/>
      <c r="AE50" s="38" t="str">
        <f aca="false">IF(C50="","","OK")</f>
        <v/>
      </c>
      <c r="AF50" s="9"/>
      <c r="AG50" s="9"/>
      <c r="AH50" s="9"/>
      <c r="AI50" s="9"/>
      <c r="AJ50" s="9"/>
      <c r="AK50" s="31"/>
      <c r="AL50" s="10" t="str">
        <f aca="false">IF(C50="","",IF(AND(N50="Approved",ISERROR(SEARCH("FAIL",AE50))),"Y","N"))</f>
        <v/>
      </c>
    </row>
    <row r="51" customFormat="false" ht="15" hidden="false" customHeight="false" outlineLevel="0" collapsed="false">
      <c r="A51" s="10" t="str">
        <f aca="false">IF(C51="","",IFERROR(VLOOKUP(C51,Lists!$BI$4:$BJ$20,2,0),"??")&amp;"-"&amp;UPPER(SUBSTITUTE(D51," ",""))&amp;IF(E51&lt;&gt;"","-SP"&amp;TEXT(E51*1000,"0"),"")&amp;IF(F51&lt;&gt;"","-H"&amp;TEXT(F51*1000,"0"),"")&amp;"-"&amp;M51)</f>
        <v/>
      </c>
      <c r="B51" s="10" t="str">
        <f aca="false">IF(C51="","",C51&amp;" - "&amp;D51&amp;IF(E51&lt;&gt;"",", span "&amp;E51&amp;" m","")&amp;IF(F51&lt;&gt;"",", H "&amp;F51&amp;" m","")&amp;IF(G51&lt;&gt;"",", W "&amp;G51&amp;" m",""))</f>
        <v/>
      </c>
      <c r="C51" s="9"/>
      <c r="D51" s="9"/>
      <c r="E51" s="43"/>
      <c r="F51" s="43"/>
      <c r="G51" s="43"/>
      <c r="H51" s="9"/>
      <c r="I51" s="9"/>
      <c r="J51" s="9"/>
      <c r="K51" s="9"/>
      <c r="L51" s="9"/>
      <c r="M51" s="9"/>
      <c r="N51" s="9"/>
      <c r="O51" s="9"/>
      <c r="P51" s="9"/>
      <c r="Q51" s="9"/>
      <c r="R51" s="10" t="str">
        <f aca="false">IF(A51="","",SG_Criteria!$B$6&amp;SG_Criteria!$B$13&amp;"\"&amp;A51&amp;"\")</f>
        <v/>
      </c>
      <c r="S51" s="10" t="str">
        <f aca="false">IF(A51="","",A51&amp;"_CAD.dwg")</f>
        <v/>
      </c>
      <c r="T51" s="10" t="str">
        <f aca="false">IF(A51="","",A51&amp;"_DWG.pdf")</f>
        <v/>
      </c>
      <c r="U51" s="10" t="str">
        <f aca="false">IF(A51="","",IF(Q51="Y",A51&amp;"_STAAD.std","n/a"))</f>
        <v/>
      </c>
      <c r="V51" s="10" t="str">
        <f aca="false">IF(A51="","",A51&amp;"_CALC.xlsx")</f>
        <v/>
      </c>
      <c r="W51" s="10" t="str">
        <f aca="false">IF(A51="","",A51&amp;"_CALC.pdf")</f>
        <v/>
      </c>
      <c r="X51" s="9"/>
      <c r="Y51" s="9"/>
      <c r="Z51" s="41"/>
      <c r="AA51" s="41"/>
      <c r="AB51" s="41"/>
      <c r="AC51" s="41"/>
      <c r="AD51" s="41"/>
      <c r="AE51" s="38" t="str">
        <f aca="false">IF(C51="","","OK")</f>
        <v/>
      </c>
      <c r="AF51" s="9"/>
      <c r="AG51" s="9"/>
      <c r="AH51" s="9"/>
      <c r="AI51" s="9"/>
      <c r="AJ51" s="9"/>
      <c r="AK51" s="31"/>
      <c r="AL51" s="10" t="str">
        <f aca="false">IF(C51="","",IF(AND(N51="Approved",ISERROR(SEARCH("FAIL",AE51))),"Y","N"))</f>
        <v/>
      </c>
    </row>
    <row r="52" customFormat="false" ht="15" hidden="false" customHeight="false" outlineLevel="0" collapsed="false">
      <c r="A52" s="10" t="str">
        <f aca="false">IF(C52="","",IFERROR(VLOOKUP(C52,Lists!$BI$4:$BJ$20,2,0),"??")&amp;"-"&amp;UPPER(SUBSTITUTE(D52," ",""))&amp;IF(E52&lt;&gt;"","-SP"&amp;TEXT(E52*1000,"0"),"")&amp;IF(F52&lt;&gt;"","-H"&amp;TEXT(F52*1000,"0"),"")&amp;"-"&amp;M52)</f>
        <v/>
      </c>
      <c r="B52" s="10" t="str">
        <f aca="false">IF(C52="","",C52&amp;" - "&amp;D52&amp;IF(E52&lt;&gt;"",", span "&amp;E52&amp;" m","")&amp;IF(F52&lt;&gt;"",", H "&amp;F52&amp;" m","")&amp;IF(G52&lt;&gt;"",", W "&amp;G52&amp;" m",""))</f>
        <v/>
      </c>
      <c r="C52" s="9"/>
      <c r="D52" s="9"/>
      <c r="E52" s="43"/>
      <c r="F52" s="43"/>
      <c r="G52" s="43"/>
      <c r="H52" s="9"/>
      <c r="I52" s="9"/>
      <c r="J52" s="9"/>
      <c r="K52" s="9"/>
      <c r="L52" s="9"/>
      <c r="M52" s="9"/>
      <c r="N52" s="9"/>
      <c r="O52" s="9"/>
      <c r="P52" s="9"/>
      <c r="Q52" s="9"/>
      <c r="R52" s="10" t="str">
        <f aca="false">IF(A52="","",SG_Criteria!$B$6&amp;SG_Criteria!$B$13&amp;"\"&amp;A52&amp;"\")</f>
        <v/>
      </c>
      <c r="S52" s="10" t="str">
        <f aca="false">IF(A52="","",A52&amp;"_CAD.dwg")</f>
        <v/>
      </c>
      <c r="T52" s="10" t="str">
        <f aca="false">IF(A52="","",A52&amp;"_DWG.pdf")</f>
        <v/>
      </c>
      <c r="U52" s="10" t="str">
        <f aca="false">IF(A52="","",IF(Q52="Y",A52&amp;"_STAAD.std","n/a"))</f>
        <v/>
      </c>
      <c r="V52" s="10" t="str">
        <f aca="false">IF(A52="","",A52&amp;"_CALC.xlsx")</f>
        <v/>
      </c>
      <c r="W52" s="10" t="str">
        <f aca="false">IF(A52="","",A52&amp;"_CALC.pdf")</f>
        <v/>
      </c>
      <c r="X52" s="9"/>
      <c r="Y52" s="9"/>
      <c r="Z52" s="41"/>
      <c r="AA52" s="41"/>
      <c r="AB52" s="41"/>
      <c r="AC52" s="41"/>
      <c r="AD52" s="41"/>
      <c r="AE52" s="38" t="str">
        <f aca="false">IF(C52="","","OK")</f>
        <v/>
      </c>
      <c r="AF52" s="9"/>
      <c r="AG52" s="9"/>
      <c r="AH52" s="9"/>
      <c r="AI52" s="9"/>
      <c r="AJ52" s="9"/>
      <c r="AK52" s="31"/>
      <c r="AL52" s="10" t="str">
        <f aca="false">IF(C52="","",IF(AND(N52="Approved",ISERROR(SEARCH("FAIL",AE52))),"Y","N"))</f>
        <v/>
      </c>
    </row>
    <row r="53" customFormat="false" ht="15" hidden="false" customHeight="false" outlineLevel="0" collapsed="false">
      <c r="A53" s="10" t="str">
        <f aca="false">IF(C53="","",IFERROR(VLOOKUP(C53,Lists!$BI$4:$BJ$20,2,0),"??")&amp;"-"&amp;UPPER(SUBSTITUTE(D53," ",""))&amp;IF(E53&lt;&gt;"","-SP"&amp;TEXT(E53*1000,"0"),"")&amp;IF(F53&lt;&gt;"","-H"&amp;TEXT(F53*1000,"0"),"")&amp;"-"&amp;M53)</f>
        <v/>
      </c>
      <c r="B53" s="10" t="str">
        <f aca="false">IF(C53="","",C53&amp;" - "&amp;D53&amp;IF(E53&lt;&gt;"",", span "&amp;E53&amp;" m","")&amp;IF(F53&lt;&gt;"",", H "&amp;F53&amp;" m","")&amp;IF(G53&lt;&gt;"",", W "&amp;G53&amp;" m",""))</f>
        <v/>
      </c>
      <c r="C53" s="9"/>
      <c r="D53" s="9"/>
      <c r="E53" s="43"/>
      <c r="F53" s="43"/>
      <c r="G53" s="43"/>
      <c r="H53" s="9"/>
      <c r="I53" s="9"/>
      <c r="J53" s="9"/>
      <c r="K53" s="9"/>
      <c r="L53" s="9"/>
      <c r="M53" s="9"/>
      <c r="N53" s="9"/>
      <c r="O53" s="9"/>
      <c r="P53" s="9"/>
      <c r="Q53" s="9"/>
      <c r="R53" s="10" t="str">
        <f aca="false">IF(A53="","",SG_Criteria!$B$6&amp;SG_Criteria!$B$13&amp;"\"&amp;A53&amp;"\")</f>
        <v/>
      </c>
      <c r="S53" s="10" t="str">
        <f aca="false">IF(A53="","",A53&amp;"_CAD.dwg")</f>
        <v/>
      </c>
      <c r="T53" s="10" t="str">
        <f aca="false">IF(A53="","",A53&amp;"_DWG.pdf")</f>
        <v/>
      </c>
      <c r="U53" s="10" t="str">
        <f aca="false">IF(A53="","",IF(Q53="Y",A53&amp;"_STAAD.std","n/a"))</f>
        <v/>
      </c>
      <c r="V53" s="10" t="str">
        <f aca="false">IF(A53="","",A53&amp;"_CALC.xlsx")</f>
        <v/>
      </c>
      <c r="W53" s="10" t="str">
        <f aca="false">IF(A53="","",A53&amp;"_CALC.pdf")</f>
        <v/>
      </c>
      <c r="X53" s="9"/>
      <c r="Y53" s="9"/>
      <c r="Z53" s="41"/>
      <c r="AA53" s="41"/>
      <c r="AB53" s="41"/>
      <c r="AC53" s="41"/>
      <c r="AD53" s="41"/>
      <c r="AE53" s="38" t="str">
        <f aca="false">IF(C53="","","OK")</f>
        <v/>
      </c>
      <c r="AF53" s="9"/>
      <c r="AG53" s="9"/>
      <c r="AH53" s="9"/>
      <c r="AI53" s="9"/>
      <c r="AJ53" s="9"/>
      <c r="AK53" s="31"/>
      <c r="AL53" s="10" t="str">
        <f aca="false">IF(C53="","",IF(AND(N53="Approved",ISERROR(SEARCH("FAIL",AE53))),"Y","N"))</f>
        <v/>
      </c>
    </row>
    <row r="54" customFormat="false" ht="15" hidden="false" customHeight="false" outlineLevel="0" collapsed="false">
      <c r="A54" s="10" t="str">
        <f aca="false">IF(C54="","",IFERROR(VLOOKUP(C54,Lists!$BI$4:$BJ$20,2,0),"??")&amp;"-"&amp;UPPER(SUBSTITUTE(D54," ",""))&amp;IF(E54&lt;&gt;"","-SP"&amp;TEXT(E54*1000,"0"),"")&amp;IF(F54&lt;&gt;"","-H"&amp;TEXT(F54*1000,"0"),"")&amp;"-"&amp;M54)</f>
        <v/>
      </c>
      <c r="B54" s="10" t="str">
        <f aca="false">IF(C54="","",C54&amp;" - "&amp;D54&amp;IF(E54&lt;&gt;"",", span "&amp;E54&amp;" m","")&amp;IF(F54&lt;&gt;"",", H "&amp;F54&amp;" m","")&amp;IF(G54&lt;&gt;"",", W "&amp;G54&amp;" m",""))</f>
        <v/>
      </c>
      <c r="C54" s="9"/>
      <c r="D54" s="9"/>
      <c r="E54" s="43"/>
      <c r="F54" s="43"/>
      <c r="G54" s="43"/>
      <c r="H54" s="9"/>
      <c r="I54" s="9"/>
      <c r="J54" s="9"/>
      <c r="K54" s="9"/>
      <c r="L54" s="9"/>
      <c r="M54" s="9"/>
      <c r="N54" s="9"/>
      <c r="O54" s="9"/>
      <c r="P54" s="9"/>
      <c r="Q54" s="9"/>
      <c r="R54" s="10" t="str">
        <f aca="false">IF(A54="","",SG_Criteria!$B$6&amp;SG_Criteria!$B$13&amp;"\"&amp;A54&amp;"\")</f>
        <v/>
      </c>
      <c r="S54" s="10" t="str">
        <f aca="false">IF(A54="","",A54&amp;"_CAD.dwg")</f>
        <v/>
      </c>
      <c r="T54" s="10" t="str">
        <f aca="false">IF(A54="","",A54&amp;"_DWG.pdf")</f>
        <v/>
      </c>
      <c r="U54" s="10" t="str">
        <f aca="false">IF(A54="","",IF(Q54="Y",A54&amp;"_STAAD.std","n/a"))</f>
        <v/>
      </c>
      <c r="V54" s="10" t="str">
        <f aca="false">IF(A54="","",A54&amp;"_CALC.xlsx")</f>
        <v/>
      </c>
      <c r="W54" s="10" t="str">
        <f aca="false">IF(A54="","",A54&amp;"_CALC.pdf")</f>
        <v/>
      </c>
      <c r="X54" s="9"/>
      <c r="Y54" s="9"/>
      <c r="Z54" s="41"/>
      <c r="AA54" s="41"/>
      <c r="AB54" s="41"/>
      <c r="AC54" s="41"/>
      <c r="AD54" s="41"/>
      <c r="AE54" s="38" t="str">
        <f aca="false">IF(C54="","","OK")</f>
        <v/>
      </c>
      <c r="AF54" s="9"/>
      <c r="AG54" s="9"/>
      <c r="AH54" s="9"/>
      <c r="AI54" s="9"/>
      <c r="AJ54" s="9"/>
      <c r="AK54" s="31"/>
      <c r="AL54" s="10" t="str">
        <f aca="false">IF(C54="","",IF(AND(N54="Approved",ISERROR(SEARCH("FAIL",AE54))),"Y","N"))</f>
        <v/>
      </c>
    </row>
    <row r="55" customFormat="false" ht="15" hidden="false" customHeight="false" outlineLevel="0" collapsed="false">
      <c r="A55" s="10" t="str">
        <f aca="false">IF(C55="","",IFERROR(VLOOKUP(C55,Lists!$BI$4:$BJ$20,2,0),"??")&amp;"-"&amp;UPPER(SUBSTITUTE(D55," ",""))&amp;IF(E55&lt;&gt;"","-SP"&amp;TEXT(E55*1000,"0"),"")&amp;IF(F55&lt;&gt;"","-H"&amp;TEXT(F55*1000,"0"),"")&amp;"-"&amp;M55)</f>
        <v/>
      </c>
      <c r="B55" s="10" t="str">
        <f aca="false">IF(C55="","",C55&amp;" - "&amp;D55&amp;IF(E55&lt;&gt;"",", span "&amp;E55&amp;" m","")&amp;IF(F55&lt;&gt;"",", H "&amp;F55&amp;" m","")&amp;IF(G55&lt;&gt;"",", W "&amp;G55&amp;" m",""))</f>
        <v/>
      </c>
      <c r="C55" s="9"/>
      <c r="D55" s="9"/>
      <c r="E55" s="43"/>
      <c r="F55" s="43"/>
      <c r="G55" s="43"/>
      <c r="H55" s="9"/>
      <c r="I55" s="9"/>
      <c r="J55" s="9"/>
      <c r="K55" s="9"/>
      <c r="L55" s="9"/>
      <c r="M55" s="9"/>
      <c r="N55" s="9"/>
      <c r="O55" s="9"/>
      <c r="P55" s="9"/>
      <c r="Q55" s="9"/>
      <c r="R55" s="10" t="str">
        <f aca="false">IF(A55="","",SG_Criteria!$B$6&amp;SG_Criteria!$B$13&amp;"\"&amp;A55&amp;"\")</f>
        <v/>
      </c>
      <c r="S55" s="10" t="str">
        <f aca="false">IF(A55="","",A55&amp;"_CAD.dwg")</f>
        <v/>
      </c>
      <c r="T55" s="10" t="str">
        <f aca="false">IF(A55="","",A55&amp;"_DWG.pdf")</f>
        <v/>
      </c>
      <c r="U55" s="10" t="str">
        <f aca="false">IF(A55="","",IF(Q55="Y",A55&amp;"_STAAD.std","n/a"))</f>
        <v/>
      </c>
      <c r="V55" s="10" t="str">
        <f aca="false">IF(A55="","",A55&amp;"_CALC.xlsx")</f>
        <v/>
      </c>
      <c r="W55" s="10" t="str">
        <f aca="false">IF(A55="","",A55&amp;"_CALC.pdf")</f>
        <v/>
      </c>
      <c r="X55" s="9"/>
      <c r="Y55" s="9"/>
      <c r="Z55" s="41"/>
      <c r="AA55" s="41"/>
      <c r="AB55" s="41"/>
      <c r="AC55" s="41"/>
      <c r="AD55" s="41"/>
      <c r="AE55" s="38" t="str">
        <f aca="false">IF(C55="","","OK")</f>
        <v/>
      </c>
      <c r="AF55" s="9"/>
      <c r="AG55" s="9"/>
      <c r="AH55" s="9"/>
      <c r="AI55" s="9"/>
      <c r="AJ55" s="9"/>
      <c r="AK55" s="31"/>
      <c r="AL55" s="10" t="str">
        <f aca="false">IF(C55="","",IF(AND(N55="Approved",ISERROR(SEARCH("FAIL",AE55))),"Y","N"))</f>
        <v/>
      </c>
    </row>
    <row r="56" customFormat="false" ht="15" hidden="false" customHeight="false" outlineLevel="0" collapsed="false">
      <c r="A56" s="10" t="str">
        <f aca="false">IF(C56="","",IFERROR(VLOOKUP(C56,Lists!$BI$4:$BJ$20,2,0),"??")&amp;"-"&amp;UPPER(SUBSTITUTE(D56," ",""))&amp;IF(E56&lt;&gt;"","-SP"&amp;TEXT(E56*1000,"0"),"")&amp;IF(F56&lt;&gt;"","-H"&amp;TEXT(F56*1000,"0"),"")&amp;"-"&amp;M56)</f>
        <v/>
      </c>
      <c r="B56" s="10" t="str">
        <f aca="false">IF(C56="","",C56&amp;" - "&amp;D56&amp;IF(E56&lt;&gt;"",", span "&amp;E56&amp;" m","")&amp;IF(F56&lt;&gt;"",", H "&amp;F56&amp;" m","")&amp;IF(G56&lt;&gt;"",", W "&amp;G56&amp;" m",""))</f>
        <v/>
      </c>
      <c r="C56" s="9"/>
      <c r="D56" s="9"/>
      <c r="E56" s="43"/>
      <c r="F56" s="43"/>
      <c r="G56" s="43"/>
      <c r="H56" s="9"/>
      <c r="I56" s="9"/>
      <c r="J56" s="9"/>
      <c r="K56" s="9"/>
      <c r="L56" s="9"/>
      <c r="M56" s="9"/>
      <c r="N56" s="9"/>
      <c r="O56" s="9"/>
      <c r="P56" s="9"/>
      <c r="Q56" s="9"/>
      <c r="R56" s="10" t="str">
        <f aca="false">IF(A56="","",SG_Criteria!$B$6&amp;SG_Criteria!$B$13&amp;"\"&amp;A56&amp;"\")</f>
        <v/>
      </c>
      <c r="S56" s="10" t="str">
        <f aca="false">IF(A56="","",A56&amp;"_CAD.dwg")</f>
        <v/>
      </c>
      <c r="T56" s="10" t="str">
        <f aca="false">IF(A56="","",A56&amp;"_DWG.pdf")</f>
        <v/>
      </c>
      <c r="U56" s="10" t="str">
        <f aca="false">IF(A56="","",IF(Q56="Y",A56&amp;"_STAAD.std","n/a"))</f>
        <v/>
      </c>
      <c r="V56" s="10" t="str">
        <f aca="false">IF(A56="","",A56&amp;"_CALC.xlsx")</f>
        <v/>
      </c>
      <c r="W56" s="10" t="str">
        <f aca="false">IF(A56="","",A56&amp;"_CALC.pdf")</f>
        <v/>
      </c>
      <c r="X56" s="9"/>
      <c r="Y56" s="9"/>
      <c r="Z56" s="41"/>
      <c r="AA56" s="41"/>
      <c r="AB56" s="41"/>
      <c r="AC56" s="41"/>
      <c r="AD56" s="41"/>
      <c r="AE56" s="38" t="str">
        <f aca="false">IF(C56="","","OK")</f>
        <v/>
      </c>
      <c r="AF56" s="9"/>
      <c r="AG56" s="9"/>
      <c r="AH56" s="9"/>
      <c r="AI56" s="9"/>
      <c r="AJ56" s="9"/>
      <c r="AK56" s="31"/>
      <c r="AL56" s="10" t="str">
        <f aca="false">IF(C56="","",IF(AND(N56="Approved",ISERROR(SEARCH("FAIL",AE56))),"Y","N"))</f>
        <v/>
      </c>
    </row>
    <row r="57" customFormat="false" ht="15" hidden="false" customHeight="false" outlineLevel="0" collapsed="false">
      <c r="A57" s="10" t="str">
        <f aca="false">IF(C57="","",IFERROR(VLOOKUP(C57,Lists!$BI$4:$BJ$20,2,0),"??")&amp;"-"&amp;UPPER(SUBSTITUTE(D57," ",""))&amp;IF(E57&lt;&gt;"","-SP"&amp;TEXT(E57*1000,"0"),"")&amp;IF(F57&lt;&gt;"","-H"&amp;TEXT(F57*1000,"0"),"")&amp;"-"&amp;M57)</f>
        <v/>
      </c>
      <c r="B57" s="10" t="str">
        <f aca="false">IF(C57="","",C57&amp;" - "&amp;D57&amp;IF(E57&lt;&gt;"",", span "&amp;E57&amp;" m","")&amp;IF(F57&lt;&gt;"",", H "&amp;F57&amp;" m","")&amp;IF(G57&lt;&gt;"",", W "&amp;G57&amp;" m",""))</f>
        <v/>
      </c>
      <c r="C57" s="9"/>
      <c r="D57" s="9"/>
      <c r="E57" s="43"/>
      <c r="F57" s="43"/>
      <c r="G57" s="43"/>
      <c r="H57" s="9"/>
      <c r="I57" s="9"/>
      <c r="J57" s="9"/>
      <c r="K57" s="9"/>
      <c r="L57" s="9"/>
      <c r="M57" s="9"/>
      <c r="N57" s="9"/>
      <c r="O57" s="9"/>
      <c r="P57" s="9"/>
      <c r="Q57" s="9"/>
      <c r="R57" s="10" t="str">
        <f aca="false">IF(A57="","",SG_Criteria!$B$6&amp;SG_Criteria!$B$13&amp;"\"&amp;A57&amp;"\")</f>
        <v/>
      </c>
      <c r="S57" s="10" t="str">
        <f aca="false">IF(A57="","",A57&amp;"_CAD.dwg")</f>
        <v/>
      </c>
      <c r="T57" s="10" t="str">
        <f aca="false">IF(A57="","",A57&amp;"_DWG.pdf")</f>
        <v/>
      </c>
      <c r="U57" s="10" t="str">
        <f aca="false">IF(A57="","",IF(Q57="Y",A57&amp;"_STAAD.std","n/a"))</f>
        <v/>
      </c>
      <c r="V57" s="10" t="str">
        <f aca="false">IF(A57="","",A57&amp;"_CALC.xlsx")</f>
        <v/>
      </c>
      <c r="W57" s="10" t="str">
        <f aca="false">IF(A57="","",A57&amp;"_CALC.pdf")</f>
        <v/>
      </c>
      <c r="X57" s="9"/>
      <c r="Y57" s="9"/>
      <c r="Z57" s="41"/>
      <c r="AA57" s="41"/>
      <c r="AB57" s="41"/>
      <c r="AC57" s="41"/>
      <c r="AD57" s="41"/>
      <c r="AE57" s="38" t="str">
        <f aca="false">IF(C57="","","OK")</f>
        <v/>
      </c>
      <c r="AF57" s="9"/>
      <c r="AG57" s="9"/>
      <c r="AH57" s="9"/>
      <c r="AI57" s="9"/>
      <c r="AJ57" s="9"/>
      <c r="AK57" s="31"/>
      <c r="AL57" s="10" t="str">
        <f aca="false">IF(C57="","",IF(AND(N57="Approved",ISERROR(SEARCH("FAIL",AE57))),"Y","N"))</f>
        <v/>
      </c>
    </row>
    <row r="58" customFormat="false" ht="15" hidden="false" customHeight="false" outlineLevel="0" collapsed="false">
      <c r="A58" s="10" t="str">
        <f aca="false">IF(C58="","",IFERROR(VLOOKUP(C58,Lists!$BI$4:$BJ$20,2,0),"??")&amp;"-"&amp;UPPER(SUBSTITUTE(D58," ",""))&amp;IF(E58&lt;&gt;"","-SP"&amp;TEXT(E58*1000,"0"),"")&amp;IF(F58&lt;&gt;"","-H"&amp;TEXT(F58*1000,"0"),"")&amp;"-"&amp;M58)</f>
        <v/>
      </c>
      <c r="B58" s="10" t="str">
        <f aca="false">IF(C58="","",C58&amp;" - "&amp;D58&amp;IF(E58&lt;&gt;"",", span "&amp;E58&amp;" m","")&amp;IF(F58&lt;&gt;"",", H "&amp;F58&amp;" m","")&amp;IF(G58&lt;&gt;"",", W "&amp;G58&amp;" m",""))</f>
        <v/>
      </c>
      <c r="C58" s="9"/>
      <c r="D58" s="9"/>
      <c r="E58" s="43"/>
      <c r="F58" s="43"/>
      <c r="G58" s="43"/>
      <c r="H58" s="9"/>
      <c r="I58" s="9"/>
      <c r="J58" s="9"/>
      <c r="K58" s="9"/>
      <c r="L58" s="9"/>
      <c r="M58" s="9"/>
      <c r="N58" s="9"/>
      <c r="O58" s="9"/>
      <c r="P58" s="9"/>
      <c r="Q58" s="9"/>
      <c r="R58" s="10" t="str">
        <f aca="false">IF(A58="","",SG_Criteria!$B$6&amp;SG_Criteria!$B$13&amp;"\"&amp;A58&amp;"\")</f>
        <v/>
      </c>
      <c r="S58" s="10" t="str">
        <f aca="false">IF(A58="","",A58&amp;"_CAD.dwg")</f>
        <v/>
      </c>
      <c r="T58" s="10" t="str">
        <f aca="false">IF(A58="","",A58&amp;"_DWG.pdf")</f>
        <v/>
      </c>
      <c r="U58" s="10" t="str">
        <f aca="false">IF(A58="","",IF(Q58="Y",A58&amp;"_STAAD.std","n/a"))</f>
        <v/>
      </c>
      <c r="V58" s="10" t="str">
        <f aca="false">IF(A58="","",A58&amp;"_CALC.xlsx")</f>
        <v/>
      </c>
      <c r="W58" s="10" t="str">
        <f aca="false">IF(A58="","",A58&amp;"_CALC.pdf")</f>
        <v/>
      </c>
      <c r="X58" s="9"/>
      <c r="Y58" s="9"/>
      <c r="Z58" s="41"/>
      <c r="AA58" s="41"/>
      <c r="AB58" s="41"/>
      <c r="AC58" s="41"/>
      <c r="AD58" s="41"/>
      <c r="AE58" s="38" t="str">
        <f aca="false">IF(C58="","","OK")</f>
        <v/>
      </c>
      <c r="AF58" s="9"/>
      <c r="AG58" s="9"/>
      <c r="AH58" s="9"/>
      <c r="AI58" s="9"/>
      <c r="AJ58" s="9"/>
      <c r="AK58" s="31"/>
      <c r="AL58" s="10" t="str">
        <f aca="false">IF(C58="","",IF(AND(N58="Approved",ISERROR(SEARCH("FAIL",AE58))),"Y","N"))</f>
        <v/>
      </c>
    </row>
    <row r="59" customFormat="false" ht="15" hidden="false" customHeight="false" outlineLevel="0" collapsed="false">
      <c r="A59" s="10" t="str">
        <f aca="false">IF(C59="","",IFERROR(VLOOKUP(C59,Lists!$BI$4:$BJ$20,2,0),"??")&amp;"-"&amp;UPPER(SUBSTITUTE(D59," ",""))&amp;IF(E59&lt;&gt;"","-SP"&amp;TEXT(E59*1000,"0"),"")&amp;IF(F59&lt;&gt;"","-H"&amp;TEXT(F59*1000,"0"),"")&amp;"-"&amp;M59)</f>
        <v/>
      </c>
      <c r="B59" s="10" t="str">
        <f aca="false">IF(C59="","",C59&amp;" - "&amp;D59&amp;IF(E59&lt;&gt;"",", span "&amp;E59&amp;" m","")&amp;IF(F59&lt;&gt;"",", H "&amp;F59&amp;" m","")&amp;IF(G59&lt;&gt;"",", W "&amp;G59&amp;" m",""))</f>
        <v/>
      </c>
      <c r="C59" s="9"/>
      <c r="D59" s="9"/>
      <c r="E59" s="43"/>
      <c r="F59" s="43"/>
      <c r="G59" s="43"/>
      <c r="H59" s="9"/>
      <c r="I59" s="9"/>
      <c r="J59" s="9"/>
      <c r="K59" s="9"/>
      <c r="L59" s="9"/>
      <c r="M59" s="9"/>
      <c r="N59" s="9"/>
      <c r="O59" s="9"/>
      <c r="P59" s="9"/>
      <c r="Q59" s="9"/>
      <c r="R59" s="10" t="str">
        <f aca="false">IF(A59="","",SG_Criteria!$B$6&amp;SG_Criteria!$B$13&amp;"\"&amp;A59&amp;"\")</f>
        <v/>
      </c>
      <c r="S59" s="10" t="str">
        <f aca="false">IF(A59="","",A59&amp;"_CAD.dwg")</f>
        <v/>
      </c>
      <c r="T59" s="10" t="str">
        <f aca="false">IF(A59="","",A59&amp;"_DWG.pdf")</f>
        <v/>
      </c>
      <c r="U59" s="10" t="str">
        <f aca="false">IF(A59="","",IF(Q59="Y",A59&amp;"_STAAD.std","n/a"))</f>
        <v/>
      </c>
      <c r="V59" s="10" t="str">
        <f aca="false">IF(A59="","",A59&amp;"_CALC.xlsx")</f>
        <v/>
      </c>
      <c r="W59" s="10" t="str">
        <f aca="false">IF(A59="","",A59&amp;"_CALC.pdf")</f>
        <v/>
      </c>
      <c r="X59" s="9"/>
      <c r="Y59" s="9"/>
      <c r="Z59" s="41"/>
      <c r="AA59" s="41"/>
      <c r="AB59" s="41"/>
      <c r="AC59" s="41"/>
      <c r="AD59" s="41"/>
      <c r="AE59" s="38" t="str">
        <f aca="false">IF(C59="","","OK")</f>
        <v/>
      </c>
      <c r="AF59" s="9"/>
      <c r="AG59" s="9"/>
      <c r="AH59" s="9"/>
      <c r="AI59" s="9"/>
      <c r="AJ59" s="9"/>
      <c r="AK59" s="31"/>
      <c r="AL59" s="10" t="str">
        <f aca="false">IF(C59="","",IF(AND(N59="Approved",ISERROR(SEARCH("FAIL",AE59))),"Y","N"))</f>
        <v/>
      </c>
    </row>
    <row r="60" customFormat="false" ht="15" hidden="false" customHeight="false" outlineLevel="0" collapsed="false">
      <c r="A60" s="10" t="str">
        <f aca="false">IF(C60="","",IFERROR(VLOOKUP(C60,Lists!$BI$4:$BJ$20,2,0),"??")&amp;"-"&amp;UPPER(SUBSTITUTE(D60," ",""))&amp;IF(E60&lt;&gt;"","-SP"&amp;TEXT(E60*1000,"0"),"")&amp;IF(F60&lt;&gt;"","-H"&amp;TEXT(F60*1000,"0"),"")&amp;"-"&amp;M60)</f>
        <v/>
      </c>
      <c r="B60" s="10" t="str">
        <f aca="false">IF(C60="","",C60&amp;" - "&amp;D60&amp;IF(E60&lt;&gt;"",", span "&amp;E60&amp;" m","")&amp;IF(F60&lt;&gt;"",", H "&amp;F60&amp;" m","")&amp;IF(G60&lt;&gt;"",", W "&amp;G60&amp;" m",""))</f>
        <v/>
      </c>
      <c r="C60" s="9"/>
      <c r="D60" s="9"/>
      <c r="E60" s="43"/>
      <c r="F60" s="43"/>
      <c r="G60" s="43"/>
      <c r="H60" s="9"/>
      <c r="I60" s="9"/>
      <c r="J60" s="9"/>
      <c r="K60" s="9"/>
      <c r="L60" s="9"/>
      <c r="M60" s="9"/>
      <c r="N60" s="9"/>
      <c r="O60" s="9"/>
      <c r="P60" s="9"/>
      <c r="Q60" s="9"/>
      <c r="R60" s="10" t="str">
        <f aca="false">IF(A60="","",SG_Criteria!$B$6&amp;SG_Criteria!$B$13&amp;"\"&amp;A60&amp;"\")</f>
        <v/>
      </c>
      <c r="S60" s="10" t="str">
        <f aca="false">IF(A60="","",A60&amp;"_CAD.dwg")</f>
        <v/>
      </c>
      <c r="T60" s="10" t="str">
        <f aca="false">IF(A60="","",A60&amp;"_DWG.pdf")</f>
        <v/>
      </c>
      <c r="U60" s="10" t="str">
        <f aca="false">IF(A60="","",IF(Q60="Y",A60&amp;"_STAAD.std","n/a"))</f>
        <v/>
      </c>
      <c r="V60" s="10" t="str">
        <f aca="false">IF(A60="","",A60&amp;"_CALC.xlsx")</f>
        <v/>
      </c>
      <c r="W60" s="10" t="str">
        <f aca="false">IF(A60="","",A60&amp;"_CALC.pdf")</f>
        <v/>
      </c>
      <c r="X60" s="9"/>
      <c r="Y60" s="9"/>
      <c r="Z60" s="41"/>
      <c r="AA60" s="41"/>
      <c r="AB60" s="41"/>
      <c r="AC60" s="41"/>
      <c r="AD60" s="41"/>
      <c r="AE60" s="38" t="str">
        <f aca="false">IF(C60="","","OK")</f>
        <v/>
      </c>
      <c r="AF60" s="9"/>
      <c r="AG60" s="9"/>
      <c r="AH60" s="9"/>
      <c r="AI60" s="9"/>
      <c r="AJ60" s="9"/>
      <c r="AK60" s="31"/>
      <c r="AL60" s="10" t="str">
        <f aca="false">IF(C60="","",IF(AND(N60="Approved",ISERROR(SEARCH("FAIL",AE60))),"Y","N"))</f>
        <v/>
      </c>
    </row>
    <row r="61" customFormat="false" ht="15" hidden="false" customHeight="false" outlineLevel="0" collapsed="false">
      <c r="A61" s="10" t="str">
        <f aca="false">IF(C61="","",IFERROR(VLOOKUP(C61,Lists!$BI$4:$BJ$20,2,0),"??")&amp;"-"&amp;UPPER(SUBSTITUTE(D61," ",""))&amp;IF(E61&lt;&gt;"","-SP"&amp;TEXT(E61*1000,"0"),"")&amp;IF(F61&lt;&gt;"","-H"&amp;TEXT(F61*1000,"0"),"")&amp;"-"&amp;M61)</f>
        <v/>
      </c>
      <c r="B61" s="10" t="str">
        <f aca="false">IF(C61="","",C61&amp;" - "&amp;D61&amp;IF(E61&lt;&gt;"",", span "&amp;E61&amp;" m","")&amp;IF(F61&lt;&gt;"",", H "&amp;F61&amp;" m","")&amp;IF(G61&lt;&gt;"",", W "&amp;G61&amp;" m",""))</f>
        <v/>
      </c>
      <c r="C61" s="9"/>
      <c r="D61" s="9"/>
      <c r="E61" s="43"/>
      <c r="F61" s="43"/>
      <c r="G61" s="43"/>
      <c r="H61" s="9"/>
      <c r="I61" s="9"/>
      <c r="J61" s="9"/>
      <c r="K61" s="9"/>
      <c r="L61" s="9"/>
      <c r="M61" s="9"/>
      <c r="N61" s="9"/>
      <c r="O61" s="9"/>
      <c r="P61" s="9"/>
      <c r="Q61" s="9"/>
      <c r="R61" s="10" t="str">
        <f aca="false">IF(A61="","",SG_Criteria!$B$6&amp;SG_Criteria!$B$13&amp;"\"&amp;A61&amp;"\")</f>
        <v/>
      </c>
      <c r="S61" s="10" t="str">
        <f aca="false">IF(A61="","",A61&amp;"_CAD.dwg")</f>
        <v/>
      </c>
      <c r="T61" s="10" t="str">
        <f aca="false">IF(A61="","",A61&amp;"_DWG.pdf")</f>
        <v/>
      </c>
      <c r="U61" s="10" t="str">
        <f aca="false">IF(A61="","",IF(Q61="Y",A61&amp;"_STAAD.std","n/a"))</f>
        <v/>
      </c>
      <c r="V61" s="10" t="str">
        <f aca="false">IF(A61="","",A61&amp;"_CALC.xlsx")</f>
        <v/>
      </c>
      <c r="W61" s="10" t="str">
        <f aca="false">IF(A61="","",A61&amp;"_CALC.pdf")</f>
        <v/>
      </c>
      <c r="X61" s="9"/>
      <c r="Y61" s="9"/>
      <c r="Z61" s="41"/>
      <c r="AA61" s="41"/>
      <c r="AB61" s="41"/>
      <c r="AC61" s="41"/>
      <c r="AD61" s="41"/>
      <c r="AE61" s="38" t="str">
        <f aca="false">IF(C61="","","OK")</f>
        <v/>
      </c>
      <c r="AF61" s="9"/>
      <c r="AG61" s="9"/>
      <c r="AH61" s="9"/>
      <c r="AI61" s="9"/>
      <c r="AJ61" s="9"/>
      <c r="AK61" s="31"/>
      <c r="AL61" s="10" t="str">
        <f aca="false">IF(C61="","",IF(AND(N61="Approved",ISERROR(SEARCH("FAIL",AE61))),"Y","N"))</f>
        <v/>
      </c>
    </row>
    <row r="62" customFormat="false" ht="15" hidden="false" customHeight="false" outlineLevel="0" collapsed="false">
      <c r="A62" s="10" t="str">
        <f aca="false">IF(C62="","",IFERROR(VLOOKUP(C62,Lists!$BI$4:$BJ$20,2,0),"??")&amp;"-"&amp;UPPER(SUBSTITUTE(D62," ",""))&amp;IF(E62&lt;&gt;"","-SP"&amp;TEXT(E62*1000,"0"),"")&amp;IF(F62&lt;&gt;"","-H"&amp;TEXT(F62*1000,"0"),"")&amp;"-"&amp;M62)</f>
        <v/>
      </c>
      <c r="B62" s="10" t="str">
        <f aca="false">IF(C62="","",C62&amp;" - "&amp;D62&amp;IF(E62&lt;&gt;"",", span "&amp;E62&amp;" m","")&amp;IF(F62&lt;&gt;"",", H "&amp;F62&amp;" m","")&amp;IF(G62&lt;&gt;"",", W "&amp;G62&amp;" m",""))</f>
        <v/>
      </c>
      <c r="C62" s="9"/>
      <c r="D62" s="9"/>
      <c r="E62" s="43"/>
      <c r="F62" s="43"/>
      <c r="G62" s="43"/>
      <c r="H62" s="9"/>
      <c r="I62" s="9"/>
      <c r="J62" s="9"/>
      <c r="K62" s="9"/>
      <c r="L62" s="9"/>
      <c r="M62" s="9"/>
      <c r="N62" s="9"/>
      <c r="O62" s="9"/>
      <c r="P62" s="9"/>
      <c r="Q62" s="9"/>
      <c r="R62" s="10" t="str">
        <f aca="false">IF(A62="","",SG_Criteria!$B$6&amp;SG_Criteria!$B$13&amp;"\"&amp;A62&amp;"\")</f>
        <v/>
      </c>
      <c r="S62" s="10" t="str">
        <f aca="false">IF(A62="","",A62&amp;"_CAD.dwg")</f>
        <v/>
      </c>
      <c r="T62" s="10" t="str">
        <f aca="false">IF(A62="","",A62&amp;"_DWG.pdf")</f>
        <v/>
      </c>
      <c r="U62" s="10" t="str">
        <f aca="false">IF(A62="","",IF(Q62="Y",A62&amp;"_STAAD.std","n/a"))</f>
        <v/>
      </c>
      <c r="V62" s="10" t="str">
        <f aca="false">IF(A62="","",A62&amp;"_CALC.xlsx")</f>
        <v/>
      </c>
      <c r="W62" s="10" t="str">
        <f aca="false">IF(A62="","",A62&amp;"_CALC.pdf")</f>
        <v/>
      </c>
      <c r="X62" s="9"/>
      <c r="Y62" s="9"/>
      <c r="Z62" s="41"/>
      <c r="AA62" s="41"/>
      <c r="AB62" s="41"/>
      <c r="AC62" s="41"/>
      <c r="AD62" s="41"/>
      <c r="AE62" s="38" t="str">
        <f aca="false">IF(C62="","","OK")</f>
        <v/>
      </c>
      <c r="AF62" s="9"/>
      <c r="AG62" s="9"/>
      <c r="AH62" s="9"/>
      <c r="AI62" s="9"/>
      <c r="AJ62" s="9"/>
      <c r="AK62" s="31"/>
      <c r="AL62" s="10" t="str">
        <f aca="false">IF(C62="","",IF(AND(N62="Approved",ISERROR(SEARCH("FAIL",AE62))),"Y","N"))</f>
        <v/>
      </c>
    </row>
    <row r="63" customFormat="false" ht="15" hidden="false" customHeight="false" outlineLevel="0" collapsed="false">
      <c r="A63" s="10" t="str">
        <f aca="false">IF(C63="","",IFERROR(VLOOKUP(C63,Lists!$BI$4:$BJ$20,2,0),"??")&amp;"-"&amp;UPPER(SUBSTITUTE(D63," ",""))&amp;IF(E63&lt;&gt;"","-SP"&amp;TEXT(E63*1000,"0"),"")&amp;IF(F63&lt;&gt;"","-H"&amp;TEXT(F63*1000,"0"),"")&amp;"-"&amp;M63)</f>
        <v/>
      </c>
      <c r="B63" s="10" t="str">
        <f aca="false">IF(C63="","",C63&amp;" - "&amp;D63&amp;IF(E63&lt;&gt;"",", span "&amp;E63&amp;" m","")&amp;IF(F63&lt;&gt;"",", H "&amp;F63&amp;" m","")&amp;IF(G63&lt;&gt;"",", W "&amp;G63&amp;" m",""))</f>
        <v/>
      </c>
      <c r="C63" s="9"/>
      <c r="D63" s="9"/>
      <c r="E63" s="43"/>
      <c r="F63" s="43"/>
      <c r="G63" s="43"/>
      <c r="H63" s="9"/>
      <c r="I63" s="9"/>
      <c r="J63" s="9"/>
      <c r="K63" s="9"/>
      <c r="L63" s="9"/>
      <c r="M63" s="9"/>
      <c r="N63" s="9"/>
      <c r="O63" s="9"/>
      <c r="P63" s="9"/>
      <c r="Q63" s="9"/>
      <c r="R63" s="10" t="str">
        <f aca="false">IF(A63="","",SG_Criteria!$B$6&amp;SG_Criteria!$B$13&amp;"\"&amp;A63&amp;"\")</f>
        <v/>
      </c>
      <c r="S63" s="10" t="str">
        <f aca="false">IF(A63="","",A63&amp;"_CAD.dwg")</f>
        <v/>
      </c>
      <c r="T63" s="10" t="str">
        <f aca="false">IF(A63="","",A63&amp;"_DWG.pdf")</f>
        <v/>
      </c>
      <c r="U63" s="10" t="str">
        <f aca="false">IF(A63="","",IF(Q63="Y",A63&amp;"_STAAD.std","n/a"))</f>
        <v/>
      </c>
      <c r="V63" s="10" t="str">
        <f aca="false">IF(A63="","",A63&amp;"_CALC.xlsx")</f>
        <v/>
      </c>
      <c r="W63" s="10" t="str">
        <f aca="false">IF(A63="","",A63&amp;"_CALC.pdf")</f>
        <v/>
      </c>
      <c r="X63" s="9"/>
      <c r="Y63" s="9"/>
      <c r="Z63" s="41"/>
      <c r="AA63" s="41"/>
      <c r="AB63" s="41"/>
      <c r="AC63" s="41"/>
      <c r="AD63" s="41"/>
      <c r="AE63" s="38" t="str">
        <f aca="false">IF(C63="","","OK")</f>
        <v/>
      </c>
      <c r="AF63" s="9"/>
      <c r="AG63" s="9"/>
      <c r="AH63" s="9"/>
      <c r="AI63" s="9"/>
      <c r="AJ63" s="9"/>
      <c r="AK63" s="31"/>
      <c r="AL63" s="10" t="str">
        <f aca="false">IF(C63="","",IF(AND(N63="Approved",ISERROR(SEARCH("FAIL",AE63))),"Y","N"))</f>
        <v/>
      </c>
    </row>
    <row r="64" customFormat="false" ht="15" hidden="false" customHeight="false" outlineLevel="0" collapsed="false">
      <c r="A64" s="10" t="str">
        <f aca="false">IF(C64="","",IFERROR(VLOOKUP(C64,Lists!$BI$4:$BJ$20,2,0),"??")&amp;"-"&amp;UPPER(SUBSTITUTE(D64," ",""))&amp;IF(E64&lt;&gt;"","-SP"&amp;TEXT(E64*1000,"0"),"")&amp;IF(F64&lt;&gt;"","-H"&amp;TEXT(F64*1000,"0"),"")&amp;"-"&amp;M64)</f>
        <v/>
      </c>
      <c r="B64" s="10" t="str">
        <f aca="false">IF(C64="","",C64&amp;" - "&amp;D64&amp;IF(E64&lt;&gt;"",", span "&amp;E64&amp;" m","")&amp;IF(F64&lt;&gt;"",", H "&amp;F64&amp;" m","")&amp;IF(G64&lt;&gt;"",", W "&amp;G64&amp;" m",""))</f>
        <v/>
      </c>
      <c r="C64" s="9"/>
      <c r="D64" s="9"/>
      <c r="E64" s="43"/>
      <c r="F64" s="43"/>
      <c r="G64" s="43"/>
      <c r="H64" s="9"/>
      <c r="I64" s="9"/>
      <c r="J64" s="9"/>
      <c r="K64" s="9"/>
      <c r="L64" s="9"/>
      <c r="M64" s="9"/>
      <c r="N64" s="9"/>
      <c r="O64" s="9"/>
      <c r="P64" s="9"/>
      <c r="Q64" s="9"/>
      <c r="R64" s="10" t="str">
        <f aca="false">IF(A64="","",SG_Criteria!$B$6&amp;SG_Criteria!$B$13&amp;"\"&amp;A64&amp;"\")</f>
        <v/>
      </c>
      <c r="S64" s="10" t="str">
        <f aca="false">IF(A64="","",A64&amp;"_CAD.dwg")</f>
        <v/>
      </c>
      <c r="T64" s="10" t="str">
        <f aca="false">IF(A64="","",A64&amp;"_DWG.pdf")</f>
        <v/>
      </c>
      <c r="U64" s="10" t="str">
        <f aca="false">IF(A64="","",IF(Q64="Y",A64&amp;"_STAAD.std","n/a"))</f>
        <v/>
      </c>
      <c r="V64" s="10" t="str">
        <f aca="false">IF(A64="","",A64&amp;"_CALC.xlsx")</f>
        <v/>
      </c>
      <c r="W64" s="10" t="str">
        <f aca="false">IF(A64="","",A64&amp;"_CALC.pdf")</f>
        <v/>
      </c>
      <c r="X64" s="9"/>
      <c r="Y64" s="9"/>
      <c r="Z64" s="41"/>
      <c r="AA64" s="41"/>
      <c r="AB64" s="41"/>
      <c r="AC64" s="41"/>
      <c r="AD64" s="41"/>
      <c r="AE64" s="38" t="str">
        <f aca="false">IF(C64="","","OK")</f>
        <v/>
      </c>
      <c r="AF64" s="9"/>
      <c r="AG64" s="9"/>
      <c r="AH64" s="9"/>
      <c r="AI64" s="9"/>
      <c r="AJ64" s="9"/>
      <c r="AK64" s="31"/>
      <c r="AL64" s="10" t="str">
        <f aca="false">IF(C64="","",IF(AND(N64="Approved",ISERROR(SEARCH("FAIL",AE64))),"Y","N"))</f>
        <v/>
      </c>
    </row>
    <row r="65" customFormat="false" ht="15" hidden="false" customHeight="false" outlineLevel="0" collapsed="false">
      <c r="A65" s="10" t="str">
        <f aca="false">IF(C65="","",IFERROR(VLOOKUP(C65,Lists!$BI$4:$BJ$20,2,0),"??")&amp;"-"&amp;UPPER(SUBSTITUTE(D65," ",""))&amp;IF(E65&lt;&gt;"","-SP"&amp;TEXT(E65*1000,"0"),"")&amp;IF(F65&lt;&gt;"","-H"&amp;TEXT(F65*1000,"0"),"")&amp;"-"&amp;M65)</f>
        <v/>
      </c>
      <c r="B65" s="10" t="str">
        <f aca="false">IF(C65="","",C65&amp;" - "&amp;D65&amp;IF(E65&lt;&gt;"",", span "&amp;E65&amp;" m","")&amp;IF(F65&lt;&gt;"",", H "&amp;F65&amp;" m","")&amp;IF(G65&lt;&gt;"",", W "&amp;G65&amp;" m",""))</f>
        <v/>
      </c>
      <c r="C65" s="9"/>
      <c r="D65" s="9"/>
      <c r="E65" s="43"/>
      <c r="F65" s="43"/>
      <c r="G65" s="43"/>
      <c r="H65" s="9"/>
      <c r="I65" s="9"/>
      <c r="J65" s="9"/>
      <c r="K65" s="9"/>
      <c r="L65" s="9"/>
      <c r="M65" s="9"/>
      <c r="N65" s="9"/>
      <c r="O65" s="9"/>
      <c r="P65" s="9"/>
      <c r="Q65" s="9"/>
      <c r="R65" s="10" t="str">
        <f aca="false">IF(A65="","",SG_Criteria!$B$6&amp;SG_Criteria!$B$13&amp;"\"&amp;A65&amp;"\")</f>
        <v/>
      </c>
      <c r="S65" s="10" t="str">
        <f aca="false">IF(A65="","",A65&amp;"_CAD.dwg")</f>
        <v/>
      </c>
      <c r="T65" s="10" t="str">
        <f aca="false">IF(A65="","",A65&amp;"_DWG.pdf")</f>
        <v/>
      </c>
      <c r="U65" s="10" t="str">
        <f aca="false">IF(A65="","",IF(Q65="Y",A65&amp;"_STAAD.std","n/a"))</f>
        <v/>
      </c>
      <c r="V65" s="10" t="str">
        <f aca="false">IF(A65="","",A65&amp;"_CALC.xlsx")</f>
        <v/>
      </c>
      <c r="W65" s="10" t="str">
        <f aca="false">IF(A65="","",A65&amp;"_CALC.pdf")</f>
        <v/>
      </c>
      <c r="X65" s="9"/>
      <c r="Y65" s="9"/>
      <c r="Z65" s="41"/>
      <c r="AA65" s="41"/>
      <c r="AB65" s="41"/>
      <c r="AC65" s="41"/>
      <c r="AD65" s="41"/>
      <c r="AE65" s="38" t="str">
        <f aca="false">IF(C65="","","OK")</f>
        <v/>
      </c>
      <c r="AF65" s="9"/>
      <c r="AG65" s="9"/>
      <c r="AH65" s="9"/>
      <c r="AI65" s="9"/>
      <c r="AJ65" s="9"/>
      <c r="AK65" s="31"/>
      <c r="AL65" s="10" t="str">
        <f aca="false">IF(C65="","",IF(AND(N65="Approved",ISERROR(SEARCH("FAIL",AE65))),"Y","N"))</f>
        <v/>
      </c>
    </row>
    <row r="66" customFormat="false" ht="15" hidden="false" customHeight="false" outlineLevel="0" collapsed="false">
      <c r="A66" s="10" t="str">
        <f aca="false">IF(C66="","",IFERROR(VLOOKUP(C66,Lists!$BI$4:$BJ$20,2,0),"??")&amp;"-"&amp;UPPER(SUBSTITUTE(D66," ",""))&amp;IF(E66&lt;&gt;"","-SP"&amp;TEXT(E66*1000,"0"),"")&amp;IF(F66&lt;&gt;"","-H"&amp;TEXT(F66*1000,"0"),"")&amp;"-"&amp;M66)</f>
        <v/>
      </c>
      <c r="B66" s="10" t="str">
        <f aca="false">IF(C66="","",C66&amp;" - "&amp;D66&amp;IF(E66&lt;&gt;"",", span "&amp;E66&amp;" m","")&amp;IF(F66&lt;&gt;"",", H "&amp;F66&amp;" m","")&amp;IF(G66&lt;&gt;"",", W "&amp;G66&amp;" m",""))</f>
        <v/>
      </c>
      <c r="C66" s="9"/>
      <c r="D66" s="9"/>
      <c r="E66" s="43"/>
      <c r="F66" s="43"/>
      <c r="G66" s="43"/>
      <c r="H66" s="9"/>
      <c r="I66" s="9"/>
      <c r="J66" s="9"/>
      <c r="K66" s="9"/>
      <c r="L66" s="9"/>
      <c r="M66" s="9"/>
      <c r="N66" s="9"/>
      <c r="O66" s="9"/>
      <c r="P66" s="9"/>
      <c r="Q66" s="9"/>
      <c r="R66" s="10" t="str">
        <f aca="false">IF(A66="","",SG_Criteria!$B$6&amp;SG_Criteria!$B$13&amp;"\"&amp;A66&amp;"\")</f>
        <v/>
      </c>
      <c r="S66" s="10" t="str">
        <f aca="false">IF(A66="","",A66&amp;"_CAD.dwg")</f>
        <v/>
      </c>
      <c r="T66" s="10" t="str">
        <f aca="false">IF(A66="","",A66&amp;"_DWG.pdf")</f>
        <v/>
      </c>
      <c r="U66" s="10" t="str">
        <f aca="false">IF(A66="","",IF(Q66="Y",A66&amp;"_STAAD.std","n/a"))</f>
        <v/>
      </c>
      <c r="V66" s="10" t="str">
        <f aca="false">IF(A66="","",A66&amp;"_CALC.xlsx")</f>
        <v/>
      </c>
      <c r="W66" s="10" t="str">
        <f aca="false">IF(A66="","",A66&amp;"_CALC.pdf")</f>
        <v/>
      </c>
      <c r="X66" s="9"/>
      <c r="Y66" s="9"/>
      <c r="Z66" s="41"/>
      <c r="AA66" s="41"/>
      <c r="AB66" s="41"/>
      <c r="AC66" s="41"/>
      <c r="AD66" s="41"/>
      <c r="AE66" s="38" t="str">
        <f aca="false">IF(C66="","","OK")</f>
        <v/>
      </c>
      <c r="AF66" s="9"/>
      <c r="AG66" s="9"/>
      <c r="AH66" s="9"/>
      <c r="AI66" s="9"/>
      <c r="AJ66" s="9"/>
      <c r="AK66" s="31"/>
      <c r="AL66" s="10" t="str">
        <f aca="false">IF(C66="","",IF(AND(N66="Approved",ISERROR(SEARCH("FAIL",AE66))),"Y","N"))</f>
        <v/>
      </c>
    </row>
    <row r="67" customFormat="false" ht="15" hidden="false" customHeight="false" outlineLevel="0" collapsed="false">
      <c r="A67" s="10" t="str">
        <f aca="false">IF(C67="","",IFERROR(VLOOKUP(C67,Lists!$BI$4:$BJ$20,2,0),"??")&amp;"-"&amp;UPPER(SUBSTITUTE(D67," ",""))&amp;IF(E67&lt;&gt;"","-SP"&amp;TEXT(E67*1000,"0"),"")&amp;IF(F67&lt;&gt;"","-H"&amp;TEXT(F67*1000,"0"),"")&amp;"-"&amp;M67)</f>
        <v/>
      </c>
      <c r="B67" s="10" t="str">
        <f aca="false">IF(C67="","",C67&amp;" - "&amp;D67&amp;IF(E67&lt;&gt;"",", span "&amp;E67&amp;" m","")&amp;IF(F67&lt;&gt;"",", H "&amp;F67&amp;" m","")&amp;IF(G67&lt;&gt;"",", W "&amp;G67&amp;" m",""))</f>
        <v/>
      </c>
      <c r="C67" s="9"/>
      <c r="D67" s="9"/>
      <c r="E67" s="43"/>
      <c r="F67" s="43"/>
      <c r="G67" s="43"/>
      <c r="H67" s="9"/>
      <c r="I67" s="9"/>
      <c r="J67" s="9"/>
      <c r="K67" s="9"/>
      <c r="L67" s="9"/>
      <c r="M67" s="9"/>
      <c r="N67" s="9"/>
      <c r="O67" s="9"/>
      <c r="P67" s="9"/>
      <c r="Q67" s="9"/>
      <c r="R67" s="10" t="str">
        <f aca="false">IF(A67="","",SG_Criteria!$B$6&amp;SG_Criteria!$B$13&amp;"\"&amp;A67&amp;"\")</f>
        <v/>
      </c>
      <c r="S67" s="10" t="str">
        <f aca="false">IF(A67="","",A67&amp;"_CAD.dwg")</f>
        <v/>
      </c>
      <c r="T67" s="10" t="str">
        <f aca="false">IF(A67="","",A67&amp;"_DWG.pdf")</f>
        <v/>
      </c>
      <c r="U67" s="10" t="str">
        <f aca="false">IF(A67="","",IF(Q67="Y",A67&amp;"_STAAD.std","n/a"))</f>
        <v/>
      </c>
      <c r="V67" s="10" t="str">
        <f aca="false">IF(A67="","",A67&amp;"_CALC.xlsx")</f>
        <v/>
      </c>
      <c r="W67" s="10" t="str">
        <f aca="false">IF(A67="","",A67&amp;"_CALC.pdf")</f>
        <v/>
      </c>
      <c r="X67" s="9"/>
      <c r="Y67" s="9"/>
      <c r="Z67" s="41"/>
      <c r="AA67" s="41"/>
      <c r="AB67" s="41"/>
      <c r="AC67" s="41"/>
      <c r="AD67" s="41"/>
      <c r="AE67" s="38" t="str">
        <f aca="false">IF(C67="","","OK")</f>
        <v/>
      </c>
      <c r="AF67" s="9"/>
      <c r="AG67" s="9"/>
      <c r="AH67" s="9"/>
      <c r="AI67" s="9"/>
      <c r="AJ67" s="9"/>
      <c r="AK67" s="31"/>
      <c r="AL67" s="10" t="str">
        <f aca="false">IF(C67="","",IF(AND(N67="Approved",ISERROR(SEARCH("FAIL",AE67))),"Y","N"))</f>
        <v/>
      </c>
    </row>
    <row r="68" customFormat="false" ht="15" hidden="false" customHeight="false" outlineLevel="0" collapsed="false">
      <c r="A68" s="10" t="str">
        <f aca="false">IF(C68="","",IFERROR(VLOOKUP(C68,Lists!$BI$4:$BJ$20,2,0),"??")&amp;"-"&amp;UPPER(SUBSTITUTE(D68," ",""))&amp;IF(E68&lt;&gt;"","-SP"&amp;TEXT(E68*1000,"0"),"")&amp;IF(F68&lt;&gt;"","-H"&amp;TEXT(F68*1000,"0"),"")&amp;"-"&amp;M68)</f>
        <v/>
      </c>
      <c r="B68" s="10" t="str">
        <f aca="false">IF(C68="","",C68&amp;" - "&amp;D68&amp;IF(E68&lt;&gt;"",", span "&amp;E68&amp;" m","")&amp;IF(F68&lt;&gt;"",", H "&amp;F68&amp;" m","")&amp;IF(G68&lt;&gt;"",", W "&amp;G68&amp;" m",""))</f>
        <v/>
      </c>
      <c r="C68" s="9"/>
      <c r="D68" s="9"/>
      <c r="E68" s="43"/>
      <c r="F68" s="43"/>
      <c r="G68" s="43"/>
      <c r="H68" s="9"/>
      <c r="I68" s="9"/>
      <c r="J68" s="9"/>
      <c r="K68" s="9"/>
      <c r="L68" s="9"/>
      <c r="M68" s="9"/>
      <c r="N68" s="9"/>
      <c r="O68" s="9"/>
      <c r="P68" s="9"/>
      <c r="Q68" s="9"/>
      <c r="R68" s="10" t="str">
        <f aca="false">IF(A68="","",SG_Criteria!$B$6&amp;SG_Criteria!$B$13&amp;"\"&amp;A68&amp;"\")</f>
        <v/>
      </c>
      <c r="S68" s="10" t="str">
        <f aca="false">IF(A68="","",A68&amp;"_CAD.dwg")</f>
        <v/>
      </c>
      <c r="T68" s="10" t="str">
        <f aca="false">IF(A68="","",A68&amp;"_DWG.pdf")</f>
        <v/>
      </c>
      <c r="U68" s="10" t="str">
        <f aca="false">IF(A68="","",IF(Q68="Y",A68&amp;"_STAAD.std","n/a"))</f>
        <v/>
      </c>
      <c r="V68" s="10" t="str">
        <f aca="false">IF(A68="","",A68&amp;"_CALC.xlsx")</f>
        <v/>
      </c>
      <c r="W68" s="10" t="str">
        <f aca="false">IF(A68="","",A68&amp;"_CALC.pdf")</f>
        <v/>
      </c>
      <c r="X68" s="9"/>
      <c r="Y68" s="9"/>
      <c r="Z68" s="41"/>
      <c r="AA68" s="41"/>
      <c r="AB68" s="41"/>
      <c r="AC68" s="41"/>
      <c r="AD68" s="41"/>
      <c r="AE68" s="38" t="str">
        <f aca="false">IF(C68="","","OK")</f>
        <v/>
      </c>
      <c r="AF68" s="9"/>
      <c r="AG68" s="9"/>
      <c r="AH68" s="9"/>
      <c r="AI68" s="9"/>
      <c r="AJ68" s="9"/>
      <c r="AK68" s="31"/>
      <c r="AL68" s="10" t="str">
        <f aca="false">IF(C68="","",IF(AND(N68="Approved",ISERROR(SEARCH("FAIL",AE68))),"Y","N"))</f>
        <v/>
      </c>
    </row>
    <row r="69" customFormat="false" ht="15" hidden="false" customHeight="false" outlineLevel="0" collapsed="false">
      <c r="A69" s="10" t="str">
        <f aca="false">IF(C69="","",IFERROR(VLOOKUP(C69,Lists!$BI$4:$BJ$20,2,0),"??")&amp;"-"&amp;UPPER(SUBSTITUTE(D69," ",""))&amp;IF(E69&lt;&gt;"","-SP"&amp;TEXT(E69*1000,"0"),"")&amp;IF(F69&lt;&gt;"","-H"&amp;TEXT(F69*1000,"0"),"")&amp;"-"&amp;M69)</f>
        <v/>
      </c>
      <c r="B69" s="10" t="str">
        <f aca="false">IF(C69="","",C69&amp;" - "&amp;D69&amp;IF(E69&lt;&gt;"",", span "&amp;E69&amp;" m","")&amp;IF(F69&lt;&gt;"",", H "&amp;F69&amp;" m","")&amp;IF(G69&lt;&gt;"",", W "&amp;G69&amp;" m",""))</f>
        <v/>
      </c>
      <c r="C69" s="9"/>
      <c r="D69" s="9"/>
      <c r="E69" s="43"/>
      <c r="F69" s="43"/>
      <c r="G69" s="43"/>
      <c r="H69" s="9"/>
      <c r="I69" s="9"/>
      <c r="J69" s="9"/>
      <c r="K69" s="9"/>
      <c r="L69" s="9"/>
      <c r="M69" s="9"/>
      <c r="N69" s="9"/>
      <c r="O69" s="9"/>
      <c r="P69" s="9"/>
      <c r="Q69" s="9"/>
      <c r="R69" s="10" t="str">
        <f aca="false">IF(A69="","",SG_Criteria!$B$6&amp;SG_Criteria!$B$13&amp;"\"&amp;A69&amp;"\")</f>
        <v/>
      </c>
      <c r="S69" s="10" t="str">
        <f aca="false">IF(A69="","",A69&amp;"_CAD.dwg")</f>
        <v/>
      </c>
      <c r="T69" s="10" t="str">
        <f aca="false">IF(A69="","",A69&amp;"_DWG.pdf")</f>
        <v/>
      </c>
      <c r="U69" s="10" t="str">
        <f aca="false">IF(A69="","",IF(Q69="Y",A69&amp;"_STAAD.std","n/a"))</f>
        <v/>
      </c>
      <c r="V69" s="10" t="str">
        <f aca="false">IF(A69="","",A69&amp;"_CALC.xlsx")</f>
        <v/>
      </c>
      <c r="W69" s="10" t="str">
        <f aca="false">IF(A69="","",A69&amp;"_CALC.pdf")</f>
        <v/>
      </c>
      <c r="X69" s="9"/>
      <c r="Y69" s="9"/>
      <c r="Z69" s="41"/>
      <c r="AA69" s="41"/>
      <c r="AB69" s="41"/>
      <c r="AC69" s="41"/>
      <c r="AD69" s="41"/>
      <c r="AE69" s="38" t="str">
        <f aca="false">IF(C69="","","OK")</f>
        <v/>
      </c>
      <c r="AF69" s="9"/>
      <c r="AG69" s="9"/>
      <c r="AH69" s="9"/>
      <c r="AI69" s="9"/>
      <c r="AJ69" s="9"/>
      <c r="AK69" s="31"/>
      <c r="AL69" s="10" t="str">
        <f aca="false">IF(C69="","",IF(AND(N69="Approved",ISERROR(SEARCH("FAIL",AE69))),"Y","N"))</f>
        <v/>
      </c>
    </row>
    <row r="70" customFormat="false" ht="15" hidden="false" customHeight="false" outlineLevel="0" collapsed="false">
      <c r="A70" s="10" t="str">
        <f aca="false">IF(C70="","",IFERROR(VLOOKUP(C70,Lists!$BI$4:$BJ$20,2,0),"??")&amp;"-"&amp;UPPER(SUBSTITUTE(D70," ",""))&amp;IF(E70&lt;&gt;"","-SP"&amp;TEXT(E70*1000,"0"),"")&amp;IF(F70&lt;&gt;"","-H"&amp;TEXT(F70*1000,"0"),"")&amp;"-"&amp;M70)</f>
        <v/>
      </c>
      <c r="B70" s="10" t="str">
        <f aca="false">IF(C70="","",C70&amp;" - "&amp;D70&amp;IF(E70&lt;&gt;"",", span "&amp;E70&amp;" m","")&amp;IF(F70&lt;&gt;"",", H "&amp;F70&amp;" m","")&amp;IF(G70&lt;&gt;"",", W "&amp;G70&amp;" m",""))</f>
        <v/>
      </c>
      <c r="C70" s="9"/>
      <c r="D70" s="9"/>
      <c r="E70" s="43"/>
      <c r="F70" s="43"/>
      <c r="G70" s="43"/>
      <c r="H70" s="9"/>
      <c r="I70" s="9"/>
      <c r="J70" s="9"/>
      <c r="K70" s="9"/>
      <c r="L70" s="9"/>
      <c r="M70" s="9"/>
      <c r="N70" s="9"/>
      <c r="O70" s="9"/>
      <c r="P70" s="9"/>
      <c r="Q70" s="9"/>
      <c r="R70" s="10" t="str">
        <f aca="false">IF(A70="","",SG_Criteria!$B$6&amp;SG_Criteria!$B$13&amp;"\"&amp;A70&amp;"\")</f>
        <v/>
      </c>
      <c r="S70" s="10" t="str">
        <f aca="false">IF(A70="","",A70&amp;"_CAD.dwg")</f>
        <v/>
      </c>
      <c r="T70" s="10" t="str">
        <f aca="false">IF(A70="","",A70&amp;"_DWG.pdf")</f>
        <v/>
      </c>
      <c r="U70" s="10" t="str">
        <f aca="false">IF(A70="","",IF(Q70="Y",A70&amp;"_STAAD.std","n/a"))</f>
        <v/>
      </c>
      <c r="V70" s="10" t="str">
        <f aca="false">IF(A70="","",A70&amp;"_CALC.xlsx")</f>
        <v/>
      </c>
      <c r="W70" s="10" t="str">
        <f aca="false">IF(A70="","",A70&amp;"_CALC.pdf")</f>
        <v/>
      </c>
      <c r="X70" s="9"/>
      <c r="Y70" s="9"/>
      <c r="Z70" s="41"/>
      <c r="AA70" s="41"/>
      <c r="AB70" s="41"/>
      <c r="AC70" s="41"/>
      <c r="AD70" s="41"/>
      <c r="AE70" s="38" t="str">
        <f aca="false">IF(C70="","","OK")</f>
        <v/>
      </c>
      <c r="AF70" s="9"/>
      <c r="AG70" s="9"/>
      <c r="AH70" s="9"/>
      <c r="AI70" s="9"/>
      <c r="AJ70" s="9"/>
      <c r="AK70" s="31"/>
      <c r="AL70" s="10" t="str">
        <f aca="false">IF(C70="","",IF(AND(N70="Approved",ISERROR(SEARCH("FAIL",AE70))),"Y","N"))</f>
        <v/>
      </c>
    </row>
    <row r="71" customFormat="false" ht="15" hidden="false" customHeight="false" outlineLevel="0" collapsed="false">
      <c r="A71" s="10" t="str">
        <f aca="false">IF(C71="","",IFERROR(VLOOKUP(C71,Lists!$BI$4:$BJ$20,2,0),"??")&amp;"-"&amp;UPPER(SUBSTITUTE(D71," ",""))&amp;IF(E71&lt;&gt;"","-SP"&amp;TEXT(E71*1000,"0"),"")&amp;IF(F71&lt;&gt;"","-H"&amp;TEXT(F71*1000,"0"),"")&amp;"-"&amp;M71)</f>
        <v/>
      </c>
      <c r="B71" s="10" t="str">
        <f aca="false">IF(C71="","",C71&amp;" - "&amp;D71&amp;IF(E71&lt;&gt;"",", span "&amp;E71&amp;" m","")&amp;IF(F71&lt;&gt;"",", H "&amp;F71&amp;" m","")&amp;IF(G71&lt;&gt;"",", W "&amp;G71&amp;" m",""))</f>
        <v/>
      </c>
      <c r="C71" s="9"/>
      <c r="D71" s="9"/>
      <c r="E71" s="43"/>
      <c r="F71" s="43"/>
      <c r="G71" s="43"/>
      <c r="H71" s="9"/>
      <c r="I71" s="9"/>
      <c r="J71" s="9"/>
      <c r="K71" s="9"/>
      <c r="L71" s="9"/>
      <c r="M71" s="9"/>
      <c r="N71" s="9"/>
      <c r="O71" s="9"/>
      <c r="P71" s="9"/>
      <c r="Q71" s="9"/>
      <c r="R71" s="10" t="str">
        <f aca="false">IF(A71="","",SG_Criteria!$B$6&amp;SG_Criteria!$B$13&amp;"\"&amp;A71&amp;"\")</f>
        <v/>
      </c>
      <c r="S71" s="10" t="str">
        <f aca="false">IF(A71="","",A71&amp;"_CAD.dwg")</f>
        <v/>
      </c>
      <c r="T71" s="10" t="str">
        <f aca="false">IF(A71="","",A71&amp;"_DWG.pdf")</f>
        <v/>
      </c>
      <c r="U71" s="10" t="str">
        <f aca="false">IF(A71="","",IF(Q71="Y",A71&amp;"_STAAD.std","n/a"))</f>
        <v/>
      </c>
      <c r="V71" s="10" t="str">
        <f aca="false">IF(A71="","",A71&amp;"_CALC.xlsx")</f>
        <v/>
      </c>
      <c r="W71" s="10" t="str">
        <f aca="false">IF(A71="","",A71&amp;"_CALC.pdf")</f>
        <v/>
      </c>
      <c r="X71" s="9"/>
      <c r="Y71" s="9"/>
      <c r="Z71" s="41"/>
      <c r="AA71" s="41"/>
      <c r="AB71" s="41"/>
      <c r="AC71" s="41"/>
      <c r="AD71" s="41"/>
      <c r="AE71" s="38" t="str">
        <f aca="false">IF(C71="","","OK")</f>
        <v/>
      </c>
      <c r="AF71" s="9"/>
      <c r="AG71" s="9"/>
      <c r="AH71" s="9"/>
      <c r="AI71" s="9"/>
      <c r="AJ71" s="9"/>
      <c r="AK71" s="31"/>
      <c r="AL71" s="10" t="str">
        <f aca="false">IF(C71="","",IF(AND(N71="Approved",ISERROR(SEARCH("FAIL",AE71))),"Y","N"))</f>
        <v/>
      </c>
    </row>
    <row r="72" customFormat="false" ht="15" hidden="false" customHeight="false" outlineLevel="0" collapsed="false">
      <c r="A72" s="10" t="str">
        <f aca="false">IF(C72="","",IFERROR(VLOOKUP(C72,Lists!$BI$4:$BJ$20,2,0),"??")&amp;"-"&amp;UPPER(SUBSTITUTE(D72," ",""))&amp;IF(E72&lt;&gt;"","-SP"&amp;TEXT(E72*1000,"0"),"")&amp;IF(F72&lt;&gt;"","-H"&amp;TEXT(F72*1000,"0"),"")&amp;"-"&amp;M72)</f>
        <v/>
      </c>
      <c r="B72" s="10" t="str">
        <f aca="false">IF(C72="","",C72&amp;" - "&amp;D72&amp;IF(E72&lt;&gt;"",", span "&amp;E72&amp;" m","")&amp;IF(F72&lt;&gt;"",", H "&amp;F72&amp;" m","")&amp;IF(G72&lt;&gt;"",", W "&amp;G72&amp;" m",""))</f>
        <v/>
      </c>
      <c r="C72" s="9"/>
      <c r="D72" s="9"/>
      <c r="E72" s="43"/>
      <c r="F72" s="43"/>
      <c r="G72" s="43"/>
      <c r="H72" s="9"/>
      <c r="I72" s="9"/>
      <c r="J72" s="9"/>
      <c r="K72" s="9"/>
      <c r="L72" s="9"/>
      <c r="M72" s="9"/>
      <c r="N72" s="9"/>
      <c r="O72" s="9"/>
      <c r="P72" s="9"/>
      <c r="Q72" s="9"/>
      <c r="R72" s="10" t="str">
        <f aca="false">IF(A72="","",SG_Criteria!$B$6&amp;SG_Criteria!$B$13&amp;"\"&amp;A72&amp;"\")</f>
        <v/>
      </c>
      <c r="S72" s="10" t="str">
        <f aca="false">IF(A72="","",A72&amp;"_CAD.dwg")</f>
        <v/>
      </c>
      <c r="T72" s="10" t="str">
        <f aca="false">IF(A72="","",A72&amp;"_DWG.pdf")</f>
        <v/>
      </c>
      <c r="U72" s="10" t="str">
        <f aca="false">IF(A72="","",IF(Q72="Y",A72&amp;"_STAAD.std","n/a"))</f>
        <v/>
      </c>
      <c r="V72" s="10" t="str">
        <f aca="false">IF(A72="","",A72&amp;"_CALC.xlsx")</f>
        <v/>
      </c>
      <c r="W72" s="10" t="str">
        <f aca="false">IF(A72="","",A72&amp;"_CALC.pdf")</f>
        <v/>
      </c>
      <c r="X72" s="9"/>
      <c r="Y72" s="9"/>
      <c r="Z72" s="41"/>
      <c r="AA72" s="41"/>
      <c r="AB72" s="41"/>
      <c r="AC72" s="41"/>
      <c r="AD72" s="41"/>
      <c r="AE72" s="38" t="str">
        <f aca="false">IF(C72="","","OK")</f>
        <v/>
      </c>
      <c r="AF72" s="9"/>
      <c r="AG72" s="9"/>
      <c r="AH72" s="9"/>
      <c r="AI72" s="9"/>
      <c r="AJ72" s="9"/>
      <c r="AK72" s="31"/>
      <c r="AL72" s="10" t="str">
        <f aca="false">IF(C72="","",IF(AND(N72="Approved",ISERROR(SEARCH("FAIL",AE72))),"Y","N"))</f>
        <v/>
      </c>
    </row>
    <row r="73" customFormat="false" ht="15" hidden="false" customHeight="false" outlineLevel="0" collapsed="false">
      <c r="A73" s="10" t="str">
        <f aca="false">IF(C73="","",IFERROR(VLOOKUP(C73,Lists!$BI$4:$BJ$20,2,0),"??")&amp;"-"&amp;UPPER(SUBSTITUTE(D73," ",""))&amp;IF(E73&lt;&gt;"","-SP"&amp;TEXT(E73*1000,"0"),"")&amp;IF(F73&lt;&gt;"","-H"&amp;TEXT(F73*1000,"0"),"")&amp;"-"&amp;M73)</f>
        <v/>
      </c>
      <c r="B73" s="10" t="str">
        <f aca="false">IF(C73="","",C73&amp;" - "&amp;D73&amp;IF(E73&lt;&gt;"",", span "&amp;E73&amp;" m","")&amp;IF(F73&lt;&gt;"",", H "&amp;F73&amp;" m","")&amp;IF(G73&lt;&gt;"",", W "&amp;G73&amp;" m",""))</f>
        <v/>
      </c>
      <c r="C73" s="9"/>
      <c r="D73" s="9"/>
      <c r="E73" s="43"/>
      <c r="F73" s="43"/>
      <c r="G73" s="43"/>
      <c r="H73" s="9"/>
      <c r="I73" s="9"/>
      <c r="J73" s="9"/>
      <c r="K73" s="9"/>
      <c r="L73" s="9"/>
      <c r="M73" s="9"/>
      <c r="N73" s="9"/>
      <c r="O73" s="9"/>
      <c r="P73" s="9"/>
      <c r="Q73" s="9"/>
      <c r="R73" s="10" t="str">
        <f aca="false">IF(A73="","",SG_Criteria!$B$6&amp;SG_Criteria!$B$13&amp;"\"&amp;A73&amp;"\")</f>
        <v/>
      </c>
      <c r="S73" s="10" t="str">
        <f aca="false">IF(A73="","",A73&amp;"_CAD.dwg")</f>
        <v/>
      </c>
      <c r="T73" s="10" t="str">
        <f aca="false">IF(A73="","",A73&amp;"_DWG.pdf")</f>
        <v/>
      </c>
      <c r="U73" s="10" t="str">
        <f aca="false">IF(A73="","",IF(Q73="Y",A73&amp;"_STAAD.std","n/a"))</f>
        <v/>
      </c>
      <c r="V73" s="10" t="str">
        <f aca="false">IF(A73="","",A73&amp;"_CALC.xlsx")</f>
        <v/>
      </c>
      <c r="W73" s="10" t="str">
        <f aca="false">IF(A73="","",A73&amp;"_CALC.pdf")</f>
        <v/>
      </c>
      <c r="X73" s="9"/>
      <c r="Y73" s="9"/>
      <c r="Z73" s="41"/>
      <c r="AA73" s="41"/>
      <c r="AB73" s="41"/>
      <c r="AC73" s="41"/>
      <c r="AD73" s="41"/>
      <c r="AE73" s="38" t="str">
        <f aca="false">IF(C73="","","OK")</f>
        <v/>
      </c>
      <c r="AF73" s="9"/>
      <c r="AG73" s="9"/>
      <c r="AH73" s="9"/>
      <c r="AI73" s="9"/>
      <c r="AJ73" s="9"/>
      <c r="AK73" s="31"/>
      <c r="AL73" s="10" t="str">
        <f aca="false">IF(C73="","",IF(AND(N73="Approved",ISERROR(SEARCH("FAIL",AE73))),"Y","N"))</f>
        <v/>
      </c>
    </row>
    <row r="74" customFormat="false" ht="15" hidden="false" customHeight="false" outlineLevel="0" collapsed="false">
      <c r="A74" s="10" t="str">
        <f aca="false">IF(C74="","",IFERROR(VLOOKUP(C74,Lists!$BI$4:$BJ$20,2,0),"??")&amp;"-"&amp;UPPER(SUBSTITUTE(D74," ",""))&amp;IF(E74&lt;&gt;"","-SP"&amp;TEXT(E74*1000,"0"),"")&amp;IF(F74&lt;&gt;"","-H"&amp;TEXT(F74*1000,"0"),"")&amp;"-"&amp;M74)</f>
        <v/>
      </c>
      <c r="B74" s="10" t="str">
        <f aca="false">IF(C74="","",C74&amp;" - "&amp;D74&amp;IF(E74&lt;&gt;"",", span "&amp;E74&amp;" m","")&amp;IF(F74&lt;&gt;"",", H "&amp;F74&amp;" m","")&amp;IF(G74&lt;&gt;"",", W "&amp;G74&amp;" m",""))</f>
        <v/>
      </c>
      <c r="C74" s="9"/>
      <c r="D74" s="9"/>
      <c r="E74" s="43"/>
      <c r="F74" s="43"/>
      <c r="G74" s="43"/>
      <c r="H74" s="9"/>
      <c r="I74" s="9"/>
      <c r="J74" s="9"/>
      <c r="K74" s="9"/>
      <c r="L74" s="9"/>
      <c r="M74" s="9"/>
      <c r="N74" s="9"/>
      <c r="O74" s="9"/>
      <c r="P74" s="9"/>
      <c r="Q74" s="9"/>
      <c r="R74" s="10" t="str">
        <f aca="false">IF(A74="","",SG_Criteria!$B$6&amp;SG_Criteria!$B$13&amp;"\"&amp;A74&amp;"\")</f>
        <v/>
      </c>
      <c r="S74" s="10" t="str">
        <f aca="false">IF(A74="","",A74&amp;"_CAD.dwg")</f>
        <v/>
      </c>
      <c r="T74" s="10" t="str">
        <f aca="false">IF(A74="","",A74&amp;"_DWG.pdf")</f>
        <v/>
      </c>
      <c r="U74" s="10" t="str">
        <f aca="false">IF(A74="","",IF(Q74="Y",A74&amp;"_STAAD.std","n/a"))</f>
        <v/>
      </c>
      <c r="V74" s="10" t="str">
        <f aca="false">IF(A74="","",A74&amp;"_CALC.xlsx")</f>
        <v/>
      </c>
      <c r="W74" s="10" t="str">
        <f aca="false">IF(A74="","",A74&amp;"_CALC.pdf")</f>
        <v/>
      </c>
      <c r="X74" s="9"/>
      <c r="Y74" s="9"/>
      <c r="Z74" s="41"/>
      <c r="AA74" s="41"/>
      <c r="AB74" s="41"/>
      <c r="AC74" s="41"/>
      <c r="AD74" s="41"/>
      <c r="AE74" s="38" t="str">
        <f aca="false">IF(C74="","","OK")</f>
        <v/>
      </c>
      <c r="AF74" s="9"/>
      <c r="AG74" s="9"/>
      <c r="AH74" s="9"/>
      <c r="AI74" s="9"/>
      <c r="AJ74" s="9"/>
      <c r="AK74" s="31"/>
      <c r="AL74" s="10" t="str">
        <f aca="false">IF(C74="","",IF(AND(N74="Approved",ISERROR(SEARCH("FAIL",AE74))),"Y","N"))</f>
        <v/>
      </c>
    </row>
    <row r="75" customFormat="false" ht="15" hidden="false" customHeight="false" outlineLevel="0" collapsed="false">
      <c r="A75" s="10" t="str">
        <f aca="false">IF(C75="","",IFERROR(VLOOKUP(C75,Lists!$BI$4:$BJ$20,2,0),"??")&amp;"-"&amp;UPPER(SUBSTITUTE(D75," ",""))&amp;IF(E75&lt;&gt;"","-SP"&amp;TEXT(E75*1000,"0"),"")&amp;IF(F75&lt;&gt;"","-H"&amp;TEXT(F75*1000,"0"),"")&amp;"-"&amp;M75)</f>
        <v/>
      </c>
      <c r="B75" s="10" t="str">
        <f aca="false">IF(C75="","",C75&amp;" - "&amp;D75&amp;IF(E75&lt;&gt;"",", span "&amp;E75&amp;" m","")&amp;IF(F75&lt;&gt;"",", H "&amp;F75&amp;" m","")&amp;IF(G75&lt;&gt;"",", W "&amp;G75&amp;" m",""))</f>
        <v/>
      </c>
      <c r="C75" s="9"/>
      <c r="D75" s="9"/>
      <c r="E75" s="43"/>
      <c r="F75" s="43"/>
      <c r="G75" s="43"/>
      <c r="H75" s="9"/>
      <c r="I75" s="9"/>
      <c r="J75" s="9"/>
      <c r="K75" s="9"/>
      <c r="L75" s="9"/>
      <c r="M75" s="9"/>
      <c r="N75" s="9"/>
      <c r="O75" s="9"/>
      <c r="P75" s="9"/>
      <c r="Q75" s="9"/>
      <c r="R75" s="10" t="str">
        <f aca="false">IF(A75="","",SG_Criteria!$B$6&amp;SG_Criteria!$B$13&amp;"\"&amp;A75&amp;"\")</f>
        <v/>
      </c>
      <c r="S75" s="10" t="str">
        <f aca="false">IF(A75="","",A75&amp;"_CAD.dwg")</f>
        <v/>
      </c>
      <c r="T75" s="10" t="str">
        <f aca="false">IF(A75="","",A75&amp;"_DWG.pdf")</f>
        <v/>
      </c>
      <c r="U75" s="10" t="str">
        <f aca="false">IF(A75="","",IF(Q75="Y",A75&amp;"_STAAD.std","n/a"))</f>
        <v/>
      </c>
      <c r="V75" s="10" t="str">
        <f aca="false">IF(A75="","",A75&amp;"_CALC.xlsx")</f>
        <v/>
      </c>
      <c r="W75" s="10" t="str">
        <f aca="false">IF(A75="","",A75&amp;"_CALC.pdf")</f>
        <v/>
      </c>
      <c r="X75" s="9"/>
      <c r="Y75" s="9"/>
      <c r="Z75" s="41"/>
      <c r="AA75" s="41"/>
      <c r="AB75" s="41"/>
      <c r="AC75" s="41"/>
      <c r="AD75" s="41"/>
      <c r="AE75" s="38" t="str">
        <f aca="false">IF(C75="","","OK")</f>
        <v/>
      </c>
      <c r="AF75" s="9"/>
      <c r="AG75" s="9"/>
      <c r="AH75" s="9"/>
      <c r="AI75" s="9"/>
      <c r="AJ75" s="9"/>
      <c r="AK75" s="31"/>
      <c r="AL75" s="10" t="str">
        <f aca="false">IF(C75="","",IF(AND(N75="Approved",ISERROR(SEARCH("FAIL",AE75))),"Y","N"))</f>
        <v/>
      </c>
    </row>
    <row r="76" customFormat="false" ht="15" hidden="false" customHeight="false" outlineLevel="0" collapsed="false">
      <c r="A76" s="10" t="str">
        <f aca="false">IF(C76="","",IFERROR(VLOOKUP(C76,Lists!$BI$4:$BJ$20,2,0),"??")&amp;"-"&amp;UPPER(SUBSTITUTE(D76," ",""))&amp;IF(E76&lt;&gt;"","-SP"&amp;TEXT(E76*1000,"0"),"")&amp;IF(F76&lt;&gt;"","-H"&amp;TEXT(F76*1000,"0"),"")&amp;"-"&amp;M76)</f>
        <v/>
      </c>
      <c r="B76" s="10" t="str">
        <f aca="false">IF(C76="","",C76&amp;" - "&amp;D76&amp;IF(E76&lt;&gt;"",", span "&amp;E76&amp;" m","")&amp;IF(F76&lt;&gt;"",", H "&amp;F76&amp;" m","")&amp;IF(G76&lt;&gt;"",", W "&amp;G76&amp;" m",""))</f>
        <v/>
      </c>
      <c r="C76" s="9"/>
      <c r="D76" s="9"/>
      <c r="E76" s="43"/>
      <c r="F76" s="43"/>
      <c r="G76" s="43"/>
      <c r="H76" s="9"/>
      <c r="I76" s="9"/>
      <c r="J76" s="9"/>
      <c r="K76" s="9"/>
      <c r="L76" s="9"/>
      <c r="M76" s="9"/>
      <c r="N76" s="9"/>
      <c r="O76" s="9"/>
      <c r="P76" s="9"/>
      <c r="Q76" s="9"/>
      <c r="R76" s="10" t="str">
        <f aca="false">IF(A76="","",SG_Criteria!$B$6&amp;SG_Criteria!$B$13&amp;"\"&amp;A76&amp;"\")</f>
        <v/>
      </c>
      <c r="S76" s="10" t="str">
        <f aca="false">IF(A76="","",A76&amp;"_CAD.dwg")</f>
        <v/>
      </c>
      <c r="T76" s="10" t="str">
        <f aca="false">IF(A76="","",A76&amp;"_DWG.pdf")</f>
        <v/>
      </c>
      <c r="U76" s="10" t="str">
        <f aca="false">IF(A76="","",IF(Q76="Y",A76&amp;"_STAAD.std","n/a"))</f>
        <v/>
      </c>
      <c r="V76" s="10" t="str">
        <f aca="false">IF(A76="","",A76&amp;"_CALC.xlsx")</f>
        <v/>
      </c>
      <c r="W76" s="10" t="str">
        <f aca="false">IF(A76="","",A76&amp;"_CALC.pdf")</f>
        <v/>
      </c>
      <c r="X76" s="9"/>
      <c r="Y76" s="9"/>
      <c r="Z76" s="41"/>
      <c r="AA76" s="41"/>
      <c r="AB76" s="41"/>
      <c r="AC76" s="41"/>
      <c r="AD76" s="41"/>
      <c r="AE76" s="38" t="str">
        <f aca="false">IF(C76="","","OK")</f>
        <v/>
      </c>
      <c r="AF76" s="9"/>
      <c r="AG76" s="9"/>
      <c r="AH76" s="9"/>
      <c r="AI76" s="9"/>
      <c r="AJ76" s="9"/>
      <c r="AK76" s="31"/>
      <c r="AL76" s="10" t="str">
        <f aca="false">IF(C76="","",IF(AND(N76="Approved",ISERROR(SEARCH("FAIL",AE76))),"Y","N"))</f>
        <v/>
      </c>
    </row>
    <row r="77" customFormat="false" ht="15" hidden="false" customHeight="false" outlineLevel="0" collapsed="false">
      <c r="A77" s="10" t="str">
        <f aca="false">IF(C77="","",IFERROR(VLOOKUP(C77,Lists!$BI$4:$BJ$20,2,0),"??")&amp;"-"&amp;UPPER(SUBSTITUTE(D77," ",""))&amp;IF(E77&lt;&gt;"","-SP"&amp;TEXT(E77*1000,"0"),"")&amp;IF(F77&lt;&gt;"","-H"&amp;TEXT(F77*1000,"0"),"")&amp;"-"&amp;M77)</f>
        <v/>
      </c>
      <c r="B77" s="10" t="str">
        <f aca="false">IF(C77="","",C77&amp;" - "&amp;D77&amp;IF(E77&lt;&gt;"",", span "&amp;E77&amp;" m","")&amp;IF(F77&lt;&gt;"",", H "&amp;F77&amp;" m","")&amp;IF(G77&lt;&gt;"",", W "&amp;G77&amp;" m",""))</f>
        <v/>
      </c>
      <c r="C77" s="9"/>
      <c r="D77" s="9"/>
      <c r="E77" s="43"/>
      <c r="F77" s="43"/>
      <c r="G77" s="43"/>
      <c r="H77" s="9"/>
      <c r="I77" s="9"/>
      <c r="J77" s="9"/>
      <c r="K77" s="9"/>
      <c r="L77" s="9"/>
      <c r="M77" s="9"/>
      <c r="N77" s="9"/>
      <c r="O77" s="9"/>
      <c r="P77" s="9"/>
      <c r="Q77" s="9"/>
      <c r="R77" s="10" t="str">
        <f aca="false">IF(A77="","",SG_Criteria!$B$6&amp;SG_Criteria!$B$13&amp;"\"&amp;A77&amp;"\")</f>
        <v/>
      </c>
      <c r="S77" s="10" t="str">
        <f aca="false">IF(A77="","",A77&amp;"_CAD.dwg")</f>
        <v/>
      </c>
      <c r="T77" s="10" t="str">
        <f aca="false">IF(A77="","",A77&amp;"_DWG.pdf")</f>
        <v/>
      </c>
      <c r="U77" s="10" t="str">
        <f aca="false">IF(A77="","",IF(Q77="Y",A77&amp;"_STAAD.std","n/a"))</f>
        <v/>
      </c>
      <c r="V77" s="10" t="str">
        <f aca="false">IF(A77="","",A77&amp;"_CALC.xlsx")</f>
        <v/>
      </c>
      <c r="W77" s="10" t="str">
        <f aca="false">IF(A77="","",A77&amp;"_CALC.pdf")</f>
        <v/>
      </c>
      <c r="X77" s="9"/>
      <c r="Y77" s="9"/>
      <c r="Z77" s="41"/>
      <c r="AA77" s="41"/>
      <c r="AB77" s="41"/>
      <c r="AC77" s="41"/>
      <c r="AD77" s="41"/>
      <c r="AE77" s="38" t="str">
        <f aca="false">IF(C77="","","OK")</f>
        <v/>
      </c>
      <c r="AF77" s="9"/>
      <c r="AG77" s="9"/>
      <c r="AH77" s="9"/>
      <c r="AI77" s="9"/>
      <c r="AJ77" s="9"/>
      <c r="AK77" s="31"/>
      <c r="AL77" s="10" t="str">
        <f aca="false">IF(C77="","",IF(AND(N77="Approved",ISERROR(SEARCH("FAIL",AE77))),"Y","N"))</f>
        <v/>
      </c>
    </row>
    <row r="78" customFormat="false" ht="15" hidden="false" customHeight="false" outlineLevel="0" collapsed="false">
      <c r="A78" s="10" t="str">
        <f aca="false">IF(C78="","",IFERROR(VLOOKUP(C78,Lists!$BI$4:$BJ$20,2,0),"??")&amp;"-"&amp;UPPER(SUBSTITUTE(D78," ",""))&amp;IF(E78&lt;&gt;"","-SP"&amp;TEXT(E78*1000,"0"),"")&amp;IF(F78&lt;&gt;"","-H"&amp;TEXT(F78*1000,"0"),"")&amp;"-"&amp;M78)</f>
        <v/>
      </c>
      <c r="B78" s="10" t="str">
        <f aca="false">IF(C78="","",C78&amp;" - "&amp;D78&amp;IF(E78&lt;&gt;"",", span "&amp;E78&amp;" m","")&amp;IF(F78&lt;&gt;"",", H "&amp;F78&amp;" m","")&amp;IF(G78&lt;&gt;"",", W "&amp;G78&amp;" m",""))</f>
        <v/>
      </c>
      <c r="C78" s="9"/>
      <c r="D78" s="9"/>
      <c r="E78" s="43"/>
      <c r="F78" s="43"/>
      <c r="G78" s="43"/>
      <c r="H78" s="9"/>
      <c r="I78" s="9"/>
      <c r="J78" s="9"/>
      <c r="K78" s="9"/>
      <c r="L78" s="9"/>
      <c r="M78" s="9"/>
      <c r="N78" s="9"/>
      <c r="O78" s="9"/>
      <c r="P78" s="9"/>
      <c r="Q78" s="9"/>
      <c r="R78" s="10" t="str">
        <f aca="false">IF(A78="","",SG_Criteria!$B$6&amp;SG_Criteria!$B$13&amp;"\"&amp;A78&amp;"\")</f>
        <v/>
      </c>
      <c r="S78" s="10" t="str">
        <f aca="false">IF(A78="","",A78&amp;"_CAD.dwg")</f>
        <v/>
      </c>
      <c r="T78" s="10" t="str">
        <f aca="false">IF(A78="","",A78&amp;"_DWG.pdf")</f>
        <v/>
      </c>
      <c r="U78" s="10" t="str">
        <f aca="false">IF(A78="","",IF(Q78="Y",A78&amp;"_STAAD.std","n/a"))</f>
        <v/>
      </c>
      <c r="V78" s="10" t="str">
        <f aca="false">IF(A78="","",A78&amp;"_CALC.xlsx")</f>
        <v/>
      </c>
      <c r="W78" s="10" t="str">
        <f aca="false">IF(A78="","",A78&amp;"_CALC.pdf")</f>
        <v/>
      </c>
      <c r="X78" s="9"/>
      <c r="Y78" s="9"/>
      <c r="Z78" s="41"/>
      <c r="AA78" s="41"/>
      <c r="AB78" s="41"/>
      <c r="AC78" s="41"/>
      <c r="AD78" s="41"/>
      <c r="AE78" s="38" t="str">
        <f aca="false">IF(C78="","","OK")</f>
        <v/>
      </c>
      <c r="AF78" s="9"/>
      <c r="AG78" s="9"/>
      <c r="AH78" s="9"/>
      <c r="AI78" s="9"/>
      <c r="AJ78" s="9"/>
      <c r="AK78" s="31"/>
      <c r="AL78" s="10" t="str">
        <f aca="false">IF(C78="","",IF(AND(N78="Approved",ISERROR(SEARCH("FAIL",AE78))),"Y","N"))</f>
        <v/>
      </c>
    </row>
    <row r="79" customFormat="false" ht="15" hidden="false" customHeight="false" outlineLevel="0" collapsed="false">
      <c r="A79" s="10" t="str">
        <f aca="false">IF(C79="","",IFERROR(VLOOKUP(C79,Lists!$BI$4:$BJ$20,2,0),"??")&amp;"-"&amp;UPPER(SUBSTITUTE(D79," ",""))&amp;IF(E79&lt;&gt;"","-SP"&amp;TEXT(E79*1000,"0"),"")&amp;IF(F79&lt;&gt;"","-H"&amp;TEXT(F79*1000,"0"),"")&amp;"-"&amp;M79)</f>
        <v/>
      </c>
      <c r="B79" s="10" t="str">
        <f aca="false">IF(C79="","",C79&amp;" - "&amp;D79&amp;IF(E79&lt;&gt;"",", span "&amp;E79&amp;" m","")&amp;IF(F79&lt;&gt;"",", H "&amp;F79&amp;" m","")&amp;IF(G79&lt;&gt;"",", W "&amp;G79&amp;" m",""))</f>
        <v/>
      </c>
      <c r="C79" s="9"/>
      <c r="D79" s="9"/>
      <c r="E79" s="43"/>
      <c r="F79" s="43"/>
      <c r="G79" s="43"/>
      <c r="H79" s="9"/>
      <c r="I79" s="9"/>
      <c r="J79" s="9"/>
      <c r="K79" s="9"/>
      <c r="L79" s="9"/>
      <c r="M79" s="9"/>
      <c r="N79" s="9"/>
      <c r="O79" s="9"/>
      <c r="P79" s="9"/>
      <c r="Q79" s="9"/>
      <c r="R79" s="10" t="str">
        <f aca="false">IF(A79="","",SG_Criteria!$B$6&amp;SG_Criteria!$B$13&amp;"\"&amp;A79&amp;"\")</f>
        <v/>
      </c>
      <c r="S79" s="10" t="str">
        <f aca="false">IF(A79="","",A79&amp;"_CAD.dwg")</f>
        <v/>
      </c>
      <c r="T79" s="10" t="str">
        <f aca="false">IF(A79="","",A79&amp;"_DWG.pdf")</f>
        <v/>
      </c>
      <c r="U79" s="10" t="str">
        <f aca="false">IF(A79="","",IF(Q79="Y",A79&amp;"_STAAD.std","n/a"))</f>
        <v/>
      </c>
      <c r="V79" s="10" t="str">
        <f aca="false">IF(A79="","",A79&amp;"_CALC.xlsx")</f>
        <v/>
      </c>
      <c r="W79" s="10" t="str">
        <f aca="false">IF(A79="","",A79&amp;"_CALC.pdf")</f>
        <v/>
      </c>
      <c r="X79" s="9"/>
      <c r="Y79" s="9"/>
      <c r="Z79" s="41"/>
      <c r="AA79" s="41"/>
      <c r="AB79" s="41"/>
      <c r="AC79" s="41"/>
      <c r="AD79" s="41"/>
      <c r="AE79" s="38" t="str">
        <f aca="false">IF(C79="","","OK")</f>
        <v/>
      </c>
      <c r="AF79" s="9"/>
      <c r="AG79" s="9"/>
      <c r="AH79" s="9"/>
      <c r="AI79" s="9"/>
      <c r="AJ79" s="9"/>
      <c r="AK79" s="31"/>
      <c r="AL79" s="10" t="str">
        <f aca="false">IF(C79="","",IF(AND(N79="Approved",ISERROR(SEARCH("FAIL",AE79))),"Y","N"))</f>
        <v/>
      </c>
    </row>
    <row r="80" customFormat="false" ht="15" hidden="false" customHeight="false" outlineLevel="0" collapsed="false">
      <c r="A80" s="10" t="str">
        <f aca="false">IF(C80="","",IFERROR(VLOOKUP(C80,Lists!$BI$4:$BJ$20,2,0),"??")&amp;"-"&amp;UPPER(SUBSTITUTE(D80," ",""))&amp;IF(E80&lt;&gt;"","-SP"&amp;TEXT(E80*1000,"0"),"")&amp;IF(F80&lt;&gt;"","-H"&amp;TEXT(F80*1000,"0"),"")&amp;"-"&amp;M80)</f>
        <v/>
      </c>
      <c r="B80" s="10" t="str">
        <f aca="false">IF(C80="","",C80&amp;" - "&amp;D80&amp;IF(E80&lt;&gt;"",", span "&amp;E80&amp;" m","")&amp;IF(F80&lt;&gt;"",", H "&amp;F80&amp;" m","")&amp;IF(G80&lt;&gt;"",", W "&amp;G80&amp;" m",""))</f>
        <v/>
      </c>
      <c r="C80" s="9"/>
      <c r="D80" s="9"/>
      <c r="E80" s="43"/>
      <c r="F80" s="43"/>
      <c r="G80" s="43"/>
      <c r="H80" s="9"/>
      <c r="I80" s="9"/>
      <c r="J80" s="9"/>
      <c r="K80" s="9"/>
      <c r="L80" s="9"/>
      <c r="M80" s="9"/>
      <c r="N80" s="9"/>
      <c r="O80" s="9"/>
      <c r="P80" s="9"/>
      <c r="Q80" s="9"/>
      <c r="R80" s="10" t="str">
        <f aca="false">IF(A80="","",SG_Criteria!$B$6&amp;SG_Criteria!$B$13&amp;"\"&amp;A80&amp;"\")</f>
        <v/>
      </c>
      <c r="S80" s="10" t="str">
        <f aca="false">IF(A80="","",A80&amp;"_CAD.dwg")</f>
        <v/>
      </c>
      <c r="T80" s="10" t="str">
        <f aca="false">IF(A80="","",A80&amp;"_DWG.pdf")</f>
        <v/>
      </c>
      <c r="U80" s="10" t="str">
        <f aca="false">IF(A80="","",IF(Q80="Y",A80&amp;"_STAAD.std","n/a"))</f>
        <v/>
      </c>
      <c r="V80" s="10" t="str">
        <f aca="false">IF(A80="","",A80&amp;"_CALC.xlsx")</f>
        <v/>
      </c>
      <c r="W80" s="10" t="str">
        <f aca="false">IF(A80="","",A80&amp;"_CALC.pdf")</f>
        <v/>
      </c>
      <c r="X80" s="9"/>
      <c r="Y80" s="9"/>
      <c r="Z80" s="41"/>
      <c r="AA80" s="41"/>
      <c r="AB80" s="41"/>
      <c r="AC80" s="41"/>
      <c r="AD80" s="41"/>
      <c r="AE80" s="38" t="str">
        <f aca="false">IF(C80="","","OK")</f>
        <v/>
      </c>
      <c r="AF80" s="9"/>
      <c r="AG80" s="9"/>
      <c r="AH80" s="9"/>
      <c r="AI80" s="9"/>
      <c r="AJ80" s="9"/>
      <c r="AK80" s="31"/>
      <c r="AL80" s="10" t="str">
        <f aca="false">IF(C80="","",IF(AND(N80="Approved",ISERROR(SEARCH("FAIL",AE80))),"Y","N"))</f>
        <v/>
      </c>
    </row>
    <row r="81" customFormat="false" ht="15" hidden="false" customHeight="false" outlineLevel="0" collapsed="false">
      <c r="A81" s="10" t="str">
        <f aca="false">IF(C81="","",IFERROR(VLOOKUP(C81,Lists!$BI$4:$BJ$20,2,0),"??")&amp;"-"&amp;UPPER(SUBSTITUTE(D81," ",""))&amp;IF(E81&lt;&gt;"","-SP"&amp;TEXT(E81*1000,"0"),"")&amp;IF(F81&lt;&gt;"","-H"&amp;TEXT(F81*1000,"0"),"")&amp;"-"&amp;M81)</f>
        <v/>
      </c>
      <c r="B81" s="10" t="str">
        <f aca="false">IF(C81="","",C81&amp;" - "&amp;D81&amp;IF(E81&lt;&gt;"",", span "&amp;E81&amp;" m","")&amp;IF(F81&lt;&gt;"",", H "&amp;F81&amp;" m","")&amp;IF(G81&lt;&gt;"",", W "&amp;G81&amp;" m",""))</f>
        <v/>
      </c>
      <c r="C81" s="9"/>
      <c r="D81" s="9"/>
      <c r="E81" s="43"/>
      <c r="F81" s="43"/>
      <c r="G81" s="43"/>
      <c r="H81" s="9"/>
      <c r="I81" s="9"/>
      <c r="J81" s="9"/>
      <c r="K81" s="9"/>
      <c r="L81" s="9"/>
      <c r="M81" s="9"/>
      <c r="N81" s="9"/>
      <c r="O81" s="9"/>
      <c r="P81" s="9"/>
      <c r="Q81" s="9"/>
      <c r="R81" s="10" t="str">
        <f aca="false">IF(A81="","",SG_Criteria!$B$6&amp;SG_Criteria!$B$13&amp;"\"&amp;A81&amp;"\")</f>
        <v/>
      </c>
      <c r="S81" s="10" t="str">
        <f aca="false">IF(A81="","",A81&amp;"_CAD.dwg")</f>
        <v/>
      </c>
      <c r="T81" s="10" t="str">
        <f aca="false">IF(A81="","",A81&amp;"_DWG.pdf")</f>
        <v/>
      </c>
      <c r="U81" s="10" t="str">
        <f aca="false">IF(A81="","",IF(Q81="Y",A81&amp;"_STAAD.std","n/a"))</f>
        <v/>
      </c>
      <c r="V81" s="10" t="str">
        <f aca="false">IF(A81="","",A81&amp;"_CALC.xlsx")</f>
        <v/>
      </c>
      <c r="W81" s="10" t="str">
        <f aca="false">IF(A81="","",A81&amp;"_CALC.pdf")</f>
        <v/>
      </c>
      <c r="X81" s="9"/>
      <c r="Y81" s="9"/>
      <c r="Z81" s="41"/>
      <c r="AA81" s="41"/>
      <c r="AB81" s="41"/>
      <c r="AC81" s="41"/>
      <c r="AD81" s="41"/>
      <c r="AE81" s="38" t="str">
        <f aca="false">IF(C81="","","OK")</f>
        <v/>
      </c>
      <c r="AF81" s="9"/>
      <c r="AG81" s="9"/>
      <c r="AH81" s="9"/>
      <c r="AI81" s="9"/>
      <c r="AJ81" s="9"/>
      <c r="AK81" s="31"/>
      <c r="AL81" s="10" t="str">
        <f aca="false">IF(C81="","",IF(AND(N81="Approved",ISERROR(SEARCH("FAIL",AE81))),"Y","N"))</f>
        <v/>
      </c>
    </row>
    <row r="82" customFormat="false" ht="15" hidden="false" customHeight="false" outlineLevel="0" collapsed="false">
      <c r="A82" s="10" t="str">
        <f aca="false">IF(C82="","",IFERROR(VLOOKUP(C82,Lists!$BI$4:$BJ$20,2,0),"??")&amp;"-"&amp;UPPER(SUBSTITUTE(D82," ",""))&amp;IF(E82&lt;&gt;"","-SP"&amp;TEXT(E82*1000,"0"),"")&amp;IF(F82&lt;&gt;"","-H"&amp;TEXT(F82*1000,"0"),"")&amp;"-"&amp;M82)</f>
        <v/>
      </c>
      <c r="B82" s="10" t="str">
        <f aca="false">IF(C82="","",C82&amp;" - "&amp;D82&amp;IF(E82&lt;&gt;"",", span "&amp;E82&amp;" m","")&amp;IF(F82&lt;&gt;"",", H "&amp;F82&amp;" m","")&amp;IF(G82&lt;&gt;"",", W "&amp;G82&amp;" m",""))</f>
        <v/>
      </c>
      <c r="C82" s="9"/>
      <c r="D82" s="9"/>
      <c r="E82" s="43"/>
      <c r="F82" s="43"/>
      <c r="G82" s="43"/>
      <c r="H82" s="9"/>
      <c r="I82" s="9"/>
      <c r="J82" s="9"/>
      <c r="K82" s="9"/>
      <c r="L82" s="9"/>
      <c r="M82" s="9"/>
      <c r="N82" s="9"/>
      <c r="O82" s="9"/>
      <c r="P82" s="9"/>
      <c r="Q82" s="9"/>
      <c r="R82" s="10" t="str">
        <f aca="false">IF(A82="","",SG_Criteria!$B$6&amp;SG_Criteria!$B$13&amp;"\"&amp;A82&amp;"\")</f>
        <v/>
      </c>
      <c r="S82" s="10" t="str">
        <f aca="false">IF(A82="","",A82&amp;"_CAD.dwg")</f>
        <v/>
      </c>
      <c r="T82" s="10" t="str">
        <f aca="false">IF(A82="","",A82&amp;"_DWG.pdf")</f>
        <v/>
      </c>
      <c r="U82" s="10" t="str">
        <f aca="false">IF(A82="","",IF(Q82="Y",A82&amp;"_STAAD.std","n/a"))</f>
        <v/>
      </c>
      <c r="V82" s="10" t="str">
        <f aca="false">IF(A82="","",A82&amp;"_CALC.xlsx")</f>
        <v/>
      </c>
      <c r="W82" s="10" t="str">
        <f aca="false">IF(A82="","",A82&amp;"_CALC.pdf")</f>
        <v/>
      </c>
      <c r="X82" s="9"/>
      <c r="Y82" s="9"/>
      <c r="Z82" s="41"/>
      <c r="AA82" s="41"/>
      <c r="AB82" s="41"/>
      <c r="AC82" s="41"/>
      <c r="AD82" s="41"/>
      <c r="AE82" s="38" t="str">
        <f aca="false">IF(C82="","","OK")</f>
        <v/>
      </c>
      <c r="AF82" s="9"/>
      <c r="AG82" s="9"/>
      <c r="AH82" s="9"/>
      <c r="AI82" s="9"/>
      <c r="AJ82" s="9"/>
      <c r="AK82" s="31"/>
      <c r="AL82" s="10" t="str">
        <f aca="false">IF(C82="","",IF(AND(N82="Approved",ISERROR(SEARCH("FAIL",AE82))),"Y","N"))</f>
        <v/>
      </c>
    </row>
    <row r="83" customFormat="false" ht="15" hidden="false" customHeight="false" outlineLevel="0" collapsed="false">
      <c r="A83" s="10" t="str">
        <f aca="false">IF(C83="","",IFERROR(VLOOKUP(C83,Lists!$BI$4:$BJ$20,2,0),"??")&amp;"-"&amp;UPPER(SUBSTITUTE(D83," ",""))&amp;IF(E83&lt;&gt;"","-SP"&amp;TEXT(E83*1000,"0"),"")&amp;IF(F83&lt;&gt;"","-H"&amp;TEXT(F83*1000,"0"),"")&amp;"-"&amp;M83)</f>
        <v/>
      </c>
      <c r="B83" s="10" t="str">
        <f aca="false">IF(C83="","",C83&amp;" - "&amp;D83&amp;IF(E83&lt;&gt;"",", span "&amp;E83&amp;" m","")&amp;IF(F83&lt;&gt;"",", H "&amp;F83&amp;" m","")&amp;IF(G83&lt;&gt;"",", W "&amp;G83&amp;" m",""))</f>
        <v/>
      </c>
      <c r="C83" s="9"/>
      <c r="D83" s="9"/>
      <c r="E83" s="43"/>
      <c r="F83" s="43"/>
      <c r="G83" s="43"/>
      <c r="H83" s="9"/>
      <c r="I83" s="9"/>
      <c r="J83" s="9"/>
      <c r="K83" s="9"/>
      <c r="L83" s="9"/>
      <c r="M83" s="9"/>
      <c r="N83" s="9"/>
      <c r="O83" s="9"/>
      <c r="P83" s="9"/>
      <c r="Q83" s="9"/>
      <c r="R83" s="10" t="str">
        <f aca="false">IF(A83="","",SG_Criteria!$B$6&amp;SG_Criteria!$B$13&amp;"\"&amp;A83&amp;"\")</f>
        <v/>
      </c>
      <c r="S83" s="10" t="str">
        <f aca="false">IF(A83="","",A83&amp;"_CAD.dwg")</f>
        <v/>
      </c>
      <c r="T83" s="10" t="str">
        <f aca="false">IF(A83="","",A83&amp;"_DWG.pdf")</f>
        <v/>
      </c>
      <c r="U83" s="10" t="str">
        <f aca="false">IF(A83="","",IF(Q83="Y",A83&amp;"_STAAD.std","n/a"))</f>
        <v/>
      </c>
      <c r="V83" s="10" t="str">
        <f aca="false">IF(A83="","",A83&amp;"_CALC.xlsx")</f>
        <v/>
      </c>
      <c r="W83" s="10" t="str">
        <f aca="false">IF(A83="","",A83&amp;"_CALC.pdf")</f>
        <v/>
      </c>
      <c r="X83" s="9"/>
      <c r="Y83" s="9"/>
      <c r="Z83" s="41"/>
      <c r="AA83" s="41"/>
      <c r="AB83" s="41"/>
      <c r="AC83" s="41"/>
      <c r="AD83" s="41"/>
      <c r="AE83" s="38" t="str">
        <f aca="false">IF(C83="","","OK")</f>
        <v/>
      </c>
      <c r="AF83" s="9"/>
      <c r="AG83" s="9"/>
      <c r="AH83" s="9"/>
      <c r="AI83" s="9"/>
      <c r="AJ83" s="9"/>
      <c r="AK83" s="31"/>
      <c r="AL83" s="10" t="str">
        <f aca="false">IF(C83="","",IF(AND(N83="Approved",ISERROR(SEARCH("FAIL",AE83))),"Y","N"))</f>
        <v/>
      </c>
    </row>
    <row r="84" customFormat="false" ht="15" hidden="false" customHeight="false" outlineLevel="0" collapsed="false">
      <c r="A84" s="10" t="str">
        <f aca="false">IF(C84="","",IFERROR(VLOOKUP(C84,Lists!$BI$4:$BJ$20,2,0),"??")&amp;"-"&amp;UPPER(SUBSTITUTE(D84," ",""))&amp;IF(E84&lt;&gt;"","-SP"&amp;TEXT(E84*1000,"0"),"")&amp;IF(F84&lt;&gt;"","-H"&amp;TEXT(F84*1000,"0"),"")&amp;"-"&amp;M84)</f>
        <v/>
      </c>
      <c r="B84" s="10" t="str">
        <f aca="false">IF(C84="","",C84&amp;" - "&amp;D84&amp;IF(E84&lt;&gt;"",", span "&amp;E84&amp;" m","")&amp;IF(F84&lt;&gt;"",", H "&amp;F84&amp;" m","")&amp;IF(G84&lt;&gt;"",", W "&amp;G84&amp;" m",""))</f>
        <v/>
      </c>
      <c r="C84" s="9"/>
      <c r="D84" s="9"/>
      <c r="E84" s="43"/>
      <c r="F84" s="43"/>
      <c r="G84" s="43"/>
      <c r="H84" s="9"/>
      <c r="I84" s="9"/>
      <c r="J84" s="9"/>
      <c r="K84" s="9"/>
      <c r="L84" s="9"/>
      <c r="M84" s="9"/>
      <c r="N84" s="9"/>
      <c r="O84" s="9"/>
      <c r="P84" s="9"/>
      <c r="Q84" s="9"/>
      <c r="R84" s="10" t="str">
        <f aca="false">IF(A84="","",SG_Criteria!$B$6&amp;SG_Criteria!$B$13&amp;"\"&amp;A84&amp;"\")</f>
        <v/>
      </c>
      <c r="S84" s="10" t="str">
        <f aca="false">IF(A84="","",A84&amp;"_CAD.dwg")</f>
        <v/>
      </c>
      <c r="T84" s="10" t="str">
        <f aca="false">IF(A84="","",A84&amp;"_DWG.pdf")</f>
        <v/>
      </c>
      <c r="U84" s="10" t="str">
        <f aca="false">IF(A84="","",IF(Q84="Y",A84&amp;"_STAAD.std","n/a"))</f>
        <v/>
      </c>
      <c r="V84" s="10" t="str">
        <f aca="false">IF(A84="","",A84&amp;"_CALC.xlsx")</f>
        <v/>
      </c>
      <c r="W84" s="10" t="str">
        <f aca="false">IF(A84="","",A84&amp;"_CALC.pdf")</f>
        <v/>
      </c>
      <c r="X84" s="9"/>
      <c r="Y84" s="9"/>
      <c r="Z84" s="41"/>
      <c r="AA84" s="41"/>
      <c r="AB84" s="41"/>
      <c r="AC84" s="41"/>
      <c r="AD84" s="41"/>
      <c r="AE84" s="38" t="str">
        <f aca="false">IF(C84="","","OK")</f>
        <v/>
      </c>
      <c r="AF84" s="9"/>
      <c r="AG84" s="9"/>
      <c r="AH84" s="9"/>
      <c r="AI84" s="9"/>
      <c r="AJ84" s="9"/>
      <c r="AK84" s="31"/>
      <c r="AL84" s="10" t="str">
        <f aca="false">IF(C84="","",IF(AND(N84="Approved",ISERROR(SEARCH("FAIL",AE84))),"Y","N"))</f>
        <v/>
      </c>
    </row>
    <row r="85" customFormat="false" ht="15" hidden="false" customHeight="false" outlineLevel="0" collapsed="false">
      <c r="A85" s="10" t="str">
        <f aca="false">IF(C85="","",IFERROR(VLOOKUP(C85,Lists!$BI$4:$BJ$20,2,0),"??")&amp;"-"&amp;UPPER(SUBSTITUTE(D85," ",""))&amp;IF(E85&lt;&gt;"","-SP"&amp;TEXT(E85*1000,"0"),"")&amp;IF(F85&lt;&gt;"","-H"&amp;TEXT(F85*1000,"0"),"")&amp;"-"&amp;M85)</f>
        <v/>
      </c>
      <c r="B85" s="10" t="str">
        <f aca="false">IF(C85="","",C85&amp;" - "&amp;D85&amp;IF(E85&lt;&gt;"",", span "&amp;E85&amp;" m","")&amp;IF(F85&lt;&gt;"",", H "&amp;F85&amp;" m","")&amp;IF(G85&lt;&gt;"",", W "&amp;G85&amp;" m",""))</f>
        <v/>
      </c>
      <c r="C85" s="9"/>
      <c r="D85" s="9"/>
      <c r="E85" s="43"/>
      <c r="F85" s="43"/>
      <c r="G85" s="43"/>
      <c r="H85" s="9"/>
      <c r="I85" s="9"/>
      <c r="J85" s="9"/>
      <c r="K85" s="9"/>
      <c r="L85" s="9"/>
      <c r="M85" s="9"/>
      <c r="N85" s="9"/>
      <c r="O85" s="9"/>
      <c r="P85" s="9"/>
      <c r="Q85" s="9"/>
      <c r="R85" s="10" t="str">
        <f aca="false">IF(A85="","",SG_Criteria!$B$6&amp;SG_Criteria!$B$13&amp;"\"&amp;A85&amp;"\")</f>
        <v/>
      </c>
      <c r="S85" s="10" t="str">
        <f aca="false">IF(A85="","",A85&amp;"_CAD.dwg")</f>
        <v/>
      </c>
      <c r="T85" s="10" t="str">
        <f aca="false">IF(A85="","",A85&amp;"_DWG.pdf")</f>
        <v/>
      </c>
      <c r="U85" s="10" t="str">
        <f aca="false">IF(A85="","",IF(Q85="Y",A85&amp;"_STAAD.std","n/a"))</f>
        <v/>
      </c>
      <c r="V85" s="10" t="str">
        <f aca="false">IF(A85="","",A85&amp;"_CALC.xlsx")</f>
        <v/>
      </c>
      <c r="W85" s="10" t="str">
        <f aca="false">IF(A85="","",A85&amp;"_CALC.pdf")</f>
        <v/>
      </c>
      <c r="X85" s="9"/>
      <c r="Y85" s="9"/>
      <c r="Z85" s="41"/>
      <c r="AA85" s="41"/>
      <c r="AB85" s="41"/>
      <c r="AC85" s="41"/>
      <c r="AD85" s="41"/>
      <c r="AE85" s="38" t="str">
        <f aca="false">IF(C85="","","OK")</f>
        <v/>
      </c>
      <c r="AF85" s="9"/>
      <c r="AG85" s="9"/>
      <c r="AH85" s="9"/>
      <c r="AI85" s="9"/>
      <c r="AJ85" s="9"/>
      <c r="AK85" s="31"/>
      <c r="AL85" s="10" t="str">
        <f aca="false">IF(C85="","",IF(AND(N85="Approved",ISERROR(SEARCH("FAIL",AE85))),"Y","N"))</f>
        <v/>
      </c>
    </row>
    <row r="86" customFormat="false" ht="15" hidden="false" customHeight="false" outlineLevel="0" collapsed="false">
      <c r="A86" s="10" t="str">
        <f aca="false">IF(C86="","",IFERROR(VLOOKUP(C86,Lists!$BI$4:$BJ$20,2,0),"??")&amp;"-"&amp;UPPER(SUBSTITUTE(D86," ",""))&amp;IF(E86&lt;&gt;"","-SP"&amp;TEXT(E86*1000,"0"),"")&amp;IF(F86&lt;&gt;"","-H"&amp;TEXT(F86*1000,"0"),"")&amp;"-"&amp;M86)</f>
        <v/>
      </c>
      <c r="B86" s="10" t="str">
        <f aca="false">IF(C86="","",C86&amp;" - "&amp;D86&amp;IF(E86&lt;&gt;"",", span "&amp;E86&amp;" m","")&amp;IF(F86&lt;&gt;"",", H "&amp;F86&amp;" m","")&amp;IF(G86&lt;&gt;"",", W "&amp;G86&amp;" m",""))</f>
        <v/>
      </c>
      <c r="C86" s="9"/>
      <c r="D86" s="9"/>
      <c r="E86" s="43"/>
      <c r="F86" s="43"/>
      <c r="G86" s="43"/>
      <c r="H86" s="9"/>
      <c r="I86" s="9"/>
      <c r="J86" s="9"/>
      <c r="K86" s="9"/>
      <c r="L86" s="9"/>
      <c r="M86" s="9"/>
      <c r="N86" s="9"/>
      <c r="O86" s="9"/>
      <c r="P86" s="9"/>
      <c r="Q86" s="9"/>
      <c r="R86" s="10" t="str">
        <f aca="false">IF(A86="","",SG_Criteria!$B$6&amp;SG_Criteria!$B$13&amp;"\"&amp;A86&amp;"\")</f>
        <v/>
      </c>
      <c r="S86" s="10" t="str">
        <f aca="false">IF(A86="","",A86&amp;"_CAD.dwg")</f>
        <v/>
      </c>
      <c r="T86" s="10" t="str">
        <f aca="false">IF(A86="","",A86&amp;"_DWG.pdf")</f>
        <v/>
      </c>
      <c r="U86" s="10" t="str">
        <f aca="false">IF(A86="","",IF(Q86="Y",A86&amp;"_STAAD.std","n/a"))</f>
        <v/>
      </c>
      <c r="V86" s="10" t="str">
        <f aca="false">IF(A86="","",A86&amp;"_CALC.xlsx")</f>
        <v/>
      </c>
      <c r="W86" s="10" t="str">
        <f aca="false">IF(A86="","",A86&amp;"_CALC.pdf")</f>
        <v/>
      </c>
      <c r="X86" s="9"/>
      <c r="Y86" s="9"/>
      <c r="Z86" s="41"/>
      <c r="AA86" s="41"/>
      <c r="AB86" s="41"/>
      <c r="AC86" s="41"/>
      <c r="AD86" s="41"/>
      <c r="AE86" s="38" t="str">
        <f aca="false">IF(C86="","","OK")</f>
        <v/>
      </c>
      <c r="AF86" s="9"/>
      <c r="AG86" s="9"/>
      <c r="AH86" s="9"/>
      <c r="AI86" s="9"/>
      <c r="AJ86" s="9"/>
      <c r="AK86" s="31"/>
      <c r="AL86" s="10" t="str">
        <f aca="false">IF(C86="","",IF(AND(N86="Approved",ISERROR(SEARCH("FAIL",AE86))),"Y","N"))</f>
        <v/>
      </c>
    </row>
    <row r="87" customFormat="false" ht="15" hidden="false" customHeight="false" outlineLevel="0" collapsed="false">
      <c r="A87" s="10" t="str">
        <f aca="false">IF(C87="","",IFERROR(VLOOKUP(C87,Lists!$BI$4:$BJ$20,2,0),"??")&amp;"-"&amp;UPPER(SUBSTITUTE(D87," ",""))&amp;IF(E87&lt;&gt;"","-SP"&amp;TEXT(E87*1000,"0"),"")&amp;IF(F87&lt;&gt;"","-H"&amp;TEXT(F87*1000,"0"),"")&amp;"-"&amp;M87)</f>
        <v/>
      </c>
      <c r="B87" s="10" t="str">
        <f aca="false">IF(C87="","",C87&amp;" - "&amp;D87&amp;IF(E87&lt;&gt;"",", span "&amp;E87&amp;" m","")&amp;IF(F87&lt;&gt;"",", H "&amp;F87&amp;" m","")&amp;IF(G87&lt;&gt;"",", W "&amp;G87&amp;" m",""))</f>
        <v/>
      </c>
      <c r="C87" s="9"/>
      <c r="D87" s="9"/>
      <c r="E87" s="43"/>
      <c r="F87" s="43"/>
      <c r="G87" s="43"/>
      <c r="H87" s="9"/>
      <c r="I87" s="9"/>
      <c r="J87" s="9"/>
      <c r="K87" s="9"/>
      <c r="L87" s="9"/>
      <c r="M87" s="9"/>
      <c r="N87" s="9"/>
      <c r="O87" s="9"/>
      <c r="P87" s="9"/>
      <c r="Q87" s="9"/>
      <c r="R87" s="10" t="str">
        <f aca="false">IF(A87="","",SG_Criteria!$B$6&amp;SG_Criteria!$B$13&amp;"\"&amp;A87&amp;"\")</f>
        <v/>
      </c>
      <c r="S87" s="10" t="str">
        <f aca="false">IF(A87="","",A87&amp;"_CAD.dwg")</f>
        <v/>
      </c>
      <c r="T87" s="10" t="str">
        <f aca="false">IF(A87="","",A87&amp;"_DWG.pdf")</f>
        <v/>
      </c>
      <c r="U87" s="10" t="str">
        <f aca="false">IF(A87="","",IF(Q87="Y",A87&amp;"_STAAD.std","n/a"))</f>
        <v/>
      </c>
      <c r="V87" s="10" t="str">
        <f aca="false">IF(A87="","",A87&amp;"_CALC.xlsx")</f>
        <v/>
      </c>
      <c r="W87" s="10" t="str">
        <f aca="false">IF(A87="","",A87&amp;"_CALC.pdf")</f>
        <v/>
      </c>
      <c r="X87" s="9"/>
      <c r="Y87" s="9"/>
      <c r="Z87" s="41"/>
      <c r="AA87" s="41"/>
      <c r="AB87" s="41"/>
      <c r="AC87" s="41"/>
      <c r="AD87" s="41"/>
      <c r="AE87" s="38" t="str">
        <f aca="false">IF(C87="","","OK")</f>
        <v/>
      </c>
      <c r="AF87" s="9"/>
      <c r="AG87" s="9"/>
      <c r="AH87" s="9"/>
      <c r="AI87" s="9"/>
      <c r="AJ87" s="9"/>
      <c r="AK87" s="31"/>
      <c r="AL87" s="10" t="str">
        <f aca="false">IF(C87="","",IF(AND(N87="Approved",ISERROR(SEARCH("FAIL",AE87))),"Y","N"))</f>
        <v/>
      </c>
    </row>
    <row r="88" customFormat="false" ht="15" hidden="false" customHeight="false" outlineLevel="0" collapsed="false">
      <c r="A88" s="10" t="str">
        <f aca="false">IF(C88="","",IFERROR(VLOOKUP(C88,Lists!$BI$4:$BJ$20,2,0),"??")&amp;"-"&amp;UPPER(SUBSTITUTE(D88," ",""))&amp;IF(E88&lt;&gt;"","-SP"&amp;TEXT(E88*1000,"0"),"")&amp;IF(F88&lt;&gt;"","-H"&amp;TEXT(F88*1000,"0"),"")&amp;"-"&amp;M88)</f>
        <v/>
      </c>
      <c r="B88" s="10" t="str">
        <f aca="false">IF(C88="","",C88&amp;" - "&amp;D88&amp;IF(E88&lt;&gt;"",", span "&amp;E88&amp;" m","")&amp;IF(F88&lt;&gt;"",", H "&amp;F88&amp;" m","")&amp;IF(G88&lt;&gt;"",", W "&amp;G88&amp;" m",""))</f>
        <v/>
      </c>
      <c r="C88" s="9"/>
      <c r="D88" s="9"/>
      <c r="E88" s="43"/>
      <c r="F88" s="43"/>
      <c r="G88" s="43"/>
      <c r="H88" s="9"/>
      <c r="I88" s="9"/>
      <c r="J88" s="9"/>
      <c r="K88" s="9"/>
      <c r="L88" s="9"/>
      <c r="M88" s="9"/>
      <c r="N88" s="9"/>
      <c r="O88" s="9"/>
      <c r="P88" s="9"/>
      <c r="Q88" s="9"/>
      <c r="R88" s="10" t="str">
        <f aca="false">IF(A88="","",SG_Criteria!$B$6&amp;SG_Criteria!$B$13&amp;"\"&amp;A88&amp;"\")</f>
        <v/>
      </c>
      <c r="S88" s="10" t="str">
        <f aca="false">IF(A88="","",A88&amp;"_CAD.dwg")</f>
        <v/>
      </c>
      <c r="T88" s="10" t="str">
        <f aca="false">IF(A88="","",A88&amp;"_DWG.pdf")</f>
        <v/>
      </c>
      <c r="U88" s="10" t="str">
        <f aca="false">IF(A88="","",IF(Q88="Y",A88&amp;"_STAAD.std","n/a"))</f>
        <v/>
      </c>
      <c r="V88" s="10" t="str">
        <f aca="false">IF(A88="","",A88&amp;"_CALC.xlsx")</f>
        <v/>
      </c>
      <c r="W88" s="10" t="str">
        <f aca="false">IF(A88="","",A88&amp;"_CALC.pdf")</f>
        <v/>
      </c>
      <c r="X88" s="9"/>
      <c r="Y88" s="9"/>
      <c r="Z88" s="41"/>
      <c r="AA88" s="41"/>
      <c r="AB88" s="41"/>
      <c r="AC88" s="41"/>
      <c r="AD88" s="41"/>
      <c r="AE88" s="38" t="str">
        <f aca="false">IF(C88="","","OK")</f>
        <v/>
      </c>
      <c r="AF88" s="9"/>
      <c r="AG88" s="9"/>
      <c r="AH88" s="9"/>
      <c r="AI88" s="9"/>
      <c r="AJ88" s="9"/>
      <c r="AK88" s="31"/>
      <c r="AL88" s="10" t="str">
        <f aca="false">IF(C88="","",IF(AND(N88="Approved",ISERROR(SEARCH("FAIL",AE88))),"Y","N"))</f>
        <v/>
      </c>
    </row>
    <row r="89" customFormat="false" ht="15" hidden="false" customHeight="false" outlineLevel="0" collapsed="false">
      <c r="A89" s="10" t="str">
        <f aca="false">IF(C89="","",IFERROR(VLOOKUP(C89,Lists!$BI$4:$BJ$20,2,0),"??")&amp;"-"&amp;UPPER(SUBSTITUTE(D89," ",""))&amp;IF(E89&lt;&gt;"","-SP"&amp;TEXT(E89*1000,"0"),"")&amp;IF(F89&lt;&gt;"","-H"&amp;TEXT(F89*1000,"0"),"")&amp;"-"&amp;M89)</f>
        <v/>
      </c>
      <c r="B89" s="10" t="str">
        <f aca="false">IF(C89="","",C89&amp;" - "&amp;D89&amp;IF(E89&lt;&gt;"",", span "&amp;E89&amp;" m","")&amp;IF(F89&lt;&gt;"",", H "&amp;F89&amp;" m","")&amp;IF(G89&lt;&gt;"",", W "&amp;G89&amp;" m",""))</f>
        <v/>
      </c>
      <c r="C89" s="9"/>
      <c r="D89" s="9"/>
      <c r="E89" s="43"/>
      <c r="F89" s="43"/>
      <c r="G89" s="43"/>
      <c r="H89" s="9"/>
      <c r="I89" s="9"/>
      <c r="J89" s="9"/>
      <c r="K89" s="9"/>
      <c r="L89" s="9"/>
      <c r="M89" s="9"/>
      <c r="N89" s="9"/>
      <c r="O89" s="9"/>
      <c r="P89" s="9"/>
      <c r="Q89" s="9"/>
      <c r="R89" s="10" t="str">
        <f aca="false">IF(A89="","",SG_Criteria!$B$6&amp;SG_Criteria!$B$13&amp;"\"&amp;A89&amp;"\")</f>
        <v/>
      </c>
      <c r="S89" s="10" t="str">
        <f aca="false">IF(A89="","",A89&amp;"_CAD.dwg")</f>
        <v/>
      </c>
      <c r="T89" s="10" t="str">
        <f aca="false">IF(A89="","",A89&amp;"_DWG.pdf")</f>
        <v/>
      </c>
      <c r="U89" s="10" t="str">
        <f aca="false">IF(A89="","",IF(Q89="Y",A89&amp;"_STAAD.std","n/a"))</f>
        <v/>
      </c>
      <c r="V89" s="10" t="str">
        <f aca="false">IF(A89="","",A89&amp;"_CALC.xlsx")</f>
        <v/>
      </c>
      <c r="W89" s="10" t="str">
        <f aca="false">IF(A89="","",A89&amp;"_CALC.pdf")</f>
        <v/>
      </c>
      <c r="X89" s="9"/>
      <c r="Y89" s="9"/>
      <c r="Z89" s="41"/>
      <c r="AA89" s="41"/>
      <c r="AB89" s="41"/>
      <c r="AC89" s="41"/>
      <c r="AD89" s="41"/>
      <c r="AE89" s="38" t="str">
        <f aca="false">IF(C89="","","OK")</f>
        <v/>
      </c>
      <c r="AF89" s="9"/>
      <c r="AG89" s="9"/>
      <c r="AH89" s="9"/>
      <c r="AI89" s="9"/>
      <c r="AJ89" s="9"/>
      <c r="AK89" s="31"/>
      <c r="AL89" s="10" t="str">
        <f aca="false">IF(C89="","",IF(AND(N89="Approved",ISERROR(SEARCH("FAIL",AE89))),"Y","N"))</f>
        <v/>
      </c>
    </row>
    <row r="90" customFormat="false" ht="15" hidden="false" customHeight="false" outlineLevel="0" collapsed="false">
      <c r="A90" s="10" t="str">
        <f aca="false">IF(C90="","",IFERROR(VLOOKUP(C90,Lists!$BI$4:$BJ$20,2,0),"??")&amp;"-"&amp;UPPER(SUBSTITUTE(D90," ",""))&amp;IF(E90&lt;&gt;"","-SP"&amp;TEXT(E90*1000,"0"),"")&amp;IF(F90&lt;&gt;"","-H"&amp;TEXT(F90*1000,"0"),"")&amp;"-"&amp;M90)</f>
        <v/>
      </c>
      <c r="B90" s="10" t="str">
        <f aca="false">IF(C90="","",C90&amp;" - "&amp;D90&amp;IF(E90&lt;&gt;"",", span "&amp;E90&amp;" m","")&amp;IF(F90&lt;&gt;"",", H "&amp;F90&amp;" m","")&amp;IF(G90&lt;&gt;"",", W "&amp;G90&amp;" m",""))</f>
        <v/>
      </c>
      <c r="C90" s="9"/>
      <c r="D90" s="9"/>
      <c r="E90" s="43"/>
      <c r="F90" s="43"/>
      <c r="G90" s="43"/>
      <c r="H90" s="9"/>
      <c r="I90" s="9"/>
      <c r="J90" s="9"/>
      <c r="K90" s="9"/>
      <c r="L90" s="9"/>
      <c r="M90" s="9"/>
      <c r="N90" s="9"/>
      <c r="O90" s="9"/>
      <c r="P90" s="9"/>
      <c r="Q90" s="9"/>
      <c r="R90" s="10" t="str">
        <f aca="false">IF(A90="","",SG_Criteria!$B$6&amp;SG_Criteria!$B$13&amp;"\"&amp;A90&amp;"\")</f>
        <v/>
      </c>
      <c r="S90" s="10" t="str">
        <f aca="false">IF(A90="","",A90&amp;"_CAD.dwg")</f>
        <v/>
      </c>
      <c r="T90" s="10" t="str">
        <f aca="false">IF(A90="","",A90&amp;"_DWG.pdf")</f>
        <v/>
      </c>
      <c r="U90" s="10" t="str">
        <f aca="false">IF(A90="","",IF(Q90="Y",A90&amp;"_STAAD.std","n/a"))</f>
        <v/>
      </c>
      <c r="V90" s="10" t="str">
        <f aca="false">IF(A90="","",A90&amp;"_CALC.xlsx")</f>
        <v/>
      </c>
      <c r="W90" s="10" t="str">
        <f aca="false">IF(A90="","",A90&amp;"_CALC.pdf")</f>
        <v/>
      </c>
      <c r="X90" s="9"/>
      <c r="Y90" s="9"/>
      <c r="Z90" s="41"/>
      <c r="AA90" s="41"/>
      <c r="AB90" s="41"/>
      <c r="AC90" s="41"/>
      <c r="AD90" s="41"/>
      <c r="AE90" s="38" t="str">
        <f aca="false">IF(C90="","","OK")</f>
        <v/>
      </c>
      <c r="AF90" s="9"/>
      <c r="AG90" s="9"/>
      <c r="AH90" s="9"/>
      <c r="AI90" s="9"/>
      <c r="AJ90" s="9"/>
      <c r="AK90" s="31"/>
      <c r="AL90" s="10" t="str">
        <f aca="false">IF(C90="","",IF(AND(N90="Approved",ISERROR(SEARCH("FAIL",AE90))),"Y","N"))</f>
        <v/>
      </c>
    </row>
    <row r="91" customFormat="false" ht="15" hidden="false" customHeight="false" outlineLevel="0" collapsed="false">
      <c r="A91" s="10" t="str">
        <f aca="false">IF(C91="","",IFERROR(VLOOKUP(C91,Lists!$BI$4:$BJ$20,2,0),"??")&amp;"-"&amp;UPPER(SUBSTITUTE(D91," ",""))&amp;IF(E91&lt;&gt;"","-SP"&amp;TEXT(E91*1000,"0"),"")&amp;IF(F91&lt;&gt;"","-H"&amp;TEXT(F91*1000,"0"),"")&amp;"-"&amp;M91)</f>
        <v/>
      </c>
      <c r="B91" s="10" t="str">
        <f aca="false">IF(C91="","",C91&amp;" - "&amp;D91&amp;IF(E91&lt;&gt;"",", span "&amp;E91&amp;" m","")&amp;IF(F91&lt;&gt;"",", H "&amp;F91&amp;" m","")&amp;IF(G91&lt;&gt;"",", W "&amp;G91&amp;" m",""))</f>
        <v/>
      </c>
      <c r="C91" s="9"/>
      <c r="D91" s="9"/>
      <c r="E91" s="43"/>
      <c r="F91" s="43"/>
      <c r="G91" s="43"/>
      <c r="H91" s="9"/>
      <c r="I91" s="9"/>
      <c r="J91" s="9"/>
      <c r="K91" s="9"/>
      <c r="L91" s="9"/>
      <c r="M91" s="9"/>
      <c r="N91" s="9"/>
      <c r="O91" s="9"/>
      <c r="P91" s="9"/>
      <c r="Q91" s="9"/>
      <c r="R91" s="10" t="str">
        <f aca="false">IF(A91="","",SG_Criteria!$B$6&amp;SG_Criteria!$B$13&amp;"\"&amp;A91&amp;"\")</f>
        <v/>
      </c>
      <c r="S91" s="10" t="str">
        <f aca="false">IF(A91="","",A91&amp;"_CAD.dwg")</f>
        <v/>
      </c>
      <c r="T91" s="10" t="str">
        <f aca="false">IF(A91="","",A91&amp;"_DWG.pdf")</f>
        <v/>
      </c>
      <c r="U91" s="10" t="str">
        <f aca="false">IF(A91="","",IF(Q91="Y",A91&amp;"_STAAD.std","n/a"))</f>
        <v/>
      </c>
      <c r="V91" s="10" t="str">
        <f aca="false">IF(A91="","",A91&amp;"_CALC.xlsx")</f>
        <v/>
      </c>
      <c r="W91" s="10" t="str">
        <f aca="false">IF(A91="","",A91&amp;"_CALC.pdf")</f>
        <v/>
      </c>
      <c r="X91" s="9"/>
      <c r="Y91" s="9"/>
      <c r="Z91" s="41"/>
      <c r="AA91" s="41"/>
      <c r="AB91" s="41"/>
      <c r="AC91" s="41"/>
      <c r="AD91" s="41"/>
      <c r="AE91" s="38" t="str">
        <f aca="false">IF(C91="","","OK")</f>
        <v/>
      </c>
      <c r="AF91" s="9"/>
      <c r="AG91" s="9"/>
      <c r="AH91" s="9"/>
      <c r="AI91" s="9"/>
      <c r="AJ91" s="9"/>
      <c r="AK91" s="31"/>
      <c r="AL91" s="10" t="str">
        <f aca="false">IF(C91="","",IF(AND(N91="Approved",ISERROR(SEARCH("FAIL",AE91))),"Y","N"))</f>
        <v/>
      </c>
    </row>
    <row r="92" customFormat="false" ht="15" hidden="false" customHeight="false" outlineLevel="0" collapsed="false">
      <c r="A92" s="10" t="str">
        <f aca="false">IF(C92="","",IFERROR(VLOOKUP(C92,Lists!$BI$4:$BJ$20,2,0),"??")&amp;"-"&amp;UPPER(SUBSTITUTE(D92," ",""))&amp;IF(E92&lt;&gt;"","-SP"&amp;TEXT(E92*1000,"0"),"")&amp;IF(F92&lt;&gt;"","-H"&amp;TEXT(F92*1000,"0"),"")&amp;"-"&amp;M92)</f>
        <v/>
      </c>
      <c r="B92" s="10" t="str">
        <f aca="false">IF(C92="","",C92&amp;" - "&amp;D92&amp;IF(E92&lt;&gt;"",", span "&amp;E92&amp;" m","")&amp;IF(F92&lt;&gt;"",", H "&amp;F92&amp;" m","")&amp;IF(G92&lt;&gt;"",", W "&amp;G92&amp;" m",""))</f>
        <v/>
      </c>
      <c r="C92" s="9"/>
      <c r="D92" s="9"/>
      <c r="E92" s="43"/>
      <c r="F92" s="43"/>
      <c r="G92" s="43"/>
      <c r="H92" s="9"/>
      <c r="I92" s="9"/>
      <c r="J92" s="9"/>
      <c r="K92" s="9"/>
      <c r="L92" s="9"/>
      <c r="M92" s="9"/>
      <c r="N92" s="9"/>
      <c r="O92" s="9"/>
      <c r="P92" s="9"/>
      <c r="Q92" s="9"/>
      <c r="R92" s="10" t="str">
        <f aca="false">IF(A92="","",SG_Criteria!$B$6&amp;SG_Criteria!$B$13&amp;"\"&amp;A92&amp;"\")</f>
        <v/>
      </c>
      <c r="S92" s="10" t="str">
        <f aca="false">IF(A92="","",A92&amp;"_CAD.dwg")</f>
        <v/>
      </c>
      <c r="T92" s="10" t="str">
        <f aca="false">IF(A92="","",A92&amp;"_DWG.pdf")</f>
        <v/>
      </c>
      <c r="U92" s="10" t="str">
        <f aca="false">IF(A92="","",IF(Q92="Y",A92&amp;"_STAAD.std","n/a"))</f>
        <v/>
      </c>
      <c r="V92" s="10" t="str">
        <f aca="false">IF(A92="","",A92&amp;"_CALC.xlsx")</f>
        <v/>
      </c>
      <c r="W92" s="10" t="str">
        <f aca="false">IF(A92="","",A92&amp;"_CALC.pdf")</f>
        <v/>
      </c>
      <c r="X92" s="9"/>
      <c r="Y92" s="9"/>
      <c r="Z92" s="41"/>
      <c r="AA92" s="41"/>
      <c r="AB92" s="41"/>
      <c r="AC92" s="41"/>
      <c r="AD92" s="41"/>
      <c r="AE92" s="38" t="str">
        <f aca="false">IF(C92="","","OK")</f>
        <v/>
      </c>
      <c r="AF92" s="9"/>
      <c r="AG92" s="9"/>
      <c r="AH92" s="9"/>
      <c r="AI92" s="9"/>
      <c r="AJ92" s="9"/>
      <c r="AK92" s="31"/>
      <c r="AL92" s="10" t="str">
        <f aca="false">IF(C92="","",IF(AND(N92="Approved",ISERROR(SEARCH("FAIL",AE92))),"Y","N"))</f>
        <v/>
      </c>
    </row>
    <row r="93" customFormat="false" ht="15" hidden="false" customHeight="false" outlineLevel="0" collapsed="false">
      <c r="A93" s="10" t="str">
        <f aca="false">IF(C93="","",IFERROR(VLOOKUP(C93,Lists!$BI$4:$BJ$20,2,0),"??")&amp;"-"&amp;UPPER(SUBSTITUTE(D93," ",""))&amp;IF(E93&lt;&gt;"","-SP"&amp;TEXT(E93*1000,"0"),"")&amp;IF(F93&lt;&gt;"","-H"&amp;TEXT(F93*1000,"0"),"")&amp;"-"&amp;M93)</f>
        <v/>
      </c>
      <c r="B93" s="10" t="str">
        <f aca="false">IF(C93="","",C93&amp;" - "&amp;D93&amp;IF(E93&lt;&gt;"",", span "&amp;E93&amp;" m","")&amp;IF(F93&lt;&gt;"",", H "&amp;F93&amp;" m","")&amp;IF(G93&lt;&gt;"",", W "&amp;G93&amp;" m",""))</f>
        <v/>
      </c>
      <c r="C93" s="9"/>
      <c r="D93" s="9"/>
      <c r="E93" s="43"/>
      <c r="F93" s="43"/>
      <c r="G93" s="43"/>
      <c r="H93" s="9"/>
      <c r="I93" s="9"/>
      <c r="J93" s="9"/>
      <c r="K93" s="9"/>
      <c r="L93" s="9"/>
      <c r="M93" s="9"/>
      <c r="N93" s="9"/>
      <c r="O93" s="9"/>
      <c r="P93" s="9"/>
      <c r="Q93" s="9"/>
      <c r="R93" s="10" t="str">
        <f aca="false">IF(A93="","",SG_Criteria!$B$6&amp;SG_Criteria!$B$13&amp;"\"&amp;A93&amp;"\")</f>
        <v/>
      </c>
      <c r="S93" s="10" t="str">
        <f aca="false">IF(A93="","",A93&amp;"_CAD.dwg")</f>
        <v/>
      </c>
      <c r="T93" s="10" t="str">
        <f aca="false">IF(A93="","",A93&amp;"_DWG.pdf")</f>
        <v/>
      </c>
      <c r="U93" s="10" t="str">
        <f aca="false">IF(A93="","",IF(Q93="Y",A93&amp;"_STAAD.std","n/a"))</f>
        <v/>
      </c>
      <c r="V93" s="10" t="str">
        <f aca="false">IF(A93="","",A93&amp;"_CALC.xlsx")</f>
        <v/>
      </c>
      <c r="W93" s="10" t="str">
        <f aca="false">IF(A93="","",A93&amp;"_CALC.pdf")</f>
        <v/>
      </c>
      <c r="X93" s="9"/>
      <c r="Y93" s="9"/>
      <c r="Z93" s="41"/>
      <c r="AA93" s="41"/>
      <c r="AB93" s="41"/>
      <c r="AC93" s="41"/>
      <c r="AD93" s="41"/>
      <c r="AE93" s="38" t="str">
        <f aca="false">IF(C93="","","OK")</f>
        <v/>
      </c>
      <c r="AF93" s="9"/>
      <c r="AG93" s="9"/>
      <c r="AH93" s="9"/>
      <c r="AI93" s="9"/>
      <c r="AJ93" s="9"/>
      <c r="AK93" s="31"/>
      <c r="AL93" s="10" t="str">
        <f aca="false">IF(C93="","",IF(AND(N93="Approved",ISERROR(SEARCH("FAIL",AE93))),"Y","N"))</f>
        <v/>
      </c>
    </row>
    <row r="94" customFormat="false" ht="15" hidden="false" customHeight="false" outlineLevel="0" collapsed="false">
      <c r="A94" s="10" t="str">
        <f aca="false">IF(C94="","",IFERROR(VLOOKUP(C94,Lists!$BI$4:$BJ$20,2,0),"??")&amp;"-"&amp;UPPER(SUBSTITUTE(D94," ",""))&amp;IF(E94&lt;&gt;"","-SP"&amp;TEXT(E94*1000,"0"),"")&amp;IF(F94&lt;&gt;"","-H"&amp;TEXT(F94*1000,"0"),"")&amp;"-"&amp;M94)</f>
        <v/>
      </c>
      <c r="B94" s="10" t="str">
        <f aca="false">IF(C94="","",C94&amp;" - "&amp;D94&amp;IF(E94&lt;&gt;"",", span "&amp;E94&amp;" m","")&amp;IF(F94&lt;&gt;"",", H "&amp;F94&amp;" m","")&amp;IF(G94&lt;&gt;"",", W "&amp;G94&amp;" m",""))</f>
        <v/>
      </c>
      <c r="C94" s="9"/>
      <c r="D94" s="9"/>
      <c r="E94" s="43"/>
      <c r="F94" s="43"/>
      <c r="G94" s="43"/>
      <c r="H94" s="9"/>
      <c r="I94" s="9"/>
      <c r="J94" s="9"/>
      <c r="K94" s="9"/>
      <c r="L94" s="9"/>
      <c r="M94" s="9"/>
      <c r="N94" s="9"/>
      <c r="O94" s="9"/>
      <c r="P94" s="9"/>
      <c r="Q94" s="9"/>
      <c r="R94" s="10" t="str">
        <f aca="false">IF(A94="","",SG_Criteria!$B$6&amp;SG_Criteria!$B$13&amp;"\"&amp;A94&amp;"\")</f>
        <v/>
      </c>
      <c r="S94" s="10" t="str">
        <f aca="false">IF(A94="","",A94&amp;"_CAD.dwg")</f>
        <v/>
      </c>
      <c r="T94" s="10" t="str">
        <f aca="false">IF(A94="","",A94&amp;"_DWG.pdf")</f>
        <v/>
      </c>
      <c r="U94" s="10" t="str">
        <f aca="false">IF(A94="","",IF(Q94="Y",A94&amp;"_STAAD.std","n/a"))</f>
        <v/>
      </c>
      <c r="V94" s="10" t="str">
        <f aca="false">IF(A94="","",A94&amp;"_CALC.xlsx")</f>
        <v/>
      </c>
      <c r="W94" s="10" t="str">
        <f aca="false">IF(A94="","",A94&amp;"_CALC.pdf")</f>
        <v/>
      </c>
      <c r="X94" s="9"/>
      <c r="Y94" s="9"/>
      <c r="Z94" s="41"/>
      <c r="AA94" s="41"/>
      <c r="AB94" s="41"/>
      <c r="AC94" s="41"/>
      <c r="AD94" s="41"/>
      <c r="AE94" s="38" t="str">
        <f aca="false">IF(C94="","","OK")</f>
        <v/>
      </c>
      <c r="AF94" s="9"/>
      <c r="AG94" s="9"/>
      <c r="AH94" s="9"/>
      <c r="AI94" s="9"/>
      <c r="AJ94" s="9"/>
      <c r="AK94" s="31"/>
      <c r="AL94" s="10" t="str">
        <f aca="false">IF(C94="","",IF(AND(N94="Approved",ISERROR(SEARCH("FAIL",AE94))),"Y","N"))</f>
        <v/>
      </c>
    </row>
    <row r="95" customFormat="false" ht="15" hidden="false" customHeight="false" outlineLevel="0" collapsed="false">
      <c r="A95" s="10" t="str">
        <f aca="false">IF(C95="","",IFERROR(VLOOKUP(C95,Lists!$BI$4:$BJ$20,2,0),"??")&amp;"-"&amp;UPPER(SUBSTITUTE(D95," ",""))&amp;IF(E95&lt;&gt;"","-SP"&amp;TEXT(E95*1000,"0"),"")&amp;IF(F95&lt;&gt;"","-H"&amp;TEXT(F95*1000,"0"),"")&amp;"-"&amp;M95)</f>
        <v/>
      </c>
      <c r="B95" s="10" t="str">
        <f aca="false">IF(C95="","",C95&amp;" - "&amp;D95&amp;IF(E95&lt;&gt;"",", span "&amp;E95&amp;" m","")&amp;IF(F95&lt;&gt;"",", H "&amp;F95&amp;" m","")&amp;IF(G95&lt;&gt;"",", W "&amp;G95&amp;" m",""))</f>
        <v/>
      </c>
      <c r="C95" s="9"/>
      <c r="D95" s="9"/>
      <c r="E95" s="43"/>
      <c r="F95" s="43"/>
      <c r="G95" s="43"/>
      <c r="H95" s="9"/>
      <c r="I95" s="9"/>
      <c r="J95" s="9"/>
      <c r="K95" s="9"/>
      <c r="L95" s="9"/>
      <c r="M95" s="9"/>
      <c r="N95" s="9"/>
      <c r="O95" s="9"/>
      <c r="P95" s="9"/>
      <c r="Q95" s="9"/>
      <c r="R95" s="10" t="str">
        <f aca="false">IF(A95="","",SG_Criteria!$B$6&amp;SG_Criteria!$B$13&amp;"\"&amp;A95&amp;"\")</f>
        <v/>
      </c>
      <c r="S95" s="10" t="str">
        <f aca="false">IF(A95="","",A95&amp;"_CAD.dwg")</f>
        <v/>
      </c>
      <c r="T95" s="10" t="str">
        <f aca="false">IF(A95="","",A95&amp;"_DWG.pdf")</f>
        <v/>
      </c>
      <c r="U95" s="10" t="str">
        <f aca="false">IF(A95="","",IF(Q95="Y",A95&amp;"_STAAD.std","n/a"))</f>
        <v/>
      </c>
      <c r="V95" s="10" t="str">
        <f aca="false">IF(A95="","",A95&amp;"_CALC.xlsx")</f>
        <v/>
      </c>
      <c r="W95" s="10" t="str">
        <f aca="false">IF(A95="","",A95&amp;"_CALC.pdf")</f>
        <v/>
      </c>
      <c r="X95" s="9"/>
      <c r="Y95" s="9"/>
      <c r="Z95" s="41"/>
      <c r="AA95" s="41"/>
      <c r="AB95" s="41"/>
      <c r="AC95" s="41"/>
      <c r="AD95" s="41"/>
      <c r="AE95" s="38" t="str">
        <f aca="false">IF(C95="","","OK")</f>
        <v/>
      </c>
      <c r="AF95" s="9"/>
      <c r="AG95" s="9"/>
      <c r="AH95" s="9"/>
      <c r="AI95" s="9"/>
      <c r="AJ95" s="9"/>
      <c r="AK95" s="31"/>
      <c r="AL95" s="10" t="str">
        <f aca="false">IF(C95="","",IF(AND(N95="Approved",ISERROR(SEARCH("FAIL",AE95))),"Y","N"))</f>
        <v/>
      </c>
    </row>
    <row r="96" customFormat="false" ht="15" hidden="false" customHeight="false" outlineLevel="0" collapsed="false">
      <c r="A96" s="10" t="str">
        <f aca="false">IF(C96="","",IFERROR(VLOOKUP(C96,Lists!$BI$4:$BJ$20,2,0),"??")&amp;"-"&amp;UPPER(SUBSTITUTE(D96," ",""))&amp;IF(E96&lt;&gt;"","-SP"&amp;TEXT(E96*1000,"0"),"")&amp;IF(F96&lt;&gt;"","-H"&amp;TEXT(F96*1000,"0"),"")&amp;"-"&amp;M96)</f>
        <v/>
      </c>
      <c r="B96" s="10" t="str">
        <f aca="false">IF(C96="","",C96&amp;" - "&amp;D96&amp;IF(E96&lt;&gt;"",", span "&amp;E96&amp;" m","")&amp;IF(F96&lt;&gt;"",", H "&amp;F96&amp;" m","")&amp;IF(G96&lt;&gt;"",", W "&amp;G96&amp;" m",""))</f>
        <v/>
      </c>
      <c r="C96" s="9"/>
      <c r="D96" s="9"/>
      <c r="E96" s="43"/>
      <c r="F96" s="43"/>
      <c r="G96" s="43"/>
      <c r="H96" s="9"/>
      <c r="I96" s="9"/>
      <c r="J96" s="9"/>
      <c r="K96" s="9"/>
      <c r="L96" s="9"/>
      <c r="M96" s="9"/>
      <c r="N96" s="9"/>
      <c r="O96" s="9"/>
      <c r="P96" s="9"/>
      <c r="Q96" s="9"/>
      <c r="R96" s="10" t="str">
        <f aca="false">IF(A96="","",SG_Criteria!$B$6&amp;SG_Criteria!$B$13&amp;"\"&amp;A96&amp;"\")</f>
        <v/>
      </c>
      <c r="S96" s="10" t="str">
        <f aca="false">IF(A96="","",A96&amp;"_CAD.dwg")</f>
        <v/>
      </c>
      <c r="T96" s="10" t="str">
        <f aca="false">IF(A96="","",A96&amp;"_DWG.pdf")</f>
        <v/>
      </c>
      <c r="U96" s="10" t="str">
        <f aca="false">IF(A96="","",IF(Q96="Y",A96&amp;"_STAAD.std","n/a"))</f>
        <v/>
      </c>
      <c r="V96" s="10" t="str">
        <f aca="false">IF(A96="","",A96&amp;"_CALC.xlsx")</f>
        <v/>
      </c>
      <c r="W96" s="10" t="str">
        <f aca="false">IF(A96="","",A96&amp;"_CALC.pdf")</f>
        <v/>
      </c>
      <c r="X96" s="9"/>
      <c r="Y96" s="9"/>
      <c r="Z96" s="41"/>
      <c r="AA96" s="41"/>
      <c r="AB96" s="41"/>
      <c r="AC96" s="41"/>
      <c r="AD96" s="41"/>
      <c r="AE96" s="38" t="str">
        <f aca="false">IF(C96="","","OK")</f>
        <v/>
      </c>
      <c r="AF96" s="9"/>
      <c r="AG96" s="9"/>
      <c r="AH96" s="9"/>
      <c r="AI96" s="9"/>
      <c r="AJ96" s="9"/>
      <c r="AK96" s="31"/>
      <c r="AL96" s="10" t="str">
        <f aca="false">IF(C96="","",IF(AND(N96="Approved",ISERROR(SEARCH("FAIL",AE96))),"Y","N"))</f>
        <v/>
      </c>
    </row>
    <row r="97" customFormat="false" ht="15" hidden="false" customHeight="false" outlineLevel="0" collapsed="false">
      <c r="A97" s="10" t="str">
        <f aca="false">IF(C97="","",IFERROR(VLOOKUP(C97,Lists!$BI$4:$BJ$20,2,0),"??")&amp;"-"&amp;UPPER(SUBSTITUTE(D97," ",""))&amp;IF(E97&lt;&gt;"","-SP"&amp;TEXT(E97*1000,"0"),"")&amp;IF(F97&lt;&gt;"","-H"&amp;TEXT(F97*1000,"0"),"")&amp;"-"&amp;M97)</f>
        <v/>
      </c>
      <c r="B97" s="10" t="str">
        <f aca="false">IF(C97="","",C97&amp;" - "&amp;D97&amp;IF(E97&lt;&gt;"",", span "&amp;E97&amp;" m","")&amp;IF(F97&lt;&gt;"",", H "&amp;F97&amp;" m","")&amp;IF(G97&lt;&gt;"",", W "&amp;G97&amp;" m",""))</f>
        <v/>
      </c>
      <c r="C97" s="9"/>
      <c r="D97" s="9"/>
      <c r="E97" s="43"/>
      <c r="F97" s="43"/>
      <c r="G97" s="43"/>
      <c r="H97" s="9"/>
      <c r="I97" s="9"/>
      <c r="J97" s="9"/>
      <c r="K97" s="9"/>
      <c r="L97" s="9"/>
      <c r="M97" s="9"/>
      <c r="N97" s="9"/>
      <c r="O97" s="9"/>
      <c r="P97" s="9"/>
      <c r="Q97" s="9"/>
      <c r="R97" s="10" t="str">
        <f aca="false">IF(A97="","",SG_Criteria!$B$6&amp;SG_Criteria!$B$13&amp;"\"&amp;A97&amp;"\")</f>
        <v/>
      </c>
      <c r="S97" s="10" t="str">
        <f aca="false">IF(A97="","",A97&amp;"_CAD.dwg")</f>
        <v/>
      </c>
      <c r="T97" s="10" t="str">
        <f aca="false">IF(A97="","",A97&amp;"_DWG.pdf")</f>
        <v/>
      </c>
      <c r="U97" s="10" t="str">
        <f aca="false">IF(A97="","",IF(Q97="Y",A97&amp;"_STAAD.std","n/a"))</f>
        <v/>
      </c>
      <c r="V97" s="10" t="str">
        <f aca="false">IF(A97="","",A97&amp;"_CALC.xlsx")</f>
        <v/>
      </c>
      <c r="W97" s="10" t="str">
        <f aca="false">IF(A97="","",A97&amp;"_CALC.pdf")</f>
        <v/>
      </c>
      <c r="X97" s="9"/>
      <c r="Y97" s="9"/>
      <c r="Z97" s="41"/>
      <c r="AA97" s="41"/>
      <c r="AB97" s="41"/>
      <c r="AC97" s="41"/>
      <c r="AD97" s="41"/>
      <c r="AE97" s="38" t="str">
        <f aca="false">IF(C97="","","OK")</f>
        <v/>
      </c>
      <c r="AF97" s="9"/>
      <c r="AG97" s="9"/>
      <c r="AH97" s="9"/>
      <c r="AI97" s="9"/>
      <c r="AJ97" s="9"/>
      <c r="AK97" s="31"/>
      <c r="AL97" s="10" t="str">
        <f aca="false">IF(C97="","",IF(AND(N97="Approved",ISERROR(SEARCH("FAIL",AE97))),"Y","N"))</f>
        <v/>
      </c>
    </row>
    <row r="98" customFormat="false" ht="15" hidden="false" customHeight="false" outlineLevel="0" collapsed="false">
      <c r="A98" s="10" t="str">
        <f aca="false">IF(C98="","",IFERROR(VLOOKUP(C98,Lists!$BI$4:$BJ$20,2,0),"??")&amp;"-"&amp;UPPER(SUBSTITUTE(D98," ",""))&amp;IF(E98&lt;&gt;"","-SP"&amp;TEXT(E98*1000,"0"),"")&amp;IF(F98&lt;&gt;"","-H"&amp;TEXT(F98*1000,"0"),"")&amp;"-"&amp;M98)</f>
        <v/>
      </c>
      <c r="B98" s="10" t="str">
        <f aca="false">IF(C98="","",C98&amp;" - "&amp;D98&amp;IF(E98&lt;&gt;"",", span "&amp;E98&amp;" m","")&amp;IF(F98&lt;&gt;"",", H "&amp;F98&amp;" m","")&amp;IF(G98&lt;&gt;"",", W "&amp;G98&amp;" m",""))</f>
        <v/>
      </c>
      <c r="C98" s="9"/>
      <c r="D98" s="9"/>
      <c r="E98" s="43"/>
      <c r="F98" s="43"/>
      <c r="G98" s="43"/>
      <c r="H98" s="9"/>
      <c r="I98" s="9"/>
      <c r="J98" s="9"/>
      <c r="K98" s="9"/>
      <c r="L98" s="9"/>
      <c r="M98" s="9"/>
      <c r="N98" s="9"/>
      <c r="O98" s="9"/>
      <c r="P98" s="9"/>
      <c r="Q98" s="9"/>
      <c r="R98" s="10" t="str">
        <f aca="false">IF(A98="","",SG_Criteria!$B$6&amp;SG_Criteria!$B$13&amp;"\"&amp;A98&amp;"\")</f>
        <v/>
      </c>
      <c r="S98" s="10" t="str">
        <f aca="false">IF(A98="","",A98&amp;"_CAD.dwg")</f>
        <v/>
      </c>
      <c r="T98" s="10" t="str">
        <f aca="false">IF(A98="","",A98&amp;"_DWG.pdf")</f>
        <v/>
      </c>
      <c r="U98" s="10" t="str">
        <f aca="false">IF(A98="","",IF(Q98="Y",A98&amp;"_STAAD.std","n/a"))</f>
        <v/>
      </c>
      <c r="V98" s="10" t="str">
        <f aca="false">IF(A98="","",A98&amp;"_CALC.xlsx")</f>
        <v/>
      </c>
      <c r="W98" s="10" t="str">
        <f aca="false">IF(A98="","",A98&amp;"_CALC.pdf")</f>
        <v/>
      </c>
      <c r="X98" s="9"/>
      <c r="Y98" s="9"/>
      <c r="Z98" s="41"/>
      <c r="AA98" s="41"/>
      <c r="AB98" s="41"/>
      <c r="AC98" s="41"/>
      <c r="AD98" s="41"/>
      <c r="AE98" s="38" t="str">
        <f aca="false">IF(C98="","","OK")</f>
        <v/>
      </c>
      <c r="AF98" s="9"/>
      <c r="AG98" s="9"/>
      <c r="AH98" s="9"/>
      <c r="AI98" s="9"/>
      <c r="AJ98" s="9"/>
      <c r="AK98" s="31"/>
      <c r="AL98" s="10" t="str">
        <f aca="false">IF(C98="","",IF(AND(N98="Approved",ISERROR(SEARCH("FAIL",AE98))),"Y","N"))</f>
        <v/>
      </c>
    </row>
    <row r="99" customFormat="false" ht="15" hidden="false" customHeight="false" outlineLevel="0" collapsed="false">
      <c r="A99" s="10" t="str">
        <f aca="false">IF(C99="","",IFERROR(VLOOKUP(C99,Lists!$BI$4:$BJ$20,2,0),"??")&amp;"-"&amp;UPPER(SUBSTITUTE(D99," ",""))&amp;IF(E99&lt;&gt;"","-SP"&amp;TEXT(E99*1000,"0"),"")&amp;IF(F99&lt;&gt;"","-H"&amp;TEXT(F99*1000,"0"),"")&amp;"-"&amp;M99)</f>
        <v/>
      </c>
      <c r="B99" s="10" t="str">
        <f aca="false">IF(C99="","",C99&amp;" - "&amp;D99&amp;IF(E99&lt;&gt;"",", span "&amp;E99&amp;" m","")&amp;IF(F99&lt;&gt;"",", H "&amp;F99&amp;" m","")&amp;IF(G99&lt;&gt;"",", W "&amp;G99&amp;" m",""))</f>
        <v/>
      </c>
      <c r="C99" s="9"/>
      <c r="D99" s="9"/>
      <c r="E99" s="43"/>
      <c r="F99" s="43"/>
      <c r="G99" s="43"/>
      <c r="H99" s="9"/>
      <c r="I99" s="9"/>
      <c r="J99" s="9"/>
      <c r="K99" s="9"/>
      <c r="L99" s="9"/>
      <c r="M99" s="9"/>
      <c r="N99" s="9"/>
      <c r="O99" s="9"/>
      <c r="P99" s="9"/>
      <c r="Q99" s="9"/>
      <c r="R99" s="10" t="str">
        <f aca="false">IF(A99="","",SG_Criteria!$B$6&amp;SG_Criteria!$B$13&amp;"\"&amp;A99&amp;"\")</f>
        <v/>
      </c>
      <c r="S99" s="10" t="str">
        <f aca="false">IF(A99="","",A99&amp;"_CAD.dwg")</f>
        <v/>
      </c>
      <c r="T99" s="10" t="str">
        <f aca="false">IF(A99="","",A99&amp;"_DWG.pdf")</f>
        <v/>
      </c>
      <c r="U99" s="10" t="str">
        <f aca="false">IF(A99="","",IF(Q99="Y",A99&amp;"_STAAD.std","n/a"))</f>
        <v/>
      </c>
      <c r="V99" s="10" t="str">
        <f aca="false">IF(A99="","",A99&amp;"_CALC.xlsx")</f>
        <v/>
      </c>
      <c r="W99" s="10" t="str">
        <f aca="false">IF(A99="","",A99&amp;"_CALC.pdf")</f>
        <v/>
      </c>
      <c r="X99" s="9"/>
      <c r="Y99" s="9"/>
      <c r="Z99" s="41"/>
      <c r="AA99" s="41"/>
      <c r="AB99" s="41"/>
      <c r="AC99" s="41"/>
      <c r="AD99" s="41"/>
      <c r="AE99" s="38" t="str">
        <f aca="false">IF(C99="","","OK")</f>
        <v/>
      </c>
      <c r="AF99" s="9"/>
      <c r="AG99" s="9"/>
      <c r="AH99" s="9"/>
      <c r="AI99" s="9"/>
      <c r="AJ99" s="9"/>
      <c r="AK99" s="31"/>
      <c r="AL99" s="10" t="str">
        <f aca="false">IF(C99="","",IF(AND(N99="Approved",ISERROR(SEARCH("FAIL",AE99))),"Y","N"))</f>
        <v/>
      </c>
    </row>
    <row r="100" customFormat="false" ht="15" hidden="false" customHeight="false" outlineLevel="0" collapsed="false">
      <c r="A100" s="10" t="str">
        <f aca="false">IF(C100="","",IFERROR(VLOOKUP(C100,Lists!$BI$4:$BJ$20,2,0),"??")&amp;"-"&amp;UPPER(SUBSTITUTE(D100," ",""))&amp;IF(E100&lt;&gt;"","-SP"&amp;TEXT(E100*1000,"0"),"")&amp;IF(F100&lt;&gt;"","-H"&amp;TEXT(F100*1000,"0"),"")&amp;"-"&amp;M100)</f>
        <v/>
      </c>
      <c r="B100" s="10" t="str">
        <f aca="false">IF(C100="","",C100&amp;" - "&amp;D100&amp;IF(E100&lt;&gt;"",", span "&amp;E100&amp;" m","")&amp;IF(F100&lt;&gt;"",", H "&amp;F100&amp;" m","")&amp;IF(G100&lt;&gt;"",", W "&amp;G100&amp;" m",""))</f>
        <v/>
      </c>
      <c r="C100" s="9"/>
      <c r="D100" s="9"/>
      <c r="E100" s="43"/>
      <c r="F100" s="43"/>
      <c r="G100" s="43"/>
      <c r="H100" s="9"/>
      <c r="I100" s="9"/>
      <c r="J100" s="9"/>
      <c r="K100" s="9"/>
      <c r="L100" s="9"/>
      <c r="M100" s="9"/>
      <c r="N100" s="9"/>
      <c r="O100" s="9"/>
      <c r="P100" s="9"/>
      <c r="Q100" s="9"/>
      <c r="R100" s="10" t="str">
        <f aca="false">IF(A100="","",SG_Criteria!$B$6&amp;SG_Criteria!$B$13&amp;"\"&amp;A100&amp;"\")</f>
        <v/>
      </c>
      <c r="S100" s="10" t="str">
        <f aca="false">IF(A100="","",A100&amp;"_CAD.dwg")</f>
        <v/>
      </c>
      <c r="T100" s="10" t="str">
        <f aca="false">IF(A100="","",A100&amp;"_DWG.pdf")</f>
        <v/>
      </c>
      <c r="U100" s="10" t="str">
        <f aca="false">IF(A100="","",IF(Q100="Y",A100&amp;"_STAAD.std","n/a"))</f>
        <v/>
      </c>
      <c r="V100" s="10" t="str">
        <f aca="false">IF(A100="","",A100&amp;"_CALC.xlsx")</f>
        <v/>
      </c>
      <c r="W100" s="10" t="str">
        <f aca="false">IF(A100="","",A100&amp;"_CALC.pdf")</f>
        <v/>
      </c>
      <c r="X100" s="9"/>
      <c r="Y100" s="9"/>
      <c r="Z100" s="41"/>
      <c r="AA100" s="41"/>
      <c r="AB100" s="41"/>
      <c r="AC100" s="41"/>
      <c r="AD100" s="41"/>
      <c r="AE100" s="38" t="str">
        <f aca="false">IF(C100="","","OK")</f>
        <v/>
      </c>
      <c r="AF100" s="9"/>
      <c r="AG100" s="9"/>
      <c r="AH100" s="9"/>
      <c r="AI100" s="9"/>
      <c r="AJ100" s="9"/>
      <c r="AK100" s="31"/>
      <c r="AL100" s="10" t="str">
        <f aca="false">IF(C100="","",IF(AND(N100="Approved",ISERROR(SEARCH("FAIL",AE100))),"Y","N"))</f>
        <v/>
      </c>
    </row>
    <row r="101" customFormat="false" ht="15" hidden="false" customHeight="false" outlineLevel="0" collapsed="false">
      <c r="A101" s="10" t="str">
        <f aca="false">IF(C101="","",IFERROR(VLOOKUP(C101,Lists!$BI$4:$BJ$20,2,0),"??")&amp;"-"&amp;UPPER(SUBSTITUTE(D101," ",""))&amp;IF(E101&lt;&gt;"","-SP"&amp;TEXT(E101*1000,"0"),"")&amp;IF(F101&lt;&gt;"","-H"&amp;TEXT(F101*1000,"0"),"")&amp;"-"&amp;M101)</f>
        <v/>
      </c>
      <c r="B101" s="10" t="str">
        <f aca="false">IF(C101="","",C101&amp;" - "&amp;D101&amp;IF(E101&lt;&gt;"",", span "&amp;E101&amp;" m","")&amp;IF(F101&lt;&gt;"",", H "&amp;F101&amp;" m","")&amp;IF(G101&lt;&gt;"",", W "&amp;G101&amp;" m",""))</f>
        <v/>
      </c>
      <c r="C101" s="9"/>
      <c r="D101" s="9"/>
      <c r="E101" s="43"/>
      <c r="F101" s="43"/>
      <c r="G101" s="43"/>
      <c r="H101" s="9"/>
      <c r="I101" s="9"/>
      <c r="J101" s="9"/>
      <c r="K101" s="9"/>
      <c r="L101" s="9"/>
      <c r="M101" s="9"/>
      <c r="N101" s="9"/>
      <c r="O101" s="9"/>
      <c r="P101" s="9"/>
      <c r="Q101" s="9"/>
      <c r="R101" s="10" t="str">
        <f aca="false">IF(A101="","",SG_Criteria!$B$6&amp;SG_Criteria!$B$13&amp;"\"&amp;A101&amp;"\")</f>
        <v/>
      </c>
      <c r="S101" s="10" t="str">
        <f aca="false">IF(A101="","",A101&amp;"_CAD.dwg")</f>
        <v/>
      </c>
      <c r="T101" s="10" t="str">
        <f aca="false">IF(A101="","",A101&amp;"_DWG.pdf")</f>
        <v/>
      </c>
      <c r="U101" s="10" t="str">
        <f aca="false">IF(A101="","",IF(Q101="Y",A101&amp;"_STAAD.std","n/a"))</f>
        <v/>
      </c>
      <c r="V101" s="10" t="str">
        <f aca="false">IF(A101="","",A101&amp;"_CALC.xlsx")</f>
        <v/>
      </c>
      <c r="W101" s="10" t="str">
        <f aca="false">IF(A101="","",A101&amp;"_CALC.pdf")</f>
        <v/>
      </c>
      <c r="X101" s="9"/>
      <c r="Y101" s="9"/>
      <c r="Z101" s="41"/>
      <c r="AA101" s="41"/>
      <c r="AB101" s="41"/>
      <c r="AC101" s="41"/>
      <c r="AD101" s="41"/>
      <c r="AE101" s="38" t="str">
        <f aca="false">IF(C101="","","OK")</f>
        <v/>
      </c>
      <c r="AF101" s="9"/>
      <c r="AG101" s="9"/>
      <c r="AH101" s="9"/>
      <c r="AI101" s="9"/>
      <c r="AJ101" s="9"/>
      <c r="AK101" s="31"/>
      <c r="AL101" s="10" t="str">
        <f aca="false">IF(C101="","",IF(AND(N101="Approved",ISERROR(SEARCH("FAIL",AE101))),"Y","N"))</f>
        <v/>
      </c>
    </row>
    <row r="102" customFormat="false" ht="15" hidden="false" customHeight="false" outlineLevel="0" collapsed="false">
      <c r="A102" s="10" t="str">
        <f aca="false">IF(C102="","",IFERROR(VLOOKUP(C102,Lists!$BI$4:$BJ$20,2,0),"??")&amp;"-"&amp;UPPER(SUBSTITUTE(D102," ",""))&amp;IF(E102&lt;&gt;"","-SP"&amp;TEXT(E102*1000,"0"),"")&amp;IF(F102&lt;&gt;"","-H"&amp;TEXT(F102*1000,"0"),"")&amp;"-"&amp;M102)</f>
        <v/>
      </c>
      <c r="B102" s="10" t="str">
        <f aca="false">IF(C102="","",C102&amp;" - "&amp;D102&amp;IF(E102&lt;&gt;"",", span "&amp;E102&amp;" m","")&amp;IF(F102&lt;&gt;"",", H "&amp;F102&amp;" m","")&amp;IF(G102&lt;&gt;"",", W "&amp;G102&amp;" m",""))</f>
        <v/>
      </c>
      <c r="C102" s="9"/>
      <c r="D102" s="9"/>
      <c r="E102" s="43"/>
      <c r="F102" s="43"/>
      <c r="G102" s="43"/>
      <c r="H102" s="9"/>
      <c r="I102" s="9"/>
      <c r="J102" s="9"/>
      <c r="K102" s="9"/>
      <c r="L102" s="9"/>
      <c r="M102" s="9"/>
      <c r="N102" s="9"/>
      <c r="O102" s="9"/>
      <c r="P102" s="9"/>
      <c r="Q102" s="9"/>
      <c r="R102" s="10" t="str">
        <f aca="false">IF(A102="","",SG_Criteria!$B$6&amp;SG_Criteria!$B$13&amp;"\"&amp;A102&amp;"\")</f>
        <v/>
      </c>
      <c r="S102" s="10" t="str">
        <f aca="false">IF(A102="","",A102&amp;"_CAD.dwg")</f>
        <v/>
      </c>
      <c r="T102" s="10" t="str">
        <f aca="false">IF(A102="","",A102&amp;"_DWG.pdf")</f>
        <v/>
      </c>
      <c r="U102" s="10" t="str">
        <f aca="false">IF(A102="","",IF(Q102="Y",A102&amp;"_STAAD.std","n/a"))</f>
        <v/>
      </c>
      <c r="V102" s="10" t="str">
        <f aca="false">IF(A102="","",A102&amp;"_CALC.xlsx")</f>
        <v/>
      </c>
      <c r="W102" s="10" t="str">
        <f aca="false">IF(A102="","",A102&amp;"_CALC.pdf")</f>
        <v/>
      </c>
      <c r="X102" s="9"/>
      <c r="Y102" s="9"/>
      <c r="Z102" s="41"/>
      <c r="AA102" s="41"/>
      <c r="AB102" s="41"/>
      <c r="AC102" s="41"/>
      <c r="AD102" s="41"/>
      <c r="AE102" s="38" t="str">
        <f aca="false">IF(C102="","","OK")</f>
        <v/>
      </c>
      <c r="AF102" s="9"/>
      <c r="AG102" s="9"/>
      <c r="AH102" s="9"/>
      <c r="AI102" s="9"/>
      <c r="AJ102" s="9"/>
      <c r="AK102" s="31"/>
      <c r="AL102" s="10" t="str">
        <f aca="false">IF(C102="","",IF(AND(N102="Approved",ISERROR(SEARCH("FAIL",AE102))),"Y","N"))</f>
        <v/>
      </c>
    </row>
    <row r="103" customFormat="false" ht="15" hidden="false" customHeight="false" outlineLevel="0" collapsed="false">
      <c r="A103" s="10" t="str">
        <f aca="false">IF(C103="","",IFERROR(VLOOKUP(C103,Lists!$BI$4:$BJ$20,2,0),"??")&amp;"-"&amp;UPPER(SUBSTITUTE(D103," ",""))&amp;IF(E103&lt;&gt;"","-SP"&amp;TEXT(E103*1000,"0"),"")&amp;IF(F103&lt;&gt;"","-H"&amp;TEXT(F103*1000,"0"),"")&amp;"-"&amp;M103)</f>
        <v/>
      </c>
      <c r="B103" s="10" t="str">
        <f aca="false">IF(C103="","",C103&amp;" - "&amp;D103&amp;IF(E103&lt;&gt;"",", span "&amp;E103&amp;" m","")&amp;IF(F103&lt;&gt;"",", H "&amp;F103&amp;" m","")&amp;IF(G103&lt;&gt;"",", W "&amp;G103&amp;" m",""))</f>
        <v/>
      </c>
      <c r="C103" s="9"/>
      <c r="D103" s="9"/>
      <c r="E103" s="43"/>
      <c r="F103" s="43"/>
      <c r="G103" s="43"/>
      <c r="H103" s="9"/>
      <c r="I103" s="9"/>
      <c r="J103" s="9"/>
      <c r="K103" s="9"/>
      <c r="L103" s="9"/>
      <c r="M103" s="9"/>
      <c r="N103" s="9"/>
      <c r="O103" s="9"/>
      <c r="P103" s="9"/>
      <c r="Q103" s="9"/>
      <c r="R103" s="10" t="str">
        <f aca="false">IF(A103="","",SG_Criteria!$B$6&amp;SG_Criteria!$B$13&amp;"\"&amp;A103&amp;"\")</f>
        <v/>
      </c>
      <c r="S103" s="10" t="str">
        <f aca="false">IF(A103="","",A103&amp;"_CAD.dwg")</f>
        <v/>
      </c>
      <c r="T103" s="10" t="str">
        <f aca="false">IF(A103="","",A103&amp;"_DWG.pdf")</f>
        <v/>
      </c>
      <c r="U103" s="10" t="str">
        <f aca="false">IF(A103="","",IF(Q103="Y",A103&amp;"_STAAD.std","n/a"))</f>
        <v/>
      </c>
      <c r="V103" s="10" t="str">
        <f aca="false">IF(A103="","",A103&amp;"_CALC.xlsx")</f>
        <v/>
      </c>
      <c r="W103" s="10" t="str">
        <f aca="false">IF(A103="","",A103&amp;"_CALC.pdf")</f>
        <v/>
      </c>
      <c r="X103" s="9"/>
      <c r="Y103" s="9"/>
      <c r="Z103" s="41"/>
      <c r="AA103" s="41"/>
      <c r="AB103" s="41"/>
      <c r="AC103" s="41"/>
      <c r="AD103" s="41"/>
      <c r="AE103" s="38" t="str">
        <f aca="false">IF(C103="","","OK")</f>
        <v/>
      </c>
      <c r="AF103" s="9"/>
      <c r="AG103" s="9"/>
      <c r="AH103" s="9"/>
      <c r="AI103" s="9"/>
      <c r="AJ103" s="9"/>
      <c r="AK103" s="31"/>
      <c r="AL103" s="10" t="str">
        <f aca="false">IF(C103="","",IF(AND(N103="Approved",ISERROR(SEARCH("FAIL",AE103))),"Y","N"))</f>
        <v/>
      </c>
    </row>
    <row r="104" customFormat="false" ht="15" hidden="false" customHeight="false" outlineLevel="0" collapsed="false">
      <c r="A104" s="10" t="str">
        <f aca="false">IF(C104="","",IFERROR(VLOOKUP(C104,Lists!$BI$4:$BJ$20,2,0),"??")&amp;"-"&amp;UPPER(SUBSTITUTE(D104," ",""))&amp;IF(E104&lt;&gt;"","-SP"&amp;TEXT(E104*1000,"0"),"")&amp;IF(F104&lt;&gt;"","-H"&amp;TEXT(F104*1000,"0"),"")&amp;"-"&amp;M104)</f>
        <v/>
      </c>
      <c r="B104" s="10" t="str">
        <f aca="false">IF(C104="","",C104&amp;" - "&amp;D104&amp;IF(E104&lt;&gt;"",", span "&amp;E104&amp;" m","")&amp;IF(F104&lt;&gt;"",", H "&amp;F104&amp;" m","")&amp;IF(G104&lt;&gt;"",", W "&amp;G104&amp;" m",""))</f>
        <v/>
      </c>
      <c r="C104" s="9"/>
      <c r="D104" s="9"/>
      <c r="E104" s="43"/>
      <c r="F104" s="43"/>
      <c r="G104" s="43"/>
      <c r="H104" s="9"/>
      <c r="I104" s="9"/>
      <c r="J104" s="9"/>
      <c r="K104" s="9"/>
      <c r="L104" s="9"/>
      <c r="M104" s="9"/>
      <c r="N104" s="9"/>
      <c r="O104" s="9"/>
      <c r="P104" s="9"/>
      <c r="Q104" s="9"/>
      <c r="R104" s="10" t="str">
        <f aca="false">IF(A104="","",SG_Criteria!$B$6&amp;SG_Criteria!$B$13&amp;"\"&amp;A104&amp;"\")</f>
        <v/>
      </c>
      <c r="S104" s="10" t="str">
        <f aca="false">IF(A104="","",A104&amp;"_CAD.dwg")</f>
        <v/>
      </c>
      <c r="T104" s="10" t="str">
        <f aca="false">IF(A104="","",A104&amp;"_DWG.pdf")</f>
        <v/>
      </c>
      <c r="U104" s="10" t="str">
        <f aca="false">IF(A104="","",IF(Q104="Y",A104&amp;"_STAAD.std","n/a"))</f>
        <v/>
      </c>
      <c r="V104" s="10" t="str">
        <f aca="false">IF(A104="","",A104&amp;"_CALC.xlsx")</f>
        <v/>
      </c>
      <c r="W104" s="10" t="str">
        <f aca="false">IF(A104="","",A104&amp;"_CALC.pdf")</f>
        <v/>
      </c>
      <c r="X104" s="9"/>
      <c r="Y104" s="9"/>
      <c r="Z104" s="41"/>
      <c r="AA104" s="41"/>
      <c r="AB104" s="41"/>
      <c r="AC104" s="41"/>
      <c r="AD104" s="41"/>
      <c r="AE104" s="38" t="str">
        <f aca="false">IF(C104="","","OK")</f>
        <v/>
      </c>
      <c r="AF104" s="9"/>
      <c r="AG104" s="9"/>
      <c r="AH104" s="9"/>
      <c r="AI104" s="9"/>
      <c r="AJ104" s="9"/>
      <c r="AK104" s="31"/>
      <c r="AL104" s="10" t="str">
        <f aca="false">IF(C104="","",IF(AND(N104="Approved",ISERROR(SEARCH("FAIL",AE104))),"Y","N"))</f>
        <v/>
      </c>
    </row>
    <row r="105" customFormat="false" ht="15" hidden="false" customHeight="false" outlineLevel="0" collapsed="false">
      <c r="A105" s="10" t="str">
        <f aca="false">IF(C105="","",IFERROR(VLOOKUP(C105,Lists!$BI$4:$BJ$20,2,0),"??")&amp;"-"&amp;UPPER(SUBSTITUTE(D105," ",""))&amp;IF(E105&lt;&gt;"","-SP"&amp;TEXT(E105*1000,"0"),"")&amp;IF(F105&lt;&gt;"","-H"&amp;TEXT(F105*1000,"0"),"")&amp;"-"&amp;M105)</f>
        <v/>
      </c>
      <c r="B105" s="10" t="str">
        <f aca="false">IF(C105="","",C105&amp;" - "&amp;D105&amp;IF(E105&lt;&gt;"",", span "&amp;E105&amp;" m","")&amp;IF(F105&lt;&gt;"",", H "&amp;F105&amp;" m","")&amp;IF(G105&lt;&gt;"",", W "&amp;G105&amp;" m",""))</f>
        <v/>
      </c>
      <c r="C105" s="9"/>
      <c r="D105" s="9"/>
      <c r="E105" s="43"/>
      <c r="F105" s="43"/>
      <c r="G105" s="43"/>
      <c r="H105" s="9"/>
      <c r="I105" s="9"/>
      <c r="J105" s="9"/>
      <c r="K105" s="9"/>
      <c r="L105" s="9"/>
      <c r="M105" s="9"/>
      <c r="N105" s="9"/>
      <c r="O105" s="9"/>
      <c r="P105" s="9"/>
      <c r="Q105" s="9"/>
      <c r="R105" s="10" t="str">
        <f aca="false">IF(A105="","",SG_Criteria!$B$6&amp;SG_Criteria!$B$13&amp;"\"&amp;A105&amp;"\")</f>
        <v/>
      </c>
      <c r="S105" s="10" t="str">
        <f aca="false">IF(A105="","",A105&amp;"_CAD.dwg")</f>
        <v/>
      </c>
      <c r="T105" s="10" t="str">
        <f aca="false">IF(A105="","",A105&amp;"_DWG.pdf")</f>
        <v/>
      </c>
      <c r="U105" s="10" t="str">
        <f aca="false">IF(A105="","",IF(Q105="Y",A105&amp;"_STAAD.std","n/a"))</f>
        <v/>
      </c>
      <c r="V105" s="10" t="str">
        <f aca="false">IF(A105="","",A105&amp;"_CALC.xlsx")</f>
        <v/>
      </c>
      <c r="W105" s="10" t="str">
        <f aca="false">IF(A105="","",A105&amp;"_CALC.pdf")</f>
        <v/>
      </c>
      <c r="X105" s="9"/>
      <c r="Y105" s="9"/>
      <c r="Z105" s="41"/>
      <c r="AA105" s="41"/>
      <c r="AB105" s="41"/>
      <c r="AC105" s="41"/>
      <c r="AD105" s="41"/>
      <c r="AE105" s="38" t="str">
        <f aca="false">IF(C105="","","OK")</f>
        <v/>
      </c>
      <c r="AF105" s="9"/>
      <c r="AG105" s="9"/>
      <c r="AH105" s="9"/>
      <c r="AI105" s="9"/>
      <c r="AJ105" s="9"/>
      <c r="AK105" s="31"/>
      <c r="AL105" s="10" t="str">
        <f aca="false">IF(C105="","",IF(AND(N105="Approved",ISERROR(SEARCH("FAIL",AE105))),"Y","N"))</f>
        <v/>
      </c>
    </row>
    <row r="106" customFormat="false" ht="15" hidden="false" customHeight="false" outlineLevel="0" collapsed="false">
      <c r="A106" s="10" t="str">
        <f aca="false">IF(C106="","",IFERROR(VLOOKUP(C106,Lists!$BI$4:$BJ$20,2,0),"??")&amp;"-"&amp;UPPER(SUBSTITUTE(D106," ",""))&amp;IF(E106&lt;&gt;"","-SP"&amp;TEXT(E106*1000,"0"),"")&amp;IF(F106&lt;&gt;"","-H"&amp;TEXT(F106*1000,"0"),"")&amp;"-"&amp;M106)</f>
        <v/>
      </c>
      <c r="B106" s="10" t="str">
        <f aca="false">IF(C106="","",C106&amp;" - "&amp;D106&amp;IF(E106&lt;&gt;"",", span "&amp;E106&amp;" m","")&amp;IF(F106&lt;&gt;"",", H "&amp;F106&amp;" m","")&amp;IF(G106&lt;&gt;"",", W "&amp;G106&amp;" m",""))</f>
        <v/>
      </c>
      <c r="C106" s="9"/>
      <c r="D106" s="9"/>
      <c r="E106" s="43"/>
      <c r="F106" s="43"/>
      <c r="G106" s="43"/>
      <c r="H106" s="9"/>
      <c r="I106" s="9"/>
      <c r="J106" s="9"/>
      <c r="K106" s="9"/>
      <c r="L106" s="9"/>
      <c r="M106" s="9"/>
      <c r="N106" s="9"/>
      <c r="O106" s="9"/>
      <c r="P106" s="9"/>
      <c r="Q106" s="9"/>
      <c r="R106" s="10" t="str">
        <f aca="false">IF(A106="","",SG_Criteria!$B$6&amp;SG_Criteria!$B$13&amp;"\"&amp;A106&amp;"\")</f>
        <v/>
      </c>
      <c r="S106" s="10" t="str">
        <f aca="false">IF(A106="","",A106&amp;"_CAD.dwg")</f>
        <v/>
      </c>
      <c r="T106" s="10" t="str">
        <f aca="false">IF(A106="","",A106&amp;"_DWG.pdf")</f>
        <v/>
      </c>
      <c r="U106" s="10" t="str">
        <f aca="false">IF(A106="","",IF(Q106="Y",A106&amp;"_STAAD.std","n/a"))</f>
        <v/>
      </c>
      <c r="V106" s="10" t="str">
        <f aca="false">IF(A106="","",A106&amp;"_CALC.xlsx")</f>
        <v/>
      </c>
      <c r="W106" s="10" t="str">
        <f aca="false">IF(A106="","",A106&amp;"_CALC.pdf")</f>
        <v/>
      </c>
      <c r="X106" s="9"/>
      <c r="Y106" s="9"/>
      <c r="Z106" s="41"/>
      <c r="AA106" s="41"/>
      <c r="AB106" s="41"/>
      <c r="AC106" s="41"/>
      <c r="AD106" s="41"/>
      <c r="AE106" s="38" t="str">
        <f aca="false">IF(C106="","","OK")</f>
        <v/>
      </c>
      <c r="AF106" s="9"/>
      <c r="AG106" s="9"/>
      <c r="AH106" s="9"/>
      <c r="AI106" s="9"/>
      <c r="AJ106" s="9"/>
      <c r="AK106" s="31"/>
      <c r="AL106" s="10" t="str">
        <f aca="false">IF(C106="","",IF(AND(N106="Approved",ISERROR(SEARCH("FAIL",AE106))),"Y","N"))</f>
        <v/>
      </c>
    </row>
    <row r="107" customFormat="false" ht="15" hidden="false" customHeight="false" outlineLevel="0" collapsed="false">
      <c r="A107" s="10" t="str">
        <f aca="false">IF(C107="","",IFERROR(VLOOKUP(C107,Lists!$BI$4:$BJ$20,2,0),"??")&amp;"-"&amp;UPPER(SUBSTITUTE(D107," ",""))&amp;IF(E107&lt;&gt;"","-SP"&amp;TEXT(E107*1000,"0"),"")&amp;IF(F107&lt;&gt;"","-H"&amp;TEXT(F107*1000,"0"),"")&amp;"-"&amp;M107)</f>
        <v/>
      </c>
      <c r="B107" s="10" t="str">
        <f aca="false">IF(C107="","",C107&amp;" - "&amp;D107&amp;IF(E107&lt;&gt;"",", span "&amp;E107&amp;" m","")&amp;IF(F107&lt;&gt;"",", H "&amp;F107&amp;" m","")&amp;IF(G107&lt;&gt;"",", W "&amp;G107&amp;" m",""))</f>
        <v/>
      </c>
      <c r="C107" s="9"/>
      <c r="D107" s="9"/>
      <c r="E107" s="43"/>
      <c r="F107" s="43"/>
      <c r="G107" s="43"/>
      <c r="H107" s="9"/>
      <c r="I107" s="9"/>
      <c r="J107" s="9"/>
      <c r="K107" s="9"/>
      <c r="L107" s="9"/>
      <c r="M107" s="9"/>
      <c r="N107" s="9"/>
      <c r="O107" s="9"/>
      <c r="P107" s="9"/>
      <c r="Q107" s="9"/>
      <c r="R107" s="10" t="str">
        <f aca="false">IF(A107="","",SG_Criteria!$B$6&amp;SG_Criteria!$B$13&amp;"\"&amp;A107&amp;"\")</f>
        <v/>
      </c>
      <c r="S107" s="10" t="str">
        <f aca="false">IF(A107="","",A107&amp;"_CAD.dwg")</f>
        <v/>
      </c>
      <c r="T107" s="10" t="str">
        <f aca="false">IF(A107="","",A107&amp;"_DWG.pdf")</f>
        <v/>
      </c>
      <c r="U107" s="10" t="str">
        <f aca="false">IF(A107="","",IF(Q107="Y",A107&amp;"_STAAD.std","n/a"))</f>
        <v/>
      </c>
      <c r="V107" s="10" t="str">
        <f aca="false">IF(A107="","",A107&amp;"_CALC.xlsx")</f>
        <v/>
      </c>
      <c r="W107" s="10" t="str">
        <f aca="false">IF(A107="","",A107&amp;"_CALC.pdf")</f>
        <v/>
      </c>
      <c r="X107" s="9"/>
      <c r="Y107" s="9"/>
      <c r="Z107" s="41"/>
      <c r="AA107" s="41"/>
      <c r="AB107" s="41"/>
      <c r="AC107" s="41"/>
      <c r="AD107" s="41"/>
      <c r="AE107" s="38" t="str">
        <f aca="false">IF(C107="","","OK")</f>
        <v/>
      </c>
      <c r="AF107" s="9"/>
      <c r="AG107" s="9"/>
      <c r="AH107" s="9"/>
      <c r="AI107" s="9"/>
      <c r="AJ107" s="9"/>
      <c r="AK107" s="31"/>
      <c r="AL107" s="10" t="str">
        <f aca="false">IF(C107="","",IF(AND(N107="Approved",ISERROR(SEARCH("FAIL",AE107))),"Y","N"))</f>
        <v/>
      </c>
    </row>
    <row r="108" customFormat="false" ht="15" hidden="false" customHeight="false" outlineLevel="0" collapsed="false">
      <c r="A108" s="10" t="str">
        <f aca="false">IF(C108="","",IFERROR(VLOOKUP(C108,Lists!$BI$4:$BJ$20,2,0),"??")&amp;"-"&amp;UPPER(SUBSTITUTE(D108," ",""))&amp;IF(E108&lt;&gt;"","-SP"&amp;TEXT(E108*1000,"0"),"")&amp;IF(F108&lt;&gt;"","-H"&amp;TEXT(F108*1000,"0"),"")&amp;"-"&amp;M108)</f>
        <v/>
      </c>
      <c r="B108" s="10" t="str">
        <f aca="false">IF(C108="","",C108&amp;" - "&amp;D108&amp;IF(E108&lt;&gt;"",", span "&amp;E108&amp;" m","")&amp;IF(F108&lt;&gt;"",", H "&amp;F108&amp;" m","")&amp;IF(G108&lt;&gt;"",", W "&amp;G108&amp;" m",""))</f>
        <v/>
      </c>
      <c r="C108" s="9"/>
      <c r="D108" s="9"/>
      <c r="E108" s="43"/>
      <c r="F108" s="43"/>
      <c r="G108" s="43"/>
      <c r="H108" s="9"/>
      <c r="I108" s="9"/>
      <c r="J108" s="9"/>
      <c r="K108" s="9"/>
      <c r="L108" s="9"/>
      <c r="M108" s="9"/>
      <c r="N108" s="9"/>
      <c r="O108" s="9"/>
      <c r="P108" s="9"/>
      <c r="Q108" s="9"/>
      <c r="R108" s="10" t="str">
        <f aca="false">IF(A108="","",SG_Criteria!$B$6&amp;SG_Criteria!$B$13&amp;"\"&amp;A108&amp;"\")</f>
        <v/>
      </c>
      <c r="S108" s="10" t="str">
        <f aca="false">IF(A108="","",A108&amp;"_CAD.dwg")</f>
        <v/>
      </c>
      <c r="T108" s="10" t="str">
        <f aca="false">IF(A108="","",A108&amp;"_DWG.pdf")</f>
        <v/>
      </c>
      <c r="U108" s="10" t="str">
        <f aca="false">IF(A108="","",IF(Q108="Y",A108&amp;"_STAAD.std","n/a"))</f>
        <v/>
      </c>
      <c r="V108" s="10" t="str">
        <f aca="false">IF(A108="","",A108&amp;"_CALC.xlsx")</f>
        <v/>
      </c>
      <c r="W108" s="10" t="str">
        <f aca="false">IF(A108="","",A108&amp;"_CALC.pdf")</f>
        <v/>
      </c>
      <c r="X108" s="9"/>
      <c r="Y108" s="9"/>
      <c r="Z108" s="41"/>
      <c r="AA108" s="41"/>
      <c r="AB108" s="41"/>
      <c r="AC108" s="41"/>
      <c r="AD108" s="41"/>
      <c r="AE108" s="38" t="str">
        <f aca="false">IF(C108="","","OK")</f>
        <v/>
      </c>
      <c r="AF108" s="9"/>
      <c r="AG108" s="9"/>
      <c r="AH108" s="9"/>
      <c r="AI108" s="9"/>
      <c r="AJ108" s="9"/>
      <c r="AK108" s="31"/>
      <c r="AL108" s="10" t="str">
        <f aca="false">IF(C108="","",IF(AND(N108="Approved",ISERROR(SEARCH("FAIL",AE108))),"Y","N"))</f>
        <v/>
      </c>
    </row>
    <row r="109" customFormat="false" ht="15" hidden="false" customHeight="false" outlineLevel="0" collapsed="false">
      <c r="A109" s="10" t="str">
        <f aca="false">IF(C109="","",IFERROR(VLOOKUP(C109,Lists!$BI$4:$BJ$20,2,0),"??")&amp;"-"&amp;UPPER(SUBSTITUTE(D109," ",""))&amp;IF(E109&lt;&gt;"","-SP"&amp;TEXT(E109*1000,"0"),"")&amp;IF(F109&lt;&gt;"","-H"&amp;TEXT(F109*1000,"0"),"")&amp;"-"&amp;M109)</f>
        <v/>
      </c>
      <c r="B109" s="10" t="str">
        <f aca="false">IF(C109="","",C109&amp;" - "&amp;D109&amp;IF(E109&lt;&gt;"",", span "&amp;E109&amp;" m","")&amp;IF(F109&lt;&gt;"",", H "&amp;F109&amp;" m","")&amp;IF(G109&lt;&gt;"",", W "&amp;G109&amp;" m",""))</f>
        <v/>
      </c>
      <c r="C109" s="9"/>
      <c r="D109" s="9"/>
      <c r="E109" s="43"/>
      <c r="F109" s="43"/>
      <c r="G109" s="43"/>
      <c r="H109" s="9"/>
      <c r="I109" s="9"/>
      <c r="J109" s="9"/>
      <c r="K109" s="9"/>
      <c r="L109" s="9"/>
      <c r="M109" s="9"/>
      <c r="N109" s="9"/>
      <c r="O109" s="9"/>
      <c r="P109" s="9"/>
      <c r="Q109" s="9"/>
      <c r="R109" s="10" t="str">
        <f aca="false">IF(A109="","",SG_Criteria!$B$6&amp;SG_Criteria!$B$13&amp;"\"&amp;A109&amp;"\")</f>
        <v/>
      </c>
      <c r="S109" s="10" t="str">
        <f aca="false">IF(A109="","",A109&amp;"_CAD.dwg")</f>
        <v/>
      </c>
      <c r="T109" s="10" t="str">
        <f aca="false">IF(A109="","",A109&amp;"_DWG.pdf")</f>
        <v/>
      </c>
      <c r="U109" s="10" t="str">
        <f aca="false">IF(A109="","",IF(Q109="Y",A109&amp;"_STAAD.std","n/a"))</f>
        <v/>
      </c>
      <c r="V109" s="10" t="str">
        <f aca="false">IF(A109="","",A109&amp;"_CALC.xlsx")</f>
        <v/>
      </c>
      <c r="W109" s="10" t="str">
        <f aca="false">IF(A109="","",A109&amp;"_CALC.pdf")</f>
        <v/>
      </c>
      <c r="X109" s="9"/>
      <c r="Y109" s="9"/>
      <c r="Z109" s="41"/>
      <c r="AA109" s="41"/>
      <c r="AB109" s="41"/>
      <c r="AC109" s="41"/>
      <c r="AD109" s="41"/>
      <c r="AE109" s="38" t="str">
        <f aca="false">IF(C109="","","OK")</f>
        <v/>
      </c>
      <c r="AF109" s="9"/>
      <c r="AG109" s="9"/>
      <c r="AH109" s="9"/>
      <c r="AI109" s="9"/>
      <c r="AJ109" s="9"/>
      <c r="AK109" s="31"/>
      <c r="AL109" s="10" t="str">
        <f aca="false">IF(C109="","",IF(AND(N109="Approved",ISERROR(SEARCH("FAIL",AE109))),"Y","N"))</f>
        <v/>
      </c>
    </row>
    <row r="110" customFormat="false" ht="15" hidden="false" customHeight="false" outlineLevel="0" collapsed="false">
      <c r="A110" s="10" t="str">
        <f aca="false">IF(C110="","",IFERROR(VLOOKUP(C110,Lists!$BI$4:$BJ$20,2,0),"??")&amp;"-"&amp;UPPER(SUBSTITUTE(D110," ",""))&amp;IF(E110&lt;&gt;"","-SP"&amp;TEXT(E110*1000,"0"),"")&amp;IF(F110&lt;&gt;"","-H"&amp;TEXT(F110*1000,"0"),"")&amp;"-"&amp;M110)</f>
        <v/>
      </c>
      <c r="B110" s="10" t="str">
        <f aca="false">IF(C110="","",C110&amp;" - "&amp;D110&amp;IF(E110&lt;&gt;"",", span "&amp;E110&amp;" m","")&amp;IF(F110&lt;&gt;"",", H "&amp;F110&amp;" m","")&amp;IF(G110&lt;&gt;"",", W "&amp;G110&amp;" m",""))</f>
        <v/>
      </c>
      <c r="C110" s="9"/>
      <c r="D110" s="9"/>
      <c r="E110" s="43"/>
      <c r="F110" s="43"/>
      <c r="G110" s="43"/>
      <c r="H110" s="9"/>
      <c r="I110" s="9"/>
      <c r="J110" s="9"/>
      <c r="K110" s="9"/>
      <c r="L110" s="9"/>
      <c r="M110" s="9"/>
      <c r="N110" s="9"/>
      <c r="O110" s="9"/>
      <c r="P110" s="9"/>
      <c r="Q110" s="9"/>
      <c r="R110" s="10" t="str">
        <f aca="false">IF(A110="","",SG_Criteria!$B$6&amp;SG_Criteria!$B$13&amp;"\"&amp;A110&amp;"\")</f>
        <v/>
      </c>
      <c r="S110" s="10" t="str">
        <f aca="false">IF(A110="","",A110&amp;"_CAD.dwg")</f>
        <v/>
      </c>
      <c r="T110" s="10" t="str">
        <f aca="false">IF(A110="","",A110&amp;"_DWG.pdf")</f>
        <v/>
      </c>
      <c r="U110" s="10" t="str">
        <f aca="false">IF(A110="","",IF(Q110="Y",A110&amp;"_STAAD.std","n/a"))</f>
        <v/>
      </c>
      <c r="V110" s="10" t="str">
        <f aca="false">IF(A110="","",A110&amp;"_CALC.xlsx")</f>
        <v/>
      </c>
      <c r="W110" s="10" t="str">
        <f aca="false">IF(A110="","",A110&amp;"_CALC.pdf")</f>
        <v/>
      </c>
      <c r="X110" s="9"/>
      <c r="Y110" s="9"/>
      <c r="Z110" s="41"/>
      <c r="AA110" s="41"/>
      <c r="AB110" s="41"/>
      <c r="AC110" s="41"/>
      <c r="AD110" s="41"/>
      <c r="AE110" s="38" t="str">
        <f aca="false">IF(C110="","","OK")</f>
        <v/>
      </c>
      <c r="AF110" s="9"/>
      <c r="AG110" s="9"/>
      <c r="AH110" s="9"/>
      <c r="AI110" s="9"/>
      <c r="AJ110" s="9"/>
      <c r="AK110" s="31"/>
      <c r="AL110" s="10" t="str">
        <f aca="false">IF(C110="","",IF(AND(N110="Approved",ISERROR(SEARCH("FAIL",AE110))),"Y","N"))</f>
        <v/>
      </c>
    </row>
    <row r="111" customFormat="false" ht="15" hidden="false" customHeight="false" outlineLevel="0" collapsed="false">
      <c r="A111" s="10" t="str">
        <f aca="false">IF(C111="","",IFERROR(VLOOKUP(C111,Lists!$BI$4:$BJ$20,2,0),"??")&amp;"-"&amp;UPPER(SUBSTITUTE(D111," ",""))&amp;IF(E111&lt;&gt;"","-SP"&amp;TEXT(E111*1000,"0"),"")&amp;IF(F111&lt;&gt;"","-H"&amp;TEXT(F111*1000,"0"),"")&amp;"-"&amp;M111)</f>
        <v/>
      </c>
      <c r="B111" s="10" t="str">
        <f aca="false">IF(C111="","",C111&amp;" - "&amp;D111&amp;IF(E111&lt;&gt;"",", span "&amp;E111&amp;" m","")&amp;IF(F111&lt;&gt;"",", H "&amp;F111&amp;" m","")&amp;IF(G111&lt;&gt;"",", W "&amp;G111&amp;" m",""))</f>
        <v/>
      </c>
      <c r="C111" s="9"/>
      <c r="D111" s="9"/>
      <c r="E111" s="43"/>
      <c r="F111" s="43"/>
      <c r="G111" s="43"/>
      <c r="H111" s="9"/>
      <c r="I111" s="9"/>
      <c r="J111" s="9"/>
      <c r="K111" s="9"/>
      <c r="L111" s="9"/>
      <c r="M111" s="9"/>
      <c r="N111" s="9"/>
      <c r="O111" s="9"/>
      <c r="P111" s="9"/>
      <c r="Q111" s="9"/>
      <c r="R111" s="10" t="str">
        <f aca="false">IF(A111="","",SG_Criteria!$B$6&amp;SG_Criteria!$B$13&amp;"\"&amp;A111&amp;"\")</f>
        <v/>
      </c>
      <c r="S111" s="10" t="str">
        <f aca="false">IF(A111="","",A111&amp;"_CAD.dwg")</f>
        <v/>
      </c>
      <c r="T111" s="10" t="str">
        <f aca="false">IF(A111="","",A111&amp;"_DWG.pdf")</f>
        <v/>
      </c>
      <c r="U111" s="10" t="str">
        <f aca="false">IF(A111="","",IF(Q111="Y",A111&amp;"_STAAD.std","n/a"))</f>
        <v/>
      </c>
      <c r="V111" s="10" t="str">
        <f aca="false">IF(A111="","",A111&amp;"_CALC.xlsx")</f>
        <v/>
      </c>
      <c r="W111" s="10" t="str">
        <f aca="false">IF(A111="","",A111&amp;"_CALC.pdf")</f>
        <v/>
      </c>
      <c r="X111" s="9"/>
      <c r="Y111" s="9"/>
      <c r="Z111" s="41"/>
      <c r="AA111" s="41"/>
      <c r="AB111" s="41"/>
      <c r="AC111" s="41"/>
      <c r="AD111" s="41"/>
      <c r="AE111" s="38" t="str">
        <f aca="false">IF(C111="","","OK")</f>
        <v/>
      </c>
      <c r="AF111" s="9"/>
      <c r="AG111" s="9"/>
      <c r="AH111" s="9"/>
      <c r="AI111" s="9"/>
      <c r="AJ111" s="9"/>
      <c r="AK111" s="31"/>
      <c r="AL111" s="10" t="str">
        <f aca="false">IF(C111="","",IF(AND(N111="Approved",ISERROR(SEARCH("FAIL",AE111))),"Y","N"))</f>
        <v/>
      </c>
    </row>
    <row r="112" customFormat="false" ht="15" hidden="false" customHeight="false" outlineLevel="0" collapsed="false">
      <c r="A112" s="10" t="str">
        <f aca="false">IF(C112="","",IFERROR(VLOOKUP(C112,Lists!$BI$4:$BJ$20,2,0),"??")&amp;"-"&amp;UPPER(SUBSTITUTE(D112," ",""))&amp;IF(E112&lt;&gt;"","-SP"&amp;TEXT(E112*1000,"0"),"")&amp;IF(F112&lt;&gt;"","-H"&amp;TEXT(F112*1000,"0"),"")&amp;"-"&amp;M112)</f>
        <v/>
      </c>
      <c r="B112" s="10" t="str">
        <f aca="false">IF(C112="","",C112&amp;" - "&amp;D112&amp;IF(E112&lt;&gt;"",", span "&amp;E112&amp;" m","")&amp;IF(F112&lt;&gt;"",", H "&amp;F112&amp;" m","")&amp;IF(G112&lt;&gt;"",", W "&amp;G112&amp;" m",""))</f>
        <v/>
      </c>
      <c r="C112" s="9"/>
      <c r="D112" s="9"/>
      <c r="E112" s="43"/>
      <c r="F112" s="43"/>
      <c r="G112" s="43"/>
      <c r="H112" s="9"/>
      <c r="I112" s="9"/>
      <c r="J112" s="9"/>
      <c r="K112" s="9"/>
      <c r="L112" s="9"/>
      <c r="M112" s="9"/>
      <c r="N112" s="9"/>
      <c r="O112" s="9"/>
      <c r="P112" s="9"/>
      <c r="Q112" s="9"/>
      <c r="R112" s="10" t="str">
        <f aca="false">IF(A112="","",SG_Criteria!$B$6&amp;SG_Criteria!$B$13&amp;"\"&amp;A112&amp;"\")</f>
        <v/>
      </c>
      <c r="S112" s="10" t="str">
        <f aca="false">IF(A112="","",A112&amp;"_CAD.dwg")</f>
        <v/>
      </c>
      <c r="T112" s="10" t="str">
        <f aca="false">IF(A112="","",A112&amp;"_DWG.pdf")</f>
        <v/>
      </c>
      <c r="U112" s="10" t="str">
        <f aca="false">IF(A112="","",IF(Q112="Y",A112&amp;"_STAAD.std","n/a"))</f>
        <v/>
      </c>
      <c r="V112" s="10" t="str">
        <f aca="false">IF(A112="","",A112&amp;"_CALC.xlsx")</f>
        <v/>
      </c>
      <c r="W112" s="10" t="str">
        <f aca="false">IF(A112="","",A112&amp;"_CALC.pdf")</f>
        <v/>
      </c>
      <c r="X112" s="9"/>
      <c r="Y112" s="9"/>
      <c r="Z112" s="41"/>
      <c r="AA112" s="41"/>
      <c r="AB112" s="41"/>
      <c r="AC112" s="41"/>
      <c r="AD112" s="41"/>
      <c r="AE112" s="38" t="str">
        <f aca="false">IF(C112="","","OK")</f>
        <v/>
      </c>
      <c r="AF112" s="9"/>
      <c r="AG112" s="9"/>
      <c r="AH112" s="9"/>
      <c r="AI112" s="9"/>
      <c r="AJ112" s="9"/>
      <c r="AK112" s="31"/>
      <c r="AL112" s="10" t="str">
        <f aca="false">IF(C112="","",IF(AND(N112="Approved",ISERROR(SEARCH("FAIL",AE112))),"Y","N"))</f>
        <v/>
      </c>
    </row>
    <row r="113" customFormat="false" ht="15" hidden="false" customHeight="false" outlineLevel="0" collapsed="false">
      <c r="A113" s="10" t="str">
        <f aca="false">IF(C113="","",IFERROR(VLOOKUP(C113,Lists!$BI$4:$BJ$20,2,0),"??")&amp;"-"&amp;UPPER(SUBSTITUTE(D113," ",""))&amp;IF(E113&lt;&gt;"","-SP"&amp;TEXT(E113*1000,"0"),"")&amp;IF(F113&lt;&gt;"","-H"&amp;TEXT(F113*1000,"0"),"")&amp;"-"&amp;M113)</f>
        <v/>
      </c>
      <c r="B113" s="10" t="str">
        <f aca="false">IF(C113="","",C113&amp;" - "&amp;D113&amp;IF(E113&lt;&gt;"",", span "&amp;E113&amp;" m","")&amp;IF(F113&lt;&gt;"",", H "&amp;F113&amp;" m","")&amp;IF(G113&lt;&gt;"",", W "&amp;G113&amp;" m",""))</f>
        <v/>
      </c>
      <c r="C113" s="9"/>
      <c r="D113" s="9"/>
      <c r="E113" s="43"/>
      <c r="F113" s="43"/>
      <c r="G113" s="43"/>
      <c r="H113" s="9"/>
      <c r="I113" s="9"/>
      <c r="J113" s="9"/>
      <c r="K113" s="9"/>
      <c r="L113" s="9"/>
      <c r="M113" s="9"/>
      <c r="N113" s="9"/>
      <c r="O113" s="9"/>
      <c r="P113" s="9"/>
      <c r="Q113" s="9"/>
      <c r="R113" s="10" t="str">
        <f aca="false">IF(A113="","",SG_Criteria!$B$6&amp;SG_Criteria!$B$13&amp;"\"&amp;A113&amp;"\")</f>
        <v/>
      </c>
      <c r="S113" s="10" t="str">
        <f aca="false">IF(A113="","",A113&amp;"_CAD.dwg")</f>
        <v/>
      </c>
      <c r="T113" s="10" t="str">
        <f aca="false">IF(A113="","",A113&amp;"_DWG.pdf")</f>
        <v/>
      </c>
      <c r="U113" s="10" t="str">
        <f aca="false">IF(A113="","",IF(Q113="Y",A113&amp;"_STAAD.std","n/a"))</f>
        <v/>
      </c>
      <c r="V113" s="10" t="str">
        <f aca="false">IF(A113="","",A113&amp;"_CALC.xlsx")</f>
        <v/>
      </c>
      <c r="W113" s="10" t="str">
        <f aca="false">IF(A113="","",A113&amp;"_CALC.pdf")</f>
        <v/>
      </c>
      <c r="X113" s="9"/>
      <c r="Y113" s="9"/>
      <c r="Z113" s="41"/>
      <c r="AA113" s="41"/>
      <c r="AB113" s="41"/>
      <c r="AC113" s="41"/>
      <c r="AD113" s="41"/>
      <c r="AE113" s="38" t="str">
        <f aca="false">IF(C113="","","OK")</f>
        <v/>
      </c>
      <c r="AF113" s="9"/>
      <c r="AG113" s="9"/>
      <c r="AH113" s="9"/>
      <c r="AI113" s="9"/>
      <c r="AJ113" s="9"/>
      <c r="AK113" s="31"/>
      <c r="AL113" s="10" t="str">
        <f aca="false">IF(C113="","",IF(AND(N113="Approved",ISERROR(SEARCH("FAIL",AE113))),"Y","N"))</f>
        <v/>
      </c>
    </row>
    <row r="114" customFormat="false" ht="15" hidden="false" customHeight="false" outlineLevel="0" collapsed="false">
      <c r="A114" s="10" t="str">
        <f aca="false">IF(C114="","",IFERROR(VLOOKUP(C114,Lists!$BI$4:$BJ$20,2,0),"??")&amp;"-"&amp;UPPER(SUBSTITUTE(D114," ",""))&amp;IF(E114&lt;&gt;"","-SP"&amp;TEXT(E114*1000,"0"),"")&amp;IF(F114&lt;&gt;"","-H"&amp;TEXT(F114*1000,"0"),"")&amp;"-"&amp;M114)</f>
        <v/>
      </c>
      <c r="B114" s="10" t="str">
        <f aca="false">IF(C114="","",C114&amp;" - "&amp;D114&amp;IF(E114&lt;&gt;"",", span "&amp;E114&amp;" m","")&amp;IF(F114&lt;&gt;"",", H "&amp;F114&amp;" m","")&amp;IF(G114&lt;&gt;"",", W "&amp;G114&amp;" m",""))</f>
        <v/>
      </c>
      <c r="C114" s="9"/>
      <c r="D114" s="9"/>
      <c r="E114" s="43"/>
      <c r="F114" s="43"/>
      <c r="G114" s="43"/>
      <c r="H114" s="9"/>
      <c r="I114" s="9"/>
      <c r="J114" s="9"/>
      <c r="K114" s="9"/>
      <c r="L114" s="9"/>
      <c r="M114" s="9"/>
      <c r="N114" s="9"/>
      <c r="O114" s="9"/>
      <c r="P114" s="9"/>
      <c r="Q114" s="9"/>
      <c r="R114" s="10" t="str">
        <f aca="false">IF(A114="","",SG_Criteria!$B$6&amp;SG_Criteria!$B$13&amp;"\"&amp;A114&amp;"\")</f>
        <v/>
      </c>
      <c r="S114" s="10" t="str">
        <f aca="false">IF(A114="","",A114&amp;"_CAD.dwg")</f>
        <v/>
      </c>
      <c r="T114" s="10" t="str">
        <f aca="false">IF(A114="","",A114&amp;"_DWG.pdf")</f>
        <v/>
      </c>
      <c r="U114" s="10" t="str">
        <f aca="false">IF(A114="","",IF(Q114="Y",A114&amp;"_STAAD.std","n/a"))</f>
        <v/>
      </c>
      <c r="V114" s="10" t="str">
        <f aca="false">IF(A114="","",A114&amp;"_CALC.xlsx")</f>
        <v/>
      </c>
      <c r="W114" s="10" t="str">
        <f aca="false">IF(A114="","",A114&amp;"_CALC.pdf")</f>
        <v/>
      </c>
      <c r="X114" s="9"/>
      <c r="Y114" s="9"/>
      <c r="Z114" s="41"/>
      <c r="AA114" s="41"/>
      <c r="AB114" s="41"/>
      <c r="AC114" s="41"/>
      <c r="AD114" s="41"/>
      <c r="AE114" s="38" t="str">
        <f aca="false">IF(C114="","","OK")</f>
        <v/>
      </c>
      <c r="AF114" s="9"/>
      <c r="AG114" s="9"/>
      <c r="AH114" s="9"/>
      <c r="AI114" s="9"/>
      <c r="AJ114" s="9"/>
      <c r="AK114" s="31"/>
      <c r="AL114" s="10" t="str">
        <f aca="false">IF(C114="","",IF(AND(N114="Approved",ISERROR(SEARCH("FAIL",AE114))),"Y","N"))</f>
        <v/>
      </c>
    </row>
    <row r="115" customFormat="false" ht="15" hidden="false" customHeight="false" outlineLevel="0" collapsed="false">
      <c r="A115" s="10" t="str">
        <f aca="false">IF(C115="","",IFERROR(VLOOKUP(C115,Lists!$BI$4:$BJ$20,2,0),"??")&amp;"-"&amp;UPPER(SUBSTITUTE(D115," ",""))&amp;IF(E115&lt;&gt;"","-SP"&amp;TEXT(E115*1000,"0"),"")&amp;IF(F115&lt;&gt;"","-H"&amp;TEXT(F115*1000,"0"),"")&amp;"-"&amp;M115)</f>
        <v/>
      </c>
      <c r="B115" s="10" t="str">
        <f aca="false">IF(C115="","",C115&amp;" - "&amp;D115&amp;IF(E115&lt;&gt;"",", span "&amp;E115&amp;" m","")&amp;IF(F115&lt;&gt;"",", H "&amp;F115&amp;" m","")&amp;IF(G115&lt;&gt;"",", W "&amp;G115&amp;" m",""))</f>
        <v/>
      </c>
      <c r="C115" s="9"/>
      <c r="D115" s="9"/>
      <c r="E115" s="43"/>
      <c r="F115" s="43"/>
      <c r="G115" s="43"/>
      <c r="H115" s="9"/>
      <c r="I115" s="9"/>
      <c r="J115" s="9"/>
      <c r="K115" s="9"/>
      <c r="L115" s="9"/>
      <c r="M115" s="9"/>
      <c r="N115" s="9"/>
      <c r="O115" s="9"/>
      <c r="P115" s="9"/>
      <c r="Q115" s="9"/>
      <c r="R115" s="10" t="str">
        <f aca="false">IF(A115="","",SG_Criteria!$B$6&amp;SG_Criteria!$B$13&amp;"\"&amp;A115&amp;"\")</f>
        <v/>
      </c>
      <c r="S115" s="10" t="str">
        <f aca="false">IF(A115="","",A115&amp;"_CAD.dwg")</f>
        <v/>
      </c>
      <c r="T115" s="10" t="str">
        <f aca="false">IF(A115="","",A115&amp;"_DWG.pdf")</f>
        <v/>
      </c>
      <c r="U115" s="10" t="str">
        <f aca="false">IF(A115="","",IF(Q115="Y",A115&amp;"_STAAD.std","n/a"))</f>
        <v/>
      </c>
      <c r="V115" s="10" t="str">
        <f aca="false">IF(A115="","",A115&amp;"_CALC.xlsx")</f>
        <v/>
      </c>
      <c r="W115" s="10" t="str">
        <f aca="false">IF(A115="","",A115&amp;"_CALC.pdf")</f>
        <v/>
      </c>
      <c r="X115" s="9"/>
      <c r="Y115" s="9"/>
      <c r="Z115" s="41"/>
      <c r="AA115" s="41"/>
      <c r="AB115" s="41"/>
      <c r="AC115" s="41"/>
      <c r="AD115" s="41"/>
      <c r="AE115" s="38" t="str">
        <f aca="false">IF(C115="","","OK")</f>
        <v/>
      </c>
      <c r="AF115" s="9"/>
      <c r="AG115" s="9"/>
      <c r="AH115" s="9"/>
      <c r="AI115" s="9"/>
      <c r="AJ115" s="9"/>
      <c r="AK115" s="31"/>
      <c r="AL115" s="10" t="str">
        <f aca="false">IF(C115="","",IF(AND(N115="Approved",ISERROR(SEARCH("FAIL",AE115))),"Y","N"))</f>
        <v/>
      </c>
    </row>
    <row r="116" customFormat="false" ht="15" hidden="false" customHeight="false" outlineLevel="0" collapsed="false">
      <c r="A116" s="10" t="str">
        <f aca="false">IF(C116="","",IFERROR(VLOOKUP(C116,Lists!$BI$4:$BJ$20,2,0),"??")&amp;"-"&amp;UPPER(SUBSTITUTE(D116," ",""))&amp;IF(E116&lt;&gt;"","-SP"&amp;TEXT(E116*1000,"0"),"")&amp;IF(F116&lt;&gt;"","-H"&amp;TEXT(F116*1000,"0"),"")&amp;"-"&amp;M116)</f>
        <v/>
      </c>
      <c r="B116" s="10" t="str">
        <f aca="false">IF(C116="","",C116&amp;" - "&amp;D116&amp;IF(E116&lt;&gt;"",", span "&amp;E116&amp;" m","")&amp;IF(F116&lt;&gt;"",", H "&amp;F116&amp;" m","")&amp;IF(G116&lt;&gt;"",", W "&amp;G116&amp;" m",""))</f>
        <v/>
      </c>
      <c r="C116" s="9"/>
      <c r="D116" s="9"/>
      <c r="E116" s="43"/>
      <c r="F116" s="43"/>
      <c r="G116" s="43"/>
      <c r="H116" s="9"/>
      <c r="I116" s="9"/>
      <c r="J116" s="9"/>
      <c r="K116" s="9"/>
      <c r="L116" s="9"/>
      <c r="M116" s="9"/>
      <c r="N116" s="9"/>
      <c r="O116" s="9"/>
      <c r="P116" s="9"/>
      <c r="Q116" s="9"/>
      <c r="R116" s="10" t="str">
        <f aca="false">IF(A116="","",SG_Criteria!$B$6&amp;SG_Criteria!$B$13&amp;"\"&amp;A116&amp;"\")</f>
        <v/>
      </c>
      <c r="S116" s="10" t="str">
        <f aca="false">IF(A116="","",A116&amp;"_CAD.dwg")</f>
        <v/>
      </c>
      <c r="T116" s="10" t="str">
        <f aca="false">IF(A116="","",A116&amp;"_DWG.pdf")</f>
        <v/>
      </c>
      <c r="U116" s="10" t="str">
        <f aca="false">IF(A116="","",IF(Q116="Y",A116&amp;"_STAAD.std","n/a"))</f>
        <v/>
      </c>
      <c r="V116" s="10" t="str">
        <f aca="false">IF(A116="","",A116&amp;"_CALC.xlsx")</f>
        <v/>
      </c>
      <c r="W116" s="10" t="str">
        <f aca="false">IF(A116="","",A116&amp;"_CALC.pdf")</f>
        <v/>
      </c>
      <c r="X116" s="9"/>
      <c r="Y116" s="9"/>
      <c r="Z116" s="41"/>
      <c r="AA116" s="41"/>
      <c r="AB116" s="41"/>
      <c r="AC116" s="41"/>
      <c r="AD116" s="41"/>
      <c r="AE116" s="38" t="str">
        <f aca="false">IF(C116="","","OK")</f>
        <v/>
      </c>
      <c r="AF116" s="9"/>
      <c r="AG116" s="9"/>
      <c r="AH116" s="9"/>
      <c r="AI116" s="9"/>
      <c r="AJ116" s="9"/>
      <c r="AK116" s="31"/>
      <c r="AL116" s="10" t="str">
        <f aca="false">IF(C116="","",IF(AND(N116="Approved",ISERROR(SEARCH("FAIL",AE116))),"Y","N"))</f>
        <v/>
      </c>
    </row>
    <row r="117" customFormat="false" ht="15" hidden="false" customHeight="false" outlineLevel="0" collapsed="false">
      <c r="A117" s="10" t="str">
        <f aca="false">IF(C117="","",IFERROR(VLOOKUP(C117,Lists!$BI$4:$BJ$20,2,0),"??")&amp;"-"&amp;UPPER(SUBSTITUTE(D117," ",""))&amp;IF(E117&lt;&gt;"","-SP"&amp;TEXT(E117*1000,"0"),"")&amp;IF(F117&lt;&gt;"","-H"&amp;TEXT(F117*1000,"0"),"")&amp;"-"&amp;M117)</f>
        <v/>
      </c>
      <c r="B117" s="10" t="str">
        <f aca="false">IF(C117="","",C117&amp;" - "&amp;D117&amp;IF(E117&lt;&gt;"",", span "&amp;E117&amp;" m","")&amp;IF(F117&lt;&gt;"",", H "&amp;F117&amp;" m","")&amp;IF(G117&lt;&gt;"",", W "&amp;G117&amp;" m",""))</f>
        <v/>
      </c>
      <c r="C117" s="9"/>
      <c r="D117" s="9"/>
      <c r="E117" s="43"/>
      <c r="F117" s="43"/>
      <c r="G117" s="43"/>
      <c r="H117" s="9"/>
      <c r="I117" s="9"/>
      <c r="J117" s="9"/>
      <c r="K117" s="9"/>
      <c r="L117" s="9"/>
      <c r="M117" s="9"/>
      <c r="N117" s="9"/>
      <c r="O117" s="9"/>
      <c r="P117" s="9"/>
      <c r="Q117" s="9"/>
      <c r="R117" s="10" t="str">
        <f aca="false">IF(A117="","",SG_Criteria!$B$6&amp;SG_Criteria!$B$13&amp;"\"&amp;A117&amp;"\")</f>
        <v/>
      </c>
      <c r="S117" s="10" t="str">
        <f aca="false">IF(A117="","",A117&amp;"_CAD.dwg")</f>
        <v/>
      </c>
      <c r="T117" s="10" t="str">
        <f aca="false">IF(A117="","",A117&amp;"_DWG.pdf")</f>
        <v/>
      </c>
      <c r="U117" s="10" t="str">
        <f aca="false">IF(A117="","",IF(Q117="Y",A117&amp;"_STAAD.std","n/a"))</f>
        <v/>
      </c>
      <c r="V117" s="10" t="str">
        <f aca="false">IF(A117="","",A117&amp;"_CALC.xlsx")</f>
        <v/>
      </c>
      <c r="W117" s="10" t="str">
        <f aca="false">IF(A117="","",A117&amp;"_CALC.pdf")</f>
        <v/>
      </c>
      <c r="X117" s="9"/>
      <c r="Y117" s="9"/>
      <c r="Z117" s="41"/>
      <c r="AA117" s="41"/>
      <c r="AB117" s="41"/>
      <c r="AC117" s="41"/>
      <c r="AD117" s="41"/>
      <c r="AE117" s="38" t="str">
        <f aca="false">IF(C117="","","OK")</f>
        <v/>
      </c>
      <c r="AF117" s="9"/>
      <c r="AG117" s="9"/>
      <c r="AH117" s="9"/>
      <c r="AI117" s="9"/>
      <c r="AJ117" s="9"/>
      <c r="AK117" s="31"/>
      <c r="AL117" s="10" t="str">
        <f aca="false">IF(C117="","",IF(AND(N117="Approved",ISERROR(SEARCH("FAIL",AE117))),"Y","N"))</f>
        <v/>
      </c>
    </row>
    <row r="118" customFormat="false" ht="15" hidden="false" customHeight="false" outlineLevel="0" collapsed="false">
      <c r="A118" s="10" t="str">
        <f aca="false">IF(C118="","",IFERROR(VLOOKUP(C118,Lists!$BI$4:$BJ$20,2,0),"??")&amp;"-"&amp;UPPER(SUBSTITUTE(D118," ",""))&amp;IF(E118&lt;&gt;"","-SP"&amp;TEXT(E118*1000,"0"),"")&amp;IF(F118&lt;&gt;"","-H"&amp;TEXT(F118*1000,"0"),"")&amp;"-"&amp;M118)</f>
        <v/>
      </c>
      <c r="B118" s="10" t="str">
        <f aca="false">IF(C118="","",C118&amp;" - "&amp;D118&amp;IF(E118&lt;&gt;"",", span "&amp;E118&amp;" m","")&amp;IF(F118&lt;&gt;"",", H "&amp;F118&amp;" m","")&amp;IF(G118&lt;&gt;"",", W "&amp;G118&amp;" m",""))</f>
        <v/>
      </c>
      <c r="C118" s="9"/>
      <c r="D118" s="9"/>
      <c r="E118" s="43"/>
      <c r="F118" s="43"/>
      <c r="G118" s="43"/>
      <c r="H118" s="9"/>
      <c r="I118" s="9"/>
      <c r="J118" s="9"/>
      <c r="K118" s="9"/>
      <c r="L118" s="9"/>
      <c r="M118" s="9"/>
      <c r="N118" s="9"/>
      <c r="O118" s="9"/>
      <c r="P118" s="9"/>
      <c r="Q118" s="9"/>
      <c r="R118" s="10" t="str">
        <f aca="false">IF(A118="","",SG_Criteria!$B$6&amp;SG_Criteria!$B$13&amp;"\"&amp;A118&amp;"\")</f>
        <v/>
      </c>
      <c r="S118" s="10" t="str">
        <f aca="false">IF(A118="","",A118&amp;"_CAD.dwg")</f>
        <v/>
      </c>
      <c r="T118" s="10" t="str">
        <f aca="false">IF(A118="","",A118&amp;"_DWG.pdf")</f>
        <v/>
      </c>
      <c r="U118" s="10" t="str">
        <f aca="false">IF(A118="","",IF(Q118="Y",A118&amp;"_STAAD.std","n/a"))</f>
        <v/>
      </c>
      <c r="V118" s="10" t="str">
        <f aca="false">IF(A118="","",A118&amp;"_CALC.xlsx")</f>
        <v/>
      </c>
      <c r="W118" s="10" t="str">
        <f aca="false">IF(A118="","",A118&amp;"_CALC.pdf")</f>
        <v/>
      </c>
      <c r="X118" s="9"/>
      <c r="Y118" s="9"/>
      <c r="Z118" s="41"/>
      <c r="AA118" s="41"/>
      <c r="AB118" s="41"/>
      <c r="AC118" s="41"/>
      <c r="AD118" s="41"/>
      <c r="AE118" s="38" t="str">
        <f aca="false">IF(C118="","","OK")</f>
        <v/>
      </c>
      <c r="AF118" s="9"/>
      <c r="AG118" s="9"/>
      <c r="AH118" s="9"/>
      <c r="AI118" s="9"/>
      <c r="AJ118" s="9"/>
      <c r="AK118" s="31"/>
      <c r="AL118" s="10" t="str">
        <f aca="false">IF(C118="","",IF(AND(N118="Approved",ISERROR(SEARCH("FAIL",AE118))),"Y","N"))</f>
        <v/>
      </c>
    </row>
    <row r="119" customFormat="false" ht="15" hidden="false" customHeight="false" outlineLevel="0" collapsed="false">
      <c r="A119" s="10" t="str">
        <f aca="false">IF(C119="","",IFERROR(VLOOKUP(C119,Lists!$BI$4:$BJ$20,2,0),"??")&amp;"-"&amp;UPPER(SUBSTITUTE(D119," ",""))&amp;IF(E119&lt;&gt;"","-SP"&amp;TEXT(E119*1000,"0"),"")&amp;IF(F119&lt;&gt;"","-H"&amp;TEXT(F119*1000,"0"),"")&amp;"-"&amp;M119)</f>
        <v/>
      </c>
      <c r="B119" s="10" t="str">
        <f aca="false">IF(C119="","",C119&amp;" - "&amp;D119&amp;IF(E119&lt;&gt;"",", span "&amp;E119&amp;" m","")&amp;IF(F119&lt;&gt;"",", H "&amp;F119&amp;" m","")&amp;IF(G119&lt;&gt;"",", W "&amp;G119&amp;" m",""))</f>
        <v/>
      </c>
      <c r="C119" s="9"/>
      <c r="D119" s="9"/>
      <c r="E119" s="43"/>
      <c r="F119" s="43"/>
      <c r="G119" s="43"/>
      <c r="H119" s="9"/>
      <c r="I119" s="9"/>
      <c r="J119" s="9"/>
      <c r="K119" s="9"/>
      <c r="L119" s="9"/>
      <c r="M119" s="9"/>
      <c r="N119" s="9"/>
      <c r="O119" s="9"/>
      <c r="P119" s="9"/>
      <c r="Q119" s="9"/>
      <c r="R119" s="10" t="str">
        <f aca="false">IF(A119="","",SG_Criteria!$B$6&amp;SG_Criteria!$B$13&amp;"\"&amp;A119&amp;"\")</f>
        <v/>
      </c>
      <c r="S119" s="10" t="str">
        <f aca="false">IF(A119="","",A119&amp;"_CAD.dwg")</f>
        <v/>
      </c>
      <c r="T119" s="10" t="str">
        <f aca="false">IF(A119="","",A119&amp;"_DWG.pdf")</f>
        <v/>
      </c>
      <c r="U119" s="10" t="str">
        <f aca="false">IF(A119="","",IF(Q119="Y",A119&amp;"_STAAD.std","n/a"))</f>
        <v/>
      </c>
      <c r="V119" s="10" t="str">
        <f aca="false">IF(A119="","",A119&amp;"_CALC.xlsx")</f>
        <v/>
      </c>
      <c r="W119" s="10" t="str">
        <f aca="false">IF(A119="","",A119&amp;"_CALC.pdf")</f>
        <v/>
      </c>
      <c r="X119" s="9"/>
      <c r="Y119" s="9"/>
      <c r="Z119" s="41"/>
      <c r="AA119" s="41"/>
      <c r="AB119" s="41"/>
      <c r="AC119" s="41"/>
      <c r="AD119" s="41"/>
      <c r="AE119" s="38" t="str">
        <f aca="false">IF(C119="","","OK")</f>
        <v/>
      </c>
      <c r="AF119" s="9"/>
      <c r="AG119" s="9"/>
      <c r="AH119" s="9"/>
      <c r="AI119" s="9"/>
      <c r="AJ119" s="9"/>
      <c r="AK119" s="31"/>
      <c r="AL119" s="10" t="str">
        <f aca="false">IF(C119="","",IF(AND(N119="Approved",ISERROR(SEARCH("FAIL",AE119))),"Y","N"))</f>
        <v/>
      </c>
    </row>
    <row r="120" customFormat="false" ht="15" hidden="false" customHeight="false" outlineLevel="0" collapsed="false">
      <c r="A120" s="10" t="str">
        <f aca="false">IF(C120="","",IFERROR(VLOOKUP(C120,Lists!$BI$4:$BJ$20,2,0),"??")&amp;"-"&amp;UPPER(SUBSTITUTE(D120," ",""))&amp;IF(E120&lt;&gt;"","-SP"&amp;TEXT(E120*1000,"0"),"")&amp;IF(F120&lt;&gt;"","-H"&amp;TEXT(F120*1000,"0"),"")&amp;"-"&amp;M120)</f>
        <v/>
      </c>
      <c r="B120" s="10" t="str">
        <f aca="false">IF(C120="","",C120&amp;" - "&amp;D120&amp;IF(E120&lt;&gt;"",", span "&amp;E120&amp;" m","")&amp;IF(F120&lt;&gt;"",", H "&amp;F120&amp;" m","")&amp;IF(G120&lt;&gt;"",", W "&amp;G120&amp;" m",""))</f>
        <v/>
      </c>
      <c r="C120" s="9"/>
      <c r="D120" s="9"/>
      <c r="E120" s="43"/>
      <c r="F120" s="43"/>
      <c r="G120" s="43"/>
      <c r="H120" s="9"/>
      <c r="I120" s="9"/>
      <c r="J120" s="9"/>
      <c r="K120" s="9"/>
      <c r="L120" s="9"/>
      <c r="M120" s="9"/>
      <c r="N120" s="9"/>
      <c r="O120" s="9"/>
      <c r="P120" s="9"/>
      <c r="Q120" s="9"/>
      <c r="R120" s="10" t="str">
        <f aca="false">IF(A120="","",SG_Criteria!$B$6&amp;SG_Criteria!$B$13&amp;"\"&amp;A120&amp;"\")</f>
        <v/>
      </c>
      <c r="S120" s="10" t="str">
        <f aca="false">IF(A120="","",A120&amp;"_CAD.dwg")</f>
        <v/>
      </c>
      <c r="T120" s="10" t="str">
        <f aca="false">IF(A120="","",A120&amp;"_DWG.pdf")</f>
        <v/>
      </c>
      <c r="U120" s="10" t="str">
        <f aca="false">IF(A120="","",IF(Q120="Y",A120&amp;"_STAAD.std","n/a"))</f>
        <v/>
      </c>
      <c r="V120" s="10" t="str">
        <f aca="false">IF(A120="","",A120&amp;"_CALC.xlsx")</f>
        <v/>
      </c>
      <c r="W120" s="10" t="str">
        <f aca="false">IF(A120="","",A120&amp;"_CALC.pdf")</f>
        <v/>
      </c>
      <c r="X120" s="9"/>
      <c r="Y120" s="9"/>
      <c r="Z120" s="41"/>
      <c r="AA120" s="41"/>
      <c r="AB120" s="41"/>
      <c r="AC120" s="41"/>
      <c r="AD120" s="41"/>
      <c r="AE120" s="38" t="str">
        <f aca="false">IF(C120="","","OK")</f>
        <v/>
      </c>
      <c r="AF120" s="9"/>
      <c r="AG120" s="9"/>
      <c r="AH120" s="9"/>
      <c r="AI120" s="9"/>
      <c r="AJ120" s="9"/>
      <c r="AK120" s="31"/>
      <c r="AL120" s="10" t="str">
        <f aca="false">IF(C120="","",IF(AND(N120="Approved",ISERROR(SEARCH("FAIL",AE120))),"Y","N"))</f>
        <v/>
      </c>
    </row>
    <row r="121" customFormat="false" ht="15" hidden="false" customHeight="false" outlineLevel="0" collapsed="false">
      <c r="A121" s="10" t="str">
        <f aca="false">IF(C121="","",IFERROR(VLOOKUP(C121,Lists!$BI$4:$BJ$20,2,0),"??")&amp;"-"&amp;UPPER(SUBSTITUTE(D121," ",""))&amp;IF(E121&lt;&gt;"","-SP"&amp;TEXT(E121*1000,"0"),"")&amp;IF(F121&lt;&gt;"","-H"&amp;TEXT(F121*1000,"0"),"")&amp;"-"&amp;M121)</f>
        <v/>
      </c>
      <c r="B121" s="10" t="str">
        <f aca="false">IF(C121="","",C121&amp;" - "&amp;D121&amp;IF(E121&lt;&gt;"",", span "&amp;E121&amp;" m","")&amp;IF(F121&lt;&gt;"",", H "&amp;F121&amp;" m","")&amp;IF(G121&lt;&gt;"",", W "&amp;G121&amp;" m",""))</f>
        <v/>
      </c>
      <c r="C121" s="9"/>
      <c r="D121" s="9"/>
      <c r="E121" s="43"/>
      <c r="F121" s="43"/>
      <c r="G121" s="43"/>
      <c r="H121" s="9"/>
      <c r="I121" s="9"/>
      <c r="J121" s="9"/>
      <c r="K121" s="9"/>
      <c r="L121" s="9"/>
      <c r="M121" s="9"/>
      <c r="N121" s="9"/>
      <c r="O121" s="9"/>
      <c r="P121" s="9"/>
      <c r="Q121" s="9"/>
      <c r="R121" s="10" t="str">
        <f aca="false">IF(A121="","",SG_Criteria!$B$6&amp;SG_Criteria!$B$13&amp;"\"&amp;A121&amp;"\")</f>
        <v/>
      </c>
      <c r="S121" s="10" t="str">
        <f aca="false">IF(A121="","",A121&amp;"_CAD.dwg")</f>
        <v/>
      </c>
      <c r="T121" s="10" t="str">
        <f aca="false">IF(A121="","",A121&amp;"_DWG.pdf")</f>
        <v/>
      </c>
      <c r="U121" s="10" t="str">
        <f aca="false">IF(A121="","",IF(Q121="Y",A121&amp;"_STAAD.std","n/a"))</f>
        <v/>
      </c>
      <c r="V121" s="10" t="str">
        <f aca="false">IF(A121="","",A121&amp;"_CALC.xlsx")</f>
        <v/>
      </c>
      <c r="W121" s="10" t="str">
        <f aca="false">IF(A121="","",A121&amp;"_CALC.pdf")</f>
        <v/>
      </c>
      <c r="X121" s="9"/>
      <c r="Y121" s="9"/>
      <c r="Z121" s="41"/>
      <c r="AA121" s="41"/>
      <c r="AB121" s="41"/>
      <c r="AC121" s="41"/>
      <c r="AD121" s="41"/>
      <c r="AE121" s="38" t="str">
        <f aca="false">IF(C121="","","OK")</f>
        <v/>
      </c>
      <c r="AF121" s="9"/>
      <c r="AG121" s="9"/>
      <c r="AH121" s="9"/>
      <c r="AI121" s="9"/>
      <c r="AJ121" s="9"/>
      <c r="AK121" s="31"/>
      <c r="AL121" s="10" t="str">
        <f aca="false">IF(C121="","",IF(AND(N121="Approved",ISERROR(SEARCH("FAIL",AE121))),"Y","N"))</f>
        <v/>
      </c>
    </row>
    <row r="122" customFormat="false" ht="15" hidden="false" customHeight="false" outlineLevel="0" collapsed="false">
      <c r="A122" s="10" t="str">
        <f aca="false">IF(C122="","",IFERROR(VLOOKUP(C122,Lists!$BI$4:$BJ$20,2,0),"??")&amp;"-"&amp;UPPER(SUBSTITUTE(D122," ",""))&amp;IF(E122&lt;&gt;"","-SP"&amp;TEXT(E122*1000,"0"),"")&amp;IF(F122&lt;&gt;"","-H"&amp;TEXT(F122*1000,"0"),"")&amp;"-"&amp;M122)</f>
        <v/>
      </c>
      <c r="B122" s="10" t="str">
        <f aca="false">IF(C122="","",C122&amp;" - "&amp;D122&amp;IF(E122&lt;&gt;"",", span "&amp;E122&amp;" m","")&amp;IF(F122&lt;&gt;"",", H "&amp;F122&amp;" m","")&amp;IF(G122&lt;&gt;"",", W "&amp;G122&amp;" m",""))</f>
        <v/>
      </c>
      <c r="C122" s="9"/>
      <c r="D122" s="9"/>
      <c r="E122" s="43"/>
      <c r="F122" s="43"/>
      <c r="G122" s="43"/>
      <c r="H122" s="9"/>
      <c r="I122" s="9"/>
      <c r="J122" s="9"/>
      <c r="K122" s="9"/>
      <c r="L122" s="9"/>
      <c r="M122" s="9"/>
      <c r="N122" s="9"/>
      <c r="O122" s="9"/>
      <c r="P122" s="9"/>
      <c r="Q122" s="9"/>
      <c r="R122" s="10" t="str">
        <f aca="false">IF(A122="","",SG_Criteria!$B$6&amp;SG_Criteria!$B$13&amp;"\"&amp;A122&amp;"\")</f>
        <v/>
      </c>
      <c r="S122" s="10" t="str">
        <f aca="false">IF(A122="","",A122&amp;"_CAD.dwg")</f>
        <v/>
      </c>
      <c r="T122" s="10" t="str">
        <f aca="false">IF(A122="","",A122&amp;"_DWG.pdf")</f>
        <v/>
      </c>
      <c r="U122" s="10" t="str">
        <f aca="false">IF(A122="","",IF(Q122="Y",A122&amp;"_STAAD.std","n/a"))</f>
        <v/>
      </c>
      <c r="V122" s="10" t="str">
        <f aca="false">IF(A122="","",A122&amp;"_CALC.xlsx")</f>
        <v/>
      </c>
      <c r="W122" s="10" t="str">
        <f aca="false">IF(A122="","",A122&amp;"_CALC.pdf")</f>
        <v/>
      </c>
      <c r="X122" s="9"/>
      <c r="Y122" s="9"/>
      <c r="Z122" s="41"/>
      <c r="AA122" s="41"/>
      <c r="AB122" s="41"/>
      <c r="AC122" s="41"/>
      <c r="AD122" s="41"/>
      <c r="AE122" s="38" t="str">
        <f aca="false">IF(C122="","","OK")</f>
        <v/>
      </c>
      <c r="AF122" s="9"/>
      <c r="AG122" s="9"/>
      <c r="AH122" s="9"/>
      <c r="AI122" s="9"/>
      <c r="AJ122" s="9"/>
      <c r="AK122" s="31"/>
      <c r="AL122" s="10" t="str">
        <f aca="false">IF(C122="","",IF(AND(N122="Approved",ISERROR(SEARCH("FAIL",AE122))),"Y","N"))</f>
        <v/>
      </c>
    </row>
    <row r="123" customFormat="false" ht="15" hidden="false" customHeight="false" outlineLevel="0" collapsed="false">
      <c r="A123" s="10" t="str">
        <f aca="false">IF(C123="","",IFERROR(VLOOKUP(C123,Lists!$BI$4:$BJ$20,2,0),"??")&amp;"-"&amp;UPPER(SUBSTITUTE(D123," ",""))&amp;IF(E123&lt;&gt;"","-SP"&amp;TEXT(E123*1000,"0"),"")&amp;IF(F123&lt;&gt;"","-H"&amp;TEXT(F123*1000,"0"),"")&amp;"-"&amp;M123)</f>
        <v/>
      </c>
      <c r="B123" s="10" t="str">
        <f aca="false">IF(C123="","",C123&amp;" - "&amp;D123&amp;IF(E123&lt;&gt;"",", span "&amp;E123&amp;" m","")&amp;IF(F123&lt;&gt;"",", H "&amp;F123&amp;" m","")&amp;IF(G123&lt;&gt;"",", W "&amp;G123&amp;" m",""))</f>
        <v/>
      </c>
      <c r="C123" s="9"/>
      <c r="D123" s="9"/>
      <c r="E123" s="43"/>
      <c r="F123" s="43"/>
      <c r="G123" s="43"/>
      <c r="H123" s="9"/>
      <c r="I123" s="9"/>
      <c r="J123" s="9"/>
      <c r="K123" s="9"/>
      <c r="L123" s="9"/>
      <c r="M123" s="9"/>
      <c r="N123" s="9"/>
      <c r="O123" s="9"/>
      <c r="P123" s="9"/>
      <c r="Q123" s="9"/>
      <c r="R123" s="10" t="str">
        <f aca="false">IF(A123="","",SG_Criteria!$B$6&amp;SG_Criteria!$B$13&amp;"\"&amp;A123&amp;"\")</f>
        <v/>
      </c>
      <c r="S123" s="10" t="str">
        <f aca="false">IF(A123="","",A123&amp;"_CAD.dwg")</f>
        <v/>
      </c>
      <c r="T123" s="10" t="str">
        <f aca="false">IF(A123="","",A123&amp;"_DWG.pdf")</f>
        <v/>
      </c>
      <c r="U123" s="10" t="str">
        <f aca="false">IF(A123="","",IF(Q123="Y",A123&amp;"_STAAD.std","n/a"))</f>
        <v/>
      </c>
      <c r="V123" s="10" t="str">
        <f aca="false">IF(A123="","",A123&amp;"_CALC.xlsx")</f>
        <v/>
      </c>
      <c r="W123" s="10" t="str">
        <f aca="false">IF(A123="","",A123&amp;"_CALC.pdf")</f>
        <v/>
      </c>
      <c r="X123" s="9"/>
      <c r="Y123" s="9"/>
      <c r="Z123" s="41"/>
      <c r="AA123" s="41"/>
      <c r="AB123" s="41"/>
      <c r="AC123" s="41"/>
      <c r="AD123" s="41"/>
      <c r="AE123" s="38" t="str">
        <f aca="false">IF(C123="","","OK")</f>
        <v/>
      </c>
      <c r="AF123" s="9"/>
      <c r="AG123" s="9"/>
      <c r="AH123" s="9"/>
      <c r="AI123" s="9"/>
      <c r="AJ123" s="9"/>
      <c r="AK123" s="31"/>
      <c r="AL123" s="10" t="str">
        <f aca="false">IF(C123="","",IF(AND(N123="Approved",ISERROR(SEARCH("FAIL",AE123))),"Y","N"))</f>
        <v/>
      </c>
    </row>
    <row r="124" customFormat="false" ht="15" hidden="false" customHeight="false" outlineLevel="0" collapsed="false">
      <c r="A124" s="10" t="str">
        <f aca="false">IF(C124="","",IFERROR(VLOOKUP(C124,Lists!$BI$4:$BJ$20,2,0),"??")&amp;"-"&amp;UPPER(SUBSTITUTE(D124," ",""))&amp;IF(E124&lt;&gt;"","-SP"&amp;TEXT(E124*1000,"0"),"")&amp;IF(F124&lt;&gt;"","-H"&amp;TEXT(F124*1000,"0"),"")&amp;"-"&amp;M124)</f>
        <v/>
      </c>
      <c r="B124" s="10" t="str">
        <f aca="false">IF(C124="","",C124&amp;" - "&amp;D124&amp;IF(E124&lt;&gt;"",", span "&amp;E124&amp;" m","")&amp;IF(F124&lt;&gt;"",", H "&amp;F124&amp;" m","")&amp;IF(G124&lt;&gt;"",", W "&amp;G124&amp;" m",""))</f>
        <v/>
      </c>
      <c r="C124" s="9"/>
      <c r="D124" s="9"/>
      <c r="E124" s="43"/>
      <c r="F124" s="43"/>
      <c r="G124" s="43"/>
      <c r="H124" s="9"/>
      <c r="I124" s="9"/>
      <c r="J124" s="9"/>
      <c r="K124" s="9"/>
      <c r="L124" s="9"/>
      <c r="M124" s="9"/>
      <c r="N124" s="9"/>
      <c r="O124" s="9"/>
      <c r="P124" s="9"/>
      <c r="Q124" s="9"/>
      <c r="R124" s="10" t="str">
        <f aca="false">IF(A124="","",SG_Criteria!$B$6&amp;SG_Criteria!$B$13&amp;"\"&amp;A124&amp;"\")</f>
        <v/>
      </c>
      <c r="S124" s="10" t="str">
        <f aca="false">IF(A124="","",A124&amp;"_CAD.dwg")</f>
        <v/>
      </c>
      <c r="T124" s="10" t="str">
        <f aca="false">IF(A124="","",A124&amp;"_DWG.pdf")</f>
        <v/>
      </c>
      <c r="U124" s="10" t="str">
        <f aca="false">IF(A124="","",IF(Q124="Y",A124&amp;"_STAAD.std","n/a"))</f>
        <v/>
      </c>
      <c r="V124" s="10" t="str">
        <f aca="false">IF(A124="","",A124&amp;"_CALC.xlsx")</f>
        <v/>
      </c>
      <c r="W124" s="10" t="str">
        <f aca="false">IF(A124="","",A124&amp;"_CALC.pdf")</f>
        <v/>
      </c>
      <c r="X124" s="9"/>
      <c r="Y124" s="9"/>
      <c r="Z124" s="41"/>
      <c r="AA124" s="41"/>
      <c r="AB124" s="41"/>
      <c r="AC124" s="41"/>
      <c r="AD124" s="41"/>
      <c r="AE124" s="38" t="str">
        <f aca="false">IF(C124="","","OK")</f>
        <v/>
      </c>
      <c r="AF124" s="9"/>
      <c r="AG124" s="9"/>
      <c r="AH124" s="9"/>
      <c r="AI124" s="9"/>
      <c r="AJ124" s="9"/>
      <c r="AK124" s="31"/>
      <c r="AL124" s="10" t="str">
        <f aca="false">IF(C124="","",IF(AND(N124="Approved",ISERROR(SEARCH("FAIL",AE124))),"Y","N"))</f>
        <v/>
      </c>
    </row>
    <row r="125" customFormat="false" ht="15" hidden="false" customHeight="false" outlineLevel="0" collapsed="false">
      <c r="A125" s="10" t="str">
        <f aca="false">IF(C125="","",IFERROR(VLOOKUP(C125,Lists!$BI$4:$BJ$20,2,0),"??")&amp;"-"&amp;UPPER(SUBSTITUTE(D125," ",""))&amp;IF(E125&lt;&gt;"","-SP"&amp;TEXT(E125*1000,"0"),"")&amp;IF(F125&lt;&gt;"","-H"&amp;TEXT(F125*1000,"0"),"")&amp;"-"&amp;M125)</f>
        <v/>
      </c>
      <c r="B125" s="10" t="str">
        <f aca="false">IF(C125="","",C125&amp;" - "&amp;D125&amp;IF(E125&lt;&gt;"",", span "&amp;E125&amp;" m","")&amp;IF(F125&lt;&gt;"",", H "&amp;F125&amp;" m","")&amp;IF(G125&lt;&gt;"",", W "&amp;G125&amp;" m",""))</f>
        <v/>
      </c>
      <c r="C125" s="9"/>
      <c r="D125" s="9"/>
      <c r="E125" s="43"/>
      <c r="F125" s="43"/>
      <c r="G125" s="43"/>
      <c r="H125" s="9"/>
      <c r="I125" s="9"/>
      <c r="J125" s="9"/>
      <c r="K125" s="9"/>
      <c r="L125" s="9"/>
      <c r="M125" s="9"/>
      <c r="N125" s="9"/>
      <c r="O125" s="9"/>
      <c r="P125" s="9"/>
      <c r="Q125" s="9"/>
      <c r="R125" s="10" t="str">
        <f aca="false">IF(A125="","",SG_Criteria!$B$6&amp;SG_Criteria!$B$13&amp;"\"&amp;A125&amp;"\")</f>
        <v/>
      </c>
      <c r="S125" s="10" t="str">
        <f aca="false">IF(A125="","",A125&amp;"_CAD.dwg")</f>
        <v/>
      </c>
      <c r="T125" s="10" t="str">
        <f aca="false">IF(A125="","",A125&amp;"_DWG.pdf")</f>
        <v/>
      </c>
      <c r="U125" s="10" t="str">
        <f aca="false">IF(A125="","",IF(Q125="Y",A125&amp;"_STAAD.std","n/a"))</f>
        <v/>
      </c>
      <c r="V125" s="10" t="str">
        <f aca="false">IF(A125="","",A125&amp;"_CALC.xlsx")</f>
        <v/>
      </c>
      <c r="W125" s="10" t="str">
        <f aca="false">IF(A125="","",A125&amp;"_CALC.pdf")</f>
        <v/>
      </c>
      <c r="X125" s="9"/>
      <c r="Y125" s="9"/>
      <c r="Z125" s="41"/>
      <c r="AA125" s="41"/>
      <c r="AB125" s="41"/>
      <c r="AC125" s="41"/>
      <c r="AD125" s="41"/>
      <c r="AE125" s="38" t="str">
        <f aca="false">IF(C125="","","OK")</f>
        <v/>
      </c>
      <c r="AF125" s="9"/>
      <c r="AG125" s="9"/>
      <c r="AH125" s="9"/>
      <c r="AI125" s="9"/>
      <c r="AJ125" s="9"/>
      <c r="AK125" s="31"/>
      <c r="AL125" s="10" t="str">
        <f aca="false">IF(C125="","",IF(AND(N125="Approved",ISERROR(SEARCH("FAIL",AE125))),"Y","N"))</f>
        <v/>
      </c>
    </row>
    <row r="126" customFormat="false" ht="15" hidden="false" customHeight="false" outlineLevel="0" collapsed="false">
      <c r="A126" s="10" t="str">
        <f aca="false">IF(C126="","",IFERROR(VLOOKUP(C126,Lists!$BI$4:$BJ$20,2,0),"??")&amp;"-"&amp;UPPER(SUBSTITUTE(D126," ",""))&amp;IF(E126&lt;&gt;"","-SP"&amp;TEXT(E126*1000,"0"),"")&amp;IF(F126&lt;&gt;"","-H"&amp;TEXT(F126*1000,"0"),"")&amp;"-"&amp;M126)</f>
        <v/>
      </c>
      <c r="B126" s="10" t="str">
        <f aca="false">IF(C126="","",C126&amp;" - "&amp;D126&amp;IF(E126&lt;&gt;"",", span "&amp;E126&amp;" m","")&amp;IF(F126&lt;&gt;"",", H "&amp;F126&amp;" m","")&amp;IF(G126&lt;&gt;"",", W "&amp;G126&amp;" m",""))</f>
        <v/>
      </c>
      <c r="C126" s="9"/>
      <c r="D126" s="9"/>
      <c r="E126" s="43"/>
      <c r="F126" s="43"/>
      <c r="G126" s="43"/>
      <c r="H126" s="9"/>
      <c r="I126" s="9"/>
      <c r="J126" s="9"/>
      <c r="K126" s="9"/>
      <c r="L126" s="9"/>
      <c r="M126" s="9"/>
      <c r="N126" s="9"/>
      <c r="O126" s="9"/>
      <c r="P126" s="9"/>
      <c r="Q126" s="9"/>
      <c r="R126" s="10" t="str">
        <f aca="false">IF(A126="","",SG_Criteria!$B$6&amp;SG_Criteria!$B$13&amp;"\"&amp;A126&amp;"\")</f>
        <v/>
      </c>
      <c r="S126" s="10" t="str">
        <f aca="false">IF(A126="","",A126&amp;"_CAD.dwg")</f>
        <v/>
      </c>
      <c r="T126" s="10" t="str">
        <f aca="false">IF(A126="","",A126&amp;"_DWG.pdf")</f>
        <v/>
      </c>
      <c r="U126" s="10" t="str">
        <f aca="false">IF(A126="","",IF(Q126="Y",A126&amp;"_STAAD.std","n/a"))</f>
        <v/>
      </c>
      <c r="V126" s="10" t="str">
        <f aca="false">IF(A126="","",A126&amp;"_CALC.xlsx")</f>
        <v/>
      </c>
      <c r="W126" s="10" t="str">
        <f aca="false">IF(A126="","",A126&amp;"_CALC.pdf")</f>
        <v/>
      </c>
      <c r="X126" s="9"/>
      <c r="Y126" s="9"/>
      <c r="Z126" s="41"/>
      <c r="AA126" s="41"/>
      <c r="AB126" s="41"/>
      <c r="AC126" s="41"/>
      <c r="AD126" s="41"/>
      <c r="AE126" s="38" t="str">
        <f aca="false">IF(C126="","","OK")</f>
        <v/>
      </c>
      <c r="AF126" s="9"/>
      <c r="AG126" s="9"/>
      <c r="AH126" s="9"/>
      <c r="AI126" s="9"/>
      <c r="AJ126" s="9"/>
      <c r="AK126" s="31"/>
      <c r="AL126" s="10" t="str">
        <f aca="false">IF(C126="","",IF(AND(N126="Approved",ISERROR(SEARCH("FAIL",AE126))),"Y","N"))</f>
        <v/>
      </c>
    </row>
    <row r="127" customFormat="false" ht="15" hidden="false" customHeight="false" outlineLevel="0" collapsed="false">
      <c r="A127" s="10" t="str">
        <f aca="false">IF(C127="","",IFERROR(VLOOKUP(C127,Lists!$BI$4:$BJ$20,2,0),"??")&amp;"-"&amp;UPPER(SUBSTITUTE(D127," ",""))&amp;IF(E127&lt;&gt;"","-SP"&amp;TEXT(E127*1000,"0"),"")&amp;IF(F127&lt;&gt;"","-H"&amp;TEXT(F127*1000,"0"),"")&amp;"-"&amp;M127)</f>
        <v/>
      </c>
      <c r="B127" s="10" t="str">
        <f aca="false">IF(C127="","",C127&amp;" - "&amp;D127&amp;IF(E127&lt;&gt;"",", span "&amp;E127&amp;" m","")&amp;IF(F127&lt;&gt;"",", H "&amp;F127&amp;" m","")&amp;IF(G127&lt;&gt;"",", W "&amp;G127&amp;" m",""))</f>
        <v/>
      </c>
      <c r="C127" s="9"/>
      <c r="D127" s="9"/>
      <c r="E127" s="43"/>
      <c r="F127" s="43"/>
      <c r="G127" s="43"/>
      <c r="H127" s="9"/>
      <c r="I127" s="9"/>
      <c r="J127" s="9"/>
      <c r="K127" s="9"/>
      <c r="L127" s="9"/>
      <c r="M127" s="9"/>
      <c r="N127" s="9"/>
      <c r="O127" s="9"/>
      <c r="P127" s="9"/>
      <c r="Q127" s="9"/>
      <c r="R127" s="10" t="str">
        <f aca="false">IF(A127="","",SG_Criteria!$B$6&amp;SG_Criteria!$B$13&amp;"\"&amp;A127&amp;"\")</f>
        <v/>
      </c>
      <c r="S127" s="10" t="str">
        <f aca="false">IF(A127="","",A127&amp;"_CAD.dwg")</f>
        <v/>
      </c>
      <c r="T127" s="10" t="str">
        <f aca="false">IF(A127="","",A127&amp;"_DWG.pdf")</f>
        <v/>
      </c>
      <c r="U127" s="10" t="str">
        <f aca="false">IF(A127="","",IF(Q127="Y",A127&amp;"_STAAD.std","n/a"))</f>
        <v/>
      </c>
      <c r="V127" s="10" t="str">
        <f aca="false">IF(A127="","",A127&amp;"_CALC.xlsx")</f>
        <v/>
      </c>
      <c r="W127" s="10" t="str">
        <f aca="false">IF(A127="","",A127&amp;"_CALC.pdf")</f>
        <v/>
      </c>
      <c r="X127" s="9"/>
      <c r="Y127" s="9"/>
      <c r="Z127" s="41"/>
      <c r="AA127" s="41"/>
      <c r="AB127" s="41"/>
      <c r="AC127" s="41"/>
      <c r="AD127" s="41"/>
      <c r="AE127" s="38" t="str">
        <f aca="false">IF(C127="","","OK")</f>
        <v/>
      </c>
      <c r="AF127" s="9"/>
      <c r="AG127" s="9"/>
      <c r="AH127" s="9"/>
      <c r="AI127" s="9"/>
      <c r="AJ127" s="9"/>
      <c r="AK127" s="31"/>
      <c r="AL127" s="10" t="str">
        <f aca="false">IF(C127="","",IF(AND(N127="Approved",ISERROR(SEARCH("FAIL",AE127))),"Y","N"))</f>
        <v/>
      </c>
    </row>
    <row r="128" customFormat="false" ht="15" hidden="false" customHeight="false" outlineLevel="0" collapsed="false">
      <c r="A128" s="10" t="str">
        <f aca="false">IF(C128="","",IFERROR(VLOOKUP(C128,Lists!$BI$4:$BJ$20,2,0),"??")&amp;"-"&amp;UPPER(SUBSTITUTE(D128," ",""))&amp;IF(E128&lt;&gt;"","-SP"&amp;TEXT(E128*1000,"0"),"")&amp;IF(F128&lt;&gt;"","-H"&amp;TEXT(F128*1000,"0"),"")&amp;"-"&amp;M128)</f>
        <v/>
      </c>
      <c r="B128" s="10" t="str">
        <f aca="false">IF(C128="","",C128&amp;" - "&amp;D128&amp;IF(E128&lt;&gt;"",", span "&amp;E128&amp;" m","")&amp;IF(F128&lt;&gt;"",", H "&amp;F128&amp;" m","")&amp;IF(G128&lt;&gt;"",", W "&amp;G128&amp;" m",""))</f>
        <v/>
      </c>
      <c r="C128" s="9"/>
      <c r="D128" s="9"/>
      <c r="E128" s="43"/>
      <c r="F128" s="43"/>
      <c r="G128" s="43"/>
      <c r="H128" s="9"/>
      <c r="I128" s="9"/>
      <c r="J128" s="9"/>
      <c r="K128" s="9"/>
      <c r="L128" s="9"/>
      <c r="M128" s="9"/>
      <c r="N128" s="9"/>
      <c r="O128" s="9"/>
      <c r="P128" s="9"/>
      <c r="Q128" s="9"/>
      <c r="R128" s="10" t="str">
        <f aca="false">IF(A128="","",SG_Criteria!$B$6&amp;SG_Criteria!$B$13&amp;"\"&amp;A128&amp;"\")</f>
        <v/>
      </c>
      <c r="S128" s="10" t="str">
        <f aca="false">IF(A128="","",A128&amp;"_CAD.dwg")</f>
        <v/>
      </c>
      <c r="T128" s="10" t="str">
        <f aca="false">IF(A128="","",A128&amp;"_DWG.pdf")</f>
        <v/>
      </c>
      <c r="U128" s="10" t="str">
        <f aca="false">IF(A128="","",IF(Q128="Y",A128&amp;"_STAAD.std","n/a"))</f>
        <v/>
      </c>
      <c r="V128" s="10" t="str">
        <f aca="false">IF(A128="","",A128&amp;"_CALC.xlsx")</f>
        <v/>
      </c>
      <c r="W128" s="10" t="str">
        <f aca="false">IF(A128="","",A128&amp;"_CALC.pdf")</f>
        <v/>
      </c>
      <c r="X128" s="9"/>
      <c r="Y128" s="9"/>
      <c r="Z128" s="41"/>
      <c r="AA128" s="41"/>
      <c r="AB128" s="41"/>
      <c r="AC128" s="41"/>
      <c r="AD128" s="41"/>
      <c r="AE128" s="38" t="str">
        <f aca="false">IF(C128="","","OK")</f>
        <v/>
      </c>
      <c r="AF128" s="9"/>
      <c r="AG128" s="9"/>
      <c r="AH128" s="9"/>
      <c r="AI128" s="9"/>
      <c r="AJ128" s="9"/>
      <c r="AK128" s="31"/>
      <c r="AL128" s="10" t="str">
        <f aca="false">IF(C128="","",IF(AND(N128="Approved",ISERROR(SEARCH("FAIL",AE128))),"Y","N"))</f>
        <v/>
      </c>
    </row>
    <row r="129" customFormat="false" ht="15" hidden="false" customHeight="false" outlineLevel="0" collapsed="false">
      <c r="A129" s="10" t="str">
        <f aca="false">IF(C129="","",IFERROR(VLOOKUP(C129,Lists!$BI$4:$BJ$20,2,0),"??")&amp;"-"&amp;UPPER(SUBSTITUTE(D129," ",""))&amp;IF(E129&lt;&gt;"","-SP"&amp;TEXT(E129*1000,"0"),"")&amp;IF(F129&lt;&gt;"","-H"&amp;TEXT(F129*1000,"0"),"")&amp;"-"&amp;M129)</f>
        <v/>
      </c>
      <c r="B129" s="10" t="str">
        <f aca="false">IF(C129="","",C129&amp;" - "&amp;D129&amp;IF(E129&lt;&gt;"",", span "&amp;E129&amp;" m","")&amp;IF(F129&lt;&gt;"",", H "&amp;F129&amp;" m","")&amp;IF(G129&lt;&gt;"",", W "&amp;G129&amp;" m",""))</f>
        <v/>
      </c>
      <c r="C129" s="9"/>
      <c r="D129" s="9"/>
      <c r="E129" s="43"/>
      <c r="F129" s="43"/>
      <c r="G129" s="43"/>
      <c r="H129" s="9"/>
      <c r="I129" s="9"/>
      <c r="J129" s="9"/>
      <c r="K129" s="9"/>
      <c r="L129" s="9"/>
      <c r="M129" s="9"/>
      <c r="N129" s="9"/>
      <c r="O129" s="9"/>
      <c r="P129" s="9"/>
      <c r="Q129" s="9"/>
      <c r="R129" s="10" t="str">
        <f aca="false">IF(A129="","",SG_Criteria!$B$6&amp;SG_Criteria!$B$13&amp;"\"&amp;A129&amp;"\")</f>
        <v/>
      </c>
      <c r="S129" s="10" t="str">
        <f aca="false">IF(A129="","",A129&amp;"_CAD.dwg")</f>
        <v/>
      </c>
      <c r="T129" s="10" t="str">
        <f aca="false">IF(A129="","",A129&amp;"_DWG.pdf")</f>
        <v/>
      </c>
      <c r="U129" s="10" t="str">
        <f aca="false">IF(A129="","",IF(Q129="Y",A129&amp;"_STAAD.std","n/a"))</f>
        <v/>
      </c>
      <c r="V129" s="10" t="str">
        <f aca="false">IF(A129="","",A129&amp;"_CALC.xlsx")</f>
        <v/>
      </c>
      <c r="W129" s="10" t="str">
        <f aca="false">IF(A129="","",A129&amp;"_CALC.pdf")</f>
        <v/>
      </c>
      <c r="X129" s="9"/>
      <c r="Y129" s="9"/>
      <c r="Z129" s="41"/>
      <c r="AA129" s="41"/>
      <c r="AB129" s="41"/>
      <c r="AC129" s="41"/>
      <c r="AD129" s="41"/>
      <c r="AE129" s="38" t="str">
        <f aca="false">IF(C129="","","OK")</f>
        <v/>
      </c>
      <c r="AF129" s="9"/>
      <c r="AG129" s="9"/>
      <c r="AH129" s="9"/>
      <c r="AI129" s="9"/>
      <c r="AJ129" s="9"/>
      <c r="AK129" s="31"/>
      <c r="AL129" s="10" t="str">
        <f aca="false">IF(C129="","",IF(AND(N129="Approved",ISERROR(SEARCH("FAIL",AE129))),"Y","N"))</f>
        <v/>
      </c>
    </row>
    <row r="130" customFormat="false" ht="15" hidden="false" customHeight="false" outlineLevel="0" collapsed="false">
      <c r="A130" s="10" t="str">
        <f aca="false">IF(C130="","",IFERROR(VLOOKUP(C130,Lists!$BI$4:$BJ$20,2,0),"??")&amp;"-"&amp;UPPER(SUBSTITUTE(D130," ",""))&amp;IF(E130&lt;&gt;"","-SP"&amp;TEXT(E130*1000,"0"),"")&amp;IF(F130&lt;&gt;"","-H"&amp;TEXT(F130*1000,"0"),"")&amp;"-"&amp;M130)</f>
        <v/>
      </c>
      <c r="B130" s="10" t="str">
        <f aca="false">IF(C130="","",C130&amp;" - "&amp;D130&amp;IF(E130&lt;&gt;"",", span "&amp;E130&amp;" m","")&amp;IF(F130&lt;&gt;"",", H "&amp;F130&amp;" m","")&amp;IF(G130&lt;&gt;"",", W "&amp;G130&amp;" m",""))</f>
        <v/>
      </c>
      <c r="C130" s="9"/>
      <c r="D130" s="9"/>
      <c r="E130" s="43"/>
      <c r="F130" s="43"/>
      <c r="G130" s="43"/>
      <c r="H130" s="9"/>
      <c r="I130" s="9"/>
      <c r="J130" s="9"/>
      <c r="K130" s="9"/>
      <c r="L130" s="9"/>
      <c r="M130" s="9"/>
      <c r="N130" s="9"/>
      <c r="O130" s="9"/>
      <c r="P130" s="9"/>
      <c r="Q130" s="9"/>
      <c r="R130" s="10" t="str">
        <f aca="false">IF(A130="","",SG_Criteria!$B$6&amp;SG_Criteria!$B$13&amp;"\"&amp;A130&amp;"\")</f>
        <v/>
      </c>
      <c r="S130" s="10" t="str">
        <f aca="false">IF(A130="","",A130&amp;"_CAD.dwg")</f>
        <v/>
      </c>
      <c r="T130" s="10" t="str">
        <f aca="false">IF(A130="","",A130&amp;"_DWG.pdf")</f>
        <v/>
      </c>
      <c r="U130" s="10" t="str">
        <f aca="false">IF(A130="","",IF(Q130="Y",A130&amp;"_STAAD.std","n/a"))</f>
        <v/>
      </c>
      <c r="V130" s="10" t="str">
        <f aca="false">IF(A130="","",A130&amp;"_CALC.xlsx")</f>
        <v/>
      </c>
      <c r="W130" s="10" t="str">
        <f aca="false">IF(A130="","",A130&amp;"_CALC.pdf")</f>
        <v/>
      </c>
      <c r="X130" s="9"/>
      <c r="Y130" s="9"/>
      <c r="Z130" s="41"/>
      <c r="AA130" s="41"/>
      <c r="AB130" s="41"/>
      <c r="AC130" s="41"/>
      <c r="AD130" s="41"/>
      <c r="AE130" s="38" t="str">
        <f aca="false">IF(C130="","","OK")</f>
        <v/>
      </c>
      <c r="AF130" s="9"/>
      <c r="AG130" s="9"/>
      <c r="AH130" s="9"/>
      <c r="AI130" s="9"/>
      <c r="AJ130" s="9"/>
      <c r="AK130" s="31"/>
      <c r="AL130" s="10" t="str">
        <f aca="false">IF(C130="","",IF(AND(N130="Approved",ISERROR(SEARCH("FAIL",AE130))),"Y","N"))</f>
        <v/>
      </c>
    </row>
    <row r="131" customFormat="false" ht="15" hidden="false" customHeight="false" outlineLevel="0" collapsed="false">
      <c r="A131" s="10" t="str">
        <f aca="false">IF(C131="","",IFERROR(VLOOKUP(C131,Lists!$BI$4:$BJ$20,2,0),"??")&amp;"-"&amp;UPPER(SUBSTITUTE(D131," ",""))&amp;IF(E131&lt;&gt;"","-SP"&amp;TEXT(E131*1000,"0"),"")&amp;IF(F131&lt;&gt;"","-H"&amp;TEXT(F131*1000,"0"),"")&amp;"-"&amp;M131)</f>
        <v/>
      </c>
      <c r="B131" s="10" t="str">
        <f aca="false">IF(C131="","",C131&amp;" - "&amp;D131&amp;IF(E131&lt;&gt;"",", span "&amp;E131&amp;" m","")&amp;IF(F131&lt;&gt;"",", H "&amp;F131&amp;" m","")&amp;IF(G131&lt;&gt;"",", W "&amp;G131&amp;" m",""))</f>
        <v/>
      </c>
      <c r="C131" s="9"/>
      <c r="D131" s="9"/>
      <c r="E131" s="43"/>
      <c r="F131" s="43"/>
      <c r="G131" s="43"/>
      <c r="H131" s="9"/>
      <c r="I131" s="9"/>
      <c r="J131" s="9"/>
      <c r="K131" s="9"/>
      <c r="L131" s="9"/>
      <c r="M131" s="9"/>
      <c r="N131" s="9"/>
      <c r="O131" s="9"/>
      <c r="P131" s="9"/>
      <c r="Q131" s="9"/>
      <c r="R131" s="10" t="str">
        <f aca="false">IF(A131="","",SG_Criteria!$B$6&amp;SG_Criteria!$B$13&amp;"\"&amp;A131&amp;"\")</f>
        <v/>
      </c>
      <c r="S131" s="10" t="str">
        <f aca="false">IF(A131="","",A131&amp;"_CAD.dwg")</f>
        <v/>
      </c>
      <c r="T131" s="10" t="str">
        <f aca="false">IF(A131="","",A131&amp;"_DWG.pdf")</f>
        <v/>
      </c>
      <c r="U131" s="10" t="str">
        <f aca="false">IF(A131="","",IF(Q131="Y",A131&amp;"_STAAD.std","n/a"))</f>
        <v/>
      </c>
      <c r="V131" s="10" t="str">
        <f aca="false">IF(A131="","",A131&amp;"_CALC.xlsx")</f>
        <v/>
      </c>
      <c r="W131" s="10" t="str">
        <f aca="false">IF(A131="","",A131&amp;"_CALC.pdf")</f>
        <v/>
      </c>
      <c r="X131" s="9"/>
      <c r="Y131" s="9"/>
      <c r="Z131" s="41"/>
      <c r="AA131" s="41"/>
      <c r="AB131" s="41"/>
      <c r="AC131" s="41"/>
      <c r="AD131" s="41"/>
      <c r="AE131" s="38" t="str">
        <f aca="false">IF(C131="","","OK")</f>
        <v/>
      </c>
      <c r="AF131" s="9"/>
      <c r="AG131" s="9"/>
      <c r="AH131" s="9"/>
      <c r="AI131" s="9"/>
      <c r="AJ131" s="9"/>
      <c r="AK131" s="31"/>
      <c r="AL131" s="10" t="str">
        <f aca="false">IF(C131="","",IF(AND(N131="Approved",ISERROR(SEARCH("FAIL",AE131))),"Y","N"))</f>
        <v/>
      </c>
    </row>
    <row r="132" customFormat="false" ht="15" hidden="false" customHeight="false" outlineLevel="0" collapsed="false">
      <c r="A132" s="10" t="str">
        <f aca="false">IF(C132="","",IFERROR(VLOOKUP(C132,Lists!$BI$4:$BJ$20,2,0),"??")&amp;"-"&amp;UPPER(SUBSTITUTE(D132," ",""))&amp;IF(E132&lt;&gt;"","-SP"&amp;TEXT(E132*1000,"0"),"")&amp;IF(F132&lt;&gt;"","-H"&amp;TEXT(F132*1000,"0"),"")&amp;"-"&amp;M132)</f>
        <v/>
      </c>
      <c r="B132" s="10" t="str">
        <f aca="false">IF(C132="","",C132&amp;" - "&amp;D132&amp;IF(E132&lt;&gt;"",", span "&amp;E132&amp;" m","")&amp;IF(F132&lt;&gt;"",", H "&amp;F132&amp;" m","")&amp;IF(G132&lt;&gt;"",", W "&amp;G132&amp;" m",""))</f>
        <v/>
      </c>
      <c r="C132" s="9"/>
      <c r="D132" s="9"/>
      <c r="E132" s="43"/>
      <c r="F132" s="43"/>
      <c r="G132" s="43"/>
      <c r="H132" s="9"/>
      <c r="I132" s="9"/>
      <c r="J132" s="9"/>
      <c r="K132" s="9"/>
      <c r="L132" s="9"/>
      <c r="M132" s="9"/>
      <c r="N132" s="9"/>
      <c r="O132" s="9"/>
      <c r="P132" s="9"/>
      <c r="Q132" s="9"/>
      <c r="R132" s="10" t="str">
        <f aca="false">IF(A132="","",SG_Criteria!$B$6&amp;SG_Criteria!$B$13&amp;"\"&amp;A132&amp;"\")</f>
        <v/>
      </c>
      <c r="S132" s="10" t="str">
        <f aca="false">IF(A132="","",A132&amp;"_CAD.dwg")</f>
        <v/>
      </c>
      <c r="T132" s="10" t="str">
        <f aca="false">IF(A132="","",A132&amp;"_DWG.pdf")</f>
        <v/>
      </c>
      <c r="U132" s="10" t="str">
        <f aca="false">IF(A132="","",IF(Q132="Y",A132&amp;"_STAAD.std","n/a"))</f>
        <v/>
      </c>
      <c r="V132" s="10" t="str">
        <f aca="false">IF(A132="","",A132&amp;"_CALC.xlsx")</f>
        <v/>
      </c>
      <c r="W132" s="10" t="str">
        <f aca="false">IF(A132="","",A132&amp;"_CALC.pdf")</f>
        <v/>
      </c>
      <c r="X132" s="9"/>
      <c r="Y132" s="9"/>
      <c r="Z132" s="41"/>
      <c r="AA132" s="41"/>
      <c r="AB132" s="41"/>
      <c r="AC132" s="41"/>
      <c r="AD132" s="41"/>
      <c r="AE132" s="38" t="str">
        <f aca="false">IF(C132="","","OK")</f>
        <v/>
      </c>
      <c r="AF132" s="9"/>
      <c r="AG132" s="9"/>
      <c r="AH132" s="9"/>
      <c r="AI132" s="9"/>
      <c r="AJ132" s="9"/>
      <c r="AK132" s="31"/>
      <c r="AL132" s="10" t="str">
        <f aca="false">IF(C132="","",IF(AND(N132="Approved",ISERROR(SEARCH("FAIL",AE132))),"Y","N"))</f>
        <v/>
      </c>
    </row>
    <row r="133" customFormat="false" ht="15" hidden="false" customHeight="false" outlineLevel="0" collapsed="false">
      <c r="A133" s="10" t="str">
        <f aca="false">IF(C133="","",IFERROR(VLOOKUP(C133,Lists!$BI$4:$BJ$20,2,0),"??")&amp;"-"&amp;UPPER(SUBSTITUTE(D133," ",""))&amp;IF(E133&lt;&gt;"","-SP"&amp;TEXT(E133*1000,"0"),"")&amp;IF(F133&lt;&gt;"","-H"&amp;TEXT(F133*1000,"0"),"")&amp;"-"&amp;M133)</f>
        <v/>
      </c>
      <c r="B133" s="10" t="str">
        <f aca="false">IF(C133="","",C133&amp;" - "&amp;D133&amp;IF(E133&lt;&gt;"",", span "&amp;E133&amp;" m","")&amp;IF(F133&lt;&gt;"",", H "&amp;F133&amp;" m","")&amp;IF(G133&lt;&gt;"",", W "&amp;G133&amp;" m",""))</f>
        <v/>
      </c>
      <c r="C133" s="9"/>
      <c r="D133" s="9"/>
      <c r="E133" s="43"/>
      <c r="F133" s="43"/>
      <c r="G133" s="43"/>
      <c r="H133" s="9"/>
      <c r="I133" s="9"/>
      <c r="J133" s="9"/>
      <c r="K133" s="9"/>
      <c r="L133" s="9"/>
      <c r="M133" s="9"/>
      <c r="N133" s="9"/>
      <c r="O133" s="9"/>
      <c r="P133" s="9"/>
      <c r="Q133" s="9"/>
      <c r="R133" s="10" t="str">
        <f aca="false">IF(A133="","",SG_Criteria!$B$6&amp;SG_Criteria!$B$13&amp;"\"&amp;A133&amp;"\")</f>
        <v/>
      </c>
      <c r="S133" s="10" t="str">
        <f aca="false">IF(A133="","",A133&amp;"_CAD.dwg")</f>
        <v/>
      </c>
      <c r="T133" s="10" t="str">
        <f aca="false">IF(A133="","",A133&amp;"_DWG.pdf")</f>
        <v/>
      </c>
      <c r="U133" s="10" t="str">
        <f aca="false">IF(A133="","",IF(Q133="Y",A133&amp;"_STAAD.std","n/a"))</f>
        <v/>
      </c>
      <c r="V133" s="10" t="str">
        <f aca="false">IF(A133="","",A133&amp;"_CALC.xlsx")</f>
        <v/>
      </c>
      <c r="W133" s="10" t="str">
        <f aca="false">IF(A133="","",A133&amp;"_CALC.pdf")</f>
        <v/>
      </c>
      <c r="X133" s="9"/>
      <c r="Y133" s="9"/>
      <c r="Z133" s="41"/>
      <c r="AA133" s="41"/>
      <c r="AB133" s="41"/>
      <c r="AC133" s="41"/>
      <c r="AD133" s="41"/>
      <c r="AE133" s="38" t="str">
        <f aca="false">IF(C133="","","OK")</f>
        <v/>
      </c>
      <c r="AF133" s="9"/>
      <c r="AG133" s="9"/>
      <c r="AH133" s="9"/>
      <c r="AI133" s="9"/>
      <c r="AJ133" s="9"/>
      <c r="AK133" s="31"/>
      <c r="AL133" s="10" t="str">
        <f aca="false">IF(C133="","",IF(AND(N133="Approved",ISERROR(SEARCH("FAIL",AE133))),"Y","N"))</f>
        <v/>
      </c>
    </row>
    <row r="134" customFormat="false" ht="15" hidden="false" customHeight="false" outlineLevel="0" collapsed="false">
      <c r="A134" s="10" t="str">
        <f aca="false">IF(C134="","",IFERROR(VLOOKUP(C134,Lists!$BI$4:$BJ$20,2,0),"??")&amp;"-"&amp;UPPER(SUBSTITUTE(D134," ",""))&amp;IF(E134&lt;&gt;"","-SP"&amp;TEXT(E134*1000,"0"),"")&amp;IF(F134&lt;&gt;"","-H"&amp;TEXT(F134*1000,"0"),"")&amp;"-"&amp;M134)</f>
        <v/>
      </c>
      <c r="B134" s="10" t="str">
        <f aca="false">IF(C134="","",C134&amp;" - "&amp;D134&amp;IF(E134&lt;&gt;"",", span "&amp;E134&amp;" m","")&amp;IF(F134&lt;&gt;"",", H "&amp;F134&amp;" m","")&amp;IF(G134&lt;&gt;"",", W "&amp;G134&amp;" m",""))</f>
        <v/>
      </c>
      <c r="C134" s="9"/>
      <c r="D134" s="9"/>
      <c r="E134" s="43"/>
      <c r="F134" s="43"/>
      <c r="G134" s="43"/>
      <c r="H134" s="9"/>
      <c r="I134" s="9"/>
      <c r="J134" s="9"/>
      <c r="K134" s="9"/>
      <c r="L134" s="9"/>
      <c r="M134" s="9"/>
      <c r="N134" s="9"/>
      <c r="O134" s="9"/>
      <c r="P134" s="9"/>
      <c r="Q134" s="9"/>
      <c r="R134" s="10" t="str">
        <f aca="false">IF(A134="","",SG_Criteria!$B$6&amp;SG_Criteria!$B$13&amp;"\"&amp;A134&amp;"\")</f>
        <v/>
      </c>
      <c r="S134" s="10" t="str">
        <f aca="false">IF(A134="","",A134&amp;"_CAD.dwg")</f>
        <v/>
      </c>
      <c r="T134" s="10" t="str">
        <f aca="false">IF(A134="","",A134&amp;"_DWG.pdf")</f>
        <v/>
      </c>
      <c r="U134" s="10" t="str">
        <f aca="false">IF(A134="","",IF(Q134="Y",A134&amp;"_STAAD.std","n/a"))</f>
        <v/>
      </c>
      <c r="V134" s="10" t="str">
        <f aca="false">IF(A134="","",A134&amp;"_CALC.xlsx")</f>
        <v/>
      </c>
      <c r="W134" s="10" t="str">
        <f aca="false">IF(A134="","",A134&amp;"_CALC.pdf")</f>
        <v/>
      </c>
      <c r="X134" s="9"/>
      <c r="Y134" s="9"/>
      <c r="Z134" s="41"/>
      <c r="AA134" s="41"/>
      <c r="AB134" s="41"/>
      <c r="AC134" s="41"/>
      <c r="AD134" s="41"/>
      <c r="AE134" s="38" t="str">
        <f aca="false">IF(C134="","","OK")</f>
        <v/>
      </c>
      <c r="AF134" s="9"/>
      <c r="AG134" s="9"/>
      <c r="AH134" s="9"/>
      <c r="AI134" s="9"/>
      <c r="AJ134" s="9"/>
      <c r="AK134" s="31"/>
      <c r="AL134" s="10" t="str">
        <f aca="false">IF(C134="","",IF(AND(N134="Approved",ISERROR(SEARCH("FAIL",AE134))),"Y","N"))</f>
        <v/>
      </c>
    </row>
    <row r="135" customFormat="false" ht="15" hidden="false" customHeight="false" outlineLevel="0" collapsed="false">
      <c r="A135" s="10" t="str">
        <f aca="false">IF(C135="","",IFERROR(VLOOKUP(C135,Lists!$BI$4:$BJ$20,2,0),"??")&amp;"-"&amp;UPPER(SUBSTITUTE(D135," ",""))&amp;IF(E135&lt;&gt;"","-SP"&amp;TEXT(E135*1000,"0"),"")&amp;IF(F135&lt;&gt;"","-H"&amp;TEXT(F135*1000,"0"),"")&amp;"-"&amp;M135)</f>
        <v/>
      </c>
      <c r="B135" s="10" t="str">
        <f aca="false">IF(C135="","",C135&amp;" - "&amp;D135&amp;IF(E135&lt;&gt;"",", span "&amp;E135&amp;" m","")&amp;IF(F135&lt;&gt;"",", H "&amp;F135&amp;" m","")&amp;IF(G135&lt;&gt;"",", W "&amp;G135&amp;" m",""))</f>
        <v/>
      </c>
      <c r="C135" s="9"/>
      <c r="D135" s="9"/>
      <c r="E135" s="43"/>
      <c r="F135" s="43"/>
      <c r="G135" s="43"/>
      <c r="H135" s="9"/>
      <c r="I135" s="9"/>
      <c r="J135" s="9"/>
      <c r="K135" s="9"/>
      <c r="L135" s="9"/>
      <c r="M135" s="9"/>
      <c r="N135" s="9"/>
      <c r="O135" s="9"/>
      <c r="P135" s="9"/>
      <c r="Q135" s="9"/>
      <c r="R135" s="10" t="str">
        <f aca="false">IF(A135="","",SG_Criteria!$B$6&amp;SG_Criteria!$B$13&amp;"\"&amp;A135&amp;"\")</f>
        <v/>
      </c>
      <c r="S135" s="10" t="str">
        <f aca="false">IF(A135="","",A135&amp;"_CAD.dwg")</f>
        <v/>
      </c>
      <c r="T135" s="10" t="str">
        <f aca="false">IF(A135="","",A135&amp;"_DWG.pdf")</f>
        <v/>
      </c>
      <c r="U135" s="10" t="str">
        <f aca="false">IF(A135="","",IF(Q135="Y",A135&amp;"_STAAD.std","n/a"))</f>
        <v/>
      </c>
      <c r="V135" s="10" t="str">
        <f aca="false">IF(A135="","",A135&amp;"_CALC.xlsx")</f>
        <v/>
      </c>
      <c r="W135" s="10" t="str">
        <f aca="false">IF(A135="","",A135&amp;"_CALC.pdf")</f>
        <v/>
      </c>
      <c r="X135" s="9"/>
      <c r="Y135" s="9"/>
      <c r="Z135" s="41"/>
      <c r="AA135" s="41"/>
      <c r="AB135" s="41"/>
      <c r="AC135" s="41"/>
      <c r="AD135" s="41"/>
      <c r="AE135" s="38" t="str">
        <f aca="false">IF(C135="","","OK")</f>
        <v/>
      </c>
      <c r="AF135" s="9"/>
      <c r="AG135" s="9"/>
      <c r="AH135" s="9"/>
      <c r="AI135" s="9"/>
      <c r="AJ135" s="9"/>
      <c r="AK135" s="31"/>
      <c r="AL135" s="10" t="str">
        <f aca="false">IF(C135="","",IF(AND(N135="Approved",ISERROR(SEARCH("FAIL",AE135))),"Y","N"))</f>
        <v/>
      </c>
    </row>
    <row r="136" customFormat="false" ht="15" hidden="false" customHeight="false" outlineLevel="0" collapsed="false">
      <c r="A136" s="10" t="str">
        <f aca="false">IF(C136="","",IFERROR(VLOOKUP(C136,Lists!$BI$4:$BJ$20,2,0),"??")&amp;"-"&amp;UPPER(SUBSTITUTE(D136," ",""))&amp;IF(E136&lt;&gt;"","-SP"&amp;TEXT(E136*1000,"0"),"")&amp;IF(F136&lt;&gt;"","-H"&amp;TEXT(F136*1000,"0"),"")&amp;"-"&amp;M136)</f>
        <v/>
      </c>
      <c r="B136" s="10" t="str">
        <f aca="false">IF(C136="","",C136&amp;" - "&amp;D136&amp;IF(E136&lt;&gt;"",", span "&amp;E136&amp;" m","")&amp;IF(F136&lt;&gt;"",", H "&amp;F136&amp;" m","")&amp;IF(G136&lt;&gt;"",", W "&amp;G136&amp;" m",""))</f>
        <v/>
      </c>
      <c r="C136" s="9"/>
      <c r="D136" s="9"/>
      <c r="E136" s="43"/>
      <c r="F136" s="43"/>
      <c r="G136" s="43"/>
      <c r="H136" s="9"/>
      <c r="I136" s="9"/>
      <c r="J136" s="9"/>
      <c r="K136" s="9"/>
      <c r="L136" s="9"/>
      <c r="M136" s="9"/>
      <c r="N136" s="9"/>
      <c r="O136" s="9"/>
      <c r="P136" s="9"/>
      <c r="Q136" s="9"/>
      <c r="R136" s="10" t="str">
        <f aca="false">IF(A136="","",SG_Criteria!$B$6&amp;SG_Criteria!$B$13&amp;"\"&amp;A136&amp;"\")</f>
        <v/>
      </c>
      <c r="S136" s="10" t="str">
        <f aca="false">IF(A136="","",A136&amp;"_CAD.dwg")</f>
        <v/>
      </c>
      <c r="T136" s="10" t="str">
        <f aca="false">IF(A136="","",A136&amp;"_DWG.pdf")</f>
        <v/>
      </c>
      <c r="U136" s="10" t="str">
        <f aca="false">IF(A136="","",IF(Q136="Y",A136&amp;"_STAAD.std","n/a"))</f>
        <v/>
      </c>
      <c r="V136" s="10" t="str">
        <f aca="false">IF(A136="","",A136&amp;"_CALC.xlsx")</f>
        <v/>
      </c>
      <c r="W136" s="10" t="str">
        <f aca="false">IF(A136="","",A136&amp;"_CALC.pdf")</f>
        <v/>
      </c>
      <c r="X136" s="9"/>
      <c r="Y136" s="9"/>
      <c r="Z136" s="41"/>
      <c r="AA136" s="41"/>
      <c r="AB136" s="41"/>
      <c r="AC136" s="41"/>
      <c r="AD136" s="41"/>
      <c r="AE136" s="38" t="str">
        <f aca="false">IF(C136="","","OK")</f>
        <v/>
      </c>
      <c r="AF136" s="9"/>
      <c r="AG136" s="9"/>
      <c r="AH136" s="9"/>
      <c r="AI136" s="9"/>
      <c r="AJ136" s="9"/>
      <c r="AK136" s="31"/>
      <c r="AL136" s="10" t="str">
        <f aca="false">IF(C136="","",IF(AND(N136="Approved",ISERROR(SEARCH("FAIL",AE136))),"Y","N"))</f>
        <v/>
      </c>
    </row>
    <row r="137" customFormat="false" ht="15" hidden="false" customHeight="false" outlineLevel="0" collapsed="false">
      <c r="A137" s="10" t="str">
        <f aca="false">IF(C137="","",IFERROR(VLOOKUP(C137,Lists!$BI$4:$BJ$20,2,0),"??")&amp;"-"&amp;UPPER(SUBSTITUTE(D137," ",""))&amp;IF(E137&lt;&gt;"","-SP"&amp;TEXT(E137*1000,"0"),"")&amp;IF(F137&lt;&gt;"","-H"&amp;TEXT(F137*1000,"0"),"")&amp;"-"&amp;M137)</f>
        <v/>
      </c>
      <c r="B137" s="10" t="str">
        <f aca="false">IF(C137="","",C137&amp;" - "&amp;D137&amp;IF(E137&lt;&gt;"",", span "&amp;E137&amp;" m","")&amp;IF(F137&lt;&gt;"",", H "&amp;F137&amp;" m","")&amp;IF(G137&lt;&gt;"",", W "&amp;G137&amp;" m",""))</f>
        <v/>
      </c>
      <c r="C137" s="9"/>
      <c r="D137" s="9"/>
      <c r="E137" s="43"/>
      <c r="F137" s="43"/>
      <c r="G137" s="43"/>
      <c r="H137" s="9"/>
      <c r="I137" s="9"/>
      <c r="J137" s="9"/>
      <c r="K137" s="9"/>
      <c r="L137" s="9"/>
      <c r="M137" s="9"/>
      <c r="N137" s="9"/>
      <c r="O137" s="9"/>
      <c r="P137" s="9"/>
      <c r="Q137" s="9"/>
      <c r="R137" s="10" t="str">
        <f aca="false">IF(A137="","",SG_Criteria!$B$6&amp;SG_Criteria!$B$13&amp;"\"&amp;A137&amp;"\")</f>
        <v/>
      </c>
      <c r="S137" s="10" t="str">
        <f aca="false">IF(A137="","",A137&amp;"_CAD.dwg")</f>
        <v/>
      </c>
      <c r="T137" s="10" t="str">
        <f aca="false">IF(A137="","",A137&amp;"_DWG.pdf")</f>
        <v/>
      </c>
      <c r="U137" s="10" t="str">
        <f aca="false">IF(A137="","",IF(Q137="Y",A137&amp;"_STAAD.std","n/a"))</f>
        <v/>
      </c>
      <c r="V137" s="10" t="str">
        <f aca="false">IF(A137="","",A137&amp;"_CALC.xlsx")</f>
        <v/>
      </c>
      <c r="W137" s="10" t="str">
        <f aca="false">IF(A137="","",A137&amp;"_CALC.pdf")</f>
        <v/>
      </c>
      <c r="X137" s="9"/>
      <c r="Y137" s="9"/>
      <c r="Z137" s="41"/>
      <c r="AA137" s="41"/>
      <c r="AB137" s="41"/>
      <c r="AC137" s="41"/>
      <c r="AD137" s="41"/>
      <c r="AE137" s="38" t="str">
        <f aca="false">IF(C137="","","OK")</f>
        <v/>
      </c>
      <c r="AF137" s="9"/>
      <c r="AG137" s="9"/>
      <c r="AH137" s="9"/>
      <c r="AI137" s="9"/>
      <c r="AJ137" s="9"/>
      <c r="AK137" s="31"/>
      <c r="AL137" s="10" t="str">
        <f aca="false">IF(C137="","",IF(AND(N137="Approved",ISERROR(SEARCH("FAIL",AE137))),"Y","N"))</f>
        <v/>
      </c>
    </row>
    <row r="138" customFormat="false" ht="15" hidden="false" customHeight="false" outlineLevel="0" collapsed="false">
      <c r="A138" s="10" t="str">
        <f aca="false">IF(C138="","",IFERROR(VLOOKUP(C138,Lists!$BI$4:$BJ$20,2,0),"??")&amp;"-"&amp;UPPER(SUBSTITUTE(D138," ",""))&amp;IF(E138&lt;&gt;"","-SP"&amp;TEXT(E138*1000,"0"),"")&amp;IF(F138&lt;&gt;"","-H"&amp;TEXT(F138*1000,"0"),"")&amp;"-"&amp;M138)</f>
        <v/>
      </c>
      <c r="B138" s="10" t="str">
        <f aca="false">IF(C138="","",C138&amp;" - "&amp;D138&amp;IF(E138&lt;&gt;"",", span "&amp;E138&amp;" m","")&amp;IF(F138&lt;&gt;"",", H "&amp;F138&amp;" m","")&amp;IF(G138&lt;&gt;"",", W "&amp;G138&amp;" m",""))</f>
        <v/>
      </c>
      <c r="C138" s="9"/>
      <c r="D138" s="9"/>
      <c r="E138" s="43"/>
      <c r="F138" s="43"/>
      <c r="G138" s="43"/>
      <c r="H138" s="9"/>
      <c r="I138" s="9"/>
      <c r="J138" s="9"/>
      <c r="K138" s="9"/>
      <c r="L138" s="9"/>
      <c r="M138" s="9"/>
      <c r="N138" s="9"/>
      <c r="O138" s="9"/>
      <c r="P138" s="9"/>
      <c r="Q138" s="9"/>
      <c r="R138" s="10" t="str">
        <f aca="false">IF(A138="","",SG_Criteria!$B$6&amp;SG_Criteria!$B$13&amp;"\"&amp;A138&amp;"\")</f>
        <v/>
      </c>
      <c r="S138" s="10" t="str">
        <f aca="false">IF(A138="","",A138&amp;"_CAD.dwg")</f>
        <v/>
      </c>
      <c r="T138" s="10" t="str">
        <f aca="false">IF(A138="","",A138&amp;"_DWG.pdf")</f>
        <v/>
      </c>
      <c r="U138" s="10" t="str">
        <f aca="false">IF(A138="","",IF(Q138="Y",A138&amp;"_STAAD.std","n/a"))</f>
        <v/>
      </c>
      <c r="V138" s="10" t="str">
        <f aca="false">IF(A138="","",A138&amp;"_CALC.xlsx")</f>
        <v/>
      </c>
      <c r="W138" s="10" t="str">
        <f aca="false">IF(A138="","",A138&amp;"_CALC.pdf")</f>
        <v/>
      </c>
      <c r="X138" s="9"/>
      <c r="Y138" s="9"/>
      <c r="Z138" s="41"/>
      <c r="AA138" s="41"/>
      <c r="AB138" s="41"/>
      <c r="AC138" s="41"/>
      <c r="AD138" s="41"/>
      <c r="AE138" s="38" t="str">
        <f aca="false">IF(C138="","","OK")</f>
        <v/>
      </c>
      <c r="AF138" s="9"/>
      <c r="AG138" s="9"/>
      <c r="AH138" s="9"/>
      <c r="AI138" s="9"/>
      <c r="AJ138" s="9"/>
      <c r="AK138" s="31"/>
      <c r="AL138" s="10" t="str">
        <f aca="false">IF(C138="","",IF(AND(N138="Approved",ISERROR(SEARCH("FAIL",AE138))),"Y","N"))</f>
        <v/>
      </c>
    </row>
    <row r="139" customFormat="false" ht="15" hidden="false" customHeight="false" outlineLevel="0" collapsed="false">
      <c r="A139" s="10" t="str">
        <f aca="false">IF(C139="","",IFERROR(VLOOKUP(C139,Lists!$BI$4:$BJ$20,2,0),"??")&amp;"-"&amp;UPPER(SUBSTITUTE(D139," ",""))&amp;IF(E139&lt;&gt;"","-SP"&amp;TEXT(E139*1000,"0"),"")&amp;IF(F139&lt;&gt;"","-H"&amp;TEXT(F139*1000,"0"),"")&amp;"-"&amp;M139)</f>
        <v/>
      </c>
      <c r="B139" s="10" t="str">
        <f aca="false">IF(C139="","",C139&amp;" - "&amp;D139&amp;IF(E139&lt;&gt;"",", span "&amp;E139&amp;" m","")&amp;IF(F139&lt;&gt;"",", H "&amp;F139&amp;" m","")&amp;IF(G139&lt;&gt;"",", W "&amp;G139&amp;" m",""))</f>
        <v/>
      </c>
      <c r="C139" s="9"/>
      <c r="D139" s="9"/>
      <c r="E139" s="43"/>
      <c r="F139" s="43"/>
      <c r="G139" s="43"/>
      <c r="H139" s="9"/>
      <c r="I139" s="9"/>
      <c r="J139" s="9"/>
      <c r="K139" s="9"/>
      <c r="L139" s="9"/>
      <c r="M139" s="9"/>
      <c r="N139" s="9"/>
      <c r="O139" s="9"/>
      <c r="P139" s="9"/>
      <c r="Q139" s="9"/>
      <c r="R139" s="10" t="str">
        <f aca="false">IF(A139="","",SG_Criteria!$B$6&amp;SG_Criteria!$B$13&amp;"\"&amp;A139&amp;"\")</f>
        <v/>
      </c>
      <c r="S139" s="10" t="str">
        <f aca="false">IF(A139="","",A139&amp;"_CAD.dwg")</f>
        <v/>
      </c>
      <c r="T139" s="10" t="str">
        <f aca="false">IF(A139="","",A139&amp;"_DWG.pdf")</f>
        <v/>
      </c>
      <c r="U139" s="10" t="str">
        <f aca="false">IF(A139="","",IF(Q139="Y",A139&amp;"_STAAD.std","n/a"))</f>
        <v/>
      </c>
      <c r="V139" s="10" t="str">
        <f aca="false">IF(A139="","",A139&amp;"_CALC.xlsx")</f>
        <v/>
      </c>
      <c r="W139" s="10" t="str">
        <f aca="false">IF(A139="","",A139&amp;"_CALC.pdf")</f>
        <v/>
      </c>
      <c r="X139" s="9"/>
      <c r="Y139" s="9"/>
      <c r="Z139" s="41"/>
      <c r="AA139" s="41"/>
      <c r="AB139" s="41"/>
      <c r="AC139" s="41"/>
      <c r="AD139" s="41"/>
      <c r="AE139" s="38" t="str">
        <f aca="false">IF(C139="","","OK")</f>
        <v/>
      </c>
      <c r="AF139" s="9"/>
      <c r="AG139" s="9"/>
      <c r="AH139" s="9"/>
      <c r="AI139" s="9"/>
      <c r="AJ139" s="9"/>
      <c r="AK139" s="31"/>
      <c r="AL139" s="10" t="str">
        <f aca="false">IF(C139="","",IF(AND(N139="Approved",ISERROR(SEARCH("FAIL",AE139))),"Y","N"))</f>
        <v/>
      </c>
    </row>
    <row r="140" customFormat="false" ht="15" hidden="false" customHeight="false" outlineLevel="0" collapsed="false">
      <c r="A140" s="10" t="str">
        <f aca="false">IF(C140="","",IFERROR(VLOOKUP(C140,Lists!$BI$4:$BJ$20,2,0),"??")&amp;"-"&amp;UPPER(SUBSTITUTE(D140," ",""))&amp;IF(E140&lt;&gt;"","-SP"&amp;TEXT(E140*1000,"0"),"")&amp;IF(F140&lt;&gt;"","-H"&amp;TEXT(F140*1000,"0"),"")&amp;"-"&amp;M140)</f>
        <v/>
      </c>
      <c r="B140" s="10" t="str">
        <f aca="false">IF(C140="","",C140&amp;" - "&amp;D140&amp;IF(E140&lt;&gt;"",", span "&amp;E140&amp;" m","")&amp;IF(F140&lt;&gt;"",", H "&amp;F140&amp;" m","")&amp;IF(G140&lt;&gt;"",", W "&amp;G140&amp;" m",""))</f>
        <v/>
      </c>
      <c r="C140" s="9"/>
      <c r="D140" s="9"/>
      <c r="E140" s="43"/>
      <c r="F140" s="43"/>
      <c r="G140" s="43"/>
      <c r="H140" s="9"/>
      <c r="I140" s="9"/>
      <c r="J140" s="9"/>
      <c r="K140" s="9"/>
      <c r="L140" s="9"/>
      <c r="M140" s="9"/>
      <c r="N140" s="9"/>
      <c r="O140" s="9"/>
      <c r="P140" s="9"/>
      <c r="Q140" s="9"/>
      <c r="R140" s="10" t="str">
        <f aca="false">IF(A140="","",SG_Criteria!$B$6&amp;SG_Criteria!$B$13&amp;"\"&amp;A140&amp;"\")</f>
        <v/>
      </c>
      <c r="S140" s="10" t="str">
        <f aca="false">IF(A140="","",A140&amp;"_CAD.dwg")</f>
        <v/>
      </c>
      <c r="T140" s="10" t="str">
        <f aca="false">IF(A140="","",A140&amp;"_DWG.pdf")</f>
        <v/>
      </c>
      <c r="U140" s="10" t="str">
        <f aca="false">IF(A140="","",IF(Q140="Y",A140&amp;"_STAAD.std","n/a"))</f>
        <v/>
      </c>
      <c r="V140" s="10" t="str">
        <f aca="false">IF(A140="","",A140&amp;"_CALC.xlsx")</f>
        <v/>
      </c>
      <c r="W140" s="10" t="str">
        <f aca="false">IF(A140="","",A140&amp;"_CALC.pdf")</f>
        <v/>
      </c>
      <c r="X140" s="9"/>
      <c r="Y140" s="9"/>
      <c r="Z140" s="41"/>
      <c r="AA140" s="41"/>
      <c r="AB140" s="41"/>
      <c r="AC140" s="41"/>
      <c r="AD140" s="41"/>
      <c r="AE140" s="38" t="str">
        <f aca="false">IF(C140="","","OK")</f>
        <v/>
      </c>
      <c r="AF140" s="9"/>
      <c r="AG140" s="9"/>
      <c r="AH140" s="9"/>
      <c r="AI140" s="9"/>
      <c r="AJ140" s="9"/>
      <c r="AK140" s="31"/>
      <c r="AL140" s="10" t="str">
        <f aca="false">IF(C140="","",IF(AND(N140="Approved",ISERROR(SEARCH("FAIL",AE140))),"Y","N"))</f>
        <v/>
      </c>
    </row>
    <row r="141" customFormat="false" ht="15" hidden="false" customHeight="false" outlineLevel="0" collapsed="false">
      <c r="A141" s="10" t="str">
        <f aca="false">IF(C141="","",IFERROR(VLOOKUP(C141,Lists!$BI$4:$BJ$20,2,0),"??")&amp;"-"&amp;UPPER(SUBSTITUTE(D141," ",""))&amp;IF(E141&lt;&gt;"","-SP"&amp;TEXT(E141*1000,"0"),"")&amp;IF(F141&lt;&gt;"","-H"&amp;TEXT(F141*1000,"0"),"")&amp;"-"&amp;M141)</f>
        <v/>
      </c>
      <c r="B141" s="10" t="str">
        <f aca="false">IF(C141="","",C141&amp;" - "&amp;D141&amp;IF(E141&lt;&gt;"",", span "&amp;E141&amp;" m","")&amp;IF(F141&lt;&gt;"",", H "&amp;F141&amp;" m","")&amp;IF(G141&lt;&gt;"",", W "&amp;G141&amp;" m",""))</f>
        <v/>
      </c>
      <c r="C141" s="9"/>
      <c r="D141" s="9"/>
      <c r="E141" s="43"/>
      <c r="F141" s="43"/>
      <c r="G141" s="43"/>
      <c r="H141" s="9"/>
      <c r="I141" s="9"/>
      <c r="J141" s="9"/>
      <c r="K141" s="9"/>
      <c r="L141" s="9"/>
      <c r="M141" s="9"/>
      <c r="N141" s="9"/>
      <c r="O141" s="9"/>
      <c r="P141" s="9"/>
      <c r="Q141" s="9"/>
      <c r="R141" s="10" t="str">
        <f aca="false">IF(A141="","",SG_Criteria!$B$6&amp;SG_Criteria!$B$13&amp;"\"&amp;A141&amp;"\")</f>
        <v/>
      </c>
      <c r="S141" s="10" t="str">
        <f aca="false">IF(A141="","",A141&amp;"_CAD.dwg")</f>
        <v/>
      </c>
      <c r="T141" s="10" t="str">
        <f aca="false">IF(A141="","",A141&amp;"_DWG.pdf")</f>
        <v/>
      </c>
      <c r="U141" s="10" t="str">
        <f aca="false">IF(A141="","",IF(Q141="Y",A141&amp;"_STAAD.std","n/a"))</f>
        <v/>
      </c>
      <c r="V141" s="10" t="str">
        <f aca="false">IF(A141="","",A141&amp;"_CALC.xlsx")</f>
        <v/>
      </c>
      <c r="W141" s="10" t="str">
        <f aca="false">IF(A141="","",A141&amp;"_CALC.pdf")</f>
        <v/>
      </c>
      <c r="X141" s="9"/>
      <c r="Y141" s="9"/>
      <c r="Z141" s="41"/>
      <c r="AA141" s="41"/>
      <c r="AB141" s="41"/>
      <c r="AC141" s="41"/>
      <c r="AD141" s="41"/>
      <c r="AE141" s="38" t="str">
        <f aca="false">IF(C141="","","OK")</f>
        <v/>
      </c>
      <c r="AF141" s="9"/>
      <c r="AG141" s="9"/>
      <c r="AH141" s="9"/>
      <c r="AI141" s="9"/>
      <c r="AJ141" s="9"/>
      <c r="AK141" s="31"/>
      <c r="AL141" s="10" t="str">
        <f aca="false">IF(C141="","",IF(AND(N141="Approved",ISERROR(SEARCH("FAIL",AE141))),"Y","N"))</f>
        <v/>
      </c>
    </row>
    <row r="142" customFormat="false" ht="15" hidden="false" customHeight="false" outlineLevel="0" collapsed="false">
      <c r="A142" s="10" t="str">
        <f aca="false">IF(C142="","",IFERROR(VLOOKUP(C142,Lists!$BI$4:$BJ$20,2,0),"??")&amp;"-"&amp;UPPER(SUBSTITUTE(D142," ",""))&amp;IF(E142&lt;&gt;"","-SP"&amp;TEXT(E142*1000,"0"),"")&amp;IF(F142&lt;&gt;"","-H"&amp;TEXT(F142*1000,"0"),"")&amp;"-"&amp;M142)</f>
        <v/>
      </c>
      <c r="B142" s="10" t="str">
        <f aca="false">IF(C142="","",C142&amp;" - "&amp;D142&amp;IF(E142&lt;&gt;"",", span "&amp;E142&amp;" m","")&amp;IF(F142&lt;&gt;"",", H "&amp;F142&amp;" m","")&amp;IF(G142&lt;&gt;"",", W "&amp;G142&amp;" m",""))</f>
        <v/>
      </c>
      <c r="C142" s="9"/>
      <c r="D142" s="9"/>
      <c r="E142" s="43"/>
      <c r="F142" s="43"/>
      <c r="G142" s="43"/>
      <c r="H142" s="9"/>
      <c r="I142" s="9"/>
      <c r="J142" s="9"/>
      <c r="K142" s="9"/>
      <c r="L142" s="9"/>
      <c r="M142" s="9"/>
      <c r="N142" s="9"/>
      <c r="O142" s="9"/>
      <c r="P142" s="9"/>
      <c r="Q142" s="9"/>
      <c r="R142" s="10" t="str">
        <f aca="false">IF(A142="","",SG_Criteria!$B$6&amp;SG_Criteria!$B$13&amp;"\"&amp;A142&amp;"\")</f>
        <v/>
      </c>
      <c r="S142" s="10" t="str">
        <f aca="false">IF(A142="","",A142&amp;"_CAD.dwg")</f>
        <v/>
      </c>
      <c r="T142" s="10" t="str">
        <f aca="false">IF(A142="","",A142&amp;"_DWG.pdf")</f>
        <v/>
      </c>
      <c r="U142" s="10" t="str">
        <f aca="false">IF(A142="","",IF(Q142="Y",A142&amp;"_STAAD.std","n/a"))</f>
        <v/>
      </c>
      <c r="V142" s="10" t="str">
        <f aca="false">IF(A142="","",A142&amp;"_CALC.xlsx")</f>
        <v/>
      </c>
      <c r="W142" s="10" t="str">
        <f aca="false">IF(A142="","",A142&amp;"_CALC.pdf")</f>
        <v/>
      </c>
      <c r="X142" s="9"/>
      <c r="Y142" s="9"/>
      <c r="Z142" s="41"/>
      <c r="AA142" s="41"/>
      <c r="AB142" s="41"/>
      <c r="AC142" s="41"/>
      <c r="AD142" s="41"/>
      <c r="AE142" s="38" t="str">
        <f aca="false">IF(C142="","","OK")</f>
        <v/>
      </c>
      <c r="AF142" s="9"/>
      <c r="AG142" s="9"/>
      <c r="AH142" s="9"/>
      <c r="AI142" s="9"/>
      <c r="AJ142" s="9"/>
      <c r="AK142" s="31"/>
      <c r="AL142" s="10" t="str">
        <f aca="false">IF(C142="","",IF(AND(N142="Approved",ISERROR(SEARCH("FAIL",AE142))),"Y","N"))</f>
        <v/>
      </c>
    </row>
    <row r="143" customFormat="false" ht="15" hidden="false" customHeight="false" outlineLevel="0" collapsed="false">
      <c r="A143" s="10" t="str">
        <f aca="false">IF(C143="","",IFERROR(VLOOKUP(C143,Lists!$BI$4:$BJ$20,2,0),"??")&amp;"-"&amp;UPPER(SUBSTITUTE(D143," ",""))&amp;IF(E143&lt;&gt;"","-SP"&amp;TEXT(E143*1000,"0"),"")&amp;IF(F143&lt;&gt;"","-H"&amp;TEXT(F143*1000,"0"),"")&amp;"-"&amp;M143)</f>
        <v/>
      </c>
      <c r="B143" s="10" t="str">
        <f aca="false">IF(C143="","",C143&amp;" - "&amp;D143&amp;IF(E143&lt;&gt;"",", span "&amp;E143&amp;" m","")&amp;IF(F143&lt;&gt;"",", H "&amp;F143&amp;" m","")&amp;IF(G143&lt;&gt;"",", W "&amp;G143&amp;" m",""))</f>
        <v/>
      </c>
      <c r="C143" s="9"/>
      <c r="D143" s="9"/>
      <c r="E143" s="43"/>
      <c r="F143" s="43"/>
      <c r="G143" s="43"/>
      <c r="H143" s="9"/>
      <c r="I143" s="9"/>
      <c r="J143" s="9"/>
      <c r="K143" s="9"/>
      <c r="L143" s="9"/>
      <c r="M143" s="9"/>
      <c r="N143" s="9"/>
      <c r="O143" s="9"/>
      <c r="P143" s="9"/>
      <c r="Q143" s="9"/>
      <c r="R143" s="10" t="str">
        <f aca="false">IF(A143="","",SG_Criteria!$B$6&amp;SG_Criteria!$B$13&amp;"\"&amp;A143&amp;"\")</f>
        <v/>
      </c>
      <c r="S143" s="10" t="str">
        <f aca="false">IF(A143="","",A143&amp;"_CAD.dwg")</f>
        <v/>
      </c>
      <c r="T143" s="10" t="str">
        <f aca="false">IF(A143="","",A143&amp;"_DWG.pdf")</f>
        <v/>
      </c>
      <c r="U143" s="10" t="str">
        <f aca="false">IF(A143="","",IF(Q143="Y",A143&amp;"_STAAD.std","n/a"))</f>
        <v/>
      </c>
      <c r="V143" s="10" t="str">
        <f aca="false">IF(A143="","",A143&amp;"_CALC.xlsx")</f>
        <v/>
      </c>
      <c r="W143" s="10" t="str">
        <f aca="false">IF(A143="","",A143&amp;"_CALC.pdf")</f>
        <v/>
      </c>
      <c r="X143" s="9"/>
      <c r="Y143" s="9"/>
      <c r="Z143" s="41"/>
      <c r="AA143" s="41"/>
      <c r="AB143" s="41"/>
      <c r="AC143" s="41"/>
      <c r="AD143" s="41"/>
      <c r="AE143" s="38" t="str">
        <f aca="false">IF(C143="","","OK")</f>
        <v/>
      </c>
      <c r="AF143" s="9"/>
      <c r="AG143" s="9"/>
      <c r="AH143" s="9"/>
      <c r="AI143" s="9"/>
      <c r="AJ143" s="9"/>
      <c r="AK143" s="31"/>
      <c r="AL143" s="10" t="str">
        <f aca="false">IF(C143="","",IF(AND(N143="Approved",ISERROR(SEARCH("FAIL",AE143))),"Y","N"))</f>
        <v/>
      </c>
    </row>
    <row r="144" customFormat="false" ht="15" hidden="false" customHeight="false" outlineLevel="0" collapsed="false">
      <c r="A144" s="10" t="str">
        <f aca="false">IF(C144="","",IFERROR(VLOOKUP(C144,Lists!$BI$4:$BJ$20,2,0),"??")&amp;"-"&amp;UPPER(SUBSTITUTE(D144," ",""))&amp;IF(E144&lt;&gt;"","-SP"&amp;TEXT(E144*1000,"0"),"")&amp;IF(F144&lt;&gt;"","-H"&amp;TEXT(F144*1000,"0"),"")&amp;"-"&amp;M144)</f>
        <v/>
      </c>
      <c r="B144" s="10" t="str">
        <f aca="false">IF(C144="","",C144&amp;" - "&amp;D144&amp;IF(E144&lt;&gt;"",", span "&amp;E144&amp;" m","")&amp;IF(F144&lt;&gt;"",", H "&amp;F144&amp;" m","")&amp;IF(G144&lt;&gt;"",", W "&amp;G144&amp;" m",""))</f>
        <v/>
      </c>
      <c r="C144" s="9"/>
      <c r="D144" s="9"/>
      <c r="E144" s="43"/>
      <c r="F144" s="43"/>
      <c r="G144" s="43"/>
      <c r="H144" s="9"/>
      <c r="I144" s="9"/>
      <c r="J144" s="9"/>
      <c r="K144" s="9"/>
      <c r="L144" s="9"/>
      <c r="M144" s="9"/>
      <c r="N144" s="9"/>
      <c r="O144" s="9"/>
      <c r="P144" s="9"/>
      <c r="Q144" s="9"/>
      <c r="R144" s="10" t="str">
        <f aca="false">IF(A144="","",SG_Criteria!$B$6&amp;SG_Criteria!$B$13&amp;"\"&amp;A144&amp;"\")</f>
        <v/>
      </c>
      <c r="S144" s="10" t="str">
        <f aca="false">IF(A144="","",A144&amp;"_CAD.dwg")</f>
        <v/>
      </c>
      <c r="T144" s="10" t="str">
        <f aca="false">IF(A144="","",A144&amp;"_DWG.pdf")</f>
        <v/>
      </c>
      <c r="U144" s="10" t="str">
        <f aca="false">IF(A144="","",IF(Q144="Y",A144&amp;"_STAAD.std","n/a"))</f>
        <v/>
      </c>
      <c r="V144" s="10" t="str">
        <f aca="false">IF(A144="","",A144&amp;"_CALC.xlsx")</f>
        <v/>
      </c>
      <c r="W144" s="10" t="str">
        <f aca="false">IF(A144="","",A144&amp;"_CALC.pdf")</f>
        <v/>
      </c>
      <c r="X144" s="9"/>
      <c r="Y144" s="9"/>
      <c r="Z144" s="41"/>
      <c r="AA144" s="41"/>
      <c r="AB144" s="41"/>
      <c r="AC144" s="41"/>
      <c r="AD144" s="41"/>
      <c r="AE144" s="38" t="str">
        <f aca="false">IF(C144="","","OK")</f>
        <v/>
      </c>
      <c r="AF144" s="9"/>
      <c r="AG144" s="9"/>
      <c r="AH144" s="9"/>
      <c r="AI144" s="9"/>
      <c r="AJ144" s="9"/>
      <c r="AK144" s="31"/>
      <c r="AL144" s="10" t="str">
        <f aca="false">IF(C144="","",IF(AND(N144="Approved",ISERROR(SEARCH("FAIL",AE144))),"Y","N"))</f>
        <v/>
      </c>
    </row>
    <row r="145" customFormat="false" ht="15" hidden="false" customHeight="false" outlineLevel="0" collapsed="false">
      <c r="A145" s="10" t="str">
        <f aca="false">IF(C145="","",IFERROR(VLOOKUP(C145,Lists!$BI$4:$BJ$20,2,0),"??")&amp;"-"&amp;UPPER(SUBSTITUTE(D145," ",""))&amp;IF(E145&lt;&gt;"","-SP"&amp;TEXT(E145*1000,"0"),"")&amp;IF(F145&lt;&gt;"","-H"&amp;TEXT(F145*1000,"0"),"")&amp;"-"&amp;M145)</f>
        <v/>
      </c>
      <c r="B145" s="10" t="str">
        <f aca="false">IF(C145="","",C145&amp;" - "&amp;D145&amp;IF(E145&lt;&gt;"",", span "&amp;E145&amp;" m","")&amp;IF(F145&lt;&gt;"",", H "&amp;F145&amp;" m","")&amp;IF(G145&lt;&gt;"",", W "&amp;G145&amp;" m",""))</f>
        <v/>
      </c>
      <c r="C145" s="9"/>
      <c r="D145" s="9"/>
      <c r="E145" s="43"/>
      <c r="F145" s="43"/>
      <c r="G145" s="43"/>
      <c r="H145" s="9"/>
      <c r="I145" s="9"/>
      <c r="J145" s="9"/>
      <c r="K145" s="9"/>
      <c r="L145" s="9"/>
      <c r="M145" s="9"/>
      <c r="N145" s="9"/>
      <c r="O145" s="9"/>
      <c r="P145" s="9"/>
      <c r="Q145" s="9"/>
      <c r="R145" s="10" t="str">
        <f aca="false">IF(A145="","",SG_Criteria!$B$6&amp;SG_Criteria!$B$13&amp;"\"&amp;A145&amp;"\")</f>
        <v/>
      </c>
      <c r="S145" s="10" t="str">
        <f aca="false">IF(A145="","",A145&amp;"_CAD.dwg")</f>
        <v/>
      </c>
      <c r="T145" s="10" t="str">
        <f aca="false">IF(A145="","",A145&amp;"_DWG.pdf")</f>
        <v/>
      </c>
      <c r="U145" s="10" t="str">
        <f aca="false">IF(A145="","",IF(Q145="Y",A145&amp;"_STAAD.std","n/a"))</f>
        <v/>
      </c>
      <c r="V145" s="10" t="str">
        <f aca="false">IF(A145="","",A145&amp;"_CALC.xlsx")</f>
        <v/>
      </c>
      <c r="W145" s="10" t="str">
        <f aca="false">IF(A145="","",A145&amp;"_CALC.pdf")</f>
        <v/>
      </c>
      <c r="X145" s="9"/>
      <c r="Y145" s="9"/>
      <c r="Z145" s="41"/>
      <c r="AA145" s="41"/>
      <c r="AB145" s="41"/>
      <c r="AC145" s="41"/>
      <c r="AD145" s="41"/>
      <c r="AE145" s="38" t="str">
        <f aca="false">IF(C145="","","OK")</f>
        <v/>
      </c>
      <c r="AF145" s="9"/>
      <c r="AG145" s="9"/>
      <c r="AH145" s="9"/>
      <c r="AI145" s="9"/>
      <c r="AJ145" s="9"/>
      <c r="AK145" s="31"/>
      <c r="AL145" s="10" t="str">
        <f aca="false">IF(C145="","",IF(AND(N145="Approved",ISERROR(SEARCH("FAIL",AE145))),"Y","N"))</f>
        <v/>
      </c>
    </row>
    <row r="146" customFormat="false" ht="15" hidden="false" customHeight="false" outlineLevel="0" collapsed="false">
      <c r="A146" s="10" t="str">
        <f aca="false">IF(C146="","",IFERROR(VLOOKUP(C146,Lists!$BI$4:$BJ$20,2,0),"??")&amp;"-"&amp;UPPER(SUBSTITUTE(D146," ",""))&amp;IF(E146&lt;&gt;"","-SP"&amp;TEXT(E146*1000,"0"),"")&amp;IF(F146&lt;&gt;"","-H"&amp;TEXT(F146*1000,"0"),"")&amp;"-"&amp;M146)</f>
        <v/>
      </c>
      <c r="B146" s="10" t="str">
        <f aca="false">IF(C146="","",C146&amp;" - "&amp;D146&amp;IF(E146&lt;&gt;"",", span "&amp;E146&amp;" m","")&amp;IF(F146&lt;&gt;"",", H "&amp;F146&amp;" m","")&amp;IF(G146&lt;&gt;"",", W "&amp;G146&amp;" m",""))</f>
        <v/>
      </c>
      <c r="C146" s="9"/>
      <c r="D146" s="9"/>
      <c r="E146" s="43"/>
      <c r="F146" s="43"/>
      <c r="G146" s="43"/>
      <c r="H146" s="9"/>
      <c r="I146" s="9"/>
      <c r="J146" s="9"/>
      <c r="K146" s="9"/>
      <c r="L146" s="9"/>
      <c r="M146" s="9"/>
      <c r="N146" s="9"/>
      <c r="O146" s="9"/>
      <c r="P146" s="9"/>
      <c r="Q146" s="9"/>
      <c r="R146" s="10" t="str">
        <f aca="false">IF(A146="","",SG_Criteria!$B$6&amp;SG_Criteria!$B$13&amp;"\"&amp;A146&amp;"\")</f>
        <v/>
      </c>
      <c r="S146" s="10" t="str">
        <f aca="false">IF(A146="","",A146&amp;"_CAD.dwg")</f>
        <v/>
      </c>
      <c r="T146" s="10" t="str">
        <f aca="false">IF(A146="","",A146&amp;"_DWG.pdf")</f>
        <v/>
      </c>
      <c r="U146" s="10" t="str">
        <f aca="false">IF(A146="","",IF(Q146="Y",A146&amp;"_STAAD.std","n/a"))</f>
        <v/>
      </c>
      <c r="V146" s="10" t="str">
        <f aca="false">IF(A146="","",A146&amp;"_CALC.xlsx")</f>
        <v/>
      </c>
      <c r="W146" s="10" t="str">
        <f aca="false">IF(A146="","",A146&amp;"_CALC.pdf")</f>
        <v/>
      </c>
      <c r="X146" s="9"/>
      <c r="Y146" s="9"/>
      <c r="Z146" s="41"/>
      <c r="AA146" s="41"/>
      <c r="AB146" s="41"/>
      <c r="AC146" s="41"/>
      <c r="AD146" s="41"/>
      <c r="AE146" s="38" t="str">
        <f aca="false">IF(C146="","","OK")</f>
        <v/>
      </c>
      <c r="AF146" s="9"/>
      <c r="AG146" s="9"/>
      <c r="AH146" s="9"/>
      <c r="AI146" s="9"/>
      <c r="AJ146" s="9"/>
      <c r="AK146" s="31"/>
      <c r="AL146" s="10" t="str">
        <f aca="false">IF(C146="","",IF(AND(N146="Approved",ISERROR(SEARCH("FAIL",AE146))),"Y","N"))</f>
        <v/>
      </c>
    </row>
    <row r="147" customFormat="false" ht="15" hidden="false" customHeight="false" outlineLevel="0" collapsed="false">
      <c r="A147" s="10" t="str">
        <f aca="false">IF(C147="","",IFERROR(VLOOKUP(C147,Lists!$BI$4:$BJ$20,2,0),"??")&amp;"-"&amp;UPPER(SUBSTITUTE(D147," ",""))&amp;IF(E147&lt;&gt;"","-SP"&amp;TEXT(E147*1000,"0"),"")&amp;IF(F147&lt;&gt;"","-H"&amp;TEXT(F147*1000,"0"),"")&amp;"-"&amp;M147)</f>
        <v/>
      </c>
      <c r="B147" s="10" t="str">
        <f aca="false">IF(C147="","",C147&amp;" - "&amp;D147&amp;IF(E147&lt;&gt;"",", span "&amp;E147&amp;" m","")&amp;IF(F147&lt;&gt;"",", H "&amp;F147&amp;" m","")&amp;IF(G147&lt;&gt;"",", W "&amp;G147&amp;" m",""))</f>
        <v/>
      </c>
      <c r="C147" s="9"/>
      <c r="D147" s="9"/>
      <c r="E147" s="43"/>
      <c r="F147" s="43"/>
      <c r="G147" s="43"/>
      <c r="H147" s="9"/>
      <c r="I147" s="9"/>
      <c r="J147" s="9"/>
      <c r="K147" s="9"/>
      <c r="L147" s="9"/>
      <c r="M147" s="9"/>
      <c r="N147" s="9"/>
      <c r="O147" s="9"/>
      <c r="P147" s="9"/>
      <c r="Q147" s="9"/>
      <c r="R147" s="10" t="str">
        <f aca="false">IF(A147="","",SG_Criteria!$B$6&amp;SG_Criteria!$B$13&amp;"\"&amp;A147&amp;"\")</f>
        <v/>
      </c>
      <c r="S147" s="10" t="str">
        <f aca="false">IF(A147="","",A147&amp;"_CAD.dwg")</f>
        <v/>
      </c>
      <c r="T147" s="10" t="str">
        <f aca="false">IF(A147="","",A147&amp;"_DWG.pdf")</f>
        <v/>
      </c>
      <c r="U147" s="10" t="str">
        <f aca="false">IF(A147="","",IF(Q147="Y",A147&amp;"_STAAD.std","n/a"))</f>
        <v/>
      </c>
      <c r="V147" s="10" t="str">
        <f aca="false">IF(A147="","",A147&amp;"_CALC.xlsx")</f>
        <v/>
      </c>
      <c r="W147" s="10" t="str">
        <f aca="false">IF(A147="","",A147&amp;"_CALC.pdf")</f>
        <v/>
      </c>
      <c r="X147" s="9"/>
      <c r="Y147" s="9"/>
      <c r="Z147" s="41"/>
      <c r="AA147" s="41"/>
      <c r="AB147" s="41"/>
      <c r="AC147" s="41"/>
      <c r="AD147" s="41"/>
      <c r="AE147" s="38" t="str">
        <f aca="false">IF(C147="","","OK")</f>
        <v/>
      </c>
      <c r="AF147" s="9"/>
      <c r="AG147" s="9"/>
      <c r="AH147" s="9"/>
      <c r="AI147" s="9"/>
      <c r="AJ147" s="9"/>
      <c r="AK147" s="31"/>
      <c r="AL147" s="10" t="str">
        <f aca="false">IF(C147="","",IF(AND(N147="Approved",ISERROR(SEARCH("FAIL",AE147))),"Y","N"))</f>
        <v/>
      </c>
    </row>
    <row r="148" customFormat="false" ht="15" hidden="false" customHeight="false" outlineLevel="0" collapsed="false">
      <c r="A148" s="10" t="str">
        <f aca="false">IF(C148="","",IFERROR(VLOOKUP(C148,Lists!$BI$4:$BJ$20,2,0),"??")&amp;"-"&amp;UPPER(SUBSTITUTE(D148," ",""))&amp;IF(E148&lt;&gt;"","-SP"&amp;TEXT(E148*1000,"0"),"")&amp;IF(F148&lt;&gt;"","-H"&amp;TEXT(F148*1000,"0"),"")&amp;"-"&amp;M148)</f>
        <v/>
      </c>
      <c r="B148" s="10" t="str">
        <f aca="false">IF(C148="","",C148&amp;" - "&amp;D148&amp;IF(E148&lt;&gt;"",", span "&amp;E148&amp;" m","")&amp;IF(F148&lt;&gt;"",", H "&amp;F148&amp;" m","")&amp;IF(G148&lt;&gt;"",", W "&amp;G148&amp;" m",""))</f>
        <v/>
      </c>
      <c r="C148" s="9"/>
      <c r="D148" s="9"/>
      <c r="E148" s="43"/>
      <c r="F148" s="43"/>
      <c r="G148" s="43"/>
      <c r="H148" s="9"/>
      <c r="I148" s="9"/>
      <c r="J148" s="9"/>
      <c r="K148" s="9"/>
      <c r="L148" s="9"/>
      <c r="M148" s="9"/>
      <c r="N148" s="9"/>
      <c r="O148" s="9"/>
      <c r="P148" s="9"/>
      <c r="Q148" s="9"/>
      <c r="R148" s="10" t="str">
        <f aca="false">IF(A148="","",SG_Criteria!$B$6&amp;SG_Criteria!$B$13&amp;"\"&amp;A148&amp;"\")</f>
        <v/>
      </c>
      <c r="S148" s="10" t="str">
        <f aca="false">IF(A148="","",A148&amp;"_CAD.dwg")</f>
        <v/>
      </c>
      <c r="T148" s="10" t="str">
        <f aca="false">IF(A148="","",A148&amp;"_DWG.pdf")</f>
        <v/>
      </c>
      <c r="U148" s="10" t="str">
        <f aca="false">IF(A148="","",IF(Q148="Y",A148&amp;"_STAAD.std","n/a"))</f>
        <v/>
      </c>
      <c r="V148" s="10" t="str">
        <f aca="false">IF(A148="","",A148&amp;"_CALC.xlsx")</f>
        <v/>
      </c>
      <c r="W148" s="10" t="str">
        <f aca="false">IF(A148="","",A148&amp;"_CALC.pdf")</f>
        <v/>
      </c>
      <c r="X148" s="9"/>
      <c r="Y148" s="9"/>
      <c r="Z148" s="41"/>
      <c r="AA148" s="41"/>
      <c r="AB148" s="41"/>
      <c r="AC148" s="41"/>
      <c r="AD148" s="41"/>
      <c r="AE148" s="38" t="str">
        <f aca="false">IF(C148="","","OK")</f>
        <v/>
      </c>
      <c r="AF148" s="9"/>
      <c r="AG148" s="9"/>
      <c r="AH148" s="9"/>
      <c r="AI148" s="9"/>
      <c r="AJ148" s="9"/>
      <c r="AK148" s="31"/>
      <c r="AL148" s="10" t="str">
        <f aca="false">IF(C148="","",IF(AND(N148="Approved",ISERROR(SEARCH("FAIL",AE148))),"Y","N"))</f>
        <v/>
      </c>
    </row>
    <row r="149" customFormat="false" ht="15" hidden="false" customHeight="false" outlineLevel="0" collapsed="false">
      <c r="A149" s="10" t="str">
        <f aca="false">IF(C149="","",IFERROR(VLOOKUP(C149,Lists!$BI$4:$BJ$20,2,0),"??")&amp;"-"&amp;UPPER(SUBSTITUTE(D149," ",""))&amp;IF(E149&lt;&gt;"","-SP"&amp;TEXT(E149*1000,"0"),"")&amp;IF(F149&lt;&gt;"","-H"&amp;TEXT(F149*1000,"0"),"")&amp;"-"&amp;M149)</f>
        <v/>
      </c>
      <c r="B149" s="10" t="str">
        <f aca="false">IF(C149="","",C149&amp;" - "&amp;D149&amp;IF(E149&lt;&gt;"",", span "&amp;E149&amp;" m","")&amp;IF(F149&lt;&gt;"",", H "&amp;F149&amp;" m","")&amp;IF(G149&lt;&gt;"",", W "&amp;G149&amp;" m",""))</f>
        <v/>
      </c>
      <c r="C149" s="9"/>
      <c r="D149" s="9"/>
      <c r="E149" s="43"/>
      <c r="F149" s="43"/>
      <c r="G149" s="43"/>
      <c r="H149" s="9"/>
      <c r="I149" s="9"/>
      <c r="J149" s="9"/>
      <c r="K149" s="9"/>
      <c r="L149" s="9"/>
      <c r="M149" s="9"/>
      <c r="N149" s="9"/>
      <c r="O149" s="9"/>
      <c r="P149" s="9"/>
      <c r="Q149" s="9"/>
      <c r="R149" s="10" t="str">
        <f aca="false">IF(A149="","",SG_Criteria!$B$6&amp;SG_Criteria!$B$13&amp;"\"&amp;A149&amp;"\")</f>
        <v/>
      </c>
      <c r="S149" s="10" t="str">
        <f aca="false">IF(A149="","",A149&amp;"_CAD.dwg")</f>
        <v/>
      </c>
      <c r="T149" s="10" t="str">
        <f aca="false">IF(A149="","",A149&amp;"_DWG.pdf")</f>
        <v/>
      </c>
      <c r="U149" s="10" t="str">
        <f aca="false">IF(A149="","",IF(Q149="Y",A149&amp;"_STAAD.std","n/a"))</f>
        <v/>
      </c>
      <c r="V149" s="10" t="str">
        <f aca="false">IF(A149="","",A149&amp;"_CALC.xlsx")</f>
        <v/>
      </c>
      <c r="W149" s="10" t="str">
        <f aca="false">IF(A149="","",A149&amp;"_CALC.pdf")</f>
        <v/>
      </c>
      <c r="X149" s="9"/>
      <c r="Y149" s="9"/>
      <c r="Z149" s="41"/>
      <c r="AA149" s="41"/>
      <c r="AB149" s="41"/>
      <c r="AC149" s="41"/>
      <c r="AD149" s="41"/>
      <c r="AE149" s="38" t="str">
        <f aca="false">IF(C149="","","OK")</f>
        <v/>
      </c>
      <c r="AF149" s="9"/>
      <c r="AG149" s="9"/>
      <c r="AH149" s="9"/>
      <c r="AI149" s="9"/>
      <c r="AJ149" s="9"/>
      <c r="AK149" s="31"/>
      <c r="AL149" s="10" t="str">
        <f aca="false">IF(C149="","",IF(AND(N149="Approved",ISERROR(SEARCH("FAIL",AE149))),"Y","N"))</f>
        <v/>
      </c>
    </row>
    <row r="150" customFormat="false" ht="15" hidden="false" customHeight="false" outlineLevel="0" collapsed="false">
      <c r="A150" s="10" t="str">
        <f aca="false">IF(C150="","",IFERROR(VLOOKUP(C150,Lists!$BI$4:$BJ$20,2,0),"??")&amp;"-"&amp;UPPER(SUBSTITUTE(D150," ",""))&amp;IF(E150&lt;&gt;"","-SP"&amp;TEXT(E150*1000,"0"),"")&amp;IF(F150&lt;&gt;"","-H"&amp;TEXT(F150*1000,"0"),"")&amp;"-"&amp;M150)</f>
        <v/>
      </c>
      <c r="B150" s="10" t="str">
        <f aca="false">IF(C150="","",C150&amp;" - "&amp;D150&amp;IF(E150&lt;&gt;"",", span "&amp;E150&amp;" m","")&amp;IF(F150&lt;&gt;"",", H "&amp;F150&amp;" m","")&amp;IF(G150&lt;&gt;"",", W "&amp;G150&amp;" m",""))</f>
        <v/>
      </c>
      <c r="C150" s="9"/>
      <c r="D150" s="9"/>
      <c r="E150" s="43"/>
      <c r="F150" s="43"/>
      <c r="G150" s="43"/>
      <c r="H150" s="9"/>
      <c r="I150" s="9"/>
      <c r="J150" s="9"/>
      <c r="K150" s="9"/>
      <c r="L150" s="9"/>
      <c r="M150" s="9"/>
      <c r="N150" s="9"/>
      <c r="O150" s="9"/>
      <c r="P150" s="9"/>
      <c r="Q150" s="9"/>
      <c r="R150" s="10" t="str">
        <f aca="false">IF(A150="","",SG_Criteria!$B$6&amp;SG_Criteria!$B$13&amp;"\"&amp;A150&amp;"\")</f>
        <v/>
      </c>
      <c r="S150" s="10" t="str">
        <f aca="false">IF(A150="","",A150&amp;"_CAD.dwg")</f>
        <v/>
      </c>
      <c r="T150" s="10" t="str">
        <f aca="false">IF(A150="","",A150&amp;"_DWG.pdf")</f>
        <v/>
      </c>
      <c r="U150" s="10" t="str">
        <f aca="false">IF(A150="","",IF(Q150="Y",A150&amp;"_STAAD.std","n/a"))</f>
        <v/>
      </c>
      <c r="V150" s="10" t="str">
        <f aca="false">IF(A150="","",A150&amp;"_CALC.xlsx")</f>
        <v/>
      </c>
      <c r="W150" s="10" t="str">
        <f aca="false">IF(A150="","",A150&amp;"_CALC.pdf")</f>
        <v/>
      </c>
      <c r="X150" s="9"/>
      <c r="Y150" s="9"/>
      <c r="Z150" s="41"/>
      <c r="AA150" s="41"/>
      <c r="AB150" s="41"/>
      <c r="AC150" s="41"/>
      <c r="AD150" s="41"/>
      <c r="AE150" s="38" t="str">
        <f aca="false">IF(C150="","","OK")</f>
        <v/>
      </c>
      <c r="AF150" s="9"/>
      <c r="AG150" s="9"/>
      <c r="AH150" s="9"/>
      <c r="AI150" s="9"/>
      <c r="AJ150" s="9"/>
      <c r="AK150" s="31"/>
      <c r="AL150" s="10" t="str">
        <f aca="false">IF(C150="","",IF(AND(N150="Approved",ISERROR(SEARCH("FAIL",AE150))),"Y","N"))</f>
        <v/>
      </c>
    </row>
    <row r="151" customFormat="false" ht="15" hidden="false" customHeight="false" outlineLevel="0" collapsed="false">
      <c r="A151" s="10" t="str">
        <f aca="false">IF(C151="","",IFERROR(VLOOKUP(C151,Lists!$BI$4:$BJ$20,2,0),"??")&amp;"-"&amp;UPPER(SUBSTITUTE(D151," ",""))&amp;IF(E151&lt;&gt;"","-SP"&amp;TEXT(E151*1000,"0"),"")&amp;IF(F151&lt;&gt;"","-H"&amp;TEXT(F151*1000,"0"),"")&amp;"-"&amp;M151)</f>
        <v/>
      </c>
      <c r="B151" s="10" t="str">
        <f aca="false">IF(C151="","",C151&amp;" - "&amp;D151&amp;IF(E151&lt;&gt;"",", span "&amp;E151&amp;" m","")&amp;IF(F151&lt;&gt;"",", H "&amp;F151&amp;" m","")&amp;IF(G151&lt;&gt;"",", W "&amp;G151&amp;" m",""))</f>
        <v/>
      </c>
      <c r="C151" s="9"/>
      <c r="D151" s="9"/>
      <c r="E151" s="43"/>
      <c r="F151" s="43"/>
      <c r="G151" s="43"/>
      <c r="H151" s="9"/>
      <c r="I151" s="9"/>
      <c r="J151" s="9"/>
      <c r="K151" s="9"/>
      <c r="L151" s="9"/>
      <c r="M151" s="9"/>
      <c r="N151" s="9"/>
      <c r="O151" s="9"/>
      <c r="P151" s="9"/>
      <c r="Q151" s="9"/>
      <c r="R151" s="10" t="str">
        <f aca="false">IF(A151="","",SG_Criteria!$B$6&amp;SG_Criteria!$B$13&amp;"\"&amp;A151&amp;"\")</f>
        <v/>
      </c>
      <c r="S151" s="10" t="str">
        <f aca="false">IF(A151="","",A151&amp;"_CAD.dwg")</f>
        <v/>
      </c>
      <c r="T151" s="10" t="str">
        <f aca="false">IF(A151="","",A151&amp;"_DWG.pdf")</f>
        <v/>
      </c>
      <c r="U151" s="10" t="str">
        <f aca="false">IF(A151="","",IF(Q151="Y",A151&amp;"_STAAD.std","n/a"))</f>
        <v/>
      </c>
      <c r="V151" s="10" t="str">
        <f aca="false">IF(A151="","",A151&amp;"_CALC.xlsx")</f>
        <v/>
      </c>
      <c r="W151" s="10" t="str">
        <f aca="false">IF(A151="","",A151&amp;"_CALC.pdf")</f>
        <v/>
      </c>
      <c r="X151" s="9"/>
      <c r="Y151" s="9"/>
      <c r="Z151" s="41"/>
      <c r="AA151" s="41"/>
      <c r="AB151" s="41"/>
      <c r="AC151" s="41"/>
      <c r="AD151" s="41"/>
      <c r="AE151" s="38" t="str">
        <f aca="false">IF(C151="","","OK")</f>
        <v/>
      </c>
      <c r="AF151" s="9"/>
      <c r="AG151" s="9"/>
      <c r="AH151" s="9"/>
      <c r="AI151" s="9"/>
      <c r="AJ151" s="9"/>
      <c r="AK151" s="31"/>
      <c r="AL151" s="10" t="str">
        <f aca="false">IF(C151="","",IF(AND(N151="Approved",ISERROR(SEARCH("FAIL",AE151))),"Y","N"))</f>
        <v/>
      </c>
    </row>
    <row r="152" customFormat="false" ht="15" hidden="false" customHeight="false" outlineLevel="0" collapsed="false">
      <c r="A152" s="10" t="str">
        <f aca="false">IF(C152="","",IFERROR(VLOOKUP(C152,Lists!$BI$4:$BJ$20,2,0),"??")&amp;"-"&amp;UPPER(SUBSTITUTE(D152," ",""))&amp;IF(E152&lt;&gt;"","-SP"&amp;TEXT(E152*1000,"0"),"")&amp;IF(F152&lt;&gt;"","-H"&amp;TEXT(F152*1000,"0"),"")&amp;"-"&amp;M152)</f>
        <v/>
      </c>
      <c r="B152" s="10" t="str">
        <f aca="false">IF(C152="","",C152&amp;" - "&amp;D152&amp;IF(E152&lt;&gt;"",", span "&amp;E152&amp;" m","")&amp;IF(F152&lt;&gt;"",", H "&amp;F152&amp;" m","")&amp;IF(G152&lt;&gt;"",", W "&amp;G152&amp;" m",""))</f>
        <v/>
      </c>
      <c r="C152" s="9"/>
      <c r="D152" s="9"/>
      <c r="E152" s="43"/>
      <c r="F152" s="43"/>
      <c r="G152" s="43"/>
      <c r="H152" s="9"/>
      <c r="I152" s="9"/>
      <c r="J152" s="9"/>
      <c r="K152" s="9"/>
      <c r="L152" s="9"/>
      <c r="M152" s="9"/>
      <c r="N152" s="9"/>
      <c r="O152" s="9"/>
      <c r="P152" s="9"/>
      <c r="Q152" s="9"/>
      <c r="R152" s="10" t="str">
        <f aca="false">IF(A152="","",SG_Criteria!$B$6&amp;SG_Criteria!$B$13&amp;"\"&amp;A152&amp;"\")</f>
        <v/>
      </c>
      <c r="S152" s="10" t="str">
        <f aca="false">IF(A152="","",A152&amp;"_CAD.dwg")</f>
        <v/>
      </c>
      <c r="T152" s="10" t="str">
        <f aca="false">IF(A152="","",A152&amp;"_DWG.pdf")</f>
        <v/>
      </c>
      <c r="U152" s="10" t="str">
        <f aca="false">IF(A152="","",IF(Q152="Y",A152&amp;"_STAAD.std","n/a"))</f>
        <v/>
      </c>
      <c r="V152" s="10" t="str">
        <f aca="false">IF(A152="","",A152&amp;"_CALC.xlsx")</f>
        <v/>
      </c>
      <c r="W152" s="10" t="str">
        <f aca="false">IF(A152="","",A152&amp;"_CALC.pdf")</f>
        <v/>
      </c>
      <c r="X152" s="9"/>
      <c r="Y152" s="9"/>
      <c r="Z152" s="41"/>
      <c r="AA152" s="41"/>
      <c r="AB152" s="41"/>
      <c r="AC152" s="41"/>
      <c r="AD152" s="41"/>
      <c r="AE152" s="38" t="str">
        <f aca="false">IF(C152="","","OK")</f>
        <v/>
      </c>
      <c r="AF152" s="9"/>
      <c r="AG152" s="9"/>
      <c r="AH152" s="9"/>
      <c r="AI152" s="9"/>
      <c r="AJ152" s="9"/>
      <c r="AK152" s="31"/>
      <c r="AL152" s="10" t="str">
        <f aca="false">IF(C152="","",IF(AND(N152="Approved",ISERROR(SEARCH("FAIL",AE152))),"Y","N"))</f>
        <v/>
      </c>
    </row>
    <row r="153" customFormat="false" ht="15" hidden="false" customHeight="false" outlineLevel="0" collapsed="false">
      <c r="A153" s="10" t="str">
        <f aca="false">IF(C153="","",IFERROR(VLOOKUP(C153,Lists!$BI$4:$BJ$20,2,0),"??")&amp;"-"&amp;UPPER(SUBSTITUTE(D153," ",""))&amp;IF(E153&lt;&gt;"","-SP"&amp;TEXT(E153*1000,"0"),"")&amp;IF(F153&lt;&gt;"","-H"&amp;TEXT(F153*1000,"0"),"")&amp;"-"&amp;M153)</f>
        <v/>
      </c>
      <c r="B153" s="10" t="str">
        <f aca="false">IF(C153="","",C153&amp;" - "&amp;D153&amp;IF(E153&lt;&gt;"",", span "&amp;E153&amp;" m","")&amp;IF(F153&lt;&gt;"",", H "&amp;F153&amp;" m","")&amp;IF(G153&lt;&gt;"",", W "&amp;G153&amp;" m",""))</f>
        <v/>
      </c>
      <c r="C153" s="9"/>
      <c r="D153" s="9"/>
      <c r="E153" s="43"/>
      <c r="F153" s="43"/>
      <c r="G153" s="43"/>
      <c r="H153" s="9"/>
      <c r="I153" s="9"/>
      <c r="J153" s="9"/>
      <c r="K153" s="9"/>
      <c r="L153" s="9"/>
      <c r="M153" s="9"/>
      <c r="N153" s="9"/>
      <c r="O153" s="9"/>
      <c r="P153" s="9"/>
      <c r="Q153" s="9"/>
      <c r="R153" s="10" t="str">
        <f aca="false">IF(A153="","",SG_Criteria!$B$6&amp;SG_Criteria!$B$13&amp;"\"&amp;A153&amp;"\")</f>
        <v/>
      </c>
      <c r="S153" s="10" t="str">
        <f aca="false">IF(A153="","",A153&amp;"_CAD.dwg")</f>
        <v/>
      </c>
      <c r="T153" s="10" t="str">
        <f aca="false">IF(A153="","",A153&amp;"_DWG.pdf")</f>
        <v/>
      </c>
      <c r="U153" s="10" t="str">
        <f aca="false">IF(A153="","",IF(Q153="Y",A153&amp;"_STAAD.std","n/a"))</f>
        <v/>
      </c>
      <c r="V153" s="10" t="str">
        <f aca="false">IF(A153="","",A153&amp;"_CALC.xlsx")</f>
        <v/>
      </c>
      <c r="W153" s="10" t="str">
        <f aca="false">IF(A153="","",A153&amp;"_CALC.pdf")</f>
        <v/>
      </c>
      <c r="X153" s="9"/>
      <c r="Y153" s="9"/>
      <c r="Z153" s="41"/>
      <c r="AA153" s="41"/>
      <c r="AB153" s="41"/>
      <c r="AC153" s="41"/>
      <c r="AD153" s="41"/>
      <c r="AE153" s="38" t="str">
        <f aca="false">IF(C153="","","OK")</f>
        <v/>
      </c>
      <c r="AF153" s="9"/>
      <c r="AG153" s="9"/>
      <c r="AH153" s="9"/>
      <c r="AI153" s="9"/>
      <c r="AJ153" s="9"/>
      <c r="AK153" s="31"/>
      <c r="AL153" s="10" t="str">
        <f aca="false">IF(C153="","",IF(AND(N153="Approved",ISERROR(SEARCH("FAIL",AE153))),"Y","N"))</f>
        <v/>
      </c>
    </row>
    <row r="154" customFormat="false" ht="15" hidden="false" customHeight="false" outlineLevel="0" collapsed="false">
      <c r="A154" s="10" t="str">
        <f aca="false">IF(C154="","",IFERROR(VLOOKUP(C154,Lists!$BI$4:$BJ$20,2,0),"??")&amp;"-"&amp;UPPER(SUBSTITUTE(D154," ",""))&amp;IF(E154&lt;&gt;"","-SP"&amp;TEXT(E154*1000,"0"),"")&amp;IF(F154&lt;&gt;"","-H"&amp;TEXT(F154*1000,"0"),"")&amp;"-"&amp;M154)</f>
        <v/>
      </c>
      <c r="B154" s="10" t="str">
        <f aca="false">IF(C154="","",C154&amp;" - "&amp;D154&amp;IF(E154&lt;&gt;"",", span "&amp;E154&amp;" m","")&amp;IF(F154&lt;&gt;"",", H "&amp;F154&amp;" m","")&amp;IF(G154&lt;&gt;"",", W "&amp;G154&amp;" m",""))</f>
        <v/>
      </c>
      <c r="C154" s="9"/>
      <c r="D154" s="9"/>
      <c r="E154" s="43"/>
      <c r="F154" s="43"/>
      <c r="G154" s="43"/>
      <c r="H154" s="9"/>
      <c r="I154" s="9"/>
      <c r="J154" s="9"/>
      <c r="K154" s="9"/>
      <c r="L154" s="9"/>
      <c r="M154" s="9"/>
      <c r="N154" s="9"/>
      <c r="O154" s="9"/>
      <c r="P154" s="9"/>
      <c r="Q154" s="9"/>
      <c r="R154" s="10" t="str">
        <f aca="false">IF(A154="","",SG_Criteria!$B$6&amp;SG_Criteria!$B$13&amp;"\"&amp;A154&amp;"\")</f>
        <v/>
      </c>
      <c r="S154" s="10" t="str">
        <f aca="false">IF(A154="","",A154&amp;"_CAD.dwg")</f>
        <v/>
      </c>
      <c r="T154" s="10" t="str">
        <f aca="false">IF(A154="","",A154&amp;"_DWG.pdf")</f>
        <v/>
      </c>
      <c r="U154" s="10" t="str">
        <f aca="false">IF(A154="","",IF(Q154="Y",A154&amp;"_STAAD.std","n/a"))</f>
        <v/>
      </c>
      <c r="V154" s="10" t="str">
        <f aca="false">IF(A154="","",A154&amp;"_CALC.xlsx")</f>
        <v/>
      </c>
      <c r="W154" s="10" t="str">
        <f aca="false">IF(A154="","",A154&amp;"_CALC.pdf")</f>
        <v/>
      </c>
      <c r="X154" s="9"/>
      <c r="Y154" s="9"/>
      <c r="Z154" s="41"/>
      <c r="AA154" s="41"/>
      <c r="AB154" s="41"/>
      <c r="AC154" s="41"/>
      <c r="AD154" s="41"/>
      <c r="AE154" s="38" t="str">
        <f aca="false">IF(C154="","","OK")</f>
        <v/>
      </c>
      <c r="AF154" s="9"/>
      <c r="AG154" s="9"/>
      <c r="AH154" s="9"/>
      <c r="AI154" s="9"/>
      <c r="AJ154" s="9"/>
      <c r="AK154" s="31"/>
      <c r="AL154" s="10" t="str">
        <f aca="false">IF(C154="","",IF(AND(N154="Approved",ISERROR(SEARCH("FAIL",AE154))),"Y","N"))</f>
        <v/>
      </c>
    </row>
    <row r="155" customFormat="false" ht="15" hidden="false" customHeight="false" outlineLevel="0" collapsed="false">
      <c r="A155" s="10" t="str">
        <f aca="false">IF(C155="","",IFERROR(VLOOKUP(C155,Lists!$BI$4:$BJ$20,2,0),"??")&amp;"-"&amp;UPPER(SUBSTITUTE(D155," ",""))&amp;IF(E155&lt;&gt;"","-SP"&amp;TEXT(E155*1000,"0"),"")&amp;IF(F155&lt;&gt;"","-H"&amp;TEXT(F155*1000,"0"),"")&amp;"-"&amp;M155)</f>
        <v/>
      </c>
      <c r="B155" s="10" t="str">
        <f aca="false">IF(C155="","",C155&amp;" - "&amp;D155&amp;IF(E155&lt;&gt;"",", span "&amp;E155&amp;" m","")&amp;IF(F155&lt;&gt;"",", H "&amp;F155&amp;" m","")&amp;IF(G155&lt;&gt;"",", W "&amp;G155&amp;" m",""))</f>
        <v/>
      </c>
      <c r="C155" s="9"/>
      <c r="D155" s="9"/>
      <c r="E155" s="43"/>
      <c r="F155" s="43"/>
      <c r="G155" s="43"/>
      <c r="H155" s="9"/>
      <c r="I155" s="9"/>
      <c r="J155" s="9"/>
      <c r="K155" s="9"/>
      <c r="L155" s="9"/>
      <c r="M155" s="9"/>
      <c r="N155" s="9"/>
      <c r="O155" s="9"/>
      <c r="P155" s="9"/>
      <c r="Q155" s="9"/>
      <c r="R155" s="10" t="str">
        <f aca="false">IF(A155="","",SG_Criteria!$B$6&amp;SG_Criteria!$B$13&amp;"\"&amp;A155&amp;"\")</f>
        <v/>
      </c>
      <c r="S155" s="10" t="str">
        <f aca="false">IF(A155="","",A155&amp;"_CAD.dwg")</f>
        <v/>
      </c>
      <c r="T155" s="10" t="str">
        <f aca="false">IF(A155="","",A155&amp;"_DWG.pdf")</f>
        <v/>
      </c>
      <c r="U155" s="10" t="str">
        <f aca="false">IF(A155="","",IF(Q155="Y",A155&amp;"_STAAD.std","n/a"))</f>
        <v/>
      </c>
      <c r="V155" s="10" t="str">
        <f aca="false">IF(A155="","",A155&amp;"_CALC.xlsx")</f>
        <v/>
      </c>
      <c r="W155" s="10" t="str">
        <f aca="false">IF(A155="","",A155&amp;"_CALC.pdf")</f>
        <v/>
      </c>
      <c r="X155" s="9"/>
      <c r="Y155" s="9"/>
      <c r="Z155" s="41"/>
      <c r="AA155" s="41"/>
      <c r="AB155" s="41"/>
      <c r="AC155" s="41"/>
      <c r="AD155" s="41"/>
      <c r="AE155" s="38" t="str">
        <f aca="false">IF(C155="","","OK")</f>
        <v/>
      </c>
      <c r="AF155" s="9"/>
      <c r="AG155" s="9"/>
      <c r="AH155" s="9"/>
      <c r="AI155" s="9"/>
      <c r="AJ155" s="9"/>
      <c r="AK155" s="31"/>
      <c r="AL155" s="10" t="str">
        <f aca="false">IF(C155="","",IF(AND(N155="Approved",ISERROR(SEARCH("FAIL",AE155))),"Y","N"))</f>
        <v/>
      </c>
    </row>
    <row r="156" customFormat="false" ht="15" hidden="false" customHeight="false" outlineLevel="0" collapsed="false">
      <c r="A156" s="10" t="str">
        <f aca="false">IF(C156="","",IFERROR(VLOOKUP(C156,Lists!$BI$4:$BJ$20,2,0),"??")&amp;"-"&amp;UPPER(SUBSTITUTE(D156," ",""))&amp;IF(E156&lt;&gt;"","-SP"&amp;TEXT(E156*1000,"0"),"")&amp;IF(F156&lt;&gt;"","-H"&amp;TEXT(F156*1000,"0"),"")&amp;"-"&amp;M156)</f>
        <v/>
      </c>
      <c r="B156" s="10" t="str">
        <f aca="false">IF(C156="","",C156&amp;" - "&amp;D156&amp;IF(E156&lt;&gt;"",", span "&amp;E156&amp;" m","")&amp;IF(F156&lt;&gt;"",", H "&amp;F156&amp;" m","")&amp;IF(G156&lt;&gt;"",", W "&amp;G156&amp;" m",""))</f>
        <v/>
      </c>
      <c r="C156" s="9"/>
      <c r="D156" s="9"/>
      <c r="E156" s="43"/>
      <c r="F156" s="43"/>
      <c r="G156" s="43"/>
      <c r="H156" s="9"/>
      <c r="I156" s="9"/>
      <c r="J156" s="9"/>
      <c r="K156" s="9"/>
      <c r="L156" s="9"/>
      <c r="M156" s="9"/>
      <c r="N156" s="9"/>
      <c r="O156" s="9"/>
      <c r="P156" s="9"/>
      <c r="Q156" s="9"/>
      <c r="R156" s="10" t="str">
        <f aca="false">IF(A156="","",SG_Criteria!$B$6&amp;SG_Criteria!$B$13&amp;"\"&amp;A156&amp;"\")</f>
        <v/>
      </c>
      <c r="S156" s="10" t="str">
        <f aca="false">IF(A156="","",A156&amp;"_CAD.dwg")</f>
        <v/>
      </c>
      <c r="T156" s="10" t="str">
        <f aca="false">IF(A156="","",A156&amp;"_DWG.pdf")</f>
        <v/>
      </c>
      <c r="U156" s="10" t="str">
        <f aca="false">IF(A156="","",IF(Q156="Y",A156&amp;"_STAAD.std","n/a"))</f>
        <v/>
      </c>
      <c r="V156" s="10" t="str">
        <f aca="false">IF(A156="","",A156&amp;"_CALC.xlsx")</f>
        <v/>
      </c>
      <c r="W156" s="10" t="str">
        <f aca="false">IF(A156="","",A156&amp;"_CALC.pdf")</f>
        <v/>
      </c>
      <c r="X156" s="9"/>
      <c r="Y156" s="9"/>
      <c r="Z156" s="41"/>
      <c r="AA156" s="41"/>
      <c r="AB156" s="41"/>
      <c r="AC156" s="41"/>
      <c r="AD156" s="41"/>
      <c r="AE156" s="38" t="str">
        <f aca="false">IF(C156="","","OK")</f>
        <v/>
      </c>
      <c r="AF156" s="9"/>
      <c r="AG156" s="9"/>
      <c r="AH156" s="9"/>
      <c r="AI156" s="9"/>
      <c r="AJ156" s="9"/>
      <c r="AK156" s="31"/>
      <c r="AL156" s="10" t="str">
        <f aca="false">IF(C156="","",IF(AND(N156="Approved",ISERROR(SEARCH("FAIL",AE156))),"Y","N"))</f>
        <v/>
      </c>
    </row>
    <row r="157" customFormat="false" ht="15" hidden="false" customHeight="false" outlineLevel="0" collapsed="false">
      <c r="A157" s="10" t="str">
        <f aca="false">IF(C157="","",IFERROR(VLOOKUP(C157,Lists!$BI$4:$BJ$20,2,0),"??")&amp;"-"&amp;UPPER(SUBSTITUTE(D157," ",""))&amp;IF(E157&lt;&gt;"","-SP"&amp;TEXT(E157*1000,"0"),"")&amp;IF(F157&lt;&gt;"","-H"&amp;TEXT(F157*1000,"0"),"")&amp;"-"&amp;M157)</f>
        <v/>
      </c>
      <c r="B157" s="10" t="str">
        <f aca="false">IF(C157="","",C157&amp;" - "&amp;D157&amp;IF(E157&lt;&gt;"",", span "&amp;E157&amp;" m","")&amp;IF(F157&lt;&gt;"",", H "&amp;F157&amp;" m","")&amp;IF(G157&lt;&gt;"",", W "&amp;G157&amp;" m",""))</f>
        <v/>
      </c>
      <c r="C157" s="9"/>
      <c r="D157" s="9"/>
      <c r="E157" s="43"/>
      <c r="F157" s="43"/>
      <c r="G157" s="43"/>
      <c r="H157" s="9"/>
      <c r="I157" s="9"/>
      <c r="J157" s="9"/>
      <c r="K157" s="9"/>
      <c r="L157" s="9"/>
      <c r="M157" s="9"/>
      <c r="N157" s="9"/>
      <c r="O157" s="9"/>
      <c r="P157" s="9"/>
      <c r="Q157" s="9"/>
      <c r="R157" s="10" t="str">
        <f aca="false">IF(A157="","",SG_Criteria!$B$6&amp;SG_Criteria!$B$13&amp;"\"&amp;A157&amp;"\")</f>
        <v/>
      </c>
      <c r="S157" s="10" t="str">
        <f aca="false">IF(A157="","",A157&amp;"_CAD.dwg")</f>
        <v/>
      </c>
      <c r="T157" s="10" t="str">
        <f aca="false">IF(A157="","",A157&amp;"_DWG.pdf")</f>
        <v/>
      </c>
      <c r="U157" s="10" t="str">
        <f aca="false">IF(A157="","",IF(Q157="Y",A157&amp;"_STAAD.std","n/a"))</f>
        <v/>
      </c>
      <c r="V157" s="10" t="str">
        <f aca="false">IF(A157="","",A157&amp;"_CALC.xlsx")</f>
        <v/>
      </c>
      <c r="W157" s="10" t="str">
        <f aca="false">IF(A157="","",A157&amp;"_CALC.pdf")</f>
        <v/>
      </c>
      <c r="X157" s="9"/>
      <c r="Y157" s="9"/>
      <c r="Z157" s="41"/>
      <c r="AA157" s="41"/>
      <c r="AB157" s="41"/>
      <c r="AC157" s="41"/>
      <c r="AD157" s="41"/>
      <c r="AE157" s="38" t="str">
        <f aca="false">IF(C157="","","OK")</f>
        <v/>
      </c>
      <c r="AF157" s="9"/>
      <c r="AG157" s="9"/>
      <c r="AH157" s="9"/>
      <c r="AI157" s="9"/>
      <c r="AJ157" s="9"/>
      <c r="AK157" s="31"/>
      <c r="AL157" s="10" t="str">
        <f aca="false">IF(C157="","",IF(AND(N157="Approved",ISERROR(SEARCH("FAIL",AE157))),"Y","N"))</f>
        <v/>
      </c>
    </row>
    <row r="158" customFormat="false" ht="15" hidden="false" customHeight="false" outlineLevel="0" collapsed="false">
      <c r="A158" s="10" t="str">
        <f aca="false">IF(C158="","",IFERROR(VLOOKUP(C158,Lists!$BI$4:$BJ$20,2,0),"??")&amp;"-"&amp;UPPER(SUBSTITUTE(D158," ",""))&amp;IF(E158&lt;&gt;"","-SP"&amp;TEXT(E158*1000,"0"),"")&amp;IF(F158&lt;&gt;"","-H"&amp;TEXT(F158*1000,"0"),"")&amp;"-"&amp;M158)</f>
        <v/>
      </c>
      <c r="B158" s="10" t="str">
        <f aca="false">IF(C158="","",C158&amp;" - "&amp;D158&amp;IF(E158&lt;&gt;"",", span "&amp;E158&amp;" m","")&amp;IF(F158&lt;&gt;"",", H "&amp;F158&amp;" m","")&amp;IF(G158&lt;&gt;"",", W "&amp;G158&amp;" m",""))</f>
        <v/>
      </c>
      <c r="C158" s="9"/>
      <c r="D158" s="9"/>
      <c r="E158" s="43"/>
      <c r="F158" s="43"/>
      <c r="G158" s="43"/>
      <c r="H158" s="9"/>
      <c r="I158" s="9"/>
      <c r="J158" s="9"/>
      <c r="K158" s="9"/>
      <c r="L158" s="9"/>
      <c r="M158" s="9"/>
      <c r="N158" s="9"/>
      <c r="O158" s="9"/>
      <c r="P158" s="9"/>
      <c r="Q158" s="9"/>
      <c r="R158" s="10" t="str">
        <f aca="false">IF(A158="","",SG_Criteria!$B$6&amp;SG_Criteria!$B$13&amp;"\"&amp;A158&amp;"\")</f>
        <v/>
      </c>
      <c r="S158" s="10" t="str">
        <f aca="false">IF(A158="","",A158&amp;"_CAD.dwg")</f>
        <v/>
      </c>
      <c r="T158" s="10" t="str">
        <f aca="false">IF(A158="","",A158&amp;"_DWG.pdf")</f>
        <v/>
      </c>
      <c r="U158" s="10" t="str">
        <f aca="false">IF(A158="","",IF(Q158="Y",A158&amp;"_STAAD.std","n/a"))</f>
        <v/>
      </c>
      <c r="V158" s="10" t="str">
        <f aca="false">IF(A158="","",A158&amp;"_CALC.xlsx")</f>
        <v/>
      </c>
      <c r="W158" s="10" t="str">
        <f aca="false">IF(A158="","",A158&amp;"_CALC.pdf")</f>
        <v/>
      </c>
      <c r="X158" s="9"/>
      <c r="Y158" s="9"/>
      <c r="Z158" s="41"/>
      <c r="AA158" s="41"/>
      <c r="AB158" s="41"/>
      <c r="AC158" s="41"/>
      <c r="AD158" s="41"/>
      <c r="AE158" s="38" t="str">
        <f aca="false">IF(C158="","","OK")</f>
        <v/>
      </c>
      <c r="AF158" s="9"/>
      <c r="AG158" s="9"/>
      <c r="AH158" s="9"/>
      <c r="AI158" s="9"/>
      <c r="AJ158" s="9"/>
      <c r="AK158" s="31"/>
      <c r="AL158" s="10" t="str">
        <f aca="false">IF(C158="","",IF(AND(N158="Approved",ISERROR(SEARCH("FAIL",AE158))),"Y","N"))</f>
        <v/>
      </c>
    </row>
    <row r="159" customFormat="false" ht="15" hidden="false" customHeight="false" outlineLevel="0" collapsed="false">
      <c r="A159" s="10" t="str">
        <f aca="false">IF(C159="","",IFERROR(VLOOKUP(C159,Lists!$BI$4:$BJ$20,2,0),"??")&amp;"-"&amp;UPPER(SUBSTITUTE(D159," ",""))&amp;IF(E159&lt;&gt;"","-SP"&amp;TEXT(E159*1000,"0"),"")&amp;IF(F159&lt;&gt;"","-H"&amp;TEXT(F159*1000,"0"),"")&amp;"-"&amp;M159)</f>
        <v/>
      </c>
      <c r="B159" s="10" t="str">
        <f aca="false">IF(C159="","",C159&amp;" - "&amp;D159&amp;IF(E159&lt;&gt;"",", span "&amp;E159&amp;" m","")&amp;IF(F159&lt;&gt;"",", H "&amp;F159&amp;" m","")&amp;IF(G159&lt;&gt;"",", W "&amp;G159&amp;" m",""))</f>
        <v/>
      </c>
      <c r="C159" s="9"/>
      <c r="D159" s="9"/>
      <c r="E159" s="43"/>
      <c r="F159" s="43"/>
      <c r="G159" s="43"/>
      <c r="H159" s="9"/>
      <c r="I159" s="9"/>
      <c r="J159" s="9"/>
      <c r="K159" s="9"/>
      <c r="L159" s="9"/>
      <c r="M159" s="9"/>
      <c r="N159" s="9"/>
      <c r="O159" s="9"/>
      <c r="P159" s="9"/>
      <c r="Q159" s="9"/>
      <c r="R159" s="10" t="str">
        <f aca="false">IF(A159="","",SG_Criteria!$B$6&amp;SG_Criteria!$B$13&amp;"\"&amp;A159&amp;"\")</f>
        <v/>
      </c>
      <c r="S159" s="10" t="str">
        <f aca="false">IF(A159="","",A159&amp;"_CAD.dwg")</f>
        <v/>
      </c>
      <c r="T159" s="10" t="str">
        <f aca="false">IF(A159="","",A159&amp;"_DWG.pdf")</f>
        <v/>
      </c>
      <c r="U159" s="10" t="str">
        <f aca="false">IF(A159="","",IF(Q159="Y",A159&amp;"_STAAD.std","n/a"))</f>
        <v/>
      </c>
      <c r="V159" s="10" t="str">
        <f aca="false">IF(A159="","",A159&amp;"_CALC.xlsx")</f>
        <v/>
      </c>
      <c r="W159" s="10" t="str">
        <f aca="false">IF(A159="","",A159&amp;"_CALC.pdf")</f>
        <v/>
      </c>
      <c r="X159" s="9"/>
      <c r="Y159" s="9"/>
      <c r="Z159" s="41"/>
      <c r="AA159" s="41"/>
      <c r="AB159" s="41"/>
      <c r="AC159" s="41"/>
      <c r="AD159" s="41"/>
      <c r="AE159" s="38" t="str">
        <f aca="false">IF(C159="","","OK")</f>
        <v/>
      </c>
      <c r="AF159" s="9"/>
      <c r="AG159" s="9"/>
      <c r="AH159" s="9"/>
      <c r="AI159" s="9"/>
      <c r="AJ159" s="9"/>
      <c r="AK159" s="31"/>
      <c r="AL159" s="10" t="str">
        <f aca="false">IF(C159="","",IF(AND(N159="Approved",ISERROR(SEARCH("FAIL",AE159))),"Y","N"))</f>
        <v/>
      </c>
    </row>
    <row r="160" customFormat="false" ht="15" hidden="false" customHeight="false" outlineLevel="0" collapsed="false">
      <c r="A160" s="10" t="str">
        <f aca="false">IF(C160="","",IFERROR(VLOOKUP(C160,Lists!$BI$4:$BJ$20,2,0),"??")&amp;"-"&amp;UPPER(SUBSTITUTE(D160," ",""))&amp;IF(E160&lt;&gt;"","-SP"&amp;TEXT(E160*1000,"0"),"")&amp;IF(F160&lt;&gt;"","-H"&amp;TEXT(F160*1000,"0"),"")&amp;"-"&amp;M160)</f>
        <v/>
      </c>
      <c r="B160" s="10" t="str">
        <f aca="false">IF(C160="","",C160&amp;" - "&amp;D160&amp;IF(E160&lt;&gt;"",", span "&amp;E160&amp;" m","")&amp;IF(F160&lt;&gt;"",", H "&amp;F160&amp;" m","")&amp;IF(G160&lt;&gt;"",", W "&amp;G160&amp;" m",""))</f>
        <v/>
      </c>
      <c r="C160" s="9"/>
      <c r="D160" s="9"/>
      <c r="E160" s="43"/>
      <c r="F160" s="43"/>
      <c r="G160" s="43"/>
      <c r="H160" s="9"/>
      <c r="I160" s="9"/>
      <c r="J160" s="9"/>
      <c r="K160" s="9"/>
      <c r="L160" s="9"/>
      <c r="M160" s="9"/>
      <c r="N160" s="9"/>
      <c r="O160" s="9"/>
      <c r="P160" s="9"/>
      <c r="Q160" s="9"/>
      <c r="R160" s="10" t="str">
        <f aca="false">IF(A160="","",SG_Criteria!$B$6&amp;SG_Criteria!$B$13&amp;"\"&amp;A160&amp;"\")</f>
        <v/>
      </c>
      <c r="S160" s="10" t="str">
        <f aca="false">IF(A160="","",A160&amp;"_CAD.dwg")</f>
        <v/>
      </c>
      <c r="T160" s="10" t="str">
        <f aca="false">IF(A160="","",A160&amp;"_DWG.pdf")</f>
        <v/>
      </c>
      <c r="U160" s="10" t="str">
        <f aca="false">IF(A160="","",IF(Q160="Y",A160&amp;"_STAAD.std","n/a"))</f>
        <v/>
      </c>
      <c r="V160" s="10" t="str">
        <f aca="false">IF(A160="","",A160&amp;"_CALC.xlsx")</f>
        <v/>
      </c>
      <c r="W160" s="10" t="str">
        <f aca="false">IF(A160="","",A160&amp;"_CALC.pdf")</f>
        <v/>
      </c>
      <c r="X160" s="9"/>
      <c r="Y160" s="9"/>
      <c r="Z160" s="41"/>
      <c r="AA160" s="41"/>
      <c r="AB160" s="41"/>
      <c r="AC160" s="41"/>
      <c r="AD160" s="41"/>
      <c r="AE160" s="38" t="str">
        <f aca="false">IF(C160="","","OK")</f>
        <v/>
      </c>
      <c r="AF160" s="9"/>
      <c r="AG160" s="9"/>
      <c r="AH160" s="9"/>
      <c r="AI160" s="9"/>
      <c r="AJ160" s="9"/>
      <c r="AK160" s="31"/>
      <c r="AL160" s="10" t="str">
        <f aca="false">IF(C160="","",IF(AND(N160="Approved",ISERROR(SEARCH("FAIL",AE160))),"Y","N"))</f>
        <v/>
      </c>
    </row>
    <row r="161" customFormat="false" ht="15" hidden="false" customHeight="false" outlineLevel="0" collapsed="false">
      <c r="A161" s="10" t="str">
        <f aca="false">IF(C161="","",IFERROR(VLOOKUP(C161,Lists!$BI$4:$BJ$20,2,0),"??")&amp;"-"&amp;UPPER(SUBSTITUTE(D161," ",""))&amp;IF(E161&lt;&gt;"","-SP"&amp;TEXT(E161*1000,"0"),"")&amp;IF(F161&lt;&gt;"","-H"&amp;TEXT(F161*1000,"0"),"")&amp;"-"&amp;M161)</f>
        <v/>
      </c>
      <c r="B161" s="10" t="str">
        <f aca="false">IF(C161="","",C161&amp;" - "&amp;D161&amp;IF(E161&lt;&gt;"",", span "&amp;E161&amp;" m","")&amp;IF(F161&lt;&gt;"",", H "&amp;F161&amp;" m","")&amp;IF(G161&lt;&gt;"",", W "&amp;G161&amp;" m",""))</f>
        <v/>
      </c>
      <c r="C161" s="9"/>
      <c r="D161" s="9"/>
      <c r="E161" s="43"/>
      <c r="F161" s="43"/>
      <c r="G161" s="43"/>
      <c r="H161" s="9"/>
      <c r="I161" s="9"/>
      <c r="J161" s="9"/>
      <c r="K161" s="9"/>
      <c r="L161" s="9"/>
      <c r="M161" s="9"/>
      <c r="N161" s="9"/>
      <c r="O161" s="9"/>
      <c r="P161" s="9"/>
      <c r="Q161" s="9"/>
      <c r="R161" s="10" t="str">
        <f aca="false">IF(A161="","",SG_Criteria!$B$6&amp;SG_Criteria!$B$13&amp;"\"&amp;A161&amp;"\")</f>
        <v/>
      </c>
      <c r="S161" s="10" t="str">
        <f aca="false">IF(A161="","",A161&amp;"_CAD.dwg")</f>
        <v/>
      </c>
      <c r="T161" s="10" t="str">
        <f aca="false">IF(A161="","",A161&amp;"_DWG.pdf")</f>
        <v/>
      </c>
      <c r="U161" s="10" t="str">
        <f aca="false">IF(A161="","",IF(Q161="Y",A161&amp;"_STAAD.std","n/a"))</f>
        <v/>
      </c>
      <c r="V161" s="10" t="str">
        <f aca="false">IF(A161="","",A161&amp;"_CALC.xlsx")</f>
        <v/>
      </c>
      <c r="W161" s="10" t="str">
        <f aca="false">IF(A161="","",A161&amp;"_CALC.pdf")</f>
        <v/>
      </c>
      <c r="X161" s="9"/>
      <c r="Y161" s="9"/>
      <c r="Z161" s="41"/>
      <c r="AA161" s="41"/>
      <c r="AB161" s="41"/>
      <c r="AC161" s="41"/>
      <c r="AD161" s="41"/>
      <c r="AE161" s="38" t="str">
        <f aca="false">IF(C161="","","OK")</f>
        <v/>
      </c>
      <c r="AF161" s="9"/>
      <c r="AG161" s="9"/>
      <c r="AH161" s="9"/>
      <c r="AI161" s="9"/>
      <c r="AJ161" s="9"/>
      <c r="AK161" s="31"/>
      <c r="AL161" s="10" t="str">
        <f aca="false">IF(C161="","",IF(AND(N161="Approved",ISERROR(SEARCH("FAIL",AE161))),"Y","N"))</f>
        <v/>
      </c>
    </row>
    <row r="162" customFormat="false" ht="15" hidden="false" customHeight="false" outlineLevel="0" collapsed="false">
      <c r="A162" s="10" t="str">
        <f aca="false">IF(C162="","",IFERROR(VLOOKUP(C162,Lists!$BI$4:$BJ$20,2,0),"??")&amp;"-"&amp;UPPER(SUBSTITUTE(D162," ",""))&amp;IF(E162&lt;&gt;"","-SP"&amp;TEXT(E162*1000,"0"),"")&amp;IF(F162&lt;&gt;"","-H"&amp;TEXT(F162*1000,"0"),"")&amp;"-"&amp;M162)</f>
        <v/>
      </c>
      <c r="B162" s="10" t="str">
        <f aca="false">IF(C162="","",C162&amp;" - "&amp;D162&amp;IF(E162&lt;&gt;"",", span "&amp;E162&amp;" m","")&amp;IF(F162&lt;&gt;"",", H "&amp;F162&amp;" m","")&amp;IF(G162&lt;&gt;"",", W "&amp;G162&amp;" m",""))</f>
        <v/>
      </c>
      <c r="C162" s="9"/>
      <c r="D162" s="9"/>
      <c r="E162" s="43"/>
      <c r="F162" s="43"/>
      <c r="G162" s="43"/>
      <c r="H162" s="9"/>
      <c r="I162" s="9"/>
      <c r="J162" s="9"/>
      <c r="K162" s="9"/>
      <c r="L162" s="9"/>
      <c r="M162" s="9"/>
      <c r="N162" s="9"/>
      <c r="O162" s="9"/>
      <c r="P162" s="9"/>
      <c r="Q162" s="9"/>
      <c r="R162" s="10" t="str">
        <f aca="false">IF(A162="","",SG_Criteria!$B$6&amp;SG_Criteria!$B$13&amp;"\"&amp;A162&amp;"\")</f>
        <v/>
      </c>
      <c r="S162" s="10" t="str">
        <f aca="false">IF(A162="","",A162&amp;"_CAD.dwg")</f>
        <v/>
      </c>
      <c r="T162" s="10" t="str">
        <f aca="false">IF(A162="","",A162&amp;"_DWG.pdf")</f>
        <v/>
      </c>
      <c r="U162" s="10" t="str">
        <f aca="false">IF(A162="","",IF(Q162="Y",A162&amp;"_STAAD.std","n/a"))</f>
        <v/>
      </c>
      <c r="V162" s="10" t="str">
        <f aca="false">IF(A162="","",A162&amp;"_CALC.xlsx")</f>
        <v/>
      </c>
      <c r="W162" s="10" t="str">
        <f aca="false">IF(A162="","",A162&amp;"_CALC.pdf")</f>
        <v/>
      </c>
      <c r="X162" s="9"/>
      <c r="Y162" s="9"/>
      <c r="Z162" s="41"/>
      <c r="AA162" s="41"/>
      <c r="AB162" s="41"/>
      <c r="AC162" s="41"/>
      <c r="AD162" s="41"/>
      <c r="AE162" s="38" t="str">
        <f aca="false">IF(C162="","","OK")</f>
        <v/>
      </c>
      <c r="AF162" s="9"/>
      <c r="AG162" s="9"/>
      <c r="AH162" s="9"/>
      <c r="AI162" s="9"/>
      <c r="AJ162" s="9"/>
      <c r="AK162" s="31"/>
      <c r="AL162" s="10" t="str">
        <f aca="false">IF(C162="","",IF(AND(N162="Approved",ISERROR(SEARCH("FAIL",AE162))),"Y","N"))</f>
        <v/>
      </c>
    </row>
    <row r="163" customFormat="false" ht="15" hidden="false" customHeight="false" outlineLevel="0" collapsed="false">
      <c r="A163" s="10" t="str">
        <f aca="false">IF(C163="","",IFERROR(VLOOKUP(C163,Lists!$BI$4:$BJ$20,2,0),"??")&amp;"-"&amp;UPPER(SUBSTITUTE(D163," ",""))&amp;IF(E163&lt;&gt;"","-SP"&amp;TEXT(E163*1000,"0"),"")&amp;IF(F163&lt;&gt;"","-H"&amp;TEXT(F163*1000,"0"),"")&amp;"-"&amp;M163)</f>
        <v/>
      </c>
      <c r="B163" s="10" t="str">
        <f aca="false">IF(C163="","",C163&amp;" - "&amp;D163&amp;IF(E163&lt;&gt;"",", span "&amp;E163&amp;" m","")&amp;IF(F163&lt;&gt;"",", H "&amp;F163&amp;" m","")&amp;IF(G163&lt;&gt;"",", W "&amp;G163&amp;" m",""))</f>
        <v/>
      </c>
      <c r="C163" s="9"/>
      <c r="D163" s="9"/>
      <c r="E163" s="43"/>
      <c r="F163" s="43"/>
      <c r="G163" s="43"/>
      <c r="H163" s="9"/>
      <c r="I163" s="9"/>
      <c r="J163" s="9"/>
      <c r="K163" s="9"/>
      <c r="L163" s="9"/>
      <c r="M163" s="9"/>
      <c r="N163" s="9"/>
      <c r="O163" s="9"/>
      <c r="P163" s="9"/>
      <c r="Q163" s="9"/>
      <c r="R163" s="10" t="str">
        <f aca="false">IF(A163="","",SG_Criteria!$B$6&amp;SG_Criteria!$B$13&amp;"\"&amp;A163&amp;"\")</f>
        <v/>
      </c>
      <c r="S163" s="10" t="str">
        <f aca="false">IF(A163="","",A163&amp;"_CAD.dwg")</f>
        <v/>
      </c>
      <c r="T163" s="10" t="str">
        <f aca="false">IF(A163="","",A163&amp;"_DWG.pdf")</f>
        <v/>
      </c>
      <c r="U163" s="10" t="str">
        <f aca="false">IF(A163="","",IF(Q163="Y",A163&amp;"_STAAD.std","n/a"))</f>
        <v/>
      </c>
      <c r="V163" s="10" t="str">
        <f aca="false">IF(A163="","",A163&amp;"_CALC.xlsx")</f>
        <v/>
      </c>
      <c r="W163" s="10" t="str">
        <f aca="false">IF(A163="","",A163&amp;"_CALC.pdf")</f>
        <v/>
      </c>
      <c r="X163" s="9"/>
      <c r="Y163" s="9"/>
      <c r="Z163" s="41"/>
      <c r="AA163" s="41"/>
      <c r="AB163" s="41"/>
      <c r="AC163" s="41"/>
      <c r="AD163" s="41"/>
      <c r="AE163" s="38" t="str">
        <f aca="false">IF(C163="","","OK")</f>
        <v/>
      </c>
      <c r="AF163" s="9"/>
      <c r="AG163" s="9"/>
      <c r="AH163" s="9"/>
      <c r="AI163" s="9"/>
      <c r="AJ163" s="9"/>
      <c r="AK163" s="31"/>
      <c r="AL163" s="10" t="str">
        <f aca="false">IF(C163="","",IF(AND(N163="Approved",ISERROR(SEARCH("FAIL",AE163))),"Y","N"))</f>
        <v/>
      </c>
    </row>
    <row r="164" customFormat="false" ht="15" hidden="false" customHeight="false" outlineLevel="0" collapsed="false">
      <c r="A164" s="10" t="str">
        <f aca="false">IF(C164="","",IFERROR(VLOOKUP(C164,Lists!$BI$4:$BJ$20,2,0),"??")&amp;"-"&amp;UPPER(SUBSTITUTE(D164," ",""))&amp;IF(E164&lt;&gt;"","-SP"&amp;TEXT(E164*1000,"0"),"")&amp;IF(F164&lt;&gt;"","-H"&amp;TEXT(F164*1000,"0"),"")&amp;"-"&amp;M164)</f>
        <v/>
      </c>
      <c r="B164" s="10" t="str">
        <f aca="false">IF(C164="","",C164&amp;" - "&amp;D164&amp;IF(E164&lt;&gt;"",", span "&amp;E164&amp;" m","")&amp;IF(F164&lt;&gt;"",", H "&amp;F164&amp;" m","")&amp;IF(G164&lt;&gt;"",", W "&amp;G164&amp;" m",""))</f>
        <v/>
      </c>
      <c r="C164" s="9"/>
      <c r="D164" s="9"/>
      <c r="E164" s="43"/>
      <c r="F164" s="43"/>
      <c r="G164" s="43"/>
      <c r="H164" s="9"/>
      <c r="I164" s="9"/>
      <c r="J164" s="9"/>
      <c r="K164" s="9"/>
      <c r="L164" s="9"/>
      <c r="M164" s="9"/>
      <c r="N164" s="9"/>
      <c r="O164" s="9"/>
      <c r="P164" s="9"/>
      <c r="Q164" s="9"/>
      <c r="R164" s="10" t="str">
        <f aca="false">IF(A164="","",SG_Criteria!$B$6&amp;SG_Criteria!$B$13&amp;"\"&amp;A164&amp;"\")</f>
        <v/>
      </c>
      <c r="S164" s="10" t="str">
        <f aca="false">IF(A164="","",A164&amp;"_CAD.dwg")</f>
        <v/>
      </c>
      <c r="T164" s="10" t="str">
        <f aca="false">IF(A164="","",A164&amp;"_DWG.pdf")</f>
        <v/>
      </c>
      <c r="U164" s="10" t="str">
        <f aca="false">IF(A164="","",IF(Q164="Y",A164&amp;"_STAAD.std","n/a"))</f>
        <v/>
      </c>
      <c r="V164" s="10" t="str">
        <f aca="false">IF(A164="","",A164&amp;"_CALC.xlsx")</f>
        <v/>
      </c>
      <c r="W164" s="10" t="str">
        <f aca="false">IF(A164="","",A164&amp;"_CALC.pdf")</f>
        <v/>
      </c>
      <c r="X164" s="9"/>
      <c r="Y164" s="9"/>
      <c r="Z164" s="41"/>
      <c r="AA164" s="41"/>
      <c r="AB164" s="41"/>
      <c r="AC164" s="41"/>
      <c r="AD164" s="41"/>
      <c r="AE164" s="38" t="str">
        <f aca="false">IF(C164="","","OK")</f>
        <v/>
      </c>
      <c r="AF164" s="9"/>
      <c r="AG164" s="9"/>
      <c r="AH164" s="9"/>
      <c r="AI164" s="9"/>
      <c r="AJ164" s="9"/>
      <c r="AK164" s="31"/>
      <c r="AL164" s="10" t="str">
        <f aca="false">IF(C164="","",IF(AND(N164="Approved",ISERROR(SEARCH("FAIL",AE164))),"Y","N"))</f>
        <v/>
      </c>
    </row>
    <row r="165" customFormat="false" ht="15" hidden="false" customHeight="false" outlineLevel="0" collapsed="false">
      <c r="A165" s="10" t="str">
        <f aca="false">IF(C165="","",IFERROR(VLOOKUP(C165,Lists!$BI$4:$BJ$20,2,0),"??")&amp;"-"&amp;UPPER(SUBSTITUTE(D165," ",""))&amp;IF(E165&lt;&gt;"","-SP"&amp;TEXT(E165*1000,"0"),"")&amp;IF(F165&lt;&gt;"","-H"&amp;TEXT(F165*1000,"0"),"")&amp;"-"&amp;M165)</f>
        <v/>
      </c>
      <c r="B165" s="10" t="str">
        <f aca="false">IF(C165="","",C165&amp;" - "&amp;D165&amp;IF(E165&lt;&gt;"",", span "&amp;E165&amp;" m","")&amp;IF(F165&lt;&gt;"",", H "&amp;F165&amp;" m","")&amp;IF(G165&lt;&gt;"",", W "&amp;G165&amp;" m",""))</f>
        <v/>
      </c>
      <c r="C165" s="9"/>
      <c r="D165" s="9"/>
      <c r="E165" s="43"/>
      <c r="F165" s="43"/>
      <c r="G165" s="43"/>
      <c r="H165" s="9"/>
      <c r="I165" s="9"/>
      <c r="J165" s="9"/>
      <c r="K165" s="9"/>
      <c r="L165" s="9"/>
      <c r="M165" s="9"/>
      <c r="N165" s="9"/>
      <c r="O165" s="9"/>
      <c r="P165" s="9"/>
      <c r="Q165" s="9"/>
      <c r="R165" s="10" t="str">
        <f aca="false">IF(A165="","",SG_Criteria!$B$6&amp;SG_Criteria!$B$13&amp;"\"&amp;A165&amp;"\")</f>
        <v/>
      </c>
      <c r="S165" s="10" t="str">
        <f aca="false">IF(A165="","",A165&amp;"_CAD.dwg")</f>
        <v/>
      </c>
      <c r="T165" s="10" t="str">
        <f aca="false">IF(A165="","",A165&amp;"_DWG.pdf")</f>
        <v/>
      </c>
      <c r="U165" s="10" t="str">
        <f aca="false">IF(A165="","",IF(Q165="Y",A165&amp;"_STAAD.std","n/a"))</f>
        <v/>
      </c>
      <c r="V165" s="10" t="str">
        <f aca="false">IF(A165="","",A165&amp;"_CALC.xlsx")</f>
        <v/>
      </c>
      <c r="W165" s="10" t="str">
        <f aca="false">IF(A165="","",A165&amp;"_CALC.pdf")</f>
        <v/>
      </c>
      <c r="X165" s="9"/>
      <c r="Y165" s="9"/>
      <c r="Z165" s="41"/>
      <c r="AA165" s="41"/>
      <c r="AB165" s="41"/>
      <c r="AC165" s="41"/>
      <c r="AD165" s="41"/>
      <c r="AE165" s="38" t="str">
        <f aca="false">IF(C165="","","OK")</f>
        <v/>
      </c>
      <c r="AF165" s="9"/>
      <c r="AG165" s="9"/>
      <c r="AH165" s="9"/>
      <c r="AI165" s="9"/>
      <c r="AJ165" s="9"/>
      <c r="AK165" s="31"/>
      <c r="AL165" s="10" t="str">
        <f aca="false">IF(C165="","",IF(AND(N165="Approved",ISERROR(SEARCH("FAIL",AE165))),"Y","N"))</f>
        <v/>
      </c>
    </row>
    <row r="166" customFormat="false" ht="15" hidden="false" customHeight="false" outlineLevel="0" collapsed="false">
      <c r="A166" s="10" t="str">
        <f aca="false">IF(C166="","",IFERROR(VLOOKUP(C166,Lists!$BI$4:$BJ$20,2,0),"??")&amp;"-"&amp;UPPER(SUBSTITUTE(D166," ",""))&amp;IF(E166&lt;&gt;"","-SP"&amp;TEXT(E166*1000,"0"),"")&amp;IF(F166&lt;&gt;"","-H"&amp;TEXT(F166*1000,"0"),"")&amp;"-"&amp;M166)</f>
        <v/>
      </c>
      <c r="B166" s="10" t="str">
        <f aca="false">IF(C166="","",C166&amp;" - "&amp;D166&amp;IF(E166&lt;&gt;"",", span "&amp;E166&amp;" m","")&amp;IF(F166&lt;&gt;"",", H "&amp;F166&amp;" m","")&amp;IF(G166&lt;&gt;"",", W "&amp;G166&amp;" m",""))</f>
        <v/>
      </c>
      <c r="C166" s="9"/>
      <c r="D166" s="9"/>
      <c r="E166" s="43"/>
      <c r="F166" s="43"/>
      <c r="G166" s="43"/>
      <c r="H166" s="9"/>
      <c r="I166" s="9"/>
      <c r="J166" s="9"/>
      <c r="K166" s="9"/>
      <c r="L166" s="9"/>
      <c r="M166" s="9"/>
      <c r="N166" s="9"/>
      <c r="O166" s="9"/>
      <c r="P166" s="9"/>
      <c r="Q166" s="9"/>
      <c r="R166" s="10" t="str">
        <f aca="false">IF(A166="","",SG_Criteria!$B$6&amp;SG_Criteria!$B$13&amp;"\"&amp;A166&amp;"\")</f>
        <v/>
      </c>
      <c r="S166" s="10" t="str">
        <f aca="false">IF(A166="","",A166&amp;"_CAD.dwg")</f>
        <v/>
      </c>
      <c r="T166" s="10" t="str">
        <f aca="false">IF(A166="","",A166&amp;"_DWG.pdf")</f>
        <v/>
      </c>
      <c r="U166" s="10" t="str">
        <f aca="false">IF(A166="","",IF(Q166="Y",A166&amp;"_STAAD.std","n/a"))</f>
        <v/>
      </c>
      <c r="V166" s="10" t="str">
        <f aca="false">IF(A166="","",A166&amp;"_CALC.xlsx")</f>
        <v/>
      </c>
      <c r="W166" s="10" t="str">
        <f aca="false">IF(A166="","",A166&amp;"_CALC.pdf")</f>
        <v/>
      </c>
      <c r="X166" s="9"/>
      <c r="Y166" s="9"/>
      <c r="Z166" s="41"/>
      <c r="AA166" s="41"/>
      <c r="AB166" s="41"/>
      <c r="AC166" s="41"/>
      <c r="AD166" s="41"/>
      <c r="AE166" s="38" t="str">
        <f aca="false">IF(C166="","","OK")</f>
        <v/>
      </c>
      <c r="AF166" s="9"/>
      <c r="AG166" s="9"/>
      <c r="AH166" s="9"/>
      <c r="AI166" s="9"/>
      <c r="AJ166" s="9"/>
      <c r="AK166" s="31"/>
      <c r="AL166" s="10" t="str">
        <f aca="false">IF(C166="","",IF(AND(N166="Approved",ISERROR(SEARCH("FAIL",AE166))),"Y","N"))</f>
        <v/>
      </c>
    </row>
    <row r="167" customFormat="false" ht="15" hidden="false" customHeight="false" outlineLevel="0" collapsed="false">
      <c r="A167" s="10" t="str">
        <f aca="false">IF(C167="","",IFERROR(VLOOKUP(C167,Lists!$BI$4:$BJ$20,2,0),"??")&amp;"-"&amp;UPPER(SUBSTITUTE(D167," ",""))&amp;IF(E167&lt;&gt;"","-SP"&amp;TEXT(E167*1000,"0"),"")&amp;IF(F167&lt;&gt;"","-H"&amp;TEXT(F167*1000,"0"),"")&amp;"-"&amp;M167)</f>
        <v/>
      </c>
      <c r="B167" s="10" t="str">
        <f aca="false">IF(C167="","",C167&amp;" - "&amp;D167&amp;IF(E167&lt;&gt;"",", span "&amp;E167&amp;" m","")&amp;IF(F167&lt;&gt;"",", H "&amp;F167&amp;" m","")&amp;IF(G167&lt;&gt;"",", W "&amp;G167&amp;" m",""))</f>
        <v/>
      </c>
      <c r="C167" s="9"/>
      <c r="D167" s="9"/>
      <c r="E167" s="43"/>
      <c r="F167" s="43"/>
      <c r="G167" s="43"/>
      <c r="H167" s="9"/>
      <c r="I167" s="9"/>
      <c r="J167" s="9"/>
      <c r="K167" s="9"/>
      <c r="L167" s="9"/>
      <c r="M167" s="9"/>
      <c r="N167" s="9"/>
      <c r="O167" s="9"/>
      <c r="P167" s="9"/>
      <c r="Q167" s="9"/>
      <c r="R167" s="10" t="str">
        <f aca="false">IF(A167="","",SG_Criteria!$B$6&amp;SG_Criteria!$B$13&amp;"\"&amp;A167&amp;"\")</f>
        <v/>
      </c>
      <c r="S167" s="10" t="str">
        <f aca="false">IF(A167="","",A167&amp;"_CAD.dwg")</f>
        <v/>
      </c>
      <c r="T167" s="10" t="str">
        <f aca="false">IF(A167="","",A167&amp;"_DWG.pdf")</f>
        <v/>
      </c>
      <c r="U167" s="10" t="str">
        <f aca="false">IF(A167="","",IF(Q167="Y",A167&amp;"_STAAD.std","n/a"))</f>
        <v/>
      </c>
      <c r="V167" s="10" t="str">
        <f aca="false">IF(A167="","",A167&amp;"_CALC.xlsx")</f>
        <v/>
      </c>
      <c r="W167" s="10" t="str">
        <f aca="false">IF(A167="","",A167&amp;"_CALC.pdf")</f>
        <v/>
      </c>
      <c r="X167" s="9"/>
      <c r="Y167" s="9"/>
      <c r="Z167" s="41"/>
      <c r="AA167" s="41"/>
      <c r="AB167" s="41"/>
      <c r="AC167" s="41"/>
      <c r="AD167" s="41"/>
      <c r="AE167" s="38" t="str">
        <f aca="false">IF(C167="","","OK")</f>
        <v/>
      </c>
      <c r="AF167" s="9"/>
      <c r="AG167" s="9"/>
      <c r="AH167" s="9"/>
      <c r="AI167" s="9"/>
      <c r="AJ167" s="9"/>
      <c r="AK167" s="31"/>
      <c r="AL167" s="10" t="str">
        <f aca="false">IF(C167="","",IF(AND(N167="Approved",ISERROR(SEARCH("FAIL",AE167))),"Y","N"))</f>
        <v/>
      </c>
    </row>
    <row r="168" customFormat="false" ht="15" hidden="false" customHeight="false" outlineLevel="0" collapsed="false">
      <c r="A168" s="10" t="str">
        <f aca="false">IF(C168="","",IFERROR(VLOOKUP(C168,Lists!$BI$4:$BJ$20,2,0),"??")&amp;"-"&amp;UPPER(SUBSTITUTE(D168," ",""))&amp;IF(E168&lt;&gt;"","-SP"&amp;TEXT(E168*1000,"0"),"")&amp;IF(F168&lt;&gt;"","-H"&amp;TEXT(F168*1000,"0"),"")&amp;"-"&amp;M168)</f>
        <v/>
      </c>
      <c r="B168" s="10" t="str">
        <f aca="false">IF(C168="","",C168&amp;" - "&amp;D168&amp;IF(E168&lt;&gt;"",", span "&amp;E168&amp;" m","")&amp;IF(F168&lt;&gt;"",", H "&amp;F168&amp;" m","")&amp;IF(G168&lt;&gt;"",", W "&amp;G168&amp;" m",""))</f>
        <v/>
      </c>
      <c r="C168" s="9"/>
      <c r="D168" s="9"/>
      <c r="E168" s="43"/>
      <c r="F168" s="43"/>
      <c r="G168" s="43"/>
      <c r="H168" s="9"/>
      <c r="I168" s="9"/>
      <c r="J168" s="9"/>
      <c r="K168" s="9"/>
      <c r="L168" s="9"/>
      <c r="M168" s="9"/>
      <c r="N168" s="9"/>
      <c r="O168" s="9"/>
      <c r="P168" s="9"/>
      <c r="Q168" s="9"/>
      <c r="R168" s="10" t="str">
        <f aca="false">IF(A168="","",SG_Criteria!$B$6&amp;SG_Criteria!$B$13&amp;"\"&amp;A168&amp;"\")</f>
        <v/>
      </c>
      <c r="S168" s="10" t="str">
        <f aca="false">IF(A168="","",A168&amp;"_CAD.dwg")</f>
        <v/>
      </c>
      <c r="T168" s="10" t="str">
        <f aca="false">IF(A168="","",A168&amp;"_DWG.pdf")</f>
        <v/>
      </c>
      <c r="U168" s="10" t="str">
        <f aca="false">IF(A168="","",IF(Q168="Y",A168&amp;"_STAAD.std","n/a"))</f>
        <v/>
      </c>
      <c r="V168" s="10" t="str">
        <f aca="false">IF(A168="","",A168&amp;"_CALC.xlsx")</f>
        <v/>
      </c>
      <c r="W168" s="10" t="str">
        <f aca="false">IF(A168="","",A168&amp;"_CALC.pdf")</f>
        <v/>
      </c>
      <c r="X168" s="9"/>
      <c r="Y168" s="9"/>
      <c r="Z168" s="41"/>
      <c r="AA168" s="41"/>
      <c r="AB168" s="41"/>
      <c r="AC168" s="41"/>
      <c r="AD168" s="41"/>
      <c r="AE168" s="38" t="str">
        <f aca="false">IF(C168="","","OK")</f>
        <v/>
      </c>
      <c r="AF168" s="9"/>
      <c r="AG168" s="9"/>
      <c r="AH168" s="9"/>
      <c r="AI168" s="9"/>
      <c r="AJ168" s="9"/>
      <c r="AK168" s="31"/>
      <c r="AL168" s="10" t="str">
        <f aca="false">IF(C168="","",IF(AND(N168="Approved",ISERROR(SEARCH("FAIL",AE168))),"Y","N"))</f>
        <v/>
      </c>
    </row>
    <row r="169" customFormat="false" ht="15" hidden="false" customHeight="false" outlineLevel="0" collapsed="false">
      <c r="A169" s="10" t="str">
        <f aca="false">IF(C169="","",IFERROR(VLOOKUP(C169,Lists!$BI$4:$BJ$20,2,0),"??")&amp;"-"&amp;UPPER(SUBSTITUTE(D169," ",""))&amp;IF(E169&lt;&gt;"","-SP"&amp;TEXT(E169*1000,"0"),"")&amp;IF(F169&lt;&gt;"","-H"&amp;TEXT(F169*1000,"0"),"")&amp;"-"&amp;M169)</f>
        <v/>
      </c>
      <c r="B169" s="10" t="str">
        <f aca="false">IF(C169="","",C169&amp;" - "&amp;D169&amp;IF(E169&lt;&gt;"",", span "&amp;E169&amp;" m","")&amp;IF(F169&lt;&gt;"",", H "&amp;F169&amp;" m","")&amp;IF(G169&lt;&gt;"",", W "&amp;G169&amp;" m",""))</f>
        <v/>
      </c>
      <c r="C169" s="9"/>
      <c r="D169" s="9"/>
      <c r="E169" s="43"/>
      <c r="F169" s="43"/>
      <c r="G169" s="43"/>
      <c r="H169" s="9"/>
      <c r="I169" s="9"/>
      <c r="J169" s="9"/>
      <c r="K169" s="9"/>
      <c r="L169" s="9"/>
      <c r="M169" s="9"/>
      <c r="N169" s="9"/>
      <c r="O169" s="9"/>
      <c r="P169" s="9"/>
      <c r="Q169" s="9"/>
      <c r="R169" s="10" t="str">
        <f aca="false">IF(A169="","",SG_Criteria!$B$6&amp;SG_Criteria!$B$13&amp;"\"&amp;A169&amp;"\")</f>
        <v/>
      </c>
      <c r="S169" s="10" t="str">
        <f aca="false">IF(A169="","",A169&amp;"_CAD.dwg")</f>
        <v/>
      </c>
      <c r="T169" s="10" t="str">
        <f aca="false">IF(A169="","",A169&amp;"_DWG.pdf")</f>
        <v/>
      </c>
      <c r="U169" s="10" t="str">
        <f aca="false">IF(A169="","",IF(Q169="Y",A169&amp;"_STAAD.std","n/a"))</f>
        <v/>
      </c>
      <c r="V169" s="10" t="str">
        <f aca="false">IF(A169="","",A169&amp;"_CALC.xlsx")</f>
        <v/>
      </c>
      <c r="W169" s="10" t="str">
        <f aca="false">IF(A169="","",A169&amp;"_CALC.pdf")</f>
        <v/>
      </c>
      <c r="X169" s="9"/>
      <c r="Y169" s="9"/>
      <c r="Z169" s="41"/>
      <c r="AA169" s="41"/>
      <c r="AB169" s="41"/>
      <c r="AC169" s="41"/>
      <c r="AD169" s="41"/>
      <c r="AE169" s="38" t="str">
        <f aca="false">IF(C169="","","OK")</f>
        <v/>
      </c>
      <c r="AF169" s="9"/>
      <c r="AG169" s="9"/>
      <c r="AH169" s="9"/>
      <c r="AI169" s="9"/>
      <c r="AJ169" s="9"/>
      <c r="AK169" s="31"/>
      <c r="AL169" s="10" t="str">
        <f aca="false">IF(C169="","",IF(AND(N169="Approved",ISERROR(SEARCH("FAIL",AE169))),"Y","N"))</f>
        <v/>
      </c>
    </row>
    <row r="170" customFormat="false" ht="15" hidden="false" customHeight="false" outlineLevel="0" collapsed="false">
      <c r="A170" s="10" t="str">
        <f aca="false">IF(C170="","",IFERROR(VLOOKUP(C170,Lists!$BI$4:$BJ$20,2,0),"??")&amp;"-"&amp;UPPER(SUBSTITUTE(D170," ",""))&amp;IF(E170&lt;&gt;"","-SP"&amp;TEXT(E170*1000,"0"),"")&amp;IF(F170&lt;&gt;"","-H"&amp;TEXT(F170*1000,"0"),"")&amp;"-"&amp;M170)</f>
        <v/>
      </c>
      <c r="B170" s="10" t="str">
        <f aca="false">IF(C170="","",C170&amp;" - "&amp;D170&amp;IF(E170&lt;&gt;"",", span "&amp;E170&amp;" m","")&amp;IF(F170&lt;&gt;"",", H "&amp;F170&amp;" m","")&amp;IF(G170&lt;&gt;"",", W "&amp;G170&amp;" m",""))</f>
        <v/>
      </c>
      <c r="C170" s="9"/>
      <c r="D170" s="9"/>
      <c r="E170" s="43"/>
      <c r="F170" s="43"/>
      <c r="G170" s="43"/>
      <c r="H170" s="9"/>
      <c r="I170" s="9"/>
      <c r="J170" s="9"/>
      <c r="K170" s="9"/>
      <c r="L170" s="9"/>
      <c r="M170" s="9"/>
      <c r="N170" s="9"/>
      <c r="O170" s="9"/>
      <c r="P170" s="9"/>
      <c r="Q170" s="9"/>
      <c r="R170" s="10" t="str">
        <f aca="false">IF(A170="","",SG_Criteria!$B$6&amp;SG_Criteria!$B$13&amp;"\"&amp;A170&amp;"\")</f>
        <v/>
      </c>
      <c r="S170" s="10" t="str">
        <f aca="false">IF(A170="","",A170&amp;"_CAD.dwg")</f>
        <v/>
      </c>
      <c r="T170" s="10" t="str">
        <f aca="false">IF(A170="","",A170&amp;"_DWG.pdf")</f>
        <v/>
      </c>
      <c r="U170" s="10" t="str">
        <f aca="false">IF(A170="","",IF(Q170="Y",A170&amp;"_STAAD.std","n/a"))</f>
        <v/>
      </c>
      <c r="V170" s="10" t="str">
        <f aca="false">IF(A170="","",A170&amp;"_CALC.xlsx")</f>
        <v/>
      </c>
      <c r="W170" s="10" t="str">
        <f aca="false">IF(A170="","",A170&amp;"_CALC.pdf")</f>
        <v/>
      </c>
      <c r="X170" s="9"/>
      <c r="Y170" s="9"/>
      <c r="Z170" s="41"/>
      <c r="AA170" s="41"/>
      <c r="AB170" s="41"/>
      <c r="AC170" s="41"/>
      <c r="AD170" s="41"/>
      <c r="AE170" s="38" t="str">
        <f aca="false">IF(C170="","","OK")</f>
        <v/>
      </c>
      <c r="AF170" s="9"/>
      <c r="AG170" s="9"/>
      <c r="AH170" s="9"/>
      <c r="AI170" s="9"/>
      <c r="AJ170" s="9"/>
      <c r="AK170" s="31"/>
      <c r="AL170" s="10" t="str">
        <f aca="false">IF(C170="","",IF(AND(N170="Approved",ISERROR(SEARCH("FAIL",AE170))),"Y","N"))</f>
        <v/>
      </c>
    </row>
    <row r="171" customFormat="false" ht="15" hidden="false" customHeight="false" outlineLevel="0" collapsed="false">
      <c r="A171" s="10" t="str">
        <f aca="false">IF(C171="","",IFERROR(VLOOKUP(C171,Lists!$BI$4:$BJ$20,2,0),"??")&amp;"-"&amp;UPPER(SUBSTITUTE(D171," ",""))&amp;IF(E171&lt;&gt;"","-SP"&amp;TEXT(E171*1000,"0"),"")&amp;IF(F171&lt;&gt;"","-H"&amp;TEXT(F171*1000,"0"),"")&amp;"-"&amp;M171)</f>
        <v/>
      </c>
      <c r="B171" s="10" t="str">
        <f aca="false">IF(C171="","",C171&amp;" - "&amp;D171&amp;IF(E171&lt;&gt;"",", span "&amp;E171&amp;" m","")&amp;IF(F171&lt;&gt;"",", H "&amp;F171&amp;" m","")&amp;IF(G171&lt;&gt;"",", W "&amp;G171&amp;" m",""))</f>
        <v/>
      </c>
      <c r="C171" s="9"/>
      <c r="D171" s="9"/>
      <c r="E171" s="43"/>
      <c r="F171" s="43"/>
      <c r="G171" s="43"/>
      <c r="H171" s="9"/>
      <c r="I171" s="9"/>
      <c r="J171" s="9"/>
      <c r="K171" s="9"/>
      <c r="L171" s="9"/>
      <c r="M171" s="9"/>
      <c r="N171" s="9"/>
      <c r="O171" s="9"/>
      <c r="P171" s="9"/>
      <c r="Q171" s="9"/>
      <c r="R171" s="10" t="str">
        <f aca="false">IF(A171="","",SG_Criteria!$B$6&amp;SG_Criteria!$B$13&amp;"\"&amp;A171&amp;"\")</f>
        <v/>
      </c>
      <c r="S171" s="10" t="str">
        <f aca="false">IF(A171="","",A171&amp;"_CAD.dwg")</f>
        <v/>
      </c>
      <c r="T171" s="10" t="str">
        <f aca="false">IF(A171="","",A171&amp;"_DWG.pdf")</f>
        <v/>
      </c>
      <c r="U171" s="10" t="str">
        <f aca="false">IF(A171="","",IF(Q171="Y",A171&amp;"_STAAD.std","n/a"))</f>
        <v/>
      </c>
      <c r="V171" s="10" t="str">
        <f aca="false">IF(A171="","",A171&amp;"_CALC.xlsx")</f>
        <v/>
      </c>
      <c r="W171" s="10" t="str">
        <f aca="false">IF(A171="","",A171&amp;"_CALC.pdf")</f>
        <v/>
      </c>
      <c r="X171" s="9"/>
      <c r="Y171" s="9"/>
      <c r="Z171" s="41"/>
      <c r="AA171" s="41"/>
      <c r="AB171" s="41"/>
      <c r="AC171" s="41"/>
      <c r="AD171" s="41"/>
      <c r="AE171" s="38" t="str">
        <f aca="false">IF(C171="","","OK")</f>
        <v/>
      </c>
      <c r="AF171" s="9"/>
      <c r="AG171" s="9"/>
      <c r="AH171" s="9"/>
      <c r="AI171" s="9"/>
      <c r="AJ171" s="9"/>
      <c r="AK171" s="31"/>
      <c r="AL171" s="10" t="str">
        <f aca="false">IF(C171="","",IF(AND(N171="Approved",ISERROR(SEARCH("FAIL",AE171))),"Y","N"))</f>
        <v/>
      </c>
    </row>
    <row r="172" customFormat="false" ht="15" hidden="false" customHeight="false" outlineLevel="0" collapsed="false">
      <c r="A172" s="10" t="str">
        <f aca="false">IF(C172="","",IFERROR(VLOOKUP(C172,Lists!$BI$4:$BJ$20,2,0),"??")&amp;"-"&amp;UPPER(SUBSTITUTE(D172," ",""))&amp;IF(E172&lt;&gt;"","-SP"&amp;TEXT(E172*1000,"0"),"")&amp;IF(F172&lt;&gt;"","-H"&amp;TEXT(F172*1000,"0"),"")&amp;"-"&amp;M172)</f>
        <v/>
      </c>
      <c r="B172" s="10" t="str">
        <f aca="false">IF(C172="","",C172&amp;" - "&amp;D172&amp;IF(E172&lt;&gt;"",", span "&amp;E172&amp;" m","")&amp;IF(F172&lt;&gt;"",", H "&amp;F172&amp;" m","")&amp;IF(G172&lt;&gt;"",", W "&amp;G172&amp;" m",""))</f>
        <v/>
      </c>
      <c r="C172" s="9"/>
      <c r="D172" s="9"/>
      <c r="E172" s="43"/>
      <c r="F172" s="43"/>
      <c r="G172" s="43"/>
      <c r="H172" s="9"/>
      <c r="I172" s="9"/>
      <c r="J172" s="9"/>
      <c r="K172" s="9"/>
      <c r="L172" s="9"/>
      <c r="M172" s="9"/>
      <c r="N172" s="9"/>
      <c r="O172" s="9"/>
      <c r="P172" s="9"/>
      <c r="Q172" s="9"/>
      <c r="R172" s="10" t="str">
        <f aca="false">IF(A172="","",SG_Criteria!$B$6&amp;SG_Criteria!$B$13&amp;"\"&amp;A172&amp;"\")</f>
        <v/>
      </c>
      <c r="S172" s="10" t="str">
        <f aca="false">IF(A172="","",A172&amp;"_CAD.dwg")</f>
        <v/>
      </c>
      <c r="T172" s="10" t="str">
        <f aca="false">IF(A172="","",A172&amp;"_DWG.pdf")</f>
        <v/>
      </c>
      <c r="U172" s="10" t="str">
        <f aca="false">IF(A172="","",IF(Q172="Y",A172&amp;"_STAAD.std","n/a"))</f>
        <v/>
      </c>
      <c r="V172" s="10" t="str">
        <f aca="false">IF(A172="","",A172&amp;"_CALC.xlsx")</f>
        <v/>
      </c>
      <c r="W172" s="10" t="str">
        <f aca="false">IF(A172="","",A172&amp;"_CALC.pdf")</f>
        <v/>
      </c>
      <c r="X172" s="9"/>
      <c r="Y172" s="9"/>
      <c r="Z172" s="41"/>
      <c r="AA172" s="41"/>
      <c r="AB172" s="41"/>
      <c r="AC172" s="41"/>
      <c r="AD172" s="41"/>
      <c r="AE172" s="38" t="str">
        <f aca="false">IF(C172="","","OK")</f>
        <v/>
      </c>
      <c r="AF172" s="9"/>
      <c r="AG172" s="9"/>
      <c r="AH172" s="9"/>
      <c r="AI172" s="9"/>
      <c r="AJ172" s="9"/>
      <c r="AK172" s="31"/>
      <c r="AL172" s="10" t="str">
        <f aca="false">IF(C172="","",IF(AND(N172="Approved",ISERROR(SEARCH("FAIL",AE172))),"Y","N"))</f>
        <v/>
      </c>
    </row>
    <row r="173" customFormat="false" ht="15" hidden="false" customHeight="false" outlineLevel="0" collapsed="false">
      <c r="A173" s="10" t="str">
        <f aca="false">IF(C173="","",IFERROR(VLOOKUP(C173,Lists!$BI$4:$BJ$20,2,0),"??")&amp;"-"&amp;UPPER(SUBSTITUTE(D173," ",""))&amp;IF(E173&lt;&gt;"","-SP"&amp;TEXT(E173*1000,"0"),"")&amp;IF(F173&lt;&gt;"","-H"&amp;TEXT(F173*1000,"0"),"")&amp;"-"&amp;M173)</f>
        <v/>
      </c>
      <c r="B173" s="10" t="str">
        <f aca="false">IF(C173="","",C173&amp;" - "&amp;D173&amp;IF(E173&lt;&gt;"",", span "&amp;E173&amp;" m","")&amp;IF(F173&lt;&gt;"",", H "&amp;F173&amp;" m","")&amp;IF(G173&lt;&gt;"",", W "&amp;G173&amp;" m",""))</f>
        <v/>
      </c>
      <c r="C173" s="9"/>
      <c r="D173" s="9"/>
      <c r="E173" s="43"/>
      <c r="F173" s="43"/>
      <c r="G173" s="43"/>
      <c r="H173" s="9"/>
      <c r="I173" s="9"/>
      <c r="J173" s="9"/>
      <c r="K173" s="9"/>
      <c r="L173" s="9"/>
      <c r="M173" s="9"/>
      <c r="N173" s="9"/>
      <c r="O173" s="9"/>
      <c r="P173" s="9"/>
      <c r="Q173" s="9"/>
      <c r="R173" s="10" t="str">
        <f aca="false">IF(A173="","",SG_Criteria!$B$6&amp;SG_Criteria!$B$13&amp;"\"&amp;A173&amp;"\")</f>
        <v/>
      </c>
      <c r="S173" s="10" t="str">
        <f aca="false">IF(A173="","",A173&amp;"_CAD.dwg")</f>
        <v/>
      </c>
      <c r="T173" s="10" t="str">
        <f aca="false">IF(A173="","",A173&amp;"_DWG.pdf")</f>
        <v/>
      </c>
      <c r="U173" s="10" t="str">
        <f aca="false">IF(A173="","",IF(Q173="Y",A173&amp;"_STAAD.std","n/a"))</f>
        <v/>
      </c>
      <c r="V173" s="10" t="str">
        <f aca="false">IF(A173="","",A173&amp;"_CALC.xlsx")</f>
        <v/>
      </c>
      <c r="W173" s="10" t="str">
        <f aca="false">IF(A173="","",A173&amp;"_CALC.pdf")</f>
        <v/>
      </c>
      <c r="X173" s="9"/>
      <c r="Y173" s="9"/>
      <c r="Z173" s="41"/>
      <c r="AA173" s="41"/>
      <c r="AB173" s="41"/>
      <c r="AC173" s="41"/>
      <c r="AD173" s="41"/>
      <c r="AE173" s="38" t="str">
        <f aca="false">IF(C173="","","OK")</f>
        <v/>
      </c>
      <c r="AF173" s="9"/>
      <c r="AG173" s="9"/>
      <c r="AH173" s="9"/>
      <c r="AI173" s="9"/>
      <c r="AJ173" s="9"/>
      <c r="AK173" s="31"/>
      <c r="AL173" s="10" t="str">
        <f aca="false">IF(C173="","",IF(AND(N173="Approved",ISERROR(SEARCH("FAIL",AE173))),"Y","N"))</f>
        <v/>
      </c>
    </row>
    <row r="174" customFormat="false" ht="15" hidden="false" customHeight="false" outlineLevel="0" collapsed="false">
      <c r="A174" s="10" t="str">
        <f aca="false">IF(C174="","",IFERROR(VLOOKUP(C174,Lists!$BI$4:$BJ$20,2,0),"??")&amp;"-"&amp;UPPER(SUBSTITUTE(D174," ",""))&amp;IF(E174&lt;&gt;"","-SP"&amp;TEXT(E174*1000,"0"),"")&amp;IF(F174&lt;&gt;"","-H"&amp;TEXT(F174*1000,"0"),"")&amp;"-"&amp;M174)</f>
        <v/>
      </c>
      <c r="B174" s="10" t="str">
        <f aca="false">IF(C174="","",C174&amp;" - "&amp;D174&amp;IF(E174&lt;&gt;"",", span "&amp;E174&amp;" m","")&amp;IF(F174&lt;&gt;"",", H "&amp;F174&amp;" m","")&amp;IF(G174&lt;&gt;"",", W "&amp;G174&amp;" m",""))</f>
        <v/>
      </c>
      <c r="C174" s="9"/>
      <c r="D174" s="9"/>
      <c r="E174" s="43"/>
      <c r="F174" s="43"/>
      <c r="G174" s="43"/>
      <c r="H174" s="9"/>
      <c r="I174" s="9"/>
      <c r="J174" s="9"/>
      <c r="K174" s="9"/>
      <c r="L174" s="9"/>
      <c r="M174" s="9"/>
      <c r="N174" s="9"/>
      <c r="O174" s="9"/>
      <c r="P174" s="9"/>
      <c r="Q174" s="9"/>
      <c r="R174" s="10" t="str">
        <f aca="false">IF(A174="","",SG_Criteria!$B$6&amp;SG_Criteria!$B$13&amp;"\"&amp;A174&amp;"\")</f>
        <v/>
      </c>
      <c r="S174" s="10" t="str">
        <f aca="false">IF(A174="","",A174&amp;"_CAD.dwg")</f>
        <v/>
      </c>
      <c r="T174" s="10" t="str">
        <f aca="false">IF(A174="","",A174&amp;"_DWG.pdf")</f>
        <v/>
      </c>
      <c r="U174" s="10" t="str">
        <f aca="false">IF(A174="","",IF(Q174="Y",A174&amp;"_STAAD.std","n/a"))</f>
        <v/>
      </c>
      <c r="V174" s="10" t="str">
        <f aca="false">IF(A174="","",A174&amp;"_CALC.xlsx")</f>
        <v/>
      </c>
      <c r="W174" s="10" t="str">
        <f aca="false">IF(A174="","",A174&amp;"_CALC.pdf")</f>
        <v/>
      </c>
      <c r="X174" s="9"/>
      <c r="Y174" s="9"/>
      <c r="Z174" s="41"/>
      <c r="AA174" s="41"/>
      <c r="AB174" s="41"/>
      <c r="AC174" s="41"/>
      <c r="AD174" s="41"/>
      <c r="AE174" s="38" t="str">
        <f aca="false">IF(C174="","","OK")</f>
        <v/>
      </c>
      <c r="AF174" s="9"/>
      <c r="AG174" s="9"/>
      <c r="AH174" s="9"/>
      <c r="AI174" s="9"/>
      <c r="AJ174" s="9"/>
      <c r="AK174" s="31"/>
      <c r="AL174" s="10" t="str">
        <f aca="false">IF(C174="","",IF(AND(N174="Approved",ISERROR(SEARCH("FAIL",AE174))),"Y","N"))</f>
        <v/>
      </c>
    </row>
    <row r="175" customFormat="false" ht="15" hidden="false" customHeight="false" outlineLevel="0" collapsed="false">
      <c r="A175" s="10" t="str">
        <f aca="false">IF(C175="","",IFERROR(VLOOKUP(C175,Lists!$BI$4:$BJ$20,2,0),"??")&amp;"-"&amp;UPPER(SUBSTITUTE(D175," ",""))&amp;IF(E175&lt;&gt;"","-SP"&amp;TEXT(E175*1000,"0"),"")&amp;IF(F175&lt;&gt;"","-H"&amp;TEXT(F175*1000,"0"),"")&amp;"-"&amp;M175)</f>
        <v/>
      </c>
      <c r="B175" s="10" t="str">
        <f aca="false">IF(C175="","",C175&amp;" - "&amp;D175&amp;IF(E175&lt;&gt;"",", span "&amp;E175&amp;" m","")&amp;IF(F175&lt;&gt;"",", H "&amp;F175&amp;" m","")&amp;IF(G175&lt;&gt;"",", W "&amp;G175&amp;" m",""))</f>
        <v/>
      </c>
      <c r="C175" s="9"/>
      <c r="D175" s="9"/>
      <c r="E175" s="43"/>
      <c r="F175" s="43"/>
      <c r="G175" s="43"/>
      <c r="H175" s="9"/>
      <c r="I175" s="9"/>
      <c r="J175" s="9"/>
      <c r="K175" s="9"/>
      <c r="L175" s="9"/>
      <c r="M175" s="9"/>
      <c r="N175" s="9"/>
      <c r="O175" s="9"/>
      <c r="P175" s="9"/>
      <c r="Q175" s="9"/>
      <c r="R175" s="10" t="str">
        <f aca="false">IF(A175="","",SG_Criteria!$B$6&amp;SG_Criteria!$B$13&amp;"\"&amp;A175&amp;"\")</f>
        <v/>
      </c>
      <c r="S175" s="10" t="str">
        <f aca="false">IF(A175="","",A175&amp;"_CAD.dwg")</f>
        <v/>
      </c>
      <c r="T175" s="10" t="str">
        <f aca="false">IF(A175="","",A175&amp;"_DWG.pdf")</f>
        <v/>
      </c>
      <c r="U175" s="10" t="str">
        <f aca="false">IF(A175="","",IF(Q175="Y",A175&amp;"_STAAD.std","n/a"))</f>
        <v/>
      </c>
      <c r="V175" s="10" t="str">
        <f aca="false">IF(A175="","",A175&amp;"_CALC.xlsx")</f>
        <v/>
      </c>
      <c r="W175" s="10" t="str">
        <f aca="false">IF(A175="","",A175&amp;"_CALC.pdf")</f>
        <v/>
      </c>
      <c r="X175" s="9"/>
      <c r="Y175" s="9"/>
      <c r="Z175" s="41"/>
      <c r="AA175" s="41"/>
      <c r="AB175" s="41"/>
      <c r="AC175" s="41"/>
      <c r="AD175" s="41"/>
      <c r="AE175" s="38" t="str">
        <f aca="false">IF(C175="","","OK")</f>
        <v/>
      </c>
      <c r="AF175" s="9"/>
      <c r="AG175" s="9"/>
      <c r="AH175" s="9"/>
      <c r="AI175" s="9"/>
      <c r="AJ175" s="9"/>
      <c r="AK175" s="31"/>
      <c r="AL175" s="10" t="str">
        <f aca="false">IF(C175="","",IF(AND(N175="Approved",ISERROR(SEARCH("FAIL",AE175))),"Y","N"))</f>
        <v/>
      </c>
    </row>
    <row r="176" customFormat="false" ht="15" hidden="false" customHeight="false" outlineLevel="0" collapsed="false">
      <c r="A176" s="10" t="str">
        <f aca="false">IF(C176="","",IFERROR(VLOOKUP(C176,Lists!$BI$4:$BJ$20,2,0),"??")&amp;"-"&amp;UPPER(SUBSTITUTE(D176," ",""))&amp;IF(E176&lt;&gt;"","-SP"&amp;TEXT(E176*1000,"0"),"")&amp;IF(F176&lt;&gt;"","-H"&amp;TEXT(F176*1000,"0"),"")&amp;"-"&amp;M176)</f>
        <v/>
      </c>
      <c r="B176" s="10" t="str">
        <f aca="false">IF(C176="","",C176&amp;" - "&amp;D176&amp;IF(E176&lt;&gt;"",", span "&amp;E176&amp;" m","")&amp;IF(F176&lt;&gt;"",", H "&amp;F176&amp;" m","")&amp;IF(G176&lt;&gt;"",", W "&amp;G176&amp;" m",""))</f>
        <v/>
      </c>
      <c r="C176" s="9"/>
      <c r="D176" s="9"/>
      <c r="E176" s="43"/>
      <c r="F176" s="43"/>
      <c r="G176" s="43"/>
      <c r="H176" s="9"/>
      <c r="I176" s="9"/>
      <c r="J176" s="9"/>
      <c r="K176" s="9"/>
      <c r="L176" s="9"/>
      <c r="M176" s="9"/>
      <c r="N176" s="9"/>
      <c r="O176" s="9"/>
      <c r="P176" s="9"/>
      <c r="Q176" s="9"/>
      <c r="R176" s="10" t="str">
        <f aca="false">IF(A176="","",SG_Criteria!$B$6&amp;SG_Criteria!$B$13&amp;"\"&amp;A176&amp;"\")</f>
        <v/>
      </c>
      <c r="S176" s="10" t="str">
        <f aca="false">IF(A176="","",A176&amp;"_CAD.dwg")</f>
        <v/>
      </c>
      <c r="T176" s="10" t="str">
        <f aca="false">IF(A176="","",A176&amp;"_DWG.pdf")</f>
        <v/>
      </c>
      <c r="U176" s="10" t="str">
        <f aca="false">IF(A176="","",IF(Q176="Y",A176&amp;"_STAAD.std","n/a"))</f>
        <v/>
      </c>
      <c r="V176" s="10" t="str">
        <f aca="false">IF(A176="","",A176&amp;"_CALC.xlsx")</f>
        <v/>
      </c>
      <c r="W176" s="10" t="str">
        <f aca="false">IF(A176="","",A176&amp;"_CALC.pdf")</f>
        <v/>
      </c>
      <c r="X176" s="9"/>
      <c r="Y176" s="9"/>
      <c r="Z176" s="41"/>
      <c r="AA176" s="41"/>
      <c r="AB176" s="41"/>
      <c r="AC176" s="41"/>
      <c r="AD176" s="41"/>
      <c r="AE176" s="38" t="str">
        <f aca="false">IF(C176="","","OK")</f>
        <v/>
      </c>
      <c r="AF176" s="9"/>
      <c r="AG176" s="9"/>
      <c r="AH176" s="9"/>
      <c r="AI176" s="9"/>
      <c r="AJ176" s="9"/>
      <c r="AK176" s="31"/>
      <c r="AL176" s="10" t="str">
        <f aca="false">IF(C176="","",IF(AND(N176="Approved",ISERROR(SEARCH("FAIL",AE176))),"Y","N"))</f>
        <v/>
      </c>
    </row>
    <row r="177" customFormat="false" ht="15" hidden="false" customHeight="false" outlineLevel="0" collapsed="false">
      <c r="A177" s="10" t="str">
        <f aca="false">IF(C177="","",IFERROR(VLOOKUP(C177,Lists!$BI$4:$BJ$20,2,0),"??")&amp;"-"&amp;UPPER(SUBSTITUTE(D177," ",""))&amp;IF(E177&lt;&gt;"","-SP"&amp;TEXT(E177*1000,"0"),"")&amp;IF(F177&lt;&gt;"","-H"&amp;TEXT(F177*1000,"0"),"")&amp;"-"&amp;M177)</f>
        <v/>
      </c>
      <c r="B177" s="10" t="str">
        <f aca="false">IF(C177="","",C177&amp;" - "&amp;D177&amp;IF(E177&lt;&gt;"",", span "&amp;E177&amp;" m","")&amp;IF(F177&lt;&gt;"",", H "&amp;F177&amp;" m","")&amp;IF(G177&lt;&gt;"",", W "&amp;G177&amp;" m",""))</f>
        <v/>
      </c>
      <c r="C177" s="9"/>
      <c r="D177" s="9"/>
      <c r="E177" s="43"/>
      <c r="F177" s="43"/>
      <c r="G177" s="43"/>
      <c r="H177" s="9"/>
      <c r="I177" s="9"/>
      <c r="J177" s="9"/>
      <c r="K177" s="9"/>
      <c r="L177" s="9"/>
      <c r="M177" s="9"/>
      <c r="N177" s="9"/>
      <c r="O177" s="9"/>
      <c r="P177" s="9"/>
      <c r="Q177" s="9"/>
      <c r="R177" s="10" t="str">
        <f aca="false">IF(A177="","",SG_Criteria!$B$6&amp;SG_Criteria!$B$13&amp;"\"&amp;A177&amp;"\")</f>
        <v/>
      </c>
      <c r="S177" s="10" t="str">
        <f aca="false">IF(A177="","",A177&amp;"_CAD.dwg")</f>
        <v/>
      </c>
      <c r="T177" s="10" t="str">
        <f aca="false">IF(A177="","",A177&amp;"_DWG.pdf")</f>
        <v/>
      </c>
      <c r="U177" s="10" t="str">
        <f aca="false">IF(A177="","",IF(Q177="Y",A177&amp;"_STAAD.std","n/a"))</f>
        <v/>
      </c>
      <c r="V177" s="10" t="str">
        <f aca="false">IF(A177="","",A177&amp;"_CALC.xlsx")</f>
        <v/>
      </c>
      <c r="W177" s="10" t="str">
        <f aca="false">IF(A177="","",A177&amp;"_CALC.pdf")</f>
        <v/>
      </c>
      <c r="X177" s="9"/>
      <c r="Y177" s="9"/>
      <c r="Z177" s="41"/>
      <c r="AA177" s="41"/>
      <c r="AB177" s="41"/>
      <c r="AC177" s="41"/>
      <c r="AD177" s="41"/>
      <c r="AE177" s="38" t="str">
        <f aca="false">IF(C177="","","OK")</f>
        <v/>
      </c>
      <c r="AF177" s="9"/>
      <c r="AG177" s="9"/>
      <c r="AH177" s="9"/>
      <c r="AI177" s="9"/>
      <c r="AJ177" s="9"/>
      <c r="AK177" s="31"/>
      <c r="AL177" s="10" t="str">
        <f aca="false">IF(C177="","",IF(AND(N177="Approved",ISERROR(SEARCH("FAIL",AE177))),"Y","N"))</f>
        <v/>
      </c>
    </row>
    <row r="178" customFormat="false" ht="15" hidden="false" customHeight="false" outlineLevel="0" collapsed="false">
      <c r="A178" s="10" t="str">
        <f aca="false">IF(C178="","",IFERROR(VLOOKUP(C178,Lists!$BI$4:$BJ$20,2,0),"??")&amp;"-"&amp;UPPER(SUBSTITUTE(D178," ",""))&amp;IF(E178&lt;&gt;"","-SP"&amp;TEXT(E178*1000,"0"),"")&amp;IF(F178&lt;&gt;"","-H"&amp;TEXT(F178*1000,"0"),"")&amp;"-"&amp;M178)</f>
        <v/>
      </c>
      <c r="B178" s="10" t="str">
        <f aca="false">IF(C178="","",C178&amp;" - "&amp;D178&amp;IF(E178&lt;&gt;"",", span "&amp;E178&amp;" m","")&amp;IF(F178&lt;&gt;"",", H "&amp;F178&amp;" m","")&amp;IF(G178&lt;&gt;"",", W "&amp;G178&amp;" m",""))</f>
        <v/>
      </c>
      <c r="C178" s="9"/>
      <c r="D178" s="9"/>
      <c r="E178" s="43"/>
      <c r="F178" s="43"/>
      <c r="G178" s="43"/>
      <c r="H178" s="9"/>
      <c r="I178" s="9"/>
      <c r="J178" s="9"/>
      <c r="K178" s="9"/>
      <c r="L178" s="9"/>
      <c r="M178" s="9"/>
      <c r="N178" s="9"/>
      <c r="O178" s="9"/>
      <c r="P178" s="9"/>
      <c r="Q178" s="9"/>
      <c r="R178" s="10" t="str">
        <f aca="false">IF(A178="","",SG_Criteria!$B$6&amp;SG_Criteria!$B$13&amp;"\"&amp;A178&amp;"\")</f>
        <v/>
      </c>
      <c r="S178" s="10" t="str">
        <f aca="false">IF(A178="","",A178&amp;"_CAD.dwg")</f>
        <v/>
      </c>
      <c r="T178" s="10" t="str">
        <f aca="false">IF(A178="","",A178&amp;"_DWG.pdf")</f>
        <v/>
      </c>
      <c r="U178" s="10" t="str">
        <f aca="false">IF(A178="","",IF(Q178="Y",A178&amp;"_STAAD.std","n/a"))</f>
        <v/>
      </c>
      <c r="V178" s="10" t="str">
        <f aca="false">IF(A178="","",A178&amp;"_CALC.xlsx")</f>
        <v/>
      </c>
      <c r="W178" s="10" t="str">
        <f aca="false">IF(A178="","",A178&amp;"_CALC.pdf")</f>
        <v/>
      </c>
      <c r="X178" s="9"/>
      <c r="Y178" s="9"/>
      <c r="Z178" s="41"/>
      <c r="AA178" s="41"/>
      <c r="AB178" s="41"/>
      <c r="AC178" s="41"/>
      <c r="AD178" s="41"/>
      <c r="AE178" s="38" t="str">
        <f aca="false">IF(C178="","","OK")</f>
        <v/>
      </c>
      <c r="AF178" s="9"/>
      <c r="AG178" s="9"/>
      <c r="AH178" s="9"/>
      <c r="AI178" s="9"/>
      <c r="AJ178" s="9"/>
      <c r="AK178" s="31"/>
      <c r="AL178" s="10" t="str">
        <f aca="false">IF(C178="","",IF(AND(N178="Approved",ISERROR(SEARCH("FAIL",AE178))),"Y","N"))</f>
        <v/>
      </c>
    </row>
    <row r="179" customFormat="false" ht="15" hidden="false" customHeight="false" outlineLevel="0" collapsed="false">
      <c r="A179" s="10" t="str">
        <f aca="false">IF(C179="","",IFERROR(VLOOKUP(C179,Lists!$BI$4:$BJ$20,2,0),"??")&amp;"-"&amp;UPPER(SUBSTITUTE(D179," ",""))&amp;IF(E179&lt;&gt;"","-SP"&amp;TEXT(E179*1000,"0"),"")&amp;IF(F179&lt;&gt;"","-H"&amp;TEXT(F179*1000,"0"),"")&amp;"-"&amp;M179)</f>
        <v/>
      </c>
      <c r="B179" s="10" t="str">
        <f aca="false">IF(C179="","",C179&amp;" - "&amp;D179&amp;IF(E179&lt;&gt;"",", span "&amp;E179&amp;" m","")&amp;IF(F179&lt;&gt;"",", H "&amp;F179&amp;" m","")&amp;IF(G179&lt;&gt;"",", W "&amp;G179&amp;" m",""))</f>
        <v/>
      </c>
      <c r="C179" s="9"/>
      <c r="D179" s="9"/>
      <c r="E179" s="43"/>
      <c r="F179" s="43"/>
      <c r="G179" s="43"/>
      <c r="H179" s="9"/>
      <c r="I179" s="9"/>
      <c r="J179" s="9"/>
      <c r="K179" s="9"/>
      <c r="L179" s="9"/>
      <c r="M179" s="9"/>
      <c r="N179" s="9"/>
      <c r="O179" s="9"/>
      <c r="P179" s="9"/>
      <c r="Q179" s="9"/>
      <c r="R179" s="10" t="str">
        <f aca="false">IF(A179="","",SG_Criteria!$B$6&amp;SG_Criteria!$B$13&amp;"\"&amp;A179&amp;"\")</f>
        <v/>
      </c>
      <c r="S179" s="10" t="str">
        <f aca="false">IF(A179="","",A179&amp;"_CAD.dwg")</f>
        <v/>
      </c>
      <c r="T179" s="10" t="str">
        <f aca="false">IF(A179="","",A179&amp;"_DWG.pdf")</f>
        <v/>
      </c>
      <c r="U179" s="10" t="str">
        <f aca="false">IF(A179="","",IF(Q179="Y",A179&amp;"_STAAD.std","n/a"))</f>
        <v/>
      </c>
      <c r="V179" s="10" t="str">
        <f aca="false">IF(A179="","",A179&amp;"_CALC.xlsx")</f>
        <v/>
      </c>
      <c r="W179" s="10" t="str">
        <f aca="false">IF(A179="","",A179&amp;"_CALC.pdf")</f>
        <v/>
      </c>
      <c r="X179" s="9"/>
      <c r="Y179" s="9"/>
      <c r="Z179" s="41"/>
      <c r="AA179" s="41"/>
      <c r="AB179" s="41"/>
      <c r="AC179" s="41"/>
      <c r="AD179" s="41"/>
      <c r="AE179" s="38" t="str">
        <f aca="false">IF(C179="","","OK")</f>
        <v/>
      </c>
      <c r="AF179" s="9"/>
      <c r="AG179" s="9"/>
      <c r="AH179" s="9"/>
      <c r="AI179" s="9"/>
      <c r="AJ179" s="9"/>
      <c r="AK179" s="31"/>
      <c r="AL179" s="10" t="str">
        <f aca="false">IF(C179="","",IF(AND(N179="Approved",ISERROR(SEARCH("FAIL",AE179))),"Y","N"))</f>
        <v/>
      </c>
    </row>
    <row r="180" customFormat="false" ht="15" hidden="false" customHeight="false" outlineLevel="0" collapsed="false">
      <c r="A180" s="10" t="str">
        <f aca="false">IF(C180="","",IFERROR(VLOOKUP(C180,Lists!$BI$4:$BJ$20,2,0),"??")&amp;"-"&amp;UPPER(SUBSTITUTE(D180," ",""))&amp;IF(E180&lt;&gt;"","-SP"&amp;TEXT(E180*1000,"0"),"")&amp;IF(F180&lt;&gt;"","-H"&amp;TEXT(F180*1000,"0"),"")&amp;"-"&amp;M180)</f>
        <v/>
      </c>
      <c r="B180" s="10" t="str">
        <f aca="false">IF(C180="","",C180&amp;" - "&amp;D180&amp;IF(E180&lt;&gt;"",", span "&amp;E180&amp;" m","")&amp;IF(F180&lt;&gt;"",", H "&amp;F180&amp;" m","")&amp;IF(G180&lt;&gt;"",", W "&amp;G180&amp;" m",""))</f>
        <v/>
      </c>
      <c r="C180" s="9"/>
      <c r="D180" s="9"/>
      <c r="E180" s="43"/>
      <c r="F180" s="43"/>
      <c r="G180" s="43"/>
      <c r="H180" s="9"/>
      <c r="I180" s="9"/>
      <c r="J180" s="9"/>
      <c r="K180" s="9"/>
      <c r="L180" s="9"/>
      <c r="M180" s="9"/>
      <c r="N180" s="9"/>
      <c r="O180" s="9"/>
      <c r="P180" s="9"/>
      <c r="Q180" s="9"/>
      <c r="R180" s="10" t="str">
        <f aca="false">IF(A180="","",SG_Criteria!$B$6&amp;SG_Criteria!$B$13&amp;"\"&amp;A180&amp;"\")</f>
        <v/>
      </c>
      <c r="S180" s="10" t="str">
        <f aca="false">IF(A180="","",A180&amp;"_CAD.dwg")</f>
        <v/>
      </c>
      <c r="T180" s="10" t="str">
        <f aca="false">IF(A180="","",A180&amp;"_DWG.pdf")</f>
        <v/>
      </c>
      <c r="U180" s="10" t="str">
        <f aca="false">IF(A180="","",IF(Q180="Y",A180&amp;"_STAAD.std","n/a"))</f>
        <v/>
      </c>
      <c r="V180" s="10" t="str">
        <f aca="false">IF(A180="","",A180&amp;"_CALC.xlsx")</f>
        <v/>
      </c>
      <c r="W180" s="10" t="str">
        <f aca="false">IF(A180="","",A180&amp;"_CALC.pdf")</f>
        <v/>
      </c>
      <c r="X180" s="9"/>
      <c r="Y180" s="9"/>
      <c r="Z180" s="41"/>
      <c r="AA180" s="41"/>
      <c r="AB180" s="41"/>
      <c r="AC180" s="41"/>
      <c r="AD180" s="41"/>
      <c r="AE180" s="38" t="str">
        <f aca="false">IF(C180="","","OK")</f>
        <v/>
      </c>
      <c r="AF180" s="9"/>
      <c r="AG180" s="9"/>
      <c r="AH180" s="9"/>
      <c r="AI180" s="9"/>
      <c r="AJ180" s="9"/>
      <c r="AK180" s="31"/>
      <c r="AL180" s="10" t="str">
        <f aca="false">IF(C180="","",IF(AND(N180="Approved",ISERROR(SEARCH("FAIL",AE180))),"Y","N"))</f>
        <v/>
      </c>
    </row>
    <row r="181" customFormat="false" ht="15" hidden="false" customHeight="false" outlineLevel="0" collapsed="false">
      <c r="A181" s="10" t="str">
        <f aca="false">IF(C181="","",IFERROR(VLOOKUP(C181,Lists!$BI$4:$BJ$20,2,0),"??")&amp;"-"&amp;UPPER(SUBSTITUTE(D181," ",""))&amp;IF(E181&lt;&gt;"","-SP"&amp;TEXT(E181*1000,"0"),"")&amp;IF(F181&lt;&gt;"","-H"&amp;TEXT(F181*1000,"0"),"")&amp;"-"&amp;M181)</f>
        <v/>
      </c>
      <c r="B181" s="10" t="str">
        <f aca="false">IF(C181="","",C181&amp;" - "&amp;D181&amp;IF(E181&lt;&gt;"",", span "&amp;E181&amp;" m","")&amp;IF(F181&lt;&gt;"",", H "&amp;F181&amp;" m","")&amp;IF(G181&lt;&gt;"",", W "&amp;G181&amp;" m",""))</f>
        <v/>
      </c>
      <c r="C181" s="9"/>
      <c r="D181" s="9"/>
      <c r="E181" s="43"/>
      <c r="F181" s="43"/>
      <c r="G181" s="43"/>
      <c r="H181" s="9"/>
      <c r="I181" s="9"/>
      <c r="J181" s="9"/>
      <c r="K181" s="9"/>
      <c r="L181" s="9"/>
      <c r="M181" s="9"/>
      <c r="N181" s="9"/>
      <c r="O181" s="9"/>
      <c r="P181" s="9"/>
      <c r="Q181" s="9"/>
      <c r="R181" s="10" t="str">
        <f aca="false">IF(A181="","",SG_Criteria!$B$6&amp;SG_Criteria!$B$13&amp;"\"&amp;A181&amp;"\")</f>
        <v/>
      </c>
      <c r="S181" s="10" t="str">
        <f aca="false">IF(A181="","",A181&amp;"_CAD.dwg")</f>
        <v/>
      </c>
      <c r="T181" s="10" t="str">
        <f aca="false">IF(A181="","",A181&amp;"_DWG.pdf")</f>
        <v/>
      </c>
      <c r="U181" s="10" t="str">
        <f aca="false">IF(A181="","",IF(Q181="Y",A181&amp;"_STAAD.std","n/a"))</f>
        <v/>
      </c>
      <c r="V181" s="10" t="str">
        <f aca="false">IF(A181="","",A181&amp;"_CALC.xlsx")</f>
        <v/>
      </c>
      <c r="W181" s="10" t="str">
        <f aca="false">IF(A181="","",A181&amp;"_CALC.pdf")</f>
        <v/>
      </c>
      <c r="X181" s="9"/>
      <c r="Y181" s="9"/>
      <c r="Z181" s="41"/>
      <c r="AA181" s="41"/>
      <c r="AB181" s="41"/>
      <c r="AC181" s="41"/>
      <c r="AD181" s="41"/>
      <c r="AE181" s="38" t="str">
        <f aca="false">IF(C181="","","OK")</f>
        <v/>
      </c>
      <c r="AF181" s="9"/>
      <c r="AG181" s="9"/>
      <c r="AH181" s="9"/>
      <c r="AI181" s="9"/>
      <c r="AJ181" s="9"/>
      <c r="AK181" s="31"/>
      <c r="AL181" s="10" t="str">
        <f aca="false">IF(C181="","",IF(AND(N181="Approved",ISERROR(SEARCH("FAIL",AE181))),"Y","N"))</f>
        <v/>
      </c>
    </row>
    <row r="182" customFormat="false" ht="15" hidden="false" customHeight="false" outlineLevel="0" collapsed="false">
      <c r="A182" s="10" t="str">
        <f aca="false">IF(C182="","",IFERROR(VLOOKUP(C182,Lists!$BI$4:$BJ$20,2,0),"??")&amp;"-"&amp;UPPER(SUBSTITUTE(D182," ",""))&amp;IF(E182&lt;&gt;"","-SP"&amp;TEXT(E182*1000,"0"),"")&amp;IF(F182&lt;&gt;"","-H"&amp;TEXT(F182*1000,"0"),"")&amp;"-"&amp;M182)</f>
        <v/>
      </c>
      <c r="B182" s="10" t="str">
        <f aca="false">IF(C182="","",C182&amp;" - "&amp;D182&amp;IF(E182&lt;&gt;"",", span "&amp;E182&amp;" m","")&amp;IF(F182&lt;&gt;"",", H "&amp;F182&amp;" m","")&amp;IF(G182&lt;&gt;"",", W "&amp;G182&amp;" m",""))</f>
        <v/>
      </c>
      <c r="C182" s="9"/>
      <c r="D182" s="9"/>
      <c r="E182" s="43"/>
      <c r="F182" s="43"/>
      <c r="G182" s="43"/>
      <c r="H182" s="9"/>
      <c r="I182" s="9"/>
      <c r="J182" s="9"/>
      <c r="K182" s="9"/>
      <c r="L182" s="9"/>
      <c r="M182" s="9"/>
      <c r="N182" s="9"/>
      <c r="O182" s="9"/>
      <c r="P182" s="9"/>
      <c r="Q182" s="9"/>
      <c r="R182" s="10" t="str">
        <f aca="false">IF(A182="","",SG_Criteria!$B$6&amp;SG_Criteria!$B$13&amp;"\"&amp;A182&amp;"\")</f>
        <v/>
      </c>
      <c r="S182" s="10" t="str">
        <f aca="false">IF(A182="","",A182&amp;"_CAD.dwg")</f>
        <v/>
      </c>
      <c r="T182" s="10" t="str">
        <f aca="false">IF(A182="","",A182&amp;"_DWG.pdf")</f>
        <v/>
      </c>
      <c r="U182" s="10" t="str">
        <f aca="false">IF(A182="","",IF(Q182="Y",A182&amp;"_STAAD.std","n/a"))</f>
        <v/>
      </c>
      <c r="V182" s="10" t="str">
        <f aca="false">IF(A182="","",A182&amp;"_CALC.xlsx")</f>
        <v/>
      </c>
      <c r="W182" s="10" t="str">
        <f aca="false">IF(A182="","",A182&amp;"_CALC.pdf")</f>
        <v/>
      </c>
      <c r="X182" s="9"/>
      <c r="Y182" s="9"/>
      <c r="Z182" s="41"/>
      <c r="AA182" s="41"/>
      <c r="AB182" s="41"/>
      <c r="AC182" s="41"/>
      <c r="AD182" s="41"/>
      <c r="AE182" s="38" t="str">
        <f aca="false">IF(C182="","","OK")</f>
        <v/>
      </c>
      <c r="AF182" s="9"/>
      <c r="AG182" s="9"/>
      <c r="AH182" s="9"/>
      <c r="AI182" s="9"/>
      <c r="AJ182" s="9"/>
      <c r="AK182" s="31"/>
      <c r="AL182" s="10" t="str">
        <f aca="false">IF(C182="","",IF(AND(N182="Approved",ISERROR(SEARCH("FAIL",AE182))),"Y","N"))</f>
        <v/>
      </c>
    </row>
    <row r="183" customFormat="false" ht="15" hidden="false" customHeight="false" outlineLevel="0" collapsed="false">
      <c r="A183" s="10" t="str">
        <f aca="false">IF(C183="","",IFERROR(VLOOKUP(C183,Lists!$BI$4:$BJ$20,2,0),"??")&amp;"-"&amp;UPPER(SUBSTITUTE(D183," ",""))&amp;IF(E183&lt;&gt;"","-SP"&amp;TEXT(E183*1000,"0"),"")&amp;IF(F183&lt;&gt;"","-H"&amp;TEXT(F183*1000,"0"),"")&amp;"-"&amp;M183)</f>
        <v/>
      </c>
      <c r="B183" s="10" t="str">
        <f aca="false">IF(C183="","",C183&amp;" - "&amp;D183&amp;IF(E183&lt;&gt;"",", span "&amp;E183&amp;" m","")&amp;IF(F183&lt;&gt;"",", H "&amp;F183&amp;" m","")&amp;IF(G183&lt;&gt;"",", W "&amp;G183&amp;" m",""))</f>
        <v/>
      </c>
      <c r="C183" s="9"/>
      <c r="D183" s="9"/>
      <c r="E183" s="43"/>
      <c r="F183" s="43"/>
      <c r="G183" s="43"/>
      <c r="H183" s="9"/>
      <c r="I183" s="9"/>
      <c r="J183" s="9"/>
      <c r="K183" s="9"/>
      <c r="L183" s="9"/>
      <c r="M183" s="9"/>
      <c r="N183" s="9"/>
      <c r="O183" s="9"/>
      <c r="P183" s="9"/>
      <c r="Q183" s="9"/>
      <c r="R183" s="10" t="str">
        <f aca="false">IF(A183="","",SG_Criteria!$B$6&amp;SG_Criteria!$B$13&amp;"\"&amp;A183&amp;"\")</f>
        <v/>
      </c>
      <c r="S183" s="10" t="str">
        <f aca="false">IF(A183="","",A183&amp;"_CAD.dwg")</f>
        <v/>
      </c>
      <c r="T183" s="10" t="str">
        <f aca="false">IF(A183="","",A183&amp;"_DWG.pdf")</f>
        <v/>
      </c>
      <c r="U183" s="10" t="str">
        <f aca="false">IF(A183="","",IF(Q183="Y",A183&amp;"_STAAD.std","n/a"))</f>
        <v/>
      </c>
      <c r="V183" s="10" t="str">
        <f aca="false">IF(A183="","",A183&amp;"_CALC.xlsx")</f>
        <v/>
      </c>
      <c r="W183" s="10" t="str">
        <f aca="false">IF(A183="","",A183&amp;"_CALC.pdf")</f>
        <v/>
      </c>
      <c r="X183" s="9"/>
      <c r="Y183" s="9"/>
      <c r="Z183" s="41"/>
      <c r="AA183" s="41"/>
      <c r="AB183" s="41"/>
      <c r="AC183" s="41"/>
      <c r="AD183" s="41"/>
      <c r="AE183" s="38" t="str">
        <f aca="false">IF(C183="","","OK")</f>
        <v/>
      </c>
      <c r="AF183" s="9"/>
      <c r="AG183" s="9"/>
      <c r="AH183" s="9"/>
      <c r="AI183" s="9"/>
      <c r="AJ183" s="9"/>
      <c r="AK183" s="31"/>
      <c r="AL183" s="10" t="str">
        <f aca="false">IF(C183="","",IF(AND(N183="Approved",ISERROR(SEARCH("FAIL",AE183))),"Y","N"))</f>
        <v/>
      </c>
    </row>
    <row r="184" customFormat="false" ht="15" hidden="false" customHeight="false" outlineLevel="0" collapsed="false">
      <c r="A184" s="10" t="str">
        <f aca="false">IF(C184="","",IFERROR(VLOOKUP(C184,Lists!$BI$4:$BJ$20,2,0),"??")&amp;"-"&amp;UPPER(SUBSTITUTE(D184," ",""))&amp;IF(E184&lt;&gt;"","-SP"&amp;TEXT(E184*1000,"0"),"")&amp;IF(F184&lt;&gt;"","-H"&amp;TEXT(F184*1000,"0"),"")&amp;"-"&amp;M184)</f>
        <v/>
      </c>
      <c r="B184" s="10" t="str">
        <f aca="false">IF(C184="","",C184&amp;" - "&amp;D184&amp;IF(E184&lt;&gt;"",", span "&amp;E184&amp;" m","")&amp;IF(F184&lt;&gt;"",", H "&amp;F184&amp;" m","")&amp;IF(G184&lt;&gt;"",", W "&amp;G184&amp;" m",""))</f>
        <v/>
      </c>
      <c r="C184" s="9"/>
      <c r="D184" s="9"/>
      <c r="E184" s="43"/>
      <c r="F184" s="43"/>
      <c r="G184" s="43"/>
      <c r="H184" s="9"/>
      <c r="I184" s="9"/>
      <c r="J184" s="9"/>
      <c r="K184" s="9"/>
      <c r="L184" s="9"/>
      <c r="M184" s="9"/>
      <c r="N184" s="9"/>
      <c r="O184" s="9"/>
      <c r="P184" s="9"/>
      <c r="Q184" s="9"/>
      <c r="R184" s="10" t="str">
        <f aca="false">IF(A184="","",SG_Criteria!$B$6&amp;SG_Criteria!$B$13&amp;"\"&amp;A184&amp;"\")</f>
        <v/>
      </c>
      <c r="S184" s="10" t="str">
        <f aca="false">IF(A184="","",A184&amp;"_CAD.dwg")</f>
        <v/>
      </c>
      <c r="T184" s="10" t="str">
        <f aca="false">IF(A184="","",A184&amp;"_DWG.pdf")</f>
        <v/>
      </c>
      <c r="U184" s="10" t="str">
        <f aca="false">IF(A184="","",IF(Q184="Y",A184&amp;"_STAAD.std","n/a"))</f>
        <v/>
      </c>
      <c r="V184" s="10" t="str">
        <f aca="false">IF(A184="","",A184&amp;"_CALC.xlsx")</f>
        <v/>
      </c>
      <c r="W184" s="10" t="str">
        <f aca="false">IF(A184="","",A184&amp;"_CALC.pdf")</f>
        <v/>
      </c>
      <c r="X184" s="9"/>
      <c r="Y184" s="9"/>
      <c r="Z184" s="41"/>
      <c r="AA184" s="41"/>
      <c r="AB184" s="41"/>
      <c r="AC184" s="41"/>
      <c r="AD184" s="41"/>
      <c r="AE184" s="38" t="str">
        <f aca="false">IF(C184="","","OK")</f>
        <v/>
      </c>
      <c r="AF184" s="9"/>
      <c r="AG184" s="9"/>
      <c r="AH184" s="9"/>
      <c r="AI184" s="9"/>
      <c r="AJ184" s="9"/>
      <c r="AK184" s="31"/>
      <c r="AL184" s="10" t="str">
        <f aca="false">IF(C184="","",IF(AND(N184="Approved",ISERROR(SEARCH("FAIL",AE184))),"Y","N"))</f>
        <v/>
      </c>
    </row>
    <row r="185" customFormat="false" ht="15" hidden="false" customHeight="false" outlineLevel="0" collapsed="false">
      <c r="A185" s="10" t="str">
        <f aca="false">IF(C185="","",IFERROR(VLOOKUP(C185,Lists!$BI$4:$BJ$20,2,0),"??")&amp;"-"&amp;UPPER(SUBSTITUTE(D185," ",""))&amp;IF(E185&lt;&gt;"","-SP"&amp;TEXT(E185*1000,"0"),"")&amp;IF(F185&lt;&gt;"","-H"&amp;TEXT(F185*1000,"0"),"")&amp;"-"&amp;M185)</f>
        <v/>
      </c>
      <c r="B185" s="10" t="str">
        <f aca="false">IF(C185="","",C185&amp;" - "&amp;D185&amp;IF(E185&lt;&gt;"",", span "&amp;E185&amp;" m","")&amp;IF(F185&lt;&gt;"",", H "&amp;F185&amp;" m","")&amp;IF(G185&lt;&gt;"",", W "&amp;G185&amp;" m",""))</f>
        <v/>
      </c>
      <c r="C185" s="9"/>
      <c r="D185" s="9"/>
      <c r="E185" s="43"/>
      <c r="F185" s="43"/>
      <c r="G185" s="43"/>
      <c r="H185" s="9"/>
      <c r="I185" s="9"/>
      <c r="J185" s="9"/>
      <c r="K185" s="9"/>
      <c r="L185" s="9"/>
      <c r="M185" s="9"/>
      <c r="N185" s="9"/>
      <c r="O185" s="9"/>
      <c r="P185" s="9"/>
      <c r="Q185" s="9"/>
      <c r="R185" s="10" t="str">
        <f aca="false">IF(A185="","",SG_Criteria!$B$6&amp;SG_Criteria!$B$13&amp;"\"&amp;A185&amp;"\")</f>
        <v/>
      </c>
      <c r="S185" s="10" t="str">
        <f aca="false">IF(A185="","",A185&amp;"_CAD.dwg")</f>
        <v/>
      </c>
      <c r="T185" s="10" t="str">
        <f aca="false">IF(A185="","",A185&amp;"_DWG.pdf")</f>
        <v/>
      </c>
      <c r="U185" s="10" t="str">
        <f aca="false">IF(A185="","",IF(Q185="Y",A185&amp;"_STAAD.std","n/a"))</f>
        <v/>
      </c>
      <c r="V185" s="10" t="str">
        <f aca="false">IF(A185="","",A185&amp;"_CALC.xlsx")</f>
        <v/>
      </c>
      <c r="W185" s="10" t="str">
        <f aca="false">IF(A185="","",A185&amp;"_CALC.pdf")</f>
        <v/>
      </c>
      <c r="X185" s="9"/>
      <c r="Y185" s="9"/>
      <c r="Z185" s="41"/>
      <c r="AA185" s="41"/>
      <c r="AB185" s="41"/>
      <c r="AC185" s="41"/>
      <c r="AD185" s="41"/>
      <c r="AE185" s="38" t="str">
        <f aca="false">IF(C185="","","OK")</f>
        <v/>
      </c>
      <c r="AF185" s="9"/>
      <c r="AG185" s="9"/>
      <c r="AH185" s="9"/>
      <c r="AI185" s="9"/>
      <c r="AJ185" s="9"/>
      <c r="AK185" s="31"/>
      <c r="AL185" s="10" t="str">
        <f aca="false">IF(C185="","",IF(AND(N185="Approved",ISERROR(SEARCH("FAIL",AE185))),"Y","N"))</f>
        <v/>
      </c>
    </row>
    <row r="186" customFormat="false" ht="15" hidden="false" customHeight="false" outlineLevel="0" collapsed="false">
      <c r="A186" s="10" t="str">
        <f aca="false">IF(C186="","",IFERROR(VLOOKUP(C186,Lists!$BI$4:$BJ$20,2,0),"??")&amp;"-"&amp;UPPER(SUBSTITUTE(D186," ",""))&amp;IF(E186&lt;&gt;"","-SP"&amp;TEXT(E186*1000,"0"),"")&amp;IF(F186&lt;&gt;"","-H"&amp;TEXT(F186*1000,"0"),"")&amp;"-"&amp;M186)</f>
        <v/>
      </c>
      <c r="B186" s="10" t="str">
        <f aca="false">IF(C186="","",C186&amp;" - "&amp;D186&amp;IF(E186&lt;&gt;"",", span "&amp;E186&amp;" m","")&amp;IF(F186&lt;&gt;"",", H "&amp;F186&amp;" m","")&amp;IF(G186&lt;&gt;"",", W "&amp;G186&amp;" m",""))</f>
        <v/>
      </c>
      <c r="C186" s="9"/>
      <c r="D186" s="9"/>
      <c r="E186" s="43"/>
      <c r="F186" s="43"/>
      <c r="G186" s="43"/>
      <c r="H186" s="9"/>
      <c r="I186" s="9"/>
      <c r="J186" s="9"/>
      <c r="K186" s="9"/>
      <c r="L186" s="9"/>
      <c r="M186" s="9"/>
      <c r="N186" s="9"/>
      <c r="O186" s="9"/>
      <c r="P186" s="9"/>
      <c r="Q186" s="9"/>
      <c r="R186" s="10" t="str">
        <f aca="false">IF(A186="","",SG_Criteria!$B$6&amp;SG_Criteria!$B$13&amp;"\"&amp;A186&amp;"\")</f>
        <v/>
      </c>
      <c r="S186" s="10" t="str">
        <f aca="false">IF(A186="","",A186&amp;"_CAD.dwg")</f>
        <v/>
      </c>
      <c r="T186" s="10" t="str">
        <f aca="false">IF(A186="","",A186&amp;"_DWG.pdf")</f>
        <v/>
      </c>
      <c r="U186" s="10" t="str">
        <f aca="false">IF(A186="","",IF(Q186="Y",A186&amp;"_STAAD.std","n/a"))</f>
        <v/>
      </c>
      <c r="V186" s="10" t="str">
        <f aca="false">IF(A186="","",A186&amp;"_CALC.xlsx")</f>
        <v/>
      </c>
      <c r="W186" s="10" t="str">
        <f aca="false">IF(A186="","",A186&amp;"_CALC.pdf")</f>
        <v/>
      </c>
      <c r="X186" s="9"/>
      <c r="Y186" s="9"/>
      <c r="Z186" s="41"/>
      <c r="AA186" s="41"/>
      <c r="AB186" s="41"/>
      <c r="AC186" s="41"/>
      <c r="AD186" s="41"/>
      <c r="AE186" s="38" t="str">
        <f aca="false">IF(C186="","","OK")</f>
        <v/>
      </c>
      <c r="AF186" s="9"/>
      <c r="AG186" s="9"/>
      <c r="AH186" s="9"/>
      <c r="AI186" s="9"/>
      <c r="AJ186" s="9"/>
      <c r="AK186" s="31"/>
      <c r="AL186" s="10" t="str">
        <f aca="false">IF(C186="","",IF(AND(N186="Approved",ISERROR(SEARCH("FAIL",AE186))),"Y","N"))</f>
        <v/>
      </c>
    </row>
    <row r="187" customFormat="false" ht="15" hidden="false" customHeight="false" outlineLevel="0" collapsed="false">
      <c r="A187" s="10" t="str">
        <f aca="false">IF(C187="","",IFERROR(VLOOKUP(C187,Lists!$BI$4:$BJ$20,2,0),"??")&amp;"-"&amp;UPPER(SUBSTITUTE(D187," ",""))&amp;IF(E187&lt;&gt;"","-SP"&amp;TEXT(E187*1000,"0"),"")&amp;IF(F187&lt;&gt;"","-H"&amp;TEXT(F187*1000,"0"),"")&amp;"-"&amp;M187)</f>
        <v/>
      </c>
      <c r="B187" s="10" t="str">
        <f aca="false">IF(C187="","",C187&amp;" - "&amp;D187&amp;IF(E187&lt;&gt;"",", span "&amp;E187&amp;" m","")&amp;IF(F187&lt;&gt;"",", H "&amp;F187&amp;" m","")&amp;IF(G187&lt;&gt;"",", W "&amp;G187&amp;" m",""))</f>
        <v/>
      </c>
      <c r="C187" s="9"/>
      <c r="D187" s="9"/>
      <c r="E187" s="43"/>
      <c r="F187" s="43"/>
      <c r="G187" s="43"/>
      <c r="H187" s="9"/>
      <c r="I187" s="9"/>
      <c r="J187" s="9"/>
      <c r="K187" s="9"/>
      <c r="L187" s="9"/>
      <c r="M187" s="9"/>
      <c r="N187" s="9"/>
      <c r="O187" s="9"/>
      <c r="P187" s="9"/>
      <c r="Q187" s="9"/>
      <c r="R187" s="10" t="str">
        <f aca="false">IF(A187="","",SG_Criteria!$B$6&amp;SG_Criteria!$B$13&amp;"\"&amp;A187&amp;"\")</f>
        <v/>
      </c>
      <c r="S187" s="10" t="str">
        <f aca="false">IF(A187="","",A187&amp;"_CAD.dwg")</f>
        <v/>
      </c>
      <c r="T187" s="10" t="str">
        <f aca="false">IF(A187="","",A187&amp;"_DWG.pdf")</f>
        <v/>
      </c>
      <c r="U187" s="10" t="str">
        <f aca="false">IF(A187="","",IF(Q187="Y",A187&amp;"_STAAD.std","n/a"))</f>
        <v/>
      </c>
      <c r="V187" s="10" t="str">
        <f aca="false">IF(A187="","",A187&amp;"_CALC.xlsx")</f>
        <v/>
      </c>
      <c r="W187" s="10" t="str">
        <f aca="false">IF(A187="","",A187&amp;"_CALC.pdf")</f>
        <v/>
      </c>
      <c r="X187" s="9"/>
      <c r="Y187" s="9"/>
      <c r="Z187" s="41"/>
      <c r="AA187" s="41"/>
      <c r="AB187" s="41"/>
      <c r="AC187" s="41"/>
      <c r="AD187" s="41"/>
      <c r="AE187" s="38" t="str">
        <f aca="false">IF(C187="","","OK")</f>
        <v/>
      </c>
      <c r="AF187" s="9"/>
      <c r="AG187" s="9"/>
      <c r="AH187" s="9"/>
      <c r="AI187" s="9"/>
      <c r="AJ187" s="9"/>
      <c r="AK187" s="31"/>
      <c r="AL187" s="10" t="str">
        <f aca="false">IF(C187="","",IF(AND(N187="Approved",ISERROR(SEARCH("FAIL",AE187))),"Y","N"))</f>
        <v/>
      </c>
    </row>
    <row r="188" customFormat="false" ht="15" hidden="false" customHeight="false" outlineLevel="0" collapsed="false">
      <c r="A188" s="10" t="str">
        <f aca="false">IF(C188="","",IFERROR(VLOOKUP(C188,Lists!$BI$4:$BJ$20,2,0),"??")&amp;"-"&amp;UPPER(SUBSTITUTE(D188," ",""))&amp;IF(E188&lt;&gt;"","-SP"&amp;TEXT(E188*1000,"0"),"")&amp;IF(F188&lt;&gt;"","-H"&amp;TEXT(F188*1000,"0"),"")&amp;"-"&amp;M188)</f>
        <v/>
      </c>
      <c r="B188" s="10" t="str">
        <f aca="false">IF(C188="","",C188&amp;" - "&amp;D188&amp;IF(E188&lt;&gt;"",", span "&amp;E188&amp;" m","")&amp;IF(F188&lt;&gt;"",", H "&amp;F188&amp;" m","")&amp;IF(G188&lt;&gt;"",", W "&amp;G188&amp;" m",""))</f>
        <v/>
      </c>
      <c r="C188" s="9"/>
      <c r="D188" s="9"/>
      <c r="E188" s="43"/>
      <c r="F188" s="43"/>
      <c r="G188" s="43"/>
      <c r="H188" s="9"/>
      <c r="I188" s="9"/>
      <c r="J188" s="9"/>
      <c r="K188" s="9"/>
      <c r="L188" s="9"/>
      <c r="M188" s="9"/>
      <c r="N188" s="9"/>
      <c r="O188" s="9"/>
      <c r="P188" s="9"/>
      <c r="Q188" s="9"/>
      <c r="R188" s="10" t="str">
        <f aca="false">IF(A188="","",SG_Criteria!$B$6&amp;SG_Criteria!$B$13&amp;"\"&amp;A188&amp;"\")</f>
        <v/>
      </c>
      <c r="S188" s="10" t="str">
        <f aca="false">IF(A188="","",A188&amp;"_CAD.dwg")</f>
        <v/>
      </c>
      <c r="T188" s="10" t="str">
        <f aca="false">IF(A188="","",A188&amp;"_DWG.pdf")</f>
        <v/>
      </c>
      <c r="U188" s="10" t="str">
        <f aca="false">IF(A188="","",IF(Q188="Y",A188&amp;"_STAAD.std","n/a"))</f>
        <v/>
      </c>
      <c r="V188" s="10" t="str">
        <f aca="false">IF(A188="","",A188&amp;"_CALC.xlsx")</f>
        <v/>
      </c>
      <c r="W188" s="10" t="str">
        <f aca="false">IF(A188="","",A188&amp;"_CALC.pdf")</f>
        <v/>
      </c>
      <c r="X188" s="9"/>
      <c r="Y188" s="9"/>
      <c r="Z188" s="41"/>
      <c r="AA188" s="41"/>
      <c r="AB188" s="41"/>
      <c r="AC188" s="41"/>
      <c r="AD188" s="41"/>
      <c r="AE188" s="38" t="str">
        <f aca="false">IF(C188="","","OK")</f>
        <v/>
      </c>
      <c r="AF188" s="9"/>
      <c r="AG188" s="9"/>
      <c r="AH188" s="9"/>
      <c r="AI188" s="9"/>
      <c r="AJ188" s="9"/>
      <c r="AK188" s="31"/>
      <c r="AL188" s="10" t="str">
        <f aca="false">IF(C188="","",IF(AND(N188="Approved",ISERROR(SEARCH("FAIL",AE188))),"Y","N"))</f>
        <v/>
      </c>
    </row>
    <row r="189" customFormat="false" ht="15" hidden="false" customHeight="false" outlineLevel="0" collapsed="false">
      <c r="A189" s="10" t="str">
        <f aca="false">IF(C189="","",IFERROR(VLOOKUP(C189,Lists!$BI$4:$BJ$20,2,0),"??")&amp;"-"&amp;UPPER(SUBSTITUTE(D189," ",""))&amp;IF(E189&lt;&gt;"","-SP"&amp;TEXT(E189*1000,"0"),"")&amp;IF(F189&lt;&gt;"","-H"&amp;TEXT(F189*1000,"0"),"")&amp;"-"&amp;M189)</f>
        <v/>
      </c>
      <c r="B189" s="10" t="str">
        <f aca="false">IF(C189="","",C189&amp;" - "&amp;D189&amp;IF(E189&lt;&gt;"",", span "&amp;E189&amp;" m","")&amp;IF(F189&lt;&gt;"",", H "&amp;F189&amp;" m","")&amp;IF(G189&lt;&gt;"",", W "&amp;G189&amp;" m",""))</f>
        <v/>
      </c>
      <c r="C189" s="9"/>
      <c r="D189" s="9"/>
      <c r="E189" s="43"/>
      <c r="F189" s="43"/>
      <c r="G189" s="43"/>
      <c r="H189" s="9"/>
      <c r="I189" s="9"/>
      <c r="J189" s="9"/>
      <c r="K189" s="9"/>
      <c r="L189" s="9"/>
      <c r="M189" s="9"/>
      <c r="N189" s="9"/>
      <c r="O189" s="9"/>
      <c r="P189" s="9"/>
      <c r="Q189" s="9"/>
      <c r="R189" s="10" t="str">
        <f aca="false">IF(A189="","",SG_Criteria!$B$6&amp;SG_Criteria!$B$13&amp;"\"&amp;A189&amp;"\")</f>
        <v/>
      </c>
      <c r="S189" s="10" t="str">
        <f aca="false">IF(A189="","",A189&amp;"_CAD.dwg")</f>
        <v/>
      </c>
      <c r="T189" s="10" t="str">
        <f aca="false">IF(A189="","",A189&amp;"_DWG.pdf")</f>
        <v/>
      </c>
      <c r="U189" s="10" t="str">
        <f aca="false">IF(A189="","",IF(Q189="Y",A189&amp;"_STAAD.std","n/a"))</f>
        <v/>
      </c>
      <c r="V189" s="10" t="str">
        <f aca="false">IF(A189="","",A189&amp;"_CALC.xlsx")</f>
        <v/>
      </c>
      <c r="W189" s="10" t="str">
        <f aca="false">IF(A189="","",A189&amp;"_CALC.pdf")</f>
        <v/>
      </c>
      <c r="X189" s="9"/>
      <c r="Y189" s="9"/>
      <c r="Z189" s="41"/>
      <c r="AA189" s="41"/>
      <c r="AB189" s="41"/>
      <c r="AC189" s="41"/>
      <c r="AD189" s="41"/>
      <c r="AE189" s="38" t="str">
        <f aca="false">IF(C189="","","OK")</f>
        <v/>
      </c>
      <c r="AF189" s="9"/>
      <c r="AG189" s="9"/>
      <c r="AH189" s="9"/>
      <c r="AI189" s="9"/>
      <c r="AJ189" s="9"/>
      <c r="AK189" s="31"/>
      <c r="AL189" s="10" t="str">
        <f aca="false">IF(C189="","",IF(AND(N189="Approved",ISERROR(SEARCH("FAIL",AE189))),"Y","N"))</f>
        <v/>
      </c>
    </row>
    <row r="190" customFormat="false" ht="15" hidden="false" customHeight="false" outlineLevel="0" collapsed="false">
      <c r="A190" s="10" t="str">
        <f aca="false">IF(C190="","",IFERROR(VLOOKUP(C190,Lists!$BI$4:$BJ$20,2,0),"??")&amp;"-"&amp;UPPER(SUBSTITUTE(D190," ",""))&amp;IF(E190&lt;&gt;"","-SP"&amp;TEXT(E190*1000,"0"),"")&amp;IF(F190&lt;&gt;"","-H"&amp;TEXT(F190*1000,"0"),"")&amp;"-"&amp;M190)</f>
        <v/>
      </c>
      <c r="B190" s="10" t="str">
        <f aca="false">IF(C190="","",C190&amp;" - "&amp;D190&amp;IF(E190&lt;&gt;"",", span "&amp;E190&amp;" m","")&amp;IF(F190&lt;&gt;"",", H "&amp;F190&amp;" m","")&amp;IF(G190&lt;&gt;"",", W "&amp;G190&amp;" m",""))</f>
        <v/>
      </c>
      <c r="C190" s="9"/>
      <c r="D190" s="9"/>
      <c r="E190" s="43"/>
      <c r="F190" s="43"/>
      <c r="G190" s="43"/>
      <c r="H190" s="9"/>
      <c r="I190" s="9"/>
      <c r="J190" s="9"/>
      <c r="K190" s="9"/>
      <c r="L190" s="9"/>
      <c r="M190" s="9"/>
      <c r="N190" s="9"/>
      <c r="O190" s="9"/>
      <c r="P190" s="9"/>
      <c r="Q190" s="9"/>
      <c r="R190" s="10" t="str">
        <f aca="false">IF(A190="","",SG_Criteria!$B$6&amp;SG_Criteria!$B$13&amp;"\"&amp;A190&amp;"\")</f>
        <v/>
      </c>
      <c r="S190" s="10" t="str">
        <f aca="false">IF(A190="","",A190&amp;"_CAD.dwg")</f>
        <v/>
      </c>
      <c r="T190" s="10" t="str">
        <f aca="false">IF(A190="","",A190&amp;"_DWG.pdf")</f>
        <v/>
      </c>
      <c r="U190" s="10" t="str">
        <f aca="false">IF(A190="","",IF(Q190="Y",A190&amp;"_STAAD.std","n/a"))</f>
        <v/>
      </c>
      <c r="V190" s="10" t="str">
        <f aca="false">IF(A190="","",A190&amp;"_CALC.xlsx")</f>
        <v/>
      </c>
      <c r="W190" s="10" t="str">
        <f aca="false">IF(A190="","",A190&amp;"_CALC.pdf")</f>
        <v/>
      </c>
      <c r="X190" s="9"/>
      <c r="Y190" s="9"/>
      <c r="Z190" s="41"/>
      <c r="AA190" s="41"/>
      <c r="AB190" s="41"/>
      <c r="AC190" s="41"/>
      <c r="AD190" s="41"/>
      <c r="AE190" s="38" t="str">
        <f aca="false">IF(C190="","","OK")</f>
        <v/>
      </c>
      <c r="AF190" s="9"/>
      <c r="AG190" s="9"/>
      <c r="AH190" s="9"/>
      <c r="AI190" s="9"/>
      <c r="AJ190" s="9"/>
      <c r="AK190" s="31"/>
      <c r="AL190" s="10" t="str">
        <f aca="false">IF(C190="","",IF(AND(N190="Approved",ISERROR(SEARCH("FAIL",AE190))),"Y","N"))</f>
        <v/>
      </c>
    </row>
    <row r="191" customFormat="false" ht="15" hidden="false" customHeight="false" outlineLevel="0" collapsed="false">
      <c r="A191" s="10" t="str">
        <f aca="false">IF(C191="","",IFERROR(VLOOKUP(C191,Lists!$BI$4:$BJ$20,2,0),"??")&amp;"-"&amp;UPPER(SUBSTITUTE(D191," ",""))&amp;IF(E191&lt;&gt;"","-SP"&amp;TEXT(E191*1000,"0"),"")&amp;IF(F191&lt;&gt;"","-H"&amp;TEXT(F191*1000,"0"),"")&amp;"-"&amp;M191)</f>
        <v/>
      </c>
      <c r="B191" s="10" t="str">
        <f aca="false">IF(C191="","",C191&amp;" - "&amp;D191&amp;IF(E191&lt;&gt;"",", span "&amp;E191&amp;" m","")&amp;IF(F191&lt;&gt;"",", H "&amp;F191&amp;" m","")&amp;IF(G191&lt;&gt;"",", W "&amp;G191&amp;" m",""))</f>
        <v/>
      </c>
      <c r="C191" s="9"/>
      <c r="D191" s="9"/>
      <c r="E191" s="43"/>
      <c r="F191" s="43"/>
      <c r="G191" s="43"/>
      <c r="H191" s="9"/>
      <c r="I191" s="9"/>
      <c r="J191" s="9"/>
      <c r="K191" s="9"/>
      <c r="L191" s="9"/>
      <c r="M191" s="9"/>
      <c r="N191" s="9"/>
      <c r="O191" s="9"/>
      <c r="P191" s="9"/>
      <c r="Q191" s="9"/>
      <c r="R191" s="10" t="str">
        <f aca="false">IF(A191="","",SG_Criteria!$B$6&amp;SG_Criteria!$B$13&amp;"\"&amp;A191&amp;"\")</f>
        <v/>
      </c>
      <c r="S191" s="10" t="str">
        <f aca="false">IF(A191="","",A191&amp;"_CAD.dwg")</f>
        <v/>
      </c>
      <c r="T191" s="10" t="str">
        <f aca="false">IF(A191="","",A191&amp;"_DWG.pdf")</f>
        <v/>
      </c>
      <c r="U191" s="10" t="str">
        <f aca="false">IF(A191="","",IF(Q191="Y",A191&amp;"_STAAD.std","n/a"))</f>
        <v/>
      </c>
      <c r="V191" s="10" t="str">
        <f aca="false">IF(A191="","",A191&amp;"_CALC.xlsx")</f>
        <v/>
      </c>
      <c r="W191" s="10" t="str">
        <f aca="false">IF(A191="","",A191&amp;"_CALC.pdf")</f>
        <v/>
      </c>
      <c r="X191" s="9"/>
      <c r="Y191" s="9"/>
      <c r="Z191" s="41"/>
      <c r="AA191" s="41"/>
      <c r="AB191" s="41"/>
      <c r="AC191" s="41"/>
      <c r="AD191" s="41"/>
      <c r="AE191" s="38" t="str">
        <f aca="false">IF(C191="","","OK")</f>
        <v/>
      </c>
      <c r="AF191" s="9"/>
      <c r="AG191" s="9"/>
      <c r="AH191" s="9"/>
      <c r="AI191" s="9"/>
      <c r="AJ191" s="9"/>
      <c r="AK191" s="31"/>
      <c r="AL191" s="10" t="str">
        <f aca="false">IF(C191="","",IF(AND(N191="Approved",ISERROR(SEARCH("FAIL",AE191))),"Y","N"))</f>
        <v/>
      </c>
    </row>
    <row r="192" customFormat="false" ht="15" hidden="false" customHeight="false" outlineLevel="0" collapsed="false">
      <c r="A192" s="10" t="str">
        <f aca="false">IF(C192="","",IFERROR(VLOOKUP(C192,Lists!$BI$4:$BJ$20,2,0),"??")&amp;"-"&amp;UPPER(SUBSTITUTE(D192," ",""))&amp;IF(E192&lt;&gt;"","-SP"&amp;TEXT(E192*1000,"0"),"")&amp;IF(F192&lt;&gt;"","-H"&amp;TEXT(F192*1000,"0"),"")&amp;"-"&amp;M192)</f>
        <v/>
      </c>
      <c r="B192" s="10" t="str">
        <f aca="false">IF(C192="","",C192&amp;" - "&amp;D192&amp;IF(E192&lt;&gt;"",", span "&amp;E192&amp;" m","")&amp;IF(F192&lt;&gt;"",", H "&amp;F192&amp;" m","")&amp;IF(G192&lt;&gt;"",", W "&amp;G192&amp;" m",""))</f>
        <v/>
      </c>
      <c r="C192" s="9"/>
      <c r="D192" s="9"/>
      <c r="E192" s="43"/>
      <c r="F192" s="43"/>
      <c r="G192" s="43"/>
      <c r="H192" s="9"/>
      <c r="I192" s="9"/>
      <c r="J192" s="9"/>
      <c r="K192" s="9"/>
      <c r="L192" s="9"/>
      <c r="M192" s="9"/>
      <c r="N192" s="9"/>
      <c r="O192" s="9"/>
      <c r="P192" s="9"/>
      <c r="Q192" s="9"/>
      <c r="R192" s="10" t="str">
        <f aca="false">IF(A192="","",SG_Criteria!$B$6&amp;SG_Criteria!$B$13&amp;"\"&amp;A192&amp;"\")</f>
        <v/>
      </c>
      <c r="S192" s="10" t="str">
        <f aca="false">IF(A192="","",A192&amp;"_CAD.dwg")</f>
        <v/>
      </c>
      <c r="T192" s="10" t="str">
        <f aca="false">IF(A192="","",A192&amp;"_DWG.pdf")</f>
        <v/>
      </c>
      <c r="U192" s="10" t="str">
        <f aca="false">IF(A192="","",IF(Q192="Y",A192&amp;"_STAAD.std","n/a"))</f>
        <v/>
      </c>
      <c r="V192" s="10" t="str">
        <f aca="false">IF(A192="","",A192&amp;"_CALC.xlsx")</f>
        <v/>
      </c>
      <c r="W192" s="10" t="str">
        <f aca="false">IF(A192="","",A192&amp;"_CALC.pdf")</f>
        <v/>
      </c>
      <c r="X192" s="9"/>
      <c r="Y192" s="9"/>
      <c r="Z192" s="41"/>
      <c r="AA192" s="41"/>
      <c r="AB192" s="41"/>
      <c r="AC192" s="41"/>
      <c r="AD192" s="41"/>
      <c r="AE192" s="38" t="str">
        <f aca="false">IF(C192="","","OK")</f>
        <v/>
      </c>
      <c r="AF192" s="9"/>
      <c r="AG192" s="9"/>
      <c r="AH192" s="9"/>
      <c r="AI192" s="9"/>
      <c r="AJ192" s="9"/>
      <c r="AK192" s="31"/>
      <c r="AL192" s="10" t="str">
        <f aca="false">IF(C192="","",IF(AND(N192="Approved",ISERROR(SEARCH("FAIL",AE192))),"Y","N"))</f>
        <v/>
      </c>
    </row>
    <row r="193" customFormat="false" ht="15" hidden="false" customHeight="false" outlineLevel="0" collapsed="false">
      <c r="A193" s="10" t="str">
        <f aca="false">IF(C193="","",IFERROR(VLOOKUP(C193,Lists!$BI$4:$BJ$20,2,0),"??")&amp;"-"&amp;UPPER(SUBSTITUTE(D193," ",""))&amp;IF(E193&lt;&gt;"","-SP"&amp;TEXT(E193*1000,"0"),"")&amp;IF(F193&lt;&gt;"","-H"&amp;TEXT(F193*1000,"0"),"")&amp;"-"&amp;M193)</f>
        <v/>
      </c>
      <c r="B193" s="10" t="str">
        <f aca="false">IF(C193="","",C193&amp;" - "&amp;D193&amp;IF(E193&lt;&gt;"",", span "&amp;E193&amp;" m","")&amp;IF(F193&lt;&gt;"",", H "&amp;F193&amp;" m","")&amp;IF(G193&lt;&gt;"",", W "&amp;G193&amp;" m",""))</f>
        <v/>
      </c>
      <c r="C193" s="9"/>
      <c r="D193" s="9"/>
      <c r="E193" s="43"/>
      <c r="F193" s="43"/>
      <c r="G193" s="43"/>
      <c r="H193" s="9"/>
      <c r="I193" s="9"/>
      <c r="J193" s="9"/>
      <c r="K193" s="9"/>
      <c r="L193" s="9"/>
      <c r="M193" s="9"/>
      <c r="N193" s="9"/>
      <c r="O193" s="9"/>
      <c r="P193" s="9"/>
      <c r="Q193" s="9"/>
      <c r="R193" s="10" t="str">
        <f aca="false">IF(A193="","",SG_Criteria!$B$6&amp;SG_Criteria!$B$13&amp;"\"&amp;A193&amp;"\")</f>
        <v/>
      </c>
      <c r="S193" s="10" t="str">
        <f aca="false">IF(A193="","",A193&amp;"_CAD.dwg")</f>
        <v/>
      </c>
      <c r="T193" s="10" t="str">
        <f aca="false">IF(A193="","",A193&amp;"_DWG.pdf")</f>
        <v/>
      </c>
      <c r="U193" s="10" t="str">
        <f aca="false">IF(A193="","",IF(Q193="Y",A193&amp;"_STAAD.std","n/a"))</f>
        <v/>
      </c>
      <c r="V193" s="10" t="str">
        <f aca="false">IF(A193="","",A193&amp;"_CALC.xlsx")</f>
        <v/>
      </c>
      <c r="W193" s="10" t="str">
        <f aca="false">IF(A193="","",A193&amp;"_CALC.pdf")</f>
        <v/>
      </c>
      <c r="X193" s="9"/>
      <c r="Y193" s="9"/>
      <c r="Z193" s="41"/>
      <c r="AA193" s="41"/>
      <c r="AB193" s="41"/>
      <c r="AC193" s="41"/>
      <c r="AD193" s="41"/>
      <c r="AE193" s="38" t="str">
        <f aca="false">IF(C193="","","OK")</f>
        <v/>
      </c>
      <c r="AF193" s="9"/>
      <c r="AG193" s="9"/>
      <c r="AH193" s="9"/>
      <c r="AI193" s="9"/>
      <c r="AJ193" s="9"/>
      <c r="AK193" s="31"/>
      <c r="AL193" s="10" t="str">
        <f aca="false">IF(C193="","",IF(AND(N193="Approved",ISERROR(SEARCH("FAIL",AE193))),"Y","N"))</f>
        <v/>
      </c>
    </row>
    <row r="194" customFormat="false" ht="15" hidden="false" customHeight="false" outlineLevel="0" collapsed="false">
      <c r="A194" s="10" t="str">
        <f aca="false">IF(C194="","",IFERROR(VLOOKUP(C194,Lists!$BI$4:$BJ$20,2,0),"??")&amp;"-"&amp;UPPER(SUBSTITUTE(D194," ",""))&amp;IF(E194&lt;&gt;"","-SP"&amp;TEXT(E194*1000,"0"),"")&amp;IF(F194&lt;&gt;"","-H"&amp;TEXT(F194*1000,"0"),"")&amp;"-"&amp;M194)</f>
        <v/>
      </c>
      <c r="B194" s="10" t="str">
        <f aca="false">IF(C194="","",C194&amp;" - "&amp;D194&amp;IF(E194&lt;&gt;"",", span "&amp;E194&amp;" m","")&amp;IF(F194&lt;&gt;"",", H "&amp;F194&amp;" m","")&amp;IF(G194&lt;&gt;"",", W "&amp;G194&amp;" m",""))</f>
        <v/>
      </c>
      <c r="C194" s="9"/>
      <c r="D194" s="9"/>
      <c r="E194" s="43"/>
      <c r="F194" s="43"/>
      <c r="G194" s="43"/>
      <c r="H194" s="9"/>
      <c r="I194" s="9"/>
      <c r="J194" s="9"/>
      <c r="K194" s="9"/>
      <c r="L194" s="9"/>
      <c r="M194" s="9"/>
      <c r="N194" s="9"/>
      <c r="O194" s="9"/>
      <c r="P194" s="9"/>
      <c r="Q194" s="9"/>
      <c r="R194" s="10" t="str">
        <f aca="false">IF(A194="","",SG_Criteria!$B$6&amp;SG_Criteria!$B$13&amp;"\"&amp;A194&amp;"\")</f>
        <v/>
      </c>
      <c r="S194" s="10" t="str">
        <f aca="false">IF(A194="","",A194&amp;"_CAD.dwg")</f>
        <v/>
      </c>
      <c r="T194" s="10" t="str">
        <f aca="false">IF(A194="","",A194&amp;"_DWG.pdf")</f>
        <v/>
      </c>
      <c r="U194" s="10" t="str">
        <f aca="false">IF(A194="","",IF(Q194="Y",A194&amp;"_STAAD.std","n/a"))</f>
        <v/>
      </c>
      <c r="V194" s="10" t="str">
        <f aca="false">IF(A194="","",A194&amp;"_CALC.xlsx")</f>
        <v/>
      </c>
      <c r="W194" s="10" t="str">
        <f aca="false">IF(A194="","",A194&amp;"_CALC.pdf")</f>
        <v/>
      </c>
      <c r="X194" s="9"/>
      <c r="Y194" s="9"/>
      <c r="Z194" s="41"/>
      <c r="AA194" s="41"/>
      <c r="AB194" s="41"/>
      <c r="AC194" s="41"/>
      <c r="AD194" s="41"/>
      <c r="AE194" s="38" t="str">
        <f aca="false">IF(C194="","","OK")</f>
        <v/>
      </c>
      <c r="AF194" s="9"/>
      <c r="AG194" s="9"/>
      <c r="AH194" s="9"/>
      <c r="AI194" s="9"/>
      <c r="AJ194" s="9"/>
      <c r="AK194" s="31"/>
      <c r="AL194" s="10" t="str">
        <f aca="false">IF(C194="","",IF(AND(N194="Approved",ISERROR(SEARCH("FAIL",AE194))),"Y","N"))</f>
        <v/>
      </c>
    </row>
    <row r="195" customFormat="false" ht="15" hidden="false" customHeight="false" outlineLevel="0" collapsed="false">
      <c r="A195" s="10" t="str">
        <f aca="false">IF(C195="","",IFERROR(VLOOKUP(C195,Lists!$BI$4:$BJ$20,2,0),"??")&amp;"-"&amp;UPPER(SUBSTITUTE(D195," ",""))&amp;IF(E195&lt;&gt;"","-SP"&amp;TEXT(E195*1000,"0"),"")&amp;IF(F195&lt;&gt;"","-H"&amp;TEXT(F195*1000,"0"),"")&amp;"-"&amp;M195)</f>
        <v/>
      </c>
      <c r="B195" s="10" t="str">
        <f aca="false">IF(C195="","",C195&amp;" - "&amp;D195&amp;IF(E195&lt;&gt;"",", span "&amp;E195&amp;" m","")&amp;IF(F195&lt;&gt;"",", H "&amp;F195&amp;" m","")&amp;IF(G195&lt;&gt;"",", W "&amp;G195&amp;" m",""))</f>
        <v/>
      </c>
      <c r="C195" s="9"/>
      <c r="D195" s="9"/>
      <c r="E195" s="43"/>
      <c r="F195" s="43"/>
      <c r="G195" s="43"/>
      <c r="H195" s="9"/>
      <c r="I195" s="9"/>
      <c r="J195" s="9"/>
      <c r="K195" s="9"/>
      <c r="L195" s="9"/>
      <c r="M195" s="9"/>
      <c r="N195" s="9"/>
      <c r="O195" s="9"/>
      <c r="P195" s="9"/>
      <c r="Q195" s="9"/>
      <c r="R195" s="10" t="str">
        <f aca="false">IF(A195="","",SG_Criteria!$B$6&amp;SG_Criteria!$B$13&amp;"\"&amp;A195&amp;"\")</f>
        <v/>
      </c>
      <c r="S195" s="10" t="str">
        <f aca="false">IF(A195="","",A195&amp;"_CAD.dwg")</f>
        <v/>
      </c>
      <c r="T195" s="10" t="str">
        <f aca="false">IF(A195="","",A195&amp;"_DWG.pdf")</f>
        <v/>
      </c>
      <c r="U195" s="10" t="str">
        <f aca="false">IF(A195="","",IF(Q195="Y",A195&amp;"_STAAD.std","n/a"))</f>
        <v/>
      </c>
      <c r="V195" s="10" t="str">
        <f aca="false">IF(A195="","",A195&amp;"_CALC.xlsx")</f>
        <v/>
      </c>
      <c r="W195" s="10" t="str">
        <f aca="false">IF(A195="","",A195&amp;"_CALC.pdf")</f>
        <v/>
      </c>
      <c r="X195" s="9"/>
      <c r="Y195" s="9"/>
      <c r="Z195" s="41"/>
      <c r="AA195" s="41"/>
      <c r="AB195" s="41"/>
      <c r="AC195" s="41"/>
      <c r="AD195" s="41"/>
      <c r="AE195" s="38" t="str">
        <f aca="false">IF(C195="","","OK")</f>
        <v/>
      </c>
      <c r="AF195" s="9"/>
      <c r="AG195" s="9"/>
      <c r="AH195" s="9"/>
      <c r="AI195" s="9"/>
      <c r="AJ195" s="9"/>
      <c r="AK195" s="31"/>
      <c r="AL195" s="10" t="str">
        <f aca="false">IF(C195="","",IF(AND(N195="Approved",ISERROR(SEARCH("FAIL",AE195))),"Y","N"))</f>
        <v/>
      </c>
    </row>
    <row r="196" customFormat="false" ht="15" hidden="false" customHeight="false" outlineLevel="0" collapsed="false">
      <c r="A196" s="10" t="str">
        <f aca="false">IF(C196="","",IFERROR(VLOOKUP(C196,Lists!$BI$4:$BJ$20,2,0),"??")&amp;"-"&amp;UPPER(SUBSTITUTE(D196," ",""))&amp;IF(E196&lt;&gt;"","-SP"&amp;TEXT(E196*1000,"0"),"")&amp;IF(F196&lt;&gt;"","-H"&amp;TEXT(F196*1000,"0"),"")&amp;"-"&amp;M196)</f>
        <v/>
      </c>
      <c r="B196" s="10" t="str">
        <f aca="false">IF(C196="","",C196&amp;" - "&amp;D196&amp;IF(E196&lt;&gt;"",", span "&amp;E196&amp;" m","")&amp;IF(F196&lt;&gt;"",", H "&amp;F196&amp;" m","")&amp;IF(G196&lt;&gt;"",", W "&amp;G196&amp;" m",""))</f>
        <v/>
      </c>
      <c r="C196" s="9"/>
      <c r="D196" s="9"/>
      <c r="E196" s="43"/>
      <c r="F196" s="43"/>
      <c r="G196" s="43"/>
      <c r="H196" s="9"/>
      <c r="I196" s="9"/>
      <c r="J196" s="9"/>
      <c r="K196" s="9"/>
      <c r="L196" s="9"/>
      <c r="M196" s="9"/>
      <c r="N196" s="9"/>
      <c r="O196" s="9"/>
      <c r="P196" s="9"/>
      <c r="Q196" s="9"/>
      <c r="R196" s="10" t="str">
        <f aca="false">IF(A196="","",SG_Criteria!$B$6&amp;SG_Criteria!$B$13&amp;"\"&amp;A196&amp;"\")</f>
        <v/>
      </c>
      <c r="S196" s="10" t="str">
        <f aca="false">IF(A196="","",A196&amp;"_CAD.dwg")</f>
        <v/>
      </c>
      <c r="T196" s="10" t="str">
        <f aca="false">IF(A196="","",A196&amp;"_DWG.pdf")</f>
        <v/>
      </c>
      <c r="U196" s="10" t="str">
        <f aca="false">IF(A196="","",IF(Q196="Y",A196&amp;"_STAAD.std","n/a"))</f>
        <v/>
      </c>
      <c r="V196" s="10" t="str">
        <f aca="false">IF(A196="","",A196&amp;"_CALC.xlsx")</f>
        <v/>
      </c>
      <c r="W196" s="10" t="str">
        <f aca="false">IF(A196="","",A196&amp;"_CALC.pdf")</f>
        <v/>
      </c>
      <c r="X196" s="9"/>
      <c r="Y196" s="9"/>
      <c r="Z196" s="41"/>
      <c r="AA196" s="41"/>
      <c r="AB196" s="41"/>
      <c r="AC196" s="41"/>
      <c r="AD196" s="41"/>
      <c r="AE196" s="38" t="str">
        <f aca="false">IF(C196="","","OK")</f>
        <v/>
      </c>
      <c r="AF196" s="9"/>
      <c r="AG196" s="9"/>
      <c r="AH196" s="9"/>
      <c r="AI196" s="9"/>
      <c r="AJ196" s="9"/>
      <c r="AK196" s="31"/>
      <c r="AL196" s="10" t="str">
        <f aca="false">IF(C196="","",IF(AND(N196="Approved",ISERROR(SEARCH("FAIL",AE196))),"Y","N"))</f>
        <v/>
      </c>
    </row>
    <row r="197" customFormat="false" ht="15" hidden="false" customHeight="false" outlineLevel="0" collapsed="false">
      <c r="A197" s="10" t="str">
        <f aca="false">IF(C197="","",IFERROR(VLOOKUP(C197,Lists!$BI$4:$BJ$20,2,0),"??")&amp;"-"&amp;UPPER(SUBSTITUTE(D197," ",""))&amp;IF(E197&lt;&gt;"","-SP"&amp;TEXT(E197*1000,"0"),"")&amp;IF(F197&lt;&gt;"","-H"&amp;TEXT(F197*1000,"0"),"")&amp;"-"&amp;M197)</f>
        <v/>
      </c>
      <c r="B197" s="10" t="str">
        <f aca="false">IF(C197="","",C197&amp;" - "&amp;D197&amp;IF(E197&lt;&gt;"",", span "&amp;E197&amp;" m","")&amp;IF(F197&lt;&gt;"",", H "&amp;F197&amp;" m","")&amp;IF(G197&lt;&gt;"",", W "&amp;G197&amp;" m",""))</f>
        <v/>
      </c>
      <c r="C197" s="9"/>
      <c r="D197" s="9"/>
      <c r="E197" s="43"/>
      <c r="F197" s="43"/>
      <c r="G197" s="43"/>
      <c r="H197" s="9"/>
      <c r="I197" s="9"/>
      <c r="J197" s="9"/>
      <c r="K197" s="9"/>
      <c r="L197" s="9"/>
      <c r="M197" s="9"/>
      <c r="N197" s="9"/>
      <c r="O197" s="9"/>
      <c r="P197" s="9"/>
      <c r="Q197" s="9"/>
      <c r="R197" s="10" t="str">
        <f aca="false">IF(A197="","",SG_Criteria!$B$6&amp;SG_Criteria!$B$13&amp;"\"&amp;A197&amp;"\")</f>
        <v/>
      </c>
      <c r="S197" s="10" t="str">
        <f aca="false">IF(A197="","",A197&amp;"_CAD.dwg")</f>
        <v/>
      </c>
      <c r="T197" s="10" t="str">
        <f aca="false">IF(A197="","",A197&amp;"_DWG.pdf")</f>
        <v/>
      </c>
      <c r="U197" s="10" t="str">
        <f aca="false">IF(A197="","",IF(Q197="Y",A197&amp;"_STAAD.std","n/a"))</f>
        <v/>
      </c>
      <c r="V197" s="10" t="str">
        <f aca="false">IF(A197="","",A197&amp;"_CALC.xlsx")</f>
        <v/>
      </c>
      <c r="W197" s="10" t="str">
        <f aca="false">IF(A197="","",A197&amp;"_CALC.pdf")</f>
        <v/>
      </c>
      <c r="X197" s="9"/>
      <c r="Y197" s="9"/>
      <c r="Z197" s="41"/>
      <c r="AA197" s="41"/>
      <c r="AB197" s="41"/>
      <c r="AC197" s="41"/>
      <c r="AD197" s="41"/>
      <c r="AE197" s="38" t="str">
        <f aca="false">IF(C197="","","OK")</f>
        <v/>
      </c>
      <c r="AF197" s="9"/>
      <c r="AG197" s="9"/>
      <c r="AH197" s="9"/>
      <c r="AI197" s="9"/>
      <c r="AJ197" s="9"/>
      <c r="AK197" s="31"/>
      <c r="AL197" s="10" t="str">
        <f aca="false">IF(C197="","",IF(AND(N197="Approved",ISERROR(SEARCH("FAIL",AE197))),"Y","N"))</f>
        <v/>
      </c>
    </row>
    <row r="198" customFormat="false" ht="15" hidden="false" customHeight="false" outlineLevel="0" collapsed="false">
      <c r="A198" s="10" t="str">
        <f aca="false">IF(C198="","",IFERROR(VLOOKUP(C198,Lists!$BI$4:$BJ$20,2,0),"??")&amp;"-"&amp;UPPER(SUBSTITUTE(D198," ",""))&amp;IF(E198&lt;&gt;"","-SP"&amp;TEXT(E198*1000,"0"),"")&amp;IF(F198&lt;&gt;"","-H"&amp;TEXT(F198*1000,"0"),"")&amp;"-"&amp;M198)</f>
        <v/>
      </c>
      <c r="B198" s="10" t="str">
        <f aca="false">IF(C198="","",C198&amp;" - "&amp;D198&amp;IF(E198&lt;&gt;"",", span "&amp;E198&amp;" m","")&amp;IF(F198&lt;&gt;"",", H "&amp;F198&amp;" m","")&amp;IF(G198&lt;&gt;"",", W "&amp;G198&amp;" m",""))</f>
        <v/>
      </c>
      <c r="C198" s="9"/>
      <c r="D198" s="9"/>
      <c r="E198" s="43"/>
      <c r="F198" s="43"/>
      <c r="G198" s="43"/>
      <c r="H198" s="9"/>
      <c r="I198" s="9"/>
      <c r="J198" s="9"/>
      <c r="K198" s="9"/>
      <c r="L198" s="9"/>
      <c r="M198" s="9"/>
      <c r="N198" s="9"/>
      <c r="O198" s="9"/>
      <c r="P198" s="9"/>
      <c r="Q198" s="9"/>
      <c r="R198" s="10" t="str">
        <f aca="false">IF(A198="","",SG_Criteria!$B$6&amp;SG_Criteria!$B$13&amp;"\"&amp;A198&amp;"\")</f>
        <v/>
      </c>
      <c r="S198" s="10" t="str">
        <f aca="false">IF(A198="","",A198&amp;"_CAD.dwg")</f>
        <v/>
      </c>
      <c r="T198" s="10" t="str">
        <f aca="false">IF(A198="","",A198&amp;"_DWG.pdf")</f>
        <v/>
      </c>
      <c r="U198" s="10" t="str">
        <f aca="false">IF(A198="","",IF(Q198="Y",A198&amp;"_STAAD.std","n/a"))</f>
        <v/>
      </c>
      <c r="V198" s="10" t="str">
        <f aca="false">IF(A198="","",A198&amp;"_CALC.xlsx")</f>
        <v/>
      </c>
      <c r="W198" s="10" t="str">
        <f aca="false">IF(A198="","",A198&amp;"_CALC.pdf")</f>
        <v/>
      </c>
      <c r="X198" s="9"/>
      <c r="Y198" s="9"/>
      <c r="Z198" s="41"/>
      <c r="AA198" s="41"/>
      <c r="AB198" s="41"/>
      <c r="AC198" s="41"/>
      <c r="AD198" s="41"/>
      <c r="AE198" s="38" t="str">
        <f aca="false">IF(C198="","","OK")</f>
        <v/>
      </c>
      <c r="AF198" s="9"/>
      <c r="AG198" s="9"/>
      <c r="AH198" s="9"/>
      <c r="AI198" s="9"/>
      <c r="AJ198" s="9"/>
      <c r="AK198" s="31"/>
      <c r="AL198" s="10" t="str">
        <f aca="false">IF(C198="","",IF(AND(N198="Approved",ISERROR(SEARCH("FAIL",AE198))),"Y","N"))</f>
        <v/>
      </c>
    </row>
    <row r="199" customFormat="false" ht="15" hidden="false" customHeight="false" outlineLevel="0" collapsed="false">
      <c r="A199" s="10" t="str">
        <f aca="false">IF(C199="","",IFERROR(VLOOKUP(C199,Lists!$BI$4:$BJ$20,2,0),"??")&amp;"-"&amp;UPPER(SUBSTITUTE(D199," ",""))&amp;IF(E199&lt;&gt;"","-SP"&amp;TEXT(E199*1000,"0"),"")&amp;IF(F199&lt;&gt;"","-H"&amp;TEXT(F199*1000,"0"),"")&amp;"-"&amp;M199)</f>
        <v/>
      </c>
      <c r="B199" s="10" t="str">
        <f aca="false">IF(C199="","",C199&amp;" - "&amp;D199&amp;IF(E199&lt;&gt;"",", span "&amp;E199&amp;" m","")&amp;IF(F199&lt;&gt;"",", H "&amp;F199&amp;" m","")&amp;IF(G199&lt;&gt;"",", W "&amp;G199&amp;" m",""))</f>
        <v/>
      </c>
      <c r="C199" s="9"/>
      <c r="D199" s="9"/>
      <c r="E199" s="43"/>
      <c r="F199" s="43"/>
      <c r="G199" s="43"/>
      <c r="H199" s="9"/>
      <c r="I199" s="9"/>
      <c r="J199" s="9"/>
      <c r="K199" s="9"/>
      <c r="L199" s="9"/>
      <c r="M199" s="9"/>
      <c r="N199" s="9"/>
      <c r="O199" s="9"/>
      <c r="P199" s="9"/>
      <c r="Q199" s="9"/>
      <c r="R199" s="10" t="str">
        <f aca="false">IF(A199="","",SG_Criteria!$B$6&amp;SG_Criteria!$B$13&amp;"\"&amp;A199&amp;"\")</f>
        <v/>
      </c>
      <c r="S199" s="10" t="str">
        <f aca="false">IF(A199="","",A199&amp;"_CAD.dwg")</f>
        <v/>
      </c>
      <c r="T199" s="10" t="str">
        <f aca="false">IF(A199="","",A199&amp;"_DWG.pdf")</f>
        <v/>
      </c>
      <c r="U199" s="10" t="str">
        <f aca="false">IF(A199="","",IF(Q199="Y",A199&amp;"_STAAD.std","n/a"))</f>
        <v/>
      </c>
      <c r="V199" s="10" t="str">
        <f aca="false">IF(A199="","",A199&amp;"_CALC.xlsx")</f>
        <v/>
      </c>
      <c r="W199" s="10" t="str">
        <f aca="false">IF(A199="","",A199&amp;"_CALC.pdf")</f>
        <v/>
      </c>
      <c r="X199" s="9"/>
      <c r="Y199" s="9"/>
      <c r="Z199" s="41"/>
      <c r="AA199" s="41"/>
      <c r="AB199" s="41"/>
      <c r="AC199" s="41"/>
      <c r="AD199" s="41"/>
      <c r="AE199" s="38" t="str">
        <f aca="false">IF(C199="","","OK")</f>
        <v/>
      </c>
      <c r="AF199" s="9"/>
      <c r="AG199" s="9"/>
      <c r="AH199" s="9"/>
      <c r="AI199" s="9"/>
      <c r="AJ199" s="9"/>
      <c r="AK199" s="31"/>
      <c r="AL199" s="10" t="str">
        <f aca="false">IF(C199="","",IF(AND(N199="Approved",ISERROR(SEARCH("FAIL",AE199))),"Y","N"))</f>
        <v/>
      </c>
    </row>
    <row r="200" customFormat="false" ht="15" hidden="false" customHeight="false" outlineLevel="0" collapsed="false">
      <c r="A200" s="10" t="str">
        <f aca="false">IF(C200="","",IFERROR(VLOOKUP(C200,Lists!$BI$4:$BJ$20,2,0),"??")&amp;"-"&amp;UPPER(SUBSTITUTE(D200," ",""))&amp;IF(E200&lt;&gt;"","-SP"&amp;TEXT(E200*1000,"0"),"")&amp;IF(F200&lt;&gt;"","-H"&amp;TEXT(F200*1000,"0"),"")&amp;"-"&amp;M200)</f>
        <v/>
      </c>
      <c r="B200" s="10" t="str">
        <f aca="false">IF(C200="","",C200&amp;" - "&amp;D200&amp;IF(E200&lt;&gt;"",", span "&amp;E200&amp;" m","")&amp;IF(F200&lt;&gt;"",", H "&amp;F200&amp;" m","")&amp;IF(G200&lt;&gt;"",", W "&amp;G200&amp;" m",""))</f>
        <v/>
      </c>
      <c r="C200" s="9"/>
      <c r="D200" s="9"/>
      <c r="E200" s="43"/>
      <c r="F200" s="43"/>
      <c r="G200" s="43"/>
      <c r="H200" s="9"/>
      <c r="I200" s="9"/>
      <c r="J200" s="9"/>
      <c r="K200" s="9"/>
      <c r="L200" s="9"/>
      <c r="M200" s="9"/>
      <c r="N200" s="9"/>
      <c r="O200" s="9"/>
      <c r="P200" s="9"/>
      <c r="Q200" s="9"/>
      <c r="R200" s="10" t="str">
        <f aca="false">IF(A200="","",SG_Criteria!$B$6&amp;SG_Criteria!$B$13&amp;"\"&amp;A200&amp;"\")</f>
        <v/>
      </c>
      <c r="S200" s="10" t="str">
        <f aca="false">IF(A200="","",A200&amp;"_CAD.dwg")</f>
        <v/>
      </c>
      <c r="T200" s="10" t="str">
        <f aca="false">IF(A200="","",A200&amp;"_DWG.pdf")</f>
        <v/>
      </c>
      <c r="U200" s="10" t="str">
        <f aca="false">IF(A200="","",IF(Q200="Y",A200&amp;"_STAAD.std","n/a"))</f>
        <v/>
      </c>
      <c r="V200" s="10" t="str">
        <f aca="false">IF(A200="","",A200&amp;"_CALC.xlsx")</f>
        <v/>
      </c>
      <c r="W200" s="10" t="str">
        <f aca="false">IF(A200="","",A200&amp;"_CALC.pdf")</f>
        <v/>
      </c>
      <c r="X200" s="9"/>
      <c r="Y200" s="9"/>
      <c r="Z200" s="41"/>
      <c r="AA200" s="41"/>
      <c r="AB200" s="41"/>
      <c r="AC200" s="41"/>
      <c r="AD200" s="41"/>
      <c r="AE200" s="38" t="str">
        <f aca="false">IF(C200="","","OK")</f>
        <v/>
      </c>
      <c r="AF200" s="9"/>
      <c r="AG200" s="9"/>
      <c r="AH200" s="9"/>
      <c r="AI200" s="9"/>
      <c r="AJ200" s="9"/>
      <c r="AK200" s="31"/>
      <c r="AL200" s="10" t="str">
        <f aca="false">IF(C200="","",IF(AND(N200="Approved",ISERROR(SEARCH("FAIL",AE200))),"Y","N"))</f>
        <v/>
      </c>
    </row>
    <row r="201" customFormat="false" ht="15" hidden="false" customHeight="false" outlineLevel="0" collapsed="false">
      <c r="A201" s="10" t="str">
        <f aca="false">IF(C201="","",IFERROR(VLOOKUP(C201,Lists!$BI$4:$BJ$20,2,0),"??")&amp;"-"&amp;UPPER(SUBSTITUTE(D201," ",""))&amp;IF(E201&lt;&gt;"","-SP"&amp;TEXT(E201*1000,"0"),"")&amp;IF(F201&lt;&gt;"","-H"&amp;TEXT(F201*1000,"0"),"")&amp;"-"&amp;M201)</f>
        <v/>
      </c>
      <c r="B201" s="10" t="str">
        <f aca="false">IF(C201="","",C201&amp;" - "&amp;D201&amp;IF(E201&lt;&gt;"",", span "&amp;E201&amp;" m","")&amp;IF(F201&lt;&gt;"",", H "&amp;F201&amp;" m","")&amp;IF(G201&lt;&gt;"",", W "&amp;G201&amp;" m",""))</f>
        <v/>
      </c>
      <c r="C201" s="9"/>
      <c r="D201" s="9"/>
      <c r="E201" s="43"/>
      <c r="F201" s="43"/>
      <c r="G201" s="43"/>
      <c r="H201" s="9"/>
      <c r="I201" s="9"/>
      <c r="J201" s="9"/>
      <c r="K201" s="9"/>
      <c r="L201" s="9"/>
      <c r="M201" s="9"/>
      <c r="N201" s="9"/>
      <c r="O201" s="9"/>
      <c r="P201" s="9"/>
      <c r="Q201" s="9"/>
      <c r="R201" s="10" t="str">
        <f aca="false">IF(A201="","",SG_Criteria!$B$6&amp;SG_Criteria!$B$13&amp;"\"&amp;A201&amp;"\")</f>
        <v/>
      </c>
      <c r="S201" s="10" t="str">
        <f aca="false">IF(A201="","",A201&amp;"_CAD.dwg")</f>
        <v/>
      </c>
      <c r="T201" s="10" t="str">
        <f aca="false">IF(A201="","",A201&amp;"_DWG.pdf")</f>
        <v/>
      </c>
      <c r="U201" s="10" t="str">
        <f aca="false">IF(A201="","",IF(Q201="Y",A201&amp;"_STAAD.std","n/a"))</f>
        <v/>
      </c>
      <c r="V201" s="10" t="str">
        <f aca="false">IF(A201="","",A201&amp;"_CALC.xlsx")</f>
        <v/>
      </c>
      <c r="W201" s="10" t="str">
        <f aca="false">IF(A201="","",A201&amp;"_CALC.pdf")</f>
        <v/>
      </c>
      <c r="X201" s="9"/>
      <c r="Y201" s="9"/>
      <c r="Z201" s="41"/>
      <c r="AA201" s="41"/>
      <c r="AB201" s="41"/>
      <c r="AC201" s="41"/>
      <c r="AD201" s="41"/>
      <c r="AE201" s="38" t="str">
        <f aca="false">IF(C201="","","OK")</f>
        <v/>
      </c>
      <c r="AF201" s="9"/>
      <c r="AG201" s="9"/>
      <c r="AH201" s="9"/>
      <c r="AI201" s="9"/>
      <c r="AJ201" s="9"/>
      <c r="AK201" s="31"/>
      <c r="AL201" s="10" t="str">
        <f aca="false">IF(C201="","",IF(AND(N201="Approved",ISERROR(SEARCH("FAIL",AE201))),"Y","N"))</f>
        <v/>
      </c>
    </row>
    <row r="202" customFormat="false" ht="15" hidden="false" customHeight="false" outlineLevel="0" collapsed="false">
      <c r="A202" s="10" t="str">
        <f aca="false">IF(C202="","",IFERROR(VLOOKUP(C202,Lists!$BI$4:$BJ$20,2,0),"??")&amp;"-"&amp;UPPER(SUBSTITUTE(D202," ",""))&amp;IF(E202&lt;&gt;"","-SP"&amp;TEXT(E202*1000,"0"),"")&amp;IF(F202&lt;&gt;"","-H"&amp;TEXT(F202*1000,"0"),"")&amp;"-"&amp;M202)</f>
        <v/>
      </c>
      <c r="B202" s="10" t="str">
        <f aca="false">IF(C202="","",C202&amp;" - "&amp;D202&amp;IF(E202&lt;&gt;"",", span "&amp;E202&amp;" m","")&amp;IF(F202&lt;&gt;"",", H "&amp;F202&amp;" m","")&amp;IF(G202&lt;&gt;"",", W "&amp;G202&amp;" m",""))</f>
        <v/>
      </c>
      <c r="C202" s="9"/>
      <c r="D202" s="9"/>
      <c r="E202" s="43"/>
      <c r="F202" s="43"/>
      <c r="G202" s="43"/>
      <c r="H202" s="9"/>
      <c r="I202" s="9"/>
      <c r="J202" s="9"/>
      <c r="K202" s="9"/>
      <c r="L202" s="9"/>
      <c r="M202" s="9"/>
      <c r="N202" s="9"/>
      <c r="O202" s="9"/>
      <c r="P202" s="9"/>
      <c r="Q202" s="9"/>
      <c r="R202" s="10" t="str">
        <f aca="false">IF(A202="","",SG_Criteria!$B$6&amp;SG_Criteria!$B$13&amp;"\"&amp;A202&amp;"\")</f>
        <v/>
      </c>
      <c r="S202" s="10" t="str">
        <f aca="false">IF(A202="","",A202&amp;"_CAD.dwg")</f>
        <v/>
      </c>
      <c r="T202" s="10" t="str">
        <f aca="false">IF(A202="","",A202&amp;"_DWG.pdf")</f>
        <v/>
      </c>
      <c r="U202" s="10" t="str">
        <f aca="false">IF(A202="","",IF(Q202="Y",A202&amp;"_STAAD.std","n/a"))</f>
        <v/>
      </c>
      <c r="V202" s="10" t="str">
        <f aca="false">IF(A202="","",A202&amp;"_CALC.xlsx")</f>
        <v/>
      </c>
      <c r="W202" s="10" t="str">
        <f aca="false">IF(A202="","",A202&amp;"_CALC.pdf")</f>
        <v/>
      </c>
      <c r="X202" s="9"/>
      <c r="Y202" s="9"/>
      <c r="Z202" s="41"/>
      <c r="AA202" s="41"/>
      <c r="AB202" s="41"/>
      <c r="AC202" s="41"/>
      <c r="AD202" s="41"/>
      <c r="AE202" s="38" t="str">
        <f aca="false">IF(C202="","","OK")</f>
        <v/>
      </c>
      <c r="AF202" s="9"/>
      <c r="AG202" s="9"/>
      <c r="AH202" s="9"/>
      <c r="AI202" s="9"/>
      <c r="AJ202" s="9"/>
      <c r="AK202" s="31"/>
      <c r="AL202" s="10" t="str">
        <f aca="false">IF(C202="","",IF(AND(N202="Approved",ISERROR(SEARCH("FAIL",AE202))),"Y","N"))</f>
        <v/>
      </c>
    </row>
    <row r="203" customFormat="false" ht="15" hidden="false" customHeight="false" outlineLevel="0" collapsed="false">
      <c r="A203" s="10" t="str">
        <f aca="false">IF(C203="","",IFERROR(VLOOKUP(C203,Lists!$BI$4:$BJ$20,2,0),"??")&amp;"-"&amp;UPPER(SUBSTITUTE(D203," ",""))&amp;IF(E203&lt;&gt;"","-SP"&amp;TEXT(E203*1000,"0"),"")&amp;IF(F203&lt;&gt;"","-H"&amp;TEXT(F203*1000,"0"),"")&amp;"-"&amp;M203)</f>
        <v/>
      </c>
      <c r="B203" s="10" t="str">
        <f aca="false">IF(C203="","",C203&amp;" - "&amp;D203&amp;IF(E203&lt;&gt;"",", span "&amp;E203&amp;" m","")&amp;IF(F203&lt;&gt;"",", H "&amp;F203&amp;" m","")&amp;IF(G203&lt;&gt;"",", W "&amp;G203&amp;" m",""))</f>
        <v/>
      </c>
      <c r="C203" s="9"/>
      <c r="D203" s="9"/>
      <c r="E203" s="43"/>
      <c r="F203" s="43"/>
      <c r="G203" s="43"/>
      <c r="H203" s="9"/>
      <c r="I203" s="9"/>
      <c r="J203" s="9"/>
      <c r="K203" s="9"/>
      <c r="L203" s="9"/>
      <c r="M203" s="9"/>
      <c r="N203" s="9"/>
      <c r="O203" s="9"/>
      <c r="P203" s="9"/>
      <c r="Q203" s="9"/>
      <c r="R203" s="10" t="str">
        <f aca="false">IF(A203="","",SG_Criteria!$B$6&amp;SG_Criteria!$B$13&amp;"\"&amp;A203&amp;"\")</f>
        <v/>
      </c>
      <c r="S203" s="10" t="str">
        <f aca="false">IF(A203="","",A203&amp;"_CAD.dwg")</f>
        <v/>
      </c>
      <c r="T203" s="10" t="str">
        <f aca="false">IF(A203="","",A203&amp;"_DWG.pdf")</f>
        <v/>
      </c>
      <c r="U203" s="10" t="str">
        <f aca="false">IF(A203="","",IF(Q203="Y",A203&amp;"_STAAD.std","n/a"))</f>
        <v/>
      </c>
      <c r="V203" s="10" t="str">
        <f aca="false">IF(A203="","",A203&amp;"_CALC.xlsx")</f>
        <v/>
      </c>
      <c r="W203" s="10" t="str">
        <f aca="false">IF(A203="","",A203&amp;"_CALC.pdf")</f>
        <v/>
      </c>
      <c r="X203" s="9"/>
      <c r="Y203" s="9"/>
      <c r="Z203" s="41"/>
      <c r="AA203" s="41"/>
      <c r="AB203" s="41"/>
      <c r="AC203" s="41"/>
      <c r="AD203" s="41"/>
      <c r="AE203" s="38" t="str">
        <f aca="false">IF(C203="","","OK")</f>
        <v/>
      </c>
      <c r="AF203" s="9"/>
      <c r="AG203" s="9"/>
      <c r="AH203" s="9"/>
      <c r="AI203" s="9"/>
      <c r="AJ203" s="9"/>
      <c r="AK203" s="31"/>
      <c r="AL203" s="10" t="str">
        <f aca="false">IF(C203="","",IF(AND(N203="Approved",ISERROR(SEARCH("FAIL",AE203))),"Y","N"))</f>
        <v/>
      </c>
    </row>
    <row r="204" customFormat="false" ht="15" hidden="false" customHeight="false" outlineLevel="0" collapsed="false">
      <c r="A204" s="10" t="str">
        <f aca="false">IF(C204="","",IFERROR(VLOOKUP(C204,Lists!$BI$4:$BJ$20,2,0),"??")&amp;"-"&amp;UPPER(SUBSTITUTE(D204," ",""))&amp;IF(E204&lt;&gt;"","-SP"&amp;TEXT(E204*1000,"0"),"")&amp;IF(F204&lt;&gt;"","-H"&amp;TEXT(F204*1000,"0"),"")&amp;"-"&amp;M204)</f>
        <v/>
      </c>
      <c r="B204" s="10" t="str">
        <f aca="false">IF(C204="","",C204&amp;" - "&amp;D204&amp;IF(E204&lt;&gt;"",", span "&amp;E204&amp;" m","")&amp;IF(F204&lt;&gt;"",", H "&amp;F204&amp;" m","")&amp;IF(G204&lt;&gt;"",", W "&amp;G204&amp;" m",""))</f>
        <v/>
      </c>
      <c r="C204" s="9"/>
      <c r="D204" s="9"/>
      <c r="E204" s="43"/>
      <c r="F204" s="43"/>
      <c r="G204" s="43"/>
      <c r="H204" s="9"/>
      <c r="I204" s="9"/>
      <c r="J204" s="9"/>
      <c r="K204" s="9"/>
      <c r="L204" s="9"/>
      <c r="M204" s="9"/>
      <c r="N204" s="9"/>
      <c r="O204" s="9"/>
      <c r="P204" s="9"/>
      <c r="Q204" s="9"/>
      <c r="R204" s="10" t="str">
        <f aca="false">IF(A204="","",SG_Criteria!$B$6&amp;SG_Criteria!$B$13&amp;"\"&amp;A204&amp;"\")</f>
        <v/>
      </c>
      <c r="S204" s="10" t="str">
        <f aca="false">IF(A204="","",A204&amp;"_CAD.dwg")</f>
        <v/>
      </c>
      <c r="T204" s="10" t="str">
        <f aca="false">IF(A204="","",A204&amp;"_DWG.pdf")</f>
        <v/>
      </c>
      <c r="U204" s="10" t="str">
        <f aca="false">IF(A204="","",IF(Q204="Y",A204&amp;"_STAAD.std","n/a"))</f>
        <v/>
      </c>
      <c r="V204" s="10" t="str">
        <f aca="false">IF(A204="","",A204&amp;"_CALC.xlsx")</f>
        <v/>
      </c>
      <c r="W204" s="10" t="str">
        <f aca="false">IF(A204="","",A204&amp;"_CALC.pdf")</f>
        <v/>
      </c>
      <c r="X204" s="9"/>
      <c r="Y204" s="9"/>
      <c r="Z204" s="41"/>
      <c r="AA204" s="41"/>
      <c r="AB204" s="41"/>
      <c r="AC204" s="41"/>
      <c r="AD204" s="41"/>
      <c r="AE204" s="38" t="str">
        <f aca="false">IF(C204="","","OK")</f>
        <v/>
      </c>
      <c r="AF204" s="9"/>
      <c r="AG204" s="9"/>
      <c r="AH204" s="9"/>
      <c r="AI204" s="9"/>
      <c r="AJ204" s="9"/>
      <c r="AK204" s="31"/>
      <c r="AL204" s="10" t="str">
        <f aca="false">IF(C204="","",IF(AND(N204="Approved",ISERROR(SEARCH("FAIL",AE204))),"Y","N"))</f>
        <v/>
      </c>
    </row>
    <row r="205" customFormat="false" ht="15" hidden="false" customHeight="false" outlineLevel="0" collapsed="false">
      <c r="A205" s="10" t="str">
        <f aca="false">IF(C205="","",IFERROR(VLOOKUP(C205,Lists!$BI$4:$BJ$20,2,0),"??")&amp;"-"&amp;UPPER(SUBSTITUTE(D205," ",""))&amp;IF(E205&lt;&gt;"","-SP"&amp;TEXT(E205*1000,"0"),"")&amp;IF(F205&lt;&gt;"","-H"&amp;TEXT(F205*1000,"0"),"")&amp;"-"&amp;M205)</f>
        <v/>
      </c>
      <c r="B205" s="10" t="str">
        <f aca="false">IF(C205="","",C205&amp;" - "&amp;D205&amp;IF(E205&lt;&gt;"",", span "&amp;E205&amp;" m","")&amp;IF(F205&lt;&gt;"",", H "&amp;F205&amp;" m","")&amp;IF(G205&lt;&gt;"",", W "&amp;G205&amp;" m",""))</f>
        <v/>
      </c>
      <c r="C205" s="9"/>
      <c r="D205" s="9"/>
      <c r="E205" s="43"/>
      <c r="F205" s="43"/>
      <c r="G205" s="43"/>
      <c r="H205" s="9"/>
      <c r="I205" s="9"/>
      <c r="J205" s="9"/>
      <c r="K205" s="9"/>
      <c r="L205" s="9"/>
      <c r="M205" s="9"/>
      <c r="N205" s="9"/>
      <c r="O205" s="9"/>
      <c r="P205" s="9"/>
      <c r="Q205" s="9"/>
      <c r="R205" s="10" t="str">
        <f aca="false">IF(A205="","",SG_Criteria!$B$6&amp;SG_Criteria!$B$13&amp;"\"&amp;A205&amp;"\")</f>
        <v/>
      </c>
      <c r="S205" s="10" t="str">
        <f aca="false">IF(A205="","",A205&amp;"_CAD.dwg")</f>
        <v/>
      </c>
      <c r="T205" s="10" t="str">
        <f aca="false">IF(A205="","",A205&amp;"_DWG.pdf")</f>
        <v/>
      </c>
      <c r="U205" s="10" t="str">
        <f aca="false">IF(A205="","",IF(Q205="Y",A205&amp;"_STAAD.std","n/a"))</f>
        <v/>
      </c>
      <c r="V205" s="10" t="str">
        <f aca="false">IF(A205="","",A205&amp;"_CALC.xlsx")</f>
        <v/>
      </c>
      <c r="W205" s="10" t="str">
        <f aca="false">IF(A205="","",A205&amp;"_CALC.pdf")</f>
        <v/>
      </c>
      <c r="X205" s="9"/>
      <c r="Y205" s="9"/>
      <c r="Z205" s="41"/>
      <c r="AA205" s="41"/>
      <c r="AB205" s="41"/>
      <c r="AC205" s="41"/>
      <c r="AD205" s="41"/>
      <c r="AE205" s="38" t="str">
        <f aca="false">IF(C205="","","OK")</f>
        <v/>
      </c>
      <c r="AF205" s="9"/>
      <c r="AG205" s="9"/>
      <c r="AH205" s="9"/>
      <c r="AI205" s="9"/>
      <c r="AJ205" s="9"/>
      <c r="AK205" s="31"/>
      <c r="AL205" s="10" t="str">
        <f aca="false">IF(C205="","",IF(AND(N205="Approved",ISERROR(SEARCH("FAIL",AE205))),"Y","N"))</f>
        <v/>
      </c>
    </row>
    <row r="206" customFormat="false" ht="15" hidden="false" customHeight="false" outlineLevel="0" collapsed="false">
      <c r="A206" s="10" t="str">
        <f aca="false">IF(C206="","",IFERROR(VLOOKUP(C206,Lists!$BI$4:$BJ$20,2,0),"??")&amp;"-"&amp;UPPER(SUBSTITUTE(D206," ",""))&amp;IF(E206&lt;&gt;"","-SP"&amp;TEXT(E206*1000,"0"),"")&amp;IF(F206&lt;&gt;"","-H"&amp;TEXT(F206*1000,"0"),"")&amp;"-"&amp;M206)</f>
        <v/>
      </c>
      <c r="B206" s="10" t="str">
        <f aca="false">IF(C206="","",C206&amp;" - "&amp;D206&amp;IF(E206&lt;&gt;"",", span "&amp;E206&amp;" m","")&amp;IF(F206&lt;&gt;"",", H "&amp;F206&amp;" m","")&amp;IF(G206&lt;&gt;"",", W "&amp;G206&amp;" m",""))</f>
        <v/>
      </c>
      <c r="C206" s="9"/>
      <c r="D206" s="9"/>
      <c r="E206" s="43"/>
      <c r="F206" s="43"/>
      <c r="G206" s="43"/>
      <c r="H206" s="9"/>
      <c r="I206" s="9"/>
      <c r="J206" s="9"/>
      <c r="K206" s="9"/>
      <c r="L206" s="9"/>
      <c r="M206" s="9"/>
      <c r="N206" s="9"/>
      <c r="O206" s="9"/>
      <c r="P206" s="9"/>
      <c r="Q206" s="9"/>
      <c r="R206" s="10" t="str">
        <f aca="false">IF(A206="","",SG_Criteria!$B$6&amp;SG_Criteria!$B$13&amp;"\"&amp;A206&amp;"\")</f>
        <v/>
      </c>
      <c r="S206" s="10" t="str">
        <f aca="false">IF(A206="","",A206&amp;"_CAD.dwg")</f>
        <v/>
      </c>
      <c r="T206" s="10" t="str">
        <f aca="false">IF(A206="","",A206&amp;"_DWG.pdf")</f>
        <v/>
      </c>
      <c r="U206" s="10" t="str">
        <f aca="false">IF(A206="","",IF(Q206="Y",A206&amp;"_STAAD.std","n/a"))</f>
        <v/>
      </c>
      <c r="V206" s="10" t="str">
        <f aca="false">IF(A206="","",A206&amp;"_CALC.xlsx")</f>
        <v/>
      </c>
      <c r="W206" s="10" t="str">
        <f aca="false">IF(A206="","",A206&amp;"_CALC.pdf")</f>
        <v/>
      </c>
      <c r="X206" s="9"/>
      <c r="Y206" s="9"/>
      <c r="Z206" s="41"/>
      <c r="AA206" s="41"/>
      <c r="AB206" s="41"/>
      <c r="AC206" s="41"/>
      <c r="AD206" s="41"/>
      <c r="AE206" s="38" t="str">
        <f aca="false">IF(C206="","","OK")</f>
        <v/>
      </c>
      <c r="AF206" s="9"/>
      <c r="AG206" s="9"/>
      <c r="AH206" s="9"/>
      <c r="AI206" s="9"/>
      <c r="AJ206" s="9"/>
      <c r="AK206" s="31"/>
      <c r="AL206" s="10" t="str">
        <f aca="false">IF(C206="","",IF(AND(N206="Approved",ISERROR(SEARCH("FAIL",AE206))),"Y","N"))</f>
        <v/>
      </c>
    </row>
    <row r="207" customFormat="false" ht="15" hidden="false" customHeight="false" outlineLevel="0" collapsed="false">
      <c r="A207" s="10" t="str">
        <f aca="false">IF(C207="","",IFERROR(VLOOKUP(C207,Lists!$BI$4:$BJ$20,2,0),"??")&amp;"-"&amp;UPPER(SUBSTITUTE(D207," ",""))&amp;IF(E207&lt;&gt;"","-SP"&amp;TEXT(E207*1000,"0"),"")&amp;IF(F207&lt;&gt;"","-H"&amp;TEXT(F207*1000,"0"),"")&amp;"-"&amp;M207)</f>
        <v/>
      </c>
      <c r="B207" s="10" t="str">
        <f aca="false">IF(C207="","",C207&amp;" - "&amp;D207&amp;IF(E207&lt;&gt;"",", span "&amp;E207&amp;" m","")&amp;IF(F207&lt;&gt;"",", H "&amp;F207&amp;" m","")&amp;IF(G207&lt;&gt;"",", W "&amp;G207&amp;" m",""))</f>
        <v/>
      </c>
      <c r="C207" s="9"/>
      <c r="D207" s="9"/>
      <c r="E207" s="43"/>
      <c r="F207" s="43"/>
      <c r="G207" s="43"/>
      <c r="H207" s="9"/>
      <c r="I207" s="9"/>
      <c r="J207" s="9"/>
      <c r="K207" s="9"/>
      <c r="L207" s="9"/>
      <c r="M207" s="9"/>
      <c r="N207" s="9"/>
      <c r="O207" s="9"/>
      <c r="P207" s="9"/>
      <c r="Q207" s="9"/>
      <c r="R207" s="10" t="str">
        <f aca="false">IF(A207="","",SG_Criteria!$B$6&amp;SG_Criteria!$B$13&amp;"\"&amp;A207&amp;"\")</f>
        <v/>
      </c>
      <c r="S207" s="10" t="str">
        <f aca="false">IF(A207="","",A207&amp;"_CAD.dwg")</f>
        <v/>
      </c>
      <c r="T207" s="10" t="str">
        <f aca="false">IF(A207="","",A207&amp;"_DWG.pdf")</f>
        <v/>
      </c>
      <c r="U207" s="10" t="str">
        <f aca="false">IF(A207="","",IF(Q207="Y",A207&amp;"_STAAD.std","n/a"))</f>
        <v/>
      </c>
      <c r="V207" s="10" t="str">
        <f aca="false">IF(A207="","",A207&amp;"_CALC.xlsx")</f>
        <v/>
      </c>
      <c r="W207" s="10" t="str">
        <f aca="false">IF(A207="","",A207&amp;"_CALC.pdf")</f>
        <v/>
      </c>
      <c r="X207" s="9"/>
      <c r="Y207" s="9"/>
      <c r="Z207" s="41"/>
      <c r="AA207" s="41"/>
      <c r="AB207" s="41"/>
      <c r="AC207" s="41"/>
      <c r="AD207" s="41"/>
      <c r="AE207" s="38" t="str">
        <f aca="false">IF(C207="","","OK")</f>
        <v/>
      </c>
      <c r="AF207" s="9"/>
      <c r="AG207" s="9"/>
      <c r="AH207" s="9"/>
      <c r="AI207" s="9"/>
      <c r="AJ207" s="9"/>
      <c r="AK207" s="31"/>
      <c r="AL207" s="10" t="str">
        <f aca="false">IF(C207="","",IF(AND(N207="Approved",ISERROR(SEARCH("FAIL",AE207))),"Y","N"))</f>
        <v/>
      </c>
    </row>
    <row r="208" customFormat="false" ht="15" hidden="false" customHeight="false" outlineLevel="0" collapsed="false">
      <c r="A208" s="10" t="str">
        <f aca="false">IF(C208="","",IFERROR(VLOOKUP(C208,Lists!$BI$4:$BJ$20,2,0),"??")&amp;"-"&amp;UPPER(SUBSTITUTE(D208," ",""))&amp;IF(E208&lt;&gt;"","-SP"&amp;TEXT(E208*1000,"0"),"")&amp;IF(F208&lt;&gt;"","-H"&amp;TEXT(F208*1000,"0"),"")&amp;"-"&amp;M208)</f>
        <v/>
      </c>
      <c r="B208" s="10" t="str">
        <f aca="false">IF(C208="","",C208&amp;" - "&amp;D208&amp;IF(E208&lt;&gt;"",", span "&amp;E208&amp;" m","")&amp;IF(F208&lt;&gt;"",", H "&amp;F208&amp;" m","")&amp;IF(G208&lt;&gt;"",", W "&amp;G208&amp;" m",""))</f>
        <v/>
      </c>
      <c r="C208" s="9"/>
      <c r="D208" s="9"/>
      <c r="E208" s="43"/>
      <c r="F208" s="43"/>
      <c r="G208" s="43"/>
      <c r="H208" s="9"/>
      <c r="I208" s="9"/>
      <c r="J208" s="9"/>
      <c r="K208" s="9"/>
      <c r="L208" s="9"/>
      <c r="M208" s="9"/>
      <c r="N208" s="9"/>
      <c r="O208" s="9"/>
      <c r="P208" s="9"/>
      <c r="Q208" s="9"/>
      <c r="R208" s="10" t="str">
        <f aca="false">IF(A208="","",SG_Criteria!$B$6&amp;SG_Criteria!$B$13&amp;"\"&amp;A208&amp;"\")</f>
        <v/>
      </c>
      <c r="S208" s="10" t="str">
        <f aca="false">IF(A208="","",A208&amp;"_CAD.dwg")</f>
        <v/>
      </c>
      <c r="T208" s="10" t="str">
        <f aca="false">IF(A208="","",A208&amp;"_DWG.pdf")</f>
        <v/>
      </c>
      <c r="U208" s="10" t="str">
        <f aca="false">IF(A208="","",IF(Q208="Y",A208&amp;"_STAAD.std","n/a"))</f>
        <v/>
      </c>
      <c r="V208" s="10" t="str">
        <f aca="false">IF(A208="","",A208&amp;"_CALC.xlsx")</f>
        <v/>
      </c>
      <c r="W208" s="10" t="str">
        <f aca="false">IF(A208="","",A208&amp;"_CALC.pdf")</f>
        <v/>
      </c>
      <c r="X208" s="9"/>
      <c r="Y208" s="9"/>
      <c r="Z208" s="41"/>
      <c r="AA208" s="41"/>
      <c r="AB208" s="41"/>
      <c r="AC208" s="41"/>
      <c r="AD208" s="41"/>
      <c r="AE208" s="38" t="str">
        <f aca="false">IF(C208="","","OK")</f>
        <v/>
      </c>
      <c r="AF208" s="9"/>
      <c r="AG208" s="9"/>
      <c r="AH208" s="9"/>
      <c r="AI208" s="9"/>
      <c r="AJ208" s="9"/>
      <c r="AK208" s="31"/>
      <c r="AL208" s="10" t="str">
        <f aca="false">IF(C208="","",IF(AND(N208="Approved",ISERROR(SEARCH("FAIL",AE208))),"Y","N"))</f>
        <v/>
      </c>
    </row>
    <row r="209" customFormat="false" ht="15" hidden="false" customHeight="false" outlineLevel="0" collapsed="false">
      <c r="A209" s="10" t="str">
        <f aca="false">IF(C209="","",IFERROR(VLOOKUP(C209,Lists!$BI$4:$BJ$20,2,0),"??")&amp;"-"&amp;UPPER(SUBSTITUTE(D209," ",""))&amp;IF(E209&lt;&gt;"","-SP"&amp;TEXT(E209*1000,"0"),"")&amp;IF(F209&lt;&gt;"","-H"&amp;TEXT(F209*1000,"0"),"")&amp;"-"&amp;M209)</f>
        <v/>
      </c>
      <c r="B209" s="10" t="str">
        <f aca="false">IF(C209="","",C209&amp;" - "&amp;D209&amp;IF(E209&lt;&gt;"",", span "&amp;E209&amp;" m","")&amp;IF(F209&lt;&gt;"",", H "&amp;F209&amp;" m","")&amp;IF(G209&lt;&gt;"",", W "&amp;G209&amp;" m",""))</f>
        <v/>
      </c>
      <c r="C209" s="9"/>
      <c r="D209" s="9"/>
      <c r="E209" s="43"/>
      <c r="F209" s="43"/>
      <c r="G209" s="43"/>
      <c r="H209" s="9"/>
      <c r="I209" s="9"/>
      <c r="J209" s="9"/>
      <c r="K209" s="9"/>
      <c r="L209" s="9"/>
      <c r="M209" s="9"/>
      <c r="N209" s="9"/>
      <c r="O209" s="9"/>
      <c r="P209" s="9"/>
      <c r="Q209" s="9"/>
      <c r="R209" s="10" t="str">
        <f aca="false">IF(A209="","",SG_Criteria!$B$6&amp;SG_Criteria!$B$13&amp;"\"&amp;A209&amp;"\")</f>
        <v/>
      </c>
      <c r="S209" s="10" t="str">
        <f aca="false">IF(A209="","",A209&amp;"_CAD.dwg")</f>
        <v/>
      </c>
      <c r="T209" s="10" t="str">
        <f aca="false">IF(A209="","",A209&amp;"_DWG.pdf")</f>
        <v/>
      </c>
      <c r="U209" s="10" t="str">
        <f aca="false">IF(A209="","",IF(Q209="Y",A209&amp;"_STAAD.std","n/a"))</f>
        <v/>
      </c>
      <c r="V209" s="10" t="str">
        <f aca="false">IF(A209="","",A209&amp;"_CALC.xlsx")</f>
        <v/>
      </c>
      <c r="W209" s="10" t="str">
        <f aca="false">IF(A209="","",A209&amp;"_CALC.pdf")</f>
        <v/>
      </c>
      <c r="X209" s="9"/>
      <c r="Y209" s="9"/>
      <c r="Z209" s="41"/>
      <c r="AA209" s="41"/>
      <c r="AB209" s="41"/>
      <c r="AC209" s="41"/>
      <c r="AD209" s="41"/>
      <c r="AE209" s="38" t="str">
        <f aca="false">IF(C209="","","OK")</f>
        <v/>
      </c>
      <c r="AF209" s="9"/>
      <c r="AG209" s="9"/>
      <c r="AH209" s="9"/>
      <c r="AI209" s="9"/>
      <c r="AJ209" s="9"/>
      <c r="AK209" s="31"/>
      <c r="AL209" s="10" t="str">
        <f aca="false">IF(C209="","",IF(AND(N209="Approved",ISERROR(SEARCH("FAIL",AE209))),"Y","N"))</f>
        <v/>
      </c>
    </row>
    <row r="210" customFormat="false" ht="15" hidden="false" customHeight="false" outlineLevel="0" collapsed="false">
      <c r="A210" s="10" t="str">
        <f aca="false">IF(C210="","",IFERROR(VLOOKUP(C210,Lists!$BI$4:$BJ$20,2,0),"??")&amp;"-"&amp;UPPER(SUBSTITUTE(D210," ",""))&amp;IF(E210&lt;&gt;"","-SP"&amp;TEXT(E210*1000,"0"),"")&amp;IF(F210&lt;&gt;"","-H"&amp;TEXT(F210*1000,"0"),"")&amp;"-"&amp;M210)</f>
        <v/>
      </c>
      <c r="B210" s="10" t="str">
        <f aca="false">IF(C210="","",C210&amp;" - "&amp;D210&amp;IF(E210&lt;&gt;"",", span "&amp;E210&amp;" m","")&amp;IF(F210&lt;&gt;"",", H "&amp;F210&amp;" m","")&amp;IF(G210&lt;&gt;"",", W "&amp;G210&amp;" m",""))</f>
        <v/>
      </c>
      <c r="C210" s="9"/>
      <c r="D210" s="9"/>
      <c r="E210" s="43"/>
      <c r="F210" s="43"/>
      <c r="G210" s="43"/>
      <c r="H210" s="9"/>
      <c r="I210" s="9"/>
      <c r="J210" s="9"/>
      <c r="K210" s="9"/>
      <c r="L210" s="9"/>
      <c r="M210" s="9"/>
      <c r="N210" s="9"/>
      <c r="O210" s="9"/>
      <c r="P210" s="9"/>
      <c r="Q210" s="9"/>
      <c r="R210" s="10" t="str">
        <f aca="false">IF(A210="","",SG_Criteria!$B$6&amp;SG_Criteria!$B$13&amp;"\"&amp;A210&amp;"\")</f>
        <v/>
      </c>
      <c r="S210" s="10" t="str">
        <f aca="false">IF(A210="","",A210&amp;"_CAD.dwg")</f>
        <v/>
      </c>
      <c r="T210" s="10" t="str">
        <f aca="false">IF(A210="","",A210&amp;"_DWG.pdf")</f>
        <v/>
      </c>
      <c r="U210" s="10" t="str">
        <f aca="false">IF(A210="","",IF(Q210="Y",A210&amp;"_STAAD.std","n/a"))</f>
        <v/>
      </c>
      <c r="V210" s="10" t="str">
        <f aca="false">IF(A210="","",A210&amp;"_CALC.xlsx")</f>
        <v/>
      </c>
      <c r="W210" s="10" t="str">
        <f aca="false">IF(A210="","",A210&amp;"_CALC.pdf")</f>
        <v/>
      </c>
      <c r="X210" s="9"/>
      <c r="Y210" s="9"/>
      <c r="Z210" s="41"/>
      <c r="AA210" s="41"/>
      <c r="AB210" s="41"/>
      <c r="AC210" s="41"/>
      <c r="AD210" s="41"/>
      <c r="AE210" s="38" t="str">
        <f aca="false">IF(C210="","","OK")</f>
        <v/>
      </c>
      <c r="AF210" s="9"/>
      <c r="AG210" s="9"/>
      <c r="AH210" s="9"/>
      <c r="AI210" s="9"/>
      <c r="AJ210" s="9"/>
      <c r="AK210" s="31"/>
      <c r="AL210" s="10" t="str">
        <f aca="false">IF(C210="","",IF(AND(N210="Approved",ISERROR(SEARCH("FAIL",AE210))),"Y","N"))</f>
        <v/>
      </c>
    </row>
    <row r="211" customFormat="false" ht="15" hidden="false" customHeight="false" outlineLevel="0" collapsed="false">
      <c r="A211" s="10" t="str">
        <f aca="false">IF(C211="","",IFERROR(VLOOKUP(C211,Lists!$BI$4:$BJ$20,2,0),"??")&amp;"-"&amp;UPPER(SUBSTITUTE(D211," ",""))&amp;IF(E211&lt;&gt;"","-SP"&amp;TEXT(E211*1000,"0"),"")&amp;IF(F211&lt;&gt;"","-H"&amp;TEXT(F211*1000,"0"),"")&amp;"-"&amp;M211)</f>
        <v/>
      </c>
      <c r="B211" s="10" t="str">
        <f aca="false">IF(C211="","",C211&amp;" - "&amp;D211&amp;IF(E211&lt;&gt;"",", span "&amp;E211&amp;" m","")&amp;IF(F211&lt;&gt;"",", H "&amp;F211&amp;" m","")&amp;IF(G211&lt;&gt;"",", W "&amp;G211&amp;" m",""))</f>
        <v/>
      </c>
      <c r="C211" s="9"/>
      <c r="D211" s="9"/>
      <c r="E211" s="43"/>
      <c r="F211" s="43"/>
      <c r="G211" s="43"/>
      <c r="H211" s="9"/>
      <c r="I211" s="9"/>
      <c r="J211" s="9"/>
      <c r="K211" s="9"/>
      <c r="L211" s="9"/>
      <c r="M211" s="9"/>
      <c r="N211" s="9"/>
      <c r="O211" s="9"/>
      <c r="P211" s="9"/>
      <c r="Q211" s="9"/>
      <c r="R211" s="10" t="str">
        <f aca="false">IF(A211="","",SG_Criteria!$B$6&amp;SG_Criteria!$B$13&amp;"\"&amp;A211&amp;"\")</f>
        <v/>
      </c>
      <c r="S211" s="10" t="str">
        <f aca="false">IF(A211="","",A211&amp;"_CAD.dwg")</f>
        <v/>
      </c>
      <c r="T211" s="10" t="str">
        <f aca="false">IF(A211="","",A211&amp;"_DWG.pdf")</f>
        <v/>
      </c>
      <c r="U211" s="10" t="str">
        <f aca="false">IF(A211="","",IF(Q211="Y",A211&amp;"_STAAD.std","n/a"))</f>
        <v/>
      </c>
      <c r="V211" s="10" t="str">
        <f aca="false">IF(A211="","",A211&amp;"_CALC.xlsx")</f>
        <v/>
      </c>
      <c r="W211" s="10" t="str">
        <f aca="false">IF(A211="","",A211&amp;"_CALC.pdf")</f>
        <v/>
      </c>
      <c r="X211" s="9"/>
      <c r="Y211" s="9"/>
      <c r="Z211" s="41"/>
      <c r="AA211" s="41"/>
      <c r="AB211" s="41"/>
      <c r="AC211" s="41"/>
      <c r="AD211" s="41"/>
      <c r="AE211" s="38" t="str">
        <f aca="false">IF(C211="","","OK")</f>
        <v/>
      </c>
      <c r="AF211" s="9"/>
      <c r="AG211" s="9"/>
      <c r="AH211" s="9"/>
      <c r="AI211" s="9"/>
      <c r="AJ211" s="9"/>
      <c r="AK211" s="31"/>
      <c r="AL211" s="10" t="str">
        <f aca="false">IF(C211="","",IF(AND(N211="Approved",ISERROR(SEARCH("FAIL",AE211))),"Y","N"))</f>
        <v/>
      </c>
    </row>
    <row r="212" customFormat="false" ht="15" hidden="false" customHeight="false" outlineLevel="0" collapsed="false">
      <c r="A212" s="10" t="str">
        <f aca="false">IF(C212="","",IFERROR(VLOOKUP(C212,Lists!$BI$4:$BJ$20,2,0),"??")&amp;"-"&amp;UPPER(SUBSTITUTE(D212," ",""))&amp;IF(E212&lt;&gt;"","-SP"&amp;TEXT(E212*1000,"0"),"")&amp;IF(F212&lt;&gt;"","-H"&amp;TEXT(F212*1000,"0"),"")&amp;"-"&amp;M212)</f>
        <v/>
      </c>
      <c r="B212" s="10" t="str">
        <f aca="false">IF(C212="","",C212&amp;" - "&amp;D212&amp;IF(E212&lt;&gt;"",", span "&amp;E212&amp;" m","")&amp;IF(F212&lt;&gt;"",", H "&amp;F212&amp;" m","")&amp;IF(G212&lt;&gt;"",", W "&amp;G212&amp;" m",""))</f>
        <v/>
      </c>
      <c r="C212" s="9"/>
      <c r="D212" s="9"/>
      <c r="E212" s="43"/>
      <c r="F212" s="43"/>
      <c r="G212" s="43"/>
      <c r="H212" s="9"/>
      <c r="I212" s="9"/>
      <c r="J212" s="9"/>
      <c r="K212" s="9"/>
      <c r="L212" s="9"/>
      <c r="M212" s="9"/>
      <c r="N212" s="9"/>
      <c r="O212" s="9"/>
      <c r="P212" s="9"/>
      <c r="Q212" s="9"/>
      <c r="R212" s="10" t="str">
        <f aca="false">IF(A212="","",SG_Criteria!$B$6&amp;SG_Criteria!$B$13&amp;"\"&amp;A212&amp;"\")</f>
        <v/>
      </c>
      <c r="S212" s="10" t="str">
        <f aca="false">IF(A212="","",A212&amp;"_CAD.dwg")</f>
        <v/>
      </c>
      <c r="T212" s="10" t="str">
        <f aca="false">IF(A212="","",A212&amp;"_DWG.pdf")</f>
        <v/>
      </c>
      <c r="U212" s="10" t="str">
        <f aca="false">IF(A212="","",IF(Q212="Y",A212&amp;"_STAAD.std","n/a"))</f>
        <v/>
      </c>
      <c r="V212" s="10" t="str">
        <f aca="false">IF(A212="","",A212&amp;"_CALC.xlsx")</f>
        <v/>
      </c>
      <c r="W212" s="10" t="str">
        <f aca="false">IF(A212="","",A212&amp;"_CALC.pdf")</f>
        <v/>
      </c>
      <c r="X212" s="9"/>
      <c r="Y212" s="9"/>
      <c r="Z212" s="41"/>
      <c r="AA212" s="41"/>
      <c r="AB212" s="41"/>
      <c r="AC212" s="41"/>
      <c r="AD212" s="41"/>
      <c r="AE212" s="38" t="str">
        <f aca="false">IF(C212="","","OK")</f>
        <v/>
      </c>
      <c r="AF212" s="9"/>
      <c r="AG212" s="9"/>
      <c r="AH212" s="9"/>
      <c r="AI212" s="9"/>
      <c r="AJ212" s="9"/>
      <c r="AK212" s="31"/>
      <c r="AL212" s="10" t="str">
        <f aca="false">IF(C212="","",IF(AND(N212="Approved",ISERROR(SEARCH("FAIL",AE212))),"Y","N"))</f>
        <v/>
      </c>
    </row>
    <row r="213" customFormat="false" ht="15" hidden="false" customHeight="false" outlineLevel="0" collapsed="false">
      <c r="A213" s="10" t="str">
        <f aca="false">IF(C213="","",IFERROR(VLOOKUP(C213,Lists!$BI$4:$BJ$20,2,0),"??")&amp;"-"&amp;UPPER(SUBSTITUTE(D213," ",""))&amp;IF(E213&lt;&gt;"","-SP"&amp;TEXT(E213*1000,"0"),"")&amp;IF(F213&lt;&gt;"","-H"&amp;TEXT(F213*1000,"0"),"")&amp;"-"&amp;M213)</f>
        <v/>
      </c>
      <c r="B213" s="10" t="str">
        <f aca="false">IF(C213="","",C213&amp;" - "&amp;D213&amp;IF(E213&lt;&gt;"",", span "&amp;E213&amp;" m","")&amp;IF(F213&lt;&gt;"",", H "&amp;F213&amp;" m","")&amp;IF(G213&lt;&gt;"",", W "&amp;G213&amp;" m",""))</f>
        <v/>
      </c>
      <c r="C213" s="9"/>
      <c r="D213" s="9"/>
      <c r="E213" s="43"/>
      <c r="F213" s="43"/>
      <c r="G213" s="43"/>
      <c r="H213" s="9"/>
      <c r="I213" s="9"/>
      <c r="J213" s="9"/>
      <c r="K213" s="9"/>
      <c r="L213" s="9"/>
      <c r="M213" s="9"/>
      <c r="N213" s="9"/>
      <c r="O213" s="9"/>
      <c r="P213" s="9"/>
      <c r="Q213" s="9"/>
      <c r="R213" s="10" t="str">
        <f aca="false">IF(A213="","",SG_Criteria!$B$6&amp;SG_Criteria!$B$13&amp;"\"&amp;A213&amp;"\")</f>
        <v/>
      </c>
      <c r="S213" s="10" t="str">
        <f aca="false">IF(A213="","",A213&amp;"_CAD.dwg")</f>
        <v/>
      </c>
      <c r="T213" s="10" t="str">
        <f aca="false">IF(A213="","",A213&amp;"_DWG.pdf")</f>
        <v/>
      </c>
      <c r="U213" s="10" t="str">
        <f aca="false">IF(A213="","",IF(Q213="Y",A213&amp;"_STAAD.std","n/a"))</f>
        <v/>
      </c>
      <c r="V213" s="10" t="str">
        <f aca="false">IF(A213="","",A213&amp;"_CALC.xlsx")</f>
        <v/>
      </c>
      <c r="W213" s="10" t="str">
        <f aca="false">IF(A213="","",A213&amp;"_CALC.pdf")</f>
        <v/>
      </c>
      <c r="X213" s="9"/>
      <c r="Y213" s="9"/>
      <c r="Z213" s="41"/>
      <c r="AA213" s="41"/>
      <c r="AB213" s="41"/>
      <c r="AC213" s="41"/>
      <c r="AD213" s="41"/>
      <c r="AE213" s="38" t="str">
        <f aca="false">IF(C213="","","OK")</f>
        <v/>
      </c>
      <c r="AF213" s="9"/>
      <c r="AG213" s="9"/>
      <c r="AH213" s="9"/>
      <c r="AI213" s="9"/>
      <c r="AJ213" s="9"/>
      <c r="AK213" s="31"/>
      <c r="AL213" s="10" t="str">
        <f aca="false">IF(C213="","",IF(AND(N213="Approved",ISERROR(SEARCH("FAIL",AE213))),"Y","N"))</f>
        <v/>
      </c>
    </row>
    <row r="214" customFormat="false" ht="15" hidden="false" customHeight="false" outlineLevel="0" collapsed="false">
      <c r="A214" s="10" t="str">
        <f aca="false">IF(C214="","",IFERROR(VLOOKUP(C214,Lists!$BI$4:$BJ$20,2,0),"??")&amp;"-"&amp;UPPER(SUBSTITUTE(D214," ",""))&amp;IF(E214&lt;&gt;"","-SP"&amp;TEXT(E214*1000,"0"),"")&amp;IF(F214&lt;&gt;"","-H"&amp;TEXT(F214*1000,"0"),"")&amp;"-"&amp;M214)</f>
        <v/>
      </c>
      <c r="B214" s="10" t="str">
        <f aca="false">IF(C214="","",C214&amp;" - "&amp;D214&amp;IF(E214&lt;&gt;"",", span "&amp;E214&amp;" m","")&amp;IF(F214&lt;&gt;"",", H "&amp;F214&amp;" m","")&amp;IF(G214&lt;&gt;"",", W "&amp;G214&amp;" m",""))</f>
        <v/>
      </c>
      <c r="C214" s="9"/>
      <c r="D214" s="9"/>
      <c r="E214" s="43"/>
      <c r="F214" s="43"/>
      <c r="G214" s="43"/>
      <c r="H214" s="9"/>
      <c r="I214" s="9"/>
      <c r="J214" s="9"/>
      <c r="K214" s="9"/>
      <c r="L214" s="9"/>
      <c r="M214" s="9"/>
      <c r="N214" s="9"/>
      <c r="O214" s="9"/>
      <c r="P214" s="9"/>
      <c r="Q214" s="9"/>
      <c r="R214" s="10" t="str">
        <f aca="false">IF(A214="","",SG_Criteria!$B$6&amp;SG_Criteria!$B$13&amp;"\"&amp;A214&amp;"\")</f>
        <v/>
      </c>
      <c r="S214" s="10" t="str">
        <f aca="false">IF(A214="","",A214&amp;"_CAD.dwg")</f>
        <v/>
      </c>
      <c r="T214" s="10" t="str">
        <f aca="false">IF(A214="","",A214&amp;"_DWG.pdf")</f>
        <v/>
      </c>
      <c r="U214" s="10" t="str">
        <f aca="false">IF(A214="","",IF(Q214="Y",A214&amp;"_STAAD.std","n/a"))</f>
        <v/>
      </c>
      <c r="V214" s="10" t="str">
        <f aca="false">IF(A214="","",A214&amp;"_CALC.xlsx")</f>
        <v/>
      </c>
      <c r="W214" s="10" t="str">
        <f aca="false">IF(A214="","",A214&amp;"_CALC.pdf")</f>
        <v/>
      </c>
      <c r="X214" s="9"/>
      <c r="Y214" s="9"/>
      <c r="Z214" s="41"/>
      <c r="AA214" s="41"/>
      <c r="AB214" s="41"/>
      <c r="AC214" s="41"/>
      <c r="AD214" s="41"/>
      <c r="AE214" s="38" t="str">
        <f aca="false">IF(C214="","","OK")</f>
        <v/>
      </c>
      <c r="AF214" s="9"/>
      <c r="AG214" s="9"/>
      <c r="AH214" s="9"/>
      <c r="AI214" s="9"/>
      <c r="AJ214" s="9"/>
      <c r="AK214" s="31"/>
      <c r="AL214" s="10" t="str">
        <f aca="false">IF(C214="","",IF(AND(N214="Approved",ISERROR(SEARCH("FAIL",AE214))),"Y","N"))</f>
        <v/>
      </c>
    </row>
    <row r="215" customFormat="false" ht="15" hidden="false" customHeight="false" outlineLevel="0" collapsed="false">
      <c r="A215" s="10" t="str">
        <f aca="false">IF(C215="","",IFERROR(VLOOKUP(C215,Lists!$BI$4:$BJ$20,2,0),"??")&amp;"-"&amp;UPPER(SUBSTITUTE(D215," ",""))&amp;IF(E215&lt;&gt;"","-SP"&amp;TEXT(E215*1000,"0"),"")&amp;IF(F215&lt;&gt;"","-H"&amp;TEXT(F215*1000,"0"),"")&amp;"-"&amp;M215)</f>
        <v/>
      </c>
      <c r="B215" s="10" t="str">
        <f aca="false">IF(C215="","",C215&amp;" - "&amp;D215&amp;IF(E215&lt;&gt;"",", span "&amp;E215&amp;" m","")&amp;IF(F215&lt;&gt;"",", H "&amp;F215&amp;" m","")&amp;IF(G215&lt;&gt;"",", W "&amp;G215&amp;" m",""))</f>
        <v/>
      </c>
      <c r="C215" s="9"/>
      <c r="D215" s="9"/>
      <c r="E215" s="43"/>
      <c r="F215" s="43"/>
      <c r="G215" s="43"/>
      <c r="H215" s="9"/>
      <c r="I215" s="9"/>
      <c r="J215" s="9"/>
      <c r="K215" s="9"/>
      <c r="L215" s="9"/>
      <c r="M215" s="9"/>
      <c r="N215" s="9"/>
      <c r="O215" s="9"/>
      <c r="P215" s="9"/>
      <c r="Q215" s="9"/>
      <c r="R215" s="10" t="str">
        <f aca="false">IF(A215="","",SG_Criteria!$B$6&amp;SG_Criteria!$B$13&amp;"\"&amp;A215&amp;"\")</f>
        <v/>
      </c>
      <c r="S215" s="10" t="str">
        <f aca="false">IF(A215="","",A215&amp;"_CAD.dwg")</f>
        <v/>
      </c>
      <c r="T215" s="10" t="str">
        <f aca="false">IF(A215="","",A215&amp;"_DWG.pdf")</f>
        <v/>
      </c>
      <c r="U215" s="10" t="str">
        <f aca="false">IF(A215="","",IF(Q215="Y",A215&amp;"_STAAD.std","n/a"))</f>
        <v/>
      </c>
      <c r="V215" s="10" t="str">
        <f aca="false">IF(A215="","",A215&amp;"_CALC.xlsx")</f>
        <v/>
      </c>
      <c r="W215" s="10" t="str">
        <f aca="false">IF(A215="","",A215&amp;"_CALC.pdf")</f>
        <v/>
      </c>
      <c r="X215" s="9"/>
      <c r="Y215" s="9"/>
      <c r="Z215" s="41"/>
      <c r="AA215" s="41"/>
      <c r="AB215" s="41"/>
      <c r="AC215" s="41"/>
      <c r="AD215" s="41"/>
      <c r="AE215" s="38" t="str">
        <f aca="false">IF(C215="","","OK")</f>
        <v/>
      </c>
      <c r="AF215" s="9"/>
      <c r="AG215" s="9"/>
      <c r="AH215" s="9"/>
      <c r="AI215" s="9"/>
      <c r="AJ215" s="9"/>
      <c r="AK215" s="31"/>
      <c r="AL215" s="10" t="str">
        <f aca="false">IF(C215="","",IF(AND(N215="Approved",ISERROR(SEARCH("FAIL",AE215))),"Y","N"))</f>
        <v/>
      </c>
    </row>
    <row r="216" customFormat="false" ht="15" hidden="false" customHeight="false" outlineLevel="0" collapsed="false">
      <c r="A216" s="10" t="str">
        <f aca="false">IF(C216="","",IFERROR(VLOOKUP(C216,Lists!$BI$4:$BJ$20,2,0),"??")&amp;"-"&amp;UPPER(SUBSTITUTE(D216," ",""))&amp;IF(E216&lt;&gt;"","-SP"&amp;TEXT(E216*1000,"0"),"")&amp;IF(F216&lt;&gt;"","-H"&amp;TEXT(F216*1000,"0"),"")&amp;"-"&amp;M216)</f>
        <v/>
      </c>
      <c r="B216" s="10" t="str">
        <f aca="false">IF(C216="","",C216&amp;" - "&amp;D216&amp;IF(E216&lt;&gt;"",", span "&amp;E216&amp;" m","")&amp;IF(F216&lt;&gt;"",", H "&amp;F216&amp;" m","")&amp;IF(G216&lt;&gt;"",", W "&amp;G216&amp;" m",""))</f>
        <v/>
      </c>
      <c r="C216" s="9"/>
      <c r="D216" s="9"/>
      <c r="E216" s="43"/>
      <c r="F216" s="43"/>
      <c r="G216" s="43"/>
      <c r="H216" s="9"/>
      <c r="I216" s="9"/>
      <c r="J216" s="9"/>
      <c r="K216" s="9"/>
      <c r="L216" s="9"/>
      <c r="M216" s="9"/>
      <c r="N216" s="9"/>
      <c r="O216" s="9"/>
      <c r="P216" s="9"/>
      <c r="Q216" s="9"/>
      <c r="R216" s="10" t="str">
        <f aca="false">IF(A216="","",SG_Criteria!$B$6&amp;SG_Criteria!$B$13&amp;"\"&amp;A216&amp;"\")</f>
        <v/>
      </c>
      <c r="S216" s="10" t="str">
        <f aca="false">IF(A216="","",A216&amp;"_CAD.dwg")</f>
        <v/>
      </c>
      <c r="T216" s="10" t="str">
        <f aca="false">IF(A216="","",A216&amp;"_DWG.pdf")</f>
        <v/>
      </c>
      <c r="U216" s="10" t="str">
        <f aca="false">IF(A216="","",IF(Q216="Y",A216&amp;"_STAAD.std","n/a"))</f>
        <v/>
      </c>
      <c r="V216" s="10" t="str">
        <f aca="false">IF(A216="","",A216&amp;"_CALC.xlsx")</f>
        <v/>
      </c>
      <c r="W216" s="10" t="str">
        <f aca="false">IF(A216="","",A216&amp;"_CALC.pdf")</f>
        <v/>
      </c>
      <c r="X216" s="9"/>
      <c r="Y216" s="9"/>
      <c r="Z216" s="41"/>
      <c r="AA216" s="41"/>
      <c r="AB216" s="41"/>
      <c r="AC216" s="41"/>
      <c r="AD216" s="41"/>
      <c r="AE216" s="38" t="str">
        <f aca="false">IF(C216="","","OK")</f>
        <v/>
      </c>
      <c r="AF216" s="9"/>
      <c r="AG216" s="9"/>
      <c r="AH216" s="9"/>
      <c r="AI216" s="9"/>
      <c r="AJ216" s="9"/>
      <c r="AK216" s="31"/>
      <c r="AL216" s="10" t="str">
        <f aca="false">IF(C216="","",IF(AND(N216="Approved",ISERROR(SEARCH("FAIL",AE216))),"Y","N"))</f>
        <v/>
      </c>
    </row>
    <row r="217" customFormat="false" ht="15" hidden="false" customHeight="false" outlineLevel="0" collapsed="false">
      <c r="A217" s="10" t="str">
        <f aca="false">IF(C217="","",IFERROR(VLOOKUP(C217,Lists!$BI$4:$BJ$20,2,0),"??")&amp;"-"&amp;UPPER(SUBSTITUTE(D217," ",""))&amp;IF(E217&lt;&gt;"","-SP"&amp;TEXT(E217*1000,"0"),"")&amp;IF(F217&lt;&gt;"","-H"&amp;TEXT(F217*1000,"0"),"")&amp;"-"&amp;M217)</f>
        <v/>
      </c>
      <c r="B217" s="10" t="str">
        <f aca="false">IF(C217="","",C217&amp;" - "&amp;D217&amp;IF(E217&lt;&gt;"",", span "&amp;E217&amp;" m","")&amp;IF(F217&lt;&gt;"",", H "&amp;F217&amp;" m","")&amp;IF(G217&lt;&gt;"",", W "&amp;G217&amp;" m",""))</f>
        <v/>
      </c>
      <c r="C217" s="9"/>
      <c r="D217" s="9"/>
      <c r="E217" s="43"/>
      <c r="F217" s="43"/>
      <c r="G217" s="43"/>
      <c r="H217" s="9"/>
      <c r="I217" s="9"/>
      <c r="J217" s="9"/>
      <c r="K217" s="9"/>
      <c r="L217" s="9"/>
      <c r="M217" s="9"/>
      <c r="N217" s="9"/>
      <c r="O217" s="9"/>
      <c r="P217" s="9"/>
      <c r="Q217" s="9"/>
      <c r="R217" s="10" t="str">
        <f aca="false">IF(A217="","",SG_Criteria!$B$6&amp;SG_Criteria!$B$13&amp;"\"&amp;A217&amp;"\")</f>
        <v/>
      </c>
      <c r="S217" s="10" t="str">
        <f aca="false">IF(A217="","",A217&amp;"_CAD.dwg")</f>
        <v/>
      </c>
      <c r="T217" s="10" t="str">
        <f aca="false">IF(A217="","",A217&amp;"_DWG.pdf")</f>
        <v/>
      </c>
      <c r="U217" s="10" t="str">
        <f aca="false">IF(A217="","",IF(Q217="Y",A217&amp;"_STAAD.std","n/a"))</f>
        <v/>
      </c>
      <c r="V217" s="10" t="str">
        <f aca="false">IF(A217="","",A217&amp;"_CALC.xlsx")</f>
        <v/>
      </c>
      <c r="W217" s="10" t="str">
        <f aca="false">IF(A217="","",A217&amp;"_CALC.pdf")</f>
        <v/>
      </c>
      <c r="X217" s="9"/>
      <c r="Y217" s="9"/>
      <c r="Z217" s="41"/>
      <c r="AA217" s="41"/>
      <c r="AB217" s="41"/>
      <c r="AC217" s="41"/>
      <c r="AD217" s="41"/>
      <c r="AE217" s="38" t="str">
        <f aca="false">IF(C217="","","OK")</f>
        <v/>
      </c>
      <c r="AF217" s="9"/>
      <c r="AG217" s="9"/>
      <c r="AH217" s="9"/>
      <c r="AI217" s="9"/>
      <c r="AJ217" s="9"/>
      <c r="AK217" s="31"/>
      <c r="AL217" s="10" t="str">
        <f aca="false">IF(C217="","",IF(AND(N217="Approved",ISERROR(SEARCH("FAIL",AE217))),"Y","N"))</f>
        <v/>
      </c>
    </row>
    <row r="218" customFormat="false" ht="15" hidden="false" customHeight="false" outlineLevel="0" collapsed="false">
      <c r="A218" s="10" t="str">
        <f aca="false">IF(C218="","",IFERROR(VLOOKUP(C218,Lists!$BI$4:$BJ$20,2,0),"??")&amp;"-"&amp;UPPER(SUBSTITUTE(D218," ",""))&amp;IF(E218&lt;&gt;"","-SP"&amp;TEXT(E218*1000,"0"),"")&amp;IF(F218&lt;&gt;"","-H"&amp;TEXT(F218*1000,"0"),"")&amp;"-"&amp;M218)</f>
        <v/>
      </c>
      <c r="B218" s="10" t="str">
        <f aca="false">IF(C218="","",C218&amp;" - "&amp;D218&amp;IF(E218&lt;&gt;"",", span "&amp;E218&amp;" m","")&amp;IF(F218&lt;&gt;"",", H "&amp;F218&amp;" m","")&amp;IF(G218&lt;&gt;"",", W "&amp;G218&amp;" m",""))</f>
        <v/>
      </c>
      <c r="C218" s="9"/>
      <c r="D218" s="9"/>
      <c r="E218" s="43"/>
      <c r="F218" s="43"/>
      <c r="G218" s="43"/>
      <c r="H218" s="9"/>
      <c r="I218" s="9"/>
      <c r="J218" s="9"/>
      <c r="K218" s="9"/>
      <c r="L218" s="9"/>
      <c r="M218" s="9"/>
      <c r="N218" s="9"/>
      <c r="O218" s="9"/>
      <c r="P218" s="9"/>
      <c r="Q218" s="9"/>
      <c r="R218" s="10" t="str">
        <f aca="false">IF(A218="","",SG_Criteria!$B$6&amp;SG_Criteria!$B$13&amp;"\"&amp;A218&amp;"\")</f>
        <v/>
      </c>
      <c r="S218" s="10" t="str">
        <f aca="false">IF(A218="","",A218&amp;"_CAD.dwg")</f>
        <v/>
      </c>
      <c r="T218" s="10" t="str">
        <f aca="false">IF(A218="","",A218&amp;"_DWG.pdf")</f>
        <v/>
      </c>
      <c r="U218" s="10" t="str">
        <f aca="false">IF(A218="","",IF(Q218="Y",A218&amp;"_STAAD.std","n/a"))</f>
        <v/>
      </c>
      <c r="V218" s="10" t="str">
        <f aca="false">IF(A218="","",A218&amp;"_CALC.xlsx")</f>
        <v/>
      </c>
      <c r="W218" s="10" t="str">
        <f aca="false">IF(A218="","",A218&amp;"_CALC.pdf")</f>
        <v/>
      </c>
      <c r="X218" s="9"/>
      <c r="Y218" s="9"/>
      <c r="Z218" s="41"/>
      <c r="AA218" s="41"/>
      <c r="AB218" s="41"/>
      <c r="AC218" s="41"/>
      <c r="AD218" s="41"/>
      <c r="AE218" s="38" t="str">
        <f aca="false">IF(C218="","","OK")</f>
        <v/>
      </c>
      <c r="AF218" s="9"/>
      <c r="AG218" s="9"/>
      <c r="AH218" s="9"/>
      <c r="AI218" s="9"/>
      <c r="AJ218" s="9"/>
      <c r="AK218" s="31"/>
      <c r="AL218" s="10" t="str">
        <f aca="false">IF(C218="","",IF(AND(N218="Approved",ISERROR(SEARCH("FAIL",AE218))),"Y","N"))</f>
        <v/>
      </c>
    </row>
    <row r="219" customFormat="false" ht="15" hidden="false" customHeight="false" outlineLevel="0" collapsed="false">
      <c r="A219" s="10" t="str">
        <f aca="false">IF(C219="","",IFERROR(VLOOKUP(C219,Lists!$BI$4:$BJ$20,2,0),"??")&amp;"-"&amp;UPPER(SUBSTITUTE(D219," ",""))&amp;IF(E219&lt;&gt;"","-SP"&amp;TEXT(E219*1000,"0"),"")&amp;IF(F219&lt;&gt;"","-H"&amp;TEXT(F219*1000,"0"),"")&amp;"-"&amp;M219)</f>
        <v/>
      </c>
      <c r="B219" s="10" t="str">
        <f aca="false">IF(C219="","",C219&amp;" - "&amp;D219&amp;IF(E219&lt;&gt;"",", span "&amp;E219&amp;" m","")&amp;IF(F219&lt;&gt;"",", H "&amp;F219&amp;" m","")&amp;IF(G219&lt;&gt;"",", W "&amp;G219&amp;" m",""))</f>
        <v/>
      </c>
      <c r="C219" s="9"/>
      <c r="D219" s="9"/>
      <c r="E219" s="43"/>
      <c r="F219" s="43"/>
      <c r="G219" s="43"/>
      <c r="H219" s="9"/>
      <c r="I219" s="9"/>
      <c r="J219" s="9"/>
      <c r="K219" s="9"/>
      <c r="L219" s="9"/>
      <c r="M219" s="9"/>
      <c r="N219" s="9"/>
      <c r="O219" s="9"/>
      <c r="P219" s="9"/>
      <c r="Q219" s="9"/>
      <c r="R219" s="10" t="str">
        <f aca="false">IF(A219="","",SG_Criteria!$B$6&amp;SG_Criteria!$B$13&amp;"\"&amp;A219&amp;"\")</f>
        <v/>
      </c>
      <c r="S219" s="10" t="str">
        <f aca="false">IF(A219="","",A219&amp;"_CAD.dwg")</f>
        <v/>
      </c>
      <c r="T219" s="10" t="str">
        <f aca="false">IF(A219="","",A219&amp;"_DWG.pdf")</f>
        <v/>
      </c>
      <c r="U219" s="10" t="str">
        <f aca="false">IF(A219="","",IF(Q219="Y",A219&amp;"_STAAD.std","n/a"))</f>
        <v/>
      </c>
      <c r="V219" s="10" t="str">
        <f aca="false">IF(A219="","",A219&amp;"_CALC.xlsx")</f>
        <v/>
      </c>
      <c r="W219" s="10" t="str">
        <f aca="false">IF(A219="","",A219&amp;"_CALC.pdf")</f>
        <v/>
      </c>
      <c r="X219" s="9"/>
      <c r="Y219" s="9"/>
      <c r="Z219" s="41"/>
      <c r="AA219" s="41"/>
      <c r="AB219" s="41"/>
      <c r="AC219" s="41"/>
      <c r="AD219" s="41"/>
      <c r="AE219" s="38" t="str">
        <f aca="false">IF(C219="","","OK")</f>
        <v/>
      </c>
      <c r="AF219" s="9"/>
      <c r="AG219" s="9"/>
      <c r="AH219" s="9"/>
      <c r="AI219" s="9"/>
      <c r="AJ219" s="9"/>
      <c r="AK219" s="31"/>
      <c r="AL219" s="10" t="str">
        <f aca="false">IF(C219="","",IF(AND(N219="Approved",ISERROR(SEARCH("FAIL",AE219))),"Y","N"))</f>
        <v/>
      </c>
    </row>
    <row r="220" customFormat="false" ht="15" hidden="false" customHeight="false" outlineLevel="0" collapsed="false">
      <c r="A220" s="10" t="str">
        <f aca="false">IF(C220="","",IFERROR(VLOOKUP(C220,Lists!$BI$4:$BJ$20,2,0),"??")&amp;"-"&amp;UPPER(SUBSTITUTE(D220," ",""))&amp;IF(E220&lt;&gt;"","-SP"&amp;TEXT(E220*1000,"0"),"")&amp;IF(F220&lt;&gt;"","-H"&amp;TEXT(F220*1000,"0"),"")&amp;"-"&amp;M220)</f>
        <v/>
      </c>
      <c r="B220" s="10" t="str">
        <f aca="false">IF(C220="","",C220&amp;" - "&amp;D220&amp;IF(E220&lt;&gt;"",", span "&amp;E220&amp;" m","")&amp;IF(F220&lt;&gt;"",", H "&amp;F220&amp;" m","")&amp;IF(G220&lt;&gt;"",", W "&amp;G220&amp;" m",""))</f>
        <v/>
      </c>
      <c r="C220" s="9"/>
      <c r="D220" s="9"/>
      <c r="E220" s="43"/>
      <c r="F220" s="43"/>
      <c r="G220" s="43"/>
      <c r="H220" s="9"/>
      <c r="I220" s="9"/>
      <c r="J220" s="9"/>
      <c r="K220" s="9"/>
      <c r="L220" s="9"/>
      <c r="M220" s="9"/>
      <c r="N220" s="9"/>
      <c r="O220" s="9"/>
      <c r="P220" s="9"/>
      <c r="Q220" s="9"/>
      <c r="R220" s="10" t="str">
        <f aca="false">IF(A220="","",SG_Criteria!$B$6&amp;SG_Criteria!$B$13&amp;"\"&amp;A220&amp;"\")</f>
        <v/>
      </c>
      <c r="S220" s="10" t="str">
        <f aca="false">IF(A220="","",A220&amp;"_CAD.dwg")</f>
        <v/>
      </c>
      <c r="T220" s="10" t="str">
        <f aca="false">IF(A220="","",A220&amp;"_DWG.pdf")</f>
        <v/>
      </c>
      <c r="U220" s="10" t="str">
        <f aca="false">IF(A220="","",IF(Q220="Y",A220&amp;"_STAAD.std","n/a"))</f>
        <v/>
      </c>
      <c r="V220" s="10" t="str">
        <f aca="false">IF(A220="","",A220&amp;"_CALC.xlsx")</f>
        <v/>
      </c>
      <c r="W220" s="10" t="str">
        <f aca="false">IF(A220="","",A220&amp;"_CALC.pdf")</f>
        <v/>
      </c>
      <c r="X220" s="9"/>
      <c r="Y220" s="9"/>
      <c r="Z220" s="41"/>
      <c r="AA220" s="41"/>
      <c r="AB220" s="41"/>
      <c r="AC220" s="41"/>
      <c r="AD220" s="41"/>
      <c r="AE220" s="38" t="str">
        <f aca="false">IF(C220="","","OK")</f>
        <v/>
      </c>
      <c r="AF220" s="9"/>
      <c r="AG220" s="9"/>
      <c r="AH220" s="9"/>
      <c r="AI220" s="9"/>
      <c r="AJ220" s="9"/>
      <c r="AK220" s="31"/>
      <c r="AL220" s="10" t="str">
        <f aca="false">IF(C220="","",IF(AND(N220="Approved",ISERROR(SEARCH("FAIL",AE220))),"Y","N"))</f>
        <v/>
      </c>
    </row>
    <row r="221" customFormat="false" ht="15" hidden="false" customHeight="false" outlineLevel="0" collapsed="false">
      <c r="A221" s="10" t="str">
        <f aca="false">IF(C221="","",IFERROR(VLOOKUP(C221,Lists!$BI$4:$BJ$20,2,0),"??")&amp;"-"&amp;UPPER(SUBSTITUTE(D221," ",""))&amp;IF(E221&lt;&gt;"","-SP"&amp;TEXT(E221*1000,"0"),"")&amp;IF(F221&lt;&gt;"","-H"&amp;TEXT(F221*1000,"0"),"")&amp;"-"&amp;M221)</f>
        <v/>
      </c>
      <c r="B221" s="10" t="str">
        <f aca="false">IF(C221="","",C221&amp;" - "&amp;D221&amp;IF(E221&lt;&gt;"",", span "&amp;E221&amp;" m","")&amp;IF(F221&lt;&gt;"",", H "&amp;F221&amp;" m","")&amp;IF(G221&lt;&gt;"",", W "&amp;G221&amp;" m",""))</f>
        <v/>
      </c>
      <c r="C221" s="9"/>
      <c r="D221" s="9"/>
      <c r="E221" s="43"/>
      <c r="F221" s="43"/>
      <c r="G221" s="43"/>
      <c r="H221" s="9"/>
      <c r="I221" s="9"/>
      <c r="J221" s="9"/>
      <c r="K221" s="9"/>
      <c r="L221" s="9"/>
      <c r="M221" s="9"/>
      <c r="N221" s="9"/>
      <c r="O221" s="9"/>
      <c r="P221" s="9"/>
      <c r="Q221" s="9"/>
      <c r="R221" s="10" t="str">
        <f aca="false">IF(A221="","",SG_Criteria!$B$6&amp;SG_Criteria!$B$13&amp;"\"&amp;A221&amp;"\")</f>
        <v/>
      </c>
      <c r="S221" s="10" t="str">
        <f aca="false">IF(A221="","",A221&amp;"_CAD.dwg")</f>
        <v/>
      </c>
      <c r="T221" s="10" t="str">
        <f aca="false">IF(A221="","",A221&amp;"_DWG.pdf")</f>
        <v/>
      </c>
      <c r="U221" s="10" t="str">
        <f aca="false">IF(A221="","",IF(Q221="Y",A221&amp;"_STAAD.std","n/a"))</f>
        <v/>
      </c>
      <c r="V221" s="10" t="str">
        <f aca="false">IF(A221="","",A221&amp;"_CALC.xlsx")</f>
        <v/>
      </c>
      <c r="W221" s="10" t="str">
        <f aca="false">IF(A221="","",A221&amp;"_CALC.pdf")</f>
        <v/>
      </c>
      <c r="X221" s="9"/>
      <c r="Y221" s="9"/>
      <c r="Z221" s="41"/>
      <c r="AA221" s="41"/>
      <c r="AB221" s="41"/>
      <c r="AC221" s="41"/>
      <c r="AD221" s="41"/>
      <c r="AE221" s="38" t="str">
        <f aca="false">IF(C221="","","OK")</f>
        <v/>
      </c>
      <c r="AF221" s="9"/>
      <c r="AG221" s="9"/>
      <c r="AH221" s="9"/>
      <c r="AI221" s="9"/>
      <c r="AJ221" s="9"/>
      <c r="AK221" s="31"/>
      <c r="AL221" s="10" t="str">
        <f aca="false">IF(C221="","",IF(AND(N221="Approved",ISERROR(SEARCH("FAIL",AE221))),"Y","N"))</f>
        <v/>
      </c>
    </row>
    <row r="222" customFormat="false" ht="15" hidden="false" customHeight="false" outlineLevel="0" collapsed="false">
      <c r="A222" s="10" t="str">
        <f aca="false">IF(C222="","",IFERROR(VLOOKUP(C222,Lists!$BI$4:$BJ$20,2,0),"??")&amp;"-"&amp;UPPER(SUBSTITUTE(D222," ",""))&amp;IF(E222&lt;&gt;"","-SP"&amp;TEXT(E222*1000,"0"),"")&amp;IF(F222&lt;&gt;"","-H"&amp;TEXT(F222*1000,"0"),"")&amp;"-"&amp;M222)</f>
        <v/>
      </c>
      <c r="B222" s="10" t="str">
        <f aca="false">IF(C222="","",C222&amp;" - "&amp;D222&amp;IF(E222&lt;&gt;"",", span "&amp;E222&amp;" m","")&amp;IF(F222&lt;&gt;"",", H "&amp;F222&amp;" m","")&amp;IF(G222&lt;&gt;"",", W "&amp;G222&amp;" m",""))</f>
        <v/>
      </c>
      <c r="C222" s="9"/>
      <c r="D222" s="9"/>
      <c r="E222" s="43"/>
      <c r="F222" s="43"/>
      <c r="G222" s="43"/>
      <c r="H222" s="9"/>
      <c r="I222" s="9"/>
      <c r="J222" s="9"/>
      <c r="K222" s="9"/>
      <c r="L222" s="9"/>
      <c r="M222" s="9"/>
      <c r="N222" s="9"/>
      <c r="O222" s="9"/>
      <c r="P222" s="9"/>
      <c r="Q222" s="9"/>
      <c r="R222" s="10" t="str">
        <f aca="false">IF(A222="","",SG_Criteria!$B$6&amp;SG_Criteria!$B$13&amp;"\"&amp;A222&amp;"\")</f>
        <v/>
      </c>
      <c r="S222" s="10" t="str">
        <f aca="false">IF(A222="","",A222&amp;"_CAD.dwg")</f>
        <v/>
      </c>
      <c r="T222" s="10" t="str">
        <f aca="false">IF(A222="","",A222&amp;"_DWG.pdf")</f>
        <v/>
      </c>
      <c r="U222" s="10" t="str">
        <f aca="false">IF(A222="","",IF(Q222="Y",A222&amp;"_STAAD.std","n/a"))</f>
        <v/>
      </c>
      <c r="V222" s="10" t="str">
        <f aca="false">IF(A222="","",A222&amp;"_CALC.xlsx")</f>
        <v/>
      </c>
      <c r="W222" s="10" t="str">
        <f aca="false">IF(A222="","",A222&amp;"_CALC.pdf")</f>
        <v/>
      </c>
      <c r="X222" s="9"/>
      <c r="Y222" s="9"/>
      <c r="Z222" s="41"/>
      <c r="AA222" s="41"/>
      <c r="AB222" s="41"/>
      <c r="AC222" s="41"/>
      <c r="AD222" s="41"/>
      <c r="AE222" s="38" t="str">
        <f aca="false">IF(C222="","","OK")</f>
        <v/>
      </c>
      <c r="AF222" s="9"/>
      <c r="AG222" s="9"/>
      <c r="AH222" s="9"/>
      <c r="AI222" s="9"/>
      <c r="AJ222" s="9"/>
      <c r="AK222" s="31"/>
      <c r="AL222" s="10" t="str">
        <f aca="false">IF(C222="","",IF(AND(N222="Approved",ISERROR(SEARCH("FAIL",AE222))),"Y","N"))</f>
        <v/>
      </c>
    </row>
    <row r="223" customFormat="false" ht="15" hidden="false" customHeight="false" outlineLevel="0" collapsed="false">
      <c r="A223" s="10" t="str">
        <f aca="false">IF(C223="","",IFERROR(VLOOKUP(C223,Lists!$BI$4:$BJ$20,2,0),"??")&amp;"-"&amp;UPPER(SUBSTITUTE(D223," ",""))&amp;IF(E223&lt;&gt;"","-SP"&amp;TEXT(E223*1000,"0"),"")&amp;IF(F223&lt;&gt;"","-H"&amp;TEXT(F223*1000,"0"),"")&amp;"-"&amp;M223)</f>
        <v/>
      </c>
      <c r="B223" s="10" t="str">
        <f aca="false">IF(C223="","",C223&amp;" - "&amp;D223&amp;IF(E223&lt;&gt;"",", span "&amp;E223&amp;" m","")&amp;IF(F223&lt;&gt;"",", H "&amp;F223&amp;" m","")&amp;IF(G223&lt;&gt;"",", W "&amp;G223&amp;" m",""))</f>
        <v/>
      </c>
      <c r="C223" s="9"/>
      <c r="D223" s="9"/>
      <c r="E223" s="43"/>
      <c r="F223" s="43"/>
      <c r="G223" s="43"/>
      <c r="H223" s="9"/>
      <c r="I223" s="9"/>
      <c r="J223" s="9"/>
      <c r="K223" s="9"/>
      <c r="L223" s="9"/>
      <c r="M223" s="9"/>
      <c r="N223" s="9"/>
      <c r="O223" s="9"/>
      <c r="P223" s="9"/>
      <c r="Q223" s="9"/>
      <c r="R223" s="10" t="str">
        <f aca="false">IF(A223="","",SG_Criteria!$B$6&amp;SG_Criteria!$B$13&amp;"\"&amp;A223&amp;"\")</f>
        <v/>
      </c>
      <c r="S223" s="10" t="str">
        <f aca="false">IF(A223="","",A223&amp;"_CAD.dwg")</f>
        <v/>
      </c>
      <c r="T223" s="10" t="str">
        <f aca="false">IF(A223="","",A223&amp;"_DWG.pdf")</f>
        <v/>
      </c>
      <c r="U223" s="10" t="str">
        <f aca="false">IF(A223="","",IF(Q223="Y",A223&amp;"_STAAD.std","n/a"))</f>
        <v/>
      </c>
      <c r="V223" s="10" t="str">
        <f aca="false">IF(A223="","",A223&amp;"_CALC.xlsx")</f>
        <v/>
      </c>
      <c r="W223" s="10" t="str">
        <f aca="false">IF(A223="","",A223&amp;"_CALC.pdf")</f>
        <v/>
      </c>
      <c r="X223" s="9"/>
      <c r="Y223" s="9"/>
      <c r="Z223" s="41"/>
      <c r="AA223" s="41"/>
      <c r="AB223" s="41"/>
      <c r="AC223" s="41"/>
      <c r="AD223" s="41"/>
      <c r="AE223" s="38" t="str">
        <f aca="false">IF(C223="","","OK")</f>
        <v/>
      </c>
      <c r="AF223" s="9"/>
      <c r="AG223" s="9"/>
      <c r="AH223" s="9"/>
      <c r="AI223" s="9"/>
      <c r="AJ223" s="9"/>
      <c r="AK223" s="31"/>
      <c r="AL223" s="10" t="str">
        <f aca="false">IF(C223="","",IF(AND(N223="Approved",ISERROR(SEARCH("FAIL",AE223))),"Y","N"))</f>
        <v/>
      </c>
    </row>
    <row r="224" customFormat="false" ht="15" hidden="false" customHeight="false" outlineLevel="0" collapsed="false">
      <c r="A224" s="10" t="str">
        <f aca="false">IF(C224="","",IFERROR(VLOOKUP(C224,Lists!$BI$4:$BJ$20,2,0),"??")&amp;"-"&amp;UPPER(SUBSTITUTE(D224," ",""))&amp;IF(E224&lt;&gt;"","-SP"&amp;TEXT(E224*1000,"0"),"")&amp;IF(F224&lt;&gt;"","-H"&amp;TEXT(F224*1000,"0"),"")&amp;"-"&amp;M224)</f>
        <v/>
      </c>
      <c r="B224" s="10" t="str">
        <f aca="false">IF(C224="","",C224&amp;" - "&amp;D224&amp;IF(E224&lt;&gt;"",", span "&amp;E224&amp;" m","")&amp;IF(F224&lt;&gt;"",", H "&amp;F224&amp;" m","")&amp;IF(G224&lt;&gt;"",", W "&amp;G224&amp;" m",""))</f>
        <v/>
      </c>
      <c r="C224" s="9"/>
      <c r="D224" s="9"/>
      <c r="E224" s="43"/>
      <c r="F224" s="43"/>
      <c r="G224" s="43"/>
      <c r="H224" s="9"/>
      <c r="I224" s="9"/>
      <c r="J224" s="9"/>
      <c r="K224" s="9"/>
      <c r="L224" s="9"/>
      <c r="M224" s="9"/>
      <c r="N224" s="9"/>
      <c r="O224" s="9"/>
      <c r="P224" s="9"/>
      <c r="Q224" s="9"/>
      <c r="R224" s="10" t="str">
        <f aca="false">IF(A224="","",SG_Criteria!$B$6&amp;SG_Criteria!$B$13&amp;"\"&amp;A224&amp;"\")</f>
        <v/>
      </c>
      <c r="S224" s="10" t="str">
        <f aca="false">IF(A224="","",A224&amp;"_CAD.dwg")</f>
        <v/>
      </c>
      <c r="T224" s="10" t="str">
        <f aca="false">IF(A224="","",A224&amp;"_DWG.pdf")</f>
        <v/>
      </c>
      <c r="U224" s="10" t="str">
        <f aca="false">IF(A224="","",IF(Q224="Y",A224&amp;"_STAAD.std","n/a"))</f>
        <v/>
      </c>
      <c r="V224" s="10" t="str">
        <f aca="false">IF(A224="","",A224&amp;"_CALC.xlsx")</f>
        <v/>
      </c>
      <c r="W224" s="10" t="str">
        <f aca="false">IF(A224="","",A224&amp;"_CALC.pdf")</f>
        <v/>
      </c>
      <c r="X224" s="9"/>
      <c r="Y224" s="9"/>
      <c r="Z224" s="41"/>
      <c r="AA224" s="41"/>
      <c r="AB224" s="41"/>
      <c r="AC224" s="41"/>
      <c r="AD224" s="41"/>
      <c r="AE224" s="38" t="str">
        <f aca="false">IF(C224="","","OK")</f>
        <v/>
      </c>
      <c r="AF224" s="9"/>
      <c r="AG224" s="9"/>
      <c r="AH224" s="9"/>
      <c r="AI224" s="9"/>
      <c r="AJ224" s="9"/>
      <c r="AK224" s="31"/>
      <c r="AL224" s="10" t="str">
        <f aca="false">IF(C224="","",IF(AND(N224="Approved",ISERROR(SEARCH("FAIL",AE224))),"Y","N"))</f>
        <v/>
      </c>
    </row>
    <row r="225" customFormat="false" ht="15" hidden="false" customHeight="false" outlineLevel="0" collapsed="false">
      <c r="A225" s="10" t="str">
        <f aca="false">IF(C225="","",IFERROR(VLOOKUP(C225,Lists!$BI$4:$BJ$20,2,0),"??")&amp;"-"&amp;UPPER(SUBSTITUTE(D225," ",""))&amp;IF(E225&lt;&gt;"","-SP"&amp;TEXT(E225*1000,"0"),"")&amp;IF(F225&lt;&gt;"","-H"&amp;TEXT(F225*1000,"0"),"")&amp;"-"&amp;M225)</f>
        <v/>
      </c>
      <c r="B225" s="10" t="str">
        <f aca="false">IF(C225="","",C225&amp;" - "&amp;D225&amp;IF(E225&lt;&gt;"",", span "&amp;E225&amp;" m","")&amp;IF(F225&lt;&gt;"",", H "&amp;F225&amp;" m","")&amp;IF(G225&lt;&gt;"",", W "&amp;G225&amp;" m",""))</f>
        <v/>
      </c>
      <c r="C225" s="9"/>
      <c r="D225" s="9"/>
      <c r="E225" s="43"/>
      <c r="F225" s="43"/>
      <c r="G225" s="43"/>
      <c r="H225" s="9"/>
      <c r="I225" s="9"/>
      <c r="J225" s="9"/>
      <c r="K225" s="9"/>
      <c r="L225" s="9"/>
      <c r="M225" s="9"/>
      <c r="N225" s="9"/>
      <c r="O225" s="9"/>
      <c r="P225" s="9"/>
      <c r="Q225" s="9"/>
      <c r="R225" s="10" t="str">
        <f aca="false">IF(A225="","",SG_Criteria!$B$6&amp;SG_Criteria!$B$13&amp;"\"&amp;A225&amp;"\")</f>
        <v/>
      </c>
      <c r="S225" s="10" t="str">
        <f aca="false">IF(A225="","",A225&amp;"_CAD.dwg")</f>
        <v/>
      </c>
      <c r="T225" s="10" t="str">
        <f aca="false">IF(A225="","",A225&amp;"_DWG.pdf")</f>
        <v/>
      </c>
      <c r="U225" s="10" t="str">
        <f aca="false">IF(A225="","",IF(Q225="Y",A225&amp;"_STAAD.std","n/a"))</f>
        <v/>
      </c>
      <c r="V225" s="10" t="str">
        <f aca="false">IF(A225="","",A225&amp;"_CALC.xlsx")</f>
        <v/>
      </c>
      <c r="W225" s="10" t="str">
        <f aca="false">IF(A225="","",A225&amp;"_CALC.pdf")</f>
        <v/>
      </c>
      <c r="X225" s="9"/>
      <c r="Y225" s="9"/>
      <c r="Z225" s="41"/>
      <c r="AA225" s="41"/>
      <c r="AB225" s="41"/>
      <c r="AC225" s="41"/>
      <c r="AD225" s="41"/>
      <c r="AE225" s="38" t="str">
        <f aca="false">IF(C225="","","OK")</f>
        <v/>
      </c>
      <c r="AF225" s="9"/>
      <c r="AG225" s="9"/>
      <c r="AH225" s="9"/>
      <c r="AI225" s="9"/>
      <c r="AJ225" s="9"/>
      <c r="AK225" s="31"/>
      <c r="AL225" s="10" t="str">
        <f aca="false">IF(C225="","",IF(AND(N225="Approved",ISERROR(SEARCH("FAIL",AE225))),"Y","N"))</f>
        <v/>
      </c>
    </row>
    <row r="226" customFormat="false" ht="15" hidden="false" customHeight="false" outlineLevel="0" collapsed="false">
      <c r="A226" s="10" t="str">
        <f aca="false">IF(C226="","",IFERROR(VLOOKUP(C226,Lists!$BI$4:$BJ$20,2,0),"??")&amp;"-"&amp;UPPER(SUBSTITUTE(D226," ",""))&amp;IF(E226&lt;&gt;"","-SP"&amp;TEXT(E226*1000,"0"),"")&amp;IF(F226&lt;&gt;"","-H"&amp;TEXT(F226*1000,"0"),"")&amp;"-"&amp;M226)</f>
        <v/>
      </c>
      <c r="B226" s="10" t="str">
        <f aca="false">IF(C226="","",C226&amp;" - "&amp;D226&amp;IF(E226&lt;&gt;"",", span "&amp;E226&amp;" m","")&amp;IF(F226&lt;&gt;"",", H "&amp;F226&amp;" m","")&amp;IF(G226&lt;&gt;"",", W "&amp;G226&amp;" m",""))</f>
        <v/>
      </c>
      <c r="C226" s="9"/>
      <c r="D226" s="9"/>
      <c r="E226" s="43"/>
      <c r="F226" s="43"/>
      <c r="G226" s="43"/>
      <c r="H226" s="9"/>
      <c r="I226" s="9"/>
      <c r="J226" s="9"/>
      <c r="K226" s="9"/>
      <c r="L226" s="9"/>
      <c r="M226" s="9"/>
      <c r="N226" s="9"/>
      <c r="O226" s="9"/>
      <c r="P226" s="9"/>
      <c r="Q226" s="9"/>
      <c r="R226" s="10" t="str">
        <f aca="false">IF(A226="","",SG_Criteria!$B$6&amp;SG_Criteria!$B$13&amp;"\"&amp;A226&amp;"\")</f>
        <v/>
      </c>
      <c r="S226" s="10" t="str">
        <f aca="false">IF(A226="","",A226&amp;"_CAD.dwg")</f>
        <v/>
      </c>
      <c r="T226" s="10" t="str">
        <f aca="false">IF(A226="","",A226&amp;"_DWG.pdf")</f>
        <v/>
      </c>
      <c r="U226" s="10" t="str">
        <f aca="false">IF(A226="","",IF(Q226="Y",A226&amp;"_STAAD.std","n/a"))</f>
        <v/>
      </c>
      <c r="V226" s="10" t="str">
        <f aca="false">IF(A226="","",A226&amp;"_CALC.xlsx")</f>
        <v/>
      </c>
      <c r="W226" s="10" t="str">
        <f aca="false">IF(A226="","",A226&amp;"_CALC.pdf")</f>
        <v/>
      </c>
      <c r="X226" s="9"/>
      <c r="Y226" s="9"/>
      <c r="Z226" s="41"/>
      <c r="AA226" s="41"/>
      <c r="AB226" s="41"/>
      <c r="AC226" s="41"/>
      <c r="AD226" s="41"/>
      <c r="AE226" s="38" t="str">
        <f aca="false">IF(C226="","","OK")</f>
        <v/>
      </c>
      <c r="AF226" s="9"/>
      <c r="AG226" s="9"/>
      <c r="AH226" s="9"/>
      <c r="AI226" s="9"/>
      <c r="AJ226" s="9"/>
      <c r="AK226" s="31"/>
      <c r="AL226" s="10" t="str">
        <f aca="false">IF(C226="","",IF(AND(N226="Approved",ISERROR(SEARCH("FAIL",AE226))),"Y","N"))</f>
        <v/>
      </c>
    </row>
    <row r="227" customFormat="false" ht="15" hidden="false" customHeight="false" outlineLevel="0" collapsed="false">
      <c r="A227" s="10" t="str">
        <f aca="false">IF(C227="","",IFERROR(VLOOKUP(C227,Lists!$BI$4:$BJ$20,2,0),"??")&amp;"-"&amp;UPPER(SUBSTITUTE(D227," ",""))&amp;IF(E227&lt;&gt;"","-SP"&amp;TEXT(E227*1000,"0"),"")&amp;IF(F227&lt;&gt;"","-H"&amp;TEXT(F227*1000,"0"),"")&amp;"-"&amp;M227)</f>
        <v/>
      </c>
      <c r="B227" s="10" t="str">
        <f aca="false">IF(C227="","",C227&amp;" - "&amp;D227&amp;IF(E227&lt;&gt;"",", span "&amp;E227&amp;" m","")&amp;IF(F227&lt;&gt;"",", H "&amp;F227&amp;" m","")&amp;IF(G227&lt;&gt;"",", W "&amp;G227&amp;" m",""))</f>
        <v/>
      </c>
      <c r="C227" s="9"/>
      <c r="D227" s="9"/>
      <c r="E227" s="43"/>
      <c r="F227" s="43"/>
      <c r="G227" s="43"/>
      <c r="H227" s="9"/>
      <c r="I227" s="9"/>
      <c r="J227" s="9"/>
      <c r="K227" s="9"/>
      <c r="L227" s="9"/>
      <c r="M227" s="9"/>
      <c r="N227" s="9"/>
      <c r="O227" s="9"/>
      <c r="P227" s="9"/>
      <c r="Q227" s="9"/>
      <c r="R227" s="10" t="str">
        <f aca="false">IF(A227="","",SG_Criteria!$B$6&amp;SG_Criteria!$B$13&amp;"\"&amp;A227&amp;"\")</f>
        <v/>
      </c>
      <c r="S227" s="10" t="str">
        <f aca="false">IF(A227="","",A227&amp;"_CAD.dwg")</f>
        <v/>
      </c>
      <c r="T227" s="10" t="str">
        <f aca="false">IF(A227="","",A227&amp;"_DWG.pdf")</f>
        <v/>
      </c>
      <c r="U227" s="10" t="str">
        <f aca="false">IF(A227="","",IF(Q227="Y",A227&amp;"_STAAD.std","n/a"))</f>
        <v/>
      </c>
      <c r="V227" s="10" t="str">
        <f aca="false">IF(A227="","",A227&amp;"_CALC.xlsx")</f>
        <v/>
      </c>
      <c r="W227" s="10" t="str">
        <f aca="false">IF(A227="","",A227&amp;"_CALC.pdf")</f>
        <v/>
      </c>
      <c r="X227" s="9"/>
      <c r="Y227" s="9"/>
      <c r="Z227" s="41"/>
      <c r="AA227" s="41"/>
      <c r="AB227" s="41"/>
      <c r="AC227" s="41"/>
      <c r="AD227" s="41"/>
      <c r="AE227" s="38" t="str">
        <f aca="false">IF(C227="","","OK")</f>
        <v/>
      </c>
      <c r="AF227" s="9"/>
      <c r="AG227" s="9"/>
      <c r="AH227" s="9"/>
      <c r="AI227" s="9"/>
      <c r="AJ227" s="9"/>
      <c r="AK227" s="31"/>
      <c r="AL227" s="10" t="str">
        <f aca="false">IF(C227="","",IF(AND(N227="Approved",ISERROR(SEARCH("FAIL",AE227))),"Y","N"))</f>
        <v/>
      </c>
    </row>
    <row r="228" customFormat="false" ht="15" hidden="false" customHeight="false" outlineLevel="0" collapsed="false">
      <c r="A228" s="10" t="str">
        <f aca="false">IF(C228="","",IFERROR(VLOOKUP(C228,Lists!$BI$4:$BJ$20,2,0),"??")&amp;"-"&amp;UPPER(SUBSTITUTE(D228," ",""))&amp;IF(E228&lt;&gt;"","-SP"&amp;TEXT(E228*1000,"0"),"")&amp;IF(F228&lt;&gt;"","-H"&amp;TEXT(F228*1000,"0"),"")&amp;"-"&amp;M228)</f>
        <v/>
      </c>
      <c r="B228" s="10" t="str">
        <f aca="false">IF(C228="","",C228&amp;" - "&amp;D228&amp;IF(E228&lt;&gt;"",", span "&amp;E228&amp;" m","")&amp;IF(F228&lt;&gt;"",", H "&amp;F228&amp;" m","")&amp;IF(G228&lt;&gt;"",", W "&amp;G228&amp;" m",""))</f>
        <v/>
      </c>
      <c r="C228" s="9"/>
      <c r="D228" s="9"/>
      <c r="E228" s="43"/>
      <c r="F228" s="43"/>
      <c r="G228" s="43"/>
      <c r="H228" s="9"/>
      <c r="I228" s="9"/>
      <c r="J228" s="9"/>
      <c r="K228" s="9"/>
      <c r="L228" s="9"/>
      <c r="M228" s="9"/>
      <c r="N228" s="9"/>
      <c r="O228" s="9"/>
      <c r="P228" s="9"/>
      <c r="Q228" s="9"/>
      <c r="R228" s="10" t="str">
        <f aca="false">IF(A228="","",SG_Criteria!$B$6&amp;SG_Criteria!$B$13&amp;"\"&amp;A228&amp;"\")</f>
        <v/>
      </c>
      <c r="S228" s="10" t="str">
        <f aca="false">IF(A228="","",A228&amp;"_CAD.dwg")</f>
        <v/>
      </c>
      <c r="T228" s="10" t="str">
        <f aca="false">IF(A228="","",A228&amp;"_DWG.pdf")</f>
        <v/>
      </c>
      <c r="U228" s="10" t="str">
        <f aca="false">IF(A228="","",IF(Q228="Y",A228&amp;"_STAAD.std","n/a"))</f>
        <v/>
      </c>
      <c r="V228" s="10" t="str">
        <f aca="false">IF(A228="","",A228&amp;"_CALC.xlsx")</f>
        <v/>
      </c>
      <c r="W228" s="10" t="str">
        <f aca="false">IF(A228="","",A228&amp;"_CALC.pdf")</f>
        <v/>
      </c>
      <c r="X228" s="9"/>
      <c r="Y228" s="9"/>
      <c r="Z228" s="41"/>
      <c r="AA228" s="41"/>
      <c r="AB228" s="41"/>
      <c r="AC228" s="41"/>
      <c r="AD228" s="41"/>
      <c r="AE228" s="38" t="str">
        <f aca="false">IF(C228="","","OK")</f>
        <v/>
      </c>
      <c r="AF228" s="9"/>
      <c r="AG228" s="9"/>
      <c r="AH228" s="9"/>
      <c r="AI228" s="9"/>
      <c r="AJ228" s="9"/>
      <c r="AK228" s="31"/>
      <c r="AL228" s="10" t="str">
        <f aca="false">IF(C228="","",IF(AND(N228="Approved",ISERROR(SEARCH("FAIL",AE228))),"Y","N"))</f>
        <v/>
      </c>
    </row>
    <row r="229" customFormat="false" ht="15" hidden="false" customHeight="false" outlineLevel="0" collapsed="false">
      <c r="A229" s="10" t="str">
        <f aca="false">IF(C229="","",IFERROR(VLOOKUP(C229,Lists!$BI$4:$BJ$20,2,0),"??")&amp;"-"&amp;UPPER(SUBSTITUTE(D229," ",""))&amp;IF(E229&lt;&gt;"","-SP"&amp;TEXT(E229*1000,"0"),"")&amp;IF(F229&lt;&gt;"","-H"&amp;TEXT(F229*1000,"0"),"")&amp;"-"&amp;M229)</f>
        <v/>
      </c>
      <c r="B229" s="10" t="str">
        <f aca="false">IF(C229="","",C229&amp;" - "&amp;D229&amp;IF(E229&lt;&gt;"",", span "&amp;E229&amp;" m","")&amp;IF(F229&lt;&gt;"",", H "&amp;F229&amp;" m","")&amp;IF(G229&lt;&gt;"",", W "&amp;G229&amp;" m",""))</f>
        <v/>
      </c>
      <c r="C229" s="9"/>
      <c r="D229" s="9"/>
      <c r="E229" s="43"/>
      <c r="F229" s="43"/>
      <c r="G229" s="43"/>
      <c r="H229" s="9"/>
      <c r="I229" s="9"/>
      <c r="J229" s="9"/>
      <c r="K229" s="9"/>
      <c r="L229" s="9"/>
      <c r="M229" s="9"/>
      <c r="N229" s="9"/>
      <c r="O229" s="9"/>
      <c r="P229" s="9"/>
      <c r="Q229" s="9"/>
      <c r="R229" s="10" t="str">
        <f aca="false">IF(A229="","",SG_Criteria!$B$6&amp;SG_Criteria!$B$13&amp;"\"&amp;A229&amp;"\")</f>
        <v/>
      </c>
      <c r="S229" s="10" t="str">
        <f aca="false">IF(A229="","",A229&amp;"_CAD.dwg")</f>
        <v/>
      </c>
      <c r="T229" s="10" t="str">
        <f aca="false">IF(A229="","",A229&amp;"_DWG.pdf")</f>
        <v/>
      </c>
      <c r="U229" s="10" t="str">
        <f aca="false">IF(A229="","",IF(Q229="Y",A229&amp;"_STAAD.std","n/a"))</f>
        <v/>
      </c>
      <c r="V229" s="10" t="str">
        <f aca="false">IF(A229="","",A229&amp;"_CALC.xlsx")</f>
        <v/>
      </c>
      <c r="W229" s="10" t="str">
        <f aca="false">IF(A229="","",A229&amp;"_CALC.pdf")</f>
        <v/>
      </c>
      <c r="X229" s="9"/>
      <c r="Y229" s="9"/>
      <c r="Z229" s="41"/>
      <c r="AA229" s="41"/>
      <c r="AB229" s="41"/>
      <c r="AC229" s="41"/>
      <c r="AD229" s="41"/>
      <c r="AE229" s="38" t="str">
        <f aca="false">IF(C229="","","OK")</f>
        <v/>
      </c>
      <c r="AF229" s="9"/>
      <c r="AG229" s="9"/>
      <c r="AH229" s="9"/>
      <c r="AI229" s="9"/>
      <c r="AJ229" s="9"/>
      <c r="AK229" s="31"/>
      <c r="AL229" s="10" t="str">
        <f aca="false">IF(C229="","",IF(AND(N229="Approved",ISERROR(SEARCH("FAIL",AE229))),"Y","N"))</f>
        <v/>
      </c>
    </row>
    <row r="230" customFormat="false" ht="15" hidden="false" customHeight="false" outlineLevel="0" collapsed="false">
      <c r="A230" s="10" t="str">
        <f aca="false">IF(C230="","",IFERROR(VLOOKUP(C230,Lists!$BI$4:$BJ$20,2,0),"??")&amp;"-"&amp;UPPER(SUBSTITUTE(D230," ",""))&amp;IF(E230&lt;&gt;"","-SP"&amp;TEXT(E230*1000,"0"),"")&amp;IF(F230&lt;&gt;"","-H"&amp;TEXT(F230*1000,"0"),"")&amp;"-"&amp;M230)</f>
        <v/>
      </c>
      <c r="B230" s="10" t="str">
        <f aca="false">IF(C230="","",C230&amp;" - "&amp;D230&amp;IF(E230&lt;&gt;"",", span "&amp;E230&amp;" m","")&amp;IF(F230&lt;&gt;"",", H "&amp;F230&amp;" m","")&amp;IF(G230&lt;&gt;"",", W "&amp;G230&amp;" m",""))</f>
        <v/>
      </c>
      <c r="C230" s="9"/>
      <c r="D230" s="9"/>
      <c r="E230" s="43"/>
      <c r="F230" s="43"/>
      <c r="G230" s="43"/>
      <c r="H230" s="9"/>
      <c r="I230" s="9"/>
      <c r="J230" s="9"/>
      <c r="K230" s="9"/>
      <c r="L230" s="9"/>
      <c r="M230" s="9"/>
      <c r="N230" s="9"/>
      <c r="O230" s="9"/>
      <c r="P230" s="9"/>
      <c r="Q230" s="9"/>
      <c r="R230" s="10" t="str">
        <f aca="false">IF(A230="","",SG_Criteria!$B$6&amp;SG_Criteria!$B$13&amp;"\"&amp;A230&amp;"\")</f>
        <v/>
      </c>
      <c r="S230" s="10" t="str">
        <f aca="false">IF(A230="","",A230&amp;"_CAD.dwg")</f>
        <v/>
      </c>
      <c r="T230" s="10" t="str">
        <f aca="false">IF(A230="","",A230&amp;"_DWG.pdf")</f>
        <v/>
      </c>
      <c r="U230" s="10" t="str">
        <f aca="false">IF(A230="","",IF(Q230="Y",A230&amp;"_STAAD.std","n/a"))</f>
        <v/>
      </c>
      <c r="V230" s="10" t="str">
        <f aca="false">IF(A230="","",A230&amp;"_CALC.xlsx")</f>
        <v/>
      </c>
      <c r="W230" s="10" t="str">
        <f aca="false">IF(A230="","",A230&amp;"_CALC.pdf")</f>
        <v/>
      </c>
      <c r="X230" s="9"/>
      <c r="Y230" s="9"/>
      <c r="Z230" s="41"/>
      <c r="AA230" s="41"/>
      <c r="AB230" s="41"/>
      <c r="AC230" s="41"/>
      <c r="AD230" s="41"/>
      <c r="AE230" s="38" t="str">
        <f aca="false">IF(C230="","","OK")</f>
        <v/>
      </c>
      <c r="AF230" s="9"/>
      <c r="AG230" s="9"/>
      <c r="AH230" s="9"/>
      <c r="AI230" s="9"/>
      <c r="AJ230" s="9"/>
      <c r="AK230" s="31"/>
      <c r="AL230" s="10" t="str">
        <f aca="false">IF(C230="","",IF(AND(N230="Approved",ISERROR(SEARCH("FAIL",AE230))),"Y","N"))</f>
        <v/>
      </c>
    </row>
    <row r="231" customFormat="false" ht="15" hidden="false" customHeight="false" outlineLevel="0" collapsed="false">
      <c r="A231" s="10" t="str">
        <f aca="false">IF(C231="","",IFERROR(VLOOKUP(C231,Lists!$BI$4:$BJ$20,2,0),"??")&amp;"-"&amp;UPPER(SUBSTITUTE(D231," ",""))&amp;IF(E231&lt;&gt;"","-SP"&amp;TEXT(E231*1000,"0"),"")&amp;IF(F231&lt;&gt;"","-H"&amp;TEXT(F231*1000,"0"),"")&amp;"-"&amp;M231)</f>
        <v/>
      </c>
      <c r="B231" s="10" t="str">
        <f aca="false">IF(C231="","",C231&amp;" - "&amp;D231&amp;IF(E231&lt;&gt;"",", span "&amp;E231&amp;" m","")&amp;IF(F231&lt;&gt;"",", H "&amp;F231&amp;" m","")&amp;IF(G231&lt;&gt;"",", W "&amp;G231&amp;" m",""))</f>
        <v/>
      </c>
      <c r="C231" s="9"/>
      <c r="D231" s="9"/>
      <c r="E231" s="43"/>
      <c r="F231" s="43"/>
      <c r="G231" s="43"/>
      <c r="H231" s="9"/>
      <c r="I231" s="9"/>
      <c r="J231" s="9"/>
      <c r="K231" s="9"/>
      <c r="L231" s="9"/>
      <c r="M231" s="9"/>
      <c r="N231" s="9"/>
      <c r="O231" s="9"/>
      <c r="P231" s="9"/>
      <c r="Q231" s="9"/>
      <c r="R231" s="10" t="str">
        <f aca="false">IF(A231="","",SG_Criteria!$B$6&amp;SG_Criteria!$B$13&amp;"\"&amp;A231&amp;"\")</f>
        <v/>
      </c>
      <c r="S231" s="10" t="str">
        <f aca="false">IF(A231="","",A231&amp;"_CAD.dwg")</f>
        <v/>
      </c>
      <c r="T231" s="10" t="str">
        <f aca="false">IF(A231="","",A231&amp;"_DWG.pdf")</f>
        <v/>
      </c>
      <c r="U231" s="10" t="str">
        <f aca="false">IF(A231="","",IF(Q231="Y",A231&amp;"_STAAD.std","n/a"))</f>
        <v/>
      </c>
      <c r="V231" s="10" t="str">
        <f aca="false">IF(A231="","",A231&amp;"_CALC.xlsx")</f>
        <v/>
      </c>
      <c r="W231" s="10" t="str">
        <f aca="false">IF(A231="","",A231&amp;"_CALC.pdf")</f>
        <v/>
      </c>
      <c r="X231" s="9"/>
      <c r="Y231" s="9"/>
      <c r="Z231" s="41"/>
      <c r="AA231" s="41"/>
      <c r="AB231" s="41"/>
      <c r="AC231" s="41"/>
      <c r="AD231" s="41"/>
      <c r="AE231" s="38" t="str">
        <f aca="false">IF(C231="","","OK")</f>
        <v/>
      </c>
      <c r="AF231" s="9"/>
      <c r="AG231" s="9"/>
      <c r="AH231" s="9"/>
      <c r="AI231" s="9"/>
      <c r="AJ231" s="9"/>
      <c r="AK231" s="31"/>
      <c r="AL231" s="10" t="str">
        <f aca="false">IF(C231="","",IF(AND(N231="Approved",ISERROR(SEARCH("FAIL",AE231))),"Y","N"))</f>
        <v/>
      </c>
    </row>
    <row r="232" customFormat="false" ht="15" hidden="false" customHeight="false" outlineLevel="0" collapsed="false">
      <c r="A232" s="10" t="str">
        <f aca="false">IF(C232="","",IFERROR(VLOOKUP(C232,Lists!$BI$4:$BJ$20,2,0),"??")&amp;"-"&amp;UPPER(SUBSTITUTE(D232," ",""))&amp;IF(E232&lt;&gt;"","-SP"&amp;TEXT(E232*1000,"0"),"")&amp;IF(F232&lt;&gt;"","-H"&amp;TEXT(F232*1000,"0"),"")&amp;"-"&amp;M232)</f>
        <v/>
      </c>
      <c r="B232" s="10" t="str">
        <f aca="false">IF(C232="","",C232&amp;" - "&amp;D232&amp;IF(E232&lt;&gt;"",", span "&amp;E232&amp;" m","")&amp;IF(F232&lt;&gt;"",", H "&amp;F232&amp;" m","")&amp;IF(G232&lt;&gt;"",", W "&amp;G232&amp;" m",""))</f>
        <v/>
      </c>
      <c r="C232" s="9"/>
      <c r="D232" s="9"/>
      <c r="E232" s="43"/>
      <c r="F232" s="43"/>
      <c r="G232" s="43"/>
      <c r="H232" s="9"/>
      <c r="I232" s="9"/>
      <c r="J232" s="9"/>
      <c r="K232" s="9"/>
      <c r="L232" s="9"/>
      <c r="M232" s="9"/>
      <c r="N232" s="9"/>
      <c r="O232" s="9"/>
      <c r="P232" s="9"/>
      <c r="Q232" s="9"/>
      <c r="R232" s="10" t="str">
        <f aca="false">IF(A232="","",SG_Criteria!$B$6&amp;SG_Criteria!$B$13&amp;"\"&amp;A232&amp;"\")</f>
        <v/>
      </c>
      <c r="S232" s="10" t="str">
        <f aca="false">IF(A232="","",A232&amp;"_CAD.dwg")</f>
        <v/>
      </c>
      <c r="T232" s="10" t="str">
        <f aca="false">IF(A232="","",A232&amp;"_DWG.pdf")</f>
        <v/>
      </c>
      <c r="U232" s="10" t="str">
        <f aca="false">IF(A232="","",IF(Q232="Y",A232&amp;"_STAAD.std","n/a"))</f>
        <v/>
      </c>
      <c r="V232" s="10" t="str">
        <f aca="false">IF(A232="","",A232&amp;"_CALC.xlsx")</f>
        <v/>
      </c>
      <c r="W232" s="10" t="str">
        <f aca="false">IF(A232="","",A232&amp;"_CALC.pdf")</f>
        <v/>
      </c>
      <c r="X232" s="9"/>
      <c r="Y232" s="9"/>
      <c r="Z232" s="41"/>
      <c r="AA232" s="41"/>
      <c r="AB232" s="41"/>
      <c r="AC232" s="41"/>
      <c r="AD232" s="41"/>
      <c r="AE232" s="38" t="str">
        <f aca="false">IF(C232="","","OK")</f>
        <v/>
      </c>
      <c r="AF232" s="9"/>
      <c r="AG232" s="9"/>
      <c r="AH232" s="9"/>
      <c r="AI232" s="9"/>
      <c r="AJ232" s="9"/>
      <c r="AK232" s="31"/>
      <c r="AL232" s="10" t="str">
        <f aca="false">IF(C232="","",IF(AND(N232="Approved",ISERROR(SEARCH("FAIL",AE232))),"Y","N"))</f>
        <v/>
      </c>
    </row>
    <row r="233" customFormat="false" ht="15" hidden="false" customHeight="false" outlineLevel="0" collapsed="false">
      <c r="A233" s="10" t="str">
        <f aca="false">IF(C233="","",IFERROR(VLOOKUP(C233,Lists!$BI$4:$BJ$20,2,0),"??")&amp;"-"&amp;UPPER(SUBSTITUTE(D233," ",""))&amp;IF(E233&lt;&gt;"","-SP"&amp;TEXT(E233*1000,"0"),"")&amp;IF(F233&lt;&gt;"","-H"&amp;TEXT(F233*1000,"0"),"")&amp;"-"&amp;M233)</f>
        <v/>
      </c>
      <c r="B233" s="10" t="str">
        <f aca="false">IF(C233="","",C233&amp;" - "&amp;D233&amp;IF(E233&lt;&gt;"",", span "&amp;E233&amp;" m","")&amp;IF(F233&lt;&gt;"",", H "&amp;F233&amp;" m","")&amp;IF(G233&lt;&gt;"",", W "&amp;G233&amp;" m",""))</f>
        <v/>
      </c>
      <c r="C233" s="9"/>
      <c r="D233" s="9"/>
      <c r="E233" s="43"/>
      <c r="F233" s="43"/>
      <c r="G233" s="43"/>
      <c r="H233" s="9"/>
      <c r="I233" s="9"/>
      <c r="J233" s="9"/>
      <c r="K233" s="9"/>
      <c r="L233" s="9"/>
      <c r="M233" s="9"/>
      <c r="N233" s="9"/>
      <c r="O233" s="9"/>
      <c r="P233" s="9"/>
      <c r="Q233" s="9"/>
      <c r="R233" s="10" t="str">
        <f aca="false">IF(A233="","",SG_Criteria!$B$6&amp;SG_Criteria!$B$13&amp;"\"&amp;A233&amp;"\")</f>
        <v/>
      </c>
      <c r="S233" s="10" t="str">
        <f aca="false">IF(A233="","",A233&amp;"_CAD.dwg")</f>
        <v/>
      </c>
      <c r="T233" s="10" t="str">
        <f aca="false">IF(A233="","",A233&amp;"_DWG.pdf")</f>
        <v/>
      </c>
      <c r="U233" s="10" t="str">
        <f aca="false">IF(A233="","",IF(Q233="Y",A233&amp;"_STAAD.std","n/a"))</f>
        <v/>
      </c>
      <c r="V233" s="10" t="str">
        <f aca="false">IF(A233="","",A233&amp;"_CALC.xlsx")</f>
        <v/>
      </c>
      <c r="W233" s="10" t="str">
        <f aca="false">IF(A233="","",A233&amp;"_CALC.pdf")</f>
        <v/>
      </c>
      <c r="X233" s="9"/>
      <c r="Y233" s="9"/>
      <c r="Z233" s="41"/>
      <c r="AA233" s="41"/>
      <c r="AB233" s="41"/>
      <c r="AC233" s="41"/>
      <c r="AD233" s="41"/>
      <c r="AE233" s="38" t="str">
        <f aca="false">IF(C233="","","OK")</f>
        <v/>
      </c>
      <c r="AF233" s="9"/>
      <c r="AG233" s="9"/>
      <c r="AH233" s="9"/>
      <c r="AI233" s="9"/>
      <c r="AJ233" s="9"/>
      <c r="AK233" s="31"/>
      <c r="AL233" s="10" t="str">
        <f aca="false">IF(C233="","",IF(AND(N233="Approved",ISERROR(SEARCH("FAIL",AE233))),"Y","N"))</f>
        <v/>
      </c>
    </row>
    <row r="234" customFormat="false" ht="15" hidden="false" customHeight="false" outlineLevel="0" collapsed="false">
      <c r="A234" s="10" t="str">
        <f aca="false">IF(C234="","",IFERROR(VLOOKUP(C234,Lists!$BI$4:$BJ$20,2,0),"??")&amp;"-"&amp;UPPER(SUBSTITUTE(D234," ",""))&amp;IF(E234&lt;&gt;"","-SP"&amp;TEXT(E234*1000,"0"),"")&amp;IF(F234&lt;&gt;"","-H"&amp;TEXT(F234*1000,"0"),"")&amp;"-"&amp;M234)</f>
        <v/>
      </c>
      <c r="B234" s="10" t="str">
        <f aca="false">IF(C234="","",C234&amp;" - "&amp;D234&amp;IF(E234&lt;&gt;"",", span "&amp;E234&amp;" m","")&amp;IF(F234&lt;&gt;"",", H "&amp;F234&amp;" m","")&amp;IF(G234&lt;&gt;"",", W "&amp;G234&amp;" m",""))</f>
        <v/>
      </c>
      <c r="C234" s="9"/>
      <c r="D234" s="9"/>
      <c r="E234" s="43"/>
      <c r="F234" s="43"/>
      <c r="G234" s="43"/>
      <c r="H234" s="9"/>
      <c r="I234" s="9"/>
      <c r="J234" s="9"/>
      <c r="K234" s="9"/>
      <c r="L234" s="9"/>
      <c r="M234" s="9"/>
      <c r="N234" s="9"/>
      <c r="O234" s="9"/>
      <c r="P234" s="9"/>
      <c r="Q234" s="9"/>
      <c r="R234" s="10" t="str">
        <f aca="false">IF(A234="","",SG_Criteria!$B$6&amp;SG_Criteria!$B$13&amp;"\"&amp;A234&amp;"\")</f>
        <v/>
      </c>
      <c r="S234" s="10" t="str">
        <f aca="false">IF(A234="","",A234&amp;"_CAD.dwg")</f>
        <v/>
      </c>
      <c r="T234" s="10" t="str">
        <f aca="false">IF(A234="","",A234&amp;"_DWG.pdf")</f>
        <v/>
      </c>
      <c r="U234" s="10" t="str">
        <f aca="false">IF(A234="","",IF(Q234="Y",A234&amp;"_STAAD.std","n/a"))</f>
        <v/>
      </c>
      <c r="V234" s="10" t="str">
        <f aca="false">IF(A234="","",A234&amp;"_CALC.xlsx")</f>
        <v/>
      </c>
      <c r="W234" s="10" t="str">
        <f aca="false">IF(A234="","",A234&amp;"_CALC.pdf")</f>
        <v/>
      </c>
      <c r="X234" s="9"/>
      <c r="Y234" s="9"/>
      <c r="Z234" s="41"/>
      <c r="AA234" s="41"/>
      <c r="AB234" s="41"/>
      <c r="AC234" s="41"/>
      <c r="AD234" s="41"/>
      <c r="AE234" s="38" t="str">
        <f aca="false">IF(C234="","","OK")</f>
        <v/>
      </c>
      <c r="AF234" s="9"/>
      <c r="AG234" s="9"/>
      <c r="AH234" s="9"/>
      <c r="AI234" s="9"/>
      <c r="AJ234" s="9"/>
      <c r="AK234" s="31"/>
      <c r="AL234" s="10" t="str">
        <f aca="false">IF(C234="","",IF(AND(N234="Approved",ISERROR(SEARCH("FAIL",AE234))),"Y","N"))</f>
        <v/>
      </c>
    </row>
    <row r="235" customFormat="false" ht="15" hidden="false" customHeight="false" outlineLevel="0" collapsed="false">
      <c r="A235" s="10" t="str">
        <f aca="false">IF(C235="","",IFERROR(VLOOKUP(C235,Lists!$BI$4:$BJ$20,2,0),"??")&amp;"-"&amp;UPPER(SUBSTITUTE(D235," ",""))&amp;IF(E235&lt;&gt;"","-SP"&amp;TEXT(E235*1000,"0"),"")&amp;IF(F235&lt;&gt;"","-H"&amp;TEXT(F235*1000,"0"),"")&amp;"-"&amp;M235)</f>
        <v/>
      </c>
      <c r="B235" s="10" t="str">
        <f aca="false">IF(C235="","",C235&amp;" - "&amp;D235&amp;IF(E235&lt;&gt;"",", span "&amp;E235&amp;" m","")&amp;IF(F235&lt;&gt;"",", H "&amp;F235&amp;" m","")&amp;IF(G235&lt;&gt;"",", W "&amp;G235&amp;" m",""))</f>
        <v/>
      </c>
      <c r="C235" s="9"/>
      <c r="D235" s="9"/>
      <c r="E235" s="43"/>
      <c r="F235" s="43"/>
      <c r="G235" s="43"/>
      <c r="H235" s="9"/>
      <c r="I235" s="9"/>
      <c r="J235" s="9"/>
      <c r="K235" s="9"/>
      <c r="L235" s="9"/>
      <c r="M235" s="9"/>
      <c r="N235" s="9"/>
      <c r="O235" s="9"/>
      <c r="P235" s="9"/>
      <c r="Q235" s="9"/>
      <c r="R235" s="10" t="str">
        <f aca="false">IF(A235="","",SG_Criteria!$B$6&amp;SG_Criteria!$B$13&amp;"\"&amp;A235&amp;"\")</f>
        <v/>
      </c>
      <c r="S235" s="10" t="str">
        <f aca="false">IF(A235="","",A235&amp;"_CAD.dwg")</f>
        <v/>
      </c>
      <c r="T235" s="10" t="str">
        <f aca="false">IF(A235="","",A235&amp;"_DWG.pdf")</f>
        <v/>
      </c>
      <c r="U235" s="10" t="str">
        <f aca="false">IF(A235="","",IF(Q235="Y",A235&amp;"_STAAD.std","n/a"))</f>
        <v/>
      </c>
      <c r="V235" s="10" t="str">
        <f aca="false">IF(A235="","",A235&amp;"_CALC.xlsx")</f>
        <v/>
      </c>
      <c r="W235" s="10" t="str">
        <f aca="false">IF(A235="","",A235&amp;"_CALC.pdf")</f>
        <v/>
      </c>
      <c r="X235" s="9"/>
      <c r="Y235" s="9"/>
      <c r="Z235" s="41"/>
      <c r="AA235" s="41"/>
      <c r="AB235" s="41"/>
      <c r="AC235" s="41"/>
      <c r="AD235" s="41"/>
      <c r="AE235" s="38" t="str">
        <f aca="false">IF(C235="","","OK")</f>
        <v/>
      </c>
      <c r="AF235" s="9"/>
      <c r="AG235" s="9"/>
      <c r="AH235" s="9"/>
      <c r="AI235" s="9"/>
      <c r="AJ235" s="9"/>
      <c r="AK235" s="31"/>
      <c r="AL235" s="10" t="str">
        <f aca="false">IF(C235="","",IF(AND(N235="Approved",ISERROR(SEARCH("FAIL",AE235))),"Y","N"))</f>
        <v/>
      </c>
    </row>
    <row r="236" customFormat="false" ht="15" hidden="false" customHeight="false" outlineLevel="0" collapsed="false">
      <c r="A236" s="10" t="str">
        <f aca="false">IF(C236="","",IFERROR(VLOOKUP(C236,Lists!$BI$4:$BJ$20,2,0),"??")&amp;"-"&amp;UPPER(SUBSTITUTE(D236," ",""))&amp;IF(E236&lt;&gt;"","-SP"&amp;TEXT(E236*1000,"0"),"")&amp;IF(F236&lt;&gt;"","-H"&amp;TEXT(F236*1000,"0"),"")&amp;"-"&amp;M236)</f>
        <v/>
      </c>
      <c r="B236" s="10" t="str">
        <f aca="false">IF(C236="","",C236&amp;" - "&amp;D236&amp;IF(E236&lt;&gt;"",", span "&amp;E236&amp;" m","")&amp;IF(F236&lt;&gt;"",", H "&amp;F236&amp;" m","")&amp;IF(G236&lt;&gt;"",", W "&amp;G236&amp;" m",""))</f>
        <v/>
      </c>
      <c r="C236" s="9"/>
      <c r="D236" s="9"/>
      <c r="E236" s="43"/>
      <c r="F236" s="43"/>
      <c r="G236" s="43"/>
      <c r="H236" s="9"/>
      <c r="I236" s="9"/>
      <c r="J236" s="9"/>
      <c r="K236" s="9"/>
      <c r="L236" s="9"/>
      <c r="M236" s="9"/>
      <c r="N236" s="9"/>
      <c r="O236" s="9"/>
      <c r="P236" s="9"/>
      <c r="Q236" s="9"/>
      <c r="R236" s="10" t="str">
        <f aca="false">IF(A236="","",SG_Criteria!$B$6&amp;SG_Criteria!$B$13&amp;"\"&amp;A236&amp;"\")</f>
        <v/>
      </c>
      <c r="S236" s="10" t="str">
        <f aca="false">IF(A236="","",A236&amp;"_CAD.dwg")</f>
        <v/>
      </c>
      <c r="T236" s="10" t="str">
        <f aca="false">IF(A236="","",A236&amp;"_DWG.pdf")</f>
        <v/>
      </c>
      <c r="U236" s="10" t="str">
        <f aca="false">IF(A236="","",IF(Q236="Y",A236&amp;"_STAAD.std","n/a"))</f>
        <v/>
      </c>
      <c r="V236" s="10" t="str">
        <f aca="false">IF(A236="","",A236&amp;"_CALC.xlsx")</f>
        <v/>
      </c>
      <c r="W236" s="10" t="str">
        <f aca="false">IF(A236="","",A236&amp;"_CALC.pdf")</f>
        <v/>
      </c>
      <c r="X236" s="9"/>
      <c r="Y236" s="9"/>
      <c r="Z236" s="41"/>
      <c r="AA236" s="41"/>
      <c r="AB236" s="41"/>
      <c r="AC236" s="41"/>
      <c r="AD236" s="41"/>
      <c r="AE236" s="38" t="str">
        <f aca="false">IF(C236="","","OK")</f>
        <v/>
      </c>
      <c r="AF236" s="9"/>
      <c r="AG236" s="9"/>
      <c r="AH236" s="9"/>
      <c r="AI236" s="9"/>
      <c r="AJ236" s="9"/>
      <c r="AK236" s="31"/>
      <c r="AL236" s="10" t="str">
        <f aca="false">IF(C236="","",IF(AND(N236="Approved",ISERROR(SEARCH("FAIL",AE236))),"Y","N"))</f>
        <v/>
      </c>
    </row>
    <row r="237" customFormat="false" ht="15" hidden="false" customHeight="false" outlineLevel="0" collapsed="false">
      <c r="A237" s="10" t="str">
        <f aca="false">IF(C237="","",IFERROR(VLOOKUP(C237,Lists!$BI$4:$BJ$20,2,0),"??")&amp;"-"&amp;UPPER(SUBSTITUTE(D237," ",""))&amp;IF(E237&lt;&gt;"","-SP"&amp;TEXT(E237*1000,"0"),"")&amp;IF(F237&lt;&gt;"","-H"&amp;TEXT(F237*1000,"0"),"")&amp;"-"&amp;M237)</f>
        <v/>
      </c>
      <c r="B237" s="10" t="str">
        <f aca="false">IF(C237="","",C237&amp;" - "&amp;D237&amp;IF(E237&lt;&gt;"",", span "&amp;E237&amp;" m","")&amp;IF(F237&lt;&gt;"",", H "&amp;F237&amp;" m","")&amp;IF(G237&lt;&gt;"",", W "&amp;G237&amp;" m",""))</f>
        <v/>
      </c>
      <c r="C237" s="9"/>
      <c r="D237" s="9"/>
      <c r="E237" s="43"/>
      <c r="F237" s="43"/>
      <c r="G237" s="43"/>
      <c r="H237" s="9"/>
      <c r="I237" s="9"/>
      <c r="J237" s="9"/>
      <c r="K237" s="9"/>
      <c r="L237" s="9"/>
      <c r="M237" s="9"/>
      <c r="N237" s="9"/>
      <c r="O237" s="9"/>
      <c r="P237" s="9"/>
      <c r="Q237" s="9"/>
      <c r="R237" s="10" t="str">
        <f aca="false">IF(A237="","",SG_Criteria!$B$6&amp;SG_Criteria!$B$13&amp;"\"&amp;A237&amp;"\")</f>
        <v/>
      </c>
      <c r="S237" s="10" t="str">
        <f aca="false">IF(A237="","",A237&amp;"_CAD.dwg")</f>
        <v/>
      </c>
      <c r="T237" s="10" t="str">
        <f aca="false">IF(A237="","",A237&amp;"_DWG.pdf")</f>
        <v/>
      </c>
      <c r="U237" s="10" t="str">
        <f aca="false">IF(A237="","",IF(Q237="Y",A237&amp;"_STAAD.std","n/a"))</f>
        <v/>
      </c>
      <c r="V237" s="10" t="str">
        <f aca="false">IF(A237="","",A237&amp;"_CALC.xlsx")</f>
        <v/>
      </c>
      <c r="W237" s="10" t="str">
        <f aca="false">IF(A237="","",A237&amp;"_CALC.pdf")</f>
        <v/>
      </c>
      <c r="X237" s="9"/>
      <c r="Y237" s="9"/>
      <c r="Z237" s="41"/>
      <c r="AA237" s="41"/>
      <c r="AB237" s="41"/>
      <c r="AC237" s="41"/>
      <c r="AD237" s="41"/>
      <c r="AE237" s="38" t="str">
        <f aca="false">IF(C237="","","OK")</f>
        <v/>
      </c>
      <c r="AF237" s="9"/>
      <c r="AG237" s="9"/>
      <c r="AH237" s="9"/>
      <c r="AI237" s="9"/>
      <c r="AJ237" s="9"/>
      <c r="AK237" s="31"/>
      <c r="AL237" s="10" t="str">
        <f aca="false">IF(C237="","",IF(AND(N237="Approved",ISERROR(SEARCH("FAIL",AE237))),"Y","N"))</f>
        <v/>
      </c>
    </row>
    <row r="238" customFormat="false" ht="15" hidden="false" customHeight="false" outlineLevel="0" collapsed="false">
      <c r="A238" s="10" t="str">
        <f aca="false">IF(C238="","",IFERROR(VLOOKUP(C238,Lists!$BI$4:$BJ$20,2,0),"??")&amp;"-"&amp;UPPER(SUBSTITUTE(D238," ",""))&amp;IF(E238&lt;&gt;"","-SP"&amp;TEXT(E238*1000,"0"),"")&amp;IF(F238&lt;&gt;"","-H"&amp;TEXT(F238*1000,"0"),"")&amp;"-"&amp;M238)</f>
        <v/>
      </c>
      <c r="B238" s="10" t="str">
        <f aca="false">IF(C238="","",C238&amp;" - "&amp;D238&amp;IF(E238&lt;&gt;"",", span "&amp;E238&amp;" m","")&amp;IF(F238&lt;&gt;"",", H "&amp;F238&amp;" m","")&amp;IF(G238&lt;&gt;"",", W "&amp;G238&amp;" m",""))</f>
        <v/>
      </c>
      <c r="C238" s="9"/>
      <c r="D238" s="9"/>
      <c r="E238" s="43"/>
      <c r="F238" s="43"/>
      <c r="G238" s="43"/>
      <c r="H238" s="9"/>
      <c r="I238" s="9"/>
      <c r="J238" s="9"/>
      <c r="K238" s="9"/>
      <c r="L238" s="9"/>
      <c r="M238" s="9"/>
      <c r="N238" s="9"/>
      <c r="O238" s="9"/>
      <c r="P238" s="9"/>
      <c r="Q238" s="9"/>
      <c r="R238" s="10" t="str">
        <f aca="false">IF(A238="","",SG_Criteria!$B$6&amp;SG_Criteria!$B$13&amp;"\"&amp;A238&amp;"\")</f>
        <v/>
      </c>
      <c r="S238" s="10" t="str">
        <f aca="false">IF(A238="","",A238&amp;"_CAD.dwg")</f>
        <v/>
      </c>
      <c r="T238" s="10" t="str">
        <f aca="false">IF(A238="","",A238&amp;"_DWG.pdf")</f>
        <v/>
      </c>
      <c r="U238" s="10" t="str">
        <f aca="false">IF(A238="","",IF(Q238="Y",A238&amp;"_STAAD.std","n/a"))</f>
        <v/>
      </c>
      <c r="V238" s="10" t="str">
        <f aca="false">IF(A238="","",A238&amp;"_CALC.xlsx")</f>
        <v/>
      </c>
      <c r="W238" s="10" t="str">
        <f aca="false">IF(A238="","",A238&amp;"_CALC.pdf")</f>
        <v/>
      </c>
      <c r="X238" s="9"/>
      <c r="Y238" s="9"/>
      <c r="Z238" s="41"/>
      <c r="AA238" s="41"/>
      <c r="AB238" s="41"/>
      <c r="AC238" s="41"/>
      <c r="AD238" s="41"/>
      <c r="AE238" s="38" t="str">
        <f aca="false">IF(C238="","","OK")</f>
        <v/>
      </c>
      <c r="AF238" s="9"/>
      <c r="AG238" s="9"/>
      <c r="AH238" s="9"/>
      <c r="AI238" s="9"/>
      <c r="AJ238" s="9"/>
      <c r="AK238" s="31"/>
      <c r="AL238" s="10" t="str">
        <f aca="false">IF(C238="","",IF(AND(N238="Approved",ISERROR(SEARCH("FAIL",AE238))),"Y","N"))</f>
        <v/>
      </c>
    </row>
    <row r="239" customFormat="false" ht="15" hidden="false" customHeight="false" outlineLevel="0" collapsed="false">
      <c r="A239" s="10" t="str">
        <f aca="false">IF(C239="","",IFERROR(VLOOKUP(C239,Lists!$BI$4:$BJ$20,2,0),"??")&amp;"-"&amp;UPPER(SUBSTITUTE(D239," ",""))&amp;IF(E239&lt;&gt;"","-SP"&amp;TEXT(E239*1000,"0"),"")&amp;IF(F239&lt;&gt;"","-H"&amp;TEXT(F239*1000,"0"),"")&amp;"-"&amp;M239)</f>
        <v/>
      </c>
      <c r="B239" s="10" t="str">
        <f aca="false">IF(C239="","",C239&amp;" - "&amp;D239&amp;IF(E239&lt;&gt;"",", span "&amp;E239&amp;" m","")&amp;IF(F239&lt;&gt;"",", H "&amp;F239&amp;" m","")&amp;IF(G239&lt;&gt;"",", W "&amp;G239&amp;" m",""))</f>
        <v/>
      </c>
      <c r="C239" s="9"/>
      <c r="D239" s="9"/>
      <c r="E239" s="43"/>
      <c r="F239" s="43"/>
      <c r="G239" s="43"/>
      <c r="H239" s="9"/>
      <c r="I239" s="9"/>
      <c r="J239" s="9"/>
      <c r="K239" s="9"/>
      <c r="L239" s="9"/>
      <c r="M239" s="9"/>
      <c r="N239" s="9"/>
      <c r="O239" s="9"/>
      <c r="P239" s="9"/>
      <c r="Q239" s="9"/>
      <c r="R239" s="10" t="str">
        <f aca="false">IF(A239="","",SG_Criteria!$B$6&amp;SG_Criteria!$B$13&amp;"\"&amp;A239&amp;"\")</f>
        <v/>
      </c>
      <c r="S239" s="10" t="str">
        <f aca="false">IF(A239="","",A239&amp;"_CAD.dwg")</f>
        <v/>
      </c>
      <c r="T239" s="10" t="str">
        <f aca="false">IF(A239="","",A239&amp;"_DWG.pdf")</f>
        <v/>
      </c>
      <c r="U239" s="10" t="str">
        <f aca="false">IF(A239="","",IF(Q239="Y",A239&amp;"_STAAD.std","n/a"))</f>
        <v/>
      </c>
      <c r="V239" s="10" t="str">
        <f aca="false">IF(A239="","",A239&amp;"_CALC.xlsx")</f>
        <v/>
      </c>
      <c r="W239" s="10" t="str">
        <f aca="false">IF(A239="","",A239&amp;"_CALC.pdf")</f>
        <v/>
      </c>
      <c r="X239" s="9"/>
      <c r="Y239" s="9"/>
      <c r="Z239" s="41"/>
      <c r="AA239" s="41"/>
      <c r="AB239" s="41"/>
      <c r="AC239" s="41"/>
      <c r="AD239" s="41"/>
      <c r="AE239" s="38" t="str">
        <f aca="false">IF(C239="","","OK")</f>
        <v/>
      </c>
      <c r="AF239" s="9"/>
      <c r="AG239" s="9"/>
      <c r="AH239" s="9"/>
      <c r="AI239" s="9"/>
      <c r="AJ239" s="9"/>
      <c r="AK239" s="31"/>
      <c r="AL239" s="10" t="str">
        <f aca="false">IF(C239="","",IF(AND(N239="Approved",ISERROR(SEARCH("FAIL",AE239))),"Y","N"))</f>
        <v/>
      </c>
    </row>
    <row r="240" customFormat="false" ht="15" hidden="false" customHeight="false" outlineLevel="0" collapsed="false">
      <c r="A240" s="10" t="str">
        <f aca="false">IF(C240="","",IFERROR(VLOOKUP(C240,Lists!$BI$4:$BJ$20,2,0),"??")&amp;"-"&amp;UPPER(SUBSTITUTE(D240," ",""))&amp;IF(E240&lt;&gt;"","-SP"&amp;TEXT(E240*1000,"0"),"")&amp;IF(F240&lt;&gt;"","-H"&amp;TEXT(F240*1000,"0"),"")&amp;"-"&amp;M240)</f>
        <v/>
      </c>
      <c r="B240" s="10" t="str">
        <f aca="false">IF(C240="","",C240&amp;" - "&amp;D240&amp;IF(E240&lt;&gt;"",", span "&amp;E240&amp;" m","")&amp;IF(F240&lt;&gt;"",", H "&amp;F240&amp;" m","")&amp;IF(G240&lt;&gt;"",", W "&amp;G240&amp;" m",""))</f>
        <v/>
      </c>
      <c r="C240" s="9"/>
      <c r="D240" s="9"/>
      <c r="E240" s="43"/>
      <c r="F240" s="43"/>
      <c r="G240" s="43"/>
      <c r="H240" s="9"/>
      <c r="I240" s="9"/>
      <c r="J240" s="9"/>
      <c r="K240" s="9"/>
      <c r="L240" s="9"/>
      <c r="M240" s="9"/>
      <c r="N240" s="9"/>
      <c r="O240" s="9"/>
      <c r="P240" s="9"/>
      <c r="Q240" s="9"/>
      <c r="R240" s="10" t="str">
        <f aca="false">IF(A240="","",SG_Criteria!$B$6&amp;SG_Criteria!$B$13&amp;"\"&amp;A240&amp;"\")</f>
        <v/>
      </c>
      <c r="S240" s="10" t="str">
        <f aca="false">IF(A240="","",A240&amp;"_CAD.dwg")</f>
        <v/>
      </c>
      <c r="T240" s="10" t="str">
        <f aca="false">IF(A240="","",A240&amp;"_DWG.pdf")</f>
        <v/>
      </c>
      <c r="U240" s="10" t="str">
        <f aca="false">IF(A240="","",IF(Q240="Y",A240&amp;"_STAAD.std","n/a"))</f>
        <v/>
      </c>
      <c r="V240" s="10" t="str">
        <f aca="false">IF(A240="","",A240&amp;"_CALC.xlsx")</f>
        <v/>
      </c>
      <c r="W240" s="10" t="str">
        <f aca="false">IF(A240="","",A240&amp;"_CALC.pdf")</f>
        <v/>
      </c>
      <c r="X240" s="9"/>
      <c r="Y240" s="9"/>
      <c r="Z240" s="41"/>
      <c r="AA240" s="41"/>
      <c r="AB240" s="41"/>
      <c r="AC240" s="41"/>
      <c r="AD240" s="41"/>
      <c r="AE240" s="38" t="str">
        <f aca="false">IF(C240="","","OK")</f>
        <v/>
      </c>
      <c r="AF240" s="9"/>
      <c r="AG240" s="9"/>
      <c r="AH240" s="9"/>
      <c r="AI240" s="9"/>
      <c r="AJ240" s="9"/>
      <c r="AK240" s="31"/>
      <c r="AL240" s="10" t="str">
        <f aca="false">IF(C240="","",IF(AND(N240="Approved",ISERROR(SEARCH("FAIL",AE240))),"Y","N"))</f>
        <v/>
      </c>
    </row>
    <row r="241" customFormat="false" ht="15" hidden="false" customHeight="false" outlineLevel="0" collapsed="false">
      <c r="A241" s="10" t="str">
        <f aca="false">IF(C241="","",IFERROR(VLOOKUP(C241,Lists!$BI$4:$BJ$20,2,0),"??")&amp;"-"&amp;UPPER(SUBSTITUTE(D241," ",""))&amp;IF(E241&lt;&gt;"","-SP"&amp;TEXT(E241*1000,"0"),"")&amp;IF(F241&lt;&gt;"","-H"&amp;TEXT(F241*1000,"0"),"")&amp;"-"&amp;M241)</f>
        <v/>
      </c>
      <c r="B241" s="10" t="str">
        <f aca="false">IF(C241="","",C241&amp;" - "&amp;D241&amp;IF(E241&lt;&gt;"",", span "&amp;E241&amp;" m","")&amp;IF(F241&lt;&gt;"",", H "&amp;F241&amp;" m","")&amp;IF(G241&lt;&gt;"",", W "&amp;G241&amp;" m",""))</f>
        <v/>
      </c>
      <c r="C241" s="9"/>
      <c r="D241" s="9"/>
      <c r="E241" s="43"/>
      <c r="F241" s="43"/>
      <c r="G241" s="43"/>
      <c r="H241" s="9"/>
      <c r="I241" s="9"/>
      <c r="J241" s="9"/>
      <c r="K241" s="9"/>
      <c r="L241" s="9"/>
      <c r="M241" s="9"/>
      <c r="N241" s="9"/>
      <c r="O241" s="9"/>
      <c r="P241" s="9"/>
      <c r="Q241" s="9"/>
      <c r="R241" s="10" t="str">
        <f aca="false">IF(A241="","",SG_Criteria!$B$6&amp;SG_Criteria!$B$13&amp;"\"&amp;A241&amp;"\")</f>
        <v/>
      </c>
      <c r="S241" s="10" t="str">
        <f aca="false">IF(A241="","",A241&amp;"_CAD.dwg")</f>
        <v/>
      </c>
      <c r="T241" s="10" t="str">
        <f aca="false">IF(A241="","",A241&amp;"_DWG.pdf")</f>
        <v/>
      </c>
      <c r="U241" s="10" t="str">
        <f aca="false">IF(A241="","",IF(Q241="Y",A241&amp;"_STAAD.std","n/a"))</f>
        <v/>
      </c>
      <c r="V241" s="10" t="str">
        <f aca="false">IF(A241="","",A241&amp;"_CALC.xlsx")</f>
        <v/>
      </c>
      <c r="W241" s="10" t="str">
        <f aca="false">IF(A241="","",A241&amp;"_CALC.pdf")</f>
        <v/>
      </c>
      <c r="X241" s="9"/>
      <c r="Y241" s="9"/>
      <c r="Z241" s="41"/>
      <c r="AA241" s="41"/>
      <c r="AB241" s="41"/>
      <c r="AC241" s="41"/>
      <c r="AD241" s="41"/>
      <c r="AE241" s="38" t="str">
        <f aca="false">IF(C241="","","OK")</f>
        <v/>
      </c>
      <c r="AF241" s="9"/>
      <c r="AG241" s="9"/>
      <c r="AH241" s="9"/>
      <c r="AI241" s="9"/>
      <c r="AJ241" s="9"/>
      <c r="AK241" s="31"/>
      <c r="AL241" s="10" t="str">
        <f aca="false">IF(C241="","",IF(AND(N241="Approved",ISERROR(SEARCH("FAIL",AE241))),"Y","N"))</f>
        <v/>
      </c>
    </row>
    <row r="242" customFormat="false" ht="15" hidden="false" customHeight="false" outlineLevel="0" collapsed="false">
      <c r="A242" s="10" t="str">
        <f aca="false">IF(C242="","",IFERROR(VLOOKUP(C242,Lists!$BI$4:$BJ$20,2,0),"??")&amp;"-"&amp;UPPER(SUBSTITUTE(D242," ",""))&amp;IF(E242&lt;&gt;"","-SP"&amp;TEXT(E242*1000,"0"),"")&amp;IF(F242&lt;&gt;"","-H"&amp;TEXT(F242*1000,"0"),"")&amp;"-"&amp;M242)</f>
        <v/>
      </c>
      <c r="B242" s="10" t="str">
        <f aca="false">IF(C242="","",C242&amp;" - "&amp;D242&amp;IF(E242&lt;&gt;"",", span "&amp;E242&amp;" m","")&amp;IF(F242&lt;&gt;"",", H "&amp;F242&amp;" m","")&amp;IF(G242&lt;&gt;"",", W "&amp;G242&amp;" m",""))</f>
        <v/>
      </c>
      <c r="C242" s="9"/>
      <c r="D242" s="9"/>
      <c r="E242" s="43"/>
      <c r="F242" s="43"/>
      <c r="G242" s="43"/>
      <c r="H242" s="9"/>
      <c r="I242" s="9"/>
      <c r="J242" s="9"/>
      <c r="K242" s="9"/>
      <c r="L242" s="9"/>
      <c r="M242" s="9"/>
      <c r="N242" s="9"/>
      <c r="O242" s="9"/>
      <c r="P242" s="9"/>
      <c r="Q242" s="9"/>
      <c r="R242" s="10" t="str">
        <f aca="false">IF(A242="","",SG_Criteria!$B$6&amp;SG_Criteria!$B$13&amp;"\"&amp;A242&amp;"\")</f>
        <v/>
      </c>
      <c r="S242" s="10" t="str">
        <f aca="false">IF(A242="","",A242&amp;"_CAD.dwg")</f>
        <v/>
      </c>
      <c r="T242" s="10" t="str">
        <f aca="false">IF(A242="","",A242&amp;"_DWG.pdf")</f>
        <v/>
      </c>
      <c r="U242" s="10" t="str">
        <f aca="false">IF(A242="","",IF(Q242="Y",A242&amp;"_STAAD.std","n/a"))</f>
        <v/>
      </c>
      <c r="V242" s="10" t="str">
        <f aca="false">IF(A242="","",A242&amp;"_CALC.xlsx")</f>
        <v/>
      </c>
      <c r="W242" s="10" t="str">
        <f aca="false">IF(A242="","",A242&amp;"_CALC.pdf")</f>
        <v/>
      </c>
      <c r="X242" s="9"/>
      <c r="Y242" s="9"/>
      <c r="Z242" s="41"/>
      <c r="AA242" s="41"/>
      <c r="AB242" s="41"/>
      <c r="AC242" s="41"/>
      <c r="AD242" s="41"/>
      <c r="AE242" s="38" t="str">
        <f aca="false">IF(C242="","","OK")</f>
        <v/>
      </c>
      <c r="AF242" s="9"/>
      <c r="AG242" s="9"/>
      <c r="AH242" s="9"/>
      <c r="AI242" s="9"/>
      <c r="AJ242" s="9"/>
      <c r="AK242" s="31"/>
      <c r="AL242" s="10" t="str">
        <f aca="false">IF(C242="","",IF(AND(N242="Approved",ISERROR(SEARCH("FAIL",AE242))),"Y","N"))</f>
        <v/>
      </c>
    </row>
    <row r="243" customFormat="false" ht="15" hidden="false" customHeight="false" outlineLevel="0" collapsed="false">
      <c r="A243" s="10" t="str">
        <f aca="false">IF(C243="","",IFERROR(VLOOKUP(C243,Lists!$BI$4:$BJ$20,2,0),"??")&amp;"-"&amp;UPPER(SUBSTITUTE(D243," ",""))&amp;IF(E243&lt;&gt;"","-SP"&amp;TEXT(E243*1000,"0"),"")&amp;IF(F243&lt;&gt;"","-H"&amp;TEXT(F243*1000,"0"),"")&amp;"-"&amp;M243)</f>
        <v/>
      </c>
      <c r="B243" s="10" t="str">
        <f aca="false">IF(C243="","",C243&amp;" - "&amp;D243&amp;IF(E243&lt;&gt;"",", span "&amp;E243&amp;" m","")&amp;IF(F243&lt;&gt;"",", H "&amp;F243&amp;" m","")&amp;IF(G243&lt;&gt;"",", W "&amp;G243&amp;" m",""))</f>
        <v/>
      </c>
      <c r="C243" s="9"/>
      <c r="D243" s="9"/>
      <c r="E243" s="43"/>
      <c r="F243" s="43"/>
      <c r="G243" s="43"/>
      <c r="H243" s="9"/>
      <c r="I243" s="9"/>
      <c r="J243" s="9"/>
      <c r="K243" s="9"/>
      <c r="L243" s="9"/>
      <c r="M243" s="9"/>
      <c r="N243" s="9"/>
      <c r="O243" s="9"/>
      <c r="P243" s="9"/>
      <c r="Q243" s="9"/>
      <c r="R243" s="10" t="str">
        <f aca="false">IF(A243="","",SG_Criteria!$B$6&amp;SG_Criteria!$B$13&amp;"\"&amp;A243&amp;"\")</f>
        <v/>
      </c>
      <c r="S243" s="10" t="str">
        <f aca="false">IF(A243="","",A243&amp;"_CAD.dwg")</f>
        <v/>
      </c>
      <c r="T243" s="10" t="str">
        <f aca="false">IF(A243="","",A243&amp;"_DWG.pdf")</f>
        <v/>
      </c>
      <c r="U243" s="10" t="str">
        <f aca="false">IF(A243="","",IF(Q243="Y",A243&amp;"_STAAD.std","n/a"))</f>
        <v/>
      </c>
      <c r="V243" s="10" t="str">
        <f aca="false">IF(A243="","",A243&amp;"_CALC.xlsx")</f>
        <v/>
      </c>
      <c r="W243" s="10" t="str">
        <f aca="false">IF(A243="","",A243&amp;"_CALC.pdf")</f>
        <v/>
      </c>
      <c r="X243" s="9"/>
      <c r="Y243" s="9"/>
      <c r="Z243" s="41"/>
      <c r="AA243" s="41"/>
      <c r="AB243" s="41"/>
      <c r="AC243" s="41"/>
      <c r="AD243" s="41"/>
      <c r="AE243" s="38" t="str">
        <f aca="false">IF(C243="","","OK")</f>
        <v/>
      </c>
      <c r="AF243" s="9"/>
      <c r="AG243" s="9"/>
      <c r="AH243" s="9"/>
      <c r="AI243" s="9"/>
      <c r="AJ243" s="9"/>
      <c r="AK243" s="31"/>
      <c r="AL243" s="10" t="str">
        <f aca="false">IF(C243="","",IF(AND(N243="Approved",ISERROR(SEARCH("FAIL",AE243))),"Y","N"))</f>
        <v/>
      </c>
    </row>
    <row r="244" customFormat="false" ht="15" hidden="false" customHeight="false" outlineLevel="0" collapsed="false">
      <c r="A244" s="10" t="str">
        <f aca="false">IF(C244="","",IFERROR(VLOOKUP(C244,Lists!$BI$4:$BJ$20,2,0),"??")&amp;"-"&amp;UPPER(SUBSTITUTE(D244," ",""))&amp;IF(E244&lt;&gt;"","-SP"&amp;TEXT(E244*1000,"0"),"")&amp;IF(F244&lt;&gt;"","-H"&amp;TEXT(F244*1000,"0"),"")&amp;"-"&amp;M244)</f>
        <v/>
      </c>
      <c r="B244" s="10" t="str">
        <f aca="false">IF(C244="","",C244&amp;" - "&amp;D244&amp;IF(E244&lt;&gt;"",", span "&amp;E244&amp;" m","")&amp;IF(F244&lt;&gt;"",", H "&amp;F244&amp;" m","")&amp;IF(G244&lt;&gt;"",", W "&amp;G244&amp;" m",""))</f>
        <v/>
      </c>
      <c r="C244" s="9"/>
      <c r="D244" s="9"/>
      <c r="E244" s="43"/>
      <c r="F244" s="43"/>
      <c r="G244" s="43"/>
      <c r="H244" s="9"/>
      <c r="I244" s="9"/>
      <c r="J244" s="9"/>
      <c r="K244" s="9"/>
      <c r="L244" s="9"/>
      <c r="M244" s="9"/>
      <c r="N244" s="9"/>
      <c r="O244" s="9"/>
      <c r="P244" s="9"/>
      <c r="Q244" s="9"/>
      <c r="R244" s="10" t="str">
        <f aca="false">IF(A244="","",SG_Criteria!$B$6&amp;SG_Criteria!$B$13&amp;"\"&amp;A244&amp;"\")</f>
        <v/>
      </c>
      <c r="S244" s="10" t="str">
        <f aca="false">IF(A244="","",A244&amp;"_CAD.dwg")</f>
        <v/>
      </c>
      <c r="T244" s="10" t="str">
        <f aca="false">IF(A244="","",A244&amp;"_DWG.pdf")</f>
        <v/>
      </c>
      <c r="U244" s="10" t="str">
        <f aca="false">IF(A244="","",IF(Q244="Y",A244&amp;"_STAAD.std","n/a"))</f>
        <v/>
      </c>
      <c r="V244" s="10" t="str">
        <f aca="false">IF(A244="","",A244&amp;"_CALC.xlsx")</f>
        <v/>
      </c>
      <c r="W244" s="10" t="str">
        <f aca="false">IF(A244="","",A244&amp;"_CALC.pdf")</f>
        <v/>
      </c>
      <c r="X244" s="9"/>
      <c r="Y244" s="9"/>
      <c r="Z244" s="41"/>
      <c r="AA244" s="41"/>
      <c r="AB244" s="41"/>
      <c r="AC244" s="41"/>
      <c r="AD244" s="41"/>
      <c r="AE244" s="38" t="str">
        <f aca="false">IF(C244="","","OK")</f>
        <v/>
      </c>
      <c r="AF244" s="9"/>
      <c r="AG244" s="9"/>
      <c r="AH244" s="9"/>
      <c r="AI244" s="9"/>
      <c r="AJ244" s="9"/>
      <c r="AK244" s="31"/>
      <c r="AL244" s="10" t="str">
        <f aca="false">IF(C244="","",IF(AND(N244="Approved",ISERROR(SEARCH("FAIL",AE244))),"Y","N"))</f>
        <v/>
      </c>
    </row>
    <row r="245" customFormat="false" ht="15" hidden="false" customHeight="false" outlineLevel="0" collapsed="false">
      <c r="A245" s="10" t="str">
        <f aca="false">IF(C245="","",IFERROR(VLOOKUP(C245,Lists!$BI$4:$BJ$20,2,0),"??")&amp;"-"&amp;UPPER(SUBSTITUTE(D245," ",""))&amp;IF(E245&lt;&gt;"","-SP"&amp;TEXT(E245*1000,"0"),"")&amp;IF(F245&lt;&gt;"","-H"&amp;TEXT(F245*1000,"0"),"")&amp;"-"&amp;M245)</f>
        <v/>
      </c>
      <c r="B245" s="10" t="str">
        <f aca="false">IF(C245="","",C245&amp;" - "&amp;D245&amp;IF(E245&lt;&gt;"",", span "&amp;E245&amp;" m","")&amp;IF(F245&lt;&gt;"",", H "&amp;F245&amp;" m","")&amp;IF(G245&lt;&gt;"",", W "&amp;G245&amp;" m",""))</f>
        <v/>
      </c>
      <c r="C245" s="9"/>
      <c r="D245" s="9"/>
      <c r="E245" s="43"/>
      <c r="F245" s="43"/>
      <c r="G245" s="43"/>
      <c r="H245" s="9"/>
      <c r="I245" s="9"/>
      <c r="J245" s="9"/>
      <c r="K245" s="9"/>
      <c r="L245" s="9"/>
      <c r="M245" s="9"/>
      <c r="N245" s="9"/>
      <c r="O245" s="9"/>
      <c r="P245" s="9"/>
      <c r="Q245" s="9"/>
      <c r="R245" s="10" t="str">
        <f aca="false">IF(A245="","",SG_Criteria!$B$6&amp;SG_Criteria!$B$13&amp;"\"&amp;A245&amp;"\")</f>
        <v/>
      </c>
      <c r="S245" s="10" t="str">
        <f aca="false">IF(A245="","",A245&amp;"_CAD.dwg")</f>
        <v/>
      </c>
      <c r="T245" s="10" t="str">
        <f aca="false">IF(A245="","",A245&amp;"_DWG.pdf")</f>
        <v/>
      </c>
      <c r="U245" s="10" t="str">
        <f aca="false">IF(A245="","",IF(Q245="Y",A245&amp;"_STAAD.std","n/a"))</f>
        <v/>
      </c>
      <c r="V245" s="10" t="str">
        <f aca="false">IF(A245="","",A245&amp;"_CALC.xlsx")</f>
        <v/>
      </c>
      <c r="W245" s="10" t="str">
        <f aca="false">IF(A245="","",A245&amp;"_CALC.pdf")</f>
        <v/>
      </c>
      <c r="X245" s="9"/>
      <c r="Y245" s="9"/>
      <c r="Z245" s="41"/>
      <c r="AA245" s="41"/>
      <c r="AB245" s="41"/>
      <c r="AC245" s="41"/>
      <c r="AD245" s="41"/>
      <c r="AE245" s="38" t="str">
        <f aca="false">IF(C245="","","OK")</f>
        <v/>
      </c>
      <c r="AF245" s="9"/>
      <c r="AG245" s="9"/>
      <c r="AH245" s="9"/>
      <c r="AI245" s="9"/>
      <c r="AJ245" s="9"/>
      <c r="AK245" s="31"/>
      <c r="AL245" s="10" t="str">
        <f aca="false">IF(C245="","",IF(AND(N245="Approved",ISERROR(SEARCH("FAIL",AE245))),"Y","N"))</f>
        <v/>
      </c>
    </row>
    <row r="246" customFormat="false" ht="15" hidden="false" customHeight="false" outlineLevel="0" collapsed="false">
      <c r="A246" s="10" t="str">
        <f aca="false">IF(C246="","",IFERROR(VLOOKUP(C246,Lists!$BI$4:$BJ$20,2,0),"??")&amp;"-"&amp;UPPER(SUBSTITUTE(D246," ",""))&amp;IF(E246&lt;&gt;"","-SP"&amp;TEXT(E246*1000,"0"),"")&amp;IF(F246&lt;&gt;"","-H"&amp;TEXT(F246*1000,"0"),"")&amp;"-"&amp;M246)</f>
        <v/>
      </c>
      <c r="B246" s="10" t="str">
        <f aca="false">IF(C246="","",C246&amp;" - "&amp;D246&amp;IF(E246&lt;&gt;"",", span "&amp;E246&amp;" m","")&amp;IF(F246&lt;&gt;"",", H "&amp;F246&amp;" m","")&amp;IF(G246&lt;&gt;"",", W "&amp;G246&amp;" m",""))</f>
        <v/>
      </c>
      <c r="C246" s="9"/>
      <c r="D246" s="9"/>
      <c r="E246" s="43"/>
      <c r="F246" s="43"/>
      <c r="G246" s="43"/>
      <c r="H246" s="9"/>
      <c r="I246" s="9"/>
      <c r="J246" s="9"/>
      <c r="K246" s="9"/>
      <c r="L246" s="9"/>
      <c r="M246" s="9"/>
      <c r="N246" s="9"/>
      <c r="O246" s="9"/>
      <c r="P246" s="9"/>
      <c r="Q246" s="9"/>
      <c r="R246" s="10" t="str">
        <f aca="false">IF(A246="","",SG_Criteria!$B$6&amp;SG_Criteria!$B$13&amp;"\"&amp;A246&amp;"\")</f>
        <v/>
      </c>
      <c r="S246" s="10" t="str">
        <f aca="false">IF(A246="","",A246&amp;"_CAD.dwg")</f>
        <v/>
      </c>
      <c r="T246" s="10" t="str">
        <f aca="false">IF(A246="","",A246&amp;"_DWG.pdf")</f>
        <v/>
      </c>
      <c r="U246" s="10" t="str">
        <f aca="false">IF(A246="","",IF(Q246="Y",A246&amp;"_STAAD.std","n/a"))</f>
        <v/>
      </c>
      <c r="V246" s="10" t="str">
        <f aca="false">IF(A246="","",A246&amp;"_CALC.xlsx")</f>
        <v/>
      </c>
      <c r="W246" s="10" t="str">
        <f aca="false">IF(A246="","",A246&amp;"_CALC.pdf")</f>
        <v/>
      </c>
      <c r="X246" s="9"/>
      <c r="Y246" s="9"/>
      <c r="Z246" s="41"/>
      <c r="AA246" s="41"/>
      <c r="AB246" s="41"/>
      <c r="AC246" s="41"/>
      <c r="AD246" s="41"/>
      <c r="AE246" s="38" t="str">
        <f aca="false">IF(C246="","","OK")</f>
        <v/>
      </c>
      <c r="AF246" s="9"/>
      <c r="AG246" s="9"/>
      <c r="AH246" s="9"/>
      <c r="AI246" s="9"/>
      <c r="AJ246" s="9"/>
      <c r="AK246" s="31"/>
      <c r="AL246" s="10" t="str">
        <f aca="false">IF(C246="","",IF(AND(N246="Approved",ISERROR(SEARCH("FAIL",AE246))),"Y","N"))</f>
        <v/>
      </c>
    </row>
    <row r="247" customFormat="false" ht="15" hidden="false" customHeight="false" outlineLevel="0" collapsed="false">
      <c r="A247" s="10" t="str">
        <f aca="false">IF(C247="","",IFERROR(VLOOKUP(C247,Lists!$BI$4:$BJ$20,2,0),"??")&amp;"-"&amp;UPPER(SUBSTITUTE(D247," ",""))&amp;IF(E247&lt;&gt;"","-SP"&amp;TEXT(E247*1000,"0"),"")&amp;IF(F247&lt;&gt;"","-H"&amp;TEXT(F247*1000,"0"),"")&amp;"-"&amp;M247)</f>
        <v/>
      </c>
      <c r="B247" s="10" t="str">
        <f aca="false">IF(C247="","",C247&amp;" - "&amp;D247&amp;IF(E247&lt;&gt;"",", span "&amp;E247&amp;" m","")&amp;IF(F247&lt;&gt;"",", H "&amp;F247&amp;" m","")&amp;IF(G247&lt;&gt;"",", W "&amp;G247&amp;" m",""))</f>
        <v/>
      </c>
      <c r="C247" s="9"/>
      <c r="D247" s="9"/>
      <c r="E247" s="43"/>
      <c r="F247" s="43"/>
      <c r="G247" s="43"/>
      <c r="H247" s="9"/>
      <c r="I247" s="9"/>
      <c r="J247" s="9"/>
      <c r="K247" s="9"/>
      <c r="L247" s="9"/>
      <c r="M247" s="9"/>
      <c r="N247" s="9"/>
      <c r="O247" s="9"/>
      <c r="P247" s="9"/>
      <c r="Q247" s="9"/>
      <c r="R247" s="10" t="str">
        <f aca="false">IF(A247="","",SG_Criteria!$B$6&amp;SG_Criteria!$B$13&amp;"\"&amp;A247&amp;"\")</f>
        <v/>
      </c>
      <c r="S247" s="10" t="str">
        <f aca="false">IF(A247="","",A247&amp;"_CAD.dwg")</f>
        <v/>
      </c>
      <c r="T247" s="10" t="str">
        <f aca="false">IF(A247="","",A247&amp;"_DWG.pdf")</f>
        <v/>
      </c>
      <c r="U247" s="10" t="str">
        <f aca="false">IF(A247="","",IF(Q247="Y",A247&amp;"_STAAD.std","n/a"))</f>
        <v/>
      </c>
      <c r="V247" s="10" t="str">
        <f aca="false">IF(A247="","",A247&amp;"_CALC.xlsx")</f>
        <v/>
      </c>
      <c r="W247" s="10" t="str">
        <f aca="false">IF(A247="","",A247&amp;"_CALC.pdf")</f>
        <v/>
      </c>
      <c r="X247" s="9"/>
      <c r="Y247" s="9"/>
      <c r="Z247" s="41"/>
      <c r="AA247" s="41"/>
      <c r="AB247" s="41"/>
      <c r="AC247" s="41"/>
      <c r="AD247" s="41"/>
      <c r="AE247" s="38" t="str">
        <f aca="false">IF(C247="","","OK")</f>
        <v/>
      </c>
      <c r="AF247" s="9"/>
      <c r="AG247" s="9"/>
      <c r="AH247" s="9"/>
      <c r="AI247" s="9"/>
      <c r="AJ247" s="9"/>
      <c r="AK247" s="31"/>
      <c r="AL247" s="10" t="str">
        <f aca="false">IF(C247="","",IF(AND(N247="Approved",ISERROR(SEARCH("FAIL",AE247))),"Y","N"))</f>
        <v/>
      </c>
    </row>
    <row r="248" customFormat="false" ht="15" hidden="false" customHeight="false" outlineLevel="0" collapsed="false">
      <c r="A248" s="10" t="str">
        <f aca="false">IF(C248="","",IFERROR(VLOOKUP(C248,Lists!$BI$4:$BJ$20,2,0),"??")&amp;"-"&amp;UPPER(SUBSTITUTE(D248," ",""))&amp;IF(E248&lt;&gt;"","-SP"&amp;TEXT(E248*1000,"0"),"")&amp;IF(F248&lt;&gt;"","-H"&amp;TEXT(F248*1000,"0"),"")&amp;"-"&amp;M248)</f>
        <v/>
      </c>
      <c r="B248" s="10" t="str">
        <f aca="false">IF(C248="","",C248&amp;" - "&amp;D248&amp;IF(E248&lt;&gt;"",", span "&amp;E248&amp;" m","")&amp;IF(F248&lt;&gt;"",", H "&amp;F248&amp;" m","")&amp;IF(G248&lt;&gt;"",", W "&amp;G248&amp;" m",""))</f>
        <v/>
      </c>
      <c r="C248" s="9"/>
      <c r="D248" s="9"/>
      <c r="E248" s="43"/>
      <c r="F248" s="43"/>
      <c r="G248" s="43"/>
      <c r="H248" s="9"/>
      <c r="I248" s="9"/>
      <c r="J248" s="9"/>
      <c r="K248" s="9"/>
      <c r="L248" s="9"/>
      <c r="M248" s="9"/>
      <c r="N248" s="9"/>
      <c r="O248" s="9"/>
      <c r="P248" s="9"/>
      <c r="Q248" s="9"/>
      <c r="R248" s="10" t="str">
        <f aca="false">IF(A248="","",SG_Criteria!$B$6&amp;SG_Criteria!$B$13&amp;"\"&amp;A248&amp;"\")</f>
        <v/>
      </c>
      <c r="S248" s="10" t="str">
        <f aca="false">IF(A248="","",A248&amp;"_CAD.dwg")</f>
        <v/>
      </c>
      <c r="T248" s="10" t="str">
        <f aca="false">IF(A248="","",A248&amp;"_DWG.pdf")</f>
        <v/>
      </c>
      <c r="U248" s="10" t="str">
        <f aca="false">IF(A248="","",IF(Q248="Y",A248&amp;"_STAAD.std","n/a"))</f>
        <v/>
      </c>
      <c r="V248" s="10" t="str">
        <f aca="false">IF(A248="","",A248&amp;"_CALC.xlsx")</f>
        <v/>
      </c>
      <c r="W248" s="10" t="str">
        <f aca="false">IF(A248="","",A248&amp;"_CALC.pdf")</f>
        <v/>
      </c>
      <c r="X248" s="9"/>
      <c r="Y248" s="9"/>
      <c r="Z248" s="41"/>
      <c r="AA248" s="41"/>
      <c r="AB248" s="41"/>
      <c r="AC248" s="41"/>
      <c r="AD248" s="41"/>
      <c r="AE248" s="38" t="str">
        <f aca="false">IF(C248="","","OK")</f>
        <v/>
      </c>
      <c r="AF248" s="9"/>
      <c r="AG248" s="9"/>
      <c r="AH248" s="9"/>
      <c r="AI248" s="9"/>
      <c r="AJ248" s="9"/>
      <c r="AK248" s="31"/>
      <c r="AL248" s="10" t="str">
        <f aca="false">IF(C248="","",IF(AND(N248="Approved",ISERROR(SEARCH("FAIL",AE248))),"Y","N"))</f>
        <v/>
      </c>
    </row>
    <row r="249" customFormat="false" ht="15" hidden="false" customHeight="false" outlineLevel="0" collapsed="false">
      <c r="A249" s="10" t="str">
        <f aca="false">IF(C249="","",IFERROR(VLOOKUP(C249,Lists!$BI$4:$BJ$20,2,0),"??")&amp;"-"&amp;UPPER(SUBSTITUTE(D249," ",""))&amp;IF(E249&lt;&gt;"","-SP"&amp;TEXT(E249*1000,"0"),"")&amp;IF(F249&lt;&gt;"","-H"&amp;TEXT(F249*1000,"0"),"")&amp;"-"&amp;M249)</f>
        <v/>
      </c>
      <c r="B249" s="10" t="str">
        <f aca="false">IF(C249="","",C249&amp;" - "&amp;D249&amp;IF(E249&lt;&gt;"",", span "&amp;E249&amp;" m","")&amp;IF(F249&lt;&gt;"",", H "&amp;F249&amp;" m","")&amp;IF(G249&lt;&gt;"",", W "&amp;G249&amp;" m",""))</f>
        <v/>
      </c>
      <c r="C249" s="9"/>
      <c r="D249" s="9"/>
      <c r="E249" s="43"/>
      <c r="F249" s="43"/>
      <c r="G249" s="43"/>
      <c r="H249" s="9"/>
      <c r="I249" s="9"/>
      <c r="J249" s="9"/>
      <c r="K249" s="9"/>
      <c r="L249" s="9"/>
      <c r="M249" s="9"/>
      <c r="N249" s="9"/>
      <c r="O249" s="9"/>
      <c r="P249" s="9"/>
      <c r="Q249" s="9"/>
      <c r="R249" s="10" t="str">
        <f aca="false">IF(A249="","",SG_Criteria!$B$6&amp;SG_Criteria!$B$13&amp;"\"&amp;A249&amp;"\")</f>
        <v/>
      </c>
      <c r="S249" s="10" t="str">
        <f aca="false">IF(A249="","",A249&amp;"_CAD.dwg")</f>
        <v/>
      </c>
      <c r="T249" s="10" t="str">
        <f aca="false">IF(A249="","",A249&amp;"_DWG.pdf")</f>
        <v/>
      </c>
      <c r="U249" s="10" t="str">
        <f aca="false">IF(A249="","",IF(Q249="Y",A249&amp;"_STAAD.std","n/a"))</f>
        <v/>
      </c>
      <c r="V249" s="10" t="str">
        <f aca="false">IF(A249="","",A249&amp;"_CALC.xlsx")</f>
        <v/>
      </c>
      <c r="W249" s="10" t="str">
        <f aca="false">IF(A249="","",A249&amp;"_CALC.pdf")</f>
        <v/>
      </c>
      <c r="X249" s="9"/>
      <c r="Y249" s="9"/>
      <c r="Z249" s="41"/>
      <c r="AA249" s="41"/>
      <c r="AB249" s="41"/>
      <c r="AC249" s="41"/>
      <c r="AD249" s="41"/>
      <c r="AE249" s="38" t="str">
        <f aca="false">IF(C249="","","OK")</f>
        <v/>
      </c>
      <c r="AF249" s="9"/>
      <c r="AG249" s="9"/>
      <c r="AH249" s="9"/>
      <c r="AI249" s="9"/>
      <c r="AJ249" s="9"/>
      <c r="AK249" s="31"/>
      <c r="AL249" s="10" t="str">
        <f aca="false">IF(C249="","",IF(AND(N249="Approved",ISERROR(SEARCH("FAIL",AE249))),"Y","N"))</f>
        <v/>
      </c>
    </row>
    <row r="250" customFormat="false" ht="15" hidden="false" customHeight="false" outlineLevel="0" collapsed="false">
      <c r="A250" s="10" t="str">
        <f aca="false">IF(C250="","",IFERROR(VLOOKUP(C250,Lists!$BI$4:$BJ$20,2,0),"??")&amp;"-"&amp;UPPER(SUBSTITUTE(D250," ",""))&amp;IF(E250&lt;&gt;"","-SP"&amp;TEXT(E250*1000,"0"),"")&amp;IF(F250&lt;&gt;"","-H"&amp;TEXT(F250*1000,"0"),"")&amp;"-"&amp;M250)</f>
        <v/>
      </c>
      <c r="B250" s="10" t="str">
        <f aca="false">IF(C250="","",C250&amp;" - "&amp;D250&amp;IF(E250&lt;&gt;"",", span "&amp;E250&amp;" m","")&amp;IF(F250&lt;&gt;"",", H "&amp;F250&amp;" m","")&amp;IF(G250&lt;&gt;"",", W "&amp;G250&amp;" m",""))</f>
        <v/>
      </c>
      <c r="C250" s="9"/>
      <c r="D250" s="9"/>
      <c r="E250" s="43"/>
      <c r="F250" s="43"/>
      <c r="G250" s="43"/>
      <c r="H250" s="9"/>
      <c r="I250" s="9"/>
      <c r="J250" s="9"/>
      <c r="K250" s="9"/>
      <c r="L250" s="9"/>
      <c r="M250" s="9"/>
      <c r="N250" s="9"/>
      <c r="O250" s="9"/>
      <c r="P250" s="9"/>
      <c r="Q250" s="9"/>
      <c r="R250" s="10" t="str">
        <f aca="false">IF(A250="","",SG_Criteria!$B$6&amp;SG_Criteria!$B$13&amp;"\"&amp;A250&amp;"\")</f>
        <v/>
      </c>
      <c r="S250" s="10" t="str">
        <f aca="false">IF(A250="","",A250&amp;"_CAD.dwg")</f>
        <v/>
      </c>
      <c r="T250" s="10" t="str">
        <f aca="false">IF(A250="","",A250&amp;"_DWG.pdf")</f>
        <v/>
      </c>
      <c r="U250" s="10" t="str">
        <f aca="false">IF(A250="","",IF(Q250="Y",A250&amp;"_STAAD.std","n/a"))</f>
        <v/>
      </c>
      <c r="V250" s="10" t="str">
        <f aca="false">IF(A250="","",A250&amp;"_CALC.xlsx")</f>
        <v/>
      </c>
      <c r="W250" s="10" t="str">
        <f aca="false">IF(A250="","",A250&amp;"_CALC.pdf")</f>
        <v/>
      </c>
      <c r="X250" s="9"/>
      <c r="Y250" s="9"/>
      <c r="Z250" s="41"/>
      <c r="AA250" s="41"/>
      <c r="AB250" s="41"/>
      <c r="AC250" s="41"/>
      <c r="AD250" s="41"/>
      <c r="AE250" s="38" t="str">
        <f aca="false">IF(C250="","","OK")</f>
        <v/>
      </c>
      <c r="AF250" s="9"/>
      <c r="AG250" s="9"/>
      <c r="AH250" s="9"/>
      <c r="AI250" s="9"/>
      <c r="AJ250" s="9"/>
      <c r="AK250" s="31"/>
      <c r="AL250" s="10" t="str">
        <f aca="false">IF(C250="","",IF(AND(N250="Approved",ISERROR(SEARCH("FAIL",AE250))),"Y","N"))</f>
        <v/>
      </c>
    </row>
    <row r="251" customFormat="false" ht="15" hidden="false" customHeight="false" outlineLevel="0" collapsed="false">
      <c r="A251" s="10" t="str">
        <f aca="false">IF(C251="","",IFERROR(VLOOKUP(C251,Lists!$BI$4:$BJ$20,2,0),"??")&amp;"-"&amp;UPPER(SUBSTITUTE(D251," ",""))&amp;IF(E251&lt;&gt;"","-SP"&amp;TEXT(E251*1000,"0"),"")&amp;IF(F251&lt;&gt;"","-H"&amp;TEXT(F251*1000,"0"),"")&amp;"-"&amp;M251)</f>
        <v/>
      </c>
      <c r="B251" s="10" t="str">
        <f aca="false">IF(C251="","",C251&amp;" - "&amp;D251&amp;IF(E251&lt;&gt;"",", span "&amp;E251&amp;" m","")&amp;IF(F251&lt;&gt;"",", H "&amp;F251&amp;" m","")&amp;IF(G251&lt;&gt;"",", W "&amp;G251&amp;" m",""))</f>
        <v/>
      </c>
      <c r="C251" s="9"/>
      <c r="D251" s="9"/>
      <c r="E251" s="43"/>
      <c r="F251" s="43"/>
      <c r="G251" s="43"/>
      <c r="H251" s="9"/>
      <c r="I251" s="9"/>
      <c r="J251" s="9"/>
      <c r="K251" s="9"/>
      <c r="L251" s="9"/>
      <c r="M251" s="9"/>
      <c r="N251" s="9"/>
      <c r="O251" s="9"/>
      <c r="P251" s="9"/>
      <c r="Q251" s="9"/>
      <c r="R251" s="10" t="str">
        <f aca="false">IF(A251="","",SG_Criteria!$B$6&amp;SG_Criteria!$B$13&amp;"\"&amp;A251&amp;"\")</f>
        <v/>
      </c>
      <c r="S251" s="10" t="str">
        <f aca="false">IF(A251="","",A251&amp;"_CAD.dwg")</f>
        <v/>
      </c>
      <c r="T251" s="10" t="str">
        <f aca="false">IF(A251="","",A251&amp;"_DWG.pdf")</f>
        <v/>
      </c>
      <c r="U251" s="10" t="str">
        <f aca="false">IF(A251="","",IF(Q251="Y",A251&amp;"_STAAD.std","n/a"))</f>
        <v/>
      </c>
      <c r="V251" s="10" t="str">
        <f aca="false">IF(A251="","",A251&amp;"_CALC.xlsx")</f>
        <v/>
      </c>
      <c r="W251" s="10" t="str">
        <f aca="false">IF(A251="","",A251&amp;"_CALC.pdf")</f>
        <v/>
      </c>
      <c r="X251" s="9"/>
      <c r="Y251" s="9"/>
      <c r="Z251" s="41"/>
      <c r="AA251" s="41"/>
      <c r="AB251" s="41"/>
      <c r="AC251" s="41"/>
      <c r="AD251" s="41"/>
      <c r="AE251" s="38" t="str">
        <f aca="false">IF(C251="","","OK")</f>
        <v/>
      </c>
      <c r="AF251" s="9"/>
      <c r="AG251" s="9"/>
      <c r="AH251" s="9"/>
      <c r="AI251" s="9"/>
      <c r="AJ251" s="9"/>
      <c r="AK251" s="31"/>
      <c r="AL251" s="10" t="str">
        <f aca="false">IF(C251="","",IF(AND(N251="Approved",ISERROR(SEARCH("FAIL",AE251))),"Y","N"))</f>
        <v/>
      </c>
    </row>
    <row r="252" customFormat="false" ht="15" hidden="false" customHeight="false" outlineLevel="0" collapsed="false">
      <c r="A252" s="10" t="str">
        <f aca="false">IF(C252="","",IFERROR(VLOOKUP(C252,Lists!$BI$4:$BJ$20,2,0),"??")&amp;"-"&amp;UPPER(SUBSTITUTE(D252," ",""))&amp;IF(E252&lt;&gt;"","-SP"&amp;TEXT(E252*1000,"0"),"")&amp;IF(F252&lt;&gt;"","-H"&amp;TEXT(F252*1000,"0"),"")&amp;"-"&amp;M252)</f>
        <v/>
      </c>
      <c r="B252" s="10" t="str">
        <f aca="false">IF(C252="","",C252&amp;" - "&amp;D252&amp;IF(E252&lt;&gt;"",", span "&amp;E252&amp;" m","")&amp;IF(F252&lt;&gt;"",", H "&amp;F252&amp;" m","")&amp;IF(G252&lt;&gt;"",", W "&amp;G252&amp;" m",""))</f>
        <v/>
      </c>
      <c r="C252" s="9"/>
      <c r="D252" s="9"/>
      <c r="E252" s="43"/>
      <c r="F252" s="43"/>
      <c r="G252" s="43"/>
      <c r="H252" s="9"/>
      <c r="I252" s="9"/>
      <c r="J252" s="9"/>
      <c r="K252" s="9"/>
      <c r="L252" s="9"/>
      <c r="M252" s="9"/>
      <c r="N252" s="9"/>
      <c r="O252" s="9"/>
      <c r="P252" s="9"/>
      <c r="Q252" s="9"/>
      <c r="R252" s="10" t="str">
        <f aca="false">IF(A252="","",SG_Criteria!$B$6&amp;SG_Criteria!$B$13&amp;"\"&amp;A252&amp;"\")</f>
        <v/>
      </c>
      <c r="S252" s="10" t="str">
        <f aca="false">IF(A252="","",A252&amp;"_CAD.dwg")</f>
        <v/>
      </c>
      <c r="T252" s="10" t="str">
        <f aca="false">IF(A252="","",A252&amp;"_DWG.pdf")</f>
        <v/>
      </c>
      <c r="U252" s="10" t="str">
        <f aca="false">IF(A252="","",IF(Q252="Y",A252&amp;"_STAAD.std","n/a"))</f>
        <v/>
      </c>
      <c r="V252" s="10" t="str">
        <f aca="false">IF(A252="","",A252&amp;"_CALC.xlsx")</f>
        <v/>
      </c>
      <c r="W252" s="10" t="str">
        <f aca="false">IF(A252="","",A252&amp;"_CALC.pdf")</f>
        <v/>
      </c>
      <c r="X252" s="9"/>
      <c r="Y252" s="9"/>
      <c r="Z252" s="41"/>
      <c r="AA252" s="41"/>
      <c r="AB252" s="41"/>
      <c r="AC252" s="41"/>
      <c r="AD252" s="41"/>
      <c r="AE252" s="38" t="str">
        <f aca="false">IF(C252="","","OK")</f>
        <v/>
      </c>
      <c r="AF252" s="9"/>
      <c r="AG252" s="9"/>
      <c r="AH252" s="9"/>
      <c r="AI252" s="9"/>
      <c r="AJ252" s="9"/>
      <c r="AK252" s="31"/>
      <c r="AL252" s="10" t="str">
        <f aca="false">IF(C252="","",IF(AND(N252="Approved",ISERROR(SEARCH("FAIL",AE252))),"Y","N"))</f>
        <v/>
      </c>
    </row>
    <row r="253" customFormat="false" ht="15" hidden="false" customHeight="false" outlineLevel="0" collapsed="false">
      <c r="A253" s="10" t="str">
        <f aca="false">IF(C253="","",IFERROR(VLOOKUP(C253,Lists!$BI$4:$BJ$20,2,0),"??")&amp;"-"&amp;UPPER(SUBSTITUTE(D253," ",""))&amp;IF(E253&lt;&gt;"","-SP"&amp;TEXT(E253*1000,"0"),"")&amp;IF(F253&lt;&gt;"","-H"&amp;TEXT(F253*1000,"0"),"")&amp;"-"&amp;M253)</f>
        <v/>
      </c>
      <c r="B253" s="10" t="str">
        <f aca="false">IF(C253="","",C253&amp;" - "&amp;D253&amp;IF(E253&lt;&gt;"",", span "&amp;E253&amp;" m","")&amp;IF(F253&lt;&gt;"",", H "&amp;F253&amp;" m","")&amp;IF(G253&lt;&gt;"",", W "&amp;G253&amp;" m",""))</f>
        <v/>
      </c>
      <c r="C253" s="9"/>
      <c r="D253" s="9"/>
      <c r="E253" s="43"/>
      <c r="F253" s="43"/>
      <c r="G253" s="43"/>
      <c r="H253" s="9"/>
      <c r="I253" s="9"/>
      <c r="J253" s="9"/>
      <c r="K253" s="9"/>
      <c r="L253" s="9"/>
      <c r="M253" s="9"/>
      <c r="N253" s="9"/>
      <c r="O253" s="9"/>
      <c r="P253" s="9"/>
      <c r="Q253" s="9"/>
      <c r="R253" s="10" t="str">
        <f aca="false">IF(A253="","",SG_Criteria!$B$6&amp;SG_Criteria!$B$13&amp;"\"&amp;A253&amp;"\")</f>
        <v/>
      </c>
      <c r="S253" s="10" t="str">
        <f aca="false">IF(A253="","",A253&amp;"_CAD.dwg")</f>
        <v/>
      </c>
      <c r="T253" s="10" t="str">
        <f aca="false">IF(A253="","",A253&amp;"_DWG.pdf")</f>
        <v/>
      </c>
      <c r="U253" s="10" t="str">
        <f aca="false">IF(A253="","",IF(Q253="Y",A253&amp;"_STAAD.std","n/a"))</f>
        <v/>
      </c>
      <c r="V253" s="10" t="str">
        <f aca="false">IF(A253="","",A253&amp;"_CALC.xlsx")</f>
        <v/>
      </c>
      <c r="W253" s="10" t="str">
        <f aca="false">IF(A253="","",A253&amp;"_CALC.pdf")</f>
        <v/>
      </c>
      <c r="X253" s="9"/>
      <c r="Y253" s="9"/>
      <c r="Z253" s="41"/>
      <c r="AA253" s="41"/>
      <c r="AB253" s="41"/>
      <c r="AC253" s="41"/>
      <c r="AD253" s="41"/>
      <c r="AE253" s="38" t="str">
        <f aca="false">IF(C253="","","OK")</f>
        <v/>
      </c>
      <c r="AF253" s="9"/>
      <c r="AG253" s="9"/>
      <c r="AH253" s="9"/>
      <c r="AI253" s="9"/>
      <c r="AJ253" s="9"/>
      <c r="AK253" s="31"/>
      <c r="AL253" s="10" t="str">
        <f aca="false">IF(C253="","",IF(AND(N253="Approved",ISERROR(SEARCH("FAIL",AE253))),"Y","N"))</f>
        <v/>
      </c>
    </row>
    <row r="254" customFormat="false" ht="15" hidden="false" customHeight="false" outlineLevel="0" collapsed="false">
      <c r="A254" s="10" t="str">
        <f aca="false">IF(C254="","",IFERROR(VLOOKUP(C254,Lists!$BI$4:$BJ$20,2,0),"??")&amp;"-"&amp;UPPER(SUBSTITUTE(D254," ",""))&amp;IF(E254&lt;&gt;"","-SP"&amp;TEXT(E254*1000,"0"),"")&amp;IF(F254&lt;&gt;"","-H"&amp;TEXT(F254*1000,"0"),"")&amp;"-"&amp;M254)</f>
        <v/>
      </c>
      <c r="B254" s="10" t="str">
        <f aca="false">IF(C254="","",C254&amp;" - "&amp;D254&amp;IF(E254&lt;&gt;"",", span "&amp;E254&amp;" m","")&amp;IF(F254&lt;&gt;"",", H "&amp;F254&amp;" m","")&amp;IF(G254&lt;&gt;"",", W "&amp;G254&amp;" m",""))</f>
        <v/>
      </c>
      <c r="C254" s="9"/>
      <c r="D254" s="9"/>
      <c r="E254" s="43"/>
      <c r="F254" s="43"/>
      <c r="G254" s="43"/>
      <c r="H254" s="9"/>
      <c r="I254" s="9"/>
      <c r="J254" s="9"/>
      <c r="K254" s="9"/>
      <c r="L254" s="9"/>
      <c r="M254" s="9"/>
      <c r="N254" s="9"/>
      <c r="O254" s="9"/>
      <c r="P254" s="9"/>
      <c r="Q254" s="9"/>
      <c r="R254" s="10" t="str">
        <f aca="false">IF(A254="","",SG_Criteria!$B$6&amp;SG_Criteria!$B$13&amp;"\"&amp;A254&amp;"\")</f>
        <v/>
      </c>
      <c r="S254" s="10" t="str">
        <f aca="false">IF(A254="","",A254&amp;"_CAD.dwg")</f>
        <v/>
      </c>
      <c r="T254" s="10" t="str">
        <f aca="false">IF(A254="","",A254&amp;"_DWG.pdf")</f>
        <v/>
      </c>
      <c r="U254" s="10" t="str">
        <f aca="false">IF(A254="","",IF(Q254="Y",A254&amp;"_STAAD.std","n/a"))</f>
        <v/>
      </c>
      <c r="V254" s="10" t="str">
        <f aca="false">IF(A254="","",A254&amp;"_CALC.xlsx")</f>
        <v/>
      </c>
      <c r="W254" s="10" t="str">
        <f aca="false">IF(A254="","",A254&amp;"_CALC.pdf")</f>
        <v/>
      </c>
      <c r="X254" s="9"/>
      <c r="Y254" s="9"/>
      <c r="Z254" s="41"/>
      <c r="AA254" s="41"/>
      <c r="AB254" s="41"/>
      <c r="AC254" s="41"/>
      <c r="AD254" s="41"/>
      <c r="AE254" s="38" t="str">
        <f aca="false">IF(C254="","","OK")</f>
        <v/>
      </c>
      <c r="AF254" s="9"/>
      <c r="AG254" s="9"/>
      <c r="AH254" s="9"/>
      <c r="AI254" s="9"/>
      <c r="AJ254" s="9"/>
      <c r="AK254" s="31"/>
      <c r="AL254" s="10" t="str">
        <f aca="false">IF(C254="","",IF(AND(N254="Approved",ISERROR(SEARCH("FAIL",AE254))),"Y","N"))</f>
        <v/>
      </c>
    </row>
    <row r="255" customFormat="false" ht="15" hidden="false" customHeight="false" outlineLevel="0" collapsed="false">
      <c r="A255" s="10" t="str">
        <f aca="false">IF(C255="","",IFERROR(VLOOKUP(C255,Lists!$BI$4:$BJ$20,2,0),"??")&amp;"-"&amp;UPPER(SUBSTITUTE(D255," ",""))&amp;IF(E255&lt;&gt;"","-SP"&amp;TEXT(E255*1000,"0"),"")&amp;IF(F255&lt;&gt;"","-H"&amp;TEXT(F255*1000,"0"),"")&amp;"-"&amp;M255)</f>
        <v/>
      </c>
      <c r="B255" s="10" t="str">
        <f aca="false">IF(C255="","",C255&amp;" - "&amp;D255&amp;IF(E255&lt;&gt;"",", span "&amp;E255&amp;" m","")&amp;IF(F255&lt;&gt;"",", H "&amp;F255&amp;" m","")&amp;IF(G255&lt;&gt;"",", W "&amp;G255&amp;" m",""))</f>
        <v/>
      </c>
      <c r="C255" s="9"/>
      <c r="D255" s="9"/>
      <c r="E255" s="43"/>
      <c r="F255" s="43"/>
      <c r="G255" s="43"/>
      <c r="H255" s="9"/>
      <c r="I255" s="9"/>
      <c r="J255" s="9"/>
      <c r="K255" s="9"/>
      <c r="L255" s="9"/>
      <c r="M255" s="9"/>
      <c r="N255" s="9"/>
      <c r="O255" s="9"/>
      <c r="P255" s="9"/>
      <c r="Q255" s="9"/>
      <c r="R255" s="10" t="str">
        <f aca="false">IF(A255="","",SG_Criteria!$B$6&amp;SG_Criteria!$B$13&amp;"\"&amp;A255&amp;"\")</f>
        <v/>
      </c>
      <c r="S255" s="10" t="str">
        <f aca="false">IF(A255="","",A255&amp;"_CAD.dwg")</f>
        <v/>
      </c>
      <c r="T255" s="10" t="str">
        <f aca="false">IF(A255="","",A255&amp;"_DWG.pdf")</f>
        <v/>
      </c>
      <c r="U255" s="10" t="str">
        <f aca="false">IF(A255="","",IF(Q255="Y",A255&amp;"_STAAD.std","n/a"))</f>
        <v/>
      </c>
      <c r="V255" s="10" t="str">
        <f aca="false">IF(A255="","",A255&amp;"_CALC.xlsx")</f>
        <v/>
      </c>
      <c r="W255" s="10" t="str">
        <f aca="false">IF(A255="","",A255&amp;"_CALC.pdf")</f>
        <v/>
      </c>
      <c r="X255" s="9"/>
      <c r="Y255" s="9"/>
      <c r="Z255" s="41"/>
      <c r="AA255" s="41"/>
      <c r="AB255" s="41"/>
      <c r="AC255" s="41"/>
      <c r="AD255" s="41"/>
      <c r="AE255" s="38" t="str">
        <f aca="false">IF(C255="","","OK")</f>
        <v/>
      </c>
      <c r="AF255" s="9"/>
      <c r="AG255" s="9"/>
      <c r="AH255" s="9"/>
      <c r="AI255" s="9"/>
      <c r="AJ255" s="9"/>
      <c r="AK255" s="31"/>
      <c r="AL255" s="10" t="str">
        <f aca="false">IF(C255="","",IF(AND(N255="Approved",ISERROR(SEARCH("FAIL",AE255))),"Y","N"))</f>
        <v/>
      </c>
    </row>
    <row r="256" customFormat="false" ht="15" hidden="false" customHeight="false" outlineLevel="0" collapsed="false">
      <c r="A256" s="10" t="str">
        <f aca="false">IF(C256="","",IFERROR(VLOOKUP(C256,Lists!$BI$4:$BJ$20,2,0),"??")&amp;"-"&amp;UPPER(SUBSTITUTE(D256," ",""))&amp;IF(E256&lt;&gt;"","-SP"&amp;TEXT(E256*1000,"0"),"")&amp;IF(F256&lt;&gt;"","-H"&amp;TEXT(F256*1000,"0"),"")&amp;"-"&amp;M256)</f>
        <v/>
      </c>
      <c r="B256" s="10" t="str">
        <f aca="false">IF(C256="","",C256&amp;" - "&amp;D256&amp;IF(E256&lt;&gt;"",", span "&amp;E256&amp;" m","")&amp;IF(F256&lt;&gt;"",", H "&amp;F256&amp;" m","")&amp;IF(G256&lt;&gt;"",", W "&amp;G256&amp;" m",""))</f>
        <v/>
      </c>
      <c r="C256" s="9"/>
      <c r="D256" s="9"/>
      <c r="E256" s="43"/>
      <c r="F256" s="43"/>
      <c r="G256" s="43"/>
      <c r="H256" s="9"/>
      <c r="I256" s="9"/>
      <c r="J256" s="9"/>
      <c r="K256" s="9"/>
      <c r="L256" s="9"/>
      <c r="M256" s="9"/>
      <c r="N256" s="9"/>
      <c r="O256" s="9"/>
      <c r="P256" s="9"/>
      <c r="Q256" s="9"/>
      <c r="R256" s="10" t="str">
        <f aca="false">IF(A256="","",SG_Criteria!$B$6&amp;SG_Criteria!$B$13&amp;"\"&amp;A256&amp;"\")</f>
        <v/>
      </c>
      <c r="S256" s="10" t="str">
        <f aca="false">IF(A256="","",A256&amp;"_CAD.dwg")</f>
        <v/>
      </c>
      <c r="T256" s="10" t="str">
        <f aca="false">IF(A256="","",A256&amp;"_DWG.pdf")</f>
        <v/>
      </c>
      <c r="U256" s="10" t="str">
        <f aca="false">IF(A256="","",IF(Q256="Y",A256&amp;"_STAAD.std","n/a"))</f>
        <v/>
      </c>
      <c r="V256" s="10" t="str">
        <f aca="false">IF(A256="","",A256&amp;"_CALC.xlsx")</f>
        <v/>
      </c>
      <c r="W256" s="10" t="str">
        <f aca="false">IF(A256="","",A256&amp;"_CALC.pdf")</f>
        <v/>
      </c>
      <c r="X256" s="9"/>
      <c r="Y256" s="9"/>
      <c r="Z256" s="41"/>
      <c r="AA256" s="41"/>
      <c r="AB256" s="41"/>
      <c r="AC256" s="41"/>
      <c r="AD256" s="41"/>
      <c r="AE256" s="38" t="str">
        <f aca="false">IF(C256="","","OK")</f>
        <v/>
      </c>
      <c r="AF256" s="9"/>
      <c r="AG256" s="9"/>
      <c r="AH256" s="9"/>
      <c r="AI256" s="9"/>
      <c r="AJ256" s="9"/>
      <c r="AK256" s="31"/>
      <c r="AL256" s="10" t="str">
        <f aca="false">IF(C256="","",IF(AND(N256="Approved",ISERROR(SEARCH("FAIL",AE256))),"Y","N"))</f>
        <v/>
      </c>
    </row>
    <row r="257" customFormat="false" ht="15" hidden="false" customHeight="false" outlineLevel="0" collapsed="false">
      <c r="A257" s="10" t="str">
        <f aca="false">IF(C257="","",IFERROR(VLOOKUP(C257,Lists!$BI$4:$BJ$20,2,0),"??")&amp;"-"&amp;UPPER(SUBSTITUTE(D257," ",""))&amp;IF(E257&lt;&gt;"","-SP"&amp;TEXT(E257*1000,"0"),"")&amp;IF(F257&lt;&gt;"","-H"&amp;TEXT(F257*1000,"0"),"")&amp;"-"&amp;M257)</f>
        <v/>
      </c>
      <c r="B257" s="10" t="str">
        <f aca="false">IF(C257="","",C257&amp;" - "&amp;D257&amp;IF(E257&lt;&gt;"",", span "&amp;E257&amp;" m","")&amp;IF(F257&lt;&gt;"",", H "&amp;F257&amp;" m","")&amp;IF(G257&lt;&gt;"",", W "&amp;G257&amp;" m",""))</f>
        <v/>
      </c>
      <c r="C257" s="9"/>
      <c r="D257" s="9"/>
      <c r="E257" s="43"/>
      <c r="F257" s="43"/>
      <c r="G257" s="43"/>
      <c r="H257" s="9"/>
      <c r="I257" s="9"/>
      <c r="J257" s="9"/>
      <c r="K257" s="9"/>
      <c r="L257" s="9"/>
      <c r="M257" s="9"/>
      <c r="N257" s="9"/>
      <c r="O257" s="9"/>
      <c r="P257" s="9"/>
      <c r="Q257" s="9"/>
      <c r="R257" s="10" t="str">
        <f aca="false">IF(A257="","",SG_Criteria!$B$6&amp;SG_Criteria!$B$13&amp;"\"&amp;A257&amp;"\")</f>
        <v/>
      </c>
      <c r="S257" s="10" t="str">
        <f aca="false">IF(A257="","",A257&amp;"_CAD.dwg")</f>
        <v/>
      </c>
      <c r="T257" s="10" t="str">
        <f aca="false">IF(A257="","",A257&amp;"_DWG.pdf")</f>
        <v/>
      </c>
      <c r="U257" s="10" t="str">
        <f aca="false">IF(A257="","",IF(Q257="Y",A257&amp;"_STAAD.std","n/a"))</f>
        <v/>
      </c>
      <c r="V257" s="10" t="str">
        <f aca="false">IF(A257="","",A257&amp;"_CALC.xlsx")</f>
        <v/>
      </c>
      <c r="W257" s="10" t="str">
        <f aca="false">IF(A257="","",A257&amp;"_CALC.pdf")</f>
        <v/>
      </c>
      <c r="X257" s="9"/>
      <c r="Y257" s="9"/>
      <c r="Z257" s="41"/>
      <c r="AA257" s="41"/>
      <c r="AB257" s="41"/>
      <c r="AC257" s="41"/>
      <c r="AD257" s="41"/>
      <c r="AE257" s="38" t="str">
        <f aca="false">IF(C257="","","OK")</f>
        <v/>
      </c>
      <c r="AF257" s="9"/>
      <c r="AG257" s="9"/>
      <c r="AH257" s="9"/>
      <c r="AI257" s="9"/>
      <c r="AJ257" s="9"/>
      <c r="AK257" s="31"/>
      <c r="AL257" s="10" t="str">
        <f aca="false">IF(C257="","",IF(AND(N257="Approved",ISERROR(SEARCH("FAIL",AE257))),"Y","N"))</f>
        <v/>
      </c>
    </row>
    <row r="258" customFormat="false" ht="15" hidden="false" customHeight="false" outlineLevel="0" collapsed="false">
      <c r="A258" s="10" t="str">
        <f aca="false">IF(C258="","",IFERROR(VLOOKUP(C258,Lists!$BI$4:$BJ$20,2,0),"??")&amp;"-"&amp;UPPER(SUBSTITUTE(D258," ",""))&amp;IF(E258&lt;&gt;"","-SP"&amp;TEXT(E258*1000,"0"),"")&amp;IF(F258&lt;&gt;"","-H"&amp;TEXT(F258*1000,"0"),"")&amp;"-"&amp;M258)</f>
        <v/>
      </c>
      <c r="B258" s="10" t="str">
        <f aca="false">IF(C258="","",C258&amp;" - "&amp;D258&amp;IF(E258&lt;&gt;"",", span "&amp;E258&amp;" m","")&amp;IF(F258&lt;&gt;"",", H "&amp;F258&amp;" m","")&amp;IF(G258&lt;&gt;"",", W "&amp;G258&amp;" m",""))</f>
        <v/>
      </c>
      <c r="C258" s="9"/>
      <c r="D258" s="9"/>
      <c r="E258" s="43"/>
      <c r="F258" s="43"/>
      <c r="G258" s="43"/>
      <c r="H258" s="9"/>
      <c r="I258" s="9"/>
      <c r="J258" s="9"/>
      <c r="K258" s="9"/>
      <c r="L258" s="9"/>
      <c r="M258" s="9"/>
      <c r="N258" s="9"/>
      <c r="O258" s="9"/>
      <c r="P258" s="9"/>
      <c r="Q258" s="9"/>
      <c r="R258" s="10" t="str">
        <f aca="false">IF(A258="","",SG_Criteria!$B$6&amp;SG_Criteria!$B$13&amp;"\"&amp;A258&amp;"\")</f>
        <v/>
      </c>
      <c r="S258" s="10" t="str">
        <f aca="false">IF(A258="","",A258&amp;"_CAD.dwg")</f>
        <v/>
      </c>
      <c r="T258" s="10" t="str">
        <f aca="false">IF(A258="","",A258&amp;"_DWG.pdf")</f>
        <v/>
      </c>
      <c r="U258" s="10" t="str">
        <f aca="false">IF(A258="","",IF(Q258="Y",A258&amp;"_STAAD.std","n/a"))</f>
        <v/>
      </c>
      <c r="V258" s="10" t="str">
        <f aca="false">IF(A258="","",A258&amp;"_CALC.xlsx")</f>
        <v/>
      </c>
      <c r="W258" s="10" t="str">
        <f aca="false">IF(A258="","",A258&amp;"_CALC.pdf")</f>
        <v/>
      </c>
      <c r="X258" s="9"/>
      <c r="Y258" s="9"/>
      <c r="Z258" s="41"/>
      <c r="AA258" s="41"/>
      <c r="AB258" s="41"/>
      <c r="AC258" s="41"/>
      <c r="AD258" s="41"/>
      <c r="AE258" s="38" t="str">
        <f aca="false">IF(C258="","","OK")</f>
        <v/>
      </c>
      <c r="AF258" s="9"/>
      <c r="AG258" s="9"/>
      <c r="AH258" s="9"/>
      <c r="AI258" s="9"/>
      <c r="AJ258" s="9"/>
      <c r="AK258" s="31"/>
      <c r="AL258" s="10" t="str">
        <f aca="false">IF(C258="","",IF(AND(N258="Approved",ISERROR(SEARCH("FAIL",AE258))),"Y","N"))</f>
        <v/>
      </c>
    </row>
    <row r="259" customFormat="false" ht="15" hidden="false" customHeight="false" outlineLevel="0" collapsed="false">
      <c r="A259" s="10" t="str">
        <f aca="false">IF(C259="","",IFERROR(VLOOKUP(C259,Lists!$BI$4:$BJ$20,2,0),"??")&amp;"-"&amp;UPPER(SUBSTITUTE(D259," ",""))&amp;IF(E259&lt;&gt;"","-SP"&amp;TEXT(E259*1000,"0"),"")&amp;IF(F259&lt;&gt;"","-H"&amp;TEXT(F259*1000,"0"),"")&amp;"-"&amp;M259)</f>
        <v/>
      </c>
      <c r="B259" s="10" t="str">
        <f aca="false">IF(C259="","",C259&amp;" - "&amp;D259&amp;IF(E259&lt;&gt;"",", span "&amp;E259&amp;" m","")&amp;IF(F259&lt;&gt;"",", H "&amp;F259&amp;" m","")&amp;IF(G259&lt;&gt;"",", W "&amp;G259&amp;" m",""))</f>
        <v/>
      </c>
      <c r="C259" s="9"/>
      <c r="D259" s="9"/>
      <c r="E259" s="43"/>
      <c r="F259" s="43"/>
      <c r="G259" s="43"/>
      <c r="H259" s="9"/>
      <c r="I259" s="9"/>
      <c r="J259" s="9"/>
      <c r="K259" s="9"/>
      <c r="L259" s="9"/>
      <c r="M259" s="9"/>
      <c r="N259" s="9"/>
      <c r="O259" s="9"/>
      <c r="P259" s="9"/>
      <c r="Q259" s="9"/>
      <c r="R259" s="10" t="str">
        <f aca="false">IF(A259="","",SG_Criteria!$B$6&amp;SG_Criteria!$B$13&amp;"\"&amp;A259&amp;"\")</f>
        <v/>
      </c>
      <c r="S259" s="10" t="str">
        <f aca="false">IF(A259="","",A259&amp;"_CAD.dwg")</f>
        <v/>
      </c>
      <c r="T259" s="10" t="str">
        <f aca="false">IF(A259="","",A259&amp;"_DWG.pdf")</f>
        <v/>
      </c>
      <c r="U259" s="10" t="str">
        <f aca="false">IF(A259="","",IF(Q259="Y",A259&amp;"_STAAD.std","n/a"))</f>
        <v/>
      </c>
      <c r="V259" s="10" t="str">
        <f aca="false">IF(A259="","",A259&amp;"_CALC.xlsx")</f>
        <v/>
      </c>
      <c r="W259" s="10" t="str">
        <f aca="false">IF(A259="","",A259&amp;"_CALC.pdf")</f>
        <v/>
      </c>
      <c r="X259" s="9"/>
      <c r="Y259" s="9"/>
      <c r="Z259" s="41"/>
      <c r="AA259" s="41"/>
      <c r="AB259" s="41"/>
      <c r="AC259" s="41"/>
      <c r="AD259" s="41"/>
      <c r="AE259" s="38" t="str">
        <f aca="false">IF(C259="","","OK")</f>
        <v/>
      </c>
      <c r="AF259" s="9"/>
      <c r="AG259" s="9"/>
      <c r="AH259" s="9"/>
      <c r="AI259" s="9"/>
      <c r="AJ259" s="9"/>
      <c r="AK259" s="31"/>
      <c r="AL259" s="10" t="str">
        <f aca="false">IF(C259="","",IF(AND(N259="Approved",ISERROR(SEARCH("FAIL",AE259))),"Y","N"))</f>
        <v/>
      </c>
    </row>
    <row r="260" customFormat="false" ht="15" hidden="false" customHeight="false" outlineLevel="0" collapsed="false">
      <c r="A260" s="10" t="str">
        <f aca="false">IF(C260="","",IFERROR(VLOOKUP(C260,Lists!$BI$4:$BJ$20,2,0),"??")&amp;"-"&amp;UPPER(SUBSTITUTE(D260," ",""))&amp;IF(E260&lt;&gt;"","-SP"&amp;TEXT(E260*1000,"0"),"")&amp;IF(F260&lt;&gt;"","-H"&amp;TEXT(F260*1000,"0"),"")&amp;"-"&amp;M260)</f>
        <v/>
      </c>
      <c r="B260" s="10" t="str">
        <f aca="false">IF(C260="","",C260&amp;" - "&amp;D260&amp;IF(E260&lt;&gt;"",", span "&amp;E260&amp;" m","")&amp;IF(F260&lt;&gt;"",", H "&amp;F260&amp;" m","")&amp;IF(G260&lt;&gt;"",", W "&amp;G260&amp;" m",""))</f>
        <v/>
      </c>
      <c r="C260" s="9"/>
      <c r="D260" s="9"/>
      <c r="E260" s="43"/>
      <c r="F260" s="43"/>
      <c r="G260" s="43"/>
      <c r="H260" s="9"/>
      <c r="I260" s="9"/>
      <c r="J260" s="9"/>
      <c r="K260" s="9"/>
      <c r="L260" s="9"/>
      <c r="M260" s="9"/>
      <c r="N260" s="9"/>
      <c r="O260" s="9"/>
      <c r="P260" s="9"/>
      <c r="Q260" s="9"/>
      <c r="R260" s="10" t="str">
        <f aca="false">IF(A260="","",SG_Criteria!$B$6&amp;SG_Criteria!$B$13&amp;"\"&amp;A260&amp;"\")</f>
        <v/>
      </c>
      <c r="S260" s="10" t="str">
        <f aca="false">IF(A260="","",A260&amp;"_CAD.dwg")</f>
        <v/>
      </c>
      <c r="T260" s="10" t="str">
        <f aca="false">IF(A260="","",A260&amp;"_DWG.pdf")</f>
        <v/>
      </c>
      <c r="U260" s="10" t="str">
        <f aca="false">IF(A260="","",IF(Q260="Y",A260&amp;"_STAAD.std","n/a"))</f>
        <v/>
      </c>
      <c r="V260" s="10" t="str">
        <f aca="false">IF(A260="","",A260&amp;"_CALC.xlsx")</f>
        <v/>
      </c>
      <c r="W260" s="10" t="str">
        <f aca="false">IF(A260="","",A260&amp;"_CALC.pdf")</f>
        <v/>
      </c>
      <c r="X260" s="9"/>
      <c r="Y260" s="9"/>
      <c r="Z260" s="41"/>
      <c r="AA260" s="41"/>
      <c r="AB260" s="41"/>
      <c r="AC260" s="41"/>
      <c r="AD260" s="41"/>
      <c r="AE260" s="38" t="str">
        <f aca="false">IF(C260="","","OK")</f>
        <v/>
      </c>
      <c r="AF260" s="9"/>
      <c r="AG260" s="9"/>
      <c r="AH260" s="9"/>
      <c r="AI260" s="9"/>
      <c r="AJ260" s="9"/>
      <c r="AK260" s="31"/>
      <c r="AL260" s="10" t="str">
        <f aca="false">IF(C260="","",IF(AND(N260="Approved",ISERROR(SEARCH("FAIL",AE260))),"Y","N"))</f>
        <v/>
      </c>
    </row>
    <row r="261" customFormat="false" ht="15" hidden="false" customHeight="false" outlineLevel="0" collapsed="false">
      <c r="A261" s="10" t="str">
        <f aca="false">IF(C261="","",IFERROR(VLOOKUP(C261,Lists!$BI$4:$BJ$20,2,0),"??")&amp;"-"&amp;UPPER(SUBSTITUTE(D261," ",""))&amp;IF(E261&lt;&gt;"","-SP"&amp;TEXT(E261*1000,"0"),"")&amp;IF(F261&lt;&gt;"","-H"&amp;TEXT(F261*1000,"0"),"")&amp;"-"&amp;M261)</f>
        <v/>
      </c>
      <c r="B261" s="10" t="str">
        <f aca="false">IF(C261="","",C261&amp;" - "&amp;D261&amp;IF(E261&lt;&gt;"",", span "&amp;E261&amp;" m","")&amp;IF(F261&lt;&gt;"",", H "&amp;F261&amp;" m","")&amp;IF(G261&lt;&gt;"",", W "&amp;G261&amp;" m",""))</f>
        <v/>
      </c>
      <c r="C261" s="9"/>
      <c r="D261" s="9"/>
      <c r="E261" s="43"/>
      <c r="F261" s="43"/>
      <c r="G261" s="43"/>
      <c r="H261" s="9"/>
      <c r="I261" s="9"/>
      <c r="J261" s="9"/>
      <c r="K261" s="9"/>
      <c r="L261" s="9"/>
      <c r="M261" s="9"/>
      <c r="N261" s="9"/>
      <c r="O261" s="9"/>
      <c r="P261" s="9"/>
      <c r="Q261" s="9"/>
      <c r="R261" s="10" t="str">
        <f aca="false">IF(A261="","",SG_Criteria!$B$6&amp;SG_Criteria!$B$13&amp;"\"&amp;A261&amp;"\")</f>
        <v/>
      </c>
      <c r="S261" s="10" t="str">
        <f aca="false">IF(A261="","",A261&amp;"_CAD.dwg")</f>
        <v/>
      </c>
      <c r="T261" s="10" t="str">
        <f aca="false">IF(A261="","",A261&amp;"_DWG.pdf")</f>
        <v/>
      </c>
      <c r="U261" s="10" t="str">
        <f aca="false">IF(A261="","",IF(Q261="Y",A261&amp;"_STAAD.std","n/a"))</f>
        <v/>
      </c>
      <c r="V261" s="10" t="str">
        <f aca="false">IF(A261="","",A261&amp;"_CALC.xlsx")</f>
        <v/>
      </c>
      <c r="W261" s="10" t="str">
        <f aca="false">IF(A261="","",A261&amp;"_CALC.pdf")</f>
        <v/>
      </c>
      <c r="X261" s="9"/>
      <c r="Y261" s="9"/>
      <c r="Z261" s="41"/>
      <c r="AA261" s="41"/>
      <c r="AB261" s="41"/>
      <c r="AC261" s="41"/>
      <c r="AD261" s="41"/>
      <c r="AE261" s="38" t="str">
        <f aca="false">IF(C261="","","OK")</f>
        <v/>
      </c>
      <c r="AF261" s="9"/>
      <c r="AG261" s="9"/>
      <c r="AH261" s="9"/>
      <c r="AI261" s="9"/>
      <c r="AJ261" s="9"/>
      <c r="AK261" s="31"/>
      <c r="AL261" s="10" t="str">
        <f aca="false">IF(C261="","",IF(AND(N261="Approved",ISERROR(SEARCH("FAIL",AE261))),"Y","N"))</f>
        <v/>
      </c>
    </row>
    <row r="262" customFormat="false" ht="15" hidden="false" customHeight="false" outlineLevel="0" collapsed="false">
      <c r="A262" s="10" t="str">
        <f aca="false">IF(C262="","",IFERROR(VLOOKUP(C262,Lists!$BI$4:$BJ$20,2,0),"??")&amp;"-"&amp;UPPER(SUBSTITUTE(D262," ",""))&amp;IF(E262&lt;&gt;"","-SP"&amp;TEXT(E262*1000,"0"),"")&amp;IF(F262&lt;&gt;"","-H"&amp;TEXT(F262*1000,"0"),"")&amp;"-"&amp;M262)</f>
        <v/>
      </c>
      <c r="B262" s="10" t="str">
        <f aca="false">IF(C262="","",C262&amp;" - "&amp;D262&amp;IF(E262&lt;&gt;"",", span "&amp;E262&amp;" m","")&amp;IF(F262&lt;&gt;"",", H "&amp;F262&amp;" m","")&amp;IF(G262&lt;&gt;"",", W "&amp;G262&amp;" m",""))</f>
        <v/>
      </c>
      <c r="C262" s="9"/>
      <c r="D262" s="9"/>
      <c r="E262" s="43"/>
      <c r="F262" s="43"/>
      <c r="G262" s="43"/>
      <c r="H262" s="9"/>
      <c r="I262" s="9"/>
      <c r="J262" s="9"/>
      <c r="K262" s="9"/>
      <c r="L262" s="9"/>
      <c r="M262" s="9"/>
      <c r="N262" s="9"/>
      <c r="O262" s="9"/>
      <c r="P262" s="9"/>
      <c r="Q262" s="9"/>
      <c r="R262" s="10" t="str">
        <f aca="false">IF(A262="","",SG_Criteria!$B$6&amp;SG_Criteria!$B$13&amp;"\"&amp;A262&amp;"\")</f>
        <v/>
      </c>
      <c r="S262" s="10" t="str">
        <f aca="false">IF(A262="","",A262&amp;"_CAD.dwg")</f>
        <v/>
      </c>
      <c r="T262" s="10" t="str">
        <f aca="false">IF(A262="","",A262&amp;"_DWG.pdf")</f>
        <v/>
      </c>
      <c r="U262" s="10" t="str">
        <f aca="false">IF(A262="","",IF(Q262="Y",A262&amp;"_STAAD.std","n/a"))</f>
        <v/>
      </c>
      <c r="V262" s="10" t="str">
        <f aca="false">IF(A262="","",A262&amp;"_CALC.xlsx")</f>
        <v/>
      </c>
      <c r="W262" s="10" t="str">
        <f aca="false">IF(A262="","",A262&amp;"_CALC.pdf")</f>
        <v/>
      </c>
      <c r="X262" s="9"/>
      <c r="Y262" s="9"/>
      <c r="Z262" s="41"/>
      <c r="AA262" s="41"/>
      <c r="AB262" s="41"/>
      <c r="AC262" s="41"/>
      <c r="AD262" s="41"/>
      <c r="AE262" s="38" t="str">
        <f aca="false">IF(C262="","","OK")</f>
        <v/>
      </c>
      <c r="AF262" s="9"/>
      <c r="AG262" s="9"/>
      <c r="AH262" s="9"/>
      <c r="AI262" s="9"/>
      <c r="AJ262" s="9"/>
      <c r="AK262" s="31"/>
      <c r="AL262" s="10" t="str">
        <f aca="false">IF(C262="","",IF(AND(N262="Approved",ISERROR(SEARCH("FAIL",AE262))),"Y","N"))</f>
        <v/>
      </c>
    </row>
    <row r="263" customFormat="false" ht="15" hidden="false" customHeight="false" outlineLevel="0" collapsed="false">
      <c r="A263" s="10" t="str">
        <f aca="false">IF(C263="","",IFERROR(VLOOKUP(C263,Lists!$BI$4:$BJ$20,2,0),"??")&amp;"-"&amp;UPPER(SUBSTITUTE(D263," ",""))&amp;IF(E263&lt;&gt;"","-SP"&amp;TEXT(E263*1000,"0"),"")&amp;IF(F263&lt;&gt;"","-H"&amp;TEXT(F263*1000,"0"),"")&amp;"-"&amp;M263)</f>
        <v/>
      </c>
      <c r="B263" s="10" t="str">
        <f aca="false">IF(C263="","",C263&amp;" - "&amp;D263&amp;IF(E263&lt;&gt;"",", span "&amp;E263&amp;" m","")&amp;IF(F263&lt;&gt;"",", H "&amp;F263&amp;" m","")&amp;IF(G263&lt;&gt;"",", W "&amp;G263&amp;" m",""))</f>
        <v/>
      </c>
      <c r="C263" s="9"/>
      <c r="D263" s="9"/>
      <c r="E263" s="43"/>
      <c r="F263" s="43"/>
      <c r="G263" s="43"/>
      <c r="H263" s="9"/>
      <c r="I263" s="9"/>
      <c r="J263" s="9"/>
      <c r="K263" s="9"/>
      <c r="L263" s="9"/>
      <c r="M263" s="9"/>
      <c r="N263" s="9"/>
      <c r="O263" s="9"/>
      <c r="P263" s="9"/>
      <c r="Q263" s="9"/>
      <c r="R263" s="10" t="str">
        <f aca="false">IF(A263="","",SG_Criteria!$B$6&amp;SG_Criteria!$B$13&amp;"\"&amp;A263&amp;"\")</f>
        <v/>
      </c>
      <c r="S263" s="10" t="str">
        <f aca="false">IF(A263="","",A263&amp;"_CAD.dwg")</f>
        <v/>
      </c>
      <c r="T263" s="10" t="str">
        <f aca="false">IF(A263="","",A263&amp;"_DWG.pdf")</f>
        <v/>
      </c>
      <c r="U263" s="10" t="str">
        <f aca="false">IF(A263="","",IF(Q263="Y",A263&amp;"_STAAD.std","n/a"))</f>
        <v/>
      </c>
      <c r="V263" s="10" t="str">
        <f aca="false">IF(A263="","",A263&amp;"_CALC.xlsx")</f>
        <v/>
      </c>
      <c r="W263" s="10" t="str">
        <f aca="false">IF(A263="","",A263&amp;"_CALC.pdf")</f>
        <v/>
      </c>
      <c r="X263" s="9"/>
      <c r="Y263" s="9"/>
      <c r="Z263" s="41"/>
      <c r="AA263" s="41"/>
      <c r="AB263" s="41"/>
      <c r="AC263" s="41"/>
      <c r="AD263" s="41"/>
      <c r="AE263" s="38" t="str">
        <f aca="false">IF(C263="","","OK")</f>
        <v/>
      </c>
      <c r="AF263" s="9"/>
      <c r="AG263" s="9"/>
      <c r="AH263" s="9"/>
      <c r="AI263" s="9"/>
      <c r="AJ263" s="9"/>
      <c r="AK263" s="31"/>
      <c r="AL263" s="10" t="str">
        <f aca="false">IF(C263="","",IF(AND(N263="Approved",ISERROR(SEARCH("FAIL",AE263))),"Y","N"))</f>
        <v/>
      </c>
    </row>
    <row r="264" customFormat="false" ht="15" hidden="false" customHeight="false" outlineLevel="0" collapsed="false">
      <c r="A264" s="10" t="str">
        <f aca="false">IF(C264="","",IFERROR(VLOOKUP(C264,Lists!$BI$4:$BJ$20,2,0),"??")&amp;"-"&amp;UPPER(SUBSTITUTE(D264," ",""))&amp;IF(E264&lt;&gt;"","-SP"&amp;TEXT(E264*1000,"0"),"")&amp;IF(F264&lt;&gt;"","-H"&amp;TEXT(F264*1000,"0"),"")&amp;"-"&amp;M264)</f>
        <v/>
      </c>
      <c r="B264" s="10" t="str">
        <f aca="false">IF(C264="","",C264&amp;" - "&amp;D264&amp;IF(E264&lt;&gt;"",", span "&amp;E264&amp;" m","")&amp;IF(F264&lt;&gt;"",", H "&amp;F264&amp;" m","")&amp;IF(G264&lt;&gt;"",", W "&amp;G264&amp;" m",""))</f>
        <v/>
      </c>
      <c r="C264" s="9"/>
      <c r="D264" s="9"/>
      <c r="E264" s="43"/>
      <c r="F264" s="43"/>
      <c r="G264" s="43"/>
      <c r="H264" s="9"/>
      <c r="I264" s="9"/>
      <c r="J264" s="9"/>
      <c r="K264" s="9"/>
      <c r="L264" s="9"/>
      <c r="M264" s="9"/>
      <c r="N264" s="9"/>
      <c r="O264" s="9"/>
      <c r="P264" s="9"/>
      <c r="Q264" s="9"/>
      <c r="R264" s="10" t="str">
        <f aca="false">IF(A264="","",SG_Criteria!$B$6&amp;SG_Criteria!$B$13&amp;"\"&amp;A264&amp;"\")</f>
        <v/>
      </c>
      <c r="S264" s="10" t="str">
        <f aca="false">IF(A264="","",A264&amp;"_CAD.dwg")</f>
        <v/>
      </c>
      <c r="T264" s="10" t="str">
        <f aca="false">IF(A264="","",A264&amp;"_DWG.pdf")</f>
        <v/>
      </c>
      <c r="U264" s="10" t="str">
        <f aca="false">IF(A264="","",IF(Q264="Y",A264&amp;"_STAAD.std","n/a"))</f>
        <v/>
      </c>
      <c r="V264" s="10" t="str">
        <f aca="false">IF(A264="","",A264&amp;"_CALC.xlsx")</f>
        <v/>
      </c>
      <c r="W264" s="10" t="str">
        <f aca="false">IF(A264="","",A264&amp;"_CALC.pdf")</f>
        <v/>
      </c>
      <c r="X264" s="9"/>
      <c r="Y264" s="9"/>
      <c r="Z264" s="41"/>
      <c r="AA264" s="41"/>
      <c r="AB264" s="41"/>
      <c r="AC264" s="41"/>
      <c r="AD264" s="41"/>
      <c r="AE264" s="38" t="str">
        <f aca="false">IF(C264="","","OK")</f>
        <v/>
      </c>
      <c r="AF264" s="9"/>
      <c r="AG264" s="9"/>
      <c r="AH264" s="9"/>
      <c r="AI264" s="9"/>
      <c r="AJ264" s="9"/>
      <c r="AK264" s="31"/>
      <c r="AL264" s="10" t="str">
        <f aca="false">IF(C264="","",IF(AND(N264="Approved",ISERROR(SEARCH("FAIL",AE264))),"Y","N"))</f>
        <v/>
      </c>
    </row>
    <row r="265" customFormat="false" ht="15" hidden="false" customHeight="false" outlineLevel="0" collapsed="false">
      <c r="A265" s="10" t="str">
        <f aca="false">IF(C265="","",IFERROR(VLOOKUP(C265,Lists!$BI$4:$BJ$20,2,0),"??")&amp;"-"&amp;UPPER(SUBSTITUTE(D265," ",""))&amp;IF(E265&lt;&gt;"","-SP"&amp;TEXT(E265*1000,"0"),"")&amp;IF(F265&lt;&gt;"","-H"&amp;TEXT(F265*1000,"0"),"")&amp;"-"&amp;M265)</f>
        <v/>
      </c>
      <c r="B265" s="10" t="str">
        <f aca="false">IF(C265="","",C265&amp;" - "&amp;D265&amp;IF(E265&lt;&gt;"",", span "&amp;E265&amp;" m","")&amp;IF(F265&lt;&gt;"",", H "&amp;F265&amp;" m","")&amp;IF(G265&lt;&gt;"",", W "&amp;G265&amp;" m",""))</f>
        <v/>
      </c>
      <c r="C265" s="9"/>
      <c r="D265" s="9"/>
      <c r="E265" s="43"/>
      <c r="F265" s="43"/>
      <c r="G265" s="43"/>
      <c r="H265" s="9"/>
      <c r="I265" s="9"/>
      <c r="J265" s="9"/>
      <c r="K265" s="9"/>
      <c r="L265" s="9"/>
      <c r="M265" s="9"/>
      <c r="N265" s="9"/>
      <c r="O265" s="9"/>
      <c r="P265" s="9"/>
      <c r="Q265" s="9"/>
      <c r="R265" s="10" t="str">
        <f aca="false">IF(A265="","",SG_Criteria!$B$6&amp;SG_Criteria!$B$13&amp;"\"&amp;A265&amp;"\")</f>
        <v/>
      </c>
      <c r="S265" s="10" t="str">
        <f aca="false">IF(A265="","",A265&amp;"_CAD.dwg")</f>
        <v/>
      </c>
      <c r="T265" s="10" t="str">
        <f aca="false">IF(A265="","",A265&amp;"_DWG.pdf")</f>
        <v/>
      </c>
      <c r="U265" s="10" t="str">
        <f aca="false">IF(A265="","",IF(Q265="Y",A265&amp;"_STAAD.std","n/a"))</f>
        <v/>
      </c>
      <c r="V265" s="10" t="str">
        <f aca="false">IF(A265="","",A265&amp;"_CALC.xlsx")</f>
        <v/>
      </c>
      <c r="W265" s="10" t="str">
        <f aca="false">IF(A265="","",A265&amp;"_CALC.pdf")</f>
        <v/>
      </c>
      <c r="X265" s="9"/>
      <c r="Y265" s="9"/>
      <c r="Z265" s="41"/>
      <c r="AA265" s="41"/>
      <c r="AB265" s="41"/>
      <c r="AC265" s="41"/>
      <c r="AD265" s="41"/>
      <c r="AE265" s="38" t="str">
        <f aca="false">IF(C265="","","OK")</f>
        <v/>
      </c>
      <c r="AF265" s="9"/>
      <c r="AG265" s="9"/>
      <c r="AH265" s="9"/>
      <c r="AI265" s="9"/>
      <c r="AJ265" s="9"/>
      <c r="AK265" s="31"/>
      <c r="AL265" s="10" t="str">
        <f aca="false">IF(C265="","",IF(AND(N265="Approved",ISERROR(SEARCH("FAIL",AE265))),"Y","N"))</f>
        <v/>
      </c>
    </row>
    <row r="266" customFormat="false" ht="15" hidden="false" customHeight="false" outlineLevel="0" collapsed="false">
      <c r="A266" s="10" t="str">
        <f aca="false">IF(C266="","",IFERROR(VLOOKUP(C266,Lists!$BI$4:$BJ$20,2,0),"??")&amp;"-"&amp;UPPER(SUBSTITUTE(D266," ",""))&amp;IF(E266&lt;&gt;"","-SP"&amp;TEXT(E266*1000,"0"),"")&amp;IF(F266&lt;&gt;"","-H"&amp;TEXT(F266*1000,"0"),"")&amp;"-"&amp;M266)</f>
        <v/>
      </c>
      <c r="B266" s="10" t="str">
        <f aca="false">IF(C266="","",C266&amp;" - "&amp;D266&amp;IF(E266&lt;&gt;"",", span "&amp;E266&amp;" m","")&amp;IF(F266&lt;&gt;"",", H "&amp;F266&amp;" m","")&amp;IF(G266&lt;&gt;"",", W "&amp;G266&amp;" m",""))</f>
        <v/>
      </c>
      <c r="C266" s="9"/>
      <c r="D266" s="9"/>
      <c r="E266" s="43"/>
      <c r="F266" s="43"/>
      <c r="G266" s="43"/>
      <c r="H266" s="9"/>
      <c r="I266" s="9"/>
      <c r="J266" s="9"/>
      <c r="K266" s="9"/>
      <c r="L266" s="9"/>
      <c r="M266" s="9"/>
      <c r="N266" s="9"/>
      <c r="O266" s="9"/>
      <c r="P266" s="9"/>
      <c r="Q266" s="9"/>
      <c r="R266" s="10" t="str">
        <f aca="false">IF(A266="","",SG_Criteria!$B$6&amp;SG_Criteria!$B$13&amp;"\"&amp;A266&amp;"\")</f>
        <v/>
      </c>
      <c r="S266" s="10" t="str">
        <f aca="false">IF(A266="","",A266&amp;"_CAD.dwg")</f>
        <v/>
      </c>
      <c r="T266" s="10" t="str">
        <f aca="false">IF(A266="","",A266&amp;"_DWG.pdf")</f>
        <v/>
      </c>
      <c r="U266" s="10" t="str">
        <f aca="false">IF(A266="","",IF(Q266="Y",A266&amp;"_STAAD.std","n/a"))</f>
        <v/>
      </c>
      <c r="V266" s="10" t="str">
        <f aca="false">IF(A266="","",A266&amp;"_CALC.xlsx")</f>
        <v/>
      </c>
      <c r="W266" s="10" t="str">
        <f aca="false">IF(A266="","",A266&amp;"_CALC.pdf")</f>
        <v/>
      </c>
      <c r="X266" s="9"/>
      <c r="Y266" s="9"/>
      <c r="Z266" s="41"/>
      <c r="AA266" s="41"/>
      <c r="AB266" s="41"/>
      <c r="AC266" s="41"/>
      <c r="AD266" s="41"/>
      <c r="AE266" s="38" t="str">
        <f aca="false">IF(C266="","","OK")</f>
        <v/>
      </c>
      <c r="AF266" s="9"/>
      <c r="AG266" s="9"/>
      <c r="AH266" s="9"/>
      <c r="AI266" s="9"/>
      <c r="AJ266" s="9"/>
      <c r="AK266" s="31"/>
      <c r="AL266" s="10" t="str">
        <f aca="false">IF(C266="","",IF(AND(N266="Approved",ISERROR(SEARCH("FAIL",AE266))),"Y","N"))</f>
        <v/>
      </c>
    </row>
    <row r="267" customFormat="false" ht="15" hidden="false" customHeight="false" outlineLevel="0" collapsed="false">
      <c r="A267" s="10" t="str">
        <f aca="false">IF(C267="","",IFERROR(VLOOKUP(C267,Lists!$BI$4:$BJ$20,2,0),"??")&amp;"-"&amp;UPPER(SUBSTITUTE(D267," ",""))&amp;IF(E267&lt;&gt;"","-SP"&amp;TEXT(E267*1000,"0"),"")&amp;IF(F267&lt;&gt;"","-H"&amp;TEXT(F267*1000,"0"),"")&amp;"-"&amp;M267)</f>
        <v/>
      </c>
      <c r="B267" s="10" t="str">
        <f aca="false">IF(C267="","",C267&amp;" - "&amp;D267&amp;IF(E267&lt;&gt;"",", span "&amp;E267&amp;" m","")&amp;IF(F267&lt;&gt;"",", H "&amp;F267&amp;" m","")&amp;IF(G267&lt;&gt;"",", W "&amp;G267&amp;" m",""))</f>
        <v/>
      </c>
      <c r="C267" s="9"/>
      <c r="D267" s="9"/>
      <c r="E267" s="43"/>
      <c r="F267" s="43"/>
      <c r="G267" s="43"/>
      <c r="H267" s="9"/>
      <c r="I267" s="9"/>
      <c r="J267" s="9"/>
      <c r="K267" s="9"/>
      <c r="L267" s="9"/>
      <c r="M267" s="9"/>
      <c r="N267" s="9"/>
      <c r="O267" s="9"/>
      <c r="P267" s="9"/>
      <c r="Q267" s="9"/>
      <c r="R267" s="10" t="str">
        <f aca="false">IF(A267="","",SG_Criteria!$B$6&amp;SG_Criteria!$B$13&amp;"\"&amp;A267&amp;"\")</f>
        <v/>
      </c>
      <c r="S267" s="10" t="str">
        <f aca="false">IF(A267="","",A267&amp;"_CAD.dwg")</f>
        <v/>
      </c>
      <c r="T267" s="10" t="str">
        <f aca="false">IF(A267="","",A267&amp;"_DWG.pdf")</f>
        <v/>
      </c>
      <c r="U267" s="10" t="str">
        <f aca="false">IF(A267="","",IF(Q267="Y",A267&amp;"_STAAD.std","n/a"))</f>
        <v/>
      </c>
      <c r="V267" s="10" t="str">
        <f aca="false">IF(A267="","",A267&amp;"_CALC.xlsx")</f>
        <v/>
      </c>
      <c r="W267" s="10" t="str">
        <f aca="false">IF(A267="","",A267&amp;"_CALC.pdf")</f>
        <v/>
      </c>
      <c r="X267" s="9"/>
      <c r="Y267" s="9"/>
      <c r="Z267" s="41"/>
      <c r="AA267" s="41"/>
      <c r="AB267" s="41"/>
      <c r="AC267" s="41"/>
      <c r="AD267" s="41"/>
      <c r="AE267" s="38" t="str">
        <f aca="false">IF(C267="","","OK")</f>
        <v/>
      </c>
      <c r="AF267" s="9"/>
      <c r="AG267" s="9"/>
      <c r="AH267" s="9"/>
      <c r="AI267" s="9"/>
      <c r="AJ267" s="9"/>
      <c r="AK267" s="31"/>
      <c r="AL267" s="10" t="str">
        <f aca="false">IF(C267="","",IF(AND(N267="Approved",ISERROR(SEARCH("FAIL",AE267))),"Y","N"))</f>
        <v/>
      </c>
    </row>
    <row r="268" customFormat="false" ht="15" hidden="false" customHeight="false" outlineLevel="0" collapsed="false">
      <c r="A268" s="10" t="str">
        <f aca="false">IF(C268="","",IFERROR(VLOOKUP(C268,Lists!$BI$4:$BJ$20,2,0),"??")&amp;"-"&amp;UPPER(SUBSTITUTE(D268," ",""))&amp;IF(E268&lt;&gt;"","-SP"&amp;TEXT(E268*1000,"0"),"")&amp;IF(F268&lt;&gt;"","-H"&amp;TEXT(F268*1000,"0"),"")&amp;"-"&amp;M268)</f>
        <v/>
      </c>
      <c r="B268" s="10" t="str">
        <f aca="false">IF(C268="","",C268&amp;" - "&amp;D268&amp;IF(E268&lt;&gt;"",", span "&amp;E268&amp;" m","")&amp;IF(F268&lt;&gt;"",", H "&amp;F268&amp;" m","")&amp;IF(G268&lt;&gt;"",", W "&amp;G268&amp;" m",""))</f>
        <v/>
      </c>
      <c r="C268" s="9"/>
      <c r="D268" s="9"/>
      <c r="E268" s="43"/>
      <c r="F268" s="43"/>
      <c r="G268" s="43"/>
      <c r="H268" s="9"/>
      <c r="I268" s="9"/>
      <c r="J268" s="9"/>
      <c r="K268" s="9"/>
      <c r="L268" s="9"/>
      <c r="M268" s="9"/>
      <c r="N268" s="9"/>
      <c r="O268" s="9"/>
      <c r="P268" s="9"/>
      <c r="Q268" s="9"/>
      <c r="R268" s="10" t="str">
        <f aca="false">IF(A268="","",SG_Criteria!$B$6&amp;SG_Criteria!$B$13&amp;"\"&amp;A268&amp;"\")</f>
        <v/>
      </c>
      <c r="S268" s="10" t="str">
        <f aca="false">IF(A268="","",A268&amp;"_CAD.dwg")</f>
        <v/>
      </c>
      <c r="T268" s="10" t="str">
        <f aca="false">IF(A268="","",A268&amp;"_DWG.pdf")</f>
        <v/>
      </c>
      <c r="U268" s="10" t="str">
        <f aca="false">IF(A268="","",IF(Q268="Y",A268&amp;"_STAAD.std","n/a"))</f>
        <v/>
      </c>
      <c r="V268" s="10" t="str">
        <f aca="false">IF(A268="","",A268&amp;"_CALC.xlsx")</f>
        <v/>
      </c>
      <c r="W268" s="10" t="str">
        <f aca="false">IF(A268="","",A268&amp;"_CALC.pdf")</f>
        <v/>
      </c>
      <c r="X268" s="9"/>
      <c r="Y268" s="9"/>
      <c r="Z268" s="41"/>
      <c r="AA268" s="41"/>
      <c r="AB268" s="41"/>
      <c r="AC268" s="41"/>
      <c r="AD268" s="41"/>
      <c r="AE268" s="38" t="str">
        <f aca="false">IF(C268="","","OK")</f>
        <v/>
      </c>
      <c r="AF268" s="9"/>
      <c r="AG268" s="9"/>
      <c r="AH268" s="9"/>
      <c r="AI268" s="9"/>
      <c r="AJ268" s="9"/>
      <c r="AK268" s="31"/>
      <c r="AL268" s="10" t="str">
        <f aca="false">IF(C268="","",IF(AND(N268="Approved",ISERROR(SEARCH("FAIL",AE268))),"Y","N"))</f>
        <v/>
      </c>
    </row>
    <row r="269" customFormat="false" ht="15" hidden="false" customHeight="false" outlineLevel="0" collapsed="false">
      <c r="A269" s="10" t="str">
        <f aca="false">IF(C269="","",IFERROR(VLOOKUP(C269,Lists!$BI$4:$BJ$20,2,0),"??")&amp;"-"&amp;UPPER(SUBSTITUTE(D269," ",""))&amp;IF(E269&lt;&gt;"","-SP"&amp;TEXT(E269*1000,"0"),"")&amp;IF(F269&lt;&gt;"","-H"&amp;TEXT(F269*1000,"0"),"")&amp;"-"&amp;M269)</f>
        <v/>
      </c>
      <c r="B269" s="10" t="str">
        <f aca="false">IF(C269="","",C269&amp;" - "&amp;D269&amp;IF(E269&lt;&gt;"",", span "&amp;E269&amp;" m","")&amp;IF(F269&lt;&gt;"",", H "&amp;F269&amp;" m","")&amp;IF(G269&lt;&gt;"",", W "&amp;G269&amp;" m",""))</f>
        <v/>
      </c>
      <c r="C269" s="9"/>
      <c r="D269" s="9"/>
      <c r="E269" s="43"/>
      <c r="F269" s="43"/>
      <c r="G269" s="43"/>
      <c r="H269" s="9"/>
      <c r="I269" s="9"/>
      <c r="J269" s="9"/>
      <c r="K269" s="9"/>
      <c r="L269" s="9"/>
      <c r="M269" s="9"/>
      <c r="N269" s="9"/>
      <c r="O269" s="9"/>
      <c r="P269" s="9"/>
      <c r="Q269" s="9"/>
      <c r="R269" s="10" t="str">
        <f aca="false">IF(A269="","",SG_Criteria!$B$6&amp;SG_Criteria!$B$13&amp;"\"&amp;A269&amp;"\")</f>
        <v/>
      </c>
      <c r="S269" s="10" t="str">
        <f aca="false">IF(A269="","",A269&amp;"_CAD.dwg")</f>
        <v/>
      </c>
      <c r="T269" s="10" t="str">
        <f aca="false">IF(A269="","",A269&amp;"_DWG.pdf")</f>
        <v/>
      </c>
      <c r="U269" s="10" t="str">
        <f aca="false">IF(A269="","",IF(Q269="Y",A269&amp;"_STAAD.std","n/a"))</f>
        <v/>
      </c>
      <c r="V269" s="10" t="str">
        <f aca="false">IF(A269="","",A269&amp;"_CALC.xlsx")</f>
        <v/>
      </c>
      <c r="W269" s="10" t="str">
        <f aca="false">IF(A269="","",A269&amp;"_CALC.pdf")</f>
        <v/>
      </c>
      <c r="X269" s="9"/>
      <c r="Y269" s="9"/>
      <c r="Z269" s="41"/>
      <c r="AA269" s="41"/>
      <c r="AB269" s="41"/>
      <c r="AC269" s="41"/>
      <c r="AD269" s="41"/>
      <c r="AE269" s="38" t="str">
        <f aca="false">IF(C269="","","OK")</f>
        <v/>
      </c>
      <c r="AF269" s="9"/>
      <c r="AG269" s="9"/>
      <c r="AH269" s="9"/>
      <c r="AI269" s="9"/>
      <c r="AJ269" s="9"/>
      <c r="AK269" s="31"/>
      <c r="AL269" s="10" t="str">
        <f aca="false">IF(C269="","",IF(AND(N269="Approved",ISERROR(SEARCH("FAIL",AE269))),"Y","N"))</f>
        <v/>
      </c>
    </row>
    <row r="270" customFormat="false" ht="15" hidden="false" customHeight="false" outlineLevel="0" collapsed="false">
      <c r="A270" s="10" t="str">
        <f aca="false">IF(C270="","",IFERROR(VLOOKUP(C270,Lists!$BI$4:$BJ$20,2,0),"??")&amp;"-"&amp;UPPER(SUBSTITUTE(D270," ",""))&amp;IF(E270&lt;&gt;"","-SP"&amp;TEXT(E270*1000,"0"),"")&amp;IF(F270&lt;&gt;"","-H"&amp;TEXT(F270*1000,"0"),"")&amp;"-"&amp;M270)</f>
        <v/>
      </c>
      <c r="B270" s="10" t="str">
        <f aca="false">IF(C270="","",C270&amp;" - "&amp;D270&amp;IF(E270&lt;&gt;"",", span "&amp;E270&amp;" m","")&amp;IF(F270&lt;&gt;"",", H "&amp;F270&amp;" m","")&amp;IF(G270&lt;&gt;"",", W "&amp;G270&amp;" m",""))</f>
        <v/>
      </c>
      <c r="C270" s="9"/>
      <c r="D270" s="9"/>
      <c r="E270" s="43"/>
      <c r="F270" s="43"/>
      <c r="G270" s="43"/>
      <c r="H270" s="9"/>
      <c r="I270" s="9"/>
      <c r="J270" s="9"/>
      <c r="K270" s="9"/>
      <c r="L270" s="9"/>
      <c r="M270" s="9"/>
      <c r="N270" s="9"/>
      <c r="O270" s="9"/>
      <c r="P270" s="9"/>
      <c r="Q270" s="9"/>
      <c r="R270" s="10" t="str">
        <f aca="false">IF(A270="","",SG_Criteria!$B$6&amp;SG_Criteria!$B$13&amp;"\"&amp;A270&amp;"\")</f>
        <v/>
      </c>
      <c r="S270" s="10" t="str">
        <f aca="false">IF(A270="","",A270&amp;"_CAD.dwg")</f>
        <v/>
      </c>
      <c r="T270" s="10" t="str">
        <f aca="false">IF(A270="","",A270&amp;"_DWG.pdf")</f>
        <v/>
      </c>
      <c r="U270" s="10" t="str">
        <f aca="false">IF(A270="","",IF(Q270="Y",A270&amp;"_STAAD.std","n/a"))</f>
        <v/>
      </c>
      <c r="V270" s="10" t="str">
        <f aca="false">IF(A270="","",A270&amp;"_CALC.xlsx")</f>
        <v/>
      </c>
      <c r="W270" s="10" t="str">
        <f aca="false">IF(A270="","",A270&amp;"_CALC.pdf")</f>
        <v/>
      </c>
      <c r="X270" s="9"/>
      <c r="Y270" s="9"/>
      <c r="Z270" s="41"/>
      <c r="AA270" s="41"/>
      <c r="AB270" s="41"/>
      <c r="AC270" s="41"/>
      <c r="AD270" s="41"/>
      <c r="AE270" s="38" t="str">
        <f aca="false">IF(C270="","","OK")</f>
        <v/>
      </c>
      <c r="AF270" s="9"/>
      <c r="AG270" s="9"/>
      <c r="AH270" s="9"/>
      <c r="AI270" s="9"/>
      <c r="AJ270" s="9"/>
      <c r="AK270" s="31"/>
      <c r="AL270" s="10" t="str">
        <f aca="false">IF(C270="","",IF(AND(N270="Approved",ISERROR(SEARCH("FAIL",AE270))),"Y","N"))</f>
        <v/>
      </c>
    </row>
    <row r="271" customFormat="false" ht="15" hidden="false" customHeight="false" outlineLevel="0" collapsed="false">
      <c r="A271" s="10" t="str">
        <f aca="false">IF(C271="","",IFERROR(VLOOKUP(C271,Lists!$BI$4:$BJ$20,2,0),"??")&amp;"-"&amp;UPPER(SUBSTITUTE(D271," ",""))&amp;IF(E271&lt;&gt;"","-SP"&amp;TEXT(E271*1000,"0"),"")&amp;IF(F271&lt;&gt;"","-H"&amp;TEXT(F271*1000,"0"),"")&amp;"-"&amp;M271)</f>
        <v/>
      </c>
      <c r="B271" s="10" t="str">
        <f aca="false">IF(C271="","",C271&amp;" - "&amp;D271&amp;IF(E271&lt;&gt;"",", span "&amp;E271&amp;" m","")&amp;IF(F271&lt;&gt;"",", H "&amp;F271&amp;" m","")&amp;IF(G271&lt;&gt;"",", W "&amp;G271&amp;" m",""))</f>
        <v/>
      </c>
      <c r="C271" s="9"/>
      <c r="D271" s="9"/>
      <c r="E271" s="43"/>
      <c r="F271" s="43"/>
      <c r="G271" s="43"/>
      <c r="H271" s="9"/>
      <c r="I271" s="9"/>
      <c r="J271" s="9"/>
      <c r="K271" s="9"/>
      <c r="L271" s="9"/>
      <c r="M271" s="9"/>
      <c r="N271" s="9"/>
      <c r="O271" s="9"/>
      <c r="P271" s="9"/>
      <c r="Q271" s="9"/>
      <c r="R271" s="10" t="str">
        <f aca="false">IF(A271="","",SG_Criteria!$B$6&amp;SG_Criteria!$B$13&amp;"\"&amp;A271&amp;"\")</f>
        <v/>
      </c>
      <c r="S271" s="10" t="str">
        <f aca="false">IF(A271="","",A271&amp;"_CAD.dwg")</f>
        <v/>
      </c>
      <c r="T271" s="10" t="str">
        <f aca="false">IF(A271="","",A271&amp;"_DWG.pdf")</f>
        <v/>
      </c>
      <c r="U271" s="10" t="str">
        <f aca="false">IF(A271="","",IF(Q271="Y",A271&amp;"_STAAD.std","n/a"))</f>
        <v/>
      </c>
      <c r="V271" s="10" t="str">
        <f aca="false">IF(A271="","",A271&amp;"_CALC.xlsx")</f>
        <v/>
      </c>
      <c r="W271" s="10" t="str">
        <f aca="false">IF(A271="","",A271&amp;"_CALC.pdf")</f>
        <v/>
      </c>
      <c r="X271" s="9"/>
      <c r="Y271" s="9"/>
      <c r="Z271" s="41"/>
      <c r="AA271" s="41"/>
      <c r="AB271" s="41"/>
      <c r="AC271" s="41"/>
      <c r="AD271" s="41"/>
      <c r="AE271" s="38" t="str">
        <f aca="false">IF(C271="","","OK")</f>
        <v/>
      </c>
      <c r="AF271" s="9"/>
      <c r="AG271" s="9"/>
      <c r="AH271" s="9"/>
      <c r="AI271" s="9"/>
      <c r="AJ271" s="9"/>
      <c r="AK271" s="31"/>
      <c r="AL271" s="10" t="str">
        <f aca="false">IF(C271="","",IF(AND(N271="Approved",ISERROR(SEARCH("FAIL",AE271))),"Y","N"))</f>
        <v/>
      </c>
    </row>
    <row r="272" customFormat="false" ht="15" hidden="false" customHeight="false" outlineLevel="0" collapsed="false">
      <c r="A272" s="10" t="str">
        <f aca="false">IF(C272="","",IFERROR(VLOOKUP(C272,Lists!$BI$4:$BJ$20,2,0),"??")&amp;"-"&amp;UPPER(SUBSTITUTE(D272," ",""))&amp;IF(E272&lt;&gt;"","-SP"&amp;TEXT(E272*1000,"0"),"")&amp;IF(F272&lt;&gt;"","-H"&amp;TEXT(F272*1000,"0"),"")&amp;"-"&amp;M272)</f>
        <v/>
      </c>
      <c r="B272" s="10" t="str">
        <f aca="false">IF(C272="","",C272&amp;" - "&amp;D272&amp;IF(E272&lt;&gt;"",", span "&amp;E272&amp;" m","")&amp;IF(F272&lt;&gt;"",", H "&amp;F272&amp;" m","")&amp;IF(G272&lt;&gt;"",", W "&amp;G272&amp;" m",""))</f>
        <v/>
      </c>
      <c r="C272" s="9"/>
      <c r="D272" s="9"/>
      <c r="E272" s="43"/>
      <c r="F272" s="43"/>
      <c r="G272" s="43"/>
      <c r="H272" s="9"/>
      <c r="I272" s="9"/>
      <c r="J272" s="9"/>
      <c r="K272" s="9"/>
      <c r="L272" s="9"/>
      <c r="M272" s="9"/>
      <c r="N272" s="9"/>
      <c r="O272" s="9"/>
      <c r="P272" s="9"/>
      <c r="Q272" s="9"/>
      <c r="R272" s="10" t="str">
        <f aca="false">IF(A272="","",SG_Criteria!$B$6&amp;SG_Criteria!$B$13&amp;"\"&amp;A272&amp;"\")</f>
        <v/>
      </c>
      <c r="S272" s="10" t="str">
        <f aca="false">IF(A272="","",A272&amp;"_CAD.dwg")</f>
        <v/>
      </c>
      <c r="T272" s="10" t="str">
        <f aca="false">IF(A272="","",A272&amp;"_DWG.pdf")</f>
        <v/>
      </c>
      <c r="U272" s="10" t="str">
        <f aca="false">IF(A272="","",IF(Q272="Y",A272&amp;"_STAAD.std","n/a"))</f>
        <v/>
      </c>
      <c r="V272" s="10" t="str">
        <f aca="false">IF(A272="","",A272&amp;"_CALC.xlsx")</f>
        <v/>
      </c>
      <c r="W272" s="10" t="str">
        <f aca="false">IF(A272="","",A272&amp;"_CALC.pdf")</f>
        <v/>
      </c>
      <c r="X272" s="9"/>
      <c r="Y272" s="9"/>
      <c r="Z272" s="41"/>
      <c r="AA272" s="41"/>
      <c r="AB272" s="41"/>
      <c r="AC272" s="41"/>
      <c r="AD272" s="41"/>
      <c r="AE272" s="38" t="str">
        <f aca="false">IF(C272="","","OK")</f>
        <v/>
      </c>
      <c r="AF272" s="9"/>
      <c r="AG272" s="9"/>
      <c r="AH272" s="9"/>
      <c r="AI272" s="9"/>
      <c r="AJ272" s="9"/>
      <c r="AK272" s="31"/>
      <c r="AL272" s="10" t="str">
        <f aca="false">IF(C272="","",IF(AND(N272="Approved",ISERROR(SEARCH("FAIL",AE272))),"Y","N"))</f>
        <v/>
      </c>
    </row>
    <row r="273" customFormat="false" ht="15" hidden="false" customHeight="false" outlineLevel="0" collapsed="false">
      <c r="A273" s="10" t="str">
        <f aca="false">IF(C273="","",IFERROR(VLOOKUP(C273,Lists!$BI$4:$BJ$20,2,0),"??")&amp;"-"&amp;UPPER(SUBSTITUTE(D273," ",""))&amp;IF(E273&lt;&gt;"","-SP"&amp;TEXT(E273*1000,"0"),"")&amp;IF(F273&lt;&gt;"","-H"&amp;TEXT(F273*1000,"0"),"")&amp;"-"&amp;M273)</f>
        <v/>
      </c>
      <c r="B273" s="10" t="str">
        <f aca="false">IF(C273="","",C273&amp;" - "&amp;D273&amp;IF(E273&lt;&gt;"",", span "&amp;E273&amp;" m","")&amp;IF(F273&lt;&gt;"",", H "&amp;F273&amp;" m","")&amp;IF(G273&lt;&gt;"",", W "&amp;G273&amp;" m",""))</f>
        <v/>
      </c>
      <c r="C273" s="9"/>
      <c r="D273" s="9"/>
      <c r="E273" s="43"/>
      <c r="F273" s="43"/>
      <c r="G273" s="43"/>
      <c r="H273" s="9"/>
      <c r="I273" s="9"/>
      <c r="J273" s="9"/>
      <c r="K273" s="9"/>
      <c r="L273" s="9"/>
      <c r="M273" s="9"/>
      <c r="N273" s="9"/>
      <c r="O273" s="9"/>
      <c r="P273" s="9"/>
      <c r="Q273" s="9"/>
      <c r="R273" s="10" t="str">
        <f aca="false">IF(A273="","",SG_Criteria!$B$6&amp;SG_Criteria!$B$13&amp;"\"&amp;A273&amp;"\")</f>
        <v/>
      </c>
      <c r="S273" s="10" t="str">
        <f aca="false">IF(A273="","",A273&amp;"_CAD.dwg")</f>
        <v/>
      </c>
      <c r="T273" s="10" t="str">
        <f aca="false">IF(A273="","",A273&amp;"_DWG.pdf")</f>
        <v/>
      </c>
      <c r="U273" s="10" t="str">
        <f aca="false">IF(A273="","",IF(Q273="Y",A273&amp;"_STAAD.std","n/a"))</f>
        <v/>
      </c>
      <c r="V273" s="10" t="str">
        <f aca="false">IF(A273="","",A273&amp;"_CALC.xlsx")</f>
        <v/>
      </c>
      <c r="W273" s="10" t="str">
        <f aca="false">IF(A273="","",A273&amp;"_CALC.pdf")</f>
        <v/>
      </c>
      <c r="X273" s="9"/>
      <c r="Y273" s="9"/>
      <c r="Z273" s="41"/>
      <c r="AA273" s="41"/>
      <c r="AB273" s="41"/>
      <c r="AC273" s="41"/>
      <c r="AD273" s="41"/>
      <c r="AE273" s="38" t="str">
        <f aca="false">IF(C273="","","OK")</f>
        <v/>
      </c>
      <c r="AF273" s="9"/>
      <c r="AG273" s="9"/>
      <c r="AH273" s="9"/>
      <c r="AI273" s="9"/>
      <c r="AJ273" s="9"/>
      <c r="AK273" s="31"/>
      <c r="AL273" s="10" t="str">
        <f aca="false">IF(C273="","",IF(AND(N273="Approved",ISERROR(SEARCH("FAIL",AE273))),"Y","N"))</f>
        <v/>
      </c>
    </row>
    <row r="274" customFormat="false" ht="15" hidden="false" customHeight="false" outlineLevel="0" collapsed="false">
      <c r="A274" s="10" t="str">
        <f aca="false">IF(C274="","",IFERROR(VLOOKUP(C274,Lists!$BI$4:$BJ$20,2,0),"??")&amp;"-"&amp;UPPER(SUBSTITUTE(D274," ",""))&amp;IF(E274&lt;&gt;"","-SP"&amp;TEXT(E274*1000,"0"),"")&amp;IF(F274&lt;&gt;"","-H"&amp;TEXT(F274*1000,"0"),"")&amp;"-"&amp;M274)</f>
        <v/>
      </c>
      <c r="B274" s="10" t="str">
        <f aca="false">IF(C274="","",C274&amp;" - "&amp;D274&amp;IF(E274&lt;&gt;"",", span "&amp;E274&amp;" m","")&amp;IF(F274&lt;&gt;"",", H "&amp;F274&amp;" m","")&amp;IF(G274&lt;&gt;"",", W "&amp;G274&amp;" m",""))</f>
        <v/>
      </c>
      <c r="C274" s="9"/>
      <c r="D274" s="9"/>
      <c r="E274" s="43"/>
      <c r="F274" s="43"/>
      <c r="G274" s="43"/>
      <c r="H274" s="9"/>
      <c r="I274" s="9"/>
      <c r="J274" s="9"/>
      <c r="K274" s="9"/>
      <c r="L274" s="9"/>
      <c r="M274" s="9"/>
      <c r="N274" s="9"/>
      <c r="O274" s="9"/>
      <c r="P274" s="9"/>
      <c r="Q274" s="9"/>
      <c r="R274" s="10" t="str">
        <f aca="false">IF(A274="","",SG_Criteria!$B$6&amp;SG_Criteria!$B$13&amp;"\"&amp;A274&amp;"\")</f>
        <v/>
      </c>
      <c r="S274" s="10" t="str">
        <f aca="false">IF(A274="","",A274&amp;"_CAD.dwg")</f>
        <v/>
      </c>
      <c r="T274" s="10" t="str">
        <f aca="false">IF(A274="","",A274&amp;"_DWG.pdf")</f>
        <v/>
      </c>
      <c r="U274" s="10" t="str">
        <f aca="false">IF(A274="","",IF(Q274="Y",A274&amp;"_STAAD.std","n/a"))</f>
        <v/>
      </c>
      <c r="V274" s="10" t="str">
        <f aca="false">IF(A274="","",A274&amp;"_CALC.xlsx")</f>
        <v/>
      </c>
      <c r="W274" s="10" t="str">
        <f aca="false">IF(A274="","",A274&amp;"_CALC.pdf")</f>
        <v/>
      </c>
      <c r="X274" s="9"/>
      <c r="Y274" s="9"/>
      <c r="Z274" s="41"/>
      <c r="AA274" s="41"/>
      <c r="AB274" s="41"/>
      <c r="AC274" s="41"/>
      <c r="AD274" s="41"/>
      <c r="AE274" s="38" t="str">
        <f aca="false">IF(C274="","","OK")</f>
        <v/>
      </c>
      <c r="AF274" s="9"/>
      <c r="AG274" s="9"/>
      <c r="AH274" s="9"/>
      <c r="AI274" s="9"/>
      <c r="AJ274" s="9"/>
      <c r="AK274" s="31"/>
      <c r="AL274" s="10" t="str">
        <f aca="false">IF(C274="","",IF(AND(N274="Approved",ISERROR(SEARCH("FAIL",AE274))),"Y","N"))</f>
        <v/>
      </c>
    </row>
    <row r="275" customFormat="false" ht="15" hidden="false" customHeight="false" outlineLevel="0" collapsed="false">
      <c r="A275" s="10" t="str">
        <f aca="false">IF(C275="","",IFERROR(VLOOKUP(C275,Lists!$BI$4:$BJ$20,2,0),"??")&amp;"-"&amp;UPPER(SUBSTITUTE(D275," ",""))&amp;IF(E275&lt;&gt;"","-SP"&amp;TEXT(E275*1000,"0"),"")&amp;IF(F275&lt;&gt;"","-H"&amp;TEXT(F275*1000,"0"),"")&amp;"-"&amp;M275)</f>
        <v/>
      </c>
      <c r="B275" s="10" t="str">
        <f aca="false">IF(C275="","",C275&amp;" - "&amp;D275&amp;IF(E275&lt;&gt;"",", span "&amp;E275&amp;" m","")&amp;IF(F275&lt;&gt;"",", H "&amp;F275&amp;" m","")&amp;IF(G275&lt;&gt;"",", W "&amp;G275&amp;" m",""))</f>
        <v/>
      </c>
      <c r="C275" s="9"/>
      <c r="D275" s="9"/>
      <c r="E275" s="43"/>
      <c r="F275" s="43"/>
      <c r="G275" s="43"/>
      <c r="H275" s="9"/>
      <c r="I275" s="9"/>
      <c r="J275" s="9"/>
      <c r="K275" s="9"/>
      <c r="L275" s="9"/>
      <c r="M275" s="9"/>
      <c r="N275" s="9"/>
      <c r="O275" s="9"/>
      <c r="P275" s="9"/>
      <c r="Q275" s="9"/>
      <c r="R275" s="10" t="str">
        <f aca="false">IF(A275="","",SG_Criteria!$B$6&amp;SG_Criteria!$B$13&amp;"\"&amp;A275&amp;"\")</f>
        <v/>
      </c>
      <c r="S275" s="10" t="str">
        <f aca="false">IF(A275="","",A275&amp;"_CAD.dwg")</f>
        <v/>
      </c>
      <c r="T275" s="10" t="str">
        <f aca="false">IF(A275="","",A275&amp;"_DWG.pdf")</f>
        <v/>
      </c>
      <c r="U275" s="10" t="str">
        <f aca="false">IF(A275="","",IF(Q275="Y",A275&amp;"_STAAD.std","n/a"))</f>
        <v/>
      </c>
      <c r="V275" s="10" t="str">
        <f aca="false">IF(A275="","",A275&amp;"_CALC.xlsx")</f>
        <v/>
      </c>
      <c r="W275" s="10" t="str">
        <f aca="false">IF(A275="","",A275&amp;"_CALC.pdf")</f>
        <v/>
      </c>
      <c r="X275" s="9"/>
      <c r="Y275" s="9"/>
      <c r="Z275" s="41"/>
      <c r="AA275" s="41"/>
      <c r="AB275" s="41"/>
      <c r="AC275" s="41"/>
      <c r="AD275" s="41"/>
      <c r="AE275" s="38" t="str">
        <f aca="false">IF(C275="","","OK")</f>
        <v/>
      </c>
      <c r="AF275" s="9"/>
      <c r="AG275" s="9"/>
      <c r="AH275" s="9"/>
      <c r="AI275" s="9"/>
      <c r="AJ275" s="9"/>
      <c r="AK275" s="31"/>
      <c r="AL275" s="10" t="str">
        <f aca="false">IF(C275="","",IF(AND(N275="Approved",ISERROR(SEARCH("FAIL",AE275))),"Y","N"))</f>
        <v/>
      </c>
    </row>
    <row r="276" customFormat="false" ht="15" hidden="false" customHeight="false" outlineLevel="0" collapsed="false">
      <c r="A276" s="10" t="str">
        <f aca="false">IF(C276="","",IFERROR(VLOOKUP(C276,Lists!$BI$4:$BJ$20,2,0),"??")&amp;"-"&amp;UPPER(SUBSTITUTE(D276," ",""))&amp;IF(E276&lt;&gt;"","-SP"&amp;TEXT(E276*1000,"0"),"")&amp;IF(F276&lt;&gt;"","-H"&amp;TEXT(F276*1000,"0"),"")&amp;"-"&amp;M276)</f>
        <v/>
      </c>
      <c r="B276" s="10" t="str">
        <f aca="false">IF(C276="","",C276&amp;" - "&amp;D276&amp;IF(E276&lt;&gt;"",", span "&amp;E276&amp;" m","")&amp;IF(F276&lt;&gt;"",", H "&amp;F276&amp;" m","")&amp;IF(G276&lt;&gt;"",", W "&amp;G276&amp;" m",""))</f>
        <v/>
      </c>
      <c r="C276" s="9"/>
      <c r="D276" s="9"/>
      <c r="E276" s="43"/>
      <c r="F276" s="43"/>
      <c r="G276" s="43"/>
      <c r="H276" s="9"/>
      <c r="I276" s="9"/>
      <c r="J276" s="9"/>
      <c r="K276" s="9"/>
      <c r="L276" s="9"/>
      <c r="M276" s="9"/>
      <c r="N276" s="9"/>
      <c r="O276" s="9"/>
      <c r="P276" s="9"/>
      <c r="Q276" s="9"/>
      <c r="R276" s="10" t="str">
        <f aca="false">IF(A276="","",SG_Criteria!$B$6&amp;SG_Criteria!$B$13&amp;"\"&amp;A276&amp;"\")</f>
        <v/>
      </c>
      <c r="S276" s="10" t="str">
        <f aca="false">IF(A276="","",A276&amp;"_CAD.dwg")</f>
        <v/>
      </c>
      <c r="T276" s="10" t="str">
        <f aca="false">IF(A276="","",A276&amp;"_DWG.pdf")</f>
        <v/>
      </c>
      <c r="U276" s="10" t="str">
        <f aca="false">IF(A276="","",IF(Q276="Y",A276&amp;"_STAAD.std","n/a"))</f>
        <v/>
      </c>
      <c r="V276" s="10" t="str">
        <f aca="false">IF(A276="","",A276&amp;"_CALC.xlsx")</f>
        <v/>
      </c>
      <c r="W276" s="10" t="str">
        <f aca="false">IF(A276="","",A276&amp;"_CALC.pdf")</f>
        <v/>
      </c>
      <c r="X276" s="9"/>
      <c r="Y276" s="9"/>
      <c r="Z276" s="41"/>
      <c r="AA276" s="41"/>
      <c r="AB276" s="41"/>
      <c r="AC276" s="41"/>
      <c r="AD276" s="41"/>
      <c r="AE276" s="38" t="str">
        <f aca="false">IF(C276="","","OK")</f>
        <v/>
      </c>
      <c r="AF276" s="9"/>
      <c r="AG276" s="9"/>
      <c r="AH276" s="9"/>
      <c r="AI276" s="9"/>
      <c r="AJ276" s="9"/>
      <c r="AK276" s="31"/>
      <c r="AL276" s="10" t="str">
        <f aca="false">IF(C276="","",IF(AND(N276="Approved",ISERROR(SEARCH("FAIL",AE276))),"Y","N"))</f>
        <v/>
      </c>
    </row>
    <row r="277" customFormat="false" ht="15" hidden="false" customHeight="false" outlineLevel="0" collapsed="false">
      <c r="A277" s="10" t="str">
        <f aca="false">IF(C277="","",IFERROR(VLOOKUP(C277,Lists!$BI$4:$BJ$20,2,0),"??")&amp;"-"&amp;UPPER(SUBSTITUTE(D277," ",""))&amp;IF(E277&lt;&gt;"","-SP"&amp;TEXT(E277*1000,"0"),"")&amp;IF(F277&lt;&gt;"","-H"&amp;TEXT(F277*1000,"0"),"")&amp;"-"&amp;M277)</f>
        <v/>
      </c>
      <c r="B277" s="10" t="str">
        <f aca="false">IF(C277="","",C277&amp;" - "&amp;D277&amp;IF(E277&lt;&gt;"",", span "&amp;E277&amp;" m","")&amp;IF(F277&lt;&gt;"",", H "&amp;F277&amp;" m","")&amp;IF(G277&lt;&gt;"",", W "&amp;G277&amp;" m",""))</f>
        <v/>
      </c>
      <c r="C277" s="9"/>
      <c r="D277" s="9"/>
      <c r="E277" s="43"/>
      <c r="F277" s="43"/>
      <c r="G277" s="43"/>
      <c r="H277" s="9"/>
      <c r="I277" s="9"/>
      <c r="J277" s="9"/>
      <c r="K277" s="9"/>
      <c r="L277" s="9"/>
      <c r="M277" s="9"/>
      <c r="N277" s="9"/>
      <c r="O277" s="9"/>
      <c r="P277" s="9"/>
      <c r="Q277" s="9"/>
      <c r="R277" s="10" t="str">
        <f aca="false">IF(A277="","",SG_Criteria!$B$6&amp;SG_Criteria!$B$13&amp;"\"&amp;A277&amp;"\")</f>
        <v/>
      </c>
      <c r="S277" s="10" t="str">
        <f aca="false">IF(A277="","",A277&amp;"_CAD.dwg")</f>
        <v/>
      </c>
      <c r="T277" s="10" t="str">
        <f aca="false">IF(A277="","",A277&amp;"_DWG.pdf")</f>
        <v/>
      </c>
      <c r="U277" s="10" t="str">
        <f aca="false">IF(A277="","",IF(Q277="Y",A277&amp;"_STAAD.std","n/a"))</f>
        <v/>
      </c>
      <c r="V277" s="10" t="str">
        <f aca="false">IF(A277="","",A277&amp;"_CALC.xlsx")</f>
        <v/>
      </c>
      <c r="W277" s="10" t="str">
        <f aca="false">IF(A277="","",A277&amp;"_CALC.pdf")</f>
        <v/>
      </c>
      <c r="X277" s="9"/>
      <c r="Y277" s="9"/>
      <c r="Z277" s="41"/>
      <c r="AA277" s="41"/>
      <c r="AB277" s="41"/>
      <c r="AC277" s="41"/>
      <c r="AD277" s="41"/>
      <c r="AE277" s="38" t="str">
        <f aca="false">IF(C277="","","OK")</f>
        <v/>
      </c>
      <c r="AF277" s="9"/>
      <c r="AG277" s="9"/>
      <c r="AH277" s="9"/>
      <c r="AI277" s="9"/>
      <c r="AJ277" s="9"/>
      <c r="AK277" s="31"/>
      <c r="AL277" s="10" t="str">
        <f aca="false">IF(C277="","",IF(AND(N277="Approved",ISERROR(SEARCH("FAIL",AE277))),"Y","N"))</f>
        <v/>
      </c>
    </row>
    <row r="278" customFormat="false" ht="15" hidden="false" customHeight="false" outlineLevel="0" collapsed="false">
      <c r="A278" s="10" t="str">
        <f aca="false">IF(C278="","",IFERROR(VLOOKUP(C278,Lists!$BI$4:$BJ$20,2,0),"??")&amp;"-"&amp;UPPER(SUBSTITUTE(D278," ",""))&amp;IF(E278&lt;&gt;"","-SP"&amp;TEXT(E278*1000,"0"),"")&amp;IF(F278&lt;&gt;"","-H"&amp;TEXT(F278*1000,"0"),"")&amp;"-"&amp;M278)</f>
        <v/>
      </c>
      <c r="B278" s="10" t="str">
        <f aca="false">IF(C278="","",C278&amp;" - "&amp;D278&amp;IF(E278&lt;&gt;"",", span "&amp;E278&amp;" m","")&amp;IF(F278&lt;&gt;"",", H "&amp;F278&amp;" m","")&amp;IF(G278&lt;&gt;"",", W "&amp;G278&amp;" m",""))</f>
        <v/>
      </c>
      <c r="C278" s="9"/>
      <c r="D278" s="9"/>
      <c r="E278" s="43"/>
      <c r="F278" s="43"/>
      <c r="G278" s="43"/>
      <c r="H278" s="9"/>
      <c r="I278" s="9"/>
      <c r="J278" s="9"/>
      <c r="K278" s="9"/>
      <c r="L278" s="9"/>
      <c r="M278" s="9"/>
      <c r="N278" s="9"/>
      <c r="O278" s="9"/>
      <c r="P278" s="9"/>
      <c r="Q278" s="9"/>
      <c r="R278" s="10" t="str">
        <f aca="false">IF(A278="","",SG_Criteria!$B$6&amp;SG_Criteria!$B$13&amp;"\"&amp;A278&amp;"\")</f>
        <v/>
      </c>
      <c r="S278" s="10" t="str">
        <f aca="false">IF(A278="","",A278&amp;"_CAD.dwg")</f>
        <v/>
      </c>
      <c r="T278" s="10" t="str">
        <f aca="false">IF(A278="","",A278&amp;"_DWG.pdf")</f>
        <v/>
      </c>
      <c r="U278" s="10" t="str">
        <f aca="false">IF(A278="","",IF(Q278="Y",A278&amp;"_STAAD.std","n/a"))</f>
        <v/>
      </c>
      <c r="V278" s="10" t="str">
        <f aca="false">IF(A278="","",A278&amp;"_CALC.xlsx")</f>
        <v/>
      </c>
      <c r="W278" s="10" t="str">
        <f aca="false">IF(A278="","",A278&amp;"_CALC.pdf")</f>
        <v/>
      </c>
      <c r="X278" s="9"/>
      <c r="Y278" s="9"/>
      <c r="Z278" s="41"/>
      <c r="AA278" s="41"/>
      <c r="AB278" s="41"/>
      <c r="AC278" s="41"/>
      <c r="AD278" s="41"/>
      <c r="AE278" s="38" t="str">
        <f aca="false">IF(C278="","","OK")</f>
        <v/>
      </c>
      <c r="AF278" s="9"/>
      <c r="AG278" s="9"/>
      <c r="AH278" s="9"/>
      <c r="AI278" s="9"/>
      <c r="AJ278" s="9"/>
      <c r="AK278" s="31"/>
      <c r="AL278" s="10" t="str">
        <f aca="false">IF(C278="","",IF(AND(N278="Approved",ISERROR(SEARCH("FAIL",AE278))),"Y","N"))</f>
        <v/>
      </c>
    </row>
    <row r="279" customFormat="false" ht="15" hidden="false" customHeight="false" outlineLevel="0" collapsed="false">
      <c r="A279" s="10" t="str">
        <f aca="false">IF(C279="","",IFERROR(VLOOKUP(C279,Lists!$BI$4:$BJ$20,2,0),"??")&amp;"-"&amp;UPPER(SUBSTITUTE(D279," ",""))&amp;IF(E279&lt;&gt;"","-SP"&amp;TEXT(E279*1000,"0"),"")&amp;IF(F279&lt;&gt;"","-H"&amp;TEXT(F279*1000,"0"),"")&amp;"-"&amp;M279)</f>
        <v/>
      </c>
      <c r="B279" s="10" t="str">
        <f aca="false">IF(C279="","",C279&amp;" - "&amp;D279&amp;IF(E279&lt;&gt;"",", span "&amp;E279&amp;" m","")&amp;IF(F279&lt;&gt;"",", H "&amp;F279&amp;" m","")&amp;IF(G279&lt;&gt;"",", W "&amp;G279&amp;" m",""))</f>
        <v/>
      </c>
      <c r="C279" s="9"/>
      <c r="D279" s="9"/>
      <c r="E279" s="43"/>
      <c r="F279" s="43"/>
      <c r="G279" s="43"/>
      <c r="H279" s="9"/>
      <c r="I279" s="9"/>
      <c r="J279" s="9"/>
      <c r="K279" s="9"/>
      <c r="L279" s="9"/>
      <c r="M279" s="9"/>
      <c r="N279" s="9"/>
      <c r="O279" s="9"/>
      <c r="P279" s="9"/>
      <c r="Q279" s="9"/>
      <c r="R279" s="10" t="str">
        <f aca="false">IF(A279="","",SG_Criteria!$B$6&amp;SG_Criteria!$B$13&amp;"\"&amp;A279&amp;"\")</f>
        <v/>
      </c>
      <c r="S279" s="10" t="str">
        <f aca="false">IF(A279="","",A279&amp;"_CAD.dwg")</f>
        <v/>
      </c>
      <c r="T279" s="10" t="str">
        <f aca="false">IF(A279="","",A279&amp;"_DWG.pdf")</f>
        <v/>
      </c>
      <c r="U279" s="10" t="str">
        <f aca="false">IF(A279="","",IF(Q279="Y",A279&amp;"_STAAD.std","n/a"))</f>
        <v/>
      </c>
      <c r="V279" s="10" t="str">
        <f aca="false">IF(A279="","",A279&amp;"_CALC.xlsx")</f>
        <v/>
      </c>
      <c r="W279" s="10" t="str">
        <f aca="false">IF(A279="","",A279&amp;"_CALC.pdf")</f>
        <v/>
      </c>
      <c r="X279" s="9"/>
      <c r="Y279" s="9"/>
      <c r="Z279" s="41"/>
      <c r="AA279" s="41"/>
      <c r="AB279" s="41"/>
      <c r="AC279" s="41"/>
      <c r="AD279" s="41"/>
      <c r="AE279" s="38" t="str">
        <f aca="false">IF(C279="","","OK")</f>
        <v/>
      </c>
      <c r="AF279" s="9"/>
      <c r="AG279" s="9"/>
      <c r="AH279" s="9"/>
      <c r="AI279" s="9"/>
      <c r="AJ279" s="9"/>
      <c r="AK279" s="31"/>
      <c r="AL279" s="10" t="str">
        <f aca="false">IF(C279="","",IF(AND(N279="Approved",ISERROR(SEARCH("FAIL",AE279))),"Y","N"))</f>
        <v/>
      </c>
    </row>
    <row r="280" customFormat="false" ht="15" hidden="false" customHeight="false" outlineLevel="0" collapsed="false">
      <c r="A280" s="10" t="str">
        <f aca="false">IF(C280="","",IFERROR(VLOOKUP(C280,Lists!$BI$4:$BJ$20,2,0),"??")&amp;"-"&amp;UPPER(SUBSTITUTE(D280," ",""))&amp;IF(E280&lt;&gt;"","-SP"&amp;TEXT(E280*1000,"0"),"")&amp;IF(F280&lt;&gt;"","-H"&amp;TEXT(F280*1000,"0"),"")&amp;"-"&amp;M280)</f>
        <v/>
      </c>
      <c r="B280" s="10" t="str">
        <f aca="false">IF(C280="","",C280&amp;" - "&amp;D280&amp;IF(E280&lt;&gt;"",", span "&amp;E280&amp;" m","")&amp;IF(F280&lt;&gt;"",", H "&amp;F280&amp;" m","")&amp;IF(G280&lt;&gt;"",", W "&amp;G280&amp;" m",""))</f>
        <v/>
      </c>
      <c r="C280" s="9"/>
      <c r="D280" s="9"/>
      <c r="E280" s="43"/>
      <c r="F280" s="43"/>
      <c r="G280" s="43"/>
      <c r="H280" s="9"/>
      <c r="I280" s="9"/>
      <c r="J280" s="9"/>
      <c r="K280" s="9"/>
      <c r="L280" s="9"/>
      <c r="M280" s="9"/>
      <c r="N280" s="9"/>
      <c r="O280" s="9"/>
      <c r="P280" s="9"/>
      <c r="Q280" s="9"/>
      <c r="R280" s="10" t="str">
        <f aca="false">IF(A280="","",SG_Criteria!$B$6&amp;SG_Criteria!$B$13&amp;"\"&amp;A280&amp;"\")</f>
        <v/>
      </c>
      <c r="S280" s="10" t="str">
        <f aca="false">IF(A280="","",A280&amp;"_CAD.dwg")</f>
        <v/>
      </c>
      <c r="T280" s="10" t="str">
        <f aca="false">IF(A280="","",A280&amp;"_DWG.pdf")</f>
        <v/>
      </c>
      <c r="U280" s="10" t="str">
        <f aca="false">IF(A280="","",IF(Q280="Y",A280&amp;"_STAAD.std","n/a"))</f>
        <v/>
      </c>
      <c r="V280" s="10" t="str">
        <f aca="false">IF(A280="","",A280&amp;"_CALC.xlsx")</f>
        <v/>
      </c>
      <c r="W280" s="10" t="str">
        <f aca="false">IF(A280="","",A280&amp;"_CALC.pdf")</f>
        <v/>
      </c>
      <c r="X280" s="9"/>
      <c r="Y280" s="9"/>
      <c r="Z280" s="41"/>
      <c r="AA280" s="41"/>
      <c r="AB280" s="41"/>
      <c r="AC280" s="41"/>
      <c r="AD280" s="41"/>
      <c r="AE280" s="38" t="str">
        <f aca="false">IF(C280="","","OK")</f>
        <v/>
      </c>
      <c r="AF280" s="9"/>
      <c r="AG280" s="9"/>
      <c r="AH280" s="9"/>
      <c r="AI280" s="9"/>
      <c r="AJ280" s="9"/>
      <c r="AK280" s="31"/>
      <c r="AL280" s="10" t="str">
        <f aca="false">IF(C280="","",IF(AND(N280="Approved",ISERROR(SEARCH("FAIL",AE280))),"Y","N"))</f>
        <v/>
      </c>
    </row>
    <row r="281" customFormat="false" ht="15" hidden="false" customHeight="false" outlineLevel="0" collapsed="false">
      <c r="A281" s="10" t="str">
        <f aca="false">IF(C281="","",IFERROR(VLOOKUP(C281,Lists!$BI$4:$BJ$20,2,0),"??")&amp;"-"&amp;UPPER(SUBSTITUTE(D281," ",""))&amp;IF(E281&lt;&gt;"","-SP"&amp;TEXT(E281*1000,"0"),"")&amp;IF(F281&lt;&gt;"","-H"&amp;TEXT(F281*1000,"0"),"")&amp;"-"&amp;M281)</f>
        <v/>
      </c>
      <c r="B281" s="10" t="str">
        <f aca="false">IF(C281="","",C281&amp;" - "&amp;D281&amp;IF(E281&lt;&gt;"",", span "&amp;E281&amp;" m","")&amp;IF(F281&lt;&gt;"",", H "&amp;F281&amp;" m","")&amp;IF(G281&lt;&gt;"",", W "&amp;G281&amp;" m",""))</f>
        <v/>
      </c>
      <c r="C281" s="9"/>
      <c r="D281" s="9"/>
      <c r="E281" s="43"/>
      <c r="F281" s="43"/>
      <c r="G281" s="43"/>
      <c r="H281" s="9"/>
      <c r="I281" s="9"/>
      <c r="J281" s="9"/>
      <c r="K281" s="9"/>
      <c r="L281" s="9"/>
      <c r="M281" s="9"/>
      <c r="N281" s="9"/>
      <c r="O281" s="9"/>
      <c r="P281" s="9"/>
      <c r="Q281" s="9"/>
      <c r="R281" s="10" t="str">
        <f aca="false">IF(A281="","",SG_Criteria!$B$6&amp;SG_Criteria!$B$13&amp;"\"&amp;A281&amp;"\")</f>
        <v/>
      </c>
      <c r="S281" s="10" t="str">
        <f aca="false">IF(A281="","",A281&amp;"_CAD.dwg")</f>
        <v/>
      </c>
      <c r="T281" s="10" t="str">
        <f aca="false">IF(A281="","",A281&amp;"_DWG.pdf")</f>
        <v/>
      </c>
      <c r="U281" s="10" t="str">
        <f aca="false">IF(A281="","",IF(Q281="Y",A281&amp;"_STAAD.std","n/a"))</f>
        <v/>
      </c>
      <c r="V281" s="10" t="str">
        <f aca="false">IF(A281="","",A281&amp;"_CALC.xlsx")</f>
        <v/>
      </c>
      <c r="W281" s="10" t="str">
        <f aca="false">IF(A281="","",A281&amp;"_CALC.pdf")</f>
        <v/>
      </c>
      <c r="X281" s="9"/>
      <c r="Y281" s="9"/>
      <c r="Z281" s="41"/>
      <c r="AA281" s="41"/>
      <c r="AB281" s="41"/>
      <c r="AC281" s="41"/>
      <c r="AD281" s="41"/>
      <c r="AE281" s="38" t="str">
        <f aca="false">IF(C281="","","OK")</f>
        <v/>
      </c>
      <c r="AF281" s="9"/>
      <c r="AG281" s="9"/>
      <c r="AH281" s="9"/>
      <c r="AI281" s="9"/>
      <c r="AJ281" s="9"/>
      <c r="AK281" s="31"/>
      <c r="AL281" s="10" t="str">
        <f aca="false">IF(C281="","",IF(AND(N281="Approved",ISERROR(SEARCH("FAIL",AE281))),"Y","N"))</f>
        <v/>
      </c>
    </row>
    <row r="282" customFormat="false" ht="15" hidden="false" customHeight="false" outlineLevel="0" collapsed="false">
      <c r="A282" s="10" t="str">
        <f aca="false">IF(C282="","",IFERROR(VLOOKUP(C282,Lists!$BI$4:$BJ$20,2,0),"??")&amp;"-"&amp;UPPER(SUBSTITUTE(D282," ",""))&amp;IF(E282&lt;&gt;"","-SP"&amp;TEXT(E282*1000,"0"),"")&amp;IF(F282&lt;&gt;"","-H"&amp;TEXT(F282*1000,"0"),"")&amp;"-"&amp;M282)</f>
        <v/>
      </c>
      <c r="B282" s="10" t="str">
        <f aca="false">IF(C282="","",C282&amp;" - "&amp;D282&amp;IF(E282&lt;&gt;"",", span "&amp;E282&amp;" m","")&amp;IF(F282&lt;&gt;"",", H "&amp;F282&amp;" m","")&amp;IF(G282&lt;&gt;"",", W "&amp;G282&amp;" m",""))</f>
        <v/>
      </c>
      <c r="C282" s="9"/>
      <c r="D282" s="9"/>
      <c r="E282" s="43"/>
      <c r="F282" s="43"/>
      <c r="G282" s="43"/>
      <c r="H282" s="9"/>
      <c r="I282" s="9"/>
      <c r="J282" s="9"/>
      <c r="K282" s="9"/>
      <c r="L282" s="9"/>
      <c r="M282" s="9"/>
      <c r="N282" s="9"/>
      <c r="O282" s="9"/>
      <c r="P282" s="9"/>
      <c r="Q282" s="9"/>
      <c r="R282" s="10" t="str">
        <f aca="false">IF(A282="","",SG_Criteria!$B$6&amp;SG_Criteria!$B$13&amp;"\"&amp;A282&amp;"\")</f>
        <v/>
      </c>
      <c r="S282" s="10" t="str">
        <f aca="false">IF(A282="","",A282&amp;"_CAD.dwg")</f>
        <v/>
      </c>
      <c r="T282" s="10" t="str">
        <f aca="false">IF(A282="","",A282&amp;"_DWG.pdf")</f>
        <v/>
      </c>
      <c r="U282" s="10" t="str">
        <f aca="false">IF(A282="","",IF(Q282="Y",A282&amp;"_STAAD.std","n/a"))</f>
        <v/>
      </c>
      <c r="V282" s="10" t="str">
        <f aca="false">IF(A282="","",A282&amp;"_CALC.xlsx")</f>
        <v/>
      </c>
      <c r="W282" s="10" t="str">
        <f aca="false">IF(A282="","",A282&amp;"_CALC.pdf")</f>
        <v/>
      </c>
      <c r="X282" s="9"/>
      <c r="Y282" s="9"/>
      <c r="Z282" s="41"/>
      <c r="AA282" s="41"/>
      <c r="AB282" s="41"/>
      <c r="AC282" s="41"/>
      <c r="AD282" s="41"/>
      <c r="AE282" s="38" t="str">
        <f aca="false">IF(C282="","","OK")</f>
        <v/>
      </c>
      <c r="AF282" s="9"/>
      <c r="AG282" s="9"/>
      <c r="AH282" s="9"/>
      <c r="AI282" s="9"/>
      <c r="AJ282" s="9"/>
      <c r="AK282" s="31"/>
      <c r="AL282" s="10" t="str">
        <f aca="false">IF(C282="","",IF(AND(N282="Approved",ISERROR(SEARCH("FAIL",AE282))),"Y","N"))</f>
        <v/>
      </c>
    </row>
    <row r="283" customFormat="false" ht="15" hidden="false" customHeight="false" outlineLevel="0" collapsed="false">
      <c r="A283" s="10" t="str">
        <f aca="false">IF(C283="","",IFERROR(VLOOKUP(C283,Lists!$BI$4:$BJ$20,2,0),"??")&amp;"-"&amp;UPPER(SUBSTITUTE(D283," ",""))&amp;IF(E283&lt;&gt;"","-SP"&amp;TEXT(E283*1000,"0"),"")&amp;IF(F283&lt;&gt;"","-H"&amp;TEXT(F283*1000,"0"),"")&amp;"-"&amp;M283)</f>
        <v/>
      </c>
      <c r="B283" s="10" t="str">
        <f aca="false">IF(C283="","",C283&amp;" - "&amp;D283&amp;IF(E283&lt;&gt;"",", span "&amp;E283&amp;" m","")&amp;IF(F283&lt;&gt;"",", H "&amp;F283&amp;" m","")&amp;IF(G283&lt;&gt;"",", W "&amp;G283&amp;" m",""))</f>
        <v/>
      </c>
      <c r="C283" s="9"/>
      <c r="D283" s="9"/>
      <c r="E283" s="43"/>
      <c r="F283" s="43"/>
      <c r="G283" s="43"/>
      <c r="H283" s="9"/>
      <c r="I283" s="9"/>
      <c r="J283" s="9"/>
      <c r="K283" s="9"/>
      <c r="L283" s="9"/>
      <c r="M283" s="9"/>
      <c r="N283" s="9"/>
      <c r="O283" s="9"/>
      <c r="P283" s="9"/>
      <c r="Q283" s="9"/>
      <c r="R283" s="10" t="str">
        <f aca="false">IF(A283="","",SG_Criteria!$B$6&amp;SG_Criteria!$B$13&amp;"\"&amp;A283&amp;"\")</f>
        <v/>
      </c>
      <c r="S283" s="10" t="str">
        <f aca="false">IF(A283="","",A283&amp;"_CAD.dwg")</f>
        <v/>
      </c>
      <c r="T283" s="10" t="str">
        <f aca="false">IF(A283="","",A283&amp;"_DWG.pdf")</f>
        <v/>
      </c>
      <c r="U283" s="10" t="str">
        <f aca="false">IF(A283="","",IF(Q283="Y",A283&amp;"_STAAD.std","n/a"))</f>
        <v/>
      </c>
      <c r="V283" s="10" t="str">
        <f aca="false">IF(A283="","",A283&amp;"_CALC.xlsx")</f>
        <v/>
      </c>
      <c r="W283" s="10" t="str">
        <f aca="false">IF(A283="","",A283&amp;"_CALC.pdf")</f>
        <v/>
      </c>
      <c r="X283" s="9"/>
      <c r="Y283" s="9"/>
      <c r="Z283" s="41"/>
      <c r="AA283" s="41"/>
      <c r="AB283" s="41"/>
      <c r="AC283" s="41"/>
      <c r="AD283" s="41"/>
      <c r="AE283" s="38" t="str">
        <f aca="false">IF(C283="","","OK")</f>
        <v/>
      </c>
      <c r="AF283" s="9"/>
      <c r="AG283" s="9"/>
      <c r="AH283" s="9"/>
      <c r="AI283" s="9"/>
      <c r="AJ283" s="9"/>
      <c r="AK283" s="31"/>
      <c r="AL283" s="10" t="str">
        <f aca="false">IF(C283="","",IF(AND(N283="Approved",ISERROR(SEARCH("FAIL",AE283))),"Y","N"))</f>
        <v/>
      </c>
    </row>
    <row r="284" customFormat="false" ht="15" hidden="false" customHeight="false" outlineLevel="0" collapsed="false">
      <c r="A284" s="10" t="str">
        <f aca="false">IF(C284="","",IFERROR(VLOOKUP(C284,Lists!$BI$4:$BJ$20,2,0),"??")&amp;"-"&amp;UPPER(SUBSTITUTE(D284," ",""))&amp;IF(E284&lt;&gt;"","-SP"&amp;TEXT(E284*1000,"0"),"")&amp;IF(F284&lt;&gt;"","-H"&amp;TEXT(F284*1000,"0"),"")&amp;"-"&amp;M284)</f>
        <v/>
      </c>
      <c r="B284" s="10" t="str">
        <f aca="false">IF(C284="","",C284&amp;" - "&amp;D284&amp;IF(E284&lt;&gt;"",", span "&amp;E284&amp;" m","")&amp;IF(F284&lt;&gt;"",", H "&amp;F284&amp;" m","")&amp;IF(G284&lt;&gt;"",", W "&amp;G284&amp;" m",""))</f>
        <v/>
      </c>
      <c r="C284" s="9"/>
      <c r="D284" s="9"/>
      <c r="E284" s="43"/>
      <c r="F284" s="43"/>
      <c r="G284" s="43"/>
      <c r="H284" s="9"/>
      <c r="I284" s="9"/>
      <c r="J284" s="9"/>
      <c r="K284" s="9"/>
      <c r="L284" s="9"/>
      <c r="M284" s="9"/>
      <c r="N284" s="9"/>
      <c r="O284" s="9"/>
      <c r="P284" s="9"/>
      <c r="Q284" s="9"/>
      <c r="R284" s="10" t="str">
        <f aca="false">IF(A284="","",SG_Criteria!$B$6&amp;SG_Criteria!$B$13&amp;"\"&amp;A284&amp;"\")</f>
        <v/>
      </c>
      <c r="S284" s="10" t="str">
        <f aca="false">IF(A284="","",A284&amp;"_CAD.dwg")</f>
        <v/>
      </c>
      <c r="T284" s="10" t="str">
        <f aca="false">IF(A284="","",A284&amp;"_DWG.pdf")</f>
        <v/>
      </c>
      <c r="U284" s="10" t="str">
        <f aca="false">IF(A284="","",IF(Q284="Y",A284&amp;"_STAAD.std","n/a"))</f>
        <v/>
      </c>
      <c r="V284" s="10" t="str">
        <f aca="false">IF(A284="","",A284&amp;"_CALC.xlsx")</f>
        <v/>
      </c>
      <c r="W284" s="10" t="str">
        <f aca="false">IF(A284="","",A284&amp;"_CALC.pdf")</f>
        <v/>
      </c>
      <c r="X284" s="9"/>
      <c r="Y284" s="9"/>
      <c r="Z284" s="41"/>
      <c r="AA284" s="41"/>
      <c r="AB284" s="41"/>
      <c r="AC284" s="41"/>
      <c r="AD284" s="41"/>
      <c r="AE284" s="38" t="str">
        <f aca="false">IF(C284="","","OK")</f>
        <v/>
      </c>
      <c r="AF284" s="9"/>
      <c r="AG284" s="9"/>
      <c r="AH284" s="9"/>
      <c r="AI284" s="9"/>
      <c r="AJ284" s="9"/>
      <c r="AK284" s="31"/>
      <c r="AL284" s="10" t="str">
        <f aca="false">IF(C284="","",IF(AND(N284="Approved",ISERROR(SEARCH("FAIL",AE284))),"Y","N"))</f>
        <v/>
      </c>
    </row>
    <row r="285" customFormat="false" ht="15" hidden="false" customHeight="false" outlineLevel="0" collapsed="false">
      <c r="A285" s="10" t="str">
        <f aca="false">IF(C285="","",IFERROR(VLOOKUP(C285,Lists!$BI$4:$BJ$20,2,0),"??")&amp;"-"&amp;UPPER(SUBSTITUTE(D285," ",""))&amp;IF(E285&lt;&gt;"","-SP"&amp;TEXT(E285*1000,"0"),"")&amp;IF(F285&lt;&gt;"","-H"&amp;TEXT(F285*1000,"0"),"")&amp;"-"&amp;M285)</f>
        <v/>
      </c>
      <c r="B285" s="10" t="str">
        <f aca="false">IF(C285="","",C285&amp;" - "&amp;D285&amp;IF(E285&lt;&gt;"",", span "&amp;E285&amp;" m","")&amp;IF(F285&lt;&gt;"",", H "&amp;F285&amp;" m","")&amp;IF(G285&lt;&gt;"",", W "&amp;G285&amp;" m",""))</f>
        <v/>
      </c>
      <c r="C285" s="9"/>
      <c r="D285" s="9"/>
      <c r="E285" s="43"/>
      <c r="F285" s="43"/>
      <c r="G285" s="43"/>
      <c r="H285" s="9"/>
      <c r="I285" s="9"/>
      <c r="J285" s="9"/>
      <c r="K285" s="9"/>
      <c r="L285" s="9"/>
      <c r="M285" s="9"/>
      <c r="N285" s="9"/>
      <c r="O285" s="9"/>
      <c r="P285" s="9"/>
      <c r="Q285" s="9"/>
      <c r="R285" s="10" t="str">
        <f aca="false">IF(A285="","",SG_Criteria!$B$6&amp;SG_Criteria!$B$13&amp;"\"&amp;A285&amp;"\")</f>
        <v/>
      </c>
      <c r="S285" s="10" t="str">
        <f aca="false">IF(A285="","",A285&amp;"_CAD.dwg")</f>
        <v/>
      </c>
      <c r="T285" s="10" t="str">
        <f aca="false">IF(A285="","",A285&amp;"_DWG.pdf")</f>
        <v/>
      </c>
      <c r="U285" s="10" t="str">
        <f aca="false">IF(A285="","",IF(Q285="Y",A285&amp;"_STAAD.std","n/a"))</f>
        <v/>
      </c>
      <c r="V285" s="10" t="str">
        <f aca="false">IF(A285="","",A285&amp;"_CALC.xlsx")</f>
        <v/>
      </c>
      <c r="W285" s="10" t="str">
        <f aca="false">IF(A285="","",A285&amp;"_CALC.pdf")</f>
        <v/>
      </c>
      <c r="X285" s="9"/>
      <c r="Y285" s="9"/>
      <c r="Z285" s="41"/>
      <c r="AA285" s="41"/>
      <c r="AB285" s="41"/>
      <c r="AC285" s="41"/>
      <c r="AD285" s="41"/>
      <c r="AE285" s="38" t="str">
        <f aca="false">IF(C285="","","OK")</f>
        <v/>
      </c>
      <c r="AF285" s="9"/>
      <c r="AG285" s="9"/>
      <c r="AH285" s="9"/>
      <c r="AI285" s="9"/>
      <c r="AJ285" s="9"/>
      <c r="AK285" s="31"/>
      <c r="AL285" s="10" t="str">
        <f aca="false">IF(C285="","",IF(AND(N285="Approved",ISERROR(SEARCH("FAIL",AE285))),"Y","N"))</f>
        <v/>
      </c>
    </row>
    <row r="286" customFormat="false" ht="15" hidden="false" customHeight="false" outlineLevel="0" collapsed="false">
      <c r="A286" s="10" t="str">
        <f aca="false">IF(C286="","",IFERROR(VLOOKUP(C286,Lists!$BI$4:$BJ$20,2,0),"??")&amp;"-"&amp;UPPER(SUBSTITUTE(D286," ",""))&amp;IF(E286&lt;&gt;"","-SP"&amp;TEXT(E286*1000,"0"),"")&amp;IF(F286&lt;&gt;"","-H"&amp;TEXT(F286*1000,"0"),"")&amp;"-"&amp;M286)</f>
        <v/>
      </c>
      <c r="B286" s="10" t="str">
        <f aca="false">IF(C286="","",C286&amp;" - "&amp;D286&amp;IF(E286&lt;&gt;"",", span "&amp;E286&amp;" m","")&amp;IF(F286&lt;&gt;"",", H "&amp;F286&amp;" m","")&amp;IF(G286&lt;&gt;"",", W "&amp;G286&amp;" m",""))</f>
        <v/>
      </c>
      <c r="C286" s="9"/>
      <c r="D286" s="9"/>
      <c r="E286" s="43"/>
      <c r="F286" s="43"/>
      <c r="G286" s="43"/>
      <c r="H286" s="9"/>
      <c r="I286" s="9"/>
      <c r="J286" s="9"/>
      <c r="K286" s="9"/>
      <c r="L286" s="9"/>
      <c r="M286" s="9"/>
      <c r="N286" s="9"/>
      <c r="O286" s="9"/>
      <c r="P286" s="9"/>
      <c r="Q286" s="9"/>
      <c r="R286" s="10" t="str">
        <f aca="false">IF(A286="","",SG_Criteria!$B$6&amp;SG_Criteria!$B$13&amp;"\"&amp;A286&amp;"\")</f>
        <v/>
      </c>
      <c r="S286" s="10" t="str">
        <f aca="false">IF(A286="","",A286&amp;"_CAD.dwg")</f>
        <v/>
      </c>
      <c r="T286" s="10" t="str">
        <f aca="false">IF(A286="","",A286&amp;"_DWG.pdf")</f>
        <v/>
      </c>
      <c r="U286" s="10" t="str">
        <f aca="false">IF(A286="","",IF(Q286="Y",A286&amp;"_STAAD.std","n/a"))</f>
        <v/>
      </c>
      <c r="V286" s="10" t="str">
        <f aca="false">IF(A286="","",A286&amp;"_CALC.xlsx")</f>
        <v/>
      </c>
      <c r="W286" s="10" t="str">
        <f aca="false">IF(A286="","",A286&amp;"_CALC.pdf")</f>
        <v/>
      </c>
      <c r="X286" s="9"/>
      <c r="Y286" s="9"/>
      <c r="Z286" s="41"/>
      <c r="AA286" s="41"/>
      <c r="AB286" s="41"/>
      <c r="AC286" s="41"/>
      <c r="AD286" s="41"/>
      <c r="AE286" s="38" t="str">
        <f aca="false">IF(C286="","","OK")</f>
        <v/>
      </c>
      <c r="AF286" s="9"/>
      <c r="AG286" s="9"/>
      <c r="AH286" s="9"/>
      <c r="AI286" s="9"/>
      <c r="AJ286" s="9"/>
      <c r="AK286" s="31"/>
      <c r="AL286" s="10" t="str">
        <f aca="false">IF(C286="","",IF(AND(N286="Approved",ISERROR(SEARCH("FAIL",AE286))),"Y","N"))</f>
        <v/>
      </c>
    </row>
    <row r="287" customFormat="false" ht="15" hidden="false" customHeight="false" outlineLevel="0" collapsed="false">
      <c r="A287" s="10" t="str">
        <f aca="false">IF(C287="","",IFERROR(VLOOKUP(C287,Lists!$BI$4:$BJ$20,2,0),"??")&amp;"-"&amp;UPPER(SUBSTITUTE(D287," ",""))&amp;IF(E287&lt;&gt;"","-SP"&amp;TEXT(E287*1000,"0"),"")&amp;IF(F287&lt;&gt;"","-H"&amp;TEXT(F287*1000,"0"),"")&amp;"-"&amp;M287)</f>
        <v/>
      </c>
      <c r="B287" s="10" t="str">
        <f aca="false">IF(C287="","",C287&amp;" - "&amp;D287&amp;IF(E287&lt;&gt;"",", span "&amp;E287&amp;" m","")&amp;IF(F287&lt;&gt;"",", H "&amp;F287&amp;" m","")&amp;IF(G287&lt;&gt;"",", W "&amp;G287&amp;" m",""))</f>
        <v/>
      </c>
      <c r="C287" s="9"/>
      <c r="D287" s="9"/>
      <c r="E287" s="43"/>
      <c r="F287" s="43"/>
      <c r="G287" s="43"/>
      <c r="H287" s="9"/>
      <c r="I287" s="9"/>
      <c r="J287" s="9"/>
      <c r="K287" s="9"/>
      <c r="L287" s="9"/>
      <c r="M287" s="9"/>
      <c r="N287" s="9"/>
      <c r="O287" s="9"/>
      <c r="P287" s="9"/>
      <c r="Q287" s="9"/>
      <c r="R287" s="10" t="str">
        <f aca="false">IF(A287="","",SG_Criteria!$B$6&amp;SG_Criteria!$B$13&amp;"\"&amp;A287&amp;"\")</f>
        <v/>
      </c>
      <c r="S287" s="10" t="str">
        <f aca="false">IF(A287="","",A287&amp;"_CAD.dwg")</f>
        <v/>
      </c>
      <c r="T287" s="10" t="str">
        <f aca="false">IF(A287="","",A287&amp;"_DWG.pdf")</f>
        <v/>
      </c>
      <c r="U287" s="10" t="str">
        <f aca="false">IF(A287="","",IF(Q287="Y",A287&amp;"_STAAD.std","n/a"))</f>
        <v/>
      </c>
      <c r="V287" s="10" t="str">
        <f aca="false">IF(A287="","",A287&amp;"_CALC.xlsx")</f>
        <v/>
      </c>
      <c r="W287" s="10" t="str">
        <f aca="false">IF(A287="","",A287&amp;"_CALC.pdf")</f>
        <v/>
      </c>
      <c r="X287" s="9"/>
      <c r="Y287" s="9"/>
      <c r="Z287" s="41"/>
      <c r="AA287" s="41"/>
      <c r="AB287" s="41"/>
      <c r="AC287" s="41"/>
      <c r="AD287" s="41"/>
      <c r="AE287" s="38" t="str">
        <f aca="false">IF(C287="","","OK")</f>
        <v/>
      </c>
      <c r="AF287" s="9"/>
      <c r="AG287" s="9"/>
      <c r="AH287" s="9"/>
      <c r="AI287" s="9"/>
      <c r="AJ287" s="9"/>
      <c r="AK287" s="31"/>
      <c r="AL287" s="10" t="str">
        <f aca="false">IF(C287="","",IF(AND(N287="Approved",ISERROR(SEARCH("FAIL",AE287))),"Y","N"))</f>
        <v/>
      </c>
    </row>
    <row r="288" customFormat="false" ht="15" hidden="false" customHeight="false" outlineLevel="0" collapsed="false">
      <c r="A288" s="10" t="str">
        <f aca="false">IF(C288="","",IFERROR(VLOOKUP(C288,Lists!$BI$4:$BJ$20,2,0),"??")&amp;"-"&amp;UPPER(SUBSTITUTE(D288," ",""))&amp;IF(E288&lt;&gt;"","-SP"&amp;TEXT(E288*1000,"0"),"")&amp;IF(F288&lt;&gt;"","-H"&amp;TEXT(F288*1000,"0"),"")&amp;"-"&amp;M288)</f>
        <v/>
      </c>
      <c r="B288" s="10" t="str">
        <f aca="false">IF(C288="","",C288&amp;" - "&amp;D288&amp;IF(E288&lt;&gt;"",", span "&amp;E288&amp;" m","")&amp;IF(F288&lt;&gt;"",", H "&amp;F288&amp;" m","")&amp;IF(G288&lt;&gt;"",", W "&amp;G288&amp;" m",""))</f>
        <v/>
      </c>
      <c r="C288" s="9"/>
      <c r="D288" s="9"/>
      <c r="E288" s="43"/>
      <c r="F288" s="43"/>
      <c r="G288" s="43"/>
      <c r="H288" s="9"/>
      <c r="I288" s="9"/>
      <c r="J288" s="9"/>
      <c r="K288" s="9"/>
      <c r="L288" s="9"/>
      <c r="M288" s="9"/>
      <c r="N288" s="9"/>
      <c r="O288" s="9"/>
      <c r="P288" s="9"/>
      <c r="Q288" s="9"/>
      <c r="R288" s="10" t="str">
        <f aca="false">IF(A288="","",SG_Criteria!$B$6&amp;SG_Criteria!$B$13&amp;"\"&amp;A288&amp;"\")</f>
        <v/>
      </c>
      <c r="S288" s="10" t="str">
        <f aca="false">IF(A288="","",A288&amp;"_CAD.dwg")</f>
        <v/>
      </c>
      <c r="T288" s="10" t="str">
        <f aca="false">IF(A288="","",A288&amp;"_DWG.pdf")</f>
        <v/>
      </c>
      <c r="U288" s="10" t="str">
        <f aca="false">IF(A288="","",IF(Q288="Y",A288&amp;"_STAAD.std","n/a"))</f>
        <v/>
      </c>
      <c r="V288" s="10" t="str">
        <f aca="false">IF(A288="","",A288&amp;"_CALC.xlsx")</f>
        <v/>
      </c>
      <c r="W288" s="10" t="str">
        <f aca="false">IF(A288="","",A288&amp;"_CALC.pdf")</f>
        <v/>
      </c>
      <c r="X288" s="9"/>
      <c r="Y288" s="9"/>
      <c r="Z288" s="41"/>
      <c r="AA288" s="41"/>
      <c r="AB288" s="41"/>
      <c r="AC288" s="41"/>
      <c r="AD288" s="41"/>
      <c r="AE288" s="38" t="str">
        <f aca="false">IF(C288="","","OK")</f>
        <v/>
      </c>
      <c r="AF288" s="9"/>
      <c r="AG288" s="9"/>
      <c r="AH288" s="9"/>
      <c r="AI288" s="9"/>
      <c r="AJ288" s="9"/>
      <c r="AK288" s="31"/>
      <c r="AL288" s="10" t="str">
        <f aca="false">IF(C288="","",IF(AND(N288="Approved",ISERROR(SEARCH("FAIL",AE288))),"Y","N"))</f>
        <v/>
      </c>
    </row>
    <row r="289" customFormat="false" ht="15" hidden="false" customHeight="false" outlineLevel="0" collapsed="false">
      <c r="A289" s="10" t="str">
        <f aca="false">IF(C289="","",IFERROR(VLOOKUP(C289,Lists!$BI$4:$BJ$20,2,0),"??")&amp;"-"&amp;UPPER(SUBSTITUTE(D289," ",""))&amp;IF(E289&lt;&gt;"","-SP"&amp;TEXT(E289*1000,"0"),"")&amp;IF(F289&lt;&gt;"","-H"&amp;TEXT(F289*1000,"0"),"")&amp;"-"&amp;M289)</f>
        <v/>
      </c>
      <c r="B289" s="10" t="str">
        <f aca="false">IF(C289="","",C289&amp;" - "&amp;D289&amp;IF(E289&lt;&gt;"",", span "&amp;E289&amp;" m","")&amp;IF(F289&lt;&gt;"",", H "&amp;F289&amp;" m","")&amp;IF(G289&lt;&gt;"",", W "&amp;G289&amp;" m",""))</f>
        <v/>
      </c>
      <c r="C289" s="9"/>
      <c r="D289" s="9"/>
      <c r="E289" s="43"/>
      <c r="F289" s="43"/>
      <c r="G289" s="43"/>
      <c r="H289" s="9"/>
      <c r="I289" s="9"/>
      <c r="J289" s="9"/>
      <c r="K289" s="9"/>
      <c r="L289" s="9"/>
      <c r="M289" s="9"/>
      <c r="N289" s="9"/>
      <c r="O289" s="9"/>
      <c r="P289" s="9"/>
      <c r="Q289" s="9"/>
      <c r="R289" s="10" t="str">
        <f aca="false">IF(A289="","",SG_Criteria!$B$6&amp;SG_Criteria!$B$13&amp;"\"&amp;A289&amp;"\")</f>
        <v/>
      </c>
      <c r="S289" s="10" t="str">
        <f aca="false">IF(A289="","",A289&amp;"_CAD.dwg")</f>
        <v/>
      </c>
      <c r="T289" s="10" t="str">
        <f aca="false">IF(A289="","",A289&amp;"_DWG.pdf")</f>
        <v/>
      </c>
      <c r="U289" s="10" t="str">
        <f aca="false">IF(A289="","",IF(Q289="Y",A289&amp;"_STAAD.std","n/a"))</f>
        <v/>
      </c>
      <c r="V289" s="10" t="str">
        <f aca="false">IF(A289="","",A289&amp;"_CALC.xlsx")</f>
        <v/>
      </c>
      <c r="W289" s="10" t="str">
        <f aca="false">IF(A289="","",A289&amp;"_CALC.pdf")</f>
        <v/>
      </c>
      <c r="X289" s="9"/>
      <c r="Y289" s="9"/>
      <c r="Z289" s="41"/>
      <c r="AA289" s="41"/>
      <c r="AB289" s="41"/>
      <c r="AC289" s="41"/>
      <c r="AD289" s="41"/>
      <c r="AE289" s="38" t="str">
        <f aca="false">IF(C289="","","OK")</f>
        <v/>
      </c>
      <c r="AF289" s="9"/>
      <c r="AG289" s="9"/>
      <c r="AH289" s="9"/>
      <c r="AI289" s="9"/>
      <c r="AJ289" s="9"/>
      <c r="AK289" s="31"/>
      <c r="AL289" s="10" t="str">
        <f aca="false">IF(C289="","",IF(AND(N289="Approved",ISERROR(SEARCH("FAIL",AE289))),"Y","N"))</f>
        <v/>
      </c>
    </row>
    <row r="290" customFormat="false" ht="15" hidden="false" customHeight="false" outlineLevel="0" collapsed="false">
      <c r="A290" s="10" t="str">
        <f aca="false">IF(C290="","",IFERROR(VLOOKUP(C290,Lists!$BI$4:$BJ$20,2,0),"??")&amp;"-"&amp;UPPER(SUBSTITUTE(D290," ",""))&amp;IF(E290&lt;&gt;"","-SP"&amp;TEXT(E290*1000,"0"),"")&amp;IF(F290&lt;&gt;"","-H"&amp;TEXT(F290*1000,"0"),"")&amp;"-"&amp;M290)</f>
        <v/>
      </c>
      <c r="B290" s="10" t="str">
        <f aca="false">IF(C290="","",C290&amp;" - "&amp;D290&amp;IF(E290&lt;&gt;"",", span "&amp;E290&amp;" m","")&amp;IF(F290&lt;&gt;"",", H "&amp;F290&amp;" m","")&amp;IF(G290&lt;&gt;"",", W "&amp;G290&amp;" m",""))</f>
        <v/>
      </c>
      <c r="C290" s="9"/>
      <c r="D290" s="9"/>
      <c r="E290" s="43"/>
      <c r="F290" s="43"/>
      <c r="G290" s="43"/>
      <c r="H290" s="9"/>
      <c r="I290" s="9"/>
      <c r="J290" s="9"/>
      <c r="K290" s="9"/>
      <c r="L290" s="9"/>
      <c r="M290" s="9"/>
      <c r="N290" s="9"/>
      <c r="O290" s="9"/>
      <c r="P290" s="9"/>
      <c r="Q290" s="9"/>
      <c r="R290" s="10" t="str">
        <f aca="false">IF(A290="","",SG_Criteria!$B$6&amp;SG_Criteria!$B$13&amp;"\"&amp;A290&amp;"\")</f>
        <v/>
      </c>
      <c r="S290" s="10" t="str">
        <f aca="false">IF(A290="","",A290&amp;"_CAD.dwg")</f>
        <v/>
      </c>
      <c r="T290" s="10" t="str">
        <f aca="false">IF(A290="","",A290&amp;"_DWG.pdf")</f>
        <v/>
      </c>
      <c r="U290" s="10" t="str">
        <f aca="false">IF(A290="","",IF(Q290="Y",A290&amp;"_STAAD.std","n/a"))</f>
        <v/>
      </c>
      <c r="V290" s="10" t="str">
        <f aca="false">IF(A290="","",A290&amp;"_CALC.xlsx")</f>
        <v/>
      </c>
      <c r="W290" s="10" t="str">
        <f aca="false">IF(A290="","",A290&amp;"_CALC.pdf")</f>
        <v/>
      </c>
      <c r="X290" s="9"/>
      <c r="Y290" s="9"/>
      <c r="Z290" s="41"/>
      <c r="AA290" s="41"/>
      <c r="AB290" s="41"/>
      <c r="AC290" s="41"/>
      <c r="AD290" s="41"/>
      <c r="AE290" s="38" t="str">
        <f aca="false">IF(C290="","","OK")</f>
        <v/>
      </c>
      <c r="AF290" s="9"/>
      <c r="AG290" s="9"/>
      <c r="AH290" s="9"/>
      <c r="AI290" s="9"/>
      <c r="AJ290" s="9"/>
      <c r="AK290" s="31"/>
      <c r="AL290" s="10" t="str">
        <f aca="false">IF(C290="","",IF(AND(N290="Approved",ISERROR(SEARCH("FAIL",AE290))),"Y","N"))</f>
        <v/>
      </c>
    </row>
    <row r="291" customFormat="false" ht="15" hidden="false" customHeight="false" outlineLevel="0" collapsed="false">
      <c r="A291" s="10" t="str">
        <f aca="false">IF(C291="","",IFERROR(VLOOKUP(C291,Lists!$BI$4:$BJ$20,2,0),"??")&amp;"-"&amp;UPPER(SUBSTITUTE(D291," ",""))&amp;IF(E291&lt;&gt;"","-SP"&amp;TEXT(E291*1000,"0"),"")&amp;IF(F291&lt;&gt;"","-H"&amp;TEXT(F291*1000,"0"),"")&amp;"-"&amp;M291)</f>
        <v/>
      </c>
      <c r="B291" s="10" t="str">
        <f aca="false">IF(C291="","",C291&amp;" - "&amp;D291&amp;IF(E291&lt;&gt;"",", span "&amp;E291&amp;" m","")&amp;IF(F291&lt;&gt;"",", H "&amp;F291&amp;" m","")&amp;IF(G291&lt;&gt;"",", W "&amp;G291&amp;" m",""))</f>
        <v/>
      </c>
      <c r="C291" s="9"/>
      <c r="D291" s="9"/>
      <c r="E291" s="43"/>
      <c r="F291" s="43"/>
      <c r="G291" s="43"/>
      <c r="H291" s="9"/>
      <c r="I291" s="9"/>
      <c r="J291" s="9"/>
      <c r="K291" s="9"/>
      <c r="L291" s="9"/>
      <c r="M291" s="9"/>
      <c r="N291" s="9"/>
      <c r="O291" s="9"/>
      <c r="P291" s="9"/>
      <c r="Q291" s="9"/>
      <c r="R291" s="10" t="str">
        <f aca="false">IF(A291="","",SG_Criteria!$B$6&amp;SG_Criteria!$B$13&amp;"\"&amp;A291&amp;"\")</f>
        <v/>
      </c>
      <c r="S291" s="10" t="str">
        <f aca="false">IF(A291="","",A291&amp;"_CAD.dwg")</f>
        <v/>
      </c>
      <c r="T291" s="10" t="str">
        <f aca="false">IF(A291="","",A291&amp;"_DWG.pdf")</f>
        <v/>
      </c>
      <c r="U291" s="10" t="str">
        <f aca="false">IF(A291="","",IF(Q291="Y",A291&amp;"_STAAD.std","n/a"))</f>
        <v/>
      </c>
      <c r="V291" s="10" t="str">
        <f aca="false">IF(A291="","",A291&amp;"_CALC.xlsx")</f>
        <v/>
      </c>
      <c r="W291" s="10" t="str">
        <f aca="false">IF(A291="","",A291&amp;"_CALC.pdf")</f>
        <v/>
      </c>
      <c r="X291" s="9"/>
      <c r="Y291" s="9"/>
      <c r="Z291" s="41"/>
      <c r="AA291" s="41"/>
      <c r="AB291" s="41"/>
      <c r="AC291" s="41"/>
      <c r="AD291" s="41"/>
      <c r="AE291" s="38" t="str">
        <f aca="false">IF(C291="","","OK")</f>
        <v/>
      </c>
      <c r="AF291" s="9"/>
      <c r="AG291" s="9"/>
      <c r="AH291" s="9"/>
      <c r="AI291" s="9"/>
      <c r="AJ291" s="9"/>
      <c r="AK291" s="31"/>
      <c r="AL291" s="10" t="str">
        <f aca="false">IF(C291="","",IF(AND(N291="Approved",ISERROR(SEARCH("FAIL",AE291))),"Y","N"))</f>
        <v/>
      </c>
    </row>
    <row r="292" customFormat="false" ht="15" hidden="false" customHeight="false" outlineLevel="0" collapsed="false">
      <c r="A292" s="10" t="str">
        <f aca="false">IF(C292="","",IFERROR(VLOOKUP(C292,Lists!$BI$4:$BJ$20,2,0),"??")&amp;"-"&amp;UPPER(SUBSTITUTE(D292," ",""))&amp;IF(E292&lt;&gt;"","-SP"&amp;TEXT(E292*1000,"0"),"")&amp;IF(F292&lt;&gt;"","-H"&amp;TEXT(F292*1000,"0"),"")&amp;"-"&amp;M292)</f>
        <v/>
      </c>
      <c r="B292" s="10" t="str">
        <f aca="false">IF(C292="","",C292&amp;" - "&amp;D292&amp;IF(E292&lt;&gt;"",", span "&amp;E292&amp;" m","")&amp;IF(F292&lt;&gt;"",", H "&amp;F292&amp;" m","")&amp;IF(G292&lt;&gt;"",", W "&amp;G292&amp;" m",""))</f>
        <v/>
      </c>
      <c r="C292" s="9"/>
      <c r="D292" s="9"/>
      <c r="E292" s="43"/>
      <c r="F292" s="43"/>
      <c r="G292" s="43"/>
      <c r="H292" s="9"/>
      <c r="I292" s="9"/>
      <c r="J292" s="9"/>
      <c r="K292" s="9"/>
      <c r="L292" s="9"/>
      <c r="M292" s="9"/>
      <c r="N292" s="9"/>
      <c r="O292" s="9"/>
      <c r="P292" s="9"/>
      <c r="Q292" s="9"/>
      <c r="R292" s="10" t="str">
        <f aca="false">IF(A292="","",SG_Criteria!$B$6&amp;SG_Criteria!$B$13&amp;"\"&amp;A292&amp;"\")</f>
        <v/>
      </c>
      <c r="S292" s="10" t="str">
        <f aca="false">IF(A292="","",A292&amp;"_CAD.dwg")</f>
        <v/>
      </c>
      <c r="T292" s="10" t="str">
        <f aca="false">IF(A292="","",A292&amp;"_DWG.pdf")</f>
        <v/>
      </c>
      <c r="U292" s="10" t="str">
        <f aca="false">IF(A292="","",IF(Q292="Y",A292&amp;"_STAAD.std","n/a"))</f>
        <v/>
      </c>
      <c r="V292" s="10" t="str">
        <f aca="false">IF(A292="","",A292&amp;"_CALC.xlsx")</f>
        <v/>
      </c>
      <c r="W292" s="10" t="str">
        <f aca="false">IF(A292="","",A292&amp;"_CALC.pdf")</f>
        <v/>
      </c>
      <c r="X292" s="9"/>
      <c r="Y292" s="9"/>
      <c r="Z292" s="41"/>
      <c r="AA292" s="41"/>
      <c r="AB292" s="41"/>
      <c r="AC292" s="41"/>
      <c r="AD292" s="41"/>
      <c r="AE292" s="38" t="str">
        <f aca="false">IF(C292="","","OK")</f>
        <v/>
      </c>
      <c r="AF292" s="9"/>
      <c r="AG292" s="9"/>
      <c r="AH292" s="9"/>
      <c r="AI292" s="9"/>
      <c r="AJ292" s="9"/>
      <c r="AK292" s="31"/>
      <c r="AL292" s="10" t="str">
        <f aca="false">IF(C292="","",IF(AND(N292="Approved",ISERROR(SEARCH("FAIL",AE292))),"Y","N"))</f>
        <v/>
      </c>
    </row>
    <row r="293" customFormat="false" ht="15" hidden="false" customHeight="false" outlineLevel="0" collapsed="false">
      <c r="A293" s="10" t="str">
        <f aca="false">IF(C293="","",IFERROR(VLOOKUP(C293,Lists!$BI$4:$BJ$20,2,0),"??")&amp;"-"&amp;UPPER(SUBSTITUTE(D293," ",""))&amp;IF(E293&lt;&gt;"","-SP"&amp;TEXT(E293*1000,"0"),"")&amp;IF(F293&lt;&gt;"","-H"&amp;TEXT(F293*1000,"0"),"")&amp;"-"&amp;M293)</f>
        <v/>
      </c>
      <c r="B293" s="10" t="str">
        <f aca="false">IF(C293="","",C293&amp;" - "&amp;D293&amp;IF(E293&lt;&gt;"",", span "&amp;E293&amp;" m","")&amp;IF(F293&lt;&gt;"",", H "&amp;F293&amp;" m","")&amp;IF(G293&lt;&gt;"",", W "&amp;G293&amp;" m",""))</f>
        <v/>
      </c>
      <c r="C293" s="9"/>
      <c r="D293" s="9"/>
      <c r="E293" s="43"/>
      <c r="F293" s="43"/>
      <c r="G293" s="43"/>
      <c r="H293" s="9"/>
      <c r="I293" s="9"/>
      <c r="J293" s="9"/>
      <c r="K293" s="9"/>
      <c r="L293" s="9"/>
      <c r="M293" s="9"/>
      <c r="N293" s="9"/>
      <c r="O293" s="9"/>
      <c r="P293" s="9"/>
      <c r="Q293" s="9"/>
      <c r="R293" s="10" t="str">
        <f aca="false">IF(A293="","",SG_Criteria!$B$6&amp;SG_Criteria!$B$13&amp;"\"&amp;A293&amp;"\")</f>
        <v/>
      </c>
      <c r="S293" s="10" t="str">
        <f aca="false">IF(A293="","",A293&amp;"_CAD.dwg")</f>
        <v/>
      </c>
      <c r="T293" s="10" t="str">
        <f aca="false">IF(A293="","",A293&amp;"_DWG.pdf")</f>
        <v/>
      </c>
      <c r="U293" s="10" t="str">
        <f aca="false">IF(A293="","",IF(Q293="Y",A293&amp;"_STAAD.std","n/a"))</f>
        <v/>
      </c>
      <c r="V293" s="10" t="str">
        <f aca="false">IF(A293="","",A293&amp;"_CALC.xlsx")</f>
        <v/>
      </c>
      <c r="W293" s="10" t="str">
        <f aca="false">IF(A293="","",A293&amp;"_CALC.pdf")</f>
        <v/>
      </c>
      <c r="X293" s="9"/>
      <c r="Y293" s="9"/>
      <c r="Z293" s="41"/>
      <c r="AA293" s="41"/>
      <c r="AB293" s="41"/>
      <c r="AC293" s="41"/>
      <c r="AD293" s="41"/>
      <c r="AE293" s="38" t="str">
        <f aca="false">IF(C293="","","OK")</f>
        <v/>
      </c>
      <c r="AF293" s="9"/>
      <c r="AG293" s="9"/>
      <c r="AH293" s="9"/>
      <c r="AI293" s="9"/>
      <c r="AJ293" s="9"/>
      <c r="AK293" s="31"/>
      <c r="AL293" s="10" t="str">
        <f aca="false">IF(C293="","",IF(AND(N293="Approved",ISERROR(SEARCH("FAIL",AE293))),"Y","N"))</f>
        <v/>
      </c>
    </row>
    <row r="294" customFormat="false" ht="15" hidden="false" customHeight="false" outlineLevel="0" collapsed="false">
      <c r="A294" s="10" t="str">
        <f aca="false">IF(C294="","",IFERROR(VLOOKUP(C294,Lists!$BI$4:$BJ$20,2,0),"??")&amp;"-"&amp;UPPER(SUBSTITUTE(D294," ",""))&amp;IF(E294&lt;&gt;"","-SP"&amp;TEXT(E294*1000,"0"),"")&amp;IF(F294&lt;&gt;"","-H"&amp;TEXT(F294*1000,"0"),"")&amp;"-"&amp;M294)</f>
        <v/>
      </c>
      <c r="B294" s="10" t="str">
        <f aca="false">IF(C294="","",C294&amp;" - "&amp;D294&amp;IF(E294&lt;&gt;"",", span "&amp;E294&amp;" m","")&amp;IF(F294&lt;&gt;"",", H "&amp;F294&amp;" m","")&amp;IF(G294&lt;&gt;"",", W "&amp;G294&amp;" m",""))</f>
        <v/>
      </c>
      <c r="C294" s="9"/>
      <c r="D294" s="9"/>
      <c r="E294" s="43"/>
      <c r="F294" s="43"/>
      <c r="G294" s="43"/>
      <c r="H294" s="9"/>
      <c r="I294" s="9"/>
      <c r="J294" s="9"/>
      <c r="K294" s="9"/>
      <c r="L294" s="9"/>
      <c r="M294" s="9"/>
      <c r="N294" s="9"/>
      <c r="O294" s="9"/>
      <c r="P294" s="9"/>
      <c r="Q294" s="9"/>
      <c r="R294" s="10" t="str">
        <f aca="false">IF(A294="","",SG_Criteria!$B$6&amp;SG_Criteria!$B$13&amp;"\"&amp;A294&amp;"\")</f>
        <v/>
      </c>
      <c r="S294" s="10" t="str">
        <f aca="false">IF(A294="","",A294&amp;"_CAD.dwg")</f>
        <v/>
      </c>
      <c r="T294" s="10" t="str">
        <f aca="false">IF(A294="","",A294&amp;"_DWG.pdf")</f>
        <v/>
      </c>
      <c r="U294" s="10" t="str">
        <f aca="false">IF(A294="","",IF(Q294="Y",A294&amp;"_STAAD.std","n/a"))</f>
        <v/>
      </c>
      <c r="V294" s="10" t="str">
        <f aca="false">IF(A294="","",A294&amp;"_CALC.xlsx")</f>
        <v/>
      </c>
      <c r="W294" s="10" t="str">
        <f aca="false">IF(A294="","",A294&amp;"_CALC.pdf")</f>
        <v/>
      </c>
      <c r="X294" s="9"/>
      <c r="Y294" s="9"/>
      <c r="Z294" s="41"/>
      <c r="AA294" s="41"/>
      <c r="AB294" s="41"/>
      <c r="AC294" s="41"/>
      <c r="AD294" s="41"/>
      <c r="AE294" s="38" t="str">
        <f aca="false">IF(C294="","","OK")</f>
        <v/>
      </c>
      <c r="AF294" s="9"/>
      <c r="AG294" s="9"/>
      <c r="AH294" s="9"/>
      <c r="AI294" s="9"/>
      <c r="AJ294" s="9"/>
      <c r="AK294" s="31"/>
      <c r="AL294" s="10" t="str">
        <f aca="false">IF(C294="","",IF(AND(N294="Approved",ISERROR(SEARCH("FAIL",AE294))),"Y","N"))</f>
        <v/>
      </c>
    </row>
    <row r="295" customFormat="false" ht="15" hidden="false" customHeight="false" outlineLevel="0" collapsed="false">
      <c r="A295" s="10" t="str">
        <f aca="false">IF(C295="","",IFERROR(VLOOKUP(C295,Lists!$BI$4:$BJ$20,2,0),"??")&amp;"-"&amp;UPPER(SUBSTITUTE(D295," ",""))&amp;IF(E295&lt;&gt;"","-SP"&amp;TEXT(E295*1000,"0"),"")&amp;IF(F295&lt;&gt;"","-H"&amp;TEXT(F295*1000,"0"),"")&amp;"-"&amp;M295)</f>
        <v/>
      </c>
      <c r="B295" s="10" t="str">
        <f aca="false">IF(C295="","",C295&amp;" - "&amp;D295&amp;IF(E295&lt;&gt;"",", span "&amp;E295&amp;" m","")&amp;IF(F295&lt;&gt;"",", H "&amp;F295&amp;" m","")&amp;IF(G295&lt;&gt;"",", W "&amp;G295&amp;" m",""))</f>
        <v/>
      </c>
      <c r="C295" s="9"/>
      <c r="D295" s="9"/>
      <c r="E295" s="43"/>
      <c r="F295" s="43"/>
      <c r="G295" s="43"/>
      <c r="H295" s="9"/>
      <c r="I295" s="9"/>
      <c r="J295" s="9"/>
      <c r="K295" s="9"/>
      <c r="L295" s="9"/>
      <c r="M295" s="9"/>
      <c r="N295" s="9"/>
      <c r="O295" s="9"/>
      <c r="P295" s="9"/>
      <c r="Q295" s="9"/>
      <c r="R295" s="10" t="str">
        <f aca="false">IF(A295="","",SG_Criteria!$B$6&amp;SG_Criteria!$B$13&amp;"\"&amp;A295&amp;"\")</f>
        <v/>
      </c>
      <c r="S295" s="10" t="str">
        <f aca="false">IF(A295="","",A295&amp;"_CAD.dwg")</f>
        <v/>
      </c>
      <c r="T295" s="10" t="str">
        <f aca="false">IF(A295="","",A295&amp;"_DWG.pdf")</f>
        <v/>
      </c>
      <c r="U295" s="10" t="str">
        <f aca="false">IF(A295="","",IF(Q295="Y",A295&amp;"_STAAD.std","n/a"))</f>
        <v/>
      </c>
      <c r="V295" s="10" t="str">
        <f aca="false">IF(A295="","",A295&amp;"_CALC.xlsx")</f>
        <v/>
      </c>
      <c r="W295" s="10" t="str">
        <f aca="false">IF(A295="","",A295&amp;"_CALC.pdf")</f>
        <v/>
      </c>
      <c r="X295" s="9"/>
      <c r="Y295" s="9"/>
      <c r="Z295" s="41"/>
      <c r="AA295" s="41"/>
      <c r="AB295" s="41"/>
      <c r="AC295" s="41"/>
      <c r="AD295" s="41"/>
      <c r="AE295" s="38" t="str">
        <f aca="false">IF(C295="","","OK")</f>
        <v/>
      </c>
      <c r="AF295" s="9"/>
      <c r="AG295" s="9"/>
      <c r="AH295" s="9"/>
      <c r="AI295" s="9"/>
      <c r="AJ295" s="9"/>
      <c r="AK295" s="31"/>
      <c r="AL295" s="10" t="str">
        <f aca="false">IF(C295="","",IF(AND(N295="Approved",ISERROR(SEARCH("FAIL",AE295))),"Y","N"))</f>
        <v/>
      </c>
    </row>
    <row r="296" customFormat="false" ht="15" hidden="false" customHeight="false" outlineLevel="0" collapsed="false">
      <c r="A296" s="10" t="str">
        <f aca="false">IF(C296="","",IFERROR(VLOOKUP(C296,Lists!$BI$4:$BJ$20,2,0),"??")&amp;"-"&amp;UPPER(SUBSTITUTE(D296," ",""))&amp;IF(E296&lt;&gt;"","-SP"&amp;TEXT(E296*1000,"0"),"")&amp;IF(F296&lt;&gt;"","-H"&amp;TEXT(F296*1000,"0"),"")&amp;"-"&amp;M296)</f>
        <v/>
      </c>
      <c r="B296" s="10" t="str">
        <f aca="false">IF(C296="","",C296&amp;" - "&amp;D296&amp;IF(E296&lt;&gt;"",", span "&amp;E296&amp;" m","")&amp;IF(F296&lt;&gt;"",", H "&amp;F296&amp;" m","")&amp;IF(G296&lt;&gt;"",", W "&amp;G296&amp;" m",""))</f>
        <v/>
      </c>
      <c r="C296" s="9"/>
      <c r="D296" s="9"/>
      <c r="E296" s="43"/>
      <c r="F296" s="43"/>
      <c r="G296" s="43"/>
      <c r="H296" s="9"/>
      <c r="I296" s="9"/>
      <c r="J296" s="9"/>
      <c r="K296" s="9"/>
      <c r="L296" s="9"/>
      <c r="M296" s="9"/>
      <c r="N296" s="9"/>
      <c r="O296" s="9"/>
      <c r="P296" s="9"/>
      <c r="Q296" s="9"/>
      <c r="R296" s="10" t="str">
        <f aca="false">IF(A296="","",SG_Criteria!$B$6&amp;SG_Criteria!$B$13&amp;"\"&amp;A296&amp;"\")</f>
        <v/>
      </c>
      <c r="S296" s="10" t="str">
        <f aca="false">IF(A296="","",A296&amp;"_CAD.dwg")</f>
        <v/>
      </c>
      <c r="T296" s="10" t="str">
        <f aca="false">IF(A296="","",A296&amp;"_DWG.pdf")</f>
        <v/>
      </c>
      <c r="U296" s="10" t="str">
        <f aca="false">IF(A296="","",IF(Q296="Y",A296&amp;"_STAAD.std","n/a"))</f>
        <v/>
      </c>
      <c r="V296" s="10" t="str">
        <f aca="false">IF(A296="","",A296&amp;"_CALC.xlsx")</f>
        <v/>
      </c>
      <c r="W296" s="10" t="str">
        <f aca="false">IF(A296="","",A296&amp;"_CALC.pdf")</f>
        <v/>
      </c>
      <c r="X296" s="9"/>
      <c r="Y296" s="9"/>
      <c r="Z296" s="41"/>
      <c r="AA296" s="41"/>
      <c r="AB296" s="41"/>
      <c r="AC296" s="41"/>
      <c r="AD296" s="41"/>
      <c r="AE296" s="38" t="str">
        <f aca="false">IF(C296="","","OK")</f>
        <v/>
      </c>
      <c r="AF296" s="9"/>
      <c r="AG296" s="9"/>
      <c r="AH296" s="9"/>
      <c r="AI296" s="9"/>
      <c r="AJ296" s="9"/>
      <c r="AK296" s="31"/>
      <c r="AL296" s="10" t="str">
        <f aca="false">IF(C296="","",IF(AND(N296="Approved",ISERROR(SEARCH("FAIL",AE296))),"Y","N"))</f>
        <v/>
      </c>
    </row>
    <row r="297" customFormat="false" ht="15" hidden="false" customHeight="false" outlineLevel="0" collapsed="false">
      <c r="A297" s="10" t="str">
        <f aca="false">IF(C297="","",IFERROR(VLOOKUP(C297,Lists!$BI$4:$BJ$20,2,0),"??")&amp;"-"&amp;UPPER(SUBSTITUTE(D297," ",""))&amp;IF(E297&lt;&gt;"","-SP"&amp;TEXT(E297*1000,"0"),"")&amp;IF(F297&lt;&gt;"","-H"&amp;TEXT(F297*1000,"0"),"")&amp;"-"&amp;M297)</f>
        <v/>
      </c>
      <c r="B297" s="10" t="str">
        <f aca="false">IF(C297="","",C297&amp;" - "&amp;D297&amp;IF(E297&lt;&gt;"",", span "&amp;E297&amp;" m","")&amp;IF(F297&lt;&gt;"",", H "&amp;F297&amp;" m","")&amp;IF(G297&lt;&gt;"",", W "&amp;G297&amp;" m",""))</f>
        <v/>
      </c>
      <c r="C297" s="9"/>
      <c r="D297" s="9"/>
      <c r="E297" s="43"/>
      <c r="F297" s="43"/>
      <c r="G297" s="43"/>
      <c r="H297" s="9"/>
      <c r="I297" s="9"/>
      <c r="J297" s="9"/>
      <c r="K297" s="9"/>
      <c r="L297" s="9"/>
      <c r="M297" s="9"/>
      <c r="N297" s="9"/>
      <c r="O297" s="9"/>
      <c r="P297" s="9"/>
      <c r="Q297" s="9"/>
      <c r="R297" s="10" t="str">
        <f aca="false">IF(A297="","",SG_Criteria!$B$6&amp;SG_Criteria!$B$13&amp;"\"&amp;A297&amp;"\")</f>
        <v/>
      </c>
      <c r="S297" s="10" t="str">
        <f aca="false">IF(A297="","",A297&amp;"_CAD.dwg")</f>
        <v/>
      </c>
      <c r="T297" s="10" t="str">
        <f aca="false">IF(A297="","",A297&amp;"_DWG.pdf")</f>
        <v/>
      </c>
      <c r="U297" s="10" t="str">
        <f aca="false">IF(A297="","",IF(Q297="Y",A297&amp;"_STAAD.std","n/a"))</f>
        <v/>
      </c>
      <c r="V297" s="10" t="str">
        <f aca="false">IF(A297="","",A297&amp;"_CALC.xlsx")</f>
        <v/>
      </c>
      <c r="W297" s="10" t="str">
        <f aca="false">IF(A297="","",A297&amp;"_CALC.pdf")</f>
        <v/>
      </c>
      <c r="X297" s="9"/>
      <c r="Y297" s="9"/>
      <c r="Z297" s="41"/>
      <c r="AA297" s="41"/>
      <c r="AB297" s="41"/>
      <c r="AC297" s="41"/>
      <c r="AD297" s="41"/>
      <c r="AE297" s="38" t="str">
        <f aca="false">IF(C297="","","OK")</f>
        <v/>
      </c>
      <c r="AF297" s="9"/>
      <c r="AG297" s="9"/>
      <c r="AH297" s="9"/>
      <c r="AI297" s="9"/>
      <c r="AJ297" s="9"/>
      <c r="AK297" s="31"/>
      <c r="AL297" s="10" t="str">
        <f aca="false">IF(C297="","",IF(AND(N297="Approved",ISERROR(SEARCH("FAIL",AE297))),"Y","N"))</f>
        <v/>
      </c>
    </row>
    <row r="298" customFormat="false" ht="15" hidden="false" customHeight="false" outlineLevel="0" collapsed="false">
      <c r="A298" s="10" t="str">
        <f aca="false">IF(C298="","",IFERROR(VLOOKUP(C298,Lists!$BI$4:$BJ$20,2,0),"??")&amp;"-"&amp;UPPER(SUBSTITUTE(D298," ",""))&amp;IF(E298&lt;&gt;"","-SP"&amp;TEXT(E298*1000,"0"),"")&amp;IF(F298&lt;&gt;"","-H"&amp;TEXT(F298*1000,"0"),"")&amp;"-"&amp;M298)</f>
        <v/>
      </c>
      <c r="B298" s="10" t="str">
        <f aca="false">IF(C298="","",C298&amp;" - "&amp;D298&amp;IF(E298&lt;&gt;"",", span "&amp;E298&amp;" m","")&amp;IF(F298&lt;&gt;"",", H "&amp;F298&amp;" m","")&amp;IF(G298&lt;&gt;"",", W "&amp;G298&amp;" m",""))</f>
        <v/>
      </c>
      <c r="C298" s="9"/>
      <c r="D298" s="9"/>
      <c r="E298" s="43"/>
      <c r="F298" s="43"/>
      <c r="G298" s="43"/>
      <c r="H298" s="9"/>
      <c r="I298" s="9"/>
      <c r="J298" s="9"/>
      <c r="K298" s="9"/>
      <c r="L298" s="9"/>
      <c r="M298" s="9"/>
      <c r="N298" s="9"/>
      <c r="O298" s="9"/>
      <c r="P298" s="9"/>
      <c r="Q298" s="9"/>
      <c r="R298" s="10" t="str">
        <f aca="false">IF(A298="","",SG_Criteria!$B$6&amp;SG_Criteria!$B$13&amp;"\"&amp;A298&amp;"\")</f>
        <v/>
      </c>
      <c r="S298" s="10" t="str">
        <f aca="false">IF(A298="","",A298&amp;"_CAD.dwg")</f>
        <v/>
      </c>
      <c r="T298" s="10" t="str">
        <f aca="false">IF(A298="","",A298&amp;"_DWG.pdf")</f>
        <v/>
      </c>
      <c r="U298" s="10" t="str">
        <f aca="false">IF(A298="","",IF(Q298="Y",A298&amp;"_STAAD.std","n/a"))</f>
        <v/>
      </c>
      <c r="V298" s="10" t="str">
        <f aca="false">IF(A298="","",A298&amp;"_CALC.xlsx")</f>
        <v/>
      </c>
      <c r="W298" s="10" t="str">
        <f aca="false">IF(A298="","",A298&amp;"_CALC.pdf")</f>
        <v/>
      </c>
      <c r="X298" s="9"/>
      <c r="Y298" s="9"/>
      <c r="Z298" s="41"/>
      <c r="AA298" s="41"/>
      <c r="AB298" s="41"/>
      <c r="AC298" s="41"/>
      <c r="AD298" s="41"/>
      <c r="AE298" s="38" t="str">
        <f aca="false">IF(C298="","","OK")</f>
        <v/>
      </c>
      <c r="AF298" s="9"/>
      <c r="AG298" s="9"/>
      <c r="AH298" s="9"/>
      <c r="AI298" s="9"/>
      <c r="AJ298" s="9"/>
      <c r="AK298" s="31"/>
      <c r="AL298" s="10" t="str">
        <f aca="false">IF(C298="","",IF(AND(N298="Approved",ISERROR(SEARCH("FAIL",AE298))),"Y","N"))</f>
        <v/>
      </c>
    </row>
    <row r="299" customFormat="false" ht="15" hidden="false" customHeight="false" outlineLevel="0" collapsed="false">
      <c r="A299" s="10" t="str">
        <f aca="false">IF(C299="","",IFERROR(VLOOKUP(C299,Lists!$BI$4:$BJ$20,2,0),"??")&amp;"-"&amp;UPPER(SUBSTITUTE(D299," ",""))&amp;IF(E299&lt;&gt;"","-SP"&amp;TEXT(E299*1000,"0"),"")&amp;IF(F299&lt;&gt;"","-H"&amp;TEXT(F299*1000,"0"),"")&amp;"-"&amp;M299)</f>
        <v/>
      </c>
      <c r="B299" s="10" t="str">
        <f aca="false">IF(C299="","",C299&amp;" - "&amp;D299&amp;IF(E299&lt;&gt;"",", span "&amp;E299&amp;" m","")&amp;IF(F299&lt;&gt;"",", H "&amp;F299&amp;" m","")&amp;IF(G299&lt;&gt;"",", W "&amp;G299&amp;" m",""))</f>
        <v/>
      </c>
      <c r="C299" s="9"/>
      <c r="D299" s="9"/>
      <c r="E299" s="43"/>
      <c r="F299" s="43"/>
      <c r="G299" s="43"/>
      <c r="H299" s="9"/>
      <c r="I299" s="9"/>
      <c r="J299" s="9"/>
      <c r="K299" s="9"/>
      <c r="L299" s="9"/>
      <c r="M299" s="9"/>
      <c r="N299" s="9"/>
      <c r="O299" s="9"/>
      <c r="P299" s="9"/>
      <c r="Q299" s="9"/>
      <c r="R299" s="10" t="str">
        <f aca="false">IF(A299="","",SG_Criteria!$B$6&amp;SG_Criteria!$B$13&amp;"\"&amp;A299&amp;"\")</f>
        <v/>
      </c>
      <c r="S299" s="10" t="str">
        <f aca="false">IF(A299="","",A299&amp;"_CAD.dwg")</f>
        <v/>
      </c>
      <c r="T299" s="10" t="str">
        <f aca="false">IF(A299="","",A299&amp;"_DWG.pdf")</f>
        <v/>
      </c>
      <c r="U299" s="10" t="str">
        <f aca="false">IF(A299="","",IF(Q299="Y",A299&amp;"_STAAD.std","n/a"))</f>
        <v/>
      </c>
      <c r="V299" s="10" t="str">
        <f aca="false">IF(A299="","",A299&amp;"_CALC.xlsx")</f>
        <v/>
      </c>
      <c r="W299" s="10" t="str">
        <f aca="false">IF(A299="","",A299&amp;"_CALC.pdf")</f>
        <v/>
      </c>
      <c r="X299" s="9"/>
      <c r="Y299" s="9"/>
      <c r="Z299" s="41"/>
      <c r="AA299" s="41"/>
      <c r="AB299" s="41"/>
      <c r="AC299" s="41"/>
      <c r="AD299" s="41"/>
      <c r="AE299" s="38" t="str">
        <f aca="false">IF(C299="","","OK")</f>
        <v/>
      </c>
      <c r="AF299" s="9"/>
      <c r="AG299" s="9"/>
      <c r="AH299" s="9"/>
      <c r="AI299" s="9"/>
      <c r="AJ299" s="9"/>
      <c r="AK299" s="31"/>
      <c r="AL299" s="10" t="str">
        <f aca="false">IF(C299="","",IF(AND(N299="Approved",ISERROR(SEARCH("FAIL",AE299))),"Y","N"))</f>
        <v/>
      </c>
    </row>
    <row r="300" customFormat="false" ht="15" hidden="false" customHeight="false" outlineLevel="0" collapsed="false">
      <c r="A300" s="10" t="str">
        <f aca="false">IF(C300="","",IFERROR(VLOOKUP(C300,Lists!$BI$4:$BJ$20,2,0),"??")&amp;"-"&amp;UPPER(SUBSTITUTE(D300," ",""))&amp;IF(E300&lt;&gt;"","-SP"&amp;TEXT(E300*1000,"0"),"")&amp;IF(F300&lt;&gt;"","-H"&amp;TEXT(F300*1000,"0"),"")&amp;"-"&amp;M300)</f>
        <v/>
      </c>
      <c r="B300" s="10" t="str">
        <f aca="false">IF(C300="","",C300&amp;" - "&amp;D300&amp;IF(E300&lt;&gt;"",", span "&amp;E300&amp;" m","")&amp;IF(F300&lt;&gt;"",", H "&amp;F300&amp;" m","")&amp;IF(G300&lt;&gt;"",", W "&amp;G300&amp;" m",""))</f>
        <v/>
      </c>
      <c r="C300" s="9"/>
      <c r="D300" s="9"/>
      <c r="E300" s="43"/>
      <c r="F300" s="43"/>
      <c r="G300" s="43"/>
      <c r="H300" s="9"/>
      <c r="I300" s="9"/>
      <c r="J300" s="9"/>
      <c r="K300" s="9"/>
      <c r="L300" s="9"/>
      <c r="M300" s="9"/>
      <c r="N300" s="9"/>
      <c r="O300" s="9"/>
      <c r="P300" s="9"/>
      <c r="Q300" s="9"/>
      <c r="R300" s="10" t="str">
        <f aca="false">IF(A300="","",SG_Criteria!$B$6&amp;SG_Criteria!$B$13&amp;"\"&amp;A300&amp;"\")</f>
        <v/>
      </c>
      <c r="S300" s="10" t="str">
        <f aca="false">IF(A300="","",A300&amp;"_CAD.dwg")</f>
        <v/>
      </c>
      <c r="T300" s="10" t="str">
        <f aca="false">IF(A300="","",A300&amp;"_DWG.pdf")</f>
        <v/>
      </c>
      <c r="U300" s="10" t="str">
        <f aca="false">IF(A300="","",IF(Q300="Y",A300&amp;"_STAAD.std","n/a"))</f>
        <v/>
      </c>
      <c r="V300" s="10" t="str">
        <f aca="false">IF(A300="","",A300&amp;"_CALC.xlsx")</f>
        <v/>
      </c>
      <c r="W300" s="10" t="str">
        <f aca="false">IF(A300="","",A300&amp;"_CALC.pdf")</f>
        <v/>
      </c>
      <c r="X300" s="9"/>
      <c r="Y300" s="9"/>
      <c r="Z300" s="41"/>
      <c r="AA300" s="41"/>
      <c r="AB300" s="41"/>
      <c r="AC300" s="41"/>
      <c r="AD300" s="41"/>
      <c r="AE300" s="38" t="str">
        <f aca="false">IF(C300="","","OK")</f>
        <v/>
      </c>
      <c r="AF300" s="9"/>
      <c r="AG300" s="9"/>
      <c r="AH300" s="9"/>
      <c r="AI300" s="9"/>
      <c r="AJ300" s="9"/>
      <c r="AK300" s="31"/>
      <c r="AL300" s="10" t="str">
        <f aca="false">IF(C300="","",IF(AND(N300="Approved",ISERROR(SEARCH("FAIL",AE300))),"Y","N"))</f>
        <v/>
      </c>
    </row>
    <row r="301" customFormat="false" ht="15" hidden="false" customHeight="false" outlineLevel="0" collapsed="false">
      <c r="A301" s="10" t="str">
        <f aca="false">IF(C301="","",IFERROR(VLOOKUP(C301,Lists!$BI$4:$BJ$20,2,0),"??")&amp;"-"&amp;UPPER(SUBSTITUTE(D301," ",""))&amp;IF(E301&lt;&gt;"","-SP"&amp;TEXT(E301*1000,"0"),"")&amp;IF(F301&lt;&gt;"","-H"&amp;TEXT(F301*1000,"0"),"")&amp;"-"&amp;M301)</f>
        <v/>
      </c>
      <c r="B301" s="10" t="str">
        <f aca="false">IF(C301="","",C301&amp;" - "&amp;D301&amp;IF(E301&lt;&gt;"",", span "&amp;E301&amp;" m","")&amp;IF(F301&lt;&gt;"",", H "&amp;F301&amp;" m","")&amp;IF(G301&lt;&gt;"",", W "&amp;G301&amp;" m",""))</f>
        <v/>
      </c>
      <c r="C301" s="9"/>
      <c r="D301" s="9"/>
      <c r="E301" s="43"/>
      <c r="F301" s="43"/>
      <c r="G301" s="43"/>
      <c r="H301" s="9"/>
      <c r="I301" s="9"/>
      <c r="J301" s="9"/>
      <c r="K301" s="9"/>
      <c r="L301" s="9"/>
      <c r="M301" s="9"/>
      <c r="N301" s="9"/>
      <c r="O301" s="9"/>
      <c r="P301" s="9"/>
      <c r="Q301" s="9"/>
      <c r="R301" s="10" t="str">
        <f aca="false">IF(A301="","",SG_Criteria!$B$6&amp;SG_Criteria!$B$13&amp;"\"&amp;A301&amp;"\")</f>
        <v/>
      </c>
      <c r="S301" s="10" t="str">
        <f aca="false">IF(A301="","",A301&amp;"_CAD.dwg")</f>
        <v/>
      </c>
      <c r="T301" s="10" t="str">
        <f aca="false">IF(A301="","",A301&amp;"_DWG.pdf")</f>
        <v/>
      </c>
      <c r="U301" s="10" t="str">
        <f aca="false">IF(A301="","",IF(Q301="Y",A301&amp;"_STAAD.std","n/a"))</f>
        <v/>
      </c>
      <c r="V301" s="10" t="str">
        <f aca="false">IF(A301="","",A301&amp;"_CALC.xlsx")</f>
        <v/>
      </c>
      <c r="W301" s="10" t="str">
        <f aca="false">IF(A301="","",A301&amp;"_CALC.pdf")</f>
        <v/>
      </c>
      <c r="X301" s="9"/>
      <c r="Y301" s="9"/>
      <c r="Z301" s="41"/>
      <c r="AA301" s="41"/>
      <c r="AB301" s="41"/>
      <c r="AC301" s="41"/>
      <c r="AD301" s="41"/>
      <c r="AE301" s="38" t="str">
        <f aca="false">IF(C301="","","OK")</f>
        <v/>
      </c>
      <c r="AF301" s="9"/>
      <c r="AG301" s="9"/>
      <c r="AH301" s="9"/>
      <c r="AI301" s="9"/>
      <c r="AJ301" s="9"/>
      <c r="AK301" s="31"/>
      <c r="AL301" s="10" t="str">
        <f aca="false">IF(C301="","",IF(AND(N301="Approved",ISERROR(SEARCH("FAIL",AE301))),"Y","N"))</f>
        <v/>
      </c>
    </row>
    <row r="302" customFormat="false" ht="15" hidden="false" customHeight="false" outlineLevel="0" collapsed="false">
      <c r="A302" s="10" t="str">
        <f aca="false">IF(C302="","",IFERROR(VLOOKUP(C302,Lists!$BI$4:$BJ$20,2,0),"??")&amp;"-"&amp;UPPER(SUBSTITUTE(D302," ",""))&amp;IF(E302&lt;&gt;"","-SP"&amp;TEXT(E302*1000,"0"),"")&amp;IF(F302&lt;&gt;"","-H"&amp;TEXT(F302*1000,"0"),"")&amp;"-"&amp;M302)</f>
        <v/>
      </c>
      <c r="B302" s="10" t="str">
        <f aca="false">IF(C302="","",C302&amp;" - "&amp;D302&amp;IF(E302&lt;&gt;"",", span "&amp;E302&amp;" m","")&amp;IF(F302&lt;&gt;"",", H "&amp;F302&amp;" m","")&amp;IF(G302&lt;&gt;"",", W "&amp;G302&amp;" m",""))</f>
        <v/>
      </c>
      <c r="C302" s="9"/>
      <c r="D302" s="9"/>
      <c r="E302" s="43"/>
      <c r="F302" s="43"/>
      <c r="G302" s="43"/>
      <c r="H302" s="9"/>
      <c r="I302" s="9"/>
      <c r="J302" s="9"/>
      <c r="K302" s="9"/>
      <c r="L302" s="9"/>
      <c r="M302" s="9"/>
      <c r="N302" s="9"/>
      <c r="O302" s="9"/>
      <c r="P302" s="9"/>
      <c r="Q302" s="9"/>
      <c r="R302" s="10" t="str">
        <f aca="false">IF(A302="","",SG_Criteria!$B$6&amp;SG_Criteria!$B$13&amp;"\"&amp;A302&amp;"\")</f>
        <v/>
      </c>
      <c r="S302" s="10" t="str">
        <f aca="false">IF(A302="","",A302&amp;"_CAD.dwg")</f>
        <v/>
      </c>
      <c r="T302" s="10" t="str">
        <f aca="false">IF(A302="","",A302&amp;"_DWG.pdf")</f>
        <v/>
      </c>
      <c r="U302" s="10" t="str">
        <f aca="false">IF(A302="","",IF(Q302="Y",A302&amp;"_STAAD.std","n/a"))</f>
        <v/>
      </c>
      <c r="V302" s="10" t="str">
        <f aca="false">IF(A302="","",A302&amp;"_CALC.xlsx")</f>
        <v/>
      </c>
      <c r="W302" s="10" t="str">
        <f aca="false">IF(A302="","",A302&amp;"_CALC.pdf")</f>
        <v/>
      </c>
      <c r="X302" s="9"/>
      <c r="Y302" s="9"/>
      <c r="Z302" s="41"/>
      <c r="AA302" s="41"/>
      <c r="AB302" s="41"/>
      <c r="AC302" s="41"/>
      <c r="AD302" s="41"/>
      <c r="AE302" s="38" t="str">
        <f aca="false">IF(C302="","","OK")</f>
        <v/>
      </c>
      <c r="AF302" s="9"/>
      <c r="AG302" s="9"/>
      <c r="AH302" s="9"/>
      <c r="AI302" s="9"/>
      <c r="AJ302" s="9"/>
      <c r="AK302" s="31"/>
      <c r="AL302" s="10" t="str">
        <f aca="false">IF(C302="","",IF(AND(N302="Approved",ISERROR(SEARCH("FAIL",AE302))),"Y","N"))</f>
        <v/>
      </c>
    </row>
    <row r="303" customFormat="false" ht="15" hidden="false" customHeight="false" outlineLevel="0" collapsed="false">
      <c r="A303" s="10" t="str">
        <f aca="false">IF(C303="","",IFERROR(VLOOKUP(C303,Lists!$BI$4:$BJ$20,2,0),"??")&amp;"-"&amp;UPPER(SUBSTITUTE(D303," ",""))&amp;IF(E303&lt;&gt;"","-SP"&amp;TEXT(E303*1000,"0"),"")&amp;IF(F303&lt;&gt;"","-H"&amp;TEXT(F303*1000,"0"),"")&amp;"-"&amp;M303)</f>
        <v/>
      </c>
      <c r="B303" s="10" t="str">
        <f aca="false">IF(C303="","",C303&amp;" - "&amp;D303&amp;IF(E303&lt;&gt;"",", span "&amp;E303&amp;" m","")&amp;IF(F303&lt;&gt;"",", H "&amp;F303&amp;" m","")&amp;IF(G303&lt;&gt;"",", W "&amp;G303&amp;" m",""))</f>
        <v/>
      </c>
      <c r="C303" s="9"/>
      <c r="D303" s="9"/>
      <c r="E303" s="43"/>
      <c r="F303" s="43"/>
      <c r="G303" s="43"/>
      <c r="H303" s="9"/>
      <c r="I303" s="9"/>
      <c r="J303" s="9"/>
      <c r="K303" s="9"/>
      <c r="L303" s="9"/>
      <c r="M303" s="9"/>
      <c r="N303" s="9"/>
      <c r="O303" s="9"/>
      <c r="P303" s="9"/>
      <c r="Q303" s="9"/>
      <c r="R303" s="10" t="str">
        <f aca="false">IF(A303="","",SG_Criteria!$B$6&amp;SG_Criteria!$B$13&amp;"\"&amp;A303&amp;"\")</f>
        <v/>
      </c>
      <c r="S303" s="10" t="str">
        <f aca="false">IF(A303="","",A303&amp;"_CAD.dwg")</f>
        <v/>
      </c>
      <c r="T303" s="10" t="str">
        <f aca="false">IF(A303="","",A303&amp;"_DWG.pdf")</f>
        <v/>
      </c>
      <c r="U303" s="10" t="str">
        <f aca="false">IF(A303="","",IF(Q303="Y",A303&amp;"_STAAD.std","n/a"))</f>
        <v/>
      </c>
      <c r="V303" s="10" t="str">
        <f aca="false">IF(A303="","",A303&amp;"_CALC.xlsx")</f>
        <v/>
      </c>
      <c r="W303" s="10" t="str">
        <f aca="false">IF(A303="","",A303&amp;"_CALC.pdf")</f>
        <v/>
      </c>
      <c r="X303" s="9"/>
      <c r="Y303" s="9"/>
      <c r="Z303" s="41"/>
      <c r="AA303" s="41"/>
      <c r="AB303" s="41"/>
      <c r="AC303" s="41"/>
      <c r="AD303" s="41"/>
      <c r="AE303" s="38" t="str">
        <f aca="false">IF(C303="","","OK")</f>
        <v/>
      </c>
      <c r="AF303" s="9"/>
      <c r="AG303" s="9"/>
      <c r="AH303" s="9"/>
      <c r="AI303" s="9"/>
      <c r="AJ303" s="9"/>
      <c r="AK303" s="31"/>
      <c r="AL303" s="10" t="str">
        <f aca="false">IF(C303="","",IF(AND(N303="Approved",ISERROR(SEARCH("FAIL",AE303))),"Y","N"))</f>
        <v/>
      </c>
    </row>
    <row r="304" customFormat="false" ht="15" hidden="false" customHeight="false" outlineLevel="0" collapsed="false">
      <c r="A304" s="10" t="str">
        <f aca="false">IF(C304="","",IFERROR(VLOOKUP(C304,Lists!$BI$4:$BJ$20,2,0),"??")&amp;"-"&amp;UPPER(SUBSTITUTE(D304," ",""))&amp;IF(E304&lt;&gt;"","-SP"&amp;TEXT(E304*1000,"0"),"")&amp;IF(F304&lt;&gt;"","-H"&amp;TEXT(F304*1000,"0"),"")&amp;"-"&amp;M304)</f>
        <v/>
      </c>
      <c r="B304" s="10" t="str">
        <f aca="false">IF(C304="","",C304&amp;" - "&amp;D304&amp;IF(E304&lt;&gt;"",", span "&amp;E304&amp;" m","")&amp;IF(F304&lt;&gt;"",", H "&amp;F304&amp;" m","")&amp;IF(G304&lt;&gt;"",", W "&amp;G304&amp;" m",""))</f>
        <v/>
      </c>
      <c r="C304" s="9"/>
      <c r="D304" s="9"/>
      <c r="E304" s="43"/>
      <c r="F304" s="43"/>
      <c r="G304" s="43"/>
      <c r="H304" s="9"/>
      <c r="I304" s="9"/>
      <c r="J304" s="9"/>
      <c r="K304" s="9"/>
      <c r="L304" s="9"/>
      <c r="M304" s="9"/>
      <c r="N304" s="9"/>
      <c r="O304" s="9"/>
      <c r="P304" s="9"/>
      <c r="Q304" s="9"/>
      <c r="R304" s="10" t="str">
        <f aca="false">IF(A304="","",SG_Criteria!$B$6&amp;SG_Criteria!$B$13&amp;"\"&amp;A304&amp;"\")</f>
        <v/>
      </c>
      <c r="S304" s="10" t="str">
        <f aca="false">IF(A304="","",A304&amp;"_CAD.dwg")</f>
        <v/>
      </c>
      <c r="T304" s="10" t="str">
        <f aca="false">IF(A304="","",A304&amp;"_DWG.pdf")</f>
        <v/>
      </c>
      <c r="U304" s="10" t="str">
        <f aca="false">IF(A304="","",IF(Q304="Y",A304&amp;"_STAAD.std","n/a"))</f>
        <v/>
      </c>
      <c r="V304" s="10" t="str">
        <f aca="false">IF(A304="","",A304&amp;"_CALC.xlsx")</f>
        <v/>
      </c>
      <c r="W304" s="10" t="str">
        <f aca="false">IF(A304="","",A304&amp;"_CALC.pdf")</f>
        <v/>
      </c>
      <c r="X304" s="9"/>
      <c r="Y304" s="9"/>
      <c r="Z304" s="41"/>
      <c r="AA304" s="41"/>
      <c r="AB304" s="41"/>
      <c r="AC304" s="41"/>
      <c r="AD304" s="41"/>
      <c r="AE304" s="38" t="str">
        <f aca="false">IF(C304="","","OK")</f>
        <v/>
      </c>
      <c r="AF304" s="9"/>
      <c r="AG304" s="9"/>
      <c r="AH304" s="9"/>
      <c r="AI304" s="9"/>
      <c r="AJ304" s="9"/>
      <c r="AK304" s="31"/>
      <c r="AL304" s="10" t="str">
        <f aca="false">IF(C304="","",IF(AND(N304="Approved",ISERROR(SEARCH("FAIL",AE304))),"Y","N"))</f>
        <v/>
      </c>
    </row>
  </sheetData>
  <conditionalFormatting sqref="AE5:AE304">
    <cfRule type="expression" priority="2" aboveAverage="0" equalAverage="0" bottom="0" percent="0" rank="0" text="" dxfId="0">
      <formula>ISNUMBER(SEARCH("FAIL",AE5))</formula>
    </cfRule>
    <cfRule type="expression" priority="3" aboveAverage="0" equalAverage="0" bottom="0" percent="0" rank="0" text="" dxfId="15">
      <formula>ISNUMBER(SEARCH("NOTE",AE5))</formula>
    </cfRule>
    <cfRule type="expression" priority="4" aboveAverage="0" equalAverage="0" bottom="0" percent="0" rank="0" text="" dxfId="1">
      <formula>AE5="OK"</formula>
    </cfRule>
  </conditionalFormatting>
  <dataValidations count="6">
    <dataValidation allowBlank="true" error="Pick a value from the list (add new values on the Lists sheet)." errorStyle="stop" errorTitle="Not in list" operator="between" showDropDown="false" showErrorMessage="false" showInputMessage="false" sqref="C5:C304" type="list">
      <formula1>Lists!$BI$4:$BI$20</formula1>
      <formula2>0</formula2>
    </dataValidation>
    <dataValidation allowBlank="true" error="Pick a value from the list (add new values on the Lists sheet)." errorStyle="stop" errorTitle="Not in list" operator="between" showDropDown="false" showErrorMessage="false" showInputMessage="false" sqref="N5:N304" type="list">
      <formula1>Lists!$BC$4:$BC$18</formula1>
      <formula2>0</formula2>
    </dataValidation>
    <dataValidation allowBlank="true" error="Pick a value from the list (add new values on the Lists sheet)." errorStyle="stop" errorTitle="Not in list" operator="between" showDropDown="false" showErrorMessage="false" showInputMessage="false" sqref="P5:P304" type="list">
      <formula1>Lists!$BR$4:$BR$19</formula1>
      <formula2>0</formula2>
    </dataValidation>
    <dataValidation allowBlank="true" error="Pick a value from the list (add new values on the Lists sheet)." errorStyle="stop" errorTitle="Not in list" operator="between" showDropDown="false" showErrorMessage="false" showInputMessage="false" sqref="Q5:Q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X5:X304" type="list">
      <formula1>Lists!$BF$4:$BF$16</formula1>
      <formula2>0</formula2>
    </dataValidation>
    <dataValidation allowBlank="true" error="Pick a value from the list (add new values on the Lists sheet)." errorStyle="stop" errorTitle="Not in list" operator="between" showDropDown="false" showErrorMessage="false" showInputMessage="false" sqref="Y5:Y304" type="list">
      <formula1>Lists!$BL$4:$BL$19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2026-10-14T16:58:57Z</dcterms:created>
  <dc:creator>openpyxl</dc:creator>
  <dc:description/>
  <dc:language>en-US</dc:language>
  <cp:lastModifiedBy/>
  <dcterms:modified xsi:type="dcterms:W3CDTF">2026-10-14T16:59:01Z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